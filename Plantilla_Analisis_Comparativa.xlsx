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rafico" sheetId="4" state="visible" r:id="rId4"/>
    <sheet xmlns:r="http://schemas.openxmlformats.org/officeDocument/2006/relationships" name="Calculos" sheetId="5" state="visible" r:id="rId5"/>
  </sheets>
  <definedNames>
    <definedName name="FECHAS">Datos!$A$3:$A$5002</definedName>
    <definedName name="PRECIO_A">Datos!$B$3:$B$5002</definedName>
    <definedName name="PRECIO_B">Datos!$C$3:$C$5002</definedName>
    <definedName name="NOMBRE_A">Datos!$B$2</definedName>
    <definedName name="NOMBRE_B">Datos!$C$2</definedName>
    <definedName name="RET_A">Calculos!$D$3:$D$5002</definedName>
    <definedName name="RET_B">Calculos!$E$3:$E$5002</definedName>
    <definedName name="EXC_A">Calculos!$F$3:$F$5002</definedName>
    <definedName name="EXC_B">Calculos!$G$3:$G$5002</definedName>
    <definedName name="DD_A">Calculos!$I$3:$I$5002</definedName>
    <definedName name="DD_B">Calculos!$K$3:$K$5002</definedName>
    <definedName name="DIFF_AB">Calculos!$L$3:$L$5002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,##0.0000"/>
    <numFmt numFmtId="166" formatCode="0.0000%"/>
    <numFmt numFmtId="167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1"/>
    </font>
    <font>
      <name val="Arial"/>
      <b val="1"/>
      <color rgb="001F4E78"/>
      <sz val="12"/>
    </font>
    <font>
      <name val="Arial"/>
      <b val="1"/>
      <color rgb="00FFFFFF"/>
      <sz val="13"/>
    </font>
    <font>
      <name val="Arial"/>
      <b val="1"/>
      <color rgb="009C5700"/>
      <sz val="10"/>
    </font>
    <font>
      <name val="Arial"/>
      <i val="1"/>
      <color rgb="009C5700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1F4E78"/>
      <sz val="11"/>
    </font>
    <font>
      <name val="Arial"/>
      <sz val="10"/>
    </font>
    <font>
      <name val="Arial"/>
      <b val="1"/>
      <color rgb="000000FF"/>
      <sz val="11"/>
    </font>
    <font>
      <name val="Arial"/>
      <b val="1"/>
    </font>
    <font>
      <name val="Arial"/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indent="1"/>
    </xf>
    <xf numFmtId="0" fontId="4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10" fontId="11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3" fontId="12" fillId="5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8" fillId="0" borderId="1" pivotButton="0" quotePrefix="0" xfId="0"/>
    <xf numFmtId="166" fontId="8" fillId="5" borderId="1" applyAlignment="1" pivotButton="0" quotePrefix="0" xfId="0">
      <alignment horizontal="center"/>
    </xf>
    <xf numFmtId="166" fontId="10" fillId="6" borderId="1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 wrapText="1" indent="1"/>
    </xf>
    <xf numFmtId="10" fontId="8" fillId="5" borderId="1" applyAlignment="1" pivotButton="0" quotePrefix="0" xfId="0">
      <alignment horizontal="center"/>
    </xf>
    <xf numFmtId="10" fontId="10" fillId="6" borderId="1" applyAlignment="1" pivotButton="0" quotePrefix="0" xfId="0">
      <alignment horizontal="center"/>
    </xf>
    <xf numFmtId="167" fontId="8" fillId="5" borderId="1" applyAlignment="1" pivotButton="0" quotePrefix="0" xfId="0">
      <alignment horizontal="center"/>
    </xf>
    <xf numFmtId="167" fontId="10" fillId="6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13" fillId="0" borderId="0" pivotButton="0" quotePrefix="0" xfId="0"/>
    <xf numFmtId="165" fontId="8" fillId="5" borderId="0" pivotButton="0" quotePrefix="0" xfId="0"/>
    <xf numFmtId="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Activo 1 vs Activo 2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'Grafico'!$A$3:$A$5002</f>
            </numRef>
          </cat>
          <val>
            <numRef>
              <f>'Grafico'!$B$3:$B$5002</f>
            </numRef>
          </val>
        </ser>
        <ser>
          <idx val="1"/>
          <order val="1"/>
          <tx>
            <strRef>
              <f>'Grafico'!C2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'Grafico'!$A$3:$A$5002</f>
            </numRef>
          </cat>
          <val>
            <numRef>
              <f>'Grafico'!$C$3:$C$5002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 (Base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(%) - Activo 1 vs Activo 2</a:t>
            </a:r>
          </a:p>
        </rich>
      </tx>
    </title>
    <plotArea>
      <lineChart>
        <grouping val="standard"/>
        <ser>
          <idx val="0"/>
          <order val="0"/>
          <tx>
            <strRef>
              <f>'Calculos'!I2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'Calculos'!$A$3:$A$5002</f>
            </numRef>
          </cat>
          <val>
            <numRef>
              <f>'Calculos'!$I$3:$I$5002</f>
            </numRef>
          </val>
        </ser>
        <ser>
          <idx val="1"/>
          <order val="1"/>
          <tx>
            <strRef>
              <f>'Calculos'!K2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'Calculos'!$A$3:$A$5002</f>
            </numRef>
          </cat>
          <val>
            <numRef>
              <f>'Calculos'!$K$3:$K$5002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Fecha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93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PLANTILLA DE ANALISIS COMPARATIVO</t>
        </is>
      </c>
    </row>
    <row r="2">
      <c r="A2" s="2" t="inlineStr"/>
    </row>
    <row r="3">
      <c r="A3" s="3" t="inlineStr">
        <is>
          <t>Que hace esta plantilla</t>
        </is>
      </c>
    </row>
    <row r="4">
      <c r="A4" s="2" t="inlineStr"/>
    </row>
    <row r="5">
      <c r="A5" s="2" t="inlineStr">
        <is>
          <t>Compara DOS series de precios diarias entre si:</t>
        </is>
      </c>
    </row>
    <row r="6">
      <c r="A6" s="2" t="inlineStr">
        <is>
          <t xml:space="preserve">  - Activo 1  = la serie que quieres analizar</t>
        </is>
      </c>
    </row>
    <row r="7">
      <c r="A7" s="2" t="inlineStr">
        <is>
          <t xml:space="preserve">  - Activo 2  = la serie que usas como benchmark</t>
        </is>
      </c>
    </row>
    <row r="8">
      <c r="A8" s="2" t="inlineStr">
        <is>
          <t>Puedes usar lo que quieras: fondos, ETFs, acciones, criptos, indices.</t>
        </is>
      </c>
    </row>
    <row r="9">
      <c r="A9" s="2" t="inlineStr"/>
    </row>
    <row r="10">
      <c r="A10" s="3" t="inlineStr">
        <is>
          <t>Como usarla</t>
        </is>
      </c>
    </row>
    <row r="11">
      <c r="A11" s="2" t="inlineStr"/>
    </row>
    <row r="12">
      <c r="A12" s="2" t="inlineStr">
        <is>
          <t>1. Ve a la hoja 'Datos'.</t>
        </is>
      </c>
    </row>
    <row r="13">
      <c r="A13" s="2" t="inlineStr">
        <is>
          <t>2. En B2 y C2 escribe los NOMBRES de los dos activos (opcional).</t>
        </is>
      </c>
    </row>
    <row r="14">
      <c r="A14" s="2" t="inlineStr">
        <is>
          <t>3. Columna A: pega las FECHAS (dd/mm/aaaa o aaaa-mm-dd).</t>
        </is>
      </c>
    </row>
    <row r="15">
      <c r="A15" s="2" t="inlineStr">
        <is>
          <t>4. Columna B: pega los PRECIOS del Activo 1.</t>
        </is>
      </c>
    </row>
    <row r="16">
      <c r="A16" s="2" t="inlineStr">
        <is>
          <t>5. Columna C: pega los PRECIOS del Activo 2 (benchmark).</t>
        </is>
      </c>
    </row>
    <row r="17">
      <c r="A17" s="2" t="inlineStr">
        <is>
          <t>6. Ve a 'Dashboard' y veras todas las metricas calculadas.</t>
        </is>
      </c>
    </row>
    <row r="18">
      <c r="A18" s="2" t="inlineStr">
        <is>
          <t>7. Ve a 'Grafico' para la evolucion comparada (base 100) y drawdown.</t>
        </is>
      </c>
    </row>
    <row r="19">
      <c r="A19" s="2" t="inlineStr"/>
    </row>
    <row r="20">
      <c r="A20" s="3" t="inlineStr">
        <is>
          <t>Parametros (modificables en Dashboard)</t>
        </is>
      </c>
    </row>
    <row r="21">
      <c r="A21" s="2" t="inlineStr"/>
    </row>
    <row r="22">
      <c r="A22" s="2" t="inlineStr">
        <is>
          <t>Tasa libre de riesgo anual: Dashboard!B4  (default 4.0%)</t>
        </is>
      </c>
    </row>
    <row r="23">
      <c r="A23" s="2" t="inlineStr">
        <is>
          <t>Dias bursatiles al ano: 252</t>
        </is>
      </c>
    </row>
    <row r="24">
      <c r="A24" s="2" t="inlineStr"/>
    </row>
    <row r="25">
      <c r="A25" s="3" t="inlineStr">
        <is>
          <t>Metricas que calcula</t>
        </is>
      </c>
    </row>
    <row r="26">
      <c r="A26" s="2" t="inlineStr"/>
    </row>
    <row r="27">
      <c r="A27" s="2" t="inlineStr">
        <is>
          <t>Beta             -- sensibilidad de Activo 1 respecto a Activo 2</t>
        </is>
      </c>
    </row>
    <row r="28">
      <c r="A28" s="2" t="inlineStr">
        <is>
          <t>Alpha (Jensen)   -- retorno anormal sobre lo predicho por CAPM, anualizado</t>
        </is>
      </c>
    </row>
    <row r="29">
      <c r="A29" s="2" t="inlineStr">
        <is>
          <t>Correlacion / R2 -- co-movimiento entre los dos activos</t>
        </is>
      </c>
    </row>
    <row r="30">
      <c r="A30" s="2" t="inlineStr">
        <is>
          <t>Volatilidad      -- desviacion estandar anualizada</t>
        </is>
      </c>
    </row>
    <row r="31">
      <c r="A31" s="2" t="inlineStr">
        <is>
          <t>Sharpe Ratio     -- retorno excedente / volatilidad, anualizado</t>
        </is>
      </c>
    </row>
    <row r="32">
      <c r="A32" s="2" t="inlineStr">
        <is>
          <t>Tracking Error   -- desviacion estandar del diferencial Activo1 - Activo2</t>
        </is>
      </c>
    </row>
    <row r="33">
      <c r="A33" s="2" t="inlineStr">
        <is>
          <t>Info Ratio       -- retorno activo / tracking error</t>
        </is>
      </c>
    </row>
    <row r="34">
      <c r="A34" s="2" t="inlineStr">
        <is>
          <t>Max Drawdown     -- mayor caida pico-valle</t>
        </is>
      </c>
    </row>
    <row r="35">
      <c r="A35" s="2" t="inlineStr">
        <is>
          <t>CAGR             -- retorno anualizado compuesto</t>
        </is>
      </c>
    </row>
    <row r="36">
      <c r="A36" s="2" t="inlineStr"/>
    </row>
    <row r="37">
      <c r="A37" s="3" t="inlineStr">
        <is>
          <t>Notas tecnicas</t>
        </is>
      </c>
    </row>
    <row r="38">
      <c r="A38" s="2" t="inlineStr"/>
    </row>
    <row r="39">
      <c r="A39" s="2" t="inlineStr">
        <is>
          <t>- Las celdas amarillas son inputs (puedes editarlas).</t>
        </is>
      </c>
    </row>
    <row r="40">
      <c r="A40" s="2" t="inlineStr">
        <is>
          <t>- Las celdas verdes son KPIs (no editar, son formulas).</t>
        </is>
      </c>
    </row>
    <row r="41">
      <c r="A41" s="2" t="inlineStr">
        <is>
          <t>- La plantilla admite hasta 5,000 filas diarias (~20 anios).</t>
        </is>
      </c>
    </row>
    <row r="42">
      <c r="A42" s="2" t="inlineStr">
        <is>
          <t>- Si quieres comparar contra SP500, descargalo de Yahoo (^GSPC) y pegalo en C.</t>
        </is>
      </c>
    </row>
    <row r="43">
      <c r="A43" s="2" t="inlineStr">
        <is>
          <t>- Si tienes Python, el script analizador.py descarga ambos activos solo.</t>
        </is>
      </c>
    </row>
  </sheetData>
  <mergeCells count="43">
    <mergeCell ref="A41:F41"/>
    <mergeCell ref="A16:F16"/>
    <mergeCell ref="A37:F37"/>
    <mergeCell ref="A27:F27"/>
    <mergeCell ref="A12:F12"/>
    <mergeCell ref="A18:F18"/>
    <mergeCell ref="A3:F3"/>
    <mergeCell ref="A21:F21"/>
    <mergeCell ref="A26:F26"/>
    <mergeCell ref="A2:F2"/>
    <mergeCell ref="A33:F33"/>
    <mergeCell ref="A42:F42"/>
    <mergeCell ref="A14:F14"/>
    <mergeCell ref="A5:F5"/>
    <mergeCell ref="A23:F23"/>
    <mergeCell ref="A32:F32"/>
    <mergeCell ref="A8:F8"/>
    <mergeCell ref="A22:F22"/>
    <mergeCell ref="A17:F17"/>
    <mergeCell ref="A35:F35"/>
    <mergeCell ref="A4:F4"/>
    <mergeCell ref="A20:F20"/>
    <mergeCell ref="A29:F29"/>
    <mergeCell ref="A43:F43"/>
    <mergeCell ref="A38:F38"/>
    <mergeCell ref="A10:F10"/>
    <mergeCell ref="A28:F28"/>
    <mergeCell ref="A13:F13"/>
    <mergeCell ref="A19:F19"/>
    <mergeCell ref="A9:F9"/>
    <mergeCell ref="A31:F31"/>
    <mergeCell ref="A34:F34"/>
    <mergeCell ref="A40:F40"/>
    <mergeCell ref="A30:F30"/>
    <mergeCell ref="A39:F39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E500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60" customWidth="1" min="5" max="5"/>
  </cols>
  <sheetData>
    <row r="1" ht="22" customHeight="1">
      <c r="A1" s="4" t="inlineStr">
        <is>
          <t>DATOS (pega aqui tus precios)</t>
        </is>
      </c>
    </row>
    <row r="2">
      <c r="A2" s="5" t="inlineStr">
        <is>
          <t>Fecha</t>
        </is>
      </c>
      <c r="B2" s="5" t="inlineStr">
        <is>
          <t>Activo 1</t>
        </is>
      </c>
      <c r="C2" s="5" t="inlineStr">
        <is>
          <t>Activo 2</t>
        </is>
      </c>
      <c r="E2" s="6" t="inlineStr">
        <is>
          <t>&lt;- Pega tus datos. Tip: cambia los nombres en B2/C2.</t>
        </is>
      </c>
    </row>
    <row r="3">
      <c r="A3" s="7" t="inlineStr">
        <is>
          <t>2025-05-12</t>
        </is>
      </c>
      <c r="B3" s="8" t="n">
        <v>100</v>
      </c>
      <c r="C3" s="8" t="n">
        <v>100</v>
      </c>
    </row>
    <row r="4">
      <c r="A4" s="7" t="inlineStr">
        <is>
          <t>2025-05-13</t>
        </is>
      </c>
      <c r="B4" s="8" t="n">
        <v>101.2</v>
      </c>
      <c r="C4" s="8" t="n">
        <v>100.4</v>
      </c>
    </row>
    <row r="5">
      <c r="A5" s="7" t="inlineStr">
        <is>
          <t>2025-05-14</t>
        </is>
      </c>
      <c r="B5" s="8" t="n">
        <v>100.8</v>
      </c>
      <c r="C5" s="8" t="n">
        <v>100.1</v>
      </c>
    </row>
    <row r="6">
      <c r="A6" s="7" t="n"/>
      <c r="B6" s="8" t="n"/>
      <c r="C6" s="8" t="n"/>
    </row>
    <row r="7">
      <c r="A7" s="7" t="n"/>
      <c r="B7" s="8" t="n"/>
      <c r="C7" s="8" t="n"/>
    </row>
    <row r="8">
      <c r="A8" s="7" t="n"/>
      <c r="B8" s="8" t="n"/>
      <c r="C8" s="8" t="n"/>
    </row>
    <row r="9">
      <c r="A9" s="7" t="n"/>
      <c r="B9" s="8" t="n"/>
      <c r="C9" s="8" t="n"/>
    </row>
    <row r="10">
      <c r="A10" s="7" t="n"/>
      <c r="B10" s="8" t="n"/>
      <c r="C10" s="8" t="n"/>
    </row>
    <row r="11">
      <c r="A11" s="7" t="n"/>
      <c r="B11" s="8" t="n"/>
      <c r="C11" s="8" t="n"/>
    </row>
    <row r="12">
      <c r="A12" s="7" t="n"/>
      <c r="B12" s="8" t="n"/>
      <c r="C12" s="8" t="n"/>
    </row>
    <row r="13">
      <c r="A13" s="7" t="n"/>
      <c r="B13" s="8" t="n"/>
      <c r="C13" s="8" t="n"/>
    </row>
    <row r="14">
      <c r="A14" s="7" t="n"/>
      <c r="B14" s="8" t="n"/>
      <c r="C14" s="8" t="n"/>
    </row>
    <row r="15">
      <c r="A15" s="7" t="n"/>
      <c r="B15" s="8" t="n"/>
      <c r="C15" s="8" t="n"/>
    </row>
    <row r="16">
      <c r="A16" s="7" t="n"/>
      <c r="B16" s="8" t="n"/>
      <c r="C16" s="8" t="n"/>
    </row>
    <row r="17">
      <c r="A17" s="7" t="n"/>
      <c r="B17" s="8" t="n"/>
      <c r="C17" s="8" t="n"/>
    </row>
    <row r="18">
      <c r="A18" s="7" t="n"/>
      <c r="B18" s="8" t="n"/>
      <c r="C18" s="8" t="n"/>
    </row>
    <row r="19">
      <c r="A19" s="7" t="n"/>
      <c r="B19" s="8" t="n"/>
      <c r="C19" s="8" t="n"/>
    </row>
    <row r="20">
      <c r="A20" s="7" t="n"/>
      <c r="B20" s="8" t="n"/>
      <c r="C20" s="8" t="n"/>
    </row>
    <row r="21">
      <c r="A21" s="7" t="n"/>
      <c r="B21" s="8" t="n"/>
      <c r="C21" s="8" t="n"/>
    </row>
    <row r="22">
      <c r="A22" s="7" t="n"/>
      <c r="B22" s="8" t="n"/>
      <c r="C22" s="8" t="n"/>
    </row>
    <row r="23">
      <c r="A23" s="7" t="n"/>
      <c r="B23" s="8" t="n"/>
      <c r="C23" s="8" t="n"/>
    </row>
    <row r="24">
      <c r="A24" s="7" t="n"/>
      <c r="B24" s="8" t="n"/>
      <c r="C24" s="8" t="n"/>
    </row>
    <row r="25">
      <c r="A25" s="7" t="n"/>
      <c r="B25" s="8" t="n"/>
      <c r="C25" s="8" t="n"/>
    </row>
    <row r="26">
      <c r="A26" s="7" t="n"/>
      <c r="B26" s="8" t="n"/>
      <c r="C26" s="8" t="n"/>
    </row>
    <row r="27">
      <c r="A27" s="7" t="n"/>
      <c r="B27" s="8" t="n"/>
      <c r="C27" s="8" t="n"/>
    </row>
    <row r="28">
      <c r="A28" s="7" t="n"/>
      <c r="B28" s="8" t="n"/>
      <c r="C28" s="8" t="n"/>
    </row>
    <row r="29">
      <c r="A29" s="7" t="n"/>
      <c r="B29" s="8" t="n"/>
      <c r="C29" s="8" t="n"/>
    </row>
    <row r="30">
      <c r="A30" s="7" t="n"/>
      <c r="B30" s="8" t="n"/>
      <c r="C30" s="8" t="n"/>
    </row>
    <row r="31">
      <c r="A31" s="7" t="n"/>
      <c r="B31" s="8" t="n"/>
      <c r="C31" s="8" t="n"/>
    </row>
    <row r="32">
      <c r="A32" s="7" t="n"/>
      <c r="B32" s="8" t="n"/>
      <c r="C32" s="8" t="n"/>
    </row>
    <row r="33">
      <c r="A33" s="7" t="n"/>
      <c r="B33" s="8" t="n"/>
      <c r="C33" s="8" t="n"/>
    </row>
    <row r="34">
      <c r="A34" s="7" t="n"/>
      <c r="B34" s="8" t="n"/>
      <c r="C34" s="8" t="n"/>
    </row>
    <row r="35">
      <c r="A35" s="7" t="n"/>
      <c r="B35" s="8" t="n"/>
      <c r="C35" s="8" t="n"/>
    </row>
    <row r="36">
      <c r="A36" s="7" t="n"/>
      <c r="B36" s="8" t="n"/>
      <c r="C36" s="8" t="n"/>
    </row>
    <row r="37">
      <c r="A37" s="7" t="n"/>
      <c r="B37" s="8" t="n"/>
      <c r="C37" s="8" t="n"/>
    </row>
    <row r="38">
      <c r="A38" s="7" t="n"/>
      <c r="B38" s="8" t="n"/>
      <c r="C38" s="8" t="n"/>
    </row>
    <row r="39">
      <c r="A39" s="7" t="n"/>
      <c r="B39" s="8" t="n"/>
      <c r="C39" s="8" t="n"/>
    </row>
    <row r="40">
      <c r="A40" s="7" t="n"/>
      <c r="B40" s="8" t="n"/>
      <c r="C40" s="8" t="n"/>
    </row>
    <row r="41">
      <c r="A41" s="7" t="n"/>
      <c r="B41" s="8" t="n"/>
      <c r="C41" s="8" t="n"/>
    </row>
    <row r="42">
      <c r="A42" s="7" t="n"/>
      <c r="B42" s="8" t="n"/>
      <c r="C42" s="8" t="n"/>
    </row>
    <row r="43">
      <c r="A43" s="7" t="n"/>
      <c r="B43" s="8" t="n"/>
      <c r="C43" s="8" t="n"/>
    </row>
    <row r="44">
      <c r="A44" s="7" t="n"/>
      <c r="B44" s="8" t="n"/>
      <c r="C44" s="8" t="n"/>
    </row>
    <row r="45">
      <c r="A45" s="7" t="n"/>
      <c r="B45" s="8" t="n"/>
      <c r="C45" s="8" t="n"/>
    </row>
    <row r="46">
      <c r="A46" s="7" t="n"/>
      <c r="B46" s="8" t="n"/>
      <c r="C46" s="8" t="n"/>
    </row>
    <row r="47">
      <c r="A47" s="7" t="n"/>
      <c r="B47" s="8" t="n"/>
      <c r="C47" s="8" t="n"/>
    </row>
    <row r="48">
      <c r="A48" s="7" t="n"/>
      <c r="B48" s="8" t="n"/>
      <c r="C48" s="8" t="n"/>
    </row>
    <row r="49">
      <c r="A49" s="7" t="n"/>
      <c r="B49" s="8" t="n"/>
      <c r="C49" s="8" t="n"/>
    </row>
    <row r="50">
      <c r="A50" s="7" t="n"/>
      <c r="B50" s="8" t="n"/>
      <c r="C50" s="8" t="n"/>
    </row>
    <row r="51">
      <c r="A51" s="7" t="n"/>
      <c r="B51" s="8" t="n"/>
      <c r="C51" s="8" t="n"/>
    </row>
    <row r="52">
      <c r="A52" s="7" t="n"/>
      <c r="B52" s="8" t="n"/>
      <c r="C52" s="8" t="n"/>
    </row>
    <row r="53">
      <c r="A53" s="7" t="n"/>
      <c r="B53" s="8" t="n"/>
      <c r="C53" s="8" t="n"/>
    </row>
    <row r="54">
      <c r="A54" s="7" t="n"/>
      <c r="B54" s="8" t="n"/>
      <c r="C54" s="8" t="n"/>
    </row>
    <row r="55">
      <c r="A55" s="7" t="n"/>
      <c r="B55" s="8" t="n"/>
      <c r="C55" s="8" t="n"/>
    </row>
    <row r="56">
      <c r="A56" s="7" t="n"/>
      <c r="B56" s="8" t="n"/>
      <c r="C56" s="8" t="n"/>
    </row>
    <row r="57">
      <c r="A57" s="7" t="n"/>
      <c r="B57" s="8" t="n"/>
      <c r="C57" s="8" t="n"/>
    </row>
    <row r="58">
      <c r="A58" s="7" t="n"/>
      <c r="B58" s="8" t="n"/>
      <c r="C58" s="8" t="n"/>
    </row>
    <row r="59">
      <c r="A59" s="7" t="n"/>
      <c r="B59" s="8" t="n"/>
      <c r="C59" s="8" t="n"/>
    </row>
    <row r="60">
      <c r="A60" s="7" t="n"/>
      <c r="B60" s="8" t="n"/>
      <c r="C60" s="8" t="n"/>
    </row>
    <row r="61">
      <c r="A61" s="7" t="n"/>
      <c r="B61" s="8" t="n"/>
      <c r="C61" s="8" t="n"/>
    </row>
    <row r="62">
      <c r="A62" s="7" t="n"/>
      <c r="B62" s="8" t="n"/>
      <c r="C62" s="8" t="n"/>
    </row>
    <row r="63">
      <c r="A63" s="7" t="n"/>
      <c r="B63" s="8" t="n"/>
      <c r="C63" s="8" t="n"/>
    </row>
    <row r="64">
      <c r="A64" s="7" t="n"/>
      <c r="B64" s="8" t="n"/>
      <c r="C64" s="8" t="n"/>
    </row>
    <row r="65">
      <c r="A65" s="7" t="n"/>
      <c r="B65" s="8" t="n"/>
      <c r="C65" s="8" t="n"/>
    </row>
    <row r="66">
      <c r="A66" s="7" t="n"/>
      <c r="B66" s="8" t="n"/>
      <c r="C66" s="8" t="n"/>
    </row>
    <row r="67">
      <c r="A67" s="7" t="n"/>
      <c r="B67" s="8" t="n"/>
      <c r="C67" s="8" t="n"/>
    </row>
    <row r="68">
      <c r="A68" s="7" t="n"/>
      <c r="B68" s="8" t="n"/>
      <c r="C68" s="8" t="n"/>
    </row>
    <row r="69">
      <c r="A69" s="7" t="n"/>
      <c r="B69" s="8" t="n"/>
      <c r="C69" s="8" t="n"/>
    </row>
    <row r="70">
      <c r="A70" s="7" t="n"/>
      <c r="B70" s="8" t="n"/>
      <c r="C70" s="8" t="n"/>
    </row>
    <row r="71">
      <c r="A71" s="7" t="n"/>
      <c r="B71" s="8" t="n"/>
      <c r="C71" s="8" t="n"/>
    </row>
    <row r="72">
      <c r="A72" s="7" t="n"/>
      <c r="B72" s="8" t="n"/>
      <c r="C72" s="8" t="n"/>
    </row>
    <row r="73">
      <c r="A73" s="7" t="n"/>
      <c r="B73" s="8" t="n"/>
      <c r="C73" s="8" t="n"/>
    </row>
    <row r="74">
      <c r="A74" s="7" t="n"/>
      <c r="B74" s="8" t="n"/>
      <c r="C74" s="8" t="n"/>
    </row>
    <row r="75">
      <c r="A75" s="7" t="n"/>
      <c r="B75" s="8" t="n"/>
      <c r="C75" s="8" t="n"/>
    </row>
    <row r="76">
      <c r="A76" s="7" t="n"/>
      <c r="B76" s="8" t="n"/>
      <c r="C76" s="8" t="n"/>
    </row>
    <row r="77">
      <c r="A77" s="7" t="n"/>
      <c r="B77" s="8" t="n"/>
      <c r="C77" s="8" t="n"/>
    </row>
    <row r="78">
      <c r="A78" s="7" t="n"/>
      <c r="B78" s="8" t="n"/>
      <c r="C78" s="8" t="n"/>
    </row>
    <row r="79">
      <c r="A79" s="7" t="n"/>
      <c r="B79" s="8" t="n"/>
      <c r="C79" s="8" t="n"/>
    </row>
    <row r="80">
      <c r="A80" s="7" t="n"/>
      <c r="B80" s="8" t="n"/>
      <c r="C80" s="8" t="n"/>
    </row>
    <row r="81">
      <c r="A81" s="7" t="n"/>
      <c r="B81" s="8" t="n"/>
      <c r="C81" s="8" t="n"/>
    </row>
    <row r="82">
      <c r="A82" s="7" t="n"/>
      <c r="B82" s="8" t="n"/>
      <c r="C82" s="8" t="n"/>
    </row>
    <row r="83">
      <c r="A83" s="7" t="n"/>
      <c r="B83" s="8" t="n"/>
      <c r="C83" s="8" t="n"/>
    </row>
    <row r="84">
      <c r="A84" s="7" t="n"/>
      <c r="B84" s="8" t="n"/>
      <c r="C84" s="8" t="n"/>
    </row>
    <row r="85">
      <c r="A85" s="7" t="n"/>
      <c r="B85" s="8" t="n"/>
      <c r="C85" s="8" t="n"/>
    </row>
    <row r="86">
      <c r="A86" s="7" t="n"/>
      <c r="B86" s="8" t="n"/>
      <c r="C86" s="8" t="n"/>
    </row>
    <row r="87">
      <c r="A87" s="7" t="n"/>
      <c r="B87" s="8" t="n"/>
      <c r="C87" s="8" t="n"/>
    </row>
    <row r="88">
      <c r="A88" s="7" t="n"/>
      <c r="B88" s="8" t="n"/>
      <c r="C88" s="8" t="n"/>
    </row>
    <row r="89">
      <c r="A89" s="7" t="n"/>
      <c r="B89" s="8" t="n"/>
      <c r="C89" s="8" t="n"/>
    </row>
    <row r="90">
      <c r="A90" s="7" t="n"/>
      <c r="B90" s="8" t="n"/>
      <c r="C90" s="8" t="n"/>
    </row>
    <row r="91">
      <c r="A91" s="7" t="n"/>
      <c r="B91" s="8" t="n"/>
      <c r="C91" s="8" t="n"/>
    </row>
    <row r="92">
      <c r="A92" s="7" t="n"/>
      <c r="B92" s="8" t="n"/>
      <c r="C92" s="8" t="n"/>
    </row>
    <row r="93">
      <c r="A93" s="7" t="n"/>
      <c r="B93" s="8" t="n"/>
      <c r="C93" s="8" t="n"/>
    </row>
    <row r="94">
      <c r="A94" s="7" t="n"/>
      <c r="B94" s="8" t="n"/>
      <c r="C94" s="8" t="n"/>
    </row>
    <row r="95">
      <c r="A95" s="7" t="n"/>
      <c r="B95" s="8" t="n"/>
      <c r="C95" s="8" t="n"/>
    </row>
    <row r="96">
      <c r="A96" s="7" t="n"/>
      <c r="B96" s="8" t="n"/>
      <c r="C96" s="8" t="n"/>
    </row>
    <row r="97">
      <c r="A97" s="7" t="n"/>
      <c r="B97" s="8" t="n"/>
      <c r="C97" s="8" t="n"/>
    </row>
    <row r="98">
      <c r="A98" s="7" t="n"/>
      <c r="B98" s="8" t="n"/>
      <c r="C98" s="8" t="n"/>
    </row>
    <row r="99">
      <c r="A99" s="7" t="n"/>
      <c r="B99" s="8" t="n"/>
      <c r="C99" s="8" t="n"/>
    </row>
    <row r="100">
      <c r="A100" s="7" t="n"/>
      <c r="B100" s="8" t="n"/>
      <c r="C100" s="8" t="n"/>
    </row>
    <row r="101">
      <c r="A101" s="7" t="n"/>
      <c r="B101" s="8" t="n"/>
      <c r="C101" s="8" t="n"/>
    </row>
    <row r="102">
      <c r="A102" s="7" t="n"/>
      <c r="B102" s="8" t="n"/>
      <c r="C102" s="8" t="n"/>
    </row>
    <row r="103">
      <c r="A103" s="7" t="n"/>
      <c r="B103" s="8" t="n"/>
      <c r="C103" s="8" t="n"/>
    </row>
    <row r="104">
      <c r="A104" s="7" t="n"/>
      <c r="B104" s="8" t="n"/>
      <c r="C104" s="8" t="n"/>
    </row>
    <row r="105">
      <c r="A105" s="7" t="n"/>
      <c r="B105" s="8" t="n"/>
      <c r="C105" s="8" t="n"/>
    </row>
    <row r="106">
      <c r="A106" s="7" t="n"/>
      <c r="B106" s="8" t="n"/>
      <c r="C106" s="8" t="n"/>
    </row>
    <row r="107">
      <c r="A107" s="7" t="n"/>
      <c r="B107" s="8" t="n"/>
      <c r="C107" s="8" t="n"/>
    </row>
    <row r="108">
      <c r="A108" s="7" t="n"/>
      <c r="B108" s="8" t="n"/>
      <c r="C108" s="8" t="n"/>
    </row>
    <row r="109">
      <c r="A109" s="7" t="n"/>
      <c r="B109" s="8" t="n"/>
      <c r="C109" s="8" t="n"/>
    </row>
    <row r="110">
      <c r="A110" s="7" t="n"/>
      <c r="B110" s="8" t="n"/>
      <c r="C110" s="8" t="n"/>
    </row>
    <row r="111">
      <c r="A111" s="7" t="n"/>
      <c r="B111" s="8" t="n"/>
      <c r="C111" s="8" t="n"/>
    </row>
    <row r="112">
      <c r="A112" s="7" t="n"/>
      <c r="B112" s="8" t="n"/>
      <c r="C112" s="8" t="n"/>
    </row>
    <row r="113">
      <c r="A113" s="7" t="n"/>
      <c r="B113" s="8" t="n"/>
      <c r="C113" s="8" t="n"/>
    </row>
    <row r="114">
      <c r="A114" s="7" t="n"/>
      <c r="B114" s="8" t="n"/>
      <c r="C114" s="8" t="n"/>
    </row>
    <row r="115">
      <c r="A115" s="7" t="n"/>
      <c r="B115" s="8" t="n"/>
      <c r="C115" s="8" t="n"/>
    </row>
    <row r="116">
      <c r="A116" s="7" t="n"/>
      <c r="B116" s="8" t="n"/>
      <c r="C116" s="8" t="n"/>
    </row>
    <row r="117">
      <c r="A117" s="7" t="n"/>
      <c r="B117" s="8" t="n"/>
      <c r="C117" s="8" t="n"/>
    </row>
    <row r="118">
      <c r="A118" s="7" t="n"/>
      <c r="B118" s="8" t="n"/>
      <c r="C118" s="8" t="n"/>
    </row>
    <row r="119">
      <c r="A119" s="7" t="n"/>
      <c r="B119" s="8" t="n"/>
      <c r="C119" s="8" t="n"/>
    </row>
    <row r="120">
      <c r="A120" s="7" t="n"/>
      <c r="B120" s="8" t="n"/>
      <c r="C120" s="8" t="n"/>
    </row>
    <row r="121">
      <c r="A121" s="7" t="n"/>
      <c r="B121" s="8" t="n"/>
      <c r="C121" s="8" t="n"/>
    </row>
    <row r="122">
      <c r="A122" s="7" t="n"/>
      <c r="B122" s="8" t="n"/>
      <c r="C122" s="8" t="n"/>
    </row>
    <row r="123">
      <c r="A123" s="7" t="n"/>
      <c r="B123" s="8" t="n"/>
      <c r="C123" s="8" t="n"/>
    </row>
    <row r="124">
      <c r="A124" s="7" t="n"/>
      <c r="B124" s="8" t="n"/>
      <c r="C124" s="8" t="n"/>
    </row>
    <row r="125">
      <c r="A125" s="7" t="n"/>
      <c r="B125" s="8" t="n"/>
      <c r="C125" s="8" t="n"/>
    </row>
    <row r="126">
      <c r="A126" s="7" t="n"/>
      <c r="B126" s="8" t="n"/>
      <c r="C126" s="8" t="n"/>
    </row>
    <row r="127">
      <c r="A127" s="7" t="n"/>
      <c r="B127" s="8" t="n"/>
      <c r="C127" s="8" t="n"/>
    </row>
    <row r="128">
      <c r="A128" s="7" t="n"/>
      <c r="B128" s="8" t="n"/>
      <c r="C128" s="8" t="n"/>
    </row>
    <row r="129">
      <c r="A129" s="7" t="n"/>
      <c r="B129" s="8" t="n"/>
      <c r="C129" s="8" t="n"/>
    </row>
    <row r="130">
      <c r="A130" s="7" t="n"/>
      <c r="B130" s="8" t="n"/>
      <c r="C130" s="8" t="n"/>
    </row>
    <row r="131">
      <c r="A131" s="7" t="n"/>
      <c r="B131" s="8" t="n"/>
      <c r="C131" s="8" t="n"/>
    </row>
    <row r="132">
      <c r="A132" s="7" t="n"/>
      <c r="B132" s="8" t="n"/>
      <c r="C132" s="8" t="n"/>
    </row>
    <row r="133">
      <c r="A133" s="7" t="n"/>
      <c r="B133" s="8" t="n"/>
      <c r="C133" s="8" t="n"/>
    </row>
    <row r="134">
      <c r="A134" s="7" t="n"/>
      <c r="B134" s="8" t="n"/>
      <c r="C134" s="8" t="n"/>
    </row>
    <row r="135">
      <c r="A135" s="7" t="n"/>
      <c r="B135" s="8" t="n"/>
      <c r="C135" s="8" t="n"/>
    </row>
    <row r="136">
      <c r="A136" s="7" t="n"/>
      <c r="B136" s="8" t="n"/>
      <c r="C136" s="8" t="n"/>
    </row>
    <row r="137">
      <c r="A137" s="7" t="n"/>
      <c r="B137" s="8" t="n"/>
      <c r="C137" s="8" t="n"/>
    </row>
    <row r="138">
      <c r="A138" s="7" t="n"/>
      <c r="B138" s="8" t="n"/>
      <c r="C138" s="8" t="n"/>
    </row>
    <row r="139">
      <c r="A139" s="7" t="n"/>
      <c r="B139" s="8" t="n"/>
      <c r="C139" s="8" t="n"/>
    </row>
    <row r="140">
      <c r="A140" s="7" t="n"/>
      <c r="B140" s="8" t="n"/>
      <c r="C140" s="8" t="n"/>
    </row>
    <row r="141">
      <c r="A141" s="7" t="n"/>
      <c r="B141" s="8" t="n"/>
      <c r="C141" s="8" t="n"/>
    </row>
    <row r="142">
      <c r="A142" s="7" t="n"/>
      <c r="B142" s="8" t="n"/>
      <c r="C142" s="8" t="n"/>
    </row>
    <row r="143">
      <c r="A143" s="7" t="n"/>
      <c r="B143" s="8" t="n"/>
      <c r="C143" s="8" t="n"/>
    </row>
    <row r="144">
      <c r="A144" s="7" t="n"/>
      <c r="B144" s="8" t="n"/>
      <c r="C144" s="8" t="n"/>
    </row>
    <row r="145">
      <c r="A145" s="7" t="n"/>
      <c r="B145" s="8" t="n"/>
      <c r="C145" s="8" t="n"/>
    </row>
    <row r="146">
      <c r="A146" s="7" t="n"/>
      <c r="B146" s="8" t="n"/>
      <c r="C146" s="8" t="n"/>
    </row>
    <row r="147">
      <c r="A147" s="7" t="n"/>
      <c r="B147" s="8" t="n"/>
      <c r="C147" s="8" t="n"/>
    </row>
    <row r="148">
      <c r="A148" s="7" t="n"/>
      <c r="B148" s="8" t="n"/>
      <c r="C148" s="8" t="n"/>
    </row>
    <row r="149">
      <c r="A149" s="7" t="n"/>
      <c r="B149" s="8" t="n"/>
      <c r="C149" s="8" t="n"/>
    </row>
    <row r="150">
      <c r="A150" s="7" t="n"/>
      <c r="B150" s="8" t="n"/>
      <c r="C150" s="8" t="n"/>
    </row>
    <row r="151">
      <c r="A151" s="7" t="n"/>
      <c r="B151" s="8" t="n"/>
      <c r="C151" s="8" t="n"/>
    </row>
    <row r="152">
      <c r="A152" s="7" t="n"/>
      <c r="B152" s="8" t="n"/>
      <c r="C152" s="8" t="n"/>
    </row>
    <row r="153">
      <c r="A153" s="7" t="n"/>
      <c r="B153" s="8" t="n"/>
      <c r="C153" s="8" t="n"/>
    </row>
    <row r="154">
      <c r="A154" s="7" t="n"/>
      <c r="B154" s="8" t="n"/>
      <c r="C154" s="8" t="n"/>
    </row>
    <row r="155">
      <c r="A155" s="7" t="n"/>
      <c r="B155" s="8" t="n"/>
      <c r="C155" s="8" t="n"/>
    </row>
    <row r="156">
      <c r="A156" s="7" t="n"/>
      <c r="B156" s="8" t="n"/>
      <c r="C156" s="8" t="n"/>
    </row>
    <row r="157">
      <c r="A157" s="7" t="n"/>
      <c r="B157" s="8" t="n"/>
      <c r="C157" s="8" t="n"/>
    </row>
    <row r="158">
      <c r="A158" s="7" t="n"/>
      <c r="B158" s="8" t="n"/>
      <c r="C158" s="8" t="n"/>
    </row>
    <row r="159">
      <c r="A159" s="7" t="n"/>
      <c r="B159" s="8" t="n"/>
      <c r="C159" s="8" t="n"/>
    </row>
    <row r="160">
      <c r="A160" s="7" t="n"/>
      <c r="B160" s="8" t="n"/>
      <c r="C160" s="8" t="n"/>
    </row>
    <row r="161">
      <c r="A161" s="7" t="n"/>
      <c r="B161" s="8" t="n"/>
      <c r="C161" s="8" t="n"/>
    </row>
    <row r="162">
      <c r="A162" s="7" t="n"/>
      <c r="B162" s="8" t="n"/>
      <c r="C162" s="8" t="n"/>
    </row>
    <row r="163">
      <c r="A163" s="7" t="n"/>
      <c r="B163" s="8" t="n"/>
      <c r="C163" s="8" t="n"/>
    </row>
    <row r="164">
      <c r="A164" s="7" t="n"/>
      <c r="B164" s="8" t="n"/>
      <c r="C164" s="8" t="n"/>
    </row>
    <row r="165">
      <c r="A165" s="7" t="n"/>
      <c r="B165" s="8" t="n"/>
      <c r="C165" s="8" t="n"/>
    </row>
    <row r="166">
      <c r="A166" s="7" t="n"/>
      <c r="B166" s="8" t="n"/>
      <c r="C166" s="8" t="n"/>
    </row>
    <row r="167">
      <c r="A167" s="7" t="n"/>
      <c r="B167" s="8" t="n"/>
      <c r="C167" s="8" t="n"/>
    </row>
    <row r="168">
      <c r="A168" s="7" t="n"/>
      <c r="B168" s="8" t="n"/>
      <c r="C168" s="8" t="n"/>
    </row>
    <row r="169">
      <c r="A169" s="7" t="n"/>
      <c r="B169" s="8" t="n"/>
      <c r="C169" s="8" t="n"/>
    </row>
    <row r="170">
      <c r="A170" s="7" t="n"/>
      <c r="B170" s="8" t="n"/>
      <c r="C170" s="8" t="n"/>
    </row>
    <row r="171">
      <c r="A171" s="7" t="n"/>
      <c r="B171" s="8" t="n"/>
      <c r="C171" s="8" t="n"/>
    </row>
    <row r="172">
      <c r="A172" s="7" t="n"/>
      <c r="B172" s="8" t="n"/>
      <c r="C172" s="8" t="n"/>
    </row>
    <row r="173">
      <c r="A173" s="7" t="n"/>
      <c r="B173" s="8" t="n"/>
      <c r="C173" s="8" t="n"/>
    </row>
    <row r="174">
      <c r="A174" s="7" t="n"/>
      <c r="B174" s="8" t="n"/>
      <c r="C174" s="8" t="n"/>
    </row>
    <row r="175">
      <c r="A175" s="7" t="n"/>
      <c r="B175" s="8" t="n"/>
      <c r="C175" s="8" t="n"/>
    </row>
    <row r="176">
      <c r="A176" s="7" t="n"/>
      <c r="B176" s="8" t="n"/>
      <c r="C176" s="8" t="n"/>
    </row>
    <row r="177">
      <c r="A177" s="7" t="n"/>
      <c r="B177" s="8" t="n"/>
      <c r="C177" s="8" t="n"/>
    </row>
    <row r="178">
      <c r="A178" s="7" t="n"/>
      <c r="B178" s="8" t="n"/>
      <c r="C178" s="8" t="n"/>
    </row>
    <row r="179">
      <c r="A179" s="7" t="n"/>
      <c r="B179" s="8" t="n"/>
      <c r="C179" s="8" t="n"/>
    </row>
    <row r="180">
      <c r="A180" s="7" t="n"/>
      <c r="B180" s="8" t="n"/>
      <c r="C180" s="8" t="n"/>
    </row>
    <row r="181">
      <c r="A181" s="7" t="n"/>
      <c r="B181" s="8" t="n"/>
      <c r="C181" s="8" t="n"/>
    </row>
    <row r="182">
      <c r="A182" s="7" t="n"/>
      <c r="B182" s="8" t="n"/>
      <c r="C182" s="8" t="n"/>
    </row>
    <row r="183">
      <c r="A183" s="7" t="n"/>
      <c r="B183" s="8" t="n"/>
      <c r="C183" s="8" t="n"/>
    </row>
    <row r="184">
      <c r="A184" s="7" t="n"/>
      <c r="B184" s="8" t="n"/>
      <c r="C184" s="8" t="n"/>
    </row>
    <row r="185">
      <c r="A185" s="7" t="n"/>
      <c r="B185" s="8" t="n"/>
      <c r="C185" s="8" t="n"/>
    </row>
    <row r="186">
      <c r="A186" s="7" t="n"/>
      <c r="B186" s="8" t="n"/>
      <c r="C186" s="8" t="n"/>
    </row>
    <row r="187">
      <c r="A187" s="7" t="n"/>
      <c r="B187" s="8" t="n"/>
      <c r="C187" s="8" t="n"/>
    </row>
    <row r="188">
      <c r="A188" s="7" t="n"/>
      <c r="B188" s="8" t="n"/>
      <c r="C188" s="8" t="n"/>
    </row>
    <row r="189">
      <c r="A189" s="7" t="n"/>
      <c r="B189" s="8" t="n"/>
      <c r="C189" s="8" t="n"/>
    </row>
    <row r="190">
      <c r="A190" s="7" t="n"/>
      <c r="B190" s="8" t="n"/>
      <c r="C190" s="8" t="n"/>
    </row>
    <row r="191">
      <c r="A191" s="7" t="n"/>
      <c r="B191" s="8" t="n"/>
      <c r="C191" s="8" t="n"/>
    </row>
    <row r="192">
      <c r="A192" s="7" t="n"/>
      <c r="B192" s="8" t="n"/>
      <c r="C192" s="8" t="n"/>
    </row>
    <row r="193">
      <c r="A193" s="7" t="n"/>
      <c r="B193" s="8" t="n"/>
      <c r="C193" s="8" t="n"/>
    </row>
    <row r="194">
      <c r="A194" s="7" t="n"/>
      <c r="B194" s="8" t="n"/>
      <c r="C194" s="8" t="n"/>
    </row>
    <row r="195">
      <c r="A195" s="7" t="n"/>
      <c r="B195" s="8" t="n"/>
      <c r="C195" s="8" t="n"/>
    </row>
    <row r="196">
      <c r="A196" s="7" t="n"/>
      <c r="B196" s="8" t="n"/>
      <c r="C196" s="8" t="n"/>
    </row>
    <row r="197">
      <c r="A197" s="7" t="n"/>
      <c r="B197" s="8" t="n"/>
      <c r="C197" s="8" t="n"/>
    </row>
    <row r="198">
      <c r="A198" s="7" t="n"/>
      <c r="B198" s="8" t="n"/>
      <c r="C198" s="8" t="n"/>
    </row>
    <row r="199">
      <c r="A199" s="7" t="n"/>
      <c r="B199" s="8" t="n"/>
      <c r="C199" s="8" t="n"/>
    </row>
    <row r="200">
      <c r="A200" s="7" t="n"/>
      <c r="B200" s="8" t="n"/>
      <c r="C200" s="8" t="n"/>
    </row>
    <row r="201">
      <c r="A201" s="7" t="n"/>
      <c r="B201" s="8" t="n"/>
      <c r="C201" s="8" t="n"/>
    </row>
    <row r="202">
      <c r="A202" s="7" t="n"/>
      <c r="B202" s="8" t="n"/>
      <c r="C202" s="8" t="n"/>
    </row>
    <row r="203">
      <c r="A203" s="7" t="n"/>
      <c r="B203" s="8" t="n"/>
      <c r="C203" s="8" t="n"/>
    </row>
    <row r="204">
      <c r="A204" s="7" t="n"/>
      <c r="B204" s="8" t="n"/>
      <c r="C204" s="8" t="n"/>
    </row>
    <row r="205">
      <c r="A205" s="7" t="n"/>
      <c r="B205" s="8" t="n"/>
      <c r="C205" s="8" t="n"/>
    </row>
    <row r="206">
      <c r="A206" s="7" t="n"/>
      <c r="B206" s="8" t="n"/>
      <c r="C206" s="8" t="n"/>
    </row>
    <row r="207">
      <c r="A207" s="7" t="n"/>
      <c r="B207" s="8" t="n"/>
      <c r="C207" s="8" t="n"/>
    </row>
    <row r="208">
      <c r="A208" s="7" t="n"/>
      <c r="B208" s="8" t="n"/>
      <c r="C208" s="8" t="n"/>
    </row>
    <row r="209">
      <c r="A209" s="7" t="n"/>
      <c r="B209" s="8" t="n"/>
      <c r="C209" s="8" t="n"/>
    </row>
    <row r="210">
      <c r="A210" s="7" t="n"/>
      <c r="B210" s="8" t="n"/>
      <c r="C210" s="8" t="n"/>
    </row>
    <row r="211">
      <c r="A211" s="7" t="n"/>
      <c r="B211" s="8" t="n"/>
      <c r="C211" s="8" t="n"/>
    </row>
    <row r="212">
      <c r="A212" s="7" t="n"/>
      <c r="B212" s="8" t="n"/>
      <c r="C212" s="8" t="n"/>
    </row>
    <row r="213">
      <c r="A213" s="7" t="n"/>
      <c r="B213" s="8" t="n"/>
      <c r="C213" s="8" t="n"/>
    </row>
    <row r="214">
      <c r="A214" s="7" t="n"/>
      <c r="B214" s="8" t="n"/>
      <c r="C214" s="8" t="n"/>
    </row>
    <row r="215">
      <c r="A215" s="7" t="n"/>
      <c r="B215" s="8" t="n"/>
      <c r="C215" s="8" t="n"/>
    </row>
    <row r="216">
      <c r="A216" s="7" t="n"/>
      <c r="B216" s="8" t="n"/>
      <c r="C216" s="8" t="n"/>
    </row>
    <row r="217">
      <c r="A217" s="7" t="n"/>
      <c r="B217" s="8" t="n"/>
      <c r="C217" s="8" t="n"/>
    </row>
    <row r="218">
      <c r="A218" s="7" t="n"/>
      <c r="B218" s="8" t="n"/>
      <c r="C218" s="8" t="n"/>
    </row>
    <row r="219">
      <c r="A219" s="7" t="n"/>
      <c r="B219" s="8" t="n"/>
      <c r="C219" s="8" t="n"/>
    </row>
    <row r="220">
      <c r="A220" s="7" t="n"/>
      <c r="B220" s="8" t="n"/>
      <c r="C220" s="8" t="n"/>
    </row>
    <row r="221">
      <c r="A221" s="7" t="n"/>
      <c r="B221" s="8" t="n"/>
      <c r="C221" s="8" t="n"/>
    </row>
    <row r="222">
      <c r="A222" s="7" t="n"/>
      <c r="B222" s="8" t="n"/>
      <c r="C222" s="8" t="n"/>
    </row>
    <row r="223">
      <c r="A223" s="7" t="n"/>
      <c r="B223" s="8" t="n"/>
      <c r="C223" s="8" t="n"/>
    </row>
    <row r="224">
      <c r="A224" s="7" t="n"/>
      <c r="B224" s="8" t="n"/>
      <c r="C224" s="8" t="n"/>
    </row>
    <row r="225">
      <c r="A225" s="7" t="n"/>
      <c r="B225" s="8" t="n"/>
      <c r="C225" s="8" t="n"/>
    </row>
    <row r="226">
      <c r="A226" s="7" t="n"/>
      <c r="B226" s="8" t="n"/>
      <c r="C226" s="8" t="n"/>
    </row>
    <row r="227">
      <c r="A227" s="7" t="n"/>
      <c r="B227" s="8" t="n"/>
      <c r="C227" s="8" t="n"/>
    </row>
    <row r="228">
      <c r="A228" s="7" t="n"/>
      <c r="B228" s="8" t="n"/>
      <c r="C228" s="8" t="n"/>
    </row>
    <row r="229">
      <c r="A229" s="7" t="n"/>
      <c r="B229" s="8" t="n"/>
      <c r="C229" s="8" t="n"/>
    </row>
    <row r="230">
      <c r="A230" s="7" t="n"/>
      <c r="B230" s="8" t="n"/>
      <c r="C230" s="8" t="n"/>
    </row>
    <row r="231">
      <c r="A231" s="7" t="n"/>
      <c r="B231" s="8" t="n"/>
      <c r="C231" s="8" t="n"/>
    </row>
    <row r="232">
      <c r="A232" s="7" t="n"/>
      <c r="B232" s="8" t="n"/>
      <c r="C232" s="8" t="n"/>
    </row>
    <row r="233">
      <c r="A233" s="7" t="n"/>
      <c r="B233" s="8" t="n"/>
      <c r="C233" s="8" t="n"/>
    </row>
    <row r="234">
      <c r="A234" s="7" t="n"/>
      <c r="B234" s="8" t="n"/>
      <c r="C234" s="8" t="n"/>
    </row>
    <row r="235">
      <c r="A235" s="7" t="n"/>
      <c r="B235" s="8" t="n"/>
      <c r="C235" s="8" t="n"/>
    </row>
    <row r="236">
      <c r="A236" s="7" t="n"/>
      <c r="B236" s="8" t="n"/>
      <c r="C236" s="8" t="n"/>
    </row>
    <row r="237">
      <c r="A237" s="7" t="n"/>
      <c r="B237" s="8" t="n"/>
      <c r="C237" s="8" t="n"/>
    </row>
    <row r="238">
      <c r="A238" s="7" t="n"/>
      <c r="B238" s="8" t="n"/>
      <c r="C238" s="8" t="n"/>
    </row>
    <row r="239">
      <c r="A239" s="7" t="n"/>
      <c r="B239" s="8" t="n"/>
      <c r="C239" s="8" t="n"/>
    </row>
    <row r="240">
      <c r="A240" s="7" t="n"/>
      <c r="B240" s="8" t="n"/>
      <c r="C240" s="8" t="n"/>
    </row>
    <row r="241">
      <c r="A241" s="7" t="n"/>
      <c r="B241" s="8" t="n"/>
      <c r="C241" s="8" t="n"/>
    </row>
    <row r="242">
      <c r="A242" s="7" t="n"/>
      <c r="B242" s="8" t="n"/>
      <c r="C242" s="8" t="n"/>
    </row>
    <row r="243">
      <c r="A243" s="7" t="n"/>
      <c r="B243" s="8" t="n"/>
      <c r="C243" s="8" t="n"/>
    </row>
    <row r="244">
      <c r="A244" s="7" t="n"/>
      <c r="B244" s="8" t="n"/>
      <c r="C244" s="8" t="n"/>
    </row>
    <row r="245">
      <c r="A245" s="7" t="n"/>
      <c r="B245" s="8" t="n"/>
      <c r="C245" s="8" t="n"/>
    </row>
    <row r="246">
      <c r="A246" s="7" t="n"/>
      <c r="B246" s="8" t="n"/>
      <c r="C246" s="8" t="n"/>
    </row>
    <row r="247">
      <c r="A247" s="7" t="n"/>
      <c r="B247" s="8" t="n"/>
      <c r="C247" s="8" t="n"/>
    </row>
    <row r="248">
      <c r="A248" s="7" t="n"/>
      <c r="B248" s="8" t="n"/>
      <c r="C248" s="8" t="n"/>
    </row>
    <row r="249">
      <c r="A249" s="7" t="n"/>
      <c r="B249" s="8" t="n"/>
      <c r="C249" s="8" t="n"/>
    </row>
    <row r="250">
      <c r="A250" s="7" t="n"/>
      <c r="B250" s="8" t="n"/>
      <c r="C250" s="8" t="n"/>
    </row>
    <row r="251">
      <c r="A251" s="7" t="n"/>
      <c r="B251" s="8" t="n"/>
      <c r="C251" s="8" t="n"/>
    </row>
    <row r="252">
      <c r="A252" s="7" t="n"/>
      <c r="B252" s="8" t="n"/>
      <c r="C252" s="8" t="n"/>
    </row>
    <row r="253">
      <c r="A253" s="7" t="n"/>
      <c r="B253" s="8" t="n"/>
      <c r="C253" s="8" t="n"/>
    </row>
    <row r="254">
      <c r="A254" s="7" t="n"/>
      <c r="B254" s="8" t="n"/>
      <c r="C254" s="8" t="n"/>
    </row>
    <row r="255">
      <c r="A255" s="7" t="n"/>
      <c r="B255" s="8" t="n"/>
      <c r="C255" s="8" t="n"/>
    </row>
    <row r="256">
      <c r="A256" s="7" t="n"/>
      <c r="B256" s="8" t="n"/>
      <c r="C256" s="8" t="n"/>
    </row>
    <row r="257">
      <c r="A257" s="7" t="n"/>
      <c r="B257" s="8" t="n"/>
      <c r="C257" s="8" t="n"/>
    </row>
    <row r="258">
      <c r="A258" s="7" t="n"/>
      <c r="B258" s="8" t="n"/>
      <c r="C258" s="8" t="n"/>
    </row>
    <row r="259">
      <c r="A259" s="7" t="n"/>
      <c r="B259" s="8" t="n"/>
      <c r="C259" s="8" t="n"/>
    </row>
    <row r="260">
      <c r="A260" s="7" t="n"/>
      <c r="B260" s="8" t="n"/>
      <c r="C260" s="8" t="n"/>
    </row>
    <row r="261">
      <c r="A261" s="7" t="n"/>
      <c r="B261" s="8" t="n"/>
      <c r="C261" s="8" t="n"/>
    </row>
    <row r="262">
      <c r="A262" s="7" t="n"/>
      <c r="B262" s="8" t="n"/>
      <c r="C262" s="8" t="n"/>
    </row>
    <row r="263">
      <c r="A263" s="7" t="n"/>
      <c r="B263" s="8" t="n"/>
      <c r="C263" s="8" t="n"/>
    </row>
    <row r="264">
      <c r="A264" s="7" t="n"/>
      <c r="B264" s="8" t="n"/>
      <c r="C264" s="8" t="n"/>
    </row>
    <row r="265">
      <c r="A265" s="7" t="n"/>
      <c r="B265" s="8" t="n"/>
      <c r="C265" s="8" t="n"/>
    </row>
    <row r="266">
      <c r="A266" s="7" t="n"/>
      <c r="B266" s="8" t="n"/>
      <c r="C266" s="8" t="n"/>
    </row>
    <row r="267">
      <c r="A267" s="7" t="n"/>
      <c r="B267" s="8" t="n"/>
      <c r="C267" s="8" t="n"/>
    </row>
    <row r="268">
      <c r="A268" s="7" t="n"/>
      <c r="B268" s="8" t="n"/>
      <c r="C268" s="8" t="n"/>
    </row>
    <row r="269">
      <c r="A269" s="7" t="n"/>
      <c r="B269" s="8" t="n"/>
      <c r="C269" s="8" t="n"/>
    </row>
    <row r="270">
      <c r="A270" s="7" t="n"/>
      <c r="B270" s="8" t="n"/>
      <c r="C270" s="8" t="n"/>
    </row>
    <row r="271">
      <c r="A271" s="7" t="n"/>
      <c r="B271" s="8" t="n"/>
      <c r="C271" s="8" t="n"/>
    </row>
    <row r="272">
      <c r="A272" s="7" t="n"/>
      <c r="B272" s="8" t="n"/>
      <c r="C272" s="8" t="n"/>
    </row>
    <row r="273">
      <c r="A273" s="7" t="n"/>
      <c r="B273" s="8" t="n"/>
      <c r="C273" s="8" t="n"/>
    </row>
    <row r="274">
      <c r="A274" s="7" t="n"/>
      <c r="B274" s="8" t="n"/>
      <c r="C274" s="8" t="n"/>
    </row>
    <row r="275">
      <c r="A275" s="7" t="n"/>
      <c r="B275" s="8" t="n"/>
      <c r="C275" s="8" t="n"/>
    </row>
    <row r="276">
      <c r="A276" s="7" t="n"/>
      <c r="B276" s="8" t="n"/>
      <c r="C276" s="8" t="n"/>
    </row>
    <row r="277">
      <c r="A277" s="7" t="n"/>
      <c r="B277" s="8" t="n"/>
      <c r="C277" s="8" t="n"/>
    </row>
    <row r="278">
      <c r="A278" s="7" t="n"/>
      <c r="B278" s="8" t="n"/>
      <c r="C278" s="8" t="n"/>
    </row>
    <row r="279">
      <c r="A279" s="7" t="n"/>
      <c r="B279" s="8" t="n"/>
      <c r="C279" s="8" t="n"/>
    </row>
    <row r="280">
      <c r="A280" s="7" t="n"/>
      <c r="B280" s="8" t="n"/>
      <c r="C280" s="8" t="n"/>
    </row>
    <row r="281">
      <c r="A281" s="7" t="n"/>
      <c r="B281" s="8" t="n"/>
      <c r="C281" s="8" t="n"/>
    </row>
    <row r="282">
      <c r="A282" s="7" t="n"/>
      <c r="B282" s="8" t="n"/>
      <c r="C282" s="8" t="n"/>
    </row>
    <row r="283">
      <c r="A283" s="7" t="n"/>
      <c r="B283" s="8" t="n"/>
      <c r="C283" s="8" t="n"/>
    </row>
    <row r="284">
      <c r="A284" s="7" t="n"/>
      <c r="B284" s="8" t="n"/>
      <c r="C284" s="8" t="n"/>
    </row>
    <row r="285">
      <c r="A285" s="7" t="n"/>
      <c r="B285" s="8" t="n"/>
      <c r="C285" s="8" t="n"/>
    </row>
    <row r="286">
      <c r="A286" s="7" t="n"/>
      <c r="B286" s="8" t="n"/>
      <c r="C286" s="8" t="n"/>
    </row>
    <row r="287">
      <c r="A287" s="7" t="n"/>
      <c r="B287" s="8" t="n"/>
      <c r="C287" s="8" t="n"/>
    </row>
    <row r="288">
      <c r="A288" s="7" t="n"/>
      <c r="B288" s="8" t="n"/>
      <c r="C288" s="8" t="n"/>
    </row>
    <row r="289">
      <c r="A289" s="7" t="n"/>
      <c r="B289" s="8" t="n"/>
      <c r="C289" s="8" t="n"/>
    </row>
    <row r="290">
      <c r="A290" s="7" t="n"/>
      <c r="B290" s="8" t="n"/>
      <c r="C290" s="8" t="n"/>
    </row>
    <row r="291">
      <c r="A291" s="7" t="n"/>
      <c r="B291" s="8" t="n"/>
      <c r="C291" s="8" t="n"/>
    </row>
    <row r="292">
      <c r="A292" s="7" t="n"/>
      <c r="B292" s="8" t="n"/>
      <c r="C292" s="8" t="n"/>
    </row>
    <row r="293">
      <c r="A293" s="7" t="n"/>
      <c r="B293" s="8" t="n"/>
      <c r="C293" s="8" t="n"/>
    </row>
    <row r="294">
      <c r="A294" s="7" t="n"/>
      <c r="B294" s="8" t="n"/>
      <c r="C294" s="8" t="n"/>
    </row>
    <row r="295">
      <c r="A295" s="7" t="n"/>
      <c r="B295" s="8" t="n"/>
      <c r="C295" s="8" t="n"/>
    </row>
    <row r="296">
      <c r="A296" s="7" t="n"/>
      <c r="B296" s="8" t="n"/>
      <c r="C296" s="8" t="n"/>
    </row>
    <row r="297">
      <c r="A297" s="7" t="n"/>
      <c r="B297" s="8" t="n"/>
      <c r="C297" s="8" t="n"/>
    </row>
    <row r="298">
      <c r="A298" s="7" t="n"/>
      <c r="B298" s="8" t="n"/>
      <c r="C298" s="8" t="n"/>
    </row>
    <row r="299">
      <c r="A299" s="7" t="n"/>
      <c r="B299" s="8" t="n"/>
      <c r="C299" s="8" t="n"/>
    </row>
    <row r="300">
      <c r="A300" s="7" t="n"/>
      <c r="B300" s="8" t="n"/>
      <c r="C300" s="8" t="n"/>
    </row>
    <row r="301">
      <c r="A301" s="7" t="n"/>
      <c r="B301" s="8" t="n"/>
      <c r="C301" s="8" t="n"/>
    </row>
    <row r="302">
      <c r="A302" s="7" t="n"/>
      <c r="B302" s="8" t="n"/>
      <c r="C302" s="8" t="n"/>
    </row>
    <row r="303">
      <c r="A303" s="7" t="n"/>
      <c r="B303" s="8" t="n"/>
      <c r="C303" s="8" t="n"/>
    </row>
    <row r="304">
      <c r="A304" s="7" t="n"/>
      <c r="B304" s="8" t="n"/>
      <c r="C304" s="8" t="n"/>
    </row>
    <row r="305">
      <c r="A305" s="7" t="n"/>
      <c r="B305" s="8" t="n"/>
      <c r="C305" s="8" t="n"/>
    </row>
    <row r="306">
      <c r="A306" s="7" t="n"/>
      <c r="B306" s="8" t="n"/>
      <c r="C306" s="8" t="n"/>
    </row>
    <row r="307">
      <c r="A307" s="7" t="n"/>
      <c r="B307" s="8" t="n"/>
      <c r="C307" s="8" t="n"/>
    </row>
    <row r="308">
      <c r="A308" s="7" t="n"/>
      <c r="B308" s="8" t="n"/>
      <c r="C308" s="8" t="n"/>
    </row>
    <row r="309">
      <c r="A309" s="7" t="n"/>
      <c r="B309" s="8" t="n"/>
      <c r="C309" s="8" t="n"/>
    </row>
    <row r="310">
      <c r="A310" s="7" t="n"/>
      <c r="B310" s="8" t="n"/>
      <c r="C310" s="8" t="n"/>
    </row>
    <row r="311">
      <c r="A311" s="7" t="n"/>
      <c r="B311" s="8" t="n"/>
      <c r="C311" s="8" t="n"/>
    </row>
    <row r="312">
      <c r="A312" s="7" t="n"/>
      <c r="B312" s="8" t="n"/>
      <c r="C312" s="8" t="n"/>
    </row>
    <row r="313">
      <c r="A313" s="7" t="n"/>
      <c r="B313" s="8" t="n"/>
      <c r="C313" s="8" t="n"/>
    </row>
    <row r="314">
      <c r="A314" s="7" t="n"/>
      <c r="B314" s="8" t="n"/>
      <c r="C314" s="8" t="n"/>
    </row>
    <row r="315">
      <c r="A315" s="7" t="n"/>
      <c r="B315" s="8" t="n"/>
      <c r="C315" s="8" t="n"/>
    </row>
    <row r="316">
      <c r="A316" s="7" t="n"/>
      <c r="B316" s="8" t="n"/>
      <c r="C316" s="8" t="n"/>
    </row>
    <row r="317">
      <c r="A317" s="7" t="n"/>
      <c r="B317" s="8" t="n"/>
      <c r="C317" s="8" t="n"/>
    </row>
    <row r="318">
      <c r="A318" s="7" t="n"/>
      <c r="B318" s="8" t="n"/>
      <c r="C318" s="8" t="n"/>
    </row>
    <row r="319">
      <c r="A319" s="7" t="n"/>
      <c r="B319" s="8" t="n"/>
      <c r="C319" s="8" t="n"/>
    </row>
    <row r="320">
      <c r="A320" s="7" t="n"/>
      <c r="B320" s="8" t="n"/>
      <c r="C320" s="8" t="n"/>
    </row>
    <row r="321">
      <c r="A321" s="7" t="n"/>
      <c r="B321" s="8" t="n"/>
      <c r="C321" s="8" t="n"/>
    </row>
    <row r="322">
      <c r="A322" s="7" t="n"/>
      <c r="B322" s="8" t="n"/>
      <c r="C322" s="8" t="n"/>
    </row>
    <row r="323">
      <c r="A323" s="7" t="n"/>
      <c r="B323" s="8" t="n"/>
      <c r="C323" s="8" t="n"/>
    </row>
    <row r="324">
      <c r="A324" s="7" t="n"/>
      <c r="B324" s="8" t="n"/>
      <c r="C324" s="8" t="n"/>
    </row>
    <row r="325">
      <c r="A325" s="7" t="n"/>
      <c r="B325" s="8" t="n"/>
      <c r="C325" s="8" t="n"/>
    </row>
    <row r="326">
      <c r="A326" s="7" t="n"/>
      <c r="B326" s="8" t="n"/>
      <c r="C326" s="8" t="n"/>
    </row>
    <row r="327">
      <c r="A327" s="7" t="n"/>
      <c r="B327" s="8" t="n"/>
      <c r="C327" s="8" t="n"/>
    </row>
    <row r="328">
      <c r="A328" s="7" t="n"/>
      <c r="B328" s="8" t="n"/>
      <c r="C328" s="8" t="n"/>
    </row>
    <row r="329">
      <c r="A329" s="7" t="n"/>
      <c r="B329" s="8" t="n"/>
      <c r="C329" s="8" t="n"/>
    </row>
    <row r="330">
      <c r="A330" s="7" t="n"/>
      <c r="B330" s="8" t="n"/>
      <c r="C330" s="8" t="n"/>
    </row>
    <row r="331">
      <c r="A331" s="7" t="n"/>
      <c r="B331" s="8" t="n"/>
      <c r="C331" s="8" t="n"/>
    </row>
    <row r="332">
      <c r="A332" s="7" t="n"/>
      <c r="B332" s="8" t="n"/>
      <c r="C332" s="8" t="n"/>
    </row>
    <row r="333">
      <c r="A333" s="7" t="n"/>
      <c r="B333" s="8" t="n"/>
      <c r="C333" s="8" t="n"/>
    </row>
    <row r="334">
      <c r="A334" s="7" t="n"/>
      <c r="B334" s="8" t="n"/>
      <c r="C334" s="8" t="n"/>
    </row>
    <row r="335">
      <c r="A335" s="7" t="n"/>
      <c r="B335" s="8" t="n"/>
      <c r="C335" s="8" t="n"/>
    </row>
    <row r="336">
      <c r="A336" s="7" t="n"/>
      <c r="B336" s="8" t="n"/>
      <c r="C336" s="8" t="n"/>
    </row>
    <row r="337">
      <c r="A337" s="7" t="n"/>
      <c r="B337" s="8" t="n"/>
      <c r="C337" s="8" t="n"/>
    </row>
    <row r="338">
      <c r="A338" s="7" t="n"/>
      <c r="B338" s="8" t="n"/>
      <c r="C338" s="8" t="n"/>
    </row>
    <row r="339">
      <c r="A339" s="7" t="n"/>
      <c r="B339" s="8" t="n"/>
      <c r="C339" s="8" t="n"/>
    </row>
    <row r="340">
      <c r="A340" s="7" t="n"/>
      <c r="B340" s="8" t="n"/>
      <c r="C340" s="8" t="n"/>
    </row>
    <row r="341">
      <c r="A341" s="7" t="n"/>
      <c r="B341" s="8" t="n"/>
      <c r="C341" s="8" t="n"/>
    </row>
    <row r="342">
      <c r="A342" s="7" t="n"/>
      <c r="B342" s="8" t="n"/>
      <c r="C342" s="8" t="n"/>
    </row>
    <row r="343">
      <c r="A343" s="7" t="n"/>
      <c r="B343" s="8" t="n"/>
      <c r="C343" s="8" t="n"/>
    </row>
    <row r="344">
      <c r="A344" s="7" t="n"/>
      <c r="B344" s="8" t="n"/>
      <c r="C344" s="8" t="n"/>
    </row>
    <row r="345">
      <c r="A345" s="7" t="n"/>
      <c r="B345" s="8" t="n"/>
      <c r="C345" s="8" t="n"/>
    </row>
    <row r="346">
      <c r="A346" s="7" t="n"/>
      <c r="B346" s="8" t="n"/>
      <c r="C346" s="8" t="n"/>
    </row>
    <row r="347">
      <c r="A347" s="7" t="n"/>
      <c r="B347" s="8" t="n"/>
      <c r="C347" s="8" t="n"/>
    </row>
    <row r="348">
      <c r="A348" s="7" t="n"/>
      <c r="B348" s="8" t="n"/>
      <c r="C348" s="8" t="n"/>
    </row>
    <row r="349">
      <c r="A349" s="7" t="n"/>
      <c r="B349" s="8" t="n"/>
      <c r="C349" s="8" t="n"/>
    </row>
    <row r="350">
      <c r="A350" s="7" t="n"/>
      <c r="B350" s="8" t="n"/>
      <c r="C350" s="8" t="n"/>
    </row>
    <row r="351">
      <c r="A351" s="7" t="n"/>
      <c r="B351" s="8" t="n"/>
      <c r="C351" s="8" t="n"/>
    </row>
    <row r="352">
      <c r="A352" s="7" t="n"/>
      <c r="B352" s="8" t="n"/>
      <c r="C352" s="8" t="n"/>
    </row>
    <row r="353">
      <c r="A353" s="7" t="n"/>
      <c r="B353" s="8" t="n"/>
      <c r="C353" s="8" t="n"/>
    </row>
    <row r="354">
      <c r="A354" s="7" t="n"/>
      <c r="B354" s="8" t="n"/>
      <c r="C354" s="8" t="n"/>
    </row>
    <row r="355">
      <c r="A355" s="7" t="n"/>
      <c r="B355" s="8" t="n"/>
      <c r="C355" s="8" t="n"/>
    </row>
    <row r="356">
      <c r="A356" s="7" t="n"/>
      <c r="B356" s="8" t="n"/>
      <c r="C356" s="8" t="n"/>
    </row>
    <row r="357">
      <c r="A357" s="7" t="n"/>
      <c r="B357" s="8" t="n"/>
      <c r="C357" s="8" t="n"/>
    </row>
    <row r="358">
      <c r="A358" s="7" t="n"/>
      <c r="B358" s="8" t="n"/>
      <c r="C358" s="8" t="n"/>
    </row>
    <row r="359">
      <c r="A359" s="7" t="n"/>
      <c r="B359" s="8" t="n"/>
      <c r="C359" s="8" t="n"/>
    </row>
    <row r="360">
      <c r="A360" s="7" t="n"/>
      <c r="B360" s="8" t="n"/>
      <c r="C360" s="8" t="n"/>
    </row>
    <row r="361">
      <c r="A361" s="7" t="n"/>
      <c r="B361" s="8" t="n"/>
      <c r="C361" s="8" t="n"/>
    </row>
    <row r="362">
      <c r="A362" s="7" t="n"/>
      <c r="B362" s="8" t="n"/>
      <c r="C362" s="8" t="n"/>
    </row>
    <row r="363">
      <c r="A363" s="7" t="n"/>
      <c r="B363" s="8" t="n"/>
      <c r="C363" s="8" t="n"/>
    </row>
    <row r="364">
      <c r="A364" s="7" t="n"/>
      <c r="B364" s="8" t="n"/>
      <c r="C364" s="8" t="n"/>
    </row>
    <row r="365">
      <c r="A365" s="7" t="n"/>
      <c r="B365" s="8" t="n"/>
      <c r="C365" s="8" t="n"/>
    </row>
    <row r="366">
      <c r="A366" s="7" t="n"/>
      <c r="B366" s="8" t="n"/>
      <c r="C366" s="8" t="n"/>
    </row>
    <row r="367">
      <c r="A367" s="7" t="n"/>
      <c r="B367" s="8" t="n"/>
      <c r="C367" s="8" t="n"/>
    </row>
    <row r="368">
      <c r="A368" s="7" t="n"/>
      <c r="B368" s="8" t="n"/>
      <c r="C368" s="8" t="n"/>
    </row>
    <row r="369">
      <c r="A369" s="7" t="n"/>
      <c r="B369" s="8" t="n"/>
      <c r="C369" s="8" t="n"/>
    </row>
    <row r="370">
      <c r="A370" s="7" t="n"/>
      <c r="B370" s="8" t="n"/>
      <c r="C370" s="8" t="n"/>
    </row>
    <row r="371">
      <c r="A371" s="7" t="n"/>
      <c r="B371" s="8" t="n"/>
      <c r="C371" s="8" t="n"/>
    </row>
    <row r="372">
      <c r="A372" s="7" t="n"/>
      <c r="B372" s="8" t="n"/>
      <c r="C372" s="8" t="n"/>
    </row>
    <row r="373">
      <c r="A373" s="7" t="n"/>
      <c r="B373" s="8" t="n"/>
      <c r="C373" s="8" t="n"/>
    </row>
    <row r="374">
      <c r="A374" s="7" t="n"/>
      <c r="B374" s="8" t="n"/>
      <c r="C374" s="8" t="n"/>
    </row>
    <row r="375">
      <c r="A375" s="7" t="n"/>
      <c r="B375" s="8" t="n"/>
      <c r="C375" s="8" t="n"/>
    </row>
    <row r="376">
      <c r="A376" s="7" t="n"/>
      <c r="B376" s="8" t="n"/>
      <c r="C376" s="8" t="n"/>
    </row>
    <row r="377">
      <c r="A377" s="7" t="n"/>
      <c r="B377" s="8" t="n"/>
      <c r="C377" s="8" t="n"/>
    </row>
    <row r="378">
      <c r="A378" s="7" t="n"/>
      <c r="B378" s="8" t="n"/>
      <c r="C378" s="8" t="n"/>
    </row>
    <row r="379">
      <c r="A379" s="7" t="n"/>
      <c r="B379" s="8" t="n"/>
      <c r="C379" s="8" t="n"/>
    </row>
    <row r="380">
      <c r="A380" s="7" t="n"/>
      <c r="B380" s="8" t="n"/>
      <c r="C380" s="8" t="n"/>
    </row>
    <row r="381">
      <c r="A381" s="7" t="n"/>
      <c r="B381" s="8" t="n"/>
      <c r="C381" s="8" t="n"/>
    </row>
    <row r="382">
      <c r="A382" s="7" t="n"/>
      <c r="B382" s="8" t="n"/>
      <c r="C382" s="8" t="n"/>
    </row>
    <row r="383">
      <c r="A383" s="7" t="n"/>
      <c r="B383" s="8" t="n"/>
      <c r="C383" s="8" t="n"/>
    </row>
    <row r="384">
      <c r="A384" s="7" t="n"/>
      <c r="B384" s="8" t="n"/>
      <c r="C384" s="8" t="n"/>
    </row>
    <row r="385">
      <c r="A385" s="7" t="n"/>
      <c r="B385" s="8" t="n"/>
      <c r="C385" s="8" t="n"/>
    </row>
    <row r="386">
      <c r="A386" s="7" t="n"/>
      <c r="B386" s="8" t="n"/>
      <c r="C386" s="8" t="n"/>
    </row>
    <row r="387">
      <c r="A387" s="7" t="n"/>
      <c r="B387" s="8" t="n"/>
      <c r="C387" s="8" t="n"/>
    </row>
    <row r="388">
      <c r="A388" s="7" t="n"/>
      <c r="B388" s="8" t="n"/>
      <c r="C388" s="8" t="n"/>
    </row>
    <row r="389">
      <c r="A389" s="7" t="n"/>
      <c r="B389" s="8" t="n"/>
      <c r="C389" s="8" t="n"/>
    </row>
    <row r="390">
      <c r="A390" s="7" t="n"/>
      <c r="B390" s="8" t="n"/>
      <c r="C390" s="8" t="n"/>
    </row>
    <row r="391">
      <c r="A391" s="7" t="n"/>
      <c r="B391" s="8" t="n"/>
      <c r="C391" s="8" t="n"/>
    </row>
    <row r="392">
      <c r="A392" s="7" t="n"/>
      <c r="B392" s="8" t="n"/>
      <c r="C392" s="8" t="n"/>
    </row>
    <row r="393">
      <c r="A393" s="7" t="n"/>
      <c r="B393" s="8" t="n"/>
      <c r="C393" s="8" t="n"/>
    </row>
    <row r="394">
      <c r="A394" s="7" t="n"/>
      <c r="B394" s="8" t="n"/>
      <c r="C394" s="8" t="n"/>
    </row>
    <row r="395">
      <c r="A395" s="7" t="n"/>
      <c r="B395" s="8" t="n"/>
      <c r="C395" s="8" t="n"/>
    </row>
    <row r="396">
      <c r="A396" s="7" t="n"/>
      <c r="B396" s="8" t="n"/>
      <c r="C396" s="8" t="n"/>
    </row>
    <row r="397">
      <c r="A397" s="7" t="n"/>
      <c r="B397" s="8" t="n"/>
      <c r="C397" s="8" t="n"/>
    </row>
    <row r="398">
      <c r="A398" s="7" t="n"/>
      <c r="B398" s="8" t="n"/>
      <c r="C398" s="8" t="n"/>
    </row>
    <row r="399">
      <c r="A399" s="7" t="n"/>
      <c r="B399" s="8" t="n"/>
      <c r="C399" s="8" t="n"/>
    </row>
    <row r="400">
      <c r="A400" s="7" t="n"/>
      <c r="B400" s="8" t="n"/>
      <c r="C400" s="8" t="n"/>
    </row>
    <row r="401">
      <c r="A401" s="7" t="n"/>
      <c r="B401" s="8" t="n"/>
      <c r="C401" s="8" t="n"/>
    </row>
    <row r="402">
      <c r="A402" s="7" t="n"/>
      <c r="B402" s="8" t="n"/>
      <c r="C402" s="8" t="n"/>
    </row>
    <row r="403">
      <c r="A403" s="7" t="n"/>
      <c r="B403" s="8" t="n"/>
      <c r="C403" s="8" t="n"/>
    </row>
    <row r="404">
      <c r="A404" s="7" t="n"/>
      <c r="B404" s="8" t="n"/>
      <c r="C404" s="8" t="n"/>
    </row>
    <row r="405">
      <c r="A405" s="7" t="n"/>
      <c r="B405" s="8" t="n"/>
      <c r="C405" s="8" t="n"/>
    </row>
    <row r="406">
      <c r="A406" s="7" t="n"/>
      <c r="B406" s="8" t="n"/>
      <c r="C406" s="8" t="n"/>
    </row>
    <row r="407">
      <c r="A407" s="7" t="n"/>
      <c r="B407" s="8" t="n"/>
      <c r="C407" s="8" t="n"/>
    </row>
    <row r="408">
      <c r="A408" s="7" t="n"/>
      <c r="B408" s="8" t="n"/>
      <c r="C408" s="8" t="n"/>
    </row>
    <row r="409">
      <c r="A409" s="7" t="n"/>
      <c r="B409" s="8" t="n"/>
      <c r="C409" s="8" t="n"/>
    </row>
    <row r="410">
      <c r="A410" s="7" t="n"/>
      <c r="B410" s="8" t="n"/>
      <c r="C410" s="8" t="n"/>
    </row>
    <row r="411">
      <c r="A411" s="7" t="n"/>
      <c r="B411" s="8" t="n"/>
      <c r="C411" s="8" t="n"/>
    </row>
    <row r="412">
      <c r="A412" s="7" t="n"/>
      <c r="B412" s="8" t="n"/>
      <c r="C412" s="8" t="n"/>
    </row>
    <row r="413">
      <c r="A413" s="7" t="n"/>
      <c r="B413" s="8" t="n"/>
      <c r="C413" s="8" t="n"/>
    </row>
    <row r="414">
      <c r="A414" s="7" t="n"/>
      <c r="B414" s="8" t="n"/>
      <c r="C414" s="8" t="n"/>
    </row>
    <row r="415">
      <c r="A415" s="7" t="n"/>
      <c r="B415" s="8" t="n"/>
      <c r="C415" s="8" t="n"/>
    </row>
    <row r="416">
      <c r="A416" s="7" t="n"/>
      <c r="B416" s="8" t="n"/>
      <c r="C416" s="8" t="n"/>
    </row>
    <row r="417">
      <c r="A417" s="7" t="n"/>
      <c r="B417" s="8" t="n"/>
      <c r="C417" s="8" t="n"/>
    </row>
    <row r="418">
      <c r="A418" s="7" t="n"/>
      <c r="B418" s="8" t="n"/>
      <c r="C418" s="8" t="n"/>
    </row>
    <row r="419">
      <c r="A419" s="7" t="n"/>
      <c r="B419" s="8" t="n"/>
      <c r="C419" s="8" t="n"/>
    </row>
    <row r="420">
      <c r="A420" s="7" t="n"/>
      <c r="B420" s="8" t="n"/>
      <c r="C420" s="8" t="n"/>
    </row>
    <row r="421">
      <c r="A421" s="7" t="n"/>
      <c r="B421" s="8" t="n"/>
      <c r="C421" s="8" t="n"/>
    </row>
    <row r="422">
      <c r="A422" s="7" t="n"/>
      <c r="B422" s="8" t="n"/>
      <c r="C422" s="8" t="n"/>
    </row>
    <row r="423">
      <c r="A423" s="7" t="n"/>
      <c r="B423" s="8" t="n"/>
      <c r="C423" s="8" t="n"/>
    </row>
    <row r="424">
      <c r="A424" s="7" t="n"/>
      <c r="B424" s="8" t="n"/>
      <c r="C424" s="8" t="n"/>
    </row>
    <row r="425">
      <c r="A425" s="7" t="n"/>
      <c r="B425" s="8" t="n"/>
      <c r="C425" s="8" t="n"/>
    </row>
    <row r="426">
      <c r="A426" s="7" t="n"/>
      <c r="B426" s="8" t="n"/>
      <c r="C426" s="8" t="n"/>
    </row>
    <row r="427">
      <c r="A427" s="7" t="n"/>
      <c r="B427" s="8" t="n"/>
      <c r="C427" s="8" t="n"/>
    </row>
    <row r="428">
      <c r="A428" s="7" t="n"/>
      <c r="B428" s="8" t="n"/>
      <c r="C428" s="8" t="n"/>
    </row>
    <row r="429">
      <c r="A429" s="7" t="n"/>
      <c r="B429" s="8" t="n"/>
      <c r="C429" s="8" t="n"/>
    </row>
    <row r="430">
      <c r="A430" s="7" t="n"/>
      <c r="B430" s="8" t="n"/>
      <c r="C430" s="8" t="n"/>
    </row>
    <row r="431">
      <c r="A431" s="7" t="n"/>
      <c r="B431" s="8" t="n"/>
      <c r="C431" s="8" t="n"/>
    </row>
    <row r="432">
      <c r="A432" s="7" t="n"/>
      <c r="B432" s="8" t="n"/>
      <c r="C432" s="8" t="n"/>
    </row>
    <row r="433">
      <c r="A433" s="7" t="n"/>
      <c r="B433" s="8" t="n"/>
      <c r="C433" s="8" t="n"/>
    </row>
    <row r="434">
      <c r="A434" s="7" t="n"/>
      <c r="B434" s="8" t="n"/>
      <c r="C434" s="8" t="n"/>
    </row>
    <row r="435">
      <c r="A435" s="7" t="n"/>
      <c r="B435" s="8" t="n"/>
      <c r="C435" s="8" t="n"/>
    </row>
    <row r="436">
      <c r="A436" s="7" t="n"/>
      <c r="B436" s="8" t="n"/>
      <c r="C436" s="8" t="n"/>
    </row>
    <row r="437">
      <c r="A437" s="7" t="n"/>
      <c r="B437" s="8" t="n"/>
      <c r="C437" s="8" t="n"/>
    </row>
    <row r="438">
      <c r="A438" s="7" t="n"/>
      <c r="B438" s="8" t="n"/>
      <c r="C438" s="8" t="n"/>
    </row>
    <row r="439">
      <c r="A439" s="7" t="n"/>
      <c r="B439" s="8" t="n"/>
      <c r="C439" s="8" t="n"/>
    </row>
    <row r="440">
      <c r="A440" s="7" t="n"/>
      <c r="B440" s="8" t="n"/>
      <c r="C440" s="8" t="n"/>
    </row>
    <row r="441">
      <c r="A441" s="7" t="n"/>
      <c r="B441" s="8" t="n"/>
      <c r="C441" s="8" t="n"/>
    </row>
    <row r="442">
      <c r="A442" s="7" t="n"/>
      <c r="B442" s="8" t="n"/>
      <c r="C442" s="8" t="n"/>
    </row>
    <row r="443">
      <c r="A443" s="7" t="n"/>
      <c r="B443" s="8" t="n"/>
      <c r="C443" s="8" t="n"/>
    </row>
    <row r="444">
      <c r="A444" s="7" t="n"/>
      <c r="B444" s="8" t="n"/>
      <c r="C444" s="8" t="n"/>
    </row>
    <row r="445">
      <c r="A445" s="7" t="n"/>
      <c r="B445" s="8" t="n"/>
      <c r="C445" s="8" t="n"/>
    </row>
    <row r="446">
      <c r="A446" s="7" t="n"/>
      <c r="B446" s="8" t="n"/>
      <c r="C446" s="8" t="n"/>
    </row>
    <row r="447">
      <c r="A447" s="7" t="n"/>
      <c r="B447" s="8" t="n"/>
      <c r="C447" s="8" t="n"/>
    </row>
    <row r="448">
      <c r="A448" s="7" t="n"/>
      <c r="B448" s="8" t="n"/>
      <c r="C448" s="8" t="n"/>
    </row>
    <row r="449">
      <c r="A449" s="7" t="n"/>
      <c r="B449" s="8" t="n"/>
      <c r="C449" s="8" t="n"/>
    </row>
    <row r="450">
      <c r="A450" s="7" t="n"/>
      <c r="B450" s="8" t="n"/>
      <c r="C450" s="8" t="n"/>
    </row>
    <row r="451">
      <c r="A451" s="7" t="n"/>
      <c r="B451" s="8" t="n"/>
      <c r="C451" s="8" t="n"/>
    </row>
    <row r="452">
      <c r="A452" s="7" t="n"/>
      <c r="B452" s="8" t="n"/>
      <c r="C452" s="8" t="n"/>
    </row>
    <row r="453">
      <c r="A453" s="7" t="n"/>
      <c r="B453" s="8" t="n"/>
      <c r="C453" s="8" t="n"/>
    </row>
    <row r="454">
      <c r="A454" s="7" t="n"/>
      <c r="B454" s="8" t="n"/>
      <c r="C454" s="8" t="n"/>
    </row>
    <row r="455">
      <c r="A455" s="7" t="n"/>
      <c r="B455" s="8" t="n"/>
      <c r="C455" s="8" t="n"/>
    </row>
    <row r="456">
      <c r="A456" s="7" t="n"/>
      <c r="B456" s="8" t="n"/>
      <c r="C456" s="8" t="n"/>
    </row>
    <row r="457">
      <c r="A457" s="7" t="n"/>
      <c r="B457" s="8" t="n"/>
      <c r="C457" s="8" t="n"/>
    </row>
    <row r="458">
      <c r="A458" s="7" t="n"/>
      <c r="B458" s="8" t="n"/>
      <c r="C458" s="8" t="n"/>
    </row>
    <row r="459">
      <c r="A459" s="7" t="n"/>
      <c r="B459" s="8" t="n"/>
      <c r="C459" s="8" t="n"/>
    </row>
    <row r="460">
      <c r="A460" s="7" t="n"/>
      <c r="B460" s="8" t="n"/>
      <c r="C460" s="8" t="n"/>
    </row>
    <row r="461">
      <c r="A461" s="7" t="n"/>
      <c r="B461" s="8" t="n"/>
      <c r="C461" s="8" t="n"/>
    </row>
    <row r="462">
      <c r="A462" s="7" t="n"/>
      <c r="B462" s="8" t="n"/>
      <c r="C462" s="8" t="n"/>
    </row>
    <row r="463">
      <c r="A463" s="7" t="n"/>
      <c r="B463" s="8" t="n"/>
      <c r="C463" s="8" t="n"/>
    </row>
    <row r="464">
      <c r="A464" s="7" t="n"/>
      <c r="B464" s="8" t="n"/>
      <c r="C464" s="8" t="n"/>
    </row>
    <row r="465">
      <c r="A465" s="7" t="n"/>
      <c r="B465" s="8" t="n"/>
      <c r="C465" s="8" t="n"/>
    </row>
    <row r="466">
      <c r="A466" s="7" t="n"/>
      <c r="B466" s="8" t="n"/>
      <c r="C466" s="8" t="n"/>
    </row>
    <row r="467">
      <c r="A467" s="7" t="n"/>
      <c r="B467" s="8" t="n"/>
      <c r="C467" s="8" t="n"/>
    </row>
    <row r="468">
      <c r="A468" s="7" t="n"/>
      <c r="B468" s="8" t="n"/>
      <c r="C468" s="8" t="n"/>
    </row>
    <row r="469">
      <c r="A469" s="7" t="n"/>
      <c r="B469" s="8" t="n"/>
      <c r="C469" s="8" t="n"/>
    </row>
    <row r="470">
      <c r="A470" s="7" t="n"/>
      <c r="B470" s="8" t="n"/>
      <c r="C470" s="8" t="n"/>
    </row>
    <row r="471">
      <c r="A471" s="7" t="n"/>
      <c r="B471" s="8" t="n"/>
      <c r="C471" s="8" t="n"/>
    </row>
    <row r="472">
      <c r="A472" s="7" t="n"/>
      <c r="B472" s="8" t="n"/>
      <c r="C472" s="8" t="n"/>
    </row>
    <row r="473">
      <c r="A473" s="7" t="n"/>
      <c r="B473" s="8" t="n"/>
      <c r="C473" s="8" t="n"/>
    </row>
    <row r="474">
      <c r="A474" s="7" t="n"/>
      <c r="B474" s="8" t="n"/>
      <c r="C474" s="8" t="n"/>
    </row>
    <row r="475">
      <c r="A475" s="7" t="n"/>
      <c r="B475" s="8" t="n"/>
      <c r="C475" s="8" t="n"/>
    </row>
    <row r="476">
      <c r="A476" s="7" t="n"/>
      <c r="B476" s="8" t="n"/>
      <c r="C476" s="8" t="n"/>
    </row>
    <row r="477">
      <c r="A477" s="7" t="n"/>
      <c r="B477" s="8" t="n"/>
      <c r="C477" s="8" t="n"/>
    </row>
    <row r="478">
      <c r="A478" s="7" t="n"/>
      <c r="B478" s="8" t="n"/>
      <c r="C478" s="8" t="n"/>
    </row>
    <row r="479">
      <c r="A479" s="7" t="n"/>
      <c r="B479" s="8" t="n"/>
      <c r="C479" s="8" t="n"/>
    </row>
    <row r="480">
      <c r="A480" s="7" t="n"/>
      <c r="B480" s="8" t="n"/>
      <c r="C480" s="8" t="n"/>
    </row>
    <row r="481">
      <c r="A481" s="7" t="n"/>
      <c r="B481" s="8" t="n"/>
      <c r="C481" s="8" t="n"/>
    </row>
    <row r="482">
      <c r="A482" s="7" t="n"/>
      <c r="B482" s="8" t="n"/>
      <c r="C482" s="8" t="n"/>
    </row>
    <row r="483">
      <c r="A483" s="7" t="n"/>
      <c r="B483" s="8" t="n"/>
      <c r="C483" s="8" t="n"/>
    </row>
    <row r="484">
      <c r="A484" s="7" t="n"/>
      <c r="B484" s="8" t="n"/>
      <c r="C484" s="8" t="n"/>
    </row>
    <row r="485">
      <c r="A485" s="7" t="n"/>
      <c r="B485" s="8" t="n"/>
      <c r="C485" s="8" t="n"/>
    </row>
    <row r="486">
      <c r="A486" s="7" t="n"/>
      <c r="B486" s="8" t="n"/>
      <c r="C486" s="8" t="n"/>
    </row>
    <row r="487">
      <c r="A487" s="7" t="n"/>
      <c r="B487" s="8" t="n"/>
      <c r="C487" s="8" t="n"/>
    </row>
    <row r="488">
      <c r="A488" s="7" t="n"/>
      <c r="B488" s="8" t="n"/>
      <c r="C488" s="8" t="n"/>
    </row>
    <row r="489">
      <c r="A489" s="7" t="n"/>
      <c r="B489" s="8" t="n"/>
      <c r="C489" s="8" t="n"/>
    </row>
    <row r="490">
      <c r="A490" s="7" t="n"/>
      <c r="B490" s="8" t="n"/>
      <c r="C490" s="8" t="n"/>
    </row>
    <row r="491">
      <c r="A491" s="7" t="n"/>
      <c r="B491" s="8" t="n"/>
      <c r="C491" s="8" t="n"/>
    </row>
    <row r="492">
      <c r="A492" s="7" t="n"/>
      <c r="B492" s="8" t="n"/>
      <c r="C492" s="8" t="n"/>
    </row>
    <row r="493">
      <c r="A493" s="7" t="n"/>
      <c r="B493" s="8" t="n"/>
      <c r="C493" s="8" t="n"/>
    </row>
    <row r="494">
      <c r="A494" s="7" t="n"/>
      <c r="B494" s="8" t="n"/>
      <c r="C494" s="8" t="n"/>
    </row>
    <row r="495">
      <c r="A495" s="7" t="n"/>
      <c r="B495" s="8" t="n"/>
      <c r="C495" s="8" t="n"/>
    </row>
    <row r="496">
      <c r="A496" s="7" t="n"/>
      <c r="B496" s="8" t="n"/>
      <c r="C496" s="8" t="n"/>
    </row>
    <row r="497">
      <c r="A497" s="7" t="n"/>
      <c r="B497" s="8" t="n"/>
      <c r="C497" s="8" t="n"/>
    </row>
    <row r="498">
      <c r="A498" s="7" t="n"/>
      <c r="B498" s="8" t="n"/>
      <c r="C498" s="8" t="n"/>
    </row>
    <row r="499">
      <c r="A499" s="7" t="n"/>
      <c r="B499" s="8" t="n"/>
      <c r="C499" s="8" t="n"/>
    </row>
    <row r="500">
      <c r="A500" s="7" t="n"/>
      <c r="B500" s="8" t="n"/>
      <c r="C500" s="8" t="n"/>
    </row>
    <row r="501">
      <c r="A501" s="7" t="n"/>
      <c r="B501" s="8" t="n"/>
      <c r="C501" s="8" t="n"/>
    </row>
    <row r="502">
      <c r="A502" s="7" t="n"/>
      <c r="B502" s="8" t="n"/>
      <c r="C502" s="8" t="n"/>
    </row>
    <row r="503">
      <c r="A503" s="7" t="n"/>
      <c r="B503" s="8" t="n"/>
      <c r="C503" s="8" t="n"/>
    </row>
    <row r="504">
      <c r="A504" s="7" t="n"/>
      <c r="B504" s="8" t="n"/>
      <c r="C504" s="8" t="n"/>
    </row>
    <row r="505">
      <c r="A505" s="7" t="n"/>
      <c r="B505" s="8" t="n"/>
      <c r="C505" s="8" t="n"/>
    </row>
    <row r="506">
      <c r="A506" s="7" t="n"/>
      <c r="B506" s="8" t="n"/>
      <c r="C506" s="8" t="n"/>
    </row>
    <row r="507">
      <c r="A507" s="7" t="n"/>
      <c r="B507" s="8" t="n"/>
      <c r="C507" s="8" t="n"/>
    </row>
    <row r="508">
      <c r="A508" s="7" t="n"/>
      <c r="B508" s="8" t="n"/>
      <c r="C508" s="8" t="n"/>
    </row>
    <row r="509">
      <c r="A509" s="7" t="n"/>
      <c r="B509" s="8" t="n"/>
      <c r="C509" s="8" t="n"/>
    </row>
    <row r="510">
      <c r="A510" s="7" t="n"/>
      <c r="B510" s="8" t="n"/>
      <c r="C510" s="8" t="n"/>
    </row>
    <row r="511">
      <c r="A511" s="7" t="n"/>
      <c r="B511" s="8" t="n"/>
      <c r="C511" s="8" t="n"/>
    </row>
    <row r="512">
      <c r="A512" s="7" t="n"/>
      <c r="B512" s="8" t="n"/>
      <c r="C512" s="8" t="n"/>
    </row>
    <row r="513">
      <c r="A513" s="7" t="n"/>
      <c r="B513" s="8" t="n"/>
      <c r="C513" s="8" t="n"/>
    </row>
    <row r="514">
      <c r="A514" s="7" t="n"/>
      <c r="B514" s="8" t="n"/>
      <c r="C514" s="8" t="n"/>
    </row>
    <row r="515">
      <c r="A515" s="7" t="n"/>
      <c r="B515" s="8" t="n"/>
      <c r="C515" s="8" t="n"/>
    </row>
    <row r="516">
      <c r="A516" s="7" t="n"/>
      <c r="B516" s="8" t="n"/>
      <c r="C516" s="8" t="n"/>
    </row>
    <row r="517">
      <c r="A517" s="7" t="n"/>
      <c r="B517" s="8" t="n"/>
      <c r="C517" s="8" t="n"/>
    </row>
    <row r="518">
      <c r="A518" s="7" t="n"/>
      <c r="B518" s="8" t="n"/>
      <c r="C518" s="8" t="n"/>
    </row>
    <row r="519">
      <c r="A519" s="7" t="n"/>
      <c r="B519" s="8" t="n"/>
      <c r="C519" s="8" t="n"/>
    </row>
    <row r="520">
      <c r="A520" s="7" t="n"/>
      <c r="B520" s="8" t="n"/>
      <c r="C520" s="8" t="n"/>
    </row>
    <row r="521">
      <c r="A521" s="7" t="n"/>
      <c r="B521" s="8" t="n"/>
      <c r="C521" s="8" t="n"/>
    </row>
    <row r="522">
      <c r="A522" s="7" t="n"/>
      <c r="B522" s="8" t="n"/>
      <c r="C522" s="8" t="n"/>
    </row>
    <row r="523">
      <c r="A523" s="7" t="n"/>
      <c r="B523" s="8" t="n"/>
      <c r="C523" s="8" t="n"/>
    </row>
    <row r="524">
      <c r="A524" s="7" t="n"/>
      <c r="B524" s="8" t="n"/>
      <c r="C524" s="8" t="n"/>
    </row>
    <row r="525">
      <c r="A525" s="7" t="n"/>
      <c r="B525" s="8" t="n"/>
      <c r="C525" s="8" t="n"/>
    </row>
    <row r="526">
      <c r="A526" s="7" t="n"/>
      <c r="B526" s="8" t="n"/>
      <c r="C526" s="8" t="n"/>
    </row>
    <row r="527">
      <c r="A527" s="7" t="n"/>
      <c r="B527" s="8" t="n"/>
      <c r="C527" s="8" t="n"/>
    </row>
    <row r="528">
      <c r="A528" s="7" t="n"/>
      <c r="B528" s="8" t="n"/>
      <c r="C528" s="8" t="n"/>
    </row>
    <row r="529">
      <c r="A529" s="7" t="n"/>
      <c r="B529" s="8" t="n"/>
      <c r="C529" s="8" t="n"/>
    </row>
    <row r="530">
      <c r="A530" s="7" t="n"/>
      <c r="B530" s="8" t="n"/>
      <c r="C530" s="8" t="n"/>
    </row>
    <row r="531">
      <c r="A531" s="7" t="n"/>
      <c r="B531" s="8" t="n"/>
      <c r="C531" s="8" t="n"/>
    </row>
    <row r="532">
      <c r="A532" s="7" t="n"/>
      <c r="B532" s="8" t="n"/>
      <c r="C532" s="8" t="n"/>
    </row>
    <row r="533">
      <c r="A533" s="7" t="n"/>
      <c r="B533" s="8" t="n"/>
      <c r="C533" s="8" t="n"/>
    </row>
    <row r="534">
      <c r="A534" s="7" t="n"/>
      <c r="B534" s="8" t="n"/>
      <c r="C534" s="8" t="n"/>
    </row>
    <row r="535">
      <c r="A535" s="7" t="n"/>
      <c r="B535" s="8" t="n"/>
      <c r="C535" s="8" t="n"/>
    </row>
    <row r="536">
      <c r="A536" s="7" t="n"/>
      <c r="B536" s="8" t="n"/>
      <c r="C536" s="8" t="n"/>
    </row>
    <row r="537">
      <c r="A537" s="7" t="n"/>
      <c r="B537" s="8" t="n"/>
      <c r="C537" s="8" t="n"/>
    </row>
    <row r="538">
      <c r="A538" s="7" t="n"/>
      <c r="B538" s="8" t="n"/>
      <c r="C538" s="8" t="n"/>
    </row>
    <row r="539">
      <c r="A539" s="7" t="n"/>
      <c r="B539" s="8" t="n"/>
      <c r="C539" s="8" t="n"/>
    </row>
    <row r="540">
      <c r="A540" s="7" t="n"/>
      <c r="B540" s="8" t="n"/>
      <c r="C540" s="8" t="n"/>
    </row>
    <row r="541">
      <c r="A541" s="7" t="n"/>
      <c r="B541" s="8" t="n"/>
      <c r="C541" s="8" t="n"/>
    </row>
    <row r="542">
      <c r="A542" s="7" t="n"/>
      <c r="B542" s="8" t="n"/>
      <c r="C542" s="8" t="n"/>
    </row>
    <row r="543">
      <c r="A543" s="7" t="n"/>
      <c r="B543" s="8" t="n"/>
      <c r="C543" s="8" t="n"/>
    </row>
    <row r="544">
      <c r="A544" s="7" t="n"/>
      <c r="B544" s="8" t="n"/>
      <c r="C544" s="8" t="n"/>
    </row>
    <row r="545">
      <c r="A545" s="7" t="n"/>
      <c r="B545" s="8" t="n"/>
      <c r="C545" s="8" t="n"/>
    </row>
    <row r="546">
      <c r="A546" s="7" t="n"/>
      <c r="B546" s="8" t="n"/>
      <c r="C546" s="8" t="n"/>
    </row>
    <row r="547">
      <c r="A547" s="7" t="n"/>
      <c r="B547" s="8" t="n"/>
      <c r="C547" s="8" t="n"/>
    </row>
    <row r="548">
      <c r="A548" s="7" t="n"/>
      <c r="B548" s="8" t="n"/>
      <c r="C548" s="8" t="n"/>
    </row>
    <row r="549">
      <c r="A549" s="7" t="n"/>
      <c r="B549" s="8" t="n"/>
      <c r="C549" s="8" t="n"/>
    </row>
    <row r="550">
      <c r="A550" s="7" t="n"/>
      <c r="B550" s="8" t="n"/>
      <c r="C550" s="8" t="n"/>
    </row>
    <row r="551">
      <c r="A551" s="7" t="n"/>
      <c r="B551" s="8" t="n"/>
      <c r="C551" s="8" t="n"/>
    </row>
    <row r="552">
      <c r="A552" s="7" t="n"/>
      <c r="B552" s="8" t="n"/>
      <c r="C552" s="8" t="n"/>
    </row>
    <row r="553">
      <c r="A553" s="7" t="n"/>
      <c r="B553" s="8" t="n"/>
      <c r="C553" s="8" t="n"/>
    </row>
    <row r="554">
      <c r="A554" s="7" t="n"/>
      <c r="B554" s="8" t="n"/>
      <c r="C554" s="8" t="n"/>
    </row>
    <row r="555">
      <c r="A555" s="7" t="n"/>
      <c r="B555" s="8" t="n"/>
      <c r="C555" s="8" t="n"/>
    </row>
    <row r="556">
      <c r="A556" s="7" t="n"/>
      <c r="B556" s="8" t="n"/>
      <c r="C556" s="8" t="n"/>
    </row>
    <row r="557">
      <c r="A557" s="7" t="n"/>
      <c r="B557" s="8" t="n"/>
      <c r="C557" s="8" t="n"/>
    </row>
    <row r="558">
      <c r="A558" s="7" t="n"/>
      <c r="B558" s="8" t="n"/>
      <c r="C558" s="8" t="n"/>
    </row>
    <row r="559">
      <c r="A559" s="7" t="n"/>
      <c r="B559" s="8" t="n"/>
      <c r="C559" s="8" t="n"/>
    </row>
    <row r="560">
      <c r="A560" s="7" t="n"/>
      <c r="B560" s="8" t="n"/>
      <c r="C560" s="8" t="n"/>
    </row>
    <row r="561">
      <c r="A561" s="7" t="n"/>
      <c r="B561" s="8" t="n"/>
      <c r="C561" s="8" t="n"/>
    </row>
    <row r="562">
      <c r="A562" s="7" t="n"/>
      <c r="B562" s="8" t="n"/>
      <c r="C562" s="8" t="n"/>
    </row>
    <row r="563">
      <c r="A563" s="7" t="n"/>
      <c r="B563" s="8" t="n"/>
      <c r="C563" s="8" t="n"/>
    </row>
    <row r="564">
      <c r="A564" s="7" t="n"/>
      <c r="B564" s="8" t="n"/>
      <c r="C564" s="8" t="n"/>
    </row>
    <row r="565">
      <c r="A565" s="7" t="n"/>
      <c r="B565" s="8" t="n"/>
      <c r="C565" s="8" t="n"/>
    </row>
    <row r="566">
      <c r="A566" s="7" t="n"/>
      <c r="B566" s="8" t="n"/>
      <c r="C566" s="8" t="n"/>
    </row>
    <row r="567">
      <c r="A567" s="7" t="n"/>
      <c r="B567" s="8" t="n"/>
      <c r="C567" s="8" t="n"/>
    </row>
    <row r="568">
      <c r="A568" s="7" t="n"/>
      <c r="B568" s="8" t="n"/>
      <c r="C568" s="8" t="n"/>
    </row>
    <row r="569">
      <c r="A569" s="7" t="n"/>
      <c r="B569" s="8" t="n"/>
      <c r="C569" s="8" t="n"/>
    </row>
    <row r="570">
      <c r="A570" s="7" t="n"/>
      <c r="B570" s="8" t="n"/>
      <c r="C570" s="8" t="n"/>
    </row>
    <row r="571">
      <c r="A571" s="7" t="n"/>
      <c r="B571" s="8" t="n"/>
      <c r="C571" s="8" t="n"/>
    </row>
    <row r="572">
      <c r="A572" s="7" t="n"/>
      <c r="B572" s="8" t="n"/>
      <c r="C572" s="8" t="n"/>
    </row>
    <row r="573">
      <c r="A573" s="7" t="n"/>
      <c r="B573" s="8" t="n"/>
      <c r="C573" s="8" t="n"/>
    </row>
    <row r="574">
      <c r="A574" s="7" t="n"/>
      <c r="B574" s="8" t="n"/>
      <c r="C574" s="8" t="n"/>
    </row>
    <row r="575">
      <c r="A575" s="7" t="n"/>
      <c r="B575" s="8" t="n"/>
      <c r="C575" s="8" t="n"/>
    </row>
    <row r="576">
      <c r="A576" s="7" t="n"/>
      <c r="B576" s="8" t="n"/>
      <c r="C576" s="8" t="n"/>
    </row>
    <row r="577">
      <c r="A577" s="7" t="n"/>
      <c r="B577" s="8" t="n"/>
      <c r="C577" s="8" t="n"/>
    </row>
    <row r="578">
      <c r="A578" s="7" t="n"/>
      <c r="B578" s="8" t="n"/>
      <c r="C578" s="8" t="n"/>
    </row>
    <row r="579">
      <c r="A579" s="7" t="n"/>
      <c r="B579" s="8" t="n"/>
      <c r="C579" s="8" t="n"/>
    </row>
    <row r="580">
      <c r="A580" s="7" t="n"/>
      <c r="B580" s="8" t="n"/>
      <c r="C580" s="8" t="n"/>
    </row>
    <row r="581">
      <c r="A581" s="7" t="n"/>
      <c r="B581" s="8" t="n"/>
      <c r="C581" s="8" t="n"/>
    </row>
    <row r="582">
      <c r="A582" s="7" t="n"/>
      <c r="B582" s="8" t="n"/>
      <c r="C582" s="8" t="n"/>
    </row>
    <row r="583">
      <c r="A583" s="7" t="n"/>
      <c r="B583" s="8" t="n"/>
      <c r="C583" s="8" t="n"/>
    </row>
    <row r="584">
      <c r="A584" s="7" t="n"/>
      <c r="B584" s="8" t="n"/>
      <c r="C584" s="8" t="n"/>
    </row>
    <row r="585">
      <c r="A585" s="7" t="n"/>
      <c r="B585" s="8" t="n"/>
      <c r="C585" s="8" t="n"/>
    </row>
    <row r="586">
      <c r="A586" s="7" t="n"/>
      <c r="B586" s="8" t="n"/>
      <c r="C586" s="8" t="n"/>
    </row>
    <row r="587">
      <c r="A587" s="7" t="n"/>
      <c r="B587" s="8" t="n"/>
      <c r="C587" s="8" t="n"/>
    </row>
    <row r="588">
      <c r="A588" s="7" t="n"/>
      <c r="B588" s="8" t="n"/>
      <c r="C588" s="8" t="n"/>
    </row>
    <row r="589">
      <c r="A589" s="7" t="n"/>
      <c r="B589" s="8" t="n"/>
      <c r="C589" s="8" t="n"/>
    </row>
    <row r="590">
      <c r="A590" s="7" t="n"/>
      <c r="B590" s="8" t="n"/>
      <c r="C590" s="8" t="n"/>
    </row>
    <row r="591">
      <c r="A591" s="7" t="n"/>
      <c r="B591" s="8" t="n"/>
      <c r="C591" s="8" t="n"/>
    </row>
    <row r="592">
      <c r="A592" s="7" t="n"/>
      <c r="B592" s="8" t="n"/>
      <c r="C592" s="8" t="n"/>
    </row>
    <row r="593">
      <c r="A593" s="7" t="n"/>
      <c r="B593" s="8" t="n"/>
      <c r="C593" s="8" t="n"/>
    </row>
    <row r="594">
      <c r="A594" s="7" t="n"/>
      <c r="B594" s="8" t="n"/>
      <c r="C594" s="8" t="n"/>
    </row>
    <row r="595">
      <c r="A595" s="7" t="n"/>
      <c r="B595" s="8" t="n"/>
      <c r="C595" s="8" t="n"/>
    </row>
    <row r="596">
      <c r="A596" s="7" t="n"/>
      <c r="B596" s="8" t="n"/>
      <c r="C596" s="8" t="n"/>
    </row>
    <row r="597">
      <c r="A597" s="7" t="n"/>
      <c r="B597" s="8" t="n"/>
      <c r="C597" s="8" t="n"/>
    </row>
    <row r="598">
      <c r="A598" s="7" t="n"/>
      <c r="B598" s="8" t="n"/>
      <c r="C598" s="8" t="n"/>
    </row>
    <row r="599">
      <c r="A599" s="7" t="n"/>
      <c r="B599" s="8" t="n"/>
      <c r="C599" s="8" t="n"/>
    </row>
    <row r="600">
      <c r="A600" s="7" t="n"/>
      <c r="B600" s="8" t="n"/>
      <c r="C600" s="8" t="n"/>
    </row>
    <row r="601">
      <c r="A601" s="7" t="n"/>
      <c r="B601" s="8" t="n"/>
      <c r="C601" s="8" t="n"/>
    </row>
    <row r="602">
      <c r="A602" s="7" t="n"/>
      <c r="B602" s="8" t="n"/>
      <c r="C602" s="8" t="n"/>
    </row>
    <row r="603">
      <c r="A603" s="7" t="n"/>
      <c r="B603" s="8" t="n"/>
      <c r="C603" s="8" t="n"/>
    </row>
    <row r="604">
      <c r="A604" s="7" t="n"/>
      <c r="B604" s="8" t="n"/>
      <c r="C604" s="8" t="n"/>
    </row>
    <row r="605">
      <c r="A605" s="7" t="n"/>
      <c r="B605" s="8" t="n"/>
      <c r="C605" s="8" t="n"/>
    </row>
    <row r="606">
      <c r="A606" s="7" t="n"/>
      <c r="B606" s="8" t="n"/>
      <c r="C606" s="8" t="n"/>
    </row>
    <row r="607">
      <c r="A607" s="7" t="n"/>
      <c r="B607" s="8" t="n"/>
      <c r="C607" s="8" t="n"/>
    </row>
    <row r="608">
      <c r="A608" s="7" t="n"/>
      <c r="B608" s="8" t="n"/>
      <c r="C608" s="8" t="n"/>
    </row>
    <row r="609">
      <c r="A609" s="7" t="n"/>
      <c r="B609" s="8" t="n"/>
      <c r="C609" s="8" t="n"/>
    </row>
    <row r="610">
      <c r="A610" s="7" t="n"/>
      <c r="B610" s="8" t="n"/>
      <c r="C610" s="8" t="n"/>
    </row>
    <row r="611">
      <c r="A611" s="7" t="n"/>
      <c r="B611" s="8" t="n"/>
      <c r="C611" s="8" t="n"/>
    </row>
    <row r="612">
      <c r="A612" s="7" t="n"/>
      <c r="B612" s="8" t="n"/>
      <c r="C612" s="8" t="n"/>
    </row>
    <row r="613">
      <c r="A613" s="7" t="n"/>
      <c r="B613" s="8" t="n"/>
      <c r="C613" s="8" t="n"/>
    </row>
    <row r="614">
      <c r="A614" s="7" t="n"/>
      <c r="B614" s="8" t="n"/>
      <c r="C614" s="8" t="n"/>
    </row>
    <row r="615">
      <c r="A615" s="7" t="n"/>
      <c r="B615" s="8" t="n"/>
      <c r="C615" s="8" t="n"/>
    </row>
    <row r="616">
      <c r="A616" s="7" t="n"/>
      <c r="B616" s="8" t="n"/>
      <c r="C616" s="8" t="n"/>
    </row>
    <row r="617">
      <c r="A617" s="7" t="n"/>
      <c r="B617" s="8" t="n"/>
      <c r="C617" s="8" t="n"/>
    </row>
    <row r="618">
      <c r="A618" s="7" t="n"/>
      <c r="B618" s="8" t="n"/>
      <c r="C618" s="8" t="n"/>
    </row>
    <row r="619">
      <c r="A619" s="7" t="n"/>
      <c r="B619" s="8" t="n"/>
      <c r="C619" s="8" t="n"/>
    </row>
    <row r="620">
      <c r="A620" s="7" t="n"/>
      <c r="B620" s="8" t="n"/>
      <c r="C620" s="8" t="n"/>
    </row>
    <row r="621">
      <c r="A621" s="7" t="n"/>
      <c r="B621" s="8" t="n"/>
      <c r="C621" s="8" t="n"/>
    </row>
    <row r="622">
      <c r="A622" s="7" t="n"/>
      <c r="B622" s="8" t="n"/>
      <c r="C622" s="8" t="n"/>
    </row>
    <row r="623">
      <c r="A623" s="7" t="n"/>
      <c r="B623" s="8" t="n"/>
      <c r="C623" s="8" t="n"/>
    </row>
    <row r="624">
      <c r="A624" s="7" t="n"/>
      <c r="B624" s="8" t="n"/>
      <c r="C624" s="8" t="n"/>
    </row>
    <row r="625">
      <c r="A625" s="7" t="n"/>
      <c r="B625" s="8" t="n"/>
      <c r="C625" s="8" t="n"/>
    </row>
    <row r="626">
      <c r="A626" s="7" t="n"/>
      <c r="B626" s="8" t="n"/>
      <c r="C626" s="8" t="n"/>
    </row>
    <row r="627">
      <c r="A627" s="7" t="n"/>
      <c r="B627" s="8" t="n"/>
      <c r="C627" s="8" t="n"/>
    </row>
    <row r="628">
      <c r="A628" s="7" t="n"/>
      <c r="B628" s="8" t="n"/>
      <c r="C628" s="8" t="n"/>
    </row>
    <row r="629">
      <c r="A629" s="7" t="n"/>
      <c r="B629" s="8" t="n"/>
      <c r="C629" s="8" t="n"/>
    </row>
    <row r="630">
      <c r="A630" s="7" t="n"/>
      <c r="B630" s="8" t="n"/>
      <c r="C630" s="8" t="n"/>
    </row>
    <row r="631">
      <c r="A631" s="7" t="n"/>
      <c r="B631" s="8" t="n"/>
      <c r="C631" s="8" t="n"/>
    </row>
    <row r="632">
      <c r="A632" s="7" t="n"/>
      <c r="B632" s="8" t="n"/>
      <c r="C632" s="8" t="n"/>
    </row>
    <row r="633">
      <c r="A633" s="7" t="n"/>
      <c r="B633" s="8" t="n"/>
      <c r="C633" s="8" t="n"/>
    </row>
    <row r="634">
      <c r="A634" s="7" t="n"/>
      <c r="B634" s="8" t="n"/>
      <c r="C634" s="8" t="n"/>
    </row>
    <row r="635">
      <c r="A635" s="7" t="n"/>
      <c r="B635" s="8" t="n"/>
      <c r="C635" s="8" t="n"/>
    </row>
    <row r="636">
      <c r="A636" s="7" t="n"/>
      <c r="B636" s="8" t="n"/>
      <c r="C636" s="8" t="n"/>
    </row>
    <row r="637">
      <c r="A637" s="7" t="n"/>
      <c r="B637" s="8" t="n"/>
      <c r="C637" s="8" t="n"/>
    </row>
    <row r="638">
      <c r="A638" s="7" t="n"/>
      <c r="B638" s="8" t="n"/>
      <c r="C638" s="8" t="n"/>
    </row>
    <row r="639">
      <c r="A639" s="7" t="n"/>
      <c r="B639" s="8" t="n"/>
      <c r="C639" s="8" t="n"/>
    </row>
    <row r="640">
      <c r="A640" s="7" t="n"/>
      <c r="B640" s="8" t="n"/>
      <c r="C640" s="8" t="n"/>
    </row>
    <row r="641">
      <c r="A641" s="7" t="n"/>
      <c r="B641" s="8" t="n"/>
      <c r="C641" s="8" t="n"/>
    </row>
    <row r="642">
      <c r="A642" s="7" t="n"/>
      <c r="B642" s="8" t="n"/>
      <c r="C642" s="8" t="n"/>
    </row>
    <row r="643">
      <c r="A643" s="7" t="n"/>
      <c r="B643" s="8" t="n"/>
      <c r="C643" s="8" t="n"/>
    </row>
    <row r="644">
      <c r="A644" s="7" t="n"/>
      <c r="B644" s="8" t="n"/>
      <c r="C644" s="8" t="n"/>
    </row>
    <row r="645">
      <c r="A645" s="7" t="n"/>
      <c r="B645" s="8" t="n"/>
      <c r="C645" s="8" t="n"/>
    </row>
    <row r="646">
      <c r="A646" s="7" t="n"/>
      <c r="B646" s="8" t="n"/>
      <c r="C646" s="8" t="n"/>
    </row>
    <row r="647">
      <c r="A647" s="7" t="n"/>
      <c r="B647" s="8" t="n"/>
      <c r="C647" s="8" t="n"/>
    </row>
    <row r="648">
      <c r="A648" s="7" t="n"/>
      <c r="B648" s="8" t="n"/>
      <c r="C648" s="8" t="n"/>
    </row>
    <row r="649">
      <c r="A649" s="7" t="n"/>
      <c r="B649" s="8" t="n"/>
      <c r="C649" s="8" t="n"/>
    </row>
    <row r="650">
      <c r="A650" s="7" t="n"/>
      <c r="B650" s="8" t="n"/>
      <c r="C650" s="8" t="n"/>
    </row>
    <row r="651">
      <c r="A651" s="7" t="n"/>
      <c r="B651" s="8" t="n"/>
      <c r="C651" s="8" t="n"/>
    </row>
    <row r="652">
      <c r="A652" s="7" t="n"/>
      <c r="B652" s="8" t="n"/>
      <c r="C652" s="8" t="n"/>
    </row>
    <row r="653">
      <c r="A653" s="7" t="n"/>
      <c r="B653" s="8" t="n"/>
      <c r="C653" s="8" t="n"/>
    </row>
    <row r="654">
      <c r="A654" s="7" t="n"/>
      <c r="B654" s="8" t="n"/>
      <c r="C654" s="8" t="n"/>
    </row>
    <row r="655">
      <c r="A655" s="7" t="n"/>
      <c r="B655" s="8" t="n"/>
      <c r="C655" s="8" t="n"/>
    </row>
    <row r="656">
      <c r="A656" s="7" t="n"/>
      <c r="B656" s="8" t="n"/>
      <c r="C656" s="8" t="n"/>
    </row>
    <row r="657">
      <c r="A657" s="7" t="n"/>
      <c r="B657" s="8" t="n"/>
      <c r="C657" s="8" t="n"/>
    </row>
    <row r="658">
      <c r="A658" s="7" t="n"/>
      <c r="B658" s="8" t="n"/>
      <c r="C658" s="8" t="n"/>
    </row>
    <row r="659">
      <c r="A659" s="7" t="n"/>
      <c r="B659" s="8" t="n"/>
      <c r="C659" s="8" t="n"/>
    </row>
    <row r="660">
      <c r="A660" s="7" t="n"/>
      <c r="B660" s="8" t="n"/>
      <c r="C660" s="8" t="n"/>
    </row>
    <row r="661">
      <c r="A661" s="7" t="n"/>
      <c r="B661" s="8" t="n"/>
      <c r="C661" s="8" t="n"/>
    </row>
    <row r="662">
      <c r="A662" s="7" t="n"/>
      <c r="B662" s="8" t="n"/>
      <c r="C662" s="8" t="n"/>
    </row>
    <row r="663">
      <c r="A663" s="7" t="n"/>
      <c r="B663" s="8" t="n"/>
      <c r="C663" s="8" t="n"/>
    </row>
    <row r="664">
      <c r="A664" s="7" t="n"/>
      <c r="B664" s="8" t="n"/>
      <c r="C664" s="8" t="n"/>
    </row>
    <row r="665">
      <c r="A665" s="7" t="n"/>
      <c r="B665" s="8" t="n"/>
      <c r="C665" s="8" t="n"/>
    </row>
    <row r="666">
      <c r="A666" s="7" t="n"/>
      <c r="B666" s="8" t="n"/>
      <c r="C666" s="8" t="n"/>
    </row>
    <row r="667">
      <c r="A667" s="7" t="n"/>
      <c r="B667" s="8" t="n"/>
      <c r="C667" s="8" t="n"/>
    </row>
    <row r="668">
      <c r="A668" s="7" t="n"/>
      <c r="B668" s="8" t="n"/>
      <c r="C668" s="8" t="n"/>
    </row>
    <row r="669">
      <c r="A669" s="7" t="n"/>
      <c r="B669" s="8" t="n"/>
      <c r="C669" s="8" t="n"/>
    </row>
    <row r="670">
      <c r="A670" s="7" t="n"/>
      <c r="B670" s="8" t="n"/>
      <c r="C670" s="8" t="n"/>
    </row>
    <row r="671">
      <c r="A671" s="7" t="n"/>
      <c r="B671" s="8" t="n"/>
      <c r="C671" s="8" t="n"/>
    </row>
    <row r="672">
      <c r="A672" s="7" t="n"/>
      <c r="B672" s="8" t="n"/>
      <c r="C672" s="8" t="n"/>
    </row>
    <row r="673">
      <c r="A673" s="7" t="n"/>
      <c r="B673" s="8" t="n"/>
      <c r="C673" s="8" t="n"/>
    </row>
    <row r="674">
      <c r="A674" s="7" t="n"/>
      <c r="B674" s="8" t="n"/>
      <c r="C674" s="8" t="n"/>
    </row>
    <row r="675">
      <c r="A675" s="7" t="n"/>
      <c r="B675" s="8" t="n"/>
      <c r="C675" s="8" t="n"/>
    </row>
    <row r="676">
      <c r="A676" s="7" t="n"/>
      <c r="B676" s="8" t="n"/>
      <c r="C676" s="8" t="n"/>
    </row>
    <row r="677">
      <c r="A677" s="7" t="n"/>
      <c r="B677" s="8" t="n"/>
      <c r="C677" s="8" t="n"/>
    </row>
    <row r="678">
      <c r="A678" s="7" t="n"/>
      <c r="B678" s="8" t="n"/>
      <c r="C678" s="8" t="n"/>
    </row>
    <row r="679">
      <c r="A679" s="7" t="n"/>
      <c r="B679" s="8" t="n"/>
      <c r="C679" s="8" t="n"/>
    </row>
    <row r="680">
      <c r="A680" s="7" t="n"/>
      <c r="B680" s="8" t="n"/>
      <c r="C680" s="8" t="n"/>
    </row>
    <row r="681">
      <c r="A681" s="7" t="n"/>
      <c r="B681" s="8" t="n"/>
      <c r="C681" s="8" t="n"/>
    </row>
    <row r="682">
      <c r="A682" s="7" t="n"/>
      <c r="B682" s="8" t="n"/>
      <c r="C682" s="8" t="n"/>
    </row>
    <row r="683">
      <c r="A683" s="7" t="n"/>
      <c r="B683" s="8" t="n"/>
      <c r="C683" s="8" t="n"/>
    </row>
    <row r="684">
      <c r="A684" s="7" t="n"/>
      <c r="B684" s="8" t="n"/>
      <c r="C684" s="8" t="n"/>
    </row>
    <row r="685">
      <c r="A685" s="7" t="n"/>
      <c r="B685" s="8" t="n"/>
      <c r="C685" s="8" t="n"/>
    </row>
    <row r="686">
      <c r="A686" s="7" t="n"/>
      <c r="B686" s="8" t="n"/>
      <c r="C686" s="8" t="n"/>
    </row>
    <row r="687">
      <c r="A687" s="7" t="n"/>
      <c r="B687" s="8" t="n"/>
      <c r="C687" s="8" t="n"/>
    </row>
    <row r="688">
      <c r="A688" s="7" t="n"/>
      <c r="B688" s="8" t="n"/>
      <c r="C688" s="8" t="n"/>
    </row>
    <row r="689">
      <c r="A689" s="7" t="n"/>
      <c r="B689" s="8" t="n"/>
      <c r="C689" s="8" t="n"/>
    </row>
    <row r="690">
      <c r="A690" s="7" t="n"/>
      <c r="B690" s="8" t="n"/>
      <c r="C690" s="8" t="n"/>
    </row>
    <row r="691">
      <c r="A691" s="7" t="n"/>
      <c r="B691" s="8" t="n"/>
      <c r="C691" s="8" t="n"/>
    </row>
    <row r="692">
      <c r="A692" s="7" t="n"/>
      <c r="B692" s="8" t="n"/>
      <c r="C692" s="8" t="n"/>
    </row>
    <row r="693">
      <c r="A693" s="7" t="n"/>
      <c r="B693" s="8" t="n"/>
      <c r="C693" s="8" t="n"/>
    </row>
    <row r="694">
      <c r="A694" s="7" t="n"/>
      <c r="B694" s="8" t="n"/>
      <c r="C694" s="8" t="n"/>
    </row>
    <row r="695">
      <c r="A695" s="7" t="n"/>
      <c r="B695" s="8" t="n"/>
      <c r="C695" s="8" t="n"/>
    </row>
    <row r="696">
      <c r="A696" s="7" t="n"/>
      <c r="B696" s="8" t="n"/>
      <c r="C696" s="8" t="n"/>
    </row>
    <row r="697">
      <c r="A697" s="7" t="n"/>
      <c r="B697" s="8" t="n"/>
      <c r="C697" s="8" t="n"/>
    </row>
    <row r="698">
      <c r="A698" s="7" t="n"/>
      <c r="B698" s="8" t="n"/>
      <c r="C698" s="8" t="n"/>
    </row>
    <row r="699">
      <c r="A699" s="7" t="n"/>
      <c r="B699" s="8" t="n"/>
      <c r="C699" s="8" t="n"/>
    </row>
    <row r="700">
      <c r="A700" s="7" t="n"/>
      <c r="B700" s="8" t="n"/>
      <c r="C700" s="8" t="n"/>
    </row>
    <row r="701">
      <c r="A701" s="7" t="n"/>
      <c r="B701" s="8" t="n"/>
      <c r="C701" s="8" t="n"/>
    </row>
    <row r="702">
      <c r="A702" s="7" t="n"/>
      <c r="B702" s="8" t="n"/>
      <c r="C702" s="8" t="n"/>
    </row>
    <row r="703">
      <c r="A703" s="7" t="n"/>
      <c r="B703" s="8" t="n"/>
      <c r="C703" s="8" t="n"/>
    </row>
    <row r="704">
      <c r="A704" s="7" t="n"/>
      <c r="B704" s="8" t="n"/>
      <c r="C704" s="8" t="n"/>
    </row>
    <row r="705">
      <c r="A705" s="7" t="n"/>
      <c r="B705" s="8" t="n"/>
      <c r="C705" s="8" t="n"/>
    </row>
    <row r="706">
      <c r="A706" s="7" t="n"/>
      <c r="B706" s="8" t="n"/>
      <c r="C706" s="8" t="n"/>
    </row>
    <row r="707">
      <c r="A707" s="7" t="n"/>
      <c r="B707" s="8" t="n"/>
      <c r="C707" s="8" t="n"/>
    </row>
    <row r="708">
      <c r="A708" s="7" t="n"/>
      <c r="B708" s="8" t="n"/>
      <c r="C708" s="8" t="n"/>
    </row>
    <row r="709">
      <c r="A709" s="7" t="n"/>
      <c r="B709" s="8" t="n"/>
      <c r="C709" s="8" t="n"/>
    </row>
    <row r="710">
      <c r="A710" s="7" t="n"/>
      <c r="B710" s="8" t="n"/>
      <c r="C710" s="8" t="n"/>
    </row>
    <row r="711">
      <c r="A711" s="7" t="n"/>
      <c r="B711" s="8" t="n"/>
      <c r="C711" s="8" t="n"/>
    </row>
    <row r="712">
      <c r="A712" s="7" t="n"/>
      <c r="B712" s="8" t="n"/>
      <c r="C712" s="8" t="n"/>
    </row>
    <row r="713">
      <c r="A713" s="7" t="n"/>
      <c r="B713" s="8" t="n"/>
      <c r="C713" s="8" t="n"/>
    </row>
    <row r="714">
      <c r="A714" s="7" t="n"/>
      <c r="B714" s="8" t="n"/>
      <c r="C714" s="8" t="n"/>
    </row>
    <row r="715">
      <c r="A715" s="7" t="n"/>
      <c r="B715" s="8" t="n"/>
      <c r="C715" s="8" t="n"/>
    </row>
    <row r="716">
      <c r="A716" s="7" t="n"/>
      <c r="B716" s="8" t="n"/>
      <c r="C716" s="8" t="n"/>
    </row>
    <row r="717">
      <c r="A717" s="7" t="n"/>
      <c r="B717" s="8" t="n"/>
      <c r="C717" s="8" t="n"/>
    </row>
    <row r="718">
      <c r="A718" s="7" t="n"/>
      <c r="B718" s="8" t="n"/>
      <c r="C718" s="8" t="n"/>
    </row>
    <row r="719">
      <c r="A719" s="7" t="n"/>
      <c r="B719" s="8" t="n"/>
      <c r="C719" s="8" t="n"/>
    </row>
    <row r="720">
      <c r="A720" s="7" t="n"/>
      <c r="B720" s="8" t="n"/>
      <c r="C720" s="8" t="n"/>
    </row>
    <row r="721">
      <c r="A721" s="7" t="n"/>
      <c r="B721" s="8" t="n"/>
      <c r="C721" s="8" t="n"/>
    </row>
    <row r="722">
      <c r="A722" s="7" t="n"/>
      <c r="B722" s="8" t="n"/>
      <c r="C722" s="8" t="n"/>
    </row>
    <row r="723">
      <c r="A723" s="7" t="n"/>
      <c r="B723" s="8" t="n"/>
      <c r="C723" s="8" t="n"/>
    </row>
    <row r="724">
      <c r="A724" s="7" t="n"/>
      <c r="B724" s="8" t="n"/>
      <c r="C724" s="8" t="n"/>
    </row>
    <row r="725">
      <c r="A725" s="7" t="n"/>
      <c r="B725" s="8" t="n"/>
      <c r="C725" s="8" t="n"/>
    </row>
    <row r="726">
      <c r="A726" s="7" t="n"/>
      <c r="B726" s="8" t="n"/>
      <c r="C726" s="8" t="n"/>
    </row>
    <row r="727">
      <c r="A727" s="7" t="n"/>
      <c r="B727" s="8" t="n"/>
      <c r="C727" s="8" t="n"/>
    </row>
    <row r="728">
      <c r="A728" s="7" t="n"/>
      <c r="B728" s="8" t="n"/>
      <c r="C728" s="8" t="n"/>
    </row>
    <row r="729">
      <c r="A729" s="7" t="n"/>
      <c r="B729" s="8" t="n"/>
      <c r="C729" s="8" t="n"/>
    </row>
    <row r="730">
      <c r="A730" s="7" t="n"/>
      <c r="B730" s="8" t="n"/>
      <c r="C730" s="8" t="n"/>
    </row>
    <row r="731">
      <c r="A731" s="7" t="n"/>
      <c r="B731" s="8" t="n"/>
      <c r="C731" s="8" t="n"/>
    </row>
    <row r="732">
      <c r="A732" s="7" t="n"/>
      <c r="B732" s="8" t="n"/>
      <c r="C732" s="8" t="n"/>
    </row>
    <row r="733">
      <c r="A733" s="7" t="n"/>
      <c r="B733" s="8" t="n"/>
      <c r="C733" s="8" t="n"/>
    </row>
    <row r="734">
      <c r="A734" s="7" t="n"/>
      <c r="B734" s="8" t="n"/>
      <c r="C734" s="8" t="n"/>
    </row>
    <row r="735">
      <c r="A735" s="7" t="n"/>
      <c r="B735" s="8" t="n"/>
      <c r="C735" s="8" t="n"/>
    </row>
    <row r="736">
      <c r="A736" s="7" t="n"/>
      <c r="B736" s="8" t="n"/>
      <c r="C736" s="8" t="n"/>
    </row>
    <row r="737">
      <c r="A737" s="7" t="n"/>
      <c r="B737" s="8" t="n"/>
      <c r="C737" s="8" t="n"/>
    </row>
    <row r="738">
      <c r="A738" s="7" t="n"/>
      <c r="B738" s="8" t="n"/>
      <c r="C738" s="8" t="n"/>
    </row>
    <row r="739">
      <c r="A739" s="7" t="n"/>
      <c r="B739" s="8" t="n"/>
      <c r="C739" s="8" t="n"/>
    </row>
    <row r="740">
      <c r="A740" s="7" t="n"/>
      <c r="B740" s="8" t="n"/>
      <c r="C740" s="8" t="n"/>
    </row>
    <row r="741">
      <c r="A741" s="7" t="n"/>
      <c r="B741" s="8" t="n"/>
      <c r="C741" s="8" t="n"/>
    </row>
    <row r="742">
      <c r="A742" s="7" t="n"/>
      <c r="B742" s="8" t="n"/>
      <c r="C742" s="8" t="n"/>
    </row>
    <row r="743">
      <c r="A743" s="7" t="n"/>
      <c r="B743" s="8" t="n"/>
      <c r="C743" s="8" t="n"/>
    </row>
    <row r="744">
      <c r="A744" s="7" t="n"/>
      <c r="B744" s="8" t="n"/>
      <c r="C744" s="8" t="n"/>
    </row>
    <row r="745">
      <c r="A745" s="7" t="n"/>
      <c r="B745" s="8" t="n"/>
      <c r="C745" s="8" t="n"/>
    </row>
    <row r="746">
      <c r="A746" s="7" t="n"/>
      <c r="B746" s="8" t="n"/>
      <c r="C746" s="8" t="n"/>
    </row>
    <row r="747">
      <c r="A747" s="7" t="n"/>
      <c r="B747" s="8" t="n"/>
      <c r="C747" s="8" t="n"/>
    </row>
    <row r="748">
      <c r="A748" s="7" t="n"/>
      <c r="B748" s="8" t="n"/>
      <c r="C748" s="8" t="n"/>
    </row>
    <row r="749">
      <c r="A749" s="7" t="n"/>
      <c r="B749" s="8" t="n"/>
      <c r="C749" s="8" t="n"/>
    </row>
    <row r="750">
      <c r="A750" s="7" t="n"/>
      <c r="B750" s="8" t="n"/>
      <c r="C750" s="8" t="n"/>
    </row>
    <row r="751">
      <c r="A751" s="7" t="n"/>
      <c r="B751" s="8" t="n"/>
      <c r="C751" s="8" t="n"/>
    </row>
    <row r="752">
      <c r="A752" s="7" t="n"/>
      <c r="B752" s="8" t="n"/>
      <c r="C752" s="8" t="n"/>
    </row>
    <row r="753">
      <c r="A753" s="7" t="n"/>
      <c r="B753" s="8" t="n"/>
      <c r="C753" s="8" t="n"/>
    </row>
    <row r="754">
      <c r="A754" s="7" t="n"/>
      <c r="B754" s="8" t="n"/>
      <c r="C754" s="8" t="n"/>
    </row>
    <row r="755">
      <c r="A755" s="7" t="n"/>
      <c r="B755" s="8" t="n"/>
      <c r="C755" s="8" t="n"/>
    </row>
    <row r="756">
      <c r="A756" s="7" t="n"/>
      <c r="B756" s="8" t="n"/>
      <c r="C756" s="8" t="n"/>
    </row>
    <row r="757">
      <c r="A757" s="7" t="n"/>
      <c r="B757" s="8" t="n"/>
      <c r="C757" s="8" t="n"/>
    </row>
    <row r="758">
      <c r="A758" s="7" t="n"/>
      <c r="B758" s="8" t="n"/>
      <c r="C758" s="8" t="n"/>
    </row>
    <row r="759">
      <c r="A759" s="7" t="n"/>
      <c r="B759" s="8" t="n"/>
      <c r="C759" s="8" t="n"/>
    </row>
    <row r="760">
      <c r="A760" s="7" t="n"/>
      <c r="B760" s="8" t="n"/>
      <c r="C760" s="8" t="n"/>
    </row>
    <row r="761">
      <c r="A761" s="7" t="n"/>
      <c r="B761" s="8" t="n"/>
      <c r="C761" s="8" t="n"/>
    </row>
    <row r="762">
      <c r="A762" s="7" t="n"/>
      <c r="B762" s="8" t="n"/>
      <c r="C762" s="8" t="n"/>
    </row>
    <row r="763">
      <c r="A763" s="7" t="n"/>
      <c r="B763" s="8" t="n"/>
      <c r="C763" s="8" t="n"/>
    </row>
    <row r="764">
      <c r="A764" s="7" t="n"/>
      <c r="B764" s="8" t="n"/>
      <c r="C764" s="8" t="n"/>
    </row>
    <row r="765">
      <c r="A765" s="7" t="n"/>
      <c r="B765" s="8" t="n"/>
      <c r="C765" s="8" t="n"/>
    </row>
    <row r="766">
      <c r="A766" s="7" t="n"/>
      <c r="B766" s="8" t="n"/>
      <c r="C766" s="8" t="n"/>
    </row>
    <row r="767">
      <c r="A767" s="7" t="n"/>
      <c r="B767" s="8" t="n"/>
      <c r="C767" s="8" t="n"/>
    </row>
    <row r="768">
      <c r="A768" s="7" t="n"/>
      <c r="B768" s="8" t="n"/>
      <c r="C768" s="8" t="n"/>
    </row>
    <row r="769">
      <c r="A769" s="7" t="n"/>
      <c r="B769" s="8" t="n"/>
      <c r="C769" s="8" t="n"/>
    </row>
    <row r="770">
      <c r="A770" s="7" t="n"/>
      <c r="B770" s="8" t="n"/>
      <c r="C770" s="8" t="n"/>
    </row>
    <row r="771">
      <c r="A771" s="7" t="n"/>
      <c r="B771" s="8" t="n"/>
      <c r="C771" s="8" t="n"/>
    </row>
    <row r="772">
      <c r="A772" s="7" t="n"/>
      <c r="B772" s="8" t="n"/>
      <c r="C772" s="8" t="n"/>
    </row>
    <row r="773">
      <c r="A773" s="7" t="n"/>
      <c r="B773" s="8" t="n"/>
      <c r="C773" s="8" t="n"/>
    </row>
    <row r="774">
      <c r="A774" s="7" t="n"/>
      <c r="B774" s="8" t="n"/>
      <c r="C774" s="8" t="n"/>
    </row>
    <row r="775">
      <c r="A775" s="7" t="n"/>
      <c r="B775" s="8" t="n"/>
      <c r="C775" s="8" t="n"/>
    </row>
    <row r="776">
      <c r="A776" s="7" t="n"/>
      <c r="B776" s="8" t="n"/>
      <c r="C776" s="8" t="n"/>
    </row>
    <row r="777">
      <c r="A777" s="7" t="n"/>
      <c r="B777" s="8" t="n"/>
      <c r="C777" s="8" t="n"/>
    </row>
    <row r="778">
      <c r="A778" s="7" t="n"/>
      <c r="B778" s="8" t="n"/>
      <c r="C778" s="8" t="n"/>
    </row>
    <row r="779">
      <c r="A779" s="7" t="n"/>
      <c r="B779" s="8" t="n"/>
      <c r="C779" s="8" t="n"/>
    </row>
    <row r="780">
      <c r="A780" s="7" t="n"/>
      <c r="B780" s="8" t="n"/>
      <c r="C780" s="8" t="n"/>
    </row>
    <row r="781">
      <c r="A781" s="7" t="n"/>
      <c r="B781" s="8" t="n"/>
      <c r="C781" s="8" t="n"/>
    </row>
    <row r="782">
      <c r="A782" s="7" t="n"/>
      <c r="B782" s="8" t="n"/>
      <c r="C782" s="8" t="n"/>
    </row>
    <row r="783">
      <c r="A783" s="7" t="n"/>
      <c r="B783" s="8" t="n"/>
      <c r="C783" s="8" t="n"/>
    </row>
    <row r="784">
      <c r="A784" s="7" t="n"/>
      <c r="B784" s="8" t="n"/>
      <c r="C784" s="8" t="n"/>
    </row>
    <row r="785">
      <c r="A785" s="7" t="n"/>
      <c r="B785" s="8" t="n"/>
      <c r="C785" s="8" t="n"/>
    </row>
    <row r="786">
      <c r="A786" s="7" t="n"/>
      <c r="B786" s="8" t="n"/>
      <c r="C786" s="8" t="n"/>
    </row>
    <row r="787">
      <c r="A787" s="7" t="n"/>
      <c r="B787" s="8" t="n"/>
      <c r="C787" s="8" t="n"/>
    </row>
    <row r="788">
      <c r="A788" s="7" t="n"/>
      <c r="B788" s="8" t="n"/>
      <c r="C788" s="8" t="n"/>
    </row>
    <row r="789">
      <c r="A789" s="7" t="n"/>
      <c r="B789" s="8" t="n"/>
      <c r="C789" s="8" t="n"/>
    </row>
    <row r="790">
      <c r="A790" s="7" t="n"/>
      <c r="B790" s="8" t="n"/>
      <c r="C790" s="8" t="n"/>
    </row>
    <row r="791">
      <c r="A791" s="7" t="n"/>
      <c r="B791" s="8" t="n"/>
      <c r="C791" s="8" t="n"/>
    </row>
    <row r="792">
      <c r="A792" s="7" t="n"/>
      <c r="B792" s="8" t="n"/>
      <c r="C792" s="8" t="n"/>
    </row>
    <row r="793">
      <c r="A793" s="7" t="n"/>
      <c r="B793" s="8" t="n"/>
      <c r="C793" s="8" t="n"/>
    </row>
    <row r="794">
      <c r="A794" s="7" t="n"/>
      <c r="B794" s="8" t="n"/>
      <c r="C794" s="8" t="n"/>
    </row>
    <row r="795">
      <c r="A795" s="7" t="n"/>
      <c r="B795" s="8" t="n"/>
      <c r="C795" s="8" t="n"/>
    </row>
    <row r="796">
      <c r="A796" s="7" t="n"/>
      <c r="B796" s="8" t="n"/>
      <c r="C796" s="8" t="n"/>
    </row>
    <row r="797">
      <c r="A797" s="7" t="n"/>
      <c r="B797" s="8" t="n"/>
      <c r="C797" s="8" t="n"/>
    </row>
    <row r="798">
      <c r="A798" s="7" t="n"/>
      <c r="B798" s="8" t="n"/>
      <c r="C798" s="8" t="n"/>
    </row>
    <row r="799">
      <c r="A799" s="7" t="n"/>
      <c r="B799" s="8" t="n"/>
      <c r="C799" s="8" t="n"/>
    </row>
    <row r="800">
      <c r="A800" s="7" t="n"/>
      <c r="B800" s="8" t="n"/>
      <c r="C800" s="8" t="n"/>
    </row>
    <row r="801">
      <c r="A801" s="7" t="n"/>
      <c r="B801" s="8" t="n"/>
      <c r="C801" s="8" t="n"/>
    </row>
    <row r="802">
      <c r="A802" s="7" t="n"/>
      <c r="B802" s="8" t="n"/>
      <c r="C802" s="8" t="n"/>
    </row>
    <row r="803">
      <c r="A803" s="7" t="n"/>
      <c r="B803" s="8" t="n"/>
      <c r="C803" s="8" t="n"/>
    </row>
    <row r="804">
      <c r="A804" s="7" t="n"/>
      <c r="B804" s="8" t="n"/>
      <c r="C804" s="8" t="n"/>
    </row>
    <row r="805">
      <c r="A805" s="7" t="n"/>
      <c r="B805" s="8" t="n"/>
      <c r="C805" s="8" t="n"/>
    </row>
    <row r="806">
      <c r="A806" s="7" t="n"/>
      <c r="B806" s="8" t="n"/>
      <c r="C806" s="8" t="n"/>
    </row>
    <row r="807">
      <c r="A807" s="7" t="n"/>
      <c r="B807" s="8" t="n"/>
      <c r="C807" s="8" t="n"/>
    </row>
    <row r="808">
      <c r="A808" s="7" t="n"/>
      <c r="B808" s="8" t="n"/>
      <c r="C808" s="8" t="n"/>
    </row>
    <row r="809">
      <c r="A809" s="7" t="n"/>
      <c r="B809" s="8" t="n"/>
      <c r="C809" s="8" t="n"/>
    </row>
    <row r="810">
      <c r="A810" s="7" t="n"/>
      <c r="B810" s="8" t="n"/>
      <c r="C810" s="8" t="n"/>
    </row>
    <row r="811">
      <c r="A811" s="7" t="n"/>
      <c r="B811" s="8" t="n"/>
      <c r="C811" s="8" t="n"/>
    </row>
    <row r="812">
      <c r="A812" s="7" t="n"/>
      <c r="B812" s="8" t="n"/>
      <c r="C812" s="8" t="n"/>
    </row>
    <row r="813">
      <c r="A813" s="7" t="n"/>
      <c r="B813" s="8" t="n"/>
      <c r="C813" s="8" t="n"/>
    </row>
    <row r="814">
      <c r="A814" s="7" t="n"/>
      <c r="B814" s="8" t="n"/>
      <c r="C814" s="8" t="n"/>
    </row>
    <row r="815">
      <c r="A815" s="7" t="n"/>
      <c r="B815" s="8" t="n"/>
      <c r="C815" s="8" t="n"/>
    </row>
    <row r="816">
      <c r="A816" s="7" t="n"/>
      <c r="B816" s="8" t="n"/>
      <c r="C816" s="8" t="n"/>
    </row>
    <row r="817">
      <c r="A817" s="7" t="n"/>
      <c r="B817" s="8" t="n"/>
      <c r="C817" s="8" t="n"/>
    </row>
    <row r="818">
      <c r="A818" s="7" t="n"/>
      <c r="B818" s="8" t="n"/>
      <c r="C818" s="8" t="n"/>
    </row>
    <row r="819">
      <c r="A819" s="7" t="n"/>
      <c r="B819" s="8" t="n"/>
      <c r="C819" s="8" t="n"/>
    </row>
    <row r="820">
      <c r="A820" s="7" t="n"/>
      <c r="B820" s="8" t="n"/>
      <c r="C820" s="8" t="n"/>
    </row>
    <row r="821">
      <c r="A821" s="7" t="n"/>
      <c r="B821" s="8" t="n"/>
      <c r="C821" s="8" t="n"/>
    </row>
    <row r="822">
      <c r="A822" s="7" t="n"/>
      <c r="B822" s="8" t="n"/>
      <c r="C822" s="8" t="n"/>
    </row>
    <row r="823">
      <c r="A823" s="7" t="n"/>
      <c r="B823" s="8" t="n"/>
      <c r="C823" s="8" t="n"/>
    </row>
    <row r="824">
      <c r="A824" s="7" t="n"/>
      <c r="B824" s="8" t="n"/>
      <c r="C824" s="8" t="n"/>
    </row>
    <row r="825">
      <c r="A825" s="7" t="n"/>
      <c r="B825" s="8" t="n"/>
      <c r="C825" s="8" t="n"/>
    </row>
    <row r="826">
      <c r="A826" s="7" t="n"/>
      <c r="B826" s="8" t="n"/>
      <c r="C826" s="8" t="n"/>
    </row>
    <row r="827">
      <c r="A827" s="7" t="n"/>
      <c r="B827" s="8" t="n"/>
      <c r="C827" s="8" t="n"/>
    </row>
    <row r="828">
      <c r="A828" s="7" t="n"/>
      <c r="B828" s="8" t="n"/>
      <c r="C828" s="8" t="n"/>
    </row>
    <row r="829">
      <c r="A829" s="7" t="n"/>
      <c r="B829" s="8" t="n"/>
      <c r="C829" s="8" t="n"/>
    </row>
    <row r="830">
      <c r="A830" s="7" t="n"/>
      <c r="B830" s="8" t="n"/>
      <c r="C830" s="8" t="n"/>
    </row>
    <row r="831">
      <c r="A831" s="7" t="n"/>
      <c r="B831" s="8" t="n"/>
      <c r="C831" s="8" t="n"/>
    </row>
    <row r="832">
      <c r="A832" s="7" t="n"/>
      <c r="B832" s="8" t="n"/>
      <c r="C832" s="8" t="n"/>
    </row>
    <row r="833">
      <c r="A833" s="7" t="n"/>
      <c r="B833" s="8" t="n"/>
      <c r="C833" s="8" t="n"/>
    </row>
    <row r="834">
      <c r="A834" s="7" t="n"/>
      <c r="B834" s="8" t="n"/>
      <c r="C834" s="8" t="n"/>
    </row>
    <row r="835">
      <c r="A835" s="7" t="n"/>
      <c r="B835" s="8" t="n"/>
      <c r="C835" s="8" t="n"/>
    </row>
    <row r="836">
      <c r="A836" s="7" t="n"/>
      <c r="B836" s="8" t="n"/>
      <c r="C836" s="8" t="n"/>
    </row>
    <row r="837">
      <c r="A837" s="7" t="n"/>
      <c r="B837" s="8" t="n"/>
      <c r="C837" s="8" t="n"/>
    </row>
    <row r="838">
      <c r="A838" s="7" t="n"/>
      <c r="B838" s="8" t="n"/>
      <c r="C838" s="8" t="n"/>
    </row>
    <row r="839">
      <c r="A839" s="7" t="n"/>
      <c r="B839" s="8" t="n"/>
      <c r="C839" s="8" t="n"/>
    </row>
    <row r="840">
      <c r="A840" s="7" t="n"/>
      <c r="B840" s="8" t="n"/>
      <c r="C840" s="8" t="n"/>
    </row>
    <row r="841">
      <c r="A841" s="7" t="n"/>
      <c r="B841" s="8" t="n"/>
      <c r="C841" s="8" t="n"/>
    </row>
    <row r="842">
      <c r="A842" s="7" t="n"/>
      <c r="B842" s="8" t="n"/>
      <c r="C842" s="8" t="n"/>
    </row>
    <row r="843">
      <c r="A843" s="7" t="n"/>
      <c r="B843" s="8" t="n"/>
      <c r="C843" s="8" t="n"/>
    </row>
    <row r="844">
      <c r="A844" s="7" t="n"/>
      <c r="B844" s="8" t="n"/>
      <c r="C844" s="8" t="n"/>
    </row>
    <row r="845">
      <c r="A845" s="7" t="n"/>
      <c r="B845" s="8" t="n"/>
      <c r="C845" s="8" t="n"/>
    </row>
    <row r="846">
      <c r="A846" s="7" t="n"/>
      <c r="B846" s="8" t="n"/>
      <c r="C846" s="8" t="n"/>
    </row>
    <row r="847">
      <c r="A847" s="7" t="n"/>
      <c r="B847" s="8" t="n"/>
      <c r="C847" s="8" t="n"/>
    </row>
    <row r="848">
      <c r="A848" s="7" t="n"/>
      <c r="B848" s="8" t="n"/>
      <c r="C848" s="8" t="n"/>
    </row>
    <row r="849">
      <c r="A849" s="7" t="n"/>
      <c r="B849" s="8" t="n"/>
      <c r="C849" s="8" t="n"/>
    </row>
    <row r="850">
      <c r="A850" s="7" t="n"/>
      <c r="B850" s="8" t="n"/>
      <c r="C850" s="8" t="n"/>
    </row>
    <row r="851">
      <c r="A851" s="7" t="n"/>
      <c r="B851" s="8" t="n"/>
      <c r="C851" s="8" t="n"/>
    </row>
    <row r="852">
      <c r="A852" s="7" t="n"/>
      <c r="B852" s="8" t="n"/>
      <c r="C852" s="8" t="n"/>
    </row>
    <row r="853">
      <c r="A853" s="7" t="n"/>
      <c r="B853" s="8" t="n"/>
      <c r="C853" s="8" t="n"/>
    </row>
    <row r="854">
      <c r="A854" s="7" t="n"/>
      <c r="B854" s="8" t="n"/>
      <c r="C854" s="8" t="n"/>
    </row>
    <row r="855">
      <c r="A855" s="7" t="n"/>
      <c r="B855" s="8" t="n"/>
      <c r="C855" s="8" t="n"/>
    </row>
    <row r="856">
      <c r="A856" s="7" t="n"/>
      <c r="B856" s="8" t="n"/>
      <c r="C856" s="8" t="n"/>
    </row>
    <row r="857">
      <c r="A857" s="7" t="n"/>
      <c r="B857" s="8" t="n"/>
      <c r="C857" s="8" t="n"/>
    </row>
    <row r="858">
      <c r="A858" s="7" t="n"/>
      <c r="B858" s="8" t="n"/>
      <c r="C858" s="8" t="n"/>
    </row>
    <row r="859">
      <c r="A859" s="7" t="n"/>
      <c r="B859" s="8" t="n"/>
      <c r="C859" s="8" t="n"/>
    </row>
    <row r="860">
      <c r="A860" s="7" t="n"/>
      <c r="B860" s="8" t="n"/>
      <c r="C860" s="8" t="n"/>
    </row>
    <row r="861">
      <c r="A861" s="7" t="n"/>
      <c r="B861" s="8" t="n"/>
      <c r="C861" s="8" t="n"/>
    </row>
    <row r="862">
      <c r="A862" s="7" t="n"/>
      <c r="B862" s="8" t="n"/>
      <c r="C862" s="8" t="n"/>
    </row>
    <row r="863">
      <c r="A863" s="7" t="n"/>
      <c r="B863" s="8" t="n"/>
      <c r="C863" s="8" t="n"/>
    </row>
    <row r="864">
      <c r="A864" s="7" t="n"/>
      <c r="B864" s="8" t="n"/>
      <c r="C864" s="8" t="n"/>
    </row>
    <row r="865">
      <c r="A865" s="7" t="n"/>
      <c r="B865" s="8" t="n"/>
      <c r="C865" s="8" t="n"/>
    </row>
    <row r="866">
      <c r="A866" s="7" t="n"/>
      <c r="B866" s="8" t="n"/>
      <c r="C866" s="8" t="n"/>
    </row>
    <row r="867">
      <c r="A867" s="7" t="n"/>
      <c r="B867" s="8" t="n"/>
      <c r="C867" s="8" t="n"/>
    </row>
    <row r="868">
      <c r="A868" s="7" t="n"/>
      <c r="B868" s="8" t="n"/>
      <c r="C868" s="8" t="n"/>
    </row>
    <row r="869">
      <c r="A869" s="7" t="n"/>
      <c r="B869" s="8" t="n"/>
      <c r="C869" s="8" t="n"/>
    </row>
    <row r="870">
      <c r="A870" s="7" t="n"/>
      <c r="B870" s="8" t="n"/>
      <c r="C870" s="8" t="n"/>
    </row>
    <row r="871">
      <c r="A871" s="7" t="n"/>
      <c r="B871" s="8" t="n"/>
      <c r="C871" s="8" t="n"/>
    </row>
    <row r="872">
      <c r="A872" s="7" t="n"/>
      <c r="B872" s="8" t="n"/>
      <c r="C872" s="8" t="n"/>
    </row>
    <row r="873">
      <c r="A873" s="7" t="n"/>
      <c r="B873" s="8" t="n"/>
      <c r="C873" s="8" t="n"/>
    </row>
    <row r="874">
      <c r="A874" s="7" t="n"/>
      <c r="B874" s="8" t="n"/>
      <c r="C874" s="8" t="n"/>
    </row>
    <row r="875">
      <c r="A875" s="7" t="n"/>
      <c r="B875" s="8" t="n"/>
      <c r="C875" s="8" t="n"/>
    </row>
    <row r="876">
      <c r="A876" s="7" t="n"/>
      <c r="B876" s="8" t="n"/>
      <c r="C876" s="8" t="n"/>
    </row>
    <row r="877">
      <c r="A877" s="7" t="n"/>
      <c r="B877" s="8" t="n"/>
      <c r="C877" s="8" t="n"/>
    </row>
    <row r="878">
      <c r="A878" s="7" t="n"/>
      <c r="B878" s="8" t="n"/>
      <c r="C878" s="8" t="n"/>
    </row>
    <row r="879">
      <c r="A879" s="7" t="n"/>
      <c r="B879" s="8" t="n"/>
      <c r="C879" s="8" t="n"/>
    </row>
    <row r="880">
      <c r="A880" s="7" t="n"/>
      <c r="B880" s="8" t="n"/>
      <c r="C880" s="8" t="n"/>
    </row>
    <row r="881">
      <c r="A881" s="7" t="n"/>
      <c r="B881" s="8" t="n"/>
      <c r="C881" s="8" t="n"/>
    </row>
    <row r="882">
      <c r="A882" s="7" t="n"/>
      <c r="B882" s="8" t="n"/>
      <c r="C882" s="8" t="n"/>
    </row>
    <row r="883">
      <c r="A883" s="7" t="n"/>
      <c r="B883" s="8" t="n"/>
      <c r="C883" s="8" t="n"/>
    </row>
    <row r="884">
      <c r="A884" s="7" t="n"/>
      <c r="B884" s="8" t="n"/>
      <c r="C884" s="8" t="n"/>
    </row>
    <row r="885">
      <c r="A885" s="7" t="n"/>
      <c r="B885" s="8" t="n"/>
      <c r="C885" s="8" t="n"/>
    </row>
    <row r="886">
      <c r="A886" s="7" t="n"/>
      <c r="B886" s="8" t="n"/>
      <c r="C886" s="8" t="n"/>
    </row>
    <row r="887">
      <c r="A887" s="7" t="n"/>
      <c r="B887" s="8" t="n"/>
      <c r="C887" s="8" t="n"/>
    </row>
    <row r="888">
      <c r="A888" s="7" t="n"/>
      <c r="B888" s="8" t="n"/>
      <c r="C888" s="8" t="n"/>
    </row>
    <row r="889">
      <c r="A889" s="7" t="n"/>
      <c r="B889" s="8" t="n"/>
      <c r="C889" s="8" t="n"/>
    </row>
    <row r="890">
      <c r="A890" s="7" t="n"/>
      <c r="B890" s="8" t="n"/>
      <c r="C890" s="8" t="n"/>
    </row>
    <row r="891">
      <c r="A891" s="7" t="n"/>
      <c r="B891" s="8" t="n"/>
      <c r="C891" s="8" t="n"/>
    </row>
    <row r="892">
      <c r="A892" s="7" t="n"/>
      <c r="B892" s="8" t="n"/>
      <c r="C892" s="8" t="n"/>
    </row>
    <row r="893">
      <c r="A893" s="7" t="n"/>
      <c r="B893" s="8" t="n"/>
      <c r="C893" s="8" t="n"/>
    </row>
    <row r="894">
      <c r="A894" s="7" t="n"/>
      <c r="B894" s="8" t="n"/>
      <c r="C894" s="8" t="n"/>
    </row>
    <row r="895">
      <c r="A895" s="7" t="n"/>
      <c r="B895" s="8" t="n"/>
      <c r="C895" s="8" t="n"/>
    </row>
    <row r="896">
      <c r="A896" s="7" t="n"/>
      <c r="B896" s="8" t="n"/>
      <c r="C896" s="8" t="n"/>
    </row>
    <row r="897">
      <c r="A897" s="7" t="n"/>
      <c r="B897" s="8" t="n"/>
      <c r="C897" s="8" t="n"/>
    </row>
    <row r="898">
      <c r="A898" s="7" t="n"/>
      <c r="B898" s="8" t="n"/>
      <c r="C898" s="8" t="n"/>
    </row>
    <row r="899">
      <c r="A899" s="7" t="n"/>
      <c r="B899" s="8" t="n"/>
      <c r="C899" s="8" t="n"/>
    </row>
    <row r="900">
      <c r="A900" s="7" t="n"/>
      <c r="B900" s="8" t="n"/>
      <c r="C900" s="8" t="n"/>
    </row>
    <row r="901">
      <c r="A901" s="7" t="n"/>
      <c r="B901" s="8" t="n"/>
      <c r="C901" s="8" t="n"/>
    </row>
    <row r="902">
      <c r="A902" s="7" t="n"/>
      <c r="B902" s="8" t="n"/>
      <c r="C902" s="8" t="n"/>
    </row>
    <row r="903">
      <c r="A903" s="7" t="n"/>
      <c r="B903" s="8" t="n"/>
      <c r="C903" s="8" t="n"/>
    </row>
    <row r="904">
      <c r="A904" s="7" t="n"/>
      <c r="B904" s="8" t="n"/>
      <c r="C904" s="8" t="n"/>
    </row>
    <row r="905">
      <c r="A905" s="7" t="n"/>
      <c r="B905" s="8" t="n"/>
      <c r="C905" s="8" t="n"/>
    </row>
    <row r="906">
      <c r="A906" s="7" t="n"/>
      <c r="B906" s="8" t="n"/>
      <c r="C906" s="8" t="n"/>
    </row>
    <row r="907">
      <c r="A907" s="7" t="n"/>
      <c r="B907" s="8" t="n"/>
      <c r="C907" s="8" t="n"/>
    </row>
    <row r="908">
      <c r="A908" s="7" t="n"/>
      <c r="B908" s="8" t="n"/>
      <c r="C908" s="8" t="n"/>
    </row>
    <row r="909">
      <c r="A909" s="7" t="n"/>
      <c r="B909" s="8" t="n"/>
      <c r="C909" s="8" t="n"/>
    </row>
    <row r="910">
      <c r="A910" s="7" t="n"/>
      <c r="B910" s="8" t="n"/>
      <c r="C910" s="8" t="n"/>
    </row>
    <row r="911">
      <c r="A911" s="7" t="n"/>
      <c r="B911" s="8" t="n"/>
      <c r="C911" s="8" t="n"/>
    </row>
    <row r="912">
      <c r="A912" s="7" t="n"/>
      <c r="B912" s="8" t="n"/>
      <c r="C912" s="8" t="n"/>
    </row>
    <row r="913">
      <c r="A913" s="7" t="n"/>
      <c r="B913" s="8" t="n"/>
      <c r="C913" s="8" t="n"/>
    </row>
    <row r="914">
      <c r="A914" s="7" t="n"/>
      <c r="B914" s="8" t="n"/>
      <c r="C914" s="8" t="n"/>
    </row>
    <row r="915">
      <c r="A915" s="7" t="n"/>
      <c r="B915" s="8" t="n"/>
      <c r="C915" s="8" t="n"/>
    </row>
    <row r="916">
      <c r="A916" s="7" t="n"/>
      <c r="B916" s="8" t="n"/>
      <c r="C916" s="8" t="n"/>
    </row>
    <row r="917">
      <c r="A917" s="7" t="n"/>
      <c r="B917" s="8" t="n"/>
      <c r="C917" s="8" t="n"/>
    </row>
    <row r="918">
      <c r="A918" s="7" t="n"/>
      <c r="B918" s="8" t="n"/>
      <c r="C918" s="8" t="n"/>
    </row>
    <row r="919">
      <c r="A919" s="7" t="n"/>
      <c r="B919" s="8" t="n"/>
      <c r="C919" s="8" t="n"/>
    </row>
    <row r="920">
      <c r="A920" s="7" t="n"/>
      <c r="B920" s="8" t="n"/>
      <c r="C920" s="8" t="n"/>
    </row>
    <row r="921">
      <c r="A921" s="7" t="n"/>
      <c r="B921" s="8" t="n"/>
      <c r="C921" s="8" t="n"/>
    </row>
    <row r="922">
      <c r="A922" s="7" t="n"/>
      <c r="B922" s="8" t="n"/>
      <c r="C922" s="8" t="n"/>
    </row>
    <row r="923">
      <c r="A923" s="7" t="n"/>
      <c r="B923" s="8" t="n"/>
      <c r="C923" s="8" t="n"/>
    </row>
    <row r="924">
      <c r="A924" s="7" t="n"/>
      <c r="B924" s="8" t="n"/>
      <c r="C924" s="8" t="n"/>
    </row>
    <row r="925">
      <c r="A925" s="7" t="n"/>
      <c r="B925" s="8" t="n"/>
      <c r="C925" s="8" t="n"/>
    </row>
    <row r="926">
      <c r="A926" s="7" t="n"/>
      <c r="B926" s="8" t="n"/>
      <c r="C926" s="8" t="n"/>
    </row>
    <row r="927">
      <c r="A927" s="7" t="n"/>
      <c r="B927" s="8" t="n"/>
      <c r="C927" s="8" t="n"/>
    </row>
    <row r="928">
      <c r="A928" s="7" t="n"/>
      <c r="B928" s="8" t="n"/>
      <c r="C928" s="8" t="n"/>
    </row>
    <row r="929">
      <c r="A929" s="7" t="n"/>
      <c r="B929" s="8" t="n"/>
      <c r="C929" s="8" t="n"/>
    </row>
    <row r="930">
      <c r="A930" s="7" t="n"/>
      <c r="B930" s="8" t="n"/>
      <c r="C930" s="8" t="n"/>
    </row>
    <row r="931">
      <c r="A931" s="7" t="n"/>
      <c r="B931" s="8" t="n"/>
      <c r="C931" s="8" t="n"/>
    </row>
    <row r="932">
      <c r="A932" s="7" t="n"/>
      <c r="B932" s="8" t="n"/>
      <c r="C932" s="8" t="n"/>
    </row>
    <row r="933">
      <c r="A933" s="7" t="n"/>
      <c r="B933" s="8" t="n"/>
      <c r="C933" s="8" t="n"/>
    </row>
    <row r="934">
      <c r="A934" s="7" t="n"/>
      <c r="B934" s="8" t="n"/>
      <c r="C934" s="8" t="n"/>
    </row>
    <row r="935">
      <c r="A935" s="7" t="n"/>
      <c r="B935" s="8" t="n"/>
      <c r="C935" s="8" t="n"/>
    </row>
    <row r="936">
      <c r="A936" s="7" t="n"/>
      <c r="B936" s="8" t="n"/>
      <c r="C936" s="8" t="n"/>
    </row>
    <row r="937">
      <c r="A937" s="7" t="n"/>
      <c r="B937" s="8" t="n"/>
      <c r="C937" s="8" t="n"/>
    </row>
    <row r="938">
      <c r="A938" s="7" t="n"/>
      <c r="B938" s="8" t="n"/>
      <c r="C938" s="8" t="n"/>
    </row>
    <row r="939">
      <c r="A939" s="7" t="n"/>
      <c r="B939" s="8" t="n"/>
      <c r="C939" s="8" t="n"/>
    </row>
    <row r="940">
      <c r="A940" s="7" t="n"/>
      <c r="B940" s="8" t="n"/>
      <c r="C940" s="8" t="n"/>
    </row>
    <row r="941">
      <c r="A941" s="7" t="n"/>
      <c r="B941" s="8" t="n"/>
      <c r="C941" s="8" t="n"/>
    </row>
    <row r="942">
      <c r="A942" s="7" t="n"/>
      <c r="B942" s="8" t="n"/>
      <c r="C942" s="8" t="n"/>
    </row>
    <row r="943">
      <c r="A943" s="7" t="n"/>
      <c r="B943" s="8" t="n"/>
      <c r="C943" s="8" t="n"/>
    </row>
    <row r="944">
      <c r="A944" s="7" t="n"/>
      <c r="B944" s="8" t="n"/>
      <c r="C944" s="8" t="n"/>
    </row>
    <row r="945">
      <c r="A945" s="7" t="n"/>
      <c r="B945" s="8" t="n"/>
      <c r="C945" s="8" t="n"/>
    </row>
    <row r="946">
      <c r="A946" s="7" t="n"/>
      <c r="B946" s="8" t="n"/>
      <c r="C946" s="8" t="n"/>
    </row>
    <row r="947">
      <c r="A947" s="7" t="n"/>
      <c r="B947" s="8" t="n"/>
      <c r="C947" s="8" t="n"/>
    </row>
    <row r="948">
      <c r="A948" s="7" t="n"/>
      <c r="B948" s="8" t="n"/>
      <c r="C948" s="8" t="n"/>
    </row>
    <row r="949">
      <c r="A949" s="7" t="n"/>
      <c r="B949" s="8" t="n"/>
      <c r="C949" s="8" t="n"/>
    </row>
    <row r="950">
      <c r="A950" s="7" t="n"/>
      <c r="B950" s="8" t="n"/>
      <c r="C950" s="8" t="n"/>
    </row>
    <row r="951">
      <c r="A951" s="7" t="n"/>
      <c r="B951" s="8" t="n"/>
      <c r="C951" s="8" t="n"/>
    </row>
    <row r="952">
      <c r="A952" s="7" t="n"/>
      <c r="B952" s="8" t="n"/>
      <c r="C952" s="8" t="n"/>
    </row>
    <row r="953">
      <c r="A953" s="7" t="n"/>
      <c r="B953" s="8" t="n"/>
      <c r="C953" s="8" t="n"/>
    </row>
    <row r="954">
      <c r="A954" s="7" t="n"/>
      <c r="B954" s="8" t="n"/>
      <c r="C954" s="8" t="n"/>
    </row>
    <row r="955">
      <c r="A955" s="7" t="n"/>
      <c r="B955" s="8" t="n"/>
      <c r="C955" s="8" t="n"/>
    </row>
    <row r="956">
      <c r="A956" s="7" t="n"/>
      <c r="B956" s="8" t="n"/>
      <c r="C956" s="8" t="n"/>
    </row>
    <row r="957">
      <c r="A957" s="7" t="n"/>
      <c r="B957" s="8" t="n"/>
      <c r="C957" s="8" t="n"/>
    </row>
    <row r="958">
      <c r="A958" s="7" t="n"/>
      <c r="B958" s="8" t="n"/>
      <c r="C958" s="8" t="n"/>
    </row>
    <row r="959">
      <c r="A959" s="7" t="n"/>
      <c r="B959" s="8" t="n"/>
      <c r="C959" s="8" t="n"/>
    </row>
    <row r="960">
      <c r="A960" s="7" t="n"/>
      <c r="B960" s="8" t="n"/>
      <c r="C960" s="8" t="n"/>
    </row>
    <row r="961">
      <c r="A961" s="7" t="n"/>
      <c r="B961" s="8" t="n"/>
      <c r="C961" s="8" t="n"/>
    </row>
    <row r="962">
      <c r="A962" s="7" t="n"/>
      <c r="B962" s="8" t="n"/>
      <c r="C962" s="8" t="n"/>
    </row>
    <row r="963">
      <c r="A963" s="7" t="n"/>
      <c r="B963" s="8" t="n"/>
      <c r="C963" s="8" t="n"/>
    </row>
    <row r="964">
      <c r="A964" s="7" t="n"/>
      <c r="B964" s="8" t="n"/>
      <c r="C964" s="8" t="n"/>
    </row>
    <row r="965">
      <c r="A965" s="7" t="n"/>
      <c r="B965" s="8" t="n"/>
      <c r="C965" s="8" t="n"/>
    </row>
    <row r="966">
      <c r="A966" s="7" t="n"/>
      <c r="B966" s="8" t="n"/>
      <c r="C966" s="8" t="n"/>
    </row>
    <row r="967">
      <c r="A967" s="7" t="n"/>
      <c r="B967" s="8" t="n"/>
      <c r="C967" s="8" t="n"/>
    </row>
    <row r="968">
      <c r="A968" s="7" t="n"/>
      <c r="B968" s="8" t="n"/>
      <c r="C968" s="8" t="n"/>
    </row>
    <row r="969">
      <c r="A969" s="7" t="n"/>
      <c r="B969" s="8" t="n"/>
      <c r="C969" s="8" t="n"/>
    </row>
    <row r="970">
      <c r="A970" s="7" t="n"/>
      <c r="B970" s="8" t="n"/>
      <c r="C970" s="8" t="n"/>
    </row>
    <row r="971">
      <c r="A971" s="7" t="n"/>
      <c r="B971" s="8" t="n"/>
      <c r="C971" s="8" t="n"/>
    </row>
    <row r="972">
      <c r="A972" s="7" t="n"/>
      <c r="B972" s="8" t="n"/>
      <c r="C972" s="8" t="n"/>
    </row>
    <row r="973">
      <c r="A973" s="7" t="n"/>
      <c r="B973" s="8" t="n"/>
      <c r="C973" s="8" t="n"/>
    </row>
    <row r="974">
      <c r="A974" s="7" t="n"/>
      <c r="B974" s="8" t="n"/>
      <c r="C974" s="8" t="n"/>
    </row>
    <row r="975">
      <c r="A975" s="7" t="n"/>
      <c r="B975" s="8" t="n"/>
      <c r="C975" s="8" t="n"/>
    </row>
    <row r="976">
      <c r="A976" s="7" t="n"/>
      <c r="B976" s="8" t="n"/>
      <c r="C976" s="8" t="n"/>
    </row>
    <row r="977">
      <c r="A977" s="7" t="n"/>
      <c r="B977" s="8" t="n"/>
      <c r="C977" s="8" t="n"/>
    </row>
    <row r="978">
      <c r="A978" s="7" t="n"/>
      <c r="B978" s="8" t="n"/>
      <c r="C978" s="8" t="n"/>
    </row>
    <row r="979">
      <c r="A979" s="7" t="n"/>
      <c r="B979" s="8" t="n"/>
      <c r="C979" s="8" t="n"/>
    </row>
    <row r="980">
      <c r="A980" s="7" t="n"/>
      <c r="B980" s="8" t="n"/>
      <c r="C980" s="8" t="n"/>
    </row>
    <row r="981">
      <c r="A981" s="7" t="n"/>
      <c r="B981" s="8" t="n"/>
      <c r="C981" s="8" t="n"/>
    </row>
    <row r="982">
      <c r="A982" s="7" t="n"/>
      <c r="B982" s="8" t="n"/>
      <c r="C982" s="8" t="n"/>
    </row>
    <row r="983">
      <c r="A983" s="7" t="n"/>
      <c r="B983" s="8" t="n"/>
      <c r="C983" s="8" t="n"/>
    </row>
    <row r="984">
      <c r="A984" s="7" t="n"/>
      <c r="B984" s="8" t="n"/>
      <c r="C984" s="8" t="n"/>
    </row>
    <row r="985">
      <c r="A985" s="7" t="n"/>
      <c r="B985" s="8" t="n"/>
      <c r="C985" s="8" t="n"/>
    </row>
    <row r="986">
      <c r="A986" s="7" t="n"/>
      <c r="B986" s="8" t="n"/>
      <c r="C986" s="8" t="n"/>
    </row>
    <row r="987">
      <c r="A987" s="7" t="n"/>
      <c r="B987" s="8" t="n"/>
      <c r="C987" s="8" t="n"/>
    </row>
    <row r="988">
      <c r="A988" s="7" t="n"/>
      <c r="B988" s="8" t="n"/>
      <c r="C988" s="8" t="n"/>
    </row>
    <row r="989">
      <c r="A989" s="7" t="n"/>
      <c r="B989" s="8" t="n"/>
      <c r="C989" s="8" t="n"/>
    </row>
    <row r="990">
      <c r="A990" s="7" t="n"/>
      <c r="B990" s="8" t="n"/>
      <c r="C990" s="8" t="n"/>
    </row>
    <row r="991">
      <c r="A991" s="7" t="n"/>
      <c r="B991" s="8" t="n"/>
      <c r="C991" s="8" t="n"/>
    </row>
    <row r="992">
      <c r="A992" s="7" t="n"/>
      <c r="B992" s="8" t="n"/>
      <c r="C992" s="8" t="n"/>
    </row>
    <row r="993">
      <c r="A993" s="7" t="n"/>
      <c r="B993" s="8" t="n"/>
      <c r="C993" s="8" t="n"/>
    </row>
    <row r="994">
      <c r="A994" s="7" t="n"/>
      <c r="B994" s="8" t="n"/>
      <c r="C994" s="8" t="n"/>
    </row>
    <row r="995">
      <c r="A995" s="7" t="n"/>
      <c r="B995" s="8" t="n"/>
      <c r="C995" s="8" t="n"/>
    </row>
    <row r="996">
      <c r="A996" s="7" t="n"/>
      <c r="B996" s="8" t="n"/>
      <c r="C996" s="8" t="n"/>
    </row>
    <row r="997">
      <c r="A997" s="7" t="n"/>
      <c r="B997" s="8" t="n"/>
      <c r="C997" s="8" t="n"/>
    </row>
    <row r="998">
      <c r="A998" s="7" t="n"/>
      <c r="B998" s="8" t="n"/>
      <c r="C998" s="8" t="n"/>
    </row>
    <row r="999">
      <c r="A999" s="7" t="n"/>
      <c r="B999" s="8" t="n"/>
      <c r="C999" s="8" t="n"/>
    </row>
    <row r="1000">
      <c r="A1000" s="7" t="n"/>
      <c r="B1000" s="8" t="n"/>
      <c r="C1000" s="8" t="n"/>
    </row>
    <row r="1001">
      <c r="A1001" s="7" t="n"/>
      <c r="B1001" s="8" t="n"/>
      <c r="C1001" s="8" t="n"/>
    </row>
    <row r="1002">
      <c r="A1002" s="7" t="n"/>
      <c r="B1002" s="8" t="n"/>
      <c r="C1002" s="8" t="n"/>
    </row>
    <row r="1003">
      <c r="A1003" s="7" t="n"/>
      <c r="B1003" s="8" t="n"/>
      <c r="C1003" s="8" t="n"/>
    </row>
    <row r="1004">
      <c r="A1004" s="7" t="n"/>
      <c r="B1004" s="8" t="n"/>
      <c r="C1004" s="8" t="n"/>
    </row>
    <row r="1005">
      <c r="A1005" s="7" t="n"/>
      <c r="B1005" s="8" t="n"/>
      <c r="C1005" s="8" t="n"/>
    </row>
    <row r="1006">
      <c r="A1006" s="7" t="n"/>
      <c r="B1006" s="8" t="n"/>
      <c r="C1006" s="8" t="n"/>
    </row>
    <row r="1007">
      <c r="A1007" s="7" t="n"/>
      <c r="B1007" s="8" t="n"/>
      <c r="C1007" s="8" t="n"/>
    </row>
    <row r="1008">
      <c r="A1008" s="7" t="n"/>
      <c r="B1008" s="8" t="n"/>
      <c r="C1008" s="8" t="n"/>
    </row>
    <row r="1009">
      <c r="A1009" s="7" t="n"/>
      <c r="B1009" s="8" t="n"/>
      <c r="C1009" s="8" t="n"/>
    </row>
    <row r="1010">
      <c r="A1010" s="7" t="n"/>
      <c r="B1010" s="8" t="n"/>
      <c r="C1010" s="8" t="n"/>
    </row>
    <row r="1011">
      <c r="A1011" s="7" t="n"/>
      <c r="B1011" s="8" t="n"/>
      <c r="C1011" s="8" t="n"/>
    </row>
    <row r="1012">
      <c r="A1012" s="7" t="n"/>
      <c r="B1012" s="8" t="n"/>
      <c r="C1012" s="8" t="n"/>
    </row>
    <row r="1013">
      <c r="A1013" s="7" t="n"/>
      <c r="B1013" s="8" t="n"/>
      <c r="C1013" s="8" t="n"/>
    </row>
    <row r="1014">
      <c r="A1014" s="7" t="n"/>
      <c r="B1014" s="8" t="n"/>
      <c r="C1014" s="8" t="n"/>
    </row>
    <row r="1015">
      <c r="A1015" s="7" t="n"/>
      <c r="B1015" s="8" t="n"/>
      <c r="C1015" s="8" t="n"/>
    </row>
    <row r="1016">
      <c r="A1016" s="7" t="n"/>
      <c r="B1016" s="8" t="n"/>
      <c r="C1016" s="8" t="n"/>
    </row>
    <row r="1017">
      <c r="A1017" s="7" t="n"/>
      <c r="B1017" s="8" t="n"/>
      <c r="C1017" s="8" t="n"/>
    </row>
    <row r="1018">
      <c r="A1018" s="7" t="n"/>
      <c r="B1018" s="8" t="n"/>
      <c r="C1018" s="8" t="n"/>
    </row>
    <row r="1019">
      <c r="A1019" s="7" t="n"/>
      <c r="B1019" s="8" t="n"/>
      <c r="C1019" s="8" t="n"/>
    </row>
    <row r="1020">
      <c r="A1020" s="7" t="n"/>
      <c r="B1020" s="8" t="n"/>
      <c r="C1020" s="8" t="n"/>
    </row>
    <row r="1021">
      <c r="A1021" s="7" t="n"/>
      <c r="B1021" s="8" t="n"/>
      <c r="C1021" s="8" t="n"/>
    </row>
    <row r="1022">
      <c r="A1022" s="7" t="n"/>
      <c r="B1022" s="8" t="n"/>
      <c r="C1022" s="8" t="n"/>
    </row>
    <row r="1023">
      <c r="A1023" s="7" t="n"/>
      <c r="B1023" s="8" t="n"/>
      <c r="C1023" s="8" t="n"/>
    </row>
    <row r="1024">
      <c r="A1024" s="7" t="n"/>
      <c r="B1024" s="8" t="n"/>
      <c r="C1024" s="8" t="n"/>
    </row>
    <row r="1025">
      <c r="A1025" s="7" t="n"/>
      <c r="B1025" s="8" t="n"/>
      <c r="C1025" s="8" t="n"/>
    </row>
    <row r="1026">
      <c r="A1026" s="7" t="n"/>
      <c r="B1026" s="8" t="n"/>
      <c r="C1026" s="8" t="n"/>
    </row>
    <row r="1027">
      <c r="A1027" s="7" t="n"/>
      <c r="B1027" s="8" t="n"/>
      <c r="C1027" s="8" t="n"/>
    </row>
    <row r="1028">
      <c r="A1028" s="7" t="n"/>
      <c r="B1028" s="8" t="n"/>
      <c r="C1028" s="8" t="n"/>
    </row>
    <row r="1029">
      <c r="A1029" s="7" t="n"/>
      <c r="B1029" s="8" t="n"/>
      <c r="C1029" s="8" t="n"/>
    </row>
    <row r="1030">
      <c r="A1030" s="7" t="n"/>
      <c r="B1030" s="8" t="n"/>
      <c r="C1030" s="8" t="n"/>
    </row>
    <row r="1031">
      <c r="A1031" s="7" t="n"/>
      <c r="B1031" s="8" t="n"/>
      <c r="C1031" s="8" t="n"/>
    </row>
    <row r="1032">
      <c r="A1032" s="7" t="n"/>
      <c r="B1032" s="8" t="n"/>
      <c r="C1032" s="8" t="n"/>
    </row>
    <row r="1033">
      <c r="A1033" s="7" t="n"/>
      <c r="B1033" s="8" t="n"/>
      <c r="C1033" s="8" t="n"/>
    </row>
    <row r="1034">
      <c r="A1034" s="7" t="n"/>
      <c r="B1034" s="8" t="n"/>
      <c r="C1034" s="8" t="n"/>
    </row>
    <row r="1035">
      <c r="A1035" s="7" t="n"/>
      <c r="B1035" s="8" t="n"/>
      <c r="C1035" s="8" t="n"/>
    </row>
    <row r="1036">
      <c r="A1036" s="7" t="n"/>
      <c r="B1036" s="8" t="n"/>
      <c r="C1036" s="8" t="n"/>
    </row>
    <row r="1037">
      <c r="A1037" s="7" t="n"/>
      <c r="B1037" s="8" t="n"/>
      <c r="C1037" s="8" t="n"/>
    </row>
    <row r="1038">
      <c r="A1038" s="7" t="n"/>
      <c r="B1038" s="8" t="n"/>
      <c r="C1038" s="8" t="n"/>
    </row>
    <row r="1039">
      <c r="A1039" s="7" t="n"/>
      <c r="B1039" s="8" t="n"/>
      <c r="C1039" s="8" t="n"/>
    </row>
    <row r="1040">
      <c r="A1040" s="7" t="n"/>
      <c r="B1040" s="8" t="n"/>
      <c r="C1040" s="8" t="n"/>
    </row>
    <row r="1041">
      <c r="A1041" s="7" t="n"/>
      <c r="B1041" s="8" t="n"/>
      <c r="C1041" s="8" t="n"/>
    </row>
    <row r="1042">
      <c r="A1042" s="7" t="n"/>
      <c r="B1042" s="8" t="n"/>
      <c r="C1042" s="8" t="n"/>
    </row>
    <row r="1043">
      <c r="A1043" s="7" t="n"/>
      <c r="B1043" s="8" t="n"/>
      <c r="C1043" s="8" t="n"/>
    </row>
    <row r="1044">
      <c r="A1044" s="7" t="n"/>
      <c r="B1044" s="8" t="n"/>
      <c r="C1044" s="8" t="n"/>
    </row>
    <row r="1045">
      <c r="A1045" s="7" t="n"/>
      <c r="B1045" s="8" t="n"/>
      <c r="C1045" s="8" t="n"/>
    </row>
    <row r="1046">
      <c r="A1046" s="7" t="n"/>
      <c r="B1046" s="8" t="n"/>
      <c r="C1046" s="8" t="n"/>
    </row>
    <row r="1047">
      <c r="A1047" s="7" t="n"/>
      <c r="B1047" s="8" t="n"/>
      <c r="C1047" s="8" t="n"/>
    </row>
    <row r="1048">
      <c r="A1048" s="7" t="n"/>
      <c r="B1048" s="8" t="n"/>
      <c r="C1048" s="8" t="n"/>
    </row>
    <row r="1049">
      <c r="A1049" s="7" t="n"/>
      <c r="B1049" s="8" t="n"/>
      <c r="C1049" s="8" t="n"/>
    </row>
    <row r="1050">
      <c r="A1050" s="7" t="n"/>
      <c r="B1050" s="8" t="n"/>
      <c r="C1050" s="8" t="n"/>
    </row>
    <row r="1051">
      <c r="A1051" s="7" t="n"/>
      <c r="B1051" s="8" t="n"/>
      <c r="C1051" s="8" t="n"/>
    </row>
    <row r="1052">
      <c r="A1052" s="7" t="n"/>
      <c r="B1052" s="8" t="n"/>
      <c r="C1052" s="8" t="n"/>
    </row>
    <row r="1053">
      <c r="A1053" s="7" t="n"/>
      <c r="B1053" s="8" t="n"/>
      <c r="C1053" s="8" t="n"/>
    </row>
    <row r="1054">
      <c r="A1054" s="7" t="n"/>
      <c r="B1054" s="8" t="n"/>
      <c r="C1054" s="8" t="n"/>
    </row>
    <row r="1055">
      <c r="A1055" s="7" t="n"/>
      <c r="B1055" s="8" t="n"/>
      <c r="C1055" s="8" t="n"/>
    </row>
    <row r="1056">
      <c r="A1056" s="7" t="n"/>
      <c r="B1056" s="8" t="n"/>
      <c r="C1056" s="8" t="n"/>
    </row>
    <row r="1057">
      <c r="A1057" s="7" t="n"/>
      <c r="B1057" s="8" t="n"/>
      <c r="C1057" s="8" t="n"/>
    </row>
    <row r="1058">
      <c r="A1058" s="7" t="n"/>
      <c r="B1058" s="8" t="n"/>
      <c r="C1058" s="8" t="n"/>
    </row>
    <row r="1059">
      <c r="A1059" s="7" t="n"/>
      <c r="B1059" s="8" t="n"/>
      <c r="C1059" s="8" t="n"/>
    </row>
    <row r="1060">
      <c r="A1060" s="7" t="n"/>
      <c r="B1060" s="8" t="n"/>
      <c r="C1060" s="8" t="n"/>
    </row>
    <row r="1061">
      <c r="A1061" s="7" t="n"/>
      <c r="B1061" s="8" t="n"/>
      <c r="C1061" s="8" t="n"/>
    </row>
    <row r="1062">
      <c r="A1062" s="7" t="n"/>
      <c r="B1062" s="8" t="n"/>
      <c r="C1062" s="8" t="n"/>
    </row>
    <row r="1063">
      <c r="A1063" s="7" t="n"/>
      <c r="B1063" s="8" t="n"/>
      <c r="C1063" s="8" t="n"/>
    </row>
    <row r="1064">
      <c r="A1064" s="7" t="n"/>
      <c r="B1064" s="8" t="n"/>
      <c r="C1064" s="8" t="n"/>
    </row>
    <row r="1065">
      <c r="A1065" s="7" t="n"/>
      <c r="B1065" s="8" t="n"/>
      <c r="C1065" s="8" t="n"/>
    </row>
    <row r="1066">
      <c r="A1066" s="7" t="n"/>
      <c r="B1066" s="8" t="n"/>
      <c r="C1066" s="8" t="n"/>
    </row>
    <row r="1067">
      <c r="A1067" s="7" t="n"/>
      <c r="B1067" s="8" t="n"/>
      <c r="C1067" s="8" t="n"/>
    </row>
    <row r="1068">
      <c r="A1068" s="7" t="n"/>
      <c r="B1068" s="8" t="n"/>
      <c r="C1068" s="8" t="n"/>
    </row>
    <row r="1069">
      <c r="A1069" s="7" t="n"/>
      <c r="B1069" s="8" t="n"/>
      <c r="C1069" s="8" t="n"/>
    </row>
    <row r="1070">
      <c r="A1070" s="7" t="n"/>
      <c r="B1070" s="8" t="n"/>
      <c r="C1070" s="8" t="n"/>
    </row>
    <row r="1071">
      <c r="A1071" s="7" t="n"/>
      <c r="B1071" s="8" t="n"/>
      <c r="C1071" s="8" t="n"/>
    </row>
    <row r="1072">
      <c r="A1072" s="7" t="n"/>
      <c r="B1072" s="8" t="n"/>
      <c r="C1072" s="8" t="n"/>
    </row>
    <row r="1073">
      <c r="A1073" s="7" t="n"/>
      <c r="B1073" s="8" t="n"/>
      <c r="C1073" s="8" t="n"/>
    </row>
    <row r="1074">
      <c r="A1074" s="7" t="n"/>
      <c r="B1074" s="8" t="n"/>
      <c r="C1074" s="8" t="n"/>
    </row>
    <row r="1075">
      <c r="A1075" s="7" t="n"/>
      <c r="B1075" s="8" t="n"/>
      <c r="C1075" s="8" t="n"/>
    </row>
    <row r="1076">
      <c r="A1076" s="7" t="n"/>
      <c r="B1076" s="8" t="n"/>
      <c r="C1076" s="8" t="n"/>
    </row>
    <row r="1077">
      <c r="A1077" s="7" t="n"/>
      <c r="B1077" s="8" t="n"/>
      <c r="C1077" s="8" t="n"/>
    </row>
    <row r="1078">
      <c r="A1078" s="7" t="n"/>
      <c r="B1078" s="8" t="n"/>
      <c r="C1078" s="8" t="n"/>
    </row>
    <row r="1079">
      <c r="A1079" s="7" t="n"/>
      <c r="B1079" s="8" t="n"/>
      <c r="C1079" s="8" t="n"/>
    </row>
    <row r="1080">
      <c r="A1080" s="7" t="n"/>
      <c r="B1080" s="8" t="n"/>
      <c r="C1080" s="8" t="n"/>
    </row>
    <row r="1081">
      <c r="A1081" s="7" t="n"/>
      <c r="B1081" s="8" t="n"/>
      <c r="C1081" s="8" t="n"/>
    </row>
    <row r="1082">
      <c r="A1082" s="7" t="n"/>
      <c r="B1082" s="8" t="n"/>
      <c r="C1082" s="8" t="n"/>
    </row>
    <row r="1083">
      <c r="A1083" s="7" t="n"/>
      <c r="B1083" s="8" t="n"/>
      <c r="C1083" s="8" t="n"/>
    </row>
    <row r="1084">
      <c r="A1084" s="7" t="n"/>
      <c r="B1084" s="8" t="n"/>
      <c r="C1084" s="8" t="n"/>
    </row>
    <row r="1085">
      <c r="A1085" s="7" t="n"/>
      <c r="B1085" s="8" t="n"/>
      <c r="C1085" s="8" t="n"/>
    </row>
    <row r="1086">
      <c r="A1086" s="7" t="n"/>
      <c r="B1086" s="8" t="n"/>
      <c r="C1086" s="8" t="n"/>
    </row>
    <row r="1087">
      <c r="A1087" s="7" t="n"/>
      <c r="B1087" s="8" t="n"/>
      <c r="C1087" s="8" t="n"/>
    </row>
    <row r="1088">
      <c r="A1088" s="7" t="n"/>
      <c r="B1088" s="8" t="n"/>
      <c r="C1088" s="8" t="n"/>
    </row>
    <row r="1089">
      <c r="A1089" s="7" t="n"/>
      <c r="B1089" s="8" t="n"/>
      <c r="C1089" s="8" t="n"/>
    </row>
    <row r="1090">
      <c r="A1090" s="7" t="n"/>
      <c r="B1090" s="8" t="n"/>
      <c r="C1090" s="8" t="n"/>
    </row>
    <row r="1091">
      <c r="A1091" s="7" t="n"/>
      <c r="B1091" s="8" t="n"/>
      <c r="C1091" s="8" t="n"/>
    </row>
    <row r="1092">
      <c r="A1092" s="7" t="n"/>
      <c r="B1092" s="8" t="n"/>
      <c r="C1092" s="8" t="n"/>
    </row>
    <row r="1093">
      <c r="A1093" s="7" t="n"/>
      <c r="B1093" s="8" t="n"/>
      <c r="C1093" s="8" t="n"/>
    </row>
    <row r="1094">
      <c r="A1094" s="7" t="n"/>
      <c r="B1094" s="8" t="n"/>
      <c r="C1094" s="8" t="n"/>
    </row>
    <row r="1095">
      <c r="A1095" s="7" t="n"/>
      <c r="B1095" s="8" t="n"/>
      <c r="C1095" s="8" t="n"/>
    </row>
    <row r="1096">
      <c r="A1096" s="7" t="n"/>
      <c r="B1096" s="8" t="n"/>
      <c r="C1096" s="8" t="n"/>
    </row>
    <row r="1097">
      <c r="A1097" s="7" t="n"/>
      <c r="B1097" s="8" t="n"/>
      <c r="C1097" s="8" t="n"/>
    </row>
    <row r="1098">
      <c r="A1098" s="7" t="n"/>
      <c r="B1098" s="8" t="n"/>
      <c r="C1098" s="8" t="n"/>
    </row>
    <row r="1099">
      <c r="A1099" s="7" t="n"/>
      <c r="B1099" s="8" t="n"/>
      <c r="C1099" s="8" t="n"/>
    </row>
    <row r="1100">
      <c r="A1100" s="7" t="n"/>
      <c r="B1100" s="8" t="n"/>
      <c r="C1100" s="8" t="n"/>
    </row>
    <row r="1101">
      <c r="A1101" s="7" t="n"/>
      <c r="B1101" s="8" t="n"/>
      <c r="C1101" s="8" t="n"/>
    </row>
    <row r="1102">
      <c r="A1102" s="7" t="n"/>
      <c r="B1102" s="8" t="n"/>
      <c r="C1102" s="8" t="n"/>
    </row>
    <row r="1103">
      <c r="A1103" s="7" t="n"/>
      <c r="B1103" s="8" t="n"/>
      <c r="C1103" s="8" t="n"/>
    </row>
    <row r="1104">
      <c r="A1104" s="7" t="n"/>
      <c r="B1104" s="8" t="n"/>
      <c r="C1104" s="8" t="n"/>
    </row>
    <row r="1105">
      <c r="A1105" s="7" t="n"/>
      <c r="B1105" s="8" t="n"/>
      <c r="C1105" s="8" t="n"/>
    </row>
    <row r="1106">
      <c r="A1106" s="7" t="n"/>
      <c r="B1106" s="8" t="n"/>
      <c r="C1106" s="8" t="n"/>
    </row>
    <row r="1107">
      <c r="A1107" s="7" t="n"/>
      <c r="B1107" s="8" t="n"/>
      <c r="C1107" s="8" t="n"/>
    </row>
    <row r="1108">
      <c r="A1108" s="7" t="n"/>
      <c r="B1108" s="8" t="n"/>
      <c r="C1108" s="8" t="n"/>
    </row>
    <row r="1109">
      <c r="A1109" s="7" t="n"/>
      <c r="B1109" s="8" t="n"/>
      <c r="C1109" s="8" t="n"/>
    </row>
    <row r="1110">
      <c r="A1110" s="7" t="n"/>
      <c r="B1110" s="8" t="n"/>
      <c r="C1110" s="8" t="n"/>
    </row>
    <row r="1111">
      <c r="A1111" s="7" t="n"/>
      <c r="B1111" s="8" t="n"/>
      <c r="C1111" s="8" t="n"/>
    </row>
    <row r="1112">
      <c r="A1112" s="7" t="n"/>
      <c r="B1112" s="8" t="n"/>
      <c r="C1112" s="8" t="n"/>
    </row>
    <row r="1113">
      <c r="A1113" s="7" t="n"/>
      <c r="B1113" s="8" t="n"/>
      <c r="C1113" s="8" t="n"/>
    </row>
    <row r="1114">
      <c r="A1114" s="7" t="n"/>
      <c r="B1114" s="8" t="n"/>
      <c r="C1114" s="8" t="n"/>
    </row>
    <row r="1115">
      <c r="A1115" s="7" t="n"/>
      <c r="B1115" s="8" t="n"/>
      <c r="C1115" s="8" t="n"/>
    </row>
    <row r="1116">
      <c r="A1116" s="7" t="n"/>
      <c r="B1116" s="8" t="n"/>
      <c r="C1116" s="8" t="n"/>
    </row>
    <row r="1117">
      <c r="A1117" s="7" t="n"/>
      <c r="B1117" s="8" t="n"/>
      <c r="C1117" s="8" t="n"/>
    </row>
    <row r="1118">
      <c r="A1118" s="7" t="n"/>
      <c r="B1118" s="8" t="n"/>
      <c r="C1118" s="8" t="n"/>
    </row>
    <row r="1119">
      <c r="A1119" s="7" t="n"/>
      <c r="B1119" s="8" t="n"/>
      <c r="C1119" s="8" t="n"/>
    </row>
    <row r="1120">
      <c r="A1120" s="7" t="n"/>
      <c r="B1120" s="8" t="n"/>
      <c r="C1120" s="8" t="n"/>
    </row>
    <row r="1121">
      <c r="A1121" s="7" t="n"/>
      <c r="B1121" s="8" t="n"/>
      <c r="C1121" s="8" t="n"/>
    </row>
    <row r="1122">
      <c r="A1122" s="7" t="n"/>
      <c r="B1122" s="8" t="n"/>
      <c r="C1122" s="8" t="n"/>
    </row>
    <row r="1123">
      <c r="A1123" s="7" t="n"/>
      <c r="B1123" s="8" t="n"/>
      <c r="C1123" s="8" t="n"/>
    </row>
    <row r="1124">
      <c r="A1124" s="7" t="n"/>
      <c r="B1124" s="8" t="n"/>
      <c r="C1124" s="8" t="n"/>
    </row>
    <row r="1125">
      <c r="A1125" s="7" t="n"/>
      <c r="B1125" s="8" t="n"/>
      <c r="C1125" s="8" t="n"/>
    </row>
    <row r="1126">
      <c r="A1126" s="7" t="n"/>
      <c r="B1126" s="8" t="n"/>
      <c r="C1126" s="8" t="n"/>
    </row>
    <row r="1127">
      <c r="A1127" s="7" t="n"/>
      <c r="B1127" s="8" t="n"/>
      <c r="C1127" s="8" t="n"/>
    </row>
    <row r="1128">
      <c r="A1128" s="7" t="n"/>
      <c r="B1128" s="8" t="n"/>
      <c r="C1128" s="8" t="n"/>
    </row>
    <row r="1129">
      <c r="A1129" s="7" t="n"/>
      <c r="B1129" s="8" t="n"/>
      <c r="C1129" s="8" t="n"/>
    </row>
    <row r="1130">
      <c r="A1130" s="7" t="n"/>
      <c r="B1130" s="8" t="n"/>
      <c r="C1130" s="8" t="n"/>
    </row>
    <row r="1131">
      <c r="A1131" s="7" t="n"/>
      <c r="B1131" s="8" t="n"/>
      <c r="C1131" s="8" t="n"/>
    </row>
    <row r="1132">
      <c r="A1132" s="7" t="n"/>
      <c r="B1132" s="8" t="n"/>
      <c r="C1132" s="8" t="n"/>
    </row>
    <row r="1133">
      <c r="A1133" s="7" t="n"/>
      <c r="B1133" s="8" t="n"/>
      <c r="C1133" s="8" t="n"/>
    </row>
    <row r="1134">
      <c r="A1134" s="7" t="n"/>
      <c r="B1134" s="8" t="n"/>
      <c r="C1134" s="8" t="n"/>
    </row>
    <row r="1135">
      <c r="A1135" s="7" t="n"/>
      <c r="B1135" s="8" t="n"/>
      <c r="C1135" s="8" t="n"/>
    </row>
    <row r="1136">
      <c r="A1136" s="7" t="n"/>
      <c r="B1136" s="8" t="n"/>
      <c r="C1136" s="8" t="n"/>
    </row>
    <row r="1137">
      <c r="A1137" s="7" t="n"/>
      <c r="B1137" s="8" t="n"/>
      <c r="C1137" s="8" t="n"/>
    </row>
    <row r="1138">
      <c r="A1138" s="7" t="n"/>
      <c r="B1138" s="8" t="n"/>
      <c r="C1138" s="8" t="n"/>
    </row>
    <row r="1139">
      <c r="A1139" s="7" t="n"/>
      <c r="B1139" s="8" t="n"/>
      <c r="C1139" s="8" t="n"/>
    </row>
    <row r="1140">
      <c r="A1140" s="7" t="n"/>
      <c r="B1140" s="8" t="n"/>
      <c r="C1140" s="8" t="n"/>
    </row>
    <row r="1141">
      <c r="A1141" s="7" t="n"/>
      <c r="B1141" s="8" t="n"/>
      <c r="C1141" s="8" t="n"/>
    </row>
    <row r="1142">
      <c r="A1142" s="7" t="n"/>
      <c r="B1142" s="8" t="n"/>
      <c r="C1142" s="8" t="n"/>
    </row>
    <row r="1143">
      <c r="A1143" s="7" t="n"/>
      <c r="B1143" s="8" t="n"/>
      <c r="C1143" s="8" t="n"/>
    </row>
    <row r="1144">
      <c r="A1144" s="7" t="n"/>
      <c r="B1144" s="8" t="n"/>
      <c r="C1144" s="8" t="n"/>
    </row>
    <row r="1145">
      <c r="A1145" s="7" t="n"/>
      <c r="B1145" s="8" t="n"/>
      <c r="C1145" s="8" t="n"/>
    </row>
    <row r="1146">
      <c r="A1146" s="7" t="n"/>
      <c r="B1146" s="8" t="n"/>
      <c r="C1146" s="8" t="n"/>
    </row>
    <row r="1147">
      <c r="A1147" s="7" t="n"/>
      <c r="B1147" s="8" t="n"/>
      <c r="C1147" s="8" t="n"/>
    </row>
    <row r="1148">
      <c r="A1148" s="7" t="n"/>
      <c r="B1148" s="8" t="n"/>
      <c r="C1148" s="8" t="n"/>
    </row>
    <row r="1149">
      <c r="A1149" s="7" t="n"/>
      <c r="B1149" s="8" t="n"/>
      <c r="C1149" s="8" t="n"/>
    </row>
    <row r="1150">
      <c r="A1150" s="7" t="n"/>
      <c r="B1150" s="8" t="n"/>
      <c r="C1150" s="8" t="n"/>
    </row>
    <row r="1151">
      <c r="A1151" s="7" t="n"/>
      <c r="B1151" s="8" t="n"/>
      <c r="C1151" s="8" t="n"/>
    </row>
    <row r="1152">
      <c r="A1152" s="7" t="n"/>
      <c r="B1152" s="8" t="n"/>
      <c r="C1152" s="8" t="n"/>
    </row>
    <row r="1153">
      <c r="A1153" s="7" t="n"/>
      <c r="B1153" s="8" t="n"/>
      <c r="C1153" s="8" t="n"/>
    </row>
    <row r="1154">
      <c r="A1154" s="7" t="n"/>
      <c r="B1154" s="8" t="n"/>
      <c r="C1154" s="8" t="n"/>
    </row>
    <row r="1155">
      <c r="A1155" s="7" t="n"/>
      <c r="B1155" s="8" t="n"/>
      <c r="C1155" s="8" t="n"/>
    </row>
    <row r="1156">
      <c r="A1156" s="7" t="n"/>
      <c r="B1156" s="8" t="n"/>
      <c r="C1156" s="8" t="n"/>
    </row>
    <row r="1157">
      <c r="A1157" s="7" t="n"/>
      <c r="B1157" s="8" t="n"/>
      <c r="C1157" s="8" t="n"/>
    </row>
    <row r="1158">
      <c r="A1158" s="7" t="n"/>
      <c r="B1158" s="8" t="n"/>
      <c r="C1158" s="8" t="n"/>
    </row>
    <row r="1159">
      <c r="A1159" s="7" t="n"/>
      <c r="B1159" s="8" t="n"/>
      <c r="C1159" s="8" t="n"/>
    </row>
    <row r="1160">
      <c r="A1160" s="7" t="n"/>
      <c r="B1160" s="8" t="n"/>
      <c r="C1160" s="8" t="n"/>
    </row>
    <row r="1161">
      <c r="A1161" s="7" t="n"/>
      <c r="B1161" s="8" t="n"/>
      <c r="C1161" s="8" t="n"/>
    </row>
    <row r="1162">
      <c r="A1162" s="7" t="n"/>
      <c r="B1162" s="8" t="n"/>
      <c r="C1162" s="8" t="n"/>
    </row>
    <row r="1163">
      <c r="A1163" s="7" t="n"/>
      <c r="B1163" s="8" t="n"/>
      <c r="C1163" s="8" t="n"/>
    </row>
    <row r="1164">
      <c r="A1164" s="7" t="n"/>
      <c r="B1164" s="8" t="n"/>
      <c r="C1164" s="8" t="n"/>
    </row>
    <row r="1165">
      <c r="A1165" s="7" t="n"/>
      <c r="B1165" s="8" t="n"/>
      <c r="C1165" s="8" t="n"/>
    </row>
    <row r="1166">
      <c r="A1166" s="7" t="n"/>
      <c r="B1166" s="8" t="n"/>
      <c r="C1166" s="8" t="n"/>
    </row>
    <row r="1167">
      <c r="A1167" s="7" t="n"/>
      <c r="B1167" s="8" t="n"/>
      <c r="C1167" s="8" t="n"/>
    </row>
    <row r="1168">
      <c r="A1168" s="7" t="n"/>
      <c r="B1168" s="8" t="n"/>
      <c r="C1168" s="8" t="n"/>
    </row>
    <row r="1169">
      <c r="A1169" s="7" t="n"/>
      <c r="B1169" s="8" t="n"/>
      <c r="C1169" s="8" t="n"/>
    </row>
    <row r="1170">
      <c r="A1170" s="7" t="n"/>
      <c r="B1170" s="8" t="n"/>
      <c r="C1170" s="8" t="n"/>
    </row>
    <row r="1171">
      <c r="A1171" s="7" t="n"/>
      <c r="B1171" s="8" t="n"/>
      <c r="C1171" s="8" t="n"/>
    </row>
    <row r="1172">
      <c r="A1172" s="7" t="n"/>
      <c r="B1172" s="8" t="n"/>
      <c r="C1172" s="8" t="n"/>
    </row>
    <row r="1173">
      <c r="A1173" s="7" t="n"/>
      <c r="B1173" s="8" t="n"/>
      <c r="C1173" s="8" t="n"/>
    </row>
    <row r="1174">
      <c r="A1174" s="7" t="n"/>
      <c r="B1174" s="8" t="n"/>
      <c r="C1174" s="8" t="n"/>
    </row>
    <row r="1175">
      <c r="A1175" s="7" t="n"/>
      <c r="B1175" s="8" t="n"/>
      <c r="C1175" s="8" t="n"/>
    </row>
    <row r="1176">
      <c r="A1176" s="7" t="n"/>
      <c r="B1176" s="8" t="n"/>
      <c r="C1176" s="8" t="n"/>
    </row>
    <row r="1177">
      <c r="A1177" s="7" t="n"/>
      <c r="B1177" s="8" t="n"/>
      <c r="C1177" s="8" t="n"/>
    </row>
    <row r="1178">
      <c r="A1178" s="7" t="n"/>
      <c r="B1178" s="8" t="n"/>
      <c r="C1178" s="8" t="n"/>
    </row>
    <row r="1179">
      <c r="A1179" s="7" t="n"/>
      <c r="B1179" s="8" t="n"/>
      <c r="C1179" s="8" t="n"/>
    </row>
    <row r="1180">
      <c r="A1180" s="7" t="n"/>
      <c r="B1180" s="8" t="n"/>
      <c r="C1180" s="8" t="n"/>
    </row>
    <row r="1181">
      <c r="A1181" s="7" t="n"/>
      <c r="B1181" s="8" t="n"/>
      <c r="C1181" s="8" t="n"/>
    </row>
    <row r="1182">
      <c r="A1182" s="7" t="n"/>
      <c r="B1182" s="8" t="n"/>
      <c r="C1182" s="8" t="n"/>
    </row>
    <row r="1183">
      <c r="A1183" s="7" t="n"/>
      <c r="B1183" s="8" t="n"/>
      <c r="C1183" s="8" t="n"/>
    </row>
    <row r="1184">
      <c r="A1184" s="7" t="n"/>
      <c r="B1184" s="8" t="n"/>
      <c r="C1184" s="8" t="n"/>
    </row>
    <row r="1185">
      <c r="A1185" s="7" t="n"/>
      <c r="B1185" s="8" t="n"/>
      <c r="C1185" s="8" t="n"/>
    </row>
    <row r="1186">
      <c r="A1186" s="7" t="n"/>
      <c r="B1186" s="8" t="n"/>
      <c r="C1186" s="8" t="n"/>
    </row>
    <row r="1187">
      <c r="A1187" s="7" t="n"/>
      <c r="B1187" s="8" t="n"/>
      <c r="C1187" s="8" t="n"/>
    </row>
    <row r="1188">
      <c r="A1188" s="7" t="n"/>
      <c r="B1188" s="8" t="n"/>
      <c r="C1188" s="8" t="n"/>
    </row>
    <row r="1189">
      <c r="A1189" s="7" t="n"/>
      <c r="B1189" s="8" t="n"/>
      <c r="C1189" s="8" t="n"/>
    </row>
    <row r="1190">
      <c r="A1190" s="7" t="n"/>
      <c r="B1190" s="8" t="n"/>
      <c r="C1190" s="8" t="n"/>
    </row>
    <row r="1191">
      <c r="A1191" s="7" t="n"/>
      <c r="B1191" s="8" t="n"/>
      <c r="C1191" s="8" t="n"/>
    </row>
    <row r="1192">
      <c r="A1192" s="7" t="n"/>
      <c r="B1192" s="8" t="n"/>
      <c r="C1192" s="8" t="n"/>
    </row>
    <row r="1193">
      <c r="A1193" s="7" t="n"/>
      <c r="B1193" s="8" t="n"/>
      <c r="C1193" s="8" t="n"/>
    </row>
    <row r="1194">
      <c r="A1194" s="7" t="n"/>
      <c r="B1194" s="8" t="n"/>
      <c r="C1194" s="8" t="n"/>
    </row>
    <row r="1195">
      <c r="A1195" s="7" t="n"/>
      <c r="B1195" s="8" t="n"/>
      <c r="C1195" s="8" t="n"/>
    </row>
    <row r="1196">
      <c r="A1196" s="7" t="n"/>
      <c r="B1196" s="8" t="n"/>
      <c r="C1196" s="8" t="n"/>
    </row>
    <row r="1197">
      <c r="A1197" s="7" t="n"/>
      <c r="B1197" s="8" t="n"/>
      <c r="C1197" s="8" t="n"/>
    </row>
    <row r="1198">
      <c r="A1198" s="7" t="n"/>
      <c r="B1198" s="8" t="n"/>
      <c r="C1198" s="8" t="n"/>
    </row>
    <row r="1199">
      <c r="A1199" s="7" t="n"/>
      <c r="B1199" s="8" t="n"/>
      <c r="C1199" s="8" t="n"/>
    </row>
    <row r="1200">
      <c r="A1200" s="7" t="n"/>
      <c r="B1200" s="8" t="n"/>
      <c r="C1200" s="8" t="n"/>
    </row>
    <row r="1201">
      <c r="A1201" s="7" t="n"/>
      <c r="B1201" s="8" t="n"/>
      <c r="C1201" s="8" t="n"/>
    </row>
    <row r="1202">
      <c r="A1202" s="7" t="n"/>
      <c r="B1202" s="8" t="n"/>
      <c r="C1202" s="8" t="n"/>
    </row>
    <row r="1203">
      <c r="A1203" s="7" t="n"/>
      <c r="B1203" s="8" t="n"/>
      <c r="C1203" s="8" t="n"/>
    </row>
    <row r="1204">
      <c r="A1204" s="7" t="n"/>
      <c r="B1204" s="8" t="n"/>
      <c r="C1204" s="8" t="n"/>
    </row>
    <row r="1205">
      <c r="A1205" s="7" t="n"/>
      <c r="B1205" s="8" t="n"/>
      <c r="C1205" s="8" t="n"/>
    </row>
    <row r="1206">
      <c r="A1206" s="7" t="n"/>
      <c r="B1206" s="8" t="n"/>
      <c r="C1206" s="8" t="n"/>
    </row>
    <row r="1207">
      <c r="A1207" s="7" t="n"/>
      <c r="B1207" s="8" t="n"/>
      <c r="C1207" s="8" t="n"/>
    </row>
    <row r="1208">
      <c r="A1208" s="7" t="n"/>
      <c r="B1208" s="8" t="n"/>
      <c r="C1208" s="8" t="n"/>
    </row>
    <row r="1209">
      <c r="A1209" s="7" t="n"/>
      <c r="B1209" s="8" t="n"/>
      <c r="C1209" s="8" t="n"/>
    </row>
    <row r="1210">
      <c r="A1210" s="7" t="n"/>
      <c r="B1210" s="8" t="n"/>
      <c r="C1210" s="8" t="n"/>
    </row>
    <row r="1211">
      <c r="A1211" s="7" t="n"/>
      <c r="B1211" s="8" t="n"/>
      <c r="C1211" s="8" t="n"/>
    </row>
    <row r="1212">
      <c r="A1212" s="7" t="n"/>
      <c r="B1212" s="8" t="n"/>
      <c r="C1212" s="8" t="n"/>
    </row>
    <row r="1213">
      <c r="A1213" s="7" t="n"/>
      <c r="B1213" s="8" t="n"/>
      <c r="C1213" s="8" t="n"/>
    </row>
    <row r="1214">
      <c r="A1214" s="7" t="n"/>
      <c r="B1214" s="8" t="n"/>
      <c r="C1214" s="8" t="n"/>
    </row>
    <row r="1215">
      <c r="A1215" s="7" t="n"/>
      <c r="B1215" s="8" t="n"/>
      <c r="C1215" s="8" t="n"/>
    </row>
    <row r="1216">
      <c r="A1216" s="7" t="n"/>
      <c r="B1216" s="8" t="n"/>
      <c r="C1216" s="8" t="n"/>
    </row>
    <row r="1217">
      <c r="A1217" s="7" t="n"/>
      <c r="B1217" s="8" t="n"/>
      <c r="C1217" s="8" t="n"/>
    </row>
    <row r="1218">
      <c r="A1218" s="7" t="n"/>
      <c r="B1218" s="8" t="n"/>
      <c r="C1218" s="8" t="n"/>
    </row>
    <row r="1219">
      <c r="A1219" s="7" t="n"/>
      <c r="B1219" s="8" t="n"/>
      <c r="C1219" s="8" t="n"/>
    </row>
    <row r="1220">
      <c r="A1220" s="7" t="n"/>
      <c r="B1220" s="8" t="n"/>
      <c r="C1220" s="8" t="n"/>
    </row>
    <row r="1221">
      <c r="A1221" s="7" t="n"/>
      <c r="B1221" s="8" t="n"/>
      <c r="C1221" s="8" t="n"/>
    </row>
    <row r="1222">
      <c r="A1222" s="7" t="n"/>
      <c r="B1222" s="8" t="n"/>
      <c r="C1222" s="8" t="n"/>
    </row>
    <row r="1223">
      <c r="A1223" s="7" t="n"/>
      <c r="B1223" s="8" t="n"/>
      <c r="C1223" s="8" t="n"/>
    </row>
    <row r="1224">
      <c r="A1224" s="7" t="n"/>
      <c r="B1224" s="8" t="n"/>
      <c r="C1224" s="8" t="n"/>
    </row>
    <row r="1225">
      <c r="A1225" s="7" t="n"/>
      <c r="B1225" s="8" t="n"/>
      <c r="C1225" s="8" t="n"/>
    </row>
    <row r="1226">
      <c r="A1226" s="7" t="n"/>
      <c r="B1226" s="8" t="n"/>
      <c r="C1226" s="8" t="n"/>
    </row>
    <row r="1227">
      <c r="A1227" s="7" t="n"/>
      <c r="B1227" s="8" t="n"/>
      <c r="C1227" s="8" t="n"/>
    </row>
    <row r="1228">
      <c r="A1228" s="7" t="n"/>
      <c r="B1228" s="8" t="n"/>
      <c r="C1228" s="8" t="n"/>
    </row>
    <row r="1229">
      <c r="A1229" s="7" t="n"/>
      <c r="B1229" s="8" t="n"/>
      <c r="C1229" s="8" t="n"/>
    </row>
    <row r="1230">
      <c r="A1230" s="7" t="n"/>
      <c r="B1230" s="8" t="n"/>
      <c r="C1230" s="8" t="n"/>
    </row>
    <row r="1231">
      <c r="A1231" s="7" t="n"/>
      <c r="B1231" s="8" t="n"/>
      <c r="C1231" s="8" t="n"/>
    </row>
    <row r="1232">
      <c r="A1232" s="7" t="n"/>
      <c r="B1232" s="8" t="n"/>
      <c r="C1232" s="8" t="n"/>
    </row>
    <row r="1233">
      <c r="A1233" s="7" t="n"/>
      <c r="B1233" s="8" t="n"/>
      <c r="C1233" s="8" t="n"/>
    </row>
    <row r="1234">
      <c r="A1234" s="7" t="n"/>
      <c r="B1234" s="8" t="n"/>
      <c r="C1234" s="8" t="n"/>
    </row>
    <row r="1235">
      <c r="A1235" s="7" t="n"/>
      <c r="B1235" s="8" t="n"/>
      <c r="C1235" s="8" t="n"/>
    </row>
    <row r="1236">
      <c r="A1236" s="7" t="n"/>
      <c r="B1236" s="8" t="n"/>
      <c r="C1236" s="8" t="n"/>
    </row>
    <row r="1237">
      <c r="A1237" s="7" t="n"/>
      <c r="B1237" s="8" t="n"/>
      <c r="C1237" s="8" t="n"/>
    </row>
    <row r="1238">
      <c r="A1238" s="7" t="n"/>
      <c r="B1238" s="8" t="n"/>
      <c r="C1238" s="8" t="n"/>
    </row>
    <row r="1239">
      <c r="A1239" s="7" t="n"/>
      <c r="B1239" s="8" t="n"/>
      <c r="C1239" s="8" t="n"/>
    </row>
    <row r="1240">
      <c r="A1240" s="7" t="n"/>
      <c r="B1240" s="8" t="n"/>
      <c r="C1240" s="8" t="n"/>
    </row>
    <row r="1241">
      <c r="A1241" s="7" t="n"/>
      <c r="B1241" s="8" t="n"/>
      <c r="C1241" s="8" t="n"/>
    </row>
    <row r="1242">
      <c r="A1242" s="7" t="n"/>
      <c r="B1242" s="8" t="n"/>
      <c r="C1242" s="8" t="n"/>
    </row>
    <row r="1243">
      <c r="A1243" s="7" t="n"/>
      <c r="B1243" s="8" t="n"/>
      <c r="C1243" s="8" t="n"/>
    </row>
    <row r="1244">
      <c r="A1244" s="7" t="n"/>
      <c r="B1244" s="8" t="n"/>
      <c r="C1244" s="8" t="n"/>
    </row>
    <row r="1245">
      <c r="A1245" s="7" t="n"/>
      <c r="B1245" s="8" t="n"/>
      <c r="C1245" s="8" t="n"/>
    </row>
    <row r="1246">
      <c r="A1246" s="7" t="n"/>
      <c r="B1246" s="8" t="n"/>
      <c r="C1246" s="8" t="n"/>
    </row>
    <row r="1247">
      <c r="A1247" s="7" t="n"/>
      <c r="B1247" s="8" t="n"/>
      <c r="C1247" s="8" t="n"/>
    </row>
    <row r="1248">
      <c r="A1248" s="7" t="n"/>
      <c r="B1248" s="8" t="n"/>
      <c r="C1248" s="8" t="n"/>
    </row>
    <row r="1249">
      <c r="A1249" s="7" t="n"/>
      <c r="B1249" s="8" t="n"/>
      <c r="C1249" s="8" t="n"/>
    </row>
    <row r="1250">
      <c r="A1250" s="7" t="n"/>
      <c r="B1250" s="8" t="n"/>
      <c r="C1250" s="8" t="n"/>
    </row>
    <row r="1251">
      <c r="A1251" s="7" t="n"/>
      <c r="B1251" s="8" t="n"/>
      <c r="C1251" s="8" t="n"/>
    </row>
    <row r="1252">
      <c r="A1252" s="7" t="n"/>
      <c r="B1252" s="8" t="n"/>
      <c r="C1252" s="8" t="n"/>
    </row>
    <row r="1253">
      <c r="A1253" s="7" t="n"/>
      <c r="B1253" s="8" t="n"/>
      <c r="C1253" s="8" t="n"/>
    </row>
    <row r="1254">
      <c r="A1254" s="7" t="n"/>
      <c r="B1254" s="8" t="n"/>
      <c r="C1254" s="8" t="n"/>
    </row>
    <row r="1255">
      <c r="A1255" s="7" t="n"/>
      <c r="B1255" s="8" t="n"/>
      <c r="C1255" s="8" t="n"/>
    </row>
    <row r="1256">
      <c r="A1256" s="7" t="n"/>
      <c r="B1256" s="8" t="n"/>
      <c r="C1256" s="8" t="n"/>
    </row>
    <row r="1257">
      <c r="A1257" s="7" t="n"/>
      <c r="B1257" s="8" t="n"/>
      <c r="C1257" s="8" t="n"/>
    </row>
    <row r="1258">
      <c r="A1258" s="7" t="n"/>
      <c r="B1258" s="8" t="n"/>
      <c r="C1258" s="8" t="n"/>
    </row>
    <row r="1259">
      <c r="A1259" s="7" t="n"/>
      <c r="B1259" s="8" t="n"/>
      <c r="C1259" s="8" t="n"/>
    </row>
    <row r="1260">
      <c r="A1260" s="7" t="n"/>
      <c r="B1260" s="8" t="n"/>
      <c r="C1260" s="8" t="n"/>
    </row>
    <row r="1261">
      <c r="A1261" s="7" t="n"/>
      <c r="B1261" s="8" t="n"/>
      <c r="C1261" s="8" t="n"/>
    </row>
    <row r="1262">
      <c r="A1262" s="7" t="n"/>
      <c r="B1262" s="8" t="n"/>
      <c r="C1262" s="8" t="n"/>
    </row>
    <row r="1263">
      <c r="A1263" s="7" t="n"/>
      <c r="B1263" s="8" t="n"/>
      <c r="C1263" s="8" t="n"/>
    </row>
    <row r="1264">
      <c r="A1264" s="7" t="n"/>
      <c r="B1264" s="8" t="n"/>
      <c r="C1264" s="8" t="n"/>
    </row>
    <row r="1265">
      <c r="A1265" s="7" t="n"/>
      <c r="B1265" s="8" t="n"/>
      <c r="C1265" s="8" t="n"/>
    </row>
    <row r="1266">
      <c r="A1266" s="7" t="n"/>
      <c r="B1266" s="8" t="n"/>
      <c r="C1266" s="8" t="n"/>
    </row>
    <row r="1267">
      <c r="A1267" s="7" t="n"/>
      <c r="B1267" s="8" t="n"/>
      <c r="C1267" s="8" t="n"/>
    </row>
    <row r="1268">
      <c r="A1268" s="7" t="n"/>
      <c r="B1268" s="8" t="n"/>
      <c r="C1268" s="8" t="n"/>
    </row>
    <row r="1269">
      <c r="A1269" s="7" t="n"/>
      <c r="B1269" s="8" t="n"/>
      <c r="C1269" s="8" t="n"/>
    </row>
    <row r="1270">
      <c r="A1270" s="7" t="n"/>
      <c r="B1270" s="8" t="n"/>
      <c r="C1270" s="8" t="n"/>
    </row>
    <row r="1271">
      <c r="A1271" s="7" t="n"/>
      <c r="B1271" s="8" t="n"/>
      <c r="C1271" s="8" t="n"/>
    </row>
    <row r="1272">
      <c r="A1272" s="7" t="n"/>
      <c r="B1272" s="8" t="n"/>
      <c r="C1272" s="8" t="n"/>
    </row>
    <row r="1273">
      <c r="A1273" s="7" t="n"/>
      <c r="B1273" s="8" t="n"/>
      <c r="C1273" s="8" t="n"/>
    </row>
    <row r="1274">
      <c r="A1274" s="7" t="n"/>
      <c r="B1274" s="8" t="n"/>
      <c r="C1274" s="8" t="n"/>
    </row>
    <row r="1275">
      <c r="A1275" s="7" t="n"/>
      <c r="B1275" s="8" t="n"/>
      <c r="C1275" s="8" t="n"/>
    </row>
    <row r="1276">
      <c r="A1276" s="7" t="n"/>
      <c r="B1276" s="8" t="n"/>
      <c r="C1276" s="8" t="n"/>
    </row>
    <row r="1277">
      <c r="A1277" s="7" t="n"/>
      <c r="B1277" s="8" t="n"/>
      <c r="C1277" s="8" t="n"/>
    </row>
    <row r="1278">
      <c r="A1278" s="7" t="n"/>
      <c r="B1278" s="8" t="n"/>
      <c r="C1278" s="8" t="n"/>
    </row>
    <row r="1279">
      <c r="A1279" s="7" t="n"/>
      <c r="B1279" s="8" t="n"/>
      <c r="C1279" s="8" t="n"/>
    </row>
    <row r="1280">
      <c r="A1280" s="7" t="n"/>
      <c r="B1280" s="8" t="n"/>
      <c r="C1280" s="8" t="n"/>
    </row>
    <row r="1281">
      <c r="A1281" s="7" t="n"/>
      <c r="B1281" s="8" t="n"/>
      <c r="C1281" s="8" t="n"/>
    </row>
    <row r="1282">
      <c r="A1282" s="7" t="n"/>
      <c r="B1282" s="8" t="n"/>
      <c r="C1282" s="8" t="n"/>
    </row>
    <row r="1283">
      <c r="A1283" s="7" t="n"/>
      <c r="B1283" s="8" t="n"/>
      <c r="C1283" s="8" t="n"/>
    </row>
    <row r="1284">
      <c r="A1284" s="7" t="n"/>
      <c r="B1284" s="8" t="n"/>
      <c r="C1284" s="8" t="n"/>
    </row>
    <row r="1285">
      <c r="A1285" s="7" t="n"/>
      <c r="B1285" s="8" t="n"/>
      <c r="C1285" s="8" t="n"/>
    </row>
    <row r="1286">
      <c r="A1286" s="7" t="n"/>
      <c r="B1286" s="8" t="n"/>
      <c r="C1286" s="8" t="n"/>
    </row>
    <row r="1287">
      <c r="A1287" s="7" t="n"/>
      <c r="B1287" s="8" t="n"/>
      <c r="C1287" s="8" t="n"/>
    </row>
    <row r="1288">
      <c r="A1288" s="7" t="n"/>
      <c r="B1288" s="8" t="n"/>
      <c r="C1288" s="8" t="n"/>
    </row>
    <row r="1289">
      <c r="A1289" s="7" t="n"/>
      <c r="B1289" s="8" t="n"/>
      <c r="C1289" s="8" t="n"/>
    </row>
    <row r="1290">
      <c r="A1290" s="7" t="n"/>
      <c r="B1290" s="8" t="n"/>
      <c r="C1290" s="8" t="n"/>
    </row>
    <row r="1291">
      <c r="A1291" s="7" t="n"/>
      <c r="B1291" s="8" t="n"/>
      <c r="C1291" s="8" t="n"/>
    </row>
    <row r="1292">
      <c r="A1292" s="7" t="n"/>
      <c r="B1292" s="8" t="n"/>
      <c r="C1292" s="8" t="n"/>
    </row>
    <row r="1293">
      <c r="A1293" s="7" t="n"/>
      <c r="B1293" s="8" t="n"/>
      <c r="C1293" s="8" t="n"/>
    </row>
    <row r="1294">
      <c r="A1294" s="7" t="n"/>
      <c r="B1294" s="8" t="n"/>
      <c r="C1294" s="8" t="n"/>
    </row>
    <row r="1295">
      <c r="A1295" s="7" t="n"/>
      <c r="B1295" s="8" t="n"/>
      <c r="C1295" s="8" t="n"/>
    </row>
    <row r="1296">
      <c r="A1296" s="7" t="n"/>
      <c r="B1296" s="8" t="n"/>
      <c r="C1296" s="8" t="n"/>
    </row>
    <row r="1297">
      <c r="A1297" s="7" t="n"/>
      <c r="B1297" s="8" t="n"/>
      <c r="C1297" s="8" t="n"/>
    </row>
    <row r="1298">
      <c r="A1298" s="7" t="n"/>
      <c r="B1298" s="8" t="n"/>
      <c r="C1298" s="8" t="n"/>
    </row>
    <row r="1299">
      <c r="A1299" s="7" t="n"/>
      <c r="B1299" s="8" t="n"/>
      <c r="C1299" s="8" t="n"/>
    </row>
    <row r="1300">
      <c r="A1300" s="7" t="n"/>
      <c r="B1300" s="8" t="n"/>
      <c r="C1300" s="8" t="n"/>
    </row>
    <row r="1301">
      <c r="A1301" s="7" t="n"/>
      <c r="B1301" s="8" t="n"/>
      <c r="C1301" s="8" t="n"/>
    </row>
    <row r="1302">
      <c r="A1302" s="7" t="n"/>
      <c r="B1302" s="8" t="n"/>
      <c r="C1302" s="8" t="n"/>
    </row>
    <row r="1303">
      <c r="A1303" s="7" t="n"/>
      <c r="B1303" s="8" t="n"/>
      <c r="C1303" s="8" t="n"/>
    </row>
    <row r="1304">
      <c r="A1304" s="7" t="n"/>
      <c r="B1304" s="8" t="n"/>
      <c r="C1304" s="8" t="n"/>
    </row>
    <row r="1305">
      <c r="A1305" s="7" t="n"/>
      <c r="B1305" s="8" t="n"/>
      <c r="C1305" s="8" t="n"/>
    </row>
    <row r="1306">
      <c r="A1306" s="7" t="n"/>
      <c r="B1306" s="8" t="n"/>
      <c r="C1306" s="8" t="n"/>
    </row>
    <row r="1307">
      <c r="A1307" s="7" t="n"/>
      <c r="B1307" s="8" t="n"/>
      <c r="C1307" s="8" t="n"/>
    </row>
    <row r="1308">
      <c r="A1308" s="7" t="n"/>
      <c r="B1308" s="8" t="n"/>
      <c r="C1308" s="8" t="n"/>
    </row>
    <row r="1309">
      <c r="A1309" s="7" t="n"/>
      <c r="B1309" s="8" t="n"/>
      <c r="C1309" s="8" t="n"/>
    </row>
    <row r="1310">
      <c r="A1310" s="7" t="n"/>
      <c r="B1310" s="8" t="n"/>
      <c r="C1310" s="8" t="n"/>
    </row>
    <row r="1311">
      <c r="A1311" s="7" t="n"/>
      <c r="B1311" s="8" t="n"/>
      <c r="C1311" s="8" t="n"/>
    </row>
    <row r="1312">
      <c r="A1312" s="7" t="n"/>
      <c r="B1312" s="8" t="n"/>
      <c r="C1312" s="8" t="n"/>
    </row>
    <row r="1313">
      <c r="A1313" s="7" t="n"/>
      <c r="B1313" s="8" t="n"/>
      <c r="C1313" s="8" t="n"/>
    </row>
    <row r="1314">
      <c r="A1314" s="7" t="n"/>
      <c r="B1314" s="8" t="n"/>
      <c r="C1314" s="8" t="n"/>
    </row>
    <row r="1315">
      <c r="A1315" s="7" t="n"/>
      <c r="B1315" s="8" t="n"/>
      <c r="C1315" s="8" t="n"/>
    </row>
    <row r="1316">
      <c r="A1316" s="7" t="n"/>
      <c r="B1316" s="8" t="n"/>
      <c r="C1316" s="8" t="n"/>
    </row>
    <row r="1317">
      <c r="A1317" s="7" t="n"/>
      <c r="B1317" s="8" t="n"/>
      <c r="C1317" s="8" t="n"/>
    </row>
    <row r="1318">
      <c r="A1318" s="7" t="n"/>
      <c r="B1318" s="8" t="n"/>
      <c r="C1318" s="8" t="n"/>
    </row>
    <row r="1319">
      <c r="A1319" s="7" t="n"/>
      <c r="B1319" s="8" t="n"/>
      <c r="C1319" s="8" t="n"/>
    </row>
    <row r="1320">
      <c r="A1320" s="7" t="n"/>
      <c r="B1320" s="8" t="n"/>
      <c r="C1320" s="8" t="n"/>
    </row>
    <row r="1321">
      <c r="A1321" s="7" t="n"/>
      <c r="B1321" s="8" t="n"/>
      <c r="C1321" s="8" t="n"/>
    </row>
    <row r="1322">
      <c r="A1322" s="7" t="n"/>
      <c r="B1322" s="8" t="n"/>
      <c r="C1322" s="8" t="n"/>
    </row>
    <row r="1323">
      <c r="A1323" s="7" t="n"/>
      <c r="B1323" s="8" t="n"/>
      <c r="C1323" s="8" t="n"/>
    </row>
    <row r="1324">
      <c r="A1324" s="7" t="n"/>
      <c r="B1324" s="8" t="n"/>
      <c r="C1324" s="8" t="n"/>
    </row>
    <row r="1325">
      <c r="A1325" s="7" t="n"/>
      <c r="B1325" s="8" t="n"/>
      <c r="C1325" s="8" t="n"/>
    </row>
    <row r="1326">
      <c r="A1326" s="7" t="n"/>
      <c r="B1326" s="8" t="n"/>
      <c r="C1326" s="8" t="n"/>
    </row>
    <row r="1327">
      <c r="A1327" s="7" t="n"/>
      <c r="B1327" s="8" t="n"/>
      <c r="C1327" s="8" t="n"/>
    </row>
    <row r="1328">
      <c r="A1328" s="7" t="n"/>
      <c r="B1328" s="8" t="n"/>
      <c r="C1328" s="8" t="n"/>
    </row>
    <row r="1329">
      <c r="A1329" s="7" t="n"/>
      <c r="B1329" s="8" t="n"/>
      <c r="C1329" s="8" t="n"/>
    </row>
    <row r="1330">
      <c r="A1330" s="7" t="n"/>
      <c r="B1330" s="8" t="n"/>
      <c r="C1330" s="8" t="n"/>
    </row>
    <row r="1331">
      <c r="A1331" s="7" t="n"/>
      <c r="B1331" s="8" t="n"/>
      <c r="C1331" s="8" t="n"/>
    </row>
    <row r="1332">
      <c r="A1332" s="7" t="n"/>
      <c r="B1332" s="8" t="n"/>
      <c r="C1332" s="8" t="n"/>
    </row>
    <row r="1333">
      <c r="A1333" s="7" t="n"/>
      <c r="B1333" s="8" t="n"/>
      <c r="C1333" s="8" t="n"/>
    </row>
    <row r="1334">
      <c r="A1334" s="7" t="n"/>
      <c r="B1334" s="8" t="n"/>
      <c r="C1334" s="8" t="n"/>
    </row>
    <row r="1335">
      <c r="A1335" s="7" t="n"/>
      <c r="B1335" s="8" t="n"/>
      <c r="C1335" s="8" t="n"/>
    </row>
    <row r="1336">
      <c r="A1336" s="7" t="n"/>
      <c r="B1336" s="8" t="n"/>
      <c r="C1336" s="8" t="n"/>
    </row>
    <row r="1337">
      <c r="A1337" s="7" t="n"/>
      <c r="B1337" s="8" t="n"/>
      <c r="C1337" s="8" t="n"/>
    </row>
    <row r="1338">
      <c r="A1338" s="7" t="n"/>
      <c r="B1338" s="8" t="n"/>
      <c r="C1338" s="8" t="n"/>
    </row>
    <row r="1339">
      <c r="A1339" s="7" t="n"/>
      <c r="B1339" s="8" t="n"/>
      <c r="C1339" s="8" t="n"/>
    </row>
    <row r="1340">
      <c r="A1340" s="7" t="n"/>
      <c r="B1340" s="8" t="n"/>
      <c r="C1340" s="8" t="n"/>
    </row>
    <row r="1341">
      <c r="A1341" s="7" t="n"/>
      <c r="B1341" s="8" t="n"/>
      <c r="C1341" s="8" t="n"/>
    </row>
    <row r="1342">
      <c r="A1342" s="7" t="n"/>
      <c r="B1342" s="8" t="n"/>
      <c r="C1342" s="8" t="n"/>
    </row>
    <row r="1343">
      <c r="A1343" s="7" t="n"/>
      <c r="B1343" s="8" t="n"/>
      <c r="C1343" s="8" t="n"/>
    </row>
    <row r="1344">
      <c r="A1344" s="7" t="n"/>
      <c r="B1344" s="8" t="n"/>
      <c r="C1344" s="8" t="n"/>
    </row>
    <row r="1345">
      <c r="A1345" s="7" t="n"/>
      <c r="B1345" s="8" t="n"/>
      <c r="C1345" s="8" t="n"/>
    </row>
    <row r="1346">
      <c r="A1346" s="7" t="n"/>
      <c r="B1346" s="8" t="n"/>
      <c r="C1346" s="8" t="n"/>
    </row>
    <row r="1347">
      <c r="A1347" s="7" t="n"/>
      <c r="B1347" s="8" t="n"/>
      <c r="C1347" s="8" t="n"/>
    </row>
    <row r="1348">
      <c r="A1348" s="7" t="n"/>
      <c r="B1348" s="8" t="n"/>
      <c r="C1348" s="8" t="n"/>
    </row>
    <row r="1349">
      <c r="A1349" s="7" t="n"/>
      <c r="B1349" s="8" t="n"/>
      <c r="C1349" s="8" t="n"/>
    </row>
    <row r="1350">
      <c r="A1350" s="7" t="n"/>
      <c r="B1350" s="8" t="n"/>
      <c r="C1350" s="8" t="n"/>
    </row>
    <row r="1351">
      <c r="A1351" s="7" t="n"/>
      <c r="B1351" s="8" t="n"/>
      <c r="C1351" s="8" t="n"/>
    </row>
    <row r="1352">
      <c r="A1352" s="7" t="n"/>
      <c r="B1352" s="8" t="n"/>
      <c r="C1352" s="8" t="n"/>
    </row>
    <row r="1353">
      <c r="A1353" s="7" t="n"/>
      <c r="B1353" s="8" t="n"/>
      <c r="C1353" s="8" t="n"/>
    </row>
    <row r="1354">
      <c r="A1354" s="7" t="n"/>
      <c r="B1354" s="8" t="n"/>
      <c r="C1354" s="8" t="n"/>
    </row>
    <row r="1355">
      <c r="A1355" s="7" t="n"/>
      <c r="B1355" s="8" t="n"/>
      <c r="C1355" s="8" t="n"/>
    </row>
    <row r="1356">
      <c r="A1356" s="7" t="n"/>
      <c r="B1356" s="8" t="n"/>
      <c r="C1356" s="8" t="n"/>
    </row>
    <row r="1357">
      <c r="A1357" s="7" t="n"/>
      <c r="B1357" s="8" t="n"/>
      <c r="C1357" s="8" t="n"/>
    </row>
    <row r="1358">
      <c r="A1358" s="7" t="n"/>
      <c r="B1358" s="8" t="n"/>
      <c r="C1358" s="8" t="n"/>
    </row>
    <row r="1359">
      <c r="A1359" s="7" t="n"/>
      <c r="B1359" s="8" t="n"/>
      <c r="C1359" s="8" t="n"/>
    </row>
    <row r="1360">
      <c r="A1360" s="7" t="n"/>
      <c r="B1360" s="8" t="n"/>
      <c r="C1360" s="8" t="n"/>
    </row>
    <row r="1361">
      <c r="A1361" s="7" t="n"/>
      <c r="B1361" s="8" t="n"/>
      <c r="C1361" s="8" t="n"/>
    </row>
    <row r="1362">
      <c r="A1362" s="7" t="n"/>
      <c r="B1362" s="8" t="n"/>
      <c r="C1362" s="8" t="n"/>
    </row>
    <row r="1363">
      <c r="A1363" s="7" t="n"/>
      <c r="B1363" s="8" t="n"/>
      <c r="C1363" s="8" t="n"/>
    </row>
    <row r="1364">
      <c r="A1364" s="7" t="n"/>
      <c r="B1364" s="8" t="n"/>
      <c r="C1364" s="8" t="n"/>
    </row>
    <row r="1365">
      <c r="A1365" s="7" t="n"/>
      <c r="B1365" s="8" t="n"/>
      <c r="C1365" s="8" t="n"/>
    </row>
    <row r="1366">
      <c r="A1366" s="7" t="n"/>
      <c r="B1366" s="8" t="n"/>
      <c r="C1366" s="8" t="n"/>
    </row>
    <row r="1367">
      <c r="A1367" s="7" t="n"/>
      <c r="B1367" s="8" t="n"/>
      <c r="C1367" s="8" t="n"/>
    </row>
    <row r="1368">
      <c r="A1368" s="7" t="n"/>
      <c r="B1368" s="8" t="n"/>
      <c r="C1368" s="8" t="n"/>
    </row>
    <row r="1369">
      <c r="A1369" s="7" t="n"/>
      <c r="B1369" s="8" t="n"/>
      <c r="C1369" s="8" t="n"/>
    </row>
    <row r="1370">
      <c r="A1370" s="7" t="n"/>
      <c r="B1370" s="8" t="n"/>
      <c r="C1370" s="8" t="n"/>
    </row>
    <row r="1371">
      <c r="A1371" s="7" t="n"/>
      <c r="B1371" s="8" t="n"/>
      <c r="C1371" s="8" t="n"/>
    </row>
    <row r="1372">
      <c r="A1372" s="7" t="n"/>
      <c r="B1372" s="8" t="n"/>
      <c r="C1372" s="8" t="n"/>
    </row>
    <row r="1373">
      <c r="A1373" s="7" t="n"/>
      <c r="B1373" s="8" t="n"/>
      <c r="C1373" s="8" t="n"/>
    </row>
    <row r="1374">
      <c r="A1374" s="7" t="n"/>
      <c r="B1374" s="8" t="n"/>
      <c r="C1374" s="8" t="n"/>
    </row>
    <row r="1375">
      <c r="A1375" s="7" t="n"/>
      <c r="B1375" s="8" t="n"/>
      <c r="C1375" s="8" t="n"/>
    </row>
    <row r="1376">
      <c r="A1376" s="7" t="n"/>
      <c r="B1376" s="8" t="n"/>
      <c r="C1376" s="8" t="n"/>
    </row>
    <row r="1377">
      <c r="A1377" s="7" t="n"/>
      <c r="B1377" s="8" t="n"/>
      <c r="C1377" s="8" t="n"/>
    </row>
    <row r="1378">
      <c r="A1378" s="7" t="n"/>
      <c r="B1378" s="8" t="n"/>
      <c r="C1378" s="8" t="n"/>
    </row>
    <row r="1379">
      <c r="A1379" s="7" t="n"/>
      <c r="B1379" s="8" t="n"/>
      <c r="C1379" s="8" t="n"/>
    </row>
    <row r="1380">
      <c r="A1380" s="7" t="n"/>
      <c r="B1380" s="8" t="n"/>
      <c r="C1380" s="8" t="n"/>
    </row>
    <row r="1381">
      <c r="A1381" s="7" t="n"/>
      <c r="B1381" s="8" t="n"/>
      <c r="C1381" s="8" t="n"/>
    </row>
    <row r="1382">
      <c r="A1382" s="7" t="n"/>
      <c r="B1382" s="8" t="n"/>
      <c r="C1382" s="8" t="n"/>
    </row>
    <row r="1383">
      <c r="A1383" s="7" t="n"/>
      <c r="B1383" s="8" t="n"/>
      <c r="C1383" s="8" t="n"/>
    </row>
    <row r="1384">
      <c r="A1384" s="7" t="n"/>
      <c r="B1384" s="8" t="n"/>
      <c r="C1384" s="8" t="n"/>
    </row>
    <row r="1385">
      <c r="A1385" s="7" t="n"/>
      <c r="B1385" s="8" t="n"/>
      <c r="C1385" s="8" t="n"/>
    </row>
    <row r="1386">
      <c r="A1386" s="7" t="n"/>
      <c r="B1386" s="8" t="n"/>
      <c r="C1386" s="8" t="n"/>
    </row>
    <row r="1387">
      <c r="A1387" s="7" t="n"/>
      <c r="B1387" s="8" t="n"/>
      <c r="C1387" s="8" t="n"/>
    </row>
    <row r="1388">
      <c r="A1388" s="7" t="n"/>
      <c r="B1388" s="8" t="n"/>
      <c r="C1388" s="8" t="n"/>
    </row>
    <row r="1389">
      <c r="A1389" s="7" t="n"/>
      <c r="B1389" s="8" t="n"/>
      <c r="C1389" s="8" t="n"/>
    </row>
    <row r="1390">
      <c r="A1390" s="7" t="n"/>
      <c r="B1390" s="8" t="n"/>
      <c r="C1390" s="8" t="n"/>
    </row>
    <row r="1391">
      <c r="A1391" s="7" t="n"/>
      <c r="B1391" s="8" t="n"/>
      <c r="C1391" s="8" t="n"/>
    </row>
    <row r="1392">
      <c r="A1392" s="7" t="n"/>
      <c r="B1392" s="8" t="n"/>
      <c r="C1392" s="8" t="n"/>
    </row>
    <row r="1393">
      <c r="A1393" s="7" t="n"/>
      <c r="B1393" s="8" t="n"/>
      <c r="C1393" s="8" t="n"/>
    </row>
    <row r="1394">
      <c r="A1394" s="7" t="n"/>
      <c r="B1394" s="8" t="n"/>
      <c r="C1394" s="8" t="n"/>
    </row>
    <row r="1395">
      <c r="A1395" s="7" t="n"/>
      <c r="B1395" s="8" t="n"/>
      <c r="C1395" s="8" t="n"/>
    </row>
    <row r="1396">
      <c r="A1396" s="7" t="n"/>
      <c r="B1396" s="8" t="n"/>
      <c r="C1396" s="8" t="n"/>
    </row>
    <row r="1397">
      <c r="A1397" s="7" t="n"/>
      <c r="B1397" s="8" t="n"/>
      <c r="C1397" s="8" t="n"/>
    </row>
    <row r="1398">
      <c r="A1398" s="7" t="n"/>
      <c r="B1398" s="8" t="n"/>
      <c r="C1398" s="8" t="n"/>
    </row>
    <row r="1399">
      <c r="A1399" s="7" t="n"/>
      <c r="B1399" s="8" t="n"/>
      <c r="C1399" s="8" t="n"/>
    </row>
    <row r="1400">
      <c r="A1400" s="7" t="n"/>
      <c r="B1400" s="8" t="n"/>
      <c r="C1400" s="8" t="n"/>
    </row>
    <row r="1401">
      <c r="A1401" s="7" t="n"/>
      <c r="B1401" s="8" t="n"/>
      <c r="C1401" s="8" t="n"/>
    </row>
    <row r="1402">
      <c r="A1402" s="7" t="n"/>
      <c r="B1402" s="8" t="n"/>
      <c r="C1402" s="8" t="n"/>
    </row>
    <row r="1403">
      <c r="A1403" s="7" t="n"/>
      <c r="B1403" s="8" t="n"/>
      <c r="C1403" s="8" t="n"/>
    </row>
    <row r="1404">
      <c r="A1404" s="7" t="n"/>
      <c r="B1404" s="8" t="n"/>
      <c r="C1404" s="8" t="n"/>
    </row>
    <row r="1405">
      <c r="A1405" s="7" t="n"/>
      <c r="B1405" s="8" t="n"/>
      <c r="C1405" s="8" t="n"/>
    </row>
    <row r="1406">
      <c r="A1406" s="7" t="n"/>
      <c r="B1406" s="8" t="n"/>
      <c r="C1406" s="8" t="n"/>
    </row>
    <row r="1407">
      <c r="A1407" s="7" t="n"/>
      <c r="B1407" s="8" t="n"/>
      <c r="C1407" s="8" t="n"/>
    </row>
    <row r="1408">
      <c r="A1408" s="7" t="n"/>
      <c r="B1408" s="8" t="n"/>
      <c r="C1408" s="8" t="n"/>
    </row>
    <row r="1409">
      <c r="A1409" s="7" t="n"/>
      <c r="B1409" s="8" t="n"/>
      <c r="C1409" s="8" t="n"/>
    </row>
    <row r="1410">
      <c r="A1410" s="7" t="n"/>
      <c r="B1410" s="8" t="n"/>
      <c r="C1410" s="8" t="n"/>
    </row>
    <row r="1411">
      <c r="A1411" s="7" t="n"/>
      <c r="B1411" s="8" t="n"/>
      <c r="C1411" s="8" t="n"/>
    </row>
    <row r="1412">
      <c r="A1412" s="7" t="n"/>
      <c r="B1412" s="8" t="n"/>
      <c r="C1412" s="8" t="n"/>
    </row>
    <row r="1413">
      <c r="A1413" s="7" t="n"/>
      <c r="B1413" s="8" t="n"/>
      <c r="C1413" s="8" t="n"/>
    </row>
    <row r="1414">
      <c r="A1414" s="7" t="n"/>
      <c r="B1414" s="8" t="n"/>
      <c r="C1414" s="8" t="n"/>
    </row>
    <row r="1415">
      <c r="A1415" s="7" t="n"/>
      <c r="B1415" s="8" t="n"/>
      <c r="C1415" s="8" t="n"/>
    </row>
    <row r="1416">
      <c r="A1416" s="7" t="n"/>
      <c r="B1416" s="8" t="n"/>
      <c r="C1416" s="8" t="n"/>
    </row>
    <row r="1417">
      <c r="A1417" s="7" t="n"/>
      <c r="B1417" s="8" t="n"/>
      <c r="C1417" s="8" t="n"/>
    </row>
    <row r="1418">
      <c r="A1418" s="7" t="n"/>
      <c r="B1418" s="8" t="n"/>
      <c r="C1418" s="8" t="n"/>
    </row>
    <row r="1419">
      <c r="A1419" s="7" t="n"/>
      <c r="B1419" s="8" t="n"/>
      <c r="C1419" s="8" t="n"/>
    </row>
    <row r="1420">
      <c r="A1420" s="7" t="n"/>
      <c r="B1420" s="8" t="n"/>
      <c r="C1420" s="8" t="n"/>
    </row>
    <row r="1421">
      <c r="A1421" s="7" t="n"/>
      <c r="B1421" s="8" t="n"/>
      <c r="C1421" s="8" t="n"/>
    </row>
    <row r="1422">
      <c r="A1422" s="7" t="n"/>
      <c r="B1422" s="8" t="n"/>
      <c r="C1422" s="8" t="n"/>
    </row>
    <row r="1423">
      <c r="A1423" s="7" t="n"/>
      <c r="B1423" s="8" t="n"/>
      <c r="C1423" s="8" t="n"/>
    </row>
    <row r="1424">
      <c r="A1424" s="7" t="n"/>
      <c r="B1424" s="8" t="n"/>
      <c r="C1424" s="8" t="n"/>
    </row>
    <row r="1425">
      <c r="A1425" s="7" t="n"/>
      <c r="B1425" s="8" t="n"/>
      <c r="C1425" s="8" t="n"/>
    </row>
    <row r="1426">
      <c r="A1426" s="7" t="n"/>
      <c r="B1426" s="8" t="n"/>
      <c r="C1426" s="8" t="n"/>
    </row>
    <row r="1427">
      <c r="A1427" s="7" t="n"/>
      <c r="B1427" s="8" t="n"/>
      <c r="C1427" s="8" t="n"/>
    </row>
    <row r="1428">
      <c r="A1428" s="7" t="n"/>
      <c r="B1428" s="8" t="n"/>
      <c r="C1428" s="8" t="n"/>
    </row>
    <row r="1429">
      <c r="A1429" s="7" t="n"/>
      <c r="B1429" s="8" t="n"/>
      <c r="C1429" s="8" t="n"/>
    </row>
    <row r="1430">
      <c r="A1430" s="7" t="n"/>
      <c r="B1430" s="8" t="n"/>
      <c r="C1430" s="8" t="n"/>
    </row>
    <row r="1431">
      <c r="A1431" s="7" t="n"/>
      <c r="B1431" s="8" t="n"/>
      <c r="C1431" s="8" t="n"/>
    </row>
    <row r="1432">
      <c r="A1432" s="7" t="n"/>
      <c r="B1432" s="8" t="n"/>
      <c r="C1432" s="8" t="n"/>
    </row>
    <row r="1433">
      <c r="A1433" s="7" t="n"/>
      <c r="B1433" s="8" t="n"/>
      <c r="C1433" s="8" t="n"/>
    </row>
    <row r="1434">
      <c r="A1434" s="7" t="n"/>
      <c r="B1434" s="8" t="n"/>
      <c r="C1434" s="8" t="n"/>
    </row>
    <row r="1435">
      <c r="A1435" s="7" t="n"/>
      <c r="B1435" s="8" t="n"/>
      <c r="C1435" s="8" t="n"/>
    </row>
    <row r="1436">
      <c r="A1436" s="7" t="n"/>
      <c r="B1436" s="8" t="n"/>
      <c r="C1436" s="8" t="n"/>
    </row>
    <row r="1437">
      <c r="A1437" s="7" t="n"/>
      <c r="B1437" s="8" t="n"/>
      <c r="C1437" s="8" t="n"/>
    </row>
    <row r="1438">
      <c r="A1438" s="7" t="n"/>
      <c r="B1438" s="8" t="n"/>
      <c r="C1438" s="8" t="n"/>
    </row>
    <row r="1439">
      <c r="A1439" s="7" t="n"/>
      <c r="B1439" s="8" t="n"/>
      <c r="C1439" s="8" t="n"/>
    </row>
    <row r="1440">
      <c r="A1440" s="7" t="n"/>
      <c r="B1440" s="8" t="n"/>
      <c r="C1440" s="8" t="n"/>
    </row>
    <row r="1441">
      <c r="A1441" s="7" t="n"/>
      <c r="B1441" s="8" t="n"/>
      <c r="C1441" s="8" t="n"/>
    </row>
    <row r="1442">
      <c r="A1442" s="7" t="n"/>
      <c r="B1442" s="8" t="n"/>
      <c r="C1442" s="8" t="n"/>
    </row>
    <row r="1443">
      <c r="A1443" s="7" t="n"/>
      <c r="B1443" s="8" t="n"/>
      <c r="C1443" s="8" t="n"/>
    </row>
    <row r="1444">
      <c r="A1444" s="7" t="n"/>
      <c r="B1444" s="8" t="n"/>
      <c r="C1444" s="8" t="n"/>
    </row>
    <row r="1445">
      <c r="A1445" s="7" t="n"/>
      <c r="B1445" s="8" t="n"/>
      <c r="C1445" s="8" t="n"/>
    </row>
    <row r="1446">
      <c r="A1446" s="7" t="n"/>
      <c r="B1446" s="8" t="n"/>
      <c r="C1446" s="8" t="n"/>
    </row>
    <row r="1447">
      <c r="A1447" s="7" t="n"/>
      <c r="B1447" s="8" t="n"/>
      <c r="C1447" s="8" t="n"/>
    </row>
    <row r="1448">
      <c r="A1448" s="7" t="n"/>
      <c r="B1448" s="8" t="n"/>
      <c r="C1448" s="8" t="n"/>
    </row>
    <row r="1449">
      <c r="A1449" s="7" t="n"/>
      <c r="B1449" s="8" t="n"/>
      <c r="C1449" s="8" t="n"/>
    </row>
    <row r="1450">
      <c r="A1450" s="7" t="n"/>
      <c r="B1450" s="8" t="n"/>
      <c r="C1450" s="8" t="n"/>
    </row>
    <row r="1451">
      <c r="A1451" s="7" t="n"/>
      <c r="B1451" s="8" t="n"/>
      <c r="C1451" s="8" t="n"/>
    </row>
    <row r="1452">
      <c r="A1452" s="7" t="n"/>
      <c r="B1452" s="8" t="n"/>
      <c r="C1452" s="8" t="n"/>
    </row>
    <row r="1453">
      <c r="A1453" s="7" t="n"/>
      <c r="B1453" s="8" t="n"/>
      <c r="C1453" s="8" t="n"/>
    </row>
    <row r="1454">
      <c r="A1454" s="7" t="n"/>
      <c r="B1454" s="8" t="n"/>
      <c r="C1454" s="8" t="n"/>
    </row>
    <row r="1455">
      <c r="A1455" s="7" t="n"/>
      <c r="B1455" s="8" t="n"/>
      <c r="C1455" s="8" t="n"/>
    </row>
    <row r="1456">
      <c r="A1456" s="7" t="n"/>
      <c r="B1456" s="8" t="n"/>
      <c r="C1456" s="8" t="n"/>
    </row>
    <row r="1457">
      <c r="A1457" s="7" t="n"/>
      <c r="B1457" s="8" t="n"/>
      <c r="C1457" s="8" t="n"/>
    </row>
    <row r="1458">
      <c r="A1458" s="7" t="n"/>
      <c r="B1458" s="8" t="n"/>
      <c r="C1458" s="8" t="n"/>
    </row>
    <row r="1459">
      <c r="A1459" s="7" t="n"/>
      <c r="B1459" s="8" t="n"/>
      <c r="C1459" s="8" t="n"/>
    </row>
    <row r="1460">
      <c r="A1460" s="7" t="n"/>
      <c r="B1460" s="8" t="n"/>
      <c r="C1460" s="8" t="n"/>
    </row>
    <row r="1461">
      <c r="A1461" s="7" t="n"/>
      <c r="B1461" s="8" t="n"/>
      <c r="C1461" s="8" t="n"/>
    </row>
    <row r="1462">
      <c r="A1462" s="7" t="n"/>
      <c r="B1462" s="8" t="n"/>
      <c r="C1462" s="8" t="n"/>
    </row>
    <row r="1463">
      <c r="A1463" s="7" t="n"/>
      <c r="B1463" s="8" t="n"/>
      <c r="C1463" s="8" t="n"/>
    </row>
    <row r="1464">
      <c r="A1464" s="7" t="n"/>
      <c r="B1464" s="8" t="n"/>
      <c r="C1464" s="8" t="n"/>
    </row>
    <row r="1465">
      <c r="A1465" s="7" t="n"/>
      <c r="B1465" s="8" t="n"/>
      <c r="C1465" s="8" t="n"/>
    </row>
    <row r="1466">
      <c r="A1466" s="7" t="n"/>
      <c r="B1466" s="8" t="n"/>
      <c r="C1466" s="8" t="n"/>
    </row>
    <row r="1467">
      <c r="A1467" s="7" t="n"/>
      <c r="B1467" s="8" t="n"/>
      <c r="C1467" s="8" t="n"/>
    </row>
    <row r="1468">
      <c r="A1468" s="7" t="n"/>
      <c r="B1468" s="8" t="n"/>
      <c r="C1468" s="8" t="n"/>
    </row>
    <row r="1469">
      <c r="A1469" s="7" t="n"/>
      <c r="B1469" s="8" t="n"/>
      <c r="C1469" s="8" t="n"/>
    </row>
    <row r="1470">
      <c r="A1470" s="7" t="n"/>
      <c r="B1470" s="8" t="n"/>
      <c r="C1470" s="8" t="n"/>
    </row>
    <row r="1471">
      <c r="A1471" s="7" t="n"/>
      <c r="B1471" s="8" t="n"/>
      <c r="C1471" s="8" t="n"/>
    </row>
    <row r="1472">
      <c r="A1472" s="7" t="n"/>
      <c r="B1472" s="8" t="n"/>
      <c r="C1472" s="8" t="n"/>
    </row>
    <row r="1473">
      <c r="A1473" s="7" t="n"/>
      <c r="B1473" s="8" t="n"/>
      <c r="C1473" s="8" t="n"/>
    </row>
    <row r="1474">
      <c r="A1474" s="7" t="n"/>
      <c r="B1474" s="8" t="n"/>
      <c r="C1474" s="8" t="n"/>
    </row>
    <row r="1475">
      <c r="A1475" s="7" t="n"/>
      <c r="B1475" s="8" t="n"/>
      <c r="C1475" s="8" t="n"/>
    </row>
    <row r="1476">
      <c r="A1476" s="7" t="n"/>
      <c r="B1476" s="8" t="n"/>
      <c r="C1476" s="8" t="n"/>
    </row>
    <row r="1477">
      <c r="A1477" s="7" t="n"/>
      <c r="B1477" s="8" t="n"/>
      <c r="C1477" s="8" t="n"/>
    </row>
    <row r="1478">
      <c r="A1478" s="7" t="n"/>
      <c r="B1478" s="8" t="n"/>
      <c r="C1478" s="8" t="n"/>
    </row>
    <row r="1479">
      <c r="A1479" s="7" t="n"/>
      <c r="B1479" s="8" t="n"/>
      <c r="C1479" s="8" t="n"/>
    </row>
    <row r="1480">
      <c r="A1480" s="7" t="n"/>
      <c r="B1480" s="8" t="n"/>
      <c r="C1480" s="8" t="n"/>
    </row>
    <row r="1481">
      <c r="A1481" s="7" t="n"/>
      <c r="B1481" s="8" t="n"/>
      <c r="C1481" s="8" t="n"/>
    </row>
    <row r="1482">
      <c r="A1482" s="7" t="n"/>
      <c r="B1482" s="8" t="n"/>
      <c r="C1482" s="8" t="n"/>
    </row>
    <row r="1483">
      <c r="A1483" s="7" t="n"/>
      <c r="B1483" s="8" t="n"/>
      <c r="C1483" s="8" t="n"/>
    </row>
    <row r="1484">
      <c r="A1484" s="7" t="n"/>
      <c r="B1484" s="8" t="n"/>
      <c r="C1484" s="8" t="n"/>
    </row>
    <row r="1485">
      <c r="A1485" s="7" t="n"/>
      <c r="B1485" s="8" t="n"/>
      <c r="C1485" s="8" t="n"/>
    </row>
    <row r="1486">
      <c r="A1486" s="7" t="n"/>
      <c r="B1486" s="8" t="n"/>
      <c r="C1486" s="8" t="n"/>
    </row>
    <row r="1487">
      <c r="A1487" s="7" t="n"/>
      <c r="B1487" s="8" t="n"/>
      <c r="C1487" s="8" t="n"/>
    </row>
    <row r="1488">
      <c r="A1488" s="7" t="n"/>
      <c r="B1488" s="8" t="n"/>
      <c r="C1488" s="8" t="n"/>
    </row>
    <row r="1489">
      <c r="A1489" s="7" t="n"/>
      <c r="B1489" s="8" t="n"/>
      <c r="C1489" s="8" t="n"/>
    </row>
    <row r="1490">
      <c r="A1490" s="7" t="n"/>
      <c r="B1490" s="8" t="n"/>
      <c r="C1490" s="8" t="n"/>
    </row>
    <row r="1491">
      <c r="A1491" s="7" t="n"/>
      <c r="B1491" s="8" t="n"/>
      <c r="C1491" s="8" t="n"/>
    </row>
    <row r="1492">
      <c r="A1492" s="7" t="n"/>
      <c r="B1492" s="8" t="n"/>
      <c r="C1492" s="8" t="n"/>
    </row>
    <row r="1493">
      <c r="A1493" s="7" t="n"/>
      <c r="B1493" s="8" t="n"/>
      <c r="C1493" s="8" t="n"/>
    </row>
    <row r="1494">
      <c r="A1494" s="7" t="n"/>
      <c r="B1494" s="8" t="n"/>
      <c r="C1494" s="8" t="n"/>
    </row>
    <row r="1495">
      <c r="A1495" s="7" t="n"/>
      <c r="B1495" s="8" t="n"/>
      <c r="C1495" s="8" t="n"/>
    </row>
    <row r="1496">
      <c r="A1496" s="7" t="n"/>
      <c r="B1496" s="8" t="n"/>
      <c r="C1496" s="8" t="n"/>
    </row>
    <row r="1497">
      <c r="A1497" s="7" t="n"/>
      <c r="B1497" s="8" t="n"/>
      <c r="C1497" s="8" t="n"/>
    </row>
    <row r="1498">
      <c r="A1498" s="7" t="n"/>
      <c r="B1498" s="8" t="n"/>
      <c r="C1498" s="8" t="n"/>
    </row>
    <row r="1499">
      <c r="A1499" s="7" t="n"/>
      <c r="B1499" s="8" t="n"/>
      <c r="C1499" s="8" t="n"/>
    </row>
    <row r="1500">
      <c r="A1500" s="7" t="n"/>
      <c r="B1500" s="8" t="n"/>
      <c r="C1500" s="8" t="n"/>
    </row>
    <row r="1501">
      <c r="A1501" s="7" t="n"/>
      <c r="B1501" s="8" t="n"/>
      <c r="C1501" s="8" t="n"/>
    </row>
    <row r="1502">
      <c r="A1502" s="7" t="n"/>
      <c r="B1502" s="8" t="n"/>
      <c r="C1502" s="8" t="n"/>
    </row>
    <row r="1503">
      <c r="A1503" s="7" t="n"/>
      <c r="B1503" s="8" t="n"/>
      <c r="C1503" s="8" t="n"/>
    </row>
    <row r="1504">
      <c r="A1504" s="7" t="n"/>
      <c r="B1504" s="8" t="n"/>
      <c r="C1504" s="8" t="n"/>
    </row>
    <row r="1505">
      <c r="A1505" s="7" t="n"/>
      <c r="B1505" s="8" t="n"/>
      <c r="C1505" s="8" t="n"/>
    </row>
    <row r="1506">
      <c r="A1506" s="7" t="n"/>
      <c r="B1506" s="8" t="n"/>
      <c r="C1506" s="8" t="n"/>
    </row>
    <row r="1507">
      <c r="A1507" s="7" t="n"/>
      <c r="B1507" s="8" t="n"/>
      <c r="C1507" s="8" t="n"/>
    </row>
    <row r="1508">
      <c r="A1508" s="7" t="n"/>
      <c r="B1508" s="8" t="n"/>
      <c r="C1508" s="8" t="n"/>
    </row>
    <row r="1509">
      <c r="A1509" s="7" t="n"/>
      <c r="B1509" s="8" t="n"/>
      <c r="C1509" s="8" t="n"/>
    </row>
    <row r="1510">
      <c r="A1510" s="7" t="n"/>
      <c r="B1510" s="8" t="n"/>
      <c r="C1510" s="8" t="n"/>
    </row>
    <row r="1511">
      <c r="A1511" s="7" t="n"/>
      <c r="B1511" s="8" t="n"/>
      <c r="C1511" s="8" t="n"/>
    </row>
    <row r="1512">
      <c r="A1512" s="7" t="n"/>
      <c r="B1512" s="8" t="n"/>
      <c r="C1512" s="8" t="n"/>
    </row>
    <row r="1513">
      <c r="A1513" s="7" t="n"/>
      <c r="B1513" s="8" t="n"/>
      <c r="C1513" s="8" t="n"/>
    </row>
    <row r="1514">
      <c r="A1514" s="7" t="n"/>
      <c r="B1514" s="8" t="n"/>
      <c r="C1514" s="8" t="n"/>
    </row>
    <row r="1515">
      <c r="A1515" s="7" t="n"/>
      <c r="B1515" s="8" t="n"/>
      <c r="C1515" s="8" t="n"/>
    </row>
    <row r="1516">
      <c r="A1516" s="7" t="n"/>
      <c r="B1516" s="8" t="n"/>
      <c r="C1516" s="8" t="n"/>
    </row>
    <row r="1517">
      <c r="A1517" s="7" t="n"/>
      <c r="B1517" s="8" t="n"/>
      <c r="C1517" s="8" t="n"/>
    </row>
    <row r="1518">
      <c r="A1518" s="7" t="n"/>
      <c r="B1518" s="8" t="n"/>
      <c r="C1518" s="8" t="n"/>
    </row>
    <row r="1519">
      <c r="A1519" s="7" t="n"/>
      <c r="B1519" s="8" t="n"/>
      <c r="C1519" s="8" t="n"/>
    </row>
    <row r="1520">
      <c r="A1520" s="7" t="n"/>
      <c r="B1520" s="8" t="n"/>
      <c r="C1520" s="8" t="n"/>
    </row>
    <row r="1521">
      <c r="A1521" s="7" t="n"/>
      <c r="B1521" s="8" t="n"/>
      <c r="C1521" s="8" t="n"/>
    </row>
    <row r="1522">
      <c r="A1522" s="7" t="n"/>
      <c r="B1522" s="8" t="n"/>
      <c r="C1522" s="8" t="n"/>
    </row>
    <row r="1523">
      <c r="A1523" s="7" t="n"/>
      <c r="B1523" s="8" t="n"/>
      <c r="C1523" s="8" t="n"/>
    </row>
    <row r="1524">
      <c r="A1524" s="7" t="n"/>
      <c r="B1524" s="8" t="n"/>
      <c r="C1524" s="8" t="n"/>
    </row>
    <row r="1525">
      <c r="A1525" s="7" t="n"/>
      <c r="B1525" s="8" t="n"/>
      <c r="C1525" s="8" t="n"/>
    </row>
    <row r="1526">
      <c r="A1526" s="7" t="n"/>
      <c r="B1526" s="8" t="n"/>
      <c r="C1526" s="8" t="n"/>
    </row>
    <row r="1527">
      <c r="A1527" s="7" t="n"/>
      <c r="B1527" s="8" t="n"/>
      <c r="C1527" s="8" t="n"/>
    </row>
    <row r="1528">
      <c r="A1528" s="7" t="n"/>
      <c r="B1528" s="8" t="n"/>
      <c r="C1528" s="8" t="n"/>
    </row>
    <row r="1529">
      <c r="A1529" s="7" t="n"/>
      <c r="B1529" s="8" t="n"/>
      <c r="C1529" s="8" t="n"/>
    </row>
    <row r="1530">
      <c r="A1530" s="7" t="n"/>
      <c r="B1530" s="8" t="n"/>
      <c r="C1530" s="8" t="n"/>
    </row>
    <row r="1531">
      <c r="A1531" s="7" t="n"/>
      <c r="B1531" s="8" t="n"/>
      <c r="C1531" s="8" t="n"/>
    </row>
    <row r="1532">
      <c r="A1532" s="7" t="n"/>
      <c r="B1532" s="8" t="n"/>
      <c r="C1532" s="8" t="n"/>
    </row>
    <row r="1533">
      <c r="A1533" s="7" t="n"/>
      <c r="B1533" s="8" t="n"/>
      <c r="C1533" s="8" t="n"/>
    </row>
    <row r="1534">
      <c r="A1534" s="7" t="n"/>
      <c r="B1534" s="8" t="n"/>
      <c r="C1534" s="8" t="n"/>
    </row>
    <row r="1535">
      <c r="A1535" s="7" t="n"/>
      <c r="B1535" s="8" t="n"/>
      <c r="C1535" s="8" t="n"/>
    </row>
    <row r="1536">
      <c r="A1536" s="7" t="n"/>
      <c r="B1536" s="8" t="n"/>
      <c r="C1536" s="8" t="n"/>
    </row>
    <row r="1537">
      <c r="A1537" s="7" t="n"/>
      <c r="B1537" s="8" t="n"/>
      <c r="C1537" s="8" t="n"/>
    </row>
    <row r="1538">
      <c r="A1538" s="7" t="n"/>
      <c r="B1538" s="8" t="n"/>
      <c r="C1538" s="8" t="n"/>
    </row>
    <row r="1539">
      <c r="A1539" s="7" t="n"/>
      <c r="B1539" s="8" t="n"/>
      <c r="C1539" s="8" t="n"/>
    </row>
    <row r="1540">
      <c r="A1540" s="7" t="n"/>
      <c r="B1540" s="8" t="n"/>
      <c r="C1540" s="8" t="n"/>
    </row>
    <row r="1541">
      <c r="A1541" s="7" t="n"/>
      <c r="B1541" s="8" t="n"/>
      <c r="C1541" s="8" t="n"/>
    </row>
    <row r="1542">
      <c r="A1542" s="7" t="n"/>
      <c r="B1542" s="8" t="n"/>
      <c r="C1542" s="8" t="n"/>
    </row>
    <row r="1543">
      <c r="A1543" s="7" t="n"/>
      <c r="B1543" s="8" t="n"/>
      <c r="C1543" s="8" t="n"/>
    </row>
    <row r="1544">
      <c r="A1544" s="7" t="n"/>
      <c r="B1544" s="8" t="n"/>
      <c r="C1544" s="8" t="n"/>
    </row>
    <row r="1545">
      <c r="A1545" s="7" t="n"/>
      <c r="B1545" s="8" t="n"/>
      <c r="C1545" s="8" t="n"/>
    </row>
    <row r="1546">
      <c r="A1546" s="7" t="n"/>
      <c r="B1546" s="8" t="n"/>
      <c r="C1546" s="8" t="n"/>
    </row>
    <row r="1547">
      <c r="A1547" s="7" t="n"/>
      <c r="B1547" s="8" t="n"/>
      <c r="C1547" s="8" t="n"/>
    </row>
    <row r="1548">
      <c r="A1548" s="7" t="n"/>
      <c r="B1548" s="8" t="n"/>
      <c r="C1548" s="8" t="n"/>
    </row>
    <row r="1549">
      <c r="A1549" s="7" t="n"/>
      <c r="B1549" s="8" t="n"/>
      <c r="C1549" s="8" t="n"/>
    </row>
    <row r="1550">
      <c r="A1550" s="7" t="n"/>
      <c r="B1550" s="8" t="n"/>
      <c r="C1550" s="8" t="n"/>
    </row>
    <row r="1551">
      <c r="A1551" s="7" t="n"/>
      <c r="B1551" s="8" t="n"/>
      <c r="C1551" s="8" t="n"/>
    </row>
    <row r="1552">
      <c r="A1552" s="7" t="n"/>
      <c r="B1552" s="8" t="n"/>
      <c r="C1552" s="8" t="n"/>
    </row>
    <row r="1553">
      <c r="A1553" s="7" t="n"/>
      <c r="B1553" s="8" t="n"/>
      <c r="C1553" s="8" t="n"/>
    </row>
    <row r="1554">
      <c r="A1554" s="7" t="n"/>
      <c r="B1554" s="8" t="n"/>
      <c r="C1554" s="8" t="n"/>
    </row>
    <row r="1555">
      <c r="A1555" s="7" t="n"/>
      <c r="B1555" s="8" t="n"/>
      <c r="C1555" s="8" t="n"/>
    </row>
    <row r="1556">
      <c r="A1556" s="7" t="n"/>
      <c r="B1556" s="8" t="n"/>
      <c r="C1556" s="8" t="n"/>
    </row>
    <row r="1557">
      <c r="A1557" s="7" t="n"/>
      <c r="B1557" s="8" t="n"/>
      <c r="C1557" s="8" t="n"/>
    </row>
    <row r="1558">
      <c r="A1558" s="7" t="n"/>
      <c r="B1558" s="8" t="n"/>
      <c r="C1558" s="8" t="n"/>
    </row>
    <row r="1559">
      <c r="A1559" s="7" t="n"/>
      <c r="B1559" s="8" t="n"/>
      <c r="C1559" s="8" t="n"/>
    </row>
    <row r="1560">
      <c r="A1560" s="7" t="n"/>
      <c r="B1560" s="8" t="n"/>
      <c r="C1560" s="8" t="n"/>
    </row>
    <row r="1561">
      <c r="A1561" s="7" t="n"/>
      <c r="B1561" s="8" t="n"/>
      <c r="C1561" s="8" t="n"/>
    </row>
    <row r="1562">
      <c r="A1562" s="7" t="n"/>
      <c r="B1562" s="8" t="n"/>
      <c r="C1562" s="8" t="n"/>
    </row>
    <row r="1563">
      <c r="A1563" s="7" t="n"/>
      <c r="B1563" s="8" t="n"/>
      <c r="C1563" s="8" t="n"/>
    </row>
    <row r="1564">
      <c r="A1564" s="7" t="n"/>
      <c r="B1564" s="8" t="n"/>
      <c r="C1564" s="8" t="n"/>
    </row>
    <row r="1565">
      <c r="A1565" s="7" t="n"/>
      <c r="B1565" s="8" t="n"/>
      <c r="C1565" s="8" t="n"/>
    </row>
    <row r="1566">
      <c r="A1566" s="7" t="n"/>
      <c r="B1566" s="8" t="n"/>
      <c r="C1566" s="8" t="n"/>
    </row>
    <row r="1567">
      <c r="A1567" s="7" t="n"/>
      <c r="B1567" s="8" t="n"/>
      <c r="C1567" s="8" t="n"/>
    </row>
    <row r="1568">
      <c r="A1568" s="7" t="n"/>
      <c r="B1568" s="8" t="n"/>
      <c r="C1568" s="8" t="n"/>
    </row>
    <row r="1569">
      <c r="A1569" s="7" t="n"/>
      <c r="B1569" s="8" t="n"/>
      <c r="C1569" s="8" t="n"/>
    </row>
    <row r="1570">
      <c r="A1570" s="7" t="n"/>
      <c r="B1570" s="8" t="n"/>
      <c r="C1570" s="8" t="n"/>
    </row>
    <row r="1571">
      <c r="A1571" s="7" t="n"/>
      <c r="B1571" s="8" t="n"/>
      <c r="C1571" s="8" t="n"/>
    </row>
    <row r="1572">
      <c r="A1572" s="7" t="n"/>
      <c r="B1572" s="8" t="n"/>
      <c r="C1572" s="8" t="n"/>
    </row>
    <row r="1573">
      <c r="A1573" s="7" t="n"/>
      <c r="B1573" s="8" t="n"/>
      <c r="C1573" s="8" t="n"/>
    </row>
    <row r="1574">
      <c r="A1574" s="7" t="n"/>
      <c r="B1574" s="8" t="n"/>
      <c r="C1574" s="8" t="n"/>
    </row>
    <row r="1575">
      <c r="A1575" s="7" t="n"/>
      <c r="B1575" s="8" t="n"/>
      <c r="C1575" s="8" t="n"/>
    </row>
    <row r="1576">
      <c r="A1576" s="7" t="n"/>
      <c r="B1576" s="8" t="n"/>
      <c r="C1576" s="8" t="n"/>
    </row>
    <row r="1577">
      <c r="A1577" s="7" t="n"/>
      <c r="B1577" s="8" t="n"/>
      <c r="C1577" s="8" t="n"/>
    </row>
    <row r="1578">
      <c r="A1578" s="7" t="n"/>
      <c r="B1578" s="8" t="n"/>
      <c r="C1578" s="8" t="n"/>
    </row>
    <row r="1579">
      <c r="A1579" s="7" t="n"/>
      <c r="B1579" s="8" t="n"/>
      <c r="C1579" s="8" t="n"/>
    </row>
    <row r="1580">
      <c r="A1580" s="7" t="n"/>
      <c r="B1580" s="8" t="n"/>
      <c r="C1580" s="8" t="n"/>
    </row>
    <row r="1581">
      <c r="A1581" s="7" t="n"/>
      <c r="B1581" s="8" t="n"/>
      <c r="C1581" s="8" t="n"/>
    </row>
    <row r="1582">
      <c r="A1582" s="7" t="n"/>
      <c r="B1582" s="8" t="n"/>
      <c r="C1582" s="8" t="n"/>
    </row>
    <row r="1583">
      <c r="A1583" s="7" t="n"/>
      <c r="B1583" s="8" t="n"/>
      <c r="C1583" s="8" t="n"/>
    </row>
    <row r="1584">
      <c r="A1584" s="7" t="n"/>
      <c r="B1584" s="8" t="n"/>
      <c r="C1584" s="8" t="n"/>
    </row>
    <row r="1585">
      <c r="A1585" s="7" t="n"/>
      <c r="B1585" s="8" t="n"/>
      <c r="C1585" s="8" t="n"/>
    </row>
    <row r="1586">
      <c r="A1586" s="7" t="n"/>
      <c r="B1586" s="8" t="n"/>
      <c r="C1586" s="8" t="n"/>
    </row>
    <row r="1587">
      <c r="A1587" s="7" t="n"/>
      <c r="B1587" s="8" t="n"/>
      <c r="C1587" s="8" t="n"/>
    </row>
    <row r="1588">
      <c r="A1588" s="7" t="n"/>
      <c r="B1588" s="8" t="n"/>
      <c r="C1588" s="8" t="n"/>
    </row>
    <row r="1589">
      <c r="A1589" s="7" t="n"/>
      <c r="B1589" s="8" t="n"/>
      <c r="C1589" s="8" t="n"/>
    </row>
    <row r="1590">
      <c r="A1590" s="7" t="n"/>
      <c r="B1590" s="8" t="n"/>
      <c r="C1590" s="8" t="n"/>
    </row>
    <row r="1591">
      <c r="A1591" s="7" t="n"/>
      <c r="B1591" s="8" t="n"/>
      <c r="C1591" s="8" t="n"/>
    </row>
    <row r="1592">
      <c r="A1592" s="7" t="n"/>
      <c r="B1592" s="8" t="n"/>
      <c r="C1592" s="8" t="n"/>
    </row>
    <row r="1593">
      <c r="A1593" s="7" t="n"/>
      <c r="B1593" s="8" t="n"/>
      <c r="C1593" s="8" t="n"/>
    </row>
    <row r="1594">
      <c r="A1594" s="7" t="n"/>
      <c r="B1594" s="8" t="n"/>
      <c r="C1594" s="8" t="n"/>
    </row>
    <row r="1595">
      <c r="A1595" s="7" t="n"/>
      <c r="B1595" s="8" t="n"/>
      <c r="C1595" s="8" t="n"/>
    </row>
    <row r="1596">
      <c r="A1596" s="7" t="n"/>
      <c r="B1596" s="8" t="n"/>
      <c r="C1596" s="8" t="n"/>
    </row>
    <row r="1597">
      <c r="A1597" s="7" t="n"/>
      <c r="B1597" s="8" t="n"/>
      <c r="C1597" s="8" t="n"/>
    </row>
    <row r="1598">
      <c r="A1598" s="7" t="n"/>
      <c r="B1598" s="8" t="n"/>
      <c r="C1598" s="8" t="n"/>
    </row>
    <row r="1599">
      <c r="A1599" s="7" t="n"/>
      <c r="B1599" s="8" t="n"/>
      <c r="C1599" s="8" t="n"/>
    </row>
    <row r="1600">
      <c r="A1600" s="7" t="n"/>
      <c r="B1600" s="8" t="n"/>
      <c r="C1600" s="8" t="n"/>
    </row>
    <row r="1601">
      <c r="A1601" s="7" t="n"/>
      <c r="B1601" s="8" t="n"/>
      <c r="C1601" s="8" t="n"/>
    </row>
    <row r="1602">
      <c r="A1602" s="7" t="n"/>
      <c r="B1602" s="8" t="n"/>
      <c r="C1602" s="8" t="n"/>
    </row>
    <row r="1603">
      <c r="A1603" s="7" t="n"/>
      <c r="B1603" s="8" t="n"/>
      <c r="C1603" s="8" t="n"/>
    </row>
    <row r="1604">
      <c r="A1604" s="7" t="n"/>
      <c r="B1604" s="8" t="n"/>
      <c r="C1604" s="8" t="n"/>
    </row>
    <row r="1605">
      <c r="A1605" s="7" t="n"/>
      <c r="B1605" s="8" t="n"/>
      <c r="C1605" s="8" t="n"/>
    </row>
    <row r="1606">
      <c r="A1606" s="7" t="n"/>
      <c r="B1606" s="8" t="n"/>
      <c r="C1606" s="8" t="n"/>
    </row>
    <row r="1607">
      <c r="A1607" s="7" t="n"/>
      <c r="B1607" s="8" t="n"/>
      <c r="C1607" s="8" t="n"/>
    </row>
    <row r="1608">
      <c r="A1608" s="7" t="n"/>
      <c r="B1608" s="8" t="n"/>
      <c r="C1608" s="8" t="n"/>
    </row>
    <row r="1609">
      <c r="A1609" s="7" t="n"/>
      <c r="B1609" s="8" t="n"/>
      <c r="C1609" s="8" t="n"/>
    </row>
    <row r="1610">
      <c r="A1610" s="7" t="n"/>
      <c r="B1610" s="8" t="n"/>
      <c r="C1610" s="8" t="n"/>
    </row>
    <row r="1611">
      <c r="A1611" s="7" t="n"/>
      <c r="B1611" s="8" t="n"/>
      <c r="C1611" s="8" t="n"/>
    </row>
    <row r="1612">
      <c r="A1612" s="7" t="n"/>
      <c r="B1612" s="8" t="n"/>
      <c r="C1612" s="8" t="n"/>
    </row>
    <row r="1613">
      <c r="A1613" s="7" t="n"/>
      <c r="B1613" s="8" t="n"/>
      <c r="C1613" s="8" t="n"/>
    </row>
    <row r="1614">
      <c r="A1614" s="7" t="n"/>
      <c r="B1614" s="8" t="n"/>
      <c r="C1614" s="8" t="n"/>
    </row>
    <row r="1615">
      <c r="A1615" s="7" t="n"/>
      <c r="B1615" s="8" t="n"/>
      <c r="C1615" s="8" t="n"/>
    </row>
    <row r="1616">
      <c r="A1616" s="7" t="n"/>
      <c r="B1616" s="8" t="n"/>
      <c r="C1616" s="8" t="n"/>
    </row>
    <row r="1617">
      <c r="A1617" s="7" t="n"/>
      <c r="B1617" s="8" t="n"/>
      <c r="C1617" s="8" t="n"/>
    </row>
    <row r="1618">
      <c r="A1618" s="7" t="n"/>
      <c r="B1618" s="8" t="n"/>
      <c r="C1618" s="8" t="n"/>
    </row>
    <row r="1619">
      <c r="A1619" s="7" t="n"/>
      <c r="B1619" s="8" t="n"/>
      <c r="C1619" s="8" t="n"/>
    </row>
    <row r="1620">
      <c r="A1620" s="7" t="n"/>
      <c r="B1620" s="8" t="n"/>
      <c r="C1620" s="8" t="n"/>
    </row>
    <row r="1621">
      <c r="A1621" s="7" t="n"/>
      <c r="B1621" s="8" t="n"/>
      <c r="C1621" s="8" t="n"/>
    </row>
    <row r="1622">
      <c r="A1622" s="7" t="n"/>
      <c r="B1622" s="8" t="n"/>
      <c r="C1622" s="8" t="n"/>
    </row>
    <row r="1623">
      <c r="A1623" s="7" t="n"/>
      <c r="B1623" s="8" t="n"/>
      <c r="C1623" s="8" t="n"/>
    </row>
    <row r="1624">
      <c r="A1624" s="7" t="n"/>
      <c r="B1624" s="8" t="n"/>
      <c r="C1624" s="8" t="n"/>
    </row>
    <row r="1625">
      <c r="A1625" s="7" t="n"/>
      <c r="B1625" s="8" t="n"/>
      <c r="C1625" s="8" t="n"/>
    </row>
    <row r="1626">
      <c r="A1626" s="7" t="n"/>
      <c r="B1626" s="8" t="n"/>
      <c r="C1626" s="8" t="n"/>
    </row>
    <row r="1627">
      <c r="A1627" s="7" t="n"/>
      <c r="B1627" s="8" t="n"/>
      <c r="C1627" s="8" t="n"/>
    </row>
    <row r="1628">
      <c r="A1628" s="7" t="n"/>
      <c r="B1628" s="8" t="n"/>
      <c r="C1628" s="8" t="n"/>
    </row>
    <row r="1629">
      <c r="A1629" s="7" t="n"/>
      <c r="B1629" s="8" t="n"/>
      <c r="C1629" s="8" t="n"/>
    </row>
    <row r="1630">
      <c r="A1630" s="7" t="n"/>
      <c r="B1630" s="8" t="n"/>
      <c r="C1630" s="8" t="n"/>
    </row>
    <row r="1631">
      <c r="A1631" s="7" t="n"/>
      <c r="B1631" s="8" t="n"/>
      <c r="C1631" s="8" t="n"/>
    </row>
    <row r="1632">
      <c r="A1632" s="7" t="n"/>
      <c r="B1632" s="8" t="n"/>
      <c r="C1632" s="8" t="n"/>
    </row>
    <row r="1633">
      <c r="A1633" s="7" t="n"/>
      <c r="B1633" s="8" t="n"/>
      <c r="C1633" s="8" t="n"/>
    </row>
    <row r="1634">
      <c r="A1634" s="7" t="n"/>
      <c r="B1634" s="8" t="n"/>
      <c r="C1634" s="8" t="n"/>
    </row>
    <row r="1635">
      <c r="A1635" s="7" t="n"/>
      <c r="B1635" s="8" t="n"/>
      <c r="C1635" s="8" t="n"/>
    </row>
    <row r="1636">
      <c r="A1636" s="7" t="n"/>
      <c r="B1636" s="8" t="n"/>
      <c r="C1636" s="8" t="n"/>
    </row>
    <row r="1637">
      <c r="A1637" s="7" t="n"/>
      <c r="B1637" s="8" t="n"/>
      <c r="C1637" s="8" t="n"/>
    </row>
    <row r="1638">
      <c r="A1638" s="7" t="n"/>
      <c r="B1638" s="8" t="n"/>
      <c r="C1638" s="8" t="n"/>
    </row>
    <row r="1639">
      <c r="A1639" s="7" t="n"/>
      <c r="B1639" s="8" t="n"/>
      <c r="C1639" s="8" t="n"/>
    </row>
    <row r="1640">
      <c r="A1640" s="7" t="n"/>
      <c r="B1640" s="8" t="n"/>
      <c r="C1640" s="8" t="n"/>
    </row>
    <row r="1641">
      <c r="A1641" s="7" t="n"/>
      <c r="B1641" s="8" t="n"/>
      <c r="C1641" s="8" t="n"/>
    </row>
    <row r="1642">
      <c r="A1642" s="7" t="n"/>
      <c r="B1642" s="8" t="n"/>
      <c r="C1642" s="8" t="n"/>
    </row>
    <row r="1643">
      <c r="A1643" s="7" t="n"/>
      <c r="B1643" s="8" t="n"/>
      <c r="C1643" s="8" t="n"/>
    </row>
    <row r="1644">
      <c r="A1644" s="7" t="n"/>
      <c r="B1644" s="8" t="n"/>
      <c r="C1644" s="8" t="n"/>
    </row>
    <row r="1645">
      <c r="A1645" s="7" t="n"/>
      <c r="B1645" s="8" t="n"/>
      <c r="C1645" s="8" t="n"/>
    </row>
    <row r="1646">
      <c r="A1646" s="7" t="n"/>
      <c r="B1646" s="8" t="n"/>
      <c r="C1646" s="8" t="n"/>
    </row>
    <row r="1647">
      <c r="A1647" s="7" t="n"/>
      <c r="B1647" s="8" t="n"/>
      <c r="C1647" s="8" t="n"/>
    </row>
    <row r="1648">
      <c r="A1648" s="7" t="n"/>
      <c r="B1648" s="8" t="n"/>
      <c r="C1648" s="8" t="n"/>
    </row>
    <row r="1649">
      <c r="A1649" s="7" t="n"/>
      <c r="B1649" s="8" t="n"/>
      <c r="C1649" s="8" t="n"/>
    </row>
    <row r="1650">
      <c r="A1650" s="7" t="n"/>
      <c r="B1650" s="8" t="n"/>
      <c r="C1650" s="8" t="n"/>
    </row>
    <row r="1651">
      <c r="A1651" s="7" t="n"/>
      <c r="B1651" s="8" t="n"/>
      <c r="C1651" s="8" t="n"/>
    </row>
    <row r="1652">
      <c r="A1652" s="7" t="n"/>
      <c r="B1652" s="8" t="n"/>
      <c r="C1652" s="8" t="n"/>
    </row>
    <row r="1653">
      <c r="A1653" s="7" t="n"/>
      <c r="B1653" s="8" t="n"/>
      <c r="C1653" s="8" t="n"/>
    </row>
    <row r="1654">
      <c r="A1654" s="7" t="n"/>
      <c r="B1654" s="8" t="n"/>
      <c r="C1654" s="8" t="n"/>
    </row>
    <row r="1655">
      <c r="A1655" s="7" t="n"/>
      <c r="B1655" s="8" t="n"/>
      <c r="C1655" s="8" t="n"/>
    </row>
    <row r="1656">
      <c r="A1656" s="7" t="n"/>
      <c r="B1656" s="8" t="n"/>
      <c r="C1656" s="8" t="n"/>
    </row>
    <row r="1657">
      <c r="A1657" s="7" t="n"/>
      <c r="B1657" s="8" t="n"/>
      <c r="C1657" s="8" t="n"/>
    </row>
    <row r="1658">
      <c r="A1658" s="7" t="n"/>
      <c r="B1658" s="8" t="n"/>
      <c r="C1658" s="8" t="n"/>
    </row>
    <row r="1659">
      <c r="A1659" s="7" t="n"/>
      <c r="B1659" s="8" t="n"/>
      <c r="C1659" s="8" t="n"/>
    </row>
    <row r="1660">
      <c r="A1660" s="7" t="n"/>
      <c r="B1660" s="8" t="n"/>
      <c r="C1660" s="8" t="n"/>
    </row>
    <row r="1661">
      <c r="A1661" s="7" t="n"/>
      <c r="B1661" s="8" t="n"/>
      <c r="C1661" s="8" t="n"/>
    </row>
    <row r="1662">
      <c r="A1662" s="7" t="n"/>
      <c r="B1662" s="8" t="n"/>
      <c r="C1662" s="8" t="n"/>
    </row>
    <row r="1663">
      <c r="A1663" s="7" t="n"/>
      <c r="B1663" s="8" t="n"/>
      <c r="C1663" s="8" t="n"/>
    </row>
    <row r="1664">
      <c r="A1664" s="7" t="n"/>
      <c r="B1664" s="8" t="n"/>
      <c r="C1664" s="8" t="n"/>
    </row>
    <row r="1665">
      <c r="A1665" s="7" t="n"/>
      <c r="B1665" s="8" t="n"/>
      <c r="C1665" s="8" t="n"/>
    </row>
    <row r="1666">
      <c r="A1666" s="7" t="n"/>
      <c r="B1666" s="8" t="n"/>
      <c r="C1666" s="8" t="n"/>
    </row>
    <row r="1667">
      <c r="A1667" s="7" t="n"/>
      <c r="B1667" s="8" t="n"/>
      <c r="C1667" s="8" t="n"/>
    </row>
    <row r="1668">
      <c r="A1668" s="7" t="n"/>
      <c r="B1668" s="8" t="n"/>
      <c r="C1668" s="8" t="n"/>
    </row>
    <row r="1669">
      <c r="A1669" s="7" t="n"/>
      <c r="B1669" s="8" t="n"/>
      <c r="C1669" s="8" t="n"/>
    </row>
    <row r="1670">
      <c r="A1670" s="7" t="n"/>
      <c r="B1670" s="8" t="n"/>
      <c r="C1670" s="8" t="n"/>
    </row>
    <row r="1671">
      <c r="A1671" s="7" t="n"/>
      <c r="B1671" s="8" t="n"/>
      <c r="C1671" s="8" t="n"/>
    </row>
    <row r="1672">
      <c r="A1672" s="7" t="n"/>
      <c r="B1672" s="8" t="n"/>
      <c r="C1672" s="8" t="n"/>
    </row>
    <row r="1673">
      <c r="A1673" s="7" t="n"/>
      <c r="B1673" s="8" t="n"/>
      <c r="C1673" s="8" t="n"/>
    </row>
    <row r="1674">
      <c r="A1674" s="7" t="n"/>
      <c r="B1674" s="8" t="n"/>
      <c r="C1674" s="8" t="n"/>
    </row>
    <row r="1675">
      <c r="A1675" s="7" t="n"/>
      <c r="B1675" s="8" t="n"/>
      <c r="C1675" s="8" t="n"/>
    </row>
    <row r="1676">
      <c r="A1676" s="7" t="n"/>
      <c r="B1676" s="8" t="n"/>
      <c r="C1676" s="8" t="n"/>
    </row>
    <row r="1677">
      <c r="A1677" s="7" t="n"/>
      <c r="B1677" s="8" t="n"/>
      <c r="C1677" s="8" t="n"/>
    </row>
    <row r="1678">
      <c r="A1678" s="7" t="n"/>
      <c r="B1678" s="8" t="n"/>
      <c r="C1678" s="8" t="n"/>
    </row>
    <row r="1679">
      <c r="A1679" s="7" t="n"/>
      <c r="B1679" s="8" t="n"/>
      <c r="C1679" s="8" t="n"/>
    </row>
    <row r="1680">
      <c r="A1680" s="7" t="n"/>
      <c r="B1680" s="8" t="n"/>
      <c r="C1680" s="8" t="n"/>
    </row>
    <row r="1681">
      <c r="A1681" s="7" t="n"/>
      <c r="B1681" s="8" t="n"/>
      <c r="C1681" s="8" t="n"/>
    </row>
    <row r="1682">
      <c r="A1682" s="7" t="n"/>
      <c r="B1682" s="8" t="n"/>
      <c r="C1682" s="8" t="n"/>
    </row>
    <row r="1683">
      <c r="A1683" s="7" t="n"/>
      <c r="B1683" s="8" t="n"/>
      <c r="C1683" s="8" t="n"/>
    </row>
    <row r="1684">
      <c r="A1684" s="7" t="n"/>
      <c r="B1684" s="8" t="n"/>
      <c r="C1684" s="8" t="n"/>
    </row>
    <row r="1685">
      <c r="A1685" s="7" t="n"/>
      <c r="B1685" s="8" t="n"/>
      <c r="C1685" s="8" t="n"/>
    </row>
    <row r="1686">
      <c r="A1686" s="7" t="n"/>
      <c r="B1686" s="8" t="n"/>
      <c r="C1686" s="8" t="n"/>
    </row>
    <row r="1687">
      <c r="A1687" s="7" t="n"/>
      <c r="B1687" s="8" t="n"/>
      <c r="C1687" s="8" t="n"/>
    </row>
    <row r="1688">
      <c r="A1688" s="7" t="n"/>
      <c r="B1688" s="8" t="n"/>
      <c r="C1688" s="8" t="n"/>
    </row>
    <row r="1689">
      <c r="A1689" s="7" t="n"/>
      <c r="B1689" s="8" t="n"/>
      <c r="C1689" s="8" t="n"/>
    </row>
    <row r="1690">
      <c r="A1690" s="7" t="n"/>
      <c r="B1690" s="8" t="n"/>
      <c r="C1690" s="8" t="n"/>
    </row>
    <row r="1691">
      <c r="A1691" s="7" t="n"/>
      <c r="B1691" s="8" t="n"/>
      <c r="C1691" s="8" t="n"/>
    </row>
    <row r="1692">
      <c r="A1692" s="7" t="n"/>
      <c r="B1692" s="8" t="n"/>
      <c r="C1692" s="8" t="n"/>
    </row>
    <row r="1693">
      <c r="A1693" s="7" t="n"/>
      <c r="B1693" s="8" t="n"/>
      <c r="C1693" s="8" t="n"/>
    </row>
    <row r="1694">
      <c r="A1694" s="7" t="n"/>
      <c r="B1694" s="8" t="n"/>
      <c r="C1694" s="8" t="n"/>
    </row>
    <row r="1695">
      <c r="A1695" s="7" t="n"/>
      <c r="B1695" s="8" t="n"/>
      <c r="C1695" s="8" t="n"/>
    </row>
    <row r="1696">
      <c r="A1696" s="7" t="n"/>
      <c r="B1696" s="8" t="n"/>
      <c r="C1696" s="8" t="n"/>
    </row>
    <row r="1697">
      <c r="A1697" s="7" t="n"/>
      <c r="B1697" s="8" t="n"/>
      <c r="C1697" s="8" t="n"/>
    </row>
    <row r="1698">
      <c r="A1698" s="7" t="n"/>
      <c r="B1698" s="8" t="n"/>
      <c r="C1698" s="8" t="n"/>
    </row>
    <row r="1699">
      <c r="A1699" s="7" t="n"/>
      <c r="B1699" s="8" t="n"/>
      <c r="C1699" s="8" t="n"/>
    </row>
    <row r="1700">
      <c r="A1700" s="7" t="n"/>
      <c r="B1700" s="8" t="n"/>
      <c r="C1700" s="8" t="n"/>
    </row>
    <row r="1701">
      <c r="A1701" s="7" t="n"/>
      <c r="B1701" s="8" t="n"/>
      <c r="C1701" s="8" t="n"/>
    </row>
    <row r="1702">
      <c r="A1702" s="7" t="n"/>
      <c r="B1702" s="8" t="n"/>
      <c r="C1702" s="8" t="n"/>
    </row>
    <row r="1703">
      <c r="A1703" s="7" t="n"/>
      <c r="B1703" s="8" t="n"/>
      <c r="C1703" s="8" t="n"/>
    </row>
    <row r="1704">
      <c r="A1704" s="7" t="n"/>
      <c r="B1704" s="8" t="n"/>
      <c r="C1704" s="8" t="n"/>
    </row>
    <row r="1705">
      <c r="A1705" s="7" t="n"/>
      <c r="B1705" s="8" t="n"/>
      <c r="C1705" s="8" t="n"/>
    </row>
    <row r="1706">
      <c r="A1706" s="7" t="n"/>
      <c r="B1706" s="8" t="n"/>
      <c r="C1706" s="8" t="n"/>
    </row>
    <row r="1707">
      <c r="A1707" s="7" t="n"/>
      <c r="B1707" s="8" t="n"/>
      <c r="C1707" s="8" t="n"/>
    </row>
    <row r="1708">
      <c r="A1708" s="7" t="n"/>
      <c r="B1708" s="8" t="n"/>
      <c r="C1708" s="8" t="n"/>
    </row>
    <row r="1709">
      <c r="A1709" s="7" t="n"/>
      <c r="B1709" s="8" t="n"/>
      <c r="C1709" s="8" t="n"/>
    </row>
    <row r="1710">
      <c r="A1710" s="7" t="n"/>
      <c r="B1710" s="8" t="n"/>
      <c r="C1710" s="8" t="n"/>
    </row>
    <row r="1711">
      <c r="A1711" s="7" t="n"/>
      <c r="B1711" s="8" t="n"/>
      <c r="C1711" s="8" t="n"/>
    </row>
    <row r="1712">
      <c r="A1712" s="7" t="n"/>
      <c r="B1712" s="8" t="n"/>
      <c r="C1712" s="8" t="n"/>
    </row>
    <row r="1713">
      <c r="A1713" s="7" t="n"/>
      <c r="B1713" s="8" t="n"/>
      <c r="C1713" s="8" t="n"/>
    </row>
    <row r="1714">
      <c r="A1714" s="7" t="n"/>
      <c r="B1714" s="8" t="n"/>
      <c r="C1714" s="8" t="n"/>
    </row>
    <row r="1715">
      <c r="A1715" s="7" t="n"/>
      <c r="B1715" s="8" t="n"/>
      <c r="C1715" s="8" t="n"/>
    </row>
    <row r="1716">
      <c r="A1716" s="7" t="n"/>
      <c r="B1716" s="8" t="n"/>
      <c r="C1716" s="8" t="n"/>
    </row>
    <row r="1717">
      <c r="A1717" s="7" t="n"/>
      <c r="B1717" s="8" t="n"/>
      <c r="C1717" s="8" t="n"/>
    </row>
    <row r="1718">
      <c r="A1718" s="7" t="n"/>
      <c r="B1718" s="8" t="n"/>
      <c r="C1718" s="8" t="n"/>
    </row>
    <row r="1719">
      <c r="A1719" s="7" t="n"/>
      <c r="B1719" s="8" t="n"/>
      <c r="C1719" s="8" t="n"/>
    </row>
    <row r="1720">
      <c r="A1720" s="7" t="n"/>
      <c r="B1720" s="8" t="n"/>
      <c r="C1720" s="8" t="n"/>
    </row>
    <row r="1721">
      <c r="A1721" s="7" t="n"/>
      <c r="B1721" s="8" t="n"/>
      <c r="C1721" s="8" t="n"/>
    </row>
    <row r="1722">
      <c r="A1722" s="7" t="n"/>
      <c r="B1722" s="8" t="n"/>
      <c r="C1722" s="8" t="n"/>
    </row>
    <row r="1723">
      <c r="A1723" s="7" t="n"/>
      <c r="B1723" s="8" t="n"/>
      <c r="C1723" s="8" t="n"/>
    </row>
    <row r="1724">
      <c r="A1724" s="7" t="n"/>
      <c r="B1724" s="8" t="n"/>
      <c r="C1724" s="8" t="n"/>
    </row>
    <row r="1725">
      <c r="A1725" s="7" t="n"/>
      <c r="B1725" s="8" t="n"/>
      <c r="C1725" s="8" t="n"/>
    </row>
    <row r="1726">
      <c r="A1726" s="7" t="n"/>
      <c r="B1726" s="8" t="n"/>
      <c r="C1726" s="8" t="n"/>
    </row>
    <row r="1727">
      <c r="A1727" s="7" t="n"/>
      <c r="B1727" s="8" t="n"/>
      <c r="C1727" s="8" t="n"/>
    </row>
    <row r="1728">
      <c r="A1728" s="7" t="n"/>
      <c r="B1728" s="8" t="n"/>
      <c r="C1728" s="8" t="n"/>
    </row>
    <row r="1729">
      <c r="A1729" s="7" t="n"/>
      <c r="B1729" s="8" t="n"/>
      <c r="C1729" s="8" t="n"/>
    </row>
    <row r="1730">
      <c r="A1730" s="7" t="n"/>
      <c r="B1730" s="8" t="n"/>
      <c r="C1730" s="8" t="n"/>
    </row>
    <row r="1731">
      <c r="A1731" s="7" t="n"/>
      <c r="B1731" s="8" t="n"/>
      <c r="C1731" s="8" t="n"/>
    </row>
    <row r="1732">
      <c r="A1732" s="7" t="n"/>
      <c r="B1732" s="8" t="n"/>
      <c r="C1732" s="8" t="n"/>
    </row>
    <row r="1733">
      <c r="A1733" s="7" t="n"/>
      <c r="B1733" s="8" t="n"/>
      <c r="C1733" s="8" t="n"/>
    </row>
    <row r="1734">
      <c r="A1734" s="7" t="n"/>
      <c r="B1734" s="8" t="n"/>
      <c r="C1734" s="8" t="n"/>
    </row>
    <row r="1735">
      <c r="A1735" s="7" t="n"/>
      <c r="B1735" s="8" t="n"/>
      <c r="C1735" s="8" t="n"/>
    </row>
    <row r="1736">
      <c r="A1736" s="7" t="n"/>
      <c r="B1736" s="8" t="n"/>
      <c r="C1736" s="8" t="n"/>
    </row>
    <row r="1737">
      <c r="A1737" s="7" t="n"/>
      <c r="B1737" s="8" t="n"/>
      <c r="C1737" s="8" t="n"/>
    </row>
    <row r="1738">
      <c r="A1738" s="7" t="n"/>
      <c r="B1738" s="8" t="n"/>
      <c r="C1738" s="8" t="n"/>
    </row>
    <row r="1739">
      <c r="A1739" s="7" t="n"/>
      <c r="B1739" s="8" t="n"/>
      <c r="C1739" s="8" t="n"/>
    </row>
    <row r="1740">
      <c r="A1740" s="7" t="n"/>
      <c r="B1740" s="8" t="n"/>
      <c r="C1740" s="8" t="n"/>
    </row>
    <row r="1741">
      <c r="A1741" s="7" t="n"/>
      <c r="B1741" s="8" t="n"/>
      <c r="C1741" s="8" t="n"/>
    </row>
    <row r="1742">
      <c r="A1742" s="7" t="n"/>
      <c r="B1742" s="8" t="n"/>
      <c r="C1742" s="8" t="n"/>
    </row>
    <row r="1743">
      <c r="A1743" s="7" t="n"/>
      <c r="B1743" s="8" t="n"/>
      <c r="C1743" s="8" t="n"/>
    </row>
    <row r="1744">
      <c r="A1744" s="7" t="n"/>
      <c r="B1744" s="8" t="n"/>
      <c r="C1744" s="8" t="n"/>
    </row>
    <row r="1745">
      <c r="A1745" s="7" t="n"/>
      <c r="B1745" s="8" t="n"/>
      <c r="C1745" s="8" t="n"/>
    </row>
    <row r="1746">
      <c r="A1746" s="7" t="n"/>
      <c r="B1746" s="8" t="n"/>
      <c r="C1746" s="8" t="n"/>
    </row>
    <row r="1747">
      <c r="A1747" s="7" t="n"/>
      <c r="B1747" s="8" t="n"/>
      <c r="C1747" s="8" t="n"/>
    </row>
    <row r="1748">
      <c r="A1748" s="7" t="n"/>
      <c r="B1748" s="8" t="n"/>
      <c r="C1748" s="8" t="n"/>
    </row>
    <row r="1749">
      <c r="A1749" s="7" t="n"/>
      <c r="B1749" s="8" t="n"/>
      <c r="C1749" s="8" t="n"/>
    </row>
    <row r="1750">
      <c r="A1750" s="7" t="n"/>
      <c r="B1750" s="8" t="n"/>
      <c r="C1750" s="8" t="n"/>
    </row>
    <row r="1751">
      <c r="A1751" s="7" t="n"/>
      <c r="B1751" s="8" t="n"/>
      <c r="C1751" s="8" t="n"/>
    </row>
    <row r="1752">
      <c r="A1752" s="7" t="n"/>
      <c r="B1752" s="8" t="n"/>
      <c r="C1752" s="8" t="n"/>
    </row>
    <row r="1753">
      <c r="A1753" s="7" t="n"/>
      <c r="B1753" s="8" t="n"/>
      <c r="C1753" s="8" t="n"/>
    </row>
    <row r="1754">
      <c r="A1754" s="7" t="n"/>
      <c r="B1754" s="8" t="n"/>
      <c r="C1754" s="8" t="n"/>
    </row>
    <row r="1755">
      <c r="A1755" s="7" t="n"/>
      <c r="B1755" s="8" t="n"/>
      <c r="C1755" s="8" t="n"/>
    </row>
    <row r="1756">
      <c r="A1756" s="7" t="n"/>
      <c r="B1756" s="8" t="n"/>
      <c r="C1756" s="8" t="n"/>
    </row>
    <row r="1757">
      <c r="A1757" s="7" t="n"/>
      <c r="B1757" s="8" t="n"/>
      <c r="C1757" s="8" t="n"/>
    </row>
    <row r="1758">
      <c r="A1758" s="7" t="n"/>
      <c r="B1758" s="8" t="n"/>
      <c r="C1758" s="8" t="n"/>
    </row>
    <row r="1759">
      <c r="A1759" s="7" t="n"/>
      <c r="B1759" s="8" t="n"/>
      <c r="C1759" s="8" t="n"/>
    </row>
    <row r="1760">
      <c r="A1760" s="7" t="n"/>
      <c r="B1760" s="8" t="n"/>
      <c r="C1760" s="8" t="n"/>
    </row>
    <row r="1761">
      <c r="A1761" s="7" t="n"/>
      <c r="B1761" s="8" t="n"/>
      <c r="C1761" s="8" t="n"/>
    </row>
    <row r="1762">
      <c r="A1762" s="7" t="n"/>
      <c r="B1762" s="8" t="n"/>
      <c r="C1762" s="8" t="n"/>
    </row>
    <row r="1763">
      <c r="A1763" s="7" t="n"/>
      <c r="B1763" s="8" t="n"/>
      <c r="C1763" s="8" t="n"/>
    </row>
    <row r="1764">
      <c r="A1764" s="7" t="n"/>
      <c r="B1764" s="8" t="n"/>
      <c r="C1764" s="8" t="n"/>
    </row>
    <row r="1765">
      <c r="A1765" s="7" t="n"/>
      <c r="B1765" s="8" t="n"/>
      <c r="C1765" s="8" t="n"/>
    </row>
    <row r="1766">
      <c r="A1766" s="7" t="n"/>
      <c r="B1766" s="8" t="n"/>
      <c r="C1766" s="8" t="n"/>
    </row>
    <row r="1767">
      <c r="A1767" s="7" t="n"/>
      <c r="B1767" s="8" t="n"/>
      <c r="C1767" s="8" t="n"/>
    </row>
    <row r="1768">
      <c r="A1768" s="7" t="n"/>
      <c r="B1768" s="8" t="n"/>
      <c r="C1768" s="8" t="n"/>
    </row>
    <row r="1769">
      <c r="A1769" s="7" t="n"/>
      <c r="B1769" s="8" t="n"/>
      <c r="C1769" s="8" t="n"/>
    </row>
    <row r="1770">
      <c r="A1770" s="7" t="n"/>
      <c r="B1770" s="8" t="n"/>
      <c r="C1770" s="8" t="n"/>
    </row>
    <row r="1771">
      <c r="A1771" s="7" t="n"/>
      <c r="B1771" s="8" t="n"/>
      <c r="C1771" s="8" t="n"/>
    </row>
    <row r="1772">
      <c r="A1772" s="7" t="n"/>
      <c r="B1772" s="8" t="n"/>
      <c r="C1772" s="8" t="n"/>
    </row>
    <row r="1773">
      <c r="A1773" s="7" t="n"/>
      <c r="B1773" s="8" t="n"/>
      <c r="C1773" s="8" t="n"/>
    </row>
    <row r="1774">
      <c r="A1774" s="7" t="n"/>
      <c r="B1774" s="8" t="n"/>
      <c r="C1774" s="8" t="n"/>
    </row>
    <row r="1775">
      <c r="A1775" s="7" t="n"/>
      <c r="B1775" s="8" t="n"/>
      <c r="C1775" s="8" t="n"/>
    </row>
    <row r="1776">
      <c r="A1776" s="7" t="n"/>
      <c r="B1776" s="8" t="n"/>
      <c r="C1776" s="8" t="n"/>
    </row>
    <row r="1777">
      <c r="A1777" s="7" t="n"/>
      <c r="B1777" s="8" t="n"/>
      <c r="C1777" s="8" t="n"/>
    </row>
    <row r="1778">
      <c r="A1778" s="7" t="n"/>
      <c r="B1778" s="8" t="n"/>
      <c r="C1778" s="8" t="n"/>
    </row>
    <row r="1779">
      <c r="A1779" s="7" t="n"/>
      <c r="B1779" s="8" t="n"/>
      <c r="C1779" s="8" t="n"/>
    </row>
    <row r="1780">
      <c r="A1780" s="7" t="n"/>
      <c r="B1780" s="8" t="n"/>
      <c r="C1780" s="8" t="n"/>
    </row>
    <row r="1781">
      <c r="A1781" s="7" t="n"/>
      <c r="B1781" s="8" t="n"/>
      <c r="C1781" s="8" t="n"/>
    </row>
    <row r="1782">
      <c r="A1782" s="7" t="n"/>
      <c r="B1782" s="8" t="n"/>
      <c r="C1782" s="8" t="n"/>
    </row>
    <row r="1783">
      <c r="A1783" s="7" t="n"/>
      <c r="B1783" s="8" t="n"/>
      <c r="C1783" s="8" t="n"/>
    </row>
    <row r="1784">
      <c r="A1784" s="7" t="n"/>
      <c r="B1784" s="8" t="n"/>
      <c r="C1784" s="8" t="n"/>
    </row>
    <row r="1785">
      <c r="A1785" s="7" t="n"/>
      <c r="B1785" s="8" t="n"/>
      <c r="C1785" s="8" t="n"/>
    </row>
    <row r="1786">
      <c r="A1786" s="7" t="n"/>
      <c r="B1786" s="8" t="n"/>
      <c r="C1786" s="8" t="n"/>
    </row>
    <row r="1787">
      <c r="A1787" s="7" t="n"/>
      <c r="B1787" s="8" t="n"/>
      <c r="C1787" s="8" t="n"/>
    </row>
    <row r="1788">
      <c r="A1788" s="7" t="n"/>
      <c r="B1788" s="8" t="n"/>
      <c r="C1788" s="8" t="n"/>
    </row>
    <row r="1789">
      <c r="A1789" s="7" t="n"/>
      <c r="B1789" s="8" t="n"/>
      <c r="C1789" s="8" t="n"/>
    </row>
    <row r="1790">
      <c r="A1790" s="7" t="n"/>
      <c r="B1790" s="8" t="n"/>
      <c r="C1790" s="8" t="n"/>
    </row>
    <row r="1791">
      <c r="A1791" s="7" t="n"/>
      <c r="B1791" s="8" t="n"/>
      <c r="C1791" s="8" t="n"/>
    </row>
    <row r="1792">
      <c r="A1792" s="7" t="n"/>
      <c r="B1792" s="8" t="n"/>
      <c r="C1792" s="8" t="n"/>
    </row>
    <row r="1793">
      <c r="A1793" s="7" t="n"/>
      <c r="B1793" s="8" t="n"/>
      <c r="C1793" s="8" t="n"/>
    </row>
    <row r="1794">
      <c r="A1794" s="7" t="n"/>
      <c r="B1794" s="8" t="n"/>
      <c r="C1794" s="8" t="n"/>
    </row>
    <row r="1795">
      <c r="A1795" s="7" t="n"/>
      <c r="B1795" s="8" t="n"/>
      <c r="C1795" s="8" t="n"/>
    </row>
    <row r="1796">
      <c r="A1796" s="7" t="n"/>
      <c r="B1796" s="8" t="n"/>
      <c r="C1796" s="8" t="n"/>
    </row>
    <row r="1797">
      <c r="A1797" s="7" t="n"/>
      <c r="B1797" s="8" t="n"/>
      <c r="C1797" s="8" t="n"/>
    </row>
    <row r="1798">
      <c r="A1798" s="7" t="n"/>
      <c r="B1798" s="8" t="n"/>
      <c r="C1798" s="8" t="n"/>
    </row>
    <row r="1799">
      <c r="A1799" s="7" t="n"/>
      <c r="B1799" s="8" t="n"/>
      <c r="C1799" s="8" t="n"/>
    </row>
    <row r="1800">
      <c r="A1800" s="7" t="n"/>
      <c r="B1800" s="8" t="n"/>
      <c r="C1800" s="8" t="n"/>
    </row>
    <row r="1801">
      <c r="A1801" s="7" t="n"/>
      <c r="B1801" s="8" t="n"/>
      <c r="C1801" s="8" t="n"/>
    </row>
    <row r="1802">
      <c r="A1802" s="7" t="n"/>
      <c r="B1802" s="8" t="n"/>
      <c r="C1802" s="8" t="n"/>
    </row>
    <row r="1803">
      <c r="A1803" s="7" t="n"/>
      <c r="B1803" s="8" t="n"/>
      <c r="C1803" s="8" t="n"/>
    </row>
    <row r="1804">
      <c r="A1804" s="7" t="n"/>
      <c r="B1804" s="8" t="n"/>
      <c r="C1804" s="8" t="n"/>
    </row>
    <row r="1805">
      <c r="A1805" s="7" t="n"/>
      <c r="B1805" s="8" t="n"/>
      <c r="C1805" s="8" t="n"/>
    </row>
    <row r="1806">
      <c r="A1806" s="7" t="n"/>
      <c r="B1806" s="8" t="n"/>
      <c r="C1806" s="8" t="n"/>
    </row>
    <row r="1807">
      <c r="A1807" s="7" t="n"/>
      <c r="B1807" s="8" t="n"/>
      <c r="C1807" s="8" t="n"/>
    </row>
    <row r="1808">
      <c r="A1808" s="7" t="n"/>
      <c r="B1808" s="8" t="n"/>
      <c r="C1808" s="8" t="n"/>
    </row>
    <row r="1809">
      <c r="A1809" s="7" t="n"/>
      <c r="B1809" s="8" t="n"/>
      <c r="C1809" s="8" t="n"/>
    </row>
    <row r="1810">
      <c r="A1810" s="7" t="n"/>
      <c r="B1810" s="8" t="n"/>
      <c r="C1810" s="8" t="n"/>
    </row>
    <row r="1811">
      <c r="A1811" s="7" t="n"/>
      <c r="B1811" s="8" t="n"/>
      <c r="C1811" s="8" t="n"/>
    </row>
    <row r="1812">
      <c r="A1812" s="7" t="n"/>
      <c r="B1812" s="8" t="n"/>
      <c r="C1812" s="8" t="n"/>
    </row>
    <row r="1813">
      <c r="A1813" s="7" t="n"/>
      <c r="B1813" s="8" t="n"/>
      <c r="C1813" s="8" t="n"/>
    </row>
    <row r="1814">
      <c r="A1814" s="7" t="n"/>
      <c r="B1814" s="8" t="n"/>
      <c r="C1814" s="8" t="n"/>
    </row>
    <row r="1815">
      <c r="A1815" s="7" t="n"/>
      <c r="B1815" s="8" t="n"/>
      <c r="C1815" s="8" t="n"/>
    </row>
    <row r="1816">
      <c r="A1816" s="7" t="n"/>
      <c r="B1816" s="8" t="n"/>
      <c r="C1816" s="8" t="n"/>
    </row>
    <row r="1817">
      <c r="A1817" s="7" t="n"/>
      <c r="B1817" s="8" t="n"/>
      <c r="C1817" s="8" t="n"/>
    </row>
    <row r="1818">
      <c r="A1818" s="7" t="n"/>
      <c r="B1818" s="8" t="n"/>
      <c r="C1818" s="8" t="n"/>
    </row>
    <row r="1819">
      <c r="A1819" s="7" t="n"/>
      <c r="B1819" s="8" t="n"/>
      <c r="C1819" s="8" t="n"/>
    </row>
    <row r="1820">
      <c r="A1820" s="7" t="n"/>
      <c r="B1820" s="8" t="n"/>
      <c r="C1820" s="8" t="n"/>
    </row>
    <row r="1821">
      <c r="A1821" s="7" t="n"/>
      <c r="B1821" s="8" t="n"/>
      <c r="C1821" s="8" t="n"/>
    </row>
    <row r="1822">
      <c r="A1822" s="7" t="n"/>
      <c r="B1822" s="8" t="n"/>
      <c r="C1822" s="8" t="n"/>
    </row>
    <row r="1823">
      <c r="A1823" s="7" t="n"/>
      <c r="B1823" s="8" t="n"/>
      <c r="C1823" s="8" t="n"/>
    </row>
    <row r="1824">
      <c r="A1824" s="7" t="n"/>
      <c r="B1824" s="8" t="n"/>
      <c r="C1824" s="8" t="n"/>
    </row>
    <row r="1825">
      <c r="A1825" s="7" t="n"/>
      <c r="B1825" s="8" t="n"/>
      <c r="C1825" s="8" t="n"/>
    </row>
    <row r="1826">
      <c r="A1826" s="7" t="n"/>
      <c r="B1826" s="8" t="n"/>
      <c r="C1826" s="8" t="n"/>
    </row>
    <row r="1827">
      <c r="A1827" s="7" t="n"/>
      <c r="B1827" s="8" t="n"/>
      <c r="C1827" s="8" t="n"/>
    </row>
    <row r="1828">
      <c r="A1828" s="7" t="n"/>
      <c r="B1828" s="8" t="n"/>
      <c r="C1828" s="8" t="n"/>
    </row>
    <row r="1829">
      <c r="A1829" s="7" t="n"/>
      <c r="B1829" s="8" t="n"/>
      <c r="C1829" s="8" t="n"/>
    </row>
    <row r="1830">
      <c r="A1830" s="7" t="n"/>
      <c r="B1830" s="8" t="n"/>
      <c r="C1830" s="8" t="n"/>
    </row>
    <row r="1831">
      <c r="A1831" s="7" t="n"/>
      <c r="B1831" s="8" t="n"/>
      <c r="C1831" s="8" t="n"/>
    </row>
    <row r="1832">
      <c r="A1832" s="7" t="n"/>
      <c r="B1832" s="8" t="n"/>
      <c r="C1832" s="8" t="n"/>
    </row>
    <row r="1833">
      <c r="A1833" s="7" t="n"/>
      <c r="B1833" s="8" t="n"/>
      <c r="C1833" s="8" t="n"/>
    </row>
    <row r="1834">
      <c r="A1834" s="7" t="n"/>
      <c r="B1834" s="8" t="n"/>
      <c r="C1834" s="8" t="n"/>
    </row>
    <row r="1835">
      <c r="A1835" s="7" t="n"/>
      <c r="B1835" s="8" t="n"/>
      <c r="C1835" s="8" t="n"/>
    </row>
    <row r="1836">
      <c r="A1836" s="7" t="n"/>
      <c r="B1836" s="8" t="n"/>
      <c r="C1836" s="8" t="n"/>
    </row>
    <row r="1837">
      <c r="A1837" s="7" t="n"/>
      <c r="B1837" s="8" t="n"/>
      <c r="C1837" s="8" t="n"/>
    </row>
    <row r="1838">
      <c r="A1838" s="7" t="n"/>
      <c r="B1838" s="8" t="n"/>
      <c r="C1838" s="8" t="n"/>
    </row>
    <row r="1839">
      <c r="A1839" s="7" t="n"/>
      <c r="B1839" s="8" t="n"/>
      <c r="C1839" s="8" t="n"/>
    </row>
    <row r="1840">
      <c r="A1840" s="7" t="n"/>
      <c r="B1840" s="8" t="n"/>
      <c r="C1840" s="8" t="n"/>
    </row>
    <row r="1841">
      <c r="A1841" s="7" t="n"/>
      <c r="B1841" s="8" t="n"/>
      <c r="C1841" s="8" t="n"/>
    </row>
    <row r="1842">
      <c r="A1842" s="7" t="n"/>
      <c r="B1842" s="8" t="n"/>
      <c r="C1842" s="8" t="n"/>
    </row>
    <row r="1843">
      <c r="A1843" s="7" t="n"/>
      <c r="B1843" s="8" t="n"/>
      <c r="C1843" s="8" t="n"/>
    </row>
    <row r="1844">
      <c r="A1844" s="7" t="n"/>
      <c r="B1844" s="8" t="n"/>
      <c r="C1844" s="8" t="n"/>
    </row>
    <row r="1845">
      <c r="A1845" s="7" t="n"/>
      <c r="B1845" s="8" t="n"/>
      <c r="C1845" s="8" t="n"/>
    </row>
    <row r="1846">
      <c r="A1846" s="7" t="n"/>
      <c r="B1846" s="8" t="n"/>
      <c r="C1846" s="8" t="n"/>
    </row>
    <row r="1847">
      <c r="A1847" s="7" t="n"/>
      <c r="B1847" s="8" t="n"/>
      <c r="C1847" s="8" t="n"/>
    </row>
    <row r="1848">
      <c r="A1848" s="7" t="n"/>
      <c r="B1848" s="8" t="n"/>
      <c r="C1848" s="8" t="n"/>
    </row>
    <row r="1849">
      <c r="A1849" s="7" t="n"/>
      <c r="B1849" s="8" t="n"/>
      <c r="C1849" s="8" t="n"/>
    </row>
    <row r="1850">
      <c r="A1850" s="7" t="n"/>
      <c r="B1850" s="8" t="n"/>
      <c r="C1850" s="8" t="n"/>
    </row>
    <row r="1851">
      <c r="A1851" s="7" t="n"/>
      <c r="B1851" s="8" t="n"/>
      <c r="C1851" s="8" t="n"/>
    </row>
    <row r="1852">
      <c r="A1852" s="7" t="n"/>
      <c r="B1852" s="8" t="n"/>
      <c r="C1852" s="8" t="n"/>
    </row>
    <row r="1853">
      <c r="A1853" s="7" t="n"/>
      <c r="B1853" s="8" t="n"/>
      <c r="C1853" s="8" t="n"/>
    </row>
    <row r="1854">
      <c r="A1854" s="7" t="n"/>
      <c r="B1854" s="8" t="n"/>
      <c r="C1854" s="8" t="n"/>
    </row>
    <row r="1855">
      <c r="A1855" s="7" t="n"/>
      <c r="B1855" s="8" t="n"/>
      <c r="C1855" s="8" t="n"/>
    </row>
    <row r="1856">
      <c r="A1856" s="7" t="n"/>
      <c r="B1856" s="8" t="n"/>
      <c r="C1856" s="8" t="n"/>
    </row>
    <row r="1857">
      <c r="A1857" s="7" t="n"/>
      <c r="B1857" s="8" t="n"/>
      <c r="C1857" s="8" t="n"/>
    </row>
    <row r="1858">
      <c r="A1858" s="7" t="n"/>
      <c r="B1858" s="8" t="n"/>
      <c r="C1858" s="8" t="n"/>
    </row>
    <row r="1859">
      <c r="A1859" s="7" t="n"/>
      <c r="B1859" s="8" t="n"/>
      <c r="C1859" s="8" t="n"/>
    </row>
    <row r="1860">
      <c r="A1860" s="7" t="n"/>
      <c r="B1860" s="8" t="n"/>
      <c r="C1860" s="8" t="n"/>
    </row>
    <row r="1861">
      <c r="A1861" s="7" t="n"/>
      <c r="B1861" s="8" t="n"/>
      <c r="C1861" s="8" t="n"/>
    </row>
    <row r="1862">
      <c r="A1862" s="7" t="n"/>
      <c r="B1862" s="8" t="n"/>
      <c r="C1862" s="8" t="n"/>
    </row>
    <row r="1863">
      <c r="A1863" s="7" t="n"/>
      <c r="B1863" s="8" t="n"/>
      <c r="C1863" s="8" t="n"/>
    </row>
    <row r="1864">
      <c r="A1864" s="7" t="n"/>
      <c r="B1864" s="8" t="n"/>
      <c r="C1864" s="8" t="n"/>
    </row>
    <row r="1865">
      <c r="A1865" s="7" t="n"/>
      <c r="B1865" s="8" t="n"/>
      <c r="C1865" s="8" t="n"/>
    </row>
    <row r="1866">
      <c r="A1866" s="7" t="n"/>
      <c r="B1866" s="8" t="n"/>
      <c r="C1866" s="8" t="n"/>
    </row>
    <row r="1867">
      <c r="A1867" s="7" t="n"/>
      <c r="B1867" s="8" t="n"/>
      <c r="C1867" s="8" t="n"/>
    </row>
    <row r="1868">
      <c r="A1868" s="7" t="n"/>
      <c r="B1868" s="8" t="n"/>
      <c r="C1868" s="8" t="n"/>
    </row>
    <row r="1869">
      <c r="A1869" s="7" t="n"/>
      <c r="B1869" s="8" t="n"/>
      <c r="C1869" s="8" t="n"/>
    </row>
    <row r="1870">
      <c r="A1870" s="7" t="n"/>
      <c r="B1870" s="8" t="n"/>
      <c r="C1870" s="8" t="n"/>
    </row>
    <row r="1871">
      <c r="A1871" s="7" t="n"/>
      <c r="B1871" s="8" t="n"/>
      <c r="C1871" s="8" t="n"/>
    </row>
    <row r="1872">
      <c r="A1872" s="7" t="n"/>
      <c r="B1872" s="8" t="n"/>
      <c r="C1872" s="8" t="n"/>
    </row>
    <row r="1873">
      <c r="A1873" s="7" t="n"/>
      <c r="B1873" s="8" t="n"/>
      <c r="C1873" s="8" t="n"/>
    </row>
    <row r="1874">
      <c r="A1874" s="7" t="n"/>
      <c r="B1874" s="8" t="n"/>
      <c r="C1874" s="8" t="n"/>
    </row>
    <row r="1875">
      <c r="A1875" s="7" t="n"/>
      <c r="B1875" s="8" t="n"/>
      <c r="C1875" s="8" t="n"/>
    </row>
    <row r="1876">
      <c r="A1876" s="7" t="n"/>
      <c r="B1876" s="8" t="n"/>
      <c r="C1876" s="8" t="n"/>
    </row>
    <row r="1877">
      <c r="A1877" s="7" t="n"/>
      <c r="B1877" s="8" t="n"/>
      <c r="C1877" s="8" t="n"/>
    </row>
    <row r="1878">
      <c r="A1878" s="7" t="n"/>
      <c r="B1878" s="8" t="n"/>
      <c r="C1878" s="8" t="n"/>
    </row>
    <row r="1879">
      <c r="A1879" s="7" t="n"/>
      <c r="B1879" s="8" t="n"/>
      <c r="C1879" s="8" t="n"/>
    </row>
    <row r="1880">
      <c r="A1880" s="7" t="n"/>
      <c r="B1880" s="8" t="n"/>
      <c r="C1880" s="8" t="n"/>
    </row>
    <row r="1881">
      <c r="A1881" s="7" t="n"/>
      <c r="B1881" s="8" t="n"/>
      <c r="C1881" s="8" t="n"/>
    </row>
    <row r="1882">
      <c r="A1882" s="7" t="n"/>
      <c r="B1882" s="8" t="n"/>
      <c r="C1882" s="8" t="n"/>
    </row>
    <row r="1883">
      <c r="A1883" s="7" t="n"/>
      <c r="B1883" s="8" t="n"/>
      <c r="C1883" s="8" t="n"/>
    </row>
    <row r="1884">
      <c r="A1884" s="7" t="n"/>
      <c r="B1884" s="8" t="n"/>
      <c r="C1884" s="8" t="n"/>
    </row>
    <row r="1885">
      <c r="A1885" s="7" t="n"/>
      <c r="B1885" s="8" t="n"/>
      <c r="C1885" s="8" t="n"/>
    </row>
    <row r="1886">
      <c r="A1886" s="7" t="n"/>
      <c r="B1886" s="8" t="n"/>
      <c r="C1886" s="8" t="n"/>
    </row>
    <row r="1887">
      <c r="A1887" s="7" t="n"/>
      <c r="B1887" s="8" t="n"/>
      <c r="C1887" s="8" t="n"/>
    </row>
    <row r="1888">
      <c r="A1888" s="7" t="n"/>
      <c r="B1888" s="8" t="n"/>
      <c r="C1888" s="8" t="n"/>
    </row>
    <row r="1889">
      <c r="A1889" s="7" t="n"/>
      <c r="B1889" s="8" t="n"/>
      <c r="C1889" s="8" t="n"/>
    </row>
    <row r="1890">
      <c r="A1890" s="7" t="n"/>
      <c r="B1890" s="8" t="n"/>
      <c r="C1890" s="8" t="n"/>
    </row>
    <row r="1891">
      <c r="A1891" s="7" t="n"/>
      <c r="B1891" s="8" t="n"/>
      <c r="C1891" s="8" t="n"/>
    </row>
    <row r="1892">
      <c r="A1892" s="7" t="n"/>
      <c r="B1892" s="8" t="n"/>
      <c r="C1892" s="8" t="n"/>
    </row>
    <row r="1893">
      <c r="A1893" s="7" t="n"/>
      <c r="B1893" s="8" t="n"/>
      <c r="C1893" s="8" t="n"/>
    </row>
    <row r="1894">
      <c r="A1894" s="7" t="n"/>
      <c r="B1894" s="8" t="n"/>
      <c r="C1894" s="8" t="n"/>
    </row>
    <row r="1895">
      <c r="A1895" s="7" t="n"/>
      <c r="B1895" s="8" t="n"/>
      <c r="C1895" s="8" t="n"/>
    </row>
    <row r="1896">
      <c r="A1896" s="7" t="n"/>
      <c r="B1896" s="8" t="n"/>
      <c r="C1896" s="8" t="n"/>
    </row>
    <row r="1897">
      <c r="A1897" s="7" t="n"/>
      <c r="B1897" s="8" t="n"/>
      <c r="C1897" s="8" t="n"/>
    </row>
    <row r="1898">
      <c r="A1898" s="7" t="n"/>
      <c r="B1898" s="8" t="n"/>
      <c r="C1898" s="8" t="n"/>
    </row>
    <row r="1899">
      <c r="A1899" s="7" t="n"/>
      <c r="B1899" s="8" t="n"/>
      <c r="C1899" s="8" t="n"/>
    </row>
    <row r="1900">
      <c r="A1900" s="7" t="n"/>
      <c r="B1900" s="8" t="n"/>
      <c r="C1900" s="8" t="n"/>
    </row>
    <row r="1901">
      <c r="A1901" s="7" t="n"/>
      <c r="B1901" s="8" t="n"/>
      <c r="C1901" s="8" t="n"/>
    </row>
    <row r="1902">
      <c r="A1902" s="7" t="n"/>
      <c r="B1902" s="8" t="n"/>
      <c r="C1902" s="8" t="n"/>
    </row>
    <row r="1903">
      <c r="A1903" s="7" t="n"/>
      <c r="B1903" s="8" t="n"/>
      <c r="C1903" s="8" t="n"/>
    </row>
    <row r="1904">
      <c r="A1904" s="7" t="n"/>
      <c r="B1904" s="8" t="n"/>
      <c r="C1904" s="8" t="n"/>
    </row>
    <row r="1905">
      <c r="A1905" s="7" t="n"/>
      <c r="B1905" s="8" t="n"/>
      <c r="C1905" s="8" t="n"/>
    </row>
    <row r="1906">
      <c r="A1906" s="7" t="n"/>
      <c r="B1906" s="8" t="n"/>
      <c r="C1906" s="8" t="n"/>
    </row>
    <row r="1907">
      <c r="A1907" s="7" t="n"/>
      <c r="B1907" s="8" t="n"/>
      <c r="C1907" s="8" t="n"/>
    </row>
    <row r="1908">
      <c r="A1908" s="7" t="n"/>
      <c r="B1908" s="8" t="n"/>
      <c r="C1908" s="8" t="n"/>
    </row>
    <row r="1909">
      <c r="A1909" s="7" t="n"/>
      <c r="B1909" s="8" t="n"/>
      <c r="C1909" s="8" t="n"/>
    </row>
    <row r="1910">
      <c r="A1910" s="7" t="n"/>
      <c r="B1910" s="8" t="n"/>
      <c r="C1910" s="8" t="n"/>
    </row>
    <row r="1911">
      <c r="A1911" s="7" t="n"/>
      <c r="B1911" s="8" t="n"/>
      <c r="C1911" s="8" t="n"/>
    </row>
    <row r="1912">
      <c r="A1912" s="7" t="n"/>
      <c r="B1912" s="8" t="n"/>
      <c r="C1912" s="8" t="n"/>
    </row>
    <row r="1913">
      <c r="A1913" s="7" t="n"/>
      <c r="B1913" s="8" t="n"/>
      <c r="C1913" s="8" t="n"/>
    </row>
    <row r="1914">
      <c r="A1914" s="7" t="n"/>
      <c r="B1914" s="8" t="n"/>
      <c r="C1914" s="8" t="n"/>
    </row>
    <row r="1915">
      <c r="A1915" s="7" t="n"/>
      <c r="B1915" s="8" t="n"/>
      <c r="C1915" s="8" t="n"/>
    </row>
    <row r="1916">
      <c r="A1916" s="7" t="n"/>
      <c r="B1916" s="8" t="n"/>
      <c r="C1916" s="8" t="n"/>
    </row>
    <row r="1917">
      <c r="A1917" s="7" t="n"/>
      <c r="B1917" s="8" t="n"/>
      <c r="C1917" s="8" t="n"/>
    </row>
    <row r="1918">
      <c r="A1918" s="7" t="n"/>
      <c r="B1918" s="8" t="n"/>
      <c r="C1918" s="8" t="n"/>
    </row>
    <row r="1919">
      <c r="A1919" s="7" t="n"/>
      <c r="B1919" s="8" t="n"/>
      <c r="C1919" s="8" t="n"/>
    </row>
    <row r="1920">
      <c r="A1920" s="7" t="n"/>
      <c r="B1920" s="8" t="n"/>
      <c r="C1920" s="8" t="n"/>
    </row>
    <row r="1921">
      <c r="A1921" s="7" t="n"/>
      <c r="B1921" s="8" t="n"/>
      <c r="C1921" s="8" t="n"/>
    </row>
    <row r="1922">
      <c r="A1922" s="7" t="n"/>
      <c r="B1922" s="8" t="n"/>
      <c r="C1922" s="8" t="n"/>
    </row>
    <row r="1923">
      <c r="A1923" s="7" t="n"/>
      <c r="B1923" s="8" t="n"/>
      <c r="C1923" s="8" t="n"/>
    </row>
    <row r="1924">
      <c r="A1924" s="7" t="n"/>
      <c r="B1924" s="8" t="n"/>
      <c r="C1924" s="8" t="n"/>
    </row>
    <row r="1925">
      <c r="A1925" s="7" t="n"/>
      <c r="B1925" s="8" t="n"/>
      <c r="C1925" s="8" t="n"/>
    </row>
    <row r="1926">
      <c r="A1926" s="7" t="n"/>
      <c r="B1926" s="8" t="n"/>
      <c r="C1926" s="8" t="n"/>
    </row>
    <row r="1927">
      <c r="A1927" s="7" t="n"/>
      <c r="B1927" s="8" t="n"/>
      <c r="C1927" s="8" t="n"/>
    </row>
    <row r="1928">
      <c r="A1928" s="7" t="n"/>
      <c r="B1928" s="8" t="n"/>
      <c r="C1928" s="8" t="n"/>
    </row>
    <row r="1929">
      <c r="A1929" s="7" t="n"/>
      <c r="B1929" s="8" t="n"/>
      <c r="C1929" s="8" t="n"/>
    </row>
    <row r="1930">
      <c r="A1930" s="7" t="n"/>
      <c r="B1930" s="8" t="n"/>
      <c r="C1930" s="8" t="n"/>
    </row>
    <row r="1931">
      <c r="A1931" s="7" t="n"/>
      <c r="B1931" s="8" t="n"/>
      <c r="C1931" s="8" t="n"/>
    </row>
    <row r="1932">
      <c r="A1932" s="7" t="n"/>
      <c r="B1932" s="8" t="n"/>
      <c r="C1932" s="8" t="n"/>
    </row>
    <row r="1933">
      <c r="A1933" s="7" t="n"/>
      <c r="B1933" s="8" t="n"/>
      <c r="C1933" s="8" t="n"/>
    </row>
    <row r="1934">
      <c r="A1934" s="7" t="n"/>
      <c r="B1934" s="8" t="n"/>
      <c r="C1934" s="8" t="n"/>
    </row>
    <row r="1935">
      <c r="A1935" s="7" t="n"/>
      <c r="B1935" s="8" t="n"/>
      <c r="C1935" s="8" t="n"/>
    </row>
    <row r="1936">
      <c r="A1936" s="7" t="n"/>
      <c r="B1936" s="8" t="n"/>
      <c r="C1936" s="8" t="n"/>
    </row>
    <row r="1937">
      <c r="A1937" s="7" t="n"/>
      <c r="B1937" s="8" t="n"/>
      <c r="C1937" s="8" t="n"/>
    </row>
    <row r="1938">
      <c r="A1938" s="7" t="n"/>
      <c r="B1938" s="8" t="n"/>
      <c r="C1938" s="8" t="n"/>
    </row>
    <row r="1939">
      <c r="A1939" s="7" t="n"/>
      <c r="B1939" s="8" t="n"/>
      <c r="C1939" s="8" t="n"/>
    </row>
    <row r="1940">
      <c r="A1940" s="7" t="n"/>
      <c r="B1940" s="8" t="n"/>
      <c r="C1940" s="8" t="n"/>
    </row>
    <row r="1941">
      <c r="A1941" s="7" t="n"/>
      <c r="B1941" s="8" t="n"/>
      <c r="C1941" s="8" t="n"/>
    </row>
    <row r="1942">
      <c r="A1942" s="7" t="n"/>
      <c r="B1942" s="8" t="n"/>
      <c r="C1942" s="8" t="n"/>
    </row>
    <row r="1943">
      <c r="A1943" s="7" t="n"/>
      <c r="B1943" s="8" t="n"/>
      <c r="C1943" s="8" t="n"/>
    </row>
    <row r="1944">
      <c r="A1944" s="7" t="n"/>
      <c r="B1944" s="8" t="n"/>
      <c r="C1944" s="8" t="n"/>
    </row>
    <row r="1945">
      <c r="A1945" s="7" t="n"/>
      <c r="B1945" s="8" t="n"/>
      <c r="C1945" s="8" t="n"/>
    </row>
    <row r="1946">
      <c r="A1946" s="7" t="n"/>
      <c r="B1946" s="8" t="n"/>
      <c r="C1946" s="8" t="n"/>
    </row>
    <row r="1947">
      <c r="A1947" s="7" t="n"/>
      <c r="B1947" s="8" t="n"/>
      <c r="C1947" s="8" t="n"/>
    </row>
    <row r="1948">
      <c r="A1948" s="7" t="n"/>
      <c r="B1948" s="8" t="n"/>
      <c r="C1948" s="8" t="n"/>
    </row>
    <row r="1949">
      <c r="A1949" s="7" t="n"/>
      <c r="B1949" s="8" t="n"/>
      <c r="C1949" s="8" t="n"/>
    </row>
    <row r="1950">
      <c r="A1950" s="7" t="n"/>
      <c r="B1950" s="8" t="n"/>
      <c r="C1950" s="8" t="n"/>
    </row>
    <row r="1951">
      <c r="A1951" s="7" t="n"/>
      <c r="B1951" s="8" t="n"/>
      <c r="C1951" s="8" t="n"/>
    </row>
    <row r="1952">
      <c r="A1952" s="7" t="n"/>
      <c r="B1952" s="8" t="n"/>
      <c r="C1952" s="8" t="n"/>
    </row>
    <row r="1953">
      <c r="A1953" s="7" t="n"/>
      <c r="B1953" s="8" t="n"/>
      <c r="C1953" s="8" t="n"/>
    </row>
    <row r="1954">
      <c r="A1954" s="7" t="n"/>
      <c r="B1954" s="8" t="n"/>
      <c r="C1954" s="8" t="n"/>
    </row>
    <row r="1955">
      <c r="A1955" s="7" t="n"/>
      <c r="B1955" s="8" t="n"/>
      <c r="C1955" s="8" t="n"/>
    </row>
    <row r="1956">
      <c r="A1956" s="7" t="n"/>
      <c r="B1956" s="8" t="n"/>
      <c r="C1956" s="8" t="n"/>
    </row>
    <row r="1957">
      <c r="A1957" s="7" t="n"/>
      <c r="B1957" s="8" t="n"/>
      <c r="C1957" s="8" t="n"/>
    </row>
    <row r="1958">
      <c r="A1958" s="7" t="n"/>
      <c r="B1958" s="8" t="n"/>
      <c r="C1958" s="8" t="n"/>
    </row>
    <row r="1959">
      <c r="A1959" s="7" t="n"/>
      <c r="B1959" s="8" t="n"/>
      <c r="C1959" s="8" t="n"/>
    </row>
    <row r="1960">
      <c r="A1960" s="7" t="n"/>
      <c r="B1960" s="8" t="n"/>
      <c r="C1960" s="8" t="n"/>
    </row>
    <row r="1961">
      <c r="A1961" s="7" t="n"/>
      <c r="B1961" s="8" t="n"/>
      <c r="C1961" s="8" t="n"/>
    </row>
    <row r="1962">
      <c r="A1962" s="7" t="n"/>
      <c r="B1962" s="8" t="n"/>
      <c r="C1962" s="8" t="n"/>
    </row>
    <row r="1963">
      <c r="A1963" s="7" t="n"/>
      <c r="B1963" s="8" t="n"/>
      <c r="C1963" s="8" t="n"/>
    </row>
    <row r="1964">
      <c r="A1964" s="7" t="n"/>
      <c r="B1964" s="8" t="n"/>
      <c r="C1964" s="8" t="n"/>
    </row>
    <row r="1965">
      <c r="A1965" s="7" t="n"/>
      <c r="B1965" s="8" t="n"/>
      <c r="C1965" s="8" t="n"/>
    </row>
    <row r="1966">
      <c r="A1966" s="7" t="n"/>
      <c r="B1966" s="8" t="n"/>
      <c r="C1966" s="8" t="n"/>
    </row>
    <row r="1967">
      <c r="A1967" s="7" t="n"/>
      <c r="B1967" s="8" t="n"/>
      <c r="C1967" s="8" t="n"/>
    </row>
    <row r="1968">
      <c r="A1968" s="7" t="n"/>
      <c r="B1968" s="8" t="n"/>
      <c r="C1968" s="8" t="n"/>
    </row>
    <row r="1969">
      <c r="A1969" s="7" t="n"/>
      <c r="B1969" s="8" t="n"/>
      <c r="C1969" s="8" t="n"/>
    </row>
    <row r="1970">
      <c r="A1970" s="7" t="n"/>
      <c r="B1970" s="8" t="n"/>
      <c r="C1970" s="8" t="n"/>
    </row>
    <row r="1971">
      <c r="A1971" s="7" t="n"/>
      <c r="B1971" s="8" t="n"/>
      <c r="C1971" s="8" t="n"/>
    </row>
    <row r="1972">
      <c r="A1972" s="7" t="n"/>
      <c r="B1972" s="8" t="n"/>
      <c r="C1972" s="8" t="n"/>
    </row>
    <row r="1973">
      <c r="A1973" s="7" t="n"/>
      <c r="B1973" s="8" t="n"/>
      <c r="C1973" s="8" t="n"/>
    </row>
    <row r="1974">
      <c r="A1974" s="7" t="n"/>
      <c r="B1974" s="8" t="n"/>
      <c r="C1974" s="8" t="n"/>
    </row>
    <row r="1975">
      <c r="A1975" s="7" t="n"/>
      <c r="B1975" s="8" t="n"/>
      <c r="C1975" s="8" t="n"/>
    </row>
    <row r="1976">
      <c r="A1976" s="7" t="n"/>
      <c r="B1976" s="8" t="n"/>
      <c r="C1976" s="8" t="n"/>
    </row>
    <row r="1977">
      <c r="A1977" s="7" t="n"/>
      <c r="B1977" s="8" t="n"/>
      <c r="C1977" s="8" t="n"/>
    </row>
    <row r="1978">
      <c r="A1978" s="7" t="n"/>
      <c r="B1978" s="8" t="n"/>
      <c r="C1978" s="8" t="n"/>
    </row>
    <row r="1979">
      <c r="A1979" s="7" t="n"/>
      <c r="B1979" s="8" t="n"/>
      <c r="C1979" s="8" t="n"/>
    </row>
    <row r="1980">
      <c r="A1980" s="7" t="n"/>
      <c r="B1980" s="8" t="n"/>
      <c r="C1980" s="8" t="n"/>
    </row>
    <row r="1981">
      <c r="A1981" s="7" t="n"/>
      <c r="B1981" s="8" t="n"/>
      <c r="C1981" s="8" t="n"/>
    </row>
    <row r="1982">
      <c r="A1982" s="7" t="n"/>
      <c r="B1982" s="8" t="n"/>
      <c r="C1982" s="8" t="n"/>
    </row>
    <row r="1983">
      <c r="A1983" s="7" t="n"/>
      <c r="B1983" s="8" t="n"/>
      <c r="C1983" s="8" t="n"/>
    </row>
    <row r="1984">
      <c r="A1984" s="7" t="n"/>
      <c r="B1984" s="8" t="n"/>
      <c r="C1984" s="8" t="n"/>
    </row>
    <row r="1985">
      <c r="A1985" s="7" t="n"/>
      <c r="B1985" s="8" t="n"/>
      <c r="C1985" s="8" t="n"/>
    </row>
    <row r="1986">
      <c r="A1986" s="7" t="n"/>
      <c r="B1986" s="8" t="n"/>
      <c r="C1986" s="8" t="n"/>
    </row>
    <row r="1987">
      <c r="A1987" s="7" t="n"/>
      <c r="B1987" s="8" t="n"/>
      <c r="C1987" s="8" t="n"/>
    </row>
    <row r="1988">
      <c r="A1988" s="7" t="n"/>
      <c r="B1988" s="8" t="n"/>
      <c r="C1988" s="8" t="n"/>
    </row>
    <row r="1989">
      <c r="A1989" s="7" t="n"/>
      <c r="B1989" s="8" t="n"/>
      <c r="C1989" s="8" t="n"/>
    </row>
    <row r="1990">
      <c r="A1990" s="7" t="n"/>
      <c r="B1990" s="8" t="n"/>
      <c r="C1990" s="8" t="n"/>
    </row>
    <row r="1991">
      <c r="A1991" s="7" t="n"/>
      <c r="B1991" s="8" t="n"/>
      <c r="C1991" s="8" t="n"/>
    </row>
    <row r="1992">
      <c r="A1992" s="7" t="n"/>
      <c r="B1992" s="8" t="n"/>
      <c r="C1992" s="8" t="n"/>
    </row>
    <row r="1993">
      <c r="A1993" s="7" t="n"/>
      <c r="B1993" s="8" t="n"/>
      <c r="C1993" s="8" t="n"/>
    </row>
    <row r="1994">
      <c r="A1994" s="7" t="n"/>
      <c r="B1994" s="8" t="n"/>
      <c r="C1994" s="8" t="n"/>
    </row>
    <row r="1995">
      <c r="A1995" s="7" t="n"/>
      <c r="B1995" s="8" t="n"/>
      <c r="C1995" s="8" t="n"/>
    </row>
    <row r="1996">
      <c r="A1996" s="7" t="n"/>
      <c r="B1996" s="8" t="n"/>
      <c r="C1996" s="8" t="n"/>
    </row>
    <row r="1997">
      <c r="A1997" s="7" t="n"/>
      <c r="B1997" s="8" t="n"/>
      <c r="C1997" s="8" t="n"/>
    </row>
    <row r="1998">
      <c r="A1998" s="7" t="n"/>
      <c r="B1998" s="8" t="n"/>
      <c r="C1998" s="8" t="n"/>
    </row>
    <row r="1999">
      <c r="A1999" s="7" t="n"/>
      <c r="B1999" s="8" t="n"/>
      <c r="C1999" s="8" t="n"/>
    </row>
    <row r="2000">
      <c r="A2000" s="7" t="n"/>
      <c r="B2000" s="8" t="n"/>
      <c r="C2000" s="8" t="n"/>
    </row>
    <row r="2001">
      <c r="A2001" s="7" t="n"/>
      <c r="B2001" s="8" t="n"/>
      <c r="C2001" s="8" t="n"/>
    </row>
    <row r="2002">
      <c r="A2002" s="7" t="n"/>
      <c r="B2002" s="8" t="n"/>
      <c r="C2002" s="8" t="n"/>
    </row>
    <row r="2003">
      <c r="A2003" s="7" t="n"/>
      <c r="B2003" s="8" t="n"/>
      <c r="C2003" s="8" t="n"/>
    </row>
    <row r="2004">
      <c r="A2004" s="7" t="n"/>
      <c r="B2004" s="8" t="n"/>
      <c r="C2004" s="8" t="n"/>
    </row>
    <row r="2005">
      <c r="A2005" s="7" t="n"/>
      <c r="B2005" s="8" t="n"/>
      <c r="C2005" s="8" t="n"/>
    </row>
    <row r="2006">
      <c r="A2006" s="7" t="n"/>
      <c r="B2006" s="8" t="n"/>
      <c r="C2006" s="8" t="n"/>
    </row>
    <row r="2007">
      <c r="A2007" s="7" t="n"/>
      <c r="B2007" s="8" t="n"/>
      <c r="C2007" s="8" t="n"/>
    </row>
    <row r="2008">
      <c r="A2008" s="7" t="n"/>
      <c r="B2008" s="8" t="n"/>
      <c r="C2008" s="8" t="n"/>
    </row>
    <row r="2009">
      <c r="A2009" s="7" t="n"/>
      <c r="B2009" s="8" t="n"/>
      <c r="C2009" s="8" t="n"/>
    </row>
    <row r="2010">
      <c r="A2010" s="7" t="n"/>
      <c r="B2010" s="8" t="n"/>
      <c r="C2010" s="8" t="n"/>
    </row>
    <row r="2011">
      <c r="A2011" s="7" t="n"/>
      <c r="B2011" s="8" t="n"/>
      <c r="C2011" s="8" t="n"/>
    </row>
    <row r="2012">
      <c r="A2012" s="7" t="n"/>
      <c r="B2012" s="8" t="n"/>
      <c r="C2012" s="8" t="n"/>
    </row>
    <row r="2013">
      <c r="A2013" s="7" t="n"/>
      <c r="B2013" s="8" t="n"/>
      <c r="C2013" s="8" t="n"/>
    </row>
    <row r="2014">
      <c r="A2014" s="7" t="n"/>
      <c r="B2014" s="8" t="n"/>
      <c r="C2014" s="8" t="n"/>
    </row>
    <row r="2015">
      <c r="A2015" s="7" t="n"/>
      <c r="B2015" s="8" t="n"/>
      <c r="C2015" s="8" t="n"/>
    </row>
    <row r="2016">
      <c r="A2016" s="7" t="n"/>
      <c r="B2016" s="8" t="n"/>
      <c r="C2016" s="8" t="n"/>
    </row>
    <row r="2017">
      <c r="A2017" s="7" t="n"/>
      <c r="B2017" s="8" t="n"/>
      <c r="C2017" s="8" t="n"/>
    </row>
    <row r="2018">
      <c r="A2018" s="7" t="n"/>
      <c r="B2018" s="8" t="n"/>
      <c r="C2018" s="8" t="n"/>
    </row>
    <row r="2019">
      <c r="A2019" s="7" t="n"/>
      <c r="B2019" s="8" t="n"/>
      <c r="C2019" s="8" t="n"/>
    </row>
    <row r="2020">
      <c r="A2020" s="7" t="n"/>
      <c r="B2020" s="8" t="n"/>
      <c r="C2020" s="8" t="n"/>
    </row>
    <row r="2021">
      <c r="A2021" s="7" t="n"/>
      <c r="B2021" s="8" t="n"/>
      <c r="C2021" s="8" t="n"/>
    </row>
    <row r="2022">
      <c r="A2022" s="7" t="n"/>
      <c r="B2022" s="8" t="n"/>
      <c r="C2022" s="8" t="n"/>
    </row>
    <row r="2023">
      <c r="A2023" s="7" t="n"/>
      <c r="B2023" s="8" t="n"/>
      <c r="C2023" s="8" t="n"/>
    </row>
    <row r="2024">
      <c r="A2024" s="7" t="n"/>
      <c r="B2024" s="8" t="n"/>
      <c r="C2024" s="8" t="n"/>
    </row>
    <row r="2025">
      <c r="A2025" s="7" t="n"/>
      <c r="B2025" s="8" t="n"/>
      <c r="C2025" s="8" t="n"/>
    </row>
    <row r="2026">
      <c r="A2026" s="7" t="n"/>
      <c r="B2026" s="8" t="n"/>
      <c r="C2026" s="8" t="n"/>
    </row>
    <row r="2027">
      <c r="A2027" s="7" t="n"/>
      <c r="B2027" s="8" t="n"/>
      <c r="C2027" s="8" t="n"/>
    </row>
    <row r="2028">
      <c r="A2028" s="7" t="n"/>
      <c r="B2028" s="8" t="n"/>
      <c r="C2028" s="8" t="n"/>
    </row>
    <row r="2029">
      <c r="A2029" s="7" t="n"/>
      <c r="B2029" s="8" t="n"/>
      <c r="C2029" s="8" t="n"/>
    </row>
    <row r="2030">
      <c r="A2030" s="7" t="n"/>
      <c r="B2030" s="8" t="n"/>
      <c r="C2030" s="8" t="n"/>
    </row>
    <row r="2031">
      <c r="A2031" s="7" t="n"/>
      <c r="B2031" s="8" t="n"/>
      <c r="C2031" s="8" t="n"/>
    </row>
    <row r="2032">
      <c r="A2032" s="7" t="n"/>
      <c r="B2032" s="8" t="n"/>
      <c r="C2032" s="8" t="n"/>
    </row>
    <row r="2033">
      <c r="A2033" s="7" t="n"/>
      <c r="B2033" s="8" t="n"/>
      <c r="C2033" s="8" t="n"/>
    </row>
    <row r="2034">
      <c r="A2034" s="7" t="n"/>
      <c r="B2034" s="8" t="n"/>
      <c r="C2034" s="8" t="n"/>
    </row>
    <row r="2035">
      <c r="A2035" s="7" t="n"/>
      <c r="B2035" s="8" t="n"/>
      <c r="C2035" s="8" t="n"/>
    </row>
    <row r="2036">
      <c r="A2036" s="7" t="n"/>
      <c r="B2036" s="8" t="n"/>
      <c r="C2036" s="8" t="n"/>
    </row>
    <row r="2037">
      <c r="A2037" s="7" t="n"/>
      <c r="B2037" s="8" t="n"/>
      <c r="C2037" s="8" t="n"/>
    </row>
    <row r="2038">
      <c r="A2038" s="7" t="n"/>
      <c r="B2038" s="8" t="n"/>
      <c r="C2038" s="8" t="n"/>
    </row>
    <row r="2039">
      <c r="A2039" s="7" t="n"/>
      <c r="B2039" s="8" t="n"/>
      <c r="C2039" s="8" t="n"/>
    </row>
    <row r="2040">
      <c r="A2040" s="7" t="n"/>
      <c r="B2040" s="8" t="n"/>
      <c r="C2040" s="8" t="n"/>
    </row>
    <row r="2041">
      <c r="A2041" s="7" t="n"/>
      <c r="B2041" s="8" t="n"/>
      <c r="C2041" s="8" t="n"/>
    </row>
    <row r="2042">
      <c r="A2042" s="7" t="n"/>
      <c r="B2042" s="8" t="n"/>
      <c r="C2042" s="8" t="n"/>
    </row>
    <row r="2043">
      <c r="A2043" s="7" t="n"/>
      <c r="B2043" s="8" t="n"/>
      <c r="C2043" s="8" t="n"/>
    </row>
    <row r="2044">
      <c r="A2044" s="7" t="n"/>
      <c r="B2044" s="8" t="n"/>
      <c r="C2044" s="8" t="n"/>
    </row>
    <row r="2045">
      <c r="A2045" s="7" t="n"/>
      <c r="B2045" s="8" t="n"/>
      <c r="C2045" s="8" t="n"/>
    </row>
    <row r="2046">
      <c r="A2046" s="7" t="n"/>
      <c r="B2046" s="8" t="n"/>
      <c r="C2046" s="8" t="n"/>
    </row>
    <row r="2047">
      <c r="A2047" s="7" t="n"/>
      <c r="B2047" s="8" t="n"/>
      <c r="C2047" s="8" t="n"/>
    </row>
    <row r="2048">
      <c r="A2048" s="7" t="n"/>
      <c r="B2048" s="8" t="n"/>
      <c r="C2048" s="8" t="n"/>
    </row>
    <row r="2049">
      <c r="A2049" s="7" t="n"/>
      <c r="B2049" s="8" t="n"/>
      <c r="C2049" s="8" t="n"/>
    </row>
    <row r="2050">
      <c r="A2050" s="7" t="n"/>
      <c r="B2050" s="8" t="n"/>
      <c r="C2050" s="8" t="n"/>
    </row>
    <row r="2051">
      <c r="A2051" s="7" t="n"/>
      <c r="B2051" s="8" t="n"/>
      <c r="C2051" s="8" t="n"/>
    </row>
    <row r="2052">
      <c r="A2052" s="7" t="n"/>
      <c r="B2052" s="8" t="n"/>
      <c r="C2052" s="8" t="n"/>
    </row>
    <row r="2053">
      <c r="A2053" s="7" t="n"/>
      <c r="B2053" s="8" t="n"/>
      <c r="C2053" s="8" t="n"/>
    </row>
    <row r="2054">
      <c r="A2054" s="7" t="n"/>
      <c r="B2054" s="8" t="n"/>
      <c r="C2054" s="8" t="n"/>
    </row>
    <row r="2055">
      <c r="A2055" s="7" t="n"/>
      <c r="B2055" s="8" t="n"/>
      <c r="C2055" s="8" t="n"/>
    </row>
    <row r="2056">
      <c r="A2056" s="7" t="n"/>
      <c r="B2056" s="8" t="n"/>
      <c r="C2056" s="8" t="n"/>
    </row>
    <row r="2057">
      <c r="A2057" s="7" t="n"/>
      <c r="B2057" s="8" t="n"/>
      <c r="C2057" s="8" t="n"/>
    </row>
    <row r="2058">
      <c r="A2058" s="7" t="n"/>
      <c r="B2058" s="8" t="n"/>
      <c r="C2058" s="8" t="n"/>
    </row>
    <row r="2059">
      <c r="A2059" s="7" t="n"/>
      <c r="B2059" s="8" t="n"/>
      <c r="C2059" s="8" t="n"/>
    </row>
    <row r="2060">
      <c r="A2060" s="7" t="n"/>
      <c r="B2060" s="8" t="n"/>
      <c r="C2060" s="8" t="n"/>
    </row>
    <row r="2061">
      <c r="A2061" s="7" t="n"/>
      <c r="B2061" s="8" t="n"/>
      <c r="C2061" s="8" t="n"/>
    </row>
    <row r="2062">
      <c r="A2062" s="7" t="n"/>
      <c r="B2062" s="8" t="n"/>
      <c r="C2062" s="8" t="n"/>
    </row>
    <row r="2063">
      <c r="A2063" s="7" t="n"/>
      <c r="B2063" s="8" t="n"/>
      <c r="C2063" s="8" t="n"/>
    </row>
    <row r="2064">
      <c r="A2064" s="7" t="n"/>
      <c r="B2064" s="8" t="n"/>
      <c r="C2064" s="8" t="n"/>
    </row>
    <row r="2065">
      <c r="A2065" s="7" t="n"/>
      <c r="B2065" s="8" t="n"/>
      <c r="C2065" s="8" t="n"/>
    </row>
    <row r="2066">
      <c r="A2066" s="7" t="n"/>
      <c r="B2066" s="8" t="n"/>
      <c r="C2066" s="8" t="n"/>
    </row>
    <row r="2067">
      <c r="A2067" s="7" t="n"/>
      <c r="B2067" s="8" t="n"/>
      <c r="C2067" s="8" t="n"/>
    </row>
    <row r="2068">
      <c r="A2068" s="7" t="n"/>
      <c r="B2068" s="8" t="n"/>
      <c r="C2068" s="8" t="n"/>
    </row>
    <row r="2069">
      <c r="A2069" s="7" t="n"/>
      <c r="B2069" s="8" t="n"/>
      <c r="C2069" s="8" t="n"/>
    </row>
    <row r="2070">
      <c r="A2070" s="7" t="n"/>
      <c r="B2070" s="8" t="n"/>
      <c r="C2070" s="8" t="n"/>
    </row>
    <row r="2071">
      <c r="A2071" s="7" t="n"/>
      <c r="B2071" s="8" t="n"/>
      <c r="C2071" s="8" t="n"/>
    </row>
    <row r="2072">
      <c r="A2072" s="7" t="n"/>
      <c r="B2072" s="8" t="n"/>
      <c r="C2072" s="8" t="n"/>
    </row>
    <row r="2073">
      <c r="A2073" s="7" t="n"/>
      <c r="B2073" s="8" t="n"/>
      <c r="C2073" s="8" t="n"/>
    </row>
    <row r="2074">
      <c r="A2074" s="7" t="n"/>
      <c r="B2074" s="8" t="n"/>
      <c r="C2074" s="8" t="n"/>
    </row>
    <row r="2075">
      <c r="A2075" s="7" t="n"/>
      <c r="B2075" s="8" t="n"/>
      <c r="C2075" s="8" t="n"/>
    </row>
    <row r="2076">
      <c r="A2076" s="7" t="n"/>
      <c r="B2076" s="8" t="n"/>
      <c r="C2076" s="8" t="n"/>
    </row>
    <row r="2077">
      <c r="A2077" s="7" t="n"/>
      <c r="B2077" s="8" t="n"/>
      <c r="C2077" s="8" t="n"/>
    </row>
    <row r="2078">
      <c r="A2078" s="7" t="n"/>
      <c r="B2078" s="8" t="n"/>
      <c r="C2078" s="8" t="n"/>
    </row>
    <row r="2079">
      <c r="A2079" s="7" t="n"/>
      <c r="B2079" s="8" t="n"/>
      <c r="C2079" s="8" t="n"/>
    </row>
    <row r="2080">
      <c r="A2080" s="7" t="n"/>
      <c r="B2080" s="8" t="n"/>
      <c r="C2080" s="8" t="n"/>
    </row>
    <row r="2081">
      <c r="A2081" s="7" t="n"/>
      <c r="B2081" s="8" t="n"/>
      <c r="C2081" s="8" t="n"/>
    </row>
    <row r="2082">
      <c r="A2082" s="7" t="n"/>
      <c r="B2082" s="8" t="n"/>
      <c r="C2082" s="8" t="n"/>
    </row>
    <row r="2083">
      <c r="A2083" s="7" t="n"/>
      <c r="B2083" s="8" t="n"/>
      <c r="C2083" s="8" t="n"/>
    </row>
    <row r="2084">
      <c r="A2084" s="7" t="n"/>
      <c r="B2084" s="8" t="n"/>
      <c r="C2084" s="8" t="n"/>
    </row>
    <row r="2085">
      <c r="A2085" s="7" t="n"/>
      <c r="B2085" s="8" t="n"/>
      <c r="C2085" s="8" t="n"/>
    </row>
    <row r="2086">
      <c r="A2086" s="7" t="n"/>
      <c r="B2086" s="8" t="n"/>
      <c r="C2086" s="8" t="n"/>
    </row>
    <row r="2087">
      <c r="A2087" s="7" t="n"/>
      <c r="B2087" s="8" t="n"/>
      <c r="C2087" s="8" t="n"/>
    </row>
    <row r="2088">
      <c r="A2088" s="7" t="n"/>
      <c r="B2088" s="8" t="n"/>
      <c r="C2088" s="8" t="n"/>
    </row>
    <row r="2089">
      <c r="A2089" s="7" t="n"/>
      <c r="B2089" s="8" t="n"/>
      <c r="C2089" s="8" t="n"/>
    </row>
    <row r="2090">
      <c r="A2090" s="7" t="n"/>
      <c r="B2090" s="8" t="n"/>
      <c r="C2090" s="8" t="n"/>
    </row>
    <row r="2091">
      <c r="A2091" s="7" t="n"/>
      <c r="B2091" s="8" t="n"/>
      <c r="C2091" s="8" t="n"/>
    </row>
    <row r="2092">
      <c r="A2092" s="7" t="n"/>
      <c r="B2092" s="8" t="n"/>
      <c r="C2092" s="8" t="n"/>
    </row>
    <row r="2093">
      <c r="A2093" s="7" t="n"/>
      <c r="B2093" s="8" t="n"/>
      <c r="C2093" s="8" t="n"/>
    </row>
    <row r="2094">
      <c r="A2094" s="7" t="n"/>
      <c r="B2094" s="8" t="n"/>
      <c r="C2094" s="8" t="n"/>
    </row>
    <row r="2095">
      <c r="A2095" s="7" t="n"/>
      <c r="B2095" s="8" t="n"/>
      <c r="C2095" s="8" t="n"/>
    </row>
    <row r="2096">
      <c r="A2096" s="7" t="n"/>
      <c r="B2096" s="8" t="n"/>
      <c r="C2096" s="8" t="n"/>
    </row>
    <row r="2097">
      <c r="A2097" s="7" t="n"/>
      <c r="B2097" s="8" t="n"/>
      <c r="C2097" s="8" t="n"/>
    </row>
    <row r="2098">
      <c r="A2098" s="7" t="n"/>
      <c r="B2098" s="8" t="n"/>
      <c r="C2098" s="8" t="n"/>
    </row>
    <row r="2099">
      <c r="A2099" s="7" t="n"/>
      <c r="B2099" s="8" t="n"/>
      <c r="C2099" s="8" t="n"/>
    </row>
    <row r="2100">
      <c r="A2100" s="7" t="n"/>
      <c r="B2100" s="8" t="n"/>
      <c r="C2100" s="8" t="n"/>
    </row>
    <row r="2101">
      <c r="A2101" s="7" t="n"/>
      <c r="B2101" s="8" t="n"/>
      <c r="C2101" s="8" t="n"/>
    </row>
    <row r="2102">
      <c r="A2102" s="7" t="n"/>
      <c r="B2102" s="8" t="n"/>
      <c r="C2102" s="8" t="n"/>
    </row>
    <row r="2103">
      <c r="A2103" s="7" t="n"/>
      <c r="B2103" s="8" t="n"/>
      <c r="C2103" s="8" t="n"/>
    </row>
    <row r="2104">
      <c r="A2104" s="7" t="n"/>
      <c r="B2104" s="8" t="n"/>
      <c r="C2104" s="8" t="n"/>
    </row>
    <row r="2105">
      <c r="A2105" s="7" t="n"/>
      <c r="B2105" s="8" t="n"/>
      <c r="C2105" s="8" t="n"/>
    </row>
    <row r="2106">
      <c r="A2106" s="7" t="n"/>
      <c r="B2106" s="8" t="n"/>
      <c r="C2106" s="8" t="n"/>
    </row>
    <row r="2107">
      <c r="A2107" s="7" t="n"/>
      <c r="B2107" s="8" t="n"/>
      <c r="C2107" s="8" t="n"/>
    </row>
    <row r="2108">
      <c r="A2108" s="7" t="n"/>
      <c r="B2108" s="8" t="n"/>
      <c r="C2108" s="8" t="n"/>
    </row>
    <row r="2109">
      <c r="A2109" s="7" t="n"/>
      <c r="B2109" s="8" t="n"/>
      <c r="C2109" s="8" t="n"/>
    </row>
    <row r="2110">
      <c r="A2110" s="7" t="n"/>
      <c r="B2110" s="8" t="n"/>
      <c r="C2110" s="8" t="n"/>
    </row>
    <row r="2111">
      <c r="A2111" s="7" t="n"/>
      <c r="B2111" s="8" t="n"/>
      <c r="C2111" s="8" t="n"/>
    </row>
    <row r="2112">
      <c r="A2112" s="7" t="n"/>
      <c r="B2112" s="8" t="n"/>
      <c r="C2112" s="8" t="n"/>
    </row>
    <row r="2113">
      <c r="A2113" s="7" t="n"/>
      <c r="B2113" s="8" t="n"/>
      <c r="C2113" s="8" t="n"/>
    </row>
    <row r="2114">
      <c r="A2114" s="7" t="n"/>
      <c r="B2114" s="8" t="n"/>
      <c r="C2114" s="8" t="n"/>
    </row>
    <row r="2115">
      <c r="A2115" s="7" t="n"/>
      <c r="B2115" s="8" t="n"/>
      <c r="C2115" s="8" t="n"/>
    </row>
    <row r="2116">
      <c r="A2116" s="7" t="n"/>
      <c r="B2116" s="8" t="n"/>
      <c r="C2116" s="8" t="n"/>
    </row>
    <row r="2117">
      <c r="A2117" s="7" t="n"/>
      <c r="B2117" s="8" t="n"/>
      <c r="C2117" s="8" t="n"/>
    </row>
    <row r="2118">
      <c r="A2118" s="7" t="n"/>
      <c r="B2118" s="8" t="n"/>
      <c r="C2118" s="8" t="n"/>
    </row>
    <row r="2119">
      <c r="A2119" s="7" t="n"/>
      <c r="B2119" s="8" t="n"/>
      <c r="C2119" s="8" t="n"/>
    </row>
    <row r="2120">
      <c r="A2120" s="7" t="n"/>
      <c r="B2120" s="8" t="n"/>
      <c r="C2120" s="8" t="n"/>
    </row>
    <row r="2121">
      <c r="A2121" s="7" t="n"/>
      <c r="B2121" s="8" t="n"/>
      <c r="C2121" s="8" t="n"/>
    </row>
    <row r="2122">
      <c r="A2122" s="7" t="n"/>
      <c r="B2122" s="8" t="n"/>
      <c r="C2122" s="8" t="n"/>
    </row>
    <row r="2123">
      <c r="A2123" s="7" t="n"/>
      <c r="B2123" s="8" t="n"/>
      <c r="C2123" s="8" t="n"/>
    </row>
    <row r="2124">
      <c r="A2124" s="7" t="n"/>
      <c r="B2124" s="8" t="n"/>
      <c r="C2124" s="8" t="n"/>
    </row>
    <row r="2125">
      <c r="A2125" s="7" t="n"/>
      <c r="B2125" s="8" t="n"/>
      <c r="C2125" s="8" t="n"/>
    </row>
    <row r="2126">
      <c r="A2126" s="7" t="n"/>
      <c r="B2126" s="8" t="n"/>
      <c r="C2126" s="8" t="n"/>
    </row>
    <row r="2127">
      <c r="A2127" s="7" t="n"/>
      <c r="B2127" s="8" t="n"/>
      <c r="C2127" s="8" t="n"/>
    </row>
    <row r="2128">
      <c r="A2128" s="7" t="n"/>
      <c r="B2128" s="8" t="n"/>
      <c r="C2128" s="8" t="n"/>
    </row>
    <row r="2129">
      <c r="A2129" s="7" t="n"/>
      <c r="B2129" s="8" t="n"/>
      <c r="C2129" s="8" t="n"/>
    </row>
    <row r="2130">
      <c r="A2130" s="7" t="n"/>
      <c r="B2130" s="8" t="n"/>
      <c r="C2130" s="8" t="n"/>
    </row>
    <row r="2131">
      <c r="A2131" s="7" t="n"/>
      <c r="B2131" s="8" t="n"/>
      <c r="C2131" s="8" t="n"/>
    </row>
    <row r="2132">
      <c r="A2132" s="7" t="n"/>
      <c r="B2132" s="8" t="n"/>
      <c r="C2132" s="8" t="n"/>
    </row>
    <row r="2133">
      <c r="A2133" s="7" t="n"/>
      <c r="B2133" s="8" t="n"/>
      <c r="C2133" s="8" t="n"/>
    </row>
    <row r="2134">
      <c r="A2134" s="7" t="n"/>
      <c r="B2134" s="8" t="n"/>
      <c r="C2134" s="8" t="n"/>
    </row>
    <row r="2135">
      <c r="A2135" s="7" t="n"/>
      <c r="B2135" s="8" t="n"/>
      <c r="C2135" s="8" t="n"/>
    </row>
    <row r="2136">
      <c r="A2136" s="7" t="n"/>
      <c r="B2136" s="8" t="n"/>
      <c r="C2136" s="8" t="n"/>
    </row>
    <row r="2137">
      <c r="A2137" s="7" t="n"/>
      <c r="B2137" s="8" t="n"/>
      <c r="C2137" s="8" t="n"/>
    </row>
    <row r="2138">
      <c r="A2138" s="7" t="n"/>
      <c r="B2138" s="8" t="n"/>
      <c r="C2138" s="8" t="n"/>
    </row>
    <row r="2139">
      <c r="A2139" s="7" t="n"/>
      <c r="B2139" s="8" t="n"/>
      <c r="C2139" s="8" t="n"/>
    </row>
    <row r="2140">
      <c r="A2140" s="7" t="n"/>
      <c r="B2140" s="8" t="n"/>
      <c r="C2140" s="8" t="n"/>
    </row>
    <row r="2141">
      <c r="A2141" s="7" t="n"/>
      <c r="B2141" s="8" t="n"/>
      <c r="C2141" s="8" t="n"/>
    </row>
    <row r="2142">
      <c r="A2142" s="7" t="n"/>
      <c r="B2142" s="8" t="n"/>
      <c r="C2142" s="8" t="n"/>
    </row>
    <row r="2143">
      <c r="A2143" s="7" t="n"/>
      <c r="B2143" s="8" t="n"/>
      <c r="C2143" s="8" t="n"/>
    </row>
    <row r="2144">
      <c r="A2144" s="7" t="n"/>
      <c r="B2144" s="8" t="n"/>
      <c r="C2144" s="8" t="n"/>
    </row>
    <row r="2145">
      <c r="A2145" s="7" t="n"/>
      <c r="B2145" s="8" t="n"/>
      <c r="C2145" s="8" t="n"/>
    </row>
    <row r="2146">
      <c r="A2146" s="7" t="n"/>
      <c r="B2146" s="8" t="n"/>
      <c r="C2146" s="8" t="n"/>
    </row>
    <row r="2147">
      <c r="A2147" s="7" t="n"/>
      <c r="B2147" s="8" t="n"/>
      <c r="C2147" s="8" t="n"/>
    </row>
    <row r="2148">
      <c r="A2148" s="7" t="n"/>
      <c r="B2148" s="8" t="n"/>
      <c r="C2148" s="8" t="n"/>
    </row>
    <row r="2149">
      <c r="A2149" s="7" t="n"/>
      <c r="B2149" s="8" t="n"/>
      <c r="C2149" s="8" t="n"/>
    </row>
    <row r="2150">
      <c r="A2150" s="7" t="n"/>
      <c r="B2150" s="8" t="n"/>
      <c r="C2150" s="8" t="n"/>
    </row>
    <row r="2151">
      <c r="A2151" s="7" t="n"/>
      <c r="B2151" s="8" t="n"/>
      <c r="C2151" s="8" t="n"/>
    </row>
    <row r="2152">
      <c r="A2152" s="7" t="n"/>
      <c r="B2152" s="8" t="n"/>
      <c r="C2152" s="8" t="n"/>
    </row>
    <row r="2153">
      <c r="A2153" s="7" t="n"/>
      <c r="B2153" s="8" t="n"/>
      <c r="C2153" s="8" t="n"/>
    </row>
    <row r="2154">
      <c r="A2154" s="7" t="n"/>
      <c r="B2154" s="8" t="n"/>
      <c r="C2154" s="8" t="n"/>
    </row>
    <row r="2155">
      <c r="A2155" s="7" t="n"/>
      <c r="B2155" s="8" t="n"/>
      <c r="C2155" s="8" t="n"/>
    </row>
    <row r="2156">
      <c r="A2156" s="7" t="n"/>
      <c r="B2156" s="8" t="n"/>
      <c r="C2156" s="8" t="n"/>
    </row>
    <row r="2157">
      <c r="A2157" s="7" t="n"/>
      <c r="B2157" s="8" t="n"/>
      <c r="C2157" s="8" t="n"/>
    </row>
    <row r="2158">
      <c r="A2158" s="7" t="n"/>
      <c r="B2158" s="8" t="n"/>
      <c r="C2158" s="8" t="n"/>
    </row>
    <row r="2159">
      <c r="A2159" s="7" t="n"/>
      <c r="B2159" s="8" t="n"/>
      <c r="C2159" s="8" t="n"/>
    </row>
    <row r="2160">
      <c r="A2160" s="7" t="n"/>
      <c r="B2160" s="8" t="n"/>
      <c r="C2160" s="8" t="n"/>
    </row>
    <row r="2161">
      <c r="A2161" s="7" t="n"/>
      <c r="B2161" s="8" t="n"/>
      <c r="C2161" s="8" t="n"/>
    </row>
    <row r="2162">
      <c r="A2162" s="7" t="n"/>
      <c r="B2162" s="8" t="n"/>
      <c r="C2162" s="8" t="n"/>
    </row>
    <row r="2163">
      <c r="A2163" s="7" t="n"/>
      <c r="B2163" s="8" t="n"/>
      <c r="C2163" s="8" t="n"/>
    </row>
    <row r="2164">
      <c r="A2164" s="7" t="n"/>
      <c r="B2164" s="8" t="n"/>
      <c r="C2164" s="8" t="n"/>
    </row>
    <row r="2165">
      <c r="A2165" s="7" t="n"/>
      <c r="B2165" s="8" t="n"/>
      <c r="C2165" s="8" t="n"/>
    </row>
    <row r="2166">
      <c r="A2166" s="7" t="n"/>
      <c r="B2166" s="8" t="n"/>
      <c r="C2166" s="8" t="n"/>
    </row>
    <row r="2167">
      <c r="A2167" s="7" t="n"/>
      <c r="B2167" s="8" t="n"/>
      <c r="C2167" s="8" t="n"/>
    </row>
    <row r="2168">
      <c r="A2168" s="7" t="n"/>
      <c r="B2168" s="8" t="n"/>
      <c r="C2168" s="8" t="n"/>
    </row>
    <row r="2169">
      <c r="A2169" s="7" t="n"/>
      <c r="B2169" s="8" t="n"/>
      <c r="C2169" s="8" t="n"/>
    </row>
    <row r="2170">
      <c r="A2170" s="7" t="n"/>
      <c r="B2170" s="8" t="n"/>
      <c r="C2170" s="8" t="n"/>
    </row>
    <row r="2171">
      <c r="A2171" s="7" t="n"/>
      <c r="B2171" s="8" t="n"/>
      <c r="C2171" s="8" t="n"/>
    </row>
    <row r="2172">
      <c r="A2172" s="7" t="n"/>
      <c r="B2172" s="8" t="n"/>
      <c r="C2172" s="8" t="n"/>
    </row>
    <row r="2173">
      <c r="A2173" s="7" t="n"/>
      <c r="B2173" s="8" t="n"/>
      <c r="C2173" s="8" t="n"/>
    </row>
    <row r="2174">
      <c r="A2174" s="7" t="n"/>
      <c r="B2174" s="8" t="n"/>
      <c r="C2174" s="8" t="n"/>
    </row>
    <row r="2175">
      <c r="A2175" s="7" t="n"/>
      <c r="B2175" s="8" t="n"/>
      <c r="C2175" s="8" t="n"/>
    </row>
    <row r="2176">
      <c r="A2176" s="7" t="n"/>
      <c r="B2176" s="8" t="n"/>
      <c r="C2176" s="8" t="n"/>
    </row>
    <row r="2177">
      <c r="A2177" s="7" t="n"/>
      <c r="B2177" s="8" t="n"/>
      <c r="C2177" s="8" t="n"/>
    </row>
    <row r="2178">
      <c r="A2178" s="7" t="n"/>
      <c r="B2178" s="8" t="n"/>
      <c r="C2178" s="8" t="n"/>
    </row>
    <row r="2179">
      <c r="A2179" s="7" t="n"/>
      <c r="B2179" s="8" t="n"/>
      <c r="C2179" s="8" t="n"/>
    </row>
    <row r="2180">
      <c r="A2180" s="7" t="n"/>
      <c r="B2180" s="8" t="n"/>
      <c r="C2180" s="8" t="n"/>
    </row>
    <row r="2181">
      <c r="A2181" s="7" t="n"/>
      <c r="B2181" s="8" t="n"/>
      <c r="C2181" s="8" t="n"/>
    </row>
    <row r="2182">
      <c r="A2182" s="7" t="n"/>
      <c r="B2182" s="8" t="n"/>
      <c r="C2182" s="8" t="n"/>
    </row>
    <row r="2183">
      <c r="A2183" s="7" t="n"/>
      <c r="B2183" s="8" t="n"/>
      <c r="C2183" s="8" t="n"/>
    </row>
    <row r="2184">
      <c r="A2184" s="7" t="n"/>
      <c r="B2184" s="8" t="n"/>
      <c r="C2184" s="8" t="n"/>
    </row>
    <row r="2185">
      <c r="A2185" s="7" t="n"/>
      <c r="B2185" s="8" t="n"/>
      <c r="C2185" s="8" t="n"/>
    </row>
    <row r="2186">
      <c r="A2186" s="7" t="n"/>
      <c r="B2186" s="8" t="n"/>
      <c r="C2186" s="8" t="n"/>
    </row>
    <row r="2187">
      <c r="A2187" s="7" t="n"/>
      <c r="B2187" s="8" t="n"/>
      <c r="C2187" s="8" t="n"/>
    </row>
    <row r="2188">
      <c r="A2188" s="7" t="n"/>
      <c r="B2188" s="8" t="n"/>
      <c r="C2188" s="8" t="n"/>
    </row>
    <row r="2189">
      <c r="A2189" s="7" t="n"/>
      <c r="B2189" s="8" t="n"/>
      <c r="C2189" s="8" t="n"/>
    </row>
    <row r="2190">
      <c r="A2190" s="7" t="n"/>
      <c r="B2190" s="8" t="n"/>
      <c r="C2190" s="8" t="n"/>
    </row>
    <row r="2191">
      <c r="A2191" s="7" t="n"/>
      <c r="B2191" s="8" t="n"/>
      <c r="C2191" s="8" t="n"/>
    </row>
    <row r="2192">
      <c r="A2192" s="7" t="n"/>
      <c r="B2192" s="8" t="n"/>
      <c r="C2192" s="8" t="n"/>
    </row>
    <row r="2193">
      <c r="A2193" s="7" t="n"/>
      <c r="B2193" s="8" t="n"/>
      <c r="C2193" s="8" t="n"/>
    </row>
    <row r="2194">
      <c r="A2194" s="7" t="n"/>
      <c r="B2194" s="8" t="n"/>
      <c r="C2194" s="8" t="n"/>
    </row>
    <row r="2195">
      <c r="A2195" s="7" t="n"/>
      <c r="B2195" s="8" t="n"/>
      <c r="C2195" s="8" t="n"/>
    </row>
    <row r="2196">
      <c r="A2196" s="7" t="n"/>
      <c r="B2196" s="8" t="n"/>
      <c r="C2196" s="8" t="n"/>
    </row>
    <row r="2197">
      <c r="A2197" s="7" t="n"/>
      <c r="B2197" s="8" t="n"/>
      <c r="C2197" s="8" t="n"/>
    </row>
    <row r="2198">
      <c r="A2198" s="7" t="n"/>
      <c r="B2198" s="8" t="n"/>
      <c r="C2198" s="8" t="n"/>
    </row>
    <row r="2199">
      <c r="A2199" s="7" t="n"/>
      <c r="B2199" s="8" t="n"/>
      <c r="C2199" s="8" t="n"/>
    </row>
    <row r="2200">
      <c r="A2200" s="7" t="n"/>
      <c r="B2200" s="8" t="n"/>
      <c r="C2200" s="8" t="n"/>
    </row>
    <row r="2201">
      <c r="A2201" s="7" t="n"/>
      <c r="B2201" s="8" t="n"/>
      <c r="C2201" s="8" t="n"/>
    </row>
    <row r="2202">
      <c r="A2202" s="7" t="n"/>
      <c r="B2202" s="8" t="n"/>
      <c r="C2202" s="8" t="n"/>
    </row>
    <row r="2203">
      <c r="A2203" s="7" t="n"/>
      <c r="B2203" s="8" t="n"/>
      <c r="C2203" s="8" t="n"/>
    </row>
    <row r="2204">
      <c r="A2204" s="7" t="n"/>
      <c r="B2204" s="8" t="n"/>
      <c r="C2204" s="8" t="n"/>
    </row>
    <row r="2205">
      <c r="A2205" s="7" t="n"/>
      <c r="B2205" s="8" t="n"/>
      <c r="C2205" s="8" t="n"/>
    </row>
    <row r="2206">
      <c r="A2206" s="7" t="n"/>
      <c r="B2206" s="8" t="n"/>
      <c r="C2206" s="8" t="n"/>
    </row>
    <row r="2207">
      <c r="A2207" s="7" t="n"/>
      <c r="B2207" s="8" t="n"/>
      <c r="C2207" s="8" t="n"/>
    </row>
    <row r="2208">
      <c r="A2208" s="7" t="n"/>
      <c r="B2208" s="8" t="n"/>
      <c r="C2208" s="8" t="n"/>
    </row>
    <row r="2209">
      <c r="A2209" s="7" t="n"/>
      <c r="B2209" s="8" t="n"/>
      <c r="C2209" s="8" t="n"/>
    </row>
    <row r="2210">
      <c r="A2210" s="7" t="n"/>
      <c r="B2210" s="8" t="n"/>
      <c r="C2210" s="8" t="n"/>
    </row>
    <row r="2211">
      <c r="A2211" s="7" t="n"/>
      <c r="B2211" s="8" t="n"/>
      <c r="C2211" s="8" t="n"/>
    </row>
    <row r="2212">
      <c r="A2212" s="7" t="n"/>
      <c r="B2212" s="8" t="n"/>
      <c r="C2212" s="8" t="n"/>
    </row>
    <row r="2213">
      <c r="A2213" s="7" t="n"/>
      <c r="B2213" s="8" t="n"/>
      <c r="C2213" s="8" t="n"/>
    </row>
    <row r="2214">
      <c r="A2214" s="7" t="n"/>
      <c r="B2214" s="8" t="n"/>
      <c r="C2214" s="8" t="n"/>
    </row>
    <row r="2215">
      <c r="A2215" s="7" t="n"/>
      <c r="B2215" s="8" t="n"/>
      <c r="C2215" s="8" t="n"/>
    </row>
    <row r="2216">
      <c r="A2216" s="7" t="n"/>
      <c r="B2216" s="8" t="n"/>
      <c r="C2216" s="8" t="n"/>
    </row>
    <row r="2217">
      <c r="A2217" s="7" t="n"/>
      <c r="B2217" s="8" t="n"/>
      <c r="C2217" s="8" t="n"/>
    </row>
    <row r="2218">
      <c r="A2218" s="7" t="n"/>
      <c r="B2218" s="8" t="n"/>
      <c r="C2218" s="8" t="n"/>
    </row>
    <row r="2219">
      <c r="A2219" s="7" t="n"/>
      <c r="B2219" s="8" t="n"/>
      <c r="C2219" s="8" t="n"/>
    </row>
    <row r="2220">
      <c r="A2220" s="7" t="n"/>
      <c r="B2220" s="8" t="n"/>
      <c r="C2220" s="8" t="n"/>
    </row>
    <row r="2221">
      <c r="A2221" s="7" t="n"/>
      <c r="B2221" s="8" t="n"/>
      <c r="C2221" s="8" t="n"/>
    </row>
    <row r="2222">
      <c r="A2222" s="7" t="n"/>
      <c r="B2222" s="8" t="n"/>
      <c r="C2222" s="8" t="n"/>
    </row>
    <row r="2223">
      <c r="A2223" s="7" t="n"/>
      <c r="B2223" s="8" t="n"/>
      <c r="C2223" s="8" t="n"/>
    </row>
    <row r="2224">
      <c r="A2224" s="7" t="n"/>
      <c r="B2224" s="8" t="n"/>
      <c r="C2224" s="8" t="n"/>
    </row>
    <row r="2225">
      <c r="A2225" s="7" t="n"/>
      <c r="B2225" s="8" t="n"/>
      <c r="C2225" s="8" t="n"/>
    </row>
    <row r="2226">
      <c r="A2226" s="7" t="n"/>
      <c r="B2226" s="8" t="n"/>
      <c r="C2226" s="8" t="n"/>
    </row>
    <row r="2227">
      <c r="A2227" s="7" t="n"/>
      <c r="B2227" s="8" t="n"/>
      <c r="C2227" s="8" t="n"/>
    </row>
    <row r="2228">
      <c r="A2228" s="7" t="n"/>
      <c r="B2228" s="8" t="n"/>
      <c r="C2228" s="8" t="n"/>
    </row>
    <row r="2229">
      <c r="A2229" s="7" t="n"/>
      <c r="B2229" s="8" t="n"/>
      <c r="C2229" s="8" t="n"/>
    </row>
    <row r="2230">
      <c r="A2230" s="7" t="n"/>
      <c r="B2230" s="8" t="n"/>
      <c r="C2230" s="8" t="n"/>
    </row>
    <row r="2231">
      <c r="A2231" s="7" t="n"/>
      <c r="B2231" s="8" t="n"/>
      <c r="C2231" s="8" t="n"/>
    </row>
    <row r="2232">
      <c r="A2232" s="7" t="n"/>
      <c r="B2232" s="8" t="n"/>
      <c r="C2232" s="8" t="n"/>
    </row>
    <row r="2233">
      <c r="A2233" s="7" t="n"/>
      <c r="B2233" s="8" t="n"/>
      <c r="C2233" s="8" t="n"/>
    </row>
    <row r="2234">
      <c r="A2234" s="7" t="n"/>
      <c r="B2234" s="8" t="n"/>
      <c r="C2234" s="8" t="n"/>
    </row>
    <row r="2235">
      <c r="A2235" s="7" t="n"/>
      <c r="B2235" s="8" t="n"/>
      <c r="C2235" s="8" t="n"/>
    </row>
    <row r="2236">
      <c r="A2236" s="7" t="n"/>
      <c r="B2236" s="8" t="n"/>
      <c r="C2236" s="8" t="n"/>
    </row>
    <row r="2237">
      <c r="A2237" s="7" t="n"/>
      <c r="B2237" s="8" t="n"/>
      <c r="C2237" s="8" t="n"/>
    </row>
    <row r="2238">
      <c r="A2238" s="7" t="n"/>
      <c r="B2238" s="8" t="n"/>
      <c r="C2238" s="8" t="n"/>
    </row>
    <row r="2239">
      <c r="A2239" s="7" t="n"/>
      <c r="B2239" s="8" t="n"/>
      <c r="C2239" s="8" t="n"/>
    </row>
    <row r="2240">
      <c r="A2240" s="7" t="n"/>
      <c r="B2240" s="8" t="n"/>
      <c r="C2240" s="8" t="n"/>
    </row>
    <row r="2241">
      <c r="A2241" s="7" t="n"/>
      <c r="B2241" s="8" t="n"/>
      <c r="C2241" s="8" t="n"/>
    </row>
    <row r="2242">
      <c r="A2242" s="7" t="n"/>
      <c r="B2242" s="8" t="n"/>
      <c r="C2242" s="8" t="n"/>
    </row>
    <row r="2243">
      <c r="A2243" s="7" t="n"/>
      <c r="B2243" s="8" t="n"/>
      <c r="C2243" s="8" t="n"/>
    </row>
    <row r="2244">
      <c r="A2244" s="7" t="n"/>
      <c r="B2244" s="8" t="n"/>
      <c r="C2244" s="8" t="n"/>
    </row>
    <row r="2245">
      <c r="A2245" s="7" t="n"/>
      <c r="B2245" s="8" t="n"/>
      <c r="C2245" s="8" t="n"/>
    </row>
    <row r="2246">
      <c r="A2246" s="7" t="n"/>
      <c r="B2246" s="8" t="n"/>
      <c r="C2246" s="8" t="n"/>
    </row>
    <row r="2247">
      <c r="A2247" s="7" t="n"/>
      <c r="B2247" s="8" t="n"/>
      <c r="C2247" s="8" t="n"/>
    </row>
    <row r="2248">
      <c r="A2248" s="7" t="n"/>
      <c r="B2248" s="8" t="n"/>
      <c r="C2248" s="8" t="n"/>
    </row>
    <row r="2249">
      <c r="A2249" s="7" t="n"/>
      <c r="B2249" s="8" t="n"/>
      <c r="C2249" s="8" t="n"/>
    </row>
    <row r="2250">
      <c r="A2250" s="7" t="n"/>
      <c r="B2250" s="8" t="n"/>
      <c r="C2250" s="8" t="n"/>
    </row>
    <row r="2251">
      <c r="A2251" s="7" t="n"/>
      <c r="B2251" s="8" t="n"/>
      <c r="C2251" s="8" t="n"/>
    </row>
    <row r="2252">
      <c r="A2252" s="7" t="n"/>
      <c r="B2252" s="8" t="n"/>
      <c r="C2252" s="8" t="n"/>
    </row>
    <row r="2253">
      <c r="A2253" s="7" t="n"/>
      <c r="B2253" s="8" t="n"/>
      <c r="C2253" s="8" t="n"/>
    </row>
    <row r="2254">
      <c r="A2254" s="7" t="n"/>
      <c r="B2254" s="8" t="n"/>
      <c r="C2254" s="8" t="n"/>
    </row>
    <row r="2255">
      <c r="A2255" s="7" t="n"/>
      <c r="B2255" s="8" t="n"/>
      <c r="C2255" s="8" t="n"/>
    </row>
    <row r="2256">
      <c r="A2256" s="7" t="n"/>
      <c r="B2256" s="8" t="n"/>
      <c r="C2256" s="8" t="n"/>
    </row>
    <row r="2257">
      <c r="A2257" s="7" t="n"/>
      <c r="B2257" s="8" t="n"/>
      <c r="C2257" s="8" t="n"/>
    </row>
    <row r="2258">
      <c r="A2258" s="7" t="n"/>
      <c r="B2258" s="8" t="n"/>
      <c r="C2258" s="8" t="n"/>
    </row>
    <row r="2259">
      <c r="A2259" s="7" t="n"/>
      <c r="B2259" s="8" t="n"/>
      <c r="C2259" s="8" t="n"/>
    </row>
    <row r="2260">
      <c r="A2260" s="7" t="n"/>
      <c r="B2260" s="8" t="n"/>
      <c r="C2260" s="8" t="n"/>
    </row>
    <row r="2261">
      <c r="A2261" s="7" t="n"/>
      <c r="B2261" s="8" t="n"/>
      <c r="C2261" s="8" t="n"/>
    </row>
    <row r="2262">
      <c r="A2262" s="7" t="n"/>
      <c r="B2262" s="8" t="n"/>
      <c r="C2262" s="8" t="n"/>
    </row>
    <row r="2263">
      <c r="A2263" s="7" t="n"/>
      <c r="B2263" s="8" t="n"/>
      <c r="C2263" s="8" t="n"/>
    </row>
    <row r="2264">
      <c r="A2264" s="7" t="n"/>
      <c r="B2264" s="8" t="n"/>
      <c r="C2264" s="8" t="n"/>
    </row>
    <row r="2265">
      <c r="A2265" s="7" t="n"/>
      <c r="B2265" s="8" t="n"/>
      <c r="C2265" s="8" t="n"/>
    </row>
    <row r="2266">
      <c r="A2266" s="7" t="n"/>
      <c r="B2266" s="8" t="n"/>
      <c r="C2266" s="8" t="n"/>
    </row>
    <row r="2267">
      <c r="A2267" s="7" t="n"/>
      <c r="B2267" s="8" t="n"/>
      <c r="C2267" s="8" t="n"/>
    </row>
    <row r="2268">
      <c r="A2268" s="7" t="n"/>
      <c r="B2268" s="8" t="n"/>
      <c r="C2268" s="8" t="n"/>
    </row>
    <row r="2269">
      <c r="A2269" s="7" t="n"/>
      <c r="B2269" s="8" t="n"/>
      <c r="C2269" s="8" t="n"/>
    </row>
    <row r="2270">
      <c r="A2270" s="7" t="n"/>
      <c r="B2270" s="8" t="n"/>
      <c r="C2270" s="8" t="n"/>
    </row>
    <row r="2271">
      <c r="A2271" s="7" t="n"/>
      <c r="B2271" s="8" t="n"/>
      <c r="C2271" s="8" t="n"/>
    </row>
    <row r="2272">
      <c r="A2272" s="7" t="n"/>
      <c r="B2272" s="8" t="n"/>
      <c r="C2272" s="8" t="n"/>
    </row>
    <row r="2273">
      <c r="A2273" s="7" t="n"/>
      <c r="B2273" s="8" t="n"/>
      <c r="C2273" s="8" t="n"/>
    </row>
    <row r="2274">
      <c r="A2274" s="7" t="n"/>
      <c r="B2274" s="8" t="n"/>
      <c r="C2274" s="8" t="n"/>
    </row>
    <row r="2275">
      <c r="A2275" s="7" t="n"/>
      <c r="B2275" s="8" t="n"/>
      <c r="C2275" s="8" t="n"/>
    </row>
    <row r="2276">
      <c r="A2276" s="7" t="n"/>
      <c r="B2276" s="8" t="n"/>
      <c r="C2276" s="8" t="n"/>
    </row>
    <row r="2277">
      <c r="A2277" s="7" t="n"/>
      <c r="B2277" s="8" t="n"/>
      <c r="C2277" s="8" t="n"/>
    </row>
    <row r="2278">
      <c r="A2278" s="7" t="n"/>
      <c r="B2278" s="8" t="n"/>
      <c r="C2278" s="8" t="n"/>
    </row>
    <row r="2279">
      <c r="A2279" s="7" t="n"/>
      <c r="B2279" s="8" t="n"/>
      <c r="C2279" s="8" t="n"/>
    </row>
    <row r="2280">
      <c r="A2280" s="7" t="n"/>
      <c r="B2280" s="8" t="n"/>
      <c r="C2280" s="8" t="n"/>
    </row>
    <row r="2281">
      <c r="A2281" s="7" t="n"/>
      <c r="B2281" s="8" t="n"/>
      <c r="C2281" s="8" t="n"/>
    </row>
    <row r="2282">
      <c r="A2282" s="7" t="n"/>
      <c r="B2282" s="8" t="n"/>
      <c r="C2282" s="8" t="n"/>
    </row>
    <row r="2283">
      <c r="A2283" s="7" t="n"/>
      <c r="B2283" s="8" t="n"/>
      <c r="C2283" s="8" t="n"/>
    </row>
    <row r="2284">
      <c r="A2284" s="7" t="n"/>
      <c r="B2284" s="8" t="n"/>
      <c r="C2284" s="8" t="n"/>
    </row>
    <row r="2285">
      <c r="A2285" s="7" t="n"/>
      <c r="B2285" s="8" t="n"/>
      <c r="C2285" s="8" t="n"/>
    </row>
    <row r="2286">
      <c r="A2286" s="7" t="n"/>
      <c r="B2286" s="8" t="n"/>
      <c r="C2286" s="8" t="n"/>
    </row>
    <row r="2287">
      <c r="A2287" s="7" t="n"/>
      <c r="B2287" s="8" t="n"/>
      <c r="C2287" s="8" t="n"/>
    </row>
    <row r="2288">
      <c r="A2288" s="7" t="n"/>
      <c r="B2288" s="8" t="n"/>
      <c r="C2288" s="8" t="n"/>
    </row>
    <row r="2289">
      <c r="A2289" s="7" t="n"/>
      <c r="B2289" s="8" t="n"/>
      <c r="C2289" s="8" t="n"/>
    </row>
    <row r="2290">
      <c r="A2290" s="7" t="n"/>
      <c r="B2290" s="8" t="n"/>
      <c r="C2290" s="8" t="n"/>
    </row>
    <row r="2291">
      <c r="A2291" s="7" t="n"/>
      <c r="B2291" s="8" t="n"/>
      <c r="C2291" s="8" t="n"/>
    </row>
    <row r="2292">
      <c r="A2292" s="7" t="n"/>
      <c r="B2292" s="8" t="n"/>
      <c r="C2292" s="8" t="n"/>
    </row>
    <row r="2293">
      <c r="A2293" s="7" t="n"/>
      <c r="B2293" s="8" t="n"/>
      <c r="C2293" s="8" t="n"/>
    </row>
    <row r="2294">
      <c r="A2294" s="7" t="n"/>
      <c r="B2294" s="8" t="n"/>
      <c r="C2294" s="8" t="n"/>
    </row>
    <row r="2295">
      <c r="A2295" s="7" t="n"/>
      <c r="B2295" s="8" t="n"/>
      <c r="C2295" s="8" t="n"/>
    </row>
    <row r="2296">
      <c r="A2296" s="7" t="n"/>
      <c r="B2296" s="8" t="n"/>
      <c r="C2296" s="8" t="n"/>
    </row>
    <row r="2297">
      <c r="A2297" s="7" t="n"/>
      <c r="B2297" s="8" t="n"/>
      <c r="C2297" s="8" t="n"/>
    </row>
    <row r="2298">
      <c r="A2298" s="7" t="n"/>
      <c r="B2298" s="8" t="n"/>
      <c r="C2298" s="8" t="n"/>
    </row>
    <row r="2299">
      <c r="A2299" s="7" t="n"/>
      <c r="B2299" s="8" t="n"/>
      <c r="C2299" s="8" t="n"/>
    </row>
    <row r="2300">
      <c r="A2300" s="7" t="n"/>
      <c r="B2300" s="8" t="n"/>
      <c r="C2300" s="8" t="n"/>
    </row>
    <row r="2301">
      <c r="A2301" s="7" t="n"/>
      <c r="B2301" s="8" t="n"/>
      <c r="C2301" s="8" t="n"/>
    </row>
    <row r="2302">
      <c r="A2302" s="7" t="n"/>
      <c r="B2302" s="8" t="n"/>
      <c r="C2302" s="8" t="n"/>
    </row>
    <row r="2303">
      <c r="A2303" s="7" t="n"/>
      <c r="B2303" s="8" t="n"/>
      <c r="C2303" s="8" t="n"/>
    </row>
    <row r="2304">
      <c r="A2304" s="7" t="n"/>
      <c r="B2304" s="8" t="n"/>
      <c r="C2304" s="8" t="n"/>
    </row>
    <row r="2305">
      <c r="A2305" s="7" t="n"/>
      <c r="B2305" s="8" t="n"/>
      <c r="C2305" s="8" t="n"/>
    </row>
    <row r="2306">
      <c r="A2306" s="7" t="n"/>
      <c r="B2306" s="8" t="n"/>
      <c r="C2306" s="8" t="n"/>
    </row>
    <row r="2307">
      <c r="A2307" s="7" t="n"/>
      <c r="B2307" s="8" t="n"/>
      <c r="C2307" s="8" t="n"/>
    </row>
    <row r="2308">
      <c r="A2308" s="7" t="n"/>
      <c r="B2308" s="8" t="n"/>
      <c r="C2308" s="8" t="n"/>
    </row>
    <row r="2309">
      <c r="A2309" s="7" t="n"/>
      <c r="B2309" s="8" t="n"/>
      <c r="C2309" s="8" t="n"/>
    </row>
    <row r="2310">
      <c r="A2310" s="7" t="n"/>
      <c r="B2310" s="8" t="n"/>
      <c r="C2310" s="8" t="n"/>
    </row>
    <row r="2311">
      <c r="A2311" s="7" t="n"/>
      <c r="B2311" s="8" t="n"/>
      <c r="C2311" s="8" t="n"/>
    </row>
    <row r="2312">
      <c r="A2312" s="7" t="n"/>
      <c r="B2312" s="8" t="n"/>
      <c r="C2312" s="8" t="n"/>
    </row>
    <row r="2313">
      <c r="A2313" s="7" t="n"/>
      <c r="B2313" s="8" t="n"/>
      <c r="C2313" s="8" t="n"/>
    </row>
    <row r="2314">
      <c r="A2314" s="7" t="n"/>
      <c r="B2314" s="8" t="n"/>
      <c r="C2314" s="8" t="n"/>
    </row>
    <row r="2315">
      <c r="A2315" s="7" t="n"/>
      <c r="B2315" s="8" t="n"/>
      <c r="C2315" s="8" t="n"/>
    </row>
    <row r="2316">
      <c r="A2316" s="7" t="n"/>
      <c r="B2316" s="8" t="n"/>
      <c r="C2316" s="8" t="n"/>
    </row>
    <row r="2317">
      <c r="A2317" s="7" t="n"/>
      <c r="B2317" s="8" t="n"/>
      <c r="C2317" s="8" t="n"/>
    </row>
    <row r="2318">
      <c r="A2318" s="7" t="n"/>
      <c r="B2318" s="8" t="n"/>
      <c r="C2318" s="8" t="n"/>
    </row>
    <row r="2319">
      <c r="A2319" s="7" t="n"/>
      <c r="B2319" s="8" t="n"/>
      <c r="C2319" s="8" t="n"/>
    </row>
    <row r="2320">
      <c r="A2320" s="7" t="n"/>
      <c r="B2320" s="8" t="n"/>
      <c r="C2320" s="8" t="n"/>
    </row>
    <row r="2321">
      <c r="A2321" s="7" t="n"/>
      <c r="B2321" s="8" t="n"/>
      <c r="C2321" s="8" t="n"/>
    </row>
    <row r="2322">
      <c r="A2322" s="7" t="n"/>
      <c r="B2322" s="8" t="n"/>
      <c r="C2322" s="8" t="n"/>
    </row>
    <row r="2323">
      <c r="A2323" s="7" t="n"/>
      <c r="B2323" s="8" t="n"/>
      <c r="C2323" s="8" t="n"/>
    </row>
    <row r="2324">
      <c r="A2324" s="7" t="n"/>
      <c r="B2324" s="8" t="n"/>
      <c r="C2324" s="8" t="n"/>
    </row>
    <row r="2325">
      <c r="A2325" s="7" t="n"/>
      <c r="B2325" s="8" t="n"/>
      <c r="C2325" s="8" t="n"/>
    </row>
    <row r="2326">
      <c r="A2326" s="7" t="n"/>
      <c r="B2326" s="8" t="n"/>
      <c r="C2326" s="8" t="n"/>
    </row>
    <row r="2327">
      <c r="A2327" s="7" t="n"/>
      <c r="B2327" s="8" t="n"/>
      <c r="C2327" s="8" t="n"/>
    </row>
    <row r="2328">
      <c r="A2328" s="7" t="n"/>
      <c r="B2328" s="8" t="n"/>
      <c r="C2328" s="8" t="n"/>
    </row>
    <row r="2329">
      <c r="A2329" s="7" t="n"/>
      <c r="B2329" s="8" t="n"/>
      <c r="C2329" s="8" t="n"/>
    </row>
    <row r="2330">
      <c r="A2330" s="7" t="n"/>
      <c r="B2330" s="8" t="n"/>
      <c r="C2330" s="8" t="n"/>
    </row>
    <row r="2331">
      <c r="A2331" s="7" t="n"/>
      <c r="B2331" s="8" t="n"/>
      <c r="C2331" s="8" t="n"/>
    </row>
    <row r="2332">
      <c r="A2332" s="7" t="n"/>
      <c r="B2332" s="8" t="n"/>
      <c r="C2332" s="8" t="n"/>
    </row>
    <row r="2333">
      <c r="A2333" s="7" t="n"/>
      <c r="B2333" s="8" t="n"/>
      <c r="C2333" s="8" t="n"/>
    </row>
    <row r="2334">
      <c r="A2334" s="7" t="n"/>
      <c r="B2334" s="8" t="n"/>
      <c r="C2334" s="8" t="n"/>
    </row>
    <row r="2335">
      <c r="A2335" s="7" t="n"/>
      <c r="B2335" s="8" t="n"/>
      <c r="C2335" s="8" t="n"/>
    </row>
    <row r="2336">
      <c r="A2336" s="7" t="n"/>
      <c r="B2336" s="8" t="n"/>
      <c r="C2336" s="8" t="n"/>
    </row>
    <row r="2337">
      <c r="A2337" s="7" t="n"/>
      <c r="B2337" s="8" t="n"/>
      <c r="C2337" s="8" t="n"/>
    </row>
    <row r="2338">
      <c r="A2338" s="7" t="n"/>
      <c r="B2338" s="8" t="n"/>
      <c r="C2338" s="8" t="n"/>
    </row>
    <row r="2339">
      <c r="A2339" s="7" t="n"/>
      <c r="B2339" s="8" t="n"/>
      <c r="C2339" s="8" t="n"/>
    </row>
    <row r="2340">
      <c r="A2340" s="7" t="n"/>
      <c r="B2340" s="8" t="n"/>
      <c r="C2340" s="8" t="n"/>
    </row>
    <row r="2341">
      <c r="A2341" s="7" t="n"/>
      <c r="B2341" s="8" t="n"/>
      <c r="C2341" s="8" t="n"/>
    </row>
    <row r="2342">
      <c r="A2342" s="7" t="n"/>
      <c r="B2342" s="8" t="n"/>
      <c r="C2342" s="8" t="n"/>
    </row>
    <row r="2343">
      <c r="A2343" s="7" t="n"/>
      <c r="B2343" s="8" t="n"/>
      <c r="C2343" s="8" t="n"/>
    </row>
    <row r="2344">
      <c r="A2344" s="7" t="n"/>
      <c r="B2344" s="8" t="n"/>
      <c r="C2344" s="8" t="n"/>
    </row>
    <row r="2345">
      <c r="A2345" s="7" t="n"/>
      <c r="B2345" s="8" t="n"/>
      <c r="C2345" s="8" t="n"/>
    </row>
    <row r="2346">
      <c r="A2346" s="7" t="n"/>
      <c r="B2346" s="8" t="n"/>
      <c r="C2346" s="8" t="n"/>
    </row>
    <row r="2347">
      <c r="A2347" s="7" t="n"/>
      <c r="B2347" s="8" t="n"/>
      <c r="C2347" s="8" t="n"/>
    </row>
    <row r="2348">
      <c r="A2348" s="7" t="n"/>
      <c r="B2348" s="8" t="n"/>
      <c r="C2348" s="8" t="n"/>
    </row>
    <row r="2349">
      <c r="A2349" s="7" t="n"/>
      <c r="B2349" s="8" t="n"/>
      <c r="C2349" s="8" t="n"/>
    </row>
    <row r="2350">
      <c r="A2350" s="7" t="n"/>
      <c r="B2350" s="8" t="n"/>
      <c r="C2350" s="8" t="n"/>
    </row>
    <row r="2351">
      <c r="A2351" s="7" t="n"/>
      <c r="B2351" s="8" t="n"/>
      <c r="C2351" s="8" t="n"/>
    </row>
    <row r="2352">
      <c r="A2352" s="7" t="n"/>
      <c r="B2352" s="8" t="n"/>
      <c r="C2352" s="8" t="n"/>
    </row>
    <row r="2353">
      <c r="A2353" s="7" t="n"/>
      <c r="B2353" s="8" t="n"/>
      <c r="C2353" s="8" t="n"/>
    </row>
    <row r="2354">
      <c r="A2354" s="7" t="n"/>
      <c r="B2354" s="8" t="n"/>
      <c r="C2354" s="8" t="n"/>
    </row>
    <row r="2355">
      <c r="A2355" s="7" t="n"/>
      <c r="B2355" s="8" t="n"/>
      <c r="C2355" s="8" t="n"/>
    </row>
    <row r="2356">
      <c r="A2356" s="7" t="n"/>
      <c r="B2356" s="8" t="n"/>
      <c r="C2356" s="8" t="n"/>
    </row>
    <row r="2357">
      <c r="A2357" s="7" t="n"/>
      <c r="B2357" s="8" t="n"/>
      <c r="C2357" s="8" t="n"/>
    </row>
    <row r="2358">
      <c r="A2358" s="7" t="n"/>
      <c r="B2358" s="8" t="n"/>
      <c r="C2358" s="8" t="n"/>
    </row>
    <row r="2359">
      <c r="A2359" s="7" t="n"/>
      <c r="B2359" s="8" t="n"/>
      <c r="C2359" s="8" t="n"/>
    </row>
    <row r="2360">
      <c r="A2360" s="7" t="n"/>
      <c r="B2360" s="8" t="n"/>
      <c r="C2360" s="8" t="n"/>
    </row>
    <row r="2361">
      <c r="A2361" s="7" t="n"/>
      <c r="B2361" s="8" t="n"/>
      <c r="C2361" s="8" t="n"/>
    </row>
    <row r="2362">
      <c r="A2362" s="7" t="n"/>
      <c r="B2362" s="8" t="n"/>
      <c r="C2362" s="8" t="n"/>
    </row>
    <row r="2363">
      <c r="A2363" s="7" t="n"/>
      <c r="B2363" s="8" t="n"/>
      <c r="C2363" s="8" t="n"/>
    </row>
    <row r="2364">
      <c r="A2364" s="7" t="n"/>
      <c r="B2364" s="8" t="n"/>
      <c r="C2364" s="8" t="n"/>
    </row>
    <row r="2365">
      <c r="A2365" s="7" t="n"/>
      <c r="B2365" s="8" t="n"/>
      <c r="C2365" s="8" t="n"/>
    </row>
    <row r="2366">
      <c r="A2366" s="7" t="n"/>
      <c r="B2366" s="8" t="n"/>
      <c r="C2366" s="8" t="n"/>
    </row>
    <row r="2367">
      <c r="A2367" s="7" t="n"/>
      <c r="B2367" s="8" t="n"/>
      <c r="C2367" s="8" t="n"/>
    </row>
    <row r="2368">
      <c r="A2368" s="7" t="n"/>
      <c r="B2368" s="8" t="n"/>
      <c r="C2368" s="8" t="n"/>
    </row>
    <row r="2369">
      <c r="A2369" s="7" t="n"/>
      <c r="B2369" s="8" t="n"/>
      <c r="C2369" s="8" t="n"/>
    </row>
    <row r="2370">
      <c r="A2370" s="7" t="n"/>
      <c r="B2370" s="8" t="n"/>
      <c r="C2370" s="8" t="n"/>
    </row>
    <row r="2371">
      <c r="A2371" s="7" t="n"/>
      <c r="B2371" s="8" t="n"/>
      <c r="C2371" s="8" t="n"/>
    </row>
    <row r="2372">
      <c r="A2372" s="7" t="n"/>
      <c r="B2372" s="8" t="n"/>
      <c r="C2372" s="8" t="n"/>
    </row>
    <row r="2373">
      <c r="A2373" s="7" t="n"/>
      <c r="B2373" s="8" t="n"/>
      <c r="C2373" s="8" t="n"/>
    </row>
    <row r="2374">
      <c r="A2374" s="7" t="n"/>
      <c r="B2374" s="8" t="n"/>
      <c r="C2374" s="8" t="n"/>
    </row>
    <row r="2375">
      <c r="A2375" s="7" t="n"/>
      <c r="B2375" s="8" t="n"/>
      <c r="C2375" s="8" t="n"/>
    </row>
    <row r="2376">
      <c r="A2376" s="7" t="n"/>
      <c r="B2376" s="8" t="n"/>
      <c r="C2376" s="8" t="n"/>
    </row>
    <row r="2377">
      <c r="A2377" s="7" t="n"/>
      <c r="B2377" s="8" t="n"/>
      <c r="C2377" s="8" t="n"/>
    </row>
    <row r="2378">
      <c r="A2378" s="7" t="n"/>
      <c r="B2378" s="8" t="n"/>
      <c r="C2378" s="8" t="n"/>
    </row>
    <row r="2379">
      <c r="A2379" s="7" t="n"/>
      <c r="B2379" s="8" t="n"/>
      <c r="C2379" s="8" t="n"/>
    </row>
    <row r="2380">
      <c r="A2380" s="7" t="n"/>
      <c r="B2380" s="8" t="n"/>
      <c r="C2380" s="8" t="n"/>
    </row>
    <row r="2381">
      <c r="A2381" s="7" t="n"/>
      <c r="B2381" s="8" t="n"/>
      <c r="C2381" s="8" t="n"/>
    </row>
    <row r="2382">
      <c r="A2382" s="7" t="n"/>
      <c r="B2382" s="8" t="n"/>
      <c r="C2382" s="8" t="n"/>
    </row>
    <row r="2383">
      <c r="A2383" s="7" t="n"/>
      <c r="B2383" s="8" t="n"/>
      <c r="C2383" s="8" t="n"/>
    </row>
    <row r="2384">
      <c r="A2384" s="7" t="n"/>
      <c r="B2384" s="8" t="n"/>
      <c r="C2384" s="8" t="n"/>
    </row>
    <row r="2385">
      <c r="A2385" s="7" t="n"/>
      <c r="B2385" s="8" t="n"/>
      <c r="C2385" s="8" t="n"/>
    </row>
    <row r="2386">
      <c r="A2386" s="7" t="n"/>
      <c r="B2386" s="8" t="n"/>
      <c r="C2386" s="8" t="n"/>
    </row>
    <row r="2387">
      <c r="A2387" s="7" t="n"/>
      <c r="B2387" s="8" t="n"/>
      <c r="C2387" s="8" t="n"/>
    </row>
    <row r="2388">
      <c r="A2388" s="7" t="n"/>
      <c r="B2388" s="8" t="n"/>
      <c r="C2388" s="8" t="n"/>
    </row>
    <row r="2389">
      <c r="A2389" s="7" t="n"/>
      <c r="B2389" s="8" t="n"/>
      <c r="C2389" s="8" t="n"/>
    </row>
    <row r="2390">
      <c r="A2390" s="7" t="n"/>
      <c r="B2390" s="8" t="n"/>
      <c r="C2390" s="8" t="n"/>
    </row>
    <row r="2391">
      <c r="A2391" s="7" t="n"/>
      <c r="B2391" s="8" t="n"/>
      <c r="C2391" s="8" t="n"/>
    </row>
    <row r="2392">
      <c r="A2392" s="7" t="n"/>
      <c r="B2392" s="8" t="n"/>
      <c r="C2392" s="8" t="n"/>
    </row>
    <row r="2393">
      <c r="A2393" s="7" t="n"/>
      <c r="B2393" s="8" t="n"/>
      <c r="C2393" s="8" t="n"/>
    </row>
    <row r="2394">
      <c r="A2394" s="7" t="n"/>
      <c r="B2394" s="8" t="n"/>
      <c r="C2394" s="8" t="n"/>
    </row>
    <row r="2395">
      <c r="A2395" s="7" t="n"/>
      <c r="B2395" s="8" t="n"/>
      <c r="C2395" s="8" t="n"/>
    </row>
    <row r="2396">
      <c r="A2396" s="7" t="n"/>
      <c r="B2396" s="8" t="n"/>
      <c r="C2396" s="8" t="n"/>
    </row>
    <row r="2397">
      <c r="A2397" s="7" t="n"/>
      <c r="B2397" s="8" t="n"/>
      <c r="C2397" s="8" t="n"/>
    </row>
    <row r="2398">
      <c r="A2398" s="7" t="n"/>
      <c r="B2398" s="8" t="n"/>
      <c r="C2398" s="8" t="n"/>
    </row>
    <row r="2399">
      <c r="A2399" s="7" t="n"/>
      <c r="B2399" s="8" t="n"/>
      <c r="C2399" s="8" t="n"/>
    </row>
    <row r="2400">
      <c r="A2400" s="7" t="n"/>
      <c r="B2400" s="8" t="n"/>
      <c r="C2400" s="8" t="n"/>
    </row>
    <row r="2401">
      <c r="A2401" s="7" t="n"/>
      <c r="B2401" s="8" t="n"/>
      <c r="C2401" s="8" t="n"/>
    </row>
    <row r="2402">
      <c r="A2402" s="7" t="n"/>
      <c r="B2402" s="8" t="n"/>
      <c r="C2402" s="8" t="n"/>
    </row>
    <row r="2403">
      <c r="A2403" s="7" t="n"/>
      <c r="B2403" s="8" t="n"/>
      <c r="C2403" s="8" t="n"/>
    </row>
    <row r="2404">
      <c r="A2404" s="7" t="n"/>
      <c r="B2404" s="8" t="n"/>
      <c r="C2404" s="8" t="n"/>
    </row>
    <row r="2405">
      <c r="A2405" s="7" t="n"/>
      <c r="B2405" s="8" t="n"/>
      <c r="C2405" s="8" t="n"/>
    </row>
    <row r="2406">
      <c r="A2406" s="7" t="n"/>
      <c r="B2406" s="8" t="n"/>
      <c r="C2406" s="8" t="n"/>
    </row>
    <row r="2407">
      <c r="A2407" s="7" t="n"/>
      <c r="B2407" s="8" t="n"/>
      <c r="C2407" s="8" t="n"/>
    </row>
    <row r="2408">
      <c r="A2408" s="7" t="n"/>
      <c r="B2408" s="8" t="n"/>
      <c r="C2408" s="8" t="n"/>
    </row>
    <row r="2409">
      <c r="A2409" s="7" t="n"/>
      <c r="B2409" s="8" t="n"/>
      <c r="C2409" s="8" t="n"/>
    </row>
    <row r="2410">
      <c r="A2410" s="7" t="n"/>
      <c r="B2410" s="8" t="n"/>
      <c r="C2410" s="8" t="n"/>
    </row>
    <row r="2411">
      <c r="A2411" s="7" t="n"/>
      <c r="B2411" s="8" t="n"/>
      <c r="C2411" s="8" t="n"/>
    </row>
    <row r="2412">
      <c r="A2412" s="7" t="n"/>
      <c r="B2412" s="8" t="n"/>
      <c r="C2412" s="8" t="n"/>
    </row>
    <row r="2413">
      <c r="A2413" s="7" t="n"/>
      <c r="B2413" s="8" t="n"/>
      <c r="C2413" s="8" t="n"/>
    </row>
    <row r="2414">
      <c r="A2414" s="7" t="n"/>
      <c r="B2414" s="8" t="n"/>
      <c r="C2414" s="8" t="n"/>
    </row>
    <row r="2415">
      <c r="A2415" s="7" t="n"/>
      <c r="B2415" s="8" t="n"/>
      <c r="C2415" s="8" t="n"/>
    </row>
    <row r="2416">
      <c r="A2416" s="7" t="n"/>
      <c r="B2416" s="8" t="n"/>
      <c r="C2416" s="8" t="n"/>
    </row>
    <row r="2417">
      <c r="A2417" s="7" t="n"/>
      <c r="B2417" s="8" t="n"/>
      <c r="C2417" s="8" t="n"/>
    </row>
    <row r="2418">
      <c r="A2418" s="7" t="n"/>
      <c r="B2418" s="8" t="n"/>
      <c r="C2418" s="8" t="n"/>
    </row>
    <row r="2419">
      <c r="A2419" s="7" t="n"/>
      <c r="B2419" s="8" t="n"/>
      <c r="C2419" s="8" t="n"/>
    </row>
    <row r="2420">
      <c r="A2420" s="7" t="n"/>
      <c r="B2420" s="8" t="n"/>
      <c r="C2420" s="8" t="n"/>
    </row>
    <row r="2421">
      <c r="A2421" s="7" t="n"/>
      <c r="B2421" s="8" t="n"/>
      <c r="C2421" s="8" t="n"/>
    </row>
    <row r="2422">
      <c r="A2422" s="7" t="n"/>
      <c r="B2422" s="8" t="n"/>
      <c r="C2422" s="8" t="n"/>
    </row>
    <row r="2423">
      <c r="A2423" s="7" t="n"/>
      <c r="B2423" s="8" t="n"/>
      <c r="C2423" s="8" t="n"/>
    </row>
    <row r="2424">
      <c r="A2424" s="7" t="n"/>
      <c r="B2424" s="8" t="n"/>
      <c r="C2424" s="8" t="n"/>
    </row>
    <row r="2425">
      <c r="A2425" s="7" t="n"/>
      <c r="B2425" s="8" t="n"/>
      <c r="C2425" s="8" t="n"/>
    </row>
    <row r="2426">
      <c r="A2426" s="7" t="n"/>
      <c r="B2426" s="8" t="n"/>
      <c r="C2426" s="8" t="n"/>
    </row>
    <row r="2427">
      <c r="A2427" s="7" t="n"/>
      <c r="B2427" s="8" t="n"/>
      <c r="C2427" s="8" t="n"/>
    </row>
    <row r="2428">
      <c r="A2428" s="7" t="n"/>
      <c r="B2428" s="8" t="n"/>
      <c r="C2428" s="8" t="n"/>
    </row>
    <row r="2429">
      <c r="A2429" s="7" t="n"/>
      <c r="B2429" s="8" t="n"/>
      <c r="C2429" s="8" t="n"/>
    </row>
    <row r="2430">
      <c r="A2430" s="7" t="n"/>
      <c r="B2430" s="8" t="n"/>
      <c r="C2430" s="8" t="n"/>
    </row>
    <row r="2431">
      <c r="A2431" s="7" t="n"/>
      <c r="B2431" s="8" t="n"/>
      <c r="C2431" s="8" t="n"/>
    </row>
    <row r="2432">
      <c r="A2432" s="7" t="n"/>
      <c r="B2432" s="8" t="n"/>
      <c r="C2432" s="8" t="n"/>
    </row>
    <row r="2433">
      <c r="A2433" s="7" t="n"/>
      <c r="B2433" s="8" t="n"/>
      <c r="C2433" s="8" t="n"/>
    </row>
    <row r="2434">
      <c r="A2434" s="7" t="n"/>
      <c r="B2434" s="8" t="n"/>
      <c r="C2434" s="8" t="n"/>
    </row>
    <row r="2435">
      <c r="A2435" s="7" t="n"/>
      <c r="B2435" s="8" t="n"/>
      <c r="C2435" s="8" t="n"/>
    </row>
    <row r="2436">
      <c r="A2436" s="7" t="n"/>
      <c r="B2436" s="8" t="n"/>
      <c r="C2436" s="8" t="n"/>
    </row>
    <row r="2437">
      <c r="A2437" s="7" t="n"/>
      <c r="B2437" s="8" t="n"/>
      <c r="C2437" s="8" t="n"/>
    </row>
    <row r="2438">
      <c r="A2438" s="7" t="n"/>
      <c r="B2438" s="8" t="n"/>
      <c r="C2438" s="8" t="n"/>
    </row>
    <row r="2439">
      <c r="A2439" s="7" t="n"/>
      <c r="B2439" s="8" t="n"/>
      <c r="C2439" s="8" t="n"/>
    </row>
    <row r="2440">
      <c r="A2440" s="7" t="n"/>
      <c r="B2440" s="8" t="n"/>
      <c r="C2440" s="8" t="n"/>
    </row>
    <row r="2441">
      <c r="A2441" s="7" t="n"/>
      <c r="B2441" s="8" t="n"/>
      <c r="C2441" s="8" t="n"/>
    </row>
    <row r="2442">
      <c r="A2442" s="7" t="n"/>
      <c r="B2442" s="8" t="n"/>
      <c r="C2442" s="8" t="n"/>
    </row>
    <row r="2443">
      <c r="A2443" s="7" t="n"/>
      <c r="B2443" s="8" t="n"/>
      <c r="C2443" s="8" t="n"/>
    </row>
    <row r="2444">
      <c r="A2444" s="7" t="n"/>
      <c r="B2444" s="8" t="n"/>
      <c r="C2444" s="8" t="n"/>
    </row>
    <row r="2445">
      <c r="A2445" s="7" t="n"/>
      <c r="B2445" s="8" t="n"/>
      <c r="C2445" s="8" t="n"/>
    </row>
    <row r="2446">
      <c r="A2446" s="7" t="n"/>
      <c r="B2446" s="8" t="n"/>
      <c r="C2446" s="8" t="n"/>
    </row>
    <row r="2447">
      <c r="A2447" s="7" t="n"/>
      <c r="B2447" s="8" t="n"/>
      <c r="C2447" s="8" t="n"/>
    </row>
    <row r="2448">
      <c r="A2448" s="7" t="n"/>
      <c r="B2448" s="8" t="n"/>
      <c r="C2448" s="8" t="n"/>
    </row>
    <row r="2449">
      <c r="A2449" s="7" t="n"/>
      <c r="B2449" s="8" t="n"/>
      <c r="C2449" s="8" t="n"/>
    </row>
    <row r="2450">
      <c r="A2450" s="7" t="n"/>
      <c r="B2450" s="8" t="n"/>
      <c r="C2450" s="8" t="n"/>
    </row>
    <row r="2451">
      <c r="A2451" s="7" t="n"/>
      <c r="B2451" s="8" t="n"/>
      <c r="C2451" s="8" t="n"/>
    </row>
    <row r="2452">
      <c r="A2452" s="7" t="n"/>
      <c r="B2452" s="8" t="n"/>
      <c r="C2452" s="8" t="n"/>
    </row>
    <row r="2453">
      <c r="A2453" s="7" t="n"/>
      <c r="B2453" s="8" t="n"/>
      <c r="C2453" s="8" t="n"/>
    </row>
    <row r="2454">
      <c r="A2454" s="7" t="n"/>
      <c r="B2454" s="8" t="n"/>
      <c r="C2454" s="8" t="n"/>
    </row>
    <row r="2455">
      <c r="A2455" s="7" t="n"/>
      <c r="B2455" s="8" t="n"/>
      <c r="C2455" s="8" t="n"/>
    </row>
    <row r="2456">
      <c r="A2456" s="7" t="n"/>
      <c r="B2456" s="8" t="n"/>
      <c r="C2456" s="8" t="n"/>
    </row>
    <row r="2457">
      <c r="A2457" s="7" t="n"/>
      <c r="B2457" s="8" t="n"/>
      <c r="C2457" s="8" t="n"/>
    </row>
    <row r="2458">
      <c r="A2458" s="7" t="n"/>
      <c r="B2458" s="8" t="n"/>
      <c r="C2458" s="8" t="n"/>
    </row>
    <row r="2459">
      <c r="A2459" s="7" t="n"/>
      <c r="B2459" s="8" t="n"/>
      <c r="C2459" s="8" t="n"/>
    </row>
    <row r="2460">
      <c r="A2460" s="7" t="n"/>
      <c r="B2460" s="8" t="n"/>
      <c r="C2460" s="8" t="n"/>
    </row>
    <row r="2461">
      <c r="A2461" s="7" t="n"/>
      <c r="B2461" s="8" t="n"/>
      <c r="C2461" s="8" t="n"/>
    </row>
    <row r="2462">
      <c r="A2462" s="7" t="n"/>
      <c r="B2462" s="8" t="n"/>
      <c r="C2462" s="8" t="n"/>
    </row>
    <row r="2463">
      <c r="A2463" s="7" t="n"/>
      <c r="B2463" s="8" t="n"/>
      <c r="C2463" s="8" t="n"/>
    </row>
    <row r="2464">
      <c r="A2464" s="7" t="n"/>
      <c r="B2464" s="8" t="n"/>
      <c r="C2464" s="8" t="n"/>
    </row>
    <row r="2465">
      <c r="A2465" s="7" t="n"/>
      <c r="B2465" s="8" t="n"/>
      <c r="C2465" s="8" t="n"/>
    </row>
    <row r="2466">
      <c r="A2466" s="7" t="n"/>
      <c r="B2466" s="8" t="n"/>
      <c r="C2466" s="8" t="n"/>
    </row>
    <row r="2467">
      <c r="A2467" s="7" t="n"/>
      <c r="B2467" s="8" t="n"/>
      <c r="C2467" s="8" t="n"/>
    </row>
    <row r="2468">
      <c r="A2468" s="7" t="n"/>
      <c r="B2468" s="8" t="n"/>
      <c r="C2468" s="8" t="n"/>
    </row>
    <row r="2469">
      <c r="A2469" s="7" t="n"/>
      <c r="B2469" s="8" t="n"/>
      <c r="C2469" s="8" t="n"/>
    </row>
    <row r="2470">
      <c r="A2470" s="7" t="n"/>
      <c r="B2470" s="8" t="n"/>
      <c r="C2470" s="8" t="n"/>
    </row>
    <row r="2471">
      <c r="A2471" s="7" t="n"/>
      <c r="B2471" s="8" t="n"/>
      <c r="C2471" s="8" t="n"/>
    </row>
    <row r="2472">
      <c r="A2472" s="7" t="n"/>
      <c r="B2472" s="8" t="n"/>
      <c r="C2472" s="8" t="n"/>
    </row>
    <row r="2473">
      <c r="A2473" s="7" t="n"/>
      <c r="B2473" s="8" t="n"/>
      <c r="C2473" s="8" t="n"/>
    </row>
    <row r="2474">
      <c r="A2474" s="7" t="n"/>
      <c r="B2474" s="8" t="n"/>
      <c r="C2474" s="8" t="n"/>
    </row>
    <row r="2475">
      <c r="A2475" s="7" t="n"/>
      <c r="B2475" s="8" t="n"/>
      <c r="C2475" s="8" t="n"/>
    </row>
    <row r="2476">
      <c r="A2476" s="7" t="n"/>
      <c r="B2476" s="8" t="n"/>
      <c r="C2476" s="8" t="n"/>
    </row>
    <row r="2477">
      <c r="A2477" s="7" t="n"/>
      <c r="B2477" s="8" t="n"/>
      <c r="C2477" s="8" t="n"/>
    </row>
    <row r="2478">
      <c r="A2478" s="7" t="n"/>
      <c r="B2478" s="8" t="n"/>
      <c r="C2478" s="8" t="n"/>
    </row>
    <row r="2479">
      <c r="A2479" s="7" t="n"/>
      <c r="B2479" s="8" t="n"/>
      <c r="C2479" s="8" t="n"/>
    </row>
    <row r="2480">
      <c r="A2480" s="7" t="n"/>
      <c r="B2480" s="8" t="n"/>
      <c r="C2480" s="8" t="n"/>
    </row>
    <row r="2481">
      <c r="A2481" s="7" t="n"/>
      <c r="B2481" s="8" t="n"/>
      <c r="C2481" s="8" t="n"/>
    </row>
    <row r="2482">
      <c r="A2482" s="7" t="n"/>
      <c r="B2482" s="8" t="n"/>
      <c r="C2482" s="8" t="n"/>
    </row>
    <row r="2483">
      <c r="A2483" s="7" t="n"/>
      <c r="B2483" s="8" t="n"/>
      <c r="C2483" s="8" t="n"/>
    </row>
    <row r="2484">
      <c r="A2484" s="7" t="n"/>
      <c r="B2484" s="8" t="n"/>
      <c r="C2484" s="8" t="n"/>
    </row>
    <row r="2485">
      <c r="A2485" s="7" t="n"/>
      <c r="B2485" s="8" t="n"/>
      <c r="C2485" s="8" t="n"/>
    </row>
    <row r="2486">
      <c r="A2486" s="7" t="n"/>
      <c r="B2486" s="8" t="n"/>
      <c r="C2486" s="8" t="n"/>
    </row>
    <row r="2487">
      <c r="A2487" s="7" t="n"/>
      <c r="B2487" s="8" t="n"/>
      <c r="C2487" s="8" t="n"/>
    </row>
    <row r="2488">
      <c r="A2488" s="7" t="n"/>
      <c r="B2488" s="8" t="n"/>
      <c r="C2488" s="8" t="n"/>
    </row>
    <row r="2489">
      <c r="A2489" s="7" t="n"/>
      <c r="B2489" s="8" t="n"/>
      <c r="C2489" s="8" t="n"/>
    </row>
    <row r="2490">
      <c r="A2490" s="7" t="n"/>
      <c r="B2490" s="8" t="n"/>
      <c r="C2490" s="8" t="n"/>
    </row>
    <row r="2491">
      <c r="A2491" s="7" t="n"/>
      <c r="B2491" s="8" t="n"/>
      <c r="C2491" s="8" t="n"/>
    </row>
    <row r="2492">
      <c r="A2492" s="7" t="n"/>
      <c r="B2492" s="8" t="n"/>
      <c r="C2492" s="8" t="n"/>
    </row>
    <row r="2493">
      <c r="A2493" s="7" t="n"/>
      <c r="B2493" s="8" t="n"/>
      <c r="C2493" s="8" t="n"/>
    </row>
    <row r="2494">
      <c r="A2494" s="7" t="n"/>
      <c r="B2494" s="8" t="n"/>
      <c r="C2494" s="8" t="n"/>
    </row>
    <row r="2495">
      <c r="A2495" s="7" t="n"/>
      <c r="B2495" s="8" t="n"/>
      <c r="C2495" s="8" t="n"/>
    </row>
    <row r="2496">
      <c r="A2496" s="7" t="n"/>
      <c r="B2496" s="8" t="n"/>
      <c r="C2496" s="8" t="n"/>
    </row>
    <row r="2497">
      <c r="A2497" s="7" t="n"/>
      <c r="B2497" s="8" t="n"/>
      <c r="C2497" s="8" t="n"/>
    </row>
    <row r="2498">
      <c r="A2498" s="7" t="n"/>
      <c r="B2498" s="8" t="n"/>
      <c r="C2498" s="8" t="n"/>
    </row>
    <row r="2499">
      <c r="A2499" s="7" t="n"/>
      <c r="B2499" s="8" t="n"/>
      <c r="C2499" s="8" t="n"/>
    </row>
    <row r="2500">
      <c r="A2500" s="7" t="n"/>
      <c r="B2500" s="8" t="n"/>
      <c r="C2500" s="8" t="n"/>
    </row>
    <row r="2501">
      <c r="A2501" s="7" t="n"/>
      <c r="B2501" s="8" t="n"/>
      <c r="C2501" s="8" t="n"/>
    </row>
    <row r="2502">
      <c r="A2502" s="7" t="n"/>
      <c r="B2502" s="8" t="n"/>
      <c r="C2502" s="8" t="n"/>
    </row>
    <row r="2503">
      <c r="A2503" s="7" t="n"/>
      <c r="B2503" s="8" t="n"/>
      <c r="C2503" s="8" t="n"/>
    </row>
    <row r="2504">
      <c r="A2504" s="7" t="n"/>
      <c r="B2504" s="8" t="n"/>
      <c r="C2504" s="8" t="n"/>
    </row>
    <row r="2505">
      <c r="A2505" s="7" t="n"/>
      <c r="B2505" s="8" t="n"/>
      <c r="C2505" s="8" t="n"/>
    </row>
    <row r="2506">
      <c r="A2506" s="7" t="n"/>
      <c r="B2506" s="8" t="n"/>
      <c r="C2506" s="8" t="n"/>
    </row>
    <row r="2507">
      <c r="A2507" s="7" t="n"/>
      <c r="B2507" s="8" t="n"/>
      <c r="C2507" s="8" t="n"/>
    </row>
    <row r="2508">
      <c r="A2508" s="7" t="n"/>
      <c r="B2508" s="8" t="n"/>
      <c r="C2508" s="8" t="n"/>
    </row>
    <row r="2509">
      <c r="A2509" s="7" t="n"/>
      <c r="B2509" s="8" t="n"/>
      <c r="C2509" s="8" t="n"/>
    </row>
    <row r="2510">
      <c r="A2510" s="7" t="n"/>
      <c r="B2510" s="8" t="n"/>
      <c r="C2510" s="8" t="n"/>
    </row>
    <row r="2511">
      <c r="A2511" s="7" t="n"/>
      <c r="B2511" s="8" t="n"/>
      <c r="C2511" s="8" t="n"/>
    </row>
    <row r="2512">
      <c r="A2512" s="7" t="n"/>
      <c r="B2512" s="8" t="n"/>
      <c r="C2512" s="8" t="n"/>
    </row>
    <row r="2513">
      <c r="A2513" s="7" t="n"/>
      <c r="B2513" s="8" t="n"/>
      <c r="C2513" s="8" t="n"/>
    </row>
    <row r="2514">
      <c r="A2514" s="7" t="n"/>
      <c r="B2514" s="8" t="n"/>
      <c r="C2514" s="8" t="n"/>
    </row>
    <row r="2515">
      <c r="A2515" s="7" t="n"/>
      <c r="B2515" s="8" t="n"/>
      <c r="C2515" s="8" t="n"/>
    </row>
    <row r="2516">
      <c r="A2516" s="7" t="n"/>
      <c r="B2516" s="8" t="n"/>
      <c r="C2516" s="8" t="n"/>
    </row>
    <row r="2517">
      <c r="A2517" s="7" t="n"/>
      <c r="B2517" s="8" t="n"/>
      <c r="C2517" s="8" t="n"/>
    </row>
    <row r="2518">
      <c r="A2518" s="7" t="n"/>
      <c r="B2518" s="8" t="n"/>
      <c r="C2518" s="8" t="n"/>
    </row>
    <row r="2519">
      <c r="A2519" s="7" t="n"/>
      <c r="B2519" s="8" t="n"/>
      <c r="C2519" s="8" t="n"/>
    </row>
    <row r="2520">
      <c r="A2520" s="7" t="n"/>
      <c r="B2520" s="8" t="n"/>
      <c r="C2520" s="8" t="n"/>
    </row>
    <row r="2521">
      <c r="A2521" s="7" t="n"/>
      <c r="B2521" s="8" t="n"/>
      <c r="C2521" s="8" t="n"/>
    </row>
    <row r="2522">
      <c r="A2522" s="7" t="n"/>
      <c r="B2522" s="8" t="n"/>
      <c r="C2522" s="8" t="n"/>
    </row>
    <row r="2523">
      <c r="A2523" s="7" t="n"/>
      <c r="B2523" s="8" t="n"/>
      <c r="C2523" s="8" t="n"/>
    </row>
    <row r="2524">
      <c r="A2524" s="7" t="n"/>
      <c r="B2524" s="8" t="n"/>
      <c r="C2524" s="8" t="n"/>
    </row>
    <row r="2525">
      <c r="A2525" s="7" t="n"/>
      <c r="B2525" s="8" t="n"/>
      <c r="C2525" s="8" t="n"/>
    </row>
    <row r="2526">
      <c r="A2526" s="7" t="n"/>
      <c r="B2526" s="8" t="n"/>
      <c r="C2526" s="8" t="n"/>
    </row>
    <row r="2527">
      <c r="A2527" s="7" t="n"/>
      <c r="B2527" s="8" t="n"/>
      <c r="C2527" s="8" t="n"/>
    </row>
    <row r="2528">
      <c r="A2528" s="7" t="n"/>
      <c r="B2528" s="8" t="n"/>
      <c r="C2528" s="8" t="n"/>
    </row>
    <row r="2529">
      <c r="A2529" s="7" t="n"/>
      <c r="B2529" s="8" t="n"/>
      <c r="C2529" s="8" t="n"/>
    </row>
    <row r="2530">
      <c r="A2530" s="7" t="n"/>
      <c r="B2530" s="8" t="n"/>
      <c r="C2530" s="8" t="n"/>
    </row>
    <row r="2531">
      <c r="A2531" s="7" t="n"/>
      <c r="B2531" s="8" t="n"/>
      <c r="C2531" s="8" t="n"/>
    </row>
    <row r="2532">
      <c r="A2532" s="7" t="n"/>
      <c r="B2532" s="8" t="n"/>
      <c r="C2532" s="8" t="n"/>
    </row>
    <row r="2533">
      <c r="A2533" s="7" t="n"/>
      <c r="B2533" s="8" t="n"/>
      <c r="C2533" s="8" t="n"/>
    </row>
    <row r="2534">
      <c r="A2534" s="7" t="n"/>
      <c r="B2534" s="8" t="n"/>
      <c r="C2534" s="8" t="n"/>
    </row>
    <row r="2535">
      <c r="A2535" s="7" t="n"/>
      <c r="B2535" s="8" t="n"/>
      <c r="C2535" s="8" t="n"/>
    </row>
    <row r="2536">
      <c r="A2536" s="7" t="n"/>
      <c r="B2536" s="8" t="n"/>
      <c r="C2536" s="8" t="n"/>
    </row>
    <row r="2537">
      <c r="A2537" s="7" t="n"/>
      <c r="B2537" s="8" t="n"/>
      <c r="C2537" s="8" t="n"/>
    </row>
    <row r="2538">
      <c r="A2538" s="7" t="n"/>
      <c r="B2538" s="8" t="n"/>
      <c r="C2538" s="8" t="n"/>
    </row>
    <row r="2539">
      <c r="A2539" s="7" t="n"/>
      <c r="B2539" s="8" t="n"/>
      <c r="C2539" s="8" t="n"/>
    </row>
    <row r="2540">
      <c r="A2540" s="7" t="n"/>
      <c r="B2540" s="8" t="n"/>
      <c r="C2540" s="8" t="n"/>
    </row>
    <row r="2541">
      <c r="A2541" s="7" t="n"/>
      <c r="B2541" s="8" t="n"/>
      <c r="C2541" s="8" t="n"/>
    </row>
    <row r="2542">
      <c r="A2542" s="7" t="n"/>
      <c r="B2542" s="8" t="n"/>
      <c r="C2542" s="8" t="n"/>
    </row>
    <row r="2543">
      <c r="A2543" s="7" t="n"/>
      <c r="B2543" s="8" t="n"/>
      <c r="C2543" s="8" t="n"/>
    </row>
    <row r="2544">
      <c r="A2544" s="7" t="n"/>
      <c r="B2544" s="8" t="n"/>
      <c r="C2544" s="8" t="n"/>
    </row>
    <row r="2545">
      <c r="A2545" s="7" t="n"/>
      <c r="B2545" s="8" t="n"/>
      <c r="C2545" s="8" t="n"/>
    </row>
    <row r="2546">
      <c r="A2546" s="7" t="n"/>
      <c r="B2546" s="8" t="n"/>
      <c r="C2546" s="8" t="n"/>
    </row>
    <row r="2547">
      <c r="A2547" s="7" t="n"/>
      <c r="B2547" s="8" t="n"/>
      <c r="C2547" s="8" t="n"/>
    </row>
    <row r="2548">
      <c r="A2548" s="7" t="n"/>
      <c r="B2548" s="8" t="n"/>
      <c r="C2548" s="8" t="n"/>
    </row>
    <row r="2549">
      <c r="A2549" s="7" t="n"/>
      <c r="B2549" s="8" t="n"/>
      <c r="C2549" s="8" t="n"/>
    </row>
    <row r="2550">
      <c r="A2550" s="7" t="n"/>
      <c r="B2550" s="8" t="n"/>
      <c r="C2550" s="8" t="n"/>
    </row>
    <row r="2551">
      <c r="A2551" s="7" t="n"/>
      <c r="B2551" s="8" t="n"/>
      <c r="C2551" s="8" t="n"/>
    </row>
    <row r="2552">
      <c r="A2552" s="7" t="n"/>
      <c r="B2552" s="8" t="n"/>
      <c r="C2552" s="8" t="n"/>
    </row>
    <row r="2553">
      <c r="A2553" s="7" t="n"/>
      <c r="B2553" s="8" t="n"/>
      <c r="C2553" s="8" t="n"/>
    </row>
    <row r="2554">
      <c r="A2554" s="7" t="n"/>
      <c r="B2554" s="8" t="n"/>
      <c r="C2554" s="8" t="n"/>
    </row>
    <row r="2555">
      <c r="A2555" s="7" t="n"/>
      <c r="B2555" s="8" t="n"/>
      <c r="C2555" s="8" t="n"/>
    </row>
    <row r="2556">
      <c r="A2556" s="7" t="n"/>
      <c r="B2556" s="8" t="n"/>
      <c r="C2556" s="8" t="n"/>
    </row>
    <row r="2557">
      <c r="A2557" s="7" t="n"/>
      <c r="B2557" s="8" t="n"/>
      <c r="C2557" s="8" t="n"/>
    </row>
    <row r="2558">
      <c r="A2558" s="7" t="n"/>
      <c r="B2558" s="8" t="n"/>
      <c r="C2558" s="8" t="n"/>
    </row>
    <row r="2559">
      <c r="A2559" s="7" t="n"/>
      <c r="B2559" s="8" t="n"/>
      <c r="C2559" s="8" t="n"/>
    </row>
    <row r="2560">
      <c r="A2560" s="7" t="n"/>
      <c r="B2560" s="8" t="n"/>
      <c r="C2560" s="8" t="n"/>
    </row>
    <row r="2561">
      <c r="A2561" s="7" t="n"/>
      <c r="B2561" s="8" t="n"/>
      <c r="C2561" s="8" t="n"/>
    </row>
    <row r="2562">
      <c r="A2562" s="7" t="n"/>
      <c r="B2562" s="8" t="n"/>
      <c r="C2562" s="8" t="n"/>
    </row>
    <row r="2563">
      <c r="A2563" s="7" t="n"/>
      <c r="B2563" s="8" t="n"/>
      <c r="C2563" s="8" t="n"/>
    </row>
    <row r="2564">
      <c r="A2564" s="7" t="n"/>
      <c r="B2564" s="8" t="n"/>
      <c r="C2564" s="8" t="n"/>
    </row>
    <row r="2565">
      <c r="A2565" s="7" t="n"/>
      <c r="B2565" s="8" t="n"/>
      <c r="C2565" s="8" t="n"/>
    </row>
    <row r="2566">
      <c r="A2566" s="7" t="n"/>
      <c r="B2566" s="8" t="n"/>
      <c r="C2566" s="8" t="n"/>
    </row>
    <row r="2567">
      <c r="A2567" s="7" t="n"/>
      <c r="B2567" s="8" t="n"/>
      <c r="C2567" s="8" t="n"/>
    </row>
    <row r="2568">
      <c r="A2568" s="7" t="n"/>
      <c r="B2568" s="8" t="n"/>
      <c r="C2568" s="8" t="n"/>
    </row>
    <row r="2569">
      <c r="A2569" s="7" t="n"/>
      <c r="B2569" s="8" t="n"/>
      <c r="C2569" s="8" t="n"/>
    </row>
    <row r="2570">
      <c r="A2570" s="7" t="n"/>
      <c r="B2570" s="8" t="n"/>
      <c r="C2570" s="8" t="n"/>
    </row>
    <row r="2571">
      <c r="A2571" s="7" t="n"/>
      <c r="B2571" s="8" t="n"/>
      <c r="C2571" s="8" t="n"/>
    </row>
    <row r="2572">
      <c r="A2572" s="7" t="n"/>
      <c r="B2572" s="8" t="n"/>
      <c r="C2572" s="8" t="n"/>
    </row>
    <row r="2573">
      <c r="A2573" s="7" t="n"/>
      <c r="B2573" s="8" t="n"/>
      <c r="C2573" s="8" t="n"/>
    </row>
    <row r="2574">
      <c r="A2574" s="7" t="n"/>
      <c r="B2574" s="8" t="n"/>
      <c r="C2574" s="8" t="n"/>
    </row>
    <row r="2575">
      <c r="A2575" s="7" t="n"/>
      <c r="B2575" s="8" t="n"/>
      <c r="C2575" s="8" t="n"/>
    </row>
    <row r="2576">
      <c r="A2576" s="7" t="n"/>
      <c r="B2576" s="8" t="n"/>
      <c r="C2576" s="8" t="n"/>
    </row>
    <row r="2577">
      <c r="A2577" s="7" t="n"/>
      <c r="B2577" s="8" t="n"/>
      <c r="C2577" s="8" t="n"/>
    </row>
    <row r="2578">
      <c r="A2578" s="7" t="n"/>
      <c r="B2578" s="8" t="n"/>
      <c r="C2578" s="8" t="n"/>
    </row>
    <row r="2579">
      <c r="A2579" s="7" t="n"/>
      <c r="B2579" s="8" t="n"/>
      <c r="C2579" s="8" t="n"/>
    </row>
    <row r="2580">
      <c r="A2580" s="7" t="n"/>
      <c r="B2580" s="8" t="n"/>
      <c r="C2580" s="8" t="n"/>
    </row>
    <row r="2581">
      <c r="A2581" s="7" t="n"/>
      <c r="B2581" s="8" t="n"/>
      <c r="C2581" s="8" t="n"/>
    </row>
    <row r="2582">
      <c r="A2582" s="7" t="n"/>
      <c r="B2582" s="8" t="n"/>
      <c r="C2582" s="8" t="n"/>
    </row>
    <row r="2583">
      <c r="A2583" s="7" t="n"/>
      <c r="B2583" s="8" t="n"/>
      <c r="C2583" s="8" t="n"/>
    </row>
    <row r="2584">
      <c r="A2584" s="7" t="n"/>
      <c r="B2584" s="8" t="n"/>
      <c r="C2584" s="8" t="n"/>
    </row>
    <row r="2585">
      <c r="A2585" s="7" t="n"/>
      <c r="B2585" s="8" t="n"/>
      <c r="C2585" s="8" t="n"/>
    </row>
    <row r="2586">
      <c r="A2586" s="7" t="n"/>
      <c r="B2586" s="8" t="n"/>
      <c r="C2586" s="8" t="n"/>
    </row>
    <row r="2587">
      <c r="A2587" s="7" t="n"/>
      <c r="B2587" s="8" t="n"/>
      <c r="C2587" s="8" t="n"/>
    </row>
    <row r="2588">
      <c r="A2588" s="7" t="n"/>
      <c r="B2588" s="8" t="n"/>
      <c r="C2588" s="8" t="n"/>
    </row>
    <row r="2589">
      <c r="A2589" s="7" t="n"/>
      <c r="B2589" s="8" t="n"/>
      <c r="C2589" s="8" t="n"/>
    </row>
    <row r="2590">
      <c r="A2590" s="7" t="n"/>
      <c r="B2590" s="8" t="n"/>
      <c r="C2590" s="8" t="n"/>
    </row>
    <row r="2591">
      <c r="A2591" s="7" t="n"/>
      <c r="B2591" s="8" t="n"/>
      <c r="C2591" s="8" t="n"/>
    </row>
    <row r="2592">
      <c r="A2592" s="7" t="n"/>
      <c r="B2592" s="8" t="n"/>
      <c r="C2592" s="8" t="n"/>
    </row>
    <row r="2593">
      <c r="A2593" s="7" t="n"/>
      <c r="B2593" s="8" t="n"/>
      <c r="C2593" s="8" t="n"/>
    </row>
    <row r="2594">
      <c r="A2594" s="7" t="n"/>
      <c r="B2594" s="8" t="n"/>
      <c r="C2594" s="8" t="n"/>
    </row>
    <row r="2595">
      <c r="A2595" s="7" t="n"/>
      <c r="B2595" s="8" t="n"/>
      <c r="C2595" s="8" t="n"/>
    </row>
    <row r="2596">
      <c r="A2596" s="7" t="n"/>
      <c r="B2596" s="8" t="n"/>
      <c r="C2596" s="8" t="n"/>
    </row>
    <row r="2597">
      <c r="A2597" s="7" t="n"/>
      <c r="B2597" s="8" t="n"/>
      <c r="C2597" s="8" t="n"/>
    </row>
    <row r="2598">
      <c r="A2598" s="7" t="n"/>
      <c r="B2598" s="8" t="n"/>
      <c r="C2598" s="8" t="n"/>
    </row>
    <row r="2599">
      <c r="A2599" s="7" t="n"/>
      <c r="B2599" s="8" t="n"/>
      <c r="C2599" s="8" t="n"/>
    </row>
    <row r="2600">
      <c r="A2600" s="7" t="n"/>
      <c r="B2600" s="8" t="n"/>
      <c r="C2600" s="8" t="n"/>
    </row>
    <row r="2601">
      <c r="A2601" s="7" t="n"/>
      <c r="B2601" s="8" t="n"/>
      <c r="C2601" s="8" t="n"/>
    </row>
    <row r="2602">
      <c r="A2602" s="7" t="n"/>
      <c r="B2602" s="8" t="n"/>
      <c r="C2602" s="8" t="n"/>
    </row>
    <row r="2603">
      <c r="A2603" s="7" t="n"/>
      <c r="B2603" s="8" t="n"/>
      <c r="C2603" s="8" t="n"/>
    </row>
    <row r="2604">
      <c r="A2604" s="7" t="n"/>
      <c r="B2604" s="8" t="n"/>
      <c r="C2604" s="8" t="n"/>
    </row>
    <row r="2605">
      <c r="A2605" s="7" t="n"/>
      <c r="B2605" s="8" t="n"/>
      <c r="C2605" s="8" t="n"/>
    </row>
    <row r="2606">
      <c r="A2606" s="7" t="n"/>
      <c r="B2606" s="8" t="n"/>
      <c r="C2606" s="8" t="n"/>
    </row>
    <row r="2607">
      <c r="A2607" s="7" t="n"/>
      <c r="B2607" s="8" t="n"/>
      <c r="C2607" s="8" t="n"/>
    </row>
    <row r="2608">
      <c r="A2608" s="7" t="n"/>
      <c r="B2608" s="8" t="n"/>
      <c r="C2608" s="8" t="n"/>
    </row>
    <row r="2609">
      <c r="A2609" s="7" t="n"/>
      <c r="B2609" s="8" t="n"/>
      <c r="C2609" s="8" t="n"/>
    </row>
    <row r="2610">
      <c r="A2610" s="7" t="n"/>
      <c r="B2610" s="8" t="n"/>
      <c r="C2610" s="8" t="n"/>
    </row>
    <row r="2611">
      <c r="A2611" s="7" t="n"/>
      <c r="B2611" s="8" t="n"/>
      <c r="C2611" s="8" t="n"/>
    </row>
    <row r="2612">
      <c r="A2612" s="7" t="n"/>
      <c r="B2612" s="8" t="n"/>
      <c r="C2612" s="8" t="n"/>
    </row>
    <row r="2613">
      <c r="A2613" s="7" t="n"/>
      <c r="B2613" s="8" t="n"/>
      <c r="C2613" s="8" t="n"/>
    </row>
    <row r="2614">
      <c r="A2614" s="7" t="n"/>
      <c r="B2614" s="8" t="n"/>
      <c r="C2614" s="8" t="n"/>
    </row>
    <row r="2615">
      <c r="A2615" s="7" t="n"/>
      <c r="B2615" s="8" t="n"/>
      <c r="C2615" s="8" t="n"/>
    </row>
    <row r="2616">
      <c r="A2616" s="7" t="n"/>
      <c r="B2616" s="8" t="n"/>
      <c r="C2616" s="8" t="n"/>
    </row>
    <row r="2617">
      <c r="A2617" s="7" t="n"/>
      <c r="B2617" s="8" t="n"/>
      <c r="C2617" s="8" t="n"/>
    </row>
    <row r="2618">
      <c r="A2618" s="7" t="n"/>
      <c r="B2618" s="8" t="n"/>
      <c r="C2618" s="8" t="n"/>
    </row>
    <row r="2619">
      <c r="A2619" s="7" t="n"/>
      <c r="B2619" s="8" t="n"/>
      <c r="C2619" s="8" t="n"/>
    </row>
    <row r="2620">
      <c r="A2620" s="7" t="n"/>
      <c r="B2620" s="8" t="n"/>
      <c r="C2620" s="8" t="n"/>
    </row>
    <row r="2621">
      <c r="A2621" s="7" t="n"/>
      <c r="B2621" s="8" t="n"/>
      <c r="C2621" s="8" t="n"/>
    </row>
    <row r="2622">
      <c r="A2622" s="7" t="n"/>
      <c r="B2622" s="8" t="n"/>
      <c r="C2622" s="8" t="n"/>
    </row>
    <row r="2623">
      <c r="A2623" s="7" t="n"/>
      <c r="B2623" s="8" t="n"/>
      <c r="C2623" s="8" t="n"/>
    </row>
    <row r="2624">
      <c r="A2624" s="7" t="n"/>
      <c r="B2624" s="8" t="n"/>
      <c r="C2624" s="8" t="n"/>
    </row>
    <row r="2625">
      <c r="A2625" s="7" t="n"/>
      <c r="B2625" s="8" t="n"/>
      <c r="C2625" s="8" t="n"/>
    </row>
    <row r="2626">
      <c r="A2626" s="7" t="n"/>
      <c r="B2626" s="8" t="n"/>
      <c r="C2626" s="8" t="n"/>
    </row>
    <row r="2627">
      <c r="A2627" s="7" t="n"/>
      <c r="B2627" s="8" t="n"/>
      <c r="C2627" s="8" t="n"/>
    </row>
    <row r="2628">
      <c r="A2628" s="7" t="n"/>
      <c r="B2628" s="8" t="n"/>
      <c r="C2628" s="8" t="n"/>
    </row>
    <row r="2629">
      <c r="A2629" s="7" t="n"/>
      <c r="B2629" s="8" t="n"/>
      <c r="C2629" s="8" t="n"/>
    </row>
    <row r="2630">
      <c r="A2630" s="7" t="n"/>
      <c r="B2630" s="8" t="n"/>
      <c r="C2630" s="8" t="n"/>
    </row>
    <row r="2631">
      <c r="A2631" s="7" t="n"/>
      <c r="B2631" s="8" t="n"/>
      <c r="C2631" s="8" t="n"/>
    </row>
    <row r="2632">
      <c r="A2632" s="7" t="n"/>
      <c r="B2632" s="8" t="n"/>
      <c r="C2632" s="8" t="n"/>
    </row>
    <row r="2633">
      <c r="A2633" s="7" t="n"/>
      <c r="B2633" s="8" t="n"/>
      <c r="C2633" s="8" t="n"/>
    </row>
    <row r="2634">
      <c r="A2634" s="7" t="n"/>
      <c r="B2634" s="8" t="n"/>
      <c r="C2634" s="8" t="n"/>
    </row>
    <row r="2635">
      <c r="A2635" s="7" t="n"/>
      <c r="B2635" s="8" t="n"/>
      <c r="C2635" s="8" t="n"/>
    </row>
    <row r="2636">
      <c r="A2636" s="7" t="n"/>
      <c r="B2636" s="8" t="n"/>
      <c r="C2636" s="8" t="n"/>
    </row>
    <row r="2637">
      <c r="A2637" s="7" t="n"/>
      <c r="B2637" s="8" t="n"/>
      <c r="C2637" s="8" t="n"/>
    </row>
    <row r="2638">
      <c r="A2638" s="7" t="n"/>
      <c r="B2638" s="8" t="n"/>
      <c r="C2638" s="8" t="n"/>
    </row>
    <row r="2639">
      <c r="A2639" s="7" t="n"/>
      <c r="B2639" s="8" t="n"/>
      <c r="C2639" s="8" t="n"/>
    </row>
    <row r="2640">
      <c r="A2640" s="7" t="n"/>
      <c r="B2640" s="8" t="n"/>
      <c r="C2640" s="8" t="n"/>
    </row>
    <row r="2641">
      <c r="A2641" s="7" t="n"/>
      <c r="B2641" s="8" t="n"/>
      <c r="C2641" s="8" t="n"/>
    </row>
    <row r="2642">
      <c r="A2642" s="7" t="n"/>
      <c r="B2642" s="8" t="n"/>
      <c r="C2642" s="8" t="n"/>
    </row>
    <row r="2643">
      <c r="A2643" s="7" t="n"/>
      <c r="B2643" s="8" t="n"/>
      <c r="C2643" s="8" t="n"/>
    </row>
    <row r="2644">
      <c r="A2644" s="7" t="n"/>
      <c r="B2644" s="8" t="n"/>
      <c r="C2644" s="8" t="n"/>
    </row>
    <row r="2645">
      <c r="A2645" s="7" t="n"/>
      <c r="B2645" s="8" t="n"/>
      <c r="C2645" s="8" t="n"/>
    </row>
    <row r="2646">
      <c r="A2646" s="7" t="n"/>
      <c r="B2646" s="8" t="n"/>
      <c r="C2646" s="8" t="n"/>
    </row>
    <row r="2647">
      <c r="A2647" s="7" t="n"/>
      <c r="B2647" s="8" t="n"/>
      <c r="C2647" s="8" t="n"/>
    </row>
    <row r="2648">
      <c r="A2648" s="7" t="n"/>
      <c r="B2648" s="8" t="n"/>
      <c r="C2648" s="8" t="n"/>
    </row>
    <row r="2649">
      <c r="A2649" s="7" t="n"/>
      <c r="B2649" s="8" t="n"/>
      <c r="C2649" s="8" t="n"/>
    </row>
    <row r="2650">
      <c r="A2650" s="7" t="n"/>
      <c r="B2650" s="8" t="n"/>
      <c r="C2650" s="8" t="n"/>
    </row>
    <row r="2651">
      <c r="A2651" s="7" t="n"/>
      <c r="B2651" s="8" t="n"/>
      <c r="C2651" s="8" t="n"/>
    </row>
    <row r="2652">
      <c r="A2652" s="7" t="n"/>
      <c r="B2652" s="8" t="n"/>
      <c r="C2652" s="8" t="n"/>
    </row>
    <row r="2653">
      <c r="A2653" s="7" t="n"/>
      <c r="B2653" s="8" t="n"/>
      <c r="C2653" s="8" t="n"/>
    </row>
    <row r="2654">
      <c r="A2654" s="7" t="n"/>
      <c r="B2654" s="8" t="n"/>
      <c r="C2654" s="8" t="n"/>
    </row>
    <row r="2655">
      <c r="A2655" s="7" t="n"/>
      <c r="B2655" s="8" t="n"/>
      <c r="C2655" s="8" t="n"/>
    </row>
    <row r="2656">
      <c r="A2656" s="7" t="n"/>
      <c r="B2656" s="8" t="n"/>
      <c r="C2656" s="8" t="n"/>
    </row>
    <row r="2657">
      <c r="A2657" s="7" t="n"/>
      <c r="B2657" s="8" t="n"/>
      <c r="C2657" s="8" t="n"/>
    </row>
    <row r="2658">
      <c r="A2658" s="7" t="n"/>
      <c r="B2658" s="8" t="n"/>
      <c r="C2658" s="8" t="n"/>
    </row>
    <row r="2659">
      <c r="A2659" s="7" t="n"/>
      <c r="B2659" s="8" t="n"/>
      <c r="C2659" s="8" t="n"/>
    </row>
    <row r="2660">
      <c r="A2660" s="7" t="n"/>
      <c r="B2660" s="8" t="n"/>
      <c r="C2660" s="8" t="n"/>
    </row>
    <row r="2661">
      <c r="A2661" s="7" t="n"/>
      <c r="B2661" s="8" t="n"/>
      <c r="C2661" s="8" t="n"/>
    </row>
    <row r="2662">
      <c r="A2662" s="7" t="n"/>
      <c r="B2662" s="8" t="n"/>
      <c r="C2662" s="8" t="n"/>
    </row>
    <row r="2663">
      <c r="A2663" s="7" t="n"/>
      <c r="B2663" s="8" t="n"/>
      <c r="C2663" s="8" t="n"/>
    </row>
    <row r="2664">
      <c r="A2664" s="7" t="n"/>
      <c r="B2664" s="8" t="n"/>
      <c r="C2664" s="8" t="n"/>
    </row>
    <row r="2665">
      <c r="A2665" s="7" t="n"/>
      <c r="B2665" s="8" t="n"/>
      <c r="C2665" s="8" t="n"/>
    </row>
    <row r="2666">
      <c r="A2666" s="7" t="n"/>
      <c r="B2666" s="8" t="n"/>
      <c r="C2666" s="8" t="n"/>
    </row>
    <row r="2667">
      <c r="A2667" s="7" t="n"/>
      <c r="B2667" s="8" t="n"/>
      <c r="C2667" s="8" t="n"/>
    </row>
    <row r="2668">
      <c r="A2668" s="7" t="n"/>
      <c r="B2668" s="8" t="n"/>
      <c r="C2668" s="8" t="n"/>
    </row>
    <row r="2669">
      <c r="A2669" s="7" t="n"/>
      <c r="B2669" s="8" t="n"/>
      <c r="C2669" s="8" t="n"/>
    </row>
    <row r="2670">
      <c r="A2670" s="7" t="n"/>
      <c r="B2670" s="8" t="n"/>
      <c r="C2670" s="8" t="n"/>
    </row>
    <row r="2671">
      <c r="A2671" s="7" t="n"/>
      <c r="B2671" s="8" t="n"/>
      <c r="C2671" s="8" t="n"/>
    </row>
    <row r="2672">
      <c r="A2672" s="7" t="n"/>
      <c r="B2672" s="8" t="n"/>
      <c r="C2672" s="8" t="n"/>
    </row>
    <row r="2673">
      <c r="A2673" s="7" t="n"/>
      <c r="B2673" s="8" t="n"/>
      <c r="C2673" s="8" t="n"/>
    </row>
    <row r="2674">
      <c r="A2674" s="7" t="n"/>
      <c r="B2674" s="8" t="n"/>
      <c r="C2674" s="8" t="n"/>
    </row>
    <row r="2675">
      <c r="A2675" s="7" t="n"/>
      <c r="B2675" s="8" t="n"/>
      <c r="C2675" s="8" t="n"/>
    </row>
    <row r="2676">
      <c r="A2676" s="7" t="n"/>
      <c r="B2676" s="8" t="n"/>
      <c r="C2676" s="8" t="n"/>
    </row>
    <row r="2677">
      <c r="A2677" s="7" t="n"/>
      <c r="B2677" s="8" t="n"/>
      <c r="C2677" s="8" t="n"/>
    </row>
    <row r="2678">
      <c r="A2678" s="7" t="n"/>
      <c r="B2678" s="8" t="n"/>
      <c r="C2678" s="8" t="n"/>
    </row>
    <row r="2679">
      <c r="A2679" s="7" t="n"/>
      <c r="B2679" s="8" t="n"/>
      <c r="C2679" s="8" t="n"/>
    </row>
    <row r="2680">
      <c r="A2680" s="7" t="n"/>
      <c r="B2680" s="8" t="n"/>
      <c r="C2680" s="8" t="n"/>
    </row>
    <row r="2681">
      <c r="A2681" s="7" t="n"/>
      <c r="B2681" s="8" t="n"/>
      <c r="C2681" s="8" t="n"/>
    </row>
    <row r="2682">
      <c r="A2682" s="7" t="n"/>
      <c r="B2682" s="8" t="n"/>
      <c r="C2682" s="8" t="n"/>
    </row>
    <row r="2683">
      <c r="A2683" s="7" t="n"/>
      <c r="B2683" s="8" t="n"/>
      <c r="C2683" s="8" t="n"/>
    </row>
    <row r="2684">
      <c r="A2684" s="7" t="n"/>
      <c r="B2684" s="8" t="n"/>
      <c r="C2684" s="8" t="n"/>
    </row>
    <row r="2685">
      <c r="A2685" s="7" t="n"/>
      <c r="B2685" s="8" t="n"/>
      <c r="C2685" s="8" t="n"/>
    </row>
    <row r="2686">
      <c r="A2686" s="7" t="n"/>
      <c r="B2686" s="8" t="n"/>
      <c r="C2686" s="8" t="n"/>
    </row>
    <row r="2687">
      <c r="A2687" s="7" t="n"/>
      <c r="B2687" s="8" t="n"/>
      <c r="C2687" s="8" t="n"/>
    </row>
    <row r="2688">
      <c r="A2688" s="7" t="n"/>
      <c r="B2688" s="8" t="n"/>
      <c r="C2688" s="8" t="n"/>
    </row>
    <row r="2689">
      <c r="A2689" s="7" t="n"/>
      <c r="B2689" s="8" t="n"/>
      <c r="C2689" s="8" t="n"/>
    </row>
    <row r="2690">
      <c r="A2690" s="7" t="n"/>
      <c r="B2690" s="8" t="n"/>
      <c r="C2690" s="8" t="n"/>
    </row>
    <row r="2691">
      <c r="A2691" s="7" t="n"/>
      <c r="B2691" s="8" t="n"/>
      <c r="C2691" s="8" t="n"/>
    </row>
    <row r="2692">
      <c r="A2692" s="7" t="n"/>
      <c r="B2692" s="8" t="n"/>
      <c r="C2692" s="8" t="n"/>
    </row>
    <row r="2693">
      <c r="A2693" s="7" t="n"/>
      <c r="B2693" s="8" t="n"/>
      <c r="C2693" s="8" t="n"/>
    </row>
    <row r="2694">
      <c r="A2694" s="7" t="n"/>
      <c r="B2694" s="8" t="n"/>
      <c r="C2694" s="8" t="n"/>
    </row>
    <row r="2695">
      <c r="A2695" s="7" t="n"/>
      <c r="B2695" s="8" t="n"/>
      <c r="C2695" s="8" t="n"/>
    </row>
    <row r="2696">
      <c r="A2696" s="7" t="n"/>
      <c r="B2696" s="8" t="n"/>
      <c r="C2696" s="8" t="n"/>
    </row>
    <row r="2697">
      <c r="A2697" s="7" t="n"/>
      <c r="B2697" s="8" t="n"/>
      <c r="C2697" s="8" t="n"/>
    </row>
    <row r="2698">
      <c r="A2698" s="7" t="n"/>
      <c r="B2698" s="8" t="n"/>
      <c r="C2698" s="8" t="n"/>
    </row>
    <row r="2699">
      <c r="A2699" s="7" t="n"/>
      <c r="B2699" s="8" t="n"/>
      <c r="C2699" s="8" t="n"/>
    </row>
    <row r="2700">
      <c r="A2700" s="7" t="n"/>
      <c r="B2700" s="8" t="n"/>
      <c r="C2700" s="8" t="n"/>
    </row>
    <row r="2701">
      <c r="A2701" s="7" t="n"/>
      <c r="B2701" s="8" t="n"/>
      <c r="C2701" s="8" t="n"/>
    </row>
    <row r="2702">
      <c r="A2702" s="7" t="n"/>
      <c r="B2702" s="8" t="n"/>
      <c r="C2702" s="8" t="n"/>
    </row>
    <row r="2703">
      <c r="A2703" s="7" t="n"/>
      <c r="B2703" s="8" t="n"/>
      <c r="C2703" s="8" t="n"/>
    </row>
    <row r="2704">
      <c r="A2704" s="7" t="n"/>
      <c r="B2704" s="8" t="n"/>
      <c r="C2704" s="8" t="n"/>
    </row>
    <row r="2705">
      <c r="A2705" s="7" t="n"/>
      <c r="B2705" s="8" t="n"/>
      <c r="C2705" s="8" t="n"/>
    </row>
    <row r="2706">
      <c r="A2706" s="7" t="n"/>
      <c r="B2706" s="8" t="n"/>
      <c r="C2706" s="8" t="n"/>
    </row>
    <row r="2707">
      <c r="A2707" s="7" t="n"/>
      <c r="B2707" s="8" t="n"/>
      <c r="C2707" s="8" t="n"/>
    </row>
    <row r="2708">
      <c r="A2708" s="7" t="n"/>
      <c r="B2708" s="8" t="n"/>
      <c r="C2708" s="8" t="n"/>
    </row>
    <row r="2709">
      <c r="A2709" s="7" t="n"/>
      <c r="B2709" s="8" t="n"/>
      <c r="C2709" s="8" t="n"/>
    </row>
    <row r="2710">
      <c r="A2710" s="7" t="n"/>
      <c r="B2710" s="8" t="n"/>
      <c r="C2710" s="8" t="n"/>
    </row>
    <row r="2711">
      <c r="A2711" s="7" t="n"/>
      <c r="B2711" s="8" t="n"/>
      <c r="C2711" s="8" t="n"/>
    </row>
    <row r="2712">
      <c r="A2712" s="7" t="n"/>
      <c r="B2712" s="8" t="n"/>
      <c r="C2712" s="8" t="n"/>
    </row>
    <row r="2713">
      <c r="A2713" s="7" t="n"/>
      <c r="B2713" s="8" t="n"/>
      <c r="C2713" s="8" t="n"/>
    </row>
    <row r="2714">
      <c r="A2714" s="7" t="n"/>
      <c r="B2714" s="8" t="n"/>
      <c r="C2714" s="8" t="n"/>
    </row>
    <row r="2715">
      <c r="A2715" s="7" t="n"/>
      <c r="B2715" s="8" t="n"/>
      <c r="C2715" s="8" t="n"/>
    </row>
    <row r="2716">
      <c r="A2716" s="7" t="n"/>
      <c r="B2716" s="8" t="n"/>
      <c r="C2716" s="8" t="n"/>
    </row>
    <row r="2717">
      <c r="A2717" s="7" t="n"/>
      <c r="B2717" s="8" t="n"/>
      <c r="C2717" s="8" t="n"/>
    </row>
    <row r="2718">
      <c r="A2718" s="7" t="n"/>
      <c r="B2718" s="8" t="n"/>
      <c r="C2718" s="8" t="n"/>
    </row>
    <row r="2719">
      <c r="A2719" s="7" t="n"/>
      <c r="B2719" s="8" t="n"/>
      <c r="C2719" s="8" t="n"/>
    </row>
    <row r="2720">
      <c r="A2720" s="7" t="n"/>
      <c r="B2720" s="8" t="n"/>
      <c r="C2720" s="8" t="n"/>
    </row>
    <row r="2721">
      <c r="A2721" s="7" t="n"/>
      <c r="B2721" s="8" t="n"/>
      <c r="C2721" s="8" t="n"/>
    </row>
    <row r="2722">
      <c r="A2722" s="7" t="n"/>
      <c r="B2722" s="8" t="n"/>
      <c r="C2722" s="8" t="n"/>
    </row>
    <row r="2723">
      <c r="A2723" s="7" t="n"/>
      <c r="B2723" s="8" t="n"/>
      <c r="C2723" s="8" t="n"/>
    </row>
    <row r="2724">
      <c r="A2724" s="7" t="n"/>
      <c r="B2724" s="8" t="n"/>
      <c r="C2724" s="8" t="n"/>
    </row>
    <row r="2725">
      <c r="A2725" s="7" t="n"/>
      <c r="B2725" s="8" t="n"/>
      <c r="C2725" s="8" t="n"/>
    </row>
    <row r="2726">
      <c r="A2726" s="7" t="n"/>
      <c r="B2726" s="8" t="n"/>
      <c r="C2726" s="8" t="n"/>
    </row>
    <row r="2727">
      <c r="A2727" s="7" t="n"/>
      <c r="B2727" s="8" t="n"/>
      <c r="C2727" s="8" t="n"/>
    </row>
    <row r="2728">
      <c r="A2728" s="7" t="n"/>
      <c r="B2728" s="8" t="n"/>
      <c r="C2728" s="8" t="n"/>
    </row>
    <row r="2729">
      <c r="A2729" s="7" t="n"/>
      <c r="B2729" s="8" t="n"/>
      <c r="C2729" s="8" t="n"/>
    </row>
    <row r="2730">
      <c r="A2730" s="7" t="n"/>
      <c r="B2730" s="8" t="n"/>
      <c r="C2730" s="8" t="n"/>
    </row>
    <row r="2731">
      <c r="A2731" s="7" t="n"/>
      <c r="B2731" s="8" t="n"/>
      <c r="C2731" s="8" t="n"/>
    </row>
    <row r="2732">
      <c r="A2732" s="7" t="n"/>
      <c r="B2732" s="8" t="n"/>
      <c r="C2732" s="8" t="n"/>
    </row>
    <row r="2733">
      <c r="A2733" s="7" t="n"/>
      <c r="B2733" s="8" t="n"/>
      <c r="C2733" s="8" t="n"/>
    </row>
    <row r="2734">
      <c r="A2734" s="7" t="n"/>
      <c r="B2734" s="8" t="n"/>
      <c r="C2734" s="8" t="n"/>
    </row>
    <row r="2735">
      <c r="A2735" s="7" t="n"/>
      <c r="B2735" s="8" t="n"/>
      <c r="C2735" s="8" t="n"/>
    </row>
    <row r="2736">
      <c r="A2736" s="7" t="n"/>
      <c r="B2736" s="8" t="n"/>
      <c r="C2736" s="8" t="n"/>
    </row>
    <row r="2737">
      <c r="A2737" s="7" t="n"/>
      <c r="B2737" s="8" t="n"/>
      <c r="C2737" s="8" t="n"/>
    </row>
    <row r="2738">
      <c r="A2738" s="7" t="n"/>
      <c r="B2738" s="8" t="n"/>
      <c r="C2738" s="8" t="n"/>
    </row>
    <row r="2739">
      <c r="A2739" s="7" t="n"/>
      <c r="B2739" s="8" t="n"/>
      <c r="C2739" s="8" t="n"/>
    </row>
    <row r="2740">
      <c r="A2740" s="7" t="n"/>
      <c r="B2740" s="8" t="n"/>
      <c r="C2740" s="8" t="n"/>
    </row>
    <row r="2741">
      <c r="A2741" s="7" t="n"/>
      <c r="B2741" s="8" t="n"/>
      <c r="C2741" s="8" t="n"/>
    </row>
    <row r="2742">
      <c r="A2742" s="7" t="n"/>
      <c r="B2742" s="8" t="n"/>
      <c r="C2742" s="8" t="n"/>
    </row>
    <row r="2743">
      <c r="A2743" s="7" t="n"/>
      <c r="B2743" s="8" t="n"/>
      <c r="C2743" s="8" t="n"/>
    </row>
    <row r="2744">
      <c r="A2744" s="7" t="n"/>
      <c r="B2744" s="8" t="n"/>
      <c r="C2744" s="8" t="n"/>
    </row>
    <row r="2745">
      <c r="A2745" s="7" t="n"/>
      <c r="B2745" s="8" t="n"/>
      <c r="C2745" s="8" t="n"/>
    </row>
    <row r="2746">
      <c r="A2746" s="7" t="n"/>
      <c r="B2746" s="8" t="n"/>
      <c r="C2746" s="8" t="n"/>
    </row>
    <row r="2747">
      <c r="A2747" s="7" t="n"/>
      <c r="B2747" s="8" t="n"/>
      <c r="C2747" s="8" t="n"/>
    </row>
    <row r="2748">
      <c r="A2748" s="7" t="n"/>
      <c r="B2748" s="8" t="n"/>
      <c r="C2748" s="8" t="n"/>
    </row>
    <row r="2749">
      <c r="A2749" s="7" t="n"/>
      <c r="B2749" s="8" t="n"/>
      <c r="C2749" s="8" t="n"/>
    </row>
    <row r="2750">
      <c r="A2750" s="7" t="n"/>
      <c r="B2750" s="8" t="n"/>
      <c r="C2750" s="8" t="n"/>
    </row>
    <row r="2751">
      <c r="A2751" s="7" t="n"/>
      <c r="B2751" s="8" t="n"/>
      <c r="C2751" s="8" t="n"/>
    </row>
    <row r="2752">
      <c r="A2752" s="7" t="n"/>
      <c r="B2752" s="8" t="n"/>
      <c r="C2752" s="8" t="n"/>
    </row>
    <row r="2753">
      <c r="A2753" s="7" t="n"/>
      <c r="B2753" s="8" t="n"/>
      <c r="C2753" s="8" t="n"/>
    </row>
    <row r="2754">
      <c r="A2754" s="7" t="n"/>
      <c r="B2754" s="8" t="n"/>
      <c r="C2754" s="8" t="n"/>
    </row>
    <row r="2755">
      <c r="A2755" s="7" t="n"/>
      <c r="B2755" s="8" t="n"/>
      <c r="C2755" s="8" t="n"/>
    </row>
    <row r="2756">
      <c r="A2756" s="7" t="n"/>
      <c r="B2756" s="8" t="n"/>
      <c r="C2756" s="8" t="n"/>
    </row>
    <row r="2757">
      <c r="A2757" s="7" t="n"/>
      <c r="B2757" s="8" t="n"/>
      <c r="C2757" s="8" t="n"/>
    </row>
    <row r="2758">
      <c r="A2758" s="7" t="n"/>
      <c r="B2758" s="8" t="n"/>
      <c r="C2758" s="8" t="n"/>
    </row>
    <row r="2759">
      <c r="A2759" s="7" t="n"/>
      <c r="B2759" s="8" t="n"/>
      <c r="C2759" s="8" t="n"/>
    </row>
    <row r="2760">
      <c r="A2760" s="7" t="n"/>
      <c r="B2760" s="8" t="n"/>
      <c r="C2760" s="8" t="n"/>
    </row>
    <row r="2761">
      <c r="A2761" s="7" t="n"/>
      <c r="B2761" s="8" t="n"/>
      <c r="C2761" s="8" t="n"/>
    </row>
    <row r="2762">
      <c r="A2762" s="7" t="n"/>
      <c r="B2762" s="8" t="n"/>
      <c r="C2762" s="8" t="n"/>
    </row>
    <row r="2763">
      <c r="A2763" s="7" t="n"/>
      <c r="B2763" s="8" t="n"/>
      <c r="C2763" s="8" t="n"/>
    </row>
    <row r="2764">
      <c r="A2764" s="7" t="n"/>
      <c r="B2764" s="8" t="n"/>
      <c r="C2764" s="8" t="n"/>
    </row>
    <row r="2765">
      <c r="A2765" s="7" t="n"/>
      <c r="B2765" s="8" t="n"/>
      <c r="C2765" s="8" t="n"/>
    </row>
    <row r="2766">
      <c r="A2766" s="7" t="n"/>
      <c r="B2766" s="8" t="n"/>
      <c r="C2766" s="8" t="n"/>
    </row>
    <row r="2767">
      <c r="A2767" s="7" t="n"/>
      <c r="B2767" s="8" t="n"/>
      <c r="C2767" s="8" t="n"/>
    </row>
    <row r="2768">
      <c r="A2768" s="7" t="n"/>
      <c r="B2768" s="8" t="n"/>
      <c r="C2768" s="8" t="n"/>
    </row>
    <row r="2769">
      <c r="A2769" s="7" t="n"/>
      <c r="B2769" s="8" t="n"/>
      <c r="C2769" s="8" t="n"/>
    </row>
    <row r="2770">
      <c r="A2770" s="7" t="n"/>
      <c r="B2770" s="8" t="n"/>
      <c r="C2770" s="8" t="n"/>
    </row>
    <row r="2771">
      <c r="A2771" s="7" t="n"/>
      <c r="B2771" s="8" t="n"/>
      <c r="C2771" s="8" t="n"/>
    </row>
    <row r="2772">
      <c r="A2772" s="7" t="n"/>
      <c r="B2772" s="8" t="n"/>
      <c r="C2772" s="8" t="n"/>
    </row>
    <row r="2773">
      <c r="A2773" s="7" t="n"/>
      <c r="B2773" s="8" t="n"/>
      <c r="C2773" s="8" t="n"/>
    </row>
    <row r="2774">
      <c r="A2774" s="7" t="n"/>
      <c r="B2774" s="8" t="n"/>
      <c r="C2774" s="8" t="n"/>
    </row>
    <row r="2775">
      <c r="A2775" s="7" t="n"/>
      <c r="B2775" s="8" t="n"/>
      <c r="C2775" s="8" t="n"/>
    </row>
    <row r="2776">
      <c r="A2776" s="7" t="n"/>
      <c r="B2776" s="8" t="n"/>
      <c r="C2776" s="8" t="n"/>
    </row>
    <row r="2777">
      <c r="A2777" s="7" t="n"/>
      <c r="B2777" s="8" t="n"/>
      <c r="C2777" s="8" t="n"/>
    </row>
    <row r="2778">
      <c r="A2778" s="7" t="n"/>
      <c r="B2778" s="8" t="n"/>
      <c r="C2778" s="8" t="n"/>
    </row>
    <row r="2779">
      <c r="A2779" s="7" t="n"/>
      <c r="B2779" s="8" t="n"/>
      <c r="C2779" s="8" t="n"/>
    </row>
    <row r="2780">
      <c r="A2780" s="7" t="n"/>
      <c r="B2780" s="8" t="n"/>
      <c r="C2780" s="8" t="n"/>
    </row>
    <row r="2781">
      <c r="A2781" s="7" t="n"/>
      <c r="B2781" s="8" t="n"/>
      <c r="C2781" s="8" t="n"/>
    </row>
    <row r="2782">
      <c r="A2782" s="7" t="n"/>
      <c r="B2782" s="8" t="n"/>
      <c r="C2782" s="8" t="n"/>
    </row>
    <row r="2783">
      <c r="A2783" s="7" t="n"/>
      <c r="B2783" s="8" t="n"/>
      <c r="C2783" s="8" t="n"/>
    </row>
    <row r="2784">
      <c r="A2784" s="7" t="n"/>
      <c r="B2784" s="8" t="n"/>
      <c r="C2784" s="8" t="n"/>
    </row>
    <row r="2785">
      <c r="A2785" s="7" t="n"/>
      <c r="B2785" s="8" t="n"/>
      <c r="C2785" s="8" t="n"/>
    </row>
    <row r="2786">
      <c r="A2786" s="7" t="n"/>
      <c r="B2786" s="8" t="n"/>
      <c r="C2786" s="8" t="n"/>
    </row>
    <row r="2787">
      <c r="A2787" s="7" t="n"/>
      <c r="B2787" s="8" t="n"/>
      <c r="C2787" s="8" t="n"/>
    </row>
    <row r="2788">
      <c r="A2788" s="7" t="n"/>
      <c r="B2788" s="8" t="n"/>
      <c r="C2788" s="8" t="n"/>
    </row>
    <row r="2789">
      <c r="A2789" s="7" t="n"/>
      <c r="B2789" s="8" t="n"/>
      <c r="C2789" s="8" t="n"/>
    </row>
    <row r="2790">
      <c r="A2790" s="7" t="n"/>
      <c r="B2790" s="8" t="n"/>
      <c r="C2790" s="8" t="n"/>
    </row>
    <row r="2791">
      <c r="A2791" s="7" t="n"/>
      <c r="B2791" s="8" t="n"/>
      <c r="C2791" s="8" t="n"/>
    </row>
    <row r="2792">
      <c r="A2792" s="7" t="n"/>
      <c r="B2792" s="8" t="n"/>
      <c r="C2792" s="8" t="n"/>
    </row>
    <row r="2793">
      <c r="A2793" s="7" t="n"/>
      <c r="B2793" s="8" t="n"/>
      <c r="C2793" s="8" t="n"/>
    </row>
    <row r="2794">
      <c r="A2794" s="7" t="n"/>
      <c r="B2794" s="8" t="n"/>
      <c r="C2794" s="8" t="n"/>
    </row>
    <row r="2795">
      <c r="A2795" s="7" t="n"/>
      <c r="B2795" s="8" t="n"/>
      <c r="C2795" s="8" t="n"/>
    </row>
    <row r="2796">
      <c r="A2796" s="7" t="n"/>
      <c r="B2796" s="8" t="n"/>
      <c r="C2796" s="8" t="n"/>
    </row>
    <row r="2797">
      <c r="A2797" s="7" t="n"/>
      <c r="B2797" s="8" t="n"/>
      <c r="C2797" s="8" t="n"/>
    </row>
    <row r="2798">
      <c r="A2798" s="7" t="n"/>
      <c r="B2798" s="8" t="n"/>
      <c r="C2798" s="8" t="n"/>
    </row>
    <row r="2799">
      <c r="A2799" s="7" t="n"/>
      <c r="B2799" s="8" t="n"/>
      <c r="C2799" s="8" t="n"/>
    </row>
    <row r="2800">
      <c r="A2800" s="7" t="n"/>
      <c r="B2800" s="8" t="n"/>
      <c r="C2800" s="8" t="n"/>
    </row>
    <row r="2801">
      <c r="A2801" s="7" t="n"/>
      <c r="B2801" s="8" t="n"/>
      <c r="C2801" s="8" t="n"/>
    </row>
    <row r="2802">
      <c r="A2802" s="7" t="n"/>
      <c r="B2802" s="8" t="n"/>
      <c r="C2802" s="8" t="n"/>
    </row>
    <row r="2803">
      <c r="A2803" s="7" t="n"/>
      <c r="B2803" s="8" t="n"/>
      <c r="C2803" s="8" t="n"/>
    </row>
    <row r="2804">
      <c r="A2804" s="7" t="n"/>
      <c r="B2804" s="8" t="n"/>
      <c r="C2804" s="8" t="n"/>
    </row>
    <row r="2805">
      <c r="A2805" s="7" t="n"/>
      <c r="B2805" s="8" t="n"/>
      <c r="C2805" s="8" t="n"/>
    </row>
    <row r="2806">
      <c r="A2806" s="7" t="n"/>
      <c r="B2806" s="8" t="n"/>
      <c r="C2806" s="8" t="n"/>
    </row>
    <row r="2807">
      <c r="A2807" s="7" t="n"/>
      <c r="B2807" s="8" t="n"/>
      <c r="C2807" s="8" t="n"/>
    </row>
    <row r="2808">
      <c r="A2808" s="7" t="n"/>
      <c r="B2808" s="8" t="n"/>
      <c r="C2808" s="8" t="n"/>
    </row>
    <row r="2809">
      <c r="A2809" s="7" t="n"/>
      <c r="B2809" s="8" t="n"/>
      <c r="C2809" s="8" t="n"/>
    </row>
    <row r="2810">
      <c r="A2810" s="7" t="n"/>
      <c r="B2810" s="8" t="n"/>
      <c r="C2810" s="8" t="n"/>
    </row>
    <row r="2811">
      <c r="A2811" s="7" t="n"/>
      <c r="B2811" s="8" t="n"/>
      <c r="C2811" s="8" t="n"/>
    </row>
    <row r="2812">
      <c r="A2812" s="7" t="n"/>
      <c r="B2812" s="8" t="n"/>
      <c r="C2812" s="8" t="n"/>
    </row>
    <row r="2813">
      <c r="A2813" s="7" t="n"/>
      <c r="B2813" s="8" t="n"/>
      <c r="C2813" s="8" t="n"/>
    </row>
    <row r="2814">
      <c r="A2814" s="7" t="n"/>
      <c r="B2814" s="8" t="n"/>
      <c r="C2814" s="8" t="n"/>
    </row>
    <row r="2815">
      <c r="A2815" s="7" t="n"/>
      <c r="B2815" s="8" t="n"/>
      <c r="C2815" s="8" t="n"/>
    </row>
    <row r="2816">
      <c r="A2816" s="7" t="n"/>
      <c r="B2816" s="8" t="n"/>
      <c r="C2816" s="8" t="n"/>
    </row>
    <row r="2817">
      <c r="A2817" s="7" t="n"/>
      <c r="B2817" s="8" t="n"/>
      <c r="C2817" s="8" t="n"/>
    </row>
    <row r="2818">
      <c r="A2818" s="7" t="n"/>
      <c r="B2818" s="8" t="n"/>
      <c r="C2818" s="8" t="n"/>
    </row>
    <row r="2819">
      <c r="A2819" s="7" t="n"/>
      <c r="B2819" s="8" t="n"/>
      <c r="C2819" s="8" t="n"/>
    </row>
    <row r="2820">
      <c r="A2820" s="7" t="n"/>
      <c r="B2820" s="8" t="n"/>
      <c r="C2820" s="8" t="n"/>
    </row>
    <row r="2821">
      <c r="A2821" s="7" t="n"/>
      <c r="B2821" s="8" t="n"/>
      <c r="C2821" s="8" t="n"/>
    </row>
    <row r="2822">
      <c r="A2822" s="7" t="n"/>
      <c r="B2822" s="8" t="n"/>
      <c r="C2822" s="8" t="n"/>
    </row>
    <row r="2823">
      <c r="A2823" s="7" t="n"/>
      <c r="B2823" s="8" t="n"/>
      <c r="C2823" s="8" t="n"/>
    </row>
    <row r="2824">
      <c r="A2824" s="7" t="n"/>
      <c r="B2824" s="8" t="n"/>
      <c r="C2824" s="8" t="n"/>
    </row>
    <row r="2825">
      <c r="A2825" s="7" t="n"/>
      <c r="B2825" s="8" t="n"/>
      <c r="C2825" s="8" t="n"/>
    </row>
    <row r="2826">
      <c r="A2826" s="7" t="n"/>
      <c r="B2826" s="8" t="n"/>
      <c r="C2826" s="8" t="n"/>
    </row>
    <row r="2827">
      <c r="A2827" s="7" t="n"/>
      <c r="B2827" s="8" t="n"/>
      <c r="C2827" s="8" t="n"/>
    </row>
    <row r="2828">
      <c r="A2828" s="7" t="n"/>
      <c r="B2828" s="8" t="n"/>
      <c r="C2828" s="8" t="n"/>
    </row>
    <row r="2829">
      <c r="A2829" s="7" t="n"/>
      <c r="B2829" s="8" t="n"/>
      <c r="C2829" s="8" t="n"/>
    </row>
    <row r="2830">
      <c r="A2830" s="7" t="n"/>
      <c r="B2830" s="8" t="n"/>
      <c r="C2830" s="8" t="n"/>
    </row>
    <row r="2831">
      <c r="A2831" s="7" t="n"/>
      <c r="B2831" s="8" t="n"/>
      <c r="C2831" s="8" t="n"/>
    </row>
    <row r="2832">
      <c r="A2832" s="7" t="n"/>
      <c r="B2832" s="8" t="n"/>
      <c r="C2832" s="8" t="n"/>
    </row>
    <row r="2833">
      <c r="A2833" s="7" t="n"/>
      <c r="B2833" s="8" t="n"/>
      <c r="C2833" s="8" t="n"/>
    </row>
    <row r="2834">
      <c r="A2834" s="7" t="n"/>
      <c r="B2834" s="8" t="n"/>
      <c r="C2834" s="8" t="n"/>
    </row>
    <row r="2835">
      <c r="A2835" s="7" t="n"/>
      <c r="B2835" s="8" t="n"/>
      <c r="C2835" s="8" t="n"/>
    </row>
    <row r="2836">
      <c r="A2836" s="7" t="n"/>
      <c r="B2836" s="8" t="n"/>
      <c r="C2836" s="8" t="n"/>
    </row>
    <row r="2837">
      <c r="A2837" s="7" t="n"/>
      <c r="B2837" s="8" t="n"/>
      <c r="C2837" s="8" t="n"/>
    </row>
    <row r="2838">
      <c r="A2838" s="7" t="n"/>
      <c r="B2838" s="8" t="n"/>
      <c r="C2838" s="8" t="n"/>
    </row>
    <row r="2839">
      <c r="A2839" s="7" t="n"/>
      <c r="B2839" s="8" t="n"/>
      <c r="C2839" s="8" t="n"/>
    </row>
    <row r="2840">
      <c r="A2840" s="7" t="n"/>
      <c r="B2840" s="8" t="n"/>
      <c r="C2840" s="8" t="n"/>
    </row>
    <row r="2841">
      <c r="A2841" s="7" t="n"/>
      <c r="B2841" s="8" t="n"/>
      <c r="C2841" s="8" t="n"/>
    </row>
    <row r="2842">
      <c r="A2842" s="7" t="n"/>
      <c r="B2842" s="8" t="n"/>
      <c r="C2842" s="8" t="n"/>
    </row>
    <row r="2843">
      <c r="A2843" s="7" t="n"/>
      <c r="B2843" s="8" t="n"/>
      <c r="C2843" s="8" t="n"/>
    </row>
    <row r="2844">
      <c r="A2844" s="7" t="n"/>
      <c r="B2844" s="8" t="n"/>
      <c r="C2844" s="8" t="n"/>
    </row>
    <row r="2845">
      <c r="A2845" s="7" t="n"/>
      <c r="B2845" s="8" t="n"/>
      <c r="C2845" s="8" t="n"/>
    </row>
    <row r="2846">
      <c r="A2846" s="7" t="n"/>
      <c r="B2846" s="8" t="n"/>
      <c r="C2846" s="8" t="n"/>
    </row>
    <row r="2847">
      <c r="A2847" s="7" t="n"/>
      <c r="B2847" s="8" t="n"/>
      <c r="C2847" s="8" t="n"/>
    </row>
    <row r="2848">
      <c r="A2848" s="7" t="n"/>
      <c r="B2848" s="8" t="n"/>
      <c r="C2848" s="8" t="n"/>
    </row>
    <row r="2849">
      <c r="A2849" s="7" t="n"/>
      <c r="B2849" s="8" t="n"/>
      <c r="C2849" s="8" t="n"/>
    </row>
    <row r="2850">
      <c r="A2850" s="7" t="n"/>
      <c r="B2850" s="8" t="n"/>
      <c r="C2850" s="8" t="n"/>
    </row>
    <row r="2851">
      <c r="A2851" s="7" t="n"/>
      <c r="B2851" s="8" t="n"/>
      <c r="C2851" s="8" t="n"/>
    </row>
    <row r="2852">
      <c r="A2852" s="7" t="n"/>
      <c r="B2852" s="8" t="n"/>
      <c r="C2852" s="8" t="n"/>
    </row>
    <row r="2853">
      <c r="A2853" s="7" t="n"/>
      <c r="B2853" s="8" t="n"/>
      <c r="C2853" s="8" t="n"/>
    </row>
    <row r="2854">
      <c r="A2854" s="7" t="n"/>
      <c r="B2854" s="8" t="n"/>
      <c r="C2854" s="8" t="n"/>
    </row>
    <row r="2855">
      <c r="A2855" s="7" t="n"/>
      <c r="B2855" s="8" t="n"/>
      <c r="C2855" s="8" t="n"/>
    </row>
    <row r="2856">
      <c r="A2856" s="7" t="n"/>
      <c r="B2856" s="8" t="n"/>
      <c r="C2856" s="8" t="n"/>
    </row>
    <row r="2857">
      <c r="A2857" s="7" t="n"/>
      <c r="B2857" s="8" t="n"/>
      <c r="C2857" s="8" t="n"/>
    </row>
    <row r="2858">
      <c r="A2858" s="7" t="n"/>
      <c r="B2858" s="8" t="n"/>
      <c r="C2858" s="8" t="n"/>
    </row>
    <row r="2859">
      <c r="A2859" s="7" t="n"/>
      <c r="B2859" s="8" t="n"/>
      <c r="C2859" s="8" t="n"/>
    </row>
    <row r="2860">
      <c r="A2860" s="7" t="n"/>
      <c r="B2860" s="8" t="n"/>
      <c r="C2860" s="8" t="n"/>
    </row>
    <row r="2861">
      <c r="A2861" s="7" t="n"/>
      <c r="B2861" s="8" t="n"/>
      <c r="C2861" s="8" t="n"/>
    </row>
    <row r="2862">
      <c r="A2862" s="7" t="n"/>
      <c r="B2862" s="8" t="n"/>
      <c r="C2862" s="8" t="n"/>
    </row>
    <row r="2863">
      <c r="A2863" s="7" t="n"/>
      <c r="B2863" s="8" t="n"/>
      <c r="C2863" s="8" t="n"/>
    </row>
    <row r="2864">
      <c r="A2864" s="7" t="n"/>
      <c r="B2864" s="8" t="n"/>
      <c r="C2864" s="8" t="n"/>
    </row>
    <row r="2865">
      <c r="A2865" s="7" t="n"/>
      <c r="B2865" s="8" t="n"/>
      <c r="C2865" s="8" t="n"/>
    </row>
    <row r="2866">
      <c r="A2866" s="7" t="n"/>
      <c r="B2866" s="8" t="n"/>
      <c r="C2866" s="8" t="n"/>
    </row>
    <row r="2867">
      <c r="A2867" s="7" t="n"/>
      <c r="B2867" s="8" t="n"/>
      <c r="C2867" s="8" t="n"/>
    </row>
    <row r="2868">
      <c r="A2868" s="7" t="n"/>
      <c r="B2868" s="8" t="n"/>
      <c r="C2868" s="8" t="n"/>
    </row>
    <row r="2869">
      <c r="A2869" s="7" t="n"/>
      <c r="B2869" s="8" t="n"/>
      <c r="C2869" s="8" t="n"/>
    </row>
    <row r="2870">
      <c r="A2870" s="7" t="n"/>
      <c r="B2870" s="8" t="n"/>
      <c r="C2870" s="8" t="n"/>
    </row>
    <row r="2871">
      <c r="A2871" s="7" t="n"/>
      <c r="B2871" s="8" t="n"/>
      <c r="C2871" s="8" t="n"/>
    </row>
    <row r="2872">
      <c r="A2872" s="7" t="n"/>
      <c r="B2872" s="8" t="n"/>
      <c r="C2872" s="8" t="n"/>
    </row>
    <row r="2873">
      <c r="A2873" s="7" t="n"/>
      <c r="B2873" s="8" t="n"/>
      <c r="C2873" s="8" t="n"/>
    </row>
    <row r="2874">
      <c r="A2874" s="7" t="n"/>
      <c r="B2874" s="8" t="n"/>
      <c r="C2874" s="8" t="n"/>
    </row>
    <row r="2875">
      <c r="A2875" s="7" t="n"/>
      <c r="B2875" s="8" t="n"/>
      <c r="C2875" s="8" t="n"/>
    </row>
    <row r="2876">
      <c r="A2876" s="7" t="n"/>
      <c r="B2876" s="8" t="n"/>
      <c r="C2876" s="8" t="n"/>
    </row>
    <row r="2877">
      <c r="A2877" s="7" t="n"/>
      <c r="B2877" s="8" t="n"/>
      <c r="C2877" s="8" t="n"/>
    </row>
    <row r="2878">
      <c r="A2878" s="7" t="n"/>
      <c r="B2878" s="8" t="n"/>
      <c r="C2878" s="8" t="n"/>
    </row>
    <row r="2879">
      <c r="A2879" s="7" t="n"/>
      <c r="B2879" s="8" t="n"/>
      <c r="C2879" s="8" t="n"/>
    </row>
    <row r="2880">
      <c r="A2880" s="7" t="n"/>
      <c r="B2880" s="8" t="n"/>
      <c r="C2880" s="8" t="n"/>
    </row>
    <row r="2881">
      <c r="A2881" s="7" t="n"/>
      <c r="B2881" s="8" t="n"/>
      <c r="C2881" s="8" t="n"/>
    </row>
    <row r="2882">
      <c r="A2882" s="7" t="n"/>
      <c r="B2882" s="8" t="n"/>
      <c r="C2882" s="8" t="n"/>
    </row>
    <row r="2883">
      <c r="A2883" s="7" t="n"/>
      <c r="B2883" s="8" t="n"/>
      <c r="C2883" s="8" t="n"/>
    </row>
    <row r="2884">
      <c r="A2884" s="7" t="n"/>
      <c r="B2884" s="8" t="n"/>
      <c r="C2884" s="8" t="n"/>
    </row>
    <row r="2885">
      <c r="A2885" s="7" t="n"/>
      <c r="B2885" s="8" t="n"/>
      <c r="C2885" s="8" t="n"/>
    </row>
    <row r="2886">
      <c r="A2886" s="7" t="n"/>
      <c r="B2886" s="8" t="n"/>
      <c r="C2886" s="8" t="n"/>
    </row>
    <row r="2887">
      <c r="A2887" s="7" t="n"/>
      <c r="B2887" s="8" t="n"/>
      <c r="C2887" s="8" t="n"/>
    </row>
    <row r="2888">
      <c r="A2888" s="7" t="n"/>
      <c r="B2888" s="8" t="n"/>
      <c r="C2888" s="8" t="n"/>
    </row>
    <row r="2889">
      <c r="A2889" s="7" t="n"/>
      <c r="B2889" s="8" t="n"/>
      <c r="C2889" s="8" t="n"/>
    </row>
    <row r="2890">
      <c r="A2890" s="7" t="n"/>
      <c r="B2890" s="8" t="n"/>
      <c r="C2890" s="8" t="n"/>
    </row>
    <row r="2891">
      <c r="A2891" s="7" t="n"/>
      <c r="B2891" s="8" t="n"/>
      <c r="C2891" s="8" t="n"/>
    </row>
    <row r="2892">
      <c r="A2892" s="7" t="n"/>
      <c r="B2892" s="8" t="n"/>
      <c r="C2892" s="8" t="n"/>
    </row>
    <row r="2893">
      <c r="A2893" s="7" t="n"/>
      <c r="B2893" s="8" t="n"/>
      <c r="C2893" s="8" t="n"/>
    </row>
    <row r="2894">
      <c r="A2894" s="7" t="n"/>
      <c r="B2894" s="8" t="n"/>
      <c r="C2894" s="8" t="n"/>
    </row>
    <row r="2895">
      <c r="A2895" s="7" t="n"/>
      <c r="B2895" s="8" t="n"/>
      <c r="C2895" s="8" t="n"/>
    </row>
    <row r="2896">
      <c r="A2896" s="7" t="n"/>
      <c r="B2896" s="8" t="n"/>
      <c r="C2896" s="8" t="n"/>
    </row>
    <row r="2897">
      <c r="A2897" s="7" t="n"/>
      <c r="B2897" s="8" t="n"/>
      <c r="C2897" s="8" t="n"/>
    </row>
    <row r="2898">
      <c r="A2898" s="7" t="n"/>
      <c r="B2898" s="8" t="n"/>
      <c r="C2898" s="8" t="n"/>
    </row>
    <row r="2899">
      <c r="A2899" s="7" t="n"/>
      <c r="B2899" s="8" t="n"/>
      <c r="C2899" s="8" t="n"/>
    </row>
    <row r="2900">
      <c r="A2900" s="7" t="n"/>
      <c r="B2900" s="8" t="n"/>
      <c r="C2900" s="8" t="n"/>
    </row>
    <row r="2901">
      <c r="A2901" s="7" t="n"/>
      <c r="B2901" s="8" t="n"/>
      <c r="C2901" s="8" t="n"/>
    </row>
    <row r="2902">
      <c r="A2902" s="7" t="n"/>
      <c r="B2902" s="8" t="n"/>
      <c r="C2902" s="8" t="n"/>
    </row>
    <row r="2903">
      <c r="A2903" s="7" t="n"/>
      <c r="B2903" s="8" t="n"/>
      <c r="C2903" s="8" t="n"/>
    </row>
    <row r="2904">
      <c r="A2904" s="7" t="n"/>
      <c r="B2904" s="8" t="n"/>
      <c r="C2904" s="8" t="n"/>
    </row>
    <row r="2905">
      <c r="A2905" s="7" t="n"/>
      <c r="B2905" s="8" t="n"/>
      <c r="C2905" s="8" t="n"/>
    </row>
    <row r="2906">
      <c r="A2906" s="7" t="n"/>
      <c r="B2906" s="8" t="n"/>
      <c r="C2906" s="8" t="n"/>
    </row>
    <row r="2907">
      <c r="A2907" s="7" t="n"/>
      <c r="B2907" s="8" t="n"/>
      <c r="C2907" s="8" t="n"/>
    </row>
    <row r="2908">
      <c r="A2908" s="7" t="n"/>
      <c r="B2908" s="8" t="n"/>
      <c r="C2908" s="8" t="n"/>
    </row>
    <row r="2909">
      <c r="A2909" s="7" t="n"/>
      <c r="B2909" s="8" t="n"/>
      <c r="C2909" s="8" t="n"/>
    </row>
    <row r="2910">
      <c r="A2910" s="7" t="n"/>
      <c r="B2910" s="8" t="n"/>
      <c r="C2910" s="8" t="n"/>
    </row>
    <row r="2911">
      <c r="A2911" s="7" t="n"/>
      <c r="B2911" s="8" t="n"/>
      <c r="C2911" s="8" t="n"/>
    </row>
    <row r="2912">
      <c r="A2912" s="7" t="n"/>
      <c r="B2912" s="8" t="n"/>
      <c r="C2912" s="8" t="n"/>
    </row>
    <row r="2913">
      <c r="A2913" s="7" t="n"/>
      <c r="B2913" s="8" t="n"/>
      <c r="C2913" s="8" t="n"/>
    </row>
    <row r="2914">
      <c r="A2914" s="7" t="n"/>
      <c r="B2914" s="8" t="n"/>
      <c r="C2914" s="8" t="n"/>
    </row>
    <row r="2915">
      <c r="A2915" s="7" t="n"/>
      <c r="B2915" s="8" t="n"/>
      <c r="C2915" s="8" t="n"/>
    </row>
    <row r="2916">
      <c r="A2916" s="7" t="n"/>
      <c r="B2916" s="8" t="n"/>
      <c r="C2916" s="8" t="n"/>
    </row>
    <row r="2917">
      <c r="A2917" s="7" t="n"/>
      <c r="B2917" s="8" t="n"/>
      <c r="C2917" s="8" t="n"/>
    </row>
    <row r="2918">
      <c r="A2918" s="7" t="n"/>
      <c r="B2918" s="8" t="n"/>
      <c r="C2918" s="8" t="n"/>
    </row>
    <row r="2919">
      <c r="A2919" s="7" t="n"/>
      <c r="B2919" s="8" t="n"/>
      <c r="C2919" s="8" t="n"/>
    </row>
    <row r="2920">
      <c r="A2920" s="7" t="n"/>
      <c r="B2920" s="8" t="n"/>
      <c r="C2920" s="8" t="n"/>
    </row>
    <row r="2921">
      <c r="A2921" s="7" t="n"/>
      <c r="B2921" s="8" t="n"/>
      <c r="C2921" s="8" t="n"/>
    </row>
    <row r="2922">
      <c r="A2922" s="7" t="n"/>
      <c r="B2922" s="8" t="n"/>
      <c r="C2922" s="8" t="n"/>
    </row>
    <row r="2923">
      <c r="A2923" s="7" t="n"/>
      <c r="B2923" s="8" t="n"/>
      <c r="C2923" s="8" t="n"/>
    </row>
    <row r="2924">
      <c r="A2924" s="7" t="n"/>
      <c r="B2924" s="8" t="n"/>
      <c r="C2924" s="8" t="n"/>
    </row>
    <row r="2925">
      <c r="A2925" s="7" t="n"/>
      <c r="B2925" s="8" t="n"/>
      <c r="C2925" s="8" t="n"/>
    </row>
    <row r="2926">
      <c r="A2926" s="7" t="n"/>
      <c r="B2926" s="8" t="n"/>
      <c r="C2926" s="8" t="n"/>
    </row>
    <row r="2927">
      <c r="A2927" s="7" t="n"/>
      <c r="B2927" s="8" t="n"/>
      <c r="C2927" s="8" t="n"/>
    </row>
    <row r="2928">
      <c r="A2928" s="7" t="n"/>
      <c r="B2928" s="8" t="n"/>
      <c r="C2928" s="8" t="n"/>
    </row>
    <row r="2929">
      <c r="A2929" s="7" t="n"/>
      <c r="B2929" s="8" t="n"/>
      <c r="C2929" s="8" t="n"/>
    </row>
    <row r="2930">
      <c r="A2930" s="7" t="n"/>
      <c r="B2930" s="8" t="n"/>
      <c r="C2930" s="8" t="n"/>
    </row>
    <row r="2931">
      <c r="A2931" s="7" t="n"/>
      <c r="B2931" s="8" t="n"/>
      <c r="C2931" s="8" t="n"/>
    </row>
    <row r="2932">
      <c r="A2932" s="7" t="n"/>
      <c r="B2932" s="8" t="n"/>
      <c r="C2932" s="8" t="n"/>
    </row>
    <row r="2933">
      <c r="A2933" s="7" t="n"/>
      <c r="B2933" s="8" t="n"/>
      <c r="C2933" s="8" t="n"/>
    </row>
    <row r="2934">
      <c r="A2934" s="7" t="n"/>
      <c r="B2934" s="8" t="n"/>
      <c r="C2934" s="8" t="n"/>
    </row>
    <row r="2935">
      <c r="A2935" s="7" t="n"/>
      <c r="B2935" s="8" t="n"/>
      <c r="C2935" s="8" t="n"/>
    </row>
    <row r="2936">
      <c r="A2936" s="7" t="n"/>
      <c r="B2936" s="8" t="n"/>
      <c r="C2936" s="8" t="n"/>
    </row>
    <row r="2937">
      <c r="A2937" s="7" t="n"/>
      <c r="B2937" s="8" t="n"/>
      <c r="C2937" s="8" t="n"/>
    </row>
    <row r="2938">
      <c r="A2938" s="7" t="n"/>
      <c r="B2938" s="8" t="n"/>
      <c r="C2938" s="8" t="n"/>
    </row>
    <row r="2939">
      <c r="A2939" s="7" t="n"/>
      <c r="B2939" s="8" t="n"/>
      <c r="C2939" s="8" t="n"/>
    </row>
    <row r="2940">
      <c r="A2940" s="7" t="n"/>
      <c r="B2940" s="8" t="n"/>
      <c r="C2940" s="8" t="n"/>
    </row>
    <row r="2941">
      <c r="A2941" s="7" t="n"/>
      <c r="B2941" s="8" t="n"/>
      <c r="C2941" s="8" t="n"/>
    </row>
    <row r="2942">
      <c r="A2942" s="7" t="n"/>
      <c r="B2942" s="8" t="n"/>
      <c r="C2942" s="8" t="n"/>
    </row>
    <row r="2943">
      <c r="A2943" s="7" t="n"/>
      <c r="B2943" s="8" t="n"/>
      <c r="C2943" s="8" t="n"/>
    </row>
    <row r="2944">
      <c r="A2944" s="7" t="n"/>
      <c r="B2944" s="8" t="n"/>
      <c r="C2944" s="8" t="n"/>
    </row>
    <row r="2945">
      <c r="A2945" s="7" t="n"/>
      <c r="B2945" s="8" t="n"/>
      <c r="C2945" s="8" t="n"/>
    </row>
    <row r="2946">
      <c r="A2946" s="7" t="n"/>
      <c r="B2946" s="8" t="n"/>
      <c r="C2946" s="8" t="n"/>
    </row>
    <row r="2947">
      <c r="A2947" s="7" t="n"/>
      <c r="B2947" s="8" t="n"/>
      <c r="C2947" s="8" t="n"/>
    </row>
    <row r="2948">
      <c r="A2948" s="7" t="n"/>
      <c r="B2948" s="8" t="n"/>
      <c r="C2948" s="8" t="n"/>
    </row>
    <row r="2949">
      <c r="A2949" s="7" t="n"/>
      <c r="B2949" s="8" t="n"/>
      <c r="C2949" s="8" t="n"/>
    </row>
    <row r="2950">
      <c r="A2950" s="7" t="n"/>
      <c r="B2950" s="8" t="n"/>
      <c r="C2950" s="8" t="n"/>
    </row>
    <row r="2951">
      <c r="A2951" s="7" t="n"/>
      <c r="B2951" s="8" t="n"/>
      <c r="C2951" s="8" t="n"/>
    </row>
    <row r="2952">
      <c r="A2952" s="7" t="n"/>
      <c r="B2952" s="8" t="n"/>
      <c r="C2952" s="8" t="n"/>
    </row>
    <row r="2953">
      <c r="A2953" s="7" t="n"/>
      <c r="B2953" s="8" t="n"/>
      <c r="C2953" s="8" t="n"/>
    </row>
    <row r="2954">
      <c r="A2954" s="7" t="n"/>
      <c r="B2954" s="8" t="n"/>
      <c r="C2954" s="8" t="n"/>
    </row>
    <row r="2955">
      <c r="A2955" s="7" t="n"/>
      <c r="B2955" s="8" t="n"/>
      <c r="C2955" s="8" t="n"/>
    </row>
    <row r="2956">
      <c r="A2956" s="7" t="n"/>
      <c r="B2956" s="8" t="n"/>
      <c r="C2956" s="8" t="n"/>
    </row>
    <row r="2957">
      <c r="A2957" s="7" t="n"/>
      <c r="B2957" s="8" t="n"/>
      <c r="C2957" s="8" t="n"/>
    </row>
    <row r="2958">
      <c r="A2958" s="7" t="n"/>
      <c r="B2958" s="8" t="n"/>
      <c r="C2958" s="8" t="n"/>
    </row>
    <row r="2959">
      <c r="A2959" s="7" t="n"/>
      <c r="B2959" s="8" t="n"/>
      <c r="C2959" s="8" t="n"/>
    </row>
    <row r="2960">
      <c r="A2960" s="7" t="n"/>
      <c r="B2960" s="8" t="n"/>
      <c r="C2960" s="8" t="n"/>
    </row>
    <row r="2961">
      <c r="A2961" s="7" t="n"/>
      <c r="B2961" s="8" t="n"/>
      <c r="C2961" s="8" t="n"/>
    </row>
    <row r="2962">
      <c r="A2962" s="7" t="n"/>
      <c r="B2962" s="8" t="n"/>
      <c r="C2962" s="8" t="n"/>
    </row>
    <row r="2963">
      <c r="A2963" s="7" t="n"/>
      <c r="B2963" s="8" t="n"/>
      <c r="C2963" s="8" t="n"/>
    </row>
    <row r="2964">
      <c r="A2964" s="7" t="n"/>
      <c r="B2964" s="8" t="n"/>
      <c r="C2964" s="8" t="n"/>
    </row>
    <row r="2965">
      <c r="A2965" s="7" t="n"/>
      <c r="B2965" s="8" t="n"/>
      <c r="C2965" s="8" t="n"/>
    </row>
    <row r="2966">
      <c r="A2966" s="7" t="n"/>
      <c r="B2966" s="8" t="n"/>
      <c r="C2966" s="8" t="n"/>
    </row>
    <row r="2967">
      <c r="A2967" s="7" t="n"/>
      <c r="B2967" s="8" t="n"/>
      <c r="C2967" s="8" t="n"/>
    </row>
    <row r="2968">
      <c r="A2968" s="7" t="n"/>
      <c r="B2968" s="8" t="n"/>
      <c r="C2968" s="8" t="n"/>
    </row>
    <row r="2969">
      <c r="A2969" s="7" t="n"/>
      <c r="B2969" s="8" t="n"/>
      <c r="C2969" s="8" t="n"/>
    </row>
    <row r="2970">
      <c r="A2970" s="7" t="n"/>
      <c r="B2970" s="8" t="n"/>
      <c r="C2970" s="8" t="n"/>
    </row>
    <row r="2971">
      <c r="A2971" s="7" t="n"/>
      <c r="B2971" s="8" t="n"/>
      <c r="C2971" s="8" t="n"/>
    </row>
    <row r="2972">
      <c r="A2972" s="7" t="n"/>
      <c r="B2972" s="8" t="n"/>
      <c r="C2972" s="8" t="n"/>
    </row>
    <row r="2973">
      <c r="A2973" s="7" t="n"/>
      <c r="B2973" s="8" t="n"/>
      <c r="C2973" s="8" t="n"/>
    </row>
    <row r="2974">
      <c r="A2974" s="7" t="n"/>
      <c r="B2974" s="8" t="n"/>
      <c r="C2974" s="8" t="n"/>
    </row>
    <row r="2975">
      <c r="A2975" s="7" t="n"/>
      <c r="B2975" s="8" t="n"/>
      <c r="C2975" s="8" t="n"/>
    </row>
    <row r="2976">
      <c r="A2976" s="7" t="n"/>
      <c r="B2976" s="8" t="n"/>
      <c r="C2976" s="8" t="n"/>
    </row>
    <row r="2977">
      <c r="A2977" s="7" t="n"/>
      <c r="B2977" s="8" t="n"/>
      <c r="C2977" s="8" t="n"/>
    </row>
    <row r="2978">
      <c r="A2978" s="7" t="n"/>
      <c r="B2978" s="8" t="n"/>
      <c r="C2978" s="8" t="n"/>
    </row>
    <row r="2979">
      <c r="A2979" s="7" t="n"/>
      <c r="B2979" s="8" t="n"/>
      <c r="C2979" s="8" t="n"/>
    </row>
    <row r="2980">
      <c r="A2980" s="7" t="n"/>
      <c r="B2980" s="8" t="n"/>
      <c r="C2980" s="8" t="n"/>
    </row>
    <row r="2981">
      <c r="A2981" s="7" t="n"/>
      <c r="B2981" s="8" t="n"/>
      <c r="C2981" s="8" t="n"/>
    </row>
    <row r="2982">
      <c r="A2982" s="7" t="n"/>
      <c r="B2982" s="8" t="n"/>
      <c r="C2982" s="8" t="n"/>
    </row>
    <row r="2983">
      <c r="A2983" s="7" t="n"/>
      <c r="B2983" s="8" t="n"/>
      <c r="C2983" s="8" t="n"/>
    </row>
    <row r="2984">
      <c r="A2984" s="7" t="n"/>
      <c r="B2984" s="8" t="n"/>
      <c r="C2984" s="8" t="n"/>
    </row>
    <row r="2985">
      <c r="A2985" s="7" t="n"/>
      <c r="B2985" s="8" t="n"/>
      <c r="C2985" s="8" t="n"/>
    </row>
    <row r="2986">
      <c r="A2986" s="7" t="n"/>
      <c r="B2986" s="8" t="n"/>
      <c r="C2986" s="8" t="n"/>
    </row>
    <row r="2987">
      <c r="A2987" s="7" t="n"/>
      <c r="B2987" s="8" t="n"/>
      <c r="C2987" s="8" t="n"/>
    </row>
    <row r="2988">
      <c r="A2988" s="7" t="n"/>
      <c r="B2988" s="8" t="n"/>
      <c r="C2988" s="8" t="n"/>
    </row>
    <row r="2989">
      <c r="A2989" s="7" t="n"/>
      <c r="B2989" s="8" t="n"/>
      <c r="C2989" s="8" t="n"/>
    </row>
    <row r="2990">
      <c r="A2990" s="7" t="n"/>
      <c r="B2990" s="8" t="n"/>
      <c r="C2990" s="8" t="n"/>
    </row>
    <row r="2991">
      <c r="A2991" s="7" t="n"/>
      <c r="B2991" s="8" t="n"/>
      <c r="C2991" s="8" t="n"/>
    </row>
    <row r="2992">
      <c r="A2992" s="7" t="n"/>
      <c r="B2992" s="8" t="n"/>
      <c r="C2992" s="8" t="n"/>
    </row>
    <row r="2993">
      <c r="A2993" s="7" t="n"/>
      <c r="B2993" s="8" t="n"/>
      <c r="C2993" s="8" t="n"/>
    </row>
    <row r="2994">
      <c r="A2994" s="7" t="n"/>
      <c r="B2994" s="8" t="n"/>
      <c r="C2994" s="8" t="n"/>
    </row>
    <row r="2995">
      <c r="A2995" s="7" t="n"/>
      <c r="B2995" s="8" t="n"/>
      <c r="C2995" s="8" t="n"/>
    </row>
    <row r="2996">
      <c r="A2996" s="7" t="n"/>
      <c r="B2996" s="8" t="n"/>
      <c r="C2996" s="8" t="n"/>
    </row>
    <row r="2997">
      <c r="A2997" s="7" t="n"/>
      <c r="B2997" s="8" t="n"/>
      <c r="C2997" s="8" t="n"/>
    </row>
    <row r="2998">
      <c r="A2998" s="7" t="n"/>
      <c r="B2998" s="8" t="n"/>
      <c r="C2998" s="8" t="n"/>
    </row>
    <row r="2999">
      <c r="A2999" s="7" t="n"/>
      <c r="B2999" s="8" t="n"/>
      <c r="C2999" s="8" t="n"/>
    </row>
    <row r="3000">
      <c r="A3000" s="7" t="n"/>
      <c r="B3000" s="8" t="n"/>
      <c r="C3000" s="8" t="n"/>
    </row>
    <row r="3001">
      <c r="A3001" s="7" t="n"/>
      <c r="B3001" s="8" t="n"/>
      <c r="C3001" s="8" t="n"/>
    </row>
    <row r="3002">
      <c r="A3002" s="7" t="n"/>
      <c r="B3002" s="8" t="n"/>
      <c r="C3002" s="8" t="n"/>
    </row>
    <row r="3003">
      <c r="A3003" s="7" t="n"/>
      <c r="B3003" s="8" t="n"/>
      <c r="C3003" s="8" t="n"/>
    </row>
    <row r="3004">
      <c r="A3004" s="7" t="n"/>
      <c r="B3004" s="8" t="n"/>
      <c r="C3004" s="8" t="n"/>
    </row>
    <row r="3005">
      <c r="A3005" s="7" t="n"/>
      <c r="B3005" s="8" t="n"/>
      <c r="C3005" s="8" t="n"/>
    </row>
    <row r="3006">
      <c r="A3006" s="7" t="n"/>
      <c r="B3006" s="8" t="n"/>
      <c r="C3006" s="8" t="n"/>
    </row>
    <row r="3007">
      <c r="A3007" s="7" t="n"/>
      <c r="B3007" s="8" t="n"/>
      <c r="C3007" s="8" t="n"/>
    </row>
    <row r="3008">
      <c r="A3008" s="7" t="n"/>
      <c r="B3008" s="8" t="n"/>
      <c r="C3008" s="8" t="n"/>
    </row>
    <row r="3009">
      <c r="A3009" s="7" t="n"/>
      <c r="B3009" s="8" t="n"/>
      <c r="C3009" s="8" t="n"/>
    </row>
    <row r="3010">
      <c r="A3010" s="7" t="n"/>
      <c r="B3010" s="8" t="n"/>
      <c r="C3010" s="8" t="n"/>
    </row>
    <row r="3011">
      <c r="A3011" s="7" t="n"/>
      <c r="B3011" s="8" t="n"/>
      <c r="C3011" s="8" t="n"/>
    </row>
    <row r="3012">
      <c r="A3012" s="7" t="n"/>
      <c r="B3012" s="8" t="n"/>
      <c r="C3012" s="8" t="n"/>
    </row>
    <row r="3013">
      <c r="A3013" s="7" t="n"/>
      <c r="B3013" s="8" t="n"/>
      <c r="C3013" s="8" t="n"/>
    </row>
    <row r="3014">
      <c r="A3014" s="7" t="n"/>
      <c r="B3014" s="8" t="n"/>
      <c r="C3014" s="8" t="n"/>
    </row>
    <row r="3015">
      <c r="A3015" s="7" t="n"/>
      <c r="B3015" s="8" t="n"/>
      <c r="C3015" s="8" t="n"/>
    </row>
    <row r="3016">
      <c r="A3016" s="7" t="n"/>
      <c r="B3016" s="8" t="n"/>
      <c r="C3016" s="8" t="n"/>
    </row>
    <row r="3017">
      <c r="A3017" s="7" t="n"/>
      <c r="B3017" s="8" t="n"/>
      <c r="C3017" s="8" t="n"/>
    </row>
    <row r="3018">
      <c r="A3018" s="7" t="n"/>
      <c r="B3018" s="8" t="n"/>
      <c r="C3018" s="8" t="n"/>
    </row>
    <row r="3019">
      <c r="A3019" s="7" t="n"/>
      <c r="B3019" s="8" t="n"/>
      <c r="C3019" s="8" t="n"/>
    </row>
    <row r="3020">
      <c r="A3020" s="7" t="n"/>
      <c r="B3020" s="8" t="n"/>
      <c r="C3020" s="8" t="n"/>
    </row>
    <row r="3021">
      <c r="A3021" s="7" t="n"/>
      <c r="B3021" s="8" t="n"/>
      <c r="C3021" s="8" t="n"/>
    </row>
    <row r="3022">
      <c r="A3022" s="7" t="n"/>
      <c r="B3022" s="8" t="n"/>
      <c r="C3022" s="8" t="n"/>
    </row>
    <row r="3023">
      <c r="A3023" s="7" t="n"/>
      <c r="B3023" s="8" t="n"/>
      <c r="C3023" s="8" t="n"/>
    </row>
    <row r="3024">
      <c r="A3024" s="7" t="n"/>
      <c r="B3024" s="8" t="n"/>
      <c r="C3024" s="8" t="n"/>
    </row>
    <row r="3025">
      <c r="A3025" s="7" t="n"/>
      <c r="B3025" s="8" t="n"/>
      <c r="C3025" s="8" t="n"/>
    </row>
    <row r="3026">
      <c r="A3026" s="7" t="n"/>
      <c r="B3026" s="8" t="n"/>
      <c r="C3026" s="8" t="n"/>
    </row>
    <row r="3027">
      <c r="A3027" s="7" t="n"/>
      <c r="B3027" s="8" t="n"/>
      <c r="C3027" s="8" t="n"/>
    </row>
    <row r="3028">
      <c r="A3028" s="7" t="n"/>
      <c r="B3028" s="8" t="n"/>
      <c r="C3028" s="8" t="n"/>
    </row>
    <row r="3029">
      <c r="A3029" s="7" t="n"/>
      <c r="B3029" s="8" t="n"/>
      <c r="C3029" s="8" t="n"/>
    </row>
    <row r="3030">
      <c r="A3030" s="7" t="n"/>
      <c r="B3030" s="8" t="n"/>
      <c r="C3030" s="8" t="n"/>
    </row>
    <row r="3031">
      <c r="A3031" s="7" t="n"/>
      <c r="B3031" s="8" t="n"/>
      <c r="C3031" s="8" t="n"/>
    </row>
    <row r="3032">
      <c r="A3032" s="7" t="n"/>
      <c r="B3032" s="8" t="n"/>
      <c r="C3032" s="8" t="n"/>
    </row>
    <row r="3033">
      <c r="A3033" s="7" t="n"/>
      <c r="B3033" s="8" t="n"/>
      <c r="C3033" s="8" t="n"/>
    </row>
    <row r="3034">
      <c r="A3034" s="7" t="n"/>
      <c r="B3034" s="8" t="n"/>
      <c r="C3034" s="8" t="n"/>
    </row>
    <row r="3035">
      <c r="A3035" s="7" t="n"/>
      <c r="B3035" s="8" t="n"/>
      <c r="C3035" s="8" t="n"/>
    </row>
    <row r="3036">
      <c r="A3036" s="7" t="n"/>
      <c r="B3036" s="8" t="n"/>
      <c r="C3036" s="8" t="n"/>
    </row>
    <row r="3037">
      <c r="A3037" s="7" t="n"/>
      <c r="B3037" s="8" t="n"/>
      <c r="C3037" s="8" t="n"/>
    </row>
    <row r="3038">
      <c r="A3038" s="7" t="n"/>
      <c r="B3038" s="8" t="n"/>
      <c r="C3038" s="8" t="n"/>
    </row>
    <row r="3039">
      <c r="A3039" s="7" t="n"/>
      <c r="B3039" s="8" t="n"/>
      <c r="C3039" s="8" t="n"/>
    </row>
    <row r="3040">
      <c r="A3040" s="7" t="n"/>
      <c r="B3040" s="8" t="n"/>
      <c r="C3040" s="8" t="n"/>
    </row>
    <row r="3041">
      <c r="A3041" s="7" t="n"/>
      <c r="B3041" s="8" t="n"/>
      <c r="C3041" s="8" t="n"/>
    </row>
    <row r="3042">
      <c r="A3042" s="7" t="n"/>
      <c r="B3042" s="8" t="n"/>
      <c r="C3042" s="8" t="n"/>
    </row>
    <row r="3043">
      <c r="A3043" s="7" t="n"/>
      <c r="B3043" s="8" t="n"/>
      <c r="C3043" s="8" t="n"/>
    </row>
    <row r="3044">
      <c r="A3044" s="7" t="n"/>
      <c r="B3044" s="8" t="n"/>
      <c r="C3044" s="8" t="n"/>
    </row>
    <row r="3045">
      <c r="A3045" s="7" t="n"/>
      <c r="B3045" s="8" t="n"/>
      <c r="C3045" s="8" t="n"/>
    </row>
    <row r="3046">
      <c r="A3046" s="7" t="n"/>
      <c r="B3046" s="8" t="n"/>
      <c r="C3046" s="8" t="n"/>
    </row>
    <row r="3047">
      <c r="A3047" s="7" t="n"/>
      <c r="B3047" s="8" t="n"/>
      <c r="C3047" s="8" t="n"/>
    </row>
    <row r="3048">
      <c r="A3048" s="7" t="n"/>
      <c r="B3048" s="8" t="n"/>
      <c r="C3048" s="8" t="n"/>
    </row>
    <row r="3049">
      <c r="A3049" s="7" t="n"/>
      <c r="B3049" s="8" t="n"/>
      <c r="C3049" s="8" t="n"/>
    </row>
    <row r="3050">
      <c r="A3050" s="7" t="n"/>
      <c r="B3050" s="8" t="n"/>
      <c r="C3050" s="8" t="n"/>
    </row>
    <row r="3051">
      <c r="A3051" s="7" t="n"/>
      <c r="B3051" s="8" t="n"/>
      <c r="C3051" s="8" t="n"/>
    </row>
    <row r="3052">
      <c r="A3052" s="7" t="n"/>
      <c r="B3052" s="8" t="n"/>
      <c r="C3052" s="8" t="n"/>
    </row>
    <row r="3053">
      <c r="A3053" s="7" t="n"/>
      <c r="B3053" s="8" t="n"/>
      <c r="C3053" s="8" t="n"/>
    </row>
    <row r="3054">
      <c r="A3054" s="7" t="n"/>
      <c r="B3054" s="8" t="n"/>
      <c r="C3054" s="8" t="n"/>
    </row>
    <row r="3055">
      <c r="A3055" s="7" t="n"/>
      <c r="B3055" s="8" t="n"/>
      <c r="C3055" s="8" t="n"/>
    </row>
    <row r="3056">
      <c r="A3056" s="7" t="n"/>
      <c r="B3056" s="8" t="n"/>
      <c r="C3056" s="8" t="n"/>
    </row>
    <row r="3057">
      <c r="A3057" s="7" t="n"/>
      <c r="B3057" s="8" t="n"/>
      <c r="C3057" s="8" t="n"/>
    </row>
    <row r="3058">
      <c r="A3058" s="7" t="n"/>
      <c r="B3058" s="8" t="n"/>
      <c r="C3058" s="8" t="n"/>
    </row>
    <row r="3059">
      <c r="A3059" s="7" t="n"/>
      <c r="B3059" s="8" t="n"/>
      <c r="C3059" s="8" t="n"/>
    </row>
    <row r="3060">
      <c r="A3060" s="7" t="n"/>
      <c r="B3060" s="8" t="n"/>
      <c r="C3060" s="8" t="n"/>
    </row>
    <row r="3061">
      <c r="A3061" s="7" t="n"/>
      <c r="B3061" s="8" t="n"/>
      <c r="C3061" s="8" t="n"/>
    </row>
    <row r="3062">
      <c r="A3062" s="7" t="n"/>
      <c r="B3062" s="8" t="n"/>
      <c r="C3062" s="8" t="n"/>
    </row>
    <row r="3063">
      <c r="A3063" s="7" t="n"/>
      <c r="B3063" s="8" t="n"/>
      <c r="C3063" s="8" t="n"/>
    </row>
    <row r="3064">
      <c r="A3064" s="7" t="n"/>
      <c r="B3064" s="8" t="n"/>
      <c r="C3064" s="8" t="n"/>
    </row>
    <row r="3065">
      <c r="A3065" s="7" t="n"/>
      <c r="B3065" s="8" t="n"/>
      <c r="C3065" s="8" t="n"/>
    </row>
    <row r="3066">
      <c r="A3066" s="7" t="n"/>
      <c r="B3066" s="8" t="n"/>
      <c r="C3066" s="8" t="n"/>
    </row>
    <row r="3067">
      <c r="A3067" s="7" t="n"/>
      <c r="B3067" s="8" t="n"/>
      <c r="C3067" s="8" t="n"/>
    </row>
    <row r="3068">
      <c r="A3068" s="7" t="n"/>
      <c r="B3068" s="8" t="n"/>
      <c r="C3068" s="8" t="n"/>
    </row>
    <row r="3069">
      <c r="A3069" s="7" t="n"/>
      <c r="B3069" s="8" t="n"/>
      <c r="C3069" s="8" t="n"/>
    </row>
    <row r="3070">
      <c r="A3070" s="7" t="n"/>
      <c r="B3070" s="8" t="n"/>
      <c r="C3070" s="8" t="n"/>
    </row>
    <row r="3071">
      <c r="A3071" s="7" t="n"/>
      <c r="B3071" s="8" t="n"/>
      <c r="C3071" s="8" t="n"/>
    </row>
    <row r="3072">
      <c r="A3072" s="7" t="n"/>
      <c r="B3072" s="8" t="n"/>
      <c r="C3072" s="8" t="n"/>
    </row>
    <row r="3073">
      <c r="A3073" s="7" t="n"/>
      <c r="B3073" s="8" t="n"/>
      <c r="C3073" s="8" t="n"/>
    </row>
    <row r="3074">
      <c r="A3074" s="7" t="n"/>
      <c r="B3074" s="8" t="n"/>
      <c r="C3074" s="8" t="n"/>
    </row>
    <row r="3075">
      <c r="A3075" s="7" t="n"/>
      <c r="B3075" s="8" t="n"/>
      <c r="C3075" s="8" t="n"/>
    </row>
    <row r="3076">
      <c r="A3076" s="7" t="n"/>
      <c r="B3076" s="8" t="n"/>
      <c r="C3076" s="8" t="n"/>
    </row>
    <row r="3077">
      <c r="A3077" s="7" t="n"/>
      <c r="B3077" s="8" t="n"/>
      <c r="C3077" s="8" t="n"/>
    </row>
    <row r="3078">
      <c r="A3078" s="7" t="n"/>
      <c r="B3078" s="8" t="n"/>
      <c r="C3078" s="8" t="n"/>
    </row>
    <row r="3079">
      <c r="A3079" s="7" t="n"/>
      <c r="B3079" s="8" t="n"/>
      <c r="C3079" s="8" t="n"/>
    </row>
    <row r="3080">
      <c r="A3080" s="7" t="n"/>
      <c r="B3080" s="8" t="n"/>
      <c r="C3080" s="8" t="n"/>
    </row>
    <row r="3081">
      <c r="A3081" s="7" t="n"/>
      <c r="B3081" s="8" t="n"/>
      <c r="C3081" s="8" t="n"/>
    </row>
    <row r="3082">
      <c r="A3082" s="7" t="n"/>
      <c r="B3082" s="8" t="n"/>
      <c r="C3082" s="8" t="n"/>
    </row>
    <row r="3083">
      <c r="A3083" s="7" t="n"/>
      <c r="B3083" s="8" t="n"/>
      <c r="C3083" s="8" t="n"/>
    </row>
    <row r="3084">
      <c r="A3084" s="7" t="n"/>
      <c r="B3084" s="8" t="n"/>
      <c r="C3084" s="8" t="n"/>
    </row>
    <row r="3085">
      <c r="A3085" s="7" t="n"/>
      <c r="B3085" s="8" t="n"/>
      <c r="C3085" s="8" t="n"/>
    </row>
    <row r="3086">
      <c r="A3086" s="7" t="n"/>
      <c r="B3086" s="8" t="n"/>
      <c r="C3086" s="8" t="n"/>
    </row>
    <row r="3087">
      <c r="A3087" s="7" t="n"/>
      <c r="B3087" s="8" t="n"/>
      <c r="C3087" s="8" t="n"/>
    </row>
    <row r="3088">
      <c r="A3088" s="7" t="n"/>
      <c r="B3088" s="8" t="n"/>
      <c r="C3088" s="8" t="n"/>
    </row>
    <row r="3089">
      <c r="A3089" s="7" t="n"/>
      <c r="B3089" s="8" t="n"/>
      <c r="C3089" s="8" t="n"/>
    </row>
    <row r="3090">
      <c r="A3090" s="7" t="n"/>
      <c r="B3090" s="8" t="n"/>
      <c r="C3090" s="8" t="n"/>
    </row>
    <row r="3091">
      <c r="A3091" s="7" t="n"/>
      <c r="B3091" s="8" t="n"/>
      <c r="C3091" s="8" t="n"/>
    </row>
    <row r="3092">
      <c r="A3092" s="7" t="n"/>
      <c r="B3092" s="8" t="n"/>
      <c r="C3092" s="8" t="n"/>
    </row>
    <row r="3093">
      <c r="A3093" s="7" t="n"/>
      <c r="B3093" s="8" t="n"/>
      <c r="C3093" s="8" t="n"/>
    </row>
    <row r="3094">
      <c r="A3094" s="7" t="n"/>
      <c r="B3094" s="8" t="n"/>
      <c r="C3094" s="8" t="n"/>
    </row>
    <row r="3095">
      <c r="A3095" s="7" t="n"/>
      <c r="B3095" s="8" t="n"/>
      <c r="C3095" s="8" t="n"/>
    </row>
    <row r="3096">
      <c r="A3096" s="7" t="n"/>
      <c r="B3096" s="8" t="n"/>
      <c r="C3096" s="8" t="n"/>
    </row>
    <row r="3097">
      <c r="A3097" s="7" t="n"/>
      <c r="B3097" s="8" t="n"/>
      <c r="C3097" s="8" t="n"/>
    </row>
    <row r="3098">
      <c r="A3098" s="7" t="n"/>
      <c r="B3098" s="8" t="n"/>
      <c r="C3098" s="8" t="n"/>
    </row>
    <row r="3099">
      <c r="A3099" s="7" t="n"/>
      <c r="B3099" s="8" t="n"/>
      <c r="C3099" s="8" t="n"/>
    </row>
    <row r="3100">
      <c r="A3100" s="7" t="n"/>
      <c r="B3100" s="8" t="n"/>
      <c r="C3100" s="8" t="n"/>
    </row>
    <row r="3101">
      <c r="A3101" s="7" t="n"/>
      <c r="B3101" s="8" t="n"/>
      <c r="C3101" s="8" t="n"/>
    </row>
    <row r="3102">
      <c r="A3102" s="7" t="n"/>
      <c r="B3102" s="8" t="n"/>
      <c r="C3102" s="8" t="n"/>
    </row>
    <row r="3103">
      <c r="A3103" s="7" t="n"/>
      <c r="B3103" s="8" t="n"/>
      <c r="C3103" s="8" t="n"/>
    </row>
    <row r="3104">
      <c r="A3104" s="7" t="n"/>
      <c r="B3104" s="8" t="n"/>
      <c r="C3104" s="8" t="n"/>
    </row>
    <row r="3105">
      <c r="A3105" s="7" t="n"/>
      <c r="B3105" s="8" t="n"/>
      <c r="C3105" s="8" t="n"/>
    </row>
    <row r="3106">
      <c r="A3106" s="7" t="n"/>
      <c r="B3106" s="8" t="n"/>
      <c r="C3106" s="8" t="n"/>
    </row>
    <row r="3107">
      <c r="A3107" s="7" t="n"/>
      <c r="B3107" s="8" t="n"/>
      <c r="C3107" s="8" t="n"/>
    </row>
    <row r="3108">
      <c r="A3108" s="7" t="n"/>
      <c r="B3108" s="8" t="n"/>
      <c r="C3108" s="8" t="n"/>
    </row>
    <row r="3109">
      <c r="A3109" s="7" t="n"/>
      <c r="B3109" s="8" t="n"/>
      <c r="C3109" s="8" t="n"/>
    </row>
    <row r="3110">
      <c r="A3110" s="7" t="n"/>
      <c r="B3110" s="8" t="n"/>
      <c r="C3110" s="8" t="n"/>
    </row>
    <row r="3111">
      <c r="A3111" s="7" t="n"/>
      <c r="B3111" s="8" t="n"/>
      <c r="C3111" s="8" t="n"/>
    </row>
    <row r="3112">
      <c r="A3112" s="7" t="n"/>
      <c r="B3112" s="8" t="n"/>
      <c r="C3112" s="8" t="n"/>
    </row>
    <row r="3113">
      <c r="A3113" s="7" t="n"/>
      <c r="B3113" s="8" t="n"/>
      <c r="C3113" s="8" t="n"/>
    </row>
    <row r="3114">
      <c r="A3114" s="7" t="n"/>
      <c r="B3114" s="8" t="n"/>
      <c r="C3114" s="8" t="n"/>
    </row>
    <row r="3115">
      <c r="A3115" s="7" t="n"/>
      <c r="B3115" s="8" t="n"/>
      <c r="C3115" s="8" t="n"/>
    </row>
    <row r="3116">
      <c r="A3116" s="7" t="n"/>
      <c r="B3116" s="8" t="n"/>
      <c r="C3116" s="8" t="n"/>
    </row>
    <row r="3117">
      <c r="A3117" s="7" t="n"/>
      <c r="B3117" s="8" t="n"/>
      <c r="C3117" s="8" t="n"/>
    </row>
    <row r="3118">
      <c r="A3118" s="7" t="n"/>
      <c r="B3118" s="8" t="n"/>
      <c r="C3118" s="8" t="n"/>
    </row>
    <row r="3119">
      <c r="A3119" s="7" t="n"/>
      <c r="B3119" s="8" t="n"/>
      <c r="C3119" s="8" t="n"/>
    </row>
    <row r="3120">
      <c r="A3120" s="7" t="n"/>
      <c r="B3120" s="8" t="n"/>
      <c r="C3120" s="8" t="n"/>
    </row>
    <row r="3121">
      <c r="A3121" s="7" t="n"/>
      <c r="B3121" s="8" t="n"/>
      <c r="C3121" s="8" t="n"/>
    </row>
    <row r="3122">
      <c r="A3122" s="7" t="n"/>
      <c r="B3122" s="8" t="n"/>
      <c r="C3122" s="8" t="n"/>
    </row>
    <row r="3123">
      <c r="A3123" s="7" t="n"/>
      <c r="B3123" s="8" t="n"/>
      <c r="C3123" s="8" t="n"/>
    </row>
    <row r="3124">
      <c r="A3124" s="7" t="n"/>
      <c r="B3124" s="8" t="n"/>
      <c r="C3124" s="8" t="n"/>
    </row>
    <row r="3125">
      <c r="A3125" s="7" t="n"/>
      <c r="B3125" s="8" t="n"/>
      <c r="C3125" s="8" t="n"/>
    </row>
    <row r="3126">
      <c r="A3126" s="7" t="n"/>
      <c r="B3126" s="8" t="n"/>
      <c r="C3126" s="8" t="n"/>
    </row>
    <row r="3127">
      <c r="A3127" s="7" t="n"/>
      <c r="B3127" s="8" t="n"/>
      <c r="C3127" s="8" t="n"/>
    </row>
    <row r="3128">
      <c r="A3128" s="7" t="n"/>
      <c r="B3128" s="8" t="n"/>
      <c r="C3128" s="8" t="n"/>
    </row>
    <row r="3129">
      <c r="A3129" s="7" t="n"/>
      <c r="B3129" s="8" t="n"/>
      <c r="C3129" s="8" t="n"/>
    </row>
    <row r="3130">
      <c r="A3130" s="7" t="n"/>
      <c r="B3130" s="8" t="n"/>
      <c r="C3130" s="8" t="n"/>
    </row>
    <row r="3131">
      <c r="A3131" s="7" t="n"/>
      <c r="B3131" s="8" t="n"/>
      <c r="C3131" s="8" t="n"/>
    </row>
    <row r="3132">
      <c r="A3132" s="7" t="n"/>
      <c r="B3132" s="8" t="n"/>
      <c r="C3132" s="8" t="n"/>
    </row>
    <row r="3133">
      <c r="A3133" s="7" t="n"/>
      <c r="B3133" s="8" t="n"/>
      <c r="C3133" s="8" t="n"/>
    </row>
    <row r="3134">
      <c r="A3134" s="7" t="n"/>
      <c r="B3134" s="8" t="n"/>
      <c r="C3134" s="8" t="n"/>
    </row>
    <row r="3135">
      <c r="A3135" s="7" t="n"/>
      <c r="B3135" s="8" t="n"/>
      <c r="C3135" s="8" t="n"/>
    </row>
    <row r="3136">
      <c r="A3136" s="7" t="n"/>
      <c r="B3136" s="8" t="n"/>
      <c r="C3136" s="8" t="n"/>
    </row>
    <row r="3137">
      <c r="A3137" s="7" t="n"/>
      <c r="B3137" s="8" t="n"/>
      <c r="C3137" s="8" t="n"/>
    </row>
    <row r="3138">
      <c r="A3138" s="7" t="n"/>
      <c r="B3138" s="8" t="n"/>
      <c r="C3138" s="8" t="n"/>
    </row>
    <row r="3139">
      <c r="A3139" s="7" t="n"/>
      <c r="B3139" s="8" t="n"/>
      <c r="C3139" s="8" t="n"/>
    </row>
    <row r="3140">
      <c r="A3140" s="7" t="n"/>
      <c r="B3140" s="8" t="n"/>
      <c r="C3140" s="8" t="n"/>
    </row>
    <row r="3141">
      <c r="A3141" s="7" t="n"/>
      <c r="B3141" s="8" t="n"/>
      <c r="C3141" s="8" t="n"/>
    </row>
    <row r="3142">
      <c r="A3142" s="7" t="n"/>
      <c r="B3142" s="8" t="n"/>
      <c r="C3142" s="8" t="n"/>
    </row>
    <row r="3143">
      <c r="A3143" s="7" t="n"/>
      <c r="B3143" s="8" t="n"/>
      <c r="C3143" s="8" t="n"/>
    </row>
    <row r="3144">
      <c r="A3144" s="7" t="n"/>
      <c r="B3144" s="8" t="n"/>
      <c r="C3144" s="8" t="n"/>
    </row>
    <row r="3145">
      <c r="A3145" s="7" t="n"/>
      <c r="B3145" s="8" t="n"/>
      <c r="C3145" s="8" t="n"/>
    </row>
    <row r="3146">
      <c r="A3146" s="7" t="n"/>
      <c r="B3146" s="8" t="n"/>
      <c r="C3146" s="8" t="n"/>
    </row>
    <row r="3147">
      <c r="A3147" s="7" t="n"/>
      <c r="B3147" s="8" t="n"/>
      <c r="C3147" s="8" t="n"/>
    </row>
    <row r="3148">
      <c r="A3148" s="7" t="n"/>
      <c r="B3148" s="8" t="n"/>
      <c r="C3148" s="8" t="n"/>
    </row>
    <row r="3149">
      <c r="A3149" s="7" t="n"/>
      <c r="B3149" s="8" t="n"/>
      <c r="C3149" s="8" t="n"/>
    </row>
    <row r="3150">
      <c r="A3150" s="7" t="n"/>
      <c r="B3150" s="8" t="n"/>
      <c r="C3150" s="8" t="n"/>
    </row>
    <row r="3151">
      <c r="A3151" s="7" t="n"/>
      <c r="B3151" s="8" t="n"/>
      <c r="C3151" s="8" t="n"/>
    </row>
    <row r="3152">
      <c r="A3152" s="7" t="n"/>
      <c r="B3152" s="8" t="n"/>
      <c r="C3152" s="8" t="n"/>
    </row>
    <row r="3153">
      <c r="A3153" s="7" t="n"/>
      <c r="B3153" s="8" t="n"/>
      <c r="C3153" s="8" t="n"/>
    </row>
    <row r="3154">
      <c r="A3154" s="7" t="n"/>
      <c r="B3154" s="8" t="n"/>
      <c r="C3154" s="8" t="n"/>
    </row>
    <row r="3155">
      <c r="A3155" s="7" t="n"/>
      <c r="B3155" s="8" t="n"/>
      <c r="C3155" s="8" t="n"/>
    </row>
    <row r="3156">
      <c r="A3156" s="7" t="n"/>
      <c r="B3156" s="8" t="n"/>
      <c r="C3156" s="8" t="n"/>
    </row>
    <row r="3157">
      <c r="A3157" s="7" t="n"/>
      <c r="B3157" s="8" t="n"/>
      <c r="C3157" s="8" t="n"/>
    </row>
    <row r="3158">
      <c r="A3158" s="7" t="n"/>
      <c r="B3158" s="8" t="n"/>
      <c r="C3158" s="8" t="n"/>
    </row>
    <row r="3159">
      <c r="A3159" s="7" t="n"/>
      <c r="B3159" s="8" t="n"/>
      <c r="C3159" s="8" t="n"/>
    </row>
    <row r="3160">
      <c r="A3160" s="7" t="n"/>
      <c r="B3160" s="8" t="n"/>
      <c r="C3160" s="8" t="n"/>
    </row>
    <row r="3161">
      <c r="A3161" s="7" t="n"/>
      <c r="B3161" s="8" t="n"/>
      <c r="C3161" s="8" t="n"/>
    </row>
    <row r="3162">
      <c r="A3162" s="7" t="n"/>
      <c r="B3162" s="8" t="n"/>
      <c r="C3162" s="8" t="n"/>
    </row>
    <row r="3163">
      <c r="A3163" s="7" t="n"/>
      <c r="B3163" s="8" t="n"/>
      <c r="C3163" s="8" t="n"/>
    </row>
    <row r="3164">
      <c r="A3164" s="7" t="n"/>
      <c r="B3164" s="8" t="n"/>
      <c r="C3164" s="8" t="n"/>
    </row>
    <row r="3165">
      <c r="A3165" s="7" t="n"/>
      <c r="B3165" s="8" t="n"/>
      <c r="C3165" s="8" t="n"/>
    </row>
    <row r="3166">
      <c r="A3166" s="7" t="n"/>
      <c r="B3166" s="8" t="n"/>
      <c r="C3166" s="8" t="n"/>
    </row>
    <row r="3167">
      <c r="A3167" s="7" t="n"/>
      <c r="B3167" s="8" t="n"/>
      <c r="C3167" s="8" t="n"/>
    </row>
    <row r="3168">
      <c r="A3168" s="7" t="n"/>
      <c r="B3168" s="8" t="n"/>
      <c r="C3168" s="8" t="n"/>
    </row>
    <row r="3169">
      <c r="A3169" s="7" t="n"/>
      <c r="B3169" s="8" t="n"/>
      <c r="C3169" s="8" t="n"/>
    </row>
    <row r="3170">
      <c r="A3170" s="7" t="n"/>
      <c r="B3170" s="8" t="n"/>
      <c r="C3170" s="8" t="n"/>
    </row>
    <row r="3171">
      <c r="A3171" s="7" t="n"/>
      <c r="B3171" s="8" t="n"/>
      <c r="C3171" s="8" t="n"/>
    </row>
    <row r="3172">
      <c r="A3172" s="7" t="n"/>
      <c r="B3172" s="8" t="n"/>
      <c r="C3172" s="8" t="n"/>
    </row>
    <row r="3173">
      <c r="A3173" s="7" t="n"/>
      <c r="B3173" s="8" t="n"/>
      <c r="C3173" s="8" t="n"/>
    </row>
    <row r="3174">
      <c r="A3174" s="7" t="n"/>
      <c r="B3174" s="8" t="n"/>
      <c r="C3174" s="8" t="n"/>
    </row>
    <row r="3175">
      <c r="A3175" s="7" t="n"/>
      <c r="B3175" s="8" t="n"/>
      <c r="C3175" s="8" t="n"/>
    </row>
    <row r="3176">
      <c r="A3176" s="7" t="n"/>
      <c r="B3176" s="8" t="n"/>
      <c r="C3176" s="8" t="n"/>
    </row>
    <row r="3177">
      <c r="A3177" s="7" t="n"/>
      <c r="B3177" s="8" t="n"/>
      <c r="C3177" s="8" t="n"/>
    </row>
    <row r="3178">
      <c r="A3178" s="7" t="n"/>
      <c r="B3178" s="8" t="n"/>
      <c r="C3178" s="8" t="n"/>
    </row>
    <row r="3179">
      <c r="A3179" s="7" t="n"/>
      <c r="B3179" s="8" t="n"/>
      <c r="C3179" s="8" t="n"/>
    </row>
    <row r="3180">
      <c r="A3180" s="7" t="n"/>
      <c r="B3180" s="8" t="n"/>
      <c r="C3180" s="8" t="n"/>
    </row>
    <row r="3181">
      <c r="A3181" s="7" t="n"/>
      <c r="B3181" s="8" t="n"/>
      <c r="C3181" s="8" t="n"/>
    </row>
    <row r="3182">
      <c r="A3182" s="7" t="n"/>
      <c r="B3182" s="8" t="n"/>
      <c r="C3182" s="8" t="n"/>
    </row>
    <row r="3183">
      <c r="A3183" s="7" t="n"/>
      <c r="B3183" s="8" t="n"/>
      <c r="C3183" s="8" t="n"/>
    </row>
    <row r="3184">
      <c r="A3184" s="7" t="n"/>
      <c r="B3184" s="8" t="n"/>
      <c r="C3184" s="8" t="n"/>
    </row>
    <row r="3185">
      <c r="A3185" s="7" t="n"/>
      <c r="B3185" s="8" t="n"/>
      <c r="C3185" s="8" t="n"/>
    </row>
    <row r="3186">
      <c r="A3186" s="7" t="n"/>
      <c r="B3186" s="8" t="n"/>
      <c r="C3186" s="8" t="n"/>
    </row>
    <row r="3187">
      <c r="A3187" s="7" t="n"/>
      <c r="B3187" s="8" t="n"/>
      <c r="C3187" s="8" t="n"/>
    </row>
    <row r="3188">
      <c r="A3188" s="7" t="n"/>
      <c r="B3188" s="8" t="n"/>
      <c r="C3188" s="8" t="n"/>
    </row>
    <row r="3189">
      <c r="A3189" s="7" t="n"/>
      <c r="B3189" s="8" t="n"/>
      <c r="C3189" s="8" t="n"/>
    </row>
    <row r="3190">
      <c r="A3190" s="7" t="n"/>
      <c r="B3190" s="8" t="n"/>
      <c r="C3190" s="8" t="n"/>
    </row>
    <row r="3191">
      <c r="A3191" s="7" t="n"/>
      <c r="B3191" s="8" t="n"/>
      <c r="C3191" s="8" t="n"/>
    </row>
    <row r="3192">
      <c r="A3192" s="7" t="n"/>
      <c r="B3192" s="8" t="n"/>
      <c r="C3192" s="8" t="n"/>
    </row>
    <row r="3193">
      <c r="A3193" s="7" t="n"/>
      <c r="B3193" s="8" t="n"/>
      <c r="C3193" s="8" t="n"/>
    </row>
    <row r="3194">
      <c r="A3194" s="7" t="n"/>
      <c r="B3194" s="8" t="n"/>
      <c r="C3194" s="8" t="n"/>
    </row>
    <row r="3195">
      <c r="A3195" s="7" t="n"/>
      <c r="B3195" s="8" t="n"/>
      <c r="C3195" s="8" t="n"/>
    </row>
    <row r="3196">
      <c r="A3196" s="7" t="n"/>
      <c r="B3196" s="8" t="n"/>
      <c r="C3196" s="8" t="n"/>
    </row>
    <row r="3197">
      <c r="A3197" s="7" t="n"/>
      <c r="B3197" s="8" t="n"/>
      <c r="C3197" s="8" t="n"/>
    </row>
    <row r="3198">
      <c r="A3198" s="7" t="n"/>
      <c r="B3198" s="8" t="n"/>
      <c r="C3198" s="8" t="n"/>
    </row>
    <row r="3199">
      <c r="A3199" s="7" t="n"/>
      <c r="B3199" s="8" t="n"/>
      <c r="C3199" s="8" t="n"/>
    </row>
    <row r="3200">
      <c r="A3200" s="7" t="n"/>
      <c r="B3200" s="8" t="n"/>
      <c r="C3200" s="8" t="n"/>
    </row>
    <row r="3201">
      <c r="A3201" s="7" t="n"/>
      <c r="B3201" s="8" t="n"/>
      <c r="C3201" s="8" t="n"/>
    </row>
    <row r="3202">
      <c r="A3202" s="7" t="n"/>
      <c r="B3202" s="8" t="n"/>
      <c r="C3202" s="8" t="n"/>
    </row>
    <row r="3203">
      <c r="A3203" s="7" t="n"/>
      <c r="B3203" s="8" t="n"/>
      <c r="C3203" s="8" t="n"/>
    </row>
    <row r="3204">
      <c r="A3204" s="7" t="n"/>
      <c r="B3204" s="8" t="n"/>
      <c r="C3204" s="8" t="n"/>
    </row>
    <row r="3205">
      <c r="A3205" s="7" t="n"/>
      <c r="B3205" s="8" t="n"/>
      <c r="C3205" s="8" t="n"/>
    </row>
    <row r="3206">
      <c r="A3206" s="7" t="n"/>
      <c r="B3206" s="8" t="n"/>
      <c r="C3206" s="8" t="n"/>
    </row>
    <row r="3207">
      <c r="A3207" s="7" t="n"/>
      <c r="B3207" s="8" t="n"/>
      <c r="C3207" s="8" t="n"/>
    </row>
    <row r="3208">
      <c r="A3208" s="7" t="n"/>
      <c r="B3208" s="8" t="n"/>
      <c r="C3208" s="8" t="n"/>
    </row>
    <row r="3209">
      <c r="A3209" s="7" t="n"/>
      <c r="B3209" s="8" t="n"/>
      <c r="C3209" s="8" t="n"/>
    </row>
    <row r="3210">
      <c r="A3210" s="7" t="n"/>
      <c r="B3210" s="8" t="n"/>
      <c r="C3210" s="8" t="n"/>
    </row>
    <row r="3211">
      <c r="A3211" s="7" t="n"/>
      <c r="B3211" s="8" t="n"/>
      <c r="C3211" s="8" t="n"/>
    </row>
    <row r="3212">
      <c r="A3212" s="7" t="n"/>
      <c r="B3212" s="8" t="n"/>
      <c r="C3212" s="8" t="n"/>
    </row>
    <row r="3213">
      <c r="A3213" s="7" t="n"/>
      <c r="B3213" s="8" t="n"/>
      <c r="C3213" s="8" t="n"/>
    </row>
    <row r="3214">
      <c r="A3214" s="7" t="n"/>
      <c r="B3214" s="8" t="n"/>
      <c r="C3214" s="8" t="n"/>
    </row>
    <row r="3215">
      <c r="A3215" s="7" t="n"/>
      <c r="B3215" s="8" t="n"/>
      <c r="C3215" s="8" t="n"/>
    </row>
    <row r="3216">
      <c r="A3216" s="7" t="n"/>
      <c r="B3216" s="8" t="n"/>
      <c r="C3216" s="8" t="n"/>
    </row>
    <row r="3217">
      <c r="A3217" s="7" t="n"/>
      <c r="B3217" s="8" t="n"/>
      <c r="C3217" s="8" t="n"/>
    </row>
    <row r="3218">
      <c r="A3218" s="7" t="n"/>
      <c r="B3218" s="8" t="n"/>
      <c r="C3218" s="8" t="n"/>
    </row>
    <row r="3219">
      <c r="A3219" s="7" t="n"/>
      <c r="B3219" s="8" t="n"/>
      <c r="C3219" s="8" t="n"/>
    </row>
    <row r="3220">
      <c r="A3220" s="7" t="n"/>
      <c r="B3220" s="8" t="n"/>
      <c r="C3220" s="8" t="n"/>
    </row>
    <row r="3221">
      <c r="A3221" s="7" t="n"/>
      <c r="B3221" s="8" t="n"/>
      <c r="C3221" s="8" t="n"/>
    </row>
    <row r="3222">
      <c r="A3222" s="7" t="n"/>
      <c r="B3222" s="8" t="n"/>
      <c r="C3222" s="8" t="n"/>
    </row>
    <row r="3223">
      <c r="A3223" s="7" t="n"/>
      <c r="B3223" s="8" t="n"/>
      <c r="C3223" s="8" t="n"/>
    </row>
    <row r="3224">
      <c r="A3224" s="7" t="n"/>
      <c r="B3224" s="8" t="n"/>
      <c r="C3224" s="8" t="n"/>
    </row>
    <row r="3225">
      <c r="A3225" s="7" t="n"/>
      <c r="B3225" s="8" t="n"/>
      <c r="C3225" s="8" t="n"/>
    </row>
    <row r="3226">
      <c r="A3226" s="7" t="n"/>
      <c r="B3226" s="8" t="n"/>
      <c r="C3226" s="8" t="n"/>
    </row>
    <row r="3227">
      <c r="A3227" s="7" t="n"/>
      <c r="B3227" s="8" t="n"/>
      <c r="C3227" s="8" t="n"/>
    </row>
    <row r="3228">
      <c r="A3228" s="7" t="n"/>
      <c r="B3228" s="8" t="n"/>
      <c r="C3228" s="8" t="n"/>
    </row>
    <row r="3229">
      <c r="A3229" s="7" t="n"/>
      <c r="B3229" s="8" t="n"/>
      <c r="C3229" s="8" t="n"/>
    </row>
    <row r="3230">
      <c r="A3230" s="7" t="n"/>
      <c r="B3230" s="8" t="n"/>
      <c r="C3230" s="8" t="n"/>
    </row>
    <row r="3231">
      <c r="A3231" s="7" t="n"/>
      <c r="B3231" s="8" t="n"/>
      <c r="C3231" s="8" t="n"/>
    </row>
    <row r="3232">
      <c r="A3232" s="7" t="n"/>
      <c r="B3232" s="8" t="n"/>
      <c r="C3232" s="8" t="n"/>
    </row>
    <row r="3233">
      <c r="A3233" s="7" t="n"/>
      <c r="B3233" s="8" t="n"/>
      <c r="C3233" s="8" t="n"/>
    </row>
    <row r="3234">
      <c r="A3234" s="7" t="n"/>
      <c r="B3234" s="8" t="n"/>
      <c r="C3234" s="8" t="n"/>
    </row>
    <row r="3235">
      <c r="A3235" s="7" t="n"/>
      <c r="B3235" s="8" t="n"/>
      <c r="C3235" s="8" t="n"/>
    </row>
    <row r="3236">
      <c r="A3236" s="7" t="n"/>
      <c r="B3236" s="8" t="n"/>
      <c r="C3236" s="8" t="n"/>
    </row>
    <row r="3237">
      <c r="A3237" s="7" t="n"/>
      <c r="B3237" s="8" t="n"/>
      <c r="C3237" s="8" t="n"/>
    </row>
    <row r="3238">
      <c r="A3238" s="7" t="n"/>
      <c r="B3238" s="8" t="n"/>
      <c r="C3238" s="8" t="n"/>
    </row>
    <row r="3239">
      <c r="A3239" s="7" t="n"/>
      <c r="B3239" s="8" t="n"/>
      <c r="C3239" s="8" t="n"/>
    </row>
    <row r="3240">
      <c r="A3240" s="7" t="n"/>
      <c r="B3240" s="8" t="n"/>
      <c r="C3240" s="8" t="n"/>
    </row>
    <row r="3241">
      <c r="A3241" s="7" t="n"/>
      <c r="B3241" s="8" t="n"/>
      <c r="C3241" s="8" t="n"/>
    </row>
    <row r="3242">
      <c r="A3242" s="7" t="n"/>
      <c r="B3242" s="8" t="n"/>
      <c r="C3242" s="8" t="n"/>
    </row>
    <row r="3243">
      <c r="A3243" s="7" t="n"/>
      <c r="B3243" s="8" t="n"/>
      <c r="C3243" s="8" t="n"/>
    </row>
    <row r="3244">
      <c r="A3244" s="7" t="n"/>
      <c r="B3244" s="8" t="n"/>
      <c r="C3244" s="8" t="n"/>
    </row>
    <row r="3245">
      <c r="A3245" s="7" t="n"/>
      <c r="B3245" s="8" t="n"/>
      <c r="C3245" s="8" t="n"/>
    </row>
    <row r="3246">
      <c r="A3246" s="7" t="n"/>
      <c r="B3246" s="8" t="n"/>
      <c r="C3246" s="8" t="n"/>
    </row>
    <row r="3247">
      <c r="A3247" s="7" t="n"/>
      <c r="B3247" s="8" t="n"/>
      <c r="C3247" s="8" t="n"/>
    </row>
    <row r="3248">
      <c r="A3248" s="7" t="n"/>
      <c r="B3248" s="8" t="n"/>
      <c r="C3248" s="8" t="n"/>
    </row>
    <row r="3249">
      <c r="A3249" s="7" t="n"/>
      <c r="B3249" s="8" t="n"/>
      <c r="C3249" s="8" t="n"/>
    </row>
    <row r="3250">
      <c r="A3250" s="7" t="n"/>
      <c r="B3250" s="8" t="n"/>
      <c r="C3250" s="8" t="n"/>
    </row>
    <row r="3251">
      <c r="A3251" s="7" t="n"/>
      <c r="B3251" s="8" t="n"/>
      <c r="C3251" s="8" t="n"/>
    </row>
    <row r="3252">
      <c r="A3252" s="7" t="n"/>
      <c r="B3252" s="8" t="n"/>
      <c r="C3252" s="8" t="n"/>
    </row>
    <row r="3253">
      <c r="A3253" s="7" t="n"/>
      <c r="B3253" s="8" t="n"/>
      <c r="C3253" s="8" t="n"/>
    </row>
    <row r="3254">
      <c r="A3254" s="7" t="n"/>
      <c r="B3254" s="8" t="n"/>
      <c r="C3254" s="8" t="n"/>
    </row>
    <row r="3255">
      <c r="A3255" s="7" t="n"/>
      <c r="B3255" s="8" t="n"/>
      <c r="C3255" s="8" t="n"/>
    </row>
    <row r="3256">
      <c r="A3256" s="7" t="n"/>
      <c r="B3256" s="8" t="n"/>
      <c r="C3256" s="8" t="n"/>
    </row>
    <row r="3257">
      <c r="A3257" s="7" t="n"/>
      <c r="B3257" s="8" t="n"/>
      <c r="C3257" s="8" t="n"/>
    </row>
    <row r="3258">
      <c r="A3258" s="7" t="n"/>
      <c r="B3258" s="8" t="n"/>
      <c r="C3258" s="8" t="n"/>
    </row>
    <row r="3259">
      <c r="A3259" s="7" t="n"/>
      <c r="B3259" s="8" t="n"/>
      <c r="C3259" s="8" t="n"/>
    </row>
    <row r="3260">
      <c r="A3260" s="7" t="n"/>
      <c r="B3260" s="8" t="n"/>
      <c r="C3260" s="8" t="n"/>
    </row>
    <row r="3261">
      <c r="A3261" s="7" t="n"/>
      <c r="B3261" s="8" t="n"/>
      <c r="C3261" s="8" t="n"/>
    </row>
    <row r="3262">
      <c r="A3262" s="7" t="n"/>
      <c r="B3262" s="8" t="n"/>
      <c r="C3262" s="8" t="n"/>
    </row>
    <row r="3263">
      <c r="A3263" s="7" t="n"/>
      <c r="B3263" s="8" t="n"/>
      <c r="C3263" s="8" t="n"/>
    </row>
    <row r="3264">
      <c r="A3264" s="7" t="n"/>
      <c r="B3264" s="8" t="n"/>
      <c r="C3264" s="8" t="n"/>
    </row>
    <row r="3265">
      <c r="A3265" s="7" t="n"/>
      <c r="B3265" s="8" t="n"/>
      <c r="C3265" s="8" t="n"/>
    </row>
    <row r="3266">
      <c r="A3266" s="7" t="n"/>
      <c r="B3266" s="8" t="n"/>
      <c r="C3266" s="8" t="n"/>
    </row>
    <row r="3267">
      <c r="A3267" s="7" t="n"/>
      <c r="B3267" s="8" t="n"/>
      <c r="C3267" s="8" t="n"/>
    </row>
    <row r="3268">
      <c r="A3268" s="7" t="n"/>
      <c r="B3268" s="8" t="n"/>
      <c r="C3268" s="8" t="n"/>
    </row>
    <row r="3269">
      <c r="A3269" s="7" t="n"/>
      <c r="B3269" s="8" t="n"/>
      <c r="C3269" s="8" t="n"/>
    </row>
    <row r="3270">
      <c r="A3270" s="7" t="n"/>
      <c r="B3270" s="8" t="n"/>
      <c r="C3270" s="8" t="n"/>
    </row>
    <row r="3271">
      <c r="A3271" s="7" t="n"/>
      <c r="B3271" s="8" t="n"/>
      <c r="C3271" s="8" t="n"/>
    </row>
    <row r="3272">
      <c r="A3272" s="7" t="n"/>
      <c r="B3272" s="8" t="n"/>
      <c r="C3272" s="8" t="n"/>
    </row>
    <row r="3273">
      <c r="A3273" s="7" t="n"/>
      <c r="B3273" s="8" t="n"/>
      <c r="C3273" s="8" t="n"/>
    </row>
    <row r="3274">
      <c r="A3274" s="7" t="n"/>
      <c r="B3274" s="8" t="n"/>
      <c r="C3274" s="8" t="n"/>
    </row>
    <row r="3275">
      <c r="A3275" s="7" t="n"/>
      <c r="B3275" s="8" t="n"/>
      <c r="C3275" s="8" t="n"/>
    </row>
    <row r="3276">
      <c r="A3276" s="7" t="n"/>
      <c r="B3276" s="8" t="n"/>
      <c r="C3276" s="8" t="n"/>
    </row>
    <row r="3277">
      <c r="A3277" s="7" t="n"/>
      <c r="B3277" s="8" t="n"/>
      <c r="C3277" s="8" t="n"/>
    </row>
    <row r="3278">
      <c r="A3278" s="7" t="n"/>
      <c r="B3278" s="8" t="n"/>
      <c r="C3278" s="8" t="n"/>
    </row>
    <row r="3279">
      <c r="A3279" s="7" t="n"/>
      <c r="B3279" s="8" t="n"/>
      <c r="C3279" s="8" t="n"/>
    </row>
    <row r="3280">
      <c r="A3280" s="7" t="n"/>
      <c r="B3280" s="8" t="n"/>
      <c r="C3280" s="8" t="n"/>
    </row>
    <row r="3281">
      <c r="A3281" s="7" t="n"/>
      <c r="B3281" s="8" t="n"/>
      <c r="C3281" s="8" t="n"/>
    </row>
    <row r="3282">
      <c r="A3282" s="7" t="n"/>
      <c r="B3282" s="8" t="n"/>
      <c r="C3282" s="8" t="n"/>
    </row>
    <row r="3283">
      <c r="A3283" s="7" t="n"/>
      <c r="B3283" s="8" t="n"/>
      <c r="C3283" s="8" t="n"/>
    </row>
    <row r="3284">
      <c r="A3284" s="7" t="n"/>
      <c r="B3284" s="8" t="n"/>
      <c r="C3284" s="8" t="n"/>
    </row>
    <row r="3285">
      <c r="A3285" s="7" t="n"/>
      <c r="B3285" s="8" t="n"/>
      <c r="C3285" s="8" t="n"/>
    </row>
    <row r="3286">
      <c r="A3286" s="7" t="n"/>
      <c r="B3286" s="8" t="n"/>
      <c r="C3286" s="8" t="n"/>
    </row>
    <row r="3287">
      <c r="A3287" s="7" t="n"/>
      <c r="B3287" s="8" t="n"/>
      <c r="C3287" s="8" t="n"/>
    </row>
    <row r="3288">
      <c r="A3288" s="7" t="n"/>
      <c r="B3288" s="8" t="n"/>
      <c r="C3288" s="8" t="n"/>
    </row>
    <row r="3289">
      <c r="A3289" s="7" t="n"/>
      <c r="B3289" s="8" t="n"/>
      <c r="C3289" s="8" t="n"/>
    </row>
    <row r="3290">
      <c r="A3290" s="7" t="n"/>
      <c r="B3290" s="8" t="n"/>
      <c r="C3290" s="8" t="n"/>
    </row>
    <row r="3291">
      <c r="A3291" s="7" t="n"/>
      <c r="B3291" s="8" t="n"/>
      <c r="C3291" s="8" t="n"/>
    </row>
    <row r="3292">
      <c r="A3292" s="7" t="n"/>
      <c r="B3292" s="8" t="n"/>
      <c r="C3292" s="8" t="n"/>
    </row>
    <row r="3293">
      <c r="A3293" s="7" t="n"/>
      <c r="B3293" s="8" t="n"/>
      <c r="C3293" s="8" t="n"/>
    </row>
    <row r="3294">
      <c r="A3294" s="7" t="n"/>
      <c r="B3294" s="8" t="n"/>
      <c r="C3294" s="8" t="n"/>
    </row>
    <row r="3295">
      <c r="A3295" s="7" t="n"/>
      <c r="B3295" s="8" t="n"/>
      <c r="C3295" s="8" t="n"/>
    </row>
    <row r="3296">
      <c r="A3296" s="7" t="n"/>
      <c r="B3296" s="8" t="n"/>
      <c r="C3296" s="8" t="n"/>
    </row>
    <row r="3297">
      <c r="A3297" s="7" t="n"/>
      <c r="B3297" s="8" t="n"/>
      <c r="C3297" s="8" t="n"/>
    </row>
    <row r="3298">
      <c r="A3298" s="7" t="n"/>
      <c r="B3298" s="8" t="n"/>
      <c r="C3298" s="8" t="n"/>
    </row>
    <row r="3299">
      <c r="A3299" s="7" t="n"/>
      <c r="B3299" s="8" t="n"/>
      <c r="C3299" s="8" t="n"/>
    </row>
    <row r="3300">
      <c r="A3300" s="7" t="n"/>
      <c r="B3300" s="8" t="n"/>
      <c r="C3300" s="8" t="n"/>
    </row>
    <row r="3301">
      <c r="A3301" s="7" t="n"/>
      <c r="B3301" s="8" t="n"/>
      <c r="C3301" s="8" t="n"/>
    </row>
    <row r="3302">
      <c r="A3302" s="7" t="n"/>
      <c r="B3302" s="8" t="n"/>
      <c r="C3302" s="8" t="n"/>
    </row>
    <row r="3303">
      <c r="A3303" s="7" t="n"/>
      <c r="B3303" s="8" t="n"/>
      <c r="C3303" s="8" t="n"/>
    </row>
    <row r="3304">
      <c r="A3304" s="7" t="n"/>
      <c r="B3304" s="8" t="n"/>
      <c r="C3304" s="8" t="n"/>
    </row>
    <row r="3305">
      <c r="A3305" s="7" t="n"/>
      <c r="B3305" s="8" t="n"/>
      <c r="C3305" s="8" t="n"/>
    </row>
    <row r="3306">
      <c r="A3306" s="7" t="n"/>
      <c r="B3306" s="8" t="n"/>
      <c r="C3306" s="8" t="n"/>
    </row>
    <row r="3307">
      <c r="A3307" s="7" t="n"/>
      <c r="B3307" s="8" t="n"/>
      <c r="C3307" s="8" t="n"/>
    </row>
    <row r="3308">
      <c r="A3308" s="7" t="n"/>
      <c r="B3308" s="8" t="n"/>
      <c r="C3308" s="8" t="n"/>
    </row>
    <row r="3309">
      <c r="A3309" s="7" t="n"/>
      <c r="B3309" s="8" t="n"/>
      <c r="C3309" s="8" t="n"/>
    </row>
    <row r="3310">
      <c r="A3310" s="7" t="n"/>
      <c r="B3310" s="8" t="n"/>
      <c r="C3310" s="8" t="n"/>
    </row>
    <row r="3311">
      <c r="A3311" s="7" t="n"/>
      <c r="B3311" s="8" t="n"/>
      <c r="C3311" s="8" t="n"/>
    </row>
    <row r="3312">
      <c r="A3312" s="7" t="n"/>
      <c r="B3312" s="8" t="n"/>
      <c r="C3312" s="8" t="n"/>
    </row>
    <row r="3313">
      <c r="A3313" s="7" t="n"/>
      <c r="B3313" s="8" t="n"/>
      <c r="C3313" s="8" t="n"/>
    </row>
    <row r="3314">
      <c r="A3314" s="7" t="n"/>
      <c r="B3314" s="8" t="n"/>
      <c r="C3314" s="8" t="n"/>
    </row>
    <row r="3315">
      <c r="A3315" s="7" t="n"/>
      <c r="B3315" s="8" t="n"/>
      <c r="C3315" s="8" t="n"/>
    </row>
    <row r="3316">
      <c r="A3316" s="7" t="n"/>
      <c r="B3316" s="8" t="n"/>
      <c r="C3316" s="8" t="n"/>
    </row>
    <row r="3317">
      <c r="A3317" s="7" t="n"/>
      <c r="B3317" s="8" t="n"/>
      <c r="C3317" s="8" t="n"/>
    </row>
    <row r="3318">
      <c r="A3318" s="7" t="n"/>
      <c r="B3318" s="8" t="n"/>
      <c r="C3318" s="8" t="n"/>
    </row>
    <row r="3319">
      <c r="A3319" s="7" t="n"/>
      <c r="B3319" s="8" t="n"/>
      <c r="C3319" s="8" t="n"/>
    </row>
    <row r="3320">
      <c r="A3320" s="7" t="n"/>
      <c r="B3320" s="8" t="n"/>
      <c r="C3320" s="8" t="n"/>
    </row>
    <row r="3321">
      <c r="A3321" s="7" t="n"/>
      <c r="B3321" s="8" t="n"/>
      <c r="C3321" s="8" t="n"/>
    </row>
    <row r="3322">
      <c r="A3322" s="7" t="n"/>
      <c r="B3322" s="8" t="n"/>
      <c r="C3322" s="8" t="n"/>
    </row>
    <row r="3323">
      <c r="A3323" s="7" t="n"/>
      <c r="B3323" s="8" t="n"/>
      <c r="C3323" s="8" t="n"/>
    </row>
    <row r="3324">
      <c r="A3324" s="7" t="n"/>
      <c r="B3324" s="8" t="n"/>
      <c r="C3324" s="8" t="n"/>
    </row>
    <row r="3325">
      <c r="A3325" s="7" t="n"/>
      <c r="B3325" s="8" t="n"/>
      <c r="C3325" s="8" t="n"/>
    </row>
    <row r="3326">
      <c r="A3326" s="7" t="n"/>
      <c r="B3326" s="8" t="n"/>
      <c r="C3326" s="8" t="n"/>
    </row>
    <row r="3327">
      <c r="A3327" s="7" t="n"/>
      <c r="B3327" s="8" t="n"/>
      <c r="C3327" s="8" t="n"/>
    </row>
    <row r="3328">
      <c r="A3328" s="7" t="n"/>
      <c r="B3328" s="8" t="n"/>
      <c r="C3328" s="8" t="n"/>
    </row>
    <row r="3329">
      <c r="A3329" s="7" t="n"/>
      <c r="B3329" s="8" t="n"/>
      <c r="C3329" s="8" t="n"/>
    </row>
    <row r="3330">
      <c r="A3330" s="7" t="n"/>
      <c r="B3330" s="8" t="n"/>
      <c r="C3330" s="8" t="n"/>
    </row>
    <row r="3331">
      <c r="A3331" s="7" t="n"/>
      <c r="B3331" s="8" t="n"/>
      <c r="C3331" s="8" t="n"/>
    </row>
    <row r="3332">
      <c r="A3332" s="7" t="n"/>
      <c r="B3332" s="8" t="n"/>
      <c r="C3332" s="8" t="n"/>
    </row>
    <row r="3333">
      <c r="A3333" s="7" t="n"/>
      <c r="B3333" s="8" t="n"/>
      <c r="C3333" s="8" t="n"/>
    </row>
    <row r="3334">
      <c r="A3334" s="7" t="n"/>
      <c r="B3334" s="8" t="n"/>
      <c r="C3334" s="8" t="n"/>
    </row>
    <row r="3335">
      <c r="A3335" s="7" t="n"/>
      <c r="B3335" s="8" t="n"/>
      <c r="C3335" s="8" t="n"/>
    </row>
    <row r="3336">
      <c r="A3336" s="7" t="n"/>
      <c r="B3336" s="8" t="n"/>
      <c r="C3336" s="8" t="n"/>
    </row>
    <row r="3337">
      <c r="A3337" s="7" t="n"/>
      <c r="B3337" s="8" t="n"/>
      <c r="C3337" s="8" t="n"/>
    </row>
    <row r="3338">
      <c r="A3338" s="7" t="n"/>
      <c r="B3338" s="8" t="n"/>
      <c r="C3338" s="8" t="n"/>
    </row>
    <row r="3339">
      <c r="A3339" s="7" t="n"/>
      <c r="B3339" s="8" t="n"/>
      <c r="C3339" s="8" t="n"/>
    </row>
    <row r="3340">
      <c r="A3340" s="7" t="n"/>
      <c r="B3340" s="8" t="n"/>
      <c r="C3340" s="8" t="n"/>
    </row>
    <row r="3341">
      <c r="A3341" s="7" t="n"/>
      <c r="B3341" s="8" t="n"/>
      <c r="C3341" s="8" t="n"/>
    </row>
    <row r="3342">
      <c r="A3342" s="7" t="n"/>
      <c r="B3342" s="8" t="n"/>
      <c r="C3342" s="8" t="n"/>
    </row>
    <row r="3343">
      <c r="A3343" s="7" t="n"/>
      <c r="B3343" s="8" t="n"/>
      <c r="C3343" s="8" t="n"/>
    </row>
    <row r="3344">
      <c r="A3344" s="7" t="n"/>
      <c r="B3344" s="8" t="n"/>
      <c r="C3344" s="8" t="n"/>
    </row>
    <row r="3345">
      <c r="A3345" s="7" t="n"/>
      <c r="B3345" s="8" t="n"/>
      <c r="C3345" s="8" t="n"/>
    </row>
    <row r="3346">
      <c r="A3346" s="7" t="n"/>
      <c r="B3346" s="8" t="n"/>
      <c r="C3346" s="8" t="n"/>
    </row>
    <row r="3347">
      <c r="A3347" s="7" t="n"/>
      <c r="B3347" s="8" t="n"/>
      <c r="C3347" s="8" t="n"/>
    </row>
    <row r="3348">
      <c r="A3348" s="7" t="n"/>
      <c r="B3348" s="8" t="n"/>
      <c r="C3348" s="8" t="n"/>
    </row>
    <row r="3349">
      <c r="A3349" s="7" t="n"/>
      <c r="B3349" s="8" t="n"/>
      <c r="C3349" s="8" t="n"/>
    </row>
    <row r="3350">
      <c r="A3350" s="7" t="n"/>
      <c r="B3350" s="8" t="n"/>
      <c r="C3350" s="8" t="n"/>
    </row>
    <row r="3351">
      <c r="A3351" s="7" t="n"/>
      <c r="B3351" s="8" t="n"/>
      <c r="C3351" s="8" t="n"/>
    </row>
    <row r="3352">
      <c r="A3352" s="7" t="n"/>
      <c r="B3352" s="8" t="n"/>
      <c r="C3352" s="8" t="n"/>
    </row>
    <row r="3353">
      <c r="A3353" s="7" t="n"/>
      <c r="B3353" s="8" t="n"/>
      <c r="C3353" s="8" t="n"/>
    </row>
    <row r="3354">
      <c r="A3354" s="7" t="n"/>
      <c r="B3354" s="8" t="n"/>
      <c r="C3354" s="8" t="n"/>
    </row>
    <row r="3355">
      <c r="A3355" s="7" t="n"/>
      <c r="B3355" s="8" t="n"/>
      <c r="C3355" s="8" t="n"/>
    </row>
    <row r="3356">
      <c r="A3356" s="7" t="n"/>
      <c r="B3356" s="8" t="n"/>
      <c r="C3356" s="8" t="n"/>
    </row>
    <row r="3357">
      <c r="A3357" s="7" t="n"/>
      <c r="B3357" s="8" t="n"/>
      <c r="C3357" s="8" t="n"/>
    </row>
    <row r="3358">
      <c r="A3358" s="7" t="n"/>
      <c r="B3358" s="8" t="n"/>
      <c r="C3358" s="8" t="n"/>
    </row>
    <row r="3359">
      <c r="A3359" s="7" t="n"/>
      <c r="B3359" s="8" t="n"/>
      <c r="C3359" s="8" t="n"/>
    </row>
    <row r="3360">
      <c r="A3360" s="7" t="n"/>
      <c r="B3360" s="8" t="n"/>
      <c r="C3360" s="8" t="n"/>
    </row>
    <row r="3361">
      <c r="A3361" s="7" t="n"/>
      <c r="B3361" s="8" t="n"/>
      <c r="C3361" s="8" t="n"/>
    </row>
    <row r="3362">
      <c r="A3362" s="7" t="n"/>
      <c r="B3362" s="8" t="n"/>
      <c r="C3362" s="8" t="n"/>
    </row>
    <row r="3363">
      <c r="A3363" s="7" t="n"/>
      <c r="B3363" s="8" t="n"/>
      <c r="C3363" s="8" t="n"/>
    </row>
    <row r="3364">
      <c r="A3364" s="7" t="n"/>
      <c r="B3364" s="8" t="n"/>
      <c r="C3364" s="8" t="n"/>
    </row>
    <row r="3365">
      <c r="A3365" s="7" t="n"/>
      <c r="B3365" s="8" t="n"/>
      <c r="C3365" s="8" t="n"/>
    </row>
    <row r="3366">
      <c r="A3366" s="7" t="n"/>
      <c r="B3366" s="8" t="n"/>
      <c r="C3366" s="8" t="n"/>
    </row>
    <row r="3367">
      <c r="A3367" s="7" t="n"/>
      <c r="B3367" s="8" t="n"/>
      <c r="C3367" s="8" t="n"/>
    </row>
    <row r="3368">
      <c r="A3368" s="7" t="n"/>
      <c r="B3368" s="8" t="n"/>
      <c r="C3368" s="8" t="n"/>
    </row>
    <row r="3369">
      <c r="A3369" s="7" t="n"/>
      <c r="B3369" s="8" t="n"/>
      <c r="C3369" s="8" t="n"/>
    </row>
    <row r="3370">
      <c r="A3370" s="7" t="n"/>
      <c r="B3370" s="8" t="n"/>
      <c r="C3370" s="8" t="n"/>
    </row>
    <row r="3371">
      <c r="A3371" s="7" t="n"/>
      <c r="B3371" s="8" t="n"/>
      <c r="C3371" s="8" t="n"/>
    </row>
    <row r="3372">
      <c r="A3372" s="7" t="n"/>
      <c r="B3372" s="8" t="n"/>
      <c r="C3372" s="8" t="n"/>
    </row>
    <row r="3373">
      <c r="A3373" s="7" t="n"/>
      <c r="B3373" s="8" t="n"/>
      <c r="C3373" s="8" t="n"/>
    </row>
    <row r="3374">
      <c r="A3374" s="7" t="n"/>
      <c r="B3374" s="8" t="n"/>
      <c r="C3374" s="8" t="n"/>
    </row>
    <row r="3375">
      <c r="A3375" s="7" t="n"/>
      <c r="B3375" s="8" t="n"/>
      <c r="C3375" s="8" t="n"/>
    </row>
    <row r="3376">
      <c r="A3376" s="7" t="n"/>
      <c r="B3376" s="8" t="n"/>
      <c r="C3376" s="8" t="n"/>
    </row>
    <row r="3377">
      <c r="A3377" s="7" t="n"/>
      <c r="B3377" s="8" t="n"/>
      <c r="C3377" s="8" t="n"/>
    </row>
    <row r="3378">
      <c r="A3378" s="7" t="n"/>
      <c r="B3378" s="8" t="n"/>
      <c r="C3378" s="8" t="n"/>
    </row>
    <row r="3379">
      <c r="A3379" s="7" t="n"/>
      <c r="B3379" s="8" t="n"/>
      <c r="C3379" s="8" t="n"/>
    </row>
    <row r="3380">
      <c r="A3380" s="7" t="n"/>
      <c r="B3380" s="8" t="n"/>
      <c r="C3380" s="8" t="n"/>
    </row>
    <row r="3381">
      <c r="A3381" s="7" t="n"/>
      <c r="B3381" s="8" t="n"/>
      <c r="C3381" s="8" t="n"/>
    </row>
    <row r="3382">
      <c r="A3382" s="7" t="n"/>
      <c r="B3382" s="8" t="n"/>
      <c r="C3382" s="8" t="n"/>
    </row>
    <row r="3383">
      <c r="A3383" s="7" t="n"/>
      <c r="B3383" s="8" t="n"/>
      <c r="C3383" s="8" t="n"/>
    </row>
    <row r="3384">
      <c r="A3384" s="7" t="n"/>
      <c r="B3384" s="8" t="n"/>
      <c r="C3384" s="8" t="n"/>
    </row>
    <row r="3385">
      <c r="A3385" s="7" t="n"/>
      <c r="B3385" s="8" t="n"/>
      <c r="C3385" s="8" t="n"/>
    </row>
    <row r="3386">
      <c r="A3386" s="7" t="n"/>
      <c r="B3386" s="8" t="n"/>
      <c r="C3386" s="8" t="n"/>
    </row>
    <row r="3387">
      <c r="A3387" s="7" t="n"/>
      <c r="B3387" s="8" t="n"/>
      <c r="C3387" s="8" t="n"/>
    </row>
    <row r="3388">
      <c r="A3388" s="7" t="n"/>
      <c r="B3388" s="8" t="n"/>
      <c r="C3388" s="8" t="n"/>
    </row>
    <row r="3389">
      <c r="A3389" s="7" t="n"/>
      <c r="B3389" s="8" t="n"/>
      <c r="C3389" s="8" t="n"/>
    </row>
    <row r="3390">
      <c r="A3390" s="7" t="n"/>
      <c r="B3390" s="8" t="n"/>
      <c r="C3390" s="8" t="n"/>
    </row>
    <row r="3391">
      <c r="A3391" s="7" t="n"/>
      <c r="B3391" s="8" t="n"/>
      <c r="C3391" s="8" t="n"/>
    </row>
    <row r="3392">
      <c r="A3392" s="7" t="n"/>
      <c r="B3392" s="8" t="n"/>
      <c r="C3392" s="8" t="n"/>
    </row>
    <row r="3393">
      <c r="A3393" s="7" t="n"/>
      <c r="B3393" s="8" t="n"/>
      <c r="C3393" s="8" t="n"/>
    </row>
    <row r="3394">
      <c r="A3394" s="7" t="n"/>
      <c r="B3394" s="8" t="n"/>
      <c r="C3394" s="8" t="n"/>
    </row>
    <row r="3395">
      <c r="A3395" s="7" t="n"/>
      <c r="B3395" s="8" t="n"/>
      <c r="C3395" s="8" t="n"/>
    </row>
    <row r="3396">
      <c r="A3396" s="7" t="n"/>
      <c r="B3396" s="8" t="n"/>
      <c r="C3396" s="8" t="n"/>
    </row>
    <row r="3397">
      <c r="A3397" s="7" t="n"/>
      <c r="B3397" s="8" t="n"/>
      <c r="C3397" s="8" t="n"/>
    </row>
    <row r="3398">
      <c r="A3398" s="7" t="n"/>
      <c r="B3398" s="8" t="n"/>
      <c r="C3398" s="8" t="n"/>
    </row>
    <row r="3399">
      <c r="A3399" s="7" t="n"/>
      <c r="B3399" s="8" t="n"/>
      <c r="C3399" s="8" t="n"/>
    </row>
    <row r="3400">
      <c r="A3400" s="7" t="n"/>
      <c r="B3400" s="8" t="n"/>
      <c r="C3400" s="8" t="n"/>
    </row>
    <row r="3401">
      <c r="A3401" s="7" t="n"/>
      <c r="B3401" s="8" t="n"/>
      <c r="C3401" s="8" t="n"/>
    </row>
    <row r="3402">
      <c r="A3402" s="7" t="n"/>
      <c r="B3402" s="8" t="n"/>
      <c r="C3402" s="8" t="n"/>
    </row>
    <row r="3403">
      <c r="A3403" s="7" t="n"/>
      <c r="B3403" s="8" t="n"/>
      <c r="C3403" s="8" t="n"/>
    </row>
    <row r="3404">
      <c r="A3404" s="7" t="n"/>
      <c r="B3404" s="8" t="n"/>
      <c r="C3404" s="8" t="n"/>
    </row>
    <row r="3405">
      <c r="A3405" s="7" t="n"/>
      <c r="B3405" s="8" t="n"/>
      <c r="C3405" s="8" t="n"/>
    </row>
    <row r="3406">
      <c r="A3406" s="7" t="n"/>
      <c r="B3406" s="8" t="n"/>
      <c r="C3406" s="8" t="n"/>
    </row>
    <row r="3407">
      <c r="A3407" s="7" t="n"/>
      <c r="B3407" s="8" t="n"/>
      <c r="C3407" s="8" t="n"/>
    </row>
    <row r="3408">
      <c r="A3408" s="7" t="n"/>
      <c r="B3408" s="8" t="n"/>
      <c r="C3408" s="8" t="n"/>
    </row>
    <row r="3409">
      <c r="A3409" s="7" t="n"/>
      <c r="B3409" s="8" t="n"/>
      <c r="C3409" s="8" t="n"/>
    </row>
    <row r="3410">
      <c r="A3410" s="7" t="n"/>
      <c r="B3410" s="8" t="n"/>
      <c r="C3410" s="8" t="n"/>
    </row>
    <row r="3411">
      <c r="A3411" s="7" t="n"/>
      <c r="B3411" s="8" t="n"/>
      <c r="C3411" s="8" t="n"/>
    </row>
    <row r="3412">
      <c r="A3412" s="7" t="n"/>
      <c r="B3412" s="8" t="n"/>
      <c r="C3412" s="8" t="n"/>
    </row>
    <row r="3413">
      <c r="A3413" s="7" t="n"/>
      <c r="B3413" s="8" t="n"/>
      <c r="C3413" s="8" t="n"/>
    </row>
    <row r="3414">
      <c r="A3414" s="7" t="n"/>
      <c r="B3414" s="8" t="n"/>
      <c r="C3414" s="8" t="n"/>
    </row>
    <row r="3415">
      <c r="A3415" s="7" t="n"/>
      <c r="B3415" s="8" t="n"/>
      <c r="C3415" s="8" t="n"/>
    </row>
    <row r="3416">
      <c r="A3416" s="7" t="n"/>
      <c r="B3416" s="8" t="n"/>
      <c r="C3416" s="8" t="n"/>
    </row>
    <row r="3417">
      <c r="A3417" s="7" t="n"/>
      <c r="B3417" s="8" t="n"/>
      <c r="C3417" s="8" t="n"/>
    </row>
    <row r="3418">
      <c r="A3418" s="7" t="n"/>
      <c r="B3418" s="8" t="n"/>
      <c r="C3418" s="8" t="n"/>
    </row>
    <row r="3419">
      <c r="A3419" s="7" t="n"/>
      <c r="B3419" s="8" t="n"/>
      <c r="C3419" s="8" t="n"/>
    </row>
    <row r="3420">
      <c r="A3420" s="7" t="n"/>
      <c r="B3420" s="8" t="n"/>
      <c r="C3420" s="8" t="n"/>
    </row>
    <row r="3421">
      <c r="A3421" s="7" t="n"/>
      <c r="B3421" s="8" t="n"/>
      <c r="C3421" s="8" t="n"/>
    </row>
    <row r="3422">
      <c r="A3422" s="7" t="n"/>
      <c r="B3422" s="8" t="n"/>
      <c r="C3422" s="8" t="n"/>
    </row>
    <row r="3423">
      <c r="A3423" s="7" t="n"/>
      <c r="B3423" s="8" t="n"/>
      <c r="C3423" s="8" t="n"/>
    </row>
    <row r="3424">
      <c r="A3424" s="7" t="n"/>
      <c r="B3424" s="8" t="n"/>
      <c r="C3424" s="8" t="n"/>
    </row>
    <row r="3425">
      <c r="A3425" s="7" t="n"/>
      <c r="B3425" s="8" t="n"/>
      <c r="C3425" s="8" t="n"/>
    </row>
    <row r="3426">
      <c r="A3426" s="7" t="n"/>
      <c r="B3426" s="8" t="n"/>
      <c r="C3426" s="8" t="n"/>
    </row>
    <row r="3427">
      <c r="A3427" s="7" t="n"/>
      <c r="B3427" s="8" t="n"/>
      <c r="C3427" s="8" t="n"/>
    </row>
    <row r="3428">
      <c r="A3428" s="7" t="n"/>
      <c r="B3428" s="8" t="n"/>
      <c r="C3428" s="8" t="n"/>
    </row>
    <row r="3429">
      <c r="A3429" s="7" t="n"/>
      <c r="B3429" s="8" t="n"/>
      <c r="C3429" s="8" t="n"/>
    </row>
    <row r="3430">
      <c r="A3430" s="7" t="n"/>
      <c r="B3430" s="8" t="n"/>
      <c r="C3430" s="8" t="n"/>
    </row>
    <row r="3431">
      <c r="A3431" s="7" t="n"/>
      <c r="B3431" s="8" t="n"/>
      <c r="C3431" s="8" t="n"/>
    </row>
    <row r="3432">
      <c r="A3432" s="7" t="n"/>
      <c r="B3432" s="8" t="n"/>
      <c r="C3432" s="8" t="n"/>
    </row>
    <row r="3433">
      <c r="A3433" s="7" t="n"/>
      <c r="B3433" s="8" t="n"/>
      <c r="C3433" s="8" t="n"/>
    </row>
    <row r="3434">
      <c r="A3434" s="7" t="n"/>
      <c r="B3434" s="8" t="n"/>
      <c r="C3434" s="8" t="n"/>
    </row>
    <row r="3435">
      <c r="A3435" s="7" t="n"/>
      <c r="B3435" s="8" t="n"/>
      <c r="C3435" s="8" t="n"/>
    </row>
    <row r="3436">
      <c r="A3436" s="7" t="n"/>
      <c r="B3436" s="8" t="n"/>
      <c r="C3436" s="8" t="n"/>
    </row>
    <row r="3437">
      <c r="A3437" s="7" t="n"/>
      <c r="B3437" s="8" t="n"/>
      <c r="C3437" s="8" t="n"/>
    </row>
    <row r="3438">
      <c r="A3438" s="7" t="n"/>
      <c r="B3438" s="8" t="n"/>
      <c r="C3438" s="8" t="n"/>
    </row>
    <row r="3439">
      <c r="A3439" s="7" t="n"/>
      <c r="B3439" s="8" t="n"/>
      <c r="C3439" s="8" t="n"/>
    </row>
    <row r="3440">
      <c r="A3440" s="7" t="n"/>
      <c r="B3440" s="8" t="n"/>
      <c r="C3440" s="8" t="n"/>
    </row>
    <row r="3441">
      <c r="A3441" s="7" t="n"/>
      <c r="B3441" s="8" t="n"/>
      <c r="C3441" s="8" t="n"/>
    </row>
    <row r="3442">
      <c r="A3442" s="7" t="n"/>
      <c r="B3442" s="8" t="n"/>
      <c r="C3442" s="8" t="n"/>
    </row>
    <row r="3443">
      <c r="A3443" s="7" t="n"/>
      <c r="B3443" s="8" t="n"/>
      <c r="C3443" s="8" t="n"/>
    </row>
    <row r="3444">
      <c r="A3444" s="7" t="n"/>
      <c r="B3444" s="8" t="n"/>
      <c r="C3444" s="8" t="n"/>
    </row>
    <row r="3445">
      <c r="A3445" s="7" t="n"/>
      <c r="B3445" s="8" t="n"/>
      <c r="C3445" s="8" t="n"/>
    </row>
    <row r="3446">
      <c r="A3446" s="7" t="n"/>
      <c r="B3446" s="8" t="n"/>
      <c r="C3446" s="8" t="n"/>
    </row>
    <row r="3447">
      <c r="A3447" s="7" t="n"/>
      <c r="B3447" s="8" t="n"/>
      <c r="C3447" s="8" t="n"/>
    </row>
    <row r="3448">
      <c r="A3448" s="7" t="n"/>
      <c r="B3448" s="8" t="n"/>
      <c r="C3448" s="8" t="n"/>
    </row>
    <row r="3449">
      <c r="A3449" s="7" t="n"/>
      <c r="B3449" s="8" t="n"/>
      <c r="C3449" s="8" t="n"/>
    </row>
    <row r="3450">
      <c r="A3450" s="7" t="n"/>
      <c r="B3450" s="8" t="n"/>
      <c r="C3450" s="8" t="n"/>
    </row>
    <row r="3451">
      <c r="A3451" s="7" t="n"/>
      <c r="B3451" s="8" t="n"/>
      <c r="C3451" s="8" t="n"/>
    </row>
    <row r="3452">
      <c r="A3452" s="7" t="n"/>
      <c r="B3452" s="8" t="n"/>
      <c r="C3452" s="8" t="n"/>
    </row>
    <row r="3453">
      <c r="A3453" s="7" t="n"/>
      <c r="B3453" s="8" t="n"/>
      <c r="C3453" s="8" t="n"/>
    </row>
    <row r="3454">
      <c r="A3454" s="7" t="n"/>
      <c r="B3454" s="8" t="n"/>
      <c r="C3454" s="8" t="n"/>
    </row>
    <row r="3455">
      <c r="A3455" s="7" t="n"/>
      <c r="B3455" s="8" t="n"/>
      <c r="C3455" s="8" t="n"/>
    </row>
    <row r="3456">
      <c r="A3456" s="7" t="n"/>
      <c r="B3456" s="8" t="n"/>
      <c r="C3456" s="8" t="n"/>
    </row>
    <row r="3457">
      <c r="A3457" s="7" t="n"/>
      <c r="B3457" s="8" t="n"/>
      <c r="C3457" s="8" t="n"/>
    </row>
    <row r="3458">
      <c r="A3458" s="7" t="n"/>
      <c r="B3458" s="8" t="n"/>
      <c r="C3458" s="8" t="n"/>
    </row>
    <row r="3459">
      <c r="A3459" s="7" t="n"/>
      <c r="B3459" s="8" t="n"/>
      <c r="C3459" s="8" t="n"/>
    </row>
    <row r="3460">
      <c r="A3460" s="7" t="n"/>
      <c r="B3460" s="8" t="n"/>
      <c r="C3460" s="8" t="n"/>
    </row>
    <row r="3461">
      <c r="A3461" s="7" t="n"/>
      <c r="B3461" s="8" t="n"/>
      <c r="C3461" s="8" t="n"/>
    </row>
    <row r="3462">
      <c r="A3462" s="7" t="n"/>
      <c r="B3462" s="8" t="n"/>
      <c r="C3462" s="8" t="n"/>
    </row>
    <row r="3463">
      <c r="A3463" s="7" t="n"/>
      <c r="B3463" s="8" t="n"/>
      <c r="C3463" s="8" t="n"/>
    </row>
    <row r="3464">
      <c r="A3464" s="7" t="n"/>
      <c r="B3464" s="8" t="n"/>
      <c r="C3464" s="8" t="n"/>
    </row>
    <row r="3465">
      <c r="A3465" s="7" t="n"/>
      <c r="B3465" s="8" t="n"/>
      <c r="C3465" s="8" t="n"/>
    </row>
    <row r="3466">
      <c r="A3466" s="7" t="n"/>
      <c r="B3466" s="8" t="n"/>
      <c r="C3466" s="8" t="n"/>
    </row>
    <row r="3467">
      <c r="A3467" s="7" t="n"/>
      <c r="B3467" s="8" t="n"/>
      <c r="C3467" s="8" t="n"/>
    </row>
    <row r="3468">
      <c r="A3468" s="7" t="n"/>
      <c r="B3468" s="8" t="n"/>
      <c r="C3468" s="8" t="n"/>
    </row>
    <row r="3469">
      <c r="A3469" s="7" t="n"/>
      <c r="B3469" s="8" t="n"/>
      <c r="C3469" s="8" t="n"/>
    </row>
    <row r="3470">
      <c r="A3470" s="7" t="n"/>
      <c r="B3470" s="8" t="n"/>
      <c r="C3470" s="8" t="n"/>
    </row>
    <row r="3471">
      <c r="A3471" s="7" t="n"/>
      <c r="B3471" s="8" t="n"/>
      <c r="C3471" s="8" t="n"/>
    </row>
    <row r="3472">
      <c r="A3472" s="7" t="n"/>
      <c r="B3472" s="8" t="n"/>
      <c r="C3472" s="8" t="n"/>
    </row>
    <row r="3473">
      <c r="A3473" s="7" t="n"/>
      <c r="B3473" s="8" t="n"/>
      <c r="C3473" s="8" t="n"/>
    </row>
    <row r="3474">
      <c r="A3474" s="7" t="n"/>
      <c r="B3474" s="8" t="n"/>
      <c r="C3474" s="8" t="n"/>
    </row>
    <row r="3475">
      <c r="A3475" s="7" t="n"/>
      <c r="B3475" s="8" t="n"/>
      <c r="C3475" s="8" t="n"/>
    </row>
    <row r="3476">
      <c r="A3476" s="7" t="n"/>
      <c r="B3476" s="8" t="n"/>
      <c r="C3476" s="8" t="n"/>
    </row>
    <row r="3477">
      <c r="A3477" s="7" t="n"/>
      <c r="B3477" s="8" t="n"/>
      <c r="C3477" s="8" t="n"/>
    </row>
    <row r="3478">
      <c r="A3478" s="7" t="n"/>
      <c r="B3478" s="8" t="n"/>
      <c r="C3478" s="8" t="n"/>
    </row>
    <row r="3479">
      <c r="A3479" s="7" t="n"/>
      <c r="B3479" s="8" t="n"/>
      <c r="C3479" s="8" t="n"/>
    </row>
    <row r="3480">
      <c r="A3480" s="7" t="n"/>
      <c r="B3480" s="8" t="n"/>
      <c r="C3480" s="8" t="n"/>
    </row>
    <row r="3481">
      <c r="A3481" s="7" t="n"/>
      <c r="B3481" s="8" t="n"/>
      <c r="C3481" s="8" t="n"/>
    </row>
    <row r="3482">
      <c r="A3482" s="7" t="n"/>
      <c r="B3482" s="8" t="n"/>
      <c r="C3482" s="8" t="n"/>
    </row>
    <row r="3483">
      <c r="A3483" s="7" t="n"/>
      <c r="B3483" s="8" t="n"/>
      <c r="C3483" s="8" t="n"/>
    </row>
    <row r="3484">
      <c r="A3484" s="7" t="n"/>
      <c r="B3484" s="8" t="n"/>
      <c r="C3484" s="8" t="n"/>
    </row>
    <row r="3485">
      <c r="A3485" s="7" t="n"/>
      <c r="B3485" s="8" t="n"/>
      <c r="C3485" s="8" t="n"/>
    </row>
    <row r="3486">
      <c r="A3486" s="7" t="n"/>
      <c r="B3486" s="8" t="n"/>
      <c r="C3486" s="8" t="n"/>
    </row>
    <row r="3487">
      <c r="A3487" s="7" t="n"/>
      <c r="B3487" s="8" t="n"/>
      <c r="C3487" s="8" t="n"/>
    </row>
    <row r="3488">
      <c r="A3488" s="7" t="n"/>
      <c r="B3488" s="8" t="n"/>
      <c r="C3488" s="8" t="n"/>
    </row>
    <row r="3489">
      <c r="A3489" s="7" t="n"/>
      <c r="B3489" s="8" t="n"/>
      <c r="C3489" s="8" t="n"/>
    </row>
    <row r="3490">
      <c r="A3490" s="7" t="n"/>
      <c r="B3490" s="8" t="n"/>
      <c r="C3490" s="8" t="n"/>
    </row>
    <row r="3491">
      <c r="A3491" s="7" t="n"/>
      <c r="B3491" s="8" t="n"/>
      <c r="C3491" s="8" t="n"/>
    </row>
    <row r="3492">
      <c r="A3492" s="7" t="n"/>
      <c r="B3492" s="8" t="n"/>
      <c r="C3492" s="8" t="n"/>
    </row>
    <row r="3493">
      <c r="A3493" s="7" t="n"/>
      <c r="B3493" s="8" t="n"/>
      <c r="C3493" s="8" t="n"/>
    </row>
    <row r="3494">
      <c r="A3494" s="7" t="n"/>
      <c r="B3494" s="8" t="n"/>
      <c r="C3494" s="8" t="n"/>
    </row>
    <row r="3495">
      <c r="A3495" s="7" t="n"/>
      <c r="B3495" s="8" t="n"/>
      <c r="C3495" s="8" t="n"/>
    </row>
    <row r="3496">
      <c r="A3496" s="7" t="n"/>
      <c r="B3496" s="8" t="n"/>
      <c r="C3496" s="8" t="n"/>
    </row>
    <row r="3497">
      <c r="A3497" s="7" t="n"/>
      <c r="B3497" s="8" t="n"/>
      <c r="C3497" s="8" t="n"/>
    </row>
    <row r="3498">
      <c r="A3498" s="7" t="n"/>
      <c r="B3498" s="8" t="n"/>
      <c r="C3498" s="8" t="n"/>
    </row>
    <row r="3499">
      <c r="A3499" s="7" t="n"/>
      <c r="B3499" s="8" t="n"/>
      <c r="C3499" s="8" t="n"/>
    </row>
    <row r="3500">
      <c r="A3500" s="7" t="n"/>
      <c r="B3500" s="8" t="n"/>
      <c r="C3500" s="8" t="n"/>
    </row>
    <row r="3501">
      <c r="A3501" s="7" t="n"/>
      <c r="B3501" s="8" t="n"/>
      <c r="C3501" s="8" t="n"/>
    </row>
    <row r="3502">
      <c r="A3502" s="7" t="n"/>
      <c r="B3502" s="8" t="n"/>
      <c r="C3502" s="8" t="n"/>
    </row>
    <row r="3503">
      <c r="A3503" s="7" t="n"/>
      <c r="B3503" s="8" t="n"/>
      <c r="C3503" s="8" t="n"/>
    </row>
    <row r="3504">
      <c r="A3504" s="7" t="n"/>
      <c r="B3504" s="8" t="n"/>
      <c r="C3504" s="8" t="n"/>
    </row>
    <row r="3505">
      <c r="A3505" s="7" t="n"/>
      <c r="B3505" s="8" t="n"/>
      <c r="C3505" s="8" t="n"/>
    </row>
    <row r="3506">
      <c r="A3506" s="7" t="n"/>
      <c r="B3506" s="8" t="n"/>
      <c r="C3506" s="8" t="n"/>
    </row>
    <row r="3507">
      <c r="A3507" s="7" t="n"/>
      <c r="B3507" s="8" t="n"/>
      <c r="C3507" s="8" t="n"/>
    </row>
    <row r="3508">
      <c r="A3508" s="7" t="n"/>
      <c r="B3508" s="8" t="n"/>
      <c r="C3508" s="8" t="n"/>
    </row>
    <row r="3509">
      <c r="A3509" s="7" t="n"/>
      <c r="B3509" s="8" t="n"/>
      <c r="C3509" s="8" t="n"/>
    </row>
    <row r="3510">
      <c r="A3510" s="7" t="n"/>
      <c r="B3510" s="8" t="n"/>
      <c r="C3510" s="8" t="n"/>
    </row>
    <row r="3511">
      <c r="A3511" s="7" t="n"/>
      <c r="B3511" s="8" t="n"/>
      <c r="C3511" s="8" t="n"/>
    </row>
    <row r="3512">
      <c r="A3512" s="7" t="n"/>
      <c r="B3512" s="8" t="n"/>
      <c r="C3512" s="8" t="n"/>
    </row>
    <row r="3513">
      <c r="A3513" s="7" t="n"/>
      <c r="B3513" s="8" t="n"/>
      <c r="C3513" s="8" t="n"/>
    </row>
    <row r="3514">
      <c r="A3514" s="7" t="n"/>
      <c r="B3514" s="8" t="n"/>
      <c r="C3514" s="8" t="n"/>
    </row>
    <row r="3515">
      <c r="A3515" s="7" t="n"/>
      <c r="B3515" s="8" t="n"/>
      <c r="C3515" s="8" t="n"/>
    </row>
    <row r="3516">
      <c r="A3516" s="7" t="n"/>
      <c r="B3516" s="8" t="n"/>
      <c r="C3516" s="8" t="n"/>
    </row>
    <row r="3517">
      <c r="A3517" s="7" t="n"/>
      <c r="B3517" s="8" t="n"/>
      <c r="C3517" s="8" t="n"/>
    </row>
    <row r="3518">
      <c r="A3518" s="7" t="n"/>
      <c r="B3518" s="8" t="n"/>
      <c r="C3518" s="8" t="n"/>
    </row>
    <row r="3519">
      <c r="A3519" s="7" t="n"/>
      <c r="B3519" s="8" t="n"/>
      <c r="C3519" s="8" t="n"/>
    </row>
    <row r="3520">
      <c r="A3520" s="7" t="n"/>
      <c r="B3520" s="8" t="n"/>
      <c r="C3520" s="8" t="n"/>
    </row>
    <row r="3521">
      <c r="A3521" s="7" t="n"/>
      <c r="B3521" s="8" t="n"/>
      <c r="C3521" s="8" t="n"/>
    </row>
    <row r="3522">
      <c r="A3522" s="7" t="n"/>
      <c r="B3522" s="8" t="n"/>
      <c r="C3522" s="8" t="n"/>
    </row>
    <row r="3523">
      <c r="A3523" s="7" t="n"/>
      <c r="B3523" s="8" t="n"/>
      <c r="C3523" s="8" t="n"/>
    </row>
    <row r="3524">
      <c r="A3524" s="7" t="n"/>
      <c r="B3524" s="8" t="n"/>
      <c r="C3524" s="8" t="n"/>
    </row>
    <row r="3525">
      <c r="A3525" s="7" t="n"/>
      <c r="B3525" s="8" t="n"/>
      <c r="C3525" s="8" t="n"/>
    </row>
    <row r="3526">
      <c r="A3526" s="7" t="n"/>
      <c r="B3526" s="8" t="n"/>
      <c r="C3526" s="8" t="n"/>
    </row>
    <row r="3527">
      <c r="A3527" s="7" t="n"/>
      <c r="B3527" s="8" t="n"/>
      <c r="C3527" s="8" t="n"/>
    </row>
    <row r="3528">
      <c r="A3528" s="7" t="n"/>
      <c r="B3528" s="8" t="n"/>
      <c r="C3528" s="8" t="n"/>
    </row>
    <row r="3529">
      <c r="A3529" s="7" t="n"/>
      <c r="B3529" s="8" t="n"/>
      <c r="C3529" s="8" t="n"/>
    </row>
    <row r="3530">
      <c r="A3530" s="7" t="n"/>
      <c r="B3530" s="8" t="n"/>
      <c r="C3530" s="8" t="n"/>
    </row>
    <row r="3531">
      <c r="A3531" s="7" t="n"/>
      <c r="B3531" s="8" t="n"/>
      <c r="C3531" s="8" t="n"/>
    </row>
    <row r="3532">
      <c r="A3532" s="7" t="n"/>
      <c r="B3532" s="8" t="n"/>
      <c r="C3532" s="8" t="n"/>
    </row>
    <row r="3533">
      <c r="A3533" s="7" t="n"/>
      <c r="B3533" s="8" t="n"/>
      <c r="C3533" s="8" t="n"/>
    </row>
    <row r="3534">
      <c r="A3534" s="7" t="n"/>
      <c r="B3534" s="8" t="n"/>
      <c r="C3534" s="8" t="n"/>
    </row>
    <row r="3535">
      <c r="A3535" s="7" t="n"/>
      <c r="B3535" s="8" t="n"/>
      <c r="C3535" s="8" t="n"/>
    </row>
    <row r="3536">
      <c r="A3536" s="7" t="n"/>
      <c r="B3536" s="8" t="n"/>
      <c r="C3536" s="8" t="n"/>
    </row>
    <row r="3537">
      <c r="A3537" s="7" t="n"/>
      <c r="B3537" s="8" t="n"/>
      <c r="C3537" s="8" t="n"/>
    </row>
    <row r="3538">
      <c r="A3538" s="7" t="n"/>
      <c r="B3538" s="8" t="n"/>
      <c r="C3538" s="8" t="n"/>
    </row>
    <row r="3539">
      <c r="A3539" s="7" t="n"/>
      <c r="B3539" s="8" t="n"/>
      <c r="C3539" s="8" t="n"/>
    </row>
    <row r="3540">
      <c r="A3540" s="7" t="n"/>
      <c r="B3540" s="8" t="n"/>
      <c r="C3540" s="8" t="n"/>
    </row>
    <row r="3541">
      <c r="A3541" s="7" t="n"/>
      <c r="B3541" s="8" t="n"/>
      <c r="C3541" s="8" t="n"/>
    </row>
    <row r="3542">
      <c r="A3542" s="7" t="n"/>
      <c r="B3542" s="8" t="n"/>
      <c r="C3542" s="8" t="n"/>
    </row>
    <row r="3543">
      <c r="A3543" s="7" t="n"/>
      <c r="B3543" s="8" t="n"/>
      <c r="C3543" s="8" t="n"/>
    </row>
    <row r="3544">
      <c r="A3544" s="7" t="n"/>
      <c r="B3544" s="8" t="n"/>
      <c r="C3544" s="8" t="n"/>
    </row>
    <row r="3545">
      <c r="A3545" s="7" t="n"/>
      <c r="B3545" s="8" t="n"/>
      <c r="C3545" s="8" t="n"/>
    </row>
    <row r="3546">
      <c r="A3546" s="7" t="n"/>
      <c r="B3546" s="8" t="n"/>
      <c r="C3546" s="8" t="n"/>
    </row>
    <row r="3547">
      <c r="A3547" s="7" t="n"/>
      <c r="B3547" s="8" t="n"/>
      <c r="C3547" s="8" t="n"/>
    </row>
    <row r="3548">
      <c r="A3548" s="7" t="n"/>
      <c r="B3548" s="8" t="n"/>
      <c r="C3548" s="8" t="n"/>
    </row>
    <row r="3549">
      <c r="A3549" s="7" t="n"/>
      <c r="B3549" s="8" t="n"/>
      <c r="C3549" s="8" t="n"/>
    </row>
    <row r="3550">
      <c r="A3550" s="7" t="n"/>
      <c r="B3550" s="8" t="n"/>
      <c r="C3550" s="8" t="n"/>
    </row>
    <row r="3551">
      <c r="A3551" s="7" t="n"/>
      <c r="B3551" s="8" t="n"/>
      <c r="C3551" s="8" t="n"/>
    </row>
    <row r="3552">
      <c r="A3552" s="7" t="n"/>
      <c r="B3552" s="8" t="n"/>
      <c r="C3552" s="8" t="n"/>
    </row>
    <row r="3553">
      <c r="A3553" s="7" t="n"/>
      <c r="B3553" s="8" t="n"/>
      <c r="C3553" s="8" t="n"/>
    </row>
    <row r="3554">
      <c r="A3554" s="7" t="n"/>
      <c r="B3554" s="8" t="n"/>
      <c r="C3554" s="8" t="n"/>
    </row>
    <row r="3555">
      <c r="A3555" s="7" t="n"/>
      <c r="B3555" s="8" t="n"/>
      <c r="C3555" s="8" t="n"/>
    </row>
    <row r="3556">
      <c r="A3556" s="7" t="n"/>
      <c r="B3556" s="8" t="n"/>
      <c r="C3556" s="8" t="n"/>
    </row>
    <row r="3557">
      <c r="A3557" s="7" t="n"/>
      <c r="B3557" s="8" t="n"/>
      <c r="C3557" s="8" t="n"/>
    </row>
    <row r="3558">
      <c r="A3558" s="7" t="n"/>
      <c r="B3558" s="8" t="n"/>
      <c r="C3558" s="8" t="n"/>
    </row>
    <row r="3559">
      <c r="A3559" s="7" t="n"/>
      <c r="B3559" s="8" t="n"/>
      <c r="C3559" s="8" t="n"/>
    </row>
    <row r="3560">
      <c r="A3560" s="7" t="n"/>
      <c r="B3560" s="8" t="n"/>
      <c r="C3560" s="8" t="n"/>
    </row>
    <row r="3561">
      <c r="A3561" s="7" t="n"/>
      <c r="B3561" s="8" t="n"/>
      <c r="C3561" s="8" t="n"/>
    </row>
    <row r="3562">
      <c r="A3562" s="7" t="n"/>
      <c r="B3562" s="8" t="n"/>
      <c r="C3562" s="8" t="n"/>
    </row>
    <row r="3563">
      <c r="A3563" s="7" t="n"/>
      <c r="B3563" s="8" t="n"/>
      <c r="C3563" s="8" t="n"/>
    </row>
    <row r="3564">
      <c r="A3564" s="7" t="n"/>
      <c r="B3564" s="8" t="n"/>
      <c r="C3564" s="8" t="n"/>
    </row>
    <row r="3565">
      <c r="A3565" s="7" t="n"/>
      <c r="B3565" s="8" t="n"/>
      <c r="C3565" s="8" t="n"/>
    </row>
    <row r="3566">
      <c r="A3566" s="7" t="n"/>
      <c r="B3566" s="8" t="n"/>
      <c r="C3566" s="8" t="n"/>
    </row>
    <row r="3567">
      <c r="A3567" s="7" t="n"/>
      <c r="B3567" s="8" t="n"/>
      <c r="C3567" s="8" t="n"/>
    </row>
    <row r="3568">
      <c r="A3568" s="7" t="n"/>
      <c r="B3568" s="8" t="n"/>
      <c r="C3568" s="8" t="n"/>
    </row>
    <row r="3569">
      <c r="A3569" s="7" t="n"/>
      <c r="B3569" s="8" t="n"/>
      <c r="C3569" s="8" t="n"/>
    </row>
    <row r="3570">
      <c r="A3570" s="7" t="n"/>
      <c r="B3570" s="8" t="n"/>
      <c r="C3570" s="8" t="n"/>
    </row>
    <row r="3571">
      <c r="A3571" s="7" t="n"/>
      <c r="B3571" s="8" t="n"/>
      <c r="C3571" s="8" t="n"/>
    </row>
    <row r="3572">
      <c r="A3572" s="7" t="n"/>
      <c r="B3572" s="8" t="n"/>
      <c r="C3572" s="8" t="n"/>
    </row>
    <row r="3573">
      <c r="A3573" s="7" t="n"/>
      <c r="B3573" s="8" t="n"/>
      <c r="C3573" s="8" t="n"/>
    </row>
    <row r="3574">
      <c r="A3574" s="7" t="n"/>
      <c r="B3574" s="8" t="n"/>
      <c r="C3574" s="8" t="n"/>
    </row>
    <row r="3575">
      <c r="A3575" s="7" t="n"/>
      <c r="B3575" s="8" t="n"/>
      <c r="C3575" s="8" t="n"/>
    </row>
    <row r="3576">
      <c r="A3576" s="7" t="n"/>
      <c r="B3576" s="8" t="n"/>
      <c r="C3576" s="8" t="n"/>
    </row>
    <row r="3577">
      <c r="A3577" s="7" t="n"/>
      <c r="B3577" s="8" t="n"/>
      <c r="C3577" s="8" t="n"/>
    </row>
    <row r="3578">
      <c r="A3578" s="7" t="n"/>
      <c r="B3578" s="8" t="n"/>
      <c r="C3578" s="8" t="n"/>
    </row>
    <row r="3579">
      <c r="A3579" s="7" t="n"/>
      <c r="B3579" s="8" t="n"/>
      <c r="C3579" s="8" t="n"/>
    </row>
    <row r="3580">
      <c r="A3580" s="7" t="n"/>
      <c r="B3580" s="8" t="n"/>
      <c r="C3580" s="8" t="n"/>
    </row>
    <row r="3581">
      <c r="A3581" s="7" t="n"/>
      <c r="B3581" s="8" t="n"/>
      <c r="C3581" s="8" t="n"/>
    </row>
    <row r="3582">
      <c r="A3582" s="7" t="n"/>
      <c r="B3582" s="8" t="n"/>
      <c r="C3582" s="8" t="n"/>
    </row>
    <row r="3583">
      <c r="A3583" s="7" t="n"/>
      <c r="B3583" s="8" t="n"/>
      <c r="C3583" s="8" t="n"/>
    </row>
    <row r="3584">
      <c r="A3584" s="7" t="n"/>
      <c r="B3584" s="8" t="n"/>
      <c r="C3584" s="8" t="n"/>
    </row>
    <row r="3585">
      <c r="A3585" s="7" t="n"/>
      <c r="B3585" s="8" t="n"/>
      <c r="C3585" s="8" t="n"/>
    </row>
    <row r="3586">
      <c r="A3586" s="7" t="n"/>
      <c r="B3586" s="8" t="n"/>
      <c r="C3586" s="8" t="n"/>
    </row>
    <row r="3587">
      <c r="A3587" s="7" t="n"/>
      <c r="B3587" s="8" t="n"/>
      <c r="C3587" s="8" t="n"/>
    </row>
    <row r="3588">
      <c r="A3588" s="7" t="n"/>
      <c r="B3588" s="8" t="n"/>
      <c r="C3588" s="8" t="n"/>
    </row>
    <row r="3589">
      <c r="A3589" s="7" t="n"/>
      <c r="B3589" s="8" t="n"/>
      <c r="C3589" s="8" t="n"/>
    </row>
    <row r="3590">
      <c r="A3590" s="7" t="n"/>
      <c r="B3590" s="8" t="n"/>
      <c r="C3590" s="8" t="n"/>
    </row>
    <row r="3591">
      <c r="A3591" s="7" t="n"/>
      <c r="B3591" s="8" t="n"/>
      <c r="C3591" s="8" t="n"/>
    </row>
    <row r="3592">
      <c r="A3592" s="7" t="n"/>
      <c r="B3592" s="8" t="n"/>
      <c r="C3592" s="8" t="n"/>
    </row>
    <row r="3593">
      <c r="A3593" s="7" t="n"/>
      <c r="B3593" s="8" t="n"/>
      <c r="C3593" s="8" t="n"/>
    </row>
    <row r="3594">
      <c r="A3594" s="7" t="n"/>
      <c r="B3594" s="8" t="n"/>
      <c r="C3594" s="8" t="n"/>
    </row>
    <row r="3595">
      <c r="A3595" s="7" t="n"/>
      <c r="B3595" s="8" t="n"/>
      <c r="C3595" s="8" t="n"/>
    </row>
    <row r="3596">
      <c r="A3596" s="7" t="n"/>
      <c r="B3596" s="8" t="n"/>
      <c r="C3596" s="8" t="n"/>
    </row>
    <row r="3597">
      <c r="A3597" s="7" t="n"/>
      <c r="B3597" s="8" t="n"/>
      <c r="C3597" s="8" t="n"/>
    </row>
    <row r="3598">
      <c r="A3598" s="7" t="n"/>
      <c r="B3598" s="8" t="n"/>
      <c r="C3598" s="8" t="n"/>
    </row>
    <row r="3599">
      <c r="A3599" s="7" t="n"/>
      <c r="B3599" s="8" t="n"/>
      <c r="C3599" s="8" t="n"/>
    </row>
    <row r="3600">
      <c r="A3600" s="7" t="n"/>
      <c r="B3600" s="8" t="n"/>
      <c r="C3600" s="8" t="n"/>
    </row>
    <row r="3601">
      <c r="A3601" s="7" t="n"/>
      <c r="B3601" s="8" t="n"/>
      <c r="C3601" s="8" t="n"/>
    </row>
    <row r="3602">
      <c r="A3602" s="7" t="n"/>
      <c r="B3602" s="8" t="n"/>
      <c r="C3602" s="8" t="n"/>
    </row>
    <row r="3603">
      <c r="A3603" s="7" t="n"/>
      <c r="B3603" s="8" t="n"/>
      <c r="C3603" s="8" t="n"/>
    </row>
    <row r="3604">
      <c r="A3604" s="7" t="n"/>
      <c r="B3604" s="8" t="n"/>
      <c r="C3604" s="8" t="n"/>
    </row>
    <row r="3605">
      <c r="A3605" s="7" t="n"/>
      <c r="B3605" s="8" t="n"/>
      <c r="C3605" s="8" t="n"/>
    </row>
    <row r="3606">
      <c r="A3606" s="7" t="n"/>
      <c r="B3606" s="8" t="n"/>
      <c r="C3606" s="8" t="n"/>
    </row>
    <row r="3607">
      <c r="A3607" s="7" t="n"/>
      <c r="B3607" s="8" t="n"/>
      <c r="C3607" s="8" t="n"/>
    </row>
    <row r="3608">
      <c r="A3608" s="7" t="n"/>
      <c r="B3608" s="8" t="n"/>
      <c r="C3608" s="8" t="n"/>
    </row>
    <row r="3609">
      <c r="A3609" s="7" t="n"/>
      <c r="B3609" s="8" t="n"/>
      <c r="C3609" s="8" t="n"/>
    </row>
    <row r="3610">
      <c r="A3610" s="7" t="n"/>
      <c r="B3610" s="8" t="n"/>
      <c r="C3610" s="8" t="n"/>
    </row>
    <row r="3611">
      <c r="A3611" s="7" t="n"/>
      <c r="B3611" s="8" t="n"/>
      <c r="C3611" s="8" t="n"/>
    </row>
    <row r="3612">
      <c r="A3612" s="7" t="n"/>
      <c r="B3612" s="8" t="n"/>
      <c r="C3612" s="8" t="n"/>
    </row>
    <row r="3613">
      <c r="A3613" s="7" t="n"/>
      <c r="B3613" s="8" t="n"/>
      <c r="C3613" s="8" t="n"/>
    </row>
    <row r="3614">
      <c r="A3614" s="7" t="n"/>
      <c r="B3614" s="8" t="n"/>
      <c r="C3614" s="8" t="n"/>
    </row>
    <row r="3615">
      <c r="A3615" s="7" t="n"/>
      <c r="B3615" s="8" t="n"/>
      <c r="C3615" s="8" t="n"/>
    </row>
    <row r="3616">
      <c r="A3616" s="7" t="n"/>
      <c r="B3616" s="8" t="n"/>
      <c r="C3616" s="8" t="n"/>
    </row>
    <row r="3617">
      <c r="A3617" s="7" t="n"/>
      <c r="B3617" s="8" t="n"/>
      <c r="C3617" s="8" t="n"/>
    </row>
    <row r="3618">
      <c r="A3618" s="7" t="n"/>
      <c r="B3618" s="8" t="n"/>
      <c r="C3618" s="8" t="n"/>
    </row>
    <row r="3619">
      <c r="A3619" s="7" t="n"/>
      <c r="B3619" s="8" t="n"/>
      <c r="C3619" s="8" t="n"/>
    </row>
    <row r="3620">
      <c r="A3620" s="7" t="n"/>
      <c r="B3620" s="8" t="n"/>
      <c r="C3620" s="8" t="n"/>
    </row>
    <row r="3621">
      <c r="A3621" s="7" t="n"/>
      <c r="B3621" s="8" t="n"/>
      <c r="C3621" s="8" t="n"/>
    </row>
    <row r="3622">
      <c r="A3622" s="7" t="n"/>
      <c r="B3622" s="8" t="n"/>
      <c r="C3622" s="8" t="n"/>
    </row>
    <row r="3623">
      <c r="A3623" s="7" t="n"/>
      <c r="B3623" s="8" t="n"/>
      <c r="C3623" s="8" t="n"/>
    </row>
    <row r="3624">
      <c r="A3624" s="7" t="n"/>
      <c r="B3624" s="8" t="n"/>
      <c r="C3624" s="8" t="n"/>
    </row>
    <row r="3625">
      <c r="A3625" s="7" t="n"/>
      <c r="B3625" s="8" t="n"/>
      <c r="C3625" s="8" t="n"/>
    </row>
    <row r="3626">
      <c r="A3626" s="7" t="n"/>
      <c r="B3626" s="8" t="n"/>
      <c r="C3626" s="8" t="n"/>
    </row>
    <row r="3627">
      <c r="A3627" s="7" t="n"/>
      <c r="B3627" s="8" t="n"/>
      <c r="C3627" s="8" t="n"/>
    </row>
    <row r="3628">
      <c r="A3628" s="7" t="n"/>
      <c r="B3628" s="8" t="n"/>
      <c r="C3628" s="8" t="n"/>
    </row>
    <row r="3629">
      <c r="A3629" s="7" t="n"/>
      <c r="B3629" s="8" t="n"/>
      <c r="C3629" s="8" t="n"/>
    </row>
    <row r="3630">
      <c r="A3630" s="7" t="n"/>
      <c r="B3630" s="8" t="n"/>
      <c r="C3630" s="8" t="n"/>
    </row>
    <row r="3631">
      <c r="A3631" s="7" t="n"/>
      <c r="B3631" s="8" t="n"/>
      <c r="C3631" s="8" t="n"/>
    </row>
    <row r="3632">
      <c r="A3632" s="7" t="n"/>
      <c r="B3632" s="8" t="n"/>
      <c r="C3632" s="8" t="n"/>
    </row>
    <row r="3633">
      <c r="A3633" s="7" t="n"/>
      <c r="B3633" s="8" t="n"/>
      <c r="C3633" s="8" t="n"/>
    </row>
    <row r="3634">
      <c r="A3634" s="7" t="n"/>
      <c r="B3634" s="8" t="n"/>
      <c r="C3634" s="8" t="n"/>
    </row>
    <row r="3635">
      <c r="A3635" s="7" t="n"/>
      <c r="B3635" s="8" t="n"/>
      <c r="C3635" s="8" t="n"/>
    </row>
    <row r="3636">
      <c r="A3636" s="7" t="n"/>
      <c r="B3636" s="8" t="n"/>
      <c r="C3636" s="8" t="n"/>
    </row>
    <row r="3637">
      <c r="A3637" s="7" t="n"/>
      <c r="B3637" s="8" t="n"/>
      <c r="C3637" s="8" t="n"/>
    </row>
    <row r="3638">
      <c r="A3638" s="7" t="n"/>
      <c r="B3638" s="8" t="n"/>
      <c r="C3638" s="8" t="n"/>
    </row>
    <row r="3639">
      <c r="A3639" s="7" t="n"/>
      <c r="B3639" s="8" t="n"/>
      <c r="C3639" s="8" t="n"/>
    </row>
    <row r="3640">
      <c r="A3640" s="7" t="n"/>
      <c r="B3640" s="8" t="n"/>
      <c r="C3640" s="8" t="n"/>
    </row>
    <row r="3641">
      <c r="A3641" s="7" t="n"/>
      <c r="B3641" s="8" t="n"/>
      <c r="C3641" s="8" t="n"/>
    </row>
    <row r="3642">
      <c r="A3642" s="7" t="n"/>
      <c r="B3642" s="8" t="n"/>
      <c r="C3642" s="8" t="n"/>
    </row>
    <row r="3643">
      <c r="A3643" s="7" t="n"/>
      <c r="B3643" s="8" t="n"/>
      <c r="C3643" s="8" t="n"/>
    </row>
    <row r="3644">
      <c r="A3644" s="7" t="n"/>
      <c r="B3644" s="8" t="n"/>
      <c r="C3644" s="8" t="n"/>
    </row>
    <row r="3645">
      <c r="A3645" s="7" t="n"/>
      <c r="B3645" s="8" t="n"/>
      <c r="C3645" s="8" t="n"/>
    </row>
    <row r="3646">
      <c r="A3646" s="7" t="n"/>
      <c r="B3646" s="8" t="n"/>
      <c r="C3646" s="8" t="n"/>
    </row>
    <row r="3647">
      <c r="A3647" s="7" t="n"/>
      <c r="B3647" s="8" t="n"/>
      <c r="C3647" s="8" t="n"/>
    </row>
    <row r="3648">
      <c r="A3648" s="7" t="n"/>
      <c r="B3648" s="8" t="n"/>
      <c r="C3648" s="8" t="n"/>
    </row>
    <row r="3649">
      <c r="A3649" s="7" t="n"/>
      <c r="B3649" s="8" t="n"/>
      <c r="C3649" s="8" t="n"/>
    </row>
    <row r="3650">
      <c r="A3650" s="7" t="n"/>
      <c r="B3650" s="8" t="n"/>
      <c r="C3650" s="8" t="n"/>
    </row>
    <row r="3651">
      <c r="A3651" s="7" t="n"/>
      <c r="B3651" s="8" t="n"/>
      <c r="C3651" s="8" t="n"/>
    </row>
    <row r="3652">
      <c r="A3652" s="7" t="n"/>
      <c r="B3652" s="8" t="n"/>
      <c r="C3652" s="8" t="n"/>
    </row>
    <row r="3653">
      <c r="A3653" s="7" t="n"/>
      <c r="B3653" s="8" t="n"/>
      <c r="C3653" s="8" t="n"/>
    </row>
    <row r="3654">
      <c r="A3654" s="7" t="n"/>
      <c r="B3654" s="8" t="n"/>
      <c r="C3654" s="8" t="n"/>
    </row>
    <row r="3655">
      <c r="A3655" s="7" t="n"/>
      <c r="B3655" s="8" t="n"/>
      <c r="C3655" s="8" t="n"/>
    </row>
    <row r="3656">
      <c r="A3656" s="7" t="n"/>
      <c r="B3656" s="8" t="n"/>
      <c r="C3656" s="8" t="n"/>
    </row>
    <row r="3657">
      <c r="A3657" s="7" t="n"/>
      <c r="B3657" s="8" t="n"/>
      <c r="C3657" s="8" t="n"/>
    </row>
    <row r="3658">
      <c r="A3658" s="7" t="n"/>
      <c r="B3658" s="8" t="n"/>
      <c r="C3658" s="8" t="n"/>
    </row>
    <row r="3659">
      <c r="A3659" s="7" t="n"/>
      <c r="B3659" s="8" t="n"/>
      <c r="C3659" s="8" t="n"/>
    </row>
    <row r="3660">
      <c r="A3660" s="7" t="n"/>
      <c r="B3660" s="8" t="n"/>
      <c r="C3660" s="8" t="n"/>
    </row>
    <row r="3661">
      <c r="A3661" s="7" t="n"/>
      <c r="B3661" s="8" t="n"/>
      <c r="C3661" s="8" t="n"/>
    </row>
    <row r="3662">
      <c r="A3662" s="7" t="n"/>
      <c r="B3662" s="8" t="n"/>
      <c r="C3662" s="8" t="n"/>
    </row>
    <row r="3663">
      <c r="A3663" s="7" t="n"/>
      <c r="B3663" s="8" t="n"/>
      <c r="C3663" s="8" t="n"/>
    </row>
    <row r="3664">
      <c r="A3664" s="7" t="n"/>
      <c r="B3664" s="8" t="n"/>
      <c r="C3664" s="8" t="n"/>
    </row>
    <row r="3665">
      <c r="A3665" s="7" t="n"/>
      <c r="B3665" s="8" t="n"/>
      <c r="C3665" s="8" t="n"/>
    </row>
    <row r="3666">
      <c r="A3666" s="7" t="n"/>
      <c r="B3666" s="8" t="n"/>
      <c r="C3666" s="8" t="n"/>
    </row>
    <row r="3667">
      <c r="A3667" s="7" t="n"/>
      <c r="B3667" s="8" t="n"/>
      <c r="C3667" s="8" t="n"/>
    </row>
    <row r="3668">
      <c r="A3668" s="7" t="n"/>
      <c r="B3668" s="8" t="n"/>
      <c r="C3668" s="8" t="n"/>
    </row>
    <row r="3669">
      <c r="A3669" s="7" t="n"/>
      <c r="B3669" s="8" t="n"/>
      <c r="C3669" s="8" t="n"/>
    </row>
    <row r="3670">
      <c r="A3670" s="7" t="n"/>
      <c r="B3670" s="8" t="n"/>
      <c r="C3670" s="8" t="n"/>
    </row>
    <row r="3671">
      <c r="A3671" s="7" t="n"/>
      <c r="B3671" s="8" t="n"/>
      <c r="C3671" s="8" t="n"/>
    </row>
    <row r="3672">
      <c r="A3672" s="7" t="n"/>
      <c r="B3672" s="8" t="n"/>
      <c r="C3672" s="8" t="n"/>
    </row>
    <row r="3673">
      <c r="A3673" s="7" t="n"/>
      <c r="B3673" s="8" t="n"/>
      <c r="C3673" s="8" t="n"/>
    </row>
    <row r="3674">
      <c r="A3674" s="7" t="n"/>
      <c r="B3674" s="8" t="n"/>
      <c r="C3674" s="8" t="n"/>
    </row>
    <row r="3675">
      <c r="A3675" s="7" t="n"/>
      <c r="B3675" s="8" t="n"/>
      <c r="C3675" s="8" t="n"/>
    </row>
    <row r="3676">
      <c r="A3676" s="7" t="n"/>
      <c r="B3676" s="8" t="n"/>
      <c r="C3676" s="8" t="n"/>
    </row>
    <row r="3677">
      <c r="A3677" s="7" t="n"/>
      <c r="B3677" s="8" t="n"/>
      <c r="C3677" s="8" t="n"/>
    </row>
    <row r="3678">
      <c r="A3678" s="7" t="n"/>
      <c r="B3678" s="8" t="n"/>
      <c r="C3678" s="8" t="n"/>
    </row>
    <row r="3679">
      <c r="A3679" s="7" t="n"/>
      <c r="B3679" s="8" t="n"/>
      <c r="C3679" s="8" t="n"/>
    </row>
    <row r="3680">
      <c r="A3680" s="7" t="n"/>
      <c r="B3680" s="8" t="n"/>
      <c r="C3680" s="8" t="n"/>
    </row>
    <row r="3681">
      <c r="A3681" s="7" t="n"/>
      <c r="B3681" s="8" t="n"/>
      <c r="C3681" s="8" t="n"/>
    </row>
    <row r="3682">
      <c r="A3682" s="7" t="n"/>
      <c r="B3682" s="8" t="n"/>
      <c r="C3682" s="8" t="n"/>
    </row>
    <row r="3683">
      <c r="A3683" s="7" t="n"/>
      <c r="B3683" s="8" t="n"/>
      <c r="C3683" s="8" t="n"/>
    </row>
    <row r="3684">
      <c r="A3684" s="7" t="n"/>
      <c r="B3684" s="8" t="n"/>
      <c r="C3684" s="8" t="n"/>
    </row>
    <row r="3685">
      <c r="A3685" s="7" t="n"/>
      <c r="B3685" s="8" t="n"/>
      <c r="C3685" s="8" t="n"/>
    </row>
    <row r="3686">
      <c r="A3686" s="7" t="n"/>
      <c r="B3686" s="8" t="n"/>
      <c r="C3686" s="8" t="n"/>
    </row>
    <row r="3687">
      <c r="A3687" s="7" t="n"/>
      <c r="B3687" s="8" t="n"/>
      <c r="C3687" s="8" t="n"/>
    </row>
    <row r="3688">
      <c r="A3688" s="7" t="n"/>
      <c r="B3688" s="8" t="n"/>
      <c r="C3688" s="8" t="n"/>
    </row>
    <row r="3689">
      <c r="A3689" s="7" t="n"/>
      <c r="B3689" s="8" t="n"/>
      <c r="C3689" s="8" t="n"/>
    </row>
    <row r="3690">
      <c r="A3690" s="7" t="n"/>
      <c r="B3690" s="8" t="n"/>
      <c r="C3690" s="8" t="n"/>
    </row>
    <row r="3691">
      <c r="A3691" s="7" t="n"/>
      <c r="B3691" s="8" t="n"/>
      <c r="C3691" s="8" t="n"/>
    </row>
    <row r="3692">
      <c r="A3692" s="7" t="n"/>
      <c r="B3692" s="8" t="n"/>
      <c r="C3692" s="8" t="n"/>
    </row>
    <row r="3693">
      <c r="A3693" s="7" t="n"/>
      <c r="B3693" s="8" t="n"/>
      <c r="C3693" s="8" t="n"/>
    </row>
    <row r="3694">
      <c r="A3694" s="7" t="n"/>
      <c r="B3694" s="8" t="n"/>
      <c r="C3694" s="8" t="n"/>
    </row>
    <row r="3695">
      <c r="A3695" s="7" t="n"/>
      <c r="B3695" s="8" t="n"/>
      <c r="C3695" s="8" t="n"/>
    </row>
    <row r="3696">
      <c r="A3696" s="7" t="n"/>
      <c r="B3696" s="8" t="n"/>
      <c r="C3696" s="8" t="n"/>
    </row>
    <row r="3697">
      <c r="A3697" s="7" t="n"/>
      <c r="B3697" s="8" t="n"/>
      <c r="C3697" s="8" t="n"/>
    </row>
    <row r="3698">
      <c r="A3698" s="7" t="n"/>
      <c r="B3698" s="8" t="n"/>
      <c r="C3698" s="8" t="n"/>
    </row>
    <row r="3699">
      <c r="A3699" s="7" t="n"/>
      <c r="B3699" s="8" t="n"/>
      <c r="C3699" s="8" t="n"/>
    </row>
    <row r="3700">
      <c r="A3700" s="7" t="n"/>
      <c r="B3700" s="8" t="n"/>
      <c r="C3700" s="8" t="n"/>
    </row>
    <row r="3701">
      <c r="A3701" s="7" t="n"/>
      <c r="B3701" s="8" t="n"/>
      <c r="C3701" s="8" t="n"/>
    </row>
    <row r="3702">
      <c r="A3702" s="7" t="n"/>
      <c r="B3702" s="8" t="n"/>
      <c r="C3702" s="8" t="n"/>
    </row>
    <row r="3703">
      <c r="A3703" s="7" t="n"/>
      <c r="B3703" s="8" t="n"/>
      <c r="C3703" s="8" t="n"/>
    </row>
    <row r="3704">
      <c r="A3704" s="7" t="n"/>
      <c r="B3704" s="8" t="n"/>
      <c r="C3704" s="8" t="n"/>
    </row>
    <row r="3705">
      <c r="A3705" s="7" t="n"/>
      <c r="B3705" s="8" t="n"/>
      <c r="C3705" s="8" t="n"/>
    </row>
    <row r="3706">
      <c r="A3706" s="7" t="n"/>
      <c r="B3706" s="8" t="n"/>
      <c r="C3706" s="8" t="n"/>
    </row>
    <row r="3707">
      <c r="A3707" s="7" t="n"/>
      <c r="B3707" s="8" t="n"/>
      <c r="C3707" s="8" t="n"/>
    </row>
    <row r="3708">
      <c r="A3708" s="7" t="n"/>
      <c r="B3708" s="8" t="n"/>
      <c r="C3708" s="8" t="n"/>
    </row>
    <row r="3709">
      <c r="A3709" s="7" t="n"/>
      <c r="B3709" s="8" t="n"/>
      <c r="C3709" s="8" t="n"/>
    </row>
    <row r="3710">
      <c r="A3710" s="7" t="n"/>
      <c r="B3710" s="8" t="n"/>
      <c r="C3710" s="8" t="n"/>
    </row>
    <row r="3711">
      <c r="A3711" s="7" t="n"/>
      <c r="B3711" s="8" t="n"/>
      <c r="C3711" s="8" t="n"/>
    </row>
    <row r="3712">
      <c r="A3712" s="7" t="n"/>
      <c r="B3712" s="8" t="n"/>
      <c r="C3712" s="8" t="n"/>
    </row>
    <row r="3713">
      <c r="A3713" s="7" t="n"/>
      <c r="B3713" s="8" t="n"/>
      <c r="C3713" s="8" t="n"/>
    </row>
    <row r="3714">
      <c r="A3714" s="7" t="n"/>
      <c r="B3714" s="8" t="n"/>
      <c r="C3714" s="8" t="n"/>
    </row>
    <row r="3715">
      <c r="A3715" s="7" t="n"/>
      <c r="B3715" s="8" t="n"/>
      <c r="C3715" s="8" t="n"/>
    </row>
    <row r="3716">
      <c r="A3716" s="7" t="n"/>
      <c r="B3716" s="8" t="n"/>
      <c r="C3716" s="8" t="n"/>
    </row>
    <row r="3717">
      <c r="A3717" s="7" t="n"/>
      <c r="B3717" s="8" t="n"/>
      <c r="C3717" s="8" t="n"/>
    </row>
    <row r="3718">
      <c r="A3718" s="7" t="n"/>
      <c r="B3718" s="8" t="n"/>
      <c r="C3718" s="8" t="n"/>
    </row>
    <row r="3719">
      <c r="A3719" s="7" t="n"/>
      <c r="B3719" s="8" t="n"/>
      <c r="C3719" s="8" t="n"/>
    </row>
    <row r="3720">
      <c r="A3720" s="7" t="n"/>
      <c r="B3720" s="8" t="n"/>
      <c r="C3720" s="8" t="n"/>
    </row>
    <row r="3721">
      <c r="A3721" s="7" t="n"/>
      <c r="B3721" s="8" t="n"/>
      <c r="C3721" s="8" t="n"/>
    </row>
    <row r="3722">
      <c r="A3722" s="7" t="n"/>
      <c r="B3722" s="8" t="n"/>
      <c r="C3722" s="8" t="n"/>
    </row>
    <row r="3723">
      <c r="A3723" s="7" t="n"/>
      <c r="B3723" s="8" t="n"/>
      <c r="C3723" s="8" t="n"/>
    </row>
    <row r="3724">
      <c r="A3724" s="7" t="n"/>
      <c r="B3724" s="8" t="n"/>
      <c r="C3724" s="8" t="n"/>
    </row>
    <row r="3725">
      <c r="A3725" s="7" t="n"/>
      <c r="B3725" s="8" t="n"/>
      <c r="C3725" s="8" t="n"/>
    </row>
    <row r="3726">
      <c r="A3726" s="7" t="n"/>
      <c r="B3726" s="8" t="n"/>
      <c r="C3726" s="8" t="n"/>
    </row>
    <row r="3727">
      <c r="A3727" s="7" t="n"/>
      <c r="B3727" s="8" t="n"/>
      <c r="C3727" s="8" t="n"/>
    </row>
    <row r="3728">
      <c r="A3728" s="7" t="n"/>
      <c r="B3728" s="8" t="n"/>
      <c r="C3728" s="8" t="n"/>
    </row>
    <row r="3729">
      <c r="A3729" s="7" t="n"/>
      <c r="B3729" s="8" t="n"/>
      <c r="C3729" s="8" t="n"/>
    </row>
    <row r="3730">
      <c r="A3730" s="7" t="n"/>
      <c r="B3730" s="8" t="n"/>
      <c r="C3730" s="8" t="n"/>
    </row>
    <row r="3731">
      <c r="A3731" s="7" t="n"/>
      <c r="B3731" s="8" t="n"/>
      <c r="C3731" s="8" t="n"/>
    </row>
    <row r="3732">
      <c r="A3732" s="7" t="n"/>
      <c r="B3732" s="8" t="n"/>
      <c r="C3732" s="8" t="n"/>
    </row>
    <row r="3733">
      <c r="A3733" s="7" t="n"/>
      <c r="B3733" s="8" t="n"/>
      <c r="C3733" s="8" t="n"/>
    </row>
    <row r="3734">
      <c r="A3734" s="7" t="n"/>
      <c r="B3734" s="8" t="n"/>
      <c r="C3734" s="8" t="n"/>
    </row>
    <row r="3735">
      <c r="A3735" s="7" t="n"/>
      <c r="B3735" s="8" t="n"/>
      <c r="C3735" s="8" t="n"/>
    </row>
    <row r="3736">
      <c r="A3736" s="7" t="n"/>
      <c r="B3736" s="8" t="n"/>
      <c r="C3736" s="8" t="n"/>
    </row>
    <row r="3737">
      <c r="A3737" s="7" t="n"/>
      <c r="B3737" s="8" t="n"/>
      <c r="C3737" s="8" t="n"/>
    </row>
    <row r="3738">
      <c r="A3738" s="7" t="n"/>
      <c r="B3738" s="8" t="n"/>
      <c r="C3738" s="8" t="n"/>
    </row>
    <row r="3739">
      <c r="A3739" s="7" t="n"/>
      <c r="B3739" s="8" t="n"/>
      <c r="C3739" s="8" t="n"/>
    </row>
    <row r="3740">
      <c r="A3740" s="7" t="n"/>
      <c r="B3740" s="8" t="n"/>
      <c r="C3740" s="8" t="n"/>
    </row>
    <row r="3741">
      <c r="A3741" s="7" t="n"/>
      <c r="B3741" s="8" t="n"/>
      <c r="C3741" s="8" t="n"/>
    </row>
    <row r="3742">
      <c r="A3742" s="7" t="n"/>
      <c r="B3742" s="8" t="n"/>
      <c r="C3742" s="8" t="n"/>
    </row>
    <row r="3743">
      <c r="A3743" s="7" t="n"/>
      <c r="B3743" s="8" t="n"/>
      <c r="C3743" s="8" t="n"/>
    </row>
    <row r="3744">
      <c r="A3744" s="7" t="n"/>
      <c r="B3744" s="8" t="n"/>
      <c r="C3744" s="8" t="n"/>
    </row>
    <row r="3745">
      <c r="A3745" s="7" t="n"/>
      <c r="B3745" s="8" t="n"/>
      <c r="C3745" s="8" t="n"/>
    </row>
    <row r="3746">
      <c r="A3746" s="7" t="n"/>
      <c r="B3746" s="8" t="n"/>
      <c r="C3746" s="8" t="n"/>
    </row>
    <row r="3747">
      <c r="A3747" s="7" t="n"/>
      <c r="B3747" s="8" t="n"/>
      <c r="C3747" s="8" t="n"/>
    </row>
    <row r="3748">
      <c r="A3748" s="7" t="n"/>
      <c r="B3748" s="8" t="n"/>
      <c r="C3748" s="8" t="n"/>
    </row>
    <row r="3749">
      <c r="A3749" s="7" t="n"/>
      <c r="B3749" s="8" t="n"/>
      <c r="C3749" s="8" t="n"/>
    </row>
    <row r="3750">
      <c r="A3750" s="7" t="n"/>
      <c r="B3750" s="8" t="n"/>
      <c r="C3750" s="8" t="n"/>
    </row>
    <row r="3751">
      <c r="A3751" s="7" t="n"/>
      <c r="B3751" s="8" t="n"/>
      <c r="C3751" s="8" t="n"/>
    </row>
    <row r="3752">
      <c r="A3752" s="7" t="n"/>
      <c r="B3752" s="8" t="n"/>
      <c r="C3752" s="8" t="n"/>
    </row>
    <row r="3753">
      <c r="A3753" s="7" t="n"/>
      <c r="B3753" s="8" t="n"/>
      <c r="C3753" s="8" t="n"/>
    </row>
    <row r="3754">
      <c r="A3754" s="7" t="n"/>
      <c r="B3754" s="8" t="n"/>
      <c r="C3754" s="8" t="n"/>
    </row>
    <row r="3755">
      <c r="A3755" s="7" t="n"/>
      <c r="B3755" s="8" t="n"/>
      <c r="C3755" s="8" t="n"/>
    </row>
    <row r="3756">
      <c r="A3756" s="7" t="n"/>
      <c r="B3756" s="8" t="n"/>
      <c r="C3756" s="8" t="n"/>
    </row>
    <row r="3757">
      <c r="A3757" s="7" t="n"/>
      <c r="B3757" s="8" t="n"/>
      <c r="C3757" s="8" t="n"/>
    </row>
    <row r="3758">
      <c r="A3758" s="7" t="n"/>
      <c r="B3758" s="8" t="n"/>
      <c r="C3758" s="8" t="n"/>
    </row>
    <row r="3759">
      <c r="A3759" s="7" t="n"/>
      <c r="B3759" s="8" t="n"/>
      <c r="C3759" s="8" t="n"/>
    </row>
    <row r="3760">
      <c r="A3760" s="7" t="n"/>
      <c r="B3760" s="8" t="n"/>
      <c r="C3760" s="8" t="n"/>
    </row>
    <row r="3761">
      <c r="A3761" s="7" t="n"/>
      <c r="B3761" s="8" t="n"/>
      <c r="C3761" s="8" t="n"/>
    </row>
    <row r="3762">
      <c r="A3762" s="7" t="n"/>
      <c r="B3762" s="8" t="n"/>
      <c r="C3762" s="8" t="n"/>
    </row>
    <row r="3763">
      <c r="A3763" s="7" t="n"/>
      <c r="B3763" s="8" t="n"/>
      <c r="C3763" s="8" t="n"/>
    </row>
    <row r="3764">
      <c r="A3764" s="7" t="n"/>
      <c r="B3764" s="8" t="n"/>
      <c r="C3764" s="8" t="n"/>
    </row>
    <row r="3765">
      <c r="A3765" s="7" t="n"/>
      <c r="B3765" s="8" t="n"/>
      <c r="C3765" s="8" t="n"/>
    </row>
    <row r="3766">
      <c r="A3766" s="7" t="n"/>
      <c r="B3766" s="8" t="n"/>
      <c r="C3766" s="8" t="n"/>
    </row>
    <row r="3767">
      <c r="A3767" s="7" t="n"/>
      <c r="B3767" s="8" t="n"/>
      <c r="C3767" s="8" t="n"/>
    </row>
    <row r="3768">
      <c r="A3768" s="7" t="n"/>
      <c r="B3768" s="8" t="n"/>
      <c r="C3768" s="8" t="n"/>
    </row>
    <row r="3769">
      <c r="A3769" s="7" t="n"/>
      <c r="B3769" s="8" t="n"/>
      <c r="C3769" s="8" t="n"/>
    </row>
    <row r="3770">
      <c r="A3770" s="7" t="n"/>
      <c r="B3770" s="8" t="n"/>
      <c r="C3770" s="8" t="n"/>
    </row>
    <row r="3771">
      <c r="A3771" s="7" t="n"/>
      <c r="B3771" s="8" t="n"/>
      <c r="C3771" s="8" t="n"/>
    </row>
    <row r="3772">
      <c r="A3772" s="7" t="n"/>
      <c r="B3772" s="8" t="n"/>
      <c r="C3772" s="8" t="n"/>
    </row>
    <row r="3773">
      <c r="A3773" s="7" t="n"/>
      <c r="B3773" s="8" t="n"/>
      <c r="C3773" s="8" t="n"/>
    </row>
    <row r="3774">
      <c r="A3774" s="7" t="n"/>
      <c r="B3774" s="8" t="n"/>
      <c r="C3774" s="8" t="n"/>
    </row>
    <row r="3775">
      <c r="A3775" s="7" t="n"/>
      <c r="B3775" s="8" t="n"/>
      <c r="C3775" s="8" t="n"/>
    </row>
    <row r="3776">
      <c r="A3776" s="7" t="n"/>
      <c r="B3776" s="8" t="n"/>
      <c r="C3776" s="8" t="n"/>
    </row>
    <row r="3777">
      <c r="A3777" s="7" t="n"/>
      <c r="B3777" s="8" t="n"/>
      <c r="C3777" s="8" t="n"/>
    </row>
    <row r="3778">
      <c r="A3778" s="7" t="n"/>
      <c r="B3778" s="8" t="n"/>
      <c r="C3778" s="8" t="n"/>
    </row>
    <row r="3779">
      <c r="A3779" s="7" t="n"/>
      <c r="B3779" s="8" t="n"/>
      <c r="C3779" s="8" t="n"/>
    </row>
    <row r="3780">
      <c r="A3780" s="7" t="n"/>
      <c r="B3780" s="8" t="n"/>
      <c r="C3780" s="8" t="n"/>
    </row>
    <row r="3781">
      <c r="A3781" s="7" t="n"/>
      <c r="B3781" s="8" t="n"/>
      <c r="C3781" s="8" t="n"/>
    </row>
    <row r="3782">
      <c r="A3782" s="7" t="n"/>
      <c r="B3782" s="8" t="n"/>
      <c r="C3782" s="8" t="n"/>
    </row>
    <row r="3783">
      <c r="A3783" s="7" t="n"/>
      <c r="B3783" s="8" t="n"/>
      <c r="C3783" s="8" t="n"/>
    </row>
    <row r="3784">
      <c r="A3784" s="7" t="n"/>
      <c r="B3784" s="8" t="n"/>
      <c r="C3784" s="8" t="n"/>
    </row>
    <row r="3785">
      <c r="A3785" s="7" t="n"/>
      <c r="B3785" s="8" t="n"/>
      <c r="C3785" s="8" t="n"/>
    </row>
    <row r="3786">
      <c r="A3786" s="7" t="n"/>
      <c r="B3786" s="8" t="n"/>
      <c r="C3786" s="8" t="n"/>
    </row>
    <row r="3787">
      <c r="A3787" s="7" t="n"/>
      <c r="B3787" s="8" t="n"/>
      <c r="C3787" s="8" t="n"/>
    </row>
    <row r="3788">
      <c r="A3788" s="7" t="n"/>
      <c r="B3788" s="8" t="n"/>
      <c r="C3788" s="8" t="n"/>
    </row>
    <row r="3789">
      <c r="A3789" s="7" t="n"/>
      <c r="B3789" s="8" t="n"/>
      <c r="C3789" s="8" t="n"/>
    </row>
    <row r="3790">
      <c r="A3790" s="7" t="n"/>
      <c r="B3790" s="8" t="n"/>
      <c r="C3790" s="8" t="n"/>
    </row>
    <row r="3791">
      <c r="A3791" s="7" t="n"/>
      <c r="B3791" s="8" t="n"/>
      <c r="C3791" s="8" t="n"/>
    </row>
    <row r="3792">
      <c r="A3792" s="7" t="n"/>
      <c r="B3792" s="8" t="n"/>
      <c r="C3792" s="8" t="n"/>
    </row>
    <row r="3793">
      <c r="A3793" s="7" t="n"/>
      <c r="B3793" s="8" t="n"/>
      <c r="C3793" s="8" t="n"/>
    </row>
    <row r="3794">
      <c r="A3794" s="7" t="n"/>
      <c r="B3794" s="8" t="n"/>
      <c r="C3794" s="8" t="n"/>
    </row>
    <row r="3795">
      <c r="A3795" s="7" t="n"/>
      <c r="B3795" s="8" t="n"/>
      <c r="C3795" s="8" t="n"/>
    </row>
    <row r="3796">
      <c r="A3796" s="7" t="n"/>
      <c r="B3796" s="8" t="n"/>
      <c r="C3796" s="8" t="n"/>
    </row>
    <row r="3797">
      <c r="A3797" s="7" t="n"/>
      <c r="B3797" s="8" t="n"/>
      <c r="C3797" s="8" t="n"/>
    </row>
    <row r="3798">
      <c r="A3798" s="7" t="n"/>
      <c r="B3798" s="8" t="n"/>
      <c r="C3798" s="8" t="n"/>
    </row>
    <row r="3799">
      <c r="A3799" s="7" t="n"/>
      <c r="B3799" s="8" t="n"/>
      <c r="C3799" s="8" t="n"/>
    </row>
    <row r="3800">
      <c r="A3800" s="7" t="n"/>
      <c r="B3800" s="8" t="n"/>
      <c r="C3800" s="8" t="n"/>
    </row>
    <row r="3801">
      <c r="A3801" s="7" t="n"/>
      <c r="B3801" s="8" t="n"/>
      <c r="C3801" s="8" t="n"/>
    </row>
    <row r="3802">
      <c r="A3802" s="7" t="n"/>
      <c r="B3802" s="8" t="n"/>
      <c r="C3802" s="8" t="n"/>
    </row>
    <row r="3803">
      <c r="A3803" s="7" t="n"/>
      <c r="B3803" s="8" t="n"/>
      <c r="C3803" s="8" t="n"/>
    </row>
    <row r="3804">
      <c r="A3804" s="7" t="n"/>
      <c r="B3804" s="8" t="n"/>
      <c r="C3804" s="8" t="n"/>
    </row>
    <row r="3805">
      <c r="A3805" s="7" t="n"/>
      <c r="B3805" s="8" t="n"/>
      <c r="C3805" s="8" t="n"/>
    </row>
    <row r="3806">
      <c r="A3806" s="7" t="n"/>
      <c r="B3806" s="8" t="n"/>
      <c r="C3806" s="8" t="n"/>
    </row>
    <row r="3807">
      <c r="A3807" s="7" t="n"/>
      <c r="B3807" s="8" t="n"/>
      <c r="C3807" s="8" t="n"/>
    </row>
    <row r="3808">
      <c r="A3808" s="7" t="n"/>
      <c r="B3808" s="8" t="n"/>
      <c r="C3808" s="8" t="n"/>
    </row>
    <row r="3809">
      <c r="A3809" s="7" t="n"/>
      <c r="B3809" s="8" t="n"/>
      <c r="C3809" s="8" t="n"/>
    </row>
    <row r="3810">
      <c r="A3810" s="7" t="n"/>
      <c r="B3810" s="8" t="n"/>
      <c r="C3810" s="8" t="n"/>
    </row>
    <row r="3811">
      <c r="A3811" s="7" t="n"/>
      <c r="B3811" s="8" t="n"/>
      <c r="C3811" s="8" t="n"/>
    </row>
    <row r="3812">
      <c r="A3812" s="7" t="n"/>
      <c r="B3812" s="8" t="n"/>
      <c r="C3812" s="8" t="n"/>
    </row>
    <row r="3813">
      <c r="A3813" s="7" t="n"/>
      <c r="B3813" s="8" t="n"/>
      <c r="C3813" s="8" t="n"/>
    </row>
    <row r="3814">
      <c r="A3814" s="7" t="n"/>
      <c r="B3814" s="8" t="n"/>
      <c r="C3814" s="8" t="n"/>
    </row>
    <row r="3815">
      <c r="A3815" s="7" t="n"/>
      <c r="B3815" s="8" t="n"/>
      <c r="C3815" s="8" t="n"/>
    </row>
    <row r="3816">
      <c r="A3816" s="7" t="n"/>
      <c r="B3816" s="8" t="n"/>
      <c r="C3816" s="8" t="n"/>
    </row>
    <row r="3817">
      <c r="A3817" s="7" t="n"/>
      <c r="B3817" s="8" t="n"/>
      <c r="C3817" s="8" t="n"/>
    </row>
    <row r="3818">
      <c r="A3818" s="7" t="n"/>
      <c r="B3818" s="8" t="n"/>
      <c r="C3818" s="8" t="n"/>
    </row>
    <row r="3819">
      <c r="A3819" s="7" t="n"/>
      <c r="B3819" s="8" t="n"/>
      <c r="C3819" s="8" t="n"/>
    </row>
    <row r="3820">
      <c r="A3820" s="7" t="n"/>
      <c r="B3820" s="8" t="n"/>
      <c r="C3820" s="8" t="n"/>
    </row>
    <row r="3821">
      <c r="A3821" s="7" t="n"/>
      <c r="B3821" s="8" t="n"/>
      <c r="C3821" s="8" t="n"/>
    </row>
    <row r="3822">
      <c r="A3822" s="7" t="n"/>
      <c r="B3822" s="8" t="n"/>
      <c r="C3822" s="8" t="n"/>
    </row>
    <row r="3823">
      <c r="A3823" s="7" t="n"/>
      <c r="B3823" s="8" t="n"/>
      <c r="C3823" s="8" t="n"/>
    </row>
    <row r="3824">
      <c r="A3824" s="7" t="n"/>
      <c r="B3824" s="8" t="n"/>
      <c r="C3824" s="8" t="n"/>
    </row>
    <row r="3825">
      <c r="A3825" s="7" t="n"/>
      <c r="B3825" s="8" t="n"/>
      <c r="C3825" s="8" t="n"/>
    </row>
    <row r="3826">
      <c r="A3826" s="7" t="n"/>
      <c r="B3826" s="8" t="n"/>
      <c r="C3826" s="8" t="n"/>
    </row>
    <row r="3827">
      <c r="A3827" s="7" t="n"/>
      <c r="B3827" s="8" t="n"/>
      <c r="C3827" s="8" t="n"/>
    </row>
    <row r="3828">
      <c r="A3828" s="7" t="n"/>
      <c r="B3828" s="8" t="n"/>
      <c r="C3828" s="8" t="n"/>
    </row>
    <row r="3829">
      <c r="A3829" s="7" t="n"/>
      <c r="B3829" s="8" t="n"/>
      <c r="C3829" s="8" t="n"/>
    </row>
    <row r="3830">
      <c r="A3830" s="7" t="n"/>
      <c r="B3830" s="8" t="n"/>
      <c r="C3830" s="8" t="n"/>
    </row>
    <row r="3831">
      <c r="A3831" s="7" t="n"/>
      <c r="B3831" s="8" t="n"/>
      <c r="C3831" s="8" t="n"/>
    </row>
    <row r="3832">
      <c r="A3832" s="7" t="n"/>
      <c r="B3832" s="8" t="n"/>
      <c r="C3832" s="8" t="n"/>
    </row>
    <row r="3833">
      <c r="A3833" s="7" t="n"/>
      <c r="B3833" s="8" t="n"/>
      <c r="C3833" s="8" t="n"/>
    </row>
    <row r="3834">
      <c r="A3834" s="7" t="n"/>
      <c r="B3834" s="8" t="n"/>
      <c r="C3834" s="8" t="n"/>
    </row>
    <row r="3835">
      <c r="A3835" s="7" t="n"/>
      <c r="B3835" s="8" t="n"/>
      <c r="C3835" s="8" t="n"/>
    </row>
    <row r="3836">
      <c r="A3836" s="7" t="n"/>
      <c r="B3836" s="8" t="n"/>
      <c r="C3836" s="8" t="n"/>
    </row>
    <row r="3837">
      <c r="A3837" s="7" t="n"/>
      <c r="B3837" s="8" t="n"/>
      <c r="C3837" s="8" t="n"/>
    </row>
    <row r="3838">
      <c r="A3838" s="7" t="n"/>
      <c r="B3838" s="8" t="n"/>
      <c r="C3838" s="8" t="n"/>
    </row>
    <row r="3839">
      <c r="A3839" s="7" t="n"/>
      <c r="B3839" s="8" t="n"/>
      <c r="C3839" s="8" t="n"/>
    </row>
    <row r="3840">
      <c r="A3840" s="7" t="n"/>
      <c r="B3840" s="8" t="n"/>
      <c r="C3840" s="8" t="n"/>
    </row>
    <row r="3841">
      <c r="A3841" s="7" t="n"/>
      <c r="B3841" s="8" t="n"/>
      <c r="C3841" s="8" t="n"/>
    </row>
    <row r="3842">
      <c r="A3842" s="7" t="n"/>
      <c r="B3842" s="8" t="n"/>
      <c r="C3842" s="8" t="n"/>
    </row>
    <row r="3843">
      <c r="A3843" s="7" t="n"/>
      <c r="B3843" s="8" t="n"/>
      <c r="C3843" s="8" t="n"/>
    </row>
    <row r="3844">
      <c r="A3844" s="7" t="n"/>
      <c r="B3844" s="8" t="n"/>
      <c r="C3844" s="8" t="n"/>
    </row>
    <row r="3845">
      <c r="A3845" s="7" t="n"/>
      <c r="B3845" s="8" t="n"/>
      <c r="C3845" s="8" t="n"/>
    </row>
    <row r="3846">
      <c r="A3846" s="7" t="n"/>
      <c r="B3846" s="8" t="n"/>
      <c r="C3846" s="8" t="n"/>
    </row>
    <row r="3847">
      <c r="A3847" s="7" t="n"/>
      <c r="B3847" s="8" t="n"/>
      <c r="C3847" s="8" t="n"/>
    </row>
    <row r="3848">
      <c r="A3848" s="7" t="n"/>
      <c r="B3848" s="8" t="n"/>
      <c r="C3848" s="8" t="n"/>
    </row>
    <row r="3849">
      <c r="A3849" s="7" t="n"/>
      <c r="B3849" s="8" t="n"/>
      <c r="C3849" s="8" t="n"/>
    </row>
    <row r="3850">
      <c r="A3850" s="7" t="n"/>
      <c r="B3850" s="8" t="n"/>
      <c r="C3850" s="8" t="n"/>
    </row>
    <row r="3851">
      <c r="A3851" s="7" t="n"/>
      <c r="B3851" s="8" t="n"/>
      <c r="C3851" s="8" t="n"/>
    </row>
    <row r="3852">
      <c r="A3852" s="7" t="n"/>
      <c r="B3852" s="8" t="n"/>
      <c r="C3852" s="8" t="n"/>
    </row>
    <row r="3853">
      <c r="A3853" s="7" t="n"/>
      <c r="B3853" s="8" t="n"/>
      <c r="C3853" s="8" t="n"/>
    </row>
    <row r="3854">
      <c r="A3854" s="7" t="n"/>
      <c r="B3854" s="8" t="n"/>
      <c r="C3854" s="8" t="n"/>
    </row>
    <row r="3855">
      <c r="A3855" s="7" t="n"/>
      <c r="B3855" s="8" t="n"/>
      <c r="C3855" s="8" t="n"/>
    </row>
    <row r="3856">
      <c r="A3856" s="7" t="n"/>
      <c r="B3856" s="8" t="n"/>
      <c r="C3856" s="8" t="n"/>
    </row>
    <row r="3857">
      <c r="A3857" s="7" t="n"/>
      <c r="B3857" s="8" t="n"/>
      <c r="C3857" s="8" t="n"/>
    </row>
    <row r="3858">
      <c r="A3858" s="7" t="n"/>
      <c r="B3858" s="8" t="n"/>
      <c r="C3858" s="8" t="n"/>
    </row>
    <row r="3859">
      <c r="A3859" s="7" t="n"/>
      <c r="B3859" s="8" t="n"/>
      <c r="C3859" s="8" t="n"/>
    </row>
    <row r="3860">
      <c r="A3860" s="7" t="n"/>
      <c r="B3860" s="8" t="n"/>
      <c r="C3860" s="8" t="n"/>
    </row>
    <row r="3861">
      <c r="A3861" s="7" t="n"/>
      <c r="B3861" s="8" t="n"/>
      <c r="C3861" s="8" t="n"/>
    </row>
    <row r="3862">
      <c r="A3862" s="7" t="n"/>
      <c r="B3862" s="8" t="n"/>
      <c r="C3862" s="8" t="n"/>
    </row>
    <row r="3863">
      <c r="A3863" s="7" t="n"/>
      <c r="B3863" s="8" t="n"/>
      <c r="C3863" s="8" t="n"/>
    </row>
    <row r="3864">
      <c r="A3864" s="7" t="n"/>
      <c r="B3864" s="8" t="n"/>
      <c r="C3864" s="8" t="n"/>
    </row>
    <row r="3865">
      <c r="A3865" s="7" t="n"/>
      <c r="B3865" s="8" t="n"/>
      <c r="C3865" s="8" t="n"/>
    </row>
    <row r="3866">
      <c r="A3866" s="7" t="n"/>
      <c r="B3866" s="8" t="n"/>
      <c r="C3866" s="8" t="n"/>
    </row>
    <row r="3867">
      <c r="A3867" s="7" t="n"/>
      <c r="B3867" s="8" t="n"/>
      <c r="C3867" s="8" t="n"/>
    </row>
    <row r="3868">
      <c r="A3868" s="7" t="n"/>
      <c r="B3868" s="8" t="n"/>
      <c r="C3868" s="8" t="n"/>
    </row>
    <row r="3869">
      <c r="A3869" s="7" t="n"/>
      <c r="B3869" s="8" t="n"/>
      <c r="C3869" s="8" t="n"/>
    </row>
    <row r="3870">
      <c r="A3870" s="7" t="n"/>
      <c r="B3870" s="8" t="n"/>
      <c r="C3870" s="8" t="n"/>
    </row>
    <row r="3871">
      <c r="A3871" s="7" t="n"/>
      <c r="B3871" s="8" t="n"/>
      <c r="C3871" s="8" t="n"/>
    </row>
    <row r="3872">
      <c r="A3872" s="7" t="n"/>
      <c r="B3872" s="8" t="n"/>
      <c r="C3872" s="8" t="n"/>
    </row>
    <row r="3873">
      <c r="A3873" s="7" t="n"/>
      <c r="B3873" s="8" t="n"/>
      <c r="C3873" s="8" t="n"/>
    </row>
    <row r="3874">
      <c r="A3874" s="7" t="n"/>
      <c r="B3874" s="8" t="n"/>
      <c r="C3874" s="8" t="n"/>
    </row>
    <row r="3875">
      <c r="A3875" s="7" t="n"/>
      <c r="B3875" s="8" t="n"/>
      <c r="C3875" s="8" t="n"/>
    </row>
    <row r="3876">
      <c r="A3876" s="7" t="n"/>
      <c r="B3876" s="8" t="n"/>
      <c r="C3876" s="8" t="n"/>
    </row>
    <row r="3877">
      <c r="A3877" s="7" t="n"/>
      <c r="B3877" s="8" t="n"/>
      <c r="C3877" s="8" t="n"/>
    </row>
    <row r="3878">
      <c r="A3878" s="7" t="n"/>
      <c r="B3878" s="8" t="n"/>
      <c r="C3878" s="8" t="n"/>
    </row>
    <row r="3879">
      <c r="A3879" s="7" t="n"/>
      <c r="B3879" s="8" t="n"/>
      <c r="C3879" s="8" t="n"/>
    </row>
    <row r="3880">
      <c r="A3880" s="7" t="n"/>
      <c r="B3880" s="8" t="n"/>
      <c r="C3880" s="8" t="n"/>
    </row>
    <row r="3881">
      <c r="A3881" s="7" t="n"/>
      <c r="B3881" s="8" t="n"/>
      <c r="C3881" s="8" t="n"/>
    </row>
    <row r="3882">
      <c r="A3882" s="7" t="n"/>
      <c r="B3882" s="8" t="n"/>
      <c r="C3882" s="8" t="n"/>
    </row>
    <row r="3883">
      <c r="A3883" s="7" t="n"/>
      <c r="B3883" s="8" t="n"/>
      <c r="C3883" s="8" t="n"/>
    </row>
    <row r="3884">
      <c r="A3884" s="7" t="n"/>
      <c r="B3884" s="8" t="n"/>
      <c r="C3884" s="8" t="n"/>
    </row>
    <row r="3885">
      <c r="A3885" s="7" t="n"/>
      <c r="B3885" s="8" t="n"/>
      <c r="C3885" s="8" t="n"/>
    </row>
    <row r="3886">
      <c r="A3886" s="7" t="n"/>
      <c r="B3886" s="8" t="n"/>
      <c r="C3886" s="8" t="n"/>
    </row>
    <row r="3887">
      <c r="A3887" s="7" t="n"/>
      <c r="B3887" s="8" t="n"/>
      <c r="C3887" s="8" t="n"/>
    </row>
    <row r="3888">
      <c r="A3888" s="7" t="n"/>
      <c r="B3888" s="8" t="n"/>
      <c r="C3888" s="8" t="n"/>
    </row>
    <row r="3889">
      <c r="A3889" s="7" t="n"/>
      <c r="B3889" s="8" t="n"/>
      <c r="C3889" s="8" t="n"/>
    </row>
    <row r="3890">
      <c r="A3890" s="7" t="n"/>
      <c r="B3890" s="8" t="n"/>
      <c r="C3890" s="8" t="n"/>
    </row>
    <row r="3891">
      <c r="A3891" s="7" t="n"/>
      <c r="B3891" s="8" t="n"/>
      <c r="C3891" s="8" t="n"/>
    </row>
    <row r="3892">
      <c r="A3892" s="7" t="n"/>
      <c r="B3892" s="8" t="n"/>
      <c r="C3892" s="8" t="n"/>
    </row>
    <row r="3893">
      <c r="A3893" s="7" t="n"/>
      <c r="B3893" s="8" t="n"/>
      <c r="C3893" s="8" t="n"/>
    </row>
    <row r="3894">
      <c r="A3894" s="7" t="n"/>
      <c r="B3894" s="8" t="n"/>
      <c r="C3894" s="8" t="n"/>
    </row>
    <row r="3895">
      <c r="A3895" s="7" t="n"/>
      <c r="B3895" s="8" t="n"/>
      <c r="C3895" s="8" t="n"/>
    </row>
    <row r="3896">
      <c r="A3896" s="7" t="n"/>
      <c r="B3896" s="8" t="n"/>
      <c r="C3896" s="8" t="n"/>
    </row>
    <row r="3897">
      <c r="A3897" s="7" t="n"/>
      <c r="B3897" s="8" t="n"/>
      <c r="C3897" s="8" t="n"/>
    </row>
    <row r="3898">
      <c r="A3898" s="7" t="n"/>
      <c r="B3898" s="8" t="n"/>
      <c r="C3898" s="8" t="n"/>
    </row>
    <row r="3899">
      <c r="A3899" s="7" t="n"/>
      <c r="B3899" s="8" t="n"/>
      <c r="C3899" s="8" t="n"/>
    </row>
    <row r="3900">
      <c r="A3900" s="7" t="n"/>
      <c r="B3900" s="8" t="n"/>
      <c r="C3900" s="8" t="n"/>
    </row>
    <row r="3901">
      <c r="A3901" s="7" t="n"/>
      <c r="B3901" s="8" t="n"/>
      <c r="C3901" s="8" t="n"/>
    </row>
    <row r="3902">
      <c r="A3902" s="7" t="n"/>
      <c r="B3902" s="8" t="n"/>
      <c r="C3902" s="8" t="n"/>
    </row>
    <row r="3903">
      <c r="A3903" s="7" t="n"/>
      <c r="B3903" s="8" t="n"/>
      <c r="C3903" s="8" t="n"/>
    </row>
    <row r="3904">
      <c r="A3904" s="7" t="n"/>
      <c r="B3904" s="8" t="n"/>
      <c r="C3904" s="8" t="n"/>
    </row>
    <row r="3905">
      <c r="A3905" s="7" t="n"/>
      <c r="B3905" s="8" t="n"/>
      <c r="C3905" s="8" t="n"/>
    </row>
    <row r="3906">
      <c r="A3906" s="7" t="n"/>
      <c r="B3906" s="8" t="n"/>
      <c r="C3906" s="8" t="n"/>
    </row>
    <row r="3907">
      <c r="A3907" s="7" t="n"/>
      <c r="B3907" s="8" t="n"/>
      <c r="C3907" s="8" t="n"/>
    </row>
    <row r="3908">
      <c r="A3908" s="7" t="n"/>
      <c r="B3908" s="8" t="n"/>
      <c r="C3908" s="8" t="n"/>
    </row>
    <row r="3909">
      <c r="A3909" s="7" t="n"/>
      <c r="B3909" s="8" t="n"/>
      <c r="C3909" s="8" t="n"/>
    </row>
    <row r="3910">
      <c r="A3910" s="7" t="n"/>
      <c r="B3910" s="8" t="n"/>
      <c r="C3910" s="8" t="n"/>
    </row>
    <row r="3911">
      <c r="A3911" s="7" t="n"/>
      <c r="B3911" s="8" t="n"/>
      <c r="C3911" s="8" t="n"/>
    </row>
    <row r="3912">
      <c r="A3912" s="7" t="n"/>
      <c r="B3912" s="8" t="n"/>
      <c r="C3912" s="8" t="n"/>
    </row>
    <row r="3913">
      <c r="A3913" s="7" t="n"/>
      <c r="B3913" s="8" t="n"/>
      <c r="C3913" s="8" t="n"/>
    </row>
    <row r="3914">
      <c r="A3914" s="7" t="n"/>
      <c r="B3914" s="8" t="n"/>
      <c r="C3914" s="8" t="n"/>
    </row>
    <row r="3915">
      <c r="A3915" s="7" t="n"/>
      <c r="B3915" s="8" t="n"/>
      <c r="C3915" s="8" t="n"/>
    </row>
    <row r="3916">
      <c r="A3916" s="7" t="n"/>
      <c r="B3916" s="8" t="n"/>
      <c r="C3916" s="8" t="n"/>
    </row>
    <row r="3917">
      <c r="A3917" s="7" t="n"/>
      <c r="B3917" s="8" t="n"/>
      <c r="C3917" s="8" t="n"/>
    </row>
    <row r="3918">
      <c r="A3918" s="7" t="n"/>
      <c r="B3918" s="8" t="n"/>
      <c r="C3918" s="8" t="n"/>
    </row>
    <row r="3919">
      <c r="A3919" s="7" t="n"/>
      <c r="B3919" s="8" t="n"/>
      <c r="C3919" s="8" t="n"/>
    </row>
    <row r="3920">
      <c r="A3920" s="7" t="n"/>
      <c r="B3920" s="8" t="n"/>
      <c r="C3920" s="8" t="n"/>
    </row>
    <row r="3921">
      <c r="A3921" s="7" t="n"/>
      <c r="B3921" s="8" t="n"/>
      <c r="C3921" s="8" t="n"/>
    </row>
    <row r="3922">
      <c r="A3922" s="7" t="n"/>
      <c r="B3922" s="8" t="n"/>
      <c r="C3922" s="8" t="n"/>
    </row>
    <row r="3923">
      <c r="A3923" s="7" t="n"/>
      <c r="B3923" s="8" t="n"/>
      <c r="C3923" s="8" t="n"/>
    </row>
    <row r="3924">
      <c r="A3924" s="7" t="n"/>
      <c r="B3924" s="8" t="n"/>
      <c r="C3924" s="8" t="n"/>
    </row>
    <row r="3925">
      <c r="A3925" s="7" t="n"/>
      <c r="B3925" s="8" t="n"/>
      <c r="C3925" s="8" t="n"/>
    </row>
    <row r="3926">
      <c r="A3926" s="7" t="n"/>
      <c r="B3926" s="8" t="n"/>
      <c r="C3926" s="8" t="n"/>
    </row>
    <row r="3927">
      <c r="A3927" s="7" t="n"/>
      <c r="B3927" s="8" t="n"/>
      <c r="C3927" s="8" t="n"/>
    </row>
    <row r="3928">
      <c r="A3928" s="7" t="n"/>
      <c r="B3928" s="8" t="n"/>
      <c r="C3928" s="8" t="n"/>
    </row>
    <row r="3929">
      <c r="A3929" s="7" t="n"/>
      <c r="B3929" s="8" t="n"/>
      <c r="C3929" s="8" t="n"/>
    </row>
    <row r="3930">
      <c r="A3930" s="7" t="n"/>
      <c r="B3930" s="8" t="n"/>
      <c r="C3930" s="8" t="n"/>
    </row>
    <row r="3931">
      <c r="A3931" s="7" t="n"/>
      <c r="B3931" s="8" t="n"/>
      <c r="C3931" s="8" t="n"/>
    </row>
    <row r="3932">
      <c r="A3932" s="7" t="n"/>
      <c r="B3932" s="8" t="n"/>
      <c r="C3932" s="8" t="n"/>
    </row>
    <row r="3933">
      <c r="A3933" s="7" t="n"/>
      <c r="B3933" s="8" t="n"/>
      <c r="C3933" s="8" t="n"/>
    </row>
    <row r="3934">
      <c r="A3934" s="7" t="n"/>
      <c r="B3934" s="8" t="n"/>
      <c r="C3934" s="8" t="n"/>
    </row>
    <row r="3935">
      <c r="A3935" s="7" t="n"/>
      <c r="B3935" s="8" t="n"/>
      <c r="C3935" s="8" t="n"/>
    </row>
    <row r="3936">
      <c r="A3936" s="7" t="n"/>
      <c r="B3936" s="8" t="n"/>
      <c r="C3936" s="8" t="n"/>
    </row>
    <row r="3937">
      <c r="A3937" s="7" t="n"/>
      <c r="B3937" s="8" t="n"/>
      <c r="C3937" s="8" t="n"/>
    </row>
    <row r="3938">
      <c r="A3938" s="7" t="n"/>
      <c r="B3938" s="8" t="n"/>
      <c r="C3938" s="8" t="n"/>
    </row>
    <row r="3939">
      <c r="A3939" s="7" t="n"/>
      <c r="B3939" s="8" t="n"/>
      <c r="C3939" s="8" t="n"/>
    </row>
    <row r="3940">
      <c r="A3940" s="7" t="n"/>
      <c r="B3940" s="8" t="n"/>
      <c r="C3940" s="8" t="n"/>
    </row>
    <row r="3941">
      <c r="A3941" s="7" t="n"/>
      <c r="B3941" s="8" t="n"/>
      <c r="C3941" s="8" t="n"/>
    </row>
    <row r="3942">
      <c r="A3942" s="7" t="n"/>
      <c r="B3942" s="8" t="n"/>
      <c r="C3942" s="8" t="n"/>
    </row>
    <row r="3943">
      <c r="A3943" s="7" t="n"/>
      <c r="B3943" s="8" t="n"/>
      <c r="C3943" s="8" t="n"/>
    </row>
    <row r="3944">
      <c r="A3944" s="7" t="n"/>
      <c r="B3944" s="8" t="n"/>
      <c r="C3944" s="8" t="n"/>
    </row>
    <row r="3945">
      <c r="A3945" s="7" t="n"/>
      <c r="B3945" s="8" t="n"/>
      <c r="C3945" s="8" t="n"/>
    </row>
    <row r="3946">
      <c r="A3946" s="7" t="n"/>
      <c r="B3946" s="8" t="n"/>
      <c r="C3946" s="8" t="n"/>
    </row>
    <row r="3947">
      <c r="A3947" s="7" t="n"/>
      <c r="B3947" s="8" t="n"/>
      <c r="C3947" s="8" t="n"/>
    </row>
    <row r="3948">
      <c r="A3948" s="7" t="n"/>
      <c r="B3948" s="8" t="n"/>
      <c r="C3948" s="8" t="n"/>
    </row>
    <row r="3949">
      <c r="A3949" s="7" t="n"/>
      <c r="B3949" s="8" t="n"/>
      <c r="C3949" s="8" t="n"/>
    </row>
    <row r="3950">
      <c r="A3950" s="7" t="n"/>
      <c r="B3950" s="8" t="n"/>
      <c r="C3950" s="8" t="n"/>
    </row>
    <row r="3951">
      <c r="A3951" s="7" t="n"/>
      <c r="B3951" s="8" t="n"/>
      <c r="C3951" s="8" t="n"/>
    </row>
    <row r="3952">
      <c r="A3952" s="7" t="n"/>
      <c r="B3952" s="8" t="n"/>
      <c r="C3952" s="8" t="n"/>
    </row>
    <row r="3953">
      <c r="A3953" s="7" t="n"/>
      <c r="B3953" s="8" t="n"/>
      <c r="C3953" s="8" t="n"/>
    </row>
    <row r="3954">
      <c r="A3954" s="7" t="n"/>
      <c r="B3954" s="8" t="n"/>
      <c r="C3954" s="8" t="n"/>
    </row>
    <row r="3955">
      <c r="A3955" s="7" t="n"/>
      <c r="B3955" s="8" t="n"/>
      <c r="C3955" s="8" t="n"/>
    </row>
    <row r="3956">
      <c r="A3956" s="7" t="n"/>
      <c r="B3956" s="8" t="n"/>
      <c r="C3956" s="8" t="n"/>
    </row>
    <row r="3957">
      <c r="A3957" s="7" t="n"/>
      <c r="B3957" s="8" t="n"/>
      <c r="C3957" s="8" t="n"/>
    </row>
    <row r="3958">
      <c r="A3958" s="7" t="n"/>
      <c r="B3958" s="8" t="n"/>
      <c r="C3958" s="8" t="n"/>
    </row>
    <row r="3959">
      <c r="A3959" s="7" t="n"/>
      <c r="B3959" s="8" t="n"/>
      <c r="C3959" s="8" t="n"/>
    </row>
    <row r="3960">
      <c r="A3960" s="7" t="n"/>
      <c r="B3960" s="8" t="n"/>
      <c r="C3960" s="8" t="n"/>
    </row>
    <row r="3961">
      <c r="A3961" s="7" t="n"/>
      <c r="B3961" s="8" t="n"/>
      <c r="C3961" s="8" t="n"/>
    </row>
    <row r="3962">
      <c r="A3962" s="7" t="n"/>
      <c r="B3962" s="8" t="n"/>
      <c r="C3962" s="8" t="n"/>
    </row>
    <row r="3963">
      <c r="A3963" s="7" t="n"/>
      <c r="B3963" s="8" t="n"/>
      <c r="C3963" s="8" t="n"/>
    </row>
    <row r="3964">
      <c r="A3964" s="7" t="n"/>
      <c r="B3964" s="8" t="n"/>
      <c r="C3964" s="8" t="n"/>
    </row>
    <row r="3965">
      <c r="A3965" s="7" t="n"/>
      <c r="B3965" s="8" t="n"/>
      <c r="C3965" s="8" t="n"/>
    </row>
    <row r="3966">
      <c r="A3966" s="7" t="n"/>
      <c r="B3966" s="8" t="n"/>
      <c r="C3966" s="8" t="n"/>
    </row>
    <row r="3967">
      <c r="A3967" s="7" t="n"/>
      <c r="B3967" s="8" t="n"/>
      <c r="C3967" s="8" t="n"/>
    </row>
    <row r="3968">
      <c r="A3968" s="7" t="n"/>
      <c r="B3968" s="8" t="n"/>
      <c r="C3968" s="8" t="n"/>
    </row>
    <row r="3969">
      <c r="A3969" s="7" t="n"/>
      <c r="B3969" s="8" t="n"/>
      <c r="C3969" s="8" t="n"/>
    </row>
    <row r="3970">
      <c r="A3970" s="7" t="n"/>
      <c r="B3970" s="8" t="n"/>
      <c r="C3970" s="8" t="n"/>
    </row>
    <row r="3971">
      <c r="A3971" s="7" t="n"/>
      <c r="B3971" s="8" t="n"/>
      <c r="C3971" s="8" t="n"/>
    </row>
    <row r="3972">
      <c r="A3972" s="7" t="n"/>
      <c r="B3972" s="8" t="n"/>
      <c r="C3972" s="8" t="n"/>
    </row>
    <row r="3973">
      <c r="A3973" s="7" t="n"/>
      <c r="B3973" s="8" t="n"/>
      <c r="C3973" s="8" t="n"/>
    </row>
    <row r="3974">
      <c r="A3974" s="7" t="n"/>
      <c r="B3974" s="8" t="n"/>
      <c r="C3974" s="8" t="n"/>
    </row>
    <row r="3975">
      <c r="A3975" s="7" t="n"/>
      <c r="B3975" s="8" t="n"/>
      <c r="C3975" s="8" t="n"/>
    </row>
    <row r="3976">
      <c r="A3976" s="7" t="n"/>
      <c r="B3976" s="8" t="n"/>
      <c r="C3976" s="8" t="n"/>
    </row>
    <row r="3977">
      <c r="A3977" s="7" t="n"/>
      <c r="B3977" s="8" t="n"/>
      <c r="C3977" s="8" t="n"/>
    </row>
    <row r="3978">
      <c r="A3978" s="7" t="n"/>
      <c r="B3978" s="8" t="n"/>
      <c r="C3978" s="8" t="n"/>
    </row>
    <row r="3979">
      <c r="A3979" s="7" t="n"/>
      <c r="B3979" s="8" t="n"/>
      <c r="C3979" s="8" t="n"/>
    </row>
    <row r="3980">
      <c r="A3980" s="7" t="n"/>
      <c r="B3980" s="8" t="n"/>
      <c r="C3980" s="8" t="n"/>
    </row>
    <row r="3981">
      <c r="A3981" s="7" t="n"/>
      <c r="B3981" s="8" t="n"/>
      <c r="C3981" s="8" t="n"/>
    </row>
    <row r="3982">
      <c r="A3982" s="7" t="n"/>
      <c r="B3982" s="8" t="n"/>
      <c r="C3982" s="8" t="n"/>
    </row>
    <row r="3983">
      <c r="A3983" s="7" t="n"/>
      <c r="B3983" s="8" t="n"/>
      <c r="C3983" s="8" t="n"/>
    </row>
    <row r="3984">
      <c r="A3984" s="7" t="n"/>
      <c r="B3984" s="8" t="n"/>
      <c r="C3984" s="8" t="n"/>
    </row>
    <row r="3985">
      <c r="A3985" s="7" t="n"/>
      <c r="B3985" s="8" t="n"/>
      <c r="C3985" s="8" t="n"/>
    </row>
    <row r="3986">
      <c r="A3986" s="7" t="n"/>
      <c r="B3986" s="8" t="n"/>
      <c r="C3986" s="8" t="n"/>
    </row>
    <row r="3987">
      <c r="A3987" s="7" t="n"/>
      <c r="B3987" s="8" t="n"/>
      <c r="C3987" s="8" t="n"/>
    </row>
    <row r="3988">
      <c r="A3988" s="7" t="n"/>
      <c r="B3988" s="8" t="n"/>
      <c r="C3988" s="8" t="n"/>
    </row>
    <row r="3989">
      <c r="A3989" s="7" t="n"/>
      <c r="B3989" s="8" t="n"/>
      <c r="C3989" s="8" t="n"/>
    </row>
    <row r="3990">
      <c r="A3990" s="7" t="n"/>
      <c r="B3990" s="8" t="n"/>
      <c r="C3990" s="8" t="n"/>
    </row>
    <row r="3991">
      <c r="A3991" s="7" t="n"/>
      <c r="B3991" s="8" t="n"/>
      <c r="C3991" s="8" t="n"/>
    </row>
    <row r="3992">
      <c r="A3992" s="7" t="n"/>
      <c r="B3992" s="8" t="n"/>
      <c r="C3992" s="8" t="n"/>
    </row>
    <row r="3993">
      <c r="A3993" s="7" t="n"/>
      <c r="B3993" s="8" t="n"/>
      <c r="C3993" s="8" t="n"/>
    </row>
    <row r="3994">
      <c r="A3994" s="7" t="n"/>
      <c r="B3994" s="8" t="n"/>
      <c r="C3994" s="8" t="n"/>
    </row>
    <row r="3995">
      <c r="A3995" s="7" t="n"/>
      <c r="B3995" s="8" t="n"/>
      <c r="C3995" s="8" t="n"/>
    </row>
    <row r="3996">
      <c r="A3996" s="7" t="n"/>
      <c r="B3996" s="8" t="n"/>
      <c r="C3996" s="8" t="n"/>
    </row>
    <row r="3997">
      <c r="A3997" s="7" t="n"/>
      <c r="B3997" s="8" t="n"/>
      <c r="C3997" s="8" t="n"/>
    </row>
    <row r="3998">
      <c r="A3998" s="7" t="n"/>
      <c r="B3998" s="8" t="n"/>
      <c r="C3998" s="8" t="n"/>
    </row>
    <row r="3999">
      <c r="A3999" s="7" t="n"/>
      <c r="B3999" s="8" t="n"/>
      <c r="C3999" s="8" t="n"/>
    </row>
    <row r="4000">
      <c r="A4000" s="7" t="n"/>
      <c r="B4000" s="8" t="n"/>
      <c r="C4000" s="8" t="n"/>
    </row>
    <row r="4001">
      <c r="A4001" s="7" t="n"/>
      <c r="B4001" s="8" t="n"/>
      <c r="C4001" s="8" t="n"/>
    </row>
    <row r="4002">
      <c r="A4002" s="7" t="n"/>
      <c r="B4002" s="8" t="n"/>
      <c r="C4002" s="8" t="n"/>
    </row>
    <row r="4003">
      <c r="A4003" s="7" t="n"/>
      <c r="B4003" s="8" t="n"/>
      <c r="C4003" s="8" t="n"/>
    </row>
    <row r="4004">
      <c r="A4004" s="7" t="n"/>
      <c r="B4004" s="8" t="n"/>
      <c r="C4004" s="8" t="n"/>
    </row>
    <row r="4005">
      <c r="A4005" s="7" t="n"/>
      <c r="B4005" s="8" t="n"/>
      <c r="C4005" s="8" t="n"/>
    </row>
    <row r="4006">
      <c r="A4006" s="7" t="n"/>
      <c r="B4006" s="8" t="n"/>
      <c r="C4006" s="8" t="n"/>
    </row>
    <row r="4007">
      <c r="A4007" s="7" t="n"/>
      <c r="B4007" s="8" t="n"/>
      <c r="C4007" s="8" t="n"/>
    </row>
    <row r="4008">
      <c r="A4008" s="7" t="n"/>
      <c r="B4008" s="8" t="n"/>
      <c r="C4008" s="8" t="n"/>
    </row>
    <row r="4009">
      <c r="A4009" s="7" t="n"/>
      <c r="B4009" s="8" t="n"/>
      <c r="C4009" s="8" t="n"/>
    </row>
    <row r="4010">
      <c r="A4010" s="7" t="n"/>
      <c r="B4010" s="8" t="n"/>
      <c r="C4010" s="8" t="n"/>
    </row>
    <row r="4011">
      <c r="A4011" s="7" t="n"/>
      <c r="B4011" s="8" t="n"/>
      <c r="C4011" s="8" t="n"/>
    </row>
    <row r="4012">
      <c r="A4012" s="7" t="n"/>
      <c r="B4012" s="8" t="n"/>
      <c r="C4012" s="8" t="n"/>
    </row>
    <row r="4013">
      <c r="A4013" s="7" t="n"/>
      <c r="B4013" s="8" t="n"/>
      <c r="C4013" s="8" t="n"/>
    </row>
    <row r="4014">
      <c r="A4014" s="7" t="n"/>
      <c r="B4014" s="8" t="n"/>
      <c r="C4014" s="8" t="n"/>
    </row>
    <row r="4015">
      <c r="A4015" s="7" t="n"/>
      <c r="B4015" s="8" t="n"/>
      <c r="C4015" s="8" t="n"/>
    </row>
    <row r="4016">
      <c r="A4016" s="7" t="n"/>
      <c r="B4016" s="8" t="n"/>
      <c r="C4016" s="8" t="n"/>
    </row>
    <row r="4017">
      <c r="A4017" s="7" t="n"/>
      <c r="B4017" s="8" t="n"/>
      <c r="C4017" s="8" t="n"/>
    </row>
    <row r="4018">
      <c r="A4018" s="7" t="n"/>
      <c r="B4018" s="8" t="n"/>
      <c r="C4018" s="8" t="n"/>
    </row>
    <row r="4019">
      <c r="A4019" s="7" t="n"/>
      <c r="B4019" s="8" t="n"/>
      <c r="C4019" s="8" t="n"/>
    </row>
    <row r="4020">
      <c r="A4020" s="7" t="n"/>
      <c r="B4020" s="8" t="n"/>
      <c r="C4020" s="8" t="n"/>
    </row>
    <row r="4021">
      <c r="A4021" s="7" t="n"/>
      <c r="B4021" s="8" t="n"/>
      <c r="C4021" s="8" t="n"/>
    </row>
    <row r="4022">
      <c r="A4022" s="7" t="n"/>
      <c r="B4022" s="8" t="n"/>
      <c r="C4022" s="8" t="n"/>
    </row>
    <row r="4023">
      <c r="A4023" s="7" t="n"/>
      <c r="B4023" s="8" t="n"/>
      <c r="C4023" s="8" t="n"/>
    </row>
    <row r="4024">
      <c r="A4024" s="7" t="n"/>
      <c r="B4024" s="8" t="n"/>
      <c r="C4024" s="8" t="n"/>
    </row>
    <row r="4025">
      <c r="A4025" s="7" t="n"/>
      <c r="B4025" s="8" t="n"/>
      <c r="C4025" s="8" t="n"/>
    </row>
    <row r="4026">
      <c r="A4026" s="7" t="n"/>
      <c r="B4026" s="8" t="n"/>
      <c r="C4026" s="8" t="n"/>
    </row>
    <row r="4027">
      <c r="A4027" s="7" t="n"/>
      <c r="B4027" s="8" t="n"/>
      <c r="C4027" s="8" t="n"/>
    </row>
    <row r="4028">
      <c r="A4028" s="7" t="n"/>
      <c r="B4028" s="8" t="n"/>
      <c r="C4028" s="8" t="n"/>
    </row>
    <row r="4029">
      <c r="A4029" s="7" t="n"/>
      <c r="B4029" s="8" t="n"/>
      <c r="C4029" s="8" t="n"/>
    </row>
    <row r="4030">
      <c r="A4030" s="7" t="n"/>
      <c r="B4030" s="8" t="n"/>
      <c r="C4030" s="8" t="n"/>
    </row>
    <row r="4031">
      <c r="A4031" s="7" t="n"/>
      <c r="B4031" s="8" t="n"/>
      <c r="C4031" s="8" t="n"/>
    </row>
    <row r="4032">
      <c r="A4032" s="7" t="n"/>
      <c r="B4032" s="8" t="n"/>
      <c r="C4032" s="8" t="n"/>
    </row>
    <row r="4033">
      <c r="A4033" s="7" t="n"/>
      <c r="B4033" s="8" t="n"/>
      <c r="C4033" s="8" t="n"/>
    </row>
    <row r="4034">
      <c r="A4034" s="7" t="n"/>
      <c r="B4034" s="8" t="n"/>
      <c r="C4034" s="8" t="n"/>
    </row>
    <row r="4035">
      <c r="A4035" s="7" t="n"/>
      <c r="B4035" s="8" t="n"/>
      <c r="C4035" s="8" t="n"/>
    </row>
    <row r="4036">
      <c r="A4036" s="7" t="n"/>
      <c r="B4036" s="8" t="n"/>
      <c r="C4036" s="8" t="n"/>
    </row>
    <row r="4037">
      <c r="A4037" s="7" t="n"/>
      <c r="B4037" s="8" t="n"/>
      <c r="C4037" s="8" t="n"/>
    </row>
    <row r="4038">
      <c r="A4038" s="7" t="n"/>
      <c r="B4038" s="8" t="n"/>
      <c r="C4038" s="8" t="n"/>
    </row>
    <row r="4039">
      <c r="A4039" s="7" t="n"/>
      <c r="B4039" s="8" t="n"/>
      <c r="C4039" s="8" t="n"/>
    </row>
    <row r="4040">
      <c r="A4040" s="7" t="n"/>
      <c r="B4040" s="8" t="n"/>
      <c r="C4040" s="8" t="n"/>
    </row>
    <row r="4041">
      <c r="A4041" s="7" t="n"/>
      <c r="B4041" s="8" t="n"/>
      <c r="C4041" s="8" t="n"/>
    </row>
    <row r="4042">
      <c r="A4042" s="7" t="n"/>
      <c r="B4042" s="8" t="n"/>
      <c r="C4042" s="8" t="n"/>
    </row>
    <row r="4043">
      <c r="A4043" s="7" t="n"/>
      <c r="B4043" s="8" t="n"/>
      <c r="C4043" s="8" t="n"/>
    </row>
    <row r="4044">
      <c r="A4044" s="7" t="n"/>
      <c r="B4044" s="8" t="n"/>
      <c r="C4044" s="8" t="n"/>
    </row>
    <row r="4045">
      <c r="A4045" s="7" t="n"/>
      <c r="B4045" s="8" t="n"/>
      <c r="C4045" s="8" t="n"/>
    </row>
    <row r="4046">
      <c r="A4046" s="7" t="n"/>
      <c r="B4046" s="8" t="n"/>
      <c r="C4046" s="8" t="n"/>
    </row>
    <row r="4047">
      <c r="A4047" s="7" t="n"/>
      <c r="B4047" s="8" t="n"/>
      <c r="C4047" s="8" t="n"/>
    </row>
    <row r="4048">
      <c r="A4048" s="7" t="n"/>
      <c r="B4048" s="8" t="n"/>
      <c r="C4048" s="8" t="n"/>
    </row>
    <row r="4049">
      <c r="A4049" s="7" t="n"/>
      <c r="B4049" s="8" t="n"/>
      <c r="C4049" s="8" t="n"/>
    </row>
    <row r="4050">
      <c r="A4050" s="7" t="n"/>
      <c r="B4050" s="8" t="n"/>
      <c r="C4050" s="8" t="n"/>
    </row>
    <row r="4051">
      <c r="A4051" s="7" t="n"/>
      <c r="B4051" s="8" t="n"/>
      <c r="C4051" s="8" t="n"/>
    </row>
    <row r="4052">
      <c r="A4052" s="7" t="n"/>
      <c r="B4052" s="8" t="n"/>
      <c r="C4052" s="8" t="n"/>
    </row>
    <row r="4053">
      <c r="A4053" s="7" t="n"/>
      <c r="B4053" s="8" t="n"/>
      <c r="C4053" s="8" t="n"/>
    </row>
    <row r="4054">
      <c r="A4054" s="7" t="n"/>
      <c r="B4054" s="8" t="n"/>
      <c r="C4054" s="8" t="n"/>
    </row>
    <row r="4055">
      <c r="A4055" s="7" t="n"/>
      <c r="B4055" s="8" t="n"/>
      <c r="C4055" s="8" t="n"/>
    </row>
    <row r="4056">
      <c r="A4056" s="7" t="n"/>
      <c r="B4056" s="8" t="n"/>
      <c r="C4056" s="8" t="n"/>
    </row>
    <row r="4057">
      <c r="A4057" s="7" t="n"/>
      <c r="B4057" s="8" t="n"/>
      <c r="C4057" s="8" t="n"/>
    </row>
    <row r="4058">
      <c r="A4058" s="7" t="n"/>
      <c r="B4058" s="8" t="n"/>
      <c r="C4058" s="8" t="n"/>
    </row>
    <row r="4059">
      <c r="A4059" s="7" t="n"/>
      <c r="B4059" s="8" t="n"/>
      <c r="C4059" s="8" t="n"/>
    </row>
    <row r="4060">
      <c r="A4060" s="7" t="n"/>
      <c r="B4060" s="8" t="n"/>
      <c r="C4060" s="8" t="n"/>
    </row>
    <row r="4061">
      <c r="A4061" s="7" t="n"/>
      <c r="B4061" s="8" t="n"/>
      <c r="C4061" s="8" t="n"/>
    </row>
    <row r="4062">
      <c r="A4062" s="7" t="n"/>
      <c r="B4062" s="8" t="n"/>
      <c r="C4062" s="8" t="n"/>
    </row>
    <row r="4063">
      <c r="A4063" s="7" t="n"/>
      <c r="B4063" s="8" t="n"/>
      <c r="C4063" s="8" t="n"/>
    </row>
    <row r="4064">
      <c r="A4064" s="7" t="n"/>
      <c r="B4064" s="8" t="n"/>
      <c r="C4064" s="8" t="n"/>
    </row>
    <row r="4065">
      <c r="A4065" s="7" t="n"/>
      <c r="B4065" s="8" t="n"/>
      <c r="C4065" s="8" t="n"/>
    </row>
    <row r="4066">
      <c r="A4066" s="7" t="n"/>
      <c r="B4066" s="8" t="n"/>
      <c r="C4066" s="8" t="n"/>
    </row>
    <row r="4067">
      <c r="A4067" s="7" t="n"/>
      <c r="B4067" s="8" t="n"/>
      <c r="C4067" s="8" t="n"/>
    </row>
    <row r="4068">
      <c r="A4068" s="7" t="n"/>
      <c r="B4068" s="8" t="n"/>
      <c r="C4068" s="8" t="n"/>
    </row>
    <row r="4069">
      <c r="A4069" s="7" t="n"/>
      <c r="B4069" s="8" t="n"/>
      <c r="C4069" s="8" t="n"/>
    </row>
    <row r="4070">
      <c r="A4070" s="7" t="n"/>
      <c r="B4070" s="8" t="n"/>
      <c r="C4070" s="8" t="n"/>
    </row>
    <row r="4071">
      <c r="A4071" s="7" t="n"/>
      <c r="B4071" s="8" t="n"/>
      <c r="C4071" s="8" t="n"/>
    </row>
    <row r="4072">
      <c r="A4072" s="7" t="n"/>
      <c r="B4072" s="8" t="n"/>
      <c r="C4072" s="8" t="n"/>
    </row>
    <row r="4073">
      <c r="A4073" s="7" t="n"/>
      <c r="B4073" s="8" t="n"/>
      <c r="C4073" s="8" t="n"/>
    </row>
    <row r="4074">
      <c r="A4074" s="7" t="n"/>
      <c r="B4074" s="8" t="n"/>
      <c r="C4074" s="8" t="n"/>
    </row>
    <row r="4075">
      <c r="A4075" s="7" t="n"/>
      <c r="B4075" s="8" t="n"/>
      <c r="C4075" s="8" t="n"/>
    </row>
    <row r="4076">
      <c r="A4076" s="7" t="n"/>
      <c r="B4076" s="8" t="n"/>
      <c r="C4076" s="8" t="n"/>
    </row>
    <row r="4077">
      <c r="A4077" s="7" t="n"/>
      <c r="B4077" s="8" t="n"/>
      <c r="C4077" s="8" t="n"/>
    </row>
    <row r="4078">
      <c r="A4078" s="7" t="n"/>
      <c r="B4078" s="8" t="n"/>
      <c r="C4078" s="8" t="n"/>
    </row>
    <row r="4079">
      <c r="A4079" s="7" t="n"/>
      <c r="B4079" s="8" t="n"/>
      <c r="C4079" s="8" t="n"/>
    </row>
    <row r="4080">
      <c r="A4080" s="7" t="n"/>
      <c r="B4080" s="8" t="n"/>
      <c r="C4080" s="8" t="n"/>
    </row>
    <row r="4081">
      <c r="A4081" s="7" t="n"/>
      <c r="B4081" s="8" t="n"/>
      <c r="C4081" s="8" t="n"/>
    </row>
    <row r="4082">
      <c r="A4082" s="7" t="n"/>
      <c r="B4082" s="8" t="n"/>
      <c r="C4082" s="8" t="n"/>
    </row>
    <row r="4083">
      <c r="A4083" s="7" t="n"/>
      <c r="B4083" s="8" t="n"/>
      <c r="C4083" s="8" t="n"/>
    </row>
    <row r="4084">
      <c r="A4084" s="7" t="n"/>
      <c r="B4084" s="8" t="n"/>
      <c r="C4084" s="8" t="n"/>
    </row>
    <row r="4085">
      <c r="A4085" s="7" t="n"/>
      <c r="B4085" s="8" t="n"/>
      <c r="C4085" s="8" t="n"/>
    </row>
    <row r="4086">
      <c r="A4086" s="7" t="n"/>
      <c r="B4086" s="8" t="n"/>
      <c r="C4086" s="8" t="n"/>
    </row>
    <row r="4087">
      <c r="A4087" s="7" t="n"/>
      <c r="B4087" s="8" t="n"/>
      <c r="C4087" s="8" t="n"/>
    </row>
    <row r="4088">
      <c r="A4088" s="7" t="n"/>
      <c r="B4088" s="8" t="n"/>
      <c r="C4088" s="8" t="n"/>
    </row>
    <row r="4089">
      <c r="A4089" s="7" t="n"/>
      <c r="B4089" s="8" t="n"/>
      <c r="C4089" s="8" t="n"/>
    </row>
    <row r="4090">
      <c r="A4090" s="7" t="n"/>
      <c r="B4090" s="8" t="n"/>
      <c r="C4090" s="8" t="n"/>
    </row>
    <row r="4091">
      <c r="A4091" s="7" t="n"/>
      <c r="B4091" s="8" t="n"/>
      <c r="C4091" s="8" t="n"/>
    </row>
    <row r="4092">
      <c r="A4092" s="7" t="n"/>
      <c r="B4092" s="8" t="n"/>
      <c r="C4092" s="8" t="n"/>
    </row>
    <row r="4093">
      <c r="A4093" s="7" t="n"/>
      <c r="B4093" s="8" t="n"/>
      <c r="C4093" s="8" t="n"/>
    </row>
    <row r="4094">
      <c r="A4094" s="7" t="n"/>
      <c r="B4094" s="8" t="n"/>
      <c r="C4094" s="8" t="n"/>
    </row>
    <row r="4095">
      <c r="A4095" s="7" t="n"/>
      <c r="B4095" s="8" t="n"/>
      <c r="C4095" s="8" t="n"/>
    </row>
    <row r="4096">
      <c r="A4096" s="7" t="n"/>
      <c r="B4096" s="8" t="n"/>
      <c r="C4096" s="8" t="n"/>
    </row>
    <row r="4097">
      <c r="A4097" s="7" t="n"/>
      <c r="B4097" s="8" t="n"/>
      <c r="C4097" s="8" t="n"/>
    </row>
    <row r="4098">
      <c r="A4098" s="7" t="n"/>
      <c r="B4098" s="8" t="n"/>
      <c r="C4098" s="8" t="n"/>
    </row>
    <row r="4099">
      <c r="A4099" s="7" t="n"/>
      <c r="B4099" s="8" t="n"/>
      <c r="C4099" s="8" t="n"/>
    </row>
    <row r="4100">
      <c r="A4100" s="7" t="n"/>
      <c r="B4100" s="8" t="n"/>
      <c r="C4100" s="8" t="n"/>
    </row>
    <row r="4101">
      <c r="A4101" s="7" t="n"/>
      <c r="B4101" s="8" t="n"/>
      <c r="C4101" s="8" t="n"/>
    </row>
    <row r="4102">
      <c r="A4102" s="7" t="n"/>
      <c r="B4102" s="8" t="n"/>
      <c r="C4102" s="8" t="n"/>
    </row>
    <row r="4103">
      <c r="A4103" s="7" t="n"/>
      <c r="B4103" s="8" t="n"/>
      <c r="C4103" s="8" t="n"/>
    </row>
    <row r="4104">
      <c r="A4104" s="7" t="n"/>
      <c r="B4104" s="8" t="n"/>
      <c r="C4104" s="8" t="n"/>
    </row>
    <row r="4105">
      <c r="A4105" s="7" t="n"/>
      <c r="B4105" s="8" t="n"/>
      <c r="C4105" s="8" t="n"/>
    </row>
    <row r="4106">
      <c r="A4106" s="7" t="n"/>
      <c r="B4106" s="8" t="n"/>
      <c r="C4106" s="8" t="n"/>
    </row>
    <row r="4107">
      <c r="A4107" s="7" t="n"/>
      <c r="B4107" s="8" t="n"/>
      <c r="C4107" s="8" t="n"/>
    </row>
    <row r="4108">
      <c r="A4108" s="7" t="n"/>
      <c r="B4108" s="8" t="n"/>
      <c r="C4108" s="8" t="n"/>
    </row>
    <row r="4109">
      <c r="A4109" s="7" t="n"/>
      <c r="B4109" s="8" t="n"/>
      <c r="C4109" s="8" t="n"/>
    </row>
    <row r="4110">
      <c r="A4110" s="7" t="n"/>
      <c r="B4110" s="8" t="n"/>
      <c r="C4110" s="8" t="n"/>
    </row>
    <row r="4111">
      <c r="A4111" s="7" t="n"/>
      <c r="B4111" s="8" t="n"/>
      <c r="C4111" s="8" t="n"/>
    </row>
    <row r="4112">
      <c r="A4112" s="7" t="n"/>
      <c r="B4112" s="8" t="n"/>
      <c r="C4112" s="8" t="n"/>
    </row>
    <row r="4113">
      <c r="A4113" s="7" t="n"/>
      <c r="B4113" s="8" t="n"/>
      <c r="C4113" s="8" t="n"/>
    </row>
    <row r="4114">
      <c r="A4114" s="7" t="n"/>
      <c r="B4114" s="8" t="n"/>
      <c r="C4114" s="8" t="n"/>
    </row>
    <row r="4115">
      <c r="A4115" s="7" t="n"/>
      <c r="B4115" s="8" t="n"/>
      <c r="C4115" s="8" t="n"/>
    </row>
    <row r="4116">
      <c r="A4116" s="7" t="n"/>
      <c r="B4116" s="8" t="n"/>
      <c r="C4116" s="8" t="n"/>
    </row>
    <row r="4117">
      <c r="A4117" s="7" t="n"/>
      <c r="B4117" s="8" t="n"/>
      <c r="C4117" s="8" t="n"/>
    </row>
    <row r="4118">
      <c r="A4118" s="7" t="n"/>
      <c r="B4118" s="8" t="n"/>
      <c r="C4118" s="8" t="n"/>
    </row>
    <row r="4119">
      <c r="A4119" s="7" t="n"/>
      <c r="B4119" s="8" t="n"/>
      <c r="C4119" s="8" t="n"/>
    </row>
    <row r="4120">
      <c r="A4120" s="7" t="n"/>
      <c r="B4120" s="8" t="n"/>
      <c r="C4120" s="8" t="n"/>
    </row>
    <row r="4121">
      <c r="A4121" s="7" t="n"/>
      <c r="B4121" s="8" t="n"/>
      <c r="C4121" s="8" t="n"/>
    </row>
    <row r="4122">
      <c r="A4122" s="7" t="n"/>
      <c r="B4122" s="8" t="n"/>
      <c r="C4122" s="8" t="n"/>
    </row>
    <row r="4123">
      <c r="A4123" s="7" t="n"/>
      <c r="B4123" s="8" t="n"/>
      <c r="C4123" s="8" t="n"/>
    </row>
    <row r="4124">
      <c r="A4124" s="7" t="n"/>
      <c r="B4124" s="8" t="n"/>
      <c r="C4124" s="8" t="n"/>
    </row>
    <row r="4125">
      <c r="A4125" s="7" t="n"/>
      <c r="B4125" s="8" t="n"/>
      <c r="C4125" s="8" t="n"/>
    </row>
    <row r="4126">
      <c r="A4126" s="7" t="n"/>
      <c r="B4126" s="8" t="n"/>
      <c r="C4126" s="8" t="n"/>
    </row>
    <row r="4127">
      <c r="A4127" s="7" t="n"/>
      <c r="B4127" s="8" t="n"/>
      <c r="C4127" s="8" t="n"/>
    </row>
    <row r="4128">
      <c r="A4128" s="7" t="n"/>
      <c r="B4128" s="8" t="n"/>
      <c r="C4128" s="8" t="n"/>
    </row>
    <row r="4129">
      <c r="A4129" s="7" t="n"/>
      <c r="B4129" s="8" t="n"/>
      <c r="C4129" s="8" t="n"/>
    </row>
    <row r="4130">
      <c r="A4130" s="7" t="n"/>
      <c r="B4130" s="8" t="n"/>
      <c r="C4130" s="8" t="n"/>
    </row>
    <row r="4131">
      <c r="A4131" s="7" t="n"/>
      <c r="B4131" s="8" t="n"/>
      <c r="C4131" s="8" t="n"/>
    </row>
    <row r="4132">
      <c r="A4132" s="7" t="n"/>
      <c r="B4132" s="8" t="n"/>
      <c r="C4132" s="8" t="n"/>
    </row>
    <row r="4133">
      <c r="A4133" s="7" t="n"/>
      <c r="B4133" s="8" t="n"/>
      <c r="C4133" s="8" t="n"/>
    </row>
    <row r="4134">
      <c r="A4134" s="7" t="n"/>
      <c r="B4134" s="8" t="n"/>
      <c r="C4134" s="8" t="n"/>
    </row>
    <row r="4135">
      <c r="A4135" s="7" t="n"/>
      <c r="B4135" s="8" t="n"/>
      <c r="C4135" s="8" t="n"/>
    </row>
    <row r="4136">
      <c r="A4136" s="7" t="n"/>
      <c r="B4136" s="8" t="n"/>
      <c r="C4136" s="8" t="n"/>
    </row>
    <row r="4137">
      <c r="A4137" s="7" t="n"/>
      <c r="B4137" s="8" t="n"/>
      <c r="C4137" s="8" t="n"/>
    </row>
    <row r="4138">
      <c r="A4138" s="7" t="n"/>
      <c r="B4138" s="8" t="n"/>
      <c r="C4138" s="8" t="n"/>
    </row>
    <row r="4139">
      <c r="A4139" s="7" t="n"/>
      <c r="B4139" s="8" t="n"/>
      <c r="C4139" s="8" t="n"/>
    </row>
    <row r="4140">
      <c r="A4140" s="7" t="n"/>
      <c r="B4140" s="8" t="n"/>
      <c r="C4140" s="8" t="n"/>
    </row>
    <row r="4141">
      <c r="A4141" s="7" t="n"/>
      <c r="B4141" s="8" t="n"/>
      <c r="C4141" s="8" t="n"/>
    </row>
    <row r="4142">
      <c r="A4142" s="7" t="n"/>
      <c r="B4142" s="8" t="n"/>
      <c r="C4142" s="8" t="n"/>
    </row>
    <row r="4143">
      <c r="A4143" s="7" t="n"/>
      <c r="B4143" s="8" t="n"/>
      <c r="C4143" s="8" t="n"/>
    </row>
    <row r="4144">
      <c r="A4144" s="7" t="n"/>
      <c r="B4144" s="8" t="n"/>
      <c r="C4144" s="8" t="n"/>
    </row>
    <row r="4145">
      <c r="A4145" s="7" t="n"/>
      <c r="B4145" s="8" t="n"/>
      <c r="C4145" s="8" t="n"/>
    </row>
    <row r="4146">
      <c r="A4146" s="7" t="n"/>
      <c r="B4146" s="8" t="n"/>
      <c r="C4146" s="8" t="n"/>
    </row>
    <row r="4147">
      <c r="A4147" s="7" t="n"/>
      <c r="B4147" s="8" t="n"/>
      <c r="C4147" s="8" t="n"/>
    </row>
    <row r="4148">
      <c r="A4148" s="7" t="n"/>
      <c r="B4148" s="8" t="n"/>
      <c r="C4148" s="8" t="n"/>
    </row>
    <row r="4149">
      <c r="A4149" s="7" t="n"/>
      <c r="B4149" s="8" t="n"/>
      <c r="C4149" s="8" t="n"/>
    </row>
    <row r="4150">
      <c r="A4150" s="7" t="n"/>
      <c r="B4150" s="8" t="n"/>
      <c r="C4150" s="8" t="n"/>
    </row>
    <row r="4151">
      <c r="A4151" s="7" t="n"/>
      <c r="B4151" s="8" t="n"/>
      <c r="C4151" s="8" t="n"/>
    </row>
    <row r="4152">
      <c r="A4152" s="7" t="n"/>
      <c r="B4152" s="8" t="n"/>
      <c r="C4152" s="8" t="n"/>
    </row>
    <row r="4153">
      <c r="A4153" s="7" t="n"/>
      <c r="B4153" s="8" t="n"/>
      <c r="C4153" s="8" t="n"/>
    </row>
    <row r="4154">
      <c r="A4154" s="7" t="n"/>
      <c r="B4154" s="8" t="n"/>
      <c r="C4154" s="8" t="n"/>
    </row>
    <row r="4155">
      <c r="A4155" s="7" t="n"/>
      <c r="B4155" s="8" t="n"/>
      <c r="C4155" s="8" t="n"/>
    </row>
    <row r="4156">
      <c r="A4156" s="7" t="n"/>
      <c r="B4156" s="8" t="n"/>
      <c r="C4156" s="8" t="n"/>
    </row>
    <row r="4157">
      <c r="A4157" s="7" t="n"/>
      <c r="B4157" s="8" t="n"/>
      <c r="C4157" s="8" t="n"/>
    </row>
    <row r="4158">
      <c r="A4158" s="7" t="n"/>
      <c r="B4158" s="8" t="n"/>
      <c r="C4158" s="8" t="n"/>
    </row>
    <row r="4159">
      <c r="A4159" s="7" t="n"/>
      <c r="B4159" s="8" t="n"/>
      <c r="C4159" s="8" t="n"/>
    </row>
    <row r="4160">
      <c r="A4160" s="7" t="n"/>
      <c r="B4160" s="8" t="n"/>
      <c r="C4160" s="8" t="n"/>
    </row>
    <row r="4161">
      <c r="A4161" s="7" t="n"/>
      <c r="B4161" s="8" t="n"/>
      <c r="C4161" s="8" t="n"/>
    </row>
    <row r="4162">
      <c r="A4162" s="7" t="n"/>
      <c r="B4162" s="8" t="n"/>
      <c r="C4162" s="8" t="n"/>
    </row>
    <row r="4163">
      <c r="A4163" s="7" t="n"/>
      <c r="B4163" s="8" t="n"/>
      <c r="C4163" s="8" t="n"/>
    </row>
    <row r="4164">
      <c r="A4164" s="7" t="n"/>
      <c r="B4164" s="8" t="n"/>
      <c r="C4164" s="8" t="n"/>
    </row>
    <row r="4165">
      <c r="A4165" s="7" t="n"/>
      <c r="B4165" s="8" t="n"/>
      <c r="C4165" s="8" t="n"/>
    </row>
    <row r="4166">
      <c r="A4166" s="7" t="n"/>
      <c r="B4166" s="8" t="n"/>
      <c r="C4166" s="8" t="n"/>
    </row>
    <row r="4167">
      <c r="A4167" s="7" t="n"/>
      <c r="B4167" s="8" t="n"/>
      <c r="C4167" s="8" t="n"/>
    </row>
    <row r="4168">
      <c r="A4168" s="7" t="n"/>
      <c r="B4168" s="8" t="n"/>
      <c r="C4168" s="8" t="n"/>
    </row>
    <row r="4169">
      <c r="A4169" s="7" t="n"/>
      <c r="B4169" s="8" t="n"/>
      <c r="C4169" s="8" t="n"/>
    </row>
    <row r="4170">
      <c r="A4170" s="7" t="n"/>
      <c r="B4170" s="8" t="n"/>
      <c r="C4170" s="8" t="n"/>
    </row>
    <row r="4171">
      <c r="A4171" s="7" t="n"/>
      <c r="B4171" s="8" t="n"/>
      <c r="C4171" s="8" t="n"/>
    </row>
    <row r="4172">
      <c r="A4172" s="7" t="n"/>
      <c r="B4172" s="8" t="n"/>
      <c r="C4172" s="8" t="n"/>
    </row>
    <row r="4173">
      <c r="A4173" s="7" t="n"/>
      <c r="B4173" s="8" t="n"/>
      <c r="C4173" s="8" t="n"/>
    </row>
    <row r="4174">
      <c r="A4174" s="7" t="n"/>
      <c r="B4174" s="8" t="n"/>
      <c r="C4174" s="8" t="n"/>
    </row>
    <row r="4175">
      <c r="A4175" s="7" t="n"/>
      <c r="B4175" s="8" t="n"/>
      <c r="C4175" s="8" t="n"/>
    </row>
    <row r="4176">
      <c r="A4176" s="7" t="n"/>
      <c r="B4176" s="8" t="n"/>
      <c r="C4176" s="8" t="n"/>
    </row>
    <row r="4177">
      <c r="A4177" s="7" t="n"/>
      <c r="B4177" s="8" t="n"/>
      <c r="C4177" s="8" t="n"/>
    </row>
    <row r="4178">
      <c r="A4178" s="7" t="n"/>
      <c r="B4178" s="8" t="n"/>
      <c r="C4178" s="8" t="n"/>
    </row>
    <row r="4179">
      <c r="A4179" s="7" t="n"/>
      <c r="B4179" s="8" t="n"/>
      <c r="C4179" s="8" t="n"/>
    </row>
    <row r="4180">
      <c r="A4180" s="7" t="n"/>
      <c r="B4180" s="8" t="n"/>
      <c r="C4180" s="8" t="n"/>
    </row>
    <row r="4181">
      <c r="A4181" s="7" t="n"/>
      <c r="B4181" s="8" t="n"/>
      <c r="C4181" s="8" t="n"/>
    </row>
    <row r="4182">
      <c r="A4182" s="7" t="n"/>
      <c r="B4182" s="8" t="n"/>
      <c r="C4182" s="8" t="n"/>
    </row>
    <row r="4183">
      <c r="A4183" s="7" t="n"/>
      <c r="B4183" s="8" t="n"/>
      <c r="C4183" s="8" t="n"/>
    </row>
    <row r="4184">
      <c r="A4184" s="7" t="n"/>
      <c r="B4184" s="8" t="n"/>
      <c r="C4184" s="8" t="n"/>
    </row>
    <row r="4185">
      <c r="A4185" s="7" t="n"/>
      <c r="B4185" s="8" t="n"/>
      <c r="C4185" s="8" t="n"/>
    </row>
    <row r="4186">
      <c r="A4186" s="7" t="n"/>
      <c r="B4186" s="8" t="n"/>
      <c r="C4186" s="8" t="n"/>
    </row>
    <row r="4187">
      <c r="A4187" s="7" t="n"/>
      <c r="B4187" s="8" t="n"/>
      <c r="C4187" s="8" t="n"/>
    </row>
    <row r="4188">
      <c r="A4188" s="7" t="n"/>
      <c r="B4188" s="8" t="n"/>
      <c r="C4188" s="8" t="n"/>
    </row>
    <row r="4189">
      <c r="A4189" s="7" t="n"/>
      <c r="B4189" s="8" t="n"/>
      <c r="C4189" s="8" t="n"/>
    </row>
    <row r="4190">
      <c r="A4190" s="7" t="n"/>
      <c r="B4190" s="8" t="n"/>
      <c r="C4190" s="8" t="n"/>
    </row>
    <row r="4191">
      <c r="A4191" s="7" t="n"/>
      <c r="B4191" s="8" t="n"/>
      <c r="C4191" s="8" t="n"/>
    </row>
    <row r="4192">
      <c r="A4192" s="7" t="n"/>
      <c r="B4192" s="8" t="n"/>
      <c r="C4192" s="8" t="n"/>
    </row>
    <row r="4193">
      <c r="A4193" s="7" t="n"/>
      <c r="B4193" s="8" t="n"/>
      <c r="C4193" s="8" t="n"/>
    </row>
    <row r="4194">
      <c r="A4194" s="7" t="n"/>
      <c r="B4194" s="8" t="n"/>
      <c r="C4194" s="8" t="n"/>
    </row>
    <row r="4195">
      <c r="A4195" s="7" t="n"/>
      <c r="B4195" s="8" t="n"/>
      <c r="C4195" s="8" t="n"/>
    </row>
    <row r="4196">
      <c r="A4196" s="7" t="n"/>
      <c r="B4196" s="8" t="n"/>
      <c r="C4196" s="8" t="n"/>
    </row>
    <row r="4197">
      <c r="A4197" s="7" t="n"/>
      <c r="B4197" s="8" t="n"/>
      <c r="C4197" s="8" t="n"/>
    </row>
    <row r="4198">
      <c r="A4198" s="7" t="n"/>
      <c r="B4198" s="8" t="n"/>
      <c r="C4198" s="8" t="n"/>
    </row>
    <row r="4199">
      <c r="A4199" s="7" t="n"/>
      <c r="B4199" s="8" t="n"/>
      <c r="C4199" s="8" t="n"/>
    </row>
    <row r="4200">
      <c r="A4200" s="7" t="n"/>
      <c r="B4200" s="8" t="n"/>
      <c r="C4200" s="8" t="n"/>
    </row>
    <row r="4201">
      <c r="A4201" s="7" t="n"/>
      <c r="B4201" s="8" t="n"/>
      <c r="C4201" s="8" t="n"/>
    </row>
    <row r="4202">
      <c r="A4202" s="7" t="n"/>
      <c r="B4202" s="8" t="n"/>
      <c r="C4202" s="8" t="n"/>
    </row>
    <row r="4203">
      <c r="A4203" s="7" t="n"/>
      <c r="B4203" s="8" t="n"/>
      <c r="C4203" s="8" t="n"/>
    </row>
    <row r="4204">
      <c r="A4204" s="7" t="n"/>
      <c r="B4204" s="8" t="n"/>
      <c r="C4204" s="8" t="n"/>
    </row>
    <row r="4205">
      <c r="A4205" s="7" t="n"/>
      <c r="B4205" s="8" t="n"/>
      <c r="C4205" s="8" t="n"/>
    </row>
    <row r="4206">
      <c r="A4206" s="7" t="n"/>
      <c r="B4206" s="8" t="n"/>
      <c r="C4206" s="8" t="n"/>
    </row>
    <row r="4207">
      <c r="A4207" s="7" t="n"/>
      <c r="B4207" s="8" t="n"/>
      <c r="C4207" s="8" t="n"/>
    </row>
    <row r="4208">
      <c r="A4208" s="7" t="n"/>
      <c r="B4208" s="8" t="n"/>
      <c r="C4208" s="8" t="n"/>
    </row>
    <row r="4209">
      <c r="A4209" s="7" t="n"/>
      <c r="B4209" s="8" t="n"/>
      <c r="C4209" s="8" t="n"/>
    </row>
    <row r="4210">
      <c r="A4210" s="7" t="n"/>
      <c r="B4210" s="8" t="n"/>
      <c r="C4210" s="8" t="n"/>
    </row>
    <row r="4211">
      <c r="A4211" s="7" t="n"/>
      <c r="B4211" s="8" t="n"/>
      <c r="C4211" s="8" t="n"/>
    </row>
    <row r="4212">
      <c r="A4212" s="7" t="n"/>
      <c r="B4212" s="8" t="n"/>
      <c r="C4212" s="8" t="n"/>
    </row>
    <row r="4213">
      <c r="A4213" s="7" t="n"/>
      <c r="B4213" s="8" t="n"/>
      <c r="C4213" s="8" t="n"/>
    </row>
    <row r="4214">
      <c r="A4214" s="7" t="n"/>
      <c r="B4214" s="8" t="n"/>
      <c r="C4214" s="8" t="n"/>
    </row>
    <row r="4215">
      <c r="A4215" s="7" t="n"/>
      <c r="B4215" s="8" t="n"/>
      <c r="C4215" s="8" t="n"/>
    </row>
    <row r="4216">
      <c r="A4216" s="7" t="n"/>
      <c r="B4216" s="8" t="n"/>
      <c r="C4216" s="8" t="n"/>
    </row>
    <row r="4217">
      <c r="A4217" s="7" t="n"/>
      <c r="B4217" s="8" t="n"/>
      <c r="C4217" s="8" t="n"/>
    </row>
    <row r="4218">
      <c r="A4218" s="7" t="n"/>
      <c r="B4218" s="8" t="n"/>
      <c r="C4218" s="8" t="n"/>
    </row>
    <row r="4219">
      <c r="A4219" s="7" t="n"/>
      <c r="B4219" s="8" t="n"/>
      <c r="C4219" s="8" t="n"/>
    </row>
    <row r="4220">
      <c r="A4220" s="7" t="n"/>
      <c r="B4220" s="8" t="n"/>
      <c r="C4220" s="8" t="n"/>
    </row>
    <row r="4221">
      <c r="A4221" s="7" t="n"/>
      <c r="B4221" s="8" t="n"/>
      <c r="C4221" s="8" t="n"/>
    </row>
    <row r="4222">
      <c r="A4222" s="7" t="n"/>
      <c r="B4222" s="8" t="n"/>
      <c r="C4222" s="8" t="n"/>
    </row>
    <row r="4223">
      <c r="A4223" s="7" t="n"/>
      <c r="B4223" s="8" t="n"/>
      <c r="C4223" s="8" t="n"/>
    </row>
    <row r="4224">
      <c r="A4224" s="7" t="n"/>
      <c r="B4224" s="8" t="n"/>
      <c r="C4224" s="8" t="n"/>
    </row>
    <row r="4225">
      <c r="A4225" s="7" t="n"/>
      <c r="B4225" s="8" t="n"/>
      <c r="C4225" s="8" t="n"/>
    </row>
    <row r="4226">
      <c r="A4226" s="7" t="n"/>
      <c r="B4226" s="8" t="n"/>
      <c r="C4226" s="8" t="n"/>
    </row>
    <row r="4227">
      <c r="A4227" s="7" t="n"/>
      <c r="B4227" s="8" t="n"/>
      <c r="C4227" s="8" t="n"/>
    </row>
    <row r="4228">
      <c r="A4228" s="7" t="n"/>
      <c r="B4228" s="8" t="n"/>
      <c r="C4228" s="8" t="n"/>
    </row>
    <row r="4229">
      <c r="A4229" s="7" t="n"/>
      <c r="B4229" s="8" t="n"/>
      <c r="C4229" s="8" t="n"/>
    </row>
    <row r="4230">
      <c r="A4230" s="7" t="n"/>
      <c r="B4230" s="8" t="n"/>
      <c r="C4230" s="8" t="n"/>
    </row>
    <row r="4231">
      <c r="A4231" s="7" t="n"/>
      <c r="B4231" s="8" t="n"/>
      <c r="C4231" s="8" t="n"/>
    </row>
    <row r="4232">
      <c r="A4232" s="7" t="n"/>
      <c r="B4232" s="8" t="n"/>
      <c r="C4232" s="8" t="n"/>
    </row>
    <row r="4233">
      <c r="A4233" s="7" t="n"/>
      <c r="B4233" s="8" t="n"/>
      <c r="C4233" s="8" t="n"/>
    </row>
    <row r="4234">
      <c r="A4234" s="7" t="n"/>
      <c r="B4234" s="8" t="n"/>
      <c r="C4234" s="8" t="n"/>
    </row>
    <row r="4235">
      <c r="A4235" s="7" t="n"/>
      <c r="B4235" s="8" t="n"/>
      <c r="C4235" s="8" t="n"/>
    </row>
    <row r="4236">
      <c r="A4236" s="7" t="n"/>
      <c r="B4236" s="8" t="n"/>
      <c r="C4236" s="8" t="n"/>
    </row>
    <row r="4237">
      <c r="A4237" s="7" t="n"/>
      <c r="B4237" s="8" t="n"/>
      <c r="C4237" s="8" t="n"/>
    </row>
    <row r="4238">
      <c r="A4238" s="7" t="n"/>
      <c r="B4238" s="8" t="n"/>
      <c r="C4238" s="8" t="n"/>
    </row>
    <row r="4239">
      <c r="A4239" s="7" t="n"/>
      <c r="B4239" s="8" t="n"/>
      <c r="C4239" s="8" t="n"/>
    </row>
    <row r="4240">
      <c r="A4240" s="7" t="n"/>
      <c r="B4240" s="8" t="n"/>
      <c r="C4240" s="8" t="n"/>
    </row>
    <row r="4241">
      <c r="A4241" s="7" t="n"/>
      <c r="B4241" s="8" t="n"/>
      <c r="C4241" s="8" t="n"/>
    </row>
    <row r="4242">
      <c r="A4242" s="7" t="n"/>
      <c r="B4242" s="8" t="n"/>
      <c r="C4242" s="8" t="n"/>
    </row>
    <row r="4243">
      <c r="A4243" s="7" t="n"/>
      <c r="B4243" s="8" t="n"/>
      <c r="C4243" s="8" t="n"/>
    </row>
    <row r="4244">
      <c r="A4244" s="7" t="n"/>
      <c r="B4244" s="8" t="n"/>
      <c r="C4244" s="8" t="n"/>
    </row>
    <row r="4245">
      <c r="A4245" s="7" t="n"/>
      <c r="B4245" s="8" t="n"/>
      <c r="C4245" s="8" t="n"/>
    </row>
    <row r="4246">
      <c r="A4246" s="7" t="n"/>
      <c r="B4246" s="8" t="n"/>
      <c r="C4246" s="8" t="n"/>
    </row>
    <row r="4247">
      <c r="A4247" s="7" t="n"/>
      <c r="B4247" s="8" t="n"/>
      <c r="C4247" s="8" t="n"/>
    </row>
    <row r="4248">
      <c r="A4248" s="7" t="n"/>
      <c r="B4248" s="8" t="n"/>
      <c r="C4248" s="8" t="n"/>
    </row>
    <row r="4249">
      <c r="A4249" s="7" t="n"/>
      <c r="B4249" s="8" t="n"/>
      <c r="C4249" s="8" t="n"/>
    </row>
    <row r="4250">
      <c r="A4250" s="7" t="n"/>
      <c r="B4250" s="8" t="n"/>
      <c r="C4250" s="8" t="n"/>
    </row>
    <row r="4251">
      <c r="A4251" s="7" t="n"/>
      <c r="B4251" s="8" t="n"/>
      <c r="C4251" s="8" t="n"/>
    </row>
    <row r="4252">
      <c r="A4252" s="7" t="n"/>
      <c r="B4252" s="8" t="n"/>
      <c r="C4252" s="8" t="n"/>
    </row>
    <row r="4253">
      <c r="A4253" s="7" t="n"/>
      <c r="B4253" s="8" t="n"/>
      <c r="C4253" s="8" t="n"/>
    </row>
    <row r="4254">
      <c r="A4254" s="7" t="n"/>
      <c r="B4254" s="8" t="n"/>
      <c r="C4254" s="8" t="n"/>
    </row>
    <row r="4255">
      <c r="A4255" s="7" t="n"/>
      <c r="B4255" s="8" t="n"/>
      <c r="C4255" s="8" t="n"/>
    </row>
    <row r="4256">
      <c r="A4256" s="7" t="n"/>
      <c r="B4256" s="8" t="n"/>
      <c r="C4256" s="8" t="n"/>
    </row>
    <row r="4257">
      <c r="A4257" s="7" t="n"/>
      <c r="B4257" s="8" t="n"/>
      <c r="C4257" s="8" t="n"/>
    </row>
    <row r="4258">
      <c r="A4258" s="7" t="n"/>
      <c r="B4258" s="8" t="n"/>
      <c r="C4258" s="8" t="n"/>
    </row>
    <row r="4259">
      <c r="A4259" s="7" t="n"/>
      <c r="B4259" s="8" t="n"/>
      <c r="C4259" s="8" t="n"/>
    </row>
    <row r="4260">
      <c r="A4260" s="7" t="n"/>
      <c r="B4260" s="8" t="n"/>
      <c r="C4260" s="8" t="n"/>
    </row>
    <row r="4261">
      <c r="A4261" s="7" t="n"/>
      <c r="B4261" s="8" t="n"/>
      <c r="C4261" s="8" t="n"/>
    </row>
    <row r="4262">
      <c r="A4262" s="7" t="n"/>
      <c r="B4262" s="8" t="n"/>
      <c r="C4262" s="8" t="n"/>
    </row>
    <row r="4263">
      <c r="A4263" s="7" t="n"/>
      <c r="B4263" s="8" t="n"/>
      <c r="C4263" s="8" t="n"/>
    </row>
    <row r="4264">
      <c r="A4264" s="7" t="n"/>
      <c r="B4264" s="8" t="n"/>
      <c r="C4264" s="8" t="n"/>
    </row>
    <row r="4265">
      <c r="A4265" s="7" t="n"/>
      <c r="B4265" s="8" t="n"/>
      <c r="C4265" s="8" t="n"/>
    </row>
    <row r="4266">
      <c r="A4266" s="7" t="n"/>
      <c r="B4266" s="8" t="n"/>
      <c r="C4266" s="8" t="n"/>
    </row>
    <row r="4267">
      <c r="A4267" s="7" t="n"/>
      <c r="B4267" s="8" t="n"/>
      <c r="C4267" s="8" t="n"/>
    </row>
    <row r="4268">
      <c r="A4268" s="7" t="n"/>
      <c r="B4268" s="8" t="n"/>
      <c r="C4268" s="8" t="n"/>
    </row>
    <row r="4269">
      <c r="A4269" s="7" t="n"/>
      <c r="B4269" s="8" t="n"/>
      <c r="C4269" s="8" t="n"/>
    </row>
    <row r="4270">
      <c r="A4270" s="7" t="n"/>
      <c r="B4270" s="8" t="n"/>
      <c r="C4270" s="8" t="n"/>
    </row>
    <row r="4271">
      <c r="A4271" s="7" t="n"/>
      <c r="B4271" s="8" t="n"/>
      <c r="C4271" s="8" t="n"/>
    </row>
    <row r="4272">
      <c r="A4272" s="7" t="n"/>
      <c r="B4272" s="8" t="n"/>
      <c r="C4272" s="8" t="n"/>
    </row>
    <row r="4273">
      <c r="A4273" s="7" t="n"/>
      <c r="B4273" s="8" t="n"/>
      <c r="C4273" s="8" t="n"/>
    </row>
    <row r="4274">
      <c r="A4274" s="7" t="n"/>
      <c r="B4274" s="8" t="n"/>
      <c r="C4274" s="8" t="n"/>
    </row>
    <row r="4275">
      <c r="A4275" s="7" t="n"/>
      <c r="B4275" s="8" t="n"/>
      <c r="C4275" s="8" t="n"/>
    </row>
    <row r="4276">
      <c r="A4276" s="7" t="n"/>
      <c r="B4276" s="8" t="n"/>
      <c r="C4276" s="8" t="n"/>
    </row>
    <row r="4277">
      <c r="A4277" s="7" t="n"/>
      <c r="B4277" s="8" t="n"/>
      <c r="C4277" s="8" t="n"/>
    </row>
    <row r="4278">
      <c r="A4278" s="7" t="n"/>
      <c r="B4278" s="8" t="n"/>
      <c r="C4278" s="8" t="n"/>
    </row>
    <row r="4279">
      <c r="A4279" s="7" t="n"/>
      <c r="B4279" s="8" t="n"/>
      <c r="C4279" s="8" t="n"/>
    </row>
    <row r="4280">
      <c r="A4280" s="7" t="n"/>
      <c r="B4280" s="8" t="n"/>
      <c r="C4280" s="8" t="n"/>
    </row>
    <row r="4281">
      <c r="A4281" s="7" t="n"/>
      <c r="B4281" s="8" t="n"/>
      <c r="C4281" s="8" t="n"/>
    </row>
    <row r="4282">
      <c r="A4282" s="7" t="n"/>
      <c r="B4282" s="8" t="n"/>
      <c r="C4282" s="8" t="n"/>
    </row>
    <row r="4283">
      <c r="A4283" s="7" t="n"/>
      <c r="B4283" s="8" t="n"/>
      <c r="C4283" s="8" t="n"/>
    </row>
    <row r="4284">
      <c r="A4284" s="7" t="n"/>
      <c r="B4284" s="8" t="n"/>
      <c r="C4284" s="8" t="n"/>
    </row>
    <row r="4285">
      <c r="A4285" s="7" t="n"/>
      <c r="B4285" s="8" t="n"/>
      <c r="C4285" s="8" t="n"/>
    </row>
    <row r="4286">
      <c r="A4286" s="7" t="n"/>
      <c r="B4286" s="8" t="n"/>
      <c r="C4286" s="8" t="n"/>
    </row>
    <row r="4287">
      <c r="A4287" s="7" t="n"/>
      <c r="B4287" s="8" t="n"/>
      <c r="C4287" s="8" t="n"/>
    </row>
    <row r="4288">
      <c r="A4288" s="7" t="n"/>
      <c r="B4288" s="8" t="n"/>
      <c r="C4288" s="8" t="n"/>
    </row>
    <row r="4289">
      <c r="A4289" s="7" t="n"/>
      <c r="B4289" s="8" t="n"/>
      <c r="C4289" s="8" t="n"/>
    </row>
    <row r="4290">
      <c r="A4290" s="7" t="n"/>
      <c r="B4290" s="8" t="n"/>
      <c r="C4290" s="8" t="n"/>
    </row>
    <row r="4291">
      <c r="A4291" s="7" t="n"/>
      <c r="B4291" s="8" t="n"/>
      <c r="C4291" s="8" t="n"/>
    </row>
    <row r="4292">
      <c r="A4292" s="7" t="n"/>
      <c r="B4292" s="8" t="n"/>
      <c r="C4292" s="8" t="n"/>
    </row>
    <row r="4293">
      <c r="A4293" s="7" t="n"/>
      <c r="B4293" s="8" t="n"/>
      <c r="C4293" s="8" t="n"/>
    </row>
    <row r="4294">
      <c r="A4294" s="7" t="n"/>
      <c r="B4294" s="8" t="n"/>
      <c r="C4294" s="8" t="n"/>
    </row>
    <row r="4295">
      <c r="A4295" s="7" t="n"/>
      <c r="B4295" s="8" t="n"/>
      <c r="C4295" s="8" t="n"/>
    </row>
    <row r="4296">
      <c r="A4296" s="7" t="n"/>
      <c r="B4296" s="8" t="n"/>
      <c r="C4296" s="8" t="n"/>
    </row>
    <row r="4297">
      <c r="A4297" s="7" t="n"/>
      <c r="B4297" s="8" t="n"/>
      <c r="C4297" s="8" t="n"/>
    </row>
    <row r="4298">
      <c r="A4298" s="7" t="n"/>
      <c r="B4298" s="8" t="n"/>
      <c r="C4298" s="8" t="n"/>
    </row>
    <row r="4299">
      <c r="A4299" s="7" t="n"/>
      <c r="B4299" s="8" t="n"/>
      <c r="C4299" s="8" t="n"/>
    </row>
    <row r="4300">
      <c r="A4300" s="7" t="n"/>
      <c r="B4300" s="8" t="n"/>
      <c r="C4300" s="8" t="n"/>
    </row>
    <row r="4301">
      <c r="A4301" s="7" t="n"/>
      <c r="B4301" s="8" t="n"/>
      <c r="C4301" s="8" t="n"/>
    </row>
    <row r="4302">
      <c r="A4302" s="7" t="n"/>
      <c r="B4302" s="8" t="n"/>
      <c r="C4302" s="8" t="n"/>
    </row>
    <row r="4303">
      <c r="A4303" s="7" t="n"/>
      <c r="B4303" s="8" t="n"/>
      <c r="C4303" s="8" t="n"/>
    </row>
    <row r="4304">
      <c r="A4304" s="7" t="n"/>
      <c r="B4304" s="8" t="n"/>
      <c r="C4304" s="8" t="n"/>
    </row>
    <row r="4305">
      <c r="A4305" s="7" t="n"/>
      <c r="B4305" s="8" t="n"/>
      <c r="C4305" s="8" t="n"/>
    </row>
    <row r="4306">
      <c r="A4306" s="7" t="n"/>
      <c r="B4306" s="8" t="n"/>
      <c r="C4306" s="8" t="n"/>
    </row>
    <row r="4307">
      <c r="A4307" s="7" t="n"/>
      <c r="B4307" s="8" t="n"/>
      <c r="C4307" s="8" t="n"/>
    </row>
    <row r="4308">
      <c r="A4308" s="7" t="n"/>
      <c r="B4308" s="8" t="n"/>
      <c r="C4308" s="8" t="n"/>
    </row>
    <row r="4309">
      <c r="A4309" s="7" t="n"/>
      <c r="B4309" s="8" t="n"/>
      <c r="C4309" s="8" t="n"/>
    </row>
    <row r="4310">
      <c r="A4310" s="7" t="n"/>
      <c r="B4310" s="8" t="n"/>
      <c r="C4310" s="8" t="n"/>
    </row>
    <row r="4311">
      <c r="A4311" s="7" t="n"/>
      <c r="B4311" s="8" t="n"/>
      <c r="C4311" s="8" t="n"/>
    </row>
    <row r="4312">
      <c r="A4312" s="7" t="n"/>
      <c r="B4312" s="8" t="n"/>
      <c r="C4312" s="8" t="n"/>
    </row>
    <row r="4313">
      <c r="A4313" s="7" t="n"/>
      <c r="B4313" s="8" t="n"/>
      <c r="C4313" s="8" t="n"/>
    </row>
    <row r="4314">
      <c r="A4314" s="7" t="n"/>
      <c r="B4314" s="8" t="n"/>
      <c r="C4314" s="8" t="n"/>
    </row>
    <row r="4315">
      <c r="A4315" s="7" t="n"/>
      <c r="B4315" s="8" t="n"/>
      <c r="C4315" s="8" t="n"/>
    </row>
    <row r="4316">
      <c r="A4316" s="7" t="n"/>
      <c r="B4316" s="8" t="n"/>
      <c r="C4316" s="8" t="n"/>
    </row>
    <row r="4317">
      <c r="A4317" s="7" t="n"/>
      <c r="B4317" s="8" t="n"/>
      <c r="C4317" s="8" t="n"/>
    </row>
    <row r="4318">
      <c r="A4318" s="7" t="n"/>
      <c r="B4318" s="8" t="n"/>
      <c r="C4318" s="8" t="n"/>
    </row>
    <row r="4319">
      <c r="A4319" s="7" t="n"/>
      <c r="B4319" s="8" t="n"/>
      <c r="C4319" s="8" t="n"/>
    </row>
    <row r="4320">
      <c r="A4320" s="7" t="n"/>
      <c r="B4320" s="8" t="n"/>
      <c r="C4320" s="8" t="n"/>
    </row>
    <row r="4321">
      <c r="A4321" s="7" t="n"/>
      <c r="B4321" s="8" t="n"/>
      <c r="C4321" s="8" t="n"/>
    </row>
    <row r="4322">
      <c r="A4322" s="7" t="n"/>
      <c r="B4322" s="8" t="n"/>
      <c r="C4322" s="8" t="n"/>
    </row>
    <row r="4323">
      <c r="A4323" s="7" t="n"/>
      <c r="B4323" s="8" t="n"/>
      <c r="C4323" s="8" t="n"/>
    </row>
    <row r="4324">
      <c r="A4324" s="7" t="n"/>
      <c r="B4324" s="8" t="n"/>
      <c r="C4324" s="8" t="n"/>
    </row>
    <row r="4325">
      <c r="A4325" s="7" t="n"/>
      <c r="B4325" s="8" t="n"/>
      <c r="C4325" s="8" t="n"/>
    </row>
    <row r="4326">
      <c r="A4326" s="7" t="n"/>
      <c r="B4326" s="8" t="n"/>
      <c r="C4326" s="8" t="n"/>
    </row>
    <row r="4327">
      <c r="A4327" s="7" t="n"/>
      <c r="B4327" s="8" t="n"/>
      <c r="C4327" s="8" t="n"/>
    </row>
    <row r="4328">
      <c r="A4328" s="7" t="n"/>
      <c r="B4328" s="8" t="n"/>
      <c r="C4328" s="8" t="n"/>
    </row>
    <row r="4329">
      <c r="A4329" s="7" t="n"/>
      <c r="B4329" s="8" t="n"/>
      <c r="C4329" s="8" t="n"/>
    </row>
    <row r="4330">
      <c r="A4330" s="7" t="n"/>
      <c r="B4330" s="8" t="n"/>
      <c r="C4330" s="8" t="n"/>
    </row>
    <row r="4331">
      <c r="A4331" s="7" t="n"/>
      <c r="B4331" s="8" t="n"/>
      <c r="C4331" s="8" t="n"/>
    </row>
    <row r="4332">
      <c r="A4332" s="7" t="n"/>
      <c r="B4332" s="8" t="n"/>
      <c r="C4332" s="8" t="n"/>
    </row>
    <row r="4333">
      <c r="A4333" s="7" t="n"/>
      <c r="B4333" s="8" t="n"/>
      <c r="C4333" s="8" t="n"/>
    </row>
    <row r="4334">
      <c r="A4334" s="7" t="n"/>
      <c r="B4334" s="8" t="n"/>
      <c r="C4334" s="8" t="n"/>
    </row>
    <row r="4335">
      <c r="A4335" s="7" t="n"/>
      <c r="B4335" s="8" t="n"/>
      <c r="C4335" s="8" t="n"/>
    </row>
    <row r="4336">
      <c r="A4336" s="7" t="n"/>
      <c r="B4336" s="8" t="n"/>
      <c r="C4336" s="8" t="n"/>
    </row>
    <row r="4337">
      <c r="A4337" s="7" t="n"/>
      <c r="B4337" s="8" t="n"/>
      <c r="C4337" s="8" t="n"/>
    </row>
    <row r="4338">
      <c r="A4338" s="7" t="n"/>
      <c r="B4338" s="8" t="n"/>
      <c r="C4338" s="8" t="n"/>
    </row>
    <row r="4339">
      <c r="A4339" s="7" t="n"/>
      <c r="B4339" s="8" t="n"/>
      <c r="C4339" s="8" t="n"/>
    </row>
    <row r="4340">
      <c r="A4340" s="7" t="n"/>
      <c r="B4340" s="8" t="n"/>
      <c r="C4340" s="8" t="n"/>
    </row>
    <row r="4341">
      <c r="A4341" s="7" t="n"/>
      <c r="B4341" s="8" t="n"/>
      <c r="C4341" s="8" t="n"/>
    </row>
    <row r="4342">
      <c r="A4342" s="7" t="n"/>
      <c r="B4342" s="8" t="n"/>
      <c r="C4342" s="8" t="n"/>
    </row>
    <row r="4343">
      <c r="A4343" s="7" t="n"/>
      <c r="B4343" s="8" t="n"/>
      <c r="C4343" s="8" t="n"/>
    </row>
    <row r="4344">
      <c r="A4344" s="7" t="n"/>
      <c r="B4344" s="8" t="n"/>
      <c r="C4344" s="8" t="n"/>
    </row>
    <row r="4345">
      <c r="A4345" s="7" t="n"/>
      <c r="B4345" s="8" t="n"/>
      <c r="C4345" s="8" t="n"/>
    </row>
    <row r="4346">
      <c r="A4346" s="7" t="n"/>
      <c r="B4346" s="8" t="n"/>
      <c r="C4346" s="8" t="n"/>
    </row>
    <row r="4347">
      <c r="A4347" s="7" t="n"/>
      <c r="B4347" s="8" t="n"/>
      <c r="C4347" s="8" t="n"/>
    </row>
    <row r="4348">
      <c r="A4348" s="7" t="n"/>
      <c r="B4348" s="8" t="n"/>
      <c r="C4348" s="8" t="n"/>
    </row>
    <row r="4349">
      <c r="A4349" s="7" t="n"/>
      <c r="B4349" s="8" t="n"/>
      <c r="C4349" s="8" t="n"/>
    </row>
    <row r="4350">
      <c r="A4350" s="7" t="n"/>
      <c r="B4350" s="8" t="n"/>
      <c r="C4350" s="8" t="n"/>
    </row>
    <row r="4351">
      <c r="A4351" s="7" t="n"/>
      <c r="B4351" s="8" t="n"/>
      <c r="C4351" s="8" t="n"/>
    </row>
    <row r="4352">
      <c r="A4352" s="7" t="n"/>
      <c r="B4352" s="8" t="n"/>
      <c r="C4352" s="8" t="n"/>
    </row>
    <row r="4353">
      <c r="A4353" s="7" t="n"/>
      <c r="B4353" s="8" t="n"/>
      <c r="C4353" s="8" t="n"/>
    </row>
    <row r="4354">
      <c r="A4354" s="7" t="n"/>
      <c r="B4354" s="8" t="n"/>
      <c r="C4354" s="8" t="n"/>
    </row>
    <row r="4355">
      <c r="A4355" s="7" t="n"/>
      <c r="B4355" s="8" t="n"/>
      <c r="C4355" s="8" t="n"/>
    </row>
    <row r="4356">
      <c r="A4356" s="7" t="n"/>
      <c r="B4356" s="8" t="n"/>
      <c r="C4356" s="8" t="n"/>
    </row>
    <row r="4357">
      <c r="A4357" s="7" t="n"/>
      <c r="B4357" s="8" t="n"/>
      <c r="C4357" s="8" t="n"/>
    </row>
    <row r="4358">
      <c r="A4358" s="7" t="n"/>
      <c r="B4358" s="8" t="n"/>
      <c r="C4358" s="8" t="n"/>
    </row>
    <row r="4359">
      <c r="A4359" s="7" t="n"/>
      <c r="B4359" s="8" t="n"/>
      <c r="C4359" s="8" t="n"/>
    </row>
    <row r="4360">
      <c r="A4360" s="7" t="n"/>
      <c r="B4360" s="8" t="n"/>
      <c r="C4360" s="8" t="n"/>
    </row>
    <row r="4361">
      <c r="A4361" s="7" t="n"/>
      <c r="B4361" s="8" t="n"/>
      <c r="C4361" s="8" t="n"/>
    </row>
    <row r="4362">
      <c r="A4362" s="7" t="n"/>
      <c r="B4362" s="8" t="n"/>
      <c r="C4362" s="8" t="n"/>
    </row>
    <row r="4363">
      <c r="A4363" s="7" t="n"/>
      <c r="B4363" s="8" t="n"/>
      <c r="C4363" s="8" t="n"/>
    </row>
    <row r="4364">
      <c r="A4364" s="7" t="n"/>
      <c r="B4364" s="8" t="n"/>
      <c r="C4364" s="8" t="n"/>
    </row>
    <row r="4365">
      <c r="A4365" s="7" t="n"/>
      <c r="B4365" s="8" t="n"/>
      <c r="C4365" s="8" t="n"/>
    </row>
    <row r="4366">
      <c r="A4366" s="7" t="n"/>
      <c r="B4366" s="8" t="n"/>
      <c r="C4366" s="8" t="n"/>
    </row>
    <row r="4367">
      <c r="A4367" s="7" t="n"/>
      <c r="B4367" s="8" t="n"/>
      <c r="C4367" s="8" t="n"/>
    </row>
    <row r="4368">
      <c r="A4368" s="7" t="n"/>
      <c r="B4368" s="8" t="n"/>
      <c r="C4368" s="8" t="n"/>
    </row>
    <row r="4369">
      <c r="A4369" s="7" t="n"/>
      <c r="B4369" s="8" t="n"/>
      <c r="C4369" s="8" t="n"/>
    </row>
    <row r="4370">
      <c r="A4370" s="7" t="n"/>
      <c r="B4370" s="8" t="n"/>
      <c r="C4370" s="8" t="n"/>
    </row>
    <row r="4371">
      <c r="A4371" s="7" t="n"/>
      <c r="B4371" s="8" t="n"/>
      <c r="C4371" s="8" t="n"/>
    </row>
    <row r="4372">
      <c r="A4372" s="7" t="n"/>
      <c r="B4372" s="8" t="n"/>
      <c r="C4372" s="8" t="n"/>
    </row>
    <row r="4373">
      <c r="A4373" s="7" t="n"/>
      <c r="B4373" s="8" t="n"/>
      <c r="C4373" s="8" t="n"/>
    </row>
    <row r="4374">
      <c r="A4374" s="7" t="n"/>
      <c r="B4374" s="8" t="n"/>
      <c r="C4374" s="8" t="n"/>
    </row>
    <row r="4375">
      <c r="A4375" s="7" t="n"/>
      <c r="B4375" s="8" t="n"/>
      <c r="C4375" s="8" t="n"/>
    </row>
    <row r="4376">
      <c r="A4376" s="7" t="n"/>
      <c r="B4376" s="8" t="n"/>
      <c r="C4376" s="8" t="n"/>
    </row>
    <row r="4377">
      <c r="A4377" s="7" t="n"/>
      <c r="B4377" s="8" t="n"/>
      <c r="C4377" s="8" t="n"/>
    </row>
    <row r="4378">
      <c r="A4378" s="7" t="n"/>
      <c r="B4378" s="8" t="n"/>
      <c r="C4378" s="8" t="n"/>
    </row>
    <row r="4379">
      <c r="A4379" s="7" t="n"/>
      <c r="B4379" s="8" t="n"/>
      <c r="C4379" s="8" t="n"/>
    </row>
    <row r="4380">
      <c r="A4380" s="7" t="n"/>
      <c r="B4380" s="8" t="n"/>
      <c r="C4380" s="8" t="n"/>
    </row>
    <row r="4381">
      <c r="A4381" s="7" t="n"/>
      <c r="B4381" s="8" t="n"/>
      <c r="C4381" s="8" t="n"/>
    </row>
    <row r="4382">
      <c r="A4382" s="7" t="n"/>
      <c r="B4382" s="8" t="n"/>
      <c r="C4382" s="8" t="n"/>
    </row>
    <row r="4383">
      <c r="A4383" s="7" t="n"/>
      <c r="B4383" s="8" t="n"/>
      <c r="C4383" s="8" t="n"/>
    </row>
    <row r="4384">
      <c r="A4384" s="7" t="n"/>
      <c r="B4384" s="8" t="n"/>
      <c r="C4384" s="8" t="n"/>
    </row>
    <row r="4385">
      <c r="A4385" s="7" t="n"/>
      <c r="B4385" s="8" t="n"/>
      <c r="C4385" s="8" t="n"/>
    </row>
    <row r="4386">
      <c r="A4386" s="7" t="n"/>
      <c r="B4386" s="8" t="n"/>
      <c r="C4386" s="8" t="n"/>
    </row>
    <row r="4387">
      <c r="A4387" s="7" t="n"/>
      <c r="B4387" s="8" t="n"/>
      <c r="C4387" s="8" t="n"/>
    </row>
    <row r="4388">
      <c r="A4388" s="7" t="n"/>
      <c r="B4388" s="8" t="n"/>
      <c r="C4388" s="8" t="n"/>
    </row>
    <row r="4389">
      <c r="A4389" s="7" t="n"/>
      <c r="B4389" s="8" t="n"/>
      <c r="C4389" s="8" t="n"/>
    </row>
    <row r="4390">
      <c r="A4390" s="7" t="n"/>
      <c r="B4390" s="8" t="n"/>
      <c r="C4390" s="8" t="n"/>
    </row>
    <row r="4391">
      <c r="A4391" s="7" t="n"/>
      <c r="B4391" s="8" t="n"/>
      <c r="C4391" s="8" t="n"/>
    </row>
    <row r="4392">
      <c r="A4392" s="7" t="n"/>
      <c r="B4392" s="8" t="n"/>
      <c r="C4392" s="8" t="n"/>
    </row>
    <row r="4393">
      <c r="A4393" s="7" t="n"/>
      <c r="B4393" s="8" t="n"/>
      <c r="C4393" s="8" t="n"/>
    </row>
    <row r="4394">
      <c r="A4394" s="7" t="n"/>
      <c r="B4394" s="8" t="n"/>
      <c r="C4394" s="8" t="n"/>
    </row>
    <row r="4395">
      <c r="A4395" s="7" t="n"/>
      <c r="B4395" s="8" t="n"/>
      <c r="C4395" s="8" t="n"/>
    </row>
    <row r="4396">
      <c r="A4396" s="7" t="n"/>
      <c r="B4396" s="8" t="n"/>
      <c r="C4396" s="8" t="n"/>
    </row>
    <row r="4397">
      <c r="A4397" s="7" t="n"/>
      <c r="B4397" s="8" t="n"/>
      <c r="C4397" s="8" t="n"/>
    </row>
    <row r="4398">
      <c r="A4398" s="7" t="n"/>
      <c r="B4398" s="8" t="n"/>
      <c r="C4398" s="8" t="n"/>
    </row>
    <row r="4399">
      <c r="A4399" s="7" t="n"/>
      <c r="B4399" s="8" t="n"/>
      <c r="C4399" s="8" t="n"/>
    </row>
    <row r="4400">
      <c r="A4400" s="7" t="n"/>
      <c r="B4400" s="8" t="n"/>
      <c r="C4400" s="8" t="n"/>
    </row>
    <row r="4401">
      <c r="A4401" s="7" t="n"/>
      <c r="B4401" s="8" t="n"/>
      <c r="C4401" s="8" t="n"/>
    </row>
    <row r="4402">
      <c r="A4402" s="7" t="n"/>
      <c r="B4402" s="8" t="n"/>
      <c r="C4402" s="8" t="n"/>
    </row>
    <row r="4403">
      <c r="A4403" s="7" t="n"/>
      <c r="B4403" s="8" t="n"/>
      <c r="C4403" s="8" t="n"/>
    </row>
    <row r="4404">
      <c r="A4404" s="7" t="n"/>
      <c r="B4404" s="8" t="n"/>
      <c r="C4404" s="8" t="n"/>
    </row>
    <row r="4405">
      <c r="A4405" s="7" t="n"/>
      <c r="B4405" s="8" t="n"/>
      <c r="C4405" s="8" t="n"/>
    </row>
    <row r="4406">
      <c r="A4406" s="7" t="n"/>
      <c r="B4406" s="8" t="n"/>
      <c r="C4406" s="8" t="n"/>
    </row>
    <row r="4407">
      <c r="A4407" s="7" t="n"/>
      <c r="B4407" s="8" t="n"/>
      <c r="C4407" s="8" t="n"/>
    </row>
    <row r="4408">
      <c r="A4408" s="7" t="n"/>
      <c r="B4408" s="8" t="n"/>
      <c r="C4408" s="8" t="n"/>
    </row>
    <row r="4409">
      <c r="A4409" s="7" t="n"/>
      <c r="B4409" s="8" t="n"/>
      <c r="C4409" s="8" t="n"/>
    </row>
    <row r="4410">
      <c r="A4410" s="7" t="n"/>
      <c r="B4410" s="8" t="n"/>
      <c r="C4410" s="8" t="n"/>
    </row>
    <row r="4411">
      <c r="A4411" s="7" t="n"/>
      <c r="B4411" s="8" t="n"/>
      <c r="C4411" s="8" t="n"/>
    </row>
    <row r="4412">
      <c r="A4412" s="7" t="n"/>
      <c r="B4412" s="8" t="n"/>
      <c r="C4412" s="8" t="n"/>
    </row>
    <row r="4413">
      <c r="A4413" s="7" t="n"/>
      <c r="B4413" s="8" t="n"/>
      <c r="C4413" s="8" t="n"/>
    </row>
    <row r="4414">
      <c r="A4414" s="7" t="n"/>
      <c r="B4414" s="8" t="n"/>
      <c r="C4414" s="8" t="n"/>
    </row>
    <row r="4415">
      <c r="A4415" s="7" t="n"/>
      <c r="B4415" s="8" t="n"/>
      <c r="C4415" s="8" t="n"/>
    </row>
    <row r="4416">
      <c r="A4416" s="7" t="n"/>
      <c r="B4416" s="8" t="n"/>
      <c r="C4416" s="8" t="n"/>
    </row>
    <row r="4417">
      <c r="A4417" s="7" t="n"/>
      <c r="B4417" s="8" t="n"/>
      <c r="C4417" s="8" t="n"/>
    </row>
    <row r="4418">
      <c r="A4418" s="7" t="n"/>
      <c r="B4418" s="8" t="n"/>
      <c r="C4418" s="8" t="n"/>
    </row>
    <row r="4419">
      <c r="A4419" s="7" t="n"/>
      <c r="B4419" s="8" t="n"/>
      <c r="C4419" s="8" t="n"/>
    </row>
    <row r="4420">
      <c r="A4420" s="7" t="n"/>
      <c r="B4420" s="8" t="n"/>
      <c r="C4420" s="8" t="n"/>
    </row>
    <row r="4421">
      <c r="A4421" s="7" t="n"/>
      <c r="B4421" s="8" t="n"/>
      <c r="C4421" s="8" t="n"/>
    </row>
    <row r="4422">
      <c r="A4422" s="7" t="n"/>
      <c r="B4422" s="8" t="n"/>
      <c r="C4422" s="8" t="n"/>
    </row>
    <row r="4423">
      <c r="A4423" s="7" t="n"/>
      <c r="B4423" s="8" t="n"/>
      <c r="C4423" s="8" t="n"/>
    </row>
    <row r="4424">
      <c r="A4424" s="7" t="n"/>
      <c r="B4424" s="8" t="n"/>
      <c r="C4424" s="8" t="n"/>
    </row>
    <row r="4425">
      <c r="A4425" s="7" t="n"/>
      <c r="B4425" s="8" t="n"/>
      <c r="C4425" s="8" t="n"/>
    </row>
    <row r="4426">
      <c r="A4426" s="7" t="n"/>
      <c r="B4426" s="8" t="n"/>
      <c r="C4426" s="8" t="n"/>
    </row>
    <row r="4427">
      <c r="A4427" s="7" t="n"/>
      <c r="B4427" s="8" t="n"/>
      <c r="C4427" s="8" t="n"/>
    </row>
    <row r="4428">
      <c r="A4428" s="7" t="n"/>
      <c r="B4428" s="8" t="n"/>
      <c r="C4428" s="8" t="n"/>
    </row>
    <row r="4429">
      <c r="A4429" s="7" t="n"/>
      <c r="B4429" s="8" t="n"/>
      <c r="C4429" s="8" t="n"/>
    </row>
    <row r="4430">
      <c r="A4430" s="7" t="n"/>
      <c r="B4430" s="8" t="n"/>
      <c r="C4430" s="8" t="n"/>
    </row>
    <row r="4431">
      <c r="A4431" s="7" t="n"/>
      <c r="B4431" s="8" t="n"/>
      <c r="C4431" s="8" t="n"/>
    </row>
    <row r="4432">
      <c r="A4432" s="7" t="n"/>
      <c r="B4432" s="8" t="n"/>
      <c r="C4432" s="8" t="n"/>
    </row>
    <row r="4433">
      <c r="A4433" s="7" t="n"/>
      <c r="B4433" s="8" t="n"/>
      <c r="C4433" s="8" t="n"/>
    </row>
    <row r="4434">
      <c r="A4434" s="7" t="n"/>
      <c r="B4434" s="8" t="n"/>
      <c r="C4434" s="8" t="n"/>
    </row>
    <row r="4435">
      <c r="A4435" s="7" t="n"/>
      <c r="B4435" s="8" t="n"/>
      <c r="C4435" s="8" t="n"/>
    </row>
    <row r="4436">
      <c r="A4436" s="7" t="n"/>
      <c r="B4436" s="8" t="n"/>
      <c r="C4436" s="8" t="n"/>
    </row>
    <row r="4437">
      <c r="A4437" s="7" t="n"/>
      <c r="B4437" s="8" t="n"/>
      <c r="C4437" s="8" t="n"/>
    </row>
    <row r="4438">
      <c r="A4438" s="7" t="n"/>
      <c r="B4438" s="8" t="n"/>
      <c r="C4438" s="8" t="n"/>
    </row>
    <row r="4439">
      <c r="A4439" s="7" t="n"/>
      <c r="B4439" s="8" t="n"/>
      <c r="C4439" s="8" t="n"/>
    </row>
    <row r="4440">
      <c r="A4440" s="7" t="n"/>
      <c r="B4440" s="8" t="n"/>
      <c r="C4440" s="8" t="n"/>
    </row>
    <row r="4441">
      <c r="A4441" s="7" t="n"/>
      <c r="B4441" s="8" t="n"/>
      <c r="C4441" s="8" t="n"/>
    </row>
    <row r="4442">
      <c r="A4442" s="7" t="n"/>
      <c r="B4442" s="8" t="n"/>
      <c r="C4442" s="8" t="n"/>
    </row>
    <row r="4443">
      <c r="A4443" s="7" t="n"/>
      <c r="B4443" s="8" t="n"/>
      <c r="C4443" s="8" t="n"/>
    </row>
    <row r="4444">
      <c r="A4444" s="7" t="n"/>
      <c r="B4444" s="8" t="n"/>
      <c r="C4444" s="8" t="n"/>
    </row>
    <row r="4445">
      <c r="A4445" s="7" t="n"/>
      <c r="B4445" s="8" t="n"/>
      <c r="C4445" s="8" t="n"/>
    </row>
    <row r="4446">
      <c r="A4446" s="7" t="n"/>
      <c r="B4446" s="8" t="n"/>
      <c r="C4446" s="8" t="n"/>
    </row>
    <row r="4447">
      <c r="A4447" s="7" t="n"/>
      <c r="B4447" s="8" t="n"/>
      <c r="C4447" s="8" t="n"/>
    </row>
    <row r="4448">
      <c r="A4448" s="7" t="n"/>
      <c r="B4448" s="8" t="n"/>
      <c r="C4448" s="8" t="n"/>
    </row>
    <row r="4449">
      <c r="A4449" s="7" t="n"/>
      <c r="B4449" s="8" t="n"/>
      <c r="C4449" s="8" t="n"/>
    </row>
    <row r="4450">
      <c r="A4450" s="7" t="n"/>
      <c r="B4450" s="8" t="n"/>
      <c r="C4450" s="8" t="n"/>
    </row>
    <row r="4451">
      <c r="A4451" s="7" t="n"/>
      <c r="B4451" s="8" t="n"/>
      <c r="C4451" s="8" t="n"/>
    </row>
    <row r="4452">
      <c r="A4452" s="7" t="n"/>
      <c r="B4452" s="8" t="n"/>
      <c r="C4452" s="8" t="n"/>
    </row>
    <row r="4453">
      <c r="A4453" s="7" t="n"/>
      <c r="B4453" s="8" t="n"/>
      <c r="C4453" s="8" t="n"/>
    </row>
    <row r="4454">
      <c r="A4454" s="7" t="n"/>
      <c r="B4454" s="8" t="n"/>
      <c r="C4454" s="8" t="n"/>
    </row>
    <row r="4455">
      <c r="A4455" s="7" t="n"/>
      <c r="B4455" s="8" t="n"/>
      <c r="C4455" s="8" t="n"/>
    </row>
    <row r="4456">
      <c r="A4456" s="7" t="n"/>
      <c r="B4456" s="8" t="n"/>
      <c r="C4456" s="8" t="n"/>
    </row>
    <row r="4457">
      <c r="A4457" s="7" t="n"/>
      <c r="B4457" s="8" t="n"/>
      <c r="C4457" s="8" t="n"/>
    </row>
    <row r="4458">
      <c r="A4458" s="7" t="n"/>
      <c r="B4458" s="8" t="n"/>
      <c r="C4458" s="8" t="n"/>
    </row>
    <row r="4459">
      <c r="A4459" s="7" t="n"/>
      <c r="B4459" s="8" t="n"/>
      <c r="C4459" s="8" t="n"/>
    </row>
    <row r="4460">
      <c r="A4460" s="7" t="n"/>
      <c r="B4460" s="8" t="n"/>
      <c r="C4460" s="8" t="n"/>
    </row>
    <row r="4461">
      <c r="A4461" s="7" t="n"/>
      <c r="B4461" s="8" t="n"/>
      <c r="C4461" s="8" t="n"/>
    </row>
    <row r="4462">
      <c r="A4462" s="7" t="n"/>
      <c r="B4462" s="8" t="n"/>
      <c r="C4462" s="8" t="n"/>
    </row>
    <row r="4463">
      <c r="A4463" s="7" t="n"/>
      <c r="B4463" s="8" t="n"/>
      <c r="C4463" s="8" t="n"/>
    </row>
    <row r="4464">
      <c r="A4464" s="7" t="n"/>
      <c r="B4464" s="8" t="n"/>
      <c r="C4464" s="8" t="n"/>
    </row>
    <row r="4465">
      <c r="A4465" s="7" t="n"/>
      <c r="B4465" s="8" t="n"/>
      <c r="C4465" s="8" t="n"/>
    </row>
    <row r="4466">
      <c r="A4466" s="7" t="n"/>
      <c r="B4466" s="8" t="n"/>
      <c r="C4466" s="8" t="n"/>
    </row>
    <row r="4467">
      <c r="A4467" s="7" t="n"/>
      <c r="B4467" s="8" t="n"/>
      <c r="C4467" s="8" t="n"/>
    </row>
    <row r="4468">
      <c r="A4468" s="7" t="n"/>
      <c r="B4468" s="8" t="n"/>
      <c r="C4468" s="8" t="n"/>
    </row>
    <row r="4469">
      <c r="A4469" s="7" t="n"/>
      <c r="B4469" s="8" t="n"/>
      <c r="C4469" s="8" t="n"/>
    </row>
    <row r="4470">
      <c r="A4470" s="7" t="n"/>
      <c r="B4470" s="8" t="n"/>
      <c r="C4470" s="8" t="n"/>
    </row>
    <row r="4471">
      <c r="A4471" s="7" t="n"/>
      <c r="B4471" s="8" t="n"/>
      <c r="C4471" s="8" t="n"/>
    </row>
    <row r="4472">
      <c r="A4472" s="7" t="n"/>
      <c r="B4472" s="8" t="n"/>
      <c r="C4472" s="8" t="n"/>
    </row>
    <row r="4473">
      <c r="A4473" s="7" t="n"/>
      <c r="B4473" s="8" t="n"/>
      <c r="C4473" s="8" t="n"/>
    </row>
    <row r="4474">
      <c r="A4474" s="7" t="n"/>
      <c r="B4474" s="8" t="n"/>
      <c r="C4474" s="8" t="n"/>
    </row>
    <row r="4475">
      <c r="A4475" s="7" t="n"/>
      <c r="B4475" s="8" t="n"/>
      <c r="C4475" s="8" t="n"/>
    </row>
    <row r="4476">
      <c r="A4476" s="7" t="n"/>
      <c r="B4476" s="8" t="n"/>
      <c r="C4476" s="8" t="n"/>
    </row>
    <row r="4477">
      <c r="A4477" s="7" t="n"/>
      <c r="B4477" s="8" t="n"/>
      <c r="C4477" s="8" t="n"/>
    </row>
    <row r="4478">
      <c r="A4478" s="7" t="n"/>
      <c r="B4478" s="8" t="n"/>
      <c r="C4478" s="8" t="n"/>
    </row>
    <row r="4479">
      <c r="A4479" s="7" t="n"/>
      <c r="B4479" s="8" t="n"/>
      <c r="C4479" s="8" t="n"/>
    </row>
    <row r="4480">
      <c r="A4480" s="7" t="n"/>
      <c r="B4480" s="8" t="n"/>
      <c r="C4480" s="8" t="n"/>
    </row>
    <row r="4481">
      <c r="A4481" s="7" t="n"/>
      <c r="B4481" s="8" t="n"/>
      <c r="C4481" s="8" t="n"/>
    </row>
    <row r="4482">
      <c r="A4482" s="7" t="n"/>
      <c r="B4482" s="8" t="n"/>
      <c r="C4482" s="8" t="n"/>
    </row>
    <row r="4483">
      <c r="A4483" s="7" t="n"/>
      <c r="B4483" s="8" t="n"/>
      <c r="C4483" s="8" t="n"/>
    </row>
    <row r="4484">
      <c r="A4484" s="7" t="n"/>
      <c r="B4484" s="8" t="n"/>
      <c r="C4484" s="8" t="n"/>
    </row>
    <row r="4485">
      <c r="A4485" s="7" t="n"/>
      <c r="B4485" s="8" t="n"/>
      <c r="C4485" s="8" t="n"/>
    </row>
    <row r="4486">
      <c r="A4486" s="7" t="n"/>
      <c r="B4486" s="8" t="n"/>
      <c r="C4486" s="8" t="n"/>
    </row>
    <row r="4487">
      <c r="A4487" s="7" t="n"/>
      <c r="B4487" s="8" t="n"/>
      <c r="C4487" s="8" t="n"/>
    </row>
    <row r="4488">
      <c r="A4488" s="7" t="n"/>
      <c r="B4488" s="8" t="n"/>
      <c r="C4488" s="8" t="n"/>
    </row>
    <row r="4489">
      <c r="A4489" s="7" t="n"/>
      <c r="B4489" s="8" t="n"/>
      <c r="C4489" s="8" t="n"/>
    </row>
    <row r="4490">
      <c r="A4490" s="7" t="n"/>
      <c r="B4490" s="8" t="n"/>
      <c r="C4490" s="8" t="n"/>
    </row>
    <row r="4491">
      <c r="A4491" s="7" t="n"/>
      <c r="B4491" s="8" t="n"/>
      <c r="C4491" s="8" t="n"/>
    </row>
    <row r="4492">
      <c r="A4492" s="7" t="n"/>
      <c r="B4492" s="8" t="n"/>
      <c r="C4492" s="8" t="n"/>
    </row>
    <row r="4493">
      <c r="A4493" s="7" t="n"/>
      <c r="B4493" s="8" t="n"/>
      <c r="C4493" s="8" t="n"/>
    </row>
    <row r="4494">
      <c r="A4494" s="7" t="n"/>
      <c r="B4494" s="8" t="n"/>
      <c r="C4494" s="8" t="n"/>
    </row>
    <row r="4495">
      <c r="A4495" s="7" t="n"/>
      <c r="B4495" s="8" t="n"/>
      <c r="C4495" s="8" t="n"/>
    </row>
    <row r="4496">
      <c r="A4496" s="7" t="n"/>
      <c r="B4496" s="8" t="n"/>
      <c r="C4496" s="8" t="n"/>
    </row>
    <row r="4497">
      <c r="A4497" s="7" t="n"/>
      <c r="B4497" s="8" t="n"/>
      <c r="C4497" s="8" t="n"/>
    </row>
    <row r="4498">
      <c r="A4498" s="7" t="n"/>
      <c r="B4498" s="8" t="n"/>
      <c r="C4498" s="8" t="n"/>
    </row>
    <row r="4499">
      <c r="A4499" s="7" t="n"/>
      <c r="B4499" s="8" t="n"/>
      <c r="C4499" s="8" t="n"/>
    </row>
    <row r="4500">
      <c r="A4500" s="7" t="n"/>
      <c r="B4500" s="8" t="n"/>
      <c r="C4500" s="8" t="n"/>
    </row>
    <row r="4501">
      <c r="A4501" s="7" t="n"/>
      <c r="B4501" s="8" t="n"/>
      <c r="C4501" s="8" t="n"/>
    </row>
    <row r="4502">
      <c r="A4502" s="7" t="n"/>
      <c r="B4502" s="8" t="n"/>
      <c r="C4502" s="8" t="n"/>
    </row>
    <row r="4503">
      <c r="A4503" s="7" t="n"/>
      <c r="B4503" s="8" t="n"/>
      <c r="C4503" s="8" t="n"/>
    </row>
    <row r="4504">
      <c r="A4504" s="7" t="n"/>
      <c r="B4504" s="8" t="n"/>
      <c r="C4504" s="8" t="n"/>
    </row>
    <row r="4505">
      <c r="A4505" s="7" t="n"/>
      <c r="B4505" s="8" t="n"/>
      <c r="C4505" s="8" t="n"/>
    </row>
    <row r="4506">
      <c r="A4506" s="7" t="n"/>
      <c r="B4506" s="8" t="n"/>
      <c r="C4506" s="8" t="n"/>
    </row>
    <row r="4507">
      <c r="A4507" s="7" t="n"/>
      <c r="B4507" s="8" t="n"/>
      <c r="C4507" s="8" t="n"/>
    </row>
    <row r="4508">
      <c r="A4508" s="7" t="n"/>
      <c r="B4508" s="8" t="n"/>
      <c r="C4508" s="8" t="n"/>
    </row>
    <row r="4509">
      <c r="A4509" s="7" t="n"/>
      <c r="B4509" s="8" t="n"/>
      <c r="C4509" s="8" t="n"/>
    </row>
    <row r="4510">
      <c r="A4510" s="7" t="n"/>
      <c r="B4510" s="8" t="n"/>
      <c r="C4510" s="8" t="n"/>
    </row>
    <row r="4511">
      <c r="A4511" s="7" t="n"/>
      <c r="B4511" s="8" t="n"/>
      <c r="C4511" s="8" t="n"/>
    </row>
    <row r="4512">
      <c r="A4512" s="7" t="n"/>
      <c r="B4512" s="8" t="n"/>
      <c r="C4512" s="8" t="n"/>
    </row>
    <row r="4513">
      <c r="A4513" s="7" t="n"/>
      <c r="B4513" s="8" t="n"/>
      <c r="C4513" s="8" t="n"/>
    </row>
    <row r="4514">
      <c r="A4514" s="7" t="n"/>
      <c r="B4514" s="8" t="n"/>
      <c r="C4514" s="8" t="n"/>
    </row>
    <row r="4515">
      <c r="A4515" s="7" t="n"/>
      <c r="B4515" s="8" t="n"/>
      <c r="C4515" s="8" t="n"/>
    </row>
    <row r="4516">
      <c r="A4516" s="7" t="n"/>
      <c r="B4516" s="8" t="n"/>
      <c r="C4516" s="8" t="n"/>
    </row>
    <row r="4517">
      <c r="A4517" s="7" t="n"/>
      <c r="B4517" s="8" t="n"/>
      <c r="C4517" s="8" t="n"/>
    </row>
    <row r="4518">
      <c r="A4518" s="7" t="n"/>
      <c r="B4518" s="8" t="n"/>
      <c r="C4518" s="8" t="n"/>
    </row>
    <row r="4519">
      <c r="A4519" s="7" t="n"/>
      <c r="B4519" s="8" t="n"/>
      <c r="C4519" s="8" t="n"/>
    </row>
    <row r="4520">
      <c r="A4520" s="7" t="n"/>
      <c r="B4520" s="8" t="n"/>
      <c r="C4520" s="8" t="n"/>
    </row>
    <row r="4521">
      <c r="A4521" s="7" t="n"/>
      <c r="B4521" s="8" t="n"/>
      <c r="C4521" s="8" t="n"/>
    </row>
    <row r="4522">
      <c r="A4522" s="7" t="n"/>
      <c r="B4522" s="8" t="n"/>
      <c r="C4522" s="8" t="n"/>
    </row>
    <row r="4523">
      <c r="A4523" s="7" t="n"/>
      <c r="B4523" s="8" t="n"/>
      <c r="C4523" s="8" t="n"/>
    </row>
    <row r="4524">
      <c r="A4524" s="7" t="n"/>
      <c r="B4524" s="8" t="n"/>
      <c r="C4524" s="8" t="n"/>
    </row>
    <row r="4525">
      <c r="A4525" s="7" t="n"/>
      <c r="B4525" s="8" t="n"/>
      <c r="C4525" s="8" t="n"/>
    </row>
    <row r="4526">
      <c r="A4526" s="7" t="n"/>
      <c r="B4526" s="8" t="n"/>
      <c r="C4526" s="8" t="n"/>
    </row>
    <row r="4527">
      <c r="A4527" s="7" t="n"/>
      <c r="B4527" s="8" t="n"/>
      <c r="C4527" s="8" t="n"/>
    </row>
    <row r="4528">
      <c r="A4528" s="7" t="n"/>
      <c r="B4528" s="8" t="n"/>
      <c r="C4528" s="8" t="n"/>
    </row>
    <row r="4529">
      <c r="A4529" s="7" t="n"/>
      <c r="B4529" s="8" t="n"/>
      <c r="C4529" s="8" t="n"/>
    </row>
    <row r="4530">
      <c r="A4530" s="7" t="n"/>
      <c r="B4530" s="8" t="n"/>
      <c r="C4530" s="8" t="n"/>
    </row>
    <row r="4531">
      <c r="A4531" s="7" t="n"/>
      <c r="B4531" s="8" t="n"/>
      <c r="C4531" s="8" t="n"/>
    </row>
    <row r="4532">
      <c r="A4532" s="7" t="n"/>
      <c r="B4532" s="8" t="n"/>
      <c r="C4532" s="8" t="n"/>
    </row>
    <row r="4533">
      <c r="A4533" s="7" t="n"/>
      <c r="B4533" s="8" t="n"/>
      <c r="C4533" s="8" t="n"/>
    </row>
    <row r="4534">
      <c r="A4534" s="7" t="n"/>
      <c r="B4534" s="8" t="n"/>
      <c r="C4534" s="8" t="n"/>
    </row>
    <row r="4535">
      <c r="A4535" s="7" t="n"/>
      <c r="B4535" s="8" t="n"/>
      <c r="C4535" s="8" t="n"/>
    </row>
    <row r="4536">
      <c r="A4536" s="7" t="n"/>
      <c r="B4536" s="8" t="n"/>
      <c r="C4536" s="8" t="n"/>
    </row>
    <row r="4537">
      <c r="A4537" s="7" t="n"/>
      <c r="B4537" s="8" t="n"/>
      <c r="C4537" s="8" t="n"/>
    </row>
    <row r="4538">
      <c r="A4538" s="7" t="n"/>
      <c r="B4538" s="8" t="n"/>
      <c r="C4538" s="8" t="n"/>
    </row>
    <row r="4539">
      <c r="A4539" s="7" t="n"/>
      <c r="B4539" s="8" t="n"/>
      <c r="C4539" s="8" t="n"/>
    </row>
    <row r="4540">
      <c r="A4540" s="7" t="n"/>
      <c r="B4540" s="8" t="n"/>
      <c r="C4540" s="8" t="n"/>
    </row>
    <row r="4541">
      <c r="A4541" s="7" t="n"/>
      <c r="B4541" s="8" t="n"/>
      <c r="C4541" s="8" t="n"/>
    </row>
    <row r="4542">
      <c r="A4542" s="7" t="n"/>
      <c r="B4542" s="8" t="n"/>
      <c r="C4542" s="8" t="n"/>
    </row>
    <row r="4543">
      <c r="A4543" s="7" t="n"/>
      <c r="B4543" s="8" t="n"/>
      <c r="C4543" s="8" t="n"/>
    </row>
    <row r="4544">
      <c r="A4544" s="7" t="n"/>
      <c r="B4544" s="8" t="n"/>
      <c r="C4544" s="8" t="n"/>
    </row>
    <row r="4545">
      <c r="A4545" s="7" t="n"/>
      <c r="B4545" s="8" t="n"/>
      <c r="C4545" s="8" t="n"/>
    </row>
    <row r="4546">
      <c r="A4546" s="7" t="n"/>
      <c r="B4546" s="8" t="n"/>
      <c r="C4546" s="8" t="n"/>
    </row>
    <row r="4547">
      <c r="A4547" s="7" t="n"/>
      <c r="B4547" s="8" t="n"/>
      <c r="C4547" s="8" t="n"/>
    </row>
    <row r="4548">
      <c r="A4548" s="7" t="n"/>
      <c r="B4548" s="8" t="n"/>
      <c r="C4548" s="8" t="n"/>
    </row>
    <row r="4549">
      <c r="A4549" s="7" t="n"/>
      <c r="B4549" s="8" t="n"/>
      <c r="C4549" s="8" t="n"/>
    </row>
    <row r="4550">
      <c r="A4550" s="7" t="n"/>
      <c r="B4550" s="8" t="n"/>
      <c r="C4550" s="8" t="n"/>
    </row>
    <row r="4551">
      <c r="A4551" s="7" t="n"/>
      <c r="B4551" s="8" t="n"/>
      <c r="C4551" s="8" t="n"/>
    </row>
    <row r="4552">
      <c r="A4552" s="7" t="n"/>
      <c r="B4552" s="8" t="n"/>
      <c r="C4552" s="8" t="n"/>
    </row>
    <row r="4553">
      <c r="A4553" s="7" t="n"/>
      <c r="B4553" s="8" t="n"/>
      <c r="C4553" s="8" t="n"/>
    </row>
    <row r="4554">
      <c r="A4554" s="7" t="n"/>
      <c r="B4554" s="8" t="n"/>
      <c r="C4554" s="8" t="n"/>
    </row>
    <row r="4555">
      <c r="A4555" s="7" t="n"/>
      <c r="B4555" s="8" t="n"/>
      <c r="C4555" s="8" t="n"/>
    </row>
    <row r="4556">
      <c r="A4556" s="7" t="n"/>
      <c r="B4556" s="8" t="n"/>
      <c r="C4556" s="8" t="n"/>
    </row>
    <row r="4557">
      <c r="A4557" s="7" t="n"/>
      <c r="B4557" s="8" t="n"/>
      <c r="C4557" s="8" t="n"/>
    </row>
    <row r="4558">
      <c r="A4558" s="7" t="n"/>
      <c r="B4558" s="8" t="n"/>
      <c r="C4558" s="8" t="n"/>
    </row>
    <row r="4559">
      <c r="A4559" s="7" t="n"/>
      <c r="B4559" s="8" t="n"/>
      <c r="C4559" s="8" t="n"/>
    </row>
    <row r="4560">
      <c r="A4560" s="7" t="n"/>
      <c r="B4560" s="8" t="n"/>
      <c r="C4560" s="8" t="n"/>
    </row>
    <row r="4561">
      <c r="A4561" s="7" t="n"/>
      <c r="B4561" s="8" t="n"/>
      <c r="C4561" s="8" t="n"/>
    </row>
    <row r="4562">
      <c r="A4562" s="7" t="n"/>
      <c r="B4562" s="8" t="n"/>
      <c r="C4562" s="8" t="n"/>
    </row>
    <row r="4563">
      <c r="A4563" s="7" t="n"/>
      <c r="B4563" s="8" t="n"/>
      <c r="C4563" s="8" t="n"/>
    </row>
    <row r="4564">
      <c r="A4564" s="7" t="n"/>
      <c r="B4564" s="8" t="n"/>
      <c r="C4564" s="8" t="n"/>
    </row>
    <row r="4565">
      <c r="A4565" s="7" t="n"/>
      <c r="B4565" s="8" t="n"/>
      <c r="C4565" s="8" t="n"/>
    </row>
    <row r="4566">
      <c r="A4566" s="7" t="n"/>
      <c r="B4566" s="8" t="n"/>
      <c r="C4566" s="8" t="n"/>
    </row>
    <row r="4567">
      <c r="A4567" s="7" t="n"/>
      <c r="B4567" s="8" t="n"/>
      <c r="C4567" s="8" t="n"/>
    </row>
    <row r="4568">
      <c r="A4568" s="7" t="n"/>
      <c r="B4568" s="8" t="n"/>
      <c r="C4568" s="8" t="n"/>
    </row>
    <row r="4569">
      <c r="A4569" s="7" t="n"/>
      <c r="B4569" s="8" t="n"/>
      <c r="C4569" s="8" t="n"/>
    </row>
    <row r="4570">
      <c r="A4570" s="7" t="n"/>
      <c r="B4570" s="8" t="n"/>
      <c r="C4570" s="8" t="n"/>
    </row>
    <row r="4571">
      <c r="A4571" s="7" t="n"/>
      <c r="B4571" s="8" t="n"/>
      <c r="C4571" s="8" t="n"/>
    </row>
    <row r="4572">
      <c r="A4572" s="7" t="n"/>
      <c r="B4572" s="8" t="n"/>
      <c r="C4572" s="8" t="n"/>
    </row>
    <row r="4573">
      <c r="A4573" s="7" t="n"/>
      <c r="B4573" s="8" t="n"/>
      <c r="C4573" s="8" t="n"/>
    </row>
    <row r="4574">
      <c r="A4574" s="7" t="n"/>
      <c r="B4574" s="8" t="n"/>
      <c r="C4574" s="8" t="n"/>
    </row>
    <row r="4575">
      <c r="A4575" s="7" t="n"/>
      <c r="B4575" s="8" t="n"/>
      <c r="C4575" s="8" t="n"/>
    </row>
    <row r="4576">
      <c r="A4576" s="7" t="n"/>
      <c r="B4576" s="8" t="n"/>
      <c r="C4576" s="8" t="n"/>
    </row>
    <row r="4577">
      <c r="A4577" s="7" t="n"/>
      <c r="B4577" s="8" t="n"/>
      <c r="C4577" s="8" t="n"/>
    </row>
    <row r="4578">
      <c r="A4578" s="7" t="n"/>
      <c r="B4578" s="8" t="n"/>
      <c r="C4578" s="8" t="n"/>
    </row>
    <row r="4579">
      <c r="A4579" s="7" t="n"/>
      <c r="B4579" s="8" t="n"/>
      <c r="C4579" s="8" t="n"/>
    </row>
    <row r="4580">
      <c r="A4580" s="7" t="n"/>
      <c r="B4580" s="8" t="n"/>
      <c r="C4580" s="8" t="n"/>
    </row>
    <row r="4581">
      <c r="A4581" s="7" t="n"/>
      <c r="B4581" s="8" t="n"/>
      <c r="C4581" s="8" t="n"/>
    </row>
    <row r="4582">
      <c r="A4582" s="7" t="n"/>
      <c r="B4582" s="8" t="n"/>
      <c r="C4582" s="8" t="n"/>
    </row>
    <row r="4583">
      <c r="A4583" s="7" t="n"/>
      <c r="B4583" s="8" t="n"/>
      <c r="C4583" s="8" t="n"/>
    </row>
    <row r="4584">
      <c r="A4584" s="7" t="n"/>
      <c r="B4584" s="8" t="n"/>
      <c r="C4584" s="8" t="n"/>
    </row>
    <row r="4585">
      <c r="A4585" s="7" t="n"/>
      <c r="B4585" s="8" t="n"/>
      <c r="C4585" s="8" t="n"/>
    </row>
    <row r="4586">
      <c r="A4586" s="7" t="n"/>
      <c r="B4586" s="8" t="n"/>
      <c r="C4586" s="8" t="n"/>
    </row>
    <row r="4587">
      <c r="A4587" s="7" t="n"/>
      <c r="B4587" s="8" t="n"/>
      <c r="C4587" s="8" t="n"/>
    </row>
    <row r="4588">
      <c r="A4588" s="7" t="n"/>
      <c r="B4588" s="8" t="n"/>
      <c r="C4588" s="8" t="n"/>
    </row>
    <row r="4589">
      <c r="A4589" s="7" t="n"/>
      <c r="B4589" s="8" t="n"/>
      <c r="C4589" s="8" t="n"/>
    </row>
    <row r="4590">
      <c r="A4590" s="7" t="n"/>
      <c r="B4590" s="8" t="n"/>
      <c r="C4590" s="8" t="n"/>
    </row>
    <row r="4591">
      <c r="A4591" s="7" t="n"/>
      <c r="B4591" s="8" t="n"/>
      <c r="C4591" s="8" t="n"/>
    </row>
    <row r="4592">
      <c r="A4592" s="7" t="n"/>
      <c r="B4592" s="8" t="n"/>
      <c r="C4592" s="8" t="n"/>
    </row>
    <row r="4593">
      <c r="A4593" s="7" t="n"/>
      <c r="B4593" s="8" t="n"/>
      <c r="C4593" s="8" t="n"/>
    </row>
    <row r="4594">
      <c r="A4594" s="7" t="n"/>
      <c r="B4594" s="8" t="n"/>
      <c r="C4594" s="8" t="n"/>
    </row>
    <row r="4595">
      <c r="A4595" s="7" t="n"/>
      <c r="B4595" s="8" t="n"/>
      <c r="C4595" s="8" t="n"/>
    </row>
    <row r="4596">
      <c r="A4596" s="7" t="n"/>
      <c r="B4596" s="8" t="n"/>
      <c r="C4596" s="8" t="n"/>
    </row>
    <row r="4597">
      <c r="A4597" s="7" t="n"/>
      <c r="B4597" s="8" t="n"/>
      <c r="C4597" s="8" t="n"/>
    </row>
    <row r="4598">
      <c r="A4598" s="7" t="n"/>
      <c r="B4598" s="8" t="n"/>
      <c r="C4598" s="8" t="n"/>
    </row>
    <row r="4599">
      <c r="A4599" s="7" t="n"/>
      <c r="B4599" s="8" t="n"/>
      <c r="C4599" s="8" t="n"/>
    </row>
    <row r="4600">
      <c r="A4600" s="7" t="n"/>
      <c r="B4600" s="8" t="n"/>
      <c r="C4600" s="8" t="n"/>
    </row>
    <row r="4601">
      <c r="A4601" s="7" t="n"/>
      <c r="B4601" s="8" t="n"/>
      <c r="C4601" s="8" t="n"/>
    </row>
    <row r="4602">
      <c r="A4602" s="7" t="n"/>
      <c r="B4602" s="8" t="n"/>
      <c r="C4602" s="8" t="n"/>
    </row>
    <row r="4603">
      <c r="A4603" s="7" t="n"/>
      <c r="B4603" s="8" t="n"/>
      <c r="C4603" s="8" t="n"/>
    </row>
    <row r="4604">
      <c r="A4604" s="7" t="n"/>
      <c r="B4604" s="8" t="n"/>
      <c r="C4604" s="8" t="n"/>
    </row>
    <row r="4605">
      <c r="A4605" s="7" t="n"/>
      <c r="B4605" s="8" t="n"/>
      <c r="C4605" s="8" t="n"/>
    </row>
    <row r="4606">
      <c r="A4606" s="7" t="n"/>
      <c r="B4606" s="8" t="n"/>
      <c r="C4606" s="8" t="n"/>
    </row>
    <row r="4607">
      <c r="A4607" s="7" t="n"/>
      <c r="B4607" s="8" t="n"/>
      <c r="C4607" s="8" t="n"/>
    </row>
    <row r="4608">
      <c r="A4608" s="7" t="n"/>
      <c r="B4608" s="8" t="n"/>
      <c r="C4608" s="8" t="n"/>
    </row>
    <row r="4609">
      <c r="A4609" s="7" t="n"/>
      <c r="B4609" s="8" t="n"/>
      <c r="C4609" s="8" t="n"/>
    </row>
    <row r="4610">
      <c r="A4610" s="7" t="n"/>
      <c r="B4610" s="8" t="n"/>
      <c r="C4610" s="8" t="n"/>
    </row>
    <row r="4611">
      <c r="A4611" s="7" t="n"/>
      <c r="B4611" s="8" t="n"/>
      <c r="C4611" s="8" t="n"/>
    </row>
    <row r="4612">
      <c r="A4612" s="7" t="n"/>
      <c r="B4612" s="8" t="n"/>
      <c r="C4612" s="8" t="n"/>
    </row>
    <row r="4613">
      <c r="A4613" s="7" t="n"/>
      <c r="B4613" s="8" t="n"/>
      <c r="C4613" s="8" t="n"/>
    </row>
    <row r="4614">
      <c r="A4614" s="7" t="n"/>
      <c r="B4614" s="8" t="n"/>
      <c r="C4614" s="8" t="n"/>
    </row>
    <row r="4615">
      <c r="A4615" s="7" t="n"/>
      <c r="B4615" s="8" t="n"/>
      <c r="C4615" s="8" t="n"/>
    </row>
    <row r="4616">
      <c r="A4616" s="7" t="n"/>
      <c r="B4616" s="8" t="n"/>
      <c r="C4616" s="8" t="n"/>
    </row>
    <row r="4617">
      <c r="A4617" s="7" t="n"/>
      <c r="B4617" s="8" t="n"/>
      <c r="C4617" s="8" t="n"/>
    </row>
    <row r="4618">
      <c r="A4618" s="7" t="n"/>
      <c r="B4618" s="8" t="n"/>
      <c r="C4618" s="8" t="n"/>
    </row>
    <row r="4619">
      <c r="A4619" s="7" t="n"/>
      <c r="B4619" s="8" t="n"/>
      <c r="C4619" s="8" t="n"/>
    </row>
    <row r="4620">
      <c r="A4620" s="7" t="n"/>
      <c r="B4620" s="8" t="n"/>
      <c r="C4620" s="8" t="n"/>
    </row>
    <row r="4621">
      <c r="A4621" s="7" t="n"/>
      <c r="B4621" s="8" t="n"/>
      <c r="C4621" s="8" t="n"/>
    </row>
    <row r="4622">
      <c r="A4622" s="7" t="n"/>
      <c r="B4622" s="8" t="n"/>
      <c r="C4622" s="8" t="n"/>
    </row>
    <row r="4623">
      <c r="A4623" s="7" t="n"/>
      <c r="B4623" s="8" t="n"/>
      <c r="C4623" s="8" t="n"/>
    </row>
    <row r="4624">
      <c r="A4624" s="7" t="n"/>
      <c r="B4624" s="8" t="n"/>
      <c r="C4624" s="8" t="n"/>
    </row>
    <row r="4625">
      <c r="A4625" s="7" t="n"/>
      <c r="B4625" s="8" t="n"/>
      <c r="C4625" s="8" t="n"/>
    </row>
    <row r="4626">
      <c r="A4626" s="7" t="n"/>
      <c r="B4626" s="8" t="n"/>
      <c r="C4626" s="8" t="n"/>
    </row>
    <row r="4627">
      <c r="A4627" s="7" t="n"/>
      <c r="B4627" s="8" t="n"/>
      <c r="C4627" s="8" t="n"/>
    </row>
    <row r="4628">
      <c r="A4628" s="7" t="n"/>
      <c r="B4628" s="8" t="n"/>
      <c r="C4628" s="8" t="n"/>
    </row>
    <row r="4629">
      <c r="A4629" s="7" t="n"/>
      <c r="B4629" s="8" t="n"/>
      <c r="C4629" s="8" t="n"/>
    </row>
    <row r="4630">
      <c r="A4630" s="7" t="n"/>
      <c r="B4630" s="8" t="n"/>
      <c r="C4630" s="8" t="n"/>
    </row>
    <row r="4631">
      <c r="A4631" s="7" t="n"/>
      <c r="B4631" s="8" t="n"/>
      <c r="C4631" s="8" t="n"/>
    </row>
    <row r="4632">
      <c r="A4632" s="7" t="n"/>
      <c r="B4632" s="8" t="n"/>
      <c r="C4632" s="8" t="n"/>
    </row>
    <row r="4633">
      <c r="A4633" s="7" t="n"/>
      <c r="B4633" s="8" t="n"/>
      <c r="C4633" s="8" t="n"/>
    </row>
    <row r="4634">
      <c r="A4634" s="7" t="n"/>
      <c r="B4634" s="8" t="n"/>
      <c r="C4634" s="8" t="n"/>
    </row>
    <row r="4635">
      <c r="A4635" s="7" t="n"/>
      <c r="B4635" s="8" t="n"/>
      <c r="C4635" s="8" t="n"/>
    </row>
    <row r="4636">
      <c r="A4636" s="7" t="n"/>
      <c r="B4636" s="8" t="n"/>
      <c r="C4636" s="8" t="n"/>
    </row>
    <row r="4637">
      <c r="A4637" s="7" t="n"/>
      <c r="B4637" s="8" t="n"/>
      <c r="C4637" s="8" t="n"/>
    </row>
    <row r="4638">
      <c r="A4638" s="7" t="n"/>
      <c r="B4638" s="8" t="n"/>
      <c r="C4638" s="8" t="n"/>
    </row>
    <row r="4639">
      <c r="A4639" s="7" t="n"/>
      <c r="B4639" s="8" t="n"/>
      <c r="C4639" s="8" t="n"/>
    </row>
    <row r="4640">
      <c r="A4640" s="7" t="n"/>
      <c r="B4640" s="8" t="n"/>
      <c r="C4640" s="8" t="n"/>
    </row>
    <row r="4641">
      <c r="A4641" s="7" t="n"/>
      <c r="B4641" s="8" t="n"/>
      <c r="C4641" s="8" t="n"/>
    </row>
    <row r="4642">
      <c r="A4642" s="7" t="n"/>
      <c r="B4642" s="8" t="n"/>
      <c r="C4642" s="8" t="n"/>
    </row>
    <row r="4643">
      <c r="A4643" s="7" t="n"/>
      <c r="B4643" s="8" t="n"/>
      <c r="C4643" s="8" t="n"/>
    </row>
    <row r="4644">
      <c r="A4644" s="7" t="n"/>
      <c r="B4644" s="8" t="n"/>
      <c r="C4644" s="8" t="n"/>
    </row>
    <row r="4645">
      <c r="A4645" s="7" t="n"/>
      <c r="B4645" s="8" t="n"/>
      <c r="C4645" s="8" t="n"/>
    </row>
    <row r="4646">
      <c r="A4646" s="7" t="n"/>
      <c r="B4646" s="8" t="n"/>
      <c r="C4646" s="8" t="n"/>
    </row>
    <row r="4647">
      <c r="A4647" s="7" t="n"/>
      <c r="B4647" s="8" t="n"/>
      <c r="C4647" s="8" t="n"/>
    </row>
    <row r="4648">
      <c r="A4648" s="7" t="n"/>
      <c r="B4648" s="8" t="n"/>
      <c r="C4648" s="8" t="n"/>
    </row>
    <row r="4649">
      <c r="A4649" s="7" t="n"/>
      <c r="B4649" s="8" t="n"/>
      <c r="C4649" s="8" t="n"/>
    </row>
    <row r="4650">
      <c r="A4650" s="7" t="n"/>
      <c r="B4650" s="8" t="n"/>
      <c r="C4650" s="8" t="n"/>
    </row>
    <row r="4651">
      <c r="A4651" s="7" t="n"/>
      <c r="B4651" s="8" t="n"/>
      <c r="C4651" s="8" t="n"/>
    </row>
    <row r="4652">
      <c r="A4652" s="7" t="n"/>
      <c r="B4652" s="8" t="n"/>
      <c r="C4652" s="8" t="n"/>
    </row>
    <row r="4653">
      <c r="A4653" s="7" t="n"/>
      <c r="B4653" s="8" t="n"/>
      <c r="C4653" s="8" t="n"/>
    </row>
    <row r="4654">
      <c r="A4654" s="7" t="n"/>
      <c r="B4654" s="8" t="n"/>
      <c r="C4654" s="8" t="n"/>
    </row>
    <row r="4655">
      <c r="A4655" s="7" t="n"/>
      <c r="B4655" s="8" t="n"/>
      <c r="C4655" s="8" t="n"/>
    </row>
    <row r="4656">
      <c r="A4656" s="7" t="n"/>
      <c r="B4656" s="8" t="n"/>
      <c r="C4656" s="8" t="n"/>
    </row>
    <row r="4657">
      <c r="A4657" s="7" t="n"/>
      <c r="B4657" s="8" t="n"/>
      <c r="C4657" s="8" t="n"/>
    </row>
    <row r="4658">
      <c r="A4658" s="7" t="n"/>
      <c r="B4658" s="8" t="n"/>
      <c r="C4658" s="8" t="n"/>
    </row>
    <row r="4659">
      <c r="A4659" s="7" t="n"/>
      <c r="B4659" s="8" t="n"/>
      <c r="C4659" s="8" t="n"/>
    </row>
    <row r="4660">
      <c r="A4660" s="7" t="n"/>
      <c r="B4660" s="8" t="n"/>
      <c r="C4660" s="8" t="n"/>
    </row>
    <row r="4661">
      <c r="A4661" s="7" t="n"/>
      <c r="B4661" s="8" t="n"/>
      <c r="C4661" s="8" t="n"/>
    </row>
    <row r="4662">
      <c r="A4662" s="7" t="n"/>
      <c r="B4662" s="8" t="n"/>
      <c r="C4662" s="8" t="n"/>
    </row>
    <row r="4663">
      <c r="A4663" s="7" t="n"/>
      <c r="B4663" s="8" t="n"/>
      <c r="C4663" s="8" t="n"/>
    </row>
    <row r="4664">
      <c r="A4664" s="7" t="n"/>
      <c r="B4664" s="8" t="n"/>
      <c r="C4664" s="8" t="n"/>
    </row>
    <row r="4665">
      <c r="A4665" s="7" t="n"/>
      <c r="B4665" s="8" t="n"/>
      <c r="C4665" s="8" t="n"/>
    </row>
    <row r="4666">
      <c r="A4666" s="7" t="n"/>
      <c r="B4666" s="8" t="n"/>
      <c r="C4666" s="8" t="n"/>
    </row>
    <row r="4667">
      <c r="A4667" s="7" t="n"/>
      <c r="B4667" s="8" t="n"/>
      <c r="C4667" s="8" t="n"/>
    </row>
    <row r="4668">
      <c r="A4668" s="7" t="n"/>
      <c r="B4668" s="8" t="n"/>
      <c r="C4668" s="8" t="n"/>
    </row>
    <row r="4669">
      <c r="A4669" s="7" t="n"/>
      <c r="B4669" s="8" t="n"/>
      <c r="C4669" s="8" t="n"/>
    </row>
    <row r="4670">
      <c r="A4670" s="7" t="n"/>
      <c r="B4670" s="8" t="n"/>
      <c r="C4670" s="8" t="n"/>
    </row>
    <row r="4671">
      <c r="A4671" s="7" t="n"/>
      <c r="B4671" s="8" t="n"/>
      <c r="C4671" s="8" t="n"/>
    </row>
    <row r="4672">
      <c r="A4672" s="7" t="n"/>
      <c r="B4672" s="8" t="n"/>
      <c r="C4672" s="8" t="n"/>
    </row>
    <row r="4673">
      <c r="A4673" s="7" t="n"/>
      <c r="B4673" s="8" t="n"/>
      <c r="C4673" s="8" t="n"/>
    </row>
    <row r="4674">
      <c r="A4674" s="7" t="n"/>
      <c r="B4674" s="8" t="n"/>
      <c r="C4674" s="8" t="n"/>
    </row>
    <row r="4675">
      <c r="A4675" s="7" t="n"/>
      <c r="B4675" s="8" t="n"/>
      <c r="C4675" s="8" t="n"/>
    </row>
    <row r="4676">
      <c r="A4676" s="7" t="n"/>
      <c r="B4676" s="8" t="n"/>
      <c r="C4676" s="8" t="n"/>
    </row>
    <row r="4677">
      <c r="A4677" s="7" t="n"/>
      <c r="B4677" s="8" t="n"/>
      <c r="C4677" s="8" t="n"/>
    </row>
    <row r="4678">
      <c r="A4678" s="7" t="n"/>
      <c r="B4678" s="8" t="n"/>
      <c r="C4678" s="8" t="n"/>
    </row>
    <row r="4679">
      <c r="A4679" s="7" t="n"/>
      <c r="B4679" s="8" t="n"/>
      <c r="C4679" s="8" t="n"/>
    </row>
    <row r="4680">
      <c r="A4680" s="7" t="n"/>
      <c r="B4680" s="8" t="n"/>
      <c r="C4680" s="8" t="n"/>
    </row>
    <row r="4681">
      <c r="A4681" s="7" t="n"/>
      <c r="B4681" s="8" t="n"/>
      <c r="C4681" s="8" t="n"/>
    </row>
    <row r="4682">
      <c r="A4682" s="7" t="n"/>
      <c r="B4682" s="8" t="n"/>
      <c r="C4682" s="8" t="n"/>
    </row>
    <row r="4683">
      <c r="A4683" s="7" t="n"/>
      <c r="B4683" s="8" t="n"/>
      <c r="C4683" s="8" t="n"/>
    </row>
    <row r="4684">
      <c r="A4684" s="7" t="n"/>
      <c r="B4684" s="8" t="n"/>
      <c r="C4684" s="8" t="n"/>
    </row>
    <row r="4685">
      <c r="A4685" s="7" t="n"/>
      <c r="B4685" s="8" t="n"/>
      <c r="C4685" s="8" t="n"/>
    </row>
    <row r="4686">
      <c r="A4686" s="7" t="n"/>
      <c r="B4686" s="8" t="n"/>
      <c r="C4686" s="8" t="n"/>
    </row>
    <row r="4687">
      <c r="A4687" s="7" t="n"/>
      <c r="B4687" s="8" t="n"/>
      <c r="C4687" s="8" t="n"/>
    </row>
    <row r="4688">
      <c r="A4688" s="7" t="n"/>
      <c r="B4688" s="8" t="n"/>
      <c r="C4688" s="8" t="n"/>
    </row>
    <row r="4689">
      <c r="A4689" s="7" t="n"/>
      <c r="B4689" s="8" t="n"/>
      <c r="C4689" s="8" t="n"/>
    </row>
    <row r="4690">
      <c r="A4690" s="7" t="n"/>
      <c r="B4690" s="8" t="n"/>
      <c r="C4690" s="8" t="n"/>
    </row>
    <row r="4691">
      <c r="A4691" s="7" t="n"/>
      <c r="B4691" s="8" t="n"/>
      <c r="C4691" s="8" t="n"/>
    </row>
    <row r="4692">
      <c r="A4692" s="7" t="n"/>
      <c r="B4692" s="8" t="n"/>
      <c r="C4692" s="8" t="n"/>
    </row>
    <row r="4693">
      <c r="A4693" s="7" t="n"/>
      <c r="B4693" s="8" t="n"/>
      <c r="C4693" s="8" t="n"/>
    </row>
    <row r="4694">
      <c r="A4694" s="7" t="n"/>
      <c r="B4694" s="8" t="n"/>
      <c r="C4694" s="8" t="n"/>
    </row>
    <row r="4695">
      <c r="A4695" s="7" t="n"/>
      <c r="B4695" s="8" t="n"/>
      <c r="C4695" s="8" t="n"/>
    </row>
    <row r="4696">
      <c r="A4696" s="7" t="n"/>
      <c r="B4696" s="8" t="n"/>
      <c r="C4696" s="8" t="n"/>
    </row>
    <row r="4697">
      <c r="A4697" s="7" t="n"/>
      <c r="B4697" s="8" t="n"/>
      <c r="C4697" s="8" t="n"/>
    </row>
    <row r="4698">
      <c r="A4698" s="7" t="n"/>
      <c r="B4698" s="8" t="n"/>
      <c r="C4698" s="8" t="n"/>
    </row>
    <row r="4699">
      <c r="A4699" s="7" t="n"/>
      <c r="B4699" s="8" t="n"/>
      <c r="C4699" s="8" t="n"/>
    </row>
    <row r="4700">
      <c r="A4700" s="7" t="n"/>
      <c r="B4700" s="8" t="n"/>
      <c r="C4700" s="8" t="n"/>
    </row>
    <row r="4701">
      <c r="A4701" s="7" t="n"/>
      <c r="B4701" s="8" t="n"/>
      <c r="C4701" s="8" t="n"/>
    </row>
    <row r="4702">
      <c r="A4702" s="7" t="n"/>
      <c r="B4702" s="8" t="n"/>
      <c r="C4702" s="8" t="n"/>
    </row>
    <row r="4703">
      <c r="A4703" s="7" t="n"/>
      <c r="B4703" s="8" t="n"/>
      <c r="C4703" s="8" t="n"/>
    </row>
    <row r="4704">
      <c r="A4704" s="7" t="n"/>
      <c r="B4704" s="8" t="n"/>
      <c r="C4704" s="8" t="n"/>
    </row>
    <row r="4705">
      <c r="A4705" s="7" t="n"/>
      <c r="B4705" s="8" t="n"/>
      <c r="C4705" s="8" t="n"/>
    </row>
    <row r="4706">
      <c r="A4706" s="7" t="n"/>
      <c r="B4706" s="8" t="n"/>
      <c r="C4706" s="8" t="n"/>
    </row>
    <row r="4707">
      <c r="A4707" s="7" t="n"/>
      <c r="B4707" s="8" t="n"/>
      <c r="C4707" s="8" t="n"/>
    </row>
    <row r="4708">
      <c r="A4708" s="7" t="n"/>
      <c r="B4708" s="8" t="n"/>
      <c r="C4708" s="8" t="n"/>
    </row>
    <row r="4709">
      <c r="A4709" s="7" t="n"/>
      <c r="B4709" s="8" t="n"/>
      <c r="C4709" s="8" t="n"/>
    </row>
    <row r="4710">
      <c r="A4710" s="7" t="n"/>
      <c r="B4710" s="8" t="n"/>
      <c r="C4710" s="8" t="n"/>
    </row>
    <row r="4711">
      <c r="A4711" s="7" t="n"/>
      <c r="B4711" s="8" t="n"/>
      <c r="C4711" s="8" t="n"/>
    </row>
    <row r="4712">
      <c r="A4712" s="7" t="n"/>
      <c r="B4712" s="8" t="n"/>
      <c r="C4712" s="8" t="n"/>
    </row>
    <row r="4713">
      <c r="A4713" s="7" t="n"/>
      <c r="B4713" s="8" t="n"/>
      <c r="C4713" s="8" t="n"/>
    </row>
    <row r="4714">
      <c r="A4714" s="7" t="n"/>
      <c r="B4714" s="8" t="n"/>
      <c r="C4714" s="8" t="n"/>
    </row>
    <row r="4715">
      <c r="A4715" s="7" t="n"/>
      <c r="B4715" s="8" t="n"/>
      <c r="C4715" s="8" t="n"/>
    </row>
    <row r="4716">
      <c r="A4716" s="7" t="n"/>
      <c r="B4716" s="8" t="n"/>
      <c r="C4716" s="8" t="n"/>
    </row>
    <row r="4717">
      <c r="A4717" s="7" t="n"/>
      <c r="B4717" s="8" t="n"/>
      <c r="C4717" s="8" t="n"/>
    </row>
    <row r="4718">
      <c r="A4718" s="7" t="n"/>
      <c r="B4718" s="8" t="n"/>
      <c r="C4718" s="8" t="n"/>
    </row>
    <row r="4719">
      <c r="A4719" s="7" t="n"/>
      <c r="B4719" s="8" t="n"/>
      <c r="C4719" s="8" t="n"/>
    </row>
    <row r="4720">
      <c r="A4720" s="7" t="n"/>
      <c r="B4720" s="8" t="n"/>
      <c r="C4720" s="8" t="n"/>
    </row>
    <row r="4721">
      <c r="A4721" s="7" t="n"/>
      <c r="B4721" s="8" t="n"/>
      <c r="C4721" s="8" t="n"/>
    </row>
    <row r="4722">
      <c r="A4722" s="7" t="n"/>
      <c r="B4722" s="8" t="n"/>
      <c r="C4722" s="8" t="n"/>
    </row>
    <row r="4723">
      <c r="A4723" s="7" t="n"/>
      <c r="B4723" s="8" t="n"/>
      <c r="C4723" s="8" t="n"/>
    </row>
    <row r="4724">
      <c r="A4724" s="7" t="n"/>
      <c r="B4724" s="8" t="n"/>
      <c r="C4724" s="8" t="n"/>
    </row>
    <row r="4725">
      <c r="A4725" s="7" t="n"/>
      <c r="B4725" s="8" t="n"/>
      <c r="C4725" s="8" t="n"/>
    </row>
    <row r="4726">
      <c r="A4726" s="7" t="n"/>
      <c r="B4726" s="8" t="n"/>
      <c r="C4726" s="8" t="n"/>
    </row>
    <row r="4727">
      <c r="A4727" s="7" t="n"/>
      <c r="B4727" s="8" t="n"/>
      <c r="C4727" s="8" t="n"/>
    </row>
    <row r="4728">
      <c r="A4728" s="7" t="n"/>
      <c r="B4728" s="8" t="n"/>
      <c r="C4728" s="8" t="n"/>
    </row>
    <row r="4729">
      <c r="A4729" s="7" t="n"/>
      <c r="B4729" s="8" t="n"/>
      <c r="C4729" s="8" t="n"/>
    </row>
    <row r="4730">
      <c r="A4730" s="7" t="n"/>
      <c r="B4730" s="8" t="n"/>
      <c r="C4730" s="8" t="n"/>
    </row>
    <row r="4731">
      <c r="A4731" s="7" t="n"/>
      <c r="B4731" s="8" t="n"/>
      <c r="C4731" s="8" t="n"/>
    </row>
    <row r="4732">
      <c r="A4732" s="7" t="n"/>
      <c r="B4732" s="8" t="n"/>
      <c r="C4732" s="8" t="n"/>
    </row>
    <row r="4733">
      <c r="A4733" s="7" t="n"/>
      <c r="B4733" s="8" t="n"/>
      <c r="C4733" s="8" t="n"/>
    </row>
    <row r="4734">
      <c r="A4734" s="7" t="n"/>
      <c r="B4734" s="8" t="n"/>
      <c r="C4734" s="8" t="n"/>
    </row>
    <row r="4735">
      <c r="A4735" s="7" t="n"/>
      <c r="B4735" s="8" t="n"/>
      <c r="C4735" s="8" t="n"/>
    </row>
    <row r="4736">
      <c r="A4736" s="7" t="n"/>
      <c r="B4736" s="8" t="n"/>
      <c r="C4736" s="8" t="n"/>
    </row>
    <row r="4737">
      <c r="A4737" s="7" t="n"/>
      <c r="B4737" s="8" t="n"/>
      <c r="C4737" s="8" t="n"/>
    </row>
    <row r="4738">
      <c r="A4738" s="7" t="n"/>
      <c r="B4738" s="8" t="n"/>
      <c r="C4738" s="8" t="n"/>
    </row>
    <row r="4739">
      <c r="A4739" s="7" t="n"/>
      <c r="B4739" s="8" t="n"/>
      <c r="C4739" s="8" t="n"/>
    </row>
    <row r="4740">
      <c r="A4740" s="7" t="n"/>
      <c r="B4740" s="8" t="n"/>
      <c r="C4740" s="8" t="n"/>
    </row>
    <row r="4741">
      <c r="A4741" s="7" t="n"/>
      <c r="B4741" s="8" t="n"/>
      <c r="C4741" s="8" t="n"/>
    </row>
    <row r="4742">
      <c r="A4742" s="7" t="n"/>
      <c r="B4742" s="8" t="n"/>
      <c r="C4742" s="8" t="n"/>
    </row>
    <row r="4743">
      <c r="A4743" s="7" t="n"/>
      <c r="B4743" s="8" t="n"/>
      <c r="C4743" s="8" t="n"/>
    </row>
    <row r="4744">
      <c r="A4744" s="7" t="n"/>
      <c r="B4744" s="8" t="n"/>
      <c r="C4744" s="8" t="n"/>
    </row>
    <row r="4745">
      <c r="A4745" s="7" t="n"/>
      <c r="B4745" s="8" t="n"/>
      <c r="C4745" s="8" t="n"/>
    </row>
    <row r="4746">
      <c r="A4746" s="7" t="n"/>
      <c r="B4746" s="8" t="n"/>
      <c r="C4746" s="8" t="n"/>
    </row>
    <row r="4747">
      <c r="A4747" s="7" t="n"/>
      <c r="B4747" s="8" t="n"/>
      <c r="C4747" s="8" t="n"/>
    </row>
    <row r="4748">
      <c r="A4748" s="7" t="n"/>
      <c r="B4748" s="8" t="n"/>
      <c r="C4748" s="8" t="n"/>
    </row>
    <row r="4749">
      <c r="A4749" s="7" t="n"/>
      <c r="B4749" s="8" t="n"/>
      <c r="C4749" s="8" t="n"/>
    </row>
    <row r="4750">
      <c r="A4750" s="7" t="n"/>
      <c r="B4750" s="8" t="n"/>
      <c r="C4750" s="8" t="n"/>
    </row>
    <row r="4751">
      <c r="A4751" s="7" t="n"/>
      <c r="B4751" s="8" t="n"/>
      <c r="C4751" s="8" t="n"/>
    </row>
    <row r="4752">
      <c r="A4752" s="7" t="n"/>
      <c r="B4752" s="8" t="n"/>
      <c r="C4752" s="8" t="n"/>
    </row>
    <row r="4753">
      <c r="A4753" s="7" t="n"/>
      <c r="B4753" s="8" t="n"/>
      <c r="C4753" s="8" t="n"/>
    </row>
    <row r="4754">
      <c r="A4754" s="7" t="n"/>
      <c r="B4754" s="8" t="n"/>
      <c r="C4754" s="8" t="n"/>
    </row>
    <row r="4755">
      <c r="A4755" s="7" t="n"/>
      <c r="B4755" s="8" t="n"/>
      <c r="C4755" s="8" t="n"/>
    </row>
    <row r="4756">
      <c r="A4756" s="7" t="n"/>
      <c r="B4756" s="8" t="n"/>
      <c r="C4756" s="8" t="n"/>
    </row>
    <row r="4757">
      <c r="A4757" s="7" t="n"/>
      <c r="B4757" s="8" t="n"/>
      <c r="C4757" s="8" t="n"/>
    </row>
    <row r="4758">
      <c r="A4758" s="7" t="n"/>
      <c r="B4758" s="8" t="n"/>
      <c r="C4758" s="8" t="n"/>
    </row>
    <row r="4759">
      <c r="A4759" s="7" t="n"/>
      <c r="B4759" s="8" t="n"/>
      <c r="C4759" s="8" t="n"/>
    </row>
    <row r="4760">
      <c r="A4760" s="7" t="n"/>
      <c r="B4760" s="8" t="n"/>
      <c r="C4760" s="8" t="n"/>
    </row>
    <row r="4761">
      <c r="A4761" s="7" t="n"/>
      <c r="B4761" s="8" t="n"/>
      <c r="C4761" s="8" t="n"/>
    </row>
    <row r="4762">
      <c r="A4762" s="7" t="n"/>
      <c r="B4762" s="8" t="n"/>
      <c r="C4762" s="8" t="n"/>
    </row>
    <row r="4763">
      <c r="A4763" s="7" t="n"/>
      <c r="B4763" s="8" t="n"/>
      <c r="C4763" s="8" t="n"/>
    </row>
    <row r="4764">
      <c r="A4764" s="7" t="n"/>
      <c r="B4764" s="8" t="n"/>
      <c r="C4764" s="8" t="n"/>
    </row>
    <row r="4765">
      <c r="A4765" s="7" t="n"/>
      <c r="B4765" s="8" t="n"/>
      <c r="C4765" s="8" t="n"/>
    </row>
    <row r="4766">
      <c r="A4766" s="7" t="n"/>
      <c r="B4766" s="8" t="n"/>
      <c r="C4766" s="8" t="n"/>
    </row>
    <row r="4767">
      <c r="A4767" s="7" t="n"/>
      <c r="B4767" s="8" t="n"/>
      <c r="C4767" s="8" t="n"/>
    </row>
    <row r="4768">
      <c r="A4768" s="7" t="n"/>
      <c r="B4768" s="8" t="n"/>
      <c r="C4768" s="8" t="n"/>
    </row>
    <row r="4769">
      <c r="A4769" s="7" t="n"/>
      <c r="B4769" s="8" t="n"/>
      <c r="C4769" s="8" t="n"/>
    </row>
    <row r="4770">
      <c r="A4770" s="7" t="n"/>
      <c r="B4770" s="8" t="n"/>
      <c r="C4770" s="8" t="n"/>
    </row>
    <row r="4771">
      <c r="A4771" s="7" t="n"/>
      <c r="B4771" s="8" t="n"/>
      <c r="C4771" s="8" t="n"/>
    </row>
    <row r="4772">
      <c r="A4772" s="7" t="n"/>
      <c r="B4772" s="8" t="n"/>
      <c r="C4772" s="8" t="n"/>
    </row>
    <row r="4773">
      <c r="A4773" s="7" t="n"/>
      <c r="B4773" s="8" t="n"/>
      <c r="C4773" s="8" t="n"/>
    </row>
    <row r="4774">
      <c r="A4774" s="7" t="n"/>
      <c r="B4774" s="8" t="n"/>
      <c r="C4774" s="8" t="n"/>
    </row>
    <row r="4775">
      <c r="A4775" s="7" t="n"/>
      <c r="B4775" s="8" t="n"/>
      <c r="C4775" s="8" t="n"/>
    </row>
    <row r="4776">
      <c r="A4776" s="7" t="n"/>
      <c r="B4776" s="8" t="n"/>
      <c r="C4776" s="8" t="n"/>
    </row>
    <row r="4777">
      <c r="A4777" s="7" t="n"/>
      <c r="B4777" s="8" t="n"/>
      <c r="C4777" s="8" t="n"/>
    </row>
    <row r="4778">
      <c r="A4778" s="7" t="n"/>
      <c r="B4778" s="8" t="n"/>
      <c r="C4778" s="8" t="n"/>
    </row>
    <row r="4779">
      <c r="A4779" s="7" t="n"/>
      <c r="B4779" s="8" t="n"/>
      <c r="C4779" s="8" t="n"/>
    </row>
    <row r="4780">
      <c r="A4780" s="7" t="n"/>
      <c r="B4780" s="8" t="n"/>
      <c r="C4780" s="8" t="n"/>
    </row>
    <row r="4781">
      <c r="A4781" s="7" t="n"/>
      <c r="B4781" s="8" t="n"/>
      <c r="C4781" s="8" t="n"/>
    </row>
    <row r="4782">
      <c r="A4782" s="7" t="n"/>
      <c r="B4782" s="8" t="n"/>
      <c r="C4782" s="8" t="n"/>
    </row>
    <row r="4783">
      <c r="A4783" s="7" t="n"/>
      <c r="B4783" s="8" t="n"/>
      <c r="C4783" s="8" t="n"/>
    </row>
    <row r="4784">
      <c r="A4784" s="7" t="n"/>
      <c r="B4784" s="8" t="n"/>
      <c r="C4784" s="8" t="n"/>
    </row>
    <row r="4785">
      <c r="A4785" s="7" t="n"/>
      <c r="B4785" s="8" t="n"/>
      <c r="C4785" s="8" t="n"/>
    </row>
    <row r="4786">
      <c r="A4786" s="7" t="n"/>
      <c r="B4786" s="8" t="n"/>
      <c r="C4786" s="8" t="n"/>
    </row>
    <row r="4787">
      <c r="A4787" s="7" t="n"/>
      <c r="B4787" s="8" t="n"/>
      <c r="C4787" s="8" t="n"/>
    </row>
    <row r="4788">
      <c r="A4788" s="7" t="n"/>
      <c r="B4788" s="8" t="n"/>
      <c r="C4788" s="8" t="n"/>
    </row>
    <row r="4789">
      <c r="A4789" s="7" t="n"/>
      <c r="B4789" s="8" t="n"/>
      <c r="C4789" s="8" t="n"/>
    </row>
    <row r="4790">
      <c r="A4790" s="7" t="n"/>
      <c r="B4790" s="8" t="n"/>
      <c r="C4790" s="8" t="n"/>
    </row>
    <row r="4791">
      <c r="A4791" s="7" t="n"/>
      <c r="B4791" s="8" t="n"/>
      <c r="C4791" s="8" t="n"/>
    </row>
    <row r="4792">
      <c r="A4792" s="7" t="n"/>
      <c r="B4792" s="8" t="n"/>
      <c r="C4792" s="8" t="n"/>
    </row>
    <row r="4793">
      <c r="A4793" s="7" t="n"/>
      <c r="B4793" s="8" t="n"/>
      <c r="C4793" s="8" t="n"/>
    </row>
    <row r="4794">
      <c r="A4794" s="7" t="n"/>
      <c r="B4794" s="8" t="n"/>
      <c r="C4794" s="8" t="n"/>
    </row>
    <row r="4795">
      <c r="A4795" s="7" t="n"/>
      <c r="B4795" s="8" t="n"/>
      <c r="C4795" s="8" t="n"/>
    </row>
    <row r="4796">
      <c r="A4796" s="7" t="n"/>
      <c r="B4796" s="8" t="n"/>
      <c r="C4796" s="8" t="n"/>
    </row>
    <row r="4797">
      <c r="A4797" s="7" t="n"/>
      <c r="B4797" s="8" t="n"/>
      <c r="C4797" s="8" t="n"/>
    </row>
    <row r="4798">
      <c r="A4798" s="7" t="n"/>
      <c r="B4798" s="8" t="n"/>
      <c r="C4798" s="8" t="n"/>
    </row>
    <row r="4799">
      <c r="A4799" s="7" t="n"/>
      <c r="B4799" s="8" t="n"/>
      <c r="C4799" s="8" t="n"/>
    </row>
    <row r="4800">
      <c r="A4800" s="7" t="n"/>
      <c r="B4800" s="8" t="n"/>
      <c r="C4800" s="8" t="n"/>
    </row>
    <row r="4801">
      <c r="A4801" s="7" t="n"/>
      <c r="B4801" s="8" t="n"/>
      <c r="C4801" s="8" t="n"/>
    </row>
    <row r="4802">
      <c r="A4802" s="7" t="n"/>
      <c r="B4802" s="8" t="n"/>
      <c r="C4802" s="8" t="n"/>
    </row>
    <row r="4803">
      <c r="A4803" s="7" t="n"/>
      <c r="B4803" s="8" t="n"/>
      <c r="C4803" s="8" t="n"/>
    </row>
    <row r="4804">
      <c r="A4804" s="7" t="n"/>
      <c r="B4804" s="8" t="n"/>
      <c r="C4804" s="8" t="n"/>
    </row>
    <row r="4805">
      <c r="A4805" s="7" t="n"/>
      <c r="B4805" s="8" t="n"/>
      <c r="C4805" s="8" t="n"/>
    </row>
    <row r="4806">
      <c r="A4806" s="7" t="n"/>
      <c r="B4806" s="8" t="n"/>
      <c r="C4806" s="8" t="n"/>
    </row>
    <row r="4807">
      <c r="A4807" s="7" t="n"/>
      <c r="B4807" s="8" t="n"/>
      <c r="C4807" s="8" t="n"/>
    </row>
    <row r="4808">
      <c r="A4808" s="7" t="n"/>
      <c r="B4808" s="8" t="n"/>
      <c r="C4808" s="8" t="n"/>
    </row>
    <row r="4809">
      <c r="A4809" s="7" t="n"/>
      <c r="B4809" s="8" t="n"/>
      <c r="C4809" s="8" t="n"/>
    </row>
    <row r="4810">
      <c r="A4810" s="7" t="n"/>
      <c r="B4810" s="8" t="n"/>
      <c r="C4810" s="8" t="n"/>
    </row>
    <row r="4811">
      <c r="A4811" s="7" t="n"/>
      <c r="B4811" s="8" t="n"/>
      <c r="C4811" s="8" t="n"/>
    </row>
    <row r="4812">
      <c r="A4812" s="7" t="n"/>
      <c r="B4812" s="8" t="n"/>
      <c r="C4812" s="8" t="n"/>
    </row>
    <row r="4813">
      <c r="A4813" s="7" t="n"/>
      <c r="B4813" s="8" t="n"/>
      <c r="C4813" s="8" t="n"/>
    </row>
    <row r="4814">
      <c r="A4814" s="7" t="n"/>
      <c r="B4814" s="8" t="n"/>
      <c r="C4814" s="8" t="n"/>
    </row>
    <row r="4815">
      <c r="A4815" s="7" t="n"/>
      <c r="B4815" s="8" t="n"/>
      <c r="C4815" s="8" t="n"/>
    </row>
    <row r="4816">
      <c r="A4816" s="7" t="n"/>
      <c r="B4816" s="8" t="n"/>
      <c r="C4816" s="8" t="n"/>
    </row>
    <row r="4817">
      <c r="A4817" s="7" t="n"/>
      <c r="B4817" s="8" t="n"/>
      <c r="C4817" s="8" t="n"/>
    </row>
    <row r="4818">
      <c r="A4818" s="7" t="n"/>
      <c r="B4818" s="8" t="n"/>
      <c r="C4818" s="8" t="n"/>
    </row>
    <row r="4819">
      <c r="A4819" s="7" t="n"/>
      <c r="B4819" s="8" t="n"/>
      <c r="C4819" s="8" t="n"/>
    </row>
    <row r="4820">
      <c r="A4820" s="7" t="n"/>
      <c r="B4820" s="8" t="n"/>
      <c r="C4820" s="8" t="n"/>
    </row>
    <row r="4821">
      <c r="A4821" s="7" t="n"/>
      <c r="B4821" s="8" t="n"/>
      <c r="C4821" s="8" t="n"/>
    </row>
    <row r="4822">
      <c r="A4822" s="7" t="n"/>
      <c r="B4822" s="8" t="n"/>
      <c r="C4822" s="8" t="n"/>
    </row>
    <row r="4823">
      <c r="A4823" s="7" t="n"/>
      <c r="B4823" s="8" t="n"/>
      <c r="C4823" s="8" t="n"/>
    </row>
    <row r="4824">
      <c r="A4824" s="7" t="n"/>
      <c r="B4824" s="8" t="n"/>
      <c r="C4824" s="8" t="n"/>
    </row>
    <row r="4825">
      <c r="A4825" s="7" t="n"/>
      <c r="B4825" s="8" t="n"/>
      <c r="C4825" s="8" t="n"/>
    </row>
    <row r="4826">
      <c r="A4826" s="7" t="n"/>
      <c r="B4826" s="8" t="n"/>
      <c r="C4826" s="8" t="n"/>
    </row>
    <row r="4827">
      <c r="A4827" s="7" t="n"/>
      <c r="B4827" s="8" t="n"/>
      <c r="C4827" s="8" t="n"/>
    </row>
    <row r="4828">
      <c r="A4828" s="7" t="n"/>
      <c r="B4828" s="8" t="n"/>
      <c r="C4828" s="8" t="n"/>
    </row>
    <row r="4829">
      <c r="A4829" s="7" t="n"/>
      <c r="B4829" s="8" t="n"/>
      <c r="C4829" s="8" t="n"/>
    </row>
    <row r="4830">
      <c r="A4830" s="7" t="n"/>
      <c r="B4830" s="8" t="n"/>
      <c r="C4830" s="8" t="n"/>
    </row>
    <row r="4831">
      <c r="A4831" s="7" t="n"/>
      <c r="B4831" s="8" t="n"/>
      <c r="C4831" s="8" t="n"/>
    </row>
    <row r="4832">
      <c r="A4832" s="7" t="n"/>
      <c r="B4832" s="8" t="n"/>
      <c r="C4832" s="8" t="n"/>
    </row>
    <row r="4833">
      <c r="A4833" s="7" t="n"/>
      <c r="B4833" s="8" t="n"/>
      <c r="C4833" s="8" t="n"/>
    </row>
    <row r="4834">
      <c r="A4834" s="7" t="n"/>
      <c r="B4834" s="8" t="n"/>
      <c r="C4834" s="8" t="n"/>
    </row>
    <row r="4835">
      <c r="A4835" s="7" t="n"/>
      <c r="B4835" s="8" t="n"/>
      <c r="C4835" s="8" t="n"/>
    </row>
    <row r="4836">
      <c r="A4836" s="7" t="n"/>
      <c r="B4836" s="8" t="n"/>
      <c r="C4836" s="8" t="n"/>
    </row>
    <row r="4837">
      <c r="A4837" s="7" t="n"/>
      <c r="B4837" s="8" t="n"/>
      <c r="C4837" s="8" t="n"/>
    </row>
    <row r="4838">
      <c r="A4838" s="7" t="n"/>
      <c r="B4838" s="8" t="n"/>
      <c r="C4838" s="8" t="n"/>
    </row>
    <row r="4839">
      <c r="A4839" s="7" t="n"/>
      <c r="B4839" s="8" t="n"/>
      <c r="C4839" s="8" t="n"/>
    </row>
    <row r="4840">
      <c r="A4840" s="7" t="n"/>
      <c r="B4840" s="8" t="n"/>
      <c r="C4840" s="8" t="n"/>
    </row>
    <row r="4841">
      <c r="A4841" s="7" t="n"/>
      <c r="B4841" s="8" t="n"/>
      <c r="C4841" s="8" t="n"/>
    </row>
    <row r="4842">
      <c r="A4842" s="7" t="n"/>
      <c r="B4842" s="8" t="n"/>
      <c r="C4842" s="8" t="n"/>
    </row>
    <row r="4843">
      <c r="A4843" s="7" t="n"/>
      <c r="B4843" s="8" t="n"/>
      <c r="C4843" s="8" t="n"/>
    </row>
    <row r="4844">
      <c r="A4844" s="7" t="n"/>
      <c r="B4844" s="8" t="n"/>
      <c r="C4844" s="8" t="n"/>
    </row>
    <row r="4845">
      <c r="A4845" s="7" t="n"/>
      <c r="B4845" s="8" t="n"/>
      <c r="C4845" s="8" t="n"/>
    </row>
    <row r="4846">
      <c r="A4846" s="7" t="n"/>
      <c r="B4846" s="8" t="n"/>
      <c r="C4846" s="8" t="n"/>
    </row>
    <row r="4847">
      <c r="A4847" s="7" t="n"/>
      <c r="B4847" s="8" t="n"/>
      <c r="C4847" s="8" t="n"/>
    </row>
    <row r="4848">
      <c r="A4848" s="7" t="n"/>
      <c r="B4848" s="8" t="n"/>
      <c r="C4848" s="8" t="n"/>
    </row>
    <row r="4849">
      <c r="A4849" s="7" t="n"/>
      <c r="B4849" s="8" t="n"/>
      <c r="C4849" s="8" t="n"/>
    </row>
    <row r="4850">
      <c r="A4850" s="7" t="n"/>
      <c r="B4850" s="8" t="n"/>
      <c r="C4850" s="8" t="n"/>
    </row>
    <row r="4851">
      <c r="A4851" s="7" t="n"/>
      <c r="B4851" s="8" t="n"/>
      <c r="C4851" s="8" t="n"/>
    </row>
    <row r="4852">
      <c r="A4852" s="7" t="n"/>
      <c r="B4852" s="8" t="n"/>
      <c r="C4852" s="8" t="n"/>
    </row>
    <row r="4853">
      <c r="A4853" s="7" t="n"/>
      <c r="B4853" s="8" t="n"/>
      <c r="C4853" s="8" t="n"/>
    </row>
    <row r="4854">
      <c r="A4854" s="7" t="n"/>
      <c r="B4854" s="8" t="n"/>
      <c r="C4854" s="8" t="n"/>
    </row>
    <row r="4855">
      <c r="A4855" s="7" t="n"/>
      <c r="B4855" s="8" t="n"/>
      <c r="C4855" s="8" t="n"/>
    </row>
    <row r="4856">
      <c r="A4856" s="7" t="n"/>
      <c r="B4856" s="8" t="n"/>
      <c r="C4856" s="8" t="n"/>
    </row>
    <row r="4857">
      <c r="A4857" s="7" t="n"/>
      <c r="B4857" s="8" t="n"/>
      <c r="C4857" s="8" t="n"/>
    </row>
    <row r="4858">
      <c r="A4858" s="7" t="n"/>
      <c r="B4858" s="8" t="n"/>
      <c r="C4858" s="8" t="n"/>
    </row>
    <row r="4859">
      <c r="A4859" s="7" t="n"/>
      <c r="B4859" s="8" t="n"/>
      <c r="C4859" s="8" t="n"/>
    </row>
    <row r="4860">
      <c r="A4860" s="7" t="n"/>
      <c r="B4860" s="8" t="n"/>
      <c r="C4860" s="8" t="n"/>
    </row>
    <row r="4861">
      <c r="A4861" s="7" t="n"/>
      <c r="B4861" s="8" t="n"/>
      <c r="C4861" s="8" t="n"/>
    </row>
    <row r="4862">
      <c r="A4862" s="7" t="n"/>
      <c r="B4862" s="8" t="n"/>
      <c r="C4862" s="8" t="n"/>
    </row>
    <row r="4863">
      <c r="A4863" s="7" t="n"/>
      <c r="B4863" s="8" t="n"/>
      <c r="C4863" s="8" t="n"/>
    </row>
    <row r="4864">
      <c r="A4864" s="7" t="n"/>
      <c r="B4864" s="8" t="n"/>
      <c r="C4864" s="8" t="n"/>
    </row>
    <row r="4865">
      <c r="A4865" s="7" t="n"/>
      <c r="B4865" s="8" t="n"/>
      <c r="C4865" s="8" t="n"/>
    </row>
    <row r="4866">
      <c r="A4866" s="7" t="n"/>
      <c r="B4866" s="8" t="n"/>
      <c r="C4866" s="8" t="n"/>
    </row>
    <row r="4867">
      <c r="A4867" s="7" t="n"/>
      <c r="B4867" s="8" t="n"/>
      <c r="C4867" s="8" t="n"/>
    </row>
    <row r="4868">
      <c r="A4868" s="7" t="n"/>
      <c r="B4868" s="8" t="n"/>
      <c r="C4868" s="8" t="n"/>
    </row>
    <row r="4869">
      <c r="A4869" s="7" t="n"/>
      <c r="B4869" s="8" t="n"/>
      <c r="C4869" s="8" t="n"/>
    </row>
    <row r="4870">
      <c r="A4870" s="7" t="n"/>
      <c r="B4870" s="8" t="n"/>
      <c r="C4870" s="8" t="n"/>
    </row>
    <row r="4871">
      <c r="A4871" s="7" t="n"/>
      <c r="B4871" s="8" t="n"/>
      <c r="C4871" s="8" t="n"/>
    </row>
    <row r="4872">
      <c r="A4872" s="7" t="n"/>
      <c r="B4872" s="8" t="n"/>
      <c r="C4872" s="8" t="n"/>
    </row>
    <row r="4873">
      <c r="A4873" s="7" t="n"/>
      <c r="B4873" s="8" t="n"/>
      <c r="C4873" s="8" t="n"/>
    </row>
    <row r="4874">
      <c r="A4874" s="7" t="n"/>
      <c r="B4874" s="8" t="n"/>
      <c r="C4874" s="8" t="n"/>
    </row>
    <row r="4875">
      <c r="A4875" s="7" t="n"/>
      <c r="B4875" s="8" t="n"/>
      <c r="C4875" s="8" t="n"/>
    </row>
    <row r="4876">
      <c r="A4876" s="7" t="n"/>
      <c r="B4876" s="8" t="n"/>
      <c r="C4876" s="8" t="n"/>
    </row>
    <row r="4877">
      <c r="A4877" s="7" t="n"/>
      <c r="B4877" s="8" t="n"/>
      <c r="C4877" s="8" t="n"/>
    </row>
    <row r="4878">
      <c r="A4878" s="7" t="n"/>
      <c r="B4878" s="8" t="n"/>
      <c r="C4878" s="8" t="n"/>
    </row>
    <row r="4879">
      <c r="A4879" s="7" t="n"/>
      <c r="B4879" s="8" t="n"/>
      <c r="C4879" s="8" t="n"/>
    </row>
    <row r="4880">
      <c r="A4880" s="7" t="n"/>
      <c r="B4880" s="8" t="n"/>
      <c r="C4880" s="8" t="n"/>
    </row>
    <row r="4881">
      <c r="A4881" s="7" t="n"/>
      <c r="B4881" s="8" t="n"/>
      <c r="C4881" s="8" t="n"/>
    </row>
    <row r="4882">
      <c r="A4882" s="7" t="n"/>
      <c r="B4882" s="8" t="n"/>
      <c r="C4882" s="8" t="n"/>
    </row>
    <row r="4883">
      <c r="A4883" s="7" t="n"/>
      <c r="B4883" s="8" t="n"/>
      <c r="C4883" s="8" t="n"/>
    </row>
    <row r="4884">
      <c r="A4884" s="7" t="n"/>
      <c r="B4884" s="8" t="n"/>
      <c r="C4884" s="8" t="n"/>
    </row>
    <row r="4885">
      <c r="A4885" s="7" t="n"/>
      <c r="B4885" s="8" t="n"/>
      <c r="C4885" s="8" t="n"/>
    </row>
    <row r="4886">
      <c r="A4886" s="7" t="n"/>
      <c r="B4886" s="8" t="n"/>
      <c r="C4886" s="8" t="n"/>
    </row>
    <row r="4887">
      <c r="A4887" s="7" t="n"/>
      <c r="B4887" s="8" t="n"/>
      <c r="C4887" s="8" t="n"/>
    </row>
    <row r="4888">
      <c r="A4888" s="7" t="n"/>
      <c r="B4888" s="8" t="n"/>
      <c r="C4888" s="8" t="n"/>
    </row>
    <row r="4889">
      <c r="A4889" s="7" t="n"/>
      <c r="B4889" s="8" t="n"/>
      <c r="C4889" s="8" t="n"/>
    </row>
    <row r="4890">
      <c r="A4890" s="7" t="n"/>
      <c r="B4890" s="8" t="n"/>
      <c r="C4890" s="8" t="n"/>
    </row>
    <row r="4891">
      <c r="A4891" s="7" t="n"/>
      <c r="B4891" s="8" t="n"/>
      <c r="C4891" s="8" t="n"/>
    </row>
    <row r="4892">
      <c r="A4892" s="7" t="n"/>
      <c r="B4892" s="8" t="n"/>
      <c r="C4892" s="8" t="n"/>
    </row>
    <row r="4893">
      <c r="A4893" s="7" t="n"/>
      <c r="B4893" s="8" t="n"/>
      <c r="C4893" s="8" t="n"/>
    </row>
    <row r="4894">
      <c r="A4894" s="7" t="n"/>
      <c r="B4894" s="8" t="n"/>
      <c r="C4894" s="8" t="n"/>
    </row>
    <row r="4895">
      <c r="A4895" s="7" t="n"/>
      <c r="B4895" s="8" t="n"/>
      <c r="C4895" s="8" t="n"/>
    </row>
    <row r="4896">
      <c r="A4896" s="7" t="n"/>
      <c r="B4896" s="8" t="n"/>
      <c r="C4896" s="8" t="n"/>
    </row>
    <row r="4897">
      <c r="A4897" s="7" t="n"/>
      <c r="B4897" s="8" t="n"/>
      <c r="C4897" s="8" t="n"/>
    </row>
    <row r="4898">
      <c r="A4898" s="7" t="n"/>
      <c r="B4898" s="8" t="n"/>
      <c r="C4898" s="8" t="n"/>
    </row>
    <row r="4899">
      <c r="A4899" s="7" t="n"/>
      <c r="B4899" s="8" t="n"/>
      <c r="C4899" s="8" t="n"/>
    </row>
    <row r="4900">
      <c r="A4900" s="7" t="n"/>
      <c r="B4900" s="8" t="n"/>
      <c r="C4900" s="8" t="n"/>
    </row>
    <row r="4901">
      <c r="A4901" s="7" t="n"/>
      <c r="B4901" s="8" t="n"/>
      <c r="C4901" s="8" t="n"/>
    </row>
    <row r="4902">
      <c r="A4902" s="7" t="n"/>
      <c r="B4902" s="8" t="n"/>
      <c r="C4902" s="8" t="n"/>
    </row>
    <row r="4903">
      <c r="A4903" s="7" t="n"/>
      <c r="B4903" s="8" t="n"/>
      <c r="C4903" s="8" t="n"/>
    </row>
    <row r="4904">
      <c r="A4904" s="7" t="n"/>
      <c r="B4904" s="8" t="n"/>
      <c r="C4904" s="8" t="n"/>
    </row>
    <row r="4905">
      <c r="A4905" s="7" t="n"/>
      <c r="B4905" s="8" t="n"/>
      <c r="C4905" s="8" t="n"/>
    </row>
    <row r="4906">
      <c r="A4906" s="7" t="n"/>
      <c r="B4906" s="8" t="n"/>
      <c r="C4906" s="8" t="n"/>
    </row>
    <row r="4907">
      <c r="A4907" s="7" t="n"/>
      <c r="B4907" s="8" t="n"/>
      <c r="C4907" s="8" t="n"/>
    </row>
    <row r="4908">
      <c r="A4908" s="7" t="n"/>
      <c r="B4908" s="8" t="n"/>
      <c r="C4908" s="8" t="n"/>
    </row>
    <row r="4909">
      <c r="A4909" s="7" t="n"/>
      <c r="B4909" s="8" t="n"/>
      <c r="C4909" s="8" t="n"/>
    </row>
    <row r="4910">
      <c r="A4910" s="7" t="n"/>
      <c r="B4910" s="8" t="n"/>
      <c r="C4910" s="8" t="n"/>
    </row>
    <row r="4911">
      <c r="A4911" s="7" t="n"/>
      <c r="B4911" s="8" t="n"/>
      <c r="C4911" s="8" t="n"/>
    </row>
    <row r="4912">
      <c r="A4912" s="7" t="n"/>
      <c r="B4912" s="8" t="n"/>
      <c r="C4912" s="8" t="n"/>
    </row>
    <row r="4913">
      <c r="A4913" s="7" t="n"/>
      <c r="B4913" s="8" t="n"/>
      <c r="C4913" s="8" t="n"/>
    </row>
    <row r="4914">
      <c r="A4914" s="7" t="n"/>
      <c r="B4914" s="8" t="n"/>
      <c r="C4914" s="8" t="n"/>
    </row>
    <row r="4915">
      <c r="A4915" s="7" t="n"/>
      <c r="B4915" s="8" t="n"/>
      <c r="C4915" s="8" t="n"/>
    </row>
    <row r="4916">
      <c r="A4916" s="7" t="n"/>
      <c r="B4916" s="8" t="n"/>
      <c r="C4916" s="8" t="n"/>
    </row>
    <row r="4917">
      <c r="A4917" s="7" t="n"/>
      <c r="B4917" s="8" t="n"/>
      <c r="C4917" s="8" t="n"/>
    </row>
    <row r="4918">
      <c r="A4918" s="7" t="n"/>
      <c r="B4918" s="8" t="n"/>
      <c r="C4918" s="8" t="n"/>
    </row>
    <row r="4919">
      <c r="A4919" s="7" t="n"/>
      <c r="B4919" s="8" t="n"/>
      <c r="C4919" s="8" t="n"/>
    </row>
    <row r="4920">
      <c r="A4920" s="7" t="n"/>
      <c r="B4920" s="8" t="n"/>
      <c r="C4920" s="8" t="n"/>
    </row>
    <row r="4921">
      <c r="A4921" s="7" t="n"/>
      <c r="B4921" s="8" t="n"/>
      <c r="C4921" s="8" t="n"/>
    </row>
    <row r="4922">
      <c r="A4922" s="7" t="n"/>
      <c r="B4922" s="8" t="n"/>
      <c r="C4922" s="8" t="n"/>
    </row>
    <row r="4923">
      <c r="A4923" s="7" t="n"/>
      <c r="B4923" s="8" t="n"/>
      <c r="C4923" s="8" t="n"/>
    </row>
    <row r="4924">
      <c r="A4924" s="7" t="n"/>
      <c r="B4924" s="8" t="n"/>
      <c r="C4924" s="8" t="n"/>
    </row>
    <row r="4925">
      <c r="A4925" s="7" t="n"/>
      <c r="B4925" s="8" t="n"/>
      <c r="C4925" s="8" t="n"/>
    </row>
    <row r="4926">
      <c r="A4926" s="7" t="n"/>
      <c r="B4926" s="8" t="n"/>
      <c r="C4926" s="8" t="n"/>
    </row>
    <row r="4927">
      <c r="A4927" s="7" t="n"/>
      <c r="B4927" s="8" t="n"/>
      <c r="C4927" s="8" t="n"/>
    </row>
    <row r="4928">
      <c r="A4928" s="7" t="n"/>
      <c r="B4928" s="8" t="n"/>
      <c r="C4928" s="8" t="n"/>
    </row>
    <row r="4929">
      <c r="A4929" s="7" t="n"/>
      <c r="B4929" s="8" t="n"/>
      <c r="C4929" s="8" t="n"/>
    </row>
    <row r="4930">
      <c r="A4930" s="7" t="n"/>
      <c r="B4930" s="8" t="n"/>
      <c r="C4930" s="8" t="n"/>
    </row>
    <row r="4931">
      <c r="A4931" s="7" t="n"/>
      <c r="B4931" s="8" t="n"/>
      <c r="C4931" s="8" t="n"/>
    </row>
    <row r="4932">
      <c r="A4932" s="7" t="n"/>
      <c r="B4932" s="8" t="n"/>
      <c r="C4932" s="8" t="n"/>
    </row>
    <row r="4933">
      <c r="A4933" s="7" t="n"/>
      <c r="B4933" s="8" t="n"/>
      <c r="C4933" s="8" t="n"/>
    </row>
    <row r="4934">
      <c r="A4934" s="7" t="n"/>
      <c r="B4934" s="8" t="n"/>
      <c r="C4934" s="8" t="n"/>
    </row>
    <row r="4935">
      <c r="A4935" s="7" t="n"/>
      <c r="B4935" s="8" t="n"/>
      <c r="C4935" s="8" t="n"/>
    </row>
    <row r="4936">
      <c r="A4936" s="7" t="n"/>
      <c r="B4936" s="8" t="n"/>
      <c r="C4936" s="8" t="n"/>
    </row>
    <row r="4937">
      <c r="A4937" s="7" t="n"/>
      <c r="B4937" s="8" t="n"/>
      <c r="C4937" s="8" t="n"/>
    </row>
    <row r="4938">
      <c r="A4938" s="7" t="n"/>
      <c r="B4938" s="8" t="n"/>
      <c r="C4938" s="8" t="n"/>
    </row>
    <row r="4939">
      <c r="A4939" s="7" t="n"/>
      <c r="B4939" s="8" t="n"/>
      <c r="C4939" s="8" t="n"/>
    </row>
    <row r="4940">
      <c r="A4940" s="7" t="n"/>
      <c r="B4940" s="8" t="n"/>
      <c r="C4940" s="8" t="n"/>
    </row>
    <row r="4941">
      <c r="A4941" s="7" t="n"/>
      <c r="B4941" s="8" t="n"/>
      <c r="C4941" s="8" t="n"/>
    </row>
    <row r="4942">
      <c r="A4942" s="7" t="n"/>
      <c r="B4942" s="8" t="n"/>
      <c r="C4942" s="8" t="n"/>
    </row>
    <row r="4943">
      <c r="A4943" s="7" t="n"/>
      <c r="B4943" s="8" t="n"/>
      <c r="C4943" s="8" t="n"/>
    </row>
    <row r="4944">
      <c r="A4944" s="7" t="n"/>
      <c r="B4944" s="8" t="n"/>
      <c r="C4944" s="8" t="n"/>
    </row>
    <row r="4945">
      <c r="A4945" s="7" t="n"/>
      <c r="B4945" s="8" t="n"/>
      <c r="C4945" s="8" t="n"/>
    </row>
    <row r="4946">
      <c r="A4946" s="7" t="n"/>
      <c r="B4946" s="8" t="n"/>
      <c r="C4946" s="8" t="n"/>
    </row>
    <row r="4947">
      <c r="A4947" s="7" t="n"/>
      <c r="B4947" s="8" t="n"/>
      <c r="C4947" s="8" t="n"/>
    </row>
    <row r="4948">
      <c r="A4948" s="7" t="n"/>
      <c r="B4948" s="8" t="n"/>
      <c r="C4948" s="8" t="n"/>
    </row>
    <row r="4949">
      <c r="A4949" s="7" t="n"/>
      <c r="B4949" s="8" t="n"/>
      <c r="C4949" s="8" t="n"/>
    </row>
    <row r="4950">
      <c r="A4950" s="7" t="n"/>
      <c r="B4950" s="8" t="n"/>
      <c r="C4950" s="8" t="n"/>
    </row>
    <row r="4951">
      <c r="A4951" s="7" t="n"/>
      <c r="B4951" s="8" t="n"/>
      <c r="C4951" s="8" t="n"/>
    </row>
    <row r="4952">
      <c r="A4952" s="7" t="n"/>
      <c r="B4952" s="8" t="n"/>
      <c r="C4952" s="8" t="n"/>
    </row>
    <row r="4953">
      <c r="A4953" s="7" t="n"/>
      <c r="B4953" s="8" t="n"/>
      <c r="C4953" s="8" t="n"/>
    </row>
    <row r="4954">
      <c r="A4954" s="7" t="n"/>
      <c r="B4954" s="8" t="n"/>
      <c r="C4954" s="8" t="n"/>
    </row>
    <row r="4955">
      <c r="A4955" s="7" t="n"/>
      <c r="B4955" s="8" t="n"/>
      <c r="C4955" s="8" t="n"/>
    </row>
    <row r="4956">
      <c r="A4956" s="7" t="n"/>
      <c r="B4956" s="8" t="n"/>
      <c r="C4956" s="8" t="n"/>
    </row>
    <row r="4957">
      <c r="A4957" s="7" t="n"/>
      <c r="B4957" s="8" t="n"/>
      <c r="C4957" s="8" t="n"/>
    </row>
    <row r="4958">
      <c r="A4958" s="7" t="n"/>
      <c r="B4958" s="8" t="n"/>
      <c r="C4958" s="8" t="n"/>
    </row>
    <row r="4959">
      <c r="A4959" s="7" t="n"/>
      <c r="B4959" s="8" t="n"/>
      <c r="C4959" s="8" t="n"/>
    </row>
    <row r="4960">
      <c r="A4960" s="7" t="n"/>
      <c r="B4960" s="8" t="n"/>
      <c r="C4960" s="8" t="n"/>
    </row>
    <row r="4961">
      <c r="A4961" s="7" t="n"/>
      <c r="B4961" s="8" t="n"/>
      <c r="C4961" s="8" t="n"/>
    </row>
    <row r="4962">
      <c r="A4962" s="7" t="n"/>
      <c r="B4962" s="8" t="n"/>
      <c r="C4962" s="8" t="n"/>
    </row>
    <row r="4963">
      <c r="A4963" s="7" t="n"/>
      <c r="B4963" s="8" t="n"/>
      <c r="C4963" s="8" t="n"/>
    </row>
    <row r="4964">
      <c r="A4964" s="7" t="n"/>
      <c r="B4964" s="8" t="n"/>
      <c r="C4964" s="8" t="n"/>
    </row>
    <row r="4965">
      <c r="A4965" s="7" t="n"/>
      <c r="B4965" s="8" t="n"/>
      <c r="C4965" s="8" t="n"/>
    </row>
    <row r="4966">
      <c r="A4966" s="7" t="n"/>
      <c r="B4966" s="8" t="n"/>
      <c r="C4966" s="8" t="n"/>
    </row>
    <row r="4967">
      <c r="A4967" s="7" t="n"/>
      <c r="B4967" s="8" t="n"/>
      <c r="C4967" s="8" t="n"/>
    </row>
    <row r="4968">
      <c r="A4968" s="7" t="n"/>
      <c r="B4968" s="8" t="n"/>
      <c r="C4968" s="8" t="n"/>
    </row>
    <row r="4969">
      <c r="A4969" s="7" t="n"/>
      <c r="B4969" s="8" t="n"/>
      <c r="C4969" s="8" t="n"/>
    </row>
    <row r="4970">
      <c r="A4970" s="7" t="n"/>
      <c r="B4970" s="8" t="n"/>
      <c r="C4970" s="8" t="n"/>
    </row>
    <row r="4971">
      <c r="A4971" s="7" t="n"/>
      <c r="B4971" s="8" t="n"/>
      <c r="C4971" s="8" t="n"/>
    </row>
    <row r="4972">
      <c r="A4972" s="7" t="n"/>
      <c r="B4972" s="8" t="n"/>
      <c r="C4972" s="8" t="n"/>
    </row>
    <row r="4973">
      <c r="A4973" s="7" t="n"/>
      <c r="B4973" s="8" t="n"/>
      <c r="C4973" s="8" t="n"/>
    </row>
    <row r="4974">
      <c r="A4974" s="7" t="n"/>
      <c r="B4974" s="8" t="n"/>
      <c r="C4974" s="8" t="n"/>
    </row>
    <row r="4975">
      <c r="A4975" s="7" t="n"/>
      <c r="B4975" s="8" t="n"/>
      <c r="C4975" s="8" t="n"/>
    </row>
    <row r="4976">
      <c r="A4976" s="7" t="n"/>
      <c r="B4976" s="8" t="n"/>
      <c r="C4976" s="8" t="n"/>
    </row>
    <row r="4977">
      <c r="A4977" s="7" t="n"/>
      <c r="B4977" s="8" t="n"/>
      <c r="C4977" s="8" t="n"/>
    </row>
    <row r="4978">
      <c r="A4978" s="7" t="n"/>
      <c r="B4978" s="8" t="n"/>
      <c r="C4978" s="8" t="n"/>
    </row>
    <row r="4979">
      <c r="A4979" s="7" t="n"/>
      <c r="B4979" s="8" t="n"/>
      <c r="C4979" s="8" t="n"/>
    </row>
    <row r="4980">
      <c r="A4980" s="7" t="n"/>
      <c r="B4980" s="8" t="n"/>
      <c r="C4980" s="8" t="n"/>
    </row>
    <row r="4981">
      <c r="A4981" s="7" t="n"/>
      <c r="B4981" s="8" t="n"/>
      <c r="C4981" s="8" t="n"/>
    </row>
    <row r="4982">
      <c r="A4982" s="7" t="n"/>
      <c r="B4982" s="8" t="n"/>
      <c r="C4982" s="8" t="n"/>
    </row>
    <row r="4983">
      <c r="A4983" s="7" t="n"/>
      <c r="B4983" s="8" t="n"/>
      <c r="C4983" s="8" t="n"/>
    </row>
    <row r="4984">
      <c r="A4984" s="7" t="n"/>
      <c r="B4984" s="8" t="n"/>
      <c r="C4984" s="8" t="n"/>
    </row>
    <row r="4985">
      <c r="A4985" s="7" t="n"/>
      <c r="B4985" s="8" t="n"/>
      <c r="C4985" s="8" t="n"/>
    </row>
    <row r="4986">
      <c r="A4986" s="7" t="n"/>
      <c r="B4986" s="8" t="n"/>
      <c r="C4986" s="8" t="n"/>
    </row>
    <row r="4987">
      <c r="A4987" s="7" t="n"/>
      <c r="B4987" s="8" t="n"/>
      <c r="C4987" s="8" t="n"/>
    </row>
    <row r="4988">
      <c r="A4988" s="7" t="n"/>
      <c r="B4988" s="8" t="n"/>
      <c r="C4988" s="8" t="n"/>
    </row>
    <row r="4989">
      <c r="A4989" s="7" t="n"/>
      <c r="B4989" s="8" t="n"/>
      <c r="C4989" s="8" t="n"/>
    </row>
    <row r="4990">
      <c r="A4990" s="7" t="n"/>
      <c r="B4990" s="8" t="n"/>
      <c r="C4990" s="8" t="n"/>
    </row>
    <row r="4991">
      <c r="A4991" s="7" t="n"/>
      <c r="B4991" s="8" t="n"/>
      <c r="C4991" s="8" t="n"/>
    </row>
    <row r="4992">
      <c r="A4992" s="7" t="n"/>
      <c r="B4992" s="8" t="n"/>
      <c r="C4992" s="8" t="n"/>
    </row>
    <row r="4993">
      <c r="A4993" s="7" t="n"/>
      <c r="B4993" s="8" t="n"/>
      <c r="C4993" s="8" t="n"/>
    </row>
    <row r="4994">
      <c r="A4994" s="7" t="n"/>
      <c r="B4994" s="8" t="n"/>
      <c r="C4994" s="8" t="n"/>
    </row>
    <row r="4995">
      <c r="A4995" s="7" t="n"/>
      <c r="B4995" s="8" t="n"/>
      <c r="C4995" s="8" t="n"/>
    </row>
    <row r="4996">
      <c r="A4996" s="7" t="n"/>
      <c r="B4996" s="8" t="n"/>
      <c r="C4996" s="8" t="n"/>
    </row>
    <row r="4997">
      <c r="A4997" s="7" t="n"/>
      <c r="B4997" s="8" t="n"/>
      <c r="C4997" s="8" t="n"/>
    </row>
    <row r="4998">
      <c r="A4998" s="7" t="n"/>
      <c r="B4998" s="8" t="n"/>
      <c r="C4998" s="8" t="n"/>
    </row>
    <row r="4999">
      <c r="A4999" s="7" t="n"/>
      <c r="B4999" s="8" t="n"/>
      <c r="C4999" s="8" t="n"/>
    </row>
    <row r="5000">
      <c r="A5000" s="7" t="n"/>
      <c r="B5000" s="8" t="n"/>
      <c r="C5000" s="8" t="n"/>
    </row>
    <row r="5001">
      <c r="A5001" s="7" t="n"/>
      <c r="B5001" s="8" t="n"/>
      <c r="C5001" s="8" t="n"/>
    </row>
    <row r="5002">
      <c r="A5002" s="7" t="n"/>
      <c r="B5002" s="8" t="n"/>
      <c r="C5002" s="8" t="n"/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56" customWidth="1" min="4" max="4"/>
  </cols>
  <sheetData>
    <row r="1" ht="26" customHeight="1">
      <c r="A1" s="9" t="inlineStr">
        <is>
          <t>DASHBOARD COMPARATIVO  -  ACTIVO 1  vs  ACTIVO 2</t>
        </is>
      </c>
    </row>
    <row r="3">
      <c r="A3" s="10" t="inlineStr">
        <is>
          <t>Parametros</t>
        </is>
      </c>
    </row>
    <row r="4">
      <c r="A4" s="11" t="inlineStr">
        <is>
          <t>Tasa libre de riesgo anual</t>
        </is>
      </c>
      <c r="B4" s="12" t="n">
        <v>0.04</v>
      </c>
    </row>
    <row r="5">
      <c r="A5" s="11" t="inlineStr">
        <is>
          <t>Dias bursatiles / ano</t>
        </is>
      </c>
      <c r="B5" s="13" t="n">
        <v>252</v>
      </c>
    </row>
    <row r="6">
      <c r="A6" s="11" t="inlineStr">
        <is>
          <t>Observaciones (n)</t>
        </is>
      </c>
      <c r="B6" s="14">
        <f>COUNT(RET_A)</f>
        <v/>
      </c>
    </row>
    <row r="8">
      <c r="A8" s="15" t="inlineStr">
        <is>
          <t>METRICA</t>
        </is>
      </c>
      <c r="B8" s="15">
        <f>NOMBRE_A</f>
        <v/>
      </c>
      <c r="C8" s="15">
        <f>NOMBRE_B</f>
        <v/>
      </c>
      <c r="D8" s="15" t="inlineStr">
        <is>
          <t>INTERPRETACION</t>
        </is>
      </c>
    </row>
    <row r="9">
      <c r="A9" s="16" t="inlineStr">
        <is>
          <t>Retorno medio diario</t>
        </is>
      </c>
      <c r="B9" s="17">
        <f>IFERROR(AVERAGE(RET_A),NA())</f>
        <v/>
      </c>
      <c r="C9" s="18">
        <f>IFERROR(AVERAGE(RET_B),NA())</f>
        <v/>
      </c>
      <c r="D9" s="19" t="inlineStr">
        <is>
          <t>Promedio simple de retornos diarios</t>
        </is>
      </c>
    </row>
    <row r="10">
      <c r="A10" s="16" t="inlineStr">
        <is>
          <t>CAGR (anualizado compuesto)</t>
        </is>
      </c>
      <c r="B10" s="20">
        <f>IFERROR((LOOKUP(2,1/ISNUMBER(PRECIO_A),PRECIO_A)/INDEX(PRECIO_A,MATCH(TRUE,ISNUMBER(PRECIO_A),0)))^($B$5/COUNT(RET_A))-1,NA())</f>
        <v/>
      </c>
      <c r="C10" s="21">
        <f>IFERROR((LOOKUP(2,1/ISNUMBER(PRECIO_B),PRECIO_B)/INDEX(PRECIO_B,MATCH(TRUE,ISNUMBER(PRECIO_B),0)))^($B$5/COUNT(RET_B))-1,NA())</f>
        <v/>
      </c>
      <c r="D10" s="19" t="inlineStr">
        <is>
          <t>Tasa anual compuesta equivalente</t>
        </is>
      </c>
    </row>
    <row r="11">
      <c r="A11" s="16" t="inlineStr">
        <is>
          <t>Volatilidad anualizada</t>
        </is>
      </c>
      <c r="B11" s="20">
        <f>IFERROR(STDEV(RET_A)*SQRT($B$5),NA())</f>
        <v/>
      </c>
      <c r="C11" s="21">
        <f>IFERROR(STDEV(RET_B)*SQRT($B$5),NA())</f>
        <v/>
      </c>
      <c r="D11" s="19" t="inlineStr">
        <is>
          <t>Desviacion estandar anualizada</t>
        </is>
      </c>
    </row>
    <row r="12">
      <c r="A12" s="16" t="inlineStr">
        <is>
          <t>Sharpe Ratio (anualizado)</t>
        </is>
      </c>
      <c r="B12" s="22">
        <f>IFERROR((AVERAGE(EXC_A)*$B$5)/(STDEV(RET_A)*SQRT($B$5)),NA())</f>
        <v/>
      </c>
      <c r="C12" s="23">
        <f>IFERROR((AVERAGE(EXC_B)*$B$5)/(STDEV(RET_B)*SQRT($B$5)),NA())</f>
        <v/>
      </c>
      <c r="D12" s="19" t="inlineStr">
        <is>
          <t>Retorno excedente / volatilidad</t>
        </is>
      </c>
    </row>
    <row r="13">
      <c r="A13" s="16" t="inlineStr">
        <is>
          <t>Max Drawdown</t>
        </is>
      </c>
      <c r="B13" s="20">
        <f>IFERROR(MIN(DD_A),NA())</f>
        <v/>
      </c>
      <c r="C13" s="21">
        <f>IFERROR(MIN(DD_B),NA())</f>
        <v/>
      </c>
      <c r="D13" s="19" t="inlineStr">
        <is>
          <t>Mayor caida pico-valle</t>
        </is>
      </c>
    </row>
    <row r="14">
      <c r="A14" s="16" t="inlineStr">
        <is>
          <t>Beta (Activo 1 vs Activo 2)</t>
        </is>
      </c>
      <c r="B14" s="22">
        <f>IFERROR(SLOPE(EXC_A,EXC_B),NA())</f>
        <v/>
      </c>
      <c r="C14" s="23">
        <f>1</f>
        <v/>
      </c>
      <c r="D14" s="19" t="inlineStr">
        <is>
          <t>&lt;1 menos volatil ; &gt;1 mas volatil ; =1 igual al benchmark</t>
        </is>
      </c>
    </row>
    <row r="15">
      <c r="A15" s="16" t="inlineStr">
        <is>
          <t>Alpha Jensen (anualizado)</t>
        </is>
      </c>
      <c r="B15" s="20">
        <f>IFERROR((AVERAGE(EXC_A)-SLOPE(EXC_A,EXC_B)*AVERAGE(EXC_B))*$B$5,NA())</f>
        <v/>
      </c>
      <c r="C15" s="21">
        <f>0</f>
        <v/>
      </c>
      <c r="D15" s="19" t="inlineStr">
        <is>
          <t>Retorno excedente sobre lo predicho por CAPM</t>
        </is>
      </c>
    </row>
    <row r="16">
      <c r="A16" s="16" t="inlineStr">
        <is>
          <t>Correlacion (Pearson)</t>
        </is>
      </c>
      <c r="B16" s="22">
        <f>IFERROR(CORREL(RET_A,RET_B),NA())</f>
        <v/>
      </c>
      <c r="C16" s="23">
        <f>1</f>
        <v/>
      </c>
      <c r="D16" s="19" t="inlineStr">
        <is>
          <t>Co-movimiento (-1 a +1)</t>
        </is>
      </c>
    </row>
    <row r="17">
      <c r="A17" s="16" t="inlineStr">
        <is>
          <t>R-cuadrado</t>
        </is>
      </c>
      <c r="B17" s="20">
        <f>IFERROR(CORREL(RET_A,RET_B)^2,NA())</f>
        <v/>
      </c>
      <c r="C17" s="21">
        <f>1</f>
        <v/>
      </c>
      <c r="D17" s="19" t="inlineStr">
        <is>
          <t>Varianza explicada por Activo 2</t>
        </is>
      </c>
    </row>
    <row r="18">
      <c r="A18" s="16" t="inlineStr">
        <is>
          <t>Tracking Error (anualizado)</t>
        </is>
      </c>
      <c r="B18" s="20">
        <f>IFERROR(STDEV(DIFF_AB)*SQRT($B$5),NA())</f>
        <v/>
      </c>
      <c r="C18" s="21">
        <f>0</f>
        <v/>
      </c>
      <c r="D18" s="19" t="inlineStr">
        <is>
          <t>Volatilidad del diferencial</t>
        </is>
      </c>
    </row>
    <row r="19">
      <c r="A19" s="16" t="inlineStr">
        <is>
          <t>Information Ratio</t>
        </is>
      </c>
      <c r="B19" s="22">
        <f>IFERROR((AVERAGE(DIFF_AB)*$B$5)/(STDEV(DIFF_AB)*SQRT($B$5)),NA())</f>
        <v/>
      </c>
      <c r="C19" s="23">
        <f>NA()</f>
        <v/>
      </c>
      <c r="D19" s="19" t="inlineStr">
        <is>
          <t>Retorno activo / Tracking Error</t>
        </is>
      </c>
    </row>
  </sheetData>
  <mergeCells count="1">
    <mergeCell ref="A1:D1"/>
  </mergeCells>
  <conditionalFormatting sqref="B14">
    <cfRule type="cellIs" priority="1" operator="greaterThan" dxfId="0">
      <formula>1.1</formula>
    </cfRule>
    <cfRule type="cellIs" priority="2" operator="lessThan" dxfId="1">
      <formula>0.9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500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4" customWidth="1" min="4" max="4"/>
    <col width="22" customWidth="1" min="5" max="5"/>
    <col width="14" customWidth="1" min="6" max="6"/>
  </cols>
  <sheetData>
    <row r="1">
      <c r="A1" s="9" t="inlineStr">
        <is>
          <t>EVOLUCION COMPARADA  (Base 100)</t>
        </is>
      </c>
    </row>
    <row r="2">
      <c r="A2" s="15" t="inlineStr">
        <is>
          <t>Fecha</t>
        </is>
      </c>
      <c r="B2" s="24">
        <f>NOMBRE_A&amp;" (base 100)"</f>
        <v/>
      </c>
      <c r="C2" s="24">
        <f>NOMBRE_B&amp;" (base 100)"</f>
        <v/>
      </c>
      <c r="E2" s="25" t="inlineStr">
        <is>
          <t>Primer Px Activo 1</t>
        </is>
      </c>
      <c r="F2" s="26">
        <f>INDEX(PRECIO_A,MATCH(TRUE,ISNUMBER(PRECIO_A),0))</f>
        <v/>
      </c>
    </row>
    <row r="3">
      <c r="A3" s="7">
        <f>IFERROR(Datos!A3,"")</f>
        <v/>
      </c>
      <c r="B3" s="27">
        <f>IFERROR(IF(ISNUMBER(Datos!B3),Datos!B3/$F$2*100,NA()),NA())</f>
        <v/>
      </c>
      <c r="C3" s="27">
        <f>IFERROR(IF(ISNUMBER(Datos!C3),Datos!C3/$F$3*100,NA()),NA())</f>
        <v/>
      </c>
      <c r="E3" s="25" t="inlineStr">
        <is>
          <t>Primer Px Activo 2</t>
        </is>
      </c>
      <c r="F3" s="26">
        <f>INDEX(PRECIO_B,MATCH(TRUE,ISNUMBER(PRECIO_B),0))</f>
        <v/>
      </c>
    </row>
    <row r="4">
      <c r="A4" s="7">
        <f>IFERROR(Datos!A4,"")</f>
        <v/>
      </c>
      <c r="B4" s="27">
        <f>IFERROR(IF(ISNUMBER(Datos!B4),Datos!B4/$F$2*100,NA()),NA())</f>
        <v/>
      </c>
      <c r="C4" s="27">
        <f>IFERROR(IF(ISNUMBER(Datos!C4),Datos!C4/$F$3*100,NA()),NA())</f>
        <v/>
      </c>
    </row>
    <row r="5">
      <c r="A5" s="7">
        <f>IFERROR(Datos!A5,"")</f>
        <v/>
      </c>
      <c r="B5" s="27">
        <f>IFERROR(IF(ISNUMBER(Datos!B5),Datos!B5/$F$2*100,NA()),NA())</f>
        <v/>
      </c>
      <c r="C5" s="27">
        <f>IFERROR(IF(ISNUMBER(Datos!C5),Datos!C5/$F$3*100,NA()),NA())</f>
        <v/>
      </c>
    </row>
    <row r="6">
      <c r="A6" s="7">
        <f>IFERROR(Datos!A6,"")</f>
        <v/>
      </c>
      <c r="B6" s="27">
        <f>IFERROR(IF(ISNUMBER(Datos!B6),Datos!B6/$F$2*100,NA()),NA())</f>
        <v/>
      </c>
      <c r="C6" s="27">
        <f>IFERROR(IF(ISNUMBER(Datos!C6),Datos!C6/$F$3*100,NA()),NA())</f>
        <v/>
      </c>
    </row>
    <row r="7">
      <c r="A7" s="7">
        <f>IFERROR(Datos!A7,"")</f>
        <v/>
      </c>
      <c r="B7" s="27">
        <f>IFERROR(IF(ISNUMBER(Datos!B7),Datos!B7/$F$2*100,NA()),NA())</f>
        <v/>
      </c>
      <c r="C7" s="27">
        <f>IFERROR(IF(ISNUMBER(Datos!C7),Datos!C7/$F$3*100,NA()),NA())</f>
        <v/>
      </c>
    </row>
    <row r="8">
      <c r="A8" s="7">
        <f>IFERROR(Datos!A8,"")</f>
        <v/>
      </c>
      <c r="B8" s="27">
        <f>IFERROR(IF(ISNUMBER(Datos!B8),Datos!B8/$F$2*100,NA()),NA())</f>
        <v/>
      </c>
      <c r="C8" s="27">
        <f>IFERROR(IF(ISNUMBER(Datos!C8),Datos!C8/$F$3*100,NA()),NA())</f>
        <v/>
      </c>
    </row>
    <row r="9">
      <c r="A9" s="7">
        <f>IFERROR(Datos!A9,"")</f>
        <v/>
      </c>
      <c r="B9" s="27">
        <f>IFERROR(IF(ISNUMBER(Datos!B9),Datos!B9/$F$2*100,NA()),NA())</f>
        <v/>
      </c>
      <c r="C9" s="27">
        <f>IFERROR(IF(ISNUMBER(Datos!C9),Datos!C9/$F$3*100,NA()),NA())</f>
        <v/>
      </c>
    </row>
    <row r="10">
      <c r="A10" s="7">
        <f>IFERROR(Datos!A10,"")</f>
        <v/>
      </c>
      <c r="B10" s="27">
        <f>IFERROR(IF(ISNUMBER(Datos!B10),Datos!B10/$F$2*100,NA()),NA())</f>
        <v/>
      </c>
      <c r="C10" s="27">
        <f>IFERROR(IF(ISNUMBER(Datos!C10),Datos!C10/$F$3*100,NA()),NA())</f>
        <v/>
      </c>
    </row>
    <row r="11">
      <c r="A11" s="7">
        <f>IFERROR(Datos!A11,"")</f>
        <v/>
      </c>
      <c r="B11" s="27">
        <f>IFERROR(IF(ISNUMBER(Datos!B11),Datos!B11/$F$2*100,NA()),NA())</f>
        <v/>
      </c>
      <c r="C11" s="27">
        <f>IFERROR(IF(ISNUMBER(Datos!C11),Datos!C11/$F$3*100,NA()),NA())</f>
        <v/>
      </c>
    </row>
    <row r="12">
      <c r="A12" s="7">
        <f>IFERROR(Datos!A12,"")</f>
        <v/>
      </c>
      <c r="B12" s="27">
        <f>IFERROR(IF(ISNUMBER(Datos!B12),Datos!B12/$F$2*100,NA()),NA())</f>
        <v/>
      </c>
      <c r="C12" s="27">
        <f>IFERROR(IF(ISNUMBER(Datos!C12),Datos!C12/$F$3*100,NA()),NA())</f>
        <v/>
      </c>
    </row>
    <row r="13">
      <c r="A13" s="7">
        <f>IFERROR(Datos!A13,"")</f>
        <v/>
      </c>
      <c r="B13" s="27">
        <f>IFERROR(IF(ISNUMBER(Datos!B13),Datos!B13/$F$2*100,NA()),NA())</f>
        <v/>
      </c>
      <c r="C13" s="27">
        <f>IFERROR(IF(ISNUMBER(Datos!C13),Datos!C13/$F$3*100,NA()),NA())</f>
        <v/>
      </c>
    </row>
    <row r="14">
      <c r="A14" s="7">
        <f>IFERROR(Datos!A14,"")</f>
        <v/>
      </c>
      <c r="B14" s="27">
        <f>IFERROR(IF(ISNUMBER(Datos!B14),Datos!B14/$F$2*100,NA()),NA())</f>
        <v/>
      </c>
      <c r="C14" s="27">
        <f>IFERROR(IF(ISNUMBER(Datos!C14),Datos!C14/$F$3*100,NA()),NA())</f>
        <v/>
      </c>
    </row>
    <row r="15">
      <c r="A15" s="7">
        <f>IFERROR(Datos!A15,"")</f>
        <v/>
      </c>
      <c r="B15" s="27">
        <f>IFERROR(IF(ISNUMBER(Datos!B15),Datos!B15/$F$2*100,NA()),NA())</f>
        <v/>
      </c>
      <c r="C15" s="27">
        <f>IFERROR(IF(ISNUMBER(Datos!C15),Datos!C15/$F$3*100,NA()),NA())</f>
        <v/>
      </c>
    </row>
    <row r="16">
      <c r="A16" s="7">
        <f>IFERROR(Datos!A16,"")</f>
        <v/>
      </c>
      <c r="B16" s="27">
        <f>IFERROR(IF(ISNUMBER(Datos!B16),Datos!B16/$F$2*100,NA()),NA())</f>
        <v/>
      </c>
      <c r="C16" s="27">
        <f>IFERROR(IF(ISNUMBER(Datos!C16),Datos!C16/$F$3*100,NA()),NA())</f>
        <v/>
      </c>
    </row>
    <row r="17">
      <c r="A17" s="7">
        <f>IFERROR(Datos!A17,"")</f>
        <v/>
      </c>
      <c r="B17" s="27">
        <f>IFERROR(IF(ISNUMBER(Datos!B17),Datos!B17/$F$2*100,NA()),NA())</f>
        <v/>
      </c>
      <c r="C17" s="27">
        <f>IFERROR(IF(ISNUMBER(Datos!C17),Datos!C17/$F$3*100,NA()),NA())</f>
        <v/>
      </c>
    </row>
    <row r="18">
      <c r="A18" s="7">
        <f>IFERROR(Datos!A18,"")</f>
        <v/>
      </c>
      <c r="B18" s="27">
        <f>IFERROR(IF(ISNUMBER(Datos!B18),Datos!B18/$F$2*100,NA()),NA())</f>
        <v/>
      </c>
      <c r="C18" s="27">
        <f>IFERROR(IF(ISNUMBER(Datos!C18),Datos!C18/$F$3*100,NA()),NA())</f>
        <v/>
      </c>
    </row>
    <row r="19">
      <c r="A19" s="7">
        <f>IFERROR(Datos!A19,"")</f>
        <v/>
      </c>
      <c r="B19" s="27">
        <f>IFERROR(IF(ISNUMBER(Datos!B19),Datos!B19/$F$2*100,NA()),NA())</f>
        <v/>
      </c>
      <c r="C19" s="27">
        <f>IFERROR(IF(ISNUMBER(Datos!C19),Datos!C19/$F$3*100,NA()),NA())</f>
        <v/>
      </c>
    </row>
    <row r="20">
      <c r="A20" s="7">
        <f>IFERROR(Datos!A20,"")</f>
        <v/>
      </c>
      <c r="B20" s="27">
        <f>IFERROR(IF(ISNUMBER(Datos!B20),Datos!B20/$F$2*100,NA()),NA())</f>
        <v/>
      </c>
      <c r="C20" s="27">
        <f>IFERROR(IF(ISNUMBER(Datos!C20),Datos!C20/$F$3*100,NA()),NA())</f>
        <v/>
      </c>
    </row>
    <row r="21">
      <c r="A21" s="7">
        <f>IFERROR(Datos!A21,"")</f>
        <v/>
      </c>
      <c r="B21" s="27">
        <f>IFERROR(IF(ISNUMBER(Datos!B21),Datos!B21/$F$2*100,NA()),NA())</f>
        <v/>
      </c>
      <c r="C21" s="27">
        <f>IFERROR(IF(ISNUMBER(Datos!C21),Datos!C21/$F$3*100,NA()),NA())</f>
        <v/>
      </c>
    </row>
    <row r="22">
      <c r="A22" s="7">
        <f>IFERROR(Datos!A22,"")</f>
        <v/>
      </c>
      <c r="B22" s="27">
        <f>IFERROR(IF(ISNUMBER(Datos!B22),Datos!B22/$F$2*100,NA()),NA())</f>
        <v/>
      </c>
      <c r="C22" s="27">
        <f>IFERROR(IF(ISNUMBER(Datos!C22),Datos!C22/$F$3*100,NA()),NA())</f>
        <v/>
      </c>
    </row>
    <row r="23">
      <c r="A23" s="7">
        <f>IFERROR(Datos!A23,"")</f>
        <v/>
      </c>
      <c r="B23" s="27">
        <f>IFERROR(IF(ISNUMBER(Datos!B23),Datos!B23/$F$2*100,NA()),NA())</f>
        <v/>
      </c>
      <c r="C23" s="27">
        <f>IFERROR(IF(ISNUMBER(Datos!C23),Datos!C23/$F$3*100,NA()),NA())</f>
        <v/>
      </c>
    </row>
    <row r="24">
      <c r="A24" s="7">
        <f>IFERROR(Datos!A24,"")</f>
        <v/>
      </c>
      <c r="B24" s="27">
        <f>IFERROR(IF(ISNUMBER(Datos!B24),Datos!B24/$F$2*100,NA()),NA())</f>
        <v/>
      </c>
      <c r="C24" s="27">
        <f>IFERROR(IF(ISNUMBER(Datos!C24),Datos!C24/$F$3*100,NA()),NA())</f>
        <v/>
      </c>
    </row>
    <row r="25">
      <c r="A25" s="7">
        <f>IFERROR(Datos!A25,"")</f>
        <v/>
      </c>
      <c r="B25" s="27">
        <f>IFERROR(IF(ISNUMBER(Datos!B25),Datos!B25/$F$2*100,NA()),NA())</f>
        <v/>
      </c>
      <c r="C25" s="27">
        <f>IFERROR(IF(ISNUMBER(Datos!C25),Datos!C25/$F$3*100,NA()),NA())</f>
        <v/>
      </c>
    </row>
    <row r="26">
      <c r="A26" s="7">
        <f>IFERROR(Datos!A26,"")</f>
        <v/>
      </c>
      <c r="B26" s="27">
        <f>IFERROR(IF(ISNUMBER(Datos!B26),Datos!B26/$F$2*100,NA()),NA())</f>
        <v/>
      </c>
      <c r="C26" s="27">
        <f>IFERROR(IF(ISNUMBER(Datos!C26),Datos!C26/$F$3*100,NA()),NA())</f>
        <v/>
      </c>
    </row>
    <row r="27">
      <c r="A27" s="7">
        <f>IFERROR(Datos!A27,"")</f>
        <v/>
      </c>
      <c r="B27" s="27">
        <f>IFERROR(IF(ISNUMBER(Datos!B27),Datos!B27/$F$2*100,NA()),NA())</f>
        <v/>
      </c>
      <c r="C27" s="27">
        <f>IFERROR(IF(ISNUMBER(Datos!C27),Datos!C27/$F$3*100,NA()),NA())</f>
        <v/>
      </c>
    </row>
    <row r="28">
      <c r="A28" s="7">
        <f>IFERROR(Datos!A28,"")</f>
        <v/>
      </c>
      <c r="B28" s="27">
        <f>IFERROR(IF(ISNUMBER(Datos!B28),Datos!B28/$F$2*100,NA()),NA())</f>
        <v/>
      </c>
      <c r="C28" s="27">
        <f>IFERROR(IF(ISNUMBER(Datos!C28),Datos!C28/$F$3*100,NA()),NA())</f>
        <v/>
      </c>
    </row>
    <row r="29">
      <c r="A29" s="7">
        <f>IFERROR(Datos!A29,"")</f>
        <v/>
      </c>
      <c r="B29" s="27">
        <f>IFERROR(IF(ISNUMBER(Datos!B29),Datos!B29/$F$2*100,NA()),NA())</f>
        <v/>
      </c>
      <c r="C29" s="27">
        <f>IFERROR(IF(ISNUMBER(Datos!C29),Datos!C29/$F$3*100,NA()),NA())</f>
        <v/>
      </c>
    </row>
    <row r="30">
      <c r="A30" s="7">
        <f>IFERROR(Datos!A30,"")</f>
        <v/>
      </c>
      <c r="B30" s="27">
        <f>IFERROR(IF(ISNUMBER(Datos!B30),Datos!B30/$F$2*100,NA()),NA())</f>
        <v/>
      </c>
      <c r="C30" s="27">
        <f>IFERROR(IF(ISNUMBER(Datos!C30),Datos!C30/$F$3*100,NA()),NA())</f>
        <v/>
      </c>
    </row>
    <row r="31">
      <c r="A31" s="7">
        <f>IFERROR(Datos!A31,"")</f>
        <v/>
      </c>
      <c r="B31" s="27">
        <f>IFERROR(IF(ISNUMBER(Datos!B31),Datos!B31/$F$2*100,NA()),NA())</f>
        <v/>
      </c>
      <c r="C31" s="27">
        <f>IFERROR(IF(ISNUMBER(Datos!C31),Datos!C31/$F$3*100,NA()),NA())</f>
        <v/>
      </c>
    </row>
    <row r="32">
      <c r="A32" s="7">
        <f>IFERROR(Datos!A32,"")</f>
        <v/>
      </c>
      <c r="B32" s="27">
        <f>IFERROR(IF(ISNUMBER(Datos!B32),Datos!B32/$F$2*100,NA()),NA())</f>
        <v/>
      </c>
      <c r="C32" s="27">
        <f>IFERROR(IF(ISNUMBER(Datos!C32),Datos!C32/$F$3*100,NA()),NA())</f>
        <v/>
      </c>
    </row>
    <row r="33">
      <c r="A33" s="7">
        <f>IFERROR(Datos!A33,"")</f>
        <v/>
      </c>
      <c r="B33" s="27">
        <f>IFERROR(IF(ISNUMBER(Datos!B33),Datos!B33/$F$2*100,NA()),NA())</f>
        <v/>
      </c>
      <c r="C33" s="27">
        <f>IFERROR(IF(ISNUMBER(Datos!C33),Datos!C33/$F$3*100,NA()),NA())</f>
        <v/>
      </c>
    </row>
    <row r="34">
      <c r="A34" s="7">
        <f>IFERROR(Datos!A34,"")</f>
        <v/>
      </c>
      <c r="B34" s="27">
        <f>IFERROR(IF(ISNUMBER(Datos!B34),Datos!B34/$F$2*100,NA()),NA())</f>
        <v/>
      </c>
      <c r="C34" s="27">
        <f>IFERROR(IF(ISNUMBER(Datos!C34),Datos!C34/$F$3*100,NA()),NA())</f>
        <v/>
      </c>
    </row>
    <row r="35">
      <c r="A35" s="7">
        <f>IFERROR(Datos!A35,"")</f>
        <v/>
      </c>
      <c r="B35" s="27">
        <f>IFERROR(IF(ISNUMBER(Datos!B35),Datos!B35/$F$2*100,NA()),NA())</f>
        <v/>
      </c>
      <c r="C35" s="27">
        <f>IFERROR(IF(ISNUMBER(Datos!C35),Datos!C35/$F$3*100,NA()),NA())</f>
        <v/>
      </c>
    </row>
    <row r="36">
      <c r="A36" s="7">
        <f>IFERROR(Datos!A36,"")</f>
        <v/>
      </c>
      <c r="B36" s="27">
        <f>IFERROR(IF(ISNUMBER(Datos!B36),Datos!B36/$F$2*100,NA()),NA())</f>
        <v/>
      </c>
      <c r="C36" s="27">
        <f>IFERROR(IF(ISNUMBER(Datos!C36),Datos!C36/$F$3*100,NA()),NA())</f>
        <v/>
      </c>
    </row>
    <row r="37">
      <c r="A37" s="7">
        <f>IFERROR(Datos!A37,"")</f>
        <v/>
      </c>
      <c r="B37" s="27">
        <f>IFERROR(IF(ISNUMBER(Datos!B37),Datos!B37/$F$2*100,NA()),NA())</f>
        <v/>
      </c>
      <c r="C37" s="27">
        <f>IFERROR(IF(ISNUMBER(Datos!C37),Datos!C37/$F$3*100,NA()),NA())</f>
        <v/>
      </c>
    </row>
    <row r="38">
      <c r="A38" s="7">
        <f>IFERROR(Datos!A38,"")</f>
        <v/>
      </c>
      <c r="B38" s="27">
        <f>IFERROR(IF(ISNUMBER(Datos!B38),Datos!B38/$F$2*100,NA()),NA())</f>
        <v/>
      </c>
      <c r="C38" s="27">
        <f>IFERROR(IF(ISNUMBER(Datos!C38),Datos!C38/$F$3*100,NA()),NA())</f>
        <v/>
      </c>
    </row>
    <row r="39">
      <c r="A39" s="7">
        <f>IFERROR(Datos!A39,"")</f>
        <v/>
      </c>
      <c r="B39" s="27">
        <f>IFERROR(IF(ISNUMBER(Datos!B39),Datos!B39/$F$2*100,NA()),NA())</f>
        <v/>
      </c>
      <c r="C39" s="27">
        <f>IFERROR(IF(ISNUMBER(Datos!C39),Datos!C39/$F$3*100,NA()),NA())</f>
        <v/>
      </c>
    </row>
    <row r="40">
      <c r="A40" s="7">
        <f>IFERROR(Datos!A40,"")</f>
        <v/>
      </c>
      <c r="B40" s="27">
        <f>IFERROR(IF(ISNUMBER(Datos!B40),Datos!B40/$F$2*100,NA()),NA())</f>
        <v/>
      </c>
      <c r="C40" s="27">
        <f>IFERROR(IF(ISNUMBER(Datos!C40),Datos!C40/$F$3*100,NA()),NA())</f>
        <v/>
      </c>
    </row>
    <row r="41">
      <c r="A41" s="7">
        <f>IFERROR(Datos!A41,"")</f>
        <v/>
      </c>
      <c r="B41" s="27">
        <f>IFERROR(IF(ISNUMBER(Datos!B41),Datos!B41/$F$2*100,NA()),NA())</f>
        <v/>
      </c>
      <c r="C41" s="27">
        <f>IFERROR(IF(ISNUMBER(Datos!C41),Datos!C41/$F$3*100,NA()),NA())</f>
        <v/>
      </c>
    </row>
    <row r="42">
      <c r="A42" s="7">
        <f>IFERROR(Datos!A42,"")</f>
        <v/>
      </c>
      <c r="B42" s="27">
        <f>IFERROR(IF(ISNUMBER(Datos!B42),Datos!B42/$F$2*100,NA()),NA())</f>
        <v/>
      </c>
      <c r="C42" s="27">
        <f>IFERROR(IF(ISNUMBER(Datos!C42),Datos!C42/$F$3*100,NA()),NA())</f>
        <v/>
      </c>
    </row>
    <row r="43">
      <c r="A43" s="7">
        <f>IFERROR(Datos!A43,"")</f>
        <v/>
      </c>
      <c r="B43" s="27">
        <f>IFERROR(IF(ISNUMBER(Datos!B43),Datos!B43/$F$2*100,NA()),NA())</f>
        <v/>
      </c>
      <c r="C43" s="27">
        <f>IFERROR(IF(ISNUMBER(Datos!C43),Datos!C43/$F$3*100,NA()),NA())</f>
        <v/>
      </c>
    </row>
    <row r="44">
      <c r="A44" s="7">
        <f>IFERROR(Datos!A44,"")</f>
        <v/>
      </c>
      <c r="B44" s="27">
        <f>IFERROR(IF(ISNUMBER(Datos!B44),Datos!B44/$F$2*100,NA()),NA())</f>
        <v/>
      </c>
      <c r="C44" s="27">
        <f>IFERROR(IF(ISNUMBER(Datos!C44),Datos!C44/$F$3*100,NA()),NA())</f>
        <v/>
      </c>
    </row>
    <row r="45">
      <c r="A45" s="7">
        <f>IFERROR(Datos!A45,"")</f>
        <v/>
      </c>
      <c r="B45" s="27">
        <f>IFERROR(IF(ISNUMBER(Datos!B45),Datos!B45/$F$2*100,NA()),NA())</f>
        <v/>
      </c>
      <c r="C45" s="27">
        <f>IFERROR(IF(ISNUMBER(Datos!C45),Datos!C45/$F$3*100,NA()),NA())</f>
        <v/>
      </c>
    </row>
    <row r="46">
      <c r="A46" s="7">
        <f>IFERROR(Datos!A46,"")</f>
        <v/>
      </c>
      <c r="B46" s="27">
        <f>IFERROR(IF(ISNUMBER(Datos!B46),Datos!B46/$F$2*100,NA()),NA())</f>
        <v/>
      </c>
      <c r="C46" s="27">
        <f>IFERROR(IF(ISNUMBER(Datos!C46),Datos!C46/$F$3*100,NA()),NA())</f>
        <v/>
      </c>
    </row>
    <row r="47">
      <c r="A47" s="7">
        <f>IFERROR(Datos!A47,"")</f>
        <v/>
      </c>
      <c r="B47" s="27">
        <f>IFERROR(IF(ISNUMBER(Datos!B47),Datos!B47/$F$2*100,NA()),NA())</f>
        <v/>
      </c>
      <c r="C47" s="27">
        <f>IFERROR(IF(ISNUMBER(Datos!C47),Datos!C47/$F$3*100,NA()),NA())</f>
        <v/>
      </c>
    </row>
    <row r="48">
      <c r="A48" s="7">
        <f>IFERROR(Datos!A48,"")</f>
        <v/>
      </c>
      <c r="B48" s="27">
        <f>IFERROR(IF(ISNUMBER(Datos!B48),Datos!B48/$F$2*100,NA()),NA())</f>
        <v/>
      </c>
      <c r="C48" s="27">
        <f>IFERROR(IF(ISNUMBER(Datos!C48),Datos!C48/$F$3*100,NA()),NA())</f>
        <v/>
      </c>
    </row>
    <row r="49">
      <c r="A49" s="7">
        <f>IFERROR(Datos!A49,"")</f>
        <v/>
      </c>
      <c r="B49" s="27">
        <f>IFERROR(IF(ISNUMBER(Datos!B49),Datos!B49/$F$2*100,NA()),NA())</f>
        <v/>
      </c>
      <c r="C49" s="27">
        <f>IFERROR(IF(ISNUMBER(Datos!C49),Datos!C49/$F$3*100,NA()),NA())</f>
        <v/>
      </c>
    </row>
    <row r="50">
      <c r="A50" s="7">
        <f>IFERROR(Datos!A50,"")</f>
        <v/>
      </c>
      <c r="B50" s="27">
        <f>IFERROR(IF(ISNUMBER(Datos!B50),Datos!B50/$F$2*100,NA()),NA())</f>
        <v/>
      </c>
      <c r="C50" s="27">
        <f>IFERROR(IF(ISNUMBER(Datos!C50),Datos!C50/$F$3*100,NA()),NA())</f>
        <v/>
      </c>
    </row>
    <row r="51">
      <c r="A51" s="7">
        <f>IFERROR(Datos!A51,"")</f>
        <v/>
      </c>
      <c r="B51" s="27">
        <f>IFERROR(IF(ISNUMBER(Datos!B51),Datos!B51/$F$2*100,NA()),NA())</f>
        <v/>
      </c>
      <c r="C51" s="27">
        <f>IFERROR(IF(ISNUMBER(Datos!C51),Datos!C51/$F$3*100,NA()),NA())</f>
        <v/>
      </c>
    </row>
    <row r="52">
      <c r="A52" s="7">
        <f>IFERROR(Datos!A52,"")</f>
        <v/>
      </c>
      <c r="B52" s="27">
        <f>IFERROR(IF(ISNUMBER(Datos!B52),Datos!B52/$F$2*100,NA()),NA())</f>
        <v/>
      </c>
      <c r="C52" s="27">
        <f>IFERROR(IF(ISNUMBER(Datos!C52),Datos!C52/$F$3*100,NA()),NA())</f>
        <v/>
      </c>
    </row>
    <row r="53">
      <c r="A53" s="7">
        <f>IFERROR(Datos!A53,"")</f>
        <v/>
      </c>
      <c r="B53" s="27">
        <f>IFERROR(IF(ISNUMBER(Datos!B53),Datos!B53/$F$2*100,NA()),NA())</f>
        <v/>
      </c>
      <c r="C53" s="27">
        <f>IFERROR(IF(ISNUMBER(Datos!C53),Datos!C53/$F$3*100,NA()),NA())</f>
        <v/>
      </c>
    </row>
    <row r="54">
      <c r="A54" s="7">
        <f>IFERROR(Datos!A54,"")</f>
        <v/>
      </c>
      <c r="B54" s="27">
        <f>IFERROR(IF(ISNUMBER(Datos!B54),Datos!B54/$F$2*100,NA()),NA())</f>
        <v/>
      </c>
      <c r="C54" s="27">
        <f>IFERROR(IF(ISNUMBER(Datos!C54),Datos!C54/$F$3*100,NA()),NA())</f>
        <v/>
      </c>
    </row>
    <row r="55">
      <c r="A55" s="7">
        <f>IFERROR(Datos!A55,"")</f>
        <v/>
      </c>
      <c r="B55" s="27">
        <f>IFERROR(IF(ISNUMBER(Datos!B55),Datos!B55/$F$2*100,NA()),NA())</f>
        <v/>
      </c>
      <c r="C55" s="27">
        <f>IFERROR(IF(ISNUMBER(Datos!C55),Datos!C55/$F$3*100,NA()),NA())</f>
        <v/>
      </c>
    </row>
    <row r="56">
      <c r="A56" s="7">
        <f>IFERROR(Datos!A56,"")</f>
        <v/>
      </c>
      <c r="B56" s="27">
        <f>IFERROR(IF(ISNUMBER(Datos!B56),Datos!B56/$F$2*100,NA()),NA())</f>
        <v/>
      </c>
      <c r="C56" s="27">
        <f>IFERROR(IF(ISNUMBER(Datos!C56),Datos!C56/$F$3*100,NA()),NA())</f>
        <v/>
      </c>
    </row>
    <row r="57">
      <c r="A57" s="7">
        <f>IFERROR(Datos!A57,"")</f>
        <v/>
      </c>
      <c r="B57" s="27">
        <f>IFERROR(IF(ISNUMBER(Datos!B57),Datos!B57/$F$2*100,NA()),NA())</f>
        <v/>
      </c>
      <c r="C57" s="27">
        <f>IFERROR(IF(ISNUMBER(Datos!C57),Datos!C57/$F$3*100,NA()),NA())</f>
        <v/>
      </c>
    </row>
    <row r="58">
      <c r="A58" s="7">
        <f>IFERROR(Datos!A58,"")</f>
        <v/>
      </c>
      <c r="B58" s="27">
        <f>IFERROR(IF(ISNUMBER(Datos!B58),Datos!B58/$F$2*100,NA()),NA())</f>
        <v/>
      </c>
      <c r="C58" s="27">
        <f>IFERROR(IF(ISNUMBER(Datos!C58),Datos!C58/$F$3*100,NA()),NA())</f>
        <v/>
      </c>
    </row>
    <row r="59">
      <c r="A59" s="7">
        <f>IFERROR(Datos!A59,"")</f>
        <v/>
      </c>
      <c r="B59" s="27">
        <f>IFERROR(IF(ISNUMBER(Datos!B59),Datos!B59/$F$2*100,NA()),NA())</f>
        <v/>
      </c>
      <c r="C59" s="27">
        <f>IFERROR(IF(ISNUMBER(Datos!C59),Datos!C59/$F$3*100,NA()),NA())</f>
        <v/>
      </c>
    </row>
    <row r="60">
      <c r="A60" s="7">
        <f>IFERROR(Datos!A60,"")</f>
        <v/>
      </c>
      <c r="B60" s="27">
        <f>IFERROR(IF(ISNUMBER(Datos!B60),Datos!B60/$F$2*100,NA()),NA())</f>
        <v/>
      </c>
      <c r="C60" s="27">
        <f>IFERROR(IF(ISNUMBER(Datos!C60),Datos!C60/$F$3*100,NA()),NA())</f>
        <v/>
      </c>
    </row>
    <row r="61">
      <c r="A61" s="7">
        <f>IFERROR(Datos!A61,"")</f>
        <v/>
      </c>
      <c r="B61" s="27">
        <f>IFERROR(IF(ISNUMBER(Datos!B61),Datos!B61/$F$2*100,NA()),NA())</f>
        <v/>
      </c>
      <c r="C61" s="27">
        <f>IFERROR(IF(ISNUMBER(Datos!C61),Datos!C61/$F$3*100,NA()),NA())</f>
        <v/>
      </c>
    </row>
    <row r="62">
      <c r="A62" s="7">
        <f>IFERROR(Datos!A62,"")</f>
        <v/>
      </c>
      <c r="B62" s="27">
        <f>IFERROR(IF(ISNUMBER(Datos!B62),Datos!B62/$F$2*100,NA()),NA())</f>
        <v/>
      </c>
      <c r="C62" s="27">
        <f>IFERROR(IF(ISNUMBER(Datos!C62),Datos!C62/$F$3*100,NA()),NA())</f>
        <v/>
      </c>
    </row>
    <row r="63">
      <c r="A63" s="7">
        <f>IFERROR(Datos!A63,"")</f>
        <v/>
      </c>
      <c r="B63" s="27">
        <f>IFERROR(IF(ISNUMBER(Datos!B63),Datos!B63/$F$2*100,NA()),NA())</f>
        <v/>
      </c>
      <c r="C63" s="27">
        <f>IFERROR(IF(ISNUMBER(Datos!C63),Datos!C63/$F$3*100,NA()),NA())</f>
        <v/>
      </c>
    </row>
    <row r="64">
      <c r="A64" s="7">
        <f>IFERROR(Datos!A64,"")</f>
        <v/>
      </c>
      <c r="B64" s="27">
        <f>IFERROR(IF(ISNUMBER(Datos!B64),Datos!B64/$F$2*100,NA()),NA())</f>
        <v/>
      </c>
      <c r="C64" s="27">
        <f>IFERROR(IF(ISNUMBER(Datos!C64),Datos!C64/$F$3*100,NA()),NA())</f>
        <v/>
      </c>
    </row>
    <row r="65">
      <c r="A65" s="7">
        <f>IFERROR(Datos!A65,"")</f>
        <v/>
      </c>
      <c r="B65" s="27">
        <f>IFERROR(IF(ISNUMBER(Datos!B65),Datos!B65/$F$2*100,NA()),NA())</f>
        <v/>
      </c>
      <c r="C65" s="27">
        <f>IFERROR(IF(ISNUMBER(Datos!C65),Datos!C65/$F$3*100,NA()),NA())</f>
        <v/>
      </c>
    </row>
    <row r="66">
      <c r="A66" s="7">
        <f>IFERROR(Datos!A66,"")</f>
        <v/>
      </c>
      <c r="B66" s="27">
        <f>IFERROR(IF(ISNUMBER(Datos!B66),Datos!B66/$F$2*100,NA()),NA())</f>
        <v/>
      </c>
      <c r="C66" s="27">
        <f>IFERROR(IF(ISNUMBER(Datos!C66),Datos!C66/$F$3*100,NA()),NA())</f>
        <v/>
      </c>
    </row>
    <row r="67">
      <c r="A67" s="7">
        <f>IFERROR(Datos!A67,"")</f>
        <v/>
      </c>
      <c r="B67" s="27">
        <f>IFERROR(IF(ISNUMBER(Datos!B67),Datos!B67/$F$2*100,NA()),NA())</f>
        <v/>
      </c>
      <c r="C67" s="27">
        <f>IFERROR(IF(ISNUMBER(Datos!C67),Datos!C67/$F$3*100,NA()),NA())</f>
        <v/>
      </c>
    </row>
    <row r="68">
      <c r="A68" s="7">
        <f>IFERROR(Datos!A68,"")</f>
        <v/>
      </c>
      <c r="B68" s="27">
        <f>IFERROR(IF(ISNUMBER(Datos!B68),Datos!B68/$F$2*100,NA()),NA())</f>
        <v/>
      </c>
      <c r="C68" s="27">
        <f>IFERROR(IF(ISNUMBER(Datos!C68),Datos!C68/$F$3*100,NA()),NA())</f>
        <v/>
      </c>
    </row>
    <row r="69">
      <c r="A69" s="7">
        <f>IFERROR(Datos!A69,"")</f>
        <v/>
      </c>
      <c r="B69" s="27">
        <f>IFERROR(IF(ISNUMBER(Datos!B69),Datos!B69/$F$2*100,NA()),NA())</f>
        <v/>
      </c>
      <c r="C69" s="27">
        <f>IFERROR(IF(ISNUMBER(Datos!C69),Datos!C69/$F$3*100,NA()),NA())</f>
        <v/>
      </c>
    </row>
    <row r="70">
      <c r="A70" s="7">
        <f>IFERROR(Datos!A70,"")</f>
        <v/>
      </c>
      <c r="B70" s="27">
        <f>IFERROR(IF(ISNUMBER(Datos!B70),Datos!B70/$F$2*100,NA()),NA())</f>
        <v/>
      </c>
      <c r="C70" s="27">
        <f>IFERROR(IF(ISNUMBER(Datos!C70),Datos!C70/$F$3*100,NA()),NA())</f>
        <v/>
      </c>
    </row>
    <row r="71">
      <c r="A71" s="7">
        <f>IFERROR(Datos!A71,"")</f>
        <v/>
      </c>
      <c r="B71" s="27">
        <f>IFERROR(IF(ISNUMBER(Datos!B71),Datos!B71/$F$2*100,NA()),NA())</f>
        <v/>
      </c>
      <c r="C71" s="27">
        <f>IFERROR(IF(ISNUMBER(Datos!C71),Datos!C71/$F$3*100,NA()),NA())</f>
        <v/>
      </c>
    </row>
    <row r="72">
      <c r="A72" s="7">
        <f>IFERROR(Datos!A72,"")</f>
        <v/>
      </c>
      <c r="B72" s="27">
        <f>IFERROR(IF(ISNUMBER(Datos!B72),Datos!B72/$F$2*100,NA()),NA())</f>
        <v/>
      </c>
      <c r="C72" s="27">
        <f>IFERROR(IF(ISNUMBER(Datos!C72),Datos!C72/$F$3*100,NA()),NA())</f>
        <v/>
      </c>
    </row>
    <row r="73">
      <c r="A73" s="7">
        <f>IFERROR(Datos!A73,"")</f>
        <v/>
      </c>
      <c r="B73" s="27">
        <f>IFERROR(IF(ISNUMBER(Datos!B73),Datos!B73/$F$2*100,NA()),NA())</f>
        <v/>
      </c>
      <c r="C73" s="27">
        <f>IFERROR(IF(ISNUMBER(Datos!C73),Datos!C73/$F$3*100,NA()),NA())</f>
        <v/>
      </c>
    </row>
    <row r="74">
      <c r="A74" s="7">
        <f>IFERROR(Datos!A74,"")</f>
        <v/>
      </c>
      <c r="B74" s="27">
        <f>IFERROR(IF(ISNUMBER(Datos!B74),Datos!B74/$F$2*100,NA()),NA())</f>
        <v/>
      </c>
      <c r="C74" s="27">
        <f>IFERROR(IF(ISNUMBER(Datos!C74),Datos!C74/$F$3*100,NA()),NA())</f>
        <v/>
      </c>
    </row>
    <row r="75">
      <c r="A75" s="7">
        <f>IFERROR(Datos!A75,"")</f>
        <v/>
      </c>
      <c r="B75" s="27">
        <f>IFERROR(IF(ISNUMBER(Datos!B75),Datos!B75/$F$2*100,NA()),NA())</f>
        <v/>
      </c>
      <c r="C75" s="27">
        <f>IFERROR(IF(ISNUMBER(Datos!C75),Datos!C75/$F$3*100,NA()),NA())</f>
        <v/>
      </c>
    </row>
    <row r="76">
      <c r="A76" s="7">
        <f>IFERROR(Datos!A76,"")</f>
        <v/>
      </c>
      <c r="B76" s="27">
        <f>IFERROR(IF(ISNUMBER(Datos!B76),Datos!B76/$F$2*100,NA()),NA())</f>
        <v/>
      </c>
      <c r="C76" s="27">
        <f>IFERROR(IF(ISNUMBER(Datos!C76),Datos!C76/$F$3*100,NA()),NA())</f>
        <v/>
      </c>
    </row>
    <row r="77">
      <c r="A77" s="7">
        <f>IFERROR(Datos!A77,"")</f>
        <v/>
      </c>
      <c r="B77" s="27">
        <f>IFERROR(IF(ISNUMBER(Datos!B77),Datos!B77/$F$2*100,NA()),NA())</f>
        <v/>
      </c>
      <c r="C77" s="27">
        <f>IFERROR(IF(ISNUMBER(Datos!C77),Datos!C77/$F$3*100,NA()),NA())</f>
        <v/>
      </c>
    </row>
    <row r="78">
      <c r="A78" s="7">
        <f>IFERROR(Datos!A78,"")</f>
        <v/>
      </c>
      <c r="B78" s="27">
        <f>IFERROR(IF(ISNUMBER(Datos!B78),Datos!B78/$F$2*100,NA()),NA())</f>
        <v/>
      </c>
      <c r="C78" s="27">
        <f>IFERROR(IF(ISNUMBER(Datos!C78),Datos!C78/$F$3*100,NA()),NA())</f>
        <v/>
      </c>
    </row>
    <row r="79">
      <c r="A79" s="7">
        <f>IFERROR(Datos!A79,"")</f>
        <v/>
      </c>
      <c r="B79" s="27">
        <f>IFERROR(IF(ISNUMBER(Datos!B79),Datos!B79/$F$2*100,NA()),NA())</f>
        <v/>
      </c>
      <c r="C79" s="27">
        <f>IFERROR(IF(ISNUMBER(Datos!C79),Datos!C79/$F$3*100,NA()),NA())</f>
        <v/>
      </c>
    </row>
    <row r="80">
      <c r="A80" s="7">
        <f>IFERROR(Datos!A80,"")</f>
        <v/>
      </c>
      <c r="B80" s="27">
        <f>IFERROR(IF(ISNUMBER(Datos!B80),Datos!B80/$F$2*100,NA()),NA())</f>
        <v/>
      </c>
      <c r="C80" s="27">
        <f>IFERROR(IF(ISNUMBER(Datos!C80),Datos!C80/$F$3*100,NA()),NA())</f>
        <v/>
      </c>
    </row>
    <row r="81">
      <c r="A81" s="7">
        <f>IFERROR(Datos!A81,"")</f>
        <v/>
      </c>
      <c r="B81" s="27">
        <f>IFERROR(IF(ISNUMBER(Datos!B81),Datos!B81/$F$2*100,NA()),NA())</f>
        <v/>
      </c>
      <c r="C81" s="27">
        <f>IFERROR(IF(ISNUMBER(Datos!C81),Datos!C81/$F$3*100,NA()),NA())</f>
        <v/>
      </c>
    </row>
    <row r="82">
      <c r="A82" s="7">
        <f>IFERROR(Datos!A82,"")</f>
        <v/>
      </c>
      <c r="B82" s="27">
        <f>IFERROR(IF(ISNUMBER(Datos!B82),Datos!B82/$F$2*100,NA()),NA())</f>
        <v/>
      </c>
      <c r="C82" s="27">
        <f>IFERROR(IF(ISNUMBER(Datos!C82),Datos!C82/$F$3*100,NA()),NA())</f>
        <v/>
      </c>
    </row>
    <row r="83">
      <c r="A83" s="7">
        <f>IFERROR(Datos!A83,"")</f>
        <v/>
      </c>
      <c r="B83" s="27">
        <f>IFERROR(IF(ISNUMBER(Datos!B83),Datos!B83/$F$2*100,NA()),NA())</f>
        <v/>
      </c>
      <c r="C83" s="27">
        <f>IFERROR(IF(ISNUMBER(Datos!C83),Datos!C83/$F$3*100,NA()),NA())</f>
        <v/>
      </c>
    </row>
    <row r="84">
      <c r="A84" s="7">
        <f>IFERROR(Datos!A84,"")</f>
        <v/>
      </c>
      <c r="B84" s="27">
        <f>IFERROR(IF(ISNUMBER(Datos!B84),Datos!B84/$F$2*100,NA()),NA())</f>
        <v/>
      </c>
      <c r="C84" s="27">
        <f>IFERROR(IF(ISNUMBER(Datos!C84),Datos!C84/$F$3*100,NA()),NA())</f>
        <v/>
      </c>
    </row>
    <row r="85">
      <c r="A85" s="7">
        <f>IFERROR(Datos!A85,"")</f>
        <v/>
      </c>
      <c r="B85" s="27">
        <f>IFERROR(IF(ISNUMBER(Datos!B85),Datos!B85/$F$2*100,NA()),NA())</f>
        <v/>
      </c>
      <c r="C85" s="27">
        <f>IFERROR(IF(ISNUMBER(Datos!C85),Datos!C85/$F$3*100,NA()),NA())</f>
        <v/>
      </c>
    </row>
    <row r="86">
      <c r="A86" s="7">
        <f>IFERROR(Datos!A86,"")</f>
        <v/>
      </c>
      <c r="B86" s="27">
        <f>IFERROR(IF(ISNUMBER(Datos!B86),Datos!B86/$F$2*100,NA()),NA())</f>
        <v/>
      </c>
      <c r="C86" s="27">
        <f>IFERROR(IF(ISNUMBER(Datos!C86),Datos!C86/$F$3*100,NA()),NA())</f>
        <v/>
      </c>
    </row>
    <row r="87">
      <c r="A87" s="7">
        <f>IFERROR(Datos!A87,"")</f>
        <v/>
      </c>
      <c r="B87" s="27">
        <f>IFERROR(IF(ISNUMBER(Datos!B87),Datos!B87/$F$2*100,NA()),NA())</f>
        <v/>
      </c>
      <c r="C87" s="27">
        <f>IFERROR(IF(ISNUMBER(Datos!C87),Datos!C87/$F$3*100,NA()),NA())</f>
        <v/>
      </c>
    </row>
    <row r="88">
      <c r="A88" s="7">
        <f>IFERROR(Datos!A88,"")</f>
        <v/>
      </c>
      <c r="B88" s="27">
        <f>IFERROR(IF(ISNUMBER(Datos!B88),Datos!B88/$F$2*100,NA()),NA())</f>
        <v/>
      </c>
      <c r="C88" s="27">
        <f>IFERROR(IF(ISNUMBER(Datos!C88),Datos!C88/$F$3*100,NA()),NA())</f>
        <v/>
      </c>
    </row>
    <row r="89">
      <c r="A89" s="7">
        <f>IFERROR(Datos!A89,"")</f>
        <v/>
      </c>
      <c r="B89" s="27">
        <f>IFERROR(IF(ISNUMBER(Datos!B89),Datos!B89/$F$2*100,NA()),NA())</f>
        <v/>
      </c>
      <c r="C89" s="27">
        <f>IFERROR(IF(ISNUMBER(Datos!C89),Datos!C89/$F$3*100,NA()),NA())</f>
        <v/>
      </c>
    </row>
    <row r="90">
      <c r="A90" s="7">
        <f>IFERROR(Datos!A90,"")</f>
        <v/>
      </c>
      <c r="B90" s="27">
        <f>IFERROR(IF(ISNUMBER(Datos!B90),Datos!B90/$F$2*100,NA()),NA())</f>
        <v/>
      </c>
      <c r="C90" s="27">
        <f>IFERROR(IF(ISNUMBER(Datos!C90),Datos!C90/$F$3*100,NA()),NA())</f>
        <v/>
      </c>
    </row>
    <row r="91">
      <c r="A91" s="7">
        <f>IFERROR(Datos!A91,"")</f>
        <v/>
      </c>
      <c r="B91" s="27">
        <f>IFERROR(IF(ISNUMBER(Datos!B91),Datos!B91/$F$2*100,NA()),NA())</f>
        <v/>
      </c>
      <c r="C91" s="27">
        <f>IFERROR(IF(ISNUMBER(Datos!C91),Datos!C91/$F$3*100,NA()),NA())</f>
        <v/>
      </c>
    </row>
    <row r="92">
      <c r="A92" s="7">
        <f>IFERROR(Datos!A92,"")</f>
        <v/>
      </c>
      <c r="B92" s="27">
        <f>IFERROR(IF(ISNUMBER(Datos!B92),Datos!B92/$F$2*100,NA()),NA())</f>
        <v/>
      </c>
      <c r="C92" s="27">
        <f>IFERROR(IF(ISNUMBER(Datos!C92),Datos!C92/$F$3*100,NA()),NA())</f>
        <v/>
      </c>
    </row>
    <row r="93">
      <c r="A93" s="7">
        <f>IFERROR(Datos!A93,"")</f>
        <v/>
      </c>
      <c r="B93" s="27">
        <f>IFERROR(IF(ISNUMBER(Datos!B93),Datos!B93/$F$2*100,NA()),NA())</f>
        <v/>
      </c>
      <c r="C93" s="27">
        <f>IFERROR(IF(ISNUMBER(Datos!C93),Datos!C93/$F$3*100,NA()),NA())</f>
        <v/>
      </c>
    </row>
    <row r="94">
      <c r="A94" s="7">
        <f>IFERROR(Datos!A94,"")</f>
        <v/>
      </c>
      <c r="B94" s="27">
        <f>IFERROR(IF(ISNUMBER(Datos!B94),Datos!B94/$F$2*100,NA()),NA())</f>
        <v/>
      </c>
      <c r="C94" s="27">
        <f>IFERROR(IF(ISNUMBER(Datos!C94),Datos!C94/$F$3*100,NA()),NA())</f>
        <v/>
      </c>
    </row>
    <row r="95">
      <c r="A95" s="7">
        <f>IFERROR(Datos!A95,"")</f>
        <v/>
      </c>
      <c r="B95" s="27">
        <f>IFERROR(IF(ISNUMBER(Datos!B95),Datos!B95/$F$2*100,NA()),NA())</f>
        <v/>
      </c>
      <c r="C95" s="27">
        <f>IFERROR(IF(ISNUMBER(Datos!C95),Datos!C95/$F$3*100,NA()),NA())</f>
        <v/>
      </c>
    </row>
    <row r="96">
      <c r="A96" s="7">
        <f>IFERROR(Datos!A96,"")</f>
        <v/>
      </c>
      <c r="B96" s="27">
        <f>IFERROR(IF(ISNUMBER(Datos!B96),Datos!B96/$F$2*100,NA()),NA())</f>
        <v/>
      </c>
      <c r="C96" s="27">
        <f>IFERROR(IF(ISNUMBER(Datos!C96),Datos!C96/$F$3*100,NA()),NA())</f>
        <v/>
      </c>
    </row>
    <row r="97">
      <c r="A97" s="7">
        <f>IFERROR(Datos!A97,"")</f>
        <v/>
      </c>
      <c r="B97" s="27">
        <f>IFERROR(IF(ISNUMBER(Datos!B97),Datos!B97/$F$2*100,NA()),NA())</f>
        <v/>
      </c>
      <c r="C97" s="27">
        <f>IFERROR(IF(ISNUMBER(Datos!C97),Datos!C97/$F$3*100,NA()),NA())</f>
        <v/>
      </c>
    </row>
    <row r="98">
      <c r="A98" s="7">
        <f>IFERROR(Datos!A98,"")</f>
        <v/>
      </c>
      <c r="B98" s="27">
        <f>IFERROR(IF(ISNUMBER(Datos!B98),Datos!B98/$F$2*100,NA()),NA())</f>
        <v/>
      </c>
      <c r="C98" s="27">
        <f>IFERROR(IF(ISNUMBER(Datos!C98),Datos!C98/$F$3*100,NA()),NA())</f>
        <v/>
      </c>
    </row>
    <row r="99">
      <c r="A99" s="7">
        <f>IFERROR(Datos!A99,"")</f>
        <v/>
      </c>
      <c r="B99" s="27">
        <f>IFERROR(IF(ISNUMBER(Datos!B99),Datos!B99/$F$2*100,NA()),NA())</f>
        <v/>
      </c>
      <c r="C99" s="27">
        <f>IFERROR(IF(ISNUMBER(Datos!C99),Datos!C99/$F$3*100,NA()),NA())</f>
        <v/>
      </c>
    </row>
    <row r="100">
      <c r="A100" s="7">
        <f>IFERROR(Datos!A100,"")</f>
        <v/>
      </c>
      <c r="B100" s="27">
        <f>IFERROR(IF(ISNUMBER(Datos!B100),Datos!B100/$F$2*100,NA()),NA())</f>
        <v/>
      </c>
      <c r="C100" s="27">
        <f>IFERROR(IF(ISNUMBER(Datos!C100),Datos!C100/$F$3*100,NA()),NA())</f>
        <v/>
      </c>
    </row>
    <row r="101">
      <c r="A101" s="7">
        <f>IFERROR(Datos!A101,"")</f>
        <v/>
      </c>
      <c r="B101" s="27">
        <f>IFERROR(IF(ISNUMBER(Datos!B101),Datos!B101/$F$2*100,NA()),NA())</f>
        <v/>
      </c>
      <c r="C101" s="27">
        <f>IFERROR(IF(ISNUMBER(Datos!C101),Datos!C101/$F$3*100,NA()),NA())</f>
        <v/>
      </c>
    </row>
    <row r="102">
      <c r="A102" s="7">
        <f>IFERROR(Datos!A102,"")</f>
        <v/>
      </c>
      <c r="B102" s="27">
        <f>IFERROR(IF(ISNUMBER(Datos!B102),Datos!B102/$F$2*100,NA()),NA())</f>
        <v/>
      </c>
      <c r="C102" s="27">
        <f>IFERROR(IF(ISNUMBER(Datos!C102),Datos!C102/$F$3*100,NA()),NA())</f>
        <v/>
      </c>
    </row>
    <row r="103">
      <c r="A103" s="7">
        <f>IFERROR(Datos!A103,"")</f>
        <v/>
      </c>
      <c r="B103" s="27">
        <f>IFERROR(IF(ISNUMBER(Datos!B103),Datos!B103/$F$2*100,NA()),NA())</f>
        <v/>
      </c>
      <c r="C103" s="27">
        <f>IFERROR(IF(ISNUMBER(Datos!C103),Datos!C103/$F$3*100,NA()),NA())</f>
        <v/>
      </c>
    </row>
    <row r="104">
      <c r="A104" s="7">
        <f>IFERROR(Datos!A104,"")</f>
        <v/>
      </c>
      <c r="B104" s="27">
        <f>IFERROR(IF(ISNUMBER(Datos!B104),Datos!B104/$F$2*100,NA()),NA())</f>
        <v/>
      </c>
      <c r="C104" s="27">
        <f>IFERROR(IF(ISNUMBER(Datos!C104),Datos!C104/$F$3*100,NA()),NA())</f>
        <v/>
      </c>
    </row>
    <row r="105">
      <c r="A105" s="7">
        <f>IFERROR(Datos!A105,"")</f>
        <v/>
      </c>
      <c r="B105" s="27">
        <f>IFERROR(IF(ISNUMBER(Datos!B105),Datos!B105/$F$2*100,NA()),NA())</f>
        <v/>
      </c>
      <c r="C105" s="27">
        <f>IFERROR(IF(ISNUMBER(Datos!C105),Datos!C105/$F$3*100,NA()),NA())</f>
        <v/>
      </c>
    </row>
    <row r="106">
      <c r="A106" s="7">
        <f>IFERROR(Datos!A106,"")</f>
        <v/>
      </c>
      <c r="B106" s="27">
        <f>IFERROR(IF(ISNUMBER(Datos!B106),Datos!B106/$F$2*100,NA()),NA())</f>
        <v/>
      </c>
      <c r="C106" s="27">
        <f>IFERROR(IF(ISNUMBER(Datos!C106),Datos!C106/$F$3*100,NA()),NA())</f>
        <v/>
      </c>
    </row>
    <row r="107">
      <c r="A107" s="7">
        <f>IFERROR(Datos!A107,"")</f>
        <v/>
      </c>
      <c r="B107" s="27">
        <f>IFERROR(IF(ISNUMBER(Datos!B107),Datos!B107/$F$2*100,NA()),NA())</f>
        <v/>
      </c>
      <c r="C107" s="27">
        <f>IFERROR(IF(ISNUMBER(Datos!C107),Datos!C107/$F$3*100,NA()),NA())</f>
        <v/>
      </c>
    </row>
    <row r="108">
      <c r="A108" s="7">
        <f>IFERROR(Datos!A108,"")</f>
        <v/>
      </c>
      <c r="B108" s="27">
        <f>IFERROR(IF(ISNUMBER(Datos!B108),Datos!B108/$F$2*100,NA()),NA())</f>
        <v/>
      </c>
      <c r="C108" s="27">
        <f>IFERROR(IF(ISNUMBER(Datos!C108),Datos!C108/$F$3*100,NA()),NA())</f>
        <v/>
      </c>
    </row>
    <row r="109">
      <c r="A109" s="7">
        <f>IFERROR(Datos!A109,"")</f>
        <v/>
      </c>
      <c r="B109" s="27">
        <f>IFERROR(IF(ISNUMBER(Datos!B109),Datos!B109/$F$2*100,NA()),NA())</f>
        <v/>
      </c>
      <c r="C109" s="27">
        <f>IFERROR(IF(ISNUMBER(Datos!C109),Datos!C109/$F$3*100,NA()),NA())</f>
        <v/>
      </c>
    </row>
    <row r="110">
      <c r="A110" s="7">
        <f>IFERROR(Datos!A110,"")</f>
        <v/>
      </c>
      <c r="B110" s="27">
        <f>IFERROR(IF(ISNUMBER(Datos!B110),Datos!B110/$F$2*100,NA()),NA())</f>
        <v/>
      </c>
      <c r="C110" s="27">
        <f>IFERROR(IF(ISNUMBER(Datos!C110),Datos!C110/$F$3*100,NA()),NA())</f>
        <v/>
      </c>
    </row>
    <row r="111">
      <c r="A111" s="7">
        <f>IFERROR(Datos!A111,"")</f>
        <v/>
      </c>
      <c r="B111" s="27">
        <f>IFERROR(IF(ISNUMBER(Datos!B111),Datos!B111/$F$2*100,NA()),NA())</f>
        <v/>
      </c>
      <c r="C111" s="27">
        <f>IFERROR(IF(ISNUMBER(Datos!C111),Datos!C111/$F$3*100,NA()),NA())</f>
        <v/>
      </c>
    </row>
    <row r="112">
      <c r="A112" s="7">
        <f>IFERROR(Datos!A112,"")</f>
        <v/>
      </c>
      <c r="B112" s="27">
        <f>IFERROR(IF(ISNUMBER(Datos!B112),Datos!B112/$F$2*100,NA()),NA())</f>
        <v/>
      </c>
      <c r="C112" s="27">
        <f>IFERROR(IF(ISNUMBER(Datos!C112),Datos!C112/$F$3*100,NA()),NA())</f>
        <v/>
      </c>
    </row>
    <row r="113">
      <c r="A113" s="7">
        <f>IFERROR(Datos!A113,"")</f>
        <v/>
      </c>
      <c r="B113" s="27">
        <f>IFERROR(IF(ISNUMBER(Datos!B113),Datos!B113/$F$2*100,NA()),NA())</f>
        <v/>
      </c>
      <c r="C113" s="27">
        <f>IFERROR(IF(ISNUMBER(Datos!C113),Datos!C113/$F$3*100,NA()),NA())</f>
        <v/>
      </c>
    </row>
    <row r="114">
      <c r="A114" s="7">
        <f>IFERROR(Datos!A114,"")</f>
        <v/>
      </c>
      <c r="B114" s="27">
        <f>IFERROR(IF(ISNUMBER(Datos!B114),Datos!B114/$F$2*100,NA()),NA())</f>
        <v/>
      </c>
      <c r="C114" s="27">
        <f>IFERROR(IF(ISNUMBER(Datos!C114),Datos!C114/$F$3*100,NA()),NA())</f>
        <v/>
      </c>
    </row>
    <row r="115">
      <c r="A115" s="7">
        <f>IFERROR(Datos!A115,"")</f>
        <v/>
      </c>
      <c r="B115" s="27">
        <f>IFERROR(IF(ISNUMBER(Datos!B115),Datos!B115/$F$2*100,NA()),NA())</f>
        <v/>
      </c>
      <c r="C115" s="27">
        <f>IFERROR(IF(ISNUMBER(Datos!C115),Datos!C115/$F$3*100,NA()),NA())</f>
        <v/>
      </c>
    </row>
    <row r="116">
      <c r="A116" s="7">
        <f>IFERROR(Datos!A116,"")</f>
        <v/>
      </c>
      <c r="B116" s="27">
        <f>IFERROR(IF(ISNUMBER(Datos!B116),Datos!B116/$F$2*100,NA()),NA())</f>
        <v/>
      </c>
      <c r="C116" s="27">
        <f>IFERROR(IF(ISNUMBER(Datos!C116),Datos!C116/$F$3*100,NA()),NA())</f>
        <v/>
      </c>
    </row>
    <row r="117">
      <c r="A117" s="7">
        <f>IFERROR(Datos!A117,"")</f>
        <v/>
      </c>
      <c r="B117" s="27">
        <f>IFERROR(IF(ISNUMBER(Datos!B117),Datos!B117/$F$2*100,NA()),NA())</f>
        <v/>
      </c>
      <c r="C117" s="27">
        <f>IFERROR(IF(ISNUMBER(Datos!C117),Datos!C117/$F$3*100,NA()),NA())</f>
        <v/>
      </c>
    </row>
    <row r="118">
      <c r="A118" s="7">
        <f>IFERROR(Datos!A118,"")</f>
        <v/>
      </c>
      <c r="B118" s="27">
        <f>IFERROR(IF(ISNUMBER(Datos!B118),Datos!B118/$F$2*100,NA()),NA())</f>
        <v/>
      </c>
      <c r="C118" s="27">
        <f>IFERROR(IF(ISNUMBER(Datos!C118),Datos!C118/$F$3*100,NA()),NA())</f>
        <v/>
      </c>
    </row>
    <row r="119">
      <c r="A119" s="7">
        <f>IFERROR(Datos!A119,"")</f>
        <v/>
      </c>
      <c r="B119" s="27">
        <f>IFERROR(IF(ISNUMBER(Datos!B119),Datos!B119/$F$2*100,NA()),NA())</f>
        <v/>
      </c>
      <c r="C119" s="27">
        <f>IFERROR(IF(ISNUMBER(Datos!C119),Datos!C119/$F$3*100,NA()),NA())</f>
        <v/>
      </c>
    </row>
    <row r="120">
      <c r="A120" s="7">
        <f>IFERROR(Datos!A120,"")</f>
        <v/>
      </c>
      <c r="B120" s="27">
        <f>IFERROR(IF(ISNUMBER(Datos!B120),Datos!B120/$F$2*100,NA()),NA())</f>
        <v/>
      </c>
      <c r="C120" s="27">
        <f>IFERROR(IF(ISNUMBER(Datos!C120),Datos!C120/$F$3*100,NA()),NA())</f>
        <v/>
      </c>
    </row>
    <row r="121">
      <c r="A121" s="7">
        <f>IFERROR(Datos!A121,"")</f>
        <v/>
      </c>
      <c r="B121" s="27">
        <f>IFERROR(IF(ISNUMBER(Datos!B121),Datos!B121/$F$2*100,NA()),NA())</f>
        <v/>
      </c>
      <c r="C121" s="27">
        <f>IFERROR(IF(ISNUMBER(Datos!C121),Datos!C121/$F$3*100,NA()),NA())</f>
        <v/>
      </c>
    </row>
    <row r="122">
      <c r="A122" s="7">
        <f>IFERROR(Datos!A122,"")</f>
        <v/>
      </c>
      <c r="B122" s="27">
        <f>IFERROR(IF(ISNUMBER(Datos!B122),Datos!B122/$F$2*100,NA()),NA())</f>
        <v/>
      </c>
      <c r="C122" s="27">
        <f>IFERROR(IF(ISNUMBER(Datos!C122),Datos!C122/$F$3*100,NA()),NA())</f>
        <v/>
      </c>
    </row>
    <row r="123">
      <c r="A123" s="7">
        <f>IFERROR(Datos!A123,"")</f>
        <v/>
      </c>
      <c r="B123" s="27">
        <f>IFERROR(IF(ISNUMBER(Datos!B123),Datos!B123/$F$2*100,NA()),NA())</f>
        <v/>
      </c>
      <c r="C123" s="27">
        <f>IFERROR(IF(ISNUMBER(Datos!C123),Datos!C123/$F$3*100,NA()),NA())</f>
        <v/>
      </c>
    </row>
    <row r="124">
      <c r="A124" s="7">
        <f>IFERROR(Datos!A124,"")</f>
        <v/>
      </c>
      <c r="B124" s="27">
        <f>IFERROR(IF(ISNUMBER(Datos!B124),Datos!B124/$F$2*100,NA()),NA())</f>
        <v/>
      </c>
      <c r="C124" s="27">
        <f>IFERROR(IF(ISNUMBER(Datos!C124),Datos!C124/$F$3*100,NA()),NA())</f>
        <v/>
      </c>
    </row>
    <row r="125">
      <c r="A125" s="7">
        <f>IFERROR(Datos!A125,"")</f>
        <v/>
      </c>
      <c r="B125" s="27">
        <f>IFERROR(IF(ISNUMBER(Datos!B125),Datos!B125/$F$2*100,NA()),NA())</f>
        <v/>
      </c>
      <c r="C125" s="27">
        <f>IFERROR(IF(ISNUMBER(Datos!C125),Datos!C125/$F$3*100,NA()),NA())</f>
        <v/>
      </c>
    </row>
    <row r="126">
      <c r="A126" s="7">
        <f>IFERROR(Datos!A126,"")</f>
        <v/>
      </c>
      <c r="B126" s="27">
        <f>IFERROR(IF(ISNUMBER(Datos!B126),Datos!B126/$F$2*100,NA()),NA())</f>
        <v/>
      </c>
      <c r="C126" s="27">
        <f>IFERROR(IF(ISNUMBER(Datos!C126),Datos!C126/$F$3*100,NA()),NA())</f>
        <v/>
      </c>
    </row>
    <row r="127">
      <c r="A127" s="7">
        <f>IFERROR(Datos!A127,"")</f>
        <v/>
      </c>
      <c r="B127" s="27">
        <f>IFERROR(IF(ISNUMBER(Datos!B127),Datos!B127/$F$2*100,NA()),NA())</f>
        <v/>
      </c>
      <c r="C127" s="27">
        <f>IFERROR(IF(ISNUMBER(Datos!C127),Datos!C127/$F$3*100,NA()),NA())</f>
        <v/>
      </c>
    </row>
    <row r="128">
      <c r="A128" s="7">
        <f>IFERROR(Datos!A128,"")</f>
        <v/>
      </c>
      <c r="B128" s="27">
        <f>IFERROR(IF(ISNUMBER(Datos!B128),Datos!B128/$F$2*100,NA()),NA())</f>
        <v/>
      </c>
      <c r="C128" s="27">
        <f>IFERROR(IF(ISNUMBER(Datos!C128),Datos!C128/$F$3*100,NA()),NA())</f>
        <v/>
      </c>
    </row>
    <row r="129">
      <c r="A129" s="7">
        <f>IFERROR(Datos!A129,"")</f>
        <v/>
      </c>
      <c r="B129" s="27">
        <f>IFERROR(IF(ISNUMBER(Datos!B129),Datos!B129/$F$2*100,NA()),NA())</f>
        <v/>
      </c>
      <c r="C129" s="27">
        <f>IFERROR(IF(ISNUMBER(Datos!C129),Datos!C129/$F$3*100,NA()),NA())</f>
        <v/>
      </c>
    </row>
    <row r="130">
      <c r="A130" s="7">
        <f>IFERROR(Datos!A130,"")</f>
        <v/>
      </c>
      <c r="B130" s="27">
        <f>IFERROR(IF(ISNUMBER(Datos!B130),Datos!B130/$F$2*100,NA()),NA())</f>
        <v/>
      </c>
      <c r="C130" s="27">
        <f>IFERROR(IF(ISNUMBER(Datos!C130),Datos!C130/$F$3*100,NA()),NA())</f>
        <v/>
      </c>
    </row>
    <row r="131">
      <c r="A131" s="7">
        <f>IFERROR(Datos!A131,"")</f>
        <v/>
      </c>
      <c r="B131" s="27">
        <f>IFERROR(IF(ISNUMBER(Datos!B131),Datos!B131/$F$2*100,NA()),NA())</f>
        <v/>
      </c>
      <c r="C131" s="27">
        <f>IFERROR(IF(ISNUMBER(Datos!C131),Datos!C131/$F$3*100,NA()),NA())</f>
        <v/>
      </c>
    </row>
    <row r="132">
      <c r="A132" s="7">
        <f>IFERROR(Datos!A132,"")</f>
        <v/>
      </c>
      <c r="B132" s="27">
        <f>IFERROR(IF(ISNUMBER(Datos!B132),Datos!B132/$F$2*100,NA()),NA())</f>
        <v/>
      </c>
      <c r="C132" s="27">
        <f>IFERROR(IF(ISNUMBER(Datos!C132),Datos!C132/$F$3*100,NA()),NA())</f>
        <v/>
      </c>
    </row>
    <row r="133">
      <c r="A133" s="7">
        <f>IFERROR(Datos!A133,"")</f>
        <v/>
      </c>
      <c r="B133" s="27">
        <f>IFERROR(IF(ISNUMBER(Datos!B133),Datos!B133/$F$2*100,NA()),NA())</f>
        <v/>
      </c>
      <c r="C133" s="27">
        <f>IFERROR(IF(ISNUMBER(Datos!C133),Datos!C133/$F$3*100,NA()),NA())</f>
        <v/>
      </c>
    </row>
    <row r="134">
      <c r="A134" s="7">
        <f>IFERROR(Datos!A134,"")</f>
        <v/>
      </c>
      <c r="B134" s="27">
        <f>IFERROR(IF(ISNUMBER(Datos!B134),Datos!B134/$F$2*100,NA()),NA())</f>
        <v/>
      </c>
      <c r="C134" s="27">
        <f>IFERROR(IF(ISNUMBER(Datos!C134),Datos!C134/$F$3*100,NA()),NA())</f>
        <v/>
      </c>
    </row>
    <row r="135">
      <c r="A135" s="7">
        <f>IFERROR(Datos!A135,"")</f>
        <v/>
      </c>
      <c r="B135" s="27">
        <f>IFERROR(IF(ISNUMBER(Datos!B135),Datos!B135/$F$2*100,NA()),NA())</f>
        <v/>
      </c>
      <c r="C135" s="27">
        <f>IFERROR(IF(ISNUMBER(Datos!C135),Datos!C135/$F$3*100,NA()),NA())</f>
        <v/>
      </c>
    </row>
    <row r="136">
      <c r="A136" s="7">
        <f>IFERROR(Datos!A136,"")</f>
        <v/>
      </c>
      <c r="B136" s="27">
        <f>IFERROR(IF(ISNUMBER(Datos!B136),Datos!B136/$F$2*100,NA()),NA())</f>
        <v/>
      </c>
      <c r="C136" s="27">
        <f>IFERROR(IF(ISNUMBER(Datos!C136),Datos!C136/$F$3*100,NA()),NA())</f>
        <v/>
      </c>
    </row>
    <row r="137">
      <c r="A137" s="7">
        <f>IFERROR(Datos!A137,"")</f>
        <v/>
      </c>
      <c r="B137" s="27">
        <f>IFERROR(IF(ISNUMBER(Datos!B137),Datos!B137/$F$2*100,NA()),NA())</f>
        <v/>
      </c>
      <c r="C137" s="27">
        <f>IFERROR(IF(ISNUMBER(Datos!C137),Datos!C137/$F$3*100,NA()),NA())</f>
        <v/>
      </c>
    </row>
    <row r="138">
      <c r="A138" s="7">
        <f>IFERROR(Datos!A138,"")</f>
        <v/>
      </c>
      <c r="B138" s="27">
        <f>IFERROR(IF(ISNUMBER(Datos!B138),Datos!B138/$F$2*100,NA()),NA())</f>
        <v/>
      </c>
      <c r="C138" s="27">
        <f>IFERROR(IF(ISNUMBER(Datos!C138),Datos!C138/$F$3*100,NA()),NA())</f>
        <v/>
      </c>
    </row>
    <row r="139">
      <c r="A139" s="7">
        <f>IFERROR(Datos!A139,"")</f>
        <v/>
      </c>
      <c r="B139" s="27">
        <f>IFERROR(IF(ISNUMBER(Datos!B139),Datos!B139/$F$2*100,NA()),NA())</f>
        <v/>
      </c>
      <c r="C139" s="27">
        <f>IFERROR(IF(ISNUMBER(Datos!C139),Datos!C139/$F$3*100,NA()),NA())</f>
        <v/>
      </c>
    </row>
    <row r="140">
      <c r="A140" s="7">
        <f>IFERROR(Datos!A140,"")</f>
        <v/>
      </c>
      <c r="B140" s="27">
        <f>IFERROR(IF(ISNUMBER(Datos!B140),Datos!B140/$F$2*100,NA()),NA())</f>
        <v/>
      </c>
      <c r="C140" s="27">
        <f>IFERROR(IF(ISNUMBER(Datos!C140),Datos!C140/$F$3*100,NA()),NA())</f>
        <v/>
      </c>
    </row>
    <row r="141">
      <c r="A141" s="7">
        <f>IFERROR(Datos!A141,"")</f>
        <v/>
      </c>
      <c r="B141" s="27">
        <f>IFERROR(IF(ISNUMBER(Datos!B141),Datos!B141/$F$2*100,NA()),NA())</f>
        <v/>
      </c>
      <c r="C141" s="27">
        <f>IFERROR(IF(ISNUMBER(Datos!C141),Datos!C141/$F$3*100,NA()),NA())</f>
        <v/>
      </c>
    </row>
    <row r="142">
      <c r="A142" s="7">
        <f>IFERROR(Datos!A142,"")</f>
        <v/>
      </c>
      <c r="B142" s="27">
        <f>IFERROR(IF(ISNUMBER(Datos!B142),Datos!B142/$F$2*100,NA()),NA())</f>
        <v/>
      </c>
      <c r="C142" s="27">
        <f>IFERROR(IF(ISNUMBER(Datos!C142),Datos!C142/$F$3*100,NA()),NA())</f>
        <v/>
      </c>
    </row>
    <row r="143">
      <c r="A143" s="7">
        <f>IFERROR(Datos!A143,"")</f>
        <v/>
      </c>
      <c r="B143" s="27">
        <f>IFERROR(IF(ISNUMBER(Datos!B143),Datos!B143/$F$2*100,NA()),NA())</f>
        <v/>
      </c>
      <c r="C143" s="27">
        <f>IFERROR(IF(ISNUMBER(Datos!C143),Datos!C143/$F$3*100,NA()),NA())</f>
        <v/>
      </c>
    </row>
    <row r="144">
      <c r="A144" s="7">
        <f>IFERROR(Datos!A144,"")</f>
        <v/>
      </c>
      <c r="B144" s="27">
        <f>IFERROR(IF(ISNUMBER(Datos!B144),Datos!B144/$F$2*100,NA()),NA())</f>
        <v/>
      </c>
      <c r="C144" s="27">
        <f>IFERROR(IF(ISNUMBER(Datos!C144),Datos!C144/$F$3*100,NA()),NA())</f>
        <v/>
      </c>
    </row>
    <row r="145">
      <c r="A145" s="7">
        <f>IFERROR(Datos!A145,"")</f>
        <v/>
      </c>
      <c r="B145" s="27">
        <f>IFERROR(IF(ISNUMBER(Datos!B145),Datos!B145/$F$2*100,NA()),NA())</f>
        <v/>
      </c>
      <c r="C145" s="27">
        <f>IFERROR(IF(ISNUMBER(Datos!C145),Datos!C145/$F$3*100,NA()),NA())</f>
        <v/>
      </c>
    </row>
    <row r="146">
      <c r="A146" s="7">
        <f>IFERROR(Datos!A146,"")</f>
        <v/>
      </c>
      <c r="B146" s="27">
        <f>IFERROR(IF(ISNUMBER(Datos!B146),Datos!B146/$F$2*100,NA()),NA())</f>
        <v/>
      </c>
      <c r="C146" s="27">
        <f>IFERROR(IF(ISNUMBER(Datos!C146),Datos!C146/$F$3*100,NA()),NA())</f>
        <v/>
      </c>
    </row>
    <row r="147">
      <c r="A147" s="7">
        <f>IFERROR(Datos!A147,"")</f>
        <v/>
      </c>
      <c r="B147" s="27">
        <f>IFERROR(IF(ISNUMBER(Datos!B147),Datos!B147/$F$2*100,NA()),NA())</f>
        <v/>
      </c>
      <c r="C147" s="27">
        <f>IFERROR(IF(ISNUMBER(Datos!C147),Datos!C147/$F$3*100,NA()),NA())</f>
        <v/>
      </c>
    </row>
    <row r="148">
      <c r="A148" s="7">
        <f>IFERROR(Datos!A148,"")</f>
        <v/>
      </c>
      <c r="B148" s="27">
        <f>IFERROR(IF(ISNUMBER(Datos!B148),Datos!B148/$F$2*100,NA()),NA())</f>
        <v/>
      </c>
      <c r="C148" s="27">
        <f>IFERROR(IF(ISNUMBER(Datos!C148),Datos!C148/$F$3*100,NA()),NA())</f>
        <v/>
      </c>
    </row>
    <row r="149">
      <c r="A149" s="7">
        <f>IFERROR(Datos!A149,"")</f>
        <v/>
      </c>
      <c r="B149" s="27">
        <f>IFERROR(IF(ISNUMBER(Datos!B149),Datos!B149/$F$2*100,NA()),NA())</f>
        <v/>
      </c>
      <c r="C149" s="27">
        <f>IFERROR(IF(ISNUMBER(Datos!C149),Datos!C149/$F$3*100,NA()),NA())</f>
        <v/>
      </c>
    </row>
    <row r="150">
      <c r="A150" s="7">
        <f>IFERROR(Datos!A150,"")</f>
        <v/>
      </c>
      <c r="B150" s="27">
        <f>IFERROR(IF(ISNUMBER(Datos!B150),Datos!B150/$F$2*100,NA()),NA())</f>
        <v/>
      </c>
      <c r="C150" s="27">
        <f>IFERROR(IF(ISNUMBER(Datos!C150),Datos!C150/$F$3*100,NA()),NA())</f>
        <v/>
      </c>
    </row>
    <row r="151">
      <c r="A151" s="7">
        <f>IFERROR(Datos!A151,"")</f>
        <v/>
      </c>
      <c r="B151" s="27">
        <f>IFERROR(IF(ISNUMBER(Datos!B151),Datos!B151/$F$2*100,NA()),NA())</f>
        <v/>
      </c>
      <c r="C151" s="27">
        <f>IFERROR(IF(ISNUMBER(Datos!C151),Datos!C151/$F$3*100,NA()),NA())</f>
        <v/>
      </c>
    </row>
    <row r="152">
      <c r="A152" s="7">
        <f>IFERROR(Datos!A152,"")</f>
        <v/>
      </c>
      <c r="B152" s="27">
        <f>IFERROR(IF(ISNUMBER(Datos!B152),Datos!B152/$F$2*100,NA()),NA())</f>
        <v/>
      </c>
      <c r="C152" s="27">
        <f>IFERROR(IF(ISNUMBER(Datos!C152),Datos!C152/$F$3*100,NA()),NA())</f>
        <v/>
      </c>
    </row>
    <row r="153">
      <c r="A153" s="7">
        <f>IFERROR(Datos!A153,"")</f>
        <v/>
      </c>
      <c r="B153" s="27">
        <f>IFERROR(IF(ISNUMBER(Datos!B153),Datos!B153/$F$2*100,NA()),NA())</f>
        <v/>
      </c>
      <c r="C153" s="27">
        <f>IFERROR(IF(ISNUMBER(Datos!C153),Datos!C153/$F$3*100,NA()),NA())</f>
        <v/>
      </c>
    </row>
    <row r="154">
      <c r="A154" s="7">
        <f>IFERROR(Datos!A154,"")</f>
        <v/>
      </c>
      <c r="B154" s="27">
        <f>IFERROR(IF(ISNUMBER(Datos!B154),Datos!B154/$F$2*100,NA()),NA())</f>
        <v/>
      </c>
      <c r="C154" s="27">
        <f>IFERROR(IF(ISNUMBER(Datos!C154),Datos!C154/$F$3*100,NA()),NA())</f>
        <v/>
      </c>
    </row>
    <row r="155">
      <c r="A155" s="7">
        <f>IFERROR(Datos!A155,"")</f>
        <v/>
      </c>
      <c r="B155" s="27">
        <f>IFERROR(IF(ISNUMBER(Datos!B155),Datos!B155/$F$2*100,NA()),NA())</f>
        <v/>
      </c>
      <c r="C155" s="27">
        <f>IFERROR(IF(ISNUMBER(Datos!C155),Datos!C155/$F$3*100,NA()),NA())</f>
        <v/>
      </c>
    </row>
    <row r="156">
      <c r="A156" s="7">
        <f>IFERROR(Datos!A156,"")</f>
        <v/>
      </c>
      <c r="B156" s="27">
        <f>IFERROR(IF(ISNUMBER(Datos!B156),Datos!B156/$F$2*100,NA()),NA())</f>
        <v/>
      </c>
      <c r="C156" s="27">
        <f>IFERROR(IF(ISNUMBER(Datos!C156),Datos!C156/$F$3*100,NA()),NA())</f>
        <v/>
      </c>
    </row>
    <row r="157">
      <c r="A157" s="7">
        <f>IFERROR(Datos!A157,"")</f>
        <v/>
      </c>
      <c r="B157" s="27">
        <f>IFERROR(IF(ISNUMBER(Datos!B157),Datos!B157/$F$2*100,NA()),NA())</f>
        <v/>
      </c>
      <c r="C157" s="27">
        <f>IFERROR(IF(ISNUMBER(Datos!C157),Datos!C157/$F$3*100,NA()),NA())</f>
        <v/>
      </c>
    </row>
    <row r="158">
      <c r="A158" s="7">
        <f>IFERROR(Datos!A158,"")</f>
        <v/>
      </c>
      <c r="B158" s="27">
        <f>IFERROR(IF(ISNUMBER(Datos!B158),Datos!B158/$F$2*100,NA()),NA())</f>
        <v/>
      </c>
      <c r="C158" s="27">
        <f>IFERROR(IF(ISNUMBER(Datos!C158),Datos!C158/$F$3*100,NA()),NA())</f>
        <v/>
      </c>
    </row>
    <row r="159">
      <c r="A159" s="7">
        <f>IFERROR(Datos!A159,"")</f>
        <v/>
      </c>
      <c r="B159" s="27">
        <f>IFERROR(IF(ISNUMBER(Datos!B159),Datos!B159/$F$2*100,NA()),NA())</f>
        <v/>
      </c>
      <c r="C159" s="27">
        <f>IFERROR(IF(ISNUMBER(Datos!C159),Datos!C159/$F$3*100,NA()),NA())</f>
        <v/>
      </c>
    </row>
    <row r="160">
      <c r="A160" s="7">
        <f>IFERROR(Datos!A160,"")</f>
        <v/>
      </c>
      <c r="B160" s="27">
        <f>IFERROR(IF(ISNUMBER(Datos!B160),Datos!B160/$F$2*100,NA()),NA())</f>
        <v/>
      </c>
      <c r="C160" s="27">
        <f>IFERROR(IF(ISNUMBER(Datos!C160),Datos!C160/$F$3*100,NA()),NA())</f>
        <v/>
      </c>
    </row>
    <row r="161">
      <c r="A161" s="7">
        <f>IFERROR(Datos!A161,"")</f>
        <v/>
      </c>
      <c r="B161" s="27">
        <f>IFERROR(IF(ISNUMBER(Datos!B161),Datos!B161/$F$2*100,NA()),NA())</f>
        <v/>
      </c>
      <c r="C161" s="27">
        <f>IFERROR(IF(ISNUMBER(Datos!C161),Datos!C161/$F$3*100,NA()),NA())</f>
        <v/>
      </c>
    </row>
    <row r="162">
      <c r="A162" s="7">
        <f>IFERROR(Datos!A162,"")</f>
        <v/>
      </c>
      <c r="B162" s="27">
        <f>IFERROR(IF(ISNUMBER(Datos!B162),Datos!B162/$F$2*100,NA()),NA())</f>
        <v/>
      </c>
      <c r="C162" s="27">
        <f>IFERROR(IF(ISNUMBER(Datos!C162),Datos!C162/$F$3*100,NA()),NA())</f>
        <v/>
      </c>
    </row>
    <row r="163">
      <c r="A163" s="7">
        <f>IFERROR(Datos!A163,"")</f>
        <v/>
      </c>
      <c r="B163" s="27">
        <f>IFERROR(IF(ISNUMBER(Datos!B163),Datos!B163/$F$2*100,NA()),NA())</f>
        <v/>
      </c>
      <c r="C163" s="27">
        <f>IFERROR(IF(ISNUMBER(Datos!C163),Datos!C163/$F$3*100,NA()),NA())</f>
        <v/>
      </c>
    </row>
    <row r="164">
      <c r="A164" s="7">
        <f>IFERROR(Datos!A164,"")</f>
        <v/>
      </c>
      <c r="B164" s="27">
        <f>IFERROR(IF(ISNUMBER(Datos!B164),Datos!B164/$F$2*100,NA()),NA())</f>
        <v/>
      </c>
      <c r="C164" s="27">
        <f>IFERROR(IF(ISNUMBER(Datos!C164),Datos!C164/$F$3*100,NA()),NA())</f>
        <v/>
      </c>
    </row>
    <row r="165">
      <c r="A165" s="7">
        <f>IFERROR(Datos!A165,"")</f>
        <v/>
      </c>
      <c r="B165" s="27">
        <f>IFERROR(IF(ISNUMBER(Datos!B165),Datos!B165/$F$2*100,NA()),NA())</f>
        <v/>
      </c>
      <c r="C165" s="27">
        <f>IFERROR(IF(ISNUMBER(Datos!C165),Datos!C165/$F$3*100,NA()),NA())</f>
        <v/>
      </c>
    </row>
    <row r="166">
      <c r="A166" s="7">
        <f>IFERROR(Datos!A166,"")</f>
        <v/>
      </c>
      <c r="B166" s="27">
        <f>IFERROR(IF(ISNUMBER(Datos!B166),Datos!B166/$F$2*100,NA()),NA())</f>
        <v/>
      </c>
      <c r="C166" s="27">
        <f>IFERROR(IF(ISNUMBER(Datos!C166),Datos!C166/$F$3*100,NA()),NA())</f>
        <v/>
      </c>
    </row>
    <row r="167">
      <c r="A167" s="7">
        <f>IFERROR(Datos!A167,"")</f>
        <v/>
      </c>
      <c r="B167" s="27">
        <f>IFERROR(IF(ISNUMBER(Datos!B167),Datos!B167/$F$2*100,NA()),NA())</f>
        <v/>
      </c>
      <c r="C167" s="27">
        <f>IFERROR(IF(ISNUMBER(Datos!C167),Datos!C167/$F$3*100,NA()),NA())</f>
        <v/>
      </c>
    </row>
    <row r="168">
      <c r="A168" s="7">
        <f>IFERROR(Datos!A168,"")</f>
        <v/>
      </c>
      <c r="B168" s="27">
        <f>IFERROR(IF(ISNUMBER(Datos!B168),Datos!B168/$F$2*100,NA()),NA())</f>
        <v/>
      </c>
      <c r="C168" s="27">
        <f>IFERROR(IF(ISNUMBER(Datos!C168),Datos!C168/$F$3*100,NA()),NA())</f>
        <v/>
      </c>
    </row>
    <row r="169">
      <c r="A169" s="7">
        <f>IFERROR(Datos!A169,"")</f>
        <v/>
      </c>
      <c r="B169" s="27">
        <f>IFERROR(IF(ISNUMBER(Datos!B169),Datos!B169/$F$2*100,NA()),NA())</f>
        <v/>
      </c>
      <c r="C169" s="27">
        <f>IFERROR(IF(ISNUMBER(Datos!C169),Datos!C169/$F$3*100,NA()),NA())</f>
        <v/>
      </c>
    </row>
    <row r="170">
      <c r="A170" s="7">
        <f>IFERROR(Datos!A170,"")</f>
        <v/>
      </c>
      <c r="B170" s="27">
        <f>IFERROR(IF(ISNUMBER(Datos!B170),Datos!B170/$F$2*100,NA()),NA())</f>
        <v/>
      </c>
      <c r="C170" s="27">
        <f>IFERROR(IF(ISNUMBER(Datos!C170),Datos!C170/$F$3*100,NA()),NA())</f>
        <v/>
      </c>
    </row>
    <row r="171">
      <c r="A171" s="7">
        <f>IFERROR(Datos!A171,"")</f>
        <v/>
      </c>
      <c r="B171" s="27">
        <f>IFERROR(IF(ISNUMBER(Datos!B171),Datos!B171/$F$2*100,NA()),NA())</f>
        <v/>
      </c>
      <c r="C171" s="27">
        <f>IFERROR(IF(ISNUMBER(Datos!C171),Datos!C171/$F$3*100,NA()),NA())</f>
        <v/>
      </c>
    </row>
    <row r="172">
      <c r="A172" s="7">
        <f>IFERROR(Datos!A172,"")</f>
        <v/>
      </c>
      <c r="B172" s="27">
        <f>IFERROR(IF(ISNUMBER(Datos!B172),Datos!B172/$F$2*100,NA()),NA())</f>
        <v/>
      </c>
      <c r="C172" s="27">
        <f>IFERROR(IF(ISNUMBER(Datos!C172),Datos!C172/$F$3*100,NA()),NA())</f>
        <v/>
      </c>
    </row>
    <row r="173">
      <c r="A173" s="7">
        <f>IFERROR(Datos!A173,"")</f>
        <v/>
      </c>
      <c r="B173" s="27">
        <f>IFERROR(IF(ISNUMBER(Datos!B173),Datos!B173/$F$2*100,NA()),NA())</f>
        <v/>
      </c>
      <c r="C173" s="27">
        <f>IFERROR(IF(ISNUMBER(Datos!C173),Datos!C173/$F$3*100,NA()),NA())</f>
        <v/>
      </c>
    </row>
    <row r="174">
      <c r="A174" s="7">
        <f>IFERROR(Datos!A174,"")</f>
        <v/>
      </c>
      <c r="B174" s="27">
        <f>IFERROR(IF(ISNUMBER(Datos!B174),Datos!B174/$F$2*100,NA()),NA())</f>
        <v/>
      </c>
      <c r="C174" s="27">
        <f>IFERROR(IF(ISNUMBER(Datos!C174),Datos!C174/$F$3*100,NA()),NA())</f>
        <v/>
      </c>
    </row>
    <row r="175">
      <c r="A175" s="7">
        <f>IFERROR(Datos!A175,"")</f>
        <v/>
      </c>
      <c r="B175" s="27">
        <f>IFERROR(IF(ISNUMBER(Datos!B175),Datos!B175/$F$2*100,NA()),NA())</f>
        <v/>
      </c>
      <c r="C175" s="27">
        <f>IFERROR(IF(ISNUMBER(Datos!C175),Datos!C175/$F$3*100,NA()),NA())</f>
        <v/>
      </c>
    </row>
    <row r="176">
      <c r="A176" s="7">
        <f>IFERROR(Datos!A176,"")</f>
        <v/>
      </c>
      <c r="B176" s="27">
        <f>IFERROR(IF(ISNUMBER(Datos!B176),Datos!B176/$F$2*100,NA()),NA())</f>
        <v/>
      </c>
      <c r="C176" s="27">
        <f>IFERROR(IF(ISNUMBER(Datos!C176),Datos!C176/$F$3*100,NA()),NA())</f>
        <v/>
      </c>
    </row>
    <row r="177">
      <c r="A177" s="7">
        <f>IFERROR(Datos!A177,"")</f>
        <v/>
      </c>
      <c r="B177" s="27">
        <f>IFERROR(IF(ISNUMBER(Datos!B177),Datos!B177/$F$2*100,NA()),NA())</f>
        <v/>
      </c>
      <c r="C177" s="27">
        <f>IFERROR(IF(ISNUMBER(Datos!C177),Datos!C177/$F$3*100,NA()),NA())</f>
        <v/>
      </c>
    </row>
    <row r="178">
      <c r="A178" s="7">
        <f>IFERROR(Datos!A178,"")</f>
        <v/>
      </c>
      <c r="B178" s="27">
        <f>IFERROR(IF(ISNUMBER(Datos!B178),Datos!B178/$F$2*100,NA()),NA())</f>
        <v/>
      </c>
      <c r="C178" s="27">
        <f>IFERROR(IF(ISNUMBER(Datos!C178),Datos!C178/$F$3*100,NA()),NA())</f>
        <v/>
      </c>
    </row>
    <row r="179">
      <c r="A179" s="7">
        <f>IFERROR(Datos!A179,"")</f>
        <v/>
      </c>
      <c r="B179" s="27">
        <f>IFERROR(IF(ISNUMBER(Datos!B179),Datos!B179/$F$2*100,NA()),NA())</f>
        <v/>
      </c>
      <c r="C179" s="27">
        <f>IFERROR(IF(ISNUMBER(Datos!C179),Datos!C179/$F$3*100,NA()),NA())</f>
        <v/>
      </c>
    </row>
    <row r="180">
      <c r="A180" s="7">
        <f>IFERROR(Datos!A180,"")</f>
        <v/>
      </c>
      <c r="B180" s="27">
        <f>IFERROR(IF(ISNUMBER(Datos!B180),Datos!B180/$F$2*100,NA()),NA())</f>
        <v/>
      </c>
      <c r="C180" s="27">
        <f>IFERROR(IF(ISNUMBER(Datos!C180),Datos!C180/$F$3*100,NA()),NA())</f>
        <v/>
      </c>
    </row>
    <row r="181">
      <c r="A181" s="7">
        <f>IFERROR(Datos!A181,"")</f>
        <v/>
      </c>
      <c r="B181" s="27">
        <f>IFERROR(IF(ISNUMBER(Datos!B181),Datos!B181/$F$2*100,NA()),NA())</f>
        <v/>
      </c>
      <c r="C181" s="27">
        <f>IFERROR(IF(ISNUMBER(Datos!C181),Datos!C181/$F$3*100,NA()),NA())</f>
        <v/>
      </c>
    </row>
    <row r="182">
      <c r="A182" s="7">
        <f>IFERROR(Datos!A182,"")</f>
        <v/>
      </c>
      <c r="B182" s="27">
        <f>IFERROR(IF(ISNUMBER(Datos!B182),Datos!B182/$F$2*100,NA()),NA())</f>
        <v/>
      </c>
      <c r="C182" s="27">
        <f>IFERROR(IF(ISNUMBER(Datos!C182),Datos!C182/$F$3*100,NA()),NA())</f>
        <v/>
      </c>
    </row>
    <row r="183">
      <c r="A183" s="7">
        <f>IFERROR(Datos!A183,"")</f>
        <v/>
      </c>
      <c r="B183" s="27">
        <f>IFERROR(IF(ISNUMBER(Datos!B183),Datos!B183/$F$2*100,NA()),NA())</f>
        <v/>
      </c>
      <c r="C183" s="27">
        <f>IFERROR(IF(ISNUMBER(Datos!C183),Datos!C183/$F$3*100,NA()),NA())</f>
        <v/>
      </c>
    </row>
    <row r="184">
      <c r="A184" s="7">
        <f>IFERROR(Datos!A184,"")</f>
        <v/>
      </c>
      <c r="B184" s="27">
        <f>IFERROR(IF(ISNUMBER(Datos!B184),Datos!B184/$F$2*100,NA()),NA())</f>
        <v/>
      </c>
      <c r="C184" s="27">
        <f>IFERROR(IF(ISNUMBER(Datos!C184),Datos!C184/$F$3*100,NA()),NA())</f>
        <v/>
      </c>
    </row>
    <row r="185">
      <c r="A185" s="7">
        <f>IFERROR(Datos!A185,"")</f>
        <v/>
      </c>
      <c r="B185" s="27">
        <f>IFERROR(IF(ISNUMBER(Datos!B185),Datos!B185/$F$2*100,NA()),NA())</f>
        <v/>
      </c>
      <c r="C185" s="27">
        <f>IFERROR(IF(ISNUMBER(Datos!C185),Datos!C185/$F$3*100,NA()),NA())</f>
        <v/>
      </c>
    </row>
    <row r="186">
      <c r="A186" s="7">
        <f>IFERROR(Datos!A186,"")</f>
        <v/>
      </c>
      <c r="B186" s="27">
        <f>IFERROR(IF(ISNUMBER(Datos!B186),Datos!B186/$F$2*100,NA()),NA())</f>
        <v/>
      </c>
      <c r="C186" s="27">
        <f>IFERROR(IF(ISNUMBER(Datos!C186),Datos!C186/$F$3*100,NA()),NA())</f>
        <v/>
      </c>
    </row>
    <row r="187">
      <c r="A187" s="7">
        <f>IFERROR(Datos!A187,"")</f>
        <v/>
      </c>
      <c r="B187" s="27">
        <f>IFERROR(IF(ISNUMBER(Datos!B187),Datos!B187/$F$2*100,NA()),NA())</f>
        <v/>
      </c>
      <c r="C187" s="27">
        <f>IFERROR(IF(ISNUMBER(Datos!C187),Datos!C187/$F$3*100,NA()),NA())</f>
        <v/>
      </c>
    </row>
    <row r="188">
      <c r="A188" s="7">
        <f>IFERROR(Datos!A188,"")</f>
        <v/>
      </c>
      <c r="B188" s="27">
        <f>IFERROR(IF(ISNUMBER(Datos!B188),Datos!B188/$F$2*100,NA()),NA())</f>
        <v/>
      </c>
      <c r="C188" s="27">
        <f>IFERROR(IF(ISNUMBER(Datos!C188),Datos!C188/$F$3*100,NA()),NA())</f>
        <v/>
      </c>
    </row>
    <row r="189">
      <c r="A189" s="7">
        <f>IFERROR(Datos!A189,"")</f>
        <v/>
      </c>
      <c r="B189" s="27">
        <f>IFERROR(IF(ISNUMBER(Datos!B189),Datos!B189/$F$2*100,NA()),NA())</f>
        <v/>
      </c>
      <c r="C189" s="27">
        <f>IFERROR(IF(ISNUMBER(Datos!C189),Datos!C189/$F$3*100,NA()),NA())</f>
        <v/>
      </c>
    </row>
    <row r="190">
      <c r="A190" s="7">
        <f>IFERROR(Datos!A190,"")</f>
        <v/>
      </c>
      <c r="B190" s="27">
        <f>IFERROR(IF(ISNUMBER(Datos!B190),Datos!B190/$F$2*100,NA()),NA())</f>
        <v/>
      </c>
      <c r="C190" s="27">
        <f>IFERROR(IF(ISNUMBER(Datos!C190),Datos!C190/$F$3*100,NA()),NA())</f>
        <v/>
      </c>
    </row>
    <row r="191">
      <c r="A191" s="7">
        <f>IFERROR(Datos!A191,"")</f>
        <v/>
      </c>
      <c r="B191" s="27">
        <f>IFERROR(IF(ISNUMBER(Datos!B191),Datos!B191/$F$2*100,NA()),NA())</f>
        <v/>
      </c>
      <c r="C191" s="27">
        <f>IFERROR(IF(ISNUMBER(Datos!C191),Datos!C191/$F$3*100,NA()),NA())</f>
        <v/>
      </c>
    </row>
    <row r="192">
      <c r="A192" s="7">
        <f>IFERROR(Datos!A192,"")</f>
        <v/>
      </c>
      <c r="B192" s="27">
        <f>IFERROR(IF(ISNUMBER(Datos!B192),Datos!B192/$F$2*100,NA()),NA())</f>
        <v/>
      </c>
      <c r="C192" s="27">
        <f>IFERROR(IF(ISNUMBER(Datos!C192),Datos!C192/$F$3*100,NA()),NA())</f>
        <v/>
      </c>
    </row>
    <row r="193">
      <c r="A193" s="7">
        <f>IFERROR(Datos!A193,"")</f>
        <v/>
      </c>
      <c r="B193" s="27">
        <f>IFERROR(IF(ISNUMBER(Datos!B193),Datos!B193/$F$2*100,NA()),NA())</f>
        <v/>
      </c>
      <c r="C193" s="27">
        <f>IFERROR(IF(ISNUMBER(Datos!C193),Datos!C193/$F$3*100,NA()),NA())</f>
        <v/>
      </c>
    </row>
    <row r="194">
      <c r="A194" s="7">
        <f>IFERROR(Datos!A194,"")</f>
        <v/>
      </c>
      <c r="B194" s="27">
        <f>IFERROR(IF(ISNUMBER(Datos!B194),Datos!B194/$F$2*100,NA()),NA())</f>
        <v/>
      </c>
      <c r="C194" s="27">
        <f>IFERROR(IF(ISNUMBER(Datos!C194),Datos!C194/$F$3*100,NA()),NA())</f>
        <v/>
      </c>
    </row>
    <row r="195">
      <c r="A195" s="7">
        <f>IFERROR(Datos!A195,"")</f>
        <v/>
      </c>
      <c r="B195" s="27">
        <f>IFERROR(IF(ISNUMBER(Datos!B195),Datos!B195/$F$2*100,NA()),NA())</f>
        <v/>
      </c>
      <c r="C195" s="27">
        <f>IFERROR(IF(ISNUMBER(Datos!C195),Datos!C195/$F$3*100,NA()),NA())</f>
        <v/>
      </c>
    </row>
    <row r="196">
      <c r="A196" s="7">
        <f>IFERROR(Datos!A196,"")</f>
        <v/>
      </c>
      <c r="B196" s="27">
        <f>IFERROR(IF(ISNUMBER(Datos!B196),Datos!B196/$F$2*100,NA()),NA())</f>
        <v/>
      </c>
      <c r="C196" s="27">
        <f>IFERROR(IF(ISNUMBER(Datos!C196),Datos!C196/$F$3*100,NA()),NA())</f>
        <v/>
      </c>
    </row>
    <row r="197">
      <c r="A197" s="7">
        <f>IFERROR(Datos!A197,"")</f>
        <v/>
      </c>
      <c r="B197" s="27">
        <f>IFERROR(IF(ISNUMBER(Datos!B197),Datos!B197/$F$2*100,NA()),NA())</f>
        <v/>
      </c>
      <c r="C197" s="27">
        <f>IFERROR(IF(ISNUMBER(Datos!C197),Datos!C197/$F$3*100,NA()),NA())</f>
        <v/>
      </c>
    </row>
    <row r="198">
      <c r="A198" s="7">
        <f>IFERROR(Datos!A198,"")</f>
        <v/>
      </c>
      <c r="B198" s="27">
        <f>IFERROR(IF(ISNUMBER(Datos!B198),Datos!B198/$F$2*100,NA()),NA())</f>
        <v/>
      </c>
      <c r="C198" s="27">
        <f>IFERROR(IF(ISNUMBER(Datos!C198),Datos!C198/$F$3*100,NA()),NA())</f>
        <v/>
      </c>
    </row>
    <row r="199">
      <c r="A199" s="7">
        <f>IFERROR(Datos!A199,"")</f>
        <v/>
      </c>
      <c r="B199" s="27">
        <f>IFERROR(IF(ISNUMBER(Datos!B199),Datos!B199/$F$2*100,NA()),NA())</f>
        <v/>
      </c>
      <c r="C199" s="27">
        <f>IFERROR(IF(ISNUMBER(Datos!C199),Datos!C199/$F$3*100,NA()),NA())</f>
        <v/>
      </c>
    </row>
    <row r="200">
      <c r="A200" s="7">
        <f>IFERROR(Datos!A200,"")</f>
        <v/>
      </c>
      <c r="B200" s="27">
        <f>IFERROR(IF(ISNUMBER(Datos!B200),Datos!B200/$F$2*100,NA()),NA())</f>
        <v/>
      </c>
      <c r="C200" s="27">
        <f>IFERROR(IF(ISNUMBER(Datos!C200),Datos!C200/$F$3*100,NA()),NA())</f>
        <v/>
      </c>
    </row>
    <row r="201">
      <c r="A201" s="7">
        <f>IFERROR(Datos!A201,"")</f>
        <v/>
      </c>
      <c r="B201" s="27">
        <f>IFERROR(IF(ISNUMBER(Datos!B201),Datos!B201/$F$2*100,NA()),NA())</f>
        <v/>
      </c>
      <c r="C201" s="27">
        <f>IFERROR(IF(ISNUMBER(Datos!C201),Datos!C201/$F$3*100,NA()),NA())</f>
        <v/>
      </c>
    </row>
    <row r="202">
      <c r="A202" s="7">
        <f>IFERROR(Datos!A202,"")</f>
        <v/>
      </c>
      <c r="B202" s="27">
        <f>IFERROR(IF(ISNUMBER(Datos!B202),Datos!B202/$F$2*100,NA()),NA())</f>
        <v/>
      </c>
      <c r="C202" s="27">
        <f>IFERROR(IF(ISNUMBER(Datos!C202),Datos!C202/$F$3*100,NA()),NA())</f>
        <v/>
      </c>
    </row>
    <row r="203">
      <c r="A203" s="7">
        <f>IFERROR(Datos!A203,"")</f>
        <v/>
      </c>
      <c r="B203" s="27">
        <f>IFERROR(IF(ISNUMBER(Datos!B203),Datos!B203/$F$2*100,NA()),NA())</f>
        <v/>
      </c>
      <c r="C203" s="27">
        <f>IFERROR(IF(ISNUMBER(Datos!C203),Datos!C203/$F$3*100,NA()),NA())</f>
        <v/>
      </c>
    </row>
    <row r="204">
      <c r="A204" s="7">
        <f>IFERROR(Datos!A204,"")</f>
        <v/>
      </c>
      <c r="B204" s="27">
        <f>IFERROR(IF(ISNUMBER(Datos!B204),Datos!B204/$F$2*100,NA()),NA())</f>
        <v/>
      </c>
      <c r="C204" s="27">
        <f>IFERROR(IF(ISNUMBER(Datos!C204),Datos!C204/$F$3*100,NA()),NA())</f>
        <v/>
      </c>
    </row>
    <row r="205">
      <c r="A205" s="7">
        <f>IFERROR(Datos!A205,"")</f>
        <v/>
      </c>
      <c r="B205" s="27">
        <f>IFERROR(IF(ISNUMBER(Datos!B205),Datos!B205/$F$2*100,NA()),NA())</f>
        <v/>
      </c>
      <c r="C205" s="27">
        <f>IFERROR(IF(ISNUMBER(Datos!C205),Datos!C205/$F$3*100,NA()),NA())</f>
        <v/>
      </c>
    </row>
    <row r="206">
      <c r="A206" s="7">
        <f>IFERROR(Datos!A206,"")</f>
        <v/>
      </c>
      <c r="B206" s="27">
        <f>IFERROR(IF(ISNUMBER(Datos!B206),Datos!B206/$F$2*100,NA()),NA())</f>
        <v/>
      </c>
      <c r="C206" s="27">
        <f>IFERROR(IF(ISNUMBER(Datos!C206),Datos!C206/$F$3*100,NA()),NA())</f>
        <v/>
      </c>
    </row>
    <row r="207">
      <c r="A207" s="7">
        <f>IFERROR(Datos!A207,"")</f>
        <v/>
      </c>
      <c r="B207" s="27">
        <f>IFERROR(IF(ISNUMBER(Datos!B207),Datos!B207/$F$2*100,NA()),NA())</f>
        <v/>
      </c>
      <c r="C207" s="27">
        <f>IFERROR(IF(ISNUMBER(Datos!C207),Datos!C207/$F$3*100,NA()),NA())</f>
        <v/>
      </c>
    </row>
    <row r="208">
      <c r="A208" s="7">
        <f>IFERROR(Datos!A208,"")</f>
        <v/>
      </c>
      <c r="B208" s="27">
        <f>IFERROR(IF(ISNUMBER(Datos!B208),Datos!B208/$F$2*100,NA()),NA())</f>
        <v/>
      </c>
      <c r="C208" s="27">
        <f>IFERROR(IF(ISNUMBER(Datos!C208),Datos!C208/$F$3*100,NA()),NA())</f>
        <v/>
      </c>
    </row>
    <row r="209">
      <c r="A209" s="7">
        <f>IFERROR(Datos!A209,"")</f>
        <v/>
      </c>
      <c r="B209" s="27">
        <f>IFERROR(IF(ISNUMBER(Datos!B209),Datos!B209/$F$2*100,NA()),NA())</f>
        <v/>
      </c>
      <c r="C209" s="27">
        <f>IFERROR(IF(ISNUMBER(Datos!C209),Datos!C209/$F$3*100,NA()),NA())</f>
        <v/>
      </c>
    </row>
    <row r="210">
      <c r="A210" s="7">
        <f>IFERROR(Datos!A210,"")</f>
        <v/>
      </c>
      <c r="B210" s="27">
        <f>IFERROR(IF(ISNUMBER(Datos!B210),Datos!B210/$F$2*100,NA()),NA())</f>
        <v/>
      </c>
      <c r="C210" s="27">
        <f>IFERROR(IF(ISNUMBER(Datos!C210),Datos!C210/$F$3*100,NA()),NA())</f>
        <v/>
      </c>
    </row>
    <row r="211">
      <c r="A211" s="7">
        <f>IFERROR(Datos!A211,"")</f>
        <v/>
      </c>
      <c r="B211" s="27">
        <f>IFERROR(IF(ISNUMBER(Datos!B211),Datos!B211/$F$2*100,NA()),NA())</f>
        <v/>
      </c>
      <c r="C211" s="27">
        <f>IFERROR(IF(ISNUMBER(Datos!C211),Datos!C211/$F$3*100,NA()),NA())</f>
        <v/>
      </c>
    </row>
    <row r="212">
      <c r="A212" s="7">
        <f>IFERROR(Datos!A212,"")</f>
        <v/>
      </c>
      <c r="B212" s="27">
        <f>IFERROR(IF(ISNUMBER(Datos!B212),Datos!B212/$F$2*100,NA()),NA())</f>
        <v/>
      </c>
      <c r="C212" s="27">
        <f>IFERROR(IF(ISNUMBER(Datos!C212),Datos!C212/$F$3*100,NA()),NA())</f>
        <v/>
      </c>
    </row>
    <row r="213">
      <c r="A213" s="7">
        <f>IFERROR(Datos!A213,"")</f>
        <v/>
      </c>
      <c r="B213" s="27">
        <f>IFERROR(IF(ISNUMBER(Datos!B213),Datos!B213/$F$2*100,NA()),NA())</f>
        <v/>
      </c>
      <c r="C213" s="27">
        <f>IFERROR(IF(ISNUMBER(Datos!C213),Datos!C213/$F$3*100,NA()),NA())</f>
        <v/>
      </c>
    </row>
    <row r="214">
      <c r="A214" s="7">
        <f>IFERROR(Datos!A214,"")</f>
        <v/>
      </c>
      <c r="B214" s="27">
        <f>IFERROR(IF(ISNUMBER(Datos!B214),Datos!B214/$F$2*100,NA()),NA())</f>
        <v/>
      </c>
      <c r="C214" s="27">
        <f>IFERROR(IF(ISNUMBER(Datos!C214),Datos!C214/$F$3*100,NA()),NA())</f>
        <v/>
      </c>
    </row>
    <row r="215">
      <c r="A215" s="7">
        <f>IFERROR(Datos!A215,"")</f>
        <v/>
      </c>
      <c r="B215" s="27">
        <f>IFERROR(IF(ISNUMBER(Datos!B215),Datos!B215/$F$2*100,NA()),NA())</f>
        <v/>
      </c>
      <c r="C215" s="27">
        <f>IFERROR(IF(ISNUMBER(Datos!C215),Datos!C215/$F$3*100,NA()),NA())</f>
        <v/>
      </c>
    </row>
    <row r="216">
      <c r="A216" s="7">
        <f>IFERROR(Datos!A216,"")</f>
        <v/>
      </c>
      <c r="B216" s="27">
        <f>IFERROR(IF(ISNUMBER(Datos!B216),Datos!B216/$F$2*100,NA()),NA())</f>
        <v/>
      </c>
      <c r="C216" s="27">
        <f>IFERROR(IF(ISNUMBER(Datos!C216),Datos!C216/$F$3*100,NA()),NA())</f>
        <v/>
      </c>
    </row>
    <row r="217">
      <c r="A217" s="7">
        <f>IFERROR(Datos!A217,"")</f>
        <v/>
      </c>
      <c r="B217" s="27">
        <f>IFERROR(IF(ISNUMBER(Datos!B217),Datos!B217/$F$2*100,NA()),NA())</f>
        <v/>
      </c>
      <c r="C217" s="27">
        <f>IFERROR(IF(ISNUMBER(Datos!C217),Datos!C217/$F$3*100,NA()),NA())</f>
        <v/>
      </c>
    </row>
    <row r="218">
      <c r="A218" s="7">
        <f>IFERROR(Datos!A218,"")</f>
        <v/>
      </c>
      <c r="B218" s="27">
        <f>IFERROR(IF(ISNUMBER(Datos!B218),Datos!B218/$F$2*100,NA()),NA())</f>
        <v/>
      </c>
      <c r="C218" s="27">
        <f>IFERROR(IF(ISNUMBER(Datos!C218),Datos!C218/$F$3*100,NA()),NA())</f>
        <v/>
      </c>
    </row>
    <row r="219">
      <c r="A219" s="7">
        <f>IFERROR(Datos!A219,"")</f>
        <v/>
      </c>
      <c r="B219" s="27">
        <f>IFERROR(IF(ISNUMBER(Datos!B219),Datos!B219/$F$2*100,NA()),NA())</f>
        <v/>
      </c>
      <c r="C219" s="27">
        <f>IFERROR(IF(ISNUMBER(Datos!C219),Datos!C219/$F$3*100,NA()),NA())</f>
        <v/>
      </c>
    </row>
    <row r="220">
      <c r="A220" s="7">
        <f>IFERROR(Datos!A220,"")</f>
        <v/>
      </c>
      <c r="B220" s="27">
        <f>IFERROR(IF(ISNUMBER(Datos!B220),Datos!B220/$F$2*100,NA()),NA())</f>
        <v/>
      </c>
      <c r="C220" s="27">
        <f>IFERROR(IF(ISNUMBER(Datos!C220),Datos!C220/$F$3*100,NA()),NA())</f>
        <v/>
      </c>
    </row>
    <row r="221">
      <c r="A221" s="7">
        <f>IFERROR(Datos!A221,"")</f>
        <v/>
      </c>
      <c r="B221" s="27">
        <f>IFERROR(IF(ISNUMBER(Datos!B221),Datos!B221/$F$2*100,NA()),NA())</f>
        <v/>
      </c>
      <c r="C221" s="27">
        <f>IFERROR(IF(ISNUMBER(Datos!C221),Datos!C221/$F$3*100,NA()),NA())</f>
        <v/>
      </c>
    </row>
    <row r="222">
      <c r="A222" s="7">
        <f>IFERROR(Datos!A222,"")</f>
        <v/>
      </c>
      <c r="B222" s="27">
        <f>IFERROR(IF(ISNUMBER(Datos!B222),Datos!B222/$F$2*100,NA()),NA())</f>
        <v/>
      </c>
      <c r="C222" s="27">
        <f>IFERROR(IF(ISNUMBER(Datos!C222),Datos!C222/$F$3*100,NA()),NA())</f>
        <v/>
      </c>
    </row>
    <row r="223">
      <c r="A223" s="7">
        <f>IFERROR(Datos!A223,"")</f>
        <v/>
      </c>
      <c r="B223" s="27">
        <f>IFERROR(IF(ISNUMBER(Datos!B223),Datos!B223/$F$2*100,NA()),NA())</f>
        <v/>
      </c>
      <c r="C223" s="27">
        <f>IFERROR(IF(ISNUMBER(Datos!C223),Datos!C223/$F$3*100,NA()),NA())</f>
        <v/>
      </c>
    </row>
    <row r="224">
      <c r="A224" s="7">
        <f>IFERROR(Datos!A224,"")</f>
        <v/>
      </c>
      <c r="B224" s="27">
        <f>IFERROR(IF(ISNUMBER(Datos!B224),Datos!B224/$F$2*100,NA()),NA())</f>
        <v/>
      </c>
      <c r="C224" s="27">
        <f>IFERROR(IF(ISNUMBER(Datos!C224),Datos!C224/$F$3*100,NA()),NA())</f>
        <v/>
      </c>
    </row>
    <row r="225">
      <c r="A225" s="7">
        <f>IFERROR(Datos!A225,"")</f>
        <v/>
      </c>
      <c r="B225" s="27">
        <f>IFERROR(IF(ISNUMBER(Datos!B225),Datos!B225/$F$2*100,NA()),NA())</f>
        <v/>
      </c>
      <c r="C225" s="27">
        <f>IFERROR(IF(ISNUMBER(Datos!C225),Datos!C225/$F$3*100,NA()),NA())</f>
        <v/>
      </c>
    </row>
    <row r="226">
      <c r="A226" s="7">
        <f>IFERROR(Datos!A226,"")</f>
        <v/>
      </c>
      <c r="B226" s="27">
        <f>IFERROR(IF(ISNUMBER(Datos!B226),Datos!B226/$F$2*100,NA()),NA())</f>
        <v/>
      </c>
      <c r="C226" s="27">
        <f>IFERROR(IF(ISNUMBER(Datos!C226),Datos!C226/$F$3*100,NA()),NA())</f>
        <v/>
      </c>
    </row>
    <row r="227">
      <c r="A227" s="7">
        <f>IFERROR(Datos!A227,"")</f>
        <v/>
      </c>
      <c r="B227" s="27">
        <f>IFERROR(IF(ISNUMBER(Datos!B227),Datos!B227/$F$2*100,NA()),NA())</f>
        <v/>
      </c>
      <c r="C227" s="27">
        <f>IFERROR(IF(ISNUMBER(Datos!C227),Datos!C227/$F$3*100,NA()),NA())</f>
        <v/>
      </c>
    </row>
    <row r="228">
      <c r="A228" s="7">
        <f>IFERROR(Datos!A228,"")</f>
        <v/>
      </c>
      <c r="B228" s="27">
        <f>IFERROR(IF(ISNUMBER(Datos!B228),Datos!B228/$F$2*100,NA()),NA())</f>
        <v/>
      </c>
      <c r="C228" s="27">
        <f>IFERROR(IF(ISNUMBER(Datos!C228),Datos!C228/$F$3*100,NA()),NA())</f>
        <v/>
      </c>
    </row>
    <row r="229">
      <c r="A229" s="7">
        <f>IFERROR(Datos!A229,"")</f>
        <v/>
      </c>
      <c r="B229" s="27">
        <f>IFERROR(IF(ISNUMBER(Datos!B229),Datos!B229/$F$2*100,NA()),NA())</f>
        <v/>
      </c>
      <c r="C229" s="27">
        <f>IFERROR(IF(ISNUMBER(Datos!C229),Datos!C229/$F$3*100,NA()),NA())</f>
        <v/>
      </c>
    </row>
    <row r="230">
      <c r="A230" s="7">
        <f>IFERROR(Datos!A230,"")</f>
        <v/>
      </c>
      <c r="B230" s="27">
        <f>IFERROR(IF(ISNUMBER(Datos!B230),Datos!B230/$F$2*100,NA()),NA())</f>
        <v/>
      </c>
      <c r="C230" s="27">
        <f>IFERROR(IF(ISNUMBER(Datos!C230),Datos!C230/$F$3*100,NA()),NA())</f>
        <v/>
      </c>
    </row>
    <row r="231">
      <c r="A231" s="7">
        <f>IFERROR(Datos!A231,"")</f>
        <v/>
      </c>
      <c r="B231" s="27">
        <f>IFERROR(IF(ISNUMBER(Datos!B231),Datos!B231/$F$2*100,NA()),NA())</f>
        <v/>
      </c>
      <c r="C231" s="27">
        <f>IFERROR(IF(ISNUMBER(Datos!C231),Datos!C231/$F$3*100,NA()),NA())</f>
        <v/>
      </c>
    </row>
    <row r="232">
      <c r="A232" s="7">
        <f>IFERROR(Datos!A232,"")</f>
        <v/>
      </c>
      <c r="B232" s="27">
        <f>IFERROR(IF(ISNUMBER(Datos!B232),Datos!B232/$F$2*100,NA()),NA())</f>
        <v/>
      </c>
      <c r="C232" s="27">
        <f>IFERROR(IF(ISNUMBER(Datos!C232),Datos!C232/$F$3*100,NA()),NA())</f>
        <v/>
      </c>
    </row>
    <row r="233">
      <c r="A233" s="7">
        <f>IFERROR(Datos!A233,"")</f>
        <v/>
      </c>
      <c r="B233" s="27">
        <f>IFERROR(IF(ISNUMBER(Datos!B233),Datos!B233/$F$2*100,NA()),NA())</f>
        <v/>
      </c>
      <c r="C233" s="27">
        <f>IFERROR(IF(ISNUMBER(Datos!C233),Datos!C233/$F$3*100,NA()),NA())</f>
        <v/>
      </c>
    </row>
    <row r="234">
      <c r="A234" s="7">
        <f>IFERROR(Datos!A234,"")</f>
        <v/>
      </c>
      <c r="B234" s="27">
        <f>IFERROR(IF(ISNUMBER(Datos!B234),Datos!B234/$F$2*100,NA()),NA())</f>
        <v/>
      </c>
      <c r="C234" s="27">
        <f>IFERROR(IF(ISNUMBER(Datos!C234),Datos!C234/$F$3*100,NA()),NA())</f>
        <v/>
      </c>
    </row>
    <row r="235">
      <c r="A235" s="7">
        <f>IFERROR(Datos!A235,"")</f>
        <v/>
      </c>
      <c r="B235" s="27">
        <f>IFERROR(IF(ISNUMBER(Datos!B235),Datos!B235/$F$2*100,NA()),NA())</f>
        <v/>
      </c>
      <c r="C235" s="27">
        <f>IFERROR(IF(ISNUMBER(Datos!C235),Datos!C235/$F$3*100,NA()),NA())</f>
        <v/>
      </c>
    </row>
    <row r="236">
      <c r="A236" s="7">
        <f>IFERROR(Datos!A236,"")</f>
        <v/>
      </c>
      <c r="B236" s="27">
        <f>IFERROR(IF(ISNUMBER(Datos!B236),Datos!B236/$F$2*100,NA()),NA())</f>
        <v/>
      </c>
      <c r="C236" s="27">
        <f>IFERROR(IF(ISNUMBER(Datos!C236),Datos!C236/$F$3*100,NA()),NA())</f>
        <v/>
      </c>
    </row>
    <row r="237">
      <c r="A237" s="7">
        <f>IFERROR(Datos!A237,"")</f>
        <v/>
      </c>
      <c r="B237" s="27">
        <f>IFERROR(IF(ISNUMBER(Datos!B237),Datos!B237/$F$2*100,NA()),NA())</f>
        <v/>
      </c>
      <c r="C237" s="27">
        <f>IFERROR(IF(ISNUMBER(Datos!C237),Datos!C237/$F$3*100,NA()),NA())</f>
        <v/>
      </c>
    </row>
    <row r="238">
      <c r="A238" s="7">
        <f>IFERROR(Datos!A238,"")</f>
        <v/>
      </c>
      <c r="B238" s="27">
        <f>IFERROR(IF(ISNUMBER(Datos!B238),Datos!B238/$F$2*100,NA()),NA())</f>
        <v/>
      </c>
      <c r="C238" s="27">
        <f>IFERROR(IF(ISNUMBER(Datos!C238),Datos!C238/$F$3*100,NA()),NA())</f>
        <v/>
      </c>
    </row>
    <row r="239">
      <c r="A239" s="7">
        <f>IFERROR(Datos!A239,"")</f>
        <v/>
      </c>
      <c r="B239" s="27">
        <f>IFERROR(IF(ISNUMBER(Datos!B239),Datos!B239/$F$2*100,NA()),NA())</f>
        <v/>
      </c>
      <c r="C239" s="27">
        <f>IFERROR(IF(ISNUMBER(Datos!C239),Datos!C239/$F$3*100,NA()),NA())</f>
        <v/>
      </c>
    </row>
    <row r="240">
      <c r="A240" s="7">
        <f>IFERROR(Datos!A240,"")</f>
        <v/>
      </c>
      <c r="B240" s="27">
        <f>IFERROR(IF(ISNUMBER(Datos!B240),Datos!B240/$F$2*100,NA()),NA())</f>
        <v/>
      </c>
      <c r="C240" s="27">
        <f>IFERROR(IF(ISNUMBER(Datos!C240),Datos!C240/$F$3*100,NA()),NA())</f>
        <v/>
      </c>
    </row>
    <row r="241">
      <c r="A241" s="7">
        <f>IFERROR(Datos!A241,"")</f>
        <v/>
      </c>
      <c r="B241" s="27">
        <f>IFERROR(IF(ISNUMBER(Datos!B241),Datos!B241/$F$2*100,NA()),NA())</f>
        <v/>
      </c>
      <c r="C241" s="27">
        <f>IFERROR(IF(ISNUMBER(Datos!C241),Datos!C241/$F$3*100,NA()),NA())</f>
        <v/>
      </c>
    </row>
    <row r="242">
      <c r="A242" s="7">
        <f>IFERROR(Datos!A242,"")</f>
        <v/>
      </c>
      <c r="B242" s="27">
        <f>IFERROR(IF(ISNUMBER(Datos!B242),Datos!B242/$F$2*100,NA()),NA())</f>
        <v/>
      </c>
      <c r="C242" s="27">
        <f>IFERROR(IF(ISNUMBER(Datos!C242),Datos!C242/$F$3*100,NA()),NA())</f>
        <v/>
      </c>
    </row>
    <row r="243">
      <c r="A243" s="7">
        <f>IFERROR(Datos!A243,"")</f>
        <v/>
      </c>
      <c r="B243" s="27">
        <f>IFERROR(IF(ISNUMBER(Datos!B243),Datos!B243/$F$2*100,NA()),NA())</f>
        <v/>
      </c>
      <c r="C243" s="27">
        <f>IFERROR(IF(ISNUMBER(Datos!C243),Datos!C243/$F$3*100,NA()),NA())</f>
        <v/>
      </c>
    </row>
    <row r="244">
      <c r="A244" s="7">
        <f>IFERROR(Datos!A244,"")</f>
        <v/>
      </c>
      <c r="B244" s="27">
        <f>IFERROR(IF(ISNUMBER(Datos!B244),Datos!B244/$F$2*100,NA()),NA())</f>
        <v/>
      </c>
      <c r="C244" s="27">
        <f>IFERROR(IF(ISNUMBER(Datos!C244),Datos!C244/$F$3*100,NA()),NA())</f>
        <v/>
      </c>
    </row>
    <row r="245">
      <c r="A245" s="7">
        <f>IFERROR(Datos!A245,"")</f>
        <v/>
      </c>
      <c r="B245" s="27">
        <f>IFERROR(IF(ISNUMBER(Datos!B245),Datos!B245/$F$2*100,NA()),NA())</f>
        <v/>
      </c>
      <c r="C245" s="27">
        <f>IFERROR(IF(ISNUMBER(Datos!C245),Datos!C245/$F$3*100,NA()),NA())</f>
        <v/>
      </c>
    </row>
    <row r="246">
      <c r="A246" s="7">
        <f>IFERROR(Datos!A246,"")</f>
        <v/>
      </c>
      <c r="B246" s="27">
        <f>IFERROR(IF(ISNUMBER(Datos!B246),Datos!B246/$F$2*100,NA()),NA())</f>
        <v/>
      </c>
      <c r="C246" s="27">
        <f>IFERROR(IF(ISNUMBER(Datos!C246),Datos!C246/$F$3*100,NA()),NA())</f>
        <v/>
      </c>
    </row>
    <row r="247">
      <c r="A247" s="7">
        <f>IFERROR(Datos!A247,"")</f>
        <v/>
      </c>
      <c r="B247" s="27">
        <f>IFERROR(IF(ISNUMBER(Datos!B247),Datos!B247/$F$2*100,NA()),NA())</f>
        <v/>
      </c>
      <c r="C247" s="27">
        <f>IFERROR(IF(ISNUMBER(Datos!C247),Datos!C247/$F$3*100,NA()),NA())</f>
        <v/>
      </c>
    </row>
    <row r="248">
      <c r="A248" s="7">
        <f>IFERROR(Datos!A248,"")</f>
        <v/>
      </c>
      <c r="B248" s="27">
        <f>IFERROR(IF(ISNUMBER(Datos!B248),Datos!B248/$F$2*100,NA()),NA())</f>
        <v/>
      </c>
      <c r="C248" s="27">
        <f>IFERROR(IF(ISNUMBER(Datos!C248),Datos!C248/$F$3*100,NA()),NA())</f>
        <v/>
      </c>
    </row>
    <row r="249">
      <c r="A249" s="7">
        <f>IFERROR(Datos!A249,"")</f>
        <v/>
      </c>
      <c r="B249" s="27">
        <f>IFERROR(IF(ISNUMBER(Datos!B249),Datos!B249/$F$2*100,NA()),NA())</f>
        <v/>
      </c>
      <c r="C249" s="27">
        <f>IFERROR(IF(ISNUMBER(Datos!C249),Datos!C249/$F$3*100,NA()),NA())</f>
        <v/>
      </c>
    </row>
    <row r="250">
      <c r="A250" s="7">
        <f>IFERROR(Datos!A250,"")</f>
        <v/>
      </c>
      <c r="B250" s="27">
        <f>IFERROR(IF(ISNUMBER(Datos!B250),Datos!B250/$F$2*100,NA()),NA())</f>
        <v/>
      </c>
      <c r="C250" s="27">
        <f>IFERROR(IF(ISNUMBER(Datos!C250),Datos!C250/$F$3*100,NA()),NA())</f>
        <v/>
      </c>
    </row>
    <row r="251">
      <c r="A251" s="7">
        <f>IFERROR(Datos!A251,"")</f>
        <v/>
      </c>
      <c r="B251" s="27">
        <f>IFERROR(IF(ISNUMBER(Datos!B251),Datos!B251/$F$2*100,NA()),NA())</f>
        <v/>
      </c>
      <c r="C251" s="27">
        <f>IFERROR(IF(ISNUMBER(Datos!C251),Datos!C251/$F$3*100,NA()),NA())</f>
        <v/>
      </c>
    </row>
    <row r="252">
      <c r="A252" s="7">
        <f>IFERROR(Datos!A252,"")</f>
        <v/>
      </c>
      <c r="B252" s="27">
        <f>IFERROR(IF(ISNUMBER(Datos!B252),Datos!B252/$F$2*100,NA()),NA())</f>
        <v/>
      </c>
      <c r="C252" s="27">
        <f>IFERROR(IF(ISNUMBER(Datos!C252),Datos!C252/$F$3*100,NA()),NA())</f>
        <v/>
      </c>
    </row>
    <row r="253">
      <c r="A253" s="7">
        <f>IFERROR(Datos!A253,"")</f>
        <v/>
      </c>
      <c r="B253" s="27">
        <f>IFERROR(IF(ISNUMBER(Datos!B253),Datos!B253/$F$2*100,NA()),NA())</f>
        <v/>
      </c>
      <c r="C253" s="27">
        <f>IFERROR(IF(ISNUMBER(Datos!C253),Datos!C253/$F$3*100,NA()),NA())</f>
        <v/>
      </c>
    </row>
    <row r="254">
      <c r="A254" s="7">
        <f>IFERROR(Datos!A254,"")</f>
        <v/>
      </c>
      <c r="B254" s="27">
        <f>IFERROR(IF(ISNUMBER(Datos!B254),Datos!B254/$F$2*100,NA()),NA())</f>
        <v/>
      </c>
      <c r="C254" s="27">
        <f>IFERROR(IF(ISNUMBER(Datos!C254),Datos!C254/$F$3*100,NA()),NA())</f>
        <v/>
      </c>
    </row>
    <row r="255">
      <c r="A255" s="7">
        <f>IFERROR(Datos!A255,"")</f>
        <v/>
      </c>
      <c r="B255" s="27">
        <f>IFERROR(IF(ISNUMBER(Datos!B255),Datos!B255/$F$2*100,NA()),NA())</f>
        <v/>
      </c>
      <c r="C255" s="27">
        <f>IFERROR(IF(ISNUMBER(Datos!C255),Datos!C255/$F$3*100,NA()),NA())</f>
        <v/>
      </c>
    </row>
    <row r="256">
      <c r="A256" s="7">
        <f>IFERROR(Datos!A256,"")</f>
        <v/>
      </c>
      <c r="B256" s="27">
        <f>IFERROR(IF(ISNUMBER(Datos!B256),Datos!B256/$F$2*100,NA()),NA())</f>
        <v/>
      </c>
      <c r="C256" s="27">
        <f>IFERROR(IF(ISNUMBER(Datos!C256),Datos!C256/$F$3*100,NA()),NA())</f>
        <v/>
      </c>
    </row>
    <row r="257">
      <c r="A257" s="7">
        <f>IFERROR(Datos!A257,"")</f>
        <v/>
      </c>
      <c r="B257" s="27">
        <f>IFERROR(IF(ISNUMBER(Datos!B257),Datos!B257/$F$2*100,NA()),NA())</f>
        <v/>
      </c>
      <c r="C257" s="27">
        <f>IFERROR(IF(ISNUMBER(Datos!C257),Datos!C257/$F$3*100,NA()),NA())</f>
        <v/>
      </c>
    </row>
    <row r="258">
      <c r="A258" s="7">
        <f>IFERROR(Datos!A258,"")</f>
        <v/>
      </c>
      <c r="B258" s="27">
        <f>IFERROR(IF(ISNUMBER(Datos!B258),Datos!B258/$F$2*100,NA()),NA())</f>
        <v/>
      </c>
      <c r="C258" s="27">
        <f>IFERROR(IF(ISNUMBER(Datos!C258),Datos!C258/$F$3*100,NA()),NA())</f>
        <v/>
      </c>
    </row>
    <row r="259">
      <c r="A259" s="7">
        <f>IFERROR(Datos!A259,"")</f>
        <v/>
      </c>
      <c r="B259" s="27">
        <f>IFERROR(IF(ISNUMBER(Datos!B259),Datos!B259/$F$2*100,NA()),NA())</f>
        <v/>
      </c>
      <c r="C259" s="27">
        <f>IFERROR(IF(ISNUMBER(Datos!C259),Datos!C259/$F$3*100,NA()),NA())</f>
        <v/>
      </c>
    </row>
    <row r="260">
      <c r="A260" s="7">
        <f>IFERROR(Datos!A260,"")</f>
        <v/>
      </c>
      <c r="B260" s="27">
        <f>IFERROR(IF(ISNUMBER(Datos!B260),Datos!B260/$F$2*100,NA()),NA())</f>
        <v/>
      </c>
      <c r="C260" s="27">
        <f>IFERROR(IF(ISNUMBER(Datos!C260),Datos!C260/$F$3*100,NA()),NA())</f>
        <v/>
      </c>
    </row>
    <row r="261">
      <c r="A261" s="7">
        <f>IFERROR(Datos!A261,"")</f>
        <v/>
      </c>
      <c r="B261" s="27">
        <f>IFERROR(IF(ISNUMBER(Datos!B261),Datos!B261/$F$2*100,NA()),NA())</f>
        <v/>
      </c>
      <c r="C261" s="27">
        <f>IFERROR(IF(ISNUMBER(Datos!C261),Datos!C261/$F$3*100,NA()),NA())</f>
        <v/>
      </c>
    </row>
    <row r="262">
      <c r="A262" s="7">
        <f>IFERROR(Datos!A262,"")</f>
        <v/>
      </c>
      <c r="B262" s="27">
        <f>IFERROR(IF(ISNUMBER(Datos!B262),Datos!B262/$F$2*100,NA()),NA())</f>
        <v/>
      </c>
      <c r="C262" s="27">
        <f>IFERROR(IF(ISNUMBER(Datos!C262),Datos!C262/$F$3*100,NA()),NA())</f>
        <v/>
      </c>
    </row>
    <row r="263">
      <c r="A263" s="7">
        <f>IFERROR(Datos!A263,"")</f>
        <v/>
      </c>
      <c r="B263" s="27">
        <f>IFERROR(IF(ISNUMBER(Datos!B263),Datos!B263/$F$2*100,NA()),NA())</f>
        <v/>
      </c>
      <c r="C263" s="27">
        <f>IFERROR(IF(ISNUMBER(Datos!C263),Datos!C263/$F$3*100,NA()),NA())</f>
        <v/>
      </c>
    </row>
    <row r="264">
      <c r="A264" s="7">
        <f>IFERROR(Datos!A264,"")</f>
        <v/>
      </c>
      <c r="B264" s="27">
        <f>IFERROR(IF(ISNUMBER(Datos!B264),Datos!B264/$F$2*100,NA()),NA())</f>
        <v/>
      </c>
      <c r="C264" s="27">
        <f>IFERROR(IF(ISNUMBER(Datos!C264),Datos!C264/$F$3*100,NA()),NA())</f>
        <v/>
      </c>
    </row>
    <row r="265">
      <c r="A265" s="7">
        <f>IFERROR(Datos!A265,"")</f>
        <v/>
      </c>
      <c r="B265" s="27">
        <f>IFERROR(IF(ISNUMBER(Datos!B265),Datos!B265/$F$2*100,NA()),NA())</f>
        <v/>
      </c>
      <c r="C265" s="27">
        <f>IFERROR(IF(ISNUMBER(Datos!C265),Datos!C265/$F$3*100,NA()),NA())</f>
        <v/>
      </c>
    </row>
    <row r="266">
      <c r="A266" s="7">
        <f>IFERROR(Datos!A266,"")</f>
        <v/>
      </c>
      <c r="B266" s="27">
        <f>IFERROR(IF(ISNUMBER(Datos!B266),Datos!B266/$F$2*100,NA()),NA())</f>
        <v/>
      </c>
      <c r="C266" s="27">
        <f>IFERROR(IF(ISNUMBER(Datos!C266),Datos!C266/$F$3*100,NA()),NA())</f>
        <v/>
      </c>
    </row>
    <row r="267">
      <c r="A267" s="7">
        <f>IFERROR(Datos!A267,"")</f>
        <v/>
      </c>
      <c r="B267" s="27">
        <f>IFERROR(IF(ISNUMBER(Datos!B267),Datos!B267/$F$2*100,NA()),NA())</f>
        <v/>
      </c>
      <c r="C267" s="27">
        <f>IFERROR(IF(ISNUMBER(Datos!C267),Datos!C267/$F$3*100,NA()),NA())</f>
        <v/>
      </c>
    </row>
    <row r="268">
      <c r="A268" s="7">
        <f>IFERROR(Datos!A268,"")</f>
        <v/>
      </c>
      <c r="B268" s="27">
        <f>IFERROR(IF(ISNUMBER(Datos!B268),Datos!B268/$F$2*100,NA()),NA())</f>
        <v/>
      </c>
      <c r="C268" s="27">
        <f>IFERROR(IF(ISNUMBER(Datos!C268),Datos!C268/$F$3*100,NA()),NA())</f>
        <v/>
      </c>
    </row>
    <row r="269">
      <c r="A269" s="7">
        <f>IFERROR(Datos!A269,"")</f>
        <v/>
      </c>
      <c r="B269" s="27">
        <f>IFERROR(IF(ISNUMBER(Datos!B269),Datos!B269/$F$2*100,NA()),NA())</f>
        <v/>
      </c>
      <c r="C269" s="27">
        <f>IFERROR(IF(ISNUMBER(Datos!C269),Datos!C269/$F$3*100,NA()),NA())</f>
        <v/>
      </c>
    </row>
    <row r="270">
      <c r="A270" s="7">
        <f>IFERROR(Datos!A270,"")</f>
        <v/>
      </c>
      <c r="B270" s="27">
        <f>IFERROR(IF(ISNUMBER(Datos!B270),Datos!B270/$F$2*100,NA()),NA())</f>
        <v/>
      </c>
      <c r="C270" s="27">
        <f>IFERROR(IF(ISNUMBER(Datos!C270),Datos!C270/$F$3*100,NA()),NA())</f>
        <v/>
      </c>
    </row>
    <row r="271">
      <c r="A271" s="7">
        <f>IFERROR(Datos!A271,"")</f>
        <v/>
      </c>
      <c r="B271" s="27">
        <f>IFERROR(IF(ISNUMBER(Datos!B271),Datos!B271/$F$2*100,NA()),NA())</f>
        <v/>
      </c>
      <c r="C271" s="27">
        <f>IFERROR(IF(ISNUMBER(Datos!C271),Datos!C271/$F$3*100,NA()),NA())</f>
        <v/>
      </c>
    </row>
    <row r="272">
      <c r="A272" s="7">
        <f>IFERROR(Datos!A272,"")</f>
        <v/>
      </c>
      <c r="B272" s="27">
        <f>IFERROR(IF(ISNUMBER(Datos!B272),Datos!B272/$F$2*100,NA()),NA())</f>
        <v/>
      </c>
      <c r="C272" s="27">
        <f>IFERROR(IF(ISNUMBER(Datos!C272),Datos!C272/$F$3*100,NA()),NA())</f>
        <v/>
      </c>
    </row>
    <row r="273">
      <c r="A273" s="7">
        <f>IFERROR(Datos!A273,"")</f>
        <v/>
      </c>
      <c r="B273" s="27">
        <f>IFERROR(IF(ISNUMBER(Datos!B273),Datos!B273/$F$2*100,NA()),NA())</f>
        <v/>
      </c>
      <c r="C273" s="27">
        <f>IFERROR(IF(ISNUMBER(Datos!C273),Datos!C273/$F$3*100,NA()),NA())</f>
        <v/>
      </c>
    </row>
    <row r="274">
      <c r="A274" s="7">
        <f>IFERROR(Datos!A274,"")</f>
        <v/>
      </c>
      <c r="B274" s="27">
        <f>IFERROR(IF(ISNUMBER(Datos!B274),Datos!B274/$F$2*100,NA()),NA())</f>
        <v/>
      </c>
      <c r="C274" s="27">
        <f>IFERROR(IF(ISNUMBER(Datos!C274),Datos!C274/$F$3*100,NA()),NA())</f>
        <v/>
      </c>
    </row>
    <row r="275">
      <c r="A275" s="7">
        <f>IFERROR(Datos!A275,"")</f>
        <v/>
      </c>
      <c r="B275" s="27">
        <f>IFERROR(IF(ISNUMBER(Datos!B275),Datos!B275/$F$2*100,NA()),NA())</f>
        <v/>
      </c>
      <c r="C275" s="27">
        <f>IFERROR(IF(ISNUMBER(Datos!C275),Datos!C275/$F$3*100,NA()),NA())</f>
        <v/>
      </c>
    </row>
    <row r="276">
      <c r="A276" s="7">
        <f>IFERROR(Datos!A276,"")</f>
        <v/>
      </c>
      <c r="B276" s="27">
        <f>IFERROR(IF(ISNUMBER(Datos!B276),Datos!B276/$F$2*100,NA()),NA())</f>
        <v/>
      </c>
      <c r="C276" s="27">
        <f>IFERROR(IF(ISNUMBER(Datos!C276),Datos!C276/$F$3*100,NA()),NA())</f>
        <v/>
      </c>
    </row>
    <row r="277">
      <c r="A277" s="7">
        <f>IFERROR(Datos!A277,"")</f>
        <v/>
      </c>
      <c r="B277" s="27">
        <f>IFERROR(IF(ISNUMBER(Datos!B277),Datos!B277/$F$2*100,NA()),NA())</f>
        <v/>
      </c>
      <c r="C277" s="27">
        <f>IFERROR(IF(ISNUMBER(Datos!C277),Datos!C277/$F$3*100,NA()),NA())</f>
        <v/>
      </c>
    </row>
    <row r="278">
      <c r="A278" s="7">
        <f>IFERROR(Datos!A278,"")</f>
        <v/>
      </c>
      <c r="B278" s="27">
        <f>IFERROR(IF(ISNUMBER(Datos!B278),Datos!B278/$F$2*100,NA()),NA())</f>
        <v/>
      </c>
      <c r="C278" s="27">
        <f>IFERROR(IF(ISNUMBER(Datos!C278),Datos!C278/$F$3*100,NA()),NA())</f>
        <v/>
      </c>
    </row>
    <row r="279">
      <c r="A279" s="7">
        <f>IFERROR(Datos!A279,"")</f>
        <v/>
      </c>
      <c r="B279" s="27">
        <f>IFERROR(IF(ISNUMBER(Datos!B279),Datos!B279/$F$2*100,NA()),NA())</f>
        <v/>
      </c>
      <c r="C279" s="27">
        <f>IFERROR(IF(ISNUMBER(Datos!C279),Datos!C279/$F$3*100,NA()),NA())</f>
        <v/>
      </c>
    </row>
    <row r="280">
      <c r="A280" s="7">
        <f>IFERROR(Datos!A280,"")</f>
        <v/>
      </c>
      <c r="B280" s="27">
        <f>IFERROR(IF(ISNUMBER(Datos!B280),Datos!B280/$F$2*100,NA()),NA())</f>
        <v/>
      </c>
      <c r="C280" s="27">
        <f>IFERROR(IF(ISNUMBER(Datos!C280),Datos!C280/$F$3*100,NA()),NA())</f>
        <v/>
      </c>
    </row>
    <row r="281">
      <c r="A281" s="7">
        <f>IFERROR(Datos!A281,"")</f>
        <v/>
      </c>
      <c r="B281" s="27">
        <f>IFERROR(IF(ISNUMBER(Datos!B281),Datos!B281/$F$2*100,NA()),NA())</f>
        <v/>
      </c>
      <c r="C281" s="27">
        <f>IFERROR(IF(ISNUMBER(Datos!C281),Datos!C281/$F$3*100,NA()),NA())</f>
        <v/>
      </c>
    </row>
    <row r="282">
      <c r="A282" s="7">
        <f>IFERROR(Datos!A282,"")</f>
        <v/>
      </c>
      <c r="B282" s="27">
        <f>IFERROR(IF(ISNUMBER(Datos!B282),Datos!B282/$F$2*100,NA()),NA())</f>
        <v/>
      </c>
      <c r="C282" s="27">
        <f>IFERROR(IF(ISNUMBER(Datos!C282),Datos!C282/$F$3*100,NA()),NA())</f>
        <v/>
      </c>
    </row>
    <row r="283">
      <c r="A283" s="7">
        <f>IFERROR(Datos!A283,"")</f>
        <v/>
      </c>
      <c r="B283" s="27">
        <f>IFERROR(IF(ISNUMBER(Datos!B283),Datos!B283/$F$2*100,NA()),NA())</f>
        <v/>
      </c>
      <c r="C283" s="27">
        <f>IFERROR(IF(ISNUMBER(Datos!C283),Datos!C283/$F$3*100,NA()),NA())</f>
        <v/>
      </c>
    </row>
    <row r="284">
      <c r="A284" s="7">
        <f>IFERROR(Datos!A284,"")</f>
        <v/>
      </c>
      <c r="B284" s="27">
        <f>IFERROR(IF(ISNUMBER(Datos!B284),Datos!B284/$F$2*100,NA()),NA())</f>
        <v/>
      </c>
      <c r="C284" s="27">
        <f>IFERROR(IF(ISNUMBER(Datos!C284),Datos!C284/$F$3*100,NA()),NA())</f>
        <v/>
      </c>
    </row>
    <row r="285">
      <c r="A285" s="7">
        <f>IFERROR(Datos!A285,"")</f>
        <v/>
      </c>
      <c r="B285" s="27">
        <f>IFERROR(IF(ISNUMBER(Datos!B285),Datos!B285/$F$2*100,NA()),NA())</f>
        <v/>
      </c>
      <c r="C285" s="27">
        <f>IFERROR(IF(ISNUMBER(Datos!C285),Datos!C285/$F$3*100,NA()),NA())</f>
        <v/>
      </c>
    </row>
    <row r="286">
      <c r="A286" s="7">
        <f>IFERROR(Datos!A286,"")</f>
        <v/>
      </c>
      <c r="B286" s="27">
        <f>IFERROR(IF(ISNUMBER(Datos!B286),Datos!B286/$F$2*100,NA()),NA())</f>
        <v/>
      </c>
      <c r="C286" s="27">
        <f>IFERROR(IF(ISNUMBER(Datos!C286),Datos!C286/$F$3*100,NA()),NA())</f>
        <v/>
      </c>
    </row>
    <row r="287">
      <c r="A287" s="7">
        <f>IFERROR(Datos!A287,"")</f>
        <v/>
      </c>
      <c r="B287" s="27">
        <f>IFERROR(IF(ISNUMBER(Datos!B287),Datos!B287/$F$2*100,NA()),NA())</f>
        <v/>
      </c>
      <c r="C287" s="27">
        <f>IFERROR(IF(ISNUMBER(Datos!C287),Datos!C287/$F$3*100,NA()),NA())</f>
        <v/>
      </c>
    </row>
    <row r="288">
      <c r="A288" s="7">
        <f>IFERROR(Datos!A288,"")</f>
        <v/>
      </c>
      <c r="B288" s="27">
        <f>IFERROR(IF(ISNUMBER(Datos!B288),Datos!B288/$F$2*100,NA()),NA())</f>
        <v/>
      </c>
      <c r="C288" s="27">
        <f>IFERROR(IF(ISNUMBER(Datos!C288),Datos!C288/$F$3*100,NA()),NA())</f>
        <v/>
      </c>
    </row>
    <row r="289">
      <c r="A289" s="7">
        <f>IFERROR(Datos!A289,"")</f>
        <v/>
      </c>
      <c r="B289" s="27">
        <f>IFERROR(IF(ISNUMBER(Datos!B289),Datos!B289/$F$2*100,NA()),NA())</f>
        <v/>
      </c>
      <c r="C289" s="27">
        <f>IFERROR(IF(ISNUMBER(Datos!C289),Datos!C289/$F$3*100,NA()),NA())</f>
        <v/>
      </c>
    </row>
    <row r="290">
      <c r="A290" s="7">
        <f>IFERROR(Datos!A290,"")</f>
        <v/>
      </c>
      <c r="B290" s="27">
        <f>IFERROR(IF(ISNUMBER(Datos!B290),Datos!B290/$F$2*100,NA()),NA())</f>
        <v/>
      </c>
      <c r="C290" s="27">
        <f>IFERROR(IF(ISNUMBER(Datos!C290),Datos!C290/$F$3*100,NA()),NA())</f>
        <v/>
      </c>
    </row>
    <row r="291">
      <c r="A291" s="7">
        <f>IFERROR(Datos!A291,"")</f>
        <v/>
      </c>
      <c r="B291" s="27">
        <f>IFERROR(IF(ISNUMBER(Datos!B291),Datos!B291/$F$2*100,NA()),NA())</f>
        <v/>
      </c>
      <c r="C291" s="27">
        <f>IFERROR(IF(ISNUMBER(Datos!C291),Datos!C291/$F$3*100,NA()),NA())</f>
        <v/>
      </c>
    </row>
    <row r="292">
      <c r="A292" s="7">
        <f>IFERROR(Datos!A292,"")</f>
        <v/>
      </c>
      <c r="B292" s="27">
        <f>IFERROR(IF(ISNUMBER(Datos!B292),Datos!B292/$F$2*100,NA()),NA())</f>
        <v/>
      </c>
      <c r="C292" s="27">
        <f>IFERROR(IF(ISNUMBER(Datos!C292),Datos!C292/$F$3*100,NA()),NA())</f>
        <v/>
      </c>
    </row>
    <row r="293">
      <c r="A293" s="7">
        <f>IFERROR(Datos!A293,"")</f>
        <v/>
      </c>
      <c r="B293" s="27">
        <f>IFERROR(IF(ISNUMBER(Datos!B293),Datos!B293/$F$2*100,NA()),NA())</f>
        <v/>
      </c>
      <c r="C293" s="27">
        <f>IFERROR(IF(ISNUMBER(Datos!C293),Datos!C293/$F$3*100,NA()),NA())</f>
        <v/>
      </c>
    </row>
    <row r="294">
      <c r="A294" s="7">
        <f>IFERROR(Datos!A294,"")</f>
        <v/>
      </c>
      <c r="B294" s="27">
        <f>IFERROR(IF(ISNUMBER(Datos!B294),Datos!B294/$F$2*100,NA()),NA())</f>
        <v/>
      </c>
      <c r="C294" s="27">
        <f>IFERROR(IF(ISNUMBER(Datos!C294),Datos!C294/$F$3*100,NA()),NA())</f>
        <v/>
      </c>
    </row>
    <row r="295">
      <c r="A295" s="7">
        <f>IFERROR(Datos!A295,"")</f>
        <v/>
      </c>
      <c r="B295" s="27">
        <f>IFERROR(IF(ISNUMBER(Datos!B295),Datos!B295/$F$2*100,NA()),NA())</f>
        <v/>
      </c>
      <c r="C295" s="27">
        <f>IFERROR(IF(ISNUMBER(Datos!C295),Datos!C295/$F$3*100,NA()),NA())</f>
        <v/>
      </c>
    </row>
    <row r="296">
      <c r="A296" s="7">
        <f>IFERROR(Datos!A296,"")</f>
        <v/>
      </c>
      <c r="B296" s="27">
        <f>IFERROR(IF(ISNUMBER(Datos!B296),Datos!B296/$F$2*100,NA()),NA())</f>
        <v/>
      </c>
      <c r="C296" s="27">
        <f>IFERROR(IF(ISNUMBER(Datos!C296),Datos!C296/$F$3*100,NA()),NA())</f>
        <v/>
      </c>
    </row>
    <row r="297">
      <c r="A297" s="7">
        <f>IFERROR(Datos!A297,"")</f>
        <v/>
      </c>
      <c r="B297" s="27">
        <f>IFERROR(IF(ISNUMBER(Datos!B297),Datos!B297/$F$2*100,NA()),NA())</f>
        <v/>
      </c>
      <c r="C297" s="27">
        <f>IFERROR(IF(ISNUMBER(Datos!C297),Datos!C297/$F$3*100,NA()),NA())</f>
        <v/>
      </c>
    </row>
    <row r="298">
      <c r="A298" s="7">
        <f>IFERROR(Datos!A298,"")</f>
        <v/>
      </c>
      <c r="B298" s="27">
        <f>IFERROR(IF(ISNUMBER(Datos!B298),Datos!B298/$F$2*100,NA()),NA())</f>
        <v/>
      </c>
      <c r="C298" s="27">
        <f>IFERROR(IF(ISNUMBER(Datos!C298),Datos!C298/$F$3*100,NA()),NA())</f>
        <v/>
      </c>
    </row>
    <row r="299">
      <c r="A299" s="7">
        <f>IFERROR(Datos!A299,"")</f>
        <v/>
      </c>
      <c r="B299" s="27">
        <f>IFERROR(IF(ISNUMBER(Datos!B299),Datos!B299/$F$2*100,NA()),NA())</f>
        <v/>
      </c>
      <c r="C299" s="27">
        <f>IFERROR(IF(ISNUMBER(Datos!C299),Datos!C299/$F$3*100,NA()),NA())</f>
        <v/>
      </c>
    </row>
    <row r="300">
      <c r="A300" s="7">
        <f>IFERROR(Datos!A300,"")</f>
        <v/>
      </c>
      <c r="B300" s="27">
        <f>IFERROR(IF(ISNUMBER(Datos!B300),Datos!B300/$F$2*100,NA()),NA())</f>
        <v/>
      </c>
      <c r="C300" s="27">
        <f>IFERROR(IF(ISNUMBER(Datos!C300),Datos!C300/$F$3*100,NA()),NA())</f>
        <v/>
      </c>
    </row>
    <row r="301">
      <c r="A301" s="7">
        <f>IFERROR(Datos!A301,"")</f>
        <v/>
      </c>
      <c r="B301" s="27">
        <f>IFERROR(IF(ISNUMBER(Datos!B301),Datos!B301/$F$2*100,NA()),NA())</f>
        <v/>
      </c>
      <c r="C301" s="27">
        <f>IFERROR(IF(ISNUMBER(Datos!C301),Datos!C301/$F$3*100,NA()),NA())</f>
        <v/>
      </c>
    </row>
    <row r="302">
      <c r="A302" s="7">
        <f>IFERROR(Datos!A302,"")</f>
        <v/>
      </c>
      <c r="B302" s="27">
        <f>IFERROR(IF(ISNUMBER(Datos!B302),Datos!B302/$F$2*100,NA()),NA())</f>
        <v/>
      </c>
      <c r="C302" s="27">
        <f>IFERROR(IF(ISNUMBER(Datos!C302),Datos!C302/$F$3*100,NA()),NA())</f>
        <v/>
      </c>
    </row>
    <row r="303">
      <c r="A303" s="7">
        <f>IFERROR(Datos!A303,"")</f>
        <v/>
      </c>
      <c r="B303" s="27">
        <f>IFERROR(IF(ISNUMBER(Datos!B303),Datos!B303/$F$2*100,NA()),NA())</f>
        <v/>
      </c>
      <c r="C303" s="27">
        <f>IFERROR(IF(ISNUMBER(Datos!C303),Datos!C303/$F$3*100,NA()),NA())</f>
        <v/>
      </c>
    </row>
    <row r="304">
      <c r="A304" s="7">
        <f>IFERROR(Datos!A304,"")</f>
        <v/>
      </c>
      <c r="B304" s="27">
        <f>IFERROR(IF(ISNUMBER(Datos!B304),Datos!B304/$F$2*100,NA()),NA())</f>
        <v/>
      </c>
      <c r="C304" s="27">
        <f>IFERROR(IF(ISNUMBER(Datos!C304),Datos!C304/$F$3*100,NA()),NA())</f>
        <v/>
      </c>
    </row>
    <row r="305">
      <c r="A305" s="7">
        <f>IFERROR(Datos!A305,"")</f>
        <v/>
      </c>
      <c r="B305" s="27">
        <f>IFERROR(IF(ISNUMBER(Datos!B305),Datos!B305/$F$2*100,NA()),NA())</f>
        <v/>
      </c>
      <c r="C305" s="27">
        <f>IFERROR(IF(ISNUMBER(Datos!C305),Datos!C305/$F$3*100,NA()),NA())</f>
        <v/>
      </c>
    </row>
    <row r="306">
      <c r="A306" s="7">
        <f>IFERROR(Datos!A306,"")</f>
        <v/>
      </c>
      <c r="B306" s="27">
        <f>IFERROR(IF(ISNUMBER(Datos!B306),Datos!B306/$F$2*100,NA()),NA())</f>
        <v/>
      </c>
      <c r="C306" s="27">
        <f>IFERROR(IF(ISNUMBER(Datos!C306),Datos!C306/$F$3*100,NA()),NA())</f>
        <v/>
      </c>
    </row>
    <row r="307">
      <c r="A307" s="7">
        <f>IFERROR(Datos!A307,"")</f>
        <v/>
      </c>
      <c r="B307" s="27">
        <f>IFERROR(IF(ISNUMBER(Datos!B307),Datos!B307/$F$2*100,NA()),NA())</f>
        <v/>
      </c>
      <c r="C307" s="27">
        <f>IFERROR(IF(ISNUMBER(Datos!C307),Datos!C307/$F$3*100,NA()),NA())</f>
        <v/>
      </c>
    </row>
    <row r="308">
      <c r="A308" s="7">
        <f>IFERROR(Datos!A308,"")</f>
        <v/>
      </c>
      <c r="B308" s="27">
        <f>IFERROR(IF(ISNUMBER(Datos!B308),Datos!B308/$F$2*100,NA()),NA())</f>
        <v/>
      </c>
      <c r="C308" s="27">
        <f>IFERROR(IF(ISNUMBER(Datos!C308),Datos!C308/$F$3*100,NA()),NA())</f>
        <v/>
      </c>
    </row>
    <row r="309">
      <c r="A309" s="7">
        <f>IFERROR(Datos!A309,"")</f>
        <v/>
      </c>
      <c r="B309" s="27">
        <f>IFERROR(IF(ISNUMBER(Datos!B309),Datos!B309/$F$2*100,NA()),NA())</f>
        <v/>
      </c>
      <c r="C309" s="27">
        <f>IFERROR(IF(ISNUMBER(Datos!C309),Datos!C309/$F$3*100,NA()),NA())</f>
        <v/>
      </c>
    </row>
    <row r="310">
      <c r="A310" s="7">
        <f>IFERROR(Datos!A310,"")</f>
        <v/>
      </c>
      <c r="B310" s="27">
        <f>IFERROR(IF(ISNUMBER(Datos!B310),Datos!B310/$F$2*100,NA()),NA())</f>
        <v/>
      </c>
      <c r="C310" s="27">
        <f>IFERROR(IF(ISNUMBER(Datos!C310),Datos!C310/$F$3*100,NA()),NA())</f>
        <v/>
      </c>
    </row>
    <row r="311">
      <c r="A311" s="7">
        <f>IFERROR(Datos!A311,"")</f>
        <v/>
      </c>
      <c r="B311" s="27">
        <f>IFERROR(IF(ISNUMBER(Datos!B311),Datos!B311/$F$2*100,NA()),NA())</f>
        <v/>
      </c>
      <c r="C311" s="27">
        <f>IFERROR(IF(ISNUMBER(Datos!C311),Datos!C311/$F$3*100,NA()),NA())</f>
        <v/>
      </c>
    </row>
    <row r="312">
      <c r="A312" s="7">
        <f>IFERROR(Datos!A312,"")</f>
        <v/>
      </c>
      <c r="B312" s="27">
        <f>IFERROR(IF(ISNUMBER(Datos!B312),Datos!B312/$F$2*100,NA()),NA())</f>
        <v/>
      </c>
      <c r="C312" s="27">
        <f>IFERROR(IF(ISNUMBER(Datos!C312),Datos!C312/$F$3*100,NA()),NA())</f>
        <v/>
      </c>
    </row>
    <row r="313">
      <c r="A313" s="7">
        <f>IFERROR(Datos!A313,"")</f>
        <v/>
      </c>
      <c r="B313" s="27">
        <f>IFERROR(IF(ISNUMBER(Datos!B313),Datos!B313/$F$2*100,NA()),NA())</f>
        <v/>
      </c>
      <c r="C313" s="27">
        <f>IFERROR(IF(ISNUMBER(Datos!C313),Datos!C313/$F$3*100,NA()),NA())</f>
        <v/>
      </c>
    </row>
    <row r="314">
      <c r="A314" s="7">
        <f>IFERROR(Datos!A314,"")</f>
        <v/>
      </c>
      <c r="B314" s="27">
        <f>IFERROR(IF(ISNUMBER(Datos!B314),Datos!B314/$F$2*100,NA()),NA())</f>
        <v/>
      </c>
      <c r="C314" s="27">
        <f>IFERROR(IF(ISNUMBER(Datos!C314),Datos!C314/$F$3*100,NA()),NA())</f>
        <v/>
      </c>
    </row>
    <row r="315">
      <c r="A315" s="7">
        <f>IFERROR(Datos!A315,"")</f>
        <v/>
      </c>
      <c r="B315" s="27">
        <f>IFERROR(IF(ISNUMBER(Datos!B315),Datos!B315/$F$2*100,NA()),NA())</f>
        <v/>
      </c>
      <c r="C315" s="27">
        <f>IFERROR(IF(ISNUMBER(Datos!C315),Datos!C315/$F$3*100,NA()),NA())</f>
        <v/>
      </c>
    </row>
    <row r="316">
      <c r="A316" s="7">
        <f>IFERROR(Datos!A316,"")</f>
        <v/>
      </c>
      <c r="B316" s="27">
        <f>IFERROR(IF(ISNUMBER(Datos!B316),Datos!B316/$F$2*100,NA()),NA())</f>
        <v/>
      </c>
      <c r="C316" s="27">
        <f>IFERROR(IF(ISNUMBER(Datos!C316),Datos!C316/$F$3*100,NA()),NA())</f>
        <v/>
      </c>
    </row>
    <row r="317">
      <c r="A317" s="7">
        <f>IFERROR(Datos!A317,"")</f>
        <v/>
      </c>
      <c r="B317" s="27">
        <f>IFERROR(IF(ISNUMBER(Datos!B317),Datos!B317/$F$2*100,NA()),NA())</f>
        <v/>
      </c>
      <c r="C317" s="27">
        <f>IFERROR(IF(ISNUMBER(Datos!C317),Datos!C317/$F$3*100,NA()),NA())</f>
        <v/>
      </c>
    </row>
    <row r="318">
      <c r="A318" s="7">
        <f>IFERROR(Datos!A318,"")</f>
        <v/>
      </c>
      <c r="B318" s="27">
        <f>IFERROR(IF(ISNUMBER(Datos!B318),Datos!B318/$F$2*100,NA()),NA())</f>
        <v/>
      </c>
      <c r="C318" s="27">
        <f>IFERROR(IF(ISNUMBER(Datos!C318),Datos!C318/$F$3*100,NA()),NA())</f>
        <v/>
      </c>
    </row>
    <row r="319">
      <c r="A319" s="7">
        <f>IFERROR(Datos!A319,"")</f>
        <v/>
      </c>
      <c r="B319" s="27">
        <f>IFERROR(IF(ISNUMBER(Datos!B319),Datos!B319/$F$2*100,NA()),NA())</f>
        <v/>
      </c>
      <c r="C319" s="27">
        <f>IFERROR(IF(ISNUMBER(Datos!C319),Datos!C319/$F$3*100,NA()),NA())</f>
        <v/>
      </c>
    </row>
    <row r="320">
      <c r="A320" s="7">
        <f>IFERROR(Datos!A320,"")</f>
        <v/>
      </c>
      <c r="B320" s="27">
        <f>IFERROR(IF(ISNUMBER(Datos!B320),Datos!B320/$F$2*100,NA()),NA())</f>
        <v/>
      </c>
      <c r="C320" s="27">
        <f>IFERROR(IF(ISNUMBER(Datos!C320),Datos!C320/$F$3*100,NA()),NA())</f>
        <v/>
      </c>
    </row>
    <row r="321">
      <c r="A321" s="7">
        <f>IFERROR(Datos!A321,"")</f>
        <v/>
      </c>
      <c r="B321" s="27">
        <f>IFERROR(IF(ISNUMBER(Datos!B321),Datos!B321/$F$2*100,NA()),NA())</f>
        <v/>
      </c>
      <c r="C321" s="27">
        <f>IFERROR(IF(ISNUMBER(Datos!C321),Datos!C321/$F$3*100,NA()),NA())</f>
        <v/>
      </c>
    </row>
    <row r="322">
      <c r="A322" s="7">
        <f>IFERROR(Datos!A322,"")</f>
        <v/>
      </c>
      <c r="B322" s="27">
        <f>IFERROR(IF(ISNUMBER(Datos!B322),Datos!B322/$F$2*100,NA()),NA())</f>
        <v/>
      </c>
      <c r="C322" s="27">
        <f>IFERROR(IF(ISNUMBER(Datos!C322),Datos!C322/$F$3*100,NA()),NA())</f>
        <v/>
      </c>
    </row>
    <row r="323">
      <c r="A323" s="7">
        <f>IFERROR(Datos!A323,"")</f>
        <v/>
      </c>
      <c r="B323" s="27">
        <f>IFERROR(IF(ISNUMBER(Datos!B323),Datos!B323/$F$2*100,NA()),NA())</f>
        <v/>
      </c>
      <c r="C323" s="27">
        <f>IFERROR(IF(ISNUMBER(Datos!C323),Datos!C323/$F$3*100,NA()),NA())</f>
        <v/>
      </c>
    </row>
    <row r="324">
      <c r="A324" s="7">
        <f>IFERROR(Datos!A324,"")</f>
        <v/>
      </c>
      <c r="B324" s="27">
        <f>IFERROR(IF(ISNUMBER(Datos!B324),Datos!B324/$F$2*100,NA()),NA())</f>
        <v/>
      </c>
      <c r="C324" s="27">
        <f>IFERROR(IF(ISNUMBER(Datos!C324),Datos!C324/$F$3*100,NA()),NA())</f>
        <v/>
      </c>
    </row>
    <row r="325">
      <c r="A325" s="7">
        <f>IFERROR(Datos!A325,"")</f>
        <v/>
      </c>
      <c r="B325" s="27">
        <f>IFERROR(IF(ISNUMBER(Datos!B325),Datos!B325/$F$2*100,NA()),NA())</f>
        <v/>
      </c>
      <c r="C325" s="27">
        <f>IFERROR(IF(ISNUMBER(Datos!C325),Datos!C325/$F$3*100,NA()),NA())</f>
        <v/>
      </c>
    </row>
    <row r="326">
      <c r="A326" s="7">
        <f>IFERROR(Datos!A326,"")</f>
        <v/>
      </c>
      <c r="B326" s="27">
        <f>IFERROR(IF(ISNUMBER(Datos!B326),Datos!B326/$F$2*100,NA()),NA())</f>
        <v/>
      </c>
      <c r="C326" s="27">
        <f>IFERROR(IF(ISNUMBER(Datos!C326),Datos!C326/$F$3*100,NA()),NA())</f>
        <v/>
      </c>
    </row>
    <row r="327">
      <c r="A327" s="7">
        <f>IFERROR(Datos!A327,"")</f>
        <v/>
      </c>
      <c r="B327" s="27">
        <f>IFERROR(IF(ISNUMBER(Datos!B327),Datos!B327/$F$2*100,NA()),NA())</f>
        <v/>
      </c>
      <c r="C327" s="27">
        <f>IFERROR(IF(ISNUMBER(Datos!C327),Datos!C327/$F$3*100,NA()),NA())</f>
        <v/>
      </c>
    </row>
    <row r="328">
      <c r="A328" s="7">
        <f>IFERROR(Datos!A328,"")</f>
        <v/>
      </c>
      <c r="B328" s="27">
        <f>IFERROR(IF(ISNUMBER(Datos!B328),Datos!B328/$F$2*100,NA()),NA())</f>
        <v/>
      </c>
      <c r="C328" s="27">
        <f>IFERROR(IF(ISNUMBER(Datos!C328),Datos!C328/$F$3*100,NA()),NA())</f>
        <v/>
      </c>
    </row>
    <row r="329">
      <c r="A329" s="7">
        <f>IFERROR(Datos!A329,"")</f>
        <v/>
      </c>
      <c r="B329" s="27">
        <f>IFERROR(IF(ISNUMBER(Datos!B329),Datos!B329/$F$2*100,NA()),NA())</f>
        <v/>
      </c>
      <c r="C329" s="27">
        <f>IFERROR(IF(ISNUMBER(Datos!C329),Datos!C329/$F$3*100,NA()),NA())</f>
        <v/>
      </c>
    </row>
    <row r="330">
      <c r="A330" s="7">
        <f>IFERROR(Datos!A330,"")</f>
        <v/>
      </c>
      <c r="B330" s="27">
        <f>IFERROR(IF(ISNUMBER(Datos!B330),Datos!B330/$F$2*100,NA()),NA())</f>
        <v/>
      </c>
      <c r="C330" s="27">
        <f>IFERROR(IF(ISNUMBER(Datos!C330),Datos!C330/$F$3*100,NA()),NA())</f>
        <v/>
      </c>
    </row>
    <row r="331">
      <c r="A331" s="7">
        <f>IFERROR(Datos!A331,"")</f>
        <v/>
      </c>
      <c r="B331" s="27">
        <f>IFERROR(IF(ISNUMBER(Datos!B331),Datos!B331/$F$2*100,NA()),NA())</f>
        <v/>
      </c>
      <c r="C331" s="27">
        <f>IFERROR(IF(ISNUMBER(Datos!C331),Datos!C331/$F$3*100,NA()),NA())</f>
        <v/>
      </c>
    </row>
    <row r="332">
      <c r="A332" s="7">
        <f>IFERROR(Datos!A332,"")</f>
        <v/>
      </c>
      <c r="B332" s="27">
        <f>IFERROR(IF(ISNUMBER(Datos!B332),Datos!B332/$F$2*100,NA()),NA())</f>
        <v/>
      </c>
      <c r="C332" s="27">
        <f>IFERROR(IF(ISNUMBER(Datos!C332),Datos!C332/$F$3*100,NA()),NA())</f>
        <v/>
      </c>
    </row>
    <row r="333">
      <c r="A333" s="7">
        <f>IFERROR(Datos!A333,"")</f>
        <v/>
      </c>
      <c r="B333" s="27">
        <f>IFERROR(IF(ISNUMBER(Datos!B333),Datos!B333/$F$2*100,NA()),NA())</f>
        <v/>
      </c>
      <c r="C333" s="27">
        <f>IFERROR(IF(ISNUMBER(Datos!C333),Datos!C333/$F$3*100,NA()),NA())</f>
        <v/>
      </c>
    </row>
    <row r="334">
      <c r="A334" s="7">
        <f>IFERROR(Datos!A334,"")</f>
        <v/>
      </c>
      <c r="B334" s="27">
        <f>IFERROR(IF(ISNUMBER(Datos!B334),Datos!B334/$F$2*100,NA()),NA())</f>
        <v/>
      </c>
      <c r="C334" s="27">
        <f>IFERROR(IF(ISNUMBER(Datos!C334),Datos!C334/$F$3*100,NA()),NA())</f>
        <v/>
      </c>
    </row>
    <row r="335">
      <c r="A335" s="7">
        <f>IFERROR(Datos!A335,"")</f>
        <v/>
      </c>
      <c r="B335" s="27">
        <f>IFERROR(IF(ISNUMBER(Datos!B335),Datos!B335/$F$2*100,NA()),NA())</f>
        <v/>
      </c>
      <c r="C335" s="27">
        <f>IFERROR(IF(ISNUMBER(Datos!C335),Datos!C335/$F$3*100,NA()),NA())</f>
        <v/>
      </c>
    </row>
    <row r="336">
      <c r="A336" s="7">
        <f>IFERROR(Datos!A336,"")</f>
        <v/>
      </c>
      <c r="B336" s="27">
        <f>IFERROR(IF(ISNUMBER(Datos!B336),Datos!B336/$F$2*100,NA()),NA())</f>
        <v/>
      </c>
      <c r="C336" s="27">
        <f>IFERROR(IF(ISNUMBER(Datos!C336),Datos!C336/$F$3*100,NA()),NA())</f>
        <v/>
      </c>
    </row>
    <row r="337">
      <c r="A337" s="7">
        <f>IFERROR(Datos!A337,"")</f>
        <v/>
      </c>
      <c r="B337" s="27">
        <f>IFERROR(IF(ISNUMBER(Datos!B337),Datos!B337/$F$2*100,NA()),NA())</f>
        <v/>
      </c>
      <c r="C337" s="27">
        <f>IFERROR(IF(ISNUMBER(Datos!C337),Datos!C337/$F$3*100,NA()),NA())</f>
        <v/>
      </c>
    </row>
    <row r="338">
      <c r="A338" s="7">
        <f>IFERROR(Datos!A338,"")</f>
        <v/>
      </c>
      <c r="B338" s="27">
        <f>IFERROR(IF(ISNUMBER(Datos!B338),Datos!B338/$F$2*100,NA()),NA())</f>
        <v/>
      </c>
      <c r="C338" s="27">
        <f>IFERROR(IF(ISNUMBER(Datos!C338),Datos!C338/$F$3*100,NA()),NA())</f>
        <v/>
      </c>
    </row>
    <row r="339">
      <c r="A339" s="7">
        <f>IFERROR(Datos!A339,"")</f>
        <v/>
      </c>
      <c r="B339" s="27">
        <f>IFERROR(IF(ISNUMBER(Datos!B339),Datos!B339/$F$2*100,NA()),NA())</f>
        <v/>
      </c>
      <c r="C339" s="27">
        <f>IFERROR(IF(ISNUMBER(Datos!C339),Datos!C339/$F$3*100,NA()),NA())</f>
        <v/>
      </c>
    </row>
    <row r="340">
      <c r="A340" s="7">
        <f>IFERROR(Datos!A340,"")</f>
        <v/>
      </c>
      <c r="B340" s="27">
        <f>IFERROR(IF(ISNUMBER(Datos!B340),Datos!B340/$F$2*100,NA()),NA())</f>
        <v/>
      </c>
      <c r="C340" s="27">
        <f>IFERROR(IF(ISNUMBER(Datos!C340),Datos!C340/$F$3*100,NA()),NA())</f>
        <v/>
      </c>
    </row>
    <row r="341">
      <c r="A341" s="7">
        <f>IFERROR(Datos!A341,"")</f>
        <v/>
      </c>
      <c r="B341" s="27">
        <f>IFERROR(IF(ISNUMBER(Datos!B341),Datos!B341/$F$2*100,NA()),NA())</f>
        <v/>
      </c>
      <c r="C341" s="27">
        <f>IFERROR(IF(ISNUMBER(Datos!C341),Datos!C341/$F$3*100,NA()),NA())</f>
        <v/>
      </c>
    </row>
    <row r="342">
      <c r="A342" s="7">
        <f>IFERROR(Datos!A342,"")</f>
        <v/>
      </c>
      <c r="B342" s="27">
        <f>IFERROR(IF(ISNUMBER(Datos!B342),Datos!B342/$F$2*100,NA()),NA())</f>
        <v/>
      </c>
      <c r="C342" s="27">
        <f>IFERROR(IF(ISNUMBER(Datos!C342),Datos!C342/$F$3*100,NA()),NA())</f>
        <v/>
      </c>
    </row>
    <row r="343">
      <c r="A343" s="7">
        <f>IFERROR(Datos!A343,"")</f>
        <v/>
      </c>
      <c r="B343" s="27">
        <f>IFERROR(IF(ISNUMBER(Datos!B343),Datos!B343/$F$2*100,NA()),NA())</f>
        <v/>
      </c>
      <c r="C343" s="27">
        <f>IFERROR(IF(ISNUMBER(Datos!C343),Datos!C343/$F$3*100,NA()),NA())</f>
        <v/>
      </c>
    </row>
    <row r="344">
      <c r="A344" s="7">
        <f>IFERROR(Datos!A344,"")</f>
        <v/>
      </c>
      <c r="B344" s="27">
        <f>IFERROR(IF(ISNUMBER(Datos!B344),Datos!B344/$F$2*100,NA()),NA())</f>
        <v/>
      </c>
      <c r="C344" s="27">
        <f>IFERROR(IF(ISNUMBER(Datos!C344),Datos!C344/$F$3*100,NA()),NA())</f>
        <v/>
      </c>
    </row>
    <row r="345">
      <c r="A345" s="7">
        <f>IFERROR(Datos!A345,"")</f>
        <v/>
      </c>
      <c r="B345" s="27">
        <f>IFERROR(IF(ISNUMBER(Datos!B345),Datos!B345/$F$2*100,NA()),NA())</f>
        <v/>
      </c>
      <c r="C345" s="27">
        <f>IFERROR(IF(ISNUMBER(Datos!C345),Datos!C345/$F$3*100,NA()),NA())</f>
        <v/>
      </c>
    </row>
    <row r="346">
      <c r="A346" s="7">
        <f>IFERROR(Datos!A346,"")</f>
        <v/>
      </c>
      <c r="B346" s="27">
        <f>IFERROR(IF(ISNUMBER(Datos!B346),Datos!B346/$F$2*100,NA()),NA())</f>
        <v/>
      </c>
      <c r="C346" s="27">
        <f>IFERROR(IF(ISNUMBER(Datos!C346),Datos!C346/$F$3*100,NA()),NA())</f>
        <v/>
      </c>
    </row>
    <row r="347">
      <c r="A347" s="7">
        <f>IFERROR(Datos!A347,"")</f>
        <v/>
      </c>
      <c r="B347" s="27">
        <f>IFERROR(IF(ISNUMBER(Datos!B347),Datos!B347/$F$2*100,NA()),NA())</f>
        <v/>
      </c>
      <c r="C347" s="27">
        <f>IFERROR(IF(ISNUMBER(Datos!C347),Datos!C347/$F$3*100,NA()),NA())</f>
        <v/>
      </c>
    </row>
    <row r="348">
      <c r="A348" s="7">
        <f>IFERROR(Datos!A348,"")</f>
        <v/>
      </c>
      <c r="B348" s="27">
        <f>IFERROR(IF(ISNUMBER(Datos!B348),Datos!B348/$F$2*100,NA()),NA())</f>
        <v/>
      </c>
      <c r="C348" s="27">
        <f>IFERROR(IF(ISNUMBER(Datos!C348),Datos!C348/$F$3*100,NA()),NA())</f>
        <v/>
      </c>
    </row>
    <row r="349">
      <c r="A349" s="7">
        <f>IFERROR(Datos!A349,"")</f>
        <v/>
      </c>
      <c r="B349" s="27">
        <f>IFERROR(IF(ISNUMBER(Datos!B349),Datos!B349/$F$2*100,NA()),NA())</f>
        <v/>
      </c>
      <c r="C349" s="27">
        <f>IFERROR(IF(ISNUMBER(Datos!C349),Datos!C349/$F$3*100,NA()),NA())</f>
        <v/>
      </c>
    </row>
    <row r="350">
      <c r="A350" s="7">
        <f>IFERROR(Datos!A350,"")</f>
        <v/>
      </c>
      <c r="B350" s="27">
        <f>IFERROR(IF(ISNUMBER(Datos!B350),Datos!B350/$F$2*100,NA()),NA())</f>
        <v/>
      </c>
      <c r="C350" s="27">
        <f>IFERROR(IF(ISNUMBER(Datos!C350),Datos!C350/$F$3*100,NA()),NA())</f>
        <v/>
      </c>
    </row>
    <row r="351">
      <c r="A351" s="7">
        <f>IFERROR(Datos!A351,"")</f>
        <v/>
      </c>
      <c r="B351" s="27">
        <f>IFERROR(IF(ISNUMBER(Datos!B351),Datos!B351/$F$2*100,NA()),NA())</f>
        <v/>
      </c>
      <c r="C351" s="27">
        <f>IFERROR(IF(ISNUMBER(Datos!C351),Datos!C351/$F$3*100,NA()),NA())</f>
        <v/>
      </c>
    </row>
    <row r="352">
      <c r="A352" s="7">
        <f>IFERROR(Datos!A352,"")</f>
        <v/>
      </c>
      <c r="B352" s="27">
        <f>IFERROR(IF(ISNUMBER(Datos!B352),Datos!B352/$F$2*100,NA()),NA())</f>
        <v/>
      </c>
      <c r="C352" s="27">
        <f>IFERROR(IF(ISNUMBER(Datos!C352),Datos!C352/$F$3*100,NA()),NA())</f>
        <v/>
      </c>
    </row>
    <row r="353">
      <c r="A353" s="7">
        <f>IFERROR(Datos!A353,"")</f>
        <v/>
      </c>
      <c r="B353" s="27">
        <f>IFERROR(IF(ISNUMBER(Datos!B353),Datos!B353/$F$2*100,NA()),NA())</f>
        <v/>
      </c>
      <c r="C353" s="27">
        <f>IFERROR(IF(ISNUMBER(Datos!C353),Datos!C353/$F$3*100,NA()),NA())</f>
        <v/>
      </c>
    </row>
    <row r="354">
      <c r="A354" s="7">
        <f>IFERROR(Datos!A354,"")</f>
        <v/>
      </c>
      <c r="B354" s="27">
        <f>IFERROR(IF(ISNUMBER(Datos!B354),Datos!B354/$F$2*100,NA()),NA())</f>
        <v/>
      </c>
      <c r="C354" s="27">
        <f>IFERROR(IF(ISNUMBER(Datos!C354),Datos!C354/$F$3*100,NA()),NA())</f>
        <v/>
      </c>
    </row>
    <row r="355">
      <c r="A355" s="7">
        <f>IFERROR(Datos!A355,"")</f>
        <v/>
      </c>
      <c r="B355" s="27">
        <f>IFERROR(IF(ISNUMBER(Datos!B355),Datos!B355/$F$2*100,NA()),NA())</f>
        <v/>
      </c>
      <c r="C355" s="27">
        <f>IFERROR(IF(ISNUMBER(Datos!C355),Datos!C355/$F$3*100,NA()),NA())</f>
        <v/>
      </c>
    </row>
    <row r="356">
      <c r="A356" s="7">
        <f>IFERROR(Datos!A356,"")</f>
        <v/>
      </c>
      <c r="B356" s="27">
        <f>IFERROR(IF(ISNUMBER(Datos!B356),Datos!B356/$F$2*100,NA()),NA())</f>
        <v/>
      </c>
      <c r="C356" s="27">
        <f>IFERROR(IF(ISNUMBER(Datos!C356),Datos!C356/$F$3*100,NA()),NA())</f>
        <v/>
      </c>
    </row>
    <row r="357">
      <c r="A357" s="7">
        <f>IFERROR(Datos!A357,"")</f>
        <v/>
      </c>
      <c r="B357" s="27">
        <f>IFERROR(IF(ISNUMBER(Datos!B357),Datos!B357/$F$2*100,NA()),NA())</f>
        <v/>
      </c>
      <c r="C357" s="27">
        <f>IFERROR(IF(ISNUMBER(Datos!C357),Datos!C357/$F$3*100,NA()),NA())</f>
        <v/>
      </c>
    </row>
    <row r="358">
      <c r="A358" s="7">
        <f>IFERROR(Datos!A358,"")</f>
        <v/>
      </c>
      <c r="B358" s="27">
        <f>IFERROR(IF(ISNUMBER(Datos!B358),Datos!B358/$F$2*100,NA()),NA())</f>
        <v/>
      </c>
      <c r="C358" s="27">
        <f>IFERROR(IF(ISNUMBER(Datos!C358),Datos!C358/$F$3*100,NA()),NA())</f>
        <v/>
      </c>
    </row>
    <row r="359">
      <c r="A359" s="7">
        <f>IFERROR(Datos!A359,"")</f>
        <v/>
      </c>
      <c r="B359" s="27">
        <f>IFERROR(IF(ISNUMBER(Datos!B359),Datos!B359/$F$2*100,NA()),NA())</f>
        <v/>
      </c>
      <c r="C359" s="27">
        <f>IFERROR(IF(ISNUMBER(Datos!C359),Datos!C359/$F$3*100,NA()),NA())</f>
        <v/>
      </c>
    </row>
    <row r="360">
      <c r="A360" s="7">
        <f>IFERROR(Datos!A360,"")</f>
        <v/>
      </c>
      <c r="B360" s="27">
        <f>IFERROR(IF(ISNUMBER(Datos!B360),Datos!B360/$F$2*100,NA()),NA())</f>
        <v/>
      </c>
      <c r="C360" s="27">
        <f>IFERROR(IF(ISNUMBER(Datos!C360),Datos!C360/$F$3*100,NA()),NA())</f>
        <v/>
      </c>
    </row>
    <row r="361">
      <c r="A361" s="7">
        <f>IFERROR(Datos!A361,"")</f>
        <v/>
      </c>
      <c r="B361" s="27">
        <f>IFERROR(IF(ISNUMBER(Datos!B361),Datos!B361/$F$2*100,NA()),NA())</f>
        <v/>
      </c>
      <c r="C361" s="27">
        <f>IFERROR(IF(ISNUMBER(Datos!C361),Datos!C361/$F$3*100,NA()),NA())</f>
        <v/>
      </c>
    </row>
    <row r="362">
      <c r="A362" s="7">
        <f>IFERROR(Datos!A362,"")</f>
        <v/>
      </c>
      <c r="B362" s="27">
        <f>IFERROR(IF(ISNUMBER(Datos!B362),Datos!B362/$F$2*100,NA()),NA())</f>
        <v/>
      </c>
      <c r="C362" s="27">
        <f>IFERROR(IF(ISNUMBER(Datos!C362),Datos!C362/$F$3*100,NA()),NA())</f>
        <v/>
      </c>
    </row>
    <row r="363">
      <c r="A363" s="7">
        <f>IFERROR(Datos!A363,"")</f>
        <v/>
      </c>
      <c r="B363" s="27">
        <f>IFERROR(IF(ISNUMBER(Datos!B363),Datos!B363/$F$2*100,NA()),NA())</f>
        <v/>
      </c>
      <c r="C363" s="27">
        <f>IFERROR(IF(ISNUMBER(Datos!C363),Datos!C363/$F$3*100,NA()),NA())</f>
        <v/>
      </c>
    </row>
    <row r="364">
      <c r="A364" s="7">
        <f>IFERROR(Datos!A364,"")</f>
        <v/>
      </c>
      <c r="B364" s="27">
        <f>IFERROR(IF(ISNUMBER(Datos!B364),Datos!B364/$F$2*100,NA()),NA())</f>
        <v/>
      </c>
      <c r="C364" s="27">
        <f>IFERROR(IF(ISNUMBER(Datos!C364),Datos!C364/$F$3*100,NA()),NA())</f>
        <v/>
      </c>
    </row>
    <row r="365">
      <c r="A365" s="7">
        <f>IFERROR(Datos!A365,"")</f>
        <v/>
      </c>
      <c r="B365" s="27">
        <f>IFERROR(IF(ISNUMBER(Datos!B365),Datos!B365/$F$2*100,NA()),NA())</f>
        <v/>
      </c>
      <c r="C365" s="27">
        <f>IFERROR(IF(ISNUMBER(Datos!C365),Datos!C365/$F$3*100,NA()),NA())</f>
        <v/>
      </c>
    </row>
    <row r="366">
      <c r="A366" s="7">
        <f>IFERROR(Datos!A366,"")</f>
        <v/>
      </c>
      <c r="B366" s="27">
        <f>IFERROR(IF(ISNUMBER(Datos!B366),Datos!B366/$F$2*100,NA()),NA())</f>
        <v/>
      </c>
      <c r="C366" s="27">
        <f>IFERROR(IF(ISNUMBER(Datos!C366),Datos!C366/$F$3*100,NA()),NA())</f>
        <v/>
      </c>
    </row>
    <row r="367">
      <c r="A367" s="7">
        <f>IFERROR(Datos!A367,"")</f>
        <v/>
      </c>
      <c r="B367" s="27">
        <f>IFERROR(IF(ISNUMBER(Datos!B367),Datos!B367/$F$2*100,NA()),NA())</f>
        <v/>
      </c>
      <c r="C367" s="27">
        <f>IFERROR(IF(ISNUMBER(Datos!C367),Datos!C367/$F$3*100,NA()),NA())</f>
        <v/>
      </c>
    </row>
    <row r="368">
      <c r="A368" s="7">
        <f>IFERROR(Datos!A368,"")</f>
        <v/>
      </c>
      <c r="B368" s="27">
        <f>IFERROR(IF(ISNUMBER(Datos!B368),Datos!B368/$F$2*100,NA()),NA())</f>
        <v/>
      </c>
      <c r="C368" s="27">
        <f>IFERROR(IF(ISNUMBER(Datos!C368),Datos!C368/$F$3*100,NA()),NA())</f>
        <v/>
      </c>
    </row>
    <row r="369">
      <c r="A369" s="7">
        <f>IFERROR(Datos!A369,"")</f>
        <v/>
      </c>
      <c r="B369" s="27">
        <f>IFERROR(IF(ISNUMBER(Datos!B369),Datos!B369/$F$2*100,NA()),NA())</f>
        <v/>
      </c>
      <c r="C369" s="27">
        <f>IFERROR(IF(ISNUMBER(Datos!C369),Datos!C369/$F$3*100,NA()),NA())</f>
        <v/>
      </c>
    </row>
    <row r="370">
      <c r="A370" s="7">
        <f>IFERROR(Datos!A370,"")</f>
        <v/>
      </c>
      <c r="B370" s="27">
        <f>IFERROR(IF(ISNUMBER(Datos!B370),Datos!B370/$F$2*100,NA()),NA())</f>
        <v/>
      </c>
      <c r="C370" s="27">
        <f>IFERROR(IF(ISNUMBER(Datos!C370),Datos!C370/$F$3*100,NA()),NA())</f>
        <v/>
      </c>
    </row>
    <row r="371">
      <c r="A371" s="7">
        <f>IFERROR(Datos!A371,"")</f>
        <v/>
      </c>
      <c r="B371" s="27">
        <f>IFERROR(IF(ISNUMBER(Datos!B371),Datos!B371/$F$2*100,NA()),NA())</f>
        <v/>
      </c>
      <c r="C371" s="27">
        <f>IFERROR(IF(ISNUMBER(Datos!C371),Datos!C371/$F$3*100,NA()),NA())</f>
        <v/>
      </c>
    </row>
    <row r="372">
      <c r="A372" s="7">
        <f>IFERROR(Datos!A372,"")</f>
        <v/>
      </c>
      <c r="B372" s="27">
        <f>IFERROR(IF(ISNUMBER(Datos!B372),Datos!B372/$F$2*100,NA()),NA())</f>
        <v/>
      </c>
      <c r="C372" s="27">
        <f>IFERROR(IF(ISNUMBER(Datos!C372),Datos!C372/$F$3*100,NA()),NA())</f>
        <v/>
      </c>
    </row>
    <row r="373">
      <c r="A373" s="7">
        <f>IFERROR(Datos!A373,"")</f>
        <v/>
      </c>
      <c r="B373" s="27">
        <f>IFERROR(IF(ISNUMBER(Datos!B373),Datos!B373/$F$2*100,NA()),NA())</f>
        <v/>
      </c>
      <c r="C373" s="27">
        <f>IFERROR(IF(ISNUMBER(Datos!C373),Datos!C373/$F$3*100,NA()),NA())</f>
        <v/>
      </c>
    </row>
    <row r="374">
      <c r="A374" s="7">
        <f>IFERROR(Datos!A374,"")</f>
        <v/>
      </c>
      <c r="B374" s="27">
        <f>IFERROR(IF(ISNUMBER(Datos!B374),Datos!B374/$F$2*100,NA()),NA())</f>
        <v/>
      </c>
      <c r="C374" s="27">
        <f>IFERROR(IF(ISNUMBER(Datos!C374),Datos!C374/$F$3*100,NA()),NA())</f>
        <v/>
      </c>
    </row>
    <row r="375">
      <c r="A375" s="7">
        <f>IFERROR(Datos!A375,"")</f>
        <v/>
      </c>
      <c r="B375" s="27">
        <f>IFERROR(IF(ISNUMBER(Datos!B375),Datos!B375/$F$2*100,NA()),NA())</f>
        <v/>
      </c>
      <c r="C375" s="27">
        <f>IFERROR(IF(ISNUMBER(Datos!C375),Datos!C375/$F$3*100,NA()),NA())</f>
        <v/>
      </c>
    </row>
    <row r="376">
      <c r="A376" s="7">
        <f>IFERROR(Datos!A376,"")</f>
        <v/>
      </c>
      <c r="B376" s="27">
        <f>IFERROR(IF(ISNUMBER(Datos!B376),Datos!B376/$F$2*100,NA()),NA())</f>
        <v/>
      </c>
      <c r="C376" s="27">
        <f>IFERROR(IF(ISNUMBER(Datos!C376),Datos!C376/$F$3*100,NA()),NA())</f>
        <v/>
      </c>
    </row>
    <row r="377">
      <c r="A377" s="7">
        <f>IFERROR(Datos!A377,"")</f>
        <v/>
      </c>
      <c r="B377" s="27">
        <f>IFERROR(IF(ISNUMBER(Datos!B377),Datos!B377/$F$2*100,NA()),NA())</f>
        <v/>
      </c>
      <c r="C377" s="27">
        <f>IFERROR(IF(ISNUMBER(Datos!C377),Datos!C377/$F$3*100,NA()),NA())</f>
        <v/>
      </c>
    </row>
    <row r="378">
      <c r="A378" s="7">
        <f>IFERROR(Datos!A378,"")</f>
        <v/>
      </c>
      <c r="B378" s="27">
        <f>IFERROR(IF(ISNUMBER(Datos!B378),Datos!B378/$F$2*100,NA()),NA())</f>
        <v/>
      </c>
      <c r="C378" s="27">
        <f>IFERROR(IF(ISNUMBER(Datos!C378),Datos!C378/$F$3*100,NA()),NA())</f>
        <v/>
      </c>
    </row>
    <row r="379">
      <c r="A379" s="7">
        <f>IFERROR(Datos!A379,"")</f>
        <v/>
      </c>
      <c r="B379" s="27">
        <f>IFERROR(IF(ISNUMBER(Datos!B379),Datos!B379/$F$2*100,NA()),NA())</f>
        <v/>
      </c>
      <c r="C379" s="27">
        <f>IFERROR(IF(ISNUMBER(Datos!C379),Datos!C379/$F$3*100,NA()),NA())</f>
        <v/>
      </c>
    </row>
    <row r="380">
      <c r="A380" s="7">
        <f>IFERROR(Datos!A380,"")</f>
        <v/>
      </c>
      <c r="B380" s="27">
        <f>IFERROR(IF(ISNUMBER(Datos!B380),Datos!B380/$F$2*100,NA()),NA())</f>
        <v/>
      </c>
      <c r="C380" s="27">
        <f>IFERROR(IF(ISNUMBER(Datos!C380),Datos!C380/$F$3*100,NA()),NA())</f>
        <v/>
      </c>
    </row>
    <row r="381">
      <c r="A381" s="7">
        <f>IFERROR(Datos!A381,"")</f>
        <v/>
      </c>
      <c r="B381" s="27">
        <f>IFERROR(IF(ISNUMBER(Datos!B381),Datos!B381/$F$2*100,NA()),NA())</f>
        <v/>
      </c>
      <c r="C381" s="27">
        <f>IFERROR(IF(ISNUMBER(Datos!C381),Datos!C381/$F$3*100,NA()),NA())</f>
        <v/>
      </c>
    </row>
    <row r="382">
      <c r="A382" s="7">
        <f>IFERROR(Datos!A382,"")</f>
        <v/>
      </c>
      <c r="B382" s="27">
        <f>IFERROR(IF(ISNUMBER(Datos!B382),Datos!B382/$F$2*100,NA()),NA())</f>
        <v/>
      </c>
      <c r="C382" s="27">
        <f>IFERROR(IF(ISNUMBER(Datos!C382),Datos!C382/$F$3*100,NA()),NA())</f>
        <v/>
      </c>
    </row>
    <row r="383">
      <c r="A383" s="7">
        <f>IFERROR(Datos!A383,"")</f>
        <v/>
      </c>
      <c r="B383" s="27">
        <f>IFERROR(IF(ISNUMBER(Datos!B383),Datos!B383/$F$2*100,NA()),NA())</f>
        <v/>
      </c>
      <c r="C383" s="27">
        <f>IFERROR(IF(ISNUMBER(Datos!C383),Datos!C383/$F$3*100,NA()),NA())</f>
        <v/>
      </c>
    </row>
    <row r="384">
      <c r="A384" s="7">
        <f>IFERROR(Datos!A384,"")</f>
        <v/>
      </c>
      <c r="B384" s="27">
        <f>IFERROR(IF(ISNUMBER(Datos!B384),Datos!B384/$F$2*100,NA()),NA())</f>
        <v/>
      </c>
      <c r="C384" s="27">
        <f>IFERROR(IF(ISNUMBER(Datos!C384),Datos!C384/$F$3*100,NA()),NA())</f>
        <v/>
      </c>
    </row>
    <row r="385">
      <c r="A385" s="7">
        <f>IFERROR(Datos!A385,"")</f>
        <v/>
      </c>
      <c r="B385" s="27">
        <f>IFERROR(IF(ISNUMBER(Datos!B385),Datos!B385/$F$2*100,NA()),NA())</f>
        <v/>
      </c>
      <c r="C385" s="27">
        <f>IFERROR(IF(ISNUMBER(Datos!C385),Datos!C385/$F$3*100,NA()),NA())</f>
        <v/>
      </c>
    </row>
    <row r="386">
      <c r="A386" s="7">
        <f>IFERROR(Datos!A386,"")</f>
        <v/>
      </c>
      <c r="B386" s="27">
        <f>IFERROR(IF(ISNUMBER(Datos!B386),Datos!B386/$F$2*100,NA()),NA())</f>
        <v/>
      </c>
      <c r="C386" s="27">
        <f>IFERROR(IF(ISNUMBER(Datos!C386),Datos!C386/$F$3*100,NA()),NA())</f>
        <v/>
      </c>
    </row>
    <row r="387">
      <c r="A387" s="7">
        <f>IFERROR(Datos!A387,"")</f>
        <v/>
      </c>
      <c r="B387" s="27">
        <f>IFERROR(IF(ISNUMBER(Datos!B387),Datos!B387/$F$2*100,NA()),NA())</f>
        <v/>
      </c>
      <c r="C387" s="27">
        <f>IFERROR(IF(ISNUMBER(Datos!C387),Datos!C387/$F$3*100,NA()),NA())</f>
        <v/>
      </c>
    </row>
    <row r="388">
      <c r="A388" s="7">
        <f>IFERROR(Datos!A388,"")</f>
        <v/>
      </c>
      <c r="B388" s="27">
        <f>IFERROR(IF(ISNUMBER(Datos!B388),Datos!B388/$F$2*100,NA()),NA())</f>
        <v/>
      </c>
      <c r="C388" s="27">
        <f>IFERROR(IF(ISNUMBER(Datos!C388),Datos!C388/$F$3*100,NA()),NA())</f>
        <v/>
      </c>
    </row>
    <row r="389">
      <c r="A389" s="7">
        <f>IFERROR(Datos!A389,"")</f>
        <v/>
      </c>
      <c r="B389" s="27">
        <f>IFERROR(IF(ISNUMBER(Datos!B389),Datos!B389/$F$2*100,NA()),NA())</f>
        <v/>
      </c>
      <c r="C389" s="27">
        <f>IFERROR(IF(ISNUMBER(Datos!C389),Datos!C389/$F$3*100,NA()),NA())</f>
        <v/>
      </c>
    </row>
    <row r="390">
      <c r="A390" s="7">
        <f>IFERROR(Datos!A390,"")</f>
        <v/>
      </c>
      <c r="B390" s="27">
        <f>IFERROR(IF(ISNUMBER(Datos!B390),Datos!B390/$F$2*100,NA()),NA())</f>
        <v/>
      </c>
      <c r="C390" s="27">
        <f>IFERROR(IF(ISNUMBER(Datos!C390),Datos!C390/$F$3*100,NA()),NA())</f>
        <v/>
      </c>
    </row>
    <row r="391">
      <c r="A391" s="7">
        <f>IFERROR(Datos!A391,"")</f>
        <v/>
      </c>
      <c r="B391" s="27">
        <f>IFERROR(IF(ISNUMBER(Datos!B391),Datos!B391/$F$2*100,NA()),NA())</f>
        <v/>
      </c>
      <c r="C391" s="27">
        <f>IFERROR(IF(ISNUMBER(Datos!C391),Datos!C391/$F$3*100,NA()),NA())</f>
        <v/>
      </c>
    </row>
    <row r="392">
      <c r="A392" s="7">
        <f>IFERROR(Datos!A392,"")</f>
        <v/>
      </c>
      <c r="B392" s="27">
        <f>IFERROR(IF(ISNUMBER(Datos!B392),Datos!B392/$F$2*100,NA()),NA())</f>
        <v/>
      </c>
      <c r="C392" s="27">
        <f>IFERROR(IF(ISNUMBER(Datos!C392),Datos!C392/$F$3*100,NA()),NA())</f>
        <v/>
      </c>
    </row>
    <row r="393">
      <c r="A393" s="7">
        <f>IFERROR(Datos!A393,"")</f>
        <v/>
      </c>
      <c r="B393" s="27">
        <f>IFERROR(IF(ISNUMBER(Datos!B393),Datos!B393/$F$2*100,NA()),NA())</f>
        <v/>
      </c>
      <c r="C393" s="27">
        <f>IFERROR(IF(ISNUMBER(Datos!C393),Datos!C393/$F$3*100,NA()),NA())</f>
        <v/>
      </c>
    </row>
    <row r="394">
      <c r="A394" s="7">
        <f>IFERROR(Datos!A394,"")</f>
        <v/>
      </c>
      <c r="B394" s="27">
        <f>IFERROR(IF(ISNUMBER(Datos!B394),Datos!B394/$F$2*100,NA()),NA())</f>
        <v/>
      </c>
      <c r="C394" s="27">
        <f>IFERROR(IF(ISNUMBER(Datos!C394),Datos!C394/$F$3*100,NA()),NA())</f>
        <v/>
      </c>
    </row>
    <row r="395">
      <c r="A395" s="7">
        <f>IFERROR(Datos!A395,"")</f>
        <v/>
      </c>
      <c r="B395" s="27">
        <f>IFERROR(IF(ISNUMBER(Datos!B395),Datos!B395/$F$2*100,NA()),NA())</f>
        <v/>
      </c>
      <c r="C395" s="27">
        <f>IFERROR(IF(ISNUMBER(Datos!C395),Datos!C395/$F$3*100,NA()),NA())</f>
        <v/>
      </c>
    </row>
    <row r="396">
      <c r="A396" s="7">
        <f>IFERROR(Datos!A396,"")</f>
        <v/>
      </c>
      <c r="B396" s="27">
        <f>IFERROR(IF(ISNUMBER(Datos!B396),Datos!B396/$F$2*100,NA()),NA())</f>
        <v/>
      </c>
      <c r="C396" s="27">
        <f>IFERROR(IF(ISNUMBER(Datos!C396),Datos!C396/$F$3*100,NA()),NA())</f>
        <v/>
      </c>
    </row>
    <row r="397">
      <c r="A397" s="7">
        <f>IFERROR(Datos!A397,"")</f>
        <v/>
      </c>
      <c r="B397" s="27">
        <f>IFERROR(IF(ISNUMBER(Datos!B397),Datos!B397/$F$2*100,NA()),NA())</f>
        <v/>
      </c>
      <c r="C397" s="27">
        <f>IFERROR(IF(ISNUMBER(Datos!C397),Datos!C397/$F$3*100,NA()),NA())</f>
        <v/>
      </c>
    </row>
    <row r="398">
      <c r="A398" s="7">
        <f>IFERROR(Datos!A398,"")</f>
        <v/>
      </c>
      <c r="B398" s="27">
        <f>IFERROR(IF(ISNUMBER(Datos!B398),Datos!B398/$F$2*100,NA()),NA())</f>
        <v/>
      </c>
      <c r="C398" s="27">
        <f>IFERROR(IF(ISNUMBER(Datos!C398),Datos!C398/$F$3*100,NA()),NA())</f>
        <v/>
      </c>
    </row>
    <row r="399">
      <c r="A399" s="7">
        <f>IFERROR(Datos!A399,"")</f>
        <v/>
      </c>
      <c r="B399" s="27">
        <f>IFERROR(IF(ISNUMBER(Datos!B399),Datos!B399/$F$2*100,NA()),NA())</f>
        <v/>
      </c>
      <c r="C399" s="27">
        <f>IFERROR(IF(ISNUMBER(Datos!C399),Datos!C399/$F$3*100,NA()),NA())</f>
        <v/>
      </c>
    </row>
    <row r="400">
      <c r="A400" s="7">
        <f>IFERROR(Datos!A400,"")</f>
        <v/>
      </c>
      <c r="B400" s="27">
        <f>IFERROR(IF(ISNUMBER(Datos!B400),Datos!B400/$F$2*100,NA()),NA())</f>
        <v/>
      </c>
      <c r="C400" s="27">
        <f>IFERROR(IF(ISNUMBER(Datos!C400),Datos!C400/$F$3*100,NA()),NA())</f>
        <v/>
      </c>
    </row>
    <row r="401">
      <c r="A401" s="7">
        <f>IFERROR(Datos!A401,"")</f>
        <v/>
      </c>
      <c r="B401" s="27">
        <f>IFERROR(IF(ISNUMBER(Datos!B401),Datos!B401/$F$2*100,NA()),NA())</f>
        <v/>
      </c>
      <c r="C401" s="27">
        <f>IFERROR(IF(ISNUMBER(Datos!C401),Datos!C401/$F$3*100,NA()),NA())</f>
        <v/>
      </c>
    </row>
    <row r="402">
      <c r="A402" s="7">
        <f>IFERROR(Datos!A402,"")</f>
        <v/>
      </c>
      <c r="B402" s="27">
        <f>IFERROR(IF(ISNUMBER(Datos!B402),Datos!B402/$F$2*100,NA()),NA())</f>
        <v/>
      </c>
      <c r="C402" s="27">
        <f>IFERROR(IF(ISNUMBER(Datos!C402),Datos!C402/$F$3*100,NA()),NA())</f>
        <v/>
      </c>
    </row>
    <row r="403">
      <c r="A403" s="7">
        <f>IFERROR(Datos!A403,"")</f>
        <v/>
      </c>
      <c r="B403" s="27">
        <f>IFERROR(IF(ISNUMBER(Datos!B403),Datos!B403/$F$2*100,NA()),NA())</f>
        <v/>
      </c>
      <c r="C403" s="27">
        <f>IFERROR(IF(ISNUMBER(Datos!C403),Datos!C403/$F$3*100,NA()),NA())</f>
        <v/>
      </c>
    </row>
    <row r="404">
      <c r="A404" s="7">
        <f>IFERROR(Datos!A404,"")</f>
        <v/>
      </c>
      <c r="B404" s="27">
        <f>IFERROR(IF(ISNUMBER(Datos!B404),Datos!B404/$F$2*100,NA()),NA())</f>
        <v/>
      </c>
      <c r="C404" s="27">
        <f>IFERROR(IF(ISNUMBER(Datos!C404),Datos!C404/$F$3*100,NA()),NA())</f>
        <v/>
      </c>
    </row>
    <row r="405">
      <c r="A405" s="7">
        <f>IFERROR(Datos!A405,"")</f>
        <v/>
      </c>
      <c r="B405" s="27">
        <f>IFERROR(IF(ISNUMBER(Datos!B405),Datos!B405/$F$2*100,NA()),NA())</f>
        <v/>
      </c>
      <c r="C405" s="27">
        <f>IFERROR(IF(ISNUMBER(Datos!C405),Datos!C405/$F$3*100,NA()),NA())</f>
        <v/>
      </c>
    </row>
    <row r="406">
      <c r="A406" s="7">
        <f>IFERROR(Datos!A406,"")</f>
        <v/>
      </c>
      <c r="B406" s="27">
        <f>IFERROR(IF(ISNUMBER(Datos!B406),Datos!B406/$F$2*100,NA()),NA())</f>
        <v/>
      </c>
      <c r="C406" s="27">
        <f>IFERROR(IF(ISNUMBER(Datos!C406),Datos!C406/$F$3*100,NA()),NA())</f>
        <v/>
      </c>
    </row>
    <row r="407">
      <c r="A407" s="7">
        <f>IFERROR(Datos!A407,"")</f>
        <v/>
      </c>
      <c r="B407" s="27">
        <f>IFERROR(IF(ISNUMBER(Datos!B407),Datos!B407/$F$2*100,NA()),NA())</f>
        <v/>
      </c>
      <c r="C407" s="27">
        <f>IFERROR(IF(ISNUMBER(Datos!C407),Datos!C407/$F$3*100,NA()),NA())</f>
        <v/>
      </c>
    </row>
    <row r="408">
      <c r="A408" s="7">
        <f>IFERROR(Datos!A408,"")</f>
        <v/>
      </c>
      <c r="B408" s="27">
        <f>IFERROR(IF(ISNUMBER(Datos!B408),Datos!B408/$F$2*100,NA()),NA())</f>
        <v/>
      </c>
      <c r="C408" s="27">
        <f>IFERROR(IF(ISNUMBER(Datos!C408),Datos!C408/$F$3*100,NA()),NA())</f>
        <v/>
      </c>
    </row>
    <row r="409">
      <c r="A409" s="7">
        <f>IFERROR(Datos!A409,"")</f>
        <v/>
      </c>
      <c r="B409" s="27">
        <f>IFERROR(IF(ISNUMBER(Datos!B409),Datos!B409/$F$2*100,NA()),NA())</f>
        <v/>
      </c>
      <c r="C409" s="27">
        <f>IFERROR(IF(ISNUMBER(Datos!C409),Datos!C409/$F$3*100,NA()),NA())</f>
        <v/>
      </c>
    </row>
    <row r="410">
      <c r="A410" s="7">
        <f>IFERROR(Datos!A410,"")</f>
        <v/>
      </c>
      <c r="B410" s="27">
        <f>IFERROR(IF(ISNUMBER(Datos!B410),Datos!B410/$F$2*100,NA()),NA())</f>
        <v/>
      </c>
      <c r="C410" s="27">
        <f>IFERROR(IF(ISNUMBER(Datos!C410),Datos!C410/$F$3*100,NA()),NA())</f>
        <v/>
      </c>
    </row>
    <row r="411">
      <c r="A411" s="7">
        <f>IFERROR(Datos!A411,"")</f>
        <v/>
      </c>
      <c r="B411" s="27">
        <f>IFERROR(IF(ISNUMBER(Datos!B411),Datos!B411/$F$2*100,NA()),NA())</f>
        <v/>
      </c>
      <c r="C411" s="27">
        <f>IFERROR(IF(ISNUMBER(Datos!C411),Datos!C411/$F$3*100,NA()),NA())</f>
        <v/>
      </c>
    </row>
    <row r="412">
      <c r="A412" s="7">
        <f>IFERROR(Datos!A412,"")</f>
        <v/>
      </c>
      <c r="B412" s="27">
        <f>IFERROR(IF(ISNUMBER(Datos!B412),Datos!B412/$F$2*100,NA()),NA())</f>
        <v/>
      </c>
      <c r="C412" s="27">
        <f>IFERROR(IF(ISNUMBER(Datos!C412),Datos!C412/$F$3*100,NA()),NA())</f>
        <v/>
      </c>
    </row>
    <row r="413">
      <c r="A413" s="7">
        <f>IFERROR(Datos!A413,"")</f>
        <v/>
      </c>
      <c r="B413" s="27">
        <f>IFERROR(IF(ISNUMBER(Datos!B413),Datos!B413/$F$2*100,NA()),NA())</f>
        <v/>
      </c>
      <c r="C413" s="27">
        <f>IFERROR(IF(ISNUMBER(Datos!C413),Datos!C413/$F$3*100,NA()),NA())</f>
        <v/>
      </c>
    </row>
    <row r="414">
      <c r="A414" s="7">
        <f>IFERROR(Datos!A414,"")</f>
        <v/>
      </c>
      <c r="B414" s="27">
        <f>IFERROR(IF(ISNUMBER(Datos!B414),Datos!B414/$F$2*100,NA()),NA())</f>
        <v/>
      </c>
      <c r="C414" s="27">
        <f>IFERROR(IF(ISNUMBER(Datos!C414),Datos!C414/$F$3*100,NA()),NA())</f>
        <v/>
      </c>
    </row>
    <row r="415">
      <c r="A415" s="7">
        <f>IFERROR(Datos!A415,"")</f>
        <v/>
      </c>
      <c r="B415" s="27">
        <f>IFERROR(IF(ISNUMBER(Datos!B415),Datos!B415/$F$2*100,NA()),NA())</f>
        <v/>
      </c>
      <c r="C415" s="27">
        <f>IFERROR(IF(ISNUMBER(Datos!C415),Datos!C415/$F$3*100,NA()),NA())</f>
        <v/>
      </c>
    </row>
    <row r="416">
      <c r="A416" s="7">
        <f>IFERROR(Datos!A416,"")</f>
        <v/>
      </c>
      <c r="B416" s="27">
        <f>IFERROR(IF(ISNUMBER(Datos!B416),Datos!B416/$F$2*100,NA()),NA())</f>
        <v/>
      </c>
      <c r="C416" s="27">
        <f>IFERROR(IF(ISNUMBER(Datos!C416),Datos!C416/$F$3*100,NA()),NA())</f>
        <v/>
      </c>
    </row>
    <row r="417">
      <c r="A417" s="7">
        <f>IFERROR(Datos!A417,"")</f>
        <v/>
      </c>
      <c r="B417" s="27">
        <f>IFERROR(IF(ISNUMBER(Datos!B417),Datos!B417/$F$2*100,NA()),NA())</f>
        <v/>
      </c>
      <c r="C417" s="27">
        <f>IFERROR(IF(ISNUMBER(Datos!C417),Datos!C417/$F$3*100,NA()),NA())</f>
        <v/>
      </c>
    </row>
    <row r="418">
      <c r="A418" s="7">
        <f>IFERROR(Datos!A418,"")</f>
        <v/>
      </c>
      <c r="B418" s="27">
        <f>IFERROR(IF(ISNUMBER(Datos!B418),Datos!B418/$F$2*100,NA()),NA())</f>
        <v/>
      </c>
      <c r="C418" s="27">
        <f>IFERROR(IF(ISNUMBER(Datos!C418),Datos!C418/$F$3*100,NA()),NA())</f>
        <v/>
      </c>
    </row>
    <row r="419">
      <c r="A419" s="7">
        <f>IFERROR(Datos!A419,"")</f>
        <v/>
      </c>
      <c r="B419" s="27">
        <f>IFERROR(IF(ISNUMBER(Datos!B419),Datos!B419/$F$2*100,NA()),NA())</f>
        <v/>
      </c>
      <c r="C419" s="27">
        <f>IFERROR(IF(ISNUMBER(Datos!C419),Datos!C419/$F$3*100,NA()),NA())</f>
        <v/>
      </c>
    </row>
    <row r="420">
      <c r="A420" s="7">
        <f>IFERROR(Datos!A420,"")</f>
        <v/>
      </c>
      <c r="B420" s="27">
        <f>IFERROR(IF(ISNUMBER(Datos!B420),Datos!B420/$F$2*100,NA()),NA())</f>
        <v/>
      </c>
      <c r="C420" s="27">
        <f>IFERROR(IF(ISNUMBER(Datos!C420),Datos!C420/$F$3*100,NA()),NA())</f>
        <v/>
      </c>
    </row>
    <row r="421">
      <c r="A421" s="7">
        <f>IFERROR(Datos!A421,"")</f>
        <v/>
      </c>
      <c r="B421" s="27">
        <f>IFERROR(IF(ISNUMBER(Datos!B421),Datos!B421/$F$2*100,NA()),NA())</f>
        <v/>
      </c>
      <c r="C421" s="27">
        <f>IFERROR(IF(ISNUMBER(Datos!C421),Datos!C421/$F$3*100,NA()),NA())</f>
        <v/>
      </c>
    </row>
    <row r="422">
      <c r="A422" s="7">
        <f>IFERROR(Datos!A422,"")</f>
        <v/>
      </c>
      <c r="B422" s="27">
        <f>IFERROR(IF(ISNUMBER(Datos!B422),Datos!B422/$F$2*100,NA()),NA())</f>
        <v/>
      </c>
      <c r="C422" s="27">
        <f>IFERROR(IF(ISNUMBER(Datos!C422),Datos!C422/$F$3*100,NA()),NA())</f>
        <v/>
      </c>
    </row>
    <row r="423">
      <c r="A423" s="7">
        <f>IFERROR(Datos!A423,"")</f>
        <v/>
      </c>
      <c r="B423" s="27">
        <f>IFERROR(IF(ISNUMBER(Datos!B423),Datos!B423/$F$2*100,NA()),NA())</f>
        <v/>
      </c>
      <c r="C423" s="27">
        <f>IFERROR(IF(ISNUMBER(Datos!C423),Datos!C423/$F$3*100,NA()),NA())</f>
        <v/>
      </c>
    </row>
    <row r="424">
      <c r="A424" s="7">
        <f>IFERROR(Datos!A424,"")</f>
        <v/>
      </c>
      <c r="B424" s="27">
        <f>IFERROR(IF(ISNUMBER(Datos!B424),Datos!B424/$F$2*100,NA()),NA())</f>
        <v/>
      </c>
      <c r="C424" s="27">
        <f>IFERROR(IF(ISNUMBER(Datos!C424),Datos!C424/$F$3*100,NA()),NA())</f>
        <v/>
      </c>
    </row>
    <row r="425">
      <c r="A425" s="7">
        <f>IFERROR(Datos!A425,"")</f>
        <v/>
      </c>
      <c r="B425" s="27">
        <f>IFERROR(IF(ISNUMBER(Datos!B425),Datos!B425/$F$2*100,NA()),NA())</f>
        <v/>
      </c>
      <c r="C425" s="27">
        <f>IFERROR(IF(ISNUMBER(Datos!C425),Datos!C425/$F$3*100,NA()),NA())</f>
        <v/>
      </c>
    </row>
    <row r="426">
      <c r="A426" s="7">
        <f>IFERROR(Datos!A426,"")</f>
        <v/>
      </c>
      <c r="B426" s="27">
        <f>IFERROR(IF(ISNUMBER(Datos!B426),Datos!B426/$F$2*100,NA()),NA())</f>
        <v/>
      </c>
      <c r="C426" s="27">
        <f>IFERROR(IF(ISNUMBER(Datos!C426),Datos!C426/$F$3*100,NA()),NA())</f>
        <v/>
      </c>
    </row>
    <row r="427">
      <c r="A427" s="7">
        <f>IFERROR(Datos!A427,"")</f>
        <v/>
      </c>
      <c r="B427" s="27">
        <f>IFERROR(IF(ISNUMBER(Datos!B427),Datos!B427/$F$2*100,NA()),NA())</f>
        <v/>
      </c>
      <c r="C427" s="27">
        <f>IFERROR(IF(ISNUMBER(Datos!C427),Datos!C427/$F$3*100,NA()),NA())</f>
        <v/>
      </c>
    </row>
    <row r="428">
      <c r="A428" s="7">
        <f>IFERROR(Datos!A428,"")</f>
        <v/>
      </c>
      <c r="B428" s="27">
        <f>IFERROR(IF(ISNUMBER(Datos!B428),Datos!B428/$F$2*100,NA()),NA())</f>
        <v/>
      </c>
      <c r="C428" s="27">
        <f>IFERROR(IF(ISNUMBER(Datos!C428),Datos!C428/$F$3*100,NA()),NA())</f>
        <v/>
      </c>
    </row>
    <row r="429">
      <c r="A429" s="7">
        <f>IFERROR(Datos!A429,"")</f>
        <v/>
      </c>
      <c r="B429" s="27">
        <f>IFERROR(IF(ISNUMBER(Datos!B429),Datos!B429/$F$2*100,NA()),NA())</f>
        <v/>
      </c>
      <c r="C429" s="27">
        <f>IFERROR(IF(ISNUMBER(Datos!C429),Datos!C429/$F$3*100,NA()),NA())</f>
        <v/>
      </c>
    </row>
    <row r="430">
      <c r="A430" s="7">
        <f>IFERROR(Datos!A430,"")</f>
        <v/>
      </c>
      <c r="B430" s="27">
        <f>IFERROR(IF(ISNUMBER(Datos!B430),Datos!B430/$F$2*100,NA()),NA())</f>
        <v/>
      </c>
      <c r="C430" s="27">
        <f>IFERROR(IF(ISNUMBER(Datos!C430),Datos!C430/$F$3*100,NA()),NA())</f>
        <v/>
      </c>
    </row>
    <row r="431">
      <c r="A431" s="7">
        <f>IFERROR(Datos!A431,"")</f>
        <v/>
      </c>
      <c r="B431" s="27">
        <f>IFERROR(IF(ISNUMBER(Datos!B431),Datos!B431/$F$2*100,NA()),NA())</f>
        <v/>
      </c>
      <c r="C431" s="27">
        <f>IFERROR(IF(ISNUMBER(Datos!C431),Datos!C431/$F$3*100,NA()),NA())</f>
        <v/>
      </c>
    </row>
    <row r="432">
      <c r="A432" s="7">
        <f>IFERROR(Datos!A432,"")</f>
        <v/>
      </c>
      <c r="B432" s="27">
        <f>IFERROR(IF(ISNUMBER(Datos!B432),Datos!B432/$F$2*100,NA()),NA())</f>
        <v/>
      </c>
      <c r="C432" s="27">
        <f>IFERROR(IF(ISNUMBER(Datos!C432),Datos!C432/$F$3*100,NA()),NA())</f>
        <v/>
      </c>
    </row>
    <row r="433">
      <c r="A433" s="7">
        <f>IFERROR(Datos!A433,"")</f>
        <v/>
      </c>
      <c r="B433" s="27">
        <f>IFERROR(IF(ISNUMBER(Datos!B433),Datos!B433/$F$2*100,NA()),NA())</f>
        <v/>
      </c>
      <c r="C433" s="27">
        <f>IFERROR(IF(ISNUMBER(Datos!C433),Datos!C433/$F$3*100,NA()),NA())</f>
        <v/>
      </c>
    </row>
    <row r="434">
      <c r="A434" s="7">
        <f>IFERROR(Datos!A434,"")</f>
        <v/>
      </c>
      <c r="B434" s="27">
        <f>IFERROR(IF(ISNUMBER(Datos!B434),Datos!B434/$F$2*100,NA()),NA())</f>
        <v/>
      </c>
      <c r="C434" s="27">
        <f>IFERROR(IF(ISNUMBER(Datos!C434),Datos!C434/$F$3*100,NA()),NA())</f>
        <v/>
      </c>
    </row>
    <row r="435">
      <c r="A435" s="7">
        <f>IFERROR(Datos!A435,"")</f>
        <v/>
      </c>
      <c r="B435" s="27">
        <f>IFERROR(IF(ISNUMBER(Datos!B435),Datos!B435/$F$2*100,NA()),NA())</f>
        <v/>
      </c>
      <c r="C435" s="27">
        <f>IFERROR(IF(ISNUMBER(Datos!C435),Datos!C435/$F$3*100,NA()),NA())</f>
        <v/>
      </c>
    </row>
    <row r="436">
      <c r="A436" s="7">
        <f>IFERROR(Datos!A436,"")</f>
        <v/>
      </c>
      <c r="B436" s="27">
        <f>IFERROR(IF(ISNUMBER(Datos!B436),Datos!B436/$F$2*100,NA()),NA())</f>
        <v/>
      </c>
      <c r="C436" s="27">
        <f>IFERROR(IF(ISNUMBER(Datos!C436),Datos!C436/$F$3*100,NA()),NA())</f>
        <v/>
      </c>
    </row>
    <row r="437">
      <c r="A437" s="7">
        <f>IFERROR(Datos!A437,"")</f>
        <v/>
      </c>
      <c r="B437" s="27">
        <f>IFERROR(IF(ISNUMBER(Datos!B437),Datos!B437/$F$2*100,NA()),NA())</f>
        <v/>
      </c>
      <c r="C437" s="27">
        <f>IFERROR(IF(ISNUMBER(Datos!C437),Datos!C437/$F$3*100,NA()),NA())</f>
        <v/>
      </c>
    </row>
    <row r="438">
      <c r="A438" s="7">
        <f>IFERROR(Datos!A438,"")</f>
        <v/>
      </c>
      <c r="B438" s="27">
        <f>IFERROR(IF(ISNUMBER(Datos!B438),Datos!B438/$F$2*100,NA()),NA())</f>
        <v/>
      </c>
      <c r="C438" s="27">
        <f>IFERROR(IF(ISNUMBER(Datos!C438),Datos!C438/$F$3*100,NA()),NA())</f>
        <v/>
      </c>
    </row>
    <row r="439">
      <c r="A439" s="7">
        <f>IFERROR(Datos!A439,"")</f>
        <v/>
      </c>
      <c r="B439" s="27">
        <f>IFERROR(IF(ISNUMBER(Datos!B439),Datos!B439/$F$2*100,NA()),NA())</f>
        <v/>
      </c>
      <c r="C439" s="27">
        <f>IFERROR(IF(ISNUMBER(Datos!C439),Datos!C439/$F$3*100,NA()),NA())</f>
        <v/>
      </c>
    </row>
    <row r="440">
      <c r="A440" s="7">
        <f>IFERROR(Datos!A440,"")</f>
        <v/>
      </c>
      <c r="B440" s="27">
        <f>IFERROR(IF(ISNUMBER(Datos!B440),Datos!B440/$F$2*100,NA()),NA())</f>
        <v/>
      </c>
      <c r="C440" s="27">
        <f>IFERROR(IF(ISNUMBER(Datos!C440),Datos!C440/$F$3*100,NA()),NA())</f>
        <v/>
      </c>
    </row>
    <row r="441">
      <c r="A441" s="7">
        <f>IFERROR(Datos!A441,"")</f>
        <v/>
      </c>
      <c r="B441" s="27">
        <f>IFERROR(IF(ISNUMBER(Datos!B441),Datos!B441/$F$2*100,NA()),NA())</f>
        <v/>
      </c>
      <c r="C441" s="27">
        <f>IFERROR(IF(ISNUMBER(Datos!C441),Datos!C441/$F$3*100,NA()),NA())</f>
        <v/>
      </c>
    </row>
    <row r="442">
      <c r="A442" s="7">
        <f>IFERROR(Datos!A442,"")</f>
        <v/>
      </c>
      <c r="B442" s="27">
        <f>IFERROR(IF(ISNUMBER(Datos!B442),Datos!B442/$F$2*100,NA()),NA())</f>
        <v/>
      </c>
      <c r="C442" s="27">
        <f>IFERROR(IF(ISNUMBER(Datos!C442),Datos!C442/$F$3*100,NA()),NA())</f>
        <v/>
      </c>
    </row>
    <row r="443">
      <c r="A443" s="7">
        <f>IFERROR(Datos!A443,"")</f>
        <v/>
      </c>
      <c r="B443" s="27">
        <f>IFERROR(IF(ISNUMBER(Datos!B443),Datos!B443/$F$2*100,NA()),NA())</f>
        <v/>
      </c>
      <c r="C443" s="27">
        <f>IFERROR(IF(ISNUMBER(Datos!C443),Datos!C443/$F$3*100,NA()),NA())</f>
        <v/>
      </c>
    </row>
    <row r="444">
      <c r="A444" s="7">
        <f>IFERROR(Datos!A444,"")</f>
        <v/>
      </c>
      <c r="B444" s="27">
        <f>IFERROR(IF(ISNUMBER(Datos!B444),Datos!B444/$F$2*100,NA()),NA())</f>
        <v/>
      </c>
      <c r="C444" s="27">
        <f>IFERROR(IF(ISNUMBER(Datos!C444),Datos!C444/$F$3*100,NA()),NA())</f>
        <v/>
      </c>
    </row>
    <row r="445">
      <c r="A445" s="7">
        <f>IFERROR(Datos!A445,"")</f>
        <v/>
      </c>
      <c r="B445" s="27">
        <f>IFERROR(IF(ISNUMBER(Datos!B445),Datos!B445/$F$2*100,NA()),NA())</f>
        <v/>
      </c>
      <c r="C445" s="27">
        <f>IFERROR(IF(ISNUMBER(Datos!C445),Datos!C445/$F$3*100,NA()),NA())</f>
        <v/>
      </c>
    </row>
    <row r="446">
      <c r="A446" s="7">
        <f>IFERROR(Datos!A446,"")</f>
        <v/>
      </c>
      <c r="B446" s="27">
        <f>IFERROR(IF(ISNUMBER(Datos!B446),Datos!B446/$F$2*100,NA()),NA())</f>
        <v/>
      </c>
      <c r="C446" s="27">
        <f>IFERROR(IF(ISNUMBER(Datos!C446),Datos!C446/$F$3*100,NA()),NA())</f>
        <v/>
      </c>
    </row>
    <row r="447">
      <c r="A447" s="7">
        <f>IFERROR(Datos!A447,"")</f>
        <v/>
      </c>
      <c r="B447" s="27">
        <f>IFERROR(IF(ISNUMBER(Datos!B447),Datos!B447/$F$2*100,NA()),NA())</f>
        <v/>
      </c>
      <c r="C447" s="27">
        <f>IFERROR(IF(ISNUMBER(Datos!C447),Datos!C447/$F$3*100,NA()),NA())</f>
        <v/>
      </c>
    </row>
    <row r="448">
      <c r="A448" s="7">
        <f>IFERROR(Datos!A448,"")</f>
        <v/>
      </c>
      <c r="B448" s="27">
        <f>IFERROR(IF(ISNUMBER(Datos!B448),Datos!B448/$F$2*100,NA()),NA())</f>
        <v/>
      </c>
      <c r="C448" s="27">
        <f>IFERROR(IF(ISNUMBER(Datos!C448),Datos!C448/$F$3*100,NA()),NA())</f>
        <v/>
      </c>
    </row>
    <row r="449">
      <c r="A449" s="7">
        <f>IFERROR(Datos!A449,"")</f>
        <v/>
      </c>
      <c r="B449" s="27">
        <f>IFERROR(IF(ISNUMBER(Datos!B449),Datos!B449/$F$2*100,NA()),NA())</f>
        <v/>
      </c>
      <c r="C449" s="27">
        <f>IFERROR(IF(ISNUMBER(Datos!C449),Datos!C449/$F$3*100,NA()),NA())</f>
        <v/>
      </c>
    </row>
    <row r="450">
      <c r="A450" s="7">
        <f>IFERROR(Datos!A450,"")</f>
        <v/>
      </c>
      <c r="B450" s="27">
        <f>IFERROR(IF(ISNUMBER(Datos!B450),Datos!B450/$F$2*100,NA()),NA())</f>
        <v/>
      </c>
      <c r="C450" s="27">
        <f>IFERROR(IF(ISNUMBER(Datos!C450),Datos!C450/$F$3*100,NA()),NA())</f>
        <v/>
      </c>
    </row>
    <row r="451">
      <c r="A451" s="7">
        <f>IFERROR(Datos!A451,"")</f>
        <v/>
      </c>
      <c r="B451" s="27">
        <f>IFERROR(IF(ISNUMBER(Datos!B451),Datos!B451/$F$2*100,NA()),NA())</f>
        <v/>
      </c>
      <c r="C451" s="27">
        <f>IFERROR(IF(ISNUMBER(Datos!C451),Datos!C451/$F$3*100,NA()),NA())</f>
        <v/>
      </c>
    </row>
    <row r="452">
      <c r="A452" s="7">
        <f>IFERROR(Datos!A452,"")</f>
        <v/>
      </c>
      <c r="B452" s="27">
        <f>IFERROR(IF(ISNUMBER(Datos!B452),Datos!B452/$F$2*100,NA()),NA())</f>
        <v/>
      </c>
      <c r="C452" s="27">
        <f>IFERROR(IF(ISNUMBER(Datos!C452),Datos!C452/$F$3*100,NA()),NA())</f>
        <v/>
      </c>
    </row>
    <row r="453">
      <c r="A453" s="7">
        <f>IFERROR(Datos!A453,"")</f>
        <v/>
      </c>
      <c r="B453" s="27">
        <f>IFERROR(IF(ISNUMBER(Datos!B453),Datos!B453/$F$2*100,NA()),NA())</f>
        <v/>
      </c>
      <c r="C453" s="27">
        <f>IFERROR(IF(ISNUMBER(Datos!C453),Datos!C453/$F$3*100,NA()),NA())</f>
        <v/>
      </c>
    </row>
    <row r="454">
      <c r="A454" s="7">
        <f>IFERROR(Datos!A454,"")</f>
        <v/>
      </c>
      <c r="B454" s="27">
        <f>IFERROR(IF(ISNUMBER(Datos!B454),Datos!B454/$F$2*100,NA()),NA())</f>
        <v/>
      </c>
      <c r="C454" s="27">
        <f>IFERROR(IF(ISNUMBER(Datos!C454),Datos!C454/$F$3*100,NA()),NA())</f>
        <v/>
      </c>
    </row>
    <row r="455">
      <c r="A455" s="7">
        <f>IFERROR(Datos!A455,"")</f>
        <v/>
      </c>
      <c r="B455" s="27">
        <f>IFERROR(IF(ISNUMBER(Datos!B455),Datos!B455/$F$2*100,NA()),NA())</f>
        <v/>
      </c>
      <c r="C455" s="27">
        <f>IFERROR(IF(ISNUMBER(Datos!C455),Datos!C455/$F$3*100,NA()),NA())</f>
        <v/>
      </c>
    </row>
    <row r="456">
      <c r="A456" s="7">
        <f>IFERROR(Datos!A456,"")</f>
        <v/>
      </c>
      <c r="B456" s="27">
        <f>IFERROR(IF(ISNUMBER(Datos!B456),Datos!B456/$F$2*100,NA()),NA())</f>
        <v/>
      </c>
      <c r="C456" s="27">
        <f>IFERROR(IF(ISNUMBER(Datos!C456),Datos!C456/$F$3*100,NA()),NA())</f>
        <v/>
      </c>
    </row>
    <row r="457">
      <c r="A457" s="7">
        <f>IFERROR(Datos!A457,"")</f>
        <v/>
      </c>
      <c r="B457" s="27">
        <f>IFERROR(IF(ISNUMBER(Datos!B457),Datos!B457/$F$2*100,NA()),NA())</f>
        <v/>
      </c>
      <c r="C457" s="27">
        <f>IFERROR(IF(ISNUMBER(Datos!C457),Datos!C457/$F$3*100,NA()),NA())</f>
        <v/>
      </c>
    </row>
    <row r="458">
      <c r="A458" s="7">
        <f>IFERROR(Datos!A458,"")</f>
        <v/>
      </c>
      <c r="B458" s="27">
        <f>IFERROR(IF(ISNUMBER(Datos!B458),Datos!B458/$F$2*100,NA()),NA())</f>
        <v/>
      </c>
      <c r="C458" s="27">
        <f>IFERROR(IF(ISNUMBER(Datos!C458),Datos!C458/$F$3*100,NA()),NA())</f>
        <v/>
      </c>
    </row>
    <row r="459">
      <c r="A459" s="7">
        <f>IFERROR(Datos!A459,"")</f>
        <v/>
      </c>
      <c r="B459" s="27">
        <f>IFERROR(IF(ISNUMBER(Datos!B459),Datos!B459/$F$2*100,NA()),NA())</f>
        <v/>
      </c>
      <c r="C459" s="27">
        <f>IFERROR(IF(ISNUMBER(Datos!C459),Datos!C459/$F$3*100,NA()),NA())</f>
        <v/>
      </c>
    </row>
    <row r="460">
      <c r="A460" s="7">
        <f>IFERROR(Datos!A460,"")</f>
        <v/>
      </c>
      <c r="B460" s="27">
        <f>IFERROR(IF(ISNUMBER(Datos!B460),Datos!B460/$F$2*100,NA()),NA())</f>
        <v/>
      </c>
      <c r="C460" s="27">
        <f>IFERROR(IF(ISNUMBER(Datos!C460),Datos!C460/$F$3*100,NA()),NA())</f>
        <v/>
      </c>
    </row>
    <row r="461">
      <c r="A461" s="7">
        <f>IFERROR(Datos!A461,"")</f>
        <v/>
      </c>
      <c r="B461" s="27">
        <f>IFERROR(IF(ISNUMBER(Datos!B461),Datos!B461/$F$2*100,NA()),NA())</f>
        <v/>
      </c>
      <c r="C461" s="27">
        <f>IFERROR(IF(ISNUMBER(Datos!C461),Datos!C461/$F$3*100,NA()),NA())</f>
        <v/>
      </c>
    </row>
    <row r="462">
      <c r="A462" s="7">
        <f>IFERROR(Datos!A462,"")</f>
        <v/>
      </c>
      <c r="B462" s="27">
        <f>IFERROR(IF(ISNUMBER(Datos!B462),Datos!B462/$F$2*100,NA()),NA())</f>
        <v/>
      </c>
      <c r="C462" s="27">
        <f>IFERROR(IF(ISNUMBER(Datos!C462),Datos!C462/$F$3*100,NA()),NA())</f>
        <v/>
      </c>
    </row>
    <row r="463">
      <c r="A463" s="7">
        <f>IFERROR(Datos!A463,"")</f>
        <v/>
      </c>
      <c r="B463" s="27">
        <f>IFERROR(IF(ISNUMBER(Datos!B463),Datos!B463/$F$2*100,NA()),NA())</f>
        <v/>
      </c>
      <c r="C463" s="27">
        <f>IFERROR(IF(ISNUMBER(Datos!C463),Datos!C463/$F$3*100,NA()),NA())</f>
        <v/>
      </c>
    </row>
    <row r="464">
      <c r="A464" s="7">
        <f>IFERROR(Datos!A464,"")</f>
        <v/>
      </c>
      <c r="B464" s="27">
        <f>IFERROR(IF(ISNUMBER(Datos!B464),Datos!B464/$F$2*100,NA()),NA())</f>
        <v/>
      </c>
      <c r="C464" s="27">
        <f>IFERROR(IF(ISNUMBER(Datos!C464),Datos!C464/$F$3*100,NA()),NA())</f>
        <v/>
      </c>
    </row>
    <row r="465">
      <c r="A465" s="7">
        <f>IFERROR(Datos!A465,"")</f>
        <v/>
      </c>
      <c r="B465" s="27">
        <f>IFERROR(IF(ISNUMBER(Datos!B465),Datos!B465/$F$2*100,NA()),NA())</f>
        <v/>
      </c>
      <c r="C465" s="27">
        <f>IFERROR(IF(ISNUMBER(Datos!C465),Datos!C465/$F$3*100,NA()),NA())</f>
        <v/>
      </c>
    </row>
    <row r="466">
      <c r="A466" s="7">
        <f>IFERROR(Datos!A466,"")</f>
        <v/>
      </c>
      <c r="B466" s="27">
        <f>IFERROR(IF(ISNUMBER(Datos!B466),Datos!B466/$F$2*100,NA()),NA())</f>
        <v/>
      </c>
      <c r="C466" s="27">
        <f>IFERROR(IF(ISNUMBER(Datos!C466),Datos!C466/$F$3*100,NA()),NA())</f>
        <v/>
      </c>
    </row>
    <row r="467">
      <c r="A467" s="7">
        <f>IFERROR(Datos!A467,"")</f>
        <v/>
      </c>
      <c r="B467" s="27">
        <f>IFERROR(IF(ISNUMBER(Datos!B467),Datos!B467/$F$2*100,NA()),NA())</f>
        <v/>
      </c>
      <c r="C467" s="27">
        <f>IFERROR(IF(ISNUMBER(Datos!C467),Datos!C467/$F$3*100,NA()),NA())</f>
        <v/>
      </c>
    </row>
    <row r="468">
      <c r="A468" s="7">
        <f>IFERROR(Datos!A468,"")</f>
        <v/>
      </c>
      <c r="B468" s="27">
        <f>IFERROR(IF(ISNUMBER(Datos!B468),Datos!B468/$F$2*100,NA()),NA())</f>
        <v/>
      </c>
      <c r="C468" s="27">
        <f>IFERROR(IF(ISNUMBER(Datos!C468),Datos!C468/$F$3*100,NA()),NA())</f>
        <v/>
      </c>
    </row>
    <row r="469">
      <c r="A469" s="7">
        <f>IFERROR(Datos!A469,"")</f>
        <v/>
      </c>
      <c r="B469" s="27">
        <f>IFERROR(IF(ISNUMBER(Datos!B469),Datos!B469/$F$2*100,NA()),NA())</f>
        <v/>
      </c>
      <c r="C469" s="27">
        <f>IFERROR(IF(ISNUMBER(Datos!C469),Datos!C469/$F$3*100,NA()),NA())</f>
        <v/>
      </c>
    </row>
    <row r="470">
      <c r="A470" s="7">
        <f>IFERROR(Datos!A470,"")</f>
        <v/>
      </c>
      <c r="B470" s="27">
        <f>IFERROR(IF(ISNUMBER(Datos!B470),Datos!B470/$F$2*100,NA()),NA())</f>
        <v/>
      </c>
      <c r="C470" s="27">
        <f>IFERROR(IF(ISNUMBER(Datos!C470),Datos!C470/$F$3*100,NA()),NA())</f>
        <v/>
      </c>
    </row>
    <row r="471">
      <c r="A471" s="7">
        <f>IFERROR(Datos!A471,"")</f>
        <v/>
      </c>
      <c r="B471" s="27">
        <f>IFERROR(IF(ISNUMBER(Datos!B471),Datos!B471/$F$2*100,NA()),NA())</f>
        <v/>
      </c>
      <c r="C471" s="27">
        <f>IFERROR(IF(ISNUMBER(Datos!C471),Datos!C471/$F$3*100,NA()),NA())</f>
        <v/>
      </c>
    </row>
    <row r="472">
      <c r="A472" s="7">
        <f>IFERROR(Datos!A472,"")</f>
        <v/>
      </c>
      <c r="B472" s="27">
        <f>IFERROR(IF(ISNUMBER(Datos!B472),Datos!B472/$F$2*100,NA()),NA())</f>
        <v/>
      </c>
      <c r="C472" s="27">
        <f>IFERROR(IF(ISNUMBER(Datos!C472),Datos!C472/$F$3*100,NA()),NA())</f>
        <v/>
      </c>
    </row>
    <row r="473">
      <c r="A473" s="7">
        <f>IFERROR(Datos!A473,"")</f>
        <v/>
      </c>
      <c r="B473" s="27">
        <f>IFERROR(IF(ISNUMBER(Datos!B473),Datos!B473/$F$2*100,NA()),NA())</f>
        <v/>
      </c>
      <c r="C473" s="27">
        <f>IFERROR(IF(ISNUMBER(Datos!C473),Datos!C473/$F$3*100,NA()),NA())</f>
        <v/>
      </c>
    </row>
    <row r="474">
      <c r="A474" s="7">
        <f>IFERROR(Datos!A474,"")</f>
        <v/>
      </c>
      <c r="B474" s="27">
        <f>IFERROR(IF(ISNUMBER(Datos!B474),Datos!B474/$F$2*100,NA()),NA())</f>
        <v/>
      </c>
      <c r="C474" s="27">
        <f>IFERROR(IF(ISNUMBER(Datos!C474),Datos!C474/$F$3*100,NA()),NA())</f>
        <v/>
      </c>
    </row>
    <row r="475">
      <c r="A475" s="7">
        <f>IFERROR(Datos!A475,"")</f>
        <v/>
      </c>
      <c r="B475" s="27">
        <f>IFERROR(IF(ISNUMBER(Datos!B475),Datos!B475/$F$2*100,NA()),NA())</f>
        <v/>
      </c>
      <c r="C475" s="27">
        <f>IFERROR(IF(ISNUMBER(Datos!C475),Datos!C475/$F$3*100,NA()),NA())</f>
        <v/>
      </c>
    </row>
    <row r="476">
      <c r="A476" s="7">
        <f>IFERROR(Datos!A476,"")</f>
        <v/>
      </c>
      <c r="B476" s="27">
        <f>IFERROR(IF(ISNUMBER(Datos!B476),Datos!B476/$F$2*100,NA()),NA())</f>
        <v/>
      </c>
      <c r="C476" s="27">
        <f>IFERROR(IF(ISNUMBER(Datos!C476),Datos!C476/$F$3*100,NA()),NA())</f>
        <v/>
      </c>
    </row>
    <row r="477">
      <c r="A477" s="7">
        <f>IFERROR(Datos!A477,"")</f>
        <v/>
      </c>
      <c r="B477" s="27">
        <f>IFERROR(IF(ISNUMBER(Datos!B477),Datos!B477/$F$2*100,NA()),NA())</f>
        <v/>
      </c>
      <c r="C477" s="27">
        <f>IFERROR(IF(ISNUMBER(Datos!C477),Datos!C477/$F$3*100,NA()),NA())</f>
        <v/>
      </c>
    </row>
    <row r="478">
      <c r="A478" s="7">
        <f>IFERROR(Datos!A478,"")</f>
        <v/>
      </c>
      <c r="B478" s="27">
        <f>IFERROR(IF(ISNUMBER(Datos!B478),Datos!B478/$F$2*100,NA()),NA())</f>
        <v/>
      </c>
      <c r="C478" s="27">
        <f>IFERROR(IF(ISNUMBER(Datos!C478),Datos!C478/$F$3*100,NA()),NA())</f>
        <v/>
      </c>
    </row>
    <row r="479">
      <c r="A479" s="7">
        <f>IFERROR(Datos!A479,"")</f>
        <v/>
      </c>
      <c r="B479" s="27">
        <f>IFERROR(IF(ISNUMBER(Datos!B479),Datos!B479/$F$2*100,NA()),NA())</f>
        <v/>
      </c>
      <c r="C479" s="27">
        <f>IFERROR(IF(ISNUMBER(Datos!C479),Datos!C479/$F$3*100,NA()),NA())</f>
        <v/>
      </c>
    </row>
    <row r="480">
      <c r="A480" s="7">
        <f>IFERROR(Datos!A480,"")</f>
        <v/>
      </c>
      <c r="B480" s="27">
        <f>IFERROR(IF(ISNUMBER(Datos!B480),Datos!B480/$F$2*100,NA()),NA())</f>
        <v/>
      </c>
      <c r="C480" s="27">
        <f>IFERROR(IF(ISNUMBER(Datos!C480),Datos!C480/$F$3*100,NA()),NA())</f>
        <v/>
      </c>
    </row>
    <row r="481">
      <c r="A481" s="7">
        <f>IFERROR(Datos!A481,"")</f>
        <v/>
      </c>
      <c r="B481" s="27">
        <f>IFERROR(IF(ISNUMBER(Datos!B481),Datos!B481/$F$2*100,NA()),NA())</f>
        <v/>
      </c>
      <c r="C481" s="27">
        <f>IFERROR(IF(ISNUMBER(Datos!C481),Datos!C481/$F$3*100,NA()),NA())</f>
        <v/>
      </c>
    </row>
    <row r="482">
      <c r="A482" s="7">
        <f>IFERROR(Datos!A482,"")</f>
        <v/>
      </c>
      <c r="B482" s="27">
        <f>IFERROR(IF(ISNUMBER(Datos!B482),Datos!B482/$F$2*100,NA()),NA())</f>
        <v/>
      </c>
      <c r="C482" s="27">
        <f>IFERROR(IF(ISNUMBER(Datos!C482),Datos!C482/$F$3*100,NA()),NA())</f>
        <v/>
      </c>
    </row>
    <row r="483">
      <c r="A483" s="7">
        <f>IFERROR(Datos!A483,"")</f>
        <v/>
      </c>
      <c r="B483" s="27">
        <f>IFERROR(IF(ISNUMBER(Datos!B483),Datos!B483/$F$2*100,NA()),NA())</f>
        <v/>
      </c>
      <c r="C483" s="27">
        <f>IFERROR(IF(ISNUMBER(Datos!C483),Datos!C483/$F$3*100,NA()),NA())</f>
        <v/>
      </c>
    </row>
    <row r="484">
      <c r="A484" s="7">
        <f>IFERROR(Datos!A484,"")</f>
        <v/>
      </c>
      <c r="B484" s="27">
        <f>IFERROR(IF(ISNUMBER(Datos!B484),Datos!B484/$F$2*100,NA()),NA())</f>
        <v/>
      </c>
      <c r="C484" s="27">
        <f>IFERROR(IF(ISNUMBER(Datos!C484),Datos!C484/$F$3*100,NA()),NA())</f>
        <v/>
      </c>
    </row>
    <row r="485">
      <c r="A485" s="7">
        <f>IFERROR(Datos!A485,"")</f>
        <v/>
      </c>
      <c r="B485" s="27">
        <f>IFERROR(IF(ISNUMBER(Datos!B485),Datos!B485/$F$2*100,NA()),NA())</f>
        <v/>
      </c>
      <c r="C485" s="27">
        <f>IFERROR(IF(ISNUMBER(Datos!C485),Datos!C485/$F$3*100,NA()),NA())</f>
        <v/>
      </c>
    </row>
    <row r="486">
      <c r="A486" s="7">
        <f>IFERROR(Datos!A486,"")</f>
        <v/>
      </c>
      <c r="B486" s="27">
        <f>IFERROR(IF(ISNUMBER(Datos!B486),Datos!B486/$F$2*100,NA()),NA())</f>
        <v/>
      </c>
      <c r="C486" s="27">
        <f>IFERROR(IF(ISNUMBER(Datos!C486),Datos!C486/$F$3*100,NA()),NA())</f>
        <v/>
      </c>
    </row>
    <row r="487">
      <c r="A487" s="7">
        <f>IFERROR(Datos!A487,"")</f>
        <v/>
      </c>
      <c r="B487" s="27">
        <f>IFERROR(IF(ISNUMBER(Datos!B487),Datos!B487/$F$2*100,NA()),NA())</f>
        <v/>
      </c>
      <c r="C487" s="27">
        <f>IFERROR(IF(ISNUMBER(Datos!C487),Datos!C487/$F$3*100,NA()),NA())</f>
        <v/>
      </c>
    </row>
    <row r="488">
      <c r="A488" s="7">
        <f>IFERROR(Datos!A488,"")</f>
        <v/>
      </c>
      <c r="B488" s="27">
        <f>IFERROR(IF(ISNUMBER(Datos!B488),Datos!B488/$F$2*100,NA()),NA())</f>
        <v/>
      </c>
      <c r="C488" s="27">
        <f>IFERROR(IF(ISNUMBER(Datos!C488),Datos!C488/$F$3*100,NA()),NA())</f>
        <v/>
      </c>
    </row>
    <row r="489">
      <c r="A489" s="7">
        <f>IFERROR(Datos!A489,"")</f>
        <v/>
      </c>
      <c r="B489" s="27">
        <f>IFERROR(IF(ISNUMBER(Datos!B489),Datos!B489/$F$2*100,NA()),NA())</f>
        <v/>
      </c>
      <c r="C489" s="27">
        <f>IFERROR(IF(ISNUMBER(Datos!C489),Datos!C489/$F$3*100,NA()),NA())</f>
        <v/>
      </c>
    </row>
    <row r="490">
      <c r="A490" s="7">
        <f>IFERROR(Datos!A490,"")</f>
        <v/>
      </c>
      <c r="B490" s="27">
        <f>IFERROR(IF(ISNUMBER(Datos!B490),Datos!B490/$F$2*100,NA()),NA())</f>
        <v/>
      </c>
      <c r="C490" s="27">
        <f>IFERROR(IF(ISNUMBER(Datos!C490),Datos!C490/$F$3*100,NA()),NA())</f>
        <v/>
      </c>
    </row>
    <row r="491">
      <c r="A491" s="7">
        <f>IFERROR(Datos!A491,"")</f>
        <v/>
      </c>
      <c r="B491" s="27">
        <f>IFERROR(IF(ISNUMBER(Datos!B491),Datos!B491/$F$2*100,NA()),NA())</f>
        <v/>
      </c>
      <c r="C491" s="27">
        <f>IFERROR(IF(ISNUMBER(Datos!C491),Datos!C491/$F$3*100,NA()),NA())</f>
        <v/>
      </c>
    </row>
    <row r="492">
      <c r="A492" s="7">
        <f>IFERROR(Datos!A492,"")</f>
        <v/>
      </c>
      <c r="B492" s="27">
        <f>IFERROR(IF(ISNUMBER(Datos!B492),Datos!B492/$F$2*100,NA()),NA())</f>
        <v/>
      </c>
      <c r="C492" s="27">
        <f>IFERROR(IF(ISNUMBER(Datos!C492),Datos!C492/$F$3*100,NA()),NA())</f>
        <v/>
      </c>
    </row>
    <row r="493">
      <c r="A493" s="7">
        <f>IFERROR(Datos!A493,"")</f>
        <v/>
      </c>
      <c r="B493" s="27">
        <f>IFERROR(IF(ISNUMBER(Datos!B493),Datos!B493/$F$2*100,NA()),NA())</f>
        <v/>
      </c>
      <c r="C493" s="27">
        <f>IFERROR(IF(ISNUMBER(Datos!C493),Datos!C493/$F$3*100,NA()),NA())</f>
        <v/>
      </c>
    </row>
    <row r="494">
      <c r="A494" s="7">
        <f>IFERROR(Datos!A494,"")</f>
        <v/>
      </c>
      <c r="B494" s="27">
        <f>IFERROR(IF(ISNUMBER(Datos!B494),Datos!B494/$F$2*100,NA()),NA())</f>
        <v/>
      </c>
      <c r="C494" s="27">
        <f>IFERROR(IF(ISNUMBER(Datos!C494),Datos!C494/$F$3*100,NA()),NA())</f>
        <v/>
      </c>
    </row>
    <row r="495">
      <c r="A495" s="7">
        <f>IFERROR(Datos!A495,"")</f>
        <v/>
      </c>
      <c r="B495" s="27">
        <f>IFERROR(IF(ISNUMBER(Datos!B495),Datos!B495/$F$2*100,NA()),NA())</f>
        <v/>
      </c>
      <c r="C495" s="27">
        <f>IFERROR(IF(ISNUMBER(Datos!C495),Datos!C495/$F$3*100,NA()),NA())</f>
        <v/>
      </c>
    </row>
    <row r="496">
      <c r="A496" s="7">
        <f>IFERROR(Datos!A496,"")</f>
        <v/>
      </c>
      <c r="B496" s="27">
        <f>IFERROR(IF(ISNUMBER(Datos!B496),Datos!B496/$F$2*100,NA()),NA())</f>
        <v/>
      </c>
      <c r="C496" s="27">
        <f>IFERROR(IF(ISNUMBER(Datos!C496),Datos!C496/$F$3*100,NA()),NA())</f>
        <v/>
      </c>
    </row>
    <row r="497">
      <c r="A497" s="7">
        <f>IFERROR(Datos!A497,"")</f>
        <v/>
      </c>
      <c r="B497" s="27">
        <f>IFERROR(IF(ISNUMBER(Datos!B497),Datos!B497/$F$2*100,NA()),NA())</f>
        <v/>
      </c>
      <c r="C497" s="27">
        <f>IFERROR(IF(ISNUMBER(Datos!C497),Datos!C497/$F$3*100,NA()),NA())</f>
        <v/>
      </c>
    </row>
    <row r="498">
      <c r="A498" s="7">
        <f>IFERROR(Datos!A498,"")</f>
        <v/>
      </c>
      <c r="B498" s="27">
        <f>IFERROR(IF(ISNUMBER(Datos!B498),Datos!B498/$F$2*100,NA()),NA())</f>
        <v/>
      </c>
      <c r="C498" s="27">
        <f>IFERROR(IF(ISNUMBER(Datos!C498),Datos!C498/$F$3*100,NA()),NA())</f>
        <v/>
      </c>
    </row>
    <row r="499">
      <c r="A499" s="7">
        <f>IFERROR(Datos!A499,"")</f>
        <v/>
      </c>
      <c r="B499" s="27">
        <f>IFERROR(IF(ISNUMBER(Datos!B499),Datos!B499/$F$2*100,NA()),NA())</f>
        <v/>
      </c>
      <c r="C499" s="27">
        <f>IFERROR(IF(ISNUMBER(Datos!C499),Datos!C499/$F$3*100,NA()),NA())</f>
        <v/>
      </c>
    </row>
    <row r="500">
      <c r="A500" s="7">
        <f>IFERROR(Datos!A500,"")</f>
        <v/>
      </c>
      <c r="B500" s="27">
        <f>IFERROR(IF(ISNUMBER(Datos!B500),Datos!B500/$F$2*100,NA()),NA())</f>
        <v/>
      </c>
      <c r="C500" s="27">
        <f>IFERROR(IF(ISNUMBER(Datos!C500),Datos!C500/$F$3*100,NA()),NA())</f>
        <v/>
      </c>
    </row>
    <row r="501">
      <c r="A501" s="7">
        <f>IFERROR(Datos!A501,"")</f>
        <v/>
      </c>
      <c r="B501" s="27">
        <f>IFERROR(IF(ISNUMBER(Datos!B501),Datos!B501/$F$2*100,NA()),NA())</f>
        <v/>
      </c>
      <c r="C501" s="27">
        <f>IFERROR(IF(ISNUMBER(Datos!C501),Datos!C501/$F$3*100,NA()),NA())</f>
        <v/>
      </c>
    </row>
    <row r="502">
      <c r="A502" s="7">
        <f>IFERROR(Datos!A502,"")</f>
        <v/>
      </c>
      <c r="B502" s="27">
        <f>IFERROR(IF(ISNUMBER(Datos!B502),Datos!B502/$F$2*100,NA()),NA())</f>
        <v/>
      </c>
      <c r="C502" s="27">
        <f>IFERROR(IF(ISNUMBER(Datos!C502),Datos!C502/$F$3*100,NA()),NA())</f>
        <v/>
      </c>
    </row>
    <row r="503">
      <c r="A503" s="7">
        <f>IFERROR(Datos!A503,"")</f>
        <v/>
      </c>
      <c r="B503" s="27">
        <f>IFERROR(IF(ISNUMBER(Datos!B503),Datos!B503/$F$2*100,NA()),NA())</f>
        <v/>
      </c>
      <c r="C503" s="27">
        <f>IFERROR(IF(ISNUMBER(Datos!C503),Datos!C503/$F$3*100,NA()),NA())</f>
        <v/>
      </c>
    </row>
    <row r="504">
      <c r="A504" s="7">
        <f>IFERROR(Datos!A504,"")</f>
        <v/>
      </c>
      <c r="B504" s="27">
        <f>IFERROR(IF(ISNUMBER(Datos!B504),Datos!B504/$F$2*100,NA()),NA())</f>
        <v/>
      </c>
      <c r="C504" s="27">
        <f>IFERROR(IF(ISNUMBER(Datos!C504),Datos!C504/$F$3*100,NA()),NA())</f>
        <v/>
      </c>
    </row>
    <row r="505">
      <c r="A505" s="7">
        <f>IFERROR(Datos!A505,"")</f>
        <v/>
      </c>
      <c r="B505" s="27">
        <f>IFERROR(IF(ISNUMBER(Datos!B505),Datos!B505/$F$2*100,NA()),NA())</f>
        <v/>
      </c>
      <c r="C505" s="27">
        <f>IFERROR(IF(ISNUMBER(Datos!C505),Datos!C505/$F$3*100,NA()),NA())</f>
        <v/>
      </c>
    </row>
    <row r="506">
      <c r="A506" s="7">
        <f>IFERROR(Datos!A506,"")</f>
        <v/>
      </c>
      <c r="B506" s="27">
        <f>IFERROR(IF(ISNUMBER(Datos!B506),Datos!B506/$F$2*100,NA()),NA())</f>
        <v/>
      </c>
      <c r="C506" s="27">
        <f>IFERROR(IF(ISNUMBER(Datos!C506),Datos!C506/$F$3*100,NA()),NA())</f>
        <v/>
      </c>
    </row>
    <row r="507">
      <c r="A507" s="7">
        <f>IFERROR(Datos!A507,"")</f>
        <v/>
      </c>
      <c r="B507" s="27">
        <f>IFERROR(IF(ISNUMBER(Datos!B507),Datos!B507/$F$2*100,NA()),NA())</f>
        <v/>
      </c>
      <c r="C507" s="27">
        <f>IFERROR(IF(ISNUMBER(Datos!C507),Datos!C507/$F$3*100,NA()),NA())</f>
        <v/>
      </c>
    </row>
    <row r="508">
      <c r="A508" s="7">
        <f>IFERROR(Datos!A508,"")</f>
        <v/>
      </c>
      <c r="B508" s="27">
        <f>IFERROR(IF(ISNUMBER(Datos!B508),Datos!B508/$F$2*100,NA()),NA())</f>
        <v/>
      </c>
      <c r="C508" s="27">
        <f>IFERROR(IF(ISNUMBER(Datos!C508),Datos!C508/$F$3*100,NA()),NA())</f>
        <v/>
      </c>
    </row>
    <row r="509">
      <c r="A509" s="7">
        <f>IFERROR(Datos!A509,"")</f>
        <v/>
      </c>
      <c r="B509" s="27">
        <f>IFERROR(IF(ISNUMBER(Datos!B509),Datos!B509/$F$2*100,NA()),NA())</f>
        <v/>
      </c>
      <c r="C509" s="27">
        <f>IFERROR(IF(ISNUMBER(Datos!C509),Datos!C509/$F$3*100,NA()),NA())</f>
        <v/>
      </c>
    </row>
    <row r="510">
      <c r="A510" s="7">
        <f>IFERROR(Datos!A510,"")</f>
        <v/>
      </c>
      <c r="B510" s="27">
        <f>IFERROR(IF(ISNUMBER(Datos!B510),Datos!B510/$F$2*100,NA()),NA())</f>
        <v/>
      </c>
      <c r="C510" s="27">
        <f>IFERROR(IF(ISNUMBER(Datos!C510),Datos!C510/$F$3*100,NA()),NA())</f>
        <v/>
      </c>
    </row>
    <row r="511">
      <c r="A511" s="7">
        <f>IFERROR(Datos!A511,"")</f>
        <v/>
      </c>
      <c r="B511" s="27">
        <f>IFERROR(IF(ISNUMBER(Datos!B511),Datos!B511/$F$2*100,NA()),NA())</f>
        <v/>
      </c>
      <c r="C511" s="27">
        <f>IFERROR(IF(ISNUMBER(Datos!C511),Datos!C511/$F$3*100,NA()),NA())</f>
        <v/>
      </c>
    </row>
    <row r="512">
      <c r="A512" s="7">
        <f>IFERROR(Datos!A512,"")</f>
        <v/>
      </c>
      <c r="B512" s="27">
        <f>IFERROR(IF(ISNUMBER(Datos!B512),Datos!B512/$F$2*100,NA()),NA())</f>
        <v/>
      </c>
      <c r="C512" s="27">
        <f>IFERROR(IF(ISNUMBER(Datos!C512),Datos!C512/$F$3*100,NA()),NA())</f>
        <v/>
      </c>
    </row>
    <row r="513">
      <c r="A513" s="7">
        <f>IFERROR(Datos!A513,"")</f>
        <v/>
      </c>
      <c r="B513" s="27">
        <f>IFERROR(IF(ISNUMBER(Datos!B513),Datos!B513/$F$2*100,NA()),NA())</f>
        <v/>
      </c>
      <c r="C513" s="27">
        <f>IFERROR(IF(ISNUMBER(Datos!C513),Datos!C513/$F$3*100,NA()),NA())</f>
        <v/>
      </c>
    </row>
    <row r="514">
      <c r="A514" s="7">
        <f>IFERROR(Datos!A514,"")</f>
        <v/>
      </c>
      <c r="B514" s="27">
        <f>IFERROR(IF(ISNUMBER(Datos!B514),Datos!B514/$F$2*100,NA()),NA())</f>
        <v/>
      </c>
      <c r="C514" s="27">
        <f>IFERROR(IF(ISNUMBER(Datos!C514),Datos!C514/$F$3*100,NA()),NA())</f>
        <v/>
      </c>
    </row>
    <row r="515">
      <c r="A515" s="7">
        <f>IFERROR(Datos!A515,"")</f>
        <v/>
      </c>
      <c r="B515" s="27">
        <f>IFERROR(IF(ISNUMBER(Datos!B515),Datos!B515/$F$2*100,NA()),NA())</f>
        <v/>
      </c>
      <c r="C515" s="27">
        <f>IFERROR(IF(ISNUMBER(Datos!C515),Datos!C515/$F$3*100,NA()),NA())</f>
        <v/>
      </c>
    </row>
    <row r="516">
      <c r="A516" s="7">
        <f>IFERROR(Datos!A516,"")</f>
        <v/>
      </c>
      <c r="B516" s="27">
        <f>IFERROR(IF(ISNUMBER(Datos!B516),Datos!B516/$F$2*100,NA()),NA())</f>
        <v/>
      </c>
      <c r="C516" s="27">
        <f>IFERROR(IF(ISNUMBER(Datos!C516),Datos!C516/$F$3*100,NA()),NA())</f>
        <v/>
      </c>
    </row>
    <row r="517">
      <c r="A517" s="7">
        <f>IFERROR(Datos!A517,"")</f>
        <v/>
      </c>
      <c r="B517" s="27">
        <f>IFERROR(IF(ISNUMBER(Datos!B517),Datos!B517/$F$2*100,NA()),NA())</f>
        <v/>
      </c>
      <c r="C517" s="27">
        <f>IFERROR(IF(ISNUMBER(Datos!C517),Datos!C517/$F$3*100,NA()),NA())</f>
        <v/>
      </c>
    </row>
    <row r="518">
      <c r="A518" s="7">
        <f>IFERROR(Datos!A518,"")</f>
        <v/>
      </c>
      <c r="B518" s="27">
        <f>IFERROR(IF(ISNUMBER(Datos!B518),Datos!B518/$F$2*100,NA()),NA())</f>
        <v/>
      </c>
      <c r="C518" s="27">
        <f>IFERROR(IF(ISNUMBER(Datos!C518),Datos!C518/$F$3*100,NA()),NA())</f>
        <v/>
      </c>
    </row>
    <row r="519">
      <c r="A519" s="7">
        <f>IFERROR(Datos!A519,"")</f>
        <v/>
      </c>
      <c r="B519" s="27">
        <f>IFERROR(IF(ISNUMBER(Datos!B519),Datos!B519/$F$2*100,NA()),NA())</f>
        <v/>
      </c>
      <c r="C519" s="27">
        <f>IFERROR(IF(ISNUMBER(Datos!C519),Datos!C519/$F$3*100,NA()),NA())</f>
        <v/>
      </c>
    </row>
    <row r="520">
      <c r="A520" s="7">
        <f>IFERROR(Datos!A520,"")</f>
        <v/>
      </c>
      <c r="B520" s="27">
        <f>IFERROR(IF(ISNUMBER(Datos!B520),Datos!B520/$F$2*100,NA()),NA())</f>
        <v/>
      </c>
      <c r="C520" s="27">
        <f>IFERROR(IF(ISNUMBER(Datos!C520),Datos!C520/$F$3*100,NA()),NA())</f>
        <v/>
      </c>
    </row>
    <row r="521">
      <c r="A521" s="7">
        <f>IFERROR(Datos!A521,"")</f>
        <v/>
      </c>
      <c r="B521" s="27">
        <f>IFERROR(IF(ISNUMBER(Datos!B521),Datos!B521/$F$2*100,NA()),NA())</f>
        <v/>
      </c>
      <c r="C521" s="27">
        <f>IFERROR(IF(ISNUMBER(Datos!C521),Datos!C521/$F$3*100,NA()),NA())</f>
        <v/>
      </c>
    </row>
    <row r="522">
      <c r="A522" s="7">
        <f>IFERROR(Datos!A522,"")</f>
        <v/>
      </c>
      <c r="B522" s="27">
        <f>IFERROR(IF(ISNUMBER(Datos!B522),Datos!B522/$F$2*100,NA()),NA())</f>
        <v/>
      </c>
      <c r="C522" s="27">
        <f>IFERROR(IF(ISNUMBER(Datos!C522),Datos!C522/$F$3*100,NA()),NA())</f>
        <v/>
      </c>
    </row>
    <row r="523">
      <c r="A523" s="7">
        <f>IFERROR(Datos!A523,"")</f>
        <v/>
      </c>
      <c r="B523" s="27">
        <f>IFERROR(IF(ISNUMBER(Datos!B523),Datos!B523/$F$2*100,NA()),NA())</f>
        <v/>
      </c>
      <c r="C523" s="27">
        <f>IFERROR(IF(ISNUMBER(Datos!C523),Datos!C523/$F$3*100,NA()),NA())</f>
        <v/>
      </c>
    </row>
    <row r="524">
      <c r="A524" s="7">
        <f>IFERROR(Datos!A524,"")</f>
        <v/>
      </c>
      <c r="B524" s="27">
        <f>IFERROR(IF(ISNUMBER(Datos!B524),Datos!B524/$F$2*100,NA()),NA())</f>
        <v/>
      </c>
      <c r="C524" s="27">
        <f>IFERROR(IF(ISNUMBER(Datos!C524),Datos!C524/$F$3*100,NA()),NA())</f>
        <v/>
      </c>
    </row>
    <row r="525">
      <c r="A525" s="7">
        <f>IFERROR(Datos!A525,"")</f>
        <v/>
      </c>
      <c r="B525" s="27">
        <f>IFERROR(IF(ISNUMBER(Datos!B525),Datos!B525/$F$2*100,NA()),NA())</f>
        <v/>
      </c>
      <c r="C525" s="27">
        <f>IFERROR(IF(ISNUMBER(Datos!C525),Datos!C525/$F$3*100,NA()),NA())</f>
        <v/>
      </c>
    </row>
    <row r="526">
      <c r="A526" s="7">
        <f>IFERROR(Datos!A526,"")</f>
        <v/>
      </c>
      <c r="B526" s="27">
        <f>IFERROR(IF(ISNUMBER(Datos!B526),Datos!B526/$F$2*100,NA()),NA())</f>
        <v/>
      </c>
      <c r="C526" s="27">
        <f>IFERROR(IF(ISNUMBER(Datos!C526),Datos!C526/$F$3*100,NA()),NA())</f>
        <v/>
      </c>
    </row>
    <row r="527">
      <c r="A527" s="7">
        <f>IFERROR(Datos!A527,"")</f>
        <v/>
      </c>
      <c r="B527" s="27">
        <f>IFERROR(IF(ISNUMBER(Datos!B527),Datos!B527/$F$2*100,NA()),NA())</f>
        <v/>
      </c>
      <c r="C527" s="27">
        <f>IFERROR(IF(ISNUMBER(Datos!C527),Datos!C527/$F$3*100,NA()),NA())</f>
        <v/>
      </c>
    </row>
    <row r="528">
      <c r="A528" s="7">
        <f>IFERROR(Datos!A528,"")</f>
        <v/>
      </c>
      <c r="B528" s="27">
        <f>IFERROR(IF(ISNUMBER(Datos!B528),Datos!B528/$F$2*100,NA()),NA())</f>
        <v/>
      </c>
      <c r="C528" s="27">
        <f>IFERROR(IF(ISNUMBER(Datos!C528),Datos!C528/$F$3*100,NA()),NA())</f>
        <v/>
      </c>
    </row>
    <row r="529">
      <c r="A529" s="7">
        <f>IFERROR(Datos!A529,"")</f>
        <v/>
      </c>
      <c r="B529" s="27">
        <f>IFERROR(IF(ISNUMBER(Datos!B529),Datos!B529/$F$2*100,NA()),NA())</f>
        <v/>
      </c>
      <c r="C529" s="27">
        <f>IFERROR(IF(ISNUMBER(Datos!C529),Datos!C529/$F$3*100,NA()),NA())</f>
        <v/>
      </c>
    </row>
    <row r="530">
      <c r="A530" s="7">
        <f>IFERROR(Datos!A530,"")</f>
        <v/>
      </c>
      <c r="B530" s="27">
        <f>IFERROR(IF(ISNUMBER(Datos!B530),Datos!B530/$F$2*100,NA()),NA())</f>
        <v/>
      </c>
      <c r="C530" s="27">
        <f>IFERROR(IF(ISNUMBER(Datos!C530),Datos!C530/$F$3*100,NA()),NA())</f>
        <v/>
      </c>
    </row>
    <row r="531">
      <c r="A531" s="7">
        <f>IFERROR(Datos!A531,"")</f>
        <v/>
      </c>
      <c r="B531" s="27">
        <f>IFERROR(IF(ISNUMBER(Datos!B531),Datos!B531/$F$2*100,NA()),NA())</f>
        <v/>
      </c>
      <c r="C531" s="27">
        <f>IFERROR(IF(ISNUMBER(Datos!C531),Datos!C531/$F$3*100,NA()),NA())</f>
        <v/>
      </c>
    </row>
    <row r="532">
      <c r="A532" s="7">
        <f>IFERROR(Datos!A532,"")</f>
        <v/>
      </c>
      <c r="B532" s="27">
        <f>IFERROR(IF(ISNUMBER(Datos!B532),Datos!B532/$F$2*100,NA()),NA())</f>
        <v/>
      </c>
      <c r="C532" s="27">
        <f>IFERROR(IF(ISNUMBER(Datos!C532),Datos!C532/$F$3*100,NA()),NA())</f>
        <v/>
      </c>
    </row>
    <row r="533">
      <c r="A533" s="7">
        <f>IFERROR(Datos!A533,"")</f>
        <v/>
      </c>
      <c r="B533" s="27">
        <f>IFERROR(IF(ISNUMBER(Datos!B533),Datos!B533/$F$2*100,NA()),NA())</f>
        <v/>
      </c>
      <c r="C533" s="27">
        <f>IFERROR(IF(ISNUMBER(Datos!C533),Datos!C533/$F$3*100,NA()),NA())</f>
        <v/>
      </c>
    </row>
    <row r="534">
      <c r="A534" s="7">
        <f>IFERROR(Datos!A534,"")</f>
        <v/>
      </c>
      <c r="B534" s="27">
        <f>IFERROR(IF(ISNUMBER(Datos!B534),Datos!B534/$F$2*100,NA()),NA())</f>
        <v/>
      </c>
      <c r="C534" s="27">
        <f>IFERROR(IF(ISNUMBER(Datos!C534),Datos!C534/$F$3*100,NA()),NA())</f>
        <v/>
      </c>
    </row>
    <row r="535">
      <c r="A535" s="7">
        <f>IFERROR(Datos!A535,"")</f>
        <v/>
      </c>
      <c r="B535" s="27">
        <f>IFERROR(IF(ISNUMBER(Datos!B535),Datos!B535/$F$2*100,NA()),NA())</f>
        <v/>
      </c>
      <c r="C535" s="27">
        <f>IFERROR(IF(ISNUMBER(Datos!C535),Datos!C535/$F$3*100,NA()),NA())</f>
        <v/>
      </c>
    </row>
    <row r="536">
      <c r="A536" s="7">
        <f>IFERROR(Datos!A536,"")</f>
        <v/>
      </c>
      <c r="B536" s="27">
        <f>IFERROR(IF(ISNUMBER(Datos!B536),Datos!B536/$F$2*100,NA()),NA())</f>
        <v/>
      </c>
      <c r="C536" s="27">
        <f>IFERROR(IF(ISNUMBER(Datos!C536),Datos!C536/$F$3*100,NA()),NA())</f>
        <v/>
      </c>
    </row>
    <row r="537">
      <c r="A537" s="7">
        <f>IFERROR(Datos!A537,"")</f>
        <v/>
      </c>
      <c r="B537" s="27">
        <f>IFERROR(IF(ISNUMBER(Datos!B537),Datos!B537/$F$2*100,NA()),NA())</f>
        <v/>
      </c>
      <c r="C537" s="27">
        <f>IFERROR(IF(ISNUMBER(Datos!C537),Datos!C537/$F$3*100,NA()),NA())</f>
        <v/>
      </c>
    </row>
    <row r="538">
      <c r="A538" s="7">
        <f>IFERROR(Datos!A538,"")</f>
        <v/>
      </c>
      <c r="B538" s="27">
        <f>IFERROR(IF(ISNUMBER(Datos!B538),Datos!B538/$F$2*100,NA()),NA())</f>
        <v/>
      </c>
      <c r="C538" s="27">
        <f>IFERROR(IF(ISNUMBER(Datos!C538),Datos!C538/$F$3*100,NA()),NA())</f>
        <v/>
      </c>
    </row>
    <row r="539">
      <c r="A539" s="7">
        <f>IFERROR(Datos!A539,"")</f>
        <v/>
      </c>
      <c r="B539" s="27">
        <f>IFERROR(IF(ISNUMBER(Datos!B539),Datos!B539/$F$2*100,NA()),NA())</f>
        <v/>
      </c>
      <c r="C539" s="27">
        <f>IFERROR(IF(ISNUMBER(Datos!C539),Datos!C539/$F$3*100,NA()),NA())</f>
        <v/>
      </c>
    </row>
    <row r="540">
      <c r="A540" s="7">
        <f>IFERROR(Datos!A540,"")</f>
        <v/>
      </c>
      <c r="B540" s="27">
        <f>IFERROR(IF(ISNUMBER(Datos!B540),Datos!B540/$F$2*100,NA()),NA())</f>
        <v/>
      </c>
      <c r="C540" s="27">
        <f>IFERROR(IF(ISNUMBER(Datos!C540),Datos!C540/$F$3*100,NA()),NA())</f>
        <v/>
      </c>
    </row>
    <row r="541">
      <c r="A541" s="7">
        <f>IFERROR(Datos!A541,"")</f>
        <v/>
      </c>
      <c r="B541" s="27">
        <f>IFERROR(IF(ISNUMBER(Datos!B541),Datos!B541/$F$2*100,NA()),NA())</f>
        <v/>
      </c>
      <c r="C541" s="27">
        <f>IFERROR(IF(ISNUMBER(Datos!C541),Datos!C541/$F$3*100,NA()),NA())</f>
        <v/>
      </c>
    </row>
    <row r="542">
      <c r="A542" s="7">
        <f>IFERROR(Datos!A542,"")</f>
        <v/>
      </c>
      <c r="B542" s="27">
        <f>IFERROR(IF(ISNUMBER(Datos!B542),Datos!B542/$F$2*100,NA()),NA())</f>
        <v/>
      </c>
      <c r="C542" s="27">
        <f>IFERROR(IF(ISNUMBER(Datos!C542),Datos!C542/$F$3*100,NA()),NA())</f>
        <v/>
      </c>
    </row>
    <row r="543">
      <c r="A543" s="7">
        <f>IFERROR(Datos!A543,"")</f>
        <v/>
      </c>
      <c r="B543" s="27">
        <f>IFERROR(IF(ISNUMBER(Datos!B543),Datos!B543/$F$2*100,NA()),NA())</f>
        <v/>
      </c>
      <c r="C543" s="27">
        <f>IFERROR(IF(ISNUMBER(Datos!C543),Datos!C543/$F$3*100,NA()),NA())</f>
        <v/>
      </c>
    </row>
    <row r="544">
      <c r="A544" s="7">
        <f>IFERROR(Datos!A544,"")</f>
        <v/>
      </c>
      <c r="B544" s="27">
        <f>IFERROR(IF(ISNUMBER(Datos!B544),Datos!B544/$F$2*100,NA()),NA())</f>
        <v/>
      </c>
      <c r="C544" s="27">
        <f>IFERROR(IF(ISNUMBER(Datos!C544),Datos!C544/$F$3*100,NA()),NA())</f>
        <v/>
      </c>
    </row>
    <row r="545">
      <c r="A545" s="7">
        <f>IFERROR(Datos!A545,"")</f>
        <v/>
      </c>
      <c r="B545" s="27">
        <f>IFERROR(IF(ISNUMBER(Datos!B545),Datos!B545/$F$2*100,NA()),NA())</f>
        <v/>
      </c>
      <c r="C545" s="27">
        <f>IFERROR(IF(ISNUMBER(Datos!C545),Datos!C545/$F$3*100,NA()),NA())</f>
        <v/>
      </c>
    </row>
    <row r="546">
      <c r="A546" s="7">
        <f>IFERROR(Datos!A546,"")</f>
        <v/>
      </c>
      <c r="B546" s="27">
        <f>IFERROR(IF(ISNUMBER(Datos!B546),Datos!B546/$F$2*100,NA()),NA())</f>
        <v/>
      </c>
      <c r="C546" s="27">
        <f>IFERROR(IF(ISNUMBER(Datos!C546),Datos!C546/$F$3*100,NA()),NA())</f>
        <v/>
      </c>
    </row>
    <row r="547">
      <c r="A547" s="7">
        <f>IFERROR(Datos!A547,"")</f>
        <v/>
      </c>
      <c r="B547" s="27">
        <f>IFERROR(IF(ISNUMBER(Datos!B547),Datos!B547/$F$2*100,NA()),NA())</f>
        <v/>
      </c>
      <c r="C547" s="27">
        <f>IFERROR(IF(ISNUMBER(Datos!C547),Datos!C547/$F$3*100,NA()),NA())</f>
        <v/>
      </c>
    </row>
    <row r="548">
      <c r="A548" s="7">
        <f>IFERROR(Datos!A548,"")</f>
        <v/>
      </c>
      <c r="B548" s="27">
        <f>IFERROR(IF(ISNUMBER(Datos!B548),Datos!B548/$F$2*100,NA()),NA())</f>
        <v/>
      </c>
      <c r="C548" s="27">
        <f>IFERROR(IF(ISNUMBER(Datos!C548),Datos!C548/$F$3*100,NA()),NA())</f>
        <v/>
      </c>
    </row>
    <row r="549">
      <c r="A549" s="7">
        <f>IFERROR(Datos!A549,"")</f>
        <v/>
      </c>
      <c r="B549" s="27">
        <f>IFERROR(IF(ISNUMBER(Datos!B549),Datos!B549/$F$2*100,NA()),NA())</f>
        <v/>
      </c>
      <c r="C549" s="27">
        <f>IFERROR(IF(ISNUMBER(Datos!C549),Datos!C549/$F$3*100,NA()),NA())</f>
        <v/>
      </c>
    </row>
    <row r="550">
      <c r="A550" s="7">
        <f>IFERROR(Datos!A550,"")</f>
        <v/>
      </c>
      <c r="B550" s="27">
        <f>IFERROR(IF(ISNUMBER(Datos!B550),Datos!B550/$F$2*100,NA()),NA())</f>
        <v/>
      </c>
      <c r="C550" s="27">
        <f>IFERROR(IF(ISNUMBER(Datos!C550),Datos!C550/$F$3*100,NA()),NA())</f>
        <v/>
      </c>
    </row>
    <row r="551">
      <c r="A551" s="7">
        <f>IFERROR(Datos!A551,"")</f>
        <v/>
      </c>
      <c r="B551" s="27">
        <f>IFERROR(IF(ISNUMBER(Datos!B551),Datos!B551/$F$2*100,NA()),NA())</f>
        <v/>
      </c>
      <c r="C551" s="27">
        <f>IFERROR(IF(ISNUMBER(Datos!C551),Datos!C551/$F$3*100,NA()),NA())</f>
        <v/>
      </c>
    </row>
    <row r="552">
      <c r="A552" s="7">
        <f>IFERROR(Datos!A552,"")</f>
        <v/>
      </c>
      <c r="B552" s="27">
        <f>IFERROR(IF(ISNUMBER(Datos!B552),Datos!B552/$F$2*100,NA()),NA())</f>
        <v/>
      </c>
      <c r="C552" s="27">
        <f>IFERROR(IF(ISNUMBER(Datos!C552),Datos!C552/$F$3*100,NA()),NA())</f>
        <v/>
      </c>
    </row>
    <row r="553">
      <c r="A553" s="7">
        <f>IFERROR(Datos!A553,"")</f>
        <v/>
      </c>
      <c r="B553" s="27">
        <f>IFERROR(IF(ISNUMBER(Datos!B553),Datos!B553/$F$2*100,NA()),NA())</f>
        <v/>
      </c>
      <c r="C553" s="27">
        <f>IFERROR(IF(ISNUMBER(Datos!C553),Datos!C553/$F$3*100,NA()),NA())</f>
        <v/>
      </c>
    </row>
    <row r="554">
      <c r="A554" s="7">
        <f>IFERROR(Datos!A554,"")</f>
        <v/>
      </c>
      <c r="B554" s="27">
        <f>IFERROR(IF(ISNUMBER(Datos!B554),Datos!B554/$F$2*100,NA()),NA())</f>
        <v/>
      </c>
      <c r="C554" s="27">
        <f>IFERROR(IF(ISNUMBER(Datos!C554),Datos!C554/$F$3*100,NA()),NA())</f>
        <v/>
      </c>
    </row>
    <row r="555">
      <c r="A555" s="7">
        <f>IFERROR(Datos!A555,"")</f>
        <v/>
      </c>
      <c r="B555" s="27">
        <f>IFERROR(IF(ISNUMBER(Datos!B555),Datos!B555/$F$2*100,NA()),NA())</f>
        <v/>
      </c>
      <c r="C555" s="27">
        <f>IFERROR(IF(ISNUMBER(Datos!C555),Datos!C555/$F$3*100,NA()),NA())</f>
        <v/>
      </c>
    </row>
    <row r="556">
      <c r="A556" s="7">
        <f>IFERROR(Datos!A556,"")</f>
        <v/>
      </c>
      <c r="B556" s="27">
        <f>IFERROR(IF(ISNUMBER(Datos!B556),Datos!B556/$F$2*100,NA()),NA())</f>
        <v/>
      </c>
      <c r="C556" s="27">
        <f>IFERROR(IF(ISNUMBER(Datos!C556),Datos!C556/$F$3*100,NA()),NA())</f>
        <v/>
      </c>
    </row>
    <row r="557">
      <c r="A557" s="7">
        <f>IFERROR(Datos!A557,"")</f>
        <v/>
      </c>
      <c r="B557" s="27">
        <f>IFERROR(IF(ISNUMBER(Datos!B557),Datos!B557/$F$2*100,NA()),NA())</f>
        <v/>
      </c>
      <c r="C557" s="27">
        <f>IFERROR(IF(ISNUMBER(Datos!C557),Datos!C557/$F$3*100,NA()),NA())</f>
        <v/>
      </c>
    </row>
    <row r="558">
      <c r="A558" s="7">
        <f>IFERROR(Datos!A558,"")</f>
        <v/>
      </c>
      <c r="B558" s="27">
        <f>IFERROR(IF(ISNUMBER(Datos!B558),Datos!B558/$F$2*100,NA()),NA())</f>
        <v/>
      </c>
      <c r="C558" s="27">
        <f>IFERROR(IF(ISNUMBER(Datos!C558),Datos!C558/$F$3*100,NA()),NA())</f>
        <v/>
      </c>
    </row>
    <row r="559">
      <c r="A559" s="7">
        <f>IFERROR(Datos!A559,"")</f>
        <v/>
      </c>
      <c r="B559" s="27">
        <f>IFERROR(IF(ISNUMBER(Datos!B559),Datos!B559/$F$2*100,NA()),NA())</f>
        <v/>
      </c>
      <c r="C559" s="27">
        <f>IFERROR(IF(ISNUMBER(Datos!C559),Datos!C559/$F$3*100,NA()),NA())</f>
        <v/>
      </c>
    </row>
    <row r="560">
      <c r="A560" s="7">
        <f>IFERROR(Datos!A560,"")</f>
        <v/>
      </c>
      <c r="B560" s="27">
        <f>IFERROR(IF(ISNUMBER(Datos!B560),Datos!B560/$F$2*100,NA()),NA())</f>
        <v/>
      </c>
      <c r="C560" s="27">
        <f>IFERROR(IF(ISNUMBER(Datos!C560),Datos!C560/$F$3*100,NA()),NA())</f>
        <v/>
      </c>
    </row>
    <row r="561">
      <c r="A561" s="7">
        <f>IFERROR(Datos!A561,"")</f>
        <v/>
      </c>
      <c r="B561" s="27">
        <f>IFERROR(IF(ISNUMBER(Datos!B561),Datos!B561/$F$2*100,NA()),NA())</f>
        <v/>
      </c>
      <c r="C561" s="27">
        <f>IFERROR(IF(ISNUMBER(Datos!C561),Datos!C561/$F$3*100,NA()),NA())</f>
        <v/>
      </c>
    </row>
    <row r="562">
      <c r="A562" s="7">
        <f>IFERROR(Datos!A562,"")</f>
        <v/>
      </c>
      <c r="B562" s="27">
        <f>IFERROR(IF(ISNUMBER(Datos!B562),Datos!B562/$F$2*100,NA()),NA())</f>
        <v/>
      </c>
      <c r="C562" s="27">
        <f>IFERROR(IF(ISNUMBER(Datos!C562),Datos!C562/$F$3*100,NA()),NA())</f>
        <v/>
      </c>
    </row>
    <row r="563">
      <c r="A563" s="7">
        <f>IFERROR(Datos!A563,"")</f>
        <v/>
      </c>
      <c r="B563" s="27">
        <f>IFERROR(IF(ISNUMBER(Datos!B563),Datos!B563/$F$2*100,NA()),NA())</f>
        <v/>
      </c>
      <c r="C563" s="27">
        <f>IFERROR(IF(ISNUMBER(Datos!C563),Datos!C563/$F$3*100,NA()),NA())</f>
        <v/>
      </c>
    </row>
    <row r="564">
      <c r="A564" s="7">
        <f>IFERROR(Datos!A564,"")</f>
        <v/>
      </c>
      <c r="B564" s="27">
        <f>IFERROR(IF(ISNUMBER(Datos!B564),Datos!B564/$F$2*100,NA()),NA())</f>
        <v/>
      </c>
      <c r="C564" s="27">
        <f>IFERROR(IF(ISNUMBER(Datos!C564),Datos!C564/$F$3*100,NA()),NA())</f>
        <v/>
      </c>
    </row>
    <row r="565">
      <c r="A565" s="7">
        <f>IFERROR(Datos!A565,"")</f>
        <v/>
      </c>
      <c r="B565" s="27">
        <f>IFERROR(IF(ISNUMBER(Datos!B565),Datos!B565/$F$2*100,NA()),NA())</f>
        <v/>
      </c>
      <c r="C565" s="27">
        <f>IFERROR(IF(ISNUMBER(Datos!C565),Datos!C565/$F$3*100,NA()),NA())</f>
        <v/>
      </c>
    </row>
    <row r="566">
      <c r="A566" s="7">
        <f>IFERROR(Datos!A566,"")</f>
        <v/>
      </c>
      <c r="B566" s="27">
        <f>IFERROR(IF(ISNUMBER(Datos!B566),Datos!B566/$F$2*100,NA()),NA())</f>
        <v/>
      </c>
      <c r="C566" s="27">
        <f>IFERROR(IF(ISNUMBER(Datos!C566),Datos!C566/$F$3*100,NA()),NA())</f>
        <v/>
      </c>
    </row>
    <row r="567">
      <c r="A567" s="7">
        <f>IFERROR(Datos!A567,"")</f>
        <v/>
      </c>
      <c r="B567" s="27">
        <f>IFERROR(IF(ISNUMBER(Datos!B567),Datos!B567/$F$2*100,NA()),NA())</f>
        <v/>
      </c>
      <c r="C567" s="27">
        <f>IFERROR(IF(ISNUMBER(Datos!C567),Datos!C567/$F$3*100,NA()),NA())</f>
        <v/>
      </c>
    </row>
    <row r="568">
      <c r="A568" s="7">
        <f>IFERROR(Datos!A568,"")</f>
        <v/>
      </c>
      <c r="B568" s="27">
        <f>IFERROR(IF(ISNUMBER(Datos!B568),Datos!B568/$F$2*100,NA()),NA())</f>
        <v/>
      </c>
      <c r="C568" s="27">
        <f>IFERROR(IF(ISNUMBER(Datos!C568),Datos!C568/$F$3*100,NA()),NA())</f>
        <v/>
      </c>
    </row>
    <row r="569">
      <c r="A569" s="7">
        <f>IFERROR(Datos!A569,"")</f>
        <v/>
      </c>
      <c r="B569" s="27">
        <f>IFERROR(IF(ISNUMBER(Datos!B569),Datos!B569/$F$2*100,NA()),NA())</f>
        <v/>
      </c>
      <c r="C569" s="27">
        <f>IFERROR(IF(ISNUMBER(Datos!C569),Datos!C569/$F$3*100,NA()),NA())</f>
        <v/>
      </c>
    </row>
    <row r="570">
      <c r="A570" s="7">
        <f>IFERROR(Datos!A570,"")</f>
        <v/>
      </c>
      <c r="B570" s="27">
        <f>IFERROR(IF(ISNUMBER(Datos!B570),Datos!B570/$F$2*100,NA()),NA())</f>
        <v/>
      </c>
      <c r="C570" s="27">
        <f>IFERROR(IF(ISNUMBER(Datos!C570),Datos!C570/$F$3*100,NA()),NA())</f>
        <v/>
      </c>
    </row>
    <row r="571">
      <c r="A571" s="7">
        <f>IFERROR(Datos!A571,"")</f>
        <v/>
      </c>
      <c r="B571" s="27">
        <f>IFERROR(IF(ISNUMBER(Datos!B571),Datos!B571/$F$2*100,NA()),NA())</f>
        <v/>
      </c>
      <c r="C571" s="27">
        <f>IFERROR(IF(ISNUMBER(Datos!C571),Datos!C571/$F$3*100,NA()),NA())</f>
        <v/>
      </c>
    </row>
    <row r="572">
      <c r="A572" s="7">
        <f>IFERROR(Datos!A572,"")</f>
        <v/>
      </c>
      <c r="B572" s="27">
        <f>IFERROR(IF(ISNUMBER(Datos!B572),Datos!B572/$F$2*100,NA()),NA())</f>
        <v/>
      </c>
      <c r="C572" s="27">
        <f>IFERROR(IF(ISNUMBER(Datos!C572),Datos!C572/$F$3*100,NA()),NA())</f>
        <v/>
      </c>
    </row>
    <row r="573">
      <c r="A573" s="7">
        <f>IFERROR(Datos!A573,"")</f>
        <v/>
      </c>
      <c r="B573" s="27">
        <f>IFERROR(IF(ISNUMBER(Datos!B573),Datos!B573/$F$2*100,NA()),NA())</f>
        <v/>
      </c>
      <c r="C573" s="27">
        <f>IFERROR(IF(ISNUMBER(Datos!C573),Datos!C573/$F$3*100,NA()),NA())</f>
        <v/>
      </c>
    </row>
    <row r="574">
      <c r="A574" s="7">
        <f>IFERROR(Datos!A574,"")</f>
        <v/>
      </c>
      <c r="B574" s="27">
        <f>IFERROR(IF(ISNUMBER(Datos!B574),Datos!B574/$F$2*100,NA()),NA())</f>
        <v/>
      </c>
      <c r="C574" s="27">
        <f>IFERROR(IF(ISNUMBER(Datos!C574),Datos!C574/$F$3*100,NA()),NA())</f>
        <v/>
      </c>
    </row>
    <row r="575">
      <c r="A575" s="7">
        <f>IFERROR(Datos!A575,"")</f>
        <v/>
      </c>
      <c r="B575" s="27">
        <f>IFERROR(IF(ISNUMBER(Datos!B575),Datos!B575/$F$2*100,NA()),NA())</f>
        <v/>
      </c>
      <c r="C575" s="27">
        <f>IFERROR(IF(ISNUMBER(Datos!C575),Datos!C575/$F$3*100,NA()),NA())</f>
        <v/>
      </c>
    </row>
    <row r="576">
      <c r="A576" s="7">
        <f>IFERROR(Datos!A576,"")</f>
        <v/>
      </c>
      <c r="B576" s="27">
        <f>IFERROR(IF(ISNUMBER(Datos!B576),Datos!B576/$F$2*100,NA()),NA())</f>
        <v/>
      </c>
      <c r="C576" s="27">
        <f>IFERROR(IF(ISNUMBER(Datos!C576),Datos!C576/$F$3*100,NA()),NA())</f>
        <v/>
      </c>
    </row>
    <row r="577">
      <c r="A577" s="7">
        <f>IFERROR(Datos!A577,"")</f>
        <v/>
      </c>
      <c r="B577" s="27">
        <f>IFERROR(IF(ISNUMBER(Datos!B577),Datos!B577/$F$2*100,NA()),NA())</f>
        <v/>
      </c>
      <c r="C577" s="27">
        <f>IFERROR(IF(ISNUMBER(Datos!C577),Datos!C577/$F$3*100,NA()),NA())</f>
        <v/>
      </c>
    </row>
    <row r="578">
      <c r="A578" s="7">
        <f>IFERROR(Datos!A578,"")</f>
        <v/>
      </c>
      <c r="B578" s="27">
        <f>IFERROR(IF(ISNUMBER(Datos!B578),Datos!B578/$F$2*100,NA()),NA())</f>
        <v/>
      </c>
      <c r="C578" s="27">
        <f>IFERROR(IF(ISNUMBER(Datos!C578),Datos!C578/$F$3*100,NA()),NA())</f>
        <v/>
      </c>
    </row>
    <row r="579">
      <c r="A579" s="7">
        <f>IFERROR(Datos!A579,"")</f>
        <v/>
      </c>
      <c r="B579" s="27">
        <f>IFERROR(IF(ISNUMBER(Datos!B579),Datos!B579/$F$2*100,NA()),NA())</f>
        <v/>
      </c>
      <c r="C579" s="27">
        <f>IFERROR(IF(ISNUMBER(Datos!C579),Datos!C579/$F$3*100,NA()),NA())</f>
        <v/>
      </c>
    </row>
    <row r="580">
      <c r="A580" s="7">
        <f>IFERROR(Datos!A580,"")</f>
        <v/>
      </c>
      <c r="B580" s="27">
        <f>IFERROR(IF(ISNUMBER(Datos!B580),Datos!B580/$F$2*100,NA()),NA())</f>
        <v/>
      </c>
      <c r="C580" s="27">
        <f>IFERROR(IF(ISNUMBER(Datos!C580),Datos!C580/$F$3*100,NA()),NA())</f>
        <v/>
      </c>
    </row>
    <row r="581">
      <c r="A581" s="7">
        <f>IFERROR(Datos!A581,"")</f>
        <v/>
      </c>
      <c r="B581" s="27">
        <f>IFERROR(IF(ISNUMBER(Datos!B581),Datos!B581/$F$2*100,NA()),NA())</f>
        <v/>
      </c>
      <c r="C581" s="27">
        <f>IFERROR(IF(ISNUMBER(Datos!C581),Datos!C581/$F$3*100,NA()),NA())</f>
        <v/>
      </c>
    </row>
    <row r="582">
      <c r="A582" s="7">
        <f>IFERROR(Datos!A582,"")</f>
        <v/>
      </c>
      <c r="B582" s="27">
        <f>IFERROR(IF(ISNUMBER(Datos!B582),Datos!B582/$F$2*100,NA()),NA())</f>
        <v/>
      </c>
      <c r="C582" s="27">
        <f>IFERROR(IF(ISNUMBER(Datos!C582),Datos!C582/$F$3*100,NA()),NA())</f>
        <v/>
      </c>
    </row>
    <row r="583">
      <c r="A583" s="7">
        <f>IFERROR(Datos!A583,"")</f>
        <v/>
      </c>
      <c r="B583" s="27">
        <f>IFERROR(IF(ISNUMBER(Datos!B583),Datos!B583/$F$2*100,NA()),NA())</f>
        <v/>
      </c>
      <c r="C583" s="27">
        <f>IFERROR(IF(ISNUMBER(Datos!C583),Datos!C583/$F$3*100,NA()),NA())</f>
        <v/>
      </c>
    </row>
    <row r="584">
      <c r="A584" s="7">
        <f>IFERROR(Datos!A584,"")</f>
        <v/>
      </c>
      <c r="B584" s="27">
        <f>IFERROR(IF(ISNUMBER(Datos!B584),Datos!B584/$F$2*100,NA()),NA())</f>
        <v/>
      </c>
      <c r="C584" s="27">
        <f>IFERROR(IF(ISNUMBER(Datos!C584),Datos!C584/$F$3*100,NA()),NA())</f>
        <v/>
      </c>
    </row>
    <row r="585">
      <c r="A585" s="7">
        <f>IFERROR(Datos!A585,"")</f>
        <v/>
      </c>
      <c r="B585" s="27">
        <f>IFERROR(IF(ISNUMBER(Datos!B585),Datos!B585/$F$2*100,NA()),NA())</f>
        <v/>
      </c>
      <c r="C585" s="27">
        <f>IFERROR(IF(ISNUMBER(Datos!C585),Datos!C585/$F$3*100,NA()),NA())</f>
        <v/>
      </c>
    </row>
    <row r="586">
      <c r="A586" s="7">
        <f>IFERROR(Datos!A586,"")</f>
        <v/>
      </c>
      <c r="B586" s="27">
        <f>IFERROR(IF(ISNUMBER(Datos!B586),Datos!B586/$F$2*100,NA()),NA())</f>
        <v/>
      </c>
      <c r="C586" s="27">
        <f>IFERROR(IF(ISNUMBER(Datos!C586),Datos!C586/$F$3*100,NA()),NA())</f>
        <v/>
      </c>
    </row>
    <row r="587">
      <c r="A587" s="7">
        <f>IFERROR(Datos!A587,"")</f>
        <v/>
      </c>
      <c r="B587" s="27">
        <f>IFERROR(IF(ISNUMBER(Datos!B587),Datos!B587/$F$2*100,NA()),NA())</f>
        <v/>
      </c>
      <c r="C587" s="27">
        <f>IFERROR(IF(ISNUMBER(Datos!C587),Datos!C587/$F$3*100,NA()),NA())</f>
        <v/>
      </c>
    </row>
    <row r="588">
      <c r="A588" s="7">
        <f>IFERROR(Datos!A588,"")</f>
        <v/>
      </c>
      <c r="B588" s="27">
        <f>IFERROR(IF(ISNUMBER(Datos!B588),Datos!B588/$F$2*100,NA()),NA())</f>
        <v/>
      </c>
      <c r="C588" s="27">
        <f>IFERROR(IF(ISNUMBER(Datos!C588),Datos!C588/$F$3*100,NA()),NA())</f>
        <v/>
      </c>
    </row>
    <row r="589">
      <c r="A589" s="7">
        <f>IFERROR(Datos!A589,"")</f>
        <v/>
      </c>
      <c r="B589" s="27">
        <f>IFERROR(IF(ISNUMBER(Datos!B589),Datos!B589/$F$2*100,NA()),NA())</f>
        <v/>
      </c>
      <c r="C589" s="27">
        <f>IFERROR(IF(ISNUMBER(Datos!C589),Datos!C589/$F$3*100,NA()),NA())</f>
        <v/>
      </c>
    </row>
    <row r="590">
      <c r="A590" s="7">
        <f>IFERROR(Datos!A590,"")</f>
        <v/>
      </c>
      <c r="B590" s="27">
        <f>IFERROR(IF(ISNUMBER(Datos!B590),Datos!B590/$F$2*100,NA()),NA())</f>
        <v/>
      </c>
      <c r="C590" s="27">
        <f>IFERROR(IF(ISNUMBER(Datos!C590),Datos!C590/$F$3*100,NA()),NA())</f>
        <v/>
      </c>
    </row>
    <row r="591">
      <c r="A591" s="7">
        <f>IFERROR(Datos!A591,"")</f>
        <v/>
      </c>
      <c r="B591" s="27">
        <f>IFERROR(IF(ISNUMBER(Datos!B591),Datos!B591/$F$2*100,NA()),NA())</f>
        <v/>
      </c>
      <c r="C591" s="27">
        <f>IFERROR(IF(ISNUMBER(Datos!C591),Datos!C591/$F$3*100,NA()),NA())</f>
        <v/>
      </c>
    </row>
    <row r="592">
      <c r="A592" s="7">
        <f>IFERROR(Datos!A592,"")</f>
        <v/>
      </c>
      <c r="B592" s="27">
        <f>IFERROR(IF(ISNUMBER(Datos!B592),Datos!B592/$F$2*100,NA()),NA())</f>
        <v/>
      </c>
      <c r="C592" s="27">
        <f>IFERROR(IF(ISNUMBER(Datos!C592),Datos!C592/$F$3*100,NA()),NA())</f>
        <v/>
      </c>
    </row>
    <row r="593">
      <c r="A593" s="7">
        <f>IFERROR(Datos!A593,"")</f>
        <v/>
      </c>
      <c r="B593" s="27">
        <f>IFERROR(IF(ISNUMBER(Datos!B593),Datos!B593/$F$2*100,NA()),NA())</f>
        <v/>
      </c>
      <c r="C593" s="27">
        <f>IFERROR(IF(ISNUMBER(Datos!C593),Datos!C593/$F$3*100,NA()),NA())</f>
        <v/>
      </c>
    </row>
    <row r="594">
      <c r="A594" s="7">
        <f>IFERROR(Datos!A594,"")</f>
        <v/>
      </c>
      <c r="B594" s="27">
        <f>IFERROR(IF(ISNUMBER(Datos!B594),Datos!B594/$F$2*100,NA()),NA())</f>
        <v/>
      </c>
      <c r="C594" s="27">
        <f>IFERROR(IF(ISNUMBER(Datos!C594),Datos!C594/$F$3*100,NA()),NA())</f>
        <v/>
      </c>
    </row>
    <row r="595">
      <c r="A595" s="7">
        <f>IFERROR(Datos!A595,"")</f>
        <v/>
      </c>
      <c r="B595" s="27">
        <f>IFERROR(IF(ISNUMBER(Datos!B595),Datos!B595/$F$2*100,NA()),NA())</f>
        <v/>
      </c>
      <c r="C595" s="27">
        <f>IFERROR(IF(ISNUMBER(Datos!C595),Datos!C595/$F$3*100,NA()),NA())</f>
        <v/>
      </c>
    </row>
    <row r="596">
      <c r="A596" s="7">
        <f>IFERROR(Datos!A596,"")</f>
        <v/>
      </c>
      <c r="B596" s="27">
        <f>IFERROR(IF(ISNUMBER(Datos!B596),Datos!B596/$F$2*100,NA()),NA())</f>
        <v/>
      </c>
      <c r="C596" s="27">
        <f>IFERROR(IF(ISNUMBER(Datos!C596),Datos!C596/$F$3*100,NA()),NA())</f>
        <v/>
      </c>
    </row>
    <row r="597">
      <c r="A597" s="7">
        <f>IFERROR(Datos!A597,"")</f>
        <v/>
      </c>
      <c r="B597" s="27">
        <f>IFERROR(IF(ISNUMBER(Datos!B597),Datos!B597/$F$2*100,NA()),NA())</f>
        <v/>
      </c>
      <c r="C597" s="27">
        <f>IFERROR(IF(ISNUMBER(Datos!C597),Datos!C597/$F$3*100,NA()),NA())</f>
        <v/>
      </c>
    </row>
    <row r="598">
      <c r="A598" s="7">
        <f>IFERROR(Datos!A598,"")</f>
        <v/>
      </c>
      <c r="B598" s="27">
        <f>IFERROR(IF(ISNUMBER(Datos!B598),Datos!B598/$F$2*100,NA()),NA())</f>
        <v/>
      </c>
      <c r="C598" s="27">
        <f>IFERROR(IF(ISNUMBER(Datos!C598),Datos!C598/$F$3*100,NA()),NA())</f>
        <v/>
      </c>
    </row>
    <row r="599">
      <c r="A599" s="7">
        <f>IFERROR(Datos!A599,"")</f>
        <v/>
      </c>
      <c r="B599" s="27">
        <f>IFERROR(IF(ISNUMBER(Datos!B599),Datos!B599/$F$2*100,NA()),NA())</f>
        <v/>
      </c>
      <c r="C599" s="27">
        <f>IFERROR(IF(ISNUMBER(Datos!C599),Datos!C599/$F$3*100,NA()),NA())</f>
        <v/>
      </c>
    </row>
    <row r="600">
      <c r="A600" s="7">
        <f>IFERROR(Datos!A600,"")</f>
        <v/>
      </c>
      <c r="B600" s="27">
        <f>IFERROR(IF(ISNUMBER(Datos!B600),Datos!B600/$F$2*100,NA()),NA())</f>
        <v/>
      </c>
      <c r="C600" s="27">
        <f>IFERROR(IF(ISNUMBER(Datos!C600),Datos!C600/$F$3*100,NA()),NA())</f>
        <v/>
      </c>
    </row>
    <row r="601">
      <c r="A601" s="7">
        <f>IFERROR(Datos!A601,"")</f>
        <v/>
      </c>
      <c r="B601" s="27">
        <f>IFERROR(IF(ISNUMBER(Datos!B601),Datos!B601/$F$2*100,NA()),NA())</f>
        <v/>
      </c>
      <c r="C601" s="27">
        <f>IFERROR(IF(ISNUMBER(Datos!C601),Datos!C601/$F$3*100,NA()),NA())</f>
        <v/>
      </c>
    </row>
    <row r="602">
      <c r="A602" s="7">
        <f>IFERROR(Datos!A602,"")</f>
        <v/>
      </c>
      <c r="B602" s="27">
        <f>IFERROR(IF(ISNUMBER(Datos!B602),Datos!B602/$F$2*100,NA()),NA())</f>
        <v/>
      </c>
      <c r="C602" s="27">
        <f>IFERROR(IF(ISNUMBER(Datos!C602),Datos!C602/$F$3*100,NA()),NA())</f>
        <v/>
      </c>
    </row>
    <row r="603">
      <c r="A603" s="7">
        <f>IFERROR(Datos!A603,"")</f>
        <v/>
      </c>
      <c r="B603" s="27">
        <f>IFERROR(IF(ISNUMBER(Datos!B603),Datos!B603/$F$2*100,NA()),NA())</f>
        <v/>
      </c>
      <c r="C603" s="27">
        <f>IFERROR(IF(ISNUMBER(Datos!C603),Datos!C603/$F$3*100,NA()),NA())</f>
        <v/>
      </c>
    </row>
    <row r="604">
      <c r="A604" s="7">
        <f>IFERROR(Datos!A604,"")</f>
        <v/>
      </c>
      <c r="B604" s="27">
        <f>IFERROR(IF(ISNUMBER(Datos!B604),Datos!B604/$F$2*100,NA()),NA())</f>
        <v/>
      </c>
      <c r="C604" s="27">
        <f>IFERROR(IF(ISNUMBER(Datos!C604),Datos!C604/$F$3*100,NA()),NA())</f>
        <v/>
      </c>
    </row>
    <row r="605">
      <c r="A605" s="7">
        <f>IFERROR(Datos!A605,"")</f>
        <v/>
      </c>
      <c r="B605" s="27">
        <f>IFERROR(IF(ISNUMBER(Datos!B605),Datos!B605/$F$2*100,NA()),NA())</f>
        <v/>
      </c>
      <c r="C605" s="27">
        <f>IFERROR(IF(ISNUMBER(Datos!C605),Datos!C605/$F$3*100,NA()),NA())</f>
        <v/>
      </c>
    </row>
    <row r="606">
      <c r="A606" s="7">
        <f>IFERROR(Datos!A606,"")</f>
        <v/>
      </c>
      <c r="B606" s="27">
        <f>IFERROR(IF(ISNUMBER(Datos!B606),Datos!B606/$F$2*100,NA()),NA())</f>
        <v/>
      </c>
      <c r="C606" s="27">
        <f>IFERROR(IF(ISNUMBER(Datos!C606),Datos!C606/$F$3*100,NA()),NA())</f>
        <v/>
      </c>
    </row>
    <row r="607">
      <c r="A607" s="7">
        <f>IFERROR(Datos!A607,"")</f>
        <v/>
      </c>
      <c r="B607" s="27">
        <f>IFERROR(IF(ISNUMBER(Datos!B607),Datos!B607/$F$2*100,NA()),NA())</f>
        <v/>
      </c>
      <c r="C607" s="27">
        <f>IFERROR(IF(ISNUMBER(Datos!C607),Datos!C607/$F$3*100,NA()),NA())</f>
        <v/>
      </c>
    </row>
    <row r="608">
      <c r="A608" s="7">
        <f>IFERROR(Datos!A608,"")</f>
        <v/>
      </c>
      <c r="B608" s="27">
        <f>IFERROR(IF(ISNUMBER(Datos!B608),Datos!B608/$F$2*100,NA()),NA())</f>
        <v/>
      </c>
      <c r="C608" s="27">
        <f>IFERROR(IF(ISNUMBER(Datos!C608),Datos!C608/$F$3*100,NA()),NA())</f>
        <v/>
      </c>
    </row>
    <row r="609">
      <c r="A609" s="7">
        <f>IFERROR(Datos!A609,"")</f>
        <v/>
      </c>
      <c r="B609" s="27">
        <f>IFERROR(IF(ISNUMBER(Datos!B609),Datos!B609/$F$2*100,NA()),NA())</f>
        <v/>
      </c>
      <c r="C609" s="27">
        <f>IFERROR(IF(ISNUMBER(Datos!C609),Datos!C609/$F$3*100,NA()),NA())</f>
        <v/>
      </c>
    </row>
    <row r="610">
      <c r="A610" s="7">
        <f>IFERROR(Datos!A610,"")</f>
        <v/>
      </c>
      <c r="B610" s="27">
        <f>IFERROR(IF(ISNUMBER(Datos!B610),Datos!B610/$F$2*100,NA()),NA())</f>
        <v/>
      </c>
      <c r="C610" s="27">
        <f>IFERROR(IF(ISNUMBER(Datos!C610),Datos!C610/$F$3*100,NA()),NA())</f>
        <v/>
      </c>
    </row>
    <row r="611">
      <c r="A611" s="7">
        <f>IFERROR(Datos!A611,"")</f>
        <v/>
      </c>
      <c r="B611" s="27">
        <f>IFERROR(IF(ISNUMBER(Datos!B611),Datos!B611/$F$2*100,NA()),NA())</f>
        <v/>
      </c>
      <c r="C611" s="27">
        <f>IFERROR(IF(ISNUMBER(Datos!C611),Datos!C611/$F$3*100,NA()),NA())</f>
        <v/>
      </c>
    </row>
    <row r="612">
      <c r="A612" s="7">
        <f>IFERROR(Datos!A612,"")</f>
        <v/>
      </c>
      <c r="B612" s="27">
        <f>IFERROR(IF(ISNUMBER(Datos!B612),Datos!B612/$F$2*100,NA()),NA())</f>
        <v/>
      </c>
      <c r="C612" s="27">
        <f>IFERROR(IF(ISNUMBER(Datos!C612),Datos!C612/$F$3*100,NA()),NA())</f>
        <v/>
      </c>
    </row>
    <row r="613">
      <c r="A613" s="7">
        <f>IFERROR(Datos!A613,"")</f>
        <v/>
      </c>
      <c r="B613" s="27">
        <f>IFERROR(IF(ISNUMBER(Datos!B613),Datos!B613/$F$2*100,NA()),NA())</f>
        <v/>
      </c>
      <c r="C613" s="27">
        <f>IFERROR(IF(ISNUMBER(Datos!C613),Datos!C613/$F$3*100,NA()),NA())</f>
        <v/>
      </c>
    </row>
    <row r="614">
      <c r="A614" s="7">
        <f>IFERROR(Datos!A614,"")</f>
        <v/>
      </c>
      <c r="B614" s="27">
        <f>IFERROR(IF(ISNUMBER(Datos!B614),Datos!B614/$F$2*100,NA()),NA())</f>
        <v/>
      </c>
      <c r="C614" s="27">
        <f>IFERROR(IF(ISNUMBER(Datos!C614),Datos!C614/$F$3*100,NA()),NA())</f>
        <v/>
      </c>
    </row>
    <row r="615">
      <c r="A615" s="7">
        <f>IFERROR(Datos!A615,"")</f>
        <v/>
      </c>
      <c r="B615" s="27">
        <f>IFERROR(IF(ISNUMBER(Datos!B615),Datos!B615/$F$2*100,NA()),NA())</f>
        <v/>
      </c>
      <c r="C615" s="27">
        <f>IFERROR(IF(ISNUMBER(Datos!C615),Datos!C615/$F$3*100,NA()),NA())</f>
        <v/>
      </c>
    </row>
    <row r="616">
      <c r="A616" s="7">
        <f>IFERROR(Datos!A616,"")</f>
        <v/>
      </c>
      <c r="B616" s="27">
        <f>IFERROR(IF(ISNUMBER(Datos!B616),Datos!B616/$F$2*100,NA()),NA())</f>
        <v/>
      </c>
      <c r="C616" s="27">
        <f>IFERROR(IF(ISNUMBER(Datos!C616),Datos!C616/$F$3*100,NA()),NA())</f>
        <v/>
      </c>
    </row>
    <row r="617">
      <c r="A617" s="7">
        <f>IFERROR(Datos!A617,"")</f>
        <v/>
      </c>
      <c r="B617" s="27">
        <f>IFERROR(IF(ISNUMBER(Datos!B617),Datos!B617/$F$2*100,NA()),NA())</f>
        <v/>
      </c>
      <c r="C617" s="27">
        <f>IFERROR(IF(ISNUMBER(Datos!C617),Datos!C617/$F$3*100,NA()),NA())</f>
        <v/>
      </c>
    </row>
    <row r="618">
      <c r="A618" s="7">
        <f>IFERROR(Datos!A618,"")</f>
        <v/>
      </c>
      <c r="B618" s="27">
        <f>IFERROR(IF(ISNUMBER(Datos!B618),Datos!B618/$F$2*100,NA()),NA())</f>
        <v/>
      </c>
      <c r="C618" s="27">
        <f>IFERROR(IF(ISNUMBER(Datos!C618),Datos!C618/$F$3*100,NA()),NA())</f>
        <v/>
      </c>
    </row>
    <row r="619">
      <c r="A619" s="7">
        <f>IFERROR(Datos!A619,"")</f>
        <v/>
      </c>
      <c r="B619" s="27">
        <f>IFERROR(IF(ISNUMBER(Datos!B619),Datos!B619/$F$2*100,NA()),NA())</f>
        <v/>
      </c>
      <c r="C619" s="27">
        <f>IFERROR(IF(ISNUMBER(Datos!C619),Datos!C619/$F$3*100,NA()),NA())</f>
        <v/>
      </c>
    </row>
    <row r="620">
      <c r="A620" s="7">
        <f>IFERROR(Datos!A620,"")</f>
        <v/>
      </c>
      <c r="B620" s="27">
        <f>IFERROR(IF(ISNUMBER(Datos!B620),Datos!B620/$F$2*100,NA()),NA())</f>
        <v/>
      </c>
      <c r="C620" s="27">
        <f>IFERROR(IF(ISNUMBER(Datos!C620),Datos!C620/$F$3*100,NA()),NA())</f>
        <v/>
      </c>
    </row>
    <row r="621">
      <c r="A621" s="7">
        <f>IFERROR(Datos!A621,"")</f>
        <v/>
      </c>
      <c r="B621" s="27">
        <f>IFERROR(IF(ISNUMBER(Datos!B621),Datos!B621/$F$2*100,NA()),NA())</f>
        <v/>
      </c>
      <c r="C621" s="27">
        <f>IFERROR(IF(ISNUMBER(Datos!C621),Datos!C621/$F$3*100,NA()),NA())</f>
        <v/>
      </c>
    </row>
    <row r="622">
      <c r="A622" s="7">
        <f>IFERROR(Datos!A622,"")</f>
        <v/>
      </c>
      <c r="B622" s="27">
        <f>IFERROR(IF(ISNUMBER(Datos!B622),Datos!B622/$F$2*100,NA()),NA())</f>
        <v/>
      </c>
      <c r="C622" s="27">
        <f>IFERROR(IF(ISNUMBER(Datos!C622),Datos!C622/$F$3*100,NA()),NA())</f>
        <v/>
      </c>
    </row>
    <row r="623">
      <c r="A623" s="7">
        <f>IFERROR(Datos!A623,"")</f>
        <v/>
      </c>
      <c r="B623" s="27">
        <f>IFERROR(IF(ISNUMBER(Datos!B623),Datos!B623/$F$2*100,NA()),NA())</f>
        <v/>
      </c>
      <c r="C623" s="27">
        <f>IFERROR(IF(ISNUMBER(Datos!C623),Datos!C623/$F$3*100,NA()),NA())</f>
        <v/>
      </c>
    </row>
    <row r="624">
      <c r="A624" s="7">
        <f>IFERROR(Datos!A624,"")</f>
        <v/>
      </c>
      <c r="B624" s="27">
        <f>IFERROR(IF(ISNUMBER(Datos!B624),Datos!B624/$F$2*100,NA()),NA())</f>
        <v/>
      </c>
      <c r="C624" s="27">
        <f>IFERROR(IF(ISNUMBER(Datos!C624),Datos!C624/$F$3*100,NA()),NA())</f>
        <v/>
      </c>
    </row>
    <row r="625">
      <c r="A625" s="7">
        <f>IFERROR(Datos!A625,"")</f>
        <v/>
      </c>
      <c r="B625" s="27">
        <f>IFERROR(IF(ISNUMBER(Datos!B625),Datos!B625/$F$2*100,NA()),NA())</f>
        <v/>
      </c>
      <c r="C625" s="27">
        <f>IFERROR(IF(ISNUMBER(Datos!C625),Datos!C625/$F$3*100,NA()),NA())</f>
        <v/>
      </c>
    </row>
    <row r="626">
      <c r="A626" s="7">
        <f>IFERROR(Datos!A626,"")</f>
        <v/>
      </c>
      <c r="B626" s="27">
        <f>IFERROR(IF(ISNUMBER(Datos!B626),Datos!B626/$F$2*100,NA()),NA())</f>
        <v/>
      </c>
      <c r="C626" s="27">
        <f>IFERROR(IF(ISNUMBER(Datos!C626),Datos!C626/$F$3*100,NA()),NA())</f>
        <v/>
      </c>
    </row>
    <row r="627">
      <c r="A627" s="7">
        <f>IFERROR(Datos!A627,"")</f>
        <v/>
      </c>
      <c r="B627" s="27">
        <f>IFERROR(IF(ISNUMBER(Datos!B627),Datos!B627/$F$2*100,NA()),NA())</f>
        <v/>
      </c>
      <c r="C627" s="27">
        <f>IFERROR(IF(ISNUMBER(Datos!C627),Datos!C627/$F$3*100,NA()),NA())</f>
        <v/>
      </c>
    </row>
    <row r="628">
      <c r="A628" s="7">
        <f>IFERROR(Datos!A628,"")</f>
        <v/>
      </c>
      <c r="B628" s="27">
        <f>IFERROR(IF(ISNUMBER(Datos!B628),Datos!B628/$F$2*100,NA()),NA())</f>
        <v/>
      </c>
      <c r="C628" s="27">
        <f>IFERROR(IF(ISNUMBER(Datos!C628),Datos!C628/$F$3*100,NA()),NA())</f>
        <v/>
      </c>
    </row>
    <row r="629">
      <c r="A629" s="7">
        <f>IFERROR(Datos!A629,"")</f>
        <v/>
      </c>
      <c r="B629" s="27">
        <f>IFERROR(IF(ISNUMBER(Datos!B629),Datos!B629/$F$2*100,NA()),NA())</f>
        <v/>
      </c>
      <c r="C629" s="27">
        <f>IFERROR(IF(ISNUMBER(Datos!C629),Datos!C629/$F$3*100,NA()),NA())</f>
        <v/>
      </c>
    </row>
    <row r="630">
      <c r="A630" s="7">
        <f>IFERROR(Datos!A630,"")</f>
        <v/>
      </c>
      <c r="B630" s="27">
        <f>IFERROR(IF(ISNUMBER(Datos!B630),Datos!B630/$F$2*100,NA()),NA())</f>
        <v/>
      </c>
      <c r="C630" s="27">
        <f>IFERROR(IF(ISNUMBER(Datos!C630),Datos!C630/$F$3*100,NA()),NA())</f>
        <v/>
      </c>
    </row>
    <row r="631">
      <c r="A631" s="7">
        <f>IFERROR(Datos!A631,"")</f>
        <v/>
      </c>
      <c r="B631" s="27">
        <f>IFERROR(IF(ISNUMBER(Datos!B631),Datos!B631/$F$2*100,NA()),NA())</f>
        <v/>
      </c>
      <c r="C631" s="27">
        <f>IFERROR(IF(ISNUMBER(Datos!C631),Datos!C631/$F$3*100,NA()),NA())</f>
        <v/>
      </c>
    </row>
    <row r="632">
      <c r="A632" s="7">
        <f>IFERROR(Datos!A632,"")</f>
        <v/>
      </c>
      <c r="B632" s="27">
        <f>IFERROR(IF(ISNUMBER(Datos!B632),Datos!B632/$F$2*100,NA()),NA())</f>
        <v/>
      </c>
      <c r="C632" s="27">
        <f>IFERROR(IF(ISNUMBER(Datos!C632),Datos!C632/$F$3*100,NA()),NA())</f>
        <v/>
      </c>
    </row>
    <row r="633">
      <c r="A633" s="7">
        <f>IFERROR(Datos!A633,"")</f>
        <v/>
      </c>
      <c r="B633" s="27">
        <f>IFERROR(IF(ISNUMBER(Datos!B633),Datos!B633/$F$2*100,NA()),NA())</f>
        <v/>
      </c>
      <c r="C633" s="27">
        <f>IFERROR(IF(ISNUMBER(Datos!C633),Datos!C633/$F$3*100,NA()),NA())</f>
        <v/>
      </c>
    </row>
    <row r="634">
      <c r="A634" s="7">
        <f>IFERROR(Datos!A634,"")</f>
        <v/>
      </c>
      <c r="B634" s="27">
        <f>IFERROR(IF(ISNUMBER(Datos!B634),Datos!B634/$F$2*100,NA()),NA())</f>
        <v/>
      </c>
      <c r="C634" s="27">
        <f>IFERROR(IF(ISNUMBER(Datos!C634),Datos!C634/$F$3*100,NA()),NA())</f>
        <v/>
      </c>
    </row>
    <row r="635">
      <c r="A635" s="7">
        <f>IFERROR(Datos!A635,"")</f>
        <v/>
      </c>
      <c r="B635" s="27">
        <f>IFERROR(IF(ISNUMBER(Datos!B635),Datos!B635/$F$2*100,NA()),NA())</f>
        <v/>
      </c>
      <c r="C635" s="27">
        <f>IFERROR(IF(ISNUMBER(Datos!C635),Datos!C635/$F$3*100,NA()),NA())</f>
        <v/>
      </c>
    </row>
    <row r="636">
      <c r="A636" s="7">
        <f>IFERROR(Datos!A636,"")</f>
        <v/>
      </c>
      <c r="B636" s="27">
        <f>IFERROR(IF(ISNUMBER(Datos!B636),Datos!B636/$F$2*100,NA()),NA())</f>
        <v/>
      </c>
      <c r="C636" s="27">
        <f>IFERROR(IF(ISNUMBER(Datos!C636),Datos!C636/$F$3*100,NA()),NA())</f>
        <v/>
      </c>
    </row>
    <row r="637">
      <c r="A637" s="7">
        <f>IFERROR(Datos!A637,"")</f>
        <v/>
      </c>
      <c r="B637" s="27">
        <f>IFERROR(IF(ISNUMBER(Datos!B637),Datos!B637/$F$2*100,NA()),NA())</f>
        <v/>
      </c>
      <c r="C637" s="27">
        <f>IFERROR(IF(ISNUMBER(Datos!C637),Datos!C637/$F$3*100,NA()),NA())</f>
        <v/>
      </c>
    </row>
    <row r="638">
      <c r="A638" s="7">
        <f>IFERROR(Datos!A638,"")</f>
        <v/>
      </c>
      <c r="B638" s="27">
        <f>IFERROR(IF(ISNUMBER(Datos!B638),Datos!B638/$F$2*100,NA()),NA())</f>
        <v/>
      </c>
      <c r="C638" s="27">
        <f>IFERROR(IF(ISNUMBER(Datos!C638),Datos!C638/$F$3*100,NA()),NA())</f>
        <v/>
      </c>
    </row>
    <row r="639">
      <c r="A639" s="7">
        <f>IFERROR(Datos!A639,"")</f>
        <v/>
      </c>
      <c r="B639" s="27">
        <f>IFERROR(IF(ISNUMBER(Datos!B639),Datos!B639/$F$2*100,NA()),NA())</f>
        <v/>
      </c>
      <c r="C639" s="27">
        <f>IFERROR(IF(ISNUMBER(Datos!C639),Datos!C639/$F$3*100,NA()),NA())</f>
        <v/>
      </c>
    </row>
    <row r="640">
      <c r="A640" s="7">
        <f>IFERROR(Datos!A640,"")</f>
        <v/>
      </c>
      <c r="B640" s="27">
        <f>IFERROR(IF(ISNUMBER(Datos!B640),Datos!B640/$F$2*100,NA()),NA())</f>
        <v/>
      </c>
      <c r="C640" s="27">
        <f>IFERROR(IF(ISNUMBER(Datos!C640),Datos!C640/$F$3*100,NA()),NA())</f>
        <v/>
      </c>
    </row>
    <row r="641">
      <c r="A641" s="7">
        <f>IFERROR(Datos!A641,"")</f>
        <v/>
      </c>
      <c r="B641" s="27">
        <f>IFERROR(IF(ISNUMBER(Datos!B641),Datos!B641/$F$2*100,NA()),NA())</f>
        <v/>
      </c>
      <c r="C641" s="27">
        <f>IFERROR(IF(ISNUMBER(Datos!C641),Datos!C641/$F$3*100,NA()),NA())</f>
        <v/>
      </c>
    </row>
    <row r="642">
      <c r="A642" s="7">
        <f>IFERROR(Datos!A642,"")</f>
        <v/>
      </c>
      <c r="B642" s="27">
        <f>IFERROR(IF(ISNUMBER(Datos!B642),Datos!B642/$F$2*100,NA()),NA())</f>
        <v/>
      </c>
      <c r="C642" s="27">
        <f>IFERROR(IF(ISNUMBER(Datos!C642),Datos!C642/$F$3*100,NA()),NA())</f>
        <v/>
      </c>
    </row>
    <row r="643">
      <c r="A643" s="7">
        <f>IFERROR(Datos!A643,"")</f>
        <v/>
      </c>
      <c r="B643" s="27">
        <f>IFERROR(IF(ISNUMBER(Datos!B643),Datos!B643/$F$2*100,NA()),NA())</f>
        <v/>
      </c>
      <c r="C643" s="27">
        <f>IFERROR(IF(ISNUMBER(Datos!C643),Datos!C643/$F$3*100,NA()),NA())</f>
        <v/>
      </c>
    </row>
    <row r="644">
      <c r="A644" s="7">
        <f>IFERROR(Datos!A644,"")</f>
        <v/>
      </c>
      <c r="B644" s="27">
        <f>IFERROR(IF(ISNUMBER(Datos!B644),Datos!B644/$F$2*100,NA()),NA())</f>
        <v/>
      </c>
      <c r="C644" s="27">
        <f>IFERROR(IF(ISNUMBER(Datos!C644),Datos!C644/$F$3*100,NA()),NA())</f>
        <v/>
      </c>
    </row>
    <row r="645">
      <c r="A645" s="7">
        <f>IFERROR(Datos!A645,"")</f>
        <v/>
      </c>
      <c r="B645" s="27">
        <f>IFERROR(IF(ISNUMBER(Datos!B645),Datos!B645/$F$2*100,NA()),NA())</f>
        <v/>
      </c>
      <c r="C645" s="27">
        <f>IFERROR(IF(ISNUMBER(Datos!C645),Datos!C645/$F$3*100,NA()),NA())</f>
        <v/>
      </c>
    </row>
    <row r="646">
      <c r="A646" s="7">
        <f>IFERROR(Datos!A646,"")</f>
        <v/>
      </c>
      <c r="B646" s="27">
        <f>IFERROR(IF(ISNUMBER(Datos!B646),Datos!B646/$F$2*100,NA()),NA())</f>
        <v/>
      </c>
      <c r="C646" s="27">
        <f>IFERROR(IF(ISNUMBER(Datos!C646),Datos!C646/$F$3*100,NA()),NA())</f>
        <v/>
      </c>
    </row>
    <row r="647">
      <c r="A647" s="7">
        <f>IFERROR(Datos!A647,"")</f>
        <v/>
      </c>
      <c r="B647" s="27">
        <f>IFERROR(IF(ISNUMBER(Datos!B647),Datos!B647/$F$2*100,NA()),NA())</f>
        <v/>
      </c>
      <c r="C647" s="27">
        <f>IFERROR(IF(ISNUMBER(Datos!C647),Datos!C647/$F$3*100,NA()),NA())</f>
        <v/>
      </c>
    </row>
    <row r="648">
      <c r="A648" s="7">
        <f>IFERROR(Datos!A648,"")</f>
        <v/>
      </c>
      <c r="B648" s="27">
        <f>IFERROR(IF(ISNUMBER(Datos!B648),Datos!B648/$F$2*100,NA()),NA())</f>
        <v/>
      </c>
      <c r="C648" s="27">
        <f>IFERROR(IF(ISNUMBER(Datos!C648),Datos!C648/$F$3*100,NA()),NA())</f>
        <v/>
      </c>
    </row>
    <row r="649">
      <c r="A649" s="7">
        <f>IFERROR(Datos!A649,"")</f>
        <v/>
      </c>
      <c r="B649" s="27">
        <f>IFERROR(IF(ISNUMBER(Datos!B649),Datos!B649/$F$2*100,NA()),NA())</f>
        <v/>
      </c>
      <c r="C649" s="27">
        <f>IFERROR(IF(ISNUMBER(Datos!C649),Datos!C649/$F$3*100,NA()),NA())</f>
        <v/>
      </c>
    </row>
    <row r="650">
      <c r="A650" s="7">
        <f>IFERROR(Datos!A650,"")</f>
        <v/>
      </c>
      <c r="B650" s="27">
        <f>IFERROR(IF(ISNUMBER(Datos!B650),Datos!B650/$F$2*100,NA()),NA())</f>
        <v/>
      </c>
      <c r="C650" s="27">
        <f>IFERROR(IF(ISNUMBER(Datos!C650),Datos!C650/$F$3*100,NA()),NA())</f>
        <v/>
      </c>
    </row>
    <row r="651">
      <c r="A651" s="7">
        <f>IFERROR(Datos!A651,"")</f>
        <v/>
      </c>
      <c r="B651" s="27">
        <f>IFERROR(IF(ISNUMBER(Datos!B651),Datos!B651/$F$2*100,NA()),NA())</f>
        <v/>
      </c>
      <c r="C651" s="27">
        <f>IFERROR(IF(ISNUMBER(Datos!C651),Datos!C651/$F$3*100,NA()),NA())</f>
        <v/>
      </c>
    </row>
    <row r="652">
      <c r="A652" s="7">
        <f>IFERROR(Datos!A652,"")</f>
        <v/>
      </c>
      <c r="B652" s="27">
        <f>IFERROR(IF(ISNUMBER(Datos!B652),Datos!B652/$F$2*100,NA()),NA())</f>
        <v/>
      </c>
      <c r="C652" s="27">
        <f>IFERROR(IF(ISNUMBER(Datos!C652),Datos!C652/$F$3*100,NA()),NA())</f>
        <v/>
      </c>
    </row>
    <row r="653">
      <c r="A653" s="7">
        <f>IFERROR(Datos!A653,"")</f>
        <v/>
      </c>
      <c r="B653" s="27">
        <f>IFERROR(IF(ISNUMBER(Datos!B653),Datos!B653/$F$2*100,NA()),NA())</f>
        <v/>
      </c>
      <c r="C653" s="27">
        <f>IFERROR(IF(ISNUMBER(Datos!C653),Datos!C653/$F$3*100,NA()),NA())</f>
        <v/>
      </c>
    </row>
    <row r="654">
      <c r="A654" s="7">
        <f>IFERROR(Datos!A654,"")</f>
        <v/>
      </c>
      <c r="B654" s="27">
        <f>IFERROR(IF(ISNUMBER(Datos!B654),Datos!B654/$F$2*100,NA()),NA())</f>
        <v/>
      </c>
      <c r="C654" s="27">
        <f>IFERROR(IF(ISNUMBER(Datos!C654),Datos!C654/$F$3*100,NA()),NA())</f>
        <v/>
      </c>
    </row>
    <row r="655">
      <c r="A655" s="7">
        <f>IFERROR(Datos!A655,"")</f>
        <v/>
      </c>
      <c r="B655" s="27">
        <f>IFERROR(IF(ISNUMBER(Datos!B655),Datos!B655/$F$2*100,NA()),NA())</f>
        <v/>
      </c>
      <c r="C655" s="27">
        <f>IFERROR(IF(ISNUMBER(Datos!C655),Datos!C655/$F$3*100,NA()),NA())</f>
        <v/>
      </c>
    </row>
    <row r="656">
      <c r="A656" s="7">
        <f>IFERROR(Datos!A656,"")</f>
        <v/>
      </c>
      <c r="B656" s="27">
        <f>IFERROR(IF(ISNUMBER(Datos!B656),Datos!B656/$F$2*100,NA()),NA())</f>
        <v/>
      </c>
      <c r="C656" s="27">
        <f>IFERROR(IF(ISNUMBER(Datos!C656),Datos!C656/$F$3*100,NA()),NA())</f>
        <v/>
      </c>
    </row>
    <row r="657">
      <c r="A657" s="7">
        <f>IFERROR(Datos!A657,"")</f>
        <v/>
      </c>
      <c r="B657" s="27">
        <f>IFERROR(IF(ISNUMBER(Datos!B657),Datos!B657/$F$2*100,NA()),NA())</f>
        <v/>
      </c>
      <c r="C657" s="27">
        <f>IFERROR(IF(ISNUMBER(Datos!C657),Datos!C657/$F$3*100,NA()),NA())</f>
        <v/>
      </c>
    </row>
    <row r="658">
      <c r="A658" s="7">
        <f>IFERROR(Datos!A658,"")</f>
        <v/>
      </c>
      <c r="B658" s="27">
        <f>IFERROR(IF(ISNUMBER(Datos!B658),Datos!B658/$F$2*100,NA()),NA())</f>
        <v/>
      </c>
      <c r="C658" s="27">
        <f>IFERROR(IF(ISNUMBER(Datos!C658),Datos!C658/$F$3*100,NA()),NA())</f>
        <v/>
      </c>
    </row>
    <row r="659">
      <c r="A659" s="7">
        <f>IFERROR(Datos!A659,"")</f>
        <v/>
      </c>
      <c r="B659" s="27">
        <f>IFERROR(IF(ISNUMBER(Datos!B659),Datos!B659/$F$2*100,NA()),NA())</f>
        <v/>
      </c>
      <c r="C659" s="27">
        <f>IFERROR(IF(ISNUMBER(Datos!C659),Datos!C659/$F$3*100,NA()),NA())</f>
        <v/>
      </c>
    </row>
    <row r="660">
      <c r="A660" s="7">
        <f>IFERROR(Datos!A660,"")</f>
        <v/>
      </c>
      <c r="B660" s="27">
        <f>IFERROR(IF(ISNUMBER(Datos!B660),Datos!B660/$F$2*100,NA()),NA())</f>
        <v/>
      </c>
      <c r="C660" s="27">
        <f>IFERROR(IF(ISNUMBER(Datos!C660),Datos!C660/$F$3*100,NA()),NA())</f>
        <v/>
      </c>
    </row>
    <row r="661">
      <c r="A661" s="7">
        <f>IFERROR(Datos!A661,"")</f>
        <v/>
      </c>
      <c r="B661" s="27">
        <f>IFERROR(IF(ISNUMBER(Datos!B661),Datos!B661/$F$2*100,NA()),NA())</f>
        <v/>
      </c>
      <c r="C661" s="27">
        <f>IFERROR(IF(ISNUMBER(Datos!C661),Datos!C661/$F$3*100,NA()),NA())</f>
        <v/>
      </c>
    </row>
    <row r="662">
      <c r="A662" s="7">
        <f>IFERROR(Datos!A662,"")</f>
        <v/>
      </c>
      <c r="B662" s="27">
        <f>IFERROR(IF(ISNUMBER(Datos!B662),Datos!B662/$F$2*100,NA()),NA())</f>
        <v/>
      </c>
      <c r="C662" s="27">
        <f>IFERROR(IF(ISNUMBER(Datos!C662),Datos!C662/$F$3*100,NA()),NA())</f>
        <v/>
      </c>
    </row>
    <row r="663">
      <c r="A663" s="7">
        <f>IFERROR(Datos!A663,"")</f>
        <v/>
      </c>
      <c r="B663" s="27">
        <f>IFERROR(IF(ISNUMBER(Datos!B663),Datos!B663/$F$2*100,NA()),NA())</f>
        <v/>
      </c>
      <c r="C663" s="27">
        <f>IFERROR(IF(ISNUMBER(Datos!C663),Datos!C663/$F$3*100,NA()),NA())</f>
        <v/>
      </c>
    </row>
    <row r="664">
      <c r="A664" s="7">
        <f>IFERROR(Datos!A664,"")</f>
        <v/>
      </c>
      <c r="B664" s="27">
        <f>IFERROR(IF(ISNUMBER(Datos!B664),Datos!B664/$F$2*100,NA()),NA())</f>
        <v/>
      </c>
      <c r="C664" s="27">
        <f>IFERROR(IF(ISNUMBER(Datos!C664),Datos!C664/$F$3*100,NA()),NA())</f>
        <v/>
      </c>
    </row>
    <row r="665">
      <c r="A665" s="7">
        <f>IFERROR(Datos!A665,"")</f>
        <v/>
      </c>
      <c r="B665" s="27">
        <f>IFERROR(IF(ISNUMBER(Datos!B665),Datos!B665/$F$2*100,NA()),NA())</f>
        <v/>
      </c>
      <c r="C665" s="27">
        <f>IFERROR(IF(ISNUMBER(Datos!C665),Datos!C665/$F$3*100,NA()),NA())</f>
        <v/>
      </c>
    </row>
    <row r="666">
      <c r="A666" s="7">
        <f>IFERROR(Datos!A666,"")</f>
        <v/>
      </c>
      <c r="B666" s="27">
        <f>IFERROR(IF(ISNUMBER(Datos!B666),Datos!B666/$F$2*100,NA()),NA())</f>
        <v/>
      </c>
      <c r="C666" s="27">
        <f>IFERROR(IF(ISNUMBER(Datos!C666),Datos!C666/$F$3*100,NA()),NA())</f>
        <v/>
      </c>
    </row>
    <row r="667">
      <c r="A667" s="7">
        <f>IFERROR(Datos!A667,"")</f>
        <v/>
      </c>
      <c r="B667" s="27">
        <f>IFERROR(IF(ISNUMBER(Datos!B667),Datos!B667/$F$2*100,NA()),NA())</f>
        <v/>
      </c>
      <c r="C667" s="27">
        <f>IFERROR(IF(ISNUMBER(Datos!C667),Datos!C667/$F$3*100,NA()),NA())</f>
        <v/>
      </c>
    </row>
    <row r="668">
      <c r="A668" s="7">
        <f>IFERROR(Datos!A668,"")</f>
        <v/>
      </c>
      <c r="B668" s="27">
        <f>IFERROR(IF(ISNUMBER(Datos!B668),Datos!B668/$F$2*100,NA()),NA())</f>
        <v/>
      </c>
      <c r="C668" s="27">
        <f>IFERROR(IF(ISNUMBER(Datos!C668),Datos!C668/$F$3*100,NA()),NA())</f>
        <v/>
      </c>
    </row>
    <row r="669">
      <c r="A669" s="7">
        <f>IFERROR(Datos!A669,"")</f>
        <v/>
      </c>
      <c r="B669" s="27">
        <f>IFERROR(IF(ISNUMBER(Datos!B669),Datos!B669/$F$2*100,NA()),NA())</f>
        <v/>
      </c>
      <c r="C669" s="27">
        <f>IFERROR(IF(ISNUMBER(Datos!C669),Datos!C669/$F$3*100,NA()),NA())</f>
        <v/>
      </c>
    </row>
    <row r="670">
      <c r="A670" s="7">
        <f>IFERROR(Datos!A670,"")</f>
        <v/>
      </c>
      <c r="B670" s="27">
        <f>IFERROR(IF(ISNUMBER(Datos!B670),Datos!B670/$F$2*100,NA()),NA())</f>
        <v/>
      </c>
      <c r="C670" s="27">
        <f>IFERROR(IF(ISNUMBER(Datos!C670),Datos!C670/$F$3*100,NA()),NA())</f>
        <v/>
      </c>
    </row>
    <row r="671">
      <c r="A671" s="7">
        <f>IFERROR(Datos!A671,"")</f>
        <v/>
      </c>
      <c r="B671" s="27">
        <f>IFERROR(IF(ISNUMBER(Datos!B671),Datos!B671/$F$2*100,NA()),NA())</f>
        <v/>
      </c>
      <c r="C671" s="27">
        <f>IFERROR(IF(ISNUMBER(Datos!C671),Datos!C671/$F$3*100,NA()),NA())</f>
        <v/>
      </c>
    </row>
    <row r="672">
      <c r="A672" s="7">
        <f>IFERROR(Datos!A672,"")</f>
        <v/>
      </c>
      <c r="B672" s="27">
        <f>IFERROR(IF(ISNUMBER(Datos!B672),Datos!B672/$F$2*100,NA()),NA())</f>
        <v/>
      </c>
      <c r="C672" s="27">
        <f>IFERROR(IF(ISNUMBER(Datos!C672),Datos!C672/$F$3*100,NA()),NA())</f>
        <v/>
      </c>
    </row>
    <row r="673">
      <c r="A673" s="7">
        <f>IFERROR(Datos!A673,"")</f>
        <v/>
      </c>
      <c r="B673" s="27">
        <f>IFERROR(IF(ISNUMBER(Datos!B673),Datos!B673/$F$2*100,NA()),NA())</f>
        <v/>
      </c>
      <c r="C673" s="27">
        <f>IFERROR(IF(ISNUMBER(Datos!C673),Datos!C673/$F$3*100,NA()),NA())</f>
        <v/>
      </c>
    </row>
    <row r="674">
      <c r="A674" s="7">
        <f>IFERROR(Datos!A674,"")</f>
        <v/>
      </c>
      <c r="B674" s="27">
        <f>IFERROR(IF(ISNUMBER(Datos!B674),Datos!B674/$F$2*100,NA()),NA())</f>
        <v/>
      </c>
      <c r="C674" s="27">
        <f>IFERROR(IF(ISNUMBER(Datos!C674),Datos!C674/$F$3*100,NA()),NA())</f>
        <v/>
      </c>
    </row>
    <row r="675">
      <c r="A675" s="7">
        <f>IFERROR(Datos!A675,"")</f>
        <v/>
      </c>
      <c r="B675" s="27">
        <f>IFERROR(IF(ISNUMBER(Datos!B675),Datos!B675/$F$2*100,NA()),NA())</f>
        <v/>
      </c>
      <c r="C675" s="27">
        <f>IFERROR(IF(ISNUMBER(Datos!C675),Datos!C675/$F$3*100,NA()),NA())</f>
        <v/>
      </c>
    </row>
    <row r="676">
      <c r="A676" s="7">
        <f>IFERROR(Datos!A676,"")</f>
        <v/>
      </c>
      <c r="B676" s="27">
        <f>IFERROR(IF(ISNUMBER(Datos!B676),Datos!B676/$F$2*100,NA()),NA())</f>
        <v/>
      </c>
      <c r="C676" s="27">
        <f>IFERROR(IF(ISNUMBER(Datos!C676),Datos!C676/$F$3*100,NA()),NA())</f>
        <v/>
      </c>
    </row>
    <row r="677">
      <c r="A677" s="7">
        <f>IFERROR(Datos!A677,"")</f>
        <v/>
      </c>
      <c r="B677" s="27">
        <f>IFERROR(IF(ISNUMBER(Datos!B677),Datos!B677/$F$2*100,NA()),NA())</f>
        <v/>
      </c>
      <c r="C677" s="27">
        <f>IFERROR(IF(ISNUMBER(Datos!C677),Datos!C677/$F$3*100,NA()),NA())</f>
        <v/>
      </c>
    </row>
    <row r="678">
      <c r="A678" s="7">
        <f>IFERROR(Datos!A678,"")</f>
        <v/>
      </c>
      <c r="B678" s="27">
        <f>IFERROR(IF(ISNUMBER(Datos!B678),Datos!B678/$F$2*100,NA()),NA())</f>
        <v/>
      </c>
      <c r="C678" s="27">
        <f>IFERROR(IF(ISNUMBER(Datos!C678),Datos!C678/$F$3*100,NA()),NA())</f>
        <v/>
      </c>
    </row>
    <row r="679">
      <c r="A679" s="7">
        <f>IFERROR(Datos!A679,"")</f>
        <v/>
      </c>
      <c r="B679" s="27">
        <f>IFERROR(IF(ISNUMBER(Datos!B679),Datos!B679/$F$2*100,NA()),NA())</f>
        <v/>
      </c>
      <c r="C679" s="27">
        <f>IFERROR(IF(ISNUMBER(Datos!C679),Datos!C679/$F$3*100,NA()),NA())</f>
        <v/>
      </c>
    </row>
    <row r="680">
      <c r="A680" s="7">
        <f>IFERROR(Datos!A680,"")</f>
        <v/>
      </c>
      <c r="B680" s="27">
        <f>IFERROR(IF(ISNUMBER(Datos!B680),Datos!B680/$F$2*100,NA()),NA())</f>
        <v/>
      </c>
      <c r="C680" s="27">
        <f>IFERROR(IF(ISNUMBER(Datos!C680),Datos!C680/$F$3*100,NA()),NA())</f>
        <v/>
      </c>
    </row>
    <row r="681">
      <c r="A681" s="7">
        <f>IFERROR(Datos!A681,"")</f>
        <v/>
      </c>
      <c r="B681" s="27">
        <f>IFERROR(IF(ISNUMBER(Datos!B681),Datos!B681/$F$2*100,NA()),NA())</f>
        <v/>
      </c>
      <c r="C681" s="27">
        <f>IFERROR(IF(ISNUMBER(Datos!C681),Datos!C681/$F$3*100,NA()),NA())</f>
        <v/>
      </c>
    </row>
    <row r="682">
      <c r="A682" s="7">
        <f>IFERROR(Datos!A682,"")</f>
        <v/>
      </c>
      <c r="B682" s="27">
        <f>IFERROR(IF(ISNUMBER(Datos!B682),Datos!B682/$F$2*100,NA()),NA())</f>
        <v/>
      </c>
      <c r="C682" s="27">
        <f>IFERROR(IF(ISNUMBER(Datos!C682),Datos!C682/$F$3*100,NA()),NA())</f>
        <v/>
      </c>
    </row>
    <row r="683">
      <c r="A683" s="7">
        <f>IFERROR(Datos!A683,"")</f>
        <v/>
      </c>
      <c r="B683" s="27">
        <f>IFERROR(IF(ISNUMBER(Datos!B683),Datos!B683/$F$2*100,NA()),NA())</f>
        <v/>
      </c>
      <c r="C683" s="27">
        <f>IFERROR(IF(ISNUMBER(Datos!C683),Datos!C683/$F$3*100,NA()),NA())</f>
        <v/>
      </c>
    </row>
    <row r="684">
      <c r="A684" s="7">
        <f>IFERROR(Datos!A684,"")</f>
        <v/>
      </c>
      <c r="B684" s="27">
        <f>IFERROR(IF(ISNUMBER(Datos!B684),Datos!B684/$F$2*100,NA()),NA())</f>
        <v/>
      </c>
      <c r="C684" s="27">
        <f>IFERROR(IF(ISNUMBER(Datos!C684),Datos!C684/$F$3*100,NA()),NA())</f>
        <v/>
      </c>
    </row>
    <row r="685">
      <c r="A685" s="7">
        <f>IFERROR(Datos!A685,"")</f>
        <v/>
      </c>
      <c r="B685" s="27">
        <f>IFERROR(IF(ISNUMBER(Datos!B685),Datos!B685/$F$2*100,NA()),NA())</f>
        <v/>
      </c>
      <c r="C685" s="27">
        <f>IFERROR(IF(ISNUMBER(Datos!C685),Datos!C685/$F$3*100,NA()),NA())</f>
        <v/>
      </c>
    </row>
    <row r="686">
      <c r="A686" s="7">
        <f>IFERROR(Datos!A686,"")</f>
        <v/>
      </c>
      <c r="B686" s="27">
        <f>IFERROR(IF(ISNUMBER(Datos!B686),Datos!B686/$F$2*100,NA()),NA())</f>
        <v/>
      </c>
      <c r="C686" s="27">
        <f>IFERROR(IF(ISNUMBER(Datos!C686),Datos!C686/$F$3*100,NA()),NA())</f>
        <v/>
      </c>
    </row>
    <row r="687">
      <c r="A687" s="7">
        <f>IFERROR(Datos!A687,"")</f>
        <v/>
      </c>
      <c r="B687" s="27">
        <f>IFERROR(IF(ISNUMBER(Datos!B687),Datos!B687/$F$2*100,NA()),NA())</f>
        <v/>
      </c>
      <c r="C687" s="27">
        <f>IFERROR(IF(ISNUMBER(Datos!C687),Datos!C687/$F$3*100,NA()),NA())</f>
        <v/>
      </c>
    </row>
    <row r="688">
      <c r="A688" s="7">
        <f>IFERROR(Datos!A688,"")</f>
        <v/>
      </c>
      <c r="B688" s="27">
        <f>IFERROR(IF(ISNUMBER(Datos!B688),Datos!B688/$F$2*100,NA()),NA())</f>
        <v/>
      </c>
      <c r="C688" s="27">
        <f>IFERROR(IF(ISNUMBER(Datos!C688),Datos!C688/$F$3*100,NA()),NA())</f>
        <v/>
      </c>
    </row>
    <row r="689">
      <c r="A689" s="7">
        <f>IFERROR(Datos!A689,"")</f>
        <v/>
      </c>
      <c r="B689" s="27">
        <f>IFERROR(IF(ISNUMBER(Datos!B689),Datos!B689/$F$2*100,NA()),NA())</f>
        <v/>
      </c>
      <c r="C689" s="27">
        <f>IFERROR(IF(ISNUMBER(Datos!C689),Datos!C689/$F$3*100,NA()),NA())</f>
        <v/>
      </c>
    </row>
    <row r="690">
      <c r="A690" s="7">
        <f>IFERROR(Datos!A690,"")</f>
        <v/>
      </c>
      <c r="B690" s="27">
        <f>IFERROR(IF(ISNUMBER(Datos!B690),Datos!B690/$F$2*100,NA()),NA())</f>
        <v/>
      </c>
      <c r="C690" s="27">
        <f>IFERROR(IF(ISNUMBER(Datos!C690),Datos!C690/$F$3*100,NA()),NA())</f>
        <v/>
      </c>
    </row>
    <row r="691">
      <c r="A691" s="7">
        <f>IFERROR(Datos!A691,"")</f>
        <v/>
      </c>
      <c r="B691" s="27">
        <f>IFERROR(IF(ISNUMBER(Datos!B691),Datos!B691/$F$2*100,NA()),NA())</f>
        <v/>
      </c>
      <c r="C691" s="27">
        <f>IFERROR(IF(ISNUMBER(Datos!C691),Datos!C691/$F$3*100,NA()),NA())</f>
        <v/>
      </c>
    </row>
    <row r="692">
      <c r="A692" s="7">
        <f>IFERROR(Datos!A692,"")</f>
        <v/>
      </c>
      <c r="B692" s="27">
        <f>IFERROR(IF(ISNUMBER(Datos!B692),Datos!B692/$F$2*100,NA()),NA())</f>
        <v/>
      </c>
      <c r="C692" s="27">
        <f>IFERROR(IF(ISNUMBER(Datos!C692),Datos!C692/$F$3*100,NA()),NA())</f>
        <v/>
      </c>
    </row>
    <row r="693">
      <c r="A693" s="7">
        <f>IFERROR(Datos!A693,"")</f>
        <v/>
      </c>
      <c r="B693" s="27">
        <f>IFERROR(IF(ISNUMBER(Datos!B693),Datos!B693/$F$2*100,NA()),NA())</f>
        <v/>
      </c>
      <c r="C693" s="27">
        <f>IFERROR(IF(ISNUMBER(Datos!C693),Datos!C693/$F$3*100,NA()),NA())</f>
        <v/>
      </c>
    </row>
    <row r="694">
      <c r="A694" s="7">
        <f>IFERROR(Datos!A694,"")</f>
        <v/>
      </c>
      <c r="B694" s="27">
        <f>IFERROR(IF(ISNUMBER(Datos!B694),Datos!B694/$F$2*100,NA()),NA())</f>
        <v/>
      </c>
      <c r="C694" s="27">
        <f>IFERROR(IF(ISNUMBER(Datos!C694),Datos!C694/$F$3*100,NA()),NA())</f>
        <v/>
      </c>
    </row>
    <row r="695">
      <c r="A695" s="7">
        <f>IFERROR(Datos!A695,"")</f>
        <v/>
      </c>
      <c r="B695" s="27">
        <f>IFERROR(IF(ISNUMBER(Datos!B695),Datos!B695/$F$2*100,NA()),NA())</f>
        <v/>
      </c>
      <c r="C695" s="27">
        <f>IFERROR(IF(ISNUMBER(Datos!C695),Datos!C695/$F$3*100,NA()),NA())</f>
        <v/>
      </c>
    </row>
    <row r="696">
      <c r="A696" s="7">
        <f>IFERROR(Datos!A696,"")</f>
        <v/>
      </c>
      <c r="B696" s="27">
        <f>IFERROR(IF(ISNUMBER(Datos!B696),Datos!B696/$F$2*100,NA()),NA())</f>
        <v/>
      </c>
      <c r="C696" s="27">
        <f>IFERROR(IF(ISNUMBER(Datos!C696),Datos!C696/$F$3*100,NA()),NA())</f>
        <v/>
      </c>
    </row>
    <row r="697">
      <c r="A697" s="7">
        <f>IFERROR(Datos!A697,"")</f>
        <v/>
      </c>
      <c r="B697" s="27">
        <f>IFERROR(IF(ISNUMBER(Datos!B697),Datos!B697/$F$2*100,NA()),NA())</f>
        <v/>
      </c>
      <c r="C697" s="27">
        <f>IFERROR(IF(ISNUMBER(Datos!C697),Datos!C697/$F$3*100,NA()),NA())</f>
        <v/>
      </c>
    </row>
    <row r="698">
      <c r="A698" s="7">
        <f>IFERROR(Datos!A698,"")</f>
        <v/>
      </c>
      <c r="B698" s="27">
        <f>IFERROR(IF(ISNUMBER(Datos!B698),Datos!B698/$F$2*100,NA()),NA())</f>
        <v/>
      </c>
      <c r="C698" s="27">
        <f>IFERROR(IF(ISNUMBER(Datos!C698),Datos!C698/$F$3*100,NA()),NA())</f>
        <v/>
      </c>
    </row>
    <row r="699">
      <c r="A699" s="7">
        <f>IFERROR(Datos!A699,"")</f>
        <v/>
      </c>
      <c r="B699" s="27">
        <f>IFERROR(IF(ISNUMBER(Datos!B699),Datos!B699/$F$2*100,NA()),NA())</f>
        <v/>
      </c>
      <c r="C699" s="27">
        <f>IFERROR(IF(ISNUMBER(Datos!C699),Datos!C699/$F$3*100,NA()),NA())</f>
        <v/>
      </c>
    </row>
    <row r="700">
      <c r="A700" s="7">
        <f>IFERROR(Datos!A700,"")</f>
        <v/>
      </c>
      <c r="B700" s="27">
        <f>IFERROR(IF(ISNUMBER(Datos!B700),Datos!B700/$F$2*100,NA()),NA())</f>
        <v/>
      </c>
      <c r="C700" s="27">
        <f>IFERROR(IF(ISNUMBER(Datos!C700),Datos!C700/$F$3*100,NA()),NA())</f>
        <v/>
      </c>
    </row>
    <row r="701">
      <c r="A701" s="7">
        <f>IFERROR(Datos!A701,"")</f>
        <v/>
      </c>
      <c r="B701" s="27">
        <f>IFERROR(IF(ISNUMBER(Datos!B701),Datos!B701/$F$2*100,NA()),NA())</f>
        <v/>
      </c>
      <c r="C701" s="27">
        <f>IFERROR(IF(ISNUMBER(Datos!C701),Datos!C701/$F$3*100,NA()),NA())</f>
        <v/>
      </c>
    </row>
    <row r="702">
      <c r="A702" s="7">
        <f>IFERROR(Datos!A702,"")</f>
        <v/>
      </c>
      <c r="B702" s="27">
        <f>IFERROR(IF(ISNUMBER(Datos!B702),Datos!B702/$F$2*100,NA()),NA())</f>
        <v/>
      </c>
      <c r="C702" s="27">
        <f>IFERROR(IF(ISNUMBER(Datos!C702),Datos!C702/$F$3*100,NA()),NA())</f>
        <v/>
      </c>
    </row>
    <row r="703">
      <c r="A703" s="7">
        <f>IFERROR(Datos!A703,"")</f>
        <v/>
      </c>
      <c r="B703" s="27">
        <f>IFERROR(IF(ISNUMBER(Datos!B703),Datos!B703/$F$2*100,NA()),NA())</f>
        <v/>
      </c>
      <c r="C703" s="27">
        <f>IFERROR(IF(ISNUMBER(Datos!C703),Datos!C703/$F$3*100,NA()),NA())</f>
        <v/>
      </c>
    </row>
    <row r="704">
      <c r="A704" s="7">
        <f>IFERROR(Datos!A704,"")</f>
        <v/>
      </c>
      <c r="B704" s="27">
        <f>IFERROR(IF(ISNUMBER(Datos!B704),Datos!B704/$F$2*100,NA()),NA())</f>
        <v/>
      </c>
      <c r="C704" s="27">
        <f>IFERROR(IF(ISNUMBER(Datos!C704),Datos!C704/$F$3*100,NA()),NA())</f>
        <v/>
      </c>
    </row>
    <row r="705">
      <c r="A705" s="7">
        <f>IFERROR(Datos!A705,"")</f>
        <v/>
      </c>
      <c r="B705" s="27">
        <f>IFERROR(IF(ISNUMBER(Datos!B705),Datos!B705/$F$2*100,NA()),NA())</f>
        <v/>
      </c>
      <c r="C705" s="27">
        <f>IFERROR(IF(ISNUMBER(Datos!C705),Datos!C705/$F$3*100,NA()),NA())</f>
        <v/>
      </c>
    </row>
    <row r="706">
      <c r="A706" s="7">
        <f>IFERROR(Datos!A706,"")</f>
        <v/>
      </c>
      <c r="B706" s="27">
        <f>IFERROR(IF(ISNUMBER(Datos!B706),Datos!B706/$F$2*100,NA()),NA())</f>
        <v/>
      </c>
      <c r="C706" s="27">
        <f>IFERROR(IF(ISNUMBER(Datos!C706),Datos!C706/$F$3*100,NA()),NA())</f>
        <v/>
      </c>
    </row>
    <row r="707">
      <c r="A707" s="7">
        <f>IFERROR(Datos!A707,"")</f>
        <v/>
      </c>
      <c r="B707" s="27">
        <f>IFERROR(IF(ISNUMBER(Datos!B707),Datos!B707/$F$2*100,NA()),NA())</f>
        <v/>
      </c>
      <c r="C707" s="27">
        <f>IFERROR(IF(ISNUMBER(Datos!C707),Datos!C707/$F$3*100,NA()),NA())</f>
        <v/>
      </c>
    </row>
    <row r="708">
      <c r="A708" s="7">
        <f>IFERROR(Datos!A708,"")</f>
        <v/>
      </c>
      <c r="B708" s="27">
        <f>IFERROR(IF(ISNUMBER(Datos!B708),Datos!B708/$F$2*100,NA()),NA())</f>
        <v/>
      </c>
      <c r="C708" s="27">
        <f>IFERROR(IF(ISNUMBER(Datos!C708),Datos!C708/$F$3*100,NA()),NA())</f>
        <v/>
      </c>
    </row>
    <row r="709">
      <c r="A709" s="7">
        <f>IFERROR(Datos!A709,"")</f>
        <v/>
      </c>
      <c r="B709" s="27">
        <f>IFERROR(IF(ISNUMBER(Datos!B709),Datos!B709/$F$2*100,NA()),NA())</f>
        <v/>
      </c>
      <c r="C709" s="27">
        <f>IFERROR(IF(ISNUMBER(Datos!C709),Datos!C709/$F$3*100,NA()),NA())</f>
        <v/>
      </c>
    </row>
    <row r="710">
      <c r="A710" s="7">
        <f>IFERROR(Datos!A710,"")</f>
        <v/>
      </c>
      <c r="B710" s="27">
        <f>IFERROR(IF(ISNUMBER(Datos!B710),Datos!B710/$F$2*100,NA()),NA())</f>
        <v/>
      </c>
      <c r="C710" s="27">
        <f>IFERROR(IF(ISNUMBER(Datos!C710),Datos!C710/$F$3*100,NA()),NA())</f>
        <v/>
      </c>
    </row>
    <row r="711">
      <c r="A711" s="7">
        <f>IFERROR(Datos!A711,"")</f>
        <v/>
      </c>
      <c r="B711" s="27">
        <f>IFERROR(IF(ISNUMBER(Datos!B711),Datos!B711/$F$2*100,NA()),NA())</f>
        <v/>
      </c>
      <c r="C711" s="27">
        <f>IFERROR(IF(ISNUMBER(Datos!C711),Datos!C711/$F$3*100,NA()),NA())</f>
        <v/>
      </c>
    </row>
    <row r="712">
      <c r="A712" s="7">
        <f>IFERROR(Datos!A712,"")</f>
        <v/>
      </c>
      <c r="B712" s="27">
        <f>IFERROR(IF(ISNUMBER(Datos!B712),Datos!B712/$F$2*100,NA()),NA())</f>
        <v/>
      </c>
      <c r="C712" s="27">
        <f>IFERROR(IF(ISNUMBER(Datos!C712),Datos!C712/$F$3*100,NA()),NA())</f>
        <v/>
      </c>
    </row>
    <row r="713">
      <c r="A713" s="7">
        <f>IFERROR(Datos!A713,"")</f>
        <v/>
      </c>
      <c r="B713" s="27">
        <f>IFERROR(IF(ISNUMBER(Datos!B713),Datos!B713/$F$2*100,NA()),NA())</f>
        <v/>
      </c>
      <c r="C713" s="27">
        <f>IFERROR(IF(ISNUMBER(Datos!C713),Datos!C713/$F$3*100,NA()),NA())</f>
        <v/>
      </c>
    </row>
    <row r="714">
      <c r="A714" s="7">
        <f>IFERROR(Datos!A714,"")</f>
        <v/>
      </c>
      <c r="B714" s="27">
        <f>IFERROR(IF(ISNUMBER(Datos!B714),Datos!B714/$F$2*100,NA()),NA())</f>
        <v/>
      </c>
      <c r="C714" s="27">
        <f>IFERROR(IF(ISNUMBER(Datos!C714),Datos!C714/$F$3*100,NA()),NA())</f>
        <v/>
      </c>
    </row>
    <row r="715">
      <c r="A715" s="7">
        <f>IFERROR(Datos!A715,"")</f>
        <v/>
      </c>
      <c r="B715" s="27">
        <f>IFERROR(IF(ISNUMBER(Datos!B715),Datos!B715/$F$2*100,NA()),NA())</f>
        <v/>
      </c>
      <c r="C715" s="27">
        <f>IFERROR(IF(ISNUMBER(Datos!C715),Datos!C715/$F$3*100,NA()),NA())</f>
        <v/>
      </c>
    </row>
    <row r="716">
      <c r="A716" s="7">
        <f>IFERROR(Datos!A716,"")</f>
        <v/>
      </c>
      <c r="B716" s="27">
        <f>IFERROR(IF(ISNUMBER(Datos!B716),Datos!B716/$F$2*100,NA()),NA())</f>
        <v/>
      </c>
      <c r="C716" s="27">
        <f>IFERROR(IF(ISNUMBER(Datos!C716),Datos!C716/$F$3*100,NA()),NA())</f>
        <v/>
      </c>
    </row>
    <row r="717">
      <c r="A717" s="7">
        <f>IFERROR(Datos!A717,"")</f>
        <v/>
      </c>
      <c r="B717" s="27">
        <f>IFERROR(IF(ISNUMBER(Datos!B717),Datos!B717/$F$2*100,NA()),NA())</f>
        <v/>
      </c>
      <c r="C717" s="27">
        <f>IFERROR(IF(ISNUMBER(Datos!C717),Datos!C717/$F$3*100,NA()),NA())</f>
        <v/>
      </c>
    </row>
    <row r="718">
      <c r="A718" s="7">
        <f>IFERROR(Datos!A718,"")</f>
        <v/>
      </c>
      <c r="B718" s="27">
        <f>IFERROR(IF(ISNUMBER(Datos!B718),Datos!B718/$F$2*100,NA()),NA())</f>
        <v/>
      </c>
      <c r="C718" s="27">
        <f>IFERROR(IF(ISNUMBER(Datos!C718),Datos!C718/$F$3*100,NA()),NA())</f>
        <v/>
      </c>
    </row>
    <row r="719">
      <c r="A719" s="7">
        <f>IFERROR(Datos!A719,"")</f>
        <v/>
      </c>
      <c r="B719" s="27">
        <f>IFERROR(IF(ISNUMBER(Datos!B719),Datos!B719/$F$2*100,NA()),NA())</f>
        <v/>
      </c>
      <c r="C719" s="27">
        <f>IFERROR(IF(ISNUMBER(Datos!C719),Datos!C719/$F$3*100,NA()),NA())</f>
        <v/>
      </c>
    </row>
    <row r="720">
      <c r="A720" s="7">
        <f>IFERROR(Datos!A720,"")</f>
        <v/>
      </c>
      <c r="B720" s="27">
        <f>IFERROR(IF(ISNUMBER(Datos!B720),Datos!B720/$F$2*100,NA()),NA())</f>
        <v/>
      </c>
      <c r="C720" s="27">
        <f>IFERROR(IF(ISNUMBER(Datos!C720),Datos!C720/$F$3*100,NA()),NA())</f>
        <v/>
      </c>
    </row>
    <row r="721">
      <c r="A721" s="7">
        <f>IFERROR(Datos!A721,"")</f>
        <v/>
      </c>
      <c r="B721" s="27">
        <f>IFERROR(IF(ISNUMBER(Datos!B721),Datos!B721/$F$2*100,NA()),NA())</f>
        <v/>
      </c>
      <c r="C721" s="27">
        <f>IFERROR(IF(ISNUMBER(Datos!C721),Datos!C721/$F$3*100,NA()),NA())</f>
        <v/>
      </c>
    </row>
    <row r="722">
      <c r="A722" s="7">
        <f>IFERROR(Datos!A722,"")</f>
        <v/>
      </c>
      <c r="B722" s="27">
        <f>IFERROR(IF(ISNUMBER(Datos!B722),Datos!B722/$F$2*100,NA()),NA())</f>
        <v/>
      </c>
      <c r="C722" s="27">
        <f>IFERROR(IF(ISNUMBER(Datos!C722),Datos!C722/$F$3*100,NA()),NA())</f>
        <v/>
      </c>
    </row>
    <row r="723">
      <c r="A723" s="7">
        <f>IFERROR(Datos!A723,"")</f>
        <v/>
      </c>
      <c r="B723" s="27">
        <f>IFERROR(IF(ISNUMBER(Datos!B723),Datos!B723/$F$2*100,NA()),NA())</f>
        <v/>
      </c>
      <c r="C723" s="27">
        <f>IFERROR(IF(ISNUMBER(Datos!C723),Datos!C723/$F$3*100,NA()),NA())</f>
        <v/>
      </c>
    </row>
    <row r="724">
      <c r="A724" s="7">
        <f>IFERROR(Datos!A724,"")</f>
        <v/>
      </c>
      <c r="B724" s="27">
        <f>IFERROR(IF(ISNUMBER(Datos!B724),Datos!B724/$F$2*100,NA()),NA())</f>
        <v/>
      </c>
      <c r="C724" s="27">
        <f>IFERROR(IF(ISNUMBER(Datos!C724),Datos!C724/$F$3*100,NA()),NA())</f>
        <v/>
      </c>
    </row>
    <row r="725">
      <c r="A725" s="7">
        <f>IFERROR(Datos!A725,"")</f>
        <v/>
      </c>
      <c r="B725" s="27">
        <f>IFERROR(IF(ISNUMBER(Datos!B725),Datos!B725/$F$2*100,NA()),NA())</f>
        <v/>
      </c>
      <c r="C725" s="27">
        <f>IFERROR(IF(ISNUMBER(Datos!C725),Datos!C725/$F$3*100,NA()),NA())</f>
        <v/>
      </c>
    </row>
    <row r="726">
      <c r="A726" s="7">
        <f>IFERROR(Datos!A726,"")</f>
        <v/>
      </c>
      <c r="B726" s="27">
        <f>IFERROR(IF(ISNUMBER(Datos!B726),Datos!B726/$F$2*100,NA()),NA())</f>
        <v/>
      </c>
      <c r="C726" s="27">
        <f>IFERROR(IF(ISNUMBER(Datos!C726),Datos!C726/$F$3*100,NA()),NA())</f>
        <v/>
      </c>
    </row>
    <row r="727">
      <c r="A727" s="7">
        <f>IFERROR(Datos!A727,"")</f>
        <v/>
      </c>
      <c r="B727" s="27">
        <f>IFERROR(IF(ISNUMBER(Datos!B727),Datos!B727/$F$2*100,NA()),NA())</f>
        <v/>
      </c>
      <c r="C727" s="27">
        <f>IFERROR(IF(ISNUMBER(Datos!C727),Datos!C727/$F$3*100,NA()),NA())</f>
        <v/>
      </c>
    </row>
    <row r="728">
      <c r="A728" s="7">
        <f>IFERROR(Datos!A728,"")</f>
        <v/>
      </c>
      <c r="B728" s="27">
        <f>IFERROR(IF(ISNUMBER(Datos!B728),Datos!B728/$F$2*100,NA()),NA())</f>
        <v/>
      </c>
      <c r="C728" s="27">
        <f>IFERROR(IF(ISNUMBER(Datos!C728),Datos!C728/$F$3*100,NA()),NA())</f>
        <v/>
      </c>
    </row>
    <row r="729">
      <c r="A729" s="7">
        <f>IFERROR(Datos!A729,"")</f>
        <v/>
      </c>
      <c r="B729" s="27">
        <f>IFERROR(IF(ISNUMBER(Datos!B729),Datos!B729/$F$2*100,NA()),NA())</f>
        <v/>
      </c>
      <c r="C729" s="27">
        <f>IFERROR(IF(ISNUMBER(Datos!C729),Datos!C729/$F$3*100,NA()),NA())</f>
        <v/>
      </c>
    </row>
    <row r="730">
      <c r="A730" s="7">
        <f>IFERROR(Datos!A730,"")</f>
        <v/>
      </c>
      <c r="B730" s="27">
        <f>IFERROR(IF(ISNUMBER(Datos!B730),Datos!B730/$F$2*100,NA()),NA())</f>
        <v/>
      </c>
      <c r="C730" s="27">
        <f>IFERROR(IF(ISNUMBER(Datos!C730),Datos!C730/$F$3*100,NA()),NA())</f>
        <v/>
      </c>
    </row>
    <row r="731">
      <c r="A731" s="7">
        <f>IFERROR(Datos!A731,"")</f>
        <v/>
      </c>
      <c r="B731" s="27">
        <f>IFERROR(IF(ISNUMBER(Datos!B731),Datos!B731/$F$2*100,NA()),NA())</f>
        <v/>
      </c>
      <c r="C731" s="27">
        <f>IFERROR(IF(ISNUMBER(Datos!C731),Datos!C731/$F$3*100,NA()),NA())</f>
        <v/>
      </c>
    </row>
    <row r="732">
      <c r="A732" s="7">
        <f>IFERROR(Datos!A732,"")</f>
        <v/>
      </c>
      <c r="B732" s="27">
        <f>IFERROR(IF(ISNUMBER(Datos!B732),Datos!B732/$F$2*100,NA()),NA())</f>
        <v/>
      </c>
      <c r="C732" s="27">
        <f>IFERROR(IF(ISNUMBER(Datos!C732),Datos!C732/$F$3*100,NA()),NA())</f>
        <v/>
      </c>
    </row>
    <row r="733">
      <c r="A733" s="7">
        <f>IFERROR(Datos!A733,"")</f>
        <v/>
      </c>
      <c r="B733" s="27">
        <f>IFERROR(IF(ISNUMBER(Datos!B733),Datos!B733/$F$2*100,NA()),NA())</f>
        <v/>
      </c>
      <c r="C733" s="27">
        <f>IFERROR(IF(ISNUMBER(Datos!C733),Datos!C733/$F$3*100,NA()),NA())</f>
        <v/>
      </c>
    </row>
    <row r="734">
      <c r="A734" s="7">
        <f>IFERROR(Datos!A734,"")</f>
        <v/>
      </c>
      <c r="B734" s="27">
        <f>IFERROR(IF(ISNUMBER(Datos!B734),Datos!B734/$F$2*100,NA()),NA())</f>
        <v/>
      </c>
      <c r="C734" s="27">
        <f>IFERROR(IF(ISNUMBER(Datos!C734),Datos!C734/$F$3*100,NA()),NA())</f>
        <v/>
      </c>
    </row>
    <row r="735">
      <c r="A735" s="7">
        <f>IFERROR(Datos!A735,"")</f>
        <v/>
      </c>
      <c r="B735" s="27">
        <f>IFERROR(IF(ISNUMBER(Datos!B735),Datos!B735/$F$2*100,NA()),NA())</f>
        <v/>
      </c>
      <c r="C735" s="27">
        <f>IFERROR(IF(ISNUMBER(Datos!C735),Datos!C735/$F$3*100,NA()),NA())</f>
        <v/>
      </c>
    </row>
    <row r="736">
      <c r="A736" s="7">
        <f>IFERROR(Datos!A736,"")</f>
        <v/>
      </c>
      <c r="B736" s="27">
        <f>IFERROR(IF(ISNUMBER(Datos!B736),Datos!B736/$F$2*100,NA()),NA())</f>
        <v/>
      </c>
      <c r="C736" s="27">
        <f>IFERROR(IF(ISNUMBER(Datos!C736),Datos!C736/$F$3*100,NA()),NA())</f>
        <v/>
      </c>
    </row>
    <row r="737">
      <c r="A737" s="7">
        <f>IFERROR(Datos!A737,"")</f>
        <v/>
      </c>
      <c r="B737" s="27">
        <f>IFERROR(IF(ISNUMBER(Datos!B737),Datos!B737/$F$2*100,NA()),NA())</f>
        <v/>
      </c>
      <c r="C737" s="27">
        <f>IFERROR(IF(ISNUMBER(Datos!C737),Datos!C737/$F$3*100,NA()),NA())</f>
        <v/>
      </c>
    </row>
    <row r="738">
      <c r="A738" s="7">
        <f>IFERROR(Datos!A738,"")</f>
        <v/>
      </c>
      <c r="B738" s="27">
        <f>IFERROR(IF(ISNUMBER(Datos!B738),Datos!B738/$F$2*100,NA()),NA())</f>
        <v/>
      </c>
      <c r="C738" s="27">
        <f>IFERROR(IF(ISNUMBER(Datos!C738),Datos!C738/$F$3*100,NA()),NA())</f>
        <v/>
      </c>
    </row>
    <row r="739">
      <c r="A739" s="7">
        <f>IFERROR(Datos!A739,"")</f>
        <v/>
      </c>
      <c r="B739" s="27">
        <f>IFERROR(IF(ISNUMBER(Datos!B739),Datos!B739/$F$2*100,NA()),NA())</f>
        <v/>
      </c>
      <c r="C739" s="27">
        <f>IFERROR(IF(ISNUMBER(Datos!C739),Datos!C739/$F$3*100,NA()),NA())</f>
        <v/>
      </c>
    </row>
    <row r="740">
      <c r="A740" s="7">
        <f>IFERROR(Datos!A740,"")</f>
        <v/>
      </c>
      <c r="B740" s="27">
        <f>IFERROR(IF(ISNUMBER(Datos!B740),Datos!B740/$F$2*100,NA()),NA())</f>
        <v/>
      </c>
      <c r="C740" s="27">
        <f>IFERROR(IF(ISNUMBER(Datos!C740),Datos!C740/$F$3*100,NA()),NA())</f>
        <v/>
      </c>
    </row>
    <row r="741">
      <c r="A741" s="7">
        <f>IFERROR(Datos!A741,"")</f>
        <v/>
      </c>
      <c r="B741" s="27">
        <f>IFERROR(IF(ISNUMBER(Datos!B741),Datos!B741/$F$2*100,NA()),NA())</f>
        <v/>
      </c>
      <c r="C741" s="27">
        <f>IFERROR(IF(ISNUMBER(Datos!C741),Datos!C741/$F$3*100,NA()),NA())</f>
        <v/>
      </c>
    </row>
    <row r="742">
      <c r="A742" s="7">
        <f>IFERROR(Datos!A742,"")</f>
        <v/>
      </c>
      <c r="B742" s="27">
        <f>IFERROR(IF(ISNUMBER(Datos!B742),Datos!B742/$F$2*100,NA()),NA())</f>
        <v/>
      </c>
      <c r="C742" s="27">
        <f>IFERROR(IF(ISNUMBER(Datos!C742),Datos!C742/$F$3*100,NA()),NA())</f>
        <v/>
      </c>
    </row>
    <row r="743">
      <c r="A743" s="7">
        <f>IFERROR(Datos!A743,"")</f>
        <v/>
      </c>
      <c r="B743" s="27">
        <f>IFERROR(IF(ISNUMBER(Datos!B743),Datos!B743/$F$2*100,NA()),NA())</f>
        <v/>
      </c>
      <c r="C743" s="27">
        <f>IFERROR(IF(ISNUMBER(Datos!C743),Datos!C743/$F$3*100,NA()),NA())</f>
        <v/>
      </c>
    </row>
    <row r="744">
      <c r="A744" s="7">
        <f>IFERROR(Datos!A744,"")</f>
        <v/>
      </c>
      <c r="B744" s="27">
        <f>IFERROR(IF(ISNUMBER(Datos!B744),Datos!B744/$F$2*100,NA()),NA())</f>
        <v/>
      </c>
      <c r="C744" s="27">
        <f>IFERROR(IF(ISNUMBER(Datos!C744),Datos!C744/$F$3*100,NA()),NA())</f>
        <v/>
      </c>
    </row>
    <row r="745">
      <c r="A745" s="7">
        <f>IFERROR(Datos!A745,"")</f>
        <v/>
      </c>
      <c r="B745" s="27">
        <f>IFERROR(IF(ISNUMBER(Datos!B745),Datos!B745/$F$2*100,NA()),NA())</f>
        <v/>
      </c>
      <c r="C745" s="27">
        <f>IFERROR(IF(ISNUMBER(Datos!C745),Datos!C745/$F$3*100,NA()),NA())</f>
        <v/>
      </c>
    </row>
    <row r="746">
      <c r="A746" s="7">
        <f>IFERROR(Datos!A746,"")</f>
        <v/>
      </c>
      <c r="B746" s="27">
        <f>IFERROR(IF(ISNUMBER(Datos!B746),Datos!B746/$F$2*100,NA()),NA())</f>
        <v/>
      </c>
      <c r="C746" s="27">
        <f>IFERROR(IF(ISNUMBER(Datos!C746),Datos!C746/$F$3*100,NA()),NA())</f>
        <v/>
      </c>
    </row>
    <row r="747">
      <c r="A747" s="7">
        <f>IFERROR(Datos!A747,"")</f>
        <v/>
      </c>
      <c r="B747" s="27">
        <f>IFERROR(IF(ISNUMBER(Datos!B747),Datos!B747/$F$2*100,NA()),NA())</f>
        <v/>
      </c>
      <c r="C747" s="27">
        <f>IFERROR(IF(ISNUMBER(Datos!C747),Datos!C747/$F$3*100,NA()),NA())</f>
        <v/>
      </c>
    </row>
    <row r="748">
      <c r="A748" s="7">
        <f>IFERROR(Datos!A748,"")</f>
        <v/>
      </c>
      <c r="B748" s="27">
        <f>IFERROR(IF(ISNUMBER(Datos!B748),Datos!B748/$F$2*100,NA()),NA())</f>
        <v/>
      </c>
      <c r="C748" s="27">
        <f>IFERROR(IF(ISNUMBER(Datos!C748),Datos!C748/$F$3*100,NA()),NA())</f>
        <v/>
      </c>
    </row>
    <row r="749">
      <c r="A749" s="7">
        <f>IFERROR(Datos!A749,"")</f>
        <v/>
      </c>
      <c r="B749" s="27">
        <f>IFERROR(IF(ISNUMBER(Datos!B749),Datos!B749/$F$2*100,NA()),NA())</f>
        <v/>
      </c>
      <c r="C749" s="27">
        <f>IFERROR(IF(ISNUMBER(Datos!C749),Datos!C749/$F$3*100,NA()),NA())</f>
        <v/>
      </c>
    </row>
    <row r="750">
      <c r="A750" s="7">
        <f>IFERROR(Datos!A750,"")</f>
        <v/>
      </c>
      <c r="B750" s="27">
        <f>IFERROR(IF(ISNUMBER(Datos!B750),Datos!B750/$F$2*100,NA()),NA())</f>
        <v/>
      </c>
      <c r="C750" s="27">
        <f>IFERROR(IF(ISNUMBER(Datos!C750),Datos!C750/$F$3*100,NA()),NA())</f>
        <v/>
      </c>
    </row>
    <row r="751">
      <c r="A751" s="7">
        <f>IFERROR(Datos!A751,"")</f>
        <v/>
      </c>
      <c r="B751" s="27">
        <f>IFERROR(IF(ISNUMBER(Datos!B751),Datos!B751/$F$2*100,NA()),NA())</f>
        <v/>
      </c>
      <c r="C751" s="27">
        <f>IFERROR(IF(ISNUMBER(Datos!C751),Datos!C751/$F$3*100,NA()),NA())</f>
        <v/>
      </c>
    </row>
    <row r="752">
      <c r="A752" s="7">
        <f>IFERROR(Datos!A752,"")</f>
        <v/>
      </c>
      <c r="B752" s="27">
        <f>IFERROR(IF(ISNUMBER(Datos!B752),Datos!B752/$F$2*100,NA()),NA())</f>
        <v/>
      </c>
      <c r="C752" s="27">
        <f>IFERROR(IF(ISNUMBER(Datos!C752),Datos!C752/$F$3*100,NA()),NA())</f>
        <v/>
      </c>
    </row>
    <row r="753">
      <c r="A753" s="7">
        <f>IFERROR(Datos!A753,"")</f>
        <v/>
      </c>
      <c r="B753" s="27">
        <f>IFERROR(IF(ISNUMBER(Datos!B753),Datos!B753/$F$2*100,NA()),NA())</f>
        <v/>
      </c>
      <c r="C753" s="27">
        <f>IFERROR(IF(ISNUMBER(Datos!C753),Datos!C753/$F$3*100,NA()),NA())</f>
        <v/>
      </c>
    </row>
    <row r="754">
      <c r="A754" s="7">
        <f>IFERROR(Datos!A754,"")</f>
        <v/>
      </c>
      <c r="B754" s="27">
        <f>IFERROR(IF(ISNUMBER(Datos!B754),Datos!B754/$F$2*100,NA()),NA())</f>
        <v/>
      </c>
      <c r="C754" s="27">
        <f>IFERROR(IF(ISNUMBER(Datos!C754),Datos!C754/$F$3*100,NA()),NA())</f>
        <v/>
      </c>
    </row>
    <row r="755">
      <c r="A755" s="7">
        <f>IFERROR(Datos!A755,"")</f>
        <v/>
      </c>
      <c r="B755" s="27">
        <f>IFERROR(IF(ISNUMBER(Datos!B755),Datos!B755/$F$2*100,NA()),NA())</f>
        <v/>
      </c>
      <c r="C755" s="27">
        <f>IFERROR(IF(ISNUMBER(Datos!C755),Datos!C755/$F$3*100,NA()),NA())</f>
        <v/>
      </c>
    </row>
    <row r="756">
      <c r="A756" s="7">
        <f>IFERROR(Datos!A756,"")</f>
        <v/>
      </c>
      <c r="B756" s="27">
        <f>IFERROR(IF(ISNUMBER(Datos!B756),Datos!B756/$F$2*100,NA()),NA())</f>
        <v/>
      </c>
      <c r="C756" s="27">
        <f>IFERROR(IF(ISNUMBER(Datos!C756),Datos!C756/$F$3*100,NA()),NA())</f>
        <v/>
      </c>
    </row>
    <row r="757">
      <c r="A757" s="7">
        <f>IFERROR(Datos!A757,"")</f>
        <v/>
      </c>
      <c r="B757" s="27">
        <f>IFERROR(IF(ISNUMBER(Datos!B757),Datos!B757/$F$2*100,NA()),NA())</f>
        <v/>
      </c>
      <c r="C757" s="27">
        <f>IFERROR(IF(ISNUMBER(Datos!C757),Datos!C757/$F$3*100,NA()),NA())</f>
        <v/>
      </c>
    </row>
    <row r="758">
      <c r="A758" s="7">
        <f>IFERROR(Datos!A758,"")</f>
        <v/>
      </c>
      <c r="B758" s="27">
        <f>IFERROR(IF(ISNUMBER(Datos!B758),Datos!B758/$F$2*100,NA()),NA())</f>
        <v/>
      </c>
      <c r="C758" s="27">
        <f>IFERROR(IF(ISNUMBER(Datos!C758),Datos!C758/$F$3*100,NA()),NA())</f>
        <v/>
      </c>
    </row>
    <row r="759">
      <c r="A759" s="7">
        <f>IFERROR(Datos!A759,"")</f>
        <v/>
      </c>
      <c r="B759" s="27">
        <f>IFERROR(IF(ISNUMBER(Datos!B759),Datos!B759/$F$2*100,NA()),NA())</f>
        <v/>
      </c>
      <c r="C759" s="27">
        <f>IFERROR(IF(ISNUMBER(Datos!C759),Datos!C759/$F$3*100,NA()),NA())</f>
        <v/>
      </c>
    </row>
    <row r="760">
      <c r="A760" s="7">
        <f>IFERROR(Datos!A760,"")</f>
        <v/>
      </c>
      <c r="B760" s="27">
        <f>IFERROR(IF(ISNUMBER(Datos!B760),Datos!B760/$F$2*100,NA()),NA())</f>
        <v/>
      </c>
      <c r="C760" s="27">
        <f>IFERROR(IF(ISNUMBER(Datos!C760),Datos!C760/$F$3*100,NA()),NA())</f>
        <v/>
      </c>
    </row>
    <row r="761">
      <c r="A761" s="7">
        <f>IFERROR(Datos!A761,"")</f>
        <v/>
      </c>
      <c r="B761" s="27">
        <f>IFERROR(IF(ISNUMBER(Datos!B761),Datos!B761/$F$2*100,NA()),NA())</f>
        <v/>
      </c>
      <c r="C761" s="27">
        <f>IFERROR(IF(ISNUMBER(Datos!C761),Datos!C761/$F$3*100,NA()),NA())</f>
        <v/>
      </c>
    </row>
    <row r="762">
      <c r="A762" s="7">
        <f>IFERROR(Datos!A762,"")</f>
        <v/>
      </c>
      <c r="B762" s="27">
        <f>IFERROR(IF(ISNUMBER(Datos!B762),Datos!B762/$F$2*100,NA()),NA())</f>
        <v/>
      </c>
      <c r="C762" s="27">
        <f>IFERROR(IF(ISNUMBER(Datos!C762),Datos!C762/$F$3*100,NA()),NA())</f>
        <v/>
      </c>
    </row>
    <row r="763">
      <c r="A763" s="7">
        <f>IFERROR(Datos!A763,"")</f>
        <v/>
      </c>
      <c r="B763" s="27">
        <f>IFERROR(IF(ISNUMBER(Datos!B763),Datos!B763/$F$2*100,NA()),NA())</f>
        <v/>
      </c>
      <c r="C763" s="27">
        <f>IFERROR(IF(ISNUMBER(Datos!C763),Datos!C763/$F$3*100,NA()),NA())</f>
        <v/>
      </c>
    </row>
    <row r="764">
      <c r="A764" s="7">
        <f>IFERROR(Datos!A764,"")</f>
        <v/>
      </c>
      <c r="B764" s="27">
        <f>IFERROR(IF(ISNUMBER(Datos!B764),Datos!B764/$F$2*100,NA()),NA())</f>
        <v/>
      </c>
      <c r="C764" s="27">
        <f>IFERROR(IF(ISNUMBER(Datos!C764),Datos!C764/$F$3*100,NA()),NA())</f>
        <v/>
      </c>
    </row>
    <row r="765">
      <c r="A765" s="7">
        <f>IFERROR(Datos!A765,"")</f>
        <v/>
      </c>
      <c r="B765" s="27">
        <f>IFERROR(IF(ISNUMBER(Datos!B765),Datos!B765/$F$2*100,NA()),NA())</f>
        <v/>
      </c>
      <c r="C765" s="27">
        <f>IFERROR(IF(ISNUMBER(Datos!C765),Datos!C765/$F$3*100,NA()),NA())</f>
        <v/>
      </c>
    </row>
    <row r="766">
      <c r="A766" s="7">
        <f>IFERROR(Datos!A766,"")</f>
        <v/>
      </c>
      <c r="B766" s="27">
        <f>IFERROR(IF(ISNUMBER(Datos!B766),Datos!B766/$F$2*100,NA()),NA())</f>
        <v/>
      </c>
      <c r="C766" s="27">
        <f>IFERROR(IF(ISNUMBER(Datos!C766),Datos!C766/$F$3*100,NA()),NA())</f>
        <v/>
      </c>
    </row>
    <row r="767">
      <c r="A767" s="7">
        <f>IFERROR(Datos!A767,"")</f>
        <v/>
      </c>
      <c r="B767" s="27">
        <f>IFERROR(IF(ISNUMBER(Datos!B767),Datos!B767/$F$2*100,NA()),NA())</f>
        <v/>
      </c>
      <c r="C767" s="27">
        <f>IFERROR(IF(ISNUMBER(Datos!C767),Datos!C767/$F$3*100,NA()),NA())</f>
        <v/>
      </c>
    </row>
    <row r="768">
      <c r="A768" s="7">
        <f>IFERROR(Datos!A768,"")</f>
        <v/>
      </c>
      <c r="B768" s="27">
        <f>IFERROR(IF(ISNUMBER(Datos!B768),Datos!B768/$F$2*100,NA()),NA())</f>
        <v/>
      </c>
      <c r="C768" s="27">
        <f>IFERROR(IF(ISNUMBER(Datos!C768),Datos!C768/$F$3*100,NA()),NA())</f>
        <v/>
      </c>
    </row>
    <row r="769">
      <c r="A769" s="7">
        <f>IFERROR(Datos!A769,"")</f>
        <v/>
      </c>
      <c r="B769" s="27">
        <f>IFERROR(IF(ISNUMBER(Datos!B769),Datos!B769/$F$2*100,NA()),NA())</f>
        <v/>
      </c>
      <c r="C769" s="27">
        <f>IFERROR(IF(ISNUMBER(Datos!C769),Datos!C769/$F$3*100,NA()),NA())</f>
        <v/>
      </c>
    </row>
    <row r="770">
      <c r="A770" s="7">
        <f>IFERROR(Datos!A770,"")</f>
        <v/>
      </c>
      <c r="B770" s="27">
        <f>IFERROR(IF(ISNUMBER(Datos!B770),Datos!B770/$F$2*100,NA()),NA())</f>
        <v/>
      </c>
      <c r="C770" s="27">
        <f>IFERROR(IF(ISNUMBER(Datos!C770),Datos!C770/$F$3*100,NA()),NA())</f>
        <v/>
      </c>
    </row>
    <row r="771">
      <c r="A771" s="7">
        <f>IFERROR(Datos!A771,"")</f>
        <v/>
      </c>
      <c r="B771" s="27">
        <f>IFERROR(IF(ISNUMBER(Datos!B771),Datos!B771/$F$2*100,NA()),NA())</f>
        <v/>
      </c>
      <c r="C771" s="27">
        <f>IFERROR(IF(ISNUMBER(Datos!C771),Datos!C771/$F$3*100,NA()),NA())</f>
        <v/>
      </c>
    </row>
    <row r="772">
      <c r="A772" s="7">
        <f>IFERROR(Datos!A772,"")</f>
        <v/>
      </c>
      <c r="B772" s="27">
        <f>IFERROR(IF(ISNUMBER(Datos!B772),Datos!B772/$F$2*100,NA()),NA())</f>
        <v/>
      </c>
      <c r="C772" s="27">
        <f>IFERROR(IF(ISNUMBER(Datos!C772),Datos!C772/$F$3*100,NA()),NA())</f>
        <v/>
      </c>
    </row>
    <row r="773">
      <c r="A773" s="7">
        <f>IFERROR(Datos!A773,"")</f>
        <v/>
      </c>
      <c r="B773" s="27">
        <f>IFERROR(IF(ISNUMBER(Datos!B773),Datos!B773/$F$2*100,NA()),NA())</f>
        <v/>
      </c>
      <c r="C773" s="27">
        <f>IFERROR(IF(ISNUMBER(Datos!C773),Datos!C773/$F$3*100,NA()),NA())</f>
        <v/>
      </c>
    </row>
    <row r="774">
      <c r="A774" s="7">
        <f>IFERROR(Datos!A774,"")</f>
        <v/>
      </c>
      <c r="B774" s="27">
        <f>IFERROR(IF(ISNUMBER(Datos!B774),Datos!B774/$F$2*100,NA()),NA())</f>
        <v/>
      </c>
      <c r="C774" s="27">
        <f>IFERROR(IF(ISNUMBER(Datos!C774),Datos!C774/$F$3*100,NA()),NA())</f>
        <v/>
      </c>
    </row>
    <row r="775">
      <c r="A775" s="7">
        <f>IFERROR(Datos!A775,"")</f>
        <v/>
      </c>
      <c r="B775" s="27">
        <f>IFERROR(IF(ISNUMBER(Datos!B775),Datos!B775/$F$2*100,NA()),NA())</f>
        <v/>
      </c>
      <c r="C775" s="27">
        <f>IFERROR(IF(ISNUMBER(Datos!C775),Datos!C775/$F$3*100,NA()),NA())</f>
        <v/>
      </c>
    </row>
    <row r="776">
      <c r="A776" s="7">
        <f>IFERROR(Datos!A776,"")</f>
        <v/>
      </c>
      <c r="B776" s="27">
        <f>IFERROR(IF(ISNUMBER(Datos!B776),Datos!B776/$F$2*100,NA()),NA())</f>
        <v/>
      </c>
      <c r="C776" s="27">
        <f>IFERROR(IF(ISNUMBER(Datos!C776),Datos!C776/$F$3*100,NA()),NA())</f>
        <v/>
      </c>
    </row>
    <row r="777">
      <c r="A777" s="7">
        <f>IFERROR(Datos!A777,"")</f>
        <v/>
      </c>
      <c r="B777" s="27">
        <f>IFERROR(IF(ISNUMBER(Datos!B777),Datos!B777/$F$2*100,NA()),NA())</f>
        <v/>
      </c>
      <c r="C777" s="27">
        <f>IFERROR(IF(ISNUMBER(Datos!C777),Datos!C777/$F$3*100,NA()),NA())</f>
        <v/>
      </c>
    </row>
    <row r="778">
      <c r="A778" s="7">
        <f>IFERROR(Datos!A778,"")</f>
        <v/>
      </c>
      <c r="B778" s="27">
        <f>IFERROR(IF(ISNUMBER(Datos!B778),Datos!B778/$F$2*100,NA()),NA())</f>
        <v/>
      </c>
      <c r="C778" s="27">
        <f>IFERROR(IF(ISNUMBER(Datos!C778),Datos!C778/$F$3*100,NA()),NA())</f>
        <v/>
      </c>
    </row>
    <row r="779">
      <c r="A779" s="7">
        <f>IFERROR(Datos!A779,"")</f>
        <v/>
      </c>
      <c r="B779" s="27">
        <f>IFERROR(IF(ISNUMBER(Datos!B779),Datos!B779/$F$2*100,NA()),NA())</f>
        <v/>
      </c>
      <c r="C779" s="27">
        <f>IFERROR(IF(ISNUMBER(Datos!C779),Datos!C779/$F$3*100,NA()),NA())</f>
        <v/>
      </c>
    </row>
    <row r="780">
      <c r="A780" s="7">
        <f>IFERROR(Datos!A780,"")</f>
        <v/>
      </c>
      <c r="B780" s="27">
        <f>IFERROR(IF(ISNUMBER(Datos!B780),Datos!B780/$F$2*100,NA()),NA())</f>
        <v/>
      </c>
      <c r="C780" s="27">
        <f>IFERROR(IF(ISNUMBER(Datos!C780),Datos!C780/$F$3*100,NA()),NA())</f>
        <v/>
      </c>
    </row>
    <row r="781">
      <c r="A781" s="7">
        <f>IFERROR(Datos!A781,"")</f>
        <v/>
      </c>
      <c r="B781" s="27">
        <f>IFERROR(IF(ISNUMBER(Datos!B781),Datos!B781/$F$2*100,NA()),NA())</f>
        <v/>
      </c>
      <c r="C781" s="27">
        <f>IFERROR(IF(ISNUMBER(Datos!C781),Datos!C781/$F$3*100,NA()),NA())</f>
        <v/>
      </c>
    </row>
    <row r="782">
      <c r="A782" s="7">
        <f>IFERROR(Datos!A782,"")</f>
        <v/>
      </c>
      <c r="B782" s="27">
        <f>IFERROR(IF(ISNUMBER(Datos!B782),Datos!B782/$F$2*100,NA()),NA())</f>
        <v/>
      </c>
      <c r="C782" s="27">
        <f>IFERROR(IF(ISNUMBER(Datos!C782),Datos!C782/$F$3*100,NA()),NA())</f>
        <v/>
      </c>
    </row>
    <row r="783">
      <c r="A783" s="7">
        <f>IFERROR(Datos!A783,"")</f>
        <v/>
      </c>
      <c r="B783" s="27">
        <f>IFERROR(IF(ISNUMBER(Datos!B783),Datos!B783/$F$2*100,NA()),NA())</f>
        <v/>
      </c>
      <c r="C783" s="27">
        <f>IFERROR(IF(ISNUMBER(Datos!C783),Datos!C783/$F$3*100,NA()),NA())</f>
        <v/>
      </c>
    </row>
    <row r="784">
      <c r="A784" s="7">
        <f>IFERROR(Datos!A784,"")</f>
        <v/>
      </c>
      <c r="B784" s="27">
        <f>IFERROR(IF(ISNUMBER(Datos!B784),Datos!B784/$F$2*100,NA()),NA())</f>
        <v/>
      </c>
      <c r="C784" s="27">
        <f>IFERROR(IF(ISNUMBER(Datos!C784),Datos!C784/$F$3*100,NA()),NA())</f>
        <v/>
      </c>
    </row>
    <row r="785">
      <c r="A785" s="7">
        <f>IFERROR(Datos!A785,"")</f>
        <v/>
      </c>
      <c r="B785" s="27">
        <f>IFERROR(IF(ISNUMBER(Datos!B785),Datos!B785/$F$2*100,NA()),NA())</f>
        <v/>
      </c>
      <c r="C785" s="27">
        <f>IFERROR(IF(ISNUMBER(Datos!C785),Datos!C785/$F$3*100,NA()),NA())</f>
        <v/>
      </c>
    </row>
    <row r="786">
      <c r="A786" s="7">
        <f>IFERROR(Datos!A786,"")</f>
        <v/>
      </c>
      <c r="B786" s="27">
        <f>IFERROR(IF(ISNUMBER(Datos!B786),Datos!B786/$F$2*100,NA()),NA())</f>
        <v/>
      </c>
      <c r="C786" s="27">
        <f>IFERROR(IF(ISNUMBER(Datos!C786),Datos!C786/$F$3*100,NA()),NA())</f>
        <v/>
      </c>
    </row>
    <row r="787">
      <c r="A787" s="7">
        <f>IFERROR(Datos!A787,"")</f>
        <v/>
      </c>
      <c r="B787" s="27">
        <f>IFERROR(IF(ISNUMBER(Datos!B787),Datos!B787/$F$2*100,NA()),NA())</f>
        <v/>
      </c>
      <c r="C787" s="27">
        <f>IFERROR(IF(ISNUMBER(Datos!C787),Datos!C787/$F$3*100,NA()),NA())</f>
        <v/>
      </c>
    </row>
    <row r="788">
      <c r="A788" s="7">
        <f>IFERROR(Datos!A788,"")</f>
        <v/>
      </c>
      <c r="B788" s="27">
        <f>IFERROR(IF(ISNUMBER(Datos!B788),Datos!B788/$F$2*100,NA()),NA())</f>
        <v/>
      </c>
      <c r="C788" s="27">
        <f>IFERROR(IF(ISNUMBER(Datos!C788),Datos!C788/$F$3*100,NA()),NA())</f>
        <v/>
      </c>
    </row>
    <row r="789">
      <c r="A789" s="7">
        <f>IFERROR(Datos!A789,"")</f>
        <v/>
      </c>
      <c r="B789" s="27">
        <f>IFERROR(IF(ISNUMBER(Datos!B789),Datos!B789/$F$2*100,NA()),NA())</f>
        <v/>
      </c>
      <c r="C789" s="27">
        <f>IFERROR(IF(ISNUMBER(Datos!C789),Datos!C789/$F$3*100,NA()),NA())</f>
        <v/>
      </c>
    </row>
    <row r="790">
      <c r="A790" s="7">
        <f>IFERROR(Datos!A790,"")</f>
        <v/>
      </c>
      <c r="B790" s="27">
        <f>IFERROR(IF(ISNUMBER(Datos!B790),Datos!B790/$F$2*100,NA()),NA())</f>
        <v/>
      </c>
      <c r="C790" s="27">
        <f>IFERROR(IF(ISNUMBER(Datos!C790),Datos!C790/$F$3*100,NA()),NA())</f>
        <v/>
      </c>
    </row>
    <row r="791">
      <c r="A791" s="7">
        <f>IFERROR(Datos!A791,"")</f>
        <v/>
      </c>
      <c r="B791" s="27">
        <f>IFERROR(IF(ISNUMBER(Datos!B791),Datos!B791/$F$2*100,NA()),NA())</f>
        <v/>
      </c>
      <c r="C791" s="27">
        <f>IFERROR(IF(ISNUMBER(Datos!C791),Datos!C791/$F$3*100,NA()),NA())</f>
        <v/>
      </c>
    </row>
    <row r="792">
      <c r="A792" s="7">
        <f>IFERROR(Datos!A792,"")</f>
        <v/>
      </c>
      <c r="B792" s="27">
        <f>IFERROR(IF(ISNUMBER(Datos!B792),Datos!B792/$F$2*100,NA()),NA())</f>
        <v/>
      </c>
      <c r="C792" s="27">
        <f>IFERROR(IF(ISNUMBER(Datos!C792),Datos!C792/$F$3*100,NA()),NA())</f>
        <v/>
      </c>
    </row>
    <row r="793">
      <c r="A793" s="7">
        <f>IFERROR(Datos!A793,"")</f>
        <v/>
      </c>
      <c r="B793" s="27">
        <f>IFERROR(IF(ISNUMBER(Datos!B793),Datos!B793/$F$2*100,NA()),NA())</f>
        <v/>
      </c>
      <c r="C793" s="27">
        <f>IFERROR(IF(ISNUMBER(Datos!C793),Datos!C793/$F$3*100,NA()),NA())</f>
        <v/>
      </c>
    </row>
    <row r="794">
      <c r="A794" s="7">
        <f>IFERROR(Datos!A794,"")</f>
        <v/>
      </c>
      <c r="B794" s="27">
        <f>IFERROR(IF(ISNUMBER(Datos!B794),Datos!B794/$F$2*100,NA()),NA())</f>
        <v/>
      </c>
      <c r="C794" s="27">
        <f>IFERROR(IF(ISNUMBER(Datos!C794),Datos!C794/$F$3*100,NA()),NA())</f>
        <v/>
      </c>
    </row>
    <row r="795">
      <c r="A795" s="7">
        <f>IFERROR(Datos!A795,"")</f>
        <v/>
      </c>
      <c r="B795" s="27">
        <f>IFERROR(IF(ISNUMBER(Datos!B795),Datos!B795/$F$2*100,NA()),NA())</f>
        <v/>
      </c>
      <c r="C795" s="27">
        <f>IFERROR(IF(ISNUMBER(Datos!C795),Datos!C795/$F$3*100,NA()),NA())</f>
        <v/>
      </c>
    </row>
    <row r="796">
      <c r="A796" s="7">
        <f>IFERROR(Datos!A796,"")</f>
        <v/>
      </c>
      <c r="B796" s="27">
        <f>IFERROR(IF(ISNUMBER(Datos!B796),Datos!B796/$F$2*100,NA()),NA())</f>
        <v/>
      </c>
      <c r="C796" s="27">
        <f>IFERROR(IF(ISNUMBER(Datos!C796),Datos!C796/$F$3*100,NA()),NA())</f>
        <v/>
      </c>
    </row>
    <row r="797">
      <c r="A797" s="7">
        <f>IFERROR(Datos!A797,"")</f>
        <v/>
      </c>
      <c r="B797" s="27">
        <f>IFERROR(IF(ISNUMBER(Datos!B797),Datos!B797/$F$2*100,NA()),NA())</f>
        <v/>
      </c>
      <c r="C797" s="27">
        <f>IFERROR(IF(ISNUMBER(Datos!C797),Datos!C797/$F$3*100,NA()),NA())</f>
        <v/>
      </c>
    </row>
    <row r="798">
      <c r="A798" s="7">
        <f>IFERROR(Datos!A798,"")</f>
        <v/>
      </c>
      <c r="B798" s="27">
        <f>IFERROR(IF(ISNUMBER(Datos!B798),Datos!B798/$F$2*100,NA()),NA())</f>
        <v/>
      </c>
      <c r="C798" s="27">
        <f>IFERROR(IF(ISNUMBER(Datos!C798),Datos!C798/$F$3*100,NA()),NA())</f>
        <v/>
      </c>
    </row>
    <row r="799">
      <c r="A799" s="7">
        <f>IFERROR(Datos!A799,"")</f>
        <v/>
      </c>
      <c r="B799" s="27">
        <f>IFERROR(IF(ISNUMBER(Datos!B799),Datos!B799/$F$2*100,NA()),NA())</f>
        <v/>
      </c>
      <c r="C799" s="27">
        <f>IFERROR(IF(ISNUMBER(Datos!C799),Datos!C799/$F$3*100,NA()),NA())</f>
        <v/>
      </c>
    </row>
    <row r="800">
      <c r="A800" s="7">
        <f>IFERROR(Datos!A800,"")</f>
        <v/>
      </c>
      <c r="B800" s="27">
        <f>IFERROR(IF(ISNUMBER(Datos!B800),Datos!B800/$F$2*100,NA()),NA())</f>
        <v/>
      </c>
      <c r="C800" s="27">
        <f>IFERROR(IF(ISNUMBER(Datos!C800),Datos!C800/$F$3*100,NA()),NA())</f>
        <v/>
      </c>
    </row>
    <row r="801">
      <c r="A801" s="7">
        <f>IFERROR(Datos!A801,"")</f>
        <v/>
      </c>
      <c r="B801" s="27">
        <f>IFERROR(IF(ISNUMBER(Datos!B801),Datos!B801/$F$2*100,NA()),NA())</f>
        <v/>
      </c>
      <c r="C801" s="27">
        <f>IFERROR(IF(ISNUMBER(Datos!C801),Datos!C801/$F$3*100,NA()),NA())</f>
        <v/>
      </c>
    </row>
    <row r="802">
      <c r="A802" s="7">
        <f>IFERROR(Datos!A802,"")</f>
        <v/>
      </c>
      <c r="B802" s="27">
        <f>IFERROR(IF(ISNUMBER(Datos!B802),Datos!B802/$F$2*100,NA()),NA())</f>
        <v/>
      </c>
      <c r="C802" s="27">
        <f>IFERROR(IF(ISNUMBER(Datos!C802),Datos!C802/$F$3*100,NA()),NA())</f>
        <v/>
      </c>
    </row>
    <row r="803">
      <c r="A803" s="7">
        <f>IFERROR(Datos!A803,"")</f>
        <v/>
      </c>
      <c r="B803" s="27">
        <f>IFERROR(IF(ISNUMBER(Datos!B803),Datos!B803/$F$2*100,NA()),NA())</f>
        <v/>
      </c>
      <c r="C803" s="27">
        <f>IFERROR(IF(ISNUMBER(Datos!C803),Datos!C803/$F$3*100,NA()),NA())</f>
        <v/>
      </c>
    </row>
    <row r="804">
      <c r="A804" s="7">
        <f>IFERROR(Datos!A804,"")</f>
        <v/>
      </c>
      <c r="B804" s="27">
        <f>IFERROR(IF(ISNUMBER(Datos!B804),Datos!B804/$F$2*100,NA()),NA())</f>
        <v/>
      </c>
      <c r="C804" s="27">
        <f>IFERROR(IF(ISNUMBER(Datos!C804),Datos!C804/$F$3*100,NA()),NA())</f>
        <v/>
      </c>
    </row>
    <row r="805">
      <c r="A805" s="7">
        <f>IFERROR(Datos!A805,"")</f>
        <v/>
      </c>
      <c r="B805" s="27">
        <f>IFERROR(IF(ISNUMBER(Datos!B805),Datos!B805/$F$2*100,NA()),NA())</f>
        <v/>
      </c>
      <c r="C805" s="27">
        <f>IFERROR(IF(ISNUMBER(Datos!C805),Datos!C805/$F$3*100,NA()),NA())</f>
        <v/>
      </c>
    </row>
    <row r="806">
      <c r="A806" s="7">
        <f>IFERROR(Datos!A806,"")</f>
        <v/>
      </c>
      <c r="B806" s="27">
        <f>IFERROR(IF(ISNUMBER(Datos!B806),Datos!B806/$F$2*100,NA()),NA())</f>
        <v/>
      </c>
      <c r="C806" s="27">
        <f>IFERROR(IF(ISNUMBER(Datos!C806),Datos!C806/$F$3*100,NA()),NA())</f>
        <v/>
      </c>
    </row>
    <row r="807">
      <c r="A807" s="7">
        <f>IFERROR(Datos!A807,"")</f>
        <v/>
      </c>
      <c r="B807" s="27">
        <f>IFERROR(IF(ISNUMBER(Datos!B807),Datos!B807/$F$2*100,NA()),NA())</f>
        <v/>
      </c>
      <c r="C807" s="27">
        <f>IFERROR(IF(ISNUMBER(Datos!C807),Datos!C807/$F$3*100,NA()),NA())</f>
        <v/>
      </c>
    </row>
    <row r="808">
      <c r="A808" s="7">
        <f>IFERROR(Datos!A808,"")</f>
        <v/>
      </c>
      <c r="B808" s="27">
        <f>IFERROR(IF(ISNUMBER(Datos!B808),Datos!B808/$F$2*100,NA()),NA())</f>
        <v/>
      </c>
      <c r="C808" s="27">
        <f>IFERROR(IF(ISNUMBER(Datos!C808),Datos!C808/$F$3*100,NA()),NA())</f>
        <v/>
      </c>
    </row>
    <row r="809">
      <c r="A809" s="7">
        <f>IFERROR(Datos!A809,"")</f>
        <v/>
      </c>
      <c r="B809" s="27">
        <f>IFERROR(IF(ISNUMBER(Datos!B809),Datos!B809/$F$2*100,NA()),NA())</f>
        <v/>
      </c>
      <c r="C809" s="27">
        <f>IFERROR(IF(ISNUMBER(Datos!C809),Datos!C809/$F$3*100,NA()),NA())</f>
        <v/>
      </c>
    </row>
    <row r="810">
      <c r="A810" s="7">
        <f>IFERROR(Datos!A810,"")</f>
        <v/>
      </c>
      <c r="B810" s="27">
        <f>IFERROR(IF(ISNUMBER(Datos!B810),Datos!B810/$F$2*100,NA()),NA())</f>
        <v/>
      </c>
      <c r="C810" s="27">
        <f>IFERROR(IF(ISNUMBER(Datos!C810),Datos!C810/$F$3*100,NA()),NA())</f>
        <v/>
      </c>
    </row>
    <row r="811">
      <c r="A811" s="7">
        <f>IFERROR(Datos!A811,"")</f>
        <v/>
      </c>
      <c r="B811" s="27">
        <f>IFERROR(IF(ISNUMBER(Datos!B811),Datos!B811/$F$2*100,NA()),NA())</f>
        <v/>
      </c>
      <c r="C811" s="27">
        <f>IFERROR(IF(ISNUMBER(Datos!C811),Datos!C811/$F$3*100,NA()),NA())</f>
        <v/>
      </c>
    </row>
    <row r="812">
      <c r="A812" s="7">
        <f>IFERROR(Datos!A812,"")</f>
        <v/>
      </c>
      <c r="B812" s="27">
        <f>IFERROR(IF(ISNUMBER(Datos!B812),Datos!B812/$F$2*100,NA()),NA())</f>
        <v/>
      </c>
      <c r="C812" s="27">
        <f>IFERROR(IF(ISNUMBER(Datos!C812),Datos!C812/$F$3*100,NA()),NA())</f>
        <v/>
      </c>
    </row>
    <row r="813">
      <c r="A813" s="7">
        <f>IFERROR(Datos!A813,"")</f>
        <v/>
      </c>
      <c r="B813" s="27">
        <f>IFERROR(IF(ISNUMBER(Datos!B813),Datos!B813/$F$2*100,NA()),NA())</f>
        <v/>
      </c>
      <c r="C813" s="27">
        <f>IFERROR(IF(ISNUMBER(Datos!C813),Datos!C813/$F$3*100,NA()),NA())</f>
        <v/>
      </c>
    </row>
    <row r="814">
      <c r="A814" s="7">
        <f>IFERROR(Datos!A814,"")</f>
        <v/>
      </c>
      <c r="B814" s="27">
        <f>IFERROR(IF(ISNUMBER(Datos!B814),Datos!B814/$F$2*100,NA()),NA())</f>
        <v/>
      </c>
      <c r="C814" s="27">
        <f>IFERROR(IF(ISNUMBER(Datos!C814),Datos!C814/$F$3*100,NA()),NA())</f>
        <v/>
      </c>
    </row>
    <row r="815">
      <c r="A815" s="7">
        <f>IFERROR(Datos!A815,"")</f>
        <v/>
      </c>
      <c r="B815" s="27">
        <f>IFERROR(IF(ISNUMBER(Datos!B815),Datos!B815/$F$2*100,NA()),NA())</f>
        <v/>
      </c>
      <c r="C815" s="27">
        <f>IFERROR(IF(ISNUMBER(Datos!C815),Datos!C815/$F$3*100,NA()),NA())</f>
        <v/>
      </c>
    </row>
    <row r="816">
      <c r="A816" s="7">
        <f>IFERROR(Datos!A816,"")</f>
        <v/>
      </c>
      <c r="B816" s="27">
        <f>IFERROR(IF(ISNUMBER(Datos!B816),Datos!B816/$F$2*100,NA()),NA())</f>
        <v/>
      </c>
      <c r="C816" s="27">
        <f>IFERROR(IF(ISNUMBER(Datos!C816),Datos!C816/$F$3*100,NA()),NA())</f>
        <v/>
      </c>
    </row>
    <row r="817">
      <c r="A817" s="7">
        <f>IFERROR(Datos!A817,"")</f>
        <v/>
      </c>
      <c r="B817" s="27">
        <f>IFERROR(IF(ISNUMBER(Datos!B817),Datos!B817/$F$2*100,NA()),NA())</f>
        <v/>
      </c>
      <c r="C817" s="27">
        <f>IFERROR(IF(ISNUMBER(Datos!C817),Datos!C817/$F$3*100,NA()),NA())</f>
        <v/>
      </c>
    </row>
    <row r="818">
      <c r="A818" s="7">
        <f>IFERROR(Datos!A818,"")</f>
        <v/>
      </c>
      <c r="B818" s="27">
        <f>IFERROR(IF(ISNUMBER(Datos!B818),Datos!B818/$F$2*100,NA()),NA())</f>
        <v/>
      </c>
      <c r="C818" s="27">
        <f>IFERROR(IF(ISNUMBER(Datos!C818),Datos!C818/$F$3*100,NA()),NA())</f>
        <v/>
      </c>
    </row>
    <row r="819">
      <c r="A819" s="7">
        <f>IFERROR(Datos!A819,"")</f>
        <v/>
      </c>
      <c r="B819" s="27">
        <f>IFERROR(IF(ISNUMBER(Datos!B819),Datos!B819/$F$2*100,NA()),NA())</f>
        <v/>
      </c>
      <c r="C819" s="27">
        <f>IFERROR(IF(ISNUMBER(Datos!C819),Datos!C819/$F$3*100,NA()),NA())</f>
        <v/>
      </c>
    </row>
    <row r="820">
      <c r="A820" s="7">
        <f>IFERROR(Datos!A820,"")</f>
        <v/>
      </c>
      <c r="B820" s="27">
        <f>IFERROR(IF(ISNUMBER(Datos!B820),Datos!B820/$F$2*100,NA()),NA())</f>
        <v/>
      </c>
      <c r="C820" s="27">
        <f>IFERROR(IF(ISNUMBER(Datos!C820),Datos!C820/$F$3*100,NA()),NA())</f>
        <v/>
      </c>
    </row>
    <row r="821">
      <c r="A821" s="7">
        <f>IFERROR(Datos!A821,"")</f>
        <v/>
      </c>
      <c r="B821" s="27">
        <f>IFERROR(IF(ISNUMBER(Datos!B821),Datos!B821/$F$2*100,NA()),NA())</f>
        <v/>
      </c>
      <c r="C821" s="27">
        <f>IFERROR(IF(ISNUMBER(Datos!C821),Datos!C821/$F$3*100,NA()),NA())</f>
        <v/>
      </c>
    </row>
    <row r="822">
      <c r="A822" s="7">
        <f>IFERROR(Datos!A822,"")</f>
        <v/>
      </c>
      <c r="B822" s="27">
        <f>IFERROR(IF(ISNUMBER(Datos!B822),Datos!B822/$F$2*100,NA()),NA())</f>
        <v/>
      </c>
      <c r="C822" s="27">
        <f>IFERROR(IF(ISNUMBER(Datos!C822),Datos!C822/$F$3*100,NA()),NA())</f>
        <v/>
      </c>
    </row>
    <row r="823">
      <c r="A823" s="7">
        <f>IFERROR(Datos!A823,"")</f>
        <v/>
      </c>
      <c r="B823" s="27">
        <f>IFERROR(IF(ISNUMBER(Datos!B823),Datos!B823/$F$2*100,NA()),NA())</f>
        <v/>
      </c>
      <c r="C823" s="27">
        <f>IFERROR(IF(ISNUMBER(Datos!C823),Datos!C823/$F$3*100,NA()),NA())</f>
        <v/>
      </c>
    </row>
    <row r="824">
      <c r="A824" s="7">
        <f>IFERROR(Datos!A824,"")</f>
        <v/>
      </c>
      <c r="B824" s="27">
        <f>IFERROR(IF(ISNUMBER(Datos!B824),Datos!B824/$F$2*100,NA()),NA())</f>
        <v/>
      </c>
      <c r="C824" s="27">
        <f>IFERROR(IF(ISNUMBER(Datos!C824),Datos!C824/$F$3*100,NA()),NA())</f>
        <v/>
      </c>
    </row>
    <row r="825">
      <c r="A825" s="7">
        <f>IFERROR(Datos!A825,"")</f>
        <v/>
      </c>
      <c r="B825" s="27">
        <f>IFERROR(IF(ISNUMBER(Datos!B825),Datos!B825/$F$2*100,NA()),NA())</f>
        <v/>
      </c>
      <c r="C825" s="27">
        <f>IFERROR(IF(ISNUMBER(Datos!C825),Datos!C825/$F$3*100,NA()),NA())</f>
        <v/>
      </c>
    </row>
    <row r="826">
      <c r="A826" s="7">
        <f>IFERROR(Datos!A826,"")</f>
        <v/>
      </c>
      <c r="B826" s="27">
        <f>IFERROR(IF(ISNUMBER(Datos!B826),Datos!B826/$F$2*100,NA()),NA())</f>
        <v/>
      </c>
      <c r="C826" s="27">
        <f>IFERROR(IF(ISNUMBER(Datos!C826),Datos!C826/$F$3*100,NA()),NA())</f>
        <v/>
      </c>
    </row>
    <row r="827">
      <c r="A827" s="7">
        <f>IFERROR(Datos!A827,"")</f>
        <v/>
      </c>
      <c r="B827" s="27">
        <f>IFERROR(IF(ISNUMBER(Datos!B827),Datos!B827/$F$2*100,NA()),NA())</f>
        <v/>
      </c>
      <c r="C827" s="27">
        <f>IFERROR(IF(ISNUMBER(Datos!C827),Datos!C827/$F$3*100,NA()),NA())</f>
        <v/>
      </c>
    </row>
    <row r="828">
      <c r="A828" s="7">
        <f>IFERROR(Datos!A828,"")</f>
        <v/>
      </c>
      <c r="B828" s="27">
        <f>IFERROR(IF(ISNUMBER(Datos!B828),Datos!B828/$F$2*100,NA()),NA())</f>
        <v/>
      </c>
      <c r="C828" s="27">
        <f>IFERROR(IF(ISNUMBER(Datos!C828),Datos!C828/$F$3*100,NA()),NA())</f>
        <v/>
      </c>
    </row>
    <row r="829">
      <c r="A829" s="7">
        <f>IFERROR(Datos!A829,"")</f>
        <v/>
      </c>
      <c r="B829" s="27">
        <f>IFERROR(IF(ISNUMBER(Datos!B829),Datos!B829/$F$2*100,NA()),NA())</f>
        <v/>
      </c>
      <c r="C829" s="27">
        <f>IFERROR(IF(ISNUMBER(Datos!C829),Datos!C829/$F$3*100,NA()),NA())</f>
        <v/>
      </c>
    </row>
    <row r="830">
      <c r="A830" s="7">
        <f>IFERROR(Datos!A830,"")</f>
        <v/>
      </c>
      <c r="B830" s="27">
        <f>IFERROR(IF(ISNUMBER(Datos!B830),Datos!B830/$F$2*100,NA()),NA())</f>
        <v/>
      </c>
      <c r="C830" s="27">
        <f>IFERROR(IF(ISNUMBER(Datos!C830),Datos!C830/$F$3*100,NA()),NA())</f>
        <v/>
      </c>
    </row>
    <row r="831">
      <c r="A831" s="7">
        <f>IFERROR(Datos!A831,"")</f>
        <v/>
      </c>
      <c r="B831" s="27">
        <f>IFERROR(IF(ISNUMBER(Datos!B831),Datos!B831/$F$2*100,NA()),NA())</f>
        <v/>
      </c>
      <c r="C831" s="27">
        <f>IFERROR(IF(ISNUMBER(Datos!C831),Datos!C831/$F$3*100,NA()),NA())</f>
        <v/>
      </c>
    </row>
    <row r="832">
      <c r="A832" s="7">
        <f>IFERROR(Datos!A832,"")</f>
        <v/>
      </c>
      <c r="B832" s="27">
        <f>IFERROR(IF(ISNUMBER(Datos!B832),Datos!B832/$F$2*100,NA()),NA())</f>
        <v/>
      </c>
      <c r="C832" s="27">
        <f>IFERROR(IF(ISNUMBER(Datos!C832),Datos!C832/$F$3*100,NA()),NA())</f>
        <v/>
      </c>
    </row>
    <row r="833">
      <c r="A833" s="7">
        <f>IFERROR(Datos!A833,"")</f>
        <v/>
      </c>
      <c r="B833" s="27">
        <f>IFERROR(IF(ISNUMBER(Datos!B833),Datos!B833/$F$2*100,NA()),NA())</f>
        <v/>
      </c>
      <c r="C833" s="27">
        <f>IFERROR(IF(ISNUMBER(Datos!C833),Datos!C833/$F$3*100,NA()),NA())</f>
        <v/>
      </c>
    </row>
    <row r="834">
      <c r="A834" s="7">
        <f>IFERROR(Datos!A834,"")</f>
        <v/>
      </c>
      <c r="B834" s="27">
        <f>IFERROR(IF(ISNUMBER(Datos!B834),Datos!B834/$F$2*100,NA()),NA())</f>
        <v/>
      </c>
      <c r="C834" s="27">
        <f>IFERROR(IF(ISNUMBER(Datos!C834),Datos!C834/$F$3*100,NA()),NA())</f>
        <v/>
      </c>
    </row>
    <row r="835">
      <c r="A835" s="7">
        <f>IFERROR(Datos!A835,"")</f>
        <v/>
      </c>
      <c r="B835" s="27">
        <f>IFERROR(IF(ISNUMBER(Datos!B835),Datos!B835/$F$2*100,NA()),NA())</f>
        <v/>
      </c>
      <c r="C835" s="27">
        <f>IFERROR(IF(ISNUMBER(Datos!C835),Datos!C835/$F$3*100,NA()),NA())</f>
        <v/>
      </c>
    </row>
    <row r="836">
      <c r="A836" s="7">
        <f>IFERROR(Datos!A836,"")</f>
        <v/>
      </c>
      <c r="B836" s="27">
        <f>IFERROR(IF(ISNUMBER(Datos!B836),Datos!B836/$F$2*100,NA()),NA())</f>
        <v/>
      </c>
      <c r="C836" s="27">
        <f>IFERROR(IF(ISNUMBER(Datos!C836),Datos!C836/$F$3*100,NA()),NA())</f>
        <v/>
      </c>
    </row>
    <row r="837">
      <c r="A837" s="7">
        <f>IFERROR(Datos!A837,"")</f>
        <v/>
      </c>
      <c r="B837" s="27">
        <f>IFERROR(IF(ISNUMBER(Datos!B837),Datos!B837/$F$2*100,NA()),NA())</f>
        <v/>
      </c>
      <c r="C837" s="27">
        <f>IFERROR(IF(ISNUMBER(Datos!C837),Datos!C837/$F$3*100,NA()),NA())</f>
        <v/>
      </c>
    </row>
    <row r="838">
      <c r="A838" s="7">
        <f>IFERROR(Datos!A838,"")</f>
        <v/>
      </c>
      <c r="B838" s="27">
        <f>IFERROR(IF(ISNUMBER(Datos!B838),Datos!B838/$F$2*100,NA()),NA())</f>
        <v/>
      </c>
      <c r="C838" s="27">
        <f>IFERROR(IF(ISNUMBER(Datos!C838),Datos!C838/$F$3*100,NA()),NA())</f>
        <v/>
      </c>
    </row>
    <row r="839">
      <c r="A839" s="7">
        <f>IFERROR(Datos!A839,"")</f>
        <v/>
      </c>
      <c r="B839" s="27">
        <f>IFERROR(IF(ISNUMBER(Datos!B839),Datos!B839/$F$2*100,NA()),NA())</f>
        <v/>
      </c>
      <c r="C839" s="27">
        <f>IFERROR(IF(ISNUMBER(Datos!C839),Datos!C839/$F$3*100,NA()),NA())</f>
        <v/>
      </c>
    </row>
    <row r="840">
      <c r="A840" s="7">
        <f>IFERROR(Datos!A840,"")</f>
        <v/>
      </c>
      <c r="B840" s="27">
        <f>IFERROR(IF(ISNUMBER(Datos!B840),Datos!B840/$F$2*100,NA()),NA())</f>
        <v/>
      </c>
      <c r="C840" s="27">
        <f>IFERROR(IF(ISNUMBER(Datos!C840),Datos!C840/$F$3*100,NA()),NA())</f>
        <v/>
      </c>
    </row>
    <row r="841">
      <c r="A841" s="7">
        <f>IFERROR(Datos!A841,"")</f>
        <v/>
      </c>
      <c r="B841" s="27">
        <f>IFERROR(IF(ISNUMBER(Datos!B841),Datos!B841/$F$2*100,NA()),NA())</f>
        <v/>
      </c>
      <c r="C841" s="27">
        <f>IFERROR(IF(ISNUMBER(Datos!C841),Datos!C841/$F$3*100,NA()),NA())</f>
        <v/>
      </c>
    </row>
    <row r="842">
      <c r="A842" s="7">
        <f>IFERROR(Datos!A842,"")</f>
        <v/>
      </c>
      <c r="B842" s="27">
        <f>IFERROR(IF(ISNUMBER(Datos!B842),Datos!B842/$F$2*100,NA()),NA())</f>
        <v/>
      </c>
      <c r="C842" s="27">
        <f>IFERROR(IF(ISNUMBER(Datos!C842),Datos!C842/$F$3*100,NA()),NA())</f>
        <v/>
      </c>
    </row>
    <row r="843">
      <c r="A843" s="7">
        <f>IFERROR(Datos!A843,"")</f>
        <v/>
      </c>
      <c r="B843" s="27">
        <f>IFERROR(IF(ISNUMBER(Datos!B843),Datos!B843/$F$2*100,NA()),NA())</f>
        <v/>
      </c>
      <c r="C843" s="27">
        <f>IFERROR(IF(ISNUMBER(Datos!C843),Datos!C843/$F$3*100,NA()),NA())</f>
        <v/>
      </c>
    </row>
    <row r="844">
      <c r="A844" s="7">
        <f>IFERROR(Datos!A844,"")</f>
        <v/>
      </c>
      <c r="B844" s="27">
        <f>IFERROR(IF(ISNUMBER(Datos!B844),Datos!B844/$F$2*100,NA()),NA())</f>
        <v/>
      </c>
      <c r="C844" s="27">
        <f>IFERROR(IF(ISNUMBER(Datos!C844),Datos!C844/$F$3*100,NA()),NA())</f>
        <v/>
      </c>
    </row>
    <row r="845">
      <c r="A845" s="7">
        <f>IFERROR(Datos!A845,"")</f>
        <v/>
      </c>
      <c r="B845" s="27">
        <f>IFERROR(IF(ISNUMBER(Datos!B845),Datos!B845/$F$2*100,NA()),NA())</f>
        <v/>
      </c>
      <c r="C845" s="27">
        <f>IFERROR(IF(ISNUMBER(Datos!C845),Datos!C845/$F$3*100,NA()),NA())</f>
        <v/>
      </c>
    </row>
    <row r="846">
      <c r="A846" s="7">
        <f>IFERROR(Datos!A846,"")</f>
        <v/>
      </c>
      <c r="B846" s="27">
        <f>IFERROR(IF(ISNUMBER(Datos!B846),Datos!B846/$F$2*100,NA()),NA())</f>
        <v/>
      </c>
      <c r="C846" s="27">
        <f>IFERROR(IF(ISNUMBER(Datos!C846),Datos!C846/$F$3*100,NA()),NA())</f>
        <v/>
      </c>
    </row>
    <row r="847">
      <c r="A847" s="7">
        <f>IFERROR(Datos!A847,"")</f>
        <v/>
      </c>
      <c r="B847" s="27">
        <f>IFERROR(IF(ISNUMBER(Datos!B847),Datos!B847/$F$2*100,NA()),NA())</f>
        <v/>
      </c>
      <c r="C847" s="27">
        <f>IFERROR(IF(ISNUMBER(Datos!C847),Datos!C847/$F$3*100,NA()),NA())</f>
        <v/>
      </c>
    </row>
    <row r="848">
      <c r="A848" s="7">
        <f>IFERROR(Datos!A848,"")</f>
        <v/>
      </c>
      <c r="B848" s="27">
        <f>IFERROR(IF(ISNUMBER(Datos!B848),Datos!B848/$F$2*100,NA()),NA())</f>
        <v/>
      </c>
      <c r="C848" s="27">
        <f>IFERROR(IF(ISNUMBER(Datos!C848),Datos!C848/$F$3*100,NA()),NA())</f>
        <v/>
      </c>
    </row>
    <row r="849">
      <c r="A849" s="7">
        <f>IFERROR(Datos!A849,"")</f>
        <v/>
      </c>
      <c r="B849" s="27">
        <f>IFERROR(IF(ISNUMBER(Datos!B849),Datos!B849/$F$2*100,NA()),NA())</f>
        <v/>
      </c>
      <c r="C849" s="27">
        <f>IFERROR(IF(ISNUMBER(Datos!C849),Datos!C849/$F$3*100,NA()),NA())</f>
        <v/>
      </c>
    </row>
    <row r="850">
      <c r="A850" s="7">
        <f>IFERROR(Datos!A850,"")</f>
        <v/>
      </c>
      <c r="B850" s="27">
        <f>IFERROR(IF(ISNUMBER(Datos!B850),Datos!B850/$F$2*100,NA()),NA())</f>
        <v/>
      </c>
      <c r="C850" s="27">
        <f>IFERROR(IF(ISNUMBER(Datos!C850),Datos!C850/$F$3*100,NA()),NA())</f>
        <v/>
      </c>
    </row>
    <row r="851">
      <c r="A851" s="7">
        <f>IFERROR(Datos!A851,"")</f>
        <v/>
      </c>
      <c r="B851" s="27">
        <f>IFERROR(IF(ISNUMBER(Datos!B851),Datos!B851/$F$2*100,NA()),NA())</f>
        <v/>
      </c>
      <c r="C851" s="27">
        <f>IFERROR(IF(ISNUMBER(Datos!C851),Datos!C851/$F$3*100,NA()),NA())</f>
        <v/>
      </c>
    </row>
    <row r="852">
      <c r="A852" s="7">
        <f>IFERROR(Datos!A852,"")</f>
        <v/>
      </c>
      <c r="B852" s="27">
        <f>IFERROR(IF(ISNUMBER(Datos!B852),Datos!B852/$F$2*100,NA()),NA())</f>
        <v/>
      </c>
      <c r="C852" s="27">
        <f>IFERROR(IF(ISNUMBER(Datos!C852),Datos!C852/$F$3*100,NA()),NA())</f>
        <v/>
      </c>
    </row>
    <row r="853">
      <c r="A853" s="7">
        <f>IFERROR(Datos!A853,"")</f>
        <v/>
      </c>
      <c r="B853" s="27">
        <f>IFERROR(IF(ISNUMBER(Datos!B853),Datos!B853/$F$2*100,NA()),NA())</f>
        <v/>
      </c>
      <c r="C853" s="27">
        <f>IFERROR(IF(ISNUMBER(Datos!C853),Datos!C853/$F$3*100,NA()),NA())</f>
        <v/>
      </c>
    </row>
    <row r="854">
      <c r="A854" s="7">
        <f>IFERROR(Datos!A854,"")</f>
        <v/>
      </c>
      <c r="B854" s="27">
        <f>IFERROR(IF(ISNUMBER(Datos!B854),Datos!B854/$F$2*100,NA()),NA())</f>
        <v/>
      </c>
      <c r="C854" s="27">
        <f>IFERROR(IF(ISNUMBER(Datos!C854),Datos!C854/$F$3*100,NA()),NA())</f>
        <v/>
      </c>
    </row>
    <row r="855">
      <c r="A855" s="7">
        <f>IFERROR(Datos!A855,"")</f>
        <v/>
      </c>
      <c r="B855" s="27">
        <f>IFERROR(IF(ISNUMBER(Datos!B855),Datos!B855/$F$2*100,NA()),NA())</f>
        <v/>
      </c>
      <c r="C855" s="27">
        <f>IFERROR(IF(ISNUMBER(Datos!C855),Datos!C855/$F$3*100,NA()),NA())</f>
        <v/>
      </c>
    </row>
    <row r="856">
      <c r="A856" s="7">
        <f>IFERROR(Datos!A856,"")</f>
        <v/>
      </c>
      <c r="B856" s="27">
        <f>IFERROR(IF(ISNUMBER(Datos!B856),Datos!B856/$F$2*100,NA()),NA())</f>
        <v/>
      </c>
      <c r="C856" s="27">
        <f>IFERROR(IF(ISNUMBER(Datos!C856),Datos!C856/$F$3*100,NA()),NA())</f>
        <v/>
      </c>
    </row>
    <row r="857">
      <c r="A857" s="7">
        <f>IFERROR(Datos!A857,"")</f>
        <v/>
      </c>
      <c r="B857" s="27">
        <f>IFERROR(IF(ISNUMBER(Datos!B857),Datos!B857/$F$2*100,NA()),NA())</f>
        <v/>
      </c>
      <c r="C857" s="27">
        <f>IFERROR(IF(ISNUMBER(Datos!C857),Datos!C857/$F$3*100,NA()),NA())</f>
        <v/>
      </c>
    </row>
    <row r="858">
      <c r="A858" s="7">
        <f>IFERROR(Datos!A858,"")</f>
        <v/>
      </c>
      <c r="B858" s="27">
        <f>IFERROR(IF(ISNUMBER(Datos!B858),Datos!B858/$F$2*100,NA()),NA())</f>
        <v/>
      </c>
      <c r="C858" s="27">
        <f>IFERROR(IF(ISNUMBER(Datos!C858),Datos!C858/$F$3*100,NA()),NA())</f>
        <v/>
      </c>
    </row>
    <row r="859">
      <c r="A859" s="7">
        <f>IFERROR(Datos!A859,"")</f>
        <v/>
      </c>
      <c r="B859" s="27">
        <f>IFERROR(IF(ISNUMBER(Datos!B859),Datos!B859/$F$2*100,NA()),NA())</f>
        <v/>
      </c>
      <c r="C859" s="27">
        <f>IFERROR(IF(ISNUMBER(Datos!C859),Datos!C859/$F$3*100,NA()),NA())</f>
        <v/>
      </c>
    </row>
    <row r="860">
      <c r="A860" s="7">
        <f>IFERROR(Datos!A860,"")</f>
        <v/>
      </c>
      <c r="B860" s="27">
        <f>IFERROR(IF(ISNUMBER(Datos!B860),Datos!B860/$F$2*100,NA()),NA())</f>
        <v/>
      </c>
      <c r="C860" s="27">
        <f>IFERROR(IF(ISNUMBER(Datos!C860),Datos!C860/$F$3*100,NA()),NA())</f>
        <v/>
      </c>
    </row>
    <row r="861">
      <c r="A861" s="7">
        <f>IFERROR(Datos!A861,"")</f>
        <v/>
      </c>
      <c r="B861" s="27">
        <f>IFERROR(IF(ISNUMBER(Datos!B861),Datos!B861/$F$2*100,NA()),NA())</f>
        <v/>
      </c>
      <c r="C861" s="27">
        <f>IFERROR(IF(ISNUMBER(Datos!C861),Datos!C861/$F$3*100,NA()),NA())</f>
        <v/>
      </c>
    </row>
    <row r="862">
      <c r="A862" s="7">
        <f>IFERROR(Datos!A862,"")</f>
        <v/>
      </c>
      <c r="B862" s="27">
        <f>IFERROR(IF(ISNUMBER(Datos!B862),Datos!B862/$F$2*100,NA()),NA())</f>
        <v/>
      </c>
      <c r="C862" s="27">
        <f>IFERROR(IF(ISNUMBER(Datos!C862),Datos!C862/$F$3*100,NA()),NA())</f>
        <v/>
      </c>
    </row>
    <row r="863">
      <c r="A863" s="7">
        <f>IFERROR(Datos!A863,"")</f>
        <v/>
      </c>
      <c r="B863" s="27">
        <f>IFERROR(IF(ISNUMBER(Datos!B863),Datos!B863/$F$2*100,NA()),NA())</f>
        <v/>
      </c>
      <c r="C863" s="27">
        <f>IFERROR(IF(ISNUMBER(Datos!C863),Datos!C863/$F$3*100,NA()),NA())</f>
        <v/>
      </c>
    </row>
    <row r="864">
      <c r="A864" s="7">
        <f>IFERROR(Datos!A864,"")</f>
        <v/>
      </c>
      <c r="B864" s="27">
        <f>IFERROR(IF(ISNUMBER(Datos!B864),Datos!B864/$F$2*100,NA()),NA())</f>
        <v/>
      </c>
      <c r="C864" s="27">
        <f>IFERROR(IF(ISNUMBER(Datos!C864),Datos!C864/$F$3*100,NA()),NA())</f>
        <v/>
      </c>
    </row>
    <row r="865">
      <c r="A865" s="7">
        <f>IFERROR(Datos!A865,"")</f>
        <v/>
      </c>
      <c r="B865" s="27">
        <f>IFERROR(IF(ISNUMBER(Datos!B865),Datos!B865/$F$2*100,NA()),NA())</f>
        <v/>
      </c>
      <c r="C865" s="27">
        <f>IFERROR(IF(ISNUMBER(Datos!C865),Datos!C865/$F$3*100,NA()),NA())</f>
        <v/>
      </c>
    </row>
    <row r="866">
      <c r="A866" s="7">
        <f>IFERROR(Datos!A866,"")</f>
        <v/>
      </c>
      <c r="B866" s="27">
        <f>IFERROR(IF(ISNUMBER(Datos!B866),Datos!B866/$F$2*100,NA()),NA())</f>
        <v/>
      </c>
      <c r="C866" s="27">
        <f>IFERROR(IF(ISNUMBER(Datos!C866),Datos!C866/$F$3*100,NA()),NA())</f>
        <v/>
      </c>
    </row>
    <row r="867">
      <c r="A867" s="7">
        <f>IFERROR(Datos!A867,"")</f>
        <v/>
      </c>
      <c r="B867" s="27">
        <f>IFERROR(IF(ISNUMBER(Datos!B867),Datos!B867/$F$2*100,NA()),NA())</f>
        <v/>
      </c>
      <c r="C867" s="27">
        <f>IFERROR(IF(ISNUMBER(Datos!C867),Datos!C867/$F$3*100,NA()),NA())</f>
        <v/>
      </c>
    </row>
    <row r="868">
      <c r="A868" s="7">
        <f>IFERROR(Datos!A868,"")</f>
        <v/>
      </c>
      <c r="B868" s="27">
        <f>IFERROR(IF(ISNUMBER(Datos!B868),Datos!B868/$F$2*100,NA()),NA())</f>
        <v/>
      </c>
      <c r="C868" s="27">
        <f>IFERROR(IF(ISNUMBER(Datos!C868),Datos!C868/$F$3*100,NA()),NA())</f>
        <v/>
      </c>
    </row>
    <row r="869">
      <c r="A869" s="7">
        <f>IFERROR(Datos!A869,"")</f>
        <v/>
      </c>
      <c r="B869" s="27">
        <f>IFERROR(IF(ISNUMBER(Datos!B869),Datos!B869/$F$2*100,NA()),NA())</f>
        <v/>
      </c>
      <c r="C869" s="27">
        <f>IFERROR(IF(ISNUMBER(Datos!C869),Datos!C869/$F$3*100,NA()),NA())</f>
        <v/>
      </c>
    </row>
    <row r="870">
      <c r="A870" s="7">
        <f>IFERROR(Datos!A870,"")</f>
        <v/>
      </c>
      <c r="B870" s="27">
        <f>IFERROR(IF(ISNUMBER(Datos!B870),Datos!B870/$F$2*100,NA()),NA())</f>
        <v/>
      </c>
      <c r="C870" s="27">
        <f>IFERROR(IF(ISNUMBER(Datos!C870),Datos!C870/$F$3*100,NA()),NA())</f>
        <v/>
      </c>
    </row>
    <row r="871">
      <c r="A871" s="7">
        <f>IFERROR(Datos!A871,"")</f>
        <v/>
      </c>
      <c r="B871" s="27">
        <f>IFERROR(IF(ISNUMBER(Datos!B871),Datos!B871/$F$2*100,NA()),NA())</f>
        <v/>
      </c>
      <c r="C871" s="27">
        <f>IFERROR(IF(ISNUMBER(Datos!C871),Datos!C871/$F$3*100,NA()),NA())</f>
        <v/>
      </c>
    </row>
    <row r="872">
      <c r="A872" s="7">
        <f>IFERROR(Datos!A872,"")</f>
        <v/>
      </c>
      <c r="B872" s="27">
        <f>IFERROR(IF(ISNUMBER(Datos!B872),Datos!B872/$F$2*100,NA()),NA())</f>
        <v/>
      </c>
      <c r="C872" s="27">
        <f>IFERROR(IF(ISNUMBER(Datos!C872),Datos!C872/$F$3*100,NA()),NA())</f>
        <v/>
      </c>
    </row>
    <row r="873">
      <c r="A873" s="7">
        <f>IFERROR(Datos!A873,"")</f>
        <v/>
      </c>
      <c r="B873" s="27">
        <f>IFERROR(IF(ISNUMBER(Datos!B873),Datos!B873/$F$2*100,NA()),NA())</f>
        <v/>
      </c>
      <c r="C873" s="27">
        <f>IFERROR(IF(ISNUMBER(Datos!C873),Datos!C873/$F$3*100,NA()),NA())</f>
        <v/>
      </c>
    </row>
    <row r="874">
      <c r="A874" s="7">
        <f>IFERROR(Datos!A874,"")</f>
        <v/>
      </c>
      <c r="B874" s="27">
        <f>IFERROR(IF(ISNUMBER(Datos!B874),Datos!B874/$F$2*100,NA()),NA())</f>
        <v/>
      </c>
      <c r="C874" s="27">
        <f>IFERROR(IF(ISNUMBER(Datos!C874),Datos!C874/$F$3*100,NA()),NA())</f>
        <v/>
      </c>
    </row>
    <row r="875">
      <c r="A875" s="7">
        <f>IFERROR(Datos!A875,"")</f>
        <v/>
      </c>
      <c r="B875" s="27">
        <f>IFERROR(IF(ISNUMBER(Datos!B875),Datos!B875/$F$2*100,NA()),NA())</f>
        <v/>
      </c>
      <c r="C875" s="27">
        <f>IFERROR(IF(ISNUMBER(Datos!C875),Datos!C875/$F$3*100,NA()),NA())</f>
        <v/>
      </c>
    </row>
    <row r="876">
      <c r="A876" s="7">
        <f>IFERROR(Datos!A876,"")</f>
        <v/>
      </c>
      <c r="B876" s="27">
        <f>IFERROR(IF(ISNUMBER(Datos!B876),Datos!B876/$F$2*100,NA()),NA())</f>
        <v/>
      </c>
      <c r="C876" s="27">
        <f>IFERROR(IF(ISNUMBER(Datos!C876),Datos!C876/$F$3*100,NA()),NA())</f>
        <v/>
      </c>
    </row>
    <row r="877">
      <c r="A877" s="7">
        <f>IFERROR(Datos!A877,"")</f>
        <v/>
      </c>
      <c r="B877" s="27">
        <f>IFERROR(IF(ISNUMBER(Datos!B877),Datos!B877/$F$2*100,NA()),NA())</f>
        <v/>
      </c>
      <c r="C877" s="27">
        <f>IFERROR(IF(ISNUMBER(Datos!C877),Datos!C877/$F$3*100,NA()),NA())</f>
        <v/>
      </c>
    </row>
    <row r="878">
      <c r="A878" s="7">
        <f>IFERROR(Datos!A878,"")</f>
        <v/>
      </c>
      <c r="B878" s="27">
        <f>IFERROR(IF(ISNUMBER(Datos!B878),Datos!B878/$F$2*100,NA()),NA())</f>
        <v/>
      </c>
      <c r="C878" s="27">
        <f>IFERROR(IF(ISNUMBER(Datos!C878),Datos!C878/$F$3*100,NA()),NA())</f>
        <v/>
      </c>
    </row>
    <row r="879">
      <c r="A879" s="7">
        <f>IFERROR(Datos!A879,"")</f>
        <v/>
      </c>
      <c r="B879" s="27">
        <f>IFERROR(IF(ISNUMBER(Datos!B879),Datos!B879/$F$2*100,NA()),NA())</f>
        <v/>
      </c>
      <c r="C879" s="27">
        <f>IFERROR(IF(ISNUMBER(Datos!C879),Datos!C879/$F$3*100,NA()),NA())</f>
        <v/>
      </c>
    </row>
    <row r="880">
      <c r="A880" s="7">
        <f>IFERROR(Datos!A880,"")</f>
        <v/>
      </c>
      <c r="B880" s="27">
        <f>IFERROR(IF(ISNUMBER(Datos!B880),Datos!B880/$F$2*100,NA()),NA())</f>
        <v/>
      </c>
      <c r="C880" s="27">
        <f>IFERROR(IF(ISNUMBER(Datos!C880),Datos!C880/$F$3*100,NA()),NA())</f>
        <v/>
      </c>
    </row>
    <row r="881">
      <c r="A881" s="7">
        <f>IFERROR(Datos!A881,"")</f>
        <v/>
      </c>
      <c r="B881" s="27">
        <f>IFERROR(IF(ISNUMBER(Datos!B881),Datos!B881/$F$2*100,NA()),NA())</f>
        <v/>
      </c>
      <c r="C881" s="27">
        <f>IFERROR(IF(ISNUMBER(Datos!C881),Datos!C881/$F$3*100,NA()),NA())</f>
        <v/>
      </c>
    </row>
    <row r="882">
      <c r="A882" s="7">
        <f>IFERROR(Datos!A882,"")</f>
        <v/>
      </c>
      <c r="B882" s="27">
        <f>IFERROR(IF(ISNUMBER(Datos!B882),Datos!B882/$F$2*100,NA()),NA())</f>
        <v/>
      </c>
      <c r="C882" s="27">
        <f>IFERROR(IF(ISNUMBER(Datos!C882),Datos!C882/$F$3*100,NA()),NA())</f>
        <v/>
      </c>
    </row>
    <row r="883">
      <c r="A883" s="7">
        <f>IFERROR(Datos!A883,"")</f>
        <v/>
      </c>
      <c r="B883" s="27">
        <f>IFERROR(IF(ISNUMBER(Datos!B883),Datos!B883/$F$2*100,NA()),NA())</f>
        <v/>
      </c>
      <c r="C883" s="27">
        <f>IFERROR(IF(ISNUMBER(Datos!C883),Datos!C883/$F$3*100,NA()),NA())</f>
        <v/>
      </c>
    </row>
    <row r="884">
      <c r="A884" s="7">
        <f>IFERROR(Datos!A884,"")</f>
        <v/>
      </c>
      <c r="B884" s="27">
        <f>IFERROR(IF(ISNUMBER(Datos!B884),Datos!B884/$F$2*100,NA()),NA())</f>
        <v/>
      </c>
      <c r="C884" s="27">
        <f>IFERROR(IF(ISNUMBER(Datos!C884),Datos!C884/$F$3*100,NA()),NA())</f>
        <v/>
      </c>
    </row>
    <row r="885">
      <c r="A885" s="7">
        <f>IFERROR(Datos!A885,"")</f>
        <v/>
      </c>
      <c r="B885" s="27">
        <f>IFERROR(IF(ISNUMBER(Datos!B885),Datos!B885/$F$2*100,NA()),NA())</f>
        <v/>
      </c>
      <c r="C885" s="27">
        <f>IFERROR(IF(ISNUMBER(Datos!C885),Datos!C885/$F$3*100,NA()),NA())</f>
        <v/>
      </c>
    </row>
    <row r="886">
      <c r="A886" s="7">
        <f>IFERROR(Datos!A886,"")</f>
        <v/>
      </c>
      <c r="B886" s="27">
        <f>IFERROR(IF(ISNUMBER(Datos!B886),Datos!B886/$F$2*100,NA()),NA())</f>
        <v/>
      </c>
      <c r="C886" s="27">
        <f>IFERROR(IF(ISNUMBER(Datos!C886),Datos!C886/$F$3*100,NA()),NA())</f>
        <v/>
      </c>
    </row>
    <row r="887">
      <c r="A887" s="7">
        <f>IFERROR(Datos!A887,"")</f>
        <v/>
      </c>
      <c r="B887" s="27">
        <f>IFERROR(IF(ISNUMBER(Datos!B887),Datos!B887/$F$2*100,NA()),NA())</f>
        <v/>
      </c>
      <c r="C887" s="27">
        <f>IFERROR(IF(ISNUMBER(Datos!C887),Datos!C887/$F$3*100,NA()),NA())</f>
        <v/>
      </c>
    </row>
    <row r="888">
      <c r="A888" s="7">
        <f>IFERROR(Datos!A888,"")</f>
        <v/>
      </c>
      <c r="B888" s="27">
        <f>IFERROR(IF(ISNUMBER(Datos!B888),Datos!B888/$F$2*100,NA()),NA())</f>
        <v/>
      </c>
      <c r="C888" s="27">
        <f>IFERROR(IF(ISNUMBER(Datos!C888),Datos!C888/$F$3*100,NA()),NA())</f>
        <v/>
      </c>
    </row>
    <row r="889">
      <c r="A889" s="7">
        <f>IFERROR(Datos!A889,"")</f>
        <v/>
      </c>
      <c r="B889" s="27">
        <f>IFERROR(IF(ISNUMBER(Datos!B889),Datos!B889/$F$2*100,NA()),NA())</f>
        <v/>
      </c>
      <c r="C889" s="27">
        <f>IFERROR(IF(ISNUMBER(Datos!C889),Datos!C889/$F$3*100,NA()),NA())</f>
        <v/>
      </c>
    </row>
    <row r="890">
      <c r="A890" s="7">
        <f>IFERROR(Datos!A890,"")</f>
        <v/>
      </c>
      <c r="B890" s="27">
        <f>IFERROR(IF(ISNUMBER(Datos!B890),Datos!B890/$F$2*100,NA()),NA())</f>
        <v/>
      </c>
      <c r="C890" s="27">
        <f>IFERROR(IF(ISNUMBER(Datos!C890),Datos!C890/$F$3*100,NA()),NA())</f>
        <v/>
      </c>
    </row>
    <row r="891">
      <c r="A891" s="7">
        <f>IFERROR(Datos!A891,"")</f>
        <v/>
      </c>
      <c r="B891" s="27">
        <f>IFERROR(IF(ISNUMBER(Datos!B891),Datos!B891/$F$2*100,NA()),NA())</f>
        <v/>
      </c>
      <c r="C891" s="27">
        <f>IFERROR(IF(ISNUMBER(Datos!C891),Datos!C891/$F$3*100,NA()),NA())</f>
        <v/>
      </c>
    </row>
    <row r="892">
      <c r="A892" s="7">
        <f>IFERROR(Datos!A892,"")</f>
        <v/>
      </c>
      <c r="B892" s="27">
        <f>IFERROR(IF(ISNUMBER(Datos!B892),Datos!B892/$F$2*100,NA()),NA())</f>
        <v/>
      </c>
      <c r="C892" s="27">
        <f>IFERROR(IF(ISNUMBER(Datos!C892),Datos!C892/$F$3*100,NA()),NA())</f>
        <v/>
      </c>
    </row>
    <row r="893">
      <c r="A893" s="7">
        <f>IFERROR(Datos!A893,"")</f>
        <v/>
      </c>
      <c r="B893" s="27">
        <f>IFERROR(IF(ISNUMBER(Datos!B893),Datos!B893/$F$2*100,NA()),NA())</f>
        <v/>
      </c>
      <c r="C893" s="27">
        <f>IFERROR(IF(ISNUMBER(Datos!C893),Datos!C893/$F$3*100,NA()),NA())</f>
        <v/>
      </c>
    </row>
    <row r="894">
      <c r="A894" s="7">
        <f>IFERROR(Datos!A894,"")</f>
        <v/>
      </c>
      <c r="B894" s="27">
        <f>IFERROR(IF(ISNUMBER(Datos!B894),Datos!B894/$F$2*100,NA()),NA())</f>
        <v/>
      </c>
      <c r="C894" s="27">
        <f>IFERROR(IF(ISNUMBER(Datos!C894),Datos!C894/$F$3*100,NA()),NA())</f>
        <v/>
      </c>
    </row>
    <row r="895">
      <c r="A895" s="7">
        <f>IFERROR(Datos!A895,"")</f>
        <v/>
      </c>
      <c r="B895" s="27">
        <f>IFERROR(IF(ISNUMBER(Datos!B895),Datos!B895/$F$2*100,NA()),NA())</f>
        <v/>
      </c>
      <c r="C895" s="27">
        <f>IFERROR(IF(ISNUMBER(Datos!C895),Datos!C895/$F$3*100,NA()),NA())</f>
        <v/>
      </c>
    </row>
    <row r="896">
      <c r="A896" s="7">
        <f>IFERROR(Datos!A896,"")</f>
        <v/>
      </c>
      <c r="B896" s="27">
        <f>IFERROR(IF(ISNUMBER(Datos!B896),Datos!B896/$F$2*100,NA()),NA())</f>
        <v/>
      </c>
      <c r="C896" s="27">
        <f>IFERROR(IF(ISNUMBER(Datos!C896),Datos!C896/$F$3*100,NA()),NA())</f>
        <v/>
      </c>
    </row>
    <row r="897">
      <c r="A897" s="7">
        <f>IFERROR(Datos!A897,"")</f>
        <v/>
      </c>
      <c r="B897" s="27">
        <f>IFERROR(IF(ISNUMBER(Datos!B897),Datos!B897/$F$2*100,NA()),NA())</f>
        <v/>
      </c>
      <c r="C897" s="27">
        <f>IFERROR(IF(ISNUMBER(Datos!C897),Datos!C897/$F$3*100,NA()),NA())</f>
        <v/>
      </c>
    </row>
    <row r="898">
      <c r="A898" s="7">
        <f>IFERROR(Datos!A898,"")</f>
        <v/>
      </c>
      <c r="B898" s="27">
        <f>IFERROR(IF(ISNUMBER(Datos!B898),Datos!B898/$F$2*100,NA()),NA())</f>
        <v/>
      </c>
      <c r="C898" s="27">
        <f>IFERROR(IF(ISNUMBER(Datos!C898),Datos!C898/$F$3*100,NA()),NA())</f>
        <v/>
      </c>
    </row>
    <row r="899">
      <c r="A899" s="7">
        <f>IFERROR(Datos!A899,"")</f>
        <v/>
      </c>
      <c r="B899" s="27">
        <f>IFERROR(IF(ISNUMBER(Datos!B899),Datos!B899/$F$2*100,NA()),NA())</f>
        <v/>
      </c>
      <c r="C899" s="27">
        <f>IFERROR(IF(ISNUMBER(Datos!C899),Datos!C899/$F$3*100,NA()),NA())</f>
        <v/>
      </c>
    </row>
    <row r="900">
      <c r="A900" s="7">
        <f>IFERROR(Datos!A900,"")</f>
        <v/>
      </c>
      <c r="B900" s="27">
        <f>IFERROR(IF(ISNUMBER(Datos!B900),Datos!B900/$F$2*100,NA()),NA())</f>
        <v/>
      </c>
      <c r="C900" s="27">
        <f>IFERROR(IF(ISNUMBER(Datos!C900),Datos!C900/$F$3*100,NA()),NA())</f>
        <v/>
      </c>
    </row>
    <row r="901">
      <c r="A901" s="7">
        <f>IFERROR(Datos!A901,"")</f>
        <v/>
      </c>
      <c r="B901" s="27">
        <f>IFERROR(IF(ISNUMBER(Datos!B901),Datos!B901/$F$2*100,NA()),NA())</f>
        <v/>
      </c>
      <c r="C901" s="27">
        <f>IFERROR(IF(ISNUMBER(Datos!C901),Datos!C901/$F$3*100,NA()),NA())</f>
        <v/>
      </c>
    </row>
    <row r="902">
      <c r="A902" s="7">
        <f>IFERROR(Datos!A902,"")</f>
        <v/>
      </c>
      <c r="B902" s="27">
        <f>IFERROR(IF(ISNUMBER(Datos!B902),Datos!B902/$F$2*100,NA()),NA())</f>
        <v/>
      </c>
      <c r="C902" s="27">
        <f>IFERROR(IF(ISNUMBER(Datos!C902),Datos!C902/$F$3*100,NA()),NA())</f>
        <v/>
      </c>
    </row>
    <row r="903">
      <c r="A903" s="7">
        <f>IFERROR(Datos!A903,"")</f>
        <v/>
      </c>
      <c r="B903" s="27">
        <f>IFERROR(IF(ISNUMBER(Datos!B903),Datos!B903/$F$2*100,NA()),NA())</f>
        <v/>
      </c>
      <c r="C903" s="27">
        <f>IFERROR(IF(ISNUMBER(Datos!C903),Datos!C903/$F$3*100,NA()),NA())</f>
        <v/>
      </c>
    </row>
    <row r="904">
      <c r="A904" s="7">
        <f>IFERROR(Datos!A904,"")</f>
        <v/>
      </c>
      <c r="B904" s="27">
        <f>IFERROR(IF(ISNUMBER(Datos!B904),Datos!B904/$F$2*100,NA()),NA())</f>
        <v/>
      </c>
      <c r="C904" s="27">
        <f>IFERROR(IF(ISNUMBER(Datos!C904),Datos!C904/$F$3*100,NA()),NA())</f>
        <v/>
      </c>
    </row>
    <row r="905">
      <c r="A905" s="7">
        <f>IFERROR(Datos!A905,"")</f>
        <v/>
      </c>
      <c r="B905" s="27">
        <f>IFERROR(IF(ISNUMBER(Datos!B905),Datos!B905/$F$2*100,NA()),NA())</f>
        <v/>
      </c>
      <c r="C905" s="27">
        <f>IFERROR(IF(ISNUMBER(Datos!C905),Datos!C905/$F$3*100,NA()),NA())</f>
        <v/>
      </c>
    </row>
    <row r="906">
      <c r="A906" s="7">
        <f>IFERROR(Datos!A906,"")</f>
        <v/>
      </c>
      <c r="B906" s="27">
        <f>IFERROR(IF(ISNUMBER(Datos!B906),Datos!B906/$F$2*100,NA()),NA())</f>
        <v/>
      </c>
      <c r="C906" s="27">
        <f>IFERROR(IF(ISNUMBER(Datos!C906),Datos!C906/$F$3*100,NA()),NA())</f>
        <v/>
      </c>
    </row>
    <row r="907">
      <c r="A907" s="7">
        <f>IFERROR(Datos!A907,"")</f>
        <v/>
      </c>
      <c r="B907" s="27">
        <f>IFERROR(IF(ISNUMBER(Datos!B907),Datos!B907/$F$2*100,NA()),NA())</f>
        <v/>
      </c>
      <c r="C907" s="27">
        <f>IFERROR(IF(ISNUMBER(Datos!C907),Datos!C907/$F$3*100,NA()),NA())</f>
        <v/>
      </c>
    </row>
    <row r="908">
      <c r="A908" s="7">
        <f>IFERROR(Datos!A908,"")</f>
        <v/>
      </c>
      <c r="B908" s="27">
        <f>IFERROR(IF(ISNUMBER(Datos!B908),Datos!B908/$F$2*100,NA()),NA())</f>
        <v/>
      </c>
      <c r="C908" s="27">
        <f>IFERROR(IF(ISNUMBER(Datos!C908),Datos!C908/$F$3*100,NA()),NA())</f>
        <v/>
      </c>
    </row>
    <row r="909">
      <c r="A909" s="7">
        <f>IFERROR(Datos!A909,"")</f>
        <v/>
      </c>
      <c r="B909" s="27">
        <f>IFERROR(IF(ISNUMBER(Datos!B909),Datos!B909/$F$2*100,NA()),NA())</f>
        <v/>
      </c>
      <c r="C909" s="27">
        <f>IFERROR(IF(ISNUMBER(Datos!C909),Datos!C909/$F$3*100,NA()),NA())</f>
        <v/>
      </c>
    </row>
    <row r="910">
      <c r="A910" s="7">
        <f>IFERROR(Datos!A910,"")</f>
        <v/>
      </c>
      <c r="B910" s="27">
        <f>IFERROR(IF(ISNUMBER(Datos!B910),Datos!B910/$F$2*100,NA()),NA())</f>
        <v/>
      </c>
      <c r="C910" s="27">
        <f>IFERROR(IF(ISNUMBER(Datos!C910),Datos!C910/$F$3*100,NA()),NA())</f>
        <v/>
      </c>
    </row>
    <row r="911">
      <c r="A911" s="7">
        <f>IFERROR(Datos!A911,"")</f>
        <v/>
      </c>
      <c r="B911" s="27">
        <f>IFERROR(IF(ISNUMBER(Datos!B911),Datos!B911/$F$2*100,NA()),NA())</f>
        <v/>
      </c>
      <c r="C911" s="27">
        <f>IFERROR(IF(ISNUMBER(Datos!C911),Datos!C911/$F$3*100,NA()),NA())</f>
        <v/>
      </c>
    </row>
    <row r="912">
      <c r="A912" s="7">
        <f>IFERROR(Datos!A912,"")</f>
        <v/>
      </c>
      <c r="B912" s="27">
        <f>IFERROR(IF(ISNUMBER(Datos!B912),Datos!B912/$F$2*100,NA()),NA())</f>
        <v/>
      </c>
      <c r="C912" s="27">
        <f>IFERROR(IF(ISNUMBER(Datos!C912),Datos!C912/$F$3*100,NA()),NA())</f>
        <v/>
      </c>
    </row>
    <row r="913">
      <c r="A913" s="7">
        <f>IFERROR(Datos!A913,"")</f>
        <v/>
      </c>
      <c r="B913" s="27">
        <f>IFERROR(IF(ISNUMBER(Datos!B913),Datos!B913/$F$2*100,NA()),NA())</f>
        <v/>
      </c>
      <c r="C913" s="27">
        <f>IFERROR(IF(ISNUMBER(Datos!C913),Datos!C913/$F$3*100,NA()),NA())</f>
        <v/>
      </c>
    </row>
    <row r="914">
      <c r="A914" s="7">
        <f>IFERROR(Datos!A914,"")</f>
        <v/>
      </c>
      <c r="B914" s="27">
        <f>IFERROR(IF(ISNUMBER(Datos!B914),Datos!B914/$F$2*100,NA()),NA())</f>
        <v/>
      </c>
      <c r="C914" s="27">
        <f>IFERROR(IF(ISNUMBER(Datos!C914),Datos!C914/$F$3*100,NA()),NA())</f>
        <v/>
      </c>
    </row>
    <row r="915">
      <c r="A915" s="7">
        <f>IFERROR(Datos!A915,"")</f>
        <v/>
      </c>
      <c r="B915" s="27">
        <f>IFERROR(IF(ISNUMBER(Datos!B915),Datos!B915/$F$2*100,NA()),NA())</f>
        <v/>
      </c>
      <c r="C915" s="27">
        <f>IFERROR(IF(ISNUMBER(Datos!C915),Datos!C915/$F$3*100,NA()),NA())</f>
        <v/>
      </c>
    </row>
    <row r="916">
      <c r="A916" s="7">
        <f>IFERROR(Datos!A916,"")</f>
        <v/>
      </c>
      <c r="B916" s="27">
        <f>IFERROR(IF(ISNUMBER(Datos!B916),Datos!B916/$F$2*100,NA()),NA())</f>
        <v/>
      </c>
      <c r="C916" s="27">
        <f>IFERROR(IF(ISNUMBER(Datos!C916),Datos!C916/$F$3*100,NA()),NA())</f>
        <v/>
      </c>
    </row>
    <row r="917">
      <c r="A917" s="7">
        <f>IFERROR(Datos!A917,"")</f>
        <v/>
      </c>
      <c r="B917" s="27">
        <f>IFERROR(IF(ISNUMBER(Datos!B917),Datos!B917/$F$2*100,NA()),NA())</f>
        <v/>
      </c>
      <c r="C917" s="27">
        <f>IFERROR(IF(ISNUMBER(Datos!C917),Datos!C917/$F$3*100,NA()),NA())</f>
        <v/>
      </c>
    </row>
    <row r="918">
      <c r="A918" s="7">
        <f>IFERROR(Datos!A918,"")</f>
        <v/>
      </c>
      <c r="B918" s="27">
        <f>IFERROR(IF(ISNUMBER(Datos!B918),Datos!B918/$F$2*100,NA()),NA())</f>
        <v/>
      </c>
      <c r="C918" s="27">
        <f>IFERROR(IF(ISNUMBER(Datos!C918),Datos!C918/$F$3*100,NA()),NA())</f>
        <v/>
      </c>
    </row>
    <row r="919">
      <c r="A919" s="7">
        <f>IFERROR(Datos!A919,"")</f>
        <v/>
      </c>
      <c r="B919" s="27">
        <f>IFERROR(IF(ISNUMBER(Datos!B919),Datos!B919/$F$2*100,NA()),NA())</f>
        <v/>
      </c>
      <c r="C919" s="27">
        <f>IFERROR(IF(ISNUMBER(Datos!C919),Datos!C919/$F$3*100,NA()),NA())</f>
        <v/>
      </c>
    </row>
    <row r="920">
      <c r="A920" s="7">
        <f>IFERROR(Datos!A920,"")</f>
        <v/>
      </c>
      <c r="B920" s="27">
        <f>IFERROR(IF(ISNUMBER(Datos!B920),Datos!B920/$F$2*100,NA()),NA())</f>
        <v/>
      </c>
      <c r="C920" s="27">
        <f>IFERROR(IF(ISNUMBER(Datos!C920),Datos!C920/$F$3*100,NA()),NA())</f>
        <v/>
      </c>
    </row>
    <row r="921">
      <c r="A921" s="7">
        <f>IFERROR(Datos!A921,"")</f>
        <v/>
      </c>
      <c r="B921" s="27">
        <f>IFERROR(IF(ISNUMBER(Datos!B921),Datos!B921/$F$2*100,NA()),NA())</f>
        <v/>
      </c>
      <c r="C921" s="27">
        <f>IFERROR(IF(ISNUMBER(Datos!C921),Datos!C921/$F$3*100,NA()),NA())</f>
        <v/>
      </c>
    </row>
    <row r="922">
      <c r="A922" s="7">
        <f>IFERROR(Datos!A922,"")</f>
        <v/>
      </c>
      <c r="B922" s="27">
        <f>IFERROR(IF(ISNUMBER(Datos!B922),Datos!B922/$F$2*100,NA()),NA())</f>
        <v/>
      </c>
      <c r="C922" s="27">
        <f>IFERROR(IF(ISNUMBER(Datos!C922),Datos!C922/$F$3*100,NA()),NA())</f>
        <v/>
      </c>
    </row>
    <row r="923">
      <c r="A923" s="7">
        <f>IFERROR(Datos!A923,"")</f>
        <v/>
      </c>
      <c r="B923" s="27">
        <f>IFERROR(IF(ISNUMBER(Datos!B923),Datos!B923/$F$2*100,NA()),NA())</f>
        <v/>
      </c>
      <c r="C923" s="27">
        <f>IFERROR(IF(ISNUMBER(Datos!C923),Datos!C923/$F$3*100,NA()),NA())</f>
        <v/>
      </c>
    </row>
    <row r="924">
      <c r="A924" s="7">
        <f>IFERROR(Datos!A924,"")</f>
        <v/>
      </c>
      <c r="B924" s="27">
        <f>IFERROR(IF(ISNUMBER(Datos!B924),Datos!B924/$F$2*100,NA()),NA())</f>
        <v/>
      </c>
      <c r="C924" s="27">
        <f>IFERROR(IF(ISNUMBER(Datos!C924),Datos!C924/$F$3*100,NA()),NA())</f>
        <v/>
      </c>
    </row>
    <row r="925">
      <c r="A925" s="7">
        <f>IFERROR(Datos!A925,"")</f>
        <v/>
      </c>
      <c r="B925" s="27">
        <f>IFERROR(IF(ISNUMBER(Datos!B925),Datos!B925/$F$2*100,NA()),NA())</f>
        <v/>
      </c>
      <c r="C925" s="27">
        <f>IFERROR(IF(ISNUMBER(Datos!C925),Datos!C925/$F$3*100,NA()),NA())</f>
        <v/>
      </c>
    </row>
    <row r="926">
      <c r="A926" s="7">
        <f>IFERROR(Datos!A926,"")</f>
        <v/>
      </c>
      <c r="B926" s="27">
        <f>IFERROR(IF(ISNUMBER(Datos!B926),Datos!B926/$F$2*100,NA()),NA())</f>
        <v/>
      </c>
      <c r="C926" s="27">
        <f>IFERROR(IF(ISNUMBER(Datos!C926),Datos!C926/$F$3*100,NA()),NA())</f>
        <v/>
      </c>
    </row>
    <row r="927">
      <c r="A927" s="7">
        <f>IFERROR(Datos!A927,"")</f>
        <v/>
      </c>
      <c r="B927" s="27">
        <f>IFERROR(IF(ISNUMBER(Datos!B927),Datos!B927/$F$2*100,NA()),NA())</f>
        <v/>
      </c>
      <c r="C927" s="27">
        <f>IFERROR(IF(ISNUMBER(Datos!C927),Datos!C927/$F$3*100,NA()),NA())</f>
        <v/>
      </c>
    </row>
    <row r="928">
      <c r="A928" s="7">
        <f>IFERROR(Datos!A928,"")</f>
        <v/>
      </c>
      <c r="B928" s="27">
        <f>IFERROR(IF(ISNUMBER(Datos!B928),Datos!B928/$F$2*100,NA()),NA())</f>
        <v/>
      </c>
      <c r="C928" s="27">
        <f>IFERROR(IF(ISNUMBER(Datos!C928),Datos!C928/$F$3*100,NA()),NA())</f>
        <v/>
      </c>
    </row>
    <row r="929">
      <c r="A929" s="7">
        <f>IFERROR(Datos!A929,"")</f>
        <v/>
      </c>
      <c r="B929" s="27">
        <f>IFERROR(IF(ISNUMBER(Datos!B929),Datos!B929/$F$2*100,NA()),NA())</f>
        <v/>
      </c>
      <c r="C929" s="27">
        <f>IFERROR(IF(ISNUMBER(Datos!C929),Datos!C929/$F$3*100,NA()),NA())</f>
        <v/>
      </c>
    </row>
    <row r="930">
      <c r="A930" s="7">
        <f>IFERROR(Datos!A930,"")</f>
        <v/>
      </c>
      <c r="B930" s="27">
        <f>IFERROR(IF(ISNUMBER(Datos!B930),Datos!B930/$F$2*100,NA()),NA())</f>
        <v/>
      </c>
      <c r="C930" s="27">
        <f>IFERROR(IF(ISNUMBER(Datos!C930),Datos!C930/$F$3*100,NA()),NA())</f>
        <v/>
      </c>
    </row>
    <row r="931">
      <c r="A931" s="7">
        <f>IFERROR(Datos!A931,"")</f>
        <v/>
      </c>
      <c r="B931" s="27">
        <f>IFERROR(IF(ISNUMBER(Datos!B931),Datos!B931/$F$2*100,NA()),NA())</f>
        <v/>
      </c>
      <c r="C931" s="27">
        <f>IFERROR(IF(ISNUMBER(Datos!C931),Datos!C931/$F$3*100,NA()),NA())</f>
        <v/>
      </c>
    </row>
    <row r="932">
      <c r="A932" s="7">
        <f>IFERROR(Datos!A932,"")</f>
        <v/>
      </c>
      <c r="B932" s="27">
        <f>IFERROR(IF(ISNUMBER(Datos!B932),Datos!B932/$F$2*100,NA()),NA())</f>
        <v/>
      </c>
      <c r="C932" s="27">
        <f>IFERROR(IF(ISNUMBER(Datos!C932),Datos!C932/$F$3*100,NA()),NA())</f>
        <v/>
      </c>
    </row>
    <row r="933">
      <c r="A933" s="7">
        <f>IFERROR(Datos!A933,"")</f>
        <v/>
      </c>
      <c r="B933" s="27">
        <f>IFERROR(IF(ISNUMBER(Datos!B933),Datos!B933/$F$2*100,NA()),NA())</f>
        <v/>
      </c>
      <c r="C933" s="27">
        <f>IFERROR(IF(ISNUMBER(Datos!C933),Datos!C933/$F$3*100,NA()),NA())</f>
        <v/>
      </c>
    </row>
    <row r="934">
      <c r="A934" s="7">
        <f>IFERROR(Datos!A934,"")</f>
        <v/>
      </c>
      <c r="B934" s="27">
        <f>IFERROR(IF(ISNUMBER(Datos!B934),Datos!B934/$F$2*100,NA()),NA())</f>
        <v/>
      </c>
      <c r="C934" s="27">
        <f>IFERROR(IF(ISNUMBER(Datos!C934),Datos!C934/$F$3*100,NA()),NA())</f>
        <v/>
      </c>
    </row>
    <row r="935">
      <c r="A935" s="7">
        <f>IFERROR(Datos!A935,"")</f>
        <v/>
      </c>
      <c r="B935" s="27">
        <f>IFERROR(IF(ISNUMBER(Datos!B935),Datos!B935/$F$2*100,NA()),NA())</f>
        <v/>
      </c>
      <c r="C935" s="27">
        <f>IFERROR(IF(ISNUMBER(Datos!C935),Datos!C935/$F$3*100,NA()),NA())</f>
        <v/>
      </c>
    </row>
    <row r="936">
      <c r="A936" s="7">
        <f>IFERROR(Datos!A936,"")</f>
        <v/>
      </c>
      <c r="B936" s="27">
        <f>IFERROR(IF(ISNUMBER(Datos!B936),Datos!B936/$F$2*100,NA()),NA())</f>
        <v/>
      </c>
      <c r="C936" s="27">
        <f>IFERROR(IF(ISNUMBER(Datos!C936),Datos!C936/$F$3*100,NA()),NA())</f>
        <v/>
      </c>
    </row>
    <row r="937">
      <c r="A937" s="7">
        <f>IFERROR(Datos!A937,"")</f>
        <v/>
      </c>
      <c r="B937" s="27">
        <f>IFERROR(IF(ISNUMBER(Datos!B937),Datos!B937/$F$2*100,NA()),NA())</f>
        <v/>
      </c>
      <c r="C937" s="27">
        <f>IFERROR(IF(ISNUMBER(Datos!C937),Datos!C937/$F$3*100,NA()),NA())</f>
        <v/>
      </c>
    </row>
    <row r="938">
      <c r="A938" s="7">
        <f>IFERROR(Datos!A938,"")</f>
        <v/>
      </c>
      <c r="B938" s="27">
        <f>IFERROR(IF(ISNUMBER(Datos!B938),Datos!B938/$F$2*100,NA()),NA())</f>
        <v/>
      </c>
      <c r="C938" s="27">
        <f>IFERROR(IF(ISNUMBER(Datos!C938),Datos!C938/$F$3*100,NA()),NA())</f>
        <v/>
      </c>
    </row>
    <row r="939">
      <c r="A939" s="7">
        <f>IFERROR(Datos!A939,"")</f>
        <v/>
      </c>
      <c r="B939" s="27">
        <f>IFERROR(IF(ISNUMBER(Datos!B939),Datos!B939/$F$2*100,NA()),NA())</f>
        <v/>
      </c>
      <c r="C939" s="27">
        <f>IFERROR(IF(ISNUMBER(Datos!C939),Datos!C939/$F$3*100,NA()),NA())</f>
        <v/>
      </c>
    </row>
    <row r="940">
      <c r="A940" s="7">
        <f>IFERROR(Datos!A940,"")</f>
        <v/>
      </c>
      <c r="B940" s="27">
        <f>IFERROR(IF(ISNUMBER(Datos!B940),Datos!B940/$F$2*100,NA()),NA())</f>
        <v/>
      </c>
      <c r="C940" s="27">
        <f>IFERROR(IF(ISNUMBER(Datos!C940),Datos!C940/$F$3*100,NA()),NA())</f>
        <v/>
      </c>
    </row>
    <row r="941">
      <c r="A941" s="7">
        <f>IFERROR(Datos!A941,"")</f>
        <v/>
      </c>
      <c r="B941" s="27">
        <f>IFERROR(IF(ISNUMBER(Datos!B941),Datos!B941/$F$2*100,NA()),NA())</f>
        <v/>
      </c>
      <c r="C941" s="27">
        <f>IFERROR(IF(ISNUMBER(Datos!C941),Datos!C941/$F$3*100,NA()),NA())</f>
        <v/>
      </c>
    </row>
    <row r="942">
      <c r="A942" s="7">
        <f>IFERROR(Datos!A942,"")</f>
        <v/>
      </c>
      <c r="B942" s="27">
        <f>IFERROR(IF(ISNUMBER(Datos!B942),Datos!B942/$F$2*100,NA()),NA())</f>
        <v/>
      </c>
      <c r="C942" s="27">
        <f>IFERROR(IF(ISNUMBER(Datos!C942),Datos!C942/$F$3*100,NA()),NA())</f>
        <v/>
      </c>
    </row>
    <row r="943">
      <c r="A943" s="7">
        <f>IFERROR(Datos!A943,"")</f>
        <v/>
      </c>
      <c r="B943" s="27">
        <f>IFERROR(IF(ISNUMBER(Datos!B943),Datos!B943/$F$2*100,NA()),NA())</f>
        <v/>
      </c>
      <c r="C943" s="27">
        <f>IFERROR(IF(ISNUMBER(Datos!C943),Datos!C943/$F$3*100,NA()),NA())</f>
        <v/>
      </c>
    </row>
    <row r="944">
      <c r="A944" s="7">
        <f>IFERROR(Datos!A944,"")</f>
        <v/>
      </c>
      <c r="B944" s="27">
        <f>IFERROR(IF(ISNUMBER(Datos!B944),Datos!B944/$F$2*100,NA()),NA())</f>
        <v/>
      </c>
      <c r="C944" s="27">
        <f>IFERROR(IF(ISNUMBER(Datos!C944),Datos!C944/$F$3*100,NA()),NA())</f>
        <v/>
      </c>
    </row>
    <row r="945">
      <c r="A945" s="7">
        <f>IFERROR(Datos!A945,"")</f>
        <v/>
      </c>
      <c r="B945" s="27">
        <f>IFERROR(IF(ISNUMBER(Datos!B945),Datos!B945/$F$2*100,NA()),NA())</f>
        <v/>
      </c>
      <c r="C945" s="27">
        <f>IFERROR(IF(ISNUMBER(Datos!C945),Datos!C945/$F$3*100,NA()),NA())</f>
        <v/>
      </c>
    </row>
    <row r="946">
      <c r="A946" s="7">
        <f>IFERROR(Datos!A946,"")</f>
        <v/>
      </c>
      <c r="B946" s="27">
        <f>IFERROR(IF(ISNUMBER(Datos!B946),Datos!B946/$F$2*100,NA()),NA())</f>
        <v/>
      </c>
      <c r="C946" s="27">
        <f>IFERROR(IF(ISNUMBER(Datos!C946),Datos!C946/$F$3*100,NA()),NA())</f>
        <v/>
      </c>
    </row>
    <row r="947">
      <c r="A947" s="7">
        <f>IFERROR(Datos!A947,"")</f>
        <v/>
      </c>
      <c r="B947" s="27">
        <f>IFERROR(IF(ISNUMBER(Datos!B947),Datos!B947/$F$2*100,NA()),NA())</f>
        <v/>
      </c>
      <c r="C947" s="27">
        <f>IFERROR(IF(ISNUMBER(Datos!C947),Datos!C947/$F$3*100,NA()),NA())</f>
        <v/>
      </c>
    </row>
    <row r="948">
      <c r="A948" s="7">
        <f>IFERROR(Datos!A948,"")</f>
        <v/>
      </c>
      <c r="B948" s="27">
        <f>IFERROR(IF(ISNUMBER(Datos!B948),Datos!B948/$F$2*100,NA()),NA())</f>
        <v/>
      </c>
      <c r="C948" s="27">
        <f>IFERROR(IF(ISNUMBER(Datos!C948),Datos!C948/$F$3*100,NA()),NA())</f>
        <v/>
      </c>
    </row>
    <row r="949">
      <c r="A949" s="7">
        <f>IFERROR(Datos!A949,"")</f>
        <v/>
      </c>
      <c r="B949" s="27">
        <f>IFERROR(IF(ISNUMBER(Datos!B949),Datos!B949/$F$2*100,NA()),NA())</f>
        <v/>
      </c>
      <c r="C949" s="27">
        <f>IFERROR(IF(ISNUMBER(Datos!C949),Datos!C949/$F$3*100,NA()),NA())</f>
        <v/>
      </c>
    </row>
    <row r="950">
      <c r="A950" s="7">
        <f>IFERROR(Datos!A950,"")</f>
        <v/>
      </c>
      <c r="B950" s="27">
        <f>IFERROR(IF(ISNUMBER(Datos!B950),Datos!B950/$F$2*100,NA()),NA())</f>
        <v/>
      </c>
      <c r="C950" s="27">
        <f>IFERROR(IF(ISNUMBER(Datos!C950),Datos!C950/$F$3*100,NA()),NA())</f>
        <v/>
      </c>
    </row>
    <row r="951">
      <c r="A951" s="7">
        <f>IFERROR(Datos!A951,"")</f>
        <v/>
      </c>
      <c r="B951" s="27">
        <f>IFERROR(IF(ISNUMBER(Datos!B951),Datos!B951/$F$2*100,NA()),NA())</f>
        <v/>
      </c>
      <c r="C951" s="27">
        <f>IFERROR(IF(ISNUMBER(Datos!C951),Datos!C951/$F$3*100,NA()),NA())</f>
        <v/>
      </c>
    </row>
    <row r="952">
      <c r="A952" s="7">
        <f>IFERROR(Datos!A952,"")</f>
        <v/>
      </c>
      <c r="B952" s="27">
        <f>IFERROR(IF(ISNUMBER(Datos!B952),Datos!B952/$F$2*100,NA()),NA())</f>
        <v/>
      </c>
      <c r="C952" s="27">
        <f>IFERROR(IF(ISNUMBER(Datos!C952),Datos!C952/$F$3*100,NA()),NA())</f>
        <v/>
      </c>
    </row>
    <row r="953">
      <c r="A953" s="7">
        <f>IFERROR(Datos!A953,"")</f>
        <v/>
      </c>
      <c r="B953" s="27">
        <f>IFERROR(IF(ISNUMBER(Datos!B953),Datos!B953/$F$2*100,NA()),NA())</f>
        <v/>
      </c>
      <c r="C953" s="27">
        <f>IFERROR(IF(ISNUMBER(Datos!C953),Datos!C953/$F$3*100,NA()),NA())</f>
        <v/>
      </c>
    </row>
    <row r="954">
      <c r="A954" s="7">
        <f>IFERROR(Datos!A954,"")</f>
        <v/>
      </c>
      <c r="B954" s="27">
        <f>IFERROR(IF(ISNUMBER(Datos!B954),Datos!B954/$F$2*100,NA()),NA())</f>
        <v/>
      </c>
      <c r="C954" s="27">
        <f>IFERROR(IF(ISNUMBER(Datos!C954),Datos!C954/$F$3*100,NA()),NA())</f>
        <v/>
      </c>
    </row>
    <row r="955">
      <c r="A955" s="7">
        <f>IFERROR(Datos!A955,"")</f>
        <v/>
      </c>
      <c r="B955" s="27">
        <f>IFERROR(IF(ISNUMBER(Datos!B955),Datos!B955/$F$2*100,NA()),NA())</f>
        <v/>
      </c>
      <c r="C955" s="27">
        <f>IFERROR(IF(ISNUMBER(Datos!C955),Datos!C955/$F$3*100,NA()),NA())</f>
        <v/>
      </c>
    </row>
    <row r="956">
      <c r="A956" s="7">
        <f>IFERROR(Datos!A956,"")</f>
        <v/>
      </c>
      <c r="B956" s="27">
        <f>IFERROR(IF(ISNUMBER(Datos!B956),Datos!B956/$F$2*100,NA()),NA())</f>
        <v/>
      </c>
      <c r="C956" s="27">
        <f>IFERROR(IF(ISNUMBER(Datos!C956),Datos!C956/$F$3*100,NA()),NA())</f>
        <v/>
      </c>
    </row>
    <row r="957">
      <c r="A957" s="7">
        <f>IFERROR(Datos!A957,"")</f>
        <v/>
      </c>
      <c r="B957" s="27">
        <f>IFERROR(IF(ISNUMBER(Datos!B957),Datos!B957/$F$2*100,NA()),NA())</f>
        <v/>
      </c>
      <c r="C957" s="27">
        <f>IFERROR(IF(ISNUMBER(Datos!C957),Datos!C957/$F$3*100,NA()),NA())</f>
        <v/>
      </c>
    </row>
    <row r="958">
      <c r="A958" s="7">
        <f>IFERROR(Datos!A958,"")</f>
        <v/>
      </c>
      <c r="B958" s="27">
        <f>IFERROR(IF(ISNUMBER(Datos!B958),Datos!B958/$F$2*100,NA()),NA())</f>
        <v/>
      </c>
      <c r="C958" s="27">
        <f>IFERROR(IF(ISNUMBER(Datos!C958),Datos!C958/$F$3*100,NA()),NA())</f>
        <v/>
      </c>
    </row>
    <row r="959">
      <c r="A959" s="7">
        <f>IFERROR(Datos!A959,"")</f>
        <v/>
      </c>
      <c r="B959" s="27">
        <f>IFERROR(IF(ISNUMBER(Datos!B959),Datos!B959/$F$2*100,NA()),NA())</f>
        <v/>
      </c>
      <c r="C959" s="27">
        <f>IFERROR(IF(ISNUMBER(Datos!C959),Datos!C959/$F$3*100,NA()),NA())</f>
        <v/>
      </c>
    </row>
    <row r="960">
      <c r="A960" s="7">
        <f>IFERROR(Datos!A960,"")</f>
        <v/>
      </c>
      <c r="B960" s="27">
        <f>IFERROR(IF(ISNUMBER(Datos!B960),Datos!B960/$F$2*100,NA()),NA())</f>
        <v/>
      </c>
      <c r="C960" s="27">
        <f>IFERROR(IF(ISNUMBER(Datos!C960),Datos!C960/$F$3*100,NA()),NA())</f>
        <v/>
      </c>
    </row>
    <row r="961">
      <c r="A961" s="7">
        <f>IFERROR(Datos!A961,"")</f>
        <v/>
      </c>
      <c r="B961" s="27">
        <f>IFERROR(IF(ISNUMBER(Datos!B961),Datos!B961/$F$2*100,NA()),NA())</f>
        <v/>
      </c>
      <c r="C961" s="27">
        <f>IFERROR(IF(ISNUMBER(Datos!C961),Datos!C961/$F$3*100,NA()),NA())</f>
        <v/>
      </c>
    </row>
    <row r="962">
      <c r="A962" s="7">
        <f>IFERROR(Datos!A962,"")</f>
        <v/>
      </c>
      <c r="B962" s="27">
        <f>IFERROR(IF(ISNUMBER(Datos!B962),Datos!B962/$F$2*100,NA()),NA())</f>
        <v/>
      </c>
      <c r="C962" s="27">
        <f>IFERROR(IF(ISNUMBER(Datos!C962),Datos!C962/$F$3*100,NA()),NA())</f>
        <v/>
      </c>
    </row>
    <row r="963">
      <c r="A963" s="7">
        <f>IFERROR(Datos!A963,"")</f>
        <v/>
      </c>
      <c r="B963" s="27">
        <f>IFERROR(IF(ISNUMBER(Datos!B963),Datos!B963/$F$2*100,NA()),NA())</f>
        <v/>
      </c>
      <c r="C963" s="27">
        <f>IFERROR(IF(ISNUMBER(Datos!C963),Datos!C963/$F$3*100,NA()),NA())</f>
        <v/>
      </c>
    </row>
    <row r="964">
      <c r="A964" s="7">
        <f>IFERROR(Datos!A964,"")</f>
        <v/>
      </c>
      <c r="B964" s="27">
        <f>IFERROR(IF(ISNUMBER(Datos!B964),Datos!B964/$F$2*100,NA()),NA())</f>
        <v/>
      </c>
      <c r="C964" s="27">
        <f>IFERROR(IF(ISNUMBER(Datos!C964),Datos!C964/$F$3*100,NA()),NA())</f>
        <v/>
      </c>
    </row>
    <row r="965">
      <c r="A965" s="7">
        <f>IFERROR(Datos!A965,"")</f>
        <v/>
      </c>
      <c r="B965" s="27">
        <f>IFERROR(IF(ISNUMBER(Datos!B965),Datos!B965/$F$2*100,NA()),NA())</f>
        <v/>
      </c>
      <c r="C965" s="27">
        <f>IFERROR(IF(ISNUMBER(Datos!C965),Datos!C965/$F$3*100,NA()),NA())</f>
        <v/>
      </c>
    </row>
    <row r="966">
      <c r="A966" s="7">
        <f>IFERROR(Datos!A966,"")</f>
        <v/>
      </c>
      <c r="B966" s="27">
        <f>IFERROR(IF(ISNUMBER(Datos!B966),Datos!B966/$F$2*100,NA()),NA())</f>
        <v/>
      </c>
      <c r="C966" s="27">
        <f>IFERROR(IF(ISNUMBER(Datos!C966),Datos!C966/$F$3*100,NA()),NA())</f>
        <v/>
      </c>
    </row>
    <row r="967">
      <c r="A967" s="7">
        <f>IFERROR(Datos!A967,"")</f>
        <v/>
      </c>
      <c r="B967" s="27">
        <f>IFERROR(IF(ISNUMBER(Datos!B967),Datos!B967/$F$2*100,NA()),NA())</f>
        <v/>
      </c>
      <c r="C967" s="27">
        <f>IFERROR(IF(ISNUMBER(Datos!C967),Datos!C967/$F$3*100,NA()),NA())</f>
        <v/>
      </c>
    </row>
    <row r="968">
      <c r="A968" s="7">
        <f>IFERROR(Datos!A968,"")</f>
        <v/>
      </c>
      <c r="B968" s="27">
        <f>IFERROR(IF(ISNUMBER(Datos!B968),Datos!B968/$F$2*100,NA()),NA())</f>
        <v/>
      </c>
      <c r="C968" s="27">
        <f>IFERROR(IF(ISNUMBER(Datos!C968),Datos!C968/$F$3*100,NA()),NA())</f>
        <v/>
      </c>
    </row>
    <row r="969">
      <c r="A969" s="7">
        <f>IFERROR(Datos!A969,"")</f>
        <v/>
      </c>
      <c r="B969" s="27">
        <f>IFERROR(IF(ISNUMBER(Datos!B969),Datos!B969/$F$2*100,NA()),NA())</f>
        <v/>
      </c>
      <c r="C969" s="27">
        <f>IFERROR(IF(ISNUMBER(Datos!C969),Datos!C969/$F$3*100,NA()),NA())</f>
        <v/>
      </c>
    </row>
    <row r="970">
      <c r="A970" s="7">
        <f>IFERROR(Datos!A970,"")</f>
        <v/>
      </c>
      <c r="B970" s="27">
        <f>IFERROR(IF(ISNUMBER(Datos!B970),Datos!B970/$F$2*100,NA()),NA())</f>
        <v/>
      </c>
      <c r="C970" s="27">
        <f>IFERROR(IF(ISNUMBER(Datos!C970),Datos!C970/$F$3*100,NA()),NA())</f>
        <v/>
      </c>
    </row>
    <row r="971">
      <c r="A971" s="7">
        <f>IFERROR(Datos!A971,"")</f>
        <v/>
      </c>
      <c r="B971" s="27">
        <f>IFERROR(IF(ISNUMBER(Datos!B971),Datos!B971/$F$2*100,NA()),NA())</f>
        <v/>
      </c>
      <c r="C971" s="27">
        <f>IFERROR(IF(ISNUMBER(Datos!C971),Datos!C971/$F$3*100,NA()),NA())</f>
        <v/>
      </c>
    </row>
    <row r="972">
      <c r="A972" s="7">
        <f>IFERROR(Datos!A972,"")</f>
        <v/>
      </c>
      <c r="B972" s="27">
        <f>IFERROR(IF(ISNUMBER(Datos!B972),Datos!B972/$F$2*100,NA()),NA())</f>
        <v/>
      </c>
      <c r="C972" s="27">
        <f>IFERROR(IF(ISNUMBER(Datos!C972),Datos!C972/$F$3*100,NA()),NA())</f>
        <v/>
      </c>
    </row>
    <row r="973">
      <c r="A973" s="7">
        <f>IFERROR(Datos!A973,"")</f>
        <v/>
      </c>
      <c r="B973" s="27">
        <f>IFERROR(IF(ISNUMBER(Datos!B973),Datos!B973/$F$2*100,NA()),NA())</f>
        <v/>
      </c>
      <c r="C973" s="27">
        <f>IFERROR(IF(ISNUMBER(Datos!C973),Datos!C973/$F$3*100,NA()),NA())</f>
        <v/>
      </c>
    </row>
    <row r="974">
      <c r="A974" s="7">
        <f>IFERROR(Datos!A974,"")</f>
        <v/>
      </c>
      <c r="B974" s="27">
        <f>IFERROR(IF(ISNUMBER(Datos!B974),Datos!B974/$F$2*100,NA()),NA())</f>
        <v/>
      </c>
      <c r="C974" s="27">
        <f>IFERROR(IF(ISNUMBER(Datos!C974),Datos!C974/$F$3*100,NA()),NA())</f>
        <v/>
      </c>
    </row>
    <row r="975">
      <c r="A975" s="7">
        <f>IFERROR(Datos!A975,"")</f>
        <v/>
      </c>
      <c r="B975" s="27">
        <f>IFERROR(IF(ISNUMBER(Datos!B975),Datos!B975/$F$2*100,NA()),NA())</f>
        <v/>
      </c>
      <c r="C975" s="27">
        <f>IFERROR(IF(ISNUMBER(Datos!C975),Datos!C975/$F$3*100,NA()),NA())</f>
        <v/>
      </c>
    </row>
    <row r="976">
      <c r="A976" s="7">
        <f>IFERROR(Datos!A976,"")</f>
        <v/>
      </c>
      <c r="B976" s="27">
        <f>IFERROR(IF(ISNUMBER(Datos!B976),Datos!B976/$F$2*100,NA()),NA())</f>
        <v/>
      </c>
      <c r="C976" s="27">
        <f>IFERROR(IF(ISNUMBER(Datos!C976),Datos!C976/$F$3*100,NA()),NA())</f>
        <v/>
      </c>
    </row>
    <row r="977">
      <c r="A977" s="7">
        <f>IFERROR(Datos!A977,"")</f>
        <v/>
      </c>
      <c r="B977" s="27">
        <f>IFERROR(IF(ISNUMBER(Datos!B977),Datos!B977/$F$2*100,NA()),NA())</f>
        <v/>
      </c>
      <c r="C977" s="27">
        <f>IFERROR(IF(ISNUMBER(Datos!C977),Datos!C977/$F$3*100,NA()),NA())</f>
        <v/>
      </c>
    </row>
    <row r="978">
      <c r="A978" s="7">
        <f>IFERROR(Datos!A978,"")</f>
        <v/>
      </c>
      <c r="B978" s="27">
        <f>IFERROR(IF(ISNUMBER(Datos!B978),Datos!B978/$F$2*100,NA()),NA())</f>
        <v/>
      </c>
      <c r="C978" s="27">
        <f>IFERROR(IF(ISNUMBER(Datos!C978),Datos!C978/$F$3*100,NA()),NA())</f>
        <v/>
      </c>
    </row>
    <row r="979">
      <c r="A979" s="7">
        <f>IFERROR(Datos!A979,"")</f>
        <v/>
      </c>
      <c r="B979" s="27">
        <f>IFERROR(IF(ISNUMBER(Datos!B979),Datos!B979/$F$2*100,NA()),NA())</f>
        <v/>
      </c>
      <c r="C979" s="27">
        <f>IFERROR(IF(ISNUMBER(Datos!C979),Datos!C979/$F$3*100,NA()),NA())</f>
        <v/>
      </c>
    </row>
    <row r="980">
      <c r="A980" s="7">
        <f>IFERROR(Datos!A980,"")</f>
        <v/>
      </c>
      <c r="B980" s="27">
        <f>IFERROR(IF(ISNUMBER(Datos!B980),Datos!B980/$F$2*100,NA()),NA())</f>
        <v/>
      </c>
      <c r="C980" s="27">
        <f>IFERROR(IF(ISNUMBER(Datos!C980),Datos!C980/$F$3*100,NA()),NA())</f>
        <v/>
      </c>
    </row>
    <row r="981">
      <c r="A981" s="7">
        <f>IFERROR(Datos!A981,"")</f>
        <v/>
      </c>
      <c r="B981" s="27">
        <f>IFERROR(IF(ISNUMBER(Datos!B981),Datos!B981/$F$2*100,NA()),NA())</f>
        <v/>
      </c>
      <c r="C981" s="27">
        <f>IFERROR(IF(ISNUMBER(Datos!C981),Datos!C981/$F$3*100,NA()),NA())</f>
        <v/>
      </c>
    </row>
    <row r="982">
      <c r="A982" s="7">
        <f>IFERROR(Datos!A982,"")</f>
        <v/>
      </c>
      <c r="B982" s="27">
        <f>IFERROR(IF(ISNUMBER(Datos!B982),Datos!B982/$F$2*100,NA()),NA())</f>
        <v/>
      </c>
      <c r="C982" s="27">
        <f>IFERROR(IF(ISNUMBER(Datos!C982),Datos!C982/$F$3*100,NA()),NA())</f>
        <v/>
      </c>
    </row>
    <row r="983">
      <c r="A983" s="7">
        <f>IFERROR(Datos!A983,"")</f>
        <v/>
      </c>
      <c r="B983" s="27">
        <f>IFERROR(IF(ISNUMBER(Datos!B983),Datos!B983/$F$2*100,NA()),NA())</f>
        <v/>
      </c>
      <c r="C983" s="27">
        <f>IFERROR(IF(ISNUMBER(Datos!C983),Datos!C983/$F$3*100,NA()),NA())</f>
        <v/>
      </c>
    </row>
    <row r="984">
      <c r="A984" s="7">
        <f>IFERROR(Datos!A984,"")</f>
        <v/>
      </c>
      <c r="B984" s="27">
        <f>IFERROR(IF(ISNUMBER(Datos!B984),Datos!B984/$F$2*100,NA()),NA())</f>
        <v/>
      </c>
      <c r="C984" s="27">
        <f>IFERROR(IF(ISNUMBER(Datos!C984),Datos!C984/$F$3*100,NA()),NA())</f>
        <v/>
      </c>
    </row>
    <row r="985">
      <c r="A985" s="7">
        <f>IFERROR(Datos!A985,"")</f>
        <v/>
      </c>
      <c r="B985" s="27">
        <f>IFERROR(IF(ISNUMBER(Datos!B985),Datos!B985/$F$2*100,NA()),NA())</f>
        <v/>
      </c>
      <c r="C985" s="27">
        <f>IFERROR(IF(ISNUMBER(Datos!C985),Datos!C985/$F$3*100,NA()),NA())</f>
        <v/>
      </c>
    </row>
    <row r="986">
      <c r="A986" s="7">
        <f>IFERROR(Datos!A986,"")</f>
        <v/>
      </c>
      <c r="B986" s="27">
        <f>IFERROR(IF(ISNUMBER(Datos!B986),Datos!B986/$F$2*100,NA()),NA())</f>
        <v/>
      </c>
      <c r="C986" s="27">
        <f>IFERROR(IF(ISNUMBER(Datos!C986),Datos!C986/$F$3*100,NA()),NA())</f>
        <v/>
      </c>
    </row>
    <row r="987">
      <c r="A987" s="7">
        <f>IFERROR(Datos!A987,"")</f>
        <v/>
      </c>
      <c r="B987" s="27">
        <f>IFERROR(IF(ISNUMBER(Datos!B987),Datos!B987/$F$2*100,NA()),NA())</f>
        <v/>
      </c>
      <c r="C987" s="27">
        <f>IFERROR(IF(ISNUMBER(Datos!C987),Datos!C987/$F$3*100,NA()),NA())</f>
        <v/>
      </c>
    </row>
    <row r="988">
      <c r="A988" s="7">
        <f>IFERROR(Datos!A988,"")</f>
        <v/>
      </c>
      <c r="B988" s="27">
        <f>IFERROR(IF(ISNUMBER(Datos!B988),Datos!B988/$F$2*100,NA()),NA())</f>
        <v/>
      </c>
      <c r="C988" s="27">
        <f>IFERROR(IF(ISNUMBER(Datos!C988),Datos!C988/$F$3*100,NA()),NA())</f>
        <v/>
      </c>
    </row>
    <row r="989">
      <c r="A989" s="7">
        <f>IFERROR(Datos!A989,"")</f>
        <v/>
      </c>
      <c r="B989" s="27">
        <f>IFERROR(IF(ISNUMBER(Datos!B989),Datos!B989/$F$2*100,NA()),NA())</f>
        <v/>
      </c>
      <c r="C989" s="27">
        <f>IFERROR(IF(ISNUMBER(Datos!C989),Datos!C989/$F$3*100,NA()),NA())</f>
        <v/>
      </c>
    </row>
    <row r="990">
      <c r="A990" s="7">
        <f>IFERROR(Datos!A990,"")</f>
        <v/>
      </c>
      <c r="B990" s="27">
        <f>IFERROR(IF(ISNUMBER(Datos!B990),Datos!B990/$F$2*100,NA()),NA())</f>
        <v/>
      </c>
      <c r="C990" s="27">
        <f>IFERROR(IF(ISNUMBER(Datos!C990),Datos!C990/$F$3*100,NA()),NA())</f>
        <v/>
      </c>
    </row>
    <row r="991">
      <c r="A991" s="7">
        <f>IFERROR(Datos!A991,"")</f>
        <v/>
      </c>
      <c r="B991" s="27">
        <f>IFERROR(IF(ISNUMBER(Datos!B991),Datos!B991/$F$2*100,NA()),NA())</f>
        <v/>
      </c>
      <c r="C991" s="27">
        <f>IFERROR(IF(ISNUMBER(Datos!C991),Datos!C991/$F$3*100,NA()),NA())</f>
        <v/>
      </c>
    </row>
    <row r="992">
      <c r="A992" s="7">
        <f>IFERROR(Datos!A992,"")</f>
        <v/>
      </c>
      <c r="B992" s="27">
        <f>IFERROR(IF(ISNUMBER(Datos!B992),Datos!B992/$F$2*100,NA()),NA())</f>
        <v/>
      </c>
      <c r="C992" s="27">
        <f>IFERROR(IF(ISNUMBER(Datos!C992),Datos!C992/$F$3*100,NA()),NA())</f>
        <v/>
      </c>
    </row>
    <row r="993">
      <c r="A993" s="7">
        <f>IFERROR(Datos!A993,"")</f>
        <v/>
      </c>
      <c r="B993" s="27">
        <f>IFERROR(IF(ISNUMBER(Datos!B993),Datos!B993/$F$2*100,NA()),NA())</f>
        <v/>
      </c>
      <c r="C993" s="27">
        <f>IFERROR(IF(ISNUMBER(Datos!C993),Datos!C993/$F$3*100,NA()),NA())</f>
        <v/>
      </c>
    </row>
    <row r="994">
      <c r="A994" s="7">
        <f>IFERROR(Datos!A994,"")</f>
        <v/>
      </c>
      <c r="B994" s="27">
        <f>IFERROR(IF(ISNUMBER(Datos!B994),Datos!B994/$F$2*100,NA()),NA())</f>
        <v/>
      </c>
      <c r="C994" s="27">
        <f>IFERROR(IF(ISNUMBER(Datos!C994),Datos!C994/$F$3*100,NA()),NA())</f>
        <v/>
      </c>
    </row>
    <row r="995">
      <c r="A995" s="7">
        <f>IFERROR(Datos!A995,"")</f>
        <v/>
      </c>
      <c r="B995" s="27">
        <f>IFERROR(IF(ISNUMBER(Datos!B995),Datos!B995/$F$2*100,NA()),NA())</f>
        <v/>
      </c>
      <c r="C995" s="27">
        <f>IFERROR(IF(ISNUMBER(Datos!C995),Datos!C995/$F$3*100,NA()),NA())</f>
        <v/>
      </c>
    </row>
    <row r="996">
      <c r="A996" s="7">
        <f>IFERROR(Datos!A996,"")</f>
        <v/>
      </c>
      <c r="B996" s="27">
        <f>IFERROR(IF(ISNUMBER(Datos!B996),Datos!B996/$F$2*100,NA()),NA())</f>
        <v/>
      </c>
      <c r="C996" s="27">
        <f>IFERROR(IF(ISNUMBER(Datos!C996),Datos!C996/$F$3*100,NA()),NA())</f>
        <v/>
      </c>
    </row>
    <row r="997">
      <c r="A997" s="7">
        <f>IFERROR(Datos!A997,"")</f>
        <v/>
      </c>
      <c r="B997" s="27">
        <f>IFERROR(IF(ISNUMBER(Datos!B997),Datos!B997/$F$2*100,NA()),NA())</f>
        <v/>
      </c>
      <c r="C997" s="27">
        <f>IFERROR(IF(ISNUMBER(Datos!C997),Datos!C997/$F$3*100,NA()),NA())</f>
        <v/>
      </c>
    </row>
    <row r="998">
      <c r="A998" s="7">
        <f>IFERROR(Datos!A998,"")</f>
        <v/>
      </c>
      <c r="B998" s="27">
        <f>IFERROR(IF(ISNUMBER(Datos!B998),Datos!B998/$F$2*100,NA()),NA())</f>
        <v/>
      </c>
      <c r="C998" s="27">
        <f>IFERROR(IF(ISNUMBER(Datos!C998),Datos!C998/$F$3*100,NA()),NA())</f>
        <v/>
      </c>
    </row>
    <row r="999">
      <c r="A999" s="7">
        <f>IFERROR(Datos!A999,"")</f>
        <v/>
      </c>
      <c r="B999" s="27">
        <f>IFERROR(IF(ISNUMBER(Datos!B999),Datos!B999/$F$2*100,NA()),NA())</f>
        <v/>
      </c>
      <c r="C999" s="27">
        <f>IFERROR(IF(ISNUMBER(Datos!C999),Datos!C999/$F$3*100,NA()),NA())</f>
        <v/>
      </c>
    </row>
    <row r="1000">
      <c r="A1000" s="7">
        <f>IFERROR(Datos!A1000,"")</f>
        <v/>
      </c>
      <c r="B1000" s="27">
        <f>IFERROR(IF(ISNUMBER(Datos!B1000),Datos!B1000/$F$2*100,NA()),NA())</f>
        <v/>
      </c>
      <c r="C1000" s="27">
        <f>IFERROR(IF(ISNUMBER(Datos!C1000),Datos!C1000/$F$3*100,NA()),NA())</f>
        <v/>
      </c>
    </row>
    <row r="1001">
      <c r="A1001" s="7">
        <f>IFERROR(Datos!A1001,"")</f>
        <v/>
      </c>
      <c r="B1001" s="27">
        <f>IFERROR(IF(ISNUMBER(Datos!B1001),Datos!B1001/$F$2*100,NA()),NA())</f>
        <v/>
      </c>
      <c r="C1001" s="27">
        <f>IFERROR(IF(ISNUMBER(Datos!C1001),Datos!C1001/$F$3*100,NA()),NA())</f>
        <v/>
      </c>
    </row>
    <row r="1002">
      <c r="A1002" s="7">
        <f>IFERROR(Datos!A1002,"")</f>
        <v/>
      </c>
      <c r="B1002" s="27">
        <f>IFERROR(IF(ISNUMBER(Datos!B1002),Datos!B1002/$F$2*100,NA()),NA())</f>
        <v/>
      </c>
      <c r="C1002" s="27">
        <f>IFERROR(IF(ISNUMBER(Datos!C1002),Datos!C1002/$F$3*100,NA()),NA())</f>
        <v/>
      </c>
    </row>
    <row r="1003">
      <c r="A1003" s="7">
        <f>IFERROR(Datos!A1003,"")</f>
        <v/>
      </c>
      <c r="B1003" s="27">
        <f>IFERROR(IF(ISNUMBER(Datos!B1003),Datos!B1003/$F$2*100,NA()),NA())</f>
        <v/>
      </c>
      <c r="C1003" s="27">
        <f>IFERROR(IF(ISNUMBER(Datos!C1003),Datos!C1003/$F$3*100,NA()),NA())</f>
        <v/>
      </c>
    </row>
    <row r="1004">
      <c r="A1004" s="7">
        <f>IFERROR(Datos!A1004,"")</f>
        <v/>
      </c>
      <c r="B1004" s="27">
        <f>IFERROR(IF(ISNUMBER(Datos!B1004),Datos!B1004/$F$2*100,NA()),NA())</f>
        <v/>
      </c>
      <c r="C1004" s="27">
        <f>IFERROR(IF(ISNUMBER(Datos!C1004),Datos!C1004/$F$3*100,NA()),NA())</f>
        <v/>
      </c>
    </row>
    <row r="1005">
      <c r="A1005" s="7">
        <f>IFERROR(Datos!A1005,"")</f>
        <v/>
      </c>
      <c r="B1005" s="27">
        <f>IFERROR(IF(ISNUMBER(Datos!B1005),Datos!B1005/$F$2*100,NA()),NA())</f>
        <v/>
      </c>
      <c r="C1005" s="27">
        <f>IFERROR(IF(ISNUMBER(Datos!C1005),Datos!C1005/$F$3*100,NA()),NA())</f>
        <v/>
      </c>
    </row>
    <row r="1006">
      <c r="A1006" s="7">
        <f>IFERROR(Datos!A1006,"")</f>
        <v/>
      </c>
      <c r="B1006" s="27">
        <f>IFERROR(IF(ISNUMBER(Datos!B1006),Datos!B1006/$F$2*100,NA()),NA())</f>
        <v/>
      </c>
      <c r="C1006" s="27">
        <f>IFERROR(IF(ISNUMBER(Datos!C1006),Datos!C1006/$F$3*100,NA()),NA())</f>
        <v/>
      </c>
    </row>
    <row r="1007">
      <c r="A1007" s="7">
        <f>IFERROR(Datos!A1007,"")</f>
        <v/>
      </c>
      <c r="B1007" s="27">
        <f>IFERROR(IF(ISNUMBER(Datos!B1007),Datos!B1007/$F$2*100,NA()),NA())</f>
        <v/>
      </c>
      <c r="C1007" s="27">
        <f>IFERROR(IF(ISNUMBER(Datos!C1007),Datos!C1007/$F$3*100,NA()),NA())</f>
        <v/>
      </c>
    </row>
    <row r="1008">
      <c r="A1008" s="7">
        <f>IFERROR(Datos!A1008,"")</f>
        <v/>
      </c>
      <c r="B1008" s="27">
        <f>IFERROR(IF(ISNUMBER(Datos!B1008),Datos!B1008/$F$2*100,NA()),NA())</f>
        <v/>
      </c>
      <c r="C1008" s="27">
        <f>IFERROR(IF(ISNUMBER(Datos!C1008),Datos!C1008/$F$3*100,NA()),NA())</f>
        <v/>
      </c>
    </row>
    <row r="1009">
      <c r="A1009" s="7">
        <f>IFERROR(Datos!A1009,"")</f>
        <v/>
      </c>
      <c r="B1009" s="27">
        <f>IFERROR(IF(ISNUMBER(Datos!B1009),Datos!B1009/$F$2*100,NA()),NA())</f>
        <v/>
      </c>
      <c r="C1009" s="27">
        <f>IFERROR(IF(ISNUMBER(Datos!C1009),Datos!C1009/$F$3*100,NA()),NA())</f>
        <v/>
      </c>
    </row>
    <row r="1010">
      <c r="A1010" s="7">
        <f>IFERROR(Datos!A1010,"")</f>
        <v/>
      </c>
      <c r="B1010" s="27">
        <f>IFERROR(IF(ISNUMBER(Datos!B1010),Datos!B1010/$F$2*100,NA()),NA())</f>
        <v/>
      </c>
      <c r="C1010" s="27">
        <f>IFERROR(IF(ISNUMBER(Datos!C1010),Datos!C1010/$F$3*100,NA()),NA())</f>
        <v/>
      </c>
    </row>
    <row r="1011">
      <c r="A1011" s="7">
        <f>IFERROR(Datos!A1011,"")</f>
        <v/>
      </c>
      <c r="B1011" s="27">
        <f>IFERROR(IF(ISNUMBER(Datos!B1011),Datos!B1011/$F$2*100,NA()),NA())</f>
        <v/>
      </c>
      <c r="C1011" s="27">
        <f>IFERROR(IF(ISNUMBER(Datos!C1011),Datos!C1011/$F$3*100,NA()),NA())</f>
        <v/>
      </c>
    </row>
    <row r="1012">
      <c r="A1012" s="7">
        <f>IFERROR(Datos!A1012,"")</f>
        <v/>
      </c>
      <c r="B1012" s="27">
        <f>IFERROR(IF(ISNUMBER(Datos!B1012),Datos!B1012/$F$2*100,NA()),NA())</f>
        <v/>
      </c>
      <c r="C1012" s="27">
        <f>IFERROR(IF(ISNUMBER(Datos!C1012),Datos!C1012/$F$3*100,NA()),NA())</f>
        <v/>
      </c>
    </row>
    <row r="1013">
      <c r="A1013" s="7">
        <f>IFERROR(Datos!A1013,"")</f>
        <v/>
      </c>
      <c r="B1013" s="27">
        <f>IFERROR(IF(ISNUMBER(Datos!B1013),Datos!B1013/$F$2*100,NA()),NA())</f>
        <v/>
      </c>
      <c r="C1013" s="27">
        <f>IFERROR(IF(ISNUMBER(Datos!C1013),Datos!C1013/$F$3*100,NA()),NA())</f>
        <v/>
      </c>
    </row>
    <row r="1014">
      <c r="A1014" s="7">
        <f>IFERROR(Datos!A1014,"")</f>
        <v/>
      </c>
      <c r="B1014" s="27">
        <f>IFERROR(IF(ISNUMBER(Datos!B1014),Datos!B1014/$F$2*100,NA()),NA())</f>
        <v/>
      </c>
      <c r="C1014" s="27">
        <f>IFERROR(IF(ISNUMBER(Datos!C1014),Datos!C1014/$F$3*100,NA()),NA())</f>
        <v/>
      </c>
    </row>
    <row r="1015">
      <c r="A1015" s="7">
        <f>IFERROR(Datos!A1015,"")</f>
        <v/>
      </c>
      <c r="B1015" s="27">
        <f>IFERROR(IF(ISNUMBER(Datos!B1015),Datos!B1015/$F$2*100,NA()),NA())</f>
        <v/>
      </c>
      <c r="C1015" s="27">
        <f>IFERROR(IF(ISNUMBER(Datos!C1015),Datos!C1015/$F$3*100,NA()),NA())</f>
        <v/>
      </c>
    </row>
    <row r="1016">
      <c r="A1016" s="7">
        <f>IFERROR(Datos!A1016,"")</f>
        <v/>
      </c>
      <c r="B1016" s="27">
        <f>IFERROR(IF(ISNUMBER(Datos!B1016),Datos!B1016/$F$2*100,NA()),NA())</f>
        <v/>
      </c>
      <c r="C1016" s="27">
        <f>IFERROR(IF(ISNUMBER(Datos!C1016),Datos!C1016/$F$3*100,NA()),NA())</f>
        <v/>
      </c>
    </row>
    <row r="1017">
      <c r="A1017" s="7">
        <f>IFERROR(Datos!A1017,"")</f>
        <v/>
      </c>
      <c r="B1017" s="27">
        <f>IFERROR(IF(ISNUMBER(Datos!B1017),Datos!B1017/$F$2*100,NA()),NA())</f>
        <v/>
      </c>
      <c r="C1017" s="27">
        <f>IFERROR(IF(ISNUMBER(Datos!C1017),Datos!C1017/$F$3*100,NA()),NA())</f>
        <v/>
      </c>
    </row>
    <row r="1018">
      <c r="A1018" s="7">
        <f>IFERROR(Datos!A1018,"")</f>
        <v/>
      </c>
      <c r="B1018" s="27">
        <f>IFERROR(IF(ISNUMBER(Datos!B1018),Datos!B1018/$F$2*100,NA()),NA())</f>
        <v/>
      </c>
      <c r="C1018" s="27">
        <f>IFERROR(IF(ISNUMBER(Datos!C1018),Datos!C1018/$F$3*100,NA()),NA())</f>
        <v/>
      </c>
    </row>
    <row r="1019">
      <c r="A1019" s="7">
        <f>IFERROR(Datos!A1019,"")</f>
        <v/>
      </c>
      <c r="B1019" s="27">
        <f>IFERROR(IF(ISNUMBER(Datos!B1019),Datos!B1019/$F$2*100,NA()),NA())</f>
        <v/>
      </c>
      <c r="C1019" s="27">
        <f>IFERROR(IF(ISNUMBER(Datos!C1019),Datos!C1019/$F$3*100,NA()),NA())</f>
        <v/>
      </c>
    </row>
    <row r="1020">
      <c r="A1020" s="7">
        <f>IFERROR(Datos!A1020,"")</f>
        <v/>
      </c>
      <c r="B1020" s="27">
        <f>IFERROR(IF(ISNUMBER(Datos!B1020),Datos!B1020/$F$2*100,NA()),NA())</f>
        <v/>
      </c>
      <c r="C1020" s="27">
        <f>IFERROR(IF(ISNUMBER(Datos!C1020),Datos!C1020/$F$3*100,NA()),NA())</f>
        <v/>
      </c>
    </row>
    <row r="1021">
      <c r="A1021" s="7">
        <f>IFERROR(Datos!A1021,"")</f>
        <v/>
      </c>
      <c r="B1021" s="27">
        <f>IFERROR(IF(ISNUMBER(Datos!B1021),Datos!B1021/$F$2*100,NA()),NA())</f>
        <v/>
      </c>
      <c r="C1021" s="27">
        <f>IFERROR(IF(ISNUMBER(Datos!C1021),Datos!C1021/$F$3*100,NA()),NA())</f>
        <v/>
      </c>
    </row>
    <row r="1022">
      <c r="A1022" s="7">
        <f>IFERROR(Datos!A1022,"")</f>
        <v/>
      </c>
      <c r="B1022" s="27">
        <f>IFERROR(IF(ISNUMBER(Datos!B1022),Datos!B1022/$F$2*100,NA()),NA())</f>
        <v/>
      </c>
      <c r="C1022" s="27">
        <f>IFERROR(IF(ISNUMBER(Datos!C1022),Datos!C1022/$F$3*100,NA()),NA())</f>
        <v/>
      </c>
    </row>
    <row r="1023">
      <c r="A1023" s="7">
        <f>IFERROR(Datos!A1023,"")</f>
        <v/>
      </c>
      <c r="B1023" s="27">
        <f>IFERROR(IF(ISNUMBER(Datos!B1023),Datos!B1023/$F$2*100,NA()),NA())</f>
        <v/>
      </c>
      <c r="C1023" s="27">
        <f>IFERROR(IF(ISNUMBER(Datos!C1023),Datos!C1023/$F$3*100,NA()),NA())</f>
        <v/>
      </c>
    </row>
    <row r="1024">
      <c r="A1024" s="7">
        <f>IFERROR(Datos!A1024,"")</f>
        <v/>
      </c>
      <c r="B1024" s="27">
        <f>IFERROR(IF(ISNUMBER(Datos!B1024),Datos!B1024/$F$2*100,NA()),NA())</f>
        <v/>
      </c>
      <c r="C1024" s="27">
        <f>IFERROR(IF(ISNUMBER(Datos!C1024),Datos!C1024/$F$3*100,NA()),NA())</f>
        <v/>
      </c>
    </row>
    <row r="1025">
      <c r="A1025" s="7">
        <f>IFERROR(Datos!A1025,"")</f>
        <v/>
      </c>
      <c r="B1025" s="27">
        <f>IFERROR(IF(ISNUMBER(Datos!B1025),Datos!B1025/$F$2*100,NA()),NA())</f>
        <v/>
      </c>
      <c r="C1025" s="27">
        <f>IFERROR(IF(ISNUMBER(Datos!C1025),Datos!C1025/$F$3*100,NA()),NA())</f>
        <v/>
      </c>
    </row>
    <row r="1026">
      <c r="A1026" s="7">
        <f>IFERROR(Datos!A1026,"")</f>
        <v/>
      </c>
      <c r="B1026" s="27">
        <f>IFERROR(IF(ISNUMBER(Datos!B1026),Datos!B1026/$F$2*100,NA()),NA())</f>
        <v/>
      </c>
      <c r="C1026" s="27">
        <f>IFERROR(IF(ISNUMBER(Datos!C1026),Datos!C1026/$F$3*100,NA()),NA())</f>
        <v/>
      </c>
    </row>
    <row r="1027">
      <c r="A1027" s="7">
        <f>IFERROR(Datos!A1027,"")</f>
        <v/>
      </c>
      <c r="B1027" s="27">
        <f>IFERROR(IF(ISNUMBER(Datos!B1027),Datos!B1027/$F$2*100,NA()),NA())</f>
        <v/>
      </c>
      <c r="C1027" s="27">
        <f>IFERROR(IF(ISNUMBER(Datos!C1027),Datos!C1027/$F$3*100,NA()),NA())</f>
        <v/>
      </c>
    </row>
    <row r="1028">
      <c r="A1028" s="7">
        <f>IFERROR(Datos!A1028,"")</f>
        <v/>
      </c>
      <c r="B1028" s="27">
        <f>IFERROR(IF(ISNUMBER(Datos!B1028),Datos!B1028/$F$2*100,NA()),NA())</f>
        <v/>
      </c>
      <c r="C1028" s="27">
        <f>IFERROR(IF(ISNUMBER(Datos!C1028),Datos!C1028/$F$3*100,NA()),NA())</f>
        <v/>
      </c>
    </row>
    <row r="1029">
      <c r="A1029" s="7">
        <f>IFERROR(Datos!A1029,"")</f>
        <v/>
      </c>
      <c r="B1029" s="27">
        <f>IFERROR(IF(ISNUMBER(Datos!B1029),Datos!B1029/$F$2*100,NA()),NA())</f>
        <v/>
      </c>
      <c r="C1029" s="27">
        <f>IFERROR(IF(ISNUMBER(Datos!C1029),Datos!C1029/$F$3*100,NA()),NA())</f>
        <v/>
      </c>
    </row>
    <row r="1030">
      <c r="A1030" s="7">
        <f>IFERROR(Datos!A1030,"")</f>
        <v/>
      </c>
      <c r="B1030" s="27">
        <f>IFERROR(IF(ISNUMBER(Datos!B1030),Datos!B1030/$F$2*100,NA()),NA())</f>
        <v/>
      </c>
      <c r="C1030" s="27">
        <f>IFERROR(IF(ISNUMBER(Datos!C1030),Datos!C1030/$F$3*100,NA()),NA())</f>
        <v/>
      </c>
    </row>
    <row r="1031">
      <c r="A1031" s="7">
        <f>IFERROR(Datos!A1031,"")</f>
        <v/>
      </c>
      <c r="B1031" s="27">
        <f>IFERROR(IF(ISNUMBER(Datos!B1031),Datos!B1031/$F$2*100,NA()),NA())</f>
        <v/>
      </c>
      <c r="C1031" s="27">
        <f>IFERROR(IF(ISNUMBER(Datos!C1031),Datos!C1031/$F$3*100,NA()),NA())</f>
        <v/>
      </c>
    </row>
    <row r="1032">
      <c r="A1032" s="7">
        <f>IFERROR(Datos!A1032,"")</f>
        <v/>
      </c>
      <c r="B1032" s="27">
        <f>IFERROR(IF(ISNUMBER(Datos!B1032),Datos!B1032/$F$2*100,NA()),NA())</f>
        <v/>
      </c>
      <c r="C1032" s="27">
        <f>IFERROR(IF(ISNUMBER(Datos!C1032),Datos!C1032/$F$3*100,NA()),NA())</f>
        <v/>
      </c>
    </row>
    <row r="1033">
      <c r="A1033" s="7">
        <f>IFERROR(Datos!A1033,"")</f>
        <v/>
      </c>
      <c r="B1033" s="27">
        <f>IFERROR(IF(ISNUMBER(Datos!B1033),Datos!B1033/$F$2*100,NA()),NA())</f>
        <v/>
      </c>
      <c r="C1033" s="27">
        <f>IFERROR(IF(ISNUMBER(Datos!C1033),Datos!C1033/$F$3*100,NA()),NA())</f>
        <v/>
      </c>
    </row>
    <row r="1034">
      <c r="A1034" s="7">
        <f>IFERROR(Datos!A1034,"")</f>
        <v/>
      </c>
      <c r="B1034" s="27">
        <f>IFERROR(IF(ISNUMBER(Datos!B1034),Datos!B1034/$F$2*100,NA()),NA())</f>
        <v/>
      </c>
      <c r="C1034" s="27">
        <f>IFERROR(IF(ISNUMBER(Datos!C1034),Datos!C1034/$F$3*100,NA()),NA())</f>
        <v/>
      </c>
    </row>
    <row r="1035">
      <c r="A1035" s="7">
        <f>IFERROR(Datos!A1035,"")</f>
        <v/>
      </c>
      <c r="B1035" s="27">
        <f>IFERROR(IF(ISNUMBER(Datos!B1035),Datos!B1035/$F$2*100,NA()),NA())</f>
        <v/>
      </c>
      <c r="C1035" s="27">
        <f>IFERROR(IF(ISNUMBER(Datos!C1035),Datos!C1035/$F$3*100,NA()),NA())</f>
        <v/>
      </c>
    </row>
    <row r="1036">
      <c r="A1036" s="7">
        <f>IFERROR(Datos!A1036,"")</f>
        <v/>
      </c>
      <c r="B1036" s="27">
        <f>IFERROR(IF(ISNUMBER(Datos!B1036),Datos!B1036/$F$2*100,NA()),NA())</f>
        <v/>
      </c>
      <c r="C1036" s="27">
        <f>IFERROR(IF(ISNUMBER(Datos!C1036),Datos!C1036/$F$3*100,NA()),NA())</f>
        <v/>
      </c>
    </row>
    <row r="1037">
      <c r="A1037" s="7">
        <f>IFERROR(Datos!A1037,"")</f>
        <v/>
      </c>
      <c r="B1037" s="27">
        <f>IFERROR(IF(ISNUMBER(Datos!B1037),Datos!B1037/$F$2*100,NA()),NA())</f>
        <v/>
      </c>
      <c r="C1037" s="27">
        <f>IFERROR(IF(ISNUMBER(Datos!C1037),Datos!C1037/$F$3*100,NA()),NA())</f>
        <v/>
      </c>
    </row>
    <row r="1038">
      <c r="A1038" s="7">
        <f>IFERROR(Datos!A1038,"")</f>
        <v/>
      </c>
      <c r="B1038" s="27">
        <f>IFERROR(IF(ISNUMBER(Datos!B1038),Datos!B1038/$F$2*100,NA()),NA())</f>
        <v/>
      </c>
      <c r="C1038" s="27">
        <f>IFERROR(IF(ISNUMBER(Datos!C1038),Datos!C1038/$F$3*100,NA()),NA())</f>
        <v/>
      </c>
    </row>
    <row r="1039">
      <c r="A1039" s="7">
        <f>IFERROR(Datos!A1039,"")</f>
        <v/>
      </c>
      <c r="B1039" s="27">
        <f>IFERROR(IF(ISNUMBER(Datos!B1039),Datos!B1039/$F$2*100,NA()),NA())</f>
        <v/>
      </c>
      <c r="C1039" s="27">
        <f>IFERROR(IF(ISNUMBER(Datos!C1039),Datos!C1039/$F$3*100,NA()),NA())</f>
        <v/>
      </c>
    </row>
    <row r="1040">
      <c r="A1040" s="7">
        <f>IFERROR(Datos!A1040,"")</f>
        <v/>
      </c>
      <c r="B1040" s="27">
        <f>IFERROR(IF(ISNUMBER(Datos!B1040),Datos!B1040/$F$2*100,NA()),NA())</f>
        <v/>
      </c>
      <c r="C1040" s="27">
        <f>IFERROR(IF(ISNUMBER(Datos!C1040),Datos!C1040/$F$3*100,NA()),NA())</f>
        <v/>
      </c>
    </row>
    <row r="1041">
      <c r="A1041" s="7">
        <f>IFERROR(Datos!A1041,"")</f>
        <v/>
      </c>
      <c r="B1041" s="27">
        <f>IFERROR(IF(ISNUMBER(Datos!B1041),Datos!B1041/$F$2*100,NA()),NA())</f>
        <v/>
      </c>
      <c r="C1041" s="27">
        <f>IFERROR(IF(ISNUMBER(Datos!C1041),Datos!C1041/$F$3*100,NA()),NA())</f>
        <v/>
      </c>
    </row>
    <row r="1042">
      <c r="A1042" s="7">
        <f>IFERROR(Datos!A1042,"")</f>
        <v/>
      </c>
      <c r="B1042" s="27">
        <f>IFERROR(IF(ISNUMBER(Datos!B1042),Datos!B1042/$F$2*100,NA()),NA())</f>
        <v/>
      </c>
      <c r="C1042" s="27">
        <f>IFERROR(IF(ISNUMBER(Datos!C1042),Datos!C1042/$F$3*100,NA()),NA())</f>
        <v/>
      </c>
    </row>
    <row r="1043">
      <c r="A1043" s="7">
        <f>IFERROR(Datos!A1043,"")</f>
        <v/>
      </c>
      <c r="B1043" s="27">
        <f>IFERROR(IF(ISNUMBER(Datos!B1043),Datos!B1043/$F$2*100,NA()),NA())</f>
        <v/>
      </c>
      <c r="C1043" s="27">
        <f>IFERROR(IF(ISNUMBER(Datos!C1043),Datos!C1043/$F$3*100,NA()),NA())</f>
        <v/>
      </c>
    </row>
    <row r="1044">
      <c r="A1044" s="7">
        <f>IFERROR(Datos!A1044,"")</f>
        <v/>
      </c>
      <c r="B1044" s="27">
        <f>IFERROR(IF(ISNUMBER(Datos!B1044),Datos!B1044/$F$2*100,NA()),NA())</f>
        <v/>
      </c>
      <c r="C1044" s="27">
        <f>IFERROR(IF(ISNUMBER(Datos!C1044),Datos!C1044/$F$3*100,NA()),NA())</f>
        <v/>
      </c>
    </row>
    <row r="1045">
      <c r="A1045" s="7">
        <f>IFERROR(Datos!A1045,"")</f>
        <v/>
      </c>
      <c r="B1045" s="27">
        <f>IFERROR(IF(ISNUMBER(Datos!B1045),Datos!B1045/$F$2*100,NA()),NA())</f>
        <v/>
      </c>
      <c r="C1045" s="27">
        <f>IFERROR(IF(ISNUMBER(Datos!C1045),Datos!C1045/$F$3*100,NA()),NA())</f>
        <v/>
      </c>
    </row>
    <row r="1046">
      <c r="A1046" s="7">
        <f>IFERROR(Datos!A1046,"")</f>
        <v/>
      </c>
      <c r="B1046" s="27">
        <f>IFERROR(IF(ISNUMBER(Datos!B1046),Datos!B1046/$F$2*100,NA()),NA())</f>
        <v/>
      </c>
      <c r="C1046" s="27">
        <f>IFERROR(IF(ISNUMBER(Datos!C1046),Datos!C1046/$F$3*100,NA()),NA())</f>
        <v/>
      </c>
    </row>
    <row r="1047">
      <c r="A1047" s="7">
        <f>IFERROR(Datos!A1047,"")</f>
        <v/>
      </c>
      <c r="B1047" s="27">
        <f>IFERROR(IF(ISNUMBER(Datos!B1047),Datos!B1047/$F$2*100,NA()),NA())</f>
        <v/>
      </c>
      <c r="C1047" s="27">
        <f>IFERROR(IF(ISNUMBER(Datos!C1047),Datos!C1047/$F$3*100,NA()),NA())</f>
        <v/>
      </c>
    </row>
    <row r="1048">
      <c r="A1048" s="7">
        <f>IFERROR(Datos!A1048,"")</f>
        <v/>
      </c>
      <c r="B1048" s="27">
        <f>IFERROR(IF(ISNUMBER(Datos!B1048),Datos!B1048/$F$2*100,NA()),NA())</f>
        <v/>
      </c>
      <c r="C1048" s="27">
        <f>IFERROR(IF(ISNUMBER(Datos!C1048),Datos!C1048/$F$3*100,NA()),NA())</f>
        <v/>
      </c>
    </row>
    <row r="1049">
      <c r="A1049" s="7">
        <f>IFERROR(Datos!A1049,"")</f>
        <v/>
      </c>
      <c r="B1049" s="27">
        <f>IFERROR(IF(ISNUMBER(Datos!B1049),Datos!B1049/$F$2*100,NA()),NA())</f>
        <v/>
      </c>
      <c r="C1049" s="27">
        <f>IFERROR(IF(ISNUMBER(Datos!C1049),Datos!C1049/$F$3*100,NA()),NA())</f>
        <v/>
      </c>
    </row>
    <row r="1050">
      <c r="A1050" s="7">
        <f>IFERROR(Datos!A1050,"")</f>
        <v/>
      </c>
      <c r="B1050" s="27">
        <f>IFERROR(IF(ISNUMBER(Datos!B1050),Datos!B1050/$F$2*100,NA()),NA())</f>
        <v/>
      </c>
      <c r="C1050" s="27">
        <f>IFERROR(IF(ISNUMBER(Datos!C1050),Datos!C1050/$F$3*100,NA()),NA())</f>
        <v/>
      </c>
    </row>
    <row r="1051">
      <c r="A1051" s="7">
        <f>IFERROR(Datos!A1051,"")</f>
        <v/>
      </c>
      <c r="B1051" s="27">
        <f>IFERROR(IF(ISNUMBER(Datos!B1051),Datos!B1051/$F$2*100,NA()),NA())</f>
        <v/>
      </c>
      <c r="C1051" s="27">
        <f>IFERROR(IF(ISNUMBER(Datos!C1051),Datos!C1051/$F$3*100,NA()),NA())</f>
        <v/>
      </c>
    </row>
    <row r="1052">
      <c r="A1052" s="7">
        <f>IFERROR(Datos!A1052,"")</f>
        <v/>
      </c>
      <c r="B1052" s="27">
        <f>IFERROR(IF(ISNUMBER(Datos!B1052),Datos!B1052/$F$2*100,NA()),NA())</f>
        <v/>
      </c>
      <c r="C1052" s="27">
        <f>IFERROR(IF(ISNUMBER(Datos!C1052),Datos!C1052/$F$3*100,NA()),NA())</f>
        <v/>
      </c>
    </row>
    <row r="1053">
      <c r="A1053" s="7">
        <f>IFERROR(Datos!A1053,"")</f>
        <v/>
      </c>
      <c r="B1053" s="27">
        <f>IFERROR(IF(ISNUMBER(Datos!B1053),Datos!B1053/$F$2*100,NA()),NA())</f>
        <v/>
      </c>
      <c r="C1053" s="27">
        <f>IFERROR(IF(ISNUMBER(Datos!C1053),Datos!C1053/$F$3*100,NA()),NA())</f>
        <v/>
      </c>
    </row>
    <row r="1054">
      <c r="A1054" s="7">
        <f>IFERROR(Datos!A1054,"")</f>
        <v/>
      </c>
      <c r="B1054" s="27">
        <f>IFERROR(IF(ISNUMBER(Datos!B1054),Datos!B1054/$F$2*100,NA()),NA())</f>
        <v/>
      </c>
      <c r="C1054" s="27">
        <f>IFERROR(IF(ISNUMBER(Datos!C1054),Datos!C1054/$F$3*100,NA()),NA())</f>
        <v/>
      </c>
    </row>
    <row r="1055">
      <c r="A1055" s="7">
        <f>IFERROR(Datos!A1055,"")</f>
        <v/>
      </c>
      <c r="B1055" s="27">
        <f>IFERROR(IF(ISNUMBER(Datos!B1055),Datos!B1055/$F$2*100,NA()),NA())</f>
        <v/>
      </c>
      <c r="C1055" s="27">
        <f>IFERROR(IF(ISNUMBER(Datos!C1055),Datos!C1055/$F$3*100,NA()),NA())</f>
        <v/>
      </c>
    </row>
    <row r="1056">
      <c r="A1056" s="7">
        <f>IFERROR(Datos!A1056,"")</f>
        <v/>
      </c>
      <c r="B1056" s="27">
        <f>IFERROR(IF(ISNUMBER(Datos!B1056),Datos!B1056/$F$2*100,NA()),NA())</f>
        <v/>
      </c>
      <c r="C1056" s="27">
        <f>IFERROR(IF(ISNUMBER(Datos!C1056),Datos!C1056/$F$3*100,NA()),NA())</f>
        <v/>
      </c>
    </row>
    <row r="1057">
      <c r="A1057" s="7">
        <f>IFERROR(Datos!A1057,"")</f>
        <v/>
      </c>
      <c r="B1057" s="27">
        <f>IFERROR(IF(ISNUMBER(Datos!B1057),Datos!B1057/$F$2*100,NA()),NA())</f>
        <v/>
      </c>
      <c r="C1057" s="27">
        <f>IFERROR(IF(ISNUMBER(Datos!C1057),Datos!C1057/$F$3*100,NA()),NA())</f>
        <v/>
      </c>
    </row>
    <row r="1058">
      <c r="A1058" s="7">
        <f>IFERROR(Datos!A1058,"")</f>
        <v/>
      </c>
      <c r="B1058" s="27">
        <f>IFERROR(IF(ISNUMBER(Datos!B1058),Datos!B1058/$F$2*100,NA()),NA())</f>
        <v/>
      </c>
      <c r="C1058" s="27">
        <f>IFERROR(IF(ISNUMBER(Datos!C1058),Datos!C1058/$F$3*100,NA()),NA())</f>
        <v/>
      </c>
    </row>
    <row r="1059">
      <c r="A1059" s="7">
        <f>IFERROR(Datos!A1059,"")</f>
        <v/>
      </c>
      <c r="B1059" s="27">
        <f>IFERROR(IF(ISNUMBER(Datos!B1059),Datos!B1059/$F$2*100,NA()),NA())</f>
        <v/>
      </c>
      <c r="C1059" s="27">
        <f>IFERROR(IF(ISNUMBER(Datos!C1059),Datos!C1059/$F$3*100,NA()),NA())</f>
        <v/>
      </c>
    </row>
    <row r="1060">
      <c r="A1060" s="7">
        <f>IFERROR(Datos!A1060,"")</f>
        <v/>
      </c>
      <c r="B1060" s="27">
        <f>IFERROR(IF(ISNUMBER(Datos!B1060),Datos!B1060/$F$2*100,NA()),NA())</f>
        <v/>
      </c>
      <c r="C1060" s="27">
        <f>IFERROR(IF(ISNUMBER(Datos!C1060),Datos!C1060/$F$3*100,NA()),NA())</f>
        <v/>
      </c>
    </row>
    <row r="1061">
      <c r="A1061" s="7">
        <f>IFERROR(Datos!A1061,"")</f>
        <v/>
      </c>
      <c r="B1061" s="27">
        <f>IFERROR(IF(ISNUMBER(Datos!B1061),Datos!B1061/$F$2*100,NA()),NA())</f>
        <v/>
      </c>
      <c r="C1061" s="27">
        <f>IFERROR(IF(ISNUMBER(Datos!C1061),Datos!C1061/$F$3*100,NA()),NA())</f>
        <v/>
      </c>
    </row>
    <row r="1062">
      <c r="A1062" s="7">
        <f>IFERROR(Datos!A1062,"")</f>
        <v/>
      </c>
      <c r="B1062" s="27">
        <f>IFERROR(IF(ISNUMBER(Datos!B1062),Datos!B1062/$F$2*100,NA()),NA())</f>
        <v/>
      </c>
      <c r="C1062" s="27">
        <f>IFERROR(IF(ISNUMBER(Datos!C1062),Datos!C1062/$F$3*100,NA()),NA())</f>
        <v/>
      </c>
    </row>
    <row r="1063">
      <c r="A1063" s="7">
        <f>IFERROR(Datos!A1063,"")</f>
        <v/>
      </c>
      <c r="B1063" s="27">
        <f>IFERROR(IF(ISNUMBER(Datos!B1063),Datos!B1063/$F$2*100,NA()),NA())</f>
        <v/>
      </c>
      <c r="C1063" s="27">
        <f>IFERROR(IF(ISNUMBER(Datos!C1063),Datos!C1063/$F$3*100,NA()),NA())</f>
        <v/>
      </c>
    </row>
    <row r="1064">
      <c r="A1064" s="7">
        <f>IFERROR(Datos!A1064,"")</f>
        <v/>
      </c>
      <c r="B1064" s="27">
        <f>IFERROR(IF(ISNUMBER(Datos!B1064),Datos!B1064/$F$2*100,NA()),NA())</f>
        <v/>
      </c>
      <c r="C1064" s="27">
        <f>IFERROR(IF(ISNUMBER(Datos!C1064),Datos!C1064/$F$3*100,NA()),NA())</f>
        <v/>
      </c>
    </row>
    <row r="1065">
      <c r="A1065" s="7">
        <f>IFERROR(Datos!A1065,"")</f>
        <v/>
      </c>
      <c r="B1065" s="27">
        <f>IFERROR(IF(ISNUMBER(Datos!B1065),Datos!B1065/$F$2*100,NA()),NA())</f>
        <v/>
      </c>
      <c r="C1065" s="27">
        <f>IFERROR(IF(ISNUMBER(Datos!C1065),Datos!C1065/$F$3*100,NA()),NA())</f>
        <v/>
      </c>
    </row>
    <row r="1066">
      <c r="A1066" s="7">
        <f>IFERROR(Datos!A1066,"")</f>
        <v/>
      </c>
      <c r="B1066" s="27">
        <f>IFERROR(IF(ISNUMBER(Datos!B1066),Datos!B1066/$F$2*100,NA()),NA())</f>
        <v/>
      </c>
      <c r="C1066" s="27">
        <f>IFERROR(IF(ISNUMBER(Datos!C1066),Datos!C1066/$F$3*100,NA()),NA())</f>
        <v/>
      </c>
    </row>
    <row r="1067">
      <c r="A1067" s="7">
        <f>IFERROR(Datos!A1067,"")</f>
        <v/>
      </c>
      <c r="B1067" s="27">
        <f>IFERROR(IF(ISNUMBER(Datos!B1067),Datos!B1067/$F$2*100,NA()),NA())</f>
        <v/>
      </c>
      <c r="C1067" s="27">
        <f>IFERROR(IF(ISNUMBER(Datos!C1067),Datos!C1067/$F$3*100,NA()),NA())</f>
        <v/>
      </c>
    </row>
    <row r="1068">
      <c r="A1068" s="7">
        <f>IFERROR(Datos!A1068,"")</f>
        <v/>
      </c>
      <c r="B1068" s="27">
        <f>IFERROR(IF(ISNUMBER(Datos!B1068),Datos!B1068/$F$2*100,NA()),NA())</f>
        <v/>
      </c>
      <c r="C1068" s="27">
        <f>IFERROR(IF(ISNUMBER(Datos!C1068),Datos!C1068/$F$3*100,NA()),NA())</f>
        <v/>
      </c>
    </row>
    <row r="1069">
      <c r="A1069" s="7">
        <f>IFERROR(Datos!A1069,"")</f>
        <v/>
      </c>
      <c r="B1069" s="27">
        <f>IFERROR(IF(ISNUMBER(Datos!B1069),Datos!B1069/$F$2*100,NA()),NA())</f>
        <v/>
      </c>
      <c r="C1069" s="27">
        <f>IFERROR(IF(ISNUMBER(Datos!C1069),Datos!C1069/$F$3*100,NA()),NA())</f>
        <v/>
      </c>
    </row>
    <row r="1070">
      <c r="A1070" s="7">
        <f>IFERROR(Datos!A1070,"")</f>
        <v/>
      </c>
      <c r="B1070" s="27">
        <f>IFERROR(IF(ISNUMBER(Datos!B1070),Datos!B1070/$F$2*100,NA()),NA())</f>
        <v/>
      </c>
      <c r="C1070" s="27">
        <f>IFERROR(IF(ISNUMBER(Datos!C1070),Datos!C1070/$F$3*100,NA()),NA())</f>
        <v/>
      </c>
    </row>
    <row r="1071">
      <c r="A1071" s="7">
        <f>IFERROR(Datos!A1071,"")</f>
        <v/>
      </c>
      <c r="B1071" s="27">
        <f>IFERROR(IF(ISNUMBER(Datos!B1071),Datos!B1071/$F$2*100,NA()),NA())</f>
        <v/>
      </c>
      <c r="C1071" s="27">
        <f>IFERROR(IF(ISNUMBER(Datos!C1071),Datos!C1071/$F$3*100,NA()),NA())</f>
        <v/>
      </c>
    </row>
    <row r="1072">
      <c r="A1072" s="7">
        <f>IFERROR(Datos!A1072,"")</f>
        <v/>
      </c>
      <c r="B1072" s="27">
        <f>IFERROR(IF(ISNUMBER(Datos!B1072),Datos!B1072/$F$2*100,NA()),NA())</f>
        <v/>
      </c>
      <c r="C1072" s="27">
        <f>IFERROR(IF(ISNUMBER(Datos!C1072),Datos!C1072/$F$3*100,NA()),NA())</f>
        <v/>
      </c>
    </row>
    <row r="1073">
      <c r="A1073" s="7">
        <f>IFERROR(Datos!A1073,"")</f>
        <v/>
      </c>
      <c r="B1073" s="27">
        <f>IFERROR(IF(ISNUMBER(Datos!B1073),Datos!B1073/$F$2*100,NA()),NA())</f>
        <v/>
      </c>
      <c r="C1073" s="27">
        <f>IFERROR(IF(ISNUMBER(Datos!C1073),Datos!C1073/$F$3*100,NA()),NA())</f>
        <v/>
      </c>
    </row>
    <row r="1074">
      <c r="A1074" s="7">
        <f>IFERROR(Datos!A1074,"")</f>
        <v/>
      </c>
      <c r="B1074" s="27">
        <f>IFERROR(IF(ISNUMBER(Datos!B1074),Datos!B1074/$F$2*100,NA()),NA())</f>
        <v/>
      </c>
      <c r="C1074" s="27">
        <f>IFERROR(IF(ISNUMBER(Datos!C1074),Datos!C1074/$F$3*100,NA()),NA())</f>
        <v/>
      </c>
    </row>
    <row r="1075">
      <c r="A1075" s="7">
        <f>IFERROR(Datos!A1075,"")</f>
        <v/>
      </c>
      <c r="B1075" s="27">
        <f>IFERROR(IF(ISNUMBER(Datos!B1075),Datos!B1075/$F$2*100,NA()),NA())</f>
        <v/>
      </c>
      <c r="C1075" s="27">
        <f>IFERROR(IF(ISNUMBER(Datos!C1075),Datos!C1075/$F$3*100,NA()),NA())</f>
        <v/>
      </c>
    </row>
    <row r="1076">
      <c r="A1076" s="7">
        <f>IFERROR(Datos!A1076,"")</f>
        <v/>
      </c>
      <c r="B1076" s="27">
        <f>IFERROR(IF(ISNUMBER(Datos!B1076),Datos!B1076/$F$2*100,NA()),NA())</f>
        <v/>
      </c>
      <c r="C1076" s="27">
        <f>IFERROR(IF(ISNUMBER(Datos!C1076),Datos!C1076/$F$3*100,NA()),NA())</f>
        <v/>
      </c>
    </row>
    <row r="1077">
      <c r="A1077" s="7">
        <f>IFERROR(Datos!A1077,"")</f>
        <v/>
      </c>
      <c r="B1077" s="27">
        <f>IFERROR(IF(ISNUMBER(Datos!B1077),Datos!B1077/$F$2*100,NA()),NA())</f>
        <v/>
      </c>
      <c r="C1077" s="27">
        <f>IFERROR(IF(ISNUMBER(Datos!C1077),Datos!C1077/$F$3*100,NA()),NA())</f>
        <v/>
      </c>
    </row>
    <row r="1078">
      <c r="A1078" s="7">
        <f>IFERROR(Datos!A1078,"")</f>
        <v/>
      </c>
      <c r="B1078" s="27">
        <f>IFERROR(IF(ISNUMBER(Datos!B1078),Datos!B1078/$F$2*100,NA()),NA())</f>
        <v/>
      </c>
      <c r="C1078" s="27">
        <f>IFERROR(IF(ISNUMBER(Datos!C1078),Datos!C1078/$F$3*100,NA()),NA())</f>
        <v/>
      </c>
    </row>
    <row r="1079">
      <c r="A1079" s="7">
        <f>IFERROR(Datos!A1079,"")</f>
        <v/>
      </c>
      <c r="B1079" s="27">
        <f>IFERROR(IF(ISNUMBER(Datos!B1079),Datos!B1079/$F$2*100,NA()),NA())</f>
        <v/>
      </c>
      <c r="C1079" s="27">
        <f>IFERROR(IF(ISNUMBER(Datos!C1079),Datos!C1079/$F$3*100,NA()),NA())</f>
        <v/>
      </c>
    </row>
    <row r="1080">
      <c r="A1080" s="7">
        <f>IFERROR(Datos!A1080,"")</f>
        <v/>
      </c>
      <c r="B1080" s="27">
        <f>IFERROR(IF(ISNUMBER(Datos!B1080),Datos!B1080/$F$2*100,NA()),NA())</f>
        <v/>
      </c>
      <c r="C1080" s="27">
        <f>IFERROR(IF(ISNUMBER(Datos!C1080),Datos!C1080/$F$3*100,NA()),NA())</f>
        <v/>
      </c>
    </row>
    <row r="1081">
      <c r="A1081" s="7">
        <f>IFERROR(Datos!A1081,"")</f>
        <v/>
      </c>
      <c r="B1081" s="27">
        <f>IFERROR(IF(ISNUMBER(Datos!B1081),Datos!B1081/$F$2*100,NA()),NA())</f>
        <v/>
      </c>
      <c r="C1081" s="27">
        <f>IFERROR(IF(ISNUMBER(Datos!C1081),Datos!C1081/$F$3*100,NA()),NA())</f>
        <v/>
      </c>
    </row>
    <row r="1082">
      <c r="A1082" s="7">
        <f>IFERROR(Datos!A1082,"")</f>
        <v/>
      </c>
      <c r="B1082" s="27">
        <f>IFERROR(IF(ISNUMBER(Datos!B1082),Datos!B1082/$F$2*100,NA()),NA())</f>
        <v/>
      </c>
      <c r="C1082" s="27">
        <f>IFERROR(IF(ISNUMBER(Datos!C1082),Datos!C1082/$F$3*100,NA()),NA())</f>
        <v/>
      </c>
    </row>
    <row r="1083">
      <c r="A1083" s="7">
        <f>IFERROR(Datos!A1083,"")</f>
        <v/>
      </c>
      <c r="B1083" s="27">
        <f>IFERROR(IF(ISNUMBER(Datos!B1083),Datos!B1083/$F$2*100,NA()),NA())</f>
        <v/>
      </c>
      <c r="C1083" s="27">
        <f>IFERROR(IF(ISNUMBER(Datos!C1083),Datos!C1083/$F$3*100,NA()),NA())</f>
        <v/>
      </c>
    </row>
    <row r="1084">
      <c r="A1084" s="7">
        <f>IFERROR(Datos!A1084,"")</f>
        <v/>
      </c>
      <c r="B1084" s="27">
        <f>IFERROR(IF(ISNUMBER(Datos!B1084),Datos!B1084/$F$2*100,NA()),NA())</f>
        <v/>
      </c>
      <c r="C1084" s="27">
        <f>IFERROR(IF(ISNUMBER(Datos!C1084),Datos!C1084/$F$3*100,NA()),NA())</f>
        <v/>
      </c>
    </row>
    <row r="1085">
      <c r="A1085" s="7">
        <f>IFERROR(Datos!A1085,"")</f>
        <v/>
      </c>
      <c r="B1085" s="27">
        <f>IFERROR(IF(ISNUMBER(Datos!B1085),Datos!B1085/$F$2*100,NA()),NA())</f>
        <v/>
      </c>
      <c r="C1085" s="27">
        <f>IFERROR(IF(ISNUMBER(Datos!C1085),Datos!C1085/$F$3*100,NA()),NA())</f>
        <v/>
      </c>
    </row>
    <row r="1086">
      <c r="A1086" s="7">
        <f>IFERROR(Datos!A1086,"")</f>
        <v/>
      </c>
      <c r="B1086" s="27">
        <f>IFERROR(IF(ISNUMBER(Datos!B1086),Datos!B1086/$F$2*100,NA()),NA())</f>
        <v/>
      </c>
      <c r="C1086" s="27">
        <f>IFERROR(IF(ISNUMBER(Datos!C1086),Datos!C1086/$F$3*100,NA()),NA())</f>
        <v/>
      </c>
    </row>
    <row r="1087">
      <c r="A1087" s="7">
        <f>IFERROR(Datos!A1087,"")</f>
        <v/>
      </c>
      <c r="B1087" s="27">
        <f>IFERROR(IF(ISNUMBER(Datos!B1087),Datos!B1087/$F$2*100,NA()),NA())</f>
        <v/>
      </c>
      <c r="C1087" s="27">
        <f>IFERROR(IF(ISNUMBER(Datos!C1087),Datos!C1087/$F$3*100,NA()),NA())</f>
        <v/>
      </c>
    </row>
    <row r="1088">
      <c r="A1088" s="7">
        <f>IFERROR(Datos!A1088,"")</f>
        <v/>
      </c>
      <c r="B1088" s="27">
        <f>IFERROR(IF(ISNUMBER(Datos!B1088),Datos!B1088/$F$2*100,NA()),NA())</f>
        <v/>
      </c>
      <c r="C1088" s="27">
        <f>IFERROR(IF(ISNUMBER(Datos!C1088),Datos!C1088/$F$3*100,NA()),NA())</f>
        <v/>
      </c>
    </row>
    <row r="1089">
      <c r="A1089" s="7">
        <f>IFERROR(Datos!A1089,"")</f>
        <v/>
      </c>
      <c r="B1089" s="27">
        <f>IFERROR(IF(ISNUMBER(Datos!B1089),Datos!B1089/$F$2*100,NA()),NA())</f>
        <v/>
      </c>
      <c r="C1089" s="27">
        <f>IFERROR(IF(ISNUMBER(Datos!C1089),Datos!C1089/$F$3*100,NA()),NA())</f>
        <v/>
      </c>
    </row>
    <row r="1090">
      <c r="A1090" s="7">
        <f>IFERROR(Datos!A1090,"")</f>
        <v/>
      </c>
      <c r="B1090" s="27">
        <f>IFERROR(IF(ISNUMBER(Datos!B1090),Datos!B1090/$F$2*100,NA()),NA())</f>
        <v/>
      </c>
      <c r="C1090" s="27">
        <f>IFERROR(IF(ISNUMBER(Datos!C1090),Datos!C1090/$F$3*100,NA()),NA())</f>
        <v/>
      </c>
    </row>
    <row r="1091">
      <c r="A1091" s="7">
        <f>IFERROR(Datos!A1091,"")</f>
        <v/>
      </c>
      <c r="B1091" s="27">
        <f>IFERROR(IF(ISNUMBER(Datos!B1091),Datos!B1091/$F$2*100,NA()),NA())</f>
        <v/>
      </c>
      <c r="C1091" s="27">
        <f>IFERROR(IF(ISNUMBER(Datos!C1091),Datos!C1091/$F$3*100,NA()),NA())</f>
        <v/>
      </c>
    </row>
    <row r="1092">
      <c r="A1092" s="7">
        <f>IFERROR(Datos!A1092,"")</f>
        <v/>
      </c>
      <c r="B1092" s="27">
        <f>IFERROR(IF(ISNUMBER(Datos!B1092),Datos!B1092/$F$2*100,NA()),NA())</f>
        <v/>
      </c>
      <c r="C1092" s="27">
        <f>IFERROR(IF(ISNUMBER(Datos!C1092),Datos!C1092/$F$3*100,NA()),NA())</f>
        <v/>
      </c>
    </row>
    <row r="1093">
      <c r="A1093" s="7">
        <f>IFERROR(Datos!A1093,"")</f>
        <v/>
      </c>
      <c r="B1093" s="27">
        <f>IFERROR(IF(ISNUMBER(Datos!B1093),Datos!B1093/$F$2*100,NA()),NA())</f>
        <v/>
      </c>
      <c r="C1093" s="27">
        <f>IFERROR(IF(ISNUMBER(Datos!C1093),Datos!C1093/$F$3*100,NA()),NA())</f>
        <v/>
      </c>
    </row>
    <row r="1094">
      <c r="A1094" s="7">
        <f>IFERROR(Datos!A1094,"")</f>
        <v/>
      </c>
      <c r="B1094" s="27">
        <f>IFERROR(IF(ISNUMBER(Datos!B1094),Datos!B1094/$F$2*100,NA()),NA())</f>
        <v/>
      </c>
      <c r="C1094" s="27">
        <f>IFERROR(IF(ISNUMBER(Datos!C1094),Datos!C1094/$F$3*100,NA()),NA())</f>
        <v/>
      </c>
    </row>
    <row r="1095">
      <c r="A1095" s="7">
        <f>IFERROR(Datos!A1095,"")</f>
        <v/>
      </c>
      <c r="B1095" s="27">
        <f>IFERROR(IF(ISNUMBER(Datos!B1095),Datos!B1095/$F$2*100,NA()),NA())</f>
        <v/>
      </c>
      <c r="C1095" s="27">
        <f>IFERROR(IF(ISNUMBER(Datos!C1095),Datos!C1095/$F$3*100,NA()),NA())</f>
        <v/>
      </c>
    </row>
    <row r="1096">
      <c r="A1096" s="7">
        <f>IFERROR(Datos!A1096,"")</f>
        <v/>
      </c>
      <c r="B1096" s="27">
        <f>IFERROR(IF(ISNUMBER(Datos!B1096),Datos!B1096/$F$2*100,NA()),NA())</f>
        <v/>
      </c>
      <c r="C1096" s="27">
        <f>IFERROR(IF(ISNUMBER(Datos!C1096),Datos!C1096/$F$3*100,NA()),NA())</f>
        <v/>
      </c>
    </row>
    <row r="1097">
      <c r="A1097" s="7">
        <f>IFERROR(Datos!A1097,"")</f>
        <v/>
      </c>
      <c r="B1097" s="27">
        <f>IFERROR(IF(ISNUMBER(Datos!B1097),Datos!B1097/$F$2*100,NA()),NA())</f>
        <v/>
      </c>
      <c r="C1097" s="27">
        <f>IFERROR(IF(ISNUMBER(Datos!C1097),Datos!C1097/$F$3*100,NA()),NA())</f>
        <v/>
      </c>
    </row>
    <row r="1098">
      <c r="A1098" s="7">
        <f>IFERROR(Datos!A1098,"")</f>
        <v/>
      </c>
      <c r="B1098" s="27">
        <f>IFERROR(IF(ISNUMBER(Datos!B1098),Datos!B1098/$F$2*100,NA()),NA())</f>
        <v/>
      </c>
      <c r="C1098" s="27">
        <f>IFERROR(IF(ISNUMBER(Datos!C1098),Datos!C1098/$F$3*100,NA()),NA())</f>
        <v/>
      </c>
    </row>
    <row r="1099">
      <c r="A1099" s="7">
        <f>IFERROR(Datos!A1099,"")</f>
        <v/>
      </c>
      <c r="B1099" s="27">
        <f>IFERROR(IF(ISNUMBER(Datos!B1099),Datos!B1099/$F$2*100,NA()),NA())</f>
        <v/>
      </c>
      <c r="C1099" s="27">
        <f>IFERROR(IF(ISNUMBER(Datos!C1099),Datos!C1099/$F$3*100,NA()),NA())</f>
        <v/>
      </c>
    </row>
    <row r="1100">
      <c r="A1100" s="7">
        <f>IFERROR(Datos!A1100,"")</f>
        <v/>
      </c>
      <c r="B1100" s="27">
        <f>IFERROR(IF(ISNUMBER(Datos!B1100),Datos!B1100/$F$2*100,NA()),NA())</f>
        <v/>
      </c>
      <c r="C1100" s="27">
        <f>IFERROR(IF(ISNUMBER(Datos!C1100),Datos!C1100/$F$3*100,NA()),NA())</f>
        <v/>
      </c>
    </row>
    <row r="1101">
      <c r="A1101" s="7">
        <f>IFERROR(Datos!A1101,"")</f>
        <v/>
      </c>
      <c r="B1101" s="27">
        <f>IFERROR(IF(ISNUMBER(Datos!B1101),Datos!B1101/$F$2*100,NA()),NA())</f>
        <v/>
      </c>
      <c r="C1101" s="27">
        <f>IFERROR(IF(ISNUMBER(Datos!C1101),Datos!C1101/$F$3*100,NA()),NA())</f>
        <v/>
      </c>
    </row>
    <row r="1102">
      <c r="A1102" s="7">
        <f>IFERROR(Datos!A1102,"")</f>
        <v/>
      </c>
      <c r="B1102" s="27">
        <f>IFERROR(IF(ISNUMBER(Datos!B1102),Datos!B1102/$F$2*100,NA()),NA())</f>
        <v/>
      </c>
      <c r="C1102" s="27">
        <f>IFERROR(IF(ISNUMBER(Datos!C1102),Datos!C1102/$F$3*100,NA()),NA())</f>
        <v/>
      </c>
    </row>
    <row r="1103">
      <c r="A1103" s="7">
        <f>IFERROR(Datos!A1103,"")</f>
        <v/>
      </c>
      <c r="B1103" s="27">
        <f>IFERROR(IF(ISNUMBER(Datos!B1103),Datos!B1103/$F$2*100,NA()),NA())</f>
        <v/>
      </c>
      <c r="C1103" s="27">
        <f>IFERROR(IF(ISNUMBER(Datos!C1103),Datos!C1103/$F$3*100,NA()),NA())</f>
        <v/>
      </c>
    </row>
    <row r="1104">
      <c r="A1104" s="7">
        <f>IFERROR(Datos!A1104,"")</f>
        <v/>
      </c>
      <c r="B1104" s="27">
        <f>IFERROR(IF(ISNUMBER(Datos!B1104),Datos!B1104/$F$2*100,NA()),NA())</f>
        <v/>
      </c>
      <c r="C1104" s="27">
        <f>IFERROR(IF(ISNUMBER(Datos!C1104),Datos!C1104/$F$3*100,NA()),NA())</f>
        <v/>
      </c>
    </row>
    <row r="1105">
      <c r="A1105" s="7">
        <f>IFERROR(Datos!A1105,"")</f>
        <v/>
      </c>
      <c r="B1105" s="27">
        <f>IFERROR(IF(ISNUMBER(Datos!B1105),Datos!B1105/$F$2*100,NA()),NA())</f>
        <v/>
      </c>
      <c r="C1105" s="27">
        <f>IFERROR(IF(ISNUMBER(Datos!C1105),Datos!C1105/$F$3*100,NA()),NA())</f>
        <v/>
      </c>
    </row>
    <row r="1106">
      <c r="A1106" s="7">
        <f>IFERROR(Datos!A1106,"")</f>
        <v/>
      </c>
      <c r="B1106" s="27">
        <f>IFERROR(IF(ISNUMBER(Datos!B1106),Datos!B1106/$F$2*100,NA()),NA())</f>
        <v/>
      </c>
      <c r="C1106" s="27">
        <f>IFERROR(IF(ISNUMBER(Datos!C1106),Datos!C1106/$F$3*100,NA()),NA())</f>
        <v/>
      </c>
    </row>
    <row r="1107">
      <c r="A1107" s="7">
        <f>IFERROR(Datos!A1107,"")</f>
        <v/>
      </c>
      <c r="B1107" s="27">
        <f>IFERROR(IF(ISNUMBER(Datos!B1107),Datos!B1107/$F$2*100,NA()),NA())</f>
        <v/>
      </c>
      <c r="C1107" s="27">
        <f>IFERROR(IF(ISNUMBER(Datos!C1107),Datos!C1107/$F$3*100,NA()),NA())</f>
        <v/>
      </c>
    </row>
    <row r="1108">
      <c r="A1108" s="7">
        <f>IFERROR(Datos!A1108,"")</f>
        <v/>
      </c>
      <c r="B1108" s="27">
        <f>IFERROR(IF(ISNUMBER(Datos!B1108),Datos!B1108/$F$2*100,NA()),NA())</f>
        <v/>
      </c>
      <c r="C1108" s="27">
        <f>IFERROR(IF(ISNUMBER(Datos!C1108),Datos!C1108/$F$3*100,NA()),NA())</f>
        <v/>
      </c>
    </row>
    <row r="1109">
      <c r="A1109" s="7">
        <f>IFERROR(Datos!A1109,"")</f>
        <v/>
      </c>
      <c r="B1109" s="27">
        <f>IFERROR(IF(ISNUMBER(Datos!B1109),Datos!B1109/$F$2*100,NA()),NA())</f>
        <v/>
      </c>
      <c r="C1109" s="27">
        <f>IFERROR(IF(ISNUMBER(Datos!C1109),Datos!C1109/$F$3*100,NA()),NA())</f>
        <v/>
      </c>
    </row>
    <row r="1110">
      <c r="A1110" s="7">
        <f>IFERROR(Datos!A1110,"")</f>
        <v/>
      </c>
      <c r="B1110" s="27">
        <f>IFERROR(IF(ISNUMBER(Datos!B1110),Datos!B1110/$F$2*100,NA()),NA())</f>
        <v/>
      </c>
      <c r="C1110" s="27">
        <f>IFERROR(IF(ISNUMBER(Datos!C1110),Datos!C1110/$F$3*100,NA()),NA())</f>
        <v/>
      </c>
    </row>
    <row r="1111">
      <c r="A1111" s="7">
        <f>IFERROR(Datos!A1111,"")</f>
        <v/>
      </c>
      <c r="B1111" s="27">
        <f>IFERROR(IF(ISNUMBER(Datos!B1111),Datos!B1111/$F$2*100,NA()),NA())</f>
        <v/>
      </c>
      <c r="C1111" s="27">
        <f>IFERROR(IF(ISNUMBER(Datos!C1111),Datos!C1111/$F$3*100,NA()),NA())</f>
        <v/>
      </c>
    </row>
    <row r="1112">
      <c r="A1112" s="7">
        <f>IFERROR(Datos!A1112,"")</f>
        <v/>
      </c>
      <c r="B1112" s="27">
        <f>IFERROR(IF(ISNUMBER(Datos!B1112),Datos!B1112/$F$2*100,NA()),NA())</f>
        <v/>
      </c>
      <c r="C1112" s="27">
        <f>IFERROR(IF(ISNUMBER(Datos!C1112),Datos!C1112/$F$3*100,NA()),NA())</f>
        <v/>
      </c>
    </row>
    <row r="1113">
      <c r="A1113" s="7">
        <f>IFERROR(Datos!A1113,"")</f>
        <v/>
      </c>
      <c r="B1113" s="27">
        <f>IFERROR(IF(ISNUMBER(Datos!B1113),Datos!B1113/$F$2*100,NA()),NA())</f>
        <v/>
      </c>
      <c r="C1113" s="27">
        <f>IFERROR(IF(ISNUMBER(Datos!C1113),Datos!C1113/$F$3*100,NA()),NA())</f>
        <v/>
      </c>
    </row>
    <row r="1114">
      <c r="A1114" s="7">
        <f>IFERROR(Datos!A1114,"")</f>
        <v/>
      </c>
      <c r="B1114" s="27">
        <f>IFERROR(IF(ISNUMBER(Datos!B1114),Datos!B1114/$F$2*100,NA()),NA())</f>
        <v/>
      </c>
      <c r="C1114" s="27">
        <f>IFERROR(IF(ISNUMBER(Datos!C1114),Datos!C1114/$F$3*100,NA()),NA())</f>
        <v/>
      </c>
    </row>
    <row r="1115">
      <c r="A1115" s="7">
        <f>IFERROR(Datos!A1115,"")</f>
        <v/>
      </c>
      <c r="B1115" s="27">
        <f>IFERROR(IF(ISNUMBER(Datos!B1115),Datos!B1115/$F$2*100,NA()),NA())</f>
        <v/>
      </c>
      <c r="C1115" s="27">
        <f>IFERROR(IF(ISNUMBER(Datos!C1115),Datos!C1115/$F$3*100,NA()),NA())</f>
        <v/>
      </c>
    </row>
    <row r="1116">
      <c r="A1116" s="7">
        <f>IFERROR(Datos!A1116,"")</f>
        <v/>
      </c>
      <c r="B1116" s="27">
        <f>IFERROR(IF(ISNUMBER(Datos!B1116),Datos!B1116/$F$2*100,NA()),NA())</f>
        <v/>
      </c>
      <c r="C1116" s="27">
        <f>IFERROR(IF(ISNUMBER(Datos!C1116),Datos!C1116/$F$3*100,NA()),NA())</f>
        <v/>
      </c>
    </row>
    <row r="1117">
      <c r="A1117" s="7">
        <f>IFERROR(Datos!A1117,"")</f>
        <v/>
      </c>
      <c r="B1117" s="27">
        <f>IFERROR(IF(ISNUMBER(Datos!B1117),Datos!B1117/$F$2*100,NA()),NA())</f>
        <v/>
      </c>
      <c r="C1117" s="27">
        <f>IFERROR(IF(ISNUMBER(Datos!C1117),Datos!C1117/$F$3*100,NA()),NA())</f>
        <v/>
      </c>
    </row>
    <row r="1118">
      <c r="A1118" s="7">
        <f>IFERROR(Datos!A1118,"")</f>
        <v/>
      </c>
      <c r="B1118" s="27">
        <f>IFERROR(IF(ISNUMBER(Datos!B1118),Datos!B1118/$F$2*100,NA()),NA())</f>
        <v/>
      </c>
      <c r="C1118" s="27">
        <f>IFERROR(IF(ISNUMBER(Datos!C1118),Datos!C1118/$F$3*100,NA()),NA())</f>
        <v/>
      </c>
    </row>
    <row r="1119">
      <c r="A1119" s="7">
        <f>IFERROR(Datos!A1119,"")</f>
        <v/>
      </c>
      <c r="B1119" s="27">
        <f>IFERROR(IF(ISNUMBER(Datos!B1119),Datos!B1119/$F$2*100,NA()),NA())</f>
        <v/>
      </c>
      <c r="C1119" s="27">
        <f>IFERROR(IF(ISNUMBER(Datos!C1119),Datos!C1119/$F$3*100,NA()),NA())</f>
        <v/>
      </c>
    </row>
    <row r="1120">
      <c r="A1120" s="7">
        <f>IFERROR(Datos!A1120,"")</f>
        <v/>
      </c>
      <c r="B1120" s="27">
        <f>IFERROR(IF(ISNUMBER(Datos!B1120),Datos!B1120/$F$2*100,NA()),NA())</f>
        <v/>
      </c>
      <c r="C1120" s="27">
        <f>IFERROR(IF(ISNUMBER(Datos!C1120),Datos!C1120/$F$3*100,NA()),NA())</f>
        <v/>
      </c>
    </row>
    <row r="1121">
      <c r="A1121" s="7">
        <f>IFERROR(Datos!A1121,"")</f>
        <v/>
      </c>
      <c r="B1121" s="27">
        <f>IFERROR(IF(ISNUMBER(Datos!B1121),Datos!B1121/$F$2*100,NA()),NA())</f>
        <v/>
      </c>
      <c r="C1121" s="27">
        <f>IFERROR(IF(ISNUMBER(Datos!C1121),Datos!C1121/$F$3*100,NA()),NA())</f>
        <v/>
      </c>
    </row>
    <row r="1122">
      <c r="A1122" s="7">
        <f>IFERROR(Datos!A1122,"")</f>
        <v/>
      </c>
      <c r="B1122" s="27">
        <f>IFERROR(IF(ISNUMBER(Datos!B1122),Datos!B1122/$F$2*100,NA()),NA())</f>
        <v/>
      </c>
      <c r="C1122" s="27">
        <f>IFERROR(IF(ISNUMBER(Datos!C1122),Datos!C1122/$F$3*100,NA()),NA())</f>
        <v/>
      </c>
    </row>
    <row r="1123">
      <c r="A1123" s="7">
        <f>IFERROR(Datos!A1123,"")</f>
        <v/>
      </c>
      <c r="B1123" s="27">
        <f>IFERROR(IF(ISNUMBER(Datos!B1123),Datos!B1123/$F$2*100,NA()),NA())</f>
        <v/>
      </c>
      <c r="C1123" s="27">
        <f>IFERROR(IF(ISNUMBER(Datos!C1123),Datos!C1123/$F$3*100,NA()),NA())</f>
        <v/>
      </c>
    </row>
    <row r="1124">
      <c r="A1124" s="7">
        <f>IFERROR(Datos!A1124,"")</f>
        <v/>
      </c>
      <c r="B1124" s="27">
        <f>IFERROR(IF(ISNUMBER(Datos!B1124),Datos!B1124/$F$2*100,NA()),NA())</f>
        <v/>
      </c>
      <c r="C1124" s="27">
        <f>IFERROR(IF(ISNUMBER(Datos!C1124),Datos!C1124/$F$3*100,NA()),NA())</f>
        <v/>
      </c>
    </row>
    <row r="1125">
      <c r="A1125" s="7">
        <f>IFERROR(Datos!A1125,"")</f>
        <v/>
      </c>
      <c r="B1125" s="27">
        <f>IFERROR(IF(ISNUMBER(Datos!B1125),Datos!B1125/$F$2*100,NA()),NA())</f>
        <v/>
      </c>
      <c r="C1125" s="27">
        <f>IFERROR(IF(ISNUMBER(Datos!C1125),Datos!C1125/$F$3*100,NA()),NA())</f>
        <v/>
      </c>
    </row>
    <row r="1126">
      <c r="A1126" s="7">
        <f>IFERROR(Datos!A1126,"")</f>
        <v/>
      </c>
      <c r="B1126" s="27">
        <f>IFERROR(IF(ISNUMBER(Datos!B1126),Datos!B1126/$F$2*100,NA()),NA())</f>
        <v/>
      </c>
      <c r="C1126" s="27">
        <f>IFERROR(IF(ISNUMBER(Datos!C1126),Datos!C1126/$F$3*100,NA()),NA())</f>
        <v/>
      </c>
    </row>
    <row r="1127">
      <c r="A1127" s="7">
        <f>IFERROR(Datos!A1127,"")</f>
        <v/>
      </c>
      <c r="B1127" s="27">
        <f>IFERROR(IF(ISNUMBER(Datos!B1127),Datos!B1127/$F$2*100,NA()),NA())</f>
        <v/>
      </c>
      <c r="C1127" s="27">
        <f>IFERROR(IF(ISNUMBER(Datos!C1127),Datos!C1127/$F$3*100,NA()),NA())</f>
        <v/>
      </c>
    </row>
    <row r="1128">
      <c r="A1128" s="7">
        <f>IFERROR(Datos!A1128,"")</f>
        <v/>
      </c>
      <c r="B1128" s="27">
        <f>IFERROR(IF(ISNUMBER(Datos!B1128),Datos!B1128/$F$2*100,NA()),NA())</f>
        <v/>
      </c>
      <c r="C1128" s="27">
        <f>IFERROR(IF(ISNUMBER(Datos!C1128),Datos!C1128/$F$3*100,NA()),NA())</f>
        <v/>
      </c>
    </row>
    <row r="1129">
      <c r="A1129" s="7">
        <f>IFERROR(Datos!A1129,"")</f>
        <v/>
      </c>
      <c r="B1129" s="27">
        <f>IFERROR(IF(ISNUMBER(Datos!B1129),Datos!B1129/$F$2*100,NA()),NA())</f>
        <v/>
      </c>
      <c r="C1129" s="27">
        <f>IFERROR(IF(ISNUMBER(Datos!C1129),Datos!C1129/$F$3*100,NA()),NA())</f>
        <v/>
      </c>
    </row>
    <row r="1130">
      <c r="A1130" s="7">
        <f>IFERROR(Datos!A1130,"")</f>
        <v/>
      </c>
      <c r="B1130" s="27">
        <f>IFERROR(IF(ISNUMBER(Datos!B1130),Datos!B1130/$F$2*100,NA()),NA())</f>
        <v/>
      </c>
      <c r="C1130" s="27">
        <f>IFERROR(IF(ISNUMBER(Datos!C1130),Datos!C1130/$F$3*100,NA()),NA())</f>
        <v/>
      </c>
    </row>
    <row r="1131">
      <c r="A1131" s="7">
        <f>IFERROR(Datos!A1131,"")</f>
        <v/>
      </c>
      <c r="B1131" s="27">
        <f>IFERROR(IF(ISNUMBER(Datos!B1131),Datos!B1131/$F$2*100,NA()),NA())</f>
        <v/>
      </c>
      <c r="C1131" s="27">
        <f>IFERROR(IF(ISNUMBER(Datos!C1131),Datos!C1131/$F$3*100,NA()),NA())</f>
        <v/>
      </c>
    </row>
    <row r="1132">
      <c r="A1132" s="7">
        <f>IFERROR(Datos!A1132,"")</f>
        <v/>
      </c>
      <c r="B1132" s="27">
        <f>IFERROR(IF(ISNUMBER(Datos!B1132),Datos!B1132/$F$2*100,NA()),NA())</f>
        <v/>
      </c>
      <c r="C1132" s="27">
        <f>IFERROR(IF(ISNUMBER(Datos!C1132),Datos!C1132/$F$3*100,NA()),NA())</f>
        <v/>
      </c>
    </row>
    <row r="1133">
      <c r="A1133" s="7">
        <f>IFERROR(Datos!A1133,"")</f>
        <v/>
      </c>
      <c r="B1133" s="27">
        <f>IFERROR(IF(ISNUMBER(Datos!B1133),Datos!B1133/$F$2*100,NA()),NA())</f>
        <v/>
      </c>
      <c r="C1133" s="27">
        <f>IFERROR(IF(ISNUMBER(Datos!C1133),Datos!C1133/$F$3*100,NA()),NA())</f>
        <v/>
      </c>
    </row>
    <row r="1134">
      <c r="A1134" s="7">
        <f>IFERROR(Datos!A1134,"")</f>
        <v/>
      </c>
      <c r="B1134" s="27">
        <f>IFERROR(IF(ISNUMBER(Datos!B1134),Datos!B1134/$F$2*100,NA()),NA())</f>
        <v/>
      </c>
      <c r="C1134" s="27">
        <f>IFERROR(IF(ISNUMBER(Datos!C1134),Datos!C1134/$F$3*100,NA()),NA())</f>
        <v/>
      </c>
    </row>
    <row r="1135">
      <c r="A1135" s="7">
        <f>IFERROR(Datos!A1135,"")</f>
        <v/>
      </c>
      <c r="B1135" s="27">
        <f>IFERROR(IF(ISNUMBER(Datos!B1135),Datos!B1135/$F$2*100,NA()),NA())</f>
        <v/>
      </c>
      <c r="C1135" s="27">
        <f>IFERROR(IF(ISNUMBER(Datos!C1135),Datos!C1135/$F$3*100,NA()),NA())</f>
        <v/>
      </c>
    </row>
    <row r="1136">
      <c r="A1136" s="7">
        <f>IFERROR(Datos!A1136,"")</f>
        <v/>
      </c>
      <c r="B1136" s="27">
        <f>IFERROR(IF(ISNUMBER(Datos!B1136),Datos!B1136/$F$2*100,NA()),NA())</f>
        <v/>
      </c>
      <c r="C1136" s="27">
        <f>IFERROR(IF(ISNUMBER(Datos!C1136),Datos!C1136/$F$3*100,NA()),NA())</f>
        <v/>
      </c>
    </row>
    <row r="1137">
      <c r="A1137" s="7">
        <f>IFERROR(Datos!A1137,"")</f>
        <v/>
      </c>
      <c r="B1137" s="27">
        <f>IFERROR(IF(ISNUMBER(Datos!B1137),Datos!B1137/$F$2*100,NA()),NA())</f>
        <v/>
      </c>
      <c r="C1137" s="27">
        <f>IFERROR(IF(ISNUMBER(Datos!C1137),Datos!C1137/$F$3*100,NA()),NA())</f>
        <v/>
      </c>
    </row>
    <row r="1138">
      <c r="A1138" s="7">
        <f>IFERROR(Datos!A1138,"")</f>
        <v/>
      </c>
      <c r="B1138" s="27">
        <f>IFERROR(IF(ISNUMBER(Datos!B1138),Datos!B1138/$F$2*100,NA()),NA())</f>
        <v/>
      </c>
      <c r="C1138" s="27">
        <f>IFERROR(IF(ISNUMBER(Datos!C1138),Datos!C1138/$F$3*100,NA()),NA())</f>
        <v/>
      </c>
    </row>
    <row r="1139">
      <c r="A1139" s="7">
        <f>IFERROR(Datos!A1139,"")</f>
        <v/>
      </c>
      <c r="B1139" s="27">
        <f>IFERROR(IF(ISNUMBER(Datos!B1139),Datos!B1139/$F$2*100,NA()),NA())</f>
        <v/>
      </c>
      <c r="C1139" s="27">
        <f>IFERROR(IF(ISNUMBER(Datos!C1139),Datos!C1139/$F$3*100,NA()),NA())</f>
        <v/>
      </c>
    </row>
    <row r="1140">
      <c r="A1140" s="7">
        <f>IFERROR(Datos!A1140,"")</f>
        <v/>
      </c>
      <c r="B1140" s="27">
        <f>IFERROR(IF(ISNUMBER(Datos!B1140),Datos!B1140/$F$2*100,NA()),NA())</f>
        <v/>
      </c>
      <c r="C1140" s="27">
        <f>IFERROR(IF(ISNUMBER(Datos!C1140),Datos!C1140/$F$3*100,NA()),NA())</f>
        <v/>
      </c>
    </row>
    <row r="1141">
      <c r="A1141" s="7">
        <f>IFERROR(Datos!A1141,"")</f>
        <v/>
      </c>
      <c r="B1141" s="27">
        <f>IFERROR(IF(ISNUMBER(Datos!B1141),Datos!B1141/$F$2*100,NA()),NA())</f>
        <v/>
      </c>
      <c r="C1141" s="27">
        <f>IFERROR(IF(ISNUMBER(Datos!C1141),Datos!C1141/$F$3*100,NA()),NA())</f>
        <v/>
      </c>
    </row>
    <row r="1142">
      <c r="A1142" s="7">
        <f>IFERROR(Datos!A1142,"")</f>
        <v/>
      </c>
      <c r="B1142" s="27">
        <f>IFERROR(IF(ISNUMBER(Datos!B1142),Datos!B1142/$F$2*100,NA()),NA())</f>
        <v/>
      </c>
      <c r="C1142" s="27">
        <f>IFERROR(IF(ISNUMBER(Datos!C1142),Datos!C1142/$F$3*100,NA()),NA())</f>
        <v/>
      </c>
    </row>
    <row r="1143">
      <c r="A1143" s="7">
        <f>IFERROR(Datos!A1143,"")</f>
        <v/>
      </c>
      <c r="B1143" s="27">
        <f>IFERROR(IF(ISNUMBER(Datos!B1143),Datos!B1143/$F$2*100,NA()),NA())</f>
        <v/>
      </c>
      <c r="C1143" s="27">
        <f>IFERROR(IF(ISNUMBER(Datos!C1143),Datos!C1143/$F$3*100,NA()),NA())</f>
        <v/>
      </c>
    </row>
    <row r="1144">
      <c r="A1144" s="7">
        <f>IFERROR(Datos!A1144,"")</f>
        <v/>
      </c>
      <c r="B1144" s="27">
        <f>IFERROR(IF(ISNUMBER(Datos!B1144),Datos!B1144/$F$2*100,NA()),NA())</f>
        <v/>
      </c>
      <c r="C1144" s="27">
        <f>IFERROR(IF(ISNUMBER(Datos!C1144),Datos!C1144/$F$3*100,NA()),NA())</f>
        <v/>
      </c>
    </row>
    <row r="1145">
      <c r="A1145" s="7">
        <f>IFERROR(Datos!A1145,"")</f>
        <v/>
      </c>
      <c r="B1145" s="27">
        <f>IFERROR(IF(ISNUMBER(Datos!B1145),Datos!B1145/$F$2*100,NA()),NA())</f>
        <v/>
      </c>
      <c r="C1145" s="27">
        <f>IFERROR(IF(ISNUMBER(Datos!C1145),Datos!C1145/$F$3*100,NA()),NA())</f>
        <v/>
      </c>
    </row>
    <row r="1146">
      <c r="A1146" s="7">
        <f>IFERROR(Datos!A1146,"")</f>
        <v/>
      </c>
      <c r="B1146" s="27">
        <f>IFERROR(IF(ISNUMBER(Datos!B1146),Datos!B1146/$F$2*100,NA()),NA())</f>
        <v/>
      </c>
      <c r="C1146" s="27">
        <f>IFERROR(IF(ISNUMBER(Datos!C1146),Datos!C1146/$F$3*100,NA()),NA())</f>
        <v/>
      </c>
    </row>
    <row r="1147">
      <c r="A1147" s="7">
        <f>IFERROR(Datos!A1147,"")</f>
        <v/>
      </c>
      <c r="B1147" s="27">
        <f>IFERROR(IF(ISNUMBER(Datos!B1147),Datos!B1147/$F$2*100,NA()),NA())</f>
        <v/>
      </c>
      <c r="C1147" s="27">
        <f>IFERROR(IF(ISNUMBER(Datos!C1147),Datos!C1147/$F$3*100,NA()),NA())</f>
        <v/>
      </c>
    </row>
    <row r="1148">
      <c r="A1148" s="7">
        <f>IFERROR(Datos!A1148,"")</f>
        <v/>
      </c>
      <c r="B1148" s="27">
        <f>IFERROR(IF(ISNUMBER(Datos!B1148),Datos!B1148/$F$2*100,NA()),NA())</f>
        <v/>
      </c>
      <c r="C1148" s="27">
        <f>IFERROR(IF(ISNUMBER(Datos!C1148),Datos!C1148/$F$3*100,NA()),NA())</f>
        <v/>
      </c>
    </row>
    <row r="1149">
      <c r="A1149" s="7">
        <f>IFERROR(Datos!A1149,"")</f>
        <v/>
      </c>
      <c r="B1149" s="27">
        <f>IFERROR(IF(ISNUMBER(Datos!B1149),Datos!B1149/$F$2*100,NA()),NA())</f>
        <v/>
      </c>
      <c r="C1149" s="27">
        <f>IFERROR(IF(ISNUMBER(Datos!C1149),Datos!C1149/$F$3*100,NA()),NA())</f>
        <v/>
      </c>
    </row>
    <row r="1150">
      <c r="A1150" s="7">
        <f>IFERROR(Datos!A1150,"")</f>
        <v/>
      </c>
      <c r="B1150" s="27">
        <f>IFERROR(IF(ISNUMBER(Datos!B1150),Datos!B1150/$F$2*100,NA()),NA())</f>
        <v/>
      </c>
      <c r="C1150" s="27">
        <f>IFERROR(IF(ISNUMBER(Datos!C1150),Datos!C1150/$F$3*100,NA()),NA())</f>
        <v/>
      </c>
    </row>
    <row r="1151">
      <c r="A1151" s="7">
        <f>IFERROR(Datos!A1151,"")</f>
        <v/>
      </c>
      <c r="B1151" s="27">
        <f>IFERROR(IF(ISNUMBER(Datos!B1151),Datos!B1151/$F$2*100,NA()),NA())</f>
        <v/>
      </c>
      <c r="C1151" s="27">
        <f>IFERROR(IF(ISNUMBER(Datos!C1151),Datos!C1151/$F$3*100,NA()),NA())</f>
        <v/>
      </c>
    </row>
    <row r="1152">
      <c r="A1152" s="7">
        <f>IFERROR(Datos!A1152,"")</f>
        <v/>
      </c>
      <c r="B1152" s="27">
        <f>IFERROR(IF(ISNUMBER(Datos!B1152),Datos!B1152/$F$2*100,NA()),NA())</f>
        <v/>
      </c>
      <c r="C1152" s="27">
        <f>IFERROR(IF(ISNUMBER(Datos!C1152),Datos!C1152/$F$3*100,NA()),NA())</f>
        <v/>
      </c>
    </row>
    <row r="1153">
      <c r="A1153" s="7">
        <f>IFERROR(Datos!A1153,"")</f>
        <v/>
      </c>
      <c r="B1153" s="27">
        <f>IFERROR(IF(ISNUMBER(Datos!B1153),Datos!B1153/$F$2*100,NA()),NA())</f>
        <v/>
      </c>
      <c r="C1153" s="27">
        <f>IFERROR(IF(ISNUMBER(Datos!C1153),Datos!C1153/$F$3*100,NA()),NA())</f>
        <v/>
      </c>
    </row>
    <row r="1154">
      <c r="A1154" s="7">
        <f>IFERROR(Datos!A1154,"")</f>
        <v/>
      </c>
      <c r="B1154" s="27">
        <f>IFERROR(IF(ISNUMBER(Datos!B1154),Datos!B1154/$F$2*100,NA()),NA())</f>
        <v/>
      </c>
      <c r="C1154" s="27">
        <f>IFERROR(IF(ISNUMBER(Datos!C1154),Datos!C1154/$F$3*100,NA()),NA())</f>
        <v/>
      </c>
    </row>
    <row r="1155">
      <c r="A1155" s="7">
        <f>IFERROR(Datos!A1155,"")</f>
        <v/>
      </c>
      <c r="B1155" s="27">
        <f>IFERROR(IF(ISNUMBER(Datos!B1155),Datos!B1155/$F$2*100,NA()),NA())</f>
        <v/>
      </c>
      <c r="C1155" s="27">
        <f>IFERROR(IF(ISNUMBER(Datos!C1155),Datos!C1155/$F$3*100,NA()),NA())</f>
        <v/>
      </c>
    </row>
    <row r="1156">
      <c r="A1156" s="7">
        <f>IFERROR(Datos!A1156,"")</f>
        <v/>
      </c>
      <c r="B1156" s="27">
        <f>IFERROR(IF(ISNUMBER(Datos!B1156),Datos!B1156/$F$2*100,NA()),NA())</f>
        <v/>
      </c>
      <c r="C1156" s="27">
        <f>IFERROR(IF(ISNUMBER(Datos!C1156),Datos!C1156/$F$3*100,NA()),NA())</f>
        <v/>
      </c>
    </row>
    <row r="1157">
      <c r="A1157" s="7">
        <f>IFERROR(Datos!A1157,"")</f>
        <v/>
      </c>
      <c r="B1157" s="27">
        <f>IFERROR(IF(ISNUMBER(Datos!B1157),Datos!B1157/$F$2*100,NA()),NA())</f>
        <v/>
      </c>
      <c r="C1157" s="27">
        <f>IFERROR(IF(ISNUMBER(Datos!C1157),Datos!C1157/$F$3*100,NA()),NA())</f>
        <v/>
      </c>
    </row>
    <row r="1158">
      <c r="A1158" s="7">
        <f>IFERROR(Datos!A1158,"")</f>
        <v/>
      </c>
      <c r="B1158" s="27">
        <f>IFERROR(IF(ISNUMBER(Datos!B1158),Datos!B1158/$F$2*100,NA()),NA())</f>
        <v/>
      </c>
      <c r="C1158" s="27">
        <f>IFERROR(IF(ISNUMBER(Datos!C1158),Datos!C1158/$F$3*100,NA()),NA())</f>
        <v/>
      </c>
    </row>
    <row r="1159">
      <c r="A1159" s="7">
        <f>IFERROR(Datos!A1159,"")</f>
        <v/>
      </c>
      <c r="B1159" s="27">
        <f>IFERROR(IF(ISNUMBER(Datos!B1159),Datos!B1159/$F$2*100,NA()),NA())</f>
        <v/>
      </c>
      <c r="C1159" s="27">
        <f>IFERROR(IF(ISNUMBER(Datos!C1159),Datos!C1159/$F$3*100,NA()),NA())</f>
        <v/>
      </c>
    </row>
    <row r="1160">
      <c r="A1160" s="7">
        <f>IFERROR(Datos!A1160,"")</f>
        <v/>
      </c>
      <c r="B1160" s="27">
        <f>IFERROR(IF(ISNUMBER(Datos!B1160),Datos!B1160/$F$2*100,NA()),NA())</f>
        <v/>
      </c>
      <c r="C1160" s="27">
        <f>IFERROR(IF(ISNUMBER(Datos!C1160),Datos!C1160/$F$3*100,NA()),NA())</f>
        <v/>
      </c>
    </row>
    <row r="1161">
      <c r="A1161" s="7">
        <f>IFERROR(Datos!A1161,"")</f>
        <v/>
      </c>
      <c r="B1161" s="27">
        <f>IFERROR(IF(ISNUMBER(Datos!B1161),Datos!B1161/$F$2*100,NA()),NA())</f>
        <v/>
      </c>
      <c r="C1161" s="27">
        <f>IFERROR(IF(ISNUMBER(Datos!C1161),Datos!C1161/$F$3*100,NA()),NA())</f>
        <v/>
      </c>
    </row>
    <row r="1162">
      <c r="A1162" s="7">
        <f>IFERROR(Datos!A1162,"")</f>
        <v/>
      </c>
      <c r="B1162" s="27">
        <f>IFERROR(IF(ISNUMBER(Datos!B1162),Datos!B1162/$F$2*100,NA()),NA())</f>
        <v/>
      </c>
      <c r="C1162" s="27">
        <f>IFERROR(IF(ISNUMBER(Datos!C1162),Datos!C1162/$F$3*100,NA()),NA())</f>
        <v/>
      </c>
    </row>
    <row r="1163">
      <c r="A1163" s="7">
        <f>IFERROR(Datos!A1163,"")</f>
        <v/>
      </c>
      <c r="B1163" s="27">
        <f>IFERROR(IF(ISNUMBER(Datos!B1163),Datos!B1163/$F$2*100,NA()),NA())</f>
        <v/>
      </c>
      <c r="C1163" s="27">
        <f>IFERROR(IF(ISNUMBER(Datos!C1163),Datos!C1163/$F$3*100,NA()),NA())</f>
        <v/>
      </c>
    </row>
    <row r="1164">
      <c r="A1164" s="7">
        <f>IFERROR(Datos!A1164,"")</f>
        <v/>
      </c>
      <c r="B1164" s="27">
        <f>IFERROR(IF(ISNUMBER(Datos!B1164),Datos!B1164/$F$2*100,NA()),NA())</f>
        <v/>
      </c>
      <c r="C1164" s="27">
        <f>IFERROR(IF(ISNUMBER(Datos!C1164),Datos!C1164/$F$3*100,NA()),NA())</f>
        <v/>
      </c>
    </row>
    <row r="1165">
      <c r="A1165" s="7">
        <f>IFERROR(Datos!A1165,"")</f>
        <v/>
      </c>
      <c r="B1165" s="27">
        <f>IFERROR(IF(ISNUMBER(Datos!B1165),Datos!B1165/$F$2*100,NA()),NA())</f>
        <v/>
      </c>
      <c r="C1165" s="27">
        <f>IFERROR(IF(ISNUMBER(Datos!C1165),Datos!C1165/$F$3*100,NA()),NA())</f>
        <v/>
      </c>
    </row>
    <row r="1166">
      <c r="A1166" s="7">
        <f>IFERROR(Datos!A1166,"")</f>
        <v/>
      </c>
      <c r="B1166" s="27">
        <f>IFERROR(IF(ISNUMBER(Datos!B1166),Datos!B1166/$F$2*100,NA()),NA())</f>
        <v/>
      </c>
      <c r="C1166" s="27">
        <f>IFERROR(IF(ISNUMBER(Datos!C1166),Datos!C1166/$F$3*100,NA()),NA())</f>
        <v/>
      </c>
    </row>
    <row r="1167">
      <c r="A1167" s="7">
        <f>IFERROR(Datos!A1167,"")</f>
        <v/>
      </c>
      <c r="B1167" s="27">
        <f>IFERROR(IF(ISNUMBER(Datos!B1167),Datos!B1167/$F$2*100,NA()),NA())</f>
        <v/>
      </c>
      <c r="C1167" s="27">
        <f>IFERROR(IF(ISNUMBER(Datos!C1167),Datos!C1167/$F$3*100,NA()),NA())</f>
        <v/>
      </c>
    </row>
    <row r="1168">
      <c r="A1168" s="7">
        <f>IFERROR(Datos!A1168,"")</f>
        <v/>
      </c>
      <c r="B1168" s="27">
        <f>IFERROR(IF(ISNUMBER(Datos!B1168),Datos!B1168/$F$2*100,NA()),NA())</f>
        <v/>
      </c>
      <c r="C1168" s="27">
        <f>IFERROR(IF(ISNUMBER(Datos!C1168),Datos!C1168/$F$3*100,NA()),NA())</f>
        <v/>
      </c>
    </row>
    <row r="1169">
      <c r="A1169" s="7">
        <f>IFERROR(Datos!A1169,"")</f>
        <v/>
      </c>
      <c r="B1169" s="27">
        <f>IFERROR(IF(ISNUMBER(Datos!B1169),Datos!B1169/$F$2*100,NA()),NA())</f>
        <v/>
      </c>
      <c r="C1169" s="27">
        <f>IFERROR(IF(ISNUMBER(Datos!C1169),Datos!C1169/$F$3*100,NA()),NA())</f>
        <v/>
      </c>
    </row>
    <row r="1170">
      <c r="A1170" s="7">
        <f>IFERROR(Datos!A1170,"")</f>
        <v/>
      </c>
      <c r="B1170" s="27">
        <f>IFERROR(IF(ISNUMBER(Datos!B1170),Datos!B1170/$F$2*100,NA()),NA())</f>
        <v/>
      </c>
      <c r="C1170" s="27">
        <f>IFERROR(IF(ISNUMBER(Datos!C1170),Datos!C1170/$F$3*100,NA()),NA())</f>
        <v/>
      </c>
    </row>
    <row r="1171">
      <c r="A1171" s="7">
        <f>IFERROR(Datos!A1171,"")</f>
        <v/>
      </c>
      <c r="B1171" s="27">
        <f>IFERROR(IF(ISNUMBER(Datos!B1171),Datos!B1171/$F$2*100,NA()),NA())</f>
        <v/>
      </c>
      <c r="C1171" s="27">
        <f>IFERROR(IF(ISNUMBER(Datos!C1171),Datos!C1171/$F$3*100,NA()),NA())</f>
        <v/>
      </c>
    </row>
    <row r="1172">
      <c r="A1172" s="7">
        <f>IFERROR(Datos!A1172,"")</f>
        <v/>
      </c>
      <c r="B1172" s="27">
        <f>IFERROR(IF(ISNUMBER(Datos!B1172),Datos!B1172/$F$2*100,NA()),NA())</f>
        <v/>
      </c>
      <c r="C1172" s="27">
        <f>IFERROR(IF(ISNUMBER(Datos!C1172),Datos!C1172/$F$3*100,NA()),NA())</f>
        <v/>
      </c>
    </row>
    <row r="1173">
      <c r="A1173" s="7">
        <f>IFERROR(Datos!A1173,"")</f>
        <v/>
      </c>
      <c r="B1173" s="27">
        <f>IFERROR(IF(ISNUMBER(Datos!B1173),Datos!B1173/$F$2*100,NA()),NA())</f>
        <v/>
      </c>
      <c r="C1173" s="27">
        <f>IFERROR(IF(ISNUMBER(Datos!C1173),Datos!C1173/$F$3*100,NA()),NA())</f>
        <v/>
      </c>
    </row>
    <row r="1174">
      <c r="A1174" s="7">
        <f>IFERROR(Datos!A1174,"")</f>
        <v/>
      </c>
      <c r="B1174" s="27">
        <f>IFERROR(IF(ISNUMBER(Datos!B1174),Datos!B1174/$F$2*100,NA()),NA())</f>
        <v/>
      </c>
      <c r="C1174" s="27">
        <f>IFERROR(IF(ISNUMBER(Datos!C1174),Datos!C1174/$F$3*100,NA()),NA())</f>
        <v/>
      </c>
    </row>
    <row r="1175">
      <c r="A1175" s="7">
        <f>IFERROR(Datos!A1175,"")</f>
        <v/>
      </c>
      <c r="B1175" s="27">
        <f>IFERROR(IF(ISNUMBER(Datos!B1175),Datos!B1175/$F$2*100,NA()),NA())</f>
        <v/>
      </c>
      <c r="C1175" s="27">
        <f>IFERROR(IF(ISNUMBER(Datos!C1175),Datos!C1175/$F$3*100,NA()),NA())</f>
        <v/>
      </c>
    </row>
    <row r="1176">
      <c r="A1176" s="7">
        <f>IFERROR(Datos!A1176,"")</f>
        <v/>
      </c>
      <c r="B1176" s="27">
        <f>IFERROR(IF(ISNUMBER(Datos!B1176),Datos!B1176/$F$2*100,NA()),NA())</f>
        <v/>
      </c>
      <c r="C1176" s="27">
        <f>IFERROR(IF(ISNUMBER(Datos!C1176),Datos!C1176/$F$3*100,NA()),NA())</f>
        <v/>
      </c>
    </row>
    <row r="1177">
      <c r="A1177" s="7">
        <f>IFERROR(Datos!A1177,"")</f>
        <v/>
      </c>
      <c r="B1177" s="27">
        <f>IFERROR(IF(ISNUMBER(Datos!B1177),Datos!B1177/$F$2*100,NA()),NA())</f>
        <v/>
      </c>
      <c r="C1177" s="27">
        <f>IFERROR(IF(ISNUMBER(Datos!C1177),Datos!C1177/$F$3*100,NA()),NA())</f>
        <v/>
      </c>
    </row>
    <row r="1178">
      <c r="A1178" s="7">
        <f>IFERROR(Datos!A1178,"")</f>
        <v/>
      </c>
      <c r="B1178" s="27">
        <f>IFERROR(IF(ISNUMBER(Datos!B1178),Datos!B1178/$F$2*100,NA()),NA())</f>
        <v/>
      </c>
      <c r="C1178" s="27">
        <f>IFERROR(IF(ISNUMBER(Datos!C1178),Datos!C1178/$F$3*100,NA()),NA())</f>
        <v/>
      </c>
    </row>
    <row r="1179">
      <c r="A1179" s="7">
        <f>IFERROR(Datos!A1179,"")</f>
        <v/>
      </c>
      <c r="B1179" s="27">
        <f>IFERROR(IF(ISNUMBER(Datos!B1179),Datos!B1179/$F$2*100,NA()),NA())</f>
        <v/>
      </c>
      <c r="C1179" s="27">
        <f>IFERROR(IF(ISNUMBER(Datos!C1179),Datos!C1179/$F$3*100,NA()),NA())</f>
        <v/>
      </c>
    </row>
    <row r="1180">
      <c r="A1180" s="7">
        <f>IFERROR(Datos!A1180,"")</f>
        <v/>
      </c>
      <c r="B1180" s="27">
        <f>IFERROR(IF(ISNUMBER(Datos!B1180),Datos!B1180/$F$2*100,NA()),NA())</f>
        <v/>
      </c>
      <c r="C1180" s="27">
        <f>IFERROR(IF(ISNUMBER(Datos!C1180),Datos!C1180/$F$3*100,NA()),NA())</f>
        <v/>
      </c>
    </row>
    <row r="1181">
      <c r="A1181" s="7">
        <f>IFERROR(Datos!A1181,"")</f>
        <v/>
      </c>
      <c r="B1181" s="27">
        <f>IFERROR(IF(ISNUMBER(Datos!B1181),Datos!B1181/$F$2*100,NA()),NA())</f>
        <v/>
      </c>
      <c r="C1181" s="27">
        <f>IFERROR(IF(ISNUMBER(Datos!C1181),Datos!C1181/$F$3*100,NA()),NA())</f>
        <v/>
      </c>
    </row>
    <row r="1182">
      <c r="A1182" s="7">
        <f>IFERROR(Datos!A1182,"")</f>
        <v/>
      </c>
      <c r="B1182" s="27">
        <f>IFERROR(IF(ISNUMBER(Datos!B1182),Datos!B1182/$F$2*100,NA()),NA())</f>
        <v/>
      </c>
      <c r="C1182" s="27">
        <f>IFERROR(IF(ISNUMBER(Datos!C1182),Datos!C1182/$F$3*100,NA()),NA())</f>
        <v/>
      </c>
    </row>
    <row r="1183">
      <c r="A1183" s="7">
        <f>IFERROR(Datos!A1183,"")</f>
        <v/>
      </c>
      <c r="B1183" s="27">
        <f>IFERROR(IF(ISNUMBER(Datos!B1183),Datos!B1183/$F$2*100,NA()),NA())</f>
        <v/>
      </c>
      <c r="C1183" s="27">
        <f>IFERROR(IF(ISNUMBER(Datos!C1183),Datos!C1183/$F$3*100,NA()),NA())</f>
        <v/>
      </c>
    </row>
    <row r="1184">
      <c r="A1184" s="7">
        <f>IFERROR(Datos!A1184,"")</f>
        <v/>
      </c>
      <c r="B1184" s="27">
        <f>IFERROR(IF(ISNUMBER(Datos!B1184),Datos!B1184/$F$2*100,NA()),NA())</f>
        <v/>
      </c>
      <c r="C1184" s="27">
        <f>IFERROR(IF(ISNUMBER(Datos!C1184),Datos!C1184/$F$3*100,NA()),NA())</f>
        <v/>
      </c>
    </row>
    <row r="1185">
      <c r="A1185" s="7">
        <f>IFERROR(Datos!A1185,"")</f>
        <v/>
      </c>
      <c r="B1185" s="27">
        <f>IFERROR(IF(ISNUMBER(Datos!B1185),Datos!B1185/$F$2*100,NA()),NA())</f>
        <v/>
      </c>
      <c r="C1185" s="27">
        <f>IFERROR(IF(ISNUMBER(Datos!C1185),Datos!C1185/$F$3*100,NA()),NA())</f>
        <v/>
      </c>
    </row>
    <row r="1186">
      <c r="A1186" s="7">
        <f>IFERROR(Datos!A1186,"")</f>
        <v/>
      </c>
      <c r="B1186" s="27">
        <f>IFERROR(IF(ISNUMBER(Datos!B1186),Datos!B1186/$F$2*100,NA()),NA())</f>
        <v/>
      </c>
      <c r="C1186" s="27">
        <f>IFERROR(IF(ISNUMBER(Datos!C1186),Datos!C1186/$F$3*100,NA()),NA())</f>
        <v/>
      </c>
    </row>
    <row r="1187">
      <c r="A1187" s="7">
        <f>IFERROR(Datos!A1187,"")</f>
        <v/>
      </c>
      <c r="B1187" s="27">
        <f>IFERROR(IF(ISNUMBER(Datos!B1187),Datos!B1187/$F$2*100,NA()),NA())</f>
        <v/>
      </c>
      <c r="C1187" s="27">
        <f>IFERROR(IF(ISNUMBER(Datos!C1187),Datos!C1187/$F$3*100,NA()),NA())</f>
        <v/>
      </c>
    </row>
    <row r="1188">
      <c r="A1188" s="7">
        <f>IFERROR(Datos!A1188,"")</f>
        <v/>
      </c>
      <c r="B1188" s="27">
        <f>IFERROR(IF(ISNUMBER(Datos!B1188),Datos!B1188/$F$2*100,NA()),NA())</f>
        <v/>
      </c>
      <c r="C1188" s="27">
        <f>IFERROR(IF(ISNUMBER(Datos!C1188),Datos!C1188/$F$3*100,NA()),NA())</f>
        <v/>
      </c>
    </row>
    <row r="1189">
      <c r="A1189" s="7">
        <f>IFERROR(Datos!A1189,"")</f>
        <v/>
      </c>
      <c r="B1189" s="27">
        <f>IFERROR(IF(ISNUMBER(Datos!B1189),Datos!B1189/$F$2*100,NA()),NA())</f>
        <v/>
      </c>
      <c r="C1189" s="27">
        <f>IFERROR(IF(ISNUMBER(Datos!C1189),Datos!C1189/$F$3*100,NA()),NA())</f>
        <v/>
      </c>
    </row>
    <row r="1190">
      <c r="A1190" s="7">
        <f>IFERROR(Datos!A1190,"")</f>
        <v/>
      </c>
      <c r="B1190" s="27">
        <f>IFERROR(IF(ISNUMBER(Datos!B1190),Datos!B1190/$F$2*100,NA()),NA())</f>
        <v/>
      </c>
      <c r="C1190" s="27">
        <f>IFERROR(IF(ISNUMBER(Datos!C1190),Datos!C1190/$F$3*100,NA()),NA())</f>
        <v/>
      </c>
    </row>
    <row r="1191">
      <c r="A1191" s="7">
        <f>IFERROR(Datos!A1191,"")</f>
        <v/>
      </c>
      <c r="B1191" s="27">
        <f>IFERROR(IF(ISNUMBER(Datos!B1191),Datos!B1191/$F$2*100,NA()),NA())</f>
        <v/>
      </c>
      <c r="C1191" s="27">
        <f>IFERROR(IF(ISNUMBER(Datos!C1191),Datos!C1191/$F$3*100,NA()),NA())</f>
        <v/>
      </c>
    </row>
    <row r="1192">
      <c r="A1192" s="7">
        <f>IFERROR(Datos!A1192,"")</f>
        <v/>
      </c>
      <c r="B1192" s="27">
        <f>IFERROR(IF(ISNUMBER(Datos!B1192),Datos!B1192/$F$2*100,NA()),NA())</f>
        <v/>
      </c>
      <c r="C1192" s="27">
        <f>IFERROR(IF(ISNUMBER(Datos!C1192),Datos!C1192/$F$3*100,NA()),NA())</f>
        <v/>
      </c>
    </row>
    <row r="1193">
      <c r="A1193" s="7">
        <f>IFERROR(Datos!A1193,"")</f>
        <v/>
      </c>
      <c r="B1193" s="27">
        <f>IFERROR(IF(ISNUMBER(Datos!B1193),Datos!B1193/$F$2*100,NA()),NA())</f>
        <v/>
      </c>
      <c r="C1193" s="27">
        <f>IFERROR(IF(ISNUMBER(Datos!C1193),Datos!C1193/$F$3*100,NA()),NA())</f>
        <v/>
      </c>
    </row>
    <row r="1194">
      <c r="A1194" s="7">
        <f>IFERROR(Datos!A1194,"")</f>
        <v/>
      </c>
      <c r="B1194" s="27">
        <f>IFERROR(IF(ISNUMBER(Datos!B1194),Datos!B1194/$F$2*100,NA()),NA())</f>
        <v/>
      </c>
      <c r="C1194" s="27">
        <f>IFERROR(IF(ISNUMBER(Datos!C1194),Datos!C1194/$F$3*100,NA()),NA())</f>
        <v/>
      </c>
    </row>
    <row r="1195">
      <c r="A1195" s="7">
        <f>IFERROR(Datos!A1195,"")</f>
        <v/>
      </c>
      <c r="B1195" s="27">
        <f>IFERROR(IF(ISNUMBER(Datos!B1195),Datos!B1195/$F$2*100,NA()),NA())</f>
        <v/>
      </c>
      <c r="C1195" s="27">
        <f>IFERROR(IF(ISNUMBER(Datos!C1195),Datos!C1195/$F$3*100,NA()),NA())</f>
        <v/>
      </c>
    </row>
    <row r="1196">
      <c r="A1196" s="7">
        <f>IFERROR(Datos!A1196,"")</f>
        <v/>
      </c>
      <c r="B1196" s="27">
        <f>IFERROR(IF(ISNUMBER(Datos!B1196),Datos!B1196/$F$2*100,NA()),NA())</f>
        <v/>
      </c>
      <c r="C1196" s="27">
        <f>IFERROR(IF(ISNUMBER(Datos!C1196),Datos!C1196/$F$3*100,NA()),NA())</f>
        <v/>
      </c>
    </row>
    <row r="1197">
      <c r="A1197" s="7">
        <f>IFERROR(Datos!A1197,"")</f>
        <v/>
      </c>
      <c r="B1197" s="27">
        <f>IFERROR(IF(ISNUMBER(Datos!B1197),Datos!B1197/$F$2*100,NA()),NA())</f>
        <v/>
      </c>
      <c r="C1197" s="27">
        <f>IFERROR(IF(ISNUMBER(Datos!C1197),Datos!C1197/$F$3*100,NA()),NA())</f>
        <v/>
      </c>
    </row>
    <row r="1198">
      <c r="A1198" s="7">
        <f>IFERROR(Datos!A1198,"")</f>
        <v/>
      </c>
      <c r="B1198" s="27">
        <f>IFERROR(IF(ISNUMBER(Datos!B1198),Datos!B1198/$F$2*100,NA()),NA())</f>
        <v/>
      </c>
      <c r="C1198" s="27">
        <f>IFERROR(IF(ISNUMBER(Datos!C1198),Datos!C1198/$F$3*100,NA()),NA())</f>
        <v/>
      </c>
    </row>
    <row r="1199">
      <c r="A1199" s="7">
        <f>IFERROR(Datos!A1199,"")</f>
        <v/>
      </c>
      <c r="B1199" s="27">
        <f>IFERROR(IF(ISNUMBER(Datos!B1199),Datos!B1199/$F$2*100,NA()),NA())</f>
        <v/>
      </c>
      <c r="C1199" s="27">
        <f>IFERROR(IF(ISNUMBER(Datos!C1199),Datos!C1199/$F$3*100,NA()),NA())</f>
        <v/>
      </c>
    </row>
    <row r="1200">
      <c r="A1200" s="7">
        <f>IFERROR(Datos!A1200,"")</f>
        <v/>
      </c>
      <c r="B1200" s="27">
        <f>IFERROR(IF(ISNUMBER(Datos!B1200),Datos!B1200/$F$2*100,NA()),NA())</f>
        <v/>
      </c>
      <c r="C1200" s="27">
        <f>IFERROR(IF(ISNUMBER(Datos!C1200),Datos!C1200/$F$3*100,NA()),NA())</f>
        <v/>
      </c>
    </row>
    <row r="1201">
      <c r="A1201" s="7">
        <f>IFERROR(Datos!A1201,"")</f>
        <v/>
      </c>
      <c r="B1201" s="27">
        <f>IFERROR(IF(ISNUMBER(Datos!B1201),Datos!B1201/$F$2*100,NA()),NA())</f>
        <v/>
      </c>
      <c r="C1201" s="27">
        <f>IFERROR(IF(ISNUMBER(Datos!C1201),Datos!C1201/$F$3*100,NA()),NA())</f>
        <v/>
      </c>
    </row>
    <row r="1202">
      <c r="A1202" s="7">
        <f>IFERROR(Datos!A1202,"")</f>
        <v/>
      </c>
      <c r="B1202" s="27">
        <f>IFERROR(IF(ISNUMBER(Datos!B1202),Datos!B1202/$F$2*100,NA()),NA())</f>
        <v/>
      </c>
      <c r="C1202" s="27">
        <f>IFERROR(IF(ISNUMBER(Datos!C1202),Datos!C1202/$F$3*100,NA()),NA())</f>
        <v/>
      </c>
    </row>
    <row r="1203">
      <c r="A1203" s="7">
        <f>IFERROR(Datos!A1203,"")</f>
        <v/>
      </c>
      <c r="B1203" s="27">
        <f>IFERROR(IF(ISNUMBER(Datos!B1203),Datos!B1203/$F$2*100,NA()),NA())</f>
        <v/>
      </c>
      <c r="C1203" s="27">
        <f>IFERROR(IF(ISNUMBER(Datos!C1203),Datos!C1203/$F$3*100,NA()),NA())</f>
        <v/>
      </c>
    </row>
    <row r="1204">
      <c r="A1204" s="7">
        <f>IFERROR(Datos!A1204,"")</f>
        <v/>
      </c>
      <c r="B1204" s="27">
        <f>IFERROR(IF(ISNUMBER(Datos!B1204),Datos!B1204/$F$2*100,NA()),NA())</f>
        <v/>
      </c>
      <c r="C1204" s="27">
        <f>IFERROR(IF(ISNUMBER(Datos!C1204),Datos!C1204/$F$3*100,NA()),NA())</f>
        <v/>
      </c>
    </row>
    <row r="1205">
      <c r="A1205" s="7">
        <f>IFERROR(Datos!A1205,"")</f>
        <v/>
      </c>
      <c r="B1205" s="27">
        <f>IFERROR(IF(ISNUMBER(Datos!B1205),Datos!B1205/$F$2*100,NA()),NA())</f>
        <v/>
      </c>
      <c r="C1205" s="27">
        <f>IFERROR(IF(ISNUMBER(Datos!C1205),Datos!C1205/$F$3*100,NA()),NA())</f>
        <v/>
      </c>
    </row>
    <row r="1206">
      <c r="A1206" s="7">
        <f>IFERROR(Datos!A1206,"")</f>
        <v/>
      </c>
      <c r="B1206" s="27">
        <f>IFERROR(IF(ISNUMBER(Datos!B1206),Datos!B1206/$F$2*100,NA()),NA())</f>
        <v/>
      </c>
      <c r="C1206" s="27">
        <f>IFERROR(IF(ISNUMBER(Datos!C1206),Datos!C1206/$F$3*100,NA()),NA())</f>
        <v/>
      </c>
    </row>
    <row r="1207">
      <c r="A1207" s="7">
        <f>IFERROR(Datos!A1207,"")</f>
        <v/>
      </c>
      <c r="B1207" s="27">
        <f>IFERROR(IF(ISNUMBER(Datos!B1207),Datos!B1207/$F$2*100,NA()),NA())</f>
        <v/>
      </c>
      <c r="C1207" s="27">
        <f>IFERROR(IF(ISNUMBER(Datos!C1207),Datos!C1207/$F$3*100,NA()),NA())</f>
        <v/>
      </c>
    </row>
    <row r="1208">
      <c r="A1208" s="7">
        <f>IFERROR(Datos!A1208,"")</f>
        <v/>
      </c>
      <c r="B1208" s="27">
        <f>IFERROR(IF(ISNUMBER(Datos!B1208),Datos!B1208/$F$2*100,NA()),NA())</f>
        <v/>
      </c>
      <c r="C1208" s="27">
        <f>IFERROR(IF(ISNUMBER(Datos!C1208),Datos!C1208/$F$3*100,NA()),NA())</f>
        <v/>
      </c>
    </row>
    <row r="1209">
      <c r="A1209" s="7">
        <f>IFERROR(Datos!A1209,"")</f>
        <v/>
      </c>
      <c r="B1209" s="27">
        <f>IFERROR(IF(ISNUMBER(Datos!B1209),Datos!B1209/$F$2*100,NA()),NA())</f>
        <v/>
      </c>
      <c r="C1209" s="27">
        <f>IFERROR(IF(ISNUMBER(Datos!C1209),Datos!C1209/$F$3*100,NA()),NA())</f>
        <v/>
      </c>
    </row>
    <row r="1210">
      <c r="A1210" s="7">
        <f>IFERROR(Datos!A1210,"")</f>
        <v/>
      </c>
      <c r="B1210" s="27">
        <f>IFERROR(IF(ISNUMBER(Datos!B1210),Datos!B1210/$F$2*100,NA()),NA())</f>
        <v/>
      </c>
      <c r="C1210" s="27">
        <f>IFERROR(IF(ISNUMBER(Datos!C1210),Datos!C1210/$F$3*100,NA()),NA())</f>
        <v/>
      </c>
    </row>
    <row r="1211">
      <c r="A1211" s="7">
        <f>IFERROR(Datos!A1211,"")</f>
        <v/>
      </c>
      <c r="B1211" s="27">
        <f>IFERROR(IF(ISNUMBER(Datos!B1211),Datos!B1211/$F$2*100,NA()),NA())</f>
        <v/>
      </c>
      <c r="C1211" s="27">
        <f>IFERROR(IF(ISNUMBER(Datos!C1211),Datos!C1211/$F$3*100,NA()),NA())</f>
        <v/>
      </c>
    </row>
    <row r="1212">
      <c r="A1212" s="7">
        <f>IFERROR(Datos!A1212,"")</f>
        <v/>
      </c>
      <c r="B1212" s="27">
        <f>IFERROR(IF(ISNUMBER(Datos!B1212),Datos!B1212/$F$2*100,NA()),NA())</f>
        <v/>
      </c>
      <c r="C1212" s="27">
        <f>IFERROR(IF(ISNUMBER(Datos!C1212),Datos!C1212/$F$3*100,NA()),NA())</f>
        <v/>
      </c>
    </row>
    <row r="1213">
      <c r="A1213" s="7">
        <f>IFERROR(Datos!A1213,"")</f>
        <v/>
      </c>
      <c r="B1213" s="27">
        <f>IFERROR(IF(ISNUMBER(Datos!B1213),Datos!B1213/$F$2*100,NA()),NA())</f>
        <v/>
      </c>
      <c r="C1213" s="27">
        <f>IFERROR(IF(ISNUMBER(Datos!C1213),Datos!C1213/$F$3*100,NA()),NA())</f>
        <v/>
      </c>
    </row>
    <row r="1214">
      <c r="A1214" s="7">
        <f>IFERROR(Datos!A1214,"")</f>
        <v/>
      </c>
      <c r="B1214" s="27">
        <f>IFERROR(IF(ISNUMBER(Datos!B1214),Datos!B1214/$F$2*100,NA()),NA())</f>
        <v/>
      </c>
      <c r="C1214" s="27">
        <f>IFERROR(IF(ISNUMBER(Datos!C1214),Datos!C1214/$F$3*100,NA()),NA())</f>
        <v/>
      </c>
    </row>
    <row r="1215">
      <c r="A1215" s="7">
        <f>IFERROR(Datos!A1215,"")</f>
        <v/>
      </c>
      <c r="B1215" s="27">
        <f>IFERROR(IF(ISNUMBER(Datos!B1215),Datos!B1215/$F$2*100,NA()),NA())</f>
        <v/>
      </c>
      <c r="C1215" s="27">
        <f>IFERROR(IF(ISNUMBER(Datos!C1215),Datos!C1215/$F$3*100,NA()),NA())</f>
        <v/>
      </c>
    </row>
    <row r="1216">
      <c r="A1216" s="7">
        <f>IFERROR(Datos!A1216,"")</f>
        <v/>
      </c>
      <c r="B1216" s="27">
        <f>IFERROR(IF(ISNUMBER(Datos!B1216),Datos!B1216/$F$2*100,NA()),NA())</f>
        <v/>
      </c>
      <c r="C1216" s="27">
        <f>IFERROR(IF(ISNUMBER(Datos!C1216),Datos!C1216/$F$3*100,NA()),NA())</f>
        <v/>
      </c>
    </row>
    <row r="1217">
      <c r="A1217" s="7">
        <f>IFERROR(Datos!A1217,"")</f>
        <v/>
      </c>
      <c r="B1217" s="27">
        <f>IFERROR(IF(ISNUMBER(Datos!B1217),Datos!B1217/$F$2*100,NA()),NA())</f>
        <v/>
      </c>
      <c r="C1217" s="27">
        <f>IFERROR(IF(ISNUMBER(Datos!C1217),Datos!C1217/$F$3*100,NA()),NA())</f>
        <v/>
      </c>
    </row>
    <row r="1218">
      <c r="A1218" s="7">
        <f>IFERROR(Datos!A1218,"")</f>
        <v/>
      </c>
      <c r="B1218" s="27">
        <f>IFERROR(IF(ISNUMBER(Datos!B1218),Datos!B1218/$F$2*100,NA()),NA())</f>
        <v/>
      </c>
      <c r="C1218" s="27">
        <f>IFERROR(IF(ISNUMBER(Datos!C1218),Datos!C1218/$F$3*100,NA()),NA())</f>
        <v/>
      </c>
    </row>
    <row r="1219">
      <c r="A1219" s="7">
        <f>IFERROR(Datos!A1219,"")</f>
        <v/>
      </c>
      <c r="B1219" s="27">
        <f>IFERROR(IF(ISNUMBER(Datos!B1219),Datos!B1219/$F$2*100,NA()),NA())</f>
        <v/>
      </c>
      <c r="C1219" s="27">
        <f>IFERROR(IF(ISNUMBER(Datos!C1219),Datos!C1219/$F$3*100,NA()),NA())</f>
        <v/>
      </c>
    </row>
    <row r="1220">
      <c r="A1220" s="7">
        <f>IFERROR(Datos!A1220,"")</f>
        <v/>
      </c>
      <c r="B1220" s="27">
        <f>IFERROR(IF(ISNUMBER(Datos!B1220),Datos!B1220/$F$2*100,NA()),NA())</f>
        <v/>
      </c>
      <c r="C1220" s="27">
        <f>IFERROR(IF(ISNUMBER(Datos!C1220),Datos!C1220/$F$3*100,NA()),NA())</f>
        <v/>
      </c>
    </row>
    <row r="1221">
      <c r="A1221" s="7">
        <f>IFERROR(Datos!A1221,"")</f>
        <v/>
      </c>
      <c r="B1221" s="27">
        <f>IFERROR(IF(ISNUMBER(Datos!B1221),Datos!B1221/$F$2*100,NA()),NA())</f>
        <v/>
      </c>
      <c r="C1221" s="27">
        <f>IFERROR(IF(ISNUMBER(Datos!C1221),Datos!C1221/$F$3*100,NA()),NA())</f>
        <v/>
      </c>
    </row>
    <row r="1222">
      <c r="A1222" s="7">
        <f>IFERROR(Datos!A1222,"")</f>
        <v/>
      </c>
      <c r="B1222" s="27">
        <f>IFERROR(IF(ISNUMBER(Datos!B1222),Datos!B1222/$F$2*100,NA()),NA())</f>
        <v/>
      </c>
      <c r="C1222" s="27">
        <f>IFERROR(IF(ISNUMBER(Datos!C1222),Datos!C1222/$F$3*100,NA()),NA())</f>
        <v/>
      </c>
    </row>
    <row r="1223">
      <c r="A1223" s="7">
        <f>IFERROR(Datos!A1223,"")</f>
        <v/>
      </c>
      <c r="B1223" s="27">
        <f>IFERROR(IF(ISNUMBER(Datos!B1223),Datos!B1223/$F$2*100,NA()),NA())</f>
        <v/>
      </c>
      <c r="C1223" s="27">
        <f>IFERROR(IF(ISNUMBER(Datos!C1223),Datos!C1223/$F$3*100,NA()),NA())</f>
        <v/>
      </c>
    </row>
    <row r="1224">
      <c r="A1224" s="7">
        <f>IFERROR(Datos!A1224,"")</f>
        <v/>
      </c>
      <c r="B1224" s="27">
        <f>IFERROR(IF(ISNUMBER(Datos!B1224),Datos!B1224/$F$2*100,NA()),NA())</f>
        <v/>
      </c>
      <c r="C1224" s="27">
        <f>IFERROR(IF(ISNUMBER(Datos!C1224),Datos!C1224/$F$3*100,NA()),NA())</f>
        <v/>
      </c>
    </row>
    <row r="1225">
      <c r="A1225" s="7">
        <f>IFERROR(Datos!A1225,"")</f>
        <v/>
      </c>
      <c r="B1225" s="27">
        <f>IFERROR(IF(ISNUMBER(Datos!B1225),Datos!B1225/$F$2*100,NA()),NA())</f>
        <v/>
      </c>
      <c r="C1225" s="27">
        <f>IFERROR(IF(ISNUMBER(Datos!C1225),Datos!C1225/$F$3*100,NA()),NA())</f>
        <v/>
      </c>
    </row>
    <row r="1226">
      <c r="A1226" s="7">
        <f>IFERROR(Datos!A1226,"")</f>
        <v/>
      </c>
      <c r="B1226" s="27">
        <f>IFERROR(IF(ISNUMBER(Datos!B1226),Datos!B1226/$F$2*100,NA()),NA())</f>
        <v/>
      </c>
      <c r="C1226" s="27">
        <f>IFERROR(IF(ISNUMBER(Datos!C1226),Datos!C1226/$F$3*100,NA()),NA())</f>
        <v/>
      </c>
    </row>
    <row r="1227">
      <c r="A1227" s="7">
        <f>IFERROR(Datos!A1227,"")</f>
        <v/>
      </c>
      <c r="B1227" s="27">
        <f>IFERROR(IF(ISNUMBER(Datos!B1227),Datos!B1227/$F$2*100,NA()),NA())</f>
        <v/>
      </c>
      <c r="C1227" s="27">
        <f>IFERROR(IF(ISNUMBER(Datos!C1227),Datos!C1227/$F$3*100,NA()),NA())</f>
        <v/>
      </c>
    </row>
    <row r="1228">
      <c r="A1228" s="7">
        <f>IFERROR(Datos!A1228,"")</f>
        <v/>
      </c>
      <c r="B1228" s="27">
        <f>IFERROR(IF(ISNUMBER(Datos!B1228),Datos!B1228/$F$2*100,NA()),NA())</f>
        <v/>
      </c>
      <c r="C1228" s="27">
        <f>IFERROR(IF(ISNUMBER(Datos!C1228),Datos!C1228/$F$3*100,NA()),NA())</f>
        <v/>
      </c>
    </row>
    <row r="1229">
      <c r="A1229" s="7">
        <f>IFERROR(Datos!A1229,"")</f>
        <v/>
      </c>
      <c r="B1229" s="27">
        <f>IFERROR(IF(ISNUMBER(Datos!B1229),Datos!B1229/$F$2*100,NA()),NA())</f>
        <v/>
      </c>
      <c r="C1229" s="27">
        <f>IFERROR(IF(ISNUMBER(Datos!C1229),Datos!C1229/$F$3*100,NA()),NA())</f>
        <v/>
      </c>
    </row>
    <row r="1230">
      <c r="A1230" s="7">
        <f>IFERROR(Datos!A1230,"")</f>
        <v/>
      </c>
      <c r="B1230" s="27">
        <f>IFERROR(IF(ISNUMBER(Datos!B1230),Datos!B1230/$F$2*100,NA()),NA())</f>
        <v/>
      </c>
      <c r="C1230" s="27">
        <f>IFERROR(IF(ISNUMBER(Datos!C1230),Datos!C1230/$F$3*100,NA()),NA())</f>
        <v/>
      </c>
    </row>
    <row r="1231">
      <c r="A1231" s="7">
        <f>IFERROR(Datos!A1231,"")</f>
        <v/>
      </c>
      <c r="B1231" s="27">
        <f>IFERROR(IF(ISNUMBER(Datos!B1231),Datos!B1231/$F$2*100,NA()),NA())</f>
        <v/>
      </c>
      <c r="C1231" s="27">
        <f>IFERROR(IF(ISNUMBER(Datos!C1231),Datos!C1231/$F$3*100,NA()),NA())</f>
        <v/>
      </c>
    </row>
    <row r="1232">
      <c r="A1232" s="7">
        <f>IFERROR(Datos!A1232,"")</f>
        <v/>
      </c>
      <c r="B1232" s="27">
        <f>IFERROR(IF(ISNUMBER(Datos!B1232),Datos!B1232/$F$2*100,NA()),NA())</f>
        <v/>
      </c>
      <c r="C1232" s="27">
        <f>IFERROR(IF(ISNUMBER(Datos!C1232),Datos!C1232/$F$3*100,NA()),NA())</f>
        <v/>
      </c>
    </row>
    <row r="1233">
      <c r="A1233" s="7">
        <f>IFERROR(Datos!A1233,"")</f>
        <v/>
      </c>
      <c r="B1233" s="27">
        <f>IFERROR(IF(ISNUMBER(Datos!B1233),Datos!B1233/$F$2*100,NA()),NA())</f>
        <v/>
      </c>
      <c r="C1233" s="27">
        <f>IFERROR(IF(ISNUMBER(Datos!C1233),Datos!C1233/$F$3*100,NA()),NA())</f>
        <v/>
      </c>
    </row>
    <row r="1234">
      <c r="A1234" s="7">
        <f>IFERROR(Datos!A1234,"")</f>
        <v/>
      </c>
      <c r="B1234" s="27">
        <f>IFERROR(IF(ISNUMBER(Datos!B1234),Datos!B1234/$F$2*100,NA()),NA())</f>
        <v/>
      </c>
      <c r="C1234" s="27">
        <f>IFERROR(IF(ISNUMBER(Datos!C1234),Datos!C1234/$F$3*100,NA()),NA())</f>
        <v/>
      </c>
    </row>
    <row r="1235">
      <c r="A1235" s="7">
        <f>IFERROR(Datos!A1235,"")</f>
        <v/>
      </c>
      <c r="B1235" s="27">
        <f>IFERROR(IF(ISNUMBER(Datos!B1235),Datos!B1235/$F$2*100,NA()),NA())</f>
        <v/>
      </c>
      <c r="C1235" s="27">
        <f>IFERROR(IF(ISNUMBER(Datos!C1235),Datos!C1235/$F$3*100,NA()),NA())</f>
        <v/>
      </c>
    </row>
    <row r="1236">
      <c r="A1236" s="7">
        <f>IFERROR(Datos!A1236,"")</f>
        <v/>
      </c>
      <c r="B1236" s="27">
        <f>IFERROR(IF(ISNUMBER(Datos!B1236),Datos!B1236/$F$2*100,NA()),NA())</f>
        <v/>
      </c>
      <c r="C1236" s="27">
        <f>IFERROR(IF(ISNUMBER(Datos!C1236),Datos!C1236/$F$3*100,NA()),NA())</f>
        <v/>
      </c>
    </row>
    <row r="1237">
      <c r="A1237" s="7">
        <f>IFERROR(Datos!A1237,"")</f>
        <v/>
      </c>
      <c r="B1237" s="27">
        <f>IFERROR(IF(ISNUMBER(Datos!B1237),Datos!B1237/$F$2*100,NA()),NA())</f>
        <v/>
      </c>
      <c r="C1237" s="27">
        <f>IFERROR(IF(ISNUMBER(Datos!C1237),Datos!C1237/$F$3*100,NA()),NA())</f>
        <v/>
      </c>
    </row>
    <row r="1238">
      <c r="A1238" s="7">
        <f>IFERROR(Datos!A1238,"")</f>
        <v/>
      </c>
      <c r="B1238" s="27">
        <f>IFERROR(IF(ISNUMBER(Datos!B1238),Datos!B1238/$F$2*100,NA()),NA())</f>
        <v/>
      </c>
      <c r="C1238" s="27">
        <f>IFERROR(IF(ISNUMBER(Datos!C1238),Datos!C1238/$F$3*100,NA()),NA())</f>
        <v/>
      </c>
    </row>
    <row r="1239">
      <c r="A1239" s="7">
        <f>IFERROR(Datos!A1239,"")</f>
        <v/>
      </c>
      <c r="B1239" s="27">
        <f>IFERROR(IF(ISNUMBER(Datos!B1239),Datos!B1239/$F$2*100,NA()),NA())</f>
        <v/>
      </c>
      <c r="C1239" s="27">
        <f>IFERROR(IF(ISNUMBER(Datos!C1239),Datos!C1239/$F$3*100,NA()),NA())</f>
        <v/>
      </c>
    </row>
    <row r="1240">
      <c r="A1240" s="7">
        <f>IFERROR(Datos!A1240,"")</f>
        <v/>
      </c>
      <c r="B1240" s="27">
        <f>IFERROR(IF(ISNUMBER(Datos!B1240),Datos!B1240/$F$2*100,NA()),NA())</f>
        <v/>
      </c>
      <c r="C1240" s="27">
        <f>IFERROR(IF(ISNUMBER(Datos!C1240),Datos!C1240/$F$3*100,NA()),NA())</f>
        <v/>
      </c>
    </row>
    <row r="1241">
      <c r="A1241" s="7">
        <f>IFERROR(Datos!A1241,"")</f>
        <v/>
      </c>
      <c r="B1241" s="27">
        <f>IFERROR(IF(ISNUMBER(Datos!B1241),Datos!B1241/$F$2*100,NA()),NA())</f>
        <v/>
      </c>
      <c r="C1241" s="27">
        <f>IFERROR(IF(ISNUMBER(Datos!C1241),Datos!C1241/$F$3*100,NA()),NA())</f>
        <v/>
      </c>
    </row>
    <row r="1242">
      <c r="A1242" s="7">
        <f>IFERROR(Datos!A1242,"")</f>
        <v/>
      </c>
      <c r="B1242" s="27">
        <f>IFERROR(IF(ISNUMBER(Datos!B1242),Datos!B1242/$F$2*100,NA()),NA())</f>
        <v/>
      </c>
      <c r="C1242" s="27">
        <f>IFERROR(IF(ISNUMBER(Datos!C1242),Datos!C1242/$F$3*100,NA()),NA())</f>
        <v/>
      </c>
    </row>
    <row r="1243">
      <c r="A1243" s="7">
        <f>IFERROR(Datos!A1243,"")</f>
        <v/>
      </c>
      <c r="B1243" s="27">
        <f>IFERROR(IF(ISNUMBER(Datos!B1243),Datos!B1243/$F$2*100,NA()),NA())</f>
        <v/>
      </c>
      <c r="C1243" s="27">
        <f>IFERROR(IF(ISNUMBER(Datos!C1243),Datos!C1243/$F$3*100,NA()),NA())</f>
        <v/>
      </c>
    </row>
    <row r="1244">
      <c r="A1244" s="7">
        <f>IFERROR(Datos!A1244,"")</f>
        <v/>
      </c>
      <c r="B1244" s="27">
        <f>IFERROR(IF(ISNUMBER(Datos!B1244),Datos!B1244/$F$2*100,NA()),NA())</f>
        <v/>
      </c>
      <c r="C1244" s="27">
        <f>IFERROR(IF(ISNUMBER(Datos!C1244),Datos!C1244/$F$3*100,NA()),NA())</f>
        <v/>
      </c>
    </row>
    <row r="1245">
      <c r="A1245" s="7">
        <f>IFERROR(Datos!A1245,"")</f>
        <v/>
      </c>
      <c r="B1245" s="27">
        <f>IFERROR(IF(ISNUMBER(Datos!B1245),Datos!B1245/$F$2*100,NA()),NA())</f>
        <v/>
      </c>
      <c r="C1245" s="27">
        <f>IFERROR(IF(ISNUMBER(Datos!C1245),Datos!C1245/$F$3*100,NA()),NA())</f>
        <v/>
      </c>
    </row>
    <row r="1246">
      <c r="A1246" s="7">
        <f>IFERROR(Datos!A1246,"")</f>
        <v/>
      </c>
      <c r="B1246" s="27">
        <f>IFERROR(IF(ISNUMBER(Datos!B1246),Datos!B1246/$F$2*100,NA()),NA())</f>
        <v/>
      </c>
      <c r="C1246" s="27">
        <f>IFERROR(IF(ISNUMBER(Datos!C1246),Datos!C1246/$F$3*100,NA()),NA())</f>
        <v/>
      </c>
    </row>
    <row r="1247">
      <c r="A1247" s="7">
        <f>IFERROR(Datos!A1247,"")</f>
        <v/>
      </c>
      <c r="B1247" s="27">
        <f>IFERROR(IF(ISNUMBER(Datos!B1247),Datos!B1247/$F$2*100,NA()),NA())</f>
        <v/>
      </c>
      <c r="C1247" s="27">
        <f>IFERROR(IF(ISNUMBER(Datos!C1247),Datos!C1247/$F$3*100,NA()),NA())</f>
        <v/>
      </c>
    </row>
    <row r="1248">
      <c r="A1248" s="7">
        <f>IFERROR(Datos!A1248,"")</f>
        <v/>
      </c>
      <c r="B1248" s="27">
        <f>IFERROR(IF(ISNUMBER(Datos!B1248),Datos!B1248/$F$2*100,NA()),NA())</f>
        <v/>
      </c>
      <c r="C1248" s="27">
        <f>IFERROR(IF(ISNUMBER(Datos!C1248),Datos!C1248/$F$3*100,NA()),NA())</f>
        <v/>
      </c>
    </row>
    <row r="1249">
      <c r="A1249" s="7">
        <f>IFERROR(Datos!A1249,"")</f>
        <v/>
      </c>
      <c r="B1249" s="27">
        <f>IFERROR(IF(ISNUMBER(Datos!B1249),Datos!B1249/$F$2*100,NA()),NA())</f>
        <v/>
      </c>
      <c r="C1249" s="27">
        <f>IFERROR(IF(ISNUMBER(Datos!C1249),Datos!C1249/$F$3*100,NA()),NA())</f>
        <v/>
      </c>
    </row>
    <row r="1250">
      <c r="A1250" s="7">
        <f>IFERROR(Datos!A1250,"")</f>
        <v/>
      </c>
      <c r="B1250" s="27">
        <f>IFERROR(IF(ISNUMBER(Datos!B1250),Datos!B1250/$F$2*100,NA()),NA())</f>
        <v/>
      </c>
      <c r="C1250" s="27">
        <f>IFERROR(IF(ISNUMBER(Datos!C1250),Datos!C1250/$F$3*100,NA()),NA())</f>
        <v/>
      </c>
    </row>
    <row r="1251">
      <c r="A1251" s="7">
        <f>IFERROR(Datos!A1251,"")</f>
        <v/>
      </c>
      <c r="B1251" s="27">
        <f>IFERROR(IF(ISNUMBER(Datos!B1251),Datos!B1251/$F$2*100,NA()),NA())</f>
        <v/>
      </c>
      <c r="C1251" s="27">
        <f>IFERROR(IF(ISNUMBER(Datos!C1251),Datos!C1251/$F$3*100,NA()),NA())</f>
        <v/>
      </c>
    </row>
    <row r="1252">
      <c r="A1252" s="7">
        <f>IFERROR(Datos!A1252,"")</f>
        <v/>
      </c>
      <c r="B1252" s="27">
        <f>IFERROR(IF(ISNUMBER(Datos!B1252),Datos!B1252/$F$2*100,NA()),NA())</f>
        <v/>
      </c>
      <c r="C1252" s="27">
        <f>IFERROR(IF(ISNUMBER(Datos!C1252),Datos!C1252/$F$3*100,NA()),NA())</f>
        <v/>
      </c>
    </row>
    <row r="1253">
      <c r="A1253" s="7">
        <f>IFERROR(Datos!A1253,"")</f>
        <v/>
      </c>
      <c r="B1253" s="27">
        <f>IFERROR(IF(ISNUMBER(Datos!B1253),Datos!B1253/$F$2*100,NA()),NA())</f>
        <v/>
      </c>
      <c r="C1253" s="27">
        <f>IFERROR(IF(ISNUMBER(Datos!C1253),Datos!C1253/$F$3*100,NA()),NA())</f>
        <v/>
      </c>
    </row>
    <row r="1254">
      <c r="A1254" s="7">
        <f>IFERROR(Datos!A1254,"")</f>
        <v/>
      </c>
      <c r="B1254" s="27">
        <f>IFERROR(IF(ISNUMBER(Datos!B1254),Datos!B1254/$F$2*100,NA()),NA())</f>
        <v/>
      </c>
      <c r="C1254" s="27">
        <f>IFERROR(IF(ISNUMBER(Datos!C1254),Datos!C1254/$F$3*100,NA()),NA())</f>
        <v/>
      </c>
    </row>
    <row r="1255">
      <c r="A1255" s="7">
        <f>IFERROR(Datos!A1255,"")</f>
        <v/>
      </c>
      <c r="B1255" s="27">
        <f>IFERROR(IF(ISNUMBER(Datos!B1255),Datos!B1255/$F$2*100,NA()),NA())</f>
        <v/>
      </c>
      <c r="C1255" s="27">
        <f>IFERROR(IF(ISNUMBER(Datos!C1255),Datos!C1255/$F$3*100,NA()),NA())</f>
        <v/>
      </c>
    </row>
    <row r="1256">
      <c r="A1256" s="7">
        <f>IFERROR(Datos!A1256,"")</f>
        <v/>
      </c>
      <c r="B1256" s="27">
        <f>IFERROR(IF(ISNUMBER(Datos!B1256),Datos!B1256/$F$2*100,NA()),NA())</f>
        <v/>
      </c>
      <c r="C1256" s="27">
        <f>IFERROR(IF(ISNUMBER(Datos!C1256),Datos!C1256/$F$3*100,NA()),NA())</f>
        <v/>
      </c>
    </row>
    <row r="1257">
      <c r="A1257" s="7">
        <f>IFERROR(Datos!A1257,"")</f>
        <v/>
      </c>
      <c r="B1257" s="27">
        <f>IFERROR(IF(ISNUMBER(Datos!B1257),Datos!B1257/$F$2*100,NA()),NA())</f>
        <v/>
      </c>
      <c r="C1257" s="27">
        <f>IFERROR(IF(ISNUMBER(Datos!C1257),Datos!C1257/$F$3*100,NA()),NA())</f>
        <v/>
      </c>
    </row>
    <row r="1258">
      <c r="A1258" s="7">
        <f>IFERROR(Datos!A1258,"")</f>
        <v/>
      </c>
      <c r="B1258" s="27">
        <f>IFERROR(IF(ISNUMBER(Datos!B1258),Datos!B1258/$F$2*100,NA()),NA())</f>
        <v/>
      </c>
      <c r="C1258" s="27">
        <f>IFERROR(IF(ISNUMBER(Datos!C1258),Datos!C1258/$F$3*100,NA()),NA())</f>
        <v/>
      </c>
    </row>
    <row r="1259">
      <c r="A1259" s="7">
        <f>IFERROR(Datos!A1259,"")</f>
        <v/>
      </c>
      <c r="B1259" s="27">
        <f>IFERROR(IF(ISNUMBER(Datos!B1259),Datos!B1259/$F$2*100,NA()),NA())</f>
        <v/>
      </c>
      <c r="C1259" s="27">
        <f>IFERROR(IF(ISNUMBER(Datos!C1259),Datos!C1259/$F$3*100,NA()),NA())</f>
        <v/>
      </c>
    </row>
    <row r="1260">
      <c r="A1260" s="7">
        <f>IFERROR(Datos!A1260,"")</f>
        <v/>
      </c>
      <c r="B1260" s="27">
        <f>IFERROR(IF(ISNUMBER(Datos!B1260),Datos!B1260/$F$2*100,NA()),NA())</f>
        <v/>
      </c>
      <c r="C1260" s="27">
        <f>IFERROR(IF(ISNUMBER(Datos!C1260),Datos!C1260/$F$3*100,NA()),NA())</f>
        <v/>
      </c>
    </row>
    <row r="1261">
      <c r="A1261" s="7">
        <f>IFERROR(Datos!A1261,"")</f>
        <v/>
      </c>
      <c r="B1261" s="27">
        <f>IFERROR(IF(ISNUMBER(Datos!B1261),Datos!B1261/$F$2*100,NA()),NA())</f>
        <v/>
      </c>
      <c r="C1261" s="27">
        <f>IFERROR(IF(ISNUMBER(Datos!C1261),Datos!C1261/$F$3*100,NA()),NA())</f>
        <v/>
      </c>
    </row>
    <row r="1262">
      <c r="A1262" s="7">
        <f>IFERROR(Datos!A1262,"")</f>
        <v/>
      </c>
      <c r="B1262" s="27">
        <f>IFERROR(IF(ISNUMBER(Datos!B1262),Datos!B1262/$F$2*100,NA()),NA())</f>
        <v/>
      </c>
      <c r="C1262" s="27">
        <f>IFERROR(IF(ISNUMBER(Datos!C1262),Datos!C1262/$F$3*100,NA()),NA())</f>
        <v/>
      </c>
    </row>
    <row r="1263">
      <c r="A1263" s="7">
        <f>IFERROR(Datos!A1263,"")</f>
        <v/>
      </c>
      <c r="B1263" s="27">
        <f>IFERROR(IF(ISNUMBER(Datos!B1263),Datos!B1263/$F$2*100,NA()),NA())</f>
        <v/>
      </c>
      <c r="C1263" s="27">
        <f>IFERROR(IF(ISNUMBER(Datos!C1263),Datos!C1263/$F$3*100,NA()),NA())</f>
        <v/>
      </c>
    </row>
    <row r="1264">
      <c r="A1264" s="7">
        <f>IFERROR(Datos!A1264,"")</f>
        <v/>
      </c>
      <c r="B1264" s="27">
        <f>IFERROR(IF(ISNUMBER(Datos!B1264),Datos!B1264/$F$2*100,NA()),NA())</f>
        <v/>
      </c>
      <c r="C1264" s="27">
        <f>IFERROR(IF(ISNUMBER(Datos!C1264),Datos!C1264/$F$3*100,NA()),NA())</f>
        <v/>
      </c>
    </row>
    <row r="1265">
      <c r="A1265" s="7">
        <f>IFERROR(Datos!A1265,"")</f>
        <v/>
      </c>
      <c r="B1265" s="27">
        <f>IFERROR(IF(ISNUMBER(Datos!B1265),Datos!B1265/$F$2*100,NA()),NA())</f>
        <v/>
      </c>
      <c r="C1265" s="27">
        <f>IFERROR(IF(ISNUMBER(Datos!C1265),Datos!C1265/$F$3*100,NA()),NA())</f>
        <v/>
      </c>
    </row>
    <row r="1266">
      <c r="A1266" s="7">
        <f>IFERROR(Datos!A1266,"")</f>
        <v/>
      </c>
      <c r="B1266" s="27">
        <f>IFERROR(IF(ISNUMBER(Datos!B1266),Datos!B1266/$F$2*100,NA()),NA())</f>
        <v/>
      </c>
      <c r="C1266" s="27">
        <f>IFERROR(IF(ISNUMBER(Datos!C1266),Datos!C1266/$F$3*100,NA()),NA())</f>
        <v/>
      </c>
    </row>
    <row r="1267">
      <c r="A1267" s="7">
        <f>IFERROR(Datos!A1267,"")</f>
        <v/>
      </c>
      <c r="B1267" s="27">
        <f>IFERROR(IF(ISNUMBER(Datos!B1267),Datos!B1267/$F$2*100,NA()),NA())</f>
        <v/>
      </c>
      <c r="C1267" s="27">
        <f>IFERROR(IF(ISNUMBER(Datos!C1267),Datos!C1267/$F$3*100,NA()),NA())</f>
        <v/>
      </c>
    </row>
    <row r="1268">
      <c r="A1268" s="7">
        <f>IFERROR(Datos!A1268,"")</f>
        <v/>
      </c>
      <c r="B1268" s="27">
        <f>IFERROR(IF(ISNUMBER(Datos!B1268),Datos!B1268/$F$2*100,NA()),NA())</f>
        <v/>
      </c>
      <c r="C1268" s="27">
        <f>IFERROR(IF(ISNUMBER(Datos!C1268),Datos!C1268/$F$3*100,NA()),NA())</f>
        <v/>
      </c>
    </row>
    <row r="1269">
      <c r="A1269" s="7">
        <f>IFERROR(Datos!A1269,"")</f>
        <v/>
      </c>
      <c r="B1269" s="27">
        <f>IFERROR(IF(ISNUMBER(Datos!B1269),Datos!B1269/$F$2*100,NA()),NA())</f>
        <v/>
      </c>
      <c r="C1269" s="27">
        <f>IFERROR(IF(ISNUMBER(Datos!C1269),Datos!C1269/$F$3*100,NA()),NA())</f>
        <v/>
      </c>
    </row>
    <row r="1270">
      <c r="A1270" s="7">
        <f>IFERROR(Datos!A1270,"")</f>
        <v/>
      </c>
      <c r="B1270" s="27">
        <f>IFERROR(IF(ISNUMBER(Datos!B1270),Datos!B1270/$F$2*100,NA()),NA())</f>
        <v/>
      </c>
      <c r="C1270" s="27">
        <f>IFERROR(IF(ISNUMBER(Datos!C1270),Datos!C1270/$F$3*100,NA()),NA())</f>
        <v/>
      </c>
    </row>
    <row r="1271">
      <c r="A1271" s="7">
        <f>IFERROR(Datos!A1271,"")</f>
        <v/>
      </c>
      <c r="B1271" s="27">
        <f>IFERROR(IF(ISNUMBER(Datos!B1271),Datos!B1271/$F$2*100,NA()),NA())</f>
        <v/>
      </c>
      <c r="C1271" s="27">
        <f>IFERROR(IF(ISNUMBER(Datos!C1271),Datos!C1271/$F$3*100,NA()),NA())</f>
        <v/>
      </c>
    </row>
    <row r="1272">
      <c r="A1272" s="7">
        <f>IFERROR(Datos!A1272,"")</f>
        <v/>
      </c>
      <c r="B1272" s="27">
        <f>IFERROR(IF(ISNUMBER(Datos!B1272),Datos!B1272/$F$2*100,NA()),NA())</f>
        <v/>
      </c>
      <c r="C1272" s="27">
        <f>IFERROR(IF(ISNUMBER(Datos!C1272),Datos!C1272/$F$3*100,NA()),NA())</f>
        <v/>
      </c>
    </row>
    <row r="1273">
      <c r="A1273" s="7">
        <f>IFERROR(Datos!A1273,"")</f>
        <v/>
      </c>
      <c r="B1273" s="27">
        <f>IFERROR(IF(ISNUMBER(Datos!B1273),Datos!B1273/$F$2*100,NA()),NA())</f>
        <v/>
      </c>
      <c r="C1273" s="27">
        <f>IFERROR(IF(ISNUMBER(Datos!C1273),Datos!C1273/$F$3*100,NA()),NA())</f>
        <v/>
      </c>
    </row>
    <row r="1274">
      <c r="A1274" s="7">
        <f>IFERROR(Datos!A1274,"")</f>
        <v/>
      </c>
      <c r="B1274" s="27">
        <f>IFERROR(IF(ISNUMBER(Datos!B1274),Datos!B1274/$F$2*100,NA()),NA())</f>
        <v/>
      </c>
      <c r="C1274" s="27">
        <f>IFERROR(IF(ISNUMBER(Datos!C1274),Datos!C1274/$F$3*100,NA()),NA())</f>
        <v/>
      </c>
    </row>
    <row r="1275">
      <c r="A1275" s="7">
        <f>IFERROR(Datos!A1275,"")</f>
        <v/>
      </c>
      <c r="B1275" s="27">
        <f>IFERROR(IF(ISNUMBER(Datos!B1275),Datos!B1275/$F$2*100,NA()),NA())</f>
        <v/>
      </c>
      <c r="C1275" s="27">
        <f>IFERROR(IF(ISNUMBER(Datos!C1275),Datos!C1275/$F$3*100,NA()),NA())</f>
        <v/>
      </c>
    </row>
    <row r="1276">
      <c r="A1276" s="7">
        <f>IFERROR(Datos!A1276,"")</f>
        <v/>
      </c>
      <c r="B1276" s="27">
        <f>IFERROR(IF(ISNUMBER(Datos!B1276),Datos!B1276/$F$2*100,NA()),NA())</f>
        <v/>
      </c>
      <c r="C1276" s="27">
        <f>IFERROR(IF(ISNUMBER(Datos!C1276),Datos!C1276/$F$3*100,NA()),NA())</f>
        <v/>
      </c>
    </row>
    <row r="1277">
      <c r="A1277" s="7">
        <f>IFERROR(Datos!A1277,"")</f>
        <v/>
      </c>
      <c r="B1277" s="27">
        <f>IFERROR(IF(ISNUMBER(Datos!B1277),Datos!B1277/$F$2*100,NA()),NA())</f>
        <v/>
      </c>
      <c r="C1277" s="27">
        <f>IFERROR(IF(ISNUMBER(Datos!C1277),Datos!C1277/$F$3*100,NA()),NA())</f>
        <v/>
      </c>
    </row>
    <row r="1278">
      <c r="A1278" s="7">
        <f>IFERROR(Datos!A1278,"")</f>
        <v/>
      </c>
      <c r="B1278" s="27">
        <f>IFERROR(IF(ISNUMBER(Datos!B1278),Datos!B1278/$F$2*100,NA()),NA())</f>
        <v/>
      </c>
      <c r="C1278" s="27">
        <f>IFERROR(IF(ISNUMBER(Datos!C1278),Datos!C1278/$F$3*100,NA()),NA())</f>
        <v/>
      </c>
    </row>
    <row r="1279">
      <c r="A1279" s="7">
        <f>IFERROR(Datos!A1279,"")</f>
        <v/>
      </c>
      <c r="B1279" s="27">
        <f>IFERROR(IF(ISNUMBER(Datos!B1279),Datos!B1279/$F$2*100,NA()),NA())</f>
        <v/>
      </c>
      <c r="C1279" s="27">
        <f>IFERROR(IF(ISNUMBER(Datos!C1279),Datos!C1279/$F$3*100,NA()),NA())</f>
        <v/>
      </c>
    </row>
    <row r="1280">
      <c r="A1280" s="7">
        <f>IFERROR(Datos!A1280,"")</f>
        <v/>
      </c>
      <c r="B1280" s="27">
        <f>IFERROR(IF(ISNUMBER(Datos!B1280),Datos!B1280/$F$2*100,NA()),NA())</f>
        <v/>
      </c>
      <c r="C1280" s="27">
        <f>IFERROR(IF(ISNUMBER(Datos!C1280),Datos!C1280/$F$3*100,NA()),NA())</f>
        <v/>
      </c>
    </row>
    <row r="1281">
      <c r="A1281" s="7">
        <f>IFERROR(Datos!A1281,"")</f>
        <v/>
      </c>
      <c r="B1281" s="27">
        <f>IFERROR(IF(ISNUMBER(Datos!B1281),Datos!B1281/$F$2*100,NA()),NA())</f>
        <v/>
      </c>
      <c r="C1281" s="27">
        <f>IFERROR(IF(ISNUMBER(Datos!C1281),Datos!C1281/$F$3*100,NA()),NA())</f>
        <v/>
      </c>
    </row>
    <row r="1282">
      <c r="A1282" s="7">
        <f>IFERROR(Datos!A1282,"")</f>
        <v/>
      </c>
      <c r="B1282" s="27">
        <f>IFERROR(IF(ISNUMBER(Datos!B1282),Datos!B1282/$F$2*100,NA()),NA())</f>
        <v/>
      </c>
      <c r="C1282" s="27">
        <f>IFERROR(IF(ISNUMBER(Datos!C1282),Datos!C1282/$F$3*100,NA()),NA())</f>
        <v/>
      </c>
    </row>
    <row r="1283">
      <c r="A1283" s="7">
        <f>IFERROR(Datos!A1283,"")</f>
        <v/>
      </c>
      <c r="B1283" s="27">
        <f>IFERROR(IF(ISNUMBER(Datos!B1283),Datos!B1283/$F$2*100,NA()),NA())</f>
        <v/>
      </c>
      <c r="C1283" s="27">
        <f>IFERROR(IF(ISNUMBER(Datos!C1283),Datos!C1283/$F$3*100,NA()),NA())</f>
        <v/>
      </c>
    </row>
    <row r="1284">
      <c r="A1284" s="7">
        <f>IFERROR(Datos!A1284,"")</f>
        <v/>
      </c>
      <c r="B1284" s="27">
        <f>IFERROR(IF(ISNUMBER(Datos!B1284),Datos!B1284/$F$2*100,NA()),NA())</f>
        <v/>
      </c>
      <c r="C1284" s="27">
        <f>IFERROR(IF(ISNUMBER(Datos!C1284),Datos!C1284/$F$3*100,NA()),NA())</f>
        <v/>
      </c>
    </row>
    <row r="1285">
      <c r="A1285" s="7">
        <f>IFERROR(Datos!A1285,"")</f>
        <v/>
      </c>
      <c r="B1285" s="27">
        <f>IFERROR(IF(ISNUMBER(Datos!B1285),Datos!B1285/$F$2*100,NA()),NA())</f>
        <v/>
      </c>
      <c r="C1285" s="27">
        <f>IFERROR(IF(ISNUMBER(Datos!C1285),Datos!C1285/$F$3*100,NA()),NA())</f>
        <v/>
      </c>
    </row>
    <row r="1286">
      <c r="A1286" s="7">
        <f>IFERROR(Datos!A1286,"")</f>
        <v/>
      </c>
      <c r="B1286" s="27">
        <f>IFERROR(IF(ISNUMBER(Datos!B1286),Datos!B1286/$F$2*100,NA()),NA())</f>
        <v/>
      </c>
      <c r="C1286" s="27">
        <f>IFERROR(IF(ISNUMBER(Datos!C1286),Datos!C1286/$F$3*100,NA()),NA())</f>
        <v/>
      </c>
    </row>
    <row r="1287">
      <c r="A1287" s="7">
        <f>IFERROR(Datos!A1287,"")</f>
        <v/>
      </c>
      <c r="B1287" s="27">
        <f>IFERROR(IF(ISNUMBER(Datos!B1287),Datos!B1287/$F$2*100,NA()),NA())</f>
        <v/>
      </c>
      <c r="C1287" s="27">
        <f>IFERROR(IF(ISNUMBER(Datos!C1287),Datos!C1287/$F$3*100,NA()),NA())</f>
        <v/>
      </c>
    </row>
    <row r="1288">
      <c r="A1288" s="7">
        <f>IFERROR(Datos!A1288,"")</f>
        <v/>
      </c>
      <c r="B1288" s="27">
        <f>IFERROR(IF(ISNUMBER(Datos!B1288),Datos!B1288/$F$2*100,NA()),NA())</f>
        <v/>
      </c>
      <c r="C1288" s="27">
        <f>IFERROR(IF(ISNUMBER(Datos!C1288),Datos!C1288/$F$3*100,NA()),NA())</f>
        <v/>
      </c>
    </row>
    <row r="1289">
      <c r="A1289" s="7">
        <f>IFERROR(Datos!A1289,"")</f>
        <v/>
      </c>
      <c r="B1289" s="27">
        <f>IFERROR(IF(ISNUMBER(Datos!B1289),Datos!B1289/$F$2*100,NA()),NA())</f>
        <v/>
      </c>
      <c r="C1289" s="27">
        <f>IFERROR(IF(ISNUMBER(Datos!C1289),Datos!C1289/$F$3*100,NA()),NA())</f>
        <v/>
      </c>
    </row>
    <row r="1290">
      <c r="A1290" s="7">
        <f>IFERROR(Datos!A1290,"")</f>
        <v/>
      </c>
      <c r="B1290" s="27">
        <f>IFERROR(IF(ISNUMBER(Datos!B1290),Datos!B1290/$F$2*100,NA()),NA())</f>
        <v/>
      </c>
      <c r="C1290" s="27">
        <f>IFERROR(IF(ISNUMBER(Datos!C1290),Datos!C1290/$F$3*100,NA()),NA())</f>
        <v/>
      </c>
    </row>
    <row r="1291">
      <c r="A1291" s="7">
        <f>IFERROR(Datos!A1291,"")</f>
        <v/>
      </c>
      <c r="B1291" s="27">
        <f>IFERROR(IF(ISNUMBER(Datos!B1291),Datos!B1291/$F$2*100,NA()),NA())</f>
        <v/>
      </c>
      <c r="C1291" s="27">
        <f>IFERROR(IF(ISNUMBER(Datos!C1291),Datos!C1291/$F$3*100,NA()),NA())</f>
        <v/>
      </c>
    </row>
    <row r="1292">
      <c r="A1292" s="7">
        <f>IFERROR(Datos!A1292,"")</f>
        <v/>
      </c>
      <c r="B1292" s="27">
        <f>IFERROR(IF(ISNUMBER(Datos!B1292),Datos!B1292/$F$2*100,NA()),NA())</f>
        <v/>
      </c>
      <c r="C1292" s="27">
        <f>IFERROR(IF(ISNUMBER(Datos!C1292),Datos!C1292/$F$3*100,NA()),NA())</f>
        <v/>
      </c>
    </row>
    <row r="1293">
      <c r="A1293" s="7">
        <f>IFERROR(Datos!A1293,"")</f>
        <v/>
      </c>
      <c r="B1293" s="27">
        <f>IFERROR(IF(ISNUMBER(Datos!B1293),Datos!B1293/$F$2*100,NA()),NA())</f>
        <v/>
      </c>
      <c r="C1293" s="27">
        <f>IFERROR(IF(ISNUMBER(Datos!C1293),Datos!C1293/$F$3*100,NA()),NA())</f>
        <v/>
      </c>
    </row>
    <row r="1294">
      <c r="A1294" s="7">
        <f>IFERROR(Datos!A1294,"")</f>
        <v/>
      </c>
      <c r="B1294" s="27">
        <f>IFERROR(IF(ISNUMBER(Datos!B1294),Datos!B1294/$F$2*100,NA()),NA())</f>
        <v/>
      </c>
      <c r="C1294" s="27">
        <f>IFERROR(IF(ISNUMBER(Datos!C1294),Datos!C1294/$F$3*100,NA()),NA())</f>
        <v/>
      </c>
    </row>
    <row r="1295">
      <c r="A1295" s="7">
        <f>IFERROR(Datos!A1295,"")</f>
        <v/>
      </c>
      <c r="B1295" s="27">
        <f>IFERROR(IF(ISNUMBER(Datos!B1295),Datos!B1295/$F$2*100,NA()),NA())</f>
        <v/>
      </c>
      <c r="C1295" s="27">
        <f>IFERROR(IF(ISNUMBER(Datos!C1295),Datos!C1295/$F$3*100,NA()),NA())</f>
        <v/>
      </c>
    </row>
    <row r="1296">
      <c r="A1296" s="7">
        <f>IFERROR(Datos!A1296,"")</f>
        <v/>
      </c>
      <c r="B1296" s="27">
        <f>IFERROR(IF(ISNUMBER(Datos!B1296),Datos!B1296/$F$2*100,NA()),NA())</f>
        <v/>
      </c>
      <c r="C1296" s="27">
        <f>IFERROR(IF(ISNUMBER(Datos!C1296),Datos!C1296/$F$3*100,NA()),NA())</f>
        <v/>
      </c>
    </row>
    <row r="1297">
      <c r="A1297" s="7">
        <f>IFERROR(Datos!A1297,"")</f>
        <v/>
      </c>
      <c r="B1297" s="27">
        <f>IFERROR(IF(ISNUMBER(Datos!B1297),Datos!B1297/$F$2*100,NA()),NA())</f>
        <v/>
      </c>
      <c r="C1297" s="27">
        <f>IFERROR(IF(ISNUMBER(Datos!C1297),Datos!C1297/$F$3*100,NA()),NA())</f>
        <v/>
      </c>
    </row>
    <row r="1298">
      <c r="A1298" s="7">
        <f>IFERROR(Datos!A1298,"")</f>
        <v/>
      </c>
      <c r="B1298" s="27">
        <f>IFERROR(IF(ISNUMBER(Datos!B1298),Datos!B1298/$F$2*100,NA()),NA())</f>
        <v/>
      </c>
      <c r="C1298" s="27">
        <f>IFERROR(IF(ISNUMBER(Datos!C1298),Datos!C1298/$F$3*100,NA()),NA())</f>
        <v/>
      </c>
    </row>
    <row r="1299">
      <c r="A1299" s="7">
        <f>IFERROR(Datos!A1299,"")</f>
        <v/>
      </c>
      <c r="B1299" s="27">
        <f>IFERROR(IF(ISNUMBER(Datos!B1299),Datos!B1299/$F$2*100,NA()),NA())</f>
        <v/>
      </c>
      <c r="C1299" s="27">
        <f>IFERROR(IF(ISNUMBER(Datos!C1299),Datos!C1299/$F$3*100,NA()),NA())</f>
        <v/>
      </c>
    </row>
    <row r="1300">
      <c r="A1300" s="7">
        <f>IFERROR(Datos!A1300,"")</f>
        <v/>
      </c>
      <c r="B1300" s="27">
        <f>IFERROR(IF(ISNUMBER(Datos!B1300),Datos!B1300/$F$2*100,NA()),NA())</f>
        <v/>
      </c>
      <c r="C1300" s="27">
        <f>IFERROR(IF(ISNUMBER(Datos!C1300),Datos!C1300/$F$3*100,NA()),NA())</f>
        <v/>
      </c>
    </row>
    <row r="1301">
      <c r="A1301" s="7">
        <f>IFERROR(Datos!A1301,"")</f>
        <v/>
      </c>
      <c r="B1301" s="27">
        <f>IFERROR(IF(ISNUMBER(Datos!B1301),Datos!B1301/$F$2*100,NA()),NA())</f>
        <v/>
      </c>
      <c r="C1301" s="27">
        <f>IFERROR(IF(ISNUMBER(Datos!C1301),Datos!C1301/$F$3*100,NA()),NA())</f>
        <v/>
      </c>
    </row>
    <row r="1302">
      <c r="A1302" s="7">
        <f>IFERROR(Datos!A1302,"")</f>
        <v/>
      </c>
      <c r="B1302" s="27">
        <f>IFERROR(IF(ISNUMBER(Datos!B1302),Datos!B1302/$F$2*100,NA()),NA())</f>
        <v/>
      </c>
      <c r="C1302" s="27">
        <f>IFERROR(IF(ISNUMBER(Datos!C1302),Datos!C1302/$F$3*100,NA()),NA())</f>
        <v/>
      </c>
    </row>
    <row r="1303">
      <c r="A1303" s="7">
        <f>IFERROR(Datos!A1303,"")</f>
        <v/>
      </c>
      <c r="B1303" s="27">
        <f>IFERROR(IF(ISNUMBER(Datos!B1303),Datos!B1303/$F$2*100,NA()),NA())</f>
        <v/>
      </c>
      <c r="C1303" s="27">
        <f>IFERROR(IF(ISNUMBER(Datos!C1303),Datos!C1303/$F$3*100,NA()),NA())</f>
        <v/>
      </c>
    </row>
    <row r="1304">
      <c r="A1304" s="7">
        <f>IFERROR(Datos!A1304,"")</f>
        <v/>
      </c>
      <c r="B1304" s="27">
        <f>IFERROR(IF(ISNUMBER(Datos!B1304),Datos!B1304/$F$2*100,NA()),NA())</f>
        <v/>
      </c>
      <c r="C1304" s="27">
        <f>IFERROR(IF(ISNUMBER(Datos!C1304),Datos!C1304/$F$3*100,NA()),NA())</f>
        <v/>
      </c>
    </row>
    <row r="1305">
      <c r="A1305" s="7">
        <f>IFERROR(Datos!A1305,"")</f>
        <v/>
      </c>
      <c r="B1305" s="27">
        <f>IFERROR(IF(ISNUMBER(Datos!B1305),Datos!B1305/$F$2*100,NA()),NA())</f>
        <v/>
      </c>
      <c r="C1305" s="27">
        <f>IFERROR(IF(ISNUMBER(Datos!C1305),Datos!C1305/$F$3*100,NA()),NA())</f>
        <v/>
      </c>
    </row>
    <row r="1306">
      <c r="A1306" s="7">
        <f>IFERROR(Datos!A1306,"")</f>
        <v/>
      </c>
      <c r="B1306" s="27">
        <f>IFERROR(IF(ISNUMBER(Datos!B1306),Datos!B1306/$F$2*100,NA()),NA())</f>
        <v/>
      </c>
      <c r="C1306" s="27">
        <f>IFERROR(IF(ISNUMBER(Datos!C1306),Datos!C1306/$F$3*100,NA()),NA())</f>
        <v/>
      </c>
    </row>
    <row r="1307">
      <c r="A1307" s="7">
        <f>IFERROR(Datos!A1307,"")</f>
        <v/>
      </c>
      <c r="B1307" s="27">
        <f>IFERROR(IF(ISNUMBER(Datos!B1307),Datos!B1307/$F$2*100,NA()),NA())</f>
        <v/>
      </c>
      <c r="C1307" s="27">
        <f>IFERROR(IF(ISNUMBER(Datos!C1307),Datos!C1307/$F$3*100,NA()),NA())</f>
        <v/>
      </c>
    </row>
    <row r="1308">
      <c r="A1308" s="7">
        <f>IFERROR(Datos!A1308,"")</f>
        <v/>
      </c>
      <c r="B1308" s="27">
        <f>IFERROR(IF(ISNUMBER(Datos!B1308),Datos!B1308/$F$2*100,NA()),NA())</f>
        <v/>
      </c>
      <c r="C1308" s="27">
        <f>IFERROR(IF(ISNUMBER(Datos!C1308),Datos!C1308/$F$3*100,NA()),NA())</f>
        <v/>
      </c>
    </row>
    <row r="1309">
      <c r="A1309" s="7">
        <f>IFERROR(Datos!A1309,"")</f>
        <v/>
      </c>
      <c r="B1309" s="27">
        <f>IFERROR(IF(ISNUMBER(Datos!B1309),Datos!B1309/$F$2*100,NA()),NA())</f>
        <v/>
      </c>
      <c r="C1309" s="27">
        <f>IFERROR(IF(ISNUMBER(Datos!C1309),Datos!C1309/$F$3*100,NA()),NA())</f>
        <v/>
      </c>
    </row>
    <row r="1310">
      <c r="A1310" s="7">
        <f>IFERROR(Datos!A1310,"")</f>
        <v/>
      </c>
      <c r="B1310" s="27">
        <f>IFERROR(IF(ISNUMBER(Datos!B1310),Datos!B1310/$F$2*100,NA()),NA())</f>
        <v/>
      </c>
      <c r="C1310" s="27">
        <f>IFERROR(IF(ISNUMBER(Datos!C1310),Datos!C1310/$F$3*100,NA()),NA())</f>
        <v/>
      </c>
    </row>
    <row r="1311">
      <c r="A1311" s="7">
        <f>IFERROR(Datos!A1311,"")</f>
        <v/>
      </c>
      <c r="B1311" s="27">
        <f>IFERROR(IF(ISNUMBER(Datos!B1311),Datos!B1311/$F$2*100,NA()),NA())</f>
        <v/>
      </c>
      <c r="C1311" s="27">
        <f>IFERROR(IF(ISNUMBER(Datos!C1311),Datos!C1311/$F$3*100,NA()),NA())</f>
        <v/>
      </c>
    </row>
    <row r="1312">
      <c r="A1312" s="7">
        <f>IFERROR(Datos!A1312,"")</f>
        <v/>
      </c>
      <c r="B1312" s="27">
        <f>IFERROR(IF(ISNUMBER(Datos!B1312),Datos!B1312/$F$2*100,NA()),NA())</f>
        <v/>
      </c>
      <c r="C1312" s="27">
        <f>IFERROR(IF(ISNUMBER(Datos!C1312),Datos!C1312/$F$3*100,NA()),NA())</f>
        <v/>
      </c>
    </row>
    <row r="1313">
      <c r="A1313" s="7">
        <f>IFERROR(Datos!A1313,"")</f>
        <v/>
      </c>
      <c r="B1313" s="27">
        <f>IFERROR(IF(ISNUMBER(Datos!B1313),Datos!B1313/$F$2*100,NA()),NA())</f>
        <v/>
      </c>
      <c r="C1313" s="27">
        <f>IFERROR(IF(ISNUMBER(Datos!C1313),Datos!C1313/$F$3*100,NA()),NA())</f>
        <v/>
      </c>
    </row>
    <row r="1314">
      <c r="A1314" s="7">
        <f>IFERROR(Datos!A1314,"")</f>
        <v/>
      </c>
      <c r="B1314" s="27">
        <f>IFERROR(IF(ISNUMBER(Datos!B1314),Datos!B1314/$F$2*100,NA()),NA())</f>
        <v/>
      </c>
      <c r="C1314" s="27">
        <f>IFERROR(IF(ISNUMBER(Datos!C1314),Datos!C1314/$F$3*100,NA()),NA())</f>
        <v/>
      </c>
    </row>
    <row r="1315">
      <c r="A1315" s="7">
        <f>IFERROR(Datos!A1315,"")</f>
        <v/>
      </c>
      <c r="B1315" s="27">
        <f>IFERROR(IF(ISNUMBER(Datos!B1315),Datos!B1315/$F$2*100,NA()),NA())</f>
        <v/>
      </c>
      <c r="C1315" s="27">
        <f>IFERROR(IF(ISNUMBER(Datos!C1315),Datos!C1315/$F$3*100,NA()),NA())</f>
        <v/>
      </c>
    </row>
    <row r="1316">
      <c r="A1316" s="7">
        <f>IFERROR(Datos!A1316,"")</f>
        <v/>
      </c>
      <c r="B1316" s="27">
        <f>IFERROR(IF(ISNUMBER(Datos!B1316),Datos!B1316/$F$2*100,NA()),NA())</f>
        <v/>
      </c>
      <c r="C1316" s="27">
        <f>IFERROR(IF(ISNUMBER(Datos!C1316),Datos!C1316/$F$3*100,NA()),NA())</f>
        <v/>
      </c>
    </row>
    <row r="1317">
      <c r="A1317" s="7">
        <f>IFERROR(Datos!A1317,"")</f>
        <v/>
      </c>
      <c r="B1317" s="27">
        <f>IFERROR(IF(ISNUMBER(Datos!B1317),Datos!B1317/$F$2*100,NA()),NA())</f>
        <v/>
      </c>
      <c r="C1317" s="27">
        <f>IFERROR(IF(ISNUMBER(Datos!C1317),Datos!C1317/$F$3*100,NA()),NA())</f>
        <v/>
      </c>
    </row>
    <row r="1318">
      <c r="A1318" s="7">
        <f>IFERROR(Datos!A1318,"")</f>
        <v/>
      </c>
      <c r="B1318" s="27">
        <f>IFERROR(IF(ISNUMBER(Datos!B1318),Datos!B1318/$F$2*100,NA()),NA())</f>
        <v/>
      </c>
      <c r="C1318" s="27">
        <f>IFERROR(IF(ISNUMBER(Datos!C1318),Datos!C1318/$F$3*100,NA()),NA())</f>
        <v/>
      </c>
    </row>
    <row r="1319">
      <c r="A1319" s="7">
        <f>IFERROR(Datos!A1319,"")</f>
        <v/>
      </c>
      <c r="B1319" s="27">
        <f>IFERROR(IF(ISNUMBER(Datos!B1319),Datos!B1319/$F$2*100,NA()),NA())</f>
        <v/>
      </c>
      <c r="C1319" s="27">
        <f>IFERROR(IF(ISNUMBER(Datos!C1319),Datos!C1319/$F$3*100,NA()),NA())</f>
        <v/>
      </c>
    </row>
    <row r="1320">
      <c r="A1320" s="7">
        <f>IFERROR(Datos!A1320,"")</f>
        <v/>
      </c>
      <c r="B1320" s="27">
        <f>IFERROR(IF(ISNUMBER(Datos!B1320),Datos!B1320/$F$2*100,NA()),NA())</f>
        <v/>
      </c>
      <c r="C1320" s="27">
        <f>IFERROR(IF(ISNUMBER(Datos!C1320),Datos!C1320/$F$3*100,NA()),NA())</f>
        <v/>
      </c>
    </row>
    <row r="1321">
      <c r="A1321" s="7">
        <f>IFERROR(Datos!A1321,"")</f>
        <v/>
      </c>
      <c r="B1321" s="27">
        <f>IFERROR(IF(ISNUMBER(Datos!B1321),Datos!B1321/$F$2*100,NA()),NA())</f>
        <v/>
      </c>
      <c r="C1321" s="27">
        <f>IFERROR(IF(ISNUMBER(Datos!C1321),Datos!C1321/$F$3*100,NA()),NA())</f>
        <v/>
      </c>
    </row>
    <row r="1322">
      <c r="A1322" s="7">
        <f>IFERROR(Datos!A1322,"")</f>
        <v/>
      </c>
      <c r="B1322" s="27">
        <f>IFERROR(IF(ISNUMBER(Datos!B1322),Datos!B1322/$F$2*100,NA()),NA())</f>
        <v/>
      </c>
      <c r="C1322" s="27">
        <f>IFERROR(IF(ISNUMBER(Datos!C1322),Datos!C1322/$F$3*100,NA()),NA())</f>
        <v/>
      </c>
    </row>
    <row r="1323">
      <c r="A1323" s="7">
        <f>IFERROR(Datos!A1323,"")</f>
        <v/>
      </c>
      <c r="B1323" s="27">
        <f>IFERROR(IF(ISNUMBER(Datos!B1323),Datos!B1323/$F$2*100,NA()),NA())</f>
        <v/>
      </c>
      <c r="C1323" s="27">
        <f>IFERROR(IF(ISNUMBER(Datos!C1323),Datos!C1323/$F$3*100,NA()),NA())</f>
        <v/>
      </c>
    </row>
    <row r="1324">
      <c r="A1324" s="7">
        <f>IFERROR(Datos!A1324,"")</f>
        <v/>
      </c>
      <c r="B1324" s="27">
        <f>IFERROR(IF(ISNUMBER(Datos!B1324),Datos!B1324/$F$2*100,NA()),NA())</f>
        <v/>
      </c>
      <c r="C1324" s="27">
        <f>IFERROR(IF(ISNUMBER(Datos!C1324),Datos!C1324/$F$3*100,NA()),NA())</f>
        <v/>
      </c>
    </row>
    <row r="1325">
      <c r="A1325" s="7">
        <f>IFERROR(Datos!A1325,"")</f>
        <v/>
      </c>
      <c r="B1325" s="27">
        <f>IFERROR(IF(ISNUMBER(Datos!B1325),Datos!B1325/$F$2*100,NA()),NA())</f>
        <v/>
      </c>
      <c r="C1325" s="27">
        <f>IFERROR(IF(ISNUMBER(Datos!C1325),Datos!C1325/$F$3*100,NA()),NA())</f>
        <v/>
      </c>
    </row>
    <row r="1326">
      <c r="A1326" s="7">
        <f>IFERROR(Datos!A1326,"")</f>
        <v/>
      </c>
      <c r="B1326" s="27">
        <f>IFERROR(IF(ISNUMBER(Datos!B1326),Datos!B1326/$F$2*100,NA()),NA())</f>
        <v/>
      </c>
      <c r="C1326" s="27">
        <f>IFERROR(IF(ISNUMBER(Datos!C1326),Datos!C1326/$F$3*100,NA()),NA())</f>
        <v/>
      </c>
    </row>
    <row r="1327">
      <c r="A1327" s="7">
        <f>IFERROR(Datos!A1327,"")</f>
        <v/>
      </c>
      <c r="B1327" s="27">
        <f>IFERROR(IF(ISNUMBER(Datos!B1327),Datos!B1327/$F$2*100,NA()),NA())</f>
        <v/>
      </c>
      <c r="C1327" s="27">
        <f>IFERROR(IF(ISNUMBER(Datos!C1327),Datos!C1327/$F$3*100,NA()),NA())</f>
        <v/>
      </c>
    </row>
    <row r="1328">
      <c r="A1328" s="7">
        <f>IFERROR(Datos!A1328,"")</f>
        <v/>
      </c>
      <c r="B1328" s="27">
        <f>IFERROR(IF(ISNUMBER(Datos!B1328),Datos!B1328/$F$2*100,NA()),NA())</f>
        <v/>
      </c>
      <c r="C1328" s="27">
        <f>IFERROR(IF(ISNUMBER(Datos!C1328),Datos!C1328/$F$3*100,NA()),NA())</f>
        <v/>
      </c>
    </row>
    <row r="1329">
      <c r="A1329" s="7">
        <f>IFERROR(Datos!A1329,"")</f>
        <v/>
      </c>
      <c r="B1329" s="27">
        <f>IFERROR(IF(ISNUMBER(Datos!B1329),Datos!B1329/$F$2*100,NA()),NA())</f>
        <v/>
      </c>
      <c r="C1329" s="27">
        <f>IFERROR(IF(ISNUMBER(Datos!C1329),Datos!C1329/$F$3*100,NA()),NA())</f>
        <v/>
      </c>
    </row>
    <row r="1330">
      <c r="A1330" s="7">
        <f>IFERROR(Datos!A1330,"")</f>
        <v/>
      </c>
      <c r="B1330" s="27">
        <f>IFERROR(IF(ISNUMBER(Datos!B1330),Datos!B1330/$F$2*100,NA()),NA())</f>
        <v/>
      </c>
      <c r="C1330" s="27">
        <f>IFERROR(IF(ISNUMBER(Datos!C1330),Datos!C1330/$F$3*100,NA()),NA())</f>
        <v/>
      </c>
    </row>
    <row r="1331">
      <c r="A1331" s="7">
        <f>IFERROR(Datos!A1331,"")</f>
        <v/>
      </c>
      <c r="B1331" s="27">
        <f>IFERROR(IF(ISNUMBER(Datos!B1331),Datos!B1331/$F$2*100,NA()),NA())</f>
        <v/>
      </c>
      <c r="C1331" s="27">
        <f>IFERROR(IF(ISNUMBER(Datos!C1331),Datos!C1331/$F$3*100,NA()),NA())</f>
        <v/>
      </c>
    </row>
    <row r="1332">
      <c r="A1332" s="7">
        <f>IFERROR(Datos!A1332,"")</f>
        <v/>
      </c>
      <c r="B1332" s="27">
        <f>IFERROR(IF(ISNUMBER(Datos!B1332),Datos!B1332/$F$2*100,NA()),NA())</f>
        <v/>
      </c>
      <c r="C1332" s="27">
        <f>IFERROR(IF(ISNUMBER(Datos!C1332),Datos!C1332/$F$3*100,NA()),NA())</f>
        <v/>
      </c>
    </row>
    <row r="1333">
      <c r="A1333" s="7">
        <f>IFERROR(Datos!A1333,"")</f>
        <v/>
      </c>
      <c r="B1333" s="27">
        <f>IFERROR(IF(ISNUMBER(Datos!B1333),Datos!B1333/$F$2*100,NA()),NA())</f>
        <v/>
      </c>
      <c r="C1333" s="27">
        <f>IFERROR(IF(ISNUMBER(Datos!C1333),Datos!C1333/$F$3*100,NA()),NA())</f>
        <v/>
      </c>
    </row>
    <row r="1334">
      <c r="A1334" s="7">
        <f>IFERROR(Datos!A1334,"")</f>
        <v/>
      </c>
      <c r="B1334" s="27">
        <f>IFERROR(IF(ISNUMBER(Datos!B1334),Datos!B1334/$F$2*100,NA()),NA())</f>
        <v/>
      </c>
      <c r="C1334" s="27">
        <f>IFERROR(IF(ISNUMBER(Datos!C1334),Datos!C1334/$F$3*100,NA()),NA())</f>
        <v/>
      </c>
    </row>
    <row r="1335">
      <c r="A1335" s="7">
        <f>IFERROR(Datos!A1335,"")</f>
        <v/>
      </c>
      <c r="B1335" s="27">
        <f>IFERROR(IF(ISNUMBER(Datos!B1335),Datos!B1335/$F$2*100,NA()),NA())</f>
        <v/>
      </c>
      <c r="C1335" s="27">
        <f>IFERROR(IF(ISNUMBER(Datos!C1335),Datos!C1335/$F$3*100,NA()),NA())</f>
        <v/>
      </c>
    </row>
    <row r="1336">
      <c r="A1336" s="7">
        <f>IFERROR(Datos!A1336,"")</f>
        <v/>
      </c>
      <c r="B1336" s="27">
        <f>IFERROR(IF(ISNUMBER(Datos!B1336),Datos!B1336/$F$2*100,NA()),NA())</f>
        <v/>
      </c>
      <c r="C1336" s="27">
        <f>IFERROR(IF(ISNUMBER(Datos!C1336),Datos!C1336/$F$3*100,NA()),NA())</f>
        <v/>
      </c>
    </row>
    <row r="1337">
      <c r="A1337" s="7">
        <f>IFERROR(Datos!A1337,"")</f>
        <v/>
      </c>
      <c r="B1337" s="27">
        <f>IFERROR(IF(ISNUMBER(Datos!B1337),Datos!B1337/$F$2*100,NA()),NA())</f>
        <v/>
      </c>
      <c r="C1337" s="27">
        <f>IFERROR(IF(ISNUMBER(Datos!C1337),Datos!C1337/$F$3*100,NA()),NA())</f>
        <v/>
      </c>
    </row>
    <row r="1338">
      <c r="A1338" s="7">
        <f>IFERROR(Datos!A1338,"")</f>
        <v/>
      </c>
      <c r="B1338" s="27">
        <f>IFERROR(IF(ISNUMBER(Datos!B1338),Datos!B1338/$F$2*100,NA()),NA())</f>
        <v/>
      </c>
      <c r="C1338" s="27">
        <f>IFERROR(IF(ISNUMBER(Datos!C1338),Datos!C1338/$F$3*100,NA()),NA())</f>
        <v/>
      </c>
    </row>
    <row r="1339">
      <c r="A1339" s="7">
        <f>IFERROR(Datos!A1339,"")</f>
        <v/>
      </c>
      <c r="B1339" s="27">
        <f>IFERROR(IF(ISNUMBER(Datos!B1339),Datos!B1339/$F$2*100,NA()),NA())</f>
        <v/>
      </c>
      <c r="C1339" s="27">
        <f>IFERROR(IF(ISNUMBER(Datos!C1339),Datos!C1339/$F$3*100,NA()),NA())</f>
        <v/>
      </c>
    </row>
    <row r="1340">
      <c r="A1340" s="7">
        <f>IFERROR(Datos!A1340,"")</f>
        <v/>
      </c>
      <c r="B1340" s="27">
        <f>IFERROR(IF(ISNUMBER(Datos!B1340),Datos!B1340/$F$2*100,NA()),NA())</f>
        <v/>
      </c>
      <c r="C1340" s="27">
        <f>IFERROR(IF(ISNUMBER(Datos!C1340),Datos!C1340/$F$3*100,NA()),NA())</f>
        <v/>
      </c>
    </row>
    <row r="1341">
      <c r="A1341" s="7">
        <f>IFERROR(Datos!A1341,"")</f>
        <v/>
      </c>
      <c r="B1341" s="27">
        <f>IFERROR(IF(ISNUMBER(Datos!B1341),Datos!B1341/$F$2*100,NA()),NA())</f>
        <v/>
      </c>
      <c r="C1341" s="27">
        <f>IFERROR(IF(ISNUMBER(Datos!C1341),Datos!C1341/$F$3*100,NA()),NA())</f>
        <v/>
      </c>
    </row>
    <row r="1342">
      <c r="A1342" s="7">
        <f>IFERROR(Datos!A1342,"")</f>
        <v/>
      </c>
      <c r="B1342" s="27">
        <f>IFERROR(IF(ISNUMBER(Datos!B1342),Datos!B1342/$F$2*100,NA()),NA())</f>
        <v/>
      </c>
      <c r="C1342" s="27">
        <f>IFERROR(IF(ISNUMBER(Datos!C1342),Datos!C1342/$F$3*100,NA()),NA())</f>
        <v/>
      </c>
    </row>
    <row r="1343">
      <c r="A1343" s="7">
        <f>IFERROR(Datos!A1343,"")</f>
        <v/>
      </c>
      <c r="B1343" s="27">
        <f>IFERROR(IF(ISNUMBER(Datos!B1343),Datos!B1343/$F$2*100,NA()),NA())</f>
        <v/>
      </c>
      <c r="C1343" s="27">
        <f>IFERROR(IF(ISNUMBER(Datos!C1343),Datos!C1343/$F$3*100,NA()),NA())</f>
        <v/>
      </c>
    </row>
    <row r="1344">
      <c r="A1344" s="7">
        <f>IFERROR(Datos!A1344,"")</f>
        <v/>
      </c>
      <c r="B1344" s="27">
        <f>IFERROR(IF(ISNUMBER(Datos!B1344),Datos!B1344/$F$2*100,NA()),NA())</f>
        <v/>
      </c>
      <c r="C1344" s="27">
        <f>IFERROR(IF(ISNUMBER(Datos!C1344),Datos!C1344/$F$3*100,NA()),NA())</f>
        <v/>
      </c>
    </row>
    <row r="1345">
      <c r="A1345" s="7">
        <f>IFERROR(Datos!A1345,"")</f>
        <v/>
      </c>
      <c r="B1345" s="27">
        <f>IFERROR(IF(ISNUMBER(Datos!B1345),Datos!B1345/$F$2*100,NA()),NA())</f>
        <v/>
      </c>
      <c r="C1345" s="27">
        <f>IFERROR(IF(ISNUMBER(Datos!C1345),Datos!C1345/$F$3*100,NA()),NA())</f>
        <v/>
      </c>
    </row>
    <row r="1346">
      <c r="A1346" s="7">
        <f>IFERROR(Datos!A1346,"")</f>
        <v/>
      </c>
      <c r="B1346" s="27">
        <f>IFERROR(IF(ISNUMBER(Datos!B1346),Datos!B1346/$F$2*100,NA()),NA())</f>
        <v/>
      </c>
      <c r="C1346" s="27">
        <f>IFERROR(IF(ISNUMBER(Datos!C1346),Datos!C1346/$F$3*100,NA()),NA())</f>
        <v/>
      </c>
    </row>
    <row r="1347">
      <c r="A1347" s="7">
        <f>IFERROR(Datos!A1347,"")</f>
        <v/>
      </c>
      <c r="B1347" s="27">
        <f>IFERROR(IF(ISNUMBER(Datos!B1347),Datos!B1347/$F$2*100,NA()),NA())</f>
        <v/>
      </c>
      <c r="C1347" s="27">
        <f>IFERROR(IF(ISNUMBER(Datos!C1347),Datos!C1347/$F$3*100,NA()),NA())</f>
        <v/>
      </c>
    </row>
    <row r="1348">
      <c r="A1348" s="7">
        <f>IFERROR(Datos!A1348,"")</f>
        <v/>
      </c>
      <c r="B1348" s="27">
        <f>IFERROR(IF(ISNUMBER(Datos!B1348),Datos!B1348/$F$2*100,NA()),NA())</f>
        <v/>
      </c>
      <c r="C1348" s="27">
        <f>IFERROR(IF(ISNUMBER(Datos!C1348),Datos!C1348/$F$3*100,NA()),NA())</f>
        <v/>
      </c>
    </row>
    <row r="1349">
      <c r="A1349" s="7">
        <f>IFERROR(Datos!A1349,"")</f>
        <v/>
      </c>
      <c r="B1349" s="27">
        <f>IFERROR(IF(ISNUMBER(Datos!B1349),Datos!B1349/$F$2*100,NA()),NA())</f>
        <v/>
      </c>
      <c r="C1349" s="27">
        <f>IFERROR(IF(ISNUMBER(Datos!C1349),Datos!C1349/$F$3*100,NA()),NA())</f>
        <v/>
      </c>
    </row>
    <row r="1350">
      <c r="A1350" s="7">
        <f>IFERROR(Datos!A1350,"")</f>
        <v/>
      </c>
      <c r="B1350" s="27">
        <f>IFERROR(IF(ISNUMBER(Datos!B1350),Datos!B1350/$F$2*100,NA()),NA())</f>
        <v/>
      </c>
      <c r="C1350" s="27">
        <f>IFERROR(IF(ISNUMBER(Datos!C1350),Datos!C1350/$F$3*100,NA()),NA())</f>
        <v/>
      </c>
    </row>
    <row r="1351">
      <c r="A1351" s="7">
        <f>IFERROR(Datos!A1351,"")</f>
        <v/>
      </c>
      <c r="B1351" s="27">
        <f>IFERROR(IF(ISNUMBER(Datos!B1351),Datos!B1351/$F$2*100,NA()),NA())</f>
        <v/>
      </c>
      <c r="C1351" s="27">
        <f>IFERROR(IF(ISNUMBER(Datos!C1351),Datos!C1351/$F$3*100,NA()),NA())</f>
        <v/>
      </c>
    </row>
    <row r="1352">
      <c r="A1352" s="7">
        <f>IFERROR(Datos!A1352,"")</f>
        <v/>
      </c>
      <c r="B1352" s="27">
        <f>IFERROR(IF(ISNUMBER(Datos!B1352),Datos!B1352/$F$2*100,NA()),NA())</f>
        <v/>
      </c>
      <c r="C1352" s="27">
        <f>IFERROR(IF(ISNUMBER(Datos!C1352),Datos!C1352/$F$3*100,NA()),NA())</f>
        <v/>
      </c>
    </row>
    <row r="1353">
      <c r="A1353" s="7">
        <f>IFERROR(Datos!A1353,"")</f>
        <v/>
      </c>
      <c r="B1353" s="27">
        <f>IFERROR(IF(ISNUMBER(Datos!B1353),Datos!B1353/$F$2*100,NA()),NA())</f>
        <v/>
      </c>
      <c r="C1353" s="27">
        <f>IFERROR(IF(ISNUMBER(Datos!C1353),Datos!C1353/$F$3*100,NA()),NA())</f>
        <v/>
      </c>
    </row>
    <row r="1354">
      <c r="A1354" s="7">
        <f>IFERROR(Datos!A1354,"")</f>
        <v/>
      </c>
      <c r="B1354" s="27">
        <f>IFERROR(IF(ISNUMBER(Datos!B1354),Datos!B1354/$F$2*100,NA()),NA())</f>
        <v/>
      </c>
      <c r="C1354" s="27">
        <f>IFERROR(IF(ISNUMBER(Datos!C1354),Datos!C1354/$F$3*100,NA()),NA())</f>
        <v/>
      </c>
    </row>
    <row r="1355">
      <c r="A1355" s="7">
        <f>IFERROR(Datos!A1355,"")</f>
        <v/>
      </c>
      <c r="B1355" s="27">
        <f>IFERROR(IF(ISNUMBER(Datos!B1355),Datos!B1355/$F$2*100,NA()),NA())</f>
        <v/>
      </c>
      <c r="C1355" s="27">
        <f>IFERROR(IF(ISNUMBER(Datos!C1355),Datos!C1355/$F$3*100,NA()),NA())</f>
        <v/>
      </c>
    </row>
    <row r="1356">
      <c r="A1356" s="7">
        <f>IFERROR(Datos!A1356,"")</f>
        <v/>
      </c>
      <c r="B1356" s="27">
        <f>IFERROR(IF(ISNUMBER(Datos!B1356),Datos!B1356/$F$2*100,NA()),NA())</f>
        <v/>
      </c>
      <c r="C1356" s="27">
        <f>IFERROR(IF(ISNUMBER(Datos!C1356),Datos!C1356/$F$3*100,NA()),NA())</f>
        <v/>
      </c>
    </row>
    <row r="1357">
      <c r="A1357" s="7">
        <f>IFERROR(Datos!A1357,"")</f>
        <v/>
      </c>
      <c r="B1357" s="27">
        <f>IFERROR(IF(ISNUMBER(Datos!B1357),Datos!B1357/$F$2*100,NA()),NA())</f>
        <v/>
      </c>
      <c r="C1357" s="27">
        <f>IFERROR(IF(ISNUMBER(Datos!C1357),Datos!C1357/$F$3*100,NA()),NA())</f>
        <v/>
      </c>
    </row>
    <row r="1358">
      <c r="A1358" s="7">
        <f>IFERROR(Datos!A1358,"")</f>
        <v/>
      </c>
      <c r="B1358" s="27">
        <f>IFERROR(IF(ISNUMBER(Datos!B1358),Datos!B1358/$F$2*100,NA()),NA())</f>
        <v/>
      </c>
      <c r="C1358" s="27">
        <f>IFERROR(IF(ISNUMBER(Datos!C1358),Datos!C1358/$F$3*100,NA()),NA())</f>
        <v/>
      </c>
    </row>
    <row r="1359">
      <c r="A1359" s="7">
        <f>IFERROR(Datos!A1359,"")</f>
        <v/>
      </c>
      <c r="B1359" s="27">
        <f>IFERROR(IF(ISNUMBER(Datos!B1359),Datos!B1359/$F$2*100,NA()),NA())</f>
        <v/>
      </c>
      <c r="C1359" s="27">
        <f>IFERROR(IF(ISNUMBER(Datos!C1359),Datos!C1359/$F$3*100,NA()),NA())</f>
        <v/>
      </c>
    </row>
    <row r="1360">
      <c r="A1360" s="7">
        <f>IFERROR(Datos!A1360,"")</f>
        <v/>
      </c>
      <c r="B1360" s="27">
        <f>IFERROR(IF(ISNUMBER(Datos!B1360),Datos!B1360/$F$2*100,NA()),NA())</f>
        <v/>
      </c>
      <c r="C1360" s="27">
        <f>IFERROR(IF(ISNUMBER(Datos!C1360),Datos!C1360/$F$3*100,NA()),NA())</f>
        <v/>
      </c>
    </row>
    <row r="1361">
      <c r="A1361" s="7">
        <f>IFERROR(Datos!A1361,"")</f>
        <v/>
      </c>
      <c r="B1361" s="27">
        <f>IFERROR(IF(ISNUMBER(Datos!B1361),Datos!B1361/$F$2*100,NA()),NA())</f>
        <v/>
      </c>
      <c r="C1361" s="27">
        <f>IFERROR(IF(ISNUMBER(Datos!C1361),Datos!C1361/$F$3*100,NA()),NA())</f>
        <v/>
      </c>
    </row>
    <row r="1362">
      <c r="A1362" s="7">
        <f>IFERROR(Datos!A1362,"")</f>
        <v/>
      </c>
      <c r="B1362" s="27">
        <f>IFERROR(IF(ISNUMBER(Datos!B1362),Datos!B1362/$F$2*100,NA()),NA())</f>
        <v/>
      </c>
      <c r="C1362" s="27">
        <f>IFERROR(IF(ISNUMBER(Datos!C1362),Datos!C1362/$F$3*100,NA()),NA())</f>
        <v/>
      </c>
    </row>
    <row r="1363">
      <c r="A1363" s="7">
        <f>IFERROR(Datos!A1363,"")</f>
        <v/>
      </c>
      <c r="B1363" s="27">
        <f>IFERROR(IF(ISNUMBER(Datos!B1363),Datos!B1363/$F$2*100,NA()),NA())</f>
        <v/>
      </c>
      <c r="C1363" s="27">
        <f>IFERROR(IF(ISNUMBER(Datos!C1363),Datos!C1363/$F$3*100,NA()),NA())</f>
        <v/>
      </c>
    </row>
    <row r="1364">
      <c r="A1364" s="7">
        <f>IFERROR(Datos!A1364,"")</f>
        <v/>
      </c>
      <c r="B1364" s="27">
        <f>IFERROR(IF(ISNUMBER(Datos!B1364),Datos!B1364/$F$2*100,NA()),NA())</f>
        <v/>
      </c>
      <c r="C1364" s="27">
        <f>IFERROR(IF(ISNUMBER(Datos!C1364),Datos!C1364/$F$3*100,NA()),NA())</f>
        <v/>
      </c>
    </row>
    <row r="1365">
      <c r="A1365" s="7">
        <f>IFERROR(Datos!A1365,"")</f>
        <v/>
      </c>
      <c r="B1365" s="27">
        <f>IFERROR(IF(ISNUMBER(Datos!B1365),Datos!B1365/$F$2*100,NA()),NA())</f>
        <v/>
      </c>
      <c r="C1365" s="27">
        <f>IFERROR(IF(ISNUMBER(Datos!C1365),Datos!C1365/$F$3*100,NA()),NA())</f>
        <v/>
      </c>
    </row>
    <row r="1366">
      <c r="A1366" s="7">
        <f>IFERROR(Datos!A1366,"")</f>
        <v/>
      </c>
      <c r="B1366" s="27">
        <f>IFERROR(IF(ISNUMBER(Datos!B1366),Datos!B1366/$F$2*100,NA()),NA())</f>
        <v/>
      </c>
      <c r="C1366" s="27">
        <f>IFERROR(IF(ISNUMBER(Datos!C1366),Datos!C1366/$F$3*100,NA()),NA())</f>
        <v/>
      </c>
    </row>
    <row r="1367">
      <c r="A1367" s="7">
        <f>IFERROR(Datos!A1367,"")</f>
        <v/>
      </c>
      <c r="B1367" s="27">
        <f>IFERROR(IF(ISNUMBER(Datos!B1367),Datos!B1367/$F$2*100,NA()),NA())</f>
        <v/>
      </c>
      <c r="C1367" s="27">
        <f>IFERROR(IF(ISNUMBER(Datos!C1367),Datos!C1367/$F$3*100,NA()),NA())</f>
        <v/>
      </c>
    </row>
    <row r="1368">
      <c r="A1368" s="7">
        <f>IFERROR(Datos!A1368,"")</f>
        <v/>
      </c>
      <c r="B1368" s="27">
        <f>IFERROR(IF(ISNUMBER(Datos!B1368),Datos!B1368/$F$2*100,NA()),NA())</f>
        <v/>
      </c>
      <c r="C1368" s="27">
        <f>IFERROR(IF(ISNUMBER(Datos!C1368),Datos!C1368/$F$3*100,NA()),NA())</f>
        <v/>
      </c>
    </row>
    <row r="1369">
      <c r="A1369" s="7">
        <f>IFERROR(Datos!A1369,"")</f>
        <v/>
      </c>
      <c r="B1369" s="27">
        <f>IFERROR(IF(ISNUMBER(Datos!B1369),Datos!B1369/$F$2*100,NA()),NA())</f>
        <v/>
      </c>
      <c r="C1369" s="27">
        <f>IFERROR(IF(ISNUMBER(Datos!C1369),Datos!C1369/$F$3*100,NA()),NA())</f>
        <v/>
      </c>
    </row>
    <row r="1370">
      <c r="A1370" s="7">
        <f>IFERROR(Datos!A1370,"")</f>
        <v/>
      </c>
      <c r="B1370" s="27">
        <f>IFERROR(IF(ISNUMBER(Datos!B1370),Datos!B1370/$F$2*100,NA()),NA())</f>
        <v/>
      </c>
      <c r="C1370" s="27">
        <f>IFERROR(IF(ISNUMBER(Datos!C1370),Datos!C1370/$F$3*100,NA()),NA())</f>
        <v/>
      </c>
    </row>
    <row r="1371">
      <c r="A1371" s="7">
        <f>IFERROR(Datos!A1371,"")</f>
        <v/>
      </c>
      <c r="B1371" s="27">
        <f>IFERROR(IF(ISNUMBER(Datos!B1371),Datos!B1371/$F$2*100,NA()),NA())</f>
        <v/>
      </c>
      <c r="C1371" s="27">
        <f>IFERROR(IF(ISNUMBER(Datos!C1371),Datos!C1371/$F$3*100,NA()),NA())</f>
        <v/>
      </c>
    </row>
    <row r="1372">
      <c r="A1372" s="7">
        <f>IFERROR(Datos!A1372,"")</f>
        <v/>
      </c>
      <c r="B1372" s="27">
        <f>IFERROR(IF(ISNUMBER(Datos!B1372),Datos!B1372/$F$2*100,NA()),NA())</f>
        <v/>
      </c>
      <c r="C1372" s="27">
        <f>IFERROR(IF(ISNUMBER(Datos!C1372),Datos!C1372/$F$3*100,NA()),NA())</f>
        <v/>
      </c>
    </row>
    <row r="1373">
      <c r="A1373" s="7">
        <f>IFERROR(Datos!A1373,"")</f>
        <v/>
      </c>
      <c r="B1373" s="27">
        <f>IFERROR(IF(ISNUMBER(Datos!B1373),Datos!B1373/$F$2*100,NA()),NA())</f>
        <v/>
      </c>
      <c r="C1373" s="27">
        <f>IFERROR(IF(ISNUMBER(Datos!C1373),Datos!C1373/$F$3*100,NA()),NA())</f>
        <v/>
      </c>
    </row>
    <row r="1374">
      <c r="A1374" s="7">
        <f>IFERROR(Datos!A1374,"")</f>
        <v/>
      </c>
      <c r="B1374" s="27">
        <f>IFERROR(IF(ISNUMBER(Datos!B1374),Datos!B1374/$F$2*100,NA()),NA())</f>
        <v/>
      </c>
      <c r="C1374" s="27">
        <f>IFERROR(IF(ISNUMBER(Datos!C1374),Datos!C1374/$F$3*100,NA()),NA())</f>
        <v/>
      </c>
    </row>
    <row r="1375">
      <c r="A1375" s="7">
        <f>IFERROR(Datos!A1375,"")</f>
        <v/>
      </c>
      <c r="B1375" s="27">
        <f>IFERROR(IF(ISNUMBER(Datos!B1375),Datos!B1375/$F$2*100,NA()),NA())</f>
        <v/>
      </c>
      <c r="C1375" s="27">
        <f>IFERROR(IF(ISNUMBER(Datos!C1375),Datos!C1375/$F$3*100,NA()),NA())</f>
        <v/>
      </c>
    </row>
    <row r="1376">
      <c r="A1376" s="7">
        <f>IFERROR(Datos!A1376,"")</f>
        <v/>
      </c>
      <c r="B1376" s="27">
        <f>IFERROR(IF(ISNUMBER(Datos!B1376),Datos!B1376/$F$2*100,NA()),NA())</f>
        <v/>
      </c>
      <c r="C1376" s="27">
        <f>IFERROR(IF(ISNUMBER(Datos!C1376),Datos!C1376/$F$3*100,NA()),NA())</f>
        <v/>
      </c>
    </row>
    <row r="1377">
      <c r="A1377" s="7">
        <f>IFERROR(Datos!A1377,"")</f>
        <v/>
      </c>
      <c r="B1377" s="27">
        <f>IFERROR(IF(ISNUMBER(Datos!B1377),Datos!B1377/$F$2*100,NA()),NA())</f>
        <v/>
      </c>
      <c r="C1377" s="27">
        <f>IFERROR(IF(ISNUMBER(Datos!C1377),Datos!C1377/$F$3*100,NA()),NA())</f>
        <v/>
      </c>
    </row>
    <row r="1378">
      <c r="A1378" s="7">
        <f>IFERROR(Datos!A1378,"")</f>
        <v/>
      </c>
      <c r="B1378" s="27">
        <f>IFERROR(IF(ISNUMBER(Datos!B1378),Datos!B1378/$F$2*100,NA()),NA())</f>
        <v/>
      </c>
      <c r="C1378" s="27">
        <f>IFERROR(IF(ISNUMBER(Datos!C1378),Datos!C1378/$F$3*100,NA()),NA())</f>
        <v/>
      </c>
    </row>
    <row r="1379">
      <c r="A1379" s="7">
        <f>IFERROR(Datos!A1379,"")</f>
        <v/>
      </c>
      <c r="B1379" s="27">
        <f>IFERROR(IF(ISNUMBER(Datos!B1379),Datos!B1379/$F$2*100,NA()),NA())</f>
        <v/>
      </c>
      <c r="C1379" s="27">
        <f>IFERROR(IF(ISNUMBER(Datos!C1379),Datos!C1379/$F$3*100,NA()),NA())</f>
        <v/>
      </c>
    </row>
    <row r="1380">
      <c r="A1380" s="7">
        <f>IFERROR(Datos!A1380,"")</f>
        <v/>
      </c>
      <c r="B1380" s="27">
        <f>IFERROR(IF(ISNUMBER(Datos!B1380),Datos!B1380/$F$2*100,NA()),NA())</f>
        <v/>
      </c>
      <c r="C1380" s="27">
        <f>IFERROR(IF(ISNUMBER(Datos!C1380),Datos!C1380/$F$3*100,NA()),NA())</f>
        <v/>
      </c>
    </row>
    <row r="1381">
      <c r="A1381" s="7">
        <f>IFERROR(Datos!A1381,"")</f>
        <v/>
      </c>
      <c r="B1381" s="27">
        <f>IFERROR(IF(ISNUMBER(Datos!B1381),Datos!B1381/$F$2*100,NA()),NA())</f>
        <v/>
      </c>
      <c r="C1381" s="27">
        <f>IFERROR(IF(ISNUMBER(Datos!C1381),Datos!C1381/$F$3*100,NA()),NA())</f>
        <v/>
      </c>
    </row>
    <row r="1382">
      <c r="A1382" s="7">
        <f>IFERROR(Datos!A1382,"")</f>
        <v/>
      </c>
      <c r="B1382" s="27">
        <f>IFERROR(IF(ISNUMBER(Datos!B1382),Datos!B1382/$F$2*100,NA()),NA())</f>
        <v/>
      </c>
      <c r="C1382" s="27">
        <f>IFERROR(IF(ISNUMBER(Datos!C1382),Datos!C1382/$F$3*100,NA()),NA())</f>
        <v/>
      </c>
    </row>
    <row r="1383">
      <c r="A1383" s="7">
        <f>IFERROR(Datos!A1383,"")</f>
        <v/>
      </c>
      <c r="B1383" s="27">
        <f>IFERROR(IF(ISNUMBER(Datos!B1383),Datos!B1383/$F$2*100,NA()),NA())</f>
        <v/>
      </c>
      <c r="C1383" s="27">
        <f>IFERROR(IF(ISNUMBER(Datos!C1383),Datos!C1383/$F$3*100,NA()),NA())</f>
        <v/>
      </c>
    </row>
    <row r="1384">
      <c r="A1384" s="7">
        <f>IFERROR(Datos!A1384,"")</f>
        <v/>
      </c>
      <c r="B1384" s="27">
        <f>IFERROR(IF(ISNUMBER(Datos!B1384),Datos!B1384/$F$2*100,NA()),NA())</f>
        <v/>
      </c>
      <c r="C1384" s="27">
        <f>IFERROR(IF(ISNUMBER(Datos!C1384),Datos!C1384/$F$3*100,NA()),NA())</f>
        <v/>
      </c>
    </row>
    <row r="1385">
      <c r="A1385" s="7">
        <f>IFERROR(Datos!A1385,"")</f>
        <v/>
      </c>
      <c r="B1385" s="27">
        <f>IFERROR(IF(ISNUMBER(Datos!B1385),Datos!B1385/$F$2*100,NA()),NA())</f>
        <v/>
      </c>
      <c r="C1385" s="27">
        <f>IFERROR(IF(ISNUMBER(Datos!C1385),Datos!C1385/$F$3*100,NA()),NA())</f>
        <v/>
      </c>
    </row>
    <row r="1386">
      <c r="A1386" s="7">
        <f>IFERROR(Datos!A1386,"")</f>
        <v/>
      </c>
      <c r="B1386" s="27">
        <f>IFERROR(IF(ISNUMBER(Datos!B1386),Datos!B1386/$F$2*100,NA()),NA())</f>
        <v/>
      </c>
      <c r="C1386" s="27">
        <f>IFERROR(IF(ISNUMBER(Datos!C1386),Datos!C1386/$F$3*100,NA()),NA())</f>
        <v/>
      </c>
    </row>
    <row r="1387">
      <c r="A1387" s="7">
        <f>IFERROR(Datos!A1387,"")</f>
        <v/>
      </c>
      <c r="B1387" s="27">
        <f>IFERROR(IF(ISNUMBER(Datos!B1387),Datos!B1387/$F$2*100,NA()),NA())</f>
        <v/>
      </c>
      <c r="C1387" s="27">
        <f>IFERROR(IF(ISNUMBER(Datos!C1387),Datos!C1387/$F$3*100,NA()),NA())</f>
        <v/>
      </c>
    </row>
    <row r="1388">
      <c r="A1388" s="7">
        <f>IFERROR(Datos!A1388,"")</f>
        <v/>
      </c>
      <c r="B1388" s="27">
        <f>IFERROR(IF(ISNUMBER(Datos!B1388),Datos!B1388/$F$2*100,NA()),NA())</f>
        <v/>
      </c>
      <c r="C1388" s="27">
        <f>IFERROR(IF(ISNUMBER(Datos!C1388),Datos!C1388/$F$3*100,NA()),NA())</f>
        <v/>
      </c>
    </row>
    <row r="1389">
      <c r="A1389" s="7">
        <f>IFERROR(Datos!A1389,"")</f>
        <v/>
      </c>
      <c r="B1389" s="27">
        <f>IFERROR(IF(ISNUMBER(Datos!B1389),Datos!B1389/$F$2*100,NA()),NA())</f>
        <v/>
      </c>
      <c r="C1389" s="27">
        <f>IFERROR(IF(ISNUMBER(Datos!C1389),Datos!C1389/$F$3*100,NA()),NA())</f>
        <v/>
      </c>
    </row>
    <row r="1390">
      <c r="A1390" s="7">
        <f>IFERROR(Datos!A1390,"")</f>
        <v/>
      </c>
      <c r="B1390" s="27">
        <f>IFERROR(IF(ISNUMBER(Datos!B1390),Datos!B1390/$F$2*100,NA()),NA())</f>
        <v/>
      </c>
      <c r="C1390" s="27">
        <f>IFERROR(IF(ISNUMBER(Datos!C1390),Datos!C1390/$F$3*100,NA()),NA())</f>
        <v/>
      </c>
    </row>
    <row r="1391">
      <c r="A1391" s="7">
        <f>IFERROR(Datos!A1391,"")</f>
        <v/>
      </c>
      <c r="B1391" s="27">
        <f>IFERROR(IF(ISNUMBER(Datos!B1391),Datos!B1391/$F$2*100,NA()),NA())</f>
        <v/>
      </c>
      <c r="C1391" s="27">
        <f>IFERROR(IF(ISNUMBER(Datos!C1391),Datos!C1391/$F$3*100,NA()),NA())</f>
        <v/>
      </c>
    </row>
    <row r="1392">
      <c r="A1392" s="7">
        <f>IFERROR(Datos!A1392,"")</f>
        <v/>
      </c>
      <c r="B1392" s="27">
        <f>IFERROR(IF(ISNUMBER(Datos!B1392),Datos!B1392/$F$2*100,NA()),NA())</f>
        <v/>
      </c>
      <c r="C1392" s="27">
        <f>IFERROR(IF(ISNUMBER(Datos!C1392),Datos!C1392/$F$3*100,NA()),NA())</f>
        <v/>
      </c>
    </row>
    <row r="1393">
      <c r="A1393" s="7">
        <f>IFERROR(Datos!A1393,"")</f>
        <v/>
      </c>
      <c r="B1393" s="27">
        <f>IFERROR(IF(ISNUMBER(Datos!B1393),Datos!B1393/$F$2*100,NA()),NA())</f>
        <v/>
      </c>
      <c r="C1393" s="27">
        <f>IFERROR(IF(ISNUMBER(Datos!C1393),Datos!C1393/$F$3*100,NA()),NA())</f>
        <v/>
      </c>
    </row>
    <row r="1394">
      <c r="A1394" s="7">
        <f>IFERROR(Datos!A1394,"")</f>
        <v/>
      </c>
      <c r="B1394" s="27">
        <f>IFERROR(IF(ISNUMBER(Datos!B1394),Datos!B1394/$F$2*100,NA()),NA())</f>
        <v/>
      </c>
      <c r="C1394" s="27">
        <f>IFERROR(IF(ISNUMBER(Datos!C1394),Datos!C1394/$F$3*100,NA()),NA())</f>
        <v/>
      </c>
    </row>
    <row r="1395">
      <c r="A1395" s="7">
        <f>IFERROR(Datos!A1395,"")</f>
        <v/>
      </c>
      <c r="B1395" s="27">
        <f>IFERROR(IF(ISNUMBER(Datos!B1395),Datos!B1395/$F$2*100,NA()),NA())</f>
        <v/>
      </c>
      <c r="C1395" s="27">
        <f>IFERROR(IF(ISNUMBER(Datos!C1395),Datos!C1395/$F$3*100,NA()),NA())</f>
        <v/>
      </c>
    </row>
    <row r="1396">
      <c r="A1396" s="7">
        <f>IFERROR(Datos!A1396,"")</f>
        <v/>
      </c>
      <c r="B1396" s="27">
        <f>IFERROR(IF(ISNUMBER(Datos!B1396),Datos!B1396/$F$2*100,NA()),NA())</f>
        <v/>
      </c>
      <c r="C1396" s="27">
        <f>IFERROR(IF(ISNUMBER(Datos!C1396),Datos!C1396/$F$3*100,NA()),NA())</f>
        <v/>
      </c>
    </row>
    <row r="1397">
      <c r="A1397" s="7">
        <f>IFERROR(Datos!A1397,"")</f>
        <v/>
      </c>
      <c r="B1397" s="27">
        <f>IFERROR(IF(ISNUMBER(Datos!B1397),Datos!B1397/$F$2*100,NA()),NA())</f>
        <v/>
      </c>
      <c r="C1397" s="27">
        <f>IFERROR(IF(ISNUMBER(Datos!C1397),Datos!C1397/$F$3*100,NA()),NA())</f>
        <v/>
      </c>
    </row>
    <row r="1398">
      <c r="A1398" s="7">
        <f>IFERROR(Datos!A1398,"")</f>
        <v/>
      </c>
      <c r="B1398" s="27">
        <f>IFERROR(IF(ISNUMBER(Datos!B1398),Datos!B1398/$F$2*100,NA()),NA())</f>
        <v/>
      </c>
      <c r="C1398" s="27">
        <f>IFERROR(IF(ISNUMBER(Datos!C1398),Datos!C1398/$F$3*100,NA()),NA())</f>
        <v/>
      </c>
    </row>
    <row r="1399">
      <c r="A1399" s="7">
        <f>IFERROR(Datos!A1399,"")</f>
        <v/>
      </c>
      <c r="B1399" s="27">
        <f>IFERROR(IF(ISNUMBER(Datos!B1399),Datos!B1399/$F$2*100,NA()),NA())</f>
        <v/>
      </c>
      <c r="C1399" s="27">
        <f>IFERROR(IF(ISNUMBER(Datos!C1399),Datos!C1399/$F$3*100,NA()),NA())</f>
        <v/>
      </c>
    </row>
    <row r="1400">
      <c r="A1400" s="7">
        <f>IFERROR(Datos!A1400,"")</f>
        <v/>
      </c>
      <c r="B1400" s="27">
        <f>IFERROR(IF(ISNUMBER(Datos!B1400),Datos!B1400/$F$2*100,NA()),NA())</f>
        <v/>
      </c>
      <c r="C1400" s="27">
        <f>IFERROR(IF(ISNUMBER(Datos!C1400),Datos!C1400/$F$3*100,NA()),NA())</f>
        <v/>
      </c>
    </row>
    <row r="1401">
      <c r="A1401" s="7">
        <f>IFERROR(Datos!A1401,"")</f>
        <v/>
      </c>
      <c r="B1401" s="27">
        <f>IFERROR(IF(ISNUMBER(Datos!B1401),Datos!B1401/$F$2*100,NA()),NA())</f>
        <v/>
      </c>
      <c r="C1401" s="27">
        <f>IFERROR(IF(ISNUMBER(Datos!C1401),Datos!C1401/$F$3*100,NA()),NA())</f>
        <v/>
      </c>
    </row>
    <row r="1402">
      <c r="A1402" s="7">
        <f>IFERROR(Datos!A1402,"")</f>
        <v/>
      </c>
      <c r="B1402" s="27">
        <f>IFERROR(IF(ISNUMBER(Datos!B1402),Datos!B1402/$F$2*100,NA()),NA())</f>
        <v/>
      </c>
      <c r="C1402" s="27">
        <f>IFERROR(IF(ISNUMBER(Datos!C1402),Datos!C1402/$F$3*100,NA()),NA())</f>
        <v/>
      </c>
    </row>
    <row r="1403">
      <c r="A1403" s="7">
        <f>IFERROR(Datos!A1403,"")</f>
        <v/>
      </c>
      <c r="B1403" s="27">
        <f>IFERROR(IF(ISNUMBER(Datos!B1403),Datos!B1403/$F$2*100,NA()),NA())</f>
        <v/>
      </c>
      <c r="C1403" s="27">
        <f>IFERROR(IF(ISNUMBER(Datos!C1403),Datos!C1403/$F$3*100,NA()),NA())</f>
        <v/>
      </c>
    </row>
    <row r="1404">
      <c r="A1404" s="7">
        <f>IFERROR(Datos!A1404,"")</f>
        <v/>
      </c>
      <c r="B1404" s="27">
        <f>IFERROR(IF(ISNUMBER(Datos!B1404),Datos!B1404/$F$2*100,NA()),NA())</f>
        <v/>
      </c>
      <c r="C1404" s="27">
        <f>IFERROR(IF(ISNUMBER(Datos!C1404),Datos!C1404/$F$3*100,NA()),NA())</f>
        <v/>
      </c>
    </row>
    <row r="1405">
      <c r="A1405" s="7">
        <f>IFERROR(Datos!A1405,"")</f>
        <v/>
      </c>
      <c r="B1405" s="27">
        <f>IFERROR(IF(ISNUMBER(Datos!B1405),Datos!B1405/$F$2*100,NA()),NA())</f>
        <v/>
      </c>
      <c r="C1405" s="27">
        <f>IFERROR(IF(ISNUMBER(Datos!C1405),Datos!C1405/$F$3*100,NA()),NA())</f>
        <v/>
      </c>
    </row>
    <row r="1406">
      <c r="A1406" s="7">
        <f>IFERROR(Datos!A1406,"")</f>
        <v/>
      </c>
      <c r="B1406" s="27">
        <f>IFERROR(IF(ISNUMBER(Datos!B1406),Datos!B1406/$F$2*100,NA()),NA())</f>
        <v/>
      </c>
      <c r="C1406" s="27">
        <f>IFERROR(IF(ISNUMBER(Datos!C1406),Datos!C1406/$F$3*100,NA()),NA())</f>
        <v/>
      </c>
    </row>
    <row r="1407">
      <c r="A1407" s="7">
        <f>IFERROR(Datos!A1407,"")</f>
        <v/>
      </c>
      <c r="B1407" s="27">
        <f>IFERROR(IF(ISNUMBER(Datos!B1407),Datos!B1407/$F$2*100,NA()),NA())</f>
        <v/>
      </c>
      <c r="C1407" s="27">
        <f>IFERROR(IF(ISNUMBER(Datos!C1407),Datos!C1407/$F$3*100,NA()),NA())</f>
        <v/>
      </c>
    </row>
    <row r="1408">
      <c r="A1408" s="7">
        <f>IFERROR(Datos!A1408,"")</f>
        <v/>
      </c>
      <c r="B1408" s="27">
        <f>IFERROR(IF(ISNUMBER(Datos!B1408),Datos!B1408/$F$2*100,NA()),NA())</f>
        <v/>
      </c>
      <c r="C1408" s="27">
        <f>IFERROR(IF(ISNUMBER(Datos!C1408),Datos!C1408/$F$3*100,NA()),NA())</f>
        <v/>
      </c>
    </row>
    <row r="1409">
      <c r="A1409" s="7">
        <f>IFERROR(Datos!A1409,"")</f>
        <v/>
      </c>
      <c r="B1409" s="27">
        <f>IFERROR(IF(ISNUMBER(Datos!B1409),Datos!B1409/$F$2*100,NA()),NA())</f>
        <v/>
      </c>
      <c r="C1409" s="27">
        <f>IFERROR(IF(ISNUMBER(Datos!C1409),Datos!C1409/$F$3*100,NA()),NA())</f>
        <v/>
      </c>
    </row>
    <row r="1410">
      <c r="A1410" s="7">
        <f>IFERROR(Datos!A1410,"")</f>
        <v/>
      </c>
      <c r="B1410" s="27">
        <f>IFERROR(IF(ISNUMBER(Datos!B1410),Datos!B1410/$F$2*100,NA()),NA())</f>
        <v/>
      </c>
      <c r="C1410" s="27">
        <f>IFERROR(IF(ISNUMBER(Datos!C1410),Datos!C1410/$F$3*100,NA()),NA())</f>
        <v/>
      </c>
    </row>
    <row r="1411">
      <c r="A1411" s="7">
        <f>IFERROR(Datos!A1411,"")</f>
        <v/>
      </c>
      <c r="B1411" s="27">
        <f>IFERROR(IF(ISNUMBER(Datos!B1411),Datos!B1411/$F$2*100,NA()),NA())</f>
        <v/>
      </c>
      <c r="C1411" s="27">
        <f>IFERROR(IF(ISNUMBER(Datos!C1411),Datos!C1411/$F$3*100,NA()),NA())</f>
        <v/>
      </c>
    </row>
    <row r="1412">
      <c r="A1412" s="7">
        <f>IFERROR(Datos!A1412,"")</f>
        <v/>
      </c>
      <c r="B1412" s="27">
        <f>IFERROR(IF(ISNUMBER(Datos!B1412),Datos!B1412/$F$2*100,NA()),NA())</f>
        <v/>
      </c>
      <c r="C1412" s="27">
        <f>IFERROR(IF(ISNUMBER(Datos!C1412),Datos!C1412/$F$3*100,NA()),NA())</f>
        <v/>
      </c>
    </row>
    <row r="1413">
      <c r="A1413" s="7">
        <f>IFERROR(Datos!A1413,"")</f>
        <v/>
      </c>
      <c r="B1413" s="27">
        <f>IFERROR(IF(ISNUMBER(Datos!B1413),Datos!B1413/$F$2*100,NA()),NA())</f>
        <v/>
      </c>
      <c r="C1413" s="27">
        <f>IFERROR(IF(ISNUMBER(Datos!C1413),Datos!C1413/$F$3*100,NA()),NA())</f>
        <v/>
      </c>
    </row>
    <row r="1414">
      <c r="A1414" s="7">
        <f>IFERROR(Datos!A1414,"")</f>
        <v/>
      </c>
      <c r="B1414" s="27">
        <f>IFERROR(IF(ISNUMBER(Datos!B1414),Datos!B1414/$F$2*100,NA()),NA())</f>
        <v/>
      </c>
      <c r="C1414" s="27">
        <f>IFERROR(IF(ISNUMBER(Datos!C1414),Datos!C1414/$F$3*100,NA()),NA())</f>
        <v/>
      </c>
    </row>
    <row r="1415">
      <c r="A1415" s="7">
        <f>IFERROR(Datos!A1415,"")</f>
        <v/>
      </c>
      <c r="B1415" s="27">
        <f>IFERROR(IF(ISNUMBER(Datos!B1415),Datos!B1415/$F$2*100,NA()),NA())</f>
        <v/>
      </c>
      <c r="C1415" s="27">
        <f>IFERROR(IF(ISNUMBER(Datos!C1415),Datos!C1415/$F$3*100,NA()),NA())</f>
        <v/>
      </c>
    </row>
    <row r="1416">
      <c r="A1416" s="7">
        <f>IFERROR(Datos!A1416,"")</f>
        <v/>
      </c>
      <c r="B1416" s="27">
        <f>IFERROR(IF(ISNUMBER(Datos!B1416),Datos!B1416/$F$2*100,NA()),NA())</f>
        <v/>
      </c>
      <c r="C1416" s="27">
        <f>IFERROR(IF(ISNUMBER(Datos!C1416),Datos!C1416/$F$3*100,NA()),NA())</f>
        <v/>
      </c>
    </row>
    <row r="1417">
      <c r="A1417" s="7">
        <f>IFERROR(Datos!A1417,"")</f>
        <v/>
      </c>
      <c r="B1417" s="27">
        <f>IFERROR(IF(ISNUMBER(Datos!B1417),Datos!B1417/$F$2*100,NA()),NA())</f>
        <v/>
      </c>
      <c r="C1417" s="27">
        <f>IFERROR(IF(ISNUMBER(Datos!C1417),Datos!C1417/$F$3*100,NA()),NA())</f>
        <v/>
      </c>
    </row>
    <row r="1418">
      <c r="A1418" s="7">
        <f>IFERROR(Datos!A1418,"")</f>
        <v/>
      </c>
      <c r="B1418" s="27">
        <f>IFERROR(IF(ISNUMBER(Datos!B1418),Datos!B1418/$F$2*100,NA()),NA())</f>
        <v/>
      </c>
      <c r="C1418" s="27">
        <f>IFERROR(IF(ISNUMBER(Datos!C1418),Datos!C1418/$F$3*100,NA()),NA())</f>
        <v/>
      </c>
    </row>
    <row r="1419">
      <c r="A1419" s="7">
        <f>IFERROR(Datos!A1419,"")</f>
        <v/>
      </c>
      <c r="B1419" s="27">
        <f>IFERROR(IF(ISNUMBER(Datos!B1419),Datos!B1419/$F$2*100,NA()),NA())</f>
        <v/>
      </c>
      <c r="C1419" s="27">
        <f>IFERROR(IF(ISNUMBER(Datos!C1419),Datos!C1419/$F$3*100,NA()),NA())</f>
        <v/>
      </c>
    </row>
    <row r="1420">
      <c r="A1420" s="7">
        <f>IFERROR(Datos!A1420,"")</f>
        <v/>
      </c>
      <c r="B1420" s="27">
        <f>IFERROR(IF(ISNUMBER(Datos!B1420),Datos!B1420/$F$2*100,NA()),NA())</f>
        <v/>
      </c>
      <c r="C1420" s="27">
        <f>IFERROR(IF(ISNUMBER(Datos!C1420),Datos!C1420/$F$3*100,NA()),NA())</f>
        <v/>
      </c>
    </row>
    <row r="1421">
      <c r="A1421" s="7">
        <f>IFERROR(Datos!A1421,"")</f>
        <v/>
      </c>
      <c r="B1421" s="27">
        <f>IFERROR(IF(ISNUMBER(Datos!B1421),Datos!B1421/$F$2*100,NA()),NA())</f>
        <v/>
      </c>
      <c r="C1421" s="27">
        <f>IFERROR(IF(ISNUMBER(Datos!C1421),Datos!C1421/$F$3*100,NA()),NA())</f>
        <v/>
      </c>
    </row>
    <row r="1422">
      <c r="A1422" s="7">
        <f>IFERROR(Datos!A1422,"")</f>
        <v/>
      </c>
      <c r="B1422" s="27">
        <f>IFERROR(IF(ISNUMBER(Datos!B1422),Datos!B1422/$F$2*100,NA()),NA())</f>
        <v/>
      </c>
      <c r="C1422" s="27">
        <f>IFERROR(IF(ISNUMBER(Datos!C1422),Datos!C1422/$F$3*100,NA()),NA())</f>
        <v/>
      </c>
    </row>
    <row r="1423">
      <c r="A1423" s="7">
        <f>IFERROR(Datos!A1423,"")</f>
        <v/>
      </c>
      <c r="B1423" s="27">
        <f>IFERROR(IF(ISNUMBER(Datos!B1423),Datos!B1423/$F$2*100,NA()),NA())</f>
        <v/>
      </c>
      <c r="C1423" s="27">
        <f>IFERROR(IF(ISNUMBER(Datos!C1423),Datos!C1423/$F$3*100,NA()),NA())</f>
        <v/>
      </c>
    </row>
    <row r="1424">
      <c r="A1424" s="7">
        <f>IFERROR(Datos!A1424,"")</f>
        <v/>
      </c>
      <c r="B1424" s="27">
        <f>IFERROR(IF(ISNUMBER(Datos!B1424),Datos!B1424/$F$2*100,NA()),NA())</f>
        <v/>
      </c>
      <c r="C1424" s="27">
        <f>IFERROR(IF(ISNUMBER(Datos!C1424),Datos!C1424/$F$3*100,NA()),NA())</f>
        <v/>
      </c>
    </row>
    <row r="1425">
      <c r="A1425" s="7">
        <f>IFERROR(Datos!A1425,"")</f>
        <v/>
      </c>
      <c r="B1425" s="27">
        <f>IFERROR(IF(ISNUMBER(Datos!B1425),Datos!B1425/$F$2*100,NA()),NA())</f>
        <v/>
      </c>
      <c r="C1425" s="27">
        <f>IFERROR(IF(ISNUMBER(Datos!C1425),Datos!C1425/$F$3*100,NA()),NA())</f>
        <v/>
      </c>
    </row>
    <row r="1426">
      <c r="A1426" s="7">
        <f>IFERROR(Datos!A1426,"")</f>
        <v/>
      </c>
      <c r="B1426" s="27">
        <f>IFERROR(IF(ISNUMBER(Datos!B1426),Datos!B1426/$F$2*100,NA()),NA())</f>
        <v/>
      </c>
      <c r="C1426" s="27">
        <f>IFERROR(IF(ISNUMBER(Datos!C1426),Datos!C1426/$F$3*100,NA()),NA())</f>
        <v/>
      </c>
    </row>
    <row r="1427">
      <c r="A1427" s="7">
        <f>IFERROR(Datos!A1427,"")</f>
        <v/>
      </c>
      <c r="B1427" s="27">
        <f>IFERROR(IF(ISNUMBER(Datos!B1427),Datos!B1427/$F$2*100,NA()),NA())</f>
        <v/>
      </c>
      <c r="C1427" s="27">
        <f>IFERROR(IF(ISNUMBER(Datos!C1427),Datos!C1427/$F$3*100,NA()),NA())</f>
        <v/>
      </c>
    </row>
    <row r="1428">
      <c r="A1428" s="7">
        <f>IFERROR(Datos!A1428,"")</f>
        <v/>
      </c>
      <c r="B1428" s="27">
        <f>IFERROR(IF(ISNUMBER(Datos!B1428),Datos!B1428/$F$2*100,NA()),NA())</f>
        <v/>
      </c>
      <c r="C1428" s="27">
        <f>IFERROR(IF(ISNUMBER(Datos!C1428),Datos!C1428/$F$3*100,NA()),NA())</f>
        <v/>
      </c>
    </row>
    <row r="1429">
      <c r="A1429" s="7">
        <f>IFERROR(Datos!A1429,"")</f>
        <v/>
      </c>
      <c r="B1429" s="27">
        <f>IFERROR(IF(ISNUMBER(Datos!B1429),Datos!B1429/$F$2*100,NA()),NA())</f>
        <v/>
      </c>
      <c r="C1429" s="27">
        <f>IFERROR(IF(ISNUMBER(Datos!C1429),Datos!C1429/$F$3*100,NA()),NA())</f>
        <v/>
      </c>
    </row>
    <row r="1430">
      <c r="A1430" s="7">
        <f>IFERROR(Datos!A1430,"")</f>
        <v/>
      </c>
      <c r="B1430" s="27">
        <f>IFERROR(IF(ISNUMBER(Datos!B1430),Datos!B1430/$F$2*100,NA()),NA())</f>
        <v/>
      </c>
      <c r="C1430" s="27">
        <f>IFERROR(IF(ISNUMBER(Datos!C1430),Datos!C1430/$F$3*100,NA()),NA())</f>
        <v/>
      </c>
    </row>
    <row r="1431">
      <c r="A1431" s="7">
        <f>IFERROR(Datos!A1431,"")</f>
        <v/>
      </c>
      <c r="B1431" s="27">
        <f>IFERROR(IF(ISNUMBER(Datos!B1431),Datos!B1431/$F$2*100,NA()),NA())</f>
        <v/>
      </c>
      <c r="C1431" s="27">
        <f>IFERROR(IF(ISNUMBER(Datos!C1431),Datos!C1431/$F$3*100,NA()),NA())</f>
        <v/>
      </c>
    </row>
    <row r="1432">
      <c r="A1432" s="7">
        <f>IFERROR(Datos!A1432,"")</f>
        <v/>
      </c>
      <c r="B1432" s="27">
        <f>IFERROR(IF(ISNUMBER(Datos!B1432),Datos!B1432/$F$2*100,NA()),NA())</f>
        <v/>
      </c>
      <c r="C1432" s="27">
        <f>IFERROR(IF(ISNUMBER(Datos!C1432),Datos!C1432/$F$3*100,NA()),NA())</f>
        <v/>
      </c>
    </row>
    <row r="1433">
      <c r="A1433" s="7">
        <f>IFERROR(Datos!A1433,"")</f>
        <v/>
      </c>
      <c r="B1433" s="27">
        <f>IFERROR(IF(ISNUMBER(Datos!B1433),Datos!B1433/$F$2*100,NA()),NA())</f>
        <v/>
      </c>
      <c r="C1433" s="27">
        <f>IFERROR(IF(ISNUMBER(Datos!C1433),Datos!C1433/$F$3*100,NA()),NA())</f>
        <v/>
      </c>
    </row>
    <row r="1434">
      <c r="A1434" s="7">
        <f>IFERROR(Datos!A1434,"")</f>
        <v/>
      </c>
      <c r="B1434" s="27">
        <f>IFERROR(IF(ISNUMBER(Datos!B1434),Datos!B1434/$F$2*100,NA()),NA())</f>
        <v/>
      </c>
      <c r="C1434" s="27">
        <f>IFERROR(IF(ISNUMBER(Datos!C1434),Datos!C1434/$F$3*100,NA()),NA())</f>
        <v/>
      </c>
    </row>
    <row r="1435">
      <c r="A1435" s="7">
        <f>IFERROR(Datos!A1435,"")</f>
        <v/>
      </c>
      <c r="B1435" s="27">
        <f>IFERROR(IF(ISNUMBER(Datos!B1435),Datos!B1435/$F$2*100,NA()),NA())</f>
        <v/>
      </c>
      <c r="C1435" s="27">
        <f>IFERROR(IF(ISNUMBER(Datos!C1435),Datos!C1435/$F$3*100,NA()),NA())</f>
        <v/>
      </c>
    </row>
    <row r="1436">
      <c r="A1436" s="7">
        <f>IFERROR(Datos!A1436,"")</f>
        <v/>
      </c>
      <c r="B1436" s="27">
        <f>IFERROR(IF(ISNUMBER(Datos!B1436),Datos!B1436/$F$2*100,NA()),NA())</f>
        <v/>
      </c>
      <c r="C1436" s="27">
        <f>IFERROR(IF(ISNUMBER(Datos!C1436),Datos!C1436/$F$3*100,NA()),NA())</f>
        <v/>
      </c>
    </row>
    <row r="1437">
      <c r="A1437" s="7">
        <f>IFERROR(Datos!A1437,"")</f>
        <v/>
      </c>
      <c r="B1437" s="27">
        <f>IFERROR(IF(ISNUMBER(Datos!B1437),Datos!B1437/$F$2*100,NA()),NA())</f>
        <v/>
      </c>
      <c r="C1437" s="27">
        <f>IFERROR(IF(ISNUMBER(Datos!C1437),Datos!C1437/$F$3*100,NA()),NA())</f>
        <v/>
      </c>
    </row>
    <row r="1438">
      <c r="A1438" s="7">
        <f>IFERROR(Datos!A1438,"")</f>
        <v/>
      </c>
      <c r="B1438" s="27">
        <f>IFERROR(IF(ISNUMBER(Datos!B1438),Datos!B1438/$F$2*100,NA()),NA())</f>
        <v/>
      </c>
      <c r="C1438" s="27">
        <f>IFERROR(IF(ISNUMBER(Datos!C1438),Datos!C1438/$F$3*100,NA()),NA())</f>
        <v/>
      </c>
    </row>
    <row r="1439">
      <c r="A1439" s="7">
        <f>IFERROR(Datos!A1439,"")</f>
        <v/>
      </c>
      <c r="B1439" s="27">
        <f>IFERROR(IF(ISNUMBER(Datos!B1439),Datos!B1439/$F$2*100,NA()),NA())</f>
        <v/>
      </c>
      <c r="C1439" s="27">
        <f>IFERROR(IF(ISNUMBER(Datos!C1439),Datos!C1439/$F$3*100,NA()),NA())</f>
        <v/>
      </c>
    </row>
    <row r="1440">
      <c r="A1440" s="7">
        <f>IFERROR(Datos!A1440,"")</f>
        <v/>
      </c>
      <c r="B1440" s="27">
        <f>IFERROR(IF(ISNUMBER(Datos!B1440),Datos!B1440/$F$2*100,NA()),NA())</f>
        <v/>
      </c>
      <c r="C1440" s="27">
        <f>IFERROR(IF(ISNUMBER(Datos!C1440),Datos!C1440/$F$3*100,NA()),NA())</f>
        <v/>
      </c>
    </row>
    <row r="1441">
      <c r="A1441" s="7">
        <f>IFERROR(Datos!A1441,"")</f>
        <v/>
      </c>
      <c r="B1441" s="27">
        <f>IFERROR(IF(ISNUMBER(Datos!B1441),Datos!B1441/$F$2*100,NA()),NA())</f>
        <v/>
      </c>
      <c r="C1441" s="27">
        <f>IFERROR(IF(ISNUMBER(Datos!C1441),Datos!C1441/$F$3*100,NA()),NA())</f>
        <v/>
      </c>
    </row>
    <row r="1442">
      <c r="A1442" s="7">
        <f>IFERROR(Datos!A1442,"")</f>
        <v/>
      </c>
      <c r="B1442" s="27">
        <f>IFERROR(IF(ISNUMBER(Datos!B1442),Datos!B1442/$F$2*100,NA()),NA())</f>
        <v/>
      </c>
      <c r="C1442" s="27">
        <f>IFERROR(IF(ISNUMBER(Datos!C1442),Datos!C1442/$F$3*100,NA()),NA())</f>
        <v/>
      </c>
    </row>
    <row r="1443">
      <c r="A1443" s="7">
        <f>IFERROR(Datos!A1443,"")</f>
        <v/>
      </c>
      <c r="B1443" s="27">
        <f>IFERROR(IF(ISNUMBER(Datos!B1443),Datos!B1443/$F$2*100,NA()),NA())</f>
        <v/>
      </c>
      <c r="C1443" s="27">
        <f>IFERROR(IF(ISNUMBER(Datos!C1443),Datos!C1443/$F$3*100,NA()),NA())</f>
        <v/>
      </c>
    </row>
    <row r="1444">
      <c r="A1444" s="7">
        <f>IFERROR(Datos!A1444,"")</f>
        <v/>
      </c>
      <c r="B1444" s="27">
        <f>IFERROR(IF(ISNUMBER(Datos!B1444),Datos!B1444/$F$2*100,NA()),NA())</f>
        <v/>
      </c>
      <c r="C1444" s="27">
        <f>IFERROR(IF(ISNUMBER(Datos!C1444),Datos!C1444/$F$3*100,NA()),NA())</f>
        <v/>
      </c>
    </row>
    <row r="1445">
      <c r="A1445" s="7">
        <f>IFERROR(Datos!A1445,"")</f>
        <v/>
      </c>
      <c r="B1445" s="27">
        <f>IFERROR(IF(ISNUMBER(Datos!B1445),Datos!B1445/$F$2*100,NA()),NA())</f>
        <v/>
      </c>
      <c r="C1445" s="27">
        <f>IFERROR(IF(ISNUMBER(Datos!C1445),Datos!C1445/$F$3*100,NA()),NA())</f>
        <v/>
      </c>
    </row>
    <row r="1446">
      <c r="A1446" s="7">
        <f>IFERROR(Datos!A1446,"")</f>
        <v/>
      </c>
      <c r="B1446" s="27">
        <f>IFERROR(IF(ISNUMBER(Datos!B1446),Datos!B1446/$F$2*100,NA()),NA())</f>
        <v/>
      </c>
      <c r="C1446" s="27">
        <f>IFERROR(IF(ISNUMBER(Datos!C1446),Datos!C1446/$F$3*100,NA()),NA())</f>
        <v/>
      </c>
    </row>
    <row r="1447">
      <c r="A1447" s="7">
        <f>IFERROR(Datos!A1447,"")</f>
        <v/>
      </c>
      <c r="B1447" s="27">
        <f>IFERROR(IF(ISNUMBER(Datos!B1447),Datos!B1447/$F$2*100,NA()),NA())</f>
        <v/>
      </c>
      <c r="C1447" s="27">
        <f>IFERROR(IF(ISNUMBER(Datos!C1447),Datos!C1447/$F$3*100,NA()),NA())</f>
        <v/>
      </c>
    </row>
    <row r="1448">
      <c r="A1448" s="7">
        <f>IFERROR(Datos!A1448,"")</f>
        <v/>
      </c>
      <c r="B1448" s="27">
        <f>IFERROR(IF(ISNUMBER(Datos!B1448),Datos!B1448/$F$2*100,NA()),NA())</f>
        <v/>
      </c>
      <c r="C1448" s="27">
        <f>IFERROR(IF(ISNUMBER(Datos!C1448),Datos!C1448/$F$3*100,NA()),NA())</f>
        <v/>
      </c>
    </row>
    <row r="1449">
      <c r="A1449" s="7">
        <f>IFERROR(Datos!A1449,"")</f>
        <v/>
      </c>
      <c r="B1449" s="27">
        <f>IFERROR(IF(ISNUMBER(Datos!B1449),Datos!B1449/$F$2*100,NA()),NA())</f>
        <v/>
      </c>
      <c r="C1449" s="27">
        <f>IFERROR(IF(ISNUMBER(Datos!C1449),Datos!C1449/$F$3*100,NA()),NA())</f>
        <v/>
      </c>
    </row>
    <row r="1450">
      <c r="A1450" s="7">
        <f>IFERROR(Datos!A1450,"")</f>
        <v/>
      </c>
      <c r="B1450" s="27">
        <f>IFERROR(IF(ISNUMBER(Datos!B1450),Datos!B1450/$F$2*100,NA()),NA())</f>
        <v/>
      </c>
      <c r="C1450" s="27">
        <f>IFERROR(IF(ISNUMBER(Datos!C1450),Datos!C1450/$F$3*100,NA()),NA())</f>
        <v/>
      </c>
    </row>
    <row r="1451">
      <c r="A1451" s="7">
        <f>IFERROR(Datos!A1451,"")</f>
        <v/>
      </c>
      <c r="B1451" s="27">
        <f>IFERROR(IF(ISNUMBER(Datos!B1451),Datos!B1451/$F$2*100,NA()),NA())</f>
        <v/>
      </c>
      <c r="C1451" s="27">
        <f>IFERROR(IF(ISNUMBER(Datos!C1451),Datos!C1451/$F$3*100,NA()),NA())</f>
        <v/>
      </c>
    </row>
    <row r="1452">
      <c r="A1452" s="7">
        <f>IFERROR(Datos!A1452,"")</f>
        <v/>
      </c>
      <c r="B1452" s="27">
        <f>IFERROR(IF(ISNUMBER(Datos!B1452),Datos!B1452/$F$2*100,NA()),NA())</f>
        <v/>
      </c>
      <c r="C1452" s="27">
        <f>IFERROR(IF(ISNUMBER(Datos!C1452),Datos!C1452/$F$3*100,NA()),NA())</f>
        <v/>
      </c>
    </row>
    <row r="1453">
      <c r="A1453" s="7">
        <f>IFERROR(Datos!A1453,"")</f>
        <v/>
      </c>
      <c r="B1453" s="27">
        <f>IFERROR(IF(ISNUMBER(Datos!B1453),Datos!B1453/$F$2*100,NA()),NA())</f>
        <v/>
      </c>
      <c r="C1453" s="27">
        <f>IFERROR(IF(ISNUMBER(Datos!C1453),Datos!C1453/$F$3*100,NA()),NA())</f>
        <v/>
      </c>
    </row>
    <row r="1454">
      <c r="A1454" s="7">
        <f>IFERROR(Datos!A1454,"")</f>
        <v/>
      </c>
      <c r="B1454" s="27">
        <f>IFERROR(IF(ISNUMBER(Datos!B1454),Datos!B1454/$F$2*100,NA()),NA())</f>
        <v/>
      </c>
      <c r="C1454" s="27">
        <f>IFERROR(IF(ISNUMBER(Datos!C1454),Datos!C1454/$F$3*100,NA()),NA())</f>
        <v/>
      </c>
    </row>
    <row r="1455">
      <c r="A1455" s="7">
        <f>IFERROR(Datos!A1455,"")</f>
        <v/>
      </c>
      <c r="B1455" s="27">
        <f>IFERROR(IF(ISNUMBER(Datos!B1455),Datos!B1455/$F$2*100,NA()),NA())</f>
        <v/>
      </c>
      <c r="C1455" s="27">
        <f>IFERROR(IF(ISNUMBER(Datos!C1455),Datos!C1455/$F$3*100,NA()),NA())</f>
        <v/>
      </c>
    </row>
    <row r="1456">
      <c r="A1456" s="7">
        <f>IFERROR(Datos!A1456,"")</f>
        <v/>
      </c>
      <c r="B1456" s="27">
        <f>IFERROR(IF(ISNUMBER(Datos!B1456),Datos!B1456/$F$2*100,NA()),NA())</f>
        <v/>
      </c>
      <c r="C1456" s="27">
        <f>IFERROR(IF(ISNUMBER(Datos!C1456),Datos!C1456/$F$3*100,NA()),NA())</f>
        <v/>
      </c>
    </row>
    <row r="1457">
      <c r="A1457" s="7">
        <f>IFERROR(Datos!A1457,"")</f>
        <v/>
      </c>
      <c r="B1457" s="27">
        <f>IFERROR(IF(ISNUMBER(Datos!B1457),Datos!B1457/$F$2*100,NA()),NA())</f>
        <v/>
      </c>
      <c r="C1457" s="27">
        <f>IFERROR(IF(ISNUMBER(Datos!C1457),Datos!C1457/$F$3*100,NA()),NA())</f>
        <v/>
      </c>
    </row>
    <row r="1458">
      <c r="A1458" s="7">
        <f>IFERROR(Datos!A1458,"")</f>
        <v/>
      </c>
      <c r="B1458" s="27">
        <f>IFERROR(IF(ISNUMBER(Datos!B1458),Datos!B1458/$F$2*100,NA()),NA())</f>
        <v/>
      </c>
      <c r="C1458" s="27">
        <f>IFERROR(IF(ISNUMBER(Datos!C1458),Datos!C1458/$F$3*100,NA()),NA())</f>
        <v/>
      </c>
    </row>
    <row r="1459">
      <c r="A1459" s="7">
        <f>IFERROR(Datos!A1459,"")</f>
        <v/>
      </c>
      <c r="B1459" s="27">
        <f>IFERROR(IF(ISNUMBER(Datos!B1459),Datos!B1459/$F$2*100,NA()),NA())</f>
        <v/>
      </c>
      <c r="C1459" s="27">
        <f>IFERROR(IF(ISNUMBER(Datos!C1459),Datos!C1459/$F$3*100,NA()),NA())</f>
        <v/>
      </c>
    </row>
    <row r="1460">
      <c r="A1460" s="7">
        <f>IFERROR(Datos!A1460,"")</f>
        <v/>
      </c>
      <c r="B1460" s="27">
        <f>IFERROR(IF(ISNUMBER(Datos!B1460),Datos!B1460/$F$2*100,NA()),NA())</f>
        <v/>
      </c>
      <c r="C1460" s="27">
        <f>IFERROR(IF(ISNUMBER(Datos!C1460),Datos!C1460/$F$3*100,NA()),NA())</f>
        <v/>
      </c>
    </row>
    <row r="1461">
      <c r="A1461" s="7">
        <f>IFERROR(Datos!A1461,"")</f>
        <v/>
      </c>
      <c r="B1461" s="27">
        <f>IFERROR(IF(ISNUMBER(Datos!B1461),Datos!B1461/$F$2*100,NA()),NA())</f>
        <v/>
      </c>
      <c r="C1461" s="27">
        <f>IFERROR(IF(ISNUMBER(Datos!C1461),Datos!C1461/$F$3*100,NA()),NA())</f>
        <v/>
      </c>
    </row>
    <row r="1462">
      <c r="A1462" s="7">
        <f>IFERROR(Datos!A1462,"")</f>
        <v/>
      </c>
      <c r="B1462" s="27">
        <f>IFERROR(IF(ISNUMBER(Datos!B1462),Datos!B1462/$F$2*100,NA()),NA())</f>
        <v/>
      </c>
      <c r="C1462" s="27">
        <f>IFERROR(IF(ISNUMBER(Datos!C1462),Datos!C1462/$F$3*100,NA()),NA())</f>
        <v/>
      </c>
    </row>
    <row r="1463">
      <c r="A1463" s="7">
        <f>IFERROR(Datos!A1463,"")</f>
        <v/>
      </c>
      <c r="B1463" s="27">
        <f>IFERROR(IF(ISNUMBER(Datos!B1463),Datos!B1463/$F$2*100,NA()),NA())</f>
        <v/>
      </c>
      <c r="C1463" s="27">
        <f>IFERROR(IF(ISNUMBER(Datos!C1463),Datos!C1463/$F$3*100,NA()),NA())</f>
        <v/>
      </c>
    </row>
    <row r="1464">
      <c r="A1464" s="7">
        <f>IFERROR(Datos!A1464,"")</f>
        <v/>
      </c>
      <c r="B1464" s="27">
        <f>IFERROR(IF(ISNUMBER(Datos!B1464),Datos!B1464/$F$2*100,NA()),NA())</f>
        <v/>
      </c>
      <c r="C1464" s="27">
        <f>IFERROR(IF(ISNUMBER(Datos!C1464),Datos!C1464/$F$3*100,NA()),NA())</f>
        <v/>
      </c>
    </row>
    <row r="1465">
      <c r="A1465" s="7">
        <f>IFERROR(Datos!A1465,"")</f>
        <v/>
      </c>
      <c r="B1465" s="27">
        <f>IFERROR(IF(ISNUMBER(Datos!B1465),Datos!B1465/$F$2*100,NA()),NA())</f>
        <v/>
      </c>
      <c r="C1465" s="27">
        <f>IFERROR(IF(ISNUMBER(Datos!C1465),Datos!C1465/$F$3*100,NA()),NA())</f>
        <v/>
      </c>
    </row>
    <row r="1466">
      <c r="A1466" s="7">
        <f>IFERROR(Datos!A1466,"")</f>
        <v/>
      </c>
      <c r="B1466" s="27">
        <f>IFERROR(IF(ISNUMBER(Datos!B1466),Datos!B1466/$F$2*100,NA()),NA())</f>
        <v/>
      </c>
      <c r="C1466" s="27">
        <f>IFERROR(IF(ISNUMBER(Datos!C1466),Datos!C1466/$F$3*100,NA()),NA())</f>
        <v/>
      </c>
    </row>
    <row r="1467">
      <c r="A1467" s="7">
        <f>IFERROR(Datos!A1467,"")</f>
        <v/>
      </c>
      <c r="B1467" s="27">
        <f>IFERROR(IF(ISNUMBER(Datos!B1467),Datos!B1467/$F$2*100,NA()),NA())</f>
        <v/>
      </c>
      <c r="C1467" s="27">
        <f>IFERROR(IF(ISNUMBER(Datos!C1467),Datos!C1467/$F$3*100,NA()),NA())</f>
        <v/>
      </c>
    </row>
    <row r="1468">
      <c r="A1468" s="7">
        <f>IFERROR(Datos!A1468,"")</f>
        <v/>
      </c>
      <c r="B1468" s="27">
        <f>IFERROR(IF(ISNUMBER(Datos!B1468),Datos!B1468/$F$2*100,NA()),NA())</f>
        <v/>
      </c>
      <c r="C1468" s="27">
        <f>IFERROR(IF(ISNUMBER(Datos!C1468),Datos!C1468/$F$3*100,NA()),NA())</f>
        <v/>
      </c>
    </row>
    <row r="1469">
      <c r="A1469" s="7">
        <f>IFERROR(Datos!A1469,"")</f>
        <v/>
      </c>
      <c r="B1469" s="27">
        <f>IFERROR(IF(ISNUMBER(Datos!B1469),Datos!B1469/$F$2*100,NA()),NA())</f>
        <v/>
      </c>
      <c r="C1469" s="27">
        <f>IFERROR(IF(ISNUMBER(Datos!C1469),Datos!C1469/$F$3*100,NA()),NA())</f>
        <v/>
      </c>
    </row>
    <row r="1470">
      <c r="A1470" s="7">
        <f>IFERROR(Datos!A1470,"")</f>
        <v/>
      </c>
      <c r="B1470" s="27">
        <f>IFERROR(IF(ISNUMBER(Datos!B1470),Datos!B1470/$F$2*100,NA()),NA())</f>
        <v/>
      </c>
      <c r="C1470" s="27">
        <f>IFERROR(IF(ISNUMBER(Datos!C1470),Datos!C1470/$F$3*100,NA()),NA())</f>
        <v/>
      </c>
    </row>
    <row r="1471">
      <c r="A1471" s="7">
        <f>IFERROR(Datos!A1471,"")</f>
        <v/>
      </c>
      <c r="B1471" s="27">
        <f>IFERROR(IF(ISNUMBER(Datos!B1471),Datos!B1471/$F$2*100,NA()),NA())</f>
        <v/>
      </c>
      <c r="C1471" s="27">
        <f>IFERROR(IF(ISNUMBER(Datos!C1471),Datos!C1471/$F$3*100,NA()),NA())</f>
        <v/>
      </c>
    </row>
    <row r="1472">
      <c r="A1472" s="7">
        <f>IFERROR(Datos!A1472,"")</f>
        <v/>
      </c>
      <c r="B1472" s="27">
        <f>IFERROR(IF(ISNUMBER(Datos!B1472),Datos!B1472/$F$2*100,NA()),NA())</f>
        <v/>
      </c>
      <c r="C1472" s="27">
        <f>IFERROR(IF(ISNUMBER(Datos!C1472),Datos!C1472/$F$3*100,NA()),NA())</f>
        <v/>
      </c>
    </row>
    <row r="1473">
      <c r="A1473" s="7">
        <f>IFERROR(Datos!A1473,"")</f>
        <v/>
      </c>
      <c r="B1473" s="27">
        <f>IFERROR(IF(ISNUMBER(Datos!B1473),Datos!B1473/$F$2*100,NA()),NA())</f>
        <v/>
      </c>
      <c r="C1473" s="27">
        <f>IFERROR(IF(ISNUMBER(Datos!C1473),Datos!C1473/$F$3*100,NA()),NA())</f>
        <v/>
      </c>
    </row>
    <row r="1474">
      <c r="A1474" s="7">
        <f>IFERROR(Datos!A1474,"")</f>
        <v/>
      </c>
      <c r="B1474" s="27">
        <f>IFERROR(IF(ISNUMBER(Datos!B1474),Datos!B1474/$F$2*100,NA()),NA())</f>
        <v/>
      </c>
      <c r="C1474" s="27">
        <f>IFERROR(IF(ISNUMBER(Datos!C1474),Datos!C1474/$F$3*100,NA()),NA())</f>
        <v/>
      </c>
    </row>
    <row r="1475">
      <c r="A1475" s="7">
        <f>IFERROR(Datos!A1475,"")</f>
        <v/>
      </c>
      <c r="B1475" s="27">
        <f>IFERROR(IF(ISNUMBER(Datos!B1475),Datos!B1475/$F$2*100,NA()),NA())</f>
        <v/>
      </c>
      <c r="C1475" s="27">
        <f>IFERROR(IF(ISNUMBER(Datos!C1475),Datos!C1475/$F$3*100,NA()),NA())</f>
        <v/>
      </c>
    </row>
    <row r="1476">
      <c r="A1476" s="7">
        <f>IFERROR(Datos!A1476,"")</f>
        <v/>
      </c>
      <c r="B1476" s="27">
        <f>IFERROR(IF(ISNUMBER(Datos!B1476),Datos!B1476/$F$2*100,NA()),NA())</f>
        <v/>
      </c>
      <c r="C1476" s="27">
        <f>IFERROR(IF(ISNUMBER(Datos!C1476),Datos!C1476/$F$3*100,NA()),NA())</f>
        <v/>
      </c>
    </row>
    <row r="1477">
      <c r="A1477" s="7">
        <f>IFERROR(Datos!A1477,"")</f>
        <v/>
      </c>
      <c r="B1477" s="27">
        <f>IFERROR(IF(ISNUMBER(Datos!B1477),Datos!B1477/$F$2*100,NA()),NA())</f>
        <v/>
      </c>
      <c r="C1477" s="27">
        <f>IFERROR(IF(ISNUMBER(Datos!C1477),Datos!C1477/$F$3*100,NA()),NA())</f>
        <v/>
      </c>
    </row>
    <row r="1478">
      <c r="A1478" s="7">
        <f>IFERROR(Datos!A1478,"")</f>
        <v/>
      </c>
      <c r="B1478" s="27">
        <f>IFERROR(IF(ISNUMBER(Datos!B1478),Datos!B1478/$F$2*100,NA()),NA())</f>
        <v/>
      </c>
      <c r="C1478" s="27">
        <f>IFERROR(IF(ISNUMBER(Datos!C1478),Datos!C1478/$F$3*100,NA()),NA())</f>
        <v/>
      </c>
    </row>
    <row r="1479">
      <c r="A1479" s="7">
        <f>IFERROR(Datos!A1479,"")</f>
        <v/>
      </c>
      <c r="B1479" s="27">
        <f>IFERROR(IF(ISNUMBER(Datos!B1479),Datos!B1479/$F$2*100,NA()),NA())</f>
        <v/>
      </c>
      <c r="C1479" s="27">
        <f>IFERROR(IF(ISNUMBER(Datos!C1479),Datos!C1479/$F$3*100,NA()),NA())</f>
        <v/>
      </c>
    </row>
    <row r="1480">
      <c r="A1480" s="7">
        <f>IFERROR(Datos!A1480,"")</f>
        <v/>
      </c>
      <c r="B1480" s="27">
        <f>IFERROR(IF(ISNUMBER(Datos!B1480),Datos!B1480/$F$2*100,NA()),NA())</f>
        <v/>
      </c>
      <c r="C1480" s="27">
        <f>IFERROR(IF(ISNUMBER(Datos!C1480),Datos!C1480/$F$3*100,NA()),NA())</f>
        <v/>
      </c>
    </row>
    <row r="1481">
      <c r="A1481" s="7">
        <f>IFERROR(Datos!A1481,"")</f>
        <v/>
      </c>
      <c r="B1481" s="27">
        <f>IFERROR(IF(ISNUMBER(Datos!B1481),Datos!B1481/$F$2*100,NA()),NA())</f>
        <v/>
      </c>
      <c r="C1481" s="27">
        <f>IFERROR(IF(ISNUMBER(Datos!C1481),Datos!C1481/$F$3*100,NA()),NA())</f>
        <v/>
      </c>
    </row>
    <row r="1482">
      <c r="A1482" s="7">
        <f>IFERROR(Datos!A1482,"")</f>
        <v/>
      </c>
      <c r="B1482" s="27">
        <f>IFERROR(IF(ISNUMBER(Datos!B1482),Datos!B1482/$F$2*100,NA()),NA())</f>
        <v/>
      </c>
      <c r="C1482" s="27">
        <f>IFERROR(IF(ISNUMBER(Datos!C1482),Datos!C1482/$F$3*100,NA()),NA())</f>
        <v/>
      </c>
    </row>
    <row r="1483">
      <c r="A1483" s="7">
        <f>IFERROR(Datos!A1483,"")</f>
        <v/>
      </c>
      <c r="B1483" s="27">
        <f>IFERROR(IF(ISNUMBER(Datos!B1483),Datos!B1483/$F$2*100,NA()),NA())</f>
        <v/>
      </c>
      <c r="C1483" s="27">
        <f>IFERROR(IF(ISNUMBER(Datos!C1483),Datos!C1483/$F$3*100,NA()),NA())</f>
        <v/>
      </c>
    </row>
    <row r="1484">
      <c r="A1484" s="7">
        <f>IFERROR(Datos!A1484,"")</f>
        <v/>
      </c>
      <c r="B1484" s="27">
        <f>IFERROR(IF(ISNUMBER(Datos!B1484),Datos!B1484/$F$2*100,NA()),NA())</f>
        <v/>
      </c>
      <c r="C1484" s="27">
        <f>IFERROR(IF(ISNUMBER(Datos!C1484),Datos!C1484/$F$3*100,NA()),NA())</f>
        <v/>
      </c>
    </row>
    <row r="1485">
      <c r="A1485" s="7">
        <f>IFERROR(Datos!A1485,"")</f>
        <v/>
      </c>
      <c r="B1485" s="27">
        <f>IFERROR(IF(ISNUMBER(Datos!B1485),Datos!B1485/$F$2*100,NA()),NA())</f>
        <v/>
      </c>
      <c r="C1485" s="27">
        <f>IFERROR(IF(ISNUMBER(Datos!C1485),Datos!C1485/$F$3*100,NA()),NA())</f>
        <v/>
      </c>
    </row>
    <row r="1486">
      <c r="A1486" s="7">
        <f>IFERROR(Datos!A1486,"")</f>
        <v/>
      </c>
      <c r="B1486" s="27">
        <f>IFERROR(IF(ISNUMBER(Datos!B1486),Datos!B1486/$F$2*100,NA()),NA())</f>
        <v/>
      </c>
      <c r="C1486" s="27">
        <f>IFERROR(IF(ISNUMBER(Datos!C1486),Datos!C1486/$F$3*100,NA()),NA())</f>
        <v/>
      </c>
    </row>
    <row r="1487">
      <c r="A1487" s="7">
        <f>IFERROR(Datos!A1487,"")</f>
        <v/>
      </c>
      <c r="B1487" s="27">
        <f>IFERROR(IF(ISNUMBER(Datos!B1487),Datos!B1487/$F$2*100,NA()),NA())</f>
        <v/>
      </c>
      <c r="C1487" s="27">
        <f>IFERROR(IF(ISNUMBER(Datos!C1487),Datos!C1487/$F$3*100,NA()),NA())</f>
        <v/>
      </c>
    </row>
    <row r="1488">
      <c r="A1488" s="7">
        <f>IFERROR(Datos!A1488,"")</f>
        <v/>
      </c>
      <c r="B1488" s="27">
        <f>IFERROR(IF(ISNUMBER(Datos!B1488),Datos!B1488/$F$2*100,NA()),NA())</f>
        <v/>
      </c>
      <c r="C1488" s="27">
        <f>IFERROR(IF(ISNUMBER(Datos!C1488),Datos!C1488/$F$3*100,NA()),NA())</f>
        <v/>
      </c>
    </row>
    <row r="1489">
      <c r="A1489" s="7">
        <f>IFERROR(Datos!A1489,"")</f>
        <v/>
      </c>
      <c r="B1489" s="27">
        <f>IFERROR(IF(ISNUMBER(Datos!B1489),Datos!B1489/$F$2*100,NA()),NA())</f>
        <v/>
      </c>
      <c r="C1489" s="27">
        <f>IFERROR(IF(ISNUMBER(Datos!C1489),Datos!C1489/$F$3*100,NA()),NA())</f>
        <v/>
      </c>
    </row>
    <row r="1490">
      <c r="A1490" s="7">
        <f>IFERROR(Datos!A1490,"")</f>
        <v/>
      </c>
      <c r="B1490" s="27">
        <f>IFERROR(IF(ISNUMBER(Datos!B1490),Datos!B1490/$F$2*100,NA()),NA())</f>
        <v/>
      </c>
      <c r="C1490" s="27">
        <f>IFERROR(IF(ISNUMBER(Datos!C1490),Datos!C1490/$F$3*100,NA()),NA())</f>
        <v/>
      </c>
    </row>
    <row r="1491">
      <c r="A1491" s="7">
        <f>IFERROR(Datos!A1491,"")</f>
        <v/>
      </c>
      <c r="B1491" s="27">
        <f>IFERROR(IF(ISNUMBER(Datos!B1491),Datos!B1491/$F$2*100,NA()),NA())</f>
        <v/>
      </c>
      <c r="C1491" s="27">
        <f>IFERROR(IF(ISNUMBER(Datos!C1491),Datos!C1491/$F$3*100,NA()),NA())</f>
        <v/>
      </c>
    </row>
    <row r="1492">
      <c r="A1492" s="7">
        <f>IFERROR(Datos!A1492,"")</f>
        <v/>
      </c>
      <c r="B1492" s="27">
        <f>IFERROR(IF(ISNUMBER(Datos!B1492),Datos!B1492/$F$2*100,NA()),NA())</f>
        <v/>
      </c>
      <c r="C1492" s="27">
        <f>IFERROR(IF(ISNUMBER(Datos!C1492),Datos!C1492/$F$3*100,NA()),NA())</f>
        <v/>
      </c>
    </row>
    <row r="1493">
      <c r="A1493" s="7">
        <f>IFERROR(Datos!A1493,"")</f>
        <v/>
      </c>
      <c r="B1493" s="27">
        <f>IFERROR(IF(ISNUMBER(Datos!B1493),Datos!B1493/$F$2*100,NA()),NA())</f>
        <v/>
      </c>
      <c r="C1493" s="27">
        <f>IFERROR(IF(ISNUMBER(Datos!C1493),Datos!C1493/$F$3*100,NA()),NA())</f>
        <v/>
      </c>
    </row>
    <row r="1494">
      <c r="A1494" s="7">
        <f>IFERROR(Datos!A1494,"")</f>
        <v/>
      </c>
      <c r="B1494" s="27">
        <f>IFERROR(IF(ISNUMBER(Datos!B1494),Datos!B1494/$F$2*100,NA()),NA())</f>
        <v/>
      </c>
      <c r="C1494" s="27">
        <f>IFERROR(IF(ISNUMBER(Datos!C1494),Datos!C1494/$F$3*100,NA()),NA())</f>
        <v/>
      </c>
    </row>
    <row r="1495">
      <c r="A1495" s="7">
        <f>IFERROR(Datos!A1495,"")</f>
        <v/>
      </c>
      <c r="B1495" s="27">
        <f>IFERROR(IF(ISNUMBER(Datos!B1495),Datos!B1495/$F$2*100,NA()),NA())</f>
        <v/>
      </c>
      <c r="C1495" s="27">
        <f>IFERROR(IF(ISNUMBER(Datos!C1495),Datos!C1495/$F$3*100,NA()),NA())</f>
        <v/>
      </c>
    </row>
    <row r="1496">
      <c r="A1496" s="7">
        <f>IFERROR(Datos!A1496,"")</f>
        <v/>
      </c>
      <c r="B1496" s="27">
        <f>IFERROR(IF(ISNUMBER(Datos!B1496),Datos!B1496/$F$2*100,NA()),NA())</f>
        <v/>
      </c>
      <c r="C1496" s="27">
        <f>IFERROR(IF(ISNUMBER(Datos!C1496),Datos!C1496/$F$3*100,NA()),NA())</f>
        <v/>
      </c>
    </row>
    <row r="1497">
      <c r="A1497" s="7">
        <f>IFERROR(Datos!A1497,"")</f>
        <v/>
      </c>
      <c r="B1497" s="27">
        <f>IFERROR(IF(ISNUMBER(Datos!B1497),Datos!B1497/$F$2*100,NA()),NA())</f>
        <v/>
      </c>
      <c r="C1497" s="27">
        <f>IFERROR(IF(ISNUMBER(Datos!C1497),Datos!C1497/$F$3*100,NA()),NA())</f>
        <v/>
      </c>
    </row>
    <row r="1498">
      <c r="A1498" s="7">
        <f>IFERROR(Datos!A1498,"")</f>
        <v/>
      </c>
      <c r="B1498" s="27">
        <f>IFERROR(IF(ISNUMBER(Datos!B1498),Datos!B1498/$F$2*100,NA()),NA())</f>
        <v/>
      </c>
      <c r="C1498" s="27">
        <f>IFERROR(IF(ISNUMBER(Datos!C1498),Datos!C1498/$F$3*100,NA()),NA())</f>
        <v/>
      </c>
    </row>
    <row r="1499">
      <c r="A1499" s="7">
        <f>IFERROR(Datos!A1499,"")</f>
        <v/>
      </c>
      <c r="B1499" s="27">
        <f>IFERROR(IF(ISNUMBER(Datos!B1499),Datos!B1499/$F$2*100,NA()),NA())</f>
        <v/>
      </c>
      <c r="C1499" s="27">
        <f>IFERROR(IF(ISNUMBER(Datos!C1499),Datos!C1499/$F$3*100,NA()),NA())</f>
        <v/>
      </c>
    </row>
    <row r="1500">
      <c r="A1500" s="7">
        <f>IFERROR(Datos!A1500,"")</f>
        <v/>
      </c>
      <c r="B1500" s="27">
        <f>IFERROR(IF(ISNUMBER(Datos!B1500),Datos!B1500/$F$2*100,NA()),NA())</f>
        <v/>
      </c>
      <c r="C1500" s="27">
        <f>IFERROR(IF(ISNUMBER(Datos!C1500),Datos!C1500/$F$3*100,NA()),NA())</f>
        <v/>
      </c>
    </row>
    <row r="1501">
      <c r="A1501" s="7">
        <f>IFERROR(Datos!A1501,"")</f>
        <v/>
      </c>
      <c r="B1501" s="27">
        <f>IFERROR(IF(ISNUMBER(Datos!B1501),Datos!B1501/$F$2*100,NA()),NA())</f>
        <v/>
      </c>
      <c r="C1501" s="27">
        <f>IFERROR(IF(ISNUMBER(Datos!C1501),Datos!C1501/$F$3*100,NA()),NA())</f>
        <v/>
      </c>
    </row>
    <row r="1502">
      <c r="A1502" s="7">
        <f>IFERROR(Datos!A1502,"")</f>
        <v/>
      </c>
      <c r="B1502" s="27">
        <f>IFERROR(IF(ISNUMBER(Datos!B1502),Datos!B1502/$F$2*100,NA()),NA())</f>
        <v/>
      </c>
      <c r="C1502" s="27">
        <f>IFERROR(IF(ISNUMBER(Datos!C1502),Datos!C1502/$F$3*100,NA()),NA())</f>
        <v/>
      </c>
    </row>
    <row r="1503">
      <c r="A1503" s="7">
        <f>IFERROR(Datos!A1503,"")</f>
        <v/>
      </c>
      <c r="B1503" s="27">
        <f>IFERROR(IF(ISNUMBER(Datos!B1503),Datos!B1503/$F$2*100,NA()),NA())</f>
        <v/>
      </c>
      <c r="C1503" s="27">
        <f>IFERROR(IF(ISNUMBER(Datos!C1503),Datos!C1503/$F$3*100,NA()),NA())</f>
        <v/>
      </c>
    </row>
    <row r="1504">
      <c r="A1504" s="7">
        <f>IFERROR(Datos!A1504,"")</f>
        <v/>
      </c>
      <c r="B1504" s="27">
        <f>IFERROR(IF(ISNUMBER(Datos!B1504),Datos!B1504/$F$2*100,NA()),NA())</f>
        <v/>
      </c>
      <c r="C1504" s="27">
        <f>IFERROR(IF(ISNUMBER(Datos!C1504),Datos!C1504/$F$3*100,NA()),NA())</f>
        <v/>
      </c>
    </row>
    <row r="1505">
      <c r="A1505" s="7">
        <f>IFERROR(Datos!A1505,"")</f>
        <v/>
      </c>
      <c r="B1505" s="27">
        <f>IFERROR(IF(ISNUMBER(Datos!B1505),Datos!B1505/$F$2*100,NA()),NA())</f>
        <v/>
      </c>
      <c r="C1505" s="27">
        <f>IFERROR(IF(ISNUMBER(Datos!C1505),Datos!C1505/$F$3*100,NA()),NA())</f>
        <v/>
      </c>
    </row>
    <row r="1506">
      <c r="A1506" s="7">
        <f>IFERROR(Datos!A1506,"")</f>
        <v/>
      </c>
      <c r="B1506" s="27">
        <f>IFERROR(IF(ISNUMBER(Datos!B1506),Datos!B1506/$F$2*100,NA()),NA())</f>
        <v/>
      </c>
      <c r="C1506" s="27">
        <f>IFERROR(IF(ISNUMBER(Datos!C1506),Datos!C1506/$F$3*100,NA()),NA())</f>
        <v/>
      </c>
    </row>
    <row r="1507">
      <c r="A1507" s="7">
        <f>IFERROR(Datos!A1507,"")</f>
        <v/>
      </c>
      <c r="B1507" s="27">
        <f>IFERROR(IF(ISNUMBER(Datos!B1507),Datos!B1507/$F$2*100,NA()),NA())</f>
        <v/>
      </c>
      <c r="C1507" s="27">
        <f>IFERROR(IF(ISNUMBER(Datos!C1507),Datos!C1507/$F$3*100,NA()),NA())</f>
        <v/>
      </c>
    </row>
    <row r="1508">
      <c r="A1508" s="7">
        <f>IFERROR(Datos!A1508,"")</f>
        <v/>
      </c>
      <c r="B1508" s="27">
        <f>IFERROR(IF(ISNUMBER(Datos!B1508),Datos!B1508/$F$2*100,NA()),NA())</f>
        <v/>
      </c>
      <c r="C1508" s="27">
        <f>IFERROR(IF(ISNUMBER(Datos!C1508),Datos!C1508/$F$3*100,NA()),NA())</f>
        <v/>
      </c>
    </row>
    <row r="1509">
      <c r="A1509" s="7">
        <f>IFERROR(Datos!A1509,"")</f>
        <v/>
      </c>
      <c r="B1509" s="27">
        <f>IFERROR(IF(ISNUMBER(Datos!B1509),Datos!B1509/$F$2*100,NA()),NA())</f>
        <v/>
      </c>
      <c r="C1509" s="27">
        <f>IFERROR(IF(ISNUMBER(Datos!C1509),Datos!C1509/$F$3*100,NA()),NA())</f>
        <v/>
      </c>
    </row>
    <row r="1510">
      <c r="A1510" s="7">
        <f>IFERROR(Datos!A1510,"")</f>
        <v/>
      </c>
      <c r="B1510" s="27">
        <f>IFERROR(IF(ISNUMBER(Datos!B1510),Datos!B1510/$F$2*100,NA()),NA())</f>
        <v/>
      </c>
      <c r="C1510" s="27">
        <f>IFERROR(IF(ISNUMBER(Datos!C1510),Datos!C1510/$F$3*100,NA()),NA())</f>
        <v/>
      </c>
    </row>
    <row r="1511">
      <c r="A1511" s="7">
        <f>IFERROR(Datos!A1511,"")</f>
        <v/>
      </c>
      <c r="B1511" s="27">
        <f>IFERROR(IF(ISNUMBER(Datos!B1511),Datos!B1511/$F$2*100,NA()),NA())</f>
        <v/>
      </c>
      <c r="C1511" s="27">
        <f>IFERROR(IF(ISNUMBER(Datos!C1511),Datos!C1511/$F$3*100,NA()),NA())</f>
        <v/>
      </c>
    </row>
    <row r="1512">
      <c r="A1512" s="7">
        <f>IFERROR(Datos!A1512,"")</f>
        <v/>
      </c>
      <c r="B1512" s="27">
        <f>IFERROR(IF(ISNUMBER(Datos!B1512),Datos!B1512/$F$2*100,NA()),NA())</f>
        <v/>
      </c>
      <c r="C1512" s="27">
        <f>IFERROR(IF(ISNUMBER(Datos!C1512),Datos!C1512/$F$3*100,NA()),NA())</f>
        <v/>
      </c>
    </row>
    <row r="1513">
      <c r="A1513" s="7">
        <f>IFERROR(Datos!A1513,"")</f>
        <v/>
      </c>
      <c r="B1513" s="27">
        <f>IFERROR(IF(ISNUMBER(Datos!B1513),Datos!B1513/$F$2*100,NA()),NA())</f>
        <v/>
      </c>
      <c r="C1513" s="27">
        <f>IFERROR(IF(ISNUMBER(Datos!C1513),Datos!C1513/$F$3*100,NA()),NA())</f>
        <v/>
      </c>
    </row>
    <row r="1514">
      <c r="A1514" s="7">
        <f>IFERROR(Datos!A1514,"")</f>
        <v/>
      </c>
      <c r="B1514" s="27">
        <f>IFERROR(IF(ISNUMBER(Datos!B1514),Datos!B1514/$F$2*100,NA()),NA())</f>
        <v/>
      </c>
      <c r="C1514" s="27">
        <f>IFERROR(IF(ISNUMBER(Datos!C1514),Datos!C1514/$F$3*100,NA()),NA())</f>
        <v/>
      </c>
    </row>
    <row r="1515">
      <c r="A1515" s="7">
        <f>IFERROR(Datos!A1515,"")</f>
        <v/>
      </c>
      <c r="B1515" s="27">
        <f>IFERROR(IF(ISNUMBER(Datos!B1515),Datos!B1515/$F$2*100,NA()),NA())</f>
        <v/>
      </c>
      <c r="C1515" s="27">
        <f>IFERROR(IF(ISNUMBER(Datos!C1515),Datos!C1515/$F$3*100,NA()),NA())</f>
        <v/>
      </c>
    </row>
    <row r="1516">
      <c r="A1516" s="7">
        <f>IFERROR(Datos!A1516,"")</f>
        <v/>
      </c>
      <c r="B1516" s="27">
        <f>IFERROR(IF(ISNUMBER(Datos!B1516),Datos!B1516/$F$2*100,NA()),NA())</f>
        <v/>
      </c>
      <c r="C1516" s="27">
        <f>IFERROR(IF(ISNUMBER(Datos!C1516),Datos!C1516/$F$3*100,NA()),NA())</f>
        <v/>
      </c>
    </row>
    <row r="1517">
      <c r="A1517" s="7">
        <f>IFERROR(Datos!A1517,"")</f>
        <v/>
      </c>
      <c r="B1517" s="27">
        <f>IFERROR(IF(ISNUMBER(Datos!B1517),Datos!B1517/$F$2*100,NA()),NA())</f>
        <v/>
      </c>
      <c r="C1517" s="27">
        <f>IFERROR(IF(ISNUMBER(Datos!C1517),Datos!C1517/$F$3*100,NA()),NA())</f>
        <v/>
      </c>
    </row>
    <row r="1518">
      <c r="A1518" s="7">
        <f>IFERROR(Datos!A1518,"")</f>
        <v/>
      </c>
      <c r="B1518" s="27">
        <f>IFERROR(IF(ISNUMBER(Datos!B1518),Datos!B1518/$F$2*100,NA()),NA())</f>
        <v/>
      </c>
      <c r="C1518" s="27">
        <f>IFERROR(IF(ISNUMBER(Datos!C1518),Datos!C1518/$F$3*100,NA()),NA())</f>
        <v/>
      </c>
    </row>
    <row r="1519">
      <c r="A1519" s="7">
        <f>IFERROR(Datos!A1519,"")</f>
        <v/>
      </c>
      <c r="B1519" s="27">
        <f>IFERROR(IF(ISNUMBER(Datos!B1519),Datos!B1519/$F$2*100,NA()),NA())</f>
        <v/>
      </c>
      <c r="C1519" s="27">
        <f>IFERROR(IF(ISNUMBER(Datos!C1519),Datos!C1519/$F$3*100,NA()),NA())</f>
        <v/>
      </c>
    </row>
    <row r="1520">
      <c r="A1520" s="7">
        <f>IFERROR(Datos!A1520,"")</f>
        <v/>
      </c>
      <c r="B1520" s="27">
        <f>IFERROR(IF(ISNUMBER(Datos!B1520),Datos!B1520/$F$2*100,NA()),NA())</f>
        <v/>
      </c>
      <c r="C1520" s="27">
        <f>IFERROR(IF(ISNUMBER(Datos!C1520),Datos!C1520/$F$3*100,NA()),NA())</f>
        <v/>
      </c>
    </row>
    <row r="1521">
      <c r="A1521" s="7">
        <f>IFERROR(Datos!A1521,"")</f>
        <v/>
      </c>
      <c r="B1521" s="27">
        <f>IFERROR(IF(ISNUMBER(Datos!B1521),Datos!B1521/$F$2*100,NA()),NA())</f>
        <v/>
      </c>
      <c r="C1521" s="27">
        <f>IFERROR(IF(ISNUMBER(Datos!C1521),Datos!C1521/$F$3*100,NA()),NA())</f>
        <v/>
      </c>
    </row>
    <row r="1522">
      <c r="A1522" s="7">
        <f>IFERROR(Datos!A1522,"")</f>
        <v/>
      </c>
      <c r="B1522" s="27">
        <f>IFERROR(IF(ISNUMBER(Datos!B1522),Datos!B1522/$F$2*100,NA()),NA())</f>
        <v/>
      </c>
      <c r="C1522" s="27">
        <f>IFERROR(IF(ISNUMBER(Datos!C1522),Datos!C1522/$F$3*100,NA()),NA())</f>
        <v/>
      </c>
    </row>
    <row r="1523">
      <c r="A1523" s="7">
        <f>IFERROR(Datos!A1523,"")</f>
        <v/>
      </c>
      <c r="B1523" s="27">
        <f>IFERROR(IF(ISNUMBER(Datos!B1523),Datos!B1523/$F$2*100,NA()),NA())</f>
        <v/>
      </c>
      <c r="C1523" s="27">
        <f>IFERROR(IF(ISNUMBER(Datos!C1523),Datos!C1523/$F$3*100,NA()),NA())</f>
        <v/>
      </c>
    </row>
    <row r="1524">
      <c r="A1524" s="7">
        <f>IFERROR(Datos!A1524,"")</f>
        <v/>
      </c>
      <c r="B1524" s="27">
        <f>IFERROR(IF(ISNUMBER(Datos!B1524),Datos!B1524/$F$2*100,NA()),NA())</f>
        <v/>
      </c>
      <c r="C1524" s="27">
        <f>IFERROR(IF(ISNUMBER(Datos!C1524),Datos!C1524/$F$3*100,NA()),NA())</f>
        <v/>
      </c>
    </row>
    <row r="1525">
      <c r="A1525" s="7">
        <f>IFERROR(Datos!A1525,"")</f>
        <v/>
      </c>
      <c r="B1525" s="27">
        <f>IFERROR(IF(ISNUMBER(Datos!B1525),Datos!B1525/$F$2*100,NA()),NA())</f>
        <v/>
      </c>
      <c r="C1525" s="27">
        <f>IFERROR(IF(ISNUMBER(Datos!C1525),Datos!C1525/$F$3*100,NA()),NA())</f>
        <v/>
      </c>
    </row>
    <row r="1526">
      <c r="A1526" s="7">
        <f>IFERROR(Datos!A1526,"")</f>
        <v/>
      </c>
      <c r="B1526" s="27">
        <f>IFERROR(IF(ISNUMBER(Datos!B1526),Datos!B1526/$F$2*100,NA()),NA())</f>
        <v/>
      </c>
      <c r="C1526" s="27">
        <f>IFERROR(IF(ISNUMBER(Datos!C1526),Datos!C1526/$F$3*100,NA()),NA())</f>
        <v/>
      </c>
    </row>
    <row r="1527">
      <c r="A1527" s="7">
        <f>IFERROR(Datos!A1527,"")</f>
        <v/>
      </c>
      <c r="B1527" s="27">
        <f>IFERROR(IF(ISNUMBER(Datos!B1527),Datos!B1527/$F$2*100,NA()),NA())</f>
        <v/>
      </c>
      <c r="C1527" s="27">
        <f>IFERROR(IF(ISNUMBER(Datos!C1527),Datos!C1527/$F$3*100,NA()),NA())</f>
        <v/>
      </c>
    </row>
    <row r="1528">
      <c r="A1528" s="7">
        <f>IFERROR(Datos!A1528,"")</f>
        <v/>
      </c>
      <c r="B1528" s="27">
        <f>IFERROR(IF(ISNUMBER(Datos!B1528),Datos!B1528/$F$2*100,NA()),NA())</f>
        <v/>
      </c>
      <c r="C1528" s="27">
        <f>IFERROR(IF(ISNUMBER(Datos!C1528),Datos!C1528/$F$3*100,NA()),NA())</f>
        <v/>
      </c>
    </row>
    <row r="1529">
      <c r="A1529" s="7">
        <f>IFERROR(Datos!A1529,"")</f>
        <v/>
      </c>
      <c r="B1529" s="27">
        <f>IFERROR(IF(ISNUMBER(Datos!B1529),Datos!B1529/$F$2*100,NA()),NA())</f>
        <v/>
      </c>
      <c r="C1529" s="27">
        <f>IFERROR(IF(ISNUMBER(Datos!C1529),Datos!C1529/$F$3*100,NA()),NA())</f>
        <v/>
      </c>
    </row>
    <row r="1530">
      <c r="A1530" s="7">
        <f>IFERROR(Datos!A1530,"")</f>
        <v/>
      </c>
      <c r="B1530" s="27">
        <f>IFERROR(IF(ISNUMBER(Datos!B1530),Datos!B1530/$F$2*100,NA()),NA())</f>
        <v/>
      </c>
      <c r="C1530" s="27">
        <f>IFERROR(IF(ISNUMBER(Datos!C1530),Datos!C1530/$F$3*100,NA()),NA())</f>
        <v/>
      </c>
    </row>
    <row r="1531">
      <c r="A1531" s="7">
        <f>IFERROR(Datos!A1531,"")</f>
        <v/>
      </c>
      <c r="B1531" s="27">
        <f>IFERROR(IF(ISNUMBER(Datos!B1531),Datos!B1531/$F$2*100,NA()),NA())</f>
        <v/>
      </c>
      <c r="C1531" s="27">
        <f>IFERROR(IF(ISNUMBER(Datos!C1531),Datos!C1531/$F$3*100,NA()),NA())</f>
        <v/>
      </c>
    </row>
    <row r="1532">
      <c r="A1532" s="7">
        <f>IFERROR(Datos!A1532,"")</f>
        <v/>
      </c>
      <c r="B1532" s="27">
        <f>IFERROR(IF(ISNUMBER(Datos!B1532),Datos!B1532/$F$2*100,NA()),NA())</f>
        <v/>
      </c>
      <c r="C1532" s="27">
        <f>IFERROR(IF(ISNUMBER(Datos!C1532),Datos!C1532/$F$3*100,NA()),NA())</f>
        <v/>
      </c>
    </row>
    <row r="1533">
      <c r="A1533" s="7">
        <f>IFERROR(Datos!A1533,"")</f>
        <v/>
      </c>
      <c r="B1533" s="27">
        <f>IFERROR(IF(ISNUMBER(Datos!B1533),Datos!B1533/$F$2*100,NA()),NA())</f>
        <v/>
      </c>
      <c r="C1533" s="27">
        <f>IFERROR(IF(ISNUMBER(Datos!C1533),Datos!C1533/$F$3*100,NA()),NA())</f>
        <v/>
      </c>
    </row>
    <row r="1534">
      <c r="A1534" s="7">
        <f>IFERROR(Datos!A1534,"")</f>
        <v/>
      </c>
      <c r="B1534" s="27">
        <f>IFERROR(IF(ISNUMBER(Datos!B1534),Datos!B1534/$F$2*100,NA()),NA())</f>
        <v/>
      </c>
      <c r="C1534" s="27">
        <f>IFERROR(IF(ISNUMBER(Datos!C1534),Datos!C1534/$F$3*100,NA()),NA())</f>
        <v/>
      </c>
    </row>
    <row r="1535">
      <c r="A1535" s="7">
        <f>IFERROR(Datos!A1535,"")</f>
        <v/>
      </c>
      <c r="B1535" s="27">
        <f>IFERROR(IF(ISNUMBER(Datos!B1535),Datos!B1535/$F$2*100,NA()),NA())</f>
        <v/>
      </c>
      <c r="C1535" s="27">
        <f>IFERROR(IF(ISNUMBER(Datos!C1535),Datos!C1535/$F$3*100,NA()),NA())</f>
        <v/>
      </c>
    </row>
    <row r="1536">
      <c r="A1536" s="7">
        <f>IFERROR(Datos!A1536,"")</f>
        <v/>
      </c>
      <c r="B1536" s="27">
        <f>IFERROR(IF(ISNUMBER(Datos!B1536),Datos!B1536/$F$2*100,NA()),NA())</f>
        <v/>
      </c>
      <c r="C1536" s="27">
        <f>IFERROR(IF(ISNUMBER(Datos!C1536),Datos!C1536/$F$3*100,NA()),NA())</f>
        <v/>
      </c>
    </row>
    <row r="1537">
      <c r="A1537" s="7">
        <f>IFERROR(Datos!A1537,"")</f>
        <v/>
      </c>
      <c r="B1537" s="27">
        <f>IFERROR(IF(ISNUMBER(Datos!B1537),Datos!B1537/$F$2*100,NA()),NA())</f>
        <v/>
      </c>
      <c r="C1537" s="27">
        <f>IFERROR(IF(ISNUMBER(Datos!C1537),Datos!C1537/$F$3*100,NA()),NA())</f>
        <v/>
      </c>
    </row>
    <row r="1538">
      <c r="A1538" s="7">
        <f>IFERROR(Datos!A1538,"")</f>
        <v/>
      </c>
      <c r="B1538" s="27">
        <f>IFERROR(IF(ISNUMBER(Datos!B1538),Datos!B1538/$F$2*100,NA()),NA())</f>
        <v/>
      </c>
      <c r="C1538" s="27">
        <f>IFERROR(IF(ISNUMBER(Datos!C1538),Datos!C1538/$F$3*100,NA()),NA())</f>
        <v/>
      </c>
    </row>
    <row r="1539">
      <c r="A1539" s="7">
        <f>IFERROR(Datos!A1539,"")</f>
        <v/>
      </c>
      <c r="B1539" s="27">
        <f>IFERROR(IF(ISNUMBER(Datos!B1539),Datos!B1539/$F$2*100,NA()),NA())</f>
        <v/>
      </c>
      <c r="C1539" s="27">
        <f>IFERROR(IF(ISNUMBER(Datos!C1539),Datos!C1539/$F$3*100,NA()),NA())</f>
        <v/>
      </c>
    </row>
    <row r="1540">
      <c r="A1540" s="7">
        <f>IFERROR(Datos!A1540,"")</f>
        <v/>
      </c>
      <c r="B1540" s="27">
        <f>IFERROR(IF(ISNUMBER(Datos!B1540),Datos!B1540/$F$2*100,NA()),NA())</f>
        <v/>
      </c>
      <c r="C1540" s="27">
        <f>IFERROR(IF(ISNUMBER(Datos!C1540),Datos!C1540/$F$3*100,NA()),NA())</f>
        <v/>
      </c>
    </row>
    <row r="1541">
      <c r="A1541" s="7">
        <f>IFERROR(Datos!A1541,"")</f>
        <v/>
      </c>
      <c r="B1541" s="27">
        <f>IFERROR(IF(ISNUMBER(Datos!B1541),Datos!B1541/$F$2*100,NA()),NA())</f>
        <v/>
      </c>
      <c r="C1541" s="27">
        <f>IFERROR(IF(ISNUMBER(Datos!C1541),Datos!C1541/$F$3*100,NA()),NA())</f>
        <v/>
      </c>
    </row>
    <row r="1542">
      <c r="A1542" s="7">
        <f>IFERROR(Datos!A1542,"")</f>
        <v/>
      </c>
      <c r="B1542" s="27">
        <f>IFERROR(IF(ISNUMBER(Datos!B1542),Datos!B1542/$F$2*100,NA()),NA())</f>
        <v/>
      </c>
      <c r="C1542" s="27">
        <f>IFERROR(IF(ISNUMBER(Datos!C1542),Datos!C1542/$F$3*100,NA()),NA())</f>
        <v/>
      </c>
    </row>
    <row r="1543">
      <c r="A1543" s="7">
        <f>IFERROR(Datos!A1543,"")</f>
        <v/>
      </c>
      <c r="B1543" s="27">
        <f>IFERROR(IF(ISNUMBER(Datos!B1543),Datos!B1543/$F$2*100,NA()),NA())</f>
        <v/>
      </c>
      <c r="C1543" s="27">
        <f>IFERROR(IF(ISNUMBER(Datos!C1543),Datos!C1543/$F$3*100,NA()),NA())</f>
        <v/>
      </c>
    </row>
    <row r="1544">
      <c r="A1544" s="7">
        <f>IFERROR(Datos!A1544,"")</f>
        <v/>
      </c>
      <c r="B1544" s="27">
        <f>IFERROR(IF(ISNUMBER(Datos!B1544),Datos!B1544/$F$2*100,NA()),NA())</f>
        <v/>
      </c>
      <c r="C1544" s="27">
        <f>IFERROR(IF(ISNUMBER(Datos!C1544),Datos!C1544/$F$3*100,NA()),NA())</f>
        <v/>
      </c>
    </row>
    <row r="1545">
      <c r="A1545" s="7">
        <f>IFERROR(Datos!A1545,"")</f>
        <v/>
      </c>
      <c r="B1545" s="27">
        <f>IFERROR(IF(ISNUMBER(Datos!B1545),Datos!B1545/$F$2*100,NA()),NA())</f>
        <v/>
      </c>
      <c r="C1545" s="27">
        <f>IFERROR(IF(ISNUMBER(Datos!C1545),Datos!C1545/$F$3*100,NA()),NA())</f>
        <v/>
      </c>
    </row>
    <row r="1546">
      <c r="A1546" s="7">
        <f>IFERROR(Datos!A1546,"")</f>
        <v/>
      </c>
      <c r="B1546" s="27">
        <f>IFERROR(IF(ISNUMBER(Datos!B1546),Datos!B1546/$F$2*100,NA()),NA())</f>
        <v/>
      </c>
      <c r="C1546" s="27">
        <f>IFERROR(IF(ISNUMBER(Datos!C1546),Datos!C1546/$F$3*100,NA()),NA())</f>
        <v/>
      </c>
    </row>
    <row r="1547">
      <c r="A1547" s="7">
        <f>IFERROR(Datos!A1547,"")</f>
        <v/>
      </c>
      <c r="B1547" s="27">
        <f>IFERROR(IF(ISNUMBER(Datos!B1547),Datos!B1547/$F$2*100,NA()),NA())</f>
        <v/>
      </c>
      <c r="C1547" s="27">
        <f>IFERROR(IF(ISNUMBER(Datos!C1547),Datos!C1547/$F$3*100,NA()),NA())</f>
        <v/>
      </c>
    </row>
    <row r="1548">
      <c r="A1548" s="7">
        <f>IFERROR(Datos!A1548,"")</f>
        <v/>
      </c>
      <c r="B1548" s="27">
        <f>IFERROR(IF(ISNUMBER(Datos!B1548),Datos!B1548/$F$2*100,NA()),NA())</f>
        <v/>
      </c>
      <c r="C1548" s="27">
        <f>IFERROR(IF(ISNUMBER(Datos!C1548),Datos!C1548/$F$3*100,NA()),NA())</f>
        <v/>
      </c>
    </row>
    <row r="1549">
      <c r="A1549" s="7">
        <f>IFERROR(Datos!A1549,"")</f>
        <v/>
      </c>
      <c r="B1549" s="27">
        <f>IFERROR(IF(ISNUMBER(Datos!B1549),Datos!B1549/$F$2*100,NA()),NA())</f>
        <v/>
      </c>
      <c r="C1549" s="27">
        <f>IFERROR(IF(ISNUMBER(Datos!C1549),Datos!C1549/$F$3*100,NA()),NA())</f>
        <v/>
      </c>
    </row>
    <row r="1550">
      <c r="A1550" s="7">
        <f>IFERROR(Datos!A1550,"")</f>
        <v/>
      </c>
      <c r="B1550" s="27">
        <f>IFERROR(IF(ISNUMBER(Datos!B1550),Datos!B1550/$F$2*100,NA()),NA())</f>
        <v/>
      </c>
      <c r="C1550" s="27">
        <f>IFERROR(IF(ISNUMBER(Datos!C1550),Datos!C1550/$F$3*100,NA()),NA())</f>
        <v/>
      </c>
    </row>
    <row r="1551">
      <c r="A1551" s="7">
        <f>IFERROR(Datos!A1551,"")</f>
        <v/>
      </c>
      <c r="B1551" s="27">
        <f>IFERROR(IF(ISNUMBER(Datos!B1551),Datos!B1551/$F$2*100,NA()),NA())</f>
        <v/>
      </c>
      <c r="C1551" s="27">
        <f>IFERROR(IF(ISNUMBER(Datos!C1551),Datos!C1551/$F$3*100,NA()),NA())</f>
        <v/>
      </c>
    </row>
    <row r="1552">
      <c r="A1552" s="7">
        <f>IFERROR(Datos!A1552,"")</f>
        <v/>
      </c>
      <c r="B1552" s="27">
        <f>IFERROR(IF(ISNUMBER(Datos!B1552),Datos!B1552/$F$2*100,NA()),NA())</f>
        <v/>
      </c>
      <c r="C1552" s="27">
        <f>IFERROR(IF(ISNUMBER(Datos!C1552),Datos!C1552/$F$3*100,NA()),NA())</f>
        <v/>
      </c>
    </row>
    <row r="1553">
      <c r="A1553" s="7">
        <f>IFERROR(Datos!A1553,"")</f>
        <v/>
      </c>
      <c r="B1553" s="27">
        <f>IFERROR(IF(ISNUMBER(Datos!B1553),Datos!B1553/$F$2*100,NA()),NA())</f>
        <v/>
      </c>
      <c r="C1553" s="27">
        <f>IFERROR(IF(ISNUMBER(Datos!C1553),Datos!C1553/$F$3*100,NA()),NA())</f>
        <v/>
      </c>
    </row>
    <row r="1554">
      <c r="A1554" s="7">
        <f>IFERROR(Datos!A1554,"")</f>
        <v/>
      </c>
      <c r="B1554" s="27">
        <f>IFERROR(IF(ISNUMBER(Datos!B1554),Datos!B1554/$F$2*100,NA()),NA())</f>
        <v/>
      </c>
      <c r="C1554" s="27">
        <f>IFERROR(IF(ISNUMBER(Datos!C1554),Datos!C1554/$F$3*100,NA()),NA())</f>
        <v/>
      </c>
    </row>
    <row r="1555">
      <c r="A1555" s="7">
        <f>IFERROR(Datos!A1555,"")</f>
        <v/>
      </c>
      <c r="B1555" s="27">
        <f>IFERROR(IF(ISNUMBER(Datos!B1555),Datos!B1555/$F$2*100,NA()),NA())</f>
        <v/>
      </c>
      <c r="C1555" s="27">
        <f>IFERROR(IF(ISNUMBER(Datos!C1555),Datos!C1555/$F$3*100,NA()),NA())</f>
        <v/>
      </c>
    </row>
    <row r="1556">
      <c r="A1556" s="7">
        <f>IFERROR(Datos!A1556,"")</f>
        <v/>
      </c>
      <c r="B1556" s="27">
        <f>IFERROR(IF(ISNUMBER(Datos!B1556),Datos!B1556/$F$2*100,NA()),NA())</f>
        <v/>
      </c>
      <c r="C1556" s="27">
        <f>IFERROR(IF(ISNUMBER(Datos!C1556),Datos!C1556/$F$3*100,NA()),NA())</f>
        <v/>
      </c>
    </row>
    <row r="1557">
      <c r="A1557" s="7">
        <f>IFERROR(Datos!A1557,"")</f>
        <v/>
      </c>
      <c r="B1557" s="27">
        <f>IFERROR(IF(ISNUMBER(Datos!B1557),Datos!B1557/$F$2*100,NA()),NA())</f>
        <v/>
      </c>
      <c r="C1557" s="27">
        <f>IFERROR(IF(ISNUMBER(Datos!C1557),Datos!C1557/$F$3*100,NA()),NA())</f>
        <v/>
      </c>
    </row>
    <row r="1558">
      <c r="A1558" s="7">
        <f>IFERROR(Datos!A1558,"")</f>
        <v/>
      </c>
      <c r="B1558" s="27">
        <f>IFERROR(IF(ISNUMBER(Datos!B1558),Datos!B1558/$F$2*100,NA()),NA())</f>
        <v/>
      </c>
      <c r="C1558" s="27">
        <f>IFERROR(IF(ISNUMBER(Datos!C1558),Datos!C1558/$F$3*100,NA()),NA())</f>
        <v/>
      </c>
    </row>
    <row r="1559">
      <c r="A1559" s="7">
        <f>IFERROR(Datos!A1559,"")</f>
        <v/>
      </c>
      <c r="B1559" s="27">
        <f>IFERROR(IF(ISNUMBER(Datos!B1559),Datos!B1559/$F$2*100,NA()),NA())</f>
        <v/>
      </c>
      <c r="C1559" s="27">
        <f>IFERROR(IF(ISNUMBER(Datos!C1559),Datos!C1559/$F$3*100,NA()),NA())</f>
        <v/>
      </c>
    </row>
    <row r="1560">
      <c r="A1560" s="7">
        <f>IFERROR(Datos!A1560,"")</f>
        <v/>
      </c>
      <c r="B1560" s="27">
        <f>IFERROR(IF(ISNUMBER(Datos!B1560),Datos!B1560/$F$2*100,NA()),NA())</f>
        <v/>
      </c>
      <c r="C1560" s="27">
        <f>IFERROR(IF(ISNUMBER(Datos!C1560),Datos!C1560/$F$3*100,NA()),NA())</f>
        <v/>
      </c>
    </row>
    <row r="1561">
      <c r="A1561" s="7">
        <f>IFERROR(Datos!A1561,"")</f>
        <v/>
      </c>
      <c r="B1561" s="27">
        <f>IFERROR(IF(ISNUMBER(Datos!B1561),Datos!B1561/$F$2*100,NA()),NA())</f>
        <v/>
      </c>
      <c r="C1561" s="27">
        <f>IFERROR(IF(ISNUMBER(Datos!C1561),Datos!C1561/$F$3*100,NA()),NA())</f>
        <v/>
      </c>
    </row>
    <row r="1562">
      <c r="A1562" s="7">
        <f>IFERROR(Datos!A1562,"")</f>
        <v/>
      </c>
      <c r="B1562" s="27">
        <f>IFERROR(IF(ISNUMBER(Datos!B1562),Datos!B1562/$F$2*100,NA()),NA())</f>
        <v/>
      </c>
      <c r="C1562" s="27">
        <f>IFERROR(IF(ISNUMBER(Datos!C1562),Datos!C1562/$F$3*100,NA()),NA())</f>
        <v/>
      </c>
    </row>
    <row r="1563">
      <c r="A1563" s="7">
        <f>IFERROR(Datos!A1563,"")</f>
        <v/>
      </c>
      <c r="B1563" s="27">
        <f>IFERROR(IF(ISNUMBER(Datos!B1563),Datos!B1563/$F$2*100,NA()),NA())</f>
        <v/>
      </c>
      <c r="C1563" s="27">
        <f>IFERROR(IF(ISNUMBER(Datos!C1563),Datos!C1563/$F$3*100,NA()),NA())</f>
        <v/>
      </c>
    </row>
    <row r="1564">
      <c r="A1564" s="7">
        <f>IFERROR(Datos!A1564,"")</f>
        <v/>
      </c>
      <c r="B1564" s="27">
        <f>IFERROR(IF(ISNUMBER(Datos!B1564),Datos!B1564/$F$2*100,NA()),NA())</f>
        <v/>
      </c>
      <c r="C1564" s="27">
        <f>IFERROR(IF(ISNUMBER(Datos!C1564),Datos!C1564/$F$3*100,NA()),NA())</f>
        <v/>
      </c>
    </row>
    <row r="1565">
      <c r="A1565" s="7">
        <f>IFERROR(Datos!A1565,"")</f>
        <v/>
      </c>
      <c r="B1565" s="27">
        <f>IFERROR(IF(ISNUMBER(Datos!B1565),Datos!B1565/$F$2*100,NA()),NA())</f>
        <v/>
      </c>
      <c r="C1565" s="27">
        <f>IFERROR(IF(ISNUMBER(Datos!C1565),Datos!C1565/$F$3*100,NA()),NA())</f>
        <v/>
      </c>
    </row>
    <row r="1566">
      <c r="A1566" s="7">
        <f>IFERROR(Datos!A1566,"")</f>
        <v/>
      </c>
      <c r="B1566" s="27">
        <f>IFERROR(IF(ISNUMBER(Datos!B1566),Datos!B1566/$F$2*100,NA()),NA())</f>
        <v/>
      </c>
      <c r="C1566" s="27">
        <f>IFERROR(IF(ISNUMBER(Datos!C1566),Datos!C1566/$F$3*100,NA()),NA())</f>
        <v/>
      </c>
    </row>
    <row r="1567">
      <c r="A1567" s="7">
        <f>IFERROR(Datos!A1567,"")</f>
        <v/>
      </c>
      <c r="B1567" s="27">
        <f>IFERROR(IF(ISNUMBER(Datos!B1567),Datos!B1567/$F$2*100,NA()),NA())</f>
        <v/>
      </c>
      <c r="C1567" s="27">
        <f>IFERROR(IF(ISNUMBER(Datos!C1567),Datos!C1567/$F$3*100,NA()),NA())</f>
        <v/>
      </c>
    </row>
    <row r="1568">
      <c r="A1568" s="7">
        <f>IFERROR(Datos!A1568,"")</f>
        <v/>
      </c>
      <c r="B1568" s="27">
        <f>IFERROR(IF(ISNUMBER(Datos!B1568),Datos!B1568/$F$2*100,NA()),NA())</f>
        <v/>
      </c>
      <c r="C1568" s="27">
        <f>IFERROR(IF(ISNUMBER(Datos!C1568),Datos!C1568/$F$3*100,NA()),NA())</f>
        <v/>
      </c>
    </row>
    <row r="1569">
      <c r="A1569" s="7">
        <f>IFERROR(Datos!A1569,"")</f>
        <v/>
      </c>
      <c r="B1569" s="27">
        <f>IFERROR(IF(ISNUMBER(Datos!B1569),Datos!B1569/$F$2*100,NA()),NA())</f>
        <v/>
      </c>
      <c r="C1569" s="27">
        <f>IFERROR(IF(ISNUMBER(Datos!C1569),Datos!C1569/$F$3*100,NA()),NA())</f>
        <v/>
      </c>
    </row>
    <row r="1570">
      <c r="A1570" s="7">
        <f>IFERROR(Datos!A1570,"")</f>
        <v/>
      </c>
      <c r="B1570" s="27">
        <f>IFERROR(IF(ISNUMBER(Datos!B1570),Datos!B1570/$F$2*100,NA()),NA())</f>
        <v/>
      </c>
      <c r="C1570" s="27">
        <f>IFERROR(IF(ISNUMBER(Datos!C1570),Datos!C1570/$F$3*100,NA()),NA())</f>
        <v/>
      </c>
    </row>
    <row r="1571">
      <c r="A1571" s="7">
        <f>IFERROR(Datos!A1571,"")</f>
        <v/>
      </c>
      <c r="B1571" s="27">
        <f>IFERROR(IF(ISNUMBER(Datos!B1571),Datos!B1571/$F$2*100,NA()),NA())</f>
        <v/>
      </c>
      <c r="C1571" s="27">
        <f>IFERROR(IF(ISNUMBER(Datos!C1571),Datos!C1571/$F$3*100,NA()),NA())</f>
        <v/>
      </c>
    </row>
    <row r="1572">
      <c r="A1572" s="7">
        <f>IFERROR(Datos!A1572,"")</f>
        <v/>
      </c>
      <c r="B1572" s="27">
        <f>IFERROR(IF(ISNUMBER(Datos!B1572),Datos!B1572/$F$2*100,NA()),NA())</f>
        <v/>
      </c>
      <c r="C1572" s="27">
        <f>IFERROR(IF(ISNUMBER(Datos!C1572),Datos!C1572/$F$3*100,NA()),NA())</f>
        <v/>
      </c>
    </row>
    <row r="1573">
      <c r="A1573" s="7">
        <f>IFERROR(Datos!A1573,"")</f>
        <v/>
      </c>
      <c r="B1573" s="27">
        <f>IFERROR(IF(ISNUMBER(Datos!B1573),Datos!B1573/$F$2*100,NA()),NA())</f>
        <v/>
      </c>
      <c r="C1573" s="27">
        <f>IFERROR(IF(ISNUMBER(Datos!C1573),Datos!C1573/$F$3*100,NA()),NA())</f>
        <v/>
      </c>
    </row>
    <row r="1574">
      <c r="A1574" s="7">
        <f>IFERROR(Datos!A1574,"")</f>
        <v/>
      </c>
      <c r="B1574" s="27">
        <f>IFERROR(IF(ISNUMBER(Datos!B1574),Datos!B1574/$F$2*100,NA()),NA())</f>
        <v/>
      </c>
      <c r="C1574" s="27">
        <f>IFERROR(IF(ISNUMBER(Datos!C1574),Datos!C1574/$F$3*100,NA()),NA())</f>
        <v/>
      </c>
    </row>
    <row r="1575">
      <c r="A1575" s="7">
        <f>IFERROR(Datos!A1575,"")</f>
        <v/>
      </c>
      <c r="B1575" s="27">
        <f>IFERROR(IF(ISNUMBER(Datos!B1575),Datos!B1575/$F$2*100,NA()),NA())</f>
        <v/>
      </c>
      <c r="C1575" s="27">
        <f>IFERROR(IF(ISNUMBER(Datos!C1575),Datos!C1575/$F$3*100,NA()),NA())</f>
        <v/>
      </c>
    </row>
    <row r="1576">
      <c r="A1576" s="7">
        <f>IFERROR(Datos!A1576,"")</f>
        <v/>
      </c>
      <c r="B1576" s="27">
        <f>IFERROR(IF(ISNUMBER(Datos!B1576),Datos!B1576/$F$2*100,NA()),NA())</f>
        <v/>
      </c>
      <c r="C1576" s="27">
        <f>IFERROR(IF(ISNUMBER(Datos!C1576),Datos!C1576/$F$3*100,NA()),NA())</f>
        <v/>
      </c>
    </row>
    <row r="1577">
      <c r="A1577" s="7">
        <f>IFERROR(Datos!A1577,"")</f>
        <v/>
      </c>
      <c r="B1577" s="27">
        <f>IFERROR(IF(ISNUMBER(Datos!B1577),Datos!B1577/$F$2*100,NA()),NA())</f>
        <v/>
      </c>
      <c r="C1577" s="27">
        <f>IFERROR(IF(ISNUMBER(Datos!C1577),Datos!C1577/$F$3*100,NA()),NA())</f>
        <v/>
      </c>
    </row>
    <row r="1578">
      <c r="A1578" s="7">
        <f>IFERROR(Datos!A1578,"")</f>
        <v/>
      </c>
      <c r="B1578" s="27">
        <f>IFERROR(IF(ISNUMBER(Datos!B1578),Datos!B1578/$F$2*100,NA()),NA())</f>
        <v/>
      </c>
      <c r="C1578" s="27">
        <f>IFERROR(IF(ISNUMBER(Datos!C1578),Datos!C1578/$F$3*100,NA()),NA())</f>
        <v/>
      </c>
    </row>
    <row r="1579">
      <c r="A1579" s="7">
        <f>IFERROR(Datos!A1579,"")</f>
        <v/>
      </c>
      <c r="B1579" s="27">
        <f>IFERROR(IF(ISNUMBER(Datos!B1579),Datos!B1579/$F$2*100,NA()),NA())</f>
        <v/>
      </c>
      <c r="C1579" s="27">
        <f>IFERROR(IF(ISNUMBER(Datos!C1579),Datos!C1579/$F$3*100,NA()),NA())</f>
        <v/>
      </c>
    </row>
    <row r="1580">
      <c r="A1580" s="7">
        <f>IFERROR(Datos!A1580,"")</f>
        <v/>
      </c>
      <c r="B1580" s="27">
        <f>IFERROR(IF(ISNUMBER(Datos!B1580),Datos!B1580/$F$2*100,NA()),NA())</f>
        <v/>
      </c>
      <c r="C1580" s="27">
        <f>IFERROR(IF(ISNUMBER(Datos!C1580),Datos!C1580/$F$3*100,NA()),NA())</f>
        <v/>
      </c>
    </row>
    <row r="1581">
      <c r="A1581" s="7">
        <f>IFERROR(Datos!A1581,"")</f>
        <v/>
      </c>
      <c r="B1581" s="27">
        <f>IFERROR(IF(ISNUMBER(Datos!B1581),Datos!B1581/$F$2*100,NA()),NA())</f>
        <v/>
      </c>
      <c r="C1581" s="27">
        <f>IFERROR(IF(ISNUMBER(Datos!C1581),Datos!C1581/$F$3*100,NA()),NA())</f>
        <v/>
      </c>
    </row>
    <row r="1582">
      <c r="A1582" s="7">
        <f>IFERROR(Datos!A1582,"")</f>
        <v/>
      </c>
      <c r="B1582" s="27">
        <f>IFERROR(IF(ISNUMBER(Datos!B1582),Datos!B1582/$F$2*100,NA()),NA())</f>
        <v/>
      </c>
      <c r="C1582" s="27">
        <f>IFERROR(IF(ISNUMBER(Datos!C1582),Datos!C1582/$F$3*100,NA()),NA())</f>
        <v/>
      </c>
    </row>
    <row r="1583">
      <c r="A1583" s="7">
        <f>IFERROR(Datos!A1583,"")</f>
        <v/>
      </c>
      <c r="B1583" s="27">
        <f>IFERROR(IF(ISNUMBER(Datos!B1583),Datos!B1583/$F$2*100,NA()),NA())</f>
        <v/>
      </c>
      <c r="C1583" s="27">
        <f>IFERROR(IF(ISNUMBER(Datos!C1583),Datos!C1583/$F$3*100,NA()),NA())</f>
        <v/>
      </c>
    </row>
    <row r="1584">
      <c r="A1584" s="7">
        <f>IFERROR(Datos!A1584,"")</f>
        <v/>
      </c>
      <c r="B1584" s="27">
        <f>IFERROR(IF(ISNUMBER(Datos!B1584),Datos!B1584/$F$2*100,NA()),NA())</f>
        <v/>
      </c>
      <c r="C1584" s="27">
        <f>IFERROR(IF(ISNUMBER(Datos!C1584),Datos!C1584/$F$3*100,NA()),NA())</f>
        <v/>
      </c>
    </row>
    <row r="1585">
      <c r="A1585" s="7">
        <f>IFERROR(Datos!A1585,"")</f>
        <v/>
      </c>
      <c r="B1585" s="27">
        <f>IFERROR(IF(ISNUMBER(Datos!B1585),Datos!B1585/$F$2*100,NA()),NA())</f>
        <v/>
      </c>
      <c r="C1585" s="27">
        <f>IFERROR(IF(ISNUMBER(Datos!C1585),Datos!C1585/$F$3*100,NA()),NA())</f>
        <v/>
      </c>
    </row>
    <row r="1586">
      <c r="A1586" s="7">
        <f>IFERROR(Datos!A1586,"")</f>
        <v/>
      </c>
      <c r="B1586" s="27">
        <f>IFERROR(IF(ISNUMBER(Datos!B1586),Datos!B1586/$F$2*100,NA()),NA())</f>
        <v/>
      </c>
      <c r="C1586" s="27">
        <f>IFERROR(IF(ISNUMBER(Datos!C1586),Datos!C1586/$F$3*100,NA()),NA())</f>
        <v/>
      </c>
    </row>
    <row r="1587">
      <c r="A1587" s="7">
        <f>IFERROR(Datos!A1587,"")</f>
        <v/>
      </c>
      <c r="B1587" s="27">
        <f>IFERROR(IF(ISNUMBER(Datos!B1587),Datos!B1587/$F$2*100,NA()),NA())</f>
        <v/>
      </c>
      <c r="C1587" s="27">
        <f>IFERROR(IF(ISNUMBER(Datos!C1587),Datos!C1587/$F$3*100,NA()),NA())</f>
        <v/>
      </c>
    </row>
    <row r="1588">
      <c r="A1588" s="7">
        <f>IFERROR(Datos!A1588,"")</f>
        <v/>
      </c>
      <c r="B1588" s="27">
        <f>IFERROR(IF(ISNUMBER(Datos!B1588),Datos!B1588/$F$2*100,NA()),NA())</f>
        <v/>
      </c>
      <c r="C1588" s="27">
        <f>IFERROR(IF(ISNUMBER(Datos!C1588),Datos!C1588/$F$3*100,NA()),NA())</f>
        <v/>
      </c>
    </row>
    <row r="1589">
      <c r="A1589" s="7">
        <f>IFERROR(Datos!A1589,"")</f>
        <v/>
      </c>
      <c r="B1589" s="27">
        <f>IFERROR(IF(ISNUMBER(Datos!B1589),Datos!B1589/$F$2*100,NA()),NA())</f>
        <v/>
      </c>
      <c r="C1589" s="27">
        <f>IFERROR(IF(ISNUMBER(Datos!C1589),Datos!C1589/$F$3*100,NA()),NA())</f>
        <v/>
      </c>
    </row>
    <row r="1590">
      <c r="A1590" s="7">
        <f>IFERROR(Datos!A1590,"")</f>
        <v/>
      </c>
      <c r="B1590" s="27">
        <f>IFERROR(IF(ISNUMBER(Datos!B1590),Datos!B1590/$F$2*100,NA()),NA())</f>
        <v/>
      </c>
      <c r="C1590" s="27">
        <f>IFERROR(IF(ISNUMBER(Datos!C1590),Datos!C1590/$F$3*100,NA()),NA())</f>
        <v/>
      </c>
    </row>
    <row r="1591">
      <c r="A1591" s="7">
        <f>IFERROR(Datos!A1591,"")</f>
        <v/>
      </c>
      <c r="B1591" s="27">
        <f>IFERROR(IF(ISNUMBER(Datos!B1591),Datos!B1591/$F$2*100,NA()),NA())</f>
        <v/>
      </c>
      <c r="C1591" s="27">
        <f>IFERROR(IF(ISNUMBER(Datos!C1591),Datos!C1591/$F$3*100,NA()),NA())</f>
        <v/>
      </c>
    </row>
    <row r="1592">
      <c r="A1592" s="7">
        <f>IFERROR(Datos!A1592,"")</f>
        <v/>
      </c>
      <c r="B1592" s="27">
        <f>IFERROR(IF(ISNUMBER(Datos!B1592),Datos!B1592/$F$2*100,NA()),NA())</f>
        <v/>
      </c>
      <c r="C1592" s="27">
        <f>IFERROR(IF(ISNUMBER(Datos!C1592),Datos!C1592/$F$3*100,NA()),NA())</f>
        <v/>
      </c>
    </row>
    <row r="1593">
      <c r="A1593" s="7">
        <f>IFERROR(Datos!A1593,"")</f>
        <v/>
      </c>
      <c r="B1593" s="27">
        <f>IFERROR(IF(ISNUMBER(Datos!B1593),Datos!B1593/$F$2*100,NA()),NA())</f>
        <v/>
      </c>
      <c r="C1593" s="27">
        <f>IFERROR(IF(ISNUMBER(Datos!C1593),Datos!C1593/$F$3*100,NA()),NA())</f>
        <v/>
      </c>
    </row>
    <row r="1594">
      <c r="A1594" s="7">
        <f>IFERROR(Datos!A1594,"")</f>
        <v/>
      </c>
      <c r="B1594" s="27">
        <f>IFERROR(IF(ISNUMBER(Datos!B1594),Datos!B1594/$F$2*100,NA()),NA())</f>
        <v/>
      </c>
      <c r="C1594" s="27">
        <f>IFERROR(IF(ISNUMBER(Datos!C1594),Datos!C1594/$F$3*100,NA()),NA())</f>
        <v/>
      </c>
    </row>
    <row r="1595">
      <c r="A1595" s="7">
        <f>IFERROR(Datos!A1595,"")</f>
        <v/>
      </c>
      <c r="B1595" s="27">
        <f>IFERROR(IF(ISNUMBER(Datos!B1595),Datos!B1595/$F$2*100,NA()),NA())</f>
        <v/>
      </c>
      <c r="C1595" s="27">
        <f>IFERROR(IF(ISNUMBER(Datos!C1595),Datos!C1595/$F$3*100,NA()),NA())</f>
        <v/>
      </c>
    </row>
    <row r="1596">
      <c r="A1596" s="7">
        <f>IFERROR(Datos!A1596,"")</f>
        <v/>
      </c>
      <c r="B1596" s="27">
        <f>IFERROR(IF(ISNUMBER(Datos!B1596),Datos!B1596/$F$2*100,NA()),NA())</f>
        <v/>
      </c>
      <c r="C1596" s="27">
        <f>IFERROR(IF(ISNUMBER(Datos!C1596),Datos!C1596/$F$3*100,NA()),NA())</f>
        <v/>
      </c>
    </row>
    <row r="1597">
      <c r="A1597" s="7">
        <f>IFERROR(Datos!A1597,"")</f>
        <v/>
      </c>
      <c r="B1597" s="27">
        <f>IFERROR(IF(ISNUMBER(Datos!B1597),Datos!B1597/$F$2*100,NA()),NA())</f>
        <v/>
      </c>
      <c r="C1597" s="27">
        <f>IFERROR(IF(ISNUMBER(Datos!C1597),Datos!C1597/$F$3*100,NA()),NA())</f>
        <v/>
      </c>
    </row>
    <row r="1598">
      <c r="A1598" s="7">
        <f>IFERROR(Datos!A1598,"")</f>
        <v/>
      </c>
      <c r="B1598" s="27">
        <f>IFERROR(IF(ISNUMBER(Datos!B1598),Datos!B1598/$F$2*100,NA()),NA())</f>
        <v/>
      </c>
      <c r="C1598" s="27">
        <f>IFERROR(IF(ISNUMBER(Datos!C1598),Datos!C1598/$F$3*100,NA()),NA())</f>
        <v/>
      </c>
    </row>
    <row r="1599">
      <c r="A1599" s="7">
        <f>IFERROR(Datos!A1599,"")</f>
        <v/>
      </c>
      <c r="B1599" s="27">
        <f>IFERROR(IF(ISNUMBER(Datos!B1599),Datos!B1599/$F$2*100,NA()),NA())</f>
        <v/>
      </c>
      <c r="C1599" s="27">
        <f>IFERROR(IF(ISNUMBER(Datos!C1599),Datos!C1599/$F$3*100,NA()),NA())</f>
        <v/>
      </c>
    </row>
    <row r="1600">
      <c r="A1600" s="7">
        <f>IFERROR(Datos!A1600,"")</f>
        <v/>
      </c>
      <c r="B1600" s="27">
        <f>IFERROR(IF(ISNUMBER(Datos!B1600),Datos!B1600/$F$2*100,NA()),NA())</f>
        <v/>
      </c>
      <c r="C1600" s="27">
        <f>IFERROR(IF(ISNUMBER(Datos!C1600),Datos!C1600/$F$3*100,NA()),NA())</f>
        <v/>
      </c>
    </row>
    <row r="1601">
      <c r="A1601" s="7">
        <f>IFERROR(Datos!A1601,"")</f>
        <v/>
      </c>
      <c r="B1601" s="27">
        <f>IFERROR(IF(ISNUMBER(Datos!B1601),Datos!B1601/$F$2*100,NA()),NA())</f>
        <v/>
      </c>
      <c r="C1601" s="27">
        <f>IFERROR(IF(ISNUMBER(Datos!C1601),Datos!C1601/$F$3*100,NA()),NA())</f>
        <v/>
      </c>
    </row>
    <row r="1602">
      <c r="A1602" s="7">
        <f>IFERROR(Datos!A1602,"")</f>
        <v/>
      </c>
      <c r="B1602" s="27">
        <f>IFERROR(IF(ISNUMBER(Datos!B1602),Datos!B1602/$F$2*100,NA()),NA())</f>
        <v/>
      </c>
      <c r="C1602" s="27">
        <f>IFERROR(IF(ISNUMBER(Datos!C1602),Datos!C1602/$F$3*100,NA()),NA())</f>
        <v/>
      </c>
    </row>
    <row r="1603">
      <c r="A1603" s="7">
        <f>IFERROR(Datos!A1603,"")</f>
        <v/>
      </c>
      <c r="B1603" s="27">
        <f>IFERROR(IF(ISNUMBER(Datos!B1603),Datos!B1603/$F$2*100,NA()),NA())</f>
        <v/>
      </c>
      <c r="C1603" s="27">
        <f>IFERROR(IF(ISNUMBER(Datos!C1603),Datos!C1603/$F$3*100,NA()),NA())</f>
        <v/>
      </c>
    </row>
    <row r="1604">
      <c r="A1604" s="7">
        <f>IFERROR(Datos!A1604,"")</f>
        <v/>
      </c>
      <c r="B1604" s="27">
        <f>IFERROR(IF(ISNUMBER(Datos!B1604),Datos!B1604/$F$2*100,NA()),NA())</f>
        <v/>
      </c>
      <c r="C1604" s="27">
        <f>IFERROR(IF(ISNUMBER(Datos!C1604),Datos!C1604/$F$3*100,NA()),NA())</f>
        <v/>
      </c>
    </row>
    <row r="1605">
      <c r="A1605" s="7">
        <f>IFERROR(Datos!A1605,"")</f>
        <v/>
      </c>
      <c r="B1605" s="27">
        <f>IFERROR(IF(ISNUMBER(Datos!B1605),Datos!B1605/$F$2*100,NA()),NA())</f>
        <v/>
      </c>
      <c r="C1605" s="27">
        <f>IFERROR(IF(ISNUMBER(Datos!C1605),Datos!C1605/$F$3*100,NA()),NA())</f>
        <v/>
      </c>
    </row>
    <row r="1606">
      <c r="A1606" s="7">
        <f>IFERROR(Datos!A1606,"")</f>
        <v/>
      </c>
      <c r="B1606" s="27">
        <f>IFERROR(IF(ISNUMBER(Datos!B1606),Datos!B1606/$F$2*100,NA()),NA())</f>
        <v/>
      </c>
      <c r="C1606" s="27">
        <f>IFERROR(IF(ISNUMBER(Datos!C1606),Datos!C1606/$F$3*100,NA()),NA())</f>
        <v/>
      </c>
    </row>
    <row r="1607">
      <c r="A1607" s="7">
        <f>IFERROR(Datos!A1607,"")</f>
        <v/>
      </c>
      <c r="B1607" s="27">
        <f>IFERROR(IF(ISNUMBER(Datos!B1607),Datos!B1607/$F$2*100,NA()),NA())</f>
        <v/>
      </c>
      <c r="C1607" s="27">
        <f>IFERROR(IF(ISNUMBER(Datos!C1607),Datos!C1607/$F$3*100,NA()),NA())</f>
        <v/>
      </c>
    </row>
    <row r="1608">
      <c r="A1608" s="7">
        <f>IFERROR(Datos!A1608,"")</f>
        <v/>
      </c>
      <c r="B1608" s="27">
        <f>IFERROR(IF(ISNUMBER(Datos!B1608),Datos!B1608/$F$2*100,NA()),NA())</f>
        <v/>
      </c>
      <c r="C1608" s="27">
        <f>IFERROR(IF(ISNUMBER(Datos!C1608),Datos!C1608/$F$3*100,NA()),NA())</f>
        <v/>
      </c>
    </row>
    <row r="1609">
      <c r="A1609" s="7">
        <f>IFERROR(Datos!A1609,"")</f>
        <v/>
      </c>
      <c r="B1609" s="27">
        <f>IFERROR(IF(ISNUMBER(Datos!B1609),Datos!B1609/$F$2*100,NA()),NA())</f>
        <v/>
      </c>
      <c r="C1609" s="27">
        <f>IFERROR(IF(ISNUMBER(Datos!C1609),Datos!C1609/$F$3*100,NA()),NA())</f>
        <v/>
      </c>
    </row>
    <row r="1610">
      <c r="A1610" s="7">
        <f>IFERROR(Datos!A1610,"")</f>
        <v/>
      </c>
      <c r="B1610" s="27">
        <f>IFERROR(IF(ISNUMBER(Datos!B1610),Datos!B1610/$F$2*100,NA()),NA())</f>
        <v/>
      </c>
      <c r="C1610" s="27">
        <f>IFERROR(IF(ISNUMBER(Datos!C1610),Datos!C1610/$F$3*100,NA()),NA())</f>
        <v/>
      </c>
    </row>
    <row r="1611">
      <c r="A1611" s="7">
        <f>IFERROR(Datos!A1611,"")</f>
        <v/>
      </c>
      <c r="B1611" s="27">
        <f>IFERROR(IF(ISNUMBER(Datos!B1611),Datos!B1611/$F$2*100,NA()),NA())</f>
        <v/>
      </c>
      <c r="C1611" s="27">
        <f>IFERROR(IF(ISNUMBER(Datos!C1611),Datos!C1611/$F$3*100,NA()),NA())</f>
        <v/>
      </c>
    </row>
    <row r="1612">
      <c r="A1612" s="7">
        <f>IFERROR(Datos!A1612,"")</f>
        <v/>
      </c>
      <c r="B1612" s="27">
        <f>IFERROR(IF(ISNUMBER(Datos!B1612),Datos!B1612/$F$2*100,NA()),NA())</f>
        <v/>
      </c>
      <c r="C1612" s="27">
        <f>IFERROR(IF(ISNUMBER(Datos!C1612),Datos!C1612/$F$3*100,NA()),NA())</f>
        <v/>
      </c>
    </row>
    <row r="1613">
      <c r="A1613" s="7">
        <f>IFERROR(Datos!A1613,"")</f>
        <v/>
      </c>
      <c r="B1613" s="27">
        <f>IFERROR(IF(ISNUMBER(Datos!B1613),Datos!B1613/$F$2*100,NA()),NA())</f>
        <v/>
      </c>
      <c r="C1613" s="27">
        <f>IFERROR(IF(ISNUMBER(Datos!C1613),Datos!C1613/$F$3*100,NA()),NA())</f>
        <v/>
      </c>
    </row>
    <row r="1614">
      <c r="A1614" s="7">
        <f>IFERROR(Datos!A1614,"")</f>
        <v/>
      </c>
      <c r="B1614" s="27">
        <f>IFERROR(IF(ISNUMBER(Datos!B1614),Datos!B1614/$F$2*100,NA()),NA())</f>
        <v/>
      </c>
      <c r="C1614" s="27">
        <f>IFERROR(IF(ISNUMBER(Datos!C1614),Datos!C1614/$F$3*100,NA()),NA())</f>
        <v/>
      </c>
    </row>
    <row r="1615">
      <c r="A1615" s="7">
        <f>IFERROR(Datos!A1615,"")</f>
        <v/>
      </c>
      <c r="B1615" s="27">
        <f>IFERROR(IF(ISNUMBER(Datos!B1615),Datos!B1615/$F$2*100,NA()),NA())</f>
        <v/>
      </c>
      <c r="C1615" s="27">
        <f>IFERROR(IF(ISNUMBER(Datos!C1615),Datos!C1615/$F$3*100,NA()),NA())</f>
        <v/>
      </c>
    </row>
    <row r="1616">
      <c r="A1616" s="7">
        <f>IFERROR(Datos!A1616,"")</f>
        <v/>
      </c>
      <c r="B1616" s="27">
        <f>IFERROR(IF(ISNUMBER(Datos!B1616),Datos!B1616/$F$2*100,NA()),NA())</f>
        <v/>
      </c>
      <c r="C1616" s="27">
        <f>IFERROR(IF(ISNUMBER(Datos!C1616),Datos!C1616/$F$3*100,NA()),NA())</f>
        <v/>
      </c>
    </row>
    <row r="1617">
      <c r="A1617" s="7">
        <f>IFERROR(Datos!A1617,"")</f>
        <v/>
      </c>
      <c r="B1617" s="27">
        <f>IFERROR(IF(ISNUMBER(Datos!B1617),Datos!B1617/$F$2*100,NA()),NA())</f>
        <v/>
      </c>
      <c r="C1617" s="27">
        <f>IFERROR(IF(ISNUMBER(Datos!C1617),Datos!C1617/$F$3*100,NA()),NA())</f>
        <v/>
      </c>
    </row>
    <row r="1618">
      <c r="A1618" s="7">
        <f>IFERROR(Datos!A1618,"")</f>
        <v/>
      </c>
      <c r="B1618" s="27">
        <f>IFERROR(IF(ISNUMBER(Datos!B1618),Datos!B1618/$F$2*100,NA()),NA())</f>
        <v/>
      </c>
      <c r="C1618" s="27">
        <f>IFERROR(IF(ISNUMBER(Datos!C1618),Datos!C1618/$F$3*100,NA()),NA())</f>
        <v/>
      </c>
    </row>
    <row r="1619">
      <c r="A1619" s="7">
        <f>IFERROR(Datos!A1619,"")</f>
        <v/>
      </c>
      <c r="B1619" s="27">
        <f>IFERROR(IF(ISNUMBER(Datos!B1619),Datos!B1619/$F$2*100,NA()),NA())</f>
        <v/>
      </c>
      <c r="C1619" s="27">
        <f>IFERROR(IF(ISNUMBER(Datos!C1619),Datos!C1619/$F$3*100,NA()),NA())</f>
        <v/>
      </c>
    </row>
    <row r="1620">
      <c r="A1620" s="7">
        <f>IFERROR(Datos!A1620,"")</f>
        <v/>
      </c>
      <c r="B1620" s="27">
        <f>IFERROR(IF(ISNUMBER(Datos!B1620),Datos!B1620/$F$2*100,NA()),NA())</f>
        <v/>
      </c>
      <c r="C1620" s="27">
        <f>IFERROR(IF(ISNUMBER(Datos!C1620),Datos!C1620/$F$3*100,NA()),NA())</f>
        <v/>
      </c>
    </row>
    <row r="1621">
      <c r="A1621" s="7">
        <f>IFERROR(Datos!A1621,"")</f>
        <v/>
      </c>
      <c r="B1621" s="27">
        <f>IFERROR(IF(ISNUMBER(Datos!B1621),Datos!B1621/$F$2*100,NA()),NA())</f>
        <v/>
      </c>
      <c r="C1621" s="27">
        <f>IFERROR(IF(ISNUMBER(Datos!C1621),Datos!C1621/$F$3*100,NA()),NA())</f>
        <v/>
      </c>
    </row>
    <row r="1622">
      <c r="A1622" s="7">
        <f>IFERROR(Datos!A1622,"")</f>
        <v/>
      </c>
      <c r="B1622" s="27">
        <f>IFERROR(IF(ISNUMBER(Datos!B1622),Datos!B1622/$F$2*100,NA()),NA())</f>
        <v/>
      </c>
      <c r="C1622" s="27">
        <f>IFERROR(IF(ISNUMBER(Datos!C1622),Datos!C1622/$F$3*100,NA()),NA())</f>
        <v/>
      </c>
    </row>
    <row r="1623">
      <c r="A1623" s="7">
        <f>IFERROR(Datos!A1623,"")</f>
        <v/>
      </c>
      <c r="B1623" s="27">
        <f>IFERROR(IF(ISNUMBER(Datos!B1623),Datos!B1623/$F$2*100,NA()),NA())</f>
        <v/>
      </c>
      <c r="C1623" s="27">
        <f>IFERROR(IF(ISNUMBER(Datos!C1623),Datos!C1623/$F$3*100,NA()),NA())</f>
        <v/>
      </c>
    </row>
    <row r="1624">
      <c r="A1624" s="7">
        <f>IFERROR(Datos!A1624,"")</f>
        <v/>
      </c>
      <c r="B1624" s="27">
        <f>IFERROR(IF(ISNUMBER(Datos!B1624),Datos!B1624/$F$2*100,NA()),NA())</f>
        <v/>
      </c>
      <c r="C1624" s="27">
        <f>IFERROR(IF(ISNUMBER(Datos!C1624),Datos!C1624/$F$3*100,NA()),NA())</f>
        <v/>
      </c>
    </row>
    <row r="1625">
      <c r="A1625" s="7">
        <f>IFERROR(Datos!A1625,"")</f>
        <v/>
      </c>
      <c r="B1625" s="27">
        <f>IFERROR(IF(ISNUMBER(Datos!B1625),Datos!B1625/$F$2*100,NA()),NA())</f>
        <v/>
      </c>
      <c r="C1625" s="27">
        <f>IFERROR(IF(ISNUMBER(Datos!C1625),Datos!C1625/$F$3*100,NA()),NA())</f>
        <v/>
      </c>
    </row>
    <row r="1626">
      <c r="A1626" s="7">
        <f>IFERROR(Datos!A1626,"")</f>
        <v/>
      </c>
      <c r="B1626" s="27">
        <f>IFERROR(IF(ISNUMBER(Datos!B1626),Datos!B1626/$F$2*100,NA()),NA())</f>
        <v/>
      </c>
      <c r="C1626" s="27">
        <f>IFERROR(IF(ISNUMBER(Datos!C1626),Datos!C1626/$F$3*100,NA()),NA())</f>
        <v/>
      </c>
    </row>
    <row r="1627">
      <c r="A1627" s="7">
        <f>IFERROR(Datos!A1627,"")</f>
        <v/>
      </c>
      <c r="B1627" s="27">
        <f>IFERROR(IF(ISNUMBER(Datos!B1627),Datos!B1627/$F$2*100,NA()),NA())</f>
        <v/>
      </c>
      <c r="C1627" s="27">
        <f>IFERROR(IF(ISNUMBER(Datos!C1627),Datos!C1627/$F$3*100,NA()),NA())</f>
        <v/>
      </c>
    </row>
    <row r="1628">
      <c r="A1628" s="7">
        <f>IFERROR(Datos!A1628,"")</f>
        <v/>
      </c>
      <c r="B1628" s="27">
        <f>IFERROR(IF(ISNUMBER(Datos!B1628),Datos!B1628/$F$2*100,NA()),NA())</f>
        <v/>
      </c>
      <c r="C1628" s="27">
        <f>IFERROR(IF(ISNUMBER(Datos!C1628),Datos!C1628/$F$3*100,NA()),NA())</f>
        <v/>
      </c>
    </row>
    <row r="1629">
      <c r="A1629" s="7">
        <f>IFERROR(Datos!A1629,"")</f>
        <v/>
      </c>
      <c r="B1629" s="27">
        <f>IFERROR(IF(ISNUMBER(Datos!B1629),Datos!B1629/$F$2*100,NA()),NA())</f>
        <v/>
      </c>
      <c r="C1629" s="27">
        <f>IFERROR(IF(ISNUMBER(Datos!C1629),Datos!C1629/$F$3*100,NA()),NA())</f>
        <v/>
      </c>
    </row>
    <row r="1630">
      <c r="A1630" s="7">
        <f>IFERROR(Datos!A1630,"")</f>
        <v/>
      </c>
      <c r="B1630" s="27">
        <f>IFERROR(IF(ISNUMBER(Datos!B1630),Datos!B1630/$F$2*100,NA()),NA())</f>
        <v/>
      </c>
      <c r="C1630" s="27">
        <f>IFERROR(IF(ISNUMBER(Datos!C1630),Datos!C1630/$F$3*100,NA()),NA())</f>
        <v/>
      </c>
    </row>
    <row r="1631">
      <c r="A1631" s="7">
        <f>IFERROR(Datos!A1631,"")</f>
        <v/>
      </c>
      <c r="B1631" s="27">
        <f>IFERROR(IF(ISNUMBER(Datos!B1631),Datos!B1631/$F$2*100,NA()),NA())</f>
        <v/>
      </c>
      <c r="C1631" s="27">
        <f>IFERROR(IF(ISNUMBER(Datos!C1631),Datos!C1631/$F$3*100,NA()),NA())</f>
        <v/>
      </c>
    </row>
    <row r="1632">
      <c r="A1632" s="7">
        <f>IFERROR(Datos!A1632,"")</f>
        <v/>
      </c>
      <c r="B1632" s="27">
        <f>IFERROR(IF(ISNUMBER(Datos!B1632),Datos!B1632/$F$2*100,NA()),NA())</f>
        <v/>
      </c>
      <c r="C1632" s="27">
        <f>IFERROR(IF(ISNUMBER(Datos!C1632),Datos!C1632/$F$3*100,NA()),NA())</f>
        <v/>
      </c>
    </row>
    <row r="1633">
      <c r="A1633" s="7">
        <f>IFERROR(Datos!A1633,"")</f>
        <v/>
      </c>
      <c r="B1633" s="27">
        <f>IFERROR(IF(ISNUMBER(Datos!B1633),Datos!B1633/$F$2*100,NA()),NA())</f>
        <v/>
      </c>
      <c r="C1633" s="27">
        <f>IFERROR(IF(ISNUMBER(Datos!C1633),Datos!C1633/$F$3*100,NA()),NA())</f>
        <v/>
      </c>
    </row>
    <row r="1634">
      <c r="A1634" s="7">
        <f>IFERROR(Datos!A1634,"")</f>
        <v/>
      </c>
      <c r="B1634" s="27">
        <f>IFERROR(IF(ISNUMBER(Datos!B1634),Datos!B1634/$F$2*100,NA()),NA())</f>
        <v/>
      </c>
      <c r="C1634" s="27">
        <f>IFERROR(IF(ISNUMBER(Datos!C1634),Datos!C1634/$F$3*100,NA()),NA())</f>
        <v/>
      </c>
    </row>
    <row r="1635">
      <c r="A1635" s="7">
        <f>IFERROR(Datos!A1635,"")</f>
        <v/>
      </c>
      <c r="B1635" s="27">
        <f>IFERROR(IF(ISNUMBER(Datos!B1635),Datos!B1635/$F$2*100,NA()),NA())</f>
        <v/>
      </c>
      <c r="C1635" s="27">
        <f>IFERROR(IF(ISNUMBER(Datos!C1635),Datos!C1635/$F$3*100,NA()),NA())</f>
        <v/>
      </c>
    </row>
    <row r="1636">
      <c r="A1636" s="7">
        <f>IFERROR(Datos!A1636,"")</f>
        <v/>
      </c>
      <c r="B1636" s="27">
        <f>IFERROR(IF(ISNUMBER(Datos!B1636),Datos!B1636/$F$2*100,NA()),NA())</f>
        <v/>
      </c>
      <c r="C1636" s="27">
        <f>IFERROR(IF(ISNUMBER(Datos!C1636),Datos!C1636/$F$3*100,NA()),NA())</f>
        <v/>
      </c>
    </row>
    <row r="1637">
      <c r="A1637" s="7">
        <f>IFERROR(Datos!A1637,"")</f>
        <v/>
      </c>
      <c r="B1637" s="27">
        <f>IFERROR(IF(ISNUMBER(Datos!B1637),Datos!B1637/$F$2*100,NA()),NA())</f>
        <v/>
      </c>
      <c r="C1637" s="27">
        <f>IFERROR(IF(ISNUMBER(Datos!C1637),Datos!C1637/$F$3*100,NA()),NA())</f>
        <v/>
      </c>
    </row>
    <row r="1638">
      <c r="A1638" s="7">
        <f>IFERROR(Datos!A1638,"")</f>
        <v/>
      </c>
      <c r="B1638" s="27">
        <f>IFERROR(IF(ISNUMBER(Datos!B1638),Datos!B1638/$F$2*100,NA()),NA())</f>
        <v/>
      </c>
      <c r="C1638" s="27">
        <f>IFERROR(IF(ISNUMBER(Datos!C1638),Datos!C1638/$F$3*100,NA()),NA())</f>
        <v/>
      </c>
    </row>
    <row r="1639">
      <c r="A1639" s="7">
        <f>IFERROR(Datos!A1639,"")</f>
        <v/>
      </c>
      <c r="B1639" s="27">
        <f>IFERROR(IF(ISNUMBER(Datos!B1639),Datos!B1639/$F$2*100,NA()),NA())</f>
        <v/>
      </c>
      <c r="C1639" s="27">
        <f>IFERROR(IF(ISNUMBER(Datos!C1639),Datos!C1639/$F$3*100,NA()),NA())</f>
        <v/>
      </c>
    </row>
    <row r="1640">
      <c r="A1640" s="7">
        <f>IFERROR(Datos!A1640,"")</f>
        <v/>
      </c>
      <c r="B1640" s="27">
        <f>IFERROR(IF(ISNUMBER(Datos!B1640),Datos!B1640/$F$2*100,NA()),NA())</f>
        <v/>
      </c>
      <c r="C1640" s="27">
        <f>IFERROR(IF(ISNUMBER(Datos!C1640),Datos!C1640/$F$3*100,NA()),NA())</f>
        <v/>
      </c>
    </row>
    <row r="1641">
      <c r="A1641" s="7">
        <f>IFERROR(Datos!A1641,"")</f>
        <v/>
      </c>
      <c r="B1641" s="27">
        <f>IFERROR(IF(ISNUMBER(Datos!B1641),Datos!B1641/$F$2*100,NA()),NA())</f>
        <v/>
      </c>
      <c r="C1641" s="27">
        <f>IFERROR(IF(ISNUMBER(Datos!C1641),Datos!C1641/$F$3*100,NA()),NA())</f>
        <v/>
      </c>
    </row>
    <row r="1642">
      <c r="A1642" s="7">
        <f>IFERROR(Datos!A1642,"")</f>
        <v/>
      </c>
      <c r="B1642" s="27">
        <f>IFERROR(IF(ISNUMBER(Datos!B1642),Datos!B1642/$F$2*100,NA()),NA())</f>
        <v/>
      </c>
      <c r="C1642" s="27">
        <f>IFERROR(IF(ISNUMBER(Datos!C1642),Datos!C1642/$F$3*100,NA()),NA())</f>
        <v/>
      </c>
    </row>
    <row r="1643">
      <c r="A1643" s="7">
        <f>IFERROR(Datos!A1643,"")</f>
        <v/>
      </c>
      <c r="B1643" s="27">
        <f>IFERROR(IF(ISNUMBER(Datos!B1643),Datos!B1643/$F$2*100,NA()),NA())</f>
        <v/>
      </c>
      <c r="C1643" s="27">
        <f>IFERROR(IF(ISNUMBER(Datos!C1643),Datos!C1643/$F$3*100,NA()),NA())</f>
        <v/>
      </c>
    </row>
    <row r="1644">
      <c r="A1644" s="7">
        <f>IFERROR(Datos!A1644,"")</f>
        <v/>
      </c>
      <c r="B1644" s="27">
        <f>IFERROR(IF(ISNUMBER(Datos!B1644),Datos!B1644/$F$2*100,NA()),NA())</f>
        <v/>
      </c>
      <c r="C1644" s="27">
        <f>IFERROR(IF(ISNUMBER(Datos!C1644),Datos!C1644/$F$3*100,NA()),NA())</f>
        <v/>
      </c>
    </row>
    <row r="1645">
      <c r="A1645" s="7">
        <f>IFERROR(Datos!A1645,"")</f>
        <v/>
      </c>
      <c r="B1645" s="27">
        <f>IFERROR(IF(ISNUMBER(Datos!B1645),Datos!B1645/$F$2*100,NA()),NA())</f>
        <v/>
      </c>
      <c r="C1645" s="27">
        <f>IFERROR(IF(ISNUMBER(Datos!C1645),Datos!C1645/$F$3*100,NA()),NA())</f>
        <v/>
      </c>
    </row>
    <row r="1646">
      <c r="A1646" s="7">
        <f>IFERROR(Datos!A1646,"")</f>
        <v/>
      </c>
      <c r="B1646" s="27">
        <f>IFERROR(IF(ISNUMBER(Datos!B1646),Datos!B1646/$F$2*100,NA()),NA())</f>
        <v/>
      </c>
      <c r="C1646" s="27">
        <f>IFERROR(IF(ISNUMBER(Datos!C1646),Datos!C1646/$F$3*100,NA()),NA())</f>
        <v/>
      </c>
    </row>
    <row r="1647">
      <c r="A1647" s="7">
        <f>IFERROR(Datos!A1647,"")</f>
        <v/>
      </c>
      <c r="B1647" s="27">
        <f>IFERROR(IF(ISNUMBER(Datos!B1647),Datos!B1647/$F$2*100,NA()),NA())</f>
        <v/>
      </c>
      <c r="C1647" s="27">
        <f>IFERROR(IF(ISNUMBER(Datos!C1647),Datos!C1647/$F$3*100,NA()),NA())</f>
        <v/>
      </c>
    </row>
    <row r="1648">
      <c r="A1648" s="7">
        <f>IFERROR(Datos!A1648,"")</f>
        <v/>
      </c>
      <c r="B1648" s="27">
        <f>IFERROR(IF(ISNUMBER(Datos!B1648),Datos!B1648/$F$2*100,NA()),NA())</f>
        <v/>
      </c>
      <c r="C1648" s="27">
        <f>IFERROR(IF(ISNUMBER(Datos!C1648),Datos!C1648/$F$3*100,NA()),NA())</f>
        <v/>
      </c>
    </row>
    <row r="1649">
      <c r="A1649" s="7">
        <f>IFERROR(Datos!A1649,"")</f>
        <v/>
      </c>
      <c r="B1649" s="27">
        <f>IFERROR(IF(ISNUMBER(Datos!B1649),Datos!B1649/$F$2*100,NA()),NA())</f>
        <v/>
      </c>
      <c r="C1649" s="27">
        <f>IFERROR(IF(ISNUMBER(Datos!C1649),Datos!C1649/$F$3*100,NA()),NA())</f>
        <v/>
      </c>
    </row>
    <row r="1650">
      <c r="A1650" s="7">
        <f>IFERROR(Datos!A1650,"")</f>
        <v/>
      </c>
      <c r="B1650" s="27">
        <f>IFERROR(IF(ISNUMBER(Datos!B1650),Datos!B1650/$F$2*100,NA()),NA())</f>
        <v/>
      </c>
      <c r="C1650" s="27">
        <f>IFERROR(IF(ISNUMBER(Datos!C1650),Datos!C1650/$F$3*100,NA()),NA())</f>
        <v/>
      </c>
    </row>
    <row r="1651">
      <c r="A1651" s="7">
        <f>IFERROR(Datos!A1651,"")</f>
        <v/>
      </c>
      <c r="B1651" s="27">
        <f>IFERROR(IF(ISNUMBER(Datos!B1651),Datos!B1651/$F$2*100,NA()),NA())</f>
        <v/>
      </c>
      <c r="C1651" s="27">
        <f>IFERROR(IF(ISNUMBER(Datos!C1651),Datos!C1651/$F$3*100,NA()),NA())</f>
        <v/>
      </c>
    </row>
    <row r="1652">
      <c r="A1652" s="7">
        <f>IFERROR(Datos!A1652,"")</f>
        <v/>
      </c>
      <c r="B1652" s="27">
        <f>IFERROR(IF(ISNUMBER(Datos!B1652),Datos!B1652/$F$2*100,NA()),NA())</f>
        <v/>
      </c>
      <c r="C1652" s="27">
        <f>IFERROR(IF(ISNUMBER(Datos!C1652),Datos!C1652/$F$3*100,NA()),NA())</f>
        <v/>
      </c>
    </row>
    <row r="1653">
      <c r="A1653" s="7">
        <f>IFERROR(Datos!A1653,"")</f>
        <v/>
      </c>
      <c r="B1653" s="27">
        <f>IFERROR(IF(ISNUMBER(Datos!B1653),Datos!B1653/$F$2*100,NA()),NA())</f>
        <v/>
      </c>
      <c r="C1653" s="27">
        <f>IFERROR(IF(ISNUMBER(Datos!C1653),Datos!C1653/$F$3*100,NA()),NA())</f>
        <v/>
      </c>
    </row>
    <row r="1654">
      <c r="A1654" s="7">
        <f>IFERROR(Datos!A1654,"")</f>
        <v/>
      </c>
      <c r="B1654" s="27">
        <f>IFERROR(IF(ISNUMBER(Datos!B1654),Datos!B1654/$F$2*100,NA()),NA())</f>
        <v/>
      </c>
      <c r="C1654" s="27">
        <f>IFERROR(IF(ISNUMBER(Datos!C1654),Datos!C1654/$F$3*100,NA()),NA())</f>
        <v/>
      </c>
    </row>
    <row r="1655">
      <c r="A1655" s="7">
        <f>IFERROR(Datos!A1655,"")</f>
        <v/>
      </c>
      <c r="B1655" s="27">
        <f>IFERROR(IF(ISNUMBER(Datos!B1655),Datos!B1655/$F$2*100,NA()),NA())</f>
        <v/>
      </c>
      <c r="C1655" s="27">
        <f>IFERROR(IF(ISNUMBER(Datos!C1655),Datos!C1655/$F$3*100,NA()),NA())</f>
        <v/>
      </c>
    </row>
    <row r="1656">
      <c r="A1656" s="7">
        <f>IFERROR(Datos!A1656,"")</f>
        <v/>
      </c>
      <c r="B1656" s="27">
        <f>IFERROR(IF(ISNUMBER(Datos!B1656),Datos!B1656/$F$2*100,NA()),NA())</f>
        <v/>
      </c>
      <c r="C1656" s="27">
        <f>IFERROR(IF(ISNUMBER(Datos!C1656),Datos!C1656/$F$3*100,NA()),NA())</f>
        <v/>
      </c>
    </row>
    <row r="1657">
      <c r="A1657" s="7">
        <f>IFERROR(Datos!A1657,"")</f>
        <v/>
      </c>
      <c r="B1657" s="27">
        <f>IFERROR(IF(ISNUMBER(Datos!B1657),Datos!B1657/$F$2*100,NA()),NA())</f>
        <v/>
      </c>
      <c r="C1657" s="27">
        <f>IFERROR(IF(ISNUMBER(Datos!C1657),Datos!C1657/$F$3*100,NA()),NA())</f>
        <v/>
      </c>
    </row>
    <row r="1658">
      <c r="A1658" s="7">
        <f>IFERROR(Datos!A1658,"")</f>
        <v/>
      </c>
      <c r="B1658" s="27">
        <f>IFERROR(IF(ISNUMBER(Datos!B1658),Datos!B1658/$F$2*100,NA()),NA())</f>
        <v/>
      </c>
      <c r="C1658" s="27">
        <f>IFERROR(IF(ISNUMBER(Datos!C1658),Datos!C1658/$F$3*100,NA()),NA())</f>
        <v/>
      </c>
    </row>
    <row r="1659">
      <c r="A1659" s="7">
        <f>IFERROR(Datos!A1659,"")</f>
        <v/>
      </c>
      <c r="B1659" s="27">
        <f>IFERROR(IF(ISNUMBER(Datos!B1659),Datos!B1659/$F$2*100,NA()),NA())</f>
        <v/>
      </c>
      <c r="C1659" s="27">
        <f>IFERROR(IF(ISNUMBER(Datos!C1659),Datos!C1659/$F$3*100,NA()),NA())</f>
        <v/>
      </c>
    </row>
    <row r="1660">
      <c r="A1660" s="7">
        <f>IFERROR(Datos!A1660,"")</f>
        <v/>
      </c>
      <c r="B1660" s="27">
        <f>IFERROR(IF(ISNUMBER(Datos!B1660),Datos!B1660/$F$2*100,NA()),NA())</f>
        <v/>
      </c>
      <c r="C1660" s="27">
        <f>IFERROR(IF(ISNUMBER(Datos!C1660),Datos!C1660/$F$3*100,NA()),NA())</f>
        <v/>
      </c>
    </row>
    <row r="1661">
      <c r="A1661" s="7">
        <f>IFERROR(Datos!A1661,"")</f>
        <v/>
      </c>
      <c r="B1661" s="27">
        <f>IFERROR(IF(ISNUMBER(Datos!B1661),Datos!B1661/$F$2*100,NA()),NA())</f>
        <v/>
      </c>
      <c r="C1661" s="27">
        <f>IFERROR(IF(ISNUMBER(Datos!C1661),Datos!C1661/$F$3*100,NA()),NA())</f>
        <v/>
      </c>
    </row>
    <row r="1662">
      <c r="A1662" s="7">
        <f>IFERROR(Datos!A1662,"")</f>
        <v/>
      </c>
      <c r="B1662" s="27">
        <f>IFERROR(IF(ISNUMBER(Datos!B1662),Datos!B1662/$F$2*100,NA()),NA())</f>
        <v/>
      </c>
      <c r="C1662" s="27">
        <f>IFERROR(IF(ISNUMBER(Datos!C1662),Datos!C1662/$F$3*100,NA()),NA())</f>
        <v/>
      </c>
    </row>
    <row r="1663">
      <c r="A1663" s="7">
        <f>IFERROR(Datos!A1663,"")</f>
        <v/>
      </c>
      <c r="B1663" s="27">
        <f>IFERROR(IF(ISNUMBER(Datos!B1663),Datos!B1663/$F$2*100,NA()),NA())</f>
        <v/>
      </c>
      <c r="C1663" s="27">
        <f>IFERROR(IF(ISNUMBER(Datos!C1663),Datos!C1663/$F$3*100,NA()),NA())</f>
        <v/>
      </c>
    </row>
    <row r="1664">
      <c r="A1664" s="7">
        <f>IFERROR(Datos!A1664,"")</f>
        <v/>
      </c>
      <c r="B1664" s="27">
        <f>IFERROR(IF(ISNUMBER(Datos!B1664),Datos!B1664/$F$2*100,NA()),NA())</f>
        <v/>
      </c>
      <c r="C1664" s="27">
        <f>IFERROR(IF(ISNUMBER(Datos!C1664),Datos!C1664/$F$3*100,NA()),NA())</f>
        <v/>
      </c>
    </row>
    <row r="1665">
      <c r="A1665" s="7">
        <f>IFERROR(Datos!A1665,"")</f>
        <v/>
      </c>
      <c r="B1665" s="27">
        <f>IFERROR(IF(ISNUMBER(Datos!B1665),Datos!B1665/$F$2*100,NA()),NA())</f>
        <v/>
      </c>
      <c r="C1665" s="27">
        <f>IFERROR(IF(ISNUMBER(Datos!C1665),Datos!C1665/$F$3*100,NA()),NA())</f>
        <v/>
      </c>
    </row>
    <row r="1666">
      <c r="A1666" s="7">
        <f>IFERROR(Datos!A1666,"")</f>
        <v/>
      </c>
      <c r="B1666" s="27">
        <f>IFERROR(IF(ISNUMBER(Datos!B1666),Datos!B1666/$F$2*100,NA()),NA())</f>
        <v/>
      </c>
      <c r="C1666" s="27">
        <f>IFERROR(IF(ISNUMBER(Datos!C1666),Datos!C1666/$F$3*100,NA()),NA())</f>
        <v/>
      </c>
    </row>
    <row r="1667">
      <c r="A1667" s="7">
        <f>IFERROR(Datos!A1667,"")</f>
        <v/>
      </c>
      <c r="B1667" s="27">
        <f>IFERROR(IF(ISNUMBER(Datos!B1667),Datos!B1667/$F$2*100,NA()),NA())</f>
        <v/>
      </c>
      <c r="C1667" s="27">
        <f>IFERROR(IF(ISNUMBER(Datos!C1667),Datos!C1667/$F$3*100,NA()),NA())</f>
        <v/>
      </c>
    </row>
    <row r="1668">
      <c r="A1668" s="7">
        <f>IFERROR(Datos!A1668,"")</f>
        <v/>
      </c>
      <c r="B1668" s="27">
        <f>IFERROR(IF(ISNUMBER(Datos!B1668),Datos!B1668/$F$2*100,NA()),NA())</f>
        <v/>
      </c>
      <c r="C1668" s="27">
        <f>IFERROR(IF(ISNUMBER(Datos!C1668),Datos!C1668/$F$3*100,NA()),NA())</f>
        <v/>
      </c>
    </row>
    <row r="1669">
      <c r="A1669" s="7">
        <f>IFERROR(Datos!A1669,"")</f>
        <v/>
      </c>
      <c r="B1669" s="27">
        <f>IFERROR(IF(ISNUMBER(Datos!B1669),Datos!B1669/$F$2*100,NA()),NA())</f>
        <v/>
      </c>
      <c r="C1669" s="27">
        <f>IFERROR(IF(ISNUMBER(Datos!C1669),Datos!C1669/$F$3*100,NA()),NA())</f>
        <v/>
      </c>
    </row>
    <row r="1670">
      <c r="A1670" s="7">
        <f>IFERROR(Datos!A1670,"")</f>
        <v/>
      </c>
      <c r="B1670" s="27">
        <f>IFERROR(IF(ISNUMBER(Datos!B1670),Datos!B1670/$F$2*100,NA()),NA())</f>
        <v/>
      </c>
      <c r="C1670" s="27">
        <f>IFERROR(IF(ISNUMBER(Datos!C1670),Datos!C1670/$F$3*100,NA()),NA())</f>
        <v/>
      </c>
    </row>
    <row r="1671">
      <c r="A1671" s="7">
        <f>IFERROR(Datos!A1671,"")</f>
        <v/>
      </c>
      <c r="B1671" s="27">
        <f>IFERROR(IF(ISNUMBER(Datos!B1671),Datos!B1671/$F$2*100,NA()),NA())</f>
        <v/>
      </c>
      <c r="C1671" s="27">
        <f>IFERROR(IF(ISNUMBER(Datos!C1671),Datos!C1671/$F$3*100,NA()),NA())</f>
        <v/>
      </c>
    </row>
    <row r="1672">
      <c r="A1672" s="7">
        <f>IFERROR(Datos!A1672,"")</f>
        <v/>
      </c>
      <c r="B1672" s="27">
        <f>IFERROR(IF(ISNUMBER(Datos!B1672),Datos!B1672/$F$2*100,NA()),NA())</f>
        <v/>
      </c>
      <c r="C1672" s="27">
        <f>IFERROR(IF(ISNUMBER(Datos!C1672),Datos!C1672/$F$3*100,NA()),NA())</f>
        <v/>
      </c>
    </row>
    <row r="1673">
      <c r="A1673" s="7">
        <f>IFERROR(Datos!A1673,"")</f>
        <v/>
      </c>
      <c r="B1673" s="27">
        <f>IFERROR(IF(ISNUMBER(Datos!B1673),Datos!B1673/$F$2*100,NA()),NA())</f>
        <v/>
      </c>
      <c r="C1673" s="27">
        <f>IFERROR(IF(ISNUMBER(Datos!C1673),Datos!C1673/$F$3*100,NA()),NA())</f>
        <v/>
      </c>
    </row>
    <row r="1674">
      <c r="A1674" s="7">
        <f>IFERROR(Datos!A1674,"")</f>
        <v/>
      </c>
      <c r="B1674" s="27">
        <f>IFERROR(IF(ISNUMBER(Datos!B1674),Datos!B1674/$F$2*100,NA()),NA())</f>
        <v/>
      </c>
      <c r="C1674" s="27">
        <f>IFERROR(IF(ISNUMBER(Datos!C1674),Datos!C1674/$F$3*100,NA()),NA())</f>
        <v/>
      </c>
    </row>
    <row r="1675">
      <c r="A1675" s="7">
        <f>IFERROR(Datos!A1675,"")</f>
        <v/>
      </c>
      <c r="B1675" s="27">
        <f>IFERROR(IF(ISNUMBER(Datos!B1675),Datos!B1675/$F$2*100,NA()),NA())</f>
        <v/>
      </c>
      <c r="C1675" s="27">
        <f>IFERROR(IF(ISNUMBER(Datos!C1675),Datos!C1675/$F$3*100,NA()),NA())</f>
        <v/>
      </c>
    </row>
    <row r="1676">
      <c r="A1676" s="7">
        <f>IFERROR(Datos!A1676,"")</f>
        <v/>
      </c>
      <c r="B1676" s="27">
        <f>IFERROR(IF(ISNUMBER(Datos!B1676),Datos!B1676/$F$2*100,NA()),NA())</f>
        <v/>
      </c>
      <c r="C1676" s="27">
        <f>IFERROR(IF(ISNUMBER(Datos!C1676),Datos!C1676/$F$3*100,NA()),NA())</f>
        <v/>
      </c>
    </row>
    <row r="1677">
      <c r="A1677" s="7">
        <f>IFERROR(Datos!A1677,"")</f>
        <v/>
      </c>
      <c r="B1677" s="27">
        <f>IFERROR(IF(ISNUMBER(Datos!B1677),Datos!B1677/$F$2*100,NA()),NA())</f>
        <v/>
      </c>
      <c r="C1677" s="27">
        <f>IFERROR(IF(ISNUMBER(Datos!C1677),Datos!C1677/$F$3*100,NA()),NA())</f>
        <v/>
      </c>
    </row>
    <row r="1678">
      <c r="A1678" s="7">
        <f>IFERROR(Datos!A1678,"")</f>
        <v/>
      </c>
      <c r="B1678" s="27">
        <f>IFERROR(IF(ISNUMBER(Datos!B1678),Datos!B1678/$F$2*100,NA()),NA())</f>
        <v/>
      </c>
      <c r="C1678" s="27">
        <f>IFERROR(IF(ISNUMBER(Datos!C1678),Datos!C1678/$F$3*100,NA()),NA())</f>
        <v/>
      </c>
    </row>
    <row r="1679">
      <c r="A1679" s="7">
        <f>IFERROR(Datos!A1679,"")</f>
        <v/>
      </c>
      <c r="B1679" s="27">
        <f>IFERROR(IF(ISNUMBER(Datos!B1679),Datos!B1679/$F$2*100,NA()),NA())</f>
        <v/>
      </c>
      <c r="C1679" s="27">
        <f>IFERROR(IF(ISNUMBER(Datos!C1679),Datos!C1679/$F$3*100,NA()),NA())</f>
        <v/>
      </c>
    </row>
    <row r="1680">
      <c r="A1680" s="7">
        <f>IFERROR(Datos!A1680,"")</f>
        <v/>
      </c>
      <c r="B1680" s="27">
        <f>IFERROR(IF(ISNUMBER(Datos!B1680),Datos!B1680/$F$2*100,NA()),NA())</f>
        <v/>
      </c>
      <c r="C1680" s="27">
        <f>IFERROR(IF(ISNUMBER(Datos!C1680),Datos!C1680/$F$3*100,NA()),NA())</f>
        <v/>
      </c>
    </row>
    <row r="1681">
      <c r="A1681" s="7">
        <f>IFERROR(Datos!A1681,"")</f>
        <v/>
      </c>
      <c r="B1681" s="27">
        <f>IFERROR(IF(ISNUMBER(Datos!B1681),Datos!B1681/$F$2*100,NA()),NA())</f>
        <v/>
      </c>
      <c r="C1681" s="27">
        <f>IFERROR(IF(ISNUMBER(Datos!C1681),Datos!C1681/$F$3*100,NA()),NA())</f>
        <v/>
      </c>
    </row>
    <row r="1682">
      <c r="A1682" s="7">
        <f>IFERROR(Datos!A1682,"")</f>
        <v/>
      </c>
      <c r="B1682" s="27">
        <f>IFERROR(IF(ISNUMBER(Datos!B1682),Datos!B1682/$F$2*100,NA()),NA())</f>
        <v/>
      </c>
      <c r="C1682" s="27">
        <f>IFERROR(IF(ISNUMBER(Datos!C1682),Datos!C1682/$F$3*100,NA()),NA())</f>
        <v/>
      </c>
    </row>
    <row r="1683">
      <c r="A1683" s="7">
        <f>IFERROR(Datos!A1683,"")</f>
        <v/>
      </c>
      <c r="B1683" s="27">
        <f>IFERROR(IF(ISNUMBER(Datos!B1683),Datos!B1683/$F$2*100,NA()),NA())</f>
        <v/>
      </c>
      <c r="C1683" s="27">
        <f>IFERROR(IF(ISNUMBER(Datos!C1683),Datos!C1683/$F$3*100,NA()),NA())</f>
        <v/>
      </c>
    </row>
    <row r="1684">
      <c r="A1684" s="7">
        <f>IFERROR(Datos!A1684,"")</f>
        <v/>
      </c>
      <c r="B1684" s="27">
        <f>IFERROR(IF(ISNUMBER(Datos!B1684),Datos!B1684/$F$2*100,NA()),NA())</f>
        <v/>
      </c>
      <c r="C1684" s="27">
        <f>IFERROR(IF(ISNUMBER(Datos!C1684),Datos!C1684/$F$3*100,NA()),NA())</f>
        <v/>
      </c>
    </row>
    <row r="1685">
      <c r="A1685" s="7">
        <f>IFERROR(Datos!A1685,"")</f>
        <v/>
      </c>
      <c r="B1685" s="27">
        <f>IFERROR(IF(ISNUMBER(Datos!B1685),Datos!B1685/$F$2*100,NA()),NA())</f>
        <v/>
      </c>
      <c r="C1685" s="27">
        <f>IFERROR(IF(ISNUMBER(Datos!C1685),Datos!C1685/$F$3*100,NA()),NA())</f>
        <v/>
      </c>
    </row>
    <row r="1686">
      <c r="A1686" s="7">
        <f>IFERROR(Datos!A1686,"")</f>
        <v/>
      </c>
      <c r="B1686" s="27">
        <f>IFERROR(IF(ISNUMBER(Datos!B1686),Datos!B1686/$F$2*100,NA()),NA())</f>
        <v/>
      </c>
      <c r="C1686" s="27">
        <f>IFERROR(IF(ISNUMBER(Datos!C1686),Datos!C1686/$F$3*100,NA()),NA())</f>
        <v/>
      </c>
    </row>
    <row r="1687">
      <c r="A1687" s="7">
        <f>IFERROR(Datos!A1687,"")</f>
        <v/>
      </c>
      <c r="B1687" s="27">
        <f>IFERROR(IF(ISNUMBER(Datos!B1687),Datos!B1687/$F$2*100,NA()),NA())</f>
        <v/>
      </c>
      <c r="C1687" s="27">
        <f>IFERROR(IF(ISNUMBER(Datos!C1687),Datos!C1687/$F$3*100,NA()),NA())</f>
        <v/>
      </c>
    </row>
    <row r="1688">
      <c r="A1688" s="7">
        <f>IFERROR(Datos!A1688,"")</f>
        <v/>
      </c>
      <c r="B1688" s="27">
        <f>IFERROR(IF(ISNUMBER(Datos!B1688),Datos!B1688/$F$2*100,NA()),NA())</f>
        <v/>
      </c>
      <c r="C1688" s="27">
        <f>IFERROR(IF(ISNUMBER(Datos!C1688),Datos!C1688/$F$3*100,NA()),NA())</f>
        <v/>
      </c>
    </row>
    <row r="1689">
      <c r="A1689" s="7">
        <f>IFERROR(Datos!A1689,"")</f>
        <v/>
      </c>
      <c r="B1689" s="27">
        <f>IFERROR(IF(ISNUMBER(Datos!B1689),Datos!B1689/$F$2*100,NA()),NA())</f>
        <v/>
      </c>
      <c r="C1689" s="27">
        <f>IFERROR(IF(ISNUMBER(Datos!C1689),Datos!C1689/$F$3*100,NA()),NA())</f>
        <v/>
      </c>
    </row>
    <row r="1690">
      <c r="A1690" s="7">
        <f>IFERROR(Datos!A1690,"")</f>
        <v/>
      </c>
      <c r="B1690" s="27">
        <f>IFERROR(IF(ISNUMBER(Datos!B1690),Datos!B1690/$F$2*100,NA()),NA())</f>
        <v/>
      </c>
      <c r="C1690" s="27">
        <f>IFERROR(IF(ISNUMBER(Datos!C1690),Datos!C1690/$F$3*100,NA()),NA())</f>
        <v/>
      </c>
    </row>
    <row r="1691">
      <c r="A1691" s="7">
        <f>IFERROR(Datos!A1691,"")</f>
        <v/>
      </c>
      <c r="B1691" s="27">
        <f>IFERROR(IF(ISNUMBER(Datos!B1691),Datos!B1691/$F$2*100,NA()),NA())</f>
        <v/>
      </c>
      <c r="C1691" s="27">
        <f>IFERROR(IF(ISNUMBER(Datos!C1691),Datos!C1691/$F$3*100,NA()),NA())</f>
        <v/>
      </c>
    </row>
    <row r="1692">
      <c r="A1692" s="7">
        <f>IFERROR(Datos!A1692,"")</f>
        <v/>
      </c>
      <c r="B1692" s="27">
        <f>IFERROR(IF(ISNUMBER(Datos!B1692),Datos!B1692/$F$2*100,NA()),NA())</f>
        <v/>
      </c>
      <c r="C1692" s="27">
        <f>IFERROR(IF(ISNUMBER(Datos!C1692),Datos!C1692/$F$3*100,NA()),NA())</f>
        <v/>
      </c>
    </row>
    <row r="1693">
      <c r="A1693" s="7">
        <f>IFERROR(Datos!A1693,"")</f>
        <v/>
      </c>
      <c r="B1693" s="27">
        <f>IFERROR(IF(ISNUMBER(Datos!B1693),Datos!B1693/$F$2*100,NA()),NA())</f>
        <v/>
      </c>
      <c r="C1693" s="27">
        <f>IFERROR(IF(ISNUMBER(Datos!C1693),Datos!C1693/$F$3*100,NA()),NA())</f>
        <v/>
      </c>
    </row>
    <row r="1694">
      <c r="A1694" s="7">
        <f>IFERROR(Datos!A1694,"")</f>
        <v/>
      </c>
      <c r="B1694" s="27">
        <f>IFERROR(IF(ISNUMBER(Datos!B1694),Datos!B1694/$F$2*100,NA()),NA())</f>
        <v/>
      </c>
      <c r="C1694" s="27">
        <f>IFERROR(IF(ISNUMBER(Datos!C1694),Datos!C1694/$F$3*100,NA()),NA())</f>
        <v/>
      </c>
    </row>
    <row r="1695">
      <c r="A1695" s="7">
        <f>IFERROR(Datos!A1695,"")</f>
        <v/>
      </c>
      <c r="B1695" s="27">
        <f>IFERROR(IF(ISNUMBER(Datos!B1695),Datos!B1695/$F$2*100,NA()),NA())</f>
        <v/>
      </c>
      <c r="C1695" s="27">
        <f>IFERROR(IF(ISNUMBER(Datos!C1695),Datos!C1695/$F$3*100,NA()),NA())</f>
        <v/>
      </c>
    </row>
    <row r="1696">
      <c r="A1696" s="7">
        <f>IFERROR(Datos!A1696,"")</f>
        <v/>
      </c>
      <c r="B1696" s="27">
        <f>IFERROR(IF(ISNUMBER(Datos!B1696),Datos!B1696/$F$2*100,NA()),NA())</f>
        <v/>
      </c>
      <c r="C1696" s="27">
        <f>IFERROR(IF(ISNUMBER(Datos!C1696),Datos!C1696/$F$3*100,NA()),NA())</f>
        <v/>
      </c>
    </row>
    <row r="1697">
      <c r="A1697" s="7">
        <f>IFERROR(Datos!A1697,"")</f>
        <v/>
      </c>
      <c r="B1697" s="27">
        <f>IFERROR(IF(ISNUMBER(Datos!B1697),Datos!B1697/$F$2*100,NA()),NA())</f>
        <v/>
      </c>
      <c r="C1697" s="27">
        <f>IFERROR(IF(ISNUMBER(Datos!C1697),Datos!C1697/$F$3*100,NA()),NA())</f>
        <v/>
      </c>
    </row>
    <row r="1698">
      <c r="A1698" s="7">
        <f>IFERROR(Datos!A1698,"")</f>
        <v/>
      </c>
      <c r="B1698" s="27">
        <f>IFERROR(IF(ISNUMBER(Datos!B1698),Datos!B1698/$F$2*100,NA()),NA())</f>
        <v/>
      </c>
      <c r="C1698" s="27">
        <f>IFERROR(IF(ISNUMBER(Datos!C1698),Datos!C1698/$F$3*100,NA()),NA())</f>
        <v/>
      </c>
    </row>
    <row r="1699">
      <c r="A1699" s="7">
        <f>IFERROR(Datos!A1699,"")</f>
        <v/>
      </c>
      <c r="B1699" s="27">
        <f>IFERROR(IF(ISNUMBER(Datos!B1699),Datos!B1699/$F$2*100,NA()),NA())</f>
        <v/>
      </c>
      <c r="C1699" s="27">
        <f>IFERROR(IF(ISNUMBER(Datos!C1699),Datos!C1699/$F$3*100,NA()),NA())</f>
        <v/>
      </c>
    </row>
    <row r="1700">
      <c r="A1700" s="7">
        <f>IFERROR(Datos!A1700,"")</f>
        <v/>
      </c>
      <c r="B1700" s="27">
        <f>IFERROR(IF(ISNUMBER(Datos!B1700),Datos!B1700/$F$2*100,NA()),NA())</f>
        <v/>
      </c>
      <c r="C1700" s="27">
        <f>IFERROR(IF(ISNUMBER(Datos!C1700),Datos!C1700/$F$3*100,NA()),NA())</f>
        <v/>
      </c>
    </row>
    <row r="1701">
      <c r="A1701" s="7">
        <f>IFERROR(Datos!A1701,"")</f>
        <v/>
      </c>
      <c r="B1701" s="27">
        <f>IFERROR(IF(ISNUMBER(Datos!B1701),Datos!B1701/$F$2*100,NA()),NA())</f>
        <v/>
      </c>
      <c r="C1701" s="27">
        <f>IFERROR(IF(ISNUMBER(Datos!C1701),Datos!C1701/$F$3*100,NA()),NA())</f>
        <v/>
      </c>
    </row>
    <row r="1702">
      <c r="A1702" s="7">
        <f>IFERROR(Datos!A1702,"")</f>
        <v/>
      </c>
      <c r="B1702" s="27">
        <f>IFERROR(IF(ISNUMBER(Datos!B1702),Datos!B1702/$F$2*100,NA()),NA())</f>
        <v/>
      </c>
      <c r="C1702" s="27">
        <f>IFERROR(IF(ISNUMBER(Datos!C1702),Datos!C1702/$F$3*100,NA()),NA())</f>
        <v/>
      </c>
    </row>
    <row r="1703">
      <c r="A1703" s="7">
        <f>IFERROR(Datos!A1703,"")</f>
        <v/>
      </c>
      <c r="B1703" s="27">
        <f>IFERROR(IF(ISNUMBER(Datos!B1703),Datos!B1703/$F$2*100,NA()),NA())</f>
        <v/>
      </c>
      <c r="C1703" s="27">
        <f>IFERROR(IF(ISNUMBER(Datos!C1703),Datos!C1703/$F$3*100,NA()),NA())</f>
        <v/>
      </c>
    </row>
    <row r="1704">
      <c r="A1704" s="7">
        <f>IFERROR(Datos!A1704,"")</f>
        <v/>
      </c>
      <c r="B1704" s="27">
        <f>IFERROR(IF(ISNUMBER(Datos!B1704),Datos!B1704/$F$2*100,NA()),NA())</f>
        <v/>
      </c>
      <c r="C1704" s="27">
        <f>IFERROR(IF(ISNUMBER(Datos!C1704),Datos!C1704/$F$3*100,NA()),NA())</f>
        <v/>
      </c>
    </row>
    <row r="1705">
      <c r="A1705" s="7">
        <f>IFERROR(Datos!A1705,"")</f>
        <v/>
      </c>
      <c r="B1705" s="27">
        <f>IFERROR(IF(ISNUMBER(Datos!B1705),Datos!B1705/$F$2*100,NA()),NA())</f>
        <v/>
      </c>
      <c r="C1705" s="27">
        <f>IFERROR(IF(ISNUMBER(Datos!C1705),Datos!C1705/$F$3*100,NA()),NA())</f>
        <v/>
      </c>
    </row>
    <row r="1706">
      <c r="A1706" s="7">
        <f>IFERROR(Datos!A1706,"")</f>
        <v/>
      </c>
      <c r="B1706" s="27">
        <f>IFERROR(IF(ISNUMBER(Datos!B1706),Datos!B1706/$F$2*100,NA()),NA())</f>
        <v/>
      </c>
      <c r="C1706" s="27">
        <f>IFERROR(IF(ISNUMBER(Datos!C1706),Datos!C1706/$F$3*100,NA()),NA())</f>
        <v/>
      </c>
    </row>
    <row r="1707">
      <c r="A1707" s="7">
        <f>IFERROR(Datos!A1707,"")</f>
        <v/>
      </c>
      <c r="B1707" s="27">
        <f>IFERROR(IF(ISNUMBER(Datos!B1707),Datos!B1707/$F$2*100,NA()),NA())</f>
        <v/>
      </c>
      <c r="C1707" s="27">
        <f>IFERROR(IF(ISNUMBER(Datos!C1707),Datos!C1707/$F$3*100,NA()),NA())</f>
        <v/>
      </c>
    </row>
    <row r="1708">
      <c r="A1708" s="7">
        <f>IFERROR(Datos!A1708,"")</f>
        <v/>
      </c>
      <c r="B1708" s="27">
        <f>IFERROR(IF(ISNUMBER(Datos!B1708),Datos!B1708/$F$2*100,NA()),NA())</f>
        <v/>
      </c>
      <c r="C1708" s="27">
        <f>IFERROR(IF(ISNUMBER(Datos!C1708),Datos!C1708/$F$3*100,NA()),NA())</f>
        <v/>
      </c>
    </row>
    <row r="1709">
      <c r="A1709" s="7">
        <f>IFERROR(Datos!A1709,"")</f>
        <v/>
      </c>
      <c r="B1709" s="27">
        <f>IFERROR(IF(ISNUMBER(Datos!B1709),Datos!B1709/$F$2*100,NA()),NA())</f>
        <v/>
      </c>
      <c r="C1709" s="27">
        <f>IFERROR(IF(ISNUMBER(Datos!C1709),Datos!C1709/$F$3*100,NA()),NA())</f>
        <v/>
      </c>
    </row>
    <row r="1710">
      <c r="A1710" s="7">
        <f>IFERROR(Datos!A1710,"")</f>
        <v/>
      </c>
      <c r="B1710" s="27">
        <f>IFERROR(IF(ISNUMBER(Datos!B1710),Datos!B1710/$F$2*100,NA()),NA())</f>
        <v/>
      </c>
      <c r="C1710" s="27">
        <f>IFERROR(IF(ISNUMBER(Datos!C1710),Datos!C1710/$F$3*100,NA()),NA())</f>
        <v/>
      </c>
    </row>
    <row r="1711">
      <c r="A1711" s="7">
        <f>IFERROR(Datos!A1711,"")</f>
        <v/>
      </c>
      <c r="B1711" s="27">
        <f>IFERROR(IF(ISNUMBER(Datos!B1711),Datos!B1711/$F$2*100,NA()),NA())</f>
        <v/>
      </c>
      <c r="C1711" s="27">
        <f>IFERROR(IF(ISNUMBER(Datos!C1711),Datos!C1711/$F$3*100,NA()),NA())</f>
        <v/>
      </c>
    </row>
    <row r="1712">
      <c r="A1712" s="7">
        <f>IFERROR(Datos!A1712,"")</f>
        <v/>
      </c>
      <c r="B1712" s="27">
        <f>IFERROR(IF(ISNUMBER(Datos!B1712),Datos!B1712/$F$2*100,NA()),NA())</f>
        <v/>
      </c>
      <c r="C1712" s="27">
        <f>IFERROR(IF(ISNUMBER(Datos!C1712),Datos!C1712/$F$3*100,NA()),NA())</f>
        <v/>
      </c>
    </row>
    <row r="1713">
      <c r="A1713" s="7">
        <f>IFERROR(Datos!A1713,"")</f>
        <v/>
      </c>
      <c r="B1713" s="27">
        <f>IFERROR(IF(ISNUMBER(Datos!B1713),Datos!B1713/$F$2*100,NA()),NA())</f>
        <v/>
      </c>
      <c r="C1713" s="27">
        <f>IFERROR(IF(ISNUMBER(Datos!C1713),Datos!C1713/$F$3*100,NA()),NA())</f>
        <v/>
      </c>
    </row>
    <row r="1714">
      <c r="A1714" s="7">
        <f>IFERROR(Datos!A1714,"")</f>
        <v/>
      </c>
      <c r="B1714" s="27">
        <f>IFERROR(IF(ISNUMBER(Datos!B1714),Datos!B1714/$F$2*100,NA()),NA())</f>
        <v/>
      </c>
      <c r="C1714" s="27">
        <f>IFERROR(IF(ISNUMBER(Datos!C1714),Datos!C1714/$F$3*100,NA()),NA())</f>
        <v/>
      </c>
    </row>
    <row r="1715">
      <c r="A1715" s="7">
        <f>IFERROR(Datos!A1715,"")</f>
        <v/>
      </c>
      <c r="B1715" s="27">
        <f>IFERROR(IF(ISNUMBER(Datos!B1715),Datos!B1715/$F$2*100,NA()),NA())</f>
        <v/>
      </c>
      <c r="C1715" s="27">
        <f>IFERROR(IF(ISNUMBER(Datos!C1715),Datos!C1715/$F$3*100,NA()),NA())</f>
        <v/>
      </c>
    </row>
    <row r="1716">
      <c r="A1716" s="7">
        <f>IFERROR(Datos!A1716,"")</f>
        <v/>
      </c>
      <c r="B1716" s="27">
        <f>IFERROR(IF(ISNUMBER(Datos!B1716),Datos!B1716/$F$2*100,NA()),NA())</f>
        <v/>
      </c>
      <c r="C1716" s="27">
        <f>IFERROR(IF(ISNUMBER(Datos!C1716),Datos!C1716/$F$3*100,NA()),NA())</f>
        <v/>
      </c>
    </row>
    <row r="1717">
      <c r="A1717" s="7">
        <f>IFERROR(Datos!A1717,"")</f>
        <v/>
      </c>
      <c r="B1717" s="27">
        <f>IFERROR(IF(ISNUMBER(Datos!B1717),Datos!B1717/$F$2*100,NA()),NA())</f>
        <v/>
      </c>
      <c r="C1717" s="27">
        <f>IFERROR(IF(ISNUMBER(Datos!C1717),Datos!C1717/$F$3*100,NA()),NA())</f>
        <v/>
      </c>
    </row>
    <row r="1718">
      <c r="A1718" s="7">
        <f>IFERROR(Datos!A1718,"")</f>
        <v/>
      </c>
      <c r="B1718" s="27">
        <f>IFERROR(IF(ISNUMBER(Datos!B1718),Datos!B1718/$F$2*100,NA()),NA())</f>
        <v/>
      </c>
      <c r="C1718" s="27">
        <f>IFERROR(IF(ISNUMBER(Datos!C1718),Datos!C1718/$F$3*100,NA()),NA())</f>
        <v/>
      </c>
    </row>
    <row r="1719">
      <c r="A1719" s="7">
        <f>IFERROR(Datos!A1719,"")</f>
        <v/>
      </c>
      <c r="B1719" s="27">
        <f>IFERROR(IF(ISNUMBER(Datos!B1719),Datos!B1719/$F$2*100,NA()),NA())</f>
        <v/>
      </c>
      <c r="C1719" s="27">
        <f>IFERROR(IF(ISNUMBER(Datos!C1719),Datos!C1719/$F$3*100,NA()),NA())</f>
        <v/>
      </c>
    </row>
    <row r="1720">
      <c r="A1720" s="7">
        <f>IFERROR(Datos!A1720,"")</f>
        <v/>
      </c>
      <c r="B1720" s="27">
        <f>IFERROR(IF(ISNUMBER(Datos!B1720),Datos!B1720/$F$2*100,NA()),NA())</f>
        <v/>
      </c>
      <c r="C1720" s="27">
        <f>IFERROR(IF(ISNUMBER(Datos!C1720),Datos!C1720/$F$3*100,NA()),NA())</f>
        <v/>
      </c>
    </row>
    <row r="1721">
      <c r="A1721" s="7">
        <f>IFERROR(Datos!A1721,"")</f>
        <v/>
      </c>
      <c r="B1721" s="27">
        <f>IFERROR(IF(ISNUMBER(Datos!B1721),Datos!B1721/$F$2*100,NA()),NA())</f>
        <v/>
      </c>
      <c r="C1721" s="27">
        <f>IFERROR(IF(ISNUMBER(Datos!C1721),Datos!C1721/$F$3*100,NA()),NA())</f>
        <v/>
      </c>
    </row>
    <row r="1722">
      <c r="A1722" s="7">
        <f>IFERROR(Datos!A1722,"")</f>
        <v/>
      </c>
      <c r="B1722" s="27">
        <f>IFERROR(IF(ISNUMBER(Datos!B1722),Datos!B1722/$F$2*100,NA()),NA())</f>
        <v/>
      </c>
      <c r="C1722" s="27">
        <f>IFERROR(IF(ISNUMBER(Datos!C1722),Datos!C1722/$F$3*100,NA()),NA())</f>
        <v/>
      </c>
    </row>
    <row r="1723">
      <c r="A1723" s="7">
        <f>IFERROR(Datos!A1723,"")</f>
        <v/>
      </c>
      <c r="B1723" s="27">
        <f>IFERROR(IF(ISNUMBER(Datos!B1723),Datos!B1723/$F$2*100,NA()),NA())</f>
        <v/>
      </c>
      <c r="C1723" s="27">
        <f>IFERROR(IF(ISNUMBER(Datos!C1723),Datos!C1723/$F$3*100,NA()),NA())</f>
        <v/>
      </c>
    </row>
    <row r="1724">
      <c r="A1724" s="7">
        <f>IFERROR(Datos!A1724,"")</f>
        <v/>
      </c>
      <c r="B1724" s="27">
        <f>IFERROR(IF(ISNUMBER(Datos!B1724),Datos!B1724/$F$2*100,NA()),NA())</f>
        <v/>
      </c>
      <c r="C1724" s="27">
        <f>IFERROR(IF(ISNUMBER(Datos!C1724),Datos!C1724/$F$3*100,NA()),NA())</f>
        <v/>
      </c>
    </row>
    <row r="1725">
      <c r="A1725" s="7">
        <f>IFERROR(Datos!A1725,"")</f>
        <v/>
      </c>
      <c r="B1725" s="27">
        <f>IFERROR(IF(ISNUMBER(Datos!B1725),Datos!B1725/$F$2*100,NA()),NA())</f>
        <v/>
      </c>
      <c r="C1725" s="27">
        <f>IFERROR(IF(ISNUMBER(Datos!C1725),Datos!C1725/$F$3*100,NA()),NA())</f>
        <v/>
      </c>
    </row>
    <row r="1726">
      <c r="A1726" s="7">
        <f>IFERROR(Datos!A1726,"")</f>
        <v/>
      </c>
      <c r="B1726" s="27">
        <f>IFERROR(IF(ISNUMBER(Datos!B1726),Datos!B1726/$F$2*100,NA()),NA())</f>
        <v/>
      </c>
      <c r="C1726" s="27">
        <f>IFERROR(IF(ISNUMBER(Datos!C1726),Datos!C1726/$F$3*100,NA()),NA())</f>
        <v/>
      </c>
    </row>
    <row r="1727">
      <c r="A1727" s="7">
        <f>IFERROR(Datos!A1727,"")</f>
        <v/>
      </c>
      <c r="B1727" s="27">
        <f>IFERROR(IF(ISNUMBER(Datos!B1727),Datos!B1727/$F$2*100,NA()),NA())</f>
        <v/>
      </c>
      <c r="C1727" s="27">
        <f>IFERROR(IF(ISNUMBER(Datos!C1727),Datos!C1727/$F$3*100,NA()),NA())</f>
        <v/>
      </c>
    </row>
    <row r="1728">
      <c r="A1728" s="7">
        <f>IFERROR(Datos!A1728,"")</f>
        <v/>
      </c>
      <c r="B1728" s="27">
        <f>IFERROR(IF(ISNUMBER(Datos!B1728),Datos!B1728/$F$2*100,NA()),NA())</f>
        <v/>
      </c>
      <c r="C1728" s="27">
        <f>IFERROR(IF(ISNUMBER(Datos!C1728),Datos!C1728/$F$3*100,NA()),NA())</f>
        <v/>
      </c>
    </row>
    <row r="1729">
      <c r="A1729" s="7">
        <f>IFERROR(Datos!A1729,"")</f>
        <v/>
      </c>
      <c r="B1729" s="27">
        <f>IFERROR(IF(ISNUMBER(Datos!B1729),Datos!B1729/$F$2*100,NA()),NA())</f>
        <v/>
      </c>
      <c r="C1729" s="27">
        <f>IFERROR(IF(ISNUMBER(Datos!C1729),Datos!C1729/$F$3*100,NA()),NA())</f>
        <v/>
      </c>
    </row>
    <row r="1730">
      <c r="A1730" s="7">
        <f>IFERROR(Datos!A1730,"")</f>
        <v/>
      </c>
      <c r="B1730" s="27">
        <f>IFERROR(IF(ISNUMBER(Datos!B1730),Datos!B1730/$F$2*100,NA()),NA())</f>
        <v/>
      </c>
      <c r="C1730" s="27">
        <f>IFERROR(IF(ISNUMBER(Datos!C1730),Datos!C1730/$F$3*100,NA()),NA())</f>
        <v/>
      </c>
    </row>
    <row r="1731">
      <c r="A1731" s="7">
        <f>IFERROR(Datos!A1731,"")</f>
        <v/>
      </c>
      <c r="B1731" s="27">
        <f>IFERROR(IF(ISNUMBER(Datos!B1731),Datos!B1731/$F$2*100,NA()),NA())</f>
        <v/>
      </c>
      <c r="C1731" s="27">
        <f>IFERROR(IF(ISNUMBER(Datos!C1731),Datos!C1731/$F$3*100,NA()),NA())</f>
        <v/>
      </c>
    </row>
    <row r="1732">
      <c r="A1732" s="7">
        <f>IFERROR(Datos!A1732,"")</f>
        <v/>
      </c>
      <c r="B1732" s="27">
        <f>IFERROR(IF(ISNUMBER(Datos!B1732),Datos!B1732/$F$2*100,NA()),NA())</f>
        <v/>
      </c>
      <c r="C1732" s="27">
        <f>IFERROR(IF(ISNUMBER(Datos!C1732),Datos!C1732/$F$3*100,NA()),NA())</f>
        <v/>
      </c>
    </row>
    <row r="1733">
      <c r="A1733" s="7">
        <f>IFERROR(Datos!A1733,"")</f>
        <v/>
      </c>
      <c r="B1733" s="27">
        <f>IFERROR(IF(ISNUMBER(Datos!B1733),Datos!B1733/$F$2*100,NA()),NA())</f>
        <v/>
      </c>
      <c r="C1733" s="27">
        <f>IFERROR(IF(ISNUMBER(Datos!C1733),Datos!C1733/$F$3*100,NA()),NA())</f>
        <v/>
      </c>
    </row>
    <row r="1734">
      <c r="A1734" s="7">
        <f>IFERROR(Datos!A1734,"")</f>
        <v/>
      </c>
      <c r="B1734" s="27">
        <f>IFERROR(IF(ISNUMBER(Datos!B1734),Datos!B1734/$F$2*100,NA()),NA())</f>
        <v/>
      </c>
      <c r="C1734" s="27">
        <f>IFERROR(IF(ISNUMBER(Datos!C1734),Datos!C1734/$F$3*100,NA()),NA())</f>
        <v/>
      </c>
    </row>
    <row r="1735">
      <c r="A1735" s="7">
        <f>IFERROR(Datos!A1735,"")</f>
        <v/>
      </c>
      <c r="B1735" s="27">
        <f>IFERROR(IF(ISNUMBER(Datos!B1735),Datos!B1735/$F$2*100,NA()),NA())</f>
        <v/>
      </c>
      <c r="C1735" s="27">
        <f>IFERROR(IF(ISNUMBER(Datos!C1735),Datos!C1735/$F$3*100,NA()),NA())</f>
        <v/>
      </c>
    </row>
    <row r="1736">
      <c r="A1736" s="7">
        <f>IFERROR(Datos!A1736,"")</f>
        <v/>
      </c>
      <c r="B1736" s="27">
        <f>IFERROR(IF(ISNUMBER(Datos!B1736),Datos!B1736/$F$2*100,NA()),NA())</f>
        <v/>
      </c>
      <c r="C1736" s="27">
        <f>IFERROR(IF(ISNUMBER(Datos!C1736),Datos!C1736/$F$3*100,NA()),NA())</f>
        <v/>
      </c>
    </row>
    <row r="1737">
      <c r="A1737" s="7">
        <f>IFERROR(Datos!A1737,"")</f>
        <v/>
      </c>
      <c r="B1737" s="27">
        <f>IFERROR(IF(ISNUMBER(Datos!B1737),Datos!B1737/$F$2*100,NA()),NA())</f>
        <v/>
      </c>
      <c r="C1737" s="27">
        <f>IFERROR(IF(ISNUMBER(Datos!C1737),Datos!C1737/$F$3*100,NA()),NA())</f>
        <v/>
      </c>
    </row>
    <row r="1738">
      <c r="A1738" s="7">
        <f>IFERROR(Datos!A1738,"")</f>
        <v/>
      </c>
      <c r="B1738" s="27">
        <f>IFERROR(IF(ISNUMBER(Datos!B1738),Datos!B1738/$F$2*100,NA()),NA())</f>
        <v/>
      </c>
      <c r="C1738" s="27">
        <f>IFERROR(IF(ISNUMBER(Datos!C1738),Datos!C1738/$F$3*100,NA()),NA())</f>
        <v/>
      </c>
    </row>
    <row r="1739">
      <c r="A1739" s="7">
        <f>IFERROR(Datos!A1739,"")</f>
        <v/>
      </c>
      <c r="B1739" s="27">
        <f>IFERROR(IF(ISNUMBER(Datos!B1739),Datos!B1739/$F$2*100,NA()),NA())</f>
        <v/>
      </c>
      <c r="C1739" s="27">
        <f>IFERROR(IF(ISNUMBER(Datos!C1739),Datos!C1739/$F$3*100,NA()),NA())</f>
        <v/>
      </c>
    </row>
    <row r="1740">
      <c r="A1740" s="7">
        <f>IFERROR(Datos!A1740,"")</f>
        <v/>
      </c>
      <c r="B1740" s="27">
        <f>IFERROR(IF(ISNUMBER(Datos!B1740),Datos!B1740/$F$2*100,NA()),NA())</f>
        <v/>
      </c>
      <c r="C1740" s="27">
        <f>IFERROR(IF(ISNUMBER(Datos!C1740),Datos!C1740/$F$3*100,NA()),NA())</f>
        <v/>
      </c>
    </row>
    <row r="1741">
      <c r="A1741" s="7">
        <f>IFERROR(Datos!A1741,"")</f>
        <v/>
      </c>
      <c r="B1741" s="27">
        <f>IFERROR(IF(ISNUMBER(Datos!B1741),Datos!B1741/$F$2*100,NA()),NA())</f>
        <v/>
      </c>
      <c r="C1741" s="27">
        <f>IFERROR(IF(ISNUMBER(Datos!C1741),Datos!C1741/$F$3*100,NA()),NA())</f>
        <v/>
      </c>
    </row>
    <row r="1742">
      <c r="A1742" s="7">
        <f>IFERROR(Datos!A1742,"")</f>
        <v/>
      </c>
      <c r="B1742" s="27">
        <f>IFERROR(IF(ISNUMBER(Datos!B1742),Datos!B1742/$F$2*100,NA()),NA())</f>
        <v/>
      </c>
      <c r="C1742" s="27">
        <f>IFERROR(IF(ISNUMBER(Datos!C1742),Datos!C1742/$F$3*100,NA()),NA())</f>
        <v/>
      </c>
    </row>
    <row r="1743">
      <c r="A1743" s="7">
        <f>IFERROR(Datos!A1743,"")</f>
        <v/>
      </c>
      <c r="B1743" s="27">
        <f>IFERROR(IF(ISNUMBER(Datos!B1743),Datos!B1743/$F$2*100,NA()),NA())</f>
        <v/>
      </c>
      <c r="C1743" s="27">
        <f>IFERROR(IF(ISNUMBER(Datos!C1743),Datos!C1743/$F$3*100,NA()),NA())</f>
        <v/>
      </c>
    </row>
    <row r="1744">
      <c r="A1744" s="7">
        <f>IFERROR(Datos!A1744,"")</f>
        <v/>
      </c>
      <c r="B1744" s="27">
        <f>IFERROR(IF(ISNUMBER(Datos!B1744),Datos!B1744/$F$2*100,NA()),NA())</f>
        <v/>
      </c>
      <c r="C1744" s="27">
        <f>IFERROR(IF(ISNUMBER(Datos!C1744),Datos!C1744/$F$3*100,NA()),NA())</f>
        <v/>
      </c>
    </row>
    <row r="1745">
      <c r="A1745" s="7">
        <f>IFERROR(Datos!A1745,"")</f>
        <v/>
      </c>
      <c r="B1745" s="27">
        <f>IFERROR(IF(ISNUMBER(Datos!B1745),Datos!B1745/$F$2*100,NA()),NA())</f>
        <v/>
      </c>
      <c r="C1745" s="27">
        <f>IFERROR(IF(ISNUMBER(Datos!C1745),Datos!C1745/$F$3*100,NA()),NA())</f>
        <v/>
      </c>
    </row>
    <row r="1746">
      <c r="A1746" s="7">
        <f>IFERROR(Datos!A1746,"")</f>
        <v/>
      </c>
      <c r="B1746" s="27">
        <f>IFERROR(IF(ISNUMBER(Datos!B1746),Datos!B1746/$F$2*100,NA()),NA())</f>
        <v/>
      </c>
      <c r="C1746" s="27">
        <f>IFERROR(IF(ISNUMBER(Datos!C1746),Datos!C1746/$F$3*100,NA()),NA())</f>
        <v/>
      </c>
    </row>
    <row r="1747">
      <c r="A1747" s="7">
        <f>IFERROR(Datos!A1747,"")</f>
        <v/>
      </c>
      <c r="B1747" s="27">
        <f>IFERROR(IF(ISNUMBER(Datos!B1747),Datos!B1747/$F$2*100,NA()),NA())</f>
        <v/>
      </c>
      <c r="C1747" s="27">
        <f>IFERROR(IF(ISNUMBER(Datos!C1747),Datos!C1747/$F$3*100,NA()),NA())</f>
        <v/>
      </c>
    </row>
    <row r="1748">
      <c r="A1748" s="7">
        <f>IFERROR(Datos!A1748,"")</f>
        <v/>
      </c>
      <c r="B1748" s="27">
        <f>IFERROR(IF(ISNUMBER(Datos!B1748),Datos!B1748/$F$2*100,NA()),NA())</f>
        <v/>
      </c>
      <c r="C1748" s="27">
        <f>IFERROR(IF(ISNUMBER(Datos!C1748),Datos!C1748/$F$3*100,NA()),NA())</f>
        <v/>
      </c>
    </row>
    <row r="1749">
      <c r="A1749" s="7">
        <f>IFERROR(Datos!A1749,"")</f>
        <v/>
      </c>
      <c r="B1749" s="27">
        <f>IFERROR(IF(ISNUMBER(Datos!B1749),Datos!B1749/$F$2*100,NA()),NA())</f>
        <v/>
      </c>
      <c r="C1749" s="27">
        <f>IFERROR(IF(ISNUMBER(Datos!C1749),Datos!C1749/$F$3*100,NA()),NA())</f>
        <v/>
      </c>
    </row>
    <row r="1750">
      <c r="A1750" s="7">
        <f>IFERROR(Datos!A1750,"")</f>
        <v/>
      </c>
      <c r="B1750" s="27">
        <f>IFERROR(IF(ISNUMBER(Datos!B1750),Datos!B1750/$F$2*100,NA()),NA())</f>
        <v/>
      </c>
      <c r="C1750" s="27">
        <f>IFERROR(IF(ISNUMBER(Datos!C1750),Datos!C1750/$F$3*100,NA()),NA())</f>
        <v/>
      </c>
    </row>
    <row r="1751">
      <c r="A1751" s="7">
        <f>IFERROR(Datos!A1751,"")</f>
        <v/>
      </c>
      <c r="B1751" s="27">
        <f>IFERROR(IF(ISNUMBER(Datos!B1751),Datos!B1751/$F$2*100,NA()),NA())</f>
        <v/>
      </c>
      <c r="C1751" s="27">
        <f>IFERROR(IF(ISNUMBER(Datos!C1751),Datos!C1751/$F$3*100,NA()),NA())</f>
        <v/>
      </c>
    </row>
    <row r="1752">
      <c r="A1752" s="7">
        <f>IFERROR(Datos!A1752,"")</f>
        <v/>
      </c>
      <c r="B1752" s="27">
        <f>IFERROR(IF(ISNUMBER(Datos!B1752),Datos!B1752/$F$2*100,NA()),NA())</f>
        <v/>
      </c>
      <c r="C1752" s="27">
        <f>IFERROR(IF(ISNUMBER(Datos!C1752),Datos!C1752/$F$3*100,NA()),NA())</f>
        <v/>
      </c>
    </row>
    <row r="1753">
      <c r="A1753" s="7">
        <f>IFERROR(Datos!A1753,"")</f>
        <v/>
      </c>
      <c r="B1753" s="27">
        <f>IFERROR(IF(ISNUMBER(Datos!B1753),Datos!B1753/$F$2*100,NA()),NA())</f>
        <v/>
      </c>
      <c r="C1753" s="27">
        <f>IFERROR(IF(ISNUMBER(Datos!C1753),Datos!C1753/$F$3*100,NA()),NA())</f>
        <v/>
      </c>
    </row>
    <row r="1754">
      <c r="A1754" s="7">
        <f>IFERROR(Datos!A1754,"")</f>
        <v/>
      </c>
      <c r="B1754" s="27">
        <f>IFERROR(IF(ISNUMBER(Datos!B1754),Datos!B1754/$F$2*100,NA()),NA())</f>
        <v/>
      </c>
      <c r="C1754" s="27">
        <f>IFERROR(IF(ISNUMBER(Datos!C1754),Datos!C1754/$F$3*100,NA()),NA())</f>
        <v/>
      </c>
    </row>
    <row r="1755">
      <c r="A1755" s="7">
        <f>IFERROR(Datos!A1755,"")</f>
        <v/>
      </c>
      <c r="B1755" s="27">
        <f>IFERROR(IF(ISNUMBER(Datos!B1755),Datos!B1755/$F$2*100,NA()),NA())</f>
        <v/>
      </c>
      <c r="C1755" s="27">
        <f>IFERROR(IF(ISNUMBER(Datos!C1755),Datos!C1755/$F$3*100,NA()),NA())</f>
        <v/>
      </c>
    </row>
    <row r="1756">
      <c r="A1756" s="7">
        <f>IFERROR(Datos!A1756,"")</f>
        <v/>
      </c>
      <c r="B1756" s="27">
        <f>IFERROR(IF(ISNUMBER(Datos!B1756),Datos!B1756/$F$2*100,NA()),NA())</f>
        <v/>
      </c>
      <c r="C1756" s="27">
        <f>IFERROR(IF(ISNUMBER(Datos!C1756),Datos!C1756/$F$3*100,NA()),NA())</f>
        <v/>
      </c>
    </row>
    <row r="1757">
      <c r="A1757" s="7">
        <f>IFERROR(Datos!A1757,"")</f>
        <v/>
      </c>
      <c r="B1757" s="27">
        <f>IFERROR(IF(ISNUMBER(Datos!B1757),Datos!B1757/$F$2*100,NA()),NA())</f>
        <v/>
      </c>
      <c r="C1757" s="27">
        <f>IFERROR(IF(ISNUMBER(Datos!C1757),Datos!C1757/$F$3*100,NA()),NA())</f>
        <v/>
      </c>
    </row>
    <row r="1758">
      <c r="A1758" s="7">
        <f>IFERROR(Datos!A1758,"")</f>
        <v/>
      </c>
      <c r="B1758" s="27">
        <f>IFERROR(IF(ISNUMBER(Datos!B1758),Datos!B1758/$F$2*100,NA()),NA())</f>
        <v/>
      </c>
      <c r="C1758" s="27">
        <f>IFERROR(IF(ISNUMBER(Datos!C1758),Datos!C1758/$F$3*100,NA()),NA())</f>
        <v/>
      </c>
    </row>
    <row r="1759">
      <c r="A1759" s="7">
        <f>IFERROR(Datos!A1759,"")</f>
        <v/>
      </c>
      <c r="B1759" s="27">
        <f>IFERROR(IF(ISNUMBER(Datos!B1759),Datos!B1759/$F$2*100,NA()),NA())</f>
        <v/>
      </c>
      <c r="C1759" s="27">
        <f>IFERROR(IF(ISNUMBER(Datos!C1759),Datos!C1759/$F$3*100,NA()),NA())</f>
        <v/>
      </c>
    </row>
    <row r="1760">
      <c r="A1760" s="7">
        <f>IFERROR(Datos!A1760,"")</f>
        <v/>
      </c>
      <c r="B1760" s="27">
        <f>IFERROR(IF(ISNUMBER(Datos!B1760),Datos!B1760/$F$2*100,NA()),NA())</f>
        <v/>
      </c>
      <c r="C1760" s="27">
        <f>IFERROR(IF(ISNUMBER(Datos!C1760),Datos!C1760/$F$3*100,NA()),NA())</f>
        <v/>
      </c>
    </row>
    <row r="1761">
      <c r="A1761" s="7">
        <f>IFERROR(Datos!A1761,"")</f>
        <v/>
      </c>
      <c r="B1761" s="27">
        <f>IFERROR(IF(ISNUMBER(Datos!B1761),Datos!B1761/$F$2*100,NA()),NA())</f>
        <v/>
      </c>
      <c r="C1761" s="27">
        <f>IFERROR(IF(ISNUMBER(Datos!C1761),Datos!C1761/$F$3*100,NA()),NA())</f>
        <v/>
      </c>
    </row>
    <row r="1762">
      <c r="A1762" s="7">
        <f>IFERROR(Datos!A1762,"")</f>
        <v/>
      </c>
      <c r="B1762" s="27">
        <f>IFERROR(IF(ISNUMBER(Datos!B1762),Datos!B1762/$F$2*100,NA()),NA())</f>
        <v/>
      </c>
      <c r="C1762" s="27">
        <f>IFERROR(IF(ISNUMBER(Datos!C1762),Datos!C1762/$F$3*100,NA()),NA())</f>
        <v/>
      </c>
    </row>
    <row r="1763">
      <c r="A1763" s="7">
        <f>IFERROR(Datos!A1763,"")</f>
        <v/>
      </c>
      <c r="B1763" s="27">
        <f>IFERROR(IF(ISNUMBER(Datos!B1763),Datos!B1763/$F$2*100,NA()),NA())</f>
        <v/>
      </c>
      <c r="C1763" s="27">
        <f>IFERROR(IF(ISNUMBER(Datos!C1763),Datos!C1763/$F$3*100,NA()),NA())</f>
        <v/>
      </c>
    </row>
    <row r="1764">
      <c r="A1764" s="7">
        <f>IFERROR(Datos!A1764,"")</f>
        <v/>
      </c>
      <c r="B1764" s="27">
        <f>IFERROR(IF(ISNUMBER(Datos!B1764),Datos!B1764/$F$2*100,NA()),NA())</f>
        <v/>
      </c>
      <c r="C1764" s="27">
        <f>IFERROR(IF(ISNUMBER(Datos!C1764),Datos!C1764/$F$3*100,NA()),NA())</f>
        <v/>
      </c>
    </row>
    <row r="1765">
      <c r="A1765" s="7">
        <f>IFERROR(Datos!A1765,"")</f>
        <v/>
      </c>
      <c r="B1765" s="27">
        <f>IFERROR(IF(ISNUMBER(Datos!B1765),Datos!B1765/$F$2*100,NA()),NA())</f>
        <v/>
      </c>
      <c r="C1765" s="27">
        <f>IFERROR(IF(ISNUMBER(Datos!C1765),Datos!C1765/$F$3*100,NA()),NA())</f>
        <v/>
      </c>
    </row>
    <row r="1766">
      <c r="A1766" s="7">
        <f>IFERROR(Datos!A1766,"")</f>
        <v/>
      </c>
      <c r="B1766" s="27">
        <f>IFERROR(IF(ISNUMBER(Datos!B1766),Datos!B1766/$F$2*100,NA()),NA())</f>
        <v/>
      </c>
      <c r="C1766" s="27">
        <f>IFERROR(IF(ISNUMBER(Datos!C1766),Datos!C1766/$F$3*100,NA()),NA())</f>
        <v/>
      </c>
    </row>
    <row r="1767">
      <c r="A1767" s="7">
        <f>IFERROR(Datos!A1767,"")</f>
        <v/>
      </c>
      <c r="B1767" s="27">
        <f>IFERROR(IF(ISNUMBER(Datos!B1767),Datos!B1767/$F$2*100,NA()),NA())</f>
        <v/>
      </c>
      <c r="C1767" s="27">
        <f>IFERROR(IF(ISNUMBER(Datos!C1767),Datos!C1767/$F$3*100,NA()),NA())</f>
        <v/>
      </c>
    </row>
    <row r="1768">
      <c r="A1768" s="7">
        <f>IFERROR(Datos!A1768,"")</f>
        <v/>
      </c>
      <c r="B1768" s="27">
        <f>IFERROR(IF(ISNUMBER(Datos!B1768),Datos!B1768/$F$2*100,NA()),NA())</f>
        <v/>
      </c>
      <c r="C1768" s="27">
        <f>IFERROR(IF(ISNUMBER(Datos!C1768),Datos!C1768/$F$3*100,NA()),NA())</f>
        <v/>
      </c>
    </row>
    <row r="1769">
      <c r="A1769" s="7">
        <f>IFERROR(Datos!A1769,"")</f>
        <v/>
      </c>
      <c r="B1769" s="27">
        <f>IFERROR(IF(ISNUMBER(Datos!B1769),Datos!B1769/$F$2*100,NA()),NA())</f>
        <v/>
      </c>
      <c r="C1769" s="27">
        <f>IFERROR(IF(ISNUMBER(Datos!C1769),Datos!C1769/$F$3*100,NA()),NA())</f>
        <v/>
      </c>
    </row>
    <row r="1770">
      <c r="A1770" s="7">
        <f>IFERROR(Datos!A1770,"")</f>
        <v/>
      </c>
      <c r="B1770" s="27">
        <f>IFERROR(IF(ISNUMBER(Datos!B1770),Datos!B1770/$F$2*100,NA()),NA())</f>
        <v/>
      </c>
      <c r="C1770" s="27">
        <f>IFERROR(IF(ISNUMBER(Datos!C1770),Datos!C1770/$F$3*100,NA()),NA())</f>
        <v/>
      </c>
    </row>
    <row r="1771">
      <c r="A1771" s="7">
        <f>IFERROR(Datos!A1771,"")</f>
        <v/>
      </c>
      <c r="B1771" s="27">
        <f>IFERROR(IF(ISNUMBER(Datos!B1771),Datos!B1771/$F$2*100,NA()),NA())</f>
        <v/>
      </c>
      <c r="C1771" s="27">
        <f>IFERROR(IF(ISNUMBER(Datos!C1771),Datos!C1771/$F$3*100,NA()),NA())</f>
        <v/>
      </c>
    </row>
    <row r="1772">
      <c r="A1772" s="7">
        <f>IFERROR(Datos!A1772,"")</f>
        <v/>
      </c>
      <c r="B1772" s="27">
        <f>IFERROR(IF(ISNUMBER(Datos!B1772),Datos!B1772/$F$2*100,NA()),NA())</f>
        <v/>
      </c>
      <c r="C1772" s="27">
        <f>IFERROR(IF(ISNUMBER(Datos!C1772),Datos!C1772/$F$3*100,NA()),NA())</f>
        <v/>
      </c>
    </row>
    <row r="1773">
      <c r="A1773" s="7">
        <f>IFERROR(Datos!A1773,"")</f>
        <v/>
      </c>
      <c r="B1773" s="27">
        <f>IFERROR(IF(ISNUMBER(Datos!B1773),Datos!B1773/$F$2*100,NA()),NA())</f>
        <v/>
      </c>
      <c r="C1773" s="27">
        <f>IFERROR(IF(ISNUMBER(Datos!C1773),Datos!C1773/$F$3*100,NA()),NA())</f>
        <v/>
      </c>
    </row>
    <row r="1774">
      <c r="A1774" s="7">
        <f>IFERROR(Datos!A1774,"")</f>
        <v/>
      </c>
      <c r="B1774" s="27">
        <f>IFERROR(IF(ISNUMBER(Datos!B1774),Datos!B1774/$F$2*100,NA()),NA())</f>
        <v/>
      </c>
      <c r="C1774" s="27">
        <f>IFERROR(IF(ISNUMBER(Datos!C1774),Datos!C1774/$F$3*100,NA()),NA())</f>
        <v/>
      </c>
    </row>
    <row r="1775">
      <c r="A1775" s="7">
        <f>IFERROR(Datos!A1775,"")</f>
        <v/>
      </c>
      <c r="B1775" s="27">
        <f>IFERROR(IF(ISNUMBER(Datos!B1775),Datos!B1775/$F$2*100,NA()),NA())</f>
        <v/>
      </c>
      <c r="C1775" s="27">
        <f>IFERROR(IF(ISNUMBER(Datos!C1775),Datos!C1775/$F$3*100,NA()),NA())</f>
        <v/>
      </c>
    </row>
    <row r="1776">
      <c r="A1776" s="7">
        <f>IFERROR(Datos!A1776,"")</f>
        <v/>
      </c>
      <c r="B1776" s="27">
        <f>IFERROR(IF(ISNUMBER(Datos!B1776),Datos!B1776/$F$2*100,NA()),NA())</f>
        <v/>
      </c>
      <c r="C1776" s="27">
        <f>IFERROR(IF(ISNUMBER(Datos!C1776),Datos!C1776/$F$3*100,NA()),NA())</f>
        <v/>
      </c>
    </row>
    <row r="1777">
      <c r="A1777" s="7">
        <f>IFERROR(Datos!A1777,"")</f>
        <v/>
      </c>
      <c r="B1777" s="27">
        <f>IFERROR(IF(ISNUMBER(Datos!B1777),Datos!B1777/$F$2*100,NA()),NA())</f>
        <v/>
      </c>
      <c r="C1777" s="27">
        <f>IFERROR(IF(ISNUMBER(Datos!C1777),Datos!C1777/$F$3*100,NA()),NA())</f>
        <v/>
      </c>
    </row>
    <row r="1778">
      <c r="A1778" s="7">
        <f>IFERROR(Datos!A1778,"")</f>
        <v/>
      </c>
      <c r="B1778" s="27">
        <f>IFERROR(IF(ISNUMBER(Datos!B1778),Datos!B1778/$F$2*100,NA()),NA())</f>
        <v/>
      </c>
      <c r="C1778" s="27">
        <f>IFERROR(IF(ISNUMBER(Datos!C1778),Datos!C1778/$F$3*100,NA()),NA())</f>
        <v/>
      </c>
    </row>
    <row r="1779">
      <c r="A1779" s="7">
        <f>IFERROR(Datos!A1779,"")</f>
        <v/>
      </c>
      <c r="B1779" s="27">
        <f>IFERROR(IF(ISNUMBER(Datos!B1779),Datos!B1779/$F$2*100,NA()),NA())</f>
        <v/>
      </c>
      <c r="C1779" s="27">
        <f>IFERROR(IF(ISNUMBER(Datos!C1779),Datos!C1779/$F$3*100,NA()),NA())</f>
        <v/>
      </c>
    </row>
    <row r="1780">
      <c r="A1780" s="7">
        <f>IFERROR(Datos!A1780,"")</f>
        <v/>
      </c>
      <c r="B1780" s="27">
        <f>IFERROR(IF(ISNUMBER(Datos!B1780),Datos!B1780/$F$2*100,NA()),NA())</f>
        <v/>
      </c>
      <c r="C1780" s="27">
        <f>IFERROR(IF(ISNUMBER(Datos!C1780),Datos!C1780/$F$3*100,NA()),NA())</f>
        <v/>
      </c>
    </row>
    <row r="1781">
      <c r="A1781" s="7">
        <f>IFERROR(Datos!A1781,"")</f>
        <v/>
      </c>
      <c r="B1781" s="27">
        <f>IFERROR(IF(ISNUMBER(Datos!B1781),Datos!B1781/$F$2*100,NA()),NA())</f>
        <v/>
      </c>
      <c r="C1781" s="27">
        <f>IFERROR(IF(ISNUMBER(Datos!C1781),Datos!C1781/$F$3*100,NA()),NA())</f>
        <v/>
      </c>
    </row>
    <row r="1782">
      <c r="A1782" s="7">
        <f>IFERROR(Datos!A1782,"")</f>
        <v/>
      </c>
      <c r="B1782" s="27">
        <f>IFERROR(IF(ISNUMBER(Datos!B1782),Datos!B1782/$F$2*100,NA()),NA())</f>
        <v/>
      </c>
      <c r="C1782" s="27">
        <f>IFERROR(IF(ISNUMBER(Datos!C1782),Datos!C1782/$F$3*100,NA()),NA())</f>
        <v/>
      </c>
    </row>
    <row r="1783">
      <c r="A1783" s="7">
        <f>IFERROR(Datos!A1783,"")</f>
        <v/>
      </c>
      <c r="B1783" s="27">
        <f>IFERROR(IF(ISNUMBER(Datos!B1783),Datos!B1783/$F$2*100,NA()),NA())</f>
        <v/>
      </c>
      <c r="C1783" s="27">
        <f>IFERROR(IF(ISNUMBER(Datos!C1783),Datos!C1783/$F$3*100,NA()),NA())</f>
        <v/>
      </c>
    </row>
    <row r="1784">
      <c r="A1784" s="7">
        <f>IFERROR(Datos!A1784,"")</f>
        <v/>
      </c>
      <c r="B1784" s="27">
        <f>IFERROR(IF(ISNUMBER(Datos!B1784),Datos!B1784/$F$2*100,NA()),NA())</f>
        <v/>
      </c>
      <c r="C1784" s="27">
        <f>IFERROR(IF(ISNUMBER(Datos!C1784),Datos!C1784/$F$3*100,NA()),NA())</f>
        <v/>
      </c>
    </row>
    <row r="1785">
      <c r="A1785" s="7">
        <f>IFERROR(Datos!A1785,"")</f>
        <v/>
      </c>
      <c r="B1785" s="27">
        <f>IFERROR(IF(ISNUMBER(Datos!B1785),Datos!B1785/$F$2*100,NA()),NA())</f>
        <v/>
      </c>
      <c r="C1785" s="27">
        <f>IFERROR(IF(ISNUMBER(Datos!C1785),Datos!C1785/$F$3*100,NA()),NA())</f>
        <v/>
      </c>
    </row>
    <row r="1786">
      <c r="A1786" s="7">
        <f>IFERROR(Datos!A1786,"")</f>
        <v/>
      </c>
      <c r="B1786" s="27">
        <f>IFERROR(IF(ISNUMBER(Datos!B1786),Datos!B1786/$F$2*100,NA()),NA())</f>
        <v/>
      </c>
      <c r="C1786" s="27">
        <f>IFERROR(IF(ISNUMBER(Datos!C1786),Datos!C1786/$F$3*100,NA()),NA())</f>
        <v/>
      </c>
    </row>
    <row r="1787">
      <c r="A1787" s="7">
        <f>IFERROR(Datos!A1787,"")</f>
        <v/>
      </c>
      <c r="B1787" s="27">
        <f>IFERROR(IF(ISNUMBER(Datos!B1787),Datos!B1787/$F$2*100,NA()),NA())</f>
        <v/>
      </c>
      <c r="C1787" s="27">
        <f>IFERROR(IF(ISNUMBER(Datos!C1787),Datos!C1787/$F$3*100,NA()),NA())</f>
        <v/>
      </c>
    </row>
    <row r="1788">
      <c r="A1788" s="7">
        <f>IFERROR(Datos!A1788,"")</f>
        <v/>
      </c>
      <c r="B1788" s="27">
        <f>IFERROR(IF(ISNUMBER(Datos!B1788),Datos!B1788/$F$2*100,NA()),NA())</f>
        <v/>
      </c>
      <c r="C1788" s="27">
        <f>IFERROR(IF(ISNUMBER(Datos!C1788),Datos!C1788/$F$3*100,NA()),NA())</f>
        <v/>
      </c>
    </row>
    <row r="1789">
      <c r="A1789" s="7">
        <f>IFERROR(Datos!A1789,"")</f>
        <v/>
      </c>
      <c r="B1789" s="27">
        <f>IFERROR(IF(ISNUMBER(Datos!B1789),Datos!B1789/$F$2*100,NA()),NA())</f>
        <v/>
      </c>
      <c r="C1789" s="27">
        <f>IFERROR(IF(ISNUMBER(Datos!C1789),Datos!C1789/$F$3*100,NA()),NA())</f>
        <v/>
      </c>
    </row>
    <row r="1790">
      <c r="A1790" s="7">
        <f>IFERROR(Datos!A1790,"")</f>
        <v/>
      </c>
      <c r="B1790" s="27">
        <f>IFERROR(IF(ISNUMBER(Datos!B1790),Datos!B1790/$F$2*100,NA()),NA())</f>
        <v/>
      </c>
      <c r="C1790" s="27">
        <f>IFERROR(IF(ISNUMBER(Datos!C1790),Datos!C1790/$F$3*100,NA()),NA())</f>
        <v/>
      </c>
    </row>
    <row r="1791">
      <c r="A1791" s="7">
        <f>IFERROR(Datos!A1791,"")</f>
        <v/>
      </c>
      <c r="B1791" s="27">
        <f>IFERROR(IF(ISNUMBER(Datos!B1791),Datos!B1791/$F$2*100,NA()),NA())</f>
        <v/>
      </c>
      <c r="C1791" s="27">
        <f>IFERROR(IF(ISNUMBER(Datos!C1791),Datos!C1791/$F$3*100,NA()),NA())</f>
        <v/>
      </c>
    </row>
    <row r="1792">
      <c r="A1792" s="7">
        <f>IFERROR(Datos!A1792,"")</f>
        <v/>
      </c>
      <c r="B1792" s="27">
        <f>IFERROR(IF(ISNUMBER(Datos!B1792),Datos!B1792/$F$2*100,NA()),NA())</f>
        <v/>
      </c>
      <c r="C1792" s="27">
        <f>IFERROR(IF(ISNUMBER(Datos!C1792),Datos!C1792/$F$3*100,NA()),NA())</f>
        <v/>
      </c>
    </row>
    <row r="1793">
      <c r="A1793" s="7">
        <f>IFERROR(Datos!A1793,"")</f>
        <v/>
      </c>
      <c r="B1793" s="27">
        <f>IFERROR(IF(ISNUMBER(Datos!B1793),Datos!B1793/$F$2*100,NA()),NA())</f>
        <v/>
      </c>
      <c r="C1793" s="27">
        <f>IFERROR(IF(ISNUMBER(Datos!C1793),Datos!C1793/$F$3*100,NA()),NA())</f>
        <v/>
      </c>
    </row>
    <row r="1794">
      <c r="A1794" s="7">
        <f>IFERROR(Datos!A1794,"")</f>
        <v/>
      </c>
      <c r="B1794" s="27">
        <f>IFERROR(IF(ISNUMBER(Datos!B1794),Datos!B1794/$F$2*100,NA()),NA())</f>
        <v/>
      </c>
      <c r="C1794" s="27">
        <f>IFERROR(IF(ISNUMBER(Datos!C1794),Datos!C1794/$F$3*100,NA()),NA())</f>
        <v/>
      </c>
    </row>
    <row r="1795">
      <c r="A1795" s="7">
        <f>IFERROR(Datos!A1795,"")</f>
        <v/>
      </c>
      <c r="B1795" s="27">
        <f>IFERROR(IF(ISNUMBER(Datos!B1795),Datos!B1795/$F$2*100,NA()),NA())</f>
        <v/>
      </c>
      <c r="C1795" s="27">
        <f>IFERROR(IF(ISNUMBER(Datos!C1795),Datos!C1795/$F$3*100,NA()),NA())</f>
        <v/>
      </c>
    </row>
    <row r="1796">
      <c r="A1796" s="7">
        <f>IFERROR(Datos!A1796,"")</f>
        <v/>
      </c>
      <c r="B1796" s="27">
        <f>IFERROR(IF(ISNUMBER(Datos!B1796),Datos!B1796/$F$2*100,NA()),NA())</f>
        <v/>
      </c>
      <c r="C1796" s="27">
        <f>IFERROR(IF(ISNUMBER(Datos!C1796),Datos!C1796/$F$3*100,NA()),NA())</f>
        <v/>
      </c>
    </row>
    <row r="1797">
      <c r="A1797" s="7">
        <f>IFERROR(Datos!A1797,"")</f>
        <v/>
      </c>
      <c r="B1797" s="27">
        <f>IFERROR(IF(ISNUMBER(Datos!B1797),Datos!B1797/$F$2*100,NA()),NA())</f>
        <v/>
      </c>
      <c r="C1797" s="27">
        <f>IFERROR(IF(ISNUMBER(Datos!C1797),Datos!C1797/$F$3*100,NA()),NA())</f>
        <v/>
      </c>
    </row>
    <row r="1798">
      <c r="A1798" s="7">
        <f>IFERROR(Datos!A1798,"")</f>
        <v/>
      </c>
      <c r="B1798" s="27">
        <f>IFERROR(IF(ISNUMBER(Datos!B1798),Datos!B1798/$F$2*100,NA()),NA())</f>
        <v/>
      </c>
      <c r="C1798" s="27">
        <f>IFERROR(IF(ISNUMBER(Datos!C1798),Datos!C1798/$F$3*100,NA()),NA())</f>
        <v/>
      </c>
    </row>
    <row r="1799">
      <c r="A1799" s="7">
        <f>IFERROR(Datos!A1799,"")</f>
        <v/>
      </c>
      <c r="B1799" s="27">
        <f>IFERROR(IF(ISNUMBER(Datos!B1799),Datos!B1799/$F$2*100,NA()),NA())</f>
        <v/>
      </c>
      <c r="C1799" s="27">
        <f>IFERROR(IF(ISNUMBER(Datos!C1799),Datos!C1799/$F$3*100,NA()),NA())</f>
        <v/>
      </c>
    </row>
    <row r="1800">
      <c r="A1800" s="7">
        <f>IFERROR(Datos!A1800,"")</f>
        <v/>
      </c>
      <c r="B1800" s="27">
        <f>IFERROR(IF(ISNUMBER(Datos!B1800),Datos!B1800/$F$2*100,NA()),NA())</f>
        <v/>
      </c>
      <c r="C1800" s="27">
        <f>IFERROR(IF(ISNUMBER(Datos!C1800),Datos!C1800/$F$3*100,NA()),NA())</f>
        <v/>
      </c>
    </row>
    <row r="1801">
      <c r="A1801" s="7">
        <f>IFERROR(Datos!A1801,"")</f>
        <v/>
      </c>
      <c r="B1801" s="27">
        <f>IFERROR(IF(ISNUMBER(Datos!B1801),Datos!B1801/$F$2*100,NA()),NA())</f>
        <v/>
      </c>
      <c r="C1801" s="27">
        <f>IFERROR(IF(ISNUMBER(Datos!C1801),Datos!C1801/$F$3*100,NA()),NA())</f>
        <v/>
      </c>
    </row>
    <row r="1802">
      <c r="A1802" s="7">
        <f>IFERROR(Datos!A1802,"")</f>
        <v/>
      </c>
      <c r="B1802" s="27">
        <f>IFERROR(IF(ISNUMBER(Datos!B1802),Datos!B1802/$F$2*100,NA()),NA())</f>
        <v/>
      </c>
      <c r="C1802" s="27">
        <f>IFERROR(IF(ISNUMBER(Datos!C1802),Datos!C1802/$F$3*100,NA()),NA())</f>
        <v/>
      </c>
    </row>
    <row r="1803">
      <c r="A1803" s="7">
        <f>IFERROR(Datos!A1803,"")</f>
        <v/>
      </c>
      <c r="B1803" s="27">
        <f>IFERROR(IF(ISNUMBER(Datos!B1803),Datos!B1803/$F$2*100,NA()),NA())</f>
        <v/>
      </c>
      <c r="C1803" s="27">
        <f>IFERROR(IF(ISNUMBER(Datos!C1803),Datos!C1803/$F$3*100,NA()),NA())</f>
        <v/>
      </c>
    </row>
    <row r="1804">
      <c r="A1804" s="7">
        <f>IFERROR(Datos!A1804,"")</f>
        <v/>
      </c>
      <c r="B1804" s="27">
        <f>IFERROR(IF(ISNUMBER(Datos!B1804),Datos!B1804/$F$2*100,NA()),NA())</f>
        <v/>
      </c>
      <c r="C1804" s="27">
        <f>IFERROR(IF(ISNUMBER(Datos!C1804),Datos!C1804/$F$3*100,NA()),NA())</f>
        <v/>
      </c>
    </row>
    <row r="1805">
      <c r="A1805" s="7">
        <f>IFERROR(Datos!A1805,"")</f>
        <v/>
      </c>
      <c r="B1805" s="27">
        <f>IFERROR(IF(ISNUMBER(Datos!B1805),Datos!B1805/$F$2*100,NA()),NA())</f>
        <v/>
      </c>
      <c r="C1805" s="27">
        <f>IFERROR(IF(ISNUMBER(Datos!C1805),Datos!C1805/$F$3*100,NA()),NA())</f>
        <v/>
      </c>
    </row>
    <row r="1806">
      <c r="A1806" s="7">
        <f>IFERROR(Datos!A1806,"")</f>
        <v/>
      </c>
      <c r="B1806" s="27">
        <f>IFERROR(IF(ISNUMBER(Datos!B1806),Datos!B1806/$F$2*100,NA()),NA())</f>
        <v/>
      </c>
      <c r="C1806" s="27">
        <f>IFERROR(IF(ISNUMBER(Datos!C1806),Datos!C1806/$F$3*100,NA()),NA())</f>
        <v/>
      </c>
    </row>
    <row r="1807">
      <c r="A1807" s="7">
        <f>IFERROR(Datos!A1807,"")</f>
        <v/>
      </c>
      <c r="B1807" s="27">
        <f>IFERROR(IF(ISNUMBER(Datos!B1807),Datos!B1807/$F$2*100,NA()),NA())</f>
        <v/>
      </c>
      <c r="C1807" s="27">
        <f>IFERROR(IF(ISNUMBER(Datos!C1807),Datos!C1807/$F$3*100,NA()),NA())</f>
        <v/>
      </c>
    </row>
    <row r="1808">
      <c r="A1808" s="7">
        <f>IFERROR(Datos!A1808,"")</f>
        <v/>
      </c>
      <c r="B1808" s="27">
        <f>IFERROR(IF(ISNUMBER(Datos!B1808),Datos!B1808/$F$2*100,NA()),NA())</f>
        <v/>
      </c>
      <c r="C1808" s="27">
        <f>IFERROR(IF(ISNUMBER(Datos!C1808),Datos!C1808/$F$3*100,NA()),NA())</f>
        <v/>
      </c>
    </row>
    <row r="1809">
      <c r="A1809" s="7">
        <f>IFERROR(Datos!A1809,"")</f>
        <v/>
      </c>
      <c r="B1809" s="27">
        <f>IFERROR(IF(ISNUMBER(Datos!B1809),Datos!B1809/$F$2*100,NA()),NA())</f>
        <v/>
      </c>
      <c r="C1809" s="27">
        <f>IFERROR(IF(ISNUMBER(Datos!C1809),Datos!C1809/$F$3*100,NA()),NA())</f>
        <v/>
      </c>
    </row>
    <row r="1810">
      <c r="A1810" s="7">
        <f>IFERROR(Datos!A1810,"")</f>
        <v/>
      </c>
      <c r="B1810" s="27">
        <f>IFERROR(IF(ISNUMBER(Datos!B1810),Datos!B1810/$F$2*100,NA()),NA())</f>
        <v/>
      </c>
      <c r="C1810" s="27">
        <f>IFERROR(IF(ISNUMBER(Datos!C1810),Datos!C1810/$F$3*100,NA()),NA())</f>
        <v/>
      </c>
    </row>
    <row r="1811">
      <c r="A1811" s="7">
        <f>IFERROR(Datos!A1811,"")</f>
        <v/>
      </c>
      <c r="B1811" s="27">
        <f>IFERROR(IF(ISNUMBER(Datos!B1811),Datos!B1811/$F$2*100,NA()),NA())</f>
        <v/>
      </c>
      <c r="C1811" s="27">
        <f>IFERROR(IF(ISNUMBER(Datos!C1811),Datos!C1811/$F$3*100,NA()),NA())</f>
        <v/>
      </c>
    </row>
    <row r="1812">
      <c r="A1812" s="7">
        <f>IFERROR(Datos!A1812,"")</f>
        <v/>
      </c>
      <c r="B1812" s="27">
        <f>IFERROR(IF(ISNUMBER(Datos!B1812),Datos!B1812/$F$2*100,NA()),NA())</f>
        <v/>
      </c>
      <c r="C1812" s="27">
        <f>IFERROR(IF(ISNUMBER(Datos!C1812),Datos!C1812/$F$3*100,NA()),NA())</f>
        <v/>
      </c>
    </row>
    <row r="1813">
      <c r="A1813" s="7">
        <f>IFERROR(Datos!A1813,"")</f>
        <v/>
      </c>
      <c r="B1813" s="27">
        <f>IFERROR(IF(ISNUMBER(Datos!B1813),Datos!B1813/$F$2*100,NA()),NA())</f>
        <v/>
      </c>
      <c r="C1813" s="27">
        <f>IFERROR(IF(ISNUMBER(Datos!C1813),Datos!C1813/$F$3*100,NA()),NA())</f>
        <v/>
      </c>
    </row>
    <row r="1814">
      <c r="A1814" s="7">
        <f>IFERROR(Datos!A1814,"")</f>
        <v/>
      </c>
      <c r="B1814" s="27">
        <f>IFERROR(IF(ISNUMBER(Datos!B1814),Datos!B1814/$F$2*100,NA()),NA())</f>
        <v/>
      </c>
      <c r="C1814" s="27">
        <f>IFERROR(IF(ISNUMBER(Datos!C1814),Datos!C1814/$F$3*100,NA()),NA())</f>
        <v/>
      </c>
    </row>
    <row r="1815">
      <c r="A1815" s="7">
        <f>IFERROR(Datos!A1815,"")</f>
        <v/>
      </c>
      <c r="B1815" s="27">
        <f>IFERROR(IF(ISNUMBER(Datos!B1815),Datos!B1815/$F$2*100,NA()),NA())</f>
        <v/>
      </c>
      <c r="C1815" s="27">
        <f>IFERROR(IF(ISNUMBER(Datos!C1815),Datos!C1815/$F$3*100,NA()),NA())</f>
        <v/>
      </c>
    </row>
    <row r="1816">
      <c r="A1816" s="7">
        <f>IFERROR(Datos!A1816,"")</f>
        <v/>
      </c>
      <c r="B1816" s="27">
        <f>IFERROR(IF(ISNUMBER(Datos!B1816),Datos!B1816/$F$2*100,NA()),NA())</f>
        <v/>
      </c>
      <c r="C1816" s="27">
        <f>IFERROR(IF(ISNUMBER(Datos!C1816),Datos!C1816/$F$3*100,NA()),NA())</f>
        <v/>
      </c>
    </row>
    <row r="1817">
      <c r="A1817" s="7">
        <f>IFERROR(Datos!A1817,"")</f>
        <v/>
      </c>
      <c r="B1817" s="27">
        <f>IFERROR(IF(ISNUMBER(Datos!B1817),Datos!B1817/$F$2*100,NA()),NA())</f>
        <v/>
      </c>
      <c r="C1817" s="27">
        <f>IFERROR(IF(ISNUMBER(Datos!C1817),Datos!C1817/$F$3*100,NA()),NA())</f>
        <v/>
      </c>
    </row>
    <row r="1818">
      <c r="A1818" s="7">
        <f>IFERROR(Datos!A1818,"")</f>
        <v/>
      </c>
      <c r="B1818" s="27">
        <f>IFERROR(IF(ISNUMBER(Datos!B1818),Datos!B1818/$F$2*100,NA()),NA())</f>
        <v/>
      </c>
      <c r="C1818" s="27">
        <f>IFERROR(IF(ISNUMBER(Datos!C1818),Datos!C1818/$F$3*100,NA()),NA())</f>
        <v/>
      </c>
    </row>
    <row r="1819">
      <c r="A1819" s="7">
        <f>IFERROR(Datos!A1819,"")</f>
        <v/>
      </c>
      <c r="B1819" s="27">
        <f>IFERROR(IF(ISNUMBER(Datos!B1819),Datos!B1819/$F$2*100,NA()),NA())</f>
        <v/>
      </c>
      <c r="C1819" s="27">
        <f>IFERROR(IF(ISNUMBER(Datos!C1819),Datos!C1819/$F$3*100,NA()),NA())</f>
        <v/>
      </c>
    </row>
    <row r="1820">
      <c r="A1820" s="7">
        <f>IFERROR(Datos!A1820,"")</f>
        <v/>
      </c>
      <c r="B1820" s="27">
        <f>IFERROR(IF(ISNUMBER(Datos!B1820),Datos!B1820/$F$2*100,NA()),NA())</f>
        <v/>
      </c>
      <c r="C1820" s="27">
        <f>IFERROR(IF(ISNUMBER(Datos!C1820),Datos!C1820/$F$3*100,NA()),NA())</f>
        <v/>
      </c>
    </row>
    <row r="1821">
      <c r="A1821" s="7">
        <f>IFERROR(Datos!A1821,"")</f>
        <v/>
      </c>
      <c r="B1821" s="27">
        <f>IFERROR(IF(ISNUMBER(Datos!B1821),Datos!B1821/$F$2*100,NA()),NA())</f>
        <v/>
      </c>
      <c r="C1821" s="27">
        <f>IFERROR(IF(ISNUMBER(Datos!C1821),Datos!C1821/$F$3*100,NA()),NA())</f>
        <v/>
      </c>
    </row>
    <row r="1822">
      <c r="A1822" s="7">
        <f>IFERROR(Datos!A1822,"")</f>
        <v/>
      </c>
      <c r="B1822" s="27">
        <f>IFERROR(IF(ISNUMBER(Datos!B1822),Datos!B1822/$F$2*100,NA()),NA())</f>
        <v/>
      </c>
      <c r="C1822" s="27">
        <f>IFERROR(IF(ISNUMBER(Datos!C1822),Datos!C1822/$F$3*100,NA()),NA())</f>
        <v/>
      </c>
    </row>
    <row r="1823">
      <c r="A1823" s="7">
        <f>IFERROR(Datos!A1823,"")</f>
        <v/>
      </c>
      <c r="B1823" s="27">
        <f>IFERROR(IF(ISNUMBER(Datos!B1823),Datos!B1823/$F$2*100,NA()),NA())</f>
        <v/>
      </c>
      <c r="C1823" s="27">
        <f>IFERROR(IF(ISNUMBER(Datos!C1823),Datos!C1823/$F$3*100,NA()),NA())</f>
        <v/>
      </c>
    </row>
    <row r="1824">
      <c r="A1824" s="7">
        <f>IFERROR(Datos!A1824,"")</f>
        <v/>
      </c>
      <c r="B1824" s="27">
        <f>IFERROR(IF(ISNUMBER(Datos!B1824),Datos!B1824/$F$2*100,NA()),NA())</f>
        <v/>
      </c>
      <c r="C1824" s="27">
        <f>IFERROR(IF(ISNUMBER(Datos!C1824),Datos!C1824/$F$3*100,NA()),NA())</f>
        <v/>
      </c>
    </row>
    <row r="1825">
      <c r="A1825" s="7">
        <f>IFERROR(Datos!A1825,"")</f>
        <v/>
      </c>
      <c r="B1825" s="27">
        <f>IFERROR(IF(ISNUMBER(Datos!B1825),Datos!B1825/$F$2*100,NA()),NA())</f>
        <v/>
      </c>
      <c r="C1825" s="27">
        <f>IFERROR(IF(ISNUMBER(Datos!C1825),Datos!C1825/$F$3*100,NA()),NA())</f>
        <v/>
      </c>
    </row>
    <row r="1826">
      <c r="A1826" s="7">
        <f>IFERROR(Datos!A1826,"")</f>
        <v/>
      </c>
      <c r="B1826" s="27">
        <f>IFERROR(IF(ISNUMBER(Datos!B1826),Datos!B1826/$F$2*100,NA()),NA())</f>
        <v/>
      </c>
      <c r="C1826" s="27">
        <f>IFERROR(IF(ISNUMBER(Datos!C1826),Datos!C1826/$F$3*100,NA()),NA())</f>
        <v/>
      </c>
    </row>
    <row r="1827">
      <c r="A1827" s="7">
        <f>IFERROR(Datos!A1827,"")</f>
        <v/>
      </c>
      <c r="B1827" s="27">
        <f>IFERROR(IF(ISNUMBER(Datos!B1827),Datos!B1827/$F$2*100,NA()),NA())</f>
        <v/>
      </c>
      <c r="C1827" s="27">
        <f>IFERROR(IF(ISNUMBER(Datos!C1827),Datos!C1827/$F$3*100,NA()),NA())</f>
        <v/>
      </c>
    </row>
    <row r="1828">
      <c r="A1828" s="7">
        <f>IFERROR(Datos!A1828,"")</f>
        <v/>
      </c>
      <c r="B1828" s="27">
        <f>IFERROR(IF(ISNUMBER(Datos!B1828),Datos!B1828/$F$2*100,NA()),NA())</f>
        <v/>
      </c>
      <c r="C1828" s="27">
        <f>IFERROR(IF(ISNUMBER(Datos!C1828),Datos!C1828/$F$3*100,NA()),NA())</f>
        <v/>
      </c>
    </row>
    <row r="1829">
      <c r="A1829" s="7">
        <f>IFERROR(Datos!A1829,"")</f>
        <v/>
      </c>
      <c r="B1829" s="27">
        <f>IFERROR(IF(ISNUMBER(Datos!B1829),Datos!B1829/$F$2*100,NA()),NA())</f>
        <v/>
      </c>
      <c r="C1829" s="27">
        <f>IFERROR(IF(ISNUMBER(Datos!C1829),Datos!C1829/$F$3*100,NA()),NA())</f>
        <v/>
      </c>
    </row>
    <row r="1830">
      <c r="A1830" s="7">
        <f>IFERROR(Datos!A1830,"")</f>
        <v/>
      </c>
      <c r="B1830" s="27">
        <f>IFERROR(IF(ISNUMBER(Datos!B1830),Datos!B1830/$F$2*100,NA()),NA())</f>
        <v/>
      </c>
      <c r="C1830" s="27">
        <f>IFERROR(IF(ISNUMBER(Datos!C1830),Datos!C1830/$F$3*100,NA()),NA())</f>
        <v/>
      </c>
    </row>
    <row r="1831">
      <c r="A1831" s="7">
        <f>IFERROR(Datos!A1831,"")</f>
        <v/>
      </c>
      <c r="B1831" s="27">
        <f>IFERROR(IF(ISNUMBER(Datos!B1831),Datos!B1831/$F$2*100,NA()),NA())</f>
        <v/>
      </c>
      <c r="C1831" s="27">
        <f>IFERROR(IF(ISNUMBER(Datos!C1831),Datos!C1831/$F$3*100,NA()),NA())</f>
        <v/>
      </c>
    </row>
    <row r="1832">
      <c r="A1832" s="7">
        <f>IFERROR(Datos!A1832,"")</f>
        <v/>
      </c>
      <c r="B1832" s="27">
        <f>IFERROR(IF(ISNUMBER(Datos!B1832),Datos!B1832/$F$2*100,NA()),NA())</f>
        <v/>
      </c>
      <c r="C1832" s="27">
        <f>IFERROR(IF(ISNUMBER(Datos!C1832),Datos!C1832/$F$3*100,NA()),NA())</f>
        <v/>
      </c>
    </row>
    <row r="1833">
      <c r="A1833" s="7">
        <f>IFERROR(Datos!A1833,"")</f>
        <v/>
      </c>
      <c r="B1833" s="27">
        <f>IFERROR(IF(ISNUMBER(Datos!B1833),Datos!B1833/$F$2*100,NA()),NA())</f>
        <v/>
      </c>
      <c r="C1833" s="27">
        <f>IFERROR(IF(ISNUMBER(Datos!C1833),Datos!C1833/$F$3*100,NA()),NA())</f>
        <v/>
      </c>
    </row>
    <row r="1834">
      <c r="A1834" s="7">
        <f>IFERROR(Datos!A1834,"")</f>
        <v/>
      </c>
      <c r="B1834" s="27">
        <f>IFERROR(IF(ISNUMBER(Datos!B1834),Datos!B1834/$F$2*100,NA()),NA())</f>
        <v/>
      </c>
      <c r="C1834" s="27">
        <f>IFERROR(IF(ISNUMBER(Datos!C1834),Datos!C1834/$F$3*100,NA()),NA())</f>
        <v/>
      </c>
    </row>
    <row r="1835">
      <c r="A1835" s="7">
        <f>IFERROR(Datos!A1835,"")</f>
        <v/>
      </c>
      <c r="B1835" s="27">
        <f>IFERROR(IF(ISNUMBER(Datos!B1835),Datos!B1835/$F$2*100,NA()),NA())</f>
        <v/>
      </c>
      <c r="C1835" s="27">
        <f>IFERROR(IF(ISNUMBER(Datos!C1835),Datos!C1835/$F$3*100,NA()),NA())</f>
        <v/>
      </c>
    </row>
    <row r="1836">
      <c r="A1836" s="7">
        <f>IFERROR(Datos!A1836,"")</f>
        <v/>
      </c>
      <c r="B1836" s="27">
        <f>IFERROR(IF(ISNUMBER(Datos!B1836),Datos!B1836/$F$2*100,NA()),NA())</f>
        <v/>
      </c>
      <c r="C1836" s="27">
        <f>IFERROR(IF(ISNUMBER(Datos!C1836),Datos!C1836/$F$3*100,NA()),NA())</f>
        <v/>
      </c>
    </row>
    <row r="1837">
      <c r="A1837" s="7">
        <f>IFERROR(Datos!A1837,"")</f>
        <v/>
      </c>
      <c r="B1837" s="27">
        <f>IFERROR(IF(ISNUMBER(Datos!B1837),Datos!B1837/$F$2*100,NA()),NA())</f>
        <v/>
      </c>
      <c r="C1837" s="27">
        <f>IFERROR(IF(ISNUMBER(Datos!C1837),Datos!C1837/$F$3*100,NA()),NA())</f>
        <v/>
      </c>
    </row>
    <row r="1838">
      <c r="A1838" s="7">
        <f>IFERROR(Datos!A1838,"")</f>
        <v/>
      </c>
      <c r="B1838" s="27">
        <f>IFERROR(IF(ISNUMBER(Datos!B1838),Datos!B1838/$F$2*100,NA()),NA())</f>
        <v/>
      </c>
      <c r="C1838" s="27">
        <f>IFERROR(IF(ISNUMBER(Datos!C1838),Datos!C1838/$F$3*100,NA()),NA())</f>
        <v/>
      </c>
    </row>
    <row r="1839">
      <c r="A1839" s="7">
        <f>IFERROR(Datos!A1839,"")</f>
        <v/>
      </c>
      <c r="B1839" s="27">
        <f>IFERROR(IF(ISNUMBER(Datos!B1839),Datos!B1839/$F$2*100,NA()),NA())</f>
        <v/>
      </c>
      <c r="C1839" s="27">
        <f>IFERROR(IF(ISNUMBER(Datos!C1839),Datos!C1839/$F$3*100,NA()),NA())</f>
        <v/>
      </c>
    </row>
    <row r="1840">
      <c r="A1840" s="7">
        <f>IFERROR(Datos!A1840,"")</f>
        <v/>
      </c>
      <c r="B1840" s="27">
        <f>IFERROR(IF(ISNUMBER(Datos!B1840),Datos!B1840/$F$2*100,NA()),NA())</f>
        <v/>
      </c>
      <c r="C1840" s="27">
        <f>IFERROR(IF(ISNUMBER(Datos!C1840),Datos!C1840/$F$3*100,NA()),NA())</f>
        <v/>
      </c>
    </row>
    <row r="1841">
      <c r="A1841" s="7">
        <f>IFERROR(Datos!A1841,"")</f>
        <v/>
      </c>
      <c r="B1841" s="27">
        <f>IFERROR(IF(ISNUMBER(Datos!B1841),Datos!B1841/$F$2*100,NA()),NA())</f>
        <v/>
      </c>
      <c r="C1841" s="27">
        <f>IFERROR(IF(ISNUMBER(Datos!C1841),Datos!C1841/$F$3*100,NA()),NA())</f>
        <v/>
      </c>
    </row>
    <row r="1842">
      <c r="A1842" s="7">
        <f>IFERROR(Datos!A1842,"")</f>
        <v/>
      </c>
      <c r="B1842" s="27">
        <f>IFERROR(IF(ISNUMBER(Datos!B1842),Datos!B1842/$F$2*100,NA()),NA())</f>
        <v/>
      </c>
      <c r="C1842" s="27">
        <f>IFERROR(IF(ISNUMBER(Datos!C1842),Datos!C1842/$F$3*100,NA()),NA())</f>
        <v/>
      </c>
    </row>
    <row r="1843">
      <c r="A1843" s="7">
        <f>IFERROR(Datos!A1843,"")</f>
        <v/>
      </c>
      <c r="B1843" s="27">
        <f>IFERROR(IF(ISNUMBER(Datos!B1843),Datos!B1843/$F$2*100,NA()),NA())</f>
        <v/>
      </c>
      <c r="C1843" s="27">
        <f>IFERROR(IF(ISNUMBER(Datos!C1843),Datos!C1843/$F$3*100,NA()),NA())</f>
        <v/>
      </c>
    </row>
    <row r="1844">
      <c r="A1844" s="7">
        <f>IFERROR(Datos!A1844,"")</f>
        <v/>
      </c>
      <c r="B1844" s="27">
        <f>IFERROR(IF(ISNUMBER(Datos!B1844),Datos!B1844/$F$2*100,NA()),NA())</f>
        <v/>
      </c>
      <c r="C1844" s="27">
        <f>IFERROR(IF(ISNUMBER(Datos!C1844),Datos!C1844/$F$3*100,NA()),NA())</f>
        <v/>
      </c>
    </row>
    <row r="1845">
      <c r="A1845" s="7">
        <f>IFERROR(Datos!A1845,"")</f>
        <v/>
      </c>
      <c r="B1845" s="27">
        <f>IFERROR(IF(ISNUMBER(Datos!B1845),Datos!B1845/$F$2*100,NA()),NA())</f>
        <v/>
      </c>
      <c r="C1845" s="27">
        <f>IFERROR(IF(ISNUMBER(Datos!C1845),Datos!C1845/$F$3*100,NA()),NA())</f>
        <v/>
      </c>
    </row>
    <row r="1846">
      <c r="A1846" s="7">
        <f>IFERROR(Datos!A1846,"")</f>
        <v/>
      </c>
      <c r="B1846" s="27">
        <f>IFERROR(IF(ISNUMBER(Datos!B1846),Datos!B1846/$F$2*100,NA()),NA())</f>
        <v/>
      </c>
      <c r="C1846" s="27">
        <f>IFERROR(IF(ISNUMBER(Datos!C1846),Datos!C1846/$F$3*100,NA()),NA())</f>
        <v/>
      </c>
    </row>
    <row r="1847">
      <c r="A1847" s="7">
        <f>IFERROR(Datos!A1847,"")</f>
        <v/>
      </c>
      <c r="B1847" s="27">
        <f>IFERROR(IF(ISNUMBER(Datos!B1847),Datos!B1847/$F$2*100,NA()),NA())</f>
        <v/>
      </c>
      <c r="C1847" s="27">
        <f>IFERROR(IF(ISNUMBER(Datos!C1847),Datos!C1847/$F$3*100,NA()),NA())</f>
        <v/>
      </c>
    </row>
    <row r="1848">
      <c r="A1848" s="7">
        <f>IFERROR(Datos!A1848,"")</f>
        <v/>
      </c>
      <c r="B1848" s="27">
        <f>IFERROR(IF(ISNUMBER(Datos!B1848),Datos!B1848/$F$2*100,NA()),NA())</f>
        <v/>
      </c>
      <c r="C1848" s="27">
        <f>IFERROR(IF(ISNUMBER(Datos!C1848),Datos!C1848/$F$3*100,NA()),NA())</f>
        <v/>
      </c>
    </row>
    <row r="1849">
      <c r="A1849" s="7">
        <f>IFERROR(Datos!A1849,"")</f>
        <v/>
      </c>
      <c r="B1849" s="27">
        <f>IFERROR(IF(ISNUMBER(Datos!B1849),Datos!B1849/$F$2*100,NA()),NA())</f>
        <v/>
      </c>
      <c r="C1849" s="27">
        <f>IFERROR(IF(ISNUMBER(Datos!C1849),Datos!C1849/$F$3*100,NA()),NA())</f>
        <v/>
      </c>
    </row>
    <row r="1850">
      <c r="A1850" s="7">
        <f>IFERROR(Datos!A1850,"")</f>
        <v/>
      </c>
      <c r="B1850" s="27">
        <f>IFERROR(IF(ISNUMBER(Datos!B1850),Datos!B1850/$F$2*100,NA()),NA())</f>
        <v/>
      </c>
      <c r="C1850" s="27">
        <f>IFERROR(IF(ISNUMBER(Datos!C1850),Datos!C1850/$F$3*100,NA()),NA())</f>
        <v/>
      </c>
    </row>
    <row r="1851">
      <c r="A1851" s="7">
        <f>IFERROR(Datos!A1851,"")</f>
        <v/>
      </c>
      <c r="B1851" s="27">
        <f>IFERROR(IF(ISNUMBER(Datos!B1851),Datos!B1851/$F$2*100,NA()),NA())</f>
        <v/>
      </c>
      <c r="C1851" s="27">
        <f>IFERROR(IF(ISNUMBER(Datos!C1851),Datos!C1851/$F$3*100,NA()),NA())</f>
        <v/>
      </c>
    </row>
    <row r="1852">
      <c r="A1852" s="7">
        <f>IFERROR(Datos!A1852,"")</f>
        <v/>
      </c>
      <c r="B1852" s="27">
        <f>IFERROR(IF(ISNUMBER(Datos!B1852),Datos!B1852/$F$2*100,NA()),NA())</f>
        <v/>
      </c>
      <c r="C1852" s="27">
        <f>IFERROR(IF(ISNUMBER(Datos!C1852),Datos!C1852/$F$3*100,NA()),NA())</f>
        <v/>
      </c>
    </row>
    <row r="1853">
      <c r="A1853" s="7">
        <f>IFERROR(Datos!A1853,"")</f>
        <v/>
      </c>
      <c r="B1853" s="27">
        <f>IFERROR(IF(ISNUMBER(Datos!B1853),Datos!B1853/$F$2*100,NA()),NA())</f>
        <v/>
      </c>
      <c r="C1853" s="27">
        <f>IFERROR(IF(ISNUMBER(Datos!C1853),Datos!C1853/$F$3*100,NA()),NA())</f>
        <v/>
      </c>
    </row>
    <row r="1854">
      <c r="A1854" s="7">
        <f>IFERROR(Datos!A1854,"")</f>
        <v/>
      </c>
      <c r="B1854" s="27">
        <f>IFERROR(IF(ISNUMBER(Datos!B1854),Datos!B1854/$F$2*100,NA()),NA())</f>
        <v/>
      </c>
      <c r="C1854" s="27">
        <f>IFERROR(IF(ISNUMBER(Datos!C1854),Datos!C1854/$F$3*100,NA()),NA())</f>
        <v/>
      </c>
    </row>
    <row r="1855">
      <c r="A1855" s="7">
        <f>IFERROR(Datos!A1855,"")</f>
        <v/>
      </c>
      <c r="B1855" s="27">
        <f>IFERROR(IF(ISNUMBER(Datos!B1855),Datos!B1855/$F$2*100,NA()),NA())</f>
        <v/>
      </c>
      <c r="C1855" s="27">
        <f>IFERROR(IF(ISNUMBER(Datos!C1855),Datos!C1855/$F$3*100,NA()),NA())</f>
        <v/>
      </c>
    </row>
    <row r="1856">
      <c r="A1856" s="7">
        <f>IFERROR(Datos!A1856,"")</f>
        <v/>
      </c>
      <c r="B1856" s="27">
        <f>IFERROR(IF(ISNUMBER(Datos!B1856),Datos!B1856/$F$2*100,NA()),NA())</f>
        <v/>
      </c>
      <c r="C1856" s="27">
        <f>IFERROR(IF(ISNUMBER(Datos!C1856),Datos!C1856/$F$3*100,NA()),NA())</f>
        <v/>
      </c>
    </row>
    <row r="1857">
      <c r="A1857" s="7">
        <f>IFERROR(Datos!A1857,"")</f>
        <v/>
      </c>
      <c r="B1857" s="27">
        <f>IFERROR(IF(ISNUMBER(Datos!B1857),Datos!B1857/$F$2*100,NA()),NA())</f>
        <v/>
      </c>
      <c r="C1857" s="27">
        <f>IFERROR(IF(ISNUMBER(Datos!C1857),Datos!C1857/$F$3*100,NA()),NA())</f>
        <v/>
      </c>
    </row>
    <row r="1858">
      <c r="A1858" s="7">
        <f>IFERROR(Datos!A1858,"")</f>
        <v/>
      </c>
      <c r="B1858" s="27">
        <f>IFERROR(IF(ISNUMBER(Datos!B1858),Datos!B1858/$F$2*100,NA()),NA())</f>
        <v/>
      </c>
      <c r="C1858" s="27">
        <f>IFERROR(IF(ISNUMBER(Datos!C1858),Datos!C1858/$F$3*100,NA()),NA())</f>
        <v/>
      </c>
    </row>
    <row r="1859">
      <c r="A1859" s="7">
        <f>IFERROR(Datos!A1859,"")</f>
        <v/>
      </c>
      <c r="B1859" s="27">
        <f>IFERROR(IF(ISNUMBER(Datos!B1859),Datos!B1859/$F$2*100,NA()),NA())</f>
        <v/>
      </c>
      <c r="C1859" s="27">
        <f>IFERROR(IF(ISNUMBER(Datos!C1859),Datos!C1859/$F$3*100,NA()),NA())</f>
        <v/>
      </c>
    </row>
    <row r="1860">
      <c r="A1860" s="7">
        <f>IFERROR(Datos!A1860,"")</f>
        <v/>
      </c>
      <c r="B1860" s="27">
        <f>IFERROR(IF(ISNUMBER(Datos!B1860),Datos!B1860/$F$2*100,NA()),NA())</f>
        <v/>
      </c>
      <c r="C1860" s="27">
        <f>IFERROR(IF(ISNUMBER(Datos!C1860),Datos!C1860/$F$3*100,NA()),NA())</f>
        <v/>
      </c>
    </row>
    <row r="1861">
      <c r="A1861" s="7">
        <f>IFERROR(Datos!A1861,"")</f>
        <v/>
      </c>
      <c r="B1861" s="27">
        <f>IFERROR(IF(ISNUMBER(Datos!B1861),Datos!B1861/$F$2*100,NA()),NA())</f>
        <v/>
      </c>
      <c r="C1861" s="27">
        <f>IFERROR(IF(ISNUMBER(Datos!C1861),Datos!C1861/$F$3*100,NA()),NA())</f>
        <v/>
      </c>
    </row>
    <row r="1862">
      <c r="A1862" s="7">
        <f>IFERROR(Datos!A1862,"")</f>
        <v/>
      </c>
      <c r="B1862" s="27">
        <f>IFERROR(IF(ISNUMBER(Datos!B1862),Datos!B1862/$F$2*100,NA()),NA())</f>
        <v/>
      </c>
      <c r="C1862" s="27">
        <f>IFERROR(IF(ISNUMBER(Datos!C1862),Datos!C1862/$F$3*100,NA()),NA())</f>
        <v/>
      </c>
    </row>
    <row r="1863">
      <c r="A1863" s="7">
        <f>IFERROR(Datos!A1863,"")</f>
        <v/>
      </c>
      <c r="B1863" s="27">
        <f>IFERROR(IF(ISNUMBER(Datos!B1863),Datos!B1863/$F$2*100,NA()),NA())</f>
        <v/>
      </c>
      <c r="C1863" s="27">
        <f>IFERROR(IF(ISNUMBER(Datos!C1863),Datos!C1863/$F$3*100,NA()),NA())</f>
        <v/>
      </c>
    </row>
    <row r="1864">
      <c r="A1864" s="7">
        <f>IFERROR(Datos!A1864,"")</f>
        <v/>
      </c>
      <c r="B1864" s="27">
        <f>IFERROR(IF(ISNUMBER(Datos!B1864),Datos!B1864/$F$2*100,NA()),NA())</f>
        <v/>
      </c>
      <c r="C1864" s="27">
        <f>IFERROR(IF(ISNUMBER(Datos!C1864),Datos!C1864/$F$3*100,NA()),NA())</f>
        <v/>
      </c>
    </row>
    <row r="1865">
      <c r="A1865" s="7">
        <f>IFERROR(Datos!A1865,"")</f>
        <v/>
      </c>
      <c r="B1865" s="27">
        <f>IFERROR(IF(ISNUMBER(Datos!B1865),Datos!B1865/$F$2*100,NA()),NA())</f>
        <v/>
      </c>
      <c r="C1865" s="27">
        <f>IFERROR(IF(ISNUMBER(Datos!C1865),Datos!C1865/$F$3*100,NA()),NA())</f>
        <v/>
      </c>
    </row>
    <row r="1866">
      <c r="A1866" s="7">
        <f>IFERROR(Datos!A1866,"")</f>
        <v/>
      </c>
      <c r="B1866" s="27">
        <f>IFERROR(IF(ISNUMBER(Datos!B1866),Datos!B1866/$F$2*100,NA()),NA())</f>
        <v/>
      </c>
      <c r="C1866" s="27">
        <f>IFERROR(IF(ISNUMBER(Datos!C1866),Datos!C1866/$F$3*100,NA()),NA())</f>
        <v/>
      </c>
    </row>
    <row r="1867">
      <c r="A1867" s="7">
        <f>IFERROR(Datos!A1867,"")</f>
        <v/>
      </c>
      <c r="B1867" s="27">
        <f>IFERROR(IF(ISNUMBER(Datos!B1867),Datos!B1867/$F$2*100,NA()),NA())</f>
        <v/>
      </c>
      <c r="C1867" s="27">
        <f>IFERROR(IF(ISNUMBER(Datos!C1867),Datos!C1867/$F$3*100,NA()),NA())</f>
        <v/>
      </c>
    </row>
    <row r="1868">
      <c r="A1868" s="7">
        <f>IFERROR(Datos!A1868,"")</f>
        <v/>
      </c>
      <c r="B1868" s="27">
        <f>IFERROR(IF(ISNUMBER(Datos!B1868),Datos!B1868/$F$2*100,NA()),NA())</f>
        <v/>
      </c>
      <c r="C1868" s="27">
        <f>IFERROR(IF(ISNUMBER(Datos!C1868),Datos!C1868/$F$3*100,NA()),NA())</f>
        <v/>
      </c>
    </row>
    <row r="1869">
      <c r="A1869" s="7">
        <f>IFERROR(Datos!A1869,"")</f>
        <v/>
      </c>
      <c r="B1869" s="27">
        <f>IFERROR(IF(ISNUMBER(Datos!B1869),Datos!B1869/$F$2*100,NA()),NA())</f>
        <v/>
      </c>
      <c r="C1869" s="27">
        <f>IFERROR(IF(ISNUMBER(Datos!C1869),Datos!C1869/$F$3*100,NA()),NA())</f>
        <v/>
      </c>
    </row>
    <row r="1870">
      <c r="A1870" s="7">
        <f>IFERROR(Datos!A1870,"")</f>
        <v/>
      </c>
      <c r="B1870" s="27">
        <f>IFERROR(IF(ISNUMBER(Datos!B1870),Datos!B1870/$F$2*100,NA()),NA())</f>
        <v/>
      </c>
      <c r="C1870" s="27">
        <f>IFERROR(IF(ISNUMBER(Datos!C1870),Datos!C1870/$F$3*100,NA()),NA())</f>
        <v/>
      </c>
    </row>
    <row r="1871">
      <c r="A1871" s="7">
        <f>IFERROR(Datos!A1871,"")</f>
        <v/>
      </c>
      <c r="B1871" s="27">
        <f>IFERROR(IF(ISNUMBER(Datos!B1871),Datos!B1871/$F$2*100,NA()),NA())</f>
        <v/>
      </c>
      <c r="C1871" s="27">
        <f>IFERROR(IF(ISNUMBER(Datos!C1871),Datos!C1871/$F$3*100,NA()),NA())</f>
        <v/>
      </c>
    </row>
    <row r="1872">
      <c r="A1872" s="7">
        <f>IFERROR(Datos!A1872,"")</f>
        <v/>
      </c>
      <c r="B1872" s="27">
        <f>IFERROR(IF(ISNUMBER(Datos!B1872),Datos!B1872/$F$2*100,NA()),NA())</f>
        <v/>
      </c>
      <c r="C1872" s="27">
        <f>IFERROR(IF(ISNUMBER(Datos!C1872),Datos!C1872/$F$3*100,NA()),NA())</f>
        <v/>
      </c>
    </row>
    <row r="1873">
      <c r="A1873" s="7">
        <f>IFERROR(Datos!A1873,"")</f>
        <v/>
      </c>
      <c r="B1873" s="27">
        <f>IFERROR(IF(ISNUMBER(Datos!B1873),Datos!B1873/$F$2*100,NA()),NA())</f>
        <v/>
      </c>
      <c r="C1873" s="27">
        <f>IFERROR(IF(ISNUMBER(Datos!C1873),Datos!C1873/$F$3*100,NA()),NA())</f>
        <v/>
      </c>
    </row>
    <row r="1874">
      <c r="A1874" s="7">
        <f>IFERROR(Datos!A1874,"")</f>
        <v/>
      </c>
      <c r="B1874" s="27">
        <f>IFERROR(IF(ISNUMBER(Datos!B1874),Datos!B1874/$F$2*100,NA()),NA())</f>
        <v/>
      </c>
      <c r="C1874" s="27">
        <f>IFERROR(IF(ISNUMBER(Datos!C1874),Datos!C1874/$F$3*100,NA()),NA())</f>
        <v/>
      </c>
    </row>
    <row r="1875">
      <c r="A1875" s="7">
        <f>IFERROR(Datos!A1875,"")</f>
        <v/>
      </c>
      <c r="B1875" s="27">
        <f>IFERROR(IF(ISNUMBER(Datos!B1875),Datos!B1875/$F$2*100,NA()),NA())</f>
        <v/>
      </c>
      <c r="C1875" s="27">
        <f>IFERROR(IF(ISNUMBER(Datos!C1875),Datos!C1875/$F$3*100,NA()),NA())</f>
        <v/>
      </c>
    </row>
    <row r="1876">
      <c r="A1876" s="7">
        <f>IFERROR(Datos!A1876,"")</f>
        <v/>
      </c>
      <c r="B1876" s="27">
        <f>IFERROR(IF(ISNUMBER(Datos!B1876),Datos!B1876/$F$2*100,NA()),NA())</f>
        <v/>
      </c>
      <c r="C1876" s="27">
        <f>IFERROR(IF(ISNUMBER(Datos!C1876),Datos!C1876/$F$3*100,NA()),NA())</f>
        <v/>
      </c>
    </row>
    <row r="1877">
      <c r="A1877" s="7">
        <f>IFERROR(Datos!A1877,"")</f>
        <v/>
      </c>
      <c r="B1877" s="27">
        <f>IFERROR(IF(ISNUMBER(Datos!B1877),Datos!B1877/$F$2*100,NA()),NA())</f>
        <v/>
      </c>
      <c r="C1877" s="27">
        <f>IFERROR(IF(ISNUMBER(Datos!C1877),Datos!C1877/$F$3*100,NA()),NA())</f>
        <v/>
      </c>
    </row>
    <row r="1878">
      <c r="A1878" s="7">
        <f>IFERROR(Datos!A1878,"")</f>
        <v/>
      </c>
      <c r="B1878" s="27">
        <f>IFERROR(IF(ISNUMBER(Datos!B1878),Datos!B1878/$F$2*100,NA()),NA())</f>
        <v/>
      </c>
      <c r="C1878" s="27">
        <f>IFERROR(IF(ISNUMBER(Datos!C1878),Datos!C1878/$F$3*100,NA()),NA())</f>
        <v/>
      </c>
    </row>
    <row r="1879">
      <c r="A1879" s="7">
        <f>IFERROR(Datos!A1879,"")</f>
        <v/>
      </c>
      <c r="B1879" s="27">
        <f>IFERROR(IF(ISNUMBER(Datos!B1879),Datos!B1879/$F$2*100,NA()),NA())</f>
        <v/>
      </c>
      <c r="C1879" s="27">
        <f>IFERROR(IF(ISNUMBER(Datos!C1879),Datos!C1879/$F$3*100,NA()),NA())</f>
        <v/>
      </c>
    </row>
    <row r="1880">
      <c r="A1880" s="7">
        <f>IFERROR(Datos!A1880,"")</f>
        <v/>
      </c>
      <c r="B1880" s="27">
        <f>IFERROR(IF(ISNUMBER(Datos!B1880),Datos!B1880/$F$2*100,NA()),NA())</f>
        <v/>
      </c>
      <c r="C1880" s="27">
        <f>IFERROR(IF(ISNUMBER(Datos!C1880),Datos!C1880/$F$3*100,NA()),NA())</f>
        <v/>
      </c>
    </row>
    <row r="1881">
      <c r="A1881" s="7">
        <f>IFERROR(Datos!A1881,"")</f>
        <v/>
      </c>
      <c r="B1881" s="27">
        <f>IFERROR(IF(ISNUMBER(Datos!B1881),Datos!B1881/$F$2*100,NA()),NA())</f>
        <v/>
      </c>
      <c r="C1881" s="27">
        <f>IFERROR(IF(ISNUMBER(Datos!C1881),Datos!C1881/$F$3*100,NA()),NA())</f>
        <v/>
      </c>
    </row>
    <row r="1882">
      <c r="A1882" s="7">
        <f>IFERROR(Datos!A1882,"")</f>
        <v/>
      </c>
      <c r="B1882" s="27">
        <f>IFERROR(IF(ISNUMBER(Datos!B1882),Datos!B1882/$F$2*100,NA()),NA())</f>
        <v/>
      </c>
      <c r="C1882" s="27">
        <f>IFERROR(IF(ISNUMBER(Datos!C1882),Datos!C1882/$F$3*100,NA()),NA())</f>
        <v/>
      </c>
    </row>
    <row r="1883">
      <c r="A1883" s="7">
        <f>IFERROR(Datos!A1883,"")</f>
        <v/>
      </c>
      <c r="B1883" s="27">
        <f>IFERROR(IF(ISNUMBER(Datos!B1883),Datos!B1883/$F$2*100,NA()),NA())</f>
        <v/>
      </c>
      <c r="C1883" s="27">
        <f>IFERROR(IF(ISNUMBER(Datos!C1883),Datos!C1883/$F$3*100,NA()),NA())</f>
        <v/>
      </c>
    </row>
    <row r="1884">
      <c r="A1884" s="7">
        <f>IFERROR(Datos!A1884,"")</f>
        <v/>
      </c>
      <c r="B1884" s="27">
        <f>IFERROR(IF(ISNUMBER(Datos!B1884),Datos!B1884/$F$2*100,NA()),NA())</f>
        <v/>
      </c>
      <c r="C1884" s="27">
        <f>IFERROR(IF(ISNUMBER(Datos!C1884),Datos!C1884/$F$3*100,NA()),NA())</f>
        <v/>
      </c>
    </row>
    <row r="1885">
      <c r="A1885" s="7">
        <f>IFERROR(Datos!A1885,"")</f>
        <v/>
      </c>
      <c r="B1885" s="27">
        <f>IFERROR(IF(ISNUMBER(Datos!B1885),Datos!B1885/$F$2*100,NA()),NA())</f>
        <v/>
      </c>
      <c r="C1885" s="27">
        <f>IFERROR(IF(ISNUMBER(Datos!C1885),Datos!C1885/$F$3*100,NA()),NA())</f>
        <v/>
      </c>
    </row>
    <row r="1886">
      <c r="A1886" s="7">
        <f>IFERROR(Datos!A1886,"")</f>
        <v/>
      </c>
      <c r="B1886" s="27">
        <f>IFERROR(IF(ISNUMBER(Datos!B1886),Datos!B1886/$F$2*100,NA()),NA())</f>
        <v/>
      </c>
      <c r="C1886" s="27">
        <f>IFERROR(IF(ISNUMBER(Datos!C1886),Datos!C1886/$F$3*100,NA()),NA())</f>
        <v/>
      </c>
    </row>
    <row r="1887">
      <c r="A1887" s="7">
        <f>IFERROR(Datos!A1887,"")</f>
        <v/>
      </c>
      <c r="B1887" s="27">
        <f>IFERROR(IF(ISNUMBER(Datos!B1887),Datos!B1887/$F$2*100,NA()),NA())</f>
        <v/>
      </c>
      <c r="C1887" s="27">
        <f>IFERROR(IF(ISNUMBER(Datos!C1887),Datos!C1887/$F$3*100,NA()),NA())</f>
        <v/>
      </c>
    </row>
    <row r="1888">
      <c r="A1888" s="7">
        <f>IFERROR(Datos!A1888,"")</f>
        <v/>
      </c>
      <c r="B1888" s="27">
        <f>IFERROR(IF(ISNUMBER(Datos!B1888),Datos!B1888/$F$2*100,NA()),NA())</f>
        <v/>
      </c>
      <c r="C1888" s="27">
        <f>IFERROR(IF(ISNUMBER(Datos!C1888),Datos!C1888/$F$3*100,NA()),NA())</f>
        <v/>
      </c>
    </row>
    <row r="1889">
      <c r="A1889" s="7">
        <f>IFERROR(Datos!A1889,"")</f>
        <v/>
      </c>
      <c r="B1889" s="27">
        <f>IFERROR(IF(ISNUMBER(Datos!B1889),Datos!B1889/$F$2*100,NA()),NA())</f>
        <v/>
      </c>
      <c r="C1889" s="27">
        <f>IFERROR(IF(ISNUMBER(Datos!C1889),Datos!C1889/$F$3*100,NA()),NA())</f>
        <v/>
      </c>
    </row>
    <row r="1890">
      <c r="A1890" s="7">
        <f>IFERROR(Datos!A1890,"")</f>
        <v/>
      </c>
      <c r="B1890" s="27">
        <f>IFERROR(IF(ISNUMBER(Datos!B1890),Datos!B1890/$F$2*100,NA()),NA())</f>
        <v/>
      </c>
      <c r="C1890" s="27">
        <f>IFERROR(IF(ISNUMBER(Datos!C1890),Datos!C1890/$F$3*100,NA()),NA())</f>
        <v/>
      </c>
    </row>
    <row r="1891">
      <c r="A1891" s="7">
        <f>IFERROR(Datos!A1891,"")</f>
        <v/>
      </c>
      <c r="B1891" s="27">
        <f>IFERROR(IF(ISNUMBER(Datos!B1891),Datos!B1891/$F$2*100,NA()),NA())</f>
        <v/>
      </c>
      <c r="C1891" s="27">
        <f>IFERROR(IF(ISNUMBER(Datos!C1891),Datos!C1891/$F$3*100,NA()),NA())</f>
        <v/>
      </c>
    </row>
    <row r="1892">
      <c r="A1892" s="7">
        <f>IFERROR(Datos!A1892,"")</f>
        <v/>
      </c>
      <c r="B1892" s="27">
        <f>IFERROR(IF(ISNUMBER(Datos!B1892),Datos!B1892/$F$2*100,NA()),NA())</f>
        <v/>
      </c>
      <c r="C1892" s="27">
        <f>IFERROR(IF(ISNUMBER(Datos!C1892),Datos!C1892/$F$3*100,NA()),NA())</f>
        <v/>
      </c>
    </row>
    <row r="1893">
      <c r="A1893" s="7">
        <f>IFERROR(Datos!A1893,"")</f>
        <v/>
      </c>
      <c r="B1893" s="27">
        <f>IFERROR(IF(ISNUMBER(Datos!B1893),Datos!B1893/$F$2*100,NA()),NA())</f>
        <v/>
      </c>
      <c r="C1893" s="27">
        <f>IFERROR(IF(ISNUMBER(Datos!C1893),Datos!C1893/$F$3*100,NA()),NA())</f>
        <v/>
      </c>
    </row>
    <row r="1894">
      <c r="A1894" s="7">
        <f>IFERROR(Datos!A1894,"")</f>
        <v/>
      </c>
      <c r="B1894" s="27">
        <f>IFERROR(IF(ISNUMBER(Datos!B1894),Datos!B1894/$F$2*100,NA()),NA())</f>
        <v/>
      </c>
      <c r="C1894" s="27">
        <f>IFERROR(IF(ISNUMBER(Datos!C1894),Datos!C1894/$F$3*100,NA()),NA())</f>
        <v/>
      </c>
    </row>
    <row r="1895">
      <c r="A1895" s="7">
        <f>IFERROR(Datos!A1895,"")</f>
        <v/>
      </c>
      <c r="B1895" s="27">
        <f>IFERROR(IF(ISNUMBER(Datos!B1895),Datos!B1895/$F$2*100,NA()),NA())</f>
        <v/>
      </c>
      <c r="C1895" s="27">
        <f>IFERROR(IF(ISNUMBER(Datos!C1895),Datos!C1895/$F$3*100,NA()),NA())</f>
        <v/>
      </c>
    </row>
    <row r="1896">
      <c r="A1896" s="7">
        <f>IFERROR(Datos!A1896,"")</f>
        <v/>
      </c>
      <c r="B1896" s="27">
        <f>IFERROR(IF(ISNUMBER(Datos!B1896),Datos!B1896/$F$2*100,NA()),NA())</f>
        <v/>
      </c>
      <c r="C1896" s="27">
        <f>IFERROR(IF(ISNUMBER(Datos!C1896),Datos!C1896/$F$3*100,NA()),NA())</f>
        <v/>
      </c>
    </row>
    <row r="1897">
      <c r="A1897" s="7">
        <f>IFERROR(Datos!A1897,"")</f>
        <v/>
      </c>
      <c r="B1897" s="27">
        <f>IFERROR(IF(ISNUMBER(Datos!B1897),Datos!B1897/$F$2*100,NA()),NA())</f>
        <v/>
      </c>
      <c r="C1897" s="27">
        <f>IFERROR(IF(ISNUMBER(Datos!C1897),Datos!C1897/$F$3*100,NA()),NA())</f>
        <v/>
      </c>
    </row>
    <row r="1898">
      <c r="A1898" s="7">
        <f>IFERROR(Datos!A1898,"")</f>
        <v/>
      </c>
      <c r="B1898" s="27">
        <f>IFERROR(IF(ISNUMBER(Datos!B1898),Datos!B1898/$F$2*100,NA()),NA())</f>
        <v/>
      </c>
      <c r="C1898" s="27">
        <f>IFERROR(IF(ISNUMBER(Datos!C1898),Datos!C1898/$F$3*100,NA()),NA())</f>
        <v/>
      </c>
    </row>
    <row r="1899">
      <c r="A1899" s="7">
        <f>IFERROR(Datos!A1899,"")</f>
        <v/>
      </c>
      <c r="B1899" s="27">
        <f>IFERROR(IF(ISNUMBER(Datos!B1899),Datos!B1899/$F$2*100,NA()),NA())</f>
        <v/>
      </c>
      <c r="C1899" s="27">
        <f>IFERROR(IF(ISNUMBER(Datos!C1899),Datos!C1899/$F$3*100,NA()),NA())</f>
        <v/>
      </c>
    </row>
    <row r="1900">
      <c r="A1900" s="7">
        <f>IFERROR(Datos!A1900,"")</f>
        <v/>
      </c>
      <c r="B1900" s="27">
        <f>IFERROR(IF(ISNUMBER(Datos!B1900),Datos!B1900/$F$2*100,NA()),NA())</f>
        <v/>
      </c>
      <c r="C1900" s="27">
        <f>IFERROR(IF(ISNUMBER(Datos!C1900),Datos!C1900/$F$3*100,NA()),NA())</f>
        <v/>
      </c>
    </row>
    <row r="1901">
      <c r="A1901" s="7">
        <f>IFERROR(Datos!A1901,"")</f>
        <v/>
      </c>
      <c r="B1901" s="27">
        <f>IFERROR(IF(ISNUMBER(Datos!B1901),Datos!B1901/$F$2*100,NA()),NA())</f>
        <v/>
      </c>
      <c r="C1901" s="27">
        <f>IFERROR(IF(ISNUMBER(Datos!C1901),Datos!C1901/$F$3*100,NA()),NA())</f>
        <v/>
      </c>
    </row>
    <row r="1902">
      <c r="A1902" s="7">
        <f>IFERROR(Datos!A1902,"")</f>
        <v/>
      </c>
      <c r="B1902" s="27">
        <f>IFERROR(IF(ISNUMBER(Datos!B1902),Datos!B1902/$F$2*100,NA()),NA())</f>
        <v/>
      </c>
      <c r="C1902" s="27">
        <f>IFERROR(IF(ISNUMBER(Datos!C1902),Datos!C1902/$F$3*100,NA()),NA())</f>
        <v/>
      </c>
    </row>
    <row r="1903">
      <c r="A1903" s="7">
        <f>IFERROR(Datos!A1903,"")</f>
        <v/>
      </c>
      <c r="B1903" s="27">
        <f>IFERROR(IF(ISNUMBER(Datos!B1903),Datos!B1903/$F$2*100,NA()),NA())</f>
        <v/>
      </c>
      <c r="C1903" s="27">
        <f>IFERROR(IF(ISNUMBER(Datos!C1903),Datos!C1903/$F$3*100,NA()),NA())</f>
        <v/>
      </c>
    </row>
    <row r="1904">
      <c r="A1904" s="7">
        <f>IFERROR(Datos!A1904,"")</f>
        <v/>
      </c>
      <c r="B1904" s="27">
        <f>IFERROR(IF(ISNUMBER(Datos!B1904),Datos!B1904/$F$2*100,NA()),NA())</f>
        <v/>
      </c>
      <c r="C1904" s="27">
        <f>IFERROR(IF(ISNUMBER(Datos!C1904),Datos!C1904/$F$3*100,NA()),NA())</f>
        <v/>
      </c>
    </row>
    <row r="1905">
      <c r="A1905" s="7">
        <f>IFERROR(Datos!A1905,"")</f>
        <v/>
      </c>
      <c r="B1905" s="27">
        <f>IFERROR(IF(ISNUMBER(Datos!B1905),Datos!B1905/$F$2*100,NA()),NA())</f>
        <v/>
      </c>
      <c r="C1905" s="27">
        <f>IFERROR(IF(ISNUMBER(Datos!C1905),Datos!C1905/$F$3*100,NA()),NA())</f>
        <v/>
      </c>
    </row>
    <row r="1906">
      <c r="A1906" s="7">
        <f>IFERROR(Datos!A1906,"")</f>
        <v/>
      </c>
      <c r="B1906" s="27">
        <f>IFERROR(IF(ISNUMBER(Datos!B1906),Datos!B1906/$F$2*100,NA()),NA())</f>
        <v/>
      </c>
      <c r="C1906" s="27">
        <f>IFERROR(IF(ISNUMBER(Datos!C1906),Datos!C1906/$F$3*100,NA()),NA())</f>
        <v/>
      </c>
    </row>
    <row r="1907">
      <c r="A1907" s="7">
        <f>IFERROR(Datos!A1907,"")</f>
        <v/>
      </c>
      <c r="B1907" s="27">
        <f>IFERROR(IF(ISNUMBER(Datos!B1907),Datos!B1907/$F$2*100,NA()),NA())</f>
        <v/>
      </c>
      <c r="C1907" s="27">
        <f>IFERROR(IF(ISNUMBER(Datos!C1907),Datos!C1907/$F$3*100,NA()),NA())</f>
        <v/>
      </c>
    </row>
    <row r="1908">
      <c r="A1908" s="7">
        <f>IFERROR(Datos!A1908,"")</f>
        <v/>
      </c>
      <c r="B1908" s="27">
        <f>IFERROR(IF(ISNUMBER(Datos!B1908),Datos!B1908/$F$2*100,NA()),NA())</f>
        <v/>
      </c>
      <c r="C1908" s="27">
        <f>IFERROR(IF(ISNUMBER(Datos!C1908),Datos!C1908/$F$3*100,NA()),NA())</f>
        <v/>
      </c>
    </row>
    <row r="1909">
      <c r="A1909" s="7">
        <f>IFERROR(Datos!A1909,"")</f>
        <v/>
      </c>
      <c r="B1909" s="27">
        <f>IFERROR(IF(ISNUMBER(Datos!B1909),Datos!B1909/$F$2*100,NA()),NA())</f>
        <v/>
      </c>
      <c r="C1909" s="27">
        <f>IFERROR(IF(ISNUMBER(Datos!C1909),Datos!C1909/$F$3*100,NA()),NA())</f>
        <v/>
      </c>
    </row>
    <row r="1910">
      <c r="A1910" s="7">
        <f>IFERROR(Datos!A1910,"")</f>
        <v/>
      </c>
      <c r="B1910" s="27">
        <f>IFERROR(IF(ISNUMBER(Datos!B1910),Datos!B1910/$F$2*100,NA()),NA())</f>
        <v/>
      </c>
      <c r="C1910" s="27">
        <f>IFERROR(IF(ISNUMBER(Datos!C1910),Datos!C1910/$F$3*100,NA()),NA())</f>
        <v/>
      </c>
    </row>
    <row r="1911">
      <c r="A1911" s="7">
        <f>IFERROR(Datos!A1911,"")</f>
        <v/>
      </c>
      <c r="B1911" s="27">
        <f>IFERROR(IF(ISNUMBER(Datos!B1911),Datos!B1911/$F$2*100,NA()),NA())</f>
        <v/>
      </c>
      <c r="C1911" s="27">
        <f>IFERROR(IF(ISNUMBER(Datos!C1911),Datos!C1911/$F$3*100,NA()),NA())</f>
        <v/>
      </c>
    </row>
    <row r="1912">
      <c r="A1912" s="7">
        <f>IFERROR(Datos!A1912,"")</f>
        <v/>
      </c>
      <c r="B1912" s="27">
        <f>IFERROR(IF(ISNUMBER(Datos!B1912),Datos!B1912/$F$2*100,NA()),NA())</f>
        <v/>
      </c>
      <c r="C1912" s="27">
        <f>IFERROR(IF(ISNUMBER(Datos!C1912),Datos!C1912/$F$3*100,NA()),NA())</f>
        <v/>
      </c>
    </row>
    <row r="1913">
      <c r="A1913" s="7">
        <f>IFERROR(Datos!A1913,"")</f>
        <v/>
      </c>
      <c r="B1913" s="27">
        <f>IFERROR(IF(ISNUMBER(Datos!B1913),Datos!B1913/$F$2*100,NA()),NA())</f>
        <v/>
      </c>
      <c r="C1913" s="27">
        <f>IFERROR(IF(ISNUMBER(Datos!C1913),Datos!C1913/$F$3*100,NA()),NA())</f>
        <v/>
      </c>
    </row>
    <row r="1914">
      <c r="A1914" s="7">
        <f>IFERROR(Datos!A1914,"")</f>
        <v/>
      </c>
      <c r="B1914" s="27">
        <f>IFERROR(IF(ISNUMBER(Datos!B1914),Datos!B1914/$F$2*100,NA()),NA())</f>
        <v/>
      </c>
      <c r="C1914" s="27">
        <f>IFERROR(IF(ISNUMBER(Datos!C1914),Datos!C1914/$F$3*100,NA()),NA())</f>
        <v/>
      </c>
    </row>
    <row r="1915">
      <c r="A1915" s="7">
        <f>IFERROR(Datos!A1915,"")</f>
        <v/>
      </c>
      <c r="B1915" s="27">
        <f>IFERROR(IF(ISNUMBER(Datos!B1915),Datos!B1915/$F$2*100,NA()),NA())</f>
        <v/>
      </c>
      <c r="C1915" s="27">
        <f>IFERROR(IF(ISNUMBER(Datos!C1915),Datos!C1915/$F$3*100,NA()),NA())</f>
        <v/>
      </c>
    </row>
    <row r="1916">
      <c r="A1916" s="7">
        <f>IFERROR(Datos!A1916,"")</f>
        <v/>
      </c>
      <c r="B1916" s="27">
        <f>IFERROR(IF(ISNUMBER(Datos!B1916),Datos!B1916/$F$2*100,NA()),NA())</f>
        <v/>
      </c>
      <c r="C1916" s="27">
        <f>IFERROR(IF(ISNUMBER(Datos!C1916),Datos!C1916/$F$3*100,NA()),NA())</f>
        <v/>
      </c>
    </row>
    <row r="1917">
      <c r="A1917" s="7">
        <f>IFERROR(Datos!A1917,"")</f>
        <v/>
      </c>
      <c r="B1917" s="27">
        <f>IFERROR(IF(ISNUMBER(Datos!B1917),Datos!B1917/$F$2*100,NA()),NA())</f>
        <v/>
      </c>
      <c r="C1917" s="27">
        <f>IFERROR(IF(ISNUMBER(Datos!C1917),Datos!C1917/$F$3*100,NA()),NA())</f>
        <v/>
      </c>
    </row>
    <row r="1918">
      <c r="A1918" s="7">
        <f>IFERROR(Datos!A1918,"")</f>
        <v/>
      </c>
      <c r="B1918" s="27">
        <f>IFERROR(IF(ISNUMBER(Datos!B1918),Datos!B1918/$F$2*100,NA()),NA())</f>
        <v/>
      </c>
      <c r="C1918" s="27">
        <f>IFERROR(IF(ISNUMBER(Datos!C1918),Datos!C1918/$F$3*100,NA()),NA())</f>
        <v/>
      </c>
    </row>
    <row r="1919">
      <c r="A1919" s="7">
        <f>IFERROR(Datos!A1919,"")</f>
        <v/>
      </c>
      <c r="B1919" s="27">
        <f>IFERROR(IF(ISNUMBER(Datos!B1919),Datos!B1919/$F$2*100,NA()),NA())</f>
        <v/>
      </c>
      <c r="C1919" s="27">
        <f>IFERROR(IF(ISNUMBER(Datos!C1919),Datos!C1919/$F$3*100,NA()),NA())</f>
        <v/>
      </c>
    </row>
    <row r="1920">
      <c r="A1920" s="7">
        <f>IFERROR(Datos!A1920,"")</f>
        <v/>
      </c>
      <c r="B1920" s="27">
        <f>IFERROR(IF(ISNUMBER(Datos!B1920),Datos!B1920/$F$2*100,NA()),NA())</f>
        <v/>
      </c>
      <c r="C1920" s="27">
        <f>IFERROR(IF(ISNUMBER(Datos!C1920),Datos!C1920/$F$3*100,NA()),NA())</f>
        <v/>
      </c>
    </row>
    <row r="1921">
      <c r="A1921" s="7">
        <f>IFERROR(Datos!A1921,"")</f>
        <v/>
      </c>
      <c r="B1921" s="27">
        <f>IFERROR(IF(ISNUMBER(Datos!B1921),Datos!B1921/$F$2*100,NA()),NA())</f>
        <v/>
      </c>
      <c r="C1921" s="27">
        <f>IFERROR(IF(ISNUMBER(Datos!C1921),Datos!C1921/$F$3*100,NA()),NA())</f>
        <v/>
      </c>
    </row>
    <row r="1922">
      <c r="A1922" s="7">
        <f>IFERROR(Datos!A1922,"")</f>
        <v/>
      </c>
      <c r="B1922" s="27">
        <f>IFERROR(IF(ISNUMBER(Datos!B1922),Datos!B1922/$F$2*100,NA()),NA())</f>
        <v/>
      </c>
      <c r="C1922" s="27">
        <f>IFERROR(IF(ISNUMBER(Datos!C1922),Datos!C1922/$F$3*100,NA()),NA())</f>
        <v/>
      </c>
    </row>
    <row r="1923">
      <c r="A1923" s="7">
        <f>IFERROR(Datos!A1923,"")</f>
        <v/>
      </c>
      <c r="B1923" s="27">
        <f>IFERROR(IF(ISNUMBER(Datos!B1923),Datos!B1923/$F$2*100,NA()),NA())</f>
        <v/>
      </c>
      <c r="C1923" s="27">
        <f>IFERROR(IF(ISNUMBER(Datos!C1923),Datos!C1923/$F$3*100,NA()),NA())</f>
        <v/>
      </c>
    </row>
    <row r="1924">
      <c r="A1924" s="7">
        <f>IFERROR(Datos!A1924,"")</f>
        <v/>
      </c>
      <c r="B1924" s="27">
        <f>IFERROR(IF(ISNUMBER(Datos!B1924),Datos!B1924/$F$2*100,NA()),NA())</f>
        <v/>
      </c>
      <c r="C1924" s="27">
        <f>IFERROR(IF(ISNUMBER(Datos!C1924),Datos!C1924/$F$3*100,NA()),NA())</f>
        <v/>
      </c>
    </row>
    <row r="1925">
      <c r="A1925" s="7">
        <f>IFERROR(Datos!A1925,"")</f>
        <v/>
      </c>
      <c r="B1925" s="27">
        <f>IFERROR(IF(ISNUMBER(Datos!B1925),Datos!B1925/$F$2*100,NA()),NA())</f>
        <v/>
      </c>
      <c r="C1925" s="27">
        <f>IFERROR(IF(ISNUMBER(Datos!C1925),Datos!C1925/$F$3*100,NA()),NA())</f>
        <v/>
      </c>
    </row>
    <row r="1926">
      <c r="A1926" s="7">
        <f>IFERROR(Datos!A1926,"")</f>
        <v/>
      </c>
      <c r="B1926" s="27">
        <f>IFERROR(IF(ISNUMBER(Datos!B1926),Datos!B1926/$F$2*100,NA()),NA())</f>
        <v/>
      </c>
      <c r="C1926" s="27">
        <f>IFERROR(IF(ISNUMBER(Datos!C1926),Datos!C1926/$F$3*100,NA()),NA())</f>
        <v/>
      </c>
    </row>
    <row r="1927">
      <c r="A1927" s="7">
        <f>IFERROR(Datos!A1927,"")</f>
        <v/>
      </c>
      <c r="B1927" s="27">
        <f>IFERROR(IF(ISNUMBER(Datos!B1927),Datos!B1927/$F$2*100,NA()),NA())</f>
        <v/>
      </c>
      <c r="C1927" s="27">
        <f>IFERROR(IF(ISNUMBER(Datos!C1927),Datos!C1927/$F$3*100,NA()),NA())</f>
        <v/>
      </c>
    </row>
    <row r="1928">
      <c r="A1928" s="7">
        <f>IFERROR(Datos!A1928,"")</f>
        <v/>
      </c>
      <c r="B1928" s="27">
        <f>IFERROR(IF(ISNUMBER(Datos!B1928),Datos!B1928/$F$2*100,NA()),NA())</f>
        <v/>
      </c>
      <c r="C1928" s="27">
        <f>IFERROR(IF(ISNUMBER(Datos!C1928),Datos!C1928/$F$3*100,NA()),NA())</f>
        <v/>
      </c>
    </row>
    <row r="1929">
      <c r="A1929" s="7">
        <f>IFERROR(Datos!A1929,"")</f>
        <v/>
      </c>
      <c r="B1929" s="27">
        <f>IFERROR(IF(ISNUMBER(Datos!B1929),Datos!B1929/$F$2*100,NA()),NA())</f>
        <v/>
      </c>
      <c r="C1929" s="27">
        <f>IFERROR(IF(ISNUMBER(Datos!C1929),Datos!C1929/$F$3*100,NA()),NA())</f>
        <v/>
      </c>
    </row>
    <row r="1930">
      <c r="A1930" s="7">
        <f>IFERROR(Datos!A1930,"")</f>
        <v/>
      </c>
      <c r="B1930" s="27">
        <f>IFERROR(IF(ISNUMBER(Datos!B1930),Datos!B1930/$F$2*100,NA()),NA())</f>
        <v/>
      </c>
      <c r="C1930" s="27">
        <f>IFERROR(IF(ISNUMBER(Datos!C1930),Datos!C1930/$F$3*100,NA()),NA())</f>
        <v/>
      </c>
    </row>
    <row r="1931">
      <c r="A1931" s="7">
        <f>IFERROR(Datos!A1931,"")</f>
        <v/>
      </c>
      <c r="B1931" s="27">
        <f>IFERROR(IF(ISNUMBER(Datos!B1931),Datos!B1931/$F$2*100,NA()),NA())</f>
        <v/>
      </c>
      <c r="C1931" s="27">
        <f>IFERROR(IF(ISNUMBER(Datos!C1931),Datos!C1931/$F$3*100,NA()),NA())</f>
        <v/>
      </c>
    </row>
    <row r="1932">
      <c r="A1932" s="7">
        <f>IFERROR(Datos!A1932,"")</f>
        <v/>
      </c>
      <c r="B1932" s="27">
        <f>IFERROR(IF(ISNUMBER(Datos!B1932),Datos!B1932/$F$2*100,NA()),NA())</f>
        <v/>
      </c>
      <c r="C1932" s="27">
        <f>IFERROR(IF(ISNUMBER(Datos!C1932),Datos!C1932/$F$3*100,NA()),NA())</f>
        <v/>
      </c>
    </row>
    <row r="1933">
      <c r="A1933" s="7">
        <f>IFERROR(Datos!A1933,"")</f>
        <v/>
      </c>
      <c r="B1933" s="27">
        <f>IFERROR(IF(ISNUMBER(Datos!B1933),Datos!B1933/$F$2*100,NA()),NA())</f>
        <v/>
      </c>
      <c r="C1933" s="27">
        <f>IFERROR(IF(ISNUMBER(Datos!C1933),Datos!C1933/$F$3*100,NA()),NA())</f>
        <v/>
      </c>
    </row>
    <row r="1934">
      <c r="A1934" s="7">
        <f>IFERROR(Datos!A1934,"")</f>
        <v/>
      </c>
      <c r="B1934" s="27">
        <f>IFERROR(IF(ISNUMBER(Datos!B1934),Datos!B1934/$F$2*100,NA()),NA())</f>
        <v/>
      </c>
      <c r="C1934" s="27">
        <f>IFERROR(IF(ISNUMBER(Datos!C1934),Datos!C1934/$F$3*100,NA()),NA())</f>
        <v/>
      </c>
    </row>
    <row r="1935">
      <c r="A1935" s="7">
        <f>IFERROR(Datos!A1935,"")</f>
        <v/>
      </c>
      <c r="B1935" s="27">
        <f>IFERROR(IF(ISNUMBER(Datos!B1935),Datos!B1935/$F$2*100,NA()),NA())</f>
        <v/>
      </c>
      <c r="C1935" s="27">
        <f>IFERROR(IF(ISNUMBER(Datos!C1935),Datos!C1935/$F$3*100,NA()),NA())</f>
        <v/>
      </c>
    </row>
    <row r="1936">
      <c r="A1936" s="7">
        <f>IFERROR(Datos!A1936,"")</f>
        <v/>
      </c>
      <c r="B1936" s="27">
        <f>IFERROR(IF(ISNUMBER(Datos!B1936),Datos!B1936/$F$2*100,NA()),NA())</f>
        <v/>
      </c>
      <c r="C1936" s="27">
        <f>IFERROR(IF(ISNUMBER(Datos!C1936),Datos!C1936/$F$3*100,NA()),NA())</f>
        <v/>
      </c>
    </row>
    <row r="1937">
      <c r="A1937" s="7">
        <f>IFERROR(Datos!A1937,"")</f>
        <v/>
      </c>
      <c r="B1937" s="27">
        <f>IFERROR(IF(ISNUMBER(Datos!B1937),Datos!B1937/$F$2*100,NA()),NA())</f>
        <v/>
      </c>
      <c r="C1937" s="27">
        <f>IFERROR(IF(ISNUMBER(Datos!C1937),Datos!C1937/$F$3*100,NA()),NA())</f>
        <v/>
      </c>
    </row>
    <row r="1938">
      <c r="A1938" s="7">
        <f>IFERROR(Datos!A1938,"")</f>
        <v/>
      </c>
      <c r="B1938" s="27">
        <f>IFERROR(IF(ISNUMBER(Datos!B1938),Datos!B1938/$F$2*100,NA()),NA())</f>
        <v/>
      </c>
      <c r="C1938" s="27">
        <f>IFERROR(IF(ISNUMBER(Datos!C1938),Datos!C1938/$F$3*100,NA()),NA())</f>
        <v/>
      </c>
    </row>
    <row r="1939">
      <c r="A1939" s="7">
        <f>IFERROR(Datos!A1939,"")</f>
        <v/>
      </c>
      <c r="B1939" s="27">
        <f>IFERROR(IF(ISNUMBER(Datos!B1939),Datos!B1939/$F$2*100,NA()),NA())</f>
        <v/>
      </c>
      <c r="C1939" s="27">
        <f>IFERROR(IF(ISNUMBER(Datos!C1939),Datos!C1939/$F$3*100,NA()),NA())</f>
        <v/>
      </c>
    </row>
    <row r="1940">
      <c r="A1940" s="7">
        <f>IFERROR(Datos!A1940,"")</f>
        <v/>
      </c>
      <c r="B1940" s="27">
        <f>IFERROR(IF(ISNUMBER(Datos!B1940),Datos!B1940/$F$2*100,NA()),NA())</f>
        <v/>
      </c>
      <c r="C1940" s="27">
        <f>IFERROR(IF(ISNUMBER(Datos!C1940),Datos!C1940/$F$3*100,NA()),NA())</f>
        <v/>
      </c>
    </row>
    <row r="1941">
      <c r="A1941" s="7">
        <f>IFERROR(Datos!A1941,"")</f>
        <v/>
      </c>
      <c r="B1941" s="27">
        <f>IFERROR(IF(ISNUMBER(Datos!B1941),Datos!B1941/$F$2*100,NA()),NA())</f>
        <v/>
      </c>
      <c r="C1941" s="27">
        <f>IFERROR(IF(ISNUMBER(Datos!C1941),Datos!C1941/$F$3*100,NA()),NA())</f>
        <v/>
      </c>
    </row>
    <row r="1942">
      <c r="A1942" s="7">
        <f>IFERROR(Datos!A1942,"")</f>
        <v/>
      </c>
      <c r="B1942" s="27">
        <f>IFERROR(IF(ISNUMBER(Datos!B1942),Datos!B1942/$F$2*100,NA()),NA())</f>
        <v/>
      </c>
      <c r="C1942" s="27">
        <f>IFERROR(IF(ISNUMBER(Datos!C1942),Datos!C1942/$F$3*100,NA()),NA())</f>
        <v/>
      </c>
    </row>
    <row r="1943">
      <c r="A1943" s="7">
        <f>IFERROR(Datos!A1943,"")</f>
        <v/>
      </c>
      <c r="B1943" s="27">
        <f>IFERROR(IF(ISNUMBER(Datos!B1943),Datos!B1943/$F$2*100,NA()),NA())</f>
        <v/>
      </c>
      <c r="C1943" s="27">
        <f>IFERROR(IF(ISNUMBER(Datos!C1943),Datos!C1943/$F$3*100,NA()),NA())</f>
        <v/>
      </c>
    </row>
    <row r="1944">
      <c r="A1944" s="7">
        <f>IFERROR(Datos!A1944,"")</f>
        <v/>
      </c>
      <c r="B1944" s="27">
        <f>IFERROR(IF(ISNUMBER(Datos!B1944),Datos!B1944/$F$2*100,NA()),NA())</f>
        <v/>
      </c>
      <c r="C1944" s="27">
        <f>IFERROR(IF(ISNUMBER(Datos!C1944),Datos!C1944/$F$3*100,NA()),NA())</f>
        <v/>
      </c>
    </row>
    <row r="1945">
      <c r="A1945" s="7">
        <f>IFERROR(Datos!A1945,"")</f>
        <v/>
      </c>
      <c r="B1945" s="27">
        <f>IFERROR(IF(ISNUMBER(Datos!B1945),Datos!B1945/$F$2*100,NA()),NA())</f>
        <v/>
      </c>
      <c r="C1945" s="27">
        <f>IFERROR(IF(ISNUMBER(Datos!C1945),Datos!C1945/$F$3*100,NA()),NA())</f>
        <v/>
      </c>
    </row>
    <row r="1946">
      <c r="A1946" s="7">
        <f>IFERROR(Datos!A1946,"")</f>
        <v/>
      </c>
      <c r="B1946" s="27">
        <f>IFERROR(IF(ISNUMBER(Datos!B1946),Datos!B1946/$F$2*100,NA()),NA())</f>
        <v/>
      </c>
      <c r="C1946" s="27">
        <f>IFERROR(IF(ISNUMBER(Datos!C1946),Datos!C1946/$F$3*100,NA()),NA())</f>
        <v/>
      </c>
    </row>
    <row r="1947">
      <c r="A1947" s="7">
        <f>IFERROR(Datos!A1947,"")</f>
        <v/>
      </c>
      <c r="B1947" s="27">
        <f>IFERROR(IF(ISNUMBER(Datos!B1947),Datos!B1947/$F$2*100,NA()),NA())</f>
        <v/>
      </c>
      <c r="C1947" s="27">
        <f>IFERROR(IF(ISNUMBER(Datos!C1947),Datos!C1947/$F$3*100,NA()),NA())</f>
        <v/>
      </c>
    </row>
    <row r="1948">
      <c r="A1948" s="7">
        <f>IFERROR(Datos!A1948,"")</f>
        <v/>
      </c>
      <c r="B1948" s="27">
        <f>IFERROR(IF(ISNUMBER(Datos!B1948),Datos!B1948/$F$2*100,NA()),NA())</f>
        <v/>
      </c>
      <c r="C1948" s="27">
        <f>IFERROR(IF(ISNUMBER(Datos!C1948),Datos!C1948/$F$3*100,NA()),NA())</f>
        <v/>
      </c>
    </row>
    <row r="1949">
      <c r="A1949" s="7">
        <f>IFERROR(Datos!A1949,"")</f>
        <v/>
      </c>
      <c r="B1949" s="27">
        <f>IFERROR(IF(ISNUMBER(Datos!B1949),Datos!B1949/$F$2*100,NA()),NA())</f>
        <v/>
      </c>
      <c r="C1949" s="27">
        <f>IFERROR(IF(ISNUMBER(Datos!C1949),Datos!C1949/$F$3*100,NA()),NA())</f>
        <v/>
      </c>
    </row>
    <row r="1950">
      <c r="A1950" s="7">
        <f>IFERROR(Datos!A1950,"")</f>
        <v/>
      </c>
      <c r="B1950" s="27">
        <f>IFERROR(IF(ISNUMBER(Datos!B1950),Datos!B1950/$F$2*100,NA()),NA())</f>
        <v/>
      </c>
      <c r="C1950" s="27">
        <f>IFERROR(IF(ISNUMBER(Datos!C1950),Datos!C1950/$F$3*100,NA()),NA())</f>
        <v/>
      </c>
    </row>
    <row r="1951">
      <c r="A1951" s="7">
        <f>IFERROR(Datos!A1951,"")</f>
        <v/>
      </c>
      <c r="B1951" s="27">
        <f>IFERROR(IF(ISNUMBER(Datos!B1951),Datos!B1951/$F$2*100,NA()),NA())</f>
        <v/>
      </c>
      <c r="C1951" s="27">
        <f>IFERROR(IF(ISNUMBER(Datos!C1951),Datos!C1951/$F$3*100,NA()),NA())</f>
        <v/>
      </c>
    </row>
    <row r="1952">
      <c r="A1952" s="7">
        <f>IFERROR(Datos!A1952,"")</f>
        <v/>
      </c>
      <c r="B1952" s="27">
        <f>IFERROR(IF(ISNUMBER(Datos!B1952),Datos!B1952/$F$2*100,NA()),NA())</f>
        <v/>
      </c>
      <c r="C1952" s="27">
        <f>IFERROR(IF(ISNUMBER(Datos!C1952),Datos!C1952/$F$3*100,NA()),NA())</f>
        <v/>
      </c>
    </row>
    <row r="1953">
      <c r="A1953" s="7">
        <f>IFERROR(Datos!A1953,"")</f>
        <v/>
      </c>
      <c r="B1953" s="27">
        <f>IFERROR(IF(ISNUMBER(Datos!B1953),Datos!B1953/$F$2*100,NA()),NA())</f>
        <v/>
      </c>
      <c r="C1953" s="27">
        <f>IFERROR(IF(ISNUMBER(Datos!C1953),Datos!C1953/$F$3*100,NA()),NA())</f>
        <v/>
      </c>
    </row>
    <row r="1954">
      <c r="A1954" s="7">
        <f>IFERROR(Datos!A1954,"")</f>
        <v/>
      </c>
      <c r="B1954" s="27">
        <f>IFERROR(IF(ISNUMBER(Datos!B1954),Datos!B1954/$F$2*100,NA()),NA())</f>
        <v/>
      </c>
      <c r="C1954" s="27">
        <f>IFERROR(IF(ISNUMBER(Datos!C1954),Datos!C1954/$F$3*100,NA()),NA())</f>
        <v/>
      </c>
    </row>
    <row r="1955">
      <c r="A1955" s="7">
        <f>IFERROR(Datos!A1955,"")</f>
        <v/>
      </c>
      <c r="B1955" s="27">
        <f>IFERROR(IF(ISNUMBER(Datos!B1955),Datos!B1955/$F$2*100,NA()),NA())</f>
        <v/>
      </c>
      <c r="C1955" s="27">
        <f>IFERROR(IF(ISNUMBER(Datos!C1955),Datos!C1955/$F$3*100,NA()),NA())</f>
        <v/>
      </c>
    </row>
    <row r="1956">
      <c r="A1956" s="7">
        <f>IFERROR(Datos!A1956,"")</f>
        <v/>
      </c>
      <c r="B1956" s="27">
        <f>IFERROR(IF(ISNUMBER(Datos!B1956),Datos!B1956/$F$2*100,NA()),NA())</f>
        <v/>
      </c>
      <c r="C1956" s="27">
        <f>IFERROR(IF(ISNUMBER(Datos!C1956),Datos!C1956/$F$3*100,NA()),NA())</f>
        <v/>
      </c>
    </row>
    <row r="1957">
      <c r="A1957" s="7">
        <f>IFERROR(Datos!A1957,"")</f>
        <v/>
      </c>
      <c r="B1957" s="27">
        <f>IFERROR(IF(ISNUMBER(Datos!B1957),Datos!B1957/$F$2*100,NA()),NA())</f>
        <v/>
      </c>
      <c r="C1957" s="27">
        <f>IFERROR(IF(ISNUMBER(Datos!C1957),Datos!C1957/$F$3*100,NA()),NA())</f>
        <v/>
      </c>
    </row>
    <row r="1958">
      <c r="A1958" s="7">
        <f>IFERROR(Datos!A1958,"")</f>
        <v/>
      </c>
      <c r="B1958" s="27">
        <f>IFERROR(IF(ISNUMBER(Datos!B1958),Datos!B1958/$F$2*100,NA()),NA())</f>
        <v/>
      </c>
      <c r="C1958" s="27">
        <f>IFERROR(IF(ISNUMBER(Datos!C1958),Datos!C1958/$F$3*100,NA()),NA())</f>
        <v/>
      </c>
    </row>
    <row r="1959">
      <c r="A1959" s="7">
        <f>IFERROR(Datos!A1959,"")</f>
        <v/>
      </c>
      <c r="B1959" s="27">
        <f>IFERROR(IF(ISNUMBER(Datos!B1959),Datos!B1959/$F$2*100,NA()),NA())</f>
        <v/>
      </c>
      <c r="C1959" s="27">
        <f>IFERROR(IF(ISNUMBER(Datos!C1959),Datos!C1959/$F$3*100,NA()),NA())</f>
        <v/>
      </c>
    </row>
    <row r="1960">
      <c r="A1960" s="7">
        <f>IFERROR(Datos!A1960,"")</f>
        <v/>
      </c>
      <c r="B1960" s="27">
        <f>IFERROR(IF(ISNUMBER(Datos!B1960),Datos!B1960/$F$2*100,NA()),NA())</f>
        <v/>
      </c>
      <c r="C1960" s="27">
        <f>IFERROR(IF(ISNUMBER(Datos!C1960),Datos!C1960/$F$3*100,NA()),NA())</f>
        <v/>
      </c>
    </row>
    <row r="1961">
      <c r="A1961" s="7">
        <f>IFERROR(Datos!A1961,"")</f>
        <v/>
      </c>
      <c r="B1961" s="27">
        <f>IFERROR(IF(ISNUMBER(Datos!B1961),Datos!B1961/$F$2*100,NA()),NA())</f>
        <v/>
      </c>
      <c r="C1961" s="27">
        <f>IFERROR(IF(ISNUMBER(Datos!C1961),Datos!C1961/$F$3*100,NA()),NA())</f>
        <v/>
      </c>
    </row>
    <row r="1962">
      <c r="A1962" s="7">
        <f>IFERROR(Datos!A1962,"")</f>
        <v/>
      </c>
      <c r="B1962" s="27">
        <f>IFERROR(IF(ISNUMBER(Datos!B1962),Datos!B1962/$F$2*100,NA()),NA())</f>
        <v/>
      </c>
      <c r="C1962" s="27">
        <f>IFERROR(IF(ISNUMBER(Datos!C1962),Datos!C1962/$F$3*100,NA()),NA())</f>
        <v/>
      </c>
    </row>
    <row r="1963">
      <c r="A1963" s="7">
        <f>IFERROR(Datos!A1963,"")</f>
        <v/>
      </c>
      <c r="B1963" s="27">
        <f>IFERROR(IF(ISNUMBER(Datos!B1963),Datos!B1963/$F$2*100,NA()),NA())</f>
        <v/>
      </c>
      <c r="C1963" s="27">
        <f>IFERROR(IF(ISNUMBER(Datos!C1963),Datos!C1963/$F$3*100,NA()),NA())</f>
        <v/>
      </c>
    </row>
    <row r="1964">
      <c r="A1964" s="7">
        <f>IFERROR(Datos!A1964,"")</f>
        <v/>
      </c>
      <c r="B1964" s="27">
        <f>IFERROR(IF(ISNUMBER(Datos!B1964),Datos!B1964/$F$2*100,NA()),NA())</f>
        <v/>
      </c>
      <c r="C1964" s="27">
        <f>IFERROR(IF(ISNUMBER(Datos!C1964),Datos!C1964/$F$3*100,NA()),NA())</f>
        <v/>
      </c>
    </row>
    <row r="1965">
      <c r="A1965" s="7">
        <f>IFERROR(Datos!A1965,"")</f>
        <v/>
      </c>
      <c r="B1965" s="27">
        <f>IFERROR(IF(ISNUMBER(Datos!B1965),Datos!B1965/$F$2*100,NA()),NA())</f>
        <v/>
      </c>
      <c r="C1965" s="27">
        <f>IFERROR(IF(ISNUMBER(Datos!C1965),Datos!C1965/$F$3*100,NA()),NA())</f>
        <v/>
      </c>
    </row>
    <row r="1966">
      <c r="A1966" s="7">
        <f>IFERROR(Datos!A1966,"")</f>
        <v/>
      </c>
      <c r="B1966" s="27">
        <f>IFERROR(IF(ISNUMBER(Datos!B1966),Datos!B1966/$F$2*100,NA()),NA())</f>
        <v/>
      </c>
      <c r="C1966" s="27">
        <f>IFERROR(IF(ISNUMBER(Datos!C1966),Datos!C1966/$F$3*100,NA()),NA())</f>
        <v/>
      </c>
    </row>
    <row r="1967">
      <c r="A1967" s="7">
        <f>IFERROR(Datos!A1967,"")</f>
        <v/>
      </c>
      <c r="B1967" s="27">
        <f>IFERROR(IF(ISNUMBER(Datos!B1967),Datos!B1967/$F$2*100,NA()),NA())</f>
        <v/>
      </c>
      <c r="C1967" s="27">
        <f>IFERROR(IF(ISNUMBER(Datos!C1967),Datos!C1967/$F$3*100,NA()),NA())</f>
        <v/>
      </c>
    </row>
    <row r="1968">
      <c r="A1968" s="7">
        <f>IFERROR(Datos!A1968,"")</f>
        <v/>
      </c>
      <c r="B1968" s="27">
        <f>IFERROR(IF(ISNUMBER(Datos!B1968),Datos!B1968/$F$2*100,NA()),NA())</f>
        <v/>
      </c>
      <c r="C1968" s="27">
        <f>IFERROR(IF(ISNUMBER(Datos!C1968),Datos!C1968/$F$3*100,NA()),NA())</f>
        <v/>
      </c>
    </row>
    <row r="1969">
      <c r="A1969" s="7">
        <f>IFERROR(Datos!A1969,"")</f>
        <v/>
      </c>
      <c r="B1969" s="27">
        <f>IFERROR(IF(ISNUMBER(Datos!B1969),Datos!B1969/$F$2*100,NA()),NA())</f>
        <v/>
      </c>
      <c r="C1969" s="27">
        <f>IFERROR(IF(ISNUMBER(Datos!C1969),Datos!C1969/$F$3*100,NA()),NA())</f>
        <v/>
      </c>
    </row>
    <row r="1970">
      <c r="A1970" s="7">
        <f>IFERROR(Datos!A1970,"")</f>
        <v/>
      </c>
      <c r="B1970" s="27">
        <f>IFERROR(IF(ISNUMBER(Datos!B1970),Datos!B1970/$F$2*100,NA()),NA())</f>
        <v/>
      </c>
      <c r="C1970" s="27">
        <f>IFERROR(IF(ISNUMBER(Datos!C1970),Datos!C1970/$F$3*100,NA()),NA())</f>
        <v/>
      </c>
    </row>
    <row r="1971">
      <c r="A1971" s="7">
        <f>IFERROR(Datos!A1971,"")</f>
        <v/>
      </c>
      <c r="B1971" s="27">
        <f>IFERROR(IF(ISNUMBER(Datos!B1971),Datos!B1971/$F$2*100,NA()),NA())</f>
        <v/>
      </c>
      <c r="C1971" s="27">
        <f>IFERROR(IF(ISNUMBER(Datos!C1971),Datos!C1971/$F$3*100,NA()),NA())</f>
        <v/>
      </c>
    </row>
    <row r="1972">
      <c r="A1972" s="7">
        <f>IFERROR(Datos!A1972,"")</f>
        <v/>
      </c>
      <c r="B1972" s="27">
        <f>IFERROR(IF(ISNUMBER(Datos!B1972),Datos!B1972/$F$2*100,NA()),NA())</f>
        <v/>
      </c>
      <c r="C1972" s="27">
        <f>IFERROR(IF(ISNUMBER(Datos!C1972),Datos!C1972/$F$3*100,NA()),NA())</f>
        <v/>
      </c>
    </row>
    <row r="1973">
      <c r="A1973" s="7">
        <f>IFERROR(Datos!A1973,"")</f>
        <v/>
      </c>
      <c r="B1973" s="27">
        <f>IFERROR(IF(ISNUMBER(Datos!B1973),Datos!B1973/$F$2*100,NA()),NA())</f>
        <v/>
      </c>
      <c r="C1973" s="27">
        <f>IFERROR(IF(ISNUMBER(Datos!C1973),Datos!C1973/$F$3*100,NA()),NA())</f>
        <v/>
      </c>
    </row>
    <row r="1974">
      <c r="A1974" s="7">
        <f>IFERROR(Datos!A1974,"")</f>
        <v/>
      </c>
      <c r="B1974" s="27">
        <f>IFERROR(IF(ISNUMBER(Datos!B1974),Datos!B1974/$F$2*100,NA()),NA())</f>
        <v/>
      </c>
      <c r="C1974" s="27">
        <f>IFERROR(IF(ISNUMBER(Datos!C1974),Datos!C1974/$F$3*100,NA()),NA())</f>
        <v/>
      </c>
    </row>
    <row r="1975">
      <c r="A1975" s="7">
        <f>IFERROR(Datos!A1975,"")</f>
        <v/>
      </c>
      <c r="B1975" s="27">
        <f>IFERROR(IF(ISNUMBER(Datos!B1975),Datos!B1975/$F$2*100,NA()),NA())</f>
        <v/>
      </c>
      <c r="C1975" s="27">
        <f>IFERROR(IF(ISNUMBER(Datos!C1975),Datos!C1975/$F$3*100,NA()),NA())</f>
        <v/>
      </c>
    </row>
    <row r="1976">
      <c r="A1976" s="7">
        <f>IFERROR(Datos!A1976,"")</f>
        <v/>
      </c>
      <c r="B1976" s="27">
        <f>IFERROR(IF(ISNUMBER(Datos!B1976),Datos!B1976/$F$2*100,NA()),NA())</f>
        <v/>
      </c>
      <c r="C1976" s="27">
        <f>IFERROR(IF(ISNUMBER(Datos!C1976),Datos!C1976/$F$3*100,NA()),NA())</f>
        <v/>
      </c>
    </row>
    <row r="1977">
      <c r="A1977" s="7">
        <f>IFERROR(Datos!A1977,"")</f>
        <v/>
      </c>
      <c r="B1977" s="27">
        <f>IFERROR(IF(ISNUMBER(Datos!B1977),Datos!B1977/$F$2*100,NA()),NA())</f>
        <v/>
      </c>
      <c r="C1977" s="27">
        <f>IFERROR(IF(ISNUMBER(Datos!C1977),Datos!C1977/$F$3*100,NA()),NA())</f>
        <v/>
      </c>
    </row>
    <row r="1978">
      <c r="A1978" s="7">
        <f>IFERROR(Datos!A1978,"")</f>
        <v/>
      </c>
      <c r="B1978" s="27">
        <f>IFERROR(IF(ISNUMBER(Datos!B1978),Datos!B1978/$F$2*100,NA()),NA())</f>
        <v/>
      </c>
      <c r="C1978" s="27">
        <f>IFERROR(IF(ISNUMBER(Datos!C1978),Datos!C1978/$F$3*100,NA()),NA())</f>
        <v/>
      </c>
    </row>
    <row r="1979">
      <c r="A1979" s="7">
        <f>IFERROR(Datos!A1979,"")</f>
        <v/>
      </c>
      <c r="B1979" s="27">
        <f>IFERROR(IF(ISNUMBER(Datos!B1979),Datos!B1979/$F$2*100,NA()),NA())</f>
        <v/>
      </c>
      <c r="C1979" s="27">
        <f>IFERROR(IF(ISNUMBER(Datos!C1979),Datos!C1979/$F$3*100,NA()),NA())</f>
        <v/>
      </c>
    </row>
    <row r="1980">
      <c r="A1980" s="7">
        <f>IFERROR(Datos!A1980,"")</f>
        <v/>
      </c>
      <c r="B1980" s="27">
        <f>IFERROR(IF(ISNUMBER(Datos!B1980),Datos!B1980/$F$2*100,NA()),NA())</f>
        <v/>
      </c>
      <c r="C1980" s="27">
        <f>IFERROR(IF(ISNUMBER(Datos!C1980),Datos!C1980/$F$3*100,NA()),NA())</f>
        <v/>
      </c>
    </row>
    <row r="1981">
      <c r="A1981" s="7">
        <f>IFERROR(Datos!A1981,"")</f>
        <v/>
      </c>
      <c r="B1981" s="27">
        <f>IFERROR(IF(ISNUMBER(Datos!B1981),Datos!B1981/$F$2*100,NA()),NA())</f>
        <v/>
      </c>
      <c r="C1981" s="27">
        <f>IFERROR(IF(ISNUMBER(Datos!C1981),Datos!C1981/$F$3*100,NA()),NA())</f>
        <v/>
      </c>
    </row>
    <row r="1982">
      <c r="A1982" s="7">
        <f>IFERROR(Datos!A1982,"")</f>
        <v/>
      </c>
      <c r="B1982" s="27">
        <f>IFERROR(IF(ISNUMBER(Datos!B1982),Datos!B1982/$F$2*100,NA()),NA())</f>
        <v/>
      </c>
      <c r="C1982" s="27">
        <f>IFERROR(IF(ISNUMBER(Datos!C1982),Datos!C1982/$F$3*100,NA()),NA())</f>
        <v/>
      </c>
    </row>
    <row r="1983">
      <c r="A1983" s="7">
        <f>IFERROR(Datos!A1983,"")</f>
        <v/>
      </c>
      <c r="B1983" s="27">
        <f>IFERROR(IF(ISNUMBER(Datos!B1983),Datos!B1983/$F$2*100,NA()),NA())</f>
        <v/>
      </c>
      <c r="C1983" s="27">
        <f>IFERROR(IF(ISNUMBER(Datos!C1983),Datos!C1983/$F$3*100,NA()),NA())</f>
        <v/>
      </c>
    </row>
    <row r="1984">
      <c r="A1984" s="7">
        <f>IFERROR(Datos!A1984,"")</f>
        <v/>
      </c>
      <c r="B1984" s="27">
        <f>IFERROR(IF(ISNUMBER(Datos!B1984),Datos!B1984/$F$2*100,NA()),NA())</f>
        <v/>
      </c>
      <c r="C1984" s="27">
        <f>IFERROR(IF(ISNUMBER(Datos!C1984),Datos!C1984/$F$3*100,NA()),NA())</f>
        <v/>
      </c>
    </row>
    <row r="1985">
      <c r="A1985" s="7">
        <f>IFERROR(Datos!A1985,"")</f>
        <v/>
      </c>
      <c r="B1985" s="27">
        <f>IFERROR(IF(ISNUMBER(Datos!B1985),Datos!B1985/$F$2*100,NA()),NA())</f>
        <v/>
      </c>
      <c r="C1985" s="27">
        <f>IFERROR(IF(ISNUMBER(Datos!C1985),Datos!C1985/$F$3*100,NA()),NA())</f>
        <v/>
      </c>
    </row>
    <row r="1986">
      <c r="A1986" s="7">
        <f>IFERROR(Datos!A1986,"")</f>
        <v/>
      </c>
      <c r="B1986" s="27">
        <f>IFERROR(IF(ISNUMBER(Datos!B1986),Datos!B1986/$F$2*100,NA()),NA())</f>
        <v/>
      </c>
      <c r="C1986" s="27">
        <f>IFERROR(IF(ISNUMBER(Datos!C1986),Datos!C1986/$F$3*100,NA()),NA())</f>
        <v/>
      </c>
    </row>
    <row r="1987">
      <c r="A1987" s="7">
        <f>IFERROR(Datos!A1987,"")</f>
        <v/>
      </c>
      <c r="B1987" s="27">
        <f>IFERROR(IF(ISNUMBER(Datos!B1987),Datos!B1987/$F$2*100,NA()),NA())</f>
        <v/>
      </c>
      <c r="C1987" s="27">
        <f>IFERROR(IF(ISNUMBER(Datos!C1987),Datos!C1987/$F$3*100,NA()),NA())</f>
        <v/>
      </c>
    </row>
    <row r="1988">
      <c r="A1988" s="7">
        <f>IFERROR(Datos!A1988,"")</f>
        <v/>
      </c>
      <c r="B1988" s="27">
        <f>IFERROR(IF(ISNUMBER(Datos!B1988),Datos!B1988/$F$2*100,NA()),NA())</f>
        <v/>
      </c>
      <c r="C1988" s="27">
        <f>IFERROR(IF(ISNUMBER(Datos!C1988),Datos!C1988/$F$3*100,NA()),NA())</f>
        <v/>
      </c>
    </row>
    <row r="1989">
      <c r="A1989" s="7">
        <f>IFERROR(Datos!A1989,"")</f>
        <v/>
      </c>
      <c r="B1989" s="27">
        <f>IFERROR(IF(ISNUMBER(Datos!B1989),Datos!B1989/$F$2*100,NA()),NA())</f>
        <v/>
      </c>
      <c r="C1989" s="27">
        <f>IFERROR(IF(ISNUMBER(Datos!C1989),Datos!C1989/$F$3*100,NA()),NA())</f>
        <v/>
      </c>
    </row>
    <row r="1990">
      <c r="A1990" s="7">
        <f>IFERROR(Datos!A1990,"")</f>
        <v/>
      </c>
      <c r="B1990" s="27">
        <f>IFERROR(IF(ISNUMBER(Datos!B1990),Datos!B1990/$F$2*100,NA()),NA())</f>
        <v/>
      </c>
      <c r="C1990" s="27">
        <f>IFERROR(IF(ISNUMBER(Datos!C1990),Datos!C1990/$F$3*100,NA()),NA())</f>
        <v/>
      </c>
    </row>
    <row r="1991">
      <c r="A1991" s="7">
        <f>IFERROR(Datos!A1991,"")</f>
        <v/>
      </c>
      <c r="B1991" s="27">
        <f>IFERROR(IF(ISNUMBER(Datos!B1991),Datos!B1991/$F$2*100,NA()),NA())</f>
        <v/>
      </c>
      <c r="C1991" s="27">
        <f>IFERROR(IF(ISNUMBER(Datos!C1991),Datos!C1991/$F$3*100,NA()),NA())</f>
        <v/>
      </c>
    </row>
    <row r="1992">
      <c r="A1992" s="7">
        <f>IFERROR(Datos!A1992,"")</f>
        <v/>
      </c>
      <c r="B1992" s="27">
        <f>IFERROR(IF(ISNUMBER(Datos!B1992),Datos!B1992/$F$2*100,NA()),NA())</f>
        <v/>
      </c>
      <c r="C1992" s="27">
        <f>IFERROR(IF(ISNUMBER(Datos!C1992),Datos!C1992/$F$3*100,NA()),NA())</f>
        <v/>
      </c>
    </row>
    <row r="1993">
      <c r="A1993" s="7">
        <f>IFERROR(Datos!A1993,"")</f>
        <v/>
      </c>
      <c r="B1993" s="27">
        <f>IFERROR(IF(ISNUMBER(Datos!B1993),Datos!B1993/$F$2*100,NA()),NA())</f>
        <v/>
      </c>
      <c r="C1993" s="27">
        <f>IFERROR(IF(ISNUMBER(Datos!C1993),Datos!C1993/$F$3*100,NA()),NA())</f>
        <v/>
      </c>
    </row>
    <row r="1994">
      <c r="A1994" s="7">
        <f>IFERROR(Datos!A1994,"")</f>
        <v/>
      </c>
      <c r="B1994" s="27">
        <f>IFERROR(IF(ISNUMBER(Datos!B1994),Datos!B1994/$F$2*100,NA()),NA())</f>
        <v/>
      </c>
      <c r="C1994" s="27">
        <f>IFERROR(IF(ISNUMBER(Datos!C1994),Datos!C1994/$F$3*100,NA()),NA())</f>
        <v/>
      </c>
    </row>
    <row r="1995">
      <c r="A1995" s="7">
        <f>IFERROR(Datos!A1995,"")</f>
        <v/>
      </c>
      <c r="B1995" s="27">
        <f>IFERROR(IF(ISNUMBER(Datos!B1995),Datos!B1995/$F$2*100,NA()),NA())</f>
        <v/>
      </c>
      <c r="C1995" s="27">
        <f>IFERROR(IF(ISNUMBER(Datos!C1995),Datos!C1995/$F$3*100,NA()),NA())</f>
        <v/>
      </c>
    </row>
    <row r="1996">
      <c r="A1996" s="7">
        <f>IFERROR(Datos!A1996,"")</f>
        <v/>
      </c>
      <c r="B1996" s="27">
        <f>IFERROR(IF(ISNUMBER(Datos!B1996),Datos!B1996/$F$2*100,NA()),NA())</f>
        <v/>
      </c>
      <c r="C1996" s="27">
        <f>IFERROR(IF(ISNUMBER(Datos!C1996),Datos!C1996/$F$3*100,NA()),NA())</f>
        <v/>
      </c>
    </row>
    <row r="1997">
      <c r="A1997" s="7">
        <f>IFERROR(Datos!A1997,"")</f>
        <v/>
      </c>
      <c r="B1997" s="27">
        <f>IFERROR(IF(ISNUMBER(Datos!B1997),Datos!B1997/$F$2*100,NA()),NA())</f>
        <v/>
      </c>
      <c r="C1997" s="27">
        <f>IFERROR(IF(ISNUMBER(Datos!C1997),Datos!C1997/$F$3*100,NA()),NA())</f>
        <v/>
      </c>
    </row>
    <row r="1998">
      <c r="A1998" s="7">
        <f>IFERROR(Datos!A1998,"")</f>
        <v/>
      </c>
      <c r="B1998" s="27">
        <f>IFERROR(IF(ISNUMBER(Datos!B1998),Datos!B1998/$F$2*100,NA()),NA())</f>
        <v/>
      </c>
      <c r="C1998" s="27">
        <f>IFERROR(IF(ISNUMBER(Datos!C1998),Datos!C1998/$F$3*100,NA()),NA())</f>
        <v/>
      </c>
    </row>
    <row r="1999">
      <c r="A1999" s="7">
        <f>IFERROR(Datos!A1999,"")</f>
        <v/>
      </c>
      <c r="B1999" s="27">
        <f>IFERROR(IF(ISNUMBER(Datos!B1999),Datos!B1999/$F$2*100,NA()),NA())</f>
        <v/>
      </c>
      <c r="C1999" s="27">
        <f>IFERROR(IF(ISNUMBER(Datos!C1999),Datos!C1999/$F$3*100,NA()),NA())</f>
        <v/>
      </c>
    </row>
    <row r="2000">
      <c r="A2000" s="7">
        <f>IFERROR(Datos!A2000,"")</f>
        <v/>
      </c>
      <c r="B2000" s="27">
        <f>IFERROR(IF(ISNUMBER(Datos!B2000),Datos!B2000/$F$2*100,NA()),NA())</f>
        <v/>
      </c>
      <c r="C2000" s="27">
        <f>IFERROR(IF(ISNUMBER(Datos!C2000),Datos!C2000/$F$3*100,NA()),NA())</f>
        <v/>
      </c>
    </row>
    <row r="2001">
      <c r="A2001" s="7">
        <f>IFERROR(Datos!A2001,"")</f>
        <v/>
      </c>
      <c r="B2001" s="27">
        <f>IFERROR(IF(ISNUMBER(Datos!B2001),Datos!B2001/$F$2*100,NA()),NA())</f>
        <v/>
      </c>
      <c r="C2001" s="27">
        <f>IFERROR(IF(ISNUMBER(Datos!C2001),Datos!C2001/$F$3*100,NA()),NA())</f>
        <v/>
      </c>
    </row>
    <row r="2002">
      <c r="A2002" s="7">
        <f>IFERROR(Datos!A2002,"")</f>
        <v/>
      </c>
      <c r="B2002" s="27">
        <f>IFERROR(IF(ISNUMBER(Datos!B2002),Datos!B2002/$F$2*100,NA()),NA())</f>
        <v/>
      </c>
      <c r="C2002" s="27">
        <f>IFERROR(IF(ISNUMBER(Datos!C2002),Datos!C2002/$F$3*100,NA()),NA())</f>
        <v/>
      </c>
    </row>
    <row r="2003">
      <c r="A2003" s="7">
        <f>IFERROR(Datos!A2003,"")</f>
        <v/>
      </c>
      <c r="B2003" s="27">
        <f>IFERROR(IF(ISNUMBER(Datos!B2003),Datos!B2003/$F$2*100,NA()),NA())</f>
        <v/>
      </c>
      <c r="C2003" s="27">
        <f>IFERROR(IF(ISNUMBER(Datos!C2003),Datos!C2003/$F$3*100,NA()),NA())</f>
        <v/>
      </c>
    </row>
    <row r="2004">
      <c r="A2004" s="7">
        <f>IFERROR(Datos!A2004,"")</f>
        <v/>
      </c>
      <c r="B2004" s="27">
        <f>IFERROR(IF(ISNUMBER(Datos!B2004),Datos!B2004/$F$2*100,NA()),NA())</f>
        <v/>
      </c>
      <c r="C2004" s="27">
        <f>IFERROR(IF(ISNUMBER(Datos!C2004),Datos!C2004/$F$3*100,NA()),NA())</f>
        <v/>
      </c>
    </row>
    <row r="2005">
      <c r="A2005" s="7">
        <f>IFERROR(Datos!A2005,"")</f>
        <v/>
      </c>
      <c r="B2005" s="27">
        <f>IFERROR(IF(ISNUMBER(Datos!B2005),Datos!B2005/$F$2*100,NA()),NA())</f>
        <v/>
      </c>
      <c r="C2005" s="27">
        <f>IFERROR(IF(ISNUMBER(Datos!C2005),Datos!C2005/$F$3*100,NA()),NA())</f>
        <v/>
      </c>
    </row>
    <row r="2006">
      <c r="A2006" s="7">
        <f>IFERROR(Datos!A2006,"")</f>
        <v/>
      </c>
      <c r="B2006" s="27">
        <f>IFERROR(IF(ISNUMBER(Datos!B2006),Datos!B2006/$F$2*100,NA()),NA())</f>
        <v/>
      </c>
      <c r="C2006" s="27">
        <f>IFERROR(IF(ISNUMBER(Datos!C2006),Datos!C2006/$F$3*100,NA()),NA())</f>
        <v/>
      </c>
    </row>
    <row r="2007">
      <c r="A2007" s="7">
        <f>IFERROR(Datos!A2007,"")</f>
        <v/>
      </c>
      <c r="B2007" s="27">
        <f>IFERROR(IF(ISNUMBER(Datos!B2007),Datos!B2007/$F$2*100,NA()),NA())</f>
        <v/>
      </c>
      <c r="C2007" s="27">
        <f>IFERROR(IF(ISNUMBER(Datos!C2007),Datos!C2007/$F$3*100,NA()),NA())</f>
        <v/>
      </c>
    </row>
    <row r="2008">
      <c r="A2008" s="7">
        <f>IFERROR(Datos!A2008,"")</f>
        <v/>
      </c>
      <c r="B2008" s="27">
        <f>IFERROR(IF(ISNUMBER(Datos!B2008),Datos!B2008/$F$2*100,NA()),NA())</f>
        <v/>
      </c>
      <c r="C2008" s="27">
        <f>IFERROR(IF(ISNUMBER(Datos!C2008),Datos!C2008/$F$3*100,NA()),NA())</f>
        <v/>
      </c>
    </row>
    <row r="2009">
      <c r="A2009" s="7">
        <f>IFERROR(Datos!A2009,"")</f>
        <v/>
      </c>
      <c r="B2009" s="27">
        <f>IFERROR(IF(ISNUMBER(Datos!B2009),Datos!B2009/$F$2*100,NA()),NA())</f>
        <v/>
      </c>
      <c r="C2009" s="27">
        <f>IFERROR(IF(ISNUMBER(Datos!C2009),Datos!C2009/$F$3*100,NA()),NA())</f>
        <v/>
      </c>
    </row>
    <row r="2010">
      <c r="A2010" s="7">
        <f>IFERROR(Datos!A2010,"")</f>
        <v/>
      </c>
      <c r="B2010" s="27">
        <f>IFERROR(IF(ISNUMBER(Datos!B2010),Datos!B2010/$F$2*100,NA()),NA())</f>
        <v/>
      </c>
      <c r="C2010" s="27">
        <f>IFERROR(IF(ISNUMBER(Datos!C2010),Datos!C2010/$F$3*100,NA()),NA())</f>
        <v/>
      </c>
    </row>
    <row r="2011">
      <c r="A2011" s="7">
        <f>IFERROR(Datos!A2011,"")</f>
        <v/>
      </c>
      <c r="B2011" s="27">
        <f>IFERROR(IF(ISNUMBER(Datos!B2011),Datos!B2011/$F$2*100,NA()),NA())</f>
        <v/>
      </c>
      <c r="C2011" s="27">
        <f>IFERROR(IF(ISNUMBER(Datos!C2011),Datos!C2011/$F$3*100,NA()),NA())</f>
        <v/>
      </c>
    </row>
    <row r="2012">
      <c r="A2012" s="7">
        <f>IFERROR(Datos!A2012,"")</f>
        <v/>
      </c>
      <c r="B2012" s="27">
        <f>IFERROR(IF(ISNUMBER(Datos!B2012),Datos!B2012/$F$2*100,NA()),NA())</f>
        <v/>
      </c>
      <c r="C2012" s="27">
        <f>IFERROR(IF(ISNUMBER(Datos!C2012),Datos!C2012/$F$3*100,NA()),NA())</f>
        <v/>
      </c>
    </row>
    <row r="2013">
      <c r="A2013" s="7">
        <f>IFERROR(Datos!A2013,"")</f>
        <v/>
      </c>
      <c r="B2013" s="27">
        <f>IFERROR(IF(ISNUMBER(Datos!B2013),Datos!B2013/$F$2*100,NA()),NA())</f>
        <v/>
      </c>
      <c r="C2013" s="27">
        <f>IFERROR(IF(ISNUMBER(Datos!C2013),Datos!C2013/$F$3*100,NA()),NA())</f>
        <v/>
      </c>
    </row>
    <row r="2014">
      <c r="A2014" s="7">
        <f>IFERROR(Datos!A2014,"")</f>
        <v/>
      </c>
      <c r="B2014" s="27">
        <f>IFERROR(IF(ISNUMBER(Datos!B2014),Datos!B2014/$F$2*100,NA()),NA())</f>
        <v/>
      </c>
      <c r="C2014" s="27">
        <f>IFERROR(IF(ISNUMBER(Datos!C2014),Datos!C2014/$F$3*100,NA()),NA())</f>
        <v/>
      </c>
    </row>
    <row r="2015">
      <c r="A2015" s="7">
        <f>IFERROR(Datos!A2015,"")</f>
        <v/>
      </c>
      <c r="B2015" s="27">
        <f>IFERROR(IF(ISNUMBER(Datos!B2015),Datos!B2015/$F$2*100,NA()),NA())</f>
        <v/>
      </c>
      <c r="C2015" s="27">
        <f>IFERROR(IF(ISNUMBER(Datos!C2015),Datos!C2015/$F$3*100,NA()),NA())</f>
        <v/>
      </c>
    </row>
    <row r="2016">
      <c r="A2016" s="7">
        <f>IFERROR(Datos!A2016,"")</f>
        <v/>
      </c>
      <c r="B2016" s="27">
        <f>IFERROR(IF(ISNUMBER(Datos!B2016),Datos!B2016/$F$2*100,NA()),NA())</f>
        <v/>
      </c>
      <c r="C2016" s="27">
        <f>IFERROR(IF(ISNUMBER(Datos!C2016),Datos!C2016/$F$3*100,NA()),NA())</f>
        <v/>
      </c>
    </row>
    <row r="2017">
      <c r="A2017" s="7">
        <f>IFERROR(Datos!A2017,"")</f>
        <v/>
      </c>
      <c r="B2017" s="27">
        <f>IFERROR(IF(ISNUMBER(Datos!B2017),Datos!B2017/$F$2*100,NA()),NA())</f>
        <v/>
      </c>
      <c r="C2017" s="27">
        <f>IFERROR(IF(ISNUMBER(Datos!C2017),Datos!C2017/$F$3*100,NA()),NA())</f>
        <v/>
      </c>
    </row>
    <row r="2018">
      <c r="A2018" s="7">
        <f>IFERROR(Datos!A2018,"")</f>
        <v/>
      </c>
      <c r="B2018" s="27">
        <f>IFERROR(IF(ISNUMBER(Datos!B2018),Datos!B2018/$F$2*100,NA()),NA())</f>
        <v/>
      </c>
      <c r="C2018" s="27">
        <f>IFERROR(IF(ISNUMBER(Datos!C2018),Datos!C2018/$F$3*100,NA()),NA())</f>
        <v/>
      </c>
    </row>
    <row r="2019">
      <c r="A2019" s="7">
        <f>IFERROR(Datos!A2019,"")</f>
        <v/>
      </c>
      <c r="B2019" s="27">
        <f>IFERROR(IF(ISNUMBER(Datos!B2019),Datos!B2019/$F$2*100,NA()),NA())</f>
        <v/>
      </c>
      <c r="C2019" s="27">
        <f>IFERROR(IF(ISNUMBER(Datos!C2019),Datos!C2019/$F$3*100,NA()),NA())</f>
        <v/>
      </c>
    </row>
    <row r="2020">
      <c r="A2020" s="7">
        <f>IFERROR(Datos!A2020,"")</f>
        <v/>
      </c>
      <c r="B2020" s="27">
        <f>IFERROR(IF(ISNUMBER(Datos!B2020),Datos!B2020/$F$2*100,NA()),NA())</f>
        <v/>
      </c>
      <c r="C2020" s="27">
        <f>IFERROR(IF(ISNUMBER(Datos!C2020),Datos!C2020/$F$3*100,NA()),NA())</f>
        <v/>
      </c>
    </row>
    <row r="2021">
      <c r="A2021" s="7">
        <f>IFERROR(Datos!A2021,"")</f>
        <v/>
      </c>
      <c r="B2021" s="27">
        <f>IFERROR(IF(ISNUMBER(Datos!B2021),Datos!B2021/$F$2*100,NA()),NA())</f>
        <v/>
      </c>
      <c r="C2021" s="27">
        <f>IFERROR(IF(ISNUMBER(Datos!C2021),Datos!C2021/$F$3*100,NA()),NA())</f>
        <v/>
      </c>
    </row>
    <row r="2022">
      <c r="A2022" s="7">
        <f>IFERROR(Datos!A2022,"")</f>
        <v/>
      </c>
      <c r="B2022" s="27">
        <f>IFERROR(IF(ISNUMBER(Datos!B2022),Datos!B2022/$F$2*100,NA()),NA())</f>
        <v/>
      </c>
      <c r="C2022" s="27">
        <f>IFERROR(IF(ISNUMBER(Datos!C2022),Datos!C2022/$F$3*100,NA()),NA())</f>
        <v/>
      </c>
    </row>
    <row r="2023">
      <c r="A2023" s="7">
        <f>IFERROR(Datos!A2023,"")</f>
        <v/>
      </c>
      <c r="B2023" s="27">
        <f>IFERROR(IF(ISNUMBER(Datos!B2023),Datos!B2023/$F$2*100,NA()),NA())</f>
        <v/>
      </c>
      <c r="C2023" s="27">
        <f>IFERROR(IF(ISNUMBER(Datos!C2023),Datos!C2023/$F$3*100,NA()),NA())</f>
        <v/>
      </c>
    </row>
    <row r="2024">
      <c r="A2024" s="7">
        <f>IFERROR(Datos!A2024,"")</f>
        <v/>
      </c>
      <c r="B2024" s="27">
        <f>IFERROR(IF(ISNUMBER(Datos!B2024),Datos!B2024/$F$2*100,NA()),NA())</f>
        <v/>
      </c>
      <c r="C2024" s="27">
        <f>IFERROR(IF(ISNUMBER(Datos!C2024),Datos!C2024/$F$3*100,NA()),NA())</f>
        <v/>
      </c>
    </row>
    <row r="2025">
      <c r="A2025" s="7">
        <f>IFERROR(Datos!A2025,"")</f>
        <v/>
      </c>
      <c r="B2025" s="27">
        <f>IFERROR(IF(ISNUMBER(Datos!B2025),Datos!B2025/$F$2*100,NA()),NA())</f>
        <v/>
      </c>
      <c r="C2025" s="27">
        <f>IFERROR(IF(ISNUMBER(Datos!C2025),Datos!C2025/$F$3*100,NA()),NA())</f>
        <v/>
      </c>
    </row>
    <row r="2026">
      <c r="A2026" s="7">
        <f>IFERROR(Datos!A2026,"")</f>
        <v/>
      </c>
      <c r="B2026" s="27">
        <f>IFERROR(IF(ISNUMBER(Datos!B2026),Datos!B2026/$F$2*100,NA()),NA())</f>
        <v/>
      </c>
      <c r="C2026" s="27">
        <f>IFERROR(IF(ISNUMBER(Datos!C2026),Datos!C2026/$F$3*100,NA()),NA())</f>
        <v/>
      </c>
    </row>
    <row r="2027">
      <c r="A2027" s="7">
        <f>IFERROR(Datos!A2027,"")</f>
        <v/>
      </c>
      <c r="B2027" s="27">
        <f>IFERROR(IF(ISNUMBER(Datos!B2027),Datos!B2027/$F$2*100,NA()),NA())</f>
        <v/>
      </c>
      <c r="C2027" s="27">
        <f>IFERROR(IF(ISNUMBER(Datos!C2027),Datos!C2027/$F$3*100,NA()),NA())</f>
        <v/>
      </c>
    </row>
    <row r="2028">
      <c r="A2028" s="7">
        <f>IFERROR(Datos!A2028,"")</f>
        <v/>
      </c>
      <c r="B2028" s="27">
        <f>IFERROR(IF(ISNUMBER(Datos!B2028),Datos!B2028/$F$2*100,NA()),NA())</f>
        <v/>
      </c>
      <c r="C2028" s="27">
        <f>IFERROR(IF(ISNUMBER(Datos!C2028),Datos!C2028/$F$3*100,NA()),NA())</f>
        <v/>
      </c>
    </row>
    <row r="2029">
      <c r="A2029" s="7">
        <f>IFERROR(Datos!A2029,"")</f>
        <v/>
      </c>
      <c r="B2029" s="27">
        <f>IFERROR(IF(ISNUMBER(Datos!B2029),Datos!B2029/$F$2*100,NA()),NA())</f>
        <v/>
      </c>
      <c r="C2029" s="27">
        <f>IFERROR(IF(ISNUMBER(Datos!C2029),Datos!C2029/$F$3*100,NA()),NA())</f>
        <v/>
      </c>
    </row>
    <row r="2030">
      <c r="A2030" s="7">
        <f>IFERROR(Datos!A2030,"")</f>
        <v/>
      </c>
      <c r="B2030" s="27">
        <f>IFERROR(IF(ISNUMBER(Datos!B2030),Datos!B2030/$F$2*100,NA()),NA())</f>
        <v/>
      </c>
      <c r="C2030" s="27">
        <f>IFERROR(IF(ISNUMBER(Datos!C2030),Datos!C2030/$F$3*100,NA()),NA())</f>
        <v/>
      </c>
    </row>
    <row r="2031">
      <c r="A2031" s="7">
        <f>IFERROR(Datos!A2031,"")</f>
        <v/>
      </c>
      <c r="B2031" s="27">
        <f>IFERROR(IF(ISNUMBER(Datos!B2031),Datos!B2031/$F$2*100,NA()),NA())</f>
        <v/>
      </c>
      <c r="C2031" s="27">
        <f>IFERROR(IF(ISNUMBER(Datos!C2031),Datos!C2031/$F$3*100,NA()),NA())</f>
        <v/>
      </c>
    </row>
    <row r="2032">
      <c r="A2032" s="7">
        <f>IFERROR(Datos!A2032,"")</f>
        <v/>
      </c>
      <c r="B2032" s="27">
        <f>IFERROR(IF(ISNUMBER(Datos!B2032),Datos!B2032/$F$2*100,NA()),NA())</f>
        <v/>
      </c>
      <c r="C2032" s="27">
        <f>IFERROR(IF(ISNUMBER(Datos!C2032),Datos!C2032/$F$3*100,NA()),NA())</f>
        <v/>
      </c>
    </row>
    <row r="2033">
      <c r="A2033" s="7">
        <f>IFERROR(Datos!A2033,"")</f>
        <v/>
      </c>
      <c r="B2033" s="27">
        <f>IFERROR(IF(ISNUMBER(Datos!B2033),Datos!B2033/$F$2*100,NA()),NA())</f>
        <v/>
      </c>
      <c r="C2033" s="27">
        <f>IFERROR(IF(ISNUMBER(Datos!C2033),Datos!C2033/$F$3*100,NA()),NA())</f>
        <v/>
      </c>
    </row>
    <row r="2034">
      <c r="A2034" s="7">
        <f>IFERROR(Datos!A2034,"")</f>
        <v/>
      </c>
      <c r="B2034" s="27">
        <f>IFERROR(IF(ISNUMBER(Datos!B2034),Datos!B2034/$F$2*100,NA()),NA())</f>
        <v/>
      </c>
      <c r="C2034" s="27">
        <f>IFERROR(IF(ISNUMBER(Datos!C2034),Datos!C2034/$F$3*100,NA()),NA())</f>
        <v/>
      </c>
    </row>
    <row r="2035">
      <c r="A2035" s="7">
        <f>IFERROR(Datos!A2035,"")</f>
        <v/>
      </c>
      <c r="B2035" s="27">
        <f>IFERROR(IF(ISNUMBER(Datos!B2035),Datos!B2035/$F$2*100,NA()),NA())</f>
        <v/>
      </c>
      <c r="C2035" s="27">
        <f>IFERROR(IF(ISNUMBER(Datos!C2035),Datos!C2035/$F$3*100,NA()),NA())</f>
        <v/>
      </c>
    </row>
    <row r="2036">
      <c r="A2036" s="7">
        <f>IFERROR(Datos!A2036,"")</f>
        <v/>
      </c>
      <c r="B2036" s="27">
        <f>IFERROR(IF(ISNUMBER(Datos!B2036),Datos!B2036/$F$2*100,NA()),NA())</f>
        <v/>
      </c>
      <c r="C2036" s="27">
        <f>IFERROR(IF(ISNUMBER(Datos!C2036),Datos!C2036/$F$3*100,NA()),NA())</f>
        <v/>
      </c>
    </row>
    <row r="2037">
      <c r="A2037" s="7">
        <f>IFERROR(Datos!A2037,"")</f>
        <v/>
      </c>
      <c r="B2037" s="27">
        <f>IFERROR(IF(ISNUMBER(Datos!B2037),Datos!B2037/$F$2*100,NA()),NA())</f>
        <v/>
      </c>
      <c r="C2037" s="27">
        <f>IFERROR(IF(ISNUMBER(Datos!C2037),Datos!C2037/$F$3*100,NA()),NA())</f>
        <v/>
      </c>
    </row>
    <row r="2038">
      <c r="A2038" s="7">
        <f>IFERROR(Datos!A2038,"")</f>
        <v/>
      </c>
      <c r="B2038" s="27">
        <f>IFERROR(IF(ISNUMBER(Datos!B2038),Datos!B2038/$F$2*100,NA()),NA())</f>
        <v/>
      </c>
      <c r="C2038" s="27">
        <f>IFERROR(IF(ISNUMBER(Datos!C2038),Datos!C2038/$F$3*100,NA()),NA())</f>
        <v/>
      </c>
    </row>
    <row r="2039">
      <c r="A2039" s="7">
        <f>IFERROR(Datos!A2039,"")</f>
        <v/>
      </c>
      <c r="B2039" s="27">
        <f>IFERROR(IF(ISNUMBER(Datos!B2039),Datos!B2039/$F$2*100,NA()),NA())</f>
        <v/>
      </c>
      <c r="C2039" s="27">
        <f>IFERROR(IF(ISNUMBER(Datos!C2039),Datos!C2039/$F$3*100,NA()),NA())</f>
        <v/>
      </c>
    </row>
    <row r="2040">
      <c r="A2040" s="7">
        <f>IFERROR(Datos!A2040,"")</f>
        <v/>
      </c>
      <c r="B2040" s="27">
        <f>IFERROR(IF(ISNUMBER(Datos!B2040),Datos!B2040/$F$2*100,NA()),NA())</f>
        <v/>
      </c>
      <c r="C2040" s="27">
        <f>IFERROR(IF(ISNUMBER(Datos!C2040),Datos!C2040/$F$3*100,NA()),NA())</f>
        <v/>
      </c>
    </row>
    <row r="2041">
      <c r="A2041" s="7">
        <f>IFERROR(Datos!A2041,"")</f>
        <v/>
      </c>
      <c r="B2041" s="27">
        <f>IFERROR(IF(ISNUMBER(Datos!B2041),Datos!B2041/$F$2*100,NA()),NA())</f>
        <v/>
      </c>
      <c r="C2041" s="27">
        <f>IFERROR(IF(ISNUMBER(Datos!C2041),Datos!C2041/$F$3*100,NA()),NA())</f>
        <v/>
      </c>
    </row>
    <row r="2042">
      <c r="A2042" s="7">
        <f>IFERROR(Datos!A2042,"")</f>
        <v/>
      </c>
      <c r="B2042" s="27">
        <f>IFERROR(IF(ISNUMBER(Datos!B2042),Datos!B2042/$F$2*100,NA()),NA())</f>
        <v/>
      </c>
      <c r="C2042" s="27">
        <f>IFERROR(IF(ISNUMBER(Datos!C2042),Datos!C2042/$F$3*100,NA()),NA())</f>
        <v/>
      </c>
    </row>
    <row r="2043">
      <c r="A2043" s="7">
        <f>IFERROR(Datos!A2043,"")</f>
        <v/>
      </c>
      <c r="B2043" s="27">
        <f>IFERROR(IF(ISNUMBER(Datos!B2043),Datos!B2043/$F$2*100,NA()),NA())</f>
        <v/>
      </c>
      <c r="C2043" s="27">
        <f>IFERROR(IF(ISNUMBER(Datos!C2043),Datos!C2043/$F$3*100,NA()),NA())</f>
        <v/>
      </c>
    </row>
    <row r="2044">
      <c r="A2044" s="7">
        <f>IFERROR(Datos!A2044,"")</f>
        <v/>
      </c>
      <c r="B2044" s="27">
        <f>IFERROR(IF(ISNUMBER(Datos!B2044),Datos!B2044/$F$2*100,NA()),NA())</f>
        <v/>
      </c>
      <c r="C2044" s="27">
        <f>IFERROR(IF(ISNUMBER(Datos!C2044),Datos!C2044/$F$3*100,NA()),NA())</f>
        <v/>
      </c>
    </row>
    <row r="2045">
      <c r="A2045" s="7">
        <f>IFERROR(Datos!A2045,"")</f>
        <v/>
      </c>
      <c r="B2045" s="27">
        <f>IFERROR(IF(ISNUMBER(Datos!B2045),Datos!B2045/$F$2*100,NA()),NA())</f>
        <v/>
      </c>
      <c r="C2045" s="27">
        <f>IFERROR(IF(ISNUMBER(Datos!C2045),Datos!C2045/$F$3*100,NA()),NA())</f>
        <v/>
      </c>
    </row>
    <row r="2046">
      <c r="A2046" s="7">
        <f>IFERROR(Datos!A2046,"")</f>
        <v/>
      </c>
      <c r="B2046" s="27">
        <f>IFERROR(IF(ISNUMBER(Datos!B2046),Datos!B2046/$F$2*100,NA()),NA())</f>
        <v/>
      </c>
      <c r="C2046" s="27">
        <f>IFERROR(IF(ISNUMBER(Datos!C2046),Datos!C2046/$F$3*100,NA()),NA())</f>
        <v/>
      </c>
    </row>
    <row r="2047">
      <c r="A2047" s="7">
        <f>IFERROR(Datos!A2047,"")</f>
        <v/>
      </c>
      <c r="B2047" s="27">
        <f>IFERROR(IF(ISNUMBER(Datos!B2047),Datos!B2047/$F$2*100,NA()),NA())</f>
        <v/>
      </c>
      <c r="C2047" s="27">
        <f>IFERROR(IF(ISNUMBER(Datos!C2047),Datos!C2047/$F$3*100,NA()),NA())</f>
        <v/>
      </c>
    </row>
    <row r="2048">
      <c r="A2048" s="7">
        <f>IFERROR(Datos!A2048,"")</f>
        <v/>
      </c>
      <c r="B2048" s="27">
        <f>IFERROR(IF(ISNUMBER(Datos!B2048),Datos!B2048/$F$2*100,NA()),NA())</f>
        <v/>
      </c>
      <c r="C2048" s="27">
        <f>IFERROR(IF(ISNUMBER(Datos!C2048),Datos!C2048/$F$3*100,NA()),NA())</f>
        <v/>
      </c>
    </row>
    <row r="2049">
      <c r="A2049" s="7">
        <f>IFERROR(Datos!A2049,"")</f>
        <v/>
      </c>
      <c r="B2049" s="27">
        <f>IFERROR(IF(ISNUMBER(Datos!B2049),Datos!B2049/$F$2*100,NA()),NA())</f>
        <v/>
      </c>
      <c r="C2049" s="27">
        <f>IFERROR(IF(ISNUMBER(Datos!C2049),Datos!C2049/$F$3*100,NA()),NA())</f>
        <v/>
      </c>
    </row>
    <row r="2050">
      <c r="A2050" s="7">
        <f>IFERROR(Datos!A2050,"")</f>
        <v/>
      </c>
      <c r="B2050" s="27">
        <f>IFERROR(IF(ISNUMBER(Datos!B2050),Datos!B2050/$F$2*100,NA()),NA())</f>
        <v/>
      </c>
      <c r="C2050" s="27">
        <f>IFERROR(IF(ISNUMBER(Datos!C2050),Datos!C2050/$F$3*100,NA()),NA())</f>
        <v/>
      </c>
    </row>
    <row r="2051">
      <c r="A2051" s="7">
        <f>IFERROR(Datos!A2051,"")</f>
        <v/>
      </c>
      <c r="B2051" s="27">
        <f>IFERROR(IF(ISNUMBER(Datos!B2051),Datos!B2051/$F$2*100,NA()),NA())</f>
        <v/>
      </c>
      <c r="C2051" s="27">
        <f>IFERROR(IF(ISNUMBER(Datos!C2051),Datos!C2051/$F$3*100,NA()),NA())</f>
        <v/>
      </c>
    </row>
    <row r="2052">
      <c r="A2052" s="7">
        <f>IFERROR(Datos!A2052,"")</f>
        <v/>
      </c>
      <c r="B2052" s="27">
        <f>IFERROR(IF(ISNUMBER(Datos!B2052),Datos!B2052/$F$2*100,NA()),NA())</f>
        <v/>
      </c>
      <c r="C2052" s="27">
        <f>IFERROR(IF(ISNUMBER(Datos!C2052),Datos!C2052/$F$3*100,NA()),NA())</f>
        <v/>
      </c>
    </row>
    <row r="2053">
      <c r="A2053" s="7">
        <f>IFERROR(Datos!A2053,"")</f>
        <v/>
      </c>
      <c r="B2053" s="27">
        <f>IFERROR(IF(ISNUMBER(Datos!B2053),Datos!B2053/$F$2*100,NA()),NA())</f>
        <v/>
      </c>
      <c r="C2053" s="27">
        <f>IFERROR(IF(ISNUMBER(Datos!C2053),Datos!C2053/$F$3*100,NA()),NA())</f>
        <v/>
      </c>
    </row>
    <row r="2054">
      <c r="A2054" s="7">
        <f>IFERROR(Datos!A2054,"")</f>
        <v/>
      </c>
      <c r="B2054" s="27">
        <f>IFERROR(IF(ISNUMBER(Datos!B2054),Datos!B2054/$F$2*100,NA()),NA())</f>
        <v/>
      </c>
      <c r="C2054" s="27">
        <f>IFERROR(IF(ISNUMBER(Datos!C2054),Datos!C2054/$F$3*100,NA()),NA())</f>
        <v/>
      </c>
    </row>
    <row r="2055">
      <c r="A2055" s="7">
        <f>IFERROR(Datos!A2055,"")</f>
        <v/>
      </c>
      <c r="B2055" s="27">
        <f>IFERROR(IF(ISNUMBER(Datos!B2055),Datos!B2055/$F$2*100,NA()),NA())</f>
        <v/>
      </c>
      <c r="C2055" s="27">
        <f>IFERROR(IF(ISNUMBER(Datos!C2055),Datos!C2055/$F$3*100,NA()),NA())</f>
        <v/>
      </c>
    </row>
    <row r="2056">
      <c r="A2056" s="7">
        <f>IFERROR(Datos!A2056,"")</f>
        <v/>
      </c>
      <c r="B2056" s="27">
        <f>IFERROR(IF(ISNUMBER(Datos!B2056),Datos!B2056/$F$2*100,NA()),NA())</f>
        <v/>
      </c>
      <c r="C2056" s="27">
        <f>IFERROR(IF(ISNUMBER(Datos!C2056),Datos!C2056/$F$3*100,NA()),NA())</f>
        <v/>
      </c>
    </row>
    <row r="2057">
      <c r="A2057" s="7">
        <f>IFERROR(Datos!A2057,"")</f>
        <v/>
      </c>
      <c r="B2057" s="27">
        <f>IFERROR(IF(ISNUMBER(Datos!B2057),Datos!B2057/$F$2*100,NA()),NA())</f>
        <v/>
      </c>
      <c r="C2057" s="27">
        <f>IFERROR(IF(ISNUMBER(Datos!C2057),Datos!C2057/$F$3*100,NA()),NA())</f>
        <v/>
      </c>
    </row>
    <row r="2058">
      <c r="A2058" s="7">
        <f>IFERROR(Datos!A2058,"")</f>
        <v/>
      </c>
      <c r="B2058" s="27">
        <f>IFERROR(IF(ISNUMBER(Datos!B2058),Datos!B2058/$F$2*100,NA()),NA())</f>
        <v/>
      </c>
      <c r="C2058" s="27">
        <f>IFERROR(IF(ISNUMBER(Datos!C2058),Datos!C2058/$F$3*100,NA()),NA())</f>
        <v/>
      </c>
    </row>
    <row r="2059">
      <c r="A2059" s="7">
        <f>IFERROR(Datos!A2059,"")</f>
        <v/>
      </c>
      <c r="B2059" s="27">
        <f>IFERROR(IF(ISNUMBER(Datos!B2059),Datos!B2059/$F$2*100,NA()),NA())</f>
        <v/>
      </c>
      <c r="C2059" s="27">
        <f>IFERROR(IF(ISNUMBER(Datos!C2059),Datos!C2059/$F$3*100,NA()),NA())</f>
        <v/>
      </c>
    </row>
    <row r="2060">
      <c r="A2060" s="7">
        <f>IFERROR(Datos!A2060,"")</f>
        <v/>
      </c>
      <c r="B2060" s="27">
        <f>IFERROR(IF(ISNUMBER(Datos!B2060),Datos!B2060/$F$2*100,NA()),NA())</f>
        <v/>
      </c>
      <c r="C2060" s="27">
        <f>IFERROR(IF(ISNUMBER(Datos!C2060),Datos!C2060/$F$3*100,NA()),NA())</f>
        <v/>
      </c>
    </row>
    <row r="2061">
      <c r="A2061" s="7">
        <f>IFERROR(Datos!A2061,"")</f>
        <v/>
      </c>
      <c r="B2061" s="27">
        <f>IFERROR(IF(ISNUMBER(Datos!B2061),Datos!B2061/$F$2*100,NA()),NA())</f>
        <v/>
      </c>
      <c r="C2061" s="27">
        <f>IFERROR(IF(ISNUMBER(Datos!C2061),Datos!C2061/$F$3*100,NA()),NA())</f>
        <v/>
      </c>
    </row>
    <row r="2062">
      <c r="A2062" s="7">
        <f>IFERROR(Datos!A2062,"")</f>
        <v/>
      </c>
      <c r="B2062" s="27">
        <f>IFERROR(IF(ISNUMBER(Datos!B2062),Datos!B2062/$F$2*100,NA()),NA())</f>
        <v/>
      </c>
      <c r="C2062" s="27">
        <f>IFERROR(IF(ISNUMBER(Datos!C2062),Datos!C2062/$F$3*100,NA()),NA())</f>
        <v/>
      </c>
    </row>
    <row r="2063">
      <c r="A2063" s="7">
        <f>IFERROR(Datos!A2063,"")</f>
        <v/>
      </c>
      <c r="B2063" s="27">
        <f>IFERROR(IF(ISNUMBER(Datos!B2063),Datos!B2063/$F$2*100,NA()),NA())</f>
        <v/>
      </c>
      <c r="C2063" s="27">
        <f>IFERROR(IF(ISNUMBER(Datos!C2063),Datos!C2063/$F$3*100,NA()),NA())</f>
        <v/>
      </c>
    </row>
    <row r="2064">
      <c r="A2064" s="7">
        <f>IFERROR(Datos!A2064,"")</f>
        <v/>
      </c>
      <c r="B2064" s="27">
        <f>IFERROR(IF(ISNUMBER(Datos!B2064),Datos!B2064/$F$2*100,NA()),NA())</f>
        <v/>
      </c>
      <c r="C2064" s="27">
        <f>IFERROR(IF(ISNUMBER(Datos!C2064),Datos!C2064/$F$3*100,NA()),NA())</f>
        <v/>
      </c>
    </row>
    <row r="2065">
      <c r="A2065" s="7">
        <f>IFERROR(Datos!A2065,"")</f>
        <v/>
      </c>
      <c r="B2065" s="27">
        <f>IFERROR(IF(ISNUMBER(Datos!B2065),Datos!B2065/$F$2*100,NA()),NA())</f>
        <v/>
      </c>
      <c r="C2065" s="27">
        <f>IFERROR(IF(ISNUMBER(Datos!C2065),Datos!C2065/$F$3*100,NA()),NA())</f>
        <v/>
      </c>
    </row>
    <row r="2066">
      <c r="A2066" s="7">
        <f>IFERROR(Datos!A2066,"")</f>
        <v/>
      </c>
      <c r="B2066" s="27">
        <f>IFERROR(IF(ISNUMBER(Datos!B2066),Datos!B2066/$F$2*100,NA()),NA())</f>
        <v/>
      </c>
      <c r="C2066" s="27">
        <f>IFERROR(IF(ISNUMBER(Datos!C2066),Datos!C2066/$F$3*100,NA()),NA())</f>
        <v/>
      </c>
    </row>
    <row r="2067">
      <c r="A2067" s="7">
        <f>IFERROR(Datos!A2067,"")</f>
        <v/>
      </c>
      <c r="B2067" s="27">
        <f>IFERROR(IF(ISNUMBER(Datos!B2067),Datos!B2067/$F$2*100,NA()),NA())</f>
        <v/>
      </c>
      <c r="C2067" s="27">
        <f>IFERROR(IF(ISNUMBER(Datos!C2067),Datos!C2067/$F$3*100,NA()),NA())</f>
        <v/>
      </c>
    </row>
    <row r="2068">
      <c r="A2068" s="7">
        <f>IFERROR(Datos!A2068,"")</f>
        <v/>
      </c>
      <c r="B2068" s="27">
        <f>IFERROR(IF(ISNUMBER(Datos!B2068),Datos!B2068/$F$2*100,NA()),NA())</f>
        <v/>
      </c>
      <c r="C2068" s="27">
        <f>IFERROR(IF(ISNUMBER(Datos!C2068),Datos!C2068/$F$3*100,NA()),NA())</f>
        <v/>
      </c>
    </row>
    <row r="2069">
      <c r="A2069" s="7">
        <f>IFERROR(Datos!A2069,"")</f>
        <v/>
      </c>
      <c r="B2069" s="27">
        <f>IFERROR(IF(ISNUMBER(Datos!B2069),Datos!B2069/$F$2*100,NA()),NA())</f>
        <v/>
      </c>
      <c r="C2069" s="27">
        <f>IFERROR(IF(ISNUMBER(Datos!C2069),Datos!C2069/$F$3*100,NA()),NA())</f>
        <v/>
      </c>
    </row>
    <row r="2070">
      <c r="A2070" s="7">
        <f>IFERROR(Datos!A2070,"")</f>
        <v/>
      </c>
      <c r="B2070" s="27">
        <f>IFERROR(IF(ISNUMBER(Datos!B2070),Datos!B2070/$F$2*100,NA()),NA())</f>
        <v/>
      </c>
      <c r="C2070" s="27">
        <f>IFERROR(IF(ISNUMBER(Datos!C2070),Datos!C2070/$F$3*100,NA()),NA())</f>
        <v/>
      </c>
    </row>
    <row r="2071">
      <c r="A2071" s="7">
        <f>IFERROR(Datos!A2071,"")</f>
        <v/>
      </c>
      <c r="B2071" s="27">
        <f>IFERROR(IF(ISNUMBER(Datos!B2071),Datos!B2071/$F$2*100,NA()),NA())</f>
        <v/>
      </c>
      <c r="C2071" s="27">
        <f>IFERROR(IF(ISNUMBER(Datos!C2071),Datos!C2071/$F$3*100,NA()),NA())</f>
        <v/>
      </c>
    </row>
    <row r="2072">
      <c r="A2072" s="7">
        <f>IFERROR(Datos!A2072,"")</f>
        <v/>
      </c>
      <c r="B2072" s="27">
        <f>IFERROR(IF(ISNUMBER(Datos!B2072),Datos!B2072/$F$2*100,NA()),NA())</f>
        <v/>
      </c>
      <c r="C2072" s="27">
        <f>IFERROR(IF(ISNUMBER(Datos!C2072),Datos!C2072/$F$3*100,NA()),NA())</f>
        <v/>
      </c>
    </row>
    <row r="2073">
      <c r="A2073" s="7">
        <f>IFERROR(Datos!A2073,"")</f>
        <v/>
      </c>
      <c r="B2073" s="27">
        <f>IFERROR(IF(ISNUMBER(Datos!B2073),Datos!B2073/$F$2*100,NA()),NA())</f>
        <v/>
      </c>
      <c r="C2073" s="27">
        <f>IFERROR(IF(ISNUMBER(Datos!C2073),Datos!C2073/$F$3*100,NA()),NA())</f>
        <v/>
      </c>
    </row>
    <row r="2074">
      <c r="A2074" s="7">
        <f>IFERROR(Datos!A2074,"")</f>
        <v/>
      </c>
      <c r="B2074" s="27">
        <f>IFERROR(IF(ISNUMBER(Datos!B2074),Datos!B2074/$F$2*100,NA()),NA())</f>
        <v/>
      </c>
      <c r="C2074" s="27">
        <f>IFERROR(IF(ISNUMBER(Datos!C2074),Datos!C2074/$F$3*100,NA()),NA())</f>
        <v/>
      </c>
    </row>
    <row r="2075">
      <c r="A2075" s="7">
        <f>IFERROR(Datos!A2075,"")</f>
        <v/>
      </c>
      <c r="B2075" s="27">
        <f>IFERROR(IF(ISNUMBER(Datos!B2075),Datos!B2075/$F$2*100,NA()),NA())</f>
        <v/>
      </c>
      <c r="C2075" s="27">
        <f>IFERROR(IF(ISNUMBER(Datos!C2075),Datos!C2075/$F$3*100,NA()),NA())</f>
        <v/>
      </c>
    </row>
    <row r="2076">
      <c r="A2076" s="7">
        <f>IFERROR(Datos!A2076,"")</f>
        <v/>
      </c>
      <c r="B2076" s="27">
        <f>IFERROR(IF(ISNUMBER(Datos!B2076),Datos!B2076/$F$2*100,NA()),NA())</f>
        <v/>
      </c>
      <c r="C2076" s="27">
        <f>IFERROR(IF(ISNUMBER(Datos!C2076),Datos!C2076/$F$3*100,NA()),NA())</f>
        <v/>
      </c>
    </row>
    <row r="2077">
      <c r="A2077" s="7">
        <f>IFERROR(Datos!A2077,"")</f>
        <v/>
      </c>
      <c r="B2077" s="27">
        <f>IFERROR(IF(ISNUMBER(Datos!B2077),Datos!B2077/$F$2*100,NA()),NA())</f>
        <v/>
      </c>
      <c r="C2077" s="27">
        <f>IFERROR(IF(ISNUMBER(Datos!C2077),Datos!C2077/$F$3*100,NA()),NA())</f>
        <v/>
      </c>
    </row>
    <row r="2078">
      <c r="A2078" s="7">
        <f>IFERROR(Datos!A2078,"")</f>
        <v/>
      </c>
      <c r="B2078" s="27">
        <f>IFERROR(IF(ISNUMBER(Datos!B2078),Datos!B2078/$F$2*100,NA()),NA())</f>
        <v/>
      </c>
      <c r="C2078" s="27">
        <f>IFERROR(IF(ISNUMBER(Datos!C2078),Datos!C2078/$F$3*100,NA()),NA())</f>
        <v/>
      </c>
    </row>
    <row r="2079">
      <c r="A2079" s="7">
        <f>IFERROR(Datos!A2079,"")</f>
        <v/>
      </c>
      <c r="B2079" s="27">
        <f>IFERROR(IF(ISNUMBER(Datos!B2079),Datos!B2079/$F$2*100,NA()),NA())</f>
        <v/>
      </c>
      <c r="C2079" s="27">
        <f>IFERROR(IF(ISNUMBER(Datos!C2079),Datos!C2079/$F$3*100,NA()),NA())</f>
        <v/>
      </c>
    </row>
    <row r="2080">
      <c r="A2080" s="7">
        <f>IFERROR(Datos!A2080,"")</f>
        <v/>
      </c>
      <c r="B2080" s="27">
        <f>IFERROR(IF(ISNUMBER(Datos!B2080),Datos!B2080/$F$2*100,NA()),NA())</f>
        <v/>
      </c>
      <c r="C2080" s="27">
        <f>IFERROR(IF(ISNUMBER(Datos!C2080),Datos!C2080/$F$3*100,NA()),NA())</f>
        <v/>
      </c>
    </row>
    <row r="2081">
      <c r="A2081" s="7">
        <f>IFERROR(Datos!A2081,"")</f>
        <v/>
      </c>
      <c r="B2081" s="27">
        <f>IFERROR(IF(ISNUMBER(Datos!B2081),Datos!B2081/$F$2*100,NA()),NA())</f>
        <v/>
      </c>
      <c r="C2081" s="27">
        <f>IFERROR(IF(ISNUMBER(Datos!C2081),Datos!C2081/$F$3*100,NA()),NA())</f>
        <v/>
      </c>
    </row>
    <row r="2082">
      <c r="A2082" s="7">
        <f>IFERROR(Datos!A2082,"")</f>
        <v/>
      </c>
      <c r="B2082" s="27">
        <f>IFERROR(IF(ISNUMBER(Datos!B2082),Datos!B2082/$F$2*100,NA()),NA())</f>
        <v/>
      </c>
      <c r="C2082" s="27">
        <f>IFERROR(IF(ISNUMBER(Datos!C2082),Datos!C2082/$F$3*100,NA()),NA())</f>
        <v/>
      </c>
    </row>
    <row r="2083">
      <c r="A2083" s="7">
        <f>IFERROR(Datos!A2083,"")</f>
        <v/>
      </c>
      <c r="B2083" s="27">
        <f>IFERROR(IF(ISNUMBER(Datos!B2083),Datos!B2083/$F$2*100,NA()),NA())</f>
        <v/>
      </c>
      <c r="C2083" s="27">
        <f>IFERROR(IF(ISNUMBER(Datos!C2083),Datos!C2083/$F$3*100,NA()),NA())</f>
        <v/>
      </c>
    </row>
    <row r="2084">
      <c r="A2084" s="7">
        <f>IFERROR(Datos!A2084,"")</f>
        <v/>
      </c>
      <c r="B2084" s="27">
        <f>IFERROR(IF(ISNUMBER(Datos!B2084),Datos!B2084/$F$2*100,NA()),NA())</f>
        <v/>
      </c>
      <c r="C2084" s="27">
        <f>IFERROR(IF(ISNUMBER(Datos!C2084),Datos!C2084/$F$3*100,NA()),NA())</f>
        <v/>
      </c>
    </row>
    <row r="2085">
      <c r="A2085" s="7">
        <f>IFERROR(Datos!A2085,"")</f>
        <v/>
      </c>
      <c r="B2085" s="27">
        <f>IFERROR(IF(ISNUMBER(Datos!B2085),Datos!B2085/$F$2*100,NA()),NA())</f>
        <v/>
      </c>
      <c r="C2085" s="27">
        <f>IFERROR(IF(ISNUMBER(Datos!C2085),Datos!C2085/$F$3*100,NA()),NA())</f>
        <v/>
      </c>
    </row>
    <row r="2086">
      <c r="A2086" s="7">
        <f>IFERROR(Datos!A2086,"")</f>
        <v/>
      </c>
      <c r="B2086" s="27">
        <f>IFERROR(IF(ISNUMBER(Datos!B2086),Datos!B2086/$F$2*100,NA()),NA())</f>
        <v/>
      </c>
      <c r="C2086" s="27">
        <f>IFERROR(IF(ISNUMBER(Datos!C2086),Datos!C2086/$F$3*100,NA()),NA())</f>
        <v/>
      </c>
    </row>
    <row r="2087">
      <c r="A2087" s="7">
        <f>IFERROR(Datos!A2087,"")</f>
        <v/>
      </c>
      <c r="B2087" s="27">
        <f>IFERROR(IF(ISNUMBER(Datos!B2087),Datos!B2087/$F$2*100,NA()),NA())</f>
        <v/>
      </c>
      <c r="C2087" s="27">
        <f>IFERROR(IF(ISNUMBER(Datos!C2087),Datos!C2087/$F$3*100,NA()),NA())</f>
        <v/>
      </c>
    </row>
    <row r="2088">
      <c r="A2088" s="7">
        <f>IFERROR(Datos!A2088,"")</f>
        <v/>
      </c>
      <c r="B2088" s="27">
        <f>IFERROR(IF(ISNUMBER(Datos!B2088),Datos!B2088/$F$2*100,NA()),NA())</f>
        <v/>
      </c>
      <c r="C2088" s="27">
        <f>IFERROR(IF(ISNUMBER(Datos!C2088),Datos!C2088/$F$3*100,NA()),NA())</f>
        <v/>
      </c>
    </row>
    <row r="2089">
      <c r="A2089" s="7">
        <f>IFERROR(Datos!A2089,"")</f>
        <v/>
      </c>
      <c r="B2089" s="27">
        <f>IFERROR(IF(ISNUMBER(Datos!B2089),Datos!B2089/$F$2*100,NA()),NA())</f>
        <v/>
      </c>
      <c r="C2089" s="27">
        <f>IFERROR(IF(ISNUMBER(Datos!C2089),Datos!C2089/$F$3*100,NA()),NA())</f>
        <v/>
      </c>
    </row>
    <row r="2090">
      <c r="A2090" s="7">
        <f>IFERROR(Datos!A2090,"")</f>
        <v/>
      </c>
      <c r="B2090" s="27">
        <f>IFERROR(IF(ISNUMBER(Datos!B2090),Datos!B2090/$F$2*100,NA()),NA())</f>
        <v/>
      </c>
      <c r="C2090" s="27">
        <f>IFERROR(IF(ISNUMBER(Datos!C2090),Datos!C2090/$F$3*100,NA()),NA())</f>
        <v/>
      </c>
    </row>
    <row r="2091">
      <c r="A2091" s="7">
        <f>IFERROR(Datos!A2091,"")</f>
        <v/>
      </c>
      <c r="B2091" s="27">
        <f>IFERROR(IF(ISNUMBER(Datos!B2091),Datos!B2091/$F$2*100,NA()),NA())</f>
        <v/>
      </c>
      <c r="C2091" s="27">
        <f>IFERROR(IF(ISNUMBER(Datos!C2091),Datos!C2091/$F$3*100,NA()),NA())</f>
        <v/>
      </c>
    </row>
    <row r="2092">
      <c r="A2092" s="7">
        <f>IFERROR(Datos!A2092,"")</f>
        <v/>
      </c>
      <c r="B2092" s="27">
        <f>IFERROR(IF(ISNUMBER(Datos!B2092),Datos!B2092/$F$2*100,NA()),NA())</f>
        <v/>
      </c>
      <c r="C2092" s="27">
        <f>IFERROR(IF(ISNUMBER(Datos!C2092),Datos!C2092/$F$3*100,NA()),NA())</f>
        <v/>
      </c>
    </row>
    <row r="2093">
      <c r="A2093" s="7">
        <f>IFERROR(Datos!A2093,"")</f>
        <v/>
      </c>
      <c r="B2093" s="27">
        <f>IFERROR(IF(ISNUMBER(Datos!B2093),Datos!B2093/$F$2*100,NA()),NA())</f>
        <v/>
      </c>
      <c r="C2093" s="27">
        <f>IFERROR(IF(ISNUMBER(Datos!C2093),Datos!C2093/$F$3*100,NA()),NA())</f>
        <v/>
      </c>
    </row>
    <row r="2094">
      <c r="A2094" s="7">
        <f>IFERROR(Datos!A2094,"")</f>
        <v/>
      </c>
      <c r="B2094" s="27">
        <f>IFERROR(IF(ISNUMBER(Datos!B2094),Datos!B2094/$F$2*100,NA()),NA())</f>
        <v/>
      </c>
      <c r="C2094" s="27">
        <f>IFERROR(IF(ISNUMBER(Datos!C2094),Datos!C2094/$F$3*100,NA()),NA())</f>
        <v/>
      </c>
    </row>
    <row r="2095">
      <c r="A2095" s="7">
        <f>IFERROR(Datos!A2095,"")</f>
        <v/>
      </c>
      <c r="B2095" s="27">
        <f>IFERROR(IF(ISNUMBER(Datos!B2095),Datos!B2095/$F$2*100,NA()),NA())</f>
        <v/>
      </c>
      <c r="C2095" s="27">
        <f>IFERROR(IF(ISNUMBER(Datos!C2095),Datos!C2095/$F$3*100,NA()),NA())</f>
        <v/>
      </c>
    </row>
    <row r="2096">
      <c r="A2096" s="7">
        <f>IFERROR(Datos!A2096,"")</f>
        <v/>
      </c>
      <c r="B2096" s="27">
        <f>IFERROR(IF(ISNUMBER(Datos!B2096),Datos!B2096/$F$2*100,NA()),NA())</f>
        <v/>
      </c>
      <c r="C2096" s="27">
        <f>IFERROR(IF(ISNUMBER(Datos!C2096),Datos!C2096/$F$3*100,NA()),NA())</f>
        <v/>
      </c>
    </row>
    <row r="2097">
      <c r="A2097" s="7">
        <f>IFERROR(Datos!A2097,"")</f>
        <v/>
      </c>
      <c r="B2097" s="27">
        <f>IFERROR(IF(ISNUMBER(Datos!B2097),Datos!B2097/$F$2*100,NA()),NA())</f>
        <v/>
      </c>
      <c r="C2097" s="27">
        <f>IFERROR(IF(ISNUMBER(Datos!C2097),Datos!C2097/$F$3*100,NA()),NA())</f>
        <v/>
      </c>
    </row>
    <row r="2098">
      <c r="A2098" s="7">
        <f>IFERROR(Datos!A2098,"")</f>
        <v/>
      </c>
      <c r="B2098" s="27">
        <f>IFERROR(IF(ISNUMBER(Datos!B2098),Datos!B2098/$F$2*100,NA()),NA())</f>
        <v/>
      </c>
      <c r="C2098" s="27">
        <f>IFERROR(IF(ISNUMBER(Datos!C2098),Datos!C2098/$F$3*100,NA()),NA())</f>
        <v/>
      </c>
    </row>
    <row r="2099">
      <c r="A2099" s="7">
        <f>IFERROR(Datos!A2099,"")</f>
        <v/>
      </c>
      <c r="B2099" s="27">
        <f>IFERROR(IF(ISNUMBER(Datos!B2099),Datos!B2099/$F$2*100,NA()),NA())</f>
        <v/>
      </c>
      <c r="C2099" s="27">
        <f>IFERROR(IF(ISNUMBER(Datos!C2099),Datos!C2099/$F$3*100,NA()),NA())</f>
        <v/>
      </c>
    </row>
    <row r="2100">
      <c r="A2100" s="7">
        <f>IFERROR(Datos!A2100,"")</f>
        <v/>
      </c>
      <c r="B2100" s="27">
        <f>IFERROR(IF(ISNUMBER(Datos!B2100),Datos!B2100/$F$2*100,NA()),NA())</f>
        <v/>
      </c>
      <c r="C2100" s="27">
        <f>IFERROR(IF(ISNUMBER(Datos!C2100),Datos!C2100/$F$3*100,NA()),NA())</f>
        <v/>
      </c>
    </row>
    <row r="2101">
      <c r="A2101" s="7">
        <f>IFERROR(Datos!A2101,"")</f>
        <v/>
      </c>
      <c r="B2101" s="27">
        <f>IFERROR(IF(ISNUMBER(Datos!B2101),Datos!B2101/$F$2*100,NA()),NA())</f>
        <v/>
      </c>
      <c r="C2101" s="27">
        <f>IFERROR(IF(ISNUMBER(Datos!C2101),Datos!C2101/$F$3*100,NA()),NA())</f>
        <v/>
      </c>
    </row>
    <row r="2102">
      <c r="A2102" s="7">
        <f>IFERROR(Datos!A2102,"")</f>
        <v/>
      </c>
      <c r="B2102" s="27">
        <f>IFERROR(IF(ISNUMBER(Datos!B2102),Datos!B2102/$F$2*100,NA()),NA())</f>
        <v/>
      </c>
      <c r="C2102" s="27">
        <f>IFERROR(IF(ISNUMBER(Datos!C2102),Datos!C2102/$F$3*100,NA()),NA())</f>
        <v/>
      </c>
    </row>
    <row r="2103">
      <c r="A2103" s="7">
        <f>IFERROR(Datos!A2103,"")</f>
        <v/>
      </c>
      <c r="B2103" s="27">
        <f>IFERROR(IF(ISNUMBER(Datos!B2103),Datos!B2103/$F$2*100,NA()),NA())</f>
        <v/>
      </c>
      <c r="C2103" s="27">
        <f>IFERROR(IF(ISNUMBER(Datos!C2103),Datos!C2103/$F$3*100,NA()),NA())</f>
        <v/>
      </c>
    </row>
    <row r="2104">
      <c r="A2104" s="7">
        <f>IFERROR(Datos!A2104,"")</f>
        <v/>
      </c>
      <c r="B2104" s="27">
        <f>IFERROR(IF(ISNUMBER(Datos!B2104),Datos!B2104/$F$2*100,NA()),NA())</f>
        <v/>
      </c>
      <c r="C2104" s="27">
        <f>IFERROR(IF(ISNUMBER(Datos!C2104),Datos!C2104/$F$3*100,NA()),NA())</f>
        <v/>
      </c>
    </row>
    <row r="2105">
      <c r="A2105" s="7">
        <f>IFERROR(Datos!A2105,"")</f>
        <v/>
      </c>
      <c r="B2105" s="27">
        <f>IFERROR(IF(ISNUMBER(Datos!B2105),Datos!B2105/$F$2*100,NA()),NA())</f>
        <v/>
      </c>
      <c r="C2105" s="27">
        <f>IFERROR(IF(ISNUMBER(Datos!C2105),Datos!C2105/$F$3*100,NA()),NA())</f>
        <v/>
      </c>
    </row>
    <row r="2106">
      <c r="A2106" s="7">
        <f>IFERROR(Datos!A2106,"")</f>
        <v/>
      </c>
      <c r="B2106" s="27">
        <f>IFERROR(IF(ISNUMBER(Datos!B2106),Datos!B2106/$F$2*100,NA()),NA())</f>
        <v/>
      </c>
      <c r="C2106" s="27">
        <f>IFERROR(IF(ISNUMBER(Datos!C2106),Datos!C2106/$F$3*100,NA()),NA())</f>
        <v/>
      </c>
    </row>
    <row r="2107">
      <c r="A2107" s="7">
        <f>IFERROR(Datos!A2107,"")</f>
        <v/>
      </c>
      <c r="B2107" s="27">
        <f>IFERROR(IF(ISNUMBER(Datos!B2107),Datos!B2107/$F$2*100,NA()),NA())</f>
        <v/>
      </c>
      <c r="C2107" s="27">
        <f>IFERROR(IF(ISNUMBER(Datos!C2107),Datos!C2107/$F$3*100,NA()),NA())</f>
        <v/>
      </c>
    </row>
    <row r="2108">
      <c r="A2108" s="7">
        <f>IFERROR(Datos!A2108,"")</f>
        <v/>
      </c>
      <c r="B2108" s="27">
        <f>IFERROR(IF(ISNUMBER(Datos!B2108),Datos!B2108/$F$2*100,NA()),NA())</f>
        <v/>
      </c>
      <c r="C2108" s="27">
        <f>IFERROR(IF(ISNUMBER(Datos!C2108),Datos!C2108/$F$3*100,NA()),NA())</f>
        <v/>
      </c>
    </row>
    <row r="2109">
      <c r="A2109" s="7">
        <f>IFERROR(Datos!A2109,"")</f>
        <v/>
      </c>
      <c r="B2109" s="27">
        <f>IFERROR(IF(ISNUMBER(Datos!B2109),Datos!B2109/$F$2*100,NA()),NA())</f>
        <v/>
      </c>
      <c r="C2109" s="27">
        <f>IFERROR(IF(ISNUMBER(Datos!C2109),Datos!C2109/$F$3*100,NA()),NA())</f>
        <v/>
      </c>
    </row>
    <row r="2110">
      <c r="A2110" s="7">
        <f>IFERROR(Datos!A2110,"")</f>
        <v/>
      </c>
      <c r="B2110" s="27">
        <f>IFERROR(IF(ISNUMBER(Datos!B2110),Datos!B2110/$F$2*100,NA()),NA())</f>
        <v/>
      </c>
      <c r="C2110" s="27">
        <f>IFERROR(IF(ISNUMBER(Datos!C2110),Datos!C2110/$F$3*100,NA()),NA())</f>
        <v/>
      </c>
    </row>
    <row r="2111">
      <c r="A2111" s="7">
        <f>IFERROR(Datos!A2111,"")</f>
        <v/>
      </c>
      <c r="B2111" s="27">
        <f>IFERROR(IF(ISNUMBER(Datos!B2111),Datos!B2111/$F$2*100,NA()),NA())</f>
        <v/>
      </c>
      <c r="C2111" s="27">
        <f>IFERROR(IF(ISNUMBER(Datos!C2111),Datos!C2111/$F$3*100,NA()),NA())</f>
        <v/>
      </c>
    </row>
    <row r="2112">
      <c r="A2112" s="7">
        <f>IFERROR(Datos!A2112,"")</f>
        <v/>
      </c>
      <c r="B2112" s="27">
        <f>IFERROR(IF(ISNUMBER(Datos!B2112),Datos!B2112/$F$2*100,NA()),NA())</f>
        <v/>
      </c>
      <c r="C2112" s="27">
        <f>IFERROR(IF(ISNUMBER(Datos!C2112),Datos!C2112/$F$3*100,NA()),NA())</f>
        <v/>
      </c>
    </row>
    <row r="2113">
      <c r="A2113" s="7">
        <f>IFERROR(Datos!A2113,"")</f>
        <v/>
      </c>
      <c r="B2113" s="27">
        <f>IFERROR(IF(ISNUMBER(Datos!B2113),Datos!B2113/$F$2*100,NA()),NA())</f>
        <v/>
      </c>
      <c r="C2113" s="27">
        <f>IFERROR(IF(ISNUMBER(Datos!C2113),Datos!C2113/$F$3*100,NA()),NA())</f>
        <v/>
      </c>
    </row>
    <row r="2114">
      <c r="A2114" s="7">
        <f>IFERROR(Datos!A2114,"")</f>
        <v/>
      </c>
      <c r="B2114" s="27">
        <f>IFERROR(IF(ISNUMBER(Datos!B2114),Datos!B2114/$F$2*100,NA()),NA())</f>
        <v/>
      </c>
      <c r="C2114" s="27">
        <f>IFERROR(IF(ISNUMBER(Datos!C2114),Datos!C2114/$F$3*100,NA()),NA())</f>
        <v/>
      </c>
    </row>
    <row r="2115">
      <c r="A2115" s="7">
        <f>IFERROR(Datos!A2115,"")</f>
        <v/>
      </c>
      <c r="B2115" s="27">
        <f>IFERROR(IF(ISNUMBER(Datos!B2115),Datos!B2115/$F$2*100,NA()),NA())</f>
        <v/>
      </c>
      <c r="C2115" s="27">
        <f>IFERROR(IF(ISNUMBER(Datos!C2115),Datos!C2115/$F$3*100,NA()),NA())</f>
        <v/>
      </c>
    </row>
    <row r="2116">
      <c r="A2116" s="7">
        <f>IFERROR(Datos!A2116,"")</f>
        <v/>
      </c>
      <c r="B2116" s="27">
        <f>IFERROR(IF(ISNUMBER(Datos!B2116),Datos!B2116/$F$2*100,NA()),NA())</f>
        <v/>
      </c>
      <c r="C2116" s="27">
        <f>IFERROR(IF(ISNUMBER(Datos!C2116),Datos!C2116/$F$3*100,NA()),NA())</f>
        <v/>
      </c>
    </row>
    <row r="2117">
      <c r="A2117" s="7">
        <f>IFERROR(Datos!A2117,"")</f>
        <v/>
      </c>
      <c r="B2117" s="27">
        <f>IFERROR(IF(ISNUMBER(Datos!B2117),Datos!B2117/$F$2*100,NA()),NA())</f>
        <v/>
      </c>
      <c r="C2117" s="27">
        <f>IFERROR(IF(ISNUMBER(Datos!C2117),Datos!C2117/$F$3*100,NA()),NA())</f>
        <v/>
      </c>
    </row>
    <row r="2118">
      <c r="A2118" s="7">
        <f>IFERROR(Datos!A2118,"")</f>
        <v/>
      </c>
      <c r="B2118" s="27">
        <f>IFERROR(IF(ISNUMBER(Datos!B2118),Datos!B2118/$F$2*100,NA()),NA())</f>
        <v/>
      </c>
      <c r="C2118" s="27">
        <f>IFERROR(IF(ISNUMBER(Datos!C2118),Datos!C2118/$F$3*100,NA()),NA())</f>
        <v/>
      </c>
    </row>
    <row r="2119">
      <c r="A2119" s="7">
        <f>IFERROR(Datos!A2119,"")</f>
        <v/>
      </c>
      <c r="B2119" s="27">
        <f>IFERROR(IF(ISNUMBER(Datos!B2119),Datos!B2119/$F$2*100,NA()),NA())</f>
        <v/>
      </c>
      <c r="C2119" s="27">
        <f>IFERROR(IF(ISNUMBER(Datos!C2119),Datos!C2119/$F$3*100,NA()),NA())</f>
        <v/>
      </c>
    </row>
    <row r="2120">
      <c r="A2120" s="7">
        <f>IFERROR(Datos!A2120,"")</f>
        <v/>
      </c>
      <c r="B2120" s="27">
        <f>IFERROR(IF(ISNUMBER(Datos!B2120),Datos!B2120/$F$2*100,NA()),NA())</f>
        <v/>
      </c>
      <c r="C2120" s="27">
        <f>IFERROR(IF(ISNUMBER(Datos!C2120),Datos!C2120/$F$3*100,NA()),NA())</f>
        <v/>
      </c>
    </row>
    <row r="2121">
      <c r="A2121" s="7">
        <f>IFERROR(Datos!A2121,"")</f>
        <v/>
      </c>
      <c r="B2121" s="27">
        <f>IFERROR(IF(ISNUMBER(Datos!B2121),Datos!B2121/$F$2*100,NA()),NA())</f>
        <v/>
      </c>
      <c r="C2121" s="27">
        <f>IFERROR(IF(ISNUMBER(Datos!C2121),Datos!C2121/$F$3*100,NA()),NA())</f>
        <v/>
      </c>
    </row>
    <row r="2122">
      <c r="A2122" s="7">
        <f>IFERROR(Datos!A2122,"")</f>
        <v/>
      </c>
      <c r="B2122" s="27">
        <f>IFERROR(IF(ISNUMBER(Datos!B2122),Datos!B2122/$F$2*100,NA()),NA())</f>
        <v/>
      </c>
      <c r="C2122" s="27">
        <f>IFERROR(IF(ISNUMBER(Datos!C2122),Datos!C2122/$F$3*100,NA()),NA())</f>
        <v/>
      </c>
    </row>
    <row r="2123">
      <c r="A2123" s="7">
        <f>IFERROR(Datos!A2123,"")</f>
        <v/>
      </c>
      <c r="B2123" s="27">
        <f>IFERROR(IF(ISNUMBER(Datos!B2123),Datos!B2123/$F$2*100,NA()),NA())</f>
        <v/>
      </c>
      <c r="C2123" s="27">
        <f>IFERROR(IF(ISNUMBER(Datos!C2123),Datos!C2123/$F$3*100,NA()),NA())</f>
        <v/>
      </c>
    </row>
    <row r="2124">
      <c r="A2124" s="7">
        <f>IFERROR(Datos!A2124,"")</f>
        <v/>
      </c>
      <c r="B2124" s="27">
        <f>IFERROR(IF(ISNUMBER(Datos!B2124),Datos!B2124/$F$2*100,NA()),NA())</f>
        <v/>
      </c>
      <c r="C2124" s="27">
        <f>IFERROR(IF(ISNUMBER(Datos!C2124),Datos!C2124/$F$3*100,NA()),NA())</f>
        <v/>
      </c>
    </row>
    <row r="2125">
      <c r="A2125" s="7">
        <f>IFERROR(Datos!A2125,"")</f>
        <v/>
      </c>
      <c r="B2125" s="27">
        <f>IFERROR(IF(ISNUMBER(Datos!B2125),Datos!B2125/$F$2*100,NA()),NA())</f>
        <v/>
      </c>
      <c r="C2125" s="27">
        <f>IFERROR(IF(ISNUMBER(Datos!C2125),Datos!C2125/$F$3*100,NA()),NA())</f>
        <v/>
      </c>
    </row>
    <row r="2126">
      <c r="A2126" s="7">
        <f>IFERROR(Datos!A2126,"")</f>
        <v/>
      </c>
      <c r="B2126" s="27">
        <f>IFERROR(IF(ISNUMBER(Datos!B2126),Datos!B2126/$F$2*100,NA()),NA())</f>
        <v/>
      </c>
      <c r="C2126" s="27">
        <f>IFERROR(IF(ISNUMBER(Datos!C2126),Datos!C2126/$F$3*100,NA()),NA())</f>
        <v/>
      </c>
    </row>
    <row r="2127">
      <c r="A2127" s="7">
        <f>IFERROR(Datos!A2127,"")</f>
        <v/>
      </c>
      <c r="B2127" s="27">
        <f>IFERROR(IF(ISNUMBER(Datos!B2127),Datos!B2127/$F$2*100,NA()),NA())</f>
        <v/>
      </c>
      <c r="C2127" s="27">
        <f>IFERROR(IF(ISNUMBER(Datos!C2127),Datos!C2127/$F$3*100,NA()),NA())</f>
        <v/>
      </c>
    </row>
    <row r="2128">
      <c r="A2128" s="7">
        <f>IFERROR(Datos!A2128,"")</f>
        <v/>
      </c>
      <c r="B2128" s="27">
        <f>IFERROR(IF(ISNUMBER(Datos!B2128),Datos!B2128/$F$2*100,NA()),NA())</f>
        <v/>
      </c>
      <c r="C2128" s="27">
        <f>IFERROR(IF(ISNUMBER(Datos!C2128),Datos!C2128/$F$3*100,NA()),NA())</f>
        <v/>
      </c>
    </row>
    <row r="2129">
      <c r="A2129" s="7">
        <f>IFERROR(Datos!A2129,"")</f>
        <v/>
      </c>
      <c r="B2129" s="27">
        <f>IFERROR(IF(ISNUMBER(Datos!B2129),Datos!B2129/$F$2*100,NA()),NA())</f>
        <v/>
      </c>
      <c r="C2129" s="27">
        <f>IFERROR(IF(ISNUMBER(Datos!C2129),Datos!C2129/$F$3*100,NA()),NA())</f>
        <v/>
      </c>
    </row>
    <row r="2130">
      <c r="A2130" s="7">
        <f>IFERROR(Datos!A2130,"")</f>
        <v/>
      </c>
      <c r="B2130" s="27">
        <f>IFERROR(IF(ISNUMBER(Datos!B2130),Datos!B2130/$F$2*100,NA()),NA())</f>
        <v/>
      </c>
      <c r="C2130" s="27">
        <f>IFERROR(IF(ISNUMBER(Datos!C2130),Datos!C2130/$F$3*100,NA()),NA())</f>
        <v/>
      </c>
    </row>
    <row r="2131">
      <c r="A2131" s="7">
        <f>IFERROR(Datos!A2131,"")</f>
        <v/>
      </c>
      <c r="B2131" s="27">
        <f>IFERROR(IF(ISNUMBER(Datos!B2131),Datos!B2131/$F$2*100,NA()),NA())</f>
        <v/>
      </c>
      <c r="C2131" s="27">
        <f>IFERROR(IF(ISNUMBER(Datos!C2131),Datos!C2131/$F$3*100,NA()),NA())</f>
        <v/>
      </c>
    </row>
    <row r="2132">
      <c r="A2132" s="7">
        <f>IFERROR(Datos!A2132,"")</f>
        <v/>
      </c>
      <c r="B2132" s="27">
        <f>IFERROR(IF(ISNUMBER(Datos!B2132),Datos!B2132/$F$2*100,NA()),NA())</f>
        <v/>
      </c>
      <c r="C2132" s="27">
        <f>IFERROR(IF(ISNUMBER(Datos!C2132),Datos!C2132/$F$3*100,NA()),NA())</f>
        <v/>
      </c>
    </row>
    <row r="2133">
      <c r="A2133" s="7">
        <f>IFERROR(Datos!A2133,"")</f>
        <v/>
      </c>
      <c r="B2133" s="27">
        <f>IFERROR(IF(ISNUMBER(Datos!B2133),Datos!B2133/$F$2*100,NA()),NA())</f>
        <v/>
      </c>
      <c r="C2133" s="27">
        <f>IFERROR(IF(ISNUMBER(Datos!C2133),Datos!C2133/$F$3*100,NA()),NA())</f>
        <v/>
      </c>
    </row>
    <row r="2134">
      <c r="A2134" s="7">
        <f>IFERROR(Datos!A2134,"")</f>
        <v/>
      </c>
      <c r="B2134" s="27">
        <f>IFERROR(IF(ISNUMBER(Datos!B2134),Datos!B2134/$F$2*100,NA()),NA())</f>
        <v/>
      </c>
      <c r="C2134" s="27">
        <f>IFERROR(IF(ISNUMBER(Datos!C2134),Datos!C2134/$F$3*100,NA()),NA())</f>
        <v/>
      </c>
    </row>
    <row r="2135">
      <c r="A2135" s="7">
        <f>IFERROR(Datos!A2135,"")</f>
        <v/>
      </c>
      <c r="B2135" s="27">
        <f>IFERROR(IF(ISNUMBER(Datos!B2135),Datos!B2135/$F$2*100,NA()),NA())</f>
        <v/>
      </c>
      <c r="C2135" s="27">
        <f>IFERROR(IF(ISNUMBER(Datos!C2135),Datos!C2135/$F$3*100,NA()),NA())</f>
        <v/>
      </c>
    </row>
    <row r="2136">
      <c r="A2136" s="7">
        <f>IFERROR(Datos!A2136,"")</f>
        <v/>
      </c>
      <c r="B2136" s="27">
        <f>IFERROR(IF(ISNUMBER(Datos!B2136),Datos!B2136/$F$2*100,NA()),NA())</f>
        <v/>
      </c>
      <c r="C2136" s="27">
        <f>IFERROR(IF(ISNUMBER(Datos!C2136),Datos!C2136/$F$3*100,NA()),NA())</f>
        <v/>
      </c>
    </row>
    <row r="2137">
      <c r="A2137" s="7">
        <f>IFERROR(Datos!A2137,"")</f>
        <v/>
      </c>
      <c r="B2137" s="27">
        <f>IFERROR(IF(ISNUMBER(Datos!B2137),Datos!B2137/$F$2*100,NA()),NA())</f>
        <v/>
      </c>
      <c r="C2137" s="27">
        <f>IFERROR(IF(ISNUMBER(Datos!C2137),Datos!C2137/$F$3*100,NA()),NA())</f>
        <v/>
      </c>
    </row>
    <row r="2138">
      <c r="A2138" s="7">
        <f>IFERROR(Datos!A2138,"")</f>
        <v/>
      </c>
      <c r="B2138" s="27">
        <f>IFERROR(IF(ISNUMBER(Datos!B2138),Datos!B2138/$F$2*100,NA()),NA())</f>
        <v/>
      </c>
      <c r="C2138" s="27">
        <f>IFERROR(IF(ISNUMBER(Datos!C2138),Datos!C2138/$F$3*100,NA()),NA())</f>
        <v/>
      </c>
    </row>
    <row r="2139">
      <c r="A2139" s="7">
        <f>IFERROR(Datos!A2139,"")</f>
        <v/>
      </c>
      <c r="B2139" s="27">
        <f>IFERROR(IF(ISNUMBER(Datos!B2139),Datos!B2139/$F$2*100,NA()),NA())</f>
        <v/>
      </c>
      <c r="C2139" s="27">
        <f>IFERROR(IF(ISNUMBER(Datos!C2139),Datos!C2139/$F$3*100,NA()),NA())</f>
        <v/>
      </c>
    </row>
    <row r="2140">
      <c r="A2140" s="7">
        <f>IFERROR(Datos!A2140,"")</f>
        <v/>
      </c>
      <c r="B2140" s="27">
        <f>IFERROR(IF(ISNUMBER(Datos!B2140),Datos!B2140/$F$2*100,NA()),NA())</f>
        <v/>
      </c>
      <c r="C2140" s="27">
        <f>IFERROR(IF(ISNUMBER(Datos!C2140),Datos!C2140/$F$3*100,NA()),NA())</f>
        <v/>
      </c>
    </row>
    <row r="2141">
      <c r="A2141" s="7">
        <f>IFERROR(Datos!A2141,"")</f>
        <v/>
      </c>
      <c r="B2141" s="27">
        <f>IFERROR(IF(ISNUMBER(Datos!B2141),Datos!B2141/$F$2*100,NA()),NA())</f>
        <v/>
      </c>
      <c r="C2141" s="27">
        <f>IFERROR(IF(ISNUMBER(Datos!C2141),Datos!C2141/$F$3*100,NA()),NA())</f>
        <v/>
      </c>
    </row>
    <row r="2142">
      <c r="A2142" s="7">
        <f>IFERROR(Datos!A2142,"")</f>
        <v/>
      </c>
      <c r="B2142" s="27">
        <f>IFERROR(IF(ISNUMBER(Datos!B2142),Datos!B2142/$F$2*100,NA()),NA())</f>
        <v/>
      </c>
      <c r="C2142" s="27">
        <f>IFERROR(IF(ISNUMBER(Datos!C2142),Datos!C2142/$F$3*100,NA()),NA())</f>
        <v/>
      </c>
    </row>
    <row r="2143">
      <c r="A2143" s="7">
        <f>IFERROR(Datos!A2143,"")</f>
        <v/>
      </c>
      <c r="B2143" s="27">
        <f>IFERROR(IF(ISNUMBER(Datos!B2143),Datos!B2143/$F$2*100,NA()),NA())</f>
        <v/>
      </c>
      <c r="C2143" s="27">
        <f>IFERROR(IF(ISNUMBER(Datos!C2143),Datos!C2143/$F$3*100,NA()),NA())</f>
        <v/>
      </c>
    </row>
    <row r="2144">
      <c r="A2144" s="7">
        <f>IFERROR(Datos!A2144,"")</f>
        <v/>
      </c>
      <c r="B2144" s="27">
        <f>IFERROR(IF(ISNUMBER(Datos!B2144),Datos!B2144/$F$2*100,NA()),NA())</f>
        <v/>
      </c>
      <c r="C2144" s="27">
        <f>IFERROR(IF(ISNUMBER(Datos!C2144),Datos!C2144/$F$3*100,NA()),NA())</f>
        <v/>
      </c>
    </row>
    <row r="2145">
      <c r="A2145" s="7">
        <f>IFERROR(Datos!A2145,"")</f>
        <v/>
      </c>
      <c r="B2145" s="27">
        <f>IFERROR(IF(ISNUMBER(Datos!B2145),Datos!B2145/$F$2*100,NA()),NA())</f>
        <v/>
      </c>
      <c r="C2145" s="27">
        <f>IFERROR(IF(ISNUMBER(Datos!C2145),Datos!C2145/$F$3*100,NA()),NA())</f>
        <v/>
      </c>
    </row>
    <row r="2146">
      <c r="A2146" s="7">
        <f>IFERROR(Datos!A2146,"")</f>
        <v/>
      </c>
      <c r="B2146" s="27">
        <f>IFERROR(IF(ISNUMBER(Datos!B2146),Datos!B2146/$F$2*100,NA()),NA())</f>
        <v/>
      </c>
      <c r="C2146" s="27">
        <f>IFERROR(IF(ISNUMBER(Datos!C2146),Datos!C2146/$F$3*100,NA()),NA())</f>
        <v/>
      </c>
    </row>
    <row r="2147">
      <c r="A2147" s="7">
        <f>IFERROR(Datos!A2147,"")</f>
        <v/>
      </c>
      <c r="B2147" s="27">
        <f>IFERROR(IF(ISNUMBER(Datos!B2147),Datos!B2147/$F$2*100,NA()),NA())</f>
        <v/>
      </c>
      <c r="C2147" s="27">
        <f>IFERROR(IF(ISNUMBER(Datos!C2147),Datos!C2147/$F$3*100,NA()),NA())</f>
        <v/>
      </c>
    </row>
    <row r="2148">
      <c r="A2148" s="7">
        <f>IFERROR(Datos!A2148,"")</f>
        <v/>
      </c>
      <c r="B2148" s="27">
        <f>IFERROR(IF(ISNUMBER(Datos!B2148),Datos!B2148/$F$2*100,NA()),NA())</f>
        <v/>
      </c>
      <c r="C2148" s="27">
        <f>IFERROR(IF(ISNUMBER(Datos!C2148),Datos!C2148/$F$3*100,NA()),NA())</f>
        <v/>
      </c>
    </row>
    <row r="2149">
      <c r="A2149" s="7">
        <f>IFERROR(Datos!A2149,"")</f>
        <v/>
      </c>
      <c r="B2149" s="27">
        <f>IFERROR(IF(ISNUMBER(Datos!B2149),Datos!B2149/$F$2*100,NA()),NA())</f>
        <v/>
      </c>
      <c r="C2149" s="27">
        <f>IFERROR(IF(ISNUMBER(Datos!C2149),Datos!C2149/$F$3*100,NA()),NA())</f>
        <v/>
      </c>
    </row>
    <row r="2150">
      <c r="A2150" s="7">
        <f>IFERROR(Datos!A2150,"")</f>
        <v/>
      </c>
      <c r="B2150" s="27">
        <f>IFERROR(IF(ISNUMBER(Datos!B2150),Datos!B2150/$F$2*100,NA()),NA())</f>
        <v/>
      </c>
      <c r="C2150" s="27">
        <f>IFERROR(IF(ISNUMBER(Datos!C2150),Datos!C2150/$F$3*100,NA()),NA())</f>
        <v/>
      </c>
    </row>
    <row r="2151">
      <c r="A2151" s="7">
        <f>IFERROR(Datos!A2151,"")</f>
        <v/>
      </c>
      <c r="B2151" s="27">
        <f>IFERROR(IF(ISNUMBER(Datos!B2151),Datos!B2151/$F$2*100,NA()),NA())</f>
        <v/>
      </c>
      <c r="C2151" s="27">
        <f>IFERROR(IF(ISNUMBER(Datos!C2151),Datos!C2151/$F$3*100,NA()),NA())</f>
        <v/>
      </c>
    </row>
    <row r="2152">
      <c r="A2152" s="7">
        <f>IFERROR(Datos!A2152,"")</f>
        <v/>
      </c>
      <c r="B2152" s="27">
        <f>IFERROR(IF(ISNUMBER(Datos!B2152),Datos!B2152/$F$2*100,NA()),NA())</f>
        <v/>
      </c>
      <c r="C2152" s="27">
        <f>IFERROR(IF(ISNUMBER(Datos!C2152),Datos!C2152/$F$3*100,NA()),NA())</f>
        <v/>
      </c>
    </row>
    <row r="2153">
      <c r="A2153" s="7">
        <f>IFERROR(Datos!A2153,"")</f>
        <v/>
      </c>
      <c r="B2153" s="27">
        <f>IFERROR(IF(ISNUMBER(Datos!B2153),Datos!B2153/$F$2*100,NA()),NA())</f>
        <v/>
      </c>
      <c r="C2153" s="27">
        <f>IFERROR(IF(ISNUMBER(Datos!C2153),Datos!C2153/$F$3*100,NA()),NA())</f>
        <v/>
      </c>
    </row>
    <row r="2154">
      <c r="A2154" s="7">
        <f>IFERROR(Datos!A2154,"")</f>
        <v/>
      </c>
      <c r="B2154" s="27">
        <f>IFERROR(IF(ISNUMBER(Datos!B2154),Datos!B2154/$F$2*100,NA()),NA())</f>
        <v/>
      </c>
      <c r="C2154" s="27">
        <f>IFERROR(IF(ISNUMBER(Datos!C2154),Datos!C2154/$F$3*100,NA()),NA())</f>
        <v/>
      </c>
    </row>
    <row r="2155">
      <c r="A2155" s="7">
        <f>IFERROR(Datos!A2155,"")</f>
        <v/>
      </c>
      <c r="B2155" s="27">
        <f>IFERROR(IF(ISNUMBER(Datos!B2155),Datos!B2155/$F$2*100,NA()),NA())</f>
        <v/>
      </c>
      <c r="C2155" s="27">
        <f>IFERROR(IF(ISNUMBER(Datos!C2155),Datos!C2155/$F$3*100,NA()),NA())</f>
        <v/>
      </c>
    </row>
    <row r="2156">
      <c r="A2156" s="7">
        <f>IFERROR(Datos!A2156,"")</f>
        <v/>
      </c>
      <c r="B2156" s="27">
        <f>IFERROR(IF(ISNUMBER(Datos!B2156),Datos!B2156/$F$2*100,NA()),NA())</f>
        <v/>
      </c>
      <c r="C2156" s="27">
        <f>IFERROR(IF(ISNUMBER(Datos!C2156),Datos!C2156/$F$3*100,NA()),NA())</f>
        <v/>
      </c>
    </row>
    <row r="2157">
      <c r="A2157" s="7">
        <f>IFERROR(Datos!A2157,"")</f>
        <v/>
      </c>
      <c r="B2157" s="27">
        <f>IFERROR(IF(ISNUMBER(Datos!B2157),Datos!B2157/$F$2*100,NA()),NA())</f>
        <v/>
      </c>
      <c r="C2157" s="27">
        <f>IFERROR(IF(ISNUMBER(Datos!C2157),Datos!C2157/$F$3*100,NA()),NA())</f>
        <v/>
      </c>
    </row>
    <row r="2158">
      <c r="A2158" s="7">
        <f>IFERROR(Datos!A2158,"")</f>
        <v/>
      </c>
      <c r="B2158" s="27">
        <f>IFERROR(IF(ISNUMBER(Datos!B2158),Datos!B2158/$F$2*100,NA()),NA())</f>
        <v/>
      </c>
      <c r="C2158" s="27">
        <f>IFERROR(IF(ISNUMBER(Datos!C2158),Datos!C2158/$F$3*100,NA()),NA())</f>
        <v/>
      </c>
    </row>
    <row r="2159">
      <c r="A2159" s="7">
        <f>IFERROR(Datos!A2159,"")</f>
        <v/>
      </c>
      <c r="B2159" s="27">
        <f>IFERROR(IF(ISNUMBER(Datos!B2159),Datos!B2159/$F$2*100,NA()),NA())</f>
        <v/>
      </c>
      <c r="C2159" s="27">
        <f>IFERROR(IF(ISNUMBER(Datos!C2159),Datos!C2159/$F$3*100,NA()),NA())</f>
        <v/>
      </c>
    </row>
    <row r="2160">
      <c r="A2160" s="7">
        <f>IFERROR(Datos!A2160,"")</f>
        <v/>
      </c>
      <c r="B2160" s="27">
        <f>IFERROR(IF(ISNUMBER(Datos!B2160),Datos!B2160/$F$2*100,NA()),NA())</f>
        <v/>
      </c>
      <c r="C2160" s="27">
        <f>IFERROR(IF(ISNUMBER(Datos!C2160),Datos!C2160/$F$3*100,NA()),NA())</f>
        <v/>
      </c>
    </row>
    <row r="2161">
      <c r="A2161" s="7">
        <f>IFERROR(Datos!A2161,"")</f>
        <v/>
      </c>
      <c r="B2161" s="27">
        <f>IFERROR(IF(ISNUMBER(Datos!B2161),Datos!B2161/$F$2*100,NA()),NA())</f>
        <v/>
      </c>
      <c r="C2161" s="27">
        <f>IFERROR(IF(ISNUMBER(Datos!C2161),Datos!C2161/$F$3*100,NA()),NA())</f>
        <v/>
      </c>
    </row>
    <row r="2162">
      <c r="A2162" s="7">
        <f>IFERROR(Datos!A2162,"")</f>
        <v/>
      </c>
      <c r="B2162" s="27">
        <f>IFERROR(IF(ISNUMBER(Datos!B2162),Datos!B2162/$F$2*100,NA()),NA())</f>
        <v/>
      </c>
      <c r="C2162" s="27">
        <f>IFERROR(IF(ISNUMBER(Datos!C2162),Datos!C2162/$F$3*100,NA()),NA())</f>
        <v/>
      </c>
    </row>
    <row r="2163">
      <c r="A2163" s="7">
        <f>IFERROR(Datos!A2163,"")</f>
        <v/>
      </c>
      <c r="B2163" s="27">
        <f>IFERROR(IF(ISNUMBER(Datos!B2163),Datos!B2163/$F$2*100,NA()),NA())</f>
        <v/>
      </c>
      <c r="C2163" s="27">
        <f>IFERROR(IF(ISNUMBER(Datos!C2163),Datos!C2163/$F$3*100,NA()),NA())</f>
        <v/>
      </c>
    </row>
    <row r="2164">
      <c r="A2164" s="7">
        <f>IFERROR(Datos!A2164,"")</f>
        <v/>
      </c>
      <c r="B2164" s="27">
        <f>IFERROR(IF(ISNUMBER(Datos!B2164),Datos!B2164/$F$2*100,NA()),NA())</f>
        <v/>
      </c>
      <c r="C2164" s="27">
        <f>IFERROR(IF(ISNUMBER(Datos!C2164),Datos!C2164/$F$3*100,NA()),NA())</f>
        <v/>
      </c>
    </row>
    <row r="2165">
      <c r="A2165" s="7">
        <f>IFERROR(Datos!A2165,"")</f>
        <v/>
      </c>
      <c r="B2165" s="27">
        <f>IFERROR(IF(ISNUMBER(Datos!B2165),Datos!B2165/$F$2*100,NA()),NA())</f>
        <v/>
      </c>
      <c r="C2165" s="27">
        <f>IFERROR(IF(ISNUMBER(Datos!C2165),Datos!C2165/$F$3*100,NA()),NA())</f>
        <v/>
      </c>
    </row>
    <row r="2166">
      <c r="A2166" s="7">
        <f>IFERROR(Datos!A2166,"")</f>
        <v/>
      </c>
      <c r="B2166" s="27">
        <f>IFERROR(IF(ISNUMBER(Datos!B2166),Datos!B2166/$F$2*100,NA()),NA())</f>
        <v/>
      </c>
      <c r="C2166" s="27">
        <f>IFERROR(IF(ISNUMBER(Datos!C2166),Datos!C2166/$F$3*100,NA()),NA())</f>
        <v/>
      </c>
    </row>
    <row r="2167">
      <c r="A2167" s="7">
        <f>IFERROR(Datos!A2167,"")</f>
        <v/>
      </c>
      <c r="B2167" s="27">
        <f>IFERROR(IF(ISNUMBER(Datos!B2167),Datos!B2167/$F$2*100,NA()),NA())</f>
        <v/>
      </c>
      <c r="C2167" s="27">
        <f>IFERROR(IF(ISNUMBER(Datos!C2167),Datos!C2167/$F$3*100,NA()),NA())</f>
        <v/>
      </c>
    </row>
    <row r="2168">
      <c r="A2168" s="7">
        <f>IFERROR(Datos!A2168,"")</f>
        <v/>
      </c>
      <c r="B2168" s="27">
        <f>IFERROR(IF(ISNUMBER(Datos!B2168),Datos!B2168/$F$2*100,NA()),NA())</f>
        <v/>
      </c>
      <c r="C2168" s="27">
        <f>IFERROR(IF(ISNUMBER(Datos!C2168),Datos!C2168/$F$3*100,NA()),NA())</f>
        <v/>
      </c>
    </row>
    <row r="2169">
      <c r="A2169" s="7">
        <f>IFERROR(Datos!A2169,"")</f>
        <v/>
      </c>
      <c r="B2169" s="27">
        <f>IFERROR(IF(ISNUMBER(Datos!B2169),Datos!B2169/$F$2*100,NA()),NA())</f>
        <v/>
      </c>
      <c r="C2169" s="27">
        <f>IFERROR(IF(ISNUMBER(Datos!C2169),Datos!C2169/$F$3*100,NA()),NA())</f>
        <v/>
      </c>
    </row>
    <row r="2170">
      <c r="A2170" s="7">
        <f>IFERROR(Datos!A2170,"")</f>
        <v/>
      </c>
      <c r="B2170" s="27">
        <f>IFERROR(IF(ISNUMBER(Datos!B2170),Datos!B2170/$F$2*100,NA()),NA())</f>
        <v/>
      </c>
      <c r="C2170" s="27">
        <f>IFERROR(IF(ISNUMBER(Datos!C2170),Datos!C2170/$F$3*100,NA()),NA())</f>
        <v/>
      </c>
    </row>
    <row r="2171">
      <c r="A2171" s="7">
        <f>IFERROR(Datos!A2171,"")</f>
        <v/>
      </c>
      <c r="B2171" s="27">
        <f>IFERROR(IF(ISNUMBER(Datos!B2171),Datos!B2171/$F$2*100,NA()),NA())</f>
        <v/>
      </c>
      <c r="C2171" s="27">
        <f>IFERROR(IF(ISNUMBER(Datos!C2171),Datos!C2171/$F$3*100,NA()),NA())</f>
        <v/>
      </c>
    </row>
    <row r="2172">
      <c r="A2172" s="7">
        <f>IFERROR(Datos!A2172,"")</f>
        <v/>
      </c>
      <c r="B2172" s="27">
        <f>IFERROR(IF(ISNUMBER(Datos!B2172),Datos!B2172/$F$2*100,NA()),NA())</f>
        <v/>
      </c>
      <c r="C2172" s="27">
        <f>IFERROR(IF(ISNUMBER(Datos!C2172),Datos!C2172/$F$3*100,NA()),NA())</f>
        <v/>
      </c>
    </row>
    <row r="2173">
      <c r="A2173" s="7">
        <f>IFERROR(Datos!A2173,"")</f>
        <v/>
      </c>
      <c r="B2173" s="27">
        <f>IFERROR(IF(ISNUMBER(Datos!B2173),Datos!B2173/$F$2*100,NA()),NA())</f>
        <v/>
      </c>
      <c r="C2173" s="27">
        <f>IFERROR(IF(ISNUMBER(Datos!C2173),Datos!C2173/$F$3*100,NA()),NA())</f>
        <v/>
      </c>
    </row>
    <row r="2174">
      <c r="A2174" s="7">
        <f>IFERROR(Datos!A2174,"")</f>
        <v/>
      </c>
      <c r="B2174" s="27">
        <f>IFERROR(IF(ISNUMBER(Datos!B2174),Datos!B2174/$F$2*100,NA()),NA())</f>
        <v/>
      </c>
      <c r="C2174" s="27">
        <f>IFERROR(IF(ISNUMBER(Datos!C2174),Datos!C2174/$F$3*100,NA()),NA())</f>
        <v/>
      </c>
    </row>
    <row r="2175">
      <c r="A2175" s="7">
        <f>IFERROR(Datos!A2175,"")</f>
        <v/>
      </c>
      <c r="B2175" s="27">
        <f>IFERROR(IF(ISNUMBER(Datos!B2175),Datos!B2175/$F$2*100,NA()),NA())</f>
        <v/>
      </c>
      <c r="C2175" s="27">
        <f>IFERROR(IF(ISNUMBER(Datos!C2175),Datos!C2175/$F$3*100,NA()),NA())</f>
        <v/>
      </c>
    </row>
    <row r="2176">
      <c r="A2176" s="7">
        <f>IFERROR(Datos!A2176,"")</f>
        <v/>
      </c>
      <c r="B2176" s="27">
        <f>IFERROR(IF(ISNUMBER(Datos!B2176),Datos!B2176/$F$2*100,NA()),NA())</f>
        <v/>
      </c>
      <c r="C2176" s="27">
        <f>IFERROR(IF(ISNUMBER(Datos!C2176),Datos!C2176/$F$3*100,NA()),NA())</f>
        <v/>
      </c>
    </row>
    <row r="2177">
      <c r="A2177" s="7">
        <f>IFERROR(Datos!A2177,"")</f>
        <v/>
      </c>
      <c r="B2177" s="27">
        <f>IFERROR(IF(ISNUMBER(Datos!B2177),Datos!B2177/$F$2*100,NA()),NA())</f>
        <v/>
      </c>
      <c r="C2177" s="27">
        <f>IFERROR(IF(ISNUMBER(Datos!C2177),Datos!C2177/$F$3*100,NA()),NA())</f>
        <v/>
      </c>
    </row>
    <row r="2178">
      <c r="A2178" s="7">
        <f>IFERROR(Datos!A2178,"")</f>
        <v/>
      </c>
      <c r="B2178" s="27">
        <f>IFERROR(IF(ISNUMBER(Datos!B2178),Datos!B2178/$F$2*100,NA()),NA())</f>
        <v/>
      </c>
      <c r="C2178" s="27">
        <f>IFERROR(IF(ISNUMBER(Datos!C2178),Datos!C2178/$F$3*100,NA()),NA())</f>
        <v/>
      </c>
    </row>
    <row r="2179">
      <c r="A2179" s="7">
        <f>IFERROR(Datos!A2179,"")</f>
        <v/>
      </c>
      <c r="B2179" s="27">
        <f>IFERROR(IF(ISNUMBER(Datos!B2179),Datos!B2179/$F$2*100,NA()),NA())</f>
        <v/>
      </c>
      <c r="C2179" s="27">
        <f>IFERROR(IF(ISNUMBER(Datos!C2179),Datos!C2179/$F$3*100,NA()),NA())</f>
        <v/>
      </c>
    </row>
    <row r="2180">
      <c r="A2180" s="7">
        <f>IFERROR(Datos!A2180,"")</f>
        <v/>
      </c>
      <c r="B2180" s="27">
        <f>IFERROR(IF(ISNUMBER(Datos!B2180),Datos!B2180/$F$2*100,NA()),NA())</f>
        <v/>
      </c>
      <c r="C2180" s="27">
        <f>IFERROR(IF(ISNUMBER(Datos!C2180),Datos!C2180/$F$3*100,NA()),NA())</f>
        <v/>
      </c>
    </row>
    <row r="2181">
      <c r="A2181" s="7">
        <f>IFERROR(Datos!A2181,"")</f>
        <v/>
      </c>
      <c r="B2181" s="27">
        <f>IFERROR(IF(ISNUMBER(Datos!B2181),Datos!B2181/$F$2*100,NA()),NA())</f>
        <v/>
      </c>
      <c r="C2181" s="27">
        <f>IFERROR(IF(ISNUMBER(Datos!C2181),Datos!C2181/$F$3*100,NA()),NA())</f>
        <v/>
      </c>
    </row>
    <row r="2182">
      <c r="A2182" s="7">
        <f>IFERROR(Datos!A2182,"")</f>
        <v/>
      </c>
      <c r="B2182" s="27">
        <f>IFERROR(IF(ISNUMBER(Datos!B2182),Datos!B2182/$F$2*100,NA()),NA())</f>
        <v/>
      </c>
      <c r="C2182" s="27">
        <f>IFERROR(IF(ISNUMBER(Datos!C2182),Datos!C2182/$F$3*100,NA()),NA())</f>
        <v/>
      </c>
    </row>
    <row r="2183">
      <c r="A2183" s="7">
        <f>IFERROR(Datos!A2183,"")</f>
        <v/>
      </c>
      <c r="B2183" s="27">
        <f>IFERROR(IF(ISNUMBER(Datos!B2183),Datos!B2183/$F$2*100,NA()),NA())</f>
        <v/>
      </c>
      <c r="C2183" s="27">
        <f>IFERROR(IF(ISNUMBER(Datos!C2183),Datos!C2183/$F$3*100,NA()),NA())</f>
        <v/>
      </c>
    </row>
    <row r="2184">
      <c r="A2184" s="7">
        <f>IFERROR(Datos!A2184,"")</f>
        <v/>
      </c>
      <c r="B2184" s="27">
        <f>IFERROR(IF(ISNUMBER(Datos!B2184),Datos!B2184/$F$2*100,NA()),NA())</f>
        <v/>
      </c>
      <c r="C2184" s="27">
        <f>IFERROR(IF(ISNUMBER(Datos!C2184),Datos!C2184/$F$3*100,NA()),NA())</f>
        <v/>
      </c>
    </row>
    <row r="2185">
      <c r="A2185" s="7">
        <f>IFERROR(Datos!A2185,"")</f>
        <v/>
      </c>
      <c r="B2185" s="27">
        <f>IFERROR(IF(ISNUMBER(Datos!B2185),Datos!B2185/$F$2*100,NA()),NA())</f>
        <v/>
      </c>
      <c r="C2185" s="27">
        <f>IFERROR(IF(ISNUMBER(Datos!C2185),Datos!C2185/$F$3*100,NA()),NA())</f>
        <v/>
      </c>
    </row>
    <row r="2186">
      <c r="A2186" s="7">
        <f>IFERROR(Datos!A2186,"")</f>
        <v/>
      </c>
      <c r="B2186" s="27">
        <f>IFERROR(IF(ISNUMBER(Datos!B2186),Datos!B2186/$F$2*100,NA()),NA())</f>
        <v/>
      </c>
      <c r="C2186" s="27">
        <f>IFERROR(IF(ISNUMBER(Datos!C2186),Datos!C2186/$F$3*100,NA()),NA())</f>
        <v/>
      </c>
    </row>
    <row r="2187">
      <c r="A2187" s="7">
        <f>IFERROR(Datos!A2187,"")</f>
        <v/>
      </c>
      <c r="B2187" s="27">
        <f>IFERROR(IF(ISNUMBER(Datos!B2187),Datos!B2187/$F$2*100,NA()),NA())</f>
        <v/>
      </c>
      <c r="C2187" s="27">
        <f>IFERROR(IF(ISNUMBER(Datos!C2187),Datos!C2187/$F$3*100,NA()),NA())</f>
        <v/>
      </c>
    </row>
    <row r="2188">
      <c r="A2188" s="7">
        <f>IFERROR(Datos!A2188,"")</f>
        <v/>
      </c>
      <c r="B2188" s="27">
        <f>IFERROR(IF(ISNUMBER(Datos!B2188),Datos!B2188/$F$2*100,NA()),NA())</f>
        <v/>
      </c>
      <c r="C2188" s="27">
        <f>IFERROR(IF(ISNUMBER(Datos!C2188),Datos!C2188/$F$3*100,NA()),NA())</f>
        <v/>
      </c>
    </row>
    <row r="2189">
      <c r="A2189" s="7">
        <f>IFERROR(Datos!A2189,"")</f>
        <v/>
      </c>
      <c r="B2189" s="27">
        <f>IFERROR(IF(ISNUMBER(Datos!B2189),Datos!B2189/$F$2*100,NA()),NA())</f>
        <v/>
      </c>
      <c r="C2189" s="27">
        <f>IFERROR(IF(ISNUMBER(Datos!C2189),Datos!C2189/$F$3*100,NA()),NA())</f>
        <v/>
      </c>
    </row>
    <row r="2190">
      <c r="A2190" s="7">
        <f>IFERROR(Datos!A2190,"")</f>
        <v/>
      </c>
      <c r="B2190" s="27">
        <f>IFERROR(IF(ISNUMBER(Datos!B2190),Datos!B2190/$F$2*100,NA()),NA())</f>
        <v/>
      </c>
      <c r="C2190" s="27">
        <f>IFERROR(IF(ISNUMBER(Datos!C2190),Datos!C2190/$F$3*100,NA()),NA())</f>
        <v/>
      </c>
    </row>
    <row r="2191">
      <c r="A2191" s="7">
        <f>IFERROR(Datos!A2191,"")</f>
        <v/>
      </c>
      <c r="B2191" s="27">
        <f>IFERROR(IF(ISNUMBER(Datos!B2191),Datos!B2191/$F$2*100,NA()),NA())</f>
        <v/>
      </c>
      <c r="C2191" s="27">
        <f>IFERROR(IF(ISNUMBER(Datos!C2191),Datos!C2191/$F$3*100,NA()),NA())</f>
        <v/>
      </c>
    </row>
    <row r="2192">
      <c r="A2192" s="7">
        <f>IFERROR(Datos!A2192,"")</f>
        <v/>
      </c>
      <c r="B2192" s="27">
        <f>IFERROR(IF(ISNUMBER(Datos!B2192),Datos!B2192/$F$2*100,NA()),NA())</f>
        <v/>
      </c>
      <c r="C2192" s="27">
        <f>IFERROR(IF(ISNUMBER(Datos!C2192),Datos!C2192/$F$3*100,NA()),NA())</f>
        <v/>
      </c>
    </row>
    <row r="2193">
      <c r="A2193" s="7">
        <f>IFERROR(Datos!A2193,"")</f>
        <v/>
      </c>
      <c r="B2193" s="27">
        <f>IFERROR(IF(ISNUMBER(Datos!B2193),Datos!B2193/$F$2*100,NA()),NA())</f>
        <v/>
      </c>
      <c r="C2193" s="27">
        <f>IFERROR(IF(ISNUMBER(Datos!C2193),Datos!C2193/$F$3*100,NA()),NA())</f>
        <v/>
      </c>
    </row>
    <row r="2194">
      <c r="A2194" s="7">
        <f>IFERROR(Datos!A2194,"")</f>
        <v/>
      </c>
      <c r="B2194" s="27">
        <f>IFERROR(IF(ISNUMBER(Datos!B2194),Datos!B2194/$F$2*100,NA()),NA())</f>
        <v/>
      </c>
      <c r="C2194" s="27">
        <f>IFERROR(IF(ISNUMBER(Datos!C2194),Datos!C2194/$F$3*100,NA()),NA())</f>
        <v/>
      </c>
    </row>
    <row r="2195">
      <c r="A2195" s="7">
        <f>IFERROR(Datos!A2195,"")</f>
        <v/>
      </c>
      <c r="B2195" s="27">
        <f>IFERROR(IF(ISNUMBER(Datos!B2195),Datos!B2195/$F$2*100,NA()),NA())</f>
        <v/>
      </c>
      <c r="C2195" s="27">
        <f>IFERROR(IF(ISNUMBER(Datos!C2195),Datos!C2195/$F$3*100,NA()),NA())</f>
        <v/>
      </c>
    </row>
    <row r="2196">
      <c r="A2196" s="7">
        <f>IFERROR(Datos!A2196,"")</f>
        <v/>
      </c>
      <c r="B2196" s="27">
        <f>IFERROR(IF(ISNUMBER(Datos!B2196),Datos!B2196/$F$2*100,NA()),NA())</f>
        <v/>
      </c>
      <c r="C2196" s="27">
        <f>IFERROR(IF(ISNUMBER(Datos!C2196),Datos!C2196/$F$3*100,NA()),NA())</f>
        <v/>
      </c>
    </row>
    <row r="2197">
      <c r="A2197" s="7">
        <f>IFERROR(Datos!A2197,"")</f>
        <v/>
      </c>
      <c r="B2197" s="27">
        <f>IFERROR(IF(ISNUMBER(Datos!B2197),Datos!B2197/$F$2*100,NA()),NA())</f>
        <v/>
      </c>
      <c r="C2197" s="27">
        <f>IFERROR(IF(ISNUMBER(Datos!C2197),Datos!C2197/$F$3*100,NA()),NA())</f>
        <v/>
      </c>
    </row>
    <row r="2198">
      <c r="A2198" s="7">
        <f>IFERROR(Datos!A2198,"")</f>
        <v/>
      </c>
      <c r="B2198" s="27">
        <f>IFERROR(IF(ISNUMBER(Datos!B2198),Datos!B2198/$F$2*100,NA()),NA())</f>
        <v/>
      </c>
      <c r="C2198" s="27">
        <f>IFERROR(IF(ISNUMBER(Datos!C2198),Datos!C2198/$F$3*100,NA()),NA())</f>
        <v/>
      </c>
    </row>
    <row r="2199">
      <c r="A2199" s="7">
        <f>IFERROR(Datos!A2199,"")</f>
        <v/>
      </c>
      <c r="B2199" s="27">
        <f>IFERROR(IF(ISNUMBER(Datos!B2199),Datos!B2199/$F$2*100,NA()),NA())</f>
        <v/>
      </c>
      <c r="C2199" s="27">
        <f>IFERROR(IF(ISNUMBER(Datos!C2199),Datos!C2199/$F$3*100,NA()),NA())</f>
        <v/>
      </c>
    </row>
    <row r="2200">
      <c r="A2200" s="7">
        <f>IFERROR(Datos!A2200,"")</f>
        <v/>
      </c>
      <c r="B2200" s="27">
        <f>IFERROR(IF(ISNUMBER(Datos!B2200),Datos!B2200/$F$2*100,NA()),NA())</f>
        <v/>
      </c>
      <c r="C2200" s="27">
        <f>IFERROR(IF(ISNUMBER(Datos!C2200),Datos!C2200/$F$3*100,NA()),NA())</f>
        <v/>
      </c>
    </row>
    <row r="2201">
      <c r="A2201" s="7">
        <f>IFERROR(Datos!A2201,"")</f>
        <v/>
      </c>
      <c r="B2201" s="27">
        <f>IFERROR(IF(ISNUMBER(Datos!B2201),Datos!B2201/$F$2*100,NA()),NA())</f>
        <v/>
      </c>
      <c r="C2201" s="27">
        <f>IFERROR(IF(ISNUMBER(Datos!C2201),Datos!C2201/$F$3*100,NA()),NA())</f>
        <v/>
      </c>
    </row>
    <row r="2202">
      <c r="A2202" s="7">
        <f>IFERROR(Datos!A2202,"")</f>
        <v/>
      </c>
      <c r="B2202" s="27">
        <f>IFERROR(IF(ISNUMBER(Datos!B2202),Datos!B2202/$F$2*100,NA()),NA())</f>
        <v/>
      </c>
      <c r="C2202" s="27">
        <f>IFERROR(IF(ISNUMBER(Datos!C2202),Datos!C2202/$F$3*100,NA()),NA())</f>
        <v/>
      </c>
    </row>
    <row r="2203">
      <c r="A2203" s="7">
        <f>IFERROR(Datos!A2203,"")</f>
        <v/>
      </c>
      <c r="B2203" s="27">
        <f>IFERROR(IF(ISNUMBER(Datos!B2203),Datos!B2203/$F$2*100,NA()),NA())</f>
        <v/>
      </c>
      <c r="C2203" s="27">
        <f>IFERROR(IF(ISNUMBER(Datos!C2203),Datos!C2203/$F$3*100,NA()),NA())</f>
        <v/>
      </c>
    </row>
    <row r="2204">
      <c r="A2204" s="7">
        <f>IFERROR(Datos!A2204,"")</f>
        <v/>
      </c>
      <c r="B2204" s="27">
        <f>IFERROR(IF(ISNUMBER(Datos!B2204),Datos!B2204/$F$2*100,NA()),NA())</f>
        <v/>
      </c>
      <c r="C2204" s="27">
        <f>IFERROR(IF(ISNUMBER(Datos!C2204),Datos!C2204/$F$3*100,NA()),NA())</f>
        <v/>
      </c>
    </row>
    <row r="2205">
      <c r="A2205" s="7">
        <f>IFERROR(Datos!A2205,"")</f>
        <v/>
      </c>
      <c r="B2205" s="27">
        <f>IFERROR(IF(ISNUMBER(Datos!B2205),Datos!B2205/$F$2*100,NA()),NA())</f>
        <v/>
      </c>
      <c r="C2205" s="27">
        <f>IFERROR(IF(ISNUMBER(Datos!C2205),Datos!C2205/$F$3*100,NA()),NA())</f>
        <v/>
      </c>
    </row>
    <row r="2206">
      <c r="A2206" s="7">
        <f>IFERROR(Datos!A2206,"")</f>
        <v/>
      </c>
      <c r="B2206" s="27">
        <f>IFERROR(IF(ISNUMBER(Datos!B2206),Datos!B2206/$F$2*100,NA()),NA())</f>
        <v/>
      </c>
      <c r="C2206" s="27">
        <f>IFERROR(IF(ISNUMBER(Datos!C2206),Datos!C2206/$F$3*100,NA()),NA())</f>
        <v/>
      </c>
    </row>
    <row r="2207">
      <c r="A2207" s="7">
        <f>IFERROR(Datos!A2207,"")</f>
        <v/>
      </c>
      <c r="B2207" s="27">
        <f>IFERROR(IF(ISNUMBER(Datos!B2207),Datos!B2207/$F$2*100,NA()),NA())</f>
        <v/>
      </c>
      <c r="C2207" s="27">
        <f>IFERROR(IF(ISNUMBER(Datos!C2207),Datos!C2207/$F$3*100,NA()),NA())</f>
        <v/>
      </c>
    </row>
    <row r="2208">
      <c r="A2208" s="7">
        <f>IFERROR(Datos!A2208,"")</f>
        <v/>
      </c>
      <c r="B2208" s="27">
        <f>IFERROR(IF(ISNUMBER(Datos!B2208),Datos!B2208/$F$2*100,NA()),NA())</f>
        <v/>
      </c>
      <c r="C2208" s="27">
        <f>IFERROR(IF(ISNUMBER(Datos!C2208),Datos!C2208/$F$3*100,NA()),NA())</f>
        <v/>
      </c>
    </row>
    <row r="2209">
      <c r="A2209" s="7">
        <f>IFERROR(Datos!A2209,"")</f>
        <v/>
      </c>
      <c r="B2209" s="27">
        <f>IFERROR(IF(ISNUMBER(Datos!B2209),Datos!B2209/$F$2*100,NA()),NA())</f>
        <v/>
      </c>
      <c r="C2209" s="27">
        <f>IFERROR(IF(ISNUMBER(Datos!C2209),Datos!C2209/$F$3*100,NA()),NA())</f>
        <v/>
      </c>
    </row>
    <row r="2210">
      <c r="A2210" s="7">
        <f>IFERROR(Datos!A2210,"")</f>
        <v/>
      </c>
      <c r="B2210" s="27">
        <f>IFERROR(IF(ISNUMBER(Datos!B2210),Datos!B2210/$F$2*100,NA()),NA())</f>
        <v/>
      </c>
      <c r="C2210" s="27">
        <f>IFERROR(IF(ISNUMBER(Datos!C2210),Datos!C2210/$F$3*100,NA()),NA())</f>
        <v/>
      </c>
    </row>
    <row r="2211">
      <c r="A2211" s="7">
        <f>IFERROR(Datos!A2211,"")</f>
        <v/>
      </c>
      <c r="B2211" s="27">
        <f>IFERROR(IF(ISNUMBER(Datos!B2211),Datos!B2211/$F$2*100,NA()),NA())</f>
        <v/>
      </c>
      <c r="C2211" s="27">
        <f>IFERROR(IF(ISNUMBER(Datos!C2211),Datos!C2211/$F$3*100,NA()),NA())</f>
        <v/>
      </c>
    </row>
    <row r="2212">
      <c r="A2212" s="7">
        <f>IFERROR(Datos!A2212,"")</f>
        <v/>
      </c>
      <c r="B2212" s="27">
        <f>IFERROR(IF(ISNUMBER(Datos!B2212),Datos!B2212/$F$2*100,NA()),NA())</f>
        <v/>
      </c>
      <c r="C2212" s="27">
        <f>IFERROR(IF(ISNUMBER(Datos!C2212),Datos!C2212/$F$3*100,NA()),NA())</f>
        <v/>
      </c>
    </row>
    <row r="2213">
      <c r="A2213" s="7">
        <f>IFERROR(Datos!A2213,"")</f>
        <v/>
      </c>
      <c r="B2213" s="27">
        <f>IFERROR(IF(ISNUMBER(Datos!B2213),Datos!B2213/$F$2*100,NA()),NA())</f>
        <v/>
      </c>
      <c r="C2213" s="27">
        <f>IFERROR(IF(ISNUMBER(Datos!C2213),Datos!C2213/$F$3*100,NA()),NA())</f>
        <v/>
      </c>
    </row>
    <row r="2214">
      <c r="A2214" s="7">
        <f>IFERROR(Datos!A2214,"")</f>
        <v/>
      </c>
      <c r="B2214" s="27">
        <f>IFERROR(IF(ISNUMBER(Datos!B2214),Datos!B2214/$F$2*100,NA()),NA())</f>
        <v/>
      </c>
      <c r="C2214" s="27">
        <f>IFERROR(IF(ISNUMBER(Datos!C2214),Datos!C2214/$F$3*100,NA()),NA())</f>
        <v/>
      </c>
    </row>
    <row r="2215">
      <c r="A2215" s="7">
        <f>IFERROR(Datos!A2215,"")</f>
        <v/>
      </c>
      <c r="B2215" s="27">
        <f>IFERROR(IF(ISNUMBER(Datos!B2215),Datos!B2215/$F$2*100,NA()),NA())</f>
        <v/>
      </c>
      <c r="C2215" s="27">
        <f>IFERROR(IF(ISNUMBER(Datos!C2215),Datos!C2215/$F$3*100,NA()),NA())</f>
        <v/>
      </c>
    </row>
    <row r="2216">
      <c r="A2216" s="7">
        <f>IFERROR(Datos!A2216,"")</f>
        <v/>
      </c>
      <c r="B2216" s="27">
        <f>IFERROR(IF(ISNUMBER(Datos!B2216),Datos!B2216/$F$2*100,NA()),NA())</f>
        <v/>
      </c>
      <c r="C2216" s="27">
        <f>IFERROR(IF(ISNUMBER(Datos!C2216),Datos!C2216/$F$3*100,NA()),NA())</f>
        <v/>
      </c>
    </row>
    <row r="2217">
      <c r="A2217" s="7">
        <f>IFERROR(Datos!A2217,"")</f>
        <v/>
      </c>
      <c r="B2217" s="27">
        <f>IFERROR(IF(ISNUMBER(Datos!B2217),Datos!B2217/$F$2*100,NA()),NA())</f>
        <v/>
      </c>
      <c r="C2217" s="27">
        <f>IFERROR(IF(ISNUMBER(Datos!C2217),Datos!C2217/$F$3*100,NA()),NA())</f>
        <v/>
      </c>
    </row>
    <row r="2218">
      <c r="A2218" s="7">
        <f>IFERROR(Datos!A2218,"")</f>
        <v/>
      </c>
      <c r="B2218" s="27">
        <f>IFERROR(IF(ISNUMBER(Datos!B2218),Datos!B2218/$F$2*100,NA()),NA())</f>
        <v/>
      </c>
      <c r="C2218" s="27">
        <f>IFERROR(IF(ISNUMBER(Datos!C2218),Datos!C2218/$F$3*100,NA()),NA())</f>
        <v/>
      </c>
    </row>
    <row r="2219">
      <c r="A2219" s="7">
        <f>IFERROR(Datos!A2219,"")</f>
        <v/>
      </c>
      <c r="B2219" s="27">
        <f>IFERROR(IF(ISNUMBER(Datos!B2219),Datos!B2219/$F$2*100,NA()),NA())</f>
        <v/>
      </c>
      <c r="C2219" s="27">
        <f>IFERROR(IF(ISNUMBER(Datos!C2219),Datos!C2219/$F$3*100,NA()),NA())</f>
        <v/>
      </c>
    </row>
    <row r="2220">
      <c r="A2220" s="7">
        <f>IFERROR(Datos!A2220,"")</f>
        <v/>
      </c>
      <c r="B2220" s="27">
        <f>IFERROR(IF(ISNUMBER(Datos!B2220),Datos!B2220/$F$2*100,NA()),NA())</f>
        <v/>
      </c>
      <c r="C2220" s="27">
        <f>IFERROR(IF(ISNUMBER(Datos!C2220),Datos!C2220/$F$3*100,NA()),NA())</f>
        <v/>
      </c>
    </row>
    <row r="2221">
      <c r="A2221" s="7">
        <f>IFERROR(Datos!A2221,"")</f>
        <v/>
      </c>
      <c r="B2221" s="27">
        <f>IFERROR(IF(ISNUMBER(Datos!B2221),Datos!B2221/$F$2*100,NA()),NA())</f>
        <v/>
      </c>
      <c r="C2221" s="27">
        <f>IFERROR(IF(ISNUMBER(Datos!C2221),Datos!C2221/$F$3*100,NA()),NA())</f>
        <v/>
      </c>
    </row>
    <row r="2222">
      <c r="A2222" s="7">
        <f>IFERROR(Datos!A2222,"")</f>
        <v/>
      </c>
      <c r="B2222" s="27">
        <f>IFERROR(IF(ISNUMBER(Datos!B2222),Datos!B2222/$F$2*100,NA()),NA())</f>
        <v/>
      </c>
      <c r="C2222" s="27">
        <f>IFERROR(IF(ISNUMBER(Datos!C2222),Datos!C2222/$F$3*100,NA()),NA())</f>
        <v/>
      </c>
    </row>
    <row r="2223">
      <c r="A2223" s="7">
        <f>IFERROR(Datos!A2223,"")</f>
        <v/>
      </c>
      <c r="B2223" s="27">
        <f>IFERROR(IF(ISNUMBER(Datos!B2223),Datos!B2223/$F$2*100,NA()),NA())</f>
        <v/>
      </c>
      <c r="C2223" s="27">
        <f>IFERROR(IF(ISNUMBER(Datos!C2223),Datos!C2223/$F$3*100,NA()),NA())</f>
        <v/>
      </c>
    </row>
    <row r="2224">
      <c r="A2224" s="7">
        <f>IFERROR(Datos!A2224,"")</f>
        <v/>
      </c>
      <c r="B2224" s="27">
        <f>IFERROR(IF(ISNUMBER(Datos!B2224),Datos!B2224/$F$2*100,NA()),NA())</f>
        <v/>
      </c>
      <c r="C2224" s="27">
        <f>IFERROR(IF(ISNUMBER(Datos!C2224),Datos!C2224/$F$3*100,NA()),NA())</f>
        <v/>
      </c>
    </row>
    <row r="2225">
      <c r="A2225" s="7">
        <f>IFERROR(Datos!A2225,"")</f>
        <v/>
      </c>
      <c r="B2225" s="27">
        <f>IFERROR(IF(ISNUMBER(Datos!B2225),Datos!B2225/$F$2*100,NA()),NA())</f>
        <v/>
      </c>
      <c r="C2225" s="27">
        <f>IFERROR(IF(ISNUMBER(Datos!C2225),Datos!C2225/$F$3*100,NA()),NA())</f>
        <v/>
      </c>
    </row>
    <row r="2226">
      <c r="A2226" s="7">
        <f>IFERROR(Datos!A2226,"")</f>
        <v/>
      </c>
      <c r="B2226" s="27">
        <f>IFERROR(IF(ISNUMBER(Datos!B2226),Datos!B2226/$F$2*100,NA()),NA())</f>
        <v/>
      </c>
      <c r="C2226" s="27">
        <f>IFERROR(IF(ISNUMBER(Datos!C2226),Datos!C2226/$F$3*100,NA()),NA())</f>
        <v/>
      </c>
    </row>
    <row r="2227">
      <c r="A2227" s="7">
        <f>IFERROR(Datos!A2227,"")</f>
        <v/>
      </c>
      <c r="B2227" s="27">
        <f>IFERROR(IF(ISNUMBER(Datos!B2227),Datos!B2227/$F$2*100,NA()),NA())</f>
        <v/>
      </c>
      <c r="C2227" s="27">
        <f>IFERROR(IF(ISNUMBER(Datos!C2227),Datos!C2227/$F$3*100,NA()),NA())</f>
        <v/>
      </c>
    </row>
    <row r="2228">
      <c r="A2228" s="7">
        <f>IFERROR(Datos!A2228,"")</f>
        <v/>
      </c>
      <c r="B2228" s="27">
        <f>IFERROR(IF(ISNUMBER(Datos!B2228),Datos!B2228/$F$2*100,NA()),NA())</f>
        <v/>
      </c>
      <c r="C2228" s="27">
        <f>IFERROR(IF(ISNUMBER(Datos!C2228),Datos!C2228/$F$3*100,NA()),NA())</f>
        <v/>
      </c>
    </row>
    <row r="2229">
      <c r="A2229" s="7">
        <f>IFERROR(Datos!A2229,"")</f>
        <v/>
      </c>
      <c r="B2229" s="27">
        <f>IFERROR(IF(ISNUMBER(Datos!B2229),Datos!B2229/$F$2*100,NA()),NA())</f>
        <v/>
      </c>
      <c r="C2229" s="27">
        <f>IFERROR(IF(ISNUMBER(Datos!C2229),Datos!C2229/$F$3*100,NA()),NA())</f>
        <v/>
      </c>
    </row>
    <row r="2230">
      <c r="A2230" s="7">
        <f>IFERROR(Datos!A2230,"")</f>
        <v/>
      </c>
      <c r="B2230" s="27">
        <f>IFERROR(IF(ISNUMBER(Datos!B2230),Datos!B2230/$F$2*100,NA()),NA())</f>
        <v/>
      </c>
      <c r="C2230" s="27">
        <f>IFERROR(IF(ISNUMBER(Datos!C2230),Datos!C2230/$F$3*100,NA()),NA())</f>
        <v/>
      </c>
    </row>
    <row r="2231">
      <c r="A2231" s="7">
        <f>IFERROR(Datos!A2231,"")</f>
        <v/>
      </c>
      <c r="B2231" s="27">
        <f>IFERROR(IF(ISNUMBER(Datos!B2231),Datos!B2231/$F$2*100,NA()),NA())</f>
        <v/>
      </c>
      <c r="C2231" s="27">
        <f>IFERROR(IF(ISNUMBER(Datos!C2231),Datos!C2231/$F$3*100,NA()),NA())</f>
        <v/>
      </c>
    </row>
    <row r="2232">
      <c r="A2232" s="7">
        <f>IFERROR(Datos!A2232,"")</f>
        <v/>
      </c>
      <c r="B2232" s="27">
        <f>IFERROR(IF(ISNUMBER(Datos!B2232),Datos!B2232/$F$2*100,NA()),NA())</f>
        <v/>
      </c>
      <c r="C2232" s="27">
        <f>IFERROR(IF(ISNUMBER(Datos!C2232),Datos!C2232/$F$3*100,NA()),NA())</f>
        <v/>
      </c>
    </row>
    <row r="2233">
      <c r="A2233" s="7">
        <f>IFERROR(Datos!A2233,"")</f>
        <v/>
      </c>
      <c r="B2233" s="27">
        <f>IFERROR(IF(ISNUMBER(Datos!B2233),Datos!B2233/$F$2*100,NA()),NA())</f>
        <v/>
      </c>
      <c r="C2233" s="27">
        <f>IFERROR(IF(ISNUMBER(Datos!C2233),Datos!C2233/$F$3*100,NA()),NA())</f>
        <v/>
      </c>
    </row>
    <row r="2234">
      <c r="A2234" s="7">
        <f>IFERROR(Datos!A2234,"")</f>
        <v/>
      </c>
      <c r="B2234" s="27">
        <f>IFERROR(IF(ISNUMBER(Datos!B2234),Datos!B2234/$F$2*100,NA()),NA())</f>
        <v/>
      </c>
      <c r="C2234" s="27">
        <f>IFERROR(IF(ISNUMBER(Datos!C2234),Datos!C2234/$F$3*100,NA()),NA())</f>
        <v/>
      </c>
    </row>
    <row r="2235">
      <c r="A2235" s="7">
        <f>IFERROR(Datos!A2235,"")</f>
        <v/>
      </c>
      <c r="B2235" s="27">
        <f>IFERROR(IF(ISNUMBER(Datos!B2235),Datos!B2235/$F$2*100,NA()),NA())</f>
        <v/>
      </c>
      <c r="C2235" s="27">
        <f>IFERROR(IF(ISNUMBER(Datos!C2235),Datos!C2235/$F$3*100,NA()),NA())</f>
        <v/>
      </c>
    </row>
    <row r="2236">
      <c r="A2236" s="7">
        <f>IFERROR(Datos!A2236,"")</f>
        <v/>
      </c>
      <c r="B2236" s="27">
        <f>IFERROR(IF(ISNUMBER(Datos!B2236),Datos!B2236/$F$2*100,NA()),NA())</f>
        <v/>
      </c>
      <c r="C2236" s="27">
        <f>IFERROR(IF(ISNUMBER(Datos!C2236),Datos!C2236/$F$3*100,NA()),NA())</f>
        <v/>
      </c>
    </row>
    <row r="2237">
      <c r="A2237" s="7">
        <f>IFERROR(Datos!A2237,"")</f>
        <v/>
      </c>
      <c r="B2237" s="27">
        <f>IFERROR(IF(ISNUMBER(Datos!B2237),Datos!B2237/$F$2*100,NA()),NA())</f>
        <v/>
      </c>
      <c r="C2237" s="27">
        <f>IFERROR(IF(ISNUMBER(Datos!C2237),Datos!C2237/$F$3*100,NA()),NA())</f>
        <v/>
      </c>
    </row>
    <row r="2238">
      <c r="A2238" s="7">
        <f>IFERROR(Datos!A2238,"")</f>
        <v/>
      </c>
      <c r="B2238" s="27">
        <f>IFERROR(IF(ISNUMBER(Datos!B2238),Datos!B2238/$F$2*100,NA()),NA())</f>
        <v/>
      </c>
      <c r="C2238" s="27">
        <f>IFERROR(IF(ISNUMBER(Datos!C2238),Datos!C2238/$F$3*100,NA()),NA())</f>
        <v/>
      </c>
    </row>
    <row r="2239">
      <c r="A2239" s="7">
        <f>IFERROR(Datos!A2239,"")</f>
        <v/>
      </c>
      <c r="B2239" s="27">
        <f>IFERROR(IF(ISNUMBER(Datos!B2239),Datos!B2239/$F$2*100,NA()),NA())</f>
        <v/>
      </c>
      <c r="C2239" s="27">
        <f>IFERROR(IF(ISNUMBER(Datos!C2239),Datos!C2239/$F$3*100,NA()),NA())</f>
        <v/>
      </c>
    </row>
    <row r="2240">
      <c r="A2240" s="7">
        <f>IFERROR(Datos!A2240,"")</f>
        <v/>
      </c>
      <c r="B2240" s="27">
        <f>IFERROR(IF(ISNUMBER(Datos!B2240),Datos!B2240/$F$2*100,NA()),NA())</f>
        <v/>
      </c>
      <c r="C2240" s="27">
        <f>IFERROR(IF(ISNUMBER(Datos!C2240),Datos!C2240/$F$3*100,NA()),NA())</f>
        <v/>
      </c>
    </row>
    <row r="2241">
      <c r="A2241" s="7">
        <f>IFERROR(Datos!A2241,"")</f>
        <v/>
      </c>
      <c r="B2241" s="27">
        <f>IFERROR(IF(ISNUMBER(Datos!B2241),Datos!B2241/$F$2*100,NA()),NA())</f>
        <v/>
      </c>
      <c r="C2241" s="27">
        <f>IFERROR(IF(ISNUMBER(Datos!C2241),Datos!C2241/$F$3*100,NA()),NA())</f>
        <v/>
      </c>
    </row>
    <row r="2242">
      <c r="A2242" s="7">
        <f>IFERROR(Datos!A2242,"")</f>
        <v/>
      </c>
      <c r="B2242" s="27">
        <f>IFERROR(IF(ISNUMBER(Datos!B2242),Datos!B2242/$F$2*100,NA()),NA())</f>
        <v/>
      </c>
      <c r="C2242" s="27">
        <f>IFERROR(IF(ISNUMBER(Datos!C2242),Datos!C2242/$F$3*100,NA()),NA())</f>
        <v/>
      </c>
    </row>
    <row r="2243">
      <c r="A2243" s="7">
        <f>IFERROR(Datos!A2243,"")</f>
        <v/>
      </c>
      <c r="B2243" s="27">
        <f>IFERROR(IF(ISNUMBER(Datos!B2243),Datos!B2243/$F$2*100,NA()),NA())</f>
        <v/>
      </c>
      <c r="C2243" s="27">
        <f>IFERROR(IF(ISNUMBER(Datos!C2243),Datos!C2243/$F$3*100,NA()),NA())</f>
        <v/>
      </c>
    </row>
    <row r="2244">
      <c r="A2244" s="7">
        <f>IFERROR(Datos!A2244,"")</f>
        <v/>
      </c>
      <c r="B2244" s="27">
        <f>IFERROR(IF(ISNUMBER(Datos!B2244),Datos!B2244/$F$2*100,NA()),NA())</f>
        <v/>
      </c>
      <c r="C2244" s="27">
        <f>IFERROR(IF(ISNUMBER(Datos!C2244),Datos!C2244/$F$3*100,NA()),NA())</f>
        <v/>
      </c>
    </row>
    <row r="2245">
      <c r="A2245" s="7">
        <f>IFERROR(Datos!A2245,"")</f>
        <v/>
      </c>
      <c r="B2245" s="27">
        <f>IFERROR(IF(ISNUMBER(Datos!B2245),Datos!B2245/$F$2*100,NA()),NA())</f>
        <v/>
      </c>
      <c r="C2245" s="27">
        <f>IFERROR(IF(ISNUMBER(Datos!C2245),Datos!C2245/$F$3*100,NA()),NA())</f>
        <v/>
      </c>
    </row>
    <row r="2246">
      <c r="A2246" s="7">
        <f>IFERROR(Datos!A2246,"")</f>
        <v/>
      </c>
      <c r="B2246" s="27">
        <f>IFERROR(IF(ISNUMBER(Datos!B2246),Datos!B2246/$F$2*100,NA()),NA())</f>
        <v/>
      </c>
      <c r="C2246" s="27">
        <f>IFERROR(IF(ISNUMBER(Datos!C2246),Datos!C2246/$F$3*100,NA()),NA())</f>
        <v/>
      </c>
    </row>
    <row r="2247">
      <c r="A2247" s="7">
        <f>IFERROR(Datos!A2247,"")</f>
        <v/>
      </c>
      <c r="B2247" s="27">
        <f>IFERROR(IF(ISNUMBER(Datos!B2247),Datos!B2247/$F$2*100,NA()),NA())</f>
        <v/>
      </c>
      <c r="C2247" s="27">
        <f>IFERROR(IF(ISNUMBER(Datos!C2247),Datos!C2247/$F$3*100,NA()),NA())</f>
        <v/>
      </c>
    </row>
    <row r="2248">
      <c r="A2248" s="7">
        <f>IFERROR(Datos!A2248,"")</f>
        <v/>
      </c>
      <c r="B2248" s="27">
        <f>IFERROR(IF(ISNUMBER(Datos!B2248),Datos!B2248/$F$2*100,NA()),NA())</f>
        <v/>
      </c>
      <c r="C2248" s="27">
        <f>IFERROR(IF(ISNUMBER(Datos!C2248),Datos!C2248/$F$3*100,NA()),NA())</f>
        <v/>
      </c>
    </row>
    <row r="2249">
      <c r="A2249" s="7">
        <f>IFERROR(Datos!A2249,"")</f>
        <v/>
      </c>
      <c r="B2249" s="27">
        <f>IFERROR(IF(ISNUMBER(Datos!B2249),Datos!B2249/$F$2*100,NA()),NA())</f>
        <v/>
      </c>
      <c r="C2249" s="27">
        <f>IFERROR(IF(ISNUMBER(Datos!C2249),Datos!C2249/$F$3*100,NA()),NA())</f>
        <v/>
      </c>
    </row>
    <row r="2250">
      <c r="A2250" s="7">
        <f>IFERROR(Datos!A2250,"")</f>
        <v/>
      </c>
      <c r="B2250" s="27">
        <f>IFERROR(IF(ISNUMBER(Datos!B2250),Datos!B2250/$F$2*100,NA()),NA())</f>
        <v/>
      </c>
      <c r="C2250" s="27">
        <f>IFERROR(IF(ISNUMBER(Datos!C2250),Datos!C2250/$F$3*100,NA()),NA())</f>
        <v/>
      </c>
    </row>
    <row r="2251">
      <c r="A2251" s="7">
        <f>IFERROR(Datos!A2251,"")</f>
        <v/>
      </c>
      <c r="B2251" s="27">
        <f>IFERROR(IF(ISNUMBER(Datos!B2251),Datos!B2251/$F$2*100,NA()),NA())</f>
        <v/>
      </c>
      <c r="C2251" s="27">
        <f>IFERROR(IF(ISNUMBER(Datos!C2251),Datos!C2251/$F$3*100,NA()),NA())</f>
        <v/>
      </c>
    </row>
    <row r="2252">
      <c r="A2252" s="7">
        <f>IFERROR(Datos!A2252,"")</f>
        <v/>
      </c>
      <c r="B2252" s="27">
        <f>IFERROR(IF(ISNUMBER(Datos!B2252),Datos!B2252/$F$2*100,NA()),NA())</f>
        <v/>
      </c>
      <c r="C2252" s="27">
        <f>IFERROR(IF(ISNUMBER(Datos!C2252),Datos!C2252/$F$3*100,NA()),NA())</f>
        <v/>
      </c>
    </row>
    <row r="2253">
      <c r="A2253" s="7">
        <f>IFERROR(Datos!A2253,"")</f>
        <v/>
      </c>
      <c r="B2253" s="27">
        <f>IFERROR(IF(ISNUMBER(Datos!B2253),Datos!B2253/$F$2*100,NA()),NA())</f>
        <v/>
      </c>
      <c r="C2253" s="27">
        <f>IFERROR(IF(ISNUMBER(Datos!C2253),Datos!C2253/$F$3*100,NA()),NA())</f>
        <v/>
      </c>
    </row>
    <row r="2254">
      <c r="A2254" s="7">
        <f>IFERROR(Datos!A2254,"")</f>
        <v/>
      </c>
      <c r="B2254" s="27">
        <f>IFERROR(IF(ISNUMBER(Datos!B2254),Datos!B2254/$F$2*100,NA()),NA())</f>
        <v/>
      </c>
      <c r="C2254" s="27">
        <f>IFERROR(IF(ISNUMBER(Datos!C2254),Datos!C2254/$F$3*100,NA()),NA())</f>
        <v/>
      </c>
    </row>
    <row r="2255">
      <c r="A2255" s="7">
        <f>IFERROR(Datos!A2255,"")</f>
        <v/>
      </c>
      <c r="B2255" s="27">
        <f>IFERROR(IF(ISNUMBER(Datos!B2255),Datos!B2255/$F$2*100,NA()),NA())</f>
        <v/>
      </c>
      <c r="C2255" s="27">
        <f>IFERROR(IF(ISNUMBER(Datos!C2255),Datos!C2255/$F$3*100,NA()),NA())</f>
        <v/>
      </c>
    </row>
    <row r="2256">
      <c r="A2256" s="7">
        <f>IFERROR(Datos!A2256,"")</f>
        <v/>
      </c>
      <c r="B2256" s="27">
        <f>IFERROR(IF(ISNUMBER(Datos!B2256),Datos!B2256/$F$2*100,NA()),NA())</f>
        <v/>
      </c>
      <c r="C2256" s="27">
        <f>IFERROR(IF(ISNUMBER(Datos!C2256),Datos!C2256/$F$3*100,NA()),NA())</f>
        <v/>
      </c>
    </row>
    <row r="2257">
      <c r="A2257" s="7">
        <f>IFERROR(Datos!A2257,"")</f>
        <v/>
      </c>
      <c r="B2257" s="27">
        <f>IFERROR(IF(ISNUMBER(Datos!B2257),Datos!B2257/$F$2*100,NA()),NA())</f>
        <v/>
      </c>
      <c r="C2257" s="27">
        <f>IFERROR(IF(ISNUMBER(Datos!C2257),Datos!C2257/$F$3*100,NA()),NA())</f>
        <v/>
      </c>
    </row>
    <row r="2258">
      <c r="A2258" s="7">
        <f>IFERROR(Datos!A2258,"")</f>
        <v/>
      </c>
      <c r="B2258" s="27">
        <f>IFERROR(IF(ISNUMBER(Datos!B2258),Datos!B2258/$F$2*100,NA()),NA())</f>
        <v/>
      </c>
      <c r="C2258" s="27">
        <f>IFERROR(IF(ISNUMBER(Datos!C2258),Datos!C2258/$F$3*100,NA()),NA())</f>
        <v/>
      </c>
    </row>
    <row r="2259">
      <c r="A2259" s="7">
        <f>IFERROR(Datos!A2259,"")</f>
        <v/>
      </c>
      <c r="B2259" s="27">
        <f>IFERROR(IF(ISNUMBER(Datos!B2259),Datos!B2259/$F$2*100,NA()),NA())</f>
        <v/>
      </c>
      <c r="C2259" s="27">
        <f>IFERROR(IF(ISNUMBER(Datos!C2259),Datos!C2259/$F$3*100,NA()),NA())</f>
        <v/>
      </c>
    </row>
    <row r="2260">
      <c r="A2260" s="7">
        <f>IFERROR(Datos!A2260,"")</f>
        <v/>
      </c>
      <c r="B2260" s="27">
        <f>IFERROR(IF(ISNUMBER(Datos!B2260),Datos!B2260/$F$2*100,NA()),NA())</f>
        <v/>
      </c>
      <c r="C2260" s="27">
        <f>IFERROR(IF(ISNUMBER(Datos!C2260),Datos!C2260/$F$3*100,NA()),NA())</f>
        <v/>
      </c>
    </row>
    <row r="2261">
      <c r="A2261" s="7">
        <f>IFERROR(Datos!A2261,"")</f>
        <v/>
      </c>
      <c r="B2261" s="27">
        <f>IFERROR(IF(ISNUMBER(Datos!B2261),Datos!B2261/$F$2*100,NA()),NA())</f>
        <v/>
      </c>
      <c r="C2261" s="27">
        <f>IFERROR(IF(ISNUMBER(Datos!C2261),Datos!C2261/$F$3*100,NA()),NA())</f>
        <v/>
      </c>
    </row>
    <row r="2262">
      <c r="A2262" s="7">
        <f>IFERROR(Datos!A2262,"")</f>
        <v/>
      </c>
      <c r="B2262" s="27">
        <f>IFERROR(IF(ISNUMBER(Datos!B2262),Datos!B2262/$F$2*100,NA()),NA())</f>
        <v/>
      </c>
      <c r="C2262" s="27">
        <f>IFERROR(IF(ISNUMBER(Datos!C2262),Datos!C2262/$F$3*100,NA()),NA())</f>
        <v/>
      </c>
    </row>
    <row r="2263">
      <c r="A2263" s="7">
        <f>IFERROR(Datos!A2263,"")</f>
        <v/>
      </c>
      <c r="B2263" s="27">
        <f>IFERROR(IF(ISNUMBER(Datos!B2263),Datos!B2263/$F$2*100,NA()),NA())</f>
        <v/>
      </c>
      <c r="C2263" s="27">
        <f>IFERROR(IF(ISNUMBER(Datos!C2263),Datos!C2263/$F$3*100,NA()),NA())</f>
        <v/>
      </c>
    </row>
    <row r="2264">
      <c r="A2264" s="7">
        <f>IFERROR(Datos!A2264,"")</f>
        <v/>
      </c>
      <c r="B2264" s="27">
        <f>IFERROR(IF(ISNUMBER(Datos!B2264),Datos!B2264/$F$2*100,NA()),NA())</f>
        <v/>
      </c>
      <c r="C2264" s="27">
        <f>IFERROR(IF(ISNUMBER(Datos!C2264),Datos!C2264/$F$3*100,NA()),NA())</f>
        <v/>
      </c>
    </row>
    <row r="2265">
      <c r="A2265" s="7">
        <f>IFERROR(Datos!A2265,"")</f>
        <v/>
      </c>
      <c r="B2265" s="27">
        <f>IFERROR(IF(ISNUMBER(Datos!B2265),Datos!B2265/$F$2*100,NA()),NA())</f>
        <v/>
      </c>
      <c r="C2265" s="27">
        <f>IFERROR(IF(ISNUMBER(Datos!C2265),Datos!C2265/$F$3*100,NA()),NA())</f>
        <v/>
      </c>
    </row>
    <row r="2266">
      <c r="A2266" s="7">
        <f>IFERROR(Datos!A2266,"")</f>
        <v/>
      </c>
      <c r="B2266" s="27">
        <f>IFERROR(IF(ISNUMBER(Datos!B2266),Datos!B2266/$F$2*100,NA()),NA())</f>
        <v/>
      </c>
      <c r="C2266" s="27">
        <f>IFERROR(IF(ISNUMBER(Datos!C2266),Datos!C2266/$F$3*100,NA()),NA())</f>
        <v/>
      </c>
    </row>
    <row r="2267">
      <c r="A2267" s="7">
        <f>IFERROR(Datos!A2267,"")</f>
        <v/>
      </c>
      <c r="B2267" s="27">
        <f>IFERROR(IF(ISNUMBER(Datos!B2267),Datos!B2267/$F$2*100,NA()),NA())</f>
        <v/>
      </c>
      <c r="C2267" s="27">
        <f>IFERROR(IF(ISNUMBER(Datos!C2267),Datos!C2267/$F$3*100,NA()),NA())</f>
        <v/>
      </c>
    </row>
    <row r="2268">
      <c r="A2268" s="7">
        <f>IFERROR(Datos!A2268,"")</f>
        <v/>
      </c>
      <c r="B2268" s="27">
        <f>IFERROR(IF(ISNUMBER(Datos!B2268),Datos!B2268/$F$2*100,NA()),NA())</f>
        <v/>
      </c>
      <c r="C2268" s="27">
        <f>IFERROR(IF(ISNUMBER(Datos!C2268),Datos!C2268/$F$3*100,NA()),NA())</f>
        <v/>
      </c>
    </row>
    <row r="2269">
      <c r="A2269" s="7">
        <f>IFERROR(Datos!A2269,"")</f>
        <v/>
      </c>
      <c r="B2269" s="27">
        <f>IFERROR(IF(ISNUMBER(Datos!B2269),Datos!B2269/$F$2*100,NA()),NA())</f>
        <v/>
      </c>
      <c r="C2269" s="27">
        <f>IFERROR(IF(ISNUMBER(Datos!C2269),Datos!C2269/$F$3*100,NA()),NA())</f>
        <v/>
      </c>
    </row>
    <row r="2270">
      <c r="A2270" s="7">
        <f>IFERROR(Datos!A2270,"")</f>
        <v/>
      </c>
      <c r="B2270" s="27">
        <f>IFERROR(IF(ISNUMBER(Datos!B2270),Datos!B2270/$F$2*100,NA()),NA())</f>
        <v/>
      </c>
      <c r="C2270" s="27">
        <f>IFERROR(IF(ISNUMBER(Datos!C2270),Datos!C2270/$F$3*100,NA()),NA())</f>
        <v/>
      </c>
    </row>
    <row r="2271">
      <c r="A2271" s="7">
        <f>IFERROR(Datos!A2271,"")</f>
        <v/>
      </c>
      <c r="B2271" s="27">
        <f>IFERROR(IF(ISNUMBER(Datos!B2271),Datos!B2271/$F$2*100,NA()),NA())</f>
        <v/>
      </c>
      <c r="C2271" s="27">
        <f>IFERROR(IF(ISNUMBER(Datos!C2271),Datos!C2271/$F$3*100,NA()),NA())</f>
        <v/>
      </c>
    </row>
    <row r="2272">
      <c r="A2272" s="7">
        <f>IFERROR(Datos!A2272,"")</f>
        <v/>
      </c>
      <c r="B2272" s="27">
        <f>IFERROR(IF(ISNUMBER(Datos!B2272),Datos!B2272/$F$2*100,NA()),NA())</f>
        <v/>
      </c>
      <c r="C2272" s="27">
        <f>IFERROR(IF(ISNUMBER(Datos!C2272),Datos!C2272/$F$3*100,NA()),NA())</f>
        <v/>
      </c>
    </row>
    <row r="2273">
      <c r="A2273" s="7">
        <f>IFERROR(Datos!A2273,"")</f>
        <v/>
      </c>
      <c r="B2273" s="27">
        <f>IFERROR(IF(ISNUMBER(Datos!B2273),Datos!B2273/$F$2*100,NA()),NA())</f>
        <v/>
      </c>
      <c r="C2273" s="27">
        <f>IFERROR(IF(ISNUMBER(Datos!C2273),Datos!C2273/$F$3*100,NA()),NA())</f>
        <v/>
      </c>
    </row>
    <row r="2274">
      <c r="A2274" s="7">
        <f>IFERROR(Datos!A2274,"")</f>
        <v/>
      </c>
      <c r="B2274" s="27">
        <f>IFERROR(IF(ISNUMBER(Datos!B2274),Datos!B2274/$F$2*100,NA()),NA())</f>
        <v/>
      </c>
      <c r="C2274" s="27">
        <f>IFERROR(IF(ISNUMBER(Datos!C2274),Datos!C2274/$F$3*100,NA()),NA())</f>
        <v/>
      </c>
    </row>
    <row r="2275">
      <c r="A2275" s="7">
        <f>IFERROR(Datos!A2275,"")</f>
        <v/>
      </c>
      <c r="B2275" s="27">
        <f>IFERROR(IF(ISNUMBER(Datos!B2275),Datos!B2275/$F$2*100,NA()),NA())</f>
        <v/>
      </c>
      <c r="C2275" s="27">
        <f>IFERROR(IF(ISNUMBER(Datos!C2275),Datos!C2275/$F$3*100,NA()),NA())</f>
        <v/>
      </c>
    </row>
    <row r="2276">
      <c r="A2276" s="7">
        <f>IFERROR(Datos!A2276,"")</f>
        <v/>
      </c>
      <c r="B2276" s="27">
        <f>IFERROR(IF(ISNUMBER(Datos!B2276),Datos!B2276/$F$2*100,NA()),NA())</f>
        <v/>
      </c>
      <c r="C2276" s="27">
        <f>IFERROR(IF(ISNUMBER(Datos!C2276),Datos!C2276/$F$3*100,NA()),NA())</f>
        <v/>
      </c>
    </row>
    <row r="2277">
      <c r="A2277" s="7">
        <f>IFERROR(Datos!A2277,"")</f>
        <v/>
      </c>
      <c r="B2277" s="27">
        <f>IFERROR(IF(ISNUMBER(Datos!B2277),Datos!B2277/$F$2*100,NA()),NA())</f>
        <v/>
      </c>
      <c r="C2277" s="27">
        <f>IFERROR(IF(ISNUMBER(Datos!C2277),Datos!C2277/$F$3*100,NA()),NA())</f>
        <v/>
      </c>
    </row>
    <row r="2278">
      <c r="A2278" s="7">
        <f>IFERROR(Datos!A2278,"")</f>
        <v/>
      </c>
      <c r="B2278" s="27">
        <f>IFERROR(IF(ISNUMBER(Datos!B2278),Datos!B2278/$F$2*100,NA()),NA())</f>
        <v/>
      </c>
      <c r="C2278" s="27">
        <f>IFERROR(IF(ISNUMBER(Datos!C2278),Datos!C2278/$F$3*100,NA()),NA())</f>
        <v/>
      </c>
    </row>
    <row r="2279">
      <c r="A2279" s="7">
        <f>IFERROR(Datos!A2279,"")</f>
        <v/>
      </c>
      <c r="B2279" s="27">
        <f>IFERROR(IF(ISNUMBER(Datos!B2279),Datos!B2279/$F$2*100,NA()),NA())</f>
        <v/>
      </c>
      <c r="C2279" s="27">
        <f>IFERROR(IF(ISNUMBER(Datos!C2279),Datos!C2279/$F$3*100,NA()),NA())</f>
        <v/>
      </c>
    </row>
    <row r="2280">
      <c r="A2280" s="7">
        <f>IFERROR(Datos!A2280,"")</f>
        <v/>
      </c>
      <c r="B2280" s="27">
        <f>IFERROR(IF(ISNUMBER(Datos!B2280),Datos!B2280/$F$2*100,NA()),NA())</f>
        <v/>
      </c>
      <c r="C2280" s="27">
        <f>IFERROR(IF(ISNUMBER(Datos!C2280),Datos!C2280/$F$3*100,NA()),NA())</f>
        <v/>
      </c>
    </row>
    <row r="2281">
      <c r="A2281" s="7">
        <f>IFERROR(Datos!A2281,"")</f>
        <v/>
      </c>
      <c r="B2281" s="27">
        <f>IFERROR(IF(ISNUMBER(Datos!B2281),Datos!B2281/$F$2*100,NA()),NA())</f>
        <v/>
      </c>
      <c r="C2281" s="27">
        <f>IFERROR(IF(ISNUMBER(Datos!C2281),Datos!C2281/$F$3*100,NA()),NA())</f>
        <v/>
      </c>
    </row>
    <row r="2282">
      <c r="A2282" s="7">
        <f>IFERROR(Datos!A2282,"")</f>
        <v/>
      </c>
      <c r="B2282" s="27">
        <f>IFERROR(IF(ISNUMBER(Datos!B2282),Datos!B2282/$F$2*100,NA()),NA())</f>
        <v/>
      </c>
      <c r="C2282" s="27">
        <f>IFERROR(IF(ISNUMBER(Datos!C2282),Datos!C2282/$F$3*100,NA()),NA())</f>
        <v/>
      </c>
    </row>
    <row r="2283">
      <c r="A2283" s="7">
        <f>IFERROR(Datos!A2283,"")</f>
        <v/>
      </c>
      <c r="B2283" s="27">
        <f>IFERROR(IF(ISNUMBER(Datos!B2283),Datos!B2283/$F$2*100,NA()),NA())</f>
        <v/>
      </c>
      <c r="C2283" s="27">
        <f>IFERROR(IF(ISNUMBER(Datos!C2283),Datos!C2283/$F$3*100,NA()),NA())</f>
        <v/>
      </c>
    </row>
    <row r="2284">
      <c r="A2284" s="7">
        <f>IFERROR(Datos!A2284,"")</f>
        <v/>
      </c>
      <c r="B2284" s="27">
        <f>IFERROR(IF(ISNUMBER(Datos!B2284),Datos!B2284/$F$2*100,NA()),NA())</f>
        <v/>
      </c>
      <c r="C2284" s="27">
        <f>IFERROR(IF(ISNUMBER(Datos!C2284),Datos!C2284/$F$3*100,NA()),NA())</f>
        <v/>
      </c>
    </row>
    <row r="2285">
      <c r="A2285" s="7">
        <f>IFERROR(Datos!A2285,"")</f>
        <v/>
      </c>
      <c r="B2285" s="27">
        <f>IFERROR(IF(ISNUMBER(Datos!B2285),Datos!B2285/$F$2*100,NA()),NA())</f>
        <v/>
      </c>
      <c r="C2285" s="27">
        <f>IFERROR(IF(ISNUMBER(Datos!C2285),Datos!C2285/$F$3*100,NA()),NA())</f>
        <v/>
      </c>
    </row>
    <row r="2286">
      <c r="A2286" s="7">
        <f>IFERROR(Datos!A2286,"")</f>
        <v/>
      </c>
      <c r="B2286" s="27">
        <f>IFERROR(IF(ISNUMBER(Datos!B2286),Datos!B2286/$F$2*100,NA()),NA())</f>
        <v/>
      </c>
      <c r="C2286" s="27">
        <f>IFERROR(IF(ISNUMBER(Datos!C2286),Datos!C2286/$F$3*100,NA()),NA())</f>
        <v/>
      </c>
    </row>
    <row r="2287">
      <c r="A2287" s="7">
        <f>IFERROR(Datos!A2287,"")</f>
        <v/>
      </c>
      <c r="B2287" s="27">
        <f>IFERROR(IF(ISNUMBER(Datos!B2287),Datos!B2287/$F$2*100,NA()),NA())</f>
        <v/>
      </c>
      <c r="C2287" s="27">
        <f>IFERROR(IF(ISNUMBER(Datos!C2287),Datos!C2287/$F$3*100,NA()),NA())</f>
        <v/>
      </c>
    </row>
    <row r="2288">
      <c r="A2288" s="7">
        <f>IFERROR(Datos!A2288,"")</f>
        <v/>
      </c>
      <c r="B2288" s="27">
        <f>IFERROR(IF(ISNUMBER(Datos!B2288),Datos!B2288/$F$2*100,NA()),NA())</f>
        <v/>
      </c>
      <c r="C2288" s="27">
        <f>IFERROR(IF(ISNUMBER(Datos!C2288),Datos!C2288/$F$3*100,NA()),NA())</f>
        <v/>
      </c>
    </row>
    <row r="2289">
      <c r="A2289" s="7">
        <f>IFERROR(Datos!A2289,"")</f>
        <v/>
      </c>
      <c r="B2289" s="27">
        <f>IFERROR(IF(ISNUMBER(Datos!B2289),Datos!B2289/$F$2*100,NA()),NA())</f>
        <v/>
      </c>
      <c r="C2289" s="27">
        <f>IFERROR(IF(ISNUMBER(Datos!C2289),Datos!C2289/$F$3*100,NA()),NA())</f>
        <v/>
      </c>
    </row>
    <row r="2290">
      <c r="A2290" s="7">
        <f>IFERROR(Datos!A2290,"")</f>
        <v/>
      </c>
      <c r="B2290" s="27">
        <f>IFERROR(IF(ISNUMBER(Datos!B2290),Datos!B2290/$F$2*100,NA()),NA())</f>
        <v/>
      </c>
      <c r="C2290" s="27">
        <f>IFERROR(IF(ISNUMBER(Datos!C2290),Datos!C2290/$F$3*100,NA()),NA())</f>
        <v/>
      </c>
    </row>
    <row r="2291">
      <c r="A2291" s="7">
        <f>IFERROR(Datos!A2291,"")</f>
        <v/>
      </c>
      <c r="B2291" s="27">
        <f>IFERROR(IF(ISNUMBER(Datos!B2291),Datos!B2291/$F$2*100,NA()),NA())</f>
        <v/>
      </c>
      <c r="C2291" s="27">
        <f>IFERROR(IF(ISNUMBER(Datos!C2291),Datos!C2291/$F$3*100,NA()),NA())</f>
        <v/>
      </c>
    </row>
    <row r="2292">
      <c r="A2292" s="7">
        <f>IFERROR(Datos!A2292,"")</f>
        <v/>
      </c>
      <c r="B2292" s="27">
        <f>IFERROR(IF(ISNUMBER(Datos!B2292),Datos!B2292/$F$2*100,NA()),NA())</f>
        <v/>
      </c>
      <c r="C2292" s="27">
        <f>IFERROR(IF(ISNUMBER(Datos!C2292),Datos!C2292/$F$3*100,NA()),NA())</f>
        <v/>
      </c>
    </row>
    <row r="2293">
      <c r="A2293" s="7">
        <f>IFERROR(Datos!A2293,"")</f>
        <v/>
      </c>
      <c r="B2293" s="27">
        <f>IFERROR(IF(ISNUMBER(Datos!B2293),Datos!B2293/$F$2*100,NA()),NA())</f>
        <v/>
      </c>
      <c r="C2293" s="27">
        <f>IFERROR(IF(ISNUMBER(Datos!C2293),Datos!C2293/$F$3*100,NA()),NA())</f>
        <v/>
      </c>
    </row>
    <row r="2294">
      <c r="A2294" s="7">
        <f>IFERROR(Datos!A2294,"")</f>
        <v/>
      </c>
      <c r="B2294" s="27">
        <f>IFERROR(IF(ISNUMBER(Datos!B2294),Datos!B2294/$F$2*100,NA()),NA())</f>
        <v/>
      </c>
      <c r="C2294" s="27">
        <f>IFERROR(IF(ISNUMBER(Datos!C2294),Datos!C2294/$F$3*100,NA()),NA())</f>
        <v/>
      </c>
    </row>
    <row r="2295">
      <c r="A2295" s="7">
        <f>IFERROR(Datos!A2295,"")</f>
        <v/>
      </c>
      <c r="B2295" s="27">
        <f>IFERROR(IF(ISNUMBER(Datos!B2295),Datos!B2295/$F$2*100,NA()),NA())</f>
        <v/>
      </c>
      <c r="C2295" s="27">
        <f>IFERROR(IF(ISNUMBER(Datos!C2295),Datos!C2295/$F$3*100,NA()),NA())</f>
        <v/>
      </c>
    </row>
    <row r="2296">
      <c r="A2296" s="7">
        <f>IFERROR(Datos!A2296,"")</f>
        <v/>
      </c>
      <c r="B2296" s="27">
        <f>IFERROR(IF(ISNUMBER(Datos!B2296),Datos!B2296/$F$2*100,NA()),NA())</f>
        <v/>
      </c>
      <c r="C2296" s="27">
        <f>IFERROR(IF(ISNUMBER(Datos!C2296),Datos!C2296/$F$3*100,NA()),NA())</f>
        <v/>
      </c>
    </row>
    <row r="2297">
      <c r="A2297" s="7">
        <f>IFERROR(Datos!A2297,"")</f>
        <v/>
      </c>
      <c r="B2297" s="27">
        <f>IFERROR(IF(ISNUMBER(Datos!B2297),Datos!B2297/$F$2*100,NA()),NA())</f>
        <v/>
      </c>
      <c r="C2297" s="27">
        <f>IFERROR(IF(ISNUMBER(Datos!C2297),Datos!C2297/$F$3*100,NA()),NA())</f>
        <v/>
      </c>
    </row>
    <row r="2298">
      <c r="A2298" s="7">
        <f>IFERROR(Datos!A2298,"")</f>
        <v/>
      </c>
      <c r="B2298" s="27">
        <f>IFERROR(IF(ISNUMBER(Datos!B2298),Datos!B2298/$F$2*100,NA()),NA())</f>
        <v/>
      </c>
      <c r="C2298" s="27">
        <f>IFERROR(IF(ISNUMBER(Datos!C2298),Datos!C2298/$F$3*100,NA()),NA())</f>
        <v/>
      </c>
    </row>
    <row r="2299">
      <c r="A2299" s="7">
        <f>IFERROR(Datos!A2299,"")</f>
        <v/>
      </c>
      <c r="B2299" s="27">
        <f>IFERROR(IF(ISNUMBER(Datos!B2299),Datos!B2299/$F$2*100,NA()),NA())</f>
        <v/>
      </c>
      <c r="C2299" s="27">
        <f>IFERROR(IF(ISNUMBER(Datos!C2299),Datos!C2299/$F$3*100,NA()),NA())</f>
        <v/>
      </c>
    </row>
    <row r="2300">
      <c r="A2300" s="7">
        <f>IFERROR(Datos!A2300,"")</f>
        <v/>
      </c>
      <c r="B2300" s="27">
        <f>IFERROR(IF(ISNUMBER(Datos!B2300),Datos!B2300/$F$2*100,NA()),NA())</f>
        <v/>
      </c>
      <c r="C2300" s="27">
        <f>IFERROR(IF(ISNUMBER(Datos!C2300),Datos!C2300/$F$3*100,NA()),NA())</f>
        <v/>
      </c>
    </row>
    <row r="2301">
      <c r="A2301" s="7">
        <f>IFERROR(Datos!A2301,"")</f>
        <v/>
      </c>
      <c r="B2301" s="27">
        <f>IFERROR(IF(ISNUMBER(Datos!B2301),Datos!B2301/$F$2*100,NA()),NA())</f>
        <v/>
      </c>
      <c r="C2301" s="27">
        <f>IFERROR(IF(ISNUMBER(Datos!C2301),Datos!C2301/$F$3*100,NA()),NA())</f>
        <v/>
      </c>
    </row>
    <row r="2302">
      <c r="A2302" s="7">
        <f>IFERROR(Datos!A2302,"")</f>
        <v/>
      </c>
      <c r="B2302" s="27">
        <f>IFERROR(IF(ISNUMBER(Datos!B2302),Datos!B2302/$F$2*100,NA()),NA())</f>
        <v/>
      </c>
      <c r="C2302" s="27">
        <f>IFERROR(IF(ISNUMBER(Datos!C2302),Datos!C2302/$F$3*100,NA()),NA())</f>
        <v/>
      </c>
    </row>
    <row r="2303">
      <c r="A2303" s="7">
        <f>IFERROR(Datos!A2303,"")</f>
        <v/>
      </c>
      <c r="B2303" s="27">
        <f>IFERROR(IF(ISNUMBER(Datos!B2303),Datos!B2303/$F$2*100,NA()),NA())</f>
        <v/>
      </c>
      <c r="C2303" s="27">
        <f>IFERROR(IF(ISNUMBER(Datos!C2303),Datos!C2303/$F$3*100,NA()),NA())</f>
        <v/>
      </c>
    </row>
    <row r="2304">
      <c r="A2304" s="7">
        <f>IFERROR(Datos!A2304,"")</f>
        <v/>
      </c>
      <c r="B2304" s="27">
        <f>IFERROR(IF(ISNUMBER(Datos!B2304),Datos!B2304/$F$2*100,NA()),NA())</f>
        <v/>
      </c>
      <c r="C2304" s="27">
        <f>IFERROR(IF(ISNUMBER(Datos!C2304),Datos!C2304/$F$3*100,NA()),NA())</f>
        <v/>
      </c>
    </row>
    <row r="2305">
      <c r="A2305" s="7">
        <f>IFERROR(Datos!A2305,"")</f>
        <v/>
      </c>
      <c r="B2305" s="27">
        <f>IFERROR(IF(ISNUMBER(Datos!B2305),Datos!B2305/$F$2*100,NA()),NA())</f>
        <v/>
      </c>
      <c r="C2305" s="27">
        <f>IFERROR(IF(ISNUMBER(Datos!C2305),Datos!C2305/$F$3*100,NA()),NA())</f>
        <v/>
      </c>
    </row>
    <row r="2306">
      <c r="A2306" s="7">
        <f>IFERROR(Datos!A2306,"")</f>
        <v/>
      </c>
      <c r="B2306" s="27">
        <f>IFERROR(IF(ISNUMBER(Datos!B2306),Datos!B2306/$F$2*100,NA()),NA())</f>
        <v/>
      </c>
      <c r="C2306" s="27">
        <f>IFERROR(IF(ISNUMBER(Datos!C2306),Datos!C2306/$F$3*100,NA()),NA())</f>
        <v/>
      </c>
    </row>
    <row r="2307">
      <c r="A2307" s="7">
        <f>IFERROR(Datos!A2307,"")</f>
        <v/>
      </c>
      <c r="B2307" s="27">
        <f>IFERROR(IF(ISNUMBER(Datos!B2307),Datos!B2307/$F$2*100,NA()),NA())</f>
        <v/>
      </c>
      <c r="C2307" s="27">
        <f>IFERROR(IF(ISNUMBER(Datos!C2307),Datos!C2307/$F$3*100,NA()),NA())</f>
        <v/>
      </c>
    </row>
    <row r="2308">
      <c r="A2308" s="7">
        <f>IFERROR(Datos!A2308,"")</f>
        <v/>
      </c>
      <c r="B2308" s="27">
        <f>IFERROR(IF(ISNUMBER(Datos!B2308),Datos!B2308/$F$2*100,NA()),NA())</f>
        <v/>
      </c>
      <c r="C2308" s="27">
        <f>IFERROR(IF(ISNUMBER(Datos!C2308),Datos!C2308/$F$3*100,NA()),NA())</f>
        <v/>
      </c>
    </row>
    <row r="2309">
      <c r="A2309" s="7">
        <f>IFERROR(Datos!A2309,"")</f>
        <v/>
      </c>
      <c r="B2309" s="27">
        <f>IFERROR(IF(ISNUMBER(Datos!B2309),Datos!B2309/$F$2*100,NA()),NA())</f>
        <v/>
      </c>
      <c r="C2309" s="27">
        <f>IFERROR(IF(ISNUMBER(Datos!C2309),Datos!C2309/$F$3*100,NA()),NA())</f>
        <v/>
      </c>
    </row>
    <row r="2310">
      <c r="A2310" s="7">
        <f>IFERROR(Datos!A2310,"")</f>
        <v/>
      </c>
      <c r="B2310" s="27">
        <f>IFERROR(IF(ISNUMBER(Datos!B2310),Datos!B2310/$F$2*100,NA()),NA())</f>
        <v/>
      </c>
      <c r="C2310" s="27">
        <f>IFERROR(IF(ISNUMBER(Datos!C2310),Datos!C2310/$F$3*100,NA()),NA())</f>
        <v/>
      </c>
    </row>
    <row r="2311">
      <c r="A2311" s="7">
        <f>IFERROR(Datos!A2311,"")</f>
        <v/>
      </c>
      <c r="B2311" s="27">
        <f>IFERROR(IF(ISNUMBER(Datos!B2311),Datos!B2311/$F$2*100,NA()),NA())</f>
        <v/>
      </c>
      <c r="C2311" s="27">
        <f>IFERROR(IF(ISNUMBER(Datos!C2311),Datos!C2311/$F$3*100,NA()),NA())</f>
        <v/>
      </c>
    </row>
    <row r="2312">
      <c r="A2312" s="7">
        <f>IFERROR(Datos!A2312,"")</f>
        <v/>
      </c>
      <c r="B2312" s="27">
        <f>IFERROR(IF(ISNUMBER(Datos!B2312),Datos!B2312/$F$2*100,NA()),NA())</f>
        <v/>
      </c>
      <c r="C2312" s="27">
        <f>IFERROR(IF(ISNUMBER(Datos!C2312),Datos!C2312/$F$3*100,NA()),NA())</f>
        <v/>
      </c>
    </row>
    <row r="2313">
      <c r="A2313" s="7">
        <f>IFERROR(Datos!A2313,"")</f>
        <v/>
      </c>
      <c r="B2313" s="27">
        <f>IFERROR(IF(ISNUMBER(Datos!B2313),Datos!B2313/$F$2*100,NA()),NA())</f>
        <v/>
      </c>
      <c r="C2313" s="27">
        <f>IFERROR(IF(ISNUMBER(Datos!C2313),Datos!C2313/$F$3*100,NA()),NA())</f>
        <v/>
      </c>
    </row>
    <row r="2314">
      <c r="A2314" s="7">
        <f>IFERROR(Datos!A2314,"")</f>
        <v/>
      </c>
      <c r="B2314" s="27">
        <f>IFERROR(IF(ISNUMBER(Datos!B2314),Datos!B2314/$F$2*100,NA()),NA())</f>
        <v/>
      </c>
      <c r="C2314" s="27">
        <f>IFERROR(IF(ISNUMBER(Datos!C2314),Datos!C2314/$F$3*100,NA()),NA())</f>
        <v/>
      </c>
    </row>
    <row r="2315">
      <c r="A2315" s="7">
        <f>IFERROR(Datos!A2315,"")</f>
        <v/>
      </c>
      <c r="B2315" s="27">
        <f>IFERROR(IF(ISNUMBER(Datos!B2315),Datos!B2315/$F$2*100,NA()),NA())</f>
        <v/>
      </c>
      <c r="C2315" s="27">
        <f>IFERROR(IF(ISNUMBER(Datos!C2315),Datos!C2315/$F$3*100,NA()),NA())</f>
        <v/>
      </c>
    </row>
    <row r="2316">
      <c r="A2316" s="7">
        <f>IFERROR(Datos!A2316,"")</f>
        <v/>
      </c>
      <c r="B2316" s="27">
        <f>IFERROR(IF(ISNUMBER(Datos!B2316),Datos!B2316/$F$2*100,NA()),NA())</f>
        <v/>
      </c>
      <c r="C2316" s="27">
        <f>IFERROR(IF(ISNUMBER(Datos!C2316),Datos!C2316/$F$3*100,NA()),NA())</f>
        <v/>
      </c>
    </row>
    <row r="2317">
      <c r="A2317" s="7">
        <f>IFERROR(Datos!A2317,"")</f>
        <v/>
      </c>
      <c r="B2317" s="27">
        <f>IFERROR(IF(ISNUMBER(Datos!B2317),Datos!B2317/$F$2*100,NA()),NA())</f>
        <v/>
      </c>
      <c r="C2317" s="27">
        <f>IFERROR(IF(ISNUMBER(Datos!C2317),Datos!C2317/$F$3*100,NA()),NA())</f>
        <v/>
      </c>
    </row>
    <row r="2318">
      <c r="A2318" s="7">
        <f>IFERROR(Datos!A2318,"")</f>
        <v/>
      </c>
      <c r="B2318" s="27">
        <f>IFERROR(IF(ISNUMBER(Datos!B2318),Datos!B2318/$F$2*100,NA()),NA())</f>
        <v/>
      </c>
      <c r="C2318" s="27">
        <f>IFERROR(IF(ISNUMBER(Datos!C2318),Datos!C2318/$F$3*100,NA()),NA())</f>
        <v/>
      </c>
    </row>
    <row r="2319">
      <c r="A2319" s="7">
        <f>IFERROR(Datos!A2319,"")</f>
        <v/>
      </c>
      <c r="B2319" s="27">
        <f>IFERROR(IF(ISNUMBER(Datos!B2319),Datos!B2319/$F$2*100,NA()),NA())</f>
        <v/>
      </c>
      <c r="C2319" s="27">
        <f>IFERROR(IF(ISNUMBER(Datos!C2319),Datos!C2319/$F$3*100,NA()),NA())</f>
        <v/>
      </c>
    </row>
    <row r="2320">
      <c r="A2320" s="7">
        <f>IFERROR(Datos!A2320,"")</f>
        <v/>
      </c>
      <c r="B2320" s="27">
        <f>IFERROR(IF(ISNUMBER(Datos!B2320),Datos!B2320/$F$2*100,NA()),NA())</f>
        <v/>
      </c>
      <c r="C2320" s="27">
        <f>IFERROR(IF(ISNUMBER(Datos!C2320),Datos!C2320/$F$3*100,NA()),NA())</f>
        <v/>
      </c>
    </row>
    <row r="2321">
      <c r="A2321" s="7">
        <f>IFERROR(Datos!A2321,"")</f>
        <v/>
      </c>
      <c r="B2321" s="27">
        <f>IFERROR(IF(ISNUMBER(Datos!B2321),Datos!B2321/$F$2*100,NA()),NA())</f>
        <v/>
      </c>
      <c r="C2321" s="27">
        <f>IFERROR(IF(ISNUMBER(Datos!C2321),Datos!C2321/$F$3*100,NA()),NA())</f>
        <v/>
      </c>
    </row>
    <row r="2322">
      <c r="A2322" s="7">
        <f>IFERROR(Datos!A2322,"")</f>
        <v/>
      </c>
      <c r="B2322" s="27">
        <f>IFERROR(IF(ISNUMBER(Datos!B2322),Datos!B2322/$F$2*100,NA()),NA())</f>
        <v/>
      </c>
      <c r="C2322" s="27">
        <f>IFERROR(IF(ISNUMBER(Datos!C2322),Datos!C2322/$F$3*100,NA()),NA())</f>
        <v/>
      </c>
    </row>
    <row r="2323">
      <c r="A2323" s="7">
        <f>IFERROR(Datos!A2323,"")</f>
        <v/>
      </c>
      <c r="B2323" s="27">
        <f>IFERROR(IF(ISNUMBER(Datos!B2323),Datos!B2323/$F$2*100,NA()),NA())</f>
        <v/>
      </c>
      <c r="C2323" s="27">
        <f>IFERROR(IF(ISNUMBER(Datos!C2323),Datos!C2323/$F$3*100,NA()),NA())</f>
        <v/>
      </c>
    </row>
    <row r="2324">
      <c r="A2324" s="7">
        <f>IFERROR(Datos!A2324,"")</f>
        <v/>
      </c>
      <c r="B2324" s="27">
        <f>IFERROR(IF(ISNUMBER(Datos!B2324),Datos!B2324/$F$2*100,NA()),NA())</f>
        <v/>
      </c>
      <c r="C2324" s="27">
        <f>IFERROR(IF(ISNUMBER(Datos!C2324),Datos!C2324/$F$3*100,NA()),NA())</f>
        <v/>
      </c>
    </row>
    <row r="2325">
      <c r="A2325" s="7">
        <f>IFERROR(Datos!A2325,"")</f>
        <v/>
      </c>
      <c r="B2325" s="27">
        <f>IFERROR(IF(ISNUMBER(Datos!B2325),Datos!B2325/$F$2*100,NA()),NA())</f>
        <v/>
      </c>
      <c r="C2325" s="27">
        <f>IFERROR(IF(ISNUMBER(Datos!C2325),Datos!C2325/$F$3*100,NA()),NA())</f>
        <v/>
      </c>
    </row>
    <row r="2326">
      <c r="A2326" s="7">
        <f>IFERROR(Datos!A2326,"")</f>
        <v/>
      </c>
      <c r="B2326" s="27">
        <f>IFERROR(IF(ISNUMBER(Datos!B2326),Datos!B2326/$F$2*100,NA()),NA())</f>
        <v/>
      </c>
      <c r="C2326" s="27">
        <f>IFERROR(IF(ISNUMBER(Datos!C2326),Datos!C2326/$F$3*100,NA()),NA())</f>
        <v/>
      </c>
    </row>
    <row r="2327">
      <c r="A2327" s="7">
        <f>IFERROR(Datos!A2327,"")</f>
        <v/>
      </c>
      <c r="B2327" s="27">
        <f>IFERROR(IF(ISNUMBER(Datos!B2327),Datos!B2327/$F$2*100,NA()),NA())</f>
        <v/>
      </c>
      <c r="C2327" s="27">
        <f>IFERROR(IF(ISNUMBER(Datos!C2327),Datos!C2327/$F$3*100,NA()),NA())</f>
        <v/>
      </c>
    </row>
    <row r="2328">
      <c r="A2328" s="7">
        <f>IFERROR(Datos!A2328,"")</f>
        <v/>
      </c>
      <c r="B2328" s="27">
        <f>IFERROR(IF(ISNUMBER(Datos!B2328),Datos!B2328/$F$2*100,NA()),NA())</f>
        <v/>
      </c>
      <c r="C2328" s="27">
        <f>IFERROR(IF(ISNUMBER(Datos!C2328),Datos!C2328/$F$3*100,NA()),NA())</f>
        <v/>
      </c>
    </row>
    <row r="2329">
      <c r="A2329" s="7">
        <f>IFERROR(Datos!A2329,"")</f>
        <v/>
      </c>
      <c r="B2329" s="27">
        <f>IFERROR(IF(ISNUMBER(Datos!B2329),Datos!B2329/$F$2*100,NA()),NA())</f>
        <v/>
      </c>
      <c r="C2329" s="27">
        <f>IFERROR(IF(ISNUMBER(Datos!C2329),Datos!C2329/$F$3*100,NA()),NA())</f>
        <v/>
      </c>
    </row>
    <row r="2330">
      <c r="A2330" s="7">
        <f>IFERROR(Datos!A2330,"")</f>
        <v/>
      </c>
      <c r="B2330" s="27">
        <f>IFERROR(IF(ISNUMBER(Datos!B2330),Datos!B2330/$F$2*100,NA()),NA())</f>
        <v/>
      </c>
      <c r="C2330" s="27">
        <f>IFERROR(IF(ISNUMBER(Datos!C2330),Datos!C2330/$F$3*100,NA()),NA())</f>
        <v/>
      </c>
    </row>
    <row r="2331">
      <c r="A2331" s="7">
        <f>IFERROR(Datos!A2331,"")</f>
        <v/>
      </c>
      <c r="B2331" s="27">
        <f>IFERROR(IF(ISNUMBER(Datos!B2331),Datos!B2331/$F$2*100,NA()),NA())</f>
        <v/>
      </c>
      <c r="C2331" s="27">
        <f>IFERROR(IF(ISNUMBER(Datos!C2331),Datos!C2331/$F$3*100,NA()),NA())</f>
        <v/>
      </c>
    </row>
    <row r="2332">
      <c r="A2332" s="7">
        <f>IFERROR(Datos!A2332,"")</f>
        <v/>
      </c>
      <c r="B2332" s="27">
        <f>IFERROR(IF(ISNUMBER(Datos!B2332),Datos!B2332/$F$2*100,NA()),NA())</f>
        <v/>
      </c>
      <c r="C2332" s="27">
        <f>IFERROR(IF(ISNUMBER(Datos!C2332),Datos!C2332/$F$3*100,NA()),NA())</f>
        <v/>
      </c>
    </row>
    <row r="2333">
      <c r="A2333" s="7">
        <f>IFERROR(Datos!A2333,"")</f>
        <v/>
      </c>
      <c r="B2333" s="27">
        <f>IFERROR(IF(ISNUMBER(Datos!B2333),Datos!B2333/$F$2*100,NA()),NA())</f>
        <v/>
      </c>
      <c r="C2333" s="27">
        <f>IFERROR(IF(ISNUMBER(Datos!C2333),Datos!C2333/$F$3*100,NA()),NA())</f>
        <v/>
      </c>
    </row>
    <row r="2334">
      <c r="A2334" s="7">
        <f>IFERROR(Datos!A2334,"")</f>
        <v/>
      </c>
      <c r="B2334" s="27">
        <f>IFERROR(IF(ISNUMBER(Datos!B2334),Datos!B2334/$F$2*100,NA()),NA())</f>
        <v/>
      </c>
      <c r="C2334" s="27">
        <f>IFERROR(IF(ISNUMBER(Datos!C2334),Datos!C2334/$F$3*100,NA()),NA())</f>
        <v/>
      </c>
    </row>
    <row r="2335">
      <c r="A2335" s="7">
        <f>IFERROR(Datos!A2335,"")</f>
        <v/>
      </c>
      <c r="B2335" s="27">
        <f>IFERROR(IF(ISNUMBER(Datos!B2335),Datos!B2335/$F$2*100,NA()),NA())</f>
        <v/>
      </c>
      <c r="C2335" s="27">
        <f>IFERROR(IF(ISNUMBER(Datos!C2335),Datos!C2335/$F$3*100,NA()),NA())</f>
        <v/>
      </c>
    </row>
    <row r="2336">
      <c r="A2336" s="7">
        <f>IFERROR(Datos!A2336,"")</f>
        <v/>
      </c>
      <c r="B2336" s="27">
        <f>IFERROR(IF(ISNUMBER(Datos!B2336),Datos!B2336/$F$2*100,NA()),NA())</f>
        <v/>
      </c>
      <c r="C2336" s="27">
        <f>IFERROR(IF(ISNUMBER(Datos!C2336),Datos!C2336/$F$3*100,NA()),NA())</f>
        <v/>
      </c>
    </row>
    <row r="2337">
      <c r="A2337" s="7">
        <f>IFERROR(Datos!A2337,"")</f>
        <v/>
      </c>
      <c r="B2337" s="27">
        <f>IFERROR(IF(ISNUMBER(Datos!B2337),Datos!B2337/$F$2*100,NA()),NA())</f>
        <v/>
      </c>
      <c r="C2337" s="27">
        <f>IFERROR(IF(ISNUMBER(Datos!C2337),Datos!C2337/$F$3*100,NA()),NA())</f>
        <v/>
      </c>
    </row>
    <row r="2338">
      <c r="A2338" s="7">
        <f>IFERROR(Datos!A2338,"")</f>
        <v/>
      </c>
      <c r="B2338" s="27">
        <f>IFERROR(IF(ISNUMBER(Datos!B2338),Datos!B2338/$F$2*100,NA()),NA())</f>
        <v/>
      </c>
      <c r="C2338" s="27">
        <f>IFERROR(IF(ISNUMBER(Datos!C2338),Datos!C2338/$F$3*100,NA()),NA())</f>
        <v/>
      </c>
    </row>
    <row r="2339">
      <c r="A2339" s="7">
        <f>IFERROR(Datos!A2339,"")</f>
        <v/>
      </c>
      <c r="B2339" s="27">
        <f>IFERROR(IF(ISNUMBER(Datos!B2339),Datos!B2339/$F$2*100,NA()),NA())</f>
        <v/>
      </c>
      <c r="C2339" s="27">
        <f>IFERROR(IF(ISNUMBER(Datos!C2339),Datos!C2339/$F$3*100,NA()),NA())</f>
        <v/>
      </c>
    </row>
    <row r="2340">
      <c r="A2340" s="7">
        <f>IFERROR(Datos!A2340,"")</f>
        <v/>
      </c>
      <c r="B2340" s="27">
        <f>IFERROR(IF(ISNUMBER(Datos!B2340),Datos!B2340/$F$2*100,NA()),NA())</f>
        <v/>
      </c>
      <c r="C2340" s="27">
        <f>IFERROR(IF(ISNUMBER(Datos!C2340),Datos!C2340/$F$3*100,NA()),NA())</f>
        <v/>
      </c>
    </row>
    <row r="2341">
      <c r="A2341" s="7">
        <f>IFERROR(Datos!A2341,"")</f>
        <v/>
      </c>
      <c r="B2341" s="27">
        <f>IFERROR(IF(ISNUMBER(Datos!B2341),Datos!B2341/$F$2*100,NA()),NA())</f>
        <v/>
      </c>
      <c r="C2341" s="27">
        <f>IFERROR(IF(ISNUMBER(Datos!C2341),Datos!C2341/$F$3*100,NA()),NA())</f>
        <v/>
      </c>
    </row>
    <row r="2342">
      <c r="A2342" s="7">
        <f>IFERROR(Datos!A2342,"")</f>
        <v/>
      </c>
      <c r="B2342" s="27">
        <f>IFERROR(IF(ISNUMBER(Datos!B2342),Datos!B2342/$F$2*100,NA()),NA())</f>
        <v/>
      </c>
      <c r="C2342" s="27">
        <f>IFERROR(IF(ISNUMBER(Datos!C2342),Datos!C2342/$F$3*100,NA()),NA())</f>
        <v/>
      </c>
    </row>
    <row r="2343">
      <c r="A2343" s="7">
        <f>IFERROR(Datos!A2343,"")</f>
        <v/>
      </c>
      <c r="B2343" s="27">
        <f>IFERROR(IF(ISNUMBER(Datos!B2343),Datos!B2343/$F$2*100,NA()),NA())</f>
        <v/>
      </c>
      <c r="C2343" s="27">
        <f>IFERROR(IF(ISNUMBER(Datos!C2343),Datos!C2343/$F$3*100,NA()),NA())</f>
        <v/>
      </c>
    </row>
    <row r="2344">
      <c r="A2344" s="7">
        <f>IFERROR(Datos!A2344,"")</f>
        <v/>
      </c>
      <c r="B2344" s="27">
        <f>IFERROR(IF(ISNUMBER(Datos!B2344),Datos!B2344/$F$2*100,NA()),NA())</f>
        <v/>
      </c>
      <c r="C2344" s="27">
        <f>IFERROR(IF(ISNUMBER(Datos!C2344),Datos!C2344/$F$3*100,NA()),NA())</f>
        <v/>
      </c>
    </row>
    <row r="2345">
      <c r="A2345" s="7">
        <f>IFERROR(Datos!A2345,"")</f>
        <v/>
      </c>
      <c r="B2345" s="27">
        <f>IFERROR(IF(ISNUMBER(Datos!B2345),Datos!B2345/$F$2*100,NA()),NA())</f>
        <v/>
      </c>
      <c r="C2345" s="27">
        <f>IFERROR(IF(ISNUMBER(Datos!C2345),Datos!C2345/$F$3*100,NA()),NA())</f>
        <v/>
      </c>
    </row>
    <row r="2346">
      <c r="A2346" s="7">
        <f>IFERROR(Datos!A2346,"")</f>
        <v/>
      </c>
      <c r="B2346" s="27">
        <f>IFERROR(IF(ISNUMBER(Datos!B2346),Datos!B2346/$F$2*100,NA()),NA())</f>
        <v/>
      </c>
      <c r="C2346" s="27">
        <f>IFERROR(IF(ISNUMBER(Datos!C2346),Datos!C2346/$F$3*100,NA()),NA())</f>
        <v/>
      </c>
    </row>
    <row r="2347">
      <c r="A2347" s="7">
        <f>IFERROR(Datos!A2347,"")</f>
        <v/>
      </c>
      <c r="B2347" s="27">
        <f>IFERROR(IF(ISNUMBER(Datos!B2347),Datos!B2347/$F$2*100,NA()),NA())</f>
        <v/>
      </c>
      <c r="C2347" s="27">
        <f>IFERROR(IF(ISNUMBER(Datos!C2347),Datos!C2347/$F$3*100,NA()),NA())</f>
        <v/>
      </c>
    </row>
    <row r="2348">
      <c r="A2348" s="7">
        <f>IFERROR(Datos!A2348,"")</f>
        <v/>
      </c>
      <c r="B2348" s="27">
        <f>IFERROR(IF(ISNUMBER(Datos!B2348),Datos!B2348/$F$2*100,NA()),NA())</f>
        <v/>
      </c>
      <c r="C2348" s="27">
        <f>IFERROR(IF(ISNUMBER(Datos!C2348),Datos!C2348/$F$3*100,NA()),NA())</f>
        <v/>
      </c>
    </row>
    <row r="2349">
      <c r="A2349" s="7">
        <f>IFERROR(Datos!A2349,"")</f>
        <v/>
      </c>
      <c r="B2349" s="27">
        <f>IFERROR(IF(ISNUMBER(Datos!B2349),Datos!B2349/$F$2*100,NA()),NA())</f>
        <v/>
      </c>
      <c r="C2349" s="27">
        <f>IFERROR(IF(ISNUMBER(Datos!C2349),Datos!C2349/$F$3*100,NA()),NA())</f>
        <v/>
      </c>
    </row>
    <row r="2350">
      <c r="A2350" s="7">
        <f>IFERROR(Datos!A2350,"")</f>
        <v/>
      </c>
      <c r="B2350" s="27">
        <f>IFERROR(IF(ISNUMBER(Datos!B2350),Datos!B2350/$F$2*100,NA()),NA())</f>
        <v/>
      </c>
      <c r="C2350" s="27">
        <f>IFERROR(IF(ISNUMBER(Datos!C2350),Datos!C2350/$F$3*100,NA()),NA())</f>
        <v/>
      </c>
    </row>
    <row r="2351">
      <c r="A2351" s="7">
        <f>IFERROR(Datos!A2351,"")</f>
        <v/>
      </c>
      <c r="B2351" s="27">
        <f>IFERROR(IF(ISNUMBER(Datos!B2351),Datos!B2351/$F$2*100,NA()),NA())</f>
        <v/>
      </c>
      <c r="C2351" s="27">
        <f>IFERROR(IF(ISNUMBER(Datos!C2351),Datos!C2351/$F$3*100,NA()),NA())</f>
        <v/>
      </c>
    </row>
    <row r="2352">
      <c r="A2352" s="7">
        <f>IFERROR(Datos!A2352,"")</f>
        <v/>
      </c>
      <c r="B2352" s="27">
        <f>IFERROR(IF(ISNUMBER(Datos!B2352),Datos!B2352/$F$2*100,NA()),NA())</f>
        <v/>
      </c>
      <c r="C2352" s="27">
        <f>IFERROR(IF(ISNUMBER(Datos!C2352),Datos!C2352/$F$3*100,NA()),NA())</f>
        <v/>
      </c>
    </row>
    <row r="2353">
      <c r="A2353" s="7">
        <f>IFERROR(Datos!A2353,"")</f>
        <v/>
      </c>
      <c r="B2353" s="27">
        <f>IFERROR(IF(ISNUMBER(Datos!B2353),Datos!B2353/$F$2*100,NA()),NA())</f>
        <v/>
      </c>
      <c r="C2353" s="27">
        <f>IFERROR(IF(ISNUMBER(Datos!C2353),Datos!C2353/$F$3*100,NA()),NA())</f>
        <v/>
      </c>
    </row>
    <row r="2354">
      <c r="A2354" s="7">
        <f>IFERROR(Datos!A2354,"")</f>
        <v/>
      </c>
      <c r="B2354" s="27">
        <f>IFERROR(IF(ISNUMBER(Datos!B2354),Datos!B2354/$F$2*100,NA()),NA())</f>
        <v/>
      </c>
      <c r="C2354" s="27">
        <f>IFERROR(IF(ISNUMBER(Datos!C2354),Datos!C2354/$F$3*100,NA()),NA())</f>
        <v/>
      </c>
    </row>
    <row r="2355">
      <c r="A2355" s="7">
        <f>IFERROR(Datos!A2355,"")</f>
        <v/>
      </c>
      <c r="B2355" s="27">
        <f>IFERROR(IF(ISNUMBER(Datos!B2355),Datos!B2355/$F$2*100,NA()),NA())</f>
        <v/>
      </c>
      <c r="C2355" s="27">
        <f>IFERROR(IF(ISNUMBER(Datos!C2355),Datos!C2355/$F$3*100,NA()),NA())</f>
        <v/>
      </c>
    </row>
    <row r="2356">
      <c r="A2356" s="7">
        <f>IFERROR(Datos!A2356,"")</f>
        <v/>
      </c>
      <c r="B2356" s="27">
        <f>IFERROR(IF(ISNUMBER(Datos!B2356),Datos!B2356/$F$2*100,NA()),NA())</f>
        <v/>
      </c>
      <c r="C2356" s="27">
        <f>IFERROR(IF(ISNUMBER(Datos!C2356),Datos!C2356/$F$3*100,NA()),NA())</f>
        <v/>
      </c>
    </row>
    <row r="2357">
      <c r="A2357" s="7">
        <f>IFERROR(Datos!A2357,"")</f>
        <v/>
      </c>
      <c r="B2357" s="27">
        <f>IFERROR(IF(ISNUMBER(Datos!B2357),Datos!B2357/$F$2*100,NA()),NA())</f>
        <v/>
      </c>
      <c r="C2357" s="27">
        <f>IFERROR(IF(ISNUMBER(Datos!C2357),Datos!C2357/$F$3*100,NA()),NA())</f>
        <v/>
      </c>
    </row>
    <row r="2358">
      <c r="A2358" s="7">
        <f>IFERROR(Datos!A2358,"")</f>
        <v/>
      </c>
      <c r="B2358" s="27">
        <f>IFERROR(IF(ISNUMBER(Datos!B2358),Datos!B2358/$F$2*100,NA()),NA())</f>
        <v/>
      </c>
      <c r="C2358" s="27">
        <f>IFERROR(IF(ISNUMBER(Datos!C2358),Datos!C2358/$F$3*100,NA()),NA())</f>
        <v/>
      </c>
    </row>
    <row r="2359">
      <c r="A2359" s="7">
        <f>IFERROR(Datos!A2359,"")</f>
        <v/>
      </c>
      <c r="B2359" s="27">
        <f>IFERROR(IF(ISNUMBER(Datos!B2359),Datos!B2359/$F$2*100,NA()),NA())</f>
        <v/>
      </c>
      <c r="C2359" s="27">
        <f>IFERROR(IF(ISNUMBER(Datos!C2359),Datos!C2359/$F$3*100,NA()),NA())</f>
        <v/>
      </c>
    </row>
    <row r="2360">
      <c r="A2360" s="7">
        <f>IFERROR(Datos!A2360,"")</f>
        <v/>
      </c>
      <c r="B2360" s="27">
        <f>IFERROR(IF(ISNUMBER(Datos!B2360),Datos!B2360/$F$2*100,NA()),NA())</f>
        <v/>
      </c>
      <c r="C2360" s="27">
        <f>IFERROR(IF(ISNUMBER(Datos!C2360),Datos!C2360/$F$3*100,NA()),NA())</f>
        <v/>
      </c>
    </row>
    <row r="2361">
      <c r="A2361" s="7">
        <f>IFERROR(Datos!A2361,"")</f>
        <v/>
      </c>
      <c r="B2361" s="27">
        <f>IFERROR(IF(ISNUMBER(Datos!B2361),Datos!B2361/$F$2*100,NA()),NA())</f>
        <v/>
      </c>
      <c r="C2361" s="27">
        <f>IFERROR(IF(ISNUMBER(Datos!C2361),Datos!C2361/$F$3*100,NA()),NA())</f>
        <v/>
      </c>
    </row>
    <row r="2362">
      <c r="A2362" s="7">
        <f>IFERROR(Datos!A2362,"")</f>
        <v/>
      </c>
      <c r="B2362" s="27">
        <f>IFERROR(IF(ISNUMBER(Datos!B2362),Datos!B2362/$F$2*100,NA()),NA())</f>
        <v/>
      </c>
      <c r="C2362" s="27">
        <f>IFERROR(IF(ISNUMBER(Datos!C2362),Datos!C2362/$F$3*100,NA()),NA())</f>
        <v/>
      </c>
    </row>
    <row r="2363">
      <c r="A2363" s="7">
        <f>IFERROR(Datos!A2363,"")</f>
        <v/>
      </c>
      <c r="B2363" s="27">
        <f>IFERROR(IF(ISNUMBER(Datos!B2363),Datos!B2363/$F$2*100,NA()),NA())</f>
        <v/>
      </c>
      <c r="C2363" s="27">
        <f>IFERROR(IF(ISNUMBER(Datos!C2363),Datos!C2363/$F$3*100,NA()),NA())</f>
        <v/>
      </c>
    </row>
    <row r="2364">
      <c r="A2364" s="7">
        <f>IFERROR(Datos!A2364,"")</f>
        <v/>
      </c>
      <c r="B2364" s="27">
        <f>IFERROR(IF(ISNUMBER(Datos!B2364),Datos!B2364/$F$2*100,NA()),NA())</f>
        <v/>
      </c>
      <c r="C2364" s="27">
        <f>IFERROR(IF(ISNUMBER(Datos!C2364),Datos!C2364/$F$3*100,NA()),NA())</f>
        <v/>
      </c>
    </row>
    <row r="2365">
      <c r="A2365" s="7">
        <f>IFERROR(Datos!A2365,"")</f>
        <v/>
      </c>
      <c r="B2365" s="27">
        <f>IFERROR(IF(ISNUMBER(Datos!B2365),Datos!B2365/$F$2*100,NA()),NA())</f>
        <v/>
      </c>
      <c r="C2365" s="27">
        <f>IFERROR(IF(ISNUMBER(Datos!C2365),Datos!C2365/$F$3*100,NA()),NA())</f>
        <v/>
      </c>
    </row>
    <row r="2366">
      <c r="A2366" s="7">
        <f>IFERROR(Datos!A2366,"")</f>
        <v/>
      </c>
      <c r="B2366" s="27">
        <f>IFERROR(IF(ISNUMBER(Datos!B2366),Datos!B2366/$F$2*100,NA()),NA())</f>
        <v/>
      </c>
      <c r="C2366" s="27">
        <f>IFERROR(IF(ISNUMBER(Datos!C2366),Datos!C2366/$F$3*100,NA()),NA())</f>
        <v/>
      </c>
    </row>
    <row r="2367">
      <c r="A2367" s="7">
        <f>IFERROR(Datos!A2367,"")</f>
        <v/>
      </c>
      <c r="B2367" s="27">
        <f>IFERROR(IF(ISNUMBER(Datos!B2367),Datos!B2367/$F$2*100,NA()),NA())</f>
        <v/>
      </c>
      <c r="C2367" s="27">
        <f>IFERROR(IF(ISNUMBER(Datos!C2367),Datos!C2367/$F$3*100,NA()),NA())</f>
        <v/>
      </c>
    </row>
    <row r="2368">
      <c r="A2368" s="7">
        <f>IFERROR(Datos!A2368,"")</f>
        <v/>
      </c>
      <c r="B2368" s="27">
        <f>IFERROR(IF(ISNUMBER(Datos!B2368),Datos!B2368/$F$2*100,NA()),NA())</f>
        <v/>
      </c>
      <c r="C2368" s="27">
        <f>IFERROR(IF(ISNUMBER(Datos!C2368),Datos!C2368/$F$3*100,NA()),NA())</f>
        <v/>
      </c>
    </row>
    <row r="2369">
      <c r="A2369" s="7">
        <f>IFERROR(Datos!A2369,"")</f>
        <v/>
      </c>
      <c r="B2369" s="27">
        <f>IFERROR(IF(ISNUMBER(Datos!B2369),Datos!B2369/$F$2*100,NA()),NA())</f>
        <v/>
      </c>
      <c r="C2369" s="27">
        <f>IFERROR(IF(ISNUMBER(Datos!C2369),Datos!C2369/$F$3*100,NA()),NA())</f>
        <v/>
      </c>
    </row>
    <row r="2370">
      <c r="A2370" s="7">
        <f>IFERROR(Datos!A2370,"")</f>
        <v/>
      </c>
      <c r="B2370" s="27">
        <f>IFERROR(IF(ISNUMBER(Datos!B2370),Datos!B2370/$F$2*100,NA()),NA())</f>
        <v/>
      </c>
      <c r="C2370" s="27">
        <f>IFERROR(IF(ISNUMBER(Datos!C2370),Datos!C2370/$F$3*100,NA()),NA())</f>
        <v/>
      </c>
    </row>
    <row r="2371">
      <c r="A2371" s="7">
        <f>IFERROR(Datos!A2371,"")</f>
        <v/>
      </c>
      <c r="B2371" s="27">
        <f>IFERROR(IF(ISNUMBER(Datos!B2371),Datos!B2371/$F$2*100,NA()),NA())</f>
        <v/>
      </c>
      <c r="C2371" s="27">
        <f>IFERROR(IF(ISNUMBER(Datos!C2371),Datos!C2371/$F$3*100,NA()),NA())</f>
        <v/>
      </c>
    </row>
    <row r="2372">
      <c r="A2372" s="7">
        <f>IFERROR(Datos!A2372,"")</f>
        <v/>
      </c>
      <c r="B2372" s="27">
        <f>IFERROR(IF(ISNUMBER(Datos!B2372),Datos!B2372/$F$2*100,NA()),NA())</f>
        <v/>
      </c>
      <c r="C2372" s="27">
        <f>IFERROR(IF(ISNUMBER(Datos!C2372),Datos!C2372/$F$3*100,NA()),NA())</f>
        <v/>
      </c>
    </row>
    <row r="2373">
      <c r="A2373" s="7">
        <f>IFERROR(Datos!A2373,"")</f>
        <v/>
      </c>
      <c r="B2373" s="27">
        <f>IFERROR(IF(ISNUMBER(Datos!B2373),Datos!B2373/$F$2*100,NA()),NA())</f>
        <v/>
      </c>
      <c r="C2373" s="27">
        <f>IFERROR(IF(ISNUMBER(Datos!C2373),Datos!C2373/$F$3*100,NA()),NA())</f>
        <v/>
      </c>
    </row>
    <row r="2374">
      <c r="A2374" s="7">
        <f>IFERROR(Datos!A2374,"")</f>
        <v/>
      </c>
      <c r="B2374" s="27">
        <f>IFERROR(IF(ISNUMBER(Datos!B2374),Datos!B2374/$F$2*100,NA()),NA())</f>
        <v/>
      </c>
      <c r="C2374" s="27">
        <f>IFERROR(IF(ISNUMBER(Datos!C2374),Datos!C2374/$F$3*100,NA()),NA())</f>
        <v/>
      </c>
    </row>
    <row r="2375">
      <c r="A2375" s="7">
        <f>IFERROR(Datos!A2375,"")</f>
        <v/>
      </c>
      <c r="B2375" s="27">
        <f>IFERROR(IF(ISNUMBER(Datos!B2375),Datos!B2375/$F$2*100,NA()),NA())</f>
        <v/>
      </c>
      <c r="C2375" s="27">
        <f>IFERROR(IF(ISNUMBER(Datos!C2375),Datos!C2375/$F$3*100,NA()),NA())</f>
        <v/>
      </c>
    </row>
    <row r="2376">
      <c r="A2376" s="7">
        <f>IFERROR(Datos!A2376,"")</f>
        <v/>
      </c>
      <c r="B2376" s="27">
        <f>IFERROR(IF(ISNUMBER(Datos!B2376),Datos!B2376/$F$2*100,NA()),NA())</f>
        <v/>
      </c>
      <c r="C2376" s="27">
        <f>IFERROR(IF(ISNUMBER(Datos!C2376),Datos!C2376/$F$3*100,NA()),NA())</f>
        <v/>
      </c>
    </row>
    <row r="2377">
      <c r="A2377" s="7">
        <f>IFERROR(Datos!A2377,"")</f>
        <v/>
      </c>
      <c r="B2377" s="27">
        <f>IFERROR(IF(ISNUMBER(Datos!B2377),Datos!B2377/$F$2*100,NA()),NA())</f>
        <v/>
      </c>
      <c r="C2377" s="27">
        <f>IFERROR(IF(ISNUMBER(Datos!C2377),Datos!C2377/$F$3*100,NA()),NA())</f>
        <v/>
      </c>
    </row>
    <row r="2378">
      <c r="A2378" s="7">
        <f>IFERROR(Datos!A2378,"")</f>
        <v/>
      </c>
      <c r="B2378" s="27">
        <f>IFERROR(IF(ISNUMBER(Datos!B2378),Datos!B2378/$F$2*100,NA()),NA())</f>
        <v/>
      </c>
      <c r="C2378" s="27">
        <f>IFERROR(IF(ISNUMBER(Datos!C2378),Datos!C2378/$F$3*100,NA()),NA())</f>
        <v/>
      </c>
    </row>
    <row r="2379">
      <c r="A2379" s="7">
        <f>IFERROR(Datos!A2379,"")</f>
        <v/>
      </c>
      <c r="B2379" s="27">
        <f>IFERROR(IF(ISNUMBER(Datos!B2379),Datos!B2379/$F$2*100,NA()),NA())</f>
        <v/>
      </c>
      <c r="C2379" s="27">
        <f>IFERROR(IF(ISNUMBER(Datos!C2379),Datos!C2379/$F$3*100,NA()),NA())</f>
        <v/>
      </c>
    </row>
    <row r="2380">
      <c r="A2380" s="7">
        <f>IFERROR(Datos!A2380,"")</f>
        <v/>
      </c>
      <c r="B2380" s="27">
        <f>IFERROR(IF(ISNUMBER(Datos!B2380),Datos!B2380/$F$2*100,NA()),NA())</f>
        <v/>
      </c>
      <c r="C2380" s="27">
        <f>IFERROR(IF(ISNUMBER(Datos!C2380),Datos!C2380/$F$3*100,NA()),NA())</f>
        <v/>
      </c>
    </row>
    <row r="2381">
      <c r="A2381" s="7">
        <f>IFERROR(Datos!A2381,"")</f>
        <v/>
      </c>
      <c r="B2381" s="27">
        <f>IFERROR(IF(ISNUMBER(Datos!B2381),Datos!B2381/$F$2*100,NA()),NA())</f>
        <v/>
      </c>
      <c r="C2381" s="27">
        <f>IFERROR(IF(ISNUMBER(Datos!C2381),Datos!C2381/$F$3*100,NA()),NA())</f>
        <v/>
      </c>
    </row>
    <row r="2382">
      <c r="A2382" s="7">
        <f>IFERROR(Datos!A2382,"")</f>
        <v/>
      </c>
      <c r="B2382" s="27">
        <f>IFERROR(IF(ISNUMBER(Datos!B2382),Datos!B2382/$F$2*100,NA()),NA())</f>
        <v/>
      </c>
      <c r="C2382" s="27">
        <f>IFERROR(IF(ISNUMBER(Datos!C2382),Datos!C2382/$F$3*100,NA()),NA())</f>
        <v/>
      </c>
    </row>
    <row r="2383">
      <c r="A2383" s="7">
        <f>IFERROR(Datos!A2383,"")</f>
        <v/>
      </c>
      <c r="B2383" s="27">
        <f>IFERROR(IF(ISNUMBER(Datos!B2383),Datos!B2383/$F$2*100,NA()),NA())</f>
        <v/>
      </c>
      <c r="C2383" s="27">
        <f>IFERROR(IF(ISNUMBER(Datos!C2383),Datos!C2383/$F$3*100,NA()),NA())</f>
        <v/>
      </c>
    </row>
    <row r="2384">
      <c r="A2384" s="7">
        <f>IFERROR(Datos!A2384,"")</f>
        <v/>
      </c>
      <c r="B2384" s="27">
        <f>IFERROR(IF(ISNUMBER(Datos!B2384),Datos!B2384/$F$2*100,NA()),NA())</f>
        <v/>
      </c>
      <c r="C2384" s="27">
        <f>IFERROR(IF(ISNUMBER(Datos!C2384),Datos!C2384/$F$3*100,NA()),NA())</f>
        <v/>
      </c>
    </row>
    <row r="2385">
      <c r="A2385" s="7">
        <f>IFERROR(Datos!A2385,"")</f>
        <v/>
      </c>
      <c r="B2385" s="27">
        <f>IFERROR(IF(ISNUMBER(Datos!B2385),Datos!B2385/$F$2*100,NA()),NA())</f>
        <v/>
      </c>
      <c r="C2385" s="27">
        <f>IFERROR(IF(ISNUMBER(Datos!C2385),Datos!C2385/$F$3*100,NA()),NA())</f>
        <v/>
      </c>
    </row>
    <row r="2386">
      <c r="A2386" s="7">
        <f>IFERROR(Datos!A2386,"")</f>
        <v/>
      </c>
      <c r="B2386" s="27">
        <f>IFERROR(IF(ISNUMBER(Datos!B2386),Datos!B2386/$F$2*100,NA()),NA())</f>
        <v/>
      </c>
      <c r="C2386" s="27">
        <f>IFERROR(IF(ISNUMBER(Datos!C2386),Datos!C2386/$F$3*100,NA()),NA())</f>
        <v/>
      </c>
    </row>
    <row r="2387">
      <c r="A2387" s="7">
        <f>IFERROR(Datos!A2387,"")</f>
        <v/>
      </c>
      <c r="B2387" s="27">
        <f>IFERROR(IF(ISNUMBER(Datos!B2387),Datos!B2387/$F$2*100,NA()),NA())</f>
        <v/>
      </c>
      <c r="C2387" s="27">
        <f>IFERROR(IF(ISNUMBER(Datos!C2387),Datos!C2387/$F$3*100,NA()),NA())</f>
        <v/>
      </c>
    </row>
    <row r="2388">
      <c r="A2388" s="7">
        <f>IFERROR(Datos!A2388,"")</f>
        <v/>
      </c>
      <c r="B2388" s="27">
        <f>IFERROR(IF(ISNUMBER(Datos!B2388),Datos!B2388/$F$2*100,NA()),NA())</f>
        <v/>
      </c>
      <c r="C2388" s="27">
        <f>IFERROR(IF(ISNUMBER(Datos!C2388),Datos!C2388/$F$3*100,NA()),NA())</f>
        <v/>
      </c>
    </row>
    <row r="2389">
      <c r="A2389" s="7">
        <f>IFERROR(Datos!A2389,"")</f>
        <v/>
      </c>
      <c r="B2389" s="27">
        <f>IFERROR(IF(ISNUMBER(Datos!B2389),Datos!B2389/$F$2*100,NA()),NA())</f>
        <v/>
      </c>
      <c r="C2389" s="27">
        <f>IFERROR(IF(ISNUMBER(Datos!C2389),Datos!C2389/$F$3*100,NA()),NA())</f>
        <v/>
      </c>
    </row>
    <row r="2390">
      <c r="A2390" s="7">
        <f>IFERROR(Datos!A2390,"")</f>
        <v/>
      </c>
      <c r="B2390" s="27">
        <f>IFERROR(IF(ISNUMBER(Datos!B2390),Datos!B2390/$F$2*100,NA()),NA())</f>
        <v/>
      </c>
      <c r="C2390" s="27">
        <f>IFERROR(IF(ISNUMBER(Datos!C2390),Datos!C2390/$F$3*100,NA()),NA())</f>
        <v/>
      </c>
    </row>
    <row r="2391">
      <c r="A2391" s="7">
        <f>IFERROR(Datos!A2391,"")</f>
        <v/>
      </c>
      <c r="B2391" s="27">
        <f>IFERROR(IF(ISNUMBER(Datos!B2391),Datos!B2391/$F$2*100,NA()),NA())</f>
        <v/>
      </c>
      <c r="C2391" s="27">
        <f>IFERROR(IF(ISNUMBER(Datos!C2391),Datos!C2391/$F$3*100,NA()),NA())</f>
        <v/>
      </c>
    </row>
    <row r="2392">
      <c r="A2392" s="7">
        <f>IFERROR(Datos!A2392,"")</f>
        <v/>
      </c>
      <c r="B2392" s="27">
        <f>IFERROR(IF(ISNUMBER(Datos!B2392),Datos!B2392/$F$2*100,NA()),NA())</f>
        <v/>
      </c>
      <c r="C2392" s="27">
        <f>IFERROR(IF(ISNUMBER(Datos!C2392),Datos!C2392/$F$3*100,NA()),NA())</f>
        <v/>
      </c>
    </row>
    <row r="2393">
      <c r="A2393" s="7">
        <f>IFERROR(Datos!A2393,"")</f>
        <v/>
      </c>
      <c r="B2393" s="27">
        <f>IFERROR(IF(ISNUMBER(Datos!B2393),Datos!B2393/$F$2*100,NA()),NA())</f>
        <v/>
      </c>
      <c r="C2393" s="27">
        <f>IFERROR(IF(ISNUMBER(Datos!C2393),Datos!C2393/$F$3*100,NA()),NA())</f>
        <v/>
      </c>
    </row>
    <row r="2394">
      <c r="A2394" s="7">
        <f>IFERROR(Datos!A2394,"")</f>
        <v/>
      </c>
      <c r="B2394" s="27">
        <f>IFERROR(IF(ISNUMBER(Datos!B2394),Datos!B2394/$F$2*100,NA()),NA())</f>
        <v/>
      </c>
      <c r="C2394" s="27">
        <f>IFERROR(IF(ISNUMBER(Datos!C2394),Datos!C2394/$F$3*100,NA()),NA())</f>
        <v/>
      </c>
    </row>
    <row r="2395">
      <c r="A2395" s="7">
        <f>IFERROR(Datos!A2395,"")</f>
        <v/>
      </c>
      <c r="B2395" s="27">
        <f>IFERROR(IF(ISNUMBER(Datos!B2395),Datos!B2395/$F$2*100,NA()),NA())</f>
        <v/>
      </c>
      <c r="C2395" s="27">
        <f>IFERROR(IF(ISNUMBER(Datos!C2395),Datos!C2395/$F$3*100,NA()),NA())</f>
        <v/>
      </c>
    </row>
    <row r="2396">
      <c r="A2396" s="7">
        <f>IFERROR(Datos!A2396,"")</f>
        <v/>
      </c>
      <c r="B2396" s="27">
        <f>IFERROR(IF(ISNUMBER(Datos!B2396),Datos!B2396/$F$2*100,NA()),NA())</f>
        <v/>
      </c>
      <c r="C2396" s="27">
        <f>IFERROR(IF(ISNUMBER(Datos!C2396),Datos!C2396/$F$3*100,NA()),NA())</f>
        <v/>
      </c>
    </row>
    <row r="2397">
      <c r="A2397" s="7">
        <f>IFERROR(Datos!A2397,"")</f>
        <v/>
      </c>
      <c r="B2397" s="27">
        <f>IFERROR(IF(ISNUMBER(Datos!B2397),Datos!B2397/$F$2*100,NA()),NA())</f>
        <v/>
      </c>
      <c r="C2397" s="27">
        <f>IFERROR(IF(ISNUMBER(Datos!C2397),Datos!C2397/$F$3*100,NA()),NA())</f>
        <v/>
      </c>
    </row>
    <row r="2398">
      <c r="A2398" s="7">
        <f>IFERROR(Datos!A2398,"")</f>
        <v/>
      </c>
      <c r="B2398" s="27">
        <f>IFERROR(IF(ISNUMBER(Datos!B2398),Datos!B2398/$F$2*100,NA()),NA())</f>
        <v/>
      </c>
      <c r="C2398" s="27">
        <f>IFERROR(IF(ISNUMBER(Datos!C2398),Datos!C2398/$F$3*100,NA()),NA())</f>
        <v/>
      </c>
    </row>
    <row r="2399">
      <c r="A2399" s="7">
        <f>IFERROR(Datos!A2399,"")</f>
        <v/>
      </c>
      <c r="B2399" s="27">
        <f>IFERROR(IF(ISNUMBER(Datos!B2399),Datos!B2399/$F$2*100,NA()),NA())</f>
        <v/>
      </c>
      <c r="C2399" s="27">
        <f>IFERROR(IF(ISNUMBER(Datos!C2399),Datos!C2399/$F$3*100,NA()),NA())</f>
        <v/>
      </c>
    </row>
    <row r="2400">
      <c r="A2400" s="7">
        <f>IFERROR(Datos!A2400,"")</f>
        <v/>
      </c>
      <c r="B2400" s="27">
        <f>IFERROR(IF(ISNUMBER(Datos!B2400),Datos!B2400/$F$2*100,NA()),NA())</f>
        <v/>
      </c>
      <c r="C2400" s="27">
        <f>IFERROR(IF(ISNUMBER(Datos!C2400),Datos!C2400/$F$3*100,NA()),NA())</f>
        <v/>
      </c>
    </row>
    <row r="2401">
      <c r="A2401" s="7">
        <f>IFERROR(Datos!A2401,"")</f>
        <v/>
      </c>
      <c r="B2401" s="27">
        <f>IFERROR(IF(ISNUMBER(Datos!B2401),Datos!B2401/$F$2*100,NA()),NA())</f>
        <v/>
      </c>
      <c r="C2401" s="27">
        <f>IFERROR(IF(ISNUMBER(Datos!C2401),Datos!C2401/$F$3*100,NA()),NA())</f>
        <v/>
      </c>
    </row>
    <row r="2402">
      <c r="A2402" s="7">
        <f>IFERROR(Datos!A2402,"")</f>
        <v/>
      </c>
      <c r="B2402" s="27">
        <f>IFERROR(IF(ISNUMBER(Datos!B2402),Datos!B2402/$F$2*100,NA()),NA())</f>
        <v/>
      </c>
      <c r="C2402" s="27">
        <f>IFERROR(IF(ISNUMBER(Datos!C2402),Datos!C2402/$F$3*100,NA()),NA())</f>
        <v/>
      </c>
    </row>
    <row r="2403">
      <c r="A2403" s="7">
        <f>IFERROR(Datos!A2403,"")</f>
        <v/>
      </c>
      <c r="B2403" s="27">
        <f>IFERROR(IF(ISNUMBER(Datos!B2403),Datos!B2403/$F$2*100,NA()),NA())</f>
        <v/>
      </c>
      <c r="C2403" s="27">
        <f>IFERROR(IF(ISNUMBER(Datos!C2403),Datos!C2403/$F$3*100,NA()),NA())</f>
        <v/>
      </c>
    </row>
    <row r="2404">
      <c r="A2404" s="7">
        <f>IFERROR(Datos!A2404,"")</f>
        <v/>
      </c>
      <c r="B2404" s="27">
        <f>IFERROR(IF(ISNUMBER(Datos!B2404),Datos!B2404/$F$2*100,NA()),NA())</f>
        <v/>
      </c>
      <c r="C2404" s="27">
        <f>IFERROR(IF(ISNUMBER(Datos!C2404),Datos!C2404/$F$3*100,NA()),NA())</f>
        <v/>
      </c>
    </row>
    <row r="2405">
      <c r="A2405" s="7">
        <f>IFERROR(Datos!A2405,"")</f>
        <v/>
      </c>
      <c r="B2405" s="27">
        <f>IFERROR(IF(ISNUMBER(Datos!B2405),Datos!B2405/$F$2*100,NA()),NA())</f>
        <v/>
      </c>
      <c r="C2405" s="27">
        <f>IFERROR(IF(ISNUMBER(Datos!C2405),Datos!C2405/$F$3*100,NA()),NA())</f>
        <v/>
      </c>
    </row>
    <row r="2406">
      <c r="A2406" s="7">
        <f>IFERROR(Datos!A2406,"")</f>
        <v/>
      </c>
      <c r="B2406" s="27">
        <f>IFERROR(IF(ISNUMBER(Datos!B2406),Datos!B2406/$F$2*100,NA()),NA())</f>
        <v/>
      </c>
      <c r="C2406" s="27">
        <f>IFERROR(IF(ISNUMBER(Datos!C2406),Datos!C2406/$F$3*100,NA()),NA())</f>
        <v/>
      </c>
    </row>
    <row r="2407">
      <c r="A2407" s="7">
        <f>IFERROR(Datos!A2407,"")</f>
        <v/>
      </c>
      <c r="B2407" s="27">
        <f>IFERROR(IF(ISNUMBER(Datos!B2407),Datos!B2407/$F$2*100,NA()),NA())</f>
        <v/>
      </c>
      <c r="C2407" s="27">
        <f>IFERROR(IF(ISNUMBER(Datos!C2407),Datos!C2407/$F$3*100,NA()),NA())</f>
        <v/>
      </c>
    </row>
    <row r="2408">
      <c r="A2408" s="7">
        <f>IFERROR(Datos!A2408,"")</f>
        <v/>
      </c>
      <c r="B2408" s="27">
        <f>IFERROR(IF(ISNUMBER(Datos!B2408),Datos!B2408/$F$2*100,NA()),NA())</f>
        <v/>
      </c>
      <c r="C2408" s="27">
        <f>IFERROR(IF(ISNUMBER(Datos!C2408),Datos!C2408/$F$3*100,NA()),NA())</f>
        <v/>
      </c>
    </row>
    <row r="2409">
      <c r="A2409" s="7">
        <f>IFERROR(Datos!A2409,"")</f>
        <v/>
      </c>
      <c r="B2409" s="27">
        <f>IFERROR(IF(ISNUMBER(Datos!B2409),Datos!B2409/$F$2*100,NA()),NA())</f>
        <v/>
      </c>
      <c r="C2409" s="27">
        <f>IFERROR(IF(ISNUMBER(Datos!C2409),Datos!C2409/$F$3*100,NA()),NA())</f>
        <v/>
      </c>
    </row>
    <row r="2410">
      <c r="A2410" s="7">
        <f>IFERROR(Datos!A2410,"")</f>
        <v/>
      </c>
      <c r="B2410" s="27">
        <f>IFERROR(IF(ISNUMBER(Datos!B2410),Datos!B2410/$F$2*100,NA()),NA())</f>
        <v/>
      </c>
      <c r="C2410" s="27">
        <f>IFERROR(IF(ISNUMBER(Datos!C2410),Datos!C2410/$F$3*100,NA()),NA())</f>
        <v/>
      </c>
    </row>
    <row r="2411">
      <c r="A2411" s="7">
        <f>IFERROR(Datos!A2411,"")</f>
        <v/>
      </c>
      <c r="B2411" s="27">
        <f>IFERROR(IF(ISNUMBER(Datos!B2411),Datos!B2411/$F$2*100,NA()),NA())</f>
        <v/>
      </c>
      <c r="C2411" s="27">
        <f>IFERROR(IF(ISNUMBER(Datos!C2411),Datos!C2411/$F$3*100,NA()),NA())</f>
        <v/>
      </c>
    </row>
    <row r="2412">
      <c r="A2412" s="7">
        <f>IFERROR(Datos!A2412,"")</f>
        <v/>
      </c>
      <c r="B2412" s="27">
        <f>IFERROR(IF(ISNUMBER(Datos!B2412),Datos!B2412/$F$2*100,NA()),NA())</f>
        <v/>
      </c>
      <c r="C2412" s="27">
        <f>IFERROR(IF(ISNUMBER(Datos!C2412),Datos!C2412/$F$3*100,NA()),NA())</f>
        <v/>
      </c>
    </row>
    <row r="2413">
      <c r="A2413" s="7">
        <f>IFERROR(Datos!A2413,"")</f>
        <v/>
      </c>
      <c r="B2413" s="27">
        <f>IFERROR(IF(ISNUMBER(Datos!B2413),Datos!B2413/$F$2*100,NA()),NA())</f>
        <v/>
      </c>
      <c r="C2413" s="27">
        <f>IFERROR(IF(ISNUMBER(Datos!C2413),Datos!C2413/$F$3*100,NA()),NA())</f>
        <v/>
      </c>
    </row>
    <row r="2414">
      <c r="A2414" s="7">
        <f>IFERROR(Datos!A2414,"")</f>
        <v/>
      </c>
      <c r="B2414" s="27">
        <f>IFERROR(IF(ISNUMBER(Datos!B2414),Datos!B2414/$F$2*100,NA()),NA())</f>
        <v/>
      </c>
      <c r="C2414" s="27">
        <f>IFERROR(IF(ISNUMBER(Datos!C2414),Datos!C2414/$F$3*100,NA()),NA())</f>
        <v/>
      </c>
    </row>
    <row r="2415">
      <c r="A2415" s="7">
        <f>IFERROR(Datos!A2415,"")</f>
        <v/>
      </c>
      <c r="B2415" s="27">
        <f>IFERROR(IF(ISNUMBER(Datos!B2415),Datos!B2415/$F$2*100,NA()),NA())</f>
        <v/>
      </c>
      <c r="C2415" s="27">
        <f>IFERROR(IF(ISNUMBER(Datos!C2415),Datos!C2415/$F$3*100,NA()),NA())</f>
        <v/>
      </c>
    </row>
    <row r="2416">
      <c r="A2416" s="7">
        <f>IFERROR(Datos!A2416,"")</f>
        <v/>
      </c>
      <c r="B2416" s="27">
        <f>IFERROR(IF(ISNUMBER(Datos!B2416),Datos!B2416/$F$2*100,NA()),NA())</f>
        <v/>
      </c>
      <c r="C2416" s="27">
        <f>IFERROR(IF(ISNUMBER(Datos!C2416),Datos!C2416/$F$3*100,NA()),NA())</f>
        <v/>
      </c>
    </row>
    <row r="2417">
      <c r="A2417" s="7">
        <f>IFERROR(Datos!A2417,"")</f>
        <v/>
      </c>
      <c r="B2417" s="27">
        <f>IFERROR(IF(ISNUMBER(Datos!B2417),Datos!B2417/$F$2*100,NA()),NA())</f>
        <v/>
      </c>
      <c r="C2417" s="27">
        <f>IFERROR(IF(ISNUMBER(Datos!C2417),Datos!C2417/$F$3*100,NA()),NA())</f>
        <v/>
      </c>
    </row>
    <row r="2418">
      <c r="A2418" s="7">
        <f>IFERROR(Datos!A2418,"")</f>
        <v/>
      </c>
      <c r="B2418" s="27">
        <f>IFERROR(IF(ISNUMBER(Datos!B2418),Datos!B2418/$F$2*100,NA()),NA())</f>
        <v/>
      </c>
      <c r="C2418" s="27">
        <f>IFERROR(IF(ISNUMBER(Datos!C2418),Datos!C2418/$F$3*100,NA()),NA())</f>
        <v/>
      </c>
    </row>
    <row r="2419">
      <c r="A2419" s="7">
        <f>IFERROR(Datos!A2419,"")</f>
        <v/>
      </c>
      <c r="B2419" s="27">
        <f>IFERROR(IF(ISNUMBER(Datos!B2419),Datos!B2419/$F$2*100,NA()),NA())</f>
        <v/>
      </c>
      <c r="C2419" s="27">
        <f>IFERROR(IF(ISNUMBER(Datos!C2419),Datos!C2419/$F$3*100,NA()),NA())</f>
        <v/>
      </c>
    </row>
    <row r="2420">
      <c r="A2420" s="7">
        <f>IFERROR(Datos!A2420,"")</f>
        <v/>
      </c>
      <c r="B2420" s="27">
        <f>IFERROR(IF(ISNUMBER(Datos!B2420),Datos!B2420/$F$2*100,NA()),NA())</f>
        <v/>
      </c>
      <c r="C2420" s="27">
        <f>IFERROR(IF(ISNUMBER(Datos!C2420),Datos!C2420/$F$3*100,NA()),NA())</f>
        <v/>
      </c>
    </row>
    <row r="2421">
      <c r="A2421" s="7">
        <f>IFERROR(Datos!A2421,"")</f>
        <v/>
      </c>
      <c r="B2421" s="27">
        <f>IFERROR(IF(ISNUMBER(Datos!B2421),Datos!B2421/$F$2*100,NA()),NA())</f>
        <v/>
      </c>
      <c r="C2421" s="27">
        <f>IFERROR(IF(ISNUMBER(Datos!C2421),Datos!C2421/$F$3*100,NA()),NA())</f>
        <v/>
      </c>
    </row>
    <row r="2422">
      <c r="A2422" s="7">
        <f>IFERROR(Datos!A2422,"")</f>
        <v/>
      </c>
      <c r="B2422" s="27">
        <f>IFERROR(IF(ISNUMBER(Datos!B2422),Datos!B2422/$F$2*100,NA()),NA())</f>
        <v/>
      </c>
      <c r="C2422" s="27">
        <f>IFERROR(IF(ISNUMBER(Datos!C2422),Datos!C2422/$F$3*100,NA()),NA())</f>
        <v/>
      </c>
    </row>
    <row r="2423">
      <c r="A2423" s="7">
        <f>IFERROR(Datos!A2423,"")</f>
        <v/>
      </c>
      <c r="B2423" s="27">
        <f>IFERROR(IF(ISNUMBER(Datos!B2423),Datos!B2423/$F$2*100,NA()),NA())</f>
        <v/>
      </c>
      <c r="C2423" s="27">
        <f>IFERROR(IF(ISNUMBER(Datos!C2423),Datos!C2423/$F$3*100,NA()),NA())</f>
        <v/>
      </c>
    </row>
    <row r="2424">
      <c r="A2424" s="7">
        <f>IFERROR(Datos!A2424,"")</f>
        <v/>
      </c>
      <c r="B2424" s="27">
        <f>IFERROR(IF(ISNUMBER(Datos!B2424),Datos!B2424/$F$2*100,NA()),NA())</f>
        <v/>
      </c>
      <c r="C2424" s="27">
        <f>IFERROR(IF(ISNUMBER(Datos!C2424),Datos!C2424/$F$3*100,NA()),NA())</f>
        <v/>
      </c>
    </row>
    <row r="2425">
      <c r="A2425" s="7">
        <f>IFERROR(Datos!A2425,"")</f>
        <v/>
      </c>
      <c r="B2425" s="27">
        <f>IFERROR(IF(ISNUMBER(Datos!B2425),Datos!B2425/$F$2*100,NA()),NA())</f>
        <v/>
      </c>
      <c r="C2425" s="27">
        <f>IFERROR(IF(ISNUMBER(Datos!C2425),Datos!C2425/$F$3*100,NA()),NA())</f>
        <v/>
      </c>
    </row>
    <row r="2426">
      <c r="A2426" s="7">
        <f>IFERROR(Datos!A2426,"")</f>
        <v/>
      </c>
      <c r="B2426" s="27">
        <f>IFERROR(IF(ISNUMBER(Datos!B2426),Datos!B2426/$F$2*100,NA()),NA())</f>
        <v/>
      </c>
      <c r="C2426" s="27">
        <f>IFERROR(IF(ISNUMBER(Datos!C2426),Datos!C2426/$F$3*100,NA()),NA())</f>
        <v/>
      </c>
    </row>
    <row r="2427">
      <c r="A2427" s="7">
        <f>IFERROR(Datos!A2427,"")</f>
        <v/>
      </c>
      <c r="B2427" s="27">
        <f>IFERROR(IF(ISNUMBER(Datos!B2427),Datos!B2427/$F$2*100,NA()),NA())</f>
        <v/>
      </c>
      <c r="C2427" s="27">
        <f>IFERROR(IF(ISNUMBER(Datos!C2427),Datos!C2427/$F$3*100,NA()),NA())</f>
        <v/>
      </c>
    </row>
    <row r="2428">
      <c r="A2428" s="7">
        <f>IFERROR(Datos!A2428,"")</f>
        <v/>
      </c>
      <c r="B2428" s="27">
        <f>IFERROR(IF(ISNUMBER(Datos!B2428),Datos!B2428/$F$2*100,NA()),NA())</f>
        <v/>
      </c>
      <c r="C2428" s="27">
        <f>IFERROR(IF(ISNUMBER(Datos!C2428),Datos!C2428/$F$3*100,NA()),NA())</f>
        <v/>
      </c>
    </row>
    <row r="2429">
      <c r="A2429" s="7">
        <f>IFERROR(Datos!A2429,"")</f>
        <v/>
      </c>
      <c r="B2429" s="27">
        <f>IFERROR(IF(ISNUMBER(Datos!B2429),Datos!B2429/$F$2*100,NA()),NA())</f>
        <v/>
      </c>
      <c r="C2429" s="27">
        <f>IFERROR(IF(ISNUMBER(Datos!C2429),Datos!C2429/$F$3*100,NA()),NA())</f>
        <v/>
      </c>
    </row>
    <row r="2430">
      <c r="A2430" s="7">
        <f>IFERROR(Datos!A2430,"")</f>
        <v/>
      </c>
      <c r="B2430" s="27">
        <f>IFERROR(IF(ISNUMBER(Datos!B2430),Datos!B2430/$F$2*100,NA()),NA())</f>
        <v/>
      </c>
      <c r="C2430" s="27">
        <f>IFERROR(IF(ISNUMBER(Datos!C2430),Datos!C2430/$F$3*100,NA()),NA())</f>
        <v/>
      </c>
    </row>
    <row r="2431">
      <c r="A2431" s="7">
        <f>IFERROR(Datos!A2431,"")</f>
        <v/>
      </c>
      <c r="B2431" s="27">
        <f>IFERROR(IF(ISNUMBER(Datos!B2431),Datos!B2431/$F$2*100,NA()),NA())</f>
        <v/>
      </c>
      <c r="C2431" s="27">
        <f>IFERROR(IF(ISNUMBER(Datos!C2431),Datos!C2431/$F$3*100,NA()),NA())</f>
        <v/>
      </c>
    </row>
    <row r="2432">
      <c r="A2432" s="7">
        <f>IFERROR(Datos!A2432,"")</f>
        <v/>
      </c>
      <c r="B2432" s="27">
        <f>IFERROR(IF(ISNUMBER(Datos!B2432),Datos!B2432/$F$2*100,NA()),NA())</f>
        <v/>
      </c>
      <c r="C2432" s="27">
        <f>IFERROR(IF(ISNUMBER(Datos!C2432),Datos!C2432/$F$3*100,NA()),NA())</f>
        <v/>
      </c>
    </row>
    <row r="2433">
      <c r="A2433" s="7">
        <f>IFERROR(Datos!A2433,"")</f>
        <v/>
      </c>
      <c r="B2433" s="27">
        <f>IFERROR(IF(ISNUMBER(Datos!B2433),Datos!B2433/$F$2*100,NA()),NA())</f>
        <v/>
      </c>
      <c r="C2433" s="27">
        <f>IFERROR(IF(ISNUMBER(Datos!C2433),Datos!C2433/$F$3*100,NA()),NA())</f>
        <v/>
      </c>
    </row>
    <row r="2434">
      <c r="A2434" s="7">
        <f>IFERROR(Datos!A2434,"")</f>
        <v/>
      </c>
      <c r="B2434" s="27">
        <f>IFERROR(IF(ISNUMBER(Datos!B2434),Datos!B2434/$F$2*100,NA()),NA())</f>
        <v/>
      </c>
      <c r="C2434" s="27">
        <f>IFERROR(IF(ISNUMBER(Datos!C2434),Datos!C2434/$F$3*100,NA()),NA())</f>
        <v/>
      </c>
    </row>
    <row r="2435">
      <c r="A2435" s="7">
        <f>IFERROR(Datos!A2435,"")</f>
        <v/>
      </c>
      <c r="B2435" s="27">
        <f>IFERROR(IF(ISNUMBER(Datos!B2435),Datos!B2435/$F$2*100,NA()),NA())</f>
        <v/>
      </c>
      <c r="C2435" s="27">
        <f>IFERROR(IF(ISNUMBER(Datos!C2435),Datos!C2435/$F$3*100,NA()),NA())</f>
        <v/>
      </c>
    </row>
    <row r="2436">
      <c r="A2436" s="7">
        <f>IFERROR(Datos!A2436,"")</f>
        <v/>
      </c>
      <c r="B2436" s="27">
        <f>IFERROR(IF(ISNUMBER(Datos!B2436),Datos!B2436/$F$2*100,NA()),NA())</f>
        <v/>
      </c>
      <c r="C2436" s="27">
        <f>IFERROR(IF(ISNUMBER(Datos!C2436),Datos!C2436/$F$3*100,NA()),NA())</f>
        <v/>
      </c>
    </row>
    <row r="2437">
      <c r="A2437" s="7">
        <f>IFERROR(Datos!A2437,"")</f>
        <v/>
      </c>
      <c r="B2437" s="27">
        <f>IFERROR(IF(ISNUMBER(Datos!B2437),Datos!B2437/$F$2*100,NA()),NA())</f>
        <v/>
      </c>
      <c r="C2437" s="27">
        <f>IFERROR(IF(ISNUMBER(Datos!C2437),Datos!C2437/$F$3*100,NA()),NA())</f>
        <v/>
      </c>
    </row>
    <row r="2438">
      <c r="A2438" s="7">
        <f>IFERROR(Datos!A2438,"")</f>
        <v/>
      </c>
      <c r="B2438" s="27">
        <f>IFERROR(IF(ISNUMBER(Datos!B2438),Datos!B2438/$F$2*100,NA()),NA())</f>
        <v/>
      </c>
      <c r="C2438" s="27">
        <f>IFERROR(IF(ISNUMBER(Datos!C2438),Datos!C2438/$F$3*100,NA()),NA())</f>
        <v/>
      </c>
    </row>
    <row r="2439">
      <c r="A2439" s="7">
        <f>IFERROR(Datos!A2439,"")</f>
        <v/>
      </c>
      <c r="B2439" s="27">
        <f>IFERROR(IF(ISNUMBER(Datos!B2439),Datos!B2439/$F$2*100,NA()),NA())</f>
        <v/>
      </c>
      <c r="C2439" s="27">
        <f>IFERROR(IF(ISNUMBER(Datos!C2439),Datos!C2439/$F$3*100,NA()),NA())</f>
        <v/>
      </c>
    </row>
    <row r="2440">
      <c r="A2440" s="7">
        <f>IFERROR(Datos!A2440,"")</f>
        <v/>
      </c>
      <c r="B2440" s="27">
        <f>IFERROR(IF(ISNUMBER(Datos!B2440),Datos!B2440/$F$2*100,NA()),NA())</f>
        <v/>
      </c>
      <c r="C2440" s="27">
        <f>IFERROR(IF(ISNUMBER(Datos!C2440),Datos!C2440/$F$3*100,NA()),NA())</f>
        <v/>
      </c>
    </row>
    <row r="2441">
      <c r="A2441" s="7">
        <f>IFERROR(Datos!A2441,"")</f>
        <v/>
      </c>
      <c r="B2441" s="27">
        <f>IFERROR(IF(ISNUMBER(Datos!B2441),Datos!B2441/$F$2*100,NA()),NA())</f>
        <v/>
      </c>
      <c r="C2441" s="27">
        <f>IFERROR(IF(ISNUMBER(Datos!C2441),Datos!C2441/$F$3*100,NA()),NA())</f>
        <v/>
      </c>
    </row>
    <row r="2442">
      <c r="A2442" s="7">
        <f>IFERROR(Datos!A2442,"")</f>
        <v/>
      </c>
      <c r="B2442" s="27">
        <f>IFERROR(IF(ISNUMBER(Datos!B2442),Datos!B2442/$F$2*100,NA()),NA())</f>
        <v/>
      </c>
      <c r="C2442" s="27">
        <f>IFERROR(IF(ISNUMBER(Datos!C2442),Datos!C2442/$F$3*100,NA()),NA())</f>
        <v/>
      </c>
    </row>
    <row r="2443">
      <c r="A2443" s="7">
        <f>IFERROR(Datos!A2443,"")</f>
        <v/>
      </c>
      <c r="B2443" s="27">
        <f>IFERROR(IF(ISNUMBER(Datos!B2443),Datos!B2443/$F$2*100,NA()),NA())</f>
        <v/>
      </c>
      <c r="C2443" s="27">
        <f>IFERROR(IF(ISNUMBER(Datos!C2443),Datos!C2443/$F$3*100,NA()),NA())</f>
        <v/>
      </c>
    </row>
    <row r="2444">
      <c r="A2444" s="7">
        <f>IFERROR(Datos!A2444,"")</f>
        <v/>
      </c>
      <c r="B2444" s="27">
        <f>IFERROR(IF(ISNUMBER(Datos!B2444),Datos!B2444/$F$2*100,NA()),NA())</f>
        <v/>
      </c>
      <c r="C2444" s="27">
        <f>IFERROR(IF(ISNUMBER(Datos!C2444),Datos!C2444/$F$3*100,NA()),NA())</f>
        <v/>
      </c>
    </row>
    <row r="2445">
      <c r="A2445" s="7">
        <f>IFERROR(Datos!A2445,"")</f>
        <v/>
      </c>
      <c r="B2445" s="27">
        <f>IFERROR(IF(ISNUMBER(Datos!B2445),Datos!B2445/$F$2*100,NA()),NA())</f>
        <v/>
      </c>
      <c r="C2445" s="27">
        <f>IFERROR(IF(ISNUMBER(Datos!C2445),Datos!C2445/$F$3*100,NA()),NA())</f>
        <v/>
      </c>
    </row>
    <row r="2446">
      <c r="A2446" s="7">
        <f>IFERROR(Datos!A2446,"")</f>
        <v/>
      </c>
      <c r="B2446" s="27">
        <f>IFERROR(IF(ISNUMBER(Datos!B2446),Datos!B2446/$F$2*100,NA()),NA())</f>
        <v/>
      </c>
      <c r="C2446" s="27">
        <f>IFERROR(IF(ISNUMBER(Datos!C2446),Datos!C2446/$F$3*100,NA()),NA())</f>
        <v/>
      </c>
    </row>
    <row r="2447">
      <c r="A2447" s="7">
        <f>IFERROR(Datos!A2447,"")</f>
        <v/>
      </c>
      <c r="B2447" s="27">
        <f>IFERROR(IF(ISNUMBER(Datos!B2447),Datos!B2447/$F$2*100,NA()),NA())</f>
        <v/>
      </c>
      <c r="C2447" s="27">
        <f>IFERROR(IF(ISNUMBER(Datos!C2447),Datos!C2447/$F$3*100,NA()),NA())</f>
        <v/>
      </c>
    </row>
    <row r="2448">
      <c r="A2448" s="7">
        <f>IFERROR(Datos!A2448,"")</f>
        <v/>
      </c>
      <c r="B2448" s="27">
        <f>IFERROR(IF(ISNUMBER(Datos!B2448),Datos!B2448/$F$2*100,NA()),NA())</f>
        <v/>
      </c>
      <c r="C2448" s="27">
        <f>IFERROR(IF(ISNUMBER(Datos!C2448),Datos!C2448/$F$3*100,NA()),NA())</f>
        <v/>
      </c>
    </row>
    <row r="2449">
      <c r="A2449" s="7">
        <f>IFERROR(Datos!A2449,"")</f>
        <v/>
      </c>
      <c r="B2449" s="27">
        <f>IFERROR(IF(ISNUMBER(Datos!B2449),Datos!B2449/$F$2*100,NA()),NA())</f>
        <v/>
      </c>
      <c r="C2449" s="27">
        <f>IFERROR(IF(ISNUMBER(Datos!C2449),Datos!C2449/$F$3*100,NA()),NA())</f>
        <v/>
      </c>
    </row>
    <row r="2450">
      <c r="A2450" s="7">
        <f>IFERROR(Datos!A2450,"")</f>
        <v/>
      </c>
      <c r="B2450" s="27">
        <f>IFERROR(IF(ISNUMBER(Datos!B2450),Datos!B2450/$F$2*100,NA()),NA())</f>
        <v/>
      </c>
      <c r="C2450" s="27">
        <f>IFERROR(IF(ISNUMBER(Datos!C2450),Datos!C2450/$F$3*100,NA()),NA())</f>
        <v/>
      </c>
    </row>
    <row r="2451">
      <c r="A2451" s="7">
        <f>IFERROR(Datos!A2451,"")</f>
        <v/>
      </c>
      <c r="B2451" s="27">
        <f>IFERROR(IF(ISNUMBER(Datos!B2451),Datos!B2451/$F$2*100,NA()),NA())</f>
        <v/>
      </c>
      <c r="C2451" s="27">
        <f>IFERROR(IF(ISNUMBER(Datos!C2451),Datos!C2451/$F$3*100,NA()),NA())</f>
        <v/>
      </c>
    </row>
    <row r="2452">
      <c r="A2452" s="7">
        <f>IFERROR(Datos!A2452,"")</f>
        <v/>
      </c>
      <c r="B2452" s="27">
        <f>IFERROR(IF(ISNUMBER(Datos!B2452),Datos!B2452/$F$2*100,NA()),NA())</f>
        <v/>
      </c>
      <c r="C2452" s="27">
        <f>IFERROR(IF(ISNUMBER(Datos!C2452),Datos!C2452/$F$3*100,NA()),NA())</f>
        <v/>
      </c>
    </row>
    <row r="2453">
      <c r="A2453" s="7">
        <f>IFERROR(Datos!A2453,"")</f>
        <v/>
      </c>
      <c r="B2453" s="27">
        <f>IFERROR(IF(ISNUMBER(Datos!B2453),Datos!B2453/$F$2*100,NA()),NA())</f>
        <v/>
      </c>
      <c r="C2453" s="27">
        <f>IFERROR(IF(ISNUMBER(Datos!C2453),Datos!C2453/$F$3*100,NA()),NA())</f>
        <v/>
      </c>
    </row>
    <row r="2454">
      <c r="A2454" s="7">
        <f>IFERROR(Datos!A2454,"")</f>
        <v/>
      </c>
      <c r="B2454" s="27">
        <f>IFERROR(IF(ISNUMBER(Datos!B2454),Datos!B2454/$F$2*100,NA()),NA())</f>
        <v/>
      </c>
      <c r="C2454" s="27">
        <f>IFERROR(IF(ISNUMBER(Datos!C2454),Datos!C2454/$F$3*100,NA()),NA())</f>
        <v/>
      </c>
    </row>
    <row r="2455">
      <c r="A2455" s="7">
        <f>IFERROR(Datos!A2455,"")</f>
        <v/>
      </c>
      <c r="B2455" s="27">
        <f>IFERROR(IF(ISNUMBER(Datos!B2455),Datos!B2455/$F$2*100,NA()),NA())</f>
        <v/>
      </c>
      <c r="C2455" s="27">
        <f>IFERROR(IF(ISNUMBER(Datos!C2455),Datos!C2455/$F$3*100,NA()),NA())</f>
        <v/>
      </c>
    </row>
    <row r="2456">
      <c r="A2456" s="7">
        <f>IFERROR(Datos!A2456,"")</f>
        <v/>
      </c>
      <c r="B2456" s="27">
        <f>IFERROR(IF(ISNUMBER(Datos!B2456),Datos!B2456/$F$2*100,NA()),NA())</f>
        <v/>
      </c>
      <c r="C2456" s="27">
        <f>IFERROR(IF(ISNUMBER(Datos!C2456),Datos!C2456/$F$3*100,NA()),NA())</f>
        <v/>
      </c>
    </row>
    <row r="2457">
      <c r="A2457" s="7">
        <f>IFERROR(Datos!A2457,"")</f>
        <v/>
      </c>
      <c r="B2457" s="27">
        <f>IFERROR(IF(ISNUMBER(Datos!B2457),Datos!B2457/$F$2*100,NA()),NA())</f>
        <v/>
      </c>
      <c r="C2457" s="27">
        <f>IFERROR(IF(ISNUMBER(Datos!C2457),Datos!C2457/$F$3*100,NA()),NA())</f>
        <v/>
      </c>
    </row>
    <row r="2458">
      <c r="A2458" s="7">
        <f>IFERROR(Datos!A2458,"")</f>
        <v/>
      </c>
      <c r="B2458" s="27">
        <f>IFERROR(IF(ISNUMBER(Datos!B2458),Datos!B2458/$F$2*100,NA()),NA())</f>
        <v/>
      </c>
      <c r="C2458" s="27">
        <f>IFERROR(IF(ISNUMBER(Datos!C2458),Datos!C2458/$F$3*100,NA()),NA())</f>
        <v/>
      </c>
    </row>
    <row r="2459">
      <c r="A2459" s="7">
        <f>IFERROR(Datos!A2459,"")</f>
        <v/>
      </c>
      <c r="B2459" s="27">
        <f>IFERROR(IF(ISNUMBER(Datos!B2459),Datos!B2459/$F$2*100,NA()),NA())</f>
        <v/>
      </c>
      <c r="C2459" s="27">
        <f>IFERROR(IF(ISNUMBER(Datos!C2459),Datos!C2459/$F$3*100,NA()),NA())</f>
        <v/>
      </c>
    </row>
    <row r="2460">
      <c r="A2460" s="7">
        <f>IFERROR(Datos!A2460,"")</f>
        <v/>
      </c>
      <c r="B2460" s="27">
        <f>IFERROR(IF(ISNUMBER(Datos!B2460),Datos!B2460/$F$2*100,NA()),NA())</f>
        <v/>
      </c>
      <c r="C2460" s="27">
        <f>IFERROR(IF(ISNUMBER(Datos!C2460),Datos!C2460/$F$3*100,NA()),NA())</f>
        <v/>
      </c>
    </row>
    <row r="2461">
      <c r="A2461" s="7">
        <f>IFERROR(Datos!A2461,"")</f>
        <v/>
      </c>
      <c r="B2461" s="27">
        <f>IFERROR(IF(ISNUMBER(Datos!B2461),Datos!B2461/$F$2*100,NA()),NA())</f>
        <v/>
      </c>
      <c r="C2461" s="27">
        <f>IFERROR(IF(ISNUMBER(Datos!C2461),Datos!C2461/$F$3*100,NA()),NA())</f>
        <v/>
      </c>
    </row>
    <row r="2462">
      <c r="A2462" s="7">
        <f>IFERROR(Datos!A2462,"")</f>
        <v/>
      </c>
      <c r="B2462" s="27">
        <f>IFERROR(IF(ISNUMBER(Datos!B2462),Datos!B2462/$F$2*100,NA()),NA())</f>
        <v/>
      </c>
      <c r="C2462" s="27">
        <f>IFERROR(IF(ISNUMBER(Datos!C2462),Datos!C2462/$F$3*100,NA()),NA())</f>
        <v/>
      </c>
    </row>
    <row r="2463">
      <c r="A2463" s="7">
        <f>IFERROR(Datos!A2463,"")</f>
        <v/>
      </c>
      <c r="B2463" s="27">
        <f>IFERROR(IF(ISNUMBER(Datos!B2463),Datos!B2463/$F$2*100,NA()),NA())</f>
        <v/>
      </c>
      <c r="C2463" s="27">
        <f>IFERROR(IF(ISNUMBER(Datos!C2463),Datos!C2463/$F$3*100,NA()),NA())</f>
        <v/>
      </c>
    </row>
    <row r="2464">
      <c r="A2464" s="7">
        <f>IFERROR(Datos!A2464,"")</f>
        <v/>
      </c>
      <c r="B2464" s="27">
        <f>IFERROR(IF(ISNUMBER(Datos!B2464),Datos!B2464/$F$2*100,NA()),NA())</f>
        <v/>
      </c>
      <c r="C2464" s="27">
        <f>IFERROR(IF(ISNUMBER(Datos!C2464),Datos!C2464/$F$3*100,NA()),NA())</f>
        <v/>
      </c>
    </row>
    <row r="2465">
      <c r="A2465" s="7">
        <f>IFERROR(Datos!A2465,"")</f>
        <v/>
      </c>
      <c r="B2465" s="27">
        <f>IFERROR(IF(ISNUMBER(Datos!B2465),Datos!B2465/$F$2*100,NA()),NA())</f>
        <v/>
      </c>
      <c r="C2465" s="27">
        <f>IFERROR(IF(ISNUMBER(Datos!C2465),Datos!C2465/$F$3*100,NA()),NA())</f>
        <v/>
      </c>
    </row>
    <row r="2466">
      <c r="A2466" s="7">
        <f>IFERROR(Datos!A2466,"")</f>
        <v/>
      </c>
      <c r="B2466" s="27">
        <f>IFERROR(IF(ISNUMBER(Datos!B2466),Datos!B2466/$F$2*100,NA()),NA())</f>
        <v/>
      </c>
      <c r="C2466" s="27">
        <f>IFERROR(IF(ISNUMBER(Datos!C2466),Datos!C2466/$F$3*100,NA()),NA())</f>
        <v/>
      </c>
    </row>
    <row r="2467">
      <c r="A2467" s="7">
        <f>IFERROR(Datos!A2467,"")</f>
        <v/>
      </c>
      <c r="B2467" s="27">
        <f>IFERROR(IF(ISNUMBER(Datos!B2467),Datos!B2467/$F$2*100,NA()),NA())</f>
        <v/>
      </c>
      <c r="C2467" s="27">
        <f>IFERROR(IF(ISNUMBER(Datos!C2467),Datos!C2467/$F$3*100,NA()),NA())</f>
        <v/>
      </c>
    </row>
    <row r="2468">
      <c r="A2468" s="7">
        <f>IFERROR(Datos!A2468,"")</f>
        <v/>
      </c>
      <c r="B2468" s="27">
        <f>IFERROR(IF(ISNUMBER(Datos!B2468),Datos!B2468/$F$2*100,NA()),NA())</f>
        <v/>
      </c>
      <c r="C2468" s="27">
        <f>IFERROR(IF(ISNUMBER(Datos!C2468),Datos!C2468/$F$3*100,NA()),NA())</f>
        <v/>
      </c>
    </row>
    <row r="2469">
      <c r="A2469" s="7">
        <f>IFERROR(Datos!A2469,"")</f>
        <v/>
      </c>
      <c r="B2469" s="27">
        <f>IFERROR(IF(ISNUMBER(Datos!B2469),Datos!B2469/$F$2*100,NA()),NA())</f>
        <v/>
      </c>
      <c r="C2469" s="27">
        <f>IFERROR(IF(ISNUMBER(Datos!C2469),Datos!C2469/$F$3*100,NA()),NA())</f>
        <v/>
      </c>
    </row>
    <row r="2470">
      <c r="A2470" s="7">
        <f>IFERROR(Datos!A2470,"")</f>
        <v/>
      </c>
      <c r="B2470" s="27">
        <f>IFERROR(IF(ISNUMBER(Datos!B2470),Datos!B2470/$F$2*100,NA()),NA())</f>
        <v/>
      </c>
      <c r="C2470" s="27">
        <f>IFERROR(IF(ISNUMBER(Datos!C2470),Datos!C2470/$F$3*100,NA()),NA())</f>
        <v/>
      </c>
    </row>
    <row r="2471">
      <c r="A2471" s="7">
        <f>IFERROR(Datos!A2471,"")</f>
        <v/>
      </c>
      <c r="B2471" s="27">
        <f>IFERROR(IF(ISNUMBER(Datos!B2471),Datos!B2471/$F$2*100,NA()),NA())</f>
        <v/>
      </c>
      <c r="C2471" s="27">
        <f>IFERROR(IF(ISNUMBER(Datos!C2471),Datos!C2471/$F$3*100,NA()),NA())</f>
        <v/>
      </c>
    </row>
    <row r="2472">
      <c r="A2472" s="7">
        <f>IFERROR(Datos!A2472,"")</f>
        <v/>
      </c>
      <c r="B2472" s="27">
        <f>IFERROR(IF(ISNUMBER(Datos!B2472),Datos!B2472/$F$2*100,NA()),NA())</f>
        <v/>
      </c>
      <c r="C2472" s="27">
        <f>IFERROR(IF(ISNUMBER(Datos!C2472),Datos!C2472/$F$3*100,NA()),NA())</f>
        <v/>
      </c>
    </row>
    <row r="2473">
      <c r="A2473" s="7">
        <f>IFERROR(Datos!A2473,"")</f>
        <v/>
      </c>
      <c r="B2473" s="27">
        <f>IFERROR(IF(ISNUMBER(Datos!B2473),Datos!B2473/$F$2*100,NA()),NA())</f>
        <v/>
      </c>
      <c r="C2473" s="27">
        <f>IFERROR(IF(ISNUMBER(Datos!C2473),Datos!C2473/$F$3*100,NA()),NA())</f>
        <v/>
      </c>
    </row>
    <row r="2474">
      <c r="A2474" s="7">
        <f>IFERROR(Datos!A2474,"")</f>
        <v/>
      </c>
      <c r="B2474" s="27">
        <f>IFERROR(IF(ISNUMBER(Datos!B2474),Datos!B2474/$F$2*100,NA()),NA())</f>
        <v/>
      </c>
      <c r="C2474" s="27">
        <f>IFERROR(IF(ISNUMBER(Datos!C2474),Datos!C2474/$F$3*100,NA()),NA())</f>
        <v/>
      </c>
    </row>
    <row r="2475">
      <c r="A2475" s="7">
        <f>IFERROR(Datos!A2475,"")</f>
        <v/>
      </c>
      <c r="B2475" s="27">
        <f>IFERROR(IF(ISNUMBER(Datos!B2475),Datos!B2475/$F$2*100,NA()),NA())</f>
        <v/>
      </c>
      <c r="C2475" s="27">
        <f>IFERROR(IF(ISNUMBER(Datos!C2475),Datos!C2475/$F$3*100,NA()),NA())</f>
        <v/>
      </c>
    </row>
    <row r="2476">
      <c r="A2476" s="7">
        <f>IFERROR(Datos!A2476,"")</f>
        <v/>
      </c>
      <c r="B2476" s="27">
        <f>IFERROR(IF(ISNUMBER(Datos!B2476),Datos!B2476/$F$2*100,NA()),NA())</f>
        <v/>
      </c>
      <c r="C2476" s="27">
        <f>IFERROR(IF(ISNUMBER(Datos!C2476),Datos!C2476/$F$3*100,NA()),NA())</f>
        <v/>
      </c>
    </row>
    <row r="2477">
      <c r="A2477" s="7">
        <f>IFERROR(Datos!A2477,"")</f>
        <v/>
      </c>
      <c r="B2477" s="27">
        <f>IFERROR(IF(ISNUMBER(Datos!B2477),Datos!B2477/$F$2*100,NA()),NA())</f>
        <v/>
      </c>
      <c r="C2477" s="27">
        <f>IFERROR(IF(ISNUMBER(Datos!C2477),Datos!C2477/$F$3*100,NA()),NA())</f>
        <v/>
      </c>
    </row>
    <row r="2478">
      <c r="A2478" s="7">
        <f>IFERROR(Datos!A2478,"")</f>
        <v/>
      </c>
      <c r="B2478" s="27">
        <f>IFERROR(IF(ISNUMBER(Datos!B2478),Datos!B2478/$F$2*100,NA()),NA())</f>
        <v/>
      </c>
      <c r="C2478" s="27">
        <f>IFERROR(IF(ISNUMBER(Datos!C2478),Datos!C2478/$F$3*100,NA()),NA())</f>
        <v/>
      </c>
    </row>
    <row r="2479">
      <c r="A2479" s="7">
        <f>IFERROR(Datos!A2479,"")</f>
        <v/>
      </c>
      <c r="B2479" s="27">
        <f>IFERROR(IF(ISNUMBER(Datos!B2479),Datos!B2479/$F$2*100,NA()),NA())</f>
        <v/>
      </c>
      <c r="C2479" s="27">
        <f>IFERROR(IF(ISNUMBER(Datos!C2479),Datos!C2479/$F$3*100,NA()),NA())</f>
        <v/>
      </c>
    </row>
    <row r="2480">
      <c r="A2480" s="7">
        <f>IFERROR(Datos!A2480,"")</f>
        <v/>
      </c>
      <c r="B2480" s="27">
        <f>IFERROR(IF(ISNUMBER(Datos!B2480),Datos!B2480/$F$2*100,NA()),NA())</f>
        <v/>
      </c>
      <c r="C2480" s="27">
        <f>IFERROR(IF(ISNUMBER(Datos!C2480),Datos!C2480/$F$3*100,NA()),NA())</f>
        <v/>
      </c>
    </row>
    <row r="2481">
      <c r="A2481" s="7">
        <f>IFERROR(Datos!A2481,"")</f>
        <v/>
      </c>
      <c r="B2481" s="27">
        <f>IFERROR(IF(ISNUMBER(Datos!B2481),Datos!B2481/$F$2*100,NA()),NA())</f>
        <v/>
      </c>
      <c r="C2481" s="27">
        <f>IFERROR(IF(ISNUMBER(Datos!C2481),Datos!C2481/$F$3*100,NA()),NA())</f>
        <v/>
      </c>
    </row>
    <row r="2482">
      <c r="A2482" s="7">
        <f>IFERROR(Datos!A2482,"")</f>
        <v/>
      </c>
      <c r="B2482" s="27">
        <f>IFERROR(IF(ISNUMBER(Datos!B2482),Datos!B2482/$F$2*100,NA()),NA())</f>
        <v/>
      </c>
      <c r="C2482" s="27">
        <f>IFERROR(IF(ISNUMBER(Datos!C2482),Datos!C2482/$F$3*100,NA()),NA())</f>
        <v/>
      </c>
    </row>
    <row r="2483">
      <c r="A2483" s="7">
        <f>IFERROR(Datos!A2483,"")</f>
        <v/>
      </c>
      <c r="B2483" s="27">
        <f>IFERROR(IF(ISNUMBER(Datos!B2483),Datos!B2483/$F$2*100,NA()),NA())</f>
        <v/>
      </c>
      <c r="C2483" s="27">
        <f>IFERROR(IF(ISNUMBER(Datos!C2483),Datos!C2483/$F$3*100,NA()),NA())</f>
        <v/>
      </c>
    </row>
    <row r="2484">
      <c r="A2484" s="7">
        <f>IFERROR(Datos!A2484,"")</f>
        <v/>
      </c>
      <c r="B2484" s="27">
        <f>IFERROR(IF(ISNUMBER(Datos!B2484),Datos!B2484/$F$2*100,NA()),NA())</f>
        <v/>
      </c>
      <c r="C2484" s="27">
        <f>IFERROR(IF(ISNUMBER(Datos!C2484),Datos!C2484/$F$3*100,NA()),NA())</f>
        <v/>
      </c>
    </row>
    <row r="2485">
      <c r="A2485" s="7">
        <f>IFERROR(Datos!A2485,"")</f>
        <v/>
      </c>
      <c r="B2485" s="27">
        <f>IFERROR(IF(ISNUMBER(Datos!B2485),Datos!B2485/$F$2*100,NA()),NA())</f>
        <v/>
      </c>
      <c r="C2485" s="27">
        <f>IFERROR(IF(ISNUMBER(Datos!C2485),Datos!C2485/$F$3*100,NA()),NA())</f>
        <v/>
      </c>
    </row>
    <row r="2486">
      <c r="A2486" s="7">
        <f>IFERROR(Datos!A2486,"")</f>
        <v/>
      </c>
      <c r="B2486" s="27">
        <f>IFERROR(IF(ISNUMBER(Datos!B2486),Datos!B2486/$F$2*100,NA()),NA())</f>
        <v/>
      </c>
      <c r="C2486" s="27">
        <f>IFERROR(IF(ISNUMBER(Datos!C2486),Datos!C2486/$F$3*100,NA()),NA())</f>
        <v/>
      </c>
    </row>
    <row r="2487">
      <c r="A2487" s="7">
        <f>IFERROR(Datos!A2487,"")</f>
        <v/>
      </c>
      <c r="B2487" s="27">
        <f>IFERROR(IF(ISNUMBER(Datos!B2487),Datos!B2487/$F$2*100,NA()),NA())</f>
        <v/>
      </c>
      <c r="C2487" s="27">
        <f>IFERROR(IF(ISNUMBER(Datos!C2487),Datos!C2487/$F$3*100,NA()),NA())</f>
        <v/>
      </c>
    </row>
    <row r="2488">
      <c r="A2488" s="7">
        <f>IFERROR(Datos!A2488,"")</f>
        <v/>
      </c>
      <c r="B2488" s="27">
        <f>IFERROR(IF(ISNUMBER(Datos!B2488),Datos!B2488/$F$2*100,NA()),NA())</f>
        <v/>
      </c>
      <c r="C2488" s="27">
        <f>IFERROR(IF(ISNUMBER(Datos!C2488),Datos!C2488/$F$3*100,NA()),NA())</f>
        <v/>
      </c>
    </row>
    <row r="2489">
      <c r="A2489" s="7">
        <f>IFERROR(Datos!A2489,"")</f>
        <v/>
      </c>
      <c r="B2489" s="27">
        <f>IFERROR(IF(ISNUMBER(Datos!B2489),Datos!B2489/$F$2*100,NA()),NA())</f>
        <v/>
      </c>
      <c r="C2489" s="27">
        <f>IFERROR(IF(ISNUMBER(Datos!C2489),Datos!C2489/$F$3*100,NA()),NA())</f>
        <v/>
      </c>
    </row>
    <row r="2490">
      <c r="A2490" s="7">
        <f>IFERROR(Datos!A2490,"")</f>
        <v/>
      </c>
      <c r="B2490" s="27">
        <f>IFERROR(IF(ISNUMBER(Datos!B2490),Datos!B2490/$F$2*100,NA()),NA())</f>
        <v/>
      </c>
      <c r="C2490" s="27">
        <f>IFERROR(IF(ISNUMBER(Datos!C2490),Datos!C2490/$F$3*100,NA()),NA())</f>
        <v/>
      </c>
    </row>
    <row r="2491">
      <c r="A2491" s="7">
        <f>IFERROR(Datos!A2491,"")</f>
        <v/>
      </c>
      <c r="B2491" s="27">
        <f>IFERROR(IF(ISNUMBER(Datos!B2491),Datos!B2491/$F$2*100,NA()),NA())</f>
        <v/>
      </c>
      <c r="C2491" s="27">
        <f>IFERROR(IF(ISNUMBER(Datos!C2491),Datos!C2491/$F$3*100,NA()),NA())</f>
        <v/>
      </c>
    </row>
    <row r="2492">
      <c r="A2492" s="7">
        <f>IFERROR(Datos!A2492,"")</f>
        <v/>
      </c>
      <c r="B2492" s="27">
        <f>IFERROR(IF(ISNUMBER(Datos!B2492),Datos!B2492/$F$2*100,NA()),NA())</f>
        <v/>
      </c>
      <c r="C2492" s="27">
        <f>IFERROR(IF(ISNUMBER(Datos!C2492),Datos!C2492/$F$3*100,NA()),NA())</f>
        <v/>
      </c>
    </row>
    <row r="2493">
      <c r="A2493" s="7">
        <f>IFERROR(Datos!A2493,"")</f>
        <v/>
      </c>
      <c r="B2493" s="27">
        <f>IFERROR(IF(ISNUMBER(Datos!B2493),Datos!B2493/$F$2*100,NA()),NA())</f>
        <v/>
      </c>
      <c r="C2493" s="27">
        <f>IFERROR(IF(ISNUMBER(Datos!C2493),Datos!C2493/$F$3*100,NA()),NA())</f>
        <v/>
      </c>
    </row>
    <row r="2494">
      <c r="A2494" s="7">
        <f>IFERROR(Datos!A2494,"")</f>
        <v/>
      </c>
      <c r="B2494" s="27">
        <f>IFERROR(IF(ISNUMBER(Datos!B2494),Datos!B2494/$F$2*100,NA()),NA())</f>
        <v/>
      </c>
      <c r="C2494" s="27">
        <f>IFERROR(IF(ISNUMBER(Datos!C2494),Datos!C2494/$F$3*100,NA()),NA())</f>
        <v/>
      </c>
    </row>
    <row r="2495">
      <c r="A2495" s="7">
        <f>IFERROR(Datos!A2495,"")</f>
        <v/>
      </c>
      <c r="B2495" s="27">
        <f>IFERROR(IF(ISNUMBER(Datos!B2495),Datos!B2495/$F$2*100,NA()),NA())</f>
        <v/>
      </c>
      <c r="C2495" s="27">
        <f>IFERROR(IF(ISNUMBER(Datos!C2495),Datos!C2495/$F$3*100,NA()),NA())</f>
        <v/>
      </c>
    </row>
    <row r="2496">
      <c r="A2496" s="7">
        <f>IFERROR(Datos!A2496,"")</f>
        <v/>
      </c>
      <c r="B2496" s="27">
        <f>IFERROR(IF(ISNUMBER(Datos!B2496),Datos!B2496/$F$2*100,NA()),NA())</f>
        <v/>
      </c>
      <c r="C2496" s="27">
        <f>IFERROR(IF(ISNUMBER(Datos!C2496),Datos!C2496/$F$3*100,NA()),NA())</f>
        <v/>
      </c>
    </row>
    <row r="2497">
      <c r="A2497" s="7">
        <f>IFERROR(Datos!A2497,"")</f>
        <v/>
      </c>
      <c r="B2497" s="27">
        <f>IFERROR(IF(ISNUMBER(Datos!B2497),Datos!B2497/$F$2*100,NA()),NA())</f>
        <v/>
      </c>
      <c r="C2497" s="27">
        <f>IFERROR(IF(ISNUMBER(Datos!C2497),Datos!C2497/$F$3*100,NA()),NA())</f>
        <v/>
      </c>
    </row>
    <row r="2498">
      <c r="A2498" s="7">
        <f>IFERROR(Datos!A2498,"")</f>
        <v/>
      </c>
      <c r="B2498" s="27">
        <f>IFERROR(IF(ISNUMBER(Datos!B2498),Datos!B2498/$F$2*100,NA()),NA())</f>
        <v/>
      </c>
      <c r="C2498" s="27">
        <f>IFERROR(IF(ISNUMBER(Datos!C2498),Datos!C2498/$F$3*100,NA()),NA())</f>
        <v/>
      </c>
    </row>
    <row r="2499">
      <c r="A2499" s="7">
        <f>IFERROR(Datos!A2499,"")</f>
        <v/>
      </c>
      <c r="B2499" s="27">
        <f>IFERROR(IF(ISNUMBER(Datos!B2499),Datos!B2499/$F$2*100,NA()),NA())</f>
        <v/>
      </c>
      <c r="C2499" s="27">
        <f>IFERROR(IF(ISNUMBER(Datos!C2499),Datos!C2499/$F$3*100,NA()),NA())</f>
        <v/>
      </c>
    </row>
    <row r="2500">
      <c r="A2500" s="7">
        <f>IFERROR(Datos!A2500,"")</f>
        <v/>
      </c>
      <c r="B2500" s="27">
        <f>IFERROR(IF(ISNUMBER(Datos!B2500),Datos!B2500/$F$2*100,NA()),NA())</f>
        <v/>
      </c>
      <c r="C2500" s="27">
        <f>IFERROR(IF(ISNUMBER(Datos!C2500),Datos!C2500/$F$3*100,NA()),NA())</f>
        <v/>
      </c>
    </row>
    <row r="2501">
      <c r="A2501" s="7">
        <f>IFERROR(Datos!A2501,"")</f>
        <v/>
      </c>
      <c r="B2501" s="27">
        <f>IFERROR(IF(ISNUMBER(Datos!B2501),Datos!B2501/$F$2*100,NA()),NA())</f>
        <v/>
      </c>
      <c r="C2501" s="27">
        <f>IFERROR(IF(ISNUMBER(Datos!C2501),Datos!C2501/$F$3*100,NA()),NA())</f>
        <v/>
      </c>
    </row>
    <row r="2502">
      <c r="A2502" s="7">
        <f>IFERROR(Datos!A2502,"")</f>
        <v/>
      </c>
      <c r="B2502" s="27">
        <f>IFERROR(IF(ISNUMBER(Datos!B2502),Datos!B2502/$F$2*100,NA()),NA())</f>
        <v/>
      </c>
      <c r="C2502" s="27">
        <f>IFERROR(IF(ISNUMBER(Datos!C2502),Datos!C2502/$F$3*100,NA()),NA())</f>
        <v/>
      </c>
    </row>
    <row r="2503">
      <c r="A2503" s="7">
        <f>IFERROR(Datos!A2503,"")</f>
        <v/>
      </c>
      <c r="B2503" s="27">
        <f>IFERROR(IF(ISNUMBER(Datos!B2503),Datos!B2503/$F$2*100,NA()),NA())</f>
        <v/>
      </c>
      <c r="C2503" s="27">
        <f>IFERROR(IF(ISNUMBER(Datos!C2503),Datos!C2503/$F$3*100,NA()),NA())</f>
        <v/>
      </c>
    </row>
    <row r="2504">
      <c r="A2504" s="7">
        <f>IFERROR(Datos!A2504,"")</f>
        <v/>
      </c>
      <c r="B2504" s="27">
        <f>IFERROR(IF(ISNUMBER(Datos!B2504),Datos!B2504/$F$2*100,NA()),NA())</f>
        <v/>
      </c>
      <c r="C2504" s="27">
        <f>IFERROR(IF(ISNUMBER(Datos!C2504),Datos!C2504/$F$3*100,NA()),NA())</f>
        <v/>
      </c>
    </row>
    <row r="2505">
      <c r="A2505" s="7">
        <f>IFERROR(Datos!A2505,"")</f>
        <v/>
      </c>
      <c r="B2505" s="27">
        <f>IFERROR(IF(ISNUMBER(Datos!B2505),Datos!B2505/$F$2*100,NA()),NA())</f>
        <v/>
      </c>
      <c r="C2505" s="27">
        <f>IFERROR(IF(ISNUMBER(Datos!C2505),Datos!C2505/$F$3*100,NA()),NA())</f>
        <v/>
      </c>
    </row>
    <row r="2506">
      <c r="A2506" s="7">
        <f>IFERROR(Datos!A2506,"")</f>
        <v/>
      </c>
      <c r="B2506" s="27">
        <f>IFERROR(IF(ISNUMBER(Datos!B2506),Datos!B2506/$F$2*100,NA()),NA())</f>
        <v/>
      </c>
      <c r="C2506" s="27">
        <f>IFERROR(IF(ISNUMBER(Datos!C2506),Datos!C2506/$F$3*100,NA()),NA())</f>
        <v/>
      </c>
    </row>
    <row r="2507">
      <c r="A2507" s="7">
        <f>IFERROR(Datos!A2507,"")</f>
        <v/>
      </c>
      <c r="B2507" s="27">
        <f>IFERROR(IF(ISNUMBER(Datos!B2507),Datos!B2507/$F$2*100,NA()),NA())</f>
        <v/>
      </c>
      <c r="C2507" s="27">
        <f>IFERROR(IF(ISNUMBER(Datos!C2507),Datos!C2507/$F$3*100,NA()),NA())</f>
        <v/>
      </c>
    </row>
    <row r="2508">
      <c r="A2508" s="7">
        <f>IFERROR(Datos!A2508,"")</f>
        <v/>
      </c>
      <c r="B2508" s="27">
        <f>IFERROR(IF(ISNUMBER(Datos!B2508),Datos!B2508/$F$2*100,NA()),NA())</f>
        <v/>
      </c>
      <c r="C2508" s="27">
        <f>IFERROR(IF(ISNUMBER(Datos!C2508),Datos!C2508/$F$3*100,NA()),NA())</f>
        <v/>
      </c>
    </row>
    <row r="2509">
      <c r="A2509" s="7">
        <f>IFERROR(Datos!A2509,"")</f>
        <v/>
      </c>
      <c r="B2509" s="27">
        <f>IFERROR(IF(ISNUMBER(Datos!B2509),Datos!B2509/$F$2*100,NA()),NA())</f>
        <v/>
      </c>
      <c r="C2509" s="27">
        <f>IFERROR(IF(ISNUMBER(Datos!C2509),Datos!C2509/$F$3*100,NA()),NA())</f>
        <v/>
      </c>
    </row>
    <row r="2510">
      <c r="A2510" s="7">
        <f>IFERROR(Datos!A2510,"")</f>
        <v/>
      </c>
      <c r="B2510" s="27">
        <f>IFERROR(IF(ISNUMBER(Datos!B2510),Datos!B2510/$F$2*100,NA()),NA())</f>
        <v/>
      </c>
      <c r="C2510" s="27">
        <f>IFERROR(IF(ISNUMBER(Datos!C2510),Datos!C2510/$F$3*100,NA()),NA())</f>
        <v/>
      </c>
    </row>
    <row r="2511">
      <c r="A2511" s="7">
        <f>IFERROR(Datos!A2511,"")</f>
        <v/>
      </c>
      <c r="B2511" s="27">
        <f>IFERROR(IF(ISNUMBER(Datos!B2511),Datos!B2511/$F$2*100,NA()),NA())</f>
        <v/>
      </c>
      <c r="C2511" s="27">
        <f>IFERROR(IF(ISNUMBER(Datos!C2511),Datos!C2511/$F$3*100,NA()),NA())</f>
        <v/>
      </c>
    </row>
    <row r="2512">
      <c r="A2512" s="7">
        <f>IFERROR(Datos!A2512,"")</f>
        <v/>
      </c>
      <c r="B2512" s="27">
        <f>IFERROR(IF(ISNUMBER(Datos!B2512),Datos!B2512/$F$2*100,NA()),NA())</f>
        <v/>
      </c>
      <c r="C2512" s="27">
        <f>IFERROR(IF(ISNUMBER(Datos!C2512),Datos!C2512/$F$3*100,NA()),NA())</f>
        <v/>
      </c>
    </row>
    <row r="2513">
      <c r="A2513" s="7">
        <f>IFERROR(Datos!A2513,"")</f>
        <v/>
      </c>
      <c r="B2513" s="27">
        <f>IFERROR(IF(ISNUMBER(Datos!B2513),Datos!B2513/$F$2*100,NA()),NA())</f>
        <v/>
      </c>
      <c r="C2513" s="27">
        <f>IFERROR(IF(ISNUMBER(Datos!C2513),Datos!C2513/$F$3*100,NA()),NA())</f>
        <v/>
      </c>
    </row>
    <row r="2514">
      <c r="A2514" s="7">
        <f>IFERROR(Datos!A2514,"")</f>
        <v/>
      </c>
      <c r="B2514" s="27">
        <f>IFERROR(IF(ISNUMBER(Datos!B2514),Datos!B2514/$F$2*100,NA()),NA())</f>
        <v/>
      </c>
      <c r="C2514" s="27">
        <f>IFERROR(IF(ISNUMBER(Datos!C2514),Datos!C2514/$F$3*100,NA()),NA())</f>
        <v/>
      </c>
    </row>
    <row r="2515">
      <c r="A2515" s="7">
        <f>IFERROR(Datos!A2515,"")</f>
        <v/>
      </c>
      <c r="B2515" s="27">
        <f>IFERROR(IF(ISNUMBER(Datos!B2515),Datos!B2515/$F$2*100,NA()),NA())</f>
        <v/>
      </c>
      <c r="C2515" s="27">
        <f>IFERROR(IF(ISNUMBER(Datos!C2515),Datos!C2515/$F$3*100,NA()),NA())</f>
        <v/>
      </c>
    </row>
    <row r="2516">
      <c r="A2516" s="7">
        <f>IFERROR(Datos!A2516,"")</f>
        <v/>
      </c>
      <c r="B2516" s="27">
        <f>IFERROR(IF(ISNUMBER(Datos!B2516),Datos!B2516/$F$2*100,NA()),NA())</f>
        <v/>
      </c>
      <c r="C2516" s="27">
        <f>IFERROR(IF(ISNUMBER(Datos!C2516),Datos!C2516/$F$3*100,NA()),NA())</f>
        <v/>
      </c>
    </row>
    <row r="2517">
      <c r="A2517" s="7">
        <f>IFERROR(Datos!A2517,"")</f>
        <v/>
      </c>
      <c r="B2517" s="27">
        <f>IFERROR(IF(ISNUMBER(Datos!B2517),Datos!B2517/$F$2*100,NA()),NA())</f>
        <v/>
      </c>
      <c r="C2517" s="27">
        <f>IFERROR(IF(ISNUMBER(Datos!C2517),Datos!C2517/$F$3*100,NA()),NA())</f>
        <v/>
      </c>
    </row>
    <row r="2518">
      <c r="A2518" s="7">
        <f>IFERROR(Datos!A2518,"")</f>
        <v/>
      </c>
      <c r="B2518" s="27">
        <f>IFERROR(IF(ISNUMBER(Datos!B2518),Datos!B2518/$F$2*100,NA()),NA())</f>
        <v/>
      </c>
      <c r="C2518" s="27">
        <f>IFERROR(IF(ISNUMBER(Datos!C2518),Datos!C2518/$F$3*100,NA()),NA())</f>
        <v/>
      </c>
    </row>
    <row r="2519">
      <c r="A2519" s="7">
        <f>IFERROR(Datos!A2519,"")</f>
        <v/>
      </c>
      <c r="B2519" s="27">
        <f>IFERROR(IF(ISNUMBER(Datos!B2519),Datos!B2519/$F$2*100,NA()),NA())</f>
        <v/>
      </c>
      <c r="C2519" s="27">
        <f>IFERROR(IF(ISNUMBER(Datos!C2519),Datos!C2519/$F$3*100,NA()),NA())</f>
        <v/>
      </c>
    </row>
    <row r="2520">
      <c r="A2520" s="7">
        <f>IFERROR(Datos!A2520,"")</f>
        <v/>
      </c>
      <c r="B2520" s="27">
        <f>IFERROR(IF(ISNUMBER(Datos!B2520),Datos!B2520/$F$2*100,NA()),NA())</f>
        <v/>
      </c>
      <c r="C2520" s="27">
        <f>IFERROR(IF(ISNUMBER(Datos!C2520),Datos!C2520/$F$3*100,NA()),NA())</f>
        <v/>
      </c>
    </row>
    <row r="2521">
      <c r="A2521" s="7">
        <f>IFERROR(Datos!A2521,"")</f>
        <v/>
      </c>
      <c r="B2521" s="27">
        <f>IFERROR(IF(ISNUMBER(Datos!B2521),Datos!B2521/$F$2*100,NA()),NA())</f>
        <v/>
      </c>
      <c r="C2521" s="27">
        <f>IFERROR(IF(ISNUMBER(Datos!C2521),Datos!C2521/$F$3*100,NA()),NA())</f>
        <v/>
      </c>
    </row>
    <row r="2522">
      <c r="A2522" s="7">
        <f>IFERROR(Datos!A2522,"")</f>
        <v/>
      </c>
      <c r="B2522" s="27">
        <f>IFERROR(IF(ISNUMBER(Datos!B2522),Datos!B2522/$F$2*100,NA()),NA())</f>
        <v/>
      </c>
      <c r="C2522" s="27">
        <f>IFERROR(IF(ISNUMBER(Datos!C2522),Datos!C2522/$F$3*100,NA()),NA())</f>
        <v/>
      </c>
    </row>
    <row r="2523">
      <c r="A2523" s="7">
        <f>IFERROR(Datos!A2523,"")</f>
        <v/>
      </c>
      <c r="B2523" s="27">
        <f>IFERROR(IF(ISNUMBER(Datos!B2523),Datos!B2523/$F$2*100,NA()),NA())</f>
        <v/>
      </c>
      <c r="C2523" s="27">
        <f>IFERROR(IF(ISNUMBER(Datos!C2523),Datos!C2523/$F$3*100,NA()),NA())</f>
        <v/>
      </c>
    </row>
    <row r="2524">
      <c r="A2524" s="7">
        <f>IFERROR(Datos!A2524,"")</f>
        <v/>
      </c>
      <c r="B2524" s="27">
        <f>IFERROR(IF(ISNUMBER(Datos!B2524),Datos!B2524/$F$2*100,NA()),NA())</f>
        <v/>
      </c>
      <c r="C2524" s="27">
        <f>IFERROR(IF(ISNUMBER(Datos!C2524),Datos!C2524/$F$3*100,NA()),NA())</f>
        <v/>
      </c>
    </row>
    <row r="2525">
      <c r="A2525" s="7">
        <f>IFERROR(Datos!A2525,"")</f>
        <v/>
      </c>
      <c r="B2525" s="27">
        <f>IFERROR(IF(ISNUMBER(Datos!B2525),Datos!B2525/$F$2*100,NA()),NA())</f>
        <v/>
      </c>
      <c r="C2525" s="27">
        <f>IFERROR(IF(ISNUMBER(Datos!C2525),Datos!C2525/$F$3*100,NA()),NA())</f>
        <v/>
      </c>
    </row>
    <row r="2526">
      <c r="A2526" s="7">
        <f>IFERROR(Datos!A2526,"")</f>
        <v/>
      </c>
      <c r="B2526" s="27">
        <f>IFERROR(IF(ISNUMBER(Datos!B2526),Datos!B2526/$F$2*100,NA()),NA())</f>
        <v/>
      </c>
      <c r="C2526" s="27">
        <f>IFERROR(IF(ISNUMBER(Datos!C2526),Datos!C2526/$F$3*100,NA()),NA())</f>
        <v/>
      </c>
    </row>
    <row r="2527">
      <c r="A2527" s="7">
        <f>IFERROR(Datos!A2527,"")</f>
        <v/>
      </c>
      <c r="B2527" s="27">
        <f>IFERROR(IF(ISNUMBER(Datos!B2527),Datos!B2527/$F$2*100,NA()),NA())</f>
        <v/>
      </c>
      <c r="C2527" s="27">
        <f>IFERROR(IF(ISNUMBER(Datos!C2527),Datos!C2527/$F$3*100,NA()),NA())</f>
        <v/>
      </c>
    </row>
    <row r="2528">
      <c r="A2528" s="7">
        <f>IFERROR(Datos!A2528,"")</f>
        <v/>
      </c>
      <c r="B2528" s="27">
        <f>IFERROR(IF(ISNUMBER(Datos!B2528),Datos!B2528/$F$2*100,NA()),NA())</f>
        <v/>
      </c>
      <c r="C2528" s="27">
        <f>IFERROR(IF(ISNUMBER(Datos!C2528),Datos!C2528/$F$3*100,NA()),NA())</f>
        <v/>
      </c>
    </row>
    <row r="2529">
      <c r="A2529" s="7">
        <f>IFERROR(Datos!A2529,"")</f>
        <v/>
      </c>
      <c r="B2529" s="27">
        <f>IFERROR(IF(ISNUMBER(Datos!B2529),Datos!B2529/$F$2*100,NA()),NA())</f>
        <v/>
      </c>
      <c r="C2529" s="27">
        <f>IFERROR(IF(ISNUMBER(Datos!C2529),Datos!C2529/$F$3*100,NA()),NA())</f>
        <v/>
      </c>
    </row>
    <row r="2530">
      <c r="A2530" s="7">
        <f>IFERROR(Datos!A2530,"")</f>
        <v/>
      </c>
      <c r="B2530" s="27">
        <f>IFERROR(IF(ISNUMBER(Datos!B2530),Datos!B2530/$F$2*100,NA()),NA())</f>
        <v/>
      </c>
      <c r="C2530" s="27">
        <f>IFERROR(IF(ISNUMBER(Datos!C2530),Datos!C2530/$F$3*100,NA()),NA())</f>
        <v/>
      </c>
    </row>
    <row r="2531">
      <c r="A2531" s="7">
        <f>IFERROR(Datos!A2531,"")</f>
        <v/>
      </c>
      <c r="B2531" s="27">
        <f>IFERROR(IF(ISNUMBER(Datos!B2531),Datos!B2531/$F$2*100,NA()),NA())</f>
        <v/>
      </c>
      <c r="C2531" s="27">
        <f>IFERROR(IF(ISNUMBER(Datos!C2531),Datos!C2531/$F$3*100,NA()),NA())</f>
        <v/>
      </c>
    </row>
    <row r="2532">
      <c r="A2532" s="7">
        <f>IFERROR(Datos!A2532,"")</f>
        <v/>
      </c>
      <c r="B2532" s="27">
        <f>IFERROR(IF(ISNUMBER(Datos!B2532),Datos!B2532/$F$2*100,NA()),NA())</f>
        <v/>
      </c>
      <c r="C2532" s="27">
        <f>IFERROR(IF(ISNUMBER(Datos!C2532),Datos!C2532/$F$3*100,NA()),NA())</f>
        <v/>
      </c>
    </row>
    <row r="2533">
      <c r="A2533" s="7">
        <f>IFERROR(Datos!A2533,"")</f>
        <v/>
      </c>
      <c r="B2533" s="27">
        <f>IFERROR(IF(ISNUMBER(Datos!B2533),Datos!B2533/$F$2*100,NA()),NA())</f>
        <v/>
      </c>
      <c r="C2533" s="27">
        <f>IFERROR(IF(ISNUMBER(Datos!C2533),Datos!C2533/$F$3*100,NA()),NA())</f>
        <v/>
      </c>
    </row>
    <row r="2534">
      <c r="A2534" s="7">
        <f>IFERROR(Datos!A2534,"")</f>
        <v/>
      </c>
      <c r="B2534" s="27">
        <f>IFERROR(IF(ISNUMBER(Datos!B2534),Datos!B2534/$F$2*100,NA()),NA())</f>
        <v/>
      </c>
      <c r="C2534" s="27">
        <f>IFERROR(IF(ISNUMBER(Datos!C2534),Datos!C2534/$F$3*100,NA()),NA())</f>
        <v/>
      </c>
    </row>
    <row r="2535">
      <c r="A2535" s="7">
        <f>IFERROR(Datos!A2535,"")</f>
        <v/>
      </c>
      <c r="B2535" s="27">
        <f>IFERROR(IF(ISNUMBER(Datos!B2535),Datos!B2535/$F$2*100,NA()),NA())</f>
        <v/>
      </c>
      <c r="C2535" s="27">
        <f>IFERROR(IF(ISNUMBER(Datos!C2535),Datos!C2535/$F$3*100,NA()),NA())</f>
        <v/>
      </c>
    </row>
    <row r="2536">
      <c r="A2536" s="7">
        <f>IFERROR(Datos!A2536,"")</f>
        <v/>
      </c>
      <c r="B2536" s="27">
        <f>IFERROR(IF(ISNUMBER(Datos!B2536),Datos!B2536/$F$2*100,NA()),NA())</f>
        <v/>
      </c>
      <c r="C2536" s="27">
        <f>IFERROR(IF(ISNUMBER(Datos!C2536),Datos!C2536/$F$3*100,NA()),NA())</f>
        <v/>
      </c>
    </row>
    <row r="2537">
      <c r="A2537" s="7">
        <f>IFERROR(Datos!A2537,"")</f>
        <v/>
      </c>
      <c r="B2537" s="27">
        <f>IFERROR(IF(ISNUMBER(Datos!B2537),Datos!B2537/$F$2*100,NA()),NA())</f>
        <v/>
      </c>
      <c r="C2537" s="27">
        <f>IFERROR(IF(ISNUMBER(Datos!C2537),Datos!C2537/$F$3*100,NA()),NA())</f>
        <v/>
      </c>
    </row>
    <row r="2538">
      <c r="A2538" s="7">
        <f>IFERROR(Datos!A2538,"")</f>
        <v/>
      </c>
      <c r="B2538" s="27">
        <f>IFERROR(IF(ISNUMBER(Datos!B2538),Datos!B2538/$F$2*100,NA()),NA())</f>
        <v/>
      </c>
      <c r="C2538" s="27">
        <f>IFERROR(IF(ISNUMBER(Datos!C2538),Datos!C2538/$F$3*100,NA()),NA())</f>
        <v/>
      </c>
    </row>
    <row r="2539">
      <c r="A2539" s="7">
        <f>IFERROR(Datos!A2539,"")</f>
        <v/>
      </c>
      <c r="B2539" s="27">
        <f>IFERROR(IF(ISNUMBER(Datos!B2539),Datos!B2539/$F$2*100,NA()),NA())</f>
        <v/>
      </c>
      <c r="C2539" s="27">
        <f>IFERROR(IF(ISNUMBER(Datos!C2539),Datos!C2539/$F$3*100,NA()),NA())</f>
        <v/>
      </c>
    </row>
    <row r="2540">
      <c r="A2540" s="7">
        <f>IFERROR(Datos!A2540,"")</f>
        <v/>
      </c>
      <c r="B2540" s="27">
        <f>IFERROR(IF(ISNUMBER(Datos!B2540),Datos!B2540/$F$2*100,NA()),NA())</f>
        <v/>
      </c>
      <c r="C2540" s="27">
        <f>IFERROR(IF(ISNUMBER(Datos!C2540),Datos!C2540/$F$3*100,NA()),NA())</f>
        <v/>
      </c>
    </row>
    <row r="2541">
      <c r="A2541" s="7">
        <f>IFERROR(Datos!A2541,"")</f>
        <v/>
      </c>
      <c r="B2541" s="27">
        <f>IFERROR(IF(ISNUMBER(Datos!B2541),Datos!B2541/$F$2*100,NA()),NA())</f>
        <v/>
      </c>
      <c r="C2541" s="27">
        <f>IFERROR(IF(ISNUMBER(Datos!C2541),Datos!C2541/$F$3*100,NA()),NA())</f>
        <v/>
      </c>
    </row>
    <row r="2542">
      <c r="A2542" s="7">
        <f>IFERROR(Datos!A2542,"")</f>
        <v/>
      </c>
      <c r="B2542" s="27">
        <f>IFERROR(IF(ISNUMBER(Datos!B2542),Datos!B2542/$F$2*100,NA()),NA())</f>
        <v/>
      </c>
      <c r="C2542" s="27">
        <f>IFERROR(IF(ISNUMBER(Datos!C2542),Datos!C2542/$F$3*100,NA()),NA())</f>
        <v/>
      </c>
    </row>
    <row r="2543">
      <c r="A2543" s="7">
        <f>IFERROR(Datos!A2543,"")</f>
        <v/>
      </c>
      <c r="B2543" s="27">
        <f>IFERROR(IF(ISNUMBER(Datos!B2543),Datos!B2543/$F$2*100,NA()),NA())</f>
        <v/>
      </c>
      <c r="C2543" s="27">
        <f>IFERROR(IF(ISNUMBER(Datos!C2543),Datos!C2543/$F$3*100,NA()),NA())</f>
        <v/>
      </c>
    </row>
    <row r="2544">
      <c r="A2544" s="7">
        <f>IFERROR(Datos!A2544,"")</f>
        <v/>
      </c>
      <c r="B2544" s="27">
        <f>IFERROR(IF(ISNUMBER(Datos!B2544),Datos!B2544/$F$2*100,NA()),NA())</f>
        <v/>
      </c>
      <c r="C2544" s="27">
        <f>IFERROR(IF(ISNUMBER(Datos!C2544),Datos!C2544/$F$3*100,NA()),NA())</f>
        <v/>
      </c>
    </row>
    <row r="2545">
      <c r="A2545" s="7">
        <f>IFERROR(Datos!A2545,"")</f>
        <v/>
      </c>
      <c r="B2545" s="27">
        <f>IFERROR(IF(ISNUMBER(Datos!B2545),Datos!B2545/$F$2*100,NA()),NA())</f>
        <v/>
      </c>
      <c r="C2545" s="27">
        <f>IFERROR(IF(ISNUMBER(Datos!C2545),Datos!C2545/$F$3*100,NA()),NA())</f>
        <v/>
      </c>
    </row>
    <row r="2546">
      <c r="A2546" s="7">
        <f>IFERROR(Datos!A2546,"")</f>
        <v/>
      </c>
      <c r="B2546" s="27">
        <f>IFERROR(IF(ISNUMBER(Datos!B2546),Datos!B2546/$F$2*100,NA()),NA())</f>
        <v/>
      </c>
      <c r="C2546" s="27">
        <f>IFERROR(IF(ISNUMBER(Datos!C2546),Datos!C2546/$F$3*100,NA()),NA())</f>
        <v/>
      </c>
    </row>
    <row r="2547">
      <c r="A2547" s="7">
        <f>IFERROR(Datos!A2547,"")</f>
        <v/>
      </c>
      <c r="B2547" s="27">
        <f>IFERROR(IF(ISNUMBER(Datos!B2547),Datos!B2547/$F$2*100,NA()),NA())</f>
        <v/>
      </c>
      <c r="C2547" s="27">
        <f>IFERROR(IF(ISNUMBER(Datos!C2547),Datos!C2547/$F$3*100,NA()),NA())</f>
        <v/>
      </c>
    </row>
    <row r="2548">
      <c r="A2548" s="7">
        <f>IFERROR(Datos!A2548,"")</f>
        <v/>
      </c>
      <c r="B2548" s="27">
        <f>IFERROR(IF(ISNUMBER(Datos!B2548),Datos!B2548/$F$2*100,NA()),NA())</f>
        <v/>
      </c>
      <c r="C2548" s="27">
        <f>IFERROR(IF(ISNUMBER(Datos!C2548),Datos!C2548/$F$3*100,NA()),NA())</f>
        <v/>
      </c>
    </row>
    <row r="2549">
      <c r="A2549" s="7">
        <f>IFERROR(Datos!A2549,"")</f>
        <v/>
      </c>
      <c r="B2549" s="27">
        <f>IFERROR(IF(ISNUMBER(Datos!B2549),Datos!B2549/$F$2*100,NA()),NA())</f>
        <v/>
      </c>
      <c r="C2549" s="27">
        <f>IFERROR(IF(ISNUMBER(Datos!C2549),Datos!C2549/$F$3*100,NA()),NA())</f>
        <v/>
      </c>
    </row>
    <row r="2550">
      <c r="A2550" s="7">
        <f>IFERROR(Datos!A2550,"")</f>
        <v/>
      </c>
      <c r="B2550" s="27">
        <f>IFERROR(IF(ISNUMBER(Datos!B2550),Datos!B2550/$F$2*100,NA()),NA())</f>
        <v/>
      </c>
      <c r="C2550" s="27">
        <f>IFERROR(IF(ISNUMBER(Datos!C2550),Datos!C2550/$F$3*100,NA()),NA())</f>
        <v/>
      </c>
    </row>
    <row r="2551">
      <c r="A2551" s="7">
        <f>IFERROR(Datos!A2551,"")</f>
        <v/>
      </c>
      <c r="B2551" s="27">
        <f>IFERROR(IF(ISNUMBER(Datos!B2551),Datos!B2551/$F$2*100,NA()),NA())</f>
        <v/>
      </c>
      <c r="C2551" s="27">
        <f>IFERROR(IF(ISNUMBER(Datos!C2551),Datos!C2551/$F$3*100,NA()),NA())</f>
        <v/>
      </c>
    </row>
    <row r="2552">
      <c r="A2552" s="7">
        <f>IFERROR(Datos!A2552,"")</f>
        <v/>
      </c>
      <c r="B2552" s="27">
        <f>IFERROR(IF(ISNUMBER(Datos!B2552),Datos!B2552/$F$2*100,NA()),NA())</f>
        <v/>
      </c>
      <c r="C2552" s="27">
        <f>IFERROR(IF(ISNUMBER(Datos!C2552),Datos!C2552/$F$3*100,NA()),NA())</f>
        <v/>
      </c>
    </row>
    <row r="2553">
      <c r="A2553" s="7">
        <f>IFERROR(Datos!A2553,"")</f>
        <v/>
      </c>
      <c r="B2553" s="27">
        <f>IFERROR(IF(ISNUMBER(Datos!B2553),Datos!B2553/$F$2*100,NA()),NA())</f>
        <v/>
      </c>
      <c r="C2553" s="27">
        <f>IFERROR(IF(ISNUMBER(Datos!C2553),Datos!C2553/$F$3*100,NA()),NA())</f>
        <v/>
      </c>
    </row>
    <row r="2554">
      <c r="A2554" s="7">
        <f>IFERROR(Datos!A2554,"")</f>
        <v/>
      </c>
      <c r="B2554" s="27">
        <f>IFERROR(IF(ISNUMBER(Datos!B2554),Datos!B2554/$F$2*100,NA()),NA())</f>
        <v/>
      </c>
      <c r="C2554" s="27">
        <f>IFERROR(IF(ISNUMBER(Datos!C2554),Datos!C2554/$F$3*100,NA()),NA())</f>
        <v/>
      </c>
    </row>
    <row r="2555">
      <c r="A2555" s="7">
        <f>IFERROR(Datos!A2555,"")</f>
        <v/>
      </c>
      <c r="B2555" s="27">
        <f>IFERROR(IF(ISNUMBER(Datos!B2555),Datos!B2555/$F$2*100,NA()),NA())</f>
        <v/>
      </c>
      <c r="C2555" s="27">
        <f>IFERROR(IF(ISNUMBER(Datos!C2555),Datos!C2555/$F$3*100,NA()),NA())</f>
        <v/>
      </c>
    </row>
    <row r="2556">
      <c r="A2556" s="7">
        <f>IFERROR(Datos!A2556,"")</f>
        <v/>
      </c>
      <c r="B2556" s="27">
        <f>IFERROR(IF(ISNUMBER(Datos!B2556),Datos!B2556/$F$2*100,NA()),NA())</f>
        <v/>
      </c>
      <c r="C2556" s="27">
        <f>IFERROR(IF(ISNUMBER(Datos!C2556),Datos!C2556/$F$3*100,NA()),NA())</f>
        <v/>
      </c>
    </row>
    <row r="2557">
      <c r="A2557" s="7">
        <f>IFERROR(Datos!A2557,"")</f>
        <v/>
      </c>
      <c r="B2557" s="27">
        <f>IFERROR(IF(ISNUMBER(Datos!B2557),Datos!B2557/$F$2*100,NA()),NA())</f>
        <v/>
      </c>
      <c r="C2557" s="27">
        <f>IFERROR(IF(ISNUMBER(Datos!C2557),Datos!C2557/$F$3*100,NA()),NA())</f>
        <v/>
      </c>
    </row>
    <row r="2558">
      <c r="A2558" s="7">
        <f>IFERROR(Datos!A2558,"")</f>
        <v/>
      </c>
      <c r="B2558" s="27">
        <f>IFERROR(IF(ISNUMBER(Datos!B2558),Datos!B2558/$F$2*100,NA()),NA())</f>
        <v/>
      </c>
      <c r="C2558" s="27">
        <f>IFERROR(IF(ISNUMBER(Datos!C2558),Datos!C2558/$F$3*100,NA()),NA())</f>
        <v/>
      </c>
    </row>
    <row r="2559">
      <c r="A2559" s="7">
        <f>IFERROR(Datos!A2559,"")</f>
        <v/>
      </c>
      <c r="B2559" s="27">
        <f>IFERROR(IF(ISNUMBER(Datos!B2559),Datos!B2559/$F$2*100,NA()),NA())</f>
        <v/>
      </c>
      <c r="C2559" s="27">
        <f>IFERROR(IF(ISNUMBER(Datos!C2559),Datos!C2559/$F$3*100,NA()),NA())</f>
        <v/>
      </c>
    </row>
    <row r="2560">
      <c r="A2560" s="7">
        <f>IFERROR(Datos!A2560,"")</f>
        <v/>
      </c>
      <c r="B2560" s="27">
        <f>IFERROR(IF(ISNUMBER(Datos!B2560),Datos!B2560/$F$2*100,NA()),NA())</f>
        <v/>
      </c>
      <c r="C2560" s="27">
        <f>IFERROR(IF(ISNUMBER(Datos!C2560),Datos!C2560/$F$3*100,NA()),NA())</f>
        <v/>
      </c>
    </row>
    <row r="2561">
      <c r="A2561" s="7">
        <f>IFERROR(Datos!A2561,"")</f>
        <v/>
      </c>
      <c r="B2561" s="27">
        <f>IFERROR(IF(ISNUMBER(Datos!B2561),Datos!B2561/$F$2*100,NA()),NA())</f>
        <v/>
      </c>
      <c r="C2561" s="27">
        <f>IFERROR(IF(ISNUMBER(Datos!C2561),Datos!C2561/$F$3*100,NA()),NA())</f>
        <v/>
      </c>
    </row>
    <row r="2562">
      <c r="A2562" s="7">
        <f>IFERROR(Datos!A2562,"")</f>
        <v/>
      </c>
      <c r="B2562" s="27">
        <f>IFERROR(IF(ISNUMBER(Datos!B2562),Datos!B2562/$F$2*100,NA()),NA())</f>
        <v/>
      </c>
      <c r="C2562" s="27">
        <f>IFERROR(IF(ISNUMBER(Datos!C2562),Datos!C2562/$F$3*100,NA()),NA())</f>
        <v/>
      </c>
    </row>
    <row r="2563">
      <c r="A2563" s="7">
        <f>IFERROR(Datos!A2563,"")</f>
        <v/>
      </c>
      <c r="B2563" s="27">
        <f>IFERROR(IF(ISNUMBER(Datos!B2563),Datos!B2563/$F$2*100,NA()),NA())</f>
        <v/>
      </c>
      <c r="C2563" s="27">
        <f>IFERROR(IF(ISNUMBER(Datos!C2563),Datos!C2563/$F$3*100,NA()),NA())</f>
        <v/>
      </c>
    </row>
    <row r="2564">
      <c r="A2564" s="7">
        <f>IFERROR(Datos!A2564,"")</f>
        <v/>
      </c>
      <c r="B2564" s="27">
        <f>IFERROR(IF(ISNUMBER(Datos!B2564),Datos!B2564/$F$2*100,NA()),NA())</f>
        <v/>
      </c>
      <c r="C2564" s="27">
        <f>IFERROR(IF(ISNUMBER(Datos!C2564),Datos!C2564/$F$3*100,NA()),NA())</f>
        <v/>
      </c>
    </row>
    <row r="2565">
      <c r="A2565" s="7">
        <f>IFERROR(Datos!A2565,"")</f>
        <v/>
      </c>
      <c r="B2565" s="27">
        <f>IFERROR(IF(ISNUMBER(Datos!B2565),Datos!B2565/$F$2*100,NA()),NA())</f>
        <v/>
      </c>
      <c r="C2565" s="27">
        <f>IFERROR(IF(ISNUMBER(Datos!C2565),Datos!C2565/$F$3*100,NA()),NA())</f>
        <v/>
      </c>
    </row>
    <row r="2566">
      <c r="A2566" s="7">
        <f>IFERROR(Datos!A2566,"")</f>
        <v/>
      </c>
      <c r="B2566" s="27">
        <f>IFERROR(IF(ISNUMBER(Datos!B2566),Datos!B2566/$F$2*100,NA()),NA())</f>
        <v/>
      </c>
      <c r="C2566" s="27">
        <f>IFERROR(IF(ISNUMBER(Datos!C2566),Datos!C2566/$F$3*100,NA()),NA())</f>
        <v/>
      </c>
    </row>
    <row r="2567">
      <c r="A2567" s="7">
        <f>IFERROR(Datos!A2567,"")</f>
        <v/>
      </c>
      <c r="B2567" s="27">
        <f>IFERROR(IF(ISNUMBER(Datos!B2567),Datos!B2567/$F$2*100,NA()),NA())</f>
        <v/>
      </c>
      <c r="C2567" s="27">
        <f>IFERROR(IF(ISNUMBER(Datos!C2567),Datos!C2567/$F$3*100,NA()),NA())</f>
        <v/>
      </c>
    </row>
    <row r="2568">
      <c r="A2568" s="7">
        <f>IFERROR(Datos!A2568,"")</f>
        <v/>
      </c>
      <c r="B2568" s="27">
        <f>IFERROR(IF(ISNUMBER(Datos!B2568),Datos!B2568/$F$2*100,NA()),NA())</f>
        <v/>
      </c>
      <c r="C2568" s="27">
        <f>IFERROR(IF(ISNUMBER(Datos!C2568),Datos!C2568/$F$3*100,NA()),NA())</f>
        <v/>
      </c>
    </row>
    <row r="2569">
      <c r="A2569" s="7">
        <f>IFERROR(Datos!A2569,"")</f>
        <v/>
      </c>
      <c r="B2569" s="27">
        <f>IFERROR(IF(ISNUMBER(Datos!B2569),Datos!B2569/$F$2*100,NA()),NA())</f>
        <v/>
      </c>
      <c r="C2569" s="27">
        <f>IFERROR(IF(ISNUMBER(Datos!C2569),Datos!C2569/$F$3*100,NA()),NA())</f>
        <v/>
      </c>
    </row>
    <row r="2570">
      <c r="A2570" s="7">
        <f>IFERROR(Datos!A2570,"")</f>
        <v/>
      </c>
      <c r="B2570" s="27">
        <f>IFERROR(IF(ISNUMBER(Datos!B2570),Datos!B2570/$F$2*100,NA()),NA())</f>
        <v/>
      </c>
      <c r="C2570" s="27">
        <f>IFERROR(IF(ISNUMBER(Datos!C2570),Datos!C2570/$F$3*100,NA()),NA())</f>
        <v/>
      </c>
    </row>
    <row r="2571">
      <c r="A2571" s="7">
        <f>IFERROR(Datos!A2571,"")</f>
        <v/>
      </c>
      <c r="B2571" s="27">
        <f>IFERROR(IF(ISNUMBER(Datos!B2571),Datos!B2571/$F$2*100,NA()),NA())</f>
        <v/>
      </c>
      <c r="C2571" s="27">
        <f>IFERROR(IF(ISNUMBER(Datos!C2571),Datos!C2571/$F$3*100,NA()),NA())</f>
        <v/>
      </c>
    </row>
    <row r="2572">
      <c r="A2572" s="7">
        <f>IFERROR(Datos!A2572,"")</f>
        <v/>
      </c>
      <c r="B2572" s="27">
        <f>IFERROR(IF(ISNUMBER(Datos!B2572),Datos!B2572/$F$2*100,NA()),NA())</f>
        <v/>
      </c>
      <c r="C2572" s="27">
        <f>IFERROR(IF(ISNUMBER(Datos!C2572),Datos!C2572/$F$3*100,NA()),NA())</f>
        <v/>
      </c>
    </row>
    <row r="2573">
      <c r="A2573" s="7">
        <f>IFERROR(Datos!A2573,"")</f>
        <v/>
      </c>
      <c r="B2573" s="27">
        <f>IFERROR(IF(ISNUMBER(Datos!B2573),Datos!B2573/$F$2*100,NA()),NA())</f>
        <v/>
      </c>
      <c r="C2573" s="27">
        <f>IFERROR(IF(ISNUMBER(Datos!C2573),Datos!C2573/$F$3*100,NA()),NA())</f>
        <v/>
      </c>
    </row>
    <row r="2574">
      <c r="A2574" s="7">
        <f>IFERROR(Datos!A2574,"")</f>
        <v/>
      </c>
      <c r="B2574" s="27">
        <f>IFERROR(IF(ISNUMBER(Datos!B2574),Datos!B2574/$F$2*100,NA()),NA())</f>
        <v/>
      </c>
      <c r="C2574" s="27">
        <f>IFERROR(IF(ISNUMBER(Datos!C2574),Datos!C2574/$F$3*100,NA()),NA())</f>
        <v/>
      </c>
    </row>
    <row r="2575">
      <c r="A2575" s="7">
        <f>IFERROR(Datos!A2575,"")</f>
        <v/>
      </c>
      <c r="B2575" s="27">
        <f>IFERROR(IF(ISNUMBER(Datos!B2575),Datos!B2575/$F$2*100,NA()),NA())</f>
        <v/>
      </c>
      <c r="C2575" s="27">
        <f>IFERROR(IF(ISNUMBER(Datos!C2575),Datos!C2575/$F$3*100,NA()),NA())</f>
        <v/>
      </c>
    </row>
    <row r="2576">
      <c r="A2576" s="7">
        <f>IFERROR(Datos!A2576,"")</f>
        <v/>
      </c>
      <c r="B2576" s="27">
        <f>IFERROR(IF(ISNUMBER(Datos!B2576),Datos!B2576/$F$2*100,NA()),NA())</f>
        <v/>
      </c>
      <c r="C2576" s="27">
        <f>IFERROR(IF(ISNUMBER(Datos!C2576),Datos!C2576/$F$3*100,NA()),NA())</f>
        <v/>
      </c>
    </row>
    <row r="2577">
      <c r="A2577" s="7">
        <f>IFERROR(Datos!A2577,"")</f>
        <v/>
      </c>
      <c r="B2577" s="27">
        <f>IFERROR(IF(ISNUMBER(Datos!B2577),Datos!B2577/$F$2*100,NA()),NA())</f>
        <v/>
      </c>
      <c r="C2577" s="27">
        <f>IFERROR(IF(ISNUMBER(Datos!C2577),Datos!C2577/$F$3*100,NA()),NA())</f>
        <v/>
      </c>
    </row>
    <row r="2578">
      <c r="A2578" s="7">
        <f>IFERROR(Datos!A2578,"")</f>
        <v/>
      </c>
      <c r="B2578" s="27">
        <f>IFERROR(IF(ISNUMBER(Datos!B2578),Datos!B2578/$F$2*100,NA()),NA())</f>
        <v/>
      </c>
      <c r="C2578" s="27">
        <f>IFERROR(IF(ISNUMBER(Datos!C2578),Datos!C2578/$F$3*100,NA()),NA())</f>
        <v/>
      </c>
    </row>
    <row r="2579">
      <c r="A2579" s="7">
        <f>IFERROR(Datos!A2579,"")</f>
        <v/>
      </c>
      <c r="B2579" s="27">
        <f>IFERROR(IF(ISNUMBER(Datos!B2579),Datos!B2579/$F$2*100,NA()),NA())</f>
        <v/>
      </c>
      <c r="C2579" s="27">
        <f>IFERROR(IF(ISNUMBER(Datos!C2579),Datos!C2579/$F$3*100,NA()),NA())</f>
        <v/>
      </c>
    </row>
    <row r="2580">
      <c r="A2580" s="7">
        <f>IFERROR(Datos!A2580,"")</f>
        <v/>
      </c>
      <c r="B2580" s="27">
        <f>IFERROR(IF(ISNUMBER(Datos!B2580),Datos!B2580/$F$2*100,NA()),NA())</f>
        <v/>
      </c>
      <c r="C2580" s="27">
        <f>IFERROR(IF(ISNUMBER(Datos!C2580),Datos!C2580/$F$3*100,NA()),NA())</f>
        <v/>
      </c>
    </row>
    <row r="2581">
      <c r="A2581" s="7">
        <f>IFERROR(Datos!A2581,"")</f>
        <v/>
      </c>
      <c r="B2581" s="27">
        <f>IFERROR(IF(ISNUMBER(Datos!B2581),Datos!B2581/$F$2*100,NA()),NA())</f>
        <v/>
      </c>
      <c r="C2581" s="27">
        <f>IFERROR(IF(ISNUMBER(Datos!C2581),Datos!C2581/$F$3*100,NA()),NA())</f>
        <v/>
      </c>
    </row>
    <row r="2582">
      <c r="A2582" s="7">
        <f>IFERROR(Datos!A2582,"")</f>
        <v/>
      </c>
      <c r="B2582" s="27">
        <f>IFERROR(IF(ISNUMBER(Datos!B2582),Datos!B2582/$F$2*100,NA()),NA())</f>
        <v/>
      </c>
      <c r="C2582" s="27">
        <f>IFERROR(IF(ISNUMBER(Datos!C2582),Datos!C2582/$F$3*100,NA()),NA())</f>
        <v/>
      </c>
    </row>
    <row r="2583">
      <c r="A2583" s="7">
        <f>IFERROR(Datos!A2583,"")</f>
        <v/>
      </c>
      <c r="B2583" s="27">
        <f>IFERROR(IF(ISNUMBER(Datos!B2583),Datos!B2583/$F$2*100,NA()),NA())</f>
        <v/>
      </c>
      <c r="C2583" s="27">
        <f>IFERROR(IF(ISNUMBER(Datos!C2583),Datos!C2583/$F$3*100,NA()),NA())</f>
        <v/>
      </c>
    </row>
    <row r="2584">
      <c r="A2584" s="7">
        <f>IFERROR(Datos!A2584,"")</f>
        <v/>
      </c>
      <c r="B2584" s="27">
        <f>IFERROR(IF(ISNUMBER(Datos!B2584),Datos!B2584/$F$2*100,NA()),NA())</f>
        <v/>
      </c>
      <c r="C2584" s="27">
        <f>IFERROR(IF(ISNUMBER(Datos!C2584),Datos!C2584/$F$3*100,NA()),NA())</f>
        <v/>
      </c>
    </row>
    <row r="2585">
      <c r="A2585" s="7">
        <f>IFERROR(Datos!A2585,"")</f>
        <v/>
      </c>
      <c r="B2585" s="27">
        <f>IFERROR(IF(ISNUMBER(Datos!B2585),Datos!B2585/$F$2*100,NA()),NA())</f>
        <v/>
      </c>
      <c r="C2585" s="27">
        <f>IFERROR(IF(ISNUMBER(Datos!C2585),Datos!C2585/$F$3*100,NA()),NA())</f>
        <v/>
      </c>
    </row>
    <row r="2586">
      <c r="A2586" s="7">
        <f>IFERROR(Datos!A2586,"")</f>
        <v/>
      </c>
      <c r="B2586" s="27">
        <f>IFERROR(IF(ISNUMBER(Datos!B2586),Datos!B2586/$F$2*100,NA()),NA())</f>
        <v/>
      </c>
      <c r="C2586" s="27">
        <f>IFERROR(IF(ISNUMBER(Datos!C2586),Datos!C2586/$F$3*100,NA()),NA())</f>
        <v/>
      </c>
    </row>
    <row r="2587">
      <c r="A2587" s="7">
        <f>IFERROR(Datos!A2587,"")</f>
        <v/>
      </c>
      <c r="B2587" s="27">
        <f>IFERROR(IF(ISNUMBER(Datos!B2587),Datos!B2587/$F$2*100,NA()),NA())</f>
        <v/>
      </c>
      <c r="C2587" s="27">
        <f>IFERROR(IF(ISNUMBER(Datos!C2587),Datos!C2587/$F$3*100,NA()),NA())</f>
        <v/>
      </c>
    </row>
    <row r="2588">
      <c r="A2588" s="7">
        <f>IFERROR(Datos!A2588,"")</f>
        <v/>
      </c>
      <c r="B2588" s="27">
        <f>IFERROR(IF(ISNUMBER(Datos!B2588),Datos!B2588/$F$2*100,NA()),NA())</f>
        <v/>
      </c>
      <c r="C2588" s="27">
        <f>IFERROR(IF(ISNUMBER(Datos!C2588),Datos!C2588/$F$3*100,NA()),NA())</f>
        <v/>
      </c>
    </row>
    <row r="2589">
      <c r="A2589" s="7">
        <f>IFERROR(Datos!A2589,"")</f>
        <v/>
      </c>
      <c r="B2589" s="27">
        <f>IFERROR(IF(ISNUMBER(Datos!B2589),Datos!B2589/$F$2*100,NA()),NA())</f>
        <v/>
      </c>
      <c r="C2589" s="27">
        <f>IFERROR(IF(ISNUMBER(Datos!C2589),Datos!C2589/$F$3*100,NA()),NA())</f>
        <v/>
      </c>
    </row>
    <row r="2590">
      <c r="A2590" s="7">
        <f>IFERROR(Datos!A2590,"")</f>
        <v/>
      </c>
      <c r="B2590" s="27">
        <f>IFERROR(IF(ISNUMBER(Datos!B2590),Datos!B2590/$F$2*100,NA()),NA())</f>
        <v/>
      </c>
      <c r="C2590" s="27">
        <f>IFERROR(IF(ISNUMBER(Datos!C2590),Datos!C2590/$F$3*100,NA()),NA())</f>
        <v/>
      </c>
    </row>
    <row r="2591">
      <c r="A2591" s="7">
        <f>IFERROR(Datos!A2591,"")</f>
        <v/>
      </c>
      <c r="B2591" s="27">
        <f>IFERROR(IF(ISNUMBER(Datos!B2591),Datos!B2591/$F$2*100,NA()),NA())</f>
        <v/>
      </c>
      <c r="C2591" s="27">
        <f>IFERROR(IF(ISNUMBER(Datos!C2591),Datos!C2591/$F$3*100,NA()),NA())</f>
        <v/>
      </c>
    </row>
    <row r="2592">
      <c r="A2592" s="7">
        <f>IFERROR(Datos!A2592,"")</f>
        <v/>
      </c>
      <c r="B2592" s="27">
        <f>IFERROR(IF(ISNUMBER(Datos!B2592),Datos!B2592/$F$2*100,NA()),NA())</f>
        <v/>
      </c>
      <c r="C2592" s="27">
        <f>IFERROR(IF(ISNUMBER(Datos!C2592),Datos!C2592/$F$3*100,NA()),NA())</f>
        <v/>
      </c>
    </row>
    <row r="2593">
      <c r="A2593" s="7">
        <f>IFERROR(Datos!A2593,"")</f>
        <v/>
      </c>
      <c r="B2593" s="27">
        <f>IFERROR(IF(ISNUMBER(Datos!B2593),Datos!B2593/$F$2*100,NA()),NA())</f>
        <v/>
      </c>
      <c r="C2593" s="27">
        <f>IFERROR(IF(ISNUMBER(Datos!C2593),Datos!C2593/$F$3*100,NA()),NA())</f>
        <v/>
      </c>
    </row>
    <row r="2594">
      <c r="A2594" s="7">
        <f>IFERROR(Datos!A2594,"")</f>
        <v/>
      </c>
      <c r="B2594" s="27">
        <f>IFERROR(IF(ISNUMBER(Datos!B2594),Datos!B2594/$F$2*100,NA()),NA())</f>
        <v/>
      </c>
      <c r="C2594" s="27">
        <f>IFERROR(IF(ISNUMBER(Datos!C2594),Datos!C2594/$F$3*100,NA()),NA())</f>
        <v/>
      </c>
    </row>
    <row r="2595">
      <c r="A2595" s="7">
        <f>IFERROR(Datos!A2595,"")</f>
        <v/>
      </c>
      <c r="B2595" s="27">
        <f>IFERROR(IF(ISNUMBER(Datos!B2595),Datos!B2595/$F$2*100,NA()),NA())</f>
        <v/>
      </c>
      <c r="C2595" s="27">
        <f>IFERROR(IF(ISNUMBER(Datos!C2595),Datos!C2595/$F$3*100,NA()),NA())</f>
        <v/>
      </c>
    </row>
    <row r="2596">
      <c r="A2596" s="7">
        <f>IFERROR(Datos!A2596,"")</f>
        <v/>
      </c>
      <c r="B2596" s="27">
        <f>IFERROR(IF(ISNUMBER(Datos!B2596),Datos!B2596/$F$2*100,NA()),NA())</f>
        <v/>
      </c>
      <c r="C2596" s="27">
        <f>IFERROR(IF(ISNUMBER(Datos!C2596),Datos!C2596/$F$3*100,NA()),NA())</f>
        <v/>
      </c>
    </row>
    <row r="2597">
      <c r="A2597" s="7">
        <f>IFERROR(Datos!A2597,"")</f>
        <v/>
      </c>
      <c r="B2597" s="27">
        <f>IFERROR(IF(ISNUMBER(Datos!B2597),Datos!B2597/$F$2*100,NA()),NA())</f>
        <v/>
      </c>
      <c r="C2597" s="27">
        <f>IFERROR(IF(ISNUMBER(Datos!C2597),Datos!C2597/$F$3*100,NA()),NA())</f>
        <v/>
      </c>
    </row>
    <row r="2598">
      <c r="A2598" s="7">
        <f>IFERROR(Datos!A2598,"")</f>
        <v/>
      </c>
      <c r="B2598" s="27">
        <f>IFERROR(IF(ISNUMBER(Datos!B2598),Datos!B2598/$F$2*100,NA()),NA())</f>
        <v/>
      </c>
      <c r="C2598" s="27">
        <f>IFERROR(IF(ISNUMBER(Datos!C2598),Datos!C2598/$F$3*100,NA()),NA())</f>
        <v/>
      </c>
    </row>
    <row r="2599">
      <c r="A2599" s="7">
        <f>IFERROR(Datos!A2599,"")</f>
        <v/>
      </c>
      <c r="B2599" s="27">
        <f>IFERROR(IF(ISNUMBER(Datos!B2599),Datos!B2599/$F$2*100,NA()),NA())</f>
        <v/>
      </c>
      <c r="C2599" s="27">
        <f>IFERROR(IF(ISNUMBER(Datos!C2599),Datos!C2599/$F$3*100,NA()),NA())</f>
        <v/>
      </c>
    </row>
    <row r="2600">
      <c r="A2600" s="7">
        <f>IFERROR(Datos!A2600,"")</f>
        <v/>
      </c>
      <c r="B2600" s="27">
        <f>IFERROR(IF(ISNUMBER(Datos!B2600),Datos!B2600/$F$2*100,NA()),NA())</f>
        <v/>
      </c>
      <c r="C2600" s="27">
        <f>IFERROR(IF(ISNUMBER(Datos!C2600),Datos!C2600/$F$3*100,NA()),NA())</f>
        <v/>
      </c>
    </row>
    <row r="2601">
      <c r="A2601" s="7">
        <f>IFERROR(Datos!A2601,"")</f>
        <v/>
      </c>
      <c r="B2601" s="27">
        <f>IFERROR(IF(ISNUMBER(Datos!B2601),Datos!B2601/$F$2*100,NA()),NA())</f>
        <v/>
      </c>
      <c r="C2601" s="27">
        <f>IFERROR(IF(ISNUMBER(Datos!C2601),Datos!C2601/$F$3*100,NA()),NA())</f>
        <v/>
      </c>
    </row>
    <row r="2602">
      <c r="A2602" s="7">
        <f>IFERROR(Datos!A2602,"")</f>
        <v/>
      </c>
      <c r="B2602" s="27">
        <f>IFERROR(IF(ISNUMBER(Datos!B2602),Datos!B2602/$F$2*100,NA()),NA())</f>
        <v/>
      </c>
      <c r="C2602" s="27">
        <f>IFERROR(IF(ISNUMBER(Datos!C2602),Datos!C2602/$F$3*100,NA()),NA())</f>
        <v/>
      </c>
    </row>
    <row r="2603">
      <c r="A2603" s="7">
        <f>IFERROR(Datos!A2603,"")</f>
        <v/>
      </c>
      <c r="B2603" s="27">
        <f>IFERROR(IF(ISNUMBER(Datos!B2603),Datos!B2603/$F$2*100,NA()),NA())</f>
        <v/>
      </c>
      <c r="C2603" s="27">
        <f>IFERROR(IF(ISNUMBER(Datos!C2603),Datos!C2603/$F$3*100,NA()),NA())</f>
        <v/>
      </c>
    </row>
    <row r="2604">
      <c r="A2604" s="7">
        <f>IFERROR(Datos!A2604,"")</f>
        <v/>
      </c>
      <c r="B2604" s="27">
        <f>IFERROR(IF(ISNUMBER(Datos!B2604),Datos!B2604/$F$2*100,NA()),NA())</f>
        <v/>
      </c>
      <c r="C2604" s="27">
        <f>IFERROR(IF(ISNUMBER(Datos!C2604),Datos!C2604/$F$3*100,NA()),NA())</f>
        <v/>
      </c>
    </row>
    <row r="2605">
      <c r="A2605" s="7">
        <f>IFERROR(Datos!A2605,"")</f>
        <v/>
      </c>
      <c r="B2605" s="27">
        <f>IFERROR(IF(ISNUMBER(Datos!B2605),Datos!B2605/$F$2*100,NA()),NA())</f>
        <v/>
      </c>
      <c r="C2605" s="27">
        <f>IFERROR(IF(ISNUMBER(Datos!C2605),Datos!C2605/$F$3*100,NA()),NA())</f>
        <v/>
      </c>
    </row>
    <row r="2606">
      <c r="A2606" s="7">
        <f>IFERROR(Datos!A2606,"")</f>
        <v/>
      </c>
      <c r="B2606" s="27">
        <f>IFERROR(IF(ISNUMBER(Datos!B2606),Datos!B2606/$F$2*100,NA()),NA())</f>
        <v/>
      </c>
      <c r="C2606" s="27">
        <f>IFERROR(IF(ISNUMBER(Datos!C2606),Datos!C2606/$F$3*100,NA()),NA())</f>
        <v/>
      </c>
    </row>
    <row r="2607">
      <c r="A2607" s="7">
        <f>IFERROR(Datos!A2607,"")</f>
        <v/>
      </c>
      <c r="B2607" s="27">
        <f>IFERROR(IF(ISNUMBER(Datos!B2607),Datos!B2607/$F$2*100,NA()),NA())</f>
        <v/>
      </c>
      <c r="C2607" s="27">
        <f>IFERROR(IF(ISNUMBER(Datos!C2607),Datos!C2607/$F$3*100,NA()),NA())</f>
        <v/>
      </c>
    </row>
    <row r="2608">
      <c r="A2608" s="7">
        <f>IFERROR(Datos!A2608,"")</f>
        <v/>
      </c>
      <c r="B2608" s="27">
        <f>IFERROR(IF(ISNUMBER(Datos!B2608),Datos!B2608/$F$2*100,NA()),NA())</f>
        <v/>
      </c>
      <c r="C2608" s="27">
        <f>IFERROR(IF(ISNUMBER(Datos!C2608),Datos!C2608/$F$3*100,NA()),NA())</f>
        <v/>
      </c>
    </row>
    <row r="2609">
      <c r="A2609" s="7">
        <f>IFERROR(Datos!A2609,"")</f>
        <v/>
      </c>
      <c r="B2609" s="27">
        <f>IFERROR(IF(ISNUMBER(Datos!B2609),Datos!B2609/$F$2*100,NA()),NA())</f>
        <v/>
      </c>
      <c r="C2609" s="27">
        <f>IFERROR(IF(ISNUMBER(Datos!C2609),Datos!C2609/$F$3*100,NA()),NA())</f>
        <v/>
      </c>
    </row>
    <row r="2610">
      <c r="A2610" s="7">
        <f>IFERROR(Datos!A2610,"")</f>
        <v/>
      </c>
      <c r="B2610" s="27">
        <f>IFERROR(IF(ISNUMBER(Datos!B2610),Datos!B2610/$F$2*100,NA()),NA())</f>
        <v/>
      </c>
      <c r="C2610" s="27">
        <f>IFERROR(IF(ISNUMBER(Datos!C2610),Datos!C2610/$F$3*100,NA()),NA())</f>
        <v/>
      </c>
    </row>
    <row r="2611">
      <c r="A2611" s="7">
        <f>IFERROR(Datos!A2611,"")</f>
        <v/>
      </c>
      <c r="B2611" s="27">
        <f>IFERROR(IF(ISNUMBER(Datos!B2611),Datos!B2611/$F$2*100,NA()),NA())</f>
        <v/>
      </c>
      <c r="C2611" s="27">
        <f>IFERROR(IF(ISNUMBER(Datos!C2611),Datos!C2611/$F$3*100,NA()),NA())</f>
        <v/>
      </c>
    </row>
    <row r="2612">
      <c r="A2612" s="7">
        <f>IFERROR(Datos!A2612,"")</f>
        <v/>
      </c>
      <c r="B2612" s="27">
        <f>IFERROR(IF(ISNUMBER(Datos!B2612),Datos!B2612/$F$2*100,NA()),NA())</f>
        <v/>
      </c>
      <c r="C2612" s="27">
        <f>IFERROR(IF(ISNUMBER(Datos!C2612),Datos!C2612/$F$3*100,NA()),NA())</f>
        <v/>
      </c>
    </row>
    <row r="2613">
      <c r="A2613" s="7">
        <f>IFERROR(Datos!A2613,"")</f>
        <v/>
      </c>
      <c r="B2613" s="27">
        <f>IFERROR(IF(ISNUMBER(Datos!B2613),Datos!B2613/$F$2*100,NA()),NA())</f>
        <v/>
      </c>
      <c r="C2613" s="27">
        <f>IFERROR(IF(ISNUMBER(Datos!C2613),Datos!C2613/$F$3*100,NA()),NA())</f>
        <v/>
      </c>
    </row>
    <row r="2614">
      <c r="A2614" s="7">
        <f>IFERROR(Datos!A2614,"")</f>
        <v/>
      </c>
      <c r="B2614" s="27">
        <f>IFERROR(IF(ISNUMBER(Datos!B2614),Datos!B2614/$F$2*100,NA()),NA())</f>
        <v/>
      </c>
      <c r="C2614" s="27">
        <f>IFERROR(IF(ISNUMBER(Datos!C2614),Datos!C2614/$F$3*100,NA()),NA())</f>
        <v/>
      </c>
    </row>
    <row r="2615">
      <c r="A2615" s="7">
        <f>IFERROR(Datos!A2615,"")</f>
        <v/>
      </c>
      <c r="B2615" s="27">
        <f>IFERROR(IF(ISNUMBER(Datos!B2615),Datos!B2615/$F$2*100,NA()),NA())</f>
        <v/>
      </c>
      <c r="C2615" s="27">
        <f>IFERROR(IF(ISNUMBER(Datos!C2615),Datos!C2615/$F$3*100,NA()),NA())</f>
        <v/>
      </c>
    </row>
    <row r="2616">
      <c r="A2616" s="7">
        <f>IFERROR(Datos!A2616,"")</f>
        <v/>
      </c>
      <c r="B2616" s="27">
        <f>IFERROR(IF(ISNUMBER(Datos!B2616),Datos!B2616/$F$2*100,NA()),NA())</f>
        <v/>
      </c>
      <c r="C2616" s="27">
        <f>IFERROR(IF(ISNUMBER(Datos!C2616),Datos!C2616/$F$3*100,NA()),NA())</f>
        <v/>
      </c>
    </row>
    <row r="2617">
      <c r="A2617" s="7">
        <f>IFERROR(Datos!A2617,"")</f>
        <v/>
      </c>
      <c r="B2617" s="27">
        <f>IFERROR(IF(ISNUMBER(Datos!B2617),Datos!B2617/$F$2*100,NA()),NA())</f>
        <v/>
      </c>
      <c r="C2617" s="27">
        <f>IFERROR(IF(ISNUMBER(Datos!C2617),Datos!C2617/$F$3*100,NA()),NA())</f>
        <v/>
      </c>
    </row>
    <row r="2618">
      <c r="A2618" s="7">
        <f>IFERROR(Datos!A2618,"")</f>
        <v/>
      </c>
      <c r="B2618" s="27">
        <f>IFERROR(IF(ISNUMBER(Datos!B2618),Datos!B2618/$F$2*100,NA()),NA())</f>
        <v/>
      </c>
      <c r="C2618" s="27">
        <f>IFERROR(IF(ISNUMBER(Datos!C2618),Datos!C2618/$F$3*100,NA()),NA())</f>
        <v/>
      </c>
    </row>
    <row r="2619">
      <c r="A2619" s="7">
        <f>IFERROR(Datos!A2619,"")</f>
        <v/>
      </c>
      <c r="B2619" s="27">
        <f>IFERROR(IF(ISNUMBER(Datos!B2619),Datos!B2619/$F$2*100,NA()),NA())</f>
        <v/>
      </c>
      <c r="C2619" s="27">
        <f>IFERROR(IF(ISNUMBER(Datos!C2619),Datos!C2619/$F$3*100,NA()),NA())</f>
        <v/>
      </c>
    </row>
    <row r="2620">
      <c r="A2620" s="7">
        <f>IFERROR(Datos!A2620,"")</f>
        <v/>
      </c>
      <c r="B2620" s="27">
        <f>IFERROR(IF(ISNUMBER(Datos!B2620),Datos!B2620/$F$2*100,NA()),NA())</f>
        <v/>
      </c>
      <c r="C2620" s="27">
        <f>IFERROR(IF(ISNUMBER(Datos!C2620),Datos!C2620/$F$3*100,NA()),NA())</f>
        <v/>
      </c>
    </row>
    <row r="2621">
      <c r="A2621" s="7">
        <f>IFERROR(Datos!A2621,"")</f>
        <v/>
      </c>
      <c r="B2621" s="27">
        <f>IFERROR(IF(ISNUMBER(Datos!B2621),Datos!B2621/$F$2*100,NA()),NA())</f>
        <v/>
      </c>
      <c r="C2621" s="27">
        <f>IFERROR(IF(ISNUMBER(Datos!C2621),Datos!C2621/$F$3*100,NA()),NA())</f>
        <v/>
      </c>
    </row>
    <row r="2622">
      <c r="A2622" s="7">
        <f>IFERROR(Datos!A2622,"")</f>
        <v/>
      </c>
      <c r="B2622" s="27">
        <f>IFERROR(IF(ISNUMBER(Datos!B2622),Datos!B2622/$F$2*100,NA()),NA())</f>
        <v/>
      </c>
      <c r="C2622" s="27">
        <f>IFERROR(IF(ISNUMBER(Datos!C2622),Datos!C2622/$F$3*100,NA()),NA())</f>
        <v/>
      </c>
    </row>
    <row r="2623">
      <c r="A2623" s="7">
        <f>IFERROR(Datos!A2623,"")</f>
        <v/>
      </c>
      <c r="B2623" s="27">
        <f>IFERROR(IF(ISNUMBER(Datos!B2623),Datos!B2623/$F$2*100,NA()),NA())</f>
        <v/>
      </c>
      <c r="C2623" s="27">
        <f>IFERROR(IF(ISNUMBER(Datos!C2623),Datos!C2623/$F$3*100,NA()),NA())</f>
        <v/>
      </c>
    </row>
    <row r="2624">
      <c r="A2624" s="7">
        <f>IFERROR(Datos!A2624,"")</f>
        <v/>
      </c>
      <c r="B2624" s="27">
        <f>IFERROR(IF(ISNUMBER(Datos!B2624),Datos!B2624/$F$2*100,NA()),NA())</f>
        <v/>
      </c>
      <c r="C2624" s="27">
        <f>IFERROR(IF(ISNUMBER(Datos!C2624),Datos!C2624/$F$3*100,NA()),NA())</f>
        <v/>
      </c>
    </row>
    <row r="2625">
      <c r="A2625" s="7">
        <f>IFERROR(Datos!A2625,"")</f>
        <v/>
      </c>
      <c r="B2625" s="27">
        <f>IFERROR(IF(ISNUMBER(Datos!B2625),Datos!B2625/$F$2*100,NA()),NA())</f>
        <v/>
      </c>
      <c r="C2625" s="27">
        <f>IFERROR(IF(ISNUMBER(Datos!C2625),Datos!C2625/$F$3*100,NA()),NA())</f>
        <v/>
      </c>
    </row>
    <row r="2626">
      <c r="A2626" s="7">
        <f>IFERROR(Datos!A2626,"")</f>
        <v/>
      </c>
      <c r="B2626" s="27">
        <f>IFERROR(IF(ISNUMBER(Datos!B2626),Datos!B2626/$F$2*100,NA()),NA())</f>
        <v/>
      </c>
      <c r="C2626" s="27">
        <f>IFERROR(IF(ISNUMBER(Datos!C2626),Datos!C2626/$F$3*100,NA()),NA())</f>
        <v/>
      </c>
    </row>
    <row r="2627">
      <c r="A2627" s="7">
        <f>IFERROR(Datos!A2627,"")</f>
        <v/>
      </c>
      <c r="B2627" s="27">
        <f>IFERROR(IF(ISNUMBER(Datos!B2627),Datos!B2627/$F$2*100,NA()),NA())</f>
        <v/>
      </c>
      <c r="C2627" s="27">
        <f>IFERROR(IF(ISNUMBER(Datos!C2627),Datos!C2627/$F$3*100,NA()),NA())</f>
        <v/>
      </c>
    </row>
    <row r="2628">
      <c r="A2628" s="7">
        <f>IFERROR(Datos!A2628,"")</f>
        <v/>
      </c>
      <c r="B2628" s="27">
        <f>IFERROR(IF(ISNUMBER(Datos!B2628),Datos!B2628/$F$2*100,NA()),NA())</f>
        <v/>
      </c>
      <c r="C2628" s="27">
        <f>IFERROR(IF(ISNUMBER(Datos!C2628),Datos!C2628/$F$3*100,NA()),NA())</f>
        <v/>
      </c>
    </row>
    <row r="2629">
      <c r="A2629" s="7">
        <f>IFERROR(Datos!A2629,"")</f>
        <v/>
      </c>
      <c r="B2629" s="27">
        <f>IFERROR(IF(ISNUMBER(Datos!B2629),Datos!B2629/$F$2*100,NA()),NA())</f>
        <v/>
      </c>
      <c r="C2629" s="27">
        <f>IFERROR(IF(ISNUMBER(Datos!C2629),Datos!C2629/$F$3*100,NA()),NA())</f>
        <v/>
      </c>
    </row>
    <row r="2630">
      <c r="A2630" s="7">
        <f>IFERROR(Datos!A2630,"")</f>
        <v/>
      </c>
      <c r="B2630" s="27">
        <f>IFERROR(IF(ISNUMBER(Datos!B2630),Datos!B2630/$F$2*100,NA()),NA())</f>
        <v/>
      </c>
      <c r="C2630" s="27">
        <f>IFERROR(IF(ISNUMBER(Datos!C2630),Datos!C2630/$F$3*100,NA()),NA())</f>
        <v/>
      </c>
    </row>
    <row r="2631">
      <c r="A2631" s="7">
        <f>IFERROR(Datos!A2631,"")</f>
        <v/>
      </c>
      <c r="B2631" s="27">
        <f>IFERROR(IF(ISNUMBER(Datos!B2631),Datos!B2631/$F$2*100,NA()),NA())</f>
        <v/>
      </c>
      <c r="C2631" s="27">
        <f>IFERROR(IF(ISNUMBER(Datos!C2631),Datos!C2631/$F$3*100,NA()),NA())</f>
        <v/>
      </c>
    </row>
    <row r="2632">
      <c r="A2632" s="7">
        <f>IFERROR(Datos!A2632,"")</f>
        <v/>
      </c>
      <c r="B2632" s="27">
        <f>IFERROR(IF(ISNUMBER(Datos!B2632),Datos!B2632/$F$2*100,NA()),NA())</f>
        <v/>
      </c>
      <c r="C2632" s="27">
        <f>IFERROR(IF(ISNUMBER(Datos!C2632),Datos!C2632/$F$3*100,NA()),NA())</f>
        <v/>
      </c>
    </row>
    <row r="2633">
      <c r="A2633" s="7">
        <f>IFERROR(Datos!A2633,"")</f>
        <v/>
      </c>
      <c r="B2633" s="27">
        <f>IFERROR(IF(ISNUMBER(Datos!B2633),Datos!B2633/$F$2*100,NA()),NA())</f>
        <v/>
      </c>
      <c r="C2633" s="27">
        <f>IFERROR(IF(ISNUMBER(Datos!C2633),Datos!C2633/$F$3*100,NA()),NA())</f>
        <v/>
      </c>
    </row>
    <row r="2634">
      <c r="A2634" s="7">
        <f>IFERROR(Datos!A2634,"")</f>
        <v/>
      </c>
      <c r="B2634" s="27">
        <f>IFERROR(IF(ISNUMBER(Datos!B2634),Datos!B2634/$F$2*100,NA()),NA())</f>
        <v/>
      </c>
      <c r="C2634" s="27">
        <f>IFERROR(IF(ISNUMBER(Datos!C2634),Datos!C2634/$F$3*100,NA()),NA())</f>
        <v/>
      </c>
    </row>
    <row r="2635">
      <c r="A2635" s="7">
        <f>IFERROR(Datos!A2635,"")</f>
        <v/>
      </c>
      <c r="B2635" s="27">
        <f>IFERROR(IF(ISNUMBER(Datos!B2635),Datos!B2635/$F$2*100,NA()),NA())</f>
        <v/>
      </c>
      <c r="C2635" s="27">
        <f>IFERROR(IF(ISNUMBER(Datos!C2635),Datos!C2635/$F$3*100,NA()),NA())</f>
        <v/>
      </c>
    </row>
    <row r="2636">
      <c r="A2636" s="7">
        <f>IFERROR(Datos!A2636,"")</f>
        <v/>
      </c>
      <c r="B2636" s="27">
        <f>IFERROR(IF(ISNUMBER(Datos!B2636),Datos!B2636/$F$2*100,NA()),NA())</f>
        <v/>
      </c>
      <c r="C2636" s="27">
        <f>IFERROR(IF(ISNUMBER(Datos!C2636),Datos!C2636/$F$3*100,NA()),NA())</f>
        <v/>
      </c>
    </row>
    <row r="2637">
      <c r="A2637" s="7">
        <f>IFERROR(Datos!A2637,"")</f>
        <v/>
      </c>
      <c r="B2637" s="27">
        <f>IFERROR(IF(ISNUMBER(Datos!B2637),Datos!B2637/$F$2*100,NA()),NA())</f>
        <v/>
      </c>
      <c r="C2637" s="27">
        <f>IFERROR(IF(ISNUMBER(Datos!C2637),Datos!C2637/$F$3*100,NA()),NA())</f>
        <v/>
      </c>
    </row>
    <row r="2638">
      <c r="A2638" s="7">
        <f>IFERROR(Datos!A2638,"")</f>
        <v/>
      </c>
      <c r="B2638" s="27">
        <f>IFERROR(IF(ISNUMBER(Datos!B2638),Datos!B2638/$F$2*100,NA()),NA())</f>
        <v/>
      </c>
      <c r="C2638" s="27">
        <f>IFERROR(IF(ISNUMBER(Datos!C2638),Datos!C2638/$F$3*100,NA()),NA())</f>
        <v/>
      </c>
    </row>
    <row r="2639">
      <c r="A2639" s="7">
        <f>IFERROR(Datos!A2639,"")</f>
        <v/>
      </c>
      <c r="B2639" s="27">
        <f>IFERROR(IF(ISNUMBER(Datos!B2639),Datos!B2639/$F$2*100,NA()),NA())</f>
        <v/>
      </c>
      <c r="C2639" s="27">
        <f>IFERROR(IF(ISNUMBER(Datos!C2639),Datos!C2639/$F$3*100,NA()),NA())</f>
        <v/>
      </c>
    </row>
    <row r="2640">
      <c r="A2640" s="7">
        <f>IFERROR(Datos!A2640,"")</f>
        <v/>
      </c>
      <c r="B2640" s="27">
        <f>IFERROR(IF(ISNUMBER(Datos!B2640),Datos!B2640/$F$2*100,NA()),NA())</f>
        <v/>
      </c>
      <c r="C2640" s="27">
        <f>IFERROR(IF(ISNUMBER(Datos!C2640),Datos!C2640/$F$3*100,NA()),NA())</f>
        <v/>
      </c>
    </row>
    <row r="2641">
      <c r="A2641" s="7">
        <f>IFERROR(Datos!A2641,"")</f>
        <v/>
      </c>
      <c r="B2641" s="27">
        <f>IFERROR(IF(ISNUMBER(Datos!B2641),Datos!B2641/$F$2*100,NA()),NA())</f>
        <v/>
      </c>
      <c r="C2641" s="27">
        <f>IFERROR(IF(ISNUMBER(Datos!C2641),Datos!C2641/$F$3*100,NA()),NA())</f>
        <v/>
      </c>
    </row>
    <row r="2642">
      <c r="A2642" s="7">
        <f>IFERROR(Datos!A2642,"")</f>
        <v/>
      </c>
      <c r="B2642" s="27">
        <f>IFERROR(IF(ISNUMBER(Datos!B2642),Datos!B2642/$F$2*100,NA()),NA())</f>
        <v/>
      </c>
      <c r="C2642" s="27">
        <f>IFERROR(IF(ISNUMBER(Datos!C2642),Datos!C2642/$F$3*100,NA()),NA())</f>
        <v/>
      </c>
    </row>
    <row r="2643">
      <c r="A2643" s="7">
        <f>IFERROR(Datos!A2643,"")</f>
        <v/>
      </c>
      <c r="B2643" s="27">
        <f>IFERROR(IF(ISNUMBER(Datos!B2643),Datos!B2643/$F$2*100,NA()),NA())</f>
        <v/>
      </c>
      <c r="C2643" s="27">
        <f>IFERROR(IF(ISNUMBER(Datos!C2643),Datos!C2643/$F$3*100,NA()),NA())</f>
        <v/>
      </c>
    </row>
    <row r="2644">
      <c r="A2644" s="7">
        <f>IFERROR(Datos!A2644,"")</f>
        <v/>
      </c>
      <c r="B2644" s="27">
        <f>IFERROR(IF(ISNUMBER(Datos!B2644),Datos!B2644/$F$2*100,NA()),NA())</f>
        <v/>
      </c>
      <c r="C2644" s="27">
        <f>IFERROR(IF(ISNUMBER(Datos!C2644),Datos!C2644/$F$3*100,NA()),NA())</f>
        <v/>
      </c>
    </row>
    <row r="2645">
      <c r="A2645" s="7">
        <f>IFERROR(Datos!A2645,"")</f>
        <v/>
      </c>
      <c r="B2645" s="27">
        <f>IFERROR(IF(ISNUMBER(Datos!B2645),Datos!B2645/$F$2*100,NA()),NA())</f>
        <v/>
      </c>
      <c r="C2645" s="27">
        <f>IFERROR(IF(ISNUMBER(Datos!C2645),Datos!C2645/$F$3*100,NA()),NA())</f>
        <v/>
      </c>
    </row>
    <row r="2646">
      <c r="A2646" s="7">
        <f>IFERROR(Datos!A2646,"")</f>
        <v/>
      </c>
      <c r="B2646" s="27">
        <f>IFERROR(IF(ISNUMBER(Datos!B2646),Datos!B2646/$F$2*100,NA()),NA())</f>
        <v/>
      </c>
      <c r="C2646" s="27">
        <f>IFERROR(IF(ISNUMBER(Datos!C2646),Datos!C2646/$F$3*100,NA()),NA())</f>
        <v/>
      </c>
    </row>
    <row r="2647">
      <c r="A2647" s="7">
        <f>IFERROR(Datos!A2647,"")</f>
        <v/>
      </c>
      <c r="B2647" s="27">
        <f>IFERROR(IF(ISNUMBER(Datos!B2647),Datos!B2647/$F$2*100,NA()),NA())</f>
        <v/>
      </c>
      <c r="C2647" s="27">
        <f>IFERROR(IF(ISNUMBER(Datos!C2647),Datos!C2647/$F$3*100,NA()),NA())</f>
        <v/>
      </c>
    </row>
    <row r="2648">
      <c r="A2648" s="7">
        <f>IFERROR(Datos!A2648,"")</f>
        <v/>
      </c>
      <c r="B2648" s="27">
        <f>IFERROR(IF(ISNUMBER(Datos!B2648),Datos!B2648/$F$2*100,NA()),NA())</f>
        <v/>
      </c>
      <c r="C2648" s="27">
        <f>IFERROR(IF(ISNUMBER(Datos!C2648),Datos!C2648/$F$3*100,NA()),NA())</f>
        <v/>
      </c>
    </row>
    <row r="2649">
      <c r="A2649" s="7">
        <f>IFERROR(Datos!A2649,"")</f>
        <v/>
      </c>
      <c r="B2649" s="27">
        <f>IFERROR(IF(ISNUMBER(Datos!B2649),Datos!B2649/$F$2*100,NA()),NA())</f>
        <v/>
      </c>
      <c r="C2649" s="27">
        <f>IFERROR(IF(ISNUMBER(Datos!C2649),Datos!C2649/$F$3*100,NA()),NA())</f>
        <v/>
      </c>
    </row>
    <row r="2650">
      <c r="A2650" s="7">
        <f>IFERROR(Datos!A2650,"")</f>
        <v/>
      </c>
      <c r="B2650" s="27">
        <f>IFERROR(IF(ISNUMBER(Datos!B2650),Datos!B2650/$F$2*100,NA()),NA())</f>
        <v/>
      </c>
      <c r="C2650" s="27">
        <f>IFERROR(IF(ISNUMBER(Datos!C2650),Datos!C2650/$F$3*100,NA()),NA())</f>
        <v/>
      </c>
    </row>
    <row r="2651">
      <c r="A2651" s="7">
        <f>IFERROR(Datos!A2651,"")</f>
        <v/>
      </c>
      <c r="B2651" s="27">
        <f>IFERROR(IF(ISNUMBER(Datos!B2651),Datos!B2651/$F$2*100,NA()),NA())</f>
        <v/>
      </c>
      <c r="C2651" s="27">
        <f>IFERROR(IF(ISNUMBER(Datos!C2651),Datos!C2651/$F$3*100,NA()),NA())</f>
        <v/>
      </c>
    </row>
    <row r="2652">
      <c r="A2652" s="7">
        <f>IFERROR(Datos!A2652,"")</f>
        <v/>
      </c>
      <c r="B2652" s="27">
        <f>IFERROR(IF(ISNUMBER(Datos!B2652),Datos!B2652/$F$2*100,NA()),NA())</f>
        <v/>
      </c>
      <c r="C2652" s="27">
        <f>IFERROR(IF(ISNUMBER(Datos!C2652),Datos!C2652/$F$3*100,NA()),NA())</f>
        <v/>
      </c>
    </row>
    <row r="2653">
      <c r="A2653" s="7">
        <f>IFERROR(Datos!A2653,"")</f>
        <v/>
      </c>
      <c r="B2653" s="27">
        <f>IFERROR(IF(ISNUMBER(Datos!B2653),Datos!B2653/$F$2*100,NA()),NA())</f>
        <v/>
      </c>
      <c r="C2653" s="27">
        <f>IFERROR(IF(ISNUMBER(Datos!C2653),Datos!C2653/$F$3*100,NA()),NA())</f>
        <v/>
      </c>
    </row>
    <row r="2654">
      <c r="A2654" s="7">
        <f>IFERROR(Datos!A2654,"")</f>
        <v/>
      </c>
      <c r="B2654" s="27">
        <f>IFERROR(IF(ISNUMBER(Datos!B2654),Datos!B2654/$F$2*100,NA()),NA())</f>
        <v/>
      </c>
      <c r="C2654" s="27">
        <f>IFERROR(IF(ISNUMBER(Datos!C2654),Datos!C2654/$F$3*100,NA()),NA())</f>
        <v/>
      </c>
    </row>
    <row r="2655">
      <c r="A2655" s="7">
        <f>IFERROR(Datos!A2655,"")</f>
        <v/>
      </c>
      <c r="B2655" s="27">
        <f>IFERROR(IF(ISNUMBER(Datos!B2655),Datos!B2655/$F$2*100,NA()),NA())</f>
        <v/>
      </c>
      <c r="C2655" s="27">
        <f>IFERROR(IF(ISNUMBER(Datos!C2655),Datos!C2655/$F$3*100,NA()),NA())</f>
        <v/>
      </c>
    </row>
    <row r="2656">
      <c r="A2656" s="7">
        <f>IFERROR(Datos!A2656,"")</f>
        <v/>
      </c>
      <c r="B2656" s="27">
        <f>IFERROR(IF(ISNUMBER(Datos!B2656),Datos!B2656/$F$2*100,NA()),NA())</f>
        <v/>
      </c>
      <c r="C2656" s="27">
        <f>IFERROR(IF(ISNUMBER(Datos!C2656),Datos!C2656/$F$3*100,NA()),NA())</f>
        <v/>
      </c>
    </row>
    <row r="2657">
      <c r="A2657" s="7">
        <f>IFERROR(Datos!A2657,"")</f>
        <v/>
      </c>
      <c r="B2657" s="27">
        <f>IFERROR(IF(ISNUMBER(Datos!B2657),Datos!B2657/$F$2*100,NA()),NA())</f>
        <v/>
      </c>
      <c r="C2657" s="27">
        <f>IFERROR(IF(ISNUMBER(Datos!C2657),Datos!C2657/$F$3*100,NA()),NA())</f>
        <v/>
      </c>
    </row>
    <row r="2658">
      <c r="A2658" s="7">
        <f>IFERROR(Datos!A2658,"")</f>
        <v/>
      </c>
      <c r="B2658" s="27">
        <f>IFERROR(IF(ISNUMBER(Datos!B2658),Datos!B2658/$F$2*100,NA()),NA())</f>
        <v/>
      </c>
      <c r="C2658" s="27">
        <f>IFERROR(IF(ISNUMBER(Datos!C2658),Datos!C2658/$F$3*100,NA()),NA())</f>
        <v/>
      </c>
    </row>
    <row r="2659">
      <c r="A2659" s="7">
        <f>IFERROR(Datos!A2659,"")</f>
        <v/>
      </c>
      <c r="B2659" s="27">
        <f>IFERROR(IF(ISNUMBER(Datos!B2659),Datos!B2659/$F$2*100,NA()),NA())</f>
        <v/>
      </c>
      <c r="C2659" s="27">
        <f>IFERROR(IF(ISNUMBER(Datos!C2659),Datos!C2659/$F$3*100,NA()),NA())</f>
        <v/>
      </c>
    </row>
    <row r="2660">
      <c r="A2660" s="7">
        <f>IFERROR(Datos!A2660,"")</f>
        <v/>
      </c>
      <c r="B2660" s="27">
        <f>IFERROR(IF(ISNUMBER(Datos!B2660),Datos!B2660/$F$2*100,NA()),NA())</f>
        <v/>
      </c>
      <c r="C2660" s="27">
        <f>IFERROR(IF(ISNUMBER(Datos!C2660),Datos!C2660/$F$3*100,NA()),NA())</f>
        <v/>
      </c>
    </row>
    <row r="2661">
      <c r="A2661" s="7">
        <f>IFERROR(Datos!A2661,"")</f>
        <v/>
      </c>
      <c r="B2661" s="27">
        <f>IFERROR(IF(ISNUMBER(Datos!B2661),Datos!B2661/$F$2*100,NA()),NA())</f>
        <v/>
      </c>
      <c r="C2661" s="27">
        <f>IFERROR(IF(ISNUMBER(Datos!C2661),Datos!C2661/$F$3*100,NA()),NA())</f>
        <v/>
      </c>
    </row>
    <row r="2662">
      <c r="A2662" s="7">
        <f>IFERROR(Datos!A2662,"")</f>
        <v/>
      </c>
      <c r="B2662" s="27">
        <f>IFERROR(IF(ISNUMBER(Datos!B2662),Datos!B2662/$F$2*100,NA()),NA())</f>
        <v/>
      </c>
      <c r="C2662" s="27">
        <f>IFERROR(IF(ISNUMBER(Datos!C2662),Datos!C2662/$F$3*100,NA()),NA())</f>
        <v/>
      </c>
    </row>
    <row r="2663">
      <c r="A2663" s="7">
        <f>IFERROR(Datos!A2663,"")</f>
        <v/>
      </c>
      <c r="B2663" s="27">
        <f>IFERROR(IF(ISNUMBER(Datos!B2663),Datos!B2663/$F$2*100,NA()),NA())</f>
        <v/>
      </c>
      <c r="C2663" s="27">
        <f>IFERROR(IF(ISNUMBER(Datos!C2663),Datos!C2663/$F$3*100,NA()),NA())</f>
        <v/>
      </c>
    </row>
    <row r="2664">
      <c r="A2664" s="7">
        <f>IFERROR(Datos!A2664,"")</f>
        <v/>
      </c>
      <c r="B2664" s="27">
        <f>IFERROR(IF(ISNUMBER(Datos!B2664),Datos!B2664/$F$2*100,NA()),NA())</f>
        <v/>
      </c>
      <c r="C2664" s="27">
        <f>IFERROR(IF(ISNUMBER(Datos!C2664),Datos!C2664/$F$3*100,NA()),NA())</f>
        <v/>
      </c>
    </row>
    <row r="2665">
      <c r="A2665" s="7">
        <f>IFERROR(Datos!A2665,"")</f>
        <v/>
      </c>
      <c r="B2665" s="27">
        <f>IFERROR(IF(ISNUMBER(Datos!B2665),Datos!B2665/$F$2*100,NA()),NA())</f>
        <v/>
      </c>
      <c r="C2665" s="27">
        <f>IFERROR(IF(ISNUMBER(Datos!C2665),Datos!C2665/$F$3*100,NA()),NA())</f>
        <v/>
      </c>
    </row>
    <row r="2666">
      <c r="A2666" s="7">
        <f>IFERROR(Datos!A2666,"")</f>
        <v/>
      </c>
      <c r="B2666" s="27">
        <f>IFERROR(IF(ISNUMBER(Datos!B2666),Datos!B2666/$F$2*100,NA()),NA())</f>
        <v/>
      </c>
      <c r="C2666" s="27">
        <f>IFERROR(IF(ISNUMBER(Datos!C2666),Datos!C2666/$F$3*100,NA()),NA())</f>
        <v/>
      </c>
    </row>
    <row r="2667">
      <c r="A2667" s="7">
        <f>IFERROR(Datos!A2667,"")</f>
        <v/>
      </c>
      <c r="B2667" s="27">
        <f>IFERROR(IF(ISNUMBER(Datos!B2667),Datos!B2667/$F$2*100,NA()),NA())</f>
        <v/>
      </c>
      <c r="C2667" s="27">
        <f>IFERROR(IF(ISNUMBER(Datos!C2667),Datos!C2667/$F$3*100,NA()),NA())</f>
        <v/>
      </c>
    </row>
    <row r="2668">
      <c r="A2668" s="7">
        <f>IFERROR(Datos!A2668,"")</f>
        <v/>
      </c>
      <c r="B2668" s="27">
        <f>IFERROR(IF(ISNUMBER(Datos!B2668),Datos!B2668/$F$2*100,NA()),NA())</f>
        <v/>
      </c>
      <c r="C2668" s="27">
        <f>IFERROR(IF(ISNUMBER(Datos!C2668),Datos!C2668/$F$3*100,NA()),NA())</f>
        <v/>
      </c>
    </row>
    <row r="2669">
      <c r="A2669" s="7">
        <f>IFERROR(Datos!A2669,"")</f>
        <v/>
      </c>
      <c r="B2669" s="27">
        <f>IFERROR(IF(ISNUMBER(Datos!B2669),Datos!B2669/$F$2*100,NA()),NA())</f>
        <v/>
      </c>
      <c r="C2669" s="27">
        <f>IFERROR(IF(ISNUMBER(Datos!C2669),Datos!C2669/$F$3*100,NA()),NA())</f>
        <v/>
      </c>
    </row>
    <row r="2670">
      <c r="A2670" s="7">
        <f>IFERROR(Datos!A2670,"")</f>
        <v/>
      </c>
      <c r="B2670" s="27">
        <f>IFERROR(IF(ISNUMBER(Datos!B2670),Datos!B2670/$F$2*100,NA()),NA())</f>
        <v/>
      </c>
      <c r="C2670" s="27">
        <f>IFERROR(IF(ISNUMBER(Datos!C2670),Datos!C2670/$F$3*100,NA()),NA())</f>
        <v/>
      </c>
    </row>
    <row r="2671">
      <c r="A2671" s="7">
        <f>IFERROR(Datos!A2671,"")</f>
        <v/>
      </c>
      <c r="B2671" s="27">
        <f>IFERROR(IF(ISNUMBER(Datos!B2671),Datos!B2671/$F$2*100,NA()),NA())</f>
        <v/>
      </c>
      <c r="C2671" s="27">
        <f>IFERROR(IF(ISNUMBER(Datos!C2671),Datos!C2671/$F$3*100,NA()),NA())</f>
        <v/>
      </c>
    </row>
    <row r="2672">
      <c r="A2672" s="7">
        <f>IFERROR(Datos!A2672,"")</f>
        <v/>
      </c>
      <c r="B2672" s="27">
        <f>IFERROR(IF(ISNUMBER(Datos!B2672),Datos!B2672/$F$2*100,NA()),NA())</f>
        <v/>
      </c>
      <c r="C2672" s="27">
        <f>IFERROR(IF(ISNUMBER(Datos!C2672),Datos!C2672/$F$3*100,NA()),NA())</f>
        <v/>
      </c>
    </row>
    <row r="2673">
      <c r="A2673" s="7">
        <f>IFERROR(Datos!A2673,"")</f>
        <v/>
      </c>
      <c r="B2673" s="27">
        <f>IFERROR(IF(ISNUMBER(Datos!B2673),Datos!B2673/$F$2*100,NA()),NA())</f>
        <v/>
      </c>
      <c r="C2673" s="27">
        <f>IFERROR(IF(ISNUMBER(Datos!C2673),Datos!C2673/$F$3*100,NA()),NA())</f>
        <v/>
      </c>
    </row>
    <row r="2674">
      <c r="A2674" s="7">
        <f>IFERROR(Datos!A2674,"")</f>
        <v/>
      </c>
      <c r="B2674" s="27">
        <f>IFERROR(IF(ISNUMBER(Datos!B2674),Datos!B2674/$F$2*100,NA()),NA())</f>
        <v/>
      </c>
      <c r="C2674" s="27">
        <f>IFERROR(IF(ISNUMBER(Datos!C2674),Datos!C2674/$F$3*100,NA()),NA())</f>
        <v/>
      </c>
    </row>
    <row r="2675">
      <c r="A2675" s="7">
        <f>IFERROR(Datos!A2675,"")</f>
        <v/>
      </c>
      <c r="B2675" s="27">
        <f>IFERROR(IF(ISNUMBER(Datos!B2675),Datos!B2675/$F$2*100,NA()),NA())</f>
        <v/>
      </c>
      <c r="C2675" s="27">
        <f>IFERROR(IF(ISNUMBER(Datos!C2675),Datos!C2675/$F$3*100,NA()),NA())</f>
        <v/>
      </c>
    </row>
    <row r="2676">
      <c r="A2676" s="7">
        <f>IFERROR(Datos!A2676,"")</f>
        <v/>
      </c>
      <c r="B2676" s="27">
        <f>IFERROR(IF(ISNUMBER(Datos!B2676),Datos!B2676/$F$2*100,NA()),NA())</f>
        <v/>
      </c>
      <c r="C2676" s="27">
        <f>IFERROR(IF(ISNUMBER(Datos!C2676),Datos!C2676/$F$3*100,NA()),NA())</f>
        <v/>
      </c>
    </row>
    <row r="2677">
      <c r="A2677" s="7">
        <f>IFERROR(Datos!A2677,"")</f>
        <v/>
      </c>
      <c r="B2677" s="27">
        <f>IFERROR(IF(ISNUMBER(Datos!B2677),Datos!B2677/$F$2*100,NA()),NA())</f>
        <v/>
      </c>
      <c r="C2677" s="27">
        <f>IFERROR(IF(ISNUMBER(Datos!C2677),Datos!C2677/$F$3*100,NA()),NA())</f>
        <v/>
      </c>
    </row>
    <row r="2678">
      <c r="A2678" s="7">
        <f>IFERROR(Datos!A2678,"")</f>
        <v/>
      </c>
      <c r="B2678" s="27">
        <f>IFERROR(IF(ISNUMBER(Datos!B2678),Datos!B2678/$F$2*100,NA()),NA())</f>
        <v/>
      </c>
      <c r="C2678" s="27">
        <f>IFERROR(IF(ISNUMBER(Datos!C2678),Datos!C2678/$F$3*100,NA()),NA())</f>
        <v/>
      </c>
    </row>
    <row r="2679">
      <c r="A2679" s="7">
        <f>IFERROR(Datos!A2679,"")</f>
        <v/>
      </c>
      <c r="B2679" s="27">
        <f>IFERROR(IF(ISNUMBER(Datos!B2679),Datos!B2679/$F$2*100,NA()),NA())</f>
        <v/>
      </c>
      <c r="C2679" s="27">
        <f>IFERROR(IF(ISNUMBER(Datos!C2679),Datos!C2679/$F$3*100,NA()),NA())</f>
        <v/>
      </c>
    </row>
    <row r="2680">
      <c r="A2680" s="7">
        <f>IFERROR(Datos!A2680,"")</f>
        <v/>
      </c>
      <c r="B2680" s="27">
        <f>IFERROR(IF(ISNUMBER(Datos!B2680),Datos!B2680/$F$2*100,NA()),NA())</f>
        <v/>
      </c>
      <c r="C2680" s="27">
        <f>IFERROR(IF(ISNUMBER(Datos!C2680),Datos!C2680/$F$3*100,NA()),NA())</f>
        <v/>
      </c>
    </row>
    <row r="2681">
      <c r="A2681" s="7">
        <f>IFERROR(Datos!A2681,"")</f>
        <v/>
      </c>
      <c r="B2681" s="27">
        <f>IFERROR(IF(ISNUMBER(Datos!B2681),Datos!B2681/$F$2*100,NA()),NA())</f>
        <v/>
      </c>
      <c r="C2681" s="27">
        <f>IFERROR(IF(ISNUMBER(Datos!C2681),Datos!C2681/$F$3*100,NA()),NA())</f>
        <v/>
      </c>
    </row>
    <row r="2682">
      <c r="A2682" s="7">
        <f>IFERROR(Datos!A2682,"")</f>
        <v/>
      </c>
      <c r="B2682" s="27">
        <f>IFERROR(IF(ISNUMBER(Datos!B2682),Datos!B2682/$F$2*100,NA()),NA())</f>
        <v/>
      </c>
      <c r="C2682" s="27">
        <f>IFERROR(IF(ISNUMBER(Datos!C2682),Datos!C2682/$F$3*100,NA()),NA())</f>
        <v/>
      </c>
    </row>
    <row r="2683">
      <c r="A2683" s="7">
        <f>IFERROR(Datos!A2683,"")</f>
        <v/>
      </c>
      <c r="B2683" s="27">
        <f>IFERROR(IF(ISNUMBER(Datos!B2683),Datos!B2683/$F$2*100,NA()),NA())</f>
        <v/>
      </c>
      <c r="C2683" s="27">
        <f>IFERROR(IF(ISNUMBER(Datos!C2683),Datos!C2683/$F$3*100,NA()),NA())</f>
        <v/>
      </c>
    </row>
    <row r="2684">
      <c r="A2684" s="7">
        <f>IFERROR(Datos!A2684,"")</f>
        <v/>
      </c>
      <c r="B2684" s="27">
        <f>IFERROR(IF(ISNUMBER(Datos!B2684),Datos!B2684/$F$2*100,NA()),NA())</f>
        <v/>
      </c>
      <c r="C2684" s="27">
        <f>IFERROR(IF(ISNUMBER(Datos!C2684),Datos!C2684/$F$3*100,NA()),NA())</f>
        <v/>
      </c>
    </row>
    <row r="2685">
      <c r="A2685" s="7">
        <f>IFERROR(Datos!A2685,"")</f>
        <v/>
      </c>
      <c r="B2685" s="27">
        <f>IFERROR(IF(ISNUMBER(Datos!B2685),Datos!B2685/$F$2*100,NA()),NA())</f>
        <v/>
      </c>
      <c r="C2685" s="27">
        <f>IFERROR(IF(ISNUMBER(Datos!C2685),Datos!C2685/$F$3*100,NA()),NA())</f>
        <v/>
      </c>
    </row>
    <row r="2686">
      <c r="A2686" s="7">
        <f>IFERROR(Datos!A2686,"")</f>
        <v/>
      </c>
      <c r="B2686" s="27">
        <f>IFERROR(IF(ISNUMBER(Datos!B2686),Datos!B2686/$F$2*100,NA()),NA())</f>
        <v/>
      </c>
      <c r="C2686" s="27">
        <f>IFERROR(IF(ISNUMBER(Datos!C2686),Datos!C2686/$F$3*100,NA()),NA())</f>
        <v/>
      </c>
    </row>
    <row r="2687">
      <c r="A2687" s="7">
        <f>IFERROR(Datos!A2687,"")</f>
        <v/>
      </c>
      <c r="B2687" s="27">
        <f>IFERROR(IF(ISNUMBER(Datos!B2687),Datos!B2687/$F$2*100,NA()),NA())</f>
        <v/>
      </c>
      <c r="C2687" s="27">
        <f>IFERROR(IF(ISNUMBER(Datos!C2687),Datos!C2687/$F$3*100,NA()),NA())</f>
        <v/>
      </c>
    </row>
    <row r="2688">
      <c r="A2688" s="7">
        <f>IFERROR(Datos!A2688,"")</f>
        <v/>
      </c>
      <c r="B2688" s="27">
        <f>IFERROR(IF(ISNUMBER(Datos!B2688),Datos!B2688/$F$2*100,NA()),NA())</f>
        <v/>
      </c>
      <c r="C2688" s="27">
        <f>IFERROR(IF(ISNUMBER(Datos!C2688),Datos!C2688/$F$3*100,NA()),NA())</f>
        <v/>
      </c>
    </row>
    <row r="2689">
      <c r="A2689" s="7">
        <f>IFERROR(Datos!A2689,"")</f>
        <v/>
      </c>
      <c r="B2689" s="27">
        <f>IFERROR(IF(ISNUMBER(Datos!B2689),Datos!B2689/$F$2*100,NA()),NA())</f>
        <v/>
      </c>
      <c r="C2689" s="27">
        <f>IFERROR(IF(ISNUMBER(Datos!C2689),Datos!C2689/$F$3*100,NA()),NA())</f>
        <v/>
      </c>
    </row>
    <row r="2690">
      <c r="A2690" s="7">
        <f>IFERROR(Datos!A2690,"")</f>
        <v/>
      </c>
      <c r="B2690" s="27">
        <f>IFERROR(IF(ISNUMBER(Datos!B2690),Datos!B2690/$F$2*100,NA()),NA())</f>
        <v/>
      </c>
      <c r="C2690" s="27">
        <f>IFERROR(IF(ISNUMBER(Datos!C2690),Datos!C2690/$F$3*100,NA()),NA())</f>
        <v/>
      </c>
    </row>
    <row r="2691">
      <c r="A2691" s="7">
        <f>IFERROR(Datos!A2691,"")</f>
        <v/>
      </c>
      <c r="B2691" s="27">
        <f>IFERROR(IF(ISNUMBER(Datos!B2691),Datos!B2691/$F$2*100,NA()),NA())</f>
        <v/>
      </c>
      <c r="C2691" s="27">
        <f>IFERROR(IF(ISNUMBER(Datos!C2691),Datos!C2691/$F$3*100,NA()),NA())</f>
        <v/>
      </c>
    </row>
    <row r="2692">
      <c r="A2692" s="7">
        <f>IFERROR(Datos!A2692,"")</f>
        <v/>
      </c>
      <c r="B2692" s="27">
        <f>IFERROR(IF(ISNUMBER(Datos!B2692),Datos!B2692/$F$2*100,NA()),NA())</f>
        <v/>
      </c>
      <c r="C2692" s="27">
        <f>IFERROR(IF(ISNUMBER(Datos!C2692),Datos!C2692/$F$3*100,NA()),NA())</f>
        <v/>
      </c>
    </row>
    <row r="2693">
      <c r="A2693" s="7">
        <f>IFERROR(Datos!A2693,"")</f>
        <v/>
      </c>
      <c r="B2693" s="27">
        <f>IFERROR(IF(ISNUMBER(Datos!B2693),Datos!B2693/$F$2*100,NA()),NA())</f>
        <v/>
      </c>
      <c r="C2693" s="27">
        <f>IFERROR(IF(ISNUMBER(Datos!C2693),Datos!C2693/$F$3*100,NA()),NA())</f>
        <v/>
      </c>
    </row>
    <row r="2694">
      <c r="A2694" s="7">
        <f>IFERROR(Datos!A2694,"")</f>
        <v/>
      </c>
      <c r="B2694" s="27">
        <f>IFERROR(IF(ISNUMBER(Datos!B2694),Datos!B2694/$F$2*100,NA()),NA())</f>
        <v/>
      </c>
      <c r="C2694" s="27">
        <f>IFERROR(IF(ISNUMBER(Datos!C2694),Datos!C2694/$F$3*100,NA()),NA())</f>
        <v/>
      </c>
    </row>
    <row r="2695">
      <c r="A2695" s="7">
        <f>IFERROR(Datos!A2695,"")</f>
        <v/>
      </c>
      <c r="B2695" s="27">
        <f>IFERROR(IF(ISNUMBER(Datos!B2695),Datos!B2695/$F$2*100,NA()),NA())</f>
        <v/>
      </c>
      <c r="C2695" s="27">
        <f>IFERROR(IF(ISNUMBER(Datos!C2695),Datos!C2695/$F$3*100,NA()),NA())</f>
        <v/>
      </c>
    </row>
    <row r="2696">
      <c r="A2696" s="7">
        <f>IFERROR(Datos!A2696,"")</f>
        <v/>
      </c>
      <c r="B2696" s="27">
        <f>IFERROR(IF(ISNUMBER(Datos!B2696),Datos!B2696/$F$2*100,NA()),NA())</f>
        <v/>
      </c>
      <c r="C2696" s="27">
        <f>IFERROR(IF(ISNUMBER(Datos!C2696),Datos!C2696/$F$3*100,NA()),NA())</f>
        <v/>
      </c>
    </row>
    <row r="2697">
      <c r="A2697" s="7">
        <f>IFERROR(Datos!A2697,"")</f>
        <v/>
      </c>
      <c r="B2697" s="27">
        <f>IFERROR(IF(ISNUMBER(Datos!B2697),Datos!B2697/$F$2*100,NA()),NA())</f>
        <v/>
      </c>
      <c r="C2697" s="27">
        <f>IFERROR(IF(ISNUMBER(Datos!C2697),Datos!C2697/$F$3*100,NA()),NA())</f>
        <v/>
      </c>
    </row>
    <row r="2698">
      <c r="A2698" s="7">
        <f>IFERROR(Datos!A2698,"")</f>
        <v/>
      </c>
      <c r="B2698" s="27">
        <f>IFERROR(IF(ISNUMBER(Datos!B2698),Datos!B2698/$F$2*100,NA()),NA())</f>
        <v/>
      </c>
      <c r="C2698" s="27">
        <f>IFERROR(IF(ISNUMBER(Datos!C2698),Datos!C2698/$F$3*100,NA()),NA())</f>
        <v/>
      </c>
    </row>
    <row r="2699">
      <c r="A2699" s="7">
        <f>IFERROR(Datos!A2699,"")</f>
        <v/>
      </c>
      <c r="B2699" s="27">
        <f>IFERROR(IF(ISNUMBER(Datos!B2699),Datos!B2699/$F$2*100,NA()),NA())</f>
        <v/>
      </c>
      <c r="C2699" s="27">
        <f>IFERROR(IF(ISNUMBER(Datos!C2699),Datos!C2699/$F$3*100,NA()),NA())</f>
        <v/>
      </c>
    </row>
    <row r="2700">
      <c r="A2700" s="7">
        <f>IFERROR(Datos!A2700,"")</f>
        <v/>
      </c>
      <c r="B2700" s="27">
        <f>IFERROR(IF(ISNUMBER(Datos!B2700),Datos!B2700/$F$2*100,NA()),NA())</f>
        <v/>
      </c>
      <c r="C2700" s="27">
        <f>IFERROR(IF(ISNUMBER(Datos!C2700),Datos!C2700/$F$3*100,NA()),NA())</f>
        <v/>
      </c>
    </row>
    <row r="2701">
      <c r="A2701" s="7">
        <f>IFERROR(Datos!A2701,"")</f>
        <v/>
      </c>
      <c r="B2701" s="27">
        <f>IFERROR(IF(ISNUMBER(Datos!B2701),Datos!B2701/$F$2*100,NA()),NA())</f>
        <v/>
      </c>
      <c r="C2701" s="27">
        <f>IFERROR(IF(ISNUMBER(Datos!C2701),Datos!C2701/$F$3*100,NA()),NA())</f>
        <v/>
      </c>
    </row>
    <row r="2702">
      <c r="A2702" s="7">
        <f>IFERROR(Datos!A2702,"")</f>
        <v/>
      </c>
      <c r="B2702" s="27">
        <f>IFERROR(IF(ISNUMBER(Datos!B2702),Datos!B2702/$F$2*100,NA()),NA())</f>
        <v/>
      </c>
      <c r="C2702" s="27">
        <f>IFERROR(IF(ISNUMBER(Datos!C2702),Datos!C2702/$F$3*100,NA()),NA())</f>
        <v/>
      </c>
    </row>
    <row r="2703">
      <c r="A2703" s="7">
        <f>IFERROR(Datos!A2703,"")</f>
        <v/>
      </c>
      <c r="B2703" s="27">
        <f>IFERROR(IF(ISNUMBER(Datos!B2703),Datos!B2703/$F$2*100,NA()),NA())</f>
        <v/>
      </c>
      <c r="C2703" s="27">
        <f>IFERROR(IF(ISNUMBER(Datos!C2703),Datos!C2703/$F$3*100,NA()),NA())</f>
        <v/>
      </c>
    </row>
    <row r="2704">
      <c r="A2704" s="7">
        <f>IFERROR(Datos!A2704,"")</f>
        <v/>
      </c>
      <c r="B2704" s="27">
        <f>IFERROR(IF(ISNUMBER(Datos!B2704),Datos!B2704/$F$2*100,NA()),NA())</f>
        <v/>
      </c>
      <c r="C2704" s="27">
        <f>IFERROR(IF(ISNUMBER(Datos!C2704),Datos!C2704/$F$3*100,NA()),NA())</f>
        <v/>
      </c>
    </row>
    <row r="2705">
      <c r="A2705" s="7">
        <f>IFERROR(Datos!A2705,"")</f>
        <v/>
      </c>
      <c r="B2705" s="27">
        <f>IFERROR(IF(ISNUMBER(Datos!B2705),Datos!B2705/$F$2*100,NA()),NA())</f>
        <v/>
      </c>
      <c r="C2705" s="27">
        <f>IFERROR(IF(ISNUMBER(Datos!C2705),Datos!C2705/$F$3*100,NA()),NA())</f>
        <v/>
      </c>
    </row>
    <row r="2706">
      <c r="A2706" s="7">
        <f>IFERROR(Datos!A2706,"")</f>
        <v/>
      </c>
      <c r="B2706" s="27">
        <f>IFERROR(IF(ISNUMBER(Datos!B2706),Datos!B2706/$F$2*100,NA()),NA())</f>
        <v/>
      </c>
      <c r="C2706" s="27">
        <f>IFERROR(IF(ISNUMBER(Datos!C2706),Datos!C2706/$F$3*100,NA()),NA())</f>
        <v/>
      </c>
    </row>
    <row r="2707">
      <c r="A2707" s="7">
        <f>IFERROR(Datos!A2707,"")</f>
        <v/>
      </c>
      <c r="B2707" s="27">
        <f>IFERROR(IF(ISNUMBER(Datos!B2707),Datos!B2707/$F$2*100,NA()),NA())</f>
        <v/>
      </c>
      <c r="C2707" s="27">
        <f>IFERROR(IF(ISNUMBER(Datos!C2707),Datos!C2707/$F$3*100,NA()),NA())</f>
        <v/>
      </c>
    </row>
    <row r="2708">
      <c r="A2708" s="7">
        <f>IFERROR(Datos!A2708,"")</f>
        <v/>
      </c>
      <c r="B2708" s="27">
        <f>IFERROR(IF(ISNUMBER(Datos!B2708),Datos!B2708/$F$2*100,NA()),NA())</f>
        <v/>
      </c>
      <c r="C2708" s="27">
        <f>IFERROR(IF(ISNUMBER(Datos!C2708),Datos!C2708/$F$3*100,NA()),NA())</f>
        <v/>
      </c>
    </row>
    <row r="2709">
      <c r="A2709" s="7">
        <f>IFERROR(Datos!A2709,"")</f>
        <v/>
      </c>
      <c r="B2709" s="27">
        <f>IFERROR(IF(ISNUMBER(Datos!B2709),Datos!B2709/$F$2*100,NA()),NA())</f>
        <v/>
      </c>
      <c r="C2709" s="27">
        <f>IFERROR(IF(ISNUMBER(Datos!C2709),Datos!C2709/$F$3*100,NA()),NA())</f>
        <v/>
      </c>
    </row>
    <row r="2710">
      <c r="A2710" s="7">
        <f>IFERROR(Datos!A2710,"")</f>
        <v/>
      </c>
      <c r="B2710" s="27">
        <f>IFERROR(IF(ISNUMBER(Datos!B2710),Datos!B2710/$F$2*100,NA()),NA())</f>
        <v/>
      </c>
      <c r="C2710" s="27">
        <f>IFERROR(IF(ISNUMBER(Datos!C2710),Datos!C2710/$F$3*100,NA()),NA())</f>
        <v/>
      </c>
    </row>
    <row r="2711">
      <c r="A2711" s="7">
        <f>IFERROR(Datos!A2711,"")</f>
        <v/>
      </c>
      <c r="B2711" s="27">
        <f>IFERROR(IF(ISNUMBER(Datos!B2711),Datos!B2711/$F$2*100,NA()),NA())</f>
        <v/>
      </c>
      <c r="C2711" s="27">
        <f>IFERROR(IF(ISNUMBER(Datos!C2711),Datos!C2711/$F$3*100,NA()),NA())</f>
        <v/>
      </c>
    </row>
    <row r="2712">
      <c r="A2712" s="7">
        <f>IFERROR(Datos!A2712,"")</f>
        <v/>
      </c>
      <c r="B2712" s="27">
        <f>IFERROR(IF(ISNUMBER(Datos!B2712),Datos!B2712/$F$2*100,NA()),NA())</f>
        <v/>
      </c>
      <c r="C2712" s="27">
        <f>IFERROR(IF(ISNUMBER(Datos!C2712),Datos!C2712/$F$3*100,NA()),NA())</f>
        <v/>
      </c>
    </row>
    <row r="2713">
      <c r="A2713" s="7">
        <f>IFERROR(Datos!A2713,"")</f>
        <v/>
      </c>
      <c r="B2713" s="27">
        <f>IFERROR(IF(ISNUMBER(Datos!B2713),Datos!B2713/$F$2*100,NA()),NA())</f>
        <v/>
      </c>
      <c r="C2713" s="27">
        <f>IFERROR(IF(ISNUMBER(Datos!C2713),Datos!C2713/$F$3*100,NA()),NA())</f>
        <v/>
      </c>
    </row>
    <row r="2714">
      <c r="A2714" s="7">
        <f>IFERROR(Datos!A2714,"")</f>
        <v/>
      </c>
      <c r="B2714" s="27">
        <f>IFERROR(IF(ISNUMBER(Datos!B2714),Datos!B2714/$F$2*100,NA()),NA())</f>
        <v/>
      </c>
      <c r="C2714" s="27">
        <f>IFERROR(IF(ISNUMBER(Datos!C2714),Datos!C2714/$F$3*100,NA()),NA())</f>
        <v/>
      </c>
    </row>
    <row r="2715">
      <c r="A2715" s="7">
        <f>IFERROR(Datos!A2715,"")</f>
        <v/>
      </c>
      <c r="B2715" s="27">
        <f>IFERROR(IF(ISNUMBER(Datos!B2715),Datos!B2715/$F$2*100,NA()),NA())</f>
        <v/>
      </c>
      <c r="C2715" s="27">
        <f>IFERROR(IF(ISNUMBER(Datos!C2715),Datos!C2715/$F$3*100,NA()),NA())</f>
        <v/>
      </c>
    </row>
    <row r="2716">
      <c r="A2716" s="7">
        <f>IFERROR(Datos!A2716,"")</f>
        <v/>
      </c>
      <c r="B2716" s="27">
        <f>IFERROR(IF(ISNUMBER(Datos!B2716),Datos!B2716/$F$2*100,NA()),NA())</f>
        <v/>
      </c>
      <c r="C2716" s="27">
        <f>IFERROR(IF(ISNUMBER(Datos!C2716),Datos!C2716/$F$3*100,NA()),NA())</f>
        <v/>
      </c>
    </row>
    <row r="2717">
      <c r="A2717" s="7">
        <f>IFERROR(Datos!A2717,"")</f>
        <v/>
      </c>
      <c r="B2717" s="27">
        <f>IFERROR(IF(ISNUMBER(Datos!B2717),Datos!B2717/$F$2*100,NA()),NA())</f>
        <v/>
      </c>
      <c r="C2717" s="27">
        <f>IFERROR(IF(ISNUMBER(Datos!C2717),Datos!C2717/$F$3*100,NA()),NA())</f>
        <v/>
      </c>
    </row>
    <row r="2718">
      <c r="A2718" s="7">
        <f>IFERROR(Datos!A2718,"")</f>
        <v/>
      </c>
      <c r="B2718" s="27">
        <f>IFERROR(IF(ISNUMBER(Datos!B2718),Datos!B2718/$F$2*100,NA()),NA())</f>
        <v/>
      </c>
      <c r="C2718" s="27">
        <f>IFERROR(IF(ISNUMBER(Datos!C2718),Datos!C2718/$F$3*100,NA()),NA())</f>
        <v/>
      </c>
    </row>
    <row r="2719">
      <c r="A2719" s="7">
        <f>IFERROR(Datos!A2719,"")</f>
        <v/>
      </c>
      <c r="B2719" s="27">
        <f>IFERROR(IF(ISNUMBER(Datos!B2719),Datos!B2719/$F$2*100,NA()),NA())</f>
        <v/>
      </c>
      <c r="C2719" s="27">
        <f>IFERROR(IF(ISNUMBER(Datos!C2719),Datos!C2719/$F$3*100,NA()),NA())</f>
        <v/>
      </c>
    </row>
    <row r="2720">
      <c r="A2720" s="7">
        <f>IFERROR(Datos!A2720,"")</f>
        <v/>
      </c>
      <c r="B2720" s="27">
        <f>IFERROR(IF(ISNUMBER(Datos!B2720),Datos!B2720/$F$2*100,NA()),NA())</f>
        <v/>
      </c>
      <c r="C2720" s="27">
        <f>IFERROR(IF(ISNUMBER(Datos!C2720),Datos!C2720/$F$3*100,NA()),NA())</f>
        <v/>
      </c>
    </row>
    <row r="2721">
      <c r="A2721" s="7">
        <f>IFERROR(Datos!A2721,"")</f>
        <v/>
      </c>
      <c r="B2721" s="27">
        <f>IFERROR(IF(ISNUMBER(Datos!B2721),Datos!B2721/$F$2*100,NA()),NA())</f>
        <v/>
      </c>
      <c r="C2721" s="27">
        <f>IFERROR(IF(ISNUMBER(Datos!C2721),Datos!C2721/$F$3*100,NA()),NA())</f>
        <v/>
      </c>
    </row>
    <row r="2722">
      <c r="A2722" s="7">
        <f>IFERROR(Datos!A2722,"")</f>
        <v/>
      </c>
      <c r="B2722" s="27">
        <f>IFERROR(IF(ISNUMBER(Datos!B2722),Datos!B2722/$F$2*100,NA()),NA())</f>
        <v/>
      </c>
      <c r="C2722" s="27">
        <f>IFERROR(IF(ISNUMBER(Datos!C2722),Datos!C2722/$F$3*100,NA()),NA())</f>
        <v/>
      </c>
    </row>
    <row r="2723">
      <c r="A2723" s="7">
        <f>IFERROR(Datos!A2723,"")</f>
        <v/>
      </c>
      <c r="B2723" s="27">
        <f>IFERROR(IF(ISNUMBER(Datos!B2723),Datos!B2723/$F$2*100,NA()),NA())</f>
        <v/>
      </c>
      <c r="C2723" s="27">
        <f>IFERROR(IF(ISNUMBER(Datos!C2723),Datos!C2723/$F$3*100,NA()),NA())</f>
        <v/>
      </c>
    </row>
    <row r="2724">
      <c r="A2724" s="7">
        <f>IFERROR(Datos!A2724,"")</f>
        <v/>
      </c>
      <c r="B2724" s="27">
        <f>IFERROR(IF(ISNUMBER(Datos!B2724),Datos!B2724/$F$2*100,NA()),NA())</f>
        <v/>
      </c>
      <c r="C2724" s="27">
        <f>IFERROR(IF(ISNUMBER(Datos!C2724),Datos!C2724/$F$3*100,NA()),NA())</f>
        <v/>
      </c>
    </row>
    <row r="2725">
      <c r="A2725" s="7">
        <f>IFERROR(Datos!A2725,"")</f>
        <v/>
      </c>
      <c r="B2725" s="27">
        <f>IFERROR(IF(ISNUMBER(Datos!B2725),Datos!B2725/$F$2*100,NA()),NA())</f>
        <v/>
      </c>
      <c r="C2725" s="27">
        <f>IFERROR(IF(ISNUMBER(Datos!C2725),Datos!C2725/$F$3*100,NA()),NA())</f>
        <v/>
      </c>
    </row>
    <row r="2726">
      <c r="A2726" s="7">
        <f>IFERROR(Datos!A2726,"")</f>
        <v/>
      </c>
      <c r="B2726" s="27">
        <f>IFERROR(IF(ISNUMBER(Datos!B2726),Datos!B2726/$F$2*100,NA()),NA())</f>
        <v/>
      </c>
      <c r="C2726" s="27">
        <f>IFERROR(IF(ISNUMBER(Datos!C2726),Datos!C2726/$F$3*100,NA()),NA())</f>
        <v/>
      </c>
    </row>
    <row r="2727">
      <c r="A2727" s="7">
        <f>IFERROR(Datos!A2727,"")</f>
        <v/>
      </c>
      <c r="B2727" s="27">
        <f>IFERROR(IF(ISNUMBER(Datos!B2727),Datos!B2727/$F$2*100,NA()),NA())</f>
        <v/>
      </c>
      <c r="C2727" s="27">
        <f>IFERROR(IF(ISNUMBER(Datos!C2727),Datos!C2727/$F$3*100,NA()),NA())</f>
        <v/>
      </c>
    </row>
    <row r="2728">
      <c r="A2728" s="7">
        <f>IFERROR(Datos!A2728,"")</f>
        <v/>
      </c>
      <c r="B2728" s="27">
        <f>IFERROR(IF(ISNUMBER(Datos!B2728),Datos!B2728/$F$2*100,NA()),NA())</f>
        <v/>
      </c>
      <c r="C2728" s="27">
        <f>IFERROR(IF(ISNUMBER(Datos!C2728),Datos!C2728/$F$3*100,NA()),NA())</f>
        <v/>
      </c>
    </row>
    <row r="2729">
      <c r="A2729" s="7">
        <f>IFERROR(Datos!A2729,"")</f>
        <v/>
      </c>
      <c r="B2729" s="27">
        <f>IFERROR(IF(ISNUMBER(Datos!B2729),Datos!B2729/$F$2*100,NA()),NA())</f>
        <v/>
      </c>
      <c r="C2729" s="27">
        <f>IFERROR(IF(ISNUMBER(Datos!C2729),Datos!C2729/$F$3*100,NA()),NA())</f>
        <v/>
      </c>
    </row>
    <row r="2730">
      <c r="A2730" s="7">
        <f>IFERROR(Datos!A2730,"")</f>
        <v/>
      </c>
      <c r="B2730" s="27">
        <f>IFERROR(IF(ISNUMBER(Datos!B2730),Datos!B2730/$F$2*100,NA()),NA())</f>
        <v/>
      </c>
      <c r="C2730" s="27">
        <f>IFERROR(IF(ISNUMBER(Datos!C2730),Datos!C2730/$F$3*100,NA()),NA())</f>
        <v/>
      </c>
    </row>
    <row r="2731">
      <c r="A2731" s="7">
        <f>IFERROR(Datos!A2731,"")</f>
        <v/>
      </c>
      <c r="B2731" s="27">
        <f>IFERROR(IF(ISNUMBER(Datos!B2731),Datos!B2731/$F$2*100,NA()),NA())</f>
        <v/>
      </c>
      <c r="C2731" s="27">
        <f>IFERROR(IF(ISNUMBER(Datos!C2731),Datos!C2731/$F$3*100,NA()),NA())</f>
        <v/>
      </c>
    </row>
    <row r="2732">
      <c r="A2732" s="7">
        <f>IFERROR(Datos!A2732,"")</f>
        <v/>
      </c>
      <c r="B2732" s="27">
        <f>IFERROR(IF(ISNUMBER(Datos!B2732),Datos!B2732/$F$2*100,NA()),NA())</f>
        <v/>
      </c>
      <c r="C2732" s="27">
        <f>IFERROR(IF(ISNUMBER(Datos!C2732),Datos!C2732/$F$3*100,NA()),NA())</f>
        <v/>
      </c>
    </row>
    <row r="2733">
      <c r="A2733" s="7">
        <f>IFERROR(Datos!A2733,"")</f>
        <v/>
      </c>
      <c r="B2733" s="27">
        <f>IFERROR(IF(ISNUMBER(Datos!B2733),Datos!B2733/$F$2*100,NA()),NA())</f>
        <v/>
      </c>
      <c r="C2733" s="27">
        <f>IFERROR(IF(ISNUMBER(Datos!C2733),Datos!C2733/$F$3*100,NA()),NA())</f>
        <v/>
      </c>
    </row>
    <row r="2734">
      <c r="A2734" s="7">
        <f>IFERROR(Datos!A2734,"")</f>
        <v/>
      </c>
      <c r="B2734" s="27">
        <f>IFERROR(IF(ISNUMBER(Datos!B2734),Datos!B2734/$F$2*100,NA()),NA())</f>
        <v/>
      </c>
      <c r="C2734" s="27">
        <f>IFERROR(IF(ISNUMBER(Datos!C2734),Datos!C2734/$F$3*100,NA()),NA())</f>
        <v/>
      </c>
    </row>
    <row r="2735">
      <c r="A2735" s="7">
        <f>IFERROR(Datos!A2735,"")</f>
        <v/>
      </c>
      <c r="B2735" s="27">
        <f>IFERROR(IF(ISNUMBER(Datos!B2735),Datos!B2735/$F$2*100,NA()),NA())</f>
        <v/>
      </c>
      <c r="C2735" s="27">
        <f>IFERROR(IF(ISNUMBER(Datos!C2735),Datos!C2735/$F$3*100,NA()),NA())</f>
        <v/>
      </c>
    </row>
    <row r="2736">
      <c r="A2736" s="7">
        <f>IFERROR(Datos!A2736,"")</f>
        <v/>
      </c>
      <c r="B2736" s="27">
        <f>IFERROR(IF(ISNUMBER(Datos!B2736),Datos!B2736/$F$2*100,NA()),NA())</f>
        <v/>
      </c>
      <c r="C2736" s="27">
        <f>IFERROR(IF(ISNUMBER(Datos!C2736),Datos!C2736/$F$3*100,NA()),NA())</f>
        <v/>
      </c>
    </row>
    <row r="2737">
      <c r="A2737" s="7">
        <f>IFERROR(Datos!A2737,"")</f>
        <v/>
      </c>
      <c r="B2737" s="27">
        <f>IFERROR(IF(ISNUMBER(Datos!B2737),Datos!B2737/$F$2*100,NA()),NA())</f>
        <v/>
      </c>
      <c r="C2737" s="27">
        <f>IFERROR(IF(ISNUMBER(Datos!C2737),Datos!C2737/$F$3*100,NA()),NA())</f>
        <v/>
      </c>
    </row>
    <row r="2738">
      <c r="A2738" s="7">
        <f>IFERROR(Datos!A2738,"")</f>
        <v/>
      </c>
      <c r="B2738" s="27">
        <f>IFERROR(IF(ISNUMBER(Datos!B2738),Datos!B2738/$F$2*100,NA()),NA())</f>
        <v/>
      </c>
      <c r="C2738" s="27">
        <f>IFERROR(IF(ISNUMBER(Datos!C2738),Datos!C2738/$F$3*100,NA()),NA())</f>
        <v/>
      </c>
    </row>
    <row r="2739">
      <c r="A2739" s="7">
        <f>IFERROR(Datos!A2739,"")</f>
        <v/>
      </c>
      <c r="B2739" s="27">
        <f>IFERROR(IF(ISNUMBER(Datos!B2739),Datos!B2739/$F$2*100,NA()),NA())</f>
        <v/>
      </c>
      <c r="C2739" s="27">
        <f>IFERROR(IF(ISNUMBER(Datos!C2739),Datos!C2739/$F$3*100,NA()),NA())</f>
        <v/>
      </c>
    </row>
    <row r="2740">
      <c r="A2740" s="7">
        <f>IFERROR(Datos!A2740,"")</f>
        <v/>
      </c>
      <c r="B2740" s="27">
        <f>IFERROR(IF(ISNUMBER(Datos!B2740),Datos!B2740/$F$2*100,NA()),NA())</f>
        <v/>
      </c>
      <c r="C2740" s="27">
        <f>IFERROR(IF(ISNUMBER(Datos!C2740),Datos!C2740/$F$3*100,NA()),NA())</f>
        <v/>
      </c>
    </row>
    <row r="2741">
      <c r="A2741" s="7">
        <f>IFERROR(Datos!A2741,"")</f>
        <v/>
      </c>
      <c r="B2741" s="27">
        <f>IFERROR(IF(ISNUMBER(Datos!B2741),Datos!B2741/$F$2*100,NA()),NA())</f>
        <v/>
      </c>
      <c r="C2741" s="27">
        <f>IFERROR(IF(ISNUMBER(Datos!C2741),Datos!C2741/$F$3*100,NA()),NA())</f>
        <v/>
      </c>
    </row>
    <row r="2742">
      <c r="A2742" s="7">
        <f>IFERROR(Datos!A2742,"")</f>
        <v/>
      </c>
      <c r="B2742" s="27">
        <f>IFERROR(IF(ISNUMBER(Datos!B2742),Datos!B2742/$F$2*100,NA()),NA())</f>
        <v/>
      </c>
      <c r="C2742" s="27">
        <f>IFERROR(IF(ISNUMBER(Datos!C2742),Datos!C2742/$F$3*100,NA()),NA())</f>
        <v/>
      </c>
    </row>
    <row r="2743">
      <c r="A2743" s="7">
        <f>IFERROR(Datos!A2743,"")</f>
        <v/>
      </c>
      <c r="B2743" s="27">
        <f>IFERROR(IF(ISNUMBER(Datos!B2743),Datos!B2743/$F$2*100,NA()),NA())</f>
        <v/>
      </c>
      <c r="C2743" s="27">
        <f>IFERROR(IF(ISNUMBER(Datos!C2743),Datos!C2743/$F$3*100,NA()),NA())</f>
        <v/>
      </c>
    </row>
    <row r="2744">
      <c r="A2744" s="7">
        <f>IFERROR(Datos!A2744,"")</f>
        <v/>
      </c>
      <c r="B2744" s="27">
        <f>IFERROR(IF(ISNUMBER(Datos!B2744),Datos!B2744/$F$2*100,NA()),NA())</f>
        <v/>
      </c>
      <c r="C2744" s="27">
        <f>IFERROR(IF(ISNUMBER(Datos!C2744),Datos!C2744/$F$3*100,NA()),NA())</f>
        <v/>
      </c>
    </row>
    <row r="2745">
      <c r="A2745" s="7">
        <f>IFERROR(Datos!A2745,"")</f>
        <v/>
      </c>
      <c r="B2745" s="27">
        <f>IFERROR(IF(ISNUMBER(Datos!B2745),Datos!B2745/$F$2*100,NA()),NA())</f>
        <v/>
      </c>
      <c r="C2745" s="27">
        <f>IFERROR(IF(ISNUMBER(Datos!C2745),Datos!C2745/$F$3*100,NA()),NA())</f>
        <v/>
      </c>
    </row>
    <row r="2746">
      <c r="A2746" s="7">
        <f>IFERROR(Datos!A2746,"")</f>
        <v/>
      </c>
      <c r="B2746" s="27">
        <f>IFERROR(IF(ISNUMBER(Datos!B2746),Datos!B2746/$F$2*100,NA()),NA())</f>
        <v/>
      </c>
      <c r="C2746" s="27">
        <f>IFERROR(IF(ISNUMBER(Datos!C2746),Datos!C2746/$F$3*100,NA()),NA())</f>
        <v/>
      </c>
    </row>
    <row r="2747">
      <c r="A2747" s="7">
        <f>IFERROR(Datos!A2747,"")</f>
        <v/>
      </c>
      <c r="B2747" s="27">
        <f>IFERROR(IF(ISNUMBER(Datos!B2747),Datos!B2747/$F$2*100,NA()),NA())</f>
        <v/>
      </c>
      <c r="C2747" s="27">
        <f>IFERROR(IF(ISNUMBER(Datos!C2747),Datos!C2747/$F$3*100,NA()),NA())</f>
        <v/>
      </c>
    </row>
    <row r="2748">
      <c r="A2748" s="7">
        <f>IFERROR(Datos!A2748,"")</f>
        <v/>
      </c>
      <c r="B2748" s="27">
        <f>IFERROR(IF(ISNUMBER(Datos!B2748),Datos!B2748/$F$2*100,NA()),NA())</f>
        <v/>
      </c>
      <c r="C2748" s="27">
        <f>IFERROR(IF(ISNUMBER(Datos!C2748),Datos!C2748/$F$3*100,NA()),NA())</f>
        <v/>
      </c>
    </row>
    <row r="2749">
      <c r="A2749" s="7">
        <f>IFERROR(Datos!A2749,"")</f>
        <v/>
      </c>
      <c r="B2749" s="27">
        <f>IFERROR(IF(ISNUMBER(Datos!B2749),Datos!B2749/$F$2*100,NA()),NA())</f>
        <v/>
      </c>
      <c r="C2749" s="27">
        <f>IFERROR(IF(ISNUMBER(Datos!C2749),Datos!C2749/$F$3*100,NA()),NA())</f>
        <v/>
      </c>
    </row>
    <row r="2750">
      <c r="A2750" s="7">
        <f>IFERROR(Datos!A2750,"")</f>
        <v/>
      </c>
      <c r="B2750" s="27">
        <f>IFERROR(IF(ISNUMBER(Datos!B2750),Datos!B2750/$F$2*100,NA()),NA())</f>
        <v/>
      </c>
      <c r="C2750" s="27">
        <f>IFERROR(IF(ISNUMBER(Datos!C2750),Datos!C2750/$F$3*100,NA()),NA())</f>
        <v/>
      </c>
    </row>
    <row r="2751">
      <c r="A2751" s="7">
        <f>IFERROR(Datos!A2751,"")</f>
        <v/>
      </c>
      <c r="B2751" s="27">
        <f>IFERROR(IF(ISNUMBER(Datos!B2751),Datos!B2751/$F$2*100,NA()),NA())</f>
        <v/>
      </c>
      <c r="C2751" s="27">
        <f>IFERROR(IF(ISNUMBER(Datos!C2751),Datos!C2751/$F$3*100,NA()),NA())</f>
        <v/>
      </c>
    </row>
    <row r="2752">
      <c r="A2752" s="7">
        <f>IFERROR(Datos!A2752,"")</f>
        <v/>
      </c>
      <c r="B2752" s="27">
        <f>IFERROR(IF(ISNUMBER(Datos!B2752),Datos!B2752/$F$2*100,NA()),NA())</f>
        <v/>
      </c>
      <c r="C2752" s="27">
        <f>IFERROR(IF(ISNUMBER(Datos!C2752),Datos!C2752/$F$3*100,NA()),NA())</f>
        <v/>
      </c>
    </row>
    <row r="2753">
      <c r="A2753" s="7">
        <f>IFERROR(Datos!A2753,"")</f>
        <v/>
      </c>
      <c r="B2753" s="27">
        <f>IFERROR(IF(ISNUMBER(Datos!B2753),Datos!B2753/$F$2*100,NA()),NA())</f>
        <v/>
      </c>
      <c r="C2753" s="27">
        <f>IFERROR(IF(ISNUMBER(Datos!C2753),Datos!C2753/$F$3*100,NA()),NA())</f>
        <v/>
      </c>
    </row>
    <row r="2754">
      <c r="A2754" s="7">
        <f>IFERROR(Datos!A2754,"")</f>
        <v/>
      </c>
      <c r="B2754" s="27">
        <f>IFERROR(IF(ISNUMBER(Datos!B2754),Datos!B2754/$F$2*100,NA()),NA())</f>
        <v/>
      </c>
      <c r="C2754" s="27">
        <f>IFERROR(IF(ISNUMBER(Datos!C2754),Datos!C2754/$F$3*100,NA()),NA())</f>
        <v/>
      </c>
    </row>
    <row r="2755">
      <c r="A2755" s="7">
        <f>IFERROR(Datos!A2755,"")</f>
        <v/>
      </c>
      <c r="B2755" s="27">
        <f>IFERROR(IF(ISNUMBER(Datos!B2755),Datos!B2755/$F$2*100,NA()),NA())</f>
        <v/>
      </c>
      <c r="C2755" s="27">
        <f>IFERROR(IF(ISNUMBER(Datos!C2755),Datos!C2755/$F$3*100,NA()),NA())</f>
        <v/>
      </c>
    </row>
    <row r="2756">
      <c r="A2756" s="7">
        <f>IFERROR(Datos!A2756,"")</f>
        <v/>
      </c>
      <c r="B2756" s="27">
        <f>IFERROR(IF(ISNUMBER(Datos!B2756),Datos!B2756/$F$2*100,NA()),NA())</f>
        <v/>
      </c>
      <c r="C2756" s="27">
        <f>IFERROR(IF(ISNUMBER(Datos!C2756),Datos!C2756/$F$3*100,NA()),NA())</f>
        <v/>
      </c>
    </row>
    <row r="2757">
      <c r="A2757" s="7">
        <f>IFERROR(Datos!A2757,"")</f>
        <v/>
      </c>
      <c r="B2757" s="27">
        <f>IFERROR(IF(ISNUMBER(Datos!B2757),Datos!B2757/$F$2*100,NA()),NA())</f>
        <v/>
      </c>
      <c r="C2757" s="27">
        <f>IFERROR(IF(ISNUMBER(Datos!C2757),Datos!C2757/$F$3*100,NA()),NA())</f>
        <v/>
      </c>
    </row>
    <row r="2758">
      <c r="A2758" s="7">
        <f>IFERROR(Datos!A2758,"")</f>
        <v/>
      </c>
      <c r="B2758" s="27">
        <f>IFERROR(IF(ISNUMBER(Datos!B2758),Datos!B2758/$F$2*100,NA()),NA())</f>
        <v/>
      </c>
      <c r="C2758" s="27">
        <f>IFERROR(IF(ISNUMBER(Datos!C2758),Datos!C2758/$F$3*100,NA()),NA())</f>
        <v/>
      </c>
    </row>
    <row r="2759">
      <c r="A2759" s="7">
        <f>IFERROR(Datos!A2759,"")</f>
        <v/>
      </c>
      <c r="B2759" s="27">
        <f>IFERROR(IF(ISNUMBER(Datos!B2759),Datos!B2759/$F$2*100,NA()),NA())</f>
        <v/>
      </c>
      <c r="C2759" s="27">
        <f>IFERROR(IF(ISNUMBER(Datos!C2759),Datos!C2759/$F$3*100,NA()),NA())</f>
        <v/>
      </c>
    </row>
    <row r="2760">
      <c r="A2760" s="7">
        <f>IFERROR(Datos!A2760,"")</f>
        <v/>
      </c>
      <c r="B2760" s="27">
        <f>IFERROR(IF(ISNUMBER(Datos!B2760),Datos!B2760/$F$2*100,NA()),NA())</f>
        <v/>
      </c>
      <c r="C2760" s="27">
        <f>IFERROR(IF(ISNUMBER(Datos!C2760),Datos!C2760/$F$3*100,NA()),NA())</f>
        <v/>
      </c>
    </row>
    <row r="2761">
      <c r="A2761" s="7">
        <f>IFERROR(Datos!A2761,"")</f>
        <v/>
      </c>
      <c r="B2761" s="27">
        <f>IFERROR(IF(ISNUMBER(Datos!B2761),Datos!B2761/$F$2*100,NA()),NA())</f>
        <v/>
      </c>
      <c r="C2761" s="27">
        <f>IFERROR(IF(ISNUMBER(Datos!C2761),Datos!C2761/$F$3*100,NA()),NA())</f>
        <v/>
      </c>
    </row>
    <row r="2762">
      <c r="A2762" s="7">
        <f>IFERROR(Datos!A2762,"")</f>
        <v/>
      </c>
      <c r="B2762" s="27">
        <f>IFERROR(IF(ISNUMBER(Datos!B2762),Datos!B2762/$F$2*100,NA()),NA())</f>
        <v/>
      </c>
      <c r="C2762" s="27">
        <f>IFERROR(IF(ISNUMBER(Datos!C2762),Datos!C2762/$F$3*100,NA()),NA())</f>
        <v/>
      </c>
    </row>
    <row r="2763">
      <c r="A2763" s="7">
        <f>IFERROR(Datos!A2763,"")</f>
        <v/>
      </c>
      <c r="B2763" s="27">
        <f>IFERROR(IF(ISNUMBER(Datos!B2763),Datos!B2763/$F$2*100,NA()),NA())</f>
        <v/>
      </c>
      <c r="C2763" s="27">
        <f>IFERROR(IF(ISNUMBER(Datos!C2763),Datos!C2763/$F$3*100,NA()),NA())</f>
        <v/>
      </c>
    </row>
    <row r="2764">
      <c r="A2764" s="7">
        <f>IFERROR(Datos!A2764,"")</f>
        <v/>
      </c>
      <c r="B2764" s="27">
        <f>IFERROR(IF(ISNUMBER(Datos!B2764),Datos!B2764/$F$2*100,NA()),NA())</f>
        <v/>
      </c>
      <c r="C2764" s="27">
        <f>IFERROR(IF(ISNUMBER(Datos!C2764),Datos!C2764/$F$3*100,NA()),NA())</f>
        <v/>
      </c>
    </row>
    <row r="2765">
      <c r="A2765" s="7">
        <f>IFERROR(Datos!A2765,"")</f>
        <v/>
      </c>
      <c r="B2765" s="27">
        <f>IFERROR(IF(ISNUMBER(Datos!B2765),Datos!B2765/$F$2*100,NA()),NA())</f>
        <v/>
      </c>
      <c r="C2765" s="27">
        <f>IFERROR(IF(ISNUMBER(Datos!C2765),Datos!C2765/$F$3*100,NA()),NA())</f>
        <v/>
      </c>
    </row>
    <row r="2766">
      <c r="A2766" s="7">
        <f>IFERROR(Datos!A2766,"")</f>
        <v/>
      </c>
      <c r="B2766" s="27">
        <f>IFERROR(IF(ISNUMBER(Datos!B2766),Datos!B2766/$F$2*100,NA()),NA())</f>
        <v/>
      </c>
      <c r="C2766" s="27">
        <f>IFERROR(IF(ISNUMBER(Datos!C2766),Datos!C2766/$F$3*100,NA()),NA())</f>
        <v/>
      </c>
    </row>
    <row r="2767">
      <c r="A2767" s="7">
        <f>IFERROR(Datos!A2767,"")</f>
        <v/>
      </c>
      <c r="B2767" s="27">
        <f>IFERROR(IF(ISNUMBER(Datos!B2767),Datos!B2767/$F$2*100,NA()),NA())</f>
        <v/>
      </c>
      <c r="C2767" s="27">
        <f>IFERROR(IF(ISNUMBER(Datos!C2767),Datos!C2767/$F$3*100,NA()),NA())</f>
        <v/>
      </c>
    </row>
    <row r="2768">
      <c r="A2768" s="7">
        <f>IFERROR(Datos!A2768,"")</f>
        <v/>
      </c>
      <c r="B2768" s="27">
        <f>IFERROR(IF(ISNUMBER(Datos!B2768),Datos!B2768/$F$2*100,NA()),NA())</f>
        <v/>
      </c>
      <c r="C2768" s="27">
        <f>IFERROR(IF(ISNUMBER(Datos!C2768),Datos!C2768/$F$3*100,NA()),NA())</f>
        <v/>
      </c>
    </row>
    <row r="2769">
      <c r="A2769" s="7">
        <f>IFERROR(Datos!A2769,"")</f>
        <v/>
      </c>
      <c r="B2769" s="27">
        <f>IFERROR(IF(ISNUMBER(Datos!B2769),Datos!B2769/$F$2*100,NA()),NA())</f>
        <v/>
      </c>
      <c r="C2769" s="27">
        <f>IFERROR(IF(ISNUMBER(Datos!C2769),Datos!C2769/$F$3*100,NA()),NA())</f>
        <v/>
      </c>
    </row>
    <row r="2770">
      <c r="A2770" s="7">
        <f>IFERROR(Datos!A2770,"")</f>
        <v/>
      </c>
      <c r="B2770" s="27">
        <f>IFERROR(IF(ISNUMBER(Datos!B2770),Datos!B2770/$F$2*100,NA()),NA())</f>
        <v/>
      </c>
      <c r="C2770" s="27">
        <f>IFERROR(IF(ISNUMBER(Datos!C2770),Datos!C2770/$F$3*100,NA()),NA())</f>
        <v/>
      </c>
    </row>
    <row r="2771">
      <c r="A2771" s="7">
        <f>IFERROR(Datos!A2771,"")</f>
        <v/>
      </c>
      <c r="B2771" s="27">
        <f>IFERROR(IF(ISNUMBER(Datos!B2771),Datos!B2771/$F$2*100,NA()),NA())</f>
        <v/>
      </c>
      <c r="C2771" s="27">
        <f>IFERROR(IF(ISNUMBER(Datos!C2771),Datos!C2771/$F$3*100,NA()),NA())</f>
        <v/>
      </c>
    </row>
    <row r="2772">
      <c r="A2772" s="7">
        <f>IFERROR(Datos!A2772,"")</f>
        <v/>
      </c>
      <c r="B2772" s="27">
        <f>IFERROR(IF(ISNUMBER(Datos!B2772),Datos!B2772/$F$2*100,NA()),NA())</f>
        <v/>
      </c>
      <c r="C2772" s="27">
        <f>IFERROR(IF(ISNUMBER(Datos!C2772),Datos!C2772/$F$3*100,NA()),NA())</f>
        <v/>
      </c>
    </row>
    <row r="2773">
      <c r="A2773" s="7">
        <f>IFERROR(Datos!A2773,"")</f>
        <v/>
      </c>
      <c r="B2773" s="27">
        <f>IFERROR(IF(ISNUMBER(Datos!B2773),Datos!B2773/$F$2*100,NA()),NA())</f>
        <v/>
      </c>
      <c r="C2773" s="27">
        <f>IFERROR(IF(ISNUMBER(Datos!C2773),Datos!C2773/$F$3*100,NA()),NA())</f>
        <v/>
      </c>
    </row>
    <row r="2774">
      <c r="A2774" s="7">
        <f>IFERROR(Datos!A2774,"")</f>
        <v/>
      </c>
      <c r="B2774" s="27">
        <f>IFERROR(IF(ISNUMBER(Datos!B2774),Datos!B2774/$F$2*100,NA()),NA())</f>
        <v/>
      </c>
      <c r="C2774" s="27">
        <f>IFERROR(IF(ISNUMBER(Datos!C2774),Datos!C2774/$F$3*100,NA()),NA())</f>
        <v/>
      </c>
    </row>
    <row r="2775">
      <c r="A2775" s="7">
        <f>IFERROR(Datos!A2775,"")</f>
        <v/>
      </c>
      <c r="B2775" s="27">
        <f>IFERROR(IF(ISNUMBER(Datos!B2775),Datos!B2775/$F$2*100,NA()),NA())</f>
        <v/>
      </c>
      <c r="C2775" s="27">
        <f>IFERROR(IF(ISNUMBER(Datos!C2775),Datos!C2775/$F$3*100,NA()),NA())</f>
        <v/>
      </c>
    </row>
    <row r="2776">
      <c r="A2776" s="7">
        <f>IFERROR(Datos!A2776,"")</f>
        <v/>
      </c>
      <c r="B2776" s="27">
        <f>IFERROR(IF(ISNUMBER(Datos!B2776),Datos!B2776/$F$2*100,NA()),NA())</f>
        <v/>
      </c>
      <c r="C2776" s="27">
        <f>IFERROR(IF(ISNUMBER(Datos!C2776),Datos!C2776/$F$3*100,NA()),NA())</f>
        <v/>
      </c>
    </row>
    <row r="2777">
      <c r="A2777" s="7">
        <f>IFERROR(Datos!A2777,"")</f>
        <v/>
      </c>
      <c r="B2777" s="27">
        <f>IFERROR(IF(ISNUMBER(Datos!B2777),Datos!B2777/$F$2*100,NA()),NA())</f>
        <v/>
      </c>
      <c r="C2777" s="27">
        <f>IFERROR(IF(ISNUMBER(Datos!C2777),Datos!C2777/$F$3*100,NA()),NA())</f>
        <v/>
      </c>
    </row>
    <row r="2778">
      <c r="A2778" s="7">
        <f>IFERROR(Datos!A2778,"")</f>
        <v/>
      </c>
      <c r="B2778" s="27">
        <f>IFERROR(IF(ISNUMBER(Datos!B2778),Datos!B2778/$F$2*100,NA()),NA())</f>
        <v/>
      </c>
      <c r="C2778" s="27">
        <f>IFERROR(IF(ISNUMBER(Datos!C2778),Datos!C2778/$F$3*100,NA()),NA())</f>
        <v/>
      </c>
    </row>
    <row r="2779">
      <c r="A2779" s="7">
        <f>IFERROR(Datos!A2779,"")</f>
        <v/>
      </c>
      <c r="B2779" s="27">
        <f>IFERROR(IF(ISNUMBER(Datos!B2779),Datos!B2779/$F$2*100,NA()),NA())</f>
        <v/>
      </c>
      <c r="C2779" s="27">
        <f>IFERROR(IF(ISNUMBER(Datos!C2779),Datos!C2779/$F$3*100,NA()),NA())</f>
        <v/>
      </c>
    </row>
    <row r="2780">
      <c r="A2780" s="7">
        <f>IFERROR(Datos!A2780,"")</f>
        <v/>
      </c>
      <c r="B2780" s="27">
        <f>IFERROR(IF(ISNUMBER(Datos!B2780),Datos!B2780/$F$2*100,NA()),NA())</f>
        <v/>
      </c>
      <c r="C2780" s="27">
        <f>IFERROR(IF(ISNUMBER(Datos!C2780),Datos!C2780/$F$3*100,NA()),NA())</f>
        <v/>
      </c>
    </row>
    <row r="2781">
      <c r="A2781" s="7">
        <f>IFERROR(Datos!A2781,"")</f>
        <v/>
      </c>
      <c r="B2781" s="27">
        <f>IFERROR(IF(ISNUMBER(Datos!B2781),Datos!B2781/$F$2*100,NA()),NA())</f>
        <v/>
      </c>
      <c r="C2781" s="27">
        <f>IFERROR(IF(ISNUMBER(Datos!C2781),Datos!C2781/$F$3*100,NA()),NA())</f>
        <v/>
      </c>
    </row>
    <row r="2782">
      <c r="A2782" s="7">
        <f>IFERROR(Datos!A2782,"")</f>
        <v/>
      </c>
      <c r="B2782" s="27">
        <f>IFERROR(IF(ISNUMBER(Datos!B2782),Datos!B2782/$F$2*100,NA()),NA())</f>
        <v/>
      </c>
      <c r="C2782" s="27">
        <f>IFERROR(IF(ISNUMBER(Datos!C2782),Datos!C2782/$F$3*100,NA()),NA())</f>
        <v/>
      </c>
    </row>
    <row r="2783">
      <c r="A2783" s="7">
        <f>IFERROR(Datos!A2783,"")</f>
        <v/>
      </c>
      <c r="B2783" s="27">
        <f>IFERROR(IF(ISNUMBER(Datos!B2783),Datos!B2783/$F$2*100,NA()),NA())</f>
        <v/>
      </c>
      <c r="C2783" s="27">
        <f>IFERROR(IF(ISNUMBER(Datos!C2783),Datos!C2783/$F$3*100,NA()),NA())</f>
        <v/>
      </c>
    </row>
    <row r="2784">
      <c r="A2784" s="7">
        <f>IFERROR(Datos!A2784,"")</f>
        <v/>
      </c>
      <c r="B2784" s="27">
        <f>IFERROR(IF(ISNUMBER(Datos!B2784),Datos!B2784/$F$2*100,NA()),NA())</f>
        <v/>
      </c>
      <c r="C2784" s="27">
        <f>IFERROR(IF(ISNUMBER(Datos!C2784),Datos!C2784/$F$3*100,NA()),NA())</f>
        <v/>
      </c>
    </row>
    <row r="2785">
      <c r="A2785" s="7">
        <f>IFERROR(Datos!A2785,"")</f>
        <v/>
      </c>
      <c r="B2785" s="27">
        <f>IFERROR(IF(ISNUMBER(Datos!B2785),Datos!B2785/$F$2*100,NA()),NA())</f>
        <v/>
      </c>
      <c r="C2785" s="27">
        <f>IFERROR(IF(ISNUMBER(Datos!C2785),Datos!C2785/$F$3*100,NA()),NA())</f>
        <v/>
      </c>
    </row>
    <row r="2786">
      <c r="A2786" s="7">
        <f>IFERROR(Datos!A2786,"")</f>
        <v/>
      </c>
      <c r="B2786" s="27">
        <f>IFERROR(IF(ISNUMBER(Datos!B2786),Datos!B2786/$F$2*100,NA()),NA())</f>
        <v/>
      </c>
      <c r="C2786" s="27">
        <f>IFERROR(IF(ISNUMBER(Datos!C2786),Datos!C2786/$F$3*100,NA()),NA())</f>
        <v/>
      </c>
    </row>
    <row r="2787">
      <c r="A2787" s="7">
        <f>IFERROR(Datos!A2787,"")</f>
        <v/>
      </c>
      <c r="B2787" s="27">
        <f>IFERROR(IF(ISNUMBER(Datos!B2787),Datos!B2787/$F$2*100,NA()),NA())</f>
        <v/>
      </c>
      <c r="C2787" s="27">
        <f>IFERROR(IF(ISNUMBER(Datos!C2787),Datos!C2787/$F$3*100,NA()),NA())</f>
        <v/>
      </c>
    </row>
    <row r="2788">
      <c r="A2788" s="7">
        <f>IFERROR(Datos!A2788,"")</f>
        <v/>
      </c>
      <c r="B2788" s="27">
        <f>IFERROR(IF(ISNUMBER(Datos!B2788),Datos!B2788/$F$2*100,NA()),NA())</f>
        <v/>
      </c>
      <c r="C2788" s="27">
        <f>IFERROR(IF(ISNUMBER(Datos!C2788),Datos!C2788/$F$3*100,NA()),NA())</f>
        <v/>
      </c>
    </row>
    <row r="2789">
      <c r="A2789" s="7">
        <f>IFERROR(Datos!A2789,"")</f>
        <v/>
      </c>
      <c r="B2789" s="27">
        <f>IFERROR(IF(ISNUMBER(Datos!B2789),Datos!B2789/$F$2*100,NA()),NA())</f>
        <v/>
      </c>
      <c r="C2789" s="27">
        <f>IFERROR(IF(ISNUMBER(Datos!C2789),Datos!C2789/$F$3*100,NA()),NA())</f>
        <v/>
      </c>
    </row>
    <row r="2790">
      <c r="A2790" s="7">
        <f>IFERROR(Datos!A2790,"")</f>
        <v/>
      </c>
      <c r="B2790" s="27">
        <f>IFERROR(IF(ISNUMBER(Datos!B2790),Datos!B2790/$F$2*100,NA()),NA())</f>
        <v/>
      </c>
      <c r="C2790" s="27">
        <f>IFERROR(IF(ISNUMBER(Datos!C2790),Datos!C2790/$F$3*100,NA()),NA())</f>
        <v/>
      </c>
    </row>
    <row r="2791">
      <c r="A2791" s="7">
        <f>IFERROR(Datos!A2791,"")</f>
        <v/>
      </c>
      <c r="B2791" s="27">
        <f>IFERROR(IF(ISNUMBER(Datos!B2791),Datos!B2791/$F$2*100,NA()),NA())</f>
        <v/>
      </c>
      <c r="C2791" s="27">
        <f>IFERROR(IF(ISNUMBER(Datos!C2791),Datos!C2791/$F$3*100,NA()),NA())</f>
        <v/>
      </c>
    </row>
    <row r="2792">
      <c r="A2792" s="7">
        <f>IFERROR(Datos!A2792,"")</f>
        <v/>
      </c>
      <c r="B2792" s="27">
        <f>IFERROR(IF(ISNUMBER(Datos!B2792),Datos!B2792/$F$2*100,NA()),NA())</f>
        <v/>
      </c>
      <c r="C2792" s="27">
        <f>IFERROR(IF(ISNUMBER(Datos!C2792),Datos!C2792/$F$3*100,NA()),NA())</f>
        <v/>
      </c>
    </row>
    <row r="2793">
      <c r="A2793" s="7">
        <f>IFERROR(Datos!A2793,"")</f>
        <v/>
      </c>
      <c r="B2793" s="27">
        <f>IFERROR(IF(ISNUMBER(Datos!B2793),Datos!B2793/$F$2*100,NA()),NA())</f>
        <v/>
      </c>
      <c r="C2793" s="27">
        <f>IFERROR(IF(ISNUMBER(Datos!C2793),Datos!C2793/$F$3*100,NA()),NA())</f>
        <v/>
      </c>
    </row>
    <row r="2794">
      <c r="A2794" s="7">
        <f>IFERROR(Datos!A2794,"")</f>
        <v/>
      </c>
      <c r="B2794" s="27">
        <f>IFERROR(IF(ISNUMBER(Datos!B2794),Datos!B2794/$F$2*100,NA()),NA())</f>
        <v/>
      </c>
      <c r="C2794" s="27">
        <f>IFERROR(IF(ISNUMBER(Datos!C2794),Datos!C2794/$F$3*100,NA()),NA())</f>
        <v/>
      </c>
    </row>
    <row r="2795">
      <c r="A2795" s="7">
        <f>IFERROR(Datos!A2795,"")</f>
        <v/>
      </c>
      <c r="B2795" s="27">
        <f>IFERROR(IF(ISNUMBER(Datos!B2795),Datos!B2795/$F$2*100,NA()),NA())</f>
        <v/>
      </c>
      <c r="C2795" s="27">
        <f>IFERROR(IF(ISNUMBER(Datos!C2795),Datos!C2795/$F$3*100,NA()),NA())</f>
        <v/>
      </c>
    </row>
    <row r="2796">
      <c r="A2796" s="7">
        <f>IFERROR(Datos!A2796,"")</f>
        <v/>
      </c>
      <c r="B2796" s="27">
        <f>IFERROR(IF(ISNUMBER(Datos!B2796),Datos!B2796/$F$2*100,NA()),NA())</f>
        <v/>
      </c>
      <c r="C2796" s="27">
        <f>IFERROR(IF(ISNUMBER(Datos!C2796),Datos!C2796/$F$3*100,NA()),NA())</f>
        <v/>
      </c>
    </row>
    <row r="2797">
      <c r="A2797" s="7">
        <f>IFERROR(Datos!A2797,"")</f>
        <v/>
      </c>
      <c r="B2797" s="27">
        <f>IFERROR(IF(ISNUMBER(Datos!B2797),Datos!B2797/$F$2*100,NA()),NA())</f>
        <v/>
      </c>
      <c r="C2797" s="27">
        <f>IFERROR(IF(ISNUMBER(Datos!C2797),Datos!C2797/$F$3*100,NA()),NA())</f>
        <v/>
      </c>
    </row>
    <row r="2798">
      <c r="A2798" s="7">
        <f>IFERROR(Datos!A2798,"")</f>
        <v/>
      </c>
      <c r="B2798" s="27">
        <f>IFERROR(IF(ISNUMBER(Datos!B2798),Datos!B2798/$F$2*100,NA()),NA())</f>
        <v/>
      </c>
      <c r="C2798" s="27">
        <f>IFERROR(IF(ISNUMBER(Datos!C2798),Datos!C2798/$F$3*100,NA()),NA())</f>
        <v/>
      </c>
    </row>
    <row r="2799">
      <c r="A2799" s="7">
        <f>IFERROR(Datos!A2799,"")</f>
        <v/>
      </c>
      <c r="B2799" s="27">
        <f>IFERROR(IF(ISNUMBER(Datos!B2799),Datos!B2799/$F$2*100,NA()),NA())</f>
        <v/>
      </c>
      <c r="C2799" s="27">
        <f>IFERROR(IF(ISNUMBER(Datos!C2799),Datos!C2799/$F$3*100,NA()),NA())</f>
        <v/>
      </c>
    </row>
    <row r="2800">
      <c r="A2800" s="7">
        <f>IFERROR(Datos!A2800,"")</f>
        <v/>
      </c>
      <c r="B2800" s="27">
        <f>IFERROR(IF(ISNUMBER(Datos!B2800),Datos!B2800/$F$2*100,NA()),NA())</f>
        <v/>
      </c>
      <c r="C2800" s="27">
        <f>IFERROR(IF(ISNUMBER(Datos!C2800),Datos!C2800/$F$3*100,NA()),NA())</f>
        <v/>
      </c>
    </row>
    <row r="2801">
      <c r="A2801" s="7">
        <f>IFERROR(Datos!A2801,"")</f>
        <v/>
      </c>
      <c r="B2801" s="27">
        <f>IFERROR(IF(ISNUMBER(Datos!B2801),Datos!B2801/$F$2*100,NA()),NA())</f>
        <v/>
      </c>
      <c r="C2801" s="27">
        <f>IFERROR(IF(ISNUMBER(Datos!C2801),Datos!C2801/$F$3*100,NA()),NA())</f>
        <v/>
      </c>
    </row>
    <row r="2802">
      <c r="A2802" s="7">
        <f>IFERROR(Datos!A2802,"")</f>
        <v/>
      </c>
      <c r="B2802" s="27">
        <f>IFERROR(IF(ISNUMBER(Datos!B2802),Datos!B2802/$F$2*100,NA()),NA())</f>
        <v/>
      </c>
      <c r="C2802" s="27">
        <f>IFERROR(IF(ISNUMBER(Datos!C2802),Datos!C2802/$F$3*100,NA()),NA())</f>
        <v/>
      </c>
    </row>
    <row r="2803">
      <c r="A2803" s="7">
        <f>IFERROR(Datos!A2803,"")</f>
        <v/>
      </c>
      <c r="B2803" s="27">
        <f>IFERROR(IF(ISNUMBER(Datos!B2803),Datos!B2803/$F$2*100,NA()),NA())</f>
        <v/>
      </c>
      <c r="C2803" s="27">
        <f>IFERROR(IF(ISNUMBER(Datos!C2803),Datos!C2803/$F$3*100,NA()),NA())</f>
        <v/>
      </c>
    </row>
    <row r="2804">
      <c r="A2804" s="7">
        <f>IFERROR(Datos!A2804,"")</f>
        <v/>
      </c>
      <c r="B2804" s="27">
        <f>IFERROR(IF(ISNUMBER(Datos!B2804),Datos!B2804/$F$2*100,NA()),NA())</f>
        <v/>
      </c>
      <c r="C2804" s="27">
        <f>IFERROR(IF(ISNUMBER(Datos!C2804),Datos!C2804/$F$3*100,NA()),NA())</f>
        <v/>
      </c>
    </row>
    <row r="2805">
      <c r="A2805" s="7">
        <f>IFERROR(Datos!A2805,"")</f>
        <v/>
      </c>
      <c r="B2805" s="27">
        <f>IFERROR(IF(ISNUMBER(Datos!B2805),Datos!B2805/$F$2*100,NA()),NA())</f>
        <v/>
      </c>
      <c r="C2805" s="27">
        <f>IFERROR(IF(ISNUMBER(Datos!C2805),Datos!C2805/$F$3*100,NA()),NA())</f>
        <v/>
      </c>
    </row>
    <row r="2806">
      <c r="A2806" s="7">
        <f>IFERROR(Datos!A2806,"")</f>
        <v/>
      </c>
      <c r="B2806" s="27">
        <f>IFERROR(IF(ISNUMBER(Datos!B2806),Datos!B2806/$F$2*100,NA()),NA())</f>
        <v/>
      </c>
      <c r="C2806" s="27">
        <f>IFERROR(IF(ISNUMBER(Datos!C2806),Datos!C2806/$F$3*100,NA()),NA())</f>
        <v/>
      </c>
    </row>
    <row r="2807">
      <c r="A2807" s="7">
        <f>IFERROR(Datos!A2807,"")</f>
        <v/>
      </c>
      <c r="B2807" s="27">
        <f>IFERROR(IF(ISNUMBER(Datos!B2807),Datos!B2807/$F$2*100,NA()),NA())</f>
        <v/>
      </c>
      <c r="C2807" s="27">
        <f>IFERROR(IF(ISNUMBER(Datos!C2807),Datos!C2807/$F$3*100,NA()),NA())</f>
        <v/>
      </c>
    </row>
    <row r="2808">
      <c r="A2808" s="7">
        <f>IFERROR(Datos!A2808,"")</f>
        <v/>
      </c>
      <c r="B2808" s="27">
        <f>IFERROR(IF(ISNUMBER(Datos!B2808),Datos!B2808/$F$2*100,NA()),NA())</f>
        <v/>
      </c>
      <c r="C2808" s="27">
        <f>IFERROR(IF(ISNUMBER(Datos!C2808),Datos!C2808/$F$3*100,NA()),NA())</f>
        <v/>
      </c>
    </row>
    <row r="2809">
      <c r="A2809" s="7">
        <f>IFERROR(Datos!A2809,"")</f>
        <v/>
      </c>
      <c r="B2809" s="27">
        <f>IFERROR(IF(ISNUMBER(Datos!B2809),Datos!B2809/$F$2*100,NA()),NA())</f>
        <v/>
      </c>
      <c r="C2809" s="27">
        <f>IFERROR(IF(ISNUMBER(Datos!C2809),Datos!C2809/$F$3*100,NA()),NA())</f>
        <v/>
      </c>
    </row>
    <row r="2810">
      <c r="A2810" s="7">
        <f>IFERROR(Datos!A2810,"")</f>
        <v/>
      </c>
      <c r="B2810" s="27">
        <f>IFERROR(IF(ISNUMBER(Datos!B2810),Datos!B2810/$F$2*100,NA()),NA())</f>
        <v/>
      </c>
      <c r="C2810" s="27">
        <f>IFERROR(IF(ISNUMBER(Datos!C2810),Datos!C2810/$F$3*100,NA()),NA())</f>
        <v/>
      </c>
    </row>
    <row r="2811">
      <c r="A2811" s="7">
        <f>IFERROR(Datos!A2811,"")</f>
        <v/>
      </c>
      <c r="B2811" s="27">
        <f>IFERROR(IF(ISNUMBER(Datos!B2811),Datos!B2811/$F$2*100,NA()),NA())</f>
        <v/>
      </c>
      <c r="C2811" s="27">
        <f>IFERROR(IF(ISNUMBER(Datos!C2811),Datos!C2811/$F$3*100,NA()),NA())</f>
        <v/>
      </c>
    </row>
    <row r="2812">
      <c r="A2812" s="7">
        <f>IFERROR(Datos!A2812,"")</f>
        <v/>
      </c>
      <c r="B2812" s="27">
        <f>IFERROR(IF(ISNUMBER(Datos!B2812),Datos!B2812/$F$2*100,NA()),NA())</f>
        <v/>
      </c>
      <c r="C2812" s="27">
        <f>IFERROR(IF(ISNUMBER(Datos!C2812),Datos!C2812/$F$3*100,NA()),NA())</f>
        <v/>
      </c>
    </row>
    <row r="2813">
      <c r="A2813" s="7">
        <f>IFERROR(Datos!A2813,"")</f>
        <v/>
      </c>
      <c r="B2813" s="27">
        <f>IFERROR(IF(ISNUMBER(Datos!B2813),Datos!B2813/$F$2*100,NA()),NA())</f>
        <v/>
      </c>
      <c r="C2813" s="27">
        <f>IFERROR(IF(ISNUMBER(Datos!C2813),Datos!C2813/$F$3*100,NA()),NA())</f>
        <v/>
      </c>
    </row>
    <row r="2814">
      <c r="A2814" s="7">
        <f>IFERROR(Datos!A2814,"")</f>
        <v/>
      </c>
      <c r="B2814" s="27">
        <f>IFERROR(IF(ISNUMBER(Datos!B2814),Datos!B2814/$F$2*100,NA()),NA())</f>
        <v/>
      </c>
      <c r="C2814" s="27">
        <f>IFERROR(IF(ISNUMBER(Datos!C2814),Datos!C2814/$F$3*100,NA()),NA())</f>
        <v/>
      </c>
    </row>
    <row r="2815">
      <c r="A2815" s="7">
        <f>IFERROR(Datos!A2815,"")</f>
        <v/>
      </c>
      <c r="B2815" s="27">
        <f>IFERROR(IF(ISNUMBER(Datos!B2815),Datos!B2815/$F$2*100,NA()),NA())</f>
        <v/>
      </c>
      <c r="C2815" s="27">
        <f>IFERROR(IF(ISNUMBER(Datos!C2815),Datos!C2815/$F$3*100,NA()),NA())</f>
        <v/>
      </c>
    </row>
    <row r="2816">
      <c r="A2816" s="7">
        <f>IFERROR(Datos!A2816,"")</f>
        <v/>
      </c>
      <c r="B2816" s="27">
        <f>IFERROR(IF(ISNUMBER(Datos!B2816),Datos!B2816/$F$2*100,NA()),NA())</f>
        <v/>
      </c>
      <c r="C2816" s="27">
        <f>IFERROR(IF(ISNUMBER(Datos!C2816),Datos!C2816/$F$3*100,NA()),NA())</f>
        <v/>
      </c>
    </row>
    <row r="2817">
      <c r="A2817" s="7">
        <f>IFERROR(Datos!A2817,"")</f>
        <v/>
      </c>
      <c r="B2817" s="27">
        <f>IFERROR(IF(ISNUMBER(Datos!B2817),Datos!B2817/$F$2*100,NA()),NA())</f>
        <v/>
      </c>
      <c r="C2817" s="27">
        <f>IFERROR(IF(ISNUMBER(Datos!C2817),Datos!C2817/$F$3*100,NA()),NA())</f>
        <v/>
      </c>
    </row>
    <row r="2818">
      <c r="A2818" s="7">
        <f>IFERROR(Datos!A2818,"")</f>
        <v/>
      </c>
      <c r="B2818" s="27">
        <f>IFERROR(IF(ISNUMBER(Datos!B2818),Datos!B2818/$F$2*100,NA()),NA())</f>
        <v/>
      </c>
      <c r="C2818" s="27">
        <f>IFERROR(IF(ISNUMBER(Datos!C2818),Datos!C2818/$F$3*100,NA()),NA())</f>
        <v/>
      </c>
    </row>
    <row r="2819">
      <c r="A2819" s="7">
        <f>IFERROR(Datos!A2819,"")</f>
        <v/>
      </c>
      <c r="B2819" s="27">
        <f>IFERROR(IF(ISNUMBER(Datos!B2819),Datos!B2819/$F$2*100,NA()),NA())</f>
        <v/>
      </c>
      <c r="C2819" s="27">
        <f>IFERROR(IF(ISNUMBER(Datos!C2819),Datos!C2819/$F$3*100,NA()),NA())</f>
        <v/>
      </c>
    </row>
    <row r="2820">
      <c r="A2820" s="7">
        <f>IFERROR(Datos!A2820,"")</f>
        <v/>
      </c>
      <c r="B2820" s="27">
        <f>IFERROR(IF(ISNUMBER(Datos!B2820),Datos!B2820/$F$2*100,NA()),NA())</f>
        <v/>
      </c>
      <c r="C2820" s="27">
        <f>IFERROR(IF(ISNUMBER(Datos!C2820),Datos!C2820/$F$3*100,NA()),NA())</f>
        <v/>
      </c>
    </row>
    <row r="2821">
      <c r="A2821" s="7">
        <f>IFERROR(Datos!A2821,"")</f>
        <v/>
      </c>
      <c r="B2821" s="27">
        <f>IFERROR(IF(ISNUMBER(Datos!B2821),Datos!B2821/$F$2*100,NA()),NA())</f>
        <v/>
      </c>
      <c r="C2821" s="27">
        <f>IFERROR(IF(ISNUMBER(Datos!C2821),Datos!C2821/$F$3*100,NA()),NA())</f>
        <v/>
      </c>
    </row>
    <row r="2822">
      <c r="A2822" s="7">
        <f>IFERROR(Datos!A2822,"")</f>
        <v/>
      </c>
      <c r="B2822" s="27">
        <f>IFERROR(IF(ISNUMBER(Datos!B2822),Datos!B2822/$F$2*100,NA()),NA())</f>
        <v/>
      </c>
      <c r="C2822" s="27">
        <f>IFERROR(IF(ISNUMBER(Datos!C2822),Datos!C2822/$F$3*100,NA()),NA())</f>
        <v/>
      </c>
    </row>
    <row r="2823">
      <c r="A2823" s="7">
        <f>IFERROR(Datos!A2823,"")</f>
        <v/>
      </c>
      <c r="B2823" s="27">
        <f>IFERROR(IF(ISNUMBER(Datos!B2823),Datos!B2823/$F$2*100,NA()),NA())</f>
        <v/>
      </c>
      <c r="C2823" s="27">
        <f>IFERROR(IF(ISNUMBER(Datos!C2823),Datos!C2823/$F$3*100,NA()),NA())</f>
        <v/>
      </c>
    </row>
    <row r="2824">
      <c r="A2824" s="7">
        <f>IFERROR(Datos!A2824,"")</f>
        <v/>
      </c>
      <c r="B2824" s="27">
        <f>IFERROR(IF(ISNUMBER(Datos!B2824),Datos!B2824/$F$2*100,NA()),NA())</f>
        <v/>
      </c>
      <c r="C2824" s="27">
        <f>IFERROR(IF(ISNUMBER(Datos!C2824),Datos!C2824/$F$3*100,NA()),NA())</f>
        <v/>
      </c>
    </row>
    <row r="2825">
      <c r="A2825" s="7">
        <f>IFERROR(Datos!A2825,"")</f>
        <v/>
      </c>
      <c r="B2825" s="27">
        <f>IFERROR(IF(ISNUMBER(Datos!B2825),Datos!B2825/$F$2*100,NA()),NA())</f>
        <v/>
      </c>
      <c r="C2825" s="27">
        <f>IFERROR(IF(ISNUMBER(Datos!C2825),Datos!C2825/$F$3*100,NA()),NA())</f>
        <v/>
      </c>
    </row>
    <row r="2826">
      <c r="A2826" s="7">
        <f>IFERROR(Datos!A2826,"")</f>
        <v/>
      </c>
      <c r="B2826" s="27">
        <f>IFERROR(IF(ISNUMBER(Datos!B2826),Datos!B2826/$F$2*100,NA()),NA())</f>
        <v/>
      </c>
      <c r="C2826" s="27">
        <f>IFERROR(IF(ISNUMBER(Datos!C2826),Datos!C2826/$F$3*100,NA()),NA())</f>
        <v/>
      </c>
    </row>
    <row r="2827">
      <c r="A2827" s="7">
        <f>IFERROR(Datos!A2827,"")</f>
        <v/>
      </c>
      <c r="B2827" s="27">
        <f>IFERROR(IF(ISNUMBER(Datos!B2827),Datos!B2827/$F$2*100,NA()),NA())</f>
        <v/>
      </c>
      <c r="C2827" s="27">
        <f>IFERROR(IF(ISNUMBER(Datos!C2827),Datos!C2827/$F$3*100,NA()),NA())</f>
        <v/>
      </c>
    </row>
    <row r="2828">
      <c r="A2828" s="7">
        <f>IFERROR(Datos!A2828,"")</f>
        <v/>
      </c>
      <c r="B2828" s="27">
        <f>IFERROR(IF(ISNUMBER(Datos!B2828),Datos!B2828/$F$2*100,NA()),NA())</f>
        <v/>
      </c>
      <c r="C2828" s="27">
        <f>IFERROR(IF(ISNUMBER(Datos!C2828),Datos!C2828/$F$3*100,NA()),NA())</f>
        <v/>
      </c>
    </row>
    <row r="2829">
      <c r="A2829" s="7">
        <f>IFERROR(Datos!A2829,"")</f>
        <v/>
      </c>
      <c r="B2829" s="27">
        <f>IFERROR(IF(ISNUMBER(Datos!B2829),Datos!B2829/$F$2*100,NA()),NA())</f>
        <v/>
      </c>
      <c r="C2829" s="27">
        <f>IFERROR(IF(ISNUMBER(Datos!C2829),Datos!C2829/$F$3*100,NA()),NA())</f>
        <v/>
      </c>
    </row>
    <row r="2830">
      <c r="A2830" s="7">
        <f>IFERROR(Datos!A2830,"")</f>
        <v/>
      </c>
      <c r="B2830" s="27">
        <f>IFERROR(IF(ISNUMBER(Datos!B2830),Datos!B2830/$F$2*100,NA()),NA())</f>
        <v/>
      </c>
      <c r="C2830" s="27">
        <f>IFERROR(IF(ISNUMBER(Datos!C2830),Datos!C2830/$F$3*100,NA()),NA())</f>
        <v/>
      </c>
    </row>
    <row r="2831">
      <c r="A2831" s="7">
        <f>IFERROR(Datos!A2831,"")</f>
        <v/>
      </c>
      <c r="B2831" s="27">
        <f>IFERROR(IF(ISNUMBER(Datos!B2831),Datos!B2831/$F$2*100,NA()),NA())</f>
        <v/>
      </c>
      <c r="C2831" s="27">
        <f>IFERROR(IF(ISNUMBER(Datos!C2831),Datos!C2831/$F$3*100,NA()),NA())</f>
        <v/>
      </c>
    </row>
    <row r="2832">
      <c r="A2832" s="7">
        <f>IFERROR(Datos!A2832,"")</f>
        <v/>
      </c>
      <c r="B2832" s="27">
        <f>IFERROR(IF(ISNUMBER(Datos!B2832),Datos!B2832/$F$2*100,NA()),NA())</f>
        <v/>
      </c>
      <c r="C2832" s="27">
        <f>IFERROR(IF(ISNUMBER(Datos!C2832),Datos!C2832/$F$3*100,NA()),NA())</f>
        <v/>
      </c>
    </row>
    <row r="2833">
      <c r="A2833" s="7">
        <f>IFERROR(Datos!A2833,"")</f>
        <v/>
      </c>
      <c r="B2833" s="27">
        <f>IFERROR(IF(ISNUMBER(Datos!B2833),Datos!B2833/$F$2*100,NA()),NA())</f>
        <v/>
      </c>
      <c r="C2833" s="27">
        <f>IFERROR(IF(ISNUMBER(Datos!C2833),Datos!C2833/$F$3*100,NA()),NA())</f>
        <v/>
      </c>
    </row>
    <row r="2834">
      <c r="A2834" s="7">
        <f>IFERROR(Datos!A2834,"")</f>
        <v/>
      </c>
      <c r="B2834" s="27">
        <f>IFERROR(IF(ISNUMBER(Datos!B2834),Datos!B2834/$F$2*100,NA()),NA())</f>
        <v/>
      </c>
      <c r="C2834" s="27">
        <f>IFERROR(IF(ISNUMBER(Datos!C2834),Datos!C2834/$F$3*100,NA()),NA())</f>
        <v/>
      </c>
    </row>
    <row r="2835">
      <c r="A2835" s="7">
        <f>IFERROR(Datos!A2835,"")</f>
        <v/>
      </c>
      <c r="B2835" s="27">
        <f>IFERROR(IF(ISNUMBER(Datos!B2835),Datos!B2835/$F$2*100,NA()),NA())</f>
        <v/>
      </c>
      <c r="C2835" s="27">
        <f>IFERROR(IF(ISNUMBER(Datos!C2835),Datos!C2835/$F$3*100,NA()),NA())</f>
        <v/>
      </c>
    </row>
    <row r="2836">
      <c r="A2836" s="7">
        <f>IFERROR(Datos!A2836,"")</f>
        <v/>
      </c>
      <c r="B2836" s="27">
        <f>IFERROR(IF(ISNUMBER(Datos!B2836),Datos!B2836/$F$2*100,NA()),NA())</f>
        <v/>
      </c>
      <c r="C2836" s="27">
        <f>IFERROR(IF(ISNUMBER(Datos!C2836),Datos!C2836/$F$3*100,NA()),NA())</f>
        <v/>
      </c>
    </row>
    <row r="2837">
      <c r="A2837" s="7">
        <f>IFERROR(Datos!A2837,"")</f>
        <v/>
      </c>
      <c r="B2837" s="27">
        <f>IFERROR(IF(ISNUMBER(Datos!B2837),Datos!B2837/$F$2*100,NA()),NA())</f>
        <v/>
      </c>
      <c r="C2837" s="27">
        <f>IFERROR(IF(ISNUMBER(Datos!C2837),Datos!C2837/$F$3*100,NA()),NA())</f>
        <v/>
      </c>
    </row>
    <row r="2838">
      <c r="A2838" s="7">
        <f>IFERROR(Datos!A2838,"")</f>
        <v/>
      </c>
      <c r="B2838" s="27">
        <f>IFERROR(IF(ISNUMBER(Datos!B2838),Datos!B2838/$F$2*100,NA()),NA())</f>
        <v/>
      </c>
      <c r="C2838" s="27">
        <f>IFERROR(IF(ISNUMBER(Datos!C2838),Datos!C2838/$F$3*100,NA()),NA())</f>
        <v/>
      </c>
    </row>
    <row r="2839">
      <c r="A2839" s="7">
        <f>IFERROR(Datos!A2839,"")</f>
        <v/>
      </c>
      <c r="B2839" s="27">
        <f>IFERROR(IF(ISNUMBER(Datos!B2839),Datos!B2839/$F$2*100,NA()),NA())</f>
        <v/>
      </c>
      <c r="C2839" s="27">
        <f>IFERROR(IF(ISNUMBER(Datos!C2839),Datos!C2839/$F$3*100,NA()),NA())</f>
        <v/>
      </c>
    </row>
    <row r="2840">
      <c r="A2840" s="7">
        <f>IFERROR(Datos!A2840,"")</f>
        <v/>
      </c>
      <c r="B2840" s="27">
        <f>IFERROR(IF(ISNUMBER(Datos!B2840),Datos!B2840/$F$2*100,NA()),NA())</f>
        <v/>
      </c>
      <c r="C2840" s="27">
        <f>IFERROR(IF(ISNUMBER(Datos!C2840),Datos!C2840/$F$3*100,NA()),NA())</f>
        <v/>
      </c>
    </row>
    <row r="2841">
      <c r="A2841" s="7">
        <f>IFERROR(Datos!A2841,"")</f>
        <v/>
      </c>
      <c r="B2841" s="27">
        <f>IFERROR(IF(ISNUMBER(Datos!B2841),Datos!B2841/$F$2*100,NA()),NA())</f>
        <v/>
      </c>
      <c r="C2841" s="27">
        <f>IFERROR(IF(ISNUMBER(Datos!C2841),Datos!C2841/$F$3*100,NA()),NA())</f>
        <v/>
      </c>
    </row>
    <row r="2842">
      <c r="A2842" s="7">
        <f>IFERROR(Datos!A2842,"")</f>
        <v/>
      </c>
      <c r="B2842" s="27">
        <f>IFERROR(IF(ISNUMBER(Datos!B2842),Datos!B2842/$F$2*100,NA()),NA())</f>
        <v/>
      </c>
      <c r="C2842" s="27">
        <f>IFERROR(IF(ISNUMBER(Datos!C2842),Datos!C2842/$F$3*100,NA()),NA())</f>
        <v/>
      </c>
    </row>
    <row r="2843">
      <c r="A2843" s="7">
        <f>IFERROR(Datos!A2843,"")</f>
        <v/>
      </c>
      <c r="B2843" s="27">
        <f>IFERROR(IF(ISNUMBER(Datos!B2843),Datos!B2843/$F$2*100,NA()),NA())</f>
        <v/>
      </c>
      <c r="C2843" s="27">
        <f>IFERROR(IF(ISNUMBER(Datos!C2843),Datos!C2843/$F$3*100,NA()),NA())</f>
        <v/>
      </c>
    </row>
    <row r="2844">
      <c r="A2844" s="7">
        <f>IFERROR(Datos!A2844,"")</f>
        <v/>
      </c>
      <c r="B2844" s="27">
        <f>IFERROR(IF(ISNUMBER(Datos!B2844),Datos!B2844/$F$2*100,NA()),NA())</f>
        <v/>
      </c>
      <c r="C2844" s="27">
        <f>IFERROR(IF(ISNUMBER(Datos!C2844),Datos!C2844/$F$3*100,NA()),NA())</f>
        <v/>
      </c>
    </row>
    <row r="2845">
      <c r="A2845" s="7">
        <f>IFERROR(Datos!A2845,"")</f>
        <v/>
      </c>
      <c r="B2845" s="27">
        <f>IFERROR(IF(ISNUMBER(Datos!B2845),Datos!B2845/$F$2*100,NA()),NA())</f>
        <v/>
      </c>
      <c r="C2845" s="27">
        <f>IFERROR(IF(ISNUMBER(Datos!C2845),Datos!C2845/$F$3*100,NA()),NA())</f>
        <v/>
      </c>
    </row>
    <row r="2846">
      <c r="A2846" s="7">
        <f>IFERROR(Datos!A2846,"")</f>
        <v/>
      </c>
      <c r="B2846" s="27">
        <f>IFERROR(IF(ISNUMBER(Datos!B2846),Datos!B2846/$F$2*100,NA()),NA())</f>
        <v/>
      </c>
      <c r="C2846" s="27">
        <f>IFERROR(IF(ISNUMBER(Datos!C2846),Datos!C2846/$F$3*100,NA()),NA())</f>
        <v/>
      </c>
    </row>
    <row r="2847">
      <c r="A2847" s="7">
        <f>IFERROR(Datos!A2847,"")</f>
        <v/>
      </c>
      <c r="B2847" s="27">
        <f>IFERROR(IF(ISNUMBER(Datos!B2847),Datos!B2847/$F$2*100,NA()),NA())</f>
        <v/>
      </c>
      <c r="C2847" s="27">
        <f>IFERROR(IF(ISNUMBER(Datos!C2847),Datos!C2847/$F$3*100,NA()),NA())</f>
        <v/>
      </c>
    </row>
    <row r="2848">
      <c r="A2848" s="7">
        <f>IFERROR(Datos!A2848,"")</f>
        <v/>
      </c>
      <c r="B2848" s="27">
        <f>IFERROR(IF(ISNUMBER(Datos!B2848),Datos!B2848/$F$2*100,NA()),NA())</f>
        <v/>
      </c>
      <c r="C2848" s="27">
        <f>IFERROR(IF(ISNUMBER(Datos!C2848),Datos!C2848/$F$3*100,NA()),NA())</f>
        <v/>
      </c>
    </row>
    <row r="2849">
      <c r="A2849" s="7">
        <f>IFERROR(Datos!A2849,"")</f>
        <v/>
      </c>
      <c r="B2849" s="27">
        <f>IFERROR(IF(ISNUMBER(Datos!B2849),Datos!B2849/$F$2*100,NA()),NA())</f>
        <v/>
      </c>
      <c r="C2849" s="27">
        <f>IFERROR(IF(ISNUMBER(Datos!C2849),Datos!C2849/$F$3*100,NA()),NA())</f>
        <v/>
      </c>
    </row>
    <row r="2850">
      <c r="A2850" s="7">
        <f>IFERROR(Datos!A2850,"")</f>
        <v/>
      </c>
      <c r="B2850" s="27">
        <f>IFERROR(IF(ISNUMBER(Datos!B2850),Datos!B2850/$F$2*100,NA()),NA())</f>
        <v/>
      </c>
      <c r="C2850" s="27">
        <f>IFERROR(IF(ISNUMBER(Datos!C2850),Datos!C2850/$F$3*100,NA()),NA())</f>
        <v/>
      </c>
    </row>
    <row r="2851">
      <c r="A2851" s="7">
        <f>IFERROR(Datos!A2851,"")</f>
        <v/>
      </c>
      <c r="B2851" s="27">
        <f>IFERROR(IF(ISNUMBER(Datos!B2851),Datos!B2851/$F$2*100,NA()),NA())</f>
        <v/>
      </c>
      <c r="C2851" s="27">
        <f>IFERROR(IF(ISNUMBER(Datos!C2851),Datos!C2851/$F$3*100,NA()),NA())</f>
        <v/>
      </c>
    </row>
    <row r="2852">
      <c r="A2852" s="7">
        <f>IFERROR(Datos!A2852,"")</f>
        <v/>
      </c>
      <c r="B2852" s="27">
        <f>IFERROR(IF(ISNUMBER(Datos!B2852),Datos!B2852/$F$2*100,NA()),NA())</f>
        <v/>
      </c>
      <c r="C2852" s="27">
        <f>IFERROR(IF(ISNUMBER(Datos!C2852),Datos!C2852/$F$3*100,NA()),NA())</f>
        <v/>
      </c>
    </row>
    <row r="2853">
      <c r="A2853" s="7">
        <f>IFERROR(Datos!A2853,"")</f>
        <v/>
      </c>
      <c r="B2853" s="27">
        <f>IFERROR(IF(ISNUMBER(Datos!B2853),Datos!B2853/$F$2*100,NA()),NA())</f>
        <v/>
      </c>
      <c r="C2853" s="27">
        <f>IFERROR(IF(ISNUMBER(Datos!C2853),Datos!C2853/$F$3*100,NA()),NA())</f>
        <v/>
      </c>
    </row>
    <row r="2854">
      <c r="A2854" s="7">
        <f>IFERROR(Datos!A2854,"")</f>
        <v/>
      </c>
      <c r="B2854" s="27">
        <f>IFERROR(IF(ISNUMBER(Datos!B2854),Datos!B2854/$F$2*100,NA()),NA())</f>
        <v/>
      </c>
      <c r="C2854" s="27">
        <f>IFERROR(IF(ISNUMBER(Datos!C2854),Datos!C2854/$F$3*100,NA()),NA())</f>
        <v/>
      </c>
    </row>
    <row r="2855">
      <c r="A2855" s="7">
        <f>IFERROR(Datos!A2855,"")</f>
        <v/>
      </c>
      <c r="B2855" s="27">
        <f>IFERROR(IF(ISNUMBER(Datos!B2855),Datos!B2855/$F$2*100,NA()),NA())</f>
        <v/>
      </c>
      <c r="C2855" s="27">
        <f>IFERROR(IF(ISNUMBER(Datos!C2855),Datos!C2855/$F$3*100,NA()),NA())</f>
        <v/>
      </c>
    </row>
    <row r="2856">
      <c r="A2856" s="7">
        <f>IFERROR(Datos!A2856,"")</f>
        <v/>
      </c>
      <c r="B2856" s="27">
        <f>IFERROR(IF(ISNUMBER(Datos!B2856),Datos!B2856/$F$2*100,NA()),NA())</f>
        <v/>
      </c>
      <c r="C2856" s="27">
        <f>IFERROR(IF(ISNUMBER(Datos!C2856),Datos!C2856/$F$3*100,NA()),NA())</f>
        <v/>
      </c>
    </row>
    <row r="2857">
      <c r="A2857" s="7">
        <f>IFERROR(Datos!A2857,"")</f>
        <v/>
      </c>
      <c r="B2857" s="27">
        <f>IFERROR(IF(ISNUMBER(Datos!B2857),Datos!B2857/$F$2*100,NA()),NA())</f>
        <v/>
      </c>
      <c r="C2857" s="27">
        <f>IFERROR(IF(ISNUMBER(Datos!C2857),Datos!C2857/$F$3*100,NA()),NA())</f>
        <v/>
      </c>
    </row>
    <row r="2858">
      <c r="A2858" s="7">
        <f>IFERROR(Datos!A2858,"")</f>
        <v/>
      </c>
      <c r="B2858" s="27">
        <f>IFERROR(IF(ISNUMBER(Datos!B2858),Datos!B2858/$F$2*100,NA()),NA())</f>
        <v/>
      </c>
      <c r="C2858" s="27">
        <f>IFERROR(IF(ISNUMBER(Datos!C2858),Datos!C2858/$F$3*100,NA()),NA())</f>
        <v/>
      </c>
    </row>
    <row r="2859">
      <c r="A2859" s="7">
        <f>IFERROR(Datos!A2859,"")</f>
        <v/>
      </c>
      <c r="B2859" s="27">
        <f>IFERROR(IF(ISNUMBER(Datos!B2859),Datos!B2859/$F$2*100,NA()),NA())</f>
        <v/>
      </c>
      <c r="C2859" s="27">
        <f>IFERROR(IF(ISNUMBER(Datos!C2859),Datos!C2859/$F$3*100,NA()),NA())</f>
        <v/>
      </c>
    </row>
    <row r="2860">
      <c r="A2860" s="7">
        <f>IFERROR(Datos!A2860,"")</f>
        <v/>
      </c>
      <c r="B2860" s="27">
        <f>IFERROR(IF(ISNUMBER(Datos!B2860),Datos!B2860/$F$2*100,NA()),NA())</f>
        <v/>
      </c>
      <c r="C2860" s="27">
        <f>IFERROR(IF(ISNUMBER(Datos!C2860),Datos!C2860/$F$3*100,NA()),NA())</f>
        <v/>
      </c>
    </row>
    <row r="2861">
      <c r="A2861" s="7">
        <f>IFERROR(Datos!A2861,"")</f>
        <v/>
      </c>
      <c r="B2861" s="27">
        <f>IFERROR(IF(ISNUMBER(Datos!B2861),Datos!B2861/$F$2*100,NA()),NA())</f>
        <v/>
      </c>
      <c r="C2861" s="27">
        <f>IFERROR(IF(ISNUMBER(Datos!C2861),Datos!C2861/$F$3*100,NA()),NA())</f>
        <v/>
      </c>
    </row>
    <row r="2862">
      <c r="A2862" s="7">
        <f>IFERROR(Datos!A2862,"")</f>
        <v/>
      </c>
      <c r="B2862" s="27">
        <f>IFERROR(IF(ISNUMBER(Datos!B2862),Datos!B2862/$F$2*100,NA()),NA())</f>
        <v/>
      </c>
      <c r="C2862" s="27">
        <f>IFERROR(IF(ISNUMBER(Datos!C2862),Datos!C2862/$F$3*100,NA()),NA())</f>
        <v/>
      </c>
    </row>
    <row r="2863">
      <c r="A2863" s="7">
        <f>IFERROR(Datos!A2863,"")</f>
        <v/>
      </c>
      <c r="B2863" s="27">
        <f>IFERROR(IF(ISNUMBER(Datos!B2863),Datos!B2863/$F$2*100,NA()),NA())</f>
        <v/>
      </c>
      <c r="C2863" s="27">
        <f>IFERROR(IF(ISNUMBER(Datos!C2863),Datos!C2863/$F$3*100,NA()),NA())</f>
        <v/>
      </c>
    </row>
    <row r="2864">
      <c r="A2864" s="7">
        <f>IFERROR(Datos!A2864,"")</f>
        <v/>
      </c>
      <c r="B2864" s="27">
        <f>IFERROR(IF(ISNUMBER(Datos!B2864),Datos!B2864/$F$2*100,NA()),NA())</f>
        <v/>
      </c>
      <c r="C2864" s="27">
        <f>IFERROR(IF(ISNUMBER(Datos!C2864),Datos!C2864/$F$3*100,NA()),NA())</f>
        <v/>
      </c>
    </row>
    <row r="2865">
      <c r="A2865" s="7">
        <f>IFERROR(Datos!A2865,"")</f>
        <v/>
      </c>
      <c r="B2865" s="27">
        <f>IFERROR(IF(ISNUMBER(Datos!B2865),Datos!B2865/$F$2*100,NA()),NA())</f>
        <v/>
      </c>
      <c r="C2865" s="27">
        <f>IFERROR(IF(ISNUMBER(Datos!C2865),Datos!C2865/$F$3*100,NA()),NA())</f>
        <v/>
      </c>
    </row>
    <row r="2866">
      <c r="A2866" s="7">
        <f>IFERROR(Datos!A2866,"")</f>
        <v/>
      </c>
      <c r="B2866" s="27">
        <f>IFERROR(IF(ISNUMBER(Datos!B2866),Datos!B2866/$F$2*100,NA()),NA())</f>
        <v/>
      </c>
      <c r="C2866" s="27">
        <f>IFERROR(IF(ISNUMBER(Datos!C2866),Datos!C2866/$F$3*100,NA()),NA())</f>
        <v/>
      </c>
    </row>
    <row r="2867">
      <c r="A2867" s="7">
        <f>IFERROR(Datos!A2867,"")</f>
        <v/>
      </c>
      <c r="B2867" s="27">
        <f>IFERROR(IF(ISNUMBER(Datos!B2867),Datos!B2867/$F$2*100,NA()),NA())</f>
        <v/>
      </c>
      <c r="C2867" s="27">
        <f>IFERROR(IF(ISNUMBER(Datos!C2867),Datos!C2867/$F$3*100,NA()),NA())</f>
        <v/>
      </c>
    </row>
    <row r="2868">
      <c r="A2868" s="7">
        <f>IFERROR(Datos!A2868,"")</f>
        <v/>
      </c>
      <c r="B2868" s="27">
        <f>IFERROR(IF(ISNUMBER(Datos!B2868),Datos!B2868/$F$2*100,NA()),NA())</f>
        <v/>
      </c>
      <c r="C2868" s="27">
        <f>IFERROR(IF(ISNUMBER(Datos!C2868),Datos!C2868/$F$3*100,NA()),NA())</f>
        <v/>
      </c>
    </row>
    <row r="2869">
      <c r="A2869" s="7">
        <f>IFERROR(Datos!A2869,"")</f>
        <v/>
      </c>
      <c r="B2869" s="27">
        <f>IFERROR(IF(ISNUMBER(Datos!B2869),Datos!B2869/$F$2*100,NA()),NA())</f>
        <v/>
      </c>
      <c r="C2869" s="27">
        <f>IFERROR(IF(ISNUMBER(Datos!C2869),Datos!C2869/$F$3*100,NA()),NA())</f>
        <v/>
      </c>
    </row>
    <row r="2870">
      <c r="A2870" s="7">
        <f>IFERROR(Datos!A2870,"")</f>
        <v/>
      </c>
      <c r="B2870" s="27">
        <f>IFERROR(IF(ISNUMBER(Datos!B2870),Datos!B2870/$F$2*100,NA()),NA())</f>
        <v/>
      </c>
      <c r="C2870" s="27">
        <f>IFERROR(IF(ISNUMBER(Datos!C2870),Datos!C2870/$F$3*100,NA()),NA())</f>
        <v/>
      </c>
    </row>
    <row r="2871">
      <c r="A2871" s="7">
        <f>IFERROR(Datos!A2871,"")</f>
        <v/>
      </c>
      <c r="B2871" s="27">
        <f>IFERROR(IF(ISNUMBER(Datos!B2871),Datos!B2871/$F$2*100,NA()),NA())</f>
        <v/>
      </c>
      <c r="C2871" s="27">
        <f>IFERROR(IF(ISNUMBER(Datos!C2871),Datos!C2871/$F$3*100,NA()),NA())</f>
        <v/>
      </c>
    </row>
    <row r="2872">
      <c r="A2872" s="7">
        <f>IFERROR(Datos!A2872,"")</f>
        <v/>
      </c>
      <c r="B2872" s="27">
        <f>IFERROR(IF(ISNUMBER(Datos!B2872),Datos!B2872/$F$2*100,NA()),NA())</f>
        <v/>
      </c>
      <c r="C2872" s="27">
        <f>IFERROR(IF(ISNUMBER(Datos!C2872),Datos!C2872/$F$3*100,NA()),NA())</f>
        <v/>
      </c>
    </row>
    <row r="2873">
      <c r="A2873" s="7">
        <f>IFERROR(Datos!A2873,"")</f>
        <v/>
      </c>
      <c r="B2873" s="27">
        <f>IFERROR(IF(ISNUMBER(Datos!B2873),Datos!B2873/$F$2*100,NA()),NA())</f>
        <v/>
      </c>
      <c r="C2873" s="27">
        <f>IFERROR(IF(ISNUMBER(Datos!C2873),Datos!C2873/$F$3*100,NA()),NA())</f>
        <v/>
      </c>
    </row>
    <row r="2874">
      <c r="A2874" s="7">
        <f>IFERROR(Datos!A2874,"")</f>
        <v/>
      </c>
      <c r="B2874" s="27">
        <f>IFERROR(IF(ISNUMBER(Datos!B2874),Datos!B2874/$F$2*100,NA()),NA())</f>
        <v/>
      </c>
      <c r="C2874" s="27">
        <f>IFERROR(IF(ISNUMBER(Datos!C2874),Datos!C2874/$F$3*100,NA()),NA())</f>
        <v/>
      </c>
    </row>
    <row r="2875">
      <c r="A2875" s="7">
        <f>IFERROR(Datos!A2875,"")</f>
        <v/>
      </c>
      <c r="B2875" s="27">
        <f>IFERROR(IF(ISNUMBER(Datos!B2875),Datos!B2875/$F$2*100,NA()),NA())</f>
        <v/>
      </c>
      <c r="C2875" s="27">
        <f>IFERROR(IF(ISNUMBER(Datos!C2875),Datos!C2875/$F$3*100,NA()),NA())</f>
        <v/>
      </c>
    </row>
    <row r="2876">
      <c r="A2876" s="7">
        <f>IFERROR(Datos!A2876,"")</f>
        <v/>
      </c>
      <c r="B2876" s="27">
        <f>IFERROR(IF(ISNUMBER(Datos!B2876),Datos!B2876/$F$2*100,NA()),NA())</f>
        <v/>
      </c>
      <c r="C2876" s="27">
        <f>IFERROR(IF(ISNUMBER(Datos!C2876),Datos!C2876/$F$3*100,NA()),NA())</f>
        <v/>
      </c>
    </row>
    <row r="2877">
      <c r="A2877" s="7">
        <f>IFERROR(Datos!A2877,"")</f>
        <v/>
      </c>
      <c r="B2877" s="27">
        <f>IFERROR(IF(ISNUMBER(Datos!B2877),Datos!B2877/$F$2*100,NA()),NA())</f>
        <v/>
      </c>
      <c r="C2877" s="27">
        <f>IFERROR(IF(ISNUMBER(Datos!C2877),Datos!C2877/$F$3*100,NA()),NA())</f>
        <v/>
      </c>
    </row>
    <row r="2878">
      <c r="A2878" s="7">
        <f>IFERROR(Datos!A2878,"")</f>
        <v/>
      </c>
      <c r="B2878" s="27">
        <f>IFERROR(IF(ISNUMBER(Datos!B2878),Datos!B2878/$F$2*100,NA()),NA())</f>
        <v/>
      </c>
      <c r="C2878" s="27">
        <f>IFERROR(IF(ISNUMBER(Datos!C2878),Datos!C2878/$F$3*100,NA()),NA())</f>
        <v/>
      </c>
    </row>
    <row r="2879">
      <c r="A2879" s="7">
        <f>IFERROR(Datos!A2879,"")</f>
        <v/>
      </c>
      <c r="B2879" s="27">
        <f>IFERROR(IF(ISNUMBER(Datos!B2879),Datos!B2879/$F$2*100,NA()),NA())</f>
        <v/>
      </c>
      <c r="C2879" s="27">
        <f>IFERROR(IF(ISNUMBER(Datos!C2879),Datos!C2879/$F$3*100,NA()),NA())</f>
        <v/>
      </c>
    </row>
    <row r="2880">
      <c r="A2880" s="7">
        <f>IFERROR(Datos!A2880,"")</f>
        <v/>
      </c>
      <c r="B2880" s="27">
        <f>IFERROR(IF(ISNUMBER(Datos!B2880),Datos!B2880/$F$2*100,NA()),NA())</f>
        <v/>
      </c>
      <c r="C2880" s="27">
        <f>IFERROR(IF(ISNUMBER(Datos!C2880),Datos!C2880/$F$3*100,NA()),NA())</f>
        <v/>
      </c>
    </row>
    <row r="2881">
      <c r="A2881" s="7">
        <f>IFERROR(Datos!A2881,"")</f>
        <v/>
      </c>
      <c r="B2881" s="27">
        <f>IFERROR(IF(ISNUMBER(Datos!B2881),Datos!B2881/$F$2*100,NA()),NA())</f>
        <v/>
      </c>
      <c r="C2881" s="27">
        <f>IFERROR(IF(ISNUMBER(Datos!C2881),Datos!C2881/$F$3*100,NA()),NA())</f>
        <v/>
      </c>
    </row>
    <row r="2882">
      <c r="A2882" s="7">
        <f>IFERROR(Datos!A2882,"")</f>
        <v/>
      </c>
      <c r="B2882" s="27">
        <f>IFERROR(IF(ISNUMBER(Datos!B2882),Datos!B2882/$F$2*100,NA()),NA())</f>
        <v/>
      </c>
      <c r="C2882" s="27">
        <f>IFERROR(IF(ISNUMBER(Datos!C2882),Datos!C2882/$F$3*100,NA()),NA())</f>
        <v/>
      </c>
    </row>
    <row r="2883">
      <c r="A2883" s="7">
        <f>IFERROR(Datos!A2883,"")</f>
        <v/>
      </c>
      <c r="B2883" s="27">
        <f>IFERROR(IF(ISNUMBER(Datos!B2883),Datos!B2883/$F$2*100,NA()),NA())</f>
        <v/>
      </c>
      <c r="C2883" s="27">
        <f>IFERROR(IF(ISNUMBER(Datos!C2883),Datos!C2883/$F$3*100,NA()),NA())</f>
        <v/>
      </c>
    </row>
    <row r="2884">
      <c r="A2884" s="7">
        <f>IFERROR(Datos!A2884,"")</f>
        <v/>
      </c>
      <c r="B2884" s="27">
        <f>IFERROR(IF(ISNUMBER(Datos!B2884),Datos!B2884/$F$2*100,NA()),NA())</f>
        <v/>
      </c>
      <c r="C2884" s="27">
        <f>IFERROR(IF(ISNUMBER(Datos!C2884),Datos!C2884/$F$3*100,NA()),NA())</f>
        <v/>
      </c>
    </row>
    <row r="2885">
      <c r="A2885" s="7">
        <f>IFERROR(Datos!A2885,"")</f>
        <v/>
      </c>
      <c r="B2885" s="27">
        <f>IFERROR(IF(ISNUMBER(Datos!B2885),Datos!B2885/$F$2*100,NA()),NA())</f>
        <v/>
      </c>
      <c r="C2885" s="27">
        <f>IFERROR(IF(ISNUMBER(Datos!C2885),Datos!C2885/$F$3*100,NA()),NA())</f>
        <v/>
      </c>
    </row>
    <row r="2886">
      <c r="A2886" s="7">
        <f>IFERROR(Datos!A2886,"")</f>
        <v/>
      </c>
      <c r="B2886" s="27">
        <f>IFERROR(IF(ISNUMBER(Datos!B2886),Datos!B2886/$F$2*100,NA()),NA())</f>
        <v/>
      </c>
      <c r="C2886" s="27">
        <f>IFERROR(IF(ISNUMBER(Datos!C2886),Datos!C2886/$F$3*100,NA()),NA())</f>
        <v/>
      </c>
    </row>
    <row r="2887">
      <c r="A2887" s="7">
        <f>IFERROR(Datos!A2887,"")</f>
        <v/>
      </c>
      <c r="B2887" s="27">
        <f>IFERROR(IF(ISNUMBER(Datos!B2887),Datos!B2887/$F$2*100,NA()),NA())</f>
        <v/>
      </c>
      <c r="C2887" s="27">
        <f>IFERROR(IF(ISNUMBER(Datos!C2887),Datos!C2887/$F$3*100,NA()),NA())</f>
        <v/>
      </c>
    </row>
    <row r="2888">
      <c r="A2888" s="7">
        <f>IFERROR(Datos!A2888,"")</f>
        <v/>
      </c>
      <c r="B2888" s="27">
        <f>IFERROR(IF(ISNUMBER(Datos!B2888),Datos!B2888/$F$2*100,NA()),NA())</f>
        <v/>
      </c>
      <c r="C2888" s="27">
        <f>IFERROR(IF(ISNUMBER(Datos!C2888),Datos!C2888/$F$3*100,NA()),NA())</f>
        <v/>
      </c>
    </row>
    <row r="2889">
      <c r="A2889" s="7">
        <f>IFERROR(Datos!A2889,"")</f>
        <v/>
      </c>
      <c r="B2889" s="27">
        <f>IFERROR(IF(ISNUMBER(Datos!B2889),Datos!B2889/$F$2*100,NA()),NA())</f>
        <v/>
      </c>
      <c r="C2889" s="27">
        <f>IFERROR(IF(ISNUMBER(Datos!C2889),Datos!C2889/$F$3*100,NA()),NA())</f>
        <v/>
      </c>
    </row>
    <row r="2890">
      <c r="A2890" s="7">
        <f>IFERROR(Datos!A2890,"")</f>
        <v/>
      </c>
      <c r="B2890" s="27">
        <f>IFERROR(IF(ISNUMBER(Datos!B2890),Datos!B2890/$F$2*100,NA()),NA())</f>
        <v/>
      </c>
      <c r="C2890" s="27">
        <f>IFERROR(IF(ISNUMBER(Datos!C2890),Datos!C2890/$F$3*100,NA()),NA())</f>
        <v/>
      </c>
    </row>
    <row r="2891">
      <c r="A2891" s="7">
        <f>IFERROR(Datos!A2891,"")</f>
        <v/>
      </c>
      <c r="B2891" s="27">
        <f>IFERROR(IF(ISNUMBER(Datos!B2891),Datos!B2891/$F$2*100,NA()),NA())</f>
        <v/>
      </c>
      <c r="C2891" s="27">
        <f>IFERROR(IF(ISNUMBER(Datos!C2891),Datos!C2891/$F$3*100,NA()),NA())</f>
        <v/>
      </c>
    </row>
    <row r="2892">
      <c r="A2892" s="7">
        <f>IFERROR(Datos!A2892,"")</f>
        <v/>
      </c>
      <c r="B2892" s="27">
        <f>IFERROR(IF(ISNUMBER(Datos!B2892),Datos!B2892/$F$2*100,NA()),NA())</f>
        <v/>
      </c>
      <c r="C2892" s="27">
        <f>IFERROR(IF(ISNUMBER(Datos!C2892),Datos!C2892/$F$3*100,NA()),NA())</f>
        <v/>
      </c>
    </row>
    <row r="2893">
      <c r="A2893" s="7">
        <f>IFERROR(Datos!A2893,"")</f>
        <v/>
      </c>
      <c r="B2893" s="27">
        <f>IFERROR(IF(ISNUMBER(Datos!B2893),Datos!B2893/$F$2*100,NA()),NA())</f>
        <v/>
      </c>
      <c r="C2893" s="27">
        <f>IFERROR(IF(ISNUMBER(Datos!C2893),Datos!C2893/$F$3*100,NA()),NA())</f>
        <v/>
      </c>
    </row>
    <row r="2894">
      <c r="A2894" s="7">
        <f>IFERROR(Datos!A2894,"")</f>
        <v/>
      </c>
      <c r="B2894" s="27">
        <f>IFERROR(IF(ISNUMBER(Datos!B2894),Datos!B2894/$F$2*100,NA()),NA())</f>
        <v/>
      </c>
      <c r="C2894" s="27">
        <f>IFERROR(IF(ISNUMBER(Datos!C2894),Datos!C2894/$F$3*100,NA()),NA())</f>
        <v/>
      </c>
    </row>
    <row r="2895">
      <c r="A2895" s="7">
        <f>IFERROR(Datos!A2895,"")</f>
        <v/>
      </c>
      <c r="B2895" s="27">
        <f>IFERROR(IF(ISNUMBER(Datos!B2895),Datos!B2895/$F$2*100,NA()),NA())</f>
        <v/>
      </c>
      <c r="C2895" s="27">
        <f>IFERROR(IF(ISNUMBER(Datos!C2895),Datos!C2895/$F$3*100,NA()),NA())</f>
        <v/>
      </c>
    </row>
    <row r="2896">
      <c r="A2896" s="7">
        <f>IFERROR(Datos!A2896,"")</f>
        <v/>
      </c>
      <c r="B2896" s="27">
        <f>IFERROR(IF(ISNUMBER(Datos!B2896),Datos!B2896/$F$2*100,NA()),NA())</f>
        <v/>
      </c>
      <c r="C2896" s="27">
        <f>IFERROR(IF(ISNUMBER(Datos!C2896),Datos!C2896/$F$3*100,NA()),NA())</f>
        <v/>
      </c>
    </row>
    <row r="2897">
      <c r="A2897" s="7">
        <f>IFERROR(Datos!A2897,"")</f>
        <v/>
      </c>
      <c r="B2897" s="27">
        <f>IFERROR(IF(ISNUMBER(Datos!B2897),Datos!B2897/$F$2*100,NA()),NA())</f>
        <v/>
      </c>
      <c r="C2897" s="27">
        <f>IFERROR(IF(ISNUMBER(Datos!C2897),Datos!C2897/$F$3*100,NA()),NA())</f>
        <v/>
      </c>
    </row>
    <row r="2898">
      <c r="A2898" s="7">
        <f>IFERROR(Datos!A2898,"")</f>
        <v/>
      </c>
      <c r="B2898" s="27">
        <f>IFERROR(IF(ISNUMBER(Datos!B2898),Datos!B2898/$F$2*100,NA()),NA())</f>
        <v/>
      </c>
      <c r="C2898" s="27">
        <f>IFERROR(IF(ISNUMBER(Datos!C2898),Datos!C2898/$F$3*100,NA()),NA())</f>
        <v/>
      </c>
    </row>
    <row r="2899">
      <c r="A2899" s="7">
        <f>IFERROR(Datos!A2899,"")</f>
        <v/>
      </c>
      <c r="B2899" s="27">
        <f>IFERROR(IF(ISNUMBER(Datos!B2899),Datos!B2899/$F$2*100,NA()),NA())</f>
        <v/>
      </c>
      <c r="C2899" s="27">
        <f>IFERROR(IF(ISNUMBER(Datos!C2899),Datos!C2899/$F$3*100,NA()),NA())</f>
        <v/>
      </c>
    </row>
    <row r="2900">
      <c r="A2900" s="7">
        <f>IFERROR(Datos!A2900,"")</f>
        <v/>
      </c>
      <c r="B2900" s="27">
        <f>IFERROR(IF(ISNUMBER(Datos!B2900),Datos!B2900/$F$2*100,NA()),NA())</f>
        <v/>
      </c>
      <c r="C2900" s="27">
        <f>IFERROR(IF(ISNUMBER(Datos!C2900),Datos!C2900/$F$3*100,NA()),NA())</f>
        <v/>
      </c>
    </row>
    <row r="2901">
      <c r="A2901" s="7">
        <f>IFERROR(Datos!A2901,"")</f>
        <v/>
      </c>
      <c r="B2901" s="27">
        <f>IFERROR(IF(ISNUMBER(Datos!B2901),Datos!B2901/$F$2*100,NA()),NA())</f>
        <v/>
      </c>
      <c r="C2901" s="27">
        <f>IFERROR(IF(ISNUMBER(Datos!C2901),Datos!C2901/$F$3*100,NA()),NA())</f>
        <v/>
      </c>
    </row>
    <row r="2902">
      <c r="A2902" s="7">
        <f>IFERROR(Datos!A2902,"")</f>
        <v/>
      </c>
      <c r="B2902" s="27">
        <f>IFERROR(IF(ISNUMBER(Datos!B2902),Datos!B2902/$F$2*100,NA()),NA())</f>
        <v/>
      </c>
      <c r="C2902" s="27">
        <f>IFERROR(IF(ISNUMBER(Datos!C2902),Datos!C2902/$F$3*100,NA()),NA())</f>
        <v/>
      </c>
    </row>
    <row r="2903">
      <c r="A2903" s="7">
        <f>IFERROR(Datos!A2903,"")</f>
        <v/>
      </c>
      <c r="B2903" s="27">
        <f>IFERROR(IF(ISNUMBER(Datos!B2903),Datos!B2903/$F$2*100,NA()),NA())</f>
        <v/>
      </c>
      <c r="C2903" s="27">
        <f>IFERROR(IF(ISNUMBER(Datos!C2903),Datos!C2903/$F$3*100,NA()),NA())</f>
        <v/>
      </c>
    </row>
    <row r="2904">
      <c r="A2904" s="7">
        <f>IFERROR(Datos!A2904,"")</f>
        <v/>
      </c>
      <c r="B2904" s="27">
        <f>IFERROR(IF(ISNUMBER(Datos!B2904),Datos!B2904/$F$2*100,NA()),NA())</f>
        <v/>
      </c>
      <c r="C2904" s="27">
        <f>IFERROR(IF(ISNUMBER(Datos!C2904),Datos!C2904/$F$3*100,NA()),NA())</f>
        <v/>
      </c>
    </row>
    <row r="2905">
      <c r="A2905" s="7">
        <f>IFERROR(Datos!A2905,"")</f>
        <v/>
      </c>
      <c r="B2905" s="27">
        <f>IFERROR(IF(ISNUMBER(Datos!B2905),Datos!B2905/$F$2*100,NA()),NA())</f>
        <v/>
      </c>
      <c r="C2905" s="27">
        <f>IFERROR(IF(ISNUMBER(Datos!C2905),Datos!C2905/$F$3*100,NA()),NA())</f>
        <v/>
      </c>
    </row>
    <row r="2906">
      <c r="A2906" s="7">
        <f>IFERROR(Datos!A2906,"")</f>
        <v/>
      </c>
      <c r="B2906" s="27">
        <f>IFERROR(IF(ISNUMBER(Datos!B2906),Datos!B2906/$F$2*100,NA()),NA())</f>
        <v/>
      </c>
      <c r="C2906" s="27">
        <f>IFERROR(IF(ISNUMBER(Datos!C2906),Datos!C2906/$F$3*100,NA()),NA())</f>
        <v/>
      </c>
    </row>
    <row r="2907">
      <c r="A2907" s="7">
        <f>IFERROR(Datos!A2907,"")</f>
        <v/>
      </c>
      <c r="B2907" s="27">
        <f>IFERROR(IF(ISNUMBER(Datos!B2907),Datos!B2907/$F$2*100,NA()),NA())</f>
        <v/>
      </c>
      <c r="C2907" s="27">
        <f>IFERROR(IF(ISNUMBER(Datos!C2907),Datos!C2907/$F$3*100,NA()),NA())</f>
        <v/>
      </c>
    </row>
    <row r="2908">
      <c r="A2908" s="7">
        <f>IFERROR(Datos!A2908,"")</f>
        <v/>
      </c>
      <c r="B2908" s="27">
        <f>IFERROR(IF(ISNUMBER(Datos!B2908),Datos!B2908/$F$2*100,NA()),NA())</f>
        <v/>
      </c>
      <c r="C2908" s="27">
        <f>IFERROR(IF(ISNUMBER(Datos!C2908),Datos!C2908/$F$3*100,NA()),NA())</f>
        <v/>
      </c>
    </row>
    <row r="2909">
      <c r="A2909" s="7">
        <f>IFERROR(Datos!A2909,"")</f>
        <v/>
      </c>
      <c r="B2909" s="27">
        <f>IFERROR(IF(ISNUMBER(Datos!B2909),Datos!B2909/$F$2*100,NA()),NA())</f>
        <v/>
      </c>
      <c r="C2909" s="27">
        <f>IFERROR(IF(ISNUMBER(Datos!C2909),Datos!C2909/$F$3*100,NA()),NA())</f>
        <v/>
      </c>
    </row>
    <row r="2910">
      <c r="A2910" s="7">
        <f>IFERROR(Datos!A2910,"")</f>
        <v/>
      </c>
      <c r="B2910" s="27">
        <f>IFERROR(IF(ISNUMBER(Datos!B2910),Datos!B2910/$F$2*100,NA()),NA())</f>
        <v/>
      </c>
      <c r="C2910" s="27">
        <f>IFERROR(IF(ISNUMBER(Datos!C2910),Datos!C2910/$F$3*100,NA()),NA())</f>
        <v/>
      </c>
    </row>
    <row r="2911">
      <c r="A2911" s="7">
        <f>IFERROR(Datos!A2911,"")</f>
        <v/>
      </c>
      <c r="B2911" s="27">
        <f>IFERROR(IF(ISNUMBER(Datos!B2911),Datos!B2911/$F$2*100,NA()),NA())</f>
        <v/>
      </c>
      <c r="C2911" s="27">
        <f>IFERROR(IF(ISNUMBER(Datos!C2911),Datos!C2911/$F$3*100,NA()),NA())</f>
        <v/>
      </c>
    </row>
    <row r="2912">
      <c r="A2912" s="7">
        <f>IFERROR(Datos!A2912,"")</f>
        <v/>
      </c>
      <c r="B2912" s="27">
        <f>IFERROR(IF(ISNUMBER(Datos!B2912),Datos!B2912/$F$2*100,NA()),NA())</f>
        <v/>
      </c>
      <c r="C2912" s="27">
        <f>IFERROR(IF(ISNUMBER(Datos!C2912),Datos!C2912/$F$3*100,NA()),NA())</f>
        <v/>
      </c>
    </row>
    <row r="2913">
      <c r="A2913" s="7">
        <f>IFERROR(Datos!A2913,"")</f>
        <v/>
      </c>
      <c r="B2913" s="27">
        <f>IFERROR(IF(ISNUMBER(Datos!B2913),Datos!B2913/$F$2*100,NA()),NA())</f>
        <v/>
      </c>
      <c r="C2913" s="27">
        <f>IFERROR(IF(ISNUMBER(Datos!C2913),Datos!C2913/$F$3*100,NA()),NA())</f>
        <v/>
      </c>
    </row>
    <row r="2914">
      <c r="A2914" s="7">
        <f>IFERROR(Datos!A2914,"")</f>
        <v/>
      </c>
      <c r="B2914" s="27">
        <f>IFERROR(IF(ISNUMBER(Datos!B2914),Datos!B2914/$F$2*100,NA()),NA())</f>
        <v/>
      </c>
      <c r="C2914" s="27">
        <f>IFERROR(IF(ISNUMBER(Datos!C2914),Datos!C2914/$F$3*100,NA()),NA())</f>
        <v/>
      </c>
    </row>
    <row r="2915">
      <c r="A2915" s="7">
        <f>IFERROR(Datos!A2915,"")</f>
        <v/>
      </c>
      <c r="B2915" s="27">
        <f>IFERROR(IF(ISNUMBER(Datos!B2915),Datos!B2915/$F$2*100,NA()),NA())</f>
        <v/>
      </c>
      <c r="C2915" s="27">
        <f>IFERROR(IF(ISNUMBER(Datos!C2915),Datos!C2915/$F$3*100,NA()),NA())</f>
        <v/>
      </c>
    </row>
    <row r="2916">
      <c r="A2916" s="7">
        <f>IFERROR(Datos!A2916,"")</f>
        <v/>
      </c>
      <c r="B2916" s="27">
        <f>IFERROR(IF(ISNUMBER(Datos!B2916),Datos!B2916/$F$2*100,NA()),NA())</f>
        <v/>
      </c>
      <c r="C2916" s="27">
        <f>IFERROR(IF(ISNUMBER(Datos!C2916),Datos!C2916/$F$3*100,NA()),NA())</f>
        <v/>
      </c>
    </row>
    <row r="2917">
      <c r="A2917" s="7">
        <f>IFERROR(Datos!A2917,"")</f>
        <v/>
      </c>
      <c r="B2917" s="27">
        <f>IFERROR(IF(ISNUMBER(Datos!B2917),Datos!B2917/$F$2*100,NA()),NA())</f>
        <v/>
      </c>
      <c r="C2917" s="27">
        <f>IFERROR(IF(ISNUMBER(Datos!C2917),Datos!C2917/$F$3*100,NA()),NA())</f>
        <v/>
      </c>
    </row>
    <row r="2918">
      <c r="A2918" s="7">
        <f>IFERROR(Datos!A2918,"")</f>
        <v/>
      </c>
      <c r="B2918" s="27">
        <f>IFERROR(IF(ISNUMBER(Datos!B2918),Datos!B2918/$F$2*100,NA()),NA())</f>
        <v/>
      </c>
      <c r="C2918" s="27">
        <f>IFERROR(IF(ISNUMBER(Datos!C2918),Datos!C2918/$F$3*100,NA()),NA())</f>
        <v/>
      </c>
    </row>
    <row r="2919">
      <c r="A2919" s="7">
        <f>IFERROR(Datos!A2919,"")</f>
        <v/>
      </c>
      <c r="B2919" s="27">
        <f>IFERROR(IF(ISNUMBER(Datos!B2919),Datos!B2919/$F$2*100,NA()),NA())</f>
        <v/>
      </c>
      <c r="C2919" s="27">
        <f>IFERROR(IF(ISNUMBER(Datos!C2919),Datos!C2919/$F$3*100,NA()),NA())</f>
        <v/>
      </c>
    </row>
    <row r="2920">
      <c r="A2920" s="7">
        <f>IFERROR(Datos!A2920,"")</f>
        <v/>
      </c>
      <c r="B2920" s="27">
        <f>IFERROR(IF(ISNUMBER(Datos!B2920),Datos!B2920/$F$2*100,NA()),NA())</f>
        <v/>
      </c>
      <c r="C2920" s="27">
        <f>IFERROR(IF(ISNUMBER(Datos!C2920),Datos!C2920/$F$3*100,NA()),NA())</f>
        <v/>
      </c>
    </row>
    <row r="2921">
      <c r="A2921" s="7">
        <f>IFERROR(Datos!A2921,"")</f>
        <v/>
      </c>
      <c r="B2921" s="27">
        <f>IFERROR(IF(ISNUMBER(Datos!B2921),Datos!B2921/$F$2*100,NA()),NA())</f>
        <v/>
      </c>
      <c r="C2921" s="27">
        <f>IFERROR(IF(ISNUMBER(Datos!C2921),Datos!C2921/$F$3*100,NA()),NA())</f>
        <v/>
      </c>
    </row>
    <row r="2922">
      <c r="A2922" s="7">
        <f>IFERROR(Datos!A2922,"")</f>
        <v/>
      </c>
      <c r="B2922" s="27">
        <f>IFERROR(IF(ISNUMBER(Datos!B2922),Datos!B2922/$F$2*100,NA()),NA())</f>
        <v/>
      </c>
      <c r="C2922" s="27">
        <f>IFERROR(IF(ISNUMBER(Datos!C2922),Datos!C2922/$F$3*100,NA()),NA())</f>
        <v/>
      </c>
    </row>
    <row r="2923">
      <c r="A2923" s="7">
        <f>IFERROR(Datos!A2923,"")</f>
        <v/>
      </c>
      <c r="B2923" s="27">
        <f>IFERROR(IF(ISNUMBER(Datos!B2923),Datos!B2923/$F$2*100,NA()),NA())</f>
        <v/>
      </c>
      <c r="C2923" s="27">
        <f>IFERROR(IF(ISNUMBER(Datos!C2923),Datos!C2923/$F$3*100,NA()),NA())</f>
        <v/>
      </c>
    </row>
    <row r="2924">
      <c r="A2924" s="7">
        <f>IFERROR(Datos!A2924,"")</f>
        <v/>
      </c>
      <c r="B2924" s="27">
        <f>IFERROR(IF(ISNUMBER(Datos!B2924),Datos!B2924/$F$2*100,NA()),NA())</f>
        <v/>
      </c>
      <c r="C2924" s="27">
        <f>IFERROR(IF(ISNUMBER(Datos!C2924),Datos!C2924/$F$3*100,NA()),NA())</f>
        <v/>
      </c>
    </row>
    <row r="2925">
      <c r="A2925" s="7">
        <f>IFERROR(Datos!A2925,"")</f>
        <v/>
      </c>
      <c r="B2925" s="27">
        <f>IFERROR(IF(ISNUMBER(Datos!B2925),Datos!B2925/$F$2*100,NA()),NA())</f>
        <v/>
      </c>
      <c r="C2925" s="27">
        <f>IFERROR(IF(ISNUMBER(Datos!C2925),Datos!C2925/$F$3*100,NA()),NA())</f>
        <v/>
      </c>
    </row>
    <row r="2926">
      <c r="A2926" s="7">
        <f>IFERROR(Datos!A2926,"")</f>
        <v/>
      </c>
      <c r="B2926" s="27">
        <f>IFERROR(IF(ISNUMBER(Datos!B2926),Datos!B2926/$F$2*100,NA()),NA())</f>
        <v/>
      </c>
      <c r="C2926" s="27">
        <f>IFERROR(IF(ISNUMBER(Datos!C2926),Datos!C2926/$F$3*100,NA()),NA())</f>
        <v/>
      </c>
    </row>
    <row r="2927">
      <c r="A2927" s="7">
        <f>IFERROR(Datos!A2927,"")</f>
        <v/>
      </c>
      <c r="B2927" s="27">
        <f>IFERROR(IF(ISNUMBER(Datos!B2927),Datos!B2927/$F$2*100,NA()),NA())</f>
        <v/>
      </c>
      <c r="C2927" s="27">
        <f>IFERROR(IF(ISNUMBER(Datos!C2927),Datos!C2927/$F$3*100,NA()),NA())</f>
        <v/>
      </c>
    </row>
    <row r="2928">
      <c r="A2928" s="7">
        <f>IFERROR(Datos!A2928,"")</f>
        <v/>
      </c>
      <c r="B2928" s="27">
        <f>IFERROR(IF(ISNUMBER(Datos!B2928),Datos!B2928/$F$2*100,NA()),NA())</f>
        <v/>
      </c>
      <c r="C2928" s="27">
        <f>IFERROR(IF(ISNUMBER(Datos!C2928),Datos!C2928/$F$3*100,NA()),NA())</f>
        <v/>
      </c>
    </row>
    <row r="2929">
      <c r="A2929" s="7">
        <f>IFERROR(Datos!A2929,"")</f>
        <v/>
      </c>
      <c r="B2929" s="27">
        <f>IFERROR(IF(ISNUMBER(Datos!B2929),Datos!B2929/$F$2*100,NA()),NA())</f>
        <v/>
      </c>
      <c r="C2929" s="27">
        <f>IFERROR(IF(ISNUMBER(Datos!C2929),Datos!C2929/$F$3*100,NA()),NA())</f>
        <v/>
      </c>
    </row>
    <row r="2930">
      <c r="A2930" s="7">
        <f>IFERROR(Datos!A2930,"")</f>
        <v/>
      </c>
      <c r="B2930" s="27">
        <f>IFERROR(IF(ISNUMBER(Datos!B2930),Datos!B2930/$F$2*100,NA()),NA())</f>
        <v/>
      </c>
      <c r="C2930" s="27">
        <f>IFERROR(IF(ISNUMBER(Datos!C2930),Datos!C2930/$F$3*100,NA()),NA())</f>
        <v/>
      </c>
    </row>
    <row r="2931">
      <c r="A2931" s="7">
        <f>IFERROR(Datos!A2931,"")</f>
        <v/>
      </c>
      <c r="B2931" s="27">
        <f>IFERROR(IF(ISNUMBER(Datos!B2931),Datos!B2931/$F$2*100,NA()),NA())</f>
        <v/>
      </c>
      <c r="C2931" s="27">
        <f>IFERROR(IF(ISNUMBER(Datos!C2931),Datos!C2931/$F$3*100,NA()),NA())</f>
        <v/>
      </c>
    </row>
    <row r="2932">
      <c r="A2932" s="7">
        <f>IFERROR(Datos!A2932,"")</f>
        <v/>
      </c>
      <c r="B2932" s="27">
        <f>IFERROR(IF(ISNUMBER(Datos!B2932),Datos!B2932/$F$2*100,NA()),NA())</f>
        <v/>
      </c>
      <c r="C2932" s="27">
        <f>IFERROR(IF(ISNUMBER(Datos!C2932),Datos!C2932/$F$3*100,NA()),NA())</f>
        <v/>
      </c>
    </row>
    <row r="2933">
      <c r="A2933" s="7">
        <f>IFERROR(Datos!A2933,"")</f>
        <v/>
      </c>
      <c r="B2933" s="27">
        <f>IFERROR(IF(ISNUMBER(Datos!B2933),Datos!B2933/$F$2*100,NA()),NA())</f>
        <v/>
      </c>
      <c r="C2933" s="27">
        <f>IFERROR(IF(ISNUMBER(Datos!C2933),Datos!C2933/$F$3*100,NA()),NA())</f>
        <v/>
      </c>
    </row>
    <row r="2934">
      <c r="A2934" s="7">
        <f>IFERROR(Datos!A2934,"")</f>
        <v/>
      </c>
      <c r="B2934" s="27">
        <f>IFERROR(IF(ISNUMBER(Datos!B2934),Datos!B2934/$F$2*100,NA()),NA())</f>
        <v/>
      </c>
      <c r="C2934" s="27">
        <f>IFERROR(IF(ISNUMBER(Datos!C2934),Datos!C2934/$F$3*100,NA()),NA())</f>
        <v/>
      </c>
    </row>
    <row r="2935">
      <c r="A2935" s="7">
        <f>IFERROR(Datos!A2935,"")</f>
        <v/>
      </c>
      <c r="B2935" s="27">
        <f>IFERROR(IF(ISNUMBER(Datos!B2935),Datos!B2935/$F$2*100,NA()),NA())</f>
        <v/>
      </c>
      <c r="C2935" s="27">
        <f>IFERROR(IF(ISNUMBER(Datos!C2935),Datos!C2935/$F$3*100,NA()),NA())</f>
        <v/>
      </c>
    </row>
    <row r="2936">
      <c r="A2936" s="7">
        <f>IFERROR(Datos!A2936,"")</f>
        <v/>
      </c>
      <c r="B2936" s="27">
        <f>IFERROR(IF(ISNUMBER(Datos!B2936),Datos!B2936/$F$2*100,NA()),NA())</f>
        <v/>
      </c>
      <c r="C2936" s="27">
        <f>IFERROR(IF(ISNUMBER(Datos!C2936),Datos!C2936/$F$3*100,NA()),NA())</f>
        <v/>
      </c>
    </row>
    <row r="2937">
      <c r="A2937" s="7">
        <f>IFERROR(Datos!A2937,"")</f>
        <v/>
      </c>
      <c r="B2937" s="27">
        <f>IFERROR(IF(ISNUMBER(Datos!B2937),Datos!B2937/$F$2*100,NA()),NA())</f>
        <v/>
      </c>
      <c r="C2937" s="27">
        <f>IFERROR(IF(ISNUMBER(Datos!C2937),Datos!C2937/$F$3*100,NA()),NA())</f>
        <v/>
      </c>
    </row>
    <row r="2938">
      <c r="A2938" s="7">
        <f>IFERROR(Datos!A2938,"")</f>
        <v/>
      </c>
      <c r="B2938" s="27">
        <f>IFERROR(IF(ISNUMBER(Datos!B2938),Datos!B2938/$F$2*100,NA()),NA())</f>
        <v/>
      </c>
      <c r="C2938" s="27">
        <f>IFERROR(IF(ISNUMBER(Datos!C2938),Datos!C2938/$F$3*100,NA()),NA())</f>
        <v/>
      </c>
    </row>
    <row r="2939">
      <c r="A2939" s="7">
        <f>IFERROR(Datos!A2939,"")</f>
        <v/>
      </c>
      <c r="B2939" s="27">
        <f>IFERROR(IF(ISNUMBER(Datos!B2939),Datos!B2939/$F$2*100,NA()),NA())</f>
        <v/>
      </c>
      <c r="C2939" s="27">
        <f>IFERROR(IF(ISNUMBER(Datos!C2939),Datos!C2939/$F$3*100,NA()),NA())</f>
        <v/>
      </c>
    </row>
    <row r="2940">
      <c r="A2940" s="7">
        <f>IFERROR(Datos!A2940,"")</f>
        <v/>
      </c>
      <c r="B2940" s="27">
        <f>IFERROR(IF(ISNUMBER(Datos!B2940),Datos!B2940/$F$2*100,NA()),NA())</f>
        <v/>
      </c>
      <c r="C2940" s="27">
        <f>IFERROR(IF(ISNUMBER(Datos!C2940),Datos!C2940/$F$3*100,NA()),NA())</f>
        <v/>
      </c>
    </row>
    <row r="2941">
      <c r="A2941" s="7">
        <f>IFERROR(Datos!A2941,"")</f>
        <v/>
      </c>
      <c r="B2941" s="27">
        <f>IFERROR(IF(ISNUMBER(Datos!B2941),Datos!B2941/$F$2*100,NA()),NA())</f>
        <v/>
      </c>
      <c r="C2941" s="27">
        <f>IFERROR(IF(ISNUMBER(Datos!C2941),Datos!C2941/$F$3*100,NA()),NA())</f>
        <v/>
      </c>
    </row>
    <row r="2942">
      <c r="A2942" s="7">
        <f>IFERROR(Datos!A2942,"")</f>
        <v/>
      </c>
      <c r="B2942" s="27">
        <f>IFERROR(IF(ISNUMBER(Datos!B2942),Datos!B2942/$F$2*100,NA()),NA())</f>
        <v/>
      </c>
      <c r="C2942" s="27">
        <f>IFERROR(IF(ISNUMBER(Datos!C2942),Datos!C2942/$F$3*100,NA()),NA())</f>
        <v/>
      </c>
    </row>
    <row r="2943">
      <c r="A2943" s="7">
        <f>IFERROR(Datos!A2943,"")</f>
        <v/>
      </c>
      <c r="B2943" s="27">
        <f>IFERROR(IF(ISNUMBER(Datos!B2943),Datos!B2943/$F$2*100,NA()),NA())</f>
        <v/>
      </c>
      <c r="C2943" s="27">
        <f>IFERROR(IF(ISNUMBER(Datos!C2943),Datos!C2943/$F$3*100,NA()),NA())</f>
        <v/>
      </c>
    </row>
    <row r="2944">
      <c r="A2944" s="7">
        <f>IFERROR(Datos!A2944,"")</f>
        <v/>
      </c>
      <c r="B2944" s="27">
        <f>IFERROR(IF(ISNUMBER(Datos!B2944),Datos!B2944/$F$2*100,NA()),NA())</f>
        <v/>
      </c>
      <c r="C2944" s="27">
        <f>IFERROR(IF(ISNUMBER(Datos!C2944),Datos!C2944/$F$3*100,NA()),NA())</f>
        <v/>
      </c>
    </row>
    <row r="2945">
      <c r="A2945" s="7">
        <f>IFERROR(Datos!A2945,"")</f>
        <v/>
      </c>
      <c r="B2945" s="27">
        <f>IFERROR(IF(ISNUMBER(Datos!B2945),Datos!B2945/$F$2*100,NA()),NA())</f>
        <v/>
      </c>
      <c r="C2945" s="27">
        <f>IFERROR(IF(ISNUMBER(Datos!C2945),Datos!C2945/$F$3*100,NA()),NA())</f>
        <v/>
      </c>
    </row>
    <row r="2946">
      <c r="A2946" s="7">
        <f>IFERROR(Datos!A2946,"")</f>
        <v/>
      </c>
      <c r="B2946" s="27">
        <f>IFERROR(IF(ISNUMBER(Datos!B2946),Datos!B2946/$F$2*100,NA()),NA())</f>
        <v/>
      </c>
      <c r="C2946" s="27">
        <f>IFERROR(IF(ISNUMBER(Datos!C2946),Datos!C2946/$F$3*100,NA()),NA())</f>
        <v/>
      </c>
    </row>
    <row r="2947">
      <c r="A2947" s="7">
        <f>IFERROR(Datos!A2947,"")</f>
        <v/>
      </c>
      <c r="B2947" s="27">
        <f>IFERROR(IF(ISNUMBER(Datos!B2947),Datos!B2947/$F$2*100,NA()),NA())</f>
        <v/>
      </c>
      <c r="C2947" s="27">
        <f>IFERROR(IF(ISNUMBER(Datos!C2947),Datos!C2947/$F$3*100,NA()),NA())</f>
        <v/>
      </c>
    </row>
    <row r="2948">
      <c r="A2948" s="7">
        <f>IFERROR(Datos!A2948,"")</f>
        <v/>
      </c>
      <c r="B2948" s="27">
        <f>IFERROR(IF(ISNUMBER(Datos!B2948),Datos!B2948/$F$2*100,NA()),NA())</f>
        <v/>
      </c>
      <c r="C2948" s="27">
        <f>IFERROR(IF(ISNUMBER(Datos!C2948),Datos!C2948/$F$3*100,NA()),NA())</f>
        <v/>
      </c>
    </row>
    <row r="2949">
      <c r="A2949" s="7">
        <f>IFERROR(Datos!A2949,"")</f>
        <v/>
      </c>
      <c r="B2949" s="27">
        <f>IFERROR(IF(ISNUMBER(Datos!B2949),Datos!B2949/$F$2*100,NA()),NA())</f>
        <v/>
      </c>
      <c r="C2949" s="27">
        <f>IFERROR(IF(ISNUMBER(Datos!C2949),Datos!C2949/$F$3*100,NA()),NA())</f>
        <v/>
      </c>
    </row>
    <row r="2950">
      <c r="A2950" s="7">
        <f>IFERROR(Datos!A2950,"")</f>
        <v/>
      </c>
      <c r="B2950" s="27">
        <f>IFERROR(IF(ISNUMBER(Datos!B2950),Datos!B2950/$F$2*100,NA()),NA())</f>
        <v/>
      </c>
      <c r="C2950" s="27">
        <f>IFERROR(IF(ISNUMBER(Datos!C2950),Datos!C2950/$F$3*100,NA()),NA())</f>
        <v/>
      </c>
    </row>
    <row r="2951">
      <c r="A2951" s="7">
        <f>IFERROR(Datos!A2951,"")</f>
        <v/>
      </c>
      <c r="B2951" s="27">
        <f>IFERROR(IF(ISNUMBER(Datos!B2951),Datos!B2951/$F$2*100,NA()),NA())</f>
        <v/>
      </c>
      <c r="C2951" s="27">
        <f>IFERROR(IF(ISNUMBER(Datos!C2951),Datos!C2951/$F$3*100,NA()),NA())</f>
        <v/>
      </c>
    </row>
    <row r="2952">
      <c r="A2952" s="7">
        <f>IFERROR(Datos!A2952,"")</f>
        <v/>
      </c>
      <c r="B2952" s="27">
        <f>IFERROR(IF(ISNUMBER(Datos!B2952),Datos!B2952/$F$2*100,NA()),NA())</f>
        <v/>
      </c>
      <c r="C2952" s="27">
        <f>IFERROR(IF(ISNUMBER(Datos!C2952),Datos!C2952/$F$3*100,NA()),NA())</f>
        <v/>
      </c>
    </row>
    <row r="2953">
      <c r="A2953" s="7">
        <f>IFERROR(Datos!A2953,"")</f>
        <v/>
      </c>
      <c r="B2953" s="27">
        <f>IFERROR(IF(ISNUMBER(Datos!B2953),Datos!B2953/$F$2*100,NA()),NA())</f>
        <v/>
      </c>
      <c r="C2953" s="27">
        <f>IFERROR(IF(ISNUMBER(Datos!C2953),Datos!C2953/$F$3*100,NA()),NA())</f>
        <v/>
      </c>
    </row>
    <row r="2954">
      <c r="A2954" s="7">
        <f>IFERROR(Datos!A2954,"")</f>
        <v/>
      </c>
      <c r="B2954" s="27">
        <f>IFERROR(IF(ISNUMBER(Datos!B2954),Datos!B2954/$F$2*100,NA()),NA())</f>
        <v/>
      </c>
      <c r="C2954" s="27">
        <f>IFERROR(IF(ISNUMBER(Datos!C2954),Datos!C2954/$F$3*100,NA()),NA())</f>
        <v/>
      </c>
    </row>
    <row r="2955">
      <c r="A2955" s="7">
        <f>IFERROR(Datos!A2955,"")</f>
        <v/>
      </c>
      <c r="B2955" s="27">
        <f>IFERROR(IF(ISNUMBER(Datos!B2955),Datos!B2955/$F$2*100,NA()),NA())</f>
        <v/>
      </c>
      <c r="C2955" s="27">
        <f>IFERROR(IF(ISNUMBER(Datos!C2955),Datos!C2955/$F$3*100,NA()),NA())</f>
        <v/>
      </c>
    </row>
    <row r="2956">
      <c r="A2956" s="7">
        <f>IFERROR(Datos!A2956,"")</f>
        <v/>
      </c>
      <c r="B2956" s="27">
        <f>IFERROR(IF(ISNUMBER(Datos!B2956),Datos!B2956/$F$2*100,NA()),NA())</f>
        <v/>
      </c>
      <c r="C2956" s="27">
        <f>IFERROR(IF(ISNUMBER(Datos!C2956),Datos!C2956/$F$3*100,NA()),NA())</f>
        <v/>
      </c>
    </row>
    <row r="2957">
      <c r="A2957" s="7">
        <f>IFERROR(Datos!A2957,"")</f>
        <v/>
      </c>
      <c r="B2957" s="27">
        <f>IFERROR(IF(ISNUMBER(Datos!B2957),Datos!B2957/$F$2*100,NA()),NA())</f>
        <v/>
      </c>
      <c r="C2957" s="27">
        <f>IFERROR(IF(ISNUMBER(Datos!C2957),Datos!C2957/$F$3*100,NA()),NA())</f>
        <v/>
      </c>
    </row>
    <row r="2958">
      <c r="A2958" s="7">
        <f>IFERROR(Datos!A2958,"")</f>
        <v/>
      </c>
      <c r="B2958" s="27">
        <f>IFERROR(IF(ISNUMBER(Datos!B2958),Datos!B2958/$F$2*100,NA()),NA())</f>
        <v/>
      </c>
      <c r="C2958" s="27">
        <f>IFERROR(IF(ISNUMBER(Datos!C2958),Datos!C2958/$F$3*100,NA()),NA())</f>
        <v/>
      </c>
    </row>
    <row r="2959">
      <c r="A2959" s="7">
        <f>IFERROR(Datos!A2959,"")</f>
        <v/>
      </c>
      <c r="B2959" s="27">
        <f>IFERROR(IF(ISNUMBER(Datos!B2959),Datos!B2959/$F$2*100,NA()),NA())</f>
        <v/>
      </c>
      <c r="C2959" s="27">
        <f>IFERROR(IF(ISNUMBER(Datos!C2959),Datos!C2959/$F$3*100,NA()),NA())</f>
        <v/>
      </c>
    </row>
    <row r="2960">
      <c r="A2960" s="7">
        <f>IFERROR(Datos!A2960,"")</f>
        <v/>
      </c>
      <c r="B2960" s="27">
        <f>IFERROR(IF(ISNUMBER(Datos!B2960),Datos!B2960/$F$2*100,NA()),NA())</f>
        <v/>
      </c>
      <c r="C2960" s="27">
        <f>IFERROR(IF(ISNUMBER(Datos!C2960),Datos!C2960/$F$3*100,NA()),NA())</f>
        <v/>
      </c>
    </row>
    <row r="2961">
      <c r="A2961" s="7">
        <f>IFERROR(Datos!A2961,"")</f>
        <v/>
      </c>
      <c r="B2961" s="27">
        <f>IFERROR(IF(ISNUMBER(Datos!B2961),Datos!B2961/$F$2*100,NA()),NA())</f>
        <v/>
      </c>
      <c r="C2961" s="27">
        <f>IFERROR(IF(ISNUMBER(Datos!C2961),Datos!C2961/$F$3*100,NA()),NA())</f>
        <v/>
      </c>
    </row>
    <row r="2962">
      <c r="A2962" s="7">
        <f>IFERROR(Datos!A2962,"")</f>
        <v/>
      </c>
      <c r="B2962" s="27">
        <f>IFERROR(IF(ISNUMBER(Datos!B2962),Datos!B2962/$F$2*100,NA()),NA())</f>
        <v/>
      </c>
      <c r="C2962" s="27">
        <f>IFERROR(IF(ISNUMBER(Datos!C2962),Datos!C2962/$F$3*100,NA()),NA())</f>
        <v/>
      </c>
    </row>
    <row r="2963">
      <c r="A2963" s="7">
        <f>IFERROR(Datos!A2963,"")</f>
        <v/>
      </c>
      <c r="B2963" s="27">
        <f>IFERROR(IF(ISNUMBER(Datos!B2963),Datos!B2963/$F$2*100,NA()),NA())</f>
        <v/>
      </c>
      <c r="C2963" s="27">
        <f>IFERROR(IF(ISNUMBER(Datos!C2963),Datos!C2963/$F$3*100,NA()),NA())</f>
        <v/>
      </c>
    </row>
    <row r="2964">
      <c r="A2964" s="7">
        <f>IFERROR(Datos!A2964,"")</f>
        <v/>
      </c>
      <c r="B2964" s="27">
        <f>IFERROR(IF(ISNUMBER(Datos!B2964),Datos!B2964/$F$2*100,NA()),NA())</f>
        <v/>
      </c>
      <c r="C2964" s="27">
        <f>IFERROR(IF(ISNUMBER(Datos!C2964),Datos!C2964/$F$3*100,NA()),NA())</f>
        <v/>
      </c>
    </row>
    <row r="2965">
      <c r="A2965" s="7">
        <f>IFERROR(Datos!A2965,"")</f>
        <v/>
      </c>
      <c r="B2965" s="27">
        <f>IFERROR(IF(ISNUMBER(Datos!B2965),Datos!B2965/$F$2*100,NA()),NA())</f>
        <v/>
      </c>
      <c r="C2965" s="27">
        <f>IFERROR(IF(ISNUMBER(Datos!C2965),Datos!C2965/$F$3*100,NA()),NA())</f>
        <v/>
      </c>
    </row>
    <row r="2966">
      <c r="A2966" s="7">
        <f>IFERROR(Datos!A2966,"")</f>
        <v/>
      </c>
      <c r="B2966" s="27">
        <f>IFERROR(IF(ISNUMBER(Datos!B2966),Datos!B2966/$F$2*100,NA()),NA())</f>
        <v/>
      </c>
      <c r="C2966" s="27">
        <f>IFERROR(IF(ISNUMBER(Datos!C2966),Datos!C2966/$F$3*100,NA()),NA())</f>
        <v/>
      </c>
    </row>
    <row r="2967">
      <c r="A2967" s="7">
        <f>IFERROR(Datos!A2967,"")</f>
        <v/>
      </c>
      <c r="B2967" s="27">
        <f>IFERROR(IF(ISNUMBER(Datos!B2967),Datos!B2967/$F$2*100,NA()),NA())</f>
        <v/>
      </c>
      <c r="C2967" s="27">
        <f>IFERROR(IF(ISNUMBER(Datos!C2967),Datos!C2967/$F$3*100,NA()),NA())</f>
        <v/>
      </c>
    </row>
    <row r="2968">
      <c r="A2968" s="7">
        <f>IFERROR(Datos!A2968,"")</f>
        <v/>
      </c>
      <c r="B2968" s="27">
        <f>IFERROR(IF(ISNUMBER(Datos!B2968),Datos!B2968/$F$2*100,NA()),NA())</f>
        <v/>
      </c>
      <c r="C2968" s="27">
        <f>IFERROR(IF(ISNUMBER(Datos!C2968),Datos!C2968/$F$3*100,NA()),NA())</f>
        <v/>
      </c>
    </row>
    <row r="2969">
      <c r="A2969" s="7">
        <f>IFERROR(Datos!A2969,"")</f>
        <v/>
      </c>
      <c r="B2969" s="27">
        <f>IFERROR(IF(ISNUMBER(Datos!B2969),Datos!B2969/$F$2*100,NA()),NA())</f>
        <v/>
      </c>
      <c r="C2969" s="27">
        <f>IFERROR(IF(ISNUMBER(Datos!C2969),Datos!C2969/$F$3*100,NA()),NA())</f>
        <v/>
      </c>
    </row>
    <row r="2970">
      <c r="A2970" s="7">
        <f>IFERROR(Datos!A2970,"")</f>
        <v/>
      </c>
      <c r="B2970" s="27">
        <f>IFERROR(IF(ISNUMBER(Datos!B2970),Datos!B2970/$F$2*100,NA()),NA())</f>
        <v/>
      </c>
      <c r="C2970" s="27">
        <f>IFERROR(IF(ISNUMBER(Datos!C2970),Datos!C2970/$F$3*100,NA()),NA())</f>
        <v/>
      </c>
    </row>
    <row r="2971">
      <c r="A2971" s="7">
        <f>IFERROR(Datos!A2971,"")</f>
        <v/>
      </c>
      <c r="B2971" s="27">
        <f>IFERROR(IF(ISNUMBER(Datos!B2971),Datos!B2971/$F$2*100,NA()),NA())</f>
        <v/>
      </c>
      <c r="C2971" s="27">
        <f>IFERROR(IF(ISNUMBER(Datos!C2971),Datos!C2971/$F$3*100,NA()),NA())</f>
        <v/>
      </c>
    </row>
    <row r="2972">
      <c r="A2972" s="7">
        <f>IFERROR(Datos!A2972,"")</f>
        <v/>
      </c>
      <c r="B2972" s="27">
        <f>IFERROR(IF(ISNUMBER(Datos!B2972),Datos!B2972/$F$2*100,NA()),NA())</f>
        <v/>
      </c>
      <c r="C2972" s="27">
        <f>IFERROR(IF(ISNUMBER(Datos!C2972),Datos!C2972/$F$3*100,NA()),NA())</f>
        <v/>
      </c>
    </row>
    <row r="2973">
      <c r="A2973" s="7">
        <f>IFERROR(Datos!A2973,"")</f>
        <v/>
      </c>
      <c r="B2973" s="27">
        <f>IFERROR(IF(ISNUMBER(Datos!B2973),Datos!B2973/$F$2*100,NA()),NA())</f>
        <v/>
      </c>
      <c r="C2973" s="27">
        <f>IFERROR(IF(ISNUMBER(Datos!C2973),Datos!C2973/$F$3*100,NA()),NA())</f>
        <v/>
      </c>
    </row>
    <row r="2974">
      <c r="A2974" s="7">
        <f>IFERROR(Datos!A2974,"")</f>
        <v/>
      </c>
      <c r="B2974" s="27">
        <f>IFERROR(IF(ISNUMBER(Datos!B2974),Datos!B2974/$F$2*100,NA()),NA())</f>
        <v/>
      </c>
      <c r="C2974" s="27">
        <f>IFERROR(IF(ISNUMBER(Datos!C2974),Datos!C2974/$F$3*100,NA()),NA())</f>
        <v/>
      </c>
    </row>
    <row r="2975">
      <c r="A2975" s="7">
        <f>IFERROR(Datos!A2975,"")</f>
        <v/>
      </c>
      <c r="B2975" s="27">
        <f>IFERROR(IF(ISNUMBER(Datos!B2975),Datos!B2975/$F$2*100,NA()),NA())</f>
        <v/>
      </c>
      <c r="C2975" s="27">
        <f>IFERROR(IF(ISNUMBER(Datos!C2975),Datos!C2975/$F$3*100,NA()),NA())</f>
        <v/>
      </c>
    </row>
    <row r="2976">
      <c r="A2976" s="7">
        <f>IFERROR(Datos!A2976,"")</f>
        <v/>
      </c>
      <c r="B2976" s="27">
        <f>IFERROR(IF(ISNUMBER(Datos!B2976),Datos!B2976/$F$2*100,NA()),NA())</f>
        <v/>
      </c>
      <c r="C2976" s="27">
        <f>IFERROR(IF(ISNUMBER(Datos!C2976),Datos!C2976/$F$3*100,NA()),NA())</f>
        <v/>
      </c>
    </row>
    <row r="2977">
      <c r="A2977" s="7">
        <f>IFERROR(Datos!A2977,"")</f>
        <v/>
      </c>
      <c r="B2977" s="27">
        <f>IFERROR(IF(ISNUMBER(Datos!B2977),Datos!B2977/$F$2*100,NA()),NA())</f>
        <v/>
      </c>
      <c r="C2977" s="27">
        <f>IFERROR(IF(ISNUMBER(Datos!C2977),Datos!C2977/$F$3*100,NA()),NA())</f>
        <v/>
      </c>
    </row>
    <row r="2978">
      <c r="A2978" s="7">
        <f>IFERROR(Datos!A2978,"")</f>
        <v/>
      </c>
      <c r="B2978" s="27">
        <f>IFERROR(IF(ISNUMBER(Datos!B2978),Datos!B2978/$F$2*100,NA()),NA())</f>
        <v/>
      </c>
      <c r="C2978" s="27">
        <f>IFERROR(IF(ISNUMBER(Datos!C2978),Datos!C2978/$F$3*100,NA()),NA())</f>
        <v/>
      </c>
    </row>
    <row r="2979">
      <c r="A2979" s="7">
        <f>IFERROR(Datos!A2979,"")</f>
        <v/>
      </c>
      <c r="B2979" s="27">
        <f>IFERROR(IF(ISNUMBER(Datos!B2979),Datos!B2979/$F$2*100,NA()),NA())</f>
        <v/>
      </c>
      <c r="C2979" s="27">
        <f>IFERROR(IF(ISNUMBER(Datos!C2979),Datos!C2979/$F$3*100,NA()),NA())</f>
        <v/>
      </c>
    </row>
    <row r="2980">
      <c r="A2980" s="7">
        <f>IFERROR(Datos!A2980,"")</f>
        <v/>
      </c>
      <c r="B2980" s="27">
        <f>IFERROR(IF(ISNUMBER(Datos!B2980),Datos!B2980/$F$2*100,NA()),NA())</f>
        <v/>
      </c>
      <c r="C2980" s="27">
        <f>IFERROR(IF(ISNUMBER(Datos!C2980),Datos!C2980/$F$3*100,NA()),NA())</f>
        <v/>
      </c>
    </row>
    <row r="2981">
      <c r="A2981" s="7">
        <f>IFERROR(Datos!A2981,"")</f>
        <v/>
      </c>
      <c r="B2981" s="27">
        <f>IFERROR(IF(ISNUMBER(Datos!B2981),Datos!B2981/$F$2*100,NA()),NA())</f>
        <v/>
      </c>
      <c r="C2981" s="27">
        <f>IFERROR(IF(ISNUMBER(Datos!C2981),Datos!C2981/$F$3*100,NA()),NA())</f>
        <v/>
      </c>
    </row>
    <row r="2982">
      <c r="A2982" s="7">
        <f>IFERROR(Datos!A2982,"")</f>
        <v/>
      </c>
      <c r="B2982" s="27">
        <f>IFERROR(IF(ISNUMBER(Datos!B2982),Datos!B2982/$F$2*100,NA()),NA())</f>
        <v/>
      </c>
      <c r="C2982" s="27">
        <f>IFERROR(IF(ISNUMBER(Datos!C2982),Datos!C2982/$F$3*100,NA()),NA())</f>
        <v/>
      </c>
    </row>
    <row r="2983">
      <c r="A2983" s="7">
        <f>IFERROR(Datos!A2983,"")</f>
        <v/>
      </c>
      <c r="B2983" s="27">
        <f>IFERROR(IF(ISNUMBER(Datos!B2983),Datos!B2983/$F$2*100,NA()),NA())</f>
        <v/>
      </c>
      <c r="C2983" s="27">
        <f>IFERROR(IF(ISNUMBER(Datos!C2983),Datos!C2983/$F$3*100,NA()),NA())</f>
        <v/>
      </c>
    </row>
    <row r="2984">
      <c r="A2984" s="7">
        <f>IFERROR(Datos!A2984,"")</f>
        <v/>
      </c>
      <c r="B2984" s="27">
        <f>IFERROR(IF(ISNUMBER(Datos!B2984),Datos!B2984/$F$2*100,NA()),NA())</f>
        <v/>
      </c>
      <c r="C2984" s="27">
        <f>IFERROR(IF(ISNUMBER(Datos!C2984),Datos!C2984/$F$3*100,NA()),NA())</f>
        <v/>
      </c>
    </row>
    <row r="2985">
      <c r="A2985" s="7">
        <f>IFERROR(Datos!A2985,"")</f>
        <v/>
      </c>
      <c r="B2985" s="27">
        <f>IFERROR(IF(ISNUMBER(Datos!B2985),Datos!B2985/$F$2*100,NA()),NA())</f>
        <v/>
      </c>
      <c r="C2985" s="27">
        <f>IFERROR(IF(ISNUMBER(Datos!C2985),Datos!C2985/$F$3*100,NA()),NA())</f>
        <v/>
      </c>
    </row>
    <row r="2986">
      <c r="A2986" s="7">
        <f>IFERROR(Datos!A2986,"")</f>
        <v/>
      </c>
      <c r="B2986" s="27">
        <f>IFERROR(IF(ISNUMBER(Datos!B2986),Datos!B2986/$F$2*100,NA()),NA())</f>
        <v/>
      </c>
      <c r="C2986" s="27">
        <f>IFERROR(IF(ISNUMBER(Datos!C2986),Datos!C2986/$F$3*100,NA()),NA())</f>
        <v/>
      </c>
    </row>
    <row r="2987">
      <c r="A2987" s="7">
        <f>IFERROR(Datos!A2987,"")</f>
        <v/>
      </c>
      <c r="B2987" s="27">
        <f>IFERROR(IF(ISNUMBER(Datos!B2987),Datos!B2987/$F$2*100,NA()),NA())</f>
        <v/>
      </c>
      <c r="C2987" s="27">
        <f>IFERROR(IF(ISNUMBER(Datos!C2987),Datos!C2987/$F$3*100,NA()),NA())</f>
        <v/>
      </c>
    </row>
    <row r="2988">
      <c r="A2988" s="7">
        <f>IFERROR(Datos!A2988,"")</f>
        <v/>
      </c>
      <c r="B2988" s="27">
        <f>IFERROR(IF(ISNUMBER(Datos!B2988),Datos!B2988/$F$2*100,NA()),NA())</f>
        <v/>
      </c>
      <c r="C2988" s="27">
        <f>IFERROR(IF(ISNUMBER(Datos!C2988),Datos!C2988/$F$3*100,NA()),NA())</f>
        <v/>
      </c>
    </row>
    <row r="2989">
      <c r="A2989" s="7">
        <f>IFERROR(Datos!A2989,"")</f>
        <v/>
      </c>
      <c r="B2989" s="27">
        <f>IFERROR(IF(ISNUMBER(Datos!B2989),Datos!B2989/$F$2*100,NA()),NA())</f>
        <v/>
      </c>
      <c r="C2989" s="27">
        <f>IFERROR(IF(ISNUMBER(Datos!C2989),Datos!C2989/$F$3*100,NA()),NA())</f>
        <v/>
      </c>
    </row>
    <row r="2990">
      <c r="A2990" s="7">
        <f>IFERROR(Datos!A2990,"")</f>
        <v/>
      </c>
      <c r="B2990" s="27">
        <f>IFERROR(IF(ISNUMBER(Datos!B2990),Datos!B2990/$F$2*100,NA()),NA())</f>
        <v/>
      </c>
      <c r="C2990" s="27">
        <f>IFERROR(IF(ISNUMBER(Datos!C2990),Datos!C2990/$F$3*100,NA()),NA())</f>
        <v/>
      </c>
    </row>
    <row r="2991">
      <c r="A2991" s="7">
        <f>IFERROR(Datos!A2991,"")</f>
        <v/>
      </c>
      <c r="B2991" s="27">
        <f>IFERROR(IF(ISNUMBER(Datos!B2991),Datos!B2991/$F$2*100,NA()),NA())</f>
        <v/>
      </c>
      <c r="C2991" s="27">
        <f>IFERROR(IF(ISNUMBER(Datos!C2991),Datos!C2991/$F$3*100,NA()),NA())</f>
        <v/>
      </c>
    </row>
    <row r="2992">
      <c r="A2992" s="7">
        <f>IFERROR(Datos!A2992,"")</f>
        <v/>
      </c>
      <c r="B2992" s="27">
        <f>IFERROR(IF(ISNUMBER(Datos!B2992),Datos!B2992/$F$2*100,NA()),NA())</f>
        <v/>
      </c>
      <c r="C2992" s="27">
        <f>IFERROR(IF(ISNUMBER(Datos!C2992),Datos!C2992/$F$3*100,NA()),NA())</f>
        <v/>
      </c>
    </row>
    <row r="2993">
      <c r="A2993" s="7">
        <f>IFERROR(Datos!A2993,"")</f>
        <v/>
      </c>
      <c r="B2993" s="27">
        <f>IFERROR(IF(ISNUMBER(Datos!B2993),Datos!B2993/$F$2*100,NA()),NA())</f>
        <v/>
      </c>
      <c r="C2993" s="27">
        <f>IFERROR(IF(ISNUMBER(Datos!C2993),Datos!C2993/$F$3*100,NA()),NA())</f>
        <v/>
      </c>
    </row>
    <row r="2994">
      <c r="A2994" s="7">
        <f>IFERROR(Datos!A2994,"")</f>
        <v/>
      </c>
      <c r="B2994" s="27">
        <f>IFERROR(IF(ISNUMBER(Datos!B2994),Datos!B2994/$F$2*100,NA()),NA())</f>
        <v/>
      </c>
      <c r="C2994" s="27">
        <f>IFERROR(IF(ISNUMBER(Datos!C2994),Datos!C2994/$F$3*100,NA()),NA())</f>
        <v/>
      </c>
    </row>
    <row r="2995">
      <c r="A2995" s="7">
        <f>IFERROR(Datos!A2995,"")</f>
        <v/>
      </c>
      <c r="B2995" s="27">
        <f>IFERROR(IF(ISNUMBER(Datos!B2995),Datos!B2995/$F$2*100,NA()),NA())</f>
        <v/>
      </c>
      <c r="C2995" s="27">
        <f>IFERROR(IF(ISNUMBER(Datos!C2995),Datos!C2995/$F$3*100,NA()),NA())</f>
        <v/>
      </c>
    </row>
    <row r="2996">
      <c r="A2996" s="7">
        <f>IFERROR(Datos!A2996,"")</f>
        <v/>
      </c>
      <c r="B2996" s="27">
        <f>IFERROR(IF(ISNUMBER(Datos!B2996),Datos!B2996/$F$2*100,NA()),NA())</f>
        <v/>
      </c>
      <c r="C2996" s="27">
        <f>IFERROR(IF(ISNUMBER(Datos!C2996),Datos!C2996/$F$3*100,NA()),NA())</f>
        <v/>
      </c>
    </row>
    <row r="2997">
      <c r="A2997" s="7">
        <f>IFERROR(Datos!A2997,"")</f>
        <v/>
      </c>
      <c r="B2997" s="27">
        <f>IFERROR(IF(ISNUMBER(Datos!B2997),Datos!B2997/$F$2*100,NA()),NA())</f>
        <v/>
      </c>
      <c r="C2997" s="27">
        <f>IFERROR(IF(ISNUMBER(Datos!C2997),Datos!C2997/$F$3*100,NA()),NA())</f>
        <v/>
      </c>
    </row>
    <row r="2998">
      <c r="A2998" s="7">
        <f>IFERROR(Datos!A2998,"")</f>
        <v/>
      </c>
      <c r="B2998" s="27">
        <f>IFERROR(IF(ISNUMBER(Datos!B2998),Datos!B2998/$F$2*100,NA()),NA())</f>
        <v/>
      </c>
      <c r="C2998" s="27">
        <f>IFERROR(IF(ISNUMBER(Datos!C2998),Datos!C2998/$F$3*100,NA()),NA())</f>
        <v/>
      </c>
    </row>
    <row r="2999">
      <c r="A2999" s="7">
        <f>IFERROR(Datos!A2999,"")</f>
        <v/>
      </c>
      <c r="B2999" s="27">
        <f>IFERROR(IF(ISNUMBER(Datos!B2999),Datos!B2999/$F$2*100,NA()),NA())</f>
        <v/>
      </c>
      <c r="C2999" s="27">
        <f>IFERROR(IF(ISNUMBER(Datos!C2999),Datos!C2999/$F$3*100,NA()),NA())</f>
        <v/>
      </c>
    </row>
    <row r="3000">
      <c r="A3000" s="7">
        <f>IFERROR(Datos!A3000,"")</f>
        <v/>
      </c>
      <c r="B3000" s="27">
        <f>IFERROR(IF(ISNUMBER(Datos!B3000),Datos!B3000/$F$2*100,NA()),NA())</f>
        <v/>
      </c>
      <c r="C3000" s="27">
        <f>IFERROR(IF(ISNUMBER(Datos!C3000),Datos!C3000/$F$3*100,NA()),NA())</f>
        <v/>
      </c>
    </row>
    <row r="3001">
      <c r="A3001" s="7">
        <f>IFERROR(Datos!A3001,"")</f>
        <v/>
      </c>
      <c r="B3001" s="27">
        <f>IFERROR(IF(ISNUMBER(Datos!B3001),Datos!B3001/$F$2*100,NA()),NA())</f>
        <v/>
      </c>
      <c r="C3001" s="27">
        <f>IFERROR(IF(ISNUMBER(Datos!C3001),Datos!C3001/$F$3*100,NA()),NA())</f>
        <v/>
      </c>
    </row>
    <row r="3002">
      <c r="A3002" s="7">
        <f>IFERROR(Datos!A3002,"")</f>
        <v/>
      </c>
      <c r="B3002" s="27">
        <f>IFERROR(IF(ISNUMBER(Datos!B3002),Datos!B3002/$F$2*100,NA()),NA())</f>
        <v/>
      </c>
      <c r="C3002" s="27">
        <f>IFERROR(IF(ISNUMBER(Datos!C3002),Datos!C3002/$F$3*100,NA()),NA())</f>
        <v/>
      </c>
    </row>
    <row r="3003">
      <c r="A3003" s="7">
        <f>IFERROR(Datos!A3003,"")</f>
        <v/>
      </c>
      <c r="B3003" s="27">
        <f>IFERROR(IF(ISNUMBER(Datos!B3003),Datos!B3003/$F$2*100,NA()),NA())</f>
        <v/>
      </c>
      <c r="C3003" s="27">
        <f>IFERROR(IF(ISNUMBER(Datos!C3003),Datos!C3003/$F$3*100,NA()),NA())</f>
        <v/>
      </c>
    </row>
    <row r="3004">
      <c r="A3004" s="7">
        <f>IFERROR(Datos!A3004,"")</f>
        <v/>
      </c>
      <c r="B3004" s="27">
        <f>IFERROR(IF(ISNUMBER(Datos!B3004),Datos!B3004/$F$2*100,NA()),NA())</f>
        <v/>
      </c>
      <c r="C3004" s="27">
        <f>IFERROR(IF(ISNUMBER(Datos!C3004),Datos!C3004/$F$3*100,NA()),NA())</f>
        <v/>
      </c>
    </row>
    <row r="3005">
      <c r="A3005" s="7">
        <f>IFERROR(Datos!A3005,"")</f>
        <v/>
      </c>
      <c r="B3005" s="27">
        <f>IFERROR(IF(ISNUMBER(Datos!B3005),Datos!B3005/$F$2*100,NA()),NA())</f>
        <v/>
      </c>
      <c r="C3005" s="27">
        <f>IFERROR(IF(ISNUMBER(Datos!C3005),Datos!C3005/$F$3*100,NA()),NA())</f>
        <v/>
      </c>
    </row>
    <row r="3006">
      <c r="A3006" s="7">
        <f>IFERROR(Datos!A3006,"")</f>
        <v/>
      </c>
      <c r="B3006" s="27">
        <f>IFERROR(IF(ISNUMBER(Datos!B3006),Datos!B3006/$F$2*100,NA()),NA())</f>
        <v/>
      </c>
      <c r="C3006" s="27">
        <f>IFERROR(IF(ISNUMBER(Datos!C3006),Datos!C3006/$F$3*100,NA()),NA())</f>
        <v/>
      </c>
    </row>
    <row r="3007">
      <c r="A3007" s="7">
        <f>IFERROR(Datos!A3007,"")</f>
        <v/>
      </c>
      <c r="B3007" s="27">
        <f>IFERROR(IF(ISNUMBER(Datos!B3007),Datos!B3007/$F$2*100,NA()),NA())</f>
        <v/>
      </c>
      <c r="C3007" s="27">
        <f>IFERROR(IF(ISNUMBER(Datos!C3007),Datos!C3007/$F$3*100,NA()),NA())</f>
        <v/>
      </c>
    </row>
    <row r="3008">
      <c r="A3008" s="7">
        <f>IFERROR(Datos!A3008,"")</f>
        <v/>
      </c>
      <c r="B3008" s="27">
        <f>IFERROR(IF(ISNUMBER(Datos!B3008),Datos!B3008/$F$2*100,NA()),NA())</f>
        <v/>
      </c>
      <c r="C3008" s="27">
        <f>IFERROR(IF(ISNUMBER(Datos!C3008),Datos!C3008/$F$3*100,NA()),NA())</f>
        <v/>
      </c>
    </row>
    <row r="3009">
      <c r="A3009" s="7">
        <f>IFERROR(Datos!A3009,"")</f>
        <v/>
      </c>
      <c r="B3009" s="27">
        <f>IFERROR(IF(ISNUMBER(Datos!B3009),Datos!B3009/$F$2*100,NA()),NA())</f>
        <v/>
      </c>
      <c r="C3009" s="27">
        <f>IFERROR(IF(ISNUMBER(Datos!C3009),Datos!C3009/$F$3*100,NA()),NA())</f>
        <v/>
      </c>
    </row>
    <row r="3010">
      <c r="A3010" s="7">
        <f>IFERROR(Datos!A3010,"")</f>
        <v/>
      </c>
      <c r="B3010" s="27">
        <f>IFERROR(IF(ISNUMBER(Datos!B3010),Datos!B3010/$F$2*100,NA()),NA())</f>
        <v/>
      </c>
      <c r="C3010" s="27">
        <f>IFERROR(IF(ISNUMBER(Datos!C3010),Datos!C3010/$F$3*100,NA()),NA())</f>
        <v/>
      </c>
    </row>
    <row r="3011">
      <c r="A3011" s="7">
        <f>IFERROR(Datos!A3011,"")</f>
        <v/>
      </c>
      <c r="B3011" s="27">
        <f>IFERROR(IF(ISNUMBER(Datos!B3011),Datos!B3011/$F$2*100,NA()),NA())</f>
        <v/>
      </c>
      <c r="C3011" s="27">
        <f>IFERROR(IF(ISNUMBER(Datos!C3011),Datos!C3011/$F$3*100,NA()),NA())</f>
        <v/>
      </c>
    </row>
    <row r="3012">
      <c r="A3012" s="7">
        <f>IFERROR(Datos!A3012,"")</f>
        <v/>
      </c>
      <c r="B3012" s="27">
        <f>IFERROR(IF(ISNUMBER(Datos!B3012),Datos!B3012/$F$2*100,NA()),NA())</f>
        <v/>
      </c>
      <c r="C3012" s="27">
        <f>IFERROR(IF(ISNUMBER(Datos!C3012),Datos!C3012/$F$3*100,NA()),NA())</f>
        <v/>
      </c>
    </row>
    <row r="3013">
      <c r="A3013" s="7">
        <f>IFERROR(Datos!A3013,"")</f>
        <v/>
      </c>
      <c r="B3013" s="27">
        <f>IFERROR(IF(ISNUMBER(Datos!B3013),Datos!B3013/$F$2*100,NA()),NA())</f>
        <v/>
      </c>
      <c r="C3013" s="27">
        <f>IFERROR(IF(ISNUMBER(Datos!C3013),Datos!C3013/$F$3*100,NA()),NA())</f>
        <v/>
      </c>
    </row>
    <row r="3014">
      <c r="A3014" s="7">
        <f>IFERROR(Datos!A3014,"")</f>
        <v/>
      </c>
      <c r="B3014" s="27">
        <f>IFERROR(IF(ISNUMBER(Datos!B3014),Datos!B3014/$F$2*100,NA()),NA())</f>
        <v/>
      </c>
      <c r="C3014" s="27">
        <f>IFERROR(IF(ISNUMBER(Datos!C3014),Datos!C3014/$F$3*100,NA()),NA())</f>
        <v/>
      </c>
    </row>
    <row r="3015">
      <c r="A3015" s="7">
        <f>IFERROR(Datos!A3015,"")</f>
        <v/>
      </c>
      <c r="B3015" s="27">
        <f>IFERROR(IF(ISNUMBER(Datos!B3015),Datos!B3015/$F$2*100,NA()),NA())</f>
        <v/>
      </c>
      <c r="C3015" s="27">
        <f>IFERROR(IF(ISNUMBER(Datos!C3015),Datos!C3015/$F$3*100,NA()),NA())</f>
        <v/>
      </c>
    </row>
    <row r="3016">
      <c r="A3016" s="7">
        <f>IFERROR(Datos!A3016,"")</f>
        <v/>
      </c>
      <c r="B3016" s="27">
        <f>IFERROR(IF(ISNUMBER(Datos!B3016),Datos!B3016/$F$2*100,NA()),NA())</f>
        <v/>
      </c>
      <c r="C3016" s="27">
        <f>IFERROR(IF(ISNUMBER(Datos!C3016),Datos!C3016/$F$3*100,NA()),NA())</f>
        <v/>
      </c>
    </row>
    <row r="3017">
      <c r="A3017" s="7">
        <f>IFERROR(Datos!A3017,"")</f>
        <v/>
      </c>
      <c r="B3017" s="27">
        <f>IFERROR(IF(ISNUMBER(Datos!B3017),Datos!B3017/$F$2*100,NA()),NA())</f>
        <v/>
      </c>
      <c r="C3017" s="27">
        <f>IFERROR(IF(ISNUMBER(Datos!C3017),Datos!C3017/$F$3*100,NA()),NA())</f>
        <v/>
      </c>
    </row>
    <row r="3018">
      <c r="A3018" s="7">
        <f>IFERROR(Datos!A3018,"")</f>
        <v/>
      </c>
      <c r="B3018" s="27">
        <f>IFERROR(IF(ISNUMBER(Datos!B3018),Datos!B3018/$F$2*100,NA()),NA())</f>
        <v/>
      </c>
      <c r="C3018" s="27">
        <f>IFERROR(IF(ISNUMBER(Datos!C3018),Datos!C3018/$F$3*100,NA()),NA())</f>
        <v/>
      </c>
    </row>
    <row r="3019">
      <c r="A3019" s="7">
        <f>IFERROR(Datos!A3019,"")</f>
        <v/>
      </c>
      <c r="B3019" s="27">
        <f>IFERROR(IF(ISNUMBER(Datos!B3019),Datos!B3019/$F$2*100,NA()),NA())</f>
        <v/>
      </c>
      <c r="C3019" s="27">
        <f>IFERROR(IF(ISNUMBER(Datos!C3019),Datos!C3019/$F$3*100,NA()),NA())</f>
        <v/>
      </c>
    </row>
    <row r="3020">
      <c r="A3020" s="7">
        <f>IFERROR(Datos!A3020,"")</f>
        <v/>
      </c>
      <c r="B3020" s="27">
        <f>IFERROR(IF(ISNUMBER(Datos!B3020),Datos!B3020/$F$2*100,NA()),NA())</f>
        <v/>
      </c>
      <c r="C3020" s="27">
        <f>IFERROR(IF(ISNUMBER(Datos!C3020),Datos!C3020/$F$3*100,NA()),NA())</f>
        <v/>
      </c>
    </row>
    <row r="3021">
      <c r="A3021" s="7">
        <f>IFERROR(Datos!A3021,"")</f>
        <v/>
      </c>
      <c r="B3021" s="27">
        <f>IFERROR(IF(ISNUMBER(Datos!B3021),Datos!B3021/$F$2*100,NA()),NA())</f>
        <v/>
      </c>
      <c r="C3021" s="27">
        <f>IFERROR(IF(ISNUMBER(Datos!C3021),Datos!C3021/$F$3*100,NA()),NA())</f>
        <v/>
      </c>
    </row>
    <row r="3022">
      <c r="A3022" s="7">
        <f>IFERROR(Datos!A3022,"")</f>
        <v/>
      </c>
      <c r="B3022" s="27">
        <f>IFERROR(IF(ISNUMBER(Datos!B3022),Datos!B3022/$F$2*100,NA()),NA())</f>
        <v/>
      </c>
      <c r="C3022" s="27">
        <f>IFERROR(IF(ISNUMBER(Datos!C3022),Datos!C3022/$F$3*100,NA()),NA())</f>
        <v/>
      </c>
    </row>
    <row r="3023">
      <c r="A3023" s="7">
        <f>IFERROR(Datos!A3023,"")</f>
        <v/>
      </c>
      <c r="B3023" s="27">
        <f>IFERROR(IF(ISNUMBER(Datos!B3023),Datos!B3023/$F$2*100,NA()),NA())</f>
        <v/>
      </c>
      <c r="C3023" s="27">
        <f>IFERROR(IF(ISNUMBER(Datos!C3023),Datos!C3023/$F$3*100,NA()),NA())</f>
        <v/>
      </c>
    </row>
    <row r="3024">
      <c r="A3024" s="7">
        <f>IFERROR(Datos!A3024,"")</f>
        <v/>
      </c>
      <c r="B3024" s="27">
        <f>IFERROR(IF(ISNUMBER(Datos!B3024),Datos!B3024/$F$2*100,NA()),NA())</f>
        <v/>
      </c>
      <c r="C3024" s="27">
        <f>IFERROR(IF(ISNUMBER(Datos!C3024),Datos!C3024/$F$3*100,NA()),NA())</f>
        <v/>
      </c>
    </row>
    <row r="3025">
      <c r="A3025" s="7">
        <f>IFERROR(Datos!A3025,"")</f>
        <v/>
      </c>
      <c r="B3025" s="27">
        <f>IFERROR(IF(ISNUMBER(Datos!B3025),Datos!B3025/$F$2*100,NA()),NA())</f>
        <v/>
      </c>
      <c r="C3025" s="27">
        <f>IFERROR(IF(ISNUMBER(Datos!C3025),Datos!C3025/$F$3*100,NA()),NA())</f>
        <v/>
      </c>
    </row>
    <row r="3026">
      <c r="A3026" s="7">
        <f>IFERROR(Datos!A3026,"")</f>
        <v/>
      </c>
      <c r="B3026" s="27">
        <f>IFERROR(IF(ISNUMBER(Datos!B3026),Datos!B3026/$F$2*100,NA()),NA())</f>
        <v/>
      </c>
      <c r="C3026" s="27">
        <f>IFERROR(IF(ISNUMBER(Datos!C3026),Datos!C3026/$F$3*100,NA()),NA())</f>
        <v/>
      </c>
    </row>
    <row r="3027">
      <c r="A3027" s="7">
        <f>IFERROR(Datos!A3027,"")</f>
        <v/>
      </c>
      <c r="B3027" s="27">
        <f>IFERROR(IF(ISNUMBER(Datos!B3027),Datos!B3027/$F$2*100,NA()),NA())</f>
        <v/>
      </c>
      <c r="C3027" s="27">
        <f>IFERROR(IF(ISNUMBER(Datos!C3027),Datos!C3027/$F$3*100,NA()),NA())</f>
        <v/>
      </c>
    </row>
    <row r="3028">
      <c r="A3028" s="7">
        <f>IFERROR(Datos!A3028,"")</f>
        <v/>
      </c>
      <c r="B3028" s="27">
        <f>IFERROR(IF(ISNUMBER(Datos!B3028),Datos!B3028/$F$2*100,NA()),NA())</f>
        <v/>
      </c>
      <c r="C3028" s="27">
        <f>IFERROR(IF(ISNUMBER(Datos!C3028),Datos!C3028/$F$3*100,NA()),NA())</f>
        <v/>
      </c>
    </row>
    <row r="3029">
      <c r="A3029" s="7">
        <f>IFERROR(Datos!A3029,"")</f>
        <v/>
      </c>
      <c r="B3029" s="27">
        <f>IFERROR(IF(ISNUMBER(Datos!B3029),Datos!B3029/$F$2*100,NA()),NA())</f>
        <v/>
      </c>
      <c r="C3029" s="27">
        <f>IFERROR(IF(ISNUMBER(Datos!C3029),Datos!C3029/$F$3*100,NA()),NA())</f>
        <v/>
      </c>
    </row>
    <row r="3030">
      <c r="A3030" s="7">
        <f>IFERROR(Datos!A3030,"")</f>
        <v/>
      </c>
      <c r="B3030" s="27">
        <f>IFERROR(IF(ISNUMBER(Datos!B3030),Datos!B3030/$F$2*100,NA()),NA())</f>
        <v/>
      </c>
      <c r="C3030" s="27">
        <f>IFERROR(IF(ISNUMBER(Datos!C3030),Datos!C3030/$F$3*100,NA()),NA())</f>
        <v/>
      </c>
    </row>
    <row r="3031">
      <c r="A3031" s="7">
        <f>IFERROR(Datos!A3031,"")</f>
        <v/>
      </c>
      <c r="B3031" s="27">
        <f>IFERROR(IF(ISNUMBER(Datos!B3031),Datos!B3031/$F$2*100,NA()),NA())</f>
        <v/>
      </c>
      <c r="C3031" s="27">
        <f>IFERROR(IF(ISNUMBER(Datos!C3031),Datos!C3031/$F$3*100,NA()),NA())</f>
        <v/>
      </c>
    </row>
    <row r="3032">
      <c r="A3032" s="7">
        <f>IFERROR(Datos!A3032,"")</f>
        <v/>
      </c>
      <c r="B3032" s="27">
        <f>IFERROR(IF(ISNUMBER(Datos!B3032),Datos!B3032/$F$2*100,NA()),NA())</f>
        <v/>
      </c>
      <c r="C3032" s="27">
        <f>IFERROR(IF(ISNUMBER(Datos!C3032),Datos!C3032/$F$3*100,NA()),NA())</f>
        <v/>
      </c>
    </row>
    <row r="3033">
      <c r="A3033" s="7">
        <f>IFERROR(Datos!A3033,"")</f>
        <v/>
      </c>
      <c r="B3033" s="27">
        <f>IFERROR(IF(ISNUMBER(Datos!B3033),Datos!B3033/$F$2*100,NA()),NA())</f>
        <v/>
      </c>
      <c r="C3033" s="27">
        <f>IFERROR(IF(ISNUMBER(Datos!C3033),Datos!C3033/$F$3*100,NA()),NA())</f>
        <v/>
      </c>
    </row>
    <row r="3034">
      <c r="A3034" s="7">
        <f>IFERROR(Datos!A3034,"")</f>
        <v/>
      </c>
      <c r="B3034" s="27">
        <f>IFERROR(IF(ISNUMBER(Datos!B3034),Datos!B3034/$F$2*100,NA()),NA())</f>
        <v/>
      </c>
      <c r="C3034" s="27">
        <f>IFERROR(IF(ISNUMBER(Datos!C3034),Datos!C3034/$F$3*100,NA()),NA())</f>
        <v/>
      </c>
    </row>
    <row r="3035">
      <c r="A3035" s="7">
        <f>IFERROR(Datos!A3035,"")</f>
        <v/>
      </c>
      <c r="B3035" s="27">
        <f>IFERROR(IF(ISNUMBER(Datos!B3035),Datos!B3035/$F$2*100,NA()),NA())</f>
        <v/>
      </c>
      <c r="C3035" s="27">
        <f>IFERROR(IF(ISNUMBER(Datos!C3035),Datos!C3035/$F$3*100,NA()),NA())</f>
        <v/>
      </c>
    </row>
    <row r="3036">
      <c r="A3036" s="7">
        <f>IFERROR(Datos!A3036,"")</f>
        <v/>
      </c>
      <c r="B3036" s="27">
        <f>IFERROR(IF(ISNUMBER(Datos!B3036),Datos!B3036/$F$2*100,NA()),NA())</f>
        <v/>
      </c>
      <c r="C3036" s="27">
        <f>IFERROR(IF(ISNUMBER(Datos!C3036),Datos!C3036/$F$3*100,NA()),NA())</f>
        <v/>
      </c>
    </row>
    <row r="3037">
      <c r="A3037" s="7">
        <f>IFERROR(Datos!A3037,"")</f>
        <v/>
      </c>
      <c r="B3037" s="27">
        <f>IFERROR(IF(ISNUMBER(Datos!B3037),Datos!B3037/$F$2*100,NA()),NA())</f>
        <v/>
      </c>
      <c r="C3037" s="27">
        <f>IFERROR(IF(ISNUMBER(Datos!C3037),Datos!C3037/$F$3*100,NA()),NA())</f>
        <v/>
      </c>
    </row>
    <row r="3038">
      <c r="A3038" s="7">
        <f>IFERROR(Datos!A3038,"")</f>
        <v/>
      </c>
      <c r="B3038" s="27">
        <f>IFERROR(IF(ISNUMBER(Datos!B3038),Datos!B3038/$F$2*100,NA()),NA())</f>
        <v/>
      </c>
      <c r="C3038" s="27">
        <f>IFERROR(IF(ISNUMBER(Datos!C3038),Datos!C3038/$F$3*100,NA()),NA())</f>
        <v/>
      </c>
    </row>
    <row r="3039">
      <c r="A3039" s="7">
        <f>IFERROR(Datos!A3039,"")</f>
        <v/>
      </c>
      <c r="B3039" s="27">
        <f>IFERROR(IF(ISNUMBER(Datos!B3039),Datos!B3039/$F$2*100,NA()),NA())</f>
        <v/>
      </c>
      <c r="C3039" s="27">
        <f>IFERROR(IF(ISNUMBER(Datos!C3039),Datos!C3039/$F$3*100,NA()),NA())</f>
        <v/>
      </c>
    </row>
    <row r="3040">
      <c r="A3040" s="7">
        <f>IFERROR(Datos!A3040,"")</f>
        <v/>
      </c>
      <c r="B3040" s="27">
        <f>IFERROR(IF(ISNUMBER(Datos!B3040),Datos!B3040/$F$2*100,NA()),NA())</f>
        <v/>
      </c>
      <c r="C3040" s="27">
        <f>IFERROR(IF(ISNUMBER(Datos!C3040),Datos!C3040/$F$3*100,NA()),NA())</f>
        <v/>
      </c>
    </row>
    <row r="3041">
      <c r="A3041" s="7">
        <f>IFERROR(Datos!A3041,"")</f>
        <v/>
      </c>
      <c r="B3041" s="27">
        <f>IFERROR(IF(ISNUMBER(Datos!B3041),Datos!B3041/$F$2*100,NA()),NA())</f>
        <v/>
      </c>
      <c r="C3041" s="27">
        <f>IFERROR(IF(ISNUMBER(Datos!C3041),Datos!C3041/$F$3*100,NA()),NA())</f>
        <v/>
      </c>
    </row>
    <row r="3042">
      <c r="A3042" s="7">
        <f>IFERROR(Datos!A3042,"")</f>
        <v/>
      </c>
      <c r="B3042" s="27">
        <f>IFERROR(IF(ISNUMBER(Datos!B3042),Datos!B3042/$F$2*100,NA()),NA())</f>
        <v/>
      </c>
      <c r="C3042" s="27">
        <f>IFERROR(IF(ISNUMBER(Datos!C3042),Datos!C3042/$F$3*100,NA()),NA())</f>
        <v/>
      </c>
    </row>
    <row r="3043">
      <c r="A3043" s="7">
        <f>IFERROR(Datos!A3043,"")</f>
        <v/>
      </c>
      <c r="B3043" s="27">
        <f>IFERROR(IF(ISNUMBER(Datos!B3043),Datos!B3043/$F$2*100,NA()),NA())</f>
        <v/>
      </c>
      <c r="C3043" s="27">
        <f>IFERROR(IF(ISNUMBER(Datos!C3043),Datos!C3043/$F$3*100,NA()),NA())</f>
        <v/>
      </c>
    </row>
    <row r="3044">
      <c r="A3044" s="7">
        <f>IFERROR(Datos!A3044,"")</f>
        <v/>
      </c>
      <c r="B3044" s="27">
        <f>IFERROR(IF(ISNUMBER(Datos!B3044),Datos!B3044/$F$2*100,NA()),NA())</f>
        <v/>
      </c>
      <c r="C3044" s="27">
        <f>IFERROR(IF(ISNUMBER(Datos!C3044),Datos!C3044/$F$3*100,NA()),NA())</f>
        <v/>
      </c>
    </row>
    <row r="3045">
      <c r="A3045" s="7">
        <f>IFERROR(Datos!A3045,"")</f>
        <v/>
      </c>
      <c r="B3045" s="27">
        <f>IFERROR(IF(ISNUMBER(Datos!B3045),Datos!B3045/$F$2*100,NA()),NA())</f>
        <v/>
      </c>
      <c r="C3045" s="27">
        <f>IFERROR(IF(ISNUMBER(Datos!C3045),Datos!C3045/$F$3*100,NA()),NA())</f>
        <v/>
      </c>
    </row>
    <row r="3046">
      <c r="A3046" s="7">
        <f>IFERROR(Datos!A3046,"")</f>
        <v/>
      </c>
      <c r="B3046" s="27">
        <f>IFERROR(IF(ISNUMBER(Datos!B3046),Datos!B3046/$F$2*100,NA()),NA())</f>
        <v/>
      </c>
      <c r="C3046" s="27">
        <f>IFERROR(IF(ISNUMBER(Datos!C3046),Datos!C3046/$F$3*100,NA()),NA())</f>
        <v/>
      </c>
    </row>
    <row r="3047">
      <c r="A3047" s="7">
        <f>IFERROR(Datos!A3047,"")</f>
        <v/>
      </c>
      <c r="B3047" s="27">
        <f>IFERROR(IF(ISNUMBER(Datos!B3047),Datos!B3047/$F$2*100,NA()),NA())</f>
        <v/>
      </c>
      <c r="C3047" s="27">
        <f>IFERROR(IF(ISNUMBER(Datos!C3047),Datos!C3047/$F$3*100,NA()),NA())</f>
        <v/>
      </c>
    </row>
    <row r="3048">
      <c r="A3048" s="7">
        <f>IFERROR(Datos!A3048,"")</f>
        <v/>
      </c>
      <c r="B3048" s="27">
        <f>IFERROR(IF(ISNUMBER(Datos!B3048),Datos!B3048/$F$2*100,NA()),NA())</f>
        <v/>
      </c>
      <c r="C3048" s="27">
        <f>IFERROR(IF(ISNUMBER(Datos!C3048),Datos!C3048/$F$3*100,NA()),NA())</f>
        <v/>
      </c>
    </row>
    <row r="3049">
      <c r="A3049" s="7">
        <f>IFERROR(Datos!A3049,"")</f>
        <v/>
      </c>
      <c r="B3049" s="27">
        <f>IFERROR(IF(ISNUMBER(Datos!B3049),Datos!B3049/$F$2*100,NA()),NA())</f>
        <v/>
      </c>
      <c r="C3049" s="27">
        <f>IFERROR(IF(ISNUMBER(Datos!C3049),Datos!C3049/$F$3*100,NA()),NA())</f>
        <v/>
      </c>
    </row>
    <row r="3050">
      <c r="A3050" s="7">
        <f>IFERROR(Datos!A3050,"")</f>
        <v/>
      </c>
      <c r="B3050" s="27">
        <f>IFERROR(IF(ISNUMBER(Datos!B3050),Datos!B3050/$F$2*100,NA()),NA())</f>
        <v/>
      </c>
      <c r="C3050" s="27">
        <f>IFERROR(IF(ISNUMBER(Datos!C3050),Datos!C3050/$F$3*100,NA()),NA())</f>
        <v/>
      </c>
    </row>
    <row r="3051">
      <c r="A3051" s="7">
        <f>IFERROR(Datos!A3051,"")</f>
        <v/>
      </c>
      <c r="B3051" s="27">
        <f>IFERROR(IF(ISNUMBER(Datos!B3051),Datos!B3051/$F$2*100,NA()),NA())</f>
        <v/>
      </c>
      <c r="C3051" s="27">
        <f>IFERROR(IF(ISNUMBER(Datos!C3051),Datos!C3051/$F$3*100,NA()),NA())</f>
        <v/>
      </c>
    </row>
    <row r="3052">
      <c r="A3052" s="7">
        <f>IFERROR(Datos!A3052,"")</f>
        <v/>
      </c>
      <c r="B3052" s="27">
        <f>IFERROR(IF(ISNUMBER(Datos!B3052),Datos!B3052/$F$2*100,NA()),NA())</f>
        <v/>
      </c>
      <c r="C3052" s="27">
        <f>IFERROR(IF(ISNUMBER(Datos!C3052),Datos!C3052/$F$3*100,NA()),NA())</f>
        <v/>
      </c>
    </row>
    <row r="3053">
      <c r="A3053" s="7">
        <f>IFERROR(Datos!A3053,"")</f>
        <v/>
      </c>
      <c r="B3053" s="27">
        <f>IFERROR(IF(ISNUMBER(Datos!B3053),Datos!B3053/$F$2*100,NA()),NA())</f>
        <v/>
      </c>
      <c r="C3053" s="27">
        <f>IFERROR(IF(ISNUMBER(Datos!C3053),Datos!C3053/$F$3*100,NA()),NA())</f>
        <v/>
      </c>
    </row>
    <row r="3054">
      <c r="A3054" s="7">
        <f>IFERROR(Datos!A3054,"")</f>
        <v/>
      </c>
      <c r="B3054" s="27">
        <f>IFERROR(IF(ISNUMBER(Datos!B3054),Datos!B3054/$F$2*100,NA()),NA())</f>
        <v/>
      </c>
      <c r="C3054" s="27">
        <f>IFERROR(IF(ISNUMBER(Datos!C3054),Datos!C3054/$F$3*100,NA()),NA())</f>
        <v/>
      </c>
    </row>
    <row r="3055">
      <c r="A3055" s="7">
        <f>IFERROR(Datos!A3055,"")</f>
        <v/>
      </c>
      <c r="B3055" s="27">
        <f>IFERROR(IF(ISNUMBER(Datos!B3055),Datos!B3055/$F$2*100,NA()),NA())</f>
        <v/>
      </c>
      <c r="C3055" s="27">
        <f>IFERROR(IF(ISNUMBER(Datos!C3055),Datos!C3055/$F$3*100,NA()),NA())</f>
        <v/>
      </c>
    </row>
    <row r="3056">
      <c r="A3056" s="7">
        <f>IFERROR(Datos!A3056,"")</f>
        <v/>
      </c>
      <c r="B3056" s="27">
        <f>IFERROR(IF(ISNUMBER(Datos!B3056),Datos!B3056/$F$2*100,NA()),NA())</f>
        <v/>
      </c>
      <c r="C3056" s="27">
        <f>IFERROR(IF(ISNUMBER(Datos!C3056),Datos!C3056/$F$3*100,NA()),NA())</f>
        <v/>
      </c>
    </row>
    <row r="3057">
      <c r="A3057" s="7">
        <f>IFERROR(Datos!A3057,"")</f>
        <v/>
      </c>
      <c r="B3057" s="27">
        <f>IFERROR(IF(ISNUMBER(Datos!B3057),Datos!B3057/$F$2*100,NA()),NA())</f>
        <v/>
      </c>
      <c r="C3057" s="27">
        <f>IFERROR(IF(ISNUMBER(Datos!C3057),Datos!C3057/$F$3*100,NA()),NA())</f>
        <v/>
      </c>
    </row>
    <row r="3058">
      <c r="A3058" s="7">
        <f>IFERROR(Datos!A3058,"")</f>
        <v/>
      </c>
      <c r="B3058" s="27">
        <f>IFERROR(IF(ISNUMBER(Datos!B3058),Datos!B3058/$F$2*100,NA()),NA())</f>
        <v/>
      </c>
      <c r="C3058" s="27">
        <f>IFERROR(IF(ISNUMBER(Datos!C3058),Datos!C3058/$F$3*100,NA()),NA())</f>
        <v/>
      </c>
    </row>
    <row r="3059">
      <c r="A3059" s="7">
        <f>IFERROR(Datos!A3059,"")</f>
        <v/>
      </c>
      <c r="B3059" s="27">
        <f>IFERROR(IF(ISNUMBER(Datos!B3059),Datos!B3059/$F$2*100,NA()),NA())</f>
        <v/>
      </c>
      <c r="C3059" s="27">
        <f>IFERROR(IF(ISNUMBER(Datos!C3059),Datos!C3059/$F$3*100,NA()),NA())</f>
        <v/>
      </c>
    </row>
    <row r="3060">
      <c r="A3060" s="7">
        <f>IFERROR(Datos!A3060,"")</f>
        <v/>
      </c>
      <c r="B3060" s="27">
        <f>IFERROR(IF(ISNUMBER(Datos!B3060),Datos!B3060/$F$2*100,NA()),NA())</f>
        <v/>
      </c>
      <c r="C3060" s="27">
        <f>IFERROR(IF(ISNUMBER(Datos!C3060),Datos!C3060/$F$3*100,NA()),NA())</f>
        <v/>
      </c>
    </row>
    <row r="3061">
      <c r="A3061" s="7">
        <f>IFERROR(Datos!A3061,"")</f>
        <v/>
      </c>
      <c r="B3061" s="27">
        <f>IFERROR(IF(ISNUMBER(Datos!B3061),Datos!B3061/$F$2*100,NA()),NA())</f>
        <v/>
      </c>
      <c r="C3061" s="27">
        <f>IFERROR(IF(ISNUMBER(Datos!C3061),Datos!C3061/$F$3*100,NA()),NA())</f>
        <v/>
      </c>
    </row>
    <row r="3062">
      <c r="A3062" s="7">
        <f>IFERROR(Datos!A3062,"")</f>
        <v/>
      </c>
      <c r="B3062" s="27">
        <f>IFERROR(IF(ISNUMBER(Datos!B3062),Datos!B3062/$F$2*100,NA()),NA())</f>
        <v/>
      </c>
      <c r="C3062" s="27">
        <f>IFERROR(IF(ISNUMBER(Datos!C3062),Datos!C3062/$F$3*100,NA()),NA())</f>
        <v/>
      </c>
    </row>
    <row r="3063">
      <c r="A3063" s="7">
        <f>IFERROR(Datos!A3063,"")</f>
        <v/>
      </c>
      <c r="B3063" s="27">
        <f>IFERROR(IF(ISNUMBER(Datos!B3063),Datos!B3063/$F$2*100,NA()),NA())</f>
        <v/>
      </c>
      <c r="C3063" s="27">
        <f>IFERROR(IF(ISNUMBER(Datos!C3063),Datos!C3063/$F$3*100,NA()),NA())</f>
        <v/>
      </c>
    </row>
    <row r="3064">
      <c r="A3064" s="7">
        <f>IFERROR(Datos!A3064,"")</f>
        <v/>
      </c>
      <c r="B3064" s="27">
        <f>IFERROR(IF(ISNUMBER(Datos!B3064),Datos!B3064/$F$2*100,NA()),NA())</f>
        <v/>
      </c>
      <c r="C3064" s="27">
        <f>IFERROR(IF(ISNUMBER(Datos!C3064),Datos!C3064/$F$3*100,NA()),NA())</f>
        <v/>
      </c>
    </row>
    <row r="3065">
      <c r="A3065" s="7">
        <f>IFERROR(Datos!A3065,"")</f>
        <v/>
      </c>
      <c r="B3065" s="27">
        <f>IFERROR(IF(ISNUMBER(Datos!B3065),Datos!B3065/$F$2*100,NA()),NA())</f>
        <v/>
      </c>
      <c r="C3065" s="27">
        <f>IFERROR(IF(ISNUMBER(Datos!C3065),Datos!C3065/$F$3*100,NA()),NA())</f>
        <v/>
      </c>
    </row>
    <row r="3066">
      <c r="A3066" s="7">
        <f>IFERROR(Datos!A3066,"")</f>
        <v/>
      </c>
      <c r="B3066" s="27">
        <f>IFERROR(IF(ISNUMBER(Datos!B3066),Datos!B3066/$F$2*100,NA()),NA())</f>
        <v/>
      </c>
      <c r="C3066" s="27">
        <f>IFERROR(IF(ISNUMBER(Datos!C3066),Datos!C3066/$F$3*100,NA()),NA())</f>
        <v/>
      </c>
    </row>
    <row r="3067">
      <c r="A3067" s="7">
        <f>IFERROR(Datos!A3067,"")</f>
        <v/>
      </c>
      <c r="B3067" s="27">
        <f>IFERROR(IF(ISNUMBER(Datos!B3067),Datos!B3067/$F$2*100,NA()),NA())</f>
        <v/>
      </c>
      <c r="C3067" s="27">
        <f>IFERROR(IF(ISNUMBER(Datos!C3067),Datos!C3067/$F$3*100,NA()),NA())</f>
        <v/>
      </c>
    </row>
    <row r="3068">
      <c r="A3068" s="7">
        <f>IFERROR(Datos!A3068,"")</f>
        <v/>
      </c>
      <c r="B3068" s="27">
        <f>IFERROR(IF(ISNUMBER(Datos!B3068),Datos!B3068/$F$2*100,NA()),NA())</f>
        <v/>
      </c>
      <c r="C3068" s="27">
        <f>IFERROR(IF(ISNUMBER(Datos!C3068),Datos!C3068/$F$3*100,NA()),NA())</f>
        <v/>
      </c>
    </row>
    <row r="3069">
      <c r="A3069" s="7">
        <f>IFERROR(Datos!A3069,"")</f>
        <v/>
      </c>
      <c r="B3069" s="27">
        <f>IFERROR(IF(ISNUMBER(Datos!B3069),Datos!B3069/$F$2*100,NA()),NA())</f>
        <v/>
      </c>
      <c r="C3069" s="27">
        <f>IFERROR(IF(ISNUMBER(Datos!C3069),Datos!C3069/$F$3*100,NA()),NA())</f>
        <v/>
      </c>
    </row>
    <row r="3070">
      <c r="A3070" s="7">
        <f>IFERROR(Datos!A3070,"")</f>
        <v/>
      </c>
      <c r="B3070" s="27">
        <f>IFERROR(IF(ISNUMBER(Datos!B3070),Datos!B3070/$F$2*100,NA()),NA())</f>
        <v/>
      </c>
      <c r="C3070" s="27">
        <f>IFERROR(IF(ISNUMBER(Datos!C3070),Datos!C3070/$F$3*100,NA()),NA())</f>
        <v/>
      </c>
    </row>
    <row r="3071">
      <c r="A3071" s="7">
        <f>IFERROR(Datos!A3071,"")</f>
        <v/>
      </c>
      <c r="B3071" s="27">
        <f>IFERROR(IF(ISNUMBER(Datos!B3071),Datos!B3071/$F$2*100,NA()),NA())</f>
        <v/>
      </c>
      <c r="C3071" s="27">
        <f>IFERROR(IF(ISNUMBER(Datos!C3071),Datos!C3071/$F$3*100,NA()),NA())</f>
        <v/>
      </c>
    </row>
    <row r="3072">
      <c r="A3072" s="7">
        <f>IFERROR(Datos!A3072,"")</f>
        <v/>
      </c>
      <c r="B3072" s="27">
        <f>IFERROR(IF(ISNUMBER(Datos!B3072),Datos!B3072/$F$2*100,NA()),NA())</f>
        <v/>
      </c>
      <c r="C3072" s="27">
        <f>IFERROR(IF(ISNUMBER(Datos!C3072),Datos!C3072/$F$3*100,NA()),NA())</f>
        <v/>
      </c>
    </row>
    <row r="3073">
      <c r="A3073" s="7">
        <f>IFERROR(Datos!A3073,"")</f>
        <v/>
      </c>
      <c r="B3073" s="27">
        <f>IFERROR(IF(ISNUMBER(Datos!B3073),Datos!B3073/$F$2*100,NA()),NA())</f>
        <v/>
      </c>
      <c r="C3073" s="27">
        <f>IFERROR(IF(ISNUMBER(Datos!C3073),Datos!C3073/$F$3*100,NA()),NA())</f>
        <v/>
      </c>
    </row>
    <row r="3074">
      <c r="A3074" s="7">
        <f>IFERROR(Datos!A3074,"")</f>
        <v/>
      </c>
      <c r="B3074" s="27">
        <f>IFERROR(IF(ISNUMBER(Datos!B3074),Datos!B3074/$F$2*100,NA()),NA())</f>
        <v/>
      </c>
      <c r="C3074" s="27">
        <f>IFERROR(IF(ISNUMBER(Datos!C3074),Datos!C3074/$F$3*100,NA()),NA())</f>
        <v/>
      </c>
    </row>
    <row r="3075">
      <c r="A3075" s="7">
        <f>IFERROR(Datos!A3075,"")</f>
        <v/>
      </c>
      <c r="B3075" s="27">
        <f>IFERROR(IF(ISNUMBER(Datos!B3075),Datos!B3075/$F$2*100,NA()),NA())</f>
        <v/>
      </c>
      <c r="C3075" s="27">
        <f>IFERROR(IF(ISNUMBER(Datos!C3075),Datos!C3075/$F$3*100,NA()),NA())</f>
        <v/>
      </c>
    </row>
    <row r="3076">
      <c r="A3076" s="7">
        <f>IFERROR(Datos!A3076,"")</f>
        <v/>
      </c>
      <c r="B3076" s="27">
        <f>IFERROR(IF(ISNUMBER(Datos!B3076),Datos!B3076/$F$2*100,NA()),NA())</f>
        <v/>
      </c>
      <c r="C3076" s="27">
        <f>IFERROR(IF(ISNUMBER(Datos!C3076),Datos!C3076/$F$3*100,NA()),NA())</f>
        <v/>
      </c>
    </row>
    <row r="3077">
      <c r="A3077" s="7">
        <f>IFERROR(Datos!A3077,"")</f>
        <v/>
      </c>
      <c r="B3077" s="27">
        <f>IFERROR(IF(ISNUMBER(Datos!B3077),Datos!B3077/$F$2*100,NA()),NA())</f>
        <v/>
      </c>
      <c r="C3077" s="27">
        <f>IFERROR(IF(ISNUMBER(Datos!C3077),Datos!C3077/$F$3*100,NA()),NA())</f>
        <v/>
      </c>
    </row>
    <row r="3078">
      <c r="A3078" s="7">
        <f>IFERROR(Datos!A3078,"")</f>
        <v/>
      </c>
      <c r="B3078" s="27">
        <f>IFERROR(IF(ISNUMBER(Datos!B3078),Datos!B3078/$F$2*100,NA()),NA())</f>
        <v/>
      </c>
      <c r="C3078" s="27">
        <f>IFERROR(IF(ISNUMBER(Datos!C3078),Datos!C3078/$F$3*100,NA()),NA())</f>
        <v/>
      </c>
    </row>
    <row r="3079">
      <c r="A3079" s="7">
        <f>IFERROR(Datos!A3079,"")</f>
        <v/>
      </c>
      <c r="B3079" s="27">
        <f>IFERROR(IF(ISNUMBER(Datos!B3079),Datos!B3079/$F$2*100,NA()),NA())</f>
        <v/>
      </c>
      <c r="C3079" s="27">
        <f>IFERROR(IF(ISNUMBER(Datos!C3079),Datos!C3079/$F$3*100,NA()),NA())</f>
        <v/>
      </c>
    </row>
    <row r="3080">
      <c r="A3080" s="7">
        <f>IFERROR(Datos!A3080,"")</f>
        <v/>
      </c>
      <c r="B3080" s="27">
        <f>IFERROR(IF(ISNUMBER(Datos!B3080),Datos!B3080/$F$2*100,NA()),NA())</f>
        <v/>
      </c>
      <c r="C3080" s="27">
        <f>IFERROR(IF(ISNUMBER(Datos!C3080),Datos!C3080/$F$3*100,NA()),NA())</f>
        <v/>
      </c>
    </row>
    <row r="3081">
      <c r="A3081" s="7">
        <f>IFERROR(Datos!A3081,"")</f>
        <v/>
      </c>
      <c r="B3081" s="27">
        <f>IFERROR(IF(ISNUMBER(Datos!B3081),Datos!B3081/$F$2*100,NA()),NA())</f>
        <v/>
      </c>
      <c r="C3081" s="27">
        <f>IFERROR(IF(ISNUMBER(Datos!C3081),Datos!C3081/$F$3*100,NA()),NA())</f>
        <v/>
      </c>
    </row>
    <row r="3082">
      <c r="A3082" s="7">
        <f>IFERROR(Datos!A3082,"")</f>
        <v/>
      </c>
      <c r="B3082" s="27">
        <f>IFERROR(IF(ISNUMBER(Datos!B3082),Datos!B3082/$F$2*100,NA()),NA())</f>
        <v/>
      </c>
      <c r="C3082" s="27">
        <f>IFERROR(IF(ISNUMBER(Datos!C3082),Datos!C3082/$F$3*100,NA()),NA())</f>
        <v/>
      </c>
    </row>
    <row r="3083">
      <c r="A3083" s="7">
        <f>IFERROR(Datos!A3083,"")</f>
        <v/>
      </c>
      <c r="B3083" s="27">
        <f>IFERROR(IF(ISNUMBER(Datos!B3083),Datos!B3083/$F$2*100,NA()),NA())</f>
        <v/>
      </c>
      <c r="C3083" s="27">
        <f>IFERROR(IF(ISNUMBER(Datos!C3083),Datos!C3083/$F$3*100,NA()),NA())</f>
        <v/>
      </c>
    </row>
    <row r="3084">
      <c r="A3084" s="7">
        <f>IFERROR(Datos!A3084,"")</f>
        <v/>
      </c>
      <c r="B3084" s="27">
        <f>IFERROR(IF(ISNUMBER(Datos!B3084),Datos!B3084/$F$2*100,NA()),NA())</f>
        <v/>
      </c>
      <c r="C3084" s="27">
        <f>IFERROR(IF(ISNUMBER(Datos!C3084),Datos!C3084/$F$3*100,NA()),NA())</f>
        <v/>
      </c>
    </row>
    <row r="3085">
      <c r="A3085" s="7">
        <f>IFERROR(Datos!A3085,"")</f>
        <v/>
      </c>
      <c r="B3085" s="27">
        <f>IFERROR(IF(ISNUMBER(Datos!B3085),Datos!B3085/$F$2*100,NA()),NA())</f>
        <v/>
      </c>
      <c r="C3085" s="27">
        <f>IFERROR(IF(ISNUMBER(Datos!C3085),Datos!C3085/$F$3*100,NA()),NA())</f>
        <v/>
      </c>
    </row>
    <row r="3086">
      <c r="A3086" s="7">
        <f>IFERROR(Datos!A3086,"")</f>
        <v/>
      </c>
      <c r="B3086" s="27">
        <f>IFERROR(IF(ISNUMBER(Datos!B3086),Datos!B3086/$F$2*100,NA()),NA())</f>
        <v/>
      </c>
      <c r="C3086" s="27">
        <f>IFERROR(IF(ISNUMBER(Datos!C3086),Datos!C3086/$F$3*100,NA()),NA())</f>
        <v/>
      </c>
    </row>
    <row r="3087">
      <c r="A3087" s="7">
        <f>IFERROR(Datos!A3087,"")</f>
        <v/>
      </c>
      <c r="B3087" s="27">
        <f>IFERROR(IF(ISNUMBER(Datos!B3087),Datos!B3087/$F$2*100,NA()),NA())</f>
        <v/>
      </c>
      <c r="C3087" s="27">
        <f>IFERROR(IF(ISNUMBER(Datos!C3087),Datos!C3087/$F$3*100,NA()),NA())</f>
        <v/>
      </c>
    </row>
    <row r="3088">
      <c r="A3088" s="7">
        <f>IFERROR(Datos!A3088,"")</f>
        <v/>
      </c>
      <c r="B3088" s="27">
        <f>IFERROR(IF(ISNUMBER(Datos!B3088),Datos!B3088/$F$2*100,NA()),NA())</f>
        <v/>
      </c>
      <c r="C3088" s="27">
        <f>IFERROR(IF(ISNUMBER(Datos!C3088),Datos!C3088/$F$3*100,NA()),NA())</f>
        <v/>
      </c>
    </row>
    <row r="3089">
      <c r="A3089" s="7">
        <f>IFERROR(Datos!A3089,"")</f>
        <v/>
      </c>
      <c r="B3089" s="27">
        <f>IFERROR(IF(ISNUMBER(Datos!B3089),Datos!B3089/$F$2*100,NA()),NA())</f>
        <v/>
      </c>
      <c r="C3089" s="27">
        <f>IFERROR(IF(ISNUMBER(Datos!C3089),Datos!C3089/$F$3*100,NA()),NA())</f>
        <v/>
      </c>
    </row>
    <row r="3090">
      <c r="A3090" s="7">
        <f>IFERROR(Datos!A3090,"")</f>
        <v/>
      </c>
      <c r="B3090" s="27">
        <f>IFERROR(IF(ISNUMBER(Datos!B3090),Datos!B3090/$F$2*100,NA()),NA())</f>
        <v/>
      </c>
      <c r="C3090" s="27">
        <f>IFERROR(IF(ISNUMBER(Datos!C3090),Datos!C3090/$F$3*100,NA()),NA())</f>
        <v/>
      </c>
    </row>
    <row r="3091">
      <c r="A3091" s="7">
        <f>IFERROR(Datos!A3091,"")</f>
        <v/>
      </c>
      <c r="B3091" s="27">
        <f>IFERROR(IF(ISNUMBER(Datos!B3091),Datos!B3091/$F$2*100,NA()),NA())</f>
        <v/>
      </c>
      <c r="C3091" s="27">
        <f>IFERROR(IF(ISNUMBER(Datos!C3091),Datos!C3091/$F$3*100,NA()),NA())</f>
        <v/>
      </c>
    </row>
    <row r="3092">
      <c r="A3092" s="7">
        <f>IFERROR(Datos!A3092,"")</f>
        <v/>
      </c>
      <c r="B3092" s="27">
        <f>IFERROR(IF(ISNUMBER(Datos!B3092),Datos!B3092/$F$2*100,NA()),NA())</f>
        <v/>
      </c>
      <c r="C3092" s="27">
        <f>IFERROR(IF(ISNUMBER(Datos!C3092),Datos!C3092/$F$3*100,NA()),NA())</f>
        <v/>
      </c>
    </row>
    <row r="3093">
      <c r="A3093" s="7">
        <f>IFERROR(Datos!A3093,"")</f>
        <v/>
      </c>
      <c r="B3093" s="27">
        <f>IFERROR(IF(ISNUMBER(Datos!B3093),Datos!B3093/$F$2*100,NA()),NA())</f>
        <v/>
      </c>
      <c r="C3093" s="27">
        <f>IFERROR(IF(ISNUMBER(Datos!C3093),Datos!C3093/$F$3*100,NA()),NA())</f>
        <v/>
      </c>
    </row>
    <row r="3094">
      <c r="A3094" s="7">
        <f>IFERROR(Datos!A3094,"")</f>
        <v/>
      </c>
      <c r="B3094" s="27">
        <f>IFERROR(IF(ISNUMBER(Datos!B3094),Datos!B3094/$F$2*100,NA()),NA())</f>
        <v/>
      </c>
      <c r="C3094" s="27">
        <f>IFERROR(IF(ISNUMBER(Datos!C3094),Datos!C3094/$F$3*100,NA()),NA())</f>
        <v/>
      </c>
    </row>
    <row r="3095">
      <c r="A3095" s="7">
        <f>IFERROR(Datos!A3095,"")</f>
        <v/>
      </c>
      <c r="B3095" s="27">
        <f>IFERROR(IF(ISNUMBER(Datos!B3095),Datos!B3095/$F$2*100,NA()),NA())</f>
        <v/>
      </c>
      <c r="C3095" s="27">
        <f>IFERROR(IF(ISNUMBER(Datos!C3095),Datos!C3095/$F$3*100,NA()),NA())</f>
        <v/>
      </c>
    </row>
    <row r="3096">
      <c r="A3096" s="7">
        <f>IFERROR(Datos!A3096,"")</f>
        <v/>
      </c>
      <c r="B3096" s="27">
        <f>IFERROR(IF(ISNUMBER(Datos!B3096),Datos!B3096/$F$2*100,NA()),NA())</f>
        <v/>
      </c>
      <c r="C3096" s="27">
        <f>IFERROR(IF(ISNUMBER(Datos!C3096),Datos!C3096/$F$3*100,NA()),NA())</f>
        <v/>
      </c>
    </row>
    <row r="3097">
      <c r="A3097" s="7">
        <f>IFERROR(Datos!A3097,"")</f>
        <v/>
      </c>
      <c r="B3097" s="27">
        <f>IFERROR(IF(ISNUMBER(Datos!B3097),Datos!B3097/$F$2*100,NA()),NA())</f>
        <v/>
      </c>
      <c r="C3097" s="27">
        <f>IFERROR(IF(ISNUMBER(Datos!C3097),Datos!C3097/$F$3*100,NA()),NA())</f>
        <v/>
      </c>
    </row>
    <row r="3098">
      <c r="A3098" s="7">
        <f>IFERROR(Datos!A3098,"")</f>
        <v/>
      </c>
      <c r="B3098" s="27">
        <f>IFERROR(IF(ISNUMBER(Datos!B3098),Datos!B3098/$F$2*100,NA()),NA())</f>
        <v/>
      </c>
      <c r="C3098" s="27">
        <f>IFERROR(IF(ISNUMBER(Datos!C3098),Datos!C3098/$F$3*100,NA()),NA())</f>
        <v/>
      </c>
    </row>
    <row r="3099">
      <c r="A3099" s="7">
        <f>IFERROR(Datos!A3099,"")</f>
        <v/>
      </c>
      <c r="B3099" s="27">
        <f>IFERROR(IF(ISNUMBER(Datos!B3099),Datos!B3099/$F$2*100,NA()),NA())</f>
        <v/>
      </c>
      <c r="C3099" s="27">
        <f>IFERROR(IF(ISNUMBER(Datos!C3099),Datos!C3099/$F$3*100,NA()),NA())</f>
        <v/>
      </c>
    </row>
    <row r="3100">
      <c r="A3100" s="7">
        <f>IFERROR(Datos!A3100,"")</f>
        <v/>
      </c>
      <c r="B3100" s="27">
        <f>IFERROR(IF(ISNUMBER(Datos!B3100),Datos!B3100/$F$2*100,NA()),NA())</f>
        <v/>
      </c>
      <c r="C3100" s="27">
        <f>IFERROR(IF(ISNUMBER(Datos!C3100),Datos!C3100/$F$3*100,NA()),NA())</f>
        <v/>
      </c>
    </row>
    <row r="3101">
      <c r="A3101" s="7">
        <f>IFERROR(Datos!A3101,"")</f>
        <v/>
      </c>
      <c r="B3101" s="27">
        <f>IFERROR(IF(ISNUMBER(Datos!B3101),Datos!B3101/$F$2*100,NA()),NA())</f>
        <v/>
      </c>
      <c r="C3101" s="27">
        <f>IFERROR(IF(ISNUMBER(Datos!C3101),Datos!C3101/$F$3*100,NA()),NA())</f>
        <v/>
      </c>
    </row>
    <row r="3102">
      <c r="A3102" s="7">
        <f>IFERROR(Datos!A3102,"")</f>
        <v/>
      </c>
      <c r="B3102" s="27">
        <f>IFERROR(IF(ISNUMBER(Datos!B3102),Datos!B3102/$F$2*100,NA()),NA())</f>
        <v/>
      </c>
      <c r="C3102" s="27">
        <f>IFERROR(IF(ISNUMBER(Datos!C3102),Datos!C3102/$F$3*100,NA()),NA())</f>
        <v/>
      </c>
    </row>
    <row r="3103">
      <c r="A3103" s="7">
        <f>IFERROR(Datos!A3103,"")</f>
        <v/>
      </c>
      <c r="B3103" s="27">
        <f>IFERROR(IF(ISNUMBER(Datos!B3103),Datos!B3103/$F$2*100,NA()),NA())</f>
        <v/>
      </c>
      <c r="C3103" s="27">
        <f>IFERROR(IF(ISNUMBER(Datos!C3103),Datos!C3103/$F$3*100,NA()),NA())</f>
        <v/>
      </c>
    </row>
    <row r="3104">
      <c r="A3104" s="7">
        <f>IFERROR(Datos!A3104,"")</f>
        <v/>
      </c>
      <c r="B3104" s="27">
        <f>IFERROR(IF(ISNUMBER(Datos!B3104),Datos!B3104/$F$2*100,NA()),NA())</f>
        <v/>
      </c>
      <c r="C3104" s="27">
        <f>IFERROR(IF(ISNUMBER(Datos!C3104),Datos!C3104/$F$3*100,NA()),NA())</f>
        <v/>
      </c>
    </row>
    <row r="3105">
      <c r="A3105" s="7">
        <f>IFERROR(Datos!A3105,"")</f>
        <v/>
      </c>
      <c r="B3105" s="27">
        <f>IFERROR(IF(ISNUMBER(Datos!B3105),Datos!B3105/$F$2*100,NA()),NA())</f>
        <v/>
      </c>
      <c r="C3105" s="27">
        <f>IFERROR(IF(ISNUMBER(Datos!C3105),Datos!C3105/$F$3*100,NA()),NA())</f>
        <v/>
      </c>
    </row>
    <row r="3106">
      <c r="A3106" s="7">
        <f>IFERROR(Datos!A3106,"")</f>
        <v/>
      </c>
      <c r="B3106" s="27">
        <f>IFERROR(IF(ISNUMBER(Datos!B3106),Datos!B3106/$F$2*100,NA()),NA())</f>
        <v/>
      </c>
      <c r="C3106" s="27">
        <f>IFERROR(IF(ISNUMBER(Datos!C3106),Datos!C3106/$F$3*100,NA()),NA())</f>
        <v/>
      </c>
    </row>
    <row r="3107">
      <c r="A3107" s="7">
        <f>IFERROR(Datos!A3107,"")</f>
        <v/>
      </c>
      <c r="B3107" s="27">
        <f>IFERROR(IF(ISNUMBER(Datos!B3107),Datos!B3107/$F$2*100,NA()),NA())</f>
        <v/>
      </c>
      <c r="C3107" s="27">
        <f>IFERROR(IF(ISNUMBER(Datos!C3107),Datos!C3107/$F$3*100,NA()),NA())</f>
        <v/>
      </c>
    </row>
    <row r="3108">
      <c r="A3108" s="7">
        <f>IFERROR(Datos!A3108,"")</f>
        <v/>
      </c>
      <c r="B3108" s="27">
        <f>IFERROR(IF(ISNUMBER(Datos!B3108),Datos!B3108/$F$2*100,NA()),NA())</f>
        <v/>
      </c>
      <c r="C3108" s="27">
        <f>IFERROR(IF(ISNUMBER(Datos!C3108),Datos!C3108/$F$3*100,NA()),NA())</f>
        <v/>
      </c>
    </row>
    <row r="3109">
      <c r="A3109" s="7">
        <f>IFERROR(Datos!A3109,"")</f>
        <v/>
      </c>
      <c r="B3109" s="27">
        <f>IFERROR(IF(ISNUMBER(Datos!B3109),Datos!B3109/$F$2*100,NA()),NA())</f>
        <v/>
      </c>
      <c r="C3109" s="27">
        <f>IFERROR(IF(ISNUMBER(Datos!C3109),Datos!C3109/$F$3*100,NA()),NA())</f>
        <v/>
      </c>
    </row>
    <row r="3110">
      <c r="A3110" s="7">
        <f>IFERROR(Datos!A3110,"")</f>
        <v/>
      </c>
      <c r="B3110" s="27">
        <f>IFERROR(IF(ISNUMBER(Datos!B3110),Datos!B3110/$F$2*100,NA()),NA())</f>
        <v/>
      </c>
      <c r="C3110" s="27">
        <f>IFERROR(IF(ISNUMBER(Datos!C3110),Datos!C3110/$F$3*100,NA()),NA())</f>
        <v/>
      </c>
    </row>
    <row r="3111">
      <c r="A3111" s="7">
        <f>IFERROR(Datos!A3111,"")</f>
        <v/>
      </c>
      <c r="B3111" s="27">
        <f>IFERROR(IF(ISNUMBER(Datos!B3111),Datos!B3111/$F$2*100,NA()),NA())</f>
        <v/>
      </c>
      <c r="C3111" s="27">
        <f>IFERROR(IF(ISNUMBER(Datos!C3111),Datos!C3111/$F$3*100,NA()),NA())</f>
        <v/>
      </c>
    </row>
    <row r="3112">
      <c r="A3112" s="7">
        <f>IFERROR(Datos!A3112,"")</f>
        <v/>
      </c>
      <c r="B3112" s="27">
        <f>IFERROR(IF(ISNUMBER(Datos!B3112),Datos!B3112/$F$2*100,NA()),NA())</f>
        <v/>
      </c>
      <c r="C3112" s="27">
        <f>IFERROR(IF(ISNUMBER(Datos!C3112),Datos!C3112/$F$3*100,NA()),NA())</f>
        <v/>
      </c>
    </row>
    <row r="3113">
      <c r="A3113" s="7">
        <f>IFERROR(Datos!A3113,"")</f>
        <v/>
      </c>
      <c r="B3113" s="27">
        <f>IFERROR(IF(ISNUMBER(Datos!B3113),Datos!B3113/$F$2*100,NA()),NA())</f>
        <v/>
      </c>
      <c r="C3113" s="27">
        <f>IFERROR(IF(ISNUMBER(Datos!C3113),Datos!C3113/$F$3*100,NA()),NA())</f>
        <v/>
      </c>
    </row>
    <row r="3114">
      <c r="A3114" s="7">
        <f>IFERROR(Datos!A3114,"")</f>
        <v/>
      </c>
      <c r="B3114" s="27">
        <f>IFERROR(IF(ISNUMBER(Datos!B3114),Datos!B3114/$F$2*100,NA()),NA())</f>
        <v/>
      </c>
      <c r="C3114" s="27">
        <f>IFERROR(IF(ISNUMBER(Datos!C3114),Datos!C3114/$F$3*100,NA()),NA())</f>
        <v/>
      </c>
    </row>
    <row r="3115">
      <c r="A3115" s="7">
        <f>IFERROR(Datos!A3115,"")</f>
        <v/>
      </c>
      <c r="B3115" s="27">
        <f>IFERROR(IF(ISNUMBER(Datos!B3115),Datos!B3115/$F$2*100,NA()),NA())</f>
        <v/>
      </c>
      <c r="C3115" s="27">
        <f>IFERROR(IF(ISNUMBER(Datos!C3115),Datos!C3115/$F$3*100,NA()),NA())</f>
        <v/>
      </c>
    </row>
    <row r="3116">
      <c r="A3116" s="7">
        <f>IFERROR(Datos!A3116,"")</f>
        <v/>
      </c>
      <c r="B3116" s="27">
        <f>IFERROR(IF(ISNUMBER(Datos!B3116),Datos!B3116/$F$2*100,NA()),NA())</f>
        <v/>
      </c>
      <c r="C3116" s="27">
        <f>IFERROR(IF(ISNUMBER(Datos!C3116),Datos!C3116/$F$3*100,NA()),NA())</f>
        <v/>
      </c>
    </row>
    <row r="3117">
      <c r="A3117" s="7">
        <f>IFERROR(Datos!A3117,"")</f>
        <v/>
      </c>
      <c r="B3117" s="27">
        <f>IFERROR(IF(ISNUMBER(Datos!B3117),Datos!B3117/$F$2*100,NA()),NA())</f>
        <v/>
      </c>
      <c r="C3117" s="27">
        <f>IFERROR(IF(ISNUMBER(Datos!C3117),Datos!C3117/$F$3*100,NA()),NA())</f>
        <v/>
      </c>
    </row>
    <row r="3118">
      <c r="A3118" s="7">
        <f>IFERROR(Datos!A3118,"")</f>
        <v/>
      </c>
      <c r="B3118" s="27">
        <f>IFERROR(IF(ISNUMBER(Datos!B3118),Datos!B3118/$F$2*100,NA()),NA())</f>
        <v/>
      </c>
      <c r="C3118" s="27">
        <f>IFERROR(IF(ISNUMBER(Datos!C3118),Datos!C3118/$F$3*100,NA()),NA())</f>
        <v/>
      </c>
    </row>
    <row r="3119">
      <c r="A3119" s="7">
        <f>IFERROR(Datos!A3119,"")</f>
        <v/>
      </c>
      <c r="B3119" s="27">
        <f>IFERROR(IF(ISNUMBER(Datos!B3119),Datos!B3119/$F$2*100,NA()),NA())</f>
        <v/>
      </c>
      <c r="C3119" s="27">
        <f>IFERROR(IF(ISNUMBER(Datos!C3119),Datos!C3119/$F$3*100,NA()),NA())</f>
        <v/>
      </c>
    </row>
    <row r="3120">
      <c r="A3120" s="7">
        <f>IFERROR(Datos!A3120,"")</f>
        <v/>
      </c>
      <c r="B3120" s="27">
        <f>IFERROR(IF(ISNUMBER(Datos!B3120),Datos!B3120/$F$2*100,NA()),NA())</f>
        <v/>
      </c>
      <c r="C3120" s="27">
        <f>IFERROR(IF(ISNUMBER(Datos!C3120),Datos!C3120/$F$3*100,NA()),NA())</f>
        <v/>
      </c>
    </row>
    <row r="3121">
      <c r="A3121" s="7">
        <f>IFERROR(Datos!A3121,"")</f>
        <v/>
      </c>
      <c r="B3121" s="27">
        <f>IFERROR(IF(ISNUMBER(Datos!B3121),Datos!B3121/$F$2*100,NA()),NA())</f>
        <v/>
      </c>
      <c r="C3121" s="27">
        <f>IFERROR(IF(ISNUMBER(Datos!C3121),Datos!C3121/$F$3*100,NA()),NA())</f>
        <v/>
      </c>
    </row>
    <row r="3122">
      <c r="A3122" s="7">
        <f>IFERROR(Datos!A3122,"")</f>
        <v/>
      </c>
      <c r="B3122" s="27">
        <f>IFERROR(IF(ISNUMBER(Datos!B3122),Datos!B3122/$F$2*100,NA()),NA())</f>
        <v/>
      </c>
      <c r="C3122" s="27">
        <f>IFERROR(IF(ISNUMBER(Datos!C3122),Datos!C3122/$F$3*100,NA()),NA())</f>
        <v/>
      </c>
    </row>
    <row r="3123">
      <c r="A3123" s="7">
        <f>IFERROR(Datos!A3123,"")</f>
        <v/>
      </c>
      <c r="B3123" s="27">
        <f>IFERROR(IF(ISNUMBER(Datos!B3123),Datos!B3123/$F$2*100,NA()),NA())</f>
        <v/>
      </c>
      <c r="C3123" s="27">
        <f>IFERROR(IF(ISNUMBER(Datos!C3123),Datos!C3123/$F$3*100,NA()),NA())</f>
        <v/>
      </c>
    </row>
    <row r="3124">
      <c r="A3124" s="7">
        <f>IFERROR(Datos!A3124,"")</f>
        <v/>
      </c>
      <c r="B3124" s="27">
        <f>IFERROR(IF(ISNUMBER(Datos!B3124),Datos!B3124/$F$2*100,NA()),NA())</f>
        <v/>
      </c>
      <c r="C3124" s="27">
        <f>IFERROR(IF(ISNUMBER(Datos!C3124),Datos!C3124/$F$3*100,NA()),NA())</f>
        <v/>
      </c>
    </row>
    <row r="3125">
      <c r="A3125" s="7">
        <f>IFERROR(Datos!A3125,"")</f>
        <v/>
      </c>
      <c r="B3125" s="27">
        <f>IFERROR(IF(ISNUMBER(Datos!B3125),Datos!B3125/$F$2*100,NA()),NA())</f>
        <v/>
      </c>
      <c r="C3125" s="27">
        <f>IFERROR(IF(ISNUMBER(Datos!C3125),Datos!C3125/$F$3*100,NA()),NA())</f>
        <v/>
      </c>
    </row>
    <row r="3126">
      <c r="A3126" s="7">
        <f>IFERROR(Datos!A3126,"")</f>
        <v/>
      </c>
      <c r="B3126" s="27">
        <f>IFERROR(IF(ISNUMBER(Datos!B3126),Datos!B3126/$F$2*100,NA()),NA())</f>
        <v/>
      </c>
      <c r="C3126" s="27">
        <f>IFERROR(IF(ISNUMBER(Datos!C3126),Datos!C3126/$F$3*100,NA()),NA())</f>
        <v/>
      </c>
    </row>
    <row r="3127">
      <c r="A3127" s="7">
        <f>IFERROR(Datos!A3127,"")</f>
        <v/>
      </c>
      <c r="B3127" s="27">
        <f>IFERROR(IF(ISNUMBER(Datos!B3127),Datos!B3127/$F$2*100,NA()),NA())</f>
        <v/>
      </c>
      <c r="C3127" s="27">
        <f>IFERROR(IF(ISNUMBER(Datos!C3127),Datos!C3127/$F$3*100,NA()),NA())</f>
        <v/>
      </c>
    </row>
    <row r="3128">
      <c r="A3128" s="7">
        <f>IFERROR(Datos!A3128,"")</f>
        <v/>
      </c>
      <c r="B3128" s="27">
        <f>IFERROR(IF(ISNUMBER(Datos!B3128),Datos!B3128/$F$2*100,NA()),NA())</f>
        <v/>
      </c>
      <c r="C3128" s="27">
        <f>IFERROR(IF(ISNUMBER(Datos!C3128),Datos!C3128/$F$3*100,NA()),NA())</f>
        <v/>
      </c>
    </row>
    <row r="3129">
      <c r="A3129" s="7">
        <f>IFERROR(Datos!A3129,"")</f>
        <v/>
      </c>
      <c r="B3129" s="27">
        <f>IFERROR(IF(ISNUMBER(Datos!B3129),Datos!B3129/$F$2*100,NA()),NA())</f>
        <v/>
      </c>
      <c r="C3129" s="27">
        <f>IFERROR(IF(ISNUMBER(Datos!C3129),Datos!C3129/$F$3*100,NA()),NA())</f>
        <v/>
      </c>
    </row>
    <row r="3130">
      <c r="A3130" s="7">
        <f>IFERROR(Datos!A3130,"")</f>
        <v/>
      </c>
      <c r="B3130" s="27">
        <f>IFERROR(IF(ISNUMBER(Datos!B3130),Datos!B3130/$F$2*100,NA()),NA())</f>
        <v/>
      </c>
      <c r="C3130" s="27">
        <f>IFERROR(IF(ISNUMBER(Datos!C3130),Datos!C3130/$F$3*100,NA()),NA())</f>
        <v/>
      </c>
    </row>
    <row r="3131">
      <c r="A3131" s="7">
        <f>IFERROR(Datos!A3131,"")</f>
        <v/>
      </c>
      <c r="B3131" s="27">
        <f>IFERROR(IF(ISNUMBER(Datos!B3131),Datos!B3131/$F$2*100,NA()),NA())</f>
        <v/>
      </c>
      <c r="C3131" s="27">
        <f>IFERROR(IF(ISNUMBER(Datos!C3131),Datos!C3131/$F$3*100,NA()),NA())</f>
        <v/>
      </c>
    </row>
    <row r="3132">
      <c r="A3132" s="7">
        <f>IFERROR(Datos!A3132,"")</f>
        <v/>
      </c>
      <c r="B3132" s="27">
        <f>IFERROR(IF(ISNUMBER(Datos!B3132),Datos!B3132/$F$2*100,NA()),NA())</f>
        <v/>
      </c>
      <c r="C3132" s="27">
        <f>IFERROR(IF(ISNUMBER(Datos!C3132),Datos!C3132/$F$3*100,NA()),NA())</f>
        <v/>
      </c>
    </row>
    <row r="3133">
      <c r="A3133" s="7">
        <f>IFERROR(Datos!A3133,"")</f>
        <v/>
      </c>
      <c r="B3133" s="27">
        <f>IFERROR(IF(ISNUMBER(Datos!B3133),Datos!B3133/$F$2*100,NA()),NA())</f>
        <v/>
      </c>
      <c r="C3133" s="27">
        <f>IFERROR(IF(ISNUMBER(Datos!C3133),Datos!C3133/$F$3*100,NA()),NA())</f>
        <v/>
      </c>
    </row>
    <row r="3134">
      <c r="A3134" s="7">
        <f>IFERROR(Datos!A3134,"")</f>
        <v/>
      </c>
      <c r="B3134" s="27">
        <f>IFERROR(IF(ISNUMBER(Datos!B3134),Datos!B3134/$F$2*100,NA()),NA())</f>
        <v/>
      </c>
      <c r="C3134" s="27">
        <f>IFERROR(IF(ISNUMBER(Datos!C3134),Datos!C3134/$F$3*100,NA()),NA())</f>
        <v/>
      </c>
    </row>
    <row r="3135">
      <c r="A3135" s="7">
        <f>IFERROR(Datos!A3135,"")</f>
        <v/>
      </c>
      <c r="B3135" s="27">
        <f>IFERROR(IF(ISNUMBER(Datos!B3135),Datos!B3135/$F$2*100,NA()),NA())</f>
        <v/>
      </c>
      <c r="C3135" s="27">
        <f>IFERROR(IF(ISNUMBER(Datos!C3135),Datos!C3135/$F$3*100,NA()),NA())</f>
        <v/>
      </c>
    </row>
    <row r="3136">
      <c r="A3136" s="7">
        <f>IFERROR(Datos!A3136,"")</f>
        <v/>
      </c>
      <c r="B3136" s="27">
        <f>IFERROR(IF(ISNUMBER(Datos!B3136),Datos!B3136/$F$2*100,NA()),NA())</f>
        <v/>
      </c>
      <c r="C3136" s="27">
        <f>IFERROR(IF(ISNUMBER(Datos!C3136),Datos!C3136/$F$3*100,NA()),NA())</f>
        <v/>
      </c>
    </row>
    <row r="3137">
      <c r="A3137" s="7">
        <f>IFERROR(Datos!A3137,"")</f>
        <v/>
      </c>
      <c r="B3137" s="27">
        <f>IFERROR(IF(ISNUMBER(Datos!B3137),Datos!B3137/$F$2*100,NA()),NA())</f>
        <v/>
      </c>
      <c r="C3137" s="27">
        <f>IFERROR(IF(ISNUMBER(Datos!C3137),Datos!C3137/$F$3*100,NA()),NA())</f>
        <v/>
      </c>
    </row>
    <row r="3138">
      <c r="A3138" s="7">
        <f>IFERROR(Datos!A3138,"")</f>
        <v/>
      </c>
      <c r="B3138" s="27">
        <f>IFERROR(IF(ISNUMBER(Datos!B3138),Datos!B3138/$F$2*100,NA()),NA())</f>
        <v/>
      </c>
      <c r="C3138" s="27">
        <f>IFERROR(IF(ISNUMBER(Datos!C3138),Datos!C3138/$F$3*100,NA()),NA())</f>
        <v/>
      </c>
    </row>
    <row r="3139">
      <c r="A3139" s="7">
        <f>IFERROR(Datos!A3139,"")</f>
        <v/>
      </c>
      <c r="B3139" s="27">
        <f>IFERROR(IF(ISNUMBER(Datos!B3139),Datos!B3139/$F$2*100,NA()),NA())</f>
        <v/>
      </c>
      <c r="C3139" s="27">
        <f>IFERROR(IF(ISNUMBER(Datos!C3139),Datos!C3139/$F$3*100,NA()),NA())</f>
        <v/>
      </c>
    </row>
    <row r="3140">
      <c r="A3140" s="7">
        <f>IFERROR(Datos!A3140,"")</f>
        <v/>
      </c>
      <c r="B3140" s="27">
        <f>IFERROR(IF(ISNUMBER(Datos!B3140),Datos!B3140/$F$2*100,NA()),NA())</f>
        <v/>
      </c>
      <c r="C3140" s="27">
        <f>IFERROR(IF(ISNUMBER(Datos!C3140),Datos!C3140/$F$3*100,NA()),NA())</f>
        <v/>
      </c>
    </row>
    <row r="3141">
      <c r="A3141" s="7">
        <f>IFERROR(Datos!A3141,"")</f>
        <v/>
      </c>
      <c r="B3141" s="27">
        <f>IFERROR(IF(ISNUMBER(Datos!B3141),Datos!B3141/$F$2*100,NA()),NA())</f>
        <v/>
      </c>
      <c r="C3141" s="27">
        <f>IFERROR(IF(ISNUMBER(Datos!C3141),Datos!C3141/$F$3*100,NA()),NA())</f>
        <v/>
      </c>
    </row>
    <row r="3142">
      <c r="A3142" s="7">
        <f>IFERROR(Datos!A3142,"")</f>
        <v/>
      </c>
      <c r="B3142" s="27">
        <f>IFERROR(IF(ISNUMBER(Datos!B3142),Datos!B3142/$F$2*100,NA()),NA())</f>
        <v/>
      </c>
      <c r="C3142" s="27">
        <f>IFERROR(IF(ISNUMBER(Datos!C3142),Datos!C3142/$F$3*100,NA()),NA())</f>
        <v/>
      </c>
    </row>
    <row r="3143">
      <c r="A3143" s="7">
        <f>IFERROR(Datos!A3143,"")</f>
        <v/>
      </c>
      <c r="B3143" s="27">
        <f>IFERROR(IF(ISNUMBER(Datos!B3143),Datos!B3143/$F$2*100,NA()),NA())</f>
        <v/>
      </c>
      <c r="C3143" s="27">
        <f>IFERROR(IF(ISNUMBER(Datos!C3143),Datos!C3143/$F$3*100,NA()),NA())</f>
        <v/>
      </c>
    </row>
    <row r="3144">
      <c r="A3144" s="7">
        <f>IFERROR(Datos!A3144,"")</f>
        <v/>
      </c>
      <c r="B3144" s="27">
        <f>IFERROR(IF(ISNUMBER(Datos!B3144),Datos!B3144/$F$2*100,NA()),NA())</f>
        <v/>
      </c>
      <c r="C3144" s="27">
        <f>IFERROR(IF(ISNUMBER(Datos!C3144),Datos!C3144/$F$3*100,NA()),NA())</f>
        <v/>
      </c>
    </row>
    <row r="3145">
      <c r="A3145" s="7">
        <f>IFERROR(Datos!A3145,"")</f>
        <v/>
      </c>
      <c r="B3145" s="27">
        <f>IFERROR(IF(ISNUMBER(Datos!B3145),Datos!B3145/$F$2*100,NA()),NA())</f>
        <v/>
      </c>
      <c r="C3145" s="27">
        <f>IFERROR(IF(ISNUMBER(Datos!C3145),Datos!C3145/$F$3*100,NA()),NA())</f>
        <v/>
      </c>
    </row>
    <row r="3146">
      <c r="A3146" s="7">
        <f>IFERROR(Datos!A3146,"")</f>
        <v/>
      </c>
      <c r="B3146" s="27">
        <f>IFERROR(IF(ISNUMBER(Datos!B3146),Datos!B3146/$F$2*100,NA()),NA())</f>
        <v/>
      </c>
      <c r="C3146" s="27">
        <f>IFERROR(IF(ISNUMBER(Datos!C3146),Datos!C3146/$F$3*100,NA()),NA())</f>
        <v/>
      </c>
    </row>
    <row r="3147">
      <c r="A3147" s="7">
        <f>IFERROR(Datos!A3147,"")</f>
        <v/>
      </c>
      <c r="B3147" s="27">
        <f>IFERROR(IF(ISNUMBER(Datos!B3147),Datos!B3147/$F$2*100,NA()),NA())</f>
        <v/>
      </c>
      <c r="C3147" s="27">
        <f>IFERROR(IF(ISNUMBER(Datos!C3147),Datos!C3147/$F$3*100,NA()),NA())</f>
        <v/>
      </c>
    </row>
    <row r="3148">
      <c r="A3148" s="7">
        <f>IFERROR(Datos!A3148,"")</f>
        <v/>
      </c>
      <c r="B3148" s="27">
        <f>IFERROR(IF(ISNUMBER(Datos!B3148),Datos!B3148/$F$2*100,NA()),NA())</f>
        <v/>
      </c>
      <c r="C3148" s="27">
        <f>IFERROR(IF(ISNUMBER(Datos!C3148),Datos!C3148/$F$3*100,NA()),NA())</f>
        <v/>
      </c>
    </row>
    <row r="3149">
      <c r="A3149" s="7">
        <f>IFERROR(Datos!A3149,"")</f>
        <v/>
      </c>
      <c r="B3149" s="27">
        <f>IFERROR(IF(ISNUMBER(Datos!B3149),Datos!B3149/$F$2*100,NA()),NA())</f>
        <v/>
      </c>
      <c r="C3149" s="27">
        <f>IFERROR(IF(ISNUMBER(Datos!C3149),Datos!C3149/$F$3*100,NA()),NA())</f>
        <v/>
      </c>
    </row>
    <row r="3150">
      <c r="A3150" s="7">
        <f>IFERROR(Datos!A3150,"")</f>
        <v/>
      </c>
      <c r="B3150" s="27">
        <f>IFERROR(IF(ISNUMBER(Datos!B3150),Datos!B3150/$F$2*100,NA()),NA())</f>
        <v/>
      </c>
      <c r="C3150" s="27">
        <f>IFERROR(IF(ISNUMBER(Datos!C3150),Datos!C3150/$F$3*100,NA()),NA())</f>
        <v/>
      </c>
    </row>
    <row r="3151">
      <c r="A3151" s="7">
        <f>IFERROR(Datos!A3151,"")</f>
        <v/>
      </c>
      <c r="B3151" s="27">
        <f>IFERROR(IF(ISNUMBER(Datos!B3151),Datos!B3151/$F$2*100,NA()),NA())</f>
        <v/>
      </c>
      <c r="C3151" s="27">
        <f>IFERROR(IF(ISNUMBER(Datos!C3151),Datos!C3151/$F$3*100,NA()),NA())</f>
        <v/>
      </c>
    </row>
    <row r="3152">
      <c r="A3152" s="7">
        <f>IFERROR(Datos!A3152,"")</f>
        <v/>
      </c>
      <c r="B3152" s="27">
        <f>IFERROR(IF(ISNUMBER(Datos!B3152),Datos!B3152/$F$2*100,NA()),NA())</f>
        <v/>
      </c>
      <c r="C3152" s="27">
        <f>IFERROR(IF(ISNUMBER(Datos!C3152),Datos!C3152/$F$3*100,NA()),NA())</f>
        <v/>
      </c>
    </row>
    <row r="3153">
      <c r="A3153" s="7">
        <f>IFERROR(Datos!A3153,"")</f>
        <v/>
      </c>
      <c r="B3153" s="27">
        <f>IFERROR(IF(ISNUMBER(Datos!B3153),Datos!B3153/$F$2*100,NA()),NA())</f>
        <v/>
      </c>
      <c r="C3153" s="27">
        <f>IFERROR(IF(ISNUMBER(Datos!C3153),Datos!C3153/$F$3*100,NA()),NA())</f>
        <v/>
      </c>
    </row>
    <row r="3154">
      <c r="A3154" s="7">
        <f>IFERROR(Datos!A3154,"")</f>
        <v/>
      </c>
      <c r="B3154" s="27">
        <f>IFERROR(IF(ISNUMBER(Datos!B3154),Datos!B3154/$F$2*100,NA()),NA())</f>
        <v/>
      </c>
      <c r="C3154" s="27">
        <f>IFERROR(IF(ISNUMBER(Datos!C3154),Datos!C3154/$F$3*100,NA()),NA())</f>
        <v/>
      </c>
    </row>
    <row r="3155">
      <c r="A3155" s="7">
        <f>IFERROR(Datos!A3155,"")</f>
        <v/>
      </c>
      <c r="B3155" s="27">
        <f>IFERROR(IF(ISNUMBER(Datos!B3155),Datos!B3155/$F$2*100,NA()),NA())</f>
        <v/>
      </c>
      <c r="C3155" s="27">
        <f>IFERROR(IF(ISNUMBER(Datos!C3155),Datos!C3155/$F$3*100,NA()),NA())</f>
        <v/>
      </c>
    </row>
    <row r="3156">
      <c r="A3156" s="7">
        <f>IFERROR(Datos!A3156,"")</f>
        <v/>
      </c>
      <c r="B3156" s="27">
        <f>IFERROR(IF(ISNUMBER(Datos!B3156),Datos!B3156/$F$2*100,NA()),NA())</f>
        <v/>
      </c>
      <c r="C3156" s="27">
        <f>IFERROR(IF(ISNUMBER(Datos!C3156),Datos!C3156/$F$3*100,NA()),NA())</f>
        <v/>
      </c>
    </row>
    <row r="3157">
      <c r="A3157" s="7">
        <f>IFERROR(Datos!A3157,"")</f>
        <v/>
      </c>
      <c r="B3157" s="27">
        <f>IFERROR(IF(ISNUMBER(Datos!B3157),Datos!B3157/$F$2*100,NA()),NA())</f>
        <v/>
      </c>
      <c r="C3157" s="27">
        <f>IFERROR(IF(ISNUMBER(Datos!C3157),Datos!C3157/$F$3*100,NA()),NA())</f>
        <v/>
      </c>
    </row>
    <row r="3158">
      <c r="A3158" s="7">
        <f>IFERROR(Datos!A3158,"")</f>
        <v/>
      </c>
      <c r="B3158" s="27">
        <f>IFERROR(IF(ISNUMBER(Datos!B3158),Datos!B3158/$F$2*100,NA()),NA())</f>
        <v/>
      </c>
      <c r="C3158" s="27">
        <f>IFERROR(IF(ISNUMBER(Datos!C3158),Datos!C3158/$F$3*100,NA()),NA())</f>
        <v/>
      </c>
    </row>
    <row r="3159">
      <c r="A3159" s="7">
        <f>IFERROR(Datos!A3159,"")</f>
        <v/>
      </c>
      <c r="B3159" s="27">
        <f>IFERROR(IF(ISNUMBER(Datos!B3159),Datos!B3159/$F$2*100,NA()),NA())</f>
        <v/>
      </c>
      <c r="C3159" s="27">
        <f>IFERROR(IF(ISNUMBER(Datos!C3159),Datos!C3159/$F$3*100,NA()),NA())</f>
        <v/>
      </c>
    </row>
    <row r="3160">
      <c r="A3160" s="7">
        <f>IFERROR(Datos!A3160,"")</f>
        <v/>
      </c>
      <c r="B3160" s="27">
        <f>IFERROR(IF(ISNUMBER(Datos!B3160),Datos!B3160/$F$2*100,NA()),NA())</f>
        <v/>
      </c>
      <c r="C3160" s="27">
        <f>IFERROR(IF(ISNUMBER(Datos!C3160),Datos!C3160/$F$3*100,NA()),NA())</f>
        <v/>
      </c>
    </row>
    <row r="3161">
      <c r="A3161" s="7">
        <f>IFERROR(Datos!A3161,"")</f>
        <v/>
      </c>
      <c r="B3161" s="27">
        <f>IFERROR(IF(ISNUMBER(Datos!B3161),Datos!B3161/$F$2*100,NA()),NA())</f>
        <v/>
      </c>
      <c r="C3161" s="27">
        <f>IFERROR(IF(ISNUMBER(Datos!C3161),Datos!C3161/$F$3*100,NA()),NA())</f>
        <v/>
      </c>
    </row>
    <row r="3162">
      <c r="A3162" s="7">
        <f>IFERROR(Datos!A3162,"")</f>
        <v/>
      </c>
      <c r="B3162" s="27">
        <f>IFERROR(IF(ISNUMBER(Datos!B3162),Datos!B3162/$F$2*100,NA()),NA())</f>
        <v/>
      </c>
      <c r="C3162" s="27">
        <f>IFERROR(IF(ISNUMBER(Datos!C3162),Datos!C3162/$F$3*100,NA()),NA())</f>
        <v/>
      </c>
    </row>
    <row r="3163">
      <c r="A3163" s="7">
        <f>IFERROR(Datos!A3163,"")</f>
        <v/>
      </c>
      <c r="B3163" s="27">
        <f>IFERROR(IF(ISNUMBER(Datos!B3163),Datos!B3163/$F$2*100,NA()),NA())</f>
        <v/>
      </c>
      <c r="C3163" s="27">
        <f>IFERROR(IF(ISNUMBER(Datos!C3163),Datos!C3163/$F$3*100,NA()),NA())</f>
        <v/>
      </c>
    </row>
    <row r="3164">
      <c r="A3164" s="7">
        <f>IFERROR(Datos!A3164,"")</f>
        <v/>
      </c>
      <c r="B3164" s="27">
        <f>IFERROR(IF(ISNUMBER(Datos!B3164),Datos!B3164/$F$2*100,NA()),NA())</f>
        <v/>
      </c>
      <c r="C3164" s="27">
        <f>IFERROR(IF(ISNUMBER(Datos!C3164),Datos!C3164/$F$3*100,NA()),NA())</f>
        <v/>
      </c>
    </row>
    <row r="3165">
      <c r="A3165" s="7">
        <f>IFERROR(Datos!A3165,"")</f>
        <v/>
      </c>
      <c r="B3165" s="27">
        <f>IFERROR(IF(ISNUMBER(Datos!B3165),Datos!B3165/$F$2*100,NA()),NA())</f>
        <v/>
      </c>
      <c r="C3165" s="27">
        <f>IFERROR(IF(ISNUMBER(Datos!C3165),Datos!C3165/$F$3*100,NA()),NA())</f>
        <v/>
      </c>
    </row>
    <row r="3166">
      <c r="A3166" s="7">
        <f>IFERROR(Datos!A3166,"")</f>
        <v/>
      </c>
      <c r="B3166" s="27">
        <f>IFERROR(IF(ISNUMBER(Datos!B3166),Datos!B3166/$F$2*100,NA()),NA())</f>
        <v/>
      </c>
      <c r="C3166" s="27">
        <f>IFERROR(IF(ISNUMBER(Datos!C3166),Datos!C3166/$F$3*100,NA()),NA())</f>
        <v/>
      </c>
    </row>
    <row r="3167">
      <c r="A3167" s="7">
        <f>IFERROR(Datos!A3167,"")</f>
        <v/>
      </c>
      <c r="B3167" s="27">
        <f>IFERROR(IF(ISNUMBER(Datos!B3167),Datos!B3167/$F$2*100,NA()),NA())</f>
        <v/>
      </c>
      <c r="C3167" s="27">
        <f>IFERROR(IF(ISNUMBER(Datos!C3167),Datos!C3167/$F$3*100,NA()),NA())</f>
        <v/>
      </c>
    </row>
    <row r="3168">
      <c r="A3168" s="7">
        <f>IFERROR(Datos!A3168,"")</f>
        <v/>
      </c>
      <c r="B3168" s="27">
        <f>IFERROR(IF(ISNUMBER(Datos!B3168),Datos!B3168/$F$2*100,NA()),NA())</f>
        <v/>
      </c>
      <c r="C3168" s="27">
        <f>IFERROR(IF(ISNUMBER(Datos!C3168),Datos!C3168/$F$3*100,NA()),NA())</f>
        <v/>
      </c>
    </row>
    <row r="3169">
      <c r="A3169" s="7">
        <f>IFERROR(Datos!A3169,"")</f>
        <v/>
      </c>
      <c r="B3169" s="27">
        <f>IFERROR(IF(ISNUMBER(Datos!B3169),Datos!B3169/$F$2*100,NA()),NA())</f>
        <v/>
      </c>
      <c r="C3169" s="27">
        <f>IFERROR(IF(ISNUMBER(Datos!C3169),Datos!C3169/$F$3*100,NA()),NA())</f>
        <v/>
      </c>
    </row>
    <row r="3170">
      <c r="A3170" s="7">
        <f>IFERROR(Datos!A3170,"")</f>
        <v/>
      </c>
      <c r="B3170" s="27">
        <f>IFERROR(IF(ISNUMBER(Datos!B3170),Datos!B3170/$F$2*100,NA()),NA())</f>
        <v/>
      </c>
      <c r="C3170" s="27">
        <f>IFERROR(IF(ISNUMBER(Datos!C3170),Datos!C3170/$F$3*100,NA()),NA())</f>
        <v/>
      </c>
    </row>
    <row r="3171">
      <c r="A3171" s="7">
        <f>IFERROR(Datos!A3171,"")</f>
        <v/>
      </c>
      <c r="B3171" s="27">
        <f>IFERROR(IF(ISNUMBER(Datos!B3171),Datos!B3171/$F$2*100,NA()),NA())</f>
        <v/>
      </c>
      <c r="C3171" s="27">
        <f>IFERROR(IF(ISNUMBER(Datos!C3171),Datos!C3171/$F$3*100,NA()),NA())</f>
        <v/>
      </c>
    </row>
    <row r="3172">
      <c r="A3172" s="7">
        <f>IFERROR(Datos!A3172,"")</f>
        <v/>
      </c>
      <c r="B3172" s="27">
        <f>IFERROR(IF(ISNUMBER(Datos!B3172),Datos!B3172/$F$2*100,NA()),NA())</f>
        <v/>
      </c>
      <c r="C3172" s="27">
        <f>IFERROR(IF(ISNUMBER(Datos!C3172),Datos!C3172/$F$3*100,NA()),NA())</f>
        <v/>
      </c>
    </row>
    <row r="3173">
      <c r="A3173" s="7">
        <f>IFERROR(Datos!A3173,"")</f>
        <v/>
      </c>
      <c r="B3173" s="27">
        <f>IFERROR(IF(ISNUMBER(Datos!B3173),Datos!B3173/$F$2*100,NA()),NA())</f>
        <v/>
      </c>
      <c r="C3173" s="27">
        <f>IFERROR(IF(ISNUMBER(Datos!C3173),Datos!C3173/$F$3*100,NA()),NA())</f>
        <v/>
      </c>
    </row>
    <row r="3174">
      <c r="A3174" s="7">
        <f>IFERROR(Datos!A3174,"")</f>
        <v/>
      </c>
      <c r="B3174" s="27">
        <f>IFERROR(IF(ISNUMBER(Datos!B3174),Datos!B3174/$F$2*100,NA()),NA())</f>
        <v/>
      </c>
      <c r="C3174" s="27">
        <f>IFERROR(IF(ISNUMBER(Datos!C3174),Datos!C3174/$F$3*100,NA()),NA())</f>
        <v/>
      </c>
    </row>
    <row r="3175">
      <c r="A3175" s="7">
        <f>IFERROR(Datos!A3175,"")</f>
        <v/>
      </c>
      <c r="B3175" s="27">
        <f>IFERROR(IF(ISNUMBER(Datos!B3175),Datos!B3175/$F$2*100,NA()),NA())</f>
        <v/>
      </c>
      <c r="C3175" s="27">
        <f>IFERROR(IF(ISNUMBER(Datos!C3175),Datos!C3175/$F$3*100,NA()),NA())</f>
        <v/>
      </c>
    </row>
    <row r="3176">
      <c r="A3176" s="7">
        <f>IFERROR(Datos!A3176,"")</f>
        <v/>
      </c>
      <c r="B3176" s="27">
        <f>IFERROR(IF(ISNUMBER(Datos!B3176),Datos!B3176/$F$2*100,NA()),NA())</f>
        <v/>
      </c>
      <c r="C3176" s="27">
        <f>IFERROR(IF(ISNUMBER(Datos!C3176),Datos!C3176/$F$3*100,NA()),NA())</f>
        <v/>
      </c>
    </row>
    <row r="3177">
      <c r="A3177" s="7">
        <f>IFERROR(Datos!A3177,"")</f>
        <v/>
      </c>
      <c r="B3177" s="27">
        <f>IFERROR(IF(ISNUMBER(Datos!B3177),Datos!B3177/$F$2*100,NA()),NA())</f>
        <v/>
      </c>
      <c r="C3177" s="27">
        <f>IFERROR(IF(ISNUMBER(Datos!C3177),Datos!C3177/$F$3*100,NA()),NA())</f>
        <v/>
      </c>
    </row>
    <row r="3178">
      <c r="A3178" s="7">
        <f>IFERROR(Datos!A3178,"")</f>
        <v/>
      </c>
      <c r="B3178" s="27">
        <f>IFERROR(IF(ISNUMBER(Datos!B3178),Datos!B3178/$F$2*100,NA()),NA())</f>
        <v/>
      </c>
      <c r="C3178" s="27">
        <f>IFERROR(IF(ISNUMBER(Datos!C3178),Datos!C3178/$F$3*100,NA()),NA())</f>
        <v/>
      </c>
    </row>
    <row r="3179">
      <c r="A3179" s="7">
        <f>IFERROR(Datos!A3179,"")</f>
        <v/>
      </c>
      <c r="B3179" s="27">
        <f>IFERROR(IF(ISNUMBER(Datos!B3179),Datos!B3179/$F$2*100,NA()),NA())</f>
        <v/>
      </c>
      <c r="C3179" s="27">
        <f>IFERROR(IF(ISNUMBER(Datos!C3179),Datos!C3179/$F$3*100,NA()),NA())</f>
        <v/>
      </c>
    </row>
    <row r="3180">
      <c r="A3180" s="7">
        <f>IFERROR(Datos!A3180,"")</f>
        <v/>
      </c>
      <c r="B3180" s="27">
        <f>IFERROR(IF(ISNUMBER(Datos!B3180),Datos!B3180/$F$2*100,NA()),NA())</f>
        <v/>
      </c>
      <c r="C3180" s="27">
        <f>IFERROR(IF(ISNUMBER(Datos!C3180),Datos!C3180/$F$3*100,NA()),NA())</f>
        <v/>
      </c>
    </row>
    <row r="3181">
      <c r="A3181" s="7">
        <f>IFERROR(Datos!A3181,"")</f>
        <v/>
      </c>
      <c r="B3181" s="27">
        <f>IFERROR(IF(ISNUMBER(Datos!B3181),Datos!B3181/$F$2*100,NA()),NA())</f>
        <v/>
      </c>
      <c r="C3181" s="27">
        <f>IFERROR(IF(ISNUMBER(Datos!C3181),Datos!C3181/$F$3*100,NA()),NA())</f>
        <v/>
      </c>
    </row>
    <row r="3182">
      <c r="A3182" s="7">
        <f>IFERROR(Datos!A3182,"")</f>
        <v/>
      </c>
      <c r="B3182" s="27">
        <f>IFERROR(IF(ISNUMBER(Datos!B3182),Datos!B3182/$F$2*100,NA()),NA())</f>
        <v/>
      </c>
      <c r="C3182" s="27">
        <f>IFERROR(IF(ISNUMBER(Datos!C3182),Datos!C3182/$F$3*100,NA()),NA())</f>
        <v/>
      </c>
    </row>
    <row r="3183">
      <c r="A3183" s="7">
        <f>IFERROR(Datos!A3183,"")</f>
        <v/>
      </c>
      <c r="B3183" s="27">
        <f>IFERROR(IF(ISNUMBER(Datos!B3183),Datos!B3183/$F$2*100,NA()),NA())</f>
        <v/>
      </c>
      <c r="C3183" s="27">
        <f>IFERROR(IF(ISNUMBER(Datos!C3183),Datos!C3183/$F$3*100,NA()),NA())</f>
        <v/>
      </c>
    </row>
    <row r="3184">
      <c r="A3184" s="7">
        <f>IFERROR(Datos!A3184,"")</f>
        <v/>
      </c>
      <c r="B3184" s="27">
        <f>IFERROR(IF(ISNUMBER(Datos!B3184),Datos!B3184/$F$2*100,NA()),NA())</f>
        <v/>
      </c>
      <c r="C3184" s="27">
        <f>IFERROR(IF(ISNUMBER(Datos!C3184),Datos!C3184/$F$3*100,NA()),NA())</f>
        <v/>
      </c>
    </row>
    <row r="3185">
      <c r="A3185" s="7">
        <f>IFERROR(Datos!A3185,"")</f>
        <v/>
      </c>
      <c r="B3185" s="27">
        <f>IFERROR(IF(ISNUMBER(Datos!B3185),Datos!B3185/$F$2*100,NA()),NA())</f>
        <v/>
      </c>
      <c r="C3185" s="27">
        <f>IFERROR(IF(ISNUMBER(Datos!C3185),Datos!C3185/$F$3*100,NA()),NA())</f>
        <v/>
      </c>
    </row>
    <row r="3186">
      <c r="A3186" s="7">
        <f>IFERROR(Datos!A3186,"")</f>
        <v/>
      </c>
      <c r="B3186" s="27">
        <f>IFERROR(IF(ISNUMBER(Datos!B3186),Datos!B3186/$F$2*100,NA()),NA())</f>
        <v/>
      </c>
      <c r="C3186" s="27">
        <f>IFERROR(IF(ISNUMBER(Datos!C3186),Datos!C3186/$F$3*100,NA()),NA())</f>
        <v/>
      </c>
    </row>
    <row r="3187">
      <c r="A3187" s="7">
        <f>IFERROR(Datos!A3187,"")</f>
        <v/>
      </c>
      <c r="B3187" s="27">
        <f>IFERROR(IF(ISNUMBER(Datos!B3187),Datos!B3187/$F$2*100,NA()),NA())</f>
        <v/>
      </c>
      <c r="C3187" s="27">
        <f>IFERROR(IF(ISNUMBER(Datos!C3187),Datos!C3187/$F$3*100,NA()),NA())</f>
        <v/>
      </c>
    </row>
    <row r="3188">
      <c r="A3188" s="7">
        <f>IFERROR(Datos!A3188,"")</f>
        <v/>
      </c>
      <c r="B3188" s="27">
        <f>IFERROR(IF(ISNUMBER(Datos!B3188),Datos!B3188/$F$2*100,NA()),NA())</f>
        <v/>
      </c>
      <c r="C3188" s="27">
        <f>IFERROR(IF(ISNUMBER(Datos!C3188),Datos!C3188/$F$3*100,NA()),NA())</f>
        <v/>
      </c>
    </row>
    <row r="3189">
      <c r="A3189" s="7">
        <f>IFERROR(Datos!A3189,"")</f>
        <v/>
      </c>
      <c r="B3189" s="27">
        <f>IFERROR(IF(ISNUMBER(Datos!B3189),Datos!B3189/$F$2*100,NA()),NA())</f>
        <v/>
      </c>
      <c r="C3189" s="27">
        <f>IFERROR(IF(ISNUMBER(Datos!C3189),Datos!C3189/$F$3*100,NA()),NA())</f>
        <v/>
      </c>
    </row>
    <row r="3190">
      <c r="A3190" s="7">
        <f>IFERROR(Datos!A3190,"")</f>
        <v/>
      </c>
      <c r="B3190" s="27">
        <f>IFERROR(IF(ISNUMBER(Datos!B3190),Datos!B3190/$F$2*100,NA()),NA())</f>
        <v/>
      </c>
      <c r="C3190" s="27">
        <f>IFERROR(IF(ISNUMBER(Datos!C3190),Datos!C3190/$F$3*100,NA()),NA())</f>
        <v/>
      </c>
    </row>
    <row r="3191">
      <c r="A3191" s="7">
        <f>IFERROR(Datos!A3191,"")</f>
        <v/>
      </c>
      <c r="B3191" s="27">
        <f>IFERROR(IF(ISNUMBER(Datos!B3191),Datos!B3191/$F$2*100,NA()),NA())</f>
        <v/>
      </c>
      <c r="C3191" s="27">
        <f>IFERROR(IF(ISNUMBER(Datos!C3191),Datos!C3191/$F$3*100,NA()),NA())</f>
        <v/>
      </c>
    </row>
    <row r="3192">
      <c r="A3192" s="7">
        <f>IFERROR(Datos!A3192,"")</f>
        <v/>
      </c>
      <c r="B3192" s="27">
        <f>IFERROR(IF(ISNUMBER(Datos!B3192),Datos!B3192/$F$2*100,NA()),NA())</f>
        <v/>
      </c>
      <c r="C3192" s="27">
        <f>IFERROR(IF(ISNUMBER(Datos!C3192),Datos!C3192/$F$3*100,NA()),NA())</f>
        <v/>
      </c>
    </row>
    <row r="3193">
      <c r="A3193" s="7">
        <f>IFERROR(Datos!A3193,"")</f>
        <v/>
      </c>
      <c r="B3193" s="27">
        <f>IFERROR(IF(ISNUMBER(Datos!B3193),Datos!B3193/$F$2*100,NA()),NA())</f>
        <v/>
      </c>
      <c r="C3193" s="27">
        <f>IFERROR(IF(ISNUMBER(Datos!C3193),Datos!C3193/$F$3*100,NA()),NA())</f>
        <v/>
      </c>
    </row>
    <row r="3194">
      <c r="A3194" s="7">
        <f>IFERROR(Datos!A3194,"")</f>
        <v/>
      </c>
      <c r="B3194" s="27">
        <f>IFERROR(IF(ISNUMBER(Datos!B3194),Datos!B3194/$F$2*100,NA()),NA())</f>
        <v/>
      </c>
      <c r="C3194" s="27">
        <f>IFERROR(IF(ISNUMBER(Datos!C3194),Datos!C3194/$F$3*100,NA()),NA())</f>
        <v/>
      </c>
    </row>
    <row r="3195">
      <c r="A3195" s="7">
        <f>IFERROR(Datos!A3195,"")</f>
        <v/>
      </c>
      <c r="B3195" s="27">
        <f>IFERROR(IF(ISNUMBER(Datos!B3195),Datos!B3195/$F$2*100,NA()),NA())</f>
        <v/>
      </c>
      <c r="C3195" s="27">
        <f>IFERROR(IF(ISNUMBER(Datos!C3195),Datos!C3195/$F$3*100,NA()),NA())</f>
        <v/>
      </c>
    </row>
    <row r="3196">
      <c r="A3196" s="7">
        <f>IFERROR(Datos!A3196,"")</f>
        <v/>
      </c>
      <c r="B3196" s="27">
        <f>IFERROR(IF(ISNUMBER(Datos!B3196),Datos!B3196/$F$2*100,NA()),NA())</f>
        <v/>
      </c>
      <c r="C3196" s="27">
        <f>IFERROR(IF(ISNUMBER(Datos!C3196),Datos!C3196/$F$3*100,NA()),NA())</f>
        <v/>
      </c>
    </row>
    <row r="3197">
      <c r="A3197" s="7">
        <f>IFERROR(Datos!A3197,"")</f>
        <v/>
      </c>
      <c r="B3197" s="27">
        <f>IFERROR(IF(ISNUMBER(Datos!B3197),Datos!B3197/$F$2*100,NA()),NA())</f>
        <v/>
      </c>
      <c r="C3197" s="27">
        <f>IFERROR(IF(ISNUMBER(Datos!C3197),Datos!C3197/$F$3*100,NA()),NA())</f>
        <v/>
      </c>
    </row>
    <row r="3198">
      <c r="A3198" s="7">
        <f>IFERROR(Datos!A3198,"")</f>
        <v/>
      </c>
      <c r="B3198" s="27">
        <f>IFERROR(IF(ISNUMBER(Datos!B3198),Datos!B3198/$F$2*100,NA()),NA())</f>
        <v/>
      </c>
      <c r="C3198" s="27">
        <f>IFERROR(IF(ISNUMBER(Datos!C3198),Datos!C3198/$F$3*100,NA()),NA())</f>
        <v/>
      </c>
    </row>
    <row r="3199">
      <c r="A3199" s="7">
        <f>IFERROR(Datos!A3199,"")</f>
        <v/>
      </c>
      <c r="B3199" s="27">
        <f>IFERROR(IF(ISNUMBER(Datos!B3199),Datos!B3199/$F$2*100,NA()),NA())</f>
        <v/>
      </c>
      <c r="C3199" s="27">
        <f>IFERROR(IF(ISNUMBER(Datos!C3199),Datos!C3199/$F$3*100,NA()),NA())</f>
        <v/>
      </c>
    </row>
    <row r="3200">
      <c r="A3200" s="7">
        <f>IFERROR(Datos!A3200,"")</f>
        <v/>
      </c>
      <c r="B3200" s="27">
        <f>IFERROR(IF(ISNUMBER(Datos!B3200),Datos!B3200/$F$2*100,NA()),NA())</f>
        <v/>
      </c>
      <c r="C3200" s="27">
        <f>IFERROR(IF(ISNUMBER(Datos!C3200),Datos!C3200/$F$3*100,NA()),NA())</f>
        <v/>
      </c>
    </row>
    <row r="3201">
      <c r="A3201" s="7">
        <f>IFERROR(Datos!A3201,"")</f>
        <v/>
      </c>
      <c r="B3201" s="27">
        <f>IFERROR(IF(ISNUMBER(Datos!B3201),Datos!B3201/$F$2*100,NA()),NA())</f>
        <v/>
      </c>
      <c r="C3201" s="27">
        <f>IFERROR(IF(ISNUMBER(Datos!C3201),Datos!C3201/$F$3*100,NA()),NA())</f>
        <v/>
      </c>
    </row>
    <row r="3202">
      <c r="A3202" s="7">
        <f>IFERROR(Datos!A3202,"")</f>
        <v/>
      </c>
      <c r="B3202" s="27">
        <f>IFERROR(IF(ISNUMBER(Datos!B3202),Datos!B3202/$F$2*100,NA()),NA())</f>
        <v/>
      </c>
      <c r="C3202" s="27">
        <f>IFERROR(IF(ISNUMBER(Datos!C3202),Datos!C3202/$F$3*100,NA()),NA())</f>
        <v/>
      </c>
    </row>
    <row r="3203">
      <c r="A3203" s="7">
        <f>IFERROR(Datos!A3203,"")</f>
        <v/>
      </c>
      <c r="B3203" s="27">
        <f>IFERROR(IF(ISNUMBER(Datos!B3203),Datos!B3203/$F$2*100,NA()),NA())</f>
        <v/>
      </c>
      <c r="C3203" s="27">
        <f>IFERROR(IF(ISNUMBER(Datos!C3203),Datos!C3203/$F$3*100,NA()),NA())</f>
        <v/>
      </c>
    </row>
    <row r="3204">
      <c r="A3204" s="7">
        <f>IFERROR(Datos!A3204,"")</f>
        <v/>
      </c>
      <c r="B3204" s="27">
        <f>IFERROR(IF(ISNUMBER(Datos!B3204),Datos!B3204/$F$2*100,NA()),NA())</f>
        <v/>
      </c>
      <c r="C3204" s="27">
        <f>IFERROR(IF(ISNUMBER(Datos!C3204),Datos!C3204/$F$3*100,NA()),NA())</f>
        <v/>
      </c>
    </row>
    <row r="3205">
      <c r="A3205" s="7">
        <f>IFERROR(Datos!A3205,"")</f>
        <v/>
      </c>
      <c r="B3205" s="27">
        <f>IFERROR(IF(ISNUMBER(Datos!B3205),Datos!B3205/$F$2*100,NA()),NA())</f>
        <v/>
      </c>
      <c r="C3205" s="27">
        <f>IFERROR(IF(ISNUMBER(Datos!C3205),Datos!C3205/$F$3*100,NA()),NA())</f>
        <v/>
      </c>
    </row>
    <row r="3206">
      <c r="A3206" s="7">
        <f>IFERROR(Datos!A3206,"")</f>
        <v/>
      </c>
      <c r="B3206" s="27">
        <f>IFERROR(IF(ISNUMBER(Datos!B3206),Datos!B3206/$F$2*100,NA()),NA())</f>
        <v/>
      </c>
      <c r="C3206" s="27">
        <f>IFERROR(IF(ISNUMBER(Datos!C3206),Datos!C3206/$F$3*100,NA()),NA())</f>
        <v/>
      </c>
    </row>
    <row r="3207">
      <c r="A3207" s="7">
        <f>IFERROR(Datos!A3207,"")</f>
        <v/>
      </c>
      <c r="B3207" s="27">
        <f>IFERROR(IF(ISNUMBER(Datos!B3207),Datos!B3207/$F$2*100,NA()),NA())</f>
        <v/>
      </c>
      <c r="C3207" s="27">
        <f>IFERROR(IF(ISNUMBER(Datos!C3207),Datos!C3207/$F$3*100,NA()),NA())</f>
        <v/>
      </c>
    </row>
    <row r="3208">
      <c r="A3208" s="7">
        <f>IFERROR(Datos!A3208,"")</f>
        <v/>
      </c>
      <c r="B3208" s="27">
        <f>IFERROR(IF(ISNUMBER(Datos!B3208),Datos!B3208/$F$2*100,NA()),NA())</f>
        <v/>
      </c>
      <c r="C3208" s="27">
        <f>IFERROR(IF(ISNUMBER(Datos!C3208),Datos!C3208/$F$3*100,NA()),NA())</f>
        <v/>
      </c>
    </row>
    <row r="3209">
      <c r="A3209" s="7">
        <f>IFERROR(Datos!A3209,"")</f>
        <v/>
      </c>
      <c r="B3209" s="27">
        <f>IFERROR(IF(ISNUMBER(Datos!B3209),Datos!B3209/$F$2*100,NA()),NA())</f>
        <v/>
      </c>
      <c r="C3209" s="27">
        <f>IFERROR(IF(ISNUMBER(Datos!C3209),Datos!C3209/$F$3*100,NA()),NA())</f>
        <v/>
      </c>
    </row>
    <row r="3210">
      <c r="A3210" s="7">
        <f>IFERROR(Datos!A3210,"")</f>
        <v/>
      </c>
      <c r="B3210" s="27">
        <f>IFERROR(IF(ISNUMBER(Datos!B3210),Datos!B3210/$F$2*100,NA()),NA())</f>
        <v/>
      </c>
      <c r="C3210" s="27">
        <f>IFERROR(IF(ISNUMBER(Datos!C3210),Datos!C3210/$F$3*100,NA()),NA())</f>
        <v/>
      </c>
    </row>
    <row r="3211">
      <c r="A3211" s="7">
        <f>IFERROR(Datos!A3211,"")</f>
        <v/>
      </c>
      <c r="B3211" s="27">
        <f>IFERROR(IF(ISNUMBER(Datos!B3211),Datos!B3211/$F$2*100,NA()),NA())</f>
        <v/>
      </c>
      <c r="C3211" s="27">
        <f>IFERROR(IF(ISNUMBER(Datos!C3211),Datos!C3211/$F$3*100,NA()),NA())</f>
        <v/>
      </c>
    </row>
    <row r="3212">
      <c r="A3212" s="7">
        <f>IFERROR(Datos!A3212,"")</f>
        <v/>
      </c>
      <c r="B3212" s="27">
        <f>IFERROR(IF(ISNUMBER(Datos!B3212),Datos!B3212/$F$2*100,NA()),NA())</f>
        <v/>
      </c>
      <c r="C3212" s="27">
        <f>IFERROR(IF(ISNUMBER(Datos!C3212),Datos!C3212/$F$3*100,NA()),NA())</f>
        <v/>
      </c>
    </row>
    <row r="3213">
      <c r="A3213" s="7">
        <f>IFERROR(Datos!A3213,"")</f>
        <v/>
      </c>
      <c r="B3213" s="27">
        <f>IFERROR(IF(ISNUMBER(Datos!B3213),Datos!B3213/$F$2*100,NA()),NA())</f>
        <v/>
      </c>
      <c r="C3213" s="27">
        <f>IFERROR(IF(ISNUMBER(Datos!C3213),Datos!C3213/$F$3*100,NA()),NA())</f>
        <v/>
      </c>
    </row>
    <row r="3214">
      <c r="A3214" s="7">
        <f>IFERROR(Datos!A3214,"")</f>
        <v/>
      </c>
      <c r="B3214" s="27">
        <f>IFERROR(IF(ISNUMBER(Datos!B3214),Datos!B3214/$F$2*100,NA()),NA())</f>
        <v/>
      </c>
      <c r="C3214" s="27">
        <f>IFERROR(IF(ISNUMBER(Datos!C3214),Datos!C3214/$F$3*100,NA()),NA())</f>
        <v/>
      </c>
    </row>
    <row r="3215">
      <c r="A3215" s="7">
        <f>IFERROR(Datos!A3215,"")</f>
        <v/>
      </c>
      <c r="B3215" s="27">
        <f>IFERROR(IF(ISNUMBER(Datos!B3215),Datos!B3215/$F$2*100,NA()),NA())</f>
        <v/>
      </c>
      <c r="C3215" s="27">
        <f>IFERROR(IF(ISNUMBER(Datos!C3215),Datos!C3215/$F$3*100,NA()),NA())</f>
        <v/>
      </c>
    </row>
    <row r="3216">
      <c r="A3216" s="7">
        <f>IFERROR(Datos!A3216,"")</f>
        <v/>
      </c>
      <c r="B3216" s="27">
        <f>IFERROR(IF(ISNUMBER(Datos!B3216),Datos!B3216/$F$2*100,NA()),NA())</f>
        <v/>
      </c>
      <c r="C3216" s="27">
        <f>IFERROR(IF(ISNUMBER(Datos!C3216),Datos!C3216/$F$3*100,NA()),NA())</f>
        <v/>
      </c>
    </row>
    <row r="3217">
      <c r="A3217" s="7">
        <f>IFERROR(Datos!A3217,"")</f>
        <v/>
      </c>
      <c r="B3217" s="27">
        <f>IFERROR(IF(ISNUMBER(Datos!B3217),Datos!B3217/$F$2*100,NA()),NA())</f>
        <v/>
      </c>
      <c r="C3217" s="27">
        <f>IFERROR(IF(ISNUMBER(Datos!C3217),Datos!C3217/$F$3*100,NA()),NA())</f>
        <v/>
      </c>
    </row>
    <row r="3218">
      <c r="A3218" s="7">
        <f>IFERROR(Datos!A3218,"")</f>
        <v/>
      </c>
      <c r="B3218" s="27">
        <f>IFERROR(IF(ISNUMBER(Datos!B3218),Datos!B3218/$F$2*100,NA()),NA())</f>
        <v/>
      </c>
      <c r="C3218" s="27">
        <f>IFERROR(IF(ISNUMBER(Datos!C3218),Datos!C3218/$F$3*100,NA()),NA())</f>
        <v/>
      </c>
    </row>
    <row r="3219">
      <c r="A3219" s="7">
        <f>IFERROR(Datos!A3219,"")</f>
        <v/>
      </c>
      <c r="B3219" s="27">
        <f>IFERROR(IF(ISNUMBER(Datos!B3219),Datos!B3219/$F$2*100,NA()),NA())</f>
        <v/>
      </c>
      <c r="C3219" s="27">
        <f>IFERROR(IF(ISNUMBER(Datos!C3219),Datos!C3219/$F$3*100,NA()),NA())</f>
        <v/>
      </c>
    </row>
    <row r="3220">
      <c r="A3220" s="7">
        <f>IFERROR(Datos!A3220,"")</f>
        <v/>
      </c>
      <c r="B3220" s="27">
        <f>IFERROR(IF(ISNUMBER(Datos!B3220),Datos!B3220/$F$2*100,NA()),NA())</f>
        <v/>
      </c>
      <c r="C3220" s="27">
        <f>IFERROR(IF(ISNUMBER(Datos!C3220),Datos!C3220/$F$3*100,NA()),NA())</f>
        <v/>
      </c>
    </row>
    <row r="3221">
      <c r="A3221" s="7">
        <f>IFERROR(Datos!A3221,"")</f>
        <v/>
      </c>
      <c r="B3221" s="27">
        <f>IFERROR(IF(ISNUMBER(Datos!B3221),Datos!B3221/$F$2*100,NA()),NA())</f>
        <v/>
      </c>
      <c r="C3221" s="27">
        <f>IFERROR(IF(ISNUMBER(Datos!C3221),Datos!C3221/$F$3*100,NA()),NA())</f>
        <v/>
      </c>
    </row>
    <row r="3222">
      <c r="A3222" s="7">
        <f>IFERROR(Datos!A3222,"")</f>
        <v/>
      </c>
      <c r="B3222" s="27">
        <f>IFERROR(IF(ISNUMBER(Datos!B3222),Datos!B3222/$F$2*100,NA()),NA())</f>
        <v/>
      </c>
      <c r="C3222" s="27">
        <f>IFERROR(IF(ISNUMBER(Datos!C3222),Datos!C3222/$F$3*100,NA()),NA())</f>
        <v/>
      </c>
    </row>
    <row r="3223">
      <c r="A3223" s="7">
        <f>IFERROR(Datos!A3223,"")</f>
        <v/>
      </c>
      <c r="B3223" s="27">
        <f>IFERROR(IF(ISNUMBER(Datos!B3223),Datos!B3223/$F$2*100,NA()),NA())</f>
        <v/>
      </c>
      <c r="C3223" s="27">
        <f>IFERROR(IF(ISNUMBER(Datos!C3223),Datos!C3223/$F$3*100,NA()),NA())</f>
        <v/>
      </c>
    </row>
    <row r="3224">
      <c r="A3224" s="7">
        <f>IFERROR(Datos!A3224,"")</f>
        <v/>
      </c>
      <c r="B3224" s="27">
        <f>IFERROR(IF(ISNUMBER(Datos!B3224),Datos!B3224/$F$2*100,NA()),NA())</f>
        <v/>
      </c>
      <c r="C3224" s="27">
        <f>IFERROR(IF(ISNUMBER(Datos!C3224),Datos!C3224/$F$3*100,NA()),NA())</f>
        <v/>
      </c>
    </row>
    <row r="3225">
      <c r="A3225" s="7">
        <f>IFERROR(Datos!A3225,"")</f>
        <v/>
      </c>
      <c r="B3225" s="27">
        <f>IFERROR(IF(ISNUMBER(Datos!B3225),Datos!B3225/$F$2*100,NA()),NA())</f>
        <v/>
      </c>
      <c r="C3225" s="27">
        <f>IFERROR(IF(ISNUMBER(Datos!C3225),Datos!C3225/$F$3*100,NA()),NA())</f>
        <v/>
      </c>
    </row>
    <row r="3226">
      <c r="A3226" s="7">
        <f>IFERROR(Datos!A3226,"")</f>
        <v/>
      </c>
      <c r="B3226" s="27">
        <f>IFERROR(IF(ISNUMBER(Datos!B3226),Datos!B3226/$F$2*100,NA()),NA())</f>
        <v/>
      </c>
      <c r="C3226" s="27">
        <f>IFERROR(IF(ISNUMBER(Datos!C3226),Datos!C3226/$F$3*100,NA()),NA())</f>
        <v/>
      </c>
    </row>
    <row r="3227">
      <c r="A3227" s="7">
        <f>IFERROR(Datos!A3227,"")</f>
        <v/>
      </c>
      <c r="B3227" s="27">
        <f>IFERROR(IF(ISNUMBER(Datos!B3227),Datos!B3227/$F$2*100,NA()),NA())</f>
        <v/>
      </c>
      <c r="C3227" s="27">
        <f>IFERROR(IF(ISNUMBER(Datos!C3227),Datos!C3227/$F$3*100,NA()),NA())</f>
        <v/>
      </c>
    </row>
    <row r="3228">
      <c r="A3228" s="7">
        <f>IFERROR(Datos!A3228,"")</f>
        <v/>
      </c>
      <c r="B3228" s="27">
        <f>IFERROR(IF(ISNUMBER(Datos!B3228),Datos!B3228/$F$2*100,NA()),NA())</f>
        <v/>
      </c>
      <c r="C3228" s="27">
        <f>IFERROR(IF(ISNUMBER(Datos!C3228),Datos!C3228/$F$3*100,NA()),NA())</f>
        <v/>
      </c>
    </row>
    <row r="3229">
      <c r="A3229" s="7">
        <f>IFERROR(Datos!A3229,"")</f>
        <v/>
      </c>
      <c r="B3229" s="27">
        <f>IFERROR(IF(ISNUMBER(Datos!B3229),Datos!B3229/$F$2*100,NA()),NA())</f>
        <v/>
      </c>
      <c r="C3229" s="27">
        <f>IFERROR(IF(ISNUMBER(Datos!C3229),Datos!C3229/$F$3*100,NA()),NA())</f>
        <v/>
      </c>
    </row>
    <row r="3230">
      <c r="A3230" s="7">
        <f>IFERROR(Datos!A3230,"")</f>
        <v/>
      </c>
      <c r="B3230" s="27">
        <f>IFERROR(IF(ISNUMBER(Datos!B3230),Datos!B3230/$F$2*100,NA()),NA())</f>
        <v/>
      </c>
      <c r="C3230" s="27">
        <f>IFERROR(IF(ISNUMBER(Datos!C3230),Datos!C3230/$F$3*100,NA()),NA())</f>
        <v/>
      </c>
    </row>
    <row r="3231">
      <c r="A3231" s="7">
        <f>IFERROR(Datos!A3231,"")</f>
        <v/>
      </c>
      <c r="B3231" s="27">
        <f>IFERROR(IF(ISNUMBER(Datos!B3231),Datos!B3231/$F$2*100,NA()),NA())</f>
        <v/>
      </c>
      <c r="C3231" s="27">
        <f>IFERROR(IF(ISNUMBER(Datos!C3231),Datos!C3231/$F$3*100,NA()),NA())</f>
        <v/>
      </c>
    </row>
    <row r="3232">
      <c r="A3232" s="7">
        <f>IFERROR(Datos!A3232,"")</f>
        <v/>
      </c>
      <c r="B3232" s="27">
        <f>IFERROR(IF(ISNUMBER(Datos!B3232),Datos!B3232/$F$2*100,NA()),NA())</f>
        <v/>
      </c>
      <c r="C3232" s="27">
        <f>IFERROR(IF(ISNUMBER(Datos!C3232),Datos!C3232/$F$3*100,NA()),NA())</f>
        <v/>
      </c>
    </row>
    <row r="3233">
      <c r="A3233" s="7">
        <f>IFERROR(Datos!A3233,"")</f>
        <v/>
      </c>
      <c r="B3233" s="27">
        <f>IFERROR(IF(ISNUMBER(Datos!B3233),Datos!B3233/$F$2*100,NA()),NA())</f>
        <v/>
      </c>
      <c r="C3233" s="27">
        <f>IFERROR(IF(ISNUMBER(Datos!C3233),Datos!C3233/$F$3*100,NA()),NA())</f>
        <v/>
      </c>
    </row>
    <row r="3234">
      <c r="A3234" s="7">
        <f>IFERROR(Datos!A3234,"")</f>
        <v/>
      </c>
      <c r="B3234" s="27">
        <f>IFERROR(IF(ISNUMBER(Datos!B3234),Datos!B3234/$F$2*100,NA()),NA())</f>
        <v/>
      </c>
      <c r="C3234" s="27">
        <f>IFERROR(IF(ISNUMBER(Datos!C3234),Datos!C3234/$F$3*100,NA()),NA())</f>
        <v/>
      </c>
    </row>
    <row r="3235">
      <c r="A3235" s="7">
        <f>IFERROR(Datos!A3235,"")</f>
        <v/>
      </c>
      <c r="B3235" s="27">
        <f>IFERROR(IF(ISNUMBER(Datos!B3235),Datos!B3235/$F$2*100,NA()),NA())</f>
        <v/>
      </c>
      <c r="C3235" s="27">
        <f>IFERROR(IF(ISNUMBER(Datos!C3235),Datos!C3235/$F$3*100,NA()),NA())</f>
        <v/>
      </c>
    </row>
    <row r="3236">
      <c r="A3236" s="7">
        <f>IFERROR(Datos!A3236,"")</f>
        <v/>
      </c>
      <c r="B3236" s="27">
        <f>IFERROR(IF(ISNUMBER(Datos!B3236),Datos!B3236/$F$2*100,NA()),NA())</f>
        <v/>
      </c>
      <c r="C3236" s="27">
        <f>IFERROR(IF(ISNUMBER(Datos!C3236),Datos!C3236/$F$3*100,NA()),NA())</f>
        <v/>
      </c>
    </row>
    <row r="3237">
      <c r="A3237" s="7">
        <f>IFERROR(Datos!A3237,"")</f>
        <v/>
      </c>
      <c r="B3237" s="27">
        <f>IFERROR(IF(ISNUMBER(Datos!B3237),Datos!B3237/$F$2*100,NA()),NA())</f>
        <v/>
      </c>
      <c r="C3237" s="27">
        <f>IFERROR(IF(ISNUMBER(Datos!C3237),Datos!C3237/$F$3*100,NA()),NA())</f>
        <v/>
      </c>
    </row>
    <row r="3238">
      <c r="A3238" s="7">
        <f>IFERROR(Datos!A3238,"")</f>
        <v/>
      </c>
      <c r="B3238" s="27">
        <f>IFERROR(IF(ISNUMBER(Datos!B3238),Datos!B3238/$F$2*100,NA()),NA())</f>
        <v/>
      </c>
      <c r="C3238" s="27">
        <f>IFERROR(IF(ISNUMBER(Datos!C3238),Datos!C3238/$F$3*100,NA()),NA())</f>
        <v/>
      </c>
    </row>
    <row r="3239">
      <c r="A3239" s="7">
        <f>IFERROR(Datos!A3239,"")</f>
        <v/>
      </c>
      <c r="B3239" s="27">
        <f>IFERROR(IF(ISNUMBER(Datos!B3239),Datos!B3239/$F$2*100,NA()),NA())</f>
        <v/>
      </c>
      <c r="C3239" s="27">
        <f>IFERROR(IF(ISNUMBER(Datos!C3239),Datos!C3239/$F$3*100,NA()),NA())</f>
        <v/>
      </c>
    </row>
    <row r="3240">
      <c r="A3240" s="7">
        <f>IFERROR(Datos!A3240,"")</f>
        <v/>
      </c>
      <c r="B3240" s="27">
        <f>IFERROR(IF(ISNUMBER(Datos!B3240),Datos!B3240/$F$2*100,NA()),NA())</f>
        <v/>
      </c>
      <c r="C3240" s="27">
        <f>IFERROR(IF(ISNUMBER(Datos!C3240),Datos!C3240/$F$3*100,NA()),NA())</f>
        <v/>
      </c>
    </row>
    <row r="3241">
      <c r="A3241" s="7">
        <f>IFERROR(Datos!A3241,"")</f>
        <v/>
      </c>
      <c r="B3241" s="27">
        <f>IFERROR(IF(ISNUMBER(Datos!B3241),Datos!B3241/$F$2*100,NA()),NA())</f>
        <v/>
      </c>
      <c r="C3241" s="27">
        <f>IFERROR(IF(ISNUMBER(Datos!C3241),Datos!C3241/$F$3*100,NA()),NA())</f>
        <v/>
      </c>
    </row>
    <row r="3242">
      <c r="A3242" s="7">
        <f>IFERROR(Datos!A3242,"")</f>
        <v/>
      </c>
      <c r="B3242" s="27">
        <f>IFERROR(IF(ISNUMBER(Datos!B3242),Datos!B3242/$F$2*100,NA()),NA())</f>
        <v/>
      </c>
      <c r="C3242" s="27">
        <f>IFERROR(IF(ISNUMBER(Datos!C3242),Datos!C3242/$F$3*100,NA()),NA())</f>
        <v/>
      </c>
    </row>
    <row r="3243">
      <c r="A3243" s="7">
        <f>IFERROR(Datos!A3243,"")</f>
        <v/>
      </c>
      <c r="B3243" s="27">
        <f>IFERROR(IF(ISNUMBER(Datos!B3243),Datos!B3243/$F$2*100,NA()),NA())</f>
        <v/>
      </c>
      <c r="C3243" s="27">
        <f>IFERROR(IF(ISNUMBER(Datos!C3243),Datos!C3243/$F$3*100,NA()),NA())</f>
        <v/>
      </c>
    </row>
    <row r="3244">
      <c r="A3244" s="7">
        <f>IFERROR(Datos!A3244,"")</f>
        <v/>
      </c>
      <c r="B3244" s="27">
        <f>IFERROR(IF(ISNUMBER(Datos!B3244),Datos!B3244/$F$2*100,NA()),NA())</f>
        <v/>
      </c>
      <c r="C3244" s="27">
        <f>IFERROR(IF(ISNUMBER(Datos!C3244),Datos!C3244/$F$3*100,NA()),NA())</f>
        <v/>
      </c>
    </row>
    <row r="3245">
      <c r="A3245" s="7">
        <f>IFERROR(Datos!A3245,"")</f>
        <v/>
      </c>
      <c r="B3245" s="27">
        <f>IFERROR(IF(ISNUMBER(Datos!B3245),Datos!B3245/$F$2*100,NA()),NA())</f>
        <v/>
      </c>
      <c r="C3245" s="27">
        <f>IFERROR(IF(ISNUMBER(Datos!C3245),Datos!C3245/$F$3*100,NA()),NA())</f>
        <v/>
      </c>
    </row>
    <row r="3246">
      <c r="A3246" s="7">
        <f>IFERROR(Datos!A3246,"")</f>
        <v/>
      </c>
      <c r="B3246" s="27">
        <f>IFERROR(IF(ISNUMBER(Datos!B3246),Datos!B3246/$F$2*100,NA()),NA())</f>
        <v/>
      </c>
      <c r="C3246" s="27">
        <f>IFERROR(IF(ISNUMBER(Datos!C3246),Datos!C3246/$F$3*100,NA()),NA())</f>
        <v/>
      </c>
    </row>
    <row r="3247">
      <c r="A3247" s="7">
        <f>IFERROR(Datos!A3247,"")</f>
        <v/>
      </c>
      <c r="B3247" s="27">
        <f>IFERROR(IF(ISNUMBER(Datos!B3247),Datos!B3247/$F$2*100,NA()),NA())</f>
        <v/>
      </c>
      <c r="C3247" s="27">
        <f>IFERROR(IF(ISNUMBER(Datos!C3247),Datos!C3247/$F$3*100,NA()),NA())</f>
        <v/>
      </c>
    </row>
    <row r="3248">
      <c r="A3248" s="7">
        <f>IFERROR(Datos!A3248,"")</f>
        <v/>
      </c>
      <c r="B3248" s="27">
        <f>IFERROR(IF(ISNUMBER(Datos!B3248),Datos!B3248/$F$2*100,NA()),NA())</f>
        <v/>
      </c>
      <c r="C3248" s="27">
        <f>IFERROR(IF(ISNUMBER(Datos!C3248),Datos!C3248/$F$3*100,NA()),NA())</f>
        <v/>
      </c>
    </row>
    <row r="3249">
      <c r="A3249" s="7">
        <f>IFERROR(Datos!A3249,"")</f>
        <v/>
      </c>
      <c r="B3249" s="27">
        <f>IFERROR(IF(ISNUMBER(Datos!B3249),Datos!B3249/$F$2*100,NA()),NA())</f>
        <v/>
      </c>
      <c r="C3249" s="27">
        <f>IFERROR(IF(ISNUMBER(Datos!C3249),Datos!C3249/$F$3*100,NA()),NA())</f>
        <v/>
      </c>
    </row>
    <row r="3250">
      <c r="A3250" s="7">
        <f>IFERROR(Datos!A3250,"")</f>
        <v/>
      </c>
      <c r="B3250" s="27">
        <f>IFERROR(IF(ISNUMBER(Datos!B3250),Datos!B3250/$F$2*100,NA()),NA())</f>
        <v/>
      </c>
      <c r="C3250" s="27">
        <f>IFERROR(IF(ISNUMBER(Datos!C3250),Datos!C3250/$F$3*100,NA()),NA())</f>
        <v/>
      </c>
    </row>
    <row r="3251">
      <c r="A3251" s="7">
        <f>IFERROR(Datos!A3251,"")</f>
        <v/>
      </c>
      <c r="B3251" s="27">
        <f>IFERROR(IF(ISNUMBER(Datos!B3251),Datos!B3251/$F$2*100,NA()),NA())</f>
        <v/>
      </c>
      <c r="C3251" s="27">
        <f>IFERROR(IF(ISNUMBER(Datos!C3251),Datos!C3251/$F$3*100,NA()),NA())</f>
        <v/>
      </c>
    </row>
    <row r="3252">
      <c r="A3252" s="7">
        <f>IFERROR(Datos!A3252,"")</f>
        <v/>
      </c>
      <c r="B3252" s="27">
        <f>IFERROR(IF(ISNUMBER(Datos!B3252),Datos!B3252/$F$2*100,NA()),NA())</f>
        <v/>
      </c>
      <c r="C3252" s="27">
        <f>IFERROR(IF(ISNUMBER(Datos!C3252),Datos!C3252/$F$3*100,NA()),NA())</f>
        <v/>
      </c>
    </row>
    <row r="3253">
      <c r="A3253" s="7">
        <f>IFERROR(Datos!A3253,"")</f>
        <v/>
      </c>
      <c r="B3253" s="27">
        <f>IFERROR(IF(ISNUMBER(Datos!B3253),Datos!B3253/$F$2*100,NA()),NA())</f>
        <v/>
      </c>
      <c r="C3253" s="27">
        <f>IFERROR(IF(ISNUMBER(Datos!C3253),Datos!C3253/$F$3*100,NA()),NA())</f>
        <v/>
      </c>
    </row>
    <row r="3254">
      <c r="A3254" s="7">
        <f>IFERROR(Datos!A3254,"")</f>
        <v/>
      </c>
      <c r="B3254" s="27">
        <f>IFERROR(IF(ISNUMBER(Datos!B3254),Datos!B3254/$F$2*100,NA()),NA())</f>
        <v/>
      </c>
      <c r="C3254" s="27">
        <f>IFERROR(IF(ISNUMBER(Datos!C3254),Datos!C3254/$F$3*100,NA()),NA())</f>
        <v/>
      </c>
    </row>
    <row r="3255">
      <c r="A3255" s="7">
        <f>IFERROR(Datos!A3255,"")</f>
        <v/>
      </c>
      <c r="B3255" s="27">
        <f>IFERROR(IF(ISNUMBER(Datos!B3255),Datos!B3255/$F$2*100,NA()),NA())</f>
        <v/>
      </c>
      <c r="C3255" s="27">
        <f>IFERROR(IF(ISNUMBER(Datos!C3255),Datos!C3255/$F$3*100,NA()),NA())</f>
        <v/>
      </c>
    </row>
    <row r="3256">
      <c r="A3256" s="7">
        <f>IFERROR(Datos!A3256,"")</f>
        <v/>
      </c>
      <c r="B3256" s="27">
        <f>IFERROR(IF(ISNUMBER(Datos!B3256),Datos!B3256/$F$2*100,NA()),NA())</f>
        <v/>
      </c>
      <c r="C3256" s="27">
        <f>IFERROR(IF(ISNUMBER(Datos!C3256),Datos!C3256/$F$3*100,NA()),NA())</f>
        <v/>
      </c>
    </row>
    <row r="3257">
      <c r="A3257" s="7">
        <f>IFERROR(Datos!A3257,"")</f>
        <v/>
      </c>
      <c r="B3257" s="27">
        <f>IFERROR(IF(ISNUMBER(Datos!B3257),Datos!B3257/$F$2*100,NA()),NA())</f>
        <v/>
      </c>
      <c r="C3257" s="27">
        <f>IFERROR(IF(ISNUMBER(Datos!C3257),Datos!C3257/$F$3*100,NA()),NA())</f>
        <v/>
      </c>
    </row>
    <row r="3258">
      <c r="A3258" s="7">
        <f>IFERROR(Datos!A3258,"")</f>
        <v/>
      </c>
      <c r="B3258" s="27">
        <f>IFERROR(IF(ISNUMBER(Datos!B3258),Datos!B3258/$F$2*100,NA()),NA())</f>
        <v/>
      </c>
      <c r="C3258" s="27">
        <f>IFERROR(IF(ISNUMBER(Datos!C3258),Datos!C3258/$F$3*100,NA()),NA())</f>
        <v/>
      </c>
    </row>
    <row r="3259">
      <c r="A3259" s="7">
        <f>IFERROR(Datos!A3259,"")</f>
        <v/>
      </c>
      <c r="B3259" s="27">
        <f>IFERROR(IF(ISNUMBER(Datos!B3259),Datos!B3259/$F$2*100,NA()),NA())</f>
        <v/>
      </c>
      <c r="C3259" s="27">
        <f>IFERROR(IF(ISNUMBER(Datos!C3259),Datos!C3259/$F$3*100,NA()),NA())</f>
        <v/>
      </c>
    </row>
    <row r="3260">
      <c r="A3260" s="7">
        <f>IFERROR(Datos!A3260,"")</f>
        <v/>
      </c>
      <c r="B3260" s="27">
        <f>IFERROR(IF(ISNUMBER(Datos!B3260),Datos!B3260/$F$2*100,NA()),NA())</f>
        <v/>
      </c>
      <c r="C3260" s="27">
        <f>IFERROR(IF(ISNUMBER(Datos!C3260),Datos!C3260/$F$3*100,NA()),NA())</f>
        <v/>
      </c>
    </row>
    <row r="3261">
      <c r="A3261" s="7">
        <f>IFERROR(Datos!A3261,"")</f>
        <v/>
      </c>
      <c r="B3261" s="27">
        <f>IFERROR(IF(ISNUMBER(Datos!B3261),Datos!B3261/$F$2*100,NA()),NA())</f>
        <v/>
      </c>
      <c r="C3261" s="27">
        <f>IFERROR(IF(ISNUMBER(Datos!C3261),Datos!C3261/$F$3*100,NA()),NA())</f>
        <v/>
      </c>
    </row>
    <row r="3262">
      <c r="A3262" s="7">
        <f>IFERROR(Datos!A3262,"")</f>
        <v/>
      </c>
      <c r="B3262" s="27">
        <f>IFERROR(IF(ISNUMBER(Datos!B3262),Datos!B3262/$F$2*100,NA()),NA())</f>
        <v/>
      </c>
      <c r="C3262" s="27">
        <f>IFERROR(IF(ISNUMBER(Datos!C3262),Datos!C3262/$F$3*100,NA()),NA())</f>
        <v/>
      </c>
    </row>
    <row r="3263">
      <c r="A3263" s="7">
        <f>IFERROR(Datos!A3263,"")</f>
        <v/>
      </c>
      <c r="B3263" s="27">
        <f>IFERROR(IF(ISNUMBER(Datos!B3263),Datos!B3263/$F$2*100,NA()),NA())</f>
        <v/>
      </c>
      <c r="C3263" s="27">
        <f>IFERROR(IF(ISNUMBER(Datos!C3263),Datos!C3263/$F$3*100,NA()),NA())</f>
        <v/>
      </c>
    </row>
    <row r="3264">
      <c r="A3264" s="7">
        <f>IFERROR(Datos!A3264,"")</f>
        <v/>
      </c>
      <c r="B3264" s="27">
        <f>IFERROR(IF(ISNUMBER(Datos!B3264),Datos!B3264/$F$2*100,NA()),NA())</f>
        <v/>
      </c>
      <c r="C3264" s="27">
        <f>IFERROR(IF(ISNUMBER(Datos!C3264),Datos!C3264/$F$3*100,NA()),NA())</f>
        <v/>
      </c>
    </row>
    <row r="3265">
      <c r="A3265" s="7">
        <f>IFERROR(Datos!A3265,"")</f>
        <v/>
      </c>
      <c r="B3265" s="27">
        <f>IFERROR(IF(ISNUMBER(Datos!B3265),Datos!B3265/$F$2*100,NA()),NA())</f>
        <v/>
      </c>
      <c r="C3265" s="27">
        <f>IFERROR(IF(ISNUMBER(Datos!C3265),Datos!C3265/$F$3*100,NA()),NA())</f>
        <v/>
      </c>
    </row>
    <row r="3266">
      <c r="A3266" s="7">
        <f>IFERROR(Datos!A3266,"")</f>
        <v/>
      </c>
      <c r="B3266" s="27">
        <f>IFERROR(IF(ISNUMBER(Datos!B3266),Datos!B3266/$F$2*100,NA()),NA())</f>
        <v/>
      </c>
      <c r="C3266" s="27">
        <f>IFERROR(IF(ISNUMBER(Datos!C3266),Datos!C3266/$F$3*100,NA()),NA())</f>
        <v/>
      </c>
    </row>
    <row r="3267">
      <c r="A3267" s="7">
        <f>IFERROR(Datos!A3267,"")</f>
        <v/>
      </c>
      <c r="B3267" s="27">
        <f>IFERROR(IF(ISNUMBER(Datos!B3267),Datos!B3267/$F$2*100,NA()),NA())</f>
        <v/>
      </c>
      <c r="C3267" s="27">
        <f>IFERROR(IF(ISNUMBER(Datos!C3267),Datos!C3267/$F$3*100,NA()),NA())</f>
        <v/>
      </c>
    </row>
    <row r="3268">
      <c r="A3268" s="7">
        <f>IFERROR(Datos!A3268,"")</f>
        <v/>
      </c>
      <c r="B3268" s="27">
        <f>IFERROR(IF(ISNUMBER(Datos!B3268),Datos!B3268/$F$2*100,NA()),NA())</f>
        <v/>
      </c>
      <c r="C3268" s="27">
        <f>IFERROR(IF(ISNUMBER(Datos!C3268),Datos!C3268/$F$3*100,NA()),NA())</f>
        <v/>
      </c>
    </row>
    <row r="3269">
      <c r="A3269" s="7">
        <f>IFERROR(Datos!A3269,"")</f>
        <v/>
      </c>
      <c r="B3269" s="27">
        <f>IFERROR(IF(ISNUMBER(Datos!B3269),Datos!B3269/$F$2*100,NA()),NA())</f>
        <v/>
      </c>
      <c r="C3269" s="27">
        <f>IFERROR(IF(ISNUMBER(Datos!C3269),Datos!C3269/$F$3*100,NA()),NA())</f>
        <v/>
      </c>
    </row>
    <row r="3270">
      <c r="A3270" s="7">
        <f>IFERROR(Datos!A3270,"")</f>
        <v/>
      </c>
      <c r="B3270" s="27">
        <f>IFERROR(IF(ISNUMBER(Datos!B3270),Datos!B3270/$F$2*100,NA()),NA())</f>
        <v/>
      </c>
      <c r="C3270" s="27">
        <f>IFERROR(IF(ISNUMBER(Datos!C3270),Datos!C3270/$F$3*100,NA()),NA())</f>
        <v/>
      </c>
    </row>
    <row r="3271">
      <c r="A3271" s="7">
        <f>IFERROR(Datos!A3271,"")</f>
        <v/>
      </c>
      <c r="B3271" s="27">
        <f>IFERROR(IF(ISNUMBER(Datos!B3271),Datos!B3271/$F$2*100,NA()),NA())</f>
        <v/>
      </c>
      <c r="C3271" s="27">
        <f>IFERROR(IF(ISNUMBER(Datos!C3271),Datos!C3271/$F$3*100,NA()),NA())</f>
        <v/>
      </c>
    </row>
    <row r="3272">
      <c r="A3272" s="7">
        <f>IFERROR(Datos!A3272,"")</f>
        <v/>
      </c>
      <c r="B3272" s="27">
        <f>IFERROR(IF(ISNUMBER(Datos!B3272),Datos!B3272/$F$2*100,NA()),NA())</f>
        <v/>
      </c>
      <c r="C3272" s="27">
        <f>IFERROR(IF(ISNUMBER(Datos!C3272),Datos!C3272/$F$3*100,NA()),NA())</f>
        <v/>
      </c>
    </row>
    <row r="3273">
      <c r="A3273" s="7">
        <f>IFERROR(Datos!A3273,"")</f>
        <v/>
      </c>
      <c r="B3273" s="27">
        <f>IFERROR(IF(ISNUMBER(Datos!B3273),Datos!B3273/$F$2*100,NA()),NA())</f>
        <v/>
      </c>
      <c r="C3273" s="27">
        <f>IFERROR(IF(ISNUMBER(Datos!C3273),Datos!C3273/$F$3*100,NA()),NA())</f>
        <v/>
      </c>
    </row>
    <row r="3274">
      <c r="A3274" s="7">
        <f>IFERROR(Datos!A3274,"")</f>
        <v/>
      </c>
      <c r="B3274" s="27">
        <f>IFERROR(IF(ISNUMBER(Datos!B3274),Datos!B3274/$F$2*100,NA()),NA())</f>
        <v/>
      </c>
      <c r="C3274" s="27">
        <f>IFERROR(IF(ISNUMBER(Datos!C3274),Datos!C3274/$F$3*100,NA()),NA())</f>
        <v/>
      </c>
    </row>
    <row r="3275">
      <c r="A3275" s="7">
        <f>IFERROR(Datos!A3275,"")</f>
        <v/>
      </c>
      <c r="B3275" s="27">
        <f>IFERROR(IF(ISNUMBER(Datos!B3275),Datos!B3275/$F$2*100,NA()),NA())</f>
        <v/>
      </c>
      <c r="C3275" s="27">
        <f>IFERROR(IF(ISNUMBER(Datos!C3275),Datos!C3275/$F$3*100,NA()),NA())</f>
        <v/>
      </c>
    </row>
    <row r="3276">
      <c r="A3276" s="7">
        <f>IFERROR(Datos!A3276,"")</f>
        <v/>
      </c>
      <c r="B3276" s="27">
        <f>IFERROR(IF(ISNUMBER(Datos!B3276),Datos!B3276/$F$2*100,NA()),NA())</f>
        <v/>
      </c>
      <c r="C3276" s="27">
        <f>IFERROR(IF(ISNUMBER(Datos!C3276),Datos!C3276/$F$3*100,NA()),NA())</f>
        <v/>
      </c>
    </row>
    <row r="3277">
      <c r="A3277" s="7">
        <f>IFERROR(Datos!A3277,"")</f>
        <v/>
      </c>
      <c r="B3277" s="27">
        <f>IFERROR(IF(ISNUMBER(Datos!B3277),Datos!B3277/$F$2*100,NA()),NA())</f>
        <v/>
      </c>
      <c r="C3277" s="27">
        <f>IFERROR(IF(ISNUMBER(Datos!C3277),Datos!C3277/$F$3*100,NA()),NA())</f>
        <v/>
      </c>
    </row>
    <row r="3278">
      <c r="A3278" s="7">
        <f>IFERROR(Datos!A3278,"")</f>
        <v/>
      </c>
      <c r="B3278" s="27">
        <f>IFERROR(IF(ISNUMBER(Datos!B3278),Datos!B3278/$F$2*100,NA()),NA())</f>
        <v/>
      </c>
      <c r="C3278" s="27">
        <f>IFERROR(IF(ISNUMBER(Datos!C3278),Datos!C3278/$F$3*100,NA()),NA())</f>
        <v/>
      </c>
    </row>
    <row r="3279">
      <c r="A3279" s="7">
        <f>IFERROR(Datos!A3279,"")</f>
        <v/>
      </c>
      <c r="B3279" s="27">
        <f>IFERROR(IF(ISNUMBER(Datos!B3279),Datos!B3279/$F$2*100,NA()),NA())</f>
        <v/>
      </c>
      <c r="C3279" s="27">
        <f>IFERROR(IF(ISNUMBER(Datos!C3279),Datos!C3279/$F$3*100,NA()),NA())</f>
        <v/>
      </c>
    </row>
    <row r="3280">
      <c r="A3280" s="7">
        <f>IFERROR(Datos!A3280,"")</f>
        <v/>
      </c>
      <c r="B3280" s="27">
        <f>IFERROR(IF(ISNUMBER(Datos!B3280),Datos!B3280/$F$2*100,NA()),NA())</f>
        <v/>
      </c>
      <c r="C3280" s="27">
        <f>IFERROR(IF(ISNUMBER(Datos!C3280),Datos!C3280/$F$3*100,NA()),NA())</f>
        <v/>
      </c>
    </row>
    <row r="3281">
      <c r="A3281" s="7">
        <f>IFERROR(Datos!A3281,"")</f>
        <v/>
      </c>
      <c r="B3281" s="27">
        <f>IFERROR(IF(ISNUMBER(Datos!B3281),Datos!B3281/$F$2*100,NA()),NA())</f>
        <v/>
      </c>
      <c r="C3281" s="27">
        <f>IFERROR(IF(ISNUMBER(Datos!C3281),Datos!C3281/$F$3*100,NA()),NA())</f>
        <v/>
      </c>
    </row>
    <row r="3282">
      <c r="A3282" s="7">
        <f>IFERROR(Datos!A3282,"")</f>
        <v/>
      </c>
      <c r="B3282" s="27">
        <f>IFERROR(IF(ISNUMBER(Datos!B3282),Datos!B3282/$F$2*100,NA()),NA())</f>
        <v/>
      </c>
      <c r="C3282" s="27">
        <f>IFERROR(IF(ISNUMBER(Datos!C3282),Datos!C3282/$F$3*100,NA()),NA())</f>
        <v/>
      </c>
    </row>
    <row r="3283">
      <c r="A3283" s="7">
        <f>IFERROR(Datos!A3283,"")</f>
        <v/>
      </c>
      <c r="B3283" s="27">
        <f>IFERROR(IF(ISNUMBER(Datos!B3283),Datos!B3283/$F$2*100,NA()),NA())</f>
        <v/>
      </c>
      <c r="C3283" s="27">
        <f>IFERROR(IF(ISNUMBER(Datos!C3283),Datos!C3283/$F$3*100,NA()),NA())</f>
        <v/>
      </c>
    </row>
    <row r="3284">
      <c r="A3284" s="7">
        <f>IFERROR(Datos!A3284,"")</f>
        <v/>
      </c>
      <c r="B3284" s="27">
        <f>IFERROR(IF(ISNUMBER(Datos!B3284),Datos!B3284/$F$2*100,NA()),NA())</f>
        <v/>
      </c>
      <c r="C3284" s="27">
        <f>IFERROR(IF(ISNUMBER(Datos!C3284),Datos!C3284/$F$3*100,NA()),NA())</f>
        <v/>
      </c>
    </row>
    <row r="3285">
      <c r="A3285" s="7">
        <f>IFERROR(Datos!A3285,"")</f>
        <v/>
      </c>
      <c r="B3285" s="27">
        <f>IFERROR(IF(ISNUMBER(Datos!B3285),Datos!B3285/$F$2*100,NA()),NA())</f>
        <v/>
      </c>
      <c r="C3285" s="27">
        <f>IFERROR(IF(ISNUMBER(Datos!C3285),Datos!C3285/$F$3*100,NA()),NA())</f>
        <v/>
      </c>
    </row>
    <row r="3286">
      <c r="A3286" s="7">
        <f>IFERROR(Datos!A3286,"")</f>
        <v/>
      </c>
      <c r="B3286" s="27">
        <f>IFERROR(IF(ISNUMBER(Datos!B3286),Datos!B3286/$F$2*100,NA()),NA())</f>
        <v/>
      </c>
      <c r="C3286" s="27">
        <f>IFERROR(IF(ISNUMBER(Datos!C3286),Datos!C3286/$F$3*100,NA()),NA())</f>
        <v/>
      </c>
    </row>
    <row r="3287">
      <c r="A3287" s="7">
        <f>IFERROR(Datos!A3287,"")</f>
        <v/>
      </c>
      <c r="B3287" s="27">
        <f>IFERROR(IF(ISNUMBER(Datos!B3287),Datos!B3287/$F$2*100,NA()),NA())</f>
        <v/>
      </c>
      <c r="C3287" s="27">
        <f>IFERROR(IF(ISNUMBER(Datos!C3287),Datos!C3287/$F$3*100,NA()),NA())</f>
        <v/>
      </c>
    </row>
    <row r="3288">
      <c r="A3288" s="7">
        <f>IFERROR(Datos!A3288,"")</f>
        <v/>
      </c>
      <c r="B3288" s="27">
        <f>IFERROR(IF(ISNUMBER(Datos!B3288),Datos!B3288/$F$2*100,NA()),NA())</f>
        <v/>
      </c>
      <c r="C3288" s="27">
        <f>IFERROR(IF(ISNUMBER(Datos!C3288),Datos!C3288/$F$3*100,NA()),NA())</f>
        <v/>
      </c>
    </row>
    <row r="3289">
      <c r="A3289" s="7">
        <f>IFERROR(Datos!A3289,"")</f>
        <v/>
      </c>
      <c r="B3289" s="27">
        <f>IFERROR(IF(ISNUMBER(Datos!B3289),Datos!B3289/$F$2*100,NA()),NA())</f>
        <v/>
      </c>
      <c r="C3289" s="27">
        <f>IFERROR(IF(ISNUMBER(Datos!C3289),Datos!C3289/$F$3*100,NA()),NA())</f>
        <v/>
      </c>
    </row>
    <row r="3290">
      <c r="A3290" s="7">
        <f>IFERROR(Datos!A3290,"")</f>
        <v/>
      </c>
      <c r="B3290" s="27">
        <f>IFERROR(IF(ISNUMBER(Datos!B3290),Datos!B3290/$F$2*100,NA()),NA())</f>
        <v/>
      </c>
      <c r="C3290" s="27">
        <f>IFERROR(IF(ISNUMBER(Datos!C3290),Datos!C3290/$F$3*100,NA()),NA())</f>
        <v/>
      </c>
    </row>
    <row r="3291">
      <c r="A3291" s="7">
        <f>IFERROR(Datos!A3291,"")</f>
        <v/>
      </c>
      <c r="B3291" s="27">
        <f>IFERROR(IF(ISNUMBER(Datos!B3291),Datos!B3291/$F$2*100,NA()),NA())</f>
        <v/>
      </c>
      <c r="C3291" s="27">
        <f>IFERROR(IF(ISNUMBER(Datos!C3291),Datos!C3291/$F$3*100,NA()),NA())</f>
        <v/>
      </c>
    </row>
    <row r="3292">
      <c r="A3292" s="7">
        <f>IFERROR(Datos!A3292,"")</f>
        <v/>
      </c>
      <c r="B3292" s="27">
        <f>IFERROR(IF(ISNUMBER(Datos!B3292),Datos!B3292/$F$2*100,NA()),NA())</f>
        <v/>
      </c>
      <c r="C3292" s="27">
        <f>IFERROR(IF(ISNUMBER(Datos!C3292),Datos!C3292/$F$3*100,NA()),NA())</f>
        <v/>
      </c>
    </row>
    <row r="3293">
      <c r="A3293" s="7">
        <f>IFERROR(Datos!A3293,"")</f>
        <v/>
      </c>
      <c r="B3293" s="27">
        <f>IFERROR(IF(ISNUMBER(Datos!B3293),Datos!B3293/$F$2*100,NA()),NA())</f>
        <v/>
      </c>
      <c r="C3293" s="27">
        <f>IFERROR(IF(ISNUMBER(Datos!C3293),Datos!C3293/$F$3*100,NA()),NA())</f>
        <v/>
      </c>
    </row>
    <row r="3294">
      <c r="A3294" s="7">
        <f>IFERROR(Datos!A3294,"")</f>
        <v/>
      </c>
      <c r="B3294" s="27">
        <f>IFERROR(IF(ISNUMBER(Datos!B3294),Datos!B3294/$F$2*100,NA()),NA())</f>
        <v/>
      </c>
      <c r="C3294" s="27">
        <f>IFERROR(IF(ISNUMBER(Datos!C3294),Datos!C3294/$F$3*100,NA()),NA())</f>
        <v/>
      </c>
    </row>
    <row r="3295">
      <c r="A3295" s="7">
        <f>IFERROR(Datos!A3295,"")</f>
        <v/>
      </c>
      <c r="B3295" s="27">
        <f>IFERROR(IF(ISNUMBER(Datos!B3295),Datos!B3295/$F$2*100,NA()),NA())</f>
        <v/>
      </c>
      <c r="C3295" s="27">
        <f>IFERROR(IF(ISNUMBER(Datos!C3295),Datos!C3295/$F$3*100,NA()),NA())</f>
        <v/>
      </c>
    </row>
    <row r="3296">
      <c r="A3296" s="7">
        <f>IFERROR(Datos!A3296,"")</f>
        <v/>
      </c>
      <c r="B3296" s="27">
        <f>IFERROR(IF(ISNUMBER(Datos!B3296),Datos!B3296/$F$2*100,NA()),NA())</f>
        <v/>
      </c>
      <c r="C3296" s="27">
        <f>IFERROR(IF(ISNUMBER(Datos!C3296),Datos!C3296/$F$3*100,NA()),NA())</f>
        <v/>
      </c>
    </row>
    <row r="3297">
      <c r="A3297" s="7">
        <f>IFERROR(Datos!A3297,"")</f>
        <v/>
      </c>
      <c r="B3297" s="27">
        <f>IFERROR(IF(ISNUMBER(Datos!B3297),Datos!B3297/$F$2*100,NA()),NA())</f>
        <v/>
      </c>
      <c r="C3297" s="27">
        <f>IFERROR(IF(ISNUMBER(Datos!C3297),Datos!C3297/$F$3*100,NA()),NA())</f>
        <v/>
      </c>
    </row>
    <row r="3298">
      <c r="A3298" s="7">
        <f>IFERROR(Datos!A3298,"")</f>
        <v/>
      </c>
      <c r="B3298" s="27">
        <f>IFERROR(IF(ISNUMBER(Datos!B3298),Datos!B3298/$F$2*100,NA()),NA())</f>
        <v/>
      </c>
      <c r="C3298" s="27">
        <f>IFERROR(IF(ISNUMBER(Datos!C3298),Datos!C3298/$F$3*100,NA()),NA())</f>
        <v/>
      </c>
    </row>
    <row r="3299">
      <c r="A3299" s="7">
        <f>IFERROR(Datos!A3299,"")</f>
        <v/>
      </c>
      <c r="B3299" s="27">
        <f>IFERROR(IF(ISNUMBER(Datos!B3299),Datos!B3299/$F$2*100,NA()),NA())</f>
        <v/>
      </c>
      <c r="C3299" s="27">
        <f>IFERROR(IF(ISNUMBER(Datos!C3299),Datos!C3299/$F$3*100,NA()),NA())</f>
        <v/>
      </c>
    </row>
    <row r="3300">
      <c r="A3300" s="7">
        <f>IFERROR(Datos!A3300,"")</f>
        <v/>
      </c>
      <c r="B3300" s="27">
        <f>IFERROR(IF(ISNUMBER(Datos!B3300),Datos!B3300/$F$2*100,NA()),NA())</f>
        <v/>
      </c>
      <c r="C3300" s="27">
        <f>IFERROR(IF(ISNUMBER(Datos!C3300),Datos!C3300/$F$3*100,NA()),NA())</f>
        <v/>
      </c>
    </row>
    <row r="3301">
      <c r="A3301" s="7">
        <f>IFERROR(Datos!A3301,"")</f>
        <v/>
      </c>
      <c r="B3301" s="27">
        <f>IFERROR(IF(ISNUMBER(Datos!B3301),Datos!B3301/$F$2*100,NA()),NA())</f>
        <v/>
      </c>
      <c r="C3301" s="27">
        <f>IFERROR(IF(ISNUMBER(Datos!C3301),Datos!C3301/$F$3*100,NA()),NA())</f>
        <v/>
      </c>
    </row>
    <row r="3302">
      <c r="A3302" s="7">
        <f>IFERROR(Datos!A3302,"")</f>
        <v/>
      </c>
      <c r="B3302" s="27">
        <f>IFERROR(IF(ISNUMBER(Datos!B3302),Datos!B3302/$F$2*100,NA()),NA())</f>
        <v/>
      </c>
      <c r="C3302" s="27">
        <f>IFERROR(IF(ISNUMBER(Datos!C3302),Datos!C3302/$F$3*100,NA()),NA())</f>
        <v/>
      </c>
    </row>
    <row r="3303">
      <c r="A3303" s="7">
        <f>IFERROR(Datos!A3303,"")</f>
        <v/>
      </c>
      <c r="B3303" s="27">
        <f>IFERROR(IF(ISNUMBER(Datos!B3303),Datos!B3303/$F$2*100,NA()),NA())</f>
        <v/>
      </c>
      <c r="C3303" s="27">
        <f>IFERROR(IF(ISNUMBER(Datos!C3303),Datos!C3303/$F$3*100,NA()),NA())</f>
        <v/>
      </c>
    </row>
    <row r="3304">
      <c r="A3304" s="7">
        <f>IFERROR(Datos!A3304,"")</f>
        <v/>
      </c>
      <c r="B3304" s="27">
        <f>IFERROR(IF(ISNUMBER(Datos!B3304),Datos!B3304/$F$2*100,NA()),NA())</f>
        <v/>
      </c>
      <c r="C3304" s="27">
        <f>IFERROR(IF(ISNUMBER(Datos!C3304),Datos!C3304/$F$3*100,NA()),NA())</f>
        <v/>
      </c>
    </row>
    <row r="3305">
      <c r="A3305" s="7">
        <f>IFERROR(Datos!A3305,"")</f>
        <v/>
      </c>
      <c r="B3305" s="27">
        <f>IFERROR(IF(ISNUMBER(Datos!B3305),Datos!B3305/$F$2*100,NA()),NA())</f>
        <v/>
      </c>
      <c r="C3305" s="27">
        <f>IFERROR(IF(ISNUMBER(Datos!C3305),Datos!C3305/$F$3*100,NA()),NA())</f>
        <v/>
      </c>
    </row>
    <row r="3306">
      <c r="A3306" s="7">
        <f>IFERROR(Datos!A3306,"")</f>
        <v/>
      </c>
      <c r="B3306" s="27">
        <f>IFERROR(IF(ISNUMBER(Datos!B3306),Datos!B3306/$F$2*100,NA()),NA())</f>
        <v/>
      </c>
      <c r="C3306" s="27">
        <f>IFERROR(IF(ISNUMBER(Datos!C3306),Datos!C3306/$F$3*100,NA()),NA())</f>
        <v/>
      </c>
    </row>
    <row r="3307">
      <c r="A3307" s="7">
        <f>IFERROR(Datos!A3307,"")</f>
        <v/>
      </c>
      <c r="B3307" s="27">
        <f>IFERROR(IF(ISNUMBER(Datos!B3307),Datos!B3307/$F$2*100,NA()),NA())</f>
        <v/>
      </c>
      <c r="C3307" s="27">
        <f>IFERROR(IF(ISNUMBER(Datos!C3307),Datos!C3307/$F$3*100,NA()),NA())</f>
        <v/>
      </c>
    </row>
    <row r="3308">
      <c r="A3308" s="7">
        <f>IFERROR(Datos!A3308,"")</f>
        <v/>
      </c>
      <c r="B3308" s="27">
        <f>IFERROR(IF(ISNUMBER(Datos!B3308),Datos!B3308/$F$2*100,NA()),NA())</f>
        <v/>
      </c>
      <c r="C3308" s="27">
        <f>IFERROR(IF(ISNUMBER(Datos!C3308),Datos!C3308/$F$3*100,NA()),NA())</f>
        <v/>
      </c>
    </row>
    <row r="3309">
      <c r="A3309" s="7">
        <f>IFERROR(Datos!A3309,"")</f>
        <v/>
      </c>
      <c r="B3309" s="27">
        <f>IFERROR(IF(ISNUMBER(Datos!B3309),Datos!B3309/$F$2*100,NA()),NA())</f>
        <v/>
      </c>
      <c r="C3309" s="27">
        <f>IFERROR(IF(ISNUMBER(Datos!C3309),Datos!C3309/$F$3*100,NA()),NA())</f>
        <v/>
      </c>
    </row>
    <row r="3310">
      <c r="A3310" s="7">
        <f>IFERROR(Datos!A3310,"")</f>
        <v/>
      </c>
      <c r="B3310" s="27">
        <f>IFERROR(IF(ISNUMBER(Datos!B3310),Datos!B3310/$F$2*100,NA()),NA())</f>
        <v/>
      </c>
      <c r="C3310" s="27">
        <f>IFERROR(IF(ISNUMBER(Datos!C3310),Datos!C3310/$F$3*100,NA()),NA())</f>
        <v/>
      </c>
    </row>
    <row r="3311">
      <c r="A3311" s="7">
        <f>IFERROR(Datos!A3311,"")</f>
        <v/>
      </c>
      <c r="B3311" s="27">
        <f>IFERROR(IF(ISNUMBER(Datos!B3311),Datos!B3311/$F$2*100,NA()),NA())</f>
        <v/>
      </c>
      <c r="C3311" s="27">
        <f>IFERROR(IF(ISNUMBER(Datos!C3311),Datos!C3311/$F$3*100,NA()),NA())</f>
        <v/>
      </c>
    </row>
    <row r="3312">
      <c r="A3312" s="7">
        <f>IFERROR(Datos!A3312,"")</f>
        <v/>
      </c>
      <c r="B3312" s="27">
        <f>IFERROR(IF(ISNUMBER(Datos!B3312),Datos!B3312/$F$2*100,NA()),NA())</f>
        <v/>
      </c>
      <c r="C3312" s="27">
        <f>IFERROR(IF(ISNUMBER(Datos!C3312),Datos!C3312/$F$3*100,NA()),NA())</f>
        <v/>
      </c>
    </row>
    <row r="3313">
      <c r="A3313" s="7">
        <f>IFERROR(Datos!A3313,"")</f>
        <v/>
      </c>
      <c r="B3313" s="27">
        <f>IFERROR(IF(ISNUMBER(Datos!B3313),Datos!B3313/$F$2*100,NA()),NA())</f>
        <v/>
      </c>
      <c r="C3313" s="27">
        <f>IFERROR(IF(ISNUMBER(Datos!C3313),Datos!C3313/$F$3*100,NA()),NA())</f>
        <v/>
      </c>
    </row>
    <row r="3314">
      <c r="A3314" s="7">
        <f>IFERROR(Datos!A3314,"")</f>
        <v/>
      </c>
      <c r="B3314" s="27">
        <f>IFERROR(IF(ISNUMBER(Datos!B3314),Datos!B3314/$F$2*100,NA()),NA())</f>
        <v/>
      </c>
      <c r="C3314" s="27">
        <f>IFERROR(IF(ISNUMBER(Datos!C3314),Datos!C3314/$F$3*100,NA()),NA())</f>
        <v/>
      </c>
    </row>
    <row r="3315">
      <c r="A3315" s="7">
        <f>IFERROR(Datos!A3315,"")</f>
        <v/>
      </c>
      <c r="B3315" s="27">
        <f>IFERROR(IF(ISNUMBER(Datos!B3315),Datos!B3315/$F$2*100,NA()),NA())</f>
        <v/>
      </c>
      <c r="C3315" s="27">
        <f>IFERROR(IF(ISNUMBER(Datos!C3315),Datos!C3315/$F$3*100,NA()),NA())</f>
        <v/>
      </c>
    </row>
    <row r="3316">
      <c r="A3316" s="7">
        <f>IFERROR(Datos!A3316,"")</f>
        <v/>
      </c>
      <c r="B3316" s="27">
        <f>IFERROR(IF(ISNUMBER(Datos!B3316),Datos!B3316/$F$2*100,NA()),NA())</f>
        <v/>
      </c>
      <c r="C3316" s="27">
        <f>IFERROR(IF(ISNUMBER(Datos!C3316),Datos!C3316/$F$3*100,NA()),NA())</f>
        <v/>
      </c>
    </row>
    <row r="3317">
      <c r="A3317" s="7">
        <f>IFERROR(Datos!A3317,"")</f>
        <v/>
      </c>
      <c r="B3317" s="27">
        <f>IFERROR(IF(ISNUMBER(Datos!B3317),Datos!B3317/$F$2*100,NA()),NA())</f>
        <v/>
      </c>
      <c r="C3317" s="27">
        <f>IFERROR(IF(ISNUMBER(Datos!C3317),Datos!C3317/$F$3*100,NA()),NA())</f>
        <v/>
      </c>
    </row>
    <row r="3318">
      <c r="A3318" s="7">
        <f>IFERROR(Datos!A3318,"")</f>
        <v/>
      </c>
      <c r="B3318" s="27">
        <f>IFERROR(IF(ISNUMBER(Datos!B3318),Datos!B3318/$F$2*100,NA()),NA())</f>
        <v/>
      </c>
      <c r="C3318" s="27">
        <f>IFERROR(IF(ISNUMBER(Datos!C3318),Datos!C3318/$F$3*100,NA()),NA())</f>
        <v/>
      </c>
    </row>
    <row r="3319">
      <c r="A3319" s="7">
        <f>IFERROR(Datos!A3319,"")</f>
        <v/>
      </c>
      <c r="B3319" s="27">
        <f>IFERROR(IF(ISNUMBER(Datos!B3319),Datos!B3319/$F$2*100,NA()),NA())</f>
        <v/>
      </c>
      <c r="C3319" s="27">
        <f>IFERROR(IF(ISNUMBER(Datos!C3319),Datos!C3319/$F$3*100,NA()),NA())</f>
        <v/>
      </c>
    </row>
    <row r="3320">
      <c r="A3320" s="7">
        <f>IFERROR(Datos!A3320,"")</f>
        <v/>
      </c>
      <c r="B3320" s="27">
        <f>IFERROR(IF(ISNUMBER(Datos!B3320),Datos!B3320/$F$2*100,NA()),NA())</f>
        <v/>
      </c>
      <c r="C3320" s="27">
        <f>IFERROR(IF(ISNUMBER(Datos!C3320),Datos!C3320/$F$3*100,NA()),NA())</f>
        <v/>
      </c>
    </row>
    <row r="3321">
      <c r="A3321" s="7">
        <f>IFERROR(Datos!A3321,"")</f>
        <v/>
      </c>
      <c r="B3321" s="27">
        <f>IFERROR(IF(ISNUMBER(Datos!B3321),Datos!B3321/$F$2*100,NA()),NA())</f>
        <v/>
      </c>
      <c r="C3321" s="27">
        <f>IFERROR(IF(ISNUMBER(Datos!C3321),Datos!C3321/$F$3*100,NA()),NA())</f>
        <v/>
      </c>
    </row>
    <row r="3322">
      <c r="A3322" s="7">
        <f>IFERROR(Datos!A3322,"")</f>
        <v/>
      </c>
      <c r="B3322" s="27">
        <f>IFERROR(IF(ISNUMBER(Datos!B3322),Datos!B3322/$F$2*100,NA()),NA())</f>
        <v/>
      </c>
      <c r="C3322" s="27">
        <f>IFERROR(IF(ISNUMBER(Datos!C3322),Datos!C3322/$F$3*100,NA()),NA())</f>
        <v/>
      </c>
    </row>
    <row r="3323">
      <c r="A3323" s="7">
        <f>IFERROR(Datos!A3323,"")</f>
        <v/>
      </c>
      <c r="B3323" s="27">
        <f>IFERROR(IF(ISNUMBER(Datos!B3323),Datos!B3323/$F$2*100,NA()),NA())</f>
        <v/>
      </c>
      <c r="C3323" s="27">
        <f>IFERROR(IF(ISNUMBER(Datos!C3323),Datos!C3323/$F$3*100,NA()),NA())</f>
        <v/>
      </c>
    </row>
    <row r="3324">
      <c r="A3324" s="7">
        <f>IFERROR(Datos!A3324,"")</f>
        <v/>
      </c>
      <c r="B3324" s="27">
        <f>IFERROR(IF(ISNUMBER(Datos!B3324),Datos!B3324/$F$2*100,NA()),NA())</f>
        <v/>
      </c>
      <c r="C3324" s="27">
        <f>IFERROR(IF(ISNUMBER(Datos!C3324),Datos!C3324/$F$3*100,NA()),NA())</f>
        <v/>
      </c>
    </row>
    <row r="3325">
      <c r="A3325" s="7">
        <f>IFERROR(Datos!A3325,"")</f>
        <v/>
      </c>
      <c r="B3325" s="27">
        <f>IFERROR(IF(ISNUMBER(Datos!B3325),Datos!B3325/$F$2*100,NA()),NA())</f>
        <v/>
      </c>
      <c r="C3325" s="27">
        <f>IFERROR(IF(ISNUMBER(Datos!C3325),Datos!C3325/$F$3*100,NA()),NA())</f>
        <v/>
      </c>
    </row>
    <row r="3326">
      <c r="A3326" s="7">
        <f>IFERROR(Datos!A3326,"")</f>
        <v/>
      </c>
      <c r="B3326" s="27">
        <f>IFERROR(IF(ISNUMBER(Datos!B3326),Datos!B3326/$F$2*100,NA()),NA())</f>
        <v/>
      </c>
      <c r="C3326" s="27">
        <f>IFERROR(IF(ISNUMBER(Datos!C3326),Datos!C3326/$F$3*100,NA()),NA())</f>
        <v/>
      </c>
    </row>
    <row r="3327">
      <c r="A3327" s="7">
        <f>IFERROR(Datos!A3327,"")</f>
        <v/>
      </c>
      <c r="B3327" s="27">
        <f>IFERROR(IF(ISNUMBER(Datos!B3327),Datos!B3327/$F$2*100,NA()),NA())</f>
        <v/>
      </c>
      <c r="C3327" s="27">
        <f>IFERROR(IF(ISNUMBER(Datos!C3327),Datos!C3327/$F$3*100,NA()),NA())</f>
        <v/>
      </c>
    </row>
    <row r="3328">
      <c r="A3328" s="7">
        <f>IFERROR(Datos!A3328,"")</f>
        <v/>
      </c>
      <c r="B3328" s="27">
        <f>IFERROR(IF(ISNUMBER(Datos!B3328),Datos!B3328/$F$2*100,NA()),NA())</f>
        <v/>
      </c>
      <c r="C3328" s="27">
        <f>IFERROR(IF(ISNUMBER(Datos!C3328),Datos!C3328/$F$3*100,NA()),NA())</f>
        <v/>
      </c>
    </row>
    <row r="3329">
      <c r="A3329" s="7">
        <f>IFERROR(Datos!A3329,"")</f>
        <v/>
      </c>
      <c r="B3329" s="27">
        <f>IFERROR(IF(ISNUMBER(Datos!B3329),Datos!B3329/$F$2*100,NA()),NA())</f>
        <v/>
      </c>
      <c r="C3329" s="27">
        <f>IFERROR(IF(ISNUMBER(Datos!C3329),Datos!C3329/$F$3*100,NA()),NA())</f>
        <v/>
      </c>
    </row>
    <row r="3330">
      <c r="A3330" s="7">
        <f>IFERROR(Datos!A3330,"")</f>
        <v/>
      </c>
      <c r="B3330" s="27">
        <f>IFERROR(IF(ISNUMBER(Datos!B3330),Datos!B3330/$F$2*100,NA()),NA())</f>
        <v/>
      </c>
      <c r="C3330" s="27">
        <f>IFERROR(IF(ISNUMBER(Datos!C3330),Datos!C3330/$F$3*100,NA()),NA())</f>
        <v/>
      </c>
    </row>
    <row r="3331">
      <c r="A3331" s="7">
        <f>IFERROR(Datos!A3331,"")</f>
        <v/>
      </c>
      <c r="B3331" s="27">
        <f>IFERROR(IF(ISNUMBER(Datos!B3331),Datos!B3331/$F$2*100,NA()),NA())</f>
        <v/>
      </c>
      <c r="C3331" s="27">
        <f>IFERROR(IF(ISNUMBER(Datos!C3331),Datos!C3331/$F$3*100,NA()),NA())</f>
        <v/>
      </c>
    </row>
    <row r="3332">
      <c r="A3332" s="7">
        <f>IFERROR(Datos!A3332,"")</f>
        <v/>
      </c>
      <c r="B3332" s="27">
        <f>IFERROR(IF(ISNUMBER(Datos!B3332),Datos!B3332/$F$2*100,NA()),NA())</f>
        <v/>
      </c>
      <c r="C3332" s="27">
        <f>IFERROR(IF(ISNUMBER(Datos!C3332),Datos!C3332/$F$3*100,NA()),NA())</f>
        <v/>
      </c>
    </row>
    <row r="3333">
      <c r="A3333" s="7">
        <f>IFERROR(Datos!A3333,"")</f>
        <v/>
      </c>
      <c r="B3333" s="27">
        <f>IFERROR(IF(ISNUMBER(Datos!B3333),Datos!B3333/$F$2*100,NA()),NA())</f>
        <v/>
      </c>
      <c r="C3333" s="27">
        <f>IFERROR(IF(ISNUMBER(Datos!C3333),Datos!C3333/$F$3*100,NA()),NA())</f>
        <v/>
      </c>
    </row>
    <row r="3334">
      <c r="A3334" s="7">
        <f>IFERROR(Datos!A3334,"")</f>
        <v/>
      </c>
      <c r="B3334" s="27">
        <f>IFERROR(IF(ISNUMBER(Datos!B3334),Datos!B3334/$F$2*100,NA()),NA())</f>
        <v/>
      </c>
      <c r="C3334" s="27">
        <f>IFERROR(IF(ISNUMBER(Datos!C3334),Datos!C3334/$F$3*100,NA()),NA())</f>
        <v/>
      </c>
    </row>
    <row r="3335">
      <c r="A3335" s="7">
        <f>IFERROR(Datos!A3335,"")</f>
        <v/>
      </c>
      <c r="B3335" s="27">
        <f>IFERROR(IF(ISNUMBER(Datos!B3335),Datos!B3335/$F$2*100,NA()),NA())</f>
        <v/>
      </c>
      <c r="C3335" s="27">
        <f>IFERROR(IF(ISNUMBER(Datos!C3335),Datos!C3335/$F$3*100,NA()),NA())</f>
        <v/>
      </c>
    </row>
    <row r="3336">
      <c r="A3336" s="7">
        <f>IFERROR(Datos!A3336,"")</f>
        <v/>
      </c>
      <c r="B3336" s="27">
        <f>IFERROR(IF(ISNUMBER(Datos!B3336),Datos!B3336/$F$2*100,NA()),NA())</f>
        <v/>
      </c>
      <c r="C3336" s="27">
        <f>IFERROR(IF(ISNUMBER(Datos!C3336),Datos!C3336/$F$3*100,NA()),NA())</f>
        <v/>
      </c>
    </row>
    <row r="3337">
      <c r="A3337" s="7">
        <f>IFERROR(Datos!A3337,"")</f>
        <v/>
      </c>
      <c r="B3337" s="27">
        <f>IFERROR(IF(ISNUMBER(Datos!B3337),Datos!B3337/$F$2*100,NA()),NA())</f>
        <v/>
      </c>
      <c r="C3337" s="27">
        <f>IFERROR(IF(ISNUMBER(Datos!C3337),Datos!C3337/$F$3*100,NA()),NA())</f>
        <v/>
      </c>
    </row>
    <row r="3338">
      <c r="A3338" s="7">
        <f>IFERROR(Datos!A3338,"")</f>
        <v/>
      </c>
      <c r="B3338" s="27">
        <f>IFERROR(IF(ISNUMBER(Datos!B3338),Datos!B3338/$F$2*100,NA()),NA())</f>
        <v/>
      </c>
      <c r="C3338" s="27">
        <f>IFERROR(IF(ISNUMBER(Datos!C3338),Datos!C3338/$F$3*100,NA()),NA())</f>
        <v/>
      </c>
    </row>
    <row r="3339">
      <c r="A3339" s="7">
        <f>IFERROR(Datos!A3339,"")</f>
        <v/>
      </c>
      <c r="B3339" s="27">
        <f>IFERROR(IF(ISNUMBER(Datos!B3339),Datos!B3339/$F$2*100,NA()),NA())</f>
        <v/>
      </c>
      <c r="C3339" s="27">
        <f>IFERROR(IF(ISNUMBER(Datos!C3339),Datos!C3339/$F$3*100,NA()),NA())</f>
        <v/>
      </c>
    </row>
    <row r="3340">
      <c r="A3340" s="7">
        <f>IFERROR(Datos!A3340,"")</f>
        <v/>
      </c>
      <c r="B3340" s="27">
        <f>IFERROR(IF(ISNUMBER(Datos!B3340),Datos!B3340/$F$2*100,NA()),NA())</f>
        <v/>
      </c>
      <c r="C3340" s="27">
        <f>IFERROR(IF(ISNUMBER(Datos!C3340),Datos!C3340/$F$3*100,NA()),NA())</f>
        <v/>
      </c>
    </row>
    <row r="3341">
      <c r="A3341" s="7">
        <f>IFERROR(Datos!A3341,"")</f>
        <v/>
      </c>
      <c r="B3341" s="27">
        <f>IFERROR(IF(ISNUMBER(Datos!B3341),Datos!B3341/$F$2*100,NA()),NA())</f>
        <v/>
      </c>
      <c r="C3341" s="27">
        <f>IFERROR(IF(ISNUMBER(Datos!C3341),Datos!C3341/$F$3*100,NA()),NA())</f>
        <v/>
      </c>
    </row>
    <row r="3342">
      <c r="A3342" s="7">
        <f>IFERROR(Datos!A3342,"")</f>
        <v/>
      </c>
      <c r="B3342" s="27">
        <f>IFERROR(IF(ISNUMBER(Datos!B3342),Datos!B3342/$F$2*100,NA()),NA())</f>
        <v/>
      </c>
      <c r="C3342" s="27">
        <f>IFERROR(IF(ISNUMBER(Datos!C3342),Datos!C3342/$F$3*100,NA()),NA())</f>
        <v/>
      </c>
    </row>
    <row r="3343">
      <c r="A3343" s="7">
        <f>IFERROR(Datos!A3343,"")</f>
        <v/>
      </c>
      <c r="B3343" s="27">
        <f>IFERROR(IF(ISNUMBER(Datos!B3343),Datos!B3343/$F$2*100,NA()),NA())</f>
        <v/>
      </c>
      <c r="C3343" s="27">
        <f>IFERROR(IF(ISNUMBER(Datos!C3343),Datos!C3343/$F$3*100,NA()),NA())</f>
        <v/>
      </c>
    </row>
    <row r="3344">
      <c r="A3344" s="7">
        <f>IFERROR(Datos!A3344,"")</f>
        <v/>
      </c>
      <c r="B3344" s="27">
        <f>IFERROR(IF(ISNUMBER(Datos!B3344),Datos!B3344/$F$2*100,NA()),NA())</f>
        <v/>
      </c>
      <c r="C3344" s="27">
        <f>IFERROR(IF(ISNUMBER(Datos!C3344),Datos!C3344/$F$3*100,NA()),NA())</f>
        <v/>
      </c>
    </row>
    <row r="3345">
      <c r="A3345" s="7">
        <f>IFERROR(Datos!A3345,"")</f>
        <v/>
      </c>
      <c r="B3345" s="27">
        <f>IFERROR(IF(ISNUMBER(Datos!B3345),Datos!B3345/$F$2*100,NA()),NA())</f>
        <v/>
      </c>
      <c r="C3345" s="27">
        <f>IFERROR(IF(ISNUMBER(Datos!C3345),Datos!C3345/$F$3*100,NA()),NA())</f>
        <v/>
      </c>
    </row>
    <row r="3346">
      <c r="A3346" s="7">
        <f>IFERROR(Datos!A3346,"")</f>
        <v/>
      </c>
      <c r="B3346" s="27">
        <f>IFERROR(IF(ISNUMBER(Datos!B3346),Datos!B3346/$F$2*100,NA()),NA())</f>
        <v/>
      </c>
      <c r="C3346" s="27">
        <f>IFERROR(IF(ISNUMBER(Datos!C3346),Datos!C3346/$F$3*100,NA()),NA())</f>
        <v/>
      </c>
    </row>
    <row r="3347">
      <c r="A3347" s="7">
        <f>IFERROR(Datos!A3347,"")</f>
        <v/>
      </c>
      <c r="B3347" s="27">
        <f>IFERROR(IF(ISNUMBER(Datos!B3347),Datos!B3347/$F$2*100,NA()),NA())</f>
        <v/>
      </c>
      <c r="C3347" s="27">
        <f>IFERROR(IF(ISNUMBER(Datos!C3347),Datos!C3347/$F$3*100,NA()),NA())</f>
        <v/>
      </c>
    </row>
    <row r="3348">
      <c r="A3348" s="7">
        <f>IFERROR(Datos!A3348,"")</f>
        <v/>
      </c>
      <c r="B3348" s="27">
        <f>IFERROR(IF(ISNUMBER(Datos!B3348),Datos!B3348/$F$2*100,NA()),NA())</f>
        <v/>
      </c>
      <c r="C3348" s="27">
        <f>IFERROR(IF(ISNUMBER(Datos!C3348),Datos!C3348/$F$3*100,NA()),NA())</f>
        <v/>
      </c>
    </row>
    <row r="3349">
      <c r="A3349" s="7">
        <f>IFERROR(Datos!A3349,"")</f>
        <v/>
      </c>
      <c r="B3349" s="27">
        <f>IFERROR(IF(ISNUMBER(Datos!B3349),Datos!B3349/$F$2*100,NA()),NA())</f>
        <v/>
      </c>
      <c r="C3349" s="27">
        <f>IFERROR(IF(ISNUMBER(Datos!C3349),Datos!C3349/$F$3*100,NA()),NA())</f>
        <v/>
      </c>
    </row>
    <row r="3350">
      <c r="A3350" s="7">
        <f>IFERROR(Datos!A3350,"")</f>
        <v/>
      </c>
      <c r="B3350" s="27">
        <f>IFERROR(IF(ISNUMBER(Datos!B3350),Datos!B3350/$F$2*100,NA()),NA())</f>
        <v/>
      </c>
      <c r="C3350" s="27">
        <f>IFERROR(IF(ISNUMBER(Datos!C3350),Datos!C3350/$F$3*100,NA()),NA())</f>
        <v/>
      </c>
    </row>
    <row r="3351">
      <c r="A3351" s="7">
        <f>IFERROR(Datos!A3351,"")</f>
        <v/>
      </c>
      <c r="B3351" s="27">
        <f>IFERROR(IF(ISNUMBER(Datos!B3351),Datos!B3351/$F$2*100,NA()),NA())</f>
        <v/>
      </c>
      <c r="C3351" s="27">
        <f>IFERROR(IF(ISNUMBER(Datos!C3351),Datos!C3351/$F$3*100,NA()),NA())</f>
        <v/>
      </c>
    </row>
    <row r="3352">
      <c r="A3352" s="7">
        <f>IFERROR(Datos!A3352,"")</f>
        <v/>
      </c>
      <c r="B3352" s="27">
        <f>IFERROR(IF(ISNUMBER(Datos!B3352),Datos!B3352/$F$2*100,NA()),NA())</f>
        <v/>
      </c>
      <c r="C3352" s="27">
        <f>IFERROR(IF(ISNUMBER(Datos!C3352),Datos!C3352/$F$3*100,NA()),NA())</f>
        <v/>
      </c>
    </row>
    <row r="3353">
      <c r="A3353" s="7">
        <f>IFERROR(Datos!A3353,"")</f>
        <v/>
      </c>
      <c r="B3353" s="27">
        <f>IFERROR(IF(ISNUMBER(Datos!B3353),Datos!B3353/$F$2*100,NA()),NA())</f>
        <v/>
      </c>
      <c r="C3353" s="27">
        <f>IFERROR(IF(ISNUMBER(Datos!C3353),Datos!C3353/$F$3*100,NA()),NA())</f>
        <v/>
      </c>
    </row>
    <row r="3354">
      <c r="A3354" s="7">
        <f>IFERROR(Datos!A3354,"")</f>
        <v/>
      </c>
      <c r="B3354" s="27">
        <f>IFERROR(IF(ISNUMBER(Datos!B3354),Datos!B3354/$F$2*100,NA()),NA())</f>
        <v/>
      </c>
      <c r="C3354" s="27">
        <f>IFERROR(IF(ISNUMBER(Datos!C3354),Datos!C3354/$F$3*100,NA()),NA())</f>
        <v/>
      </c>
    </row>
    <row r="3355">
      <c r="A3355" s="7">
        <f>IFERROR(Datos!A3355,"")</f>
        <v/>
      </c>
      <c r="B3355" s="27">
        <f>IFERROR(IF(ISNUMBER(Datos!B3355),Datos!B3355/$F$2*100,NA()),NA())</f>
        <v/>
      </c>
      <c r="C3355" s="27">
        <f>IFERROR(IF(ISNUMBER(Datos!C3355),Datos!C3355/$F$3*100,NA()),NA())</f>
        <v/>
      </c>
    </row>
    <row r="3356">
      <c r="A3356" s="7">
        <f>IFERROR(Datos!A3356,"")</f>
        <v/>
      </c>
      <c r="B3356" s="27">
        <f>IFERROR(IF(ISNUMBER(Datos!B3356),Datos!B3356/$F$2*100,NA()),NA())</f>
        <v/>
      </c>
      <c r="C3356" s="27">
        <f>IFERROR(IF(ISNUMBER(Datos!C3356),Datos!C3356/$F$3*100,NA()),NA())</f>
        <v/>
      </c>
    </row>
    <row r="3357">
      <c r="A3357" s="7">
        <f>IFERROR(Datos!A3357,"")</f>
        <v/>
      </c>
      <c r="B3357" s="27">
        <f>IFERROR(IF(ISNUMBER(Datos!B3357),Datos!B3357/$F$2*100,NA()),NA())</f>
        <v/>
      </c>
      <c r="C3357" s="27">
        <f>IFERROR(IF(ISNUMBER(Datos!C3357),Datos!C3357/$F$3*100,NA()),NA())</f>
        <v/>
      </c>
    </row>
    <row r="3358">
      <c r="A3358" s="7">
        <f>IFERROR(Datos!A3358,"")</f>
        <v/>
      </c>
      <c r="B3358" s="27">
        <f>IFERROR(IF(ISNUMBER(Datos!B3358),Datos!B3358/$F$2*100,NA()),NA())</f>
        <v/>
      </c>
      <c r="C3358" s="27">
        <f>IFERROR(IF(ISNUMBER(Datos!C3358),Datos!C3358/$F$3*100,NA()),NA())</f>
        <v/>
      </c>
    </row>
    <row r="3359">
      <c r="A3359" s="7">
        <f>IFERROR(Datos!A3359,"")</f>
        <v/>
      </c>
      <c r="B3359" s="27">
        <f>IFERROR(IF(ISNUMBER(Datos!B3359),Datos!B3359/$F$2*100,NA()),NA())</f>
        <v/>
      </c>
      <c r="C3359" s="27">
        <f>IFERROR(IF(ISNUMBER(Datos!C3359),Datos!C3359/$F$3*100,NA()),NA())</f>
        <v/>
      </c>
    </row>
    <row r="3360">
      <c r="A3360" s="7">
        <f>IFERROR(Datos!A3360,"")</f>
        <v/>
      </c>
      <c r="B3360" s="27">
        <f>IFERROR(IF(ISNUMBER(Datos!B3360),Datos!B3360/$F$2*100,NA()),NA())</f>
        <v/>
      </c>
      <c r="C3360" s="27">
        <f>IFERROR(IF(ISNUMBER(Datos!C3360),Datos!C3360/$F$3*100,NA()),NA())</f>
        <v/>
      </c>
    </row>
    <row r="3361">
      <c r="A3361" s="7">
        <f>IFERROR(Datos!A3361,"")</f>
        <v/>
      </c>
      <c r="B3361" s="27">
        <f>IFERROR(IF(ISNUMBER(Datos!B3361),Datos!B3361/$F$2*100,NA()),NA())</f>
        <v/>
      </c>
      <c r="C3361" s="27">
        <f>IFERROR(IF(ISNUMBER(Datos!C3361),Datos!C3361/$F$3*100,NA()),NA())</f>
        <v/>
      </c>
    </row>
    <row r="3362">
      <c r="A3362" s="7">
        <f>IFERROR(Datos!A3362,"")</f>
        <v/>
      </c>
      <c r="B3362" s="27">
        <f>IFERROR(IF(ISNUMBER(Datos!B3362),Datos!B3362/$F$2*100,NA()),NA())</f>
        <v/>
      </c>
      <c r="C3362" s="27">
        <f>IFERROR(IF(ISNUMBER(Datos!C3362),Datos!C3362/$F$3*100,NA()),NA())</f>
        <v/>
      </c>
    </row>
    <row r="3363">
      <c r="A3363" s="7">
        <f>IFERROR(Datos!A3363,"")</f>
        <v/>
      </c>
      <c r="B3363" s="27">
        <f>IFERROR(IF(ISNUMBER(Datos!B3363),Datos!B3363/$F$2*100,NA()),NA())</f>
        <v/>
      </c>
      <c r="C3363" s="27">
        <f>IFERROR(IF(ISNUMBER(Datos!C3363),Datos!C3363/$F$3*100,NA()),NA())</f>
        <v/>
      </c>
    </row>
    <row r="3364">
      <c r="A3364" s="7">
        <f>IFERROR(Datos!A3364,"")</f>
        <v/>
      </c>
      <c r="B3364" s="27">
        <f>IFERROR(IF(ISNUMBER(Datos!B3364),Datos!B3364/$F$2*100,NA()),NA())</f>
        <v/>
      </c>
      <c r="C3364" s="27">
        <f>IFERROR(IF(ISNUMBER(Datos!C3364),Datos!C3364/$F$3*100,NA()),NA())</f>
        <v/>
      </c>
    </row>
    <row r="3365">
      <c r="A3365" s="7">
        <f>IFERROR(Datos!A3365,"")</f>
        <v/>
      </c>
      <c r="B3365" s="27">
        <f>IFERROR(IF(ISNUMBER(Datos!B3365),Datos!B3365/$F$2*100,NA()),NA())</f>
        <v/>
      </c>
      <c r="C3365" s="27">
        <f>IFERROR(IF(ISNUMBER(Datos!C3365),Datos!C3365/$F$3*100,NA()),NA())</f>
        <v/>
      </c>
    </row>
    <row r="3366">
      <c r="A3366" s="7">
        <f>IFERROR(Datos!A3366,"")</f>
        <v/>
      </c>
      <c r="B3366" s="27">
        <f>IFERROR(IF(ISNUMBER(Datos!B3366),Datos!B3366/$F$2*100,NA()),NA())</f>
        <v/>
      </c>
      <c r="C3366" s="27">
        <f>IFERROR(IF(ISNUMBER(Datos!C3366),Datos!C3366/$F$3*100,NA()),NA())</f>
        <v/>
      </c>
    </row>
    <row r="3367">
      <c r="A3367" s="7">
        <f>IFERROR(Datos!A3367,"")</f>
        <v/>
      </c>
      <c r="B3367" s="27">
        <f>IFERROR(IF(ISNUMBER(Datos!B3367),Datos!B3367/$F$2*100,NA()),NA())</f>
        <v/>
      </c>
      <c r="C3367" s="27">
        <f>IFERROR(IF(ISNUMBER(Datos!C3367),Datos!C3367/$F$3*100,NA()),NA())</f>
        <v/>
      </c>
    </row>
    <row r="3368">
      <c r="A3368" s="7">
        <f>IFERROR(Datos!A3368,"")</f>
        <v/>
      </c>
      <c r="B3368" s="27">
        <f>IFERROR(IF(ISNUMBER(Datos!B3368),Datos!B3368/$F$2*100,NA()),NA())</f>
        <v/>
      </c>
      <c r="C3368" s="27">
        <f>IFERROR(IF(ISNUMBER(Datos!C3368),Datos!C3368/$F$3*100,NA()),NA())</f>
        <v/>
      </c>
    </row>
    <row r="3369">
      <c r="A3369" s="7">
        <f>IFERROR(Datos!A3369,"")</f>
        <v/>
      </c>
      <c r="B3369" s="27">
        <f>IFERROR(IF(ISNUMBER(Datos!B3369),Datos!B3369/$F$2*100,NA()),NA())</f>
        <v/>
      </c>
      <c r="C3369" s="27">
        <f>IFERROR(IF(ISNUMBER(Datos!C3369),Datos!C3369/$F$3*100,NA()),NA())</f>
        <v/>
      </c>
    </row>
    <row r="3370">
      <c r="A3370" s="7">
        <f>IFERROR(Datos!A3370,"")</f>
        <v/>
      </c>
      <c r="B3370" s="27">
        <f>IFERROR(IF(ISNUMBER(Datos!B3370),Datos!B3370/$F$2*100,NA()),NA())</f>
        <v/>
      </c>
      <c r="C3370" s="27">
        <f>IFERROR(IF(ISNUMBER(Datos!C3370),Datos!C3370/$F$3*100,NA()),NA())</f>
        <v/>
      </c>
    </row>
    <row r="3371">
      <c r="A3371" s="7">
        <f>IFERROR(Datos!A3371,"")</f>
        <v/>
      </c>
      <c r="B3371" s="27">
        <f>IFERROR(IF(ISNUMBER(Datos!B3371),Datos!B3371/$F$2*100,NA()),NA())</f>
        <v/>
      </c>
      <c r="C3371" s="27">
        <f>IFERROR(IF(ISNUMBER(Datos!C3371),Datos!C3371/$F$3*100,NA()),NA())</f>
        <v/>
      </c>
    </row>
    <row r="3372">
      <c r="A3372" s="7">
        <f>IFERROR(Datos!A3372,"")</f>
        <v/>
      </c>
      <c r="B3372" s="27">
        <f>IFERROR(IF(ISNUMBER(Datos!B3372),Datos!B3372/$F$2*100,NA()),NA())</f>
        <v/>
      </c>
      <c r="C3372" s="27">
        <f>IFERROR(IF(ISNUMBER(Datos!C3372),Datos!C3372/$F$3*100,NA()),NA())</f>
        <v/>
      </c>
    </row>
    <row r="3373">
      <c r="A3373" s="7">
        <f>IFERROR(Datos!A3373,"")</f>
        <v/>
      </c>
      <c r="B3373" s="27">
        <f>IFERROR(IF(ISNUMBER(Datos!B3373),Datos!B3373/$F$2*100,NA()),NA())</f>
        <v/>
      </c>
      <c r="C3373" s="27">
        <f>IFERROR(IF(ISNUMBER(Datos!C3373),Datos!C3373/$F$3*100,NA()),NA())</f>
        <v/>
      </c>
    </row>
    <row r="3374">
      <c r="A3374" s="7">
        <f>IFERROR(Datos!A3374,"")</f>
        <v/>
      </c>
      <c r="B3374" s="27">
        <f>IFERROR(IF(ISNUMBER(Datos!B3374),Datos!B3374/$F$2*100,NA()),NA())</f>
        <v/>
      </c>
      <c r="C3374" s="27">
        <f>IFERROR(IF(ISNUMBER(Datos!C3374),Datos!C3374/$F$3*100,NA()),NA())</f>
        <v/>
      </c>
    </row>
    <row r="3375">
      <c r="A3375" s="7">
        <f>IFERROR(Datos!A3375,"")</f>
        <v/>
      </c>
      <c r="B3375" s="27">
        <f>IFERROR(IF(ISNUMBER(Datos!B3375),Datos!B3375/$F$2*100,NA()),NA())</f>
        <v/>
      </c>
      <c r="C3375" s="27">
        <f>IFERROR(IF(ISNUMBER(Datos!C3375),Datos!C3375/$F$3*100,NA()),NA())</f>
        <v/>
      </c>
    </row>
    <row r="3376">
      <c r="A3376" s="7">
        <f>IFERROR(Datos!A3376,"")</f>
        <v/>
      </c>
      <c r="B3376" s="27">
        <f>IFERROR(IF(ISNUMBER(Datos!B3376),Datos!B3376/$F$2*100,NA()),NA())</f>
        <v/>
      </c>
      <c r="C3376" s="27">
        <f>IFERROR(IF(ISNUMBER(Datos!C3376),Datos!C3376/$F$3*100,NA()),NA())</f>
        <v/>
      </c>
    </row>
    <row r="3377">
      <c r="A3377" s="7">
        <f>IFERROR(Datos!A3377,"")</f>
        <v/>
      </c>
      <c r="B3377" s="27">
        <f>IFERROR(IF(ISNUMBER(Datos!B3377),Datos!B3377/$F$2*100,NA()),NA())</f>
        <v/>
      </c>
      <c r="C3377" s="27">
        <f>IFERROR(IF(ISNUMBER(Datos!C3377),Datos!C3377/$F$3*100,NA()),NA())</f>
        <v/>
      </c>
    </row>
    <row r="3378">
      <c r="A3378" s="7">
        <f>IFERROR(Datos!A3378,"")</f>
        <v/>
      </c>
      <c r="B3378" s="27">
        <f>IFERROR(IF(ISNUMBER(Datos!B3378),Datos!B3378/$F$2*100,NA()),NA())</f>
        <v/>
      </c>
      <c r="C3378" s="27">
        <f>IFERROR(IF(ISNUMBER(Datos!C3378),Datos!C3378/$F$3*100,NA()),NA())</f>
        <v/>
      </c>
    </row>
    <row r="3379">
      <c r="A3379" s="7">
        <f>IFERROR(Datos!A3379,"")</f>
        <v/>
      </c>
      <c r="B3379" s="27">
        <f>IFERROR(IF(ISNUMBER(Datos!B3379),Datos!B3379/$F$2*100,NA()),NA())</f>
        <v/>
      </c>
      <c r="C3379" s="27">
        <f>IFERROR(IF(ISNUMBER(Datos!C3379),Datos!C3379/$F$3*100,NA()),NA())</f>
        <v/>
      </c>
    </row>
    <row r="3380">
      <c r="A3380" s="7">
        <f>IFERROR(Datos!A3380,"")</f>
        <v/>
      </c>
      <c r="B3380" s="27">
        <f>IFERROR(IF(ISNUMBER(Datos!B3380),Datos!B3380/$F$2*100,NA()),NA())</f>
        <v/>
      </c>
      <c r="C3380" s="27">
        <f>IFERROR(IF(ISNUMBER(Datos!C3380),Datos!C3380/$F$3*100,NA()),NA())</f>
        <v/>
      </c>
    </row>
    <row r="3381">
      <c r="A3381" s="7">
        <f>IFERROR(Datos!A3381,"")</f>
        <v/>
      </c>
      <c r="B3381" s="27">
        <f>IFERROR(IF(ISNUMBER(Datos!B3381),Datos!B3381/$F$2*100,NA()),NA())</f>
        <v/>
      </c>
      <c r="C3381" s="27">
        <f>IFERROR(IF(ISNUMBER(Datos!C3381),Datos!C3381/$F$3*100,NA()),NA())</f>
        <v/>
      </c>
    </row>
    <row r="3382">
      <c r="A3382" s="7">
        <f>IFERROR(Datos!A3382,"")</f>
        <v/>
      </c>
      <c r="B3382" s="27">
        <f>IFERROR(IF(ISNUMBER(Datos!B3382),Datos!B3382/$F$2*100,NA()),NA())</f>
        <v/>
      </c>
      <c r="C3382" s="27">
        <f>IFERROR(IF(ISNUMBER(Datos!C3382),Datos!C3382/$F$3*100,NA()),NA())</f>
        <v/>
      </c>
    </row>
    <row r="3383">
      <c r="A3383" s="7">
        <f>IFERROR(Datos!A3383,"")</f>
        <v/>
      </c>
      <c r="B3383" s="27">
        <f>IFERROR(IF(ISNUMBER(Datos!B3383),Datos!B3383/$F$2*100,NA()),NA())</f>
        <v/>
      </c>
      <c r="C3383" s="27">
        <f>IFERROR(IF(ISNUMBER(Datos!C3383),Datos!C3383/$F$3*100,NA()),NA())</f>
        <v/>
      </c>
    </row>
    <row r="3384">
      <c r="A3384" s="7">
        <f>IFERROR(Datos!A3384,"")</f>
        <v/>
      </c>
      <c r="B3384" s="27">
        <f>IFERROR(IF(ISNUMBER(Datos!B3384),Datos!B3384/$F$2*100,NA()),NA())</f>
        <v/>
      </c>
      <c r="C3384" s="27">
        <f>IFERROR(IF(ISNUMBER(Datos!C3384),Datos!C3384/$F$3*100,NA()),NA())</f>
        <v/>
      </c>
    </row>
    <row r="3385">
      <c r="A3385" s="7">
        <f>IFERROR(Datos!A3385,"")</f>
        <v/>
      </c>
      <c r="B3385" s="27">
        <f>IFERROR(IF(ISNUMBER(Datos!B3385),Datos!B3385/$F$2*100,NA()),NA())</f>
        <v/>
      </c>
      <c r="C3385" s="27">
        <f>IFERROR(IF(ISNUMBER(Datos!C3385),Datos!C3385/$F$3*100,NA()),NA())</f>
        <v/>
      </c>
    </row>
    <row r="3386">
      <c r="A3386" s="7">
        <f>IFERROR(Datos!A3386,"")</f>
        <v/>
      </c>
      <c r="B3386" s="27">
        <f>IFERROR(IF(ISNUMBER(Datos!B3386),Datos!B3386/$F$2*100,NA()),NA())</f>
        <v/>
      </c>
      <c r="C3386" s="27">
        <f>IFERROR(IF(ISNUMBER(Datos!C3386),Datos!C3386/$F$3*100,NA()),NA())</f>
        <v/>
      </c>
    </row>
    <row r="3387">
      <c r="A3387" s="7">
        <f>IFERROR(Datos!A3387,"")</f>
        <v/>
      </c>
      <c r="B3387" s="27">
        <f>IFERROR(IF(ISNUMBER(Datos!B3387),Datos!B3387/$F$2*100,NA()),NA())</f>
        <v/>
      </c>
      <c r="C3387" s="27">
        <f>IFERROR(IF(ISNUMBER(Datos!C3387),Datos!C3387/$F$3*100,NA()),NA())</f>
        <v/>
      </c>
    </row>
    <row r="3388">
      <c r="A3388" s="7">
        <f>IFERROR(Datos!A3388,"")</f>
        <v/>
      </c>
      <c r="B3388" s="27">
        <f>IFERROR(IF(ISNUMBER(Datos!B3388),Datos!B3388/$F$2*100,NA()),NA())</f>
        <v/>
      </c>
      <c r="C3388" s="27">
        <f>IFERROR(IF(ISNUMBER(Datos!C3388),Datos!C3388/$F$3*100,NA()),NA())</f>
        <v/>
      </c>
    </row>
    <row r="3389">
      <c r="A3389" s="7">
        <f>IFERROR(Datos!A3389,"")</f>
        <v/>
      </c>
      <c r="B3389" s="27">
        <f>IFERROR(IF(ISNUMBER(Datos!B3389),Datos!B3389/$F$2*100,NA()),NA())</f>
        <v/>
      </c>
      <c r="C3389" s="27">
        <f>IFERROR(IF(ISNUMBER(Datos!C3389),Datos!C3389/$F$3*100,NA()),NA())</f>
        <v/>
      </c>
    </row>
    <row r="3390">
      <c r="A3390" s="7">
        <f>IFERROR(Datos!A3390,"")</f>
        <v/>
      </c>
      <c r="B3390" s="27">
        <f>IFERROR(IF(ISNUMBER(Datos!B3390),Datos!B3390/$F$2*100,NA()),NA())</f>
        <v/>
      </c>
      <c r="C3390" s="27">
        <f>IFERROR(IF(ISNUMBER(Datos!C3390),Datos!C3390/$F$3*100,NA()),NA())</f>
        <v/>
      </c>
    </row>
    <row r="3391">
      <c r="A3391" s="7">
        <f>IFERROR(Datos!A3391,"")</f>
        <v/>
      </c>
      <c r="B3391" s="27">
        <f>IFERROR(IF(ISNUMBER(Datos!B3391),Datos!B3391/$F$2*100,NA()),NA())</f>
        <v/>
      </c>
      <c r="C3391" s="27">
        <f>IFERROR(IF(ISNUMBER(Datos!C3391),Datos!C3391/$F$3*100,NA()),NA())</f>
        <v/>
      </c>
    </row>
    <row r="3392">
      <c r="A3392" s="7">
        <f>IFERROR(Datos!A3392,"")</f>
        <v/>
      </c>
      <c r="B3392" s="27">
        <f>IFERROR(IF(ISNUMBER(Datos!B3392),Datos!B3392/$F$2*100,NA()),NA())</f>
        <v/>
      </c>
      <c r="C3392" s="27">
        <f>IFERROR(IF(ISNUMBER(Datos!C3392),Datos!C3392/$F$3*100,NA()),NA())</f>
        <v/>
      </c>
    </row>
    <row r="3393">
      <c r="A3393" s="7">
        <f>IFERROR(Datos!A3393,"")</f>
        <v/>
      </c>
      <c r="B3393" s="27">
        <f>IFERROR(IF(ISNUMBER(Datos!B3393),Datos!B3393/$F$2*100,NA()),NA())</f>
        <v/>
      </c>
      <c r="C3393" s="27">
        <f>IFERROR(IF(ISNUMBER(Datos!C3393),Datos!C3393/$F$3*100,NA()),NA())</f>
        <v/>
      </c>
    </row>
    <row r="3394">
      <c r="A3394" s="7">
        <f>IFERROR(Datos!A3394,"")</f>
        <v/>
      </c>
      <c r="B3394" s="27">
        <f>IFERROR(IF(ISNUMBER(Datos!B3394),Datos!B3394/$F$2*100,NA()),NA())</f>
        <v/>
      </c>
      <c r="C3394" s="27">
        <f>IFERROR(IF(ISNUMBER(Datos!C3394),Datos!C3394/$F$3*100,NA()),NA())</f>
        <v/>
      </c>
    </row>
    <row r="3395">
      <c r="A3395" s="7">
        <f>IFERROR(Datos!A3395,"")</f>
        <v/>
      </c>
      <c r="B3395" s="27">
        <f>IFERROR(IF(ISNUMBER(Datos!B3395),Datos!B3395/$F$2*100,NA()),NA())</f>
        <v/>
      </c>
      <c r="C3395" s="27">
        <f>IFERROR(IF(ISNUMBER(Datos!C3395),Datos!C3395/$F$3*100,NA()),NA())</f>
        <v/>
      </c>
    </row>
    <row r="3396">
      <c r="A3396" s="7">
        <f>IFERROR(Datos!A3396,"")</f>
        <v/>
      </c>
      <c r="B3396" s="27">
        <f>IFERROR(IF(ISNUMBER(Datos!B3396),Datos!B3396/$F$2*100,NA()),NA())</f>
        <v/>
      </c>
      <c r="C3396" s="27">
        <f>IFERROR(IF(ISNUMBER(Datos!C3396),Datos!C3396/$F$3*100,NA()),NA())</f>
        <v/>
      </c>
    </row>
    <row r="3397">
      <c r="A3397" s="7">
        <f>IFERROR(Datos!A3397,"")</f>
        <v/>
      </c>
      <c r="B3397" s="27">
        <f>IFERROR(IF(ISNUMBER(Datos!B3397),Datos!B3397/$F$2*100,NA()),NA())</f>
        <v/>
      </c>
      <c r="C3397" s="27">
        <f>IFERROR(IF(ISNUMBER(Datos!C3397),Datos!C3397/$F$3*100,NA()),NA())</f>
        <v/>
      </c>
    </row>
    <row r="3398">
      <c r="A3398" s="7">
        <f>IFERROR(Datos!A3398,"")</f>
        <v/>
      </c>
      <c r="B3398" s="27">
        <f>IFERROR(IF(ISNUMBER(Datos!B3398),Datos!B3398/$F$2*100,NA()),NA())</f>
        <v/>
      </c>
      <c r="C3398" s="27">
        <f>IFERROR(IF(ISNUMBER(Datos!C3398),Datos!C3398/$F$3*100,NA()),NA())</f>
        <v/>
      </c>
    </row>
    <row r="3399">
      <c r="A3399" s="7">
        <f>IFERROR(Datos!A3399,"")</f>
        <v/>
      </c>
      <c r="B3399" s="27">
        <f>IFERROR(IF(ISNUMBER(Datos!B3399),Datos!B3399/$F$2*100,NA()),NA())</f>
        <v/>
      </c>
      <c r="C3399" s="27">
        <f>IFERROR(IF(ISNUMBER(Datos!C3399),Datos!C3399/$F$3*100,NA()),NA())</f>
        <v/>
      </c>
    </row>
    <row r="3400">
      <c r="A3400" s="7">
        <f>IFERROR(Datos!A3400,"")</f>
        <v/>
      </c>
      <c r="B3400" s="27">
        <f>IFERROR(IF(ISNUMBER(Datos!B3400),Datos!B3400/$F$2*100,NA()),NA())</f>
        <v/>
      </c>
      <c r="C3400" s="27">
        <f>IFERROR(IF(ISNUMBER(Datos!C3400),Datos!C3400/$F$3*100,NA()),NA())</f>
        <v/>
      </c>
    </row>
    <row r="3401">
      <c r="A3401" s="7">
        <f>IFERROR(Datos!A3401,"")</f>
        <v/>
      </c>
      <c r="B3401" s="27">
        <f>IFERROR(IF(ISNUMBER(Datos!B3401),Datos!B3401/$F$2*100,NA()),NA())</f>
        <v/>
      </c>
      <c r="C3401" s="27">
        <f>IFERROR(IF(ISNUMBER(Datos!C3401),Datos!C3401/$F$3*100,NA()),NA())</f>
        <v/>
      </c>
    </row>
    <row r="3402">
      <c r="A3402" s="7">
        <f>IFERROR(Datos!A3402,"")</f>
        <v/>
      </c>
      <c r="B3402" s="27">
        <f>IFERROR(IF(ISNUMBER(Datos!B3402),Datos!B3402/$F$2*100,NA()),NA())</f>
        <v/>
      </c>
      <c r="C3402" s="27">
        <f>IFERROR(IF(ISNUMBER(Datos!C3402),Datos!C3402/$F$3*100,NA()),NA())</f>
        <v/>
      </c>
    </row>
    <row r="3403">
      <c r="A3403" s="7">
        <f>IFERROR(Datos!A3403,"")</f>
        <v/>
      </c>
      <c r="B3403" s="27">
        <f>IFERROR(IF(ISNUMBER(Datos!B3403),Datos!B3403/$F$2*100,NA()),NA())</f>
        <v/>
      </c>
      <c r="C3403" s="27">
        <f>IFERROR(IF(ISNUMBER(Datos!C3403),Datos!C3403/$F$3*100,NA()),NA())</f>
        <v/>
      </c>
    </row>
    <row r="3404">
      <c r="A3404" s="7">
        <f>IFERROR(Datos!A3404,"")</f>
        <v/>
      </c>
      <c r="B3404" s="27">
        <f>IFERROR(IF(ISNUMBER(Datos!B3404),Datos!B3404/$F$2*100,NA()),NA())</f>
        <v/>
      </c>
      <c r="C3404" s="27">
        <f>IFERROR(IF(ISNUMBER(Datos!C3404),Datos!C3404/$F$3*100,NA()),NA())</f>
        <v/>
      </c>
    </row>
    <row r="3405">
      <c r="A3405" s="7">
        <f>IFERROR(Datos!A3405,"")</f>
        <v/>
      </c>
      <c r="B3405" s="27">
        <f>IFERROR(IF(ISNUMBER(Datos!B3405),Datos!B3405/$F$2*100,NA()),NA())</f>
        <v/>
      </c>
      <c r="C3405" s="27">
        <f>IFERROR(IF(ISNUMBER(Datos!C3405),Datos!C3405/$F$3*100,NA()),NA())</f>
        <v/>
      </c>
    </row>
    <row r="3406">
      <c r="A3406" s="7">
        <f>IFERROR(Datos!A3406,"")</f>
        <v/>
      </c>
      <c r="B3406" s="27">
        <f>IFERROR(IF(ISNUMBER(Datos!B3406),Datos!B3406/$F$2*100,NA()),NA())</f>
        <v/>
      </c>
      <c r="C3406" s="27">
        <f>IFERROR(IF(ISNUMBER(Datos!C3406),Datos!C3406/$F$3*100,NA()),NA())</f>
        <v/>
      </c>
    </row>
    <row r="3407">
      <c r="A3407" s="7">
        <f>IFERROR(Datos!A3407,"")</f>
        <v/>
      </c>
      <c r="B3407" s="27">
        <f>IFERROR(IF(ISNUMBER(Datos!B3407),Datos!B3407/$F$2*100,NA()),NA())</f>
        <v/>
      </c>
      <c r="C3407" s="27">
        <f>IFERROR(IF(ISNUMBER(Datos!C3407),Datos!C3407/$F$3*100,NA()),NA())</f>
        <v/>
      </c>
    </row>
    <row r="3408">
      <c r="A3408" s="7">
        <f>IFERROR(Datos!A3408,"")</f>
        <v/>
      </c>
      <c r="B3408" s="27">
        <f>IFERROR(IF(ISNUMBER(Datos!B3408),Datos!B3408/$F$2*100,NA()),NA())</f>
        <v/>
      </c>
      <c r="C3408" s="27">
        <f>IFERROR(IF(ISNUMBER(Datos!C3408),Datos!C3408/$F$3*100,NA()),NA())</f>
        <v/>
      </c>
    </row>
    <row r="3409">
      <c r="A3409" s="7">
        <f>IFERROR(Datos!A3409,"")</f>
        <v/>
      </c>
      <c r="B3409" s="27">
        <f>IFERROR(IF(ISNUMBER(Datos!B3409),Datos!B3409/$F$2*100,NA()),NA())</f>
        <v/>
      </c>
      <c r="C3409" s="27">
        <f>IFERROR(IF(ISNUMBER(Datos!C3409),Datos!C3409/$F$3*100,NA()),NA())</f>
        <v/>
      </c>
    </row>
    <row r="3410">
      <c r="A3410" s="7">
        <f>IFERROR(Datos!A3410,"")</f>
        <v/>
      </c>
      <c r="B3410" s="27">
        <f>IFERROR(IF(ISNUMBER(Datos!B3410),Datos!B3410/$F$2*100,NA()),NA())</f>
        <v/>
      </c>
      <c r="C3410" s="27">
        <f>IFERROR(IF(ISNUMBER(Datos!C3410),Datos!C3410/$F$3*100,NA()),NA())</f>
        <v/>
      </c>
    </row>
    <row r="3411">
      <c r="A3411" s="7">
        <f>IFERROR(Datos!A3411,"")</f>
        <v/>
      </c>
      <c r="B3411" s="27">
        <f>IFERROR(IF(ISNUMBER(Datos!B3411),Datos!B3411/$F$2*100,NA()),NA())</f>
        <v/>
      </c>
      <c r="C3411" s="27">
        <f>IFERROR(IF(ISNUMBER(Datos!C3411),Datos!C3411/$F$3*100,NA()),NA())</f>
        <v/>
      </c>
    </row>
    <row r="3412">
      <c r="A3412" s="7">
        <f>IFERROR(Datos!A3412,"")</f>
        <v/>
      </c>
      <c r="B3412" s="27">
        <f>IFERROR(IF(ISNUMBER(Datos!B3412),Datos!B3412/$F$2*100,NA()),NA())</f>
        <v/>
      </c>
      <c r="C3412" s="27">
        <f>IFERROR(IF(ISNUMBER(Datos!C3412),Datos!C3412/$F$3*100,NA()),NA())</f>
        <v/>
      </c>
    </row>
    <row r="3413">
      <c r="A3413" s="7">
        <f>IFERROR(Datos!A3413,"")</f>
        <v/>
      </c>
      <c r="B3413" s="27">
        <f>IFERROR(IF(ISNUMBER(Datos!B3413),Datos!B3413/$F$2*100,NA()),NA())</f>
        <v/>
      </c>
      <c r="C3413" s="27">
        <f>IFERROR(IF(ISNUMBER(Datos!C3413),Datos!C3413/$F$3*100,NA()),NA())</f>
        <v/>
      </c>
    </row>
    <row r="3414">
      <c r="A3414" s="7">
        <f>IFERROR(Datos!A3414,"")</f>
        <v/>
      </c>
      <c r="B3414" s="27">
        <f>IFERROR(IF(ISNUMBER(Datos!B3414),Datos!B3414/$F$2*100,NA()),NA())</f>
        <v/>
      </c>
      <c r="C3414" s="27">
        <f>IFERROR(IF(ISNUMBER(Datos!C3414),Datos!C3414/$F$3*100,NA()),NA())</f>
        <v/>
      </c>
    </row>
    <row r="3415">
      <c r="A3415" s="7">
        <f>IFERROR(Datos!A3415,"")</f>
        <v/>
      </c>
      <c r="B3415" s="27">
        <f>IFERROR(IF(ISNUMBER(Datos!B3415),Datos!B3415/$F$2*100,NA()),NA())</f>
        <v/>
      </c>
      <c r="C3415" s="27">
        <f>IFERROR(IF(ISNUMBER(Datos!C3415),Datos!C3415/$F$3*100,NA()),NA())</f>
        <v/>
      </c>
    </row>
    <row r="3416">
      <c r="A3416" s="7">
        <f>IFERROR(Datos!A3416,"")</f>
        <v/>
      </c>
      <c r="B3416" s="27">
        <f>IFERROR(IF(ISNUMBER(Datos!B3416),Datos!B3416/$F$2*100,NA()),NA())</f>
        <v/>
      </c>
      <c r="C3416" s="27">
        <f>IFERROR(IF(ISNUMBER(Datos!C3416),Datos!C3416/$F$3*100,NA()),NA())</f>
        <v/>
      </c>
    </row>
    <row r="3417">
      <c r="A3417" s="7">
        <f>IFERROR(Datos!A3417,"")</f>
        <v/>
      </c>
      <c r="B3417" s="27">
        <f>IFERROR(IF(ISNUMBER(Datos!B3417),Datos!B3417/$F$2*100,NA()),NA())</f>
        <v/>
      </c>
      <c r="C3417" s="27">
        <f>IFERROR(IF(ISNUMBER(Datos!C3417),Datos!C3417/$F$3*100,NA()),NA())</f>
        <v/>
      </c>
    </row>
    <row r="3418">
      <c r="A3418" s="7">
        <f>IFERROR(Datos!A3418,"")</f>
        <v/>
      </c>
      <c r="B3418" s="27">
        <f>IFERROR(IF(ISNUMBER(Datos!B3418),Datos!B3418/$F$2*100,NA()),NA())</f>
        <v/>
      </c>
      <c r="C3418" s="27">
        <f>IFERROR(IF(ISNUMBER(Datos!C3418),Datos!C3418/$F$3*100,NA()),NA())</f>
        <v/>
      </c>
    </row>
    <row r="3419">
      <c r="A3419" s="7">
        <f>IFERROR(Datos!A3419,"")</f>
        <v/>
      </c>
      <c r="B3419" s="27">
        <f>IFERROR(IF(ISNUMBER(Datos!B3419),Datos!B3419/$F$2*100,NA()),NA())</f>
        <v/>
      </c>
      <c r="C3419" s="27">
        <f>IFERROR(IF(ISNUMBER(Datos!C3419),Datos!C3419/$F$3*100,NA()),NA())</f>
        <v/>
      </c>
    </row>
    <row r="3420">
      <c r="A3420" s="7">
        <f>IFERROR(Datos!A3420,"")</f>
        <v/>
      </c>
      <c r="B3420" s="27">
        <f>IFERROR(IF(ISNUMBER(Datos!B3420),Datos!B3420/$F$2*100,NA()),NA())</f>
        <v/>
      </c>
      <c r="C3420" s="27">
        <f>IFERROR(IF(ISNUMBER(Datos!C3420),Datos!C3420/$F$3*100,NA()),NA())</f>
        <v/>
      </c>
    </row>
    <row r="3421">
      <c r="A3421" s="7">
        <f>IFERROR(Datos!A3421,"")</f>
        <v/>
      </c>
      <c r="B3421" s="27">
        <f>IFERROR(IF(ISNUMBER(Datos!B3421),Datos!B3421/$F$2*100,NA()),NA())</f>
        <v/>
      </c>
      <c r="C3421" s="27">
        <f>IFERROR(IF(ISNUMBER(Datos!C3421),Datos!C3421/$F$3*100,NA()),NA())</f>
        <v/>
      </c>
    </row>
    <row r="3422">
      <c r="A3422" s="7">
        <f>IFERROR(Datos!A3422,"")</f>
        <v/>
      </c>
      <c r="B3422" s="27">
        <f>IFERROR(IF(ISNUMBER(Datos!B3422),Datos!B3422/$F$2*100,NA()),NA())</f>
        <v/>
      </c>
      <c r="C3422" s="27">
        <f>IFERROR(IF(ISNUMBER(Datos!C3422),Datos!C3422/$F$3*100,NA()),NA())</f>
        <v/>
      </c>
    </row>
    <row r="3423">
      <c r="A3423" s="7">
        <f>IFERROR(Datos!A3423,"")</f>
        <v/>
      </c>
      <c r="B3423" s="27">
        <f>IFERROR(IF(ISNUMBER(Datos!B3423),Datos!B3423/$F$2*100,NA()),NA())</f>
        <v/>
      </c>
      <c r="C3423" s="27">
        <f>IFERROR(IF(ISNUMBER(Datos!C3423),Datos!C3423/$F$3*100,NA()),NA())</f>
        <v/>
      </c>
    </row>
    <row r="3424">
      <c r="A3424" s="7">
        <f>IFERROR(Datos!A3424,"")</f>
        <v/>
      </c>
      <c r="B3424" s="27">
        <f>IFERROR(IF(ISNUMBER(Datos!B3424),Datos!B3424/$F$2*100,NA()),NA())</f>
        <v/>
      </c>
      <c r="C3424" s="27">
        <f>IFERROR(IF(ISNUMBER(Datos!C3424),Datos!C3424/$F$3*100,NA()),NA())</f>
        <v/>
      </c>
    </row>
    <row r="3425">
      <c r="A3425" s="7">
        <f>IFERROR(Datos!A3425,"")</f>
        <v/>
      </c>
      <c r="B3425" s="27">
        <f>IFERROR(IF(ISNUMBER(Datos!B3425),Datos!B3425/$F$2*100,NA()),NA())</f>
        <v/>
      </c>
      <c r="C3425" s="27">
        <f>IFERROR(IF(ISNUMBER(Datos!C3425),Datos!C3425/$F$3*100,NA()),NA())</f>
        <v/>
      </c>
    </row>
    <row r="3426">
      <c r="A3426" s="7">
        <f>IFERROR(Datos!A3426,"")</f>
        <v/>
      </c>
      <c r="B3426" s="27">
        <f>IFERROR(IF(ISNUMBER(Datos!B3426),Datos!B3426/$F$2*100,NA()),NA())</f>
        <v/>
      </c>
      <c r="C3426" s="27">
        <f>IFERROR(IF(ISNUMBER(Datos!C3426),Datos!C3426/$F$3*100,NA()),NA())</f>
        <v/>
      </c>
    </row>
    <row r="3427">
      <c r="A3427" s="7">
        <f>IFERROR(Datos!A3427,"")</f>
        <v/>
      </c>
      <c r="B3427" s="27">
        <f>IFERROR(IF(ISNUMBER(Datos!B3427),Datos!B3427/$F$2*100,NA()),NA())</f>
        <v/>
      </c>
      <c r="C3427" s="27">
        <f>IFERROR(IF(ISNUMBER(Datos!C3427),Datos!C3427/$F$3*100,NA()),NA())</f>
        <v/>
      </c>
    </row>
    <row r="3428">
      <c r="A3428" s="7">
        <f>IFERROR(Datos!A3428,"")</f>
        <v/>
      </c>
      <c r="B3428" s="27">
        <f>IFERROR(IF(ISNUMBER(Datos!B3428),Datos!B3428/$F$2*100,NA()),NA())</f>
        <v/>
      </c>
      <c r="C3428" s="27">
        <f>IFERROR(IF(ISNUMBER(Datos!C3428),Datos!C3428/$F$3*100,NA()),NA())</f>
        <v/>
      </c>
    </row>
    <row r="3429">
      <c r="A3429" s="7">
        <f>IFERROR(Datos!A3429,"")</f>
        <v/>
      </c>
      <c r="B3429" s="27">
        <f>IFERROR(IF(ISNUMBER(Datos!B3429),Datos!B3429/$F$2*100,NA()),NA())</f>
        <v/>
      </c>
      <c r="C3429" s="27">
        <f>IFERROR(IF(ISNUMBER(Datos!C3429),Datos!C3429/$F$3*100,NA()),NA())</f>
        <v/>
      </c>
    </row>
    <row r="3430">
      <c r="A3430" s="7">
        <f>IFERROR(Datos!A3430,"")</f>
        <v/>
      </c>
      <c r="B3430" s="27">
        <f>IFERROR(IF(ISNUMBER(Datos!B3430),Datos!B3430/$F$2*100,NA()),NA())</f>
        <v/>
      </c>
      <c r="C3430" s="27">
        <f>IFERROR(IF(ISNUMBER(Datos!C3430),Datos!C3430/$F$3*100,NA()),NA())</f>
        <v/>
      </c>
    </row>
    <row r="3431">
      <c r="A3431" s="7">
        <f>IFERROR(Datos!A3431,"")</f>
        <v/>
      </c>
      <c r="B3431" s="27">
        <f>IFERROR(IF(ISNUMBER(Datos!B3431),Datos!B3431/$F$2*100,NA()),NA())</f>
        <v/>
      </c>
      <c r="C3431" s="27">
        <f>IFERROR(IF(ISNUMBER(Datos!C3431),Datos!C3431/$F$3*100,NA()),NA())</f>
        <v/>
      </c>
    </row>
    <row r="3432">
      <c r="A3432" s="7">
        <f>IFERROR(Datos!A3432,"")</f>
        <v/>
      </c>
      <c r="B3432" s="27">
        <f>IFERROR(IF(ISNUMBER(Datos!B3432),Datos!B3432/$F$2*100,NA()),NA())</f>
        <v/>
      </c>
      <c r="C3432" s="27">
        <f>IFERROR(IF(ISNUMBER(Datos!C3432),Datos!C3432/$F$3*100,NA()),NA())</f>
        <v/>
      </c>
    </row>
    <row r="3433">
      <c r="A3433" s="7">
        <f>IFERROR(Datos!A3433,"")</f>
        <v/>
      </c>
      <c r="B3433" s="27">
        <f>IFERROR(IF(ISNUMBER(Datos!B3433),Datos!B3433/$F$2*100,NA()),NA())</f>
        <v/>
      </c>
      <c r="C3433" s="27">
        <f>IFERROR(IF(ISNUMBER(Datos!C3433),Datos!C3433/$F$3*100,NA()),NA())</f>
        <v/>
      </c>
    </row>
    <row r="3434">
      <c r="A3434" s="7">
        <f>IFERROR(Datos!A3434,"")</f>
        <v/>
      </c>
      <c r="B3434" s="27">
        <f>IFERROR(IF(ISNUMBER(Datos!B3434),Datos!B3434/$F$2*100,NA()),NA())</f>
        <v/>
      </c>
      <c r="C3434" s="27">
        <f>IFERROR(IF(ISNUMBER(Datos!C3434),Datos!C3434/$F$3*100,NA()),NA())</f>
        <v/>
      </c>
    </row>
    <row r="3435">
      <c r="A3435" s="7">
        <f>IFERROR(Datos!A3435,"")</f>
        <v/>
      </c>
      <c r="B3435" s="27">
        <f>IFERROR(IF(ISNUMBER(Datos!B3435),Datos!B3435/$F$2*100,NA()),NA())</f>
        <v/>
      </c>
      <c r="C3435" s="27">
        <f>IFERROR(IF(ISNUMBER(Datos!C3435),Datos!C3435/$F$3*100,NA()),NA())</f>
        <v/>
      </c>
    </row>
    <row r="3436">
      <c r="A3436" s="7">
        <f>IFERROR(Datos!A3436,"")</f>
        <v/>
      </c>
      <c r="B3436" s="27">
        <f>IFERROR(IF(ISNUMBER(Datos!B3436),Datos!B3436/$F$2*100,NA()),NA())</f>
        <v/>
      </c>
      <c r="C3436" s="27">
        <f>IFERROR(IF(ISNUMBER(Datos!C3436),Datos!C3436/$F$3*100,NA()),NA())</f>
        <v/>
      </c>
    </row>
    <row r="3437">
      <c r="A3437" s="7">
        <f>IFERROR(Datos!A3437,"")</f>
        <v/>
      </c>
      <c r="B3437" s="27">
        <f>IFERROR(IF(ISNUMBER(Datos!B3437),Datos!B3437/$F$2*100,NA()),NA())</f>
        <v/>
      </c>
      <c r="C3437" s="27">
        <f>IFERROR(IF(ISNUMBER(Datos!C3437),Datos!C3437/$F$3*100,NA()),NA())</f>
        <v/>
      </c>
    </row>
    <row r="3438">
      <c r="A3438" s="7">
        <f>IFERROR(Datos!A3438,"")</f>
        <v/>
      </c>
      <c r="B3438" s="27">
        <f>IFERROR(IF(ISNUMBER(Datos!B3438),Datos!B3438/$F$2*100,NA()),NA())</f>
        <v/>
      </c>
      <c r="C3438" s="27">
        <f>IFERROR(IF(ISNUMBER(Datos!C3438),Datos!C3438/$F$3*100,NA()),NA())</f>
        <v/>
      </c>
    </row>
    <row r="3439">
      <c r="A3439" s="7">
        <f>IFERROR(Datos!A3439,"")</f>
        <v/>
      </c>
      <c r="B3439" s="27">
        <f>IFERROR(IF(ISNUMBER(Datos!B3439),Datos!B3439/$F$2*100,NA()),NA())</f>
        <v/>
      </c>
      <c r="C3439" s="27">
        <f>IFERROR(IF(ISNUMBER(Datos!C3439),Datos!C3439/$F$3*100,NA()),NA())</f>
        <v/>
      </c>
    </row>
    <row r="3440">
      <c r="A3440" s="7">
        <f>IFERROR(Datos!A3440,"")</f>
        <v/>
      </c>
      <c r="B3440" s="27">
        <f>IFERROR(IF(ISNUMBER(Datos!B3440),Datos!B3440/$F$2*100,NA()),NA())</f>
        <v/>
      </c>
      <c r="C3440" s="27">
        <f>IFERROR(IF(ISNUMBER(Datos!C3440),Datos!C3440/$F$3*100,NA()),NA())</f>
        <v/>
      </c>
    </row>
    <row r="3441">
      <c r="A3441" s="7">
        <f>IFERROR(Datos!A3441,"")</f>
        <v/>
      </c>
      <c r="B3441" s="27">
        <f>IFERROR(IF(ISNUMBER(Datos!B3441),Datos!B3441/$F$2*100,NA()),NA())</f>
        <v/>
      </c>
      <c r="C3441" s="27">
        <f>IFERROR(IF(ISNUMBER(Datos!C3441),Datos!C3441/$F$3*100,NA()),NA())</f>
        <v/>
      </c>
    </row>
    <row r="3442">
      <c r="A3442" s="7">
        <f>IFERROR(Datos!A3442,"")</f>
        <v/>
      </c>
      <c r="B3442" s="27">
        <f>IFERROR(IF(ISNUMBER(Datos!B3442),Datos!B3442/$F$2*100,NA()),NA())</f>
        <v/>
      </c>
      <c r="C3442" s="27">
        <f>IFERROR(IF(ISNUMBER(Datos!C3442),Datos!C3442/$F$3*100,NA()),NA())</f>
        <v/>
      </c>
    </row>
    <row r="3443">
      <c r="A3443" s="7">
        <f>IFERROR(Datos!A3443,"")</f>
        <v/>
      </c>
      <c r="B3443" s="27">
        <f>IFERROR(IF(ISNUMBER(Datos!B3443),Datos!B3443/$F$2*100,NA()),NA())</f>
        <v/>
      </c>
      <c r="C3443" s="27">
        <f>IFERROR(IF(ISNUMBER(Datos!C3443),Datos!C3443/$F$3*100,NA()),NA())</f>
        <v/>
      </c>
    </row>
    <row r="3444">
      <c r="A3444" s="7">
        <f>IFERROR(Datos!A3444,"")</f>
        <v/>
      </c>
      <c r="B3444" s="27">
        <f>IFERROR(IF(ISNUMBER(Datos!B3444),Datos!B3444/$F$2*100,NA()),NA())</f>
        <v/>
      </c>
      <c r="C3444" s="27">
        <f>IFERROR(IF(ISNUMBER(Datos!C3444),Datos!C3444/$F$3*100,NA()),NA())</f>
        <v/>
      </c>
    </row>
    <row r="3445">
      <c r="A3445" s="7">
        <f>IFERROR(Datos!A3445,"")</f>
        <v/>
      </c>
      <c r="B3445" s="27">
        <f>IFERROR(IF(ISNUMBER(Datos!B3445),Datos!B3445/$F$2*100,NA()),NA())</f>
        <v/>
      </c>
      <c r="C3445" s="27">
        <f>IFERROR(IF(ISNUMBER(Datos!C3445),Datos!C3445/$F$3*100,NA()),NA())</f>
        <v/>
      </c>
    </row>
    <row r="3446">
      <c r="A3446" s="7">
        <f>IFERROR(Datos!A3446,"")</f>
        <v/>
      </c>
      <c r="B3446" s="27">
        <f>IFERROR(IF(ISNUMBER(Datos!B3446),Datos!B3446/$F$2*100,NA()),NA())</f>
        <v/>
      </c>
      <c r="C3446" s="27">
        <f>IFERROR(IF(ISNUMBER(Datos!C3446),Datos!C3446/$F$3*100,NA()),NA())</f>
        <v/>
      </c>
    </row>
    <row r="3447">
      <c r="A3447" s="7">
        <f>IFERROR(Datos!A3447,"")</f>
        <v/>
      </c>
      <c r="B3447" s="27">
        <f>IFERROR(IF(ISNUMBER(Datos!B3447),Datos!B3447/$F$2*100,NA()),NA())</f>
        <v/>
      </c>
      <c r="C3447" s="27">
        <f>IFERROR(IF(ISNUMBER(Datos!C3447),Datos!C3447/$F$3*100,NA()),NA())</f>
        <v/>
      </c>
    </row>
    <row r="3448">
      <c r="A3448" s="7">
        <f>IFERROR(Datos!A3448,"")</f>
        <v/>
      </c>
      <c r="B3448" s="27">
        <f>IFERROR(IF(ISNUMBER(Datos!B3448),Datos!B3448/$F$2*100,NA()),NA())</f>
        <v/>
      </c>
      <c r="C3448" s="27">
        <f>IFERROR(IF(ISNUMBER(Datos!C3448),Datos!C3448/$F$3*100,NA()),NA())</f>
        <v/>
      </c>
    </row>
    <row r="3449">
      <c r="A3449" s="7">
        <f>IFERROR(Datos!A3449,"")</f>
        <v/>
      </c>
      <c r="B3449" s="27">
        <f>IFERROR(IF(ISNUMBER(Datos!B3449),Datos!B3449/$F$2*100,NA()),NA())</f>
        <v/>
      </c>
      <c r="C3449" s="27">
        <f>IFERROR(IF(ISNUMBER(Datos!C3449),Datos!C3449/$F$3*100,NA()),NA())</f>
        <v/>
      </c>
    </row>
    <row r="3450">
      <c r="A3450" s="7">
        <f>IFERROR(Datos!A3450,"")</f>
        <v/>
      </c>
      <c r="B3450" s="27">
        <f>IFERROR(IF(ISNUMBER(Datos!B3450),Datos!B3450/$F$2*100,NA()),NA())</f>
        <v/>
      </c>
      <c r="C3450" s="27">
        <f>IFERROR(IF(ISNUMBER(Datos!C3450),Datos!C3450/$F$3*100,NA()),NA())</f>
        <v/>
      </c>
    </row>
    <row r="3451">
      <c r="A3451" s="7">
        <f>IFERROR(Datos!A3451,"")</f>
        <v/>
      </c>
      <c r="B3451" s="27">
        <f>IFERROR(IF(ISNUMBER(Datos!B3451),Datos!B3451/$F$2*100,NA()),NA())</f>
        <v/>
      </c>
      <c r="C3451" s="27">
        <f>IFERROR(IF(ISNUMBER(Datos!C3451),Datos!C3451/$F$3*100,NA()),NA())</f>
        <v/>
      </c>
    </row>
    <row r="3452">
      <c r="A3452" s="7">
        <f>IFERROR(Datos!A3452,"")</f>
        <v/>
      </c>
      <c r="B3452" s="27">
        <f>IFERROR(IF(ISNUMBER(Datos!B3452),Datos!B3452/$F$2*100,NA()),NA())</f>
        <v/>
      </c>
      <c r="C3452" s="27">
        <f>IFERROR(IF(ISNUMBER(Datos!C3452),Datos!C3452/$F$3*100,NA()),NA())</f>
        <v/>
      </c>
    </row>
    <row r="3453">
      <c r="A3453" s="7">
        <f>IFERROR(Datos!A3453,"")</f>
        <v/>
      </c>
      <c r="B3453" s="27">
        <f>IFERROR(IF(ISNUMBER(Datos!B3453),Datos!B3453/$F$2*100,NA()),NA())</f>
        <v/>
      </c>
      <c r="C3453" s="27">
        <f>IFERROR(IF(ISNUMBER(Datos!C3453),Datos!C3453/$F$3*100,NA()),NA())</f>
        <v/>
      </c>
    </row>
    <row r="3454">
      <c r="A3454" s="7">
        <f>IFERROR(Datos!A3454,"")</f>
        <v/>
      </c>
      <c r="B3454" s="27">
        <f>IFERROR(IF(ISNUMBER(Datos!B3454),Datos!B3454/$F$2*100,NA()),NA())</f>
        <v/>
      </c>
      <c r="C3454" s="27">
        <f>IFERROR(IF(ISNUMBER(Datos!C3454),Datos!C3454/$F$3*100,NA()),NA())</f>
        <v/>
      </c>
    </row>
    <row r="3455">
      <c r="A3455" s="7">
        <f>IFERROR(Datos!A3455,"")</f>
        <v/>
      </c>
      <c r="B3455" s="27">
        <f>IFERROR(IF(ISNUMBER(Datos!B3455),Datos!B3455/$F$2*100,NA()),NA())</f>
        <v/>
      </c>
      <c r="C3455" s="27">
        <f>IFERROR(IF(ISNUMBER(Datos!C3455),Datos!C3455/$F$3*100,NA()),NA())</f>
        <v/>
      </c>
    </row>
    <row r="3456">
      <c r="A3456" s="7">
        <f>IFERROR(Datos!A3456,"")</f>
        <v/>
      </c>
      <c r="B3456" s="27">
        <f>IFERROR(IF(ISNUMBER(Datos!B3456),Datos!B3456/$F$2*100,NA()),NA())</f>
        <v/>
      </c>
      <c r="C3456" s="27">
        <f>IFERROR(IF(ISNUMBER(Datos!C3456),Datos!C3456/$F$3*100,NA()),NA())</f>
        <v/>
      </c>
    </row>
    <row r="3457">
      <c r="A3457" s="7">
        <f>IFERROR(Datos!A3457,"")</f>
        <v/>
      </c>
      <c r="B3457" s="27">
        <f>IFERROR(IF(ISNUMBER(Datos!B3457),Datos!B3457/$F$2*100,NA()),NA())</f>
        <v/>
      </c>
      <c r="C3457" s="27">
        <f>IFERROR(IF(ISNUMBER(Datos!C3457),Datos!C3457/$F$3*100,NA()),NA())</f>
        <v/>
      </c>
    </row>
    <row r="3458">
      <c r="A3458" s="7">
        <f>IFERROR(Datos!A3458,"")</f>
        <v/>
      </c>
      <c r="B3458" s="27">
        <f>IFERROR(IF(ISNUMBER(Datos!B3458),Datos!B3458/$F$2*100,NA()),NA())</f>
        <v/>
      </c>
      <c r="C3458" s="27">
        <f>IFERROR(IF(ISNUMBER(Datos!C3458),Datos!C3458/$F$3*100,NA()),NA())</f>
        <v/>
      </c>
    </row>
    <row r="3459">
      <c r="A3459" s="7">
        <f>IFERROR(Datos!A3459,"")</f>
        <v/>
      </c>
      <c r="B3459" s="27">
        <f>IFERROR(IF(ISNUMBER(Datos!B3459),Datos!B3459/$F$2*100,NA()),NA())</f>
        <v/>
      </c>
      <c r="C3459" s="27">
        <f>IFERROR(IF(ISNUMBER(Datos!C3459),Datos!C3459/$F$3*100,NA()),NA())</f>
        <v/>
      </c>
    </row>
    <row r="3460">
      <c r="A3460" s="7">
        <f>IFERROR(Datos!A3460,"")</f>
        <v/>
      </c>
      <c r="B3460" s="27">
        <f>IFERROR(IF(ISNUMBER(Datos!B3460),Datos!B3460/$F$2*100,NA()),NA())</f>
        <v/>
      </c>
      <c r="C3460" s="27">
        <f>IFERROR(IF(ISNUMBER(Datos!C3460),Datos!C3460/$F$3*100,NA()),NA())</f>
        <v/>
      </c>
    </row>
    <row r="3461">
      <c r="A3461" s="7">
        <f>IFERROR(Datos!A3461,"")</f>
        <v/>
      </c>
      <c r="B3461" s="27">
        <f>IFERROR(IF(ISNUMBER(Datos!B3461),Datos!B3461/$F$2*100,NA()),NA())</f>
        <v/>
      </c>
      <c r="C3461" s="27">
        <f>IFERROR(IF(ISNUMBER(Datos!C3461),Datos!C3461/$F$3*100,NA()),NA())</f>
        <v/>
      </c>
    </row>
    <row r="3462">
      <c r="A3462" s="7">
        <f>IFERROR(Datos!A3462,"")</f>
        <v/>
      </c>
      <c r="B3462" s="27">
        <f>IFERROR(IF(ISNUMBER(Datos!B3462),Datos!B3462/$F$2*100,NA()),NA())</f>
        <v/>
      </c>
      <c r="C3462" s="27">
        <f>IFERROR(IF(ISNUMBER(Datos!C3462),Datos!C3462/$F$3*100,NA()),NA())</f>
        <v/>
      </c>
    </row>
    <row r="3463">
      <c r="A3463" s="7">
        <f>IFERROR(Datos!A3463,"")</f>
        <v/>
      </c>
      <c r="B3463" s="27">
        <f>IFERROR(IF(ISNUMBER(Datos!B3463),Datos!B3463/$F$2*100,NA()),NA())</f>
        <v/>
      </c>
      <c r="C3463" s="27">
        <f>IFERROR(IF(ISNUMBER(Datos!C3463),Datos!C3463/$F$3*100,NA()),NA())</f>
        <v/>
      </c>
    </row>
    <row r="3464">
      <c r="A3464" s="7">
        <f>IFERROR(Datos!A3464,"")</f>
        <v/>
      </c>
      <c r="B3464" s="27">
        <f>IFERROR(IF(ISNUMBER(Datos!B3464),Datos!B3464/$F$2*100,NA()),NA())</f>
        <v/>
      </c>
      <c r="C3464" s="27">
        <f>IFERROR(IF(ISNUMBER(Datos!C3464),Datos!C3464/$F$3*100,NA()),NA())</f>
        <v/>
      </c>
    </row>
    <row r="3465">
      <c r="A3465" s="7">
        <f>IFERROR(Datos!A3465,"")</f>
        <v/>
      </c>
      <c r="B3465" s="27">
        <f>IFERROR(IF(ISNUMBER(Datos!B3465),Datos!B3465/$F$2*100,NA()),NA())</f>
        <v/>
      </c>
      <c r="C3465" s="27">
        <f>IFERROR(IF(ISNUMBER(Datos!C3465),Datos!C3465/$F$3*100,NA()),NA())</f>
        <v/>
      </c>
    </row>
    <row r="3466">
      <c r="A3466" s="7">
        <f>IFERROR(Datos!A3466,"")</f>
        <v/>
      </c>
      <c r="B3466" s="27">
        <f>IFERROR(IF(ISNUMBER(Datos!B3466),Datos!B3466/$F$2*100,NA()),NA())</f>
        <v/>
      </c>
      <c r="C3466" s="27">
        <f>IFERROR(IF(ISNUMBER(Datos!C3466),Datos!C3466/$F$3*100,NA()),NA())</f>
        <v/>
      </c>
    </row>
    <row r="3467">
      <c r="A3467" s="7">
        <f>IFERROR(Datos!A3467,"")</f>
        <v/>
      </c>
      <c r="B3467" s="27">
        <f>IFERROR(IF(ISNUMBER(Datos!B3467),Datos!B3467/$F$2*100,NA()),NA())</f>
        <v/>
      </c>
      <c r="C3467" s="27">
        <f>IFERROR(IF(ISNUMBER(Datos!C3467),Datos!C3467/$F$3*100,NA()),NA())</f>
        <v/>
      </c>
    </row>
    <row r="3468">
      <c r="A3468" s="7">
        <f>IFERROR(Datos!A3468,"")</f>
        <v/>
      </c>
      <c r="B3468" s="27">
        <f>IFERROR(IF(ISNUMBER(Datos!B3468),Datos!B3468/$F$2*100,NA()),NA())</f>
        <v/>
      </c>
      <c r="C3468" s="27">
        <f>IFERROR(IF(ISNUMBER(Datos!C3468),Datos!C3468/$F$3*100,NA()),NA())</f>
        <v/>
      </c>
    </row>
    <row r="3469">
      <c r="A3469" s="7">
        <f>IFERROR(Datos!A3469,"")</f>
        <v/>
      </c>
      <c r="B3469" s="27">
        <f>IFERROR(IF(ISNUMBER(Datos!B3469),Datos!B3469/$F$2*100,NA()),NA())</f>
        <v/>
      </c>
      <c r="C3469" s="27">
        <f>IFERROR(IF(ISNUMBER(Datos!C3469),Datos!C3469/$F$3*100,NA()),NA())</f>
        <v/>
      </c>
    </row>
    <row r="3470">
      <c r="A3470" s="7">
        <f>IFERROR(Datos!A3470,"")</f>
        <v/>
      </c>
      <c r="B3470" s="27">
        <f>IFERROR(IF(ISNUMBER(Datos!B3470),Datos!B3470/$F$2*100,NA()),NA())</f>
        <v/>
      </c>
      <c r="C3470" s="27">
        <f>IFERROR(IF(ISNUMBER(Datos!C3470),Datos!C3470/$F$3*100,NA()),NA())</f>
        <v/>
      </c>
    </row>
    <row r="3471">
      <c r="A3471" s="7">
        <f>IFERROR(Datos!A3471,"")</f>
        <v/>
      </c>
      <c r="B3471" s="27">
        <f>IFERROR(IF(ISNUMBER(Datos!B3471),Datos!B3471/$F$2*100,NA()),NA())</f>
        <v/>
      </c>
      <c r="C3471" s="27">
        <f>IFERROR(IF(ISNUMBER(Datos!C3471),Datos!C3471/$F$3*100,NA()),NA())</f>
        <v/>
      </c>
    </row>
    <row r="3472">
      <c r="A3472" s="7">
        <f>IFERROR(Datos!A3472,"")</f>
        <v/>
      </c>
      <c r="B3472" s="27">
        <f>IFERROR(IF(ISNUMBER(Datos!B3472),Datos!B3472/$F$2*100,NA()),NA())</f>
        <v/>
      </c>
      <c r="C3472" s="27">
        <f>IFERROR(IF(ISNUMBER(Datos!C3472),Datos!C3472/$F$3*100,NA()),NA())</f>
        <v/>
      </c>
    </row>
    <row r="3473">
      <c r="A3473" s="7">
        <f>IFERROR(Datos!A3473,"")</f>
        <v/>
      </c>
      <c r="B3473" s="27">
        <f>IFERROR(IF(ISNUMBER(Datos!B3473),Datos!B3473/$F$2*100,NA()),NA())</f>
        <v/>
      </c>
      <c r="C3473" s="27">
        <f>IFERROR(IF(ISNUMBER(Datos!C3473),Datos!C3473/$F$3*100,NA()),NA())</f>
        <v/>
      </c>
    </row>
    <row r="3474">
      <c r="A3474" s="7">
        <f>IFERROR(Datos!A3474,"")</f>
        <v/>
      </c>
      <c r="B3474" s="27">
        <f>IFERROR(IF(ISNUMBER(Datos!B3474),Datos!B3474/$F$2*100,NA()),NA())</f>
        <v/>
      </c>
      <c r="C3474" s="27">
        <f>IFERROR(IF(ISNUMBER(Datos!C3474),Datos!C3474/$F$3*100,NA()),NA())</f>
        <v/>
      </c>
    </row>
    <row r="3475">
      <c r="A3475" s="7">
        <f>IFERROR(Datos!A3475,"")</f>
        <v/>
      </c>
      <c r="B3475" s="27">
        <f>IFERROR(IF(ISNUMBER(Datos!B3475),Datos!B3475/$F$2*100,NA()),NA())</f>
        <v/>
      </c>
      <c r="C3475" s="27">
        <f>IFERROR(IF(ISNUMBER(Datos!C3475),Datos!C3475/$F$3*100,NA()),NA())</f>
        <v/>
      </c>
    </row>
    <row r="3476">
      <c r="A3476" s="7">
        <f>IFERROR(Datos!A3476,"")</f>
        <v/>
      </c>
      <c r="B3476" s="27">
        <f>IFERROR(IF(ISNUMBER(Datos!B3476),Datos!B3476/$F$2*100,NA()),NA())</f>
        <v/>
      </c>
      <c r="C3476" s="27">
        <f>IFERROR(IF(ISNUMBER(Datos!C3476),Datos!C3476/$F$3*100,NA()),NA())</f>
        <v/>
      </c>
    </row>
    <row r="3477">
      <c r="A3477" s="7">
        <f>IFERROR(Datos!A3477,"")</f>
        <v/>
      </c>
      <c r="B3477" s="27">
        <f>IFERROR(IF(ISNUMBER(Datos!B3477),Datos!B3477/$F$2*100,NA()),NA())</f>
        <v/>
      </c>
      <c r="C3477" s="27">
        <f>IFERROR(IF(ISNUMBER(Datos!C3477),Datos!C3477/$F$3*100,NA()),NA())</f>
        <v/>
      </c>
    </row>
    <row r="3478">
      <c r="A3478" s="7">
        <f>IFERROR(Datos!A3478,"")</f>
        <v/>
      </c>
      <c r="B3478" s="27">
        <f>IFERROR(IF(ISNUMBER(Datos!B3478),Datos!B3478/$F$2*100,NA()),NA())</f>
        <v/>
      </c>
      <c r="C3478" s="27">
        <f>IFERROR(IF(ISNUMBER(Datos!C3478),Datos!C3478/$F$3*100,NA()),NA())</f>
        <v/>
      </c>
    </row>
    <row r="3479">
      <c r="A3479" s="7">
        <f>IFERROR(Datos!A3479,"")</f>
        <v/>
      </c>
      <c r="B3479" s="27">
        <f>IFERROR(IF(ISNUMBER(Datos!B3479),Datos!B3479/$F$2*100,NA()),NA())</f>
        <v/>
      </c>
      <c r="C3479" s="27">
        <f>IFERROR(IF(ISNUMBER(Datos!C3479),Datos!C3479/$F$3*100,NA()),NA())</f>
        <v/>
      </c>
    </row>
    <row r="3480">
      <c r="A3480" s="7">
        <f>IFERROR(Datos!A3480,"")</f>
        <v/>
      </c>
      <c r="B3480" s="27">
        <f>IFERROR(IF(ISNUMBER(Datos!B3480),Datos!B3480/$F$2*100,NA()),NA())</f>
        <v/>
      </c>
      <c r="C3480" s="27">
        <f>IFERROR(IF(ISNUMBER(Datos!C3480),Datos!C3480/$F$3*100,NA()),NA())</f>
        <v/>
      </c>
    </row>
    <row r="3481">
      <c r="A3481" s="7">
        <f>IFERROR(Datos!A3481,"")</f>
        <v/>
      </c>
      <c r="B3481" s="27">
        <f>IFERROR(IF(ISNUMBER(Datos!B3481),Datos!B3481/$F$2*100,NA()),NA())</f>
        <v/>
      </c>
      <c r="C3481" s="27">
        <f>IFERROR(IF(ISNUMBER(Datos!C3481),Datos!C3481/$F$3*100,NA()),NA())</f>
        <v/>
      </c>
    </row>
    <row r="3482">
      <c r="A3482" s="7">
        <f>IFERROR(Datos!A3482,"")</f>
        <v/>
      </c>
      <c r="B3482" s="27">
        <f>IFERROR(IF(ISNUMBER(Datos!B3482),Datos!B3482/$F$2*100,NA()),NA())</f>
        <v/>
      </c>
      <c r="C3482" s="27">
        <f>IFERROR(IF(ISNUMBER(Datos!C3482),Datos!C3482/$F$3*100,NA()),NA())</f>
        <v/>
      </c>
    </row>
    <row r="3483">
      <c r="A3483" s="7">
        <f>IFERROR(Datos!A3483,"")</f>
        <v/>
      </c>
      <c r="B3483" s="27">
        <f>IFERROR(IF(ISNUMBER(Datos!B3483),Datos!B3483/$F$2*100,NA()),NA())</f>
        <v/>
      </c>
      <c r="C3483" s="27">
        <f>IFERROR(IF(ISNUMBER(Datos!C3483),Datos!C3483/$F$3*100,NA()),NA())</f>
        <v/>
      </c>
    </row>
    <row r="3484">
      <c r="A3484" s="7">
        <f>IFERROR(Datos!A3484,"")</f>
        <v/>
      </c>
      <c r="B3484" s="27">
        <f>IFERROR(IF(ISNUMBER(Datos!B3484),Datos!B3484/$F$2*100,NA()),NA())</f>
        <v/>
      </c>
      <c r="C3484" s="27">
        <f>IFERROR(IF(ISNUMBER(Datos!C3484),Datos!C3484/$F$3*100,NA()),NA())</f>
        <v/>
      </c>
    </row>
    <row r="3485">
      <c r="A3485" s="7">
        <f>IFERROR(Datos!A3485,"")</f>
        <v/>
      </c>
      <c r="B3485" s="27">
        <f>IFERROR(IF(ISNUMBER(Datos!B3485),Datos!B3485/$F$2*100,NA()),NA())</f>
        <v/>
      </c>
      <c r="C3485" s="27">
        <f>IFERROR(IF(ISNUMBER(Datos!C3485),Datos!C3485/$F$3*100,NA()),NA())</f>
        <v/>
      </c>
    </row>
    <row r="3486">
      <c r="A3486" s="7">
        <f>IFERROR(Datos!A3486,"")</f>
        <v/>
      </c>
      <c r="B3486" s="27">
        <f>IFERROR(IF(ISNUMBER(Datos!B3486),Datos!B3486/$F$2*100,NA()),NA())</f>
        <v/>
      </c>
      <c r="C3486" s="27">
        <f>IFERROR(IF(ISNUMBER(Datos!C3486),Datos!C3486/$F$3*100,NA()),NA())</f>
        <v/>
      </c>
    </row>
    <row r="3487">
      <c r="A3487" s="7">
        <f>IFERROR(Datos!A3487,"")</f>
        <v/>
      </c>
      <c r="B3487" s="27">
        <f>IFERROR(IF(ISNUMBER(Datos!B3487),Datos!B3487/$F$2*100,NA()),NA())</f>
        <v/>
      </c>
      <c r="C3487" s="27">
        <f>IFERROR(IF(ISNUMBER(Datos!C3487),Datos!C3487/$F$3*100,NA()),NA())</f>
        <v/>
      </c>
    </row>
    <row r="3488">
      <c r="A3488" s="7">
        <f>IFERROR(Datos!A3488,"")</f>
        <v/>
      </c>
      <c r="B3488" s="27">
        <f>IFERROR(IF(ISNUMBER(Datos!B3488),Datos!B3488/$F$2*100,NA()),NA())</f>
        <v/>
      </c>
      <c r="C3488" s="27">
        <f>IFERROR(IF(ISNUMBER(Datos!C3488),Datos!C3488/$F$3*100,NA()),NA())</f>
        <v/>
      </c>
    </row>
    <row r="3489">
      <c r="A3489" s="7">
        <f>IFERROR(Datos!A3489,"")</f>
        <v/>
      </c>
      <c r="B3489" s="27">
        <f>IFERROR(IF(ISNUMBER(Datos!B3489),Datos!B3489/$F$2*100,NA()),NA())</f>
        <v/>
      </c>
      <c r="C3489" s="27">
        <f>IFERROR(IF(ISNUMBER(Datos!C3489),Datos!C3489/$F$3*100,NA()),NA())</f>
        <v/>
      </c>
    </row>
    <row r="3490">
      <c r="A3490" s="7">
        <f>IFERROR(Datos!A3490,"")</f>
        <v/>
      </c>
      <c r="B3490" s="27">
        <f>IFERROR(IF(ISNUMBER(Datos!B3490),Datos!B3490/$F$2*100,NA()),NA())</f>
        <v/>
      </c>
      <c r="C3490" s="27">
        <f>IFERROR(IF(ISNUMBER(Datos!C3490),Datos!C3490/$F$3*100,NA()),NA())</f>
        <v/>
      </c>
    </row>
    <row r="3491">
      <c r="A3491" s="7">
        <f>IFERROR(Datos!A3491,"")</f>
        <v/>
      </c>
      <c r="B3491" s="27">
        <f>IFERROR(IF(ISNUMBER(Datos!B3491),Datos!B3491/$F$2*100,NA()),NA())</f>
        <v/>
      </c>
      <c r="C3491" s="27">
        <f>IFERROR(IF(ISNUMBER(Datos!C3491),Datos!C3491/$F$3*100,NA()),NA())</f>
        <v/>
      </c>
    </row>
    <row r="3492">
      <c r="A3492" s="7">
        <f>IFERROR(Datos!A3492,"")</f>
        <v/>
      </c>
      <c r="B3492" s="27">
        <f>IFERROR(IF(ISNUMBER(Datos!B3492),Datos!B3492/$F$2*100,NA()),NA())</f>
        <v/>
      </c>
      <c r="C3492" s="27">
        <f>IFERROR(IF(ISNUMBER(Datos!C3492),Datos!C3492/$F$3*100,NA()),NA())</f>
        <v/>
      </c>
    </row>
    <row r="3493">
      <c r="A3493" s="7">
        <f>IFERROR(Datos!A3493,"")</f>
        <v/>
      </c>
      <c r="B3493" s="27">
        <f>IFERROR(IF(ISNUMBER(Datos!B3493),Datos!B3493/$F$2*100,NA()),NA())</f>
        <v/>
      </c>
      <c r="C3493" s="27">
        <f>IFERROR(IF(ISNUMBER(Datos!C3493),Datos!C3493/$F$3*100,NA()),NA())</f>
        <v/>
      </c>
    </row>
    <row r="3494">
      <c r="A3494" s="7">
        <f>IFERROR(Datos!A3494,"")</f>
        <v/>
      </c>
      <c r="B3494" s="27">
        <f>IFERROR(IF(ISNUMBER(Datos!B3494),Datos!B3494/$F$2*100,NA()),NA())</f>
        <v/>
      </c>
      <c r="C3494" s="27">
        <f>IFERROR(IF(ISNUMBER(Datos!C3494),Datos!C3494/$F$3*100,NA()),NA())</f>
        <v/>
      </c>
    </row>
    <row r="3495">
      <c r="A3495" s="7">
        <f>IFERROR(Datos!A3495,"")</f>
        <v/>
      </c>
      <c r="B3495" s="27">
        <f>IFERROR(IF(ISNUMBER(Datos!B3495),Datos!B3495/$F$2*100,NA()),NA())</f>
        <v/>
      </c>
      <c r="C3495" s="27">
        <f>IFERROR(IF(ISNUMBER(Datos!C3495),Datos!C3495/$F$3*100,NA()),NA())</f>
        <v/>
      </c>
    </row>
    <row r="3496">
      <c r="A3496" s="7">
        <f>IFERROR(Datos!A3496,"")</f>
        <v/>
      </c>
      <c r="B3496" s="27">
        <f>IFERROR(IF(ISNUMBER(Datos!B3496),Datos!B3496/$F$2*100,NA()),NA())</f>
        <v/>
      </c>
      <c r="C3496" s="27">
        <f>IFERROR(IF(ISNUMBER(Datos!C3496),Datos!C3496/$F$3*100,NA()),NA())</f>
        <v/>
      </c>
    </row>
    <row r="3497">
      <c r="A3497" s="7">
        <f>IFERROR(Datos!A3497,"")</f>
        <v/>
      </c>
      <c r="B3497" s="27">
        <f>IFERROR(IF(ISNUMBER(Datos!B3497),Datos!B3497/$F$2*100,NA()),NA())</f>
        <v/>
      </c>
      <c r="C3497" s="27">
        <f>IFERROR(IF(ISNUMBER(Datos!C3497),Datos!C3497/$F$3*100,NA()),NA())</f>
        <v/>
      </c>
    </row>
    <row r="3498">
      <c r="A3498" s="7">
        <f>IFERROR(Datos!A3498,"")</f>
        <v/>
      </c>
      <c r="B3498" s="27">
        <f>IFERROR(IF(ISNUMBER(Datos!B3498),Datos!B3498/$F$2*100,NA()),NA())</f>
        <v/>
      </c>
      <c r="C3498" s="27">
        <f>IFERROR(IF(ISNUMBER(Datos!C3498),Datos!C3498/$F$3*100,NA()),NA())</f>
        <v/>
      </c>
    </row>
    <row r="3499">
      <c r="A3499" s="7">
        <f>IFERROR(Datos!A3499,"")</f>
        <v/>
      </c>
      <c r="B3499" s="27">
        <f>IFERROR(IF(ISNUMBER(Datos!B3499),Datos!B3499/$F$2*100,NA()),NA())</f>
        <v/>
      </c>
      <c r="C3499" s="27">
        <f>IFERROR(IF(ISNUMBER(Datos!C3499),Datos!C3499/$F$3*100,NA()),NA())</f>
        <v/>
      </c>
    </row>
    <row r="3500">
      <c r="A3500" s="7">
        <f>IFERROR(Datos!A3500,"")</f>
        <v/>
      </c>
      <c r="B3500" s="27">
        <f>IFERROR(IF(ISNUMBER(Datos!B3500),Datos!B3500/$F$2*100,NA()),NA())</f>
        <v/>
      </c>
      <c r="C3500" s="27">
        <f>IFERROR(IF(ISNUMBER(Datos!C3500),Datos!C3500/$F$3*100,NA()),NA())</f>
        <v/>
      </c>
    </row>
    <row r="3501">
      <c r="A3501" s="7">
        <f>IFERROR(Datos!A3501,"")</f>
        <v/>
      </c>
      <c r="B3501" s="27">
        <f>IFERROR(IF(ISNUMBER(Datos!B3501),Datos!B3501/$F$2*100,NA()),NA())</f>
        <v/>
      </c>
      <c r="C3501" s="27">
        <f>IFERROR(IF(ISNUMBER(Datos!C3501),Datos!C3501/$F$3*100,NA()),NA())</f>
        <v/>
      </c>
    </row>
    <row r="3502">
      <c r="A3502" s="7">
        <f>IFERROR(Datos!A3502,"")</f>
        <v/>
      </c>
      <c r="B3502" s="27">
        <f>IFERROR(IF(ISNUMBER(Datos!B3502),Datos!B3502/$F$2*100,NA()),NA())</f>
        <v/>
      </c>
      <c r="C3502" s="27">
        <f>IFERROR(IF(ISNUMBER(Datos!C3502),Datos!C3502/$F$3*100,NA()),NA())</f>
        <v/>
      </c>
    </row>
    <row r="3503">
      <c r="A3503" s="7">
        <f>IFERROR(Datos!A3503,"")</f>
        <v/>
      </c>
      <c r="B3503" s="27">
        <f>IFERROR(IF(ISNUMBER(Datos!B3503),Datos!B3503/$F$2*100,NA()),NA())</f>
        <v/>
      </c>
      <c r="C3503" s="27">
        <f>IFERROR(IF(ISNUMBER(Datos!C3503),Datos!C3503/$F$3*100,NA()),NA())</f>
        <v/>
      </c>
    </row>
    <row r="3504">
      <c r="A3504" s="7">
        <f>IFERROR(Datos!A3504,"")</f>
        <v/>
      </c>
      <c r="B3504" s="27">
        <f>IFERROR(IF(ISNUMBER(Datos!B3504),Datos!B3504/$F$2*100,NA()),NA())</f>
        <v/>
      </c>
      <c r="C3504" s="27">
        <f>IFERROR(IF(ISNUMBER(Datos!C3504),Datos!C3504/$F$3*100,NA()),NA())</f>
        <v/>
      </c>
    </row>
    <row r="3505">
      <c r="A3505" s="7">
        <f>IFERROR(Datos!A3505,"")</f>
        <v/>
      </c>
      <c r="B3505" s="27">
        <f>IFERROR(IF(ISNUMBER(Datos!B3505),Datos!B3505/$F$2*100,NA()),NA())</f>
        <v/>
      </c>
      <c r="C3505" s="27">
        <f>IFERROR(IF(ISNUMBER(Datos!C3505),Datos!C3505/$F$3*100,NA()),NA())</f>
        <v/>
      </c>
    </row>
    <row r="3506">
      <c r="A3506" s="7">
        <f>IFERROR(Datos!A3506,"")</f>
        <v/>
      </c>
      <c r="B3506" s="27">
        <f>IFERROR(IF(ISNUMBER(Datos!B3506),Datos!B3506/$F$2*100,NA()),NA())</f>
        <v/>
      </c>
      <c r="C3506" s="27">
        <f>IFERROR(IF(ISNUMBER(Datos!C3506),Datos!C3506/$F$3*100,NA()),NA())</f>
        <v/>
      </c>
    </row>
    <row r="3507">
      <c r="A3507" s="7">
        <f>IFERROR(Datos!A3507,"")</f>
        <v/>
      </c>
      <c r="B3507" s="27">
        <f>IFERROR(IF(ISNUMBER(Datos!B3507),Datos!B3507/$F$2*100,NA()),NA())</f>
        <v/>
      </c>
      <c r="C3507" s="27">
        <f>IFERROR(IF(ISNUMBER(Datos!C3507),Datos!C3507/$F$3*100,NA()),NA())</f>
        <v/>
      </c>
    </row>
    <row r="3508">
      <c r="A3508" s="7">
        <f>IFERROR(Datos!A3508,"")</f>
        <v/>
      </c>
      <c r="B3508" s="27">
        <f>IFERROR(IF(ISNUMBER(Datos!B3508),Datos!B3508/$F$2*100,NA()),NA())</f>
        <v/>
      </c>
      <c r="C3508" s="27">
        <f>IFERROR(IF(ISNUMBER(Datos!C3508),Datos!C3508/$F$3*100,NA()),NA())</f>
        <v/>
      </c>
    </row>
    <row r="3509">
      <c r="A3509" s="7">
        <f>IFERROR(Datos!A3509,"")</f>
        <v/>
      </c>
      <c r="B3509" s="27">
        <f>IFERROR(IF(ISNUMBER(Datos!B3509),Datos!B3509/$F$2*100,NA()),NA())</f>
        <v/>
      </c>
      <c r="C3509" s="27">
        <f>IFERROR(IF(ISNUMBER(Datos!C3509),Datos!C3509/$F$3*100,NA()),NA())</f>
        <v/>
      </c>
    </row>
    <row r="3510">
      <c r="A3510" s="7">
        <f>IFERROR(Datos!A3510,"")</f>
        <v/>
      </c>
      <c r="B3510" s="27">
        <f>IFERROR(IF(ISNUMBER(Datos!B3510),Datos!B3510/$F$2*100,NA()),NA())</f>
        <v/>
      </c>
      <c r="C3510" s="27">
        <f>IFERROR(IF(ISNUMBER(Datos!C3510),Datos!C3510/$F$3*100,NA()),NA())</f>
        <v/>
      </c>
    </row>
    <row r="3511">
      <c r="A3511" s="7">
        <f>IFERROR(Datos!A3511,"")</f>
        <v/>
      </c>
      <c r="B3511" s="27">
        <f>IFERROR(IF(ISNUMBER(Datos!B3511),Datos!B3511/$F$2*100,NA()),NA())</f>
        <v/>
      </c>
      <c r="C3511" s="27">
        <f>IFERROR(IF(ISNUMBER(Datos!C3511),Datos!C3511/$F$3*100,NA()),NA())</f>
        <v/>
      </c>
    </row>
    <row r="3512">
      <c r="A3512" s="7">
        <f>IFERROR(Datos!A3512,"")</f>
        <v/>
      </c>
      <c r="B3512" s="27">
        <f>IFERROR(IF(ISNUMBER(Datos!B3512),Datos!B3512/$F$2*100,NA()),NA())</f>
        <v/>
      </c>
      <c r="C3512" s="27">
        <f>IFERROR(IF(ISNUMBER(Datos!C3512),Datos!C3512/$F$3*100,NA()),NA())</f>
        <v/>
      </c>
    </row>
    <row r="3513">
      <c r="A3513" s="7">
        <f>IFERROR(Datos!A3513,"")</f>
        <v/>
      </c>
      <c r="B3513" s="27">
        <f>IFERROR(IF(ISNUMBER(Datos!B3513),Datos!B3513/$F$2*100,NA()),NA())</f>
        <v/>
      </c>
      <c r="C3513" s="27">
        <f>IFERROR(IF(ISNUMBER(Datos!C3513),Datos!C3513/$F$3*100,NA()),NA())</f>
        <v/>
      </c>
    </row>
    <row r="3514">
      <c r="A3514" s="7">
        <f>IFERROR(Datos!A3514,"")</f>
        <v/>
      </c>
      <c r="B3514" s="27">
        <f>IFERROR(IF(ISNUMBER(Datos!B3514),Datos!B3514/$F$2*100,NA()),NA())</f>
        <v/>
      </c>
      <c r="C3514" s="27">
        <f>IFERROR(IF(ISNUMBER(Datos!C3514),Datos!C3514/$F$3*100,NA()),NA())</f>
        <v/>
      </c>
    </row>
    <row r="3515">
      <c r="A3515" s="7">
        <f>IFERROR(Datos!A3515,"")</f>
        <v/>
      </c>
      <c r="B3515" s="27">
        <f>IFERROR(IF(ISNUMBER(Datos!B3515),Datos!B3515/$F$2*100,NA()),NA())</f>
        <v/>
      </c>
      <c r="C3515" s="27">
        <f>IFERROR(IF(ISNUMBER(Datos!C3515),Datos!C3515/$F$3*100,NA()),NA())</f>
        <v/>
      </c>
    </row>
    <row r="3516">
      <c r="A3516" s="7">
        <f>IFERROR(Datos!A3516,"")</f>
        <v/>
      </c>
      <c r="B3516" s="27">
        <f>IFERROR(IF(ISNUMBER(Datos!B3516),Datos!B3516/$F$2*100,NA()),NA())</f>
        <v/>
      </c>
      <c r="C3516" s="27">
        <f>IFERROR(IF(ISNUMBER(Datos!C3516),Datos!C3516/$F$3*100,NA()),NA())</f>
        <v/>
      </c>
    </row>
    <row r="3517">
      <c r="A3517" s="7">
        <f>IFERROR(Datos!A3517,"")</f>
        <v/>
      </c>
      <c r="B3517" s="27">
        <f>IFERROR(IF(ISNUMBER(Datos!B3517),Datos!B3517/$F$2*100,NA()),NA())</f>
        <v/>
      </c>
      <c r="C3517" s="27">
        <f>IFERROR(IF(ISNUMBER(Datos!C3517),Datos!C3517/$F$3*100,NA()),NA())</f>
        <v/>
      </c>
    </row>
    <row r="3518">
      <c r="A3518" s="7">
        <f>IFERROR(Datos!A3518,"")</f>
        <v/>
      </c>
      <c r="B3518" s="27">
        <f>IFERROR(IF(ISNUMBER(Datos!B3518),Datos!B3518/$F$2*100,NA()),NA())</f>
        <v/>
      </c>
      <c r="C3518" s="27">
        <f>IFERROR(IF(ISNUMBER(Datos!C3518),Datos!C3518/$F$3*100,NA()),NA())</f>
        <v/>
      </c>
    </row>
    <row r="3519">
      <c r="A3519" s="7">
        <f>IFERROR(Datos!A3519,"")</f>
        <v/>
      </c>
      <c r="B3519" s="27">
        <f>IFERROR(IF(ISNUMBER(Datos!B3519),Datos!B3519/$F$2*100,NA()),NA())</f>
        <v/>
      </c>
      <c r="C3519" s="27">
        <f>IFERROR(IF(ISNUMBER(Datos!C3519),Datos!C3519/$F$3*100,NA()),NA())</f>
        <v/>
      </c>
    </row>
    <row r="3520">
      <c r="A3520" s="7">
        <f>IFERROR(Datos!A3520,"")</f>
        <v/>
      </c>
      <c r="B3520" s="27">
        <f>IFERROR(IF(ISNUMBER(Datos!B3520),Datos!B3520/$F$2*100,NA()),NA())</f>
        <v/>
      </c>
      <c r="C3520" s="27">
        <f>IFERROR(IF(ISNUMBER(Datos!C3520),Datos!C3520/$F$3*100,NA()),NA())</f>
        <v/>
      </c>
    </row>
    <row r="3521">
      <c r="A3521" s="7">
        <f>IFERROR(Datos!A3521,"")</f>
        <v/>
      </c>
      <c r="B3521" s="27">
        <f>IFERROR(IF(ISNUMBER(Datos!B3521),Datos!B3521/$F$2*100,NA()),NA())</f>
        <v/>
      </c>
      <c r="C3521" s="27">
        <f>IFERROR(IF(ISNUMBER(Datos!C3521),Datos!C3521/$F$3*100,NA()),NA())</f>
        <v/>
      </c>
    </row>
    <row r="3522">
      <c r="A3522" s="7">
        <f>IFERROR(Datos!A3522,"")</f>
        <v/>
      </c>
      <c r="B3522" s="27">
        <f>IFERROR(IF(ISNUMBER(Datos!B3522),Datos!B3522/$F$2*100,NA()),NA())</f>
        <v/>
      </c>
      <c r="C3522" s="27">
        <f>IFERROR(IF(ISNUMBER(Datos!C3522),Datos!C3522/$F$3*100,NA()),NA())</f>
        <v/>
      </c>
    </row>
    <row r="3523">
      <c r="A3523" s="7">
        <f>IFERROR(Datos!A3523,"")</f>
        <v/>
      </c>
      <c r="B3523" s="27">
        <f>IFERROR(IF(ISNUMBER(Datos!B3523),Datos!B3523/$F$2*100,NA()),NA())</f>
        <v/>
      </c>
      <c r="C3523" s="27">
        <f>IFERROR(IF(ISNUMBER(Datos!C3523),Datos!C3523/$F$3*100,NA()),NA())</f>
        <v/>
      </c>
    </row>
    <row r="3524">
      <c r="A3524" s="7">
        <f>IFERROR(Datos!A3524,"")</f>
        <v/>
      </c>
      <c r="B3524" s="27">
        <f>IFERROR(IF(ISNUMBER(Datos!B3524),Datos!B3524/$F$2*100,NA()),NA())</f>
        <v/>
      </c>
      <c r="C3524" s="27">
        <f>IFERROR(IF(ISNUMBER(Datos!C3524),Datos!C3524/$F$3*100,NA()),NA())</f>
        <v/>
      </c>
    </row>
    <row r="3525">
      <c r="A3525" s="7">
        <f>IFERROR(Datos!A3525,"")</f>
        <v/>
      </c>
      <c r="B3525" s="27">
        <f>IFERROR(IF(ISNUMBER(Datos!B3525),Datos!B3525/$F$2*100,NA()),NA())</f>
        <v/>
      </c>
      <c r="C3525" s="27">
        <f>IFERROR(IF(ISNUMBER(Datos!C3525),Datos!C3525/$F$3*100,NA()),NA())</f>
        <v/>
      </c>
    </row>
    <row r="3526">
      <c r="A3526" s="7">
        <f>IFERROR(Datos!A3526,"")</f>
        <v/>
      </c>
      <c r="B3526" s="27">
        <f>IFERROR(IF(ISNUMBER(Datos!B3526),Datos!B3526/$F$2*100,NA()),NA())</f>
        <v/>
      </c>
      <c r="C3526" s="27">
        <f>IFERROR(IF(ISNUMBER(Datos!C3526),Datos!C3526/$F$3*100,NA()),NA())</f>
        <v/>
      </c>
    </row>
    <row r="3527">
      <c r="A3527" s="7">
        <f>IFERROR(Datos!A3527,"")</f>
        <v/>
      </c>
      <c r="B3527" s="27">
        <f>IFERROR(IF(ISNUMBER(Datos!B3527),Datos!B3527/$F$2*100,NA()),NA())</f>
        <v/>
      </c>
      <c r="C3527" s="27">
        <f>IFERROR(IF(ISNUMBER(Datos!C3527),Datos!C3527/$F$3*100,NA()),NA())</f>
        <v/>
      </c>
    </row>
    <row r="3528">
      <c r="A3528" s="7">
        <f>IFERROR(Datos!A3528,"")</f>
        <v/>
      </c>
      <c r="B3528" s="27">
        <f>IFERROR(IF(ISNUMBER(Datos!B3528),Datos!B3528/$F$2*100,NA()),NA())</f>
        <v/>
      </c>
      <c r="C3528" s="27">
        <f>IFERROR(IF(ISNUMBER(Datos!C3528),Datos!C3528/$F$3*100,NA()),NA())</f>
        <v/>
      </c>
    </row>
    <row r="3529">
      <c r="A3529" s="7">
        <f>IFERROR(Datos!A3529,"")</f>
        <v/>
      </c>
      <c r="B3529" s="27">
        <f>IFERROR(IF(ISNUMBER(Datos!B3529),Datos!B3529/$F$2*100,NA()),NA())</f>
        <v/>
      </c>
      <c r="C3529" s="27">
        <f>IFERROR(IF(ISNUMBER(Datos!C3529),Datos!C3529/$F$3*100,NA()),NA())</f>
        <v/>
      </c>
    </row>
    <row r="3530">
      <c r="A3530" s="7">
        <f>IFERROR(Datos!A3530,"")</f>
        <v/>
      </c>
      <c r="B3530" s="27">
        <f>IFERROR(IF(ISNUMBER(Datos!B3530),Datos!B3530/$F$2*100,NA()),NA())</f>
        <v/>
      </c>
      <c r="C3530" s="27">
        <f>IFERROR(IF(ISNUMBER(Datos!C3530),Datos!C3530/$F$3*100,NA()),NA())</f>
        <v/>
      </c>
    </row>
    <row r="3531">
      <c r="A3531" s="7">
        <f>IFERROR(Datos!A3531,"")</f>
        <v/>
      </c>
      <c r="B3531" s="27">
        <f>IFERROR(IF(ISNUMBER(Datos!B3531),Datos!B3531/$F$2*100,NA()),NA())</f>
        <v/>
      </c>
      <c r="C3531" s="27">
        <f>IFERROR(IF(ISNUMBER(Datos!C3531),Datos!C3531/$F$3*100,NA()),NA())</f>
        <v/>
      </c>
    </row>
    <row r="3532">
      <c r="A3532" s="7">
        <f>IFERROR(Datos!A3532,"")</f>
        <v/>
      </c>
      <c r="B3532" s="27">
        <f>IFERROR(IF(ISNUMBER(Datos!B3532),Datos!B3532/$F$2*100,NA()),NA())</f>
        <v/>
      </c>
      <c r="C3532" s="27">
        <f>IFERROR(IF(ISNUMBER(Datos!C3532),Datos!C3532/$F$3*100,NA()),NA())</f>
        <v/>
      </c>
    </row>
    <row r="3533">
      <c r="A3533" s="7">
        <f>IFERROR(Datos!A3533,"")</f>
        <v/>
      </c>
      <c r="B3533" s="27">
        <f>IFERROR(IF(ISNUMBER(Datos!B3533),Datos!B3533/$F$2*100,NA()),NA())</f>
        <v/>
      </c>
      <c r="C3533" s="27">
        <f>IFERROR(IF(ISNUMBER(Datos!C3533),Datos!C3533/$F$3*100,NA()),NA())</f>
        <v/>
      </c>
    </row>
    <row r="3534">
      <c r="A3534" s="7">
        <f>IFERROR(Datos!A3534,"")</f>
        <v/>
      </c>
      <c r="B3534" s="27">
        <f>IFERROR(IF(ISNUMBER(Datos!B3534),Datos!B3534/$F$2*100,NA()),NA())</f>
        <v/>
      </c>
      <c r="C3534" s="27">
        <f>IFERROR(IF(ISNUMBER(Datos!C3534),Datos!C3534/$F$3*100,NA()),NA())</f>
        <v/>
      </c>
    </row>
    <row r="3535">
      <c r="A3535" s="7">
        <f>IFERROR(Datos!A3535,"")</f>
        <v/>
      </c>
      <c r="B3535" s="27">
        <f>IFERROR(IF(ISNUMBER(Datos!B3535),Datos!B3535/$F$2*100,NA()),NA())</f>
        <v/>
      </c>
      <c r="C3535" s="27">
        <f>IFERROR(IF(ISNUMBER(Datos!C3535),Datos!C3535/$F$3*100,NA()),NA())</f>
        <v/>
      </c>
    </row>
    <row r="3536">
      <c r="A3536" s="7">
        <f>IFERROR(Datos!A3536,"")</f>
        <v/>
      </c>
      <c r="B3536" s="27">
        <f>IFERROR(IF(ISNUMBER(Datos!B3536),Datos!B3536/$F$2*100,NA()),NA())</f>
        <v/>
      </c>
      <c r="C3536" s="27">
        <f>IFERROR(IF(ISNUMBER(Datos!C3536),Datos!C3536/$F$3*100,NA()),NA())</f>
        <v/>
      </c>
    </row>
    <row r="3537">
      <c r="A3537" s="7">
        <f>IFERROR(Datos!A3537,"")</f>
        <v/>
      </c>
      <c r="B3537" s="27">
        <f>IFERROR(IF(ISNUMBER(Datos!B3537),Datos!B3537/$F$2*100,NA()),NA())</f>
        <v/>
      </c>
      <c r="C3537" s="27">
        <f>IFERROR(IF(ISNUMBER(Datos!C3537),Datos!C3537/$F$3*100,NA()),NA())</f>
        <v/>
      </c>
    </row>
    <row r="3538">
      <c r="A3538" s="7">
        <f>IFERROR(Datos!A3538,"")</f>
        <v/>
      </c>
      <c r="B3538" s="27">
        <f>IFERROR(IF(ISNUMBER(Datos!B3538),Datos!B3538/$F$2*100,NA()),NA())</f>
        <v/>
      </c>
      <c r="C3538" s="27">
        <f>IFERROR(IF(ISNUMBER(Datos!C3538),Datos!C3538/$F$3*100,NA()),NA())</f>
        <v/>
      </c>
    </row>
    <row r="3539">
      <c r="A3539" s="7">
        <f>IFERROR(Datos!A3539,"")</f>
        <v/>
      </c>
      <c r="B3539" s="27">
        <f>IFERROR(IF(ISNUMBER(Datos!B3539),Datos!B3539/$F$2*100,NA()),NA())</f>
        <v/>
      </c>
      <c r="C3539" s="27">
        <f>IFERROR(IF(ISNUMBER(Datos!C3539),Datos!C3539/$F$3*100,NA()),NA())</f>
        <v/>
      </c>
    </row>
    <row r="3540">
      <c r="A3540" s="7">
        <f>IFERROR(Datos!A3540,"")</f>
        <v/>
      </c>
      <c r="B3540" s="27">
        <f>IFERROR(IF(ISNUMBER(Datos!B3540),Datos!B3540/$F$2*100,NA()),NA())</f>
        <v/>
      </c>
      <c r="C3540" s="27">
        <f>IFERROR(IF(ISNUMBER(Datos!C3540),Datos!C3540/$F$3*100,NA()),NA())</f>
        <v/>
      </c>
    </row>
    <row r="3541">
      <c r="A3541" s="7">
        <f>IFERROR(Datos!A3541,"")</f>
        <v/>
      </c>
      <c r="B3541" s="27">
        <f>IFERROR(IF(ISNUMBER(Datos!B3541),Datos!B3541/$F$2*100,NA()),NA())</f>
        <v/>
      </c>
      <c r="C3541" s="27">
        <f>IFERROR(IF(ISNUMBER(Datos!C3541),Datos!C3541/$F$3*100,NA()),NA())</f>
        <v/>
      </c>
    </row>
    <row r="3542">
      <c r="A3542" s="7">
        <f>IFERROR(Datos!A3542,"")</f>
        <v/>
      </c>
      <c r="B3542" s="27">
        <f>IFERROR(IF(ISNUMBER(Datos!B3542),Datos!B3542/$F$2*100,NA()),NA())</f>
        <v/>
      </c>
      <c r="C3542" s="27">
        <f>IFERROR(IF(ISNUMBER(Datos!C3542),Datos!C3542/$F$3*100,NA()),NA())</f>
        <v/>
      </c>
    </row>
    <row r="3543">
      <c r="A3543" s="7">
        <f>IFERROR(Datos!A3543,"")</f>
        <v/>
      </c>
      <c r="B3543" s="27">
        <f>IFERROR(IF(ISNUMBER(Datos!B3543),Datos!B3543/$F$2*100,NA()),NA())</f>
        <v/>
      </c>
      <c r="C3543" s="27">
        <f>IFERROR(IF(ISNUMBER(Datos!C3543),Datos!C3543/$F$3*100,NA()),NA())</f>
        <v/>
      </c>
    </row>
    <row r="3544">
      <c r="A3544" s="7">
        <f>IFERROR(Datos!A3544,"")</f>
        <v/>
      </c>
      <c r="B3544" s="27">
        <f>IFERROR(IF(ISNUMBER(Datos!B3544),Datos!B3544/$F$2*100,NA()),NA())</f>
        <v/>
      </c>
      <c r="C3544" s="27">
        <f>IFERROR(IF(ISNUMBER(Datos!C3544),Datos!C3544/$F$3*100,NA()),NA())</f>
        <v/>
      </c>
    </row>
    <row r="3545">
      <c r="A3545" s="7">
        <f>IFERROR(Datos!A3545,"")</f>
        <v/>
      </c>
      <c r="B3545" s="27">
        <f>IFERROR(IF(ISNUMBER(Datos!B3545),Datos!B3545/$F$2*100,NA()),NA())</f>
        <v/>
      </c>
      <c r="C3545" s="27">
        <f>IFERROR(IF(ISNUMBER(Datos!C3545),Datos!C3545/$F$3*100,NA()),NA())</f>
        <v/>
      </c>
    </row>
    <row r="3546">
      <c r="A3546" s="7">
        <f>IFERROR(Datos!A3546,"")</f>
        <v/>
      </c>
      <c r="B3546" s="27">
        <f>IFERROR(IF(ISNUMBER(Datos!B3546),Datos!B3546/$F$2*100,NA()),NA())</f>
        <v/>
      </c>
      <c r="C3546" s="27">
        <f>IFERROR(IF(ISNUMBER(Datos!C3546),Datos!C3546/$F$3*100,NA()),NA())</f>
        <v/>
      </c>
    </row>
    <row r="3547">
      <c r="A3547" s="7">
        <f>IFERROR(Datos!A3547,"")</f>
        <v/>
      </c>
      <c r="B3547" s="27">
        <f>IFERROR(IF(ISNUMBER(Datos!B3547),Datos!B3547/$F$2*100,NA()),NA())</f>
        <v/>
      </c>
      <c r="C3547" s="27">
        <f>IFERROR(IF(ISNUMBER(Datos!C3547),Datos!C3547/$F$3*100,NA()),NA())</f>
        <v/>
      </c>
    </row>
    <row r="3548">
      <c r="A3548" s="7">
        <f>IFERROR(Datos!A3548,"")</f>
        <v/>
      </c>
      <c r="B3548" s="27">
        <f>IFERROR(IF(ISNUMBER(Datos!B3548),Datos!B3548/$F$2*100,NA()),NA())</f>
        <v/>
      </c>
      <c r="C3548" s="27">
        <f>IFERROR(IF(ISNUMBER(Datos!C3548),Datos!C3548/$F$3*100,NA()),NA())</f>
        <v/>
      </c>
    </row>
    <row r="3549">
      <c r="A3549" s="7">
        <f>IFERROR(Datos!A3549,"")</f>
        <v/>
      </c>
      <c r="B3549" s="27">
        <f>IFERROR(IF(ISNUMBER(Datos!B3549),Datos!B3549/$F$2*100,NA()),NA())</f>
        <v/>
      </c>
      <c r="C3549" s="27">
        <f>IFERROR(IF(ISNUMBER(Datos!C3549),Datos!C3549/$F$3*100,NA()),NA())</f>
        <v/>
      </c>
    </row>
    <row r="3550">
      <c r="A3550" s="7">
        <f>IFERROR(Datos!A3550,"")</f>
        <v/>
      </c>
      <c r="B3550" s="27">
        <f>IFERROR(IF(ISNUMBER(Datos!B3550),Datos!B3550/$F$2*100,NA()),NA())</f>
        <v/>
      </c>
      <c r="C3550" s="27">
        <f>IFERROR(IF(ISNUMBER(Datos!C3550),Datos!C3550/$F$3*100,NA()),NA())</f>
        <v/>
      </c>
    </row>
    <row r="3551">
      <c r="A3551" s="7">
        <f>IFERROR(Datos!A3551,"")</f>
        <v/>
      </c>
      <c r="B3551" s="27">
        <f>IFERROR(IF(ISNUMBER(Datos!B3551),Datos!B3551/$F$2*100,NA()),NA())</f>
        <v/>
      </c>
      <c r="C3551" s="27">
        <f>IFERROR(IF(ISNUMBER(Datos!C3551),Datos!C3551/$F$3*100,NA()),NA())</f>
        <v/>
      </c>
    </row>
    <row r="3552">
      <c r="A3552" s="7">
        <f>IFERROR(Datos!A3552,"")</f>
        <v/>
      </c>
      <c r="B3552" s="27">
        <f>IFERROR(IF(ISNUMBER(Datos!B3552),Datos!B3552/$F$2*100,NA()),NA())</f>
        <v/>
      </c>
      <c r="C3552" s="27">
        <f>IFERROR(IF(ISNUMBER(Datos!C3552),Datos!C3552/$F$3*100,NA()),NA())</f>
        <v/>
      </c>
    </row>
    <row r="3553">
      <c r="A3553" s="7">
        <f>IFERROR(Datos!A3553,"")</f>
        <v/>
      </c>
      <c r="B3553" s="27">
        <f>IFERROR(IF(ISNUMBER(Datos!B3553),Datos!B3553/$F$2*100,NA()),NA())</f>
        <v/>
      </c>
      <c r="C3553" s="27">
        <f>IFERROR(IF(ISNUMBER(Datos!C3553),Datos!C3553/$F$3*100,NA()),NA())</f>
        <v/>
      </c>
    </row>
    <row r="3554">
      <c r="A3554" s="7">
        <f>IFERROR(Datos!A3554,"")</f>
        <v/>
      </c>
      <c r="B3554" s="27">
        <f>IFERROR(IF(ISNUMBER(Datos!B3554),Datos!B3554/$F$2*100,NA()),NA())</f>
        <v/>
      </c>
      <c r="C3554" s="27">
        <f>IFERROR(IF(ISNUMBER(Datos!C3554),Datos!C3554/$F$3*100,NA()),NA())</f>
        <v/>
      </c>
    </row>
    <row r="3555">
      <c r="A3555" s="7">
        <f>IFERROR(Datos!A3555,"")</f>
        <v/>
      </c>
      <c r="B3555" s="27">
        <f>IFERROR(IF(ISNUMBER(Datos!B3555),Datos!B3555/$F$2*100,NA()),NA())</f>
        <v/>
      </c>
      <c r="C3555" s="27">
        <f>IFERROR(IF(ISNUMBER(Datos!C3555),Datos!C3555/$F$3*100,NA()),NA())</f>
        <v/>
      </c>
    </row>
    <row r="3556">
      <c r="A3556" s="7">
        <f>IFERROR(Datos!A3556,"")</f>
        <v/>
      </c>
      <c r="B3556" s="27">
        <f>IFERROR(IF(ISNUMBER(Datos!B3556),Datos!B3556/$F$2*100,NA()),NA())</f>
        <v/>
      </c>
      <c r="C3556" s="27">
        <f>IFERROR(IF(ISNUMBER(Datos!C3556),Datos!C3556/$F$3*100,NA()),NA())</f>
        <v/>
      </c>
    </row>
    <row r="3557">
      <c r="A3557" s="7">
        <f>IFERROR(Datos!A3557,"")</f>
        <v/>
      </c>
      <c r="B3557" s="27">
        <f>IFERROR(IF(ISNUMBER(Datos!B3557),Datos!B3557/$F$2*100,NA()),NA())</f>
        <v/>
      </c>
      <c r="C3557" s="27">
        <f>IFERROR(IF(ISNUMBER(Datos!C3557),Datos!C3557/$F$3*100,NA()),NA())</f>
        <v/>
      </c>
    </row>
    <row r="3558">
      <c r="A3558" s="7">
        <f>IFERROR(Datos!A3558,"")</f>
        <v/>
      </c>
      <c r="B3558" s="27">
        <f>IFERROR(IF(ISNUMBER(Datos!B3558),Datos!B3558/$F$2*100,NA()),NA())</f>
        <v/>
      </c>
      <c r="C3558" s="27">
        <f>IFERROR(IF(ISNUMBER(Datos!C3558),Datos!C3558/$F$3*100,NA()),NA())</f>
        <v/>
      </c>
    </row>
    <row r="3559">
      <c r="A3559" s="7">
        <f>IFERROR(Datos!A3559,"")</f>
        <v/>
      </c>
      <c r="B3559" s="27">
        <f>IFERROR(IF(ISNUMBER(Datos!B3559),Datos!B3559/$F$2*100,NA()),NA())</f>
        <v/>
      </c>
      <c r="C3559" s="27">
        <f>IFERROR(IF(ISNUMBER(Datos!C3559),Datos!C3559/$F$3*100,NA()),NA())</f>
        <v/>
      </c>
    </row>
    <row r="3560">
      <c r="A3560" s="7">
        <f>IFERROR(Datos!A3560,"")</f>
        <v/>
      </c>
      <c r="B3560" s="27">
        <f>IFERROR(IF(ISNUMBER(Datos!B3560),Datos!B3560/$F$2*100,NA()),NA())</f>
        <v/>
      </c>
      <c r="C3560" s="27">
        <f>IFERROR(IF(ISNUMBER(Datos!C3560),Datos!C3560/$F$3*100,NA()),NA())</f>
        <v/>
      </c>
    </row>
    <row r="3561">
      <c r="A3561" s="7">
        <f>IFERROR(Datos!A3561,"")</f>
        <v/>
      </c>
      <c r="B3561" s="27">
        <f>IFERROR(IF(ISNUMBER(Datos!B3561),Datos!B3561/$F$2*100,NA()),NA())</f>
        <v/>
      </c>
      <c r="C3561" s="27">
        <f>IFERROR(IF(ISNUMBER(Datos!C3561),Datos!C3561/$F$3*100,NA()),NA())</f>
        <v/>
      </c>
    </row>
    <row r="3562">
      <c r="A3562" s="7">
        <f>IFERROR(Datos!A3562,"")</f>
        <v/>
      </c>
      <c r="B3562" s="27">
        <f>IFERROR(IF(ISNUMBER(Datos!B3562),Datos!B3562/$F$2*100,NA()),NA())</f>
        <v/>
      </c>
      <c r="C3562" s="27">
        <f>IFERROR(IF(ISNUMBER(Datos!C3562),Datos!C3562/$F$3*100,NA()),NA())</f>
        <v/>
      </c>
    </row>
    <row r="3563">
      <c r="A3563" s="7">
        <f>IFERROR(Datos!A3563,"")</f>
        <v/>
      </c>
      <c r="B3563" s="27">
        <f>IFERROR(IF(ISNUMBER(Datos!B3563),Datos!B3563/$F$2*100,NA()),NA())</f>
        <v/>
      </c>
      <c r="C3563" s="27">
        <f>IFERROR(IF(ISNUMBER(Datos!C3563),Datos!C3563/$F$3*100,NA()),NA())</f>
        <v/>
      </c>
    </row>
    <row r="3564">
      <c r="A3564" s="7">
        <f>IFERROR(Datos!A3564,"")</f>
        <v/>
      </c>
      <c r="B3564" s="27">
        <f>IFERROR(IF(ISNUMBER(Datos!B3564),Datos!B3564/$F$2*100,NA()),NA())</f>
        <v/>
      </c>
      <c r="C3564" s="27">
        <f>IFERROR(IF(ISNUMBER(Datos!C3564),Datos!C3564/$F$3*100,NA()),NA())</f>
        <v/>
      </c>
    </row>
    <row r="3565">
      <c r="A3565" s="7">
        <f>IFERROR(Datos!A3565,"")</f>
        <v/>
      </c>
      <c r="B3565" s="27">
        <f>IFERROR(IF(ISNUMBER(Datos!B3565),Datos!B3565/$F$2*100,NA()),NA())</f>
        <v/>
      </c>
      <c r="C3565" s="27">
        <f>IFERROR(IF(ISNUMBER(Datos!C3565),Datos!C3565/$F$3*100,NA()),NA())</f>
        <v/>
      </c>
    </row>
    <row r="3566">
      <c r="A3566" s="7">
        <f>IFERROR(Datos!A3566,"")</f>
        <v/>
      </c>
      <c r="B3566" s="27">
        <f>IFERROR(IF(ISNUMBER(Datos!B3566),Datos!B3566/$F$2*100,NA()),NA())</f>
        <v/>
      </c>
      <c r="C3566" s="27">
        <f>IFERROR(IF(ISNUMBER(Datos!C3566),Datos!C3566/$F$3*100,NA()),NA())</f>
        <v/>
      </c>
    </row>
    <row r="3567">
      <c r="A3567" s="7">
        <f>IFERROR(Datos!A3567,"")</f>
        <v/>
      </c>
      <c r="B3567" s="27">
        <f>IFERROR(IF(ISNUMBER(Datos!B3567),Datos!B3567/$F$2*100,NA()),NA())</f>
        <v/>
      </c>
      <c r="C3567" s="27">
        <f>IFERROR(IF(ISNUMBER(Datos!C3567),Datos!C3567/$F$3*100,NA()),NA())</f>
        <v/>
      </c>
    </row>
    <row r="3568">
      <c r="A3568" s="7">
        <f>IFERROR(Datos!A3568,"")</f>
        <v/>
      </c>
      <c r="B3568" s="27">
        <f>IFERROR(IF(ISNUMBER(Datos!B3568),Datos!B3568/$F$2*100,NA()),NA())</f>
        <v/>
      </c>
      <c r="C3568" s="27">
        <f>IFERROR(IF(ISNUMBER(Datos!C3568),Datos!C3568/$F$3*100,NA()),NA())</f>
        <v/>
      </c>
    </row>
    <row r="3569">
      <c r="A3569" s="7">
        <f>IFERROR(Datos!A3569,"")</f>
        <v/>
      </c>
      <c r="B3569" s="27">
        <f>IFERROR(IF(ISNUMBER(Datos!B3569),Datos!B3569/$F$2*100,NA()),NA())</f>
        <v/>
      </c>
      <c r="C3569" s="27">
        <f>IFERROR(IF(ISNUMBER(Datos!C3569),Datos!C3569/$F$3*100,NA()),NA())</f>
        <v/>
      </c>
    </row>
    <row r="3570">
      <c r="A3570" s="7">
        <f>IFERROR(Datos!A3570,"")</f>
        <v/>
      </c>
      <c r="B3570" s="27">
        <f>IFERROR(IF(ISNUMBER(Datos!B3570),Datos!B3570/$F$2*100,NA()),NA())</f>
        <v/>
      </c>
      <c r="C3570" s="27">
        <f>IFERROR(IF(ISNUMBER(Datos!C3570),Datos!C3570/$F$3*100,NA()),NA())</f>
        <v/>
      </c>
    </row>
    <row r="3571">
      <c r="A3571" s="7">
        <f>IFERROR(Datos!A3571,"")</f>
        <v/>
      </c>
      <c r="B3571" s="27">
        <f>IFERROR(IF(ISNUMBER(Datos!B3571),Datos!B3571/$F$2*100,NA()),NA())</f>
        <v/>
      </c>
      <c r="C3571" s="27">
        <f>IFERROR(IF(ISNUMBER(Datos!C3571),Datos!C3571/$F$3*100,NA()),NA())</f>
        <v/>
      </c>
    </row>
    <row r="3572">
      <c r="A3572" s="7">
        <f>IFERROR(Datos!A3572,"")</f>
        <v/>
      </c>
      <c r="B3572" s="27">
        <f>IFERROR(IF(ISNUMBER(Datos!B3572),Datos!B3572/$F$2*100,NA()),NA())</f>
        <v/>
      </c>
      <c r="C3572" s="27">
        <f>IFERROR(IF(ISNUMBER(Datos!C3572),Datos!C3572/$F$3*100,NA()),NA())</f>
        <v/>
      </c>
    </row>
    <row r="3573">
      <c r="A3573" s="7">
        <f>IFERROR(Datos!A3573,"")</f>
        <v/>
      </c>
      <c r="B3573" s="27">
        <f>IFERROR(IF(ISNUMBER(Datos!B3573),Datos!B3573/$F$2*100,NA()),NA())</f>
        <v/>
      </c>
      <c r="C3573" s="27">
        <f>IFERROR(IF(ISNUMBER(Datos!C3573),Datos!C3573/$F$3*100,NA()),NA())</f>
        <v/>
      </c>
    </row>
    <row r="3574">
      <c r="A3574" s="7">
        <f>IFERROR(Datos!A3574,"")</f>
        <v/>
      </c>
      <c r="B3574" s="27">
        <f>IFERROR(IF(ISNUMBER(Datos!B3574),Datos!B3574/$F$2*100,NA()),NA())</f>
        <v/>
      </c>
      <c r="C3574" s="27">
        <f>IFERROR(IF(ISNUMBER(Datos!C3574),Datos!C3574/$F$3*100,NA()),NA())</f>
        <v/>
      </c>
    </row>
    <row r="3575">
      <c r="A3575" s="7">
        <f>IFERROR(Datos!A3575,"")</f>
        <v/>
      </c>
      <c r="B3575" s="27">
        <f>IFERROR(IF(ISNUMBER(Datos!B3575),Datos!B3575/$F$2*100,NA()),NA())</f>
        <v/>
      </c>
      <c r="C3575" s="27">
        <f>IFERROR(IF(ISNUMBER(Datos!C3575),Datos!C3575/$F$3*100,NA()),NA())</f>
        <v/>
      </c>
    </row>
    <row r="3576">
      <c r="A3576" s="7">
        <f>IFERROR(Datos!A3576,"")</f>
        <v/>
      </c>
      <c r="B3576" s="27">
        <f>IFERROR(IF(ISNUMBER(Datos!B3576),Datos!B3576/$F$2*100,NA()),NA())</f>
        <v/>
      </c>
      <c r="C3576" s="27">
        <f>IFERROR(IF(ISNUMBER(Datos!C3576),Datos!C3576/$F$3*100,NA()),NA())</f>
        <v/>
      </c>
    </row>
    <row r="3577">
      <c r="A3577" s="7">
        <f>IFERROR(Datos!A3577,"")</f>
        <v/>
      </c>
      <c r="B3577" s="27">
        <f>IFERROR(IF(ISNUMBER(Datos!B3577),Datos!B3577/$F$2*100,NA()),NA())</f>
        <v/>
      </c>
      <c r="C3577" s="27">
        <f>IFERROR(IF(ISNUMBER(Datos!C3577),Datos!C3577/$F$3*100,NA()),NA())</f>
        <v/>
      </c>
    </row>
    <row r="3578">
      <c r="A3578" s="7">
        <f>IFERROR(Datos!A3578,"")</f>
        <v/>
      </c>
      <c r="B3578" s="27">
        <f>IFERROR(IF(ISNUMBER(Datos!B3578),Datos!B3578/$F$2*100,NA()),NA())</f>
        <v/>
      </c>
      <c r="C3578" s="27">
        <f>IFERROR(IF(ISNUMBER(Datos!C3578),Datos!C3578/$F$3*100,NA()),NA())</f>
        <v/>
      </c>
    </row>
    <row r="3579">
      <c r="A3579" s="7">
        <f>IFERROR(Datos!A3579,"")</f>
        <v/>
      </c>
      <c r="B3579" s="27">
        <f>IFERROR(IF(ISNUMBER(Datos!B3579),Datos!B3579/$F$2*100,NA()),NA())</f>
        <v/>
      </c>
      <c r="C3579" s="27">
        <f>IFERROR(IF(ISNUMBER(Datos!C3579),Datos!C3579/$F$3*100,NA()),NA())</f>
        <v/>
      </c>
    </row>
    <row r="3580">
      <c r="A3580" s="7">
        <f>IFERROR(Datos!A3580,"")</f>
        <v/>
      </c>
      <c r="B3580" s="27">
        <f>IFERROR(IF(ISNUMBER(Datos!B3580),Datos!B3580/$F$2*100,NA()),NA())</f>
        <v/>
      </c>
      <c r="C3580" s="27">
        <f>IFERROR(IF(ISNUMBER(Datos!C3580),Datos!C3580/$F$3*100,NA()),NA())</f>
        <v/>
      </c>
    </row>
    <row r="3581">
      <c r="A3581" s="7">
        <f>IFERROR(Datos!A3581,"")</f>
        <v/>
      </c>
      <c r="B3581" s="27">
        <f>IFERROR(IF(ISNUMBER(Datos!B3581),Datos!B3581/$F$2*100,NA()),NA())</f>
        <v/>
      </c>
      <c r="C3581" s="27">
        <f>IFERROR(IF(ISNUMBER(Datos!C3581),Datos!C3581/$F$3*100,NA()),NA())</f>
        <v/>
      </c>
    </row>
    <row r="3582">
      <c r="A3582" s="7">
        <f>IFERROR(Datos!A3582,"")</f>
        <v/>
      </c>
      <c r="B3582" s="27">
        <f>IFERROR(IF(ISNUMBER(Datos!B3582),Datos!B3582/$F$2*100,NA()),NA())</f>
        <v/>
      </c>
      <c r="C3582" s="27">
        <f>IFERROR(IF(ISNUMBER(Datos!C3582),Datos!C3582/$F$3*100,NA()),NA())</f>
        <v/>
      </c>
    </row>
    <row r="3583">
      <c r="A3583" s="7">
        <f>IFERROR(Datos!A3583,"")</f>
        <v/>
      </c>
      <c r="B3583" s="27">
        <f>IFERROR(IF(ISNUMBER(Datos!B3583),Datos!B3583/$F$2*100,NA()),NA())</f>
        <v/>
      </c>
      <c r="C3583" s="27">
        <f>IFERROR(IF(ISNUMBER(Datos!C3583),Datos!C3583/$F$3*100,NA()),NA())</f>
        <v/>
      </c>
    </row>
    <row r="3584">
      <c r="A3584" s="7">
        <f>IFERROR(Datos!A3584,"")</f>
        <v/>
      </c>
      <c r="B3584" s="27">
        <f>IFERROR(IF(ISNUMBER(Datos!B3584),Datos!B3584/$F$2*100,NA()),NA())</f>
        <v/>
      </c>
      <c r="C3584" s="27">
        <f>IFERROR(IF(ISNUMBER(Datos!C3584),Datos!C3584/$F$3*100,NA()),NA())</f>
        <v/>
      </c>
    </row>
    <row r="3585">
      <c r="A3585" s="7">
        <f>IFERROR(Datos!A3585,"")</f>
        <v/>
      </c>
      <c r="B3585" s="27">
        <f>IFERROR(IF(ISNUMBER(Datos!B3585),Datos!B3585/$F$2*100,NA()),NA())</f>
        <v/>
      </c>
      <c r="C3585" s="27">
        <f>IFERROR(IF(ISNUMBER(Datos!C3585),Datos!C3585/$F$3*100,NA()),NA())</f>
        <v/>
      </c>
    </row>
    <row r="3586">
      <c r="A3586" s="7">
        <f>IFERROR(Datos!A3586,"")</f>
        <v/>
      </c>
      <c r="B3586" s="27">
        <f>IFERROR(IF(ISNUMBER(Datos!B3586),Datos!B3586/$F$2*100,NA()),NA())</f>
        <v/>
      </c>
      <c r="C3586" s="27">
        <f>IFERROR(IF(ISNUMBER(Datos!C3586),Datos!C3586/$F$3*100,NA()),NA())</f>
        <v/>
      </c>
    </row>
    <row r="3587">
      <c r="A3587" s="7">
        <f>IFERROR(Datos!A3587,"")</f>
        <v/>
      </c>
      <c r="B3587" s="27">
        <f>IFERROR(IF(ISNUMBER(Datos!B3587),Datos!B3587/$F$2*100,NA()),NA())</f>
        <v/>
      </c>
      <c r="C3587" s="27">
        <f>IFERROR(IF(ISNUMBER(Datos!C3587),Datos!C3587/$F$3*100,NA()),NA())</f>
        <v/>
      </c>
    </row>
    <row r="3588">
      <c r="A3588" s="7">
        <f>IFERROR(Datos!A3588,"")</f>
        <v/>
      </c>
      <c r="B3588" s="27">
        <f>IFERROR(IF(ISNUMBER(Datos!B3588),Datos!B3588/$F$2*100,NA()),NA())</f>
        <v/>
      </c>
      <c r="C3588" s="27">
        <f>IFERROR(IF(ISNUMBER(Datos!C3588),Datos!C3588/$F$3*100,NA()),NA())</f>
        <v/>
      </c>
    </row>
    <row r="3589">
      <c r="A3589" s="7">
        <f>IFERROR(Datos!A3589,"")</f>
        <v/>
      </c>
      <c r="B3589" s="27">
        <f>IFERROR(IF(ISNUMBER(Datos!B3589),Datos!B3589/$F$2*100,NA()),NA())</f>
        <v/>
      </c>
      <c r="C3589" s="27">
        <f>IFERROR(IF(ISNUMBER(Datos!C3589),Datos!C3589/$F$3*100,NA()),NA())</f>
        <v/>
      </c>
    </row>
    <row r="3590">
      <c r="A3590" s="7">
        <f>IFERROR(Datos!A3590,"")</f>
        <v/>
      </c>
      <c r="B3590" s="27">
        <f>IFERROR(IF(ISNUMBER(Datos!B3590),Datos!B3590/$F$2*100,NA()),NA())</f>
        <v/>
      </c>
      <c r="C3590" s="27">
        <f>IFERROR(IF(ISNUMBER(Datos!C3590),Datos!C3590/$F$3*100,NA()),NA())</f>
        <v/>
      </c>
    </row>
    <row r="3591">
      <c r="A3591" s="7">
        <f>IFERROR(Datos!A3591,"")</f>
        <v/>
      </c>
      <c r="B3591" s="27">
        <f>IFERROR(IF(ISNUMBER(Datos!B3591),Datos!B3591/$F$2*100,NA()),NA())</f>
        <v/>
      </c>
      <c r="C3591" s="27">
        <f>IFERROR(IF(ISNUMBER(Datos!C3591),Datos!C3591/$F$3*100,NA()),NA())</f>
        <v/>
      </c>
    </row>
    <row r="3592">
      <c r="A3592" s="7">
        <f>IFERROR(Datos!A3592,"")</f>
        <v/>
      </c>
      <c r="B3592" s="27">
        <f>IFERROR(IF(ISNUMBER(Datos!B3592),Datos!B3592/$F$2*100,NA()),NA())</f>
        <v/>
      </c>
      <c r="C3592" s="27">
        <f>IFERROR(IF(ISNUMBER(Datos!C3592),Datos!C3592/$F$3*100,NA()),NA())</f>
        <v/>
      </c>
    </row>
    <row r="3593">
      <c r="A3593" s="7">
        <f>IFERROR(Datos!A3593,"")</f>
        <v/>
      </c>
      <c r="B3593" s="27">
        <f>IFERROR(IF(ISNUMBER(Datos!B3593),Datos!B3593/$F$2*100,NA()),NA())</f>
        <v/>
      </c>
      <c r="C3593" s="27">
        <f>IFERROR(IF(ISNUMBER(Datos!C3593),Datos!C3593/$F$3*100,NA()),NA())</f>
        <v/>
      </c>
    </row>
    <row r="3594">
      <c r="A3594" s="7">
        <f>IFERROR(Datos!A3594,"")</f>
        <v/>
      </c>
      <c r="B3594" s="27">
        <f>IFERROR(IF(ISNUMBER(Datos!B3594),Datos!B3594/$F$2*100,NA()),NA())</f>
        <v/>
      </c>
      <c r="C3594" s="27">
        <f>IFERROR(IF(ISNUMBER(Datos!C3594),Datos!C3594/$F$3*100,NA()),NA())</f>
        <v/>
      </c>
    </row>
    <row r="3595">
      <c r="A3595" s="7">
        <f>IFERROR(Datos!A3595,"")</f>
        <v/>
      </c>
      <c r="B3595" s="27">
        <f>IFERROR(IF(ISNUMBER(Datos!B3595),Datos!B3595/$F$2*100,NA()),NA())</f>
        <v/>
      </c>
      <c r="C3595" s="27">
        <f>IFERROR(IF(ISNUMBER(Datos!C3595),Datos!C3595/$F$3*100,NA()),NA())</f>
        <v/>
      </c>
    </row>
    <row r="3596">
      <c r="A3596" s="7">
        <f>IFERROR(Datos!A3596,"")</f>
        <v/>
      </c>
      <c r="B3596" s="27">
        <f>IFERROR(IF(ISNUMBER(Datos!B3596),Datos!B3596/$F$2*100,NA()),NA())</f>
        <v/>
      </c>
      <c r="C3596" s="27">
        <f>IFERROR(IF(ISNUMBER(Datos!C3596),Datos!C3596/$F$3*100,NA()),NA())</f>
        <v/>
      </c>
    </row>
    <row r="3597">
      <c r="A3597" s="7">
        <f>IFERROR(Datos!A3597,"")</f>
        <v/>
      </c>
      <c r="B3597" s="27">
        <f>IFERROR(IF(ISNUMBER(Datos!B3597),Datos!B3597/$F$2*100,NA()),NA())</f>
        <v/>
      </c>
      <c r="C3597" s="27">
        <f>IFERROR(IF(ISNUMBER(Datos!C3597),Datos!C3597/$F$3*100,NA()),NA())</f>
        <v/>
      </c>
    </row>
    <row r="3598">
      <c r="A3598" s="7">
        <f>IFERROR(Datos!A3598,"")</f>
        <v/>
      </c>
      <c r="B3598" s="27">
        <f>IFERROR(IF(ISNUMBER(Datos!B3598),Datos!B3598/$F$2*100,NA()),NA())</f>
        <v/>
      </c>
      <c r="C3598" s="27">
        <f>IFERROR(IF(ISNUMBER(Datos!C3598),Datos!C3598/$F$3*100,NA()),NA())</f>
        <v/>
      </c>
    </row>
    <row r="3599">
      <c r="A3599" s="7">
        <f>IFERROR(Datos!A3599,"")</f>
        <v/>
      </c>
      <c r="B3599" s="27">
        <f>IFERROR(IF(ISNUMBER(Datos!B3599),Datos!B3599/$F$2*100,NA()),NA())</f>
        <v/>
      </c>
      <c r="C3599" s="27">
        <f>IFERROR(IF(ISNUMBER(Datos!C3599),Datos!C3599/$F$3*100,NA()),NA())</f>
        <v/>
      </c>
    </row>
    <row r="3600">
      <c r="A3600" s="7">
        <f>IFERROR(Datos!A3600,"")</f>
        <v/>
      </c>
      <c r="B3600" s="27">
        <f>IFERROR(IF(ISNUMBER(Datos!B3600),Datos!B3600/$F$2*100,NA()),NA())</f>
        <v/>
      </c>
      <c r="C3600" s="27">
        <f>IFERROR(IF(ISNUMBER(Datos!C3600),Datos!C3600/$F$3*100,NA()),NA())</f>
        <v/>
      </c>
    </row>
    <row r="3601">
      <c r="A3601" s="7">
        <f>IFERROR(Datos!A3601,"")</f>
        <v/>
      </c>
      <c r="B3601" s="27">
        <f>IFERROR(IF(ISNUMBER(Datos!B3601),Datos!B3601/$F$2*100,NA()),NA())</f>
        <v/>
      </c>
      <c r="C3601" s="27">
        <f>IFERROR(IF(ISNUMBER(Datos!C3601),Datos!C3601/$F$3*100,NA()),NA())</f>
        <v/>
      </c>
    </row>
    <row r="3602">
      <c r="A3602" s="7">
        <f>IFERROR(Datos!A3602,"")</f>
        <v/>
      </c>
      <c r="B3602" s="27">
        <f>IFERROR(IF(ISNUMBER(Datos!B3602),Datos!B3602/$F$2*100,NA()),NA())</f>
        <v/>
      </c>
      <c r="C3602" s="27">
        <f>IFERROR(IF(ISNUMBER(Datos!C3602),Datos!C3602/$F$3*100,NA()),NA())</f>
        <v/>
      </c>
    </row>
    <row r="3603">
      <c r="A3603" s="7">
        <f>IFERROR(Datos!A3603,"")</f>
        <v/>
      </c>
      <c r="B3603" s="27">
        <f>IFERROR(IF(ISNUMBER(Datos!B3603),Datos!B3603/$F$2*100,NA()),NA())</f>
        <v/>
      </c>
      <c r="C3603" s="27">
        <f>IFERROR(IF(ISNUMBER(Datos!C3603),Datos!C3603/$F$3*100,NA()),NA())</f>
        <v/>
      </c>
    </row>
    <row r="3604">
      <c r="A3604" s="7">
        <f>IFERROR(Datos!A3604,"")</f>
        <v/>
      </c>
      <c r="B3604" s="27">
        <f>IFERROR(IF(ISNUMBER(Datos!B3604),Datos!B3604/$F$2*100,NA()),NA())</f>
        <v/>
      </c>
      <c r="C3604" s="27">
        <f>IFERROR(IF(ISNUMBER(Datos!C3604),Datos!C3604/$F$3*100,NA()),NA())</f>
        <v/>
      </c>
    </row>
    <row r="3605">
      <c r="A3605" s="7">
        <f>IFERROR(Datos!A3605,"")</f>
        <v/>
      </c>
      <c r="B3605" s="27">
        <f>IFERROR(IF(ISNUMBER(Datos!B3605),Datos!B3605/$F$2*100,NA()),NA())</f>
        <v/>
      </c>
      <c r="C3605" s="27">
        <f>IFERROR(IF(ISNUMBER(Datos!C3605),Datos!C3605/$F$3*100,NA()),NA())</f>
        <v/>
      </c>
    </row>
    <row r="3606">
      <c r="A3606" s="7">
        <f>IFERROR(Datos!A3606,"")</f>
        <v/>
      </c>
      <c r="B3606" s="27">
        <f>IFERROR(IF(ISNUMBER(Datos!B3606),Datos!B3606/$F$2*100,NA()),NA())</f>
        <v/>
      </c>
      <c r="C3606" s="27">
        <f>IFERROR(IF(ISNUMBER(Datos!C3606),Datos!C3606/$F$3*100,NA()),NA())</f>
        <v/>
      </c>
    </row>
    <row r="3607">
      <c r="A3607" s="7">
        <f>IFERROR(Datos!A3607,"")</f>
        <v/>
      </c>
      <c r="B3607" s="27">
        <f>IFERROR(IF(ISNUMBER(Datos!B3607),Datos!B3607/$F$2*100,NA()),NA())</f>
        <v/>
      </c>
      <c r="C3607" s="27">
        <f>IFERROR(IF(ISNUMBER(Datos!C3607),Datos!C3607/$F$3*100,NA()),NA())</f>
        <v/>
      </c>
    </row>
    <row r="3608">
      <c r="A3608" s="7">
        <f>IFERROR(Datos!A3608,"")</f>
        <v/>
      </c>
      <c r="B3608" s="27">
        <f>IFERROR(IF(ISNUMBER(Datos!B3608),Datos!B3608/$F$2*100,NA()),NA())</f>
        <v/>
      </c>
      <c r="C3608" s="27">
        <f>IFERROR(IF(ISNUMBER(Datos!C3608),Datos!C3608/$F$3*100,NA()),NA())</f>
        <v/>
      </c>
    </row>
    <row r="3609">
      <c r="A3609" s="7">
        <f>IFERROR(Datos!A3609,"")</f>
        <v/>
      </c>
      <c r="B3609" s="27">
        <f>IFERROR(IF(ISNUMBER(Datos!B3609),Datos!B3609/$F$2*100,NA()),NA())</f>
        <v/>
      </c>
      <c r="C3609" s="27">
        <f>IFERROR(IF(ISNUMBER(Datos!C3609),Datos!C3609/$F$3*100,NA()),NA())</f>
        <v/>
      </c>
    </row>
    <row r="3610">
      <c r="A3610" s="7">
        <f>IFERROR(Datos!A3610,"")</f>
        <v/>
      </c>
      <c r="B3610" s="27">
        <f>IFERROR(IF(ISNUMBER(Datos!B3610),Datos!B3610/$F$2*100,NA()),NA())</f>
        <v/>
      </c>
      <c r="C3610" s="27">
        <f>IFERROR(IF(ISNUMBER(Datos!C3610),Datos!C3610/$F$3*100,NA()),NA())</f>
        <v/>
      </c>
    </row>
    <row r="3611">
      <c r="A3611" s="7">
        <f>IFERROR(Datos!A3611,"")</f>
        <v/>
      </c>
      <c r="B3611" s="27">
        <f>IFERROR(IF(ISNUMBER(Datos!B3611),Datos!B3611/$F$2*100,NA()),NA())</f>
        <v/>
      </c>
      <c r="C3611" s="27">
        <f>IFERROR(IF(ISNUMBER(Datos!C3611),Datos!C3611/$F$3*100,NA()),NA())</f>
        <v/>
      </c>
    </row>
    <row r="3612">
      <c r="A3612" s="7">
        <f>IFERROR(Datos!A3612,"")</f>
        <v/>
      </c>
      <c r="B3612" s="27">
        <f>IFERROR(IF(ISNUMBER(Datos!B3612),Datos!B3612/$F$2*100,NA()),NA())</f>
        <v/>
      </c>
      <c r="C3612" s="27">
        <f>IFERROR(IF(ISNUMBER(Datos!C3612),Datos!C3612/$F$3*100,NA()),NA())</f>
        <v/>
      </c>
    </row>
    <row r="3613">
      <c r="A3613" s="7">
        <f>IFERROR(Datos!A3613,"")</f>
        <v/>
      </c>
      <c r="B3613" s="27">
        <f>IFERROR(IF(ISNUMBER(Datos!B3613),Datos!B3613/$F$2*100,NA()),NA())</f>
        <v/>
      </c>
      <c r="C3613" s="27">
        <f>IFERROR(IF(ISNUMBER(Datos!C3613),Datos!C3613/$F$3*100,NA()),NA())</f>
        <v/>
      </c>
    </row>
    <row r="3614">
      <c r="A3614" s="7">
        <f>IFERROR(Datos!A3614,"")</f>
        <v/>
      </c>
      <c r="B3614" s="27">
        <f>IFERROR(IF(ISNUMBER(Datos!B3614),Datos!B3614/$F$2*100,NA()),NA())</f>
        <v/>
      </c>
      <c r="C3614" s="27">
        <f>IFERROR(IF(ISNUMBER(Datos!C3614),Datos!C3614/$F$3*100,NA()),NA())</f>
        <v/>
      </c>
    </row>
    <row r="3615">
      <c r="A3615" s="7">
        <f>IFERROR(Datos!A3615,"")</f>
        <v/>
      </c>
      <c r="B3615" s="27">
        <f>IFERROR(IF(ISNUMBER(Datos!B3615),Datos!B3615/$F$2*100,NA()),NA())</f>
        <v/>
      </c>
      <c r="C3615" s="27">
        <f>IFERROR(IF(ISNUMBER(Datos!C3615),Datos!C3615/$F$3*100,NA()),NA())</f>
        <v/>
      </c>
    </row>
    <row r="3616">
      <c r="A3616" s="7">
        <f>IFERROR(Datos!A3616,"")</f>
        <v/>
      </c>
      <c r="B3616" s="27">
        <f>IFERROR(IF(ISNUMBER(Datos!B3616),Datos!B3616/$F$2*100,NA()),NA())</f>
        <v/>
      </c>
      <c r="C3616" s="27">
        <f>IFERROR(IF(ISNUMBER(Datos!C3616),Datos!C3616/$F$3*100,NA()),NA())</f>
        <v/>
      </c>
    </row>
    <row r="3617">
      <c r="A3617" s="7">
        <f>IFERROR(Datos!A3617,"")</f>
        <v/>
      </c>
      <c r="B3617" s="27">
        <f>IFERROR(IF(ISNUMBER(Datos!B3617),Datos!B3617/$F$2*100,NA()),NA())</f>
        <v/>
      </c>
      <c r="C3617" s="27">
        <f>IFERROR(IF(ISNUMBER(Datos!C3617),Datos!C3617/$F$3*100,NA()),NA())</f>
        <v/>
      </c>
    </row>
    <row r="3618">
      <c r="A3618" s="7">
        <f>IFERROR(Datos!A3618,"")</f>
        <v/>
      </c>
      <c r="B3618" s="27">
        <f>IFERROR(IF(ISNUMBER(Datos!B3618),Datos!B3618/$F$2*100,NA()),NA())</f>
        <v/>
      </c>
      <c r="C3618" s="27">
        <f>IFERROR(IF(ISNUMBER(Datos!C3618),Datos!C3618/$F$3*100,NA()),NA())</f>
        <v/>
      </c>
    </row>
    <row r="3619">
      <c r="A3619" s="7">
        <f>IFERROR(Datos!A3619,"")</f>
        <v/>
      </c>
      <c r="B3619" s="27">
        <f>IFERROR(IF(ISNUMBER(Datos!B3619),Datos!B3619/$F$2*100,NA()),NA())</f>
        <v/>
      </c>
      <c r="C3619" s="27">
        <f>IFERROR(IF(ISNUMBER(Datos!C3619),Datos!C3619/$F$3*100,NA()),NA())</f>
        <v/>
      </c>
    </row>
    <row r="3620">
      <c r="A3620" s="7">
        <f>IFERROR(Datos!A3620,"")</f>
        <v/>
      </c>
      <c r="B3620" s="27">
        <f>IFERROR(IF(ISNUMBER(Datos!B3620),Datos!B3620/$F$2*100,NA()),NA())</f>
        <v/>
      </c>
      <c r="C3620" s="27">
        <f>IFERROR(IF(ISNUMBER(Datos!C3620),Datos!C3620/$F$3*100,NA()),NA())</f>
        <v/>
      </c>
    </row>
    <row r="3621">
      <c r="A3621" s="7">
        <f>IFERROR(Datos!A3621,"")</f>
        <v/>
      </c>
      <c r="B3621" s="27">
        <f>IFERROR(IF(ISNUMBER(Datos!B3621),Datos!B3621/$F$2*100,NA()),NA())</f>
        <v/>
      </c>
      <c r="C3621" s="27">
        <f>IFERROR(IF(ISNUMBER(Datos!C3621),Datos!C3621/$F$3*100,NA()),NA())</f>
        <v/>
      </c>
    </row>
    <row r="3622">
      <c r="A3622" s="7">
        <f>IFERROR(Datos!A3622,"")</f>
        <v/>
      </c>
      <c r="B3622" s="27">
        <f>IFERROR(IF(ISNUMBER(Datos!B3622),Datos!B3622/$F$2*100,NA()),NA())</f>
        <v/>
      </c>
      <c r="C3622" s="27">
        <f>IFERROR(IF(ISNUMBER(Datos!C3622),Datos!C3622/$F$3*100,NA()),NA())</f>
        <v/>
      </c>
    </row>
    <row r="3623">
      <c r="A3623" s="7">
        <f>IFERROR(Datos!A3623,"")</f>
        <v/>
      </c>
      <c r="B3623" s="27">
        <f>IFERROR(IF(ISNUMBER(Datos!B3623),Datos!B3623/$F$2*100,NA()),NA())</f>
        <v/>
      </c>
      <c r="C3623" s="27">
        <f>IFERROR(IF(ISNUMBER(Datos!C3623),Datos!C3623/$F$3*100,NA()),NA())</f>
        <v/>
      </c>
    </row>
    <row r="3624">
      <c r="A3624" s="7">
        <f>IFERROR(Datos!A3624,"")</f>
        <v/>
      </c>
      <c r="B3624" s="27">
        <f>IFERROR(IF(ISNUMBER(Datos!B3624),Datos!B3624/$F$2*100,NA()),NA())</f>
        <v/>
      </c>
      <c r="C3624" s="27">
        <f>IFERROR(IF(ISNUMBER(Datos!C3624),Datos!C3624/$F$3*100,NA()),NA())</f>
        <v/>
      </c>
    </row>
    <row r="3625">
      <c r="A3625" s="7">
        <f>IFERROR(Datos!A3625,"")</f>
        <v/>
      </c>
      <c r="B3625" s="27">
        <f>IFERROR(IF(ISNUMBER(Datos!B3625),Datos!B3625/$F$2*100,NA()),NA())</f>
        <v/>
      </c>
      <c r="C3625" s="27">
        <f>IFERROR(IF(ISNUMBER(Datos!C3625),Datos!C3625/$F$3*100,NA()),NA())</f>
        <v/>
      </c>
    </row>
    <row r="3626">
      <c r="A3626" s="7">
        <f>IFERROR(Datos!A3626,"")</f>
        <v/>
      </c>
      <c r="B3626" s="27">
        <f>IFERROR(IF(ISNUMBER(Datos!B3626),Datos!B3626/$F$2*100,NA()),NA())</f>
        <v/>
      </c>
      <c r="C3626" s="27">
        <f>IFERROR(IF(ISNUMBER(Datos!C3626),Datos!C3626/$F$3*100,NA()),NA())</f>
        <v/>
      </c>
    </row>
    <row r="3627">
      <c r="A3627" s="7">
        <f>IFERROR(Datos!A3627,"")</f>
        <v/>
      </c>
      <c r="B3627" s="27">
        <f>IFERROR(IF(ISNUMBER(Datos!B3627),Datos!B3627/$F$2*100,NA()),NA())</f>
        <v/>
      </c>
      <c r="C3627" s="27">
        <f>IFERROR(IF(ISNUMBER(Datos!C3627),Datos!C3627/$F$3*100,NA()),NA())</f>
        <v/>
      </c>
    </row>
    <row r="3628">
      <c r="A3628" s="7">
        <f>IFERROR(Datos!A3628,"")</f>
        <v/>
      </c>
      <c r="B3628" s="27">
        <f>IFERROR(IF(ISNUMBER(Datos!B3628),Datos!B3628/$F$2*100,NA()),NA())</f>
        <v/>
      </c>
      <c r="C3628" s="27">
        <f>IFERROR(IF(ISNUMBER(Datos!C3628),Datos!C3628/$F$3*100,NA()),NA())</f>
        <v/>
      </c>
    </row>
    <row r="3629">
      <c r="A3629" s="7">
        <f>IFERROR(Datos!A3629,"")</f>
        <v/>
      </c>
      <c r="B3629" s="27">
        <f>IFERROR(IF(ISNUMBER(Datos!B3629),Datos!B3629/$F$2*100,NA()),NA())</f>
        <v/>
      </c>
      <c r="C3629" s="27">
        <f>IFERROR(IF(ISNUMBER(Datos!C3629),Datos!C3629/$F$3*100,NA()),NA())</f>
        <v/>
      </c>
    </row>
    <row r="3630">
      <c r="A3630" s="7">
        <f>IFERROR(Datos!A3630,"")</f>
        <v/>
      </c>
      <c r="B3630" s="27">
        <f>IFERROR(IF(ISNUMBER(Datos!B3630),Datos!B3630/$F$2*100,NA()),NA())</f>
        <v/>
      </c>
      <c r="C3630" s="27">
        <f>IFERROR(IF(ISNUMBER(Datos!C3630),Datos!C3630/$F$3*100,NA()),NA())</f>
        <v/>
      </c>
    </row>
    <row r="3631">
      <c r="A3631" s="7">
        <f>IFERROR(Datos!A3631,"")</f>
        <v/>
      </c>
      <c r="B3631" s="27">
        <f>IFERROR(IF(ISNUMBER(Datos!B3631),Datos!B3631/$F$2*100,NA()),NA())</f>
        <v/>
      </c>
      <c r="C3631" s="27">
        <f>IFERROR(IF(ISNUMBER(Datos!C3631),Datos!C3631/$F$3*100,NA()),NA())</f>
        <v/>
      </c>
    </row>
    <row r="3632">
      <c r="A3632" s="7">
        <f>IFERROR(Datos!A3632,"")</f>
        <v/>
      </c>
      <c r="B3632" s="27">
        <f>IFERROR(IF(ISNUMBER(Datos!B3632),Datos!B3632/$F$2*100,NA()),NA())</f>
        <v/>
      </c>
      <c r="C3632" s="27">
        <f>IFERROR(IF(ISNUMBER(Datos!C3632),Datos!C3632/$F$3*100,NA()),NA())</f>
        <v/>
      </c>
    </row>
    <row r="3633">
      <c r="A3633" s="7">
        <f>IFERROR(Datos!A3633,"")</f>
        <v/>
      </c>
      <c r="B3633" s="27">
        <f>IFERROR(IF(ISNUMBER(Datos!B3633),Datos!B3633/$F$2*100,NA()),NA())</f>
        <v/>
      </c>
      <c r="C3633" s="27">
        <f>IFERROR(IF(ISNUMBER(Datos!C3633),Datos!C3633/$F$3*100,NA()),NA())</f>
        <v/>
      </c>
    </row>
    <row r="3634">
      <c r="A3634" s="7">
        <f>IFERROR(Datos!A3634,"")</f>
        <v/>
      </c>
      <c r="B3634" s="27">
        <f>IFERROR(IF(ISNUMBER(Datos!B3634),Datos!B3634/$F$2*100,NA()),NA())</f>
        <v/>
      </c>
      <c r="C3634" s="27">
        <f>IFERROR(IF(ISNUMBER(Datos!C3634),Datos!C3634/$F$3*100,NA()),NA())</f>
        <v/>
      </c>
    </row>
    <row r="3635">
      <c r="A3635" s="7">
        <f>IFERROR(Datos!A3635,"")</f>
        <v/>
      </c>
      <c r="B3635" s="27">
        <f>IFERROR(IF(ISNUMBER(Datos!B3635),Datos!B3635/$F$2*100,NA()),NA())</f>
        <v/>
      </c>
      <c r="C3635" s="27">
        <f>IFERROR(IF(ISNUMBER(Datos!C3635),Datos!C3635/$F$3*100,NA()),NA())</f>
        <v/>
      </c>
    </row>
    <row r="3636">
      <c r="A3636" s="7">
        <f>IFERROR(Datos!A3636,"")</f>
        <v/>
      </c>
      <c r="B3636" s="27">
        <f>IFERROR(IF(ISNUMBER(Datos!B3636),Datos!B3636/$F$2*100,NA()),NA())</f>
        <v/>
      </c>
      <c r="C3636" s="27">
        <f>IFERROR(IF(ISNUMBER(Datos!C3636),Datos!C3636/$F$3*100,NA()),NA())</f>
        <v/>
      </c>
    </row>
    <row r="3637">
      <c r="A3637" s="7">
        <f>IFERROR(Datos!A3637,"")</f>
        <v/>
      </c>
      <c r="B3637" s="27">
        <f>IFERROR(IF(ISNUMBER(Datos!B3637),Datos!B3637/$F$2*100,NA()),NA())</f>
        <v/>
      </c>
      <c r="C3637" s="27">
        <f>IFERROR(IF(ISNUMBER(Datos!C3637),Datos!C3637/$F$3*100,NA()),NA())</f>
        <v/>
      </c>
    </row>
    <row r="3638">
      <c r="A3638" s="7">
        <f>IFERROR(Datos!A3638,"")</f>
        <v/>
      </c>
      <c r="B3638" s="27">
        <f>IFERROR(IF(ISNUMBER(Datos!B3638),Datos!B3638/$F$2*100,NA()),NA())</f>
        <v/>
      </c>
      <c r="C3638" s="27">
        <f>IFERROR(IF(ISNUMBER(Datos!C3638),Datos!C3638/$F$3*100,NA()),NA())</f>
        <v/>
      </c>
    </row>
    <row r="3639">
      <c r="A3639" s="7">
        <f>IFERROR(Datos!A3639,"")</f>
        <v/>
      </c>
      <c r="B3639" s="27">
        <f>IFERROR(IF(ISNUMBER(Datos!B3639),Datos!B3639/$F$2*100,NA()),NA())</f>
        <v/>
      </c>
      <c r="C3639" s="27">
        <f>IFERROR(IF(ISNUMBER(Datos!C3639),Datos!C3639/$F$3*100,NA()),NA())</f>
        <v/>
      </c>
    </row>
    <row r="3640">
      <c r="A3640" s="7">
        <f>IFERROR(Datos!A3640,"")</f>
        <v/>
      </c>
      <c r="B3640" s="27">
        <f>IFERROR(IF(ISNUMBER(Datos!B3640),Datos!B3640/$F$2*100,NA()),NA())</f>
        <v/>
      </c>
      <c r="C3640" s="27">
        <f>IFERROR(IF(ISNUMBER(Datos!C3640),Datos!C3640/$F$3*100,NA()),NA())</f>
        <v/>
      </c>
    </row>
    <row r="3641">
      <c r="A3641" s="7">
        <f>IFERROR(Datos!A3641,"")</f>
        <v/>
      </c>
      <c r="B3641" s="27">
        <f>IFERROR(IF(ISNUMBER(Datos!B3641),Datos!B3641/$F$2*100,NA()),NA())</f>
        <v/>
      </c>
      <c r="C3641" s="27">
        <f>IFERROR(IF(ISNUMBER(Datos!C3641),Datos!C3641/$F$3*100,NA()),NA())</f>
        <v/>
      </c>
    </row>
    <row r="3642">
      <c r="A3642" s="7">
        <f>IFERROR(Datos!A3642,"")</f>
        <v/>
      </c>
      <c r="B3642" s="27">
        <f>IFERROR(IF(ISNUMBER(Datos!B3642),Datos!B3642/$F$2*100,NA()),NA())</f>
        <v/>
      </c>
      <c r="C3642" s="27">
        <f>IFERROR(IF(ISNUMBER(Datos!C3642),Datos!C3642/$F$3*100,NA()),NA())</f>
        <v/>
      </c>
    </row>
    <row r="3643">
      <c r="A3643" s="7">
        <f>IFERROR(Datos!A3643,"")</f>
        <v/>
      </c>
      <c r="B3643" s="27">
        <f>IFERROR(IF(ISNUMBER(Datos!B3643),Datos!B3643/$F$2*100,NA()),NA())</f>
        <v/>
      </c>
      <c r="C3643" s="27">
        <f>IFERROR(IF(ISNUMBER(Datos!C3643),Datos!C3643/$F$3*100,NA()),NA())</f>
        <v/>
      </c>
    </row>
    <row r="3644">
      <c r="A3644" s="7">
        <f>IFERROR(Datos!A3644,"")</f>
        <v/>
      </c>
      <c r="B3644" s="27">
        <f>IFERROR(IF(ISNUMBER(Datos!B3644),Datos!B3644/$F$2*100,NA()),NA())</f>
        <v/>
      </c>
      <c r="C3644" s="27">
        <f>IFERROR(IF(ISNUMBER(Datos!C3644),Datos!C3644/$F$3*100,NA()),NA())</f>
        <v/>
      </c>
    </row>
    <row r="3645">
      <c r="A3645" s="7">
        <f>IFERROR(Datos!A3645,"")</f>
        <v/>
      </c>
      <c r="B3645" s="27">
        <f>IFERROR(IF(ISNUMBER(Datos!B3645),Datos!B3645/$F$2*100,NA()),NA())</f>
        <v/>
      </c>
      <c r="C3645" s="27">
        <f>IFERROR(IF(ISNUMBER(Datos!C3645),Datos!C3645/$F$3*100,NA()),NA())</f>
        <v/>
      </c>
    </row>
    <row r="3646">
      <c r="A3646" s="7">
        <f>IFERROR(Datos!A3646,"")</f>
        <v/>
      </c>
      <c r="B3646" s="27">
        <f>IFERROR(IF(ISNUMBER(Datos!B3646),Datos!B3646/$F$2*100,NA()),NA())</f>
        <v/>
      </c>
      <c r="C3646" s="27">
        <f>IFERROR(IF(ISNUMBER(Datos!C3646),Datos!C3646/$F$3*100,NA()),NA())</f>
        <v/>
      </c>
    </row>
    <row r="3647">
      <c r="A3647" s="7">
        <f>IFERROR(Datos!A3647,"")</f>
        <v/>
      </c>
      <c r="B3647" s="27">
        <f>IFERROR(IF(ISNUMBER(Datos!B3647),Datos!B3647/$F$2*100,NA()),NA())</f>
        <v/>
      </c>
      <c r="C3647" s="27">
        <f>IFERROR(IF(ISNUMBER(Datos!C3647),Datos!C3647/$F$3*100,NA()),NA())</f>
        <v/>
      </c>
    </row>
    <row r="3648">
      <c r="A3648" s="7">
        <f>IFERROR(Datos!A3648,"")</f>
        <v/>
      </c>
      <c r="B3648" s="27">
        <f>IFERROR(IF(ISNUMBER(Datos!B3648),Datos!B3648/$F$2*100,NA()),NA())</f>
        <v/>
      </c>
      <c r="C3648" s="27">
        <f>IFERROR(IF(ISNUMBER(Datos!C3648),Datos!C3648/$F$3*100,NA()),NA())</f>
        <v/>
      </c>
    </row>
    <row r="3649">
      <c r="A3649" s="7">
        <f>IFERROR(Datos!A3649,"")</f>
        <v/>
      </c>
      <c r="B3649" s="27">
        <f>IFERROR(IF(ISNUMBER(Datos!B3649),Datos!B3649/$F$2*100,NA()),NA())</f>
        <v/>
      </c>
      <c r="C3649" s="27">
        <f>IFERROR(IF(ISNUMBER(Datos!C3649),Datos!C3649/$F$3*100,NA()),NA())</f>
        <v/>
      </c>
    </row>
    <row r="3650">
      <c r="A3650" s="7">
        <f>IFERROR(Datos!A3650,"")</f>
        <v/>
      </c>
      <c r="B3650" s="27">
        <f>IFERROR(IF(ISNUMBER(Datos!B3650),Datos!B3650/$F$2*100,NA()),NA())</f>
        <v/>
      </c>
      <c r="C3650" s="27">
        <f>IFERROR(IF(ISNUMBER(Datos!C3650),Datos!C3650/$F$3*100,NA()),NA())</f>
        <v/>
      </c>
    </row>
    <row r="3651">
      <c r="A3651" s="7">
        <f>IFERROR(Datos!A3651,"")</f>
        <v/>
      </c>
      <c r="B3651" s="27">
        <f>IFERROR(IF(ISNUMBER(Datos!B3651),Datos!B3651/$F$2*100,NA()),NA())</f>
        <v/>
      </c>
      <c r="C3651" s="27">
        <f>IFERROR(IF(ISNUMBER(Datos!C3651),Datos!C3651/$F$3*100,NA()),NA())</f>
        <v/>
      </c>
    </row>
    <row r="3652">
      <c r="A3652" s="7">
        <f>IFERROR(Datos!A3652,"")</f>
        <v/>
      </c>
      <c r="B3652" s="27">
        <f>IFERROR(IF(ISNUMBER(Datos!B3652),Datos!B3652/$F$2*100,NA()),NA())</f>
        <v/>
      </c>
      <c r="C3652" s="27">
        <f>IFERROR(IF(ISNUMBER(Datos!C3652),Datos!C3652/$F$3*100,NA()),NA())</f>
        <v/>
      </c>
    </row>
    <row r="3653">
      <c r="A3653" s="7">
        <f>IFERROR(Datos!A3653,"")</f>
        <v/>
      </c>
      <c r="B3653" s="27">
        <f>IFERROR(IF(ISNUMBER(Datos!B3653),Datos!B3653/$F$2*100,NA()),NA())</f>
        <v/>
      </c>
      <c r="C3653" s="27">
        <f>IFERROR(IF(ISNUMBER(Datos!C3653),Datos!C3653/$F$3*100,NA()),NA())</f>
        <v/>
      </c>
    </row>
    <row r="3654">
      <c r="A3654" s="7">
        <f>IFERROR(Datos!A3654,"")</f>
        <v/>
      </c>
      <c r="B3654" s="27">
        <f>IFERROR(IF(ISNUMBER(Datos!B3654),Datos!B3654/$F$2*100,NA()),NA())</f>
        <v/>
      </c>
      <c r="C3654" s="27">
        <f>IFERROR(IF(ISNUMBER(Datos!C3654),Datos!C3654/$F$3*100,NA()),NA())</f>
        <v/>
      </c>
    </row>
    <row r="3655">
      <c r="A3655" s="7">
        <f>IFERROR(Datos!A3655,"")</f>
        <v/>
      </c>
      <c r="B3655" s="27">
        <f>IFERROR(IF(ISNUMBER(Datos!B3655),Datos!B3655/$F$2*100,NA()),NA())</f>
        <v/>
      </c>
      <c r="C3655" s="27">
        <f>IFERROR(IF(ISNUMBER(Datos!C3655),Datos!C3655/$F$3*100,NA()),NA())</f>
        <v/>
      </c>
    </row>
    <row r="3656">
      <c r="A3656" s="7">
        <f>IFERROR(Datos!A3656,"")</f>
        <v/>
      </c>
      <c r="B3656" s="27">
        <f>IFERROR(IF(ISNUMBER(Datos!B3656),Datos!B3656/$F$2*100,NA()),NA())</f>
        <v/>
      </c>
      <c r="C3656" s="27">
        <f>IFERROR(IF(ISNUMBER(Datos!C3656),Datos!C3656/$F$3*100,NA()),NA())</f>
        <v/>
      </c>
    </row>
    <row r="3657">
      <c r="A3657" s="7">
        <f>IFERROR(Datos!A3657,"")</f>
        <v/>
      </c>
      <c r="B3657" s="27">
        <f>IFERROR(IF(ISNUMBER(Datos!B3657),Datos!B3657/$F$2*100,NA()),NA())</f>
        <v/>
      </c>
      <c r="C3657" s="27">
        <f>IFERROR(IF(ISNUMBER(Datos!C3657),Datos!C3657/$F$3*100,NA()),NA())</f>
        <v/>
      </c>
    </row>
    <row r="3658">
      <c r="A3658" s="7">
        <f>IFERROR(Datos!A3658,"")</f>
        <v/>
      </c>
      <c r="B3658" s="27">
        <f>IFERROR(IF(ISNUMBER(Datos!B3658),Datos!B3658/$F$2*100,NA()),NA())</f>
        <v/>
      </c>
      <c r="C3658" s="27">
        <f>IFERROR(IF(ISNUMBER(Datos!C3658),Datos!C3658/$F$3*100,NA()),NA())</f>
        <v/>
      </c>
    </row>
    <row r="3659">
      <c r="A3659" s="7">
        <f>IFERROR(Datos!A3659,"")</f>
        <v/>
      </c>
      <c r="B3659" s="27">
        <f>IFERROR(IF(ISNUMBER(Datos!B3659),Datos!B3659/$F$2*100,NA()),NA())</f>
        <v/>
      </c>
      <c r="C3659" s="27">
        <f>IFERROR(IF(ISNUMBER(Datos!C3659),Datos!C3659/$F$3*100,NA()),NA())</f>
        <v/>
      </c>
    </row>
    <row r="3660">
      <c r="A3660" s="7">
        <f>IFERROR(Datos!A3660,"")</f>
        <v/>
      </c>
      <c r="B3660" s="27">
        <f>IFERROR(IF(ISNUMBER(Datos!B3660),Datos!B3660/$F$2*100,NA()),NA())</f>
        <v/>
      </c>
      <c r="C3660" s="27">
        <f>IFERROR(IF(ISNUMBER(Datos!C3660),Datos!C3660/$F$3*100,NA()),NA())</f>
        <v/>
      </c>
    </row>
    <row r="3661">
      <c r="A3661" s="7">
        <f>IFERROR(Datos!A3661,"")</f>
        <v/>
      </c>
      <c r="B3661" s="27">
        <f>IFERROR(IF(ISNUMBER(Datos!B3661),Datos!B3661/$F$2*100,NA()),NA())</f>
        <v/>
      </c>
      <c r="C3661" s="27">
        <f>IFERROR(IF(ISNUMBER(Datos!C3661),Datos!C3661/$F$3*100,NA()),NA())</f>
        <v/>
      </c>
    </row>
    <row r="3662">
      <c r="A3662" s="7">
        <f>IFERROR(Datos!A3662,"")</f>
        <v/>
      </c>
      <c r="B3662" s="27">
        <f>IFERROR(IF(ISNUMBER(Datos!B3662),Datos!B3662/$F$2*100,NA()),NA())</f>
        <v/>
      </c>
      <c r="C3662" s="27">
        <f>IFERROR(IF(ISNUMBER(Datos!C3662),Datos!C3662/$F$3*100,NA()),NA())</f>
        <v/>
      </c>
    </row>
    <row r="3663">
      <c r="A3663" s="7">
        <f>IFERROR(Datos!A3663,"")</f>
        <v/>
      </c>
      <c r="B3663" s="27">
        <f>IFERROR(IF(ISNUMBER(Datos!B3663),Datos!B3663/$F$2*100,NA()),NA())</f>
        <v/>
      </c>
      <c r="C3663" s="27">
        <f>IFERROR(IF(ISNUMBER(Datos!C3663),Datos!C3663/$F$3*100,NA()),NA())</f>
        <v/>
      </c>
    </row>
    <row r="3664">
      <c r="A3664" s="7">
        <f>IFERROR(Datos!A3664,"")</f>
        <v/>
      </c>
      <c r="B3664" s="27">
        <f>IFERROR(IF(ISNUMBER(Datos!B3664),Datos!B3664/$F$2*100,NA()),NA())</f>
        <v/>
      </c>
      <c r="C3664" s="27">
        <f>IFERROR(IF(ISNUMBER(Datos!C3664),Datos!C3664/$F$3*100,NA()),NA())</f>
        <v/>
      </c>
    </row>
    <row r="3665">
      <c r="A3665" s="7">
        <f>IFERROR(Datos!A3665,"")</f>
        <v/>
      </c>
      <c r="B3665" s="27">
        <f>IFERROR(IF(ISNUMBER(Datos!B3665),Datos!B3665/$F$2*100,NA()),NA())</f>
        <v/>
      </c>
      <c r="C3665" s="27">
        <f>IFERROR(IF(ISNUMBER(Datos!C3665),Datos!C3665/$F$3*100,NA()),NA())</f>
        <v/>
      </c>
    </row>
    <row r="3666">
      <c r="A3666" s="7">
        <f>IFERROR(Datos!A3666,"")</f>
        <v/>
      </c>
      <c r="B3666" s="27">
        <f>IFERROR(IF(ISNUMBER(Datos!B3666),Datos!B3666/$F$2*100,NA()),NA())</f>
        <v/>
      </c>
      <c r="C3666" s="27">
        <f>IFERROR(IF(ISNUMBER(Datos!C3666),Datos!C3666/$F$3*100,NA()),NA())</f>
        <v/>
      </c>
    </row>
    <row r="3667">
      <c r="A3667" s="7">
        <f>IFERROR(Datos!A3667,"")</f>
        <v/>
      </c>
      <c r="B3667" s="27">
        <f>IFERROR(IF(ISNUMBER(Datos!B3667),Datos!B3667/$F$2*100,NA()),NA())</f>
        <v/>
      </c>
      <c r="C3667" s="27">
        <f>IFERROR(IF(ISNUMBER(Datos!C3667),Datos!C3667/$F$3*100,NA()),NA())</f>
        <v/>
      </c>
    </row>
    <row r="3668">
      <c r="A3668" s="7">
        <f>IFERROR(Datos!A3668,"")</f>
        <v/>
      </c>
      <c r="B3668" s="27">
        <f>IFERROR(IF(ISNUMBER(Datos!B3668),Datos!B3668/$F$2*100,NA()),NA())</f>
        <v/>
      </c>
      <c r="C3668" s="27">
        <f>IFERROR(IF(ISNUMBER(Datos!C3668),Datos!C3668/$F$3*100,NA()),NA())</f>
        <v/>
      </c>
    </row>
    <row r="3669">
      <c r="A3669" s="7">
        <f>IFERROR(Datos!A3669,"")</f>
        <v/>
      </c>
      <c r="B3669" s="27">
        <f>IFERROR(IF(ISNUMBER(Datos!B3669),Datos!B3669/$F$2*100,NA()),NA())</f>
        <v/>
      </c>
      <c r="C3669" s="27">
        <f>IFERROR(IF(ISNUMBER(Datos!C3669),Datos!C3669/$F$3*100,NA()),NA())</f>
        <v/>
      </c>
    </row>
    <row r="3670">
      <c r="A3670" s="7">
        <f>IFERROR(Datos!A3670,"")</f>
        <v/>
      </c>
      <c r="B3670" s="27">
        <f>IFERROR(IF(ISNUMBER(Datos!B3670),Datos!B3670/$F$2*100,NA()),NA())</f>
        <v/>
      </c>
      <c r="C3670" s="27">
        <f>IFERROR(IF(ISNUMBER(Datos!C3670),Datos!C3670/$F$3*100,NA()),NA())</f>
        <v/>
      </c>
    </row>
    <row r="3671">
      <c r="A3671" s="7">
        <f>IFERROR(Datos!A3671,"")</f>
        <v/>
      </c>
      <c r="B3671" s="27">
        <f>IFERROR(IF(ISNUMBER(Datos!B3671),Datos!B3671/$F$2*100,NA()),NA())</f>
        <v/>
      </c>
      <c r="C3671" s="27">
        <f>IFERROR(IF(ISNUMBER(Datos!C3671),Datos!C3671/$F$3*100,NA()),NA())</f>
        <v/>
      </c>
    </row>
    <row r="3672">
      <c r="A3672" s="7">
        <f>IFERROR(Datos!A3672,"")</f>
        <v/>
      </c>
      <c r="B3672" s="27">
        <f>IFERROR(IF(ISNUMBER(Datos!B3672),Datos!B3672/$F$2*100,NA()),NA())</f>
        <v/>
      </c>
      <c r="C3672" s="27">
        <f>IFERROR(IF(ISNUMBER(Datos!C3672),Datos!C3672/$F$3*100,NA()),NA())</f>
        <v/>
      </c>
    </row>
    <row r="3673">
      <c r="A3673" s="7">
        <f>IFERROR(Datos!A3673,"")</f>
        <v/>
      </c>
      <c r="B3673" s="27">
        <f>IFERROR(IF(ISNUMBER(Datos!B3673),Datos!B3673/$F$2*100,NA()),NA())</f>
        <v/>
      </c>
      <c r="C3673" s="27">
        <f>IFERROR(IF(ISNUMBER(Datos!C3673),Datos!C3673/$F$3*100,NA()),NA())</f>
        <v/>
      </c>
    </row>
    <row r="3674">
      <c r="A3674" s="7">
        <f>IFERROR(Datos!A3674,"")</f>
        <v/>
      </c>
      <c r="B3674" s="27">
        <f>IFERROR(IF(ISNUMBER(Datos!B3674),Datos!B3674/$F$2*100,NA()),NA())</f>
        <v/>
      </c>
      <c r="C3674" s="27">
        <f>IFERROR(IF(ISNUMBER(Datos!C3674),Datos!C3674/$F$3*100,NA()),NA())</f>
        <v/>
      </c>
    </row>
    <row r="3675">
      <c r="A3675" s="7">
        <f>IFERROR(Datos!A3675,"")</f>
        <v/>
      </c>
      <c r="B3675" s="27">
        <f>IFERROR(IF(ISNUMBER(Datos!B3675),Datos!B3675/$F$2*100,NA()),NA())</f>
        <v/>
      </c>
      <c r="C3675" s="27">
        <f>IFERROR(IF(ISNUMBER(Datos!C3675),Datos!C3675/$F$3*100,NA()),NA())</f>
        <v/>
      </c>
    </row>
    <row r="3676">
      <c r="A3676" s="7">
        <f>IFERROR(Datos!A3676,"")</f>
        <v/>
      </c>
      <c r="B3676" s="27">
        <f>IFERROR(IF(ISNUMBER(Datos!B3676),Datos!B3676/$F$2*100,NA()),NA())</f>
        <v/>
      </c>
      <c r="C3676" s="27">
        <f>IFERROR(IF(ISNUMBER(Datos!C3676),Datos!C3676/$F$3*100,NA()),NA())</f>
        <v/>
      </c>
    </row>
    <row r="3677">
      <c r="A3677" s="7">
        <f>IFERROR(Datos!A3677,"")</f>
        <v/>
      </c>
      <c r="B3677" s="27">
        <f>IFERROR(IF(ISNUMBER(Datos!B3677),Datos!B3677/$F$2*100,NA()),NA())</f>
        <v/>
      </c>
      <c r="C3677" s="27">
        <f>IFERROR(IF(ISNUMBER(Datos!C3677),Datos!C3677/$F$3*100,NA()),NA())</f>
        <v/>
      </c>
    </row>
    <row r="3678">
      <c r="A3678" s="7">
        <f>IFERROR(Datos!A3678,"")</f>
        <v/>
      </c>
      <c r="B3678" s="27">
        <f>IFERROR(IF(ISNUMBER(Datos!B3678),Datos!B3678/$F$2*100,NA()),NA())</f>
        <v/>
      </c>
      <c r="C3678" s="27">
        <f>IFERROR(IF(ISNUMBER(Datos!C3678),Datos!C3678/$F$3*100,NA()),NA())</f>
        <v/>
      </c>
    </row>
    <row r="3679">
      <c r="A3679" s="7">
        <f>IFERROR(Datos!A3679,"")</f>
        <v/>
      </c>
      <c r="B3679" s="27">
        <f>IFERROR(IF(ISNUMBER(Datos!B3679),Datos!B3679/$F$2*100,NA()),NA())</f>
        <v/>
      </c>
      <c r="C3679" s="27">
        <f>IFERROR(IF(ISNUMBER(Datos!C3679),Datos!C3679/$F$3*100,NA()),NA())</f>
        <v/>
      </c>
    </row>
    <row r="3680">
      <c r="A3680" s="7">
        <f>IFERROR(Datos!A3680,"")</f>
        <v/>
      </c>
      <c r="B3680" s="27">
        <f>IFERROR(IF(ISNUMBER(Datos!B3680),Datos!B3680/$F$2*100,NA()),NA())</f>
        <v/>
      </c>
      <c r="C3680" s="27">
        <f>IFERROR(IF(ISNUMBER(Datos!C3680),Datos!C3680/$F$3*100,NA()),NA())</f>
        <v/>
      </c>
    </row>
    <row r="3681">
      <c r="A3681" s="7">
        <f>IFERROR(Datos!A3681,"")</f>
        <v/>
      </c>
      <c r="B3681" s="27">
        <f>IFERROR(IF(ISNUMBER(Datos!B3681),Datos!B3681/$F$2*100,NA()),NA())</f>
        <v/>
      </c>
      <c r="C3681" s="27">
        <f>IFERROR(IF(ISNUMBER(Datos!C3681),Datos!C3681/$F$3*100,NA()),NA())</f>
        <v/>
      </c>
    </row>
    <row r="3682">
      <c r="A3682" s="7">
        <f>IFERROR(Datos!A3682,"")</f>
        <v/>
      </c>
      <c r="B3682" s="27">
        <f>IFERROR(IF(ISNUMBER(Datos!B3682),Datos!B3682/$F$2*100,NA()),NA())</f>
        <v/>
      </c>
      <c r="C3682" s="27">
        <f>IFERROR(IF(ISNUMBER(Datos!C3682),Datos!C3682/$F$3*100,NA()),NA())</f>
        <v/>
      </c>
    </row>
    <row r="3683">
      <c r="A3683" s="7">
        <f>IFERROR(Datos!A3683,"")</f>
        <v/>
      </c>
      <c r="B3683" s="27">
        <f>IFERROR(IF(ISNUMBER(Datos!B3683),Datos!B3683/$F$2*100,NA()),NA())</f>
        <v/>
      </c>
      <c r="C3683" s="27">
        <f>IFERROR(IF(ISNUMBER(Datos!C3683),Datos!C3683/$F$3*100,NA()),NA())</f>
        <v/>
      </c>
    </row>
    <row r="3684">
      <c r="A3684" s="7">
        <f>IFERROR(Datos!A3684,"")</f>
        <v/>
      </c>
      <c r="B3684" s="27">
        <f>IFERROR(IF(ISNUMBER(Datos!B3684),Datos!B3684/$F$2*100,NA()),NA())</f>
        <v/>
      </c>
      <c r="C3684" s="27">
        <f>IFERROR(IF(ISNUMBER(Datos!C3684),Datos!C3684/$F$3*100,NA()),NA())</f>
        <v/>
      </c>
    </row>
    <row r="3685">
      <c r="A3685" s="7">
        <f>IFERROR(Datos!A3685,"")</f>
        <v/>
      </c>
      <c r="B3685" s="27">
        <f>IFERROR(IF(ISNUMBER(Datos!B3685),Datos!B3685/$F$2*100,NA()),NA())</f>
        <v/>
      </c>
      <c r="C3685" s="27">
        <f>IFERROR(IF(ISNUMBER(Datos!C3685),Datos!C3685/$F$3*100,NA()),NA())</f>
        <v/>
      </c>
    </row>
    <row r="3686">
      <c r="A3686" s="7">
        <f>IFERROR(Datos!A3686,"")</f>
        <v/>
      </c>
      <c r="B3686" s="27">
        <f>IFERROR(IF(ISNUMBER(Datos!B3686),Datos!B3686/$F$2*100,NA()),NA())</f>
        <v/>
      </c>
      <c r="C3686" s="27">
        <f>IFERROR(IF(ISNUMBER(Datos!C3686),Datos!C3686/$F$3*100,NA()),NA())</f>
        <v/>
      </c>
    </row>
    <row r="3687">
      <c r="A3687" s="7">
        <f>IFERROR(Datos!A3687,"")</f>
        <v/>
      </c>
      <c r="B3687" s="27">
        <f>IFERROR(IF(ISNUMBER(Datos!B3687),Datos!B3687/$F$2*100,NA()),NA())</f>
        <v/>
      </c>
      <c r="C3687" s="27">
        <f>IFERROR(IF(ISNUMBER(Datos!C3687),Datos!C3687/$F$3*100,NA()),NA())</f>
        <v/>
      </c>
    </row>
    <row r="3688">
      <c r="A3688" s="7">
        <f>IFERROR(Datos!A3688,"")</f>
        <v/>
      </c>
      <c r="B3688" s="27">
        <f>IFERROR(IF(ISNUMBER(Datos!B3688),Datos!B3688/$F$2*100,NA()),NA())</f>
        <v/>
      </c>
      <c r="C3688" s="27">
        <f>IFERROR(IF(ISNUMBER(Datos!C3688),Datos!C3688/$F$3*100,NA()),NA())</f>
        <v/>
      </c>
    </row>
    <row r="3689">
      <c r="A3689" s="7">
        <f>IFERROR(Datos!A3689,"")</f>
        <v/>
      </c>
      <c r="B3689" s="27">
        <f>IFERROR(IF(ISNUMBER(Datos!B3689),Datos!B3689/$F$2*100,NA()),NA())</f>
        <v/>
      </c>
      <c r="C3689" s="27">
        <f>IFERROR(IF(ISNUMBER(Datos!C3689),Datos!C3689/$F$3*100,NA()),NA())</f>
        <v/>
      </c>
    </row>
    <row r="3690">
      <c r="A3690" s="7">
        <f>IFERROR(Datos!A3690,"")</f>
        <v/>
      </c>
      <c r="B3690" s="27">
        <f>IFERROR(IF(ISNUMBER(Datos!B3690),Datos!B3690/$F$2*100,NA()),NA())</f>
        <v/>
      </c>
      <c r="C3690" s="27">
        <f>IFERROR(IF(ISNUMBER(Datos!C3690),Datos!C3690/$F$3*100,NA()),NA())</f>
        <v/>
      </c>
    </row>
    <row r="3691">
      <c r="A3691" s="7">
        <f>IFERROR(Datos!A3691,"")</f>
        <v/>
      </c>
      <c r="B3691" s="27">
        <f>IFERROR(IF(ISNUMBER(Datos!B3691),Datos!B3691/$F$2*100,NA()),NA())</f>
        <v/>
      </c>
      <c r="C3691" s="27">
        <f>IFERROR(IF(ISNUMBER(Datos!C3691),Datos!C3691/$F$3*100,NA()),NA())</f>
        <v/>
      </c>
    </row>
    <row r="3692">
      <c r="A3692" s="7">
        <f>IFERROR(Datos!A3692,"")</f>
        <v/>
      </c>
      <c r="B3692" s="27">
        <f>IFERROR(IF(ISNUMBER(Datos!B3692),Datos!B3692/$F$2*100,NA()),NA())</f>
        <v/>
      </c>
      <c r="C3692" s="27">
        <f>IFERROR(IF(ISNUMBER(Datos!C3692),Datos!C3692/$F$3*100,NA()),NA())</f>
        <v/>
      </c>
    </row>
    <row r="3693">
      <c r="A3693" s="7">
        <f>IFERROR(Datos!A3693,"")</f>
        <v/>
      </c>
      <c r="B3693" s="27">
        <f>IFERROR(IF(ISNUMBER(Datos!B3693),Datos!B3693/$F$2*100,NA()),NA())</f>
        <v/>
      </c>
      <c r="C3693" s="27">
        <f>IFERROR(IF(ISNUMBER(Datos!C3693),Datos!C3693/$F$3*100,NA()),NA())</f>
        <v/>
      </c>
    </row>
    <row r="3694">
      <c r="A3694" s="7">
        <f>IFERROR(Datos!A3694,"")</f>
        <v/>
      </c>
      <c r="B3694" s="27">
        <f>IFERROR(IF(ISNUMBER(Datos!B3694),Datos!B3694/$F$2*100,NA()),NA())</f>
        <v/>
      </c>
      <c r="C3694" s="27">
        <f>IFERROR(IF(ISNUMBER(Datos!C3694),Datos!C3694/$F$3*100,NA()),NA())</f>
        <v/>
      </c>
    </row>
    <row r="3695">
      <c r="A3695" s="7">
        <f>IFERROR(Datos!A3695,"")</f>
        <v/>
      </c>
      <c r="B3695" s="27">
        <f>IFERROR(IF(ISNUMBER(Datos!B3695),Datos!B3695/$F$2*100,NA()),NA())</f>
        <v/>
      </c>
      <c r="C3695" s="27">
        <f>IFERROR(IF(ISNUMBER(Datos!C3695),Datos!C3695/$F$3*100,NA()),NA())</f>
        <v/>
      </c>
    </row>
    <row r="3696">
      <c r="A3696" s="7">
        <f>IFERROR(Datos!A3696,"")</f>
        <v/>
      </c>
      <c r="B3696" s="27">
        <f>IFERROR(IF(ISNUMBER(Datos!B3696),Datos!B3696/$F$2*100,NA()),NA())</f>
        <v/>
      </c>
      <c r="C3696" s="27">
        <f>IFERROR(IF(ISNUMBER(Datos!C3696),Datos!C3696/$F$3*100,NA()),NA())</f>
        <v/>
      </c>
    </row>
    <row r="3697">
      <c r="A3697" s="7">
        <f>IFERROR(Datos!A3697,"")</f>
        <v/>
      </c>
      <c r="B3697" s="27">
        <f>IFERROR(IF(ISNUMBER(Datos!B3697),Datos!B3697/$F$2*100,NA()),NA())</f>
        <v/>
      </c>
      <c r="C3697" s="27">
        <f>IFERROR(IF(ISNUMBER(Datos!C3697),Datos!C3697/$F$3*100,NA()),NA())</f>
        <v/>
      </c>
    </row>
    <row r="3698">
      <c r="A3698" s="7">
        <f>IFERROR(Datos!A3698,"")</f>
        <v/>
      </c>
      <c r="B3698" s="27">
        <f>IFERROR(IF(ISNUMBER(Datos!B3698),Datos!B3698/$F$2*100,NA()),NA())</f>
        <v/>
      </c>
      <c r="C3698" s="27">
        <f>IFERROR(IF(ISNUMBER(Datos!C3698),Datos!C3698/$F$3*100,NA()),NA())</f>
        <v/>
      </c>
    </row>
    <row r="3699">
      <c r="A3699" s="7">
        <f>IFERROR(Datos!A3699,"")</f>
        <v/>
      </c>
      <c r="B3699" s="27">
        <f>IFERROR(IF(ISNUMBER(Datos!B3699),Datos!B3699/$F$2*100,NA()),NA())</f>
        <v/>
      </c>
      <c r="C3699" s="27">
        <f>IFERROR(IF(ISNUMBER(Datos!C3699),Datos!C3699/$F$3*100,NA()),NA())</f>
        <v/>
      </c>
    </row>
    <row r="3700">
      <c r="A3700" s="7">
        <f>IFERROR(Datos!A3700,"")</f>
        <v/>
      </c>
      <c r="B3700" s="27">
        <f>IFERROR(IF(ISNUMBER(Datos!B3700),Datos!B3700/$F$2*100,NA()),NA())</f>
        <v/>
      </c>
      <c r="C3700" s="27">
        <f>IFERROR(IF(ISNUMBER(Datos!C3700),Datos!C3700/$F$3*100,NA()),NA())</f>
        <v/>
      </c>
    </row>
    <row r="3701">
      <c r="A3701" s="7">
        <f>IFERROR(Datos!A3701,"")</f>
        <v/>
      </c>
      <c r="B3701" s="27">
        <f>IFERROR(IF(ISNUMBER(Datos!B3701),Datos!B3701/$F$2*100,NA()),NA())</f>
        <v/>
      </c>
      <c r="C3701" s="27">
        <f>IFERROR(IF(ISNUMBER(Datos!C3701),Datos!C3701/$F$3*100,NA()),NA())</f>
        <v/>
      </c>
    </row>
    <row r="3702">
      <c r="A3702" s="7">
        <f>IFERROR(Datos!A3702,"")</f>
        <v/>
      </c>
      <c r="B3702" s="27">
        <f>IFERROR(IF(ISNUMBER(Datos!B3702),Datos!B3702/$F$2*100,NA()),NA())</f>
        <v/>
      </c>
      <c r="C3702" s="27">
        <f>IFERROR(IF(ISNUMBER(Datos!C3702),Datos!C3702/$F$3*100,NA()),NA())</f>
        <v/>
      </c>
    </row>
    <row r="3703">
      <c r="A3703" s="7">
        <f>IFERROR(Datos!A3703,"")</f>
        <v/>
      </c>
      <c r="B3703" s="27">
        <f>IFERROR(IF(ISNUMBER(Datos!B3703),Datos!B3703/$F$2*100,NA()),NA())</f>
        <v/>
      </c>
      <c r="C3703" s="27">
        <f>IFERROR(IF(ISNUMBER(Datos!C3703),Datos!C3703/$F$3*100,NA()),NA())</f>
        <v/>
      </c>
    </row>
    <row r="3704">
      <c r="A3704" s="7">
        <f>IFERROR(Datos!A3704,"")</f>
        <v/>
      </c>
      <c r="B3704" s="27">
        <f>IFERROR(IF(ISNUMBER(Datos!B3704),Datos!B3704/$F$2*100,NA()),NA())</f>
        <v/>
      </c>
      <c r="C3704" s="27">
        <f>IFERROR(IF(ISNUMBER(Datos!C3704),Datos!C3704/$F$3*100,NA()),NA())</f>
        <v/>
      </c>
    </row>
    <row r="3705">
      <c r="A3705" s="7">
        <f>IFERROR(Datos!A3705,"")</f>
        <v/>
      </c>
      <c r="B3705" s="27">
        <f>IFERROR(IF(ISNUMBER(Datos!B3705),Datos!B3705/$F$2*100,NA()),NA())</f>
        <v/>
      </c>
      <c r="C3705" s="27">
        <f>IFERROR(IF(ISNUMBER(Datos!C3705),Datos!C3705/$F$3*100,NA()),NA())</f>
        <v/>
      </c>
    </row>
    <row r="3706">
      <c r="A3706" s="7">
        <f>IFERROR(Datos!A3706,"")</f>
        <v/>
      </c>
      <c r="B3706" s="27">
        <f>IFERROR(IF(ISNUMBER(Datos!B3706),Datos!B3706/$F$2*100,NA()),NA())</f>
        <v/>
      </c>
      <c r="C3706" s="27">
        <f>IFERROR(IF(ISNUMBER(Datos!C3706),Datos!C3706/$F$3*100,NA()),NA())</f>
        <v/>
      </c>
    </row>
    <row r="3707">
      <c r="A3707" s="7">
        <f>IFERROR(Datos!A3707,"")</f>
        <v/>
      </c>
      <c r="B3707" s="27">
        <f>IFERROR(IF(ISNUMBER(Datos!B3707),Datos!B3707/$F$2*100,NA()),NA())</f>
        <v/>
      </c>
      <c r="C3707" s="27">
        <f>IFERROR(IF(ISNUMBER(Datos!C3707),Datos!C3707/$F$3*100,NA()),NA())</f>
        <v/>
      </c>
    </row>
    <row r="3708">
      <c r="A3708" s="7">
        <f>IFERROR(Datos!A3708,"")</f>
        <v/>
      </c>
      <c r="B3708" s="27">
        <f>IFERROR(IF(ISNUMBER(Datos!B3708),Datos!B3708/$F$2*100,NA()),NA())</f>
        <v/>
      </c>
      <c r="C3708" s="27">
        <f>IFERROR(IF(ISNUMBER(Datos!C3708),Datos!C3708/$F$3*100,NA()),NA())</f>
        <v/>
      </c>
    </row>
    <row r="3709">
      <c r="A3709" s="7">
        <f>IFERROR(Datos!A3709,"")</f>
        <v/>
      </c>
      <c r="B3709" s="27">
        <f>IFERROR(IF(ISNUMBER(Datos!B3709),Datos!B3709/$F$2*100,NA()),NA())</f>
        <v/>
      </c>
      <c r="C3709" s="27">
        <f>IFERROR(IF(ISNUMBER(Datos!C3709),Datos!C3709/$F$3*100,NA()),NA())</f>
        <v/>
      </c>
    </row>
    <row r="3710">
      <c r="A3710" s="7">
        <f>IFERROR(Datos!A3710,"")</f>
        <v/>
      </c>
      <c r="B3710" s="27">
        <f>IFERROR(IF(ISNUMBER(Datos!B3710),Datos!B3710/$F$2*100,NA()),NA())</f>
        <v/>
      </c>
      <c r="C3710" s="27">
        <f>IFERROR(IF(ISNUMBER(Datos!C3710),Datos!C3710/$F$3*100,NA()),NA())</f>
        <v/>
      </c>
    </row>
    <row r="3711">
      <c r="A3711" s="7">
        <f>IFERROR(Datos!A3711,"")</f>
        <v/>
      </c>
      <c r="B3711" s="27">
        <f>IFERROR(IF(ISNUMBER(Datos!B3711),Datos!B3711/$F$2*100,NA()),NA())</f>
        <v/>
      </c>
      <c r="C3711" s="27">
        <f>IFERROR(IF(ISNUMBER(Datos!C3711),Datos!C3711/$F$3*100,NA()),NA())</f>
        <v/>
      </c>
    </row>
    <row r="3712">
      <c r="A3712" s="7">
        <f>IFERROR(Datos!A3712,"")</f>
        <v/>
      </c>
      <c r="B3712" s="27">
        <f>IFERROR(IF(ISNUMBER(Datos!B3712),Datos!B3712/$F$2*100,NA()),NA())</f>
        <v/>
      </c>
      <c r="C3712" s="27">
        <f>IFERROR(IF(ISNUMBER(Datos!C3712),Datos!C3712/$F$3*100,NA()),NA())</f>
        <v/>
      </c>
    </row>
    <row r="3713">
      <c r="A3713" s="7">
        <f>IFERROR(Datos!A3713,"")</f>
        <v/>
      </c>
      <c r="B3713" s="27">
        <f>IFERROR(IF(ISNUMBER(Datos!B3713),Datos!B3713/$F$2*100,NA()),NA())</f>
        <v/>
      </c>
      <c r="C3713" s="27">
        <f>IFERROR(IF(ISNUMBER(Datos!C3713),Datos!C3713/$F$3*100,NA()),NA())</f>
        <v/>
      </c>
    </row>
    <row r="3714">
      <c r="A3714" s="7">
        <f>IFERROR(Datos!A3714,"")</f>
        <v/>
      </c>
      <c r="B3714" s="27">
        <f>IFERROR(IF(ISNUMBER(Datos!B3714),Datos!B3714/$F$2*100,NA()),NA())</f>
        <v/>
      </c>
      <c r="C3714" s="27">
        <f>IFERROR(IF(ISNUMBER(Datos!C3714),Datos!C3714/$F$3*100,NA()),NA())</f>
        <v/>
      </c>
    </row>
    <row r="3715">
      <c r="A3715" s="7">
        <f>IFERROR(Datos!A3715,"")</f>
        <v/>
      </c>
      <c r="B3715" s="27">
        <f>IFERROR(IF(ISNUMBER(Datos!B3715),Datos!B3715/$F$2*100,NA()),NA())</f>
        <v/>
      </c>
      <c r="C3715" s="27">
        <f>IFERROR(IF(ISNUMBER(Datos!C3715),Datos!C3715/$F$3*100,NA()),NA())</f>
        <v/>
      </c>
    </row>
    <row r="3716">
      <c r="A3716" s="7">
        <f>IFERROR(Datos!A3716,"")</f>
        <v/>
      </c>
      <c r="B3716" s="27">
        <f>IFERROR(IF(ISNUMBER(Datos!B3716),Datos!B3716/$F$2*100,NA()),NA())</f>
        <v/>
      </c>
      <c r="C3716" s="27">
        <f>IFERROR(IF(ISNUMBER(Datos!C3716),Datos!C3716/$F$3*100,NA()),NA())</f>
        <v/>
      </c>
    </row>
    <row r="3717">
      <c r="A3717" s="7">
        <f>IFERROR(Datos!A3717,"")</f>
        <v/>
      </c>
      <c r="B3717" s="27">
        <f>IFERROR(IF(ISNUMBER(Datos!B3717),Datos!B3717/$F$2*100,NA()),NA())</f>
        <v/>
      </c>
      <c r="C3717" s="27">
        <f>IFERROR(IF(ISNUMBER(Datos!C3717),Datos!C3717/$F$3*100,NA()),NA())</f>
        <v/>
      </c>
    </row>
    <row r="3718">
      <c r="A3718" s="7">
        <f>IFERROR(Datos!A3718,"")</f>
        <v/>
      </c>
      <c r="B3718" s="27">
        <f>IFERROR(IF(ISNUMBER(Datos!B3718),Datos!B3718/$F$2*100,NA()),NA())</f>
        <v/>
      </c>
      <c r="C3718" s="27">
        <f>IFERROR(IF(ISNUMBER(Datos!C3718),Datos!C3718/$F$3*100,NA()),NA())</f>
        <v/>
      </c>
    </row>
    <row r="3719">
      <c r="A3719" s="7">
        <f>IFERROR(Datos!A3719,"")</f>
        <v/>
      </c>
      <c r="B3719" s="27">
        <f>IFERROR(IF(ISNUMBER(Datos!B3719),Datos!B3719/$F$2*100,NA()),NA())</f>
        <v/>
      </c>
      <c r="C3719" s="27">
        <f>IFERROR(IF(ISNUMBER(Datos!C3719),Datos!C3719/$F$3*100,NA()),NA())</f>
        <v/>
      </c>
    </row>
    <row r="3720">
      <c r="A3720" s="7">
        <f>IFERROR(Datos!A3720,"")</f>
        <v/>
      </c>
      <c r="B3720" s="27">
        <f>IFERROR(IF(ISNUMBER(Datos!B3720),Datos!B3720/$F$2*100,NA()),NA())</f>
        <v/>
      </c>
      <c r="C3720" s="27">
        <f>IFERROR(IF(ISNUMBER(Datos!C3720),Datos!C3720/$F$3*100,NA()),NA())</f>
        <v/>
      </c>
    </row>
    <row r="3721">
      <c r="A3721" s="7">
        <f>IFERROR(Datos!A3721,"")</f>
        <v/>
      </c>
      <c r="B3721" s="27">
        <f>IFERROR(IF(ISNUMBER(Datos!B3721),Datos!B3721/$F$2*100,NA()),NA())</f>
        <v/>
      </c>
      <c r="C3721" s="27">
        <f>IFERROR(IF(ISNUMBER(Datos!C3721),Datos!C3721/$F$3*100,NA()),NA())</f>
        <v/>
      </c>
    </row>
    <row r="3722">
      <c r="A3722" s="7">
        <f>IFERROR(Datos!A3722,"")</f>
        <v/>
      </c>
      <c r="B3722" s="27">
        <f>IFERROR(IF(ISNUMBER(Datos!B3722),Datos!B3722/$F$2*100,NA()),NA())</f>
        <v/>
      </c>
      <c r="C3722" s="27">
        <f>IFERROR(IF(ISNUMBER(Datos!C3722),Datos!C3722/$F$3*100,NA()),NA())</f>
        <v/>
      </c>
    </row>
    <row r="3723">
      <c r="A3723" s="7">
        <f>IFERROR(Datos!A3723,"")</f>
        <v/>
      </c>
      <c r="B3723" s="27">
        <f>IFERROR(IF(ISNUMBER(Datos!B3723),Datos!B3723/$F$2*100,NA()),NA())</f>
        <v/>
      </c>
      <c r="C3723" s="27">
        <f>IFERROR(IF(ISNUMBER(Datos!C3723),Datos!C3723/$F$3*100,NA()),NA())</f>
        <v/>
      </c>
    </row>
    <row r="3724">
      <c r="A3724" s="7">
        <f>IFERROR(Datos!A3724,"")</f>
        <v/>
      </c>
      <c r="B3724" s="27">
        <f>IFERROR(IF(ISNUMBER(Datos!B3724),Datos!B3724/$F$2*100,NA()),NA())</f>
        <v/>
      </c>
      <c r="C3724" s="27">
        <f>IFERROR(IF(ISNUMBER(Datos!C3724),Datos!C3724/$F$3*100,NA()),NA())</f>
        <v/>
      </c>
    </row>
    <row r="3725">
      <c r="A3725" s="7">
        <f>IFERROR(Datos!A3725,"")</f>
        <v/>
      </c>
      <c r="B3725" s="27">
        <f>IFERROR(IF(ISNUMBER(Datos!B3725),Datos!B3725/$F$2*100,NA()),NA())</f>
        <v/>
      </c>
      <c r="C3725" s="27">
        <f>IFERROR(IF(ISNUMBER(Datos!C3725),Datos!C3725/$F$3*100,NA()),NA())</f>
        <v/>
      </c>
    </row>
    <row r="3726">
      <c r="A3726" s="7">
        <f>IFERROR(Datos!A3726,"")</f>
        <v/>
      </c>
      <c r="B3726" s="27">
        <f>IFERROR(IF(ISNUMBER(Datos!B3726),Datos!B3726/$F$2*100,NA()),NA())</f>
        <v/>
      </c>
      <c r="C3726" s="27">
        <f>IFERROR(IF(ISNUMBER(Datos!C3726),Datos!C3726/$F$3*100,NA()),NA())</f>
        <v/>
      </c>
    </row>
    <row r="3727">
      <c r="A3727" s="7">
        <f>IFERROR(Datos!A3727,"")</f>
        <v/>
      </c>
      <c r="B3727" s="27">
        <f>IFERROR(IF(ISNUMBER(Datos!B3727),Datos!B3727/$F$2*100,NA()),NA())</f>
        <v/>
      </c>
      <c r="C3727" s="27">
        <f>IFERROR(IF(ISNUMBER(Datos!C3727),Datos!C3727/$F$3*100,NA()),NA())</f>
        <v/>
      </c>
    </row>
    <row r="3728">
      <c r="A3728" s="7">
        <f>IFERROR(Datos!A3728,"")</f>
        <v/>
      </c>
      <c r="B3728" s="27">
        <f>IFERROR(IF(ISNUMBER(Datos!B3728),Datos!B3728/$F$2*100,NA()),NA())</f>
        <v/>
      </c>
      <c r="C3728" s="27">
        <f>IFERROR(IF(ISNUMBER(Datos!C3728),Datos!C3728/$F$3*100,NA()),NA())</f>
        <v/>
      </c>
    </row>
    <row r="3729">
      <c r="A3729" s="7">
        <f>IFERROR(Datos!A3729,"")</f>
        <v/>
      </c>
      <c r="B3729" s="27">
        <f>IFERROR(IF(ISNUMBER(Datos!B3729),Datos!B3729/$F$2*100,NA()),NA())</f>
        <v/>
      </c>
      <c r="C3729" s="27">
        <f>IFERROR(IF(ISNUMBER(Datos!C3729),Datos!C3729/$F$3*100,NA()),NA())</f>
        <v/>
      </c>
    </row>
    <row r="3730">
      <c r="A3730" s="7">
        <f>IFERROR(Datos!A3730,"")</f>
        <v/>
      </c>
      <c r="B3730" s="27">
        <f>IFERROR(IF(ISNUMBER(Datos!B3730),Datos!B3730/$F$2*100,NA()),NA())</f>
        <v/>
      </c>
      <c r="C3730" s="27">
        <f>IFERROR(IF(ISNUMBER(Datos!C3730),Datos!C3730/$F$3*100,NA()),NA())</f>
        <v/>
      </c>
    </row>
    <row r="3731">
      <c r="A3731" s="7">
        <f>IFERROR(Datos!A3731,"")</f>
        <v/>
      </c>
      <c r="B3731" s="27">
        <f>IFERROR(IF(ISNUMBER(Datos!B3731),Datos!B3731/$F$2*100,NA()),NA())</f>
        <v/>
      </c>
      <c r="C3731" s="27">
        <f>IFERROR(IF(ISNUMBER(Datos!C3731),Datos!C3731/$F$3*100,NA()),NA())</f>
        <v/>
      </c>
    </row>
    <row r="3732">
      <c r="A3732" s="7">
        <f>IFERROR(Datos!A3732,"")</f>
        <v/>
      </c>
      <c r="B3732" s="27">
        <f>IFERROR(IF(ISNUMBER(Datos!B3732),Datos!B3732/$F$2*100,NA()),NA())</f>
        <v/>
      </c>
      <c r="C3732" s="27">
        <f>IFERROR(IF(ISNUMBER(Datos!C3732),Datos!C3732/$F$3*100,NA()),NA())</f>
        <v/>
      </c>
    </row>
    <row r="3733">
      <c r="A3733" s="7">
        <f>IFERROR(Datos!A3733,"")</f>
        <v/>
      </c>
      <c r="B3733" s="27">
        <f>IFERROR(IF(ISNUMBER(Datos!B3733),Datos!B3733/$F$2*100,NA()),NA())</f>
        <v/>
      </c>
      <c r="C3733" s="27">
        <f>IFERROR(IF(ISNUMBER(Datos!C3733),Datos!C3733/$F$3*100,NA()),NA())</f>
        <v/>
      </c>
    </row>
    <row r="3734">
      <c r="A3734" s="7">
        <f>IFERROR(Datos!A3734,"")</f>
        <v/>
      </c>
      <c r="B3734" s="27">
        <f>IFERROR(IF(ISNUMBER(Datos!B3734),Datos!B3734/$F$2*100,NA()),NA())</f>
        <v/>
      </c>
      <c r="C3734" s="27">
        <f>IFERROR(IF(ISNUMBER(Datos!C3734),Datos!C3734/$F$3*100,NA()),NA())</f>
        <v/>
      </c>
    </row>
    <row r="3735">
      <c r="A3735" s="7">
        <f>IFERROR(Datos!A3735,"")</f>
        <v/>
      </c>
      <c r="B3735" s="27">
        <f>IFERROR(IF(ISNUMBER(Datos!B3735),Datos!B3735/$F$2*100,NA()),NA())</f>
        <v/>
      </c>
      <c r="C3735" s="27">
        <f>IFERROR(IF(ISNUMBER(Datos!C3735),Datos!C3735/$F$3*100,NA()),NA())</f>
        <v/>
      </c>
    </row>
    <row r="3736">
      <c r="A3736" s="7">
        <f>IFERROR(Datos!A3736,"")</f>
        <v/>
      </c>
      <c r="B3736" s="27">
        <f>IFERROR(IF(ISNUMBER(Datos!B3736),Datos!B3736/$F$2*100,NA()),NA())</f>
        <v/>
      </c>
      <c r="C3736" s="27">
        <f>IFERROR(IF(ISNUMBER(Datos!C3736),Datos!C3736/$F$3*100,NA()),NA())</f>
        <v/>
      </c>
    </row>
    <row r="3737">
      <c r="A3737" s="7">
        <f>IFERROR(Datos!A3737,"")</f>
        <v/>
      </c>
      <c r="B3737" s="27">
        <f>IFERROR(IF(ISNUMBER(Datos!B3737),Datos!B3737/$F$2*100,NA()),NA())</f>
        <v/>
      </c>
      <c r="C3737" s="27">
        <f>IFERROR(IF(ISNUMBER(Datos!C3737),Datos!C3737/$F$3*100,NA()),NA())</f>
        <v/>
      </c>
    </row>
    <row r="3738">
      <c r="A3738" s="7">
        <f>IFERROR(Datos!A3738,"")</f>
        <v/>
      </c>
      <c r="B3738" s="27">
        <f>IFERROR(IF(ISNUMBER(Datos!B3738),Datos!B3738/$F$2*100,NA()),NA())</f>
        <v/>
      </c>
      <c r="C3738" s="27">
        <f>IFERROR(IF(ISNUMBER(Datos!C3738),Datos!C3738/$F$3*100,NA()),NA())</f>
        <v/>
      </c>
    </row>
    <row r="3739">
      <c r="A3739" s="7">
        <f>IFERROR(Datos!A3739,"")</f>
        <v/>
      </c>
      <c r="B3739" s="27">
        <f>IFERROR(IF(ISNUMBER(Datos!B3739),Datos!B3739/$F$2*100,NA()),NA())</f>
        <v/>
      </c>
      <c r="C3739" s="27">
        <f>IFERROR(IF(ISNUMBER(Datos!C3739),Datos!C3739/$F$3*100,NA()),NA())</f>
        <v/>
      </c>
    </row>
    <row r="3740">
      <c r="A3740" s="7">
        <f>IFERROR(Datos!A3740,"")</f>
        <v/>
      </c>
      <c r="B3740" s="27">
        <f>IFERROR(IF(ISNUMBER(Datos!B3740),Datos!B3740/$F$2*100,NA()),NA())</f>
        <v/>
      </c>
      <c r="C3740" s="27">
        <f>IFERROR(IF(ISNUMBER(Datos!C3740),Datos!C3740/$F$3*100,NA()),NA())</f>
        <v/>
      </c>
    </row>
    <row r="3741">
      <c r="A3741" s="7">
        <f>IFERROR(Datos!A3741,"")</f>
        <v/>
      </c>
      <c r="B3741" s="27">
        <f>IFERROR(IF(ISNUMBER(Datos!B3741),Datos!B3741/$F$2*100,NA()),NA())</f>
        <v/>
      </c>
      <c r="C3741" s="27">
        <f>IFERROR(IF(ISNUMBER(Datos!C3741),Datos!C3741/$F$3*100,NA()),NA())</f>
        <v/>
      </c>
    </row>
    <row r="3742">
      <c r="A3742" s="7">
        <f>IFERROR(Datos!A3742,"")</f>
        <v/>
      </c>
      <c r="B3742" s="27">
        <f>IFERROR(IF(ISNUMBER(Datos!B3742),Datos!B3742/$F$2*100,NA()),NA())</f>
        <v/>
      </c>
      <c r="C3742" s="27">
        <f>IFERROR(IF(ISNUMBER(Datos!C3742),Datos!C3742/$F$3*100,NA()),NA())</f>
        <v/>
      </c>
    </row>
    <row r="3743">
      <c r="A3743" s="7">
        <f>IFERROR(Datos!A3743,"")</f>
        <v/>
      </c>
      <c r="B3743" s="27">
        <f>IFERROR(IF(ISNUMBER(Datos!B3743),Datos!B3743/$F$2*100,NA()),NA())</f>
        <v/>
      </c>
      <c r="C3743" s="27">
        <f>IFERROR(IF(ISNUMBER(Datos!C3743),Datos!C3743/$F$3*100,NA()),NA())</f>
        <v/>
      </c>
    </row>
    <row r="3744">
      <c r="A3744" s="7">
        <f>IFERROR(Datos!A3744,"")</f>
        <v/>
      </c>
      <c r="B3744" s="27">
        <f>IFERROR(IF(ISNUMBER(Datos!B3744),Datos!B3744/$F$2*100,NA()),NA())</f>
        <v/>
      </c>
      <c r="C3744" s="27">
        <f>IFERROR(IF(ISNUMBER(Datos!C3744),Datos!C3744/$F$3*100,NA()),NA())</f>
        <v/>
      </c>
    </row>
    <row r="3745">
      <c r="A3745" s="7">
        <f>IFERROR(Datos!A3745,"")</f>
        <v/>
      </c>
      <c r="B3745" s="27">
        <f>IFERROR(IF(ISNUMBER(Datos!B3745),Datos!B3745/$F$2*100,NA()),NA())</f>
        <v/>
      </c>
      <c r="C3745" s="27">
        <f>IFERROR(IF(ISNUMBER(Datos!C3745),Datos!C3745/$F$3*100,NA()),NA())</f>
        <v/>
      </c>
    </row>
    <row r="3746">
      <c r="A3746" s="7">
        <f>IFERROR(Datos!A3746,"")</f>
        <v/>
      </c>
      <c r="B3746" s="27">
        <f>IFERROR(IF(ISNUMBER(Datos!B3746),Datos!B3746/$F$2*100,NA()),NA())</f>
        <v/>
      </c>
      <c r="C3746" s="27">
        <f>IFERROR(IF(ISNUMBER(Datos!C3746),Datos!C3746/$F$3*100,NA()),NA())</f>
        <v/>
      </c>
    </row>
    <row r="3747">
      <c r="A3747" s="7">
        <f>IFERROR(Datos!A3747,"")</f>
        <v/>
      </c>
      <c r="B3747" s="27">
        <f>IFERROR(IF(ISNUMBER(Datos!B3747),Datos!B3747/$F$2*100,NA()),NA())</f>
        <v/>
      </c>
      <c r="C3747" s="27">
        <f>IFERROR(IF(ISNUMBER(Datos!C3747),Datos!C3747/$F$3*100,NA()),NA())</f>
        <v/>
      </c>
    </row>
    <row r="3748">
      <c r="A3748" s="7">
        <f>IFERROR(Datos!A3748,"")</f>
        <v/>
      </c>
      <c r="B3748" s="27">
        <f>IFERROR(IF(ISNUMBER(Datos!B3748),Datos!B3748/$F$2*100,NA()),NA())</f>
        <v/>
      </c>
      <c r="C3748" s="27">
        <f>IFERROR(IF(ISNUMBER(Datos!C3748),Datos!C3748/$F$3*100,NA()),NA())</f>
        <v/>
      </c>
    </row>
    <row r="3749">
      <c r="A3749" s="7">
        <f>IFERROR(Datos!A3749,"")</f>
        <v/>
      </c>
      <c r="B3749" s="27">
        <f>IFERROR(IF(ISNUMBER(Datos!B3749),Datos!B3749/$F$2*100,NA()),NA())</f>
        <v/>
      </c>
      <c r="C3749" s="27">
        <f>IFERROR(IF(ISNUMBER(Datos!C3749),Datos!C3749/$F$3*100,NA()),NA())</f>
        <v/>
      </c>
    </row>
    <row r="3750">
      <c r="A3750" s="7">
        <f>IFERROR(Datos!A3750,"")</f>
        <v/>
      </c>
      <c r="B3750" s="27">
        <f>IFERROR(IF(ISNUMBER(Datos!B3750),Datos!B3750/$F$2*100,NA()),NA())</f>
        <v/>
      </c>
      <c r="C3750" s="27">
        <f>IFERROR(IF(ISNUMBER(Datos!C3750),Datos!C3750/$F$3*100,NA()),NA())</f>
        <v/>
      </c>
    </row>
    <row r="3751">
      <c r="A3751" s="7">
        <f>IFERROR(Datos!A3751,"")</f>
        <v/>
      </c>
      <c r="B3751" s="27">
        <f>IFERROR(IF(ISNUMBER(Datos!B3751),Datos!B3751/$F$2*100,NA()),NA())</f>
        <v/>
      </c>
      <c r="C3751" s="27">
        <f>IFERROR(IF(ISNUMBER(Datos!C3751),Datos!C3751/$F$3*100,NA()),NA())</f>
        <v/>
      </c>
    </row>
    <row r="3752">
      <c r="A3752" s="7">
        <f>IFERROR(Datos!A3752,"")</f>
        <v/>
      </c>
      <c r="B3752" s="27">
        <f>IFERROR(IF(ISNUMBER(Datos!B3752),Datos!B3752/$F$2*100,NA()),NA())</f>
        <v/>
      </c>
      <c r="C3752" s="27">
        <f>IFERROR(IF(ISNUMBER(Datos!C3752),Datos!C3752/$F$3*100,NA()),NA())</f>
        <v/>
      </c>
    </row>
    <row r="3753">
      <c r="A3753" s="7">
        <f>IFERROR(Datos!A3753,"")</f>
        <v/>
      </c>
      <c r="B3753" s="27">
        <f>IFERROR(IF(ISNUMBER(Datos!B3753),Datos!B3753/$F$2*100,NA()),NA())</f>
        <v/>
      </c>
      <c r="C3753" s="27">
        <f>IFERROR(IF(ISNUMBER(Datos!C3753),Datos!C3753/$F$3*100,NA()),NA())</f>
        <v/>
      </c>
    </row>
    <row r="3754">
      <c r="A3754" s="7">
        <f>IFERROR(Datos!A3754,"")</f>
        <v/>
      </c>
      <c r="B3754" s="27">
        <f>IFERROR(IF(ISNUMBER(Datos!B3754),Datos!B3754/$F$2*100,NA()),NA())</f>
        <v/>
      </c>
      <c r="C3754" s="27">
        <f>IFERROR(IF(ISNUMBER(Datos!C3754),Datos!C3754/$F$3*100,NA()),NA())</f>
        <v/>
      </c>
    </row>
    <row r="3755">
      <c r="A3755" s="7">
        <f>IFERROR(Datos!A3755,"")</f>
        <v/>
      </c>
      <c r="B3755" s="27">
        <f>IFERROR(IF(ISNUMBER(Datos!B3755),Datos!B3755/$F$2*100,NA()),NA())</f>
        <v/>
      </c>
      <c r="C3755" s="27">
        <f>IFERROR(IF(ISNUMBER(Datos!C3755),Datos!C3755/$F$3*100,NA()),NA())</f>
        <v/>
      </c>
    </row>
    <row r="3756">
      <c r="A3756" s="7">
        <f>IFERROR(Datos!A3756,"")</f>
        <v/>
      </c>
      <c r="B3756" s="27">
        <f>IFERROR(IF(ISNUMBER(Datos!B3756),Datos!B3756/$F$2*100,NA()),NA())</f>
        <v/>
      </c>
      <c r="C3756" s="27">
        <f>IFERROR(IF(ISNUMBER(Datos!C3756),Datos!C3756/$F$3*100,NA()),NA())</f>
        <v/>
      </c>
    </row>
    <row r="3757">
      <c r="A3757" s="7">
        <f>IFERROR(Datos!A3757,"")</f>
        <v/>
      </c>
      <c r="B3757" s="27">
        <f>IFERROR(IF(ISNUMBER(Datos!B3757),Datos!B3757/$F$2*100,NA()),NA())</f>
        <v/>
      </c>
      <c r="C3757" s="27">
        <f>IFERROR(IF(ISNUMBER(Datos!C3757),Datos!C3757/$F$3*100,NA()),NA())</f>
        <v/>
      </c>
    </row>
    <row r="3758">
      <c r="A3758" s="7">
        <f>IFERROR(Datos!A3758,"")</f>
        <v/>
      </c>
      <c r="B3758" s="27">
        <f>IFERROR(IF(ISNUMBER(Datos!B3758),Datos!B3758/$F$2*100,NA()),NA())</f>
        <v/>
      </c>
      <c r="C3758" s="27">
        <f>IFERROR(IF(ISNUMBER(Datos!C3758),Datos!C3758/$F$3*100,NA()),NA())</f>
        <v/>
      </c>
    </row>
    <row r="3759">
      <c r="A3759" s="7">
        <f>IFERROR(Datos!A3759,"")</f>
        <v/>
      </c>
      <c r="B3759" s="27">
        <f>IFERROR(IF(ISNUMBER(Datos!B3759),Datos!B3759/$F$2*100,NA()),NA())</f>
        <v/>
      </c>
      <c r="C3759" s="27">
        <f>IFERROR(IF(ISNUMBER(Datos!C3759),Datos!C3759/$F$3*100,NA()),NA())</f>
        <v/>
      </c>
    </row>
    <row r="3760">
      <c r="A3760" s="7">
        <f>IFERROR(Datos!A3760,"")</f>
        <v/>
      </c>
      <c r="B3760" s="27">
        <f>IFERROR(IF(ISNUMBER(Datos!B3760),Datos!B3760/$F$2*100,NA()),NA())</f>
        <v/>
      </c>
      <c r="C3760" s="27">
        <f>IFERROR(IF(ISNUMBER(Datos!C3760),Datos!C3760/$F$3*100,NA()),NA())</f>
        <v/>
      </c>
    </row>
    <row r="3761">
      <c r="A3761" s="7">
        <f>IFERROR(Datos!A3761,"")</f>
        <v/>
      </c>
      <c r="B3761" s="27">
        <f>IFERROR(IF(ISNUMBER(Datos!B3761),Datos!B3761/$F$2*100,NA()),NA())</f>
        <v/>
      </c>
      <c r="C3761" s="27">
        <f>IFERROR(IF(ISNUMBER(Datos!C3761),Datos!C3761/$F$3*100,NA()),NA())</f>
        <v/>
      </c>
    </row>
    <row r="3762">
      <c r="A3762" s="7">
        <f>IFERROR(Datos!A3762,"")</f>
        <v/>
      </c>
      <c r="B3762" s="27">
        <f>IFERROR(IF(ISNUMBER(Datos!B3762),Datos!B3762/$F$2*100,NA()),NA())</f>
        <v/>
      </c>
      <c r="C3762" s="27">
        <f>IFERROR(IF(ISNUMBER(Datos!C3762),Datos!C3762/$F$3*100,NA()),NA())</f>
        <v/>
      </c>
    </row>
    <row r="3763">
      <c r="A3763" s="7">
        <f>IFERROR(Datos!A3763,"")</f>
        <v/>
      </c>
      <c r="B3763" s="27">
        <f>IFERROR(IF(ISNUMBER(Datos!B3763),Datos!B3763/$F$2*100,NA()),NA())</f>
        <v/>
      </c>
      <c r="C3763" s="27">
        <f>IFERROR(IF(ISNUMBER(Datos!C3763),Datos!C3763/$F$3*100,NA()),NA())</f>
        <v/>
      </c>
    </row>
    <row r="3764">
      <c r="A3764" s="7">
        <f>IFERROR(Datos!A3764,"")</f>
        <v/>
      </c>
      <c r="B3764" s="27">
        <f>IFERROR(IF(ISNUMBER(Datos!B3764),Datos!B3764/$F$2*100,NA()),NA())</f>
        <v/>
      </c>
      <c r="C3764" s="27">
        <f>IFERROR(IF(ISNUMBER(Datos!C3764),Datos!C3764/$F$3*100,NA()),NA())</f>
        <v/>
      </c>
    </row>
    <row r="3765">
      <c r="A3765" s="7">
        <f>IFERROR(Datos!A3765,"")</f>
        <v/>
      </c>
      <c r="B3765" s="27">
        <f>IFERROR(IF(ISNUMBER(Datos!B3765),Datos!B3765/$F$2*100,NA()),NA())</f>
        <v/>
      </c>
      <c r="C3765" s="27">
        <f>IFERROR(IF(ISNUMBER(Datos!C3765),Datos!C3765/$F$3*100,NA()),NA())</f>
        <v/>
      </c>
    </row>
    <row r="3766">
      <c r="A3766" s="7">
        <f>IFERROR(Datos!A3766,"")</f>
        <v/>
      </c>
      <c r="B3766" s="27">
        <f>IFERROR(IF(ISNUMBER(Datos!B3766),Datos!B3766/$F$2*100,NA()),NA())</f>
        <v/>
      </c>
      <c r="C3766" s="27">
        <f>IFERROR(IF(ISNUMBER(Datos!C3766),Datos!C3766/$F$3*100,NA()),NA())</f>
        <v/>
      </c>
    </row>
    <row r="3767">
      <c r="A3767" s="7">
        <f>IFERROR(Datos!A3767,"")</f>
        <v/>
      </c>
      <c r="B3767" s="27">
        <f>IFERROR(IF(ISNUMBER(Datos!B3767),Datos!B3767/$F$2*100,NA()),NA())</f>
        <v/>
      </c>
      <c r="C3767" s="27">
        <f>IFERROR(IF(ISNUMBER(Datos!C3767),Datos!C3767/$F$3*100,NA()),NA())</f>
        <v/>
      </c>
    </row>
    <row r="3768">
      <c r="A3768" s="7">
        <f>IFERROR(Datos!A3768,"")</f>
        <v/>
      </c>
      <c r="B3768" s="27">
        <f>IFERROR(IF(ISNUMBER(Datos!B3768),Datos!B3768/$F$2*100,NA()),NA())</f>
        <v/>
      </c>
      <c r="C3768" s="27">
        <f>IFERROR(IF(ISNUMBER(Datos!C3768),Datos!C3768/$F$3*100,NA()),NA())</f>
        <v/>
      </c>
    </row>
    <row r="3769">
      <c r="A3769" s="7">
        <f>IFERROR(Datos!A3769,"")</f>
        <v/>
      </c>
      <c r="B3769" s="27">
        <f>IFERROR(IF(ISNUMBER(Datos!B3769),Datos!B3769/$F$2*100,NA()),NA())</f>
        <v/>
      </c>
      <c r="C3769" s="27">
        <f>IFERROR(IF(ISNUMBER(Datos!C3769),Datos!C3769/$F$3*100,NA()),NA())</f>
        <v/>
      </c>
    </row>
    <row r="3770">
      <c r="A3770" s="7">
        <f>IFERROR(Datos!A3770,"")</f>
        <v/>
      </c>
      <c r="B3770" s="27">
        <f>IFERROR(IF(ISNUMBER(Datos!B3770),Datos!B3770/$F$2*100,NA()),NA())</f>
        <v/>
      </c>
      <c r="C3770" s="27">
        <f>IFERROR(IF(ISNUMBER(Datos!C3770),Datos!C3770/$F$3*100,NA()),NA())</f>
        <v/>
      </c>
    </row>
    <row r="3771">
      <c r="A3771" s="7">
        <f>IFERROR(Datos!A3771,"")</f>
        <v/>
      </c>
      <c r="B3771" s="27">
        <f>IFERROR(IF(ISNUMBER(Datos!B3771),Datos!B3771/$F$2*100,NA()),NA())</f>
        <v/>
      </c>
      <c r="C3771" s="27">
        <f>IFERROR(IF(ISNUMBER(Datos!C3771),Datos!C3771/$F$3*100,NA()),NA())</f>
        <v/>
      </c>
    </row>
    <row r="3772">
      <c r="A3772" s="7">
        <f>IFERROR(Datos!A3772,"")</f>
        <v/>
      </c>
      <c r="B3772" s="27">
        <f>IFERROR(IF(ISNUMBER(Datos!B3772),Datos!B3772/$F$2*100,NA()),NA())</f>
        <v/>
      </c>
      <c r="C3772" s="27">
        <f>IFERROR(IF(ISNUMBER(Datos!C3772),Datos!C3772/$F$3*100,NA()),NA())</f>
        <v/>
      </c>
    </row>
    <row r="3773">
      <c r="A3773" s="7">
        <f>IFERROR(Datos!A3773,"")</f>
        <v/>
      </c>
      <c r="B3773" s="27">
        <f>IFERROR(IF(ISNUMBER(Datos!B3773),Datos!B3773/$F$2*100,NA()),NA())</f>
        <v/>
      </c>
      <c r="C3773" s="27">
        <f>IFERROR(IF(ISNUMBER(Datos!C3773),Datos!C3773/$F$3*100,NA()),NA())</f>
        <v/>
      </c>
    </row>
    <row r="3774">
      <c r="A3774" s="7">
        <f>IFERROR(Datos!A3774,"")</f>
        <v/>
      </c>
      <c r="B3774" s="27">
        <f>IFERROR(IF(ISNUMBER(Datos!B3774),Datos!B3774/$F$2*100,NA()),NA())</f>
        <v/>
      </c>
      <c r="C3774" s="27">
        <f>IFERROR(IF(ISNUMBER(Datos!C3774),Datos!C3774/$F$3*100,NA()),NA())</f>
        <v/>
      </c>
    </row>
    <row r="3775">
      <c r="A3775" s="7">
        <f>IFERROR(Datos!A3775,"")</f>
        <v/>
      </c>
      <c r="B3775" s="27">
        <f>IFERROR(IF(ISNUMBER(Datos!B3775),Datos!B3775/$F$2*100,NA()),NA())</f>
        <v/>
      </c>
      <c r="C3775" s="27">
        <f>IFERROR(IF(ISNUMBER(Datos!C3775),Datos!C3775/$F$3*100,NA()),NA())</f>
        <v/>
      </c>
    </row>
    <row r="3776">
      <c r="A3776" s="7">
        <f>IFERROR(Datos!A3776,"")</f>
        <v/>
      </c>
      <c r="B3776" s="27">
        <f>IFERROR(IF(ISNUMBER(Datos!B3776),Datos!B3776/$F$2*100,NA()),NA())</f>
        <v/>
      </c>
      <c r="C3776" s="27">
        <f>IFERROR(IF(ISNUMBER(Datos!C3776),Datos!C3776/$F$3*100,NA()),NA())</f>
        <v/>
      </c>
    </row>
    <row r="3777">
      <c r="A3777" s="7">
        <f>IFERROR(Datos!A3777,"")</f>
        <v/>
      </c>
      <c r="B3777" s="27">
        <f>IFERROR(IF(ISNUMBER(Datos!B3777),Datos!B3777/$F$2*100,NA()),NA())</f>
        <v/>
      </c>
      <c r="C3777" s="27">
        <f>IFERROR(IF(ISNUMBER(Datos!C3777),Datos!C3777/$F$3*100,NA()),NA())</f>
        <v/>
      </c>
    </row>
    <row r="3778">
      <c r="A3778" s="7">
        <f>IFERROR(Datos!A3778,"")</f>
        <v/>
      </c>
      <c r="B3778" s="27">
        <f>IFERROR(IF(ISNUMBER(Datos!B3778),Datos!B3778/$F$2*100,NA()),NA())</f>
        <v/>
      </c>
      <c r="C3778" s="27">
        <f>IFERROR(IF(ISNUMBER(Datos!C3778),Datos!C3778/$F$3*100,NA()),NA())</f>
        <v/>
      </c>
    </row>
    <row r="3779">
      <c r="A3779" s="7">
        <f>IFERROR(Datos!A3779,"")</f>
        <v/>
      </c>
      <c r="B3779" s="27">
        <f>IFERROR(IF(ISNUMBER(Datos!B3779),Datos!B3779/$F$2*100,NA()),NA())</f>
        <v/>
      </c>
      <c r="C3779" s="27">
        <f>IFERROR(IF(ISNUMBER(Datos!C3779),Datos!C3779/$F$3*100,NA()),NA())</f>
        <v/>
      </c>
    </row>
    <row r="3780">
      <c r="A3780" s="7">
        <f>IFERROR(Datos!A3780,"")</f>
        <v/>
      </c>
      <c r="B3780" s="27">
        <f>IFERROR(IF(ISNUMBER(Datos!B3780),Datos!B3780/$F$2*100,NA()),NA())</f>
        <v/>
      </c>
      <c r="C3780" s="27">
        <f>IFERROR(IF(ISNUMBER(Datos!C3780),Datos!C3780/$F$3*100,NA()),NA())</f>
        <v/>
      </c>
    </row>
    <row r="3781">
      <c r="A3781" s="7">
        <f>IFERROR(Datos!A3781,"")</f>
        <v/>
      </c>
      <c r="B3781" s="27">
        <f>IFERROR(IF(ISNUMBER(Datos!B3781),Datos!B3781/$F$2*100,NA()),NA())</f>
        <v/>
      </c>
      <c r="C3781" s="27">
        <f>IFERROR(IF(ISNUMBER(Datos!C3781),Datos!C3781/$F$3*100,NA()),NA())</f>
        <v/>
      </c>
    </row>
    <row r="3782">
      <c r="A3782" s="7">
        <f>IFERROR(Datos!A3782,"")</f>
        <v/>
      </c>
      <c r="B3782" s="27">
        <f>IFERROR(IF(ISNUMBER(Datos!B3782),Datos!B3782/$F$2*100,NA()),NA())</f>
        <v/>
      </c>
      <c r="C3782" s="27">
        <f>IFERROR(IF(ISNUMBER(Datos!C3782),Datos!C3782/$F$3*100,NA()),NA())</f>
        <v/>
      </c>
    </row>
    <row r="3783">
      <c r="A3783" s="7">
        <f>IFERROR(Datos!A3783,"")</f>
        <v/>
      </c>
      <c r="B3783" s="27">
        <f>IFERROR(IF(ISNUMBER(Datos!B3783),Datos!B3783/$F$2*100,NA()),NA())</f>
        <v/>
      </c>
      <c r="C3783" s="27">
        <f>IFERROR(IF(ISNUMBER(Datos!C3783),Datos!C3783/$F$3*100,NA()),NA())</f>
        <v/>
      </c>
    </row>
    <row r="3784">
      <c r="A3784" s="7">
        <f>IFERROR(Datos!A3784,"")</f>
        <v/>
      </c>
      <c r="B3784" s="27">
        <f>IFERROR(IF(ISNUMBER(Datos!B3784),Datos!B3784/$F$2*100,NA()),NA())</f>
        <v/>
      </c>
      <c r="C3784" s="27">
        <f>IFERROR(IF(ISNUMBER(Datos!C3784),Datos!C3784/$F$3*100,NA()),NA())</f>
        <v/>
      </c>
    </row>
    <row r="3785">
      <c r="A3785" s="7">
        <f>IFERROR(Datos!A3785,"")</f>
        <v/>
      </c>
      <c r="B3785" s="27">
        <f>IFERROR(IF(ISNUMBER(Datos!B3785),Datos!B3785/$F$2*100,NA()),NA())</f>
        <v/>
      </c>
      <c r="C3785" s="27">
        <f>IFERROR(IF(ISNUMBER(Datos!C3785),Datos!C3785/$F$3*100,NA()),NA())</f>
        <v/>
      </c>
    </row>
    <row r="3786">
      <c r="A3786" s="7">
        <f>IFERROR(Datos!A3786,"")</f>
        <v/>
      </c>
      <c r="B3786" s="27">
        <f>IFERROR(IF(ISNUMBER(Datos!B3786),Datos!B3786/$F$2*100,NA()),NA())</f>
        <v/>
      </c>
      <c r="C3786" s="27">
        <f>IFERROR(IF(ISNUMBER(Datos!C3786),Datos!C3786/$F$3*100,NA()),NA())</f>
        <v/>
      </c>
    </row>
    <row r="3787">
      <c r="A3787" s="7">
        <f>IFERROR(Datos!A3787,"")</f>
        <v/>
      </c>
      <c r="B3787" s="27">
        <f>IFERROR(IF(ISNUMBER(Datos!B3787),Datos!B3787/$F$2*100,NA()),NA())</f>
        <v/>
      </c>
      <c r="C3787" s="27">
        <f>IFERROR(IF(ISNUMBER(Datos!C3787),Datos!C3787/$F$3*100,NA()),NA())</f>
        <v/>
      </c>
    </row>
    <row r="3788">
      <c r="A3788" s="7">
        <f>IFERROR(Datos!A3788,"")</f>
        <v/>
      </c>
      <c r="B3788" s="27">
        <f>IFERROR(IF(ISNUMBER(Datos!B3788),Datos!B3788/$F$2*100,NA()),NA())</f>
        <v/>
      </c>
      <c r="C3788" s="27">
        <f>IFERROR(IF(ISNUMBER(Datos!C3788),Datos!C3788/$F$3*100,NA()),NA())</f>
        <v/>
      </c>
    </row>
    <row r="3789">
      <c r="A3789" s="7">
        <f>IFERROR(Datos!A3789,"")</f>
        <v/>
      </c>
      <c r="B3789" s="27">
        <f>IFERROR(IF(ISNUMBER(Datos!B3789),Datos!B3789/$F$2*100,NA()),NA())</f>
        <v/>
      </c>
      <c r="C3789" s="27">
        <f>IFERROR(IF(ISNUMBER(Datos!C3789),Datos!C3789/$F$3*100,NA()),NA())</f>
        <v/>
      </c>
    </row>
    <row r="3790">
      <c r="A3790" s="7">
        <f>IFERROR(Datos!A3790,"")</f>
        <v/>
      </c>
      <c r="B3790" s="27">
        <f>IFERROR(IF(ISNUMBER(Datos!B3790),Datos!B3790/$F$2*100,NA()),NA())</f>
        <v/>
      </c>
      <c r="C3790" s="27">
        <f>IFERROR(IF(ISNUMBER(Datos!C3790),Datos!C3790/$F$3*100,NA()),NA())</f>
        <v/>
      </c>
    </row>
    <row r="3791">
      <c r="A3791" s="7">
        <f>IFERROR(Datos!A3791,"")</f>
        <v/>
      </c>
      <c r="B3791" s="27">
        <f>IFERROR(IF(ISNUMBER(Datos!B3791),Datos!B3791/$F$2*100,NA()),NA())</f>
        <v/>
      </c>
      <c r="C3791" s="27">
        <f>IFERROR(IF(ISNUMBER(Datos!C3791),Datos!C3791/$F$3*100,NA()),NA())</f>
        <v/>
      </c>
    </row>
    <row r="3792">
      <c r="A3792" s="7">
        <f>IFERROR(Datos!A3792,"")</f>
        <v/>
      </c>
      <c r="B3792" s="27">
        <f>IFERROR(IF(ISNUMBER(Datos!B3792),Datos!B3792/$F$2*100,NA()),NA())</f>
        <v/>
      </c>
      <c r="C3792" s="27">
        <f>IFERROR(IF(ISNUMBER(Datos!C3792),Datos!C3792/$F$3*100,NA()),NA())</f>
        <v/>
      </c>
    </row>
    <row r="3793">
      <c r="A3793" s="7">
        <f>IFERROR(Datos!A3793,"")</f>
        <v/>
      </c>
      <c r="B3793" s="27">
        <f>IFERROR(IF(ISNUMBER(Datos!B3793),Datos!B3793/$F$2*100,NA()),NA())</f>
        <v/>
      </c>
      <c r="C3793" s="27">
        <f>IFERROR(IF(ISNUMBER(Datos!C3793),Datos!C3793/$F$3*100,NA()),NA())</f>
        <v/>
      </c>
    </row>
    <row r="3794">
      <c r="A3794" s="7">
        <f>IFERROR(Datos!A3794,"")</f>
        <v/>
      </c>
      <c r="B3794" s="27">
        <f>IFERROR(IF(ISNUMBER(Datos!B3794),Datos!B3794/$F$2*100,NA()),NA())</f>
        <v/>
      </c>
      <c r="C3794" s="27">
        <f>IFERROR(IF(ISNUMBER(Datos!C3794),Datos!C3794/$F$3*100,NA()),NA())</f>
        <v/>
      </c>
    </row>
    <row r="3795">
      <c r="A3795" s="7">
        <f>IFERROR(Datos!A3795,"")</f>
        <v/>
      </c>
      <c r="B3795" s="27">
        <f>IFERROR(IF(ISNUMBER(Datos!B3795),Datos!B3795/$F$2*100,NA()),NA())</f>
        <v/>
      </c>
      <c r="C3795" s="27">
        <f>IFERROR(IF(ISNUMBER(Datos!C3795),Datos!C3795/$F$3*100,NA()),NA())</f>
        <v/>
      </c>
    </row>
    <row r="3796">
      <c r="A3796" s="7">
        <f>IFERROR(Datos!A3796,"")</f>
        <v/>
      </c>
      <c r="B3796" s="27">
        <f>IFERROR(IF(ISNUMBER(Datos!B3796),Datos!B3796/$F$2*100,NA()),NA())</f>
        <v/>
      </c>
      <c r="C3796" s="27">
        <f>IFERROR(IF(ISNUMBER(Datos!C3796),Datos!C3796/$F$3*100,NA()),NA())</f>
        <v/>
      </c>
    </row>
    <row r="3797">
      <c r="A3797" s="7">
        <f>IFERROR(Datos!A3797,"")</f>
        <v/>
      </c>
      <c r="B3797" s="27">
        <f>IFERROR(IF(ISNUMBER(Datos!B3797),Datos!B3797/$F$2*100,NA()),NA())</f>
        <v/>
      </c>
      <c r="C3797" s="27">
        <f>IFERROR(IF(ISNUMBER(Datos!C3797),Datos!C3797/$F$3*100,NA()),NA())</f>
        <v/>
      </c>
    </row>
    <row r="3798">
      <c r="A3798" s="7">
        <f>IFERROR(Datos!A3798,"")</f>
        <v/>
      </c>
      <c r="B3798" s="27">
        <f>IFERROR(IF(ISNUMBER(Datos!B3798),Datos!B3798/$F$2*100,NA()),NA())</f>
        <v/>
      </c>
      <c r="C3798" s="27">
        <f>IFERROR(IF(ISNUMBER(Datos!C3798),Datos!C3798/$F$3*100,NA()),NA())</f>
        <v/>
      </c>
    </row>
    <row r="3799">
      <c r="A3799" s="7">
        <f>IFERROR(Datos!A3799,"")</f>
        <v/>
      </c>
      <c r="B3799" s="27">
        <f>IFERROR(IF(ISNUMBER(Datos!B3799),Datos!B3799/$F$2*100,NA()),NA())</f>
        <v/>
      </c>
      <c r="C3799" s="27">
        <f>IFERROR(IF(ISNUMBER(Datos!C3799),Datos!C3799/$F$3*100,NA()),NA())</f>
        <v/>
      </c>
    </row>
    <row r="3800">
      <c r="A3800" s="7">
        <f>IFERROR(Datos!A3800,"")</f>
        <v/>
      </c>
      <c r="B3800" s="27">
        <f>IFERROR(IF(ISNUMBER(Datos!B3800),Datos!B3800/$F$2*100,NA()),NA())</f>
        <v/>
      </c>
      <c r="C3800" s="27">
        <f>IFERROR(IF(ISNUMBER(Datos!C3800),Datos!C3800/$F$3*100,NA()),NA())</f>
        <v/>
      </c>
    </row>
    <row r="3801">
      <c r="A3801" s="7">
        <f>IFERROR(Datos!A3801,"")</f>
        <v/>
      </c>
      <c r="B3801" s="27">
        <f>IFERROR(IF(ISNUMBER(Datos!B3801),Datos!B3801/$F$2*100,NA()),NA())</f>
        <v/>
      </c>
      <c r="C3801" s="27">
        <f>IFERROR(IF(ISNUMBER(Datos!C3801),Datos!C3801/$F$3*100,NA()),NA())</f>
        <v/>
      </c>
    </row>
    <row r="3802">
      <c r="A3802" s="7">
        <f>IFERROR(Datos!A3802,"")</f>
        <v/>
      </c>
      <c r="B3802" s="27">
        <f>IFERROR(IF(ISNUMBER(Datos!B3802),Datos!B3802/$F$2*100,NA()),NA())</f>
        <v/>
      </c>
      <c r="C3802" s="27">
        <f>IFERROR(IF(ISNUMBER(Datos!C3802),Datos!C3802/$F$3*100,NA()),NA())</f>
        <v/>
      </c>
    </row>
    <row r="3803">
      <c r="A3803" s="7">
        <f>IFERROR(Datos!A3803,"")</f>
        <v/>
      </c>
      <c r="B3803" s="27">
        <f>IFERROR(IF(ISNUMBER(Datos!B3803),Datos!B3803/$F$2*100,NA()),NA())</f>
        <v/>
      </c>
      <c r="C3803" s="27">
        <f>IFERROR(IF(ISNUMBER(Datos!C3803),Datos!C3803/$F$3*100,NA()),NA())</f>
        <v/>
      </c>
    </row>
    <row r="3804">
      <c r="A3804" s="7">
        <f>IFERROR(Datos!A3804,"")</f>
        <v/>
      </c>
      <c r="B3804" s="27">
        <f>IFERROR(IF(ISNUMBER(Datos!B3804),Datos!B3804/$F$2*100,NA()),NA())</f>
        <v/>
      </c>
      <c r="C3804" s="27">
        <f>IFERROR(IF(ISNUMBER(Datos!C3804),Datos!C3804/$F$3*100,NA()),NA())</f>
        <v/>
      </c>
    </row>
    <row r="3805">
      <c r="A3805" s="7">
        <f>IFERROR(Datos!A3805,"")</f>
        <v/>
      </c>
      <c r="B3805" s="27">
        <f>IFERROR(IF(ISNUMBER(Datos!B3805),Datos!B3805/$F$2*100,NA()),NA())</f>
        <v/>
      </c>
      <c r="C3805" s="27">
        <f>IFERROR(IF(ISNUMBER(Datos!C3805),Datos!C3805/$F$3*100,NA()),NA())</f>
        <v/>
      </c>
    </row>
    <row r="3806">
      <c r="A3806" s="7">
        <f>IFERROR(Datos!A3806,"")</f>
        <v/>
      </c>
      <c r="B3806" s="27">
        <f>IFERROR(IF(ISNUMBER(Datos!B3806),Datos!B3806/$F$2*100,NA()),NA())</f>
        <v/>
      </c>
      <c r="C3806" s="27">
        <f>IFERROR(IF(ISNUMBER(Datos!C3806),Datos!C3806/$F$3*100,NA()),NA())</f>
        <v/>
      </c>
    </row>
    <row r="3807">
      <c r="A3807" s="7">
        <f>IFERROR(Datos!A3807,"")</f>
        <v/>
      </c>
      <c r="B3807" s="27">
        <f>IFERROR(IF(ISNUMBER(Datos!B3807),Datos!B3807/$F$2*100,NA()),NA())</f>
        <v/>
      </c>
      <c r="C3807" s="27">
        <f>IFERROR(IF(ISNUMBER(Datos!C3807),Datos!C3807/$F$3*100,NA()),NA())</f>
        <v/>
      </c>
    </row>
    <row r="3808">
      <c r="A3808" s="7">
        <f>IFERROR(Datos!A3808,"")</f>
        <v/>
      </c>
      <c r="B3808" s="27">
        <f>IFERROR(IF(ISNUMBER(Datos!B3808),Datos!B3808/$F$2*100,NA()),NA())</f>
        <v/>
      </c>
      <c r="C3808" s="27">
        <f>IFERROR(IF(ISNUMBER(Datos!C3808),Datos!C3808/$F$3*100,NA()),NA())</f>
        <v/>
      </c>
    </row>
    <row r="3809">
      <c r="A3809" s="7">
        <f>IFERROR(Datos!A3809,"")</f>
        <v/>
      </c>
      <c r="B3809" s="27">
        <f>IFERROR(IF(ISNUMBER(Datos!B3809),Datos!B3809/$F$2*100,NA()),NA())</f>
        <v/>
      </c>
      <c r="C3809" s="27">
        <f>IFERROR(IF(ISNUMBER(Datos!C3809),Datos!C3809/$F$3*100,NA()),NA())</f>
        <v/>
      </c>
    </row>
    <row r="3810">
      <c r="A3810" s="7">
        <f>IFERROR(Datos!A3810,"")</f>
        <v/>
      </c>
      <c r="B3810" s="27">
        <f>IFERROR(IF(ISNUMBER(Datos!B3810),Datos!B3810/$F$2*100,NA()),NA())</f>
        <v/>
      </c>
      <c r="C3810" s="27">
        <f>IFERROR(IF(ISNUMBER(Datos!C3810),Datos!C3810/$F$3*100,NA()),NA())</f>
        <v/>
      </c>
    </row>
    <row r="3811">
      <c r="A3811" s="7">
        <f>IFERROR(Datos!A3811,"")</f>
        <v/>
      </c>
      <c r="B3811" s="27">
        <f>IFERROR(IF(ISNUMBER(Datos!B3811),Datos!B3811/$F$2*100,NA()),NA())</f>
        <v/>
      </c>
      <c r="C3811" s="27">
        <f>IFERROR(IF(ISNUMBER(Datos!C3811),Datos!C3811/$F$3*100,NA()),NA())</f>
        <v/>
      </c>
    </row>
    <row r="3812">
      <c r="A3812" s="7">
        <f>IFERROR(Datos!A3812,"")</f>
        <v/>
      </c>
      <c r="B3812" s="27">
        <f>IFERROR(IF(ISNUMBER(Datos!B3812),Datos!B3812/$F$2*100,NA()),NA())</f>
        <v/>
      </c>
      <c r="C3812" s="27">
        <f>IFERROR(IF(ISNUMBER(Datos!C3812),Datos!C3812/$F$3*100,NA()),NA())</f>
        <v/>
      </c>
    </row>
    <row r="3813">
      <c r="A3813" s="7">
        <f>IFERROR(Datos!A3813,"")</f>
        <v/>
      </c>
      <c r="B3813" s="27">
        <f>IFERROR(IF(ISNUMBER(Datos!B3813),Datos!B3813/$F$2*100,NA()),NA())</f>
        <v/>
      </c>
      <c r="C3813" s="27">
        <f>IFERROR(IF(ISNUMBER(Datos!C3813),Datos!C3813/$F$3*100,NA()),NA())</f>
        <v/>
      </c>
    </row>
    <row r="3814">
      <c r="A3814" s="7">
        <f>IFERROR(Datos!A3814,"")</f>
        <v/>
      </c>
      <c r="B3814" s="27">
        <f>IFERROR(IF(ISNUMBER(Datos!B3814),Datos!B3814/$F$2*100,NA()),NA())</f>
        <v/>
      </c>
      <c r="C3814" s="27">
        <f>IFERROR(IF(ISNUMBER(Datos!C3814),Datos!C3814/$F$3*100,NA()),NA())</f>
        <v/>
      </c>
    </row>
    <row r="3815">
      <c r="A3815" s="7">
        <f>IFERROR(Datos!A3815,"")</f>
        <v/>
      </c>
      <c r="B3815" s="27">
        <f>IFERROR(IF(ISNUMBER(Datos!B3815),Datos!B3815/$F$2*100,NA()),NA())</f>
        <v/>
      </c>
      <c r="C3815" s="27">
        <f>IFERROR(IF(ISNUMBER(Datos!C3815),Datos!C3815/$F$3*100,NA()),NA())</f>
        <v/>
      </c>
    </row>
    <row r="3816">
      <c r="A3816" s="7">
        <f>IFERROR(Datos!A3816,"")</f>
        <v/>
      </c>
      <c r="B3816" s="27">
        <f>IFERROR(IF(ISNUMBER(Datos!B3816),Datos!B3816/$F$2*100,NA()),NA())</f>
        <v/>
      </c>
      <c r="C3816" s="27">
        <f>IFERROR(IF(ISNUMBER(Datos!C3816),Datos!C3816/$F$3*100,NA()),NA())</f>
        <v/>
      </c>
    </row>
    <row r="3817">
      <c r="A3817" s="7">
        <f>IFERROR(Datos!A3817,"")</f>
        <v/>
      </c>
      <c r="B3817" s="27">
        <f>IFERROR(IF(ISNUMBER(Datos!B3817),Datos!B3817/$F$2*100,NA()),NA())</f>
        <v/>
      </c>
      <c r="C3817" s="27">
        <f>IFERROR(IF(ISNUMBER(Datos!C3817),Datos!C3817/$F$3*100,NA()),NA())</f>
        <v/>
      </c>
    </row>
    <row r="3818">
      <c r="A3818" s="7">
        <f>IFERROR(Datos!A3818,"")</f>
        <v/>
      </c>
      <c r="B3818" s="27">
        <f>IFERROR(IF(ISNUMBER(Datos!B3818),Datos!B3818/$F$2*100,NA()),NA())</f>
        <v/>
      </c>
      <c r="C3818" s="27">
        <f>IFERROR(IF(ISNUMBER(Datos!C3818),Datos!C3818/$F$3*100,NA()),NA())</f>
        <v/>
      </c>
    </row>
    <row r="3819">
      <c r="A3819" s="7">
        <f>IFERROR(Datos!A3819,"")</f>
        <v/>
      </c>
      <c r="B3819" s="27">
        <f>IFERROR(IF(ISNUMBER(Datos!B3819),Datos!B3819/$F$2*100,NA()),NA())</f>
        <v/>
      </c>
      <c r="C3819" s="27">
        <f>IFERROR(IF(ISNUMBER(Datos!C3819),Datos!C3819/$F$3*100,NA()),NA())</f>
        <v/>
      </c>
    </row>
    <row r="3820">
      <c r="A3820" s="7">
        <f>IFERROR(Datos!A3820,"")</f>
        <v/>
      </c>
      <c r="B3820" s="27">
        <f>IFERROR(IF(ISNUMBER(Datos!B3820),Datos!B3820/$F$2*100,NA()),NA())</f>
        <v/>
      </c>
      <c r="C3820" s="27">
        <f>IFERROR(IF(ISNUMBER(Datos!C3820),Datos!C3820/$F$3*100,NA()),NA())</f>
        <v/>
      </c>
    </row>
    <row r="3821">
      <c r="A3821" s="7">
        <f>IFERROR(Datos!A3821,"")</f>
        <v/>
      </c>
      <c r="B3821" s="27">
        <f>IFERROR(IF(ISNUMBER(Datos!B3821),Datos!B3821/$F$2*100,NA()),NA())</f>
        <v/>
      </c>
      <c r="C3821" s="27">
        <f>IFERROR(IF(ISNUMBER(Datos!C3821),Datos!C3821/$F$3*100,NA()),NA())</f>
        <v/>
      </c>
    </row>
    <row r="3822">
      <c r="A3822" s="7">
        <f>IFERROR(Datos!A3822,"")</f>
        <v/>
      </c>
      <c r="B3822" s="27">
        <f>IFERROR(IF(ISNUMBER(Datos!B3822),Datos!B3822/$F$2*100,NA()),NA())</f>
        <v/>
      </c>
      <c r="C3822" s="27">
        <f>IFERROR(IF(ISNUMBER(Datos!C3822),Datos!C3822/$F$3*100,NA()),NA())</f>
        <v/>
      </c>
    </row>
    <row r="3823">
      <c r="A3823" s="7">
        <f>IFERROR(Datos!A3823,"")</f>
        <v/>
      </c>
      <c r="B3823" s="27">
        <f>IFERROR(IF(ISNUMBER(Datos!B3823),Datos!B3823/$F$2*100,NA()),NA())</f>
        <v/>
      </c>
      <c r="C3823" s="27">
        <f>IFERROR(IF(ISNUMBER(Datos!C3823),Datos!C3823/$F$3*100,NA()),NA())</f>
        <v/>
      </c>
    </row>
    <row r="3824">
      <c r="A3824" s="7">
        <f>IFERROR(Datos!A3824,"")</f>
        <v/>
      </c>
      <c r="B3824" s="27">
        <f>IFERROR(IF(ISNUMBER(Datos!B3824),Datos!B3824/$F$2*100,NA()),NA())</f>
        <v/>
      </c>
      <c r="C3824" s="27">
        <f>IFERROR(IF(ISNUMBER(Datos!C3824),Datos!C3824/$F$3*100,NA()),NA())</f>
        <v/>
      </c>
    </row>
    <row r="3825">
      <c r="A3825" s="7">
        <f>IFERROR(Datos!A3825,"")</f>
        <v/>
      </c>
      <c r="B3825" s="27">
        <f>IFERROR(IF(ISNUMBER(Datos!B3825),Datos!B3825/$F$2*100,NA()),NA())</f>
        <v/>
      </c>
      <c r="C3825" s="27">
        <f>IFERROR(IF(ISNUMBER(Datos!C3825),Datos!C3825/$F$3*100,NA()),NA())</f>
        <v/>
      </c>
    </row>
    <row r="3826">
      <c r="A3826" s="7">
        <f>IFERROR(Datos!A3826,"")</f>
        <v/>
      </c>
      <c r="B3826" s="27">
        <f>IFERROR(IF(ISNUMBER(Datos!B3826),Datos!B3826/$F$2*100,NA()),NA())</f>
        <v/>
      </c>
      <c r="C3826" s="27">
        <f>IFERROR(IF(ISNUMBER(Datos!C3826),Datos!C3826/$F$3*100,NA()),NA())</f>
        <v/>
      </c>
    </row>
    <row r="3827">
      <c r="A3827" s="7">
        <f>IFERROR(Datos!A3827,"")</f>
        <v/>
      </c>
      <c r="B3827" s="27">
        <f>IFERROR(IF(ISNUMBER(Datos!B3827),Datos!B3827/$F$2*100,NA()),NA())</f>
        <v/>
      </c>
      <c r="C3827" s="27">
        <f>IFERROR(IF(ISNUMBER(Datos!C3827),Datos!C3827/$F$3*100,NA()),NA())</f>
        <v/>
      </c>
    </row>
    <row r="3828">
      <c r="A3828" s="7">
        <f>IFERROR(Datos!A3828,"")</f>
        <v/>
      </c>
      <c r="B3828" s="27">
        <f>IFERROR(IF(ISNUMBER(Datos!B3828),Datos!B3828/$F$2*100,NA()),NA())</f>
        <v/>
      </c>
      <c r="C3828" s="27">
        <f>IFERROR(IF(ISNUMBER(Datos!C3828),Datos!C3828/$F$3*100,NA()),NA())</f>
        <v/>
      </c>
    </row>
    <row r="3829">
      <c r="A3829" s="7">
        <f>IFERROR(Datos!A3829,"")</f>
        <v/>
      </c>
      <c r="B3829" s="27">
        <f>IFERROR(IF(ISNUMBER(Datos!B3829),Datos!B3829/$F$2*100,NA()),NA())</f>
        <v/>
      </c>
      <c r="C3829" s="27">
        <f>IFERROR(IF(ISNUMBER(Datos!C3829),Datos!C3829/$F$3*100,NA()),NA())</f>
        <v/>
      </c>
    </row>
    <row r="3830">
      <c r="A3830" s="7">
        <f>IFERROR(Datos!A3830,"")</f>
        <v/>
      </c>
      <c r="B3830" s="27">
        <f>IFERROR(IF(ISNUMBER(Datos!B3830),Datos!B3830/$F$2*100,NA()),NA())</f>
        <v/>
      </c>
      <c r="C3830" s="27">
        <f>IFERROR(IF(ISNUMBER(Datos!C3830),Datos!C3830/$F$3*100,NA()),NA())</f>
        <v/>
      </c>
    </row>
    <row r="3831">
      <c r="A3831" s="7">
        <f>IFERROR(Datos!A3831,"")</f>
        <v/>
      </c>
      <c r="B3831" s="27">
        <f>IFERROR(IF(ISNUMBER(Datos!B3831),Datos!B3831/$F$2*100,NA()),NA())</f>
        <v/>
      </c>
      <c r="C3831" s="27">
        <f>IFERROR(IF(ISNUMBER(Datos!C3831),Datos!C3831/$F$3*100,NA()),NA())</f>
        <v/>
      </c>
    </row>
    <row r="3832">
      <c r="A3832" s="7">
        <f>IFERROR(Datos!A3832,"")</f>
        <v/>
      </c>
      <c r="B3832" s="27">
        <f>IFERROR(IF(ISNUMBER(Datos!B3832),Datos!B3832/$F$2*100,NA()),NA())</f>
        <v/>
      </c>
      <c r="C3832" s="27">
        <f>IFERROR(IF(ISNUMBER(Datos!C3832),Datos!C3832/$F$3*100,NA()),NA())</f>
        <v/>
      </c>
    </row>
    <row r="3833">
      <c r="A3833" s="7">
        <f>IFERROR(Datos!A3833,"")</f>
        <v/>
      </c>
      <c r="B3833" s="27">
        <f>IFERROR(IF(ISNUMBER(Datos!B3833),Datos!B3833/$F$2*100,NA()),NA())</f>
        <v/>
      </c>
      <c r="C3833" s="27">
        <f>IFERROR(IF(ISNUMBER(Datos!C3833),Datos!C3833/$F$3*100,NA()),NA())</f>
        <v/>
      </c>
    </row>
    <row r="3834">
      <c r="A3834" s="7">
        <f>IFERROR(Datos!A3834,"")</f>
        <v/>
      </c>
      <c r="B3834" s="27">
        <f>IFERROR(IF(ISNUMBER(Datos!B3834),Datos!B3834/$F$2*100,NA()),NA())</f>
        <v/>
      </c>
      <c r="C3834" s="27">
        <f>IFERROR(IF(ISNUMBER(Datos!C3834),Datos!C3834/$F$3*100,NA()),NA())</f>
        <v/>
      </c>
    </row>
    <row r="3835">
      <c r="A3835" s="7">
        <f>IFERROR(Datos!A3835,"")</f>
        <v/>
      </c>
      <c r="B3835" s="27">
        <f>IFERROR(IF(ISNUMBER(Datos!B3835),Datos!B3835/$F$2*100,NA()),NA())</f>
        <v/>
      </c>
      <c r="C3835" s="27">
        <f>IFERROR(IF(ISNUMBER(Datos!C3835),Datos!C3835/$F$3*100,NA()),NA())</f>
        <v/>
      </c>
    </row>
    <row r="3836">
      <c r="A3836" s="7">
        <f>IFERROR(Datos!A3836,"")</f>
        <v/>
      </c>
      <c r="B3836" s="27">
        <f>IFERROR(IF(ISNUMBER(Datos!B3836),Datos!B3836/$F$2*100,NA()),NA())</f>
        <v/>
      </c>
      <c r="C3836" s="27">
        <f>IFERROR(IF(ISNUMBER(Datos!C3836),Datos!C3836/$F$3*100,NA()),NA())</f>
        <v/>
      </c>
    </row>
    <row r="3837">
      <c r="A3837" s="7">
        <f>IFERROR(Datos!A3837,"")</f>
        <v/>
      </c>
      <c r="B3837" s="27">
        <f>IFERROR(IF(ISNUMBER(Datos!B3837),Datos!B3837/$F$2*100,NA()),NA())</f>
        <v/>
      </c>
      <c r="C3837" s="27">
        <f>IFERROR(IF(ISNUMBER(Datos!C3837),Datos!C3837/$F$3*100,NA()),NA())</f>
        <v/>
      </c>
    </row>
    <row r="3838">
      <c r="A3838" s="7">
        <f>IFERROR(Datos!A3838,"")</f>
        <v/>
      </c>
      <c r="B3838" s="27">
        <f>IFERROR(IF(ISNUMBER(Datos!B3838),Datos!B3838/$F$2*100,NA()),NA())</f>
        <v/>
      </c>
      <c r="C3838" s="27">
        <f>IFERROR(IF(ISNUMBER(Datos!C3838),Datos!C3838/$F$3*100,NA()),NA())</f>
        <v/>
      </c>
    </row>
    <row r="3839">
      <c r="A3839" s="7">
        <f>IFERROR(Datos!A3839,"")</f>
        <v/>
      </c>
      <c r="B3839" s="27">
        <f>IFERROR(IF(ISNUMBER(Datos!B3839),Datos!B3839/$F$2*100,NA()),NA())</f>
        <v/>
      </c>
      <c r="C3839" s="27">
        <f>IFERROR(IF(ISNUMBER(Datos!C3839),Datos!C3839/$F$3*100,NA()),NA())</f>
        <v/>
      </c>
    </row>
    <row r="3840">
      <c r="A3840" s="7">
        <f>IFERROR(Datos!A3840,"")</f>
        <v/>
      </c>
      <c r="B3840" s="27">
        <f>IFERROR(IF(ISNUMBER(Datos!B3840),Datos!B3840/$F$2*100,NA()),NA())</f>
        <v/>
      </c>
      <c r="C3840" s="27">
        <f>IFERROR(IF(ISNUMBER(Datos!C3840),Datos!C3840/$F$3*100,NA()),NA())</f>
        <v/>
      </c>
    </row>
    <row r="3841">
      <c r="A3841" s="7">
        <f>IFERROR(Datos!A3841,"")</f>
        <v/>
      </c>
      <c r="B3841" s="27">
        <f>IFERROR(IF(ISNUMBER(Datos!B3841),Datos!B3841/$F$2*100,NA()),NA())</f>
        <v/>
      </c>
      <c r="C3841" s="27">
        <f>IFERROR(IF(ISNUMBER(Datos!C3841),Datos!C3841/$F$3*100,NA()),NA())</f>
        <v/>
      </c>
    </row>
    <row r="3842">
      <c r="A3842" s="7">
        <f>IFERROR(Datos!A3842,"")</f>
        <v/>
      </c>
      <c r="B3842" s="27">
        <f>IFERROR(IF(ISNUMBER(Datos!B3842),Datos!B3842/$F$2*100,NA()),NA())</f>
        <v/>
      </c>
      <c r="C3842" s="27">
        <f>IFERROR(IF(ISNUMBER(Datos!C3842),Datos!C3842/$F$3*100,NA()),NA())</f>
        <v/>
      </c>
    </row>
    <row r="3843">
      <c r="A3843" s="7">
        <f>IFERROR(Datos!A3843,"")</f>
        <v/>
      </c>
      <c r="B3843" s="27">
        <f>IFERROR(IF(ISNUMBER(Datos!B3843),Datos!B3843/$F$2*100,NA()),NA())</f>
        <v/>
      </c>
      <c r="C3843" s="27">
        <f>IFERROR(IF(ISNUMBER(Datos!C3843),Datos!C3843/$F$3*100,NA()),NA())</f>
        <v/>
      </c>
    </row>
    <row r="3844">
      <c r="A3844" s="7">
        <f>IFERROR(Datos!A3844,"")</f>
        <v/>
      </c>
      <c r="B3844" s="27">
        <f>IFERROR(IF(ISNUMBER(Datos!B3844),Datos!B3844/$F$2*100,NA()),NA())</f>
        <v/>
      </c>
      <c r="C3844" s="27">
        <f>IFERROR(IF(ISNUMBER(Datos!C3844),Datos!C3844/$F$3*100,NA()),NA())</f>
        <v/>
      </c>
    </row>
    <row r="3845">
      <c r="A3845" s="7">
        <f>IFERROR(Datos!A3845,"")</f>
        <v/>
      </c>
      <c r="B3845" s="27">
        <f>IFERROR(IF(ISNUMBER(Datos!B3845),Datos!B3845/$F$2*100,NA()),NA())</f>
        <v/>
      </c>
      <c r="C3845" s="27">
        <f>IFERROR(IF(ISNUMBER(Datos!C3845),Datos!C3845/$F$3*100,NA()),NA())</f>
        <v/>
      </c>
    </row>
    <row r="3846">
      <c r="A3846" s="7">
        <f>IFERROR(Datos!A3846,"")</f>
        <v/>
      </c>
      <c r="B3846" s="27">
        <f>IFERROR(IF(ISNUMBER(Datos!B3846),Datos!B3846/$F$2*100,NA()),NA())</f>
        <v/>
      </c>
      <c r="C3846" s="27">
        <f>IFERROR(IF(ISNUMBER(Datos!C3846),Datos!C3846/$F$3*100,NA()),NA())</f>
        <v/>
      </c>
    </row>
    <row r="3847">
      <c r="A3847" s="7">
        <f>IFERROR(Datos!A3847,"")</f>
        <v/>
      </c>
      <c r="B3847" s="27">
        <f>IFERROR(IF(ISNUMBER(Datos!B3847),Datos!B3847/$F$2*100,NA()),NA())</f>
        <v/>
      </c>
      <c r="C3847" s="27">
        <f>IFERROR(IF(ISNUMBER(Datos!C3847),Datos!C3847/$F$3*100,NA()),NA())</f>
        <v/>
      </c>
    </row>
    <row r="3848">
      <c r="A3848" s="7">
        <f>IFERROR(Datos!A3848,"")</f>
        <v/>
      </c>
      <c r="B3848" s="27">
        <f>IFERROR(IF(ISNUMBER(Datos!B3848),Datos!B3848/$F$2*100,NA()),NA())</f>
        <v/>
      </c>
      <c r="C3848" s="27">
        <f>IFERROR(IF(ISNUMBER(Datos!C3848),Datos!C3848/$F$3*100,NA()),NA())</f>
        <v/>
      </c>
    </row>
    <row r="3849">
      <c r="A3849" s="7">
        <f>IFERROR(Datos!A3849,"")</f>
        <v/>
      </c>
      <c r="B3849" s="27">
        <f>IFERROR(IF(ISNUMBER(Datos!B3849),Datos!B3849/$F$2*100,NA()),NA())</f>
        <v/>
      </c>
      <c r="C3849" s="27">
        <f>IFERROR(IF(ISNUMBER(Datos!C3849),Datos!C3849/$F$3*100,NA()),NA())</f>
        <v/>
      </c>
    </row>
    <row r="3850">
      <c r="A3850" s="7">
        <f>IFERROR(Datos!A3850,"")</f>
        <v/>
      </c>
      <c r="B3850" s="27">
        <f>IFERROR(IF(ISNUMBER(Datos!B3850),Datos!B3850/$F$2*100,NA()),NA())</f>
        <v/>
      </c>
      <c r="C3850" s="27">
        <f>IFERROR(IF(ISNUMBER(Datos!C3850),Datos!C3850/$F$3*100,NA()),NA())</f>
        <v/>
      </c>
    </row>
    <row r="3851">
      <c r="A3851" s="7">
        <f>IFERROR(Datos!A3851,"")</f>
        <v/>
      </c>
      <c r="B3851" s="27">
        <f>IFERROR(IF(ISNUMBER(Datos!B3851),Datos!B3851/$F$2*100,NA()),NA())</f>
        <v/>
      </c>
      <c r="C3851" s="27">
        <f>IFERROR(IF(ISNUMBER(Datos!C3851),Datos!C3851/$F$3*100,NA()),NA())</f>
        <v/>
      </c>
    </row>
    <row r="3852">
      <c r="A3852" s="7">
        <f>IFERROR(Datos!A3852,"")</f>
        <v/>
      </c>
      <c r="B3852" s="27">
        <f>IFERROR(IF(ISNUMBER(Datos!B3852),Datos!B3852/$F$2*100,NA()),NA())</f>
        <v/>
      </c>
      <c r="C3852" s="27">
        <f>IFERROR(IF(ISNUMBER(Datos!C3852),Datos!C3852/$F$3*100,NA()),NA())</f>
        <v/>
      </c>
    </row>
    <row r="3853">
      <c r="A3853" s="7">
        <f>IFERROR(Datos!A3853,"")</f>
        <v/>
      </c>
      <c r="B3853" s="27">
        <f>IFERROR(IF(ISNUMBER(Datos!B3853),Datos!B3853/$F$2*100,NA()),NA())</f>
        <v/>
      </c>
      <c r="C3853" s="27">
        <f>IFERROR(IF(ISNUMBER(Datos!C3853),Datos!C3853/$F$3*100,NA()),NA())</f>
        <v/>
      </c>
    </row>
    <row r="3854">
      <c r="A3854" s="7">
        <f>IFERROR(Datos!A3854,"")</f>
        <v/>
      </c>
      <c r="B3854" s="27">
        <f>IFERROR(IF(ISNUMBER(Datos!B3854),Datos!B3854/$F$2*100,NA()),NA())</f>
        <v/>
      </c>
      <c r="C3854" s="27">
        <f>IFERROR(IF(ISNUMBER(Datos!C3854),Datos!C3854/$F$3*100,NA()),NA())</f>
        <v/>
      </c>
    </row>
    <row r="3855">
      <c r="A3855" s="7">
        <f>IFERROR(Datos!A3855,"")</f>
        <v/>
      </c>
      <c r="B3855" s="27">
        <f>IFERROR(IF(ISNUMBER(Datos!B3855),Datos!B3855/$F$2*100,NA()),NA())</f>
        <v/>
      </c>
      <c r="C3855" s="27">
        <f>IFERROR(IF(ISNUMBER(Datos!C3855),Datos!C3855/$F$3*100,NA()),NA())</f>
        <v/>
      </c>
    </row>
    <row r="3856">
      <c r="A3856" s="7">
        <f>IFERROR(Datos!A3856,"")</f>
        <v/>
      </c>
      <c r="B3856" s="27">
        <f>IFERROR(IF(ISNUMBER(Datos!B3856),Datos!B3856/$F$2*100,NA()),NA())</f>
        <v/>
      </c>
      <c r="C3856" s="27">
        <f>IFERROR(IF(ISNUMBER(Datos!C3856),Datos!C3856/$F$3*100,NA()),NA())</f>
        <v/>
      </c>
    </row>
    <row r="3857">
      <c r="A3857" s="7">
        <f>IFERROR(Datos!A3857,"")</f>
        <v/>
      </c>
      <c r="B3857" s="27">
        <f>IFERROR(IF(ISNUMBER(Datos!B3857),Datos!B3857/$F$2*100,NA()),NA())</f>
        <v/>
      </c>
      <c r="C3857" s="27">
        <f>IFERROR(IF(ISNUMBER(Datos!C3857),Datos!C3857/$F$3*100,NA()),NA())</f>
        <v/>
      </c>
    </row>
    <row r="3858">
      <c r="A3858" s="7">
        <f>IFERROR(Datos!A3858,"")</f>
        <v/>
      </c>
      <c r="B3858" s="27">
        <f>IFERROR(IF(ISNUMBER(Datos!B3858),Datos!B3858/$F$2*100,NA()),NA())</f>
        <v/>
      </c>
      <c r="C3858" s="27">
        <f>IFERROR(IF(ISNUMBER(Datos!C3858),Datos!C3858/$F$3*100,NA()),NA())</f>
        <v/>
      </c>
    </row>
    <row r="3859">
      <c r="A3859" s="7">
        <f>IFERROR(Datos!A3859,"")</f>
        <v/>
      </c>
      <c r="B3859" s="27">
        <f>IFERROR(IF(ISNUMBER(Datos!B3859),Datos!B3859/$F$2*100,NA()),NA())</f>
        <v/>
      </c>
      <c r="C3859" s="27">
        <f>IFERROR(IF(ISNUMBER(Datos!C3859),Datos!C3859/$F$3*100,NA()),NA())</f>
        <v/>
      </c>
    </row>
    <row r="3860">
      <c r="A3860" s="7">
        <f>IFERROR(Datos!A3860,"")</f>
        <v/>
      </c>
      <c r="B3860" s="27">
        <f>IFERROR(IF(ISNUMBER(Datos!B3860),Datos!B3860/$F$2*100,NA()),NA())</f>
        <v/>
      </c>
      <c r="C3860" s="27">
        <f>IFERROR(IF(ISNUMBER(Datos!C3860),Datos!C3860/$F$3*100,NA()),NA())</f>
        <v/>
      </c>
    </row>
    <row r="3861">
      <c r="A3861" s="7">
        <f>IFERROR(Datos!A3861,"")</f>
        <v/>
      </c>
      <c r="B3861" s="27">
        <f>IFERROR(IF(ISNUMBER(Datos!B3861),Datos!B3861/$F$2*100,NA()),NA())</f>
        <v/>
      </c>
      <c r="C3861" s="27">
        <f>IFERROR(IF(ISNUMBER(Datos!C3861),Datos!C3861/$F$3*100,NA()),NA())</f>
        <v/>
      </c>
    </row>
    <row r="3862">
      <c r="A3862" s="7">
        <f>IFERROR(Datos!A3862,"")</f>
        <v/>
      </c>
      <c r="B3862" s="27">
        <f>IFERROR(IF(ISNUMBER(Datos!B3862),Datos!B3862/$F$2*100,NA()),NA())</f>
        <v/>
      </c>
      <c r="C3862" s="27">
        <f>IFERROR(IF(ISNUMBER(Datos!C3862),Datos!C3862/$F$3*100,NA()),NA())</f>
        <v/>
      </c>
    </row>
    <row r="3863">
      <c r="A3863" s="7">
        <f>IFERROR(Datos!A3863,"")</f>
        <v/>
      </c>
      <c r="B3863" s="27">
        <f>IFERROR(IF(ISNUMBER(Datos!B3863),Datos!B3863/$F$2*100,NA()),NA())</f>
        <v/>
      </c>
      <c r="C3863" s="27">
        <f>IFERROR(IF(ISNUMBER(Datos!C3863),Datos!C3863/$F$3*100,NA()),NA())</f>
        <v/>
      </c>
    </row>
    <row r="3864">
      <c r="A3864" s="7">
        <f>IFERROR(Datos!A3864,"")</f>
        <v/>
      </c>
      <c r="B3864" s="27">
        <f>IFERROR(IF(ISNUMBER(Datos!B3864),Datos!B3864/$F$2*100,NA()),NA())</f>
        <v/>
      </c>
      <c r="C3864" s="27">
        <f>IFERROR(IF(ISNUMBER(Datos!C3864),Datos!C3864/$F$3*100,NA()),NA())</f>
        <v/>
      </c>
    </row>
    <row r="3865">
      <c r="A3865" s="7">
        <f>IFERROR(Datos!A3865,"")</f>
        <v/>
      </c>
      <c r="B3865" s="27">
        <f>IFERROR(IF(ISNUMBER(Datos!B3865),Datos!B3865/$F$2*100,NA()),NA())</f>
        <v/>
      </c>
      <c r="C3865" s="27">
        <f>IFERROR(IF(ISNUMBER(Datos!C3865),Datos!C3865/$F$3*100,NA()),NA())</f>
        <v/>
      </c>
    </row>
    <row r="3866">
      <c r="A3866" s="7">
        <f>IFERROR(Datos!A3866,"")</f>
        <v/>
      </c>
      <c r="B3866" s="27">
        <f>IFERROR(IF(ISNUMBER(Datos!B3866),Datos!B3866/$F$2*100,NA()),NA())</f>
        <v/>
      </c>
      <c r="C3866" s="27">
        <f>IFERROR(IF(ISNUMBER(Datos!C3866),Datos!C3866/$F$3*100,NA()),NA())</f>
        <v/>
      </c>
    </row>
    <row r="3867">
      <c r="A3867" s="7">
        <f>IFERROR(Datos!A3867,"")</f>
        <v/>
      </c>
      <c r="B3867" s="27">
        <f>IFERROR(IF(ISNUMBER(Datos!B3867),Datos!B3867/$F$2*100,NA()),NA())</f>
        <v/>
      </c>
      <c r="C3867" s="27">
        <f>IFERROR(IF(ISNUMBER(Datos!C3867),Datos!C3867/$F$3*100,NA()),NA())</f>
        <v/>
      </c>
    </row>
    <row r="3868">
      <c r="A3868" s="7">
        <f>IFERROR(Datos!A3868,"")</f>
        <v/>
      </c>
      <c r="B3868" s="27">
        <f>IFERROR(IF(ISNUMBER(Datos!B3868),Datos!B3868/$F$2*100,NA()),NA())</f>
        <v/>
      </c>
      <c r="C3868" s="27">
        <f>IFERROR(IF(ISNUMBER(Datos!C3868),Datos!C3868/$F$3*100,NA()),NA())</f>
        <v/>
      </c>
    </row>
    <row r="3869">
      <c r="A3869" s="7">
        <f>IFERROR(Datos!A3869,"")</f>
        <v/>
      </c>
      <c r="B3869" s="27">
        <f>IFERROR(IF(ISNUMBER(Datos!B3869),Datos!B3869/$F$2*100,NA()),NA())</f>
        <v/>
      </c>
      <c r="C3869" s="27">
        <f>IFERROR(IF(ISNUMBER(Datos!C3869),Datos!C3869/$F$3*100,NA()),NA())</f>
        <v/>
      </c>
    </row>
    <row r="3870">
      <c r="A3870" s="7">
        <f>IFERROR(Datos!A3870,"")</f>
        <v/>
      </c>
      <c r="B3870" s="27">
        <f>IFERROR(IF(ISNUMBER(Datos!B3870),Datos!B3870/$F$2*100,NA()),NA())</f>
        <v/>
      </c>
      <c r="C3870" s="27">
        <f>IFERROR(IF(ISNUMBER(Datos!C3870),Datos!C3870/$F$3*100,NA()),NA())</f>
        <v/>
      </c>
    </row>
    <row r="3871">
      <c r="A3871" s="7">
        <f>IFERROR(Datos!A3871,"")</f>
        <v/>
      </c>
      <c r="B3871" s="27">
        <f>IFERROR(IF(ISNUMBER(Datos!B3871),Datos!B3871/$F$2*100,NA()),NA())</f>
        <v/>
      </c>
      <c r="C3871" s="27">
        <f>IFERROR(IF(ISNUMBER(Datos!C3871),Datos!C3871/$F$3*100,NA()),NA())</f>
        <v/>
      </c>
    </row>
    <row r="3872">
      <c r="A3872" s="7">
        <f>IFERROR(Datos!A3872,"")</f>
        <v/>
      </c>
      <c r="B3872" s="27">
        <f>IFERROR(IF(ISNUMBER(Datos!B3872),Datos!B3872/$F$2*100,NA()),NA())</f>
        <v/>
      </c>
      <c r="C3872" s="27">
        <f>IFERROR(IF(ISNUMBER(Datos!C3872),Datos!C3872/$F$3*100,NA()),NA())</f>
        <v/>
      </c>
    </row>
    <row r="3873">
      <c r="A3873" s="7">
        <f>IFERROR(Datos!A3873,"")</f>
        <v/>
      </c>
      <c r="B3873" s="27">
        <f>IFERROR(IF(ISNUMBER(Datos!B3873),Datos!B3873/$F$2*100,NA()),NA())</f>
        <v/>
      </c>
      <c r="C3873" s="27">
        <f>IFERROR(IF(ISNUMBER(Datos!C3873),Datos!C3873/$F$3*100,NA()),NA())</f>
        <v/>
      </c>
    </row>
    <row r="3874">
      <c r="A3874" s="7">
        <f>IFERROR(Datos!A3874,"")</f>
        <v/>
      </c>
      <c r="B3874" s="27">
        <f>IFERROR(IF(ISNUMBER(Datos!B3874),Datos!B3874/$F$2*100,NA()),NA())</f>
        <v/>
      </c>
      <c r="C3874" s="27">
        <f>IFERROR(IF(ISNUMBER(Datos!C3874),Datos!C3874/$F$3*100,NA()),NA())</f>
        <v/>
      </c>
    </row>
    <row r="3875">
      <c r="A3875" s="7">
        <f>IFERROR(Datos!A3875,"")</f>
        <v/>
      </c>
      <c r="B3875" s="27">
        <f>IFERROR(IF(ISNUMBER(Datos!B3875),Datos!B3875/$F$2*100,NA()),NA())</f>
        <v/>
      </c>
      <c r="C3875" s="27">
        <f>IFERROR(IF(ISNUMBER(Datos!C3875),Datos!C3875/$F$3*100,NA()),NA())</f>
        <v/>
      </c>
    </row>
    <row r="3876">
      <c r="A3876" s="7">
        <f>IFERROR(Datos!A3876,"")</f>
        <v/>
      </c>
      <c r="B3876" s="27">
        <f>IFERROR(IF(ISNUMBER(Datos!B3876),Datos!B3876/$F$2*100,NA()),NA())</f>
        <v/>
      </c>
      <c r="C3876" s="27">
        <f>IFERROR(IF(ISNUMBER(Datos!C3876),Datos!C3876/$F$3*100,NA()),NA())</f>
        <v/>
      </c>
    </row>
    <row r="3877">
      <c r="A3877" s="7">
        <f>IFERROR(Datos!A3877,"")</f>
        <v/>
      </c>
      <c r="B3877" s="27">
        <f>IFERROR(IF(ISNUMBER(Datos!B3877),Datos!B3877/$F$2*100,NA()),NA())</f>
        <v/>
      </c>
      <c r="C3877" s="27">
        <f>IFERROR(IF(ISNUMBER(Datos!C3877),Datos!C3877/$F$3*100,NA()),NA())</f>
        <v/>
      </c>
    </row>
    <row r="3878">
      <c r="A3878" s="7">
        <f>IFERROR(Datos!A3878,"")</f>
        <v/>
      </c>
      <c r="B3878" s="27">
        <f>IFERROR(IF(ISNUMBER(Datos!B3878),Datos!B3878/$F$2*100,NA()),NA())</f>
        <v/>
      </c>
      <c r="C3878" s="27">
        <f>IFERROR(IF(ISNUMBER(Datos!C3878),Datos!C3878/$F$3*100,NA()),NA())</f>
        <v/>
      </c>
    </row>
    <row r="3879">
      <c r="A3879" s="7">
        <f>IFERROR(Datos!A3879,"")</f>
        <v/>
      </c>
      <c r="B3879" s="27">
        <f>IFERROR(IF(ISNUMBER(Datos!B3879),Datos!B3879/$F$2*100,NA()),NA())</f>
        <v/>
      </c>
      <c r="C3879" s="27">
        <f>IFERROR(IF(ISNUMBER(Datos!C3879),Datos!C3879/$F$3*100,NA()),NA())</f>
        <v/>
      </c>
    </row>
    <row r="3880">
      <c r="A3880" s="7">
        <f>IFERROR(Datos!A3880,"")</f>
        <v/>
      </c>
      <c r="B3880" s="27">
        <f>IFERROR(IF(ISNUMBER(Datos!B3880),Datos!B3880/$F$2*100,NA()),NA())</f>
        <v/>
      </c>
      <c r="C3880" s="27">
        <f>IFERROR(IF(ISNUMBER(Datos!C3880),Datos!C3880/$F$3*100,NA()),NA())</f>
        <v/>
      </c>
    </row>
    <row r="3881">
      <c r="A3881" s="7">
        <f>IFERROR(Datos!A3881,"")</f>
        <v/>
      </c>
      <c r="B3881" s="27">
        <f>IFERROR(IF(ISNUMBER(Datos!B3881),Datos!B3881/$F$2*100,NA()),NA())</f>
        <v/>
      </c>
      <c r="C3881" s="27">
        <f>IFERROR(IF(ISNUMBER(Datos!C3881),Datos!C3881/$F$3*100,NA()),NA())</f>
        <v/>
      </c>
    </row>
    <row r="3882">
      <c r="A3882" s="7">
        <f>IFERROR(Datos!A3882,"")</f>
        <v/>
      </c>
      <c r="B3882" s="27">
        <f>IFERROR(IF(ISNUMBER(Datos!B3882),Datos!B3882/$F$2*100,NA()),NA())</f>
        <v/>
      </c>
      <c r="C3882" s="27">
        <f>IFERROR(IF(ISNUMBER(Datos!C3882),Datos!C3882/$F$3*100,NA()),NA())</f>
        <v/>
      </c>
    </row>
    <row r="3883">
      <c r="A3883" s="7">
        <f>IFERROR(Datos!A3883,"")</f>
        <v/>
      </c>
      <c r="B3883" s="27">
        <f>IFERROR(IF(ISNUMBER(Datos!B3883),Datos!B3883/$F$2*100,NA()),NA())</f>
        <v/>
      </c>
      <c r="C3883" s="27">
        <f>IFERROR(IF(ISNUMBER(Datos!C3883),Datos!C3883/$F$3*100,NA()),NA())</f>
        <v/>
      </c>
    </row>
    <row r="3884">
      <c r="A3884" s="7">
        <f>IFERROR(Datos!A3884,"")</f>
        <v/>
      </c>
      <c r="B3884" s="27">
        <f>IFERROR(IF(ISNUMBER(Datos!B3884),Datos!B3884/$F$2*100,NA()),NA())</f>
        <v/>
      </c>
      <c r="C3884" s="27">
        <f>IFERROR(IF(ISNUMBER(Datos!C3884),Datos!C3884/$F$3*100,NA()),NA())</f>
        <v/>
      </c>
    </row>
    <row r="3885">
      <c r="A3885" s="7">
        <f>IFERROR(Datos!A3885,"")</f>
        <v/>
      </c>
      <c r="B3885" s="27">
        <f>IFERROR(IF(ISNUMBER(Datos!B3885),Datos!B3885/$F$2*100,NA()),NA())</f>
        <v/>
      </c>
      <c r="C3885" s="27">
        <f>IFERROR(IF(ISNUMBER(Datos!C3885),Datos!C3885/$F$3*100,NA()),NA())</f>
        <v/>
      </c>
    </row>
    <row r="3886">
      <c r="A3886" s="7">
        <f>IFERROR(Datos!A3886,"")</f>
        <v/>
      </c>
      <c r="B3886" s="27">
        <f>IFERROR(IF(ISNUMBER(Datos!B3886),Datos!B3886/$F$2*100,NA()),NA())</f>
        <v/>
      </c>
      <c r="C3886" s="27">
        <f>IFERROR(IF(ISNUMBER(Datos!C3886),Datos!C3886/$F$3*100,NA()),NA())</f>
        <v/>
      </c>
    </row>
    <row r="3887">
      <c r="A3887" s="7">
        <f>IFERROR(Datos!A3887,"")</f>
        <v/>
      </c>
      <c r="B3887" s="27">
        <f>IFERROR(IF(ISNUMBER(Datos!B3887),Datos!B3887/$F$2*100,NA()),NA())</f>
        <v/>
      </c>
      <c r="C3887" s="27">
        <f>IFERROR(IF(ISNUMBER(Datos!C3887),Datos!C3887/$F$3*100,NA()),NA())</f>
        <v/>
      </c>
    </row>
    <row r="3888">
      <c r="A3888" s="7">
        <f>IFERROR(Datos!A3888,"")</f>
        <v/>
      </c>
      <c r="B3888" s="27">
        <f>IFERROR(IF(ISNUMBER(Datos!B3888),Datos!B3888/$F$2*100,NA()),NA())</f>
        <v/>
      </c>
      <c r="C3888" s="27">
        <f>IFERROR(IF(ISNUMBER(Datos!C3888),Datos!C3888/$F$3*100,NA()),NA())</f>
        <v/>
      </c>
    </row>
    <row r="3889">
      <c r="A3889" s="7">
        <f>IFERROR(Datos!A3889,"")</f>
        <v/>
      </c>
      <c r="B3889" s="27">
        <f>IFERROR(IF(ISNUMBER(Datos!B3889),Datos!B3889/$F$2*100,NA()),NA())</f>
        <v/>
      </c>
      <c r="C3889" s="27">
        <f>IFERROR(IF(ISNUMBER(Datos!C3889),Datos!C3889/$F$3*100,NA()),NA())</f>
        <v/>
      </c>
    </row>
    <row r="3890">
      <c r="A3890" s="7">
        <f>IFERROR(Datos!A3890,"")</f>
        <v/>
      </c>
      <c r="B3890" s="27">
        <f>IFERROR(IF(ISNUMBER(Datos!B3890),Datos!B3890/$F$2*100,NA()),NA())</f>
        <v/>
      </c>
      <c r="C3890" s="27">
        <f>IFERROR(IF(ISNUMBER(Datos!C3890),Datos!C3890/$F$3*100,NA()),NA())</f>
        <v/>
      </c>
    </row>
    <row r="3891">
      <c r="A3891" s="7">
        <f>IFERROR(Datos!A3891,"")</f>
        <v/>
      </c>
      <c r="B3891" s="27">
        <f>IFERROR(IF(ISNUMBER(Datos!B3891),Datos!B3891/$F$2*100,NA()),NA())</f>
        <v/>
      </c>
      <c r="C3891" s="27">
        <f>IFERROR(IF(ISNUMBER(Datos!C3891),Datos!C3891/$F$3*100,NA()),NA())</f>
        <v/>
      </c>
    </row>
    <row r="3892">
      <c r="A3892" s="7">
        <f>IFERROR(Datos!A3892,"")</f>
        <v/>
      </c>
      <c r="B3892" s="27">
        <f>IFERROR(IF(ISNUMBER(Datos!B3892),Datos!B3892/$F$2*100,NA()),NA())</f>
        <v/>
      </c>
      <c r="C3892" s="27">
        <f>IFERROR(IF(ISNUMBER(Datos!C3892),Datos!C3892/$F$3*100,NA()),NA())</f>
        <v/>
      </c>
    </row>
    <row r="3893">
      <c r="A3893" s="7">
        <f>IFERROR(Datos!A3893,"")</f>
        <v/>
      </c>
      <c r="B3893" s="27">
        <f>IFERROR(IF(ISNUMBER(Datos!B3893),Datos!B3893/$F$2*100,NA()),NA())</f>
        <v/>
      </c>
      <c r="C3893" s="27">
        <f>IFERROR(IF(ISNUMBER(Datos!C3893),Datos!C3893/$F$3*100,NA()),NA())</f>
        <v/>
      </c>
    </row>
    <row r="3894">
      <c r="A3894" s="7">
        <f>IFERROR(Datos!A3894,"")</f>
        <v/>
      </c>
      <c r="B3894" s="27">
        <f>IFERROR(IF(ISNUMBER(Datos!B3894),Datos!B3894/$F$2*100,NA()),NA())</f>
        <v/>
      </c>
      <c r="C3894" s="27">
        <f>IFERROR(IF(ISNUMBER(Datos!C3894),Datos!C3894/$F$3*100,NA()),NA())</f>
        <v/>
      </c>
    </row>
    <row r="3895">
      <c r="A3895" s="7">
        <f>IFERROR(Datos!A3895,"")</f>
        <v/>
      </c>
      <c r="B3895" s="27">
        <f>IFERROR(IF(ISNUMBER(Datos!B3895),Datos!B3895/$F$2*100,NA()),NA())</f>
        <v/>
      </c>
      <c r="C3895" s="27">
        <f>IFERROR(IF(ISNUMBER(Datos!C3895),Datos!C3895/$F$3*100,NA()),NA())</f>
        <v/>
      </c>
    </row>
    <row r="3896">
      <c r="A3896" s="7">
        <f>IFERROR(Datos!A3896,"")</f>
        <v/>
      </c>
      <c r="B3896" s="27">
        <f>IFERROR(IF(ISNUMBER(Datos!B3896),Datos!B3896/$F$2*100,NA()),NA())</f>
        <v/>
      </c>
      <c r="C3896" s="27">
        <f>IFERROR(IF(ISNUMBER(Datos!C3896),Datos!C3896/$F$3*100,NA()),NA())</f>
        <v/>
      </c>
    </row>
    <row r="3897">
      <c r="A3897" s="7">
        <f>IFERROR(Datos!A3897,"")</f>
        <v/>
      </c>
      <c r="B3897" s="27">
        <f>IFERROR(IF(ISNUMBER(Datos!B3897),Datos!B3897/$F$2*100,NA()),NA())</f>
        <v/>
      </c>
      <c r="C3897" s="27">
        <f>IFERROR(IF(ISNUMBER(Datos!C3897),Datos!C3897/$F$3*100,NA()),NA())</f>
        <v/>
      </c>
    </row>
    <row r="3898">
      <c r="A3898" s="7">
        <f>IFERROR(Datos!A3898,"")</f>
        <v/>
      </c>
      <c r="B3898" s="27">
        <f>IFERROR(IF(ISNUMBER(Datos!B3898),Datos!B3898/$F$2*100,NA()),NA())</f>
        <v/>
      </c>
      <c r="C3898" s="27">
        <f>IFERROR(IF(ISNUMBER(Datos!C3898),Datos!C3898/$F$3*100,NA()),NA())</f>
        <v/>
      </c>
    </row>
    <row r="3899">
      <c r="A3899" s="7">
        <f>IFERROR(Datos!A3899,"")</f>
        <v/>
      </c>
      <c r="B3899" s="27">
        <f>IFERROR(IF(ISNUMBER(Datos!B3899),Datos!B3899/$F$2*100,NA()),NA())</f>
        <v/>
      </c>
      <c r="C3899" s="27">
        <f>IFERROR(IF(ISNUMBER(Datos!C3899),Datos!C3899/$F$3*100,NA()),NA())</f>
        <v/>
      </c>
    </row>
    <row r="3900">
      <c r="A3900" s="7">
        <f>IFERROR(Datos!A3900,"")</f>
        <v/>
      </c>
      <c r="B3900" s="27">
        <f>IFERROR(IF(ISNUMBER(Datos!B3900),Datos!B3900/$F$2*100,NA()),NA())</f>
        <v/>
      </c>
      <c r="C3900" s="27">
        <f>IFERROR(IF(ISNUMBER(Datos!C3900),Datos!C3900/$F$3*100,NA()),NA())</f>
        <v/>
      </c>
    </row>
    <row r="3901">
      <c r="A3901" s="7">
        <f>IFERROR(Datos!A3901,"")</f>
        <v/>
      </c>
      <c r="B3901" s="27">
        <f>IFERROR(IF(ISNUMBER(Datos!B3901),Datos!B3901/$F$2*100,NA()),NA())</f>
        <v/>
      </c>
      <c r="C3901" s="27">
        <f>IFERROR(IF(ISNUMBER(Datos!C3901),Datos!C3901/$F$3*100,NA()),NA())</f>
        <v/>
      </c>
    </row>
    <row r="3902">
      <c r="A3902" s="7">
        <f>IFERROR(Datos!A3902,"")</f>
        <v/>
      </c>
      <c r="B3902" s="27">
        <f>IFERROR(IF(ISNUMBER(Datos!B3902),Datos!B3902/$F$2*100,NA()),NA())</f>
        <v/>
      </c>
      <c r="C3902" s="27">
        <f>IFERROR(IF(ISNUMBER(Datos!C3902),Datos!C3902/$F$3*100,NA()),NA())</f>
        <v/>
      </c>
    </row>
    <row r="3903">
      <c r="A3903" s="7">
        <f>IFERROR(Datos!A3903,"")</f>
        <v/>
      </c>
      <c r="B3903" s="27">
        <f>IFERROR(IF(ISNUMBER(Datos!B3903),Datos!B3903/$F$2*100,NA()),NA())</f>
        <v/>
      </c>
      <c r="C3903" s="27">
        <f>IFERROR(IF(ISNUMBER(Datos!C3903),Datos!C3903/$F$3*100,NA()),NA())</f>
        <v/>
      </c>
    </row>
    <row r="3904">
      <c r="A3904" s="7">
        <f>IFERROR(Datos!A3904,"")</f>
        <v/>
      </c>
      <c r="B3904" s="27">
        <f>IFERROR(IF(ISNUMBER(Datos!B3904),Datos!B3904/$F$2*100,NA()),NA())</f>
        <v/>
      </c>
      <c r="C3904" s="27">
        <f>IFERROR(IF(ISNUMBER(Datos!C3904),Datos!C3904/$F$3*100,NA()),NA())</f>
        <v/>
      </c>
    </row>
    <row r="3905">
      <c r="A3905" s="7">
        <f>IFERROR(Datos!A3905,"")</f>
        <v/>
      </c>
      <c r="B3905" s="27">
        <f>IFERROR(IF(ISNUMBER(Datos!B3905),Datos!B3905/$F$2*100,NA()),NA())</f>
        <v/>
      </c>
      <c r="C3905" s="27">
        <f>IFERROR(IF(ISNUMBER(Datos!C3905),Datos!C3905/$F$3*100,NA()),NA())</f>
        <v/>
      </c>
    </row>
    <row r="3906">
      <c r="A3906" s="7">
        <f>IFERROR(Datos!A3906,"")</f>
        <v/>
      </c>
      <c r="B3906" s="27">
        <f>IFERROR(IF(ISNUMBER(Datos!B3906),Datos!B3906/$F$2*100,NA()),NA())</f>
        <v/>
      </c>
      <c r="C3906" s="27">
        <f>IFERROR(IF(ISNUMBER(Datos!C3906),Datos!C3906/$F$3*100,NA()),NA())</f>
        <v/>
      </c>
    </row>
    <row r="3907">
      <c r="A3907" s="7">
        <f>IFERROR(Datos!A3907,"")</f>
        <v/>
      </c>
      <c r="B3907" s="27">
        <f>IFERROR(IF(ISNUMBER(Datos!B3907),Datos!B3907/$F$2*100,NA()),NA())</f>
        <v/>
      </c>
      <c r="C3907" s="27">
        <f>IFERROR(IF(ISNUMBER(Datos!C3907),Datos!C3907/$F$3*100,NA()),NA())</f>
        <v/>
      </c>
    </row>
    <row r="3908">
      <c r="A3908" s="7">
        <f>IFERROR(Datos!A3908,"")</f>
        <v/>
      </c>
      <c r="B3908" s="27">
        <f>IFERROR(IF(ISNUMBER(Datos!B3908),Datos!B3908/$F$2*100,NA()),NA())</f>
        <v/>
      </c>
      <c r="C3908" s="27">
        <f>IFERROR(IF(ISNUMBER(Datos!C3908),Datos!C3908/$F$3*100,NA()),NA())</f>
        <v/>
      </c>
    </row>
    <row r="3909">
      <c r="A3909" s="7">
        <f>IFERROR(Datos!A3909,"")</f>
        <v/>
      </c>
      <c r="B3909" s="27">
        <f>IFERROR(IF(ISNUMBER(Datos!B3909),Datos!B3909/$F$2*100,NA()),NA())</f>
        <v/>
      </c>
      <c r="C3909" s="27">
        <f>IFERROR(IF(ISNUMBER(Datos!C3909),Datos!C3909/$F$3*100,NA()),NA())</f>
        <v/>
      </c>
    </row>
    <row r="3910">
      <c r="A3910" s="7">
        <f>IFERROR(Datos!A3910,"")</f>
        <v/>
      </c>
      <c r="B3910" s="27">
        <f>IFERROR(IF(ISNUMBER(Datos!B3910),Datos!B3910/$F$2*100,NA()),NA())</f>
        <v/>
      </c>
      <c r="C3910" s="27">
        <f>IFERROR(IF(ISNUMBER(Datos!C3910),Datos!C3910/$F$3*100,NA()),NA())</f>
        <v/>
      </c>
    </row>
    <row r="3911">
      <c r="A3911" s="7">
        <f>IFERROR(Datos!A3911,"")</f>
        <v/>
      </c>
      <c r="B3911" s="27">
        <f>IFERROR(IF(ISNUMBER(Datos!B3911),Datos!B3911/$F$2*100,NA()),NA())</f>
        <v/>
      </c>
      <c r="C3911" s="27">
        <f>IFERROR(IF(ISNUMBER(Datos!C3911),Datos!C3911/$F$3*100,NA()),NA())</f>
        <v/>
      </c>
    </row>
    <row r="3912">
      <c r="A3912" s="7">
        <f>IFERROR(Datos!A3912,"")</f>
        <v/>
      </c>
      <c r="B3912" s="27">
        <f>IFERROR(IF(ISNUMBER(Datos!B3912),Datos!B3912/$F$2*100,NA()),NA())</f>
        <v/>
      </c>
      <c r="C3912" s="27">
        <f>IFERROR(IF(ISNUMBER(Datos!C3912),Datos!C3912/$F$3*100,NA()),NA())</f>
        <v/>
      </c>
    </row>
    <row r="3913">
      <c r="A3913" s="7">
        <f>IFERROR(Datos!A3913,"")</f>
        <v/>
      </c>
      <c r="B3913" s="27">
        <f>IFERROR(IF(ISNUMBER(Datos!B3913),Datos!B3913/$F$2*100,NA()),NA())</f>
        <v/>
      </c>
      <c r="C3913" s="27">
        <f>IFERROR(IF(ISNUMBER(Datos!C3913),Datos!C3913/$F$3*100,NA()),NA())</f>
        <v/>
      </c>
    </row>
    <row r="3914">
      <c r="A3914" s="7">
        <f>IFERROR(Datos!A3914,"")</f>
        <v/>
      </c>
      <c r="B3914" s="27">
        <f>IFERROR(IF(ISNUMBER(Datos!B3914),Datos!B3914/$F$2*100,NA()),NA())</f>
        <v/>
      </c>
      <c r="C3914" s="27">
        <f>IFERROR(IF(ISNUMBER(Datos!C3914),Datos!C3914/$F$3*100,NA()),NA())</f>
        <v/>
      </c>
    </row>
    <row r="3915">
      <c r="A3915" s="7">
        <f>IFERROR(Datos!A3915,"")</f>
        <v/>
      </c>
      <c r="B3915" s="27">
        <f>IFERROR(IF(ISNUMBER(Datos!B3915),Datos!B3915/$F$2*100,NA()),NA())</f>
        <v/>
      </c>
      <c r="C3915" s="27">
        <f>IFERROR(IF(ISNUMBER(Datos!C3915),Datos!C3915/$F$3*100,NA()),NA())</f>
        <v/>
      </c>
    </row>
    <row r="3916">
      <c r="A3916" s="7">
        <f>IFERROR(Datos!A3916,"")</f>
        <v/>
      </c>
      <c r="B3916" s="27">
        <f>IFERROR(IF(ISNUMBER(Datos!B3916),Datos!B3916/$F$2*100,NA()),NA())</f>
        <v/>
      </c>
      <c r="C3916" s="27">
        <f>IFERROR(IF(ISNUMBER(Datos!C3916),Datos!C3916/$F$3*100,NA()),NA())</f>
        <v/>
      </c>
    </row>
    <row r="3917">
      <c r="A3917" s="7">
        <f>IFERROR(Datos!A3917,"")</f>
        <v/>
      </c>
      <c r="B3917" s="27">
        <f>IFERROR(IF(ISNUMBER(Datos!B3917),Datos!B3917/$F$2*100,NA()),NA())</f>
        <v/>
      </c>
      <c r="C3917" s="27">
        <f>IFERROR(IF(ISNUMBER(Datos!C3917),Datos!C3917/$F$3*100,NA()),NA())</f>
        <v/>
      </c>
    </row>
    <row r="3918">
      <c r="A3918" s="7">
        <f>IFERROR(Datos!A3918,"")</f>
        <v/>
      </c>
      <c r="B3918" s="27">
        <f>IFERROR(IF(ISNUMBER(Datos!B3918),Datos!B3918/$F$2*100,NA()),NA())</f>
        <v/>
      </c>
      <c r="C3918" s="27">
        <f>IFERROR(IF(ISNUMBER(Datos!C3918),Datos!C3918/$F$3*100,NA()),NA())</f>
        <v/>
      </c>
    </row>
    <row r="3919">
      <c r="A3919" s="7">
        <f>IFERROR(Datos!A3919,"")</f>
        <v/>
      </c>
      <c r="B3919" s="27">
        <f>IFERROR(IF(ISNUMBER(Datos!B3919),Datos!B3919/$F$2*100,NA()),NA())</f>
        <v/>
      </c>
      <c r="C3919" s="27">
        <f>IFERROR(IF(ISNUMBER(Datos!C3919),Datos!C3919/$F$3*100,NA()),NA())</f>
        <v/>
      </c>
    </row>
    <row r="3920">
      <c r="A3920" s="7">
        <f>IFERROR(Datos!A3920,"")</f>
        <v/>
      </c>
      <c r="B3920" s="27">
        <f>IFERROR(IF(ISNUMBER(Datos!B3920),Datos!B3920/$F$2*100,NA()),NA())</f>
        <v/>
      </c>
      <c r="C3920" s="27">
        <f>IFERROR(IF(ISNUMBER(Datos!C3920),Datos!C3920/$F$3*100,NA()),NA())</f>
        <v/>
      </c>
    </row>
    <row r="3921">
      <c r="A3921" s="7">
        <f>IFERROR(Datos!A3921,"")</f>
        <v/>
      </c>
      <c r="B3921" s="27">
        <f>IFERROR(IF(ISNUMBER(Datos!B3921),Datos!B3921/$F$2*100,NA()),NA())</f>
        <v/>
      </c>
      <c r="C3921" s="27">
        <f>IFERROR(IF(ISNUMBER(Datos!C3921),Datos!C3921/$F$3*100,NA()),NA())</f>
        <v/>
      </c>
    </row>
    <row r="3922">
      <c r="A3922" s="7">
        <f>IFERROR(Datos!A3922,"")</f>
        <v/>
      </c>
      <c r="B3922" s="27">
        <f>IFERROR(IF(ISNUMBER(Datos!B3922),Datos!B3922/$F$2*100,NA()),NA())</f>
        <v/>
      </c>
      <c r="C3922" s="27">
        <f>IFERROR(IF(ISNUMBER(Datos!C3922),Datos!C3922/$F$3*100,NA()),NA())</f>
        <v/>
      </c>
    </row>
    <row r="3923">
      <c r="A3923" s="7">
        <f>IFERROR(Datos!A3923,"")</f>
        <v/>
      </c>
      <c r="B3923" s="27">
        <f>IFERROR(IF(ISNUMBER(Datos!B3923),Datos!B3923/$F$2*100,NA()),NA())</f>
        <v/>
      </c>
      <c r="C3923" s="27">
        <f>IFERROR(IF(ISNUMBER(Datos!C3923),Datos!C3923/$F$3*100,NA()),NA())</f>
        <v/>
      </c>
    </row>
    <row r="3924">
      <c r="A3924" s="7">
        <f>IFERROR(Datos!A3924,"")</f>
        <v/>
      </c>
      <c r="B3924" s="27">
        <f>IFERROR(IF(ISNUMBER(Datos!B3924),Datos!B3924/$F$2*100,NA()),NA())</f>
        <v/>
      </c>
      <c r="C3924" s="27">
        <f>IFERROR(IF(ISNUMBER(Datos!C3924),Datos!C3924/$F$3*100,NA()),NA())</f>
        <v/>
      </c>
    </row>
    <row r="3925">
      <c r="A3925" s="7">
        <f>IFERROR(Datos!A3925,"")</f>
        <v/>
      </c>
      <c r="B3925" s="27">
        <f>IFERROR(IF(ISNUMBER(Datos!B3925),Datos!B3925/$F$2*100,NA()),NA())</f>
        <v/>
      </c>
      <c r="C3925" s="27">
        <f>IFERROR(IF(ISNUMBER(Datos!C3925),Datos!C3925/$F$3*100,NA()),NA())</f>
        <v/>
      </c>
    </row>
    <row r="3926">
      <c r="A3926" s="7">
        <f>IFERROR(Datos!A3926,"")</f>
        <v/>
      </c>
      <c r="B3926" s="27">
        <f>IFERROR(IF(ISNUMBER(Datos!B3926),Datos!B3926/$F$2*100,NA()),NA())</f>
        <v/>
      </c>
      <c r="C3926" s="27">
        <f>IFERROR(IF(ISNUMBER(Datos!C3926),Datos!C3926/$F$3*100,NA()),NA())</f>
        <v/>
      </c>
    </row>
    <row r="3927">
      <c r="A3927" s="7">
        <f>IFERROR(Datos!A3927,"")</f>
        <v/>
      </c>
      <c r="B3927" s="27">
        <f>IFERROR(IF(ISNUMBER(Datos!B3927),Datos!B3927/$F$2*100,NA()),NA())</f>
        <v/>
      </c>
      <c r="C3927" s="27">
        <f>IFERROR(IF(ISNUMBER(Datos!C3927),Datos!C3927/$F$3*100,NA()),NA())</f>
        <v/>
      </c>
    </row>
    <row r="3928">
      <c r="A3928" s="7">
        <f>IFERROR(Datos!A3928,"")</f>
        <v/>
      </c>
      <c r="B3928" s="27">
        <f>IFERROR(IF(ISNUMBER(Datos!B3928),Datos!B3928/$F$2*100,NA()),NA())</f>
        <v/>
      </c>
      <c r="C3928" s="27">
        <f>IFERROR(IF(ISNUMBER(Datos!C3928),Datos!C3928/$F$3*100,NA()),NA())</f>
        <v/>
      </c>
    </row>
    <row r="3929">
      <c r="A3929" s="7">
        <f>IFERROR(Datos!A3929,"")</f>
        <v/>
      </c>
      <c r="B3929" s="27">
        <f>IFERROR(IF(ISNUMBER(Datos!B3929),Datos!B3929/$F$2*100,NA()),NA())</f>
        <v/>
      </c>
      <c r="C3929" s="27">
        <f>IFERROR(IF(ISNUMBER(Datos!C3929),Datos!C3929/$F$3*100,NA()),NA())</f>
        <v/>
      </c>
    </row>
    <row r="3930">
      <c r="A3930" s="7">
        <f>IFERROR(Datos!A3930,"")</f>
        <v/>
      </c>
      <c r="B3930" s="27">
        <f>IFERROR(IF(ISNUMBER(Datos!B3930),Datos!B3930/$F$2*100,NA()),NA())</f>
        <v/>
      </c>
      <c r="C3930" s="27">
        <f>IFERROR(IF(ISNUMBER(Datos!C3930),Datos!C3930/$F$3*100,NA()),NA())</f>
        <v/>
      </c>
    </row>
    <row r="3931">
      <c r="A3931" s="7">
        <f>IFERROR(Datos!A3931,"")</f>
        <v/>
      </c>
      <c r="B3931" s="27">
        <f>IFERROR(IF(ISNUMBER(Datos!B3931),Datos!B3931/$F$2*100,NA()),NA())</f>
        <v/>
      </c>
      <c r="C3931" s="27">
        <f>IFERROR(IF(ISNUMBER(Datos!C3931),Datos!C3931/$F$3*100,NA()),NA())</f>
        <v/>
      </c>
    </row>
    <row r="3932">
      <c r="A3932" s="7">
        <f>IFERROR(Datos!A3932,"")</f>
        <v/>
      </c>
      <c r="B3932" s="27">
        <f>IFERROR(IF(ISNUMBER(Datos!B3932),Datos!B3932/$F$2*100,NA()),NA())</f>
        <v/>
      </c>
      <c r="C3932" s="27">
        <f>IFERROR(IF(ISNUMBER(Datos!C3932),Datos!C3932/$F$3*100,NA()),NA())</f>
        <v/>
      </c>
    </row>
    <row r="3933">
      <c r="A3933" s="7">
        <f>IFERROR(Datos!A3933,"")</f>
        <v/>
      </c>
      <c r="B3933" s="27">
        <f>IFERROR(IF(ISNUMBER(Datos!B3933),Datos!B3933/$F$2*100,NA()),NA())</f>
        <v/>
      </c>
      <c r="C3933" s="27">
        <f>IFERROR(IF(ISNUMBER(Datos!C3933),Datos!C3933/$F$3*100,NA()),NA())</f>
        <v/>
      </c>
    </row>
    <row r="3934">
      <c r="A3934" s="7">
        <f>IFERROR(Datos!A3934,"")</f>
        <v/>
      </c>
      <c r="B3934" s="27">
        <f>IFERROR(IF(ISNUMBER(Datos!B3934),Datos!B3934/$F$2*100,NA()),NA())</f>
        <v/>
      </c>
      <c r="C3934" s="27">
        <f>IFERROR(IF(ISNUMBER(Datos!C3934),Datos!C3934/$F$3*100,NA()),NA())</f>
        <v/>
      </c>
    </row>
    <row r="3935">
      <c r="A3935" s="7">
        <f>IFERROR(Datos!A3935,"")</f>
        <v/>
      </c>
      <c r="B3935" s="27">
        <f>IFERROR(IF(ISNUMBER(Datos!B3935),Datos!B3935/$F$2*100,NA()),NA())</f>
        <v/>
      </c>
      <c r="C3935" s="27">
        <f>IFERROR(IF(ISNUMBER(Datos!C3935),Datos!C3935/$F$3*100,NA()),NA())</f>
        <v/>
      </c>
    </row>
    <row r="3936">
      <c r="A3936" s="7">
        <f>IFERROR(Datos!A3936,"")</f>
        <v/>
      </c>
      <c r="B3936" s="27">
        <f>IFERROR(IF(ISNUMBER(Datos!B3936),Datos!B3936/$F$2*100,NA()),NA())</f>
        <v/>
      </c>
      <c r="C3936" s="27">
        <f>IFERROR(IF(ISNUMBER(Datos!C3936),Datos!C3936/$F$3*100,NA()),NA())</f>
        <v/>
      </c>
    </row>
    <row r="3937">
      <c r="A3937" s="7">
        <f>IFERROR(Datos!A3937,"")</f>
        <v/>
      </c>
      <c r="B3937" s="27">
        <f>IFERROR(IF(ISNUMBER(Datos!B3937),Datos!B3937/$F$2*100,NA()),NA())</f>
        <v/>
      </c>
      <c r="C3937" s="27">
        <f>IFERROR(IF(ISNUMBER(Datos!C3937),Datos!C3937/$F$3*100,NA()),NA())</f>
        <v/>
      </c>
    </row>
    <row r="3938">
      <c r="A3938" s="7">
        <f>IFERROR(Datos!A3938,"")</f>
        <v/>
      </c>
      <c r="B3938" s="27">
        <f>IFERROR(IF(ISNUMBER(Datos!B3938),Datos!B3938/$F$2*100,NA()),NA())</f>
        <v/>
      </c>
      <c r="C3938" s="27">
        <f>IFERROR(IF(ISNUMBER(Datos!C3938),Datos!C3938/$F$3*100,NA()),NA())</f>
        <v/>
      </c>
    </row>
    <row r="3939">
      <c r="A3939" s="7">
        <f>IFERROR(Datos!A3939,"")</f>
        <v/>
      </c>
      <c r="B3939" s="27">
        <f>IFERROR(IF(ISNUMBER(Datos!B3939),Datos!B3939/$F$2*100,NA()),NA())</f>
        <v/>
      </c>
      <c r="C3939" s="27">
        <f>IFERROR(IF(ISNUMBER(Datos!C3939),Datos!C3939/$F$3*100,NA()),NA())</f>
        <v/>
      </c>
    </row>
    <row r="3940">
      <c r="A3940" s="7">
        <f>IFERROR(Datos!A3940,"")</f>
        <v/>
      </c>
      <c r="B3940" s="27">
        <f>IFERROR(IF(ISNUMBER(Datos!B3940),Datos!B3940/$F$2*100,NA()),NA())</f>
        <v/>
      </c>
      <c r="C3940" s="27">
        <f>IFERROR(IF(ISNUMBER(Datos!C3940),Datos!C3940/$F$3*100,NA()),NA())</f>
        <v/>
      </c>
    </row>
    <row r="3941">
      <c r="A3941" s="7">
        <f>IFERROR(Datos!A3941,"")</f>
        <v/>
      </c>
      <c r="B3941" s="27">
        <f>IFERROR(IF(ISNUMBER(Datos!B3941),Datos!B3941/$F$2*100,NA()),NA())</f>
        <v/>
      </c>
      <c r="C3941" s="27">
        <f>IFERROR(IF(ISNUMBER(Datos!C3941),Datos!C3941/$F$3*100,NA()),NA())</f>
        <v/>
      </c>
    </row>
    <row r="3942">
      <c r="A3942" s="7">
        <f>IFERROR(Datos!A3942,"")</f>
        <v/>
      </c>
      <c r="B3942" s="27">
        <f>IFERROR(IF(ISNUMBER(Datos!B3942),Datos!B3942/$F$2*100,NA()),NA())</f>
        <v/>
      </c>
      <c r="C3942" s="27">
        <f>IFERROR(IF(ISNUMBER(Datos!C3942),Datos!C3942/$F$3*100,NA()),NA())</f>
        <v/>
      </c>
    </row>
    <row r="3943">
      <c r="A3943" s="7">
        <f>IFERROR(Datos!A3943,"")</f>
        <v/>
      </c>
      <c r="B3943" s="27">
        <f>IFERROR(IF(ISNUMBER(Datos!B3943),Datos!B3943/$F$2*100,NA()),NA())</f>
        <v/>
      </c>
      <c r="C3943" s="27">
        <f>IFERROR(IF(ISNUMBER(Datos!C3943),Datos!C3943/$F$3*100,NA()),NA())</f>
        <v/>
      </c>
    </row>
    <row r="3944">
      <c r="A3944" s="7">
        <f>IFERROR(Datos!A3944,"")</f>
        <v/>
      </c>
      <c r="B3944" s="27">
        <f>IFERROR(IF(ISNUMBER(Datos!B3944),Datos!B3944/$F$2*100,NA()),NA())</f>
        <v/>
      </c>
      <c r="C3944" s="27">
        <f>IFERROR(IF(ISNUMBER(Datos!C3944),Datos!C3944/$F$3*100,NA()),NA())</f>
        <v/>
      </c>
    </row>
    <row r="3945">
      <c r="A3945" s="7">
        <f>IFERROR(Datos!A3945,"")</f>
        <v/>
      </c>
      <c r="B3945" s="27">
        <f>IFERROR(IF(ISNUMBER(Datos!B3945),Datos!B3945/$F$2*100,NA()),NA())</f>
        <v/>
      </c>
      <c r="C3945" s="27">
        <f>IFERROR(IF(ISNUMBER(Datos!C3945),Datos!C3945/$F$3*100,NA()),NA())</f>
        <v/>
      </c>
    </row>
    <row r="3946">
      <c r="A3946" s="7">
        <f>IFERROR(Datos!A3946,"")</f>
        <v/>
      </c>
      <c r="B3946" s="27">
        <f>IFERROR(IF(ISNUMBER(Datos!B3946),Datos!B3946/$F$2*100,NA()),NA())</f>
        <v/>
      </c>
      <c r="C3946" s="27">
        <f>IFERROR(IF(ISNUMBER(Datos!C3946),Datos!C3946/$F$3*100,NA()),NA())</f>
        <v/>
      </c>
    </row>
    <row r="3947">
      <c r="A3947" s="7">
        <f>IFERROR(Datos!A3947,"")</f>
        <v/>
      </c>
      <c r="B3947" s="27">
        <f>IFERROR(IF(ISNUMBER(Datos!B3947),Datos!B3947/$F$2*100,NA()),NA())</f>
        <v/>
      </c>
      <c r="C3947" s="27">
        <f>IFERROR(IF(ISNUMBER(Datos!C3947),Datos!C3947/$F$3*100,NA()),NA())</f>
        <v/>
      </c>
    </row>
    <row r="3948">
      <c r="A3948" s="7">
        <f>IFERROR(Datos!A3948,"")</f>
        <v/>
      </c>
      <c r="B3948" s="27">
        <f>IFERROR(IF(ISNUMBER(Datos!B3948),Datos!B3948/$F$2*100,NA()),NA())</f>
        <v/>
      </c>
      <c r="C3948" s="27">
        <f>IFERROR(IF(ISNUMBER(Datos!C3948),Datos!C3948/$F$3*100,NA()),NA())</f>
        <v/>
      </c>
    </row>
    <row r="3949">
      <c r="A3949" s="7">
        <f>IFERROR(Datos!A3949,"")</f>
        <v/>
      </c>
      <c r="B3949" s="27">
        <f>IFERROR(IF(ISNUMBER(Datos!B3949),Datos!B3949/$F$2*100,NA()),NA())</f>
        <v/>
      </c>
      <c r="C3949" s="27">
        <f>IFERROR(IF(ISNUMBER(Datos!C3949),Datos!C3949/$F$3*100,NA()),NA())</f>
        <v/>
      </c>
    </row>
    <row r="3950">
      <c r="A3950" s="7">
        <f>IFERROR(Datos!A3950,"")</f>
        <v/>
      </c>
      <c r="B3950" s="27">
        <f>IFERROR(IF(ISNUMBER(Datos!B3950),Datos!B3950/$F$2*100,NA()),NA())</f>
        <v/>
      </c>
      <c r="C3950" s="27">
        <f>IFERROR(IF(ISNUMBER(Datos!C3950),Datos!C3950/$F$3*100,NA()),NA())</f>
        <v/>
      </c>
    </row>
    <row r="3951">
      <c r="A3951" s="7">
        <f>IFERROR(Datos!A3951,"")</f>
        <v/>
      </c>
      <c r="B3951" s="27">
        <f>IFERROR(IF(ISNUMBER(Datos!B3951),Datos!B3951/$F$2*100,NA()),NA())</f>
        <v/>
      </c>
      <c r="C3951" s="27">
        <f>IFERROR(IF(ISNUMBER(Datos!C3951),Datos!C3951/$F$3*100,NA()),NA())</f>
        <v/>
      </c>
    </row>
    <row r="3952">
      <c r="A3952" s="7">
        <f>IFERROR(Datos!A3952,"")</f>
        <v/>
      </c>
      <c r="B3952" s="27">
        <f>IFERROR(IF(ISNUMBER(Datos!B3952),Datos!B3952/$F$2*100,NA()),NA())</f>
        <v/>
      </c>
      <c r="C3952" s="27">
        <f>IFERROR(IF(ISNUMBER(Datos!C3952),Datos!C3952/$F$3*100,NA()),NA())</f>
        <v/>
      </c>
    </row>
    <row r="3953">
      <c r="A3953" s="7">
        <f>IFERROR(Datos!A3953,"")</f>
        <v/>
      </c>
      <c r="B3953" s="27">
        <f>IFERROR(IF(ISNUMBER(Datos!B3953),Datos!B3953/$F$2*100,NA()),NA())</f>
        <v/>
      </c>
      <c r="C3953" s="27">
        <f>IFERROR(IF(ISNUMBER(Datos!C3953),Datos!C3953/$F$3*100,NA()),NA())</f>
        <v/>
      </c>
    </row>
    <row r="3954">
      <c r="A3954" s="7">
        <f>IFERROR(Datos!A3954,"")</f>
        <v/>
      </c>
      <c r="B3954" s="27">
        <f>IFERROR(IF(ISNUMBER(Datos!B3954),Datos!B3954/$F$2*100,NA()),NA())</f>
        <v/>
      </c>
      <c r="C3954" s="27">
        <f>IFERROR(IF(ISNUMBER(Datos!C3954),Datos!C3954/$F$3*100,NA()),NA())</f>
        <v/>
      </c>
    </row>
    <row r="3955">
      <c r="A3955" s="7">
        <f>IFERROR(Datos!A3955,"")</f>
        <v/>
      </c>
      <c r="B3955" s="27">
        <f>IFERROR(IF(ISNUMBER(Datos!B3955),Datos!B3955/$F$2*100,NA()),NA())</f>
        <v/>
      </c>
      <c r="C3955" s="27">
        <f>IFERROR(IF(ISNUMBER(Datos!C3955),Datos!C3955/$F$3*100,NA()),NA())</f>
        <v/>
      </c>
    </row>
    <row r="3956">
      <c r="A3956" s="7">
        <f>IFERROR(Datos!A3956,"")</f>
        <v/>
      </c>
      <c r="B3956" s="27">
        <f>IFERROR(IF(ISNUMBER(Datos!B3956),Datos!B3956/$F$2*100,NA()),NA())</f>
        <v/>
      </c>
      <c r="C3956" s="27">
        <f>IFERROR(IF(ISNUMBER(Datos!C3956),Datos!C3956/$F$3*100,NA()),NA())</f>
        <v/>
      </c>
    </row>
    <row r="3957">
      <c r="A3957" s="7">
        <f>IFERROR(Datos!A3957,"")</f>
        <v/>
      </c>
      <c r="B3957" s="27">
        <f>IFERROR(IF(ISNUMBER(Datos!B3957),Datos!B3957/$F$2*100,NA()),NA())</f>
        <v/>
      </c>
      <c r="C3957" s="27">
        <f>IFERROR(IF(ISNUMBER(Datos!C3957),Datos!C3957/$F$3*100,NA()),NA())</f>
        <v/>
      </c>
    </row>
    <row r="3958">
      <c r="A3958" s="7">
        <f>IFERROR(Datos!A3958,"")</f>
        <v/>
      </c>
      <c r="B3958" s="27">
        <f>IFERROR(IF(ISNUMBER(Datos!B3958),Datos!B3958/$F$2*100,NA()),NA())</f>
        <v/>
      </c>
      <c r="C3958" s="27">
        <f>IFERROR(IF(ISNUMBER(Datos!C3958),Datos!C3958/$F$3*100,NA()),NA())</f>
        <v/>
      </c>
    </row>
    <row r="3959">
      <c r="A3959" s="7">
        <f>IFERROR(Datos!A3959,"")</f>
        <v/>
      </c>
      <c r="B3959" s="27">
        <f>IFERROR(IF(ISNUMBER(Datos!B3959),Datos!B3959/$F$2*100,NA()),NA())</f>
        <v/>
      </c>
      <c r="C3959" s="27">
        <f>IFERROR(IF(ISNUMBER(Datos!C3959),Datos!C3959/$F$3*100,NA()),NA())</f>
        <v/>
      </c>
    </row>
    <row r="3960">
      <c r="A3960" s="7">
        <f>IFERROR(Datos!A3960,"")</f>
        <v/>
      </c>
      <c r="B3960" s="27">
        <f>IFERROR(IF(ISNUMBER(Datos!B3960),Datos!B3960/$F$2*100,NA()),NA())</f>
        <v/>
      </c>
      <c r="C3960" s="27">
        <f>IFERROR(IF(ISNUMBER(Datos!C3960),Datos!C3960/$F$3*100,NA()),NA())</f>
        <v/>
      </c>
    </row>
    <row r="3961">
      <c r="A3961" s="7">
        <f>IFERROR(Datos!A3961,"")</f>
        <v/>
      </c>
      <c r="B3961" s="27">
        <f>IFERROR(IF(ISNUMBER(Datos!B3961),Datos!B3961/$F$2*100,NA()),NA())</f>
        <v/>
      </c>
      <c r="C3961" s="27">
        <f>IFERROR(IF(ISNUMBER(Datos!C3961),Datos!C3961/$F$3*100,NA()),NA())</f>
        <v/>
      </c>
    </row>
    <row r="3962">
      <c r="A3962" s="7">
        <f>IFERROR(Datos!A3962,"")</f>
        <v/>
      </c>
      <c r="B3962" s="27">
        <f>IFERROR(IF(ISNUMBER(Datos!B3962),Datos!B3962/$F$2*100,NA()),NA())</f>
        <v/>
      </c>
      <c r="C3962" s="27">
        <f>IFERROR(IF(ISNUMBER(Datos!C3962),Datos!C3962/$F$3*100,NA()),NA())</f>
        <v/>
      </c>
    </row>
    <row r="3963">
      <c r="A3963" s="7">
        <f>IFERROR(Datos!A3963,"")</f>
        <v/>
      </c>
      <c r="B3963" s="27">
        <f>IFERROR(IF(ISNUMBER(Datos!B3963),Datos!B3963/$F$2*100,NA()),NA())</f>
        <v/>
      </c>
      <c r="C3963" s="27">
        <f>IFERROR(IF(ISNUMBER(Datos!C3963),Datos!C3963/$F$3*100,NA()),NA())</f>
        <v/>
      </c>
    </row>
    <row r="3964">
      <c r="A3964" s="7">
        <f>IFERROR(Datos!A3964,"")</f>
        <v/>
      </c>
      <c r="B3964" s="27">
        <f>IFERROR(IF(ISNUMBER(Datos!B3964),Datos!B3964/$F$2*100,NA()),NA())</f>
        <v/>
      </c>
      <c r="C3964" s="27">
        <f>IFERROR(IF(ISNUMBER(Datos!C3964),Datos!C3964/$F$3*100,NA()),NA())</f>
        <v/>
      </c>
    </row>
    <row r="3965">
      <c r="A3965" s="7">
        <f>IFERROR(Datos!A3965,"")</f>
        <v/>
      </c>
      <c r="B3965" s="27">
        <f>IFERROR(IF(ISNUMBER(Datos!B3965),Datos!B3965/$F$2*100,NA()),NA())</f>
        <v/>
      </c>
      <c r="C3965" s="27">
        <f>IFERROR(IF(ISNUMBER(Datos!C3965),Datos!C3965/$F$3*100,NA()),NA())</f>
        <v/>
      </c>
    </row>
    <row r="3966">
      <c r="A3966" s="7">
        <f>IFERROR(Datos!A3966,"")</f>
        <v/>
      </c>
      <c r="B3966" s="27">
        <f>IFERROR(IF(ISNUMBER(Datos!B3966),Datos!B3966/$F$2*100,NA()),NA())</f>
        <v/>
      </c>
      <c r="C3966" s="27">
        <f>IFERROR(IF(ISNUMBER(Datos!C3966),Datos!C3966/$F$3*100,NA()),NA())</f>
        <v/>
      </c>
    </row>
    <row r="3967">
      <c r="A3967" s="7">
        <f>IFERROR(Datos!A3967,"")</f>
        <v/>
      </c>
      <c r="B3967" s="27">
        <f>IFERROR(IF(ISNUMBER(Datos!B3967),Datos!B3967/$F$2*100,NA()),NA())</f>
        <v/>
      </c>
      <c r="C3967" s="27">
        <f>IFERROR(IF(ISNUMBER(Datos!C3967),Datos!C3967/$F$3*100,NA()),NA())</f>
        <v/>
      </c>
    </row>
    <row r="3968">
      <c r="A3968" s="7">
        <f>IFERROR(Datos!A3968,"")</f>
        <v/>
      </c>
      <c r="B3968" s="27">
        <f>IFERROR(IF(ISNUMBER(Datos!B3968),Datos!B3968/$F$2*100,NA()),NA())</f>
        <v/>
      </c>
      <c r="C3968" s="27">
        <f>IFERROR(IF(ISNUMBER(Datos!C3968),Datos!C3968/$F$3*100,NA()),NA())</f>
        <v/>
      </c>
    </row>
    <row r="3969">
      <c r="A3969" s="7">
        <f>IFERROR(Datos!A3969,"")</f>
        <v/>
      </c>
      <c r="B3969" s="27">
        <f>IFERROR(IF(ISNUMBER(Datos!B3969),Datos!B3969/$F$2*100,NA()),NA())</f>
        <v/>
      </c>
      <c r="C3969" s="27">
        <f>IFERROR(IF(ISNUMBER(Datos!C3969),Datos!C3969/$F$3*100,NA()),NA())</f>
        <v/>
      </c>
    </row>
    <row r="3970">
      <c r="A3970" s="7">
        <f>IFERROR(Datos!A3970,"")</f>
        <v/>
      </c>
      <c r="B3970" s="27">
        <f>IFERROR(IF(ISNUMBER(Datos!B3970),Datos!B3970/$F$2*100,NA()),NA())</f>
        <v/>
      </c>
      <c r="C3970" s="27">
        <f>IFERROR(IF(ISNUMBER(Datos!C3970),Datos!C3970/$F$3*100,NA()),NA())</f>
        <v/>
      </c>
    </row>
    <row r="3971">
      <c r="A3971" s="7">
        <f>IFERROR(Datos!A3971,"")</f>
        <v/>
      </c>
      <c r="B3971" s="27">
        <f>IFERROR(IF(ISNUMBER(Datos!B3971),Datos!B3971/$F$2*100,NA()),NA())</f>
        <v/>
      </c>
      <c r="C3971" s="27">
        <f>IFERROR(IF(ISNUMBER(Datos!C3971),Datos!C3971/$F$3*100,NA()),NA())</f>
        <v/>
      </c>
    </row>
    <row r="3972">
      <c r="A3972" s="7">
        <f>IFERROR(Datos!A3972,"")</f>
        <v/>
      </c>
      <c r="B3972" s="27">
        <f>IFERROR(IF(ISNUMBER(Datos!B3972),Datos!B3972/$F$2*100,NA()),NA())</f>
        <v/>
      </c>
      <c r="C3972" s="27">
        <f>IFERROR(IF(ISNUMBER(Datos!C3972),Datos!C3972/$F$3*100,NA()),NA())</f>
        <v/>
      </c>
    </row>
    <row r="3973">
      <c r="A3973" s="7">
        <f>IFERROR(Datos!A3973,"")</f>
        <v/>
      </c>
      <c r="B3973" s="27">
        <f>IFERROR(IF(ISNUMBER(Datos!B3973),Datos!B3973/$F$2*100,NA()),NA())</f>
        <v/>
      </c>
      <c r="C3973" s="27">
        <f>IFERROR(IF(ISNUMBER(Datos!C3973),Datos!C3973/$F$3*100,NA()),NA())</f>
        <v/>
      </c>
    </row>
    <row r="3974">
      <c r="A3974" s="7">
        <f>IFERROR(Datos!A3974,"")</f>
        <v/>
      </c>
      <c r="B3974" s="27">
        <f>IFERROR(IF(ISNUMBER(Datos!B3974),Datos!B3974/$F$2*100,NA()),NA())</f>
        <v/>
      </c>
      <c r="C3974" s="27">
        <f>IFERROR(IF(ISNUMBER(Datos!C3974),Datos!C3974/$F$3*100,NA()),NA())</f>
        <v/>
      </c>
    </row>
    <row r="3975">
      <c r="A3975" s="7">
        <f>IFERROR(Datos!A3975,"")</f>
        <v/>
      </c>
      <c r="B3975" s="27">
        <f>IFERROR(IF(ISNUMBER(Datos!B3975),Datos!B3975/$F$2*100,NA()),NA())</f>
        <v/>
      </c>
      <c r="C3975" s="27">
        <f>IFERROR(IF(ISNUMBER(Datos!C3975),Datos!C3975/$F$3*100,NA()),NA())</f>
        <v/>
      </c>
    </row>
    <row r="3976">
      <c r="A3976" s="7">
        <f>IFERROR(Datos!A3976,"")</f>
        <v/>
      </c>
      <c r="B3976" s="27">
        <f>IFERROR(IF(ISNUMBER(Datos!B3976),Datos!B3976/$F$2*100,NA()),NA())</f>
        <v/>
      </c>
      <c r="C3976" s="27">
        <f>IFERROR(IF(ISNUMBER(Datos!C3976),Datos!C3976/$F$3*100,NA()),NA())</f>
        <v/>
      </c>
    </row>
    <row r="3977">
      <c r="A3977" s="7">
        <f>IFERROR(Datos!A3977,"")</f>
        <v/>
      </c>
      <c r="B3977" s="27">
        <f>IFERROR(IF(ISNUMBER(Datos!B3977),Datos!B3977/$F$2*100,NA()),NA())</f>
        <v/>
      </c>
      <c r="C3977" s="27">
        <f>IFERROR(IF(ISNUMBER(Datos!C3977),Datos!C3977/$F$3*100,NA()),NA())</f>
        <v/>
      </c>
    </row>
    <row r="3978">
      <c r="A3978" s="7">
        <f>IFERROR(Datos!A3978,"")</f>
        <v/>
      </c>
      <c r="B3978" s="27">
        <f>IFERROR(IF(ISNUMBER(Datos!B3978),Datos!B3978/$F$2*100,NA()),NA())</f>
        <v/>
      </c>
      <c r="C3978" s="27">
        <f>IFERROR(IF(ISNUMBER(Datos!C3978),Datos!C3978/$F$3*100,NA()),NA())</f>
        <v/>
      </c>
    </row>
    <row r="3979">
      <c r="A3979" s="7">
        <f>IFERROR(Datos!A3979,"")</f>
        <v/>
      </c>
      <c r="B3979" s="27">
        <f>IFERROR(IF(ISNUMBER(Datos!B3979),Datos!B3979/$F$2*100,NA()),NA())</f>
        <v/>
      </c>
      <c r="C3979" s="27">
        <f>IFERROR(IF(ISNUMBER(Datos!C3979),Datos!C3979/$F$3*100,NA()),NA())</f>
        <v/>
      </c>
    </row>
    <row r="3980">
      <c r="A3980" s="7">
        <f>IFERROR(Datos!A3980,"")</f>
        <v/>
      </c>
      <c r="B3980" s="27">
        <f>IFERROR(IF(ISNUMBER(Datos!B3980),Datos!B3980/$F$2*100,NA()),NA())</f>
        <v/>
      </c>
      <c r="C3980" s="27">
        <f>IFERROR(IF(ISNUMBER(Datos!C3980),Datos!C3980/$F$3*100,NA()),NA())</f>
        <v/>
      </c>
    </row>
    <row r="3981">
      <c r="A3981" s="7">
        <f>IFERROR(Datos!A3981,"")</f>
        <v/>
      </c>
      <c r="B3981" s="27">
        <f>IFERROR(IF(ISNUMBER(Datos!B3981),Datos!B3981/$F$2*100,NA()),NA())</f>
        <v/>
      </c>
      <c r="C3981" s="27">
        <f>IFERROR(IF(ISNUMBER(Datos!C3981),Datos!C3981/$F$3*100,NA()),NA())</f>
        <v/>
      </c>
    </row>
    <row r="3982">
      <c r="A3982" s="7">
        <f>IFERROR(Datos!A3982,"")</f>
        <v/>
      </c>
      <c r="B3982" s="27">
        <f>IFERROR(IF(ISNUMBER(Datos!B3982),Datos!B3982/$F$2*100,NA()),NA())</f>
        <v/>
      </c>
      <c r="C3982" s="27">
        <f>IFERROR(IF(ISNUMBER(Datos!C3982),Datos!C3982/$F$3*100,NA()),NA())</f>
        <v/>
      </c>
    </row>
    <row r="3983">
      <c r="A3983" s="7">
        <f>IFERROR(Datos!A3983,"")</f>
        <v/>
      </c>
      <c r="B3983" s="27">
        <f>IFERROR(IF(ISNUMBER(Datos!B3983),Datos!B3983/$F$2*100,NA()),NA())</f>
        <v/>
      </c>
      <c r="C3983" s="27">
        <f>IFERROR(IF(ISNUMBER(Datos!C3983),Datos!C3983/$F$3*100,NA()),NA())</f>
        <v/>
      </c>
    </row>
    <row r="3984">
      <c r="A3984" s="7">
        <f>IFERROR(Datos!A3984,"")</f>
        <v/>
      </c>
      <c r="B3984" s="27">
        <f>IFERROR(IF(ISNUMBER(Datos!B3984),Datos!B3984/$F$2*100,NA()),NA())</f>
        <v/>
      </c>
      <c r="C3984" s="27">
        <f>IFERROR(IF(ISNUMBER(Datos!C3984),Datos!C3984/$F$3*100,NA()),NA())</f>
        <v/>
      </c>
    </row>
    <row r="3985">
      <c r="A3985" s="7">
        <f>IFERROR(Datos!A3985,"")</f>
        <v/>
      </c>
      <c r="B3985" s="27">
        <f>IFERROR(IF(ISNUMBER(Datos!B3985),Datos!B3985/$F$2*100,NA()),NA())</f>
        <v/>
      </c>
      <c r="C3985" s="27">
        <f>IFERROR(IF(ISNUMBER(Datos!C3985),Datos!C3985/$F$3*100,NA()),NA())</f>
        <v/>
      </c>
    </row>
    <row r="3986">
      <c r="A3986" s="7">
        <f>IFERROR(Datos!A3986,"")</f>
        <v/>
      </c>
      <c r="B3986" s="27">
        <f>IFERROR(IF(ISNUMBER(Datos!B3986),Datos!B3986/$F$2*100,NA()),NA())</f>
        <v/>
      </c>
      <c r="C3986" s="27">
        <f>IFERROR(IF(ISNUMBER(Datos!C3986),Datos!C3986/$F$3*100,NA()),NA())</f>
        <v/>
      </c>
    </row>
    <row r="3987">
      <c r="A3987" s="7">
        <f>IFERROR(Datos!A3987,"")</f>
        <v/>
      </c>
      <c r="B3987" s="27">
        <f>IFERROR(IF(ISNUMBER(Datos!B3987),Datos!B3987/$F$2*100,NA()),NA())</f>
        <v/>
      </c>
      <c r="C3987" s="27">
        <f>IFERROR(IF(ISNUMBER(Datos!C3987),Datos!C3987/$F$3*100,NA()),NA())</f>
        <v/>
      </c>
    </row>
    <row r="3988">
      <c r="A3988" s="7">
        <f>IFERROR(Datos!A3988,"")</f>
        <v/>
      </c>
      <c r="B3988" s="27">
        <f>IFERROR(IF(ISNUMBER(Datos!B3988),Datos!B3988/$F$2*100,NA()),NA())</f>
        <v/>
      </c>
      <c r="C3988" s="27">
        <f>IFERROR(IF(ISNUMBER(Datos!C3988),Datos!C3988/$F$3*100,NA()),NA())</f>
        <v/>
      </c>
    </row>
    <row r="3989">
      <c r="A3989" s="7">
        <f>IFERROR(Datos!A3989,"")</f>
        <v/>
      </c>
      <c r="B3989" s="27">
        <f>IFERROR(IF(ISNUMBER(Datos!B3989),Datos!B3989/$F$2*100,NA()),NA())</f>
        <v/>
      </c>
      <c r="C3989" s="27">
        <f>IFERROR(IF(ISNUMBER(Datos!C3989),Datos!C3989/$F$3*100,NA()),NA())</f>
        <v/>
      </c>
    </row>
    <row r="3990">
      <c r="A3990" s="7">
        <f>IFERROR(Datos!A3990,"")</f>
        <v/>
      </c>
      <c r="B3990" s="27">
        <f>IFERROR(IF(ISNUMBER(Datos!B3990),Datos!B3990/$F$2*100,NA()),NA())</f>
        <v/>
      </c>
      <c r="C3990" s="27">
        <f>IFERROR(IF(ISNUMBER(Datos!C3990),Datos!C3990/$F$3*100,NA()),NA())</f>
        <v/>
      </c>
    </row>
    <row r="3991">
      <c r="A3991" s="7">
        <f>IFERROR(Datos!A3991,"")</f>
        <v/>
      </c>
      <c r="B3991" s="27">
        <f>IFERROR(IF(ISNUMBER(Datos!B3991),Datos!B3991/$F$2*100,NA()),NA())</f>
        <v/>
      </c>
      <c r="C3991" s="27">
        <f>IFERROR(IF(ISNUMBER(Datos!C3991),Datos!C3991/$F$3*100,NA()),NA())</f>
        <v/>
      </c>
    </row>
    <row r="3992">
      <c r="A3992" s="7">
        <f>IFERROR(Datos!A3992,"")</f>
        <v/>
      </c>
      <c r="B3992" s="27">
        <f>IFERROR(IF(ISNUMBER(Datos!B3992),Datos!B3992/$F$2*100,NA()),NA())</f>
        <v/>
      </c>
      <c r="C3992" s="27">
        <f>IFERROR(IF(ISNUMBER(Datos!C3992),Datos!C3992/$F$3*100,NA()),NA())</f>
        <v/>
      </c>
    </row>
    <row r="3993">
      <c r="A3993" s="7">
        <f>IFERROR(Datos!A3993,"")</f>
        <v/>
      </c>
      <c r="B3993" s="27">
        <f>IFERROR(IF(ISNUMBER(Datos!B3993),Datos!B3993/$F$2*100,NA()),NA())</f>
        <v/>
      </c>
      <c r="C3993" s="27">
        <f>IFERROR(IF(ISNUMBER(Datos!C3993),Datos!C3993/$F$3*100,NA()),NA())</f>
        <v/>
      </c>
    </row>
    <row r="3994">
      <c r="A3994" s="7">
        <f>IFERROR(Datos!A3994,"")</f>
        <v/>
      </c>
      <c r="B3994" s="27">
        <f>IFERROR(IF(ISNUMBER(Datos!B3994),Datos!B3994/$F$2*100,NA()),NA())</f>
        <v/>
      </c>
      <c r="C3994" s="27">
        <f>IFERROR(IF(ISNUMBER(Datos!C3994),Datos!C3994/$F$3*100,NA()),NA())</f>
        <v/>
      </c>
    </row>
    <row r="3995">
      <c r="A3995" s="7">
        <f>IFERROR(Datos!A3995,"")</f>
        <v/>
      </c>
      <c r="B3995" s="27">
        <f>IFERROR(IF(ISNUMBER(Datos!B3995),Datos!B3995/$F$2*100,NA()),NA())</f>
        <v/>
      </c>
      <c r="C3995" s="27">
        <f>IFERROR(IF(ISNUMBER(Datos!C3995),Datos!C3995/$F$3*100,NA()),NA())</f>
        <v/>
      </c>
    </row>
    <row r="3996">
      <c r="A3996" s="7">
        <f>IFERROR(Datos!A3996,"")</f>
        <v/>
      </c>
      <c r="B3996" s="27">
        <f>IFERROR(IF(ISNUMBER(Datos!B3996),Datos!B3996/$F$2*100,NA()),NA())</f>
        <v/>
      </c>
      <c r="C3996" s="27">
        <f>IFERROR(IF(ISNUMBER(Datos!C3996),Datos!C3996/$F$3*100,NA()),NA())</f>
        <v/>
      </c>
    </row>
    <row r="3997">
      <c r="A3997" s="7">
        <f>IFERROR(Datos!A3997,"")</f>
        <v/>
      </c>
      <c r="B3997" s="27">
        <f>IFERROR(IF(ISNUMBER(Datos!B3997),Datos!B3997/$F$2*100,NA()),NA())</f>
        <v/>
      </c>
      <c r="C3997" s="27">
        <f>IFERROR(IF(ISNUMBER(Datos!C3997),Datos!C3997/$F$3*100,NA()),NA())</f>
        <v/>
      </c>
    </row>
    <row r="3998">
      <c r="A3998" s="7">
        <f>IFERROR(Datos!A3998,"")</f>
        <v/>
      </c>
      <c r="B3998" s="27">
        <f>IFERROR(IF(ISNUMBER(Datos!B3998),Datos!B3998/$F$2*100,NA()),NA())</f>
        <v/>
      </c>
      <c r="C3998" s="27">
        <f>IFERROR(IF(ISNUMBER(Datos!C3998),Datos!C3998/$F$3*100,NA()),NA())</f>
        <v/>
      </c>
    </row>
    <row r="3999">
      <c r="A3999" s="7">
        <f>IFERROR(Datos!A3999,"")</f>
        <v/>
      </c>
      <c r="B3999" s="27">
        <f>IFERROR(IF(ISNUMBER(Datos!B3999),Datos!B3999/$F$2*100,NA()),NA())</f>
        <v/>
      </c>
      <c r="C3999" s="27">
        <f>IFERROR(IF(ISNUMBER(Datos!C3999),Datos!C3999/$F$3*100,NA()),NA())</f>
        <v/>
      </c>
    </row>
    <row r="4000">
      <c r="A4000" s="7">
        <f>IFERROR(Datos!A4000,"")</f>
        <v/>
      </c>
      <c r="B4000" s="27">
        <f>IFERROR(IF(ISNUMBER(Datos!B4000),Datos!B4000/$F$2*100,NA()),NA())</f>
        <v/>
      </c>
      <c r="C4000" s="27">
        <f>IFERROR(IF(ISNUMBER(Datos!C4000),Datos!C4000/$F$3*100,NA()),NA())</f>
        <v/>
      </c>
    </row>
    <row r="4001">
      <c r="A4001" s="7">
        <f>IFERROR(Datos!A4001,"")</f>
        <v/>
      </c>
      <c r="B4001" s="27">
        <f>IFERROR(IF(ISNUMBER(Datos!B4001),Datos!B4001/$F$2*100,NA()),NA())</f>
        <v/>
      </c>
      <c r="C4001" s="27">
        <f>IFERROR(IF(ISNUMBER(Datos!C4001),Datos!C4001/$F$3*100,NA()),NA())</f>
        <v/>
      </c>
    </row>
    <row r="4002">
      <c r="A4002" s="7">
        <f>IFERROR(Datos!A4002,"")</f>
        <v/>
      </c>
      <c r="B4002" s="27">
        <f>IFERROR(IF(ISNUMBER(Datos!B4002),Datos!B4002/$F$2*100,NA()),NA())</f>
        <v/>
      </c>
      <c r="C4002" s="27">
        <f>IFERROR(IF(ISNUMBER(Datos!C4002),Datos!C4002/$F$3*100,NA()),NA())</f>
        <v/>
      </c>
    </row>
    <row r="4003">
      <c r="A4003" s="7">
        <f>IFERROR(Datos!A4003,"")</f>
        <v/>
      </c>
      <c r="B4003" s="27">
        <f>IFERROR(IF(ISNUMBER(Datos!B4003),Datos!B4003/$F$2*100,NA()),NA())</f>
        <v/>
      </c>
      <c r="C4003" s="27">
        <f>IFERROR(IF(ISNUMBER(Datos!C4003),Datos!C4003/$F$3*100,NA()),NA())</f>
        <v/>
      </c>
    </row>
    <row r="4004">
      <c r="A4004" s="7">
        <f>IFERROR(Datos!A4004,"")</f>
        <v/>
      </c>
      <c r="B4004" s="27">
        <f>IFERROR(IF(ISNUMBER(Datos!B4004),Datos!B4004/$F$2*100,NA()),NA())</f>
        <v/>
      </c>
      <c r="C4004" s="27">
        <f>IFERROR(IF(ISNUMBER(Datos!C4004),Datos!C4004/$F$3*100,NA()),NA())</f>
        <v/>
      </c>
    </row>
    <row r="4005">
      <c r="A4005" s="7">
        <f>IFERROR(Datos!A4005,"")</f>
        <v/>
      </c>
      <c r="B4005" s="27">
        <f>IFERROR(IF(ISNUMBER(Datos!B4005),Datos!B4005/$F$2*100,NA()),NA())</f>
        <v/>
      </c>
      <c r="C4005" s="27">
        <f>IFERROR(IF(ISNUMBER(Datos!C4005),Datos!C4005/$F$3*100,NA()),NA())</f>
        <v/>
      </c>
    </row>
    <row r="4006">
      <c r="A4006" s="7">
        <f>IFERROR(Datos!A4006,"")</f>
        <v/>
      </c>
      <c r="B4006" s="27">
        <f>IFERROR(IF(ISNUMBER(Datos!B4006),Datos!B4006/$F$2*100,NA()),NA())</f>
        <v/>
      </c>
      <c r="C4006" s="27">
        <f>IFERROR(IF(ISNUMBER(Datos!C4006),Datos!C4006/$F$3*100,NA()),NA())</f>
        <v/>
      </c>
    </row>
    <row r="4007">
      <c r="A4007" s="7">
        <f>IFERROR(Datos!A4007,"")</f>
        <v/>
      </c>
      <c r="B4007" s="27">
        <f>IFERROR(IF(ISNUMBER(Datos!B4007),Datos!B4007/$F$2*100,NA()),NA())</f>
        <v/>
      </c>
      <c r="C4007" s="27">
        <f>IFERROR(IF(ISNUMBER(Datos!C4007),Datos!C4007/$F$3*100,NA()),NA())</f>
        <v/>
      </c>
    </row>
    <row r="4008">
      <c r="A4008" s="7">
        <f>IFERROR(Datos!A4008,"")</f>
        <v/>
      </c>
      <c r="B4008" s="27">
        <f>IFERROR(IF(ISNUMBER(Datos!B4008),Datos!B4008/$F$2*100,NA()),NA())</f>
        <v/>
      </c>
      <c r="C4008" s="27">
        <f>IFERROR(IF(ISNUMBER(Datos!C4008),Datos!C4008/$F$3*100,NA()),NA())</f>
        <v/>
      </c>
    </row>
    <row r="4009">
      <c r="A4009" s="7">
        <f>IFERROR(Datos!A4009,"")</f>
        <v/>
      </c>
      <c r="B4009" s="27">
        <f>IFERROR(IF(ISNUMBER(Datos!B4009),Datos!B4009/$F$2*100,NA()),NA())</f>
        <v/>
      </c>
      <c r="C4009" s="27">
        <f>IFERROR(IF(ISNUMBER(Datos!C4009),Datos!C4009/$F$3*100,NA()),NA())</f>
        <v/>
      </c>
    </row>
    <row r="4010">
      <c r="A4010" s="7">
        <f>IFERROR(Datos!A4010,"")</f>
        <v/>
      </c>
      <c r="B4010" s="27">
        <f>IFERROR(IF(ISNUMBER(Datos!B4010),Datos!B4010/$F$2*100,NA()),NA())</f>
        <v/>
      </c>
      <c r="C4010" s="27">
        <f>IFERROR(IF(ISNUMBER(Datos!C4010),Datos!C4010/$F$3*100,NA()),NA())</f>
        <v/>
      </c>
    </row>
    <row r="4011">
      <c r="A4011" s="7">
        <f>IFERROR(Datos!A4011,"")</f>
        <v/>
      </c>
      <c r="B4011" s="27">
        <f>IFERROR(IF(ISNUMBER(Datos!B4011),Datos!B4011/$F$2*100,NA()),NA())</f>
        <v/>
      </c>
      <c r="C4011" s="27">
        <f>IFERROR(IF(ISNUMBER(Datos!C4011),Datos!C4011/$F$3*100,NA()),NA())</f>
        <v/>
      </c>
    </row>
    <row r="4012">
      <c r="A4012" s="7">
        <f>IFERROR(Datos!A4012,"")</f>
        <v/>
      </c>
      <c r="B4012" s="27">
        <f>IFERROR(IF(ISNUMBER(Datos!B4012),Datos!B4012/$F$2*100,NA()),NA())</f>
        <v/>
      </c>
      <c r="C4012" s="27">
        <f>IFERROR(IF(ISNUMBER(Datos!C4012),Datos!C4012/$F$3*100,NA()),NA())</f>
        <v/>
      </c>
    </row>
    <row r="4013">
      <c r="A4013" s="7">
        <f>IFERROR(Datos!A4013,"")</f>
        <v/>
      </c>
      <c r="B4013" s="27">
        <f>IFERROR(IF(ISNUMBER(Datos!B4013),Datos!B4013/$F$2*100,NA()),NA())</f>
        <v/>
      </c>
      <c r="C4013" s="27">
        <f>IFERROR(IF(ISNUMBER(Datos!C4013),Datos!C4013/$F$3*100,NA()),NA())</f>
        <v/>
      </c>
    </row>
    <row r="4014">
      <c r="A4014" s="7">
        <f>IFERROR(Datos!A4014,"")</f>
        <v/>
      </c>
      <c r="B4014" s="27">
        <f>IFERROR(IF(ISNUMBER(Datos!B4014),Datos!B4014/$F$2*100,NA()),NA())</f>
        <v/>
      </c>
      <c r="C4014" s="27">
        <f>IFERROR(IF(ISNUMBER(Datos!C4014),Datos!C4014/$F$3*100,NA()),NA())</f>
        <v/>
      </c>
    </row>
    <row r="4015">
      <c r="A4015" s="7">
        <f>IFERROR(Datos!A4015,"")</f>
        <v/>
      </c>
      <c r="B4015" s="27">
        <f>IFERROR(IF(ISNUMBER(Datos!B4015),Datos!B4015/$F$2*100,NA()),NA())</f>
        <v/>
      </c>
      <c r="C4015" s="27">
        <f>IFERROR(IF(ISNUMBER(Datos!C4015),Datos!C4015/$F$3*100,NA()),NA())</f>
        <v/>
      </c>
    </row>
    <row r="4016">
      <c r="A4016" s="7">
        <f>IFERROR(Datos!A4016,"")</f>
        <v/>
      </c>
      <c r="B4016" s="27">
        <f>IFERROR(IF(ISNUMBER(Datos!B4016),Datos!B4016/$F$2*100,NA()),NA())</f>
        <v/>
      </c>
      <c r="C4016" s="27">
        <f>IFERROR(IF(ISNUMBER(Datos!C4016),Datos!C4016/$F$3*100,NA()),NA())</f>
        <v/>
      </c>
    </row>
    <row r="4017">
      <c r="A4017" s="7">
        <f>IFERROR(Datos!A4017,"")</f>
        <v/>
      </c>
      <c r="B4017" s="27">
        <f>IFERROR(IF(ISNUMBER(Datos!B4017),Datos!B4017/$F$2*100,NA()),NA())</f>
        <v/>
      </c>
      <c r="C4017" s="27">
        <f>IFERROR(IF(ISNUMBER(Datos!C4017),Datos!C4017/$F$3*100,NA()),NA())</f>
        <v/>
      </c>
    </row>
    <row r="4018">
      <c r="A4018" s="7">
        <f>IFERROR(Datos!A4018,"")</f>
        <v/>
      </c>
      <c r="B4018" s="27">
        <f>IFERROR(IF(ISNUMBER(Datos!B4018),Datos!B4018/$F$2*100,NA()),NA())</f>
        <v/>
      </c>
      <c r="C4018" s="27">
        <f>IFERROR(IF(ISNUMBER(Datos!C4018),Datos!C4018/$F$3*100,NA()),NA())</f>
        <v/>
      </c>
    </row>
    <row r="4019">
      <c r="A4019" s="7">
        <f>IFERROR(Datos!A4019,"")</f>
        <v/>
      </c>
      <c r="B4019" s="27">
        <f>IFERROR(IF(ISNUMBER(Datos!B4019),Datos!B4019/$F$2*100,NA()),NA())</f>
        <v/>
      </c>
      <c r="C4019" s="27">
        <f>IFERROR(IF(ISNUMBER(Datos!C4019),Datos!C4019/$F$3*100,NA()),NA())</f>
        <v/>
      </c>
    </row>
    <row r="4020">
      <c r="A4020" s="7">
        <f>IFERROR(Datos!A4020,"")</f>
        <v/>
      </c>
      <c r="B4020" s="27">
        <f>IFERROR(IF(ISNUMBER(Datos!B4020),Datos!B4020/$F$2*100,NA()),NA())</f>
        <v/>
      </c>
      <c r="C4020" s="27">
        <f>IFERROR(IF(ISNUMBER(Datos!C4020),Datos!C4020/$F$3*100,NA()),NA())</f>
        <v/>
      </c>
    </row>
    <row r="4021">
      <c r="A4021" s="7">
        <f>IFERROR(Datos!A4021,"")</f>
        <v/>
      </c>
      <c r="B4021" s="27">
        <f>IFERROR(IF(ISNUMBER(Datos!B4021),Datos!B4021/$F$2*100,NA()),NA())</f>
        <v/>
      </c>
      <c r="C4021" s="27">
        <f>IFERROR(IF(ISNUMBER(Datos!C4021),Datos!C4021/$F$3*100,NA()),NA())</f>
        <v/>
      </c>
    </row>
    <row r="4022">
      <c r="A4022" s="7">
        <f>IFERROR(Datos!A4022,"")</f>
        <v/>
      </c>
      <c r="B4022" s="27">
        <f>IFERROR(IF(ISNUMBER(Datos!B4022),Datos!B4022/$F$2*100,NA()),NA())</f>
        <v/>
      </c>
      <c r="C4022" s="27">
        <f>IFERROR(IF(ISNUMBER(Datos!C4022),Datos!C4022/$F$3*100,NA()),NA())</f>
        <v/>
      </c>
    </row>
    <row r="4023">
      <c r="A4023" s="7">
        <f>IFERROR(Datos!A4023,"")</f>
        <v/>
      </c>
      <c r="B4023" s="27">
        <f>IFERROR(IF(ISNUMBER(Datos!B4023),Datos!B4023/$F$2*100,NA()),NA())</f>
        <v/>
      </c>
      <c r="C4023" s="27">
        <f>IFERROR(IF(ISNUMBER(Datos!C4023),Datos!C4023/$F$3*100,NA()),NA())</f>
        <v/>
      </c>
    </row>
    <row r="4024">
      <c r="A4024" s="7">
        <f>IFERROR(Datos!A4024,"")</f>
        <v/>
      </c>
      <c r="B4024" s="27">
        <f>IFERROR(IF(ISNUMBER(Datos!B4024),Datos!B4024/$F$2*100,NA()),NA())</f>
        <v/>
      </c>
      <c r="C4024" s="27">
        <f>IFERROR(IF(ISNUMBER(Datos!C4024),Datos!C4024/$F$3*100,NA()),NA())</f>
        <v/>
      </c>
    </row>
    <row r="4025">
      <c r="A4025" s="7">
        <f>IFERROR(Datos!A4025,"")</f>
        <v/>
      </c>
      <c r="B4025" s="27">
        <f>IFERROR(IF(ISNUMBER(Datos!B4025),Datos!B4025/$F$2*100,NA()),NA())</f>
        <v/>
      </c>
      <c r="C4025" s="27">
        <f>IFERROR(IF(ISNUMBER(Datos!C4025),Datos!C4025/$F$3*100,NA()),NA())</f>
        <v/>
      </c>
    </row>
    <row r="4026">
      <c r="A4026" s="7">
        <f>IFERROR(Datos!A4026,"")</f>
        <v/>
      </c>
      <c r="B4026" s="27">
        <f>IFERROR(IF(ISNUMBER(Datos!B4026),Datos!B4026/$F$2*100,NA()),NA())</f>
        <v/>
      </c>
      <c r="C4026" s="27">
        <f>IFERROR(IF(ISNUMBER(Datos!C4026),Datos!C4026/$F$3*100,NA()),NA())</f>
        <v/>
      </c>
    </row>
    <row r="4027">
      <c r="A4027" s="7">
        <f>IFERROR(Datos!A4027,"")</f>
        <v/>
      </c>
      <c r="B4027" s="27">
        <f>IFERROR(IF(ISNUMBER(Datos!B4027),Datos!B4027/$F$2*100,NA()),NA())</f>
        <v/>
      </c>
      <c r="C4027" s="27">
        <f>IFERROR(IF(ISNUMBER(Datos!C4027),Datos!C4027/$F$3*100,NA()),NA())</f>
        <v/>
      </c>
    </row>
    <row r="4028">
      <c r="A4028" s="7">
        <f>IFERROR(Datos!A4028,"")</f>
        <v/>
      </c>
      <c r="B4028" s="27">
        <f>IFERROR(IF(ISNUMBER(Datos!B4028),Datos!B4028/$F$2*100,NA()),NA())</f>
        <v/>
      </c>
      <c r="C4028" s="27">
        <f>IFERROR(IF(ISNUMBER(Datos!C4028),Datos!C4028/$F$3*100,NA()),NA())</f>
        <v/>
      </c>
    </row>
    <row r="4029">
      <c r="A4029" s="7">
        <f>IFERROR(Datos!A4029,"")</f>
        <v/>
      </c>
      <c r="B4029" s="27">
        <f>IFERROR(IF(ISNUMBER(Datos!B4029),Datos!B4029/$F$2*100,NA()),NA())</f>
        <v/>
      </c>
      <c r="C4029" s="27">
        <f>IFERROR(IF(ISNUMBER(Datos!C4029),Datos!C4029/$F$3*100,NA()),NA())</f>
        <v/>
      </c>
    </row>
    <row r="4030">
      <c r="A4030" s="7">
        <f>IFERROR(Datos!A4030,"")</f>
        <v/>
      </c>
      <c r="B4030" s="27">
        <f>IFERROR(IF(ISNUMBER(Datos!B4030),Datos!B4030/$F$2*100,NA()),NA())</f>
        <v/>
      </c>
      <c r="C4030" s="27">
        <f>IFERROR(IF(ISNUMBER(Datos!C4030),Datos!C4030/$F$3*100,NA()),NA())</f>
        <v/>
      </c>
    </row>
    <row r="4031">
      <c r="A4031" s="7">
        <f>IFERROR(Datos!A4031,"")</f>
        <v/>
      </c>
      <c r="B4031" s="27">
        <f>IFERROR(IF(ISNUMBER(Datos!B4031),Datos!B4031/$F$2*100,NA()),NA())</f>
        <v/>
      </c>
      <c r="C4031" s="27">
        <f>IFERROR(IF(ISNUMBER(Datos!C4031),Datos!C4031/$F$3*100,NA()),NA())</f>
        <v/>
      </c>
    </row>
    <row r="4032">
      <c r="A4032" s="7">
        <f>IFERROR(Datos!A4032,"")</f>
        <v/>
      </c>
      <c r="B4032" s="27">
        <f>IFERROR(IF(ISNUMBER(Datos!B4032),Datos!B4032/$F$2*100,NA()),NA())</f>
        <v/>
      </c>
      <c r="C4032" s="27">
        <f>IFERROR(IF(ISNUMBER(Datos!C4032),Datos!C4032/$F$3*100,NA()),NA())</f>
        <v/>
      </c>
    </row>
    <row r="4033">
      <c r="A4033" s="7">
        <f>IFERROR(Datos!A4033,"")</f>
        <v/>
      </c>
      <c r="B4033" s="27">
        <f>IFERROR(IF(ISNUMBER(Datos!B4033),Datos!B4033/$F$2*100,NA()),NA())</f>
        <v/>
      </c>
      <c r="C4033" s="27">
        <f>IFERROR(IF(ISNUMBER(Datos!C4033),Datos!C4033/$F$3*100,NA()),NA())</f>
        <v/>
      </c>
    </row>
    <row r="4034">
      <c r="A4034" s="7">
        <f>IFERROR(Datos!A4034,"")</f>
        <v/>
      </c>
      <c r="B4034" s="27">
        <f>IFERROR(IF(ISNUMBER(Datos!B4034),Datos!B4034/$F$2*100,NA()),NA())</f>
        <v/>
      </c>
      <c r="C4034" s="27">
        <f>IFERROR(IF(ISNUMBER(Datos!C4034),Datos!C4034/$F$3*100,NA()),NA())</f>
        <v/>
      </c>
    </row>
    <row r="4035">
      <c r="A4035" s="7">
        <f>IFERROR(Datos!A4035,"")</f>
        <v/>
      </c>
      <c r="B4035" s="27">
        <f>IFERROR(IF(ISNUMBER(Datos!B4035),Datos!B4035/$F$2*100,NA()),NA())</f>
        <v/>
      </c>
      <c r="C4035" s="27">
        <f>IFERROR(IF(ISNUMBER(Datos!C4035),Datos!C4035/$F$3*100,NA()),NA())</f>
        <v/>
      </c>
    </row>
    <row r="4036">
      <c r="A4036" s="7">
        <f>IFERROR(Datos!A4036,"")</f>
        <v/>
      </c>
      <c r="B4036" s="27">
        <f>IFERROR(IF(ISNUMBER(Datos!B4036),Datos!B4036/$F$2*100,NA()),NA())</f>
        <v/>
      </c>
      <c r="C4036" s="27">
        <f>IFERROR(IF(ISNUMBER(Datos!C4036),Datos!C4036/$F$3*100,NA()),NA())</f>
        <v/>
      </c>
    </row>
    <row r="4037">
      <c r="A4037" s="7">
        <f>IFERROR(Datos!A4037,"")</f>
        <v/>
      </c>
      <c r="B4037" s="27">
        <f>IFERROR(IF(ISNUMBER(Datos!B4037),Datos!B4037/$F$2*100,NA()),NA())</f>
        <v/>
      </c>
      <c r="C4037" s="27">
        <f>IFERROR(IF(ISNUMBER(Datos!C4037),Datos!C4037/$F$3*100,NA()),NA())</f>
        <v/>
      </c>
    </row>
    <row r="4038">
      <c r="A4038" s="7">
        <f>IFERROR(Datos!A4038,"")</f>
        <v/>
      </c>
      <c r="B4038" s="27">
        <f>IFERROR(IF(ISNUMBER(Datos!B4038),Datos!B4038/$F$2*100,NA()),NA())</f>
        <v/>
      </c>
      <c r="C4038" s="27">
        <f>IFERROR(IF(ISNUMBER(Datos!C4038),Datos!C4038/$F$3*100,NA()),NA())</f>
        <v/>
      </c>
    </row>
    <row r="4039">
      <c r="A4039" s="7">
        <f>IFERROR(Datos!A4039,"")</f>
        <v/>
      </c>
      <c r="B4039" s="27">
        <f>IFERROR(IF(ISNUMBER(Datos!B4039),Datos!B4039/$F$2*100,NA()),NA())</f>
        <v/>
      </c>
      <c r="C4039" s="27">
        <f>IFERROR(IF(ISNUMBER(Datos!C4039),Datos!C4039/$F$3*100,NA()),NA())</f>
        <v/>
      </c>
    </row>
    <row r="4040">
      <c r="A4040" s="7">
        <f>IFERROR(Datos!A4040,"")</f>
        <v/>
      </c>
      <c r="B4040" s="27">
        <f>IFERROR(IF(ISNUMBER(Datos!B4040),Datos!B4040/$F$2*100,NA()),NA())</f>
        <v/>
      </c>
      <c r="C4040" s="27">
        <f>IFERROR(IF(ISNUMBER(Datos!C4040),Datos!C4040/$F$3*100,NA()),NA())</f>
        <v/>
      </c>
    </row>
    <row r="4041">
      <c r="A4041" s="7">
        <f>IFERROR(Datos!A4041,"")</f>
        <v/>
      </c>
      <c r="B4041" s="27">
        <f>IFERROR(IF(ISNUMBER(Datos!B4041),Datos!B4041/$F$2*100,NA()),NA())</f>
        <v/>
      </c>
      <c r="C4041" s="27">
        <f>IFERROR(IF(ISNUMBER(Datos!C4041),Datos!C4041/$F$3*100,NA()),NA())</f>
        <v/>
      </c>
    </row>
    <row r="4042">
      <c r="A4042" s="7">
        <f>IFERROR(Datos!A4042,"")</f>
        <v/>
      </c>
      <c r="B4042" s="27">
        <f>IFERROR(IF(ISNUMBER(Datos!B4042),Datos!B4042/$F$2*100,NA()),NA())</f>
        <v/>
      </c>
      <c r="C4042" s="27">
        <f>IFERROR(IF(ISNUMBER(Datos!C4042),Datos!C4042/$F$3*100,NA()),NA())</f>
        <v/>
      </c>
    </row>
    <row r="4043">
      <c r="A4043" s="7">
        <f>IFERROR(Datos!A4043,"")</f>
        <v/>
      </c>
      <c r="B4043" s="27">
        <f>IFERROR(IF(ISNUMBER(Datos!B4043),Datos!B4043/$F$2*100,NA()),NA())</f>
        <v/>
      </c>
      <c r="C4043" s="27">
        <f>IFERROR(IF(ISNUMBER(Datos!C4043),Datos!C4043/$F$3*100,NA()),NA())</f>
        <v/>
      </c>
    </row>
    <row r="4044">
      <c r="A4044" s="7">
        <f>IFERROR(Datos!A4044,"")</f>
        <v/>
      </c>
      <c r="B4044" s="27">
        <f>IFERROR(IF(ISNUMBER(Datos!B4044),Datos!B4044/$F$2*100,NA()),NA())</f>
        <v/>
      </c>
      <c r="C4044" s="27">
        <f>IFERROR(IF(ISNUMBER(Datos!C4044),Datos!C4044/$F$3*100,NA()),NA())</f>
        <v/>
      </c>
    </row>
    <row r="4045">
      <c r="A4045" s="7">
        <f>IFERROR(Datos!A4045,"")</f>
        <v/>
      </c>
      <c r="B4045" s="27">
        <f>IFERROR(IF(ISNUMBER(Datos!B4045),Datos!B4045/$F$2*100,NA()),NA())</f>
        <v/>
      </c>
      <c r="C4045" s="27">
        <f>IFERROR(IF(ISNUMBER(Datos!C4045),Datos!C4045/$F$3*100,NA()),NA())</f>
        <v/>
      </c>
    </row>
    <row r="4046">
      <c r="A4046" s="7">
        <f>IFERROR(Datos!A4046,"")</f>
        <v/>
      </c>
      <c r="B4046" s="27">
        <f>IFERROR(IF(ISNUMBER(Datos!B4046),Datos!B4046/$F$2*100,NA()),NA())</f>
        <v/>
      </c>
      <c r="C4046" s="27">
        <f>IFERROR(IF(ISNUMBER(Datos!C4046),Datos!C4046/$F$3*100,NA()),NA())</f>
        <v/>
      </c>
    </row>
    <row r="4047">
      <c r="A4047" s="7">
        <f>IFERROR(Datos!A4047,"")</f>
        <v/>
      </c>
      <c r="B4047" s="27">
        <f>IFERROR(IF(ISNUMBER(Datos!B4047),Datos!B4047/$F$2*100,NA()),NA())</f>
        <v/>
      </c>
      <c r="C4047" s="27">
        <f>IFERROR(IF(ISNUMBER(Datos!C4047),Datos!C4047/$F$3*100,NA()),NA())</f>
        <v/>
      </c>
    </row>
    <row r="4048">
      <c r="A4048" s="7">
        <f>IFERROR(Datos!A4048,"")</f>
        <v/>
      </c>
      <c r="B4048" s="27">
        <f>IFERROR(IF(ISNUMBER(Datos!B4048),Datos!B4048/$F$2*100,NA()),NA())</f>
        <v/>
      </c>
      <c r="C4048" s="27">
        <f>IFERROR(IF(ISNUMBER(Datos!C4048),Datos!C4048/$F$3*100,NA()),NA())</f>
        <v/>
      </c>
    </row>
    <row r="4049">
      <c r="A4049" s="7">
        <f>IFERROR(Datos!A4049,"")</f>
        <v/>
      </c>
      <c r="B4049" s="27">
        <f>IFERROR(IF(ISNUMBER(Datos!B4049),Datos!B4049/$F$2*100,NA()),NA())</f>
        <v/>
      </c>
      <c r="C4049" s="27">
        <f>IFERROR(IF(ISNUMBER(Datos!C4049),Datos!C4049/$F$3*100,NA()),NA())</f>
        <v/>
      </c>
    </row>
    <row r="4050">
      <c r="A4050" s="7">
        <f>IFERROR(Datos!A4050,"")</f>
        <v/>
      </c>
      <c r="B4050" s="27">
        <f>IFERROR(IF(ISNUMBER(Datos!B4050),Datos!B4050/$F$2*100,NA()),NA())</f>
        <v/>
      </c>
      <c r="C4050" s="27">
        <f>IFERROR(IF(ISNUMBER(Datos!C4050),Datos!C4050/$F$3*100,NA()),NA())</f>
        <v/>
      </c>
    </row>
    <row r="4051">
      <c r="A4051" s="7">
        <f>IFERROR(Datos!A4051,"")</f>
        <v/>
      </c>
      <c r="B4051" s="27">
        <f>IFERROR(IF(ISNUMBER(Datos!B4051),Datos!B4051/$F$2*100,NA()),NA())</f>
        <v/>
      </c>
      <c r="C4051" s="27">
        <f>IFERROR(IF(ISNUMBER(Datos!C4051),Datos!C4051/$F$3*100,NA()),NA())</f>
        <v/>
      </c>
    </row>
    <row r="4052">
      <c r="A4052" s="7">
        <f>IFERROR(Datos!A4052,"")</f>
        <v/>
      </c>
      <c r="B4052" s="27">
        <f>IFERROR(IF(ISNUMBER(Datos!B4052),Datos!B4052/$F$2*100,NA()),NA())</f>
        <v/>
      </c>
      <c r="C4052" s="27">
        <f>IFERROR(IF(ISNUMBER(Datos!C4052),Datos!C4052/$F$3*100,NA()),NA())</f>
        <v/>
      </c>
    </row>
    <row r="4053">
      <c r="A4053" s="7">
        <f>IFERROR(Datos!A4053,"")</f>
        <v/>
      </c>
      <c r="B4053" s="27">
        <f>IFERROR(IF(ISNUMBER(Datos!B4053),Datos!B4053/$F$2*100,NA()),NA())</f>
        <v/>
      </c>
      <c r="C4053" s="27">
        <f>IFERROR(IF(ISNUMBER(Datos!C4053),Datos!C4053/$F$3*100,NA()),NA())</f>
        <v/>
      </c>
    </row>
    <row r="4054">
      <c r="A4054" s="7">
        <f>IFERROR(Datos!A4054,"")</f>
        <v/>
      </c>
      <c r="B4054" s="27">
        <f>IFERROR(IF(ISNUMBER(Datos!B4054),Datos!B4054/$F$2*100,NA()),NA())</f>
        <v/>
      </c>
      <c r="C4054" s="27">
        <f>IFERROR(IF(ISNUMBER(Datos!C4054),Datos!C4054/$F$3*100,NA()),NA())</f>
        <v/>
      </c>
    </row>
    <row r="4055">
      <c r="A4055" s="7">
        <f>IFERROR(Datos!A4055,"")</f>
        <v/>
      </c>
      <c r="B4055" s="27">
        <f>IFERROR(IF(ISNUMBER(Datos!B4055),Datos!B4055/$F$2*100,NA()),NA())</f>
        <v/>
      </c>
      <c r="C4055" s="27">
        <f>IFERROR(IF(ISNUMBER(Datos!C4055),Datos!C4055/$F$3*100,NA()),NA())</f>
        <v/>
      </c>
    </row>
    <row r="4056">
      <c r="A4056" s="7">
        <f>IFERROR(Datos!A4056,"")</f>
        <v/>
      </c>
      <c r="B4056" s="27">
        <f>IFERROR(IF(ISNUMBER(Datos!B4056),Datos!B4056/$F$2*100,NA()),NA())</f>
        <v/>
      </c>
      <c r="C4056" s="27">
        <f>IFERROR(IF(ISNUMBER(Datos!C4056),Datos!C4056/$F$3*100,NA()),NA())</f>
        <v/>
      </c>
    </row>
    <row r="4057">
      <c r="A4057" s="7">
        <f>IFERROR(Datos!A4057,"")</f>
        <v/>
      </c>
      <c r="B4057" s="27">
        <f>IFERROR(IF(ISNUMBER(Datos!B4057),Datos!B4057/$F$2*100,NA()),NA())</f>
        <v/>
      </c>
      <c r="C4057" s="27">
        <f>IFERROR(IF(ISNUMBER(Datos!C4057),Datos!C4057/$F$3*100,NA()),NA())</f>
        <v/>
      </c>
    </row>
    <row r="4058">
      <c r="A4058" s="7">
        <f>IFERROR(Datos!A4058,"")</f>
        <v/>
      </c>
      <c r="B4058" s="27">
        <f>IFERROR(IF(ISNUMBER(Datos!B4058),Datos!B4058/$F$2*100,NA()),NA())</f>
        <v/>
      </c>
      <c r="C4058" s="27">
        <f>IFERROR(IF(ISNUMBER(Datos!C4058),Datos!C4058/$F$3*100,NA()),NA())</f>
        <v/>
      </c>
    </row>
    <row r="4059">
      <c r="A4059" s="7">
        <f>IFERROR(Datos!A4059,"")</f>
        <v/>
      </c>
      <c r="B4059" s="27">
        <f>IFERROR(IF(ISNUMBER(Datos!B4059),Datos!B4059/$F$2*100,NA()),NA())</f>
        <v/>
      </c>
      <c r="C4059" s="27">
        <f>IFERROR(IF(ISNUMBER(Datos!C4059),Datos!C4059/$F$3*100,NA()),NA())</f>
        <v/>
      </c>
    </row>
    <row r="4060">
      <c r="A4060" s="7">
        <f>IFERROR(Datos!A4060,"")</f>
        <v/>
      </c>
      <c r="B4060" s="27">
        <f>IFERROR(IF(ISNUMBER(Datos!B4060),Datos!B4060/$F$2*100,NA()),NA())</f>
        <v/>
      </c>
      <c r="C4060" s="27">
        <f>IFERROR(IF(ISNUMBER(Datos!C4060),Datos!C4060/$F$3*100,NA()),NA())</f>
        <v/>
      </c>
    </row>
    <row r="4061">
      <c r="A4061" s="7">
        <f>IFERROR(Datos!A4061,"")</f>
        <v/>
      </c>
      <c r="B4061" s="27">
        <f>IFERROR(IF(ISNUMBER(Datos!B4061),Datos!B4061/$F$2*100,NA()),NA())</f>
        <v/>
      </c>
      <c r="C4061" s="27">
        <f>IFERROR(IF(ISNUMBER(Datos!C4061),Datos!C4061/$F$3*100,NA()),NA())</f>
        <v/>
      </c>
    </row>
    <row r="4062">
      <c r="A4062" s="7">
        <f>IFERROR(Datos!A4062,"")</f>
        <v/>
      </c>
      <c r="B4062" s="27">
        <f>IFERROR(IF(ISNUMBER(Datos!B4062),Datos!B4062/$F$2*100,NA()),NA())</f>
        <v/>
      </c>
      <c r="C4062" s="27">
        <f>IFERROR(IF(ISNUMBER(Datos!C4062),Datos!C4062/$F$3*100,NA()),NA())</f>
        <v/>
      </c>
    </row>
    <row r="4063">
      <c r="A4063" s="7">
        <f>IFERROR(Datos!A4063,"")</f>
        <v/>
      </c>
      <c r="B4063" s="27">
        <f>IFERROR(IF(ISNUMBER(Datos!B4063),Datos!B4063/$F$2*100,NA()),NA())</f>
        <v/>
      </c>
      <c r="C4063" s="27">
        <f>IFERROR(IF(ISNUMBER(Datos!C4063),Datos!C4063/$F$3*100,NA()),NA())</f>
        <v/>
      </c>
    </row>
    <row r="4064">
      <c r="A4064" s="7">
        <f>IFERROR(Datos!A4064,"")</f>
        <v/>
      </c>
      <c r="B4064" s="27">
        <f>IFERROR(IF(ISNUMBER(Datos!B4064),Datos!B4064/$F$2*100,NA()),NA())</f>
        <v/>
      </c>
      <c r="C4064" s="27">
        <f>IFERROR(IF(ISNUMBER(Datos!C4064),Datos!C4064/$F$3*100,NA()),NA())</f>
        <v/>
      </c>
    </row>
    <row r="4065">
      <c r="A4065" s="7">
        <f>IFERROR(Datos!A4065,"")</f>
        <v/>
      </c>
      <c r="B4065" s="27">
        <f>IFERROR(IF(ISNUMBER(Datos!B4065),Datos!B4065/$F$2*100,NA()),NA())</f>
        <v/>
      </c>
      <c r="C4065" s="27">
        <f>IFERROR(IF(ISNUMBER(Datos!C4065),Datos!C4065/$F$3*100,NA()),NA())</f>
        <v/>
      </c>
    </row>
    <row r="4066">
      <c r="A4066" s="7">
        <f>IFERROR(Datos!A4066,"")</f>
        <v/>
      </c>
      <c r="B4066" s="27">
        <f>IFERROR(IF(ISNUMBER(Datos!B4066),Datos!B4066/$F$2*100,NA()),NA())</f>
        <v/>
      </c>
      <c r="C4066" s="27">
        <f>IFERROR(IF(ISNUMBER(Datos!C4066),Datos!C4066/$F$3*100,NA()),NA())</f>
        <v/>
      </c>
    </row>
    <row r="4067">
      <c r="A4067" s="7">
        <f>IFERROR(Datos!A4067,"")</f>
        <v/>
      </c>
      <c r="B4067" s="27">
        <f>IFERROR(IF(ISNUMBER(Datos!B4067),Datos!B4067/$F$2*100,NA()),NA())</f>
        <v/>
      </c>
      <c r="C4067" s="27">
        <f>IFERROR(IF(ISNUMBER(Datos!C4067),Datos!C4067/$F$3*100,NA()),NA())</f>
        <v/>
      </c>
    </row>
    <row r="4068">
      <c r="A4068" s="7">
        <f>IFERROR(Datos!A4068,"")</f>
        <v/>
      </c>
      <c r="B4068" s="27">
        <f>IFERROR(IF(ISNUMBER(Datos!B4068),Datos!B4068/$F$2*100,NA()),NA())</f>
        <v/>
      </c>
      <c r="C4068" s="27">
        <f>IFERROR(IF(ISNUMBER(Datos!C4068),Datos!C4068/$F$3*100,NA()),NA())</f>
        <v/>
      </c>
    </row>
    <row r="4069">
      <c r="A4069" s="7">
        <f>IFERROR(Datos!A4069,"")</f>
        <v/>
      </c>
      <c r="B4069" s="27">
        <f>IFERROR(IF(ISNUMBER(Datos!B4069),Datos!B4069/$F$2*100,NA()),NA())</f>
        <v/>
      </c>
      <c r="C4069" s="27">
        <f>IFERROR(IF(ISNUMBER(Datos!C4069),Datos!C4069/$F$3*100,NA()),NA())</f>
        <v/>
      </c>
    </row>
    <row r="4070">
      <c r="A4070" s="7">
        <f>IFERROR(Datos!A4070,"")</f>
        <v/>
      </c>
      <c r="B4070" s="27">
        <f>IFERROR(IF(ISNUMBER(Datos!B4070),Datos!B4070/$F$2*100,NA()),NA())</f>
        <v/>
      </c>
      <c r="C4070" s="27">
        <f>IFERROR(IF(ISNUMBER(Datos!C4070),Datos!C4070/$F$3*100,NA()),NA())</f>
        <v/>
      </c>
    </row>
    <row r="4071">
      <c r="A4071" s="7">
        <f>IFERROR(Datos!A4071,"")</f>
        <v/>
      </c>
      <c r="B4071" s="27">
        <f>IFERROR(IF(ISNUMBER(Datos!B4071),Datos!B4071/$F$2*100,NA()),NA())</f>
        <v/>
      </c>
      <c r="C4071" s="27">
        <f>IFERROR(IF(ISNUMBER(Datos!C4071),Datos!C4071/$F$3*100,NA()),NA())</f>
        <v/>
      </c>
    </row>
    <row r="4072">
      <c r="A4072" s="7">
        <f>IFERROR(Datos!A4072,"")</f>
        <v/>
      </c>
      <c r="B4072" s="27">
        <f>IFERROR(IF(ISNUMBER(Datos!B4072),Datos!B4072/$F$2*100,NA()),NA())</f>
        <v/>
      </c>
      <c r="C4072" s="27">
        <f>IFERROR(IF(ISNUMBER(Datos!C4072),Datos!C4072/$F$3*100,NA()),NA())</f>
        <v/>
      </c>
    </row>
    <row r="4073">
      <c r="A4073" s="7">
        <f>IFERROR(Datos!A4073,"")</f>
        <v/>
      </c>
      <c r="B4073" s="27">
        <f>IFERROR(IF(ISNUMBER(Datos!B4073),Datos!B4073/$F$2*100,NA()),NA())</f>
        <v/>
      </c>
      <c r="C4073" s="27">
        <f>IFERROR(IF(ISNUMBER(Datos!C4073),Datos!C4073/$F$3*100,NA()),NA())</f>
        <v/>
      </c>
    </row>
    <row r="4074">
      <c r="A4074" s="7">
        <f>IFERROR(Datos!A4074,"")</f>
        <v/>
      </c>
      <c r="B4074" s="27">
        <f>IFERROR(IF(ISNUMBER(Datos!B4074),Datos!B4074/$F$2*100,NA()),NA())</f>
        <v/>
      </c>
      <c r="C4074" s="27">
        <f>IFERROR(IF(ISNUMBER(Datos!C4074),Datos!C4074/$F$3*100,NA()),NA())</f>
        <v/>
      </c>
    </row>
    <row r="4075">
      <c r="A4075" s="7">
        <f>IFERROR(Datos!A4075,"")</f>
        <v/>
      </c>
      <c r="B4075" s="27">
        <f>IFERROR(IF(ISNUMBER(Datos!B4075),Datos!B4075/$F$2*100,NA()),NA())</f>
        <v/>
      </c>
      <c r="C4075" s="27">
        <f>IFERROR(IF(ISNUMBER(Datos!C4075),Datos!C4075/$F$3*100,NA()),NA())</f>
        <v/>
      </c>
    </row>
    <row r="4076">
      <c r="A4076" s="7">
        <f>IFERROR(Datos!A4076,"")</f>
        <v/>
      </c>
      <c r="B4076" s="27">
        <f>IFERROR(IF(ISNUMBER(Datos!B4076),Datos!B4076/$F$2*100,NA()),NA())</f>
        <v/>
      </c>
      <c r="C4076" s="27">
        <f>IFERROR(IF(ISNUMBER(Datos!C4076),Datos!C4076/$F$3*100,NA()),NA())</f>
        <v/>
      </c>
    </row>
    <row r="4077">
      <c r="A4077" s="7">
        <f>IFERROR(Datos!A4077,"")</f>
        <v/>
      </c>
      <c r="B4077" s="27">
        <f>IFERROR(IF(ISNUMBER(Datos!B4077),Datos!B4077/$F$2*100,NA()),NA())</f>
        <v/>
      </c>
      <c r="C4077" s="27">
        <f>IFERROR(IF(ISNUMBER(Datos!C4077),Datos!C4077/$F$3*100,NA()),NA())</f>
        <v/>
      </c>
    </row>
    <row r="4078">
      <c r="A4078" s="7">
        <f>IFERROR(Datos!A4078,"")</f>
        <v/>
      </c>
      <c r="B4078" s="27">
        <f>IFERROR(IF(ISNUMBER(Datos!B4078),Datos!B4078/$F$2*100,NA()),NA())</f>
        <v/>
      </c>
      <c r="C4078" s="27">
        <f>IFERROR(IF(ISNUMBER(Datos!C4078),Datos!C4078/$F$3*100,NA()),NA())</f>
        <v/>
      </c>
    </row>
    <row r="4079">
      <c r="A4079" s="7">
        <f>IFERROR(Datos!A4079,"")</f>
        <v/>
      </c>
      <c r="B4079" s="27">
        <f>IFERROR(IF(ISNUMBER(Datos!B4079),Datos!B4079/$F$2*100,NA()),NA())</f>
        <v/>
      </c>
      <c r="C4079" s="27">
        <f>IFERROR(IF(ISNUMBER(Datos!C4079),Datos!C4079/$F$3*100,NA()),NA())</f>
        <v/>
      </c>
    </row>
    <row r="4080">
      <c r="A4080" s="7">
        <f>IFERROR(Datos!A4080,"")</f>
        <v/>
      </c>
      <c r="B4080" s="27">
        <f>IFERROR(IF(ISNUMBER(Datos!B4080),Datos!B4080/$F$2*100,NA()),NA())</f>
        <v/>
      </c>
      <c r="C4080" s="27">
        <f>IFERROR(IF(ISNUMBER(Datos!C4080),Datos!C4080/$F$3*100,NA()),NA())</f>
        <v/>
      </c>
    </row>
    <row r="4081">
      <c r="A4081" s="7">
        <f>IFERROR(Datos!A4081,"")</f>
        <v/>
      </c>
      <c r="B4081" s="27">
        <f>IFERROR(IF(ISNUMBER(Datos!B4081),Datos!B4081/$F$2*100,NA()),NA())</f>
        <v/>
      </c>
      <c r="C4081" s="27">
        <f>IFERROR(IF(ISNUMBER(Datos!C4081),Datos!C4081/$F$3*100,NA()),NA())</f>
        <v/>
      </c>
    </row>
    <row r="4082">
      <c r="A4082" s="7">
        <f>IFERROR(Datos!A4082,"")</f>
        <v/>
      </c>
      <c r="B4082" s="27">
        <f>IFERROR(IF(ISNUMBER(Datos!B4082),Datos!B4082/$F$2*100,NA()),NA())</f>
        <v/>
      </c>
      <c r="C4082" s="27">
        <f>IFERROR(IF(ISNUMBER(Datos!C4082),Datos!C4082/$F$3*100,NA()),NA())</f>
        <v/>
      </c>
    </row>
    <row r="4083">
      <c r="A4083" s="7">
        <f>IFERROR(Datos!A4083,"")</f>
        <v/>
      </c>
      <c r="B4083" s="27">
        <f>IFERROR(IF(ISNUMBER(Datos!B4083),Datos!B4083/$F$2*100,NA()),NA())</f>
        <v/>
      </c>
      <c r="C4083" s="27">
        <f>IFERROR(IF(ISNUMBER(Datos!C4083),Datos!C4083/$F$3*100,NA()),NA())</f>
        <v/>
      </c>
    </row>
    <row r="4084">
      <c r="A4084" s="7">
        <f>IFERROR(Datos!A4084,"")</f>
        <v/>
      </c>
      <c r="B4084" s="27">
        <f>IFERROR(IF(ISNUMBER(Datos!B4084),Datos!B4084/$F$2*100,NA()),NA())</f>
        <v/>
      </c>
      <c r="C4084" s="27">
        <f>IFERROR(IF(ISNUMBER(Datos!C4084),Datos!C4084/$F$3*100,NA()),NA())</f>
        <v/>
      </c>
    </row>
    <row r="4085">
      <c r="A4085" s="7">
        <f>IFERROR(Datos!A4085,"")</f>
        <v/>
      </c>
      <c r="B4085" s="27">
        <f>IFERROR(IF(ISNUMBER(Datos!B4085),Datos!B4085/$F$2*100,NA()),NA())</f>
        <v/>
      </c>
      <c r="C4085" s="27">
        <f>IFERROR(IF(ISNUMBER(Datos!C4085),Datos!C4085/$F$3*100,NA()),NA())</f>
        <v/>
      </c>
    </row>
    <row r="4086">
      <c r="A4086" s="7">
        <f>IFERROR(Datos!A4086,"")</f>
        <v/>
      </c>
      <c r="B4086" s="27">
        <f>IFERROR(IF(ISNUMBER(Datos!B4086),Datos!B4086/$F$2*100,NA()),NA())</f>
        <v/>
      </c>
      <c r="C4086" s="27">
        <f>IFERROR(IF(ISNUMBER(Datos!C4086),Datos!C4086/$F$3*100,NA()),NA())</f>
        <v/>
      </c>
    </row>
    <row r="4087">
      <c r="A4087" s="7">
        <f>IFERROR(Datos!A4087,"")</f>
        <v/>
      </c>
      <c r="B4087" s="27">
        <f>IFERROR(IF(ISNUMBER(Datos!B4087),Datos!B4087/$F$2*100,NA()),NA())</f>
        <v/>
      </c>
      <c r="C4087" s="27">
        <f>IFERROR(IF(ISNUMBER(Datos!C4087),Datos!C4087/$F$3*100,NA()),NA())</f>
        <v/>
      </c>
    </row>
    <row r="4088">
      <c r="A4088" s="7">
        <f>IFERROR(Datos!A4088,"")</f>
        <v/>
      </c>
      <c r="B4088" s="27">
        <f>IFERROR(IF(ISNUMBER(Datos!B4088),Datos!B4088/$F$2*100,NA()),NA())</f>
        <v/>
      </c>
      <c r="C4088" s="27">
        <f>IFERROR(IF(ISNUMBER(Datos!C4088),Datos!C4088/$F$3*100,NA()),NA())</f>
        <v/>
      </c>
    </row>
    <row r="4089">
      <c r="A4089" s="7">
        <f>IFERROR(Datos!A4089,"")</f>
        <v/>
      </c>
      <c r="B4089" s="27">
        <f>IFERROR(IF(ISNUMBER(Datos!B4089),Datos!B4089/$F$2*100,NA()),NA())</f>
        <v/>
      </c>
      <c r="C4089" s="27">
        <f>IFERROR(IF(ISNUMBER(Datos!C4089),Datos!C4089/$F$3*100,NA()),NA())</f>
        <v/>
      </c>
    </row>
    <row r="4090">
      <c r="A4090" s="7">
        <f>IFERROR(Datos!A4090,"")</f>
        <v/>
      </c>
      <c r="B4090" s="27">
        <f>IFERROR(IF(ISNUMBER(Datos!B4090),Datos!B4090/$F$2*100,NA()),NA())</f>
        <v/>
      </c>
      <c r="C4090" s="27">
        <f>IFERROR(IF(ISNUMBER(Datos!C4090),Datos!C4090/$F$3*100,NA()),NA())</f>
        <v/>
      </c>
    </row>
    <row r="4091">
      <c r="A4091" s="7">
        <f>IFERROR(Datos!A4091,"")</f>
        <v/>
      </c>
      <c r="B4091" s="27">
        <f>IFERROR(IF(ISNUMBER(Datos!B4091),Datos!B4091/$F$2*100,NA()),NA())</f>
        <v/>
      </c>
      <c r="C4091" s="27">
        <f>IFERROR(IF(ISNUMBER(Datos!C4091),Datos!C4091/$F$3*100,NA()),NA())</f>
        <v/>
      </c>
    </row>
    <row r="4092">
      <c r="A4092" s="7">
        <f>IFERROR(Datos!A4092,"")</f>
        <v/>
      </c>
      <c r="B4092" s="27">
        <f>IFERROR(IF(ISNUMBER(Datos!B4092),Datos!B4092/$F$2*100,NA()),NA())</f>
        <v/>
      </c>
      <c r="C4092" s="27">
        <f>IFERROR(IF(ISNUMBER(Datos!C4092),Datos!C4092/$F$3*100,NA()),NA())</f>
        <v/>
      </c>
    </row>
    <row r="4093">
      <c r="A4093" s="7">
        <f>IFERROR(Datos!A4093,"")</f>
        <v/>
      </c>
      <c r="B4093" s="27">
        <f>IFERROR(IF(ISNUMBER(Datos!B4093),Datos!B4093/$F$2*100,NA()),NA())</f>
        <v/>
      </c>
      <c r="C4093" s="27">
        <f>IFERROR(IF(ISNUMBER(Datos!C4093),Datos!C4093/$F$3*100,NA()),NA())</f>
        <v/>
      </c>
    </row>
    <row r="4094">
      <c r="A4094" s="7">
        <f>IFERROR(Datos!A4094,"")</f>
        <v/>
      </c>
      <c r="B4094" s="27">
        <f>IFERROR(IF(ISNUMBER(Datos!B4094),Datos!B4094/$F$2*100,NA()),NA())</f>
        <v/>
      </c>
      <c r="C4094" s="27">
        <f>IFERROR(IF(ISNUMBER(Datos!C4094),Datos!C4094/$F$3*100,NA()),NA())</f>
        <v/>
      </c>
    </row>
    <row r="4095">
      <c r="A4095" s="7">
        <f>IFERROR(Datos!A4095,"")</f>
        <v/>
      </c>
      <c r="B4095" s="27">
        <f>IFERROR(IF(ISNUMBER(Datos!B4095),Datos!B4095/$F$2*100,NA()),NA())</f>
        <v/>
      </c>
      <c r="C4095" s="27">
        <f>IFERROR(IF(ISNUMBER(Datos!C4095),Datos!C4095/$F$3*100,NA()),NA())</f>
        <v/>
      </c>
    </row>
    <row r="4096">
      <c r="A4096" s="7">
        <f>IFERROR(Datos!A4096,"")</f>
        <v/>
      </c>
      <c r="B4096" s="27">
        <f>IFERROR(IF(ISNUMBER(Datos!B4096),Datos!B4096/$F$2*100,NA()),NA())</f>
        <v/>
      </c>
      <c r="C4096" s="27">
        <f>IFERROR(IF(ISNUMBER(Datos!C4096),Datos!C4096/$F$3*100,NA()),NA())</f>
        <v/>
      </c>
    </row>
    <row r="4097">
      <c r="A4097" s="7">
        <f>IFERROR(Datos!A4097,"")</f>
        <v/>
      </c>
      <c r="B4097" s="27">
        <f>IFERROR(IF(ISNUMBER(Datos!B4097),Datos!B4097/$F$2*100,NA()),NA())</f>
        <v/>
      </c>
      <c r="C4097" s="27">
        <f>IFERROR(IF(ISNUMBER(Datos!C4097),Datos!C4097/$F$3*100,NA()),NA())</f>
        <v/>
      </c>
    </row>
    <row r="4098">
      <c r="A4098" s="7">
        <f>IFERROR(Datos!A4098,"")</f>
        <v/>
      </c>
      <c r="B4098" s="27">
        <f>IFERROR(IF(ISNUMBER(Datos!B4098),Datos!B4098/$F$2*100,NA()),NA())</f>
        <v/>
      </c>
      <c r="C4098" s="27">
        <f>IFERROR(IF(ISNUMBER(Datos!C4098),Datos!C4098/$F$3*100,NA()),NA())</f>
        <v/>
      </c>
    </row>
    <row r="4099">
      <c r="A4099" s="7">
        <f>IFERROR(Datos!A4099,"")</f>
        <v/>
      </c>
      <c r="B4099" s="27">
        <f>IFERROR(IF(ISNUMBER(Datos!B4099),Datos!B4099/$F$2*100,NA()),NA())</f>
        <v/>
      </c>
      <c r="C4099" s="27">
        <f>IFERROR(IF(ISNUMBER(Datos!C4099),Datos!C4099/$F$3*100,NA()),NA())</f>
        <v/>
      </c>
    </row>
    <row r="4100">
      <c r="A4100" s="7">
        <f>IFERROR(Datos!A4100,"")</f>
        <v/>
      </c>
      <c r="B4100" s="27">
        <f>IFERROR(IF(ISNUMBER(Datos!B4100),Datos!B4100/$F$2*100,NA()),NA())</f>
        <v/>
      </c>
      <c r="C4100" s="27">
        <f>IFERROR(IF(ISNUMBER(Datos!C4100),Datos!C4100/$F$3*100,NA()),NA())</f>
        <v/>
      </c>
    </row>
    <row r="4101">
      <c r="A4101" s="7">
        <f>IFERROR(Datos!A4101,"")</f>
        <v/>
      </c>
      <c r="B4101" s="27">
        <f>IFERROR(IF(ISNUMBER(Datos!B4101),Datos!B4101/$F$2*100,NA()),NA())</f>
        <v/>
      </c>
      <c r="C4101" s="27">
        <f>IFERROR(IF(ISNUMBER(Datos!C4101),Datos!C4101/$F$3*100,NA()),NA())</f>
        <v/>
      </c>
    </row>
    <row r="4102">
      <c r="A4102" s="7">
        <f>IFERROR(Datos!A4102,"")</f>
        <v/>
      </c>
      <c r="B4102" s="27">
        <f>IFERROR(IF(ISNUMBER(Datos!B4102),Datos!B4102/$F$2*100,NA()),NA())</f>
        <v/>
      </c>
      <c r="C4102" s="27">
        <f>IFERROR(IF(ISNUMBER(Datos!C4102),Datos!C4102/$F$3*100,NA()),NA())</f>
        <v/>
      </c>
    </row>
    <row r="4103">
      <c r="A4103" s="7">
        <f>IFERROR(Datos!A4103,"")</f>
        <v/>
      </c>
      <c r="B4103" s="27">
        <f>IFERROR(IF(ISNUMBER(Datos!B4103),Datos!B4103/$F$2*100,NA()),NA())</f>
        <v/>
      </c>
      <c r="C4103" s="27">
        <f>IFERROR(IF(ISNUMBER(Datos!C4103),Datos!C4103/$F$3*100,NA()),NA())</f>
        <v/>
      </c>
    </row>
    <row r="4104">
      <c r="A4104" s="7">
        <f>IFERROR(Datos!A4104,"")</f>
        <v/>
      </c>
      <c r="B4104" s="27">
        <f>IFERROR(IF(ISNUMBER(Datos!B4104),Datos!B4104/$F$2*100,NA()),NA())</f>
        <v/>
      </c>
      <c r="C4104" s="27">
        <f>IFERROR(IF(ISNUMBER(Datos!C4104),Datos!C4104/$F$3*100,NA()),NA())</f>
        <v/>
      </c>
    </row>
    <row r="4105">
      <c r="A4105" s="7">
        <f>IFERROR(Datos!A4105,"")</f>
        <v/>
      </c>
      <c r="B4105" s="27">
        <f>IFERROR(IF(ISNUMBER(Datos!B4105),Datos!B4105/$F$2*100,NA()),NA())</f>
        <v/>
      </c>
      <c r="C4105" s="27">
        <f>IFERROR(IF(ISNUMBER(Datos!C4105),Datos!C4105/$F$3*100,NA()),NA())</f>
        <v/>
      </c>
    </row>
    <row r="4106">
      <c r="A4106" s="7">
        <f>IFERROR(Datos!A4106,"")</f>
        <v/>
      </c>
      <c r="B4106" s="27">
        <f>IFERROR(IF(ISNUMBER(Datos!B4106),Datos!B4106/$F$2*100,NA()),NA())</f>
        <v/>
      </c>
      <c r="C4106" s="27">
        <f>IFERROR(IF(ISNUMBER(Datos!C4106),Datos!C4106/$F$3*100,NA()),NA())</f>
        <v/>
      </c>
    </row>
    <row r="4107">
      <c r="A4107" s="7">
        <f>IFERROR(Datos!A4107,"")</f>
        <v/>
      </c>
      <c r="B4107" s="27">
        <f>IFERROR(IF(ISNUMBER(Datos!B4107),Datos!B4107/$F$2*100,NA()),NA())</f>
        <v/>
      </c>
      <c r="C4107" s="27">
        <f>IFERROR(IF(ISNUMBER(Datos!C4107),Datos!C4107/$F$3*100,NA()),NA())</f>
        <v/>
      </c>
    </row>
    <row r="4108">
      <c r="A4108" s="7">
        <f>IFERROR(Datos!A4108,"")</f>
        <v/>
      </c>
      <c r="B4108" s="27">
        <f>IFERROR(IF(ISNUMBER(Datos!B4108),Datos!B4108/$F$2*100,NA()),NA())</f>
        <v/>
      </c>
      <c r="C4108" s="27">
        <f>IFERROR(IF(ISNUMBER(Datos!C4108),Datos!C4108/$F$3*100,NA()),NA())</f>
        <v/>
      </c>
    </row>
    <row r="4109">
      <c r="A4109" s="7">
        <f>IFERROR(Datos!A4109,"")</f>
        <v/>
      </c>
      <c r="B4109" s="27">
        <f>IFERROR(IF(ISNUMBER(Datos!B4109),Datos!B4109/$F$2*100,NA()),NA())</f>
        <v/>
      </c>
      <c r="C4109" s="27">
        <f>IFERROR(IF(ISNUMBER(Datos!C4109),Datos!C4109/$F$3*100,NA()),NA())</f>
        <v/>
      </c>
    </row>
    <row r="4110">
      <c r="A4110" s="7">
        <f>IFERROR(Datos!A4110,"")</f>
        <v/>
      </c>
      <c r="B4110" s="27">
        <f>IFERROR(IF(ISNUMBER(Datos!B4110),Datos!B4110/$F$2*100,NA()),NA())</f>
        <v/>
      </c>
      <c r="C4110" s="27">
        <f>IFERROR(IF(ISNUMBER(Datos!C4110),Datos!C4110/$F$3*100,NA()),NA())</f>
        <v/>
      </c>
    </row>
    <row r="4111">
      <c r="A4111" s="7">
        <f>IFERROR(Datos!A4111,"")</f>
        <v/>
      </c>
      <c r="B4111" s="27">
        <f>IFERROR(IF(ISNUMBER(Datos!B4111),Datos!B4111/$F$2*100,NA()),NA())</f>
        <v/>
      </c>
      <c r="C4111" s="27">
        <f>IFERROR(IF(ISNUMBER(Datos!C4111),Datos!C4111/$F$3*100,NA()),NA())</f>
        <v/>
      </c>
    </row>
    <row r="4112">
      <c r="A4112" s="7">
        <f>IFERROR(Datos!A4112,"")</f>
        <v/>
      </c>
      <c r="B4112" s="27">
        <f>IFERROR(IF(ISNUMBER(Datos!B4112),Datos!B4112/$F$2*100,NA()),NA())</f>
        <v/>
      </c>
      <c r="C4112" s="27">
        <f>IFERROR(IF(ISNUMBER(Datos!C4112),Datos!C4112/$F$3*100,NA()),NA())</f>
        <v/>
      </c>
    </row>
    <row r="4113">
      <c r="A4113" s="7">
        <f>IFERROR(Datos!A4113,"")</f>
        <v/>
      </c>
      <c r="B4113" s="27">
        <f>IFERROR(IF(ISNUMBER(Datos!B4113),Datos!B4113/$F$2*100,NA()),NA())</f>
        <v/>
      </c>
      <c r="C4113" s="27">
        <f>IFERROR(IF(ISNUMBER(Datos!C4113),Datos!C4113/$F$3*100,NA()),NA())</f>
        <v/>
      </c>
    </row>
    <row r="4114">
      <c r="A4114" s="7">
        <f>IFERROR(Datos!A4114,"")</f>
        <v/>
      </c>
      <c r="B4114" s="27">
        <f>IFERROR(IF(ISNUMBER(Datos!B4114),Datos!B4114/$F$2*100,NA()),NA())</f>
        <v/>
      </c>
      <c r="C4114" s="27">
        <f>IFERROR(IF(ISNUMBER(Datos!C4114),Datos!C4114/$F$3*100,NA()),NA())</f>
        <v/>
      </c>
    </row>
    <row r="4115">
      <c r="A4115" s="7">
        <f>IFERROR(Datos!A4115,"")</f>
        <v/>
      </c>
      <c r="B4115" s="27">
        <f>IFERROR(IF(ISNUMBER(Datos!B4115),Datos!B4115/$F$2*100,NA()),NA())</f>
        <v/>
      </c>
      <c r="C4115" s="27">
        <f>IFERROR(IF(ISNUMBER(Datos!C4115),Datos!C4115/$F$3*100,NA()),NA())</f>
        <v/>
      </c>
    </row>
    <row r="4116">
      <c r="A4116" s="7">
        <f>IFERROR(Datos!A4116,"")</f>
        <v/>
      </c>
      <c r="B4116" s="27">
        <f>IFERROR(IF(ISNUMBER(Datos!B4116),Datos!B4116/$F$2*100,NA()),NA())</f>
        <v/>
      </c>
      <c r="C4116" s="27">
        <f>IFERROR(IF(ISNUMBER(Datos!C4116),Datos!C4116/$F$3*100,NA()),NA())</f>
        <v/>
      </c>
    </row>
    <row r="4117">
      <c r="A4117" s="7">
        <f>IFERROR(Datos!A4117,"")</f>
        <v/>
      </c>
      <c r="B4117" s="27">
        <f>IFERROR(IF(ISNUMBER(Datos!B4117),Datos!B4117/$F$2*100,NA()),NA())</f>
        <v/>
      </c>
      <c r="C4117" s="27">
        <f>IFERROR(IF(ISNUMBER(Datos!C4117),Datos!C4117/$F$3*100,NA()),NA())</f>
        <v/>
      </c>
    </row>
    <row r="4118">
      <c r="A4118" s="7">
        <f>IFERROR(Datos!A4118,"")</f>
        <v/>
      </c>
      <c r="B4118" s="27">
        <f>IFERROR(IF(ISNUMBER(Datos!B4118),Datos!B4118/$F$2*100,NA()),NA())</f>
        <v/>
      </c>
      <c r="C4118" s="27">
        <f>IFERROR(IF(ISNUMBER(Datos!C4118),Datos!C4118/$F$3*100,NA()),NA())</f>
        <v/>
      </c>
    </row>
    <row r="4119">
      <c r="A4119" s="7">
        <f>IFERROR(Datos!A4119,"")</f>
        <v/>
      </c>
      <c r="B4119" s="27">
        <f>IFERROR(IF(ISNUMBER(Datos!B4119),Datos!B4119/$F$2*100,NA()),NA())</f>
        <v/>
      </c>
      <c r="C4119" s="27">
        <f>IFERROR(IF(ISNUMBER(Datos!C4119),Datos!C4119/$F$3*100,NA()),NA())</f>
        <v/>
      </c>
    </row>
    <row r="4120">
      <c r="A4120" s="7">
        <f>IFERROR(Datos!A4120,"")</f>
        <v/>
      </c>
      <c r="B4120" s="27">
        <f>IFERROR(IF(ISNUMBER(Datos!B4120),Datos!B4120/$F$2*100,NA()),NA())</f>
        <v/>
      </c>
      <c r="C4120" s="27">
        <f>IFERROR(IF(ISNUMBER(Datos!C4120),Datos!C4120/$F$3*100,NA()),NA())</f>
        <v/>
      </c>
    </row>
    <row r="4121">
      <c r="A4121" s="7">
        <f>IFERROR(Datos!A4121,"")</f>
        <v/>
      </c>
      <c r="B4121" s="27">
        <f>IFERROR(IF(ISNUMBER(Datos!B4121),Datos!B4121/$F$2*100,NA()),NA())</f>
        <v/>
      </c>
      <c r="C4121" s="27">
        <f>IFERROR(IF(ISNUMBER(Datos!C4121),Datos!C4121/$F$3*100,NA()),NA())</f>
        <v/>
      </c>
    </row>
    <row r="4122">
      <c r="A4122" s="7">
        <f>IFERROR(Datos!A4122,"")</f>
        <v/>
      </c>
      <c r="B4122" s="27">
        <f>IFERROR(IF(ISNUMBER(Datos!B4122),Datos!B4122/$F$2*100,NA()),NA())</f>
        <v/>
      </c>
      <c r="C4122" s="27">
        <f>IFERROR(IF(ISNUMBER(Datos!C4122),Datos!C4122/$F$3*100,NA()),NA())</f>
        <v/>
      </c>
    </row>
    <row r="4123">
      <c r="A4123" s="7">
        <f>IFERROR(Datos!A4123,"")</f>
        <v/>
      </c>
      <c r="B4123" s="27">
        <f>IFERROR(IF(ISNUMBER(Datos!B4123),Datos!B4123/$F$2*100,NA()),NA())</f>
        <v/>
      </c>
      <c r="C4123" s="27">
        <f>IFERROR(IF(ISNUMBER(Datos!C4123),Datos!C4123/$F$3*100,NA()),NA())</f>
        <v/>
      </c>
    </row>
    <row r="4124">
      <c r="A4124" s="7">
        <f>IFERROR(Datos!A4124,"")</f>
        <v/>
      </c>
      <c r="B4124" s="27">
        <f>IFERROR(IF(ISNUMBER(Datos!B4124),Datos!B4124/$F$2*100,NA()),NA())</f>
        <v/>
      </c>
      <c r="C4124" s="27">
        <f>IFERROR(IF(ISNUMBER(Datos!C4124),Datos!C4124/$F$3*100,NA()),NA())</f>
        <v/>
      </c>
    </row>
    <row r="4125">
      <c r="A4125" s="7">
        <f>IFERROR(Datos!A4125,"")</f>
        <v/>
      </c>
      <c r="B4125" s="27">
        <f>IFERROR(IF(ISNUMBER(Datos!B4125),Datos!B4125/$F$2*100,NA()),NA())</f>
        <v/>
      </c>
      <c r="C4125" s="27">
        <f>IFERROR(IF(ISNUMBER(Datos!C4125),Datos!C4125/$F$3*100,NA()),NA())</f>
        <v/>
      </c>
    </row>
    <row r="4126">
      <c r="A4126" s="7">
        <f>IFERROR(Datos!A4126,"")</f>
        <v/>
      </c>
      <c r="B4126" s="27">
        <f>IFERROR(IF(ISNUMBER(Datos!B4126),Datos!B4126/$F$2*100,NA()),NA())</f>
        <v/>
      </c>
      <c r="C4126" s="27">
        <f>IFERROR(IF(ISNUMBER(Datos!C4126),Datos!C4126/$F$3*100,NA()),NA())</f>
        <v/>
      </c>
    </row>
    <row r="4127">
      <c r="A4127" s="7">
        <f>IFERROR(Datos!A4127,"")</f>
        <v/>
      </c>
      <c r="B4127" s="27">
        <f>IFERROR(IF(ISNUMBER(Datos!B4127),Datos!B4127/$F$2*100,NA()),NA())</f>
        <v/>
      </c>
      <c r="C4127" s="27">
        <f>IFERROR(IF(ISNUMBER(Datos!C4127),Datos!C4127/$F$3*100,NA()),NA())</f>
        <v/>
      </c>
    </row>
    <row r="4128">
      <c r="A4128" s="7">
        <f>IFERROR(Datos!A4128,"")</f>
        <v/>
      </c>
      <c r="B4128" s="27">
        <f>IFERROR(IF(ISNUMBER(Datos!B4128),Datos!B4128/$F$2*100,NA()),NA())</f>
        <v/>
      </c>
      <c r="C4128" s="27">
        <f>IFERROR(IF(ISNUMBER(Datos!C4128),Datos!C4128/$F$3*100,NA()),NA())</f>
        <v/>
      </c>
    </row>
    <row r="4129">
      <c r="A4129" s="7">
        <f>IFERROR(Datos!A4129,"")</f>
        <v/>
      </c>
      <c r="B4129" s="27">
        <f>IFERROR(IF(ISNUMBER(Datos!B4129),Datos!B4129/$F$2*100,NA()),NA())</f>
        <v/>
      </c>
      <c r="C4129" s="27">
        <f>IFERROR(IF(ISNUMBER(Datos!C4129),Datos!C4129/$F$3*100,NA()),NA())</f>
        <v/>
      </c>
    </row>
    <row r="4130">
      <c r="A4130" s="7">
        <f>IFERROR(Datos!A4130,"")</f>
        <v/>
      </c>
      <c r="B4130" s="27">
        <f>IFERROR(IF(ISNUMBER(Datos!B4130),Datos!B4130/$F$2*100,NA()),NA())</f>
        <v/>
      </c>
      <c r="C4130" s="27">
        <f>IFERROR(IF(ISNUMBER(Datos!C4130),Datos!C4130/$F$3*100,NA()),NA())</f>
        <v/>
      </c>
    </row>
    <row r="4131">
      <c r="A4131" s="7">
        <f>IFERROR(Datos!A4131,"")</f>
        <v/>
      </c>
      <c r="B4131" s="27">
        <f>IFERROR(IF(ISNUMBER(Datos!B4131),Datos!B4131/$F$2*100,NA()),NA())</f>
        <v/>
      </c>
      <c r="C4131" s="27">
        <f>IFERROR(IF(ISNUMBER(Datos!C4131),Datos!C4131/$F$3*100,NA()),NA())</f>
        <v/>
      </c>
    </row>
    <row r="4132">
      <c r="A4132" s="7">
        <f>IFERROR(Datos!A4132,"")</f>
        <v/>
      </c>
      <c r="B4132" s="27">
        <f>IFERROR(IF(ISNUMBER(Datos!B4132),Datos!B4132/$F$2*100,NA()),NA())</f>
        <v/>
      </c>
      <c r="C4132" s="27">
        <f>IFERROR(IF(ISNUMBER(Datos!C4132),Datos!C4132/$F$3*100,NA()),NA())</f>
        <v/>
      </c>
    </row>
    <row r="4133">
      <c r="A4133" s="7">
        <f>IFERROR(Datos!A4133,"")</f>
        <v/>
      </c>
      <c r="B4133" s="27">
        <f>IFERROR(IF(ISNUMBER(Datos!B4133),Datos!B4133/$F$2*100,NA()),NA())</f>
        <v/>
      </c>
      <c r="C4133" s="27">
        <f>IFERROR(IF(ISNUMBER(Datos!C4133),Datos!C4133/$F$3*100,NA()),NA())</f>
        <v/>
      </c>
    </row>
    <row r="4134">
      <c r="A4134" s="7">
        <f>IFERROR(Datos!A4134,"")</f>
        <v/>
      </c>
      <c r="B4134" s="27">
        <f>IFERROR(IF(ISNUMBER(Datos!B4134),Datos!B4134/$F$2*100,NA()),NA())</f>
        <v/>
      </c>
      <c r="C4134" s="27">
        <f>IFERROR(IF(ISNUMBER(Datos!C4134),Datos!C4134/$F$3*100,NA()),NA())</f>
        <v/>
      </c>
    </row>
    <row r="4135">
      <c r="A4135" s="7">
        <f>IFERROR(Datos!A4135,"")</f>
        <v/>
      </c>
      <c r="B4135" s="27">
        <f>IFERROR(IF(ISNUMBER(Datos!B4135),Datos!B4135/$F$2*100,NA()),NA())</f>
        <v/>
      </c>
      <c r="C4135" s="27">
        <f>IFERROR(IF(ISNUMBER(Datos!C4135),Datos!C4135/$F$3*100,NA()),NA())</f>
        <v/>
      </c>
    </row>
    <row r="4136">
      <c r="A4136" s="7">
        <f>IFERROR(Datos!A4136,"")</f>
        <v/>
      </c>
      <c r="B4136" s="27">
        <f>IFERROR(IF(ISNUMBER(Datos!B4136),Datos!B4136/$F$2*100,NA()),NA())</f>
        <v/>
      </c>
      <c r="C4136" s="27">
        <f>IFERROR(IF(ISNUMBER(Datos!C4136),Datos!C4136/$F$3*100,NA()),NA())</f>
        <v/>
      </c>
    </row>
    <row r="4137">
      <c r="A4137" s="7">
        <f>IFERROR(Datos!A4137,"")</f>
        <v/>
      </c>
      <c r="B4137" s="27">
        <f>IFERROR(IF(ISNUMBER(Datos!B4137),Datos!B4137/$F$2*100,NA()),NA())</f>
        <v/>
      </c>
      <c r="C4137" s="27">
        <f>IFERROR(IF(ISNUMBER(Datos!C4137),Datos!C4137/$F$3*100,NA()),NA())</f>
        <v/>
      </c>
    </row>
    <row r="4138">
      <c r="A4138" s="7">
        <f>IFERROR(Datos!A4138,"")</f>
        <v/>
      </c>
      <c r="B4138" s="27">
        <f>IFERROR(IF(ISNUMBER(Datos!B4138),Datos!B4138/$F$2*100,NA()),NA())</f>
        <v/>
      </c>
      <c r="C4138" s="27">
        <f>IFERROR(IF(ISNUMBER(Datos!C4138),Datos!C4138/$F$3*100,NA()),NA())</f>
        <v/>
      </c>
    </row>
    <row r="4139">
      <c r="A4139" s="7">
        <f>IFERROR(Datos!A4139,"")</f>
        <v/>
      </c>
      <c r="B4139" s="27">
        <f>IFERROR(IF(ISNUMBER(Datos!B4139),Datos!B4139/$F$2*100,NA()),NA())</f>
        <v/>
      </c>
      <c r="C4139" s="27">
        <f>IFERROR(IF(ISNUMBER(Datos!C4139),Datos!C4139/$F$3*100,NA()),NA())</f>
        <v/>
      </c>
    </row>
    <row r="4140">
      <c r="A4140" s="7">
        <f>IFERROR(Datos!A4140,"")</f>
        <v/>
      </c>
      <c r="B4140" s="27">
        <f>IFERROR(IF(ISNUMBER(Datos!B4140),Datos!B4140/$F$2*100,NA()),NA())</f>
        <v/>
      </c>
      <c r="C4140" s="27">
        <f>IFERROR(IF(ISNUMBER(Datos!C4140),Datos!C4140/$F$3*100,NA()),NA())</f>
        <v/>
      </c>
    </row>
    <row r="4141">
      <c r="A4141" s="7">
        <f>IFERROR(Datos!A4141,"")</f>
        <v/>
      </c>
      <c r="B4141" s="27">
        <f>IFERROR(IF(ISNUMBER(Datos!B4141),Datos!B4141/$F$2*100,NA()),NA())</f>
        <v/>
      </c>
      <c r="C4141" s="27">
        <f>IFERROR(IF(ISNUMBER(Datos!C4141),Datos!C4141/$F$3*100,NA()),NA())</f>
        <v/>
      </c>
    </row>
    <row r="4142">
      <c r="A4142" s="7">
        <f>IFERROR(Datos!A4142,"")</f>
        <v/>
      </c>
      <c r="B4142" s="27">
        <f>IFERROR(IF(ISNUMBER(Datos!B4142),Datos!B4142/$F$2*100,NA()),NA())</f>
        <v/>
      </c>
      <c r="C4142" s="27">
        <f>IFERROR(IF(ISNUMBER(Datos!C4142),Datos!C4142/$F$3*100,NA()),NA())</f>
        <v/>
      </c>
    </row>
    <row r="4143">
      <c r="A4143" s="7">
        <f>IFERROR(Datos!A4143,"")</f>
        <v/>
      </c>
      <c r="B4143" s="27">
        <f>IFERROR(IF(ISNUMBER(Datos!B4143),Datos!B4143/$F$2*100,NA()),NA())</f>
        <v/>
      </c>
      <c r="C4143" s="27">
        <f>IFERROR(IF(ISNUMBER(Datos!C4143),Datos!C4143/$F$3*100,NA()),NA())</f>
        <v/>
      </c>
    </row>
    <row r="4144">
      <c r="A4144" s="7">
        <f>IFERROR(Datos!A4144,"")</f>
        <v/>
      </c>
      <c r="B4144" s="27">
        <f>IFERROR(IF(ISNUMBER(Datos!B4144),Datos!B4144/$F$2*100,NA()),NA())</f>
        <v/>
      </c>
      <c r="C4144" s="27">
        <f>IFERROR(IF(ISNUMBER(Datos!C4144),Datos!C4144/$F$3*100,NA()),NA())</f>
        <v/>
      </c>
    </row>
    <row r="4145">
      <c r="A4145" s="7">
        <f>IFERROR(Datos!A4145,"")</f>
        <v/>
      </c>
      <c r="B4145" s="27">
        <f>IFERROR(IF(ISNUMBER(Datos!B4145),Datos!B4145/$F$2*100,NA()),NA())</f>
        <v/>
      </c>
      <c r="C4145" s="27">
        <f>IFERROR(IF(ISNUMBER(Datos!C4145),Datos!C4145/$F$3*100,NA()),NA())</f>
        <v/>
      </c>
    </row>
    <row r="4146">
      <c r="A4146" s="7">
        <f>IFERROR(Datos!A4146,"")</f>
        <v/>
      </c>
      <c r="B4146" s="27">
        <f>IFERROR(IF(ISNUMBER(Datos!B4146),Datos!B4146/$F$2*100,NA()),NA())</f>
        <v/>
      </c>
      <c r="C4146" s="27">
        <f>IFERROR(IF(ISNUMBER(Datos!C4146),Datos!C4146/$F$3*100,NA()),NA())</f>
        <v/>
      </c>
    </row>
    <row r="4147">
      <c r="A4147" s="7">
        <f>IFERROR(Datos!A4147,"")</f>
        <v/>
      </c>
      <c r="B4147" s="27">
        <f>IFERROR(IF(ISNUMBER(Datos!B4147),Datos!B4147/$F$2*100,NA()),NA())</f>
        <v/>
      </c>
      <c r="C4147" s="27">
        <f>IFERROR(IF(ISNUMBER(Datos!C4147),Datos!C4147/$F$3*100,NA()),NA())</f>
        <v/>
      </c>
    </row>
    <row r="4148">
      <c r="A4148" s="7">
        <f>IFERROR(Datos!A4148,"")</f>
        <v/>
      </c>
      <c r="B4148" s="27">
        <f>IFERROR(IF(ISNUMBER(Datos!B4148),Datos!B4148/$F$2*100,NA()),NA())</f>
        <v/>
      </c>
      <c r="C4148" s="27">
        <f>IFERROR(IF(ISNUMBER(Datos!C4148),Datos!C4148/$F$3*100,NA()),NA())</f>
        <v/>
      </c>
    </row>
    <row r="4149">
      <c r="A4149" s="7">
        <f>IFERROR(Datos!A4149,"")</f>
        <v/>
      </c>
      <c r="B4149" s="27">
        <f>IFERROR(IF(ISNUMBER(Datos!B4149),Datos!B4149/$F$2*100,NA()),NA())</f>
        <v/>
      </c>
      <c r="C4149" s="27">
        <f>IFERROR(IF(ISNUMBER(Datos!C4149),Datos!C4149/$F$3*100,NA()),NA())</f>
        <v/>
      </c>
    </row>
    <row r="4150">
      <c r="A4150" s="7">
        <f>IFERROR(Datos!A4150,"")</f>
        <v/>
      </c>
      <c r="B4150" s="27">
        <f>IFERROR(IF(ISNUMBER(Datos!B4150),Datos!B4150/$F$2*100,NA()),NA())</f>
        <v/>
      </c>
      <c r="C4150" s="27">
        <f>IFERROR(IF(ISNUMBER(Datos!C4150),Datos!C4150/$F$3*100,NA()),NA())</f>
        <v/>
      </c>
    </row>
    <row r="4151">
      <c r="A4151" s="7">
        <f>IFERROR(Datos!A4151,"")</f>
        <v/>
      </c>
      <c r="B4151" s="27">
        <f>IFERROR(IF(ISNUMBER(Datos!B4151),Datos!B4151/$F$2*100,NA()),NA())</f>
        <v/>
      </c>
      <c r="C4151" s="27">
        <f>IFERROR(IF(ISNUMBER(Datos!C4151),Datos!C4151/$F$3*100,NA()),NA())</f>
        <v/>
      </c>
    </row>
    <row r="4152">
      <c r="A4152" s="7">
        <f>IFERROR(Datos!A4152,"")</f>
        <v/>
      </c>
      <c r="B4152" s="27">
        <f>IFERROR(IF(ISNUMBER(Datos!B4152),Datos!B4152/$F$2*100,NA()),NA())</f>
        <v/>
      </c>
      <c r="C4152" s="27">
        <f>IFERROR(IF(ISNUMBER(Datos!C4152),Datos!C4152/$F$3*100,NA()),NA())</f>
        <v/>
      </c>
    </row>
    <row r="4153">
      <c r="A4153" s="7">
        <f>IFERROR(Datos!A4153,"")</f>
        <v/>
      </c>
      <c r="B4153" s="27">
        <f>IFERROR(IF(ISNUMBER(Datos!B4153),Datos!B4153/$F$2*100,NA()),NA())</f>
        <v/>
      </c>
      <c r="C4153" s="27">
        <f>IFERROR(IF(ISNUMBER(Datos!C4153),Datos!C4153/$F$3*100,NA()),NA())</f>
        <v/>
      </c>
    </row>
    <row r="4154">
      <c r="A4154" s="7">
        <f>IFERROR(Datos!A4154,"")</f>
        <v/>
      </c>
      <c r="B4154" s="27">
        <f>IFERROR(IF(ISNUMBER(Datos!B4154),Datos!B4154/$F$2*100,NA()),NA())</f>
        <v/>
      </c>
      <c r="C4154" s="27">
        <f>IFERROR(IF(ISNUMBER(Datos!C4154),Datos!C4154/$F$3*100,NA()),NA())</f>
        <v/>
      </c>
    </row>
    <row r="4155">
      <c r="A4155" s="7">
        <f>IFERROR(Datos!A4155,"")</f>
        <v/>
      </c>
      <c r="B4155" s="27">
        <f>IFERROR(IF(ISNUMBER(Datos!B4155),Datos!B4155/$F$2*100,NA()),NA())</f>
        <v/>
      </c>
      <c r="C4155" s="27">
        <f>IFERROR(IF(ISNUMBER(Datos!C4155),Datos!C4155/$F$3*100,NA()),NA())</f>
        <v/>
      </c>
    </row>
    <row r="4156">
      <c r="A4156" s="7">
        <f>IFERROR(Datos!A4156,"")</f>
        <v/>
      </c>
      <c r="B4156" s="27">
        <f>IFERROR(IF(ISNUMBER(Datos!B4156),Datos!B4156/$F$2*100,NA()),NA())</f>
        <v/>
      </c>
      <c r="C4156" s="27">
        <f>IFERROR(IF(ISNUMBER(Datos!C4156),Datos!C4156/$F$3*100,NA()),NA())</f>
        <v/>
      </c>
    </row>
    <row r="4157">
      <c r="A4157" s="7">
        <f>IFERROR(Datos!A4157,"")</f>
        <v/>
      </c>
      <c r="B4157" s="27">
        <f>IFERROR(IF(ISNUMBER(Datos!B4157),Datos!B4157/$F$2*100,NA()),NA())</f>
        <v/>
      </c>
      <c r="C4157" s="27">
        <f>IFERROR(IF(ISNUMBER(Datos!C4157),Datos!C4157/$F$3*100,NA()),NA())</f>
        <v/>
      </c>
    </row>
    <row r="4158">
      <c r="A4158" s="7">
        <f>IFERROR(Datos!A4158,"")</f>
        <v/>
      </c>
      <c r="B4158" s="27">
        <f>IFERROR(IF(ISNUMBER(Datos!B4158),Datos!B4158/$F$2*100,NA()),NA())</f>
        <v/>
      </c>
      <c r="C4158" s="27">
        <f>IFERROR(IF(ISNUMBER(Datos!C4158),Datos!C4158/$F$3*100,NA()),NA())</f>
        <v/>
      </c>
    </row>
    <row r="4159">
      <c r="A4159" s="7">
        <f>IFERROR(Datos!A4159,"")</f>
        <v/>
      </c>
      <c r="B4159" s="27">
        <f>IFERROR(IF(ISNUMBER(Datos!B4159),Datos!B4159/$F$2*100,NA()),NA())</f>
        <v/>
      </c>
      <c r="C4159" s="27">
        <f>IFERROR(IF(ISNUMBER(Datos!C4159),Datos!C4159/$F$3*100,NA()),NA())</f>
        <v/>
      </c>
    </row>
    <row r="4160">
      <c r="A4160" s="7">
        <f>IFERROR(Datos!A4160,"")</f>
        <v/>
      </c>
      <c r="B4160" s="27">
        <f>IFERROR(IF(ISNUMBER(Datos!B4160),Datos!B4160/$F$2*100,NA()),NA())</f>
        <v/>
      </c>
      <c r="C4160" s="27">
        <f>IFERROR(IF(ISNUMBER(Datos!C4160),Datos!C4160/$F$3*100,NA()),NA())</f>
        <v/>
      </c>
    </row>
    <row r="4161">
      <c r="A4161" s="7">
        <f>IFERROR(Datos!A4161,"")</f>
        <v/>
      </c>
      <c r="B4161" s="27">
        <f>IFERROR(IF(ISNUMBER(Datos!B4161),Datos!B4161/$F$2*100,NA()),NA())</f>
        <v/>
      </c>
      <c r="C4161" s="27">
        <f>IFERROR(IF(ISNUMBER(Datos!C4161),Datos!C4161/$F$3*100,NA()),NA())</f>
        <v/>
      </c>
    </row>
    <row r="4162">
      <c r="A4162" s="7">
        <f>IFERROR(Datos!A4162,"")</f>
        <v/>
      </c>
      <c r="B4162" s="27">
        <f>IFERROR(IF(ISNUMBER(Datos!B4162),Datos!B4162/$F$2*100,NA()),NA())</f>
        <v/>
      </c>
      <c r="C4162" s="27">
        <f>IFERROR(IF(ISNUMBER(Datos!C4162),Datos!C4162/$F$3*100,NA()),NA())</f>
        <v/>
      </c>
    </row>
    <row r="4163">
      <c r="A4163" s="7">
        <f>IFERROR(Datos!A4163,"")</f>
        <v/>
      </c>
      <c r="B4163" s="27">
        <f>IFERROR(IF(ISNUMBER(Datos!B4163),Datos!B4163/$F$2*100,NA()),NA())</f>
        <v/>
      </c>
      <c r="C4163" s="27">
        <f>IFERROR(IF(ISNUMBER(Datos!C4163),Datos!C4163/$F$3*100,NA()),NA())</f>
        <v/>
      </c>
    </row>
    <row r="4164">
      <c r="A4164" s="7">
        <f>IFERROR(Datos!A4164,"")</f>
        <v/>
      </c>
      <c r="B4164" s="27">
        <f>IFERROR(IF(ISNUMBER(Datos!B4164),Datos!B4164/$F$2*100,NA()),NA())</f>
        <v/>
      </c>
      <c r="C4164" s="27">
        <f>IFERROR(IF(ISNUMBER(Datos!C4164),Datos!C4164/$F$3*100,NA()),NA())</f>
        <v/>
      </c>
    </row>
    <row r="4165">
      <c r="A4165" s="7">
        <f>IFERROR(Datos!A4165,"")</f>
        <v/>
      </c>
      <c r="B4165" s="27">
        <f>IFERROR(IF(ISNUMBER(Datos!B4165),Datos!B4165/$F$2*100,NA()),NA())</f>
        <v/>
      </c>
      <c r="C4165" s="27">
        <f>IFERROR(IF(ISNUMBER(Datos!C4165),Datos!C4165/$F$3*100,NA()),NA())</f>
        <v/>
      </c>
    </row>
    <row r="4166">
      <c r="A4166" s="7">
        <f>IFERROR(Datos!A4166,"")</f>
        <v/>
      </c>
      <c r="B4166" s="27">
        <f>IFERROR(IF(ISNUMBER(Datos!B4166),Datos!B4166/$F$2*100,NA()),NA())</f>
        <v/>
      </c>
      <c r="C4166" s="27">
        <f>IFERROR(IF(ISNUMBER(Datos!C4166),Datos!C4166/$F$3*100,NA()),NA())</f>
        <v/>
      </c>
    </row>
    <row r="4167">
      <c r="A4167" s="7">
        <f>IFERROR(Datos!A4167,"")</f>
        <v/>
      </c>
      <c r="B4167" s="27">
        <f>IFERROR(IF(ISNUMBER(Datos!B4167),Datos!B4167/$F$2*100,NA()),NA())</f>
        <v/>
      </c>
      <c r="C4167" s="27">
        <f>IFERROR(IF(ISNUMBER(Datos!C4167),Datos!C4167/$F$3*100,NA()),NA())</f>
        <v/>
      </c>
    </row>
    <row r="4168">
      <c r="A4168" s="7">
        <f>IFERROR(Datos!A4168,"")</f>
        <v/>
      </c>
      <c r="B4168" s="27">
        <f>IFERROR(IF(ISNUMBER(Datos!B4168),Datos!B4168/$F$2*100,NA()),NA())</f>
        <v/>
      </c>
      <c r="C4168" s="27">
        <f>IFERROR(IF(ISNUMBER(Datos!C4168),Datos!C4168/$F$3*100,NA()),NA())</f>
        <v/>
      </c>
    </row>
    <row r="4169">
      <c r="A4169" s="7">
        <f>IFERROR(Datos!A4169,"")</f>
        <v/>
      </c>
      <c r="B4169" s="27">
        <f>IFERROR(IF(ISNUMBER(Datos!B4169),Datos!B4169/$F$2*100,NA()),NA())</f>
        <v/>
      </c>
      <c r="C4169" s="27">
        <f>IFERROR(IF(ISNUMBER(Datos!C4169),Datos!C4169/$F$3*100,NA()),NA())</f>
        <v/>
      </c>
    </row>
    <row r="4170">
      <c r="A4170" s="7">
        <f>IFERROR(Datos!A4170,"")</f>
        <v/>
      </c>
      <c r="B4170" s="27">
        <f>IFERROR(IF(ISNUMBER(Datos!B4170),Datos!B4170/$F$2*100,NA()),NA())</f>
        <v/>
      </c>
      <c r="C4170" s="27">
        <f>IFERROR(IF(ISNUMBER(Datos!C4170),Datos!C4170/$F$3*100,NA()),NA())</f>
        <v/>
      </c>
    </row>
    <row r="4171">
      <c r="A4171" s="7">
        <f>IFERROR(Datos!A4171,"")</f>
        <v/>
      </c>
      <c r="B4171" s="27">
        <f>IFERROR(IF(ISNUMBER(Datos!B4171),Datos!B4171/$F$2*100,NA()),NA())</f>
        <v/>
      </c>
      <c r="C4171" s="27">
        <f>IFERROR(IF(ISNUMBER(Datos!C4171),Datos!C4171/$F$3*100,NA()),NA())</f>
        <v/>
      </c>
    </row>
    <row r="4172">
      <c r="A4172" s="7">
        <f>IFERROR(Datos!A4172,"")</f>
        <v/>
      </c>
      <c r="B4172" s="27">
        <f>IFERROR(IF(ISNUMBER(Datos!B4172),Datos!B4172/$F$2*100,NA()),NA())</f>
        <v/>
      </c>
      <c r="C4172" s="27">
        <f>IFERROR(IF(ISNUMBER(Datos!C4172),Datos!C4172/$F$3*100,NA()),NA())</f>
        <v/>
      </c>
    </row>
    <row r="4173">
      <c r="A4173" s="7">
        <f>IFERROR(Datos!A4173,"")</f>
        <v/>
      </c>
      <c r="B4173" s="27">
        <f>IFERROR(IF(ISNUMBER(Datos!B4173),Datos!B4173/$F$2*100,NA()),NA())</f>
        <v/>
      </c>
      <c r="C4173" s="27">
        <f>IFERROR(IF(ISNUMBER(Datos!C4173),Datos!C4173/$F$3*100,NA()),NA())</f>
        <v/>
      </c>
    </row>
    <row r="4174">
      <c r="A4174" s="7">
        <f>IFERROR(Datos!A4174,"")</f>
        <v/>
      </c>
      <c r="B4174" s="27">
        <f>IFERROR(IF(ISNUMBER(Datos!B4174),Datos!B4174/$F$2*100,NA()),NA())</f>
        <v/>
      </c>
      <c r="C4174" s="27">
        <f>IFERROR(IF(ISNUMBER(Datos!C4174),Datos!C4174/$F$3*100,NA()),NA())</f>
        <v/>
      </c>
    </row>
    <row r="4175">
      <c r="A4175" s="7">
        <f>IFERROR(Datos!A4175,"")</f>
        <v/>
      </c>
      <c r="B4175" s="27">
        <f>IFERROR(IF(ISNUMBER(Datos!B4175),Datos!B4175/$F$2*100,NA()),NA())</f>
        <v/>
      </c>
      <c r="C4175" s="27">
        <f>IFERROR(IF(ISNUMBER(Datos!C4175),Datos!C4175/$F$3*100,NA()),NA())</f>
        <v/>
      </c>
    </row>
    <row r="4176">
      <c r="A4176" s="7">
        <f>IFERROR(Datos!A4176,"")</f>
        <v/>
      </c>
      <c r="B4176" s="27">
        <f>IFERROR(IF(ISNUMBER(Datos!B4176),Datos!B4176/$F$2*100,NA()),NA())</f>
        <v/>
      </c>
      <c r="C4176" s="27">
        <f>IFERROR(IF(ISNUMBER(Datos!C4176),Datos!C4176/$F$3*100,NA()),NA())</f>
        <v/>
      </c>
    </row>
    <row r="4177">
      <c r="A4177" s="7">
        <f>IFERROR(Datos!A4177,"")</f>
        <v/>
      </c>
      <c r="B4177" s="27">
        <f>IFERROR(IF(ISNUMBER(Datos!B4177),Datos!B4177/$F$2*100,NA()),NA())</f>
        <v/>
      </c>
      <c r="C4177" s="27">
        <f>IFERROR(IF(ISNUMBER(Datos!C4177),Datos!C4177/$F$3*100,NA()),NA())</f>
        <v/>
      </c>
    </row>
    <row r="4178">
      <c r="A4178" s="7">
        <f>IFERROR(Datos!A4178,"")</f>
        <v/>
      </c>
      <c r="B4178" s="27">
        <f>IFERROR(IF(ISNUMBER(Datos!B4178),Datos!B4178/$F$2*100,NA()),NA())</f>
        <v/>
      </c>
      <c r="C4178" s="27">
        <f>IFERROR(IF(ISNUMBER(Datos!C4178),Datos!C4178/$F$3*100,NA()),NA())</f>
        <v/>
      </c>
    </row>
    <row r="4179">
      <c r="A4179" s="7">
        <f>IFERROR(Datos!A4179,"")</f>
        <v/>
      </c>
      <c r="B4179" s="27">
        <f>IFERROR(IF(ISNUMBER(Datos!B4179),Datos!B4179/$F$2*100,NA()),NA())</f>
        <v/>
      </c>
      <c r="C4179" s="27">
        <f>IFERROR(IF(ISNUMBER(Datos!C4179),Datos!C4179/$F$3*100,NA()),NA())</f>
        <v/>
      </c>
    </row>
    <row r="4180">
      <c r="A4180" s="7">
        <f>IFERROR(Datos!A4180,"")</f>
        <v/>
      </c>
      <c r="B4180" s="27">
        <f>IFERROR(IF(ISNUMBER(Datos!B4180),Datos!B4180/$F$2*100,NA()),NA())</f>
        <v/>
      </c>
      <c r="C4180" s="27">
        <f>IFERROR(IF(ISNUMBER(Datos!C4180),Datos!C4180/$F$3*100,NA()),NA())</f>
        <v/>
      </c>
    </row>
    <row r="4181">
      <c r="A4181" s="7">
        <f>IFERROR(Datos!A4181,"")</f>
        <v/>
      </c>
      <c r="B4181" s="27">
        <f>IFERROR(IF(ISNUMBER(Datos!B4181),Datos!B4181/$F$2*100,NA()),NA())</f>
        <v/>
      </c>
      <c r="C4181" s="27">
        <f>IFERROR(IF(ISNUMBER(Datos!C4181),Datos!C4181/$F$3*100,NA()),NA())</f>
        <v/>
      </c>
    </row>
    <row r="4182">
      <c r="A4182" s="7">
        <f>IFERROR(Datos!A4182,"")</f>
        <v/>
      </c>
      <c r="B4182" s="27">
        <f>IFERROR(IF(ISNUMBER(Datos!B4182),Datos!B4182/$F$2*100,NA()),NA())</f>
        <v/>
      </c>
      <c r="C4182" s="27">
        <f>IFERROR(IF(ISNUMBER(Datos!C4182),Datos!C4182/$F$3*100,NA()),NA())</f>
        <v/>
      </c>
    </row>
    <row r="4183">
      <c r="A4183" s="7">
        <f>IFERROR(Datos!A4183,"")</f>
        <v/>
      </c>
      <c r="B4183" s="27">
        <f>IFERROR(IF(ISNUMBER(Datos!B4183),Datos!B4183/$F$2*100,NA()),NA())</f>
        <v/>
      </c>
      <c r="C4183" s="27">
        <f>IFERROR(IF(ISNUMBER(Datos!C4183),Datos!C4183/$F$3*100,NA()),NA())</f>
        <v/>
      </c>
    </row>
    <row r="4184">
      <c r="A4184" s="7">
        <f>IFERROR(Datos!A4184,"")</f>
        <v/>
      </c>
      <c r="B4184" s="27">
        <f>IFERROR(IF(ISNUMBER(Datos!B4184),Datos!B4184/$F$2*100,NA()),NA())</f>
        <v/>
      </c>
      <c r="C4184" s="27">
        <f>IFERROR(IF(ISNUMBER(Datos!C4184),Datos!C4184/$F$3*100,NA()),NA())</f>
        <v/>
      </c>
    </row>
    <row r="4185">
      <c r="A4185" s="7">
        <f>IFERROR(Datos!A4185,"")</f>
        <v/>
      </c>
      <c r="B4185" s="27">
        <f>IFERROR(IF(ISNUMBER(Datos!B4185),Datos!B4185/$F$2*100,NA()),NA())</f>
        <v/>
      </c>
      <c r="C4185" s="27">
        <f>IFERROR(IF(ISNUMBER(Datos!C4185),Datos!C4185/$F$3*100,NA()),NA())</f>
        <v/>
      </c>
    </row>
    <row r="4186">
      <c r="A4186" s="7">
        <f>IFERROR(Datos!A4186,"")</f>
        <v/>
      </c>
      <c r="B4186" s="27">
        <f>IFERROR(IF(ISNUMBER(Datos!B4186),Datos!B4186/$F$2*100,NA()),NA())</f>
        <v/>
      </c>
      <c r="C4186" s="27">
        <f>IFERROR(IF(ISNUMBER(Datos!C4186),Datos!C4186/$F$3*100,NA()),NA())</f>
        <v/>
      </c>
    </row>
    <row r="4187">
      <c r="A4187" s="7">
        <f>IFERROR(Datos!A4187,"")</f>
        <v/>
      </c>
      <c r="B4187" s="27">
        <f>IFERROR(IF(ISNUMBER(Datos!B4187),Datos!B4187/$F$2*100,NA()),NA())</f>
        <v/>
      </c>
      <c r="C4187" s="27">
        <f>IFERROR(IF(ISNUMBER(Datos!C4187),Datos!C4187/$F$3*100,NA()),NA())</f>
        <v/>
      </c>
    </row>
    <row r="4188">
      <c r="A4188" s="7">
        <f>IFERROR(Datos!A4188,"")</f>
        <v/>
      </c>
      <c r="B4188" s="27">
        <f>IFERROR(IF(ISNUMBER(Datos!B4188),Datos!B4188/$F$2*100,NA()),NA())</f>
        <v/>
      </c>
      <c r="C4188" s="27">
        <f>IFERROR(IF(ISNUMBER(Datos!C4188),Datos!C4188/$F$3*100,NA()),NA())</f>
        <v/>
      </c>
    </row>
    <row r="4189">
      <c r="A4189" s="7">
        <f>IFERROR(Datos!A4189,"")</f>
        <v/>
      </c>
      <c r="B4189" s="27">
        <f>IFERROR(IF(ISNUMBER(Datos!B4189),Datos!B4189/$F$2*100,NA()),NA())</f>
        <v/>
      </c>
      <c r="C4189" s="27">
        <f>IFERROR(IF(ISNUMBER(Datos!C4189),Datos!C4189/$F$3*100,NA()),NA())</f>
        <v/>
      </c>
    </row>
    <row r="4190">
      <c r="A4190" s="7">
        <f>IFERROR(Datos!A4190,"")</f>
        <v/>
      </c>
      <c r="B4190" s="27">
        <f>IFERROR(IF(ISNUMBER(Datos!B4190),Datos!B4190/$F$2*100,NA()),NA())</f>
        <v/>
      </c>
      <c r="C4190" s="27">
        <f>IFERROR(IF(ISNUMBER(Datos!C4190),Datos!C4190/$F$3*100,NA()),NA())</f>
        <v/>
      </c>
    </row>
    <row r="4191">
      <c r="A4191" s="7">
        <f>IFERROR(Datos!A4191,"")</f>
        <v/>
      </c>
      <c r="B4191" s="27">
        <f>IFERROR(IF(ISNUMBER(Datos!B4191),Datos!B4191/$F$2*100,NA()),NA())</f>
        <v/>
      </c>
      <c r="C4191" s="27">
        <f>IFERROR(IF(ISNUMBER(Datos!C4191),Datos!C4191/$F$3*100,NA()),NA())</f>
        <v/>
      </c>
    </row>
    <row r="4192">
      <c r="A4192" s="7">
        <f>IFERROR(Datos!A4192,"")</f>
        <v/>
      </c>
      <c r="B4192" s="27">
        <f>IFERROR(IF(ISNUMBER(Datos!B4192),Datos!B4192/$F$2*100,NA()),NA())</f>
        <v/>
      </c>
      <c r="C4192" s="27">
        <f>IFERROR(IF(ISNUMBER(Datos!C4192),Datos!C4192/$F$3*100,NA()),NA())</f>
        <v/>
      </c>
    </row>
    <row r="4193">
      <c r="A4193" s="7">
        <f>IFERROR(Datos!A4193,"")</f>
        <v/>
      </c>
      <c r="B4193" s="27">
        <f>IFERROR(IF(ISNUMBER(Datos!B4193),Datos!B4193/$F$2*100,NA()),NA())</f>
        <v/>
      </c>
      <c r="C4193" s="27">
        <f>IFERROR(IF(ISNUMBER(Datos!C4193),Datos!C4193/$F$3*100,NA()),NA())</f>
        <v/>
      </c>
    </row>
    <row r="4194">
      <c r="A4194" s="7">
        <f>IFERROR(Datos!A4194,"")</f>
        <v/>
      </c>
      <c r="B4194" s="27">
        <f>IFERROR(IF(ISNUMBER(Datos!B4194),Datos!B4194/$F$2*100,NA()),NA())</f>
        <v/>
      </c>
      <c r="C4194" s="27">
        <f>IFERROR(IF(ISNUMBER(Datos!C4194),Datos!C4194/$F$3*100,NA()),NA())</f>
        <v/>
      </c>
    </row>
    <row r="4195">
      <c r="A4195" s="7">
        <f>IFERROR(Datos!A4195,"")</f>
        <v/>
      </c>
      <c r="B4195" s="27">
        <f>IFERROR(IF(ISNUMBER(Datos!B4195),Datos!B4195/$F$2*100,NA()),NA())</f>
        <v/>
      </c>
      <c r="C4195" s="27">
        <f>IFERROR(IF(ISNUMBER(Datos!C4195),Datos!C4195/$F$3*100,NA()),NA())</f>
        <v/>
      </c>
    </row>
    <row r="4196">
      <c r="A4196" s="7">
        <f>IFERROR(Datos!A4196,"")</f>
        <v/>
      </c>
      <c r="B4196" s="27">
        <f>IFERROR(IF(ISNUMBER(Datos!B4196),Datos!B4196/$F$2*100,NA()),NA())</f>
        <v/>
      </c>
      <c r="C4196" s="27">
        <f>IFERROR(IF(ISNUMBER(Datos!C4196),Datos!C4196/$F$3*100,NA()),NA())</f>
        <v/>
      </c>
    </row>
    <row r="4197">
      <c r="A4197" s="7">
        <f>IFERROR(Datos!A4197,"")</f>
        <v/>
      </c>
      <c r="B4197" s="27">
        <f>IFERROR(IF(ISNUMBER(Datos!B4197),Datos!B4197/$F$2*100,NA()),NA())</f>
        <v/>
      </c>
      <c r="C4197" s="27">
        <f>IFERROR(IF(ISNUMBER(Datos!C4197),Datos!C4197/$F$3*100,NA()),NA())</f>
        <v/>
      </c>
    </row>
    <row r="4198">
      <c r="A4198" s="7">
        <f>IFERROR(Datos!A4198,"")</f>
        <v/>
      </c>
      <c r="B4198" s="27">
        <f>IFERROR(IF(ISNUMBER(Datos!B4198),Datos!B4198/$F$2*100,NA()),NA())</f>
        <v/>
      </c>
      <c r="C4198" s="27">
        <f>IFERROR(IF(ISNUMBER(Datos!C4198),Datos!C4198/$F$3*100,NA()),NA())</f>
        <v/>
      </c>
    </row>
    <row r="4199">
      <c r="A4199" s="7">
        <f>IFERROR(Datos!A4199,"")</f>
        <v/>
      </c>
      <c r="B4199" s="27">
        <f>IFERROR(IF(ISNUMBER(Datos!B4199),Datos!B4199/$F$2*100,NA()),NA())</f>
        <v/>
      </c>
      <c r="C4199" s="27">
        <f>IFERROR(IF(ISNUMBER(Datos!C4199),Datos!C4199/$F$3*100,NA()),NA())</f>
        <v/>
      </c>
    </row>
    <row r="4200">
      <c r="A4200" s="7">
        <f>IFERROR(Datos!A4200,"")</f>
        <v/>
      </c>
      <c r="B4200" s="27">
        <f>IFERROR(IF(ISNUMBER(Datos!B4200),Datos!B4200/$F$2*100,NA()),NA())</f>
        <v/>
      </c>
      <c r="C4200" s="27">
        <f>IFERROR(IF(ISNUMBER(Datos!C4200),Datos!C4200/$F$3*100,NA()),NA())</f>
        <v/>
      </c>
    </row>
    <row r="4201">
      <c r="A4201" s="7">
        <f>IFERROR(Datos!A4201,"")</f>
        <v/>
      </c>
      <c r="B4201" s="27">
        <f>IFERROR(IF(ISNUMBER(Datos!B4201),Datos!B4201/$F$2*100,NA()),NA())</f>
        <v/>
      </c>
      <c r="C4201" s="27">
        <f>IFERROR(IF(ISNUMBER(Datos!C4201),Datos!C4201/$F$3*100,NA()),NA())</f>
        <v/>
      </c>
    </row>
    <row r="4202">
      <c r="A4202" s="7">
        <f>IFERROR(Datos!A4202,"")</f>
        <v/>
      </c>
      <c r="B4202" s="27">
        <f>IFERROR(IF(ISNUMBER(Datos!B4202),Datos!B4202/$F$2*100,NA()),NA())</f>
        <v/>
      </c>
      <c r="C4202" s="27">
        <f>IFERROR(IF(ISNUMBER(Datos!C4202),Datos!C4202/$F$3*100,NA()),NA())</f>
        <v/>
      </c>
    </row>
    <row r="4203">
      <c r="A4203" s="7">
        <f>IFERROR(Datos!A4203,"")</f>
        <v/>
      </c>
      <c r="B4203" s="27">
        <f>IFERROR(IF(ISNUMBER(Datos!B4203),Datos!B4203/$F$2*100,NA()),NA())</f>
        <v/>
      </c>
      <c r="C4203" s="27">
        <f>IFERROR(IF(ISNUMBER(Datos!C4203),Datos!C4203/$F$3*100,NA()),NA())</f>
        <v/>
      </c>
    </row>
    <row r="4204">
      <c r="A4204" s="7">
        <f>IFERROR(Datos!A4204,"")</f>
        <v/>
      </c>
      <c r="B4204" s="27">
        <f>IFERROR(IF(ISNUMBER(Datos!B4204),Datos!B4204/$F$2*100,NA()),NA())</f>
        <v/>
      </c>
      <c r="C4204" s="27">
        <f>IFERROR(IF(ISNUMBER(Datos!C4204),Datos!C4204/$F$3*100,NA()),NA())</f>
        <v/>
      </c>
    </row>
    <row r="4205">
      <c r="A4205" s="7">
        <f>IFERROR(Datos!A4205,"")</f>
        <v/>
      </c>
      <c r="B4205" s="27">
        <f>IFERROR(IF(ISNUMBER(Datos!B4205),Datos!B4205/$F$2*100,NA()),NA())</f>
        <v/>
      </c>
      <c r="C4205" s="27">
        <f>IFERROR(IF(ISNUMBER(Datos!C4205),Datos!C4205/$F$3*100,NA()),NA())</f>
        <v/>
      </c>
    </row>
    <row r="4206">
      <c r="A4206" s="7">
        <f>IFERROR(Datos!A4206,"")</f>
        <v/>
      </c>
      <c r="B4206" s="27">
        <f>IFERROR(IF(ISNUMBER(Datos!B4206),Datos!B4206/$F$2*100,NA()),NA())</f>
        <v/>
      </c>
      <c r="C4206" s="27">
        <f>IFERROR(IF(ISNUMBER(Datos!C4206),Datos!C4206/$F$3*100,NA()),NA())</f>
        <v/>
      </c>
    </row>
    <row r="4207">
      <c r="A4207" s="7">
        <f>IFERROR(Datos!A4207,"")</f>
        <v/>
      </c>
      <c r="B4207" s="27">
        <f>IFERROR(IF(ISNUMBER(Datos!B4207),Datos!B4207/$F$2*100,NA()),NA())</f>
        <v/>
      </c>
      <c r="C4207" s="27">
        <f>IFERROR(IF(ISNUMBER(Datos!C4207),Datos!C4207/$F$3*100,NA()),NA())</f>
        <v/>
      </c>
    </row>
    <row r="4208">
      <c r="A4208" s="7">
        <f>IFERROR(Datos!A4208,"")</f>
        <v/>
      </c>
      <c r="B4208" s="27">
        <f>IFERROR(IF(ISNUMBER(Datos!B4208),Datos!B4208/$F$2*100,NA()),NA())</f>
        <v/>
      </c>
      <c r="C4208" s="27">
        <f>IFERROR(IF(ISNUMBER(Datos!C4208),Datos!C4208/$F$3*100,NA()),NA())</f>
        <v/>
      </c>
    </row>
    <row r="4209">
      <c r="A4209" s="7">
        <f>IFERROR(Datos!A4209,"")</f>
        <v/>
      </c>
      <c r="B4209" s="27">
        <f>IFERROR(IF(ISNUMBER(Datos!B4209),Datos!B4209/$F$2*100,NA()),NA())</f>
        <v/>
      </c>
      <c r="C4209" s="27">
        <f>IFERROR(IF(ISNUMBER(Datos!C4209),Datos!C4209/$F$3*100,NA()),NA())</f>
        <v/>
      </c>
    </row>
    <row r="4210">
      <c r="A4210" s="7">
        <f>IFERROR(Datos!A4210,"")</f>
        <v/>
      </c>
      <c r="B4210" s="27">
        <f>IFERROR(IF(ISNUMBER(Datos!B4210),Datos!B4210/$F$2*100,NA()),NA())</f>
        <v/>
      </c>
      <c r="C4210" s="27">
        <f>IFERROR(IF(ISNUMBER(Datos!C4210),Datos!C4210/$F$3*100,NA()),NA())</f>
        <v/>
      </c>
    </row>
    <row r="4211">
      <c r="A4211" s="7">
        <f>IFERROR(Datos!A4211,"")</f>
        <v/>
      </c>
      <c r="B4211" s="27">
        <f>IFERROR(IF(ISNUMBER(Datos!B4211),Datos!B4211/$F$2*100,NA()),NA())</f>
        <v/>
      </c>
      <c r="C4211" s="27">
        <f>IFERROR(IF(ISNUMBER(Datos!C4211),Datos!C4211/$F$3*100,NA()),NA())</f>
        <v/>
      </c>
    </row>
    <row r="4212">
      <c r="A4212" s="7">
        <f>IFERROR(Datos!A4212,"")</f>
        <v/>
      </c>
      <c r="B4212" s="27">
        <f>IFERROR(IF(ISNUMBER(Datos!B4212),Datos!B4212/$F$2*100,NA()),NA())</f>
        <v/>
      </c>
      <c r="C4212" s="27">
        <f>IFERROR(IF(ISNUMBER(Datos!C4212),Datos!C4212/$F$3*100,NA()),NA())</f>
        <v/>
      </c>
    </row>
    <row r="4213">
      <c r="A4213" s="7">
        <f>IFERROR(Datos!A4213,"")</f>
        <v/>
      </c>
      <c r="B4213" s="27">
        <f>IFERROR(IF(ISNUMBER(Datos!B4213),Datos!B4213/$F$2*100,NA()),NA())</f>
        <v/>
      </c>
      <c r="C4213" s="27">
        <f>IFERROR(IF(ISNUMBER(Datos!C4213),Datos!C4213/$F$3*100,NA()),NA())</f>
        <v/>
      </c>
    </row>
    <row r="4214">
      <c r="A4214" s="7">
        <f>IFERROR(Datos!A4214,"")</f>
        <v/>
      </c>
      <c r="B4214" s="27">
        <f>IFERROR(IF(ISNUMBER(Datos!B4214),Datos!B4214/$F$2*100,NA()),NA())</f>
        <v/>
      </c>
      <c r="C4214" s="27">
        <f>IFERROR(IF(ISNUMBER(Datos!C4214),Datos!C4214/$F$3*100,NA()),NA())</f>
        <v/>
      </c>
    </row>
    <row r="4215">
      <c r="A4215" s="7">
        <f>IFERROR(Datos!A4215,"")</f>
        <v/>
      </c>
      <c r="B4215" s="27">
        <f>IFERROR(IF(ISNUMBER(Datos!B4215),Datos!B4215/$F$2*100,NA()),NA())</f>
        <v/>
      </c>
      <c r="C4215" s="27">
        <f>IFERROR(IF(ISNUMBER(Datos!C4215),Datos!C4215/$F$3*100,NA()),NA())</f>
        <v/>
      </c>
    </row>
    <row r="4216">
      <c r="A4216" s="7">
        <f>IFERROR(Datos!A4216,"")</f>
        <v/>
      </c>
      <c r="B4216" s="27">
        <f>IFERROR(IF(ISNUMBER(Datos!B4216),Datos!B4216/$F$2*100,NA()),NA())</f>
        <v/>
      </c>
      <c r="C4216" s="27">
        <f>IFERROR(IF(ISNUMBER(Datos!C4216),Datos!C4216/$F$3*100,NA()),NA())</f>
        <v/>
      </c>
    </row>
    <row r="4217">
      <c r="A4217" s="7">
        <f>IFERROR(Datos!A4217,"")</f>
        <v/>
      </c>
      <c r="B4217" s="27">
        <f>IFERROR(IF(ISNUMBER(Datos!B4217),Datos!B4217/$F$2*100,NA()),NA())</f>
        <v/>
      </c>
      <c r="C4217" s="27">
        <f>IFERROR(IF(ISNUMBER(Datos!C4217),Datos!C4217/$F$3*100,NA()),NA())</f>
        <v/>
      </c>
    </row>
    <row r="4218">
      <c r="A4218" s="7">
        <f>IFERROR(Datos!A4218,"")</f>
        <v/>
      </c>
      <c r="B4218" s="27">
        <f>IFERROR(IF(ISNUMBER(Datos!B4218),Datos!B4218/$F$2*100,NA()),NA())</f>
        <v/>
      </c>
      <c r="C4218" s="27">
        <f>IFERROR(IF(ISNUMBER(Datos!C4218),Datos!C4218/$F$3*100,NA()),NA())</f>
        <v/>
      </c>
    </row>
    <row r="4219">
      <c r="A4219" s="7">
        <f>IFERROR(Datos!A4219,"")</f>
        <v/>
      </c>
      <c r="B4219" s="27">
        <f>IFERROR(IF(ISNUMBER(Datos!B4219),Datos!B4219/$F$2*100,NA()),NA())</f>
        <v/>
      </c>
      <c r="C4219" s="27">
        <f>IFERROR(IF(ISNUMBER(Datos!C4219),Datos!C4219/$F$3*100,NA()),NA())</f>
        <v/>
      </c>
    </row>
    <row r="4220">
      <c r="A4220" s="7">
        <f>IFERROR(Datos!A4220,"")</f>
        <v/>
      </c>
      <c r="B4220" s="27">
        <f>IFERROR(IF(ISNUMBER(Datos!B4220),Datos!B4220/$F$2*100,NA()),NA())</f>
        <v/>
      </c>
      <c r="C4220" s="27">
        <f>IFERROR(IF(ISNUMBER(Datos!C4220),Datos!C4220/$F$3*100,NA()),NA())</f>
        <v/>
      </c>
    </row>
    <row r="4221">
      <c r="A4221" s="7">
        <f>IFERROR(Datos!A4221,"")</f>
        <v/>
      </c>
      <c r="B4221" s="27">
        <f>IFERROR(IF(ISNUMBER(Datos!B4221),Datos!B4221/$F$2*100,NA()),NA())</f>
        <v/>
      </c>
      <c r="C4221" s="27">
        <f>IFERROR(IF(ISNUMBER(Datos!C4221),Datos!C4221/$F$3*100,NA()),NA())</f>
        <v/>
      </c>
    </row>
    <row r="4222">
      <c r="A4222" s="7">
        <f>IFERROR(Datos!A4222,"")</f>
        <v/>
      </c>
      <c r="B4222" s="27">
        <f>IFERROR(IF(ISNUMBER(Datos!B4222),Datos!B4222/$F$2*100,NA()),NA())</f>
        <v/>
      </c>
      <c r="C4222" s="27">
        <f>IFERROR(IF(ISNUMBER(Datos!C4222),Datos!C4222/$F$3*100,NA()),NA())</f>
        <v/>
      </c>
    </row>
    <row r="4223">
      <c r="A4223" s="7">
        <f>IFERROR(Datos!A4223,"")</f>
        <v/>
      </c>
      <c r="B4223" s="27">
        <f>IFERROR(IF(ISNUMBER(Datos!B4223),Datos!B4223/$F$2*100,NA()),NA())</f>
        <v/>
      </c>
      <c r="C4223" s="27">
        <f>IFERROR(IF(ISNUMBER(Datos!C4223),Datos!C4223/$F$3*100,NA()),NA())</f>
        <v/>
      </c>
    </row>
    <row r="4224">
      <c r="A4224" s="7">
        <f>IFERROR(Datos!A4224,"")</f>
        <v/>
      </c>
      <c r="B4224" s="27">
        <f>IFERROR(IF(ISNUMBER(Datos!B4224),Datos!B4224/$F$2*100,NA()),NA())</f>
        <v/>
      </c>
      <c r="C4224" s="27">
        <f>IFERROR(IF(ISNUMBER(Datos!C4224),Datos!C4224/$F$3*100,NA()),NA())</f>
        <v/>
      </c>
    </row>
    <row r="4225">
      <c r="A4225" s="7">
        <f>IFERROR(Datos!A4225,"")</f>
        <v/>
      </c>
      <c r="B4225" s="27">
        <f>IFERROR(IF(ISNUMBER(Datos!B4225),Datos!B4225/$F$2*100,NA()),NA())</f>
        <v/>
      </c>
      <c r="C4225" s="27">
        <f>IFERROR(IF(ISNUMBER(Datos!C4225),Datos!C4225/$F$3*100,NA()),NA())</f>
        <v/>
      </c>
    </row>
    <row r="4226">
      <c r="A4226" s="7">
        <f>IFERROR(Datos!A4226,"")</f>
        <v/>
      </c>
      <c r="B4226" s="27">
        <f>IFERROR(IF(ISNUMBER(Datos!B4226),Datos!B4226/$F$2*100,NA()),NA())</f>
        <v/>
      </c>
      <c r="C4226" s="27">
        <f>IFERROR(IF(ISNUMBER(Datos!C4226),Datos!C4226/$F$3*100,NA()),NA())</f>
        <v/>
      </c>
    </row>
    <row r="4227">
      <c r="A4227" s="7">
        <f>IFERROR(Datos!A4227,"")</f>
        <v/>
      </c>
      <c r="B4227" s="27">
        <f>IFERROR(IF(ISNUMBER(Datos!B4227),Datos!B4227/$F$2*100,NA()),NA())</f>
        <v/>
      </c>
      <c r="C4227" s="27">
        <f>IFERROR(IF(ISNUMBER(Datos!C4227),Datos!C4227/$F$3*100,NA()),NA())</f>
        <v/>
      </c>
    </row>
    <row r="4228">
      <c r="A4228" s="7">
        <f>IFERROR(Datos!A4228,"")</f>
        <v/>
      </c>
      <c r="B4228" s="27">
        <f>IFERROR(IF(ISNUMBER(Datos!B4228),Datos!B4228/$F$2*100,NA()),NA())</f>
        <v/>
      </c>
      <c r="C4228" s="27">
        <f>IFERROR(IF(ISNUMBER(Datos!C4228),Datos!C4228/$F$3*100,NA()),NA())</f>
        <v/>
      </c>
    </row>
    <row r="4229">
      <c r="A4229" s="7">
        <f>IFERROR(Datos!A4229,"")</f>
        <v/>
      </c>
      <c r="B4229" s="27">
        <f>IFERROR(IF(ISNUMBER(Datos!B4229),Datos!B4229/$F$2*100,NA()),NA())</f>
        <v/>
      </c>
      <c r="C4229" s="27">
        <f>IFERROR(IF(ISNUMBER(Datos!C4229),Datos!C4229/$F$3*100,NA()),NA())</f>
        <v/>
      </c>
    </row>
    <row r="4230">
      <c r="A4230" s="7">
        <f>IFERROR(Datos!A4230,"")</f>
        <v/>
      </c>
      <c r="B4230" s="27">
        <f>IFERROR(IF(ISNUMBER(Datos!B4230),Datos!B4230/$F$2*100,NA()),NA())</f>
        <v/>
      </c>
      <c r="C4230" s="27">
        <f>IFERROR(IF(ISNUMBER(Datos!C4230),Datos!C4230/$F$3*100,NA()),NA())</f>
        <v/>
      </c>
    </row>
    <row r="4231">
      <c r="A4231" s="7">
        <f>IFERROR(Datos!A4231,"")</f>
        <v/>
      </c>
      <c r="B4231" s="27">
        <f>IFERROR(IF(ISNUMBER(Datos!B4231),Datos!B4231/$F$2*100,NA()),NA())</f>
        <v/>
      </c>
      <c r="C4231" s="27">
        <f>IFERROR(IF(ISNUMBER(Datos!C4231),Datos!C4231/$F$3*100,NA()),NA())</f>
        <v/>
      </c>
    </row>
    <row r="4232">
      <c r="A4232" s="7">
        <f>IFERROR(Datos!A4232,"")</f>
        <v/>
      </c>
      <c r="B4232" s="27">
        <f>IFERROR(IF(ISNUMBER(Datos!B4232),Datos!B4232/$F$2*100,NA()),NA())</f>
        <v/>
      </c>
      <c r="C4232" s="27">
        <f>IFERROR(IF(ISNUMBER(Datos!C4232),Datos!C4232/$F$3*100,NA()),NA())</f>
        <v/>
      </c>
    </row>
    <row r="4233">
      <c r="A4233" s="7">
        <f>IFERROR(Datos!A4233,"")</f>
        <v/>
      </c>
      <c r="B4233" s="27">
        <f>IFERROR(IF(ISNUMBER(Datos!B4233),Datos!B4233/$F$2*100,NA()),NA())</f>
        <v/>
      </c>
      <c r="C4233" s="27">
        <f>IFERROR(IF(ISNUMBER(Datos!C4233),Datos!C4233/$F$3*100,NA()),NA())</f>
        <v/>
      </c>
    </row>
    <row r="4234">
      <c r="A4234" s="7">
        <f>IFERROR(Datos!A4234,"")</f>
        <v/>
      </c>
      <c r="B4234" s="27">
        <f>IFERROR(IF(ISNUMBER(Datos!B4234),Datos!B4234/$F$2*100,NA()),NA())</f>
        <v/>
      </c>
      <c r="C4234" s="27">
        <f>IFERROR(IF(ISNUMBER(Datos!C4234),Datos!C4234/$F$3*100,NA()),NA())</f>
        <v/>
      </c>
    </row>
    <row r="4235">
      <c r="A4235" s="7">
        <f>IFERROR(Datos!A4235,"")</f>
        <v/>
      </c>
      <c r="B4235" s="27">
        <f>IFERROR(IF(ISNUMBER(Datos!B4235),Datos!B4235/$F$2*100,NA()),NA())</f>
        <v/>
      </c>
      <c r="C4235" s="27">
        <f>IFERROR(IF(ISNUMBER(Datos!C4235),Datos!C4235/$F$3*100,NA()),NA())</f>
        <v/>
      </c>
    </row>
    <row r="4236">
      <c r="A4236" s="7">
        <f>IFERROR(Datos!A4236,"")</f>
        <v/>
      </c>
      <c r="B4236" s="27">
        <f>IFERROR(IF(ISNUMBER(Datos!B4236),Datos!B4236/$F$2*100,NA()),NA())</f>
        <v/>
      </c>
      <c r="C4236" s="27">
        <f>IFERROR(IF(ISNUMBER(Datos!C4236),Datos!C4236/$F$3*100,NA()),NA())</f>
        <v/>
      </c>
    </row>
    <row r="4237">
      <c r="A4237" s="7">
        <f>IFERROR(Datos!A4237,"")</f>
        <v/>
      </c>
      <c r="B4237" s="27">
        <f>IFERROR(IF(ISNUMBER(Datos!B4237),Datos!B4237/$F$2*100,NA()),NA())</f>
        <v/>
      </c>
      <c r="C4237" s="27">
        <f>IFERROR(IF(ISNUMBER(Datos!C4237),Datos!C4237/$F$3*100,NA()),NA())</f>
        <v/>
      </c>
    </row>
    <row r="4238">
      <c r="A4238" s="7">
        <f>IFERROR(Datos!A4238,"")</f>
        <v/>
      </c>
      <c r="B4238" s="27">
        <f>IFERROR(IF(ISNUMBER(Datos!B4238),Datos!B4238/$F$2*100,NA()),NA())</f>
        <v/>
      </c>
      <c r="C4238" s="27">
        <f>IFERROR(IF(ISNUMBER(Datos!C4238),Datos!C4238/$F$3*100,NA()),NA())</f>
        <v/>
      </c>
    </row>
    <row r="4239">
      <c r="A4239" s="7">
        <f>IFERROR(Datos!A4239,"")</f>
        <v/>
      </c>
      <c r="B4239" s="27">
        <f>IFERROR(IF(ISNUMBER(Datos!B4239),Datos!B4239/$F$2*100,NA()),NA())</f>
        <v/>
      </c>
      <c r="C4239" s="27">
        <f>IFERROR(IF(ISNUMBER(Datos!C4239),Datos!C4239/$F$3*100,NA()),NA())</f>
        <v/>
      </c>
    </row>
    <row r="4240">
      <c r="A4240" s="7">
        <f>IFERROR(Datos!A4240,"")</f>
        <v/>
      </c>
      <c r="B4240" s="27">
        <f>IFERROR(IF(ISNUMBER(Datos!B4240),Datos!B4240/$F$2*100,NA()),NA())</f>
        <v/>
      </c>
      <c r="C4240" s="27">
        <f>IFERROR(IF(ISNUMBER(Datos!C4240),Datos!C4240/$F$3*100,NA()),NA())</f>
        <v/>
      </c>
    </row>
    <row r="4241">
      <c r="A4241" s="7">
        <f>IFERROR(Datos!A4241,"")</f>
        <v/>
      </c>
      <c r="B4241" s="27">
        <f>IFERROR(IF(ISNUMBER(Datos!B4241),Datos!B4241/$F$2*100,NA()),NA())</f>
        <v/>
      </c>
      <c r="C4241" s="27">
        <f>IFERROR(IF(ISNUMBER(Datos!C4241),Datos!C4241/$F$3*100,NA()),NA())</f>
        <v/>
      </c>
    </row>
    <row r="4242">
      <c r="A4242" s="7">
        <f>IFERROR(Datos!A4242,"")</f>
        <v/>
      </c>
      <c r="B4242" s="27">
        <f>IFERROR(IF(ISNUMBER(Datos!B4242),Datos!B4242/$F$2*100,NA()),NA())</f>
        <v/>
      </c>
      <c r="C4242" s="27">
        <f>IFERROR(IF(ISNUMBER(Datos!C4242),Datos!C4242/$F$3*100,NA()),NA())</f>
        <v/>
      </c>
    </row>
    <row r="4243">
      <c r="A4243" s="7">
        <f>IFERROR(Datos!A4243,"")</f>
        <v/>
      </c>
      <c r="B4243" s="27">
        <f>IFERROR(IF(ISNUMBER(Datos!B4243),Datos!B4243/$F$2*100,NA()),NA())</f>
        <v/>
      </c>
      <c r="C4243" s="27">
        <f>IFERROR(IF(ISNUMBER(Datos!C4243),Datos!C4243/$F$3*100,NA()),NA())</f>
        <v/>
      </c>
    </row>
    <row r="4244">
      <c r="A4244" s="7">
        <f>IFERROR(Datos!A4244,"")</f>
        <v/>
      </c>
      <c r="B4244" s="27">
        <f>IFERROR(IF(ISNUMBER(Datos!B4244),Datos!B4244/$F$2*100,NA()),NA())</f>
        <v/>
      </c>
      <c r="C4244" s="27">
        <f>IFERROR(IF(ISNUMBER(Datos!C4244),Datos!C4244/$F$3*100,NA()),NA())</f>
        <v/>
      </c>
    </row>
    <row r="4245">
      <c r="A4245" s="7">
        <f>IFERROR(Datos!A4245,"")</f>
        <v/>
      </c>
      <c r="B4245" s="27">
        <f>IFERROR(IF(ISNUMBER(Datos!B4245),Datos!B4245/$F$2*100,NA()),NA())</f>
        <v/>
      </c>
      <c r="C4245" s="27">
        <f>IFERROR(IF(ISNUMBER(Datos!C4245),Datos!C4245/$F$3*100,NA()),NA())</f>
        <v/>
      </c>
    </row>
    <row r="4246">
      <c r="A4246" s="7">
        <f>IFERROR(Datos!A4246,"")</f>
        <v/>
      </c>
      <c r="B4246" s="27">
        <f>IFERROR(IF(ISNUMBER(Datos!B4246),Datos!B4246/$F$2*100,NA()),NA())</f>
        <v/>
      </c>
      <c r="C4246" s="27">
        <f>IFERROR(IF(ISNUMBER(Datos!C4246),Datos!C4246/$F$3*100,NA()),NA())</f>
        <v/>
      </c>
    </row>
    <row r="4247">
      <c r="A4247" s="7">
        <f>IFERROR(Datos!A4247,"")</f>
        <v/>
      </c>
      <c r="B4247" s="27">
        <f>IFERROR(IF(ISNUMBER(Datos!B4247),Datos!B4247/$F$2*100,NA()),NA())</f>
        <v/>
      </c>
      <c r="C4247" s="27">
        <f>IFERROR(IF(ISNUMBER(Datos!C4247),Datos!C4247/$F$3*100,NA()),NA())</f>
        <v/>
      </c>
    </row>
    <row r="4248">
      <c r="A4248" s="7">
        <f>IFERROR(Datos!A4248,"")</f>
        <v/>
      </c>
      <c r="B4248" s="27">
        <f>IFERROR(IF(ISNUMBER(Datos!B4248),Datos!B4248/$F$2*100,NA()),NA())</f>
        <v/>
      </c>
      <c r="C4248" s="27">
        <f>IFERROR(IF(ISNUMBER(Datos!C4248),Datos!C4248/$F$3*100,NA()),NA())</f>
        <v/>
      </c>
    </row>
    <row r="4249">
      <c r="A4249" s="7">
        <f>IFERROR(Datos!A4249,"")</f>
        <v/>
      </c>
      <c r="B4249" s="27">
        <f>IFERROR(IF(ISNUMBER(Datos!B4249),Datos!B4249/$F$2*100,NA()),NA())</f>
        <v/>
      </c>
      <c r="C4249" s="27">
        <f>IFERROR(IF(ISNUMBER(Datos!C4249),Datos!C4249/$F$3*100,NA()),NA())</f>
        <v/>
      </c>
    </row>
    <row r="4250">
      <c r="A4250" s="7">
        <f>IFERROR(Datos!A4250,"")</f>
        <v/>
      </c>
      <c r="B4250" s="27">
        <f>IFERROR(IF(ISNUMBER(Datos!B4250),Datos!B4250/$F$2*100,NA()),NA())</f>
        <v/>
      </c>
      <c r="C4250" s="27">
        <f>IFERROR(IF(ISNUMBER(Datos!C4250),Datos!C4250/$F$3*100,NA()),NA())</f>
        <v/>
      </c>
    </row>
    <row r="4251">
      <c r="A4251" s="7">
        <f>IFERROR(Datos!A4251,"")</f>
        <v/>
      </c>
      <c r="B4251" s="27">
        <f>IFERROR(IF(ISNUMBER(Datos!B4251),Datos!B4251/$F$2*100,NA()),NA())</f>
        <v/>
      </c>
      <c r="C4251" s="27">
        <f>IFERROR(IF(ISNUMBER(Datos!C4251),Datos!C4251/$F$3*100,NA()),NA())</f>
        <v/>
      </c>
    </row>
    <row r="4252">
      <c r="A4252" s="7">
        <f>IFERROR(Datos!A4252,"")</f>
        <v/>
      </c>
      <c r="B4252" s="27">
        <f>IFERROR(IF(ISNUMBER(Datos!B4252),Datos!B4252/$F$2*100,NA()),NA())</f>
        <v/>
      </c>
      <c r="C4252" s="27">
        <f>IFERROR(IF(ISNUMBER(Datos!C4252),Datos!C4252/$F$3*100,NA()),NA())</f>
        <v/>
      </c>
    </row>
    <row r="4253">
      <c r="A4253" s="7">
        <f>IFERROR(Datos!A4253,"")</f>
        <v/>
      </c>
      <c r="B4253" s="27">
        <f>IFERROR(IF(ISNUMBER(Datos!B4253),Datos!B4253/$F$2*100,NA()),NA())</f>
        <v/>
      </c>
      <c r="C4253" s="27">
        <f>IFERROR(IF(ISNUMBER(Datos!C4253),Datos!C4253/$F$3*100,NA()),NA())</f>
        <v/>
      </c>
    </row>
    <row r="4254">
      <c r="A4254" s="7">
        <f>IFERROR(Datos!A4254,"")</f>
        <v/>
      </c>
      <c r="B4254" s="27">
        <f>IFERROR(IF(ISNUMBER(Datos!B4254),Datos!B4254/$F$2*100,NA()),NA())</f>
        <v/>
      </c>
      <c r="C4254" s="27">
        <f>IFERROR(IF(ISNUMBER(Datos!C4254),Datos!C4254/$F$3*100,NA()),NA())</f>
        <v/>
      </c>
    </row>
    <row r="4255">
      <c r="A4255" s="7">
        <f>IFERROR(Datos!A4255,"")</f>
        <v/>
      </c>
      <c r="B4255" s="27">
        <f>IFERROR(IF(ISNUMBER(Datos!B4255),Datos!B4255/$F$2*100,NA()),NA())</f>
        <v/>
      </c>
      <c r="C4255" s="27">
        <f>IFERROR(IF(ISNUMBER(Datos!C4255),Datos!C4255/$F$3*100,NA()),NA())</f>
        <v/>
      </c>
    </row>
    <row r="4256">
      <c r="A4256" s="7">
        <f>IFERROR(Datos!A4256,"")</f>
        <v/>
      </c>
      <c r="B4256" s="27">
        <f>IFERROR(IF(ISNUMBER(Datos!B4256),Datos!B4256/$F$2*100,NA()),NA())</f>
        <v/>
      </c>
      <c r="C4256" s="27">
        <f>IFERROR(IF(ISNUMBER(Datos!C4256),Datos!C4256/$F$3*100,NA()),NA())</f>
        <v/>
      </c>
    </row>
    <row r="4257">
      <c r="A4257" s="7">
        <f>IFERROR(Datos!A4257,"")</f>
        <v/>
      </c>
      <c r="B4257" s="27">
        <f>IFERROR(IF(ISNUMBER(Datos!B4257),Datos!B4257/$F$2*100,NA()),NA())</f>
        <v/>
      </c>
      <c r="C4257" s="27">
        <f>IFERROR(IF(ISNUMBER(Datos!C4257),Datos!C4257/$F$3*100,NA()),NA())</f>
        <v/>
      </c>
    </row>
    <row r="4258">
      <c r="A4258" s="7">
        <f>IFERROR(Datos!A4258,"")</f>
        <v/>
      </c>
      <c r="B4258" s="27">
        <f>IFERROR(IF(ISNUMBER(Datos!B4258),Datos!B4258/$F$2*100,NA()),NA())</f>
        <v/>
      </c>
      <c r="C4258" s="27">
        <f>IFERROR(IF(ISNUMBER(Datos!C4258),Datos!C4258/$F$3*100,NA()),NA())</f>
        <v/>
      </c>
    </row>
    <row r="4259">
      <c r="A4259" s="7">
        <f>IFERROR(Datos!A4259,"")</f>
        <v/>
      </c>
      <c r="B4259" s="27">
        <f>IFERROR(IF(ISNUMBER(Datos!B4259),Datos!B4259/$F$2*100,NA()),NA())</f>
        <v/>
      </c>
      <c r="C4259" s="27">
        <f>IFERROR(IF(ISNUMBER(Datos!C4259),Datos!C4259/$F$3*100,NA()),NA())</f>
        <v/>
      </c>
    </row>
    <row r="4260">
      <c r="A4260" s="7">
        <f>IFERROR(Datos!A4260,"")</f>
        <v/>
      </c>
      <c r="B4260" s="27">
        <f>IFERROR(IF(ISNUMBER(Datos!B4260),Datos!B4260/$F$2*100,NA()),NA())</f>
        <v/>
      </c>
      <c r="C4260" s="27">
        <f>IFERROR(IF(ISNUMBER(Datos!C4260),Datos!C4260/$F$3*100,NA()),NA())</f>
        <v/>
      </c>
    </row>
    <row r="4261">
      <c r="A4261" s="7">
        <f>IFERROR(Datos!A4261,"")</f>
        <v/>
      </c>
      <c r="B4261" s="27">
        <f>IFERROR(IF(ISNUMBER(Datos!B4261),Datos!B4261/$F$2*100,NA()),NA())</f>
        <v/>
      </c>
      <c r="C4261" s="27">
        <f>IFERROR(IF(ISNUMBER(Datos!C4261),Datos!C4261/$F$3*100,NA()),NA())</f>
        <v/>
      </c>
    </row>
    <row r="4262">
      <c r="A4262" s="7">
        <f>IFERROR(Datos!A4262,"")</f>
        <v/>
      </c>
      <c r="B4262" s="27">
        <f>IFERROR(IF(ISNUMBER(Datos!B4262),Datos!B4262/$F$2*100,NA()),NA())</f>
        <v/>
      </c>
      <c r="C4262" s="27">
        <f>IFERROR(IF(ISNUMBER(Datos!C4262),Datos!C4262/$F$3*100,NA()),NA())</f>
        <v/>
      </c>
    </row>
    <row r="4263">
      <c r="A4263" s="7">
        <f>IFERROR(Datos!A4263,"")</f>
        <v/>
      </c>
      <c r="B4263" s="27">
        <f>IFERROR(IF(ISNUMBER(Datos!B4263),Datos!B4263/$F$2*100,NA()),NA())</f>
        <v/>
      </c>
      <c r="C4263" s="27">
        <f>IFERROR(IF(ISNUMBER(Datos!C4263),Datos!C4263/$F$3*100,NA()),NA())</f>
        <v/>
      </c>
    </row>
    <row r="4264">
      <c r="A4264" s="7">
        <f>IFERROR(Datos!A4264,"")</f>
        <v/>
      </c>
      <c r="B4264" s="27">
        <f>IFERROR(IF(ISNUMBER(Datos!B4264),Datos!B4264/$F$2*100,NA()),NA())</f>
        <v/>
      </c>
      <c r="C4264" s="27">
        <f>IFERROR(IF(ISNUMBER(Datos!C4264),Datos!C4264/$F$3*100,NA()),NA())</f>
        <v/>
      </c>
    </row>
    <row r="4265">
      <c r="A4265" s="7">
        <f>IFERROR(Datos!A4265,"")</f>
        <v/>
      </c>
      <c r="B4265" s="27">
        <f>IFERROR(IF(ISNUMBER(Datos!B4265),Datos!B4265/$F$2*100,NA()),NA())</f>
        <v/>
      </c>
      <c r="C4265" s="27">
        <f>IFERROR(IF(ISNUMBER(Datos!C4265),Datos!C4265/$F$3*100,NA()),NA())</f>
        <v/>
      </c>
    </row>
    <row r="4266">
      <c r="A4266" s="7">
        <f>IFERROR(Datos!A4266,"")</f>
        <v/>
      </c>
      <c r="B4266" s="27">
        <f>IFERROR(IF(ISNUMBER(Datos!B4266),Datos!B4266/$F$2*100,NA()),NA())</f>
        <v/>
      </c>
      <c r="C4266" s="27">
        <f>IFERROR(IF(ISNUMBER(Datos!C4266),Datos!C4266/$F$3*100,NA()),NA())</f>
        <v/>
      </c>
    </row>
    <row r="4267">
      <c r="A4267" s="7">
        <f>IFERROR(Datos!A4267,"")</f>
        <v/>
      </c>
      <c r="B4267" s="27">
        <f>IFERROR(IF(ISNUMBER(Datos!B4267),Datos!B4267/$F$2*100,NA()),NA())</f>
        <v/>
      </c>
      <c r="C4267" s="27">
        <f>IFERROR(IF(ISNUMBER(Datos!C4267),Datos!C4267/$F$3*100,NA()),NA())</f>
        <v/>
      </c>
    </row>
    <row r="4268">
      <c r="A4268" s="7">
        <f>IFERROR(Datos!A4268,"")</f>
        <v/>
      </c>
      <c r="B4268" s="27">
        <f>IFERROR(IF(ISNUMBER(Datos!B4268),Datos!B4268/$F$2*100,NA()),NA())</f>
        <v/>
      </c>
      <c r="C4268" s="27">
        <f>IFERROR(IF(ISNUMBER(Datos!C4268),Datos!C4268/$F$3*100,NA()),NA())</f>
        <v/>
      </c>
    </row>
    <row r="4269">
      <c r="A4269" s="7">
        <f>IFERROR(Datos!A4269,"")</f>
        <v/>
      </c>
      <c r="B4269" s="27">
        <f>IFERROR(IF(ISNUMBER(Datos!B4269),Datos!B4269/$F$2*100,NA()),NA())</f>
        <v/>
      </c>
      <c r="C4269" s="27">
        <f>IFERROR(IF(ISNUMBER(Datos!C4269),Datos!C4269/$F$3*100,NA()),NA())</f>
        <v/>
      </c>
    </row>
    <row r="4270">
      <c r="A4270" s="7">
        <f>IFERROR(Datos!A4270,"")</f>
        <v/>
      </c>
      <c r="B4270" s="27">
        <f>IFERROR(IF(ISNUMBER(Datos!B4270),Datos!B4270/$F$2*100,NA()),NA())</f>
        <v/>
      </c>
      <c r="C4270" s="27">
        <f>IFERROR(IF(ISNUMBER(Datos!C4270),Datos!C4270/$F$3*100,NA()),NA())</f>
        <v/>
      </c>
    </row>
    <row r="4271">
      <c r="A4271" s="7">
        <f>IFERROR(Datos!A4271,"")</f>
        <v/>
      </c>
      <c r="B4271" s="27">
        <f>IFERROR(IF(ISNUMBER(Datos!B4271),Datos!B4271/$F$2*100,NA()),NA())</f>
        <v/>
      </c>
      <c r="C4271" s="27">
        <f>IFERROR(IF(ISNUMBER(Datos!C4271),Datos!C4271/$F$3*100,NA()),NA())</f>
        <v/>
      </c>
    </row>
    <row r="4272">
      <c r="A4272" s="7">
        <f>IFERROR(Datos!A4272,"")</f>
        <v/>
      </c>
      <c r="B4272" s="27">
        <f>IFERROR(IF(ISNUMBER(Datos!B4272),Datos!B4272/$F$2*100,NA()),NA())</f>
        <v/>
      </c>
      <c r="C4272" s="27">
        <f>IFERROR(IF(ISNUMBER(Datos!C4272),Datos!C4272/$F$3*100,NA()),NA())</f>
        <v/>
      </c>
    </row>
    <row r="4273">
      <c r="A4273" s="7">
        <f>IFERROR(Datos!A4273,"")</f>
        <v/>
      </c>
      <c r="B4273" s="27">
        <f>IFERROR(IF(ISNUMBER(Datos!B4273),Datos!B4273/$F$2*100,NA()),NA())</f>
        <v/>
      </c>
      <c r="C4273" s="27">
        <f>IFERROR(IF(ISNUMBER(Datos!C4273),Datos!C4273/$F$3*100,NA()),NA())</f>
        <v/>
      </c>
    </row>
    <row r="4274">
      <c r="A4274" s="7">
        <f>IFERROR(Datos!A4274,"")</f>
        <v/>
      </c>
      <c r="B4274" s="27">
        <f>IFERROR(IF(ISNUMBER(Datos!B4274),Datos!B4274/$F$2*100,NA()),NA())</f>
        <v/>
      </c>
      <c r="C4274" s="27">
        <f>IFERROR(IF(ISNUMBER(Datos!C4274),Datos!C4274/$F$3*100,NA()),NA())</f>
        <v/>
      </c>
    </row>
    <row r="4275">
      <c r="A4275" s="7">
        <f>IFERROR(Datos!A4275,"")</f>
        <v/>
      </c>
      <c r="B4275" s="27">
        <f>IFERROR(IF(ISNUMBER(Datos!B4275),Datos!B4275/$F$2*100,NA()),NA())</f>
        <v/>
      </c>
      <c r="C4275" s="27">
        <f>IFERROR(IF(ISNUMBER(Datos!C4275),Datos!C4275/$F$3*100,NA()),NA())</f>
        <v/>
      </c>
    </row>
    <row r="4276">
      <c r="A4276" s="7">
        <f>IFERROR(Datos!A4276,"")</f>
        <v/>
      </c>
      <c r="B4276" s="27">
        <f>IFERROR(IF(ISNUMBER(Datos!B4276),Datos!B4276/$F$2*100,NA()),NA())</f>
        <v/>
      </c>
      <c r="C4276" s="27">
        <f>IFERROR(IF(ISNUMBER(Datos!C4276),Datos!C4276/$F$3*100,NA()),NA())</f>
        <v/>
      </c>
    </row>
    <row r="4277">
      <c r="A4277" s="7">
        <f>IFERROR(Datos!A4277,"")</f>
        <v/>
      </c>
      <c r="B4277" s="27">
        <f>IFERROR(IF(ISNUMBER(Datos!B4277),Datos!B4277/$F$2*100,NA()),NA())</f>
        <v/>
      </c>
      <c r="C4277" s="27">
        <f>IFERROR(IF(ISNUMBER(Datos!C4277),Datos!C4277/$F$3*100,NA()),NA())</f>
        <v/>
      </c>
    </row>
    <row r="4278">
      <c r="A4278" s="7">
        <f>IFERROR(Datos!A4278,"")</f>
        <v/>
      </c>
      <c r="B4278" s="27">
        <f>IFERROR(IF(ISNUMBER(Datos!B4278),Datos!B4278/$F$2*100,NA()),NA())</f>
        <v/>
      </c>
      <c r="C4278" s="27">
        <f>IFERROR(IF(ISNUMBER(Datos!C4278),Datos!C4278/$F$3*100,NA()),NA())</f>
        <v/>
      </c>
    </row>
    <row r="4279">
      <c r="A4279" s="7">
        <f>IFERROR(Datos!A4279,"")</f>
        <v/>
      </c>
      <c r="B4279" s="27">
        <f>IFERROR(IF(ISNUMBER(Datos!B4279),Datos!B4279/$F$2*100,NA()),NA())</f>
        <v/>
      </c>
      <c r="C4279" s="27">
        <f>IFERROR(IF(ISNUMBER(Datos!C4279),Datos!C4279/$F$3*100,NA()),NA())</f>
        <v/>
      </c>
    </row>
    <row r="4280">
      <c r="A4280" s="7">
        <f>IFERROR(Datos!A4280,"")</f>
        <v/>
      </c>
      <c r="B4280" s="27">
        <f>IFERROR(IF(ISNUMBER(Datos!B4280),Datos!B4280/$F$2*100,NA()),NA())</f>
        <v/>
      </c>
      <c r="C4280" s="27">
        <f>IFERROR(IF(ISNUMBER(Datos!C4280),Datos!C4280/$F$3*100,NA()),NA())</f>
        <v/>
      </c>
    </row>
    <row r="4281">
      <c r="A4281" s="7">
        <f>IFERROR(Datos!A4281,"")</f>
        <v/>
      </c>
      <c r="B4281" s="27">
        <f>IFERROR(IF(ISNUMBER(Datos!B4281),Datos!B4281/$F$2*100,NA()),NA())</f>
        <v/>
      </c>
      <c r="C4281" s="27">
        <f>IFERROR(IF(ISNUMBER(Datos!C4281),Datos!C4281/$F$3*100,NA()),NA())</f>
        <v/>
      </c>
    </row>
    <row r="4282">
      <c r="A4282" s="7">
        <f>IFERROR(Datos!A4282,"")</f>
        <v/>
      </c>
      <c r="B4282" s="27">
        <f>IFERROR(IF(ISNUMBER(Datos!B4282),Datos!B4282/$F$2*100,NA()),NA())</f>
        <v/>
      </c>
      <c r="C4282" s="27">
        <f>IFERROR(IF(ISNUMBER(Datos!C4282),Datos!C4282/$F$3*100,NA()),NA())</f>
        <v/>
      </c>
    </row>
    <row r="4283">
      <c r="A4283" s="7">
        <f>IFERROR(Datos!A4283,"")</f>
        <v/>
      </c>
      <c r="B4283" s="27">
        <f>IFERROR(IF(ISNUMBER(Datos!B4283),Datos!B4283/$F$2*100,NA()),NA())</f>
        <v/>
      </c>
      <c r="C4283" s="27">
        <f>IFERROR(IF(ISNUMBER(Datos!C4283),Datos!C4283/$F$3*100,NA()),NA())</f>
        <v/>
      </c>
    </row>
    <row r="4284">
      <c r="A4284" s="7">
        <f>IFERROR(Datos!A4284,"")</f>
        <v/>
      </c>
      <c r="B4284" s="27">
        <f>IFERROR(IF(ISNUMBER(Datos!B4284),Datos!B4284/$F$2*100,NA()),NA())</f>
        <v/>
      </c>
      <c r="C4284" s="27">
        <f>IFERROR(IF(ISNUMBER(Datos!C4284),Datos!C4284/$F$3*100,NA()),NA())</f>
        <v/>
      </c>
    </row>
    <row r="4285">
      <c r="A4285" s="7">
        <f>IFERROR(Datos!A4285,"")</f>
        <v/>
      </c>
      <c r="B4285" s="27">
        <f>IFERROR(IF(ISNUMBER(Datos!B4285),Datos!B4285/$F$2*100,NA()),NA())</f>
        <v/>
      </c>
      <c r="C4285" s="27">
        <f>IFERROR(IF(ISNUMBER(Datos!C4285),Datos!C4285/$F$3*100,NA()),NA())</f>
        <v/>
      </c>
    </row>
    <row r="4286">
      <c r="A4286" s="7">
        <f>IFERROR(Datos!A4286,"")</f>
        <v/>
      </c>
      <c r="B4286" s="27">
        <f>IFERROR(IF(ISNUMBER(Datos!B4286),Datos!B4286/$F$2*100,NA()),NA())</f>
        <v/>
      </c>
      <c r="C4286" s="27">
        <f>IFERROR(IF(ISNUMBER(Datos!C4286),Datos!C4286/$F$3*100,NA()),NA())</f>
        <v/>
      </c>
    </row>
    <row r="4287">
      <c r="A4287" s="7">
        <f>IFERROR(Datos!A4287,"")</f>
        <v/>
      </c>
      <c r="B4287" s="27">
        <f>IFERROR(IF(ISNUMBER(Datos!B4287),Datos!B4287/$F$2*100,NA()),NA())</f>
        <v/>
      </c>
      <c r="C4287" s="27">
        <f>IFERROR(IF(ISNUMBER(Datos!C4287),Datos!C4287/$F$3*100,NA()),NA())</f>
        <v/>
      </c>
    </row>
    <row r="4288">
      <c r="A4288" s="7">
        <f>IFERROR(Datos!A4288,"")</f>
        <v/>
      </c>
      <c r="B4288" s="27">
        <f>IFERROR(IF(ISNUMBER(Datos!B4288),Datos!B4288/$F$2*100,NA()),NA())</f>
        <v/>
      </c>
      <c r="C4288" s="27">
        <f>IFERROR(IF(ISNUMBER(Datos!C4288),Datos!C4288/$F$3*100,NA()),NA())</f>
        <v/>
      </c>
    </row>
    <row r="4289">
      <c r="A4289" s="7">
        <f>IFERROR(Datos!A4289,"")</f>
        <v/>
      </c>
      <c r="B4289" s="27">
        <f>IFERROR(IF(ISNUMBER(Datos!B4289),Datos!B4289/$F$2*100,NA()),NA())</f>
        <v/>
      </c>
      <c r="C4289" s="27">
        <f>IFERROR(IF(ISNUMBER(Datos!C4289),Datos!C4289/$F$3*100,NA()),NA())</f>
        <v/>
      </c>
    </row>
    <row r="4290">
      <c r="A4290" s="7">
        <f>IFERROR(Datos!A4290,"")</f>
        <v/>
      </c>
      <c r="B4290" s="27">
        <f>IFERROR(IF(ISNUMBER(Datos!B4290),Datos!B4290/$F$2*100,NA()),NA())</f>
        <v/>
      </c>
      <c r="C4290" s="27">
        <f>IFERROR(IF(ISNUMBER(Datos!C4290),Datos!C4290/$F$3*100,NA()),NA())</f>
        <v/>
      </c>
    </row>
    <row r="4291">
      <c r="A4291" s="7">
        <f>IFERROR(Datos!A4291,"")</f>
        <v/>
      </c>
      <c r="B4291" s="27">
        <f>IFERROR(IF(ISNUMBER(Datos!B4291),Datos!B4291/$F$2*100,NA()),NA())</f>
        <v/>
      </c>
      <c r="C4291" s="27">
        <f>IFERROR(IF(ISNUMBER(Datos!C4291),Datos!C4291/$F$3*100,NA()),NA())</f>
        <v/>
      </c>
    </row>
    <row r="4292">
      <c r="A4292" s="7">
        <f>IFERROR(Datos!A4292,"")</f>
        <v/>
      </c>
      <c r="B4292" s="27">
        <f>IFERROR(IF(ISNUMBER(Datos!B4292),Datos!B4292/$F$2*100,NA()),NA())</f>
        <v/>
      </c>
      <c r="C4292" s="27">
        <f>IFERROR(IF(ISNUMBER(Datos!C4292),Datos!C4292/$F$3*100,NA()),NA())</f>
        <v/>
      </c>
    </row>
    <row r="4293">
      <c r="A4293" s="7">
        <f>IFERROR(Datos!A4293,"")</f>
        <v/>
      </c>
      <c r="B4293" s="27">
        <f>IFERROR(IF(ISNUMBER(Datos!B4293),Datos!B4293/$F$2*100,NA()),NA())</f>
        <v/>
      </c>
      <c r="C4293" s="27">
        <f>IFERROR(IF(ISNUMBER(Datos!C4293),Datos!C4293/$F$3*100,NA()),NA())</f>
        <v/>
      </c>
    </row>
    <row r="4294">
      <c r="A4294" s="7">
        <f>IFERROR(Datos!A4294,"")</f>
        <v/>
      </c>
      <c r="B4294" s="27">
        <f>IFERROR(IF(ISNUMBER(Datos!B4294),Datos!B4294/$F$2*100,NA()),NA())</f>
        <v/>
      </c>
      <c r="C4294" s="27">
        <f>IFERROR(IF(ISNUMBER(Datos!C4294),Datos!C4294/$F$3*100,NA()),NA())</f>
        <v/>
      </c>
    </row>
    <row r="4295">
      <c r="A4295" s="7">
        <f>IFERROR(Datos!A4295,"")</f>
        <v/>
      </c>
      <c r="B4295" s="27">
        <f>IFERROR(IF(ISNUMBER(Datos!B4295),Datos!B4295/$F$2*100,NA()),NA())</f>
        <v/>
      </c>
      <c r="C4295" s="27">
        <f>IFERROR(IF(ISNUMBER(Datos!C4295),Datos!C4295/$F$3*100,NA()),NA())</f>
        <v/>
      </c>
    </row>
    <row r="4296">
      <c r="A4296" s="7">
        <f>IFERROR(Datos!A4296,"")</f>
        <v/>
      </c>
      <c r="B4296" s="27">
        <f>IFERROR(IF(ISNUMBER(Datos!B4296),Datos!B4296/$F$2*100,NA()),NA())</f>
        <v/>
      </c>
      <c r="C4296" s="27">
        <f>IFERROR(IF(ISNUMBER(Datos!C4296),Datos!C4296/$F$3*100,NA()),NA())</f>
        <v/>
      </c>
    </row>
    <row r="4297">
      <c r="A4297" s="7">
        <f>IFERROR(Datos!A4297,"")</f>
        <v/>
      </c>
      <c r="B4297" s="27">
        <f>IFERROR(IF(ISNUMBER(Datos!B4297),Datos!B4297/$F$2*100,NA()),NA())</f>
        <v/>
      </c>
      <c r="C4297" s="27">
        <f>IFERROR(IF(ISNUMBER(Datos!C4297),Datos!C4297/$F$3*100,NA()),NA())</f>
        <v/>
      </c>
    </row>
    <row r="4298">
      <c r="A4298" s="7">
        <f>IFERROR(Datos!A4298,"")</f>
        <v/>
      </c>
      <c r="B4298" s="27">
        <f>IFERROR(IF(ISNUMBER(Datos!B4298),Datos!B4298/$F$2*100,NA()),NA())</f>
        <v/>
      </c>
      <c r="C4298" s="27">
        <f>IFERROR(IF(ISNUMBER(Datos!C4298),Datos!C4298/$F$3*100,NA()),NA())</f>
        <v/>
      </c>
    </row>
    <row r="4299">
      <c r="A4299" s="7">
        <f>IFERROR(Datos!A4299,"")</f>
        <v/>
      </c>
      <c r="B4299" s="27">
        <f>IFERROR(IF(ISNUMBER(Datos!B4299),Datos!B4299/$F$2*100,NA()),NA())</f>
        <v/>
      </c>
      <c r="C4299" s="27">
        <f>IFERROR(IF(ISNUMBER(Datos!C4299),Datos!C4299/$F$3*100,NA()),NA())</f>
        <v/>
      </c>
    </row>
    <row r="4300">
      <c r="A4300" s="7">
        <f>IFERROR(Datos!A4300,"")</f>
        <v/>
      </c>
      <c r="B4300" s="27">
        <f>IFERROR(IF(ISNUMBER(Datos!B4300),Datos!B4300/$F$2*100,NA()),NA())</f>
        <v/>
      </c>
      <c r="C4300" s="27">
        <f>IFERROR(IF(ISNUMBER(Datos!C4300),Datos!C4300/$F$3*100,NA()),NA())</f>
        <v/>
      </c>
    </row>
    <row r="4301">
      <c r="A4301" s="7">
        <f>IFERROR(Datos!A4301,"")</f>
        <v/>
      </c>
      <c r="B4301" s="27">
        <f>IFERROR(IF(ISNUMBER(Datos!B4301),Datos!B4301/$F$2*100,NA()),NA())</f>
        <v/>
      </c>
      <c r="C4301" s="27">
        <f>IFERROR(IF(ISNUMBER(Datos!C4301),Datos!C4301/$F$3*100,NA()),NA())</f>
        <v/>
      </c>
    </row>
    <row r="4302">
      <c r="A4302" s="7">
        <f>IFERROR(Datos!A4302,"")</f>
        <v/>
      </c>
      <c r="B4302" s="27">
        <f>IFERROR(IF(ISNUMBER(Datos!B4302),Datos!B4302/$F$2*100,NA()),NA())</f>
        <v/>
      </c>
      <c r="C4302" s="27">
        <f>IFERROR(IF(ISNUMBER(Datos!C4302),Datos!C4302/$F$3*100,NA()),NA())</f>
        <v/>
      </c>
    </row>
    <row r="4303">
      <c r="A4303" s="7">
        <f>IFERROR(Datos!A4303,"")</f>
        <v/>
      </c>
      <c r="B4303" s="27">
        <f>IFERROR(IF(ISNUMBER(Datos!B4303),Datos!B4303/$F$2*100,NA()),NA())</f>
        <v/>
      </c>
      <c r="C4303" s="27">
        <f>IFERROR(IF(ISNUMBER(Datos!C4303),Datos!C4303/$F$3*100,NA()),NA())</f>
        <v/>
      </c>
    </row>
    <row r="4304">
      <c r="A4304" s="7">
        <f>IFERROR(Datos!A4304,"")</f>
        <v/>
      </c>
      <c r="B4304" s="27">
        <f>IFERROR(IF(ISNUMBER(Datos!B4304),Datos!B4304/$F$2*100,NA()),NA())</f>
        <v/>
      </c>
      <c r="C4304" s="27">
        <f>IFERROR(IF(ISNUMBER(Datos!C4304),Datos!C4304/$F$3*100,NA()),NA())</f>
        <v/>
      </c>
    </row>
    <row r="4305">
      <c r="A4305" s="7">
        <f>IFERROR(Datos!A4305,"")</f>
        <v/>
      </c>
      <c r="B4305" s="27">
        <f>IFERROR(IF(ISNUMBER(Datos!B4305),Datos!B4305/$F$2*100,NA()),NA())</f>
        <v/>
      </c>
      <c r="C4305" s="27">
        <f>IFERROR(IF(ISNUMBER(Datos!C4305),Datos!C4305/$F$3*100,NA()),NA())</f>
        <v/>
      </c>
    </row>
    <row r="4306">
      <c r="A4306" s="7">
        <f>IFERROR(Datos!A4306,"")</f>
        <v/>
      </c>
      <c r="B4306" s="27">
        <f>IFERROR(IF(ISNUMBER(Datos!B4306),Datos!B4306/$F$2*100,NA()),NA())</f>
        <v/>
      </c>
      <c r="C4306" s="27">
        <f>IFERROR(IF(ISNUMBER(Datos!C4306),Datos!C4306/$F$3*100,NA()),NA())</f>
        <v/>
      </c>
    </row>
    <row r="4307">
      <c r="A4307" s="7">
        <f>IFERROR(Datos!A4307,"")</f>
        <v/>
      </c>
      <c r="B4307" s="27">
        <f>IFERROR(IF(ISNUMBER(Datos!B4307),Datos!B4307/$F$2*100,NA()),NA())</f>
        <v/>
      </c>
      <c r="C4307" s="27">
        <f>IFERROR(IF(ISNUMBER(Datos!C4307),Datos!C4307/$F$3*100,NA()),NA())</f>
        <v/>
      </c>
    </row>
    <row r="4308">
      <c r="A4308" s="7">
        <f>IFERROR(Datos!A4308,"")</f>
        <v/>
      </c>
      <c r="B4308" s="27">
        <f>IFERROR(IF(ISNUMBER(Datos!B4308),Datos!B4308/$F$2*100,NA()),NA())</f>
        <v/>
      </c>
      <c r="C4308" s="27">
        <f>IFERROR(IF(ISNUMBER(Datos!C4308),Datos!C4308/$F$3*100,NA()),NA())</f>
        <v/>
      </c>
    </row>
    <row r="4309">
      <c r="A4309" s="7">
        <f>IFERROR(Datos!A4309,"")</f>
        <v/>
      </c>
      <c r="B4309" s="27">
        <f>IFERROR(IF(ISNUMBER(Datos!B4309),Datos!B4309/$F$2*100,NA()),NA())</f>
        <v/>
      </c>
      <c r="C4309" s="27">
        <f>IFERROR(IF(ISNUMBER(Datos!C4309),Datos!C4309/$F$3*100,NA()),NA())</f>
        <v/>
      </c>
    </row>
    <row r="4310">
      <c r="A4310" s="7">
        <f>IFERROR(Datos!A4310,"")</f>
        <v/>
      </c>
      <c r="B4310" s="27">
        <f>IFERROR(IF(ISNUMBER(Datos!B4310),Datos!B4310/$F$2*100,NA()),NA())</f>
        <v/>
      </c>
      <c r="C4310" s="27">
        <f>IFERROR(IF(ISNUMBER(Datos!C4310),Datos!C4310/$F$3*100,NA()),NA())</f>
        <v/>
      </c>
    </row>
    <row r="4311">
      <c r="A4311" s="7">
        <f>IFERROR(Datos!A4311,"")</f>
        <v/>
      </c>
      <c r="B4311" s="27">
        <f>IFERROR(IF(ISNUMBER(Datos!B4311),Datos!B4311/$F$2*100,NA()),NA())</f>
        <v/>
      </c>
      <c r="C4311" s="27">
        <f>IFERROR(IF(ISNUMBER(Datos!C4311),Datos!C4311/$F$3*100,NA()),NA())</f>
        <v/>
      </c>
    </row>
    <row r="4312">
      <c r="A4312" s="7">
        <f>IFERROR(Datos!A4312,"")</f>
        <v/>
      </c>
      <c r="B4312" s="27">
        <f>IFERROR(IF(ISNUMBER(Datos!B4312),Datos!B4312/$F$2*100,NA()),NA())</f>
        <v/>
      </c>
      <c r="C4312" s="27">
        <f>IFERROR(IF(ISNUMBER(Datos!C4312),Datos!C4312/$F$3*100,NA()),NA())</f>
        <v/>
      </c>
    </row>
    <row r="4313">
      <c r="A4313" s="7">
        <f>IFERROR(Datos!A4313,"")</f>
        <v/>
      </c>
      <c r="B4313" s="27">
        <f>IFERROR(IF(ISNUMBER(Datos!B4313),Datos!B4313/$F$2*100,NA()),NA())</f>
        <v/>
      </c>
      <c r="C4313" s="27">
        <f>IFERROR(IF(ISNUMBER(Datos!C4313),Datos!C4313/$F$3*100,NA()),NA())</f>
        <v/>
      </c>
    </row>
    <row r="4314">
      <c r="A4314" s="7">
        <f>IFERROR(Datos!A4314,"")</f>
        <v/>
      </c>
      <c r="B4314" s="27">
        <f>IFERROR(IF(ISNUMBER(Datos!B4314),Datos!B4314/$F$2*100,NA()),NA())</f>
        <v/>
      </c>
      <c r="C4314" s="27">
        <f>IFERROR(IF(ISNUMBER(Datos!C4314),Datos!C4314/$F$3*100,NA()),NA())</f>
        <v/>
      </c>
    </row>
    <row r="4315">
      <c r="A4315" s="7">
        <f>IFERROR(Datos!A4315,"")</f>
        <v/>
      </c>
      <c r="B4315" s="27">
        <f>IFERROR(IF(ISNUMBER(Datos!B4315),Datos!B4315/$F$2*100,NA()),NA())</f>
        <v/>
      </c>
      <c r="C4315" s="27">
        <f>IFERROR(IF(ISNUMBER(Datos!C4315),Datos!C4315/$F$3*100,NA()),NA())</f>
        <v/>
      </c>
    </row>
    <row r="4316">
      <c r="A4316" s="7">
        <f>IFERROR(Datos!A4316,"")</f>
        <v/>
      </c>
      <c r="B4316" s="27">
        <f>IFERROR(IF(ISNUMBER(Datos!B4316),Datos!B4316/$F$2*100,NA()),NA())</f>
        <v/>
      </c>
      <c r="C4316" s="27">
        <f>IFERROR(IF(ISNUMBER(Datos!C4316),Datos!C4316/$F$3*100,NA()),NA())</f>
        <v/>
      </c>
    </row>
    <row r="4317">
      <c r="A4317" s="7">
        <f>IFERROR(Datos!A4317,"")</f>
        <v/>
      </c>
      <c r="B4317" s="27">
        <f>IFERROR(IF(ISNUMBER(Datos!B4317),Datos!B4317/$F$2*100,NA()),NA())</f>
        <v/>
      </c>
      <c r="C4317" s="27">
        <f>IFERROR(IF(ISNUMBER(Datos!C4317),Datos!C4317/$F$3*100,NA()),NA())</f>
        <v/>
      </c>
    </row>
    <row r="4318">
      <c r="A4318" s="7">
        <f>IFERROR(Datos!A4318,"")</f>
        <v/>
      </c>
      <c r="B4318" s="27">
        <f>IFERROR(IF(ISNUMBER(Datos!B4318),Datos!B4318/$F$2*100,NA()),NA())</f>
        <v/>
      </c>
      <c r="C4318" s="27">
        <f>IFERROR(IF(ISNUMBER(Datos!C4318),Datos!C4318/$F$3*100,NA()),NA())</f>
        <v/>
      </c>
    </row>
    <row r="4319">
      <c r="A4319" s="7">
        <f>IFERROR(Datos!A4319,"")</f>
        <v/>
      </c>
      <c r="B4319" s="27">
        <f>IFERROR(IF(ISNUMBER(Datos!B4319),Datos!B4319/$F$2*100,NA()),NA())</f>
        <v/>
      </c>
      <c r="C4319" s="27">
        <f>IFERROR(IF(ISNUMBER(Datos!C4319),Datos!C4319/$F$3*100,NA()),NA())</f>
        <v/>
      </c>
    </row>
    <row r="4320">
      <c r="A4320" s="7">
        <f>IFERROR(Datos!A4320,"")</f>
        <v/>
      </c>
      <c r="B4320" s="27">
        <f>IFERROR(IF(ISNUMBER(Datos!B4320),Datos!B4320/$F$2*100,NA()),NA())</f>
        <v/>
      </c>
      <c r="C4320" s="27">
        <f>IFERROR(IF(ISNUMBER(Datos!C4320),Datos!C4320/$F$3*100,NA()),NA())</f>
        <v/>
      </c>
    </row>
    <row r="4321">
      <c r="A4321" s="7">
        <f>IFERROR(Datos!A4321,"")</f>
        <v/>
      </c>
      <c r="B4321" s="27">
        <f>IFERROR(IF(ISNUMBER(Datos!B4321),Datos!B4321/$F$2*100,NA()),NA())</f>
        <v/>
      </c>
      <c r="C4321" s="27">
        <f>IFERROR(IF(ISNUMBER(Datos!C4321),Datos!C4321/$F$3*100,NA()),NA())</f>
        <v/>
      </c>
    </row>
    <row r="4322">
      <c r="A4322" s="7">
        <f>IFERROR(Datos!A4322,"")</f>
        <v/>
      </c>
      <c r="B4322" s="27">
        <f>IFERROR(IF(ISNUMBER(Datos!B4322),Datos!B4322/$F$2*100,NA()),NA())</f>
        <v/>
      </c>
      <c r="C4322" s="27">
        <f>IFERROR(IF(ISNUMBER(Datos!C4322),Datos!C4322/$F$3*100,NA()),NA())</f>
        <v/>
      </c>
    </row>
    <row r="4323">
      <c r="A4323" s="7">
        <f>IFERROR(Datos!A4323,"")</f>
        <v/>
      </c>
      <c r="B4323" s="27">
        <f>IFERROR(IF(ISNUMBER(Datos!B4323),Datos!B4323/$F$2*100,NA()),NA())</f>
        <v/>
      </c>
      <c r="C4323" s="27">
        <f>IFERROR(IF(ISNUMBER(Datos!C4323),Datos!C4323/$F$3*100,NA()),NA())</f>
        <v/>
      </c>
    </row>
    <row r="4324">
      <c r="A4324" s="7">
        <f>IFERROR(Datos!A4324,"")</f>
        <v/>
      </c>
      <c r="B4324" s="27">
        <f>IFERROR(IF(ISNUMBER(Datos!B4324),Datos!B4324/$F$2*100,NA()),NA())</f>
        <v/>
      </c>
      <c r="C4324" s="27">
        <f>IFERROR(IF(ISNUMBER(Datos!C4324),Datos!C4324/$F$3*100,NA()),NA())</f>
        <v/>
      </c>
    </row>
    <row r="4325">
      <c r="A4325" s="7">
        <f>IFERROR(Datos!A4325,"")</f>
        <v/>
      </c>
      <c r="B4325" s="27">
        <f>IFERROR(IF(ISNUMBER(Datos!B4325),Datos!B4325/$F$2*100,NA()),NA())</f>
        <v/>
      </c>
      <c r="C4325" s="27">
        <f>IFERROR(IF(ISNUMBER(Datos!C4325),Datos!C4325/$F$3*100,NA()),NA())</f>
        <v/>
      </c>
    </row>
    <row r="4326">
      <c r="A4326" s="7">
        <f>IFERROR(Datos!A4326,"")</f>
        <v/>
      </c>
      <c r="B4326" s="27">
        <f>IFERROR(IF(ISNUMBER(Datos!B4326),Datos!B4326/$F$2*100,NA()),NA())</f>
        <v/>
      </c>
      <c r="C4326" s="27">
        <f>IFERROR(IF(ISNUMBER(Datos!C4326),Datos!C4326/$F$3*100,NA()),NA())</f>
        <v/>
      </c>
    </row>
    <row r="4327">
      <c r="A4327" s="7">
        <f>IFERROR(Datos!A4327,"")</f>
        <v/>
      </c>
      <c r="B4327" s="27">
        <f>IFERROR(IF(ISNUMBER(Datos!B4327),Datos!B4327/$F$2*100,NA()),NA())</f>
        <v/>
      </c>
      <c r="C4327" s="27">
        <f>IFERROR(IF(ISNUMBER(Datos!C4327),Datos!C4327/$F$3*100,NA()),NA())</f>
        <v/>
      </c>
    </row>
    <row r="4328">
      <c r="A4328" s="7">
        <f>IFERROR(Datos!A4328,"")</f>
        <v/>
      </c>
      <c r="B4328" s="27">
        <f>IFERROR(IF(ISNUMBER(Datos!B4328),Datos!B4328/$F$2*100,NA()),NA())</f>
        <v/>
      </c>
      <c r="C4328" s="27">
        <f>IFERROR(IF(ISNUMBER(Datos!C4328),Datos!C4328/$F$3*100,NA()),NA())</f>
        <v/>
      </c>
    </row>
    <row r="4329">
      <c r="A4329" s="7">
        <f>IFERROR(Datos!A4329,"")</f>
        <v/>
      </c>
      <c r="B4329" s="27">
        <f>IFERROR(IF(ISNUMBER(Datos!B4329),Datos!B4329/$F$2*100,NA()),NA())</f>
        <v/>
      </c>
      <c r="C4329" s="27">
        <f>IFERROR(IF(ISNUMBER(Datos!C4329),Datos!C4329/$F$3*100,NA()),NA())</f>
        <v/>
      </c>
    </row>
    <row r="4330">
      <c r="A4330" s="7">
        <f>IFERROR(Datos!A4330,"")</f>
        <v/>
      </c>
      <c r="B4330" s="27">
        <f>IFERROR(IF(ISNUMBER(Datos!B4330),Datos!B4330/$F$2*100,NA()),NA())</f>
        <v/>
      </c>
      <c r="C4330" s="27">
        <f>IFERROR(IF(ISNUMBER(Datos!C4330),Datos!C4330/$F$3*100,NA()),NA())</f>
        <v/>
      </c>
    </row>
    <row r="4331">
      <c r="A4331" s="7">
        <f>IFERROR(Datos!A4331,"")</f>
        <v/>
      </c>
      <c r="B4331" s="27">
        <f>IFERROR(IF(ISNUMBER(Datos!B4331),Datos!B4331/$F$2*100,NA()),NA())</f>
        <v/>
      </c>
      <c r="C4331" s="27">
        <f>IFERROR(IF(ISNUMBER(Datos!C4331),Datos!C4331/$F$3*100,NA()),NA())</f>
        <v/>
      </c>
    </row>
    <row r="4332">
      <c r="A4332" s="7">
        <f>IFERROR(Datos!A4332,"")</f>
        <v/>
      </c>
      <c r="B4332" s="27">
        <f>IFERROR(IF(ISNUMBER(Datos!B4332),Datos!B4332/$F$2*100,NA()),NA())</f>
        <v/>
      </c>
      <c r="C4332" s="27">
        <f>IFERROR(IF(ISNUMBER(Datos!C4332),Datos!C4332/$F$3*100,NA()),NA())</f>
        <v/>
      </c>
    </row>
    <row r="4333">
      <c r="A4333" s="7">
        <f>IFERROR(Datos!A4333,"")</f>
        <v/>
      </c>
      <c r="B4333" s="27">
        <f>IFERROR(IF(ISNUMBER(Datos!B4333),Datos!B4333/$F$2*100,NA()),NA())</f>
        <v/>
      </c>
      <c r="C4333" s="27">
        <f>IFERROR(IF(ISNUMBER(Datos!C4333),Datos!C4333/$F$3*100,NA()),NA())</f>
        <v/>
      </c>
    </row>
    <row r="4334">
      <c r="A4334" s="7">
        <f>IFERROR(Datos!A4334,"")</f>
        <v/>
      </c>
      <c r="B4334" s="27">
        <f>IFERROR(IF(ISNUMBER(Datos!B4334),Datos!B4334/$F$2*100,NA()),NA())</f>
        <v/>
      </c>
      <c r="C4334" s="27">
        <f>IFERROR(IF(ISNUMBER(Datos!C4334),Datos!C4334/$F$3*100,NA()),NA())</f>
        <v/>
      </c>
    </row>
    <row r="4335">
      <c r="A4335" s="7">
        <f>IFERROR(Datos!A4335,"")</f>
        <v/>
      </c>
      <c r="B4335" s="27">
        <f>IFERROR(IF(ISNUMBER(Datos!B4335),Datos!B4335/$F$2*100,NA()),NA())</f>
        <v/>
      </c>
      <c r="C4335" s="27">
        <f>IFERROR(IF(ISNUMBER(Datos!C4335),Datos!C4335/$F$3*100,NA()),NA())</f>
        <v/>
      </c>
    </row>
    <row r="4336">
      <c r="A4336" s="7">
        <f>IFERROR(Datos!A4336,"")</f>
        <v/>
      </c>
      <c r="B4336" s="27">
        <f>IFERROR(IF(ISNUMBER(Datos!B4336),Datos!B4336/$F$2*100,NA()),NA())</f>
        <v/>
      </c>
      <c r="C4336" s="27">
        <f>IFERROR(IF(ISNUMBER(Datos!C4336),Datos!C4336/$F$3*100,NA()),NA())</f>
        <v/>
      </c>
    </row>
    <row r="4337">
      <c r="A4337" s="7">
        <f>IFERROR(Datos!A4337,"")</f>
        <v/>
      </c>
      <c r="B4337" s="27">
        <f>IFERROR(IF(ISNUMBER(Datos!B4337),Datos!B4337/$F$2*100,NA()),NA())</f>
        <v/>
      </c>
      <c r="C4337" s="27">
        <f>IFERROR(IF(ISNUMBER(Datos!C4337),Datos!C4337/$F$3*100,NA()),NA())</f>
        <v/>
      </c>
    </row>
    <row r="4338">
      <c r="A4338" s="7">
        <f>IFERROR(Datos!A4338,"")</f>
        <v/>
      </c>
      <c r="B4338" s="27">
        <f>IFERROR(IF(ISNUMBER(Datos!B4338),Datos!B4338/$F$2*100,NA()),NA())</f>
        <v/>
      </c>
      <c r="C4338" s="27">
        <f>IFERROR(IF(ISNUMBER(Datos!C4338),Datos!C4338/$F$3*100,NA()),NA())</f>
        <v/>
      </c>
    </row>
    <row r="4339">
      <c r="A4339" s="7">
        <f>IFERROR(Datos!A4339,"")</f>
        <v/>
      </c>
      <c r="B4339" s="27">
        <f>IFERROR(IF(ISNUMBER(Datos!B4339),Datos!B4339/$F$2*100,NA()),NA())</f>
        <v/>
      </c>
      <c r="C4339" s="27">
        <f>IFERROR(IF(ISNUMBER(Datos!C4339),Datos!C4339/$F$3*100,NA()),NA())</f>
        <v/>
      </c>
    </row>
    <row r="4340">
      <c r="A4340" s="7">
        <f>IFERROR(Datos!A4340,"")</f>
        <v/>
      </c>
      <c r="B4340" s="27">
        <f>IFERROR(IF(ISNUMBER(Datos!B4340),Datos!B4340/$F$2*100,NA()),NA())</f>
        <v/>
      </c>
      <c r="C4340" s="27">
        <f>IFERROR(IF(ISNUMBER(Datos!C4340),Datos!C4340/$F$3*100,NA()),NA())</f>
        <v/>
      </c>
    </row>
    <row r="4341">
      <c r="A4341" s="7">
        <f>IFERROR(Datos!A4341,"")</f>
        <v/>
      </c>
      <c r="B4341" s="27">
        <f>IFERROR(IF(ISNUMBER(Datos!B4341),Datos!B4341/$F$2*100,NA()),NA())</f>
        <v/>
      </c>
      <c r="C4341" s="27">
        <f>IFERROR(IF(ISNUMBER(Datos!C4341),Datos!C4341/$F$3*100,NA()),NA())</f>
        <v/>
      </c>
    </row>
    <row r="4342">
      <c r="A4342" s="7">
        <f>IFERROR(Datos!A4342,"")</f>
        <v/>
      </c>
      <c r="B4342" s="27">
        <f>IFERROR(IF(ISNUMBER(Datos!B4342),Datos!B4342/$F$2*100,NA()),NA())</f>
        <v/>
      </c>
      <c r="C4342" s="27">
        <f>IFERROR(IF(ISNUMBER(Datos!C4342),Datos!C4342/$F$3*100,NA()),NA())</f>
        <v/>
      </c>
    </row>
    <row r="4343">
      <c r="A4343" s="7">
        <f>IFERROR(Datos!A4343,"")</f>
        <v/>
      </c>
      <c r="B4343" s="27">
        <f>IFERROR(IF(ISNUMBER(Datos!B4343),Datos!B4343/$F$2*100,NA()),NA())</f>
        <v/>
      </c>
      <c r="C4343" s="27">
        <f>IFERROR(IF(ISNUMBER(Datos!C4343),Datos!C4343/$F$3*100,NA()),NA())</f>
        <v/>
      </c>
    </row>
    <row r="4344">
      <c r="A4344" s="7">
        <f>IFERROR(Datos!A4344,"")</f>
        <v/>
      </c>
      <c r="B4344" s="27">
        <f>IFERROR(IF(ISNUMBER(Datos!B4344),Datos!B4344/$F$2*100,NA()),NA())</f>
        <v/>
      </c>
      <c r="C4344" s="27">
        <f>IFERROR(IF(ISNUMBER(Datos!C4344),Datos!C4344/$F$3*100,NA()),NA())</f>
        <v/>
      </c>
    </row>
    <row r="4345">
      <c r="A4345" s="7">
        <f>IFERROR(Datos!A4345,"")</f>
        <v/>
      </c>
      <c r="B4345" s="27">
        <f>IFERROR(IF(ISNUMBER(Datos!B4345),Datos!B4345/$F$2*100,NA()),NA())</f>
        <v/>
      </c>
      <c r="C4345" s="27">
        <f>IFERROR(IF(ISNUMBER(Datos!C4345),Datos!C4345/$F$3*100,NA()),NA())</f>
        <v/>
      </c>
    </row>
    <row r="4346">
      <c r="A4346" s="7">
        <f>IFERROR(Datos!A4346,"")</f>
        <v/>
      </c>
      <c r="B4346" s="27">
        <f>IFERROR(IF(ISNUMBER(Datos!B4346),Datos!B4346/$F$2*100,NA()),NA())</f>
        <v/>
      </c>
      <c r="C4346" s="27">
        <f>IFERROR(IF(ISNUMBER(Datos!C4346),Datos!C4346/$F$3*100,NA()),NA())</f>
        <v/>
      </c>
    </row>
    <row r="4347">
      <c r="A4347" s="7">
        <f>IFERROR(Datos!A4347,"")</f>
        <v/>
      </c>
      <c r="B4347" s="27">
        <f>IFERROR(IF(ISNUMBER(Datos!B4347),Datos!B4347/$F$2*100,NA()),NA())</f>
        <v/>
      </c>
      <c r="C4347" s="27">
        <f>IFERROR(IF(ISNUMBER(Datos!C4347),Datos!C4347/$F$3*100,NA()),NA())</f>
        <v/>
      </c>
    </row>
    <row r="4348">
      <c r="A4348" s="7">
        <f>IFERROR(Datos!A4348,"")</f>
        <v/>
      </c>
      <c r="B4348" s="27">
        <f>IFERROR(IF(ISNUMBER(Datos!B4348),Datos!B4348/$F$2*100,NA()),NA())</f>
        <v/>
      </c>
      <c r="C4348" s="27">
        <f>IFERROR(IF(ISNUMBER(Datos!C4348),Datos!C4348/$F$3*100,NA()),NA())</f>
        <v/>
      </c>
    </row>
    <row r="4349">
      <c r="A4349" s="7">
        <f>IFERROR(Datos!A4349,"")</f>
        <v/>
      </c>
      <c r="B4349" s="27">
        <f>IFERROR(IF(ISNUMBER(Datos!B4349),Datos!B4349/$F$2*100,NA()),NA())</f>
        <v/>
      </c>
      <c r="C4349" s="27">
        <f>IFERROR(IF(ISNUMBER(Datos!C4349),Datos!C4349/$F$3*100,NA()),NA())</f>
        <v/>
      </c>
    </row>
    <row r="4350">
      <c r="A4350" s="7">
        <f>IFERROR(Datos!A4350,"")</f>
        <v/>
      </c>
      <c r="B4350" s="27">
        <f>IFERROR(IF(ISNUMBER(Datos!B4350),Datos!B4350/$F$2*100,NA()),NA())</f>
        <v/>
      </c>
      <c r="C4350" s="27">
        <f>IFERROR(IF(ISNUMBER(Datos!C4350),Datos!C4350/$F$3*100,NA()),NA())</f>
        <v/>
      </c>
    </row>
    <row r="4351">
      <c r="A4351" s="7">
        <f>IFERROR(Datos!A4351,"")</f>
        <v/>
      </c>
      <c r="B4351" s="27">
        <f>IFERROR(IF(ISNUMBER(Datos!B4351),Datos!B4351/$F$2*100,NA()),NA())</f>
        <v/>
      </c>
      <c r="C4351" s="27">
        <f>IFERROR(IF(ISNUMBER(Datos!C4351),Datos!C4351/$F$3*100,NA()),NA())</f>
        <v/>
      </c>
    </row>
    <row r="4352">
      <c r="A4352" s="7">
        <f>IFERROR(Datos!A4352,"")</f>
        <v/>
      </c>
      <c r="B4352" s="27">
        <f>IFERROR(IF(ISNUMBER(Datos!B4352),Datos!B4352/$F$2*100,NA()),NA())</f>
        <v/>
      </c>
      <c r="C4352" s="27">
        <f>IFERROR(IF(ISNUMBER(Datos!C4352),Datos!C4352/$F$3*100,NA()),NA())</f>
        <v/>
      </c>
    </row>
    <row r="4353">
      <c r="A4353" s="7">
        <f>IFERROR(Datos!A4353,"")</f>
        <v/>
      </c>
      <c r="B4353" s="27">
        <f>IFERROR(IF(ISNUMBER(Datos!B4353),Datos!B4353/$F$2*100,NA()),NA())</f>
        <v/>
      </c>
      <c r="C4353" s="27">
        <f>IFERROR(IF(ISNUMBER(Datos!C4353),Datos!C4353/$F$3*100,NA()),NA())</f>
        <v/>
      </c>
    </row>
    <row r="4354">
      <c r="A4354" s="7">
        <f>IFERROR(Datos!A4354,"")</f>
        <v/>
      </c>
      <c r="B4354" s="27">
        <f>IFERROR(IF(ISNUMBER(Datos!B4354),Datos!B4354/$F$2*100,NA()),NA())</f>
        <v/>
      </c>
      <c r="C4354" s="27">
        <f>IFERROR(IF(ISNUMBER(Datos!C4354),Datos!C4354/$F$3*100,NA()),NA())</f>
        <v/>
      </c>
    </row>
    <row r="4355">
      <c r="A4355" s="7">
        <f>IFERROR(Datos!A4355,"")</f>
        <v/>
      </c>
      <c r="B4355" s="27">
        <f>IFERROR(IF(ISNUMBER(Datos!B4355),Datos!B4355/$F$2*100,NA()),NA())</f>
        <v/>
      </c>
      <c r="C4355" s="27">
        <f>IFERROR(IF(ISNUMBER(Datos!C4355),Datos!C4355/$F$3*100,NA()),NA())</f>
        <v/>
      </c>
    </row>
    <row r="4356">
      <c r="A4356" s="7">
        <f>IFERROR(Datos!A4356,"")</f>
        <v/>
      </c>
      <c r="B4356" s="27">
        <f>IFERROR(IF(ISNUMBER(Datos!B4356),Datos!B4356/$F$2*100,NA()),NA())</f>
        <v/>
      </c>
      <c r="C4356" s="27">
        <f>IFERROR(IF(ISNUMBER(Datos!C4356),Datos!C4356/$F$3*100,NA()),NA())</f>
        <v/>
      </c>
    </row>
    <row r="4357">
      <c r="A4357" s="7">
        <f>IFERROR(Datos!A4357,"")</f>
        <v/>
      </c>
      <c r="B4357" s="27">
        <f>IFERROR(IF(ISNUMBER(Datos!B4357),Datos!B4357/$F$2*100,NA()),NA())</f>
        <v/>
      </c>
      <c r="C4357" s="27">
        <f>IFERROR(IF(ISNUMBER(Datos!C4357),Datos!C4357/$F$3*100,NA()),NA())</f>
        <v/>
      </c>
    </row>
    <row r="4358">
      <c r="A4358" s="7">
        <f>IFERROR(Datos!A4358,"")</f>
        <v/>
      </c>
      <c r="B4358" s="27">
        <f>IFERROR(IF(ISNUMBER(Datos!B4358),Datos!B4358/$F$2*100,NA()),NA())</f>
        <v/>
      </c>
      <c r="C4358" s="27">
        <f>IFERROR(IF(ISNUMBER(Datos!C4358),Datos!C4358/$F$3*100,NA()),NA())</f>
        <v/>
      </c>
    </row>
    <row r="4359">
      <c r="A4359" s="7">
        <f>IFERROR(Datos!A4359,"")</f>
        <v/>
      </c>
      <c r="B4359" s="27">
        <f>IFERROR(IF(ISNUMBER(Datos!B4359),Datos!B4359/$F$2*100,NA()),NA())</f>
        <v/>
      </c>
      <c r="C4359" s="27">
        <f>IFERROR(IF(ISNUMBER(Datos!C4359),Datos!C4359/$F$3*100,NA()),NA())</f>
        <v/>
      </c>
    </row>
    <row r="4360">
      <c r="A4360" s="7">
        <f>IFERROR(Datos!A4360,"")</f>
        <v/>
      </c>
      <c r="B4360" s="27">
        <f>IFERROR(IF(ISNUMBER(Datos!B4360),Datos!B4360/$F$2*100,NA()),NA())</f>
        <v/>
      </c>
      <c r="C4360" s="27">
        <f>IFERROR(IF(ISNUMBER(Datos!C4360),Datos!C4360/$F$3*100,NA()),NA())</f>
        <v/>
      </c>
    </row>
    <row r="4361">
      <c r="A4361" s="7">
        <f>IFERROR(Datos!A4361,"")</f>
        <v/>
      </c>
      <c r="B4361" s="27">
        <f>IFERROR(IF(ISNUMBER(Datos!B4361),Datos!B4361/$F$2*100,NA()),NA())</f>
        <v/>
      </c>
      <c r="C4361" s="27">
        <f>IFERROR(IF(ISNUMBER(Datos!C4361),Datos!C4361/$F$3*100,NA()),NA())</f>
        <v/>
      </c>
    </row>
    <row r="4362">
      <c r="A4362" s="7">
        <f>IFERROR(Datos!A4362,"")</f>
        <v/>
      </c>
      <c r="B4362" s="27">
        <f>IFERROR(IF(ISNUMBER(Datos!B4362),Datos!B4362/$F$2*100,NA()),NA())</f>
        <v/>
      </c>
      <c r="C4362" s="27">
        <f>IFERROR(IF(ISNUMBER(Datos!C4362),Datos!C4362/$F$3*100,NA()),NA())</f>
        <v/>
      </c>
    </row>
    <row r="4363">
      <c r="A4363" s="7">
        <f>IFERROR(Datos!A4363,"")</f>
        <v/>
      </c>
      <c r="B4363" s="27">
        <f>IFERROR(IF(ISNUMBER(Datos!B4363),Datos!B4363/$F$2*100,NA()),NA())</f>
        <v/>
      </c>
      <c r="C4363" s="27">
        <f>IFERROR(IF(ISNUMBER(Datos!C4363),Datos!C4363/$F$3*100,NA()),NA())</f>
        <v/>
      </c>
    </row>
    <row r="4364">
      <c r="A4364" s="7">
        <f>IFERROR(Datos!A4364,"")</f>
        <v/>
      </c>
      <c r="B4364" s="27">
        <f>IFERROR(IF(ISNUMBER(Datos!B4364),Datos!B4364/$F$2*100,NA()),NA())</f>
        <v/>
      </c>
      <c r="C4364" s="27">
        <f>IFERROR(IF(ISNUMBER(Datos!C4364),Datos!C4364/$F$3*100,NA()),NA())</f>
        <v/>
      </c>
    </row>
    <row r="4365">
      <c r="A4365" s="7">
        <f>IFERROR(Datos!A4365,"")</f>
        <v/>
      </c>
      <c r="B4365" s="27">
        <f>IFERROR(IF(ISNUMBER(Datos!B4365),Datos!B4365/$F$2*100,NA()),NA())</f>
        <v/>
      </c>
      <c r="C4365" s="27">
        <f>IFERROR(IF(ISNUMBER(Datos!C4365),Datos!C4365/$F$3*100,NA()),NA())</f>
        <v/>
      </c>
    </row>
    <row r="4366">
      <c r="A4366" s="7">
        <f>IFERROR(Datos!A4366,"")</f>
        <v/>
      </c>
      <c r="B4366" s="27">
        <f>IFERROR(IF(ISNUMBER(Datos!B4366),Datos!B4366/$F$2*100,NA()),NA())</f>
        <v/>
      </c>
      <c r="C4366" s="27">
        <f>IFERROR(IF(ISNUMBER(Datos!C4366),Datos!C4366/$F$3*100,NA()),NA())</f>
        <v/>
      </c>
    </row>
    <row r="4367">
      <c r="A4367" s="7">
        <f>IFERROR(Datos!A4367,"")</f>
        <v/>
      </c>
      <c r="B4367" s="27">
        <f>IFERROR(IF(ISNUMBER(Datos!B4367),Datos!B4367/$F$2*100,NA()),NA())</f>
        <v/>
      </c>
      <c r="C4367" s="27">
        <f>IFERROR(IF(ISNUMBER(Datos!C4367),Datos!C4367/$F$3*100,NA()),NA())</f>
        <v/>
      </c>
    </row>
    <row r="4368">
      <c r="A4368" s="7">
        <f>IFERROR(Datos!A4368,"")</f>
        <v/>
      </c>
      <c r="B4368" s="27">
        <f>IFERROR(IF(ISNUMBER(Datos!B4368),Datos!B4368/$F$2*100,NA()),NA())</f>
        <v/>
      </c>
      <c r="C4368" s="27">
        <f>IFERROR(IF(ISNUMBER(Datos!C4368),Datos!C4368/$F$3*100,NA()),NA())</f>
        <v/>
      </c>
    </row>
    <row r="4369">
      <c r="A4369" s="7">
        <f>IFERROR(Datos!A4369,"")</f>
        <v/>
      </c>
      <c r="B4369" s="27">
        <f>IFERROR(IF(ISNUMBER(Datos!B4369),Datos!B4369/$F$2*100,NA()),NA())</f>
        <v/>
      </c>
      <c r="C4369" s="27">
        <f>IFERROR(IF(ISNUMBER(Datos!C4369),Datos!C4369/$F$3*100,NA()),NA())</f>
        <v/>
      </c>
    </row>
    <row r="4370">
      <c r="A4370" s="7">
        <f>IFERROR(Datos!A4370,"")</f>
        <v/>
      </c>
      <c r="B4370" s="27">
        <f>IFERROR(IF(ISNUMBER(Datos!B4370),Datos!B4370/$F$2*100,NA()),NA())</f>
        <v/>
      </c>
      <c r="C4370" s="27">
        <f>IFERROR(IF(ISNUMBER(Datos!C4370),Datos!C4370/$F$3*100,NA()),NA())</f>
        <v/>
      </c>
    </row>
    <row r="4371">
      <c r="A4371" s="7">
        <f>IFERROR(Datos!A4371,"")</f>
        <v/>
      </c>
      <c r="B4371" s="27">
        <f>IFERROR(IF(ISNUMBER(Datos!B4371),Datos!B4371/$F$2*100,NA()),NA())</f>
        <v/>
      </c>
      <c r="C4371" s="27">
        <f>IFERROR(IF(ISNUMBER(Datos!C4371),Datos!C4371/$F$3*100,NA()),NA())</f>
        <v/>
      </c>
    </row>
    <row r="4372">
      <c r="A4372" s="7">
        <f>IFERROR(Datos!A4372,"")</f>
        <v/>
      </c>
      <c r="B4372" s="27">
        <f>IFERROR(IF(ISNUMBER(Datos!B4372),Datos!B4372/$F$2*100,NA()),NA())</f>
        <v/>
      </c>
      <c r="C4372" s="27">
        <f>IFERROR(IF(ISNUMBER(Datos!C4372),Datos!C4372/$F$3*100,NA()),NA())</f>
        <v/>
      </c>
    </row>
    <row r="4373">
      <c r="A4373" s="7">
        <f>IFERROR(Datos!A4373,"")</f>
        <v/>
      </c>
      <c r="B4373" s="27">
        <f>IFERROR(IF(ISNUMBER(Datos!B4373),Datos!B4373/$F$2*100,NA()),NA())</f>
        <v/>
      </c>
      <c r="C4373" s="27">
        <f>IFERROR(IF(ISNUMBER(Datos!C4373),Datos!C4373/$F$3*100,NA()),NA())</f>
        <v/>
      </c>
    </row>
    <row r="4374">
      <c r="A4374" s="7">
        <f>IFERROR(Datos!A4374,"")</f>
        <v/>
      </c>
      <c r="B4374" s="27">
        <f>IFERROR(IF(ISNUMBER(Datos!B4374),Datos!B4374/$F$2*100,NA()),NA())</f>
        <v/>
      </c>
      <c r="C4374" s="27">
        <f>IFERROR(IF(ISNUMBER(Datos!C4374),Datos!C4374/$F$3*100,NA()),NA())</f>
        <v/>
      </c>
    </row>
    <row r="4375">
      <c r="A4375" s="7">
        <f>IFERROR(Datos!A4375,"")</f>
        <v/>
      </c>
      <c r="B4375" s="27">
        <f>IFERROR(IF(ISNUMBER(Datos!B4375),Datos!B4375/$F$2*100,NA()),NA())</f>
        <v/>
      </c>
      <c r="C4375" s="27">
        <f>IFERROR(IF(ISNUMBER(Datos!C4375),Datos!C4375/$F$3*100,NA()),NA())</f>
        <v/>
      </c>
    </row>
    <row r="4376">
      <c r="A4376" s="7">
        <f>IFERROR(Datos!A4376,"")</f>
        <v/>
      </c>
      <c r="B4376" s="27">
        <f>IFERROR(IF(ISNUMBER(Datos!B4376),Datos!B4376/$F$2*100,NA()),NA())</f>
        <v/>
      </c>
      <c r="C4376" s="27">
        <f>IFERROR(IF(ISNUMBER(Datos!C4376),Datos!C4376/$F$3*100,NA()),NA())</f>
        <v/>
      </c>
    </row>
    <row r="4377">
      <c r="A4377" s="7">
        <f>IFERROR(Datos!A4377,"")</f>
        <v/>
      </c>
      <c r="B4377" s="27">
        <f>IFERROR(IF(ISNUMBER(Datos!B4377),Datos!B4377/$F$2*100,NA()),NA())</f>
        <v/>
      </c>
      <c r="C4377" s="27">
        <f>IFERROR(IF(ISNUMBER(Datos!C4377),Datos!C4377/$F$3*100,NA()),NA())</f>
        <v/>
      </c>
    </row>
    <row r="4378">
      <c r="A4378" s="7">
        <f>IFERROR(Datos!A4378,"")</f>
        <v/>
      </c>
      <c r="B4378" s="27">
        <f>IFERROR(IF(ISNUMBER(Datos!B4378),Datos!B4378/$F$2*100,NA()),NA())</f>
        <v/>
      </c>
      <c r="C4378" s="27">
        <f>IFERROR(IF(ISNUMBER(Datos!C4378),Datos!C4378/$F$3*100,NA()),NA())</f>
        <v/>
      </c>
    </row>
    <row r="4379">
      <c r="A4379" s="7">
        <f>IFERROR(Datos!A4379,"")</f>
        <v/>
      </c>
      <c r="B4379" s="27">
        <f>IFERROR(IF(ISNUMBER(Datos!B4379),Datos!B4379/$F$2*100,NA()),NA())</f>
        <v/>
      </c>
      <c r="C4379" s="27">
        <f>IFERROR(IF(ISNUMBER(Datos!C4379),Datos!C4379/$F$3*100,NA()),NA())</f>
        <v/>
      </c>
    </row>
    <row r="4380">
      <c r="A4380" s="7">
        <f>IFERROR(Datos!A4380,"")</f>
        <v/>
      </c>
      <c r="B4380" s="27">
        <f>IFERROR(IF(ISNUMBER(Datos!B4380),Datos!B4380/$F$2*100,NA()),NA())</f>
        <v/>
      </c>
      <c r="C4380" s="27">
        <f>IFERROR(IF(ISNUMBER(Datos!C4380),Datos!C4380/$F$3*100,NA()),NA())</f>
        <v/>
      </c>
    </row>
    <row r="4381">
      <c r="A4381" s="7">
        <f>IFERROR(Datos!A4381,"")</f>
        <v/>
      </c>
      <c r="B4381" s="27">
        <f>IFERROR(IF(ISNUMBER(Datos!B4381),Datos!B4381/$F$2*100,NA()),NA())</f>
        <v/>
      </c>
      <c r="C4381" s="27">
        <f>IFERROR(IF(ISNUMBER(Datos!C4381),Datos!C4381/$F$3*100,NA()),NA())</f>
        <v/>
      </c>
    </row>
    <row r="4382">
      <c r="A4382" s="7">
        <f>IFERROR(Datos!A4382,"")</f>
        <v/>
      </c>
      <c r="B4382" s="27">
        <f>IFERROR(IF(ISNUMBER(Datos!B4382),Datos!B4382/$F$2*100,NA()),NA())</f>
        <v/>
      </c>
      <c r="C4382" s="27">
        <f>IFERROR(IF(ISNUMBER(Datos!C4382),Datos!C4382/$F$3*100,NA()),NA())</f>
        <v/>
      </c>
    </row>
    <row r="4383">
      <c r="A4383" s="7">
        <f>IFERROR(Datos!A4383,"")</f>
        <v/>
      </c>
      <c r="B4383" s="27">
        <f>IFERROR(IF(ISNUMBER(Datos!B4383),Datos!B4383/$F$2*100,NA()),NA())</f>
        <v/>
      </c>
      <c r="C4383" s="27">
        <f>IFERROR(IF(ISNUMBER(Datos!C4383),Datos!C4383/$F$3*100,NA()),NA())</f>
        <v/>
      </c>
    </row>
    <row r="4384">
      <c r="A4384" s="7">
        <f>IFERROR(Datos!A4384,"")</f>
        <v/>
      </c>
      <c r="B4384" s="27">
        <f>IFERROR(IF(ISNUMBER(Datos!B4384),Datos!B4384/$F$2*100,NA()),NA())</f>
        <v/>
      </c>
      <c r="C4384" s="27">
        <f>IFERROR(IF(ISNUMBER(Datos!C4384),Datos!C4384/$F$3*100,NA()),NA())</f>
        <v/>
      </c>
    </row>
    <row r="4385">
      <c r="A4385" s="7">
        <f>IFERROR(Datos!A4385,"")</f>
        <v/>
      </c>
      <c r="B4385" s="27">
        <f>IFERROR(IF(ISNUMBER(Datos!B4385),Datos!B4385/$F$2*100,NA()),NA())</f>
        <v/>
      </c>
      <c r="C4385" s="27">
        <f>IFERROR(IF(ISNUMBER(Datos!C4385),Datos!C4385/$F$3*100,NA()),NA())</f>
        <v/>
      </c>
    </row>
    <row r="4386">
      <c r="A4386" s="7">
        <f>IFERROR(Datos!A4386,"")</f>
        <v/>
      </c>
      <c r="B4386" s="27">
        <f>IFERROR(IF(ISNUMBER(Datos!B4386),Datos!B4386/$F$2*100,NA()),NA())</f>
        <v/>
      </c>
      <c r="C4386" s="27">
        <f>IFERROR(IF(ISNUMBER(Datos!C4386),Datos!C4386/$F$3*100,NA()),NA())</f>
        <v/>
      </c>
    </row>
    <row r="4387">
      <c r="A4387" s="7">
        <f>IFERROR(Datos!A4387,"")</f>
        <v/>
      </c>
      <c r="B4387" s="27">
        <f>IFERROR(IF(ISNUMBER(Datos!B4387),Datos!B4387/$F$2*100,NA()),NA())</f>
        <v/>
      </c>
      <c r="C4387" s="27">
        <f>IFERROR(IF(ISNUMBER(Datos!C4387),Datos!C4387/$F$3*100,NA()),NA())</f>
        <v/>
      </c>
    </row>
    <row r="4388">
      <c r="A4388" s="7">
        <f>IFERROR(Datos!A4388,"")</f>
        <v/>
      </c>
      <c r="B4388" s="27">
        <f>IFERROR(IF(ISNUMBER(Datos!B4388),Datos!B4388/$F$2*100,NA()),NA())</f>
        <v/>
      </c>
      <c r="C4388" s="27">
        <f>IFERROR(IF(ISNUMBER(Datos!C4388),Datos!C4388/$F$3*100,NA()),NA())</f>
        <v/>
      </c>
    </row>
    <row r="4389">
      <c r="A4389" s="7">
        <f>IFERROR(Datos!A4389,"")</f>
        <v/>
      </c>
      <c r="B4389" s="27">
        <f>IFERROR(IF(ISNUMBER(Datos!B4389),Datos!B4389/$F$2*100,NA()),NA())</f>
        <v/>
      </c>
      <c r="C4389" s="27">
        <f>IFERROR(IF(ISNUMBER(Datos!C4389),Datos!C4389/$F$3*100,NA()),NA())</f>
        <v/>
      </c>
    </row>
    <row r="4390">
      <c r="A4390" s="7">
        <f>IFERROR(Datos!A4390,"")</f>
        <v/>
      </c>
      <c r="B4390" s="27">
        <f>IFERROR(IF(ISNUMBER(Datos!B4390),Datos!B4390/$F$2*100,NA()),NA())</f>
        <v/>
      </c>
      <c r="C4390" s="27">
        <f>IFERROR(IF(ISNUMBER(Datos!C4390),Datos!C4390/$F$3*100,NA()),NA())</f>
        <v/>
      </c>
    </row>
    <row r="4391">
      <c r="A4391" s="7">
        <f>IFERROR(Datos!A4391,"")</f>
        <v/>
      </c>
      <c r="B4391" s="27">
        <f>IFERROR(IF(ISNUMBER(Datos!B4391),Datos!B4391/$F$2*100,NA()),NA())</f>
        <v/>
      </c>
      <c r="C4391" s="27">
        <f>IFERROR(IF(ISNUMBER(Datos!C4391),Datos!C4391/$F$3*100,NA()),NA())</f>
        <v/>
      </c>
    </row>
    <row r="4392">
      <c r="A4392" s="7">
        <f>IFERROR(Datos!A4392,"")</f>
        <v/>
      </c>
      <c r="B4392" s="27">
        <f>IFERROR(IF(ISNUMBER(Datos!B4392),Datos!B4392/$F$2*100,NA()),NA())</f>
        <v/>
      </c>
      <c r="C4392" s="27">
        <f>IFERROR(IF(ISNUMBER(Datos!C4392),Datos!C4392/$F$3*100,NA()),NA())</f>
        <v/>
      </c>
    </row>
    <row r="4393">
      <c r="A4393" s="7">
        <f>IFERROR(Datos!A4393,"")</f>
        <v/>
      </c>
      <c r="B4393" s="27">
        <f>IFERROR(IF(ISNUMBER(Datos!B4393),Datos!B4393/$F$2*100,NA()),NA())</f>
        <v/>
      </c>
      <c r="C4393" s="27">
        <f>IFERROR(IF(ISNUMBER(Datos!C4393),Datos!C4393/$F$3*100,NA()),NA())</f>
        <v/>
      </c>
    </row>
    <row r="4394">
      <c r="A4394" s="7">
        <f>IFERROR(Datos!A4394,"")</f>
        <v/>
      </c>
      <c r="B4394" s="27">
        <f>IFERROR(IF(ISNUMBER(Datos!B4394),Datos!B4394/$F$2*100,NA()),NA())</f>
        <v/>
      </c>
      <c r="C4394" s="27">
        <f>IFERROR(IF(ISNUMBER(Datos!C4394),Datos!C4394/$F$3*100,NA()),NA())</f>
        <v/>
      </c>
    </row>
    <row r="4395">
      <c r="A4395" s="7">
        <f>IFERROR(Datos!A4395,"")</f>
        <v/>
      </c>
      <c r="B4395" s="27">
        <f>IFERROR(IF(ISNUMBER(Datos!B4395),Datos!B4395/$F$2*100,NA()),NA())</f>
        <v/>
      </c>
      <c r="C4395" s="27">
        <f>IFERROR(IF(ISNUMBER(Datos!C4395),Datos!C4395/$F$3*100,NA()),NA())</f>
        <v/>
      </c>
    </row>
    <row r="4396">
      <c r="A4396" s="7">
        <f>IFERROR(Datos!A4396,"")</f>
        <v/>
      </c>
      <c r="B4396" s="27">
        <f>IFERROR(IF(ISNUMBER(Datos!B4396),Datos!B4396/$F$2*100,NA()),NA())</f>
        <v/>
      </c>
      <c r="C4396" s="27">
        <f>IFERROR(IF(ISNUMBER(Datos!C4396),Datos!C4396/$F$3*100,NA()),NA())</f>
        <v/>
      </c>
    </row>
    <row r="4397">
      <c r="A4397" s="7">
        <f>IFERROR(Datos!A4397,"")</f>
        <v/>
      </c>
      <c r="B4397" s="27">
        <f>IFERROR(IF(ISNUMBER(Datos!B4397),Datos!B4397/$F$2*100,NA()),NA())</f>
        <v/>
      </c>
      <c r="C4397" s="27">
        <f>IFERROR(IF(ISNUMBER(Datos!C4397),Datos!C4397/$F$3*100,NA()),NA())</f>
        <v/>
      </c>
    </row>
    <row r="4398">
      <c r="A4398" s="7">
        <f>IFERROR(Datos!A4398,"")</f>
        <v/>
      </c>
      <c r="B4398" s="27">
        <f>IFERROR(IF(ISNUMBER(Datos!B4398),Datos!B4398/$F$2*100,NA()),NA())</f>
        <v/>
      </c>
      <c r="C4398" s="27">
        <f>IFERROR(IF(ISNUMBER(Datos!C4398),Datos!C4398/$F$3*100,NA()),NA())</f>
        <v/>
      </c>
    </row>
    <row r="4399">
      <c r="A4399" s="7">
        <f>IFERROR(Datos!A4399,"")</f>
        <v/>
      </c>
      <c r="B4399" s="27">
        <f>IFERROR(IF(ISNUMBER(Datos!B4399),Datos!B4399/$F$2*100,NA()),NA())</f>
        <v/>
      </c>
      <c r="C4399" s="27">
        <f>IFERROR(IF(ISNUMBER(Datos!C4399),Datos!C4399/$F$3*100,NA()),NA())</f>
        <v/>
      </c>
    </row>
    <row r="4400">
      <c r="A4400" s="7">
        <f>IFERROR(Datos!A4400,"")</f>
        <v/>
      </c>
      <c r="B4400" s="27">
        <f>IFERROR(IF(ISNUMBER(Datos!B4400),Datos!B4400/$F$2*100,NA()),NA())</f>
        <v/>
      </c>
      <c r="C4400" s="27">
        <f>IFERROR(IF(ISNUMBER(Datos!C4400),Datos!C4400/$F$3*100,NA()),NA())</f>
        <v/>
      </c>
    </row>
    <row r="4401">
      <c r="A4401" s="7">
        <f>IFERROR(Datos!A4401,"")</f>
        <v/>
      </c>
      <c r="B4401" s="27">
        <f>IFERROR(IF(ISNUMBER(Datos!B4401),Datos!B4401/$F$2*100,NA()),NA())</f>
        <v/>
      </c>
      <c r="C4401" s="27">
        <f>IFERROR(IF(ISNUMBER(Datos!C4401),Datos!C4401/$F$3*100,NA()),NA())</f>
        <v/>
      </c>
    </row>
    <row r="4402">
      <c r="A4402" s="7">
        <f>IFERROR(Datos!A4402,"")</f>
        <v/>
      </c>
      <c r="B4402" s="27">
        <f>IFERROR(IF(ISNUMBER(Datos!B4402),Datos!B4402/$F$2*100,NA()),NA())</f>
        <v/>
      </c>
      <c r="C4402" s="27">
        <f>IFERROR(IF(ISNUMBER(Datos!C4402),Datos!C4402/$F$3*100,NA()),NA())</f>
        <v/>
      </c>
    </row>
    <row r="4403">
      <c r="A4403" s="7">
        <f>IFERROR(Datos!A4403,"")</f>
        <v/>
      </c>
      <c r="B4403" s="27">
        <f>IFERROR(IF(ISNUMBER(Datos!B4403),Datos!B4403/$F$2*100,NA()),NA())</f>
        <v/>
      </c>
      <c r="C4403" s="27">
        <f>IFERROR(IF(ISNUMBER(Datos!C4403),Datos!C4403/$F$3*100,NA()),NA())</f>
        <v/>
      </c>
    </row>
    <row r="4404">
      <c r="A4404" s="7">
        <f>IFERROR(Datos!A4404,"")</f>
        <v/>
      </c>
      <c r="B4404" s="27">
        <f>IFERROR(IF(ISNUMBER(Datos!B4404),Datos!B4404/$F$2*100,NA()),NA())</f>
        <v/>
      </c>
      <c r="C4404" s="27">
        <f>IFERROR(IF(ISNUMBER(Datos!C4404),Datos!C4404/$F$3*100,NA()),NA())</f>
        <v/>
      </c>
    </row>
    <row r="4405">
      <c r="A4405" s="7">
        <f>IFERROR(Datos!A4405,"")</f>
        <v/>
      </c>
      <c r="B4405" s="27">
        <f>IFERROR(IF(ISNUMBER(Datos!B4405),Datos!B4405/$F$2*100,NA()),NA())</f>
        <v/>
      </c>
      <c r="C4405" s="27">
        <f>IFERROR(IF(ISNUMBER(Datos!C4405),Datos!C4405/$F$3*100,NA()),NA())</f>
        <v/>
      </c>
    </row>
    <row r="4406">
      <c r="A4406" s="7">
        <f>IFERROR(Datos!A4406,"")</f>
        <v/>
      </c>
      <c r="B4406" s="27">
        <f>IFERROR(IF(ISNUMBER(Datos!B4406),Datos!B4406/$F$2*100,NA()),NA())</f>
        <v/>
      </c>
      <c r="C4406" s="27">
        <f>IFERROR(IF(ISNUMBER(Datos!C4406),Datos!C4406/$F$3*100,NA()),NA())</f>
        <v/>
      </c>
    </row>
    <row r="4407">
      <c r="A4407" s="7">
        <f>IFERROR(Datos!A4407,"")</f>
        <v/>
      </c>
      <c r="B4407" s="27">
        <f>IFERROR(IF(ISNUMBER(Datos!B4407),Datos!B4407/$F$2*100,NA()),NA())</f>
        <v/>
      </c>
      <c r="C4407" s="27">
        <f>IFERROR(IF(ISNUMBER(Datos!C4407),Datos!C4407/$F$3*100,NA()),NA())</f>
        <v/>
      </c>
    </row>
    <row r="4408">
      <c r="A4408" s="7">
        <f>IFERROR(Datos!A4408,"")</f>
        <v/>
      </c>
      <c r="B4408" s="27">
        <f>IFERROR(IF(ISNUMBER(Datos!B4408),Datos!B4408/$F$2*100,NA()),NA())</f>
        <v/>
      </c>
      <c r="C4408" s="27">
        <f>IFERROR(IF(ISNUMBER(Datos!C4408),Datos!C4408/$F$3*100,NA()),NA())</f>
        <v/>
      </c>
    </row>
    <row r="4409">
      <c r="A4409" s="7">
        <f>IFERROR(Datos!A4409,"")</f>
        <v/>
      </c>
      <c r="B4409" s="27">
        <f>IFERROR(IF(ISNUMBER(Datos!B4409),Datos!B4409/$F$2*100,NA()),NA())</f>
        <v/>
      </c>
      <c r="C4409" s="27">
        <f>IFERROR(IF(ISNUMBER(Datos!C4409),Datos!C4409/$F$3*100,NA()),NA())</f>
        <v/>
      </c>
    </row>
    <row r="4410">
      <c r="A4410" s="7">
        <f>IFERROR(Datos!A4410,"")</f>
        <v/>
      </c>
      <c r="B4410" s="27">
        <f>IFERROR(IF(ISNUMBER(Datos!B4410),Datos!B4410/$F$2*100,NA()),NA())</f>
        <v/>
      </c>
      <c r="C4410" s="27">
        <f>IFERROR(IF(ISNUMBER(Datos!C4410),Datos!C4410/$F$3*100,NA()),NA())</f>
        <v/>
      </c>
    </row>
    <row r="4411">
      <c r="A4411" s="7">
        <f>IFERROR(Datos!A4411,"")</f>
        <v/>
      </c>
      <c r="B4411" s="27">
        <f>IFERROR(IF(ISNUMBER(Datos!B4411),Datos!B4411/$F$2*100,NA()),NA())</f>
        <v/>
      </c>
      <c r="C4411" s="27">
        <f>IFERROR(IF(ISNUMBER(Datos!C4411),Datos!C4411/$F$3*100,NA()),NA())</f>
        <v/>
      </c>
    </row>
    <row r="4412">
      <c r="A4412" s="7">
        <f>IFERROR(Datos!A4412,"")</f>
        <v/>
      </c>
      <c r="B4412" s="27">
        <f>IFERROR(IF(ISNUMBER(Datos!B4412),Datos!B4412/$F$2*100,NA()),NA())</f>
        <v/>
      </c>
      <c r="C4412" s="27">
        <f>IFERROR(IF(ISNUMBER(Datos!C4412),Datos!C4412/$F$3*100,NA()),NA())</f>
        <v/>
      </c>
    </row>
    <row r="4413">
      <c r="A4413" s="7">
        <f>IFERROR(Datos!A4413,"")</f>
        <v/>
      </c>
      <c r="B4413" s="27">
        <f>IFERROR(IF(ISNUMBER(Datos!B4413),Datos!B4413/$F$2*100,NA()),NA())</f>
        <v/>
      </c>
      <c r="C4413" s="27">
        <f>IFERROR(IF(ISNUMBER(Datos!C4413),Datos!C4413/$F$3*100,NA()),NA())</f>
        <v/>
      </c>
    </row>
    <row r="4414">
      <c r="A4414" s="7">
        <f>IFERROR(Datos!A4414,"")</f>
        <v/>
      </c>
      <c r="B4414" s="27">
        <f>IFERROR(IF(ISNUMBER(Datos!B4414),Datos!B4414/$F$2*100,NA()),NA())</f>
        <v/>
      </c>
      <c r="C4414" s="27">
        <f>IFERROR(IF(ISNUMBER(Datos!C4414),Datos!C4414/$F$3*100,NA()),NA())</f>
        <v/>
      </c>
    </row>
    <row r="4415">
      <c r="A4415" s="7">
        <f>IFERROR(Datos!A4415,"")</f>
        <v/>
      </c>
      <c r="B4415" s="27">
        <f>IFERROR(IF(ISNUMBER(Datos!B4415),Datos!B4415/$F$2*100,NA()),NA())</f>
        <v/>
      </c>
      <c r="C4415" s="27">
        <f>IFERROR(IF(ISNUMBER(Datos!C4415),Datos!C4415/$F$3*100,NA()),NA())</f>
        <v/>
      </c>
    </row>
    <row r="4416">
      <c r="A4416" s="7">
        <f>IFERROR(Datos!A4416,"")</f>
        <v/>
      </c>
      <c r="B4416" s="27">
        <f>IFERROR(IF(ISNUMBER(Datos!B4416),Datos!B4416/$F$2*100,NA()),NA())</f>
        <v/>
      </c>
      <c r="C4416" s="27">
        <f>IFERROR(IF(ISNUMBER(Datos!C4416),Datos!C4416/$F$3*100,NA()),NA())</f>
        <v/>
      </c>
    </row>
    <row r="4417">
      <c r="A4417" s="7">
        <f>IFERROR(Datos!A4417,"")</f>
        <v/>
      </c>
      <c r="B4417" s="27">
        <f>IFERROR(IF(ISNUMBER(Datos!B4417),Datos!B4417/$F$2*100,NA()),NA())</f>
        <v/>
      </c>
      <c r="C4417" s="27">
        <f>IFERROR(IF(ISNUMBER(Datos!C4417),Datos!C4417/$F$3*100,NA()),NA())</f>
        <v/>
      </c>
    </row>
    <row r="4418">
      <c r="A4418" s="7">
        <f>IFERROR(Datos!A4418,"")</f>
        <v/>
      </c>
      <c r="B4418" s="27">
        <f>IFERROR(IF(ISNUMBER(Datos!B4418),Datos!B4418/$F$2*100,NA()),NA())</f>
        <v/>
      </c>
      <c r="C4418" s="27">
        <f>IFERROR(IF(ISNUMBER(Datos!C4418),Datos!C4418/$F$3*100,NA()),NA())</f>
        <v/>
      </c>
    </row>
    <row r="4419">
      <c r="A4419" s="7">
        <f>IFERROR(Datos!A4419,"")</f>
        <v/>
      </c>
      <c r="B4419" s="27">
        <f>IFERROR(IF(ISNUMBER(Datos!B4419),Datos!B4419/$F$2*100,NA()),NA())</f>
        <v/>
      </c>
      <c r="C4419" s="27">
        <f>IFERROR(IF(ISNUMBER(Datos!C4419),Datos!C4419/$F$3*100,NA()),NA())</f>
        <v/>
      </c>
    </row>
    <row r="4420">
      <c r="A4420" s="7">
        <f>IFERROR(Datos!A4420,"")</f>
        <v/>
      </c>
      <c r="B4420" s="27">
        <f>IFERROR(IF(ISNUMBER(Datos!B4420),Datos!B4420/$F$2*100,NA()),NA())</f>
        <v/>
      </c>
      <c r="C4420" s="27">
        <f>IFERROR(IF(ISNUMBER(Datos!C4420),Datos!C4420/$F$3*100,NA()),NA())</f>
        <v/>
      </c>
    </row>
    <row r="4421">
      <c r="A4421" s="7">
        <f>IFERROR(Datos!A4421,"")</f>
        <v/>
      </c>
      <c r="B4421" s="27">
        <f>IFERROR(IF(ISNUMBER(Datos!B4421),Datos!B4421/$F$2*100,NA()),NA())</f>
        <v/>
      </c>
      <c r="C4421" s="27">
        <f>IFERROR(IF(ISNUMBER(Datos!C4421),Datos!C4421/$F$3*100,NA()),NA())</f>
        <v/>
      </c>
    </row>
    <row r="4422">
      <c r="A4422" s="7">
        <f>IFERROR(Datos!A4422,"")</f>
        <v/>
      </c>
      <c r="B4422" s="27">
        <f>IFERROR(IF(ISNUMBER(Datos!B4422),Datos!B4422/$F$2*100,NA()),NA())</f>
        <v/>
      </c>
      <c r="C4422" s="27">
        <f>IFERROR(IF(ISNUMBER(Datos!C4422),Datos!C4422/$F$3*100,NA()),NA())</f>
        <v/>
      </c>
    </row>
    <row r="4423">
      <c r="A4423" s="7">
        <f>IFERROR(Datos!A4423,"")</f>
        <v/>
      </c>
      <c r="B4423" s="27">
        <f>IFERROR(IF(ISNUMBER(Datos!B4423),Datos!B4423/$F$2*100,NA()),NA())</f>
        <v/>
      </c>
      <c r="C4423" s="27">
        <f>IFERROR(IF(ISNUMBER(Datos!C4423),Datos!C4423/$F$3*100,NA()),NA())</f>
        <v/>
      </c>
    </row>
    <row r="4424">
      <c r="A4424" s="7">
        <f>IFERROR(Datos!A4424,"")</f>
        <v/>
      </c>
      <c r="B4424" s="27">
        <f>IFERROR(IF(ISNUMBER(Datos!B4424),Datos!B4424/$F$2*100,NA()),NA())</f>
        <v/>
      </c>
      <c r="C4424" s="27">
        <f>IFERROR(IF(ISNUMBER(Datos!C4424),Datos!C4424/$F$3*100,NA()),NA())</f>
        <v/>
      </c>
    </row>
    <row r="4425">
      <c r="A4425" s="7">
        <f>IFERROR(Datos!A4425,"")</f>
        <v/>
      </c>
      <c r="B4425" s="27">
        <f>IFERROR(IF(ISNUMBER(Datos!B4425),Datos!B4425/$F$2*100,NA()),NA())</f>
        <v/>
      </c>
      <c r="C4425" s="27">
        <f>IFERROR(IF(ISNUMBER(Datos!C4425),Datos!C4425/$F$3*100,NA()),NA())</f>
        <v/>
      </c>
    </row>
    <row r="4426">
      <c r="A4426" s="7">
        <f>IFERROR(Datos!A4426,"")</f>
        <v/>
      </c>
      <c r="B4426" s="27">
        <f>IFERROR(IF(ISNUMBER(Datos!B4426),Datos!B4426/$F$2*100,NA()),NA())</f>
        <v/>
      </c>
      <c r="C4426" s="27">
        <f>IFERROR(IF(ISNUMBER(Datos!C4426),Datos!C4426/$F$3*100,NA()),NA())</f>
        <v/>
      </c>
    </row>
    <row r="4427">
      <c r="A4427" s="7">
        <f>IFERROR(Datos!A4427,"")</f>
        <v/>
      </c>
      <c r="B4427" s="27">
        <f>IFERROR(IF(ISNUMBER(Datos!B4427),Datos!B4427/$F$2*100,NA()),NA())</f>
        <v/>
      </c>
      <c r="C4427" s="27">
        <f>IFERROR(IF(ISNUMBER(Datos!C4427),Datos!C4427/$F$3*100,NA()),NA())</f>
        <v/>
      </c>
    </row>
    <row r="4428">
      <c r="A4428" s="7">
        <f>IFERROR(Datos!A4428,"")</f>
        <v/>
      </c>
      <c r="B4428" s="27">
        <f>IFERROR(IF(ISNUMBER(Datos!B4428),Datos!B4428/$F$2*100,NA()),NA())</f>
        <v/>
      </c>
      <c r="C4428" s="27">
        <f>IFERROR(IF(ISNUMBER(Datos!C4428),Datos!C4428/$F$3*100,NA()),NA())</f>
        <v/>
      </c>
    </row>
    <row r="4429">
      <c r="A4429" s="7">
        <f>IFERROR(Datos!A4429,"")</f>
        <v/>
      </c>
      <c r="B4429" s="27">
        <f>IFERROR(IF(ISNUMBER(Datos!B4429),Datos!B4429/$F$2*100,NA()),NA())</f>
        <v/>
      </c>
      <c r="C4429" s="27">
        <f>IFERROR(IF(ISNUMBER(Datos!C4429),Datos!C4429/$F$3*100,NA()),NA())</f>
        <v/>
      </c>
    </row>
    <row r="4430">
      <c r="A4430" s="7">
        <f>IFERROR(Datos!A4430,"")</f>
        <v/>
      </c>
      <c r="B4430" s="27">
        <f>IFERROR(IF(ISNUMBER(Datos!B4430),Datos!B4430/$F$2*100,NA()),NA())</f>
        <v/>
      </c>
      <c r="C4430" s="27">
        <f>IFERROR(IF(ISNUMBER(Datos!C4430),Datos!C4430/$F$3*100,NA()),NA())</f>
        <v/>
      </c>
    </row>
    <row r="4431">
      <c r="A4431" s="7">
        <f>IFERROR(Datos!A4431,"")</f>
        <v/>
      </c>
      <c r="B4431" s="27">
        <f>IFERROR(IF(ISNUMBER(Datos!B4431),Datos!B4431/$F$2*100,NA()),NA())</f>
        <v/>
      </c>
      <c r="C4431" s="27">
        <f>IFERROR(IF(ISNUMBER(Datos!C4431),Datos!C4431/$F$3*100,NA()),NA())</f>
        <v/>
      </c>
    </row>
    <row r="4432">
      <c r="A4432" s="7">
        <f>IFERROR(Datos!A4432,"")</f>
        <v/>
      </c>
      <c r="B4432" s="27">
        <f>IFERROR(IF(ISNUMBER(Datos!B4432),Datos!B4432/$F$2*100,NA()),NA())</f>
        <v/>
      </c>
      <c r="C4432" s="27">
        <f>IFERROR(IF(ISNUMBER(Datos!C4432),Datos!C4432/$F$3*100,NA()),NA())</f>
        <v/>
      </c>
    </row>
    <row r="4433">
      <c r="A4433" s="7">
        <f>IFERROR(Datos!A4433,"")</f>
        <v/>
      </c>
      <c r="B4433" s="27">
        <f>IFERROR(IF(ISNUMBER(Datos!B4433),Datos!B4433/$F$2*100,NA()),NA())</f>
        <v/>
      </c>
      <c r="C4433" s="27">
        <f>IFERROR(IF(ISNUMBER(Datos!C4433),Datos!C4433/$F$3*100,NA()),NA())</f>
        <v/>
      </c>
    </row>
    <row r="4434">
      <c r="A4434" s="7">
        <f>IFERROR(Datos!A4434,"")</f>
        <v/>
      </c>
      <c r="B4434" s="27">
        <f>IFERROR(IF(ISNUMBER(Datos!B4434),Datos!B4434/$F$2*100,NA()),NA())</f>
        <v/>
      </c>
      <c r="C4434" s="27">
        <f>IFERROR(IF(ISNUMBER(Datos!C4434),Datos!C4434/$F$3*100,NA()),NA())</f>
        <v/>
      </c>
    </row>
    <row r="4435">
      <c r="A4435" s="7">
        <f>IFERROR(Datos!A4435,"")</f>
        <v/>
      </c>
      <c r="B4435" s="27">
        <f>IFERROR(IF(ISNUMBER(Datos!B4435),Datos!B4435/$F$2*100,NA()),NA())</f>
        <v/>
      </c>
      <c r="C4435" s="27">
        <f>IFERROR(IF(ISNUMBER(Datos!C4435),Datos!C4435/$F$3*100,NA()),NA())</f>
        <v/>
      </c>
    </row>
    <row r="4436">
      <c r="A4436" s="7">
        <f>IFERROR(Datos!A4436,"")</f>
        <v/>
      </c>
      <c r="B4436" s="27">
        <f>IFERROR(IF(ISNUMBER(Datos!B4436),Datos!B4436/$F$2*100,NA()),NA())</f>
        <v/>
      </c>
      <c r="C4436" s="27">
        <f>IFERROR(IF(ISNUMBER(Datos!C4436),Datos!C4436/$F$3*100,NA()),NA())</f>
        <v/>
      </c>
    </row>
    <row r="4437">
      <c r="A4437" s="7">
        <f>IFERROR(Datos!A4437,"")</f>
        <v/>
      </c>
      <c r="B4437" s="27">
        <f>IFERROR(IF(ISNUMBER(Datos!B4437),Datos!B4437/$F$2*100,NA()),NA())</f>
        <v/>
      </c>
      <c r="C4437" s="27">
        <f>IFERROR(IF(ISNUMBER(Datos!C4437),Datos!C4437/$F$3*100,NA()),NA())</f>
        <v/>
      </c>
    </row>
    <row r="4438">
      <c r="A4438" s="7">
        <f>IFERROR(Datos!A4438,"")</f>
        <v/>
      </c>
      <c r="B4438" s="27">
        <f>IFERROR(IF(ISNUMBER(Datos!B4438),Datos!B4438/$F$2*100,NA()),NA())</f>
        <v/>
      </c>
      <c r="C4438" s="27">
        <f>IFERROR(IF(ISNUMBER(Datos!C4438),Datos!C4438/$F$3*100,NA()),NA())</f>
        <v/>
      </c>
    </row>
    <row r="4439">
      <c r="A4439" s="7">
        <f>IFERROR(Datos!A4439,"")</f>
        <v/>
      </c>
      <c r="B4439" s="27">
        <f>IFERROR(IF(ISNUMBER(Datos!B4439),Datos!B4439/$F$2*100,NA()),NA())</f>
        <v/>
      </c>
      <c r="C4439" s="27">
        <f>IFERROR(IF(ISNUMBER(Datos!C4439),Datos!C4439/$F$3*100,NA()),NA())</f>
        <v/>
      </c>
    </row>
    <row r="4440">
      <c r="A4440" s="7">
        <f>IFERROR(Datos!A4440,"")</f>
        <v/>
      </c>
      <c r="B4440" s="27">
        <f>IFERROR(IF(ISNUMBER(Datos!B4440),Datos!B4440/$F$2*100,NA()),NA())</f>
        <v/>
      </c>
      <c r="C4440" s="27">
        <f>IFERROR(IF(ISNUMBER(Datos!C4440),Datos!C4440/$F$3*100,NA()),NA())</f>
        <v/>
      </c>
    </row>
    <row r="4441">
      <c r="A4441" s="7">
        <f>IFERROR(Datos!A4441,"")</f>
        <v/>
      </c>
      <c r="B4441" s="27">
        <f>IFERROR(IF(ISNUMBER(Datos!B4441),Datos!B4441/$F$2*100,NA()),NA())</f>
        <v/>
      </c>
      <c r="C4441" s="27">
        <f>IFERROR(IF(ISNUMBER(Datos!C4441),Datos!C4441/$F$3*100,NA()),NA())</f>
        <v/>
      </c>
    </row>
    <row r="4442">
      <c r="A4442" s="7">
        <f>IFERROR(Datos!A4442,"")</f>
        <v/>
      </c>
      <c r="B4442" s="27">
        <f>IFERROR(IF(ISNUMBER(Datos!B4442),Datos!B4442/$F$2*100,NA()),NA())</f>
        <v/>
      </c>
      <c r="C4442" s="27">
        <f>IFERROR(IF(ISNUMBER(Datos!C4442),Datos!C4442/$F$3*100,NA()),NA())</f>
        <v/>
      </c>
    </row>
    <row r="4443">
      <c r="A4443" s="7">
        <f>IFERROR(Datos!A4443,"")</f>
        <v/>
      </c>
      <c r="B4443" s="27">
        <f>IFERROR(IF(ISNUMBER(Datos!B4443),Datos!B4443/$F$2*100,NA()),NA())</f>
        <v/>
      </c>
      <c r="C4443" s="27">
        <f>IFERROR(IF(ISNUMBER(Datos!C4443),Datos!C4443/$F$3*100,NA()),NA())</f>
        <v/>
      </c>
    </row>
    <row r="4444">
      <c r="A4444" s="7">
        <f>IFERROR(Datos!A4444,"")</f>
        <v/>
      </c>
      <c r="B4444" s="27">
        <f>IFERROR(IF(ISNUMBER(Datos!B4444),Datos!B4444/$F$2*100,NA()),NA())</f>
        <v/>
      </c>
      <c r="C4444" s="27">
        <f>IFERROR(IF(ISNUMBER(Datos!C4444),Datos!C4444/$F$3*100,NA()),NA())</f>
        <v/>
      </c>
    </row>
    <row r="4445">
      <c r="A4445" s="7">
        <f>IFERROR(Datos!A4445,"")</f>
        <v/>
      </c>
      <c r="B4445" s="27">
        <f>IFERROR(IF(ISNUMBER(Datos!B4445),Datos!B4445/$F$2*100,NA()),NA())</f>
        <v/>
      </c>
      <c r="C4445" s="27">
        <f>IFERROR(IF(ISNUMBER(Datos!C4445),Datos!C4445/$F$3*100,NA()),NA())</f>
        <v/>
      </c>
    </row>
    <row r="4446">
      <c r="A4446" s="7">
        <f>IFERROR(Datos!A4446,"")</f>
        <v/>
      </c>
      <c r="B4446" s="27">
        <f>IFERROR(IF(ISNUMBER(Datos!B4446),Datos!B4446/$F$2*100,NA()),NA())</f>
        <v/>
      </c>
      <c r="C4446" s="27">
        <f>IFERROR(IF(ISNUMBER(Datos!C4446),Datos!C4446/$F$3*100,NA()),NA())</f>
        <v/>
      </c>
    </row>
    <row r="4447">
      <c r="A4447" s="7">
        <f>IFERROR(Datos!A4447,"")</f>
        <v/>
      </c>
      <c r="B4447" s="27">
        <f>IFERROR(IF(ISNUMBER(Datos!B4447),Datos!B4447/$F$2*100,NA()),NA())</f>
        <v/>
      </c>
      <c r="C4447" s="27">
        <f>IFERROR(IF(ISNUMBER(Datos!C4447),Datos!C4447/$F$3*100,NA()),NA())</f>
        <v/>
      </c>
    </row>
    <row r="4448">
      <c r="A4448" s="7">
        <f>IFERROR(Datos!A4448,"")</f>
        <v/>
      </c>
      <c r="B4448" s="27">
        <f>IFERROR(IF(ISNUMBER(Datos!B4448),Datos!B4448/$F$2*100,NA()),NA())</f>
        <v/>
      </c>
      <c r="C4448" s="27">
        <f>IFERROR(IF(ISNUMBER(Datos!C4448),Datos!C4448/$F$3*100,NA()),NA())</f>
        <v/>
      </c>
    </row>
    <row r="4449">
      <c r="A4449" s="7">
        <f>IFERROR(Datos!A4449,"")</f>
        <v/>
      </c>
      <c r="B4449" s="27">
        <f>IFERROR(IF(ISNUMBER(Datos!B4449),Datos!B4449/$F$2*100,NA()),NA())</f>
        <v/>
      </c>
      <c r="C4449" s="27">
        <f>IFERROR(IF(ISNUMBER(Datos!C4449),Datos!C4449/$F$3*100,NA()),NA())</f>
        <v/>
      </c>
    </row>
    <row r="4450">
      <c r="A4450" s="7">
        <f>IFERROR(Datos!A4450,"")</f>
        <v/>
      </c>
      <c r="B4450" s="27">
        <f>IFERROR(IF(ISNUMBER(Datos!B4450),Datos!B4450/$F$2*100,NA()),NA())</f>
        <v/>
      </c>
      <c r="C4450" s="27">
        <f>IFERROR(IF(ISNUMBER(Datos!C4450),Datos!C4450/$F$3*100,NA()),NA())</f>
        <v/>
      </c>
    </row>
    <row r="4451">
      <c r="A4451" s="7">
        <f>IFERROR(Datos!A4451,"")</f>
        <v/>
      </c>
      <c r="B4451" s="27">
        <f>IFERROR(IF(ISNUMBER(Datos!B4451),Datos!B4451/$F$2*100,NA()),NA())</f>
        <v/>
      </c>
      <c r="C4451" s="27">
        <f>IFERROR(IF(ISNUMBER(Datos!C4451),Datos!C4451/$F$3*100,NA()),NA())</f>
        <v/>
      </c>
    </row>
    <row r="4452">
      <c r="A4452" s="7">
        <f>IFERROR(Datos!A4452,"")</f>
        <v/>
      </c>
      <c r="B4452" s="27">
        <f>IFERROR(IF(ISNUMBER(Datos!B4452),Datos!B4452/$F$2*100,NA()),NA())</f>
        <v/>
      </c>
      <c r="C4452" s="27">
        <f>IFERROR(IF(ISNUMBER(Datos!C4452),Datos!C4452/$F$3*100,NA()),NA())</f>
        <v/>
      </c>
    </row>
    <row r="4453">
      <c r="A4453" s="7">
        <f>IFERROR(Datos!A4453,"")</f>
        <v/>
      </c>
      <c r="B4453" s="27">
        <f>IFERROR(IF(ISNUMBER(Datos!B4453),Datos!B4453/$F$2*100,NA()),NA())</f>
        <v/>
      </c>
      <c r="C4453" s="27">
        <f>IFERROR(IF(ISNUMBER(Datos!C4453),Datos!C4453/$F$3*100,NA()),NA())</f>
        <v/>
      </c>
    </row>
    <row r="4454">
      <c r="A4454" s="7">
        <f>IFERROR(Datos!A4454,"")</f>
        <v/>
      </c>
      <c r="B4454" s="27">
        <f>IFERROR(IF(ISNUMBER(Datos!B4454),Datos!B4454/$F$2*100,NA()),NA())</f>
        <v/>
      </c>
      <c r="C4454" s="27">
        <f>IFERROR(IF(ISNUMBER(Datos!C4454),Datos!C4454/$F$3*100,NA()),NA())</f>
        <v/>
      </c>
    </row>
    <row r="4455">
      <c r="A4455" s="7">
        <f>IFERROR(Datos!A4455,"")</f>
        <v/>
      </c>
      <c r="B4455" s="27">
        <f>IFERROR(IF(ISNUMBER(Datos!B4455),Datos!B4455/$F$2*100,NA()),NA())</f>
        <v/>
      </c>
      <c r="C4455" s="27">
        <f>IFERROR(IF(ISNUMBER(Datos!C4455),Datos!C4455/$F$3*100,NA()),NA())</f>
        <v/>
      </c>
    </row>
    <row r="4456">
      <c r="A4456" s="7">
        <f>IFERROR(Datos!A4456,"")</f>
        <v/>
      </c>
      <c r="B4456" s="27">
        <f>IFERROR(IF(ISNUMBER(Datos!B4456),Datos!B4456/$F$2*100,NA()),NA())</f>
        <v/>
      </c>
      <c r="C4456" s="27">
        <f>IFERROR(IF(ISNUMBER(Datos!C4456),Datos!C4456/$F$3*100,NA()),NA())</f>
        <v/>
      </c>
    </row>
    <row r="4457">
      <c r="A4457" s="7">
        <f>IFERROR(Datos!A4457,"")</f>
        <v/>
      </c>
      <c r="B4457" s="27">
        <f>IFERROR(IF(ISNUMBER(Datos!B4457),Datos!B4457/$F$2*100,NA()),NA())</f>
        <v/>
      </c>
      <c r="C4457" s="27">
        <f>IFERROR(IF(ISNUMBER(Datos!C4457),Datos!C4457/$F$3*100,NA()),NA())</f>
        <v/>
      </c>
    </row>
    <row r="4458">
      <c r="A4458" s="7">
        <f>IFERROR(Datos!A4458,"")</f>
        <v/>
      </c>
      <c r="B4458" s="27">
        <f>IFERROR(IF(ISNUMBER(Datos!B4458),Datos!B4458/$F$2*100,NA()),NA())</f>
        <v/>
      </c>
      <c r="C4458" s="27">
        <f>IFERROR(IF(ISNUMBER(Datos!C4458),Datos!C4458/$F$3*100,NA()),NA())</f>
        <v/>
      </c>
    </row>
    <row r="4459">
      <c r="A4459" s="7">
        <f>IFERROR(Datos!A4459,"")</f>
        <v/>
      </c>
      <c r="B4459" s="27">
        <f>IFERROR(IF(ISNUMBER(Datos!B4459),Datos!B4459/$F$2*100,NA()),NA())</f>
        <v/>
      </c>
      <c r="C4459" s="27">
        <f>IFERROR(IF(ISNUMBER(Datos!C4459),Datos!C4459/$F$3*100,NA()),NA())</f>
        <v/>
      </c>
    </row>
    <row r="4460">
      <c r="A4460" s="7">
        <f>IFERROR(Datos!A4460,"")</f>
        <v/>
      </c>
      <c r="B4460" s="27">
        <f>IFERROR(IF(ISNUMBER(Datos!B4460),Datos!B4460/$F$2*100,NA()),NA())</f>
        <v/>
      </c>
      <c r="C4460" s="27">
        <f>IFERROR(IF(ISNUMBER(Datos!C4460),Datos!C4460/$F$3*100,NA()),NA())</f>
        <v/>
      </c>
    </row>
    <row r="4461">
      <c r="A4461" s="7">
        <f>IFERROR(Datos!A4461,"")</f>
        <v/>
      </c>
      <c r="B4461" s="27">
        <f>IFERROR(IF(ISNUMBER(Datos!B4461),Datos!B4461/$F$2*100,NA()),NA())</f>
        <v/>
      </c>
      <c r="C4461" s="27">
        <f>IFERROR(IF(ISNUMBER(Datos!C4461),Datos!C4461/$F$3*100,NA()),NA())</f>
        <v/>
      </c>
    </row>
    <row r="4462">
      <c r="A4462" s="7">
        <f>IFERROR(Datos!A4462,"")</f>
        <v/>
      </c>
      <c r="B4462" s="27">
        <f>IFERROR(IF(ISNUMBER(Datos!B4462),Datos!B4462/$F$2*100,NA()),NA())</f>
        <v/>
      </c>
      <c r="C4462" s="27">
        <f>IFERROR(IF(ISNUMBER(Datos!C4462),Datos!C4462/$F$3*100,NA()),NA())</f>
        <v/>
      </c>
    </row>
    <row r="4463">
      <c r="A4463" s="7">
        <f>IFERROR(Datos!A4463,"")</f>
        <v/>
      </c>
      <c r="B4463" s="27">
        <f>IFERROR(IF(ISNUMBER(Datos!B4463),Datos!B4463/$F$2*100,NA()),NA())</f>
        <v/>
      </c>
      <c r="C4463" s="27">
        <f>IFERROR(IF(ISNUMBER(Datos!C4463),Datos!C4463/$F$3*100,NA()),NA())</f>
        <v/>
      </c>
    </row>
    <row r="4464">
      <c r="A4464" s="7">
        <f>IFERROR(Datos!A4464,"")</f>
        <v/>
      </c>
      <c r="B4464" s="27">
        <f>IFERROR(IF(ISNUMBER(Datos!B4464),Datos!B4464/$F$2*100,NA()),NA())</f>
        <v/>
      </c>
      <c r="C4464" s="27">
        <f>IFERROR(IF(ISNUMBER(Datos!C4464),Datos!C4464/$F$3*100,NA()),NA())</f>
        <v/>
      </c>
    </row>
    <row r="4465">
      <c r="A4465" s="7">
        <f>IFERROR(Datos!A4465,"")</f>
        <v/>
      </c>
      <c r="B4465" s="27">
        <f>IFERROR(IF(ISNUMBER(Datos!B4465),Datos!B4465/$F$2*100,NA()),NA())</f>
        <v/>
      </c>
      <c r="C4465" s="27">
        <f>IFERROR(IF(ISNUMBER(Datos!C4465),Datos!C4465/$F$3*100,NA()),NA())</f>
        <v/>
      </c>
    </row>
    <row r="4466">
      <c r="A4466" s="7">
        <f>IFERROR(Datos!A4466,"")</f>
        <v/>
      </c>
      <c r="B4466" s="27">
        <f>IFERROR(IF(ISNUMBER(Datos!B4466),Datos!B4466/$F$2*100,NA()),NA())</f>
        <v/>
      </c>
      <c r="C4466" s="27">
        <f>IFERROR(IF(ISNUMBER(Datos!C4466),Datos!C4466/$F$3*100,NA()),NA())</f>
        <v/>
      </c>
    </row>
    <row r="4467">
      <c r="A4467" s="7">
        <f>IFERROR(Datos!A4467,"")</f>
        <v/>
      </c>
      <c r="B4467" s="27">
        <f>IFERROR(IF(ISNUMBER(Datos!B4467),Datos!B4467/$F$2*100,NA()),NA())</f>
        <v/>
      </c>
      <c r="C4467" s="27">
        <f>IFERROR(IF(ISNUMBER(Datos!C4467),Datos!C4467/$F$3*100,NA()),NA())</f>
        <v/>
      </c>
    </row>
    <row r="4468">
      <c r="A4468" s="7">
        <f>IFERROR(Datos!A4468,"")</f>
        <v/>
      </c>
      <c r="B4468" s="27">
        <f>IFERROR(IF(ISNUMBER(Datos!B4468),Datos!B4468/$F$2*100,NA()),NA())</f>
        <v/>
      </c>
      <c r="C4468" s="27">
        <f>IFERROR(IF(ISNUMBER(Datos!C4468),Datos!C4468/$F$3*100,NA()),NA())</f>
        <v/>
      </c>
    </row>
    <row r="4469">
      <c r="A4469" s="7">
        <f>IFERROR(Datos!A4469,"")</f>
        <v/>
      </c>
      <c r="B4469" s="27">
        <f>IFERROR(IF(ISNUMBER(Datos!B4469),Datos!B4469/$F$2*100,NA()),NA())</f>
        <v/>
      </c>
      <c r="C4469" s="27">
        <f>IFERROR(IF(ISNUMBER(Datos!C4469),Datos!C4469/$F$3*100,NA()),NA())</f>
        <v/>
      </c>
    </row>
    <row r="4470">
      <c r="A4470" s="7">
        <f>IFERROR(Datos!A4470,"")</f>
        <v/>
      </c>
      <c r="B4470" s="27">
        <f>IFERROR(IF(ISNUMBER(Datos!B4470),Datos!B4470/$F$2*100,NA()),NA())</f>
        <v/>
      </c>
      <c r="C4470" s="27">
        <f>IFERROR(IF(ISNUMBER(Datos!C4470),Datos!C4470/$F$3*100,NA()),NA())</f>
        <v/>
      </c>
    </row>
    <row r="4471">
      <c r="A4471" s="7">
        <f>IFERROR(Datos!A4471,"")</f>
        <v/>
      </c>
      <c r="B4471" s="27">
        <f>IFERROR(IF(ISNUMBER(Datos!B4471),Datos!B4471/$F$2*100,NA()),NA())</f>
        <v/>
      </c>
      <c r="C4471" s="27">
        <f>IFERROR(IF(ISNUMBER(Datos!C4471),Datos!C4471/$F$3*100,NA()),NA())</f>
        <v/>
      </c>
    </row>
    <row r="4472">
      <c r="A4472" s="7">
        <f>IFERROR(Datos!A4472,"")</f>
        <v/>
      </c>
      <c r="B4472" s="27">
        <f>IFERROR(IF(ISNUMBER(Datos!B4472),Datos!B4472/$F$2*100,NA()),NA())</f>
        <v/>
      </c>
      <c r="C4472" s="27">
        <f>IFERROR(IF(ISNUMBER(Datos!C4472),Datos!C4472/$F$3*100,NA()),NA())</f>
        <v/>
      </c>
    </row>
    <row r="4473">
      <c r="A4473" s="7">
        <f>IFERROR(Datos!A4473,"")</f>
        <v/>
      </c>
      <c r="B4473" s="27">
        <f>IFERROR(IF(ISNUMBER(Datos!B4473),Datos!B4473/$F$2*100,NA()),NA())</f>
        <v/>
      </c>
      <c r="C4473" s="27">
        <f>IFERROR(IF(ISNUMBER(Datos!C4473),Datos!C4473/$F$3*100,NA()),NA())</f>
        <v/>
      </c>
    </row>
    <row r="4474">
      <c r="A4474" s="7">
        <f>IFERROR(Datos!A4474,"")</f>
        <v/>
      </c>
      <c r="B4474" s="27">
        <f>IFERROR(IF(ISNUMBER(Datos!B4474),Datos!B4474/$F$2*100,NA()),NA())</f>
        <v/>
      </c>
      <c r="C4474" s="27">
        <f>IFERROR(IF(ISNUMBER(Datos!C4474),Datos!C4474/$F$3*100,NA()),NA())</f>
        <v/>
      </c>
    </row>
    <row r="4475">
      <c r="A4475" s="7">
        <f>IFERROR(Datos!A4475,"")</f>
        <v/>
      </c>
      <c r="B4475" s="27">
        <f>IFERROR(IF(ISNUMBER(Datos!B4475),Datos!B4475/$F$2*100,NA()),NA())</f>
        <v/>
      </c>
      <c r="C4475" s="27">
        <f>IFERROR(IF(ISNUMBER(Datos!C4475),Datos!C4475/$F$3*100,NA()),NA())</f>
        <v/>
      </c>
    </row>
    <row r="4476">
      <c r="A4476" s="7">
        <f>IFERROR(Datos!A4476,"")</f>
        <v/>
      </c>
      <c r="B4476" s="27">
        <f>IFERROR(IF(ISNUMBER(Datos!B4476),Datos!B4476/$F$2*100,NA()),NA())</f>
        <v/>
      </c>
      <c r="C4476" s="27">
        <f>IFERROR(IF(ISNUMBER(Datos!C4476),Datos!C4476/$F$3*100,NA()),NA())</f>
        <v/>
      </c>
    </row>
    <row r="4477">
      <c r="A4477" s="7">
        <f>IFERROR(Datos!A4477,"")</f>
        <v/>
      </c>
      <c r="B4477" s="27">
        <f>IFERROR(IF(ISNUMBER(Datos!B4477),Datos!B4477/$F$2*100,NA()),NA())</f>
        <v/>
      </c>
      <c r="C4477" s="27">
        <f>IFERROR(IF(ISNUMBER(Datos!C4477),Datos!C4477/$F$3*100,NA()),NA())</f>
        <v/>
      </c>
    </row>
    <row r="4478">
      <c r="A4478" s="7">
        <f>IFERROR(Datos!A4478,"")</f>
        <v/>
      </c>
      <c r="B4478" s="27">
        <f>IFERROR(IF(ISNUMBER(Datos!B4478),Datos!B4478/$F$2*100,NA()),NA())</f>
        <v/>
      </c>
      <c r="C4478" s="27">
        <f>IFERROR(IF(ISNUMBER(Datos!C4478),Datos!C4478/$F$3*100,NA()),NA())</f>
        <v/>
      </c>
    </row>
    <row r="4479">
      <c r="A4479" s="7">
        <f>IFERROR(Datos!A4479,"")</f>
        <v/>
      </c>
      <c r="B4479" s="27">
        <f>IFERROR(IF(ISNUMBER(Datos!B4479),Datos!B4479/$F$2*100,NA()),NA())</f>
        <v/>
      </c>
      <c r="C4479" s="27">
        <f>IFERROR(IF(ISNUMBER(Datos!C4479),Datos!C4479/$F$3*100,NA()),NA())</f>
        <v/>
      </c>
    </row>
    <row r="4480">
      <c r="A4480" s="7">
        <f>IFERROR(Datos!A4480,"")</f>
        <v/>
      </c>
      <c r="B4480" s="27">
        <f>IFERROR(IF(ISNUMBER(Datos!B4480),Datos!B4480/$F$2*100,NA()),NA())</f>
        <v/>
      </c>
      <c r="C4480" s="27">
        <f>IFERROR(IF(ISNUMBER(Datos!C4480),Datos!C4480/$F$3*100,NA()),NA())</f>
        <v/>
      </c>
    </row>
    <row r="4481">
      <c r="A4481" s="7">
        <f>IFERROR(Datos!A4481,"")</f>
        <v/>
      </c>
      <c r="B4481" s="27">
        <f>IFERROR(IF(ISNUMBER(Datos!B4481),Datos!B4481/$F$2*100,NA()),NA())</f>
        <v/>
      </c>
      <c r="C4481" s="27">
        <f>IFERROR(IF(ISNUMBER(Datos!C4481),Datos!C4481/$F$3*100,NA()),NA())</f>
        <v/>
      </c>
    </row>
    <row r="4482">
      <c r="A4482" s="7">
        <f>IFERROR(Datos!A4482,"")</f>
        <v/>
      </c>
      <c r="B4482" s="27">
        <f>IFERROR(IF(ISNUMBER(Datos!B4482),Datos!B4482/$F$2*100,NA()),NA())</f>
        <v/>
      </c>
      <c r="C4482" s="27">
        <f>IFERROR(IF(ISNUMBER(Datos!C4482),Datos!C4482/$F$3*100,NA()),NA())</f>
        <v/>
      </c>
    </row>
    <row r="4483">
      <c r="A4483" s="7">
        <f>IFERROR(Datos!A4483,"")</f>
        <v/>
      </c>
      <c r="B4483" s="27">
        <f>IFERROR(IF(ISNUMBER(Datos!B4483),Datos!B4483/$F$2*100,NA()),NA())</f>
        <v/>
      </c>
      <c r="C4483" s="27">
        <f>IFERROR(IF(ISNUMBER(Datos!C4483),Datos!C4483/$F$3*100,NA()),NA())</f>
        <v/>
      </c>
    </row>
    <row r="4484">
      <c r="A4484" s="7">
        <f>IFERROR(Datos!A4484,"")</f>
        <v/>
      </c>
      <c r="B4484" s="27">
        <f>IFERROR(IF(ISNUMBER(Datos!B4484),Datos!B4484/$F$2*100,NA()),NA())</f>
        <v/>
      </c>
      <c r="C4484" s="27">
        <f>IFERROR(IF(ISNUMBER(Datos!C4484),Datos!C4484/$F$3*100,NA()),NA())</f>
        <v/>
      </c>
    </row>
    <row r="4485">
      <c r="A4485" s="7">
        <f>IFERROR(Datos!A4485,"")</f>
        <v/>
      </c>
      <c r="B4485" s="27">
        <f>IFERROR(IF(ISNUMBER(Datos!B4485),Datos!B4485/$F$2*100,NA()),NA())</f>
        <v/>
      </c>
      <c r="C4485" s="27">
        <f>IFERROR(IF(ISNUMBER(Datos!C4485),Datos!C4485/$F$3*100,NA()),NA())</f>
        <v/>
      </c>
    </row>
    <row r="4486">
      <c r="A4486" s="7">
        <f>IFERROR(Datos!A4486,"")</f>
        <v/>
      </c>
      <c r="B4486" s="27">
        <f>IFERROR(IF(ISNUMBER(Datos!B4486),Datos!B4486/$F$2*100,NA()),NA())</f>
        <v/>
      </c>
      <c r="C4486" s="27">
        <f>IFERROR(IF(ISNUMBER(Datos!C4486),Datos!C4486/$F$3*100,NA()),NA())</f>
        <v/>
      </c>
    </row>
    <row r="4487">
      <c r="A4487" s="7">
        <f>IFERROR(Datos!A4487,"")</f>
        <v/>
      </c>
      <c r="B4487" s="27">
        <f>IFERROR(IF(ISNUMBER(Datos!B4487),Datos!B4487/$F$2*100,NA()),NA())</f>
        <v/>
      </c>
      <c r="C4487" s="27">
        <f>IFERROR(IF(ISNUMBER(Datos!C4487),Datos!C4487/$F$3*100,NA()),NA())</f>
        <v/>
      </c>
    </row>
    <row r="4488">
      <c r="A4488" s="7">
        <f>IFERROR(Datos!A4488,"")</f>
        <v/>
      </c>
      <c r="B4488" s="27">
        <f>IFERROR(IF(ISNUMBER(Datos!B4488),Datos!B4488/$F$2*100,NA()),NA())</f>
        <v/>
      </c>
      <c r="C4488" s="27">
        <f>IFERROR(IF(ISNUMBER(Datos!C4488),Datos!C4488/$F$3*100,NA()),NA())</f>
        <v/>
      </c>
    </row>
    <row r="4489">
      <c r="A4489" s="7">
        <f>IFERROR(Datos!A4489,"")</f>
        <v/>
      </c>
      <c r="B4489" s="27">
        <f>IFERROR(IF(ISNUMBER(Datos!B4489),Datos!B4489/$F$2*100,NA()),NA())</f>
        <v/>
      </c>
      <c r="C4489" s="27">
        <f>IFERROR(IF(ISNUMBER(Datos!C4489),Datos!C4489/$F$3*100,NA()),NA())</f>
        <v/>
      </c>
    </row>
    <row r="4490">
      <c r="A4490" s="7">
        <f>IFERROR(Datos!A4490,"")</f>
        <v/>
      </c>
      <c r="B4490" s="27">
        <f>IFERROR(IF(ISNUMBER(Datos!B4490),Datos!B4490/$F$2*100,NA()),NA())</f>
        <v/>
      </c>
      <c r="C4490" s="27">
        <f>IFERROR(IF(ISNUMBER(Datos!C4490),Datos!C4490/$F$3*100,NA()),NA())</f>
        <v/>
      </c>
    </row>
    <row r="4491">
      <c r="A4491" s="7">
        <f>IFERROR(Datos!A4491,"")</f>
        <v/>
      </c>
      <c r="B4491" s="27">
        <f>IFERROR(IF(ISNUMBER(Datos!B4491),Datos!B4491/$F$2*100,NA()),NA())</f>
        <v/>
      </c>
      <c r="C4491" s="27">
        <f>IFERROR(IF(ISNUMBER(Datos!C4491),Datos!C4491/$F$3*100,NA()),NA())</f>
        <v/>
      </c>
    </row>
    <row r="4492">
      <c r="A4492" s="7">
        <f>IFERROR(Datos!A4492,"")</f>
        <v/>
      </c>
      <c r="B4492" s="27">
        <f>IFERROR(IF(ISNUMBER(Datos!B4492),Datos!B4492/$F$2*100,NA()),NA())</f>
        <v/>
      </c>
      <c r="C4492" s="27">
        <f>IFERROR(IF(ISNUMBER(Datos!C4492),Datos!C4492/$F$3*100,NA()),NA())</f>
        <v/>
      </c>
    </row>
    <row r="4493">
      <c r="A4493" s="7">
        <f>IFERROR(Datos!A4493,"")</f>
        <v/>
      </c>
      <c r="B4493" s="27">
        <f>IFERROR(IF(ISNUMBER(Datos!B4493),Datos!B4493/$F$2*100,NA()),NA())</f>
        <v/>
      </c>
      <c r="C4493" s="27">
        <f>IFERROR(IF(ISNUMBER(Datos!C4493),Datos!C4493/$F$3*100,NA()),NA())</f>
        <v/>
      </c>
    </row>
    <row r="4494">
      <c r="A4494" s="7">
        <f>IFERROR(Datos!A4494,"")</f>
        <v/>
      </c>
      <c r="B4494" s="27">
        <f>IFERROR(IF(ISNUMBER(Datos!B4494),Datos!B4494/$F$2*100,NA()),NA())</f>
        <v/>
      </c>
      <c r="C4494" s="27">
        <f>IFERROR(IF(ISNUMBER(Datos!C4494),Datos!C4494/$F$3*100,NA()),NA())</f>
        <v/>
      </c>
    </row>
    <row r="4495">
      <c r="A4495" s="7">
        <f>IFERROR(Datos!A4495,"")</f>
        <v/>
      </c>
      <c r="B4495" s="27">
        <f>IFERROR(IF(ISNUMBER(Datos!B4495),Datos!B4495/$F$2*100,NA()),NA())</f>
        <v/>
      </c>
      <c r="C4495" s="27">
        <f>IFERROR(IF(ISNUMBER(Datos!C4495),Datos!C4495/$F$3*100,NA()),NA())</f>
        <v/>
      </c>
    </row>
    <row r="4496">
      <c r="A4496" s="7">
        <f>IFERROR(Datos!A4496,"")</f>
        <v/>
      </c>
      <c r="B4496" s="27">
        <f>IFERROR(IF(ISNUMBER(Datos!B4496),Datos!B4496/$F$2*100,NA()),NA())</f>
        <v/>
      </c>
      <c r="C4496" s="27">
        <f>IFERROR(IF(ISNUMBER(Datos!C4496),Datos!C4496/$F$3*100,NA()),NA())</f>
        <v/>
      </c>
    </row>
    <row r="4497">
      <c r="A4497" s="7">
        <f>IFERROR(Datos!A4497,"")</f>
        <v/>
      </c>
      <c r="B4497" s="27">
        <f>IFERROR(IF(ISNUMBER(Datos!B4497),Datos!B4497/$F$2*100,NA()),NA())</f>
        <v/>
      </c>
      <c r="C4497" s="27">
        <f>IFERROR(IF(ISNUMBER(Datos!C4497),Datos!C4497/$F$3*100,NA()),NA())</f>
        <v/>
      </c>
    </row>
    <row r="4498">
      <c r="A4498" s="7">
        <f>IFERROR(Datos!A4498,"")</f>
        <v/>
      </c>
      <c r="B4498" s="27">
        <f>IFERROR(IF(ISNUMBER(Datos!B4498),Datos!B4498/$F$2*100,NA()),NA())</f>
        <v/>
      </c>
      <c r="C4498" s="27">
        <f>IFERROR(IF(ISNUMBER(Datos!C4498),Datos!C4498/$F$3*100,NA()),NA())</f>
        <v/>
      </c>
    </row>
    <row r="4499">
      <c r="A4499" s="7">
        <f>IFERROR(Datos!A4499,"")</f>
        <v/>
      </c>
      <c r="B4499" s="27">
        <f>IFERROR(IF(ISNUMBER(Datos!B4499),Datos!B4499/$F$2*100,NA()),NA())</f>
        <v/>
      </c>
      <c r="C4499" s="27">
        <f>IFERROR(IF(ISNUMBER(Datos!C4499),Datos!C4499/$F$3*100,NA()),NA())</f>
        <v/>
      </c>
    </row>
    <row r="4500">
      <c r="A4500" s="7">
        <f>IFERROR(Datos!A4500,"")</f>
        <v/>
      </c>
      <c r="B4500" s="27">
        <f>IFERROR(IF(ISNUMBER(Datos!B4500),Datos!B4500/$F$2*100,NA()),NA())</f>
        <v/>
      </c>
      <c r="C4500" s="27">
        <f>IFERROR(IF(ISNUMBER(Datos!C4500),Datos!C4500/$F$3*100,NA()),NA())</f>
        <v/>
      </c>
    </row>
    <row r="4501">
      <c r="A4501" s="7">
        <f>IFERROR(Datos!A4501,"")</f>
        <v/>
      </c>
      <c r="B4501" s="27">
        <f>IFERROR(IF(ISNUMBER(Datos!B4501),Datos!B4501/$F$2*100,NA()),NA())</f>
        <v/>
      </c>
      <c r="C4501" s="27">
        <f>IFERROR(IF(ISNUMBER(Datos!C4501),Datos!C4501/$F$3*100,NA()),NA())</f>
        <v/>
      </c>
    </row>
    <row r="4502">
      <c r="A4502" s="7">
        <f>IFERROR(Datos!A4502,"")</f>
        <v/>
      </c>
      <c r="B4502" s="27">
        <f>IFERROR(IF(ISNUMBER(Datos!B4502),Datos!B4502/$F$2*100,NA()),NA())</f>
        <v/>
      </c>
      <c r="C4502" s="27">
        <f>IFERROR(IF(ISNUMBER(Datos!C4502),Datos!C4502/$F$3*100,NA()),NA())</f>
        <v/>
      </c>
    </row>
    <row r="4503">
      <c r="A4503" s="7">
        <f>IFERROR(Datos!A4503,"")</f>
        <v/>
      </c>
      <c r="B4503" s="27">
        <f>IFERROR(IF(ISNUMBER(Datos!B4503),Datos!B4503/$F$2*100,NA()),NA())</f>
        <v/>
      </c>
      <c r="C4503" s="27">
        <f>IFERROR(IF(ISNUMBER(Datos!C4503),Datos!C4503/$F$3*100,NA()),NA())</f>
        <v/>
      </c>
    </row>
    <row r="4504">
      <c r="A4504" s="7">
        <f>IFERROR(Datos!A4504,"")</f>
        <v/>
      </c>
      <c r="B4504" s="27">
        <f>IFERROR(IF(ISNUMBER(Datos!B4504),Datos!B4504/$F$2*100,NA()),NA())</f>
        <v/>
      </c>
      <c r="C4504" s="27">
        <f>IFERROR(IF(ISNUMBER(Datos!C4504),Datos!C4504/$F$3*100,NA()),NA())</f>
        <v/>
      </c>
    </row>
    <row r="4505">
      <c r="A4505" s="7">
        <f>IFERROR(Datos!A4505,"")</f>
        <v/>
      </c>
      <c r="B4505" s="27">
        <f>IFERROR(IF(ISNUMBER(Datos!B4505),Datos!B4505/$F$2*100,NA()),NA())</f>
        <v/>
      </c>
      <c r="C4505" s="27">
        <f>IFERROR(IF(ISNUMBER(Datos!C4505),Datos!C4505/$F$3*100,NA()),NA())</f>
        <v/>
      </c>
    </row>
    <row r="4506">
      <c r="A4506" s="7">
        <f>IFERROR(Datos!A4506,"")</f>
        <v/>
      </c>
      <c r="B4506" s="27">
        <f>IFERROR(IF(ISNUMBER(Datos!B4506),Datos!B4506/$F$2*100,NA()),NA())</f>
        <v/>
      </c>
      <c r="C4506" s="27">
        <f>IFERROR(IF(ISNUMBER(Datos!C4506),Datos!C4506/$F$3*100,NA()),NA())</f>
        <v/>
      </c>
    </row>
    <row r="4507">
      <c r="A4507" s="7">
        <f>IFERROR(Datos!A4507,"")</f>
        <v/>
      </c>
      <c r="B4507" s="27">
        <f>IFERROR(IF(ISNUMBER(Datos!B4507),Datos!B4507/$F$2*100,NA()),NA())</f>
        <v/>
      </c>
      <c r="C4507" s="27">
        <f>IFERROR(IF(ISNUMBER(Datos!C4507),Datos!C4507/$F$3*100,NA()),NA())</f>
        <v/>
      </c>
    </row>
    <row r="4508">
      <c r="A4508" s="7">
        <f>IFERROR(Datos!A4508,"")</f>
        <v/>
      </c>
      <c r="B4508" s="27">
        <f>IFERROR(IF(ISNUMBER(Datos!B4508),Datos!B4508/$F$2*100,NA()),NA())</f>
        <v/>
      </c>
      <c r="C4508" s="27">
        <f>IFERROR(IF(ISNUMBER(Datos!C4508),Datos!C4508/$F$3*100,NA()),NA())</f>
        <v/>
      </c>
    </row>
    <row r="4509">
      <c r="A4509" s="7">
        <f>IFERROR(Datos!A4509,"")</f>
        <v/>
      </c>
      <c r="B4509" s="27">
        <f>IFERROR(IF(ISNUMBER(Datos!B4509),Datos!B4509/$F$2*100,NA()),NA())</f>
        <v/>
      </c>
      <c r="C4509" s="27">
        <f>IFERROR(IF(ISNUMBER(Datos!C4509),Datos!C4509/$F$3*100,NA()),NA())</f>
        <v/>
      </c>
    </row>
    <row r="4510">
      <c r="A4510" s="7">
        <f>IFERROR(Datos!A4510,"")</f>
        <v/>
      </c>
      <c r="B4510" s="27">
        <f>IFERROR(IF(ISNUMBER(Datos!B4510),Datos!B4510/$F$2*100,NA()),NA())</f>
        <v/>
      </c>
      <c r="C4510" s="27">
        <f>IFERROR(IF(ISNUMBER(Datos!C4510),Datos!C4510/$F$3*100,NA()),NA())</f>
        <v/>
      </c>
    </row>
    <row r="4511">
      <c r="A4511" s="7">
        <f>IFERROR(Datos!A4511,"")</f>
        <v/>
      </c>
      <c r="B4511" s="27">
        <f>IFERROR(IF(ISNUMBER(Datos!B4511),Datos!B4511/$F$2*100,NA()),NA())</f>
        <v/>
      </c>
      <c r="C4511" s="27">
        <f>IFERROR(IF(ISNUMBER(Datos!C4511),Datos!C4511/$F$3*100,NA()),NA())</f>
        <v/>
      </c>
    </row>
    <row r="4512">
      <c r="A4512" s="7">
        <f>IFERROR(Datos!A4512,"")</f>
        <v/>
      </c>
      <c r="B4512" s="27">
        <f>IFERROR(IF(ISNUMBER(Datos!B4512),Datos!B4512/$F$2*100,NA()),NA())</f>
        <v/>
      </c>
      <c r="C4512" s="27">
        <f>IFERROR(IF(ISNUMBER(Datos!C4512),Datos!C4512/$F$3*100,NA()),NA())</f>
        <v/>
      </c>
    </row>
    <row r="4513">
      <c r="A4513" s="7">
        <f>IFERROR(Datos!A4513,"")</f>
        <v/>
      </c>
      <c r="B4513" s="27">
        <f>IFERROR(IF(ISNUMBER(Datos!B4513),Datos!B4513/$F$2*100,NA()),NA())</f>
        <v/>
      </c>
      <c r="C4513" s="27">
        <f>IFERROR(IF(ISNUMBER(Datos!C4513),Datos!C4513/$F$3*100,NA()),NA())</f>
        <v/>
      </c>
    </row>
    <row r="4514">
      <c r="A4514" s="7">
        <f>IFERROR(Datos!A4514,"")</f>
        <v/>
      </c>
      <c r="B4514" s="27">
        <f>IFERROR(IF(ISNUMBER(Datos!B4514),Datos!B4514/$F$2*100,NA()),NA())</f>
        <v/>
      </c>
      <c r="C4514" s="27">
        <f>IFERROR(IF(ISNUMBER(Datos!C4514),Datos!C4514/$F$3*100,NA()),NA())</f>
        <v/>
      </c>
    </row>
    <row r="4515">
      <c r="A4515" s="7">
        <f>IFERROR(Datos!A4515,"")</f>
        <v/>
      </c>
      <c r="B4515" s="27">
        <f>IFERROR(IF(ISNUMBER(Datos!B4515),Datos!B4515/$F$2*100,NA()),NA())</f>
        <v/>
      </c>
      <c r="C4515" s="27">
        <f>IFERROR(IF(ISNUMBER(Datos!C4515),Datos!C4515/$F$3*100,NA()),NA())</f>
        <v/>
      </c>
    </row>
    <row r="4516">
      <c r="A4516" s="7">
        <f>IFERROR(Datos!A4516,"")</f>
        <v/>
      </c>
      <c r="B4516" s="27">
        <f>IFERROR(IF(ISNUMBER(Datos!B4516),Datos!B4516/$F$2*100,NA()),NA())</f>
        <v/>
      </c>
      <c r="C4516" s="27">
        <f>IFERROR(IF(ISNUMBER(Datos!C4516),Datos!C4516/$F$3*100,NA()),NA())</f>
        <v/>
      </c>
    </row>
    <row r="4517">
      <c r="A4517" s="7">
        <f>IFERROR(Datos!A4517,"")</f>
        <v/>
      </c>
      <c r="B4517" s="27">
        <f>IFERROR(IF(ISNUMBER(Datos!B4517),Datos!B4517/$F$2*100,NA()),NA())</f>
        <v/>
      </c>
      <c r="C4517" s="27">
        <f>IFERROR(IF(ISNUMBER(Datos!C4517),Datos!C4517/$F$3*100,NA()),NA())</f>
        <v/>
      </c>
    </row>
    <row r="4518">
      <c r="A4518" s="7">
        <f>IFERROR(Datos!A4518,"")</f>
        <v/>
      </c>
      <c r="B4518" s="27">
        <f>IFERROR(IF(ISNUMBER(Datos!B4518),Datos!B4518/$F$2*100,NA()),NA())</f>
        <v/>
      </c>
      <c r="C4518" s="27">
        <f>IFERROR(IF(ISNUMBER(Datos!C4518),Datos!C4518/$F$3*100,NA()),NA())</f>
        <v/>
      </c>
    </row>
    <row r="4519">
      <c r="A4519" s="7">
        <f>IFERROR(Datos!A4519,"")</f>
        <v/>
      </c>
      <c r="B4519" s="27">
        <f>IFERROR(IF(ISNUMBER(Datos!B4519),Datos!B4519/$F$2*100,NA()),NA())</f>
        <v/>
      </c>
      <c r="C4519" s="27">
        <f>IFERROR(IF(ISNUMBER(Datos!C4519),Datos!C4519/$F$3*100,NA()),NA())</f>
        <v/>
      </c>
    </row>
    <row r="4520">
      <c r="A4520" s="7">
        <f>IFERROR(Datos!A4520,"")</f>
        <v/>
      </c>
      <c r="B4520" s="27">
        <f>IFERROR(IF(ISNUMBER(Datos!B4520),Datos!B4520/$F$2*100,NA()),NA())</f>
        <v/>
      </c>
      <c r="C4520" s="27">
        <f>IFERROR(IF(ISNUMBER(Datos!C4520),Datos!C4520/$F$3*100,NA()),NA())</f>
        <v/>
      </c>
    </row>
    <row r="4521">
      <c r="A4521" s="7">
        <f>IFERROR(Datos!A4521,"")</f>
        <v/>
      </c>
      <c r="B4521" s="27">
        <f>IFERROR(IF(ISNUMBER(Datos!B4521),Datos!B4521/$F$2*100,NA()),NA())</f>
        <v/>
      </c>
      <c r="C4521" s="27">
        <f>IFERROR(IF(ISNUMBER(Datos!C4521),Datos!C4521/$F$3*100,NA()),NA())</f>
        <v/>
      </c>
    </row>
    <row r="4522">
      <c r="A4522" s="7">
        <f>IFERROR(Datos!A4522,"")</f>
        <v/>
      </c>
      <c r="B4522" s="27">
        <f>IFERROR(IF(ISNUMBER(Datos!B4522),Datos!B4522/$F$2*100,NA()),NA())</f>
        <v/>
      </c>
      <c r="C4522" s="27">
        <f>IFERROR(IF(ISNUMBER(Datos!C4522),Datos!C4522/$F$3*100,NA()),NA())</f>
        <v/>
      </c>
    </row>
    <row r="4523">
      <c r="A4523" s="7">
        <f>IFERROR(Datos!A4523,"")</f>
        <v/>
      </c>
      <c r="B4523" s="27">
        <f>IFERROR(IF(ISNUMBER(Datos!B4523),Datos!B4523/$F$2*100,NA()),NA())</f>
        <v/>
      </c>
      <c r="C4523" s="27">
        <f>IFERROR(IF(ISNUMBER(Datos!C4523),Datos!C4523/$F$3*100,NA()),NA())</f>
        <v/>
      </c>
    </row>
    <row r="4524">
      <c r="A4524" s="7">
        <f>IFERROR(Datos!A4524,"")</f>
        <v/>
      </c>
      <c r="B4524" s="27">
        <f>IFERROR(IF(ISNUMBER(Datos!B4524),Datos!B4524/$F$2*100,NA()),NA())</f>
        <v/>
      </c>
      <c r="C4524" s="27">
        <f>IFERROR(IF(ISNUMBER(Datos!C4524),Datos!C4524/$F$3*100,NA()),NA())</f>
        <v/>
      </c>
    </row>
    <row r="4525">
      <c r="A4525" s="7">
        <f>IFERROR(Datos!A4525,"")</f>
        <v/>
      </c>
      <c r="B4525" s="27">
        <f>IFERROR(IF(ISNUMBER(Datos!B4525),Datos!B4525/$F$2*100,NA()),NA())</f>
        <v/>
      </c>
      <c r="C4525" s="27">
        <f>IFERROR(IF(ISNUMBER(Datos!C4525),Datos!C4525/$F$3*100,NA()),NA())</f>
        <v/>
      </c>
    </row>
    <row r="4526">
      <c r="A4526" s="7">
        <f>IFERROR(Datos!A4526,"")</f>
        <v/>
      </c>
      <c r="B4526" s="27">
        <f>IFERROR(IF(ISNUMBER(Datos!B4526),Datos!B4526/$F$2*100,NA()),NA())</f>
        <v/>
      </c>
      <c r="C4526" s="27">
        <f>IFERROR(IF(ISNUMBER(Datos!C4526),Datos!C4526/$F$3*100,NA()),NA())</f>
        <v/>
      </c>
    </row>
    <row r="4527">
      <c r="A4527" s="7">
        <f>IFERROR(Datos!A4527,"")</f>
        <v/>
      </c>
      <c r="B4527" s="27">
        <f>IFERROR(IF(ISNUMBER(Datos!B4527),Datos!B4527/$F$2*100,NA()),NA())</f>
        <v/>
      </c>
      <c r="C4527" s="27">
        <f>IFERROR(IF(ISNUMBER(Datos!C4527),Datos!C4527/$F$3*100,NA()),NA())</f>
        <v/>
      </c>
    </row>
    <row r="4528">
      <c r="A4528" s="7">
        <f>IFERROR(Datos!A4528,"")</f>
        <v/>
      </c>
      <c r="B4528" s="27">
        <f>IFERROR(IF(ISNUMBER(Datos!B4528),Datos!B4528/$F$2*100,NA()),NA())</f>
        <v/>
      </c>
      <c r="C4528" s="27">
        <f>IFERROR(IF(ISNUMBER(Datos!C4528),Datos!C4528/$F$3*100,NA()),NA())</f>
        <v/>
      </c>
    </row>
    <row r="4529">
      <c r="A4529" s="7">
        <f>IFERROR(Datos!A4529,"")</f>
        <v/>
      </c>
      <c r="B4529" s="27">
        <f>IFERROR(IF(ISNUMBER(Datos!B4529),Datos!B4529/$F$2*100,NA()),NA())</f>
        <v/>
      </c>
      <c r="C4529" s="27">
        <f>IFERROR(IF(ISNUMBER(Datos!C4529),Datos!C4529/$F$3*100,NA()),NA())</f>
        <v/>
      </c>
    </row>
    <row r="4530">
      <c r="A4530" s="7">
        <f>IFERROR(Datos!A4530,"")</f>
        <v/>
      </c>
      <c r="B4530" s="27">
        <f>IFERROR(IF(ISNUMBER(Datos!B4530),Datos!B4530/$F$2*100,NA()),NA())</f>
        <v/>
      </c>
      <c r="C4530" s="27">
        <f>IFERROR(IF(ISNUMBER(Datos!C4530),Datos!C4530/$F$3*100,NA()),NA())</f>
        <v/>
      </c>
    </row>
    <row r="4531">
      <c r="A4531" s="7">
        <f>IFERROR(Datos!A4531,"")</f>
        <v/>
      </c>
      <c r="B4531" s="27">
        <f>IFERROR(IF(ISNUMBER(Datos!B4531),Datos!B4531/$F$2*100,NA()),NA())</f>
        <v/>
      </c>
      <c r="C4531" s="27">
        <f>IFERROR(IF(ISNUMBER(Datos!C4531),Datos!C4531/$F$3*100,NA()),NA())</f>
        <v/>
      </c>
    </row>
    <row r="4532">
      <c r="A4532" s="7">
        <f>IFERROR(Datos!A4532,"")</f>
        <v/>
      </c>
      <c r="B4532" s="27">
        <f>IFERROR(IF(ISNUMBER(Datos!B4532),Datos!B4532/$F$2*100,NA()),NA())</f>
        <v/>
      </c>
      <c r="C4532" s="27">
        <f>IFERROR(IF(ISNUMBER(Datos!C4532),Datos!C4532/$F$3*100,NA()),NA())</f>
        <v/>
      </c>
    </row>
    <row r="4533">
      <c r="A4533" s="7">
        <f>IFERROR(Datos!A4533,"")</f>
        <v/>
      </c>
      <c r="B4533" s="27">
        <f>IFERROR(IF(ISNUMBER(Datos!B4533),Datos!B4533/$F$2*100,NA()),NA())</f>
        <v/>
      </c>
      <c r="C4533" s="27">
        <f>IFERROR(IF(ISNUMBER(Datos!C4533),Datos!C4533/$F$3*100,NA()),NA())</f>
        <v/>
      </c>
    </row>
    <row r="4534">
      <c r="A4534" s="7">
        <f>IFERROR(Datos!A4534,"")</f>
        <v/>
      </c>
      <c r="B4534" s="27">
        <f>IFERROR(IF(ISNUMBER(Datos!B4534),Datos!B4534/$F$2*100,NA()),NA())</f>
        <v/>
      </c>
      <c r="C4534" s="27">
        <f>IFERROR(IF(ISNUMBER(Datos!C4534),Datos!C4534/$F$3*100,NA()),NA())</f>
        <v/>
      </c>
    </row>
    <row r="4535">
      <c r="A4535" s="7">
        <f>IFERROR(Datos!A4535,"")</f>
        <v/>
      </c>
      <c r="B4535" s="27">
        <f>IFERROR(IF(ISNUMBER(Datos!B4535),Datos!B4535/$F$2*100,NA()),NA())</f>
        <v/>
      </c>
      <c r="C4535" s="27">
        <f>IFERROR(IF(ISNUMBER(Datos!C4535),Datos!C4535/$F$3*100,NA()),NA())</f>
        <v/>
      </c>
    </row>
    <row r="4536">
      <c r="A4536" s="7">
        <f>IFERROR(Datos!A4536,"")</f>
        <v/>
      </c>
      <c r="B4536" s="27">
        <f>IFERROR(IF(ISNUMBER(Datos!B4536),Datos!B4536/$F$2*100,NA()),NA())</f>
        <v/>
      </c>
      <c r="C4536" s="27">
        <f>IFERROR(IF(ISNUMBER(Datos!C4536),Datos!C4536/$F$3*100,NA()),NA())</f>
        <v/>
      </c>
    </row>
    <row r="4537">
      <c r="A4537" s="7">
        <f>IFERROR(Datos!A4537,"")</f>
        <v/>
      </c>
      <c r="B4537" s="27">
        <f>IFERROR(IF(ISNUMBER(Datos!B4537),Datos!B4537/$F$2*100,NA()),NA())</f>
        <v/>
      </c>
      <c r="C4537" s="27">
        <f>IFERROR(IF(ISNUMBER(Datos!C4537),Datos!C4537/$F$3*100,NA()),NA())</f>
        <v/>
      </c>
    </row>
    <row r="4538">
      <c r="A4538" s="7">
        <f>IFERROR(Datos!A4538,"")</f>
        <v/>
      </c>
      <c r="B4538" s="27">
        <f>IFERROR(IF(ISNUMBER(Datos!B4538),Datos!B4538/$F$2*100,NA()),NA())</f>
        <v/>
      </c>
      <c r="C4538" s="27">
        <f>IFERROR(IF(ISNUMBER(Datos!C4538),Datos!C4538/$F$3*100,NA()),NA())</f>
        <v/>
      </c>
    </row>
    <row r="4539">
      <c r="A4539" s="7">
        <f>IFERROR(Datos!A4539,"")</f>
        <v/>
      </c>
      <c r="B4539" s="27">
        <f>IFERROR(IF(ISNUMBER(Datos!B4539),Datos!B4539/$F$2*100,NA()),NA())</f>
        <v/>
      </c>
      <c r="C4539" s="27">
        <f>IFERROR(IF(ISNUMBER(Datos!C4539),Datos!C4539/$F$3*100,NA()),NA())</f>
        <v/>
      </c>
    </row>
    <row r="4540">
      <c r="A4540" s="7">
        <f>IFERROR(Datos!A4540,"")</f>
        <v/>
      </c>
      <c r="B4540" s="27">
        <f>IFERROR(IF(ISNUMBER(Datos!B4540),Datos!B4540/$F$2*100,NA()),NA())</f>
        <v/>
      </c>
      <c r="C4540" s="27">
        <f>IFERROR(IF(ISNUMBER(Datos!C4540),Datos!C4540/$F$3*100,NA()),NA())</f>
        <v/>
      </c>
    </row>
    <row r="4541">
      <c r="A4541" s="7">
        <f>IFERROR(Datos!A4541,"")</f>
        <v/>
      </c>
      <c r="B4541" s="27">
        <f>IFERROR(IF(ISNUMBER(Datos!B4541),Datos!B4541/$F$2*100,NA()),NA())</f>
        <v/>
      </c>
      <c r="C4541" s="27">
        <f>IFERROR(IF(ISNUMBER(Datos!C4541),Datos!C4541/$F$3*100,NA()),NA())</f>
        <v/>
      </c>
    </row>
    <row r="4542">
      <c r="A4542" s="7">
        <f>IFERROR(Datos!A4542,"")</f>
        <v/>
      </c>
      <c r="B4542" s="27">
        <f>IFERROR(IF(ISNUMBER(Datos!B4542),Datos!B4542/$F$2*100,NA()),NA())</f>
        <v/>
      </c>
      <c r="C4542" s="27">
        <f>IFERROR(IF(ISNUMBER(Datos!C4542),Datos!C4542/$F$3*100,NA()),NA())</f>
        <v/>
      </c>
    </row>
    <row r="4543">
      <c r="A4543" s="7">
        <f>IFERROR(Datos!A4543,"")</f>
        <v/>
      </c>
      <c r="B4543" s="27">
        <f>IFERROR(IF(ISNUMBER(Datos!B4543),Datos!B4543/$F$2*100,NA()),NA())</f>
        <v/>
      </c>
      <c r="C4543" s="27">
        <f>IFERROR(IF(ISNUMBER(Datos!C4543),Datos!C4543/$F$3*100,NA()),NA())</f>
        <v/>
      </c>
    </row>
    <row r="4544">
      <c r="A4544" s="7">
        <f>IFERROR(Datos!A4544,"")</f>
        <v/>
      </c>
      <c r="B4544" s="27">
        <f>IFERROR(IF(ISNUMBER(Datos!B4544),Datos!B4544/$F$2*100,NA()),NA())</f>
        <v/>
      </c>
      <c r="C4544" s="27">
        <f>IFERROR(IF(ISNUMBER(Datos!C4544),Datos!C4544/$F$3*100,NA()),NA())</f>
        <v/>
      </c>
    </row>
    <row r="4545">
      <c r="A4545" s="7">
        <f>IFERROR(Datos!A4545,"")</f>
        <v/>
      </c>
      <c r="B4545" s="27">
        <f>IFERROR(IF(ISNUMBER(Datos!B4545),Datos!B4545/$F$2*100,NA()),NA())</f>
        <v/>
      </c>
      <c r="C4545" s="27">
        <f>IFERROR(IF(ISNUMBER(Datos!C4545),Datos!C4545/$F$3*100,NA()),NA())</f>
        <v/>
      </c>
    </row>
    <row r="4546">
      <c r="A4546" s="7">
        <f>IFERROR(Datos!A4546,"")</f>
        <v/>
      </c>
      <c r="B4546" s="27">
        <f>IFERROR(IF(ISNUMBER(Datos!B4546),Datos!B4546/$F$2*100,NA()),NA())</f>
        <v/>
      </c>
      <c r="C4546" s="27">
        <f>IFERROR(IF(ISNUMBER(Datos!C4546),Datos!C4546/$F$3*100,NA()),NA())</f>
        <v/>
      </c>
    </row>
    <row r="4547">
      <c r="A4547" s="7">
        <f>IFERROR(Datos!A4547,"")</f>
        <v/>
      </c>
      <c r="B4547" s="27">
        <f>IFERROR(IF(ISNUMBER(Datos!B4547),Datos!B4547/$F$2*100,NA()),NA())</f>
        <v/>
      </c>
      <c r="C4547" s="27">
        <f>IFERROR(IF(ISNUMBER(Datos!C4547),Datos!C4547/$F$3*100,NA()),NA())</f>
        <v/>
      </c>
    </row>
    <row r="4548">
      <c r="A4548" s="7">
        <f>IFERROR(Datos!A4548,"")</f>
        <v/>
      </c>
      <c r="B4548" s="27">
        <f>IFERROR(IF(ISNUMBER(Datos!B4548),Datos!B4548/$F$2*100,NA()),NA())</f>
        <v/>
      </c>
      <c r="C4548" s="27">
        <f>IFERROR(IF(ISNUMBER(Datos!C4548),Datos!C4548/$F$3*100,NA()),NA())</f>
        <v/>
      </c>
    </row>
    <row r="4549">
      <c r="A4549" s="7">
        <f>IFERROR(Datos!A4549,"")</f>
        <v/>
      </c>
      <c r="B4549" s="27">
        <f>IFERROR(IF(ISNUMBER(Datos!B4549),Datos!B4549/$F$2*100,NA()),NA())</f>
        <v/>
      </c>
      <c r="C4549" s="27">
        <f>IFERROR(IF(ISNUMBER(Datos!C4549),Datos!C4549/$F$3*100,NA()),NA())</f>
        <v/>
      </c>
    </row>
    <row r="4550">
      <c r="A4550" s="7">
        <f>IFERROR(Datos!A4550,"")</f>
        <v/>
      </c>
      <c r="B4550" s="27">
        <f>IFERROR(IF(ISNUMBER(Datos!B4550),Datos!B4550/$F$2*100,NA()),NA())</f>
        <v/>
      </c>
      <c r="C4550" s="27">
        <f>IFERROR(IF(ISNUMBER(Datos!C4550),Datos!C4550/$F$3*100,NA()),NA())</f>
        <v/>
      </c>
    </row>
    <row r="4551">
      <c r="A4551" s="7">
        <f>IFERROR(Datos!A4551,"")</f>
        <v/>
      </c>
      <c r="B4551" s="27">
        <f>IFERROR(IF(ISNUMBER(Datos!B4551),Datos!B4551/$F$2*100,NA()),NA())</f>
        <v/>
      </c>
      <c r="C4551" s="27">
        <f>IFERROR(IF(ISNUMBER(Datos!C4551),Datos!C4551/$F$3*100,NA()),NA())</f>
        <v/>
      </c>
    </row>
    <row r="4552">
      <c r="A4552" s="7">
        <f>IFERROR(Datos!A4552,"")</f>
        <v/>
      </c>
      <c r="B4552" s="27">
        <f>IFERROR(IF(ISNUMBER(Datos!B4552),Datos!B4552/$F$2*100,NA()),NA())</f>
        <v/>
      </c>
      <c r="C4552" s="27">
        <f>IFERROR(IF(ISNUMBER(Datos!C4552),Datos!C4552/$F$3*100,NA()),NA())</f>
        <v/>
      </c>
    </row>
    <row r="4553">
      <c r="A4553" s="7">
        <f>IFERROR(Datos!A4553,"")</f>
        <v/>
      </c>
      <c r="B4553" s="27">
        <f>IFERROR(IF(ISNUMBER(Datos!B4553),Datos!B4553/$F$2*100,NA()),NA())</f>
        <v/>
      </c>
      <c r="C4553" s="27">
        <f>IFERROR(IF(ISNUMBER(Datos!C4553),Datos!C4553/$F$3*100,NA()),NA())</f>
        <v/>
      </c>
    </row>
    <row r="4554">
      <c r="A4554" s="7">
        <f>IFERROR(Datos!A4554,"")</f>
        <v/>
      </c>
      <c r="B4554" s="27">
        <f>IFERROR(IF(ISNUMBER(Datos!B4554),Datos!B4554/$F$2*100,NA()),NA())</f>
        <v/>
      </c>
      <c r="C4554" s="27">
        <f>IFERROR(IF(ISNUMBER(Datos!C4554),Datos!C4554/$F$3*100,NA()),NA())</f>
        <v/>
      </c>
    </row>
    <row r="4555">
      <c r="A4555" s="7">
        <f>IFERROR(Datos!A4555,"")</f>
        <v/>
      </c>
      <c r="B4555" s="27">
        <f>IFERROR(IF(ISNUMBER(Datos!B4555),Datos!B4555/$F$2*100,NA()),NA())</f>
        <v/>
      </c>
      <c r="C4555" s="27">
        <f>IFERROR(IF(ISNUMBER(Datos!C4555),Datos!C4555/$F$3*100,NA()),NA())</f>
        <v/>
      </c>
    </row>
    <row r="4556">
      <c r="A4556" s="7">
        <f>IFERROR(Datos!A4556,"")</f>
        <v/>
      </c>
      <c r="B4556" s="27">
        <f>IFERROR(IF(ISNUMBER(Datos!B4556),Datos!B4556/$F$2*100,NA()),NA())</f>
        <v/>
      </c>
      <c r="C4556" s="27">
        <f>IFERROR(IF(ISNUMBER(Datos!C4556),Datos!C4556/$F$3*100,NA()),NA())</f>
        <v/>
      </c>
    </row>
    <row r="4557">
      <c r="A4557" s="7">
        <f>IFERROR(Datos!A4557,"")</f>
        <v/>
      </c>
      <c r="B4557" s="27">
        <f>IFERROR(IF(ISNUMBER(Datos!B4557),Datos!B4557/$F$2*100,NA()),NA())</f>
        <v/>
      </c>
      <c r="C4557" s="27">
        <f>IFERROR(IF(ISNUMBER(Datos!C4557),Datos!C4557/$F$3*100,NA()),NA())</f>
        <v/>
      </c>
    </row>
    <row r="4558">
      <c r="A4558" s="7">
        <f>IFERROR(Datos!A4558,"")</f>
        <v/>
      </c>
      <c r="B4558" s="27">
        <f>IFERROR(IF(ISNUMBER(Datos!B4558),Datos!B4558/$F$2*100,NA()),NA())</f>
        <v/>
      </c>
      <c r="C4558" s="27">
        <f>IFERROR(IF(ISNUMBER(Datos!C4558),Datos!C4558/$F$3*100,NA()),NA())</f>
        <v/>
      </c>
    </row>
    <row r="4559">
      <c r="A4559" s="7">
        <f>IFERROR(Datos!A4559,"")</f>
        <v/>
      </c>
      <c r="B4559" s="27">
        <f>IFERROR(IF(ISNUMBER(Datos!B4559),Datos!B4559/$F$2*100,NA()),NA())</f>
        <v/>
      </c>
      <c r="C4559" s="27">
        <f>IFERROR(IF(ISNUMBER(Datos!C4559),Datos!C4559/$F$3*100,NA()),NA())</f>
        <v/>
      </c>
    </row>
    <row r="4560">
      <c r="A4560" s="7">
        <f>IFERROR(Datos!A4560,"")</f>
        <v/>
      </c>
      <c r="B4560" s="27">
        <f>IFERROR(IF(ISNUMBER(Datos!B4560),Datos!B4560/$F$2*100,NA()),NA())</f>
        <v/>
      </c>
      <c r="C4560" s="27">
        <f>IFERROR(IF(ISNUMBER(Datos!C4560),Datos!C4560/$F$3*100,NA()),NA())</f>
        <v/>
      </c>
    </row>
    <row r="4561">
      <c r="A4561" s="7">
        <f>IFERROR(Datos!A4561,"")</f>
        <v/>
      </c>
      <c r="B4561" s="27">
        <f>IFERROR(IF(ISNUMBER(Datos!B4561),Datos!B4561/$F$2*100,NA()),NA())</f>
        <v/>
      </c>
      <c r="C4561" s="27">
        <f>IFERROR(IF(ISNUMBER(Datos!C4561),Datos!C4561/$F$3*100,NA()),NA())</f>
        <v/>
      </c>
    </row>
    <row r="4562">
      <c r="A4562" s="7">
        <f>IFERROR(Datos!A4562,"")</f>
        <v/>
      </c>
      <c r="B4562" s="27">
        <f>IFERROR(IF(ISNUMBER(Datos!B4562),Datos!B4562/$F$2*100,NA()),NA())</f>
        <v/>
      </c>
      <c r="C4562" s="27">
        <f>IFERROR(IF(ISNUMBER(Datos!C4562),Datos!C4562/$F$3*100,NA()),NA())</f>
        <v/>
      </c>
    </row>
    <row r="4563">
      <c r="A4563" s="7">
        <f>IFERROR(Datos!A4563,"")</f>
        <v/>
      </c>
      <c r="B4563" s="27">
        <f>IFERROR(IF(ISNUMBER(Datos!B4563),Datos!B4563/$F$2*100,NA()),NA())</f>
        <v/>
      </c>
      <c r="C4563" s="27">
        <f>IFERROR(IF(ISNUMBER(Datos!C4563),Datos!C4563/$F$3*100,NA()),NA())</f>
        <v/>
      </c>
    </row>
    <row r="4564">
      <c r="A4564" s="7">
        <f>IFERROR(Datos!A4564,"")</f>
        <v/>
      </c>
      <c r="B4564" s="27">
        <f>IFERROR(IF(ISNUMBER(Datos!B4564),Datos!B4564/$F$2*100,NA()),NA())</f>
        <v/>
      </c>
      <c r="C4564" s="27">
        <f>IFERROR(IF(ISNUMBER(Datos!C4564),Datos!C4564/$F$3*100,NA()),NA())</f>
        <v/>
      </c>
    </row>
    <row r="4565">
      <c r="A4565" s="7">
        <f>IFERROR(Datos!A4565,"")</f>
        <v/>
      </c>
      <c r="B4565" s="27">
        <f>IFERROR(IF(ISNUMBER(Datos!B4565),Datos!B4565/$F$2*100,NA()),NA())</f>
        <v/>
      </c>
      <c r="C4565" s="27">
        <f>IFERROR(IF(ISNUMBER(Datos!C4565),Datos!C4565/$F$3*100,NA()),NA())</f>
        <v/>
      </c>
    </row>
    <row r="4566">
      <c r="A4566" s="7">
        <f>IFERROR(Datos!A4566,"")</f>
        <v/>
      </c>
      <c r="B4566" s="27">
        <f>IFERROR(IF(ISNUMBER(Datos!B4566),Datos!B4566/$F$2*100,NA()),NA())</f>
        <v/>
      </c>
      <c r="C4566" s="27">
        <f>IFERROR(IF(ISNUMBER(Datos!C4566),Datos!C4566/$F$3*100,NA()),NA())</f>
        <v/>
      </c>
    </row>
    <row r="4567">
      <c r="A4567" s="7">
        <f>IFERROR(Datos!A4567,"")</f>
        <v/>
      </c>
      <c r="B4567" s="27">
        <f>IFERROR(IF(ISNUMBER(Datos!B4567),Datos!B4567/$F$2*100,NA()),NA())</f>
        <v/>
      </c>
      <c r="C4567" s="27">
        <f>IFERROR(IF(ISNUMBER(Datos!C4567),Datos!C4567/$F$3*100,NA()),NA())</f>
        <v/>
      </c>
    </row>
    <row r="4568">
      <c r="A4568" s="7">
        <f>IFERROR(Datos!A4568,"")</f>
        <v/>
      </c>
      <c r="B4568" s="27">
        <f>IFERROR(IF(ISNUMBER(Datos!B4568),Datos!B4568/$F$2*100,NA()),NA())</f>
        <v/>
      </c>
      <c r="C4568" s="27">
        <f>IFERROR(IF(ISNUMBER(Datos!C4568),Datos!C4568/$F$3*100,NA()),NA())</f>
        <v/>
      </c>
    </row>
    <row r="4569">
      <c r="A4569" s="7">
        <f>IFERROR(Datos!A4569,"")</f>
        <v/>
      </c>
      <c r="B4569" s="27">
        <f>IFERROR(IF(ISNUMBER(Datos!B4569),Datos!B4569/$F$2*100,NA()),NA())</f>
        <v/>
      </c>
      <c r="C4569" s="27">
        <f>IFERROR(IF(ISNUMBER(Datos!C4569),Datos!C4569/$F$3*100,NA()),NA())</f>
        <v/>
      </c>
    </row>
    <row r="4570">
      <c r="A4570" s="7">
        <f>IFERROR(Datos!A4570,"")</f>
        <v/>
      </c>
      <c r="B4570" s="27">
        <f>IFERROR(IF(ISNUMBER(Datos!B4570),Datos!B4570/$F$2*100,NA()),NA())</f>
        <v/>
      </c>
      <c r="C4570" s="27">
        <f>IFERROR(IF(ISNUMBER(Datos!C4570),Datos!C4570/$F$3*100,NA()),NA())</f>
        <v/>
      </c>
    </row>
    <row r="4571">
      <c r="A4571" s="7">
        <f>IFERROR(Datos!A4571,"")</f>
        <v/>
      </c>
      <c r="B4571" s="27">
        <f>IFERROR(IF(ISNUMBER(Datos!B4571),Datos!B4571/$F$2*100,NA()),NA())</f>
        <v/>
      </c>
      <c r="C4571" s="27">
        <f>IFERROR(IF(ISNUMBER(Datos!C4571),Datos!C4571/$F$3*100,NA()),NA())</f>
        <v/>
      </c>
    </row>
    <row r="4572">
      <c r="A4572" s="7">
        <f>IFERROR(Datos!A4572,"")</f>
        <v/>
      </c>
      <c r="B4572" s="27">
        <f>IFERROR(IF(ISNUMBER(Datos!B4572),Datos!B4572/$F$2*100,NA()),NA())</f>
        <v/>
      </c>
      <c r="C4572" s="27">
        <f>IFERROR(IF(ISNUMBER(Datos!C4572),Datos!C4572/$F$3*100,NA()),NA())</f>
        <v/>
      </c>
    </row>
    <row r="4573">
      <c r="A4573" s="7">
        <f>IFERROR(Datos!A4573,"")</f>
        <v/>
      </c>
      <c r="B4573" s="27">
        <f>IFERROR(IF(ISNUMBER(Datos!B4573),Datos!B4573/$F$2*100,NA()),NA())</f>
        <v/>
      </c>
      <c r="C4573" s="27">
        <f>IFERROR(IF(ISNUMBER(Datos!C4573),Datos!C4573/$F$3*100,NA()),NA())</f>
        <v/>
      </c>
    </row>
    <row r="4574">
      <c r="A4574" s="7">
        <f>IFERROR(Datos!A4574,"")</f>
        <v/>
      </c>
      <c r="B4574" s="27">
        <f>IFERROR(IF(ISNUMBER(Datos!B4574),Datos!B4574/$F$2*100,NA()),NA())</f>
        <v/>
      </c>
      <c r="C4574" s="27">
        <f>IFERROR(IF(ISNUMBER(Datos!C4574),Datos!C4574/$F$3*100,NA()),NA())</f>
        <v/>
      </c>
    </row>
    <row r="4575">
      <c r="A4575" s="7">
        <f>IFERROR(Datos!A4575,"")</f>
        <v/>
      </c>
      <c r="B4575" s="27">
        <f>IFERROR(IF(ISNUMBER(Datos!B4575),Datos!B4575/$F$2*100,NA()),NA())</f>
        <v/>
      </c>
      <c r="C4575" s="27">
        <f>IFERROR(IF(ISNUMBER(Datos!C4575),Datos!C4575/$F$3*100,NA()),NA())</f>
        <v/>
      </c>
    </row>
    <row r="4576">
      <c r="A4576" s="7">
        <f>IFERROR(Datos!A4576,"")</f>
        <v/>
      </c>
      <c r="B4576" s="27">
        <f>IFERROR(IF(ISNUMBER(Datos!B4576),Datos!B4576/$F$2*100,NA()),NA())</f>
        <v/>
      </c>
      <c r="C4576" s="27">
        <f>IFERROR(IF(ISNUMBER(Datos!C4576),Datos!C4576/$F$3*100,NA()),NA())</f>
        <v/>
      </c>
    </row>
    <row r="4577">
      <c r="A4577" s="7">
        <f>IFERROR(Datos!A4577,"")</f>
        <v/>
      </c>
      <c r="B4577" s="27">
        <f>IFERROR(IF(ISNUMBER(Datos!B4577),Datos!B4577/$F$2*100,NA()),NA())</f>
        <v/>
      </c>
      <c r="C4577" s="27">
        <f>IFERROR(IF(ISNUMBER(Datos!C4577),Datos!C4577/$F$3*100,NA()),NA())</f>
        <v/>
      </c>
    </row>
    <row r="4578">
      <c r="A4578" s="7">
        <f>IFERROR(Datos!A4578,"")</f>
        <v/>
      </c>
      <c r="B4578" s="27">
        <f>IFERROR(IF(ISNUMBER(Datos!B4578),Datos!B4578/$F$2*100,NA()),NA())</f>
        <v/>
      </c>
      <c r="C4578" s="27">
        <f>IFERROR(IF(ISNUMBER(Datos!C4578),Datos!C4578/$F$3*100,NA()),NA())</f>
        <v/>
      </c>
    </row>
    <row r="4579">
      <c r="A4579" s="7">
        <f>IFERROR(Datos!A4579,"")</f>
        <v/>
      </c>
      <c r="B4579" s="27">
        <f>IFERROR(IF(ISNUMBER(Datos!B4579),Datos!B4579/$F$2*100,NA()),NA())</f>
        <v/>
      </c>
      <c r="C4579" s="27">
        <f>IFERROR(IF(ISNUMBER(Datos!C4579),Datos!C4579/$F$3*100,NA()),NA())</f>
        <v/>
      </c>
    </row>
    <row r="4580">
      <c r="A4580" s="7">
        <f>IFERROR(Datos!A4580,"")</f>
        <v/>
      </c>
      <c r="B4580" s="27">
        <f>IFERROR(IF(ISNUMBER(Datos!B4580),Datos!B4580/$F$2*100,NA()),NA())</f>
        <v/>
      </c>
      <c r="C4580" s="27">
        <f>IFERROR(IF(ISNUMBER(Datos!C4580),Datos!C4580/$F$3*100,NA()),NA())</f>
        <v/>
      </c>
    </row>
    <row r="4581">
      <c r="A4581" s="7">
        <f>IFERROR(Datos!A4581,"")</f>
        <v/>
      </c>
      <c r="B4581" s="27">
        <f>IFERROR(IF(ISNUMBER(Datos!B4581),Datos!B4581/$F$2*100,NA()),NA())</f>
        <v/>
      </c>
      <c r="C4581" s="27">
        <f>IFERROR(IF(ISNUMBER(Datos!C4581),Datos!C4581/$F$3*100,NA()),NA())</f>
        <v/>
      </c>
    </row>
    <row r="4582">
      <c r="A4582" s="7">
        <f>IFERROR(Datos!A4582,"")</f>
        <v/>
      </c>
      <c r="B4582" s="27">
        <f>IFERROR(IF(ISNUMBER(Datos!B4582),Datos!B4582/$F$2*100,NA()),NA())</f>
        <v/>
      </c>
      <c r="C4582" s="27">
        <f>IFERROR(IF(ISNUMBER(Datos!C4582),Datos!C4582/$F$3*100,NA()),NA())</f>
        <v/>
      </c>
    </row>
    <row r="4583">
      <c r="A4583" s="7">
        <f>IFERROR(Datos!A4583,"")</f>
        <v/>
      </c>
      <c r="B4583" s="27">
        <f>IFERROR(IF(ISNUMBER(Datos!B4583),Datos!B4583/$F$2*100,NA()),NA())</f>
        <v/>
      </c>
      <c r="C4583" s="27">
        <f>IFERROR(IF(ISNUMBER(Datos!C4583),Datos!C4583/$F$3*100,NA()),NA())</f>
        <v/>
      </c>
    </row>
    <row r="4584">
      <c r="A4584" s="7">
        <f>IFERROR(Datos!A4584,"")</f>
        <v/>
      </c>
      <c r="B4584" s="27">
        <f>IFERROR(IF(ISNUMBER(Datos!B4584),Datos!B4584/$F$2*100,NA()),NA())</f>
        <v/>
      </c>
      <c r="C4584" s="27">
        <f>IFERROR(IF(ISNUMBER(Datos!C4584),Datos!C4584/$F$3*100,NA()),NA())</f>
        <v/>
      </c>
    </row>
    <row r="4585">
      <c r="A4585" s="7">
        <f>IFERROR(Datos!A4585,"")</f>
        <v/>
      </c>
      <c r="B4585" s="27">
        <f>IFERROR(IF(ISNUMBER(Datos!B4585),Datos!B4585/$F$2*100,NA()),NA())</f>
        <v/>
      </c>
      <c r="C4585" s="27">
        <f>IFERROR(IF(ISNUMBER(Datos!C4585),Datos!C4585/$F$3*100,NA()),NA())</f>
        <v/>
      </c>
    </row>
    <row r="4586">
      <c r="A4586" s="7">
        <f>IFERROR(Datos!A4586,"")</f>
        <v/>
      </c>
      <c r="B4586" s="27">
        <f>IFERROR(IF(ISNUMBER(Datos!B4586),Datos!B4586/$F$2*100,NA()),NA())</f>
        <v/>
      </c>
      <c r="C4586" s="27">
        <f>IFERROR(IF(ISNUMBER(Datos!C4586),Datos!C4586/$F$3*100,NA()),NA())</f>
        <v/>
      </c>
    </row>
    <row r="4587">
      <c r="A4587" s="7">
        <f>IFERROR(Datos!A4587,"")</f>
        <v/>
      </c>
      <c r="B4587" s="27">
        <f>IFERROR(IF(ISNUMBER(Datos!B4587),Datos!B4587/$F$2*100,NA()),NA())</f>
        <v/>
      </c>
      <c r="C4587" s="27">
        <f>IFERROR(IF(ISNUMBER(Datos!C4587),Datos!C4587/$F$3*100,NA()),NA())</f>
        <v/>
      </c>
    </row>
    <row r="4588">
      <c r="A4588" s="7">
        <f>IFERROR(Datos!A4588,"")</f>
        <v/>
      </c>
      <c r="B4588" s="27">
        <f>IFERROR(IF(ISNUMBER(Datos!B4588),Datos!B4588/$F$2*100,NA()),NA())</f>
        <v/>
      </c>
      <c r="C4588" s="27">
        <f>IFERROR(IF(ISNUMBER(Datos!C4588),Datos!C4588/$F$3*100,NA()),NA())</f>
        <v/>
      </c>
    </row>
    <row r="4589">
      <c r="A4589" s="7">
        <f>IFERROR(Datos!A4589,"")</f>
        <v/>
      </c>
      <c r="B4589" s="27">
        <f>IFERROR(IF(ISNUMBER(Datos!B4589),Datos!B4589/$F$2*100,NA()),NA())</f>
        <v/>
      </c>
      <c r="C4589" s="27">
        <f>IFERROR(IF(ISNUMBER(Datos!C4589),Datos!C4589/$F$3*100,NA()),NA())</f>
        <v/>
      </c>
    </row>
    <row r="4590">
      <c r="A4590" s="7">
        <f>IFERROR(Datos!A4590,"")</f>
        <v/>
      </c>
      <c r="B4590" s="27">
        <f>IFERROR(IF(ISNUMBER(Datos!B4590),Datos!B4590/$F$2*100,NA()),NA())</f>
        <v/>
      </c>
      <c r="C4590" s="27">
        <f>IFERROR(IF(ISNUMBER(Datos!C4590),Datos!C4590/$F$3*100,NA()),NA())</f>
        <v/>
      </c>
    </row>
    <row r="4591">
      <c r="A4591" s="7">
        <f>IFERROR(Datos!A4591,"")</f>
        <v/>
      </c>
      <c r="B4591" s="27">
        <f>IFERROR(IF(ISNUMBER(Datos!B4591),Datos!B4591/$F$2*100,NA()),NA())</f>
        <v/>
      </c>
      <c r="C4591" s="27">
        <f>IFERROR(IF(ISNUMBER(Datos!C4591),Datos!C4591/$F$3*100,NA()),NA())</f>
        <v/>
      </c>
    </row>
    <row r="4592">
      <c r="A4592" s="7">
        <f>IFERROR(Datos!A4592,"")</f>
        <v/>
      </c>
      <c r="B4592" s="27">
        <f>IFERROR(IF(ISNUMBER(Datos!B4592),Datos!B4592/$F$2*100,NA()),NA())</f>
        <v/>
      </c>
      <c r="C4592" s="27">
        <f>IFERROR(IF(ISNUMBER(Datos!C4592),Datos!C4592/$F$3*100,NA()),NA())</f>
        <v/>
      </c>
    </row>
    <row r="4593">
      <c r="A4593" s="7">
        <f>IFERROR(Datos!A4593,"")</f>
        <v/>
      </c>
      <c r="B4593" s="27">
        <f>IFERROR(IF(ISNUMBER(Datos!B4593),Datos!B4593/$F$2*100,NA()),NA())</f>
        <v/>
      </c>
      <c r="C4593" s="27">
        <f>IFERROR(IF(ISNUMBER(Datos!C4593),Datos!C4593/$F$3*100,NA()),NA())</f>
        <v/>
      </c>
    </row>
    <row r="4594">
      <c r="A4594" s="7">
        <f>IFERROR(Datos!A4594,"")</f>
        <v/>
      </c>
      <c r="B4594" s="27">
        <f>IFERROR(IF(ISNUMBER(Datos!B4594),Datos!B4594/$F$2*100,NA()),NA())</f>
        <v/>
      </c>
      <c r="C4594" s="27">
        <f>IFERROR(IF(ISNUMBER(Datos!C4594),Datos!C4594/$F$3*100,NA()),NA())</f>
        <v/>
      </c>
    </row>
    <row r="4595">
      <c r="A4595" s="7">
        <f>IFERROR(Datos!A4595,"")</f>
        <v/>
      </c>
      <c r="B4595" s="27">
        <f>IFERROR(IF(ISNUMBER(Datos!B4595),Datos!B4595/$F$2*100,NA()),NA())</f>
        <v/>
      </c>
      <c r="C4595" s="27">
        <f>IFERROR(IF(ISNUMBER(Datos!C4595),Datos!C4595/$F$3*100,NA()),NA())</f>
        <v/>
      </c>
    </row>
    <row r="4596">
      <c r="A4596" s="7">
        <f>IFERROR(Datos!A4596,"")</f>
        <v/>
      </c>
      <c r="B4596" s="27">
        <f>IFERROR(IF(ISNUMBER(Datos!B4596),Datos!B4596/$F$2*100,NA()),NA())</f>
        <v/>
      </c>
      <c r="C4596" s="27">
        <f>IFERROR(IF(ISNUMBER(Datos!C4596),Datos!C4596/$F$3*100,NA()),NA())</f>
        <v/>
      </c>
    </row>
    <row r="4597">
      <c r="A4597" s="7">
        <f>IFERROR(Datos!A4597,"")</f>
        <v/>
      </c>
      <c r="B4597" s="27">
        <f>IFERROR(IF(ISNUMBER(Datos!B4597),Datos!B4597/$F$2*100,NA()),NA())</f>
        <v/>
      </c>
      <c r="C4597" s="27">
        <f>IFERROR(IF(ISNUMBER(Datos!C4597),Datos!C4597/$F$3*100,NA()),NA())</f>
        <v/>
      </c>
    </row>
    <row r="4598">
      <c r="A4598" s="7">
        <f>IFERROR(Datos!A4598,"")</f>
        <v/>
      </c>
      <c r="B4598" s="27">
        <f>IFERROR(IF(ISNUMBER(Datos!B4598),Datos!B4598/$F$2*100,NA()),NA())</f>
        <v/>
      </c>
      <c r="C4598" s="27">
        <f>IFERROR(IF(ISNUMBER(Datos!C4598),Datos!C4598/$F$3*100,NA()),NA())</f>
        <v/>
      </c>
    </row>
    <row r="4599">
      <c r="A4599" s="7">
        <f>IFERROR(Datos!A4599,"")</f>
        <v/>
      </c>
      <c r="B4599" s="27">
        <f>IFERROR(IF(ISNUMBER(Datos!B4599),Datos!B4599/$F$2*100,NA()),NA())</f>
        <v/>
      </c>
      <c r="C4599" s="27">
        <f>IFERROR(IF(ISNUMBER(Datos!C4599),Datos!C4599/$F$3*100,NA()),NA())</f>
        <v/>
      </c>
    </row>
    <row r="4600">
      <c r="A4600" s="7">
        <f>IFERROR(Datos!A4600,"")</f>
        <v/>
      </c>
      <c r="B4600" s="27">
        <f>IFERROR(IF(ISNUMBER(Datos!B4600),Datos!B4600/$F$2*100,NA()),NA())</f>
        <v/>
      </c>
      <c r="C4600" s="27">
        <f>IFERROR(IF(ISNUMBER(Datos!C4600),Datos!C4600/$F$3*100,NA()),NA())</f>
        <v/>
      </c>
    </row>
    <row r="4601">
      <c r="A4601" s="7">
        <f>IFERROR(Datos!A4601,"")</f>
        <v/>
      </c>
      <c r="B4601" s="27">
        <f>IFERROR(IF(ISNUMBER(Datos!B4601),Datos!B4601/$F$2*100,NA()),NA())</f>
        <v/>
      </c>
      <c r="C4601" s="27">
        <f>IFERROR(IF(ISNUMBER(Datos!C4601),Datos!C4601/$F$3*100,NA()),NA())</f>
        <v/>
      </c>
    </row>
    <row r="4602">
      <c r="A4602" s="7">
        <f>IFERROR(Datos!A4602,"")</f>
        <v/>
      </c>
      <c r="B4602" s="27">
        <f>IFERROR(IF(ISNUMBER(Datos!B4602),Datos!B4602/$F$2*100,NA()),NA())</f>
        <v/>
      </c>
      <c r="C4602" s="27">
        <f>IFERROR(IF(ISNUMBER(Datos!C4602),Datos!C4602/$F$3*100,NA()),NA())</f>
        <v/>
      </c>
    </row>
    <row r="4603">
      <c r="A4603" s="7">
        <f>IFERROR(Datos!A4603,"")</f>
        <v/>
      </c>
      <c r="B4603" s="27">
        <f>IFERROR(IF(ISNUMBER(Datos!B4603),Datos!B4603/$F$2*100,NA()),NA())</f>
        <v/>
      </c>
      <c r="C4603" s="27">
        <f>IFERROR(IF(ISNUMBER(Datos!C4603),Datos!C4603/$F$3*100,NA()),NA())</f>
        <v/>
      </c>
    </row>
    <row r="4604">
      <c r="A4604" s="7">
        <f>IFERROR(Datos!A4604,"")</f>
        <v/>
      </c>
      <c r="B4604" s="27">
        <f>IFERROR(IF(ISNUMBER(Datos!B4604),Datos!B4604/$F$2*100,NA()),NA())</f>
        <v/>
      </c>
      <c r="C4604" s="27">
        <f>IFERROR(IF(ISNUMBER(Datos!C4604),Datos!C4604/$F$3*100,NA()),NA())</f>
        <v/>
      </c>
    </row>
    <row r="4605">
      <c r="A4605" s="7">
        <f>IFERROR(Datos!A4605,"")</f>
        <v/>
      </c>
      <c r="B4605" s="27">
        <f>IFERROR(IF(ISNUMBER(Datos!B4605),Datos!B4605/$F$2*100,NA()),NA())</f>
        <v/>
      </c>
      <c r="C4605" s="27">
        <f>IFERROR(IF(ISNUMBER(Datos!C4605),Datos!C4605/$F$3*100,NA()),NA())</f>
        <v/>
      </c>
    </row>
    <row r="4606">
      <c r="A4606" s="7">
        <f>IFERROR(Datos!A4606,"")</f>
        <v/>
      </c>
      <c r="B4606" s="27">
        <f>IFERROR(IF(ISNUMBER(Datos!B4606),Datos!B4606/$F$2*100,NA()),NA())</f>
        <v/>
      </c>
      <c r="C4606" s="27">
        <f>IFERROR(IF(ISNUMBER(Datos!C4606),Datos!C4606/$F$3*100,NA()),NA())</f>
        <v/>
      </c>
    </row>
    <row r="4607">
      <c r="A4607" s="7">
        <f>IFERROR(Datos!A4607,"")</f>
        <v/>
      </c>
      <c r="B4607" s="27">
        <f>IFERROR(IF(ISNUMBER(Datos!B4607),Datos!B4607/$F$2*100,NA()),NA())</f>
        <v/>
      </c>
      <c r="C4607" s="27">
        <f>IFERROR(IF(ISNUMBER(Datos!C4607),Datos!C4607/$F$3*100,NA()),NA())</f>
        <v/>
      </c>
    </row>
    <row r="4608">
      <c r="A4608" s="7">
        <f>IFERROR(Datos!A4608,"")</f>
        <v/>
      </c>
      <c r="B4608" s="27">
        <f>IFERROR(IF(ISNUMBER(Datos!B4608),Datos!B4608/$F$2*100,NA()),NA())</f>
        <v/>
      </c>
      <c r="C4608" s="27">
        <f>IFERROR(IF(ISNUMBER(Datos!C4608),Datos!C4608/$F$3*100,NA()),NA())</f>
        <v/>
      </c>
    </row>
    <row r="4609">
      <c r="A4609" s="7">
        <f>IFERROR(Datos!A4609,"")</f>
        <v/>
      </c>
      <c r="B4609" s="27">
        <f>IFERROR(IF(ISNUMBER(Datos!B4609),Datos!B4609/$F$2*100,NA()),NA())</f>
        <v/>
      </c>
      <c r="C4609" s="27">
        <f>IFERROR(IF(ISNUMBER(Datos!C4609),Datos!C4609/$F$3*100,NA()),NA())</f>
        <v/>
      </c>
    </row>
    <row r="4610">
      <c r="A4610" s="7">
        <f>IFERROR(Datos!A4610,"")</f>
        <v/>
      </c>
      <c r="B4610" s="27">
        <f>IFERROR(IF(ISNUMBER(Datos!B4610),Datos!B4610/$F$2*100,NA()),NA())</f>
        <v/>
      </c>
      <c r="C4610" s="27">
        <f>IFERROR(IF(ISNUMBER(Datos!C4610),Datos!C4610/$F$3*100,NA()),NA())</f>
        <v/>
      </c>
    </row>
    <row r="4611">
      <c r="A4611" s="7">
        <f>IFERROR(Datos!A4611,"")</f>
        <v/>
      </c>
      <c r="B4611" s="27">
        <f>IFERROR(IF(ISNUMBER(Datos!B4611),Datos!B4611/$F$2*100,NA()),NA())</f>
        <v/>
      </c>
      <c r="C4611" s="27">
        <f>IFERROR(IF(ISNUMBER(Datos!C4611),Datos!C4611/$F$3*100,NA()),NA())</f>
        <v/>
      </c>
    </row>
    <row r="4612">
      <c r="A4612" s="7">
        <f>IFERROR(Datos!A4612,"")</f>
        <v/>
      </c>
      <c r="B4612" s="27">
        <f>IFERROR(IF(ISNUMBER(Datos!B4612),Datos!B4612/$F$2*100,NA()),NA())</f>
        <v/>
      </c>
      <c r="C4612" s="27">
        <f>IFERROR(IF(ISNUMBER(Datos!C4612),Datos!C4612/$F$3*100,NA()),NA())</f>
        <v/>
      </c>
    </row>
    <row r="4613">
      <c r="A4613" s="7">
        <f>IFERROR(Datos!A4613,"")</f>
        <v/>
      </c>
      <c r="B4613" s="27">
        <f>IFERROR(IF(ISNUMBER(Datos!B4613),Datos!B4613/$F$2*100,NA()),NA())</f>
        <v/>
      </c>
      <c r="C4613" s="27">
        <f>IFERROR(IF(ISNUMBER(Datos!C4613),Datos!C4613/$F$3*100,NA()),NA())</f>
        <v/>
      </c>
    </row>
    <row r="4614">
      <c r="A4614" s="7">
        <f>IFERROR(Datos!A4614,"")</f>
        <v/>
      </c>
      <c r="B4614" s="27">
        <f>IFERROR(IF(ISNUMBER(Datos!B4614),Datos!B4614/$F$2*100,NA()),NA())</f>
        <v/>
      </c>
      <c r="C4614" s="27">
        <f>IFERROR(IF(ISNUMBER(Datos!C4614),Datos!C4614/$F$3*100,NA()),NA())</f>
        <v/>
      </c>
    </row>
    <row r="4615">
      <c r="A4615" s="7">
        <f>IFERROR(Datos!A4615,"")</f>
        <v/>
      </c>
      <c r="B4615" s="27">
        <f>IFERROR(IF(ISNUMBER(Datos!B4615),Datos!B4615/$F$2*100,NA()),NA())</f>
        <v/>
      </c>
      <c r="C4615" s="27">
        <f>IFERROR(IF(ISNUMBER(Datos!C4615),Datos!C4615/$F$3*100,NA()),NA())</f>
        <v/>
      </c>
    </row>
    <row r="4616">
      <c r="A4616" s="7">
        <f>IFERROR(Datos!A4616,"")</f>
        <v/>
      </c>
      <c r="B4616" s="27">
        <f>IFERROR(IF(ISNUMBER(Datos!B4616),Datos!B4616/$F$2*100,NA()),NA())</f>
        <v/>
      </c>
      <c r="C4616" s="27">
        <f>IFERROR(IF(ISNUMBER(Datos!C4616),Datos!C4616/$F$3*100,NA()),NA())</f>
        <v/>
      </c>
    </row>
    <row r="4617">
      <c r="A4617" s="7">
        <f>IFERROR(Datos!A4617,"")</f>
        <v/>
      </c>
      <c r="B4617" s="27">
        <f>IFERROR(IF(ISNUMBER(Datos!B4617),Datos!B4617/$F$2*100,NA()),NA())</f>
        <v/>
      </c>
      <c r="C4617" s="27">
        <f>IFERROR(IF(ISNUMBER(Datos!C4617),Datos!C4617/$F$3*100,NA()),NA())</f>
        <v/>
      </c>
    </row>
    <row r="4618">
      <c r="A4618" s="7">
        <f>IFERROR(Datos!A4618,"")</f>
        <v/>
      </c>
      <c r="B4618" s="27">
        <f>IFERROR(IF(ISNUMBER(Datos!B4618),Datos!B4618/$F$2*100,NA()),NA())</f>
        <v/>
      </c>
      <c r="C4618" s="27">
        <f>IFERROR(IF(ISNUMBER(Datos!C4618),Datos!C4618/$F$3*100,NA()),NA())</f>
        <v/>
      </c>
    </row>
    <row r="4619">
      <c r="A4619" s="7">
        <f>IFERROR(Datos!A4619,"")</f>
        <v/>
      </c>
      <c r="B4619" s="27">
        <f>IFERROR(IF(ISNUMBER(Datos!B4619),Datos!B4619/$F$2*100,NA()),NA())</f>
        <v/>
      </c>
      <c r="C4619" s="27">
        <f>IFERROR(IF(ISNUMBER(Datos!C4619),Datos!C4619/$F$3*100,NA()),NA())</f>
        <v/>
      </c>
    </row>
    <row r="4620">
      <c r="A4620" s="7">
        <f>IFERROR(Datos!A4620,"")</f>
        <v/>
      </c>
      <c r="B4620" s="27">
        <f>IFERROR(IF(ISNUMBER(Datos!B4620),Datos!B4620/$F$2*100,NA()),NA())</f>
        <v/>
      </c>
      <c r="C4620" s="27">
        <f>IFERROR(IF(ISNUMBER(Datos!C4620),Datos!C4620/$F$3*100,NA()),NA())</f>
        <v/>
      </c>
    </row>
    <row r="4621">
      <c r="A4621" s="7">
        <f>IFERROR(Datos!A4621,"")</f>
        <v/>
      </c>
      <c r="B4621" s="27">
        <f>IFERROR(IF(ISNUMBER(Datos!B4621),Datos!B4621/$F$2*100,NA()),NA())</f>
        <v/>
      </c>
      <c r="C4621" s="27">
        <f>IFERROR(IF(ISNUMBER(Datos!C4621),Datos!C4621/$F$3*100,NA()),NA())</f>
        <v/>
      </c>
    </row>
    <row r="4622">
      <c r="A4622" s="7">
        <f>IFERROR(Datos!A4622,"")</f>
        <v/>
      </c>
      <c r="B4622" s="27">
        <f>IFERROR(IF(ISNUMBER(Datos!B4622),Datos!B4622/$F$2*100,NA()),NA())</f>
        <v/>
      </c>
      <c r="C4622" s="27">
        <f>IFERROR(IF(ISNUMBER(Datos!C4622),Datos!C4622/$F$3*100,NA()),NA())</f>
        <v/>
      </c>
    </row>
    <row r="4623">
      <c r="A4623" s="7">
        <f>IFERROR(Datos!A4623,"")</f>
        <v/>
      </c>
      <c r="B4623" s="27">
        <f>IFERROR(IF(ISNUMBER(Datos!B4623),Datos!B4623/$F$2*100,NA()),NA())</f>
        <v/>
      </c>
      <c r="C4623" s="27">
        <f>IFERROR(IF(ISNUMBER(Datos!C4623),Datos!C4623/$F$3*100,NA()),NA())</f>
        <v/>
      </c>
    </row>
    <row r="4624">
      <c r="A4624" s="7">
        <f>IFERROR(Datos!A4624,"")</f>
        <v/>
      </c>
      <c r="B4624" s="27">
        <f>IFERROR(IF(ISNUMBER(Datos!B4624),Datos!B4624/$F$2*100,NA()),NA())</f>
        <v/>
      </c>
      <c r="C4624" s="27">
        <f>IFERROR(IF(ISNUMBER(Datos!C4624),Datos!C4624/$F$3*100,NA()),NA())</f>
        <v/>
      </c>
    </row>
    <row r="4625">
      <c r="A4625" s="7">
        <f>IFERROR(Datos!A4625,"")</f>
        <v/>
      </c>
      <c r="B4625" s="27">
        <f>IFERROR(IF(ISNUMBER(Datos!B4625),Datos!B4625/$F$2*100,NA()),NA())</f>
        <v/>
      </c>
      <c r="C4625" s="27">
        <f>IFERROR(IF(ISNUMBER(Datos!C4625),Datos!C4625/$F$3*100,NA()),NA())</f>
        <v/>
      </c>
    </row>
    <row r="4626">
      <c r="A4626" s="7">
        <f>IFERROR(Datos!A4626,"")</f>
        <v/>
      </c>
      <c r="B4626" s="27">
        <f>IFERROR(IF(ISNUMBER(Datos!B4626),Datos!B4626/$F$2*100,NA()),NA())</f>
        <v/>
      </c>
      <c r="C4626" s="27">
        <f>IFERROR(IF(ISNUMBER(Datos!C4626),Datos!C4626/$F$3*100,NA()),NA())</f>
        <v/>
      </c>
    </row>
    <row r="4627">
      <c r="A4627" s="7">
        <f>IFERROR(Datos!A4627,"")</f>
        <v/>
      </c>
      <c r="B4627" s="27">
        <f>IFERROR(IF(ISNUMBER(Datos!B4627),Datos!B4627/$F$2*100,NA()),NA())</f>
        <v/>
      </c>
      <c r="C4627" s="27">
        <f>IFERROR(IF(ISNUMBER(Datos!C4627),Datos!C4627/$F$3*100,NA()),NA())</f>
        <v/>
      </c>
    </row>
    <row r="4628">
      <c r="A4628" s="7">
        <f>IFERROR(Datos!A4628,"")</f>
        <v/>
      </c>
      <c r="B4628" s="27">
        <f>IFERROR(IF(ISNUMBER(Datos!B4628),Datos!B4628/$F$2*100,NA()),NA())</f>
        <v/>
      </c>
      <c r="C4628" s="27">
        <f>IFERROR(IF(ISNUMBER(Datos!C4628),Datos!C4628/$F$3*100,NA()),NA())</f>
        <v/>
      </c>
    </row>
    <row r="4629">
      <c r="A4629" s="7">
        <f>IFERROR(Datos!A4629,"")</f>
        <v/>
      </c>
      <c r="B4629" s="27">
        <f>IFERROR(IF(ISNUMBER(Datos!B4629),Datos!B4629/$F$2*100,NA()),NA())</f>
        <v/>
      </c>
      <c r="C4629" s="27">
        <f>IFERROR(IF(ISNUMBER(Datos!C4629),Datos!C4629/$F$3*100,NA()),NA())</f>
        <v/>
      </c>
    </row>
    <row r="4630">
      <c r="A4630" s="7">
        <f>IFERROR(Datos!A4630,"")</f>
        <v/>
      </c>
      <c r="B4630" s="27">
        <f>IFERROR(IF(ISNUMBER(Datos!B4630),Datos!B4630/$F$2*100,NA()),NA())</f>
        <v/>
      </c>
      <c r="C4630" s="27">
        <f>IFERROR(IF(ISNUMBER(Datos!C4630),Datos!C4630/$F$3*100,NA()),NA())</f>
        <v/>
      </c>
    </row>
    <row r="4631">
      <c r="A4631" s="7">
        <f>IFERROR(Datos!A4631,"")</f>
        <v/>
      </c>
      <c r="B4631" s="27">
        <f>IFERROR(IF(ISNUMBER(Datos!B4631),Datos!B4631/$F$2*100,NA()),NA())</f>
        <v/>
      </c>
      <c r="C4631" s="27">
        <f>IFERROR(IF(ISNUMBER(Datos!C4631),Datos!C4631/$F$3*100,NA()),NA())</f>
        <v/>
      </c>
    </row>
    <row r="4632">
      <c r="A4632" s="7">
        <f>IFERROR(Datos!A4632,"")</f>
        <v/>
      </c>
      <c r="B4632" s="27">
        <f>IFERROR(IF(ISNUMBER(Datos!B4632),Datos!B4632/$F$2*100,NA()),NA())</f>
        <v/>
      </c>
      <c r="C4632" s="27">
        <f>IFERROR(IF(ISNUMBER(Datos!C4632),Datos!C4632/$F$3*100,NA()),NA())</f>
        <v/>
      </c>
    </row>
    <row r="4633">
      <c r="A4633" s="7">
        <f>IFERROR(Datos!A4633,"")</f>
        <v/>
      </c>
      <c r="B4633" s="27">
        <f>IFERROR(IF(ISNUMBER(Datos!B4633),Datos!B4633/$F$2*100,NA()),NA())</f>
        <v/>
      </c>
      <c r="C4633" s="27">
        <f>IFERROR(IF(ISNUMBER(Datos!C4633),Datos!C4633/$F$3*100,NA()),NA())</f>
        <v/>
      </c>
    </row>
    <row r="4634">
      <c r="A4634" s="7">
        <f>IFERROR(Datos!A4634,"")</f>
        <v/>
      </c>
      <c r="B4634" s="27">
        <f>IFERROR(IF(ISNUMBER(Datos!B4634),Datos!B4634/$F$2*100,NA()),NA())</f>
        <v/>
      </c>
      <c r="C4634" s="27">
        <f>IFERROR(IF(ISNUMBER(Datos!C4634),Datos!C4634/$F$3*100,NA()),NA())</f>
        <v/>
      </c>
    </row>
    <row r="4635">
      <c r="A4635" s="7">
        <f>IFERROR(Datos!A4635,"")</f>
        <v/>
      </c>
      <c r="B4635" s="27">
        <f>IFERROR(IF(ISNUMBER(Datos!B4635),Datos!B4635/$F$2*100,NA()),NA())</f>
        <v/>
      </c>
      <c r="C4635" s="27">
        <f>IFERROR(IF(ISNUMBER(Datos!C4635),Datos!C4635/$F$3*100,NA()),NA())</f>
        <v/>
      </c>
    </row>
    <row r="4636">
      <c r="A4636" s="7">
        <f>IFERROR(Datos!A4636,"")</f>
        <v/>
      </c>
      <c r="B4636" s="27">
        <f>IFERROR(IF(ISNUMBER(Datos!B4636),Datos!B4636/$F$2*100,NA()),NA())</f>
        <v/>
      </c>
      <c r="C4636" s="27">
        <f>IFERROR(IF(ISNUMBER(Datos!C4636),Datos!C4636/$F$3*100,NA()),NA())</f>
        <v/>
      </c>
    </row>
    <row r="4637">
      <c r="A4637" s="7">
        <f>IFERROR(Datos!A4637,"")</f>
        <v/>
      </c>
      <c r="B4637" s="27">
        <f>IFERROR(IF(ISNUMBER(Datos!B4637),Datos!B4637/$F$2*100,NA()),NA())</f>
        <v/>
      </c>
      <c r="C4637" s="27">
        <f>IFERROR(IF(ISNUMBER(Datos!C4637),Datos!C4637/$F$3*100,NA()),NA())</f>
        <v/>
      </c>
    </row>
    <row r="4638">
      <c r="A4638" s="7">
        <f>IFERROR(Datos!A4638,"")</f>
        <v/>
      </c>
      <c r="B4638" s="27">
        <f>IFERROR(IF(ISNUMBER(Datos!B4638),Datos!B4638/$F$2*100,NA()),NA())</f>
        <v/>
      </c>
      <c r="C4638" s="27">
        <f>IFERROR(IF(ISNUMBER(Datos!C4638),Datos!C4638/$F$3*100,NA()),NA())</f>
        <v/>
      </c>
    </row>
    <row r="4639">
      <c r="A4639" s="7">
        <f>IFERROR(Datos!A4639,"")</f>
        <v/>
      </c>
      <c r="B4639" s="27">
        <f>IFERROR(IF(ISNUMBER(Datos!B4639),Datos!B4639/$F$2*100,NA()),NA())</f>
        <v/>
      </c>
      <c r="C4639" s="27">
        <f>IFERROR(IF(ISNUMBER(Datos!C4639),Datos!C4639/$F$3*100,NA()),NA())</f>
        <v/>
      </c>
    </row>
    <row r="4640">
      <c r="A4640" s="7">
        <f>IFERROR(Datos!A4640,"")</f>
        <v/>
      </c>
      <c r="B4640" s="27">
        <f>IFERROR(IF(ISNUMBER(Datos!B4640),Datos!B4640/$F$2*100,NA()),NA())</f>
        <v/>
      </c>
      <c r="C4640" s="27">
        <f>IFERROR(IF(ISNUMBER(Datos!C4640),Datos!C4640/$F$3*100,NA()),NA())</f>
        <v/>
      </c>
    </row>
    <row r="4641">
      <c r="A4641" s="7">
        <f>IFERROR(Datos!A4641,"")</f>
        <v/>
      </c>
      <c r="B4641" s="27">
        <f>IFERROR(IF(ISNUMBER(Datos!B4641),Datos!B4641/$F$2*100,NA()),NA())</f>
        <v/>
      </c>
      <c r="C4641" s="27">
        <f>IFERROR(IF(ISNUMBER(Datos!C4641),Datos!C4641/$F$3*100,NA()),NA())</f>
        <v/>
      </c>
    </row>
    <row r="4642">
      <c r="A4642" s="7">
        <f>IFERROR(Datos!A4642,"")</f>
        <v/>
      </c>
      <c r="B4642" s="27">
        <f>IFERROR(IF(ISNUMBER(Datos!B4642),Datos!B4642/$F$2*100,NA()),NA())</f>
        <v/>
      </c>
      <c r="C4642" s="27">
        <f>IFERROR(IF(ISNUMBER(Datos!C4642),Datos!C4642/$F$3*100,NA()),NA())</f>
        <v/>
      </c>
    </row>
    <row r="4643">
      <c r="A4643" s="7">
        <f>IFERROR(Datos!A4643,"")</f>
        <v/>
      </c>
      <c r="B4643" s="27">
        <f>IFERROR(IF(ISNUMBER(Datos!B4643),Datos!B4643/$F$2*100,NA()),NA())</f>
        <v/>
      </c>
      <c r="C4643" s="27">
        <f>IFERROR(IF(ISNUMBER(Datos!C4643),Datos!C4643/$F$3*100,NA()),NA())</f>
        <v/>
      </c>
    </row>
    <row r="4644">
      <c r="A4644" s="7">
        <f>IFERROR(Datos!A4644,"")</f>
        <v/>
      </c>
      <c r="B4644" s="27">
        <f>IFERROR(IF(ISNUMBER(Datos!B4644),Datos!B4644/$F$2*100,NA()),NA())</f>
        <v/>
      </c>
      <c r="C4644" s="27">
        <f>IFERROR(IF(ISNUMBER(Datos!C4644),Datos!C4644/$F$3*100,NA()),NA())</f>
        <v/>
      </c>
    </row>
    <row r="4645">
      <c r="A4645" s="7">
        <f>IFERROR(Datos!A4645,"")</f>
        <v/>
      </c>
      <c r="B4645" s="27">
        <f>IFERROR(IF(ISNUMBER(Datos!B4645),Datos!B4645/$F$2*100,NA()),NA())</f>
        <v/>
      </c>
      <c r="C4645" s="27">
        <f>IFERROR(IF(ISNUMBER(Datos!C4645),Datos!C4645/$F$3*100,NA()),NA())</f>
        <v/>
      </c>
    </row>
    <row r="4646">
      <c r="A4646" s="7">
        <f>IFERROR(Datos!A4646,"")</f>
        <v/>
      </c>
      <c r="B4646" s="27">
        <f>IFERROR(IF(ISNUMBER(Datos!B4646),Datos!B4646/$F$2*100,NA()),NA())</f>
        <v/>
      </c>
      <c r="C4646" s="27">
        <f>IFERROR(IF(ISNUMBER(Datos!C4646),Datos!C4646/$F$3*100,NA()),NA())</f>
        <v/>
      </c>
    </row>
    <row r="4647">
      <c r="A4647" s="7">
        <f>IFERROR(Datos!A4647,"")</f>
        <v/>
      </c>
      <c r="B4647" s="27">
        <f>IFERROR(IF(ISNUMBER(Datos!B4647),Datos!B4647/$F$2*100,NA()),NA())</f>
        <v/>
      </c>
      <c r="C4647" s="27">
        <f>IFERROR(IF(ISNUMBER(Datos!C4647),Datos!C4647/$F$3*100,NA()),NA())</f>
        <v/>
      </c>
    </row>
    <row r="4648">
      <c r="A4648" s="7">
        <f>IFERROR(Datos!A4648,"")</f>
        <v/>
      </c>
      <c r="B4648" s="27">
        <f>IFERROR(IF(ISNUMBER(Datos!B4648),Datos!B4648/$F$2*100,NA()),NA())</f>
        <v/>
      </c>
      <c r="C4648" s="27">
        <f>IFERROR(IF(ISNUMBER(Datos!C4648),Datos!C4648/$F$3*100,NA()),NA())</f>
        <v/>
      </c>
    </row>
    <row r="4649">
      <c r="A4649" s="7">
        <f>IFERROR(Datos!A4649,"")</f>
        <v/>
      </c>
      <c r="B4649" s="27">
        <f>IFERROR(IF(ISNUMBER(Datos!B4649),Datos!B4649/$F$2*100,NA()),NA())</f>
        <v/>
      </c>
      <c r="C4649" s="27">
        <f>IFERROR(IF(ISNUMBER(Datos!C4649),Datos!C4649/$F$3*100,NA()),NA())</f>
        <v/>
      </c>
    </row>
    <row r="4650">
      <c r="A4650" s="7">
        <f>IFERROR(Datos!A4650,"")</f>
        <v/>
      </c>
      <c r="B4650" s="27">
        <f>IFERROR(IF(ISNUMBER(Datos!B4650),Datos!B4650/$F$2*100,NA()),NA())</f>
        <v/>
      </c>
      <c r="C4650" s="27">
        <f>IFERROR(IF(ISNUMBER(Datos!C4650),Datos!C4650/$F$3*100,NA()),NA())</f>
        <v/>
      </c>
    </row>
    <row r="4651">
      <c r="A4651" s="7">
        <f>IFERROR(Datos!A4651,"")</f>
        <v/>
      </c>
      <c r="B4651" s="27">
        <f>IFERROR(IF(ISNUMBER(Datos!B4651),Datos!B4651/$F$2*100,NA()),NA())</f>
        <v/>
      </c>
      <c r="C4651" s="27">
        <f>IFERROR(IF(ISNUMBER(Datos!C4651),Datos!C4651/$F$3*100,NA()),NA())</f>
        <v/>
      </c>
    </row>
    <row r="4652">
      <c r="A4652" s="7">
        <f>IFERROR(Datos!A4652,"")</f>
        <v/>
      </c>
      <c r="B4652" s="27">
        <f>IFERROR(IF(ISNUMBER(Datos!B4652),Datos!B4652/$F$2*100,NA()),NA())</f>
        <v/>
      </c>
      <c r="C4652" s="27">
        <f>IFERROR(IF(ISNUMBER(Datos!C4652),Datos!C4652/$F$3*100,NA()),NA())</f>
        <v/>
      </c>
    </row>
    <row r="4653">
      <c r="A4653" s="7">
        <f>IFERROR(Datos!A4653,"")</f>
        <v/>
      </c>
      <c r="B4653" s="27">
        <f>IFERROR(IF(ISNUMBER(Datos!B4653),Datos!B4653/$F$2*100,NA()),NA())</f>
        <v/>
      </c>
      <c r="C4653" s="27">
        <f>IFERROR(IF(ISNUMBER(Datos!C4653),Datos!C4653/$F$3*100,NA()),NA())</f>
        <v/>
      </c>
    </row>
    <row r="4654">
      <c r="A4654" s="7">
        <f>IFERROR(Datos!A4654,"")</f>
        <v/>
      </c>
      <c r="B4654" s="27">
        <f>IFERROR(IF(ISNUMBER(Datos!B4654),Datos!B4654/$F$2*100,NA()),NA())</f>
        <v/>
      </c>
      <c r="C4654" s="27">
        <f>IFERROR(IF(ISNUMBER(Datos!C4654),Datos!C4654/$F$3*100,NA()),NA())</f>
        <v/>
      </c>
    </row>
    <row r="4655">
      <c r="A4655" s="7">
        <f>IFERROR(Datos!A4655,"")</f>
        <v/>
      </c>
      <c r="B4655" s="27">
        <f>IFERROR(IF(ISNUMBER(Datos!B4655),Datos!B4655/$F$2*100,NA()),NA())</f>
        <v/>
      </c>
      <c r="C4655" s="27">
        <f>IFERROR(IF(ISNUMBER(Datos!C4655),Datos!C4655/$F$3*100,NA()),NA())</f>
        <v/>
      </c>
    </row>
    <row r="4656">
      <c r="A4656" s="7">
        <f>IFERROR(Datos!A4656,"")</f>
        <v/>
      </c>
      <c r="B4656" s="27">
        <f>IFERROR(IF(ISNUMBER(Datos!B4656),Datos!B4656/$F$2*100,NA()),NA())</f>
        <v/>
      </c>
      <c r="C4656" s="27">
        <f>IFERROR(IF(ISNUMBER(Datos!C4656),Datos!C4656/$F$3*100,NA()),NA())</f>
        <v/>
      </c>
    </row>
    <row r="4657">
      <c r="A4657" s="7">
        <f>IFERROR(Datos!A4657,"")</f>
        <v/>
      </c>
      <c r="B4657" s="27">
        <f>IFERROR(IF(ISNUMBER(Datos!B4657),Datos!B4657/$F$2*100,NA()),NA())</f>
        <v/>
      </c>
      <c r="C4657" s="27">
        <f>IFERROR(IF(ISNUMBER(Datos!C4657),Datos!C4657/$F$3*100,NA()),NA())</f>
        <v/>
      </c>
    </row>
    <row r="4658">
      <c r="A4658" s="7">
        <f>IFERROR(Datos!A4658,"")</f>
        <v/>
      </c>
      <c r="B4658" s="27">
        <f>IFERROR(IF(ISNUMBER(Datos!B4658),Datos!B4658/$F$2*100,NA()),NA())</f>
        <v/>
      </c>
      <c r="C4658" s="27">
        <f>IFERROR(IF(ISNUMBER(Datos!C4658),Datos!C4658/$F$3*100,NA()),NA())</f>
        <v/>
      </c>
    </row>
    <row r="4659">
      <c r="A4659" s="7">
        <f>IFERROR(Datos!A4659,"")</f>
        <v/>
      </c>
      <c r="B4659" s="27">
        <f>IFERROR(IF(ISNUMBER(Datos!B4659),Datos!B4659/$F$2*100,NA()),NA())</f>
        <v/>
      </c>
      <c r="C4659" s="27">
        <f>IFERROR(IF(ISNUMBER(Datos!C4659),Datos!C4659/$F$3*100,NA()),NA())</f>
        <v/>
      </c>
    </row>
    <row r="4660">
      <c r="A4660" s="7">
        <f>IFERROR(Datos!A4660,"")</f>
        <v/>
      </c>
      <c r="B4660" s="27">
        <f>IFERROR(IF(ISNUMBER(Datos!B4660),Datos!B4660/$F$2*100,NA()),NA())</f>
        <v/>
      </c>
      <c r="C4660" s="27">
        <f>IFERROR(IF(ISNUMBER(Datos!C4660),Datos!C4660/$F$3*100,NA()),NA())</f>
        <v/>
      </c>
    </row>
    <row r="4661">
      <c r="A4661" s="7">
        <f>IFERROR(Datos!A4661,"")</f>
        <v/>
      </c>
      <c r="B4661" s="27">
        <f>IFERROR(IF(ISNUMBER(Datos!B4661),Datos!B4661/$F$2*100,NA()),NA())</f>
        <v/>
      </c>
      <c r="C4661" s="27">
        <f>IFERROR(IF(ISNUMBER(Datos!C4661),Datos!C4661/$F$3*100,NA()),NA())</f>
        <v/>
      </c>
    </row>
    <row r="4662">
      <c r="A4662" s="7">
        <f>IFERROR(Datos!A4662,"")</f>
        <v/>
      </c>
      <c r="B4662" s="27">
        <f>IFERROR(IF(ISNUMBER(Datos!B4662),Datos!B4662/$F$2*100,NA()),NA())</f>
        <v/>
      </c>
      <c r="C4662" s="27">
        <f>IFERROR(IF(ISNUMBER(Datos!C4662),Datos!C4662/$F$3*100,NA()),NA())</f>
        <v/>
      </c>
    </row>
    <row r="4663">
      <c r="A4663" s="7">
        <f>IFERROR(Datos!A4663,"")</f>
        <v/>
      </c>
      <c r="B4663" s="27">
        <f>IFERROR(IF(ISNUMBER(Datos!B4663),Datos!B4663/$F$2*100,NA()),NA())</f>
        <v/>
      </c>
      <c r="C4663" s="27">
        <f>IFERROR(IF(ISNUMBER(Datos!C4663),Datos!C4663/$F$3*100,NA()),NA())</f>
        <v/>
      </c>
    </row>
    <row r="4664">
      <c r="A4664" s="7">
        <f>IFERROR(Datos!A4664,"")</f>
        <v/>
      </c>
      <c r="B4664" s="27">
        <f>IFERROR(IF(ISNUMBER(Datos!B4664),Datos!B4664/$F$2*100,NA()),NA())</f>
        <v/>
      </c>
      <c r="C4664" s="27">
        <f>IFERROR(IF(ISNUMBER(Datos!C4664),Datos!C4664/$F$3*100,NA()),NA())</f>
        <v/>
      </c>
    </row>
    <row r="4665">
      <c r="A4665" s="7">
        <f>IFERROR(Datos!A4665,"")</f>
        <v/>
      </c>
      <c r="B4665" s="27">
        <f>IFERROR(IF(ISNUMBER(Datos!B4665),Datos!B4665/$F$2*100,NA()),NA())</f>
        <v/>
      </c>
      <c r="C4665" s="27">
        <f>IFERROR(IF(ISNUMBER(Datos!C4665),Datos!C4665/$F$3*100,NA()),NA())</f>
        <v/>
      </c>
    </row>
    <row r="4666">
      <c r="A4666" s="7">
        <f>IFERROR(Datos!A4666,"")</f>
        <v/>
      </c>
      <c r="B4666" s="27">
        <f>IFERROR(IF(ISNUMBER(Datos!B4666),Datos!B4666/$F$2*100,NA()),NA())</f>
        <v/>
      </c>
      <c r="C4666" s="27">
        <f>IFERROR(IF(ISNUMBER(Datos!C4666),Datos!C4666/$F$3*100,NA()),NA())</f>
        <v/>
      </c>
    </row>
    <row r="4667">
      <c r="A4667" s="7">
        <f>IFERROR(Datos!A4667,"")</f>
        <v/>
      </c>
      <c r="B4667" s="27">
        <f>IFERROR(IF(ISNUMBER(Datos!B4667),Datos!B4667/$F$2*100,NA()),NA())</f>
        <v/>
      </c>
      <c r="C4667" s="27">
        <f>IFERROR(IF(ISNUMBER(Datos!C4667),Datos!C4667/$F$3*100,NA()),NA())</f>
        <v/>
      </c>
    </row>
    <row r="4668">
      <c r="A4668" s="7">
        <f>IFERROR(Datos!A4668,"")</f>
        <v/>
      </c>
      <c r="B4668" s="27">
        <f>IFERROR(IF(ISNUMBER(Datos!B4668),Datos!B4668/$F$2*100,NA()),NA())</f>
        <v/>
      </c>
      <c r="C4668" s="27">
        <f>IFERROR(IF(ISNUMBER(Datos!C4668),Datos!C4668/$F$3*100,NA()),NA())</f>
        <v/>
      </c>
    </row>
    <row r="4669">
      <c r="A4669" s="7">
        <f>IFERROR(Datos!A4669,"")</f>
        <v/>
      </c>
      <c r="B4669" s="27">
        <f>IFERROR(IF(ISNUMBER(Datos!B4669),Datos!B4669/$F$2*100,NA()),NA())</f>
        <v/>
      </c>
      <c r="C4669" s="27">
        <f>IFERROR(IF(ISNUMBER(Datos!C4669),Datos!C4669/$F$3*100,NA()),NA())</f>
        <v/>
      </c>
    </row>
    <row r="4670">
      <c r="A4670" s="7">
        <f>IFERROR(Datos!A4670,"")</f>
        <v/>
      </c>
      <c r="B4670" s="27">
        <f>IFERROR(IF(ISNUMBER(Datos!B4670),Datos!B4670/$F$2*100,NA()),NA())</f>
        <v/>
      </c>
      <c r="C4670" s="27">
        <f>IFERROR(IF(ISNUMBER(Datos!C4670),Datos!C4670/$F$3*100,NA()),NA())</f>
        <v/>
      </c>
    </row>
    <row r="4671">
      <c r="A4671" s="7">
        <f>IFERROR(Datos!A4671,"")</f>
        <v/>
      </c>
      <c r="B4671" s="27">
        <f>IFERROR(IF(ISNUMBER(Datos!B4671),Datos!B4671/$F$2*100,NA()),NA())</f>
        <v/>
      </c>
      <c r="C4671" s="27">
        <f>IFERROR(IF(ISNUMBER(Datos!C4671),Datos!C4671/$F$3*100,NA()),NA())</f>
        <v/>
      </c>
    </row>
    <row r="4672">
      <c r="A4672" s="7">
        <f>IFERROR(Datos!A4672,"")</f>
        <v/>
      </c>
      <c r="B4672" s="27">
        <f>IFERROR(IF(ISNUMBER(Datos!B4672),Datos!B4672/$F$2*100,NA()),NA())</f>
        <v/>
      </c>
      <c r="C4672" s="27">
        <f>IFERROR(IF(ISNUMBER(Datos!C4672),Datos!C4672/$F$3*100,NA()),NA())</f>
        <v/>
      </c>
    </row>
    <row r="4673">
      <c r="A4673" s="7">
        <f>IFERROR(Datos!A4673,"")</f>
        <v/>
      </c>
      <c r="B4673" s="27">
        <f>IFERROR(IF(ISNUMBER(Datos!B4673),Datos!B4673/$F$2*100,NA()),NA())</f>
        <v/>
      </c>
      <c r="C4673" s="27">
        <f>IFERROR(IF(ISNUMBER(Datos!C4673),Datos!C4673/$F$3*100,NA()),NA())</f>
        <v/>
      </c>
    </row>
    <row r="4674">
      <c r="A4674" s="7">
        <f>IFERROR(Datos!A4674,"")</f>
        <v/>
      </c>
      <c r="B4674" s="27">
        <f>IFERROR(IF(ISNUMBER(Datos!B4674),Datos!B4674/$F$2*100,NA()),NA())</f>
        <v/>
      </c>
      <c r="C4674" s="27">
        <f>IFERROR(IF(ISNUMBER(Datos!C4674),Datos!C4674/$F$3*100,NA()),NA())</f>
        <v/>
      </c>
    </row>
    <row r="4675">
      <c r="A4675" s="7">
        <f>IFERROR(Datos!A4675,"")</f>
        <v/>
      </c>
      <c r="B4675" s="27">
        <f>IFERROR(IF(ISNUMBER(Datos!B4675),Datos!B4675/$F$2*100,NA()),NA())</f>
        <v/>
      </c>
      <c r="C4675" s="27">
        <f>IFERROR(IF(ISNUMBER(Datos!C4675),Datos!C4675/$F$3*100,NA()),NA())</f>
        <v/>
      </c>
    </row>
    <row r="4676">
      <c r="A4676" s="7">
        <f>IFERROR(Datos!A4676,"")</f>
        <v/>
      </c>
      <c r="B4676" s="27">
        <f>IFERROR(IF(ISNUMBER(Datos!B4676),Datos!B4676/$F$2*100,NA()),NA())</f>
        <v/>
      </c>
      <c r="C4676" s="27">
        <f>IFERROR(IF(ISNUMBER(Datos!C4676),Datos!C4676/$F$3*100,NA()),NA())</f>
        <v/>
      </c>
    </row>
    <row r="4677">
      <c r="A4677" s="7">
        <f>IFERROR(Datos!A4677,"")</f>
        <v/>
      </c>
      <c r="B4677" s="27">
        <f>IFERROR(IF(ISNUMBER(Datos!B4677),Datos!B4677/$F$2*100,NA()),NA())</f>
        <v/>
      </c>
      <c r="C4677" s="27">
        <f>IFERROR(IF(ISNUMBER(Datos!C4677),Datos!C4677/$F$3*100,NA()),NA())</f>
        <v/>
      </c>
    </row>
    <row r="4678">
      <c r="A4678" s="7">
        <f>IFERROR(Datos!A4678,"")</f>
        <v/>
      </c>
      <c r="B4678" s="27">
        <f>IFERROR(IF(ISNUMBER(Datos!B4678),Datos!B4678/$F$2*100,NA()),NA())</f>
        <v/>
      </c>
      <c r="C4678" s="27">
        <f>IFERROR(IF(ISNUMBER(Datos!C4678),Datos!C4678/$F$3*100,NA()),NA())</f>
        <v/>
      </c>
    </row>
    <row r="4679">
      <c r="A4679" s="7">
        <f>IFERROR(Datos!A4679,"")</f>
        <v/>
      </c>
      <c r="B4679" s="27">
        <f>IFERROR(IF(ISNUMBER(Datos!B4679),Datos!B4679/$F$2*100,NA()),NA())</f>
        <v/>
      </c>
      <c r="C4679" s="27">
        <f>IFERROR(IF(ISNUMBER(Datos!C4679),Datos!C4679/$F$3*100,NA()),NA())</f>
        <v/>
      </c>
    </row>
    <row r="4680">
      <c r="A4680" s="7">
        <f>IFERROR(Datos!A4680,"")</f>
        <v/>
      </c>
      <c r="B4680" s="27">
        <f>IFERROR(IF(ISNUMBER(Datos!B4680),Datos!B4680/$F$2*100,NA()),NA())</f>
        <v/>
      </c>
      <c r="C4680" s="27">
        <f>IFERROR(IF(ISNUMBER(Datos!C4680),Datos!C4680/$F$3*100,NA()),NA())</f>
        <v/>
      </c>
    </row>
    <row r="4681">
      <c r="A4681" s="7">
        <f>IFERROR(Datos!A4681,"")</f>
        <v/>
      </c>
      <c r="B4681" s="27">
        <f>IFERROR(IF(ISNUMBER(Datos!B4681),Datos!B4681/$F$2*100,NA()),NA())</f>
        <v/>
      </c>
      <c r="C4681" s="27">
        <f>IFERROR(IF(ISNUMBER(Datos!C4681),Datos!C4681/$F$3*100,NA()),NA())</f>
        <v/>
      </c>
    </row>
    <row r="4682">
      <c r="A4682" s="7">
        <f>IFERROR(Datos!A4682,"")</f>
        <v/>
      </c>
      <c r="B4682" s="27">
        <f>IFERROR(IF(ISNUMBER(Datos!B4682),Datos!B4682/$F$2*100,NA()),NA())</f>
        <v/>
      </c>
      <c r="C4682" s="27">
        <f>IFERROR(IF(ISNUMBER(Datos!C4682),Datos!C4682/$F$3*100,NA()),NA())</f>
        <v/>
      </c>
    </row>
    <row r="4683">
      <c r="A4683" s="7">
        <f>IFERROR(Datos!A4683,"")</f>
        <v/>
      </c>
      <c r="B4683" s="27">
        <f>IFERROR(IF(ISNUMBER(Datos!B4683),Datos!B4683/$F$2*100,NA()),NA())</f>
        <v/>
      </c>
      <c r="C4683" s="27">
        <f>IFERROR(IF(ISNUMBER(Datos!C4683),Datos!C4683/$F$3*100,NA()),NA())</f>
        <v/>
      </c>
    </row>
    <row r="4684">
      <c r="A4684" s="7">
        <f>IFERROR(Datos!A4684,"")</f>
        <v/>
      </c>
      <c r="B4684" s="27">
        <f>IFERROR(IF(ISNUMBER(Datos!B4684),Datos!B4684/$F$2*100,NA()),NA())</f>
        <v/>
      </c>
      <c r="C4684" s="27">
        <f>IFERROR(IF(ISNUMBER(Datos!C4684),Datos!C4684/$F$3*100,NA()),NA())</f>
        <v/>
      </c>
    </row>
    <row r="4685">
      <c r="A4685" s="7">
        <f>IFERROR(Datos!A4685,"")</f>
        <v/>
      </c>
      <c r="B4685" s="27">
        <f>IFERROR(IF(ISNUMBER(Datos!B4685),Datos!B4685/$F$2*100,NA()),NA())</f>
        <v/>
      </c>
      <c r="C4685" s="27">
        <f>IFERROR(IF(ISNUMBER(Datos!C4685),Datos!C4685/$F$3*100,NA()),NA())</f>
        <v/>
      </c>
    </row>
    <row r="4686">
      <c r="A4686" s="7">
        <f>IFERROR(Datos!A4686,"")</f>
        <v/>
      </c>
      <c r="B4686" s="27">
        <f>IFERROR(IF(ISNUMBER(Datos!B4686),Datos!B4686/$F$2*100,NA()),NA())</f>
        <v/>
      </c>
      <c r="C4686" s="27">
        <f>IFERROR(IF(ISNUMBER(Datos!C4686),Datos!C4686/$F$3*100,NA()),NA())</f>
        <v/>
      </c>
    </row>
    <row r="4687">
      <c r="A4687" s="7">
        <f>IFERROR(Datos!A4687,"")</f>
        <v/>
      </c>
      <c r="B4687" s="27">
        <f>IFERROR(IF(ISNUMBER(Datos!B4687),Datos!B4687/$F$2*100,NA()),NA())</f>
        <v/>
      </c>
      <c r="C4687" s="27">
        <f>IFERROR(IF(ISNUMBER(Datos!C4687),Datos!C4687/$F$3*100,NA()),NA())</f>
        <v/>
      </c>
    </row>
    <row r="4688">
      <c r="A4688" s="7">
        <f>IFERROR(Datos!A4688,"")</f>
        <v/>
      </c>
      <c r="B4688" s="27">
        <f>IFERROR(IF(ISNUMBER(Datos!B4688),Datos!B4688/$F$2*100,NA()),NA())</f>
        <v/>
      </c>
      <c r="C4688" s="27">
        <f>IFERROR(IF(ISNUMBER(Datos!C4688),Datos!C4688/$F$3*100,NA()),NA())</f>
        <v/>
      </c>
    </row>
    <row r="4689">
      <c r="A4689" s="7">
        <f>IFERROR(Datos!A4689,"")</f>
        <v/>
      </c>
      <c r="B4689" s="27">
        <f>IFERROR(IF(ISNUMBER(Datos!B4689),Datos!B4689/$F$2*100,NA()),NA())</f>
        <v/>
      </c>
      <c r="C4689" s="27">
        <f>IFERROR(IF(ISNUMBER(Datos!C4689),Datos!C4689/$F$3*100,NA()),NA())</f>
        <v/>
      </c>
    </row>
    <row r="4690">
      <c r="A4690" s="7">
        <f>IFERROR(Datos!A4690,"")</f>
        <v/>
      </c>
      <c r="B4690" s="27">
        <f>IFERROR(IF(ISNUMBER(Datos!B4690),Datos!B4690/$F$2*100,NA()),NA())</f>
        <v/>
      </c>
      <c r="C4690" s="27">
        <f>IFERROR(IF(ISNUMBER(Datos!C4690),Datos!C4690/$F$3*100,NA()),NA())</f>
        <v/>
      </c>
    </row>
    <row r="4691">
      <c r="A4691" s="7">
        <f>IFERROR(Datos!A4691,"")</f>
        <v/>
      </c>
      <c r="B4691" s="27">
        <f>IFERROR(IF(ISNUMBER(Datos!B4691),Datos!B4691/$F$2*100,NA()),NA())</f>
        <v/>
      </c>
      <c r="C4691" s="27">
        <f>IFERROR(IF(ISNUMBER(Datos!C4691),Datos!C4691/$F$3*100,NA()),NA())</f>
        <v/>
      </c>
    </row>
    <row r="4692">
      <c r="A4692" s="7">
        <f>IFERROR(Datos!A4692,"")</f>
        <v/>
      </c>
      <c r="B4692" s="27">
        <f>IFERROR(IF(ISNUMBER(Datos!B4692),Datos!B4692/$F$2*100,NA()),NA())</f>
        <v/>
      </c>
      <c r="C4692" s="27">
        <f>IFERROR(IF(ISNUMBER(Datos!C4692),Datos!C4692/$F$3*100,NA()),NA())</f>
        <v/>
      </c>
    </row>
    <row r="4693">
      <c r="A4693" s="7">
        <f>IFERROR(Datos!A4693,"")</f>
        <v/>
      </c>
      <c r="B4693" s="27">
        <f>IFERROR(IF(ISNUMBER(Datos!B4693),Datos!B4693/$F$2*100,NA()),NA())</f>
        <v/>
      </c>
      <c r="C4693" s="27">
        <f>IFERROR(IF(ISNUMBER(Datos!C4693),Datos!C4693/$F$3*100,NA()),NA())</f>
        <v/>
      </c>
    </row>
    <row r="4694">
      <c r="A4694" s="7">
        <f>IFERROR(Datos!A4694,"")</f>
        <v/>
      </c>
      <c r="B4694" s="27">
        <f>IFERROR(IF(ISNUMBER(Datos!B4694),Datos!B4694/$F$2*100,NA()),NA())</f>
        <v/>
      </c>
      <c r="C4694" s="27">
        <f>IFERROR(IF(ISNUMBER(Datos!C4694),Datos!C4694/$F$3*100,NA()),NA())</f>
        <v/>
      </c>
    </row>
    <row r="4695">
      <c r="A4695" s="7">
        <f>IFERROR(Datos!A4695,"")</f>
        <v/>
      </c>
      <c r="B4695" s="27">
        <f>IFERROR(IF(ISNUMBER(Datos!B4695),Datos!B4695/$F$2*100,NA()),NA())</f>
        <v/>
      </c>
      <c r="C4695" s="27">
        <f>IFERROR(IF(ISNUMBER(Datos!C4695),Datos!C4695/$F$3*100,NA()),NA())</f>
        <v/>
      </c>
    </row>
    <row r="4696">
      <c r="A4696" s="7">
        <f>IFERROR(Datos!A4696,"")</f>
        <v/>
      </c>
      <c r="B4696" s="27">
        <f>IFERROR(IF(ISNUMBER(Datos!B4696),Datos!B4696/$F$2*100,NA()),NA())</f>
        <v/>
      </c>
      <c r="C4696" s="27">
        <f>IFERROR(IF(ISNUMBER(Datos!C4696),Datos!C4696/$F$3*100,NA()),NA())</f>
        <v/>
      </c>
    </row>
    <row r="4697">
      <c r="A4697" s="7">
        <f>IFERROR(Datos!A4697,"")</f>
        <v/>
      </c>
      <c r="B4697" s="27">
        <f>IFERROR(IF(ISNUMBER(Datos!B4697),Datos!B4697/$F$2*100,NA()),NA())</f>
        <v/>
      </c>
      <c r="C4697" s="27">
        <f>IFERROR(IF(ISNUMBER(Datos!C4697),Datos!C4697/$F$3*100,NA()),NA())</f>
        <v/>
      </c>
    </row>
    <row r="4698">
      <c r="A4698" s="7">
        <f>IFERROR(Datos!A4698,"")</f>
        <v/>
      </c>
      <c r="B4698" s="27">
        <f>IFERROR(IF(ISNUMBER(Datos!B4698),Datos!B4698/$F$2*100,NA()),NA())</f>
        <v/>
      </c>
      <c r="C4698" s="27">
        <f>IFERROR(IF(ISNUMBER(Datos!C4698),Datos!C4698/$F$3*100,NA()),NA())</f>
        <v/>
      </c>
    </row>
    <row r="4699">
      <c r="A4699" s="7">
        <f>IFERROR(Datos!A4699,"")</f>
        <v/>
      </c>
      <c r="B4699" s="27">
        <f>IFERROR(IF(ISNUMBER(Datos!B4699),Datos!B4699/$F$2*100,NA()),NA())</f>
        <v/>
      </c>
      <c r="C4699" s="27">
        <f>IFERROR(IF(ISNUMBER(Datos!C4699),Datos!C4699/$F$3*100,NA()),NA())</f>
        <v/>
      </c>
    </row>
    <row r="4700">
      <c r="A4700" s="7">
        <f>IFERROR(Datos!A4700,"")</f>
        <v/>
      </c>
      <c r="B4700" s="27">
        <f>IFERROR(IF(ISNUMBER(Datos!B4700),Datos!B4700/$F$2*100,NA()),NA())</f>
        <v/>
      </c>
      <c r="C4700" s="27">
        <f>IFERROR(IF(ISNUMBER(Datos!C4700),Datos!C4700/$F$3*100,NA()),NA())</f>
        <v/>
      </c>
    </row>
    <row r="4701">
      <c r="A4701" s="7">
        <f>IFERROR(Datos!A4701,"")</f>
        <v/>
      </c>
      <c r="B4701" s="27">
        <f>IFERROR(IF(ISNUMBER(Datos!B4701),Datos!B4701/$F$2*100,NA()),NA())</f>
        <v/>
      </c>
      <c r="C4701" s="27">
        <f>IFERROR(IF(ISNUMBER(Datos!C4701),Datos!C4701/$F$3*100,NA()),NA())</f>
        <v/>
      </c>
    </row>
    <row r="4702">
      <c r="A4702" s="7">
        <f>IFERROR(Datos!A4702,"")</f>
        <v/>
      </c>
      <c r="B4702" s="27">
        <f>IFERROR(IF(ISNUMBER(Datos!B4702),Datos!B4702/$F$2*100,NA()),NA())</f>
        <v/>
      </c>
      <c r="C4702" s="27">
        <f>IFERROR(IF(ISNUMBER(Datos!C4702),Datos!C4702/$F$3*100,NA()),NA())</f>
        <v/>
      </c>
    </row>
    <row r="4703">
      <c r="A4703" s="7">
        <f>IFERROR(Datos!A4703,"")</f>
        <v/>
      </c>
      <c r="B4703" s="27">
        <f>IFERROR(IF(ISNUMBER(Datos!B4703),Datos!B4703/$F$2*100,NA()),NA())</f>
        <v/>
      </c>
      <c r="C4703" s="27">
        <f>IFERROR(IF(ISNUMBER(Datos!C4703),Datos!C4703/$F$3*100,NA()),NA())</f>
        <v/>
      </c>
    </row>
    <row r="4704">
      <c r="A4704" s="7">
        <f>IFERROR(Datos!A4704,"")</f>
        <v/>
      </c>
      <c r="B4704" s="27">
        <f>IFERROR(IF(ISNUMBER(Datos!B4704),Datos!B4704/$F$2*100,NA()),NA())</f>
        <v/>
      </c>
      <c r="C4704" s="27">
        <f>IFERROR(IF(ISNUMBER(Datos!C4704),Datos!C4704/$F$3*100,NA()),NA())</f>
        <v/>
      </c>
    </row>
    <row r="4705">
      <c r="A4705" s="7">
        <f>IFERROR(Datos!A4705,"")</f>
        <v/>
      </c>
      <c r="B4705" s="27">
        <f>IFERROR(IF(ISNUMBER(Datos!B4705),Datos!B4705/$F$2*100,NA()),NA())</f>
        <v/>
      </c>
      <c r="C4705" s="27">
        <f>IFERROR(IF(ISNUMBER(Datos!C4705),Datos!C4705/$F$3*100,NA()),NA())</f>
        <v/>
      </c>
    </row>
    <row r="4706">
      <c r="A4706" s="7">
        <f>IFERROR(Datos!A4706,"")</f>
        <v/>
      </c>
      <c r="B4706" s="27">
        <f>IFERROR(IF(ISNUMBER(Datos!B4706),Datos!B4706/$F$2*100,NA()),NA())</f>
        <v/>
      </c>
      <c r="C4706" s="27">
        <f>IFERROR(IF(ISNUMBER(Datos!C4706),Datos!C4706/$F$3*100,NA()),NA())</f>
        <v/>
      </c>
    </row>
    <row r="4707">
      <c r="A4707" s="7">
        <f>IFERROR(Datos!A4707,"")</f>
        <v/>
      </c>
      <c r="B4707" s="27">
        <f>IFERROR(IF(ISNUMBER(Datos!B4707),Datos!B4707/$F$2*100,NA()),NA())</f>
        <v/>
      </c>
      <c r="C4707" s="27">
        <f>IFERROR(IF(ISNUMBER(Datos!C4707),Datos!C4707/$F$3*100,NA()),NA())</f>
        <v/>
      </c>
    </row>
    <row r="4708">
      <c r="A4708" s="7">
        <f>IFERROR(Datos!A4708,"")</f>
        <v/>
      </c>
      <c r="B4708" s="27">
        <f>IFERROR(IF(ISNUMBER(Datos!B4708),Datos!B4708/$F$2*100,NA()),NA())</f>
        <v/>
      </c>
      <c r="C4708" s="27">
        <f>IFERROR(IF(ISNUMBER(Datos!C4708),Datos!C4708/$F$3*100,NA()),NA())</f>
        <v/>
      </c>
    </row>
    <row r="4709">
      <c r="A4709" s="7">
        <f>IFERROR(Datos!A4709,"")</f>
        <v/>
      </c>
      <c r="B4709" s="27">
        <f>IFERROR(IF(ISNUMBER(Datos!B4709),Datos!B4709/$F$2*100,NA()),NA())</f>
        <v/>
      </c>
      <c r="C4709" s="27">
        <f>IFERROR(IF(ISNUMBER(Datos!C4709),Datos!C4709/$F$3*100,NA()),NA())</f>
        <v/>
      </c>
    </row>
    <row r="4710">
      <c r="A4710" s="7">
        <f>IFERROR(Datos!A4710,"")</f>
        <v/>
      </c>
      <c r="B4710" s="27">
        <f>IFERROR(IF(ISNUMBER(Datos!B4710),Datos!B4710/$F$2*100,NA()),NA())</f>
        <v/>
      </c>
      <c r="C4710" s="27">
        <f>IFERROR(IF(ISNUMBER(Datos!C4710),Datos!C4710/$F$3*100,NA()),NA())</f>
        <v/>
      </c>
    </row>
    <row r="4711">
      <c r="A4711" s="7">
        <f>IFERROR(Datos!A4711,"")</f>
        <v/>
      </c>
      <c r="B4711" s="27">
        <f>IFERROR(IF(ISNUMBER(Datos!B4711),Datos!B4711/$F$2*100,NA()),NA())</f>
        <v/>
      </c>
      <c r="C4711" s="27">
        <f>IFERROR(IF(ISNUMBER(Datos!C4711),Datos!C4711/$F$3*100,NA()),NA())</f>
        <v/>
      </c>
    </row>
    <row r="4712">
      <c r="A4712" s="7">
        <f>IFERROR(Datos!A4712,"")</f>
        <v/>
      </c>
      <c r="B4712" s="27">
        <f>IFERROR(IF(ISNUMBER(Datos!B4712),Datos!B4712/$F$2*100,NA()),NA())</f>
        <v/>
      </c>
      <c r="C4712" s="27">
        <f>IFERROR(IF(ISNUMBER(Datos!C4712),Datos!C4712/$F$3*100,NA()),NA())</f>
        <v/>
      </c>
    </row>
    <row r="4713">
      <c r="A4713" s="7">
        <f>IFERROR(Datos!A4713,"")</f>
        <v/>
      </c>
      <c r="B4713" s="27">
        <f>IFERROR(IF(ISNUMBER(Datos!B4713),Datos!B4713/$F$2*100,NA()),NA())</f>
        <v/>
      </c>
      <c r="C4713" s="27">
        <f>IFERROR(IF(ISNUMBER(Datos!C4713),Datos!C4713/$F$3*100,NA()),NA())</f>
        <v/>
      </c>
    </row>
    <row r="4714">
      <c r="A4714" s="7">
        <f>IFERROR(Datos!A4714,"")</f>
        <v/>
      </c>
      <c r="B4714" s="27">
        <f>IFERROR(IF(ISNUMBER(Datos!B4714),Datos!B4714/$F$2*100,NA()),NA())</f>
        <v/>
      </c>
      <c r="C4714" s="27">
        <f>IFERROR(IF(ISNUMBER(Datos!C4714),Datos!C4714/$F$3*100,NA()),NA())</f>
        <v/>
      </c>
    </row>
    <row r="4715">
      <c r="A4715" s="7">
        <f>IFERROR(Datos!A4715,"")</f>
        <v/>
      </c>
      <c r="B4715" s="27">
        <f>IFERROR(IF(ISNUMBER(Datos!B4715),Datos!B4715/$F$2*100,NA()),NA())</f>
        <v/>
      </c>
      <c r="C4715" s="27">
        <f>IFERROR(IF(ISNUMBER(Datos!C4715),Datos!C4715/$F$3*100,NA()),NA())</f>
        <v/>
      </c>
    </row>
    <row r="4716">
      <c r="A4716" s="7">
        <f>IFERROR(Datos!A4716,"")</f>
        <v/>
      </c>
      <c r="B4716" s="27">
        <f>IFERROR(IF(ISNUMBER(Datos!B4716),Datos!B4716/$F$2*100,NA()),NA())</f>
        <v/>
      </c>
      <c r="C4716" s="27">
        <f>IFERROR(IF(ISNUMBER(Datos!C4716),Datos!C4716/$F$3*100,NA()),NA())</f>
        <v/>
      </c>
    </row>
    <row r="4717">
      <c r="A4717" s="7">
        <f>IFERROR(Datos!A4717,"")</f>
        <v/>
      </c>
      <c r="B4717" s="27">
        <f>IFERROR(IF(ISNUMBER(Datos!B4717),Datos!B4717/$F$2*100,NA()),NA())</f>
        <v/>
      </c>
      <c r="C4717" s="27">
        <f>IFERROR(IF(ISNUMBER(Datos!C4717),Datos!C4717/$F$3*100,NA()),NA())</f>
        <v/>
      </c>
    </row>
    <row r="4718">
      <c r="A4718" s="7">
        <f>IFERROR(Datos!A4718,"")</f>
        <v/>
      </c>
      <c r="B4718" s="27">
        <f>IFERROR(IF(ISNUMBER(Datos!B4718),Datos!B4718/$F$2*100,NA()),NA())</f>
        <v/>
      </c>
      <c r="C4718" s="27">
        <f>IFERROR(IF(ISNUMBER(Datos!C4718),Datos!C4718/$F$3*100,NA()),NA())</f>
        <v/>
      </c>
    </row>
    <row r="4719">
      <c r="A4719" s="7">
        <f>IFERROR(Datos!A4719,"")</f>
        <v/>
      </c>
      <c r="B4719" s="27">
        <f>IFERROR(IF(ISNUMBER(Datos!B4719),Datos!B4719/$F$2*100,NA()),NA())</f>
        <v/>
      </c>
      <c r="C4719" s="27">
        <f>IFERROR(IF(ISNUMBER(Datos!C4719),Datos!C4719/$F$3*100,NA()),NA())</f>
        <v/>
      </c>
    </row>
    <row r="4720">
      <c r="A4720" s="7">
        <f>IFERROR(Datos!A4720,"")</f>
        <v/>
      </c>
      <c r="B4720" s="27">
        <f>IFERROR(IF(ISNUMBER(Datos!B4720),Datos!B4720/$F$2*100,NA()),NA())</f>
        <v/>
      </c>
      <c r="C4720" s="27">
        <f>IFERROR(IF(ISNUMBER(Datos!C4720),Datos!C4720/$F$3*100,NA()),NA())</f>
        <v/>
      </c>
    </row>
    <row r="4721">
      <c r="A4721" s="7">
        <f>IFERROR(Datos!A4721,"")</f>
        <v/>
      </c>
      <c r="B4721" s="27">
        <f>IFERROR(IF(ISNUMBER(Datos!B4721),Datos!B4721/$F$2*100,NA()),NA())</f>
        <v/>
      </c>
      <c r="C4721" s="27">
        <f>IFERROR(IF(ISNUMBER(Datos!C4721),Datos!C4721/$F$3*100,NA()),NA())</f>
        <v/>
      </c>
    </row>
    <row r="4722">
      <c r="A4722" s="7">
        <f>IFERROR(Datos!A4722,"")</f>
        <v/>
      </c>
      <c r="B4722" s="27">
        <f>IFERROR(IF(ISNUMBER(Datos!B4722),Datos!B4722/$F$2*100,NA()),NA())</f>
        <v/>
      </c>
      <c r="C4722" s="27">
        <f>IFERROR(IF(ISNUMBER(Datos!C4722),Datos!C4722/$F$3*100,NA()),NA())</f>
        <v/>
      </c>
    </row>
    <row r="4723">
      <c r="A4723" s="7">
        <f>IFERROR(Datos!A4723,"")</f>
        <v/>
      </c>
      <c r="B4723" s="27">
        <f>IFERROR(IF(ISNUMBER(Datos!B4723),Datos!B4723/$F$2*100,NA()),NA())</f>
        <v/>
      </c>
      <c r="C4723" s="27">
        <f>IFERROR(IF(ISNUMBER(Datos!C4723),Datos!C4723/$F$3*100,NA()),NA())</f>
        <v/>
      </c>
    </row>
    <row r="4724">
      <c r="A4724" s="7">
        <f>IFERROR(Datos!A4724,"")</f>
        <v/>
      </c>
      <c r="B4724" s="27">
        <f>IFERROR(IF(ISNUMBER(Datos!B4724),Datos!B4724/$F$2*100,NA()),NA())</f>
        <v/>
      </c>
      <c r="C4724" s="27">
        <f>IFERROR(IF(ISNUMBER(Datos!C4724),Datos!C4724/$F$3*100,NA()),NA())</f>
        <v/>
      </c>
    </row>
    <row r="4725">
      <c r="A4725" s="7">
        <f>IFERROR(Datos!A4725,"")</f>
        <v/>
      </c>
      <c r="B4725" s="27">
        <f>IFERROR(IF(ISNUMBER(Datos!B4725),Datos!B4725/$F$2*100,NA()),NA())</f>
        <v/>
      </c>
      <c r="C4725" s="27">
        <f>IFERROR(IF(ISNUMBER(Datos!C4725),Datos!C4725/$F$3*100,NA()),NA())</f>
        <v/>
      </c>
    </row>
    <row r="4726">
      <c r="A4726" s="7">
        <f>IFERROR(Datos!A4726,"")</f>
        <v/>
      </c>
      <c r="B4726" s="27">
        <f>IFERROR(IF(ISNUMBER(Datos!B4726),Datos!B4726/$F$2*100,NA()),NA())</f>
        <v/>
      </c>
      <c r="C4726" s="27">
        <f>IFERROR(IF(ISNUMBER(Datos!C4726),Datos!C4726/$F$3*100,NA()),NA())</f>
        <v/>
      </c>
    </row>
    <row r="4727">
      <c r="A4727" s="7">
        <f>IFERROR(Datos!A4727,"")</f>
        <v/>
      </c>
      <c r="B4727" s="27">
        <f>IFERROR(IF(ISNUMBER(Datos!B4727),Datos!B4727/$F$2*100,NA()),NA())</f>
        <v/>
      </c>
      <c r="C4727" s="27">
        <f>IFERROR(IF(ISNUMBER(Datos!C4727),Datos!C4727/$F$3*100,NA()),NA())</f>
        <v/>
      </c>
    </row>
    <row r="4728">
      <c r="A4728" s="7">
        <f>IFERROR(Datos!A4728,"")</f>
        <v/>
      </c>
      <c r="B4728" s="27">
        <f>IFERROR(IF(ISNUMBER(Datos!B4728),Datos!B4728/$F$2*100,NA()),NA())</f>
        <v/>
      </c>
      <c r="C4728" s="27">
        <f>IFERROR(IF(ISNUMBER(Datos!C4728),Datos!C4728/$F$3*100,NA()),NA())</f>
        <v/>
      </c>
    </row>
    <row r="4729">
      <c r="A4729" s="7">
        <f>IFERROR(Datos!A4729,"")</f>
        <v/>
      </c>
      <c r="B4729" s="27">
        <f>IFERROR(IF(ISNUMBER(Datos!B4729),Datos!B4729/$F$2*100,NA()),NA())</f>
        <v/>
      </c>
      <c r="C4729" s="27">
        <f>IFERROR(IF(ISNUMBER(Datos!C4729),Datos!C4729/$F$3*100,NA()),NA())</f>
        <v/>
      </c>
    </row>
    <row r="4730">
      <c r="A4730" s="7">
        <f>IFERROR(Datos!A4730,"")</f>
        <v/>
      </c>
      <c r="B4730" s="27">
        <f>IFERROR(IF(ISNUMBER(Datos!B4730),Datos!B4730/$F$2*100,NA()),NA())</f>
        <v/>
      </c>
      <c r="C4730" s="27">
        <f>IFERROR(IF(ISNUMBER(Datos!C4730),Datos!C4730/$F$3*100,NA()),NA())</f>
        <v/>
      </c>
    </row>
    <row r="4731">
      <c r="A4731" s="7">
        <f>IFERROR(Datos!A4731,"")</f>
        <v/>
      </c>
      <c r="B4731" s="27">
        <f>IFERROR(IF(ISNUMBER(Datos!B4731),Datos!B4731/$F$2*100,NA()),NA())</f>
        <v/>
      </c>
      <c r="C4731" s="27">
        <f>IFERROR(IF(ISNUMBER(Datos!C4731),Datos!C4731/$F$3*100,NA()),NA())</f>
        <v/>
      </c>
    </row>
    <row r="4732">
      <c r="A4732" s="7">
        <f>IFERROR(Datos!A4732,"")</f>
        <v/>
      </c>
      <c r="B4732" s="27">
        <f>IFERROR(IF(ISNUMBER(Datos!B4732),Datos!B4732/$F$2*100,NA()),NA())</f>
        <v/>
      </c>
      <c r="C4732" s="27">
        <f>IFERROR(IF(ISNUMBER(Datos!C4732),Datos!C4732/$F$3*100,NA()),NA())</f>
        <v/>
      </c>
    </row>
    <row r="4733">
      <c r="A4733" s="7">
        <f>IFERROR(Datos!A4733,"")</f>
        <v/>
      </c>
      <c r="B4733" s="27">
        <f>IFERROR(IF(ISNUMBER(Datos!B4733),Datos!B4733/$F$2*100,NA()),NA())</f>
        <v/>
      </c>
      <c r="C4733" s="27">
        <f>IFERROR(IF(ISNUMBER(Datos!C4733),Datos!C4733/$F$3*100,NA()),NA())</f>
        <v/>
      </c>
    </row>
    <row r="4734">
      <c r="A4734" s="7">
        <f>IFERROR(Datos!A4734,"")</f>
        <v/>
      </c>
      <c r="B4734" s="27">
        <f>IFERROR(IF(ISNUMBER(Datos!B4734),Datos!B4734/$F$2*100,NA()),NA())</f>
        <v/>
      </c>
      <c r="C4734" s="27">
        <f>IFERROR(IF(ISNUMBER(Datos!C4734),Datos!C4734/$F$3*100,NA()),NA())</f>
        <v/>
      </c>
    </row>
    <row r="4735">
      <c r="A4735" s="7">
        <f>IFERROR(Datos!A4735,"")</f>
        <v/>
      </c>
      <c r="B4735" s="27">
        <f>IFERROR(IF(ISNUMBER(Datos!B4735),Datos!B4735/$F$2*100,NA()),NA())</f>
        <v/>
      </c>
      <c r="C4735" s="27">
        <f>IFERROR(IF(ISNUMBER(Datos!C4735),Datos!C4735/$F$3*100,NA()),NA())</f>
        <v/>
      </c>
    </row>
    <row r="4736">
      <c r="A4736" s="7">
        <f>IFERROR(Datos!A4736,"")</f>
        <v/>
      </c>
      <c r="B4736" s="27">
        <f>IFERROR(IF(ISNUMBER(Datos!B4736),Datos!B4736/$F$2*100,NA()),NA())</f>
        <v/>
      </c>
      <c r="C4736" s="27">
        <f>IFERROR(IF(ISNUMBER(Datos!C4736),Datos!C4736/$F$3*100,NA()),NA())</f>
        <v/>
      </c>
    </row>
    <row r="4737">
      <c r="A4737" s="7">
        <f>IFERROR(Datos!A4737,"")</f>
        <v/>
      </c>
      <c r="B4737" s="27">
        <f>IFERROR(IF(ISNUMBER(Datos!B4737),Datos!B4737/$F$2*100,NA()),NA())</f>
        <v/>
      </c>
      <c r="C4737" s="27">
        <f>IFERROR(IF(ISNUMBER(Datos!C4737),Datos!C4737/$F$3*100,NA()),NA())</f>
        <v/>
      </c>
    </row>
    <row r="4738">
      <c r="A4738" s="7">
        <f>IFERROR(Datos!A4738,"")</f>
        <v/>
      </c>
      <c r="B4738" s="27">
        <f>IFERROR(IF(ISNUMBER(Datos!B4738),Datos!B4738/$F$2*100,NA()),NA())</f>
        <v/>
      </c>
      <c r="C4738" s="27">
        <f>IFERROR(IF(ISNUMBER(Datos!C4738),Datos!C4738/$F$3*100,NA()),NA())</f>
        <v/>
      </c>
    </row>
    <row r="4739">
      <c r="A4739" s="7">
        <f>IFERROR(Datos!A4739,"")</f>
        <v/>
      </c>
      <c r="B4739" s="27">
        <f>IFERROR(IF(ISNUMBER(Datos!B4739),Datos!B4739/$F$2*100,NA()),NA())</f>
        <v/>
      </c>
      <c r="C4739" s="27">
        <f>IFERROR(IF(ISNUMBER(Datos!C4739),Datos!C4739/$F$3*100,NA()),NA())</f>
        <v/>
      </c>
    </row>
    <row r="4740">
      <c r="A4740" s="7">
        <f>IFERROR(Datos!A4740,"")</f>
        <v/>
      </c>
      <c r="B4740" s="27">
        <f>IFERROR(IF(ISNUMBER(Datos!B4740),Datos!B4740/$F$2*100,NA()),NA())</f>
        <v/>
      </c>
      <c r="C4740" s="27">
        <f>IFERROR(IF(ISNUMBER(Datos!C4740),Datos!C4740/$F$3*100,NA()),NA())</f>
        <v/>
      </c>
    </row>
    <row r="4741">
      <c r="A4741" s="7">
        <f>IFERROR(Datos!A4741,"")</f>
        <v/>
      </c>
      <c r="B4741" s="27">
        <f>IFERROR(IF(ISNUMBER(Datos!B4741),Datos!B4741/$F$2*100,NA()),NA())</f>
        <v/>
      </c>
      <c r="C4741" s="27">
        <f>IFERROR(IF(ISNUMBER(Datos!C4741),Datos!C4741/$F$3*100,NA()),NA())</f>
        <v/>
      </c>
    </row>
    <row r="4742">
      <c r="A4742" s="7">
        <f>IFERROR(Datos!A4742,"")</f>
        <v/>
      </c>
      <c r="B4742" s="27">
        <f>IFERROR(IF(ISNUMBER(Datos!B4742),Datos!B4742/$F$2*100,NA()),NA())</f>
        <v/>
      </c>
      <c r="C4742" s="27">
        <f>IFERROR(IF(ISNUMBER(Datos!C4742),Datos!C4742/$F$3*100,NA()),NA())</f>
        <v/>
      </c>
    </row>
    <row r="4743">
      <c r="A4743" s="7">
        <f>IFERROR(Datos!A4743,"")</f>
        <v/>
      </c>
      <c r="B4743" s="27">
        <f>IFERROR(IF(ISNUMBER(Datos!B4743),Datos!B4743/$F$2*100,NA()),NA())</f>
        <v/>
      </c>
      <c r="C4743" s="27">
        <f>IFERROR(IF(ISNUMBER(Datos!C4743),Datos!C4743/$F$3*100,NA()),NA())</f>
        <v/>
      </c>
    </row>
    <row r="4744">
      <c r="A4744" s="7">
        <f>IFERROR(Datos!A4744,"")</f>
        <v/>
      </c>
      <c r="B4744" s="27">
        <f>IFERROR(IF(ISNUMBER(Datos!B4744),Datos!B4744/$F$2*100,NA()),NA())</f>
        <v/>
      </c>
      <c r="C4744" s="27">
        <f>IFERROR(IF(ISNUMBER(Datos!C4744),Datos!C4744/$F$3*100,NA()),NA())</f>
        <v/>
      </c>
    </row>
    <row r="4745">
      <c r="A4745" s="7">
        <f>IFERROR(Datos!A4745,"")</f>
        <v/>
      </c>
      <c r="B4745" s="27">
        <f>IFERROR(IF(ISNUMBER(Datos!B4745),Datos!B4745/$F$2*100,NA()),NA())</f>
        <v/>
      </c>
      <c r="C4745" s="27">
        <f>IFERROR(IF(ISNUMBER(Datos!C4745),Datos!C4745/$F$3*100,NA()),NA())</f>
        <v/>
      </c>
    </row>
    <row r="4746">
      <c r="A4746" s="7">
        <f>IFERROR(Datos!A4746,"")</f>
        <v/>
      </c>
      <c r="B4746" s="27">
        <f>IFERROR(IF(ISNUMBER(Datos!B4746),Datos!B4746/$F$2*100,NA()),NA())</f>
        <v/>
      </c>
      <c r="C4746" s="27">
        <f>IFERROR(IF(ISNUMBER(Datos!C4746),Datos!C4746/$F$3*100,NA()),NA())</f>
        <v/>
      </c>
    </row>
    <row r="4747">
      <c r="A4747" s="7">
        <f>IFERROR(Datos!A4747,"")</f>
        <v/>
      </c>
      <c r="B4747" s="27">
        <f>IFERROR(IF(ISNUMBER(Datos!B4747),Datos!B4747/$F$2*100,NA()),NA())</f>
        <v/>
      </c>
      <c r="C4747" s="27">
        <f>IFERROR(IF(ISNUMBER(Datos!C4747),Datos!C4747/$F$3*100,NA()),NA())</f>
        <v/>
      </c>
    </row>
    <row r="4748">
      <c r="A4748" s="7">
        <f>IFERROR(Datos!A4748,"")</f>
        <v/>
      </c>
      <c r="B4748" s="27">
        <f>IFERROR(IF(ISNUMBER(Datos!B4748),Datos!B4748/$F$2*100,NA()),NA())</f>
        <v/>
      </c>
      <c r="C4748" s="27">
        <f>IFERROR(IF(ISNUMBER(Datos!C4748),Datos!C4748/$F$3*100,NA()),NA())</f>
        <v/>
      </c>
    </row>
    <row r="4749">
      <c r="A4749" s="7">
        <f>IFERROR(Datos!A4749,"")</f>
        <v/>
      </c>
      <c r="B4749" s="27">
        <f>IFERROR(IF(ISNUMBER(Datos!B4749),Datos!B4749/$F$2*100,NA()),NA())</f>
        <v/>
      </c>
      <c r="C4749" s="27">
        <f>IFERROR(IF(ISNUMBER(Datos!C4749),Datos!C4749/$F$3*100,NA()),NA())</f>
        <v/>
      </c>
    </row>
    <row r="4750">
      <c r="A4750" s="7">
        <f>IFERROR(Datos!A4750,"")</f>
        <v/>
      </c>
      <c r="B4750" s="27">
        <f>IFERROR(IF(ISNUMBER(Datos!B4750),Datos!B4750/$F$2*100,NA()),NA())</f>
        <v/>
      </c>
      <c r="C4750" s="27">
        <f>IFERROR(IF(ISNUMBER(Datos!C4750),Datos!C4750/$F$3*100,NA()),NA())</f>
        <v/>
      </c>
    </row>
    <row r="4751">
      <c r="A4751" s="7">
        <f>IFERROR(Datos!A4751,"")</f>
        <v/>
      </c>
      <c r="B4751" s="27">
        <f>IFERROR(IF(ISNUMBER(Datos!B4751),Datos!B4751/$F$2*100,NA()),NA())</f>
        <v/>
      </c>
      <c r="C4751" s="27">
        <f>IFERROR(IF(ISNUMBER(Datos!C4751),Datos!C4751/$F$3*100,NA()),NA())</f>
        <v/>
      </c>
    </row>
    <row r="4752">
      <c r="A4752" s="7">
        <f>IFERROR(Datos!A4752,"")</f>
        <v/>
      </c>
      <c r="B4752" s="27">
        <f>IFERROR(IF(ISNUMBER(Datos!B4752),Datos!B4752/$F$2*100,NA()),NA())</f>
        <v/>
      </c>
      <c r="C4752" s="27">
        <f>IFERROR(IF(ISNUMBER(Datos!C4752),Datos!C4752/$F$3*100,NA()),NA())</f>
        <v/>
      </c>
    </row>
    <row r="4753">
      <c r="A4753" s="7">
        <f>IFERROR(Datos!A4753,"")</f>
        <v/>
      </c>
      <c r="B4753" s="27">
        <f>IFERROR(IF(ISNUMBER(Datos!B4753),Datos!B4753/$F$2*100,NA()),NA())</f>
        <v/>
      </c>
      <c r="C4753" s="27">
        <f>IFERROR(IF(ISNUMBER(Datos!C4753),Datos!C4753/$F$3*100,NA()),NA())</f>
        <v/>
      </c>
    </row>
    <row r="4754">
      <c r="A4754" s="7">
        <f>IFERROR(Datos!A4754,"")</f>
        <v/>
      </c>
      <c r="B4754" s="27">
        <f>IFERROR(IF(ISNUMBER(Datos!B4754),Datos!B4754/$F$2*100,NA()),NA())</f>
        <v/>
      </c>
      <c r="C4754" s="27">
        <f>IFERROR(IF(ISNUMBER(Datos!C4754),Datos!C4754/$F$3*100,NA()),NA())</f>
        <v/>
      </c>
    </row>
    <row r="4755">
      <c r="A4755" s="7">
        <f>IFERROR(Datos!A4755,"")</f>
        <v/>
      </c>
      <c r="B4755" s="27">
        <f>IFERROR(IF(ISNUMBER(Datos!B4755),Datos!B4755/$F$2*100,NA()),NA())</f>
        <v/>
      </c>
      <c r="C4755" s="27">
        <f>IFERROR(IF(ISNUMBER(Datos!C4755),Datos!C4755/$F$3*100,NA()),NA())</f>
        <v/>
      </c>
    </row>
    <row r="4756">
      <c r="A4756" s="7">
        <f>IFERROR(Datos!A4756,"")</f>
        <v/>
      </c>
      <c r="B4756" s="27">
        <f>IFERROR(IF(ISNUMBER(Datos!B4756),Datos!B4756/$F$2*100,NA()),NA())</f>
        <v/>
      </c>
      <c r="C4756" s="27">
        <f>IFERROR(IF(ISNUMBER(Datos!C4756),Datos!C4756/$F$3*100,NA()),NA())</f>
        <v/>
      </c>
    </row>
    <row r="4757">
      <c r="A4757" s="7">
        <f>IFERROR(Datos!A4757,"")</f>
        <v/>
      </c>
      <c r="B4757" s="27">
        <f>IFERROR(IF(ISNUMBER(Datos!B4757),Datos!B4757/$F$2*100,NA()),NA())</f>
        <v/>
      </c>
      <c r="C4757" s="27">
        <f>IFERROR(IF(ISNUMBER(Datos!C4757),Datos!C4757/$F$3*100,NA()),NA())</f>
        <v/>
      </c>
    </row>
    <row r="4758">
      <c r="A4758" s="7">
        <f>IFERROR(Datos!A4758,"")</f>
        <v/>
      </c>
      <c r="B4758" s="27">
        <f>IFERROR(IF(ISNUMBER(Datos!B4758),Datos!B4758/$F$2*100,NA()),NA())</f>
        <v/>
      </c>
      <c r="C4758" s="27">
        <f>IFERROR(IF(ISNUMBER(Datos!C4758),Datos!C4758/$F$3*100,NA()),NA())</f>
        <v/>
      </c>
    </row>
    <row r="4759">
      <c r="A4759" s="7">
        <f>IFERROR(Datos!A4759,"")</f>
        <v/>
      </c>
      <c r="B4759" s="27">
        <f>IFERROR(IF(ISNUMBER(Datos!B4759),Datos!B4759/$F$2*100,NA()),NA())</f>
        <v/>
      </c>
      <c r="C4759" s="27">
        <f>IFERROR(IF(ISNUMBER(Datos!C4759),Datos!C4759/$F$3*100,NA()),NA())</f>
        <v/>
      </c>
    </row>
    <row r="4760">
      <c r="A4760" s="7">
        <f>IFERROR(Datos!A4760,"")</f>
        <v/>
      </c>
      <c r="B4760" s="27">
        <f>IFERROR(IF(ISNUMBER(Datos!B4760),Datos!B4760/$F$2*100,NA()),NA())</f>
        <v/>
      </c>
      <c r="C4760" s="27">
        <f>IFERROR(IF(ISNUMBER(Datos!C4760),Datos!C4760/$F$3*100,NA()),NA())</f>
        <v/>
      </c>
    </row>
    <row r="4761">
      <c r="A4761" s="7">
        <f>IFERROR(Datos!A4761,"")</f>
        <v/>
      </c>
      <c r="B4761" s="27">
        <f>IFERROR(IF(ISNUMBER(Datos!B4761),Datos!B4761/$F$2*100,NA()),NA())</f>
        <v/>
      </c>
      <c r="C4761" s="27">
        <f>IFERROR(IF(ISNUMBER(Datos!C4761),Datos!C4761/$F$3*100,NA()),NA())</f>
        <v/>
      </c>
    </row>
    <row r="4762">
      <c r="A4762" s="7">
        <f>IFERROR(Datos!A4762,"")</f>
        <v/>
      </c>
      <c r="B4762" s="27">
        <f>IFERROR(IF(ISNUMBER(Datos!B4762),Datos!B4762/$F$2*100,NA()),NA())</f>
        <v/>
      </c>
      <c r="C4762" s="27">
        <f>IFERROR(IF(ISNUMBER(Datos!C4762),Datos!C4762/$F$3*100,NA()),NA())</f>
        <v/>
      </c>
    </row>
    <row r="4763">
      <c r="A4763" s="7">
        <f>IFERROR(Datos!A4763,"")</f>
        <v/>
      </c>
      <c r="B4763" s="27">
        <f>IFERROR(IF(ISNUMBER(Datos!B4763),Datos!B4763/$F$2*100,NA()),NA())</f>
        <v/>
      </c>
      <c r="C4763" s="27">
        <f>IFERROR(IF(ISNUMBER(Datos!C4763),Datos!C4763/$F$3*100,NA()),NA())</f>
        <v/>
      </c>
    </row>
    <row r="4764">
      <c r="A4764" s="7">
        <f>IFERROR(Datos!A4764,"")</f>
        <v/>
      </c>
      <c r="B4764" s="27">
        <f>IFERROR(IF(ISNUMBER(Datos!B4764),Datos!B4764/$F$2*100,NA()),NA())</f>
        <v/>
      </c>
      <c r="C4764" s="27">
        <f>IFERROR(IF(ISNUMBER(Datos!C4764),Datos!C4764/$F$3*100,NA()),NA())</f>
        <v/>
      </c>
    </row>
    <row r="4765">
      <c r="A4765" s="7">
        <f>IFERROR(Datos!A4765,"")</f>
        <v/>
      </c>
      <c r="B4765" s="27">
        <f>IFERROR(IF(ISNUMBER(Datos!B4765),Datos!B4765/$F$2*100,NA()),NA())</f>
        <v/>
      </c>
      <c r="C4765" s="27">
        <f>IFERROR(IF(ISNUMBER(Datos!C4765),Datos!C4765/$F$3*100,NA()),NA())</f>
        <v/>
      </c>
    </row>
    <row r="4766">
      <c r="A4766" s="7">
        <f>IFERROR(Datos!A4766,"")</f>
        <v/>
      </c>
      <c r="B4766" s="27">
        <f>IFERROR(IF(ISNUMBER(Datos!B4766),Datos!B4766/$F$2*100,NA()),NA())</f>
        <v/>
      </c>
      <c r="C4766" s="27">
        <f>IFERROR(IF(ISNUMBER(Datos!C4766),Datos!C4766/$F$3*100,NA()),NA())</f>
        <v/>
      </c>
    </row>
    <row r="4767">
      <c r="A4767" s="7">
        <f>IFERROR(Datos!A4767,"")</f>
        <v/>
      </c>
      <c r="B4767" s="27">
        <f>IFERROR(IF(ISNUMBER(Datos!B4767),Datos!B4767/$F$2*100,NA()),NA())</f>
        <v/>
      </c>
      <c r="C4767" s="27">
        <f>IFERROR(IF(ISNUMBER(Datos!C4767),Datos!C4767/$F$3*100,NA()),NA())</f>
        <v/>
      </c>
    </row>
    <row r="4768">
      <c r="A4768" s="7">
        <f>IFERROR(Datos!A4768,"")</f>
        <v/>
      </c>
      <c r="B4768" s="27">
        <f>IFERROR(IF(ISNUMBER(Datos!B4768),Datos!B4768/$F$2*100,NA()),NA())</f>
        <v/>
      </c>
      <c r="C4768" s="27">
        <f>IFERROR(IF(ISNUMBER(Datos!C4768),Datos!C4768/$F$3*100,NA()),NA())</f>
        <v/>
      </c>
    </row>
    <row r="4769">
      <c r="A4769" s="7">
        <f>IFERROR(Datos!A4769,"")</f>
        <v/>
      </c>
      <c r="B4769" s="27">
        <f>IFERROR(IF(ISNUMBER(Datos!B4769),Datos!B4769/$F$2*100,NA()),NA())</f>
        <v/>
      </c>
      <c r="C4769" s="27">
        <f>IFERROR(IF(ISNUMBER(Datos!C4769),Datos!C4769/$F$3*100,NA()),NA())</f>
        <v/>
      </c>
    </row>
    <row r="4770">
      <c r="A4770" s="7">
        <f>IFERROR(Datos!A4770,"")</f>
        <v/>
      </c>
      <c r="B4770" s="27">
        <f>IFERROR(IF(ISNUMBER(Datos!B4770),Datos!B4770/$F$2*100,NA()),NA())</f>
        <v/>
      </c>
      <c r="C4770" s="27">
        <f>IFERROR(IF(ISNUMBER(Datos!C4770),Datos!C4770/$F$3*100,NA()),NA())</f>
        <v/>
      </c>
    </row>
    <row r="4771">
      <c r="A4771" s="7">
        <f>IFERROR(Datos!A4771,"")</f>
        <v/>
      </c>
      <c r="B4771" s="27">
        <f>IFERROR(IF(ISNUMBER(Datos!B4771),Datos!B4771/$F$2*100,NA()),NA())</f>
        <v/>
      </c>
      <c r="C4771" s="27">
        <f>IFERROR(IF(ISNUMBER(Datos!C4771),Datos!C4771/$F$3*100,NA()),NA())</f>
        <v/>
      </c>
    </row>
    <row r="4772">
      <c r="A4772" s="7">
        <f>IFERROR(Datos!A4772,"")</f>
        <v/>
      </c>
      <c r="B4772" s="27">
        <f>IFERROR(IF(ISNUMBER(Datos!B4772),Datos!B4772/$F$2*100,NA()),NA())</f>
        <v/>
      </c>
      <c r="C4772" s="27">
        <f>IFERROR(IF(ISNUMBER(Datos!C4772),Datos!C4772/$F$3*100,NA()),NA())</f>
        <v/>
      </c>
    </row>
    <row r="4773">
      <c r="A4773" s="7">
        <f>IFERROR(Datos!A4773,"")</f>
        <v/>
      </c>
      <c r="B4773" s="27">
        <f>IFERROR(IF(ISNUMBER(Datos!B4773),Datos!B4773/$F$2*100,NA()),NA())</f>
        <v/>
      </c>
      <c r="C4773" s="27">
        <f>IFERROR(IF(ISNUMBER(Datos!C4773),Datos!C4773/$F$3*100,NA()),NA())</f>
        <v/>
      </c>
    </row>
    <row r="4774">
      <c r="A4774" s="7">
        <f>IFERROR(Datos!A4774,"")</f>
        <v/>
      </c>
      <c r="B4774" s="27">
        <f>IFERROR(IF(ISNUMBER(Datos!B4774),Datos!B4774/$F$2*100,NA()),NA())</f>
        <v/>
      </c>
      <c r="C4774" s="27">
        <f>IFERROR(IF(ISNUMBER(Datos!C4774),Datos!C4774/$F$3*100,NA()),NA())</f>
        <v/>
      </c>
    </row>
    <row r="4775">
      <c r="A4775" s="7">
        <f>IFERROR(Datos!A4775,"")</f>
        <v/>
      </c>
      <c r="B4775" s="27">
        <f>IFERROR(IF(ISNUMBER(Datos!B4775),Datos!B4775/$F$2*100,NA()),NA())</f>
        <v/>
      </c>
      <c r="C4775" s="27">
        <f>IFERROR(IF(ISNUMBER(Datos!C4775),Datos!C4775/$F$3*100,NA()),NA())</f>
        <v/>
      </c>
    </row>
    <row r="4776">
      <c r="A4776" s="7">
        <f>IFERROR(Datos!A4776,"")</f>
        <v/>
      </c>
      <c r="B4776" s="27">
        <f>IFERROR(IF(ISNUMBER(Datos!B4776),Datos!B4776/$F$2*100,NA()),NA())</f>
        <v/>
      </c>
      <c r="C4776" s="27">
        <f>IFERROR(IF(ISNUMBER(Datos!C4776),Datos!C4776/$F$3*100,NA()),NA())</f>
        <v/>
      </c>
    </row>
    <row r="4777">
      <c r="A4777" s="7">
        <f>IFERROR(Datos!A4777,"")</f>
        <v/>
      </c>
      <c r="B4777" s="27">
        <f>IFERROR(IF(ISNUMBER(Datos!B4777),Datos!B4777/$F$2*100,NA()),NA())</f>
        <v/>
      </c>
      <c r="C4777" s="27">
        <f>IFERROR(IF(ISNUMBER(Datos!C4777),Datos!C4777/$F$3*100,NA()),NA())</f>
        <v/>
      </c>
    </row>
    <row r="4778">
      <c r="A4778" s="7">
        <f>IFERROR(Datos!A4778,"")</f>
        <v/>
      </c>
      <c r="B4778" s="27">
        <f>IFERROR(IF(ISNUMBER(Datos!B4778),Datos!B4778/$F$2*100,NA()),NA())</f>
        <v/>
      </c>
      <c r="C4778" s="27">
        <f>IFERROR(IF(ISNUMBER(Datos!C4778),Datos!C4778/$F$3*100,NA()),NA())</f>
        <v/>
      </c>
    </row>
    <row r="4779">
      <c r="A4779" s="7">
        <f>IFERROR(Datos!A4779,"")</f>
        <v/>
      </c>
      <c r="B4779" s="27">
        <f>IFERROR(IF(ISNUMBER(Datos!B4779),Datos!B4779/$F$2*100,NA()),NA())</f>
        <v/>
      </c>
      <c r="C4779" s="27">
        <f>IFERROR(IF(ISNUMBER(Datos!C4779),Datos!C4779/$F$3*100,NA()),NA())</f>
        <v/>
      </c>
    </row>
    <row r="4780">
      <c r="A4780" s="7">
        <f>IFERROR(Datos!A4780,"")</f>
        <v/>
      </c>
      <c r="B4780" s="27">
        <f>IFERROR(IF(ISNUMBER(Datos!B4780),Datos!B4780/$F$2*100,NA()),NA())</f>
        <v/>
      </c>
      <c r="C4780" s="27">
        <f>IFERROR(IF(ISNUMBER(Datos!C4780),Datos!C4780/$F$3*100,NA()),NA())</f>
        <v/>
      </c>
    </row>
    <row r="4781">
      <c r="A4781" s="7">
        <f>IFERROR(Datos!A4781,"")</f>
        <v/>
      </c>
      <c r="B4781" s="27">
        <f>IFERROR(IF(ISNUMBER(Datos!B4781),Datos!B4781/$F$2*100,NA()),NA())</f>
        <v/>
      </c>
      <c r="C4781" s="27">
        <f>IFERROR(IF(ISNUMBER(Datos!C4781),Datos!C4781/$F$3*100,NA()),NA())</f>
        <v/>
      </c>
    </row>
    <row r="4782">
      <c r="A4782" s="7">
        <f>IFERROR(Datos!A4782,"")</f>
        <v/>
      </c>
      <c r="B4782" s="27">
        <f>IFERROR(IF(ISNUMBER(Datos!B4782),Datos!B4782/$F$2*100,NA()),NA())</f>
        <v/>
      </c>
      <c r="C4782" s="27">
        <f>IFERROR(IF(ISNUMBER(Datos!C4782),Datos!C4782/$F$3*100,NA()),NA())</f>
        <v/>
      </c>
    </row>
    <row r="4783">
      <c r="A4783" s="7">
        <f>IFERROR(Datos!A4783,"")</f>
        <v/>
      </c>
      <c r="B4783" s="27">
        <f>IFERROR(IF(ISNUMBER(Datos!B4783),Datos!B4783/$F$2*100,NA()),NA())</f>
        <v/>
      </c>
      <c r="C4783" s="27">
        <f>IFERROR(IF(ISNUMBER(Datos!C4783),Datos!C4783/$F$3*100,NA()),NA())</f>
        <v/>
      </c>
    </row>
    <row r="4784">
      <c r="A4784" s="7">
        <f>IFERROR(Datos!A4784,"")</f>
        <v/>
      </c>
      <c r="B4784" s="27">
        <f>IFERROR(IF(ISNUMBER(Datos!B4784),Datos!B4784/$F$2*100,NA()),NA())</f>
        <v/>
      </c>
      <c r="C4784" s="27">
        <f>IFERROR(IF(ISNUMBER(Datos!C4784),Datos!C4784/$F$3*100,NA()),NA())</f>
        <v/>
      </c>
    </row>
    <row r="4785">
      <c r="A4785" s="7">
        <f>IFERROR(Datos!A4785,"")</f>
        <v/>
      </c>
      <c r="B4785" s="27">
        <f>IFERROR(IF(ISNUMBER(Datos!B4785),Datos!B4785/$F$2*100,NA()),NA())</f>
        <v/>
      </c>
      <c r="C4785" s="27">
        <f>IFERROR(IF(ISNUMBER(Datos!C4785),Datos!C4785/$F$3*100,NA()),NA())</f>
        <v/>
      </c>
    </row>
    <row r="4786">
      <c r="A4786" s="7">
        <f>IFERROR(Datos!A4786,"")</f>
        <v/>
      </c>
      <c r="B4786" s="27">
        <f>IFERROR(IF(ISNUMBER(Datos!B4786),Datos!B4786/$F$2*100,NA()),NA())</f>
        <v/>
      </c>
      <c r="C4786" s="27">
        <f>IFERROR(IF(ISNUMBER(Datos!C4786),Datos!C4786/$F$3*100,NA()),NA())</f>
        <v/>
      </c>
    </row>
    <row r="4787">
      <c r="A4787" s="7">
        <f>IFERROR(Datos!A4787,"")</f>
        <v/>
      </c>
      <c r="B4787" s="27">
        <f>IFERROR(IF(ISNUMBER(Datos!B4787),Datos!B4787/$F$2*100,NA()),NA())</f>
        <v/>
      </c>
      <c r="C4787" s="27">
        <f>IFERROR(IF(ISNUMBER(Datos!C4787),Datos!C4787/$F$3*100,NA()),NA())</f>
        <v/>
      </c>
    </row>
    <row r="4788">
      <c r="A4788" s="7">
        <f>IFERROR(Datos!A4788,"")</f>
        <v/>
      </c>
      <c r="B4788" s="27">
        <f>IFERROR(IF(ISNUMBER(Datos!B4788),Datos!B4788/$F$2*100,NA()),NA())</f>
        <v/>
      </c>
      <c r="C4788" s="27">
        <f>IFERROR(IF(ISNUMBER(Datos!C4788),Datos!C4788/$F$3*100,NA()),NA())</f>
        <v/>
      </c>
    </row>
    <row r="4789">
      <c r="A4789" s="7">
        <f>IFERROR(Datos!A4789,"")</f>
        <v/>
      </c>
      <c r="B4789" s="27">
        <f>IFERROR(IF(ISNUMBER(Datos!B4789),Datos!B4789/$F$2*100,NA()),NA())</f>
        <v/>
      </c>
      <c r="C4789" s="27">
        <f>IFERROR(IF(ISNUMBER(Datos!C4789),Datos!C4789/$F$3*100,NA()),NA())</f>
        <v/>
      </c>
    </row>
    <row r="4790">
      <c r="A4790" s="7">
        <f>IFERROR(Datos!A4790,"")</f>
        <v/>
      </c>
      <c r="B4790" s="27">
        <f>IFERROR(IF(ISNUMBER(Datos!B4790),Datos!B4790/$F$2*100,NA()),NA())</f>
        <v/>
      </c>
      <c r="C4790" s="27">
        <f>IFERROR(IF(ISNUMBER(Datos!C4790),Datos!C4790/$F$3*100,NA()),NA())</f>
        <v/>
      </c>
    </row>
    <row r="4791">
      <c r="A4791" s="7">
        <f>IFERROR(Datos!A4791,"")</f>
        <v/>
      </c>
      <c r="B4791" s="27">
        <f>IFERROR(IF(ISNUMBER(Datos!B4791),Datos!B4791/$F$2*100,NA()),NA())</f>
        <v/>
      </c>
      <c r="C4791" s="27">
        <f>IFERROR(IF(ISNUMBER(Datos!C4791),Datos!C4791/$F$3*100,NA()),NA())</f>
        <v/>
      </c>
    </row>
    <row r="4792">
      <c r="A4792" s="7">
        <f>IFERROR(Datos!A4792,"")</f>
        <v/>
      </c>
      <c r="B4792" s="27">
        <f>IFERROR(IF(ISNUMBER(Datos!B4792),Datos!B4792/$F$2*100,NA()),NA())</f>
        <v/>
      </c>
      <c r="C4792" s="27">
        <f>IFERROR(IF(ISNUMBER(Datos!C4792),Datos!C4792/$F$3*100,NA()),NA())</f>
        <v/>
      </c>
    </row>
    <row r="4793">
      <c r="A4793" s="7">
        <f>IFERROR(Datos!A4793,"")</f>
        <v/>
      </c>
      <c r="B4793" s="27">
        <f>IFERROR(IF(ISNUMBER(Datos!B4793),Datos!B4793/$F$2*100,NA()),NA())</f>
        <v/>
      </c>
      <c r="C4793" s="27">
        <f>IFERROR(IF(ISNUMBER(Datos!C4793),Datos!C4793/$F$3*100,NA()),NA())</f>
        <v/>
      </c>
    </row>
    <row r="4794">
      <c r="A4794" s="7">
        <f>IFERROR(Datos!A4794,"")</f>
        <v/>
      </c>
      <c r="B4794" s="27">
        <f>IFERROR(IF(ISNUMBER(Datos!B4794),Datos!B4794/$F$2*100,NA()),NA())</f>
        <v/>
      </c>
      <c r="C4794" s="27">
        <f>IFERROR(IF(ISNUMBER(Datos!C4794),Datos!C4794/$F$3*100,NA()),NA())</f>
        <v/>
      </c>
    </row>
    <row r="4795">
      <c r="A4795" s="7">
        <f>IFERROR(Datos!A4795,"")</f>
        <v/>
      </c>
      <c r="B4795" s="27">
        <f>IFERROR(IF(ISNUMBER(Datos!B4795),Datos!B4795/$F$2*100,NA()),NA())</f>
        <v/>
      </c>
      <c r="C4795" s="27">
        <f>IFERROR(IF(ISNUMBER(Datos!C4795),Datos!C4795/$F$3*100,NA()),NA())</f>
        <v/>
      </c>
    </row>
    <row r="4796">
      <c r="A4796" s="7">
        <f>IFERROR(Datos!A4796,"")</f>
        <v/>
      </c>
      <c r="B4796" s="27">
        <f>IFERROR(IF(ISNUMBER(Datos!B4796),Datos!B4796/$F$2*100,NA()),NA())</f>
        <v/>
      </c>
      <c r="C4796" s="27">
        <f>IFERROR(IF(ISNUMBER(Datos!C4796),Datos!C4796/$F$3*100,NA()),NA())</f>
        <v/>
      </c>
    </row>
    <row r="4797">
      <c r="A4797" s="7">
        <f>IFERROR(Datos!A4797,"")</f>
        <v/>
      </c>
      <c r="B4797" s="27">
        <f>IFERROR(IF(ISNUMBER(Datos!B4797),Datos!B4797/$F$2*100,NA()),NA())</f>
        <v/>
      </c>
      <c r="C4797" s="27">
        <f>IFERROR(IF(ISNUMBER(Datos!C4797),Datos!C4797/$F$3*100,NA()),NA())</f>
        <v/>
      </c>
    </row>
    <row r="4798">
      <c r="A4798" s="7">
        <f>IFERROR(Datos!A4798,"")</f>
        <v/>
      </c>
      <c r="B4798" s="27">
        <f>IFERROR(IF(ISNUMBER(Datos!B4798),Datos!B4798/$F$2*100,NA()),NA())</f>
        <v/>
      </c>
      <c r="C4798" s="27">
        <f>IFERROR(IF(ISNUMBER(Datos!C4798),Datos!C4798/$F$3*100,NA()),NA())</f>
        <v/>
      </c>
    </row>
    <row r="4799">
      <c r="A4799" s="7">
        <f>IFERROR(Datos!A4799,"")</f>
        <v/>
      </c>
      <c r="B4799" s="27">
        <f>IFERROR(IF(ISNUMBER(Datos!B4799),Datos!B4799/$F$2*100,NA()),NA())</f>
        <v/>
      </c>
      <c r="C4799" s="27">
        <f>IFERROR(IF(ISNUMBER(Datos!C4799),Datos!C4799/$F$3*100,NA()),NA())</f>
        <v/>
      </c>
    </row>
    <row r="4800">
      <c r="A4800" s="7">
        <f>IFERROR(Datos!A4800,"")</f>
        <v/>
      </c>
      <c r="B4800" s="27">
        <f>IFERROR(IF(ISNUMBER(Datos!B4800),Datos!B4800/$F$2*100,NA()),NA())</f>
        <v/>
      </c>
      <c r="C4800" s="27">
        <f>IFERROR(IF(ISNUMBER(Datos!C4800),Datos!C4800/$F$3*100,NA()),NA())</f>
        <v/>
      </c>
    </row>
    <row r="4801">
      <c r="A4801" s="7">
        <f>IFERROR(Datos!A4801,"")</f>
        <v/>
      </c>
      <c r="B4801" s="27">
        <f>IFERROR(IF(ISNUMBER(Datos!B4801),Datos!B4801/$F$2*100,NA()),NA())</f>
        <v/>
      </c>
      <c r="C4801" s="27">
        <f>IFERROR(IF(ISNUMBER(Datos!C4801),Datos!C4801/$F$3*100,NA()),NA())</f>
        <v/>
      </c>
    </row>
    <row r="4802">
      <c r="A4802" s="7">
        <f>IFERROR(Datos!A4802,"")</f>
        <v/>
      </c>
      <c r="B4802" s="27">
        <f>IFERROR(IF(ISNUMBER(Datos!B4802),Datos!B4802/$F$2*100,NA()),NA())</f>
        <v/>
      </c>
      <c r="C4802" s="27">
        <f>IFERROR(IF(ISNUMBER(Datos!C4802),Datos!C4802/$F$3*100,NA()),NA())</f>
        <v/>
      </c>
    </row>
    <row r="4803">
      <c r="A4803" s="7">
        <f>IFERROR(Datos!A4803,"")</f>
        <v/>
      </c>
      <c r="B4803" s="27">
        <f>IFERROR(IF(ISNUMBER(Datos!B4803),Datos!B4803/$F$2*100,NA()),NA())</f>
        <v/>
      </c>
      <c r="C4803" s="27">
        <f>IFERROR(IF(ISNUMBER(Datos!C4803),Datos!C4803/$F$3*100,NA()),NA())</f>
        <v/>
      </c>
    </row>
    <row r="4804">
      <c r="A4804" s="7">
        <f>IFERROR(Datos!A4804,"")</f>
        <v/>
      </c>
      <c r="B4804" s="27">
        <f>IFERROR(IF(ISNUMBER(Datos!B4804),Datos!B4804/$F$2*100,NA()),NA())</f>
        <v/>
      </c>
      <c r="C4804" s="27">
        <f>IFERROR(IF(ISNUMBER(Datos!C4804),Datos!C4804/$F$3*100,NA()),NA())</f>
        <v/>
      </c>
    </row>
    <row r="4805">
      <c r="A4805" s="7">
        <f>IFERROR(Datos!A4805,"")</f>
        <v/>
      </c>
      <c r="B4805" s="27">
        <f>IFERROR(IF(ISNUMBER(Datos!B4805),Datos!B4805/$F$2*100,NA()),NA())</f>
        <v/>
      </c>
      <c r="C4805" s="27">
        <f>IFERROR(IF(ISNUMBER(Datos!C4805),Datos!C4805/$F$3*100,NA()),NA())</f>
        <v/>
      </c>
    </row>
    <row r="4806">
      <c r="A4806" s="7">
        <f>IFERROR(Datos!A4806,"")</f>
        <v/>
      </c>
      <c r="B4806" s="27">
        <f>IFERROR(IF(ISNUMBER(Datos!B4806),Datos!B4806/$F$2*100,NA()),NA())</f>
        <v/>
      </c>
      <c r="C4806" s="27">
        <f>IFERROR(IF(ISNUMBER(Datos!C4806),Datos!C4806/$F$3*100,NA()),NA())</f>
        <v/>
      </c>
    </row>
    <row r="4807">
      <c r="A4807" s="7">
        <f>IFERROR(Datos!A4807,"")</f>
        <v/>
      </c>
      <c r="B4807" s="27">
        <f>IFERROR(IF(ISNUMBER(Datos!B4807),Datos!B4807/$F$2*100,NA()),NA())</f>
        <v/>
      </c>
      <c r="C4807" s="27">
        <f>IFERROR(IF(ISNUMBER(Datos!C4807),Datos!C4807/$F$3*100,NA()),NA())</f>
        <v/>
      </c>
    </row>
    <row r="4808">
      <c r="A4808" s="7">
        <f>IFERROR(Datos!A4808,"")</f>
        <v/>
      </c>
      <c r="B4808" s="27">
        <f>IFERROR(IF(ISNUMBER(Datos!B4808),Datos!B4808/$F$2*100,NA()),NA())</f>
        <v/>
      </c>
      <c r="C4808" s="27">
        <f>IFERROR(IF(ISNUMBER(Datos!C4808),Datos!C4808/$F$3*100,NA()),NA())</f>
        <v/>
      </c>
    </row>
    <row r="4809">
      <c r="A4809" s="7">
        <f>IFERROR(Datos!A4809,"")</f>
        <v/>
      </c>
      <c r="B4809" s="27">
        <f>IFERROR(IF(ISNUMBER(Datos!B4809),Datos!B4809/$F$2*100,NA()),NA())</f>
        <v/>
      </c>
      <c r="C4809" s="27">
        <f>IFERROR(IF(ISNUMBER(Datos!C4809),Datos!C4809/$F$3*100,NA()),NA())</f>
        <v/>
      </c>
    </row>
    <row r="4810">
      <c r="A4810" s="7">
        <f>IFERROR(Datos!A4810,"")</f>
        <v/>
      </c>
      <c r="B4810" s="27">
        <f>IFERROR(IF(ISNUMBER(Datos!B4810),Datos!B4810/$F$2*100,NA()),NA())</f>
        <v/>
      </c>
      <c r="C4810" s="27">
        <f>IFERROR(IF(ISNUMBER(Datos!C4810),Datos!C4810/$F$3*100,NA()),NA())</f>
        <v/>
      </c>
    </row>
    <row r="4811">
      <c r="A4811" s="7">
        <f>IFERROR(Datos!A4811,"")</f>
        <v/>
      </c>
      <c r="B4811" s="27">
        <f>IFERROR(IF(ISNUMBER(Datos!B4811),Datos!B4811/$F$2*100,NA()),NA())</f>
        <v/>
      </c>
      <c r="C4811" s="27">
        <f>IFERROR(IF(ISNUMBER(Datos!C4811),Datos!C4811/$F$3*100,NA()),NA())</f>
        <v/>
      </c>
    </row>
    <row r="4812">
      <c r="A4812" s="7">
        <f>IFERROR(Datos!A4812,"")</f>
        <v/>
      </c>
      <c r="B4812" s="27">
        <f>IFERROR(IF(ISNUMBER(Datos!B4812),Datos!B4812/$F$2*100,NA()),NA())</f>
        <v/>
      </c>
      <c r="C4812" s="27">
        <f>IFERROR(IF(ISNUMBER(Datos!C4812),Datos!C4812/$F$3*100,NA()),NA())</f>
        <v/>
      </c>
    </row>
    <row r="4813">
      <c r="A4813" s="7">
        <f>IFERROR(Datos!A4813,"")</f>
        <v/>
      </c>
      <c r="B4813" s="27">
        <f>IFERROR(IF(ISNUMBER(Datos!B4813),Datos!B4813/$F$2*100,NA()),NA())</f>
        <v/>
      </c>
      <c r="C4813" s="27">
        <f>IFERROR(IF(ISNUMBER(Datos!C4813),Datos!C4813/$F$3*100,NA()),NA())</f>
        <v/>
      </c>
    </row>
    <row r="4814">
      <c r="A4814" s="7">
        <f>IFERROR(Datos!A4814,"")</f>
        <v/>
      </c>
      <c r="B4814" s="27">
        <f>IFERROR(IF(ISNUMBER(Datos!B4814),Datos!B4814/$F$2*100,NA()),NA())</f>
        <v/>
      </c>
      <c r="C4814" s="27">
        <f>IFERROR(IF(ISNUMBER(Datos!C4814),Datos!C4814/$F$3*100,NA()),NA())</f>
        <v/>
      </c>
    </row>
    <row r="4815">
      <c r="A4815" s="7">
        <f>IFERROR(Datos!A4815,"")</f>
        <v/>
      </c>
      <c r="B4815" s="27">
        <f>IFERROR(IF(ISNUMBER(Datos!B4815),Datos!B4815/$F$2*100,NA()),NA())</f>
        <v/>
      </c>
      <c r="C4815" s="27">
        <f>IFERROR(IF(ISNUMBER(Datos!C4815),Datos!C4815/$F$3*100,NA()),NA())</f>
        <v/>
      </c>
    </row>
    <row r="4816">
      <c r="A4816" s="7">
        <f>IFERROR(Datos!A4816,"")</f>
        <v/>
      </c>
      <c r="B4816" s="27">
        <f>IFERROR(IF(ISNUMBER(Datos!B4816),Datos!B4816/$F$2*100,NA()),NA())</f>
        <v/>
      </c>
      <c r="C4816" s="27">
        <f>IFERROR(IF(ISNUMBER(Datos!C4816),Datos!C4816/$F$3*100,NA()),NA())</f>
        <v/>
      </c>
    </row>
    <row r="4817">
      <c r="A4817" s="7">
        <f>IFERROR(Datos!A4817,"")</f>
        <v/>
      </c>
      <c r="B4817" s="27">
        <f>IFERROR(IF(ISNUMBER(Datos!B4817),Datos!B4817/$F$2*100,NA()),NA())</f>
        <v/>
      </c>
      <c r="C4817" s="27">
        <f>IFERROR(IF(ISNUMBER(Datos!C4817),Datos!C4817/$F$3*100,NA()),NA())</f>
        <v/>
      </c>
    </row>
    <row r="4818">
      <c r="A4818" s="7">
        <f>IFERROR(Datos!A4818,"")</f>
        <v/>
      </c>
      <c r="B4818" s="27">
        <f>IFERROR(IF(ISNUMBER(Datos!B4818),Datos!B4818/$F$2*100,NA()),NA())</f>
        <v/>
      </c>
      <c r="C4818" s="27">
        <f>IFERROR(IF(ISNUMBER(Datos!C4818),Datos!C4818/$F$3*100,NA()),NA())</f>
        <v/>
      </c>
    </row>
    <row r="4819">
      <c r="A4819" s="7">
        <f>IFERROR(Datos!A4819,"")</f>
        <v/>
      </c>
      <c r="B4819" s="27">
        <f>IFERROR(IF(ISNUMBER(Datos!B4819),Datos!B4819/$F$2*100,NA()),NA())</f>
        <v/>
      </c>
      <c r="C4819" s="27">
        <f>IFERROR(IF(ISNUMBER(Datos!C4819),Datos!C4819/$F$3*100,NA()),NA())</f>
        <v/>
      </c>
    </row>
    <row r="4820">
      <c r="A4820" s="7">
        <f>IFERROR(Datos!A4820,"")</f>
        <v/>
      </c>
      <c r="B4820" s="27">
        <f>IFERROR(IF(ISNUMBER(Datos!B4820),Datos!B4820/$F$2*100,NA()),NA())</f>
        <v/>
      </c>
      <c r="C4820" s="27">
        <f>IFERROR(IF(ISNUMBER(Datos!C4820),Datos!C4820/$F$3*100,NA()),NA())</f>
        <v/>
      </c>
    </row>
    <row r="4821">
      <c r="A4821" s="7">
        <f>IFERROR(Datos!A4821,"")</f>
        <v/>
      </c>
      <c r="B4821" s="27">
        <f>IFERROR(IF(ISNUMBER(Datos!B4821),Datos!B4821/$F$2*100,NA()),NA())</f>
        <v/>
      </c>
      <c r="C4821" s="27">
        <f>IFERROR(IF(ISNUMBER(Datos!C4821),Datos!C4821/$F$3*100,NA()),NA())</f>
        <v/>
      </c>
    </row>
    <row r="4822">
      <c r="A4822" s="7">
        <f>IFERROR(Datos!A4822,"")</f>
        <v/>
      </c>
      <c r="B4822" s="27">
        <f>IFERROR(IF(ISNUMBER(Datos!B4822),Datos!B4822/$F$2*100,NA()),NA())</f>
        <v/>
      </c>
      <c r="C4822" s="27">
        <f>IFERROR(IF(ISNUMBER(Datos!C4822),Datos!C4822/$F$3*100,NA()),NA())</f>
        <v/>
      </c>
    </row>
    <row r="4823">
      <c r="A4823" s="7">
        <f>IFERROR(Datos!A4823,"")</f>
        <v/>
      </c>
      <c r="B4823" s="27">
        <f>IFERROR(IF(ISNUMBER(Datos!B4823),Datos!B4823/$F$2*100,NA()),NA())</f>
        <v/>
      </c>
      <c r="C4823" s="27">
        <f>IFERROR(IF(ISNUMBER(Datos!C4823),Datos!C4823/$F$3*100,NA()),NA())</f>
        <v/>
      </c>
    </row>
    <row r="4824">
      <c r="A4824" s="7">
        <f>IFERROR(Datos!A4824,"")</f>
        <v/>
      </c>
      <c r="B4824" s="27">
        <f>IFERROR(IF(ISNUMBER(Datos!B4824),Datos!B4824/$F$2*100,NA()),NA())</f>
        <v/>
      </c>
      <c r="C4824" s="27">
        <f>IFERROR(IF(ISNUMBER(Datos!C4824),Datos!C4824/$F$3*100,NA()),NA())</f>
        <v/>
      </c>
    </row>
    <row r="4825">
      <c r="A4825" s="7">
        <f>IFERROR(Datos!A4825,"")</f>
        <v/>
      </c>
      <c r="B4825" s="27">
        <f>IFERROR(IF(ISNUMBER(Datos!B4825),Datos!B4825/$F$2*100,NA()),NA())</f>
        <v/>
      </c>
      <c r="C4825" s="27">
        <f>IFERROR(IF(ISNUMBER(Datos!C4825),Datos!C4825/$F$3*100,NA()),NA())</f>
        <v/>
      </c>
    </row>
    <row r="4826">
      <c r="A4826" s="7">
        <f>IFERROR(Datos!A4826,"")</f>
        <v/>
      </c>
      <c r="B4826" s="27">
        <f>IFERROR(IF(ISNUMBER(Datos!B4826),Datos!B4826/$F$2*100,NA()),NA())</f>
        <v/>
      </c>
      <c r="C4826" s="27">
        <f>IFERROR(IF(ISNUMBER(Datos!C4826),Datos!C4826/$F$3*100,NA()),NA())</f>
        <v/>
      </c>
    </row>
    <row r="4827">
      <c r="A4827" s="7">
        <f>IFERROR(Datos!A4827,"")</f>
        <v/>
      </c>
      <c r="B4827" s="27">
        <f>IFERROR(IF(ISNUMBER(Datos!B4827),Datos!B4827/$F$2*100,NA()),NA())</f>
        <v/>
      </c>
      <c r="C4827" s="27">
        <f>IFERROR(IF(ISNUMBER(Datos!C4827),Datos!C4827/$F$3*100,NA()),NA())</f>
        <v/>
      </c>
    </row>
    <row r="4828">
      <c r="A4828" s="7">
        <f>IFERROR(Datos!A4828,"")</f>
        <v/>
      </c>
      <c r="B4828" s="27">
        <f>IFERROR(IF(ISNUMBER(Datos!B4828),Datos!B4828/$F$2*100,NA()),NA())</f>
        <v/>
      </c>
      <c r="C4828" s="27">
        <f>IFERROR(IF(ISNUMBER(Datos!C4828),Datos!C4828/$F$3*100,NA()),NA())</f>
        <v/>
      </c>
    </row>
    <row r="4829">
      <c r="A4829" s="7">
        <f>IFERROR(Datos!A4829,"")</f>
        <v/>
      </c>
      <c r="B4829" s="27">
        <f>IFERROR(IF(ISNUMBER(Datos!B4829),Datos!B4829/$F$2*100,NA()),NA())</f>
        <v/>
      </c>
      <c r="C4829" s="27">
        <f>IFERROR(IF(ISNUMBER(Datos!C4829),Datos!C4829/$F$3*100,NA()),NA())</f>
        <v/>
      </c>
    </row>
    <row r="4830">
      <c r="A4830" s="7">
        <f>IFERROR(Datos!A4830,"")</f>
        <v/>
      </c>
      <c r="B4830" s="27">
        <f>IFERROR(IF(ISNUMBER(Datos!B4830),Datos!B4830/$F$2*100,NA()),NA())</f>
        <v/>
      </c>
      <c r="C4830" s="27">
        <f>IFERROR(IF(ISNUMBER(Datos!C4830),Datos!C4830/$F$3*100,NA()),NA())</f>
        <v/>
      </c>
    </row>
    <row r="4831">
      <c r="A4831" s="7">
        <f>IFERROR(Datos!A4831,"")</f>
        <v/>
      </c>
      <c r="B4831" s="27">
        <f>IFERROR(IF(ISNUMBER(Datos!B4831),Datos!B4831/$F$2*100,NA()),NA())</f>
        <v/>
      </c>
      <c r="C4831" s="27">
        <f>IFERROR(IF(ISNUMBER(Datos!C4831),Datos!C4831/$F$3*100,NA()),NA())</f>
        <v/>
      </c>
    </row>
    <row r="4832">
      <c r="A4832" s="7">
        <f>IFERROR(Datos!A4832,"")</f>
        <v/>
      </c>
      <c r="B4832" s="27">
        <f>IFERROR(IF(ISNUMBER(Datos!B4832),Datos!B4832/$F$2*100,NA()),NA())</f>
        <v/>
      </c>
      <c r="C4832" s="27">
        <f>IFERROR(IF(ISNUMBER(Datos!C4832),Datos!C4832/$F$3*100,NA()),NA())</f>
        <v/>
      </c>
    </row>
    <row r="4833">
      <c r="A4833" s="7">
        <f>IFERROR(Datos!A4833,"")</f>
        <v/>
      </c>
      <c r="B4833" s="27">
        <f>IFERROR(IF(ISNUMBER(Datos!B4833),Datos!B4833/$F$2*100,NA()),NA())</f>
        <v/>
      </c>
      <c r="C4833" s="27">
        <f>IFERROR(IF(ISNUMBER(Datos!C4833),Datos!C4833/$F$3*100,NA()),NA())</f>
        <v/>
      </c>
    </row>
    <row r="4834">
      <c r="A4834" s="7">
        <f>IFERROR(Datos!A4834,"")</f>
        <v/>
      </c>
      <c r="B4834" s="27">
        <f>IFERROR(IF(ISNUMBER(Datos!B4834),Datos!B4834/$F$2*100,NA()),NA())</f>
        <v/>
      </c>
      <c r="C4834" s="27">
        <f>IFERROR(IF(ISNUMBER(Datos!C4834),Datos!C4834/$F$3*100,NA()),NA())</f>
        <v/>
      </c>
    </row>
    <row r="4835">
      <c r="A4835" s="7">
        <f>IFERROR(Datos!A4835,"")</f>
        <v/>
      </c>
      <c r="B4835" s="27">
        <f>IFERROR(IF(ISNUMBER(Datos!B4835),Datos!B4835/$F$2*100,NA()),NA())</f>
        <v/>
      </c>
      <c r="C4835" s="27">
        <f>IFERROR(IF(ISNUMBER(Datos!C4835),Datos!C4835/$F$3*100,NA()),NA())</f>
        <v/>
      </c>
    </row>
    <row r="4836">
      <c r="A4836" s="7">
        <f>IFERROR(Datos!A4836,"")</f>
        <v/>
      </c>
      <c r="B4836" s="27">
        <f>IFERROR(IF(ISNUMBER(Datos!B4836),Datos!B4836/$F$2*100,NA()),NA())</f>
        <v/>
      </c>
      <c r="C4836" s="27">
        <f>IFERROR(IF(ISNUMBER(Datos!C4836),Datos!C4836/$F$3*100,NA()),NA())</f>
        <v/>
      </c>
    </row>
    <row r="4837">
      <c r="A4837" s="7">
        <f>IFERROR(Datos!A4837,"")</f>
        <v/>
      </c>
      <c r="B4837" s="27">
        <f>IFERROR(IF(ISNUMBER(Datos!B4837),Datos!B4837/$F$2*100,NA()),NA())</f>
        <v/>
      </c>
      <c r="C4837" s="27">
        <f>IFERROR(IF(ISNUMBER(Datos!C4837),Datos!C4837/$F$3*100,NA()),NA())</f>
        <v/>
      </c>
    </row>
    <row r="4838">
      <c r="A4838" s="7">
        <f>IFERROR(Datos!A4838,"")</f>
        <v/>
      </c>
      <c r="B4838" s="27">
        <f>IFERROR(IF(ISNUMBER(Datos!B4838),Datos!B4838/$F$2*100,NA()),NA())</f>
        <v/>
      </c>
      <c r="C4838" s="27">
        <f>IFERROR(IF(ISNUMBER(Datos!C4838),Datos!C4838/$F$3*100,NA()),NA())</f>
        <v/>
      </c>
    </row>
    <row r="4839">
      <c r="A4839" s="7">
        <f>IFERROR(Datos!A4839,"")</f>
        <v/>
      </c>
      <c r="B4839" s="27">
        <f>IFERROR(IF(ISNUMBER(Datos!B4839),Datos!B4839/$F$2*100,NA()),NA())</f>
        <v/>
      </c>
      <c r="C4839" s="27">
        <f>IFERROR(IF(ISNUMBER(Datos!C4839),Datos!C4839/$F$3*100,NA()),NA())</f>
        <v/>
      </c>
    </row>
    <row r="4840">
      <c r="A4840" s="7">
        <f>IFERROR(Datos!A4840,"")</f>
        <v/>
      </c>
      <c r="B4840" s="27">
        <f>IFERROR(IF(ISNUMBER(Datos!B4840),Datos!B4840/$F$2*100,NA()),NA())</f>
        <v/>
      </c>
      <c r="C4840" s="27">
        <f>IFERROR(IF(ISNUMBER(Datos!C4840),Datos!C4840/$F$3*100,NA()),NA())</f>
        <v/>
      </c>
    </row>
    <row r="4841">
      <c r="A4841" s="7">
        <f>IFERROR(Datos!A4841,"")</f>
        <v/>
      </c>
      <c r="B4841" s="27">
        <f>IFERROR(IF(ISNUMBER(Datos!B4841),Datos!B4841/$F$2*100,NA()),NA())</f>
        <v/>
      </c>
      <c r="C4841" s="27">
        <f>IFERROR(IF(ISNUMBER(Datos!C4841),Datos!C4841/$F$3*100,NA()),NA())</f>
        <v/>
      </c>
    </row>
    <row r="4842">
      <c r="A4842" s="7">
        <f>IFERROR(Datos!A4842,"")</f>
        <v/>
      </c>
      <c r="B4842" s="27">
        <f>IFERROR(IF(ISNUMBER(Datos!B4842),Datos!B4842/$F$2*100,NA()),NA())</f>
        <v/>
      </c>
      <c r="C4842" s="27">
        <f>IFERROR(IF(ISNUMBER(Datos!C4842),Datos!C4842/$F$3*100,NA()),NA())</f>
        <v/>
      </c>
    </row>
    <row r="4843">
      <c r="A4843" s="7">
        <f>IFERROR(Datos!A4843,"")</f>
        <v/>
      </c>
      <c r="B4843" s="27">
        <f>IFERROR(IF(ISNUMBER(Datos!B4843),Datos!B4843/$F$2*100,NA()),NA())</f>
        <v/>
      </c>
      <c r="C4843" s="27">
        <f>IFERROR(IF(ISNUMBER(Datos!C4843),Datos!C4843/$F$3*100,NA()),NA())</f>
        <v/>
      </c>
    </row>
    <row r="4844">
      <c r="A4844" s="7">
        <f>IFERROR(Datos!A4844,"")</f>
        <v/>
      </c>
      <c r="B4844" s="27">
        <f>IFERROR(IF(ISNUMBER(Datos!B4844),Datos!B4844/$F$2*100,NA()),NA())</f>
        <v/>
      </c>
      <c r="C4844" s="27">
        <f>IFERROR(IF(ISNUMBER(Datos!C4844),Datos!C4844/$F$3*100,NA()),NA())</f>
        <v/>
      </c>
    </row>
    <row r="4845">
      <c r="A4845" s="7">
        <f>IFERROR(Datos!A4845,"")</f>
        <v/>
      </c>
      <c r="B4845" s="27">
        <f>IFERROR(IF(ISNUMBER(Datos!B4845),Datos!B4845/$F$2*100,NA()),NA())</f>
        <v/>
      </c>
      <c r="C4845" s="27">
        <f>IFERROR(IF(ISNUMBER(Datos!C4845),Datos!C4845/$F$3*100,NA()),NA())</f>
        <v/>
      </c>
    </row>
    <row r="4846">
      <c r="A4846" s="7">
        <f>IFERROR(Datos!A4846,"")</f>
        <v/>
      </c>
      <c r="B4846" s="27">
        <f>IFERROR(IF(ISNUMBER(Datos!B4846),Datos!B4846/$F$2*100,NA()),NA())</f>
        <v/>
      </c>
      <c r="C4846" s="27">
        <f>IFERROR(IF(ISNUMBER(Datos!C4846),Datos!C4846/$F$3*100,NA()),NA())</f>
        <v/>
      </c>
    </row>
    <row r="4847">
      <c r="A4847" s="7">
        <f>IFERROR(Datos!A4847,"")</f>
        <v/>
      </c>
      <c r="B4847" s="27">
        <f>IFERROR(IF(ISNUMBER(Datos!B4847),Datos!B4847/$F$2*100,NA()),NA())</f>
        <v/>
      </c>
      <c r="C4847" s="27">
        <f>IFERROR(IF(ISNUMBER(Datos!C4847),Datos!C4847/$F$3*100,NA()),NA())</f>
        <v/>
      </c>
    </row>
    <row r="4848">
      <c r="A4848" s="7">
        <f>IFERROR(Datos!A4848,"")</f>
        <v/>
      </c>
      <c r="B4848" s="27">
        <f>IFERROR(IF(ISNUMBER(Datos!B4848),Datos!B4848/$F$2*100,NA()),NA())</f>
        <v/>
      </c>
      <c r="C4848" s="27">
        <f>IFERROR(IF(ISNUMBER(Datos!C4848),Datos!C4848/$F$3*100,NA()),NA())</f>
        <v/>
      </c>
    </row>
    <row r="4849">
      <c r="A4849" s="7">
        <f>IFERROR(Datos!A4849,"")</f>
        <v/>
      </c>
      <c r="B4849" s="27">
        <f>IFERROR(IF(ISNUMBER(Datos!B4849),Datos!B4849/$F$2*100,NA()),NA())</f>
        <v/>
      </c>
      <c r="C4849" s="27">
        <f>IFERROR(IF(ISNUMBER(Datos!C4849),Datos!C4849/$F$3*100,NA()),NA())</f>
        <v/>
      </c>
    </row>
    <row r="4850">
      <c r="A4850" s="7">
        <f>IFERROR(Datos!A4850,"")</f>
        <v/>
      </c>
      <c r="B4850" s="27">
        <f>IFERROR(IF(ISNUMBER(Datos!B4850),Datos!B4850/$F$2*100,NA()),NA())</f>
        <v/>
      </c>
      <c r="C4850" s="27">
        <f>IFERROR(IF(ISNUMBER(Datos!C4850),Datos!C4850/$F$3*100,NA()),NA())</f>
        <v/>
      </c>
    </row>
    <row r="4851">
      <c r="A4851" s="7">
        <f>IFERROR(Datos!A4851,"")</f>
        <v/>
      </c>
      <c r="B4851" s="27">
        <f>IFERROR(IF(ISNUMBER(Datos!B4851),Datos!B4851/$F$2*100,NA()),NA())</f>
        <v/>
      </c>
      <c r="C4851" s="27">
        <f>IFERROR(IF(ISNUMBER(Datos!C4851),Datos!C4851/$F$3*100,NA()),NA())</f>
        <v/>
      </c>
    </row>
    <row r="4852">
      <c r="A4852" s="7">
        <f>IFERROR(Datos!A4852,"")</f>
        <v/>
      </c>
      <c r="B4852" s="27">
        <f>IFERROR(IF(ISNUMBER(Datos!B4852),Datos!B4852/$F$2*100,NA()),NA())</f>
        <v/>
      </c>
      <c r="C4852" s="27">
        <f>IFERROR(IF(ISNUMBER(Datos!C4852),Datos!C4852/$F$3*100,NA()),NA())</f>
        <v/>
      </c>
    </row>
    <row r="4853">
      <c r="A4853" s="7">
        <f>IFERROR(Datos!A4853,"")</f>
        <v/>
      </c>
      <c r="B4853" s="27">
        <f>IFERROR(IF(ISNUMBER(Datos!B4853),Datos!B4853/$F$2*100,NA()),NA())</f>
        <v/>
      </c>
      <c r="C4853" s="27">
        <f>IFERROR(IF(ISNUMBER(Datos!C4853),Datos!C4853/$F$3*100,NA()),NA())</f>
        <v/>
      </c>
    </row>
    <row r="4854">
      <c r="A4854" s="7">
        <f>IFERROR(Datos!A4854,"")</f>
        <v/>
      </c>
      <c r="B4854" s="27">
        <f>IFERROR(IF(ISNUMBER(Datos!B4854),Datos!B4854/$F$2*100,NA()),NA())</f>
        <v/>
      </c>
      <c r="C4854" s="27">
        <f>IFERROR(IF(ISNUMBER(Datos!C4854),Datos!C4854/$F$3*100,NA()),NA())</f>
        <v/>
      </c>
    </row>
    <row r="4855">
      <c r="A4855" s="7">
        <f>IFERROR(Datos!A4855,"")</f>
        <v/>
      </c>
      <c r="B4855" s="27">
        <f>IFERROR(IF(ISNUMBER(Datos!B4855),Datos!B4855/$F$2*100,NA()),NA())</f>
        <v/>
      </c>
      <c r="C4855" s="27">
        <f>IFERROR(IF(ISNUMBER(Datos!C4855),Datos!C4855/$F$3*100,NA()),NA())</f>
        <v/>
      </c>
    </row>
    <row r="4856">
      <c r="A4856" s="7">
        <f>IFERROR(Datos!A4856,"")</f>
        <v/>
      </c>
      <c r="B4856" s="27">
        <f>IFERROR(IF(ISNUMBER(Datos!B4856),Datos!B4856/$F$2*100,NA()),NA())</f>
        <v/>
      </c>
      <c r="C4856" s="27">
        <f>IFERROR(IF(ISNUMBER(Datos!C4856),Datos!C4856/$F$3*100,NA()),NA())</f>
        <v/>
      </c>
    </row>
    <row r="4857">
      <c r="A4857" s="7">
        <f>IFERROR(Datos!A4857,"")</f>
        <v/>
      </c>
      <c r="B4857" s="27">
        <f>IFERROR(IF(ISNUMBER(Datos!B4857),Datos!B4857/$F$2*100,NA()),NA())</f>
        <v/>
      </c>
      <c r="C4857" s="27">
        <f>IFERROR(IF(ISNUMBER(Datos!C4857),Datos!C4857/$F$3*100,NA()),NA())</f>
        <v/>
      </c>
    </row>
    <row r="4858">
      <c r="A4858" s="7">
        <f>IFERROR(Datos!A4858,"")</f>
        <v/>
      </c>
      <c r="B4858" s="27">
        <f>IFERROR(IF(ISNUMBER(Datos!B4858),Datos!B4858/$F$2*100,NA()),NA())</f>
        <v/>
      </c>
      <c r="C4858" s="27">
        <f>IFERROR(IF(ISNUMBER(Datos!C4858),Datos!C4858/$F$3*100,NA()),NA())</f>
        <v/>
      </c>
    </row>
    <row r="4859">
      <c r="A4859" s="7">
        <f>IFERROR(Datos!A4859,"")</f>
        <v/>
      </c>
      <c r="B4859" s="27">
        <f>IFERROR(IF(ISNUMBER(Datos!B4859),Datos!B4859/$F$2*100,NA()),NA())</f>
        <v/>
      </c>
      <c r="C4859" s="27">
        <f>IFERROR(IF(ISNUMBER(Datos!C4859),Datos!C4859/$F$3*100,NA()),NA())</f>
        <v/>
      </c>
    </row>
    <row r="4860">
      <c r="A4860" s="7">
        <f>IFERROR(Datos!A4860,"")</f>
        <v/>
      </c>
      <c r="B4860" s="27">
        <f>IFERROR(IF(ISNUMBER(Datos!B4860),Datos!B4860/$F$2*100,NA()),NA())</f>
        <v/>
      </c>
      <c r="C4860" s="27">
        <f>IFERROR(IF(ISNUMBER(Datos!C4860),Datos!C4860/$F$3*100,NA()),NA())</f>
        <v/>
      </c>
    </row>
    <row r="4861">
      <c r="A4861" s="7">
        <f>IFERROR(Datos!A4861,"")</f>
        <v/>
      </c>
      <c r="B4861" s="27">
        <f>IFERROR(IF(ISNUMBER(Datos!B4861),Datos!B4861/$F$2*100,NA()),NA())</f>
        <v/>
      </c>
      <c r="C4861" s="27">
        <f>IFERROR(IF(ISNUMBER(Datos!C4861),Datos!C4861/$F$3*100,NA()),NA())</f>
        <v/>
      </c>
    </row>
    <row r="4862">
      <c r="A4862" s="7">
        <f>IFERROR(Datos!A4862,"")</f>
        <v/>
      </c>
      <c r="B4862" s="27">
        <f>IFERROR(IF(ISNUMBER(Datos!B4862),Datos!B4862/$F$2*100,NA()),NA())</f>
        <v/>
      </c>
      <c r="C4862" s="27">
        <f>IFERROR(IF(ISNUMBER(Datos!C4862),Datos!C4862/$F$3*100,NA()),NA())</f>
        <v/>
      </c>
    </row>
    <row r="4863">
      <c r="A4863" s="7">
        <f>IFERROR(Datos!A4863,"")</f>
        <v/>
      </c>
      <c r="B4863" s="27">
        <f>IFERROR(IF(ISNUMBER(Datos!B4863),Datos!B4863/$F$2*100,NA()),NA())</f>
        <v/>
      </c>
      <c r="C4863" s="27">
        <f>IFERROR(IF(ISNUMBER(Datos!C4863),Datos!C4863/$F$3*100,NA()),NA())</f>
        <v/>
      </c>
    </row>
    <row r="4864">
      <c r="A4864" s="7">
        <f>IFERROR(Datos!A4864,"")</f>
        <v/>
      </c>
      <c r="B4864" s="27">
        <f>IFERROR(IF(ISNUMBER(Datos!B4864),Datos!B4864/$F$2*100,NA()),NA())</f>
        <v/>
      </c>
      <c r="C4864" s="27">
        <f>IFERROR(IF(ISNUMBER(Datos!C4864),Datos!C4864/$F$3*100,NA()),NA())</f>
        <v/>
      </c>
    </row>
    <row r="4865">
      <c r="A4865" s="7">
        <f>IFERROR(Datos!A4865,"")</f>
        <v/>
      </c>
      <c r="B4865" s="27">
        <f>IFERROR(IF(ISNUMBER(Datos!B4865),Datos!B4865/$F$2*100,NA()),NA())</f>
        <v/>
      </c>
      <c r="C4865" s="27">
        <f>IFERROR(IF(ISNUMBER(Datos!C4865),Datos!C4865/$F$3*100,NA()),NA())</f>
        <v/>
      </c>
    </row>
    <row r="4866">
      <c r="A4866" s="7">
        <f>IFERROR(Datos!A4866,"")</f>
        <v/>
      </c>
      <c r="B4866" s="27">
        <f>IFERROR(IF(ISNUMBER(Datos!B4866),Datos!B4866/$F$2*100,NA()),NA())</f>
        <v/>
      </c>
      <c r="C4866" s="27">
        <f>IFERROR(IF(ISNUMBER(Datos!C4866),Datos!C4866/$F$3*100,NA()),NA())</f>
        <v/>
      </c>
    </row>
    <row r="4867">
      <c r="A4867" s="7">
        <f>IFERROR(Datos!A4867,"")</f>
        <v/>
      </c>
      <c r="B4867" s="27">
        <f>IFERROR(IF(ISNUMBER(Datos!B4867),Datos!B4867/$F$2*100,NA()),NA())</f>
        <v/>
      </c>
      <c r="C4867" s="27">
        <f>IFERROR(IF(ISNUMBER(Datos!C4867),Datos!C4867/$F$3*100,NA()),NA())</f>
        <v/>
      </c>
    </row>
    <row r="4868">
      <c r="A4868" s="7">
        <f>IFERROR(Datos!A4868,"")</f>
        <v/>
      </c>
      <c r="B4868" s="27">
        <f>IFERROR(IF(ISNUMBER(Datos!B4868),Datos!B4868/$F$2*100,NA()),NA())</f>
        <v/>
      </c>
      <c r="C4868" s="27">
        <f>IFERROR(IF(ISNUMBER(Datos!C4868),Datos!C4868/$F$3*100,NA()),NA())</f>
        <v/>
      </c>
    </row>
    <row r="4869">
      <c r="A4869" s="7">
        <f>IFERROR(Datos!A4869,"")</f>
        <v/>
      </c>
      <c r="B4869" s="27">
        <f>IFERROR(IF(ISNUMBER(Datos!B4869),Datos!B4869/$F$2*100,NA()),NA())</f>
        <v/>
      </c>
      <c r="C4869" s="27">
        <f>IFERROR(IF(ISNUMBER(Datos!C4869),Datos!C4869/$F$3*100,NA()),NA())</f>
        <v/>
      </c>
    </row>
    <row r="4870">
      <c r="A4870" s="7">
        <f>IFERROR(Datos!A4870,"")</f>
        <v/>
      </c>
      <c r="B4870" s="27">
        <f>IFERROR(IF(ISNUMBER(Datos!B4870),Datos!B4870/$F$2*100,NA()),NA())</f>
        <v/>
      </c>
      <c r="C4870" s="27">
        <f>IFERROR(IF(ISNUMBER(Datos!C4870),Datos!C4870/$F$3*100,NA()),NA())</f>
        <v/>
      </c>
    </row>
    <row r="4871">
      <c r="A4871" s="7">
        <f>IFERROR(Datos!A4871,"")</f>
        <v/>
      </c>
      <c r="B4871" s="27">
        <f>IFERROR(IF(ISNUMBER(Datos!B4871),Datos!B4871/$F$2*100,NA()),NA())</f>
        <v/>
      </c>
      <c r="C4871" s="27">
        <f>IFERROR(IF(ISNUMBER(Datos!C4871),Datos!C4871/$F$3*100,NA()),NA())</f>
        <v/>
      </c>
    </row>
    <row r="4872">
      <c r="A4872" s="7">
        <f>IFERROR(Datos!A4872,"")</f>
        <v/>
      </c>
      <c r="B4872" s="27">
        <f>IFERROR(IF(ISNUMBER(Datos!B4872),Datos!B4872/$F$2*100,NA()),NA())</f>
        <v/>
      </c>
      <c r="C4872" s="27">
        <f>IFERROR(IF(ISNUMBER(Datos!C4872),Datos!C4872/$F$3*100,NA()),NA())</f>
        <v/>
      </c>
    </row>
    <row r="4873">
      <c r="A4873" s="7">
        <f>IFERROR(Datos!A4873,"")</f>
        <v/>
      </c>
      <c r="B4873" s="27">
        <f>IFERROR(IF(ISNUMBER(Datos!B4873),Datos!B4873/$F$2*100,NA()),NA())</f>
        <v/>
      </c>
      <c r="C4873" s="27">
        <f>IFERROR(IF(ISNUMBER(Datos!C4873),Datos!C4873/$F$3*100,NA()),NA())</f>
        <v/>
      </c>
    </row>
    <row r="4874">
      <c r="A4874" s="7">
        <f>IFERROR(Datos!A4874,"")</f>
        <v/>
      </c>
      <c r="B4874" s="27">
        <f>IFERROR(IF(ISNUMBER(Datos!B4874),Datos!B4874/$F$2*100,NA()),NA())</f>
        <v/>
      </c>
      <c r="C4874" s="27">
        <f>IFERROR(IF(ISNUMBER(Datos!C4874),Datos!C4874/$F$3*100,NA()),NA())</f>
        <v/>
      </c>
    </row>
    <row r="4875">
      <c r="A4875" s="7">
        <f>IFERROR(Datos!A4875,"")</f>
        <v/>
      </c>
      <c r="B4875" s="27">
        <f>IFERROR(IF(ISNUMBER(Datos!B4875),Datos!B4875/$F$2*100,NA()),NA())</f>
        <v/>
      </c>
      <c r="C4875" s="27">
        <f>IFERROR(IF(ISNUMBER(Datos!C4875),Datos!C4875/$F$3*100,NA()),NA())</f>
        <v/>
      </c>
    </row>
    <row r="4876">
      <c r="A4876" s="7">
        <f>IFERROR(Datos!A4876,"")</f>
        <v/>
      </c>
      <c r="B4876" s="27">
        <f>IFERROR(IF(ISNUMBER(Datos!B4876),Datos!B4876/$F$2*100,NA()),NA())</f>
        <v/>
      </c>
      <c r="C4876" s="27">
        <f>IFERROR(IF(ISNUMBER(Datos!C4876),Datos!C4876/$F$3*100,NA()),NA())</f>
        <v/>
      </c>
    </row>
    <row r="4877">
      <c r="A4877" s="7">
        <f>IFERROR(Datos!A4877,"")</f>
        <v/>
      </c>
      <c r="B4877" s="27">
        <f>IFERROR(IF(ISNUMBER(Datos!B4877),Datos!B4877/$F$2*100,NA()),NA())</f>
        <v/>
      </c>
      <c r="C4877" s="27">
        <f>IFERROR(IF(ISNUMBER(Datos!C4877),Datos!C4877/$F$3*100,NA()),NA())</f>
        <v/>
      </c>
    </row>
    <row r="4878">
      <c r="A4878" s="7">
        <f>IFERROR(Datos!A4878,"")</f>
        <v/>
      </c>
      <c r="B4878" s="27">
        <f>IFERROR(IF(ISNUMBER(Datos!B4878),Datos!B4878/$F$2*100,NA()),NA())</f>
        <v/>
      </c>
      <c r="C4878" s="27">
        <f>IFERROR(IF(ISNUMBER(Datos!C4878),Datos!C4878/$F$3*100,NA()),NA())</f>
        <v/>
      </c>
    </row>
    <row r="4879">
      <c r="A4879" s="7">
        <f>IFERROR(Datos!A4879,"")</f>
        <v/>
      </c>
      <c r="B4879" s="27">
        <f>IFERROR(IF(ISNUMBER(Datos!B4879),Datos!B4879/$F$2*100,NA()),NA())</f>
        <v/>
      </c>
      <c r="C4879" s="27">
        <f>IFERROR(IF(ISNUMBER(Datos!C4879),Datos!C4879/$F$3*100,NA()),NA())</f>
        <v/>
      </c>
    </row>
    <row r="4880">
      <c r="A4880" s="7">
        <f>IFERROR(Datos!A4880,"")</f>
        <v/>
      </c>
      <c r="B4880" s="27">
        <f>IFERROR(IF(ISNUMBER(Datos!B4880),Datos!B4880/$F$2*100,NA()),NA())</f>
        <v/>
      </c>
      <c r="C4880" s="27">
        <f>IFERROR(IF(ISNUMBER(Datos!C4880),Datos!C4880/$F$3*100,NA()),NA())</f>
        <v/>
      </c>
    </row>
    <row r="4881">
      <c r="A4881" s="7">
        <f>IFERROR(Datos!A4881,"")</f>
        <v/>
      </c>
      <c r="B4881" s="27">
        <f>IFERROR(IF(ISNUMBER(Datos!B4881),Datos!B4881/$F$2*100,NA()),NA())</f>
        <v/>
      </c>
      <c r="C4881" s="27">
        <f>IFERROR(IF(ISNUMBER(Datos!C4881),Datos!C4881/$F$3*100,NA()),NA())</f>
        <v/>
      </c>
    </row>
    <row r="4882">
      <c r="A4882" s="7">
        <f>IFERROR(Datos!A4882,"")</f>
        <v/>
      </c>
      <c r="B4882" s="27">
        <f>IFERROR(IF(ISNUMBER(Datos!B4882),Datos!B4882/$F$2*100,NA()),NA())</f>
        <v/>
      </c>
      <c r="C4882" s="27">
        <f>IFERROR(IF(ISNUMBER(Datos!C4882),Datos!C4882/$F$3*100,NA()),NA())</f>
        <v/>
      </c>
    </row>
    <row r="4883">
      <c r="A4883" s="7">
        <f>IFERROR(Datos!A4883,"")</f>
        <v/>
      </c>
      <c r="B4883" s="27">
        <f>IFERROR(IF(ISNUMBER(Datos!B4883),Datos!B4883/$F$2*100,NA()),NA())</f>
        <v/>
      </c>
      <c r="C4883" s="27">
        <f>IFERROR(IF(ISNUMBER(Datos!C4883),Datos!C4883/$F$3*100,NA()),NA())</f>
        <v/>
      </c>
    </row>
    <row r="4884">
      <c r="A4884" s="7">
        <f>IFERROR(Datos!A4884,"")</f>
        <v/>
      </c>
      <c r="B4884" s="27">
        <f>IFERROR(IF(ISNUMBER(Datos!B4884),Datos!B4884/$F$2*100,NA()),NA())</f>
        <v/>
      </c>
      <c r="C4884" s="27">
        <f>IFERROR(IF(ISNUMBER(Datos!C4884),Datos!C4884/$F$3*100,NA()),NA())</f>
        <v/>
      </c>
    </row>
    <row r="4885">
      <c r="A4885" s="7">
        <f>IFERROR(Datos!A4885,"")</f>
        <v/>
      </c>
      <c r="B4885" s="27">
        <f>IFERROR(IF(ISNUMBER(Datos!B4885),Datos!B4885/$F$2*100,NA()),NA())</f>
        <v/>
      </c>
      <c r="C4885" s="27">
        <f>IFERROR(IF(ISNUMBER(Datos!C4885),Datos!C4885/$F$3*100,NA()),NA())</f>
        <v/>
      </c>
    </row>
    <row r="4886">
      <c r="A4886" s="7">
        <f>IFERROR(Datos!A4886,"")</f>
        <v/>
      </c>
      <c r="B4886" s="27">
        <f>IFERROR(IF(ISNUMBER(Datos!B4886),Datos!B4886/$F$2*100,NA()),NA())</f>
        <v/>
      </c>
      <c r="C4886" s="27">
        <f>IFERROR(IF(ISNUMBER(Datos!C4886),Datos!C4886/$F$3*100,NA()),NA())</f>
        <v/>
      </c>
    </row>
    <row r="4887">
      <c r="A4887" s="7">
        <f>IFERROR(Datos!A4887,"")</f>
        <v/>
      </c>
      <c r="B4887" s="27">
        <f>IFERROR(IF(ISNUMBER(Datos!B4887),Datos!B4887/$F$2*100,NA()),NA())</f>
        <v/>
      </c>
      <c r="C4887" s="27">
        <f>IFERROR(IF(ISNUMBER(Datos!C4887),Datos!C4887/$F$3*100,NA()),NA())</f>
        <v/>
      </c>
    </row>
    <row r="4888">
      <c r="A4888" s="7">
        <f>IFERROR(Datos!A4888,"")</f>
        <v/>
      </c>
      <c r="B4888" s="27">
        <f>IFERROR(IF(ISNUMBER(Datos!B4888),Datos!B4888/$F$2*100,NA()),NA())</f>
        <v/>
      </c>
      <c r="C4888" s="27">
        <f>IFERROR(IF(ISNUMBER(Datos!C4888),Datos!C4888/$F$3*100,NA()),NA())</f>
        <v/>
      </c>
    </row>
    <row r="4889">
      <c r="A4889" s="7">
        <f>IFERROR(Datos!A4889,"")</f>
        <v/>
      </c>
      <c r="B4889" s="27">
        <f>IFERROR(IF(ISNUMBER(Datos!B4889),Datos!B4889/$F$2*100,NA()),NA())</f>
        <v/>
      </c>
      <c r="C4889" s="27">
        <f>IFERROR(IF(ISNUMBER(Datos!C4889),Datos!C4889/$F$3*100,NA()),NA())</f>
        <v/>
      </c>
    </row>
    <row r="4890">
      <c r="A4890" s="7">
        <f>IFERROR(Datos!A4890,"")</f>
        <v/>
      </c>
      <c r="B4890" s="27">
        <f>IFERROR(IF(ISNUMBER(Datos!B4890),Datos!B4890/$F$2*100,NA()),NA())</f>
        <v/>
      </c>
      <c r="C4890" s="27">
        <f>IFERROR(IF(ISNUMBER(Datos!C4890),Datos!C4890/$F$3*100,NA()),NA())</f>
        <v/>
      </c>
    </row>
    <row r="4891">
      <c r="A4891" s="7">
        <f>IFERROR(Datos!A4891,"")</f>
        <v/>
      </c>
      <c r="B4891" s="27">
        <f>IFERROR(IF(ISNUMBER(Datos!B4891),Datos!B4891/$F$2*100,NA()),NA())</f>
        <v/>
      </c>
      <c r="C4891" s="27">
        <f>IFERROR(IF(ISNUMBER(Datos!C4891),Datos!C4891/$F$3*100,NA()),NA())</f>
        <v/>
      </c>
    </row>
    <row r="4892">
      <c r="A4892" s="7">
        <f>IFERROR(Datos!A4892,"")</f>
        <v/>
      </c>
      <c r="B4892" s="27">
        <f>IFERROR(IF(ISNUMBER(Datos!B4892),Datos!B4892/$F$2*100,NA()),NA())</f>
        <v/>
      </c>
      <c r="C4892" s="27">
        <f>IFERROR(IF(ISNUMBER(Datos!C4892),Datos!C4892/$F$3*100,NA()),NA())</f>
        <v/>
      </c>
    </row>
    <row r="4893">
      <c r="A4893" s="7">
        <f>IFERROR(Datos!A4893,"")</f>
        <v/>
      </c>
      <c r="B4893" s="27">
        <f>IFERROR(IF(ISNUMBER(Datos!B4893),Datos!B4893/$F$2*100,NA()),NA())</f>
        <v/>
      </c>
      <c r="C4893" s="27">
        <f>IFERROR(IF(ISNUMBER(Datos!C4893),Datos!C4893/$F$3*100,NA()),NA())</f>
        <v/>
      </c>
    </row>
    <row r="4894">
      <c r="A4894" s="7">
        <f>IFERROR(Datos!A4894,"")</f>
        <v/>
      </c>
      <c r="B4894" s="27">
        <f>IFERROR(IF(ISNUMBER(Datos!B4894),Datos!B4894/$F$2*100,NA()),NA())</f>
        <v/>
      </c>
      <c r="C4894" s="27">
        <f>IFERROR(IF(ISNUMBER(Datos!C4894),Datos!C4894/$F$3*100,NA()),NA())</f>
        <v/>
      </c>
    </row>
    <row r="4895">
      <c r="A4895" s="7">
        <f>IFERROR(Datos!A4895,"")</f>
        <v/>
      </c>
      <c r="B4895" s="27">
        <f>IFERROR(IF(ISNUMBER(Datos!B4895),Datos!B4895/$F$2*100,NA()),NA())</f>
        <v/>
      </c>
      <c r="C4895" s="27">
        <f>IFERROR(IF(ISNUMBER(Datos!C4895),Datos!C4895/$F$3*100,NA()),NA())</f>
        <v/>
      </c>
    </row>
    <row r="4896">
      <c r="A4896" s="7">
        <f>IFERROR(Datos!A4896,"")</f>
        <v/>
      </c>
      <c r="B4896" s="27">
        <f>IFERROR(IF(ISNUMBER(Datos!B4896),Datos!B4896/$F$2*100,NA()),NA())</f>
        <v/>
      </c>
      <c r="C4896" s="27">
        <f>IFERROR(IF(ISNUMBER(Datos!C4896),Datos!C4896/$F$3*100,NA()),NA())</f>
        <v/>
      </c>
    </row>
    <row r="4897">
      <c r="A4897" s="7">
        <f>IFERROR(Datos!A4897,"")</f>
        <v/>
      </c>
      <c r="B4897" s="27">
        <f>IFERROR(IF(ISNUMBER(Datos!B4897),Datos!B4897/$F$2*100,NA()),NA())</f>
        <v/>
      </c>
      <c r="C4897" s="27">
        <f>IFERROR(IF(ISNUMBER(Datos!C4897),Datos!C4897/$F$3*100,NA()),NA())</f>
        <v/>
      </c>
    </row>
    <row r="4898">
      <c r="A4898" s="7">
        <f>IFERROR(Datos!A4898,"")</f>
        <v/>
      </c>
      <c r="B4898" s="27">
        <f>IFERROR(IF(ISNUMBER(Datos!B4898),Datos!B4898/$F$2*100,NA()),NA())</f>
        <v/>
      </c>
      <c r="C4898" s="27">
        <f>IFERROR(IF(ISNUMBER(Datos!C4898),Datos!C4898/$F$3*100,NA()),NA())</f>
        <v/>
      </c>
    </row>
    <row r="4899">
      <c r="A4899" s="7">
        <f>IFERROR(Datos!A4899,"")</f>
        <v/>
      </c>
      <c r="B4899" s="27">
        <f>IFERROR(IF(ISNUMBER(Datos!B4899),Datos!B4899/$F$2*100,NA()),NA())</f>
        <v/>
      </c>
      <c r="C4899" s="27">
        <f>IFERROR(IF(ISNUMBER(Datos!C4899),Datos!C4899/$F$3*100,NA()),NA())</f>
        <v/>
      </c>
    </row>
    <row r="4900">
      <c r="A4900" s="7">
        <f>IFERROR(Datos!A4900,"")</f>
        <v/>
      </c>
      <c r="B4900" s="27">
        <f>IFERROR(IF(ISNUMBER(Datos!B4900),Datos!B4900/$F$2*100,NA()),NA())</f>
        <v/>
      </c>
      <c r="C4900" s="27">
        <f>IFERROR(IF(ISNUMBER(Datos!C4900),Datos!C4900/$F$3*100,NA()),NA())</f>
        <v/>
      </c>
    </row>
    <row r="4901">
      <c r="A4901" s="7">
        <f>IFERROR(Datos!A4901,"")</f>
        <v/>
      </c>
      <c r="B4901" s="27">
        <f>IFERROR(IF(ISNUMBER(Datos!B4901),Datos!B4901/$F$2*100,NA()),NA())</f>
        <v/>
      </c>
      <c r="C4901" s="27">
        <f>IFERROR(IF(ISNUMBER(Datos!C4901),Datos!C4901/$F$3*100,NA()),NA())</f>
        <v/>
      </c>
    </row>
    <row r="4902">
      <c r="A4902" s="7">
        <f>IFERROR(Datos!A4902,"")</f>
        <v/>
      </c>
      <c r="B4902" s="27">
        <f>IFERROR(IF(ISNUMBER(Datos!B4902),Datos!B4902/$F$2*100,NA()),NA())</f>
        <v/>
      </c>
      <c r="C4902" s="27">
        <f>IFERROR(IF(ISNUMBER(Datos!C4902),Datos!C4902/$F$3*100,NA()),NA())</f>
        <v/>
      </c>
    </row>
    <row r="4903">
      <c r="A4903" s="7">
        <f>IFERROR(Datos!A4903,"")</f>
        <v/>
      </c>
      <c r="B4903" s="27">
        <f>IFERROR(IF(ISNUMBER(Datos!B4903),Datos!B4903/$F$2*100,NA()),NA())</f>
        <v/>
      </c>
      <c r="C4903" s="27">
        <f>IFERROR(IF(ISNUMBER(Datos!C4903),Datos!C4903/$F$3*100,NA()),NA())</f>
        <v/>
      </c>
    </row>
    <row r="4904">
      <c r="A4904" s="7">
        <f>IFERROR(Datos!A4904,"")</f>
        <v/>
      </c>
      <c r="B4904" s="27">
        <f>IFERROR(IF(ISNUMBER(Datos!B4904),Datos!B4904/$F$2*100,NA()),NA())</f>
        <v/>
      </c>
      <c r="C4904" s="27">
        <f>IFERROR(IF(ISNUMBER(Datos!C4904),Datos!C4904/$F$3*100,NA()),NA())</f>
        <v/>
      </c>
    </row>
    <row r="4905">
      <c r="A4905" s="7">
        <f>IFERROR(Datos!A4905,"")</f>
        <v/>
      </c>
      <c r="B4905" s="27">
        <f>IFERROR(IF(ISNUMBER(Datos!B4905),Datos!B4905/$F$2*100,NA()),NA())</f>
        <v/>
      </c>
      <c r="C4905" s="27">
        <f>IFERROR(IF(ISNUMBER(Datos!C4905),Datos!C4905/$F$3*100,NA()),NA())</f>
        <v/>
      </c>
    </row>
    <row r="4906">
      <c r="A4906" s="7">
        <f>IFERROR(Datos!A4906,"")</f>
        <v/>
      </c>
      <c r="B4906" s="27">
        <f>IFERROR(IF(ISNUMBER(Datos!B4906),Datos!B4906/$F$2*100,NA()),NA())</f>
        <v/>
      </c>
      <c r="C4906" s="27">
        <f>IFERROR(IF(ISNUMBER(Datos!C4906),Datos!C4906/$F$3*100,NA()),NA())</f>
        <v/>
      </c>
    </row>
    <row r="4907">
      <c r="A4907" s="7">
        <f>IFERROR(Datos!A4907,"")</f>
        <v/>
      </c>
      <c r="B4907" s="27">
        <f>IFERROR(IF(ISNUMBER(Datos!B4907),Datos!B4907/$F$2*100,NA()),NA())</f>
        <v/>
      </c>
      <c r="C4907" s="27">
        <f>IFERROR(IF(ISNUMBER(Datos!C4907),Datos!C4907/$F$3*100,NA()),NA())</f>
        <v/>
      </c>
    </row>
    <row r="4908">
      <c r="A4908" s="7">
        <f>IFERROR(Datos!A4908,"")</f>
        <v/>
      </c>
      <c r="B4908" s="27">
        <f>IFERROR(IF(ISNUMBER(Datos!B4908),Datos!B4908/$F$2*100,NA()),NA())</f>
        <v/>
      </c>
      <c r="C4908" s="27">
        <f>IFERROR(IF(ISNUMBER(Datos!C4908),Datos!C4908/$F$3*100,NA()),NA())</f>
        <v/>
      </c>
    </row>
    <row r="4909">
      <c r="A4909" s="7">
        <f>IFERROR(Datos!A4909,"")</f>
        <v/>
      </c>
      <c r="B4909" s="27">
        <f>IFERROR(IF(ISNUMBER(Datos!B4909),Datos!B4909/$F$2*100,NA()),NA())</f>
        <v/>
      </c>
      <c r="C4909" s="27">
        <f>IFERROR(IF(ISNUMBER(Datos!C4909),Datos!C4909/$F$3*100,NA()),NA())</f>
        <v/>
      </c>
    </row>
    <row r="4910">
      <c r="A4910" s="7">
        <f>IFERROR(Datos!A4910,"")</f>
        <v/>
      </c>
      <c r="B4910" s="27">
        <f>IFERROR(IF(ISNUMBER(Datos!B4910),Datos!B4910/$F$2*100,NA()),NA())</f>
        <v/>
      </c>
      <c r="C4910" s="27">
        <f>IFERROR(IF(ISNUMBER(Datos!C4910),Datos!C4910/$F$3*100,NA()),NA())</f>
        <v/>
      </c>
    </row>
    <row r="4911">
      <c r="A4911" s="7">
        <f>IFERROR(Datos!A4911,"")</f>
        <v/>
      </c>
      <c r="B4911" s="27">
        <f>IFERROR(IF(ISNUMBER(Datos!B4911),Datos!B4911/$F$2*100,NA()),NA())</f>
        <v/>
      </c>
      <c r="C4911" s="27">
        <f>IFERROR(IF(ISNUMBER(Datos!C4911),Datos!C4911/$F$3*100,NA()),NA())</f>
        <v/>
      </c>
    </row>
    <row r="4912">
      <c r="A4912" s="7">
        <f>IFERROR(Datos!A4912,"")</f>
        <v/>
      </c>
      <c r="B4912" s="27">
        <f>IFERROR(IF(ISNUMBER(Datos!B4912),Datos!B4912/$F$2*100,NA()),NA())</f>
        <v/>
      </c>
      <c r="C4912" s="27">
        <f>IFERROR(IF(ISNUMBER(Datos!C4912),Datos!C4912/$F$3*100,NA()),NA())</f>
        <v/>
      </c>
    </row>
    <row r="4913">
      <c r="A4913" s="7">
        <f>IFERROR(Datos!A4913,"")</f>
        <v/>
      </c>
      <c r="B4913" s="27">
        <f>IFERROR(IF(ISNUMBER(Datos!B4913),Datos!B4913/$F$2*100,NA()),NA())</f>
        <v/>
      </c>
      <c r="C4913" s="27">
        <f>IFERROR(IF(ISNUMBER(Datos!C4913),Datos!C4913/$F$3*100,NA()),NA())</f>
        <v/>
      </c>
    </row>
    <row r="4914">
      <c r="A4914" s="7">
        <f>IFERROR(Datos!A4914,"")</f>
        <v/>
      </c>
      <c r="B4914" s="27">
        <f>IFERROR(IF(ISNUMBER(Datos!B4914),Datos!B4914/$F$2*100,NA()),NA())</f>
        <v/>
      </c>
      <c r="C4914" s="27">
        <f>IFERROR(IF(ISNUMBER(Datos!C4914),Datos!C4914/$F$3*100,NA()),NA())</f>
        <v/>
      </c>
    </row>
    <row r="4915">
      <c r="A4915" s="7">
        <f>IFERROR(Datos!A4915,"")</f>
        <v/>
      </c>
      <c r="B4915" s="27">
        <f>IFERROR(IF(ISNUMBER(Datos!B4915),Datos!B4915/$F$2*100,NA()),NA())</f>
        <v/>
      </c>
      <c r="C4915" s="27">
        <f>IFERROR(IF(ISNUMBER(Datos!C4915),Datos!C4915/$F$3*100,NA()),NA())</f>
        <v/>
      </c>
    </row>
    <row r="4916">
      <c r="A4916" s="7">
        <f>IFERROR(Datos!A4916,"")</f>
        <v/>
      </c>
      <c r="B4916" s="27">
        <f>IFERROR(IF(ISNUMBER(Datos!B4916),Datos!B4916/$F$2*100,NA()),NA())</f>
        <v/>
      </c>
      <c r="C4916" s="27">
        <f>IFERROR(IF(ISNUMBER(Datos!C4916),Datos!C4916/$F$3*100,NA()),NA())</f>
        <v/>
      </c>
    </row>
    <row r="4917">
      <c r="A4917" s="7">
        <f>IFERROR(Datos!A4917,"")</f>
        <v/>
      </c>
      <c r="B4917" s="27">
        <f>IFERROR(IF(ISNUMBER(Datos!B4917),Datos!B4917/$F$2*100,NA()),NA())</f>
        <v/>
      </c>
      <c r="C4917" s="27">
        <f>IFERROR(IF(ISNUMBER(Datos!C4917),Datos!C4917/$F$3*100,NA()),NA())</f>
        <v/>
      </c>
    </row>
    <row r="4918">
      <c r="A4918" s="7">
        <f>IFERROR(Datos!A4918,"")</f>
        <v/>
      </c>
      <c r="B4918" s="27">
        <f>IFERROR(IF(ISNUMBER(Datos!B4918),Datos!B4918/$F$2*100,NA()),NA())</f>
        <v/>
      </c>
      <c r="C4918" s="27">
        <f>IFERROR(IF(ISNUMBER(Datos!C4918),Datos!C4918/$F$3*100,NA()),NA())</f>
        <v/>
      </c>
    </row>
    <row r="4919">
      <c r="A4919" s="7">
        <f>IFERROR(Datos!A4919,"")</f>
        <v/>
      </c>
      <c r="B4919" s="27">
        <f>IFERROR(IF(ISNUMBER(Datos!B4919),Datos!B4919/$F$2*100,NA()),NA())</f>
        <v/>
      </c>
      <c r="C4919" s="27">
        <f>IFERROR(IF(ISNUMBER(Datos!C4919),Datos!C4919/$F$3*100,NA()),NA())</f>
        <v/>
      </c>
    </row>
    <row r="4920">
      <c r="A4920" s="7">
        <f>IFERROR(Datos!A4920,"")</f>
        <v/>
      </c>
      <c r="B4920" s="27">
        <f>IFERROR(IF(ISNUMBER(Datos!B4920),Datos!B4920/$F$2*100,NA()),NA())</f>
        <v/>
      </c>
      <c r="C4920" s="27">
        <f>IFERROR(IF(ISNUMBER(Datos!C4920),Datos!C4920/$F$3*100,NA()),NA())</f>
        <v/>
      </c>
    </row>
    <row r="4921">
      <c r="A4921" s="7">
        <f>IFERROR(Datos!A4921,"")</f>
        <v/>
      </c>
      <c r="B4921" s="27">
        <f>IFERROR(IF(ISNUMBER(Datos!B4921),Datos!B4921/$F$2*100,NA()),NA())</f>
        <v/>
      </c>
      <c r="C4921" s="27">
        <f>IFERROR(IF(ISNUMBER(Datos!C4921),Datos!C4921/$F$3*100,NA()),NA())</f>
        <v/>
      </c>
    </row>
    <row r="4922">
      <c r="A4922" s="7">
        <f>IFERROR(Datos!A4922,"")</f>
        <v/>
      </c>
      <c r="B4922" s="27">
        <f>IFERROR(IF(ISNUMBER(Datos!B4922),Datos!B4922/$F$2*100,NA()),NA())</f>
        <v/>
      </c>
      <c r="C4922" s="27">
        <f>IFERROR(IF(ISNUMBER(Datos!C4922),Datos!C4922/$F$3*100,NA()),NA())</f>
        <v/>
      </c>
    </row>
    <row r="4923">
      <c r="A4923" s="7">
        <f>IFERROR(Datos!A4923,"")</f>
        <v/>
      </c>
      <c r="B4923" s="27">
        <f>IFERROR(IF(ISNUMBER(Datos!B4923),Datos!B4923/$F$2*100,NA()),NA())</f>
        <v/>
      </c>
      <c r="C4923" s="27">
        <f>IFERROR(IF(ISNUMBER(Datos!C4923),Datos!C4923/$F$3*100,NA()),NA())</f>
        <v/>
      </c>
    </row>
    <row r="4924">
      <c r="A4924" s="7">
        <f>IFERROR(Datos!A4924,"")</f>
        <v/>
      </c>
      <c r="B4924" s="27">
        <f>IFERROR(IF(ISNUMBER(Datos!B4924),Datos!B4924/$F$2*100,NA()),NA())</f>
        <v/>
      </c>
      <c r="C4924" s="27">
        <f>IFERROR(IF(ISNUMBER(Datos!C4924),Datos!C4924/$F$3*100,NA()),NA())</f>
        <v/>
      </c>
    </row>
    <row r="4925">
      <c r="A4925" s="7">
        <f>IFERROR(Datos!A4925,"")</f>
        <v/>
      </c>
      <c r="B4925" s="27">
        <f>IFERROR(IF(ISNUMBER(Datos!B4925),Datos!B4925/$F$2*100,NA()),NA())</f>
        <v/>
      </c>
      <c r="C4925" s="27">
        <f>IFERROR(IF(ISNUMBER(Datos!C4925),Datos!C4925/$F$3*100,NA()),NA())</f>
        <v/>
      </c>
    </row>
    <row r="4926">
      <c r="A4926" s="7">
        <f>IFERROR(Datos!A4926,"")</f>
        <v/>
      </c>
      <c r="B4926" s="27">
        <f>IFERROR(IF(ISNUMBER(Datos!B4926),Datos!B4926/$F$2*100,NA()),NA())</f>
        <v/>
      </c>
      <c r="C4926" s="27">
        <f>IFERROR(IF(ISNUMBER(Datos!C4926),Datos!C4926/$F$3*100,NA()),NA())</f>
        <v/>
      </c>
    </row>
    <row r="4927">
      <c r="A4927" s="7">
        <f>IFERROR(Datos!A4927,"")</f>
        <v/>
      </c>
      <c r="B4927" s="27">
        <f>IFERROR(IF(ISNUMBER(Datos!B4927),Datos!B4927/$F$2*100,NA()),NA())</f>
        <v/>
      </c>
      <c r="C4927" s="27">
        <f>IFERROR(IF(ISNUMBER(Datos!C4927),Datos!C4927/$F$3*100,NA()),NA())</f>
        <v/>
      </c>
    </row>
    <row r="4928">
      <c r="A4928" s="7">
        <f>IFERROR(Datos!A4928,"")</f>
        <v/>
      </c>
      <c r="B4928" s="27">
        <f>IFERROR(IF(ISNUMBER(Datos!B4928),Datos!B4928/$F$2*100,NA()),NA())</f>
        <v/>
      </c>
      <c r="C4928" s="27">
        <f>IFERROR(IF(ISNUMBER(Datos!C4928),Datos!C4928/$F$3*100,NA()),NA())</f>
        <v/>
      </c>
    </row>
    <row r="4929">
      <c r="A4929" s="7">
        <f>IFERROR(Datos!A4929,"")</f>
        <v/>
      </c>
      <c r="B4929" s="27">
        <f>IFERROR(IF(ISNUMBER(Datos!B4929),Datos!B4929/$F$2*100,NA()),NA())</f>
        <v/>
      </c>
      <c r="C4929" s="27">
        <f>IFERROR(IF(ISNUMBER(Datos!C4929),Datos!C4929/$F$3*100,NA()),NA())</f>
        <v/>
      </c>
    </row>
    <row r="4930">
      <c r="A4930" s="7">
        <f>IFERROR(Datos!A4930,"")</f>
        <v/>
      </c>
      <c r="B4930" s="27">
        <f>IFERROR(IF(ISNUMBER(Datos!B4930),Datos!B4930/$F$2*100,NA()),NA())</f>
        <v/>
      </c>
      <c r="C4930" s="27">
        <f>IFERROR(IF(ISNUMBER(Datos!C4930),Datos!C4930/$F$3*100,NA()),NA())</f>
        <v/>
      </c>
    </row>
    <row r="4931">
      <c r="A4931" s="7">
        <f>IFERROR(Datos!A4931,"")</f>
        <v/>
      </c>
      <c r="B4931" s="27">
        <f>IFERROR(IF(ISNUMBER(Datos!B4931),Datos!B4931/$F$2*100,NA()),NA())</f>
        <v/>
      </c>
      <c r="C4931" s="27">
        <f>IFERROR(IF(ISNUMBER(Datos!C4931),Datos!C4931/$F$3*100,NA()),NA())</f>
        <v/>
      </c>
    </row>
    <row r="4932">
      <c r="A4932" s="7">
        <f>IFERROR(Datos!A4932,"")</f>
        <v/>
      </c>
      <c r="B4932" s="27">
        <f>IFERROR(IF(ISNUMBER(Datos!B4932),Datos!B4932/$F$2*100,NA()),NA())</f>
        <v/>
      </c>
      <c r="C4932" s="27">
        <f>IFERROR(IF(ISNUMBER(Datos!C4932),Datos!C4932/$F$3*100,NA()),NA())</f>
        <v/>
      </c>
    </row>
    <row r="4933">
      <c r="A4933" s="7">
        <f>IFERROR(Datos!A4933,"")</f>
        <v/>
      </c>
      <c r="B4933" s="27">
        <f>IFERROR(IF(ISNUMBER(Datos!B4933),Datos!B4933/$F$2*100,NA()),NA())</f>
        <v/>
      </c>
      <c r="C4933" s="27">
        <f>IFERROR(IF(ISNUMBER(Datos!C4933),Datos!C4933/$F$3*100,NA()),NA())</f>
        <v/>
      </c>
    </row>
    <row r="4934">
      <c r="A4934" s="7">
        <f>IFERROR(Datos!A4934,"")</f>
        <v/>
      </c>
      <c r="B4934" s="27">
        <f>IFERROR(IF(ISNUMBER(Datos!B4934),Datos!B4934/$F$2*100,NA()),NA())</f>
        <v/>
      </c>
      <c r="C4934" s="27">
        <f>IFERROR(IF(ISNUMBER(Datos!C4934),Datos!C4934/$F$3*100,NA()),NA())</f>
        <v/>
      </c>
    </row>
    <row r="4935">
      <c r="A4935" s="7">
        <f>IFERROR(Datos!A4935,"")</f>
        <v/>
      </c>
      <c r="B4935" s="27">
        <f>IFERROR(IF(ISNUMBER(Datos!B4935),Datos!B4935/$F$2*100,NA()),NA())</f>
        <v/>
      </c>
      <c r="C4935" s="27">
        <f>IFERROR(IF(ISNUMBER(Datos!C4935),Datos!C4935/$F$3*100,NA()),NA())</f>
        <v/>
      </c>
    </row>
    <row r="4936">
      <c r="A4936" s="7">
        <f>IFERROR(Datos!A4936,"")</f>
        <v/>
      </c>
      <c r="B4936" s="27">
        <f>IFERROR(IF(ISNUMBER(Datos!B4936),Datos!B4936/$F$2*100,NA()),NA())</f>
        <v/>
      </c>
      <c r="C4936" s="27">
        <f>IFERROR(IF(ISNUMBER(Datos!C4936),Datos!C4936/$F$3*100,NA()),NA())</f>
        <v/>
      </c>
    </row>
    <row r="4937">
      <c r="A4937" s="7">
        <f>IFERROR(Datos!A4937,"")</f>
        <v/>
      </c>
      <c r="B4937" s="27">
        <f>IFERROR(IF(ISNUMBER(Datos!B4937),Datos!B4937/$F$2*100,NA()),NA())</f>
        <v/>
      </c>
      <c r="C4937" s="27">
        <f>IFERROR(IF(ISNUMBER(Datos!C4937),Datos!C4937/$F$3*100,NA()),NA())</f>
        <v/>
      </c>
    </row>
    <row r="4938">
      <c r="A4938" s="7">
        <f>IFERROR(Datos!A4938,"")</f>
        <v/>
      </c>
      <c r="B4938" s="27">
        <f>IFERROR(IF(ISNUMBER(Datos!B4938),Datos!B4938/$F$2*100,NA()),NA())</f>
        <v/>
      </c>
      <c r="C4938" s="27">
        <f>IFERROR(IF(ISNUMBER(Datos!C4938),Datos!C4938/$F$3*100,NA()),NA())</f>
        <v/>
      </c>
    </row>
    <row r="4939">
      <c r="A4939" s="7">
        <f>IFERROR(Datos!A4939,"")</f>
        <v/>
      </c>
      <c r="B4939" s="27">
        <f>IFERROR(IF(ISNUMBER(Datos!B4939),Datos!B4939/$F$2*100,NA()),NA())</f>
        <v/>
      </c>
      <c r="C4939" s="27">
        <f>IFERROR(IF(ISNUMBER(Datos!C4939),Datos!C4939/$F$3*100,NA()),NA())</f>
        <v/>
      </c>
    </row>
    <row r="4940">
      <c r="A4940" s="7">
        <f>IFERROR(Datos!A4940,"")</f>
        <v/>
      </c>
      <c r="B4940" s="27">
        <f>IFERROR(IF(ISNUMBER(Datos!B4940),Datos!B4940/$F$2*100,NA()),NA())</f>
        <v/>
      </c>
      <c r="C4940" s="27">
        <f>IFERROR(IF(ISNUMBER(Datos!C4940),Datos!C4940/$F$3*100,NA()),NA())</f>
        <v/>
      </c>
    </row>
    <row r="4941">
      <c r="A4941" s="7">
        <f>IFERROR(Datos!A4941,"")</f>
        <v/>
      </c>
      <c r="B4941" s="27">
        <f>IFERROR(IF(ISNUMBER(Datos!B4941),Datos!B4941/$F$2*100,NA()),NA())</f>
        <v/>
      </c>
      <c r="C4941" s="27">
        <f>IFERROR(IF(ISNUMBER(Datos!C4941),Datos!C4941/$F$3*100,NA()),NA())</f>
        <v/>
      </c>
    </row>
    <row r="4942">
      <c r="A4942" s="7">
        <f>IFERROR(Datos!A4942,"")</f>
        <v/>
      </c>
      <c r="B4942" s="27">
        <f>IFERROR(IF(ISNUMBER(Datos!B4942),Datos!B4942/$F$2*100,NA()),NA())</f>
        <v/>
      </c>
      <c r="C4942" s="27">
        <f>IFERROR(IF(ISNUMBER(Datos!C4942),Datos!C4942/$F$3*100,NA()),NA())</f>
        <v/>
      </c>
    </row>
    <row r="4943">
      <c r="A4943" s="7">
        <f>IFERROR(Datos!A4943,"")</f>
        <v/>
      </c>
      <c r="B4943" s="27">
        <f>IFERROR(IF(ISNUMBER(Datos!B4943),Datos!B4943/$F$2*100,NA()),NA())</f>
        <v/>
      </c>
      <c r="C4943" s="27">
        <f>IFERROR(IF(ISNUMBER(Datos!C4943),Datos!C4943/$F$3*100,NA()),NA())</f>
        <v/>
      </c>
    </row>
    <row r="4944">
      <c r="A4944" s="7">
        <f>IFERROR(Datos!A4944,"")</f>
        <v/>
      </c>
      <c r="B4944" s="27">
        <f>IFERROR(IF(ISNUMBER(Datos!B4944),Datos!B4944/$F$2*100,NA()),NA())</f>
        <v/>
      </c>
      <c r="C4944" s="27">
        <f>IFERROR(IF(ISNUMBER(Datos!C4944),Datos!C4944/$F$3*100,NA()),NA())</f>
        <v/>
      </c>
    </row>
    <row r="4945">
      <c r="A4945" s="7">
        <f>IFERROR(Datos!A4945,"")</f>
        <v/>
      </c>
      <c r="B4945" s="27">
        <f>IFERROR(IF(ISNUMBER(Datos!B4945),Datos!B4945/$F$2*100,NA()),NA())</f>
        <v/>
      </c>
      <c r="C4945" s="27">
        <f>IFERROR(IF(ISNUMBER(Datos!C4945),Datos!C4945/$F$3*100,NA()),NA())</f>
        <v/>
      </c>
    </row>
    <row r="4946">
      <c r="A4946" s="7">
        <f>IFERROR(Datos!A4946,"")</f>
        <v/>
      </c>
      <c r="B4946" s="27">
        <f>IFERROR(IF(ISNUMBER(Datos!B4946),Datos!B4946/$F$2*100,NA()),NA())</f>
        <v/>
      </c>
      <c r="C4946" s="27">
        <f>IFERROR(IF(ISNUMBER(Datos!C4946),Datos!C4946/$F$3*100,NA()),NA())</f>
        <v/>
      </c>
    </row>
    <row r="4947">
      <c r="A4947" s="7">
        <f>IFERROR(Datos!A4947,"")</f>
        <v/>
      </c>
      <c r="B4947" s="27">
        <f>IFERROR(IF(ISNUMBER(Datos!B4947),Datos!B4947/$F$2*100,NA()),NA())</f>
        <v/>
      </c>
      <c r="C4947" s="27">
        <f>IFERROR(IF(ISNUMBER(Datos!C4947),Datos!C4947/$F$3*100,NA()),NA())</f>
        <v/>
      </c>
    </row>
    <row r="4948">
      <c r="A4948" s="7">
        <f>IFERROR(Datos!A4948,"")</f>
        <v/>
      </c>
      <c r="B4948" s="27">
        <f>IFERROR(IF(ISNUMBER(Datos!B4948),Datos!B4948/$F$2*100,NA()),NA())</f>
        <v/>
      </c>
      <c r="C4948" s="27">
        <f>IFERROR(IF(ISNUMBER(Datos!C4948),Datos!C4948/$F$3*100,NA()),NA())</f>
        <v/>
      </c>
    </row>
    <row r="4949">
      <c r="A4949" s="7">
        <f>IFERROR(Datos!A4949,"")</f>
        <v/>
      </c>
      <c r="B4949" s="27">
        <f>IFERROR(IF(ISNUMBER(Datos!B4949),Datos!B4949/$F$2*100,NA()),NA())</f>
        <v/>
      </c>
      <c r="C4949" s="27">
        <f>IFERROR(IF(ISNUMBER(Datos!C4949),Datos!C4949/$F$3*100,NA()),NA())</f>
        <v/>
      </c>
    </row>
    <row r="4950">
      <c r="A4950" s="7">
        <f>IFERROR(Datos!A4950,"")</f>
        <v/>
      </c>
      <c r="B4950" s="27">
        <f>IFERROR(IF(ISNUMBER(Datos!B4950),Datos!B4950/$F$2*100,NA()),NA())</f>
        <v/>
      </c>
      <c r="C4950" s="27">
        <f>IFERROR(IF(ISNUMBER(Datos!C4950),Datos!C4950/$F$3*100,NA()),NA())</f>
        <v/>
      </c>
    </row>
    <row r="4951">
      <c r="A4951" s="7">
        <f>IFERROR(Datos!A4951,"")</f>
        <v/>
      </c>
      <c r="B4951" s="27">
        <f>IFERROR(IF(ISNUMBER(Datos!B4951),Datos!B4951/$F$2*100,NA()),NA())</f>
        <v/>
      </c>
      <c r="C4951" s="27">
        <f>IFERROR(IF(ISNUMBER(Datos!C4951),Datos!C4951/$F$3*100,NA()),NA())</f>
        <v/>
      </c>
    </row>
    <row r="4952">
      <c r="A4952" s="7">
        <f>IFERROR(Datos!A4952,"")</f>
        <v/>
      </c>
      <c r="B4952" s="27">
        <f>IFERROR(IF(ISNUMBER(Datos!B4952),Datos!B4952/$F$2*100,NA()),NA())</f>
        <v/>
      </c>
      <c r="C4952" s="27">
        <f>IFERROR(IF(ISNUMBER(Datos!C4952),Datos!C4952/$F$3*100,NA()),NA())</f>
        <v/>
      </c>
    </row>
    <row r="4953">
      <c r="A4953" s="7">
        <f>IFERROR(Datos!A4953,"")</f>
        <v/>
      </c>
      <c r="B4953" s="27">
        <f>IFERROR(IF(ISNUMBER(Datos!B4953),Datos!B4953/$F$2*100,NA()),NA())</f>
        <v/>
      </c>
      <c r="C4953" s="27">
        <f>IFERROR(IF(ISNUMBER(Datos!C4953),Datos!C4953/$F$3*100,NA()),NA())</f>
        <v/>
      </c>
    </row>
    <row r="4954">
      <c r="A4954" s="7">
        <f>IFERROR(Datos!A4954,"")</f>
        <v/>
      </c>
      <c r="B4954" s="27">
        <f>IFERROR(IF(ISNUMBER(Datos!B4954),Datos!B4954/$F$2*100,NA()),NA())</f>
        <v/>
      </c>
      <c r="C4954" s="27">
        <f>IFERROR(IF(ISNUMBER(Datos!C4954),Datos!C4954/$F$3*100,NA()),NA())</f>
        <v/>
      </c>
    </row>
    <row r="4955">
      <c r="A4955" s="7">
        <f>IFERROR(Datos!A4955,"")</f>
        <v/>
      </c>
      <c r="B4955" s="27">
        <f>IFERROR(IF(ISNUMBER(Datos!B4955),Datos!B4955/$F$2*100,NA()),NA())</f>
        <v/>
      </c>
      <c r="C4955" s="27">
        <f>IFERROR(IF(ISNUMBER(Datos!C4955),Datos!C4955/$F$3*100,NA()),NA())</f>
        <v/>
      </c>
    </row>
    <row r="4956">
      <c r="A4956" s="7">
        <f>IFERROR(Datos!A4956,"")</f>
        <v/>
      </c>
      <c r="B4956" s="27">
        <f>IFERROR(IF(ISNUMBER(Datos!B4956),Datos!B4956/$F$2*100,NA()),NA())</f>
        <v/>
      </c>
      <c r="C4956" s="27">
        <f>IFERROR(IF(ISNUMBER(Datos!C4956),Datos!C4956/$F$3*100,NA()),NA())</f>
        <v/>
      </c>
    </row>
    <row r="4957">
      <c r="A4957" s="7">
        <f>IFERROR(Datos!A4957,"")</f>
        <v/>
      </c>
      <c r="B4957" s="27">
        <f>IFERROR(IF(ISNUMBER(Datos!B4957),Datos!B4957/$F$2*100,NA()),NA())</f>
        <v/>
      </c>
      <c r="C4957" s="27">
        <f>IFERROR(IF(ISNUMBER(Datos!C4957),Datos!C4957/$F$3*100,NA()),NA())</f>
        <v/>
      </c>
    </row>
    <row r="4958">
      <c r="A4958" s="7">
        <f>IFERROR(Datos!A4958,"")</f>
        <v/>
      </c>
      <c r="B4958" s="27">
        <f>IFERROR(IF(ISNUMBER(Datos!B4958),Datos!B4958/$F$2*100,NA()),NA())</f>
        <v/>
      </c>
      <c r="C4958" s="27">
        <f>IFERROR(IF(ISNUMBER(Datos!C4958),Datos!C4958/$F$3*100,NA()),NA())</f>
        <v/>
      </c>
    </row>
    <row r="4959">
      <c r="A4959" s="7">
        <f>IFERROR(Datos!A4959,"")</f>
        <v/>
      </c>
      <c r="B4959" s="27">
        <f>IFERROR(IF(ISNUMBER(Datos!B4959),Datos!B4959/$F$2*100,NA()),NA())</f>
        <v/>
      </c>
      <c r="C4959" s="27">
        <f>IFERROR(IF(ISNUMBER(Datos!C4959),Datos!C4959/$F$3*100,NA()),NA())</f>
        <v/>
      </c>
    </row>
    <row r="4960">
      <c r="A4960" s="7">
        <f>IFERROR(Datos!A4960,"")</f>
        <v/>
      </c>
      <c r="B4960" s="27">
        <f>IFERROR(IF(ISNUMBER(Datos!B4960),Datos!B4960/$F$2*100,NA()),NA())</f>
        <v/>
      </c>
      <c r="C4960" s="27">
        <f>IFERROR(IF(ISNUMBER(Datos!C4960),Datos!C4960/$F$3*100,NA()),NA())</f>
        <v/>
      </c>
    </row>
    <row r="4961">
      <c r="A4961" s="7">
        <f>IFERROR(Datos!A4961,"")</f>
        <v/>
      </c>
      <c r="B4961" s="27">
        <f>IFERROR(IF(ISNUMBER(Datos!B4961),Datos!B4961/$F$2*100,NA()),NA())</f>
        <v/>
      </c>
      <c r="C4961" s="27">
        <f>IFERROR(IF(ISNUMBER(Datos!C4961),Datos!C4961/$F$3*100,NA()),NA())</f>
        <v/>
      </c>
    </row>
    <row r="4962">
      <c r="A4962" s="7">
        <f>IFERROR(Datos!A4962,"")</f>
        <v/>
      </c>
      <c r="B4962" s="27">
        <f>IFERROR(IF(ISNUMBER(Datos!B4962),Datos!B4962/$F$2*100,NA()),NA())</f>
        <v/>
      </c>
      <c r="C4962" s="27">
        <f>IFERROR(IF(ISNUMBER(Datos!C4962),Datos!C4962/$F$3*100,NA()),NA())</f>
        <v/>
      </c>
    </row>
    <row r="4963">
      <c r="A4963" s="7">
        <f>IFERROR(Datos!A4963,"")</f>
        <v/>
      </c>
      <c r="B4963" s="27">
        <f>IFERROR(IF(ISNUMBER(Datos!B4963),Datos!B4963/$F$2*100,NA()),NA())</f>
        <v/>
      </c>
      <c r="C4963" s="27">
        <f>IFERROR(IF(ISNUMBER(Datos!C4963),Datos!C4963/$F$3*100,NA()),NA())</f>
        <v/>
      </c>
    </row>
    <row r="4964">
      <c r="A4964" s="7">
        <f>IFERROR(Datos!A4964,"")</f>
        <v/>
      </c>
      <c r="B4964" s="27">
        <f>IFERROR(IF(ISNUMBER(Datos!B4964),Datos!B4964/$F$2*100,NA()),NA())</f>
        <v/>
      </c>
      <c r="C4964" s="27">
        <f>IFERROR(IF(ISNUMBER(Datos!C4964),Datos!C4964/$F$3*100,NA()),NA())</f>
        <v/>
      </c>
    </row>
    <row r="4965">
      <c r="A4965" s="7">
        <f>IFERROR(Datos!A4965,"")</f>
        <v/>
      </c>
      <c r="B4965" s="27">
        <f>IFERROR(IF(ISNUMBER(Datos!B4965),Datos!B4965/$F$2*100,NA()),NA())</f>
        <v/>
      </c>
      <c r="C4965" s="27">
        <f>IFERROR(IF(ISNUMBER(Datos!C4965),Datos!C4965/$F$3*100,NA()),NA())</f>
        <v/>
      </c>
    </row>
    <row r="4966">
      <c r="A4966" s="7">
        <f>IFERROR(Datos!A4966,"")</f>
        <v/>
      </c>
      <c r="B4966" s="27">
        <f>IFERROR(IF(ISNUMBER(Datos!B4966),Datos!B4966/$F$2*100,NA()),NA())</f>
        <v/>
      </c>
      <c r="C4966" s="27">
        <f>IFERROR(IF(ISNUMBER(Datos!C4966),Datos!C4966/$F$3*100,NA()),NA())</f>
        <v/>
      </c>
    </row>
    <row r="4967">
      <c r="A4967" s="7">
        <f>IFERROR(Datos!A4967,"")</f>
        <v/>
      </c>
      <c r="B4967" s="27">
        <f>IFERROR(IF(ISNUMBER(Datos!B4967),Datos!B4967/$F$2*100,NA()),NA())</f>
        <v/>
      </c>
      <c r="C4967" s="27">
        <f>IFERROR(IF(ISNUMBER(Datos!C4967),Datos!C4967/$F$3*100,NA()),NA())</f>
        <v/>
      </c>
    </row>
    <row r="4968">
      <c r="A4968" s="7">
        <f>IFERROR(Datos!A4968,"")</f>
        <v/>
      </c>
      <c r="B4968" s="27">
        <f>IFERROR(IF(ISNUMBER(Datos!B4968),Datos!B4968/$F$2*100,NA()),NA())</f>
        <v/>
      </c>
      <c r="C4968" s="27">
        <f>IFERROR(IF(ISNUMBER(Datos!C4968),Datos!C4968/$F$3*100,NA()),NA())</f>
        <v/>
      </c>
    </row>
    <row r="4969">
      <c r="A4969" s="7">
        <f>IFERROR(Datos!A4969,"")</f>
        <v/>
      </c>
      <c r="B4969" s="27">
        <f>IFERROR(IF(ISNUMBER(Datos!B4969),Datos!B4969/$F$2*100,NA()),NA())</f>
        <v/>
      </c>
      <c r="C4969" s="27">
        <f>IFERROR(IF(ISNUMBER(Datos!C4969),Datos!C4969/$F$3*100,NA()),NA())</f>
        <v/>
      </c>
    </row>
    <row r="4970">
      <c r="A4970" s="7">
        <f>IFERROR(Datos!A4970,"")</f>
        <v/>
      </c>
      <c r="B4970" s="27">
        <f>IFERROR(IF(ISNUMBER(Datos!B4970),Datos!B4970/$F$2*100,NA()),NA())</f>
        <v/>
      </c>
      <c r="C4970" s="27">
        <f>IFERROR(IF(ISNUMBER(Datos!C4970),Datos!C4970/$F$3*100,NA()),NA())</f>
        <v/>
      </c>
    </row>
    <row r="4971">
      <c r="A4971" s="7">
        <f>IFERROR(Datos!A4971,"")</f>
        <v/>
      </c>
      <c r="B4971" s="27">
        <f>IFERROR(IF(ISNUMBER(Datos!B4971),Datos!B4971/$F$2*100,NA()),NA())</f>
        <v/>
      </c>
      <c r="C4971" s="27">
        <f>IFERROR(IF(ISNUMBER(Datos!C4971),Datos!C4971/$F$3*100,NA()),NA())</f>
        <v/>
      </c>
    </row>
    <row r="4972">
      <c r="A4972" s="7">
        <f>IFERROR(Datos!A4972,"")</f>
        <v/>
      </c>
      <c r="B4972" s="27">
        <f>IFERROR(IF(ISNUMBER(Datos!B4972),Datos!B4972/$F$2*100,NA()),NA())</f>
        <v/>
      </c>
      <c r="C4972" s="27">
        <f>IFERROR(IF(ISNUMBER(Datos!C4972),Datos!C4972/$F$3*100,NA()),NA())</f>
        <v/>
      </c>
    </row>
    <row r="4973">
      <c r="A4973" s="7">
        <f>IFERROR(Datos!A4973,"")</f>
        <v/>
      </c>
      <c r="B4973" s="27">
        <f>IFERROR(IF(ISNUMBER(Datos!B4973),Datos!B4973/$F$2*100,NA()),NA())</f>
        <v/>
      </c>
      <c r="C4973" s="27">
        <f>IFERROR(IF(ISNUMBER(Datos!C4973),Datos!C4973/$F$3*100,NA()),NA())</f>
        <v/>
      </c>
    </row>
    <row r="4974">
      <c r="A4974" s="7">
        <f>IFERROR(Datos!A4974,"")</f>
        <v/>
      </c>
      <c r="B4974" s="27">
        <f>IFERROR(IF(ISNUMBER(Datos!B4974),Datos!B4974/$F$2*100,NA()),NA())</f>
        <v/>
      </c>
      <c r="C4974" s="27">
        <f>IFERROR(IF(ISNUMBER(Datos!C4974),Datos!C4974/$F$3*100,NA()),NA())</f>
        <v/>
      </c>
    </row>
    <row r="4975">
      <c r="A4975" s="7">
        <f>IFERROR(Datos!A4975,"")</f>
        <v/>
      </c>
      <c r="B4975" s="27">
        <f>IFERROR(IF(ISNUMBER(Datos!B4975),Datos!B4975/$F$2*100,NA()),NA())</f>
        <v/>
      </c>
      <c r="C4975" s="27">
        <f>IFERROR(IF(ISNUMBER(Datos!C4975),Datos!C4975/$F$3*100,NA()),NA())</f>
        <v/>
      </c>
    </row>
    <row r="4976">
      <c r="A4976" s="7">
        <f>IFERROR(Datos!A4976,"")</f>
        <v/>
      </c>
      <c r="B4976" s="27">
        <f>IFERROR(IF(ISNUMBER(Datos!B4976),Datos!B4976/$F$2*100,NA()),NA())</f>
        <v/>
      </c>
      <c r="C4976" s="27">
        <f>IFERROR(IF(ISNUMBER(Datos!C4976),Datos!C4976/$F$3*100,NA()),NA())</f>
        <v/>
      </c>
    </row>
    <row r="4977">
      <c r="A4977" s="7">
        <f>IFERROR(Datos!A4977,"")</f>
        <v/>
      </c>
      <c r="B4977" s="27">
        <f>IFERROR(IF(ISNUMBER(Datos!B4977),Datos!B4977/$F$2*100,NA()),NA())</f>
        <v/>
      </c>
      <c r="C4977" s="27">
        <f>IFERROR(IF(ISNUMBER(Datos!C4977),Datos!C4977/$F$3*100,NA()),NA())</f>
        <v/>
      </c>
    </row>
    <row r="4978">
      <c r="A4978" s="7">
        <f>IFERROR(Datos!A4978,"")</f>
        <v/>
      </c>
      <c r="B4978" s="27">
        <f>IFERROR(IF(ISNUMBER(Datos!B4978),Datos!B4978/$F$2*100,NA()),NA())</f>
        <v/>
      </c>
      <c r="C4978" s="27">
        <f>IFERROR(IF(ISNUMBER(Datos!C4978),Datos!C4978/$F$3*100,NA()),NA())</f>
        <v/>
      </c>
    </row>
    <row r="4979">
      <c r="A4979" s="7">
        <f>IFERROR(Datos!A4979,"")</f>
        <v/>
      </c>
      <c r="B4979" s="27">
        <f>IFERROR(IF(ISNUMBER(Datos!B4979),Datos!B4979/$F$2*100,NA()),NA())</f>
        <v/>
      </c>
      <c r="C4979" s="27">
        <f>IFERROR(IF(ISNUMBER(Datos!C4979),Datos!C4979/$F$3*100,NA()),NA())</f>
        <v/>
      </c>
    </row>
    <row r="4980">
      <c r="A4980" s="7">
        <f>IFERROR(Datos!A4980,"")</f>
        <v/>
      </c>
      <c r="B4980" s="27">
        <f>IFERROR(IF(ISNUMBER(Datos!B4980),Datos!B4980/$F$2*100,NA()),NA())</f>
        <v/>
      </c>
      <c r="C4980" s="27">
        <f>IFERROR(IF(ISNUMBER(Datos!C4980),Datos!C4980/$F$3*100,NA()),NA())</f>
        <v/>
      </c>
    </row>
    <row r="4981">
      <c r="A4981" s="7">
        <f>IFERROR(Datos!A4981,"")</f>
        <v/>
      </c>
      <c r="B4981" s="27">
        <f>IFERROR(IF(ISNUMBER(Datos!B4981),Datos!B4981/$F$2*100,NA()),NA())</f>
        <v/>
      </c>
      <c r="C4981" s="27">
        <f>IFERROR(IF(ISNUMBER(Datos!C4981),Datos!C4981/$F$3*100,NA()),NA())</f>
        <v/>
      </c>
    </row>
    <row r="4982">
      <c r="A4982" s="7">
        <f>IFERROR(Datos!A4982,"")</f>
        <v/>
      </c>
      <c r="B4982" s="27">
        <f>IFERROR(IF(ISNUMBER(Datos!B4982),Datos!B4982/$F$2*100,NA()),NA())</f>
        <v/>
      </c>
      <c r="C4982" s="27">
        <f>IFERROR(IF(ISNUMBER(Datos!C4982),Datos!C4982/$F$3*100,NA()),NA())</f>
        <v/>
      </c>
    </row>
    <row r="4983">
      <c r="A4983" s="7">
        <f>IFERROR(Datos!A4983,"")</f>
        <v/>
      </c>
      <c r="B4983" s="27">
        <f>IFERROR(IF(ISNUMBER(Datos!B4983),Datos!B4983/$F$2*100,NA()),NA())</f>
        <v/>
      </c>
      <c r="C4983" s="27">
        <f>IFERROR(IF(ISNUMBER(Datos!C4983),Datos!C4983/$F$3*100,NA()),NA())</f>
        <v/>
      </c>
    </row>
    <row r="4984">
      <c r="A4984" s="7">
        <f>IFERROR(Datos!A4984,"")</f>
        <v/>
      </c>
      <c r="B4984" s="27">
        <f>IFERROR(IF(ISNUMBER(Datos!B4984),Datos!B4984/$F$2*100,NA()),NA())</f>
        <v/>
      </c>
      <c r="C4984" s="27">
        <f>IFERROR(IF(ISNUMBER(Datos!C4984),Datos!C4984/$F$3*100,NA()),NA())</f>
        <v/>
      </c>
    </row>
    <row r="4985">
      <c r="A4985" s="7">
        <f>IFERROR(Datos!A4985,"")</f>
        <v/>
      </c>
      <c r="B4985" s="27">
        <f>IFERROR(IF(ISNUMBER(Datos!B4985),Datos!B4985/$F$2*100,NA()),NA())</f>
        <v/>
      </c>
      <c r="C4985" s="27">
        <f>IFERROR(IF(ISNUMBER(Datos!C4985),Datos!C4985/$F$3*100,NA()),NA())</f>
        <v/>
      </c>
    </row>
    <row r="4986">
      <c r="A4986" s="7">
        <f>IFERROR(Datos!A4986,"")</f>
        <v/>
      </c>
      <c r="B4986" s="27">
        <f>IFERROR(IF(ISNUMBER(Datos!B4986),Datos!B4986/$F$2*100,NA()),NA())</f>
        <v/>
      </c>
      <c r="C4986" s="27">
        <f>IFERROR(IF(ISNUMBER(Datos!C4986),Datos!C4986/$F$3*100,NA()),NA())</f>
        <v/>
      </c>
    </row>
    <row r="4987">
      <c r="A4987" s="7">
        <f>IFERROR(Datos!A4987,"")</f>
        <v/>
      </c>
      <c r="B4987" s="27">
        <f>IFERROR(IF(ISNUMBER(Datos!B4987),Datos!B4987/$F$2*100,NA()),NA())</f>
        <v/>
      </c>
      <c r="C4987" s="27">
        <f>IFERROR(IF(ISNUMBER(Datos!C4987),Datos!C4987/$F$3*100,NA()),NA())</f>
        <v/>
      </c>
    </row>
    <row r="4988">
      <c r="A4988" s="7">
        <f>IFERROR(Datos!A4988,"")</f>
        <v/>
      </c>
      <c r="B4988" s="27">
        <f>IFERROR(IF(ISNUMBER(Datos!B4988),Datos!B4988/$F$2*100,NA()),NA())</f>
        <v/>
      </c>
      <c r="C4988" s="27">
        <f>IFERROR(IF(ISNUMBER(Datos!C4988),Datos!C4988/$F$3*100,NA()),NA())</f>
        <v/>
      </c>
    </row>
    <row r="4989">
      <c r="A4989" s="7">
        <f>IFERROR(Datos!A4989,"")</f>
        <v/>
      </c>
      <c r="B4989" s="27">
        <f>IFERROR(IF(ISNUMBER(Datos!B4989),Datos!B4989/$F$2*100,NA()),NA())</f>
        <v/>
      </c>
      <c r="C4989" s="27">
        <f>IFERROR(IF(ISNUMBER(Datos!C4989),Datos!C4989/$F$3*100,NA()),NA())</f>
        <v/>
      </c>
    </row>
    <row r="4990">
      <c r="A4990" s="7">
        <f>IFERROR(Datos!A4990,"")</f>
        <v/>
      </c>
      <c r="B4990" s="27">
        <f>IFERROR(IF(ISNUMBER(Datos!B4990),Datos!B4990/$F$2*100,NA()),NA())</f>
        <v/>
      </c>
      <c r="C4990" s="27">
        <f>IFERROR(IF(ISNUMBER(Datos!C4990),Datos!C4990/$F$3*100,NA()),NA())</f>
        <v/>
      </c>
    </row>
    <row r="4991">
      <c r="A4991" s="7">
        <f>IFERROR(Datos!A4991,"")</f>
        <v/>
      </c>
      <c r="B4991" s="27">
        <f>IFERROR(IF(ISNUMBER(Datos!B4991),Datos!B4991/$F$2*100,NA()),NA())</f>
        <v/>
      </c>
      <c r="C4991" s="27">
        <f>IFERROR(IF(ISNUMBER(Datos!C4991),Datos!C4991/$F$3*100,NA()),NA())</f>
        <v/>
      </c>
    </row>
    <row r="4992">
      <c r="A4992" s="7">
        <f>IFERROR(Datos!A4992,"")</f>
        <v/>
      </c>
      <c r="B4992" s="27">
        <f>IFERROR(IF(ISNUMBER(Datos!B4992),Datos!B4992/$F$2*100,NA()),NA())</f>
        <v/>
      </c>
      <c r="C4992" s="27">
        <f>IFERROR(IF(ISNUMBER(Datos!C4992),Datos!C4992/$F$3*100,NA()),NA())</f>
        <v/>
      </c>
    </row>
    <row r="4993">
      <c r="A4993" s="7">
        <f>IFERROR(Datos!A4993,"")</f>
        <v/>
      </c>
      <c r="B4993" s="27">
        <f>IFERROR(IF(ISNUMBER(Datos!B4993),Datos!B4993/$F$2*100,NA()),NA())</f>
        <v/>
      </c>
      <c r="C4993" s="27">
        <f>IFERROR(IF(ISNUMBER(Datos!C4993),Datos!C4993/$F$3*100,NA()),NA())</f>
        <v/>
      </c>
    </row>
    <row r="4994">
      <c r="A4994" s="7">
        <f>IFERROR(Datos!A4994,"")</f>
        <v/>
      </c>
      <c r="B4994" s="27">
        <f>IFERROR(IF(ISNUMBER(Datos!B4994),Datos!B4994/$F$2*100,NA()),NA())</f>
        <v/>
      </c>
      <c r="C4994" s="27">
        <f>IFERROR(IF(ISNUMBER(Datos!C4994),Datos!C4994/$F$3*100,NA()),NA())</f>
        <v/>
      </c>
    </row>
    <row r="4995">
      <c r="A4995" s="7">
        <f>IFERROR(Datos!A4995,"")</f>
        <v/>
      </c>
      <c r="B4995" s="27">
        <f>IFERROR(IF(ISNUMBER(Datos!B4995),Datos!B4995/$F$2*100,NA()),NA())</f>
        <v/>
      </c>
      <c r="C4995" s="27">
        <f>IFERROR(IF(ISNUMBER(Datos!C4995),Datos!C4995/$F$3*100,NA()),NA())</f>
        <v/>
      </c>
    </row>
    <row r="4996">
      <c r="A4996" s="7">
        <f>IFERROR(Datos!A4996,"")</f>
        <v/>
      </c>
      <c r="B4996" s="27">
        <f>IFERROR(IF(ISNUMBER(Datos!B4996),Datos!B4996/$F$2*100,NA()),NA())</f>
        <v/>
      </c>
      <c r="C4996" s="27">
        <f>IFERROR(IF(ISNUMBER(Datos!C4996),Datos!C4996/$F$3*100,NA()),NA())</f>
        <v/>
      </c>
    </row>
    <row r="4997">
      <c r="A4997" s="7">
        <f>IFERROR(Datos!A4997,"")</f>
        <v/>
      </c>
      <c r="B4997" s="27">
        <f>IFERROR(IF(ISNUMBER(Datos!B4997),Datos!B4997/$F$2*100,NA()),NA())</f>
        <v/>
      </c>
      <c r="C4997" s="27">
        <f>IFERROR(IF(ISNUMBER(Datos!C4997),Datos!C4997/$F$3*100,NA()),NA())</f>
        <v/>
      </c>
    </row>
    <row r="4998">
      <c r="A4998" s="7">
        <f>IFERROR(Datos!A4998,"")</f>
        <v/>
      </c>
      <c r="B4998" s="27">
        <f>IFERROR(IF(ISNUMBER(Datos!B4998),Datos!B4998/$F$2*100,NA()),NA())</f>
        <v/>
      </c>
      <c r="C4998" s="27">
        <f>IFERROR(IF(ISNUMBER(Datos!C4998),Datos!C4998/$F$3*100,NA()),NA())</f>
        <v/>
      </c>
    </row>
    <row r="4999">
      <c r="A4999" s="7">
        <f>IFERROR(Datos!A4999,"")</f>
        <v/>
      </c>
      <c r="B4999" s="27">
        <f>IFERROR(IF(ISNUMBER(Datos!B4999),Datos!B4999/$F$2*100,NA()),NA())</f>
        <v/>
      </c>
      <c r="C4999" s="27">
        <f>IFERROR(IF(ISNUMBER(Datos!C4999),Datos!C4999/$F$3*100,NA()),NA())</f>
        <v/>
      </c>
    </row>
    <row r="5000">
      <c r="A5000" s="7">
        <f>IFERROR(Datos!A5000,"")</f>
        <v/>
      </c>
      <c r="B5000" s="27">
        <f>IFERROR(IF(ISNUMBER(Datos!B5000),Datos!B5000/$F$2*100,NA()),NA())</f>
        <v/>
      </c>
      <c r="C5000" s="27">
        <f>IFERROR(IF(ISNUMBER(Datos!C5000),Datos!C5000/$F$3*100,NA()),NA())</f>
        <v/>
      </c>
    </row>
    <row r="5001">
      <c r="A5001" s="7">
        <f>IFERROR(Datos!A5001,"")</f>
        <v/>
      </c>
      <c r="B5001" s="27">
        <f>IFERROR(IF(ISNUMBER(Datos!B5001),Datos!B5001/$F$2*100,NA()),NA())</f>
        <v/>
      </c>
      <c r="C5001" s="27">
        <f>IFERROR(IF(ISNUMBER(Datos!C5001),Datos!C5001/$F$3*100,NA()),NA())</f>
        <v/>
      </c>
    </row>
    <row r="5002">
      <c r="A5002" s="7">
        <f>IFERROR(Datos!A5002,"")</f>
        <v/>
      </c>
      <c r="B5002" s="27">
        <f>IFERROR(IF(ISNUMBER(Datos!B5002),Datos!B5002/$F$2*100,NA()),NA())</f>
        <v/>
      </c>
      <c r="C5002" s="27">
        <f>IFERROR(IF(ISNUMBER(Datos!C5002),Datos!C5002/$F$3*100,NA()),NA())</f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L50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</cols>
  <sheetData>
    <row r="1">
      <c r="A1" s="9" t="inlineStr">
        <is>
          <t>CALCULOS AUXILIARES (no editar)</t>
        </is>
      </c>
    </row>
    <row r="2">
      <c r="A2" s="15" t="inlineStr">
        <is>
          <t>Fecha</t>
        </is>
      </c>
      <c r="B2" s="15" t="inlineStr">
        <is>
          <t>Px A</t>
        </is>
      </c>
      <c r="C2" s="15" t="inlineStr">
        <is>
          <t>Px B</t>
        </is>
      </c>
      <c r="D2" s="15" t="inlineStr">
        <is>
          <t>Ret A</t>
        </is>
      </c>
      <c r="E2" s="15" t="inlineStr">
        <is>
          <t>Ret B</t>
        </is>
      </c>
      <c r="F2" s="15" t="inlineStr">
        <is>
          <t>Exc A</t>
        </is>
      </c>
      <c r="G2" s="15" t="inlineStr">
        <is>
          <t>Exc B</t>
        </is>
      </c>
      <c r="H2" s="15" t="inlineStr">
        <is>
          <t>MaxSoFar A</t>
        </is>
      </c>
      <c r="I2" s="15" t="inlineStr">
        <is>
          <t>DD A</t>
        </is>
      </c>
      <c r="J2" s="15" t="inlineStr">
        <is>
          <t>MaxSoFar B</t>
        </is>
      </c>
      <c r="K2" s="15" t="inlineStr">
        <is>
          <t>DD B</t>
        </is>
      </c>
      <c r="L2" s="15" t="inlineStr">
        <is>
          <t>Diff (A-B)</t>
        </is>
      </c>
    </row>
    <row r="3">
      <c r="A3" s="7">
        <f>IFERROR(Datos!A3,"")</f>
        <v/>
      </c>
      <c r="B3" s="8">
        <f>IFERROR(Datos!B3,"")</f>
        <v/>
      </c>
      <c r="C3" s="8">
        <f>IFERROR(Datos!C3,"")</f>
        <v/>
      </c>
      <c r="D3" s="28" t="inlineStr"/>
      <c r="E3" s="28" t="inlineStr"/>
      <c r="F3" s="28" t="inlineStr"/>
      <c r="G3" s="28" t="inlineStr"/>
      <c r="H3" s="8">
        <f>IFERROR(IF(ISNUMBER(B3),B3,""),"")</f>
        <v/>
      </c>
      <c r="I3" s="29">
        <f>IFERROR(IF(ISNUMBER(B3),0,""),"")</f>
        <v/>
      </c>
      <c r="J3" s="8">
        <f>IFERROR(IF(ISNUMBER(C3),C3,""),"")</f>
        <v/>
      </c>
      <c r="K3" s="29">
        <f>IFERROR(IF(ISNUMBER(C3),0,""),"")</f>
        <v/>
      </c>
      <c r="L3" s="28" t="inlineStr"/>
    </row>
    <row r="4">
      <c r="A4" s="7">
        <f>IFERROR(Datos!A4,"")</f>
        <v/>
      </c>
      <c r="B4" s="8">
        <f>IFERROR(Datos!B4,"")</f>
        <v/>
      </c>
      <c r="C4" s="8">
        <f>IFERROR(Datos!C4,"")</f>
        <v/>
      </c>
      <c r="D4" s="28">
        <f>IFERROR(IF(AND(ISNUMBER(B4),ISNUMBER(B3),B3&lt;&gt;0),B4/B3-1,""),"")</f>
        <v/>
      </c>
      <c r="E4" s="28">
        <f>IFERROR(IF(AND(ISNUMBER(C4),ISNUMBER(C3),C3&lt;&gt;0),C4/C3-1,""),"")</f>
        <v/>
      </c>
      <c r="F4" s="28">
        <f>IFERROR(D4-Dashboard!$B$4/252,"")</f>
        <v/>
      </c>
      <c r="G4" s="28">
        <f>IFERROR(E4-Dashboard!$B$4/252,"")</f>
        <v/>
      </c>
      <c r="H4" s="8">
        <f>IFERROR(IF(ISNUMBER(B4),MAX(B4,IFERROR(H3,B4)),""),"")</f>
        <v/>
      </c>
      <c r="I4" s="29">
        <f>IFERROR(IF(AND(ISNUMBER(B4),ISNUMBER(H4)),B4/H4-1,""),"")</f>
        <v/>
      </c>
      <c r="J4" s="8">
        <f>IFERROR(IF(ISNUMBER(C4),MAX(C4,IFERROR(J3,C4)),""),"")</f>
        <v/>
      </c>
      <c r="K4" s="29">
        <f>IFERROR(IF(AND(ISNUMBER(C4),ISNUMBER(J4)),C4/J4-1,""),"")</f>
        <v/>
      </c>
      <c r="L4" s="28">
        <f>IFERROR(IF(AND(ISNUMBER(D4),ISNUMBER(E4)),D4-E4,""),"")</f>
        <v/>
      </c>
    </row>
    <row r="5">
      <c r="A5" s="7">
        <f>IFERROR(Datos!A5,"")</f>
        <v/>
      </c>
      <c r="B5" s="8">
        <f>IFERROR(Datos!B5,"")</f>
        <v/>
      </c>
      <c r="C5" s="8">
        <f>IFERROR(Datos!C5,"")</f>
        <v/>
      </c>
      <c r="D5" s="28">
        <f>IFERROR(IF(AND(ISNUMBER(B5),ISNUMBER(B4),B4&lt;&gt;0),B5/B4-1,""),"")</f>
        <v/>
      </c>
      <c r="E5" s="28">
        <f>IFERROR(IF(AND(ISNUMBER(C5),ISNUMBER(C4),C4&lt;&gt;0),C5/C4-1,""),"")</f>
        <v/>
      </c>
      <c r="F5" s="28">
        <f>IFERROR(D5-Dashboard!$B$4/252,"")</f>
        <v/>
      </c>
      <c r="G5" s="28">
        <f>IFERROR(E5-Dashboard!$B$4/252,"")</f>
        <v/>
      </c>
      <c r="H5" s="8">
        <f>IFERROR(IF(ISNUMBER(B5),MAX(B5,IFERROR(H4,B5)),""),"")</f>
        <v/>
      </c>
      <c r="I5" s="29">
        <f>IFERROR(IF(AND(ISNUMBER(B5),ISNUMBER(H5)),B5/H5-1,""),"")</f>
        <v/>
      </c>
      <c r="J5" s="8">
        <f>IFERROR(IF(ISNUMBER(C5),MAX(C5,IFERROR(J4,C5)),""),"")</f>
        <v/>
      </c>
      <c r="K5" s="29">
        <f>IFERROR(IF(AND(ISNUMBER(C5),ISNUMBER(J5)),C5/J5-1,""),"")</f>
        <v/>
      </c>
      <c r="L5" s="28">
        <f>IFERROR(IF(AND(ISNUMBER(D5),ISNUMBER(E5)),D5-E5,""),"")</f>
        <v/>
      </c>
    </row>
    <row r="6">
      <c r="A6" s="7">
        <f>IFERROR(Datos!A6,"")</f>
        <v/>
      </c>
      <c r="B6" s="8">
        <f>IFERROR(Datos!B6,"")</f>
        <v/>
      </c>
      <c r="C6" s="8">
        <f>IFERROR(Datos!C6,"")</f>
        <v/>
      </c>
      <c r="D6" s="28">
        <f>IFERROR(IF(AND(ISNUMBER(B6),ISNUMBER(B5),B5&lt;&gt;0),B6/B5-1,""),"")</f>
        <v/>
      </c>
      <c r="E6" s="28">
        <f>IFERROR(IF(AND(ISNUMBER(C6),ISNUMBER(C5),C5&lt;&gt;0),C6/C5-1,""),"")</f>
        <v/>
      </c>
      <c r="F6" s="28">
        <f>IFERROR(D6-Dashboard!$B$4/252,"")</f>
        <v/>
      </c>
      <c r="G6" s="28">
        <f>IFERROR(E6-Dashboard!$B$4/252,"")</f>
        <v/>
      </c>
      <c r="H6" s="8">
        <f>IFERROR(IF(ISNUMBER(B6),MAX(B6,IFERROR(H5,B6)),""),"")</f>
        <v/>
      </c>
      <c r="I6" s="29">
        <f>IFERROR(IF(AND(ISNUMBER(B6),ISNUMBER(H6)),B6/H6-1,""),"")</f>
        <v/>
      </c>
      <c r="J6" s="8">
        <f>IFERROR(IF(ISNUMBER(C6),MAX(C6,IFERROR(J5,C6)),""),"")</f>
        <v/>
      </c>
      <c r="K6" s="29">
        <f>IFERROR(IF(AND(ISNUMBER(C6),ISNUMBER(J6)),C6/J6-1,""),"")</f>
        <v/>
      </c>
      <c r="L6" s="28">
        <f>IFERROR(IF(AND(ISNUMBER(D6),ISNUMBER(E6)),D6-E6,""),"")</f>
        <v/>
      </c>
    </row>
    <row r="7">
      <c r="A7" s="7">
        <f>IFERROR(Datos!A7,"")</f>
        <v/>
      </c>
      <c r="B7" s="8">
        <f>IFERROR(Datos!B7,"")</f>
        <v/>
      </c>
      <c r="C7" s="8">
        <f>IFERROR(Datos!C7,"")</f>
        <v/>
      </c>
      <c r="D7" s="28">
        <f>IFERROR(IF(AND(ISNUMBER(B7),ISNUMBER(B6),B6&lt;&gt;0),B7/B6-1,""),"")</f>
        <v/>
      </c>
      <c r="E7" s="28">
        <f>IFERROR(IF(AND(ISNUMBER(C7),ISNUMBER(C6),C6&lt;&gt;0),C7/C6-1,""),"")</f>
        <v/>
      </c>
      <c r="F7" s="28">
        <f>IFERROR(D7-Dashboard!$B$4/252,"")</f>
        <v/>
      </c>
      <c r="G7" s="28">
        <f>IFERROR(E7-Dashboard!$B$4/252,"")</f>
        <v/>
      </c>
      <c r="H7" s="8">
        <f>IFERROR(IF(ISNUMBER(B7),MAX(B7,IFERROR(H6,B7)),""),"")</f>
        <v/>
      </c>
      <c r="I7" s="29">
        <f>IFERROR(IF(AND(ISNUMBER(B7),ISNUMBER(H7)),B7/H7-1,""),"")</f>
        <v/>
      </c>
      <c r="J7" s="8">
        <f>IFERROR(IF(ISNUMBER(C7),MAX(C7,IFERROR(J6,C7)),""),"")</f>
        <v/>
      </c>
      <c r="K7" s="29">
        <f>IFERROR(IF(AND(ISNUMBER(C7),ISNUMBER(J7)),C7/J7-1,""),"")</f>
        <v/>
      </c>
      <c r="L7" s="28">
        <f>IFERROR(IF(AND(ISNUMBER(D7),ISNUMBER(E7)),D7-E7,""),"")</f>
        <v/>
      </c>
    </row>
    <row r="8">
      <c r="A8" s="7">
        <f>IFERROR(Datos!A8,"")</f>
        <v/>
      </c>
      <c r="B8" s="8">
        <f>IFERROR(Datos!B8,"")</f>
        <v/>
      </c>
      <c r="C8" s="8">
        <f>IFERROR(Datos!C8,"")</f>
        <v/>
      </c>
      <c r="D8" s="28">
        <f>IFERROR(IF(AND(ISNUMBER(B8),ISNUMBER(B7),B7&lt;&gt;0),B8/B7-1,""),"")</f>
        <v/>
      </c>
      <c r="E8" s="28">
        <f>IFERROR(IF(AND(ISNUMBER(C8),ISNUMBER(C7),C7&lt;&gt;0),C8/C7-1,""),"")</f>
        <v/>
      </c>
      <c r="F8" s="28">
        <f>IFERROR(D8-Dashboard!$B$4/252,"")</f>
        <v/>
      </c>
      <c r="G8" s="28">
        <f>IFERROR(E8-Dashboard!$B$4/252,"")</f>
        <v/>
      </c>
      <c r="H8" s="8">
        <f>IFERROR(IF(ISNUMBER(B8),MAX(B8,IFERROR(H7,B8)),""),"")</f>
        <v/>
      </c>
      <c r="I8" s="29">
        <f>IFERROR(IF(AND(ISNUMBER(B8),ISNUMBER(H8)),B8/H8-1,""),"")</f>
        <v/>
      </c>
      <c r="J8" s="8">
        <f>IFERROR(IF(ISNUMBER(C8),MAX(C8,IFERROR(J7,C8)),""),"")</f>
        <v/>
      </c>
      <c r="K8" s="29">
        <f>IFERROR(IF(AND(ISNUMBER(C8),ISNUMBER(J8)),C8/J8-1,""),"")</f>
        <v/>
      </c>
      <c r="L8" s="28">
        <f>IFERROR(IF(AND(ISNUMBER(D8),ISNUMBER(E8)),D8-E8,""),"")</f>
        <v/>
      </c>
    </row>
    <row r="9">
      <c r="A9" s="7">
        <f>IFERROR(Datos!A9,"")</f>
        <v/>
      </c>
      <c r="B9" s="8">
        <f>IFERROR(Datos!B9,"")</f>
        <v/>
      </c>
      <c r="C9" s="8">
        <f>IFERROR(Datos!C9,"")</f>
        <v/>
      </c>
      <c r="D9" s="28">
        <f>IFERROR(IF(AND(ISNUMBER(B9),ISNUMBER(B8),B8&lt;&gt;0),B9/B8-1,""),"")</f>
        <v/>
      </c>
      <c r="E9" s="28">
        <f>IFERROR(IF(AND(ISNUMBER(C9),ISNUMBER(C8),C8&lt;&gt;0),C9/C8-1,""),"")</f>
        <v/>
      </c>
      <c r="F9" s="28">
        <f>IFERROR(D9-Dashboard!$B$4/252,"")</f>
        <v/>
      </c>
      <c r="G9" s="28">
        <f>IFERROR(E9-Dashboard!$B$4/252,"")</f>
        <v/>
      </c>
      <c r="H9" s="8">
        <f>IFERROR(IF(ISNUMBER(B9),MAX(B9,IFERROR(H8,B9)),""),"")</f>
        <v/>
      </c>
      <c r="I9" s="29">
        <f>IFERROR(IF(AND(ISNUMBER(B9),ISNUMBER(H9)),B9/H9-1,""),"")</f>
        <v/>
      </c>
      <c r="J9" s="8">
        <f>IFERROR(IF(ISNUMBER(C9),MAX(C9,IFERROR(J8,C9)),""),"")</f>
        <v/>
      </c>
      <c r="K9" s="29">
        <f>IFERROR(IF(AND(ISNUMBER(C9),ISNUMBER(J9)),C9/J9-1,""),"")</f>
        <v/>
      </c>
      <c r="L9" s="28">
        <f>IFERROR(IF(AND(ISNUMBER(D9),ISNUMBER(E9)),D9-E9,""),"")</f>
        <v/>
      </c>
    </row>
    <row r="10">
      <c r="A10" s="7">
        <f>IFERROR(Datos!A10,"")</f>
        <v/>
      </c>
      <c r="B10" s="8">
        <f>IFERROR(Datos!B10,"")</f>
        <v/>
      </c>
      <c r="C10" s="8">
        <f>IFERROR(Datos!C10,"")</f>
        <v/>
      </c>
      <c r="D10" s="28">
        <f>IFERROR(IF(AND(ISNUMBER(B10),ISNUMBER(B9),B9&lt;&gt;0),B10/B9-1,""),"")</f>
        <v/>
      </c>
      <c r="E10" s="28">
        <f>IFERROR(IF(AND(ISNUMBER(C10),ISNUMBER(C9),C9&lt;&gt;0),C10/C9-1,""),"")</f>
        <v/>
      </c>
      <c r="F10" s="28">
        <f>IFERROR(D10-Dashboard!$B$4/252,"")</f>
        <v/>
      </c>
      <c r="G10" s="28">
        <f>IFERROR(E10-Dashboard!$B$4/252,"")</f>
        <v/>
      </c>
      <c r="H10" s="8">
        <f>IFERROR(IF(ISNUMBER(B10),MAX(B10,IFERROR(H9,B10)),""),"")</f>
        <v/>
      </c>
      <c r="I10" s="29">
        <f>IFERROR(IF(AND(ISNUMBER(B10),ISNUMBER(H10)),B10/H10-1,""),"")</f>
        <v/>
      </c>
      <c r="J10" s="8">
        <f>IFERROR(IF(ISNUMBER(C10),MAX(C10,IFERROR(J9,C10)),""),"")</f>
        <v/>
      </c>
      <c r="K10" s="29">
        <f>IFERROR(IF(AND(ISNUMBER(C10),ISNUMBER(J10)),C10/J10-1,""),"")</f>
        <v/>
      </c>
      <c r="L10" s="28">
        <f>IFERROR(IF(AND(ISNUMBER(D10),ISNUMBER(E10)),D10-E10,""),"")</f>
        <v/>
      </c>
    </row>
    <row r="11">
      <c r="A11" s="7">
        <f>IFERROR(Datos!A11,"")</f>
        <v/>
      </c>
      <c r="B11" s="8">
        <f>IFERROR(Datos!B11,"")</f>
        <v/>
      </c>
      <c r="C11" s="8">
        <f>IFERROR(Datos!C11,"")</f>
        <v/>
      </c>
      <c r="D11" s="28">
        <f>IFERROR(IF(AND(ISNUMBER(B11),ISNUMBER(B10),B10&lt;&gt;0),B11/B10-1,""),"")</f>
        <v/>
      </c>
      <c r="E11" s="28">
        <f>IFERROR(IF(AND(ISNUMBER(C11),ISNUMBER(C10),C10&lt;&gt;0),C11/C10-1,""),"")</f>
        <v/>
      </c>
      <c r="F11" s="28">
        <f>IFERROR(D11-Dashboard!$B$4/252,"")</f>
        <v/>
      </c>
      <c r="G11" s="28">
        <f>IFERROR(E11-Dashboard!$B$4/252,"")</f>
        <v/>
      </c>
      <c r="H11" s="8">
        <f>IFERROR(IF(ISNUMBER(B11),MAX(B11,IFERROR(H10,B11)),""),"")</f>
        <v/>
      </c>
      <c r="I11" s="29">
        <f>IFERROR(IF(AND(ISNUMBER(B11),ISNUMBER(H11)),B11/H11-1,""),"")</f>
        <v/>
      </c>
      <c r="J11" s="8">
        <f>IFERROR(IF(ISNUMBER(C11),MAX(C11,IFERROR(J10,C11)),""),"")</f>
        <v/>
      </c>
      <c r="K11" s="29">
        <f>IFERROR(IF(AND(ISNUMBER(C11),ISNUMBER(J11)),C11/J11-1,""),"")</f>
        <v/>
      </c>
      <c r="L11" s="28">
        <f>IFERROR(IF(AND(ISNUMBER(D11),ISNUMBER(E11)),D11-E11,""),"")</f>
        <v/>
      </c>
    </row>
    <row r="12">
      <c r="A12" s="7">
        <f>IFERROR(Datos!A12,"")</f>
        <v/>
      </c>
      <c r="B12" s="8">
        <f>IFERROR(Datos!B12,"")</f>
        <v/>
      </c>
      <c r="C12" s="8">
        <f>IFERROR(Datos!C12,"")</f>
        <v/>
      </c>
      <c r="D12" s="28">
        <f>IFERROR(IF(AND(ISNUMBER(B12),ISNUMBER(B11),B11&lt;&gt;0),B12/B11-1,""),"")</f>
        <v/>
      </c>
      <c r="E12" s="28">
        <f>IFERROR(IF(AND(ISNUMBER(C12),ISNUMBER(C11),C11&lt;&gt;0),C12/C11-1,""),"")</f>
        <v/>
      </c>
      <c r="F12" s="28">
        <f>IFERROR(D12-Dashboard!$B$4/252,"")</f>
        <v/>
      </c>
      <c r="G12" s="28">
        <f>IFERROR(E12-Dashboard!$B$4/252,"")</f>
        <v/>
      </c>
      <c r="H12" s="8">
        <f>IFERROR(IF(ISNUMBER(B12),MAX(B12,IFERROR(H11,B12)),""),"")</f>
        <v/>
      </c>
      <c r="I12" s="29">
        <f>IFERROR(IF(AND(ISNUMBER(B12),ISNUMBER(H12)),B12/H12-1,""),"")</f>
        <v/>
      </c>
      <c r="J12" s="8">
        <f>IFERROR(IF(ISNUMBER(C12),MAX(C12,IFERROR(J11,C12)),""),"")</f>
        <v/>
      </c>
      <c r="K12" s="29">
        <f>IFERROR(IF(AND(ISNUMBER(C12),ISNUMBER(J12)),C12/J12-1,""),"")</f>
        <v/>
      </c>
      <c r="L12" s="28">
        <f>IFERROR(IF(AND(ISNUMBER(D12),ISNUMBER(E12)),D12-E12,""),"")</f>
        <v/>
      </c>
    </row>
    <row r="13">
      <c r="A13" s="7">
        <f>IFERROR(Datos!A13,"")</f>
        <v/>
      </c>
      <c r="B13" s="8">
        <f>IFERROR(Datos!B13,"")</f>
        <v/>
      </c>
      <c r="C13" s="8">
        <f>IFERROR(Datos!C13,"")</f>
        <v/>
      </c>
      <c r="D13" s="28">
        <f>IFERROR(IF(AND(ISNUMBER(B13),ISNUMBER(B12),B12&lt;&gt;0),B13/B12-1,""),"")</f>
        <v/>
      </c>
      <c r="E13" s="28">
        <f>IFERROR(IF(AND(ISNUMBER(C13),ISNUMBER(C12),C12&lt;&gt;0),C13/C12-1,""),"")</f>
        <v/>
      </c>
      <c r="F13" s="28">
        <f>IFERROR(D13-Dashboard!$B$4/252,"")</f>
        <v/>
      </c>
      <c r="G13" s="28">
        <f>IFERROR(E13-Dashboard!$B$4/252,"")</f>
        <v/>
      </c>
      <c r="H13" s="8">
        <f>IFERROR(IF(ISNUMBER(B13),MAX(B13,IFERROR(H12,B13)),""),"")</f>
        <v/>
      </c>
      <c r="I13" s="29">
        <f>IFERROR(IF(AND(ISNUMBER(B13),ISNUMBER(H13)),B13/H13-1,""),"")</f>
        <v/>
      </c>
      <c r="J13" s="8">
        <f>IFERROR(IF(ISNUMBER(C13),MAX(C13,IFERROR(J12,C13)),""),"")</f>
        <v/>
      </c>
      <c r="K13" s="29">
        <f>IFERROR(IF(AND(ISNUMBER(C13),ISNUMBER(J13)),C13/J13-1,""),"")</f>
        <v/>
      </c>
      <c r="L13" s="28">
        <f>IFERROR(IF(AND(ISNUMBER(D13),ISNUMBER(E13)),D13-E13,""),"")</f>
        <v/>
      </c>
    </row>
    <row r="14">
      <c r="A14" s="7">
        <f>IFERROR(Datos!A14,"")</f>
        <v/>
      </c>
      <c r="B14" s="8">
        <f>IFERROR(Datos!B14,"")</f>
        <v/>
      </c>
      <c r="C14" s="8">
        <f>IFERROR(Datos!C14,"")</f>
        <v/>
      </c>
      <c r="D14" s="28">
        <f>IFERROR(IF(AND(ISNUMBER(B14),ISNUMBER(B13),B13&lt;&gt;0),B14/B13-1,""),"")</f>
        <v/>
      </c>
      <c r="E14" s="28">
        <f>IFERROR(IF(AND(ISNUMBER(C14),ISNUMBER(C13),C13&lt;&gt;0),C14/C13-1,""),"")</f>
        <v/>
      </c>
      <c r="F14" s="28">
        <f>IFERROR(D14-Dashboard!$B$4/252,"")</f>
        <v/>
      </c>
      <c r="G14" s="28">
        <f>IFERROR(E14-Dashboard!$B$4/252,"")</f>
        <v/>
      </c>
      <c r="H14" s="8">
        <f>IFERROR(IF(ISNUMBER(B14),MAX(B14,IFERROR(H13,B14)),""),"")</f>
        <v/>
      </c>
      <c r="I14" s="29">
        <f>IFERROR(IF(AND(ISNUMBER(B14),ISNUMBER(H14)),B14/H14-1,""),"")</f>
        <v/>
      </c>
      <c r="J14" s="8">
        <f>IFERROR(IF(ISNUMBER(C14),MAX(C14,IFERROR(J13,C14)),""),"")</f>
        <v/>
      </c>
      <c r="K14" s="29">
        <f>IFERROR(IF(AND(ISNUMBER(C14),ISNUMBER(J14)),C14/J14-1,""),"")</f>
        <v/>
      </c>
      <c r="L14" s="28">
        <f>IFERROR(IF(AND(ISNUMBER(D14),ISNUMBER(E14)),D14-E14,""),"")</f>
        <v/>
      </c>
    </row>
    <row r="15">
      <c r="A15" s="7">
        <f>IFERROR(Datos!A15,"")</f>
        <v/>
      </c>
      <c r="B15" s="8">
        <f>IFERROR(Datos!B15,"")</f>
        <v/>
      </c>
      <c r="C15" s="8">
        <f>IFERROR(Datos!C15,"")</f>
        <v/>
      </c>
      <c r="D15" s="28">
        <f>IFERROR(IF(AND(ISNUMBER(B15),ISNUMBER(B14),B14&lt;&gt;0),B15/B14-1,""),"")</f>
        <v/>
      </c>
      <c r="E15" s="28">
        <f>IFERROR(IF(AND(ISNUMBER(C15),ISNUMBER(C14),C14&lt;&gt;0),C15/C14-1,""),"")</f>
        <v/>
      </c>
      <c r="F15" s="28">
        <f>IFERROR(D15-Dashboard!$B$4/252,"")</f>
        <v/>
      </c>
      <c r="G15" s="28">
        <f>IFERROR(E15-Dashboard!$B$4/252,"")</f>
        <v/>
      </c>
      <c r="H15" s="8">
        <f>IFERROR(IF(ISNUMBER(B15),MAX(B15,IFERROR(H14,B15)),""),"")</f>
        <v/>
      </c>
      <c r="I15" s="29">
        <f>IFERROR(IF(AND(ISNUMBER(B15),ISNUMBER(H15)),B15/H15-1,""),"")</f>
        <v/>
      </c>
      <c r="J15" s="8">
        <f>IFERROR(IF(ISNUMBER(C15),MAX(C15,IFERROR(J14,C15)),""),"")</f>
        <v/>
      </c>
      <c r="K15" s="29">
        <f>IFERROR(IF(AND(ISNUMBER(C15),ISNUMBER(J15)),C15/J15-1,""),"")</f>
        <v/>
      </c>
      <c r="L15" s="28">
        <f>IFERROR(IF(AND(ISNUMBER(D15),ISNUMBER(E15)),D15-E15,""),"")</f>
        <v/>
      </c>
    </row>
    <row r="16">
      <c r="A16" s="7">
        <f>IFERROR(Datos!A16,"")</f>
        <v/>
      </c>
      <c r="B16" s="8">
        <f>IFERROR(Datos!B16,"")</f>
        <v/>
      </c>
      <c r="C16" s="8">
        <f>IFERROR(Datos!C16,"")</f>
        <v/>
      </c>
      <c r="D16" s="28">
        <f>IFERROR(IF(AND(ISNUMBER(B16),ISNUMBER(B15),B15&lt;&gt;0),B16/B15-1,""),"")</f>
        <v/>
      </c>
      <c r="E16" s="28">
        <f>IFERROR(IF(AND(ISNUMBER(C16),ISNUMBER(C15),C15&lt;&gt;0),C16/C15-1,""),"")</f>
        <v/>
      </c>
      <c r="F16" s="28">
        <f>IFERROR(D16-Dashboard!$B$4/252,"")</f>
        <v/>
      </c>
      <c r="G16" s="28">
        <f>IFERROR(E16-Dashboard!$B$4/252,"")</f>
        <v/>
      </c>
      <c r="H16" s="8">
        <f>IFERROR(IF(ISNUMBER(B16),MAX(B16,IFERROR(H15,B16)),""),"")</f>
        <v/>
      </c>
      <c r="I16" s="29">
        <f>IFERROR(IF(AND(ISNUMBER(B16),ISNUMBER(H16)),B16/H16-1,""),"")</f>
        <v/>
      </c>
      <c r="J16" s="8">
        <f>IFERROR(IF(ISNUMBER(C16),MAX(C16,IFERROR(J15,C16)),""),"")</f>
        <v/>
      </c>
      <c r="K16" s="29">
        <f>IFERROR(IF(AND(ISNUMBER(C16),ISNUMBER(J16)),C16/J16-1,""),"")</f>
        <v/>
      </c>
      <c r="L16" s="28">
        <f>IFERROR(IF(AND(ISNUMBER(D16),ISNUMBER(E16)),D16-E16,""),"")</f>
        <v/>
      </c>
    </row>
    <row r="17">
      <c r="A17" s="7">
        <f>IFERROR(Datos!A17,"")</f>
        <v/>
      </c>
      <c r="B17" s="8">
        <f>IFERROR(Datos!B17,"")</f>
        <v/>
      </c>
      <c r="C17" s="8">
        <f>IFERROR(Datos!C17,"")</f>
        <v/>
      </c>
      <c r="D17" s="28">
        <f>IFERROR(IF(AND(ISNUMBER(B17),ISNUMBER(B16),B16&lt;&gt;0),B17/B16-1,""),"")</f>
        <v/>
      </c>
      <c r="E17" s="28">
        <f>IFERROR(IF(AND(ISNUMBER(C17),ISNUMBER(C16),C16&lt;&gt;0),C17/C16-1,""),"")</f>
        <v/>
      </c>
      <c r="F17" s="28">
        <f>IFERROR(D17-Dashboard!$B$4/252,"")</f>
        <v/>
      </c>
      <c r="G17" s="28">
        <f>IFERROR(E17-Dashboard!$B$4/252,"")</f>
        <v/>
      </c>
      <c r="H17" s="8">
        <f>IFERROR(IF(ISNUMBER(B17),MAX(B17,IFERROR(H16,B17)),""),"")</f>
        <v/>
      </c>
      <c r="I17" s="29">
        <f>IFERROR(IF(AND(ISNUMBER(B17),ISNUMBER(H17)),B17/H17-1,""),"")</f>
        <v/>
      </c>
      <c r="J17" s="8">
        <f>IFERROR(IF(ISNUMBER(C17),MAX(C17,IFERROR(J16,C17)),""),"")</f>
        <v/>
      </c>
      <c r="K17" s="29">
        <f>IFERROR(IF(AND(ISNUMBER(C17),ISNUMBER(J17)),C17/J17-1,""),"")</f>
        <v/>
      </c>
      <c r="L17" s="28">
        <f>IFERROR(IF(AND(ISNUMBER(D17),ISNUMBER(E17)),D17-E17,""),"")</f>
        <v/>
      </c>
    </row>
    <row r="18">
      <c r="A18" s="7">
        <f>IFERROR(Datos!A18,"")</f>
        <v/>
      </c>
      <c r="B18" s="8">
        <f>IFERROR(Datos!B18,"")</f>
        <v/>
      </c>
      <c r="C18" s="8">
        <f>IFERROR(Datos!C18,"")</f>
        <v/>
      </c>
      <c r="D18" s="28">
        <f>IFERROR(IF(AND(ISNUMBER(B18),ISNUMBER(B17),B17&lt;&gt;0),B18/B17-1,""),"")</f>
        <v/>
      </c>
      <c r="E18" s="28">
        <f>IFERROR(IF(AND(ISNUMBER(C18),ISNUMBER(C17),C17&lt;&gt;0),C18/C17-1,""),"")</f>
        <v/>
      </c>
      <c r="F18" s="28">
        <f>IFERROR(D18-Dashboard!$B$4/252,"")</f>
        <v/>
      </c>
      <c r="G18" s="28">
        <f>IFERROR(E18-Dashboard!$B$4/252,"")</f>
        <v/>
      </c>
      <c r="H18" s="8">
        <f>IFERROR(IF(ISNUMBER(B18),MAX(B18,IFERROR(H17,B18)),""),"")</f>
        <v/>
      </c>
      <c r="I18" s="29">
        <f>IFERROR(IF(AND(ISNUMBER(B18),ISNUMBER(H18)),B18/H18-1,""),"")</f>
        <v/>
      </c>
      <c r="J18" s="8">
        <f>IFERROR(IF(ISNUMBER(C18),MAX(C18,IFERROR(J17,C18)),""),"")</f>
        <v/>
      </c>
      <c r="K18" s="29">
        <f>IFERROR(IF(AND(ISNUMBER(C18),ISNUMBER(J18)),C18/J18-1,""),"")</f>
        <v/>
      </c>
      <c r="L18" s="28">
        <f>IFERROR(IF(AND(ISNUMBER(D18),ISNUMBER(E18)),D18-E18,""),"")</f>
        <v/>
      </c>
    </row>
    <row r="19">
      <c r="A19" s="7">
        <f>IFERROR(Datos!A19,"")</f>
        <v/>
      </c>
      <c r="B19" s="8">
        <f>IFERROR(Datos!B19,"")</f>
        <v/>
      </c>
      <c r="C19" s="8">
        <f>IFERROR(Datos!C19,"")</f>
        <v/>
      </c>
      <c r="D19" s="28">
        <f>IFERROR(IF(AND(ISNUMBER(B19),ISNUMBER(B18),B18&lt;&gt;0),B19/B18-1,""),"")</f>
        <v/>
      </c>
      <c r="E19" s="28">
        <f>IFERROR(IF(AND(ISNUMBER(C19),ISNUMBER(C18),C18&lt;&gt;0),C19/C18-1,""),"")</f>
        <v/>
      </c>
      <c r="F19" s="28">
        <f>IFERROR(D19-Dashboard!$B$4/252,"")</f>
        <v/>
      </c>
      <c r="G19" s="28">
        <f>IFERROR(E19-Dashboard!$B$4/252,"")</f>
        <v/>
      </c>
      <c r="H19" s="8">
        <f>IFERROR(IF(ISNUMBER(B19),MAX(B19,IFERROR(H18,B19)),""),"")</f>
        <v/>
      </c>
      <c r="I19" s="29">
        <f>IFERROR(IF(AND(ISNUMBER(B19),ISNUMBER(H19)),B19/H19-1,""),"")</f>
        <v/>
      </c>
      <c r="J19" s="8">
        <f>IFERROR(IF(ISNUMBER(C19),MAX(C19,IFERROR(J18,C19)),""),"")</f>
        <v/>
      </c>
      <c r="K19" s="29">
        <f>IFERROR(IF(AND(ISNUMBER(C19),ISNUMBER(J19)),C19/J19-1,""),"")</f>
        <v/>
      </c>
      <c r="L19" s="28">
        <f>IFERROR(IF(AND(ISNUMBER(D19),ISNUMBER(E19)),D19-E19,""),"")</f>
        <v/>
      </c>
    </row>
    <row r="20">
      <c r="A20" s="7">
        <f>IFERROR(Datos!A20,"")</f>
        <v/>
      </c>
      <c r="B20" s="8">
        <f>IFERROR(Datos!B20,"")</f>
        <v/>
      </c>
      <c r="C20" s="8">
        <f>IFERROR(Datos!C20,"")</f>
        <v/>
      </c>
      <c r="D20" s="28">
        <f>IFERROR(IF(AND(ISNUMBER(B20),ISNUMBER(B19),B19&lt;&gt;0),B20/B19-1,""),"")</f>
        <v/>
      </c>
      <c r="E20" s="28">
        <f>IFERROR(IF(AND(ISNUMBER(C20),ISNUMBER(C19),C19&lt;&gt;0),C20/C19-1,""),"")</f>
        <v/>
      </c>
      <c r="F20" s="28">
        <f>IFERROR(D20-Dashboard!$B$4/252,"")</f>
        <v/>
      </c>
      <c r="G20" s="28">
        <f>IFERROR(E20-Dashboard!$B$4/252,"")</f>
        <v/>
      </c>
      <c r="H20" s="8">
        <f>IFERROR(IF(ISNUMBER(B20),MAX(B20,IFERROR(H19,B20)),""),"")</f>
        <v/>
      </c>
      <c r="I20" s="29">
        <f>IFERROR(IF(AND(ISNUMBER(B20),ISNUMBER(H20)),B20/H20-1,""),"")</f>
        <v/>
      </c>
      <c r="J20" s="8">
        <f>IFERROR(IF(ISNUMBER(C20),MAX(C20,IFERROR(J19,C20)),""),"")</f>
        <v/>
      </c>
      <c r="K20" s="29">
        <f>IFERROR(IF(AND(ISNUMBER(C20),ISNUMBER(J20)),C20/J20-1,""),"")</f>
        <v/>
      </c>
      <c r="L20" s="28">
        <f>IFERROR(IF(AND(ISNUMBER(D20),ISNUMBER(E20)),D20-E20,""),"")</f>
        <v/>
      </c>
    </row>
    <row r="21">
      <c r="A21" s="7">
        <f>IFERROR(Datos!A21,"")</f>
        <v/>
      </c>
      <c r="B21" s="8">
        <f>IFERROR(Datos!B21,"")</f>
        <v/>
      </c>
      <c r="C21" s="8">
        <f>IFERROR(Datos!C21,"")</f>
        <v/>
      </c>
      <c r="D21" s="28">
        <f>IFERROR(IF(AND(ISNUMBER(B21),ISNUMBER(B20),B20&lt;&gt;0),B21/B20-1,""),"")</f>
        <v/>
      </c>
      <c r="E21" s="28">
        <f>IFERROR(IF(AND(ISNUMBER(C21),ISNUMBER(C20),C20&lt;&gt;0),C21/C20-1,""),"")</f>
        <v/>
      </c>
      <c r="F21" s="28">
        <f>IFERROR(D21-Dashboard!$B$4/252,"")</f>
        <v/>
      </c>
      <c r="G21" s="28">
        <f>IFERROR(E21-Dashboard!$B$4/252,"")</f>
        <v/>
      </c>
      <c r="H21" s="8">
        <f>IFERROR(IF(ISNUMBER(B21),MAX(B21,IFERROR(H20,B21)),""),"")</f>
        <v/>
      </c>
      <c r="I21" s="29">
        <f>IFERROR(IF(AND(ISNUMBER(B21),ISNUMBER(H21)),B21/H21-1,""),"")</f>
        <v/>
      </c>
      <c r="J21" s="8">
        <f>IFERROR(IF(ISNUMBER(C21),MAX(C21,IFERROR(J20,C21)),""),"")</f>
        <v/>
      </c>
      <c r="K21" s="29">
        <f>IFERROR(IF(AND(ISNUMBER(C21),ISNUMBER(J21)),C21/J21-1,""),"")</f>
        <v/>
      </c>
      <c r="L21" s="28">
        <f>IFERROR(IF(AND(ISNUMBER(D21),ISNUMBER(E21)),D21-E21,""),"")</f>
        <v/>
      </c>
    </row>
    <row r="22">
      <c r="A22" s="7">
        <f>IFERROR(Datos!A22,"")</f>
        <v/>
      </c>
      <c r="B22" s="8">
        <f>IFERROR(Datos!B22,"")</f>
        <v/>
      </c>
      <c r="C22" s="8">
        <f>IFERROR(Datos!C22,"")</f>
        <v/>
      </c>
      <c r="D22" s="28">
        <f>IFERROR(IF(AND(ISNUMBER(B22),ISNUMBER(B21),B21&lt;&gt;0),B22/B21-1,""),"")</f>
        <v/>
      </c>
      <c r="E22" s="28">
        <f>IFERROR(IF(AND(ISNUMBER(C22),ISNUMBER(C21),C21&lt;&gt;0),C22/C21-1,""),"")</f>
        <v/>
      </c>
      <c r="F22" s="28">
        <f>IFERROR(D22-Dashboard!$B$4/252,"")</f>
        <v/>
      </c>
      <c r="G22" s="28">
        <f>IFERROR(E22-Dashboard!$B$4/252,"")</f>
        <v/>
      </c>
      <c r="H22" s="8">
        <f>IFERROR(IF(ISNUMBER(B22),MAX(B22,IFERROR(H21,B22)),""),"")</f>
        <v/>
      </c>
      <c r="I22" s="29">
        <f>IFERROR(IF(AND(ISNUMBER(B22),ISNUMBER(H22)),B22/H22-1,""),"")</f>
        <v/>
      </c>
      <c r="J22" s="8">
        <f>IFERROR(IF(ISNUMBER(C22),MAX(C22,IFERROR(J21,C22)),""),"")</f>
        <v/>
      </c>
      <c r="K22" s="29">
        <f>IFERROR(IF(AND(ISNUMBER(C22),ISNUMBER(J22)),C22/J22-1,""),"")</f>
        <v/>
      </c>
      <c r="L22" s="28">
        <f>IFERROR(IF(AND(ISNUMBER(D22),ISNUMBER(E22)),D22-E22,""),"")</f>
        <v/>
      </c>
    </row>
    <row r="23">
      <c r="A23" s="7">
        <f>IFERROR(Datos!A23,"")</f>
        <v/>
      </c>
      <c r="B23" s="8">
        <f>IFERROR(Datos!B23,"")</f>
        <v/>
      </c>
      <c r="C23" s="8">
        <f>IFERROR(Datos!C23,"")</f>
        <v/>
      </c>
      <c r="D23" s="28">
        <f>IFERROR(IF(AND(ISNUMBER(B23),ISNUMBER(B22),B22&lt;&gt;0),B23/B22-1,""),"")</f>
        <v/>
      </c>
      <c r="E23" s="28">
        <f>IFERROR(IF(AND(ISNUMBER(C23),ISNUMBER(C22),C22&lt;&gt;0),C23/C22-1,""),"")</f>
        <v/>
      </c>
      <c r="F23" s="28">
        <f>IFERROR(D23-Dashboard!$B$4/252,"")</f>
        <v/>
      </c>
      <c r="G23" s="28">
        <f>IFERROR(E23-Dashboard!$B$4/252,"")</f>
        <v/>
      </c>
      <c r="H23" s="8">
        <f>IFERROR(IF(ISNUMBER(B23),MAX(B23,IFERROR(H22,B23)),""),"")</f>
        <v/>
      </c>
      <c r="I23" s="29">
        <f>IFERROR(IF(AND(ISNUMBER(B23),ISNUMBER(H23)),B23/H23-1,""),"")</f>
        <v/>
      </c>
      <c r="J23" s="8">
        <f>IFERROR(IF(ISNUMBER(C23),MAX(C23,IFERROR(J22,C23)),""),"")</f>
        <v/>
      </c>
      <c r="K23" s="29">
        <f>IFERROR(IF(AND(ISNUMBER(C23),ISNUMBER(J23)),C23/J23-1,""),"")</f>
        <v/>
      </c>
      <c r="L23" s="28">
        <f>IFERROR(IF(AND(ISNUMBER(D23),ISNUMBER(E23)),D23-E23,""),"")</f>
        <v/>
      </c>
    </row>
    <row r="24">
      <c r="A24" s="7">
        <f>IFERROR(Datos!A24,"")</f>
        <v/>
      </c>
      <c r="B24" s="8">
        <f>IFERROR(Datos!B24,"")</f>
        <v/>
      </c>
      <c r="C24" s="8">
        <f>IFERROR(Datos!C24,"")</f>
        <v/>
      </c>
      <c r="D24" s="28">
        <f>IFERROR(IF(AND(ISNUMBER(B24),ISNUMBER(B23),B23&lt;&gt;0),B24/B23-1,""),"")</f>
        <v/>
      </c>
      <c r="E24" s="28">
        <f>IFERROR(IF(AND(ISNUMBER(C24),ISNUMBER(C23),C23&lt;&gt;0),C24/C23-1,""),"")</f>
        <v/>
      </c>
      <c r="F24" s="28">
        <f>IFERROR(D24-Dashboard!$B$4/252,"")</f>
        <v/>
      </c>
      <c r="G24" s="28">
        <f>IFERROR(E24-Dashboard!$B$4/252,"")</f>
        <v/>
      </c>
      <c r="H24" s="8">
        <f>IFERROR(IF(ISNUMBER(B24),MAX(B24,IFERROR(H23,B24)),""),"")</f>
        <v/>
      </c>
      <c r="I24" s="29">
        <f>IFERROR(IF(AND(ISNUMBER(B24),ISNUMBER(H24)),B24/H24-1,""),"")</f>
        <v/>
      </c>
      <c r="J24" s="8">
        <f>IFERROR(IF(ISNUMBER(C24),MAX(C24,IFERROR(J23,C24)),""),"")</f>
        <v/>
      </c>
      <c r="K24" s="29">
        <f>IFERROR(IF(AND(ISNUMBER(C24),ISNUMBER(J24)),C24/J24-1,""),"")</f>
        <v/>
      </c>
      <c r="L24" s="28">
        <f>IFERROR(IF(AND(ISNUMBER(D24),ISNUMBER(E24)),D24-E24,""),"")</f>
        <v/>
      </c>
    </row>
    <row r="25">
      <c r="A25" s="7">
        <f>IFERROR(Datos!A25,"")</f>
        <v/>
      </c>
      <c r="B25" s="8">
        <f>IFERROR(Datos!B25,"")</f>
        <v/>
      </c>
      <c r="C25" s="8">
        <f>IFERROR(Datos!C25,"")</f>
        <v/>
      </c>
      <c r="D25" s="28">
        <f>IFERROR(IF(AND(ISNUMBER(B25),ISNUMBER(B24),B24&lt;&gt;0),B25/B24-1,""),"")</f>
        <v/>
      </c>
      <c r="E25" s="28">
        <f>IFERROR(IF(AND(ISNUMBER(C25),ISNUMBER(C24),C24&lt;&gt;0),C25/C24-1,""),"")</f>
        <v/>
      </c>
      <c r="F25" s="28">
        <f>IFERROR(D25-Dashboard!$B$4/252,"")</f>
        <v/>
      </c>
      <c r="G25" s="28">
        <f>IFERROR(E25-Dashboard!$B$4/252,"")</f>
        <v/>
      </c>
      <c r="H25" s="8">
        <f>IFERROR(IF(ISNUMBER(B25),MAX(B25,IFERROR(H24,B25)),""),"")</f>
        <v/>
      </c>
      <c r="I25" s="29">
        <f>IFERROR(IF(AND(ISNUMBER(B25),ISNUMBER(H25)),B25/H25-1,""),"")</f>
        <v/>
      </c>
      <c r="J25" s="8">
        <f>IFERROR(IF(ISNUMBER(C25),MAX(C25,IFERROR(J24,C25)),""),"")</f>
        <v/>
      </c>
      <c r="K25" s="29">
        <f>IFERROR(IF(AND(ISNUMBER(C25),ISNUMBER(J25)),C25/J25-1,""),"")</f>
        <v/>
      </c>
      <c r="L25" s="28">
        <f>IFERROR(IF(AND(ISNUMBER(D25),ISNUMBER(E25)),D25-E25,""),"")</f>
        <v/>
      </c>
    </row>
    <row r="26">
      <c r="A26" s="7">
        <f>IFERROR(Datos!A26,"")</f>
        <v/>
      </c>
      <c r="B26" s="8">
        <f>IFERROR(Datos!B26,"")</f>
        <v/>
      </c>
      <c r="C26" s="8">
        <f>IFERROR(Datos!C26,"")</f>
        <v/>
      </c>
      <c r="D26" s="28">
        <f>IFERROR(IF(AND(ISNUMBER(B26),ISNUMBER(B25),B25&lt;&gt;0),B26/B25-1,""),"")</f>
        <v/>
      </c>
      <c r="E26" s="28">
        <f>IFERROR(IF(AND(ISNUMBER(C26),ISNUMBER(C25),C25&lt;&gt;0),C26/C25-1,""),"")</f>
        <v/>
      </c>
      <c r="F26" s="28">
        <f>IFERROR(D26-Dashboard!$B$4/252,"")</f>
        <v/>
      </c>
      <c r="G26" s="28">
        <f>IFERROR(E26-Dashboard!$B$4/252,"")</f>
        <v/>
      </c>
      <c r="H26" s="8">
        <f>IFERROR(IF(ISNUMBER(B26),MAX(B26,IFERROR(H25,B26)),""),"")</f>
        <v/>
      </c>
      <c r="I26" s="29">
        <f>IFERROR(IF(AND(ISNUMBER(B26),ISNUMBER(H26)),B26/H26-1,""),"")</f>
        <v/>
      </c>
      <c r="J26" s="8">
        <f>IFERROR(IF(ISNUMBER(C26),MAX(C26,IFERROR(J25,C26)),""),"")</f>
        <v/>
      </c>
      <c r="K26" s="29">
        <f>IFERROR(IF(AND(ISNUMBER(C26),ISNUMBER(J26)),C26/J26-1,""),"")</f>
        <v/>
      </c>
      <c r="L26" s="28">
        <f>IFERROR(IF(AND(ISNUMBER(D26),ISNUMBER(E26)),D26-E26,""),"")</f>
        <v/>
      </c>
    </row>
    <row r="27">
      <c r="A27" s="7">
        <f>IFERROR(Datos!A27,"")</f>
        <v/>
      </c>
      <c r="B27" s="8">
        <f>IFERROR(Datos!B27,"")</f>
        <v/>
      </c>
      <c r="C27" s="8">
        <f>IFERROR(Datos!C27,"")</f>
        <v/>
      </c>
      <c r="D27" s="28">
        <f>IFERROR(IF(AND(ISNUMBER(B27),ISNUMBER(B26),B26&lt;&gt;0),B27/B26-1,""),"")</f>
        <v/>
      </c>
      <c r="E27" s="28">
        <f>IFERROR(IF(AND(ISNUMBER(C27),ISNUMBER(C26),C26&lt;&gt;0),C27/C26-1,""),"")</f>
        <v/>
      </c>
      <c r="F27" s="28">
        <f>IFERROR(D27-Dashboard!$B$4/252,"")</f>
        <v/>
      </c>
      <c r="G27" s="28">
        <f>IFERROR(E27-Dashboard!$B$4/252,"")</f>
        <v/>
      </c>
      <c r="H27" s="8">
        <f>IFERROR(IF(ISNUMBER(B27),MAX(B27,IFERROR(H26,B27)),""),"")</f>
        <v/>
      </c>
      <c r="I27" s="29">
        <f>IFERROR(IF(AND(ISNUMBER(B27),ISNUMBER(H27)),B27/H27-1,""),"")</f>
        <v/>
      </c>
      <c r="J27" s="8">
        <f>IFERROR(IF(ISNUMBER(C27),MAX(C27,IFERROR(J26,C27)),""),"")</f>
        <v/>
      </c>
      <c r="K27" s="29">
        <f>IFERROR(IF(AND(ISNUMBER(C27),ISNUMBER(J27)),C27/J27-1,""),"")</f>
        <v/>
      </c>
      <c r="L27" s="28">
        <f>IFERROR(IF(AND(ISNUMBER(D27),ISNUMBER(E27)),D27-E27,""),"")</f>
        <v/>
      </c>
    </row>
    <row r="28">
      <c r="A28" s="7">
        <f>IFERROR(Datos!A28,"")</f>
        <v/>
      </c>
      <c r="B28" s="8">
        <f>IFERROR(Datos!B28,"")</f>
        <v/>
      </c>
      <c r="C28" s="8">
        <f>IFERROR(Datos!C28,"")</f>
        <v/>
      </c>
      <c r="D28" s="28">
        <f>IFERROR(IF(AND(ISNUMBER(B28),ISNUMBER(B27),B27&lt;&gt;0),B28/B27-1,""),"")</f>
        <v/>
      </c>
      <c r="E28" s="28">
        <f>IFERROR(IF(AND(ISNUMBER(C28),ISNUMBER(C27),C27&lt;&gt;0),C28/C27-1,""),"")</f>
        <v/>
      </c>
      <c r="F28" s="28">
        <f>IFERROR(D28-Dashboard!$B$4/252,"")</f>
        <v/>
      </c>
      <c r="G28" s="28">
        <f>IFERROR(E28-Dashboard!$B$4/252,"")</f>
        <v/>
      </c>
      <c r="H28" s="8">
        <f>IFERROR(IF(ISNUMBER(B28),MAX(B28,IFERROR(H27,B28)),""),"")</f>
        <v/>
      </c>
      <c r="I28" s="29">
        <f>IFERROR(IF(AND(ISNUMBER(B28),ISNUMBER(H28)),B28/H28-1,""),"")</f>
        <v/>
      </c>
      <c r="J28" s="8">
        <f>IFERROR(IF(ISNUMBER(C28),MAX(C28,IFERROR(J27,C28)),""),"")</f>
        <v/>
      </c>
      <c r="K28" s="29">
        <f>IFERROR(IF(AND(ISNUMBER(C28),ISNUMBER(J28)),C28/J28-1,""),"")</f>
        <v/>
      </c>
      <c r="L28" s="28">
        <f>IFERROR(IF(AND(ISNUMBER(D28),ISNUMBER(E28)),D28-E28,""),"")</f>
        <v/>
      </c>
    </row>
    <row r="29">
      <c r="A29" s="7">
        <f>IFERROR(Datos!A29,"")</f>
        <v/>
      </c>
      <c r="B29" s="8">
        <f>IFERROR(Datos!B29,"")</f>
        <v/>
      </c>
      <c r="C29" s="8">
        <f>IFERROR(Datos!C29,"")</f>
        <v/>
      </c>
      <c r="D29" s="28">
        <f>IFERROR(IF(AND(ISNUMBER(B29),ISNUMBER(B28),B28&lt;&gt;0),B29/B28-1,""),"")</f>
        <v/>
      </c>
      <c r="E29" s="28">
        <f>IFERROR(IF(AND(ISNUMBER(C29),ISNUMBER(C28),C28&lt;&gt;0),C29/C28-1,""),"")</f>
        <v/>
      </c>
      <c r="F29" s="28">
        <f>IFERROR(D29-Dashboard!$B$4/252,"")</f>
        <v/>
      </c>
      <c r="G29" s="28">
        <f>IFERROR(E29-Dashboard!$B$4/252,"")</f>
        <v/>
      </c>
      <c r="H29" s="8">
        <f>IFERROR(IF(ISNUMBER(B29),MAX(B29,IFERROR(H28,B29)),""),"")</f>
        <v/>
      </c>
      <c r="I29" s="29">
        <f>IFERROR(IF(AND(ISNUMBER(B29),ISNUMBER(H29)),B29/H29-1,""),"")</f>
        <v/>
      </c>
      <c r="J29" s="8">
        <f>IFERROR(IF(ISNUMBER(C29),MAX(C29,IFERROR(J28,C29)),""),"")</f>
        <v/>
      </c>
      <c r="K29" s="29">
        <f>IFERROR(IF(AND(ISNUMBER(C29),ISNUMBER(J29)),C29/J29-1,""),"")</f>
        <v/>
      </c>
      <c r="L29" s="28">
        <f>IFERROR(IF(AND(ISNUMBER(D29),ISNUMBER(E29)),D29-E29,""),"")</f>
        <v/>
      </c>
    </row>
    <row r="30">
      <c r="A30" s="7">
        <f>IFERROR(Datos!A30,"")</f>
        <v/>
      </c>
      <c r="B30" s="8">
        <f>IFERROR(Datos!B30,"")</f>
        <v/>
      </c>
      <c r="C30" s="8">
        <f>IFERROR(Datos!C30,"")</f>
        <v/>
      </c>
      <c r="D30" s="28">
        <f>IFERROR(IF(AND(ISNUMBER(B30),ISNUMBER(B29),B29&lt;&gt;0),B30/B29-1,""),"")</f>
        <v/>
      </c>
      <c r="E30" s="28">
        <f>IFERROR(IF(AND(ISNUMBER(C30),ISNUMBER(C29),C29&lt;&gt;0),C30/C29-1,""),"")</f>
        <v/>
      </c>
      <c r="F30" s="28">
        <f>IFERROR(D30-Dashboard!$B$4/252,"")</f>
        <v/>
      </c>
      <c r="G30" s="28">
        <f>IFERROR(E30-Dashboard!$B$4/252,"")</f>
        <v/>
      </c>
      <c r="H30" s="8">
        <f>IFERROR(IF(ISNUMBER(B30),MAX(B30,IFERROR(H29,B30)),""),"")</f>
        <v/>
      </c>
      <c r="I30" s="29">
        <f>IFERROR(IF(AND(ISNUMBER(B30),ISNUMBER(H30)),B30/H30-1,""),"")</f>
        <v/>
      </c>
      <c r="J30" s="8">
        <f>IFERROR(IF(ISNUMBER(C30),MAX(C30,IFERROR(J29,C30)),""),"")</f>
        <v/>
      </c>
      <c r="K30" s="29">
        <f>IFERROR(IF(AND(ISNUMBER(C30),ISNUMBER(J30)),C30/J30-1,""),"")</f>
        <v/>
      </c>
      <c r="L30" s="28">
        <f>IFERROR(IF(AND(ISNUMBER(D30),ISNUMBER(E30)),D30-E30,""),"")</f>
        <v/>
      </c>
    </row>
    <row r="31">
      <c r="A31" s="7">
        <f>IFERROR(Datos!A31,"")</f>
        <v/>
      </c>
      <c r="B31" s="8">
        <f>IFERROR(Datos!B31,"")</f>
        <v/>
      </c>
      <c r="C31" s="8">
        <f>IFERROR(Datos!C31,"")</f>
        <v/>
      </c>
      <c r="D31" s="28">
        <f>IFERROR(IF(AND(ISNUMBER(B31),ISNUMBER(B30),B30&lt;&gt;0),B31/B30-1,""),"")</f>
        <v/>
      </c>
      <c r="E31" s="28">
        <f>IFERROR(IF(AND(ISNUMBER(C31),ISNUMBER(C30),C30&lt;&gt;0),C31/C30-1,""),"")</f>
        <v/>
      </c>
      <c r="F31" s="28">
        <f>IFERROR(D31-Dashboard!$B$4/252,"")</f>
        <v/>
      </c>
      <c r="G31" s="28">
        <f>IFERROR(E31-Dashboard!$B$4/252,"")</f>
        <v/>
      </c>
      <c r="H31" s="8">
        <f>IFERROR(IF(ISNUMBER(B31),MAX(B31,IFERROR(H30,B31)),""),"")</f>
        <v/>
      </c>
      <c r="I31" s="29">
        <f>IFERROR(IF(AND(ISNUMBER(B31),ISNUMBER(H31)),B31/H31-1,""),"")</f>
        <v/>
      </c>
      <c r="J31" s="8">
        <f>IFERROR(IF(ISNUMBER(C31),MAX(C31,IFERROR(J30,C31)),""),"")</f>
        <v/>
      </c>
      <c r="K31" s="29">
        <f>IFERROR(IF(AND(ISNUMBER(C31),ISNUMBER(J31)),C31/J31-1,""),"")</f>
        <v/>
      </c>
      <c r="L31" s="28">
        <f>IFERROR(IF(AND(ISNUMBER(D31),ISNUMBER(E31)),D31-E31,""),"")</f>
        <v/>
      </c>
    </row>
    <row r="32">
      <c r="A32" s="7">
        <f>IFERROR(Datos!A32,"")</f>
        <v/>
      </c>
      <c r="B32" s="8">
        <f>IFERROR(Datos!B32,"")</f>
        <v/>
      </c>
      <c r="C32" s="8">
        <f>IFERROR(Datos!C32,"")</f>
        <v/>
      </c>
      <c r="D32" s="28">
        <f>IFERROR(IF(AND(ISNUMBER(B32),ISNUMBER(B31),B31&lt;&gt;0),B32/B31-1,""),"")</f>
        <v/>
      </c>
      <c r="E32" s="28">
        <f>IFERROR(IF(AND(ISNUMBER(C32),ISNUMBER(C31),C31&lt;&gt;0),C32/C31-1,""),"")</f>
        <v/>
      </c>
      <c r="F32" s="28">
        <f>IFERROR(D32-Dashboard!$B$4/252,"")</f>
        <v/>
      </c>
      <c r="G32" s="28">
        <f>IFERROR(E32-Dashboard!$B$4/252,"")</f>
        <v/>
      </c>
      <c r="H32" s="8">
        <f>IFERROR(IF(ISNUMBER(B32),MAX(B32,IFERROR(H31,B32)),""),"")</f>
        <v/>
      </c>
      <c r="I32" s="29">
        <f>IFERROR(IF(AND(ISNUMBER(B32),ISNUMBER(H32)),B32/H32-1,""),"")</f>
        <v/>
      </c>
      <c r="J32" s="8">
        <f>IFERROR(IF(ISNUMBER(C32),MAX(C32,IFERROR(J31,C32)),""),"")</f>
        <v/>
      </c>
      <c r="K32" s="29">
        <f>IFERROR(IF(AND(ISNUMBER(C32),ISNUMBER(J32)),C32/J32-1,""),"")</f>
        <v/>
      </c>
      <c r="L32" s="28">
        <f>IFERROR(IF(AND(ISNUMBER(D32),ISNUMBER(E32)),D32-E32,""),"")</f>
        <v/>
      </c>
    </row>
    <row r="33">
      <c r="A33" s="7">
        <f>IFERROR(Datos!A33,"")</f>
        <v/>
      </c>
      <c r="B33" s="8">
        <f>IFERROR(Datos!B33,"")</f>
        <v/>
      </c>
      <c r="C33" s="8">
        <f>IFERROR(Datos!C33,"")</f>
        <v/>
      </c>
      <c r="D33" s="28">
        <f>IFERROR(IF(AND(ISNUMBER(B33),ISNUMBER(B32),B32&lt;&gt;0),B33/B32-1,""),"")</f>
        <v/>
      </c>
      <c r="E33" s="28">
        <f>IFERROR(IF(AND(ISNUMBER(C33),ISNUMBER(C32),C32&lt;&gt;0),C33/C32-1,""),"")</f>
        <v/>
      </c>
      <c r="F33" s="28">
        <f>IFERROR(D33-Dashboard!$B$4/252,"")</f>
        <v/>
      </c>
      <c r="G33" s="28">
        <f>IFERROR(E33-Dashboard!$B$4/252,"")</f>
        <v/>
      </c>
      <c r="H33" s="8">
        <f>IFERROR(IF(ISNUMBER(B33),MAX(B33,IFERROR(H32,B33)),""),"")</f>
        <v/>
      </c>
      <c r="I33" s="29">
        <f>IFERROR(IF(AND(ISNUMBER(B33),ISNUMBER(H33)),B33/H33-1,""),"")</f>
        <v/>
      </c>
      <c r="J33" s="8">
        <f>IFERROR(IF(ISNUMBER(C33),MAX(C33,IFERROR(J32,C33)),""),"")</f>
        <v/>
      </c>
      <c r="K33" s="29">
        <f>IFERROR(IF(AND(ISNUMBER(C33),ISNUMBER(J33)),C33/J33-1,""),"")</f>
        <v/>
      </c>
      <c r="L33" s="28">
        <f>IFERROR(IF(AND(ISNUMBER(D33),ISNUMBER(E33)),D33-E33,""),"")</f>
        <v/>
      </c>
    </row>
    <row r="34">
      <c r="A34" s="7">
        <f>IFERROR(Datos!A34,"")</f>
        <v/>
      </c>
      <c r="B34" s="8">
        <f>IFERROR(Datos!B34,"")</f>
        <v/>
      </c>
      <c r="C34" s="8">
        <f>IFERROR(Datos!C34,"")</f>
        <v/>
      </c>
      <c r="D34" s="28">
        <f>IFERROR(IF(AND(ISNUMBER(B34),ISNUMBER(B33),B33&lt;&gt;0),B34/B33-1,""),"")</f>
        <v/>
      </c>
      <c r="E34" s="28">
        <f>IFERROR(IF(AND(ISNUMBER(C34),ISNUMBER(C33),C33&lt;&gt;0),C34/C33-1,""),"")</f>
        <v/>
      </c>
      <c r="F34" s="28">
        <f>IFERROR(D34-Dashboard!$B$4/252,"")</f>
        <v/>
      </c>
      <c r="G34" s="28">
        <f>IFERROR(E34-Dashboard!$B$4/252,"")</f>
        <v/>
      </c>
      <c r="H34" s="8">
        <f>IFERROR(IF(ISNUMBER(B34),MAX(B34,IFERROR(H33,B34)),""),"")</f>
        <v/>
      </c>
      <c r="I34" s="29">
        <f>IFERROR(IF(AND(ISNUMBER(B34),ISNUMBER(H34)),B34/H34-1,""),"")</f>
        <v/>
      </c>
      <c r="J34" s="8">
        <f>IFERROR(IF(ISNUMBER(C34),MAX(C34,IFERROR(J33,C34)),""),"")</f>
        <v/>
      </c>
      <c r="K34" s="29">
        <f>IFERROR(IF(AND(ISNUMBER(C34),ISNUMBER(J34)),C34/J34-1,""),"")</f>
        <v/>
      </c>
      <c r="L34" s="28">
        <f>IFERROR(IF(AND(ISNUMBER(D34),ISNUMBER(E34)),D34-E34,""),"")</f>
        <v/>
      </c>
    </row>
    <row r="35">
      <c r="A35" s="7">
        <f>IFERROR(Datos!A35,"")</f>
        <v/>
      </c>
      <c r="B35" s="8">
        <f>IFERROR(Datos!B35,"")</f>
        <v/>
      </c>
      <c r="C35" s="8">
        <f>IFERROR(Datos!C35,"")</f>
        <v/>
      </c>
      <c r="D35" s="28">
        <f>IFERROR(IF(AND(ISNUMBER(B35),ISNUMBER(B34),B34&lt;&gt;0),B35/B34-1,""),"")</f>
        <v/>
      </c>
      <c r="E35" s="28">
        <f>IFERROR(IF(AND(ISNUMBER(C35),ISNUMBER(C34),C34&lt;&gt;0),C35/C34-1,""),"")</f>
        <v/>
      </c>
      <c r="F35" s="28">
        <f>IFERROR(D35-Dashboard!$B$4/252,"")</f>
        <v/>
      </c>
      <c r="G35" s="28">
        <f>IFERROR(E35-Dashboard!$B$4/252,"")</f>
        <v/>
      </c>
      <c r="H35" s="8">
        <f>IFERROR(IF(ISNUMBER(B35),MAX(B35,IFERROR(H34,B35)),""),"")</f>
        <v/>
      </c>
      <c r="I35" s="29">
        <f>IFERROR(IF(AND(ISNUMBER(B35),ISNUMBER(H35)),B35/H35-1,""),"")</f>
        <v/>
      </c>
      <c r="J35" s="8">
        <f>IFERROR(IF(ISNUMBER(C35),MAX(C35,IFERROR(J34,C35)),""),"")</f>
        <v/>
      </c>
      <c r="K35" s="29">
        <f>IFERROR(IF(AND(ISNUMBER(C35),ISNUMBER(J35)),C35/J35-1,""),"")</f>
        <v/>
      </c>
      <c r="L35" s="28">
        <f>IFERROR(IF(AND(ISNUMBER(D35),ISNUMBER(E35)),D35-E35,""),"")</f>
        <v/>
      </c>
    </row>
    <row r="36">
      <c r="A36" s="7">
        <f>IFERROR(Datos!A36,"")</f>
        <v/>
      </c>
      <c r="B36" s="8">
        <f>IFERROR(Datos!B36,"")</f>
        <v/>
      </c>
      <c r="C36" s="8">
        <f>IFERROR(Datos!C36,"")</f>
        <v/>
      </c>
      <c r="D36" s="28">
        <f>IFERROR(IF(AND(ISNUMBER(B36),ISNUMBER(B35),B35&lt;&gt;0),B36/B35-1,""),"")</f>
        <v/>
      </c>
      <c r="E36" s="28">
        <f>IFERROR(IF(AND(ISNUMBER(C36),ISNUMBER(C35),C35&lt;&gt;0),C36/C35-1,""),"")</f>
        <v/>
      </c>
      <c r="F36" s="28">
        <f>IFERROR(D36-Dashboard!$B$4/252,"")</f>
        <v/>
      </c>
      <c r="G36" s="28">
        <f>IFERROR(E36-Dashboard!$B$4/252,"")</f>
        <v/>
      </c>
      <c r="H36" s="8">
        <f>IFERROR(IF(ISNUMBER(B36),MAX(B36,IFERROR(H35,B36)),""),"")</f>
        <v/>
      </c>
      <c r="I36" s="29">
        <f>IFERROR(IF(AND(ISNUMBER(B36),ISNUMBER(H36)),B36/H36-1,""),"")</f>
        <v/>
      </c>
      <c r="J36" s="8">
        <f>IFERROR(IF(ISNUMBER(C36),MAX(C36,IFERROR(J35,C36)),""),"")</f>
        <v/>
      </c>
      <c r="K36" s="29">
        <f>IFERROR(IF(AND(ISNUMBER(C36),ISNUMBER(J36)),C36/J36-1,""),"")</f>
        <v/>
      </c>
      <c r="L36" s="28">
        <f>IFERROR(IF(AND(ISNUMBER(D36),ISNUMBER(E36)),D36-E36,""),"")</f>
        <v/>
      </c>
    </row>
    <row r="37">
      <c r="A37" s="7">
        <f>IFERROR(Datos!A37,"")</f>
        <v/>
      </c>
      <c r="B37" s="8">
        <f>IFERROR(Datos!B37,"")</f>
        <v/>
      </c>
      <c r="C37" s="8">
        <f>IFERROR(Datos!C37,"")</f>
        <v/>
      </c>
      <c r="D37" s="28">
        <f>IFERROR(IF(AND(ISNUMBER(B37),ISNUMBER(B36),B36&lt;&gt;0),B37/B36-1,""),"")</f>
        <v/>
      </c>
      <c r="E37" s="28">
        <f>IFERROR(IF(AND(ISNUMBER(C37),ISNUMBER(C36),C36&lt;&gt;0),C37/C36-1,""),"")</f>
        <v/>
      </c>
      <c r="F37" s="28">
        <f>IFERROR(D37-Dashboard!$B$4/252,"")</f>
        <v/>
      </c>
      <c r="G37" s="28">
        <f>IFERROR(E37-Dashboard!$B$4/252,"")</f>
        <v/>
      </c>
      <c r="H37" s="8">
        <f>IFERROR(IF(ISNUMBER(B37),MAX(B37,IFERROR(H36,B37)),""),"")</f>
        <v/>
      </c>
      <c r="I37" s="29">
        <f>IFERROR(IF(AND(ISNUMBER(B37),ISNUMBER(H37)),B37/H37-1,""),"")</f>
        <v/>
      </c>
      <c r="J37" s="8">
        <f>IFERROR(IF(ISNUMBER(C37),MAX(C37,IFERROR(J36,C37)),""),"")</f>
        <v/>
      </c>
      <c r="K37" s="29">
        <f>IFERROR(IF(AND(ISNUMBER(C37),ISNUMBER(J37)),C37/J37-1,""),"")</f>
        <v/>
      </c>
      <c r="L37" s="28">
        <f>IFERROR(IF(AND(ISNUMBER(D37),ISNUMBER(E37)),D37-E37,""),"")</f>
        <v/>
      </c>
    </row>
    <row r="38">
      <c r="A38" s="7">
        <f>IFERROR(Datos!A38,"")</f>
        <v/>
      </c>
      <c r="B38" s="8">
        <f>IFERROR(Datos!B38,"")</f>
        <v/>
      </c>
      <c r="C38" s="8">
        <f>IFERROR(Datos!C38,"")</f>
        <v/>
      </c>
      <c r="D38" s="28">
        <f>IFERROR(IF(AND(ISNUMBER(B38),ISNUMBER(B37),B37&lt;&gt;0),B38/B37-1,""),"")</f>
        <v/>
      </c>
      <c r="E38" s="28">
        <f>IFERROR(IF(AND(ISNUMBER(C38),ISNUMBER(C37),C37&lt;&gt;0),C38/C37-1,""),"")</f>
        <v/>
      </c>
      <c r="F38" s="28">
        <f>IFERROR(D38-Dashboard!$B$4/252,"")</f>
        <v/>
      </c>
      <c r="G38" s="28">
        <f>IFERROR(E38-Dashboard!$B$4/252,"")</f>
        <v/>
      </c>
      <c r="H38" s="8">
        <f>IFERROR(IF(ISNUMBER(B38),MAX(B38,IFERROR(H37,B38)),""),"")</f>
        <v/>
      </c>
      <c r="I38" s="29">
        <f>IFERROR(IF(AND(ISNUMBER(B38),ISNUMBER(H38)),B38/H38-1,""),"")</f>
        <v/>
      </c>
      <c r="J38" s="8">
        <f>IFERROR(IF(ISNUMBER(C38),MAX(C38,IFERROR(J37,C38)),""),"")</f>
        <v/>
      </c>
      <c r="K38" s="29">
        <f>IFERROR(IF(AND(ISNUMBER(C38),ISNUMBER(J38)),C38/J38-1,""),"")</f>
        <v/>
      </c>
      <c r="L38" s="28">
        <f>IFERROR(IF(AND(ISNUMBER(D38),ISNUMBER(E38)),D38-E38,""),"")</f>
        <v/>
      </c>
    </row>
    <row r="39">
      <c r="A39" s="7">
        <f>IFERROR(Datos!A39,"")</f>
        <v/>
      </c>
      <c r="B39" s="8">
        <f>IFERROR(Datos!B39,"")</f>
        <v/>
      </c>
      <c r="C39" s="8">
        <f>IFERROR(Datos!C39,"")</f>
        <v/>
      </c>
      <c r="D39" s="28">
        <f>IFERROR(IF(AND(ISNUMBER(B39),ISNUMBER(B38),B38&lt;&gt;0),B39/B38-1,""),"")</f>
        <v/>
      </c>
      <c r="E39" s="28">
        <f>IFERROR(IF(AND(ISNUMBER(C39),ISNUMBER(C38),C38&lt;&gt;0),C39/C38-1,""),"")</f>
        <v/>
      </c>
      <c r="F39" s="28">
        <f>IFERROR(D39-Dashboard!$B$4/252,"")</f>
        <v/>
      </c>
      <c r="G39" s="28">
        <f>IFERROR(E39-Dashboard!$B$4/252,"")</f>
        <v/>
      </c>
      <c r="H39" s="8">
        <f>IFERROR(IF(ISNUMBER(B39),MAX(B39,IFERROR(H38,B39)),""),"")</f>
        <v/>
      </c>
      <c r="I39" s="29">
        <f>IFERROR(IF(AND(ISNUMBER(B39),ISNUMBER(H39)),B39/H39-1,""),"")</f>
        <v/>
      </c>
      <c r="J39" s="8">
        <f>IFERROR(IF(ISNUMBER(C39),MAX(C39,IFERROR(J38,C39)),""),"")</f>
        <v/>
      </c>
      <c r="K39" s="29">
        <f>IFERROR(IF(AND(ISNUMBER(C39),ISNUMBER(J39)),C39/J39-1,""),"")</f>
        <v/>
      </c>
      <c r="L39" s="28">
        <f>IFERROR(IF(AND(ISNUMBER(D39),ISNUMBER(E39)),D39-E39,""),"")</f>
        <v/>
      </c>
    </row>
    <row r="40">
      <c r="A40" s="7">
        <f>IFERROR(Datos!A40,"")</f>
        <v/>
      </c>
      <c r="B40" s="8">
        <f>IFERROR(Datos!B40,"")</f>
        <v/>
      </c>
      <c r="C40" s="8">
        <f>IFERROR(Datos!C40,"")</f>
        <v/>
      </c>
      <c r="D40" s="28">
        <f>IFERROR(IF(AND(ISNUMBER(B40),ISNUMBER(B39),B39&lt;&gt;0),B40/B39-1,""),"")</f>
        <v/>
      </c>
      <c r="E40" s="28">
        <f>IFERROR(IF(AND(ISNUMBER(C40),ISNUMBER(C39),C39&lt;&gt;0),C40/C39-1,""),"")</f>
        <v/>
      </c>
      <c r="F40" s="28">
        <f>IFERROR(D40-Dashboard!$B$4/252,"")</f>
        <v/>
      </c>
      <c r="G40" s="28">
        <f>IFERROR(E40-Dashboard!$B$4/252,"")</f>
        <v/>
      </c>
      <c r="H40" s="8">
        <f>IFERROR(IF(ISNUMBER(B40),MAX(B40,IFERROR(H39,B40)),""),"")</f>
        <v/>
      </c>
      <c r="I40" s="29">
        <f>IFERROR(IF(AND(ISNUMBER(B40),ISNUMBER(H40)),B40/H40-1,""),"")</f>
        <v/>
      </c>
      <c r="J40" s="8">
        <f>IFERROR(IF(ISNUMBER(C40),MAX(C40,IFERROR(J39,C40)),""),"")</f>
        <v/>
      </c>
      <c r="K40" s="29">
        <f>IFERROR(IF(AND(ISNUMBER(C40),ISNUMBER(J40)),C40/J40-1,""),"")</f>
        <v/>
      </c>
      <c r="L40" s="28">
        <f>IFERROR(IF(AND(ISNUMBER(D40),ISNUMBER(E40)),D40-E40,""),"")</f>
        <v/>
      </c>
    </row>
    <row r="41">
      <c r="A41" s="7">
        <f>IFERROR(Datos!A41,"")</f>
        <v/>
      </c>
      <c r="B41" s="8">
        <f>IFERROR(Datos!B41,"")</f>
        <v/>
      </c>
      <c r="C41" s="8">
        <f>IFERROR(Datos!C41,"")</f>
        <v/>
      </c>
      <c r="D41" s="28">
        <f>IFERROR(IF(AND(ISNUMBER(B41),ISNUMBER(B40),B40&lt;&gt;0),B41/B40-1,""),"")</f>
        <v/>
      </c>
      <c r="E41" s="28">
        <f>IFERROR(IF(AND(ISNUMBER(C41),ISNUMBER(C40),C40&lt;&gt;0),C41/C40-1,""),"")</f>
        <v/>
      </c>
      <c r="F41" s="28">
        <f>IFERROR(D41-Dashboard!$B$4/252,"")</f>
        <v/>
      </c>
      <c r="G41" s="28">
        <f>IFERROR(E41-Dashboard!$B$4/252,"")</f>
        <v/>
      </c>
      <c r="H41" s="8">
        <f>IFERROR(IF(ISNUMBER(B41),MAX(B41,IFERROR(H40,B41)),""),"")</f>
        <v/>
      </c>
      <c r="I41" s="29">
        <f>IFERROR(IF(AND(ISNUMBER(B41),ISNUMBER(H41)),B41/H41-1,""),"")</f>
        <v/>
      </c>
      <c r="J41" s="8">
        <f>IFERROR(IF(ISNUMBER(C41),MAX(C41,IFERROR(J40,C41)),""),"")</f>
        <v/>
      </c>
      <c r="K41" s="29">
        <f>IFERROR(IF(AND(ISNUMBER(C41),ISNUMBER(J41)),C41/J41-1,""),"")</f>
        <v/>
      </c>
      <c r="L41" s="28">
        <f>IFERROR(IF(AND(ISNUMBER(D41),ISNUMBER(E41)),D41-E41,""),"")</f>
        <v/>
      </c>
    </row>
    <row r="42">
      <c r="A42" s="7">
        <f>IFERROR(Datos!A42,"")</f>
        <v/>
      </c>
      <c r="B42" s="8">
        <f>IFERROR(Datos!B42,"")</f>
        <v/>
      </c>
      <c r="C42" s="8">
        <f>IFERROR(Datos!C42,"")</f>
        <v/>
      </c>
      <c r="D42" s="28">
        <f>IFERROR(IF(AND(ISNUMBER(B42),ISNUMBER(B41),B41&lt;&gt;0),B42/B41-1,""),"")</f>
        <v/>
      </c>
      <c r="E42" s="28">
        <f>IFERROR(IF(AND(ISNUMBER(C42),ISNUMBER(C41),C41&lt;&gt;0),C42/C41-1,""),"")</f>
        <v/>
      </c>
      <c r="F42" s="28">
        <f>IFERROR(D42-Dashboard!$B$4/252,"")</f>
        <v/>
      </c>
      <c r="G42" s="28">
        <f>IFERROR(E42-Dashboard!$B$4/252,"")</f>
        <v/>
      </c>
      <c r="H42" s="8">
        <f>IFERROR(IF(ISNUMBER(B42),MAX(B42,IFERROR(H41,B42)),""),"")</f>
        <v/>
      </c>
      <c r="I42" s="29">
        <f>IFERROR(IF(AND(ISNUMBER(B42),ISNUMBER(H42)),B42/H42-1,""),"")</f>
        <v/>
      </c>
      <c r="J42" s="8">
        <f>IFERROR(IF(ISNUMBER(C42),MAX(C42,IFERROR(J41,C42)),""),"")</f>
        <v/>
      </c>
      <c r="K42" s="29">
        <f>IFERROR(IF(AND(ISNUMBER(C42),ISNUMBER(J42)),C42/J42-1,""),"")</f>
        <v/>
      </c>
      <c r="L42" s="28">
        <f>IFERROR(IF(AND(ISNUMBER(D42),ISNUMBER(E42)),D42-E42,""),"")</f>
        <v/>
      </c>
    </row>
    <row r="43">
      <c r="A43" s="7">
        <f>IFERROR(Datos!A43,"")</f>
        <v/>
      </c>
      <c r="B43" s="8">
        <f>IFERROR(Datos!B43,"")</f>
        <v/>
      </c>
      <c r="C43" s="8">
        <f>IFERROR(Datos!C43,"")</f>
        <v/>
      </c>
      <c r="D43" s="28">
        <f>IFERROR(IF(AND(ISNUMBER(B43),ISNUMBER(B42),B42&lt;&gt;0),B43/B42-1,""),"")</f>
        <v/>
      </c>
      <c r="E43" s="28">
        <f>IFERROR(IF(AND(ISNUMBER(C43),ISNUMBER(C42),C42&lt;&gt;0),C43/C42-1,""),"")</f>
        <v/>
      </c>
      <c r="F43" s="28">
        <f>IFERROR(D43-Dashboard!$B$4/252,"")</f>
        <v/>
      </c>
      <c r="G43" s="28">
        <f>IFERROR(E43-Dashboard!$B$4/252,"")</f>
        <v/>
      </c>
      <c r="H43" s="8">
        <f>IFERROR(IF(ISNUMBER(B43),MAX(B43,IFERROR(H42,B43)),""),"")</f>
        <v/>
      </c>
      <c r="I43" s="29">
        <f>IFERROR(IF(AND(ISNUMBER(B43),ISNUMBER(H43)),B43/H43-1,""),"")</f>
        <v/>
      </c>
      <c r="J43" s="8">
        <f>IFERROR(IF(ISNUMBER(C43),MAX(C43,IFERROR(J42,C43)),""),"")</f>
        <v/>
      </c>
      <c r="K43" s="29">
        <f>IFERROR(IF(AND(ISNUMBER(C43),ISNUMBER(J43)),C43/J43-1,""),"")</f>
        <v/>
      </c>
      <c r="L43" s="28">
        <f>IFERROR(IF(AND(ISNUMBER(D43),ISNUMBER(E43)),D43-E43,""),"")</f>
        <v/>
      </c>
    </row>
    <row r="44">
      <c r="A44" s="7">
        <f>IFERROR(Datos!A44,"")</f>
        <v/>
      </c>
      <c r="B44" s="8">
        <f>IFERROR(Datos!B44,"")</f>
        <v/>
      </c>
      <c r="C44" s="8">
        <f>IFERROR(Datos!C44,"")</f>
        <v/>
      </c>
      <c r="D44" s="28">
        <f>IFERROR(IF(AND(ISNUMBER(B44),ISNUMBER(B43),B43&lt;&gt;0),B44/B43-1,""),"")</f>
        <v/>
      </c>
      <c r="E44" s="28">
        <f>IFERROR(IF(AND(ISNUMBER(C44),ISNUMBER(C43),C43&lt;&gt;0),C44/C43-1,""),"")</f>
        <v/>
      </c>
      <c r="F44" s="28">
        <f>IFERROR(D44-Dashboard!$B$4/252,"")</f>
        <v/>
      </c>
      <c r="G44" s="28">
        <f>IFERROR(E44-Dashboard!$B$4/252,"")</f>
        <v/>
      </c>
      <c r="H44" s="8">
        <f>IFERROR(IF(ISNUMBER(B44),MAX(B44,IFERROR(H43,B44)),""),"")</f>
        <v/>
      </c>
      <c r="I44" s="29">
        <f>IFERROR(IF(AND(ISNUMBER(B44),ISNUMBER(H44)),B44/H44-1,""),"")</f>
        <v/>
      </c>
      <c r="J44" s="8">
        <f>IFERROR(IF(ISNUMBER(C44),MAX(C44,IFERROR(J43,C44)),""),"")</f>
        <v/>
      </c>
      <c r="K44" s="29">
        <f>IFERROR(IF(AND(ISNUMBER(C44),ISNUMBER(J44)),C44/J44-1,""),"")</f>
        <v/>
      </c>
      <c r="L44" s="28">
        <f>IFERROR(IF(AND(ISNUMBER(D44),ISNUMBER(E44)),D44-E44,""),"")</f>
        <v/>
      </c>
    </row>
    <row r="45">
      <c r="A45" s="7">
        <f>IFERROR(Datos!A45,"")</f>
        <v/>
      </c>
      <c r="B45" s="8">
        <f>IFERROR(Datos!B45,"")</f>
        <v/>
      </c>
      <c r="C45" s="8">
        <f>IFERROR(Datos!C45,"")</f>
        <v/>
      </c>
      <c r="D45" s="28">
        <f>IFERROR(IF(AND(ISNUMBER(B45),ISNUMBER(B44),B44&lt;&gt;0),B45/B44-1,""),"")</f>
        <v/>
      </c>
      <c r="E45" s="28">
        <f>IFERROR(IF(AND(ISNUMBER(C45),ISNUMBER(C44),C44&lt;&gt;0),C45/C44-1,""),"")</f>
        <v/>
      </c>
      <c r="F45" s="28">
        <f>IFERROR(D45-Dashboard!$B$4/252,"")</f>
        <v/>
      </c>
      <c r="G45" s="28">
        <f>IFERROR(E45-Dashboard!$B$4/252,"")</f>
        <v/>
      </c>
      <c r="H45" s="8">
        <f>IFERROR(IF(ISNUMBER(B45),MAX(B45,IFERROR(H44,B45)),""),"")</f>
        <v/>
      </c>
      <c r="I45" s="29">
        <f>IFERROR(IF(AND(ISNUMBER(B45),ISNUMBER(H45)),B45/H45-1,""),"")</f>
        <v/>
      </c>
      <c r="J45" s="8">
        <f>IFERROR(IF(ISNUMBER(C45),MAX(C45,IFERROR(J44,C45)),""),"")</f>
        <v/>
      </c>
      <c r="K45" s="29">
        <f>IFERROR(IF(AND(ISNUMBER(C45),ISNUMBER(J45)),C45/J45-1,""),"")</f>
        <v/>
      </c>
      <c r="L45" s="28">
        <f>IFERROR(IF(AND(ISNUMBER(D45),ISNUMBER(E45)),D45-E45,""),"")</f>
        <v/>
      </c>
    </row>
    <row r="46">
      <c r="A46" s="7">
        <f>IFERROR(Datos!A46,"")</f>
        <v/>
      </c>
      <c r="B46" s="8">
        <f>IFERROR(Datos!B46,"")</f>
        <v/>
      </c>
      <c r="C46" s="8">
        <f>IFERROR(Datos!C46,"")</f>
        <v/>
      </c>
      <c r="D46" s="28">
        <f>IFERROR(IF(AND(ISNUMBER(B46),ISNUMBER(B45),B45&lt;&gt;0),B46/B45-1,""),"")</f>
        <v/>
      </c>
      <c r="E46" s="28">
        <f>IFERROR(IF(AND(ISNUMBER(C46),ISNUMBER(C45),C45&lt;&gt;0),C46/C45-1,""),"")</f>
        <v/>
      </c>
      <c r="F46" s="28">
        <f>IFERROR(D46-Dashboard!$B$4/252,"")</f>
        <v/>
      </c>
      <c r="G46" s="28">
        <f>IFERROR(E46-Dashboard!$B$4/252,"")</f>
        <v/>
      </c>
      <c r="H46" s="8">
        <f>IFERROR(IF(ISNUMBER(B46),MAX(B46,IFERROR(H45,B46)),""),"")</f>
        <v/>
      </c>
      <c r="I46" s="29">
        <f>IFERROR(IF(AND(ISNUMBER(B46),ISNUMBER(H46)),B46/H46-1,""),"")</f>
        <v/>
      </c>
      <c r="J46" s="8">
        <f>IFERROR(IF(ISNUMBER(C46),MAX(C46,IFERROR(J45,C46)),""),"")</f>
        <v/>
      </c>
      <c r="K46" s="29">
        <f>IFERROR(IF(AND(ISNUMBER(C46),ISNUMBER(J46)),C46/J46-1,""),"")</f>
        <v/>
      </c>
      <c r="L46" s="28">
        <f>IFERROR(IF(AND(ISNUMBER(D46),ISNUMBER(E46)),D46-E46,""),"")</f>
        <v/>
      </c>
    </row>
    <row r="47">
      <c r="A47" s="7">
        <f>IFERROR(Datos!A47,"")</f>
        <v/>
      </c>
      <c r="B47" s="8">
        <f>IFERROR(Datos!B47,"")</f>
        <v/>
      </c>
      <c r="C47" s="8">
        <f>IFERROR(Datos!C47,"")</f>
        <v/>
      </c>
      <c r="D47" s="28">
        <f>IFERROR(IF(AND(ISNUMBER(B47),ISNUMBER(B46),B46&lt;&gt;0),B47/B46-1,""),"")</f>
        <v/>
      </c>
      <c r="E47" s="28">
        <f>IFERROR(IF(AND(ISNUMBER(C47),ISNUMBER(C46),C46&lt;&gt;0),C47/C46-1,""),"")</f>
        <v/>
      </c>
      <c r="F47" s="28">
        <f>IFERROR(D47-Dashboard!$B$4/252,"")</f>
        <v/>
      </c>
      <c r="G47" s="28">
        <f>IFERROR(E47-Dashboard!$B$4/252,"")</f>
        <v/>
      </c>
      <c r="H47" s="8">
        <f>IFERROR(IF(ISNUMBER(B47),MAX(B47,IFERROR(H46,B47)),""),"")</f>
        <v/>
      </c>
      <c r="I47" s="29">
        <f>IFERROR(IF(AND(ISNUMBER(B47),ISNUMBER(H47)),B47/H47-1,""),"")</f>
        <v/>
      </c>
      <c r="J47" s="8">
        <f>IFERROR(IF(ISNUMBER(C47),MAX(C47,IFERROR(J46,C47)),""),"")</f>
        <v/>
      </c>
      <c r="K47" s="29">
        <f>IFERROR(IF(AND(ISNUMBER(C47),ISNUMBER(J47)),C47/J47-1,""),"")</f>
        <v/>
      </c>
      <c r="L47" s="28">
        <f>IFERROR(IF(AND(ISNUMBER(D47),ISNUMBER(E47)),D47-E47,""),"")</f>
        <v/>
      </c>
    </row>
    <row r="48">
      <c r="A48" s="7">
        <f>IFERROR(Datos!A48,"")</f>
        <v/>
      </c>
      <c r="B48" s="8">
        <f>IFERROR(Datos!B48,"")</f>
        <v/>
      </c>
      <c r="C48" s="8">
        <f>IFERROR(Datos!C48,"")</f>
        <v/>
      </c>
      <c r="D48" s="28">
        <f>IFERROR(IF(AND(ISNUMBER(B48),ISNUMBER(B47),B47&lt;&gt;0),B48/B47-1,""),"")</f>
        <v/>
      </c>
      <c r="E48" s="28">
        <f>IFERROR(IF(AND(ISNUMBER(C48),ISNUMBER(C47),C47&lt;&gt;0),C48/C47-1,""),"")</f>
        <v/>
      </c>
      <c r="F48" s="28">
        <f>IFERROR(D48-Dashboard!$B$4/252,"")</f>
        <v/>
      </c>
      <c r="G48" s="28">
        <f>IFERROR(E48-Dashboard!$B$4/252,"")</f>
        <v/>
      </c>
      <c r="H48" s="8">
        <f>IFERROR(IF(ISNUMBER(B48),MAX(B48,IFERROR(H47,B48)),""),"")</f>
        <v/>
      </c>
      <c r="I48" s="29">
        <f>IFERROR(IF(AND(ISNUMBER(B48),ISNUMBER(H48)),B48/H48-1,""),"")</f>
        <v/>
      </c>
      <c r="J48" s="8">
        <f>IFERROR(IF(ISNUMBER(C48),MAX(C48,IFERROR(J47,C48)),""),"")</f>
        <v/>
      </c>
      <c r="K48" s="29">
        <f>IFERROR(IF(AND(ISNUMBER(C48),ISNUMBER(J48)),C48/J48-1,""),"")</f>
        <v/>
      </c>
      <c r="L48" s="28">
        <f>IFERROR(IF(AND(ISNUMBER(D48),ISNUMBER(E48)),D48-E48,""),"")</f>
        <v/>
      </c>
    </row>
    <row r="49">
      <c r="A49" s="7">
        <f>IFERROR(Datos!A49,"")</f>
        <v/>
      </c>
      <c r="B49" s="8">
        <f>IFERROR(Datos!B49,"")</f>
        <v/>
      </c>
      <c r="C49" s="8">
        <f>IFERROR(Datos!C49,"")</f>
        <v/>
      </c>
      <c r="D49" s="28">
        <f>IFERROR(IF(AND(ISNUMBER(B49),ISNUMBER(B48),B48&lt;&gt;0),B49/B48-1,""),"")</f>
        <v/>
      </c>
      <c r="E49" s="28">
        <f>IFERROR(IF(AND(ISNUMBER(C49),ISNUMBER(C48),C48&lt;&gt;0),C49/C48-1,""),"")</f>
        <v/>
      </c>
      <c r="F49" s="28">
        <f>IFERROR(D49-Dashboard!$B$4/252,"")</f>
        <v/>
      </c>
      <c r="G49" s="28">
        <f>IFERROR(E49-Dashboard!$B$4/252,"")</f>
        <v/>
      </c>
      <c r="H49" s="8">
        <f>IFERROR(IF(ISNUMBER(B49),MAX(B49,IFERROR(H48,B49)),""),"")</f>
        <v/>
      </c>
      <c r="I49" s="29">
        <f>IFERROR(IF(AND(ISNUMBER(B49),ISNUMBER(H49)),B49/H49-1,""),"")</f>
        <v/>
      </c>
      <c r="J49" s="8">
        <f>IFERROR(IF(ISNUMBER(C49),MAX(C49,IFERROR(J48,C49)),""),"")</f>
        <v/>
      </c>
      <c r="K49" s="29">
        <f>IFERROR(IF(AND(ISNUMBER(C49),ISNUMBER(J49)),C49/J49-1,""),"")</f>
        <v/>
      </c>
      <c r="L49" s="28">
        <f>IFERROR(IF(AND(ISNUMBER(D49),ISNUMBER(E49)),D49-E49,""),"")</f>
        <v/>
      </c>
    </row>
    <row r="50">
      <c r="A50" s="7">
        <f>IFERROR(Datos!A50,"")</f>
        <v/>
      </c>
      <c r="B50" s="8">
        <f>IFERROR(Datos!B50,"")</f>
        <v/>
      </c>
      <c r="C50" s="8">
        <f>IFERROR(Datos!C50,"")</f>
        <v/>
      </c>
      <c r="D50" s="28">
        <f>IFERROR(IF(AND(ISNUMBER(B50),ISNUMBER(B49),B49&lt;&gt;0),B50/B49-1,""),"")</f>
        <v/>
      </c>
      <c r="E50" s="28">
        <f>IFERROR(IF(AND(ISNUMBER(C50),ISNUMBER(C49),C49&lt;&gt;0),C50/C49-1,""),"")</f>
        <v/>
      </c>
      <c r="F50" s="28">
        <f>IFERROR(D50-Dashboard!$B$4/252,"")</f>
        <v/>
      </c>
      <c r="G50" s="28">
        <f>IFERROR(E50-Dashboard!$B$4/252,"")</f>
        <v/>
      </c>
      <c r="H50" s="8">
        <f>IFERROR(IF(ISNUMBER(B50),MAX(B50,IFERROR(H49,B50)),""),"")</f>
        <v/>
      </c>
      <c r="I50" s="29">
        <f>IFERROR(IF(AND(ISNUMBER(B50),ISNUMBER(H50)),B50/H50-1,""),"")</f>
        <v/>
      </c>
      <c r="J50" s="8">
        <f>IFERROR(IF(ISNUMBER(C50),MAX(C50,IFERROR(J49,C50)),""),"")</f>
        <v/>
      </c>
      <c r="K50" s="29">
        <f>IFERROR(IF(AND(ISNUMBER(C50),ISNUMBER(J50)),C50/J50-1,""),"")</f>
        <v/>
      </c>
      <c r="L50" s="28">
        <f>IFERROR(IF(AND(ISNUMBER(D50),ISNUMBER(E50)),D50-E50,""),"")</f>
        <v/>
      </c>
    </row>
    <row r="51">
      <c r="A51" s="7">
        <f>IFERROR(Datos!A51,"")</f>
        <v/>
      </c>
      <c r="B51" s="8">
        <f>IFERROR(Datos!B51,"")</f>
        <v/>
      </c>
      <c r="C51" s="8">
        <f>IFERROR(Datos!C51,"")</f>
        <v/>
      </c>
      <c r="D51" s="28">
        <f>IFERROR(IF(AND(ISNUMBER(B51),ISNUMBER(B50),B50&lt;&gt;0),B51/B50-1,""),"")</f>
        <v/>
      </c>
      <c r="E51" s="28">
        <f>IFERROR(IF(AND(ISNUMBER(C51),ISNUMBER(C50),C50&lt;&gt;0),C51/C50-1,""),"")</f>
        <v/>
      </c>
      <c r="F51" s="28">
        <f>IFERROR(D51-Dashboard!$B$4/252,"")</f>
        <v/>
      </c>
      <c r="G51" s="28">
        <f>IFERROR(E51-Dashboard!$B$4/252,"")</f>
        <v/>
      </c>
      <c r="H51" s="8">
        <f>IFERROR(IF(ISNUMBER(B51),MAX(B51,IFERROR(H50,B51)),""),"")</f>
        <v/>
      </c>
      <c r="I51" s="29">
        <f>IFERROR(IF(AND(ISNUMBER(B51),ISNUMBER(H51)),B51/H51-1,""),"")</f>
        <v/>
      </c>
      <c r="J51" s="8">
        <f>IFERROR(IF(ISNUMBER(C51),MAX(C51,IFERROR(J50,C51)),""),"")</f>
        <v/>
      </c>
      <c r="K51" s="29">
        <f>IFERROR(IF(AND(ISNUMBER(C51),ISNUMBER(J51)),C51/J51-1,""),"")</f>
        <v/>
      </c>
      <c r="L51" s="28">
        <f>IFERROR(IF(AND(ISNUMBER(D51),ISNUMBER(E51)),D51-E51,""),"")</f>
        <v/>
      </c>
    </row>
    <row r="52">
      <c r="A52" s="7">
        <f>IFERROR(Datos!A52,"")</f>
        <v/>
      </c>
      <c r="B52" s="8">
        <f>IFERROR(Datos!B52,"")</f>
        <v/>
      </c>
      <c r="C52" s="8">
        <f>IFERROR(Datos!C52,"")</f>
        <v/>
      </c>
      <c r="D52" s="28">
        <f>IFERROR(IF(AND(ISNUMBER(B52),ISNUMBER(B51),B51&lt;&gt;0),B52/B51-1,""),"")</f>
        <v/>
      </c>
      <c r="E52" s="28">
        <f>IFERROR(IF(AND(ISNUMBER(C52),ISNUMBER(C51),C51&lt;&gt;0),C52/C51-1,""),"")</f>
        <v/>
      </c>
      <c r="F52" s="28">
        <f>IFERROR(D52-Dashboard!$B$4/252,"")</f>
        <v/>
      </c>
      <c r="G52" s="28">
        <f>IFERROR(E52-Dashboard!$B$4/252,"")</f>
        <v/>
      </c>
      <c r="H52" s="8">
        <f>IFERROR(IF(ISNUMBER(B52),MAX(B52,IFERROR(H51,B52)),""),"")</f>
        <v/>
      </c>
      <c r="I52" s="29">
        <f>IFERROR(IF(AND(ISNUMBER(B52),ISNUMBER(H52)),B52/H52-1,""),"")</f>
        <v/>
      </c>
      <c r="J52" s="8">
        <f>IFERROR(IF(ISNUMBER(C52),MAX(C52,IFERROR(J51,C52)),""),"")</f>
        <v/>
      </c>
      <c r="K52" s="29">
        <f>IFERROR(IF(AND(ISNUMBER(C52),ISNUMBER(J52)),C52/J52-1,""),"")</f>
        <v/>
      </c>
      <c r="L52" s="28">
        <f>IFERROR(IF(AND(ISNUMBER(D52),ISNUMBER(E52)),D52-E52,""),"")</f>
        <v/>
      </c>
    </row>
    <row r="53">
      <c r="A53" s="7">
        <f>IFERROR(Datos!A53,"")</f>
        <v/>
      </c>
      <c r="B53" s="8">
        <f>IFERROR(Datos!B53,"")</f>
        <v/>
      </c>
      <c r="C53" s="8">
        <f>IFERROR(Datos!C53,"")</f>
        <v/>
      </c>
      <c r="D53" s="28">
        <f>IFERROR(IF(AND(ISNUMBER(B53),ISNUMBER(B52),B52&lt;&gt;0),B53/B52-1,""),"")</f>
        <v/>
      </c>
      <c r="E53" s="28">
        <f>IFERROR(IF(AND(ISNUMBER(C53),ISNUMBER(C52),C52&lt;&gt;0),C53/C52-1,""),"")</f>
        <v/>
      </c>
      <c r="F53" s="28">
        <f>IFERROR(D53-Dashboard!$B$4/252,"")</f>
        <v/>
      </c>
      <c r="G53" s="28">
        <f>IFERROR(E53-Dashboard!$B$4/252,"")</f>
        <v/>
      </c>
      <c r="H53" s="8">
        <f>IFERROR(IF(ISNUMBER(B53),MAX(B53,IFERROR(H52,B53)),""),"")</f>
        <v/>
      </c>
      <c r="I53" s="29">
        <f>IFERROR(IF(AND(ISNUMBER(B53),ISNUMBER(H53)),B53/H53-1,""),"")</f>
        <v/>
      </c>
      <c r="J53" s="8">
        <f>IFERROR(IF(ISNUMBER(C53),MAX(C53,IFERROR(J52,C53)),""),"")</f>
        <v/>
      </c>
      <c r="K53" s="29">
        <f>IFERROR(IF(AND(ISNUMBER(C53),ISNUMBER(J53)),C53/J53-1,""),"")</f>
        <v/>
      </c>
      <c r="L53" s="28">
        <f>IFERROR(IF(AND(ISNUMBER(D53),ISNUMBER(E53)),D53-E53,""),"")</f>
        <v/>
      </c>
    </row>
    <row r="54">
      <c r="A54" s="7">
        <f>IFERROR(Datos!A54,"")</f>
        <v/>
      </c>
      <c r="B54" s="8">
        <f>IFERROR(Datos!B54,"")</f>
        <v/>
      </c>
      <c r="C54" s="8">
        <f>IFERROR(Datos!C54,"")</f>
        <v/>
      </c>
      <c r="D54" s="28">
        <f>IFERROR(IF(AND(ISNUMBER(B54),ISNUMBER(B53),B53&lt;&gt;0),B54/B53-1,""),"")</f>
        <v/>
      </c>
      <c r="E54" s="28">
        <f>IFERROR(IF(AND(ISNUMBER(C54),ISNUMBER(C53),C53&lt;&gt;0),C54/C53-1,""),"")</f>
        <v/>
      </c>
      <c r="F54" s="28">
        <f>IFERROR(D54-Dashboard!$B$4/252,"")</f>
        <v/>
      </c>
      <c r="G54" s="28">
        <f>IFERROR(E54-Dashboard!$B$4/252,"")</f>
        <v/>
      </c>
      <c r="H54" s="8">
        <f>IFERROR(IF(ISNUMBER(B54),MAX(B54,IFERROR(H53,B54)),""),"")</f>
        <v/>
      </c>
      <c r="I54" s="29">
        <f>IFERROR(IF(AND(ISNUMBER(B54),ISNUMBER(H54)),B54/H54-1,""),"")</f>
        <v/>
      </c>
      <c r="J54" s="8">
        <f>IFERROR(IF(ISNUMBER(C54),MAX(C54,IFERROR(J53,C54)),""),"")</f>
        <v/>
      </c>
      <c r="K54" s="29">
        <f>IFERROR(IF(AND(ISNUMBER(C54),ISNUMBER(J54)),C54/J54-1,""),"")</f>
        <v/>
      </c>
      <c r="L54" s="28">
        <f>IFERROR(IF(AND(ISNUMBER(D54),ISNUMBER(E54)),D54-E54,""),"")</f>
        <v/>
      </c>
    </row>
    <row r="55">
      <c r="A55" s="7">
        <f>IFERROR(Datos!A55,"")</f>
        <v/>
      </c>
      <c r="B55" s="8">
        <f>IFERROR(Datos!B55,"")</f>
        <v/>
      </c>
      <c r="C55" s="8">
        <f>IFERROR(Datos!C55,"")</f>
        <v/>
      </c>
      <c r="D55" s="28">
        <f>IFERROR(IF(AND(ISNUMBER(B55),ISNUMBER(B54),B54&lt;&gt;0),B55/B54-1,""),"")</f>
        <v/>
      </c>
      <c r="E55" s="28">
        <f>IFERROR(IF(AND(ISNUMBER(C55),ISNUMBER(C54),C54&lt;&gt;0),C55/C54-1,""),"")</f>
        <v/>
      </c>
      <c r="F55" s="28">
        <f>IFERROR(D55-Dashboard!$B$4/252,"")</f>
        <v/>
      </c>
      <c r="G55" s="28">
        <f>IFERROR(E55-Dashboard!$B$4/252,"")</f>
        <v/>
      </c>
      <c r="H55" s="8">
        <f>IFERROR(IF(ISNUMBER(B55),MAX(B55,IFERROR(H54,B55)),""),"")</f>
        <v/>
      </c>
      <c r="I55" s="29">
        <f>IFERROR(IF(AND(ISNUMBER(B55),ISNUMBER(H55)),B55/H55-1,""),"")</f>
        <v/>
      </c>
      <c r="J55" s="8">
        <f>IFERROR(IF(ISNUMBER(C55),MAX(C55,IFERROR(J54,C55)),""),"")</f>
        <v/>
      </c>
      <c r="K55" s="29">
        <f>IFERROR(IF(AND(ISNUMBER(C55),ISNUMBER(J55)),C55/J55-1,""),"")</f>
        <v/>
      </c>
      <c r="L55" s="28">
        <f>IFERROR(IF(AND(ISNUMBER(D55),ISNUMBER(E55)),D55-E55,""),"")</f>
        <v/>
      </c>
    </row>
    <row r="56">
      <c r="A56" s="7">
        <f>IFERROR(Datos!A56,"")</f>
        <v/>
      </c>
      <c r="B56" s="8">
        <f>IFERROR(Datos!B56,"")</f>
        <v/>
      </c>
      <c r="C56" s="8">
        <f>IFERROR(Datos!C56,"")</f>
        <v/>
      </c>
      <c r="D56" s="28">
        <f>IFERROR(IF(AND(ISNUMBER(B56),ISNUMBER(B55),B55&lt;&gt;0),B56/B55-1,""),"")</f>
        <v/>
      </c>
      <c r="E56" s="28">
        <f>IFERROR(IF(AND(ISNUMBER(C56),ISNUMBER(C55),C55&lt;&gt;0),C56/C55-1,""),"")</f>
        <v/>
      </c>
      <c r="F56" s="28">
        <f>IFERROR(D56-Dashboard!$B$4/252,"")</f>
        <v/>
      </c>
      <c r="G56" s="28">
        <f>IFERROR(E56-Dashboard!$B$4/252,"")</f>
        <v/>
      </c>
      <c r="H56" s="8">
        <f>IFERROR(IF(ISNUMBER(B56),MAX(B56,IFERROR(H55,B56)),""),"")</f>
        <v/>
      </c>
      <c r="I56" s="29">
        <f>IFERROR(IF(AND(ISNUMBER(B56),ISNUMBER(H56)),B56/H56-1,""),"")</f>
        <v/>
      </c>
      <c r="J56" s="8">
        <f>IFERROR(IF(ISNUMBER(C56),MAX(C56,IFERROR(J55,C56)),""),"")</f>
        <v/>
      </c>
      <c r="K56" s="29">
        <f>IFERROR(IF(AND(ISNUMBER(C56),ISNUMBER(J56)),C56/J56-1,""),"")</f>
        <v/>
      </c>
      <c r="L56" s="28">
        <f>IFERROR(IF(AND(ISNUMBER(D56),ISNUMBER(E56)),D56-E56,""),"")</f>
        <v/>
      </c>
    </row>
    <row r="57">
      <c r="A57" s="7">
        <f>IFERROR(Datos!A57,"")</f>
        <v/>
      </c>
      <c r="B57" s="8">
        <f>IFERROR(Datos!B57,"")</f>
        <v/>
      </c>
      <c r="C57" s="8">
        <f>IFERROR(Datos!C57,"")</f>
        <v/>
      </c>
      <c r="D57" s="28">
        <f>IFERROR(IF(AND(ISNUMBER(B57),ISNUMBER(B56),B56&lt;&gt;0),B57/B56-1,""),"")</f>
        <v/>
      </c>
      <c r="E57" s="28">
        <f>IFERROR(IF(AND(ISNUMBER(C57),ISNUMBER(C56),C56&lt;&gt;0),C57/C56-1,""),"")</f>
        <v/>
      </c>
      <c r="F57" s="28">
        <f>IFERROR(D57-Dashboard!$B$4/252,"")</f>
        <v/>
      </c>
      <c r="G57" s="28">
        <f>IFERROR(E57-Dashboard!$B$4/252,"")</f>
        <v/>
      </c>
      <c r="H57" s="8">
        <f>IFERROR(IF(ISNUMBER(B57),MAX(B57,IFERROR(H56,B57)),""),"")</f>
        <v/>
      </c>
      <c r="I57" s="29">
        <f>IFERROR(IF(AND(ISNUMBER(B57),ISNUMBER(H57)),B57/H57-1,""),"")</f>
        <v/>
      </c>
      <c r="J57" s="8">
        <f>IFERROR(IF(ISNUMBER(C57),MAX(C57,IFERROR(J56,C57)),""),"")</f>
        <v/>
      </c>
      <c r="K57" s="29">
        <f>IFERROR(IF(AND(ISNUMBER(C57),ISNUMBER(J57)),C57/J57-1,""),"")</f>
        <v/>
      </c>
      <c r="L57" s="28">
        <f>IFERROR(IF(AND(ISNUMBER(D57),ISNUMBER(E57)),D57-E57,""),"")</f>
        <v/>
      </c>
    </row>
    <row r="58">
      <c r="A58" s="7">
        <f>IFERROR(Datos!A58,"")</f>
        <v/>
      </c>
      <c r="B58" s="8">
        <f>IFERROR(Datos!B58,"")</f>
        <v/>
      </c>
      <c r="C58" s="8">
        <f>IFERROR(Datos!C58,"")</f>
        <v/>
      </c>
      <c r="D58" s="28">
        <f>IFERROR(IF(AND(ISNUMBER(B58),ISNUMBER(B57),B57&lt;&gt;0),B58/B57-1,""),"")</f>
        <v/>
      </c>
      <c r="E58" s="28">
        <f>IFERROR(IF(AND(ISNUMBER(C58),ISNUMBER(C57),C57&lt;&gt;0),C58/C57-1,""),"")</f>
        <v/>
      </c>
      <c r="F58" s="28">
        <f>IFERROR(D58-Dashboard!$B$4/252,"")</f>
        <v/>
      </c>
      <c r="G58" s="28">
        <f>IFERROR(E58-Dashboard!$B$4/252,"")</f>
        <v/>
      </c>
      <c r="H58" s="8">
        <f>IFERROR(IF(ISNUMBER(B58),MAX(B58,IFERROR(H57,B58)),""),"")</f>
        <v/>
      </c>
      <c r="I58" s="29">
        <f>IFERROR(IF(AND(ISNUMBER(B58),ISNUMBER(H58)),B58/H58-1,""),"")</f>
        <v/>
      </c>
      <c r="J58" s="8">
        <f>IFERROR(IF(ISNUMBER(C58),MAX(C58,IFERROR(J57,C58)),""),"")</f>
        <v/>
      </c>
      <c r="K58" s="29">
        <f>IFERROR(IF(AND(ISNUMBER(C58),ISNUMBER(J58)),C58/J58-1,""),"")</f>
        <v/>
      </c>
      <c r="L58" s="28">
        <f>IFERROR(IF(AND(ISNUMBER(D58),ISNUMBER(E58)),D58-E58,""),"")</f>
        <v/>
      </c>
    </row>
    <row r="59">
      <c r="A59" s="7">
        <f>IFERROR(Datos!A59,"")</f>
        <v/>
      </c>
      <c r="B59" s="8">
        <f>IFERROR(Datos!B59,"")</f>
        <v/>
      </c>
      <c r="C59" s="8">
        <f>IFERROR(Datos!C59,"")</f>
        <v/>
      </c>
      <c r="D59" s="28">
        <f>IFERROR(IF(AND(ISNUMBER(B59),ISNUMBER(B58),B58&lt;&gt;0),B59/B58-1,""),"")</f>
        <v/>
      </c>
      <c r="E59" s="28">
        <f>IFERROR(IF(AND(ISNUMBER(C59),ISNUMBER(C58),C58&lt;&gt;0),C59/C58-1,""),"")</f>
        <v/>
      </c>
      <c r="F59" s="28">
        <f>IFERROR(D59-Dashboard!$B$4/252,"")</f>
        <v/>
      </c>
      <c r="G59" s="28">
        <f>IFERROR(E59-Dashboard!$B$4/252,"")</f>
        <v/>
      </c>
      <c r="H59" s="8">
        <f>IFERROR(IF(ISNUMBER(B59),MAX(B59,IFERROR(H58,B59)),""),"")</f>
        <v/>
      </c>
      <c r="I59" s="29">
        <f>IFERROR(IF(AND(ISNUMBER(B59),ISNUMBER(H59)),B59/H59-1,""),"")</f>
        <v/>
      </c>
      <c r="J59" s="8">
        <f>IFERROR(IF(ISNUMBER(C59),MAX(C59,IFERROR(J58,C59)),""),"")</f>
        <v/>
      </c>
      <c r="K59" s="29">
        <f>IFERROR(IF(AND(ISNUMBER(C59),ISNUMBER(J59)),C59/J59-1,""),"")</f>
        <v/>
      </c>
      <c r="L59" s="28">
        <f>IFERROR(IF(AND(ISNUMBER(D59),ISNUMBER(E59)),D59-E59,""),"")</f>
        <v/>
      </c>
    </row>
    <row r="60">
      <c r="A60" s="7">
        <f>IFERROR(Datos!A60,"")</f>
        <v/>
      </c>
      <c r="B60" s="8">
        <f>IFERROR(Datos!B60,"")</f>
        <v/>
      </c>
      <c r="C60" s="8">
        <f>IFERROR(Datos!C60,"")</f>
        <v/>
      </c>
      <c r="D60" s="28">
        <f>IFERROR(IF(AND(ISNUMBER(B60),ISNUMBER(B59),B59&lt;&gt;0),B60/B59-1,""),"")</f>
        <v/>
      </c>
      <c r="E60" s="28">
        <f>IFERROR(IF(AND(ISNUMBER(C60),ISNUMBER(C59),C59&lt;&gt;0),C60/C59-1,""),"")</f>
        <v/>
      </c>
      <c r="F60" s="28">
        <f>IFERROR(D60-Dashboard!$B$4/252,"")</f>
        <v/>
      </c>
      <c r="G60" s="28">
        <f>IFERROR(E60-Dashboard!$B$4/252,"")</f>
        <v/>
      </c>
      <c r="H60" s="8">
        <f>IFERROR(IF(ISNUMBER(B60),MAX(B60,IFERROR(H59,B60)),""),"")</f>
        <v/>
      </c>
      <c r="I60" s="29">
        <f>IFERROR(IF(AND(ISNUMBER(B60),ISNUMBER(H60)),B60/H60-1,""),"")</f>
        <v/>
      </c>
      <c r="J60" s="8">
        <f>IFERROR(IF(ISNUMBER(C60),MAX(C60,IFERROR(J59,C60)),""),"")</f>
        <v/>
      </c>
      <c r="K60" s="29">
        <f>IFERROR(IF(AND(ISNUMBER(C60),ISNUMBER(J60)),C60/J60-1,""),"")</f>
        <v/>
      </c>
      <c r="L60" s="28">
        <f>IFERROR(IF(AND(ISNUMBER(D60),ISNUMBER(E60)),D60-E60,""),"")</f>
        <v/>
      </c>
    </row>
    <row r="61">
      <c r="A61" s="7">
        <f>IFERROR(Datos!A61,"")</f>
        <v/>
      </c>
      <c r="B61" s="8">
        <f>IFERROR(Datos!B61,"")</f>
        <v/>
      </c>
      <c r="C61" s="8">
        <f>IFERROR(Datos!C61,"")</f>
        <v/>
      </c>
      <c r="D61" s="28">
        <f>IFERROR(IF(AND(ISNUMBER(B61),ISNUMBER(B60),B60&lt;&gt;0),B61/B60-1,""),"")</f>
        <v/>
      </c>
      <c r="E61" s="28">
        <f>IFERROR(IF(AND(ISNUMBER(C61),ISNUMBER(C60),C60&lt;&gt;0),C61/C60-1,""),"")</f>
        <v/>
      </c>
      <c r="F61" s="28">
        <f>IFERROR(D61-Dashboard!$B$4/252,"")</f>
        <v/>
      </c>
      <c r="G61" s="28">
        <f>IFERROR(E61-Dashboard!$B$4/252,"")</f>
        <v/>
      </c>
      <c r="H61" s="8">
        <f>IFERROR(IF(ISNUMBER(B61),MAX(B61,IFERROR(H60,B61)),""),"")</f>
        <v/>
      </c>
      <c r="I61" s="29">
        <f>IFERROR(IF(AND(ISNUMBER(B61),ISNUMBER(H61)),B61/H61-1,""),"")</f>
        <v/>
      </c>
      <c r="J61" s="8">
        <f>IFERROR(IF(ISNUMBER(C61),MAX(C61,IFERROR(J60,C61)),""),"")</f>
        <v/>
      </c>
      <c r="K61" s="29">
        <f>IFERROR(IF(AND(ISNUMBER(C61),ISNUMBER(J61)),C61/J61-1,""),"")</f>
        <v/>
      </c>
      <c r="L61" s="28">
        <f>IFERROR(IF(AND(ISNUMBER(D61),ISNUMBER(E61)),D61-E61,""),"")</f>
        <v/>
      </c>
    </row>
    <row r="62">
      <c r="A62" s="7">
        <f>IFERROR(Datos!A62,"")</f>
        <v/>
      </c>
      <c r="B62" s="8">
        <f>IFERROR(Datos!B62,"")</f>
        <v/>
      </c>
      <c r="C62" s="8">
        <f>IFERROR(Datos!C62,"")</f>
        <v/>
      </c>
      <c r="D62" s="28">
        <f>IFERROR(IF(AND(ISNUMBER(B62),ISNUMBER(B61),B61&lt;&gt;0),B62/B61-1,""),"")</f>
        <v/>
      </c>
      <c r="E62" s="28">
        <f>IFERROR(IF(AND(ISNUMBER(C62),ISNUMBER(C61),C61&lt;&gt;0),C62/C61-1,""),"")</f>
        <v/>
      </c>
      <c r="F62" s="28">
        <f>IFERROR(D62-Dashboard!$B$4/252,"")</f>
        <v/>
      </c>
      <c r="G62" s="28">
        <f>IFERROR(E62-Dashboard!$B$4/252,"")</f>
        <v/>
      </c>
      <c r="H62" s="8">
        <f>IFERROR(IF(ISNUMBER(B62),MAX(B62,IFERROR(H61,B62)),""),"")</f>
        <v/>
      </c>
      <c r="I62" s="29">
        <f>IFERROR(IF(AND(ISNUMBER(B62),ISNUMBER(H62)),B62/H62-1,""),"")</f>
        <v/>
      </c>
      <c r="J62" s="8">
        <f>IFERROR(IF(ISNUMBER(C62),MAX(C62,IFERROR(J61,C62)),""),"")</f>
        <v/>
      </c>
      <c r="K62" s="29">
        <f>IFERROR(IF(AND(ISNUMBER(C62),ISNUMBER(J62)),C62/J62-1,""),"")</f>
        <v/>
      </c>
      <c r="L62" s="28">
        <f>IFERROR(IF(AND(ISNUMBER(D62),ISNUMBER(E62)),D62-E62,""),"")</f>
        <v/>
      </c>
    </row>
    <row r="63">
      <c r="A63" s="7">
        <f>IFERROR(Datos!A63,"")</f>
        <v/>
      </c>
      <c r="B63" s="8">
        <f>IFERROR(Datos!B63,"")</f>
        <v/>
      </c>
      <c r="C63" s="8">
        <f>IFERROR(Datos!C63,"")</f>
        <v/>
      </c>
      <c r="D63" s="28">
        <f>IFERROR(IF(AND(ISNUMBER(B63),ISNUMBER(B62),B62&lt;&gt;0),B63/B62-1,""),"")</f>
        <v/>
      </c>
      <c r="E63" s="28">
        <f>IFERROR(IF(AND(ISNUMBER(C63),ISNUMBER(C62),C62&lt;&gt;0),C63/C62-1,""),"")</f>
        <v/>
      </c>
      <c r="F63" s="28">
        <f>IFERROR(D63-Dashboard!$B$4/252,"")</f>
        <v/>
      </c>
      <c r="G63" s="28">
        <f>IFERROR(E63-Dashboard!$B$4/252,"")</f>
        <v/>
      </c>
      <c r="H63" s="8">
        <f>IFERROR(IF(ISNUMBER(B63),MAX(B63,IFERROR(H62,B63)),""),"")</f>
        <v/>
      </c>
      <c r="I63" s="29">
        <f>IFERROR(IF(AND(ISNUMBER(B63),ISNUMBER(H63)),B63/H63-1,""),"")</f>
        <v/>
      </c>
      <c r="J63" s="8">
        <f>IFERROR(IF(ISNUMBER(C63),MAX(C63,IFERROR(J62,C63)),""),"")</f>
        <v/>
      </c>
      <c r="K63" s="29">
        <f>IFERROR(IF(AND(ISNUMBER(C63),ISNUMBER(J63)),C63/J63-1,""),"")</f>
        <v/>
      </c>
      <c r="L63" s="28">
        <f>IFERROR(IF(AND(ISNUMBER(D63),ISNUMBER(E63)),D63-E63,""),"")</f>
        <v/>
      </c>
    </row>
    <row r="64">
      <c r="A64" s="7">
        <f>IFERROR(Datos!A64,"")</f>
        <v/>
      </c>
      <c r="B64" s="8">
        <f>IFERROR(Datos!B64,"")</f>
        <v/>
      </c>
      <c r="C64" s="8">
        <f>IFERROR(Datos!C64,"")</f>
        <v/>
      </c>
      <c r="D64" s="28">
        <f>IFERROR(IF(AND(ISNUMBER(B64),ISNUMBER(B63),B63&lt;&gt;0),B64/B63-1,""),"")</f>
        <v/>
      </c>
      <c r="E64" s="28">
        <f>IFERROR(IF(AND(ISNUMBER(C64),ISNUMBER(C63),C63&lt;&gt;0),C64/C63-1,""),"")</f>
        <v/>
      </c>
      <c r="F64" s="28">
        <f>IFERROR(D64-Dashboard!$B$4/252,"")</f>
        <v/>
      </c>
      <c r="G64" s="28">
        <f>IFERROR(E64-Dashboard!$B$4/252,"")</f>
        <v/>
      </c>
      <c r="H64" s="8">
        <f>IFERROR(IF(ISNUMBER(B64),MAX(B64,IFERROR(H63,B64)),""),"")</f>
        <v/>
      </c>
      <c r="I64" s="29">
        <f>IFERROR(IF(AND(ISNUMBER(B64),ISNUMBER(H64)),B64/H64-1,""),"")</f>
        <v/>
      </c>
      <c r="J64" s="8">
        <f>IFERROR(IF(ISNUMBER(C64),MAX(C64,IFERROR(J63,C64)),""),"")</f>
        <v/>
      </c>
      <c r="K64" s="29">
        <f>IFERROR(IF(AND(ISNUMBER(C64),ISNUMBER(J64)),C64/J64-1,""),"")</f>
        <v/>
      </c>
      <c r="L64" s="28">
        <f>IFERROR(IF(AND(ISNUMBER(D64),ISNUMBER(E64)),D64-E64,""),"")</f>
        <v/>
      </c>
    </row>
    <row r="65">
      <c r="A65" s="7">
        <f>IFERROR(Datos!A65,"")</f>
        <v/>
      </c>
      <c r="B65" s="8">
        <f>IFERROR(Datos!B65,"")</f>
        <v/>
      </c>
      <c r="C65" s="8">
        <f>IFERROR(Datos!C65,"")</f>
        <v/>
      </c>
      <c r="D65" s="28">
        <f>IFERROR(IF(AND(ISNUMBER(B65),ISNUMBER(B64),B64&lt;&gt;0),B65/B64-1,""),"")</f>
        <v/>
      </c>
      <c r="E65" s="28">
        <f>IFERROR(IF(AND(ISNUMBER(C65),ISNUMBER(C64),C64&lt;&gt;0),C65/C64-1,""),"")</f>
        <v/>
      </c>
      <c r="F65" s="28">
        <f>IFERROR(D65-Dashboard!$B$4/252,"")</f>
        <v/>
      </c>
      <c r="G65" s="28">
        <f>IFERROR(E65-Dashboard!$B$4/252,"")</f>
        <v/>
      </c>
      <c r="H65" s="8">
        <f>IFERROR(IF(ISNUMBER(B65),MAX(B65,IFERROR(H64,B65)),""),"")</f>
        <v/>
      </c>
      <c r="I65" s="29">
        <f>IFERROR(IF(AND(ISNUMBER(B65),ISNUMBER(H65)),B65/H65-1,""),"")</f>
        <v/>
      </c>
      <c r="J65" s="8">
        <f>IFERROR(IF(ISNUMBER(C65),MAX(C65,IFERROR(J64,C65)),""),"")</f>
        <v/>
      </c>
      <c r="K65" s="29">
        <f>IFERROR(IF(AND(ISNUMBER(C65),ISNUMBER(J65)),C65/J65-1,""),"")</f>
        <v/>
      </c>
      <c r="L65" s="28">
        <f>IFERROR(IF(AND(ISNUMBER(D65),ISNUMBER(E65)),D65-E65,""),"")</f>
        <v/>
      </c>
    </row>
    <row r="66">
      <c r="A66" s="7">
        <f>IFERROR(Datos!A66,"")</f>
        <v/>
      </c>
      <c r="B66" s="8">
        <f>IFERROR(Datos!B66,"")</f>
        <v/>
      </c>
      <c r="C66" s="8">
        <f>IFERROR(Datos!C66,"")</f>
        <v/>
      </c>
      <c r="D66" s="28">
        <f>IFERROR(IF(AND(ISNUMBER(B66),ISNUMBER(B65),B65&lt;&gt;0),B66/B65-1,""),"")</f>
        <v/>
      </c>
      <c r="E66" s="28">
        <f>IFERROR(IF(AND(ISNUMBER(C66),ISNUMBER(C65),C65&lt;&gt;0),C66/C65-1,""),"")</f>
        <v/>
      </c>
      <c r="F66" s="28">
        <f>IFERROR(D66-Dashboard!$B$4/252,"")</f>
        <v/>
      </c>
      <c r="G66" s="28">
        <f>IFERROR(E66-Dashboard!$B$4/252,"")</f>
        <v/>
      </c>
      <c r="H66" s="8">
        <f>IFERROR(IF(ISNUMBER(B66),MAX(B66,IFERROR(H65,B66)),""),"")</f>
        <v/>
      </c>
      <c r="I66" s="29">
        <f>IFERROR(IF(AND(ISNUMBER(B66),ISNUMBER(H66)),B66/H66-1,""),"")</f>
        <v/>
      </c>
      <c r="J66" s="8">
        <f>IFERROR(IF(ISNUMBER(C66),MAX(C66,IFERROR(J65,C66)),""),"")</f>
        <v/>
      </c>
      <c r="K66" s="29">
        <f>IFERROR(IF(AND(ISNUMBER(C66),ISNUMBER(J66)),C66/J66-1,""),"")</f>
        <v/>
      </c>
      <c r="L66" s="28">
        <f>IFERROR(IF(AND(ISNUMBER(D66),ISNUMBER(E66)),D66-E66,""),"")</f>
        <v/>
      </c>
    </row>
    <row r="67">
      <c r="A67" s="7">
        <f>IFERROR(Datos!A67,"")</f>
        <v/>
      </c>
      <c r="B67" s="8">
        <f>IFERROR(Datos!B67,"")</f>
        <v/>
      </c>
      <c r="C67" s="8">
        <f>IFERROR(Datos!C67,"")</f>
        <v/>
      </c>
      <c r="D67" s="28">
        <f>IFERROR(IF(AND(ISNUMBER(B67),ISNUMBER(B66),B66&lt;&gt;0),B67/B66-1,""),"")</f>
        <v/>
      </c>
      <c r="E67" s="28">
        <f>IFERROR(IF(AND(ISNUMBER(C67),ISNUMBER(C66),C66&lt;&gt;0),C67/C66-1,""),"")</f>
        <v/>
      </c>
      <c r="F67" s="28">
        <f>IFERROR(D67-Dashboard!$B$4/252,"")</f>
        <v/>
      </c>
      <c r="G67" s="28">
        <f>IFERROR(E67-Dashboard!$B$4/252,"")</f>
        <v/>
      </c>
      <c r="H67" s="8">
        <f>IFERROR(IF(ISNUMBER(B67),MAX(B67,IFERROR(H66,B67)),""),"")</f>
        <v/>
      </c>
      <c r="I67" s="29">
        <f>IFERROR(IF(AND(ISNUMBER(B67),ISNUMBER(H67)),B67/H67-1,""),"")</f>
        <v/>
      </c>
      <c r="J67" s="8">
        <f>IFERROR(IF(ISNUMBER(C67),MAX(C67,IFERROR(J66,C67)),""),"")</f>
        <v/>
      </c>
      <c r="K67" s="29">
        <f>IFERROR(IF(AND(ISNUMBER(C67),ISNUMBER(J67)),C67/J67-1,""),"")</f>
        <v/>
      </c>
      <c r="L67" s="28">
        <f>IFERROR(IF(AND(ISNUMBER(D67),ISNUMBER(E67)),D67-E67,""),"")</f>
        <v/>
      </c>
    </row>
    <row r="68">
      <c r="A68" s="7">
        <f>IFERROR(Datos!A68,"")</f>
        <v/>
      </c>
      <c r="B68" s="8">
        <f>IFERROR(Datos!B68,"")</f>
        <v/>
      </c>
      <c r="C68" s="8">
        <f>IFERROR(Datos!C68,"")</f>
        <v/>
      </c>
      <c r="D68" s="28">
        <f>IFERROR(IF(AND(ISNUMBER(B68),ISNUMBER(B67),B67&lt;&gt;0),B68/B67-1,""),"")</f>
        <v/>
      </c>
      <c r="E68" s="28">
        <f>IFERROR(IF(AND(ISNUMBER(C68),ISNUMBER(C67),C67&lt;&gt;0),C68/C67-1,""),"")</f>
        <v/>
      </c>
      <c r="F68" s="28">
        <f>IFERROR(D68-Dashboard!$B$4/252,"")</f>
        <v/>
      </c>
      <c r="G68" s="28">
        <f>IFERROR(E68-Dashboard!$B$4/252,"")</f>
        <v/>
      </c>
      <c r="H68" s="8">
        <f>IFERROR(IF(ISNUMBER(B68),MAX(B68,IFERROR(H67,B68)),""),"")</f>
        <v/>
      </c>
      <c r="I68" s="29">
        <f>IFERROR(IF(AND(ISNUMBER(B68),ISNUMBER(H68)),B68/H68-1,""),"")</f>
        <v/>
      </c>
      <c r="J68" s="8">
        <f>IFERROR(IF(ISNUMBER(C68),MAX(C68,IFERROR(J67,C68)),""),"")</f>
        <v/>
      </c>
      <c r="K68" s="29">
        <f>IFERROR(IF(AND(ISNUMBER(C68),ISNUMBER(J68)),C68/J68-1,""),"")</f>
        <v/>
      </c>
      <c r="L68" s="28">
        <f>IFERROR(IF(AND(ISNUMBER(D68),ISNUMBER(E68)),D68-E68,""),"")</f>
        <v/>
      </c>
    </row>
    <row r="69">
      <c r="A69" s="7">
        <f>IFERROR(Datos!A69,"")</f>
        <v/>
      </c>
      <c r="B69" s="8">
        <f>IFERROR(Datos!B69,"")</f>
        <v/>
      </c>
      <c r="C69" s="8">
        <f>IFERROR(Datos!C69,"")</f>
        <v/>
      </c>
      <c r="D69" s="28">
        <f>IFERROR(IF(AND(ISNUMBER(B69),ISNUMBER(B68),B68&lt;&gt;0),B69/B68-1,""),"")</f>
        <v/>
      </c>
      <c r="E69" s="28">
        <f>IFERROR(IF(AND(ISNUMBER(C69),ISNUMBER(C68),C68&lt;&gt;0),C69/C68-1,""),"")</f>
        <v/>
      </c>
      <c r="F69" s="28">
        <f>IFERROR(D69-Dashboard!$B$4/252,"")</f>
        <v/>
      </c>
      <c r="G69" s="28">
        <f>IFERROR(E69-Dashboard!$B$4/252,"")</f>
        <v/>
      </c>
      <c r="H69" s="8">
        <f>IFERROR(IF(ISNUMBER(B69),MAX(B69,IFERROR(H68,B69)),""),"")</f>
        <v/>
      </c>
      <c r="I69" s="29">
        <f>IFERROR(IF(AND(ISNUMBER(B69),ISNUMBER(H69)),B69/H69-1,""),"")</f>
        <v/>
      </c>
      <c r="J69" s="8">
        <f>IFERROR(IF(ISNUMBER(C69),MAX(C69,IFERROR(J68,C69)),""),"")</f>
        <v/>
      </c>
      <c r="K69" s="29">
        <f>IFERROR(IF(AND(ISNUMBER(C69),ISNUMBER(J69)),C69/J69-1,""),"")</f>
        <v/>
      </c>
      <c r="L69" s="28">
        <f>IFERROR(IF(AND(ISNUMBER(D69),ISNUMBER(E69)),D69-E69,""),"")</f>
        <v/>
      </c>
    </row>
    <row r="70">
      <c r="A70" s="7">
        <f>IFERROR(Datos!A70,"")</f>
        <v/>
      </c>
      <c r="B70" s="8">
        <f>IFERROR(Datos!B70,"")</f>
        <v/>
      </c>
      <c r="C70" s="8">
        <f>IFERROR(Datos!C70,"")</f>
        <v/>
      </c>
      <c r="D70" s="28">
        <f>IFERROR(IF(AND(ISNUMBER(B70),ISNUMBER(B69),B69&lt;&gt;0),B70/B69-1,""),"")</f>
        <v/>
      </c>
      <c r="E70" s="28">
        <f>IFERROR(IF(AND(ISNUMBER(C70),ISNUMBER(C69),C69&lt;&gt;0),C70/C69-1,""),"")</f>
        <v/>
      </c>
      <c r="F70" s="28">
        <f>IFERROR(D70-Dashboard!$B$4/252,"")</f>
        <v/>
      </c>
      <c r="G70" s="28">
        <f>IFERROR(E70-Dashboard!$B$4/252,"")</f>
        <v/>
      </c>
      <c r="H70" s="8">
        <f>IFERROR(IF(ISNUMBER(B70),MAX(B70,IFERROR(H69,B70)),""),"")</f>
        <v/>
      </c>
      <c r="I70" s="29">
        <f>IFERROR(IF(AND(ISNUMBER(B70),ISNUMBER(H70)),B70/H70-1,""),"")</f>
        <v/>
      </c>
      <c r="J70" s="8">
        <f>IFERROR(IF(ISNUMBER(C70),MAX(C70,IFERROR(J69,C70)),""),"")</f>
        <v/>
      </c>
      <c r="K70" s="29">
        <f>IFERROR(IF(AND(ISNUMBER(C70),ISNUMBER(J70)),C70/J70-1,""),"")</f>
        <v/>
      </c>
      <c r="L70" s="28">
        <f>IFERROR(IF(AND(ISNUMBER(D70),ISNUMBER(E70)),D70-E70,""),"")</f>
        <v/>
      </c>
    </row>
    <row r="71">
      <c r="A71" s="7">
        <f>IFERROR(Datos!A71,"")</f>
        <v/>
      </c>
      <c r="B71" s="8">
        <f>IFERROR(Datos!B71,"")</f>
        <v/>
      </c>
      <c r="C71" s="8">
        <f>IFERROR(Datos!C71,"")</f>
        <v/>
      </c>
      <c r="D71" s="28">
        <f>IFERROR(IF(AND(ISNUMBER(B71),ISNUMBER(B70),B70&lt;&gt;0),B71/B70-1,""),"")</f>
        <v/>
      </c>
      <c r="E71" s="28">
        <f>IFERROR(IF(AND(ISNUMBER(C71),ISNUMBER(C70),C70&lt;&gt;0),C71/C70-1,""),"")</f>
        <v/>
      </c>
      <c r="F71" s="28">
        <f>IFERROR(D71-Dashboard!$B$4/252,"")</f>
        <v/>
      </c>
      <c r="G71" s="28">
        <f>IFERROR(E71-Dashboard!$B$4/252,"")</f>
        <v/>
      </c>
      <c r="H71" s="8">
        <f>IFERROR(IF(ISNUMBER(B71),MAX(B71,IFERROR(H70,B71)),""),"")</f>
        <v/>
      </c>
      <c r="I71" s="29">
        <f>IFERROR(IF(AND(ISNUMBER(B71),ISNUMBER(H71)),B71/H71-1,""),"")</f>
        <v/>
      </c>
      <c r="J71" s="8">
        <f>IFERROR(IF(ISNUMBER(C71),MAX(C71,IFERROR(J70,C71)),""),"")</f>
        <v/>
      </c>
      <c r="K71" s="29">
        <f>IFERROR(IF(AND(ISNUMBER(C71),ISNUMBER(J71)),C71/J71-1,""),"")</f>
        <v/>
      </c>
      <c r="L71" s="28">
        <f>IFERROR(IF(AND(ISNUMBER(D71),ISNUMBER(E71)),D71-E71,""),"")</f>
        <v/>
      </c>
    </row>
    <row r="72">
      <c r="A72" s="7">
        <f>IFERROR(Datos!A72,"")</f>
        <v/>
      </c>
      <c r="B72" s="8">
        <f>IFERROR(Datos!B72,"")</f>
        <v/>
      </c>
      <c r="C72" s="8">
        <f>IFERROR(Datos!C72,"")</f>
        <v/>
      </c>
      <c r="D72" s="28">
        <f>IFERROR(IF(AND(ISNUMBER(B72),ISNUMBER(B71),B71&lt;&gt;0),B72/B71-1,""),"")</f>
        <v/>
      </c>
      <c r="E72" s="28">
        <f>IFERROR(IF(AND(ISNUMBER(C72),ISNUMBER(C71),C71&lt;&gt;0),C72/C71-1,""),"")</f>
        <v/>
      </c>
      <c r="F72" s="28">
        <f>IFERROR(D72-Dashboard!$B$4/252,"")</f>
        <v/>
      </c>
      <c r="G72" s="28">
        <f>IFERROR(E72-Dashboard!$B$4/252,"")</f>
        <v/>
      </c>
      <c r="H72" s="8">
        <f>IFERROR(IF(ISNUMBER(B72),MAX(B72,IFERROR(H71,B72)),""),"")</f>
        <v/>
      </c>
      <c r="I72" s="29">
        <f>IFERROR(IF(AND(ISNUMBER(B72),ISNUMBER(H72)),B72/H72-1,""),"")</f>
        <v/>
      </c>
      <c r="J72" s="8">
        <f>IFERROR(IF(ISNUMBER(C72),MAX(C72,IFERROR(J71,C72)),""),"")</f>
        <v/>
      </c>
      <c r="K72" s="29">
        <f>IFERROR(IF(AND(ISNUMBER(C72),ISNUMBER(J72)),C72/J72-1,""),"")</f>
        <v/>
      </c>
      <c r="L72" s="28">
        <f>IFERROR(IF(AND(ISNUMBER(D72),ISNUMBER(E72)),D72-E72,""),"")</f>
        <v/>
      </c>
    </row>
    <row r="73">
      <c r="A73" s="7">
        <f>IFERROR(Datos!A73,"")</f>
        <v/>
      </c>
      <c r="B73" s="8">
        <f>IFERROR(Datos!B73,"")</f>
        <v/>
      </c>
      <c r="C73" s="8">
        <f>IFERROR(Datos!C73,"")</f>
        <v/>
      </c>
      <c r="D73" s="28">
        <f>IFERROR(IF(AND(ISNUMBER(B73),ISNUMBER(B72),B72&lt;&gt;0),B73/B72-1,""),"")</f>
        <v/>
      </c>
      <c r="E73" s="28">
        <f>IFERROR(IF(AND(ISNUMBER(C73),ISNUMBER(C72),C72&lt;&gt;0),C73/C72-1,""),"")</f>
        <v/>
      </c>
      <c r="F73" s="28">
        <f>IFERROR(D73-Dashboard!$B$4/252,"")</f>
        <v/>
      </c>
      <c r="G73" s="28">
        <f>IFERROR(E73-Dashboard!$B$4/252,"")</f>
        <v/>
      </c>
      <c r="H73" s="8">
        <f>IFERROR(IF(ISNUMBER(B73),MAX(B73,IFERROR(H72,B73)),""),"")</f>
        <v/>
      </c>
      <c r="I73" s="29">
        <f>IFERROR(IF(AND(ISNUMBER(B73),ISNUMBER(H73)),B73/H73-1,""),"")</f>
        <v/>
      </c>
      <c r="J73" s="8">
        <f>IFERROR(IF(ISNUMBER(C73),MAX(C73,IFERROR(J72,C73)),""),"")</f>
        <v/>
      </c>
      <c r="K73" s="29">
        <f>IFERROR(IF(AND(ISNUMBER(C73),ISNUMBER(J73)),C73/J73-1,""),"")</f>
        <v/>
      </c>
      <c r="L73" s="28">
        <f>IFERROR(IF(AND(ISNUMBER(D73),ISNUMBER(E73)),D73-E73,""),"")</f>
        <v/>
      </c>
    </row>
    <row r="74">
      <c r="A74" s="7">
        <f>IFERROR(Datos!A74,"")</f>
        <v/>
      </c>
      <c r="B74" s="8">
        <f>IFERROR(Datos!B74,"")</f>
        <v/>
      </c>
      <c r="C74" s="8">
        <f>IFERROR(Datos!C74,"")</f>
        <v/>
      </c>
      <c r="D74" s="28">
        <f>IFERROR(IF(AND(ISNUMBER(B74),ISNUMBER(B73),B73&lt;&gt;0),B74/B73-1,""),"")</f>
        <v/>
      </c>
      <c r="E74" s="28">
        <f>IFERROR(IF(AND(ISNUMBER(C74),ISNUMBER(C73),C73&lt;&gt;0),C74/C73-1,""),"")</f>
        <v/>
      </c>
      <c r="F74" s="28">
        <f>IFERROR(D74-Dashboard!$B$4/252,"")</f>
        <v/>
      </c>
      <c r="G74" s="28">
        <f>IFERROR(E74-Dashboard!$B$4/252,"")</f>
        <v/>
      </c>
      <c r="H74" s="8">
        <f>IFERROR(IF(ISNUMBER(B74),MAX(B74,IFERROR(H73,B74)),""),"")</f>
        <v/>
      </c>
      <c r="I74" s="29">
        <f>IFERROR(IF(AND(ISNUMBER(B74),ISNUMBER(H74)),B74/H74-1,""),"")</f>
        <v/>
      </c>
      <c r="J74" s="8">
        <f>IFERROR(IF(ISNUMBER(C74),MAX(C74,IFERROR(J73,C74)),""),"")</f>
        <v/>
      </c>
      <c r="K74" s="29">
        <f>IFERROR(IF(AND(ISNUMBER(C74),ISNUMBER(J74)),C74/J74-1,""),"")</f>
        <v/>
      </c>
      <c r="L74" s="28">
        <f>IFERROR(IF(AND(ISNUMBER(D74),ISNUMBER(E74)),D74-E74,""),"")</f>
        <v/>
      </c>
    </row>
    <row r="75">
      <c r="A75" s="7">
        <f>IFERROR(Datos!A75,"")</f>
        <v/>
      </c>
      <c r="B75" s="8">
        <f>IFERROR(Datos!B75,"")</f>
        <v/>
      </c>
      <c r="C75" s="8">
        <f>IFERROR(Datos!C75,"")</f>
        <v/>
      </c>
      <c r="D75" s="28">
        <f>IFERROR(IF(AND(ISNUMBER(B75),ISNUMBER(B74),B74&lt;&gt;0),B75/B74-1,""),"")</f>
        <v/>
      </c>
      <c r="E75" s="28">
        <f>IFERROR(IF(AND(ISNUMBER(C75),ISNUMBER(C74),C74&lt;&gt;0),C75/C74-1,""),"")</f>
        <v/>
      </c>
      <c r="F75" s="28">
        <f>IFERROR(D75-Dashboard!$B$4/252,"")</f>
        <v/>
      </c>
      <c r="G75" s="28">
        <f>IFERROR(E75-Dashboard!$B$4/252,"")</f>
        <v/>
      </c>
      <c r="H75" s="8">
        <f>IFERROR(IF(ISNUMBER(B75),MAX(B75,IFERROR(H74,B75)),""),"")</f>
        <v/>
      </c>
      <c r="I75" s="29">
        <f>IFERROR(IF(AND(ISNUMBER(B75),ISNUMBER(H75)),B75/H75-1,""),"")</f>
        <v/>
      </c>
      <c r="J75" s="8">
        <f>IFERROR(IF(ISNUMBER(C75),MAX(C75,IFERROR(J74,C75)),""),"")</f>
        <v/>
      </c>
      <c r="K75" s="29">
        <f>IFERROR(IF(AND(ISNUMBER(C75),ISNUMBER(J75)),C75/J75-1,""),"")</f>
        <v/>
      </c>
      <c r="L75" s="28">
        <f>IFERROR(IF(AND(ISNUMBER(D75),ISNUMBER(E75)),D75-E75,""),"")</f>
        <v/>
      </c>
    </row>
    <row r="76">
      <c r="A76" s="7">
        <f>IFERROR(Datos!A76,"")</f>
        <v/>
      </c>
      <c r="B76" s="8">
        <f>IFERROR(Datos!B76,"")</f>
        <v/>
      </c>
      <c r="C76" s="8">
        <f>IFERROR(Datos!C76,"")</f>
        <v/>
      </c>
      <c r="D76" s="28">
        <f>IFERROR(IF(AND(ISNUMBER(B76),ISNUMBER(B75),B75&lt;&gt;0),B76/B75-1,""),"")</f>
        <v/>
      </c>
      <c r="E76" s="28">
        <f>IFERROR(IF(AND(ISNUMBER(C76),ISNUMBER(C75),C75&lt;&gt;0),C76/C75-1,""),"")</f>
        <v/>
      </c>
      <c r="F76" s="28">
        <f>IFERROR(D76-Dashboard!$B$4/252,"")</f>
        <v/>
      </c>
      <c r="G76" s="28">
        <f>IFERROR(E76-Dashboard!$B$4/252,"")</f>
        <v/>
      </c>
      <c r="H76" s="8">
        <f>IFERROR(IF(ISNUMBER(B76),MAX(B76,IFERROR(H75,B76)),""),"")</f>
        <v/>
      </c>
      <c r="I76" s="29">
        <f>IFERROR(IF(AND(ISNUMBER(B76),ISNUMBER(H76)),B76/H76-1,""),"")</f>
        <v/>
      </c>
      <c r="J76" s="8">
        <f>IFERROR(IF(ISNUMBER(C76),MAX(C76,IFERROR(J75,C76)),""),"")</f>
        <v/>
      </c>
      <c r="K76" s="29">
        <f>IFERROR(IF(AND(ISNUMBER(C76),ISNUMBER(J76)),C76/J76-1,""),"")</f>
        <v/>
      </c>
      <c r="L76" s="28">
        <f>IFERROR(IF(AND(ISNUMBER(D76),ISNUMBER(E76)),D76-E76,""),"")</f>
        <v/>
      </c>
    </row>
    <row r="77">
      <c r="A77" s="7">
        <f>IFERROR(Datos!A77,"")</f>
        <v/>
      </c>
      <c r="B77" s="8">
        <f>IFERROR(Datos!B77,"")</f>
        <v/>
      </c>
      <c r="C77" s="8">
        <f>IFERROR(Datos!C77,"")</f>
        <v/>
      </c>
      <c r="D77" s="28">
        <f>IFERROR(IF(AND(ISNUMBER(B77),ISNUMBER(B76),B76&lt;&gt;0),B77/B76-1,""),"")</f>
        <v/>
      </c>
      <c r="E77" s="28">
        <f>IFERROR(IF(AND(ISNUMBER(C77),ISNUMBER(C76),C76&lt;&gt;0),C77/C76-1,""),"")</f>
        <v/>
      </c>
      <c r="F77" s="28">
        <f>IFERROR(D77-Dashboard!$B$4/252,"")</f>
        <v/>
      </c>
      <c r="G77" s="28">
        <f>IFERROR(E77-Dashboard!$B$4/252,"")</f>
        <v/>
      </c>
      <c r="H77" s="8">
        <f>IFERROR(IF(ISNUMBER(B77),MAX(B77,IFERROR(H76,B77)),""),"")</f>
        <v/>
      </c>
      <c r="I77" s="29">
        <f>IFERROR(IF(AND(ISNUMBER(B77),ISNUMBER(H77)),B77/H77-1,""),"")</f>
        <v/>
      </c>
      <c r="J77" s="8">
        <f>IFERROR(IF(ISNUMBER(C77),MAX(C77,IFERROR(J76,C77)),""),"")</f>
        <v/>
      </c>
      <c r="K77" s="29">
        <f>IFERROR(IF(AND(ISNUMBER(C77),ISNUMBER(J77)),C77/J77-1,""),"")</f>
        <v/>
      </c>
      <c r="L77" s="28">
        <f>IFERROR(IF(AND(ISNUMBER(D77),ISNUMBER(E77)),D77-E77,""),"")</f>
        <v/>
      </c>
    </row>
    <row r="78">
      <c r="A78" s="7">
        <f>IFERROR(Datos!A78,"")</f>
        <v/>
      </c>
      <c r="B78" s="8">
        <f>IFERROR(Datos!B78,"")</f>
        <v/>
      </c>
      <c r="C78" s="8">
        <f>IFERROR(Datos!C78,"")</f>
        <v/>
      </c>
      <c r="D78" s="28">
        <f>IFERROR(IF(AND(ISNUMBER(B78),ISNUMBER(B77),B77&lt;&gt;0),B78/B77-1,""),"")</f>
        <v/>
      </c>
      <c r="E78" s="28">
        <f>IFERROR(IF(AND(ISNUMBER(C78),ISNUMBER(C77),C77&lt;&gt;0),C78/C77-1,""),"")</f>
        <v/>
      </c>
      <c r="F78" s="28">
        <f>IFERROR(D78-Dashboard!$B$4/252,"")</f>
        <v/>
      </c>
      <c r="G78" s="28">
        <f>IFERROR(E78-Dashboard!$B$4/252,"")</f>
        <v/>
      </c>
      <c r="H78" s="8">
        <f>IFERROR(IF(ISNUMBER(B78),MAX(B78,IFERROR(H77,B78)),""),"")</f>
        <v/>
      </c>
      <c r="I78" s="29">
        <f>IFERROR(IF(AND(ISNUMBER(B78),ISNUMBER(H78)),B78/H78-1,""),"")</f>
        <v/>
      </c>
      <c r="J78" s="8">
        <f>IFERROR(IF(ISNUMBER(C78),MAX(C78,IFERROR(J77,C78)),""),"")</f>
        <v/>
      </c>
      <c r="K78" s="29">
        <f>IFERROR(IF(AND(ISNUMBER(C78),ISNUMBER(J78)),C78/J78-1,""),"")</f>
        <v/>
      </c>
      <c r="L78" s="28">
        <f>IFERROR(IF(AND(ISNUMBER(D78),ISNUMBER(E78)),D78-E78,""),"")</f>
        <v/>
      </c>
    </row>
    <row r="79">
      <c r="A79" s="7">
        <f>IFERROR(Datos!A79,"")</f>
        <v/>
      </c>
      <c r="B79" s="8">
        <f>IFERROR(Datos!B79,"")</f>
        <v/>
      </c>
      <c r="C79" s="8">
        <f>IFERROR(Datos!C79,"")</f>
        <v/>
      </c>
      <c r="D79" s="28">
        <f>IFERROR(IF(AND(ISNUMBER(B79),ISNUMBER(B78),B78&lt;&gt;0),B79/B78-1,""),"")</f>
        <v/>
      </c>
      <c r="E79" s="28">
        <f>IFERROR(IF(AND(ISNUMBER(C79),ISNUMBER(C78),C78&lt;&gt;0),C79/C78-1,""),"")</f>
        <v/>
      </c>
      <c r="F79" s="28">
        <f>IFERROR(D79-Dashboard!$B$4/252,"")</f>
        <v/>
      </c>
      <c r="G79" s="28">
        <f>IFERROR(E79-Dashboard!$B$4/252,"")</f>
        <v/>
      </c>
      <c r="H79" s="8">
        <f>IFERROR(IF(ISNUMBER(B79),MAX(B79,IFERROR(H78,B79)),""),"")</f>
        <v/>
      </c>
      <c r="I79" s="29">
        <f>IFERROR(IF(AND(ISNUMBER(B79),ISNUMBER(H79)),B79/H79-1,""),"")</f>
        <v/>
      </c>
      <c r="J79" s="8">
        <f>IFERROR(IF(ISNUMBER(C79),MAX(C79,IFERROR(J78,C79)),""),"")</f>
        <v/>
      </c>
      <c r="K79" s="29">
        <f>IFERROR(IF(AND(ISNUMBER(C79),ISNUMBER(J79)),C79/J79-1,""),"")</f>
        <v/>
      </c>
      <c r="L79" s="28">
        <f>IFERROR(IF(AND(ISNUMBER(D79),ISNUMBER(E79)),D79-E79,""),"")</f>
        <v/>
      </c>
    </row>
    <row r="80">
      <c r="A80" s="7">
        <f>IFERROR(Datos!A80,"")</f>
        <v/>
      </c>
      <c r="B80" s="8">
        <f>IFERROR(Datos!B80,"")</f>
        <v/>
      </c>
      <c r="C80" s="8">
        <f>IFERROR(Datos!C80,"")</f>
        <v/>
      </c>
      <c r="D80" s="28">
        <f>IFERROR(IF(AND(ISNUMBER(B80),ISNUMBER(B79),B79&lt;&gt;0),B80/B79-1,""),"")</f>
        <v/>
      </c>
      <c r="E80" s="28">
        <f>IFERROR(IF(AND(ISNUMBER(C80),ISNUMBER(C79),C79&lt;&gt;0),C80/C79-1,""),"")</f>
        <v/>
      </c>
      <c r="F80" s="28">
        <f>IFERROR(D80-Dashboard!$B$4/252,"")</f>
        <v/>
      </c>
      <c r="G80" s="28">
        <f>IFERROR(E80-Dashboard!$B$4/252,"")</f>
        <v/>
      </c>
      <c r="H80" s="8">
        <f>IFERROR(IF(ISNUMBER(B80),MAX(B80,IFERROR(H79,B80)),""),"")</f>
        <v/>
      </c>
      <c r="I80" s="29">
        <f>IFERROR(IF(AND(ISNUMBER(B80),ISNUMBER(H80)),B80/H80-1,""),"")</f>
        <v/>
      </c>
      <c r="J80" s="8">
        <f>IFERROR(IF(ISNUMBER(C80),MAX(C80,IFERROR(J79,C80)),""),"")</f>
        <v/>
      </c>
      <c r="K80" s="29">
        <f>IFERROR(IF(AND(ISNUMBER(C80),ISNUMBER(J80)),C80/J80-1,""),"")</f>
        <v/>
      </c>
      <c r="L80" s="28">
        <f>IFERROR(IF(AND(ISNUMBER(D80),ISNUMBER(E80)),D80-E80,""),"")</f>
        <v/>
      </c>
    </row>
    <row r="81">
      <c r="A81" s="7">
        <f>IFERROR(Datos!A81,"")</f>
        <v/>
      </c>
      <c r="B81" s="8">
        <f>IFERROR(Datos!B81,"")</f>
        <v/>
      </c>
      <c r="C81" s="8">
        <f>IFERROR(Datos!C81,"")</f>
        <v/>
      </c>
      <c r="D81" s="28">
        <f>IFERROR(IF(AND(ISNUMBER(B81),ISNUMBER(B80),B80&lt;&gt;0),B81/B80-1,""),"")</f>
        <v/>
      </c>
      <c r="E81" s="28">
        <f>IFERROR(IF(AND(ISNUMBER(C81),ISNUMBER(C80),C80&lt;&gt;0),C81/C80-1,""),"")</f>
        <v/>
      </c>
      <c r="F81" s="28">
        <f>IFERROR(D81-Dashboard!$B$4/252,"")</f>
        <v/>
      </c>
      <c r="G81" s="28">
        <f>IFERROR(E81-Dashboard!$B$4/252,"")</f>
        <v/>
      </c>
      <c r="H81" s="8">
        <f>IFERROR(IF(ISNUMBER(B81),MAX(B81,IFERROR(H80,B81)),""),"")</f>
        <v/>
      </c>
      <c r="I81" s="29">
        <f>IFERROR(IF(AND(ISNUMBER(B81),ISNUMBER(H81)),B81/H81-1,""),"")</f>
        <v/>
      </c>
      <c r="J81" s="8">
        <f>IFERROR(IF(ISNUMBER(C81),MAX(C81,IFERROR(J80,C81)),""),"")</f>
        <v/>
      </c>
      <c r="K81" s="29">
        <f>IFERROR(IF(AND(ISNUMBER(C81),ISNUMBER(J81)),C81/J81-1,""),"")</f>
        <v/>
      </c>
      <c r="L81" s="28">
        <f>IFERROR(IF(AND(ISNUMBER(D81),ISNUMBER(E81)),D81-E81,""),"")</f>
        <v/>
      </c>
    </row>
    <row r="82">
      <c r="A82" s="7">
        <f>IFERROR(Datos!A82,"")</f>
        <v/>
      </c>
      <c r="B82" s="8">
        <f>IFERROR(Datos!B82,"")</f>
        <v/>
      </c>
      <c r="C82" s="8">
        <f>IFERROR(Datos!C82,"")</f>
        <v/>
      </c>
      <c r="D82" s="28">
        <f>IFERROR(IF(AND(ISNUMBER(B82),ISNUMBER(B81),B81&lt;&gt;0),B82/B81-1,""),"")</f>
        <v/>
      </c>
      <c r="E82" s="28">
        <f>IFERROR(IF(AND(ISNUMBER(C82),ISNUMBER(C81),C81&lt;&gt;0),C82/C81-1,""),"")</f>
        <v/>
      </c>
      <c r="F82" s="28">
        <f>IFERROR(D82-Dashboard!$B$4/252,"")</f>
        <v/>
      </c>
      <c r="G82" s="28">
        <f>IFERROR(E82-Dashboard!$B$4/252,"")</f>
        <v/>
      </c>
      <c r="H82" s="8">
        <f>IFERROR(IF(ISNUMBER(B82),MAX(B82,IFERROR(H81,B82)),""),"")</f>
        <v/>
      </c>
      <c r="I82" s="29">
        <f>IFERROR(IF(AND(ISNUMBER(B82),ISNUMBER(H82)),B82/H82-1,""),"")</f>
        <v/>
      </c>
      <c r="J82" s="8">
        <f>IFERROR(IF(ISNUMBER(C82),MAX(C82,IFERROR(J81,C82)),""),"")</f>
        <v/>
      </c>
      <c r="K82" s="29">
        <f>IFERROR(IF(AND(ISNUMBER(C82),ISNUMBER(J82)),C82/J82-1,""),"")</f>
        <v/>
      </c>
      <c r="L82" s="28">
        <f>IFERROR(IF(AND(ISNUMBER(D82),ISNUMBER(E82)),D82-E82,""),"")</f>
        <v/>
      </c>
    </row>
    <row r="83">
      <c r="A83" s="7">
        <f>IFERROR(Datos!A83,"")</f>
        <v/>
      </c>
      <c r="B83" s="8">
        <f>IFERROR(Datos!B83,"")</f>
        <v/>
      </c>
      <c r="C83" s="8">
        <f>IFERROR(Datos!C83,"")</f>
        <v/>
      </c>
      <c r="D83" s="28">
        <f>IFERROR(IF(AND(ISNUMBER(B83),ISNUMBER(B82),B82&lt;&gt;0),B83/B82-1,""),"")</f>
        <v/>
      </c>
      <c r="E83" s="28">
        <f>IFERROR(IF(AND(ISNUMBER(C83),ISNUMBER(C82),C82&lt;&gt;0),C83/C82-1,""),"")</f>
        <v/>
      </c>
      <c r="F83" s="28">
        <f>IFERROR(D83-Dashboard!$B$4/252,"")</f>
        <v/>
      </c>
      <c r="G83" s="28">
        <f>IFERROR(E83-Dashboard!$B$4/252,"")</f>
        <v/>
      </c>
      <c r="H83" s="8">
        <f>IFERROR(IF(ISNUMBER(B83),MAX(B83,IFERROR(H82,B83)),""),"")</f>
        <v/>
      </c>
      <c r="I83" s="29">
        <f>IFERROR(IF(AND(ISNUMBER(B83),ISNUMBER(H83)),B83/H83-1,""),"")</f>
        <v/>
      </c>
      <c r="J83" s="8">
        <f>IFERROR(IF(ISNUMBER(C83),MAX(C83,IFERROR(J82,C83)),""),"")</f>
        <v/>
      </c>
      <c r="K83" s="29">
        <f>IFERROR(IF(AND(ISNUMBER(C83),ISNUMBER(J83)),C83/J83-1,""),"")</f>
        <v/>
      </c>
      <c r="L83" s="28">
        <f>IFERROR(IF(AND(ISNUMBER(D83),ISNUMBER(E83)),D83-E83,""),"")</f>
        <v/>
      </c>
    </row>
    <row r="84">
      <c r="A84" s="7">
        <f>IFERROR(Datos!A84,"")</f>
        <v/>
      </c>
      <c r="B84" s="8">
        <f>IFERROR(Datos!B84,"")</f>
        <v/>
      </c>
      <c r="C84" s="8">
        <f>IFERROR(Datos!C84,"")</f>
        <v/>
      </c>
      <c r="D84" s="28">
        <f>IFERROR(IF(AND(ISNUMBER(B84),ISNUMBER(B83),B83&lt;&gt;0),B84/B83-1,""),"")</f>
        <v/>
      </c>
      <c r="E84" s="28">
        <f>IFERROR(IF(AND(ISNUMBER(C84),ISNUMBER(C83),C83&lt;&gt;0),C84/C83-1,""),"")</f>
        <v/>
      </c>
      <c r="F84" s="28">
        <f>IFERROR(D84-Dashboard!$B$4/252,"")</f>
        <v/>
      </c>
      <c r="G84" s="28">
        <f>IFERROR(E84-Dashboard!$B$4/252,"")</f>
        <v/>
      </c>
      <c r="H84" s="8">
        <f>IFERROR(IF(ISNUMBER(B84),MAX(B84,IFERROR(H83,B84)),""),"")</f>
        <v/>
      </c>
      <c r="I84" s="29">
        <f>IFERROR(IF(AND(ISNUMBER(B84),ISNUMBER(H84)),B84/H84-1,""),"")</f>
        <v/>
      </c>
      <c r="J84" s="8">
        <f>IFERROR(IF(ISNUMBER(C84),MAX(C84,IFERROR(J83,C84)),""),"")</f>
        <v/>
      </c>
      <c r="K84" s="29">
        <f>IFERROR(IF(AND(ISNUMBER(C84),ISNUMBER(J84)),C84/J84-1,""),"")</f>
        <v/>
      </c>
      <c r="L84" s="28">
        <f>IFERROR(IF(AND(ISNUMBER(D84),ISNUMBER(E84)),D84-E84,""),"")</f>
        <v/>
      </c>
    </row>
    <row r="85">
      <c r="A85" s="7">
        <f>IFERROR(Datos!A85,"")</f>
        <v/>
      </c>
      <c r="B85" s="8">
        <f>IFERROR(Datos!B85,"")</f>
        <v/>
      </c>
      <c r="C85" s="8">
        <f>IFERROR(Datos!C85,"")</f>
        <v/>
      </c>
      <c r="D85" s="28">
        <f>IFERROR(IF(AND(ISNUMBER(B85),ISNUMBER(B84),B84&lt;&gt;0),B85/B84-1,""),"")</f>
        <v/>
      </c>
      <c r="E85" s="28">
        <f>IFERROR(IF(AND(ISNUMBER(C85),ISNUMBER(C84),C84&lt;&gt;0),C85/C84-1,""),"")</f>
        <v/>
      </c>
      <c r="F85" s="28">
        <f>IFERROR(D85-Dashboard!$B$4/252,"")</f>
        <v/>
      </c>
      <c r="G85" s="28">
        <f>IFERROR(E85-Dashboard!$B$4/252,"")</f>
        <v/>
      </c>
      <c r="H85" s="8">
        <f>IFERROR(IF(ISNUMBER(B85),MAX(B85,IFERROR(H84,B85)),""),"")</f>
        <v/>
      </c>
      <c r="I85" s="29">
        <f>IFERROR(IF(AND(ISNUMBER(B85),ISNUMBER(H85)),B85/H85-1,""),"")</f>
        <v/>
      </c>
      <c r="J85" s="8">
        <f>IFERROR(IF(ISNUMBER(C85),MAX(C85,IFERROR(J84,C85)),""),"")</f>
        <v/>
      </c>
      <c r="K85" s="29">
        <f>IFERROR(IF(AND(ISNUMBER(C85),ISNUMBER(J85)),C85/J85-1,""),"")</f>
        <v/>
      </c>
      <c r="L85" s="28">
        <f>IFERROR(IF(AND(ISNUMBER(D85),ISNUMBER(E85)),D85-E85,""),"")</f>
        <v/>
      </c>
    </row>
    <row r="86">
      <c r="A86" s="7">
        <f>IFERROR(Datos!A86,"")</f>
        <v/>
      </c>
      <c r="B86" s="8">
        <f>IFERROR(Datos!B86,"")</f>
        <v/>
      </c>
      <c r="C86" s="8">
        <f>IFERROR(Datos!C86,"")</f>
        <v/>
      </c>
      <c r="D86" s="28">
        <f>IFERROR(IF(AND(ISNUMBER(B86),ISNUMBER(B85),B85&lt;&gt;0),B86/B85-1,""),"")</f>
        <v/>
      </c>
      <c r="E86" s="28">
        <f>IFERROR(IF(AND(ISNUMBER(C86),ISNUMBER(C85),C85&lt;&gt;0),C86/C85-1,""),"")</f>
        <v/>
      </c>
      <c r="F86" s="28">
        <f>IFERROR(D86-Dashboard!$B$4/252,"")</f>
        <v/>
      </c>
      <c r="G86" s="28">
        <f>IFERROR(E86-Dashboard!$B$4/252,"")</f>
        <v/>
      </c>
      <c r="H86" s="8">
        <f>IFERROR(IF(ISNUMBER(B86),MAX(B86,IFERROR(H85,B86)),""),"")</f>
        <v/>
      </c>
      <c r="I86" s="29">
        <f>IFERROR(IF(AND(ISNUMBER(B86),ISNUMBER(H86)),B86/H86-1,""),"")</f>
        <v/>
      </c>
      <c r="J86" s="8">
        <f>IFERROR(IF(ISNUMBER(C86),MAX(C86,IFERROR(J85,C86)),""),"")</f>
        <v/>
      </c>
      <c r="K86" s="29">
        <f>IFERROR(IF(AND(ISNUMBER(C86),ISNUMBER(J86)),C86/J86-1,""),"")</f>
        <v/>
      </c>
      <c r="L86" s="28">
        <f>IFERROR(IF(AND(ISNUMBER(D86),ISNUMBER(E86)),D86-E86,""),"")</f>
        <v/>
      </c>
    </row>
    <row r="87">
      <c r="A87" s="7">
        <f>IFERROR(Datos!A87,"")</f>
        <v/>
      </c>
      <c r="B87" s="8">
        <f>IFERROR(Datos!B87,"")</f>
        <v/>
      </c>
      <c r="C87" s="8">
        <f>IFERROR(Datos!C87,"")</f>
        <v/>
      </c>
      <c r="D87" s="28">
        <f>IFERROR(IF(AND(ISNUMBER(B87),ISNUMBER(B86),B86&lt;&gt;0),B87/B86-1,""),"")</f>
        <v/>
      </c>
      <c r="E87" s="28">
        <f>IFERROR(IF(AND(ISNUMBER(C87),ISNUMBER(C86),C86&lt;&gt;0),C87/C86-1,""),"")</f>
        <v/>
      </c>
      <c r="F87" s="28">
        <f>IFERROR(D87-Dashboard!$B$4/252,"")</f>
        <v/>
      </c>
      <c r="G87" s="28">
        <f>IFERROR(E87-Dashboard!$B$4/252,"")</f>
        <v/>
      </c>
      <c r="H87" s="8">
        <f>IFERROR(IF(ISNUMBER(B87),MAX(B87,IFERROR(H86,B87)),""),"")</f>
        <v/>
      </c>
      <c r="I87" s="29">
        <f>IFERROR(IF(AND(ISNUMBER(B87),ISNUMBER(H87)),B87/H87-1,""),"")</f>
        <v/>
      </c>
      <c r="J87" s="8">
        <f>IFERROR(IF(ISNUMBER(C87),MAX(C87,IFERROR(J86,C87)),""),"")</f>
        <v/>
      </c>
      <c r="K87" s="29">
        <f>IFERROR(IF(AND(ISNUMBER(C87),ISNUMBER(J87)),C87/J87-1,""),"")</f>
        <v/>
      </c>
      <c r="L87" s="28">
        <f>IFERROR(IF(AND(ISNUMBER(D87),ISNUMBER(E87)),D87-E87,""),"")</f>
        <v/>
      </c>
    </row>
    <row r="88">
      <c r="A88" s="7">
        <f>IFERROR(Datos!A88,"")</f>
        <v/>
      </c>
      <c r="B88" s="8">
        <f>IFERROR(Datos!B88,"")</f>
        <v/>
      </c>
      <c r="C88" s="8">
        <f>IFERROR(Datos!C88,"")</f>
        <v/>
      </c>
      <c r="D88" s="28">
        <f>IFERROR(IF(AND(ISNUMBER(B88),ISNUMBER(B87),B87&lt;&gt;0),B88/B87-1,""),"")</f>
        <v/>
      </c>
      <c r="E88" s="28">
        <f>IFERROR(IF(AND(ISNUMBER(C88),ISNUMBER(C87),C87&lt;&gt;0),C88/C87-1,""),"")</f>
        <v/>
      </c>
      <c r="F88" s="28">
        <f>IFERROR(D88-Dashboard!$B$4/252,"")</f>
        <v/>
      </c>
      <c r="G88" s="28">
        <f>IFERROR(E88-Dashboard!$B$4/252,"")</f>
        <v/>
      </c>
      <c r="H88" s="8">
        <f>IFERROR(IF(ISNUMBER(B88),MAX(B88,IFERROR(H87,B88)),""),"")</f>
        <v/>
      </c>
      <c r="I88" s="29">
        <f>IFERROR(IF(AND(ISNUMBER(B88),ISNUMBER(H88)),B88/H88-1,""),"")</f>
        <v/>
      </c>
      <c r="J88" s="8">
        <f>IFERROR(IF(ISNUMBER(C88),MAX(C88,IFERROR(J87,C88)),""),"")</f>
        <v/>
      </c>
      <c r="K88" s="29">
        <f>IFERROR(IF(AND(ISNUMBER(C88),ISNUMBER(J88)),C88/J88-1,""),"")</f>
        <v/>
      </c>
      <c r="L88" s="28">
        <f>IFERROR(IF(AND(ISNUMBER(D88),ISNUMBER(E88)),D88-E88,""),"")</f>
        <v/>
      </c>
    </row>
    <row r="89">
      <c r="A89" s="7">
        <f>IFERROR(Datos!A89,"")</f>
        <v/>
      </c>
      <c r="B89" s="8">
        <f>IFERROR(Datos!B89,"")</f>
        <v/>
      </c>
      <c r="C89" s="8">
        <f>IFERROR(Datos!C89,"")</f>
        <v/>
      </c>
      <c r="D89" s="28">
        <f>IFERROR(IF(AND(ISNUMBER(B89),ISNUMBER(B88),B88&lt;&gt;0),B89/B88-1,""),"")</f>
        <v/>
      </c>
      <c r="E89" s="28">
        <f>IFERROR(IF(AND(ISNUMBER(C89),ISNUMBER(C88),C88&lt;&gt;0),C89/C88-1,""),"")</f>
        <v/>
      </c>
      <c r="F89" s="28">
        <f>IFERROR(D89-Dashboard!$B$4/252,"")</f>
        <v/>
      </c>
      <c r="G89" s="28">
        <f>IFERROR(E89-Dashboard!$B$4/252,"")</f>
        <v/>
      </c>
      <c r="H89" s="8">
        <f>IFERROR(IF(ISNUMBER(B89),MAX(B89,IFERROR(H88,B89)),""),"")</f>
        <v/>
      </c>
      <c r="I89" s="29">
        <f>IFERROR(IF(AND(ISNUMBER(B89),ISNUMBER(H89)),B89/H89-1,""),"")</f>
        <v/>
      </c>
      <c r="J89" s="8">
        <f>IFERROR(IF(ISNUMBER(C89),MAX(C89,IFERROR(J88,C89)),""),"")</f>
        <v/>
      </c>
      <c r="K89" s="29">
        <f>IFERROR(IF(AND(ISNUMBER(C89),ISNUMBER(J89)),C89/J89-1,""),"")</f>
        <v/>
      </c>
      <c r="L89" s="28">
        <f>IFERROR(IF(AND(ISNUMBER(D89),ISNUMBER(E89)),D89-E89,""),"")</f>
        <v/>
      </c>
    </row>
    <row r="90">
      <c r="A90" s="7">
        <f>IFERROR(Datos!A90,"")</f>
        <v/>
      </c>
      <c r="B90" s="8">
        <f>IFERROR(Datos!B90,"")</f>
        <v/>
      </c>
      <c r="C90" s="8">
        <f>IFERROR(Datos!C90,"")</f>
        <v/>
      </c>
      <c r="D90" s="28">
        <f>IFERROR(IF(AND(ISNUMBER(B90),ISNUMBER(B89),B89&lt;&gt;0),B90/B89-1,""),"")</f>
        <v/>
      </c>
      <c r="E90" s="28">
        <f>IFERROR(IF(AND(ISNUMBER(C90),ISNUMBER(C89),C89&lt;&gt;0),C90/C89-1,""),"")</f>
        <v/>
      </c>
      <c r="F90" s="28">
        <f>IFERROR(D90-Dashboard!$B$4/252,"")</f>
        <v/>
      </c>
      <c r="G90" s="28">
        <f>IFERROR(E90-Dashboard!$B$4/252,"")</f>
        <v/>
      </c>
      <c r="H90" s="8">
        <f>IFERROR(IF(ISNUMBER(B90),MAX(B90,IFERROR(H89,B90)),""),"")</f>
        <v/>
      </c>
      <c r="I90" s="29">
        <f>IFERROR(IF(AND(ISNUMBER(B90),ISNUMBER(H90)),B90/H90-1,""),"")</f>
        <v/>
      </c>
      <c r="J90" s="8">
        <f>IFERROR(IF(ISNUMBER(C90),MAX(C90,IFERROR(J89,C90)),""),"")</f>
        <v/>
      </c>
      <c r="K90" s="29">
        <f>IFERROR(IF(AND(ISNUMBER(C90),ISNUMBER(J90)),C90/J90-1,""),"")</f>
        <v/>
      </c>
      <c r="L90" s="28">
        <f>IFERROR(IF(AND(ISNUMBER(D90),ISNUMBER(E90)),D90-E90,""),"")</f>
        <v/>
      </c>
    </row>
    <row r="91">
      <c r="A91" s="7">
        <f>IFERROR(Datos!A91,"")</f>
        <v/>
      </c>
      <c r="B91" s="8">
        <f>IFERROR(Datos!B91,"")</f>
        <v/>
      </c>
      <c r="C91" s="8">
        <f>IFERROR(Datos!C91,"")</f>
        <v/>
      </c>
      <c r="D91" s="28">
        <f>IFERROR(IF(AND(ISNUMBER(B91),ISNUMBER(B90),B90&lt;&gt;0),B91/B90-1,""),"")</f>
        <v/>
      </c>
      <c r="E91" s="28">
        <f>IFERROR(IF(AND(ISNUMBER(C91),ISNUMBER(C90),C90&lt;&gt;0),C91/C90-1,""),"")</f>
        <v/>
      </c>
      <c r="F91" s="28">
        <f>IFERROR(D91-Dashboard!$B$4/252,"")</f>
        <v/>
      </c>
      <c r="G91" s="28">
        <f>IFERROR(E91-Dashboard!$B$4/252,"")</f>
        <v/>
      </c>
      <c r="H91" s="8">
        <f>IFERROR(IF(ISNUMBER(B91),MAX(B91,IFERROR(H90,B91)),""),"")</f>
        <v/>
      </c>
      <c r="I91" s="29">
        <f>IFERROR(IF(AND(ISNUMBER(B91),ISNUMBER(H91)),B91/H91-1,""),"")</f>
        <v/>
      </c>
      <c r="J91" s="8">
        <f>IFERROR(IF(ISNUMBER(C91),MAX(C91,IFERROR(J90,C91)),""),"")</f>
        <v/>
      </c>
      <c r="K91" s="29">
        <f>IFERROR(IF(AND(ISNUMBER(C91),ISNUMBER(J91)),C91/J91-1,""),"")</f>
        <v/>
      </c>
      <c r="L91" s="28">
        <f>IFERROR(IF(AND(ISNUMBER(D91),ISNUMBER(E91)),D91-E91,""),"")</f>
        <v/>
      </c>
    </row>
    <row r="92">
      <c r="A92" s="7">
        <f>IFERROR(Datos!A92,"")</f>
        <v/>
      </c>
      <c r="B92" s="8">
        <f>IFERROR(Datos!B92,"")</f>
        <v/>
      </c>
      <c r="C92" s="8">
        <f>IFERROR(Datos!C92,"")</f>
        <v/>
      </c>
      <c r="D92" s="28">
        <f>IFERROR(IF(AND(ISNUMBER(B92),ISNUMBER(B91),B91&lt;&gt;0),B92/B91-1,""),"")</f>
        <v/>
      </c>
      <c r="E92" s="28">
        <f>IFERROR(IF(AND(ISNUMBER(C92),ISNUMBER(C91),C91&lt;&gt;0),C92/C91-1,""),"")</f>
        <v/>
      </c>
      <c r="F92" s="28">
        <f>IFERROR(D92-Dashboard!$B$4/252,"")</f>
        <v/>
      </c>
      <c r="G92" s="28">
        <f>IFERROR(E92-Dashboard!$B$4/252,"")</f>
        <v/>
      </c>
      <c r="H92" s="8">
        <f>IFERROR(IF(ISNUMBER(B92),MAX(B92,IFERROR(H91,B92)),""),"")</f>
        <v/>
      </c>
      <c r="I92" s="29">
        <f>IFERROR(IF(AND(ISNUMBER(B92),ISNUMBER(H92)),B92/H92-1,""),"")</f>
        <v/>
      </c>
      <c r="J92" s="8">
        <f>IFERROR(IF(ISNUMBER(C92),MAX(C92,IFERROR(J91,C92)),""),"")</f>
        <v/>
      </c>
      <c r="K92" s="29">
        <f>IFERROR(IF(AND(ISNUMBER(C92),ISNUMBER(J92)),C92/J92-1,""),"")</f>
        <v/>
      </c>
      <c r="L92" s="28">
        <f>IFERROR(IF(AND(ISNUMBER(D92),ISNUMBER(E92)),D92-E92,""),"")</f>
        <v/>
      </c>
    </row>
    <row r="93">
      <c r="A93" s="7">
        <f>IFERROR(Datos!A93,"")</f>
        <v/>
      </c>
      <c r="B93" s="8">
        <f>IFERROR(Datos!B93,"")</f>
        <v/>
      </c>
      <c r="C93" s="8">
        <f>IFERROR(Datos!C93,"")</f>
        <v/>
      </c>
      <c r="D93" s="28">
        <f>IFERROR(IF(AND(ISNUMBER(B93),ISNUMBER(B92),B92&lt;&gt;0),B93/B92-1,""),"")</f>
        <v/>
      </c>
      <c r="E93" s="28">
        <f>IFERROR(IF(AND(ISNUMBER(C93),ISNUMBER(C92),C92&lt;&gt;0),C93/C92-1,""),"")</f>
        <v/>
      </c>
      <c r="F93" s="28">
        <f>IFERROR(D93-Dashboard!$B$4/252,"")</f>
        <v/>
      </c>
      <c r="G93" s="28">
        <f>IFERROR(E93-Dashboard!$B$4/252,"")</f>
        <v/>
      </c>
      <c r="H93" s="8">
        <f>IFERROR(IF(ISNUMBER(B93),MAX(B93,IFERROR(H92,B93)),""),"")</f>
        <v/>
      </c>
      <c r="I93" s="29">
        <f>IFERROR(IF(AND(ISNUMBER(B93),ISNUMBER(H93)),B93/H93-1,""),"")</f>
        <v/>
      </c>
      <c r="J93" s="8">
        <f>IFERROR(IF(ISNUMBER(C93),MAX(C93,IFERROR(J92,C93)),""),"")</f>
        <v/>
      </c>
      <c r="K93" s="29">
        <f>IFERROR(IF(AND(ISNUMBER(C93),ISNUMBER(J93)),C93/J93-1,""),"")</f>
        <v/>
      </c>
      <c r="L93" s="28">
        <f>IFERROR(IF(AND(ISNUMBER(D93),ISNUMBER(E93)),D93-E93,""),"")</f>
        <v/>
      </c>
    </row>
    <row r="94">
      <c r="A94" s="7">
        <f>IFERROR(Datos!A94,"")</f>
        <v/>
      </c>
      <c r="B94" s="8">
        <f>IFERROR(Datos!B94,"")</f>
        <v/>
      </c>
      <c r="C94" s="8">
        <f>IFERROR(Datos!C94,"")</f>
        <v/>
      </c>
      <c r="D94" s="28">
        <f>IFERROR(IF(AND(ISNUMBER(B94),ISNUMBER(B93),B93&lt;&gt;0),B94/B93-1,""),"")</f>
        <v/>
      </c>
      <c r="E94" s="28">
        <f>IFERROR(IF(AND(ISNUMBER(C94),ISNUMBER(C93),C93&lt;&gt;0),C94/C93-1,""),"")</f>
        <v/>
      </c>
      <c r="F94" s="28">
        <f>IFERROR(D94-Dashboard!$B$4/252,"")</f>
        <v/>
      </c>
      <c r="G94" s="28">
        <f>IFERROR(E94-Dashboard!$B$4/252,"")</f>
        <v/>
      </c>
      <c r="H94" s="8">
        <f>IFERROR(IF(ISNUMBER(B94),MAX(B94,IFERROR(H93,B94)),""),"")</f>
        <v/>
      </c>
      <c r="I94" s="29">
        <f>IFERROR(IF(AND(ISNUMBER(B94),ISNUMBER(H94)),B94/H94-1,""),"")</f>
        <v/>
      </c>
      <c r="J94" s="8">
        <f>IFERROR(IF(ISNUMBER(C94),MAX(C94,IFERROR(J93,C94)),""),"")</f>
        <v/>
      </c>
      <c r="K94" s="29">
        <f>IFERROR(IF(AND(ISNUMBER(C94),ISNUMBER(J94)),C94/J94-1,""),"")</f>
        <v/>
      </c>
      <c r="L94" s="28">
        <f>IFERROR(IF(AND(ISNUMBER(D94),ISNUMBER(E94)),D94-E94,""),"")</f>
        <v/>
      </c>
    </row>
    <row r="95">
      <c r="A95" s="7">
        <f>IFERROR(Datos!A95,"")</f>
        <v/>
      </c>
      <c r="B95" s="8">
        <f>IFERROR(Datos!B95,"")</f>
        <v/>
      </c>
      <c r="C95" s="8">
        <f>IFERROR(Datos!C95,"")</f>
        <v/>
      </c>
      <c r="D95" s="28">
        <f>IFERROR(IF(AND(ISNUMBER(B95),ISNUMBER(B94),B94&lt;&gt;0),B95/B94-1,""),"")</f>
        <v/>
      </c>
      <c r="E95" s="28">
        <f>IFERROR(IF(AND(ISNUMBER(C95),ISNUMBER(C94),C94&lt;&gt;0),C95/C94-1,""),"")</f>
        <v/>
      </c>
      <c r="F95" s="28">
        <f>IFERROR(D95-Dashboard!$B$4/252,"")</f>
        <v/>
      </c>
      <c r="G95" s="28">
        <f>IFERROR(E95-Dashboard!$B$4/252,"")</f>
        <v/>
      </c>
      <c r="H95" s="8">
        <f>IFERROR(IF(ISNUMBER(B95),MAX(B95,IFERROR(H94,B95)),""),"")</f>
        <v/>
      </c>
      <c r="I95" s="29">
        <f>IFERROR(IF(AND(ISNUMBER(B95),ISNUMBER(H95)),B95/H95-1,""),"")</f>
        <v/>
      </c>
      <c r="J95" s="8">
        <f>IFERROR(IF(ISNUMBER(C95),MAX(C95,IFERROR(J94,C95)),""),"")</f>
        <v/>
      </c>
      <c r="K95" s="29">
        <f>IFERROR(IF(AND(ISNUMBER(C95),ISNUMBER(J95)),C95/J95-1,""),"")</f>
        <v/>
      </c>
      <c r="L95" s="28">
        <f>IFERROR(IF(AND(ISNUMBER(D95),ISNUMBER(E95)),D95-E95,""),"")</f>
        <v/>
      </c>
    </row>
    <row r="96">
      <c r="A96" s="7">
        <f>IFERROR(Datos!A96,"")</f>
        <v/>
      </c>
      <c r="B96" s="8">
        <f>IFERROR(Datos!B96,"")</f>
        <v/>
      </c>
      <c r="C96" s="8">
        <f>IFERROR(Datos!C96,"")</f>
        <v/>
      </c>
      <c r="D96" s="28">
        <f>IFERROR(IF(AND(ISNUMBER(B96),ISNUMBER(B95),B95&lt;&gt;0),B96/B95-1,""),"")</f>
        <v/>
      </c>
      <c r="E96" s="28">
        <f>IFERROR(IF(AND(ISNUMBER(C96),ISNUMBER(C95),C95&lt;&gt;0),C96/C95-1,""),"")</f>
        <v/>
      </c>
      <c r="F96" s="28">
        <f>IFERROR(D96-Dashboard!$B$4/252,"")</f>
        <v/>
      </c>
      <c r="G96" s="28">
        <f>IFERROR(E96-Dashboard!$B$4/252,"")</f>
        <v/>
      </c>
      <c r="H96" s="8">
        <f>IFERROR(IF(ISNUMBER(B96),MAX(B96,IFERROR(H95,B96)),""),"")</f>
        <v/>
      </c>
      <c r="I96" s="29">
        <f>IFERROR(IF(AND(ISNUMBER(B96),ISNUMBER(H96)),B96/H96-1,""),"")</f>
        <v/>
      </c>
      <c r="J96" s="8">
        <f>IFERROR(IF(ISNUMBER(C96),MAX(C96,IFERROR(J95,C96)),""),"")</f>
        <v/>
      </c>
      <c r="K96" s="29">
        <f>IFERROR(IF(AND(ISNUMBER(C96),ISNUMBER(J96)),C96/J96-1,""),"")</f>
        <v/>
      </c>
      <c r="L96" s="28">
        <f>IFERROR(IF(AND(ISNUMBER(D96),ISNUMBER(E96)),D96-E96,""),"")</f>
        <v/>
      </c>
    </row>
    <row r="97">
      <c r="A97" s="7">
        <f>IFERROR(Datos!A97,"")</f>
        <v/>
      </c>
      <c r="B97" s="8">
        <f>IFERROR(Datos!B97,"")</f>
        <v/>
      </c>
      <c r="C97" s="8">
        <f>IFERROR(Datos!C97,"")</f>
        <v/>
      </c>
      <c r="D97" s="28">
        <f>IFERROR(IF(AND(ISNUMBER(B97),ISNUMBER(B96),B96&lt;&gt;0),B97/B96-1,""),"")</f>
        <v/>
      </c>
      <c r="E97" s="28">
        <f>IFERROR(IF(AND(ISNUMBER(C97),ISNUMBER(C96),C96&lt;&gt;0),C97/C96-1,""),"")</f>
        <v/>
      </c>
      <c r="F97" s="28">
        <f>IFERROR(D97-Dashboard!$B$4/252,"")</f>
        <v/>
      </c>
      <c r="G97" s="28">
        <f>IFERROR(E97-Dashboard!$B$4/252,"")</f>
        <v/>
      </c>
      <c r="H97" s="8">
        <f>IFERROR(IF(ISNUMBER(B97),MAX(B97,IFERROR(H96,B97)),""),"")</f>
        <v/>
      </c>
      <c r="I97" s="29">
        <f>IFERROR(IF(AND(ISNUMBER(B97),ISNUMBER(H97)),B97/H97-1,""),"")</f>
        <v/>
      </c>
      <c r="J97" s="8">
        <f>IFERROR(IF(ISNUMBER(C97),MAX(C97,IFERROR(J96,C97)),""),"")</f>
        <v/>
      </c>
      <c r="K97" s="29">
        <f>IFERROR(IF(AND(ISNUMBER(C97),ISNUMBER(J97)),C97/J97-1,""),"")</f>
        <v/>
      </c>
      <c r="L97" s="28">
        <f>IFERROR(IF(AND(ISNUMBER(D97),ISNUMBER(E97)),D97-E97,""),"")</f>
        <v/>
      </c>
    </row>
    <row r="98">
      <c r="A98" s="7">
        <f>IFERROR(Datos!A98,"")</f>
        <v/>
      </c>
      <c r="B98" s="8">
        <f>IFERROR(Datos!B98,"")</f>
        <v/>
      </c>
      <c r="C98" s="8">
        <f>IFERROR(Datos!C98,"")</f>
        <v/>
      </c>
      <c r="D98" s="28">
        <f>IFERROR(IF(AND(ISNUMBER(B98),ISNUMBER(B97),B97&lt;&gt;0),B98/B97-1,""),"")</f>
        <v/>
      </c>
      <c r="E98" s="28">
        <f>IFERROR(IF(AND(ISNUMBER(C98),ISNUMBER(C97),C97&lt;&gt;0),C98/C97-1,""),"")</f>
        <v/>
      </c>
      <c r="F98" s="28">
        <f>IFERROR(D98-Dashboard!$B$4/252,"")</f>
        <v/>
      </c>
      <c r="G98" s="28">
        <f>IFERROR(E98-Dashboard!$B$4/252,"")</f>
        <v/>
      </c>
      <c r="H98" s="8">
        <f>IFERROR(IF(ISNUMBER(B98),MAX(B98,IFERROR(H97,B98)),""),"")</f>
        <v/>
      </c>
      <c r="I98" s="29">
        <f>IFERROR(IF(AND(ISNUMBER(B98),ISNUMBER(H98)),B98/H98-1,""),"")</f>
        <v/>
      </c>
      <c r="J98" s="8">
        <f>IFERROR(IF(ISNUMBER(C98),MAX(C98,IFERROR(J97,C98)),""),"")</f>
        <v/>
      </c>
      <c r="K98" s="29">
        <f>IFERROR(IF(AND(ISNUMBER(C98),ISNUMBER(J98)),C98/J98-1,""),"")</f>
        <v/>
      </c>
      <c r="L98" s="28">
        <f>IFERROR(IF(AND(ISNUMBER(D98),ISNUMBER(E98)),D98-E98,""),"")</f>
        <v/>
      </c>
    </row>
    <row r="99">
      <c r="A99" s="7">
        <f>IFERROR(Datos!A99,"")</f>
        <v/>
      </c>
      <c r="B99" s="8">
        <f>IFERROR(Datos!B99,"")</f>
        <v/>
      </c>
      <c r="C99" s="8">
        <f>IFERROR(Datos!C99,"")</f>
        <v/>
      </c>
      <c r="D99" s="28">
        <f>IFERROR(IF(AND(ISNUMBER(B99),ISNUMBER(B98),B98&lt;&gt;0),B99/B98-1,""),"")</f>
        <v/>
      </c>
      <c r="E99" s="28">
        <f>IFERROR(IF(AND(ISNUMBER(C99),ISNUMBER(C98),C98&lt;&gt;0),C99/C98-1,""),"")</f>
        <v/>
      </c>
      <c r="F99" s="28">
        <f>IFERROR(D99-Dashboard!$B$4/252,"")</f>
        <v/>
      </c>
      <c r="G99" s="28">
        <f>IFERROR(E99-Dashboard!$B$4/252,"")</f>
        <v/>
      </c>
      <c r="H99" s="8">
        <f>IFERROR(IF(ISNUMBER(B99),MAX(B99,IFERROR(H98,B99)),""),"")</f>
        <v/>
      </c>
      <c r="I99" s="29">
        <f>IFERROR(IF(AND(ISNUMBER(B99),ISNUMBER(H99)),B99/H99-1,""),"")</f>
        <v/>
      </c>
      <c r="J99" s="8">
        <f>IFERROR(IF(ISNUMBER(C99),MAX(C99,IFERROR(J98,C99)),""),"")</f>
        <v/>
      </c>
      <c r="K99" s="29">
        <f>IFERROR(IF(AND(ISNUMBER(C99),ISNUMBER(J99)),C99/J99-1,""),"")</f>
        <v/>
      </c>
      <c r="L99" s="28">
        <f>IFERROR(IF(AND(ISNUMBER(D99),ISNUMBER(E99)),D99-E99,""),"")</f>
        <v/>
      </c>
    </row>
    <row r="100">
      <c r="A100" s="7">
        <f>IFERROR(Datos!A100,"")</f>
        <v/>
      </c>
      <c r="B100" s="8">
        <f>IFERROR(Datos!B100,"")</f>
        <v/>
      </c>
      <c r="C100" s="8">
        <f>IFERROR(Datos!C100,"")</f>
        <v/>
      </c>
      <c r="D100" s="28">
        <f>IFERROR(IF(AND(ISNUMBER(B100),ISNUMBER(B99),B99&lt;&gt;0),B100/B99-1,""),"")</f>
        <v/>
      </c>
      <c r="E100" s="28">
        <f>IFERROR(IF(AND(ISNUMBER(C100),ISNUMBER(C99),C99&lt;&gt;0),C100/C99-1,""),"")</f>
        <v/>
      </c>
      <c r="F100" s="28">
        <f>IFERROR(D100-Dashboard!$B$4/252,"")</f>
        <v/>
      </c>
      <c r="G100" s="28">
        <f>IFERROR(E100-Dashboard!$B$4/252,"")</f>
        <v/>
      </c>
      <c r="H100" s="8">
        <f>IFERROR(IF(ISNUMBER(B100),MAX(B100,IFERROR(H99,B100)),""),"")</f>
        <v/>
      </c>
      <c r="I100" s="29">
        <f>IFERROR(IF(AND(ISNUMBER(B100),ISNUMBER(H100)),B100/H100-1,""),"")</f>
        <v/>
      </c>
      <c r="J100" s="8">
        <f>IFERROR(IF(ISNUMBER(C100),MAX(C100,IFERROR(J99,C100)),""),"")</f>
        <v/>
      </c>
      <c r="K100" s="29">
        <f>IFERROR(IF(AND(ISNUMBER(C100),ISNUMBER(J100)),C100/J100-1,""),"")</f>
        <v/>
      </c>
      <c r="L100" s="28">
        <f>IFERROR(IF(AND(ISNUMBER(D100),ISNUMBER(E100)),D100-E100,""),"")</f>
        <v/>
      </c>
    </row>
    <row r="101">
      <c r="A101" s="7">
        <f>IFERROR(Datos!A101,"")</f>
        <v/>
      </c>
      <c r="B101" s="8">
        <f>IFERROR(Datos!B101,"")</f>
        <v/>
      </c>
      <c r="C101" s="8">
        <f>IFERROR(Datos!C101,"")</f>
        <v/>
      </c>
      <c r="D101" s="28">
        <f>IFERROR(IF(AND(ISNUMBER(B101),ISNUMBER(B100),B100&lt;&gt;0),B101/B100-1,""),"")</f>
        <v/>
      </c>
      <c r="E101" s="28">
        <f>IFERROR(IF(AND(ISNUMBER(C101),ISNUMBER(C100),C100&lt;&gt;0),C101/C100-1,""),"")</f>
        <v/>
      </c>
      <c r="F101" s="28">
        <f>IFERROR(D101-Dashboard!$B$4/252,"")</f>
        <v/>
      </c>
      <c r="G101" s="28">
        <f>IFERROR(E101-Dashboard!$B$4/252,"")</f>
        <v/>
      </c>
      <c r="H101" s="8">
        <f>IFERROR(IF(ISNUMBER(B101),MAX(B101,IFERROR(H100,B101)),""),"")</f>
        <v/>
      </c>
      <c r="I101" s="29">
        <f>IFERROR(IF(AND(ISNUMBER(B101),ISNUMBER(H101)),B101/H101-1,""),"")</f>
        <v/>
      </c>
      <c r="J101" s="8">
        <f>IFERROR(IF(ISNUMBER(C101),MAX(C101,IFERROR(J100,C101)),""),"")</f>
        <v/>
      </c>
      <c r="K101" s="29">
        <f>IFERROR(IF(AND(ISNUMBER(C101),ISNUMBER(J101)),C101/J101-1,""),"")</f>
        <v/>
      </c>
      <c r="L101" s="28">
        <f>IFERROR(IF(AND(ISNUMBER(D101),ISNUMBER(E101)),D101-E101,""),"")</f>
        <v/>
      </c>
    </row>
    <row r="102">
      <c r="A102" s="7">
        <f>IFERROR(Datos!A102,"")</f>
        <v/>
      </c>
      <c r="B102" s="8">
        <f>IFERROR(Datos!B102,"")</f>
        <v/>
      </c>
      <c r="C102" s="8">
        <f>IFERROR(Datos!C102,"")</f>
        <v/>
      </c>
      <c r="D102" s="28">
        <f>IFERROR(IF(AND(ISNUMBER(B102),ISNUMBER(B101),B101&lt;&gt;0),B102/B101-1,""),"")</f>
        <v/>
      </c>
      <c r="E102" s="28">
        <f>IFERROR(IF(AND(ISNUMBER(C102),ISNUMBER(C101),C101&lt;&gt;0),C102/C101-1,""),"")</f>
        <v/>
      </c>
      <c r="F102" s="28">
        <f>IFERROR(D102-Dashboard!$B$4/252,"")</f>
        <v/>
      </c>
      <c r="G102" s="28">
        <f>IFERROR(E102-Dashboard!$B$4/252,"")</f>
        <v/>
      </c>
      <c r="H102" s="8">
        <f>IFERROR(IF(ISNUMBER(B102),MAX(B102,IFERROR(H101,B102)),""),"")</f>
        <v/>
      </c>
      <c r="I102" s="29">
        <f>IFERROR(IF(AND(ISNUMBER(B102),ISNUMBER(H102)),B102/H102-1,""),"")</f>
        <v/>
      </c>
      <c r="J102" s="8">
        <f>IFERROR(IF(ISNUMBER(C102),MAX(C102,IFERROR(J101,C102)),""),"")</f>
        <v/>
      </c>
      <c r="K102" s="29">
        <f>IFERROR(IF(AND(ISNUMBER(C102),ISNUMBER(J102)),C102/J102-1,""),"")</f>
        <v/>
      </c>
      <c r="L102" s="28">
        <f>IFERROR(IF(AND(ISNUMBER(D102),ISNUMBER(E102)),D102-E102,""),"")</f>
        <v/>
      </c>
    </row>
    <row r="103">
      <c r="A103" s="7">
        <f>IFERROR(Datos!A103,"")</f>
        <v/>
      </c>
      <c r="B103" s="8">
        <f>IFERROR(Datos!B103,"")</f>
        <v/>
      </c>
      <c r="C103" s="8">
        <f>IFERROR(Datos!C103,"")</f>
        <v/>
      </c>
      <c r="D103" s="28">
        <f>IFERROR(IF(AND(ISNUMBER(B103),ISNUMBER(B102),B102&lt;&gt;0),B103/B102-1,""),"")</f>
        <v/>
      </c>
      <c r="E103" s="28">
        <f>IFERROR(IF(AND(ISNUMBER(C103),ISNUMBER(C102),C102&lt;&gt;0),C103/C102-1,""),"")</f>
        <v/>
      </c>
      <c r="F103" s="28">
        <f>IFERROR(D103-Dashboard!$B$4/252,"")</f>
        <v/>
      </c>
      <c r="G103" s="28">
        <f>IFERROR(E103-Dashboard!$B$4/252,"")</f>
        <v/>
      </c>
      <c r="H103" s="8">
        <f>IFERROR(IF(ISNUMBER(B103),MAX(B103,IFERROR(H102,B103)),""),"")</f>
        <v/>
      </c>
      <c r="I103" s="29">
        <f>IFERROR(IF(AND(ISNUMBER(B103),ISNUMBER(H103)),B103/H103-1,""),"")</f>
        <v/>
      </c>
      <c r="J103" s="8">
        <f>IFERROR(IF(ISNUMBER(C103),MAX(C103,IFERROR(J102,C103)),""),"")</f>
        <v/>
      </c>
      <c r="K103" s="29">
        <f>IFERROR(IF(AND(ISNUMBER(C103),ISNUMBER(J103)),C103/J103-1,""),"")</f>
        <v/>
      </c>
      <c r="L103" s="28">
        <f>IFERROR(IF(AND(ISNUMBER(D103),ISNUMBER(E103)),D103-E103,""),"")</f>
        <v/>
      </c>
    </row>
    <row r="104">
      <c r="A104" s="7">
        <f>IFERROR(Datos!A104,"")</f>
        <v/>
      </c>
      <c r="B104" s="8">
        <f>IFERROR(Datos!B104,"")</f>
        <v/>
      </c>
      <c r="C104" s="8">
        <f>IFERROR(Datos!C104,"")</f>
        <v/>
      </c>
      <c r="D104" s="28">
        <f>IFERROR(IF(AND(ISNUMBER(B104),ISNUMBER(B103),B103&lt;&gt;0),B104/B103-1,""),"")</f>
        <v/>
      </c>
      <c r="E104" s="28">
        <f>IFERROR(IF(AND(ISNUMBER(C104),ISNUMBER(C103),C103&lt;&gt;0),C104/C103-1,""),"")</f>
        <v/>
      </c>
      <c r="F104" s="28">
        <f>IFERROR(D104-Dashboard!$B$4/252,"")</f>
        <v/>
      </c>
      <c r="G104" s="28">
        <f>IFERROR(E104-Dashboard!$B$4/252,"")</f>
        <v/>
      </c>
      <c r="H104" s="8">
        <f>IFERROR(IF(ISNUMBER(B104),MAX(B104,IFERROR(H103,B104)),""),"")</f>
        <v/>
      </c>
      <c r="I104" s="29">
        <f>IFERROR(IF(AND(ISNUMBER(B104),ISNUMBER(H104)),B104/H104-1,""),"")</f>
        <v/>
      </c>
      <c r="J104" s="8">
        <f>IFERROR(IF(ISNUMBER(C104),MAX(C104,IFERROR(J103,C104)),""),"")</f>
        <v/>
      </c>
      <c r="K104" s="29">
        <f>IFERROR(IF(AND(ISNUMBER(C104),ISNUMBER(J104)),C104/J104-1,""),"")</f>
        <v/>
      </c>
      <c r="L104" s="28">
        <f>IFERROR(IF(AND(ISNUMBER(D104),ISNUMBER(E104)),D104-E104,""),"")</f>
        <v/>
      </c>
    </row>
    <row r="105">
      <c r="A105" s="7">
        <f>IFERROR(Datos!A105,"")</f>
        <v/>
      </c>
      <c r="B105" s="8">
        <f>IFERROR(Datos!B105,"")</f>
        <v/>
      </c>
      <c r="C105" s="8">
        <f>IFERROR(Datos!C105,"")</f>
        <v/>
      </c>
      <c r="D105" s="28">
        <f>IFERROR(IF(AND(ISNUMBER(B105),ISNUMBER(B104),B104&lt;&gt;0),B105/B104-1,""),"")</f>
        <v/>
      </c>
      <c r="E105" s="28">
        <f>IFERROR(IF(AND(ISNUMBER(C105),ISNUMBER(C104),C104&lt;&gt;0),C105/C104-1,""),"")</f>
        <v/>
      </c>
      <c r="F105" s="28">
        <f>IFERROR(D105-Dashboard!$B$4/252,"")</f>
        <v/>
      </c>
      <c r="G105" s="28">
        <f>IFERROR(E105-Dashboard!$B$4/252,"")</f>
        <v/>
      </c>
      <c r="H105" s="8">
        <f>IFERROR(IF(ISNUMBER(B105),MAX(B105,IFERROR(H104,B105)),""),"")</f>
        <v/>
      </c>
      <c r="I105" s="29">
        <f>IFERROR(IF(AND(ISNUMBER(B105),ISNUMBER(H105)),B105/H105-1,""),"")</f>
        <v/>
      </c>
      <c r="J105" s="8">
        <f>IFERROR(IF(ISNUMBER(C105),MAX(C105,IFERROR(J104,C105)),""),"")</f>
        <v/>
      </c>
      <c r="K105" s="29">
        <f>IFERROR(IF(AND(ISNUMBER(C105),ISNUMBER(J105)),C105/J105-1,""),"")</f>
        <v/>
      </c>
      <c r="L105" s="28">
        <f>IFERROR(IF(AND(ISNUMBER(D105),ISNUMBER(E105)),D105-E105,""),"")</f>
        <v/>
      </c>
    </row>
    <row r="106">
      <c r="A106" s="7">
        <f>IFERROR(Datos!A106,"")</f>
        <v/>
      </c>
      <c r="B106" s="8">
        <f>IFERROR(Datos!B106,"")</f>
        <v/>
      </c>
      <c r="C106" s="8">
        <f>IFERROR(Datos!C106,"")</f>
        <v/>
      </c>
      <c r="D106" s="28">
        <f>IFERROR(IF(AND(ISNUMBER(B106),ISNUMBER(B105),B105&lt;&gt;0),B106/B105-1,""),"")</f>
        <v/>
      </c>
      <c r="E106" s="28">
        <f>IFERROR(IF(AND(ISNUMBER(C106),ISNUMBER(C105),C105&lt;&gt;0),C106/C105-1,""),"")</f>
        <v/>
      </c>
      <c r="F106" s="28">
        <f>IFERROR(D106-Dashboard!$B$4/252,"")</f>
        <v/>
      </c>
      <c r="G106" s="28">
        <f>IFERROR(E106-Dashboard!$B$4/252,"")</f>
        <v/>
      </c>
      <c r="H106" s="8">
        <f>IFERROR(IF(ISNUMBER(B106),MAX(B106,IFERROR(H105,B106)),""),"")</f>
        <v/>
      </c>
      <c r="I106" s="29">
        <f>IFERROR(IF(AND(ISNUMBER(B106),ISNUMBER(H106)),B106/H106-1,""),"")</f>
        <v/>
      </c>
      <c r="J106" s="8">
        <f>IFERROR(IF(ISNUMBER(C106),MAX(C106,IFERROR(J105,C106)),""),"")</f>
        <v/>
      </c>
      <c r="K106" s="29">
        <f>IFERROR(IF(AND(ISNUMBER(C106),ISNUMBER(J106)),C106/J106-1,""),"")</f>
        <v/>
      </c>
      <c r="L106" s="28">
        <f>IFERROR(IF(AND(ISNUMBER(D106),ISNUMBER(E106)),D106-E106,""),"")</f>
        <v/>
      </c>
    </row>
    <row r="107">
      <c r="A107" s="7">
        <f>IFERROR(Datos!A107,"")</f>
        <v/>
      </c>
      <c r="B107" s="8">
        <f>IFERROR(Datos!B107,"")</f>
        <v/>
      </c>
      <c r="C107" s="8">
        <f>IFERROR(Datos!C107,"")</f>
        <v/>
      </c>
      <c r="D107" s="28">
        <f>IFERROR(IF(AND(ISNUMBER(B107),ISNUMBER(B106),B106&lt;&gt;0),B107/B106-1,""),"")</f>
        <v/>
      </c>
      <c r="E107" s="28">
        <f>IFERROR(IF(AND(ISNUMBER(C107),ISNUMBER(C106),C106&lt;&gt;0),C107/C106-1,""),"")</f>
        <v/>
      </c>
      <c r="F107" s="28">
        <f>IFERROR(D107-Dashboard!$B$4/252,"")</f>
        <v/>
      </c>
      <c r="G107" s="28">
        <f>IFERROR(E107-Dashboard!$B$4/252,"")</f>
        <v/>
      </c>
      <c r="H107" s="8">
        <f>IFERROR(IF(ISNUMBER(B107),MAX(B107,IFERROR(H106,B107)),""),"")</f>
        <v/>
      </c>
      <c r="I107" s="29">
        <f>IFERROR(IF(AND(ISNUMBER(B107),ISNUMBER(H107)),B107/H107-1,""),"")</f>
        <v/>
      </c>
      <c r="J107" s="8">
        <f>IFERROR(IF(ISNUMBER(C107),MAX(C107,IFERROR(J106,C107)),""),"")</f>
        <v/>
      </c>
      <c r="K107" s="29">
        <f>IFERROR(IF(AND(ISNUMBER(C107),ISNUMBER(J107)),C107/J107-1,""),"")</f>
        <v/>
      </c>
      <c r="L107" s="28">
        <f>IFERROR(IF(AND(ISNUMBER(D107),ISNUMBER(E107)),D107-E107,""),"")</f>
        <v/>
      </c>
    </row>
    <row r="108">
      <c r="A108" s="7">
        <f>IFERROR(Datos!A108,"")</f>
        <v/>
      </c>
      <c r="B108" s="8">
        <f>IFERROR(Datos!B108,"")</f>
        <v/>
      </c>
      <c r="C108" s="8">
        <f>IFERROR(Datos!C108,"")</f>
        <v/>
      </c>
      <c r="D108" s="28">
        <f>IFERROR(IF(AND(ISNUMBER(B108),ISNUMBER(B107),B107&lt;&gt;0),B108/B107-1,""),"")</f>
        <v/>
      </c>
      <c r="E108" s="28">
        <f>IFERROR(IF(AND(ISNUMBER(C108),ISNUMBER(C107),C107&lt;&gt;0),C108/C107-1,""),"")</f>
        <v/>
      </c>
      <c r="F108" s="28">
        <f>IFERROR(D108-Dashboard!$B$4/252,"")</f>
        <v/>
      </c>
      <c r="G108" s="28">
        <f>IFERROR(E108-Dashboard!$B$4/252,"")</f>
        <v/>
      </c>
      <c r="H108" s="8">
        <f>IFERROR(IF(ISNUMBER(B108),MAX(B108,IFERROR(H107,B108)),""),"")</f>
        <v/>
      </c>
      <c r="I108" s="29">
        <f>IFERROR(IF(AND(ISNUMBER(B108),ISNUMBER(H108)),B108/H108-1,""),"")</f>
        <v/>
      </c>
      <c r="J108" s="8">
        <f>IFERROR(IF(ISNUMBER(C108),MAX(C108,IFERROR(J107,C108)),""),"")</f>
        <v/>
      </c>
      <c r="K108" s="29">
        <f>IFERROR(IF(AND(ISNUMBER(C108),ISNUMBER(J108)),C108/J108-1,""),"")</f>
        <v/>
      </c>
      <c r="L108" s="28">
        <f>IFERROR(IF(AND(ISNUMBER(D108),ISNUMBER(E108)),D108-E108,""),"")</f>
        <v/>
      </c>
    </row>
    <row r="109">
      <c r="A109" s="7">
        <f>IFERROR(Datos!A109,"")</f>
        <v/>
      </c>
      <c r="B109" s="8">
        <f>IFERROR(Datos!B109,"")</f>
        <v/>
      </c>
      <c r="C109" s="8">
        <f>IFERROR(Datos!C109,"")</f>
        <v/>
      </c>
      <c r="D109" s="28">
        <f>IFERROR(IF(AND(ISNUMBER(B109),ISNUMBER(B108),B108&lt;&gt;0),B109/B108-1,""),"")</f>
        <v/>
      </c>
      <c r="E109" s="28">
        <f>IFERROR(IF(AND(ISNUMBER(C109),ISNUMBER(C108),C108&lt;&gt;0),C109/C108-1,""),"")</f>
        <v/>
      </c>
      <c r="F109" s="28">
        <f>IFERROR(D109-Dashboard!$B$4/252,"")</f>
        <v/>
      </c>
      <c r="G109" s="28">
        <f>IFERROR(E109-Dashboard!$B$4/252,"")</f>
        <v/>
      </c>
      <c r="H109" s="8">
        <f>IFERROR(IF(ISNUMBER(B109),MAX(B109,IFERROR(H108,B109)),""),"")</f>
        <v/>
      </c>
      <c r="I109" s="29">
        <f>IFERROR(IF(AND(ISNUMBER(B109),ISNUMBER(H109)),B109/H109-1,""),"")</f>
        <v/>
      </c>
      <c r="J109" s="8">
        <f>IFERROR(IF(ISNUMBER(C109),MAX(C109,IFERROR(J108,C109)),""),"")</f>
        <v/>
      </c>
      <c r="K109" s="29">
        <f>IFERROR(IF(AND(ISNUMBER(C109),ISNUMBER(J109)),C109/J109-1,""),"")</f>
        <v/>
      </c>
      <c r="L109" s="28">
        <f>IFERROR(IF(AND(ISNUMBER(D109),ISNUMBER(E109)),D109-E109,""),"")</f>
        <v/>
      </c>
    </row>
    <row r="110">
      <c r="A110" s="7">
        <f>IFERROR(Datos!A110,"")</f>
        <v/>
      </c>
      <c r="B110" s="8">
        <f>IFERROR(Datos!B110,"")</f>
        <v/>
      </c>
      <c r="C110" s="8">
        <f>IFERROR(Datos!C110,"")</f>
        <v/>
      </c>
      <c r="D110" s="28">
        <f>IFERROR(IF(AND(ISNUMBER(B110),ISNUMBER(B109),B109&lt;&gt;0),B110/B109-1,""),"")</f>
        <v/>
      </c>
      <c r="E110" s="28">
        <f>IFERROR(IF(AND(ISNUMBER(C110),ISNUMBER(C109),C109&lt;&gt;0),C110/C109-1,""),"")</f>
        <v/>
      </c>
      <c r="F110" s="28">
        <f>IFERROR(D110-Dashboard!$B$4/252,"")</f>
        <v/>
      </c>
      <c r="G110" s="28">
        <f>IFERROR(E110-Dashboard!$B$4/252,"")</f>
        <v/>
      </c>
      <c r="H110" s="8">
        <f>IFERROR(IF(ISNUMBER(B110),MAX(B110,IFERROR(H109,B110)),""),"")</f>
        <v/>
      </c>
      <c r="I110" s="29">
        <f>IFERROR(IF(AND(ISNUMBER(B110),ISNUMBER(H110)),B110/H110-1,""),"")</f>
        <v/>
      </c>
      <c r="J110" s="8">
        <f>IFERROR(IF(ISNUMBER(C110),MAX(C110,IFERROR(J109,C110)),""),"")</f>
        <v/>
      </c>
      <c r="K110" s="29">
        <f>IFERROR(IF(AND(ISNUMBER(C110),ISNUMBER(J110)),C110/J110-1,""),"")</f>
        <v/>
      </c>
      <c r="L110" s="28">
        <f>IFERROR(IF(AND(ISNUMBER(D110),ISNUMBER(E110)),D110-E110,""),"")</f>
        <v/>
      </c>
    </row>
    <row r="111">
      <c r="A111" s="7">
        <f>IFERROR(Datos!A111,"")</f>
        <v/>
      </c>
      <c r="B111" s="8">
        <f>IFERROR(Datos!B111,"")</f>
        <v/>
      </c>
      <c r="C111" s="8">
        <f>IFERROR(Datos!C111,"")</f>
        <v/>
      </c>
      <c r="D111" s="28">
        <f>IFERROR(IF(AND(ISNUMBER(B111),ISNUMBER(B110),B110&lt;&gt;0),B111/B110-1,""),"")</f>
        <v/>
      </c>
      <c r="E111" s="28">
        <f>IFERROR(IF(AND(ISNUMBER(C111),ISNUMBER(C110),C110&lt;&gt;0),C111/C110-1,""),"")</f>
        <v/>
      </c>
      <c r="F111" s="28">
        <f>IFERROR(D111-Dashboard!$B$4/252,"")</f>
        <v/>
      </c>
      <c r="G111" s="28">
        <f>IFERROR(E111-Dashboard!$B$4/252,"")</f>
        <v/>
      </c>
      <c r="H111" s="8">
        <f>IFERROR(IF(ISNUMBER(B111),MAX(B111,IFERROR(H110,B111)),""),"")</f>
        <v/>
      </c>
      <c r="I111" s="29">
        <f>IFERROR(IF(AND(ISNUMBER(B111),ISNUMBER(H111)),B111/H111-1,""),"")</f>
        <v/>
      </c>
      <c r="J111" s="8">
        <f>IFERROR(IF(ISNUMBER(C111),MAX(C111,IFERROR(J110,C111)),""),"")</f>
        <v/>
      </c>
      <c r="K111" s="29">
        <f>IFERROR(IF(AND(ISNUMBER(C111),ISNUMBER(J111)),C111/J111-1,""),"")</f>
        <v/>
      </c>
      <c r="L111" s="28">
        <f>IFERROR(IF(AND(ISNUMBER(D111),ISNUMBER(E111)),D111-E111,""),"")</f>
        <v/>
      </c>
    </row>
    <row r="112">
      <c r="A112" s="7">
        <f>IFERROR(Datos!A112,"")</f>
        <v/>
      </c>
      <c r="B112" s="8">
        <f>IFERROR(Datos!B112,"")</f>
        <v/>
      </c>
      <c r="C112" s="8">
        <f>IFERROR(Datos!C112,"")</f>
        <v/>
      </c>
      <c r="D112" s="28">
        <f>IFERROR(IF(AND(ISNUMBER(B112),ISNUMBER(B111),B111&lt;&gt;0),B112/B111-1,""),"")</f>
        <v/>
      </c>
      <c r="E112" s="28">
        <f>IFERROR(IF(AND(ISNUMBER(C112),ISNUMBER(C111),C111&lt;&gt;0),C112/C111-1,""),"")</f>
        <v/>
      </c>
      <c r="F112" s="28">
        <f>IFERROR(D112-Dashboard!$B$4/252,"")</f>
        <v/>
      </c>
      <c r="G112" s="28">
        <f>IFERROR(E112-Dashboard!$B$4/252,"")</f>
        <v/>
      </c>
      <c r="H112" s="8">
        <f>IFERROR(IF(ISNUMBER(B112),MAX(B112,IFERROR(H111,B112)),""),"")</f>
        <v/>
      </c>
      <c r="I112" s="29">
        <f>IFERROR(IF(AND(ISNUMBER(B112),ISNUMBER(H112)),B112/H112-1,""),"")</f>
        <v/>
      </c>
      <c r="J112" s="8">
        <f>IFERROR(IF(ISNUMBER(C112),MAX(C112,IFERROR(J111,C112)),""),"")</f>
        <v/>
      </c>
      <c r="K112" s="29">
        <f>IFERROR(IF(AND(ISNUMBER(C112),ISNUMBER(J112)),C112/J112-1,""),"")</f>
        <v/>
      </c>
      <c r="L112" s="28">
        <f>IFERROR(IF(AND(ISNUMBER(D112),ISNUMBER(E112)),D112-E112,""),"")</f>
        <v/>
      </c>
    </row>
    <row r="113">
      <c r="A113" s="7">
        <f>IFERROR(Datos!A113,"")</f>
        <v/>
      </c>
      <c r="B113" s="8">
        <f>IFERROR(Datos!B113,"")</f>
        <v/>
      </c>
      <c r="C113" s="8">
        <f>IFERROR(Datos!C113,"")</f>
        <v/>
      </c>
      <c r="D113" s="28">
        <f>IFERROR(IF(AND(ISNUMBER(B113),ISNUMBER(B112),B112&lt;&gt;0),B113/B112-1,""),"")</f>
        <v/>
      </c>
      <c r="E113" s="28">
        <f>IFERROR(IF(AND(ISNUMBER(C113),ISNUMBER(C112),C112&lt;&gt;0),C113/C112-1,""),"")</f>
        <v/>
      </c>
      <c r="F113" s="28">
        <f>IFERROR(D113-Dashboard!$B$4/252,"")</f>
        <v/>
      </c>
      <c r="G113" s="28">
        <f>IFERROR(E113-Dashboard!$B$4/252,"")</f>
        <v/>
      </c>
      <c r="H113" s="8">
        <f>IFERROR(IF(ISNUMBER(B113),MAX(B113,IFERROR(H112,B113)),""),"")</f>
        <v/>
      </c>
      <c r="I113" s="29">
        <f>IFERROR(IF(AND(ISNUMBER(B113),ISNUMBER(H113)),B113/H113-1,""),"")</f>
        <v/>
      </c>
      <c r="J113" s="8">
        <f>IFERROR(IF(ISNUMBER(C113),MAX(C113,IFERROR(J112,C113)),""),"")</f>
        <v/>
      </c>
      <c r="K113" s="29">
        <f>IFERROR(IF(AND(ISNUMBER(C113),ISNUMBER(J113)),C113/J113-1,""),"")</f>
        <v/>
      </c>
      <c r="L113" s="28">
        <f>IFERROR(IF(AND(ISNUMBER(D113),ISNUMBER(E113)),D113-E113,""),"")</f>
        <v/>
      </c>
    </row>
    <row r="114">
      <c r="A114" s="7">
        <f>IFERROR(Datos!A114,"")</f>
        <v/>
      </c>
      <c r="B114" s="8">
        <f>IFERROR(Datos!B114,"")</f>
        <v/>
      </c>
      <c r="C114" s="8">
        <f>IFERROR(Datos!C114,"")</f>
        <v/>
      </c>
      <c r="D114" s="28">
        <f>IFERROR(IF(AND(ISNUMBER(B114),ISNUMBER(B113),B113&lt;&gt;0),B114/B113-1,""),"")</f>
        <v/>
      </c>
      <c r="E114" s="28">
        <f>IFERROR(IF(AND(ISNUMBER(C114),ISNUMBER(C113),C113&lt;&gt;0),C114/C113-1,""),"")</f>
        <v/>
      </c>
      <c r="F114" s="28">
        <f>IFERROR(D114-Dashboard!$B$4/252,"")</f>
        <v/>
      </c>
      <c r="G114" s="28">
        <f>IFERROR(E114-Dashboard!$B$4/252,"")</f>
        <v/>
      </c>
      <c r="H114" s="8">
        <f>IFERROR(IF(ISNUMBER(B114),MAX(B114,IFERROR(H113,B114)),""),"")</f>
        <v/>
      </c>
      <c r="I114" s="29">
        <f>IFERROR(IF(AND(ISNUMBER(B114),ISNUMBER(H114)),B114/H114-1,""),"")</f>
        <v/>
      </c>
      <c r="J114" s="8">
        <f>IFERROR(IF(ISNUMBER(C114),MAX(C114,IFERROR(J113,C114)),""),"")</f>
        <v/>
      </c>
      <c r="K114" s="29">
        <f>IFERROR(IF(AND(ISNUMBER(C114),ISNUMBER(J114)),C114/J114-1,""),"")</f>
        <v/>
      </c>
      <c r="L114" s="28">
        <f>IFERROR(IF(AND(ISNUMBER(D114),ISNUMBER(E114)),D114-E114,""),"")</f>
        <v/>
      </c>
    </row>
    <row r="115">
      <c r="A115" s="7">
        <f>IFERROR(Datos!A115,"")</f>
        <v/>
      </c>
      <c r="B115" s="8">
        <f>IFERROR(Datos!B115,"")</f>
        <v/>
      </c>
      <c r="C115" s="8">
        <f>IFERROR(Datos!C115,"")</f>
        <v/>
      </c>
      <c r="D115" s="28">
        <f>IFERROR(IF(AND(ISNUMBER(B115),ISNUMBER(B114),B114&lt;&gt;0),B115/B114-1,""),"")</f>
        <v/>
      </c>
      <c r="E115" s="28">
        <f>IFERROR(IF(AND(ISNUMBER(C115),ISNUMBER(C114),C114&lt;&gt;0),C115/C114-1,""),"")</f>
        <v/>
      </c>
      <c r="F115" s="28">
        <f>IFERROR(D115-Dashboard!$B$4/252,"")</f>
        <v/>
      </c>
      <c r="G115" s="28">
        <f>IFERROR(E115-Dashboard!$B$4/252,"")</f>
        <v/>
      </c>
      <c r="H115" s="8">
        <f>IFERROR(IF(ISNUMBER(B115),MAX(B115,IFERROR(H114,B115)),""),"")</f>
        <v/>
      </c>
      <c r="I115" s="29">
        <f>IFERROR(IF(AND(ISNUMBER(B115),ISNUMBER(H115)),B115/H115-1,""),"")</f>
        <v/>
      </c>
      <c r="J115" s="8">
        <f>IFERROR(IF(ISNUMBER(C115),MAX(C115,IFERROR(J114,C115)),""),"")</f>
        <v/>
      </c>
      <c r="K115" s="29">
        <f>IFERROR(IF(AND(ISNUMBER(C115),ISNUMBER(J115)),C115/J115-1,""),"")</f>
        <v/>
      </c>
      <c r="L115" s="28">
        <f>IFERROR(IF(AND(ISNUMBER(D115),ISNUMBER(E115)),D115-E115,""),"")</f>
        <v/>
      </c>
    </row>
    <row r="116">
      <c r="A116" s="7">
        <f>IFERROR(Datos!A116,"")</f>
        <v/>
      </c>
      <c r="B116" s="8">
        <f>IFERROR(Datos!B116,"")</f>
        <v/>
      </c>
      <c r="C116" s="8">
        <f>IFERROR(Datos!C116,"")</f>
        <v/>
      </c>
      <c r="D116" s="28">
        <f>IFERROR(IF(AND(ISNUMBER(B116),ISNUMBER(B115),B115&lt;&gt;0),B116/B115-1,""),"")</f>
        <v/>
      </c>
      <c r="E116" s="28">
        <f>IFERROR(IF(AND(ISNUMBER(C116),ISNUMBER(C115),C115&lt;&gt;0),C116/C115-1,""),"")</f>
        <v/>
      </c>
      <c r="F116" s="28">
        <f>IFERROR(D116-Dashboard!$B$4/252,"")</f>
        <v/>
      </c>
      <c r="G116" s="28">
        <f>IFERROR(E116-Dashboard!$B$4/252,"")</f>
        <v/>
      </c>
      <c r="H116" s="8">
        <f>IFERROR(IF(ISNUMBER(B116),MAX(B116,IFERROR(H115,B116)),""),"")</f>
        <v/>
      </c>
      <c r="I116" s="29">
        <f>IFERROR(IF(AND(ISNUMBER(B116),ISNUMBER(H116)),B116/H116-1,""),"")</f>
        <v/>
      </c>
      <c r="J116" s="8">
        <f>IFERROR(IF(ISNUMBER(C116),MAX(C116,IFERROR(J115,C116)),""),"")</f>
        <v/>
      </c>
      <c r="K116" s="29">
        <f>IFERROR(IF(AND(ISNUMBER(C116),ISNUMBER(J116)),C116/J116-1,""),"")</f>
        <v/>
      </c>
      <c r="L116" s="28">
        <f>IFERROR(IF(AND(ISNUMBER(D116),ISNUMBER(E116)),D116-E116,""),"")</f>
        <v/>
      </c>
    </row>
    <row r="117">
      <c r="A117" s="7">
        <f>IFERROR(Datos!A117,"")</f>
        <v/>
      </c>
      <c r="B117" s="8">
        <f>IFERROR(Datos!B117,"")</f>
        <v/>
      </c>
      <c r="C117" s="8">
        <f>IFERROR(Datos!C117,"")</f>
        <v/>
      </c>
      <c r="D117" s="28">
        <f>IFERROR(IF(AND(ISNUMBER(B117),ISNUMBER(B116),B116&lt;&gt;0),B117/B116-1,""),"")</f>
        <v/>
      </c>
      <c r="E117" s="28">
        <f>IFERROR(IF(AND(ISNUMBER(C117),ISNUMBER(C116),C116&lt;&gt;0),C117/C116-1,""),"")</f>
        <v/>
      </c>
      <c r="F117" s="28">
        <f>IFERROR(D117-Dashboard!$B$4/252,"")</f>
        <v/>
      </c>
      <c r="G117" s="28">
        <f>IFERROR(E117-Dashboard!$B$4/252,"")</f>
        <v/>
      </c>
      <c r="H117" s="8">
        <f>IFERROR(IF(ISNUMBER(B117),MAX(B117,IFERROR(H116,B117)),""),"")</f>
        <v/>
      </c>
      <c r="I117" s="29">
        <f>IFERROR(IF(AND(ISNUMBER(B117),ISNUMBER(H117)),B117/H117-1,""),"")</f>
        <v/>
      </c>
      <c r="J117" s="8">
        <f>IFERROR(IF(ISNUMBER(C117),MAX(C117,IFERROR(J116,C117)),""),"")</f>
        <v/>
      </c>
      <c r="K117" s="29">
        <f>IFERROR(IF(AND(ISNUMBER(C117),ISNUMBER(J117)),C117/J117-1,""),"")</f>
        <v/>
      </c>
      <c r="L117" s="28">
        <f>IFERROR(IF(AND(ISNUMBER(D117),ISNUMBER(E117)),D117-E117,""),"")</f>
        <v/>
      </c>
    </row>
    <row r="118">
      <c r="A118" s="7">
        <f>IFERROR(Datos!A118,"")</f>
        <v/>
      </c>
      <c r="B118" s="8">
        <f>IFERROR(Datos!B118,"")</f>
        <v/>
      </c>
      <c r="C118" s="8">
        <f>IFERROR(Datos!C118,"")</f>
        <v/>
      </c>
      <c r="D118" s="28">
        <f>IFERROR(IF(AND(ISNUMBER(B118),ISNUMBER(B117),B117&lt;&gt;0),B118/B117-1,""),"")</f>
        <v/>
      </c>
      <c r="E118" s="28">
        <f>IFERROR(IF(AND(ISNUMBER(C118),ISNUMBER(C117),C117&lt;&gt;0),C118/C117-1,""),"")</f>
        <v/>
      </c>
      <c r="F118" s="28">
        <f>IFERROR(D118-Dashboard!$B$4/252,"")</f>
        <v/>
      </c>
      <c r="G118" s="28">
        <f>IFERROR(E118-Dashboard!$B$4/252,"")</f>
        <v/>
      </c>
      <c r="H118" s="8">
        <f>IFERROR(IF(ISNUMBER(B118),MAX(B118,IFERROR(H117,B118)),""),"")</f>
        <v/>
      </c>
      <c r="I118" s="29">
        <f>IFERROR(IF(AND(ISNUMBER(B118),ISNUMBER(H118)),B118/H118-1,""),"")</f>
        <v/>
      </c>
      <c r="J118" s="8">
        <f>IFERROR(IF(ISNUMBER(C118),MAX(C118,IFERROR(J117,C118)),""),"")</f>
        <v/>
      </c>
      <c r="K118" s="29">
        <f>IFERROR(IF(AND(ISNUMBER(C118),ISNUMBER(J118)),C118/J118-1,""),"")</f>
        <v/>
      </c>
      <c r="L118" s="28">
        <f>IFERROR(IF(AND(ISNUMBER(D118),ISNUMBER(E118)),D118-E118,""),"")</f>
        <v/>
      </c>
    </row>
    <row r="119">
      <c r="A119" s="7">
        <f>IFERROR(Datos!A119,"")</f>
        <v/>
      </c>
      <c r="B119" s="8">
        <f>IFERROR(Datos!B119,"")</f>
        <v/>
      </c>
      <c r="C119" s="8">
        <f>IFERROR(Datos!C119,"")</f>
        <v/>
      </c>
      <c r="D119" s="28">
        <f>IFERROR(IF(AND(ISNUMBER(B119),ISNUMBER(B118),B118&lt;&gt;0),B119/B118-1,""),"")</f>
        <v/>
      </c>
      <c r="E119" s="28">
        <f>IFERROR(IF(AND(ISNUMBER(C119),ISNUMBER(C118),C118&lt;&gt;0),C119/C118-1,""),"")</f>
        <v/>
      </c>
      <c r="F119" s="28">
        <f>IFERROR(D119-Dashboard!$B$4/252,"")</f>
        <v/>
      </c>
      <c r="G119" s="28">
        <f>IFERROR(E119-Dashboard!$B$4/252,"")</f>
        <v/>
      </c>
      <c r="H119" s="8">
        <f>IFERROR(IF(ISNUMBER(B119),MAX(B119,IFERROR(H118,B119)),""),"")</f>
        <v/>
      </c>
      <c r="I119" s="29">
        <f>IFERROR(IF(AND(ISNUMBER(B119),ISNUMBER(H119)),B119/H119-1,""),"")</f>
        <v/>
      </c>
      <c r="J119" s="8">
        <f>IFERROR(IF(ISNUMBER(C119),MAX(C119,IFERROR(J118,C119)),""),"")</f>
        <v/>
      </c>
      <c r="K119" s="29">
        <f>IFERROR(IF(AND(ISNUMBER(C119),ISNUMBER(J119)),C119/J119-1,""),"")</f>
        <v/>
      </c>
      <c r="L119" s="28">
        <f>IFERROR(IF(AND(ISNUMBER(D119),ISNUMBER(E119)),D119-E119,""),"")</f>
        <v/>
      </c>
    </row>
    <row r="120">
      <c r="A120" s="7">
        <f>IFERROR(Datos!A120,"")</f>
        <v/>
      </c>
      <c r="B120" s="8">
        <f>IFERROR(Datos!B120,"")</f>
        <v/>
      </c>
      <c r="C120" s="8">
        <f>IFERROR(Datos!C120,"")</f>
        <v/>
      </c>
      <c r="D120" s="28">
        <f>IFERROR(IF(AND(ISNUMBER(B120),ISNUMBER(B119),B119&lt;&gt;0),B120/B119-1,""),"")</f>
        <v/>
      </c>
      <c r="E120" s="28">
        <f>IFERROR(IF(AND(ISNUMBER(C120),ISNUMBER(C119),C119&lt;&gt;0),C120/C119-1,""),"")</f>
        <v/>
      </c>
      <c r="F120" s="28">
        <f>IFERROR(D120-Dashboard!$B$4/252,"")</f>
        <v/>
      </c>
      <c r="G120" s="28">
        <f>IFERROR(E120-Dashboard!$B$4/252,"")</f>
        <v/>
      </c>
      <c r="H120" s="8">
        <f>IFERROR(IF(ISNUMBER(B120),MAX(B120,IFERROR(H119,B120)),""),"")</f>
        <v/>
      </c>
      <c r="I120" s="29">
        <f>IFERROR(IF(AND(ISNUMBER(B120),ISNUMBER(H120)),B120/H120-1,""),"")</f>
        <v/>
      </c>
      <c r="J120" s="8">
        <f>IFERROR(IF(ISNUMBER(C120),MAX(C120,IFERROR(J119,C120)),""),"")</f>
        <v/>
      </c>
      <c r="K120" s="29">
        <f>IFERROR(IF(AND(ISNUMBER(C120),ISNUMBER(J120)),C120/J120-1,""),"")</f>
        <v/>
      </c>
      <c r="L120" s="28">
        <f>IFERROR(IF(AND(ISNUMBER(D120),ISNUMBER(E120)),D120-E120,""),"")</f>
        <v/>
      </c>
    </row>
    <row r="121">
      <c r="A121" s="7">
        <f>IFERROR(Datos!A121,"")</f>
        <v/>
      </c>
      <c r="B121" s="8">
        <f>IFERROR(Datos!B121,"")</f>
        <v/>
      </c>
      <c r="C121" s="8">
        <f>IFERROR(Datos!C121,"")</f>
        <v/>
      </c>
      <c r="D121" s="28">
        <f>IFERROR(IF(AND(ISNUMBER(B121),ISNUMBER(B120),B120&lt;&gt;0),B121/B120-1,""),"")</f>
        <v/>
      </c>
      <c r="E121" s="28">
        <f>IFERROR(IF(AND(ISNUMBER(C121),ISNUMBER(C120),C120&lt;&gt;0),C121/C120-1,""),"")</f>
        <v/>
      </c>
      <c r="F121" s="28">
        <f>IFERROR(D121-Dashboard!$B$4/252,"")</f>
        <v/>
      </c>
      <c r="G121" s="28">
        <f>IFERROR(E121-Dashboard!$B$4/252,"")</f>
        <v/>
      </c>
      <c r="H121" s="8">
        <f>IFERROR(IF(ISNUMBER(B121),MAX(B121,IFERROR(H120,B121)),""),"")</f>
        <v/>
      </c>
      <c r="I121" s="29">
        <f>IFERROR(IF(AND(ISNUMBER(B121),ISNUMBER(H121)),B121/H121-1,""),"")</f>
        <v/>
      </c>
      <c r="J121" s="8">
        <f>IFERROR(IF(ISNUMBER(C121),MAX(C121,IFERROR(J120,C121)),""),"")</f>
        <v/>
      </c>
      <c r="K121" s="29">
        <f>IFERROR(IF(AND(ISNUMBER(C121),ISNUMBER(J121)),C121/J121-1,""),"")</f>
        <v/>
      </c>
      <c r="L121" s="28">
        <f>IFERROR(IF(AND(ISNUMBER(D121),ISNUMBER(E121)),D121-E121,""),"")</f>
        <v/>
      </c>
    </row>
    <row r="122">
      <c r="A122" s="7">
        <f>IFERROR(Datos!A122,"")</f>
        <v/>
      </c>
      <c r="B122" s="8">
        <f>IFERROR(Datos!B122,"")</f>
        <v/>
      </c>
      <c r="C122" s="8">
        <f>IFERROR(Datos!C122,"")</f>
        <v/>
      </c>
      <c r="D122" s="28">
        <f>IFERROR(IF(AND(ISNUMBER(B122),ISNUMBER(B121),B121&lt;&gt;0),B122/B121-1,""),"")</f>
        <v/>
      </c>
      <c r="E122" s="28">
        <f>IFERROR(IF(AND(ISNUMBER(C122),ISNUMBER(C121),C121&lt;&gt;0),C122/C121-1,""),"")</f>
        <v/>
      </c>
      <c r="F122" s="28">
        <f>IFERROR(D122-Dashboard!$B$4/252,"")</f>
        <v/>
      </c>
      <c r="G122" s="28">
        <f>IFERROR(E122-Dashboard!$B$4/252,"")</f>
        <v/>
      </c>
      <c r="H122" s="8">
        <f>IFERROR(IF(ISNUMBER(B122),MAX(B122,IFERROR(H121,B122)),""),"")</f>
        <v/>
      </c>
      <c r="I122" s="29">
        <f>IFERROR(IF(AND(ISNUMBER(B122),ISNUMBER(H122)),B122/H122-1,""),"")</f>
        <v/>
      </c>
      <c r="J122" s="8">
        <f>IFERROR(IF(ISNUMBER(C122),MAX(C122,IFERROR(J121,C122)),""),"")</f>
        <v/>
      </c>
      <c r="K122" s="29">
        <f>IFERROR(IF(AND(ISNUMBER(C122),ISNUMBER(J122)),C122/J122-1,""),"")</f>
        <v/>
      </c>
      <c r="L122" s="28">
        <f>IFERROR(IF(AND(ISNUMBER(D122),ISNUMBER(E122)),D122-E122,""),"")</f>
        <v/>
      </c>
    </row>
    <row r="123">
      <c r="A123" s="7">
        <f>IFERROR(Datos!A123,"")</f>
        <v/>
      </c>
      <c r="B123" s="8">
        <f>IFERROR(Datos!B123,"")</f>
        <v/>
      </c>
      <c r="C123" s="8">
        <f>IFERROR(Datos!C123,"")</f>
        <v/>
      </c>
      <c r="D123" s="28">
        <f>IFERROR(IF(AND(ISNUMBER(B123),ISNUMBER(B122),B122&lt;&gt;0),B123/B122-1,""),"")</f>
        <v/>
      </c>
      <c r="E123" s="28">
        <f>IFERROR(IF(AND(ISNUMBER(C123),ISNUMBER(C122),C122&lt;&gt;0),C123/C122-1,""),"")</f>
        <v/>
      </c>
      <c r="F123" s="28">
        <f>IFERROR(D123-Dashboard!$B$4/252,"")</f>
        <v/>
      </c>
      <c r="G123" s="28">
        <f>IFERROR(E123-Dashboard!$B$4/252,"")</f>
        <v/>
      </c>
      <c r="H123" s="8">
        <f>IFERROR(IF(ISNUMBER(B123),MAX(B123,IFERROR(H122,B123)),""),"")</f>
        <v/>
      </c>
      <c r="I123" s="29">
        <f>IFERROR(IF(AND(ISNUMBER(B123),ISNUMBER(H123)),B123/H123-1,""),"")</f>
        <v/>
      </c>
      <c r="J123" s="8">
        <f>IFERROR(IF(ISNUMBER(C123),MAX(C123,IFERROR(J122,C123)),""),"")</f>
        <v/>
      </c>
      <c r="K123" s="29">
        <f>IFERROR(IF(AND(ISNUMBER(C123),ISNUMBER(J123)),C123/J123-1,""),"")</f>
        <v/>
      </c>
      <c r="L123" s="28">
        <f>IFERROR(IF(AND(ISNUMBER(D123),ISNUMBER(E123)),D123-E123,""),"")</f>
        <v/>
      </c>
    </row>
    <row r="124">
      <c r="A124" s="7">
        <f>IFERROR(Datos!A124,"")</f>
        <v/>
      </c>
      <c r="B124" s="8">
        <f>IFERROR(Datos!B124,"")</f>
        <v/>
      </c>
      <c r="C124" s="8">
        <f>IFERROR(Datos!C124,"")</f>
        <v/>
      </c>
      <c r="D124" s="28">
        <f>IFERROR(IF(AND(ISNUMBER(B124),ISNUMBER(B123),B123&lt;&gt;0),B124/B123-1,""),"")</f>
        <v/>
      </c>
      <c r="E124" s="28">
        <f>IFERROR(IF(AND(ISNUMBER(C124),ISNUMBER(C123),C123&lt;&gt;0),C124/C123-1,""),"")</f>
        <v/>
      </c>
      <c r="F124" s="28">
        <f>IFERROR(D124-Dashboard!$B$4/252,"")</f>
        <v/>
      </c>
      <c r="G124" s="28">
        <f>IFERROR(E124-Dashboard!$B$4/252,"")</f>
        <v/>
      </c>
      <c r="H124" s="8">
        <f>IFERROR(IF(ISNUMBER(B124),MAX(B124,IFERROR(H123,B124)),""),"")</f>
        <v/>
      </c>
      <c r="I124" s="29">
        <f>IFERROR(IF(AND(ISNUMBER(B124),ISNUMBER(H124)),B124/H124-1,""),"")</f>
        <v/>
      </c>
      <c r="J124" s="8">
        <f>IFERROR(IF(ISNUMBER(C124),MAX(C124,IFERROR(J123,C124)),""),"")</f>
        <v/>
      </c>
      <c r="K124" s="29">
        <f>IFERROR(IF(AND(ISNUMBER(C124),ISNUMBER(J124)),C124/J124-1,""),"")</f>
        <v/>
      </c>
      <c r="L124" s="28">
        <f>IFERROR(IF(AND(ISNUMBER(D124),ISNUMBER(E124)),D124-E124,""),"")</f>
        <v/>
      </c>
    </row>
    <row r="125">
      <c r="A125" s="7">
        <f>IFERROR(Datos!A125,"")</f>
        <v/>
      </c>
      <c r="B125" s="8">
        <f>IFERROR(Datos!B125,"")</f>
        <v/>
      </c>
      <c r="C125" s="8">
        <f>IFERROR(Datos!C125,"")</f>
        <v/>
      </c>
      <c r="D125" s="28">
        <f>IFERROR(IF(AND(ISNUMBER(B125),ISNUMBER(B124),B124&lt;&gt;0),B125/B124-1,""),"")</f>
        <v/>
      </c>
      <c r="E125" s="28">
        <f>IFERROR(IF(AND(ISNUMBER(C125),ISNUMBER(C124),C124&lt;&gt;0),C125/C124-1,""),"")</f>
        <v/>
      </c>
      <c r="F125" s="28">
        <f>IFERROR(D125-Dashboard!$B$4/252,"")</f>
        <v/>
      </c>
      <c r="G125" s="28">
        <f>IFERROR(E125-Dashboard!$B$4/252,"")</f>
        <v/>
      </c>
      <c r="H125" s="8">
        <f>IFERROR(IF(ISNUMBER(B125),MAX(B125,IFERROR(H124,B125)),""),"")</f>
        <v/>
      </c>
      <c r="I125" s="29">
        <f>IFERROR(IF(AND(ISNUMBER(B125),ISNUMBER(H125)),B125/H125-1,""),"")</f>
        <v/>
      </c>
      <c r="J125" s="8">
        <f>IFERROR(IF(ISNUMBER(C125),MAX(C125,IFERROR(J124,C125)),""),"")</f>
        <v/>
      </c>
      <c r="K125" s="29">
        <f>IFERROR(IF(AND(ISNUMBER(C125),ISNUMBER(J125)),C125/J125-1,""),"")</f>
        <v/>
      </c>
      <c r="L125" s="28">
        <f>IFERROR(IF(AND(ISNUMBER(D125),ISNUMBER(E125)),D125-E125,""),"")</f>
        <v/>
      </c>
    </row>
    <row r="126">
      <c r="A126" s="7">
        <f>IFERROR(Datos!A126,"")</f>
        <v/>
      </c>
      <c r="B126" s="8">
        <f>IFERROR(Datos!B126,"")</f>
        <v/>
      </c>
      <c r="C126" s="8">
        <f>IFERROR(Datos!C126,"")</f>
        <v/>
      </c>
      <c r="D126" s="28">
        <f>IFERROR(IF(AND(ISNUMBER(B126),ISNUMBER(B125),B125&lt;&gt;0),B126/B125-1,""),"")</f>
        <v/>
      </c>
      <c r="E126" s="28">
        <f>IFERROR(IF(AND(ISNUMBER(C126),ISNUMBER(C125),C125&lt;&gt;0),C126/C125-1,""),"")</f>
        <v/>
      </c>
      <c r="F126" s="28">
        <f>IFERROR(D126-Dashboard!$B$4/252,"")</f>
        <v/>
      </c>
      <c r="G126" s="28">
        <f>IFERROR(E126-Dashboard!$B$4/252,"")</f>
        <v/>
      </c>
      <c r="H126" s="8">
        <f>IFERROR(IF(ISNUMBER(B126),MAX(B126,IFERROR(H125,B126)),""),"")</f>
        <v/>
      </c>
      <c r="I126" s="29">
        <f>IFERROR(IF(AND(ISNUMBER(B126),ISNUMBER(H126)),B126/H126-1,""),"")</f>
        <v/>
      </c>
      <c r="J126" s="8">
        <f>IFERROR(IF(ISNUMBER(C126),MAX(C126,IFERROR(J125,C126)),""),"")</f>
        <v/>
      </c>
      <c r="K126" s="29">
        <f>IFERROR(IF(AND(ISNUMBER(C126),ISNUMBER(J126)),C126/J126-1,""),"")</f>
        <v/>
      </c>
      <c r="L126" s="28">
        <f>IFERROR(IF(AND(ISNUMBER(D126),ISNUMBER(E126)),D126-E126,""),"")</f>
        <v/>
      </c>
    </row>
    <row r="127">
      <c r="A127" s="7">
        <f>IFERROR(Datos!A127,"")</f>
        <v/>
      </c>
      <c r="B127" s="8">
        <f>IFERROR(Datos!B127,"")</f>
        <v/>
      </c>
      <c r="C127" s="8">
        <f>IFERROR(Datos!C127,"")</f>
        <v/>
      </c>
      <c r="D127" s="28">
        <f>IFERROR(IF(AND(ISNUMBER(B127),ISNUMBER(B126),B126&lt;&gt;0),B127/B126-1,""),"")</f>
        <v/>
      </c>
      <c r="E127" s="28">
        <f>IFERROR(IF(AND(ISNUMBER(C127),ISNUMBER(C126),C126&lt;&gt;0),C127/C126-1,""),"")</f>
        <v/>
      </c>
      <c r="F127" s="28">
        <f>IFERROR(D127-Dashboard!$B$4/252,"")</f>
        <v/>
      </c>
      <c r="G127" s="28">
        <f>IFERROR(E127-Dashboard!$B$4/252,"")</f>
        <v/>
      </c>
      <c r="H127" s="8">
        <f>IFERROR(IF(ISNUMBER(B127),MAX(B127,IFERROR(H126,B127)),""),"")</f>
        <v/>
      </c>
      <c r="I127" s="29">
        <f>IFERROR(IF(AND(ISNUMBER(B127),ISNUMBER(H127)),B127/H127-1,""),"")</f>
        <v/>
      </c>
      <c r="J127" s="8">
        <f>IFERROR(IF(ISNUMBER(C127),MAX(C127,IFERROR(J126,C127)),""),"")</f>
        <v/>
      </c>
      <c r="K127" s="29">
        <f>IFERROR(IF(AND(ISNUMBER(C127),ISNUMBER(J127)),C127/J127-1,""),"")</f>
        <v/>
      </c>
      <c r="L127" s="28">
        <f>IFERROR(IF(AND(ISNUMBER(D127),ISNUMBER(E127)),D127-E127,""),"")</f>
        <v/>
      </c>
    </row>
    <row r="128">
      <c r="A128" s="7">
        <f>IFERROR(Datos!A128,"")</f>
        <v/>
      </c>
      <c r="B128" s="8">
        <f>IFERROR(Datos!B128,"")</f>
        <v/>
      </c>
      <c r="C128" s="8">
        <f>IFERROR(Datos!C128,"")</f>
        <v/>
      </c>
      <c r="D128" s="28">
        <f>IFERROR(IF(AND(ISNUMBER(B128),ISNUMBER(B127),B127&lt;&gt;0),B128/B127-1,""),"")</f>
        <v/>
      </c>
      <c r="E128" s="28">
        <f>IFERROR(IF(AND(ISNUMBER(C128),ISNUMBER(C127),C127&lt;&gt;0),C128/C127-1,""),"")</f>
        <v/>
      </c>
      <c r="F128" s="28">
        <f>IFERROR(D128-Dashboard!$B$4/252,"")</f>
        <v/>
      </c>
      <c r="G128" s="28">
        <f>IFERROR(E128-Dashboard!$B$4/252,"")</f>
        <v/>
      </c>
      <c r="H128" s="8">
        <f>IFERROR(IF(ISNUMBER(B128),MAX(B128,IFERROR(H127,B128)),""),"")</f>
        <v/>
      </c>
      <c r="I128" s="29">
        <f>IFERROR(IF(AND(ISNUMBER(B128),ISNUMBER(H128)),B128/H128-1,""),"")</f>
        <v/>
      </c>
      <c r="J128" s="8">
        <f>IFERROR(IF(ISNUMBER(C128),MAX(C128,IFERROR(J127,C128)),""),"")</f>
        <v/>
      </c>
      <c r="K128" s="29">
        <f>IFERROR(IF(AND(ISNUMBER(C128),ISNUMBER(J128)),C128/J128-1,""),"")</f>
        <v/>
      </c>
      <c r="L128" s="28">
        <f>IFERROR(IF(AND(ISNUMBER(D128),ISNUMBER(E128)),D128-E128,""),"")</f>
        <v/>
      </c>
    </row>
    <row r="129">
      <c r="A129" s="7">
        <f>IFERROR(Datos!A129,"")</f>
        <v/>
      </c>
      <c r="B129" s="8">
        <f>IFERROR(Datos!B129,"")</f>
        <v/>
      </c>
      <c r="C129" s="8">
        <f>IFERROR(Datos!C129,"")</f>
        <v/>
      </c>
      <c r="D129" s="28">
        <f>IFERROR(IF(AND(ISNUMBER(B129),ISNUMBER(B128),B128&lt;&gt;0),B129/B128-1,""),"")</f>
        <v/>
      </c>
      <c r="E129" s="28">
        <f>IFERROR(IF(AND(ISNUMBER(C129),ISNUMBER(C128),C128&lt;&gt;0),C129/C128-1,""),"")</f>
        <v/>
      </c>
      <c r="F129" s="28">
        <f>IFERROR(D129-Dashboard!$B$4/252,"")</f>
        <v/>
      </c>
      <c r="G129" s="28">
        <f>IFERROR(E129-Dashboard!$B$4/252,"")</f>
        <v/>
      </c>
      <c r="H129" s="8">
        <f>IFERROR(IF(ISNUMBER(B129),MAX(B129,IFERROR(H128,B129)),""),"")</f>
        <v/>
      </c>
      <c r="I129" s="29">
        <f>IFERROR(IF(AND(ISNUMBER(B129),ISNUMBER(H129)),B129/H129-1,""),"")</f>
        <v/>
      </c>
      <c r="J129" s="8">
        <f>IFERROR(IF(ISNUMBER(C129),MAX(C129,IFERROR(J128,C129)),""),"")</f>
        <v/>
      </c>
      <c r="K129" s="29">
        <f>IFERROR(IF(AND(ISNUMBER(C129),ISNUMBER(J129)),C129/J129-1,""),"")</f>
        <v/>
      </c>
      <c r="L129" s="28">
        <f>IFERROR(IF(AND(ISNUMBER(D129),ISNUMBER(E129)),D129-E129,""),"")</f>
        <v/>
      </c>
    </row>
    <row r="130">
      <c r="A130" s="7">
        <f>IFERROR(Datos!A130,"")</f>
        <v/>
      </c>
      <c r="B130" s="8">
        <f>IFERROR(Datos!B130,"")</f>
        <v/>
      </c>
      <c r="C130" s="8">
        <f>IFERROR(Datos!C130,"")</f>
        <v/>
      </c>
      <c r="D130" s="28">
        <f>IFERROR(IF(AND(ISNUMBER(B130),ISNUMBER(B129),B129&lt;&gt;0),B130/B129-1,""),"")</f>
        <v/>
      </c>
      <c r="E130" s="28">
        <f>IFERROR(IF(AND(ISNUMBER(C130),ISNUMBER(C129),C129&lt;&gt;0),C130/C129-1,""),"")</f>
        <v/>
      </c>
      <c r="F130" s="28">
        <f>IFERROR(D130-Dashboard!$B$4/252,"")</f>
        <v/>
      </c>
      <c r="G130" s="28">
        <f>IFERROR(E130-Dashboard!$B$4/252,"")</f>
        <v/>
      </c>
      <c r="H130" s="8">
        <f>IFERROR(IF(ISNUMBER(B130),MAX(B130,IFERROR(H129,B130)),""),"")</f>
        <v/>
      </c>
      <c r="I130" s="29">
        <f>IFERROR(IF(AND(ISNUMBER(B130),ISNUMBER(H130)),B130/H130-1,""),"")</f>
        <v/>
      </c>
      <c r="J130" s="8">
        <f>IFERROR(IF(ISNUMBER(C130),MAX(C130,IFERROR(J129,C130)),""),"")</f>
        <v/>
      </c>
      <c r="K130" s="29">
        <f>IFERROR(IF(AND(ISNUMBER(C130),ISNUMBER(J130)),C130/J130-1,""),"")</f>
        <v/>
      </c>
      <c r="L130" s="28">
        <f>IFERROR(IF(AND(ISNUMBER(D130),ISNUMBER(E130)),D130-E130,""),"")</f>
        <v/>
      </c>
    </row>
    <row r="131">
      <c r="A131" s="7">
        <f>IFERROR(Datos!A131,"")</f>
        <v/>
      </c>
      <c r="B131" s="8">
        <f>IFERROR(Datos!B131,"")</f>
        <v/>
      </c>
      <c r="C131" s="8">
        <f>IFERROR(Datos!C131,"")</f>
        <v/>
      </c>
      <c r="D131" s="28">
        <f>IFERROR(IF(AND(ISNUMBER(B131),ISNUMBER(B130),B130&lt;&gt;0),B131/B130-1,""),"")</f>
        <v/>
      </c>
      <c r="E131" s="28">
        <f>IFERROR(IF(AND(ISNUMBER(C131),ISNUMBER(C130),C130&lt;&gt;0),C131/C130-1,""),"")</f>
        <v/>
      </c>
      <c r="F131" s="28">
        <f>IFERROR(D131-Dashboard!$B$4/252,"")</f>
        <v/>
      </c>
      <c r="G131" s="28">
        <f>IFERROR(E131-Dashboard!$B$4/252,"")</f>
        <v/>
      </c>
      <c r="H131" s="8">
        <f>IFERROR(IF(ISNUMBER(B131),MAX(B131,IFERROR(H130,B131)),""),"")</f>
        <v/>
      </c>
      <c r="I131" s="29">
        <f>IFERROR(IF(AND(ISNUMBER(B131),ISNUMBER(H131)),B131/H131-1,""),"")</f>
        <v/>
      </c>
      <c r="J131" s="8">
        <f>IFERROR(IF(ISNUMBER(C131),MAX(C131,IFERROR(J130,C131)),""),"")</f>
        <v/>
      </c>
      <c r="K131" s="29">
        <f>IFERROR(IF(AND(ISNUMBER(C131),ISNUMBER(J131)),C131/J131-1,""),"")</f>
        <v/>
      </c>
      <c r="L131" s="28">
        <f>IFERROR(IF(AND(ISNUMBER(D131),ISNUMBER(E131)),D131-E131,""),"")</f>
        <v/>
      </c>
    </row>
    <row r="132">
      <c r="A132" s="7">
        <f>IFERROR(Datos!A132,"")</f>
        <v/>
      </c>
      <c r="B132" s="8">
        <f>IFERROR(Datos!B132,"")</f>
        <v/>
      </c>
      <c r="C132" s="8">
        <f>IFERROR(Datos!C132,"")</f>
        <v/>
      </c>
      <c r="D132" s="28">
        <f>IFERROR(IF(AND(ISNUMBER(B132),ISNUMBER(B131),B131&lt;&gt;0),B132/B131-1,""),"")</f>
        <v/>
      </c>
      <c r="E132" s="28">
        <f>IFERROR(IF(AND(ISNUMBER(C132),ISNUMBER(C131),C131&lt;&gt;0),C132/C131-1,""),"")</f>
        <v/>
      </c>
      <c r="F132" s="28">
        <f>IFERROR(D132-Dashboard!$B$4/252,"")</f>
        <v/>
      </c>
      <c r="G132" s="28">
        <f>IFERROR(E132-Dashboard!$B$4/252,"")</f>
        <v/>
      </c>
      <c r="H132" s="8">
        <f>IFERROR(IF(ISNUMBER(B132),MAX(B132,IFERROR(H131,B132)),""),"")</f>
        <v/>
      </c>
      <c r="I132" s="29">
        <f>IFERROR(IF(AND(ISNUMBER(B132),ISNUMBER(H132)),B132/H132-1,""),"")</f>
        <v/>
      </c>
      <c r="J132" s="8">
        <f>IFERROR(IF(ISNUMBER(C132),MAX(C132,IFERROR(J131,C132)),""),"")</f>
        <v/>
      </c>
      <c r="K132" s="29">
        <f>IFERROR(IF(AND(ISNUMBER(C132),ISNUMBER(J132)),C132/J132-1,""),"")</f>
        <v/>
      </c>
      <c r="L132" s="28">
        <f>IFERROR(IF(AND(ISNUMBER(D132),ISNUMBER(E132)),D132-E132,""),"")</f>
        <v/>
      </c>
    </row>
    <row r="133">
      <c r="A133" s="7">
        <f>IFERROR(Datos!A133,"")</f>
        <v/>
      </c>
      <c r="B133" s="8">
        <f>IFERROR(Datos!B133,"")</f>
        <v/>
      </c>
      <c r="C133" s="8">
        <f>IFERROR(Datos!C133,"")</f>
        <v/>
      </c>
      <c r="D133" s="28">
        <f>IFERROR(IF(AND(ISNUMBER(B133),ISNUMBER(B132),B132&lt;&gt;0),B133/B132-1,""),"")</f>
        <v/>
      </c>
      <c r="E133" s="28">
        <f>IFERROR(IF(AND(ISNUMBER(C133),ISNUMBER(C132),C132&lt;&gt;0),C133/C132-1,""),"")</f>
        <v/>
      </c>
      <c r="F133" s="28">
        <f>IFERROR(D133-Dashboard!$B$4/252,"")</f>
        <v/>
      </c>
      <c r="G133" s="28">
        <f>IFERROR(E133-Dashboard!$B$4/252,"")</f>
        <v/>
      </c>
      <c r="H133" s="8">
        <f>IFERROR(IF(ISNUMBER(B133),MAX(B133,IFERROR(H132,B133)),""),"")</f>
        <v/>
      </c>
      <c r="I133" s="29">
        <f>IFERROR(IF(AND(ISNUMBER(B133),ISNUMBER(H133)),B133/H133-1,""),"")</f>
        <v/>
      </c>
      <c r="J133" s="8">
        <f>IFERROR(IF(ISNUMBER(C133),MAX(C133,IFERROR(J132,C133)),""),"")</f>
        <v/>
      </c>
      <c r="K133" s="29">
        <f>IFERROR(IF(AND(ISNUMBER(C133),ISNUMBER(J133)),C133/J133-1,""),"")</f>
        <v/>
      </c>
      <c r="L133" s="28">
        <f>IFERROR(IF(AND(ISNUMBER(D133),ISNUMBER(E133)),D133-E133,""),"")</f>
        <v/>
      </c>
    </row>
    <row r="134">
      <c r="A134" s="7">
        <f>IFERROR(Datos!A134,"")</f>
        <v/>
      </c>
      <c r="B134" s="8">
        <f>IFERROR(Datos!B134,"")</f>
        <v/>
      </c>
      <c r="C134" s="8">
        <f>IFERROR(Datos!C134,"")</f>
        <v/>
      </c>
      <c r="D134" s="28">
        <f>IFERROR(IF(AND(ISNUMBER(B134),ISNUMBER(B133),B133&lt;&gt;0),B134/B133-1,""),"")</f>
        <v/>
      </c>
      <c r="E134" s="28">
        <f>IFERROR(IF(AND(ISNUMBER(C134),ISNUMBER(C133),C133&lt;&gt;0),C134/C133-1,""),"")</f>
        <v/>
      </c>
      <c r="F134" s="28">
        <f>IFERROR(D134-Dashboard!$B$4/252,"")</f>
        <v/>
      </c>
      <c r="G134" s="28">
        <f>IFERROR(E134-Dashboard!$B$4/252,"")</f>
        <v/>
      </c>
      <c r="H134" s="8">
        <f>IFERROR(IF(ISNUMBER(B134),MAX(B134,IFERROR(H133,B134)),""),"")</f>
        <v/>
      </c>
      <c r="I134" s="29">
        <f>IFERROR(IF(AND(ISNUMBER(B134),ISNUMBER(H134)),B134/H134-1,""),"")</f>
        <v/>
      </c>
      <c r="J134" s="8">
        <f>IFERROR(IF(ISNUMBER(C134),MAX(C134,IFERROR(J133,C134)),""),"")</f>
        <v/>
      </c>
      <c r="K134" s="29">
        <f>IFERROR(IF(AND(ISNUMBER(C134),ISNUMBER(J134)),C134/J134-1,""),"")</f>
        <v/>
      </c>
      <c r="L134" s="28">
        <f>IFERROR(IF(AND(ISNUMBER(D134),ISNUMBER(E134)),D134-E134,""),"")</f>
        <v/>
      </c>
    </row>
    <row r="135">
      <c r="A135" s="7">
        <f>IFERROR(Datos!A135,"")</f>
        <v/>
      </c>
      <c r="B135" s="8">
        <f>IFERROR(Datos!B135,"")</f>
        <v/>
      </c>
      <c r="C135" s="8">
        <f>IFERROR(Datos!C135,"")</f>
        <v/>
      </c>
      <c r="D135" s="28">
        <f>IFERROR(IF(AND(ISNUMBER(B135),ISNUMBER(B134),B134&lt;&gt;0),B135/B134-1,""),"")</f>
        <v/>
      </c>
      <c r="E135" s="28">
        <f>IFERROR(IF(AND(ISNUMBER(C135),ISNUMBER(C134),C134&lt;&gt;0),C135/C134-1,""),"")</f>
        <v/>
      </c>
      <c r="F135" s="28">
        <f>IFERROR(D135-Dashboard!$B$4/252,"")</f>
        <v/>
      </c>
      <c r="G135" s="28">
        <f>IFERROR(E135-Dashboard!$B$4/252,"")</f>
        <v/>
      </c>
      <c r="H135" s="8">
        <f>IFERROR(IF(ISNUMBER(B135),MAX(B135,IFERROR(H134,B135)),""),"")</f>
        <v/>
      </c>
      <c r="I135" s="29">
        <f>IFERROR(IF(AND(ISNUMBER(B135),ISNUMBER(H135)),B135/H135-1,""),"")</f>
        <v/>
      </c>
      <c r="J135" s="8">
        <f>IFERROR(IF(ISNUMBER(C135),MAX(C135,IFERROR(J134,C135)),""),"")</f>
        <v/>
      </c>
      <c r="K135" s="29">
        <f>IFERROR(IF(AND(ISNUMBER(C135),ISNUMBER(J135)),C135/J135-1,""),"")</f>
        <v/>
      </c>
      <c r="L135" s="28">
        <f>IFERROR(IF(AND(ISNUMBER(D135),ISNUMBER(E135)),D135-E135,""),"")</f>
        <v/>
      </c>
    </row>
    <row r="136">
      <c r="A136" s="7">
        <f>IFERROR(Datos!A136,"")</f>
        <v/>
      </c>
      <c r="B136" s="8">
        <f>IFERROR(Datos!B136,"")</f>
        <v/>
      </c>
      <c r="C136" s="8">
        <f>IFERROR(Datos!C136,"")</f>
        <v/>
      </c>
      <c r="D136" s="28">
        <f>IFERROR(IF(AND(ISNUMBER(B136),ISNUMBER(B135),B135&lt;&gt;0),B136/B135-1,""),"")</f>
        <v/>
      </c>
      <c r="E136" s="28">
        <f>IFERROR(IF(AND(ISNUMBER(C136),ISNUMBER(C135),C135&lt;&gt;0),C136/C135-1,""),"")</f>
        <v/>
      </c>
      <c r="F136" s="28">
        <f>IFERROR(D136-Dashboard!$B$4/252,"")</f>
        <v/>
      </c>
      <c r="G136" s="28">
        <f>IFERROR(E136-Dashboard!$B$4/252,"")</f>
        <v/>
      </c>
      <c r="H136" s="8">
        <f>IFERROR(IF(ISNUMBER(B136),MAX(B136,IFERROR(H135,B136)),""),"")</f>
        <v/>
      </c>
      <c r="I136" s="29">
        <f>IFERROR(IF(AND(ISNUMBER(B136),ISNUMBER(H136)),B136/H136-1,""),"")</f>
        <v/>
      </c>
      <c r="J136" s="8">
        <f>IFERROR(IF(ISNUMBER(C136),MAX(C136,IFERROR(J135,C136)),""),"")</f>
        <v/>
      </c>
      <c r="K136" s="29">
        <f>IFERROR(IF(AND(ISNUMBER(C136),ISNUMBER(J136)),C136/J136-1,""),"")</f>
        <v/>
      </c>
      <c r="L136" s="28">
        <f>IFERROR(IF(AND(ISNUMBER(D136),ISNUMBER(E136)),D136-E136,""),"")</f>
        <v/>
      </c>
    </row>
    <row r="137">
      <c r="A137" s="7">
        <f>IFERROR(Datos!A137,"")</f>
        <v/>
      </c>
      <c r="B137" s="8">
        <f>IFERROR(Datos!B137,"")</f>
        <v/>
      </c>
      <c r="C137" s="8">
        <f>IFERROR(Datos!C137,"")</f>
        <v/>
      </c>
      <c r="D137" s="28">
        <f>IFERROR(IF(AND(ISNUMBER(B137),ISNUMBER(B136),B136&lt;&gt;0),B137/B136-1,""),"")</f>
        <v/>
      </c>
      <c r="E137" s="28">
        <f>IFERROR(IF(AND(ISNUMBER(C137),ISNUMBER(C136),C136&lt;&gt;0),C137/C136-1,""),"")</f>
        <v/>
      </c>
      <c r="F137" s="28">
        <f>IFERROR(D137-Dashboard!$B$4/252,"")</f>
        <v/>
      </c>
      <c r="G137" s="28">
        <f>IFERROR(E137-Dashboard!$B$4/252,"")</f>
        <v/>
      </c>
      <c r="H137" s="8">
        <f>IFERROR(IF(ISNUMBER(B137),MAX(B137,IFERROR(H136,B137)),""),"")</f>
        <v/>
      </c>
      <c r="I137" s="29">
        <f>IFERROR(IF(AND(ISNUMBER(B137),ISNUMBER(H137)),B137/H137-1,""),"")</f>
        <v/>
      </c>
      <c r="J137" s="8">
        <f>IFERROR(IF(ISNUMBER(C137),MAX(C137,IFERROR(J136,C137)),""),"")</f>
        <v/>
      </c>
      <c r="K137" s="29">
        <f>IFERROR(IF(AND(ISNUMBER(C137),ISNUMBER(J137)),C137/J137-1,""),"")</f>
        <v/>
      </c>
      <c r="L137" s="28">
        <f>IFERROR(IF(AND(ISNUMBER(D137),ISNUMBER(E137)),D137-E137,""),"")</f>
        <v/>
      </c>
    </row>
    <row r="138">
      <c r="A138" s="7">
        <f>IFERROR(Datos!A138,"")</f>
        <v/>
      </c>
      <c r="B138" s="8">
        <f>IFERROR(Datos!B138,"")</f>
        <v/>
      </c>
      <c r="C138" s="8">
        <f>IFERROR(Datos!C138,"")</f>
        <v/>
      </c>
      <c r="D138" s="28">
        <f>IFERROR(IF(AND(ISNUMBER(B138),ISNUMBER(B137),B137&lt;&gt;0),B138/B137-1,""),"")</f>
        <v/>
      </c>
      <c r="E138" s="28">
        <f>IFERROR(IF(AND(ISNUMBER(C138),ISNUMBER(C137),C137&lt;&gt;0),C138/C137-1,""),"")</f>
        <v/>
      </c>
      <c r="F138" s="28">
        <f>IFERROR(D138-Dashboard!$B$4/252,"")</f>
        <v/>
      </c>
      <c r="G138" s="28">
        <f>IFERROR(E138-Dashboard!$B$4/252,"")</f>
        <v/>
      </c>
      <c r="H138" s="8">
        <f>IFERROR(IF(ISNUMBER(B138),MAX(B138,IFERROR(H137,B138)),""),"")</f>
        <v/>
      </c>
      <c r="I138" s="29">
        <f>IFERROR(IF(AND(ISNUMBER(B138),ISNUMBER(H138)),B138/H138-1,""),"")</f>
        <v/>
      </c>
      <c r="J138" s="8">
        <f>IFERROR(IF(ISNUMBER(C138),MAX(C138,IFERROR(J137,C138)),""),"")</f>
        <v/>
      </c>
      <c r="K138" s="29">
        <f>IFERROR(IF(AND(ISNUMBER(C138),ISNUMBER(J138)),C138/J138-1,""),"")</f>
        <v/>
      </c>
      <c r="L138" s="28">
        <f>IFERROR(IF(AND(ISNUMBER(D138),ISNUMBER(E138)),D138-E138,""),"")</f>
        <v/>
      </c>
    </row>
    <row r="139">
      <c r="A139" s="7">
        <f>IFERROR(Datos!A139,"")</f>
        <v/>
      </c>
      <c r="B139" s="8">
        <f>IFERROR(Datos!B139,"")</f>
        <v/>
      </c>
      <c r="C139" s="8">
        <f>IFERROR(Datos!C139,"")</f>
        <v/>
      </c>
      <c r="D139" s="28">
        <f>IFERROR(IF(AND(ISNUMBER(B139),ISNUMBER(B138),B138&lt;&gt;0),B139/B138-1,""),"")</f>
        <v/>
      </c>
      <c r="E139" s="28">
        <f>IFERROR(IF(AND(ISNUMBER(C139),ISNUMBER(C138),C138&lt;&gt;0),C139/C138-1,""),"")</f>
        <v/>
      </c>
      <c r="F139" s="28">
        <f>IFERROR(D139-Dashboard!$B$4/252,"")</f>
        <v/>
      </c>
      <c r="G139" s="28">
        <f>IFERROR(E139-Dashboard!$B$4/252,"")</f>
        <v/>
      </c>
      <c r="H139" s="8">
        <f>IFERROR(IF(ISNUMBER(B139),MAX(B139,IFERROR(H138,B139)),""),"")</f>
        <v/>
      </c>
      <c r="I139" s="29">
        <f>IFERROR(IF(AND(ISNUMBER(B139),ISNUMBER(H139)),B139/H139-1,""),"")</f>
        <v/>
      </c>
      <c r="J139" s="8">
        <f>IFERROR(IF(ISNUMBER(C139),MAX(C139,IFERROR(J138,C139)),""),"")</f>
        <v/>
      </c>
      <c r="K139" s="29">
        <f>IFERROR(IF(AND(ISNUMBER(C139),ISNUMBER(J139)),C139/J139-1,""),"")</f>
        <v/>
      </c>
      <c r="L139" s="28">
        <f>IFERROR(IF(AND(ISNUMBER(D139),ISNUMBER(E139)),D139-E139,""),"")</f>
        <v/>
      </c>
    </row>
    <row r="140">
      <c r="A140" s="7">
        <f>IFERROR(Datos!A140,"")</f>
        <v/>
      </c>
      <c r="B140" s="8">
        <f>IFERROR(Datos!B140,"")</f>
        <v/>
      </c>
      <c r="C140" s="8">
        <f>IFERROR(Datos!C140,"")</f>
        <v/>
      </c>
      <c r="D140" s="28">
        <f>IFERROR(IF(AND(ISNUMBER(B140),ISNUMBER(B139),B139&lt;&gt;0),B140/B139-1,""),"")</f>
        <v/>
      </c>
      <c r="E140" s="28">
        <f>IFERROR(IF(AND(ISNUMBER(C140),ISNUMBER(C139),C139&lt;&gt;0),C140/C139-1,""),"")</f>
        <v/>
      </c>
      <c r="F140" s="28">
        <f>IFERROR(D140-Dashboard!$B$4/252,"")</f>
        <v/>
      </c>
      <c r="G140" s="28">
        <f>IFERROR(E140-Dashboard!$B$4/252,"")</f>
        <v/>
      </c>
      <c r="H140" s="8">
        <f>IFERROR(IF(ISNUMBER(B140),MAX(B140,IFERROR(H139,B140)),""),"")</f>
        <v/>
      </c>
      <c r="I140" s="29">
        <f>IFERROR(IF(AND(ISNUMBER(B140),ISNUMBER(H140)),B140/H140-1,""),"")</f>
        <v/>
      </c>
      <c r="J140" s="8">
        <f>IFERROR(IF(ISNUMBER(C140),MAX(C140,IFERROR(J139,C140)),""),"")</f>
        <v/>
      </c>
      <c r="K140" s="29">
        <f>IFERROR(IF(AND(ISNUMBER(C140),ISNUMBER(J140)),C140/J140-1,""),"")</f>
        <v/>
      </c>
      <c r="L140" s="28">
        <f>IFERROR(IF(AND(ISNUMBER(D140),ISNUMBER(E140)),D140-E140,""),"")</f>
        <v/>
      </c>
    </row>
    <row r="141">
      <c r="A141" s="7">
        <f>IFERROR(Datos!A141,"")</f>
        <v/>
      </c>
      <c r="B141" s="8">
        <f>IFERROR(Datos!B141,"")</f>
        <v/>
      </c>
      <c r="C141" s="8">
        <f>IFERROR(Datos!C141,"")</f>
        <v/>
      </c>
      <c r="D141" s="28">
        <f>IFERROR(IF(AND(ISNUMBER(B141),ISNUMBER(B140),B140&lt;&gt;0),B141/B140-1,""),"")</f>
        <v/>
      </c>
      <c r="E141" s="28">
        <f>IFERROR(IF(AND(ISNUMBER(C141),ISNUMBER(C140),C140&lt;&gt;0),C141/C140-1,""),"")</f>
        <v/>
      </c>
      <c r="F141" s="28">
        <f>IFERROR(D141-Dashboard!$B$4/252,"")</f>
        <v/>
      </c>
      <c r="G141" s="28">
        <f>IFERROR(E141-Dashboard!$B$4/252,"")</f>
        <v/>
      </c>
      <c r="H141" s="8">
        <f>IFERROR(IF(ISNUMBER(B141),MAX(B141,IFERROR(H140,B141)),""),"")</f>
        <v/>
      </c>
      <c r="I141" s="29">
        <f>IFERROR(IF(AND(ISNUMBER(B141),ISNUMBER(H141)),B141/H141-1,""),"")</f>
        <v/>
      </c>
      <c r="J141" s="8">
        <f>IFERROR(IF(ISNUMBER(C141),MAX(C141,IFERROR(J140,C141)),""),"")</f>
        <v/>
      </c>
      <c r="K141" s="29">
        <f>IFERROR(IF(AND(ISNUMBER(C141),ISNUMBER(J141)),C141/J141-1,""),"")</f>
        <v/>
      </c>
      <c r="L141" s="28">
        <f>IFERROR(IF(AND(ISNUMBER(D141),ISNUMBER(E141)),D141-E141,""),"")</f>
        <v/>
      </c>
    </row>
    <row r="142">
      <c r="A142" s="7">
        <f>IFERROR(Datos!A142,"")</f>
        <v/>
      </c>
      <c r="B142" s="8">
        <f>IFERROR(Datos!B142,"")</f>
        <v/>
      </c>
      <c r="C142" s="8">
        <f>IFERROR(Datos!C142,"")</f>
        <v/>
      </c>
      <c r="D142" s="28">
        <f>IFERROR(IF(AND(ISNUMBER(B142),ISNUMBER(B141),B141&lt;&gt;0),B142/B141-1,""),"")</f>
        <v/>
      </c>
      <c r="E142" s="28">
        <f>IFERROR(IF(AND(ISNUMBER(C142),ISNUMBER(C141),C141&lt;&gt;0),C142/C141-1,""),"")</f>
        <v/>
      </c>
      <c r="F142" s="28">
        <f>IFERROR(D142-Dashboard!$B$4/252,"")</f>
        <v/>
      </c>
      <c r="G142" s="28">
        <f>IFERROR(E142-Dashboard!$B$4/252,"")</f>
        <v/>
      </c>
      <c r="H142" s="8">
        <f>IFERROR(IF(ISNUMBER(B142),MAX(B142,IFERROR(H141,B142)),""),"")</f>
        <v/>
      </c>
      <c r="I142" s="29">
        <f>IFERROR(IF(AND(ISNUMBER(B142),ISNUMBER(H142)),B142/H142-1,""),"")</f>
        <v/>
      </c>
      <c r="J142" s="8">
        <f>IFERROR(IF(ISNUMBER(C142),MAX(C142,IFERROR(J141,C142)),""),"")</f>
        <v/>
      </c>
      <c r="K142" s="29">
        <f>IFERROR(IF(AND(ISNUMBER(C142),ISNUMBER(J142)),C142/J142-1,""),"")</f>
        <v/>
      </c>
      <c r="L142" s="28">
        <f>IFERROR(IF(AND(ISNUMBER(D142),ISNUMBER(E142)),D142-E142,""),"")</f>
        <v/>
      </c>
    </row>
    <row r="143">
      <c r="A143" s="7">
        <f>IFERROR(Datos!A143,"")</f>
        <v/>
      </c>
      <c r="B143" s="8">
        <f>IFERROR(Datos!B143,"")</f>
        <v/>
      </c>
      <c r="C143" s="8">
        <f>IFERROR(Datos!C143,"")</f>
        <v/>
      </c>
      <c r="D143" s="28">
        <f>IFERROR(IF(AND(ISNUMBER(B143),ISNUMBER(B142),B142&lt;&gt;0),B143/B142-1,""),"")</f>
        <v/>
      </c>
      <c r="E143" s="28">
        <f>IFERROR(IF(AND(ISNUMBER(C143),ISNUMBER(C142),C142&lt;&gt;0),C143/C142-1,""),"")</f>
        <v/>
      </c>
      <c r="F143" s="28">
        <f>IFERROR(D143-Dashboard!$B$4/252,"")</f>
        <v/>
      </c>
      <c r="G143" s="28">
        <f>IFERROR(E143-Dashboard!$B$4/252,"")</f>
        <v/>
      </c>
      <c r="H143" s="8">
        <f>IFERROR(IF(ISNUMBER(B143),MAX(B143,IFERROR(H142,B143)),""),"")</f>
        <v/>
      </c>
      <c r="I143" s="29">
        <f>IFERROR(IF(AND(ISNUMBER(B143),ISNUMBER(H143)),B143/H143-1,""),"")</f>
        <v/>
      </c>
      <c r="J143" s="8">
        <f>IFERROR(IF(ISNUMBER(C143),MAX(C143,IFERROR(J142,C143)),""),"")</f>
        <v/>
      </c>
      <c r="K143" s="29">
        <f>IFERROR(IF(AND(ISNUMBER(C143),ISNUMBER(J143)),C143/J143-1,""),"")</f>
        <v/>
      </c>
      <c r="L143" s="28">
        <f>IFERROR(IF(AND(ISNUMBER(D143),ISNUMBER(E143)),D143-E143,""),"")</f>
        <v/>
      </c>
    </row>
    <row r="144">
      <c r="A144" s="7">
        <f>IFERROR(Datos!A144,"")</f>
        <v/>
      </c>
      <c r="B144" s="8">
        <f>IFERROR(Datos!B144,"")</f>
        <v/>
      </c>
      <c r="C144" s="8">
        <f>IFERROR(Datos!C144,"")</f>
        <v/>
      </c>
      <c r="D144" s="28">
        <f>IFERROR(IF(AND(ISNUMBER(B144),ISNUMBER(B143),B143&lt;&gt;0),B144/B143-1,""),"")</f>
        <v/>
      </c>
      <c r="E144" s="28">
        <f>IFERROR(IF(AND(ISNUMBER(C144),ISNUMBER(C143),C143&lt;&gt;0),C144/C143-1,""),"")</f>
        <v/>
      </c>
      <c r="F144" s="28">
        <f>IFERROR(D144-Dashboard!$B$4/252,"")</f>
        <v/>
      </c>
      <c r="G144" s="28">
        <f>IFERROR(E144-Dashboard!$B$4/252,"")</f>
        <v/>
      </c>
      <c r="H144" s="8">
        <f>IFERROR(IF(ISNUMBER(B144),MAX(B144,IFERROR(H143,B144)),""),"")</f>
        <v/>
      </c>
      <c r="I144" s="29">
        <f>IFERROR(IF(AND(ISNUMBER(B144),ISNUMBER(H144)),B144/H144-1,""),"")</f>
        <v/>
      </c>
      <c r="J144" s="8">
        <f>IFERROR(IF(ISNUMBER(C144),MAX(C144,IFERROR(J143,C144)),""),"")</f>
        <v/>
      </c>
      <c r="K144" s="29">
        <f>IFERROR(IF(AND(ISNUMBER(C144),ISNUMBER(J144)),C144/J144-1,""),"")</f>
        <v/>
      </c>
      <c r="L144" s="28">
        <f>IFERROR(IF(AND(ISNUMBER(D144),ISNUMBER(E144)),D144-E144,""),"")</f>
        <v/>
      </c>
    </row>
    <row r="145">
      <c r="A145" s="7">
        <f>IFERROR(Datos!A145,"")</f>
        <v/>
      </c>
      <c r="B145" s="8">
        <f>IFERROR(Datos!B145,"")</f>
        <v/>
      </c>
      <c r="C145" s="8">
        <f>IFERROR(Datos!C145,"")</f>
        <v/>
      </c>
      <c r="D145" s="28">
        <f>IFERROR(IF(AND(ISNUMBER(B145),ISNUMBER(B144),B144&lt;&gt;0),B145/B144-1,""),"")</f>
        <v/>
      </c>
      <c r="E145" s="28">
        <f>IFERROR(IF(AND(ISNUMBER(C145),ISNUMBER(C144),C144&lt;&gt;0),C145/C144-1,""),"")</f>
        <v/>
      </c>
      <c r="F145" s="28">
        <f>IFERROR(D145-Dashboard!$B$4/252,"")</f>
        <v/>
      </c>
      <c r="G145" s="28">
        <f>IFERROR(E145-Dashboard!$B$4/252,"")</f>
        <v/>
      </c>
      <c r="H145" s="8">
        <f>IFERROR(IF(ISNUMBER(B145),MAX(B145,IFERROR(H144,B145)),""),"")</f>
        <v/>
      </c>
      <c r="I145" s="29">
        <f>IFERROR(IF(AND(ISNUMBER(B145),ISNUMBER(H145)),B145/H145-1,""),"")</f>
        <v/>
      </c>
      <c r="J145" s="8">
        <f>IFERROR(IF(ISNUMBER(C145),MAX(C145,IFERROR(J144,C145)),""),"")</f>
        <v/>
      </c>
      <c r="K145" s="29">
        <f>IFERROR(IF(AND(ISNUMBER(C145),ISNUMBER(J145)),C145/J145-1,""),"")</f>
        <v/>
      </c>
      <c r="L145" s="28">
        <f>IFERROR(IF(AND(ISNUMBER(D145),ISNUMBER(E145)),D145-E145,""),"")</f>
        <v/>
      </c>
    </row>
    <row r="146">
      <c r="A146" s="7">
        <f>IFERROR(Datos!A146,"")</f>
        <v/>
      </c>
      <c r="B146" s="8">
        <f>IFERROR(Datos!B146,"")</f>
        <v/>
      </c>
      <c r="C146" s="8">
        <f>IFERROR(Datos!C146,"")</f>
        <v/>
      </c>
      <c r="D146" s="28">
        <f>IFERROR(IF(AND(ISNUMBER(B146),ISNUMBER(B145),B145&lt;&gt;0),B146/B145-1,""),"")</f>
        <v/>
      </c>
      <c r="E146" s="28">
        <f>IFERROR(IF(AND(ISNUMBER(C146),ISNUMBER(C145),C145&lt;&gt;0),C146/C145-1,""),"")</f>
        <v/>
      </c>
      <c r="F146" s="28">
        <f>IFERROR(D146-Dashboard!$B$4/252,"")</f>
        <v/>
      </c>
      <c r="G146" s="28">
        <f>IFERROR(E146-Dashboard!$B$4/252,"")</f>
        <v/>
      </c>
      <c r="H146" s="8">
        <f>IFERROR(IF(ISNUMBER(B146),MAX(B146,IFERROR(H145,B146)),""),"")</f>
        <v/>
      </c>
      <c r="I146" s="29">
        <f>IFERROR(IF(AND(ISNUMBER(B146),ISNUMBER(H146)),B146/H146-1,""),"")</f>
        <v/>
      </c>
      <c r="J146" s="8">
        <f>IFERROR(IF(ISNUMBER(C146),MAX(C146,IFERROR(J145,C146)),""),"")</f>
        <v/>
      </c>
      <c r="K146" s="29">
        <f>IFERROR(IF(AND(ISNUMBER(C146),ISNUMBER(J146)),C146/J146-1,""),"")</f>
        <v/>
      </c>
      <c r="L146" s="28">
        <f>IFERROR(IF(AND(ISNUMBER(D146),ISNUMBER(E146)),D146-E146,""),"")</f>
        <v/>
      </c>
    </row>
    <row r="147">
      <c r="A147" s="7">
        <f>IFERROR(Datos!A147,"")</f>
        <v/>
      </c>
      <c r="B147" s="8">
        <f>IFERROR(Datos!B147,"")</f>
        <v/>
      </c>
      <c r="C147" s="8">
        <f>IFERROR(Datos!C147,"")</f>
        <v/>
      </c>
      <c r="D147" s="28">
        <f>IFERROR(IF(AND(ISNUMBER(B147),ISNUMBER(B146),B146&lt;&gt;0),B147/B146-1,""),"")</f>
        <v/>
      </c>
      <c r="E147" s="28">
        <f>IFERROR(IF(AND(ISNUMBER(C147),ISNUMBER(C146),C146&lt;&gt;0),C147/C146-1,""),"")</f>
        <v/>
      </c>
      <c r="F147" s="28">
        <f>IFERROR(D147-Dashboard!$B$4/252,"")</f>
        <v/>
      </c>
      <c r="G147" s="28">
        <f>IFERROR(E147-Dashboard!$B$4/252,"")</f>
        <v/>
      </c>
      <c r="H147" s="8">
        <f>IFERROR(IF(ISNUMBER(B147),MAX(B147,IFERROR(H146,B147)),""),"")</f>
        <v/>
      </c>
      <c r="I147" s="29">
        <f>IFERROR(IF(AND(ISNUMBER(B147),ISNUMBER(H147)),B147/H147-1,""),"")</f>
        <v/>
      </c>
      <c r="J147" s="8">
        <f>IFERROR(IF(ISNUMBER(C147),MAX(C147,IFERROR(J146,C147)),""),"")</f>
        <v/>
      </c>
      <c r="K147" s="29">
        <f>IFERROR(IF(AND(ISNUMBER(C147),ISNUMBER(J147)),C147/J147-1,""),"")</f>
        <v/>
      </c>
      <c r="L147" s="28">
        <f>IFERROR(IF(AND(ISNUMBER(D147),ISNUMBER(E147)),D147-E147,""),"")</f>
        <v/>
      </c>
    </row>
    <row r="148">
      <c r="A148" s="7">
        <f>IFERROR(Datos!A148,"")</f>
        <v/>
      </c>
      <c r="B148" s="8">
        <f>IFERROR(Datos!B148,"")</f>
        <v/>
      </c>
      <c r="C148" s="8">
        <f>IFERROR(Datos!C148,"")</f>
        <v/>
      </c>
      <c r="D148" s="28">
        <f>IFERROR(IF(AND(ISNUMBER(B148),ISNUMBER(B147),B147&lt;&gt;0),B148/B147-1,""),"")</f>
        <v/>
      </c>
      <c r="E148" s="28">
        <f>IFERROR(IF(AND(ISNUMBER(C148),ISNUMBER(C147),C147&lt;&gt;0),C148/C147-1,""),"")</f>
        <v/>
      </c>
      <c r="F148" s="28">
        <f>IFERROR(D148-Dashboard!$B$4/252,"")</f>
        <v/>
      </c>
      <c r="G148" s="28">
        <f>IFERROR(E148-Dashboard!$B$4/252,"")</f>
        <v/>
      </c>
      <c r="H148" s="8">
        <f>IFERROR(IF(ISNUMBER(B148),MAX(B148,IFERROR(H147,B148)),""),"")</f>
        <v/>
      </c>
      <c r="I148" s="29">
        <f>IFERROR(IF(AND(ISNUMBER(B148),ISNUMBER(H148)),B148/H148-1,""),"")</f>
        <v/>
      </c>
      <c r="J148" s="8">
        <f>IFERROR(IF(ISNUMBER(C148),MAX(C148,IFERROR(J147,C148)),""),"")</f>
        <v/>
      </c>
      <c r="K148" s="29">
        <f>IFERROR(IF(AND(ISNUMBER(C148),ISNUMBER(J148)),C148/J148-1,""),"")</f>
        <v/>
      </c>
      <c r="L148" s="28">
        <f>IFERROR(IF(AND(ISNUMBER(D148),ISNUMBER(E148)),D148-E148,""),"")</f>
        <v/>
      </c>
    </row>
    <row r="149">
      <c r="A149" s="7">
        <f>IFERROR(Datos!A149,"")</f>
        <v/>
      </c>
      <c r="B149" s="8">
        <f>IFERROR(Datos!B149,"")</f>
        <v/>
      </c>
      <c r="C149" s="8">
        <f>IFERROR(Datos!C149,"")</f>
        <v/>
      </c>
      <c r="D149" s="28">
        <f>IFERROR(IF(AND(ISNUMBER(B149),ISNUMBER(B148),B148&lt;&gt;0),B149/B148-1,""),"")</f>
        <v/>
      </c>
      <c r="E149" s="28">
        <f>IFERROR(IF(AND(ISNUMBER(C149),ISNUMBER(C148),C148&lt;&gt;0),C149/C148-1,""),"")</f>
        <v/>
      </c>
      <c r="F149" s="28">
        <f>IFERROR(D149-Dashboard!$B$4/252,"")</f>
        <v/>
      </c>
      <c r="G149" s="28">
        <f>IFERROR(E149-Dashboard!$B$4/252,"")</f>
        <v/>
      </c>
      <c r="H149" s="8">
        <f>IFERROR(IF(ISNUMBER(B149),MAX(B149,IFERROR(H148,B149)),""),"")</f>
        <v/>
      </c>
      <c r="I149" s="29">
        <f>IFERROR(IF(AND(ISNUMBER(B149),ISNUMBER(H149)),B149/H149-1,""),"")</f>
        <v/>
      </c>
      <c r="J149" s="8">
        <f>IFERROR(IF(ISNUMBER(C149),MAX(C149,IFERROR(J148,C149)),""),"")</f>
        <v/>
      </c>
      <c r="K149" s="29">
        <f>IFERROR(IF(AND(ISNUMBER(C149),ISNUMBER(J149)),C149/J149-1,""),"")</f>
        <v/>
      </c>
      <c r="L149" s="28">
        <f>IFERROR(IF(AND(ISNUMBER(D149),ISNUMBER(E149)),D149-E149,""),"")</f>
        <v/>
      </c>
    </row>
    <row r="150">
      <c r="A150" s="7">
        <f>IFERROR(Datos!A150,"")</f>
        <v/>
      </c>
      <c r="B150" s="8">
        <f>IFERROR(Datos!B150,"")</f>
        <v/>
      </c>
      <c r="C150" s="8">
        <f>IFERROR(Datos!C150,"")</f>
        <v/>
      </c>
      <c r="D150" s="28">
        <f>IFERROR(IF(AND(ISNUMBER(B150),ISNUMBER(B149),B149&lt;&gt;0),B150/B149-1,""),"")</f>
        <v/>
      </c>
      <c r="E150" s="28">
        <f>IFERROR(IF(AND(ISNUMBER(C150),ISNUMBER(C149),C149&lt;&gt;0),C150/C149-1,""),"")</f>
        <v/>
      </c>
      <c r="F150" s="28">
        <f>IFERROR(D150-Dashboard!$B$4/252,"")</f>
        <v/>
      </c>
      <c r="G150" s="28">
        <f>IFERROR(E150-Dashboard!$B$4/252,"")</f>
        <v/>
      </c>
      <c r="H150" s="8">
        <f>IFERROR(IF(ISNUMBER(B150),MAX(B150,IFERROR(H149,B150)),""),"")</f>
        <v/>
      </c>
      <c r="I150" s="29">
        <f>IFERROR(IF(AND(ISNUMBER(B150),ISNUMBER(H150)),B150/H150-1,""),"")</f>
        <v/>
      </c>
      <c r="J150" s="8">
        <f>IFERROR(IF(ISNUMBER(C150),MAX(C150,IFERROR(J149,C150)),""),"")</f>
        <v/>
      </c>
      <c r="K150" s="29">
        <f>IFERROR(IF(AND(ISNUMBER(C150),ISNUMBER(J150)),C150/J150-1,""),"")</f>
        <v/>
      </c>
      <c r="L150" s="28">
        <f>IFERROR(IF(AND(ISNUMBER(D150),ISNUMBER(E150)),D150-E150,""),"")</f>
        <v/>
      </c>
    </row>
    <row r="151">
      <c r="A151" s="7">
        <f>IFERROR(Datos!A151,"")</f>
        <v/>
      </c>
      <c r="B151" s="8">
        <f>IFERROR(Datos!B151,"")</f>
        <v/>
      </c>
      <c r="C151" s="8">
        <f>IFERROR(Datos!C151,"")</f>
        <v/>
      </c>
      <c r="D151" s="28">
        <f>IFERROR(IF(AND(ISNUMBER(B151),ISNUMBER(B150),B150&lt;&gt;0),B151/B150-1,""),"")</f>
        <v/>
      </c>
      <c r="E151" s="28">
        <f>IFERROR(IF(AND(ISNUMBER(C151),ISNUMBER(C150),C150&lt;&gt;0),C151/C150-1,""),"")</f>
        <v/>
      </c>
      <c r="F151" s="28">
        <f>IFERROR(D151-Dashboard!$B$4/252,"")</f>
        <v/>
      </c>
      <c r="G151" s="28">
        <f>IFERROR(E151-Dashboard!$B$4/252,"")</f>
        <v/>
      </c>
      <c r="H151" s="8">
        <f>IFERROR(IF(ISNUMBER(B151),MAX(B151,IFERROR(H150,B151)),""),"")</f>
        <v/>
      </c>
      <c r="I151" s="29">
        <f>IFERROR(IF(AND(ISNUMBER(B151),ISNUMBER(H151)),B151/H151-1,""),"")</f>
        <v/>
      </c>
      <c r="J151" s="8">
        <f>IFERROR(IF(ISNUMBER(C151),MAX(C151,IFERROR(J150,C151)),""),"")</f>
        <v/>
      </c>
      <c r="K151" s="29">
        <f>IFERROR(IF(AND(ISNUMBER(C151),ISNUMBER(J151)),C151/J151-1,""),"")</f>
        <v/>
      </c>
      <c r="L151" s="28">
        <f>IFERROR(IF(AND(ISNUMBER(D151),ISNUMBER(E151)),D151-E151,""),"")</f>
        <v/>
      </c>
    </row>
    <row r="152">
      <c r="A152" s="7">
        <f>IFERROR(Datos!A152,"")</f>
        <v/>
      </c>
      <c r="B152" s="8">
        <f>IFERROR(Datos!B152,"")</f>
        <v/>
      </c>
      <c r="C152" s="8">
        <f>IFERROR(Datos!C152,"")</f>
        <v/>
      </c>
      <c r="D152" s="28">
        <f>IFERROR(IF(AND(ISNUMBER(B152),ISNUMBER(B151),B151&lt;&gt;0),B152/B151-1,""),"")</f>
        <v/>
      </c>
      <c r="E152" s="28">
        <f>IFERROR(IF(AND(ISNUMBER(C152),ISNUMBER(C151),C151&lt;&gt;0),C152/C151-1,""),"")</f>
        <v/>
      </c>
      <c r="F152" s="28">
        <f>IFERROR(D152-Dashboard!$B$4/252,"")</f>
        <v/>
      </c>
      <c r="G152" s="28">
        <f>IFERROR(E152-Dashboard!$B$4/252,"")</f>
        <v/>
      </c>
      <c r="H152" s="8">
        <f>IFERROR(IF(ISNUMBER(B152),MAX(B152,IFERROR(H151,B152)),""),"")</f>
        <v/>
      </c>
      <c r="I152" s="29">
        <f>IFERROR(IF(AND(ISNUMBER(B152),ISNUMBER(H152)),B152/H152-1,""),"")</f>
        <v/>
      </c>
      <c r="J152" s="8">
        <f>IFERROR(IF(ISNUMBER(C152),MAX(C152,IFERROR(J151,C152)),""),"")</f>
        <v/>
      </c>
      <c r="K152" s="29">
        <f>IFERROR(IF(AND(ISNUMBER(C152),ISNUMBER(J152)),C152/J152-1,""),"")</f>
        <v/>
      </c>
      <c r="L152" s="28">
        <f>IFERROR(IF(AND(ISNUMBER(D152),ISNUMBER(E152)),D152-E152,""),"")</f>
        <v/>
      </c>
    </row>
    <row r="153">
      <c r="A153" s="7">
        <f>IFERROR(Datos!A153,"")</f>
        <v/>
      </c>
      <c r="B153" s="8">
        <f>IFERROR(Datos!B153,"")</f>
        <v/>
      </c>
      <c r="C153" s="8">
        <f>IFERROR(Datos!C153,"")</f>
        <v/>
      </c>
      <c r="D153" s="28">
        <f>IFERROR(IF(AND(ISNUMBER(B153),ISNUMBER(B152),B152&lt;&gt;0),B153/B152-1,""),"")</f>
        <v/>
      </c>
      <c r="E153" s="28">
        <f>IFERROR(IF(AND(ISNUMBER(C153),ISNUMBER(C152),C152&lt;&gt;0),C153/C152-1,""),"")</f>
        <v/>
      </c>
      <c r="F153" s="28">
        <f>IFERROR(D153-Dashboard!$B$4/252,"")</f>
        <v/>
      </c>
      <c r="G153" s="28">
        <f>IFERROR(E153-Dashboard!$B$4/252,"")</f>
        <v/>
      </c>
      <c r="H153" s="8">
        <f>IFERROR(IF(ISNUMBER(B153),MAX(B153,IFERROR(H152,B153)),""),"")</f>
        <v/>
      </c>
      <c r="I153" s="29">
        <f>IFERROR(IF(AND(ISNUMBER(B153),ISNUMBER(H153)),B153/H153-1,""),"")</f>
        <v/>
      </c>
      <c r="J153" s="8">
        <f>IFERROR(IF(ISNUMBER(C153),MAX(C153,IFERROR(J152,C153)),""),"")</f>
        <v/>
      </c>
      <c r="K153" s="29">
        <f>IFERROR(IF(AND(ISNUMBER(C153),ISNUMBER(J153)),C153/J153-1,""),"")</f>
        <v/>
      </c>
      <c r="L153" s="28">
        <f>IFERROR(IF(AND(ISNUMBER(D153),ISNUMBER(E153)),D153-E153,""),"")</f>
        <v/>
      </c>
    </row>
    <row r="154">
      <c r="A154" s="7">
        <f>IFERROR(Datos!A154,"")</f>
        <v/>
      </c>
      <c r="B154" s="8">
        <f>IFERROR(Datos!B154,"")</f>
        <v/>
      </c>
      <c r="C154" s="8">
        <f>IFERROR(Datos!C154,"")</f>
        <v/>
      </c>
      <c r="D154" s="28">
        <f>IFERROR(IF(AND(ISNUMBER(B154),ISNUMBER(B153),B153&lt;&gt;0),B154/B153-1,""),"")</f>
        <v/>
      </c>
      <c r="E154" s="28">
        <f>IFERROR(IF(AND(ISNUMBER(C154),ISNUMBER(C153),C153&lt;&gt;0),C154/C153-1,""),"")</f>
        <v/>
      </c>
      <c r="F154" s="28">
        <f>IFERROR(D154-Dashboard!$B$4/252,"")</f>
        <v/>
      </c>
      <c r="G154" s="28">
        <f>IFERROR(E154-Dashboard!$B$4/252,"")</f>
        <v/>
      </c>
      <c r="H154" s="8">
        <f>IFERROR(IF(ISNUMBER(B154),MAX(B154,IFERROR(H153,B154)),""),"")</f>
        <v/>
      </c>
      <c r="I154" s="29">
        <f>IFERROR(IF(AND(ISNUMBER(B154),ISNUMBER(H154)),B154/H154-1,""),"")</f>
        <v/>
      </c>
      <c r="J154" s="8">
        <f>IFERROR(IF(ISNUMBER(C154),MAX(C154,IFERROR(J153,C154)),""),"")</f>
        <v/>
      </c>
      <c r="K154" s="29">
        <f>IFERROR(IF(AND(ISNUMBER(C154),ISNUMBER(J154)),C154/J154-1,""),"")</f>
        <v/>
      </c>
      <c r="L154" s="28">
        <f>IFERROR(IF(AND(ISNUMBER(D154),ISNUMBER(E154)),D154-E154,""),"")</f>
        <v/>
      </c>
    </row>
    <row r="155">
      <c r="A155" s="7">
        <f>IFERROR(Datos!A155,"")</f>
        <v/>
      </c>
      <c r="B155" s="8">
        <f>IFERROR(Datos!B155,"")</f>
        <v/>
      </c>
      <c r="C155" s="8">
        <f>IFERROR(Datos!C155,"")</f>
        <v/>
      </c>
      <c r="D155" s="28">
        <f>IFERROR(IF(AND(ISNUMBER(B155),ISNUMBER(B154),B154&lt;&gt;0),B155/B154-1,""),"")</f>
        <v/>
      </c>
      <c r="E155" s="28">
        <f>IFERROR(IF(AND(ISNUMBER(C155),ISNUMBER(C154),C154&lt;&gt;0),C155/C154-1,""),"")</f>
        <v/>
      </c>
      <c r="F155" s="28">
        <f>IFERROR(D155-Dashboard!$B$4/252,"")</f>
        <v/>
      </c>
      <c r="G155" s="28">
        <f>IFERROR(E155-Dashboard!$B$4/252,"")</f>
        <v/>
      </c>
      <c r="H155" s="8">
        <f>IFERROR(IF(ISNUMBER(B155),MAX(B155,IFERROR(H154,B155)),""),"")</f>
        <v/>
      </c>
      <c r="I155" s="29">
        <f>IFERROR(IF(AND(ISNUMBER(B155),ISNUMBER(H155)),B155/H155-1,""),"")</f>
        <v/>
      </c>
      <c r="J155" s="8">
        <f>IFERROR(IF(ISNUMBER(C155),MAX(C155,IFERROR(J154,C155)),""),"")</f>
        <v/>
      </c>
      <c r="K155" s="29">
        <f>IFERROR(IF(AND(ISNUMBER(C155),ISNUMBER(J155)),C155/J155-1,""),"")</f>
        <v/>
      </c>
      <c r="L155" s="28">
        <f>IFERROR(IF(AND(ISNUMBER(D155),ISNUMBER(E155)),D155-E155,""),"")</f>
        <v/>
      </c>
    </row>
    <row r="156">
      <c r="A156" s="7">
        <f>IFERROR(Datos!A156,"")</f>
        <v/>
      </c>
      <c r="B156" s="8">
        <f>IFERROR(Datos!B156,"")</f>
        <v/>
      </c>
      <c r="C156" s="8">
        <f>IFERROR(Datos!C156,"")</f>
        <v/>
      </c>
      <c r="D156" s="28">
        <f>IFERROR(IF(AND(ISNUMBER(B156),ISNUMBER(B155),B155&lt;&gt;0),B156/B155-1,""),"")</f>
        <v/>
      </c>
      <c r="E156" s="28">
        <f>IFERROR(IF(AND(ISNUMBER(C156),ISNUMBER(C155),C155&lt;&gt;0),C156/C155-1,""),"")</f>
        <v/>
      </c>
      <c r="F156" s="28">
        <f>IFERROR(D156-Dashboard!$B$4/252,"")</f>
        <v/>
      </c>
      <c r="G156" s="28">
        <f>IFERROR(E156-Dashboard!$B$4/252,"")</f>
        <v/>
      </c>
      <c r="H156" s="8">
        <f>IFERROR(IF(ISNUMBER(B156),MAX(B156,IFERROR(H155,B156)),""),"")</f>
        <v/>
      </c>
      <c r="I156" s="29">
        <f>IFERROR(IF(AND(ISNUMBER(B156),ISNUMBER(H156)),B156/H156-1,""),"")</f>
        <v/>
      </c>
      <c r="J156" s="8">
        <f>IFERROR(IF(ISNUMBER(C156),MAX(C156,IFERROR(J155,C156)),""),"")</f>
        <v/>
      </c>
      <c r="K156" s="29">
        <f>IFERROR(IF(AND(ISNUMBER(C156),ISNUMBER(J156)),C156/J156-1,""),"")</f>
        <v/>
      </c>
      <c r="L156" s="28">
        <f>IFERROR(IF(AND(ISNUMBER(D156),ISNUMBER(E156)),D156-E156,""),"")</f>
        <v/>
      </c>
    </row>
    <row r="157">
      <c r="A157" s="7">
        <f>IFERROR(Datos!A157,"")</f>
        <v/>
      </c>
      <c r="B157" s="8">
        <f>IFERROR(Datos!B157,"")</f>
        <v/>
      </c>
      <c r="C157" s="8">
        <f>IFERROR(Datos!C157,"")</f>
        <v/>
      </c>
      <c r="D157" s="28">
        <f>IFERROR(IF(AND(ISNUMBER(B157),ISNUMBER(B156),B156&lt;&gt;0),B157/B156-1,""),"")</f>
        <v/>
      </c>
      <c r="E157" s="28">
        <f>IFERROR(IF(AND(ISNUMBER(C157),ISNUMBER(C156),C156&lt;&gt;0),C157/C156-1,""),"")</f>
        <v/>
      </c>
      <c r="F157" s="28">
        <f>IFERROR(D157-Dashboard!$B$4/252,"")</f>
        <v/>
      </c>
      <c r="G157" s="28">
        <f>IFERROR(E157-Dashboard!$B$4/252,"")</f>
        <v/>
      </c>
      <c r="H157" s="8">
        <f>IFERROR(IF(ISNUMBER(B157),MAX(B157,IFERROR(H156,B157)),""),"")</f>
        <v/>
      </c>
      <c r="I157" s="29">
        <f>IFERROR(IF(AND(ISNUMBER(B157),ISNUMBER(H157)),B157/H157-1,""),"")</f>
        <v/>
      </c>
      <c r="J157" s="8">
        <f>IFERROR(IF(ISNUMBER(C157),MAX(C157,IFERROR(J156,C157)),""),"")</f>
        <v/>
      </c>
      <c r="K157" s="29">
        <f>IFERROR(IF(AND(ISNUMBER(C157),ISNUMBER(J157)),C157/J157-1,""),"")</f>
        <v/>
      </c>
      <c r="L157" s="28">
        <f>IFERROR(IF(AND(ISNUMBER(D157),ISNUMBER(E157)),D157-E157,""),"")</f>
        <v/>
      </c>
    </row>
    <row r="158">
      <c r="A158" s="7">
        <f>IFERROR(Datos!A158,"")</f>
        <v/>
      </c>
      <c r="B158" s="8">
        <f>IFERROR(Datos!B158,"")</f>
        <v/>
      </c>
      <c r="C158" s="8">
        <f>IFERROR(Datos!C158,"")</f>
        <v/>
      </c>
      <c r="D158" s="28">
        <f>IFERROR(IF(AND(ISNUMBER(B158),ISNUMBER(B157),B157&lt;&gt;0),B158/B157-1,""),"")</f>
        <v/>
      </c>
      <c r="E158" s="28">
        <f>IFERROR(IF(AND(ISNUMBER(C158),ISNUMBER(C157),C157&lt;&gt;0),C158/C157-1,""),"")</f>
        <v/>
      </c>
      <c r="F158" s="28">
        <f>IFERROR(D158-Dashboard!$B$4/252,"")</f>
        <v/>
      </c>
      <c r="G158" s="28">
        <f>IFERROR(E158-Dashboard!$B$4/252,"")</f>
        <v/>
      </c>
      <c r="H158" s="8">
        <f>IFERROR(IF(ISNUMBER(B158),MAX(B158,IFERROR(H157,B158)),""),"")</f>
        <v/>
      </c>
      <c r="I158" s="29">
        <f>IFERROR(IF(AND(ISNUMBER(B158),ISNUMBER(H158)),B158/H158-1,""),"")</f>
        <v/>
      </c>
      <c r="J158" s="8">
        <f>IFERROR(IF(ISNUMBER(C158),MAX(C158,IFERROR(J157,C158)),""),"")</f>
        <v/>
      </c>
      <c r="K158" s="29">
        <f>IFERROR(IF(AND(ISNUMBER(C158),ISNUMBER(J158)),C158/J158-1,""),"")</f>
        <v/>
      </c>
      <c r="L158" s="28">
        <f>IFERROR(IF(AND(ISNUMBER(D158),ISNUMBER(E158)),D158-E158,""),"")</f>
        <v/>
      </c>
    </row>
    <row r="159">
      <c r="A159" s="7">
        <f>IFERROR(Datos!A159,"")</f>
        <v/>
      </c>
      <c r="B159" s="8">
        <f>IFERROR(Datos!B159,"")</f>
        <v/>
      </c>
      <c r="C159" s="8">
        <f>IFERROR(Datos!C159,"")</f>
        <v/>
      </c>
      <c r="D159" s="28">
        <f>IFERROR(IF(AND(ISNUMBER(B159),ISNUMBER(B158),B158&lt;&gt;0),B159/B158-1,""),"")</f>
        <v/>
      </c>
      <c r="E159" s="28">
        <f>IFERROR(IF(AND(ISNUMBER(C159),ISNUMBER(C158),C158&lt;&gt;0),C159/C158-1,""),"")</f>
        <v/>
      </c>
      <c r="F159" s="28">
        <f>IFERROR(D159-Dashboard!$B$4/252,"")</f>
        <v/>
      </c>
      <c r="G159" s="28">
        <f>IFERROR(E159-Dashboard!$B$4/252,"")</f>
        <v/>
      </c>
      <c r="H159" s="8">
        <f>IFERROR(IF(ISNUMBER(B159),MAX(B159,IFERROR(H158,B159)),""),"")</f>
        <v/>
      </c>
      <c r="I159" s="29">
        <f>IFERROR(IF(AND(ISNUMBER(B159),ISNUMBER(H159)),B159/H159-1,""),"")</f>
        <v/>
      </c>
      <c r="J159" s="8">
        <f>IFERROR(IF(ISNUMBER(C159),MAX(C159,IFERROR(J158,C159)),""),"")</f>
        <v/>
      </c>
      <c r="K159" s="29">
        <f>IFERROR(IF(AND(ISNUMBER(C159),ISNUMBER(J159)),C159/J159-1,""),"")</f>
        <v/>
      </c>
      <c r="L159" s="28">
        <f>IFERROR(IF(AND(ISNUMBER(D159),ISNUMBER(E159)),D159-E159,""),"")</f>
        <v/>
      </c>
    </row>
    <row r="160">
      <c r="A160" s="7">
        <f>IFERROR(Datos!A160,"")</f>
        <v/>
      </c>
      <c r="B160" s="8">
        <f>IFERROR(Datos!B160,"")</f>
        <v/>
      </c>
      <c r="C160" s="8">
        <f>IFERROR(Datos!C160,"")</f>
        <v/>
      </c>
      <c r="D160" s="28">
        <f>IFERROR(IF(AND(ISNUMBER(B160),ISNUMBER(B159),B159&lt;&gt;0),B160/B159-1,""),"")</f>
        <v/>
      </c>
      <c r="E160" s="28">
        <f>IFERROR(IF(AND(ISNUMBER(C160),ISNUMBER(C159),C159&lt;&gt;0),C160/C159-1,""),"")</f>
        <v/>
      </c>
      <c r="F160" s="28">
        <f>IFERROR(D160-Dashboard!$B$4/252,"")</f>
        <v/>
      </c>
      <c r="G160" s="28">
        <f>IFERROR(E160-Dashboard!$B$4/252,"")</f>
        <v/>
      </c>
      <c r="H160" s="8">
        <f>IFERROR(IF(ISNUMBER(B160),MAX(B160,IFERROR(H159,B160)),""),"")</f>
        <v/>
      </c>
      <c r="I160" s="29">
        <f>IFERROR(IF(AND(ISNUMBER(B160),ISNUMBER(H160)),B160/H160-1,""),"")</f>
        <v/>
      </c>
      <c r="J160" s="8">
        <f>IFERROR(IF(ISNUMBER(C160),MAX(C160,IFERROR(J159,C160)),""),"")</f>
        <v/>
      </c>
      <c r="K160" s="29">
        <f>IFERROR(IF(AND(ISNUMBER(C160),ISNUMBER(J160)),C160/J160-1,""),"")</f>
        <v/>
      </c>
      <c r="L160" s="28">
        <f>IFERROR(IF(AND(ISNUMBER(D160),ISNUMBER(E160)),D160-E160,""),"")</f>
        <v/>
      </c>
    </row>
    <row r="161">
      <c r="A161" s="7">
        <f>IFERROR(Datos!A161,"")</f>
        <v/>
      </c>
      <c r="B161" s="8">
        <f>IFERROR(Datos!B161,"")</f>
        <v/>
      </c>
      <c r="C161" s="8">
        <f>IFERROR(Datos!C161,"")</f>
        <v/>
      </c>
      <c r="D161" s="28">
        <f>IFERROR(IF(AND(ISNUMBER(B161),ISNUMBER(B160),B160&lt;&gt;0),B161/B160-1,""),"")</f>
        <v/>
      </c>
      <c r="E161" s="28">
        <f>IFERROR(IF(AND(ISNUMBER(C161),ISNUMBER(C160),C160&lt;&gt;0),C161/C160-1,""),"")</f>
        <v/>
      </c>
      <c r="F161" s="28">
        <f>IFERROR(D161-Dashboard!$B$4/252,"")</f>
        <v/>
      </c>
      <c r="G161" s="28">
        <f>IFERROR(E161-Dashboard!$B$4/252,"")</f>
        <v/>
      </c>
      <c r="H161" s="8">
        <f>IFERROR(IF(ISNUMBER(B161),MAX(B161,IFERROR(H160,B161)),""),"")</f>
        <v/>
      </c>
      <c r="I161" s="29">
        <f>IFERROR(IF(AND(ISNUMBER(B161),ISNUMBER(H161)),B161/H161-1,""),"")</f>
        <v/>
      </c>
      <c r="J161" s="8">
        <f>IFERROR(IF(ISNUMBER(C161),MAX(C161,IFERROR(J160,C161)),""),"")</f>
        <v/>
      </c>
      <c r="K161" s="29">
        <f>IFERROR(IF(AND(ISNUMBER(C161),ISNUMBER(J161)),C161/J161-1,""),"")</f>
        <v/>
      </c>
      <c r="L161" s="28">
        <f>IFERROR(IF(AND(ISNUMBER(D161),ISNUMBER(E161)),D161-E161,""),"")</f>
        <v/>
      </c>
    </row>
    <row r="162">
      <c r="A162" s="7">
        <f>IFERROR(Datos!A162,"")</f>
        <v/>
      </c>
      <c r="B162" s="8">
        <f>IFERROR(Datos!B162,"")</f>
        <v/>
      </c>
      <c r="C162" s="8">
        <f>IFERROR(Datos!C162,"")</f>
        <v/>
      </c>
      <c r="D162" s="28">
        <f>IFERROR(IF(AND(ISNUMBER(B162),ISNUMBER(B161),B161&lt;&gt;0),B162/B161-1,""),"")</f>
        <v/>
      </c>
      <c r="E162" s="28">
        <f>IFERROR(IF(AND(ISNUMBER(C162),ISNUMBER(C161),C161&lt;&gt;0),C162/C161-1,""),"")</f>
        <v/>
      </c>
      <c r="F162" s="28">
        <f>IFERROR(D162-Dashboard!$B$4/252,"")</f>
        <v/>
      </c>
      <c r="G162" s="28">
        <f>IFERROR(E162-Dashboard!$B$4/252,"")</f>
        <v/>
      </c>
      <c r="H162" s="8">
        <f>IFERROR(IF(ISNUMBER(B162),MAX(B162,IFERROR(H161,B162)),""),"")</f>
        <v/>
      </c>
      <c r="I162" s="29">
        <f>IFERROR(IF(AND(ISNUMBER(B162),ISNUMBER(H162)),B162/H162-1,""),"")</f>
        <v/>
      </c>
      <c r="J162" s="8">
        <f>IFERROR(IF(ISNUMBER(C162),MAX(C162,IFERROR(J161,C162)),""),"")</f>
        <v/>
      </c>
      <c r="K162" s="29">
        <f>IFERROR(IF(AND(ISNUMBER(C162),ISNUMBER(J162)),C162/J162-1,""),"")</f>
        <v/>
      </c>
      <c r="L162" s="28">
        <f>IFERROR(IF(AND(ISNUMBER(D162),ISNUMBER(E162)),D162-E162,""),"")</f>
        <v/>
      </c>
    </row>
    <row r="163">
      <c r="A163" s="7">
        <f>IFERROR(Datos!A163,"")</f>
        <v/>
      </c>
      <c r="B163" s="8">
        <f>IFERROR(Datos!B163,"")</f>
        <v/>
      </c>
      <c r="C163" s="8">
        <f>IFERROR(Datos!C163,"")</f>
        <v/>
      </c>
      <c r="D163" s="28">
        <f>IFERROR(IF(AND(ISNUMBER(B163),ISNUMBER(B162),B162&lt;&gt;0),B163/B162-1,""),"")</f>
        <v/>
      </c>
      <c r="E163" s="28">
        <f>IFERROR(IF(AND(ISNUMBER(C163),ISNUMBER(C162),C162&lt;&gt;0),C163/C162-1,""),"")</f>
        <v/>
      </c>
      <c r="F163" s="28">
        <f>IFERROR(D163-Dashboard!$B$4/252,"")</f>
        <v/>
      </c>
      <c r="G163" s="28">
        <f>IFERROR(E163-Dashboard!$B$4/252,"")</f>
        <v/>
      </c>
      <c r="H163" s="8">
        <f>IFERROR(IF(ISNUMBER(B163),MAX(B163,IFERROR(H162,B163)),""),"")</f>
        <v/>
      </c>
      <c r="I163" s="29">
        <f>IFERROR(IF(AND(ISNUMBER(B163),ISNUMBER(H163)),B163/H163-1,""),"")</f>
        <v/>
      </c>
      <c r="J163" s="8">
        <f>IFERROR(IF(ISNUMBER(C163),MAX(C163,IFERROR(J162,C163)),""),"")</f>
        <v/>
      </c>
      <c r="K163" s="29">
        <f>IFERROR(IF(AND(ISNUMBER(C163),ISNUMBER(J163)),C163/J163-1,""),"")</f>
        <v/>
      </c>
      <c r="L163" s="28">
        <f>IFERROR(IF(AND(ISNUMBER(D163),ISNUMBER(E163)),D163-E163,""),"")</f>
        <v/>
      </c>
    </row>
    <row r="164">
      <c r="A164" s="7">
        <f>IFERROR(Datos!A164,"")</f>
        <v/>
      </c>
      <c r="B164" s="8">
        <f>IFERROR(Datos!B164,"")</f>
        <v/>
      </c>
      <c r="C164" s="8">
        <f>IFERROR(Datos!C164,"")</f>
        <v/>
      </c>
      <c r="D164" s="28">
        <f>IFERROR(IF(AND(ISNUMBER(B164),ISNUMBER(B163),B163&lt;&gt;0),B164/B163-1,""),"")</f>
        <v/>
      </c>
      <c r="E164" s="28">
        <f>IFERROR(IF(AND(ISNUMBER(C164),ISNUMBER(C163),C163&lt;&gt;0),C164/C163-1,""),"")</f>
        <v/>
      </c>
      <c r="F164" s="28">
        <f>IFERROR(D164-Dashboard!$B$4/252,"")</f>
        <v/>
      </c>
      <c r="G164" s="28">
        <f>IFERROR(E164-Dashboard!$B$4/252,"")</f>
        <v/>
      </c>
      <c r="H164" s="8">
        <f>IFERROR(IF(ISNUMBER(B164),MAX(B164,IFERROR(H163,B164)),""),"")</f>
        <v/>
      </c>
      <c r="I164" s="29">
        <f>IFERROR(IF(AND(ISNUMBER(B164),ISNUMBER(H164)),B164/H164-1,""),"")</f>
        <v/>
      </c>
      <c r="J164" s="8">
        <f>IFERROR(IF(ISNUMBER(C164),MAX(C164,IFERROR(J163,C164)),""),"")</f>
        <v/>
      </c>
      <c r="K164" s="29">
        <f>IFERROR(IF(AND(ISNUMBER(C164),ISNUMBER(J164)),C164/J164-1,""),"")</f>
        <v/>
      </c>
      <c r="L164" s="28">
        <f>IFERROR(IF(AND(ISNUMBER(D164),ISNUMBER(E164)),D164-E164,""),"")</f>
        <v/>
      </c>
    </row>
    <row r="165">
      <c r="A165" s="7">
        <f>IFERROR(Datos!A165,"")</f>
        <v/>
      </c>
      <c r="B165" s="8">
        <f>IFERROR(Datos!B165,"")</f>
        <v/>
      </c>
      <c r="C165" s="8">
        <f>IFERROR(Datos!C165,"")</f>
        <v/>
      </c>
      <c r="D165" s="28">
        <f>IFERROR(IF(AND(ISNUMBER(B165),ISNUMBER(B164),B164&lt;&gt;0),B165/B164-1,""),"")</f>
        <v/>
      </c>
      <c r="E165" s="28">
        <f>IFERROR(IF(AND(ISNUMBER(C165),ISNUMBER(C164),C164&lt;&gt;0),C165/C164-1,""),"")</f>
        <v/>
      </c>
      <c r="F165" s="28">
        <f>IFERROR(D165-Dashboard!$B$4/252,"")</f>
        <v/>
      </c>
      <c r="G165" s="28">
        <f>IFERROR(E165-Dashboard!$B$4/252,"")</f>
        <v/>
      </c>
      <c r="H165" s="8">
        <f>IFERROR(IF(ISNUMBER(B165),MAX(B165,IFERROR(H164,B165)),""),"")</f>
        <v/>
      </c>
      <c r="I165" s="29">
        <f>IFERROR(IF(AND(ISNUMBER(B165),ISNUMBER(H165)),B165/H165-1,""),"")</f>
        <v/>
      </c>
      <c r="J165" s="8">
        <f>IFERROR(IF(ISNUMBER(C165),MAX(C165,IFERROR(J164,C165)),""),"")</f>
        <v/>
      </c>
      <c r="K165" s="29">
        <f>IFERROR(IF(AND(ISNUMBER(C165),ISNUMBER(J165)),C165/J165-1,""),"")</f>
        <v/>
      </c>
      <c r="L165" s="28">
        <f>IFERROR(IF(AND(ISNUMBER(D165),ISNUMBER(E165)),D165-E165,""),"")</f>
        <v/>
      </c>
    </row>
    <row r="166">
      <c r="A166" s="7">
        <f>IFERROR(Datos!A166,"")</f>
        <v/>
      </c>
      <c r="B166" s="8">
        <f>IFERROR(Datos!B166,"")</f>
        <v/>
      </c>
      <c r="C166" s="8">
        <f>IFERROR(Datos!C166,"")</f>
        <v/>
      </c>
      <c r="D166" s="28">
        <f>IFERROR(IF(AND(ISNUMBER(B166),ISNUMBER(B165),B165&lt;&gt;0),B166/B165-1,""),"")</f>
        <v/>
      </c>
      <c r="E166" s="28">
        <f>IFERROR(IF(AND(ISNUMBER(C166),ISNUMBER(C165),C165&lt;&gt;0),C166/C165-1,""),"")</f>
        <v/>
      </c>
      <c r="F166" s="28">
        <f>IFERROR(D166-Dashboard!$B$4/252,"")</f>
        <v/>
      </c>
      <c r="G166" s="28">
        <f>IFERROR(E166-Dashboard!$B$4/252,"")</f>
        <v/>
      </c>
      <c r="H166" s="8">
        <f>IFERROR(IF(ISNUMBER(B166),MAX(B166,IFERROR(H165,B166)),""),"")</f>
        <v/>
      </c>
      <c r="I166" s="29">
        <f>IFERROR(IF(AND(ISNUMBER(B166),ISNUMBER(H166)),B166/H166-1,""),"")</f>
        <v/>
      </c>
      <c r="J166" s="8">
        <f>IFERROR(IF(ISNUMBER(C166),MAX(C166,IFERROR(J165,C166)),""),"")</f>
        <v/>
      </c>
      <c r="K166" s="29">
        <f>IFERROR(IF(AND(ISNUMBER(C166),ISNUMBER(J166)),C166/J166-1,""),"")</f>
        <v/>
      </c>
      <c r="L166" s="28">
        <f>IFERROR(IF(AND(ISNUMBER(D166),ISNUMBER(E166)),D166-E166,""),"")</f>
        <v/>
      </c>
    </row>
    <row r="167">
      <c r="A167" s="7">
        <f>IFERROR(Datos!A167,"")</f>
        <v/>
      </c>
      <c r="B167" s="8">
        <f>IFERROR(Datos!B167,"")</f>
        <v/>
      </c>
      <c r="C167" s="8">
        <f>IFERROR(Datos!C167,"")</f>
        <v/>
      </c>
      <c r="D167" s="28">
        <f>IFERROR(IF(AND(ISNUMBER(B167),ISNUMBER(B166),B166&lt;&gt;0),B167/B166-1,""),"")</f>
        <v/>
      </c>
      <c r="E167" s="28">
        <f>IFERROR(IF(AND(ISNUMBER(C167),ISNUMBER(C166),C166&lt;&gt;0),C167/C166-1,""),"")</f>
        <v/>
      </c>
      <c r="F167" s="28">
        <f>IFERROR(D167-Dashboard!$B$4/252,"")</f>
        <v/>
      </c>
      <c r="G167" s="28">
        <f>IFERROR(E167-Dashboard!$B$4/252,"")</f>
        <v/>
      </c>
      <c r="H167" s="8">
        <f>IFERROR(IF(ISNUMBER(B167),MAX(B167,IFERROR(H166,B167)),""),"")</f>
        <v/>
      </c>
      <c r="I167" s="29">
        <f>IFERROR(IF(AND(ISNUMBER(B167),ISNUMBER(H167)),B167/H167-1,""),"")</f>
        <v/>
      </c>
      <c r="J167" s="8">
        <f>IFERROR(IF(ISNUMBER(C167),MAX(C167,IFERROR(J166,C167)),""),"")</f>
        <v/>
      </c>
      <c r="K167" s="29">
        <f>IFERROR(IF(AND(ISNUMBER(C167),ISNUMBER(J167)),C167/J167-1,""),"")</f>
        <v/>
      </c>
      <c r="L167" s="28">
        <f>IFERROR(IF(AND(ISNUMBER(D167),ISNUMBER(E167)),D167-E167,""),"")</f>
        <v/>
      </c>
    </row>
    <row r="168">
      <c r="A168" s="7">
        <f>IFERROR(Datos!A168,"")</f>
        <v/>
      </c>
      <c r="B168" s="8">
        <f>IFERROR(Datos!B168,"")</f>
        <v/>
      </c>
      <c r="C168" s="8">
        <f>IFERROR(Datos!C168,"")</f>
        <v/>
      </c>
      <c r="D168" s="28">
        <f>IFERROR(IF(AND(ISNUMBER(B168),ISNUMBER(B167),B167&lt;&gt;0),B168/B167-1,""),"")</f>
        <v/>
      </c>
      <c r="E168" s="28">
        <f>IFERROR(IF(AND(ISNUMBER(C168),ISNUMBER(C167),C167&lt;&gt;0),C168/C167-1,""),"")</f>
        <v/>
      </c>
      <c r="F168" s="28">
        <f>IFERROR(D168-Dashboard!$B$4/252,"")</f>
        <v/>
      </c>
      <c r="G168" s="28">
        <f>IFERROR(E168-Dashboard!$B$4/252,"")</f>
        <v/>
      </c>
      <c r="H168" s="8">
        <f>IFERROR(IF(ISNUMBER(B168),MAX(B168,IFERROR(H167,B168)),""),"")</f>
        <v/>
      </c>
      <c r="I168" s="29">
        <f>IFERROR(IF(AND(ISNUMBER(B168),ISNUMBER(H168)),B168/H168-1,""),"")</f>
        <v/>
      </c>
      <c r="J168" s="8">
        <f>IFERROR(IF(ISNUMBER(C168),MAX(C168,IFERROR(J167,C168)),""),"")</f>
        <v/>
      </c>
      <c r="K168" s="29">
        <f>IFERROR(IF(AND(ISNUMBER(C168),ISNUMBER(J168)),C168/J168-1,""),"")</f>
        <v/>
      </c>
      <c r="L168" s="28">
        <f>IFERROR(IF(AND(ISNUMBER(D168),ISNUMBER(E168)),D168-E168,""),"")</f>
        <v/>
      </c>
    </row>
    <row r="169">
      <c r="A169" s="7">
        <f>IFERROR(Datos!A169,"")</f>
        <v/>
      </c>
      <c r="B169" s="8">
        <f>IFERROR(Datos!B169,"")</f>
        <v/>
      </c>
      <c r="C169" s="8">
        <f>IFERROR(Datos!C169,"")</f>
        <v/>
      </c>
      <c r="D169" s="28">
        <f>IFERROR(IF(AND(ISNUMBER(B169),ISNUMBER(B168),B168&lt;&gt;0),B169/B168-1,""),"")</f>
        <v/>
      </c>
      <c r="E169" s="28">
        <f>IFERROR(IF(AND(ISNUMBER(C169),ISNUMBER(C168),C168&lt;&gt;0),C169/C168-1,""),"")</f>
        <v/>
      </c>
      <c r="F169" s="28">
        <f>IFERROR(D169-Dashboard!$B$4/252,"")</f>
        <v/>
      </c>
      <c r="G169" s="28">
        <f>IFERROR(E169-Dashboard!$B$4/252,"")</f>
        <v/>
      </c>
      <c r="H169" s="8">
        <f>IFERROR(IF(ISNUMBER(B169),MAX(B169,IFERROR(H168,B169)),""),"")</f>
        <v/>
      </c>
      <c r="I169" s="29">
        <f>IFERROR(IF(AND(ISNUMBER(B169),ISNUMBER(H169)),B169/H169-1,""),"")</f>
        <v/>
      </c>
      <c r="J169" s="8">
        <f>IFERROR(IF(ISNUMBER(C169),MAX(C169,IFERROR(J168,C169)),""),"")</f>
        <v/>
      </c>
      <c r="K169" s="29">
        <f>IFERROR(IF(AND(ISNUMBER(C169),ISNUMBER(J169)),C169/J169-1,""),"")</f>
        <v/>
      </c>
      <c r="L169" s="28">
        <f>IFERROR(IF(AND(ISNUMBER(D169),ISNUMBER(E169)),D169-E169,""),"")</f>
        <v/>
      </c>
    </row>
    <row r="170">
      <c r="A170" s="7">
        <f>IFERROR(Datos!A170,"")</f>
        <v/>
      </c>
      <c r="B170" s="8">
        <f>IFERROR(Datos!B170,"")</f>
        <v/>
      </c>
      <c r="C170" s="8">
        <f>IFERROR(Datos!C170,"")</f>
        <v/>
      </c>
      <c r="D170" s="28">
        <f>IFERROR(IF(AND(ISNUMBER(B170),ISNUMBER(B169),B169&lt;&gt;0),B170/B169-1,""),"")</f>
        <v/>
      </c>
      <c r="E170" s="28">
        <f>IFERROR(IF(AND(ISNUMBER(C170),ISNUMBER(C169),C169&lt;&gt;0),C170/C169-1,""),"")</f>
        <v/>
      </c>
      <c r="F170" s="28">
        <f>IFERROR(D170-Dashboard!$B$4/252,"")</f>
        <v/>
      </c>
      <c r="G170" s="28">
        <f>IFERROR(E170-Dashboard!$B$4/252,"")</f>
        <v/>
      </c>
      <c r="H170" s="8">
        <f>IFERROR(IF(ISNUMBER(B170),MAX(B170,IFERROR(H169,B170)),""),"")</f>
        <v/>
      </c>
      <c r="I170" s="29">
        <f>IFERROR(IF(AND(ISNUMBER(B170),ISNUMBER(H170)),B170/H170-1,""),"")</f>
        <v/>
      </c>
      <c r="J170" s="8">
        <f>IFERROR(IF(ISNUMBER(C170),MAX(C170,IFERROR(J169,C170)),""),"")</f>
        <v/>
      </c>
      <c r="K170" s="29">
        <f>IFERROR(IF(AND(ISNUMBER(C170),ISNUMBER(J170)),C170/J170-1,""),"")</f>
        <v/>
      </c>
      <c r="L170" s="28">
        <f>IFERROR(IF(AND(ISNUMBER(D170),ISNUMBER(E170)),D170-E170,""),"")</f>
        <v/>
      </c>
    </row>
    <row r="171">
      <c r="A171" s="7">
        <f>IFERROR(Datos!A171,"")</f>
        <v/>
      </c>
      <c r="B171" s="8">
        <f>IFERROR(Datos!B171,"")</f>
        <v/>
      </c>
      <c r="C171" s="8">
        <f>IFERROR(Datos!C171,"")</f>
        <v/>
      </c>
      <c r="D171" s="28">
        <f>IFERROR(IF(AND(ISNUMBER(B171),ISNUMBER(B170),B170&lt;&gt;0),B171/B170-1,""),"")</f>
        <v/>
      </c>
      <c r="E171" s="28">
        <f>IFERROR(IF(AND(ISNUMBER(C171),ISNUMBER(C170),C170&lt;&gt;0),C171/C170-1,""),"")</f>
        <v/>
      </c>
      <c r="F171" s="28">
        <f>IFERROR(D171-Dashboard!$B$4/252,"")</f>
        <v/>
      </c>
      <c r="G171" s="28">
        <f>IFERROR(E171-Dashboard!$B$4/252,"")</f>
        <v/>
      </c>
      <c r="H171" s="8">
        <f>IFERROR(IF(ISNUMBER(B171),MAX(B171,IFERROR(H170,B171)),""),"")</f>
        <v/>
      </c>
      <c r="I171" s="29">
        <f>IFERROR(IF(AND(ISNUMBER(B171),ISNUMBER(H171)),B171/H171-1,""),"")</f>
        <v/>
      </c>
      <c r="J171" s="8">
        <f>IFERROR(IF(ISNUMBER(C171),MAX(C171,IFERROR(J170,C171)),""),"")</f>
        <v/>
      </c>
      <c r="K171" s="29">
        <f>IFERROR(IF(AND(ISNUMBER(C171),ISNUMBER(J171)),C171/J171-1,""),"")</f>
        <v/>
      </c>
      <c r="L171" s="28">
        <f>IFERROR(IF(AND(ISNUMBER(D171),ISNUMBER(E171)),D171-E171,""),"")</f>
        <v/>
      </c>
    </row>
    <row r="172">
      <c r="A172" s="7">
        <f>IFERROR(Datos!A172,"")</f>
        <v/>
      </c>
      <c r="B172" s="8">
        <f>IFERROR(Datos!B172,"")</f>
        <v/>
      </c>
      <c r="C172" s="8">
        <f>IFERROR(Datos!C172,"")</f>
        <v/>
      </c>
      <c r="D172" s="28">
        <f>IFERROR(IF(AND(ISNUMBER(B172),ISNUMBER(B171),B171&lt;&gt;0),B172/B171-1,""),"")</f>
        <v/>
      </c>
      <c r="E172" s="28">
        <f>IFERROR(IF(AND(ISNUMBER(C172),ISNUMBER(C171),C171&lt;&gt;0),C172/C171-1,""),"")</f>
        <v/>
      </c>
      <c r="F172" s="28">
        <f>IFERROR(D172-Dashboard!$B$4/252,"")</f>
        <v/>
      </c>
      <c r="G172" s="28">
        <f>IFERROR(E172-Dashboard!$B$4/252,"")</f>
        <v/>
      </c>
      <c r="H172" s="8">
        <f>IFERROR(IF(ISNUMBER(B172),MAX(B172,IFERROR(H171,B172)),""),"")</f>
        <v/>
      </c>
      <c r="I172" s="29">
        <f>IFERROR(IF(AND(ISNUMBER(B172),ISNUMBER(H172)),B172/H172-1,""),"")</f>
        <v/>
      </c>
      <c r="J172" s="8">
        <f>IFERROR(IF(ISNUMBER(C172),MAX(C172,IFERROR(J171,C172)),""),"")</f>
        <v/>
      </c>
      <c r="K172" s="29">
        <f>IFERROR(IF(AND(ISNUMBER(C172),ISNUMBER(J172)),C172/J172-1,""),"")</f>
        <v/>
      </c>
      <c r="L172" s="28">
        <f>IFERROR(IF(AND(ISNUMBER(D172),ISNUMBER(E172)),D172-E172,""),"")</f>
        <v/>
      </c>
    </row>
    <row r="173">
      <c r="A173" s="7">
        <f>IFERROR(Datos!A173,"")</f>
        <v/>
      </c>
      <c r="B173" s="8">
        <f>IFERROR(Datos!B173,"")</f>
        <v/>
      </c>
      <c r="C173" s="8">
        <f>IFERROR(Datos!C173,"")</f>
        <v/>
      </c>
      <c r="D173" s="28">
        <f>IFERROR(IF(AND(ISNUMBER(B173),ISNUMBER(B172),B172&lt;&gt;0),B173/B172-1,""),"")</f>
        <v/>
      </c>
      <c r="E173" s="28">
        <f>IFERROR(IF(AND(ISNUMBER(C173),ISNUMBER(C172),C172&lt;&gt;0),C173/C172-1,""),"")</f>
        <v/>
      </c>
      <c r="F173" s="28">
        <f>IFERROR(D173-Dashboard!$B$4/252,"")</f>
        <v/>
      </c>
      <c r="G173" s="28">
        <f>IFERROR(E173-Dashboard!$B$4/252,"")</f>
        <v/>
      </c>
      <c r="H173" s="8">
        <f>IFERROR(IF(ISNUMBER(B173),MAX(B173,IFERROR(H172,B173)),""),"")</f>
        <v/>
      </c>
      <c r="I173" s="29">
        <f>IFERROR(IF(AND(ISNUMBER(B173),ISNUMBER(H173)),B173/H173-1,""),"")</f>
        <v/>
      </c>
      <c r="J173" s="8">
        <f>IFERROR(IF(ISNUMBER(C173),MAX(C173,IFERROR(J172,C173)),""),"")</f>
        <v/>
      </c>
      <c r="K173" s="29">
        <f>IFERROR(IF(AND(ISNUMBER(C173),ISNUMBER(J173)),C173/J173-1,""),"")</f>
        <v/>
      </c>
      <c r="L173" s="28">
        <f>IFERROR(IF(AND(ISNUMBER(D173),ISNUMBER(E173)),D173-E173,""),"")</f>
        <v/>
      </c>
    </row>
    <row r="174">
      <c r="A174" s="7">
        <f>IFERROR(Datos!A174,"")</f>
        <v/>
      </c>
      <c r="B174" s="8">
        <f>IFERROR(Datos!B174,"")</f>
        <v/>
      </c>
      <c r="C174" s="8">
        <f>IFERROR(Datos!C174,"")</f>
        <v/>
      </c>
      <c r="D174" s="28">
        <f>IFERROR(IF(AND(ISNUMBER(B174),ISNUMBER(B173),B173&lt;&gt;0),B174/B173-1,""),"")</f>
        <v/>
      </c>
      <c r="E174" s="28">
        <f>IFERROR(IF(AND(ISNUMBER(C174),ISNUMBER(C173),C173&lt;&gt;0),C174/C173-1,""),"")</f>
        <v/>
      </c>
      <c r="F174" s="28">
        <f>IFERROR(D174-Dashboard!$B$4/252,"")</f>
        <v/>
      </c>
      <c r="G174" s="28">
        <f>IFERROR(E174-Dashboard!$B$4/252,"")</f>
        <v/>
      </c>
      <c r="H174" s="8">
        <f>IFERROR(IF(ISNUMBER(B174),MAX(B174,IFERROR(H173,B174)),""),"")</f>
        <v/>
      </c>
      <c r="I174" s="29">
        <f>IFERROR(IF(AND(ISNUMBER(B174),ISNUMBER(H174)),B174/H174-1,""),"")</f>
        <v/>
      </c>
      <c r="J174" s="8">
        <f>IFERROR(IF(ISNUMBER(C174),MAX(C174,IFERROR(J173,C174)),""),"")</f>
        <v/>
      </c>
      <c r="K174" s="29">
        <f>IFERROR(IF(AND(ISNUMBER(C174),ISNUMBER(J174)),C174/J174-1,""),"")</f>
        <v/>
      </c>
      <c r="L174" s="28">
        <f>IFERROR(IF(AND(ISNUMBER(D174),ISNUMBER(E174)),D174-E174,""),"")</f>
        <v/>
      </c>
    </row>
    <row r="175">
      <c r="A175" s="7">
        <f>IFERROR(Datos!A175,"")</f>
        <v/>
      </c>
      <c r="B175" s="8">
        <f>IFERROR(Datos!B175,"")</f>
        <v/>
      </c>
      <c r="C175" s="8">
        <f>IFERROR(Datos!C175,"")</f>
        <v/>
      </c>
      <c r="D175" s="28">
        <f>IFERROR(IF(AND(ISNUMBER(B175),ISNUMBER(B174),B174&lt;&gt;0),B175/B174-1,""),"")</f>
        <v/>
      </c>
      <c r="E175" s="28">
        <f>IFERROR(IF(AND(ISNUMBER(C175),ISNUMBER(C174),C174&lt;&gt;0),C175/C174-1,""),"")</f>
        <v/>
      </c>
      <c r="F175" s="28">
        <f>IFERROR(D175-Dashboard!$B$4/252,"")</f>
        <v/>
      </c>
      <c r="G175" s="28">
        <f>IFERROR(E175-Dashboard!$B$4/252,"")</f>
        <v/>
      </c>
      <c r="H175" s="8">
        <f>IFERROR(IF(ISNUMBER(B175),MAX(B175,IFERROR(H174,B175)),""),"")</f>
        <v/>
      </c>
      <c r="I175" s="29">
        <f>IFERROR(IF(AND(ISNUMBER(B175),ISNUMBER(H175)),B175/H175-1,""),"")</f>
        <v/>
      </c>
      <c r="J175" s="8">
        <f>IFERROR(IF(ISNUMBER(C175),MAX(C175,IFERROR(J174,C175)),""),"")</f>
        <v/>
      </c>
      <c r="K175" s="29">
        <f>IFERROR(IF(AND(ISNUMBER(C175),ISNUMBER(J175)),C175/J175-1,""),"")</f>
        <v/>
      </c>
      <c r="L175" s="28">
        <f>IFERROR(IF(AND(ISNUMBER(D175),ISNUMBER(E175)),D175-E175,""),"")</f>
        <v/>
      </c>
    </row>
    <row r="176">
      <c r="A176" s="7">
        <f>IFERROR(Datos!A176,"")</f>
        <v/>
      </c>
      <c r="B176" s="8">
        <f>IFERROR(Datos!B176,"")</f>
        <v/>
      </c>
      <c r="C176" s="8">
        <f>IFERROR(Datos!C176,"")</f>
        <v/>
      </c>
      <c r="D176" s="28">
        <f>IFERROR(IF(AND(ISNUMBER(B176),ISNUMBER(B175),B175&lt;&gt;0),B176/B175-1,""),"")</f>
        <v/>
      </c>
      <c r="E176" s="28">
        <f>IFERROR(IF(AND(ISNUMBER(C176),ISNUMBER(C175),C175&lt;&gt;0),C176/C175-1,""),"")</f>
        <v/>
      </c>
      <c r="F176" s="28">
        <f>IFERROR(D176-Dashboard!$B$4/252,"")</f>
        <v/>
      </c>
      <c r="G176" s="28">
        <f>IFERROR(E176-Dashboard!$B$4/252,"")</f>
        <v/>
      </c>
      <c r="H176" s="8">
        <f>IFERROR(IF(ISNUMBER(B176),MAX(B176,IFERROR(H175,B176)),""),"")</f>
        <v/>
      </c>
      <c r="I176" s="29">
        <f>IFERROR(IF(AND(ISNUMBER(B176),ISNUMBER(H176)),B176/H176-1,""),"")</f>
        <v/>
      </c>
      <c r="J176" s="8">
        <f>IFERROR(IF(ISNUMBER(C176),MAX(C176,IFERROR(J175,C176)),""),"")</f>
        <v/>
      </c>
      <c r="K176" s="29">
        <f>IFERROR(IF(AND(ISNUMBER(C176),ISNUMBER(J176)),C176/J176-1,""),"")</f>
        <v/>
      </c>
      <c r="L176" s="28">
        <f>IFERROR(IF(AND(ISNUMBER(D176),ISNUMBER(E176)),D176-E176,""),"")</f>
        <v/>
      </c>
    </row>
    <row r="177">
      <c r="A177" s="7">
        <f>IFERROR(Datos!A177,"")</f>
        <v/>
      </c>
      <c r="B177" s="8">
        <f>IFERROR(Datos!B177,"")</f>
        <v/>
      </c>
      <c r="C177" s="8">
        <f>IFERROR(Datos!C177,"")</f>
        <v/>
      </c>
      <c r="D177" s="28">
        <f>IFERROR(IF(AND(ISNUMBER(B177),ISNUMBER(B176),B176&lt;&gt;0),B177/B176-1,""),"")</f>
        <v/>
      </c>
      <c r="E177" s="28">
        <f>IFERROR(IF(AND(ISNUMBER(C177),ISNUMBER(C176),C176&lt;&gt;0),C177/C176-1,""),"")</f>
        <v/>
      </c>
      <c r="F177" s="28">
        <f>IFERROR(D177-Dashboard!$B$4/252,"")</f>
        <v/>
      </c>
      <c r="G177" s="28">
        <f>IFERROR(E177-Dashboard!$B$4/252,"")</f>
        <v/>
      </c>
      <c r="H177" s="8">
        <f>IFERROR(IF(ISNUMBER(B177),MAX(B177,IFERROR(H176,B177)),""),"")</f>
        <v/>
      </c>
      <c r="I177" s="29">
        <f>IFERROR(IF(AND(ISNUMBER(B177),ISNUMBER(H177)),B177/H177-1,""),"")</f>
        <v/>
      </c>
      <c r="J177" s="8">
        <f>IFERROR(IF(ISNUMBER(C177),MAX(C177,IFERROR(J176,C177)),""),"")</f>
        <v/>
      </c>
      <c r="K177" s="29">
        <f>IFERROR(IF(AND(ISNUMBER(C177),ISNUMBER(J177)),C177/J177-1,""),"")</f>
        <v/>
      </c>
      <c r="L177" s="28">
        <f>IFERROR(IF(AND(ISNUMBER(D177),ISNUMBER(E177)),D177-E177,""),"")</f>
        <v/>
      </c>
    </row>
    <row r="178">
      <c r="A178" s="7">
        <f>IFERROR(Datos!A178,"")</f>
        <v/>
      </c>
      <c r="B178" s="8">
        <f>IFERROR(Datos!B178,"")</f>
        <v/>
      </c>
      <c r="C178" s="8">
        <f>IFERROR(Datos!C178,"")</f>
        <v/>
      </c>
      <c r="D178" s="28">
        <f>IFERROR(IF(AND(ISNUMBER(B178),ISNUMBER(B177),B177&lt;&gt;0),B178/B177-1,""),"")</f>
        <v/>
      </c>
      <c r="E178" s="28">
        <f>IFERROR(IF(AND(ISNUMBER(C178),ISNUMBER(C177),C177&lt;&gt;0),C178/C177-1,""),"")</f>
        <v/>
      </c>
      <c r="F178" s="28">
        <f>IFERROR(D178-Dashboard!$B$4/252,"")</f>
        <v/>
      </c>
      <c r="G178" s="28">
        <f>IFERROR(E178-Dashboard!$B$4/252,"")</f>
        <v/>
      </c>
      <c r="H178" s="8">
        <f>IFERROR(IF(ISNUMBER(B178),MAX(B178,IFERROR(H177,B178)),""),"")</f>
        <v/>
      </c>
      <c r="I178" s="29">
        <f>IFERROR(IF(AND(ISNUMBER(B178),ISNUMBER(H178)),B178/H178-1,""),"")</f>
        <v/>
      </c>
      <c r="J178" s="8">
        <f>IFERROR(IF(ISNUMBER(C178),MAX(C178,IFERROR(J177,C178)),""),"")</f>
        <v/>
      </c>
      <c r="K178" s="29">
        <f>IFERROR(IF(AND(ISNUMBER(C178),ISNUMBER(J178)),C178/J178-1,""),"")</f>
        <v/>
      </c>
      <c r="L178" s="28">
        <f>IFERROR(IF(AND(ISNUMBER(D178),ISNUMBER(E178)),D178-E178,""),"")</f>
        <v/>
      </c>
    </row>
    <row r="179">
      <c r="A179" s="7">
        <f>IFERROR(Datos!A179,"")</f>
        <v/>
      </c>
      <c r="B179" s="8">
        <f>IFERROR(Datos!B179,"")</f>
        <v/>
      </c>
      <c r="C179" s="8">
        <f>IFERROR(Datos!C179,"")</f>
        <v/>
      </c>
      <c r="D179" s="28">
        <f>IFERROR(IF(AND(ISNUMBER(B179),ISNUMBER(B178),B178&lt;&gt;0),B179/B178-1,""),"")</f>
        <v/>
      </c>
      <c r="E179" s="28">
        <f>IFERROR(IF(AND(ISNUMBER(C179),ISNUMBER(C178),C178&lt;&gt;0),C179/C178-1,""),"")</f>
        <v/>
      </c>
      <c r="F179" s="28">
        <f>IFERROR(D179-Dashboard!$B$4/252,"")</f>
        <v/>
      </c>
      <c r="G179" s="28">
        <f>IFERROR(E179-Dashboard!$B$4/252,"")</f>
        <v/>
      </c>
      <c r="H179" s="8">
        <f>IFERROR(IF(ISNUMBER(B179),MAX(B179,IFERROR(H178,B179)),""),"")</f>
        <v/>
      </c>
      <c r="I179" s="29">
        <f>IFERROR(IF(AND(ISNUMBER(B179),ISNUMBER(H179)),B179/H179-1,""),"")</f>
        <v/>
      </c>
      <c r="J179" s="8">
        <f>IFERROR(IF(ISNUMBER(C179),MAX(C179,IFERROR(J178,C179)),""),"")</f>
        <v/>
      </c>
      <c r="K179" s="29">
        <f>IFERROR(IF(AND(ISNUMBER(C179),ISNUMBER(J179)),C179/J179-1,""),"")</f>
        <v/>
      </c>
      <c r="L179" s="28">
        <f>IFERROR(IF(AND(ISNUMBER(D179),ISNUMBER(E179)),D179-E179,""),"")</f>
        <v/>
      </c>
    </row>
    <row r="180">
      <c r="A180" s="7">
        <f>IFERROR(Datos!A180,"")</f>
        <v/>
      </c>
      <c r="B180" s="8">
        <f>IFERROR(Datos!B180,"")</f>
        <v/>
      </c>
      <c r="C180" s="8">
        <f>IFERROR(Datos!C180,"")</f>
        <v/>
      </c>
      <c r="D180" s="28">
        <f>IFERROR(IF(AND(ISNUMBER(B180),ISNUMBER(B179),B179&lt;&gt;0),B180/B179-1,""),"")</f>
        <v/>
      </c>
      <c r="E180" s="28">
        <f>IFERROR(IF(AND(ISNUMBER(C180),ISNUMBER(C179),C179&lt;&gt;0),C180/C179-1,""),"")</f>
        <v/>
      </c>
      <c r="F180" s="28">
        <f>IFERROR(D180-Dashboard!$B$4/252,"")</f>
        <v/>
      </c>
      <c r="G180" s="28">
        <f>IFERROR(E180-Dashboard!$B$4/252,"")</f>
        <v/>
      </c>
      <c r="H180" s="8">
        <f>IFERROR(IF(ISNUMBER(B180),MAX(B180,IFERROR(H179,B180)),""),"")</f>
        <v/>
      </c>
      <c r="I180" s="29">
        <f>IFERROR(IF(AND(ISNUMBER(B180),ISNUMBER(H180)),B180/H180-1,""),"")</f>
        <v/>
      </c>
      <c r="J180" s="8">
        <f>IFERROR(IF(ISNUMBER(C180),MAX(C180,IFERROR(J179,C180)),""),"")</f>
        <v/>
      </c>
      <c r="K180" s="29">
        <f>IFERROR(IF(AND(ISNUMBER(C180),ISNUMBER(J180)),C180/J180-1,""),"")</f>
        <v/>
      </c>
      <c r="L180" s="28">
        <f>IFERROR(IF(AND(ISNUMBER(D180),ISNUMBER(E180)),D180-E180,""),"")</f>
        <v/>
      </c>
    </row>
    <row r="181">
      <c r="A181" s="7">
        <f>IFERROR(Datos!A181,"")</f>
        <v/>
      </c>
      <c r="B181" s="8">
        <f>IFERROR(Datos!B181,"")</f>
        <v/>
      </c>
      <c r="C181" s="8">
        <f>IFERROR(Datos!C181,"")</f>
        <v/>
      </c>
      <c r="D181" s="28">
        <f>IFERROR(IF(AND(ISNUMBER(B181),ISNUMBER(B180),B180&lt;&gt;0),B181/B180-1,""),"")</f>
        <v/>
      </c>
      <c r="E181" s="28">
        <f>IFERROR(IF(AND(ISNUMBER(C181),ISNUMBER(C180),C180&lt;&gt;0),C181/C180-1,""),"")</f>
        <v/>
      </c>
      <c r="F181" s="28">
        <f>IFERROR(D181-Dashboard!$B$4/252,"")</f>
        <v/>
      </c>
      <c r="G181" s="28">
        <f>IFERROR(E181-Dashboard!$B$4/252,"")</f>
        <v/>
      </c>
      <c r="H181" s="8">
        <f>IFERROR(IF(ISNUMBER(B181),MAX(B181,IFERROR(H180,B181)),""),"")</f>
        <v/>
      </c>
      <c r="I181" s="29">
        <f>IFERROR(IF(AND(ISNUMBER(B181),ISNUMBER(H181)),B181/H181-1,""),"")</f>
        <v/>
      </c>
      <c r="J181" s="8">
        <f>IFERROR(IF(ISNUMBER(C181),MAX(C181,IFERROR(J180,C181)),""),"")</f>
        <v/>
      </c>
      <c r="K181" s="29">
        <f>IFERROR(IF(AND(ISNUMBER(C181),ISNUMBER(J181)),C181/J181-1,""),"")</f>
        <v/>
      </c>
      <c r="L181" s="28">
        <f>IFERROR(IF(AND(ISNUMBER(D181),ISNUMBER(E181)),D181-E181,""),"")</f>
        <v/>
      </c>
    </row>
    <row r="182">
      <c r="A182" s="7">
        <f>IFERROR(Datos!A182,"")</f>
        <v/>
      </c>
      <c r="B182" s="8">
        <f>IFERROR(Datos!B182,"")</f>
        <v/>
      </c>
      <c r="C182" s="8">
        <f>IFERROR(Datos!C182,"")</f>
        <v/>
      </c>
      <c r="D182" s="28">
        <f>IFERROR(IF(AND(ISNUMBER(B182),ISNUMBER(B181),B181&lt;&gt;0),B182/B181-1,""),"")</f>
        <v/>
      </c>
      <c r="E182" s="28">
        <f>IFERROR(IF(AND(ISNUMBER(C182),ISNUMBER(C181),C181&lt;&gt;0),C182/C181-1,""),"")</f>
        <v/>
      </c>
      <c r="F182" s="28">
        <f>IFERROR(D182-Dashboard!$B$4/252,"")</f>
        <v/>
      </c>
      <c r="G182" s="28">
        <f>IFERROR(E182-Dashboard!$B$4/252,"")</f>
        <v/>
      </c>
      <c r="H182" s="8">
        <f>IFERROR(IF(ISNUMBER(B182),MAX(B182,IFERROR(H181,B182)),""),"")</f>
        <v/>
      </c>
      <c r="I182" s="29">
        <f>IFERROR(IF(AND(ISNUMBER(B182),ISNUMBER(H182)),B182/H182-1,""),"")</f>
        <v/>
      </c>
      <c r="J182" s="8">
        <f>IFERROR(IF(ISNUMBER(C182),MAX(C182,IFERROR(J181,C182)),""),"")</f>
        <v/>
      </c>
      <c r="K182" s="29">
        <f>IFERROR(IF(AND(ISNUMBER(C182),ISNUMBER(J182)),C182/J182-1,""),"")</f>
        <v/>
      </c>
      <c r="L182" s="28">
        <f>IFERROR(IF(AND(ISNUMBER(D182),ISNUMBER(E182)),D182-E182,""),"")</f>
        <v/>
      </c>
    </row>
    <row r="183">
      <c r="A183" s="7">
        <f>IFERROR(Datos!A183,"")</f>
        <v/>
      </c>
      <c r="B183" s="8">
        <f>IFERROR(Datos!B183,"")</f>
        <v/>
      </c>
      <c r="C183" s="8">
        <f>IFERROR(Datos!C183,"")</f>
        <v/>
      </c>
      <c r="D183" s="28">
        <f>IFERROR(IF(AND(ISNUMBER(B183),ISNUMBER(B182),B182&lt;&gt;0),B183/B182-1,""),"")</f>
        <v/>
      </c>
      <c r="E183" s="28">
        <f>IFERROR(IF(AND(ISNUMBER(C183),ISNUMBER(C182),C182&lt;&gt;0),C183/C182-1,""),"")</f>
        <v/>
      </c>
      <c r="F183" s="28">
        <f>IFERROR(D183-Dashboard!$B$4/252,"")</f>
        <v/>
      </c>
      <c r="G183" s="28">
        <f>IFERROR(E183-Dashboard!$B$4/252,"")</f>
        <v/>
      </c>
      <c r="H183" s="8">
        <f>IFERROR(IF(ISNUMBER(B183),MAX(B183,IFERROR(H182,B183)),""),"")</f>
        <v/>
      </c>
      <c r="I183" s="29">
        <f>IFERROR(IF(AND(ISNUMBER(B183),ISNUMBER(H183)),B183/H183-1,""),"")</f>
        <v/>
      </c>
      <c r="J183" s="8">
        <f>IFERROR(IF(ISNUMBER(C183),MAX(C183,IFERROR(J182,C183)),""),"")</f>
        <v/>
      </c>
      <c r="K183" s="29">
        <f>IFERROR(IF(AND(ISNUMBER(C183),ISNUMBER(J183)),C183/J183-1,""),"")</f>
        <v/>
      </c>
      <c r="L183" s="28">
        <f>IFERROR(IF(AND(ISNUMBER(D183),ISNUMBER(E183)),D183-E183,""),"")</f>
        <v/>
      </c>
    </row>
    <row r="184">
      <c r="A184" s="7">
        <f>IFERROR(Datos!A184,"")</f>
        <v/>
      </c>
      <c r="B184" s="8">
        <f>IFERROR(Datos!B184,"")</f>
        <v/>
      </c>
      <c r="C184" s="8">
        <f>IFERROR(Datos!C184,"")</f>
        <v/>
      </c>
      <c r="D184" s="28">
        <f>IFERROR(IF(AND(ISNUMBER(B184),ISNUMBER(B183),B183&lt;&gt;0),B184/B183-1,""),"")</f>
        <v/>
      </c>
      <c r="E184" s="28">
        <f>IFERROR(IF(AND(ISNUMBER(C184),ISNUMBER(C183),C183&lt;&gt;0),C184/C183-1,""),"")</f>
        <v/>
      </c>
      <c r="F184" s="28">
        <f>IFERROR(D184-Dashboard!$B$4/252,"")</f>
        <v/>
      </c>
      <c r="G184" s="28">
        <f>IFERROR(E184-Dashboard!$B$4/252,"")</f>
        <v/>
      </c>
      <c r="H184" s="8">
        <f>IFERROR(IF(ISNUMBER(B184),MAX(B184,IFERROR(H183,B184)),""),"")</f>
        <v/>
      </c>
      <c r="I184" s="29">
        <f>IFERROR(IF(AND(ISNUMBER(B184),ISNUMBER(H184)),B184/H184-1,""),"")</f>
        <v/>
      </c>
      <c r="J184" s="8">
        <f>IFERROR(IF(ISNUMBER(C184),MAX(C184,IFERROR(J183,C184)),""),"")</f>
        <v/>
      </c>
      <c r="K184" s="29">
        <f>IFERROR(IF(AND(ISNUMBER(C184),ISNUMBER(J184)),C184/J184-1,""),"")</f>
        <v/>
      </c>
      <c r="L184" s="28">
        <f>IFERROR(IF(AND(ISNUMBER(D184),ISNUMBER(E184)),D184-E184,""),"")</f>
        <v/>
      </c>
    </row>
    <row r="185">
      <c r="A185" s="7">
        <f>IFERROR(Datos!A185,"")</f>
        <v/>
      </c>
      <c r="B185" s="8">
        <f>IFERROR(Datos!B185,"")</f>
        <v/>
      </c>
      <c r="C185" s="8">
        <f>IFERROR(Datos!C185,"")</f>
        <v/>
      </c>
      <c r="D185" s="28">
        <f>IFERROR(IF(AND(ISNUMBER(B185),ISNUMBER(B184),B184&lt;&gt;0),B185/B184-1,""),"")</f>
        <v/>
      </c>
      <c r="E185" s="28">
        <f>IFERROR(IF(AND(ISNUMBER(C185),ISNUMBER(C184),C184&lt;&gt;0),C185/C184-1,""),"")</f>
        <v/>
      </c>
      <c r="F185" s="28">
        <f>IFERROR(D185-Dashboard!$B$4/252,"")</f>
        <v/>
      </c>
      <c r="G185" s="28">
        <f>IFERROR(E185-Dashboard!$B$4/252,"")</f>
        <v/>
      </c>
      <c r="H185" s="8">
        <f>IFERROR(IF(ISNUMBER(B185),MAX(B185,IFERROR(H184,B185)),""),"")</f>
        <v/>
      </c>
      <c r="I185" s="29">
        <f>IFERROR(IF(AND(ISNUMBER(B185),ISNUMBER(H185)),B185/H185-1,""),"")</f>
        <v/>
      </c>
      <c r="J185" s="8">
        <f>IFERROR(IF(ISNUMBER(C185),MAX(C185,IFERROR(J184,C185)),""),"")</f>
        <v/>
      </c>
      <c r="K185" s="29">
        <f>IFERROR(IF(AND(ISNUMBER(C185),ISNUMBER(J185)),C185/J185-1,""),"")</f>
        <v/>
      </c>
      <c r="L185" s="28">
        <f>IFERROR(IF(AND(ISNUMBER(D185),ISNUMBER(E185)),D185-E185,""),"")</f>
        <v/>
      </c>
    </row>
    <row r="186">
      <c r="A186" s="7">
        <f>IFERROR(Datos!A186,"")</f>
        <v/>
      </c>
      <c r="B186" s="8">
        <f>IFERROR(Datos!B186,"")</f>
        <v/>
      </c>
      <c r="C186" s="8">
        <f>IFERROR(Datos!C186,"")</f>
        <v/>
      </c>
      <c r="D186" s="28">
        <f>IFERROR(IF(AND(ISNUMBER(B186),ISNUMBER(B185),B185&lt;&gt;0),B186/B185-1,""),"")</f>
        <v/>
      </c>
      <c r="E186" s="28">
        <f>IFERROR(IF(AND(ISNUMBER(C186),ISNUMBER(C185),C185&lt;&gt;0),C186/C185-1,""),"")</f>
        <v/>
      </c>
      <c r="F186" s="28">
        <f>IFERROR(D186-Dashboard!$B$4/252,"")</f>
        <v/>
      </c>
      <c r="G186" s="28">
        <f>IFERROR(E186-Dashboard!$B$4/252,"")</f>
        <v/>
      </c>
      <c r="H186" s="8">
        <f>IFERROR(IF(ISNUMBER(B186),MAX(B186,IFERROR(H185,B186)),""),"")</f>
        <v/>
      </c>
      <c r="I186" s="29">
        <f>IFERROR(IF(AND(ISNUMBER(B186),ISNUMBER(H186)),B186/H186-1,""),"")</f>
        <v/>
      </c>
      <c r="J186" s="8">
        <f>IFERROR(IF(ISNUMBER(C186),MAX(C186,IFERROR(J185,C186)),""),"")</f>
        <v/>
      </c>
      <c r="K186" s="29">
        <f>IFERROR(IF(AND(ISNUMBER(C186),ISNUMBER(J186)),C186/J186-1,""),"")</f>
        <v/>
      </c>
      <c r="L186" s="28">
        <f>IFERROR(IF(AND(ISNUMBER(D186),ISNUMBER(E186)),D186-E186,""),"")</f>
        <v/>
      </c>
    </row>
    <row r="187">
      <c r="A187" s="7">
        <f>IFERROR(Datos!A187,"")</f>
        <v/>
      </c>
      <c r="B187" s="8">
        <f>IFERROR(Datos!B187,"")</f>
        <v/>
      </c>
      <c r="C187" s="8">
        <f>IFERROR(Datos!C187,"")</f>
        <v/>
      </c>
      <c r="D187" s="28">
        <f>IFERROR(IF(AND(ISNUMBER(B187),ISNUMBER(B186),B186&lt;&gt;0),B187/B186-1,""),"")</f>
        <v/>
      </c>
      <c r="E187" s="28">
        <f>IFERROR(IF(AND(ISNUMBER(C187),ISNUMBER(C186),C186&lt;&gt;0),C187/C186-1,""),"")</f>
        <v/>
      </c>
      <c r="F187" s="28">
        <f>IFERROR(D187-Dashboard!$B$4/252,"")</f>
        <v/>
      </c>
      <c r="G187" s="28">
        <f>IFERROR(E187-Dashboard!$B$4/252,"")</f>
        <v/>
      </c>
      <c r="H187" s="8">
        <f>IFERROR(IF(ISNUMBER(B187),MAX(B187,IFERROR(H186,B187)),""),"")</f>
        <v/>
      </c>
      <c r="I187" s="29">
        <f>IFERROR(IF(AND(ISNUMBER(B187),ISNUMBER(H187)),B187/H187-1,""),"")</f>
        <v/>
      </c>
      <c r="J187" s="8">
        <f>IFERROR(IF(ISNUMBER(C187),MAX(C187,IFERROR(J186,C187)),""),"")</f>
        <v/>
      </c>
      <c r="K187" s="29">
        <f>IFERROR(IF(AND(ISNUMBER(C187),ISNUMBER(J187)),C187/J187-1,""),"")</f>
        <v/>
      </c>
      <c r="L187" s="28">
        <f>IFERROR(IF(AND(ISNUMBER(D187),ISNUMBER(E187)),D187-E187,""),"")</f>
        <v/>
      </c>
    </row>
    <row r="188">
      <c r="A188" s="7">
        <f>IFERROR(Datos!A188,"")</f>
        <v/>
      </c>
      <c r="B188" s="8">
        <f>IFERROR(Datos!B188,"")</f>
        <v/>
      </c>
      <c r="C188" s="8">
        <f>IFERROR(Datos!C188,"")</f>
        <v/>
      </c>
      <c r="D188" s="28">
        <f>IFERROR(IF(AND(ISNUMBER(B188),ISNUMBER(B187),B187&lt;&gt;0),B188/B187-1,""),"")</f>
        <v/>
      </c>
      <c r="E188" s="28">
        <f>IFERROR(IF(AND(ISNUMBER(C188),ISNUMBER(C187),C187&lt;&gt;0),C188/C187-1,""),"")</f>
        <v/>
      </c>
      <c r="F188" s="28">
        <f>IFERROR(D188-Dashboard!$B$4/252,"")</f>
        <v/>
      </c>
      <c r="G188" s="28">
        <f>IFERROR(E188-Dashboard!$B$4/252,"")</f>
        <v/>
      </c>
      <c r="H188" s="8">
        <f>IFERROR(IF(ISNUMBER(B188),MAX(B188,IFERROR(H187,B188)),""),"")</f>
        <v/>
      </c>
      <c r="I188" s="29">
        <f>IFERROR(IF(AND(ISNUMBER(B188),ISNUMBER(H188)),B188/H188-1,""),"")</f>
        <v/>
      </c>
      <c r="J188" s="8">
        <f>IFERROR(IF(ISNUMBER(C188),MAX(C188,IFERROR(J187,C188)),""),"")</f>
        <v/>
      </c>
      <c r="K188" s="29">
        <f>IFERROR(IF(AND(ISNUMBER(C188),ISNUMBER(J188)),C188/J188-1,""),"")</f>
        <v/>
      </c>
      <c r="L188" s="28">
        <f>IFERROR(IF(AND(ISNUMBER(D188),ISNUMBER(E188)),D188-E188,""),"")</f>
        <v/>
      </c>
    </row>
    <row r="189">
      <c r="A189" s="7">
        <f>IFERROR(Datos!A189,"")</f>
        <v/>
      </c>
      <c r="B189" s="8">
        <f>IFERROR(Datos!B189,"")</f>
        <v/>
      </c>
      <c r="C189" s="8">
        <f>IFERROR(Datos!C189,"")</f>
        <v/>
      </c>
      <c r="D189" s="28">
        <f>IFERROR(IF(AND(ISNUMBER(B189),ISNUMBER(B188),B188&lt;&gt;0),B189/B188-1,""),"")</f>
        <v/>
      </c>
      <c r="E189" s="28">
        <f>IFERROR(IF(AND(ISNUMBER(C189),ISNUMBER(C188),C188&lt;&gt;0),C189/C188-1,""),"")</f>
        <v/>
      </c>
      <c r="F189" s="28">
        <f>IFERROR(D189-Dashboard!$B$4/252,"")</f>
        <v/>
      </c>
      <c r="G189" s="28">
        <f>IFERROR(E189-Dashboard!$B$4/252,"")</f>
        <v/>
      </c>
      <c r="H189" s="8">
        <f>IFERROR(IF(ISNUMBER(B189),MAX(B189,IFERROR(H188,B189)),""),"")</f>
        <v/>
      </c>
      <c r="I189" s="29">
        <f>IFERROR(IF(AND(ISNUMBER(B189),ISNUMBER(H189)),B189/H189-1,""),"")</f>
        <v/>
      </c>
      <c r="J189" s="8">
        <f>IFERROR(IF(ISNUMBER(C189),MAX(C189,IFERROR(J188,C189)),""),"")</f>
        <v/>
      </c>
      <c r="K189" s="29">
        <f>IFERROR(IF(AND(ISNUMBER(C189),ISNUMBER(J189)),C189/J189-1,""),"")</f>
        <v/>
      </c>
      <c r="L189" s="28">
        <f>IFERROR(IF(AND(ISNUMBER(D189),ISNUMBER(E189)),D189-E189,""),"")</f>
        <v/>
      </c>
    </row>
    <row r="190">
      <c r="A190" s="7">
        <f>IFERROR(Datos!A190,"")</f>
        <v/>
      </c>
      <c r="B190" s="8">
        <f>IFERROR(Datos!B190,"")</f>
        <v/>
      </c>
      <c r="C190" s="8">
        <f>IFERROR(Datos!C190,"")</f>
        <v/>
      </c>
      <c r="D190" s="28">
        <f>IFERROR(IF(AND(ISNUMBER(B190),ISNUMBER(B189),B189&lt;&gt;0),B190/B189-1,""),"")</f>
        <v/>
      </c>
      <c r="E190" s="28">
        <f>IFERROR(IF(AND(ISNUMBER(C190),ISNUMBER(C189),C189&lt;&gt;0),C190/C189-1,""),"")</f>
        <v/>
      </c>
      <c r="F190" s="28">
        <f>IFERROR(D190-Dashboard!$B$4/252,"")</f>
        <v/>
      </c>
      <c r="G190" s="28">
        <f>IFERROR(E190-Dashboard!$B$4/252,"")</f>
        <v/>
      </c>
      <c r="H190" s="8">
        <f>IFERROR(IF(ISNUMBER(B190),MAX(B190,IFERROR(H189,B190)),""),"")</f>
        <v/>
      </c>
      <c r="I190" s="29">
        <f>IFERROR(IF(AND(ISNUMBER(B190),ISNUMBER(H190)),B190/H190-1,""),"")</f>
        <v/>
      </c>
      <c r="J190" s="8">
        <f>IFERROR(IF(ISNUMBER(C190),MAX(C190,IFERROR(J189,C190)),""),"")</f>
        <v/>
      </c>
      <c r="K190" s="29">
        <f>IFERROR(IF(AND(ISNUMBER(C190),ISNUMBER(J190)),C190/J190-1,""),"")</f>
        <v/>
      </c>
      <c r="L190" s="28">
        <f>IFERROR(IF(AND(ISNUMBER(D190),ISNUMBER(E190)),D190-E190,""),"")</f>
        <v/>
      </c>
    </row>
    <row r="191">
      <c r="A191" s="7">
        <f>IFERROR(Datos!A191,"")</f>
        <v/>
      </c>
      <c r="B191" s="8">
        <f>IFERROR(Datos!B191,"")</f>
        <v/>
      </c>
      <c r="C191" s="8">
        <f>IFERROR(Datos!C191,"")</f>
        <v/>
      </c>
      <c r="D191" s="28">
        <f>IFERROR(IF(AND(ISNUMBER(B191),ISNUMBER(B190),B190&lt;&gt;0),B191/B190-1,""),"")</f>
        <v/>
      </c>
      <c r="E191" s="28">
        <f>IFERROR(IF(AND(ISNUMBER(C191),ISNUMBER(C190),C190&lt;&gt;0),C191/C190-1,""),"")</f>
        <v/>
      </c>
      <c r="F191" s="28">
        <f>IFERROR(D191-Dashboard!$B$4/252,"")</f>
        <v/>
      </c>
      <c r="G191" s="28">
        <f>IFERROR(E191-Dashboard!$B$4/252,"")</f>
        <v/>
      </c>
      <c r="H191" s="8">
        <f>IFERROR(IF(ISNUMBER(B191),MAX(B191,IFERROR(H190,B191)),""),"")</f>
        <v/>
      </c>
      <c r="I191" s="29">
        <f>IFERROR(IF(AND(ISNUMBER(B191),ISNUMBER(H191)),B191/H191-1,""),"")</f>
        <v/>
      </c>
      <c r="J191" s="8">
        <f>IFERROR(IF(ISNUMBER(C191),MAX(C191,IFERROR(J190,C191)),""),"")</f>
        <v/>
      </c>
      <c r="K191" s="29">
        <f>IFERROR(IF(AND(ISNUMBER(C191),ISNUMBER(J191)),C191/J191-1,""),"")</f>
        <v/>
      </c>
      <c r="L191" s="28">
        <f>IFERROR(IF(AND(ISNUMBER(D191),ISNUMBER(E191)),D191-E191,""),"")</f>
        <v/>
      </c>
    </row>
    <row r="192">
      <c r="A192" s="7">
        <f>IFERROR(Datos!A192,"")</f>
        <v/>
      </c>
      <c r="B192" s="8">
        <f>IFERROR(Datos!B192,"")</f>
        <v/>
      </c>
      <c r="C192" s="8">
        <f>IFERROR(Datos!C192,"")</f>
        <v/>
      </c>
      <c r="D192" s="28">
        <f>IFERROR(IF(AND(ISNUMBER(B192),ISNUMBER(B191),B191&lt;&gt;0),B192/B191-1,""),"")</f>
        <v/>
      </c>
      <c r="E192" s="28">
        <f>IFERROR(IF(AND(ISNUMBER(C192),ISNUMBER(C191),C191&lt;&gt;0),C192/C191-1,""),"")</f>
        <v/>
      </c>
      <c r="F192" s="28">
        <f>IFERROR(D192-Dashboard!$B$4/252,"")</f>
        <v/>
      </c>
      <c r="G192" s="28">
        <f>IFERROR(E192-Dashboard!$B$4/252,"")</f>
        <v/>
      </c>
      <c r="H192" s="8">
        <f>IFERROR(IF(ISNUMBER(B192),MAX(B192,IFERROR(H191,B192)),""),"")</f>
        <v/>
      </c>
      <c r="I192" s="29">
        <f>IFERROR(IF(AND(ISNUMBER(B192),ISNUMBER(H192)),B192/H192-1,""),"")</f>
        <v/>
      </c>
      <c r="J192" s="8">
        <f>IFERROR(IF(ISNUMBER(C192),MAX(C192,IFERROR(J191,C192)),""),"")</f>
        <v/>
      </c>
      <c r="K192" s="29">
        <f>IFERROR(IF(AND(ISNUMBER(C192),ISNUMBER(J192)),C192/J192-1,""),"")</f>
        <v/>
      </c>
      <c r="L192" s="28">
        <f>IFERROR(IF(AND(ISNUMBER(D192),ISNUMBER(E192)),D192-E192,""),"")</f>
        <v/>
      </c>
    </row>
    <row r="193">
      <c r="A193" s="7">
        <f>IFERROR(Datos!A193,"")</f>
        <v/>
      </c>
      <c r="B193" s="8">
        <f>IFERROR(Datos!B193,"")</f>
        <v/>
      </c>
      <c r="C193" s="8">
        <f>IFERROR(Datos!C193,"")</f>
        <v/>
      </c>
      <c r="D193" s="28">
        <f>IFERROR(IF(AND(ISNUMBER(B193),ISNUMBER(B192),B192&lt;&gt;0),B193/B192-1,""),"")</f>
        <v/>
      </c>
      <c r="E193" s="28">
        <f>IFERROR(IF(AND(ISNUMBER(C193),ISNUMBER(C192),C192&lt;&gt;0),C193/C192-1,""),"")</f>
        <v/>
      </c>
      <c r="F193" s="28">
        <f>IFERROR(D193-Dashboard!$B$4/252,"")</f>
        <v/>
      </c>
      <c r="G193" s="28">
        <f>IFERROR(E193-Dashboard!$B$4/252,"")</f>
        <v/>
      </c>
      <c r="H193" s="8">
        <f>IFERROR(IF(ISNUMBER(B193),MAX(B193,IFERROR(H192,B193)),""),"")</f>
        <v/>
      </c>
      <c r="I193" s="29">
        <f>IFERROR(IF(AND(ISNUMBER(B193),ISNUMBER(H193)),B193/H193-1,""),"")</f>
        <v/>
      </c>
      <c r="J193" s="8">
        <f>IFERROR(IF(ISNUMBER(C193),MAX(C193,IFERROR(J192,C193)),""),"")</f>
        <v/>
      </c>
      <c r="K193" s="29">
        <f>IFERROR(IF(AND(ISNUMBER(C193),ISNUMBER(J193)),C193/J193-1,""),"")</f>
        <v/>
      </c>
      <c r="L193" s="28">
        <f>IFERROR(IF(AND(ISNUMBER(D193),ISNUMBER(E193)),D193-E193,""),"")</f>
        <v/>
      </c>
    </row>
    <row r="194">
      <c r="A194" s="7">
        <f>IFERROR(Datos!A194,"")</f>
        <v/>
      </c>
      <c r="B194" s="8">
        <f>IFERROR(Datos!B194,"")</f>
        <v/>
      </c>
      <c r="C194" s="8">
        <f>IFERROR(Datos!C194,"")</f>
        <v/>
      </c>
      <c r="D194" s="28">
        <f>IFERROR(IF(AND(ISNUMBER(B194),ISNUMBER(B193),B193&lt;&gt;0),B194/B193-1,""),"")</f>
        <v/>
      </c>
      <c r="E194" s="28">
        <f>IFERROR(IF(AND(ISNUMBER(C194),ISNUMBER(C193),C193&lt;&gt;0),C194/C193-1,""),"")</f>
        <v/>
      </c>
      <c r="F194" s="28">
        <f>IFERROR(D194-Dashboard!$B$4/252,"")</f>
        <v/>
      </c>
      <c r="G194" s="28">
        <f>IFERROR(E194-Dashboard!$B$4/252,"")</f>
        <v/>
      </c>
      <c r="H194" s="8">
        <f>IFERROR(IF(ISNUMBER(B194),MAX(B194,IFERROR(H193,B194)),""),"")</f>
        <v/>
      </c>
      <c r="I194" s="29">
        <f>IFERROR(IF(AND(ISNUMBER(B194),ISNUMBER(H194)),B194/H194-1,""),"")</f>
        <v/>
      </c>
      <c r="J194" s="8">
        <f>IFERROR(IF(ISNUMBER(C194),MAX(C194,IFERROR(J193,C194)),""),"")</f>
        <v/>
      </c>
      <c r="K194" s="29">
        <f>IFERROR(IF(AND(ISNUMBER(C194),ISNUMBER(J194)),C194/J194-1,""),"")</f>
        <v/>
      </c>
      <c r="L194" s="28">
        <f>IFERROR(IF(AND(ISNUMBER(D194),ISNUMBER(E194)),D194-E194,""),"")</f>
        <v/>
      </c>
    </row>
    <row r="195">
      <c r="A195" s="7">
        <f>IFERROR(Datos!A195,"")</f>
        <v/>
      </c>
      <c r="B195" s="8">
        <f>IFERROR(Datos!B195,"")</f>
        <v/>
      </c>
      <c r="C195" s="8">
        <f>IFERROR(Datos!C195,"")</f>
        <v/>
      </c>
      <c r="D195" s="28">
        <f>IFERROR(IF(AND(ISNUMBER(B195),ISNUMBER(B194),B194&lt;&gt;0),B195/B194-1,""),"")</f>
        <v/>
      </c>
      <c r="E195" s="28">
        <f>IFERROR(IF(AND(ISNUMBER(C195),ISNUMBER(C194),C194&lt;&gt;0),C195/C194-1,""),"")</f>
        <v/>
      </c>
      <c r="F195" s="28">
        <f>IFERROR(D195-Dashboard!$B$4/252,"")</f>
        <v/>
      </c>
      <c r="G195" s="28">
        <f>IFERROR(E195-Dashboard!$B$4/252,"")</f>
        <v/>
      </c>
      <c r="H195" s="8">
        <f>IFERROR(IF(ISNUMBER(B195),MAX(B195,IFERROR(H194,B195)),""),"")</f>
        <v/>
      </c>
      <c r="I195" s="29">
        <f>IFERROR(IF(AND(ISNUMBER(B195),ISNUMBER(H195)),B195/H195-1,""),"")</f>
        <v/>
      </c>
      <c r="J195" s="8">
        <f>IFERROR(IF(ISNUMBER(C195),MAX(C195,IFERROR(J194,C195)),""),"")</f>
        <v/>
      </c>
      <c r="K195" s="29">
        <f>IFERROR(IF(AND(ISNUMBER(C195),ISNUMBER(J195)),C195/J195-1,""),"")</f>
        <v/>
      </c>
      <c r="L195" s="28">
        <f>IFERROR(IF(AND(ISNUMBER(D195),ISNUMBER(E195)),D195-E195,""),"")</f>
        <v/>
      </c>
    </row>
    <row r="196">
      <c r="A196" s="7">
        <f>IFERROR(Datos!A196,"")</f>
        <v/>
      </c>
      <c r="B196" s="8">
        <f>IFERROR(Datos!B196,"")</f>
        <v/>
      </c>
      <c r="C196" s="8">
        <f>IFERROR(Datos!C196,"")</f>
        <v/>
      </c>
      <c r="D196" s="28">
        <f>IFERROR(IF(AND(ISNUMBER(B196),ISNUMBER(B195),B195&lt;&gt;0),B196/B195-1,""),"")</f>
        <v/>
      </c>
      <c r="E196" s="28">
        <f>IFERROR(IF(AND(ISNUMBER(C196),ISNUMBER(C195),C195&lt;&gt;0),C196/C195-1,""),"")</f>
        <v/>
      </c>
      <c r="F196" s="28">
        <f>IFERROR(D196-Dashboard!$B$4/252,"")</f>
        <v/>
      </c>
      <c r="G196" s="28">
        <f>IFERROR(E196-Dashboard!$B$4/252,"")</f>
        <v/>
      </c>
      <c r="H196" s="8">
        <f>IFERROR(IF(ISNUMBER(B196),MAX(B196,IFERROR(H195,B196)),""),"")</f>
        <v/>
      </c>
      <c r="I196" s="29">
        <f>IFERROR(IF(AND(ISNUMBER(B196),ISNUMBER(H196)),B196/H196-1,""),"")</f>
        <v/>
      </c>
      <c r="J196" s="8">
        <f>IFERROR(IF(ISNUMBER(C196),MAX(C196,IFERROR(J195,C196)),""),"")</f>
        <v/>
      </c>
      <c r="K196" s="29">
        <f>IFERROR(IF(AND(ISNUMBER(C196),ISNUMBER(J196)),C196/J196-1,""),"")</f>
        <v/>
      </c>
      <c r="L196" s="28">
        <f>IFERROR(IF(AND(ISNUMBER(D196),ISNUMBER(E196)),D196-E196,""),"")</f>
        <v/>
      </c>
    </row>
    <row r="197">
      <c r="A197" s="7">
        <f>IFERROR(Datos!A197,"")</f>
        <v/>
      </c>
      <c r="B197" s="8">
        <f>IFERROR(Datos!B197,"")</f>
        <v/>
      </c>
      <c r="C197" s="8">
        <f>IFERROR(Datos!C197,"")</f>
        <v/>
      </c>
      <c r="D197" s="28">
        <f>IFERROR(IF(AND(ISNUMBER(B197),ISNUMBER(B196),B196&lt;&gt;0),B197/B196-1,""),"")</f>
        <v/>
      </c>
      <c r="E197" s="28">
        <f>IFERROR(IF(AND(ISNUMBER(C197),ISNUMBER(C196),C196&lt;&gt;0),C197/C196-1,""),"")</f>
        <v/>
      </c>
      <c r="F197" s="28">
        <f>IFERROR(D197-Dashboard!$B$4/252,"")</f>
        <v/>
      </c>
      <c r="G197" s="28">
        <f>IFERROR(E197-Dashboard!$B$4/252,"")</f>
        <v/>
      </c>
      <c r="H197" s="8">
        <f>IFERROR(IF(ISNUMBER(B197),MAX(B197,IFERROR(H196,B197)),""),"")</f>
        <v/>
      </c>
      <c r="I197" s="29">
        <f>IFERROR(IF(AND(ISNUMBER(B197),ISNUMBER(H197)),B197/H197-1,""),"")</f>
        <v/>
      </c>
      <c r="J197" s="8">
        <f>IFERROR(IF(ISNUMBER(C197),MAX(C197,IFERROR(J196,C197)),""),"")</f>
        <v/>
      </c>
      <c r="K197" s="29">
        <f>IFERROR(IF(AND(ISNUMBER(C197),ISNUMBER(J197)),C197/J197-1,""),"")</f>
        <v/>
      </c>
      <c r="L197" s="28">
        <f>IFERROR(IF(AND(ISNUMBER(D197),ISNUMBER(E197)),D197-E197,""),"")</f>
        <v/>
      </c>
    </row>
    <row r="198">
      <c r="A198" s="7">
        <f>IFERROR(Datos!A198,"")</f>
        <v/>
      </c>
      <c r="B198" s="8">
        <f>IFERROR(Datos!B198,"")</f>
        <v/>
      </c>
      <c r="C198" s="8">
        <f>IFERROR(Datos!C198,"")</f>
        <v/>
      </c>
      <c r="D198" s="28">
        <f>IFERROR(IF(AND(ISNUMBER(B198),ISNUMBER(B197),B197&lt;&gt;0),B198/B197-1,""),"")</f>
        <v/>
      </c>
      <c r="E198" s="28">
        <f>IFERROR(IF(AND(ISNUMBER(C198),ISNUMBER(C197),C197&lt;&gt;0),C198/C197-1,""),"")</f>
        <v/>
      </c>
      <c r="F198" s="28">
        <f>IFERROR(D198-Dashboard!$B$4/252,"")</f>
        <v/>
      </c>
      <c r="G198" s="28">
        <f>IFERROR(E198-Dashboard!$B$4/252,"")</f>
        <v/>
      </c>
      <c r="H198" s="8">
        <f>IFERROR(IF(ISNUMBER(B198),MAX(B198,IFERROR(H197,B198)),""),"")</f>
        <v/>
      </c>
      <c r="I198" s="29">
        <f>IFERROR(IF(AND(ISNUMBER(B198),ISNUMBER(H198)),B198/H198-1,""),"")</f>
        <v/>
      </c>
      <c r="J198" s="8">
        <f>IFERROR(IF(ISNUMBER(C198),MAX(C198,IFERROR(J197,C198)),""),"")</f>
        <v/>
      </c>
      <c r="K198" s="29">
        <f>IFERROR(IF(AND(ISNUMBER(C198),ISNUMBER(J198)),C198/J198-1,""),"")</f>
        <v/>
      </c>
      <c r="L198" s="28">
        <f>IFERROR(IF(AND(ISNUMBER(D198),ISNUMBER(E198)),D198-E198,""),"")</f>
        <v/>
      </c>
    </row>
    <row r="199">
      <c r="A199" s="7">
        <f>IFERROR(Datos!A199,"")</f>
        <v/>
      </c>
      <c r="B199" s="8">
        <f>IFERROR(Datos!B199,"")</f>
        <v/>
      </c>
      <c r="C199" s="8">
        <f>IFERROR(Datos!C199,"")</f>
        <v/>
      </c>
      <c r="D199" s="28">
        <f>IFERROR(IF(AND(ISNUMBER(B199),ISNUMBER(B198),B198&lt;&gt;0),B199/B198-1,""),"")</f>
        <v/>
      </c>
      <c r="E199" s="28">
        <f>IFERROR(IF(AND(ISNUMBER(C199),ISNUMBER(C198),C198&lt;&gt;0),C199/C198-1,""),"")</f>
        <v/>
      </c>
      <c r="F199" s="28">
        <f>IFERROR(D199-Dashboard!$B$4/252,"")</f>
        <v/>
      </c>
      <c r="G199" s="28">
        <f>IFERROR(E199-Dashboard!$B$4/252,"")</f>
        <v/>
      </c>
      <c r="H199" s="8">
        <f>IFERROR(IF(ISNUMBER(B199),MAX(B199,IFERROR(H198,B199)),""),"")</f>
        <v/>
      </c>
      <c r="I199" s="29">
        <f>IFERROR(IF(AND(ISNUMBER(B199),ISNUMBER(H199)),B199/H199-1,""),"")</f>
        <v/>
      </c>
      <c r="J199" s="8">
        <f>IFERROR(IF(ISNUMBER(C199),MAX(C199,IFERROR(J198,C199)),""),"")</f>
        <v/>
      </c>
      <c r="K199" s="29">
        <f>IFERROR(IF(AND(ISNUMBER(C199),ISNUMBER(J199)),C199/J199-1,""),"")</f>
        <v/>
      </c>
      <c r="L199" s="28">
        <f>IFERROR(IF(AND(ISNUMBER(D199),ISNUMBER(E199)),D199-E199,""),"")</f>
        <v/>
      </c>
    </row>
    <row r="200">
      <c r="A200" s="7">
        <f>IFERROR(Datos!A200,"")</f>
        <v/>
      </c>
      <c r="B200" s="8">
        <f>IFERROR(Datos!B200,"")</f>
        <v/>
      </c>
      <c r="C200" s="8">
        <f>IFERROR(Datos!C200,"")</f>
        <v/>
      </c>
      <c r="D200" s="28">
        <f>IFERROR(IF(AND(ISNUMBER(B200),ISNUMBER(B199),B199&lt;&gt;0),B200/B199-1,""),"")</f>
        <v/>
      </c>
      <c r="E200" s="28">
        <f>IFERROR(IF(AND(ISNUMBER(C200),ISNUMBER(C199),C199&lt;&gt;0),C200/C199-1,""),"")</f>
        <v/>
      </c>
      <c r="F200" s="28">
        <f>IFERROR(D200-Dashboard!$B$4/252,"")</f>
        <v/>
      </c>
      <c r="G200" s="28">
        <f>IFERROR(E200-Dashboard!$B$4/252,"")</f>
        <v/>
      </c>
      <c r="H200" s="8">
        <f>IFERROR(IF(ISNUMBER(B200),MAX(B200,IFERROR(H199,B200)),""),"")</f>
        <v/>
      </c>
      <c r="I200" s="29">
        <f>IFERROR(IF(AND(ISNUMBER(B200),ISNUMBER(H200)),B200/H200-1,""),"")</f>
        <v/>
      </c>
      <c r="J200" s="8">
        <f>IFERROR(IF(ISNUMBER(C200),MAX(C200,IFERROR(J199,C200)),""),"")</f>
        <v/>
      </c>
      <c r="K200" s="29">
        <f>IFERROR(IF(AND(ISNUMBER(C200),ISNUMBER(J200)),C200/J200-1,""),"")</f>
        <v/>
      </c>
      <c r="L200" s="28">
        <f>IFERROR(IF(AND(ISNUMBER(D200),ISNUMBER(E200)),D200-E200,""),"")</f>
        <v/>
      </c>
    </row>
    <row r="201">
      <c r="A201" s="7">
        <f>IFERROR(Datos!A201,"")</f>
        <v/>
      </c>
      <c r="B201" s="8">
        <f>IFERROR(Datos!B201,"")</f>
        <v/>
      </c>
      <c r="C201" s="8">
        <f>IFERROR(Datos!C201,"")</f>
        <v/>
      </c>
      <c r="D201" s="28">
        <f>IFERROR(IF(AND(ISNUMBER(B201),ISNUMBER(B200),B200&lt;&gt;0),B201/B200-1,""),"")</f>
        <v/>
      </c>
      <c r="E201" s="28">
        <f>IFERROR(IF(AND(ISNUMBER(C201),ISNUMBER(C200),C200&lt;&gt;0),C201/C200-1,""),"")</f>
        <v/>
      </c>
      <c r="F201" s="28">
        <f>IFERROR(D201-Dashboard!$B$4/252,"")</f>
        <v/>
      </c>
      <c r="G201" s="28">
        <f>IFERROR(E201-Dashboard!$B$4/252,"")</f>
        <v/>
      </c>
      <c r="H201" s="8">
        <f>IFERROR(IF(ISNUMBER(B201),MAX(B201,IFERROR(H200,B201)),""),"")</f>
        <v/>
      </c>
      <c r="I201" s="29">
        <f>IFERROR(IF(AND(ISNUMBER(B201),ISNUMBER(H201)),B201/H201-1,""),"")</f>
        <v/>
      </c>
      <c r="J201" s="8">
        <f>IFERROR(IF(ISNUMBER(C201),MAX(C201,IFERROR(J200,C201)),""),"")</f>
        <v/>
      </c>
      <c r="K201" s="29">
        <f>IFERROR(IF(AND(ISNUMBER(C201),ISNUMBER(J201)),C201/J201-1,""),"")</f>
        <v/>
      </c>
      <c r="L201" s="28">
        <f>IFERROR(IF(AND(ISNUMBER(D201),ISNUMBER(E201)),D201-E201,""),"")</f>
        <v/>
      </c>
    </row>
    <row r="202">
      <c r="A202" s="7">
        <f>IFERROR(Datos!A202,"")</f>
        <v/>
      </c>
      <c r="B202" s="8">
        <f>IFERROR(Datos!B202,"")</f>
        <v/>
      </c>
      <c r="C202" s="8">
        <f>IFERROR(Datos!C202,"")</f>
        <v/>
      </c>
      <c r="D202" s="28">
        <f>IFERROR(IF(AND(ISNUMBER(B202),ISNUMBER(B201),B201&lt;&gt;0),B202/B201-1,""),"")</f>
        <v/>
      </c>
      <c r="E202" s="28">
        <f>IFERROR(IF(AND(ISNUMBER(C202),ISNUMBER(C201),C201&lt;&gt;0),C202/C201-1,""),"")</f>
        <v/>
      </c>
      <c r="F202" s="28">
        <f>IFERROR(D202-Dashboard!$B$4/252,"")</f>
        <v/>
      </c>
      <c r="G202" s="28">
        <f>IFERROR(E202-Dashboard!$B$4/252,"")</f>
        <v/>
      </c>
      <c r="H202" s="8">
        <f>IFERROR(IF(ISNUMBER(B202),MAX(B202,IFERROR(H201,B202)),""),"")</f>
        <v/>
      </c>
      <c r="I202" s="29">
        <f>IFERROR(IF(AND(ISNUMBER(B202),ISNUMBER(H202)),B202/H202-1,""),"")</f>
        <v/>
      </c>
      <c r="J202" s="8">
        <f>IFERROR(IF(ISNUMBER(C202),MAX(C202,IFERROR(J201,C202)),""),"")</f>
        <v/>
      </c>
      <c r="K202" s="29">
        <f>IFERROR(IF(AND(ISNUMBER(C202),ISNUMBER(J202)),C202/J202-1,""),"")</f>
        <v/>
      </c>
      <c r="L202" s="28">
        <f>IFERROR(IF(AND(ISNUMBER(D202),ISNUMBER(E202)),D202-E202,""),"")</f>
        <v/>
      </c>
    </row>
    <row r="203">
      <c r="A203" s="7">
        <f>IFERROR(Datos!A203,"")</f>
        <v/>
      </c>
      <c r="B203" s="8">
        <f>IFERROR(Datos!B203,"")</f>
        <v/>
      </c>
      <c r="C203" s="8">
        <f>IFERROR(Datos!C203,"")</f>
        <v/>
      </c>
      <c r="D203" s="28">
        <f>IFERROR(IF(AND(ISNUMBER(B203),ISNUMBER(B202),B202&lt;&gt;0),B203/B202-1,""),"")</f>
        <v/>
      </c>
      <c r="E203" s="28">
        <f>IFERROR(IF(AND(ISNUMBER(C203),ISNUMBER(C202),C202&lt;&gt;0),C203/C202-1,""),"")</f>
        <v/>
      </c>
      <c r="F203" s="28">
        <f>IFERROR(D203-Dashboard!$B$4/252,"")</f>
        <v/>
      </c>
      <c r="G203" s="28">
        <f>IFERROR(E203-Dashboard!$B$4/252,"")</f>
        <v/>
      </c>
      <c r="H203" s="8">
        <f>IFERROR(IF(ISNUMBER(B203),MAX(B203,IFERROR(H202,B203)),""),"")</f>
        <v/>
      </c>
      <c r="I203" s="29">
        <f>IFERROR(IF(AND(ISNUMBER(B203),ISNUMBER(H203)),B203/H203-1,""),"")</f>
        <v/>
      </c>
      <c r="J203" s="8">
        <f>IFERROR(IF(ISNUMBER(C203),MAX(C203,IFERROR(J202,C203)),""),"")</f>
        <v/>
      </c>
      <c r="K203" s="29">
        <f>IFERROR(IF(AND(ISNUMBER(C203),ISNUMBER(J203)),C203/J203-1,""),"")</f>
        <v/>
      </c>
      <c r="L203" s="28">
        <f>IFERROR(IF(AND(ISNUMBER(D203),ISNUMBER(E203)),D203-E203,""),"")</f>
        <v/>
      </c>
    </row>
    <row r="204">
      <c r="A204" s="7">
        <f>IFERROR(Datos!A204,"")</f>
        <v/>
      </c>
      <c r="B204" s="8">
        <f>IFERROR(Datos!B204,"")</f>
        <v/>
      </c>
      <c r="C204" s="8">
        <f>IFERROR(Datos!C204,"")</f>
        <v/>
      </c>
      <c r="D204" s="28">
        <f>IFERROR(IF(AND(ISNUMBER(B204),ISNUMBER(B203),B203&lt;&gt;0),B204/B203-1,""),"")</f>
        <v/>
      </c>
      <c r="E204" s="28">
        <f>IFERROR(IF(AND(ISNUMBER(C204),ISNUMBER(C203),C203&lt;&gt;0),C204/C203-1,""),"")</f>
        <v/>
      </c>
      <c r="F204" s="28">
        <f>IFERROR(D204-Dashboard!$B$4/252,"")</f>
        <v/>
      </c>
      <c r="G204" s="28">
        <f>IFERROR(E204-Dashboard!$B$4/252,"")</f>
        <v/>
      </c>
      <c r="H204" s="8">
        <f>IFERROR(IF(ISNUMBER(B204),MAX(B204,IFERROR(H203,B204)),""),"")</f>
        <v/>
      </c>
      <c r="I204" s="29">
        <f>IFERROR(IF(AND(ISNUMBER(B204),ISNUMBER(H204)),B204/H204-1,""),"")</f>
        <v/>
      </c>
      <c r="J204" s="8">
        <f>IFERROR(IF(ISNUMBER(C204),MAX(C204,IFERROR(J203,C204)),""),"")</f>
        <v/>
      </c>
      <c r="K204" s="29">
        <f>IFERROR(IF(AND(ISNUMBER(C204),ISNUMBER(J204)),C204/J204-1,""),"")</f>
        <v/>
      </c>
      <c r="L204" s="28">
        <f>IFERROR(IF(AND(ISNUMBER(D204),ISNUMBER(E204)),D204-E204,""),"")</f>
        <v/>
      </c>
    </row>
    <row r="205">
      <c r="A205" s="7">
        <f>IFERROR(Datos!A205,"")</f>
        <v/>
      </c>
      <c r="B205" s="8">
        <f>IFERROR(Datos!B205,"")</f>
        <v/>
      </c>
      <c r="C205" s="8">
        <f>IFERROR(Datos!C205,"")</f>
        <v/>
      </c>
      <c r="D205" s="28">
        <f>IFERROR(IF(AND(ISNUMBER(B205),ISNUMBER(B204),B204&lt;&gt;0),B205/B204-1,""),"")</f>
        <v/>
      </c>
      <c r="E205" s="28">
        <f>IFERROR(IF(AND(ISNUMBER(C205),ISNUMBER(C204),C204&lt;&gt;0),C205/C204-1,""),"")</f>
        <v/>
      </c>
      <c r="F205" s="28">
        <f>IFERROR(D205-Dashboard!$B$4/252,"")</f>
        <v/>
      </c>
      <c r="G205" s="28">
        <f>IFERROR(E205-Dashboard!$B$4/252,"")</f>
        <v/>
      </c>
      <c r="H205" s="8">
        <f>IFERROR(IF(ISNUMBER(B205),MAX(B205,IFERROR(H204,B205)),""),"")</f>
        <v/>
      </c>
      <c r="I205" s="29">
        <f>IFERROR(IF(AND(ISNUMBER(B205),ISNUMBER(H205)),B205/H205-1,""),"")</f>
        <v/>
      </c>
      <c r="J205" s="8">
        <f>IFERROR(IF(ISNUMBER(C205),MAX(C205,IFERROR(J204,C205)),""),"")</f>
        <v/>
      </c>
      <c r="K205" s="29">
        <f>IFERROR(IF(AND(ISNUMBER(C205),ISNUMBER(J205)),C205/J205-1,""),"")</f>
        <v/>
      </c>
      <c r="L205" s="28">
        <f>IFERROR(IF(AND(ISNUMBER(D205),ISNUMBER(E205)),D205-E205,""),"")</f>
        <v/>
      </c>
    </row>
    <row r="206">
      <c r="A206" s="7">
        <f>IFERROR(Datos!A206,"")</f>
        <v/>
      </c>
      <c r="B206" s="8">
        <f>IFERROR(Datos!B206,"")</f>
        <v/>
      </c>
      <c r="C206" s="8">
        <f>IFERROR(Datos!C206,"")</f>
        <v/>
      </c>
      <c r="D206" s="28">
        <f>IFERROR(IF(AND(ISNUMBER(B206),ISNUMBER(B205),B205&lt;&gt;0),B206/B205-1,""),"")</f>
        <v/>
      </c>
      <c r="E206" s="28">
        <f>IFERROR(IF(AND(ISNUMBER(C206),ISNUMBER(C205),C205&lt;&gt;0),C206/C205-1,""),"")</f>
        <v/>
      </c>
      <c r="F206" s="28">
        <f>IFERROR(D206-Dashboard!$B$4/252,"")</f>
        <v/>
      </c>
      <c r="G206" s="28">
        <f>IFERROR(E206-Dashboard!$B$4/252,"")</f>
        <v/>
      </c>
      <c r="H206" s="8">
        <f>IFERROR(IF(ISNUMBER(B206),MAX(B206,IFERROR(H205,B206)),""),"")</f>
        <v/>
      </c>
      <c r="I206" s="29">
        <f>IFERROR(IF(AND(ISNUMBER(B206),ISNUMBER(H206)),B206/H206-1,""),"")</f>
        <v/>
      </c>
      <c r="J206" s="8">
        <f>IFERROR(IF(ISNUMBER(C206),MAX(C206,IFERROR(J205,C206)),""),"")</f>
        <v/>
      </c>
      <c r="K206" s="29">
        <f>IFERROR(IF(AND(ISNUMBER(C206),ISNUMBER(J206)),C206/J206-1,""),"")</f>
        <v/>
      </c>
      <c r="L206" s="28">
        <f>IFERROR(IF(AND(ISNUMBER(D206),ISNUMBER(E206)),D206-E206,""),"")</f>
        <v/>
      </c>
    </row>
    <row r="207">
      <c r="A207" s="7">
        <f>IFERROR(Datos!A207,"")</f>
        <v/>
      </c>
      <c r="B207" s="8">
        <f>IFERROR(Datos!B207,"")</f>
        <v/>
      </c>
      <c r="C207" s="8">
        <f>IFERROR(Datos!C207,"")</f>
        <v/>
      </c>
      <c r="D207" s="28">
        <f>IFERROR(IF(AND(ISNUMBER(B207),ISNUMBER(B206),B206&lt;&gt;0),B207/B206-1,""),"")</f>
        <v/>
      </c>
      <c r="E207" s="28">
        <f>IFERROR(IF(AND(ISNUMBER(C207),ISNUMBER(C206),C206&lt;&gt;0),C207/C206-1,""),"")</f>
        <v/>
      </c>
      <c r="F207" s="28">
        <f>IFERROR(D207-Dashboard!$B$4/252,"")</f>
        <v/>
      </c>
      <c r="G207" s="28">
        <f>IFERROR(E207-Dashboard!$B$4/252,"")</f>
        <v/>
      </c>
      <c r="H207" s="8">
        <f>IFERROR(IF(ISNUMBER(B207),MAX(B207,IFERROR(H206,B207)),""),"")</f>
        <v/>
      </c>
      <c r="I207" s="29">
        <f>IFERROR(IF(AND(ISNUMBER(B207),ISNUMBER(H207)),B207/H207-1,""),"")</f>
        <v/>
      </c>
      <c r="J207" s="8">
        <f>IFERROR(IF(ISNUMBER(C207),MAX(C207,IFERROR(J206,C207)),""),"")</f>
        <v/>
      </c>
      <c r="K207" s="29">
        <f>IFERROR(IF(AND(ISNUMBER(C207),ISNUMBER(J207)),C207/J207-1,""),"")</f>
        <v/>
      </c>
      <c r="L207" s="28">
        <f>IFERROR(IF(AND(ISNUMBER(D207),ISNUMBER(E207)),D207-E207,""),"")</f>
        <v/>
      </c>
    </row>
    <row r="208">
      <c r="A208" s="7">
        <f>IFERROR(Datos!A208,"")</f>
        <v/>
      </c>
      <c r="B208" s="8">
        <f>IFERROR(Datos!B208,"")</f>
        <v/>
      </c>
      <c r="C208" s="8">
        <f>IFERROR(Datos!C208,"")</f>
        <v/>
      </c>
      <c r="D208" s="28">
        <f>IFERROR(IF(AND(ISNUMBER(B208),ISNUMBER(B207),B207&lt;&gt;0),B208/B207-1,""),"")</f>
        <v/>
      </c>
      <c r="E208" s="28">
        <f>IFERROR(IF(AND(ISNUMBER(C208),ISNUMBER(C207),C207&lt;&gt;0),C208/C207-1,""),"")</f>
        <v/>
      </c>
      <c r="F208" s="28">
        <f>IFERROR(D208-Dashboard!$B$4/252,"")</f>
        <v/>
      </c>
      <c r="G208" s="28">
        <f>IFERROR(E208-Dashboard!$B$4/252,"")</f>
        <v/>
      </c>
      <c r="H208" s="8">
        <f>IFERROR(IF(ISNUMBER(B208),MAX(B208,IFERROR(H207,B208)),""),"")</f>
        <v/>
      </c>
      <c r="I208" s="29">
        <f>IFERROR(IF(AND(ISNUMBER(B208),ISNUMBER(H208)),B208/H208-1,""),"")</f>
        <v/>
      </c>
      <c r="J208" s="8">
        <f>IFERROR(IF(ISNUMBER(C208),MAX(C208,IFERROR(J207,C208)),""),"")</f>
        <v/>
      </c>
      <c r="K208" s="29">
        <f>IFERROR(IF(AND(ISNUMBER(C208),ISNUMBER(J208)),C208/J208-1,""),"")</f>
        <v/>
      </c>
      <c r="L208" s="28">
        <f>IFERROR(IF(AND(ISNUMBER(D208),ISNUMBER(E208)),D208-E208,""),"")</f>
        <v/>
      </c>
    </row>
    <row r="209">
      <c r="A209" s="7">
        <f>IFERROR(Datos!A209,"")</f>
        <v/>
      </c>
      <c r="B209" s="8">
        <f>IFERROR(Datos!B209,"")</f>
        <v/>
      </c>
      <c r="C209" s="8">
        <f>IFERROR(Datos!C209,"")</f>
        <v/>
      </c>
      <c r="D209" s="28">
        <f>IFERROR(IF(AND(ISNUMBER(B209),ISNUMBER(B208),B208&lt;&gt;0),B209/B208-1,""),"")</f>
        <v/>
      </c>
      <c r="E209" s="28">
        <f>IFERROR(IF(AND(ISNUMBER(C209),ISNUMBER(C208),C208&lt;&gt;0),C209/C208-1,""),"")</f>
        <v/>
      </c>
      <c r="F209" s="28">
        <f>IFERROR(D209-Dashboard!$B$4/252,"")</f>
        <v/>
      </c>
      <c r="G209" s="28">
        <f>IFERROR(E209-Dashboard!$B$4/252,"")</f>
        <v/>
      </c>
      <c r="H209" s="8">
        <f>IFERROR(IF(ISNUMBER(B209),MAX(B209,IFERROR(H208,B209)),""),"")</f>
        <v/>
      </c>
      <c r="I209" s="29">
        <f>IFERROR(IF(AND(ISNUMBER(B209),ISNUMBER(H209)),B209/H209-1,""),"")</f>
        <v/>
      </c>
      <c r="J209" s="8">
        <f>IFERROR(IF(ISNUMBER(C209),MAX(C209,IFERROR(J208,C209)),""),"")</f>
        <v/>
      </c>
      <c r="K209" s="29">
        <f>IFERROR(IF(AND(ISNUMBER(C209),ISNUMBER(J209)),C209/J209-1,""),"")</f>
        <v/>
      </c>
      <c r="L209" s="28">
        <f>IFERROR(IF(AND(ISNUMBER(D209),ISNUMBER(E209)),D209-E209,""),"")</f>
        <v/>
      </c>
    </row>
    <row r="210">
      <c r="A210" s="7">
        <f>IFERROR(Datos!A210,"")</f>
        <v/>
      </c>
      <c r="B210" s="8">
        <f>IFERROR(Datos!B210,"")</f>
        <v/>
      </c>
      <c r="C210" s="8">
        <f>IFERROR(Datos!C210,"")</f>
        <v/>
      </c>
      <c r="D210" s="28">
        <f>IFERROR(IF(AND(ISNUMBER(B210),ISNUMBER(B209),B209&lt;&gt;0),B210/B209-1,""),"")</f>
        <v/>
      </c>
      <c r="E210" s="28">
        <f>IFERROR(IF(AND(ISNUMBER(C210),ISNUMBER(C209),C209&lt;&gt;0),C210/C209-1,""),"")</f>
        <v/>
      </c>
      <c r="F210" s="28">
        <f>IFERROR(D210-Dashboard!$B$4/252,"")</f>
        <v/>
      </c>
      <c r="G210" s="28">
        <f>IFERROR(E210-Dashboard!$B$4/252,"")</f>
        <v/>
      </c>
      <c r="H210" s="8">
        <f>IFERROR(IF(ISNUMBER(B210),MAX(B210,IFERROR(H209,B210)),""),"")</f>
        <v/>
      </c>
      <c r="I210" s="29">
        <f>IFERROR(IF(AND(ISNUMBER(B210),ISNUMBER(H210)),B210/H210-1,""),"")</f>
        <v/>
      </c>
      <c r="J210" s="8">
        <f>IFERROR(IF(ISNUMBER(C210),MAX(C210,IFERROR(J209,C210)),""),"")</f>
        <v/>
      </c>
      <c r="K210" s="29">
        <f>IFERROR(IF(AND(ISNUMBER(C210),ISNUMBER(J210)),C210/J210-1,""),"")</f>
        <v/>
      </c>
      <c r="L210" s="28">
        <f>IFERROR(IF(AND(ISNUMBER(D210),ISNUMBER(E210)),D210-E210,""),"")</f>
        <v/>
      </c>
    </row>
    <row r="211">
      <c r="A211" s="7">
        <f>IFERROR(Datos!A211,"")</f>
        <v/>
      </c>
      <c r="B211" s="8">
        <f>IFERROR(Datos!B211,"")</f>
        <v/>
      </c>
      <c r="C211" s="8">
        <f>IFERROR(Datos!C211,"")</f>
        <v/>
      </c>
      <c r="D211" s="28">
        <f>IFERROR(IF(AND(ISNUMBER(B211),ISNUMBER(B210),B210&lt;&gt;0),B211/B210-1,""),"")</f>
        <v/>
      </c>
      <c r="E211" s="28">
        <f>IFERROR(IF(AND(ISNUMBER(C211),ISNUMBER(C210),C210&lt;&gt;0),C211/C210-1,""),"")</f>
        <v/>
      </c>
      <c r="F211" s="28">
        <f>IFERROR(D211-Dashboard!$B$4/252,"")</f>
        <v/>
      </c>
      <c r="G211" s="28">
        <f>IFERROR(E211-Dashboard!$B$4/252,"")</f>
        <v/>
      </c>
      <c r="H211" s="8">
        <f>IFERROR(IF(ISNUMBER(B211),MAX(B211,IFERROR(H210,B211)),""),"")</f>
        <v/>
      </c>
      <c r="I211" s="29">
        <f>IFERROR(IF(AND(ISNUMBER(B211),ISNUMBER(H211)),B211/H211-1,""),"")</f>
        <v/>
      </c>
      <c r="J211" s="8">
        <f>IFERROR(IF(ISNUMBER(C211),MAX(C211,IFERROR(J210,C211)),""),"")</f>
        <v/>
      </c>
      <c r="K211" s="29">
        <f>IFERROR(IF(AND(ISNUMBER(C211),ISNUMBER(J211)),C211/J211-1,""),"")</f>
        <v/>
      </c>
      <c r="L211" s="28">
        <f>IFERROR(IF(AND(ISNUMBER(D211),ISNUMBER(E211)),D211-E211,""),"")</f>
        <v/>
      </c>
    </row>
    <row r="212">
      <c r="A212" s="7">
        <f>IFERROR(Datos!A212,"")</f>
        <v/>
      </c>
      <c r="B212" s="8">
        <f>IFERROR(Datos!B212,"")</f>
        <v/>
      </c>
      <c r="C212" s="8">
        <f>IFERROR(Datos!C212,"")</f>
        <v/>
      </c>
      <c r="D212" s="28">
        <f>IFERROR(IF(AND(ISNUMBER(B212),ISNUMBER(B211),B211&lt;&gt;0),B212/B211-1,""),"")</f>
        <v/>
      </c>
      <c r="E212" s="28">
        <f>IFERROR(IF(AND(ISNUMBER(C212),ISNUMBER(C211),C211&lt;&gt;0),C212/C211-1,""),"")</f>
        <v/>
      </c>
      <c r="F212" s="28">
        <f>IFERROR(D212-Dashboard!$B$4/252,"")</f>
        <v/>
      </c>
      <c r="G212" s="28">
        <f>IFERROR(E212-Dashboard!$B$4/252,"")</f>
        <v/>
      </c>
      <c r="H212" s="8">
        <f>IFERROR(IF(ISNUMBER(B212),MAX(B212,IFERROR(H211,B212)),""),"")</f>
        <v/>
      </c>
      <c r="I212" s="29">
        <f>IFERROR(IF(AND(ISNUMBER(B212),ISNUMBER(H212)),B212/H212-1,""),"")</f>
        <v/>
      </c>
      <c r="J212" s="8">
        <f>IFERROR(IF(ISNUMBER(C212),MAX(C212,IFERROR(J211,C212)),""),"")</f>
        <v/>
      </c>
      <c r="K212" s="29">
        <f>IFERROR(IF(AND(ISNUMBER(C212),ISNUMBER(J212)),C212/J212-1,""),"")</f>
        <v/>
      </c>
      <c r="L212" s="28">
        <f>IFERROR(IF(AND(ISNUMBER(D212),ISNUMBER(E212)),D212-E212,""),"")</f>
        <v/>
      </c>
    </row>
    <row r="213">
      <c r="A213" s="7">
        <f>IFERROR(Datos!A213,"")</f>
        <v/>
      </c>
      <c r="B213" s="8">
        <f>IFERROR(Datos!B213,"")</f>
        <v/>
      </c>
      <c r="C213" s="8">
        <f>IFERROR(Datos!C213,"")</f>
        <v/>
      </c>
      <c r="D213" s="28">
        <f>IFERROR(IF(AND(ISNUMBER(B213),ISNUMBER(B212),B212&lt;&gt;0),B213/B212-1,""),"")</f>
        <v/>
      </c>
      <c r="E213" s="28">
        <f>IFERROR(IF(AND(ISNUMBER(C213),ISNUMBER(C212),C212&lt;&gt;0),C213/C212-1,""),"")</f>
        <v/>
      </c>
      <c r="F213" s="28">
        <f>IFERROR(D213-Dashboard!$B$4/252,"")</f>
        <v/>
      </c>
      <c r="G213" s="28">
        <f>IFERROR(E213-Dashboard!$B$4/252,"")</f>
        <v/>
      </c>
      <c r="H213" s="8">
        <f>IFERROR(IF(ISNUMBER(B213),MAX(B213,IFERROR(H212,B213)),""),"")</f>
        <v/>
      </c>
      <c r="I213" s="29">
        <f>IFERROR(IF(AND(ISNUMBER(B213),ISNUMBER(H213)),B213/H213-1,""),"")</f>
        <v/>
      </c>
      <c r="J213" s="8">
        <f>IFERROR(IF(ISNUMBER(C213),MAX(C213,IFERROR(J212,C213)),""),"")</f>
        <v/>
      </c>
      <c r="K213" s="29">
        <f>IFERROR(IF(AND(ISNUMBER(C213),ISNUMBER(J213)),C213/J213-1,""),"")</f>
        <v/>
      </c>
      <c r="L213" s="28">
        <f>IFERROR(IF(AND(ISNUMBER(D213),ISNUMBER(E213)),D213-E213,""),"")</f>
        <v/>
      </c>
    </row>
    <row r="214">
      <c r="A214" s="7">
        <f>IFERROR(Datos!A214,"")</f>
        <v/>
      </c>
      <c r="B214" s="8">
        <f>IFERROR(Datos!B214,"")</f>
        <v/>
      </c>
      <c r="C214" s="8">
        <f>IFERROR(Datos!C214,"")</f>
        <v/>
      </c>
      <c r="D214" s="28">
        <f>IFERROR(IF(AND(ISNUMBER(B214),ISNUMBER(B213),B213&lt;&gt;0),B214/B213-1,""),"")</f>
        <v/>
      </c>
      <c r="E214" s="28">
        <f>IFERROR(IF(AND(ISNUMBER(C214),ISNUMBER(C213),C213&lt;&gt;0),C214/C213-1,""),"")</f>
        <v/>
      </c>
      <c r="F214" s="28">
        <f>IFERROR(D214-Dashboard!$B$4/252,"")</f>
        <v/>
      </c>
      <c r="G214" s="28">
        <f>IFERROR(E214-Dashboard!$B$4/252,"")</f>
        <v/>
      </c>
      <c r="H214" s="8">
        <f>IFERROR(IF(ISNUMBER(B214),MAX(B214,IFERROR(H213,B214)),""),"")</f>
        <v/>
      </c>
      <c r="I214" s="29">
        <f>IFERROR(IF(AND(ISNUMBER(B214),ISNUMBER(H214)),B214/H214-1,""),"")</f>
        <v/>
      </c>
      <c r="J214" s="8">
        <f>IFERROR(IF(ISNUMBER(C214),MAX(C214,IFERROR(J213,C214)),""),"")</f>
        <v/>
      </c>
      <c r="K214" s="29">
        <f>IFERROR(IF(AND(ISNUMBER(C214),ISNUMBER(J214)),C214/J214-1,""),"")</f>
        <v/>
      </c>
      <c r="L214" s="28">
        <f>IFERROR(IF(AND(ISNUMBER(D214),ISNUMBER(E214)),D214-E214,""),"")</f>
        <v/>
      </c>
    </row>
    <row r="215">
      <c r="A215" s="7">
        <f>IFERROR(Datos!A215,"")</f>
        <v/>
      </c>
      <c r="B215" s="8">
        <f>IFERROR(Datos!B215,"")</f>
        <v/>
      </c>
      <c r="C215" s="8">
        <f>IFERROR(Datos!C215,"")</f>
        <v/>
      </c>
      <c r="D215" s="28">
        <f>IFERROR(IF(AND(ISNUMBER(B215),ISNUMBER(B214),B214&lt;&gt;0),B215/B214-1,""),"")</f>
        <v/>
      </c>
      <c r="E215" s="28">
        <f>IFERROR(IF(AND(ISNUMBER(C215),ISNUMBER(C214),C214&lt;&gt;0),C215/C214-1,""),"")</f>
        <v/>
      </c>
      <c r="F215" s="28">
        <f>IFERROR(D215-Dashboard!$B$4/252,"")</f>
        <v/>
      </c>
      <c r="G215" s="28">
        <f>IFERROR(E215-Dashboard!$B$4/252,"")</f>
        <v/>
      </c>
      <c r="H215" s="8">
        <f>IFERROR(IF(ISNUMBER(B215),MAX(B215,IFERROR(H214,B215)),""),"")</f>
        <v/>
      </c>
      <c r="I215" s="29">
        <f>IFERROR(IF(AND(ISNUMBER(B215),ISNUMBER(H215)),B215/H215-1,""),"")</f>
        <v/>
      </c>
      <c r="J215" s="8">
        <f>IFERROR(IF(ISNUMBER(C215),MAX(C215,IFERROR(J214,C215)),""),"")</f>
        <v/>
      </c>
      <c r="K215" s="29">
        <f>IFERROR(IF(AND(ISNUMBER(C215),ISNUMBER(J215)),C215/J215-1,""),"")</f>
        <v/>
      </c>
      <c r="L215" s="28">
        <f>IFERROR(IF(AND(ISNUMBER(D215),ISNUMBER(E215)),D215-E215,""),"")</f>
        <v/>
      </c>
    </row>
    <row r="216">
      <c r="A216" s="7">
        <f>IFERROR(Datos!A216,"")</f>
        <v/>
      </c>
      <c r="B216" s="8">
        <f>IFERROR(Datos!B216,"")</f>
        <v/>
      </c>
      <c r="C216" s="8">
        <f>IFERROR(Datos!C216,"")</f>
        <v/>
      </c>
      <c r="D216" s="28">
        <f>IFERROR(IF(AND(ISNUMBER(B216),ISNUMBER(B215),B215&lt;&gt;0),B216/B215-1,""),"")</f>
        <v/>
      </c>
      <c r="E216" s="28">
        <f>IFERROR(IF(AND(ISNUMBER(C216),ISNUMBER(C215),C215&lt;&gt;0),C216/C215-1,""),"")</f>
        <v/>
      </c>
      <c r="F216" s="28">
        <f>IFERROR(D216-Dashboard!$B$4/252,"")</f>
        <v/>
      </c>
      <c r="G216" s="28">
        <f>IFERROR(E216-Dashboard!$B$4/252,"")</f>
        <v/>
      </c>
      <c r="H216" s="8">
        <f>IFERROR(IF(ISNUMBER(B216),MAX(B216,IFERROR(H215,B216)),""),"")</f>
        <v/>
      </c>
      <c r="I216" s="29">
        <f>IFERROR(IF(AND(ISNUMBER(B216),ISNUMBER(H216)),B216/H216-1,""),"")</f>
        <v/>
      </c>
      <c r="J216" s="8">
        <f>IFERROR(IF(ISNUMBER(C216),MAX(C216,IFERROR(J215,C216)),""),"")</f>
        <v/>
      </c>
      <c r="K216" s="29">
        <f>IFERROR(IF(AND(ISNUMBER(C216),ISNUMBER(J216)),C216/J216-1,""),"")</f>
        <v/>
      </c>
      <c r="L216" s="28">
        <f>IFERROR(IF(AND(ISNUMBER(D216),ISNUMBER(E216)),D216-E216,""),"")</f>
        <v/>
      </c>
    </row>
    <row r="217">
      <c r="A217" s="7">
        <f>IFERROR(Datos!A217,"")</f>
        <v/>
      </c>
      <c r="B217" s="8">
        <f>IFERROR(Datos!B217,"")</f>
        <v/>
      </c>
      <c r="C217" s="8">
        <f>IFERROR(Datos!C217,"")</f>
        <v/>
      </c>
      <c r="D217" s="28">
        <f>IFERROR(IF(AND(ISNUMBER(B217),ISNUMBER(B216),B216&lt;&gt;0),B217/B216-1,""),"")</f>
        <v/>
      </c>
      <c r="E217" s="28">
        <f>IFERROR(IF(AND(ISNUMBER(C217),ISNUMBER(C216),C216&lt;&gt;0),C217/C216-1,""),"")</f>
        <v/>
      </c>
      <c r="F217" s="28">
        <f>IFERROR(D217-Dashboard!$B$4/252,"")</f>
        <v/>
      </c>
      <c r="G217" s="28">
        <f>IFERROR(E217-Dashboard!$B$4/252,"")</f>
        <v/>
      </c>
      <c r="H217" s="8">
        <f>IFERROR(IF(ISNUMBER(B217),MAX(B217,IFERROR(H216,B217)),""),"")</f>
        <v/>
      </c>
      <c r="I217" s="29">
        <f>IFERROR(IF(AND(ISNUMBER(B217),ISNUMBER(H217)),B217/H217-1,""),"")</f>
        <v/>
      </c>
      <c r="J217" s="8">
        <f>IFERROR(IF(ISNUMBER(C217),MAX(C217,IFERROR(J216,C217)),""),"")</f>
        <v/>
      </c>
      <c r="K217" s="29">
        <f>IFERROR(IF(AND(ISNUMBER(C217),ISNUMBER(J217)),C217/J217-1,""),"")</f>
        <v/>
      </c>
      <c r="L217" s="28">
        <f>IFERROR(IF(AND(ISNUMBER(D217),ISNUMBER(E217)),D217-E217,""),"")</f>
        <v/>
      </c>
    </row>
    <row r="218">
      <c r="A218" s="7">
        <f>IFERROR(Datos!A218,"")</f>
        <v/>
      </c>
      <c r="B218" s="8">
        <f>IFERROR(Datos!B218,"")</f>
        <v/>
      </c>
      <c r="C218" s="8">
        <f>IFERROR(Datos!C218,"")</f>
        <v/>
      </c>
      <c r="D218" s="28">
        <f>IFERROR(IF(AND(ISNUMBER(B218),ISNUMBER(B217),B217&lt;&gt;0),B218/B217-1,""),"")</f>
        <v/>
      </c>
      <c r="E218" s="28">
        <f>IFERROR(IF(AND(ISNUMBER(C218),ISNUMBER(C217),C217&lt;&gt;0),C218/C217-1,""),"")</f>
        <v/>
      </c>
      <c r="F218" s="28">
        <f>IFERROR(D218-Dashboard!$B$4/252,"")</f>
        <v/>
      </c>
      <c r="G218" s="28">
        <f>IFERROR(E218-Dashboard!$B$4/252,"")</f>
        <v/>
      </c>
      <c r="H218" s="8">
        <f>IFERROR(IF(ISNUMBER(B218),MAX(B218,IFERROR(H217,B218)),""),"")</f>
        <v/>
      </c>
      <c r="I218" s="29">
        <f>IFERROR(IF(AND(ISNUMBER(B218),ISNUMBER(H218)),B218/H218-1,""),"")</f>
        <v/>
      </c>
      <c r="J218" s="8">
        <f>IFERROR(IF(ISNUMBER(C218),MAX(C218,IFERROR(J217,C218)),""),"")</f>
        <v/>
      </c>
      <c r="K218" s="29">
        <f>IFERROR(IF(AND(ISNUMBER(C218),ISNUMBER(J218)),C218/J218-1,""),"")</f>
        <v/>
      </c>
      <c r="L218" s="28">
        <f>IFERROR(IF(AND(ISNUMBER(D218),ISNUMBER(E218)),D218-E218,""),"")</f>
        <v/>
      </c>
    </row>
    <row r="219">
      <c r="A219" s="7">
        <f>IFERROR(Datos!A219,"")</f>
        <v/>
      </c>
      <c r="B219" s="8">
        <f>IFERROR(Datos!B219,"")</f>
        <v/>
      </c>
      <c r="C219" s="8">
        <f>IFERROR(Datos!C219,"")</f>
        <v/>
      </c>
      <c r="D219" s="28">
        <f>IFERROR(IF(AND(ISNUMBER(B219),ISNUMBER(B218),B218&lt;&gt;0),B219/B218-1,""),"")</f>
        <v/>
      </c>
      <c r="E219" s="28">
        <f>IFERROR(IF(AND(ISNUMBER(C219),ISNUMBER(C218),C218&lt;&gt;0),C219/C218-1,""),"")</f>
        <v/>
      </c>
      <c r="F219" s="28">
        <f>IFERROR(D219-Dashboard!$B$4/252,"")</f>
        <v/>
      </c>
      <c r="G219" s="28">
        <f>IFERROR(E219-Dashboard!$B$4/252,"")</f>
        <v/>
      </c>
      <c r="H219" s="8">
        <f>IFERROR(IF(ISNUMBER(B219),MAX(B219,IFERROR(H218,B219)),""),"")</f>
        <v/>
      </c>
      <c r="I219" s="29">
        <f>IFERROR(IF(AND(ISNUMBER(B219),ISNUMBER(H219)),B219/H219-1,""),"")</f>
        <v/>
      </c>
      <c r="J219" s="8">
        <f>IFERROR(IF(ISNUMBER(C219),MAX(C219,IFERROR(J218,C219)),""),"")</f>
        <v/>
      </c>
      <c r="K219" s="29">
        <f>IFERROR(IF(AND(ISNUMBER(C219),ISNUMBER(J219)),C219/J219-1,""),"")</f>
        <v/>
      </c>
      <c r="L219" s="28">
        <f>IFERROR(IF(AND(ISNUMBER(D219),ISNUMBER(E219)),D219-E219,""),"")</f>
        <v/>
      </c>
    </row>
    <row r="220">
      <c r="A220" s="7">
        <f>IFERROR(Datos!A220,"")</f>
        <v/>
      </c>
      <c r="B220" s="8">
        <f>IFERROR(Datos!B220,"")</f>
        <v/>
      </c>
      <c r="C220" s="8">
        <f>IFERROR(Datos!C220,"")</f>
        <v/>
      </c>
      <c r="D220" s="28">
        <f>IFERROR(IF(AND(ISNUMBER(B220),ISNUMBER(B219),B219&lt;&gt;0),B220/B219-1,""),"")</f>
        <v/>
      </c>
      <c r="E220" s="28">
        <f>IFERROR(IF(AND(ISNUMBER(C220),ISNUMBER(C219),C219&lt;&gt;0),C220/C219-1,""),"")</f>
        <v/>
      </c>
      <c r="F220" s="28">
        <f>IFERROR(D220-Dashboard!$B$4/252,"")</f>
        <v/>
      </c>
      <c r="G220" s="28">
        <f>IFERROR(E220-Dashboard!$B$4/252,"")</f>
        <v/>
      </c>
      <c r="H220" s="8">
        <f>IFERROR(IF(ISNUMBER(B220),MAX(B220,IFERROR(H219,B220)),""),"")</f>
        <v/>
      </c>
      <c r="I220" s="29">
        <f>IFERROR(IF(AND(ISNUMBER(B220),ISNUMBER(H220)),B220/H220-1,""),"")</f>
        <v/>
      </c>
      <c r="J220" s="8">
        <f>IFERROR(IF(ISNUMBER(C220),MAX(C220,IFERROR(J219,C220)),""),"")</f>
        <v/>
      </c>
      <c r="K220" s="29">
        <f>IFERROR(IF(AND(ISNUMBER(C220),ISNUMBER(J220)),C220/J220-1,""),"")</f>
        <v/>
      </c>
      <c r="L220" s="28">
        <f>IFERROR(IF(AND(ISNUMBER(D220),ISNUMBER(E220)),D220-E220,""),"")</f>
        <v/>
      </c>
    </row>
    <row r="221">
      <c r="A221" s="7">
        <f>IFERROR(Datos!A221,"")</f>
        <v/>
      </c>
      <c r="B221" s="8">
        <f>IFERROR(Datos!B221,"")</f>
        <v/>
      </c>
      <c r="C221" s="8">
        <f>IFERROR(Datos!C221,"")</f>
        <v/>
      </c>
      <c r="D221" s="28">
        <f>IFERROR(IF(AND(ISNUMBER(B221),ISNUMBER(B220),B220&lt;&gt;0),B221/B220-1,""),"")</f>
        <v/>
      </c>
      <c r="E221" s="28">
        <f>IFERROR(IF(AND(ISNUMBER(C221),ISNUMBER(C220),C220&lt;&gt;0),C221/C220-1,""),"")</f>
        <v/>
      </c>
      <c r="F221" s="28">
        <f>IFERROR(D221-Dashboard!$B$4/252,"")</f>
        <v/>
      </c>
      <c r="G221" s="28">
        <f>IFERROR(E221-Dashboard!$B$4/252,"")</f>
        <v/>
      </c>
      <c r="H221" s="8">
        <f>IFERROR(IF(ISNUMBER(B221),MAX(B221,IFERROR(H220,B221)),""),"")</f>
        <v/>
      </c>
      <c r="I221" s="29">
        <f>IFERROR(IF(AND(ISNUMBER(B221),ISNUMBER(H221)),B221/H221-1,""),"")</f>
        <v/>
      </c>
      <c r="J221" s="8">
        <f>IFERROR(IF(ISNUMBER(C221),MAX(C221,IFERROR(J220,C221)),""),"")</f>
        <v/>
      </c>
      <c r="K221" s="29">
        <f>IFERROR(IF(AND(ISNUMBER(C221),ISNUMBER(J221)),C221/J221-1,""),"")</f>
        <v/>
      </c>
      <c r="L221" s="28">
        <f>IFERROR(IF(AND(ISNUMBER(D221),ISNUMBER(E221)),D221-E221,""),"")</f>
        <v/>
      </c>
    </row>
    <row r="222">
      <c r="A222" s="7">
        <f>IFERROR(Datos!A222,"")</f>
        <v/>
      </c>
      <c r="B222" s="8">
        <f>IFERROR(Datos!B222,"")</f>
        <v/>
      </c>
      <c r="C222" s="8">
        <f>IFERROR(Datos!C222,"")</f>
        <v/>
      </c>
      <c r="D222" s="28">
        <f>IFERROR(IF(AND(ISNUMBER(B222),ISNUMBER(B221),B221&lt;&gt;0),B222/B221-1,""),"")</f>
        <v/>
      </c>
      <c r="E222" s="28">
        <f>IFERROR(IF(AND(ISNUMBER(C222),ISNUMBER(C221),C221&lt;&gt;0),C222/C221-1,""),"")</f>
        <v/>
      </c>
      <c r="F222" s="28">
        <f>IFERROR(D222-Dashboard!$B$4/252,"")</f>
        <v/>
      </c>
      <c r="G222" s="28">
        <f>IFERROR(E222-Dashboard!$B$4/252,"")</f>
        <v/>
      </c>
      <c r="H222" s="8">
        <f>IFERROR(IF(ISNUMBER(B222),MAX(B222,IFERROR(H221,B222)),""),"")</f>
        <v/>
      </c>
      <c r="I222" s="29">
        <f>IFERROR(IF(AND(ISNUMBER(B222),ISNUMBER(H222)),B222/H222-1,""),"")</f>
        <v/>
      </c>
      <c r="J222" s="8">
        <f>IFERROR(IF(ISNUMBER(C222),MAX(C222,IFERROR(J221,C222)),""),"")</f>
        <v/>
      </c>
      <c r="K222" s="29">
        <f>IFERROR(IF(AND(ISNUMBER(C222),ISNUMBER(J222)),C222/J222-1,""),"")</f>
        <v/>
      </c>
      <c r="L222" s="28">
        <f>IFERROR(IF(AND(ISNUMBER(D222),ISNUMBER(E222)),D222-E222,""),"")</f>
        <v/>
      </c>
    </row>
    <row r="223">
      <c r="A223" s="7">
        <f>IFERROR(Datos!A223,"")</f>
        <v/>
      </c>
      <c r="B223" s="8">
        <f>IFERROR(Datos!B223,"")</f>
        <v/>
      </c>
      <c r="C223" s="8">
        <f>IFERROR(Datos!C223,"")</f>
        <v/>
      </c>
      <c r="D223" s="28">
        <f>IFERROR(IF(AND(ISNUMBER(B223),ISNUMBER(B222),B222&lt;&gt;0),B223/B222-1,""),"")</f>
        <v/>
      </c>
      <c r="E223" s="28">
        <f>IFERROR(IF(AND(ISNUMBER(C223),ISNUMBER(C222),C222&lt;&gt;0),C223/C222-1,""),"")</f>
        <v/>
      </c>
      <c r="F223" s="28">
        <f>IFERROR(D223-Dashboard!$B$4/252,"")</f>
        <v/>
      </c>
      <c r="G223" s="28">
        <f>IFERROR(E223-Dashboard!$B$4/252,"")</f>
        <v/>
      </c>
      <c r="H223" s="8">
        <f>IFERROR(IF(ISNUMBER(B223),MAX(B223,IFERROR(H222,B223)),""),"")</f>
        <v/>
      </c>
      <c r="I223" s="29">
        <f>IFERROR(IF(AND(ISNUMBER(B223),ISNUMBER(H223)),B223/H223-1,""),"")</f>
        <v/>
      </c>
      <c r="J223" s="8">
        <f>IFERROR(IF(ISNUMBER(C223),MAX(C223,IFERROR(J222,C223)),""),"")</f>
        <v/>
      </c>
      <c r="K223" s="29">
        <f>IFERROR(IF(AND(ISNUMBER(C223),ISNUMBER(J223)),C223/J223-1,""),"")</f>
        <v/>
      </c>
      <c r="L223" s="28">
        <f>IFERROR(IF(AND(ISNUMBER(D223),ISNUMBER(E223)),D223-E223,""),"")</f>
        <v/>
      </c>
    </row>
    <row r="224">
      <c r="A224" s="7">
        <f>IFERROR(Datos!A224,"")</f>
        <v/>
      </c>
      <c r="B224" s="8">
        <f>IFERROR(Datos!B224,"")</f>
        <v/>
      </c>
      <c r="C224" s="8">
        <f>IFERROR(Datos!C224,"")</f>
        <v/>
      </c>
      <c r="D224" s="28">
        <f>IFERROR(IF(AND(ISNUMBER(B224),ISNUMBER(B223),B223&lt;&gt;0),B224/B223-1,""),"")</f>
        <v/>
      </c>
      <c r="E224" s="28">
        <f>IFERROR(IF(AND(ISNUMBER(C224),ISNUMBER(C223),C223&lt;&gt;0),C224/C223-1,""),"")</f>
        <v/>
      </c>
      <c r="F224" s="28">
        <f>IFERROR(D224-Dashboard!$B$4/252,"")</f>
        <v/>
      </c>
      <c r="G224" s="28">
        <f>IFERROR(E224-Dashboard!$B$4/252,"")</f>
        <v/>
      </c>
      <c r="H224" s="8">
        <f>IFERROR(IF(ISNUMBER(B224),MAX(B224,IFERROR(H223,B224)),""),"")</f>
        <v/>
      </c>
      <c r="I224" s="29">
        <f>IFERROR(IF(AND(ISNUMBER(B224),ISNUMBER(H224)),B224/H224-1,""),"")</f>
        <v/>
      </c>
      <c r="J224" s="8">
        <f>IFERROR(IF(ISNUMBER(C224),MAX(C224,IFERROR(J223,C224)),""),"")</f>
        <v/>
      </c>
      <c r="K224" s="29">
        <f>IFERROR(IF(AND(ISNUMBER(C224),ISNUMBER(J224)),C224/J224-1,""),"")</f>
        <v/>
      </c>
      <c r="L224" s="28">
        <f>IFERROR(IF(AND(ISNUMBER(D224),ISNUMBER(E224)),D224-E224,""),"")</f>
        <v/>
      </c>
    </row>
    <row r="225">
      <c r="A225" s="7">
        <f>IFERROR(Datos!A225,"")</f>
        <v/>
      </c>
      <c r="B225" s="8">
        <f>IFERROR(Datos!B225,"")</f>
        <v/>
      </c>
      <c r="C225" s="8">
        <f>IFERROR(Datos!C225,"")</f>
        <v/>
      </c>
      <c r="D225" s="28">
        <f>IFERROR(IF(AND(ISNUMBER(B225),ISNUMBER(B224),B224&lt;&gt;0),B225/B224-1,""),"")</f>
        <v/>
      </c>
      <c r="E225" s="28">
        <f>IFERROR(IF(AND(ISNUMBER(C225),ISNUMBER(C224),C224&lt;&gt;0),C225/C224-1,""),"")</f>
        <v/>
      </c>
      <c r="F225" s="28">
        <f>IFERROR(D225-Dashboard!$B$4/252,"")</f>
        <v/>
      </c>
      <c r="G225" s="28">
        <f>IFERROR(E225-Dashboard!$B$4/252,"")</f>
        <v/>
      </c>
      <c r="H225" s="8">
        <f>IFERROR(IF(ISNUMBER(B225),MAX(B225,IFERROR(H224,B225)),""),"")</f>
        <v/>
      </c>
      <c r="I225" s="29">
        <f>IFERROR(IF(AND(ISNUMBER(B225),ISNUMBER(H225)),B225/H225-1,""),"")</f>
        <v/>
      </c>
      <c r="J225" s="8">
        <f>IFERROR(IF(ISNUMBER(C225),MAX(C225,IFERROR(J224,C225)),""),"")</f>
        <v/>
      </c>
      <c r="K225" s="29">
        <f>IFERROR(IF(AND(ISNUMBER(C225),ISNUMBER(J225)),C225/J225-1,""),"")</f>
        <v/>
      </c>
      <c r="L225" s="28">
        <f>IFERROR(IF(AND(ISNUMBER(D225),ISNUMBER(E225)),D225-E225,""),"")</f>
        <v/>
      </c>
    </row>
    <row r="226">
      <c r="A226" s="7">
        <f>IFERROR(Datos!A226,"")</f>
        <v/>
      </c>
      <c r="B226" s="8">
        <f>IFERROR(Datos!B226,"")</f>
        <v/>
      </c>
      <c r="C226" s="8">
        <f>IFERROR(Datos!C226,"")</f>
        <v/>
      </c>
      <c r="D226" s="28">
        <f>IFERROR(IF(AND(ISNUMBER(B226),ISNUMBER(B225),B225&lt;&gt;0),B226/B225-1,""),"")</f>
        <v/>
      </c>
      <c r="E226" s="28">
        <f>IFERROR(IF(AND(ISNUMBER(C226),ISNUMBER(C225),C225&lt;&gt;0),C226/C225-1,""),"")</f>
        <v/>
      </c>
      <c r="F226" s="28">
        <f>IFERROR(D226-Dashboard!$B$4/252,"")</f>
        <v/>
      </c>
      <c r="G226" s="28">
        <f>IFERROR(E226-Dashboard!$B$4/252,"")</f>
        <v/>
      </c>
      <c r="H226" s="8">
        <f>IFERROR(IF(ISNUMBER(B226),MAX(B226,IFERROR(H225,B226)),""),"")</f>
        <v/>
      </c>
      <c r="I226" s="29">
        <f>IFERROR(IF(AND(ISNUMBER(B226),ISNUMBER(H226)),B226/H226-1,""),"")</f>
        <v/>
      </c>
      <c r="J226" s="8">
        <f>IFERROR(IF(ISNUMBER(C226),MAX(C226,IFERROR(J225,C226)),""),"")</f>
        <v/>
      </c>
      <c r="K226" s="29">
        <f>IFERROR(IF(AND(ISNUMBER(C226),ISNUMBER(J226)),C226/J226-1,""),"")</f>
        <v/>
      </c>
      <c r="L226" s="28">
        <f>IFERROR(IF(AND(ISNUMBER(D226),ISNUMBER(E226)),D226-E226,""),"")</f>
        <v/>
      </c>
    </row>
    <row r="227">
      <c r="A227" s="7">
        <f>IFERROR(Datos!A227,"")</f>
        <v/>
      </c>
      <c r="B227" s="8">
        <f>IFERROR(Datos!B227,"")</f>
        <v/>
      </c>
      <c r="C227" s="8">
        <f>IFERROR(Datos!C227,"")</f>
        <v/>
      </c>
      <c r="D227" s="28">
        <f>IFERROR(IF(AND(ISNUMBER(B227),ISNUMBER(B226),B226&lt;&gt;0),B227/B226-1,""),"")</f>
        <v/>
      </c>
      <c r="E227" s="28">
        <f>IFERROR(IF(AND(ISNUMBER(C227),ISNUMBER(C226),C226&lt;&gt;0),C227/C226-1,""),"")</f>
        <v/>
      </c>
      <c r="F227" s="28">
        <f>IFERROR(D227-Dashboard!$B$4/252,"")</f>
        <v/>
      </c>
      <c r="G227" s="28">
        <f>IFERROR(E227-Dashboard!$B$4/252,"")</f>
        <v/>
      </c>
      <c r="H227" s="8">
        <f>IFERROR(IF(ISNUMBER(B227),MAX(B227,IFERROR(H226,B227)),""),"")</f>
        <v/>
      </c>
      <c r="I227" s="29">
        <f>IFERROR(IF(AND(ISNUMBER(B227),ISNUMBER(H227)),B227/H227-1,""),"")</f>
        <v/>
      </c>
      <c r="J227" s="8">
        <f>IFERROR(IF(ISNUMBER(C227),MAX(C227,IFERROR(J226,C227)),""),"")</f>
        <v/>
      </c>
      <c r="K227" s="29">
        <f>IFERROR(IF(AND(ISNUMBER(C227),ISNUMBER(J227)),C227/J227-1,""),"")</f>
        <v/>
      </c>
      <c r="L227" s="28">
        <f>IFERROR(IF(AND(ISNUMBER(D227),ISNUMBER(E227)),D227-E227,""),"")</f>
        <v/>
      </c>
    </row>
    <row r="228">
      <c r="A228" s="7">
        <f>IFERROR(Datos!A228,"")</f>
        <v/>
      </c>
      <c r="B228" s="8">
        <f>IFERROR(Datos!B228,"")</f>
        <v/>
      </c>
      <c r="C228" s="8">
        <f>IFERROR(Datos!C228,"")</f>
        <v/>
      </c>
      <c r="D228" s="28">
        <f>IFERROR(IF(AND(ISNUMBER(B228),ISNUMBER(B227),B227&lt;&gt;0),B228/B227-1,""),"")</f>
        <v/>
      </c>
      <c r="E228" s="28">
        <f>IFERROR(IF(AND(ISNUMBER(C228),ISNUMBER(C227),C227&lt;&gt;0),C228/C227-1,""),"")</f>
        <v/>
      </c>
      <c r="F228" s="28">
        <f>IFERROR(D228-Dashboard!$B$4/252,"")</f>
        <v/>
      </c>
      <c r="G228" s="28">
        <f>IFERROR(E228-Dashboard!$B$4/252,"")</f>
        <v/>
      </c>
      <c r="H228" s="8">
        <f>IFERROR(IF(ISNUMBER(B228),MAX(B228,IFERROR(H227,B228)),""),"")</f>
        <v/>
      </c>
      <c r="I228" s="29">
        <f>IFERROR(IF(AND(ISNUMBER(B228),ISNUMBER(H228)),B228/H228-1,""),"")</f>
        <v/>
      </c>
      <c r="J228" s="8">
        <f>IFERROR(IF(ISNUMBER(C228),MAX(C228,IFERROR(J227,C228)),""),"")</f>
        <v/>
      </c>
      <c r="K228" s="29">
        <f>IFERROR(IF(AND(ISNUMBER(C228),ISNUMBER(J228)),C228/J228-1,""),"")</f>
        <v/>
      </c>
      <c r="L228" s="28">
        <f>IFERROR(IF(AND(ISNUMBER(D228),ISNUMBER(E228)),D228-E228,""),"")</f>
        <v/>
      </c>
    </row>
    <row r="229">
      <c r="A229" s="7">
        <f>IFERROR(Datos!A229,"")</f>
        <v/>
      </c>
      <c r="B229" s="8">
        <f>IFERROR(Datos!B229,"")</f>
        <v/>
      </c>
      <c r="C229" s="8">
        <f>IFERROR(Datos!C229,"")</f>
        <v/>
      </c>
      <c r="D229" s="28">
        <f>IFERROR(IF(AND(ISNUMBER(B229),ISNUMBER(B228),B228&lt;&gt;0),B229/B228-1,""),"")</f>
        <v/>
      </c>
      <c r="E229" s="28">
        <f>IFERROR(IF(AND(ISNUMBER(C229),ISNUMBER(C228),C228&lt;&gt;0),C229/C228-1,""),"")</f>
        <v/>
      </c>
      <c r="F229" s="28">
        <f>IFERROR(D229-Dashboard!$B$4/252,"")</f>
        <v/>
      </c>
      <c r="G229" s="28">
        <f>IFERROR(E229-Dashboard!$B$4/252,"")</f>
        <v/>
      </c>
      <c r="H229" s="8">
        <f>IFERROR(IF(ISNUMBER(B229),MAX(B229,IFERROR(H228,B229)),""),"")</f>
        <v/>
      </c>
      <c r="I229" s="29">
        <f>IFERROR(IF(AND(ISNUMBER(B229),ISNUMBER(H229)),B229/H229-1,""),"")</f>
        <v/>
      </c>
      <c r="J229" s="8">
        <f>IFERROR(IF(ISNUMBER(C229),MAX(C229,IFERROR(J228,C229)),""),"")</f>
        <v/>
      </c>
      <c r="K229" s="29">
        <f>IFERROR(IF(AND(ISNUMBER(C229),ISNUMBER(J229)),C229/J229-1,""),"")</f>
        <v/>
      </c>
      <c r="L229" s="28">
        <f>IFERROR(IF(AND(ISNUMBER(D229),ISNUMBER(E229)),D229-E229,""),"")</f>
        <v/>
      </c>
    </row>
    <row r="230">
      <c r="A230" s="7">
        <f>IFERROR(Datos!A230,"")</f>
        <v/>
      </c>
      <c r="B230" s="8">
        <f>IFERROR(Datos!B230,"")</f>
        <v/>
      </c>
      <c r="C230" s="8">
        <f>IFERROR(Datos!C230,"")</f>
        <v/>
      </c>
      <c r="D230" s="28">
        <f>IFERROR(IF(AND(ISNUMBER(B230),ISNUMBER(B229),B229&lt;&gt;0),B230/B229-1,""),"")</f>
        <v/>
      </c>
      <c r="E230" s="28">
        <f>IFERROR(IF(AND(ISNUMBER(C230),ISNUMBER(C229),C229&lt;&gt;0),C230/C229-1,""),"")</f>
        <v/>
      </c>
      <c r="F230" s="28">
        <f>IFERROR(D230-Dashboard!$B$4/252,"")</f>
        <v/>
      </c>
      <c r="G230" s="28">
        <f>IFERROR(E230-Dashboard!$B$4/252,"")</f>
        <v/>
      </c>
      <c r="H230" s="8">
        <f>IFERROR(IF(ISNUMBER(B230),MAX(B230,IFERROR(H229,B230)),""),"")</f>
        <v/>
      </c>
      <c r="I230" s="29">
        <f>IFERROR(IF(AND(ISNUMBER(B230),ISNUMBER(H230)),B230/H230-1,""),"")</f>
        <v/>
      </c>
      <c r="J230" s="8">
        <f>IFERROR(IF(ISNUMBER(C230),MAX(C230,IFERROR(J229,C230)),""),"")</f>
        <v/>
      </c>
      <c r="K230" s="29">
        <f>IFERROR(IF(AND(ISNUMBER(C230),ISNUMBER(J230)),C230/J230-1,""),"")</f>
        <v/>
      </c>
      <c r="L230" s="28">
        <f>IFERROR(IF(AND(ISNUMBER(D230),ISNUMBER(E230)),D230-E230,""),"")</f>
        <v/>
      </c>
    </row>
    <row r="231">
      <c r="A231" s="7">
        <f>IFERROR(Datos!A231,"")</f>
        <v/>
      </c>
      <c r="B231" s="8">
        <f>IFERROR(Datos!B231,"")</f>
        <v/>
      </c>
      <c r="C231" s="8">
        <f>IFERROR(Datos!C231,"")</f>
        <v/>
      </c>
      <c r="D231" s="28">
        <f>IFERROR(IF(AND(ISNUMBER(B231),ISNUMBER(B230),B230&lt;&gt;0),B231/B230-1,""),"")</f>
        <v/>
      </c>
      <c r="E231" s="28">
        <f>IFERROR(IF(AND(ISNUMBER(C231),ISNUMBER(C230),C230&lt;&gt;0),C231/C230-1,""),"")</f>
        <v/>
      </c>
      <c r="F231" s="28">
        <f>IFERROR(D231-Dashboard!$B$4/252,"")</f>
        <v/>
      </c>
      <c r="G231" s="28">
        <f>IFERROR(E231-Dashboard!$B$4/252,"")</f>
        <v/>
      </c>
      <c r="H231" s="8">
        <f>IFERROR(IF(ISNUMBER(B231),MAX(B231,IFERROR(H230,B231)),""),"")</f>
        <v/>
      </c>
      <c r="I231" s="29">
        <f>IFERROR(IF(AND(ISNUMBER(B231),ISNUMBER(H231)),B231/H231-1,""),"")</f>
        <v/>
      </c>
      <c r="J231" s="8">
        <f>IFERROR(IF(ISNUMBER(C231),MAX(C231,IFERROR(J230,C231)),""),"")</f>
        <v/>
      </c>
      <c r="K231" s="29">
        <f>IFERROR(IF(AND(ISNUMBER(C231),ISNUMBER(J231)),C231/J231-1,""),"")</f>
        <v/>
      </c>
      <c r="L231" s="28">
        <f>IFERROR(IF(AND(ISNUMBER(D231),ISNUMBER(E231)),D231-E231,""),"")</f>
        <v/>
      </c>
    </row>
    <row r="232">
      <c r="A232" s="7">
        <f>IFERROR(Datos!A232,"")</f>
        <v/>
      </c>
      <c r="B232" s="8">
        <f>IFERROR(Datos!B232,"")</f>
        <v/>
      </c>
      <c r="C232" s="8">
        <f>IFERROR(Datos!C232,"")</f>
        <v/>
      </c>
      <c r="D232" s="28">
        <f>IFERROR(IF(AND(ISNUMBER(B232),ISNUMBER(B231),B231&lt;&gt;0),B232/B231-1,""),"")</f>
        <v/>
      </c>
      <c r="E232" s="28">
        <f>IFERROR(IF(AND(ISNUMBER(C232),ISNUMBER(C231),C231&lt;&gt;0),C232/C231-1,""),"")</f>
        <v/>
      </c>
      <c r="F232" s="28">
        <f>IFERROR(D232-Dashboard!$B$4/252,"")</f>
        <v/>
      </c>
      <c r="G232" s="28">
        <f>IFERROR(E232-Dashboard!$B$4/252,"")</f>
        <v/>
      </c>
      <c r="H232" s="8">
        <f>IFERROR(IF(ISNUMBER(B232),MAX(B232,IFERROR(H231,B232)),""),"")</f>
        <v/>
      </c>
      <c r="I232" s="29">
        <f>IFERROR(IF(AND(ISNUMBER(B232),ISNUMBER(H232)),B232/H232-1,""),"")</f>
        <v/>
      </c>
      <c r="J232" s="8">
        <f>IFERROR(IF(ISNUMBER(C232),MAX(C232,IFERROR(J231,C232)),""),"")</f>
        <v/>
      </c>
      <c r="K232" s="29">
        <f>IFERROR(IF(AND(ISNUMBER(C232),ISNUMBER(J232)),C232/J232-1,""),"")</f>
        <v/>
      </c>
      <c r="L232" s="28">
        <f>IFERROR(IF(AND(ISNUMBER(D232),ISNUMBER(E232)),D232-E232,""),"")</f>
        <v/>
      </c>
    </row>
    <row r="233">
      <c r="A233" s="7">
        <f>IFERROR(Datos!A233,"")</f>
        <v/>
      </c>
      <c r="B233" s="8">
        <f>IFERROR(Datos!B233,"")</f>
        <v/>
      </c>
      <c r="C233" s="8">
        <f>IFERROR(Datos!C233,"")</f>
        <v/>
      </c>
      <c r="D233" s="28">
        <f>IFERROR(IF(AND(ISNUMBER(B233),ISNUMBER(B232),B232&lt;&gt;0),B233/B232-1,""),"")</f>
        <v/>
      </c>
      <c r="E233" s="28">
        <f>IFERROR(IF(AND(ISNUMBER(C233),ISNUMBER(C232),C232&lt;&gt;0),C233/C232-1,""),"")</f>
        <v/>
      </c>
      <c r="F233" s="28">
        <f>IFERROR(D233-Dashboard!$B$4/252,"")</f>
        <v/>
      </c>
      <c r="G233" s="28">
        <f>IFERROR(E233-Dashboard!$B$4/252,"")</f>
        <v/>
      </c>
      <c r="H233" s="8">
        <f>IFERROR(IF(ISNUMBER(B233),MAX(B233,IFERROR(H232,B233)),""),"")</f>
        <v/>
      </c>
      <c r="I233" s="29">
        <f>IFERROR(IF(AND(ISNUMBER(B233),ISNUMBER(H233)),B233/H233-1,""),"")</f>
        <v/>
      </c>
      <c r="J233" s="8">
        <f>IFERROR(IF(ISNUMBER(C233),MAX(C233,IFERROR(J232,C233)),""),"")</f>
        <v/>
      </c>
      <c r="K233" s="29">
        <f>IFERROR(IF(AND(ISNUMBER(C233),ISNUMBER(J233)),C233/J233-1,""),"")</f>
        <v/>
      </c>
      <c r="L233" s="28">
        <f>IFERROR(IF(AND(ISNUMBER(D233),ISNUMBER(E233)),D233-E233,""),"")</f>
        <v/>
      </c>
    </row>
    <row r="234">
      <c r="A234" s="7">
        <f>IFERROR(Datos!A234,"")</f>
        <v/>
      </c>
      <c r="B234" s="8">
        <f>IFERROR(Datos!B234,"")</f>
        <v/>
      </c>
      <c r="C234" s="8">
        <f>IFERROR(Datos!C234,"")</f>
        <v/>
      </c>
      <c r="D234" s="28">
        <f>IFERROR(IF(AND(ISNUMBER(B234),ISNUMBER(B233),B233&lt;&gt;0),B234/B233-1,""),"")</f>
        <v/>
      </c>
      <c r="E234" s="28">
        <f>IFERROR(IF(AND(ISNUMBER(C234),ISNUMBER(C233),C233&lt;&gt;0),C234/C233-1,""),"")</f>
        <v/>
      </c>
      <c r="F234" s="28">
        <f>IFERROR(D234-Dashboard!$B$4/252,"")</f>
        <v/>
      </c>
      <c r="G234" s="28">
        <f>IFERROR(E234-Dashboard!$B$4/252,"")</f>
        <v/>
      </c>
      <c r="H234" s="8">
        <f>IFERROR(IF(ISNUMBER(B234),MAX(B234,IFERROR(H233,B234)),""),"")</f>
        <v/>
      </c>
      <c r="I234" s="29">
        <f>IFERROR(IF(AND(ISNUMBER(B234),ISNUMBER(H234)),B234/H234-1,""),"")</f>
        <v/>
      </c>
      <c r="J234" s="8">
        <f>IFERROR(IF(ISNUMBER(C234),MAX(C234,IFERROR(J233,C234)),""),"")</f>
        <v/>
      </c>
      <c r="K234" s="29">
        <f>IFERROR(IF(AND(ISNUMBER(C234),ISNUMBER(J234)),C234/J234-1,""),"")</f>
        <v/>
      </c>
      <c r="L234" s="28">
        <f>IFERROR(IF(AND(ISNUMBER(D234),ISNUMBER(E234)),D234-E234,""),"")</f>
        <v/>
      </c>
    </row>
    <row r="235">
      <c r="A235" s="7">
        <f>IFERROR(Datos!A235,"")</f>
        <v/>
      </c>
      <c r="B235" s="8">
        <f>IFERROR(Datos!B235,"")</f>
        <v/>
      </c>
      <c r="C235" s="8">
        <f>IFERROR(Datos!C235,"")</f>
        <v/>
      </c>
      <c r="D235" s="28">
        <f>IFERROR(IF(AND(ISNUMBER(B235),ISNUMBER(B234),B234&lt;&gt;0),B235/B234-1,""),"")</f>
        <v/>
      </c>
      <c r="E235" s="28">
        <f>IFERROR(IF(AND(ISNUMBER(C235),ISNUMBER(C234),C234&lt;&gt;0),C235/C234-1,""),"")</f>
        <v/>
      </c>
      <c r="F235" s="28">
        <f>IFERROR(D235-Dashboard!$B$4/252,"")</f>
        <v/>
      </c>
      <c r="G235" s="28">
        <f>IFERROR(E235-Dashboard!$B$4/252,"")</f>
        <v/>
      </c>
      <c r="H235" s="8">
        <f>IFERROR(IF(ISNUMBER(B235),MAX(B235,IFERROR(H234,B235)),""),"")</f>
        <v/>
      </c>
      <c r="I235" s="29">
        <f>IFERROR(IF(AND(ISNUMBER(B235),ISNUMBER(H235)),B235/H235-1,""),"")</f>
        <v/>
      </c>
      <c r="J235" s="8">
        <f>IFERROR(IF(ISNUMBER(C235),MAX(C235,IFERROR(J234,C235)),""),"")</f>
        <v/>
      </c>
      <c r="K235" s="29">
        <f>IFERROR(IF(AND(ISNUMBER(C235),ISNUMBER(J235)),C235/J235-1,""),"")</f>
        <v/>
      </c>
      <c r="L235" s="28">
        <f>IFERROR(IF(AND(ISNUMBER(D235),ISNUMBER(E235)),D235-E235,""),"")</f>
        <v/>
      </c>
    </row>
    <row r="236">
      <c r="A236" s="7">
        <f>IFERROR(Datos!A236,"")</f>
        <v/>
      </c>
      <c r="B236" s="8">
        <f>IFERROR(Datos!B236,"")</f>
        <v/>
      </c>
      <c r="C236" s="8">
        <f>IFERROR(Datos!C236,"")</f>
        <v/>
      </c>
      <c r="D236" s="28">
        <f>IFERROR(IF(AND(ISNUMBER(B236),ISNUMBER(B235),B235&lt;&gt;0),B236/B235-1,""),"")</f>
        <v/>
      </c>
      <c r="E236" s="28">
        <f>IFERROR(IF(AND(ISNUMBER(C236),ISNUMBER(C235),C235&lt;&gt;0),C236/C235-1,""),"")</f>
        <v/>
      </c>
      <c r="F236" s="28">
        <f>IFERROR(D236-Dashboard!$B$4/252,"")</f>
        <v/>
      </c>
      <c r="G236" s="28">
        <f>IFERROR(E236-Dashboard!$B$4/252,"")</f>
        <v/>
      </c>
      <c r="H236" s="8">
        <f>IFERROR(IF(ISNUMBER(B236),MAX(B236,IFERROR(H235,B236)),""),"")</f>
        <v/>
      </c>
      <c r="I236" s="29">
        <f>IFERROR(IF(AND(ISNUMBER(B236),ISNUMBER(H236)),B236/H236-1,""),"")</f>
        <v/>
      </c>
      <c r="J236" s="8">
        <f>IFERROR(IF(ISNUMBER(C236),MAX(C236,IFERROR(J235,C236)),""),"")</f>
        <v/>
      </c>
      <c r="K236" s="29">
        <f>IFERROR(IF(AND(ISNUMBER(C236),ISNUMBER(J236)),C236/J236-1,""),"")</f>
        <v/>
      </c>
      <c r="L236" s="28">
        <f>IFERROR(IF(AND(ISNUMBER(D236),ISNUMBER(E236)),D236-E236,""),"")</f>
        <v/>
      </c>
    </row>
    <row r="237">
      <c r="A237" s="7">
        <f>IFERROR(Datos!A237,"")</f>
        <v/>
      </c>
      <c r="B237" s="8">
        <f>IFERROR(Datos!B237,"")</f>
        <v/>
      </c>
      <c r="C237" s="8">
        <f>IFERROR(Datos!C237,"")</f>
        <v/>
      </c>
      <c r="D237" s="28">
        <f>IFERROR(IF(AND(ISNUMBER(B237),ISNUMBER(B236),B236&lt;&gt;0),B237/B236-1,""),"")</f>
        <v/>
      </c>
      <c r="E237" s="28">
        <f>IFERROR(IF(AND(ISNUMBER(C237),ISNUMBER(C236),C236&lt;&gt;0),C237/C236-1,""),"")</f>
        <v/>
      </c>
      <c r="F237" s="28">
        <f>IFERROR(D237-Dashboard!$B$4/252,"")</f>
        <v/>
      </c>
      <c r="G237" s="28">
        <f>IFERROR(E237-Dashboard!$B$4/252,"")</f>
        <v/>
      </c>
      <c r="H237" s="8">
        <f>IFERROR(IF(ISNUMBER(B237),MAX(B237,IFERROR(H236,B237)),""),"")</f>
        <v/>
      </c>
      <c r="I237" s="29">
        <f>IFERROR(IF(AND(ISNUMBER(B237),ISNUMBER(H237)),B237/H237-1,""),"")</f>
        <v/>
      </c>
      <c r="J237" s="8">
        <f>IFERROR(IF(ISNUMBER(C237),MAX(C237,IFERROR(J236,C237)),""),"")</f>
        <v/>
      </c>
      <c r="K237" s="29">
        <f>IFERROR(IF(AND(ISNUMBER(C237),ISNUMBER(J237)),C237/J237-1,""),"")</f>
        <v/>
      </c>
      <c r="L237" s="28">
        <f>IFERROR(IF(AND(ISNUMBER(D237),ISNUMBER(E237)),D237-E237,""),"")</f>
        <v/>
      </c>
    </row>
    <row r="238">
      <c r="A238" s="7">
        <f>IFERROR(Datos!A238,"")</f>
        <v/>
      </c>
      <c r="B238" s="8">
        <f>IFERROR(Datos!B238,"")</f>
        <v/>
      </c>
      <c r="C238" s="8">
        <f>IFERROR(Datos!C238,"")</f>
        <v/>
      </c>
      <c r="D238" s="28">
        <f>IFERROR(IF(AND(ISNUMBER(B238),ISNUMBER(B237),B237&lt;&gt;0),B238/B237-1,""),"")</f>
        <v/>
      </c>
      <c r="E238" s="28">
        <f>IFERROR(IF(AND(ISNUMBER(C238),ISNUMBER(C237),C237&lt;&gt;0),C238/C237-1,""),"")</f>
        <v/>
      </c>
      <c r="F238" s="28">
        <f>IFERROR(D238-Dashboard!$B$4/252,"")</f>
        <v/>
      </c>
      <c r="G238" s="28">
        <f>IFERROR(E238-Dashboard!$B$4/252,"")</f>
        <v/>
      </c>
      <c r="H238" s="8">
        <f>IFERROR(IF(ISNUMBER(B238),MAX(B238,IFERROR(H237,B238)),""),"")</f>
        <v/>
      </c>
      <c r="I238" s="29">
        <f>IFERROR(IF(AND(ISNUMBER(B238),ISNUMBER(H238)),B238/H238-1,""),"")</f>
        <v/>
      </c>
      <c r="J238" s="8">
        <f>IFERROR(IF(ISNUMBER(C238),MAX(C238,IFERROR(J237,C238)),""),"")</f>
        <v/>
      </c>
      <c r="K238" s="29">
        <f>IFERROR(IF(AND(ISNUMBER(C238),ISNUMBER(J238)),C238/J238-1,""),"")</f>
        <v/>
      </c>
      <c r="L238" s="28">
        <f>IFERROR(IF(AND(ISNUMBER(D238),ISNUMBER(E238)),D238-E238,""),"")</f>
        <v/>
      </c>
    </row>
    <row r="239">
      <c r="A239" s="7">
        <f>IFERROR(Datos!A239,"")</f>
        <v/>
      </c>
      <c r="B239" s="8">
        <f>IFERROR(Datos!B239,"")</f>
        <v/>
      </c>
      <c r="C239" s="8">
        <f>IFERROR(Datos!C239,"")</f>
        <v/>
      </c>
      <c r="D239" s="28">
        <f>IFERROR(IF(AND(ISNUMBER(B239),ISNUMBER(B238),B238&lt;&gt;0),B239/B238-1,""),"")</f>
        <v/>
      </c>
      <c r="E239" s="28">
        <f>IFERROR(IF(AND(ISNUMBER(C239),ISNUMBER(C238),C238&lt;&gt;0),C239/C238-1,""),"")</f>
        <v/>
      </c>
      <c r="F239" s="28">
        <f>IFERROR(D239-Dashboard!$B$4/252,"")</f>
        <v/>
      </c>
      <c r="G239" s="28">
        <f>IFERROR(E239-Dashboard!$B$4/252,"")</f>
        <v/>
      </c>
      <c r="H239" s="8">
        <f>IFERROR(IF(ISNUMBER(B239),MAX(B239,IFERROR(H238,B239)),""),"")</f>
        <v/>
      </c>
      <c r="I239" s="29">
        <f>IFERROR(IF(AND(ISNUMBER(B239),ISNUMBER(H239)),B239/H239-1,""),"")</f>
        <v/>
      </c>
      <c r="J239" s="8">
        <f>IFERROR(IF(ISNUMBER(C239),MAX(C239,IFERROR(J238,C239)),""),"")</f>
        <v/>
      </c>
      <c r="K239" s="29">
        <f>IFERROR(IF(AND(ISNUMBER(C239),ISNUMBER(J239)),C239/J239-1,""),"")</f>
        <v/>
      </c>
      <c r="L239" s="28">
        <f>IFERROR(IF(AND(ISNUMBER(D239),ISNUMBER(E239)),D239-E239,""),"")</f>
        <v/>
      </c>
    </row>
    <row r="240">
      <c r="A240" s="7">
        <f>IFERROR(Datos!A240,"")</f>
        <v/>
      </c>
      <c r="B240" s="8">
        <f>IFERROR(Datos!B240,"")</f>
        <v/>
      </c>
      <c r="C240" s="8">
        <f>IFERROR(Datos!C240,"")</f>
        <v/>
      </c>
      <c r="D240" s="28">
        <f>IFERROR(IF(AND(ISNUMBER(B240),ISNUMBER(B239),B239&lt;&gt;0),B240/B239-1,""),"")</f>
        <v/>
      </c>
      <c r="E240" s="28">
        <f>IFERROR(IF(AND(ISNUMBER(C240),ISNUMBER(C239),C239&lt;&gt;0),C240/C239-1,""),"")</f>
        <v/>
      </c>
      <c r="F240" s="28">
        <f>IFERROR(D240-Dashboard!$B$4/252,"")</f>
        <v/>
      </c>
      <c r="G240" s="28">
        <f>IFERROR(E240-Dashboard!$B$4/252,"")</f>
        <v/>
      </c>
      <c r="H240" s="8">
        <f>IFERROR(IF(ISNUMBER(B240),MAX(B240,IFERROR(H239,B240)),""),"")</f>
        <v/>
      </c>
      <c r="I240" s="29">
        <f>IFERROR(IF(AND(ISNUMBER(B240),ISNUMBER(H240)),B240/H240-1,""),"")</f>
        <v/>
      </c>
      <c r="J240" s="8">
        <f>IFERROR(IF(ISNUMBER(C240),MAX(C240,IFERROR(J239,C240)),""),"")</f>
        <v/>
      </c>
      <c r="K240" s="29">
        <f>IFERROR(IF(AND(ISNUMBER(C240),ISNUMBER(J240)),C240/J240-1,""),"")</f>
        <v/>
      </c>
      <c r="L240" s="28">
        <f>IFERROR(IF(AND(ISNUMBER(D240),ISNUMBER(E240)),D240-E240,""),"")</f>
        <v/>
      </c>
    </row>
    <row r="241">
      <c r="A241" s="7">
        <f>IFERROR(Datos!A241,"")</f>
        <v/>
      </c>
      <c r="B241" s="8">
        <f>IFERROR(Datos!B241,"")</f>
        <v/>
      </c>
      <c r="C241" s="8">
        <f>IFERROR(Datos!C241,"")</f>
        <v/>
      </c>
      <c r="D241" s="28">
        <f>IFERROR(IF(AND(ISNUMBER(B241),ISNUMBER(B240),B240&lt;&gt;0),B241/B240-1,""),"")</f>
        <v/>
      </c>
      <c r="E241" s="28">
        <f>IFERROR(IF(AND(ISNUMBER(C241),ISNUMBER(C240),C240&lt;&gt;0),C241/C240-1,""),"")</f>
        <v/>
      </c>
      <c r="F241" s="28">
        <f>IFERROR(D241-Dashboard!$B$4/252,"")</f>
        <v/>
      </c>
      <c r="G241" s="28">
        <f>IFERROR(E241-Dashboard!$B$4/252,"")</f>
        <v/>
      </c>
      <c r="H241" s="8">
        <f>IFERROR(IF(ISNUMBER(B241),MAX(B241,IFERROR(H240,B241)),""),"")</f>
        <v/>
      </c>
      <c r="I241" s="29">
        <f>IFERROR(IF(AND(ISNUMBER(B241),ISNUMBER(H241)),B241/H241-1,""),"")</f>
        <v/>
      </c>
      <c r="J241" s="8">
        <f>IFERROR(IF(ISNUMBER(C241),MAX(C241,IFERROR(J240,C241)),""),"")</f>
        <v/>
      </c>
      <c r="K241" s="29">
        <f>IFERROR(IF(AND(ISNUMBER(C241),ISNUMBER(J241)),C241/J241-1,""),"")</f>
        <v/>
      </c>
      <c r="L241" s="28">
        <f>IFERROR(IF(AND(ISNUMBER(D241),ISNUMBER(E241)),D241-E241,""),"")</f>
        <v/>
      </c>
    </row>
    <row r="242">
      <c r="A242" s="7">
        <f>IFERROR(Datos!A242,"")</f>
        <v/>
      </c>
      <c r="B242" s="8">
        <f>IFERROR(Datos!B242,"")</f>
        <v/>
      </c>
      <c r="C242" s="8">
        <f>IFERROR(Datos!C242,"")</f>
        <v/>
      </c>
      <c r="D242" s="28">
        <f>IFERROR(IF(AND(ISNUMBER(B242),ISNUMBER(B241),B241&lt;&gt;0),B242/B241-1,""),"")</f>
        <v/>
      </c>
      <c r="E242" s="28">
        <f>IFERROR(IF(AND(ISNUMBER(C242),ISNUMBER(C241),C241&lt;&gt;0),C242/C241-1,""),"")</f>
        <v/>
      </c>
      <c r="F242" s="28">
        <f>IFERROR(D242-Dashboard!$B$4/252,"")</f>
        <v/>
      </c>
      <c r="G242" s="28">
        <f>IFERROR(E242-Dashboard!$B$4/252,"")</f>
        <v/>
      </c>
      <c r="H242" s="8">
        <f>IFERROR(IF(ISNUMBER(B242),MAX(B242,IFERROR(H241,B242)),""),"")</f>
        <v/>
      </c>
      <c r="I242" s="29">
        <f>IFERROR(IF(AND(ISNUMBER(B242),ISNUMBER(H242)),B242/H242-1,""),"")</f>
        <v/>
      </c>
      <c r="J242" s="8">
        <f>IFERROR(IF(ISNUMBER(C242),MAX(C242,IFERROR(J241,C242)),""),"")</f>
        <v/>
      </c>
      <c r="K242" s="29">
        <f>IFERROR(IF(AND(ISNUMBER(C242),ISNUMBER(J242)),C242/J242-1,""),"")</f>
        <v/>
      </c>
      <c r="L242" s="28">
        <f>IFERROR(IF(AND(ISNUMBER(D242),ISNUMBER(E242)),D242-E242,""),"")</f>
        <v/>
      </c>
    </row>
    <row r="243">
      <c r="A243" s="7">
        <f>IFERROR(Datos!A243,"")</f>
        <v/>
      </c>
      <c r="B243" s="8">
        <f>IFERROR(Datos!B243,"")</f>
        <v/>
      </c>
      <c r="C243" s="8">
        <f>IFERROR(Datos!C243,"")</f>
        <v/>
      </c>
      <c r="D243" s="28">
        <f>IFERROR(IF(AND(ISNUMBER(B243),ISNUMBER(B242),B242&lt;&gt;0),B243/B242-1,""),"")</f>
        <v/>
      </c>
      <c r="E243" s="28">
        <f>IFERROR(IF(AND(ISNUMBER(C243),ISNUMBER(C242),C242&lt;&gt;0),C243/C242-1,""),"")</f>
        <v/>
      </c>
      <c r="F243" s="28">
        <f>IFERROR(D243-Dashboard!$B$4/252,"")</f>
        <v/>
      </c>
      <c r="G243" s="28">
        <f>IFERROR(E243-Dashboard!$B$4/252,"")</f>
        <v/>
      </c>
      <c r="H243" s="8">
        <f>IFERROR(IF(ISNUMBER(B243),MAX(B243,IFERROR(H242,B243)),""),"")</f>
        <v/>
      </c>
      <c r="I243" s="29">
        <f>IFERROR(IF(AND(ISNUMBER(B243),ISNUMBER(H243)),B243/H243-1,""),"")</f>
        <v/>
      </c>
      <c r="J243" s="8">
        <f>IFERROR(IF(ISNUMBER(C243),MAX(C243,IFERROR(J242,C243)),""),"")</f>
        <v/>
      </c>
      <c r="K243" s="29">
        <f>IFERROR(IF(AND(ISNUMBER(C243),ISNUMBER(J243)),C243/J243-1,""),"")</f>
        <v/>
      </c>
      <c r="L243" s="28">
        <f>IFERROR(IF(AND(ISNUMBER(D243),ISNUMBER(E243)),D243-E243,""),"")</f>
        <v/>
      </c>
    </row>
    <row r="244">
      <c r="A244" s="7">
        <f>IFERROR(Datos!A244,"")</f>
        <v/>
      </c>
      <c r="B244" s="8">
        <f>IFERROR(Datos!B244,"")</f>
        <v/>
      </c>
      <c r="C244" s="8">
        <f>IFERROR(Datos!C244,"")</f>
        <v/>
      </c>
      <c r="D244" s="28">
        <f>IFERROR(IF(AND(ISNUMBER(B244),ISNUMBER(B243),B243&lt;&gt;0),B244/B243-1,""),"")</f>
        <v/>
      </c>
      <c r="E244" s="28">
        <f>IFERROR(IF(AND(ISNUMBER(C244),ISNUMBER(C243),C243&lt;&gt;0),C244/C243-1,""),"")</f>
        <v/>
      </c>
      <c r="F244" s="28">
        <f>IFERROR(D244-Dashboard!$B$4/252,"")</f>
        <v/>
      </c>
      <c r="G244" s="28">
        <f>IFERROR(E244-Dashboard!$B$4/252,"")</f>
        <v/>
      </c>
      <c r="H244" s="8">
        <f>IFERROR(IF(ISNUMBER(B244),MAX(B244,IFERROR(H243,B244)),""),"")</f>
        <v/>
      </c>
      <c r="I244" s="29">
        <f>IFERROR(IF(AND(ISNUMBER(B244),ISNUMBER(H244)),B244/H244-1,""),"")</f>
        <v/>
      </c>
      <c r="J244" s="8">
        <f>IFERROR(IF(ISNUMBER(C244),MAX(C244,IFERROR(J243,C244)),""),"")</f>
        <v/>
      </c>
      <c r="K244" s="29">
        <f>IFERROR(IF(AND(ISNUMBER(C244),ISNUMBER(J244)),C244/J244-1,""),"")</f>
        <v/>
      </c>
      <c r="L244" s="28">
        <f>IFERROR(IF(AND(ISNUMBER(D244),ISNUMBER(E244)),D244-E244,""),"")</f>
        <v/>
      </c>
    </row>
    <row r="245">
      <c r="A245" s="7">
        <f>IFERROR(Datos!A245,"")</f>
        <v/>
      </c>
      <c r="B245" s="8">
        <f>IFERROR(Datos!B245,"")</f>
        <v/>
      </c>
      <c r="C245" s="8">
        <f>IFERROR(Datos!C245,"")</f>
        <v/>
      </c>
      <c r="D245" s="28">
        <f>IFERROR(IF(AND(ISNUMBER(B245),ISNUMBER(B244),B244&lt;&gt;0),B245/B244-1,""),"")</f>
        <v/>
      </c>
      <c r="E245" s="28">
        <f>IFERROR(IF(AND(ISNUMBER(C245),ISNUMBER(C244),C244&lt;&gt;0),C245/C244-1,""),"")</f>
        <v/>
      </c>
      <c r="F245" s="28">
        <f>IFERROR(D245-Dashboard!$B$4/252,"")</f>
        <v/>
      </c>
      <c r="G245" s="28">
        <f>IFERROR(E245-Dashboard!$B$4/252,"")</f>
        <v/>
      </c>
      <c r="H245" s="8">
        <f>IFERROR(IF(ISNUMBER(B245),MAX(B245,IFERROR(H244,B245)),""),"")</f>
        <v/>
      </c>
      <c r="I245" s="29">
        <f>IFERROR(IF(AND(ISNUMBER(B245),ISNUMBER(H245)),B245/H245-1,""),"")</f>
        <v/>
      </c>
      <c r="J245" s="8">
        <f>IFERROR(IF(ISNUMBER(C245),MAX(C245,IFERROR(J244,C245)),""),"")</f>
        <v/>
      </c>
      <c r="K245" s="29">
        <f>IFERROR(IF(AND(ISNUMBER(C245),ISNUMBER(J245)),C245/J245-1,""),"")</f>
        <v/>
      </c>
      <c r="L245" s="28">
        <f>IFERROR(IF(AND(ISNUMBER(D245),ISNUMBER(E245)),D245-E245,""),"")</f>
        <v/>
      </c>
    </row>
    <row r="246">
      <c r="A246" s="7">
        <f>IFERROR(Datos!A246,"")</f>
        <v/>
      </c>
      <c r="B246" s="8">
        <f>IFERROR(Datos!B246,"")</f>
        <v/>
      </c>
      <c r="C246" s="8">
        <f>IFERROR(Datos!C246,"")</f>
        <v/>
      </c>
      <c r="D246" s="28">
        <f>IFERROR(IF(AND(ISNUMBER(B246),ISNUMBER(B245),B245&lt;&gt;0),B246/B245-1,""),"")</f>
        <v/>
      </c>
      <c r="E246" s="28">
        <f>IFERROR(IF(AND(ISNUMBER(C246),ISNUMBER(C245),C245&lt;&gt;0),C246/C245-1,""),"")</f>
        <v/>
      </c>
      <c r="F246" s="28">
        <f>IFERROR(D246-Dashboard!$B$4/252,"")</f>
        <v/>
      </c>
      <c r="G246" s="28">
        <f>IFERROR(E246-Dashboard!$B$4/252,"")</f>
        <v/>
      </c>
      <c r="H246" s="8">
        <f>IFERROR(IF(ISNUMBER(B246),MAX(B246,IFERROR(H245,B246)),""),"")</f>
        <v/>
      </c>
      <c r="I246" s="29">
        <f>IFERROR(IF(AND(ISNUMBER(B246),ISNUMBER(H246)),B246/H246-1,""),"")</f>
        <v/>
      </c>
      <c r="J246" s="8">
        <f>IFERROR(IF(ISNUMBER(C246),MAX(C246,IFERROR(J245,C246)),""),"")</f>
        <v/>
      </c>
      <c r="K246" s="29">
        <f>IFERROR(IF(AND(ISNUMBER(C246),ISNUMBER(J246)),C246/J246-1,""),"")</f>
        <v/>
      </c>
      <c r="L246" s="28">
        <f>IFERROR(IF(AND(ISNUMBER(D246),ISNUMBER(E246)),D246-E246,""),"")</f>
        <v/>
      </c>
    </row>
    <row r="247">
      <c r="A247" s="7">
        <f>IFERROR(Datos!A247,"")</f>
        <v/>
      </c>
      <c r="B247" s="8">
        <f>IFERROR(Datos!B247,"")</f>
        <v/>
      </c>
      <c r="C247" s="8">
        <f>IFERROR(Datos!C247,"")</f>
        <v/>
      </c>
      <c r="D247" s="28">
        <f>IFERROR(IF(AND(ISNUMBER(B247),ISNUMBER(B246),B246&lt;&gt;0),B247/B246-1,""),"")</f>
        <v/>
      </c>
      <c r="E247" s="28">
        <f>IFERROR(IF(AND(ISNUMBER(C247),ISNUMBER(C246),C246&lt;&gt;0),C247/C246-1,""),"")</f>
        <v/>
      </c>
      <c r="F247" s="28">
        <f>IFERROR(D247-Dashboard!$B$4/252,"")</f>
        <v/>
      </c>
      <c r="G247" s="28">
        <f>IFERROR(E247-Dashboard!$B$4/252,"")</f>
        <v/>
      </c>
      <c r="H247" s="8">
        <f>IFERROR(IF(ISNUMBER(B247),MAX(B247,IFERROR(H246,B247)),""),"")</f>
        <v/>
      </c>
      <c r="I247" s="29">
        <f>IFERROR(IF(AND(ISNUMBER(B247),ISNUMBER(H247)),B247/H247-1,""),"")</f>
        <v/>
      </c>
      <c r="J247" s="8">
        <f>IFERROR(IF(ISNUMBER(C247),MAX(C247,IFERROR(J246,C247)),""),"")</f>
        <v/>
      </c>
      <c r="K247" s="29">
        <f>IFERROR(IF(AND(ISNUMBER(C247),ISNUMBER(J247)),C247/J247-1,""),"")</f>
        <v/>
      </c>
      <c r="L247" s="28">
        <f>IFERROR(IF(AND(ISNUMBER(D247),ISNUMBER(E247)),D247-E247,""),"")</f>
        <v/>
      </c>
    </row>
    <row r="248">
      <c r="A248" s="7">
        <f>IFERROR(Datos!A248,"")</f>
        <v/>
      </c>
      <c r="B248" s="8">
        <f>IFERROR(Datos!B248,"")</f>
        <v/>
      </c>
      <c r="C248" s="8">
        <f>IFERROR(Datos!C248,"")</f>
        <v/>
      </c>
      <c r="D248" s="28">
        <f>IFERROR(IF(AND(ISNUMBER(B248),ISNUMBER(B247),B247&lt;&gt;0),B248/B247-1,""),"")</f>
        <v/>
      </c>
      <c r="E248" s="28">
        <f>IFERROR(IF(AND(ISNUMBER(C248),ISNUMBER(C247),C247&lt;&gt;0),C248/C247-1,""),"")</f>
        <v/>
      </c>
      <c r="F248" s="28">
        <f>IFERROR(D248-Dashboard!$B$4/252,"")</f>
        <v/>
      </c>
      <c r="G248" s="28">
        <f>IFERROR(E248-Dashboard!$B$4/252,"")</f>
        <v/>
      </c>
      <c r="H248" s="8">
        <f>IFERROR(IF(ISNUMBER(B248),MAX(B248,IFERROR(H247,B248)),""),"")</f>
        <v/>
      </c>
      <c r="I248" s="29">
        <f>IFERROR(IF(AND(ISNUMBER(B248),ISNUMBER(H248)),B248/H248-1,""),"")</f>
        <v/>
      </c>
      <c r="J248" s="8">
        <f>IFERROR(IF(ISNUMBER(C248),MAX(C248,IFERROR(J247,C248)),""),"")</f>
        <v/>
      </c>
      <c r="K248" s="29">
        <f>IFERROR(IF(AND(ISNUMBER(C248),ISNUMBER(J248)),C248/J248-1,""),"")</f>
        <v/>
      </c>
      <c r="L248" s="28">
        <f>IFERROR(IF(AND(ISNUMBER(D248),ISNUMBER(E248)),D248-E248,""),"")</f>
        <v/>
      </c>
    </row>
    <row r="249">
      <c r="A249" s="7">
        <f>IFERROR(Datos!A249,"")</f>
        <v/>
      </c>
      <c r="B249" s="8">
        <f>IFERROR(Datos!B249,"")</f>
        <v/>
      </c>
      <c r="C249" s="8">
        <f>IFERROR(Datos!C249,"")</f>
        <v/>
      </c>
      <c r="D249" s="28">
        <f>IFERROR(IF(AND(ISNUMBER(B249),ISNUMBER(B248),B248&lt;&gt;0),B249/B248-1,""),"")</f>
        <v/>
      </c>
      <c r="E249" s="28">
        <f>IFERROR(IF(AND(ISNUMBER(C249),ISNUMBER(C248),C248&lt;&gt;0),C249/C248-1,""),"")</f>
        <v/>
      </c>
      <c r="F249" s="28">
        <f>IFERROR(D249-Dashboard!$B$4/252,"")</f>
        <v/>
      </c>
      <c r="G249" s="28">
        <f>IFERROR(E249-Dashboard!$B$4/252,"")</f>
        <v/>
      </c>
      <c r="H249" s="8">
        <f>IFERROR(IF(ISNUMBER(B249),MAX(B249,IFERROR(H248,B249)),""),"")</f>
        <v/>
      </c>
      <c r="I249" s="29">
        <f>IFERROR(IF(AND(ISNUMBER(B249),ISNUMBER(H249)),B249/H249-1,""),"")</f>
        <v/>
      </c>
      <c r="J249" s="8">
        <f>IFERROR(IF(ISNUMBER(C249),MAX(C249,IFERROR(J248,C249)),""),"")</f>
        <v/>
      </c>
      <c r="K249" s="29">
        <f>IFERROR(IF(AND(ISNUMBER(C249),ISNUMBER(J249)),C249/J249-1,""),"")</f>
        <v/>
      </c>
      <c r="L249" s="28">
        <f>IFERROR(IF(AND(ISNUMBER(D249),ISNUMBER(E249)),D249-E249,""),"")</f>
        <v/>
      </c>
    </row>
    <row r="250">
      <c r="A250" s="7">
        <f>IFERROR(Datos!A250,"")</f>
        <v/>
      </c>
      <c r="B250" s="8">
        <f>IFERROR(Datos!B250,"")</f>
        <v/>
      </c>
      <c r="C250" s="8">
        <f>IFERROR(Datos!C250,"")</f>
        <v/>
      </c>
      <c r="D250" s="28">
        <f>IFERROR(IF(AND(ISNUMBER(B250),ISNUMBER(B249),B249&lt;&gt;0),B250/B249-1,""),"")</f>
        <v/>
      </c>
      <c r="E250" s="28">
        <f>IFERROR(IF(AND(ISNUMBER(C250),ISNUMBER(C249),C249&lt;&gt;0),C250/C249-1,""),"")</f>
        <v/>
      </c>
      <c r="F250" s="28">
        <f>IFERROR(D250-Dashboard!$B$4/252,"")</f>
        <v/>
      </c>
      <c r="G250" s="28">
        <f>IFERROR(E250-Dashboard!$B$4/252,"")</f>
        <v/>
      </c>
      <c r="H250" s="8">
        <f>IFERROR(IF(ISNUMBER(B250),MAX(B250,IFERROR(H249,B250)),""),"")</f>
        <v/>
      </c>
      <c r="I250" s="29">
        <f>IFERROR(IF(AND(ISNUMBER(B250),ISNUMBER(H250)),B250/H250-1,""),"")</f>
        <v/>
      </c>
      <c r="J250" s="8">
        <f>IFERROR(IF(ISNUMBER(C250),MAX(C250,IFERROR(J249,C250)),""),"")</f>
        <v/>
      </c>
      <c r="K250" s="29">
        <f>IFERROR(IF(AND(ISNUMBER(C250),ISNUMBER(J250)),C250/J250-1,""),"")</f>
        <v/>
      </c>
      <c r="L250" s="28">
        <f>IFERROR(IF(AND(ISNUMBER(D250),ISNUMBER(E250)),D250-E250,""),"")</f>
        <v/>
      </c>
    </row>
    <row r="251">
      <c r="A251" s="7">
        <f>IFERROR(Datos!A251,"")</f>
        <v/>
      </c>
      <c r="B251" s="8">
        <f>IFERROR(Datos!B251,"")</f>
        <v/>
      </c>
      <c r="C251" s="8">
        <f>IFERROR(Datos!C251,"")</f>
        <v/>
      </c>
      <c r="D251" s="28">
        <f>IFERROR(IF(AND(ISNUMBER(B251),ISNUMBER(B250),B250&lt;&gt;0),B251/B250-1,""),"")</f>
        <v/>
      </c>
      <c r="E251" s="28">
        <f>IFERROR(IF(AND(ISNUMBER(C251),ISNUMBER(C250),C250&lt;&gt;0),C251/C250-1,""),"")</f>
        <v/>
      </c>
      <c r="F251" s="28">
        <f>IFERROR(D251-Dashboard!$B$4/252,"")</f>
        <v/>
      </c>
      <c r="G251" s="28">
        <f>IFERROR(E251-Dashboard!$B$4/252,"")</f>
        <v/>
      </c>
      <c r="H251" s="8">
        <f>IFERROR(IF(ISNUMBER(B251),MAX(B251,IFERROR(H250,B251)),""),"")</f>
        <v/>
      </c>
      <c r="I251" s="29">
        <f>IFERROR(IF(AND(ISNUMBER(B251),ISNUMBER(H251)),B251/H251-1,""),"")</f>
        <v/>
      </c>
      <c r="J251" s="8">
        <f>IFERROR(IF(ISNUMBER(C251),MAX(C251,IFERROR(J250,C251)),""),"")</f>
        <v/>
      </c>
      <c r="K251" s="29">
        <f>IFERROR(IF(AND(ISNUMBER(C251),ISNUMBER(J251)),C251/J251-1,""),"")</f>
        <v/>
      </c>
      <c r="L251" s="28">
        <f>IFERROR(IF(AND(ISNUMBER(D251),ISNUMBER(E251)),D251-E251,""),"")</f>
        <v/>
      </c>
    </row>
    <row r="252">
      <c r="A252" s="7">
        <f>IFERROR(Datos!A252,"")</f>
        <v/>
      </c>
      <c r="B252" s="8">
        <f>IFERROR(Datos!B252,"")</f>
        <v/>
      </c>
      <c r="C252" s="8">
        <f>IFERROR(Datos!C252,"")</f>
        <v/>
      </c>
      <c r="D252" s="28">
        <f>IFERROR(IF(AND(ISNUMBER(B252),ISNUMBER(B251),B251&lt;&gt;0),B252/B251-1,""),"")</f>
        <v/>
      </c>
      <c r="E252" s="28">
        <f>IFERROR(IF(AND(ISNUMBER(C252),ISNUMBER(C251),C251&lt;&gt;0),C252/C251-1,""),"")</f>
        <v/>
      </c>
      <c r="F252" s="28">
        <f>IFERROR(D252-Dashboard!$B$4/252,"")</f>
        <v/>
      </c>
      <c r="G252" s="28">
        <f>IFERROR(E252-Dashboard!$B$4/252,"")</f>
        <v/>
      </c>
      <c r="H252" s="8">
        <f>IFERROR(IF(ISNUMBER(B252),MAX(B252,IFERROR(H251,B252)),""),"")</f>
        <v/>
      </c>
      <c r="I252" s="29">
        <f>IFERROR(IF(AND(ISNUMBER(B252),ISNUMBER(H252)),B252/H252-1,""),"")</f>
        <v/>
      </c>
      <c r="J252" s="8">
        <f>IFERROR(IF(ISNUMBER(C252),MAX(C252,IFERROR(J251,C252)),""),"")</f>
        <v/>
      </c>
      <c r="K252" s="29">
        <f>IFERROR(IF(AND(ISNUMBER(C252),ISNUMBER(J252)),C252/J252-1,""),"")</f>
        <v/>
      </c>
      <c r="L252" s="28">
        <f>IFERROR(IF(AND(ISNUMBER(D252),ISNUMBER(E252)),D252-E252,""),"")</f>
        <v/>
      </c>
    </row>
    <row r="253">
      <c r="A253" s="7">
        <f>IFERROR(Datos!A253,"")</f>
        <v/>
      </c>
      <c r="B253" s="8">
        <f>IFERROR(Datos!B253,"")</f>
        <v/>
      </c>
      <c r="C253" s="8">
        <f>IFERROR(Datos!C253,"")</f>
        <v/>
      </c>
      <c r="D253" s="28">
        <f>IFERROR(IF(AND(ISNUMBER(B253),ISNUMBER(B252),B252&lt;&gt;0),B253/B252-1,""),"")</f>
        <v/>
      </c>
      <c r="E253" s="28">
        <f>IFERROR(IF(AND(ISNUMBER(C253),ISNUMBER(C252),C252&lt;&gt;0),C253/C252-1,""),"")</f>
        <v/>
      </c>
      <c r="F253" s="28">
        <f>IFERROR(D253-Dashboard!$B$4/252,"")</f>
        <v/>
      </c>
      <c r="G253" s="28">
        <f>IFERROR(E253-Dashboard!$B$4/252,"")</f>
        <v/>
      </c>
      <c r="H253" s="8">
        <f>IFERROR(IF(ISNUMBER(B253),MAX(B253,IFERROR(H252,B253)),""),"")</f>
        <v/>
      </c>
      <c r="I253" s="29">
        <f>IFERROR(IF(AND(ISNUMBER(B253),ISNUMBER(H253)),B253/H253-1,""),"")</f>
        <v/>
      </c>
      <c r="J253" s="8">
        <f>IFERROR(IF(ISNUMBER(C253),MAX(C253,IFERROR(J252,C253)),""),"")</f>
        <v/>
      </c>
      <c r="K253" s="29">
        <f>IFERROR(IF(AND(ISNUMBER(C253),ISNUMBER(J253)),C253/J253-1,""),"")</f>
        <v/>
      </c>
      <c r="L253" s="28">
        <f>IFERROR(IF(AND(ISNUMBER(D253),ISNUMBER(E253)),D253-E253,""),"")</f>
        <v/>
      </c>
    </row>
    <row r="254">
      <c r="A254" s="7">
        <f>IFERROR(Datos!A254,"")</f>
        <v/>
      </c>
      <c r="B254" s="8">
        <f>IFERROR(Datos!B254,"")</f>
        <v/>
      </c>
      <c r="C254" s="8">
        <f>IFERROR(Datos!C254,"")</f>
        <v/>
      </c>
      <c r="D254" s="28">
        <f>IFERROR(IF(AND(ISNUMBER(B254),ISNUMBER(B253),B253&lt;&gt;0),B254/B253-1,""),"")</f>
        <v/>
      </c>
      <c r="E254" s="28">
        <f>IFERROR(IF(AND(ISNUMBER(C254),ISNUMBER(C253),C253&lt;&gt;0),C254/C253-1,""),"")</f>
        <v/>
      </c>
      <c r="F254" s="28">
        <f>IFERROR(D254-Dashboard!$B$4/252,"")</f>
        <v/>
      </c>
      <c r="G254" s="28">
        <f>IFERROR(E254-Dashboard!$B$4/252,"")</f>
        <v/>
      </c>
      <c r="H254" s="8">
        <f>IFERROR(IF(ISNUMBER(B254),MAX(B254,IFERROR(H253,B254)),""),"")</f>
        <v/>
      </c>
      <c r="I254" s="29">
        <f>IFERROR(IF(AND(ISNUMBER(B254),ISNUMBER(H254)),B254/H254-1,""),"")</f>
        <v/>
      </c>
      <c r="J254" s="8">
        <f>IFERROR(IF(ISNUMBER(C254),MAX(C254,IFERROR(J253,C254)),""),"")</f>
        <v/>
      </c>
      <c r="K254" s="29">
        <f>IFERROR(IF(AND(ISNUMBER(C254),ISNUMBER(J254)),C254/J254-1,""),"")</f>
        <v/>
      </c>
      <c r="L254" s="28">
        <f>IFERROR(IF(AND(ISNUMBER(D254),ISNUMBER(E254)),D254-E254,""),"")</f>
        <v/>
      </c>
    </row>
    <row r="255">
      <c r="A255" s="7">
        <f>IFERROR(Datos!A255,"")</f>
        <v/>
      </c>
      <c r="B255" s="8">
        <f>IFERROR(Datos!B255,"")</f>
        <v/>
      </c>
      <c r="C255" s="8">
        <f>IFERROR(Datos!C255,"")</f>
        <v/>
      </c>
      <c r="D255" s="28">
        <f>IFERROR(IF(AND(ISNUMBER(B255),ISNUMBER(B254),B254&lt;&gt;0),B255/B254-1,""),"")</f>
        <v/>
      </c>
      <c r="E255" s="28">
        <f>IFERROR(IF(AND(ISNUMBER(C255),ISNUMBER(C254),C254&lt;&gt;0),C255/C254-1,""),"")</f>
        <v/>
      </c>
      <c r="F255" s="28">
        <f>IFERROR(D255-Dashboard!$B$4/252,"")</f>
        <v/>
      </c>
      <c r="G255" s="28">
        <f>IFERROR(E255-Dashboard!$B$4/252,"")</f>
        <v/>
      </c>
      <c r="H255" s="8">
        <f>IFERROR(IF(ISNUMBER(B255),MAX(B255,IFERROR(H254,B255)),""),"")</f>
        <v/>
      </c>
      <c r="I255" s="29">
        <f>IFERROR(IF(AND(ISNUMBER(B255),ISNUMBER(H255)),B255/H255-1,""),"")</f>
        <v/>
      </c>
      <c r="J255" s="8">
        <f>IFERROR(IF(ISNUMBER(C255),MAX(C255,IFERROR(J254,C255)),""),"")</f>
        <v/>
      </c>
      <c r="K255" s="29">
        <f>IFERROR(IF(AND(ISNUMBER(C255),ISNUMBER(J255)),C255/J255-1,""),"")</f>
        <v/>
      </c>
      <c r="L255" s="28">
        <f>IFERROR(IF(AND(ISNUMBER(D255),ISNUMBER(E255)),D255-E255,""),"")</f>
        <v/>
      </c>
    </row>
    <row r="256">
      <c r="A256" s="7">
        <f>IFERROR(Datos!A256,"")</f>
        <v/>
      </c>
      <c r="B256" s="8">
        <f>IFERROR(Datos!B256,"")</f>
        <v/>
      </c>
      <c r="C256" s="8">
        <f>IFERROR(Datos!C256,"")</f>
        <v/>
      </c>
      <c r="D256" s="28">
        <f>IFERROR(IF(AND(ISNUMBER(B256),ISNUMBER(B255),B255&lt;&gt;0),B256/B255-1,""),"")</f>
        <v/>
      </c>
      <c r="E256" s="28">
        <f>IFERROR(IF(AND(ISNUMBER(C256),ISNUMBER(C255),C255&lt;&gt;0),C256/C255-1,""),"")</f>
        <v/>
      </c>
      <c r="F256" s="28">
        <f>IFERROR(D256-Dashboard!$B$4/252,"")</f>
        <v/>
      </c>
      <c r="G256" s="28">
        <f>IFERROR(E256-Dashboard!$B$4/252,"")</f>
        <v/>
      </c>
      <c r="H256" s="8">
        <f>IFERROR(IF(ISNUMBER(B256),MAX(B256,IFERROR(H255,B256)),""),"")</f>
        <v/>
      </c>
      <c r="I256" s="29">
        <f>IFERROR(IF(AND(ISNUMBER(B256),ISNUMBER(H256)),B256/H256-1,""),"")</f>
        <v/>
      </c>
      <c r="J256" s="8">
        <f>IFERROR(IF(ISNUMBER(C256),MAX(C256,IFERROR(J255,C256)),""),"")</f>
        <v/>
      </c>
      <c r="K256" s="29">
        <f>IFERROR(IF(AND(ISNUMBER(C256),ISNUMBER(J256)),C256/J256-1,""),"")</f>
        <v/>
      </c>
      <c r="L256" s="28">
        <f>IFERROR(IF(AND(ISNUMBER(D256),ISNUMBER(E256)),D256-E256,""),"")</f>
        <v/>
      </c>
    </row>
    <row r="257">
      <c r="A257" s="7">
        <f>IFERROR(Datos!A257,"")</f>
        <v/>
      </c>
      <c r="B257" s="8">
        <f>IFERROR(Datos!B257,"")</f>
        <v/>
      </c>
      <c r="C257" s="8">
        <f>IFERROR(Datos!C257,"")</f>
        <v/>
      </c>
      <c r="D257" s="28">
        <f>IFERROR(IF(AND(ISNUMBER(B257),ISNUMBER(B256),B256&lt;&gt;0),B257/B256-1,""),"")</f>
        <v/>
      </c>
      <c r="E257" s="28">
        <f>IFERROR(IF(AND(ISNUMBER(C257),ISNUMBER(C256),C256&lt;&gt;0),C257/C256-1,""),"")</f>
        <v/>
      </c>
      <c r="F257" s="28">
        <f>IFERROR(D257-Dashboard!$B$4/252,"")</f>
        <v/>
      </c>
      <c r="G257" s="28">
        <f>IFERROR(E257-Dashboard!$B$4/252,"")</f>
        <v/>
      </c>
      <c r="H257" s="8">
        <f>IFERROR(IF(ISNUMBER(B257),MAX(B257,IFERROR(H256,B257)),""),"")</f>
        <v/>
      </c>
      <c r="I257" s="29">
        <f>IFERROR(IF(AND(ISNUMBER(B257),ISNUMBER(H257)),B257/H257-1,""),"")</f>
        <v/>
      </c>
      <c r="J257" s="8">
        <f>IFERROR(IF(ISNUMBER(C257),MAX(C257,IFERROR(J256,C257)),""),"")</f>
        <v/>
      </c>
      <c r="K257" s="29">
        <f>IFERROR(IF(AND(ISNUMBER(C257),ISNUMBER(J257)),C257/J257-1,""),"")</f>
        <v/>
      </c>
      <c r="L257" s="28">
        <f>IFERROR(IF(AND(ISNUMBER(D257),ISNUMBER(E257)),D257-E257,""),"")</f>
        <v/>
      </c>
    </row>
    <row r="258">
      <c r="A258" s="7">
        <f>IFERROR(Datos!A258,"")</f>
        <v/>
      </c>
      <c r="B258" s="8">
        <f>IFERROR(Datos!B258,"")</f>
        <v/>
      </c>
      <c r="C258" s="8">
        <f>IFERROR(Datos!C258,"")</f>
        <v/>
      </c>
      <c r="D258" s="28">
        <f>IFERROR(IF(AND(ISNUMBER(B258),ISNUMBER(B257),B257&lt;&gt;0),B258/B257-1,""),"")</f>
        <v/>
      </c>
      <c r="E258" s="28">
        <f>IFERROR(IF(AND(ISNUMBER(C258),ISNUMBER(C257),C257&lt;&gt;0),C258/C257-1,""),"")</f>
        <v/>
      </c>
      <c r="F258" s="28">
        <f>IFERROR(D258-Dashboard!$B$4/252,"")</f>
        <v/>
      </c>
      <c r="G258" s="28">
        <f>IFERROR(E258-Dashboard!$B$4/252,"")</f>
        <v/>
      </c>
      <c r="H258" s="8">
        <f>IFERROR(IF(ISNUMBER(B258),MAX(B258,IFERROR(H257,B258)),""),"")</f>
        <v/>
      </c>
      <c r="I258" s="29">
        <f>IFERROR(IF(AND(ISNUMBER(B258),ISNUMBER(H258)),B258/H258-1,""),"")</f>
        <v/>
      </c>
      <c r="J258" s="8">
        <f>IFERROR(IF(ISNUMBER(C258),MAX(C258,IFERROR(J257,C258)),""),"")</f>
        <v/>
      </c>
      <c r="K258" s="29">
        <f>IFERROR(IF(AND(ISNUMBER(C258),ISNUMBER(J258)),C258/J258-1,""),"")</f>
        <v/>
      </c>
      <c r="L258" s="28">
        <f>IFERROR(IF(AND(ISNUMBER(D258),ISNUMBER(E258)),D258-E258,""),"")</f>
        <v/>
      </c>
    </row>
    <row r="259">
      <c r="A259" s="7">
        <f>IFERROR(Datos!A259,"")</f>
        <v/>
      </c>
      <c r="B259" s="8">
        <f>IFERROR(Datos!B259,"")</f>
        <v/>
      </c>
      <c r="C259" s="8">
        <f>IFERROR(Datos!C259,"")</f>
        <v/>
      </c>
      <c r="D259" s="28">
        <f>IFERROR(IF(AND(ISNUMBER(B259),ISNUMBER(B258),B258&lt;&gt;0),B259/B258-1,""),"")</f>
        <v/>
      </c>
      <c r="E259" s="28">
        <f>IFERROR(IF(AND(ISNUMBER(C259),ISNUMBER(C258),C258&lt;&gt;0),C259/C258-1,""),"")</f>
        <v/>
      </c>
      <c r="F259" s="28">
        <f>IFERROR(D259-Dashboard!$B$4/252,"")</f>
        <v/>
      </c>
      <c r="G259" s="28">
        <f>IFERROR(E259-Dashboard!$B$4/252,"")</f>
        <v/>
      </c>
      <c r="H259" s="8">
        <f>IFERROR(IF(ISNUMBER(B259),MAX(B259,IFERROR(H258,B259)),""),"")</f>
        <v/>
      </c>
      <c r="I259" s="29">
        <f>IFERROR(IF(AND(ISNUMBER(B259),ISNUMBER(H259)),B259/H259-1,""),"")</f>
        <v/>
      </c>
      <c r="J259" s="8">
        <f>IFERROR(IF(ISNUMBER(C259),MAX(C259,IFERROR(J258,C259)),""),"")</f>
        <v/>
      </c>
      <c r="K259" s="29">
        <f>IFERROR(IF(AND(ISNUMBER(C259),ISNUMBER(J259)),C259/J259-1,""),"")</f>
        <v/>
      </c>
      <c r="L259" s="28">
        <f>IFERROR(IF(AND(ISNUMBER(D259),ISNUMBER(E259)),D259-E259,""),"")</f>
        <v/>
      </c>
    </row>
    <row r="260">
      <c r="A260" s="7">
        <f>IFERROR(Datos!A260,"")</f>
        <v/>
      </c>
      <c r="B260" s="8">
        <f>IFERROR(Datos!B260,"")</f>
        <v/>
      </c>
      <c r="C260" s="8">
        <f>IFERROR(Datos!C260,"")</f>
        <v/>
      </c>
      <c r="D260" s="28">
        <f>IFERROR(IF(AND(ISNUMBER(B260),ISNUMBER(B259),B259&lt;&gt;0),B260/B259-1,""),"")</f>
        <v/>
      </c>
      <c r="E260" s="28">
        <f>IFERROR(IF(AND(ISNUMBER(C260),ISNUMBER(C259),C259&lt;&gt;0),C260/C259-1,""),"")</f>
        <v/>
      </c>
      <c r="F260" s="28">
        <f>IFERROR(D260-Dashboard!$B$4/252,"")</f>
        <v/>
      </c>
      <c r="G260" s="28">
        <f>IFERROR(E260-Dashboard!$B$4/252,"")</f>
        <v/>
      </c>
      <c r="H260" s="8">
        <f>IFERROR(IF(ISNUMBER(B260),MAX(B260,IFERROR(H259,B260)),""),"")</f>
        <v/>
      </c>
      <c r="I260" s="29">
        <f>IFERROR(IF(AND(ISNUMBER(B260),ISNUMBER(H260)),B260/H260-1,""),"")</f>
        <v/>
      </c>
      <c r="J260" s="8">
        <f>IFERROR(IF(ISNUMBER(C260),MAX(C260,IFERROR(J259,C260)),""),"")</f>
        <v/>
      </c>
      <c r="K260" s="29">
        <f>IFERROR(IF(AND(ISNUMBER(C260),ISNUMBER(J260)),C260/J260-1,""),"")</f>
        <v/>
      </c>
      <c r="L260" s="28">
        <f>IFERROR(IF(AND(ISNUMBER(D260),ISNUMBER(E260)),D260-E260,""),"")</f>
        <v/>
      </c>
    </row>
    <row r="261">
      <c r="A261" s="7">
        <f>IFERROR(Datos!A261,"")</f>
        <v/>
      </c>
      <c r="B261" s="8">
        <f>IFERROR(Datos!B261,"")</f>
        <v/>
      </c>
      <c r="C261" s="8">
        <f>IFERROR(Datos!C261,"")</f>
        <v/>
      </c>
      <c r="D261" s="28">
        <f>IFERROR(IF(AND(ISNUMBER(B261),ISNUMBER(B260),B260&lt;&gt;0),B261/B260-1,""),"")</f>
        <v/>
      </c>
      <c r="E261" s="28">
        <f>IFERROR(IF(AND(ISNUMBER(C261),ISNUMBER(C260),C260&lt;&gt;0),C261/C260-1,""),"")</f>
        <v/>
      </c>
      <c r="F261" s="28">
        <f>IFERROR(D261-Dashboard!$B$4/252,"")</f>
        <v/>
      </c>
      <c r="G261" s="28">
        <f>IFERROR(E261-Dashboard!$B$4/252,"")</f>
        <v/>
      </c>
      <c r="H261" s="8">
        <f>IFERROR(IF(ISNUMBER(B261),MAX(B261,IFERROR(H260,B261)),""),"")</f>
        <v/>
      </c>
      <c r="I261" s="29">
        <f>IFERROR(IF(AND(ISNUMBER(B261),ISNUMBER(H261)),B261/H261-1,""),"")</f>
        <v/>
      </c>
      <c r="J261" s="8">
        <f>IFERROR(IF(ISNUMBER(C261),MAX(C261,IFERROR(J260,C261)),""),"")</f>
        <v/>
      </c>
      <c r="K261" s="29">
        <f>IFERROR(IF(AND(ISNUMBER(C261),ISNUMBER(J261)),C261/J261-1,""),"")</f>
        <v/>
      </c>
      <c r="L261" s="28">
        <f>IFERROR(IF(AND(ISNUMBER(D261),ISNUMBER(E261)),D261-E261,""),"")</f>
        <v/>
      </c>
    </row>
    <row r="262">
      <c r="A262" s="7">
        <f>IFERROR(Datos!A262,"")</f>
        <v/>
      </c>
      <c r="B262" s="8">
        <f>IFERROR(Datos!B262,"")</f>
        <v/>
      </c>
      <c r="C262" s="8">
        <f>IFERROR(Datos!C262,"")</f>
        <v/>
      </c>
      <c r="D262" s="28">
        <f>IFERROR(IF(AND(ISNUMBER(B262),ISNUMBER(B261),B261&lt;&gt;0),B262/B261-1,""),"")</f>
        <v/>
      </c>
      <c r="E262" s="28">
        <f>IFERROR(IF(AND(ISNUMBER(C262),ISNUMBER(C261),C261&lt;&gt;0),C262/C261-1,""),"")</f>
        <v/>
      </c>
      <c r="F262" s="28">
        <f>IFERROR(D262-Dashboard!$B$4/252,"")</f>
        <v/>
      </c>
      <c r="G262" s="28">
        <f>IFERROR(E262-Dashboard!$B$4/252,"")</f>
        <v/>
      </c>
      <c r="H262" s="8">
        <f>IFERROR(IF(ISNUMBER(B262),MAX(B262,IFERROR(H261,B262)),""),"")</f>
        <v/>
      </c>
      <c r="I262" s="29">
        <f>IFERROR(IF(AND(ISNUMBER(B262),ISNUMBER(H262)),B262/H262-1,""),"")</f>
        <v/>
      </c>
      <c r="J262" s="8">
        <f>IFERROR(IF(ISNUMBER(C262),MAX(C262,IFERROR(J261,C262)),""),"")</f>
        <v/>
      </c>
      <c r="K262" s="29">
        <f>IFERROR(IF(AND(ISNUMBER(C262),ISNUMBER(J262)),C262/J262-1,""),"")</f>
        <v/>
      </c>
      <c r="L262" s="28">
        <f>IFERROR(IF(AND(ISNUMBER(D262),ISNUMBER(E262)),D262-E262,""),"")</f>
        <v/>
      </c>
    </row>
    <row r="263">
      <c r="A263" s="7">
        <f>IFERROR(Datos!A263,"")</f>
        <v/>
      </c>
      <c r="B263" s="8">
        <f>IFERROR(Datos!B263,"")</f>
        <v/>
      </c>
      <c r="C263" s="8">
        <f>IFERROR(Datos!C263,"")</f>
        <v/>
      </c>
      <c r="D263" s="28">
        <f>IFERROR(IF(AND(ISNUMBER(B263),ISNUMBER(B262),B262&lt;&gt;0),B263/B262-1,""),"")</f>
        <v/>
      </c>
      <c r="E263" s="28">
        <f>IFERROR(IF(AND(ISNUMBER(C263),ISNUMBER(C262),C262&lt;&gt;0),C263/C262-1,""),"")</f>
        <v/>
      </c>
      <c r="F263" s="28">
        <f>IFERROR(D263-Dashboard!$B$4/252,"")</f>
        <v/>
      </c>
      <c r="G263" s="28">
        <f>IFERROR(E263-Dashboard!$B$4/252,"")</f>
        <v/>
      </c>
      <c r="H263" s="8">
        <f>IFERROR(IF(ISNUMBER(B263),MAX(B263,IFERROR(H262,B263)),""),"")</f>
        <v/>
      </c>
      <c r="I263" s="29">
        <f>IFERROR(IF(AND(ISNUMBER(B263),ISNUMBER(H263)),B263/H263-1,""),"")</f>
        <v/>
      </c>
      <c r="J263" s="8">
        <f>IFERROR(IF(ISNUMBER(C263),MAX(C263,IFERROR(J262,C263)),""),"")</f>
        <v/>
      </c>
      <c r="K263" s="29">
        <f>IFERROR(IF(AND(ISNUMBER(C263),ISNUMBER(J263)),C263/J263-1,""),"")</f>
        <v/>
      </c>
      <c r="L263" s="28">
        <f>IFERROR(IF(AND(ISNUMBER(D263),ISNUMBER(E263)),D263-E263,""),"")</f>
        <v/>
      </c>
    </row>
    <row r="264">
      <c r="A264" s="7">
        <f>IFERROR(Datos!A264,"")</f>
        <v/>
      </c>
      <c r="B264" s="8">
        <f>IFERROR(Datos!B264,"")</f>
        <v/>
      </c>
      <c r="C264" s="8">
        <f>IFERROR(Datos!C264,"")</f>
        <v/>
      </c>
      <c r="D264" s="28">
        <f>IFERROR(IF(AND(ISNUMBER(B264),ISNUMBER(B263),B263&lt;&gt;0),B264/B263-1,""),"")</f>
        <v/>
      </c>
      <c r="E264" s="28">
        <f>IFERROR(IF(AND(ISNUMBER(C264),ISNUMBER(C263),C263&lt;&gt;0),C264/C263-1,""),"")</f>
        <v/>
      </c>
      <c r="F264" s="28">
        <f>IFERROR(D264-Dashboard!$B$4/252,"")</f>
        <v/>
      </c>
      <c r="G264" s="28">
        <f>IFERROR(E264-Dashboard!$B$4/252,"")</f>
        <v/>
      </c>
      <c r="H264" s="8">
        <f>IFERROR(IF(ISNUMBER(B264),MAX(B264,IFERROR(H263,B264)),""),"")</f>
        <v/>
      </c>
      <c r="I264" s="29">
        <f>IFERROR(IF(AND(ISNUMBER(B264),ISNUMBER(H264)),B264/H264-1,""),"")</f>
        <v/>
      </c>
      <c r="J264" s="8">
        <f>IFERROR(IF(ISNUMBER(C264),MAX(C264,IFERROR(J263,C264)),""),"")</f>
        <v/>
      </c>
      <c r="K264" s="29">
        <f>IFERROR(IF(AND(ISNUMBER(C264),ISNUMBER(J264)),C264/J264-1,""),"")</f>
        <v/>
      </c>
      <c r="L264" s="28">
        <f>IFERROR(IF(AND(ISNUMBER(D264),ISNUMBER(E264)),D264-E264,""),"")</f>
        <v/>
      </c>
    </row>
    <row r="265">
      <c r="A265" s="7">
        <f>IFERROR(Datos!A265,"")</f>
        <v/>
      </c>
      <c r="B265" s="8">
        <f>IFERROR(Datos!B265,"")</f>
        <v/>
      </c>
      <c r="C265" s="8">
        <f>IFERROR(Datos!C265,"")</f>
        <v/>
      </c>
      <c r="D265" s="28">
        <f>IFERROR(IF(AND(ISNUMBER(B265),ISNUMBER(B264),B264&lt;&gt;0),B265/B264-1,""),"")</f>
        <v/>
      </c>
      <c r="E265" s="28">
        <f>IFERROR(IF(AND(ISNUMBER(C265),ISNUMBER(C264),C264&lt;&gt;0),C265/C264-1,""),"")</f>
        <v/>
      </c>
      <c r="F265" s="28">
        <f>IFERROR(D265-Dashboard!$B$4/252,"")</f>
        <v/>
      </c>
      <c r="G265" s="28">
        <f>IFERROR(E265-Dashboard!$B$4/252,"")</f>
        <v/>
      </c>
      <c r="H265" s="8">
        <f>IFERROR(IF(ISNUMBER(B265),MAX(B265,IFERROR(H264,B265)),""),"")</f>
        <v/>
      </c>
      <c r="I265" s="29">
        <f>IFERROR(IF(AND(ISNUMBER(B265),ISNUMBER(H265)),B265/H265-1,""),"")</f>
        <v/>
      </c>
      <c r="J265" s="8">
        <f>IFERROR(IF(ISNUMBER(C265),MAX(C265,IFERROR(J264,C265)),""),"")</f>
        <v/>
      </c>
      <c r="K265" s="29">
        <f>IFERROR(IF(AND(ISNUMBER(C265),ISNUMBER(J265)),C265/J265-1,""),"")</f>
        <v/>
      </c>
      <c r="L265" s="28">
        <f>IFERROR(IF(AND(ISNUMBER(D265),ISNUMBER(E265)),D265-E265,""),"")</f>
        <v/>
      </c>
    </row>
    <row r="266">
      <c r="A266" s="7">
        <f>IFERROR(Datos!A266,"")</f>
        <v/>
      </c>
      <c r="B266" s="8">
        <f>IFERROR(Datos!B266,"")</f>
        <v/>
      </c>
      <c r="C266" s="8">
        <f>IFERROR(Datos!C266,"")</f>
        <v/>
      </c>
      <c r="D266" s="28">
        <f>IFERROR(IF(AND(ISNUMBER(B266),ISNUMBER(B265),B265&lt;&gt;0),B266/B265-1,""),"")</f>
        <v/>
      </c>
      <c r="E266" s="28">
        <f>IFERROR(IF(AND(ISNUMBER(C266),ISNUMBER(C265),C265&lt;&gt;0),C266/C265-1,""),"")</f>
        <v/>
      </c>
      <c r="F266" s="28">
        <f>IFERROR(D266-Dashboard!$B$4/252,"")</f>
        <v/>
      </c>
      <c r="G266" s="28">
        <f>IFERROR(E266-Dashboard!$B$4/252,"")</f>
        <v/>
      </c>
      <c r="H266" s="8">
        <f>IFERROR(IF(ISNUMBER(B266),MAX(B266,IFERROR(H265,B266)),""),"")</f>
        <v/>
      </c>
      <c r="I266" s="29">
        <f>IFERROR(IF(AND(ISNUMBER(B266),ISNUMBER(H266)),B266/H266-1,""),"")</f>
        <v/>
      </c>
      <c r="J266" s="8">
        <f>IFERROR(IF(ISNUMBER(C266),MAX(C266,IFERROR(J265,C266)),""),"")</f>
        <v/>
      </c>
      <c r="K266" s="29">
        <f>IFERROR(IF(AND(ISNUMBER(C266),ISNUMBER(J266)),C266/J266-1,""),"")</f>
        <v/>
      </c>
      <c r="L266" s="28">
        <f>IFERROR(IF(AND(ISNUMBER(D266),ISNUMBER(E266)),D266-E266,""),"")</f>
        <v/>
      </c>
    </row>
    <row r="267">
      <c r="A267" s="7">
        <f>IFERROR(Datos!A267,"")</f>
        <v/>
      </c>
      <c r="B267" s="8">
        <f>IFERROR(Datos!B267,"")</f>
        <v/>
      </c>
      <c r="C267" s="8">
        <f>IFERROR(Datos!C267,"")</f>
        <v/>
      </c>
      <c r="D267" s="28">
        <f>IFERROR(IF(AND(ISNUMBER(B267),ISNUMBER(B266),B266&lt;&gt;0),B267/B266-1,""),"")</f>
        <v/>
      </c>
      <c r="E267" s="28">
        <f>IFERROR(IF(AND(ISNUMBER(C267),ISNUMBER(C266),C266&lt;&gt;0),C267/C266-1,""),"")</f>
        <v/>
      </c>
      <c r="F267" s="28">
        <f>IFERROR(D267-Dashboard!$B$4/252,"")</f>
        <v/>
      </c>
      <c r="G267" s="28">
        <f>IFERROR(E267-Dashboard!$B$4/252,"")</f>
        <v/>
      </c>
      <c r="H267" s="8">
        <f>IFERROR(IF(ISNUMBER(B267),MAX(B267,IFERROR(H266,B267)),""),"")</f>
        <v/>
      </c>
      <c r="I267" s="29">
        <f>IFERROR(IF(AND(ISNUMBER(B267),ISNUMBER(H267)),B267/H267-1,""),"")</f>
        <v/>
      </c>
      <c r="J267" s="8">
        <f>IFERROR(IF(ISNUMBER(C267),MAX(C267,IFERROR(J266,C267)),""),"")</f>
        <v/>
      </c>
      <c r="K267" s="29">
        <f>IFERROR(IF(AND(ISNUMBER(C267),ISNUMBER(J267)),C267/J267-1,""),"")</f>
        <v/>
      </c>
      <c r="L267" s="28">
        <f>IFERROR(IF(AND(ISNUMBER(D267),ISNUMBER(E267)),D267-E267,""),"")</f>
        <v/>
      </c>
    </row>
    <row r="268">
      <c r="A268" s="7">
        <f>IFERROR(Datos!A268,"")</f>
        <v/>
      </c>
      <c r="B268" s="8">
        <f>IFERROR(Datos!B268,"")</f>
        <v/>
      </c>
      <c r="C268" s="8">
        <f>IFERROR(Datos!C268,"")</f>
        <v/>
      </c>
      <c r="D268" s="28">
        <f>IFERROR(IF(AND(ISNUMBER(B268),ISNUMBER(B267),B267&lt;&gt;0),B268/B267-1,""),"")</f>
        <v/>
      </c>
      <c r="E268" s="28">
        <f>IFERROR(IF(AND(ISNUMBER(C268),ISNUMBER(C267),C267&lt;&gt;0),C268/C267-1,""),"")</f>
        <v/>
      </c>
      <c r="F268" s="28">
        <f>IFERROR(D268-Dashboard!$B$4/252,"")</f>
        <v/>
      </c>
      <c r="G268" s="28">
        <f>IFERROR(E268-Dashboard!$B$4/252,"")</f>
        <v/>
      </c>
      <c r="H268" s="8">
        <f>IFERROR(IF(ISNUMBER(B268),MAX(B268,IFERROR(H267,B268)),""),"")</f>
        <v/>
      </c>
      <c r="I268" s="29">
        <f>IFERROR(IF(AND(ISNUMBER(B268),ISNUMBER(H268)),B268/H268-1,""),"")</f>
        <v/>
      </c>
      <c r="J268" s="8">
        <f>IFERROR(IF(ISNUMBER(C268),MAX(C268,IFERROR(J267,C268)),""),"")</f>
        <v/>
      </c>
      <c r="K268" s="29">
        <f>IFERROR(IF(AND(ISNUMBER(C268),ISNUMBER(J268)),C268/J268-1,""),"")</f>
        <v/>
      </c>
      <c r="L268" s="28">
        <f>IFERROR(IF(AND(ISNUMBER(D268),ISNUMBER(E268)),D268-E268,""),"")</f>
        <v/>
      </c>
    </row>
    <row r="269">
      <c r="A269" s="7">
        <f>IFERROR(Datos!A269,"")</f>
        <v/>
      </c>
      <c r="B269" s="8">
        <f>IFERROR(Datos!B269,"")</f>
        <v/>
      </c>
      <c r="C269" s="8">
        <f>IFERROR(Datos!C269,"")</f>
        <v/>
      </c>
      <c r="D269" s="28">
        <f>IFERROR(IF(AND(ISNUMBER(B269),ISNUMBER(B268),B268&lt;&gt;0),B269/B268-1,""),"")</f>
        <v/>
      </c>
      <c r="E269" s="28">
        <f>IFERROR(IF(AND(ISNUMBER(C269),ISNUMBER(C268),C268&lt;&gt;0),C269/C268-1,""),"")</f>
        <v/>
      </c>
      <c r="F269" s="28">
        <f>IFERROR(D269-Dashboard!$B$4/252,"")</f>
        <v/>
      </c>
      <c r="G269" s="28">
        <f>IFERROR(E269-Dashboard!$B$4/252,"")</f>
        <v/>
      </c>
      <c r="H269" s="8">
        <f>IFERROR(IF(ISNUMBER(B269),MAX(B269,IFERROR(H268,B269)),""),"")</f>
        <v/>
      </c>
      <c r="I269" s="29">
        <f>IFERROR(IF(AND(ISNUMBER(B269),ISNUMBER(H269)),B269/H269-1,""),"")</f>
        <v/>
      </c>
      <c r="J269" s="8">
        <f>IFERROR(IF(ISNUMBER(C269),MAX(C269,IFERROR(J268,C269)),""),"")</f>
        <v/>
      </c>
      <c r="K269" s="29">
        <f>IFERROR(IF(AND(ISNUMBER(C269),ISNUMBER(J269)),C269/J269-1,""),"")</f>
        <v/>
      </c>
      <c r="L269" s="28">
        <f>IFERROR(IF(AND(ISNUMBER(D269),ISNUMBER(E269)),D269-E269,""),"")</f>
        <v/>
      </c>
    </row>
    <row r="270">
      <c r="A270" s="7">
        <f>IFERROR(Datos!A270,"")</f>
        <v/>
      </c>
      <c r="B270" s="8">
        <f>IFERROR(Datos!B270,"")</f>
        <v/>
      </c>
      <c r="C270" s="8">
        <f>IFERROR(Datos!C270,"")</f>
        <v/>
      </c>
      <c r="D270" s="28">
        <f>IFERROR(IF(AND(ISNUMBER(B270),ISNUMBER(B269),B269&lt;&gt;0),B270/B269-1,""),"")</f>
        <v/>
      </c>
      <c r="E270" s="28">
        <f>IFERROR(IF(AND(ISNUMBER(C270),ISNUMBER(C269),C269&lt;&gt;0),C270/C269-1,""),"")</f>
        <v/>
      </c>
      <c r="F270" s="28">
        <f>IFERROR(D270-Dashboard!$B$4/252,"")</f>
        <v/>
      </c>
      <c r="G270" s="28">
        <f>IFERROR(E270-Dashboard!$B$4/252,"")</f>
        <v/>
      </c>
      <c r="H270" s="8">
        <f>IFERROR(IF(ISNUMBER(B270),MAX(B270,IFERROR(H269,B270)),""),"")</f>
        <v/>
      </c>
      <c r="I270" s="29">
        <f>IFERROR(IF(AND(ISNUMBER(B270),ISNUMBER(H270)),B270/H270-1,""),"")</f>
        <v/>
      </c>
      <c r="J270" s="8">
        <f>IFERROR(IF(ISNUMBER(C270),MAX(C270,IFERROR(J269,C270)),""),"")</f>
        <v/>
      </c>
      <c r="K270" s="29">
        <f>IFERROR(IF(AND(ISNUMBER(C270),ISNUMBER(J270)),C270/J270-1,""),"")</f>
        <v/>
      </c>
      <c r="L270" s="28">
        <f>IFERROR(IF(AND(ISNUMBER(D270),ISNUMBER(E270)),D270-E270,""),"")</f>
        <v/>
      </c>
    </row>
    <row r="271">
      <c r="A271" s="7">
        <f>IFERROR(Datos!A271,"")</f>
        <v/>
      </c>
      <c r="B271" s="8">
        <f>IFERROR(Datos!B271,"")</f>
        <v/>
      </c>
      <c r="C271" s="8">
        <f>IFERROR(Datos!C271,"")</f>
        <v/>
      </c>
      <c r="D271" s="28">
        <f>IFERROR(IF(AND(ISNUMBER(B271),ISNUMBER(B270),B270&lt;&gt;0),B271/B270-1,""),"")</f>
        <v/>
      </c>
      <c r="E271" s="28">
        <f>IFERROR(IF(AND(ISNUMBER(C271),ISNUMBER(C270),C270&lt;&gt;0),C271/C270-1,""),"")</f>
        <v/>
      </c>
      <c r="F271" s="28">
        <f>IFERROR(D271-Dashboard!$B$4/252,"")</f>
        <v/>
      </c>
      <c r="G271" s="28">
        <f>IFERROR(E271-Dashboard!$B$4/252,"")</f>
        <v/>
      </c>
      <c r="H271" s="8">
        <f>IFERROR(IF(ISNUMBER(B271),MAX(B271,IFERROR(H270,B271)),""),"")</f>
        <v/>
      </c>
      <c r="I271" s="29">
        <f>IFERROR(IF(AND(ISNUMBER(B271),ISNUMBER(H271)),B271/H271-1,""),"")</f>
        <v/>
      </c>
      <c r="J271" s="8">
        <f>IFERROR(IF(ISNUMBER(C271),MAX(C271,IFERROR(J270,C271)),""),"")</f>
        <v/>
      </c>
      <c r="K271" s="29">
        <f>IFERROR(IF(AND(ISNUMBER(C271),ISNUMBER(J271)),C271/J271-1,""),"")</f>
        <v/>
      </c>
      <c r="L271" s="28">
        <f>IFERROR(IF(AND(ISNUMBER(D271),ISNUMBER(E271)),D271-E271,""),"")</f>
        <v/>
      </c>
    </row>
    <row r="272">
      <c r="A272" s="7">
        <f>IFERROR(Datos!A272,"")</f>
        <v/>
      </c>
      <c r="B272" s="8">
        <f>IFERROR(Datos!B272,"")</f>
        <v/>
      </c>
      <c r="C272" s="8">
        <f>IFERROR(Datos!C272,"")</f>
        <v/>
      </c>
      <c r="D272" s="28">
        <f>IFERROR(IF(AND(ISNUMBER(B272),ISNUMBER(B271),B271&lt;&gt;0),B272/B271-1,""),"")</f>
        <v/>
      </c>
      <c r="E272" s="28">
        <f>IFERROR(IF(AND(ISNUMBER(C272),ISNUMBER(C271),C271&lt;&gt;0),C272/C271-1,""),"")</f>
        <v/>
      </c>
      <c r="F272" s="28">
        <f>IFERROR(D272-Dashboard!$B$4/252,"")</f>
        <v/>
      </c>
      <c r="G272" s="28">
        <f>IFERROR(E272-Dashboard!$B$4/252,"")</f>
        <v/>
      </c>
      <c r="H272" s="8">
        <f>IFERROR(IF(ISNUMBER(B272),MAX(B272,IFERROR(H271,B272)),""),"")</f>
        <v/>
      </c>
      <c r="I272" s="29">
        <f>IFERROR(IF(AND(ISNUMBER(B272),ISNUMBER(H272)),B272/H272-1,""),"")</f>
        <v/>
      </c>
      <c r="J272" s="8">
        <f>IFERROR(IF(ISNUMBER(C272),MAX(C272,IFERROR(J271,C272)),""),"")</f>
        <v/>
      </c>
      <c r="K272" s="29">
        <f>IFERROR(IF(AND(ISNUMBER(C272),ISNUMBER(J272)),C272/J272-1,""),"")</f>
        <v/>
      </c>
      <c r="L272" s="28">
        <f>IFERROR(IF(AND(ISNUMBER(D272),ISNUMBER(E272)),D272-E272,""),"")</f>
        <v/>
      </c>
    </row>
    <row r="273">
      <c r="A273" s="7">
        <f>IFERROR(Datos!A273,"")</f>
        <v/>
      </c>
      <c r="B273" s="8">
        <f>IFERROR(Datos!B273,"")</f>
        <v/>
      </c>
      <c r="C273" s="8">
        <f>IFERROR(Datos!C273,"")</f>
        <v/>
      </c>
      <c r="D273" s="28">
        <f>IFERROR(IF(AND(ISNUMBER(B273),ISNUMBER(B272),B272&lt;&gt;0),B273/B272-1,""),"")</f>
        <v/>
      </c>
      <c r="E273" s="28">
        <f>IFERROR(IF(AND(ISNUMBER(C273),ISNUMBER(C272),C272&lt;&gt;0),C273/C272-1,""),"")</f>
        <v/>
      </c>
      <c r="F273" s="28">
        <f>IFERROR(D273-Dashboard!$B$4/252,"")</f>
        <v/>
      </c>
      <c r="G273" s="28">
        <f>IFERROR(E273-Dashboard!$B$4/252,"")</f>
        <v/>
      </c>
      <c r="H273" s="8">
        <f>IFERROR(IF(ISNUMBER(B273),MAX(B273,IFERROR(H272,B273)),""),"")</f>
        <v/>
      </c>
      <c r="I273" s="29">
        <f>IFERROR(IF(AND(ISNUMBER(B273),ISNUMBER(H273)),B273/H273-1,""),"")</f>
        <v/>
      </c>
      <c r="J273" s="8">
        <f>IFERROR(IF(ISNUMBER(C273),MAX(C273,IFERROR(J272,C273)),""),"")</f>
        <v/>
      </c>
      <c r="K273" s="29">
        <f>IFERROR(IF(AND(ISNUMBER(C273),ISNUMBER(J273)),C273/J273-1,""),"")</f>
        <v/>
      </c>
      <c r="L273" s="28">
        <f>IFERROR(IF(AND(ISNUMBER(D273),ISNUMBER(E273)),D273-E273,""),"")</f>
        <v/>
      </c>
    </row>
    <row r="274">
      <c r="A274" s="7">
        <f>IFERROR(Datos!A274,"")</f>
        <v/>
      </c>
      <c r="B274" s="8">
        <f>IFERROR(Datos!B274,"")</f>
        <v/>
      </c>
      <c r="C274" s="8">
        <f>IFERROR(Datos!C274,"")</f>
        <v/>
      </c>
      <c r="D274" s="28">
        <f>IFERROR(IF(AND(ISNUMBER(B274),ISNUMBER(B273),B273&lt;&gt;0),B274/B273-1,""),"")</f>
        <v/>
      </c>
      <c r="E274" s="28">
        <f>IFERROR(IF(AND(ISNUMBER(C274),ISNUMBER(C273),C273&lt;&gt;0),C274/C273-1,""),"")</f>
        <v/>
      </c>
      <c r="F274" s="28">
        <f>IFERROR(D274-Dashboard!$B$4/252,"")</f>
        <v/>
      </c>
      <c r="G274" s="28">
        <f>IFERROR(E274-Dashboard!$B$4/252,"")</f>
        <v/>
      </c>
      <c r="H274" s="8">
        <f>IFERROR(IF(ISNUMBER(B274),MAX(B274,IFERROR(H273,B274)),""),"")</f>
        <v/>
      </c>
      <c r="I274" s="29">
        <f>IFERROR(IF(AND(ISNUMBER(B274),ISNUMBER(H274)),B274/H274-1,""),"")</f>
        <v/>
      </c>
      <c r="J274" s="8">
        <f>IFERROR(IF(ISNUMBER(C274),MAX(C274,IFERROR(J273,C274)),""),"")</f>
        <v/>
      </c>
      <c r="K274" s="29">
        <f>IFERROR(IF(AND(ISNUMBER(C274),ISNUMBER(J274)),C274/J274-1,""),"")</f>
        <v/>
      </c>
      <c r="L274" s="28">
        <f>IFERROR(IF(AND(ISNUMBER(D274),ISNUMBER(E274)),D274-E274,""),"")</f>
        <v/>
      </c>
    </row>
    <row r="275">
      <c r="A275" s="7">
        <f>IFERROR(Datos!A275,"")</f>
        <v/>
      </c>
      <c r="B275" s="8">
        <f>IFERROR(Datos!B275,"")</f>
        <v/>
      </c>
      <c r="C275" s="8">
        <f>IFERROR(Datos!C275,"")</f>
        <v/>
      </c>
      <c r="D275" s="28">
        <f>IFERROR(IF(AND(ISNUMBER(B275),ISNUMBER(B274),B274&lt;&gt;0),B275/B274-1,""),"")</f>
        <v/>
      </c>
      <c r="E275" s="28">
        <f>IFERROR(IF(AND(ISNUMBER(C275),ISNUMBER(C274),C274&lt;&gt;0),C275/C274-1,""),"")</f>
        <v/>
      </c>
      <c r="F275" s="28">
        <f>IFERROR(D275-Dashboard!$B$4/252,"")</f>
        <v/>
      </c>
      <c r="G275" s="28">
        <f>IFERROR(E275-Dashboard!$B$4/252,"")</f>
        <v/>
      </c>
      <c r="H275" s="8">
        <f>IFERROR(IF(ISNUMBER(B275),MAX(B275,IFERROR(H274,B275)),""),"")</f>
        <v/>
      </c>
      <c r="I275" s="29">
        <f>IFERROR(IF(AND(ISNUMBER(B275),ISNUMBER(H275)),B275/H275-1,""),"")</f>
        <v/>
      </c>
      <c r="J275" s="8">
        <f>IFERROR(IF(ISNUMBER(C275),MAX(C275,IFERROR(J274,C275)),""),"")</f>
        <v/>
      </c>
      <c r="K275" s="29">
        <f>IFERROR(IF(AND(ISNUMBER(C275),ISNUMBER(J275)),C275/J275-1,""),"")</f>
        <v/>
      </c>
      <c r="L275" s="28">
        <f>IFERROR(IF(AND(ISNUMBER(D275),ISNUMBER(E275)),D275-E275,""),"")</f>
        <v/>
      </c>
    </row>
    <row r="276">
      <c r="A276" s="7">
        <f>IFERROR(Datos!A276,"")</f>
        <v/>
      </c>
      <c r="B276" s="8">
        <f>IFERROR(Datos!B276,"")</f>
        <v/>
      </c>
      <c r="C276" s="8">
        <f>IFERROR(Datos!C276,"")</f>
        <v/>
      </c>
      <c r="D276" s="28">
        <f>IFERROR(IF(AND(ISNUMBER(B276),ISNUMBER(B275),B275&lt;&gt;0),B276/B275-1,""),"")</f>
        <v/>
      </c>
      <c r="E276" s="28">
        <f>IFERROR(IF(AND(ISNUMBER(C276),ISNUMBER(C275),C275&lt;&gt;0),C276/C275-1,""),"")</f>
        <v/>
      </c>
      <c r="F276" s="28">
        <f>IFERROR(D276-Dashboard!$B$4/252,"")</f>
        <v/>
      </c>
      <c r="G276" s="28">
        <f>IFERROR(E276-Dashboard!$B$4/252,"")</f>
        <v/>
      </c>
      <c r="H276" s="8">
        <f>IFERROR(IF(ISNUMBER(B276),MAX(B276,IFERROR(H275,B276)),""),"")</f>
        <v/>
      </c>
      <c r="I276" s="29">
        <f>IFERROR(IF(AND(ISNUMBER(B276),ISNUMBER(H276)),B276/H276-1,""),"")</f>
        <v/>
      </c>
      <c r="J276" s="8">
        <f>IFERROR(IF(ISNUMBER(C276),MAX(C276,IFERROR(J275,C276)),""),"")</f>
        <v/>
      </c>
      <c r="K276" s="29">
        <f>IFERROR(IF(AND(ISNUMBER(C276),ISNUMBER(J276)),C276/J276-1,""),"")</f>
        <v/>
      </c>
      <c r="L276" s="28">
        <f>IFERROR(IF(AND(ISNUMBER(D276),ISNUMBER(E276)),D276-E276,""),"")</f>
        <v/>
      </c>
    </row>
    <row r="277">
      <c r="A277" s="7">
        <f>IFERROR(Datos!A277,"")</f>
        <v/>
      </c>
      <c r="B277" s="8">
        <f>IFERROR(Datos!B277,"")</f>
        <v/>
      </c>
      <c r="C277" s="8">
        <f>IFERROR(Datos!C277,"")</f>
        <v/>
      </c>
      <c r="D277" s="28">
        <f>IFERROR(IF(AND(ISNUMBER(B277),ISNUMBER(B276),B276&lt;&gt;0),B277/B276-1,""),"")</f>
        <v/>
      </c>
      <c r="E277" s="28">
        <f>IFERROR(IF(AND(ISNUMBER(C277),ISNUMBER(C276),C276&lt;&gt;0),C277/C276-1,""),"")</f>
        <v/>
      </c>
      <c r="F277" s="28">
        <f>IFERROR(D277-Dashboard!$B$4/252,"")</f>
        <v/>
      </c>
      <c r="G277" s="28">
        <f>IFERROR(E277-Dashboard!$B$4/252,"")</f>
        <v/>
      </c>
      <c r="H277" s="8">
        <f>IFERROR(IF(ISNUMBER(B277),MAX(B277,IFERROR(H276,B277)),""),"")</f>
        <v/>
      </c>
      <c r="I277" s="29">
        <f>IFERROR(IF(AND(ISNUMBER(B277),ISNUMBER(H277)),B277/H277-1,""),"")</f>
        <v/>
      </c>
      <c r="J277" s="8">
        <f>IFERROR(IF(ISNUMBER(C277),MAX(C277,IFERROR(J276,C277)),""),"")</f>
        <v/>
      </c>
      <c r="K277" s="29">
        <f>IFERROR(IF(AND(ISNUMBER(C277),ISNUMBER(J277)),C277/J277-1,""),"")</f>
        <v/>
      </c>
      <c r="L277" s="28">
        <f>IFERROR(IF(AND(ISNUMBER(D277),ISNUMBER(E277)),D277-E277,""),"")</f>
        <v/>
      </c>
    </row>
    <row r="278">
      <c r="A278" s="7">
        <f>IFERROR(Datos!A278,"")</f>
        <v/>
      </c>
      <c r="B278" s="8">
        <f>IFERROR(Datos!B278,"")</f>
        <v/>
      </c>
      <c r="C278" s="8">
        <f>IFERROR(Datos!C278,"")</f>
        <v/>
      </c>
      <c r="D278" s="28">
        <f>IFERROR(IF(AND(ISNUMBER(B278),ISNUMBER(B277),B277&lt;&gt;0),B278/B277-1,""),"")</f>
        <v/>
      </c>
      <c r="E278" s="28">
        <f>IFERROR(IF(AND(ISNUMBER(C278),ISNUMBER(C277),C277&lt;&gt;0),C278/C277-1,""),"")</f>
        <v/>
      </c>
      <c r="F278" s="28">
        <f>IFERROR(D278-Dashboard!$B$4/252,"")</f>
        <v/>
      </c>
      <c r="G278" s="28">
        <f>IFERROR(E278-Dashboard!$B$4/252,"")</f>
        <v/>
      </c>
      <c r="H278" s="8">
        <f>IFERROR(IF(ISNUMBER(B278),MAX(B278,IFERROR(H277,B278)),""),"")</f>
        <v/>
      </c>
      <c r="I278" s="29">
        <f>IFERROR(IF(AND(ISNUMBER(B278),ISNUMBER(H278)),B278/H278-1,""),"")</f>
        <v/>
      </c>
      <c r="J278" s="8">
        <f>IFERROR(IF(ISNUMBER(C278),MAX(C278,IFERROR(J277,C278)),""),"")</f>
        <v/>
      </c>
      <c r="K278" s="29">
        <f>IFERROR(IF(AND(ISNUMBER(C278),ISNUMBER(J278)),C278/J278-1,""),"")</f>
        <v/>
      </c>
      <c r="L278" s="28">
        <f>IFERROR(IF(AND(ISNUMBER(D278),ISNUMBER(E278)),D278-E278,""),"")</f>
        <v/>
      </c>
    </row>
    <row r="279">
      <c r="A279" s="7">
        <f>IFERROR(Datos!A279,"")</f>
        <v/>
      </c>
      <c r="B279" s="8">
        <f>IFERROR(Datos!B279,"")</f>
        <v/>
      </c>
      <c r="C279" s="8">
        <f>IFERROR(Datos!C279,"")</f>
        <v/>
      </c>
      <c r="D279" s="28">
        <f>IFERROR(IF(AND(ISNUMBER(B279),ISNUMBER(B278),B278&lt;&gt;0),B279/B278-1,""),"")</f>
        <v/>
      </c>
      <c r="E279" s="28">
        <f>IFERROR(IF(AND(ISNUMBER(C279),ISNUMBER(C278),C278&lt;&gt;0),C279/C278-1,""),"")</f>
        <v/>
      </c>
      <c r="F279" s="28">
        <f>IFERROR(D279-Dashboard!$B$4/252,"")</f>
        <v/>
      </c>
      <c r="G279" s="28">
        <f>IFERROR(E279-Dashboard!$B$4/252,"")</f>
        <v/>
      </c>
      <c r="H279" s="8">
        <f>IFERROR(IF(ISNUMBER(B279),MAX(B279,IFERROR(H278,B279)),""),"")</f>
        <v/>
      </c>
      <c r="I279" s="29">
        <f>IFERROR(IF(AND(ISNUMBER(B279),ISNUMBER(H279)),B279/H279-1,""),"")</f>
        <v/>
      </c>
      <c r="J279" s="8">
        <f>IFERROR(IF(ISNUMBER(C279),MAX(C279,IFERROR(J278,C279)),""),"")</f>
        <v/>
      </c>
      <c r="K279" s="29">
        <f>IFERROR(IF(AND(ISNUMBER(C279),ISNUMBER(J279)),C279/J279-1,""),"")</f>
        <v/>
      </c>
      <c r="L279" s="28">
        <f>IFERROR(IF(AND(ISNUMBER(D279),ISNUMBER(E279)),D279-E279,""),"")</f>
        <v/>
      </c>
    </row>
    <row r="280">
      <c r="A280" s="7">
        <f>IFERROR(Datos!A280,"")</f>
        <v/>
      </c>
      <c r="B280" s="8">
        <f>IFERROR(Datos!B280,"")</f>
        <v/>
      </c>
      <c r="C280" s="8">
        <f>IFERROR(Datos!C280,"")</f>
        <v/>
      </c>
      <c r="D280" s="28">
        <f>IFERROR(IF(AND(ISNUMBER(B280),ISNUMBER(B279),B279&lt;&gt;0),B280/B279-1,""),"")</f>
        <v/>
      </c>
      <c r="E280" s="28">
        <f>IFERROR(IF(AND(ISNUMBER(C280),ISNUMBER(C279),C279&lt;&gt;0),C280/C279-1,""),"")</f>
        <v/>
      </c>
      <c r="F280" s="28">
        <f>IFERROR(D280-Dashboard!$B$4/252,"")</f>
        <v/>
      </c>
      <c r="G280" s="28">
        <f>IFERROR(E280-Dashboard!$B$4/252,"")</f>
        <v/>
      </c>
      <c r="H280" s="8">
        <f>IFERROR(IF(ISNUMBER(B280),MAX(B280,IFERROR(H279,B280)),""),"")</f>
        <v/>
      </c>
      <c r="I280" s="29">
        <f>IFERROR(IF(AND(ISNUMBER(B280),ISNUMBER(H280)),B280/H280-1,""),"")</f>
        <v/>
      </c>
      <c r="J280" s="8">
        <f>IFERROR(IF(ISNUMBER(C280),MAX(C280,IFERROR(J279,C280)),""),"")</f>
        <v/>
      </c>
      <c r="K280" s="29">
        <f>IFERROR(IF(AND(ISNUMBER(C280),ISNUMBER(J280)),C280/J280-1,""),"")</f>
        <v/>
      </c>
      <c r="L280" s="28">
        <f>IFERROR(IF(AND(ISNUMBER(D280),ISNUMBER(E280)),D280-E280,""),"")</f>
        <v/>
      </c>
    </row>
    <row r="281">
      <c r="A281" s="7">
        <f>IFERROR(Datos!A281,"")</f>
        <v/>
      </c>
      <c r="B281" s="8">
        <f>IFERROR(Datos!B281,"")</f>
        <v/>
      </c>
      <c r="C281" s="8">
        <f>IFERROR(Datos!C281,"")</f>
        <v/>
      </c>
      <c r="D281" s="28">
        <f>IFERROR(IF(AND(ISNUMBER(B281),ISNUMBER(B280),B280&lt;&gt;0),B281/B280-1,""),"")</f>
        <v/>
      </c>
      <c r="E281" s="28">
        <f>IFERROR(IF(AND(ISNUMBER(C281),ISNUMBER(C280),C280&lt;&gt;0),C281/C280-1,""),"")</f>
        <v/>
      </c>
      <c r="F281" s="28">
        <f>IFERROR(D281-Dashboard!$B$4/252,"")</f>
        <v/>
      </c>
      <c r="G281" s="28">
        <f>IFERROR(E281-Dashboard!$B$4/252,"")</f>
        <v/>
      </c>
      <c r="H281" s="8">
        <f>IFERROR(IF(ISNUMBER(B281),MAX(B281,IFERROR(H280,B281)),""),"")</f>
        <v/>
      </c>
      <c r="I281" s="29">
        <f>IFERROR(IF(AND(ISNUMBER(B281),ISNUMBER(H281)),B281/H281-1,""),"")</f>
        <v/>
      </c>
      <c r="J281" s="8">
        <f>IFERROR(IF(ISNUMBER(C281),MAX(C281,IFERROR(J280,C281)),""),"")</f>
        <v/>
      </c>
      <c r="K281" s="29">
        <f>IFERROR(IF(AND(ISNUMBER(C281),ISNUMBER(J281)),C281/J281-1,""),"")</f>
        <v/>
      </c>
      <c r="L281" s="28">
        <f>IFERROR(IF(AND(ISNUMBER(D281),ISNUMBER(E281)),D281-E281,""),"")</f>
        <v/>
      </c>
    </row>
    <row r="282">
      <c r="A282" s="7">
        <f>IFERROR(Datos!A282,"")</f>
        <v/>
      </c>
      <c r="B282" s="8">
        <f>IFERROR(Datos!B282,"")</f>
        <v/>
      </c>
      <c r="C282" s="8">
        <f>IFERROR(Datos!C282,"")</f>
        <v/>
      </c>
      <c r="D282" s="28">
        <f>IFERROR(IF(AND(ISNUMBER(B282),ISNUMBER(B281),B281&lt;&gt;0),B282/B281-1,""),"")</f>
        <v/>
      </c>
      <c r="E282" s="28">
        <f>IFERROR(IF(AND(ISNUMBER(C282),ISNUMBER(C281),C281&lt;&gt;0),C282/C281-1,""),"")</f>
        <v/>
      </c>
      <c r="F282" s="28">
        <f>IFERROR(D282-Dashboard!$B$4/252,"")</f>
        <v/>
      </c>
      <c r="G282" s="28">
        <f>IFERROR(E282-Dashboard!$B$4/252,"")</f>
        <v/>
      </c>
      <c r="H282" s="8">
        <f>IFERROR(IF(ISNUMBER(B282),MAX(B282,IFERROR(H281,B282)),""),"")</f>
        <v/>
      </c>
      <c r="I282" s="29">
        <f>IFERROR(IF(AND(ISNUMBER(B282),ISNUMBER(H282)),B282/H282-1,""),"")</f>
        <v/>
      </c>
      <c r="J282" s="8">
        <f>IFERROR(IF(ISNUMBER(C282),MAX(C282,IFERROR(J281,C282)),""),"")</f>
        <v/>
      </c>
      <c r="K282" s="29">
        <f>IFERROR(IF(AND(ISNUMBER(C282),ISNUMBER(J282)),C282/J282-1,""),"")</f>
        <v/>
      </c>
      <c r="L282" s="28">
        <f>IFERROR(IF(AND(ISNUMBER(D282),ISNUMBER(E282)),D282-E282,""),"")</f>
        <v/>
      </c>
    </row>
    <row r="283">
      <c r="A283" s="7">
        <f>IFERROR(Datos!A283,"")</f>
        <v/>
      </c>
      <c r="B283" s="8">
        <f>IFERROR(Datos!B283,"")</f>
        <v/>
      </c>
      <c r="C283" s="8">
        <f>IFERROR(Datos!C283,"")</f>
        <v/>
      </c>
      <c r="D283" s="28">
        <f>IFERROR(IF(AND(ISNUMBER(B283),ISNUMBER(B282),B282&lt;&gt;0),B283/B282-1,""),"")</f>
        <v/>
      </c>
      <c r="E283" s="28">
        <f>IFERROR(IF(AND(ISNUMBER(C283),ISNUMBER(C282),C282&lt;&gt;0),C283/C282-1,""),"")</f>
        <v/>
      </c>
      <c r="F283" s="28">
        <f>IFERROR(D283-Dashboard!$B$4/252,"")</f>
        <v/>
      </c>
      <c r="G283" s="28">
        <f>IFERROR(E283-Dashboard!$B$4/252,"")</f>
        <v/>
      </c>
      <c r="H283" s="8">
        <f>IFERROR(IF(ISNUMBER(B283),MAX(B283,IFERROR(H282,B283)),""),"")</f>
        <v/>
      </c>
      <c r="I283" s="29">
        <f>IFERROR(IF(AND(ISNUMBER(B283),ISNUMBER(H283)),B283/H283-1,""),"")</f>
        <v/>
      </c>
      <c r="J283" s="8">
        <f>IFERROR(IF(ISNUMBER(C283),MAX(C283,IFERROR(J282,C283)),""),"")</f>
        <v/>
      </c>
      <c r="K283" s="29">
        <f>IFERROR(IF(AND(ISNUMBER(C283),ISNUMBER(J283)),C283/J283-1,""),"")</f>
        <v/>
      </c>
      <c r="L283" s="28">
        <f>IFERROR(IF(AND(ISNUMBER(D283),ISNUMBER(E283)),D283-E283,""),"")</f>
        <v/>
      </c>
    </row>
    <row r="284">
      <c r="A284" s="7">
        <f>IFERROR(Datos!A284,"")</f>
        <v/>
      </c>
      <c r="B284" s="8">
        <f>IFERROR(Datos!B284,"")</f>
        <v/>
      </c>
      <c r="C284" s="8">
        <f>IFERROR(Datos!C284,"")</f>
        <v/>
      </c>
      <c r="D284" s="28">
        <f>IFERROR(IF(AND(ISNUMBER(B284),ISNUMBER(B283),B283&lt;&gt;0),B284/B283-1,""),"")</f>
        <v/>
      </c>
      <c r="E284" s="28">
        <f>IFERROR(IF(AND(ISNUMBER(C284),ISNUMBER(C283),C283&lt;&gt;0),C284/C283-1,""),"")</f>
        <v/>
      </c>
      <c r="F284" s="28">
        <f>IFERROR(D284-Dashboard!$B$4/252,"")</f>
        <v/>
      </c>
      <c r="G284" s="28">
        <f>IFERROR(E284-Dashboard!$B$4/252,"")</f>
        <v/>
      </c>
      <c r="H284" s="8">
        <f>IFERROR(IF(ISNUMBER(B284),MAX(B284,IFERROR(H283,B284)),""),"")</f>
        <v/>
      </c>
      <c r="I284" s="29">
        <f>IFERROR(IF(AND(ISNUMBER(B284),ISNUMBER(H284)),B284/H284-1,""),"")</f>
        <v/>
      </c>
      <c r="J284" s="8">
        <f>IFERROR(IF(ISNUMBER(C284),MAX(C284,IFERROR(J283,C284)),""),"")</f>
        <v/>
      </c>
      <c r="K284" s="29">
        <f>IFERROR(IF(AND(ISNUMBER(C284),ISNUMBER(J284)),C284/J284-1,""),"")</f>
        <v/>
      </c>
      <c r="L284" s="28">
        <f>IFERROR(IF(AND(ISNUMBER(D284),ISNUMBER(E284)),D284-E284,""),"")</f>
        <v/>
      </c>
    </row>
    <row r="285">
      <c r="A285" s="7">
        <f>IFERROR(Datos!A285,"")</f>
        <v/>
      </c>
      <c r="B285" s="8">
        <f>IFERROR(Datos!B285,"")</f>
        <v/>
      </c>
      <c r="C285" s="8">
        <f>IFERROR(Datos!C285,"")</f>
        <v/>
      </c>
      <c r="D285" s="28">
        <f>IFERROR(IF(AND(ISNUMBER(B285),ISNUMBER(B284),B284&lt;&gt;0),B285/B284-1,""),"")</f>
        <v/>
      </c>
      <c r="E285" s="28">
        <f>IFERROR(IF(AND(ISNUMBER(C285),ISNUMBER(C284),C284&lt;&gt;0),C285/C284-1,""),"")</f>
        <v/>
      </c>
      <c r="F285" s="28">
        <f>IFERROR(D285-Dashboard!$B$4/252,"")</f>
        <v/>
      </c>
      <c r="G285" s="28">
        <f>IFERROR(E285-Dashboard!$B$4/252,"")</f>
        <v/>
      </c>
      <c r="H285" s="8">
        <f>IFERROR(IF(ISNUMBER(B285),MAX(B285,IFERROR(H284,B285)),""),"")</f>
        <v/>
      </c>
      <c r="I285" s="29">
        <f>IFERROR(IF(AND(ISNUMBER(B285),ISNUMBER(H285)),B285/H285-1,""),"")</f>
        <v/>
      </c>
      <c r="J285" s="8">
        <f>IFERROR(IF(ISNUMBER(C285),MAX(C285,IFERROR(J284,C285)),""),"")</f>
        <v/>
      </c>
      <c r="K285" s="29">
        <f>IFERROR(IF(AND(ISNUMBER(C285),ISNUMBER(J285)),C285/J285-1,""),"")</f>
        <v/>
      </c>
      <c r="L285" s="28">
        <f>IFERROR(IF(AND(ISNUMBER(D285),ISNUMBER(E285)),D285-E285,""),"")</f>
        <v/>
      </c>
    </row>
    <row r="286">
      <c r="A286" s="7">
        <f>IFERROR(Datos!A286,"")</f>
        <v/>
      </c>
      <c r="B286" s="8">
        <f>IFERROR(Datos!B286,"")</f>
        <v/>
      </c>
      <c r="C286" s="8">
        <f>IFERROR(Datos!C286,"")</f>
        <v/>
      </c>
      <c r="D286" s="28">
        <f>IFERROR(IF(AND(ISNUMBER(B286),ISNUMBER(B285),B285&lt;&gt;0),B286/B285-1,""),"")</f>
        <v/>
      </c>
      <c r="E286" s="28">
        <f>IFERROR(IF(AND(ISNUMBER(C286),ISNUMBER(C285),C285&lt;&gt;0),C286/C285-1,""),"")</f>
        <v/>
      </c>
      <c r="F286" s="28">
        <f>IFERROR(D286-Dashboard!$B$4/252,"")</f>
        <v/>
      </c>
      <c r="G286" s="28">
        <f>IFERROR(E286-Dashboard!$B$4/252,"")</f>
        <v/>
      </c>
      <c r="H286" s="8">
        <f>IFERROR(IF(ISNUMBER(B286),MAX(B286,IFERROR(H285,B286)),""),"")</f>
        <v/>
      </c>
      <c r="I286" s="29">
        <f>IFERROR(IF(AND(ISNUMBER(B286),ISNUMBER(H286)),B286/H286-1,""),"")</f>
        <v/>
      </c>
      <c r="J286" s="8">
        <f>IFERROR(IF(ISNUMBER(C286),MAX(C286,IFERROR(J285,C286)),""),"")</f>
        <v/>
      </c>
      <c r="K286" s="29">
        <f>IFERROR(IF(AND(ISNUMBER(C286),ISNUMBER(J286)),C286/J286-1,""),"")</f>
        <v/>
      </c>
      <c r="L286" s="28">
        <f>IFERROR(IF(AND(ISNUMBER(D286),ISNUMBER(E286)),D286-E286,""),"")</f>
        <v/>
      </c>
    </row>
    <row r="287">
      <c r="A287" s="7">
        <f>IFERROR(Datos!A287,"")</f>
        <v/>
      </c>
      <c r="B287" s="8">
        <f>IFERROR(Datos!B287,"")</f>
        <v/>
      </c>
      <c r="C287" s="8">
        <f>IFERROR(Datos!C287,"")</f>
        <v/>
      </c>
      <c r="D287" s="28">
        <f>IFERROR(IF(AND(ISNUMBER(B287),ISNUMBER(B286),B286&lt;&gt;0),B287/B286-1,""),"")</f>
        <v/>
      </c>
      <c r="E287" s="28">
        <f>IFERROR(IF(AND(ISNUMBER(C287),ISNUMBER(C286),C286&lt;&gt;0),C287/C286-1,""),"")</f>
        <v/>
      </c>
      <c r="F287" s="28">
        <f>IFERROR(D287-Dashboard!$B$4/252,"")</f>
        <v/>
      </c>
      <c r="G287" s="28">
        <f>IFERROR(E287-Dashboard!$B$4/252,"")</f>
        <v/>
      </c>
      <c r="H287" s="8">
        <f>IFERROR(IF(ISNUMBER(B287),MAX(B287,IFERROR(H286,B287)),""),"")</f>
        <v/>
      </c>
      <c r="I287" s="29">
        <f>IFERROR(IF(AND(ISNUMBER(B287),ISNUMBER(H287)),B287/H287-1,""),"")</f>
        <v/>
      </c>
      <c r="J287" s="8">
        <f>IFERROR(IF(ISNUMBER(C287),MAX(C287,IFERROR(J286,C287)),""),"")</f>
        <v/>
      </c>
      <c r="K287" s="29">
        <f>IFERROR(IF(AND(ISNUMBER(C287),ISNUMBER(J287)),C287/J287-1,""),"")</f>
        <v/>
      </c>
      <c r="L287" s="28">
        <f>IFERROR(IF(AND(ISNUMBER(D287),ISNUMBER(E287)),D287-E287,""),"")</f>
        <v/>
      </c>
    </row>
    <row r="288">
      <c r="A288" s="7">
        <f>IFERROR(Datos!A288,"")</f>
        <v/>
      </c>
      <c r="B288" s="8">
        <f>IFERROR(Datos!B288,"")</f>
        <v/>
      </c>
      <c r="C288" s="8">
        <f>IFERROR(Datos!C288,"")</f>
        <v/>
      </c>
      <c r="D288" s="28">
        <f>IFERROR(IF(AND(ISNUMBER(B288),ISNUMBER(B287),B287&lt;&gt;0),B288/B287-1,""),"")</f>
        <v/>
      </c>
      <c r="E288" s="28">
        <f>IFERROR(IF(AND(ISNUMBER(C288),ISNUMBER(C287),C287&lt;&gt;0),C288/C287-1,""),"")</f>
        <v/>
      </c>
      <c r="F288" s="28">
        <f>IFERROR(D288-Dashboard!$B$4/252,"")</f>
        <v/>
      </c>
      <c r="G288" s="28">
        <f>IFERROR(E288-Dashboard!$B$4/252,"")</f>
        <v/>
      </c>
      <c r="H288" s="8">
        <f>IFERROR(IF(ISNUMBER(B288),MAX(B288,IFERROR(H287,B288)),""),"")</f>
        <v/>
      </c>
      <c r="I288" s="29">
        <f>IFERROR(IF(AND(ISNUMBER(B288),ISNUMBER(H288)),B288/H288-1,""),"")</f>
        <v/>
      </c>
      <c r="J288" s="8">
        <f>IFERROR(IF(ISNUMBER(C288),MAX(C288,IFERROR(J287,C288)),""),"")</f>
        <v/>
      </c>
      <c r="K288" s="29">
        <f>IFERROR(IF(AND(ISNUMBER(C288),ISNUMBER(J288)),C288/J288-1,""),"")</f>
        <v/>
      </c>
      <c r="L288" s="28">
        <f>IFERROR(IF(AND(ISNUMBER(D288),ISNUMBER(E288)),D288-E288,""),"")</f>
        <v/>
      </c>
    </row>
    <row r="289">
      <c r="A289" s="7">
        <f>IFERROR(Datos!A289,"")</f>
        <v/>
      </c>
      <c r="B289" s="8">
        <f>IFERROR(Datos!B289,"")</f>
        <v/>
      </c>
      <c r="C289" s="8">
        <f>IFERROR(Datos!C289,"")</f>
        <v/>
      </c>
      <c r="D289" s="28">
        <f>IFERROR(IF(AND(ISNUMBER(B289),ISNUMBER(B288),B288&lt;&gt;0),B289/B288-1,""),"")</f>
        <v/>
      </c>
      <c r="E289" s="28">
        <f>IFERROR(IF(AND(ISNUMBER(C289),ISNUMBER(C288),C288&lt;&gt;0),C289/C288-1,""),"")</f>
        <v/>
      </c>
      <c r="F289" s="28">
        <f>IFERROR(D289-Dashboard!$B$4/252,"")</f>
        <v/>
      </c>
      <c r="G289" s="28">
        <f>IFERROR(E289-Dashboard!$B$4/252,"")</f>
        <v/>
      </c>
      <c r="H289" s="8">
        <f>IFERROR(IF(ISNUMBER(B289),MAX(B289,IFERROR(H288,B289)),""),"")</f>
        <v/>
      </c>
      <c r="I289" s="29">
        <f>IFERROR(IF(AND(ISNUMBER(B289),ISNUMBER(H289)),B289/H289-1,""),"")</f>
        <v/>
      </c>
      <c r="J289" s="8">
        <f>IFERROR(IF(ISNUMBER(C289),MAX(C289,IFERROR(J288,C289)),""),"")</f>
        <v/>
      </c>
      <c r="K289" s="29">
        <f>IFERROR(IF(AND(ISNUMBER(C289),ISNUMBER(J289)),C289/J289-1,""),"")</f>
        <v/>
      </c>
      <c r="L289" s="28">
        <f>IFERROR(IF(AND(ISNUMBER(D289),ISNUMBER(E289)),D289-E289,""),"")</f>
        <v/>
      </c>
    </row>
    <row r="290">
      <c r="A290" s="7">
        <f>IFERROR(Datos!A290,"")</f>
        <v/>
      </c>
      <c r="B290" s="8">
        <f>IFERROR(Datos!B290,"")</f>
        <v/>
      </c>
      <c r="C290" s="8">
        <f>IFERROR(Datos!C290,"")</f>
        <v/>
      </c>
      <c r="D290" s="28">
        <f>IFERROR(IF(AND(ISNUMBER(B290),ISNUMBER(B289),B289&lt;&gt;0),B290/B289-1,""),"")</f>
        <v/>
      </c>
      <c r="E290" s="28">
        <f>IFERROR(IF(AND(ISNUMBER(C290),ISNUMBER(C289),C289&lt;&gt;0),C290/C289-1,""),"")</f>
        <v/>
      </c>
      <c r="F290" s="28">
        <f>IFERROR(D290-Dashboard!$B$4/252,"")</f>
        <v/>
      </c>
      <c r="G290" s="28">
        <f>IFERROR(E290-Dashboard!$B$4/252,"")</f>
        <v/>
      </c>
      <c r="H290" s="8">
        <f>IFERROR(IF(ISNUMBER(B290),MAX(B290,IFERROR(H289,B290)),""),"")</f>
        <v/>
      </c>
      <c r="I290" s="29">
        <f>IFERROR(IF(AND(ISNUMBER(B290),ISNUMBER(H290)),B290/H290-1,""),"")</f>
        <v/>
      </c>
      <c r="J290" s="8">
        <f>IFERROR(IF(ISNUMBER(C290),MAX(C290,IFERROR(J289,C290)),""),"")</f>
        <v/>
      </c>
      <c r="K290" s="29">
        <f>IFERROR(IF(AND(ISNUMBER(C290),ISNUMBER(J290)),C290/J290-1,""),"")</f>
        <v/>
      </c>
      <c r="L290" s="28">
        <f>IFERROR(IF(AND(ISNUMBER(D290),ISNUMBER(E290)),D290-E290,""),"")</f>
        <v/>
      </c>
    </row>
    <row r="291">
      <c r="A291" s="7">
        <f>IFERROR(Datos!A291,"")</f>
        <v/>
      </c>
      <c r="B291" s="8">
        <f>IFERROR(Datos!B291,"")</f>
        <v/>
      </c>
      <c r="C291" s="8">
        <f>IFERROR(Datos!C291,"")</f>
        <v/>
      </c>
      <c r="D291" s="28">
        <f>IFERROR(IF(AND(ISNUMBER(B291),ISNUMBER(B290),B290&lt;&gt;0),B291/B290-1,""),"")</f>
        <v/>
      </c>
      <c r="E291" s="28">
        <f>IFERROR(IF(AND(ISNUMBER(C291),ISNUMBER(C290),C290&lt;&gt;0),C291/C290-1,""),"")</f>
        <v/>
      </c>
      <c r="F291" s="28">
        <f>IFERROR(D291-Dashboard!$B$4/252,"")</f>
        <v/>
      </c>
      <c r="G291" s="28">
        <f>IFERROR(E291-Dashboard!$B$4/252,"")</f>
        <v/>
      </c>
      <c r="H291" s="8">
        <f>IFERROR(IF(ISNUMBER(B291),MAX(B291,IFERROR(H290,B291)),""),"")</f>
        <v/>
      </c>
      <c r="I291" s="29">
        <f>IFERROR(IF(AND(ISNUMBER(B291),ISNUMBER(H291)),B291/H291-1,""),"")</f>
        <v/>
      </c>
      <c r="J291" s="8">
        <f>IFERROR(IF(ISNUMBER(C291),MAX(C291,IFERROR(J290,C291)),""),"")</f>
        <v/>
      </c>
      <c r="K291" s="29">
        <f>IFERROR(IF(AND(ISNUMBER(C291),ISNUMBER(J291)),C291/J291-1,""),"")</f>
        <v/>
      </c>
      <c r="L291" s="28">
        <f>IFERROR(IF(AND(ISNUMBER(D291),ISNUMBER(E291)),D291-E291,""),"")</f>
        <v/>
      </c>
    </row>
    <row r="292">
      <c r="A292" s="7">
        <f>IFERROR(Datos!A292,"")</f>
        <v/>
      </c>
      <c r="B292" s="8">
        <f>IFERROR(Datos!B292,"")</f>
        <v/>
      </c>
      <c r="C292" s="8">
        <f>IFERROR(Datos!C292,"")</f>
        <v/>
      </c>
      <c r="D292" s="28">
        <f>IFERROR(IF(AND(ISNUMBER(B292),ISNUMBER(B291),B291&lt;&gt;0),B292/B291-1,""),"")</f>
        <v/>
      </c>
      <c r="E292" s="28">
        <f>IFERROR(IF(AND(ISNUMBER(C292),ISNUMBER(C291),C291&lt;&gt;0),C292/C291-1,""),"")</f>
        <v/>
      </c>
      <c r="F292" s="28">
        <f>IFERROR(D292-Dashboard!$B$4/252,"")</f>
        <v/>
      </c>
      <c r="G292" s="28">
        <f>IFERROR(E292-Dashboard!$B$4/252,"")</f>
        <v/>
      </c>
      <c r="H292" s="8">
        <f>IFERROR(IF(ISNUMBER(B292),MAX(B292,IFERROR(H291,B292)),""),"")</f>
        <v/>
      </c>
      <c r="I292" s="29">
        <f>IFERROR(IF(AND(ISNUMBER(B292),ISNUMBER(H292)),B292/H292-1,""),"")</f>
        <v/>
      </c>
      <c r="J292" s="8">
        <f>IFERROR(IF(ISNUMBER(C292),MAX(C292,IFERROR(J291,C292)),""),"")</f>
        <v/>
      </c>
      <c r="K292" s="29">
        <f>IFERROR(IF(AND(ISNUMBER(C292),ISNUMBER(J292)),C292/J292-1,""),"")</f>
        <v/>
      </c>
      <c r="L292" s="28">
        <f>IFERROR(IF(AND(ISNUMBER(D292),ISNUMBER(E292)),D292-E292,""),"")</f>
        <v/>
      </c>
    </row>
    <row r="293">
      <c r="A293" s="7">
        <f>IFERROR(Datos!A293,"")</f>
        <v/>
      </c>
      <c r="B293" s="8">
        <f>IFERROR(Datos!B293,"")</f>
        <v/>
      </c>
      <c r="C293" s="8">
        <f>IFERROR(Datos!C293,"")</f>
        <v/>
      </c>
      <c r="D293" s="28">
        <f>IFERROR(IF(AND(ISNUMBER(B293),ISNUMBER(B292),B292&lt;&gt;0),B293/B292-1,""),"")</f>
        <v/>
      </c>
      <c r="E293" s="28">
        <f>IFERROR(IF(AND(ISNUMBER(C293),ISNUMBER(C292),C292&lt;&gt;0),C293/C292-1,""),"")</f>
        <v/>
      </c>
      <c r="F293" s="28">
        <f>IFERROR(D293-Dashboard!$B$4/252,"")</f>
        <v/>
      </c>
      <c r="G293" s="28">
        <f>IFERROR(E293-Dashboard!$B$4/252,"")</f>
        <v/>
      </c>
      <c r="H293" s="8">
        <f>IFERROR(IF(ISNUMBER(B293),MAX(B293,IFERROR(H292,B293)),""),"")</f>
        <v/>
      </c>
      <c r="I293" s="29">
        <f>IFERROR(IF(AND(ISNUMBER(B293),ISNUMBER(H293)),B293/H293-1,""),"")</f>
        <v/>
      </c>
      <c r="J293" s="8">
        <f>IFERROR(IF(ISNUMBER(C293),MAX(C293,IFERROR(J292,C293)),""),"")</f>
        <v/>
      </c>
      <c r="K293" s="29">
        <f>IFERROR(IF(AND(ISNUMBER(C293),ISNUMBER(J293)),C293/J293-1,""),"")</f>
        <v/>
      </c>
      <c r="L293" s="28">
        <f>IFERROR(IF(AND(ISNUMBER(D293),ISNUMBER(E293)),D293-E293,""),"")</f>
        <v/>
      </c>
    </row>
    <row r="294">
      <c r="A294" s="7">
        <f>IFERROR(Datos!A294,"")</f>
        <v/>
      </c>
      <c r="B294" s="8">
        <f>IFERROR(Datos!B294,"")</f>
        <v/>
      </c>
      <c r="C294" s="8">
        <f>IFERROR(Datos!C294,"")</f>
        <v/>
      </c>
      <c r="D294" s="28">
        <f>IFERROR(IF(AND(ISNUMBER(B294),ISNUMBER(B293),B293&lt;&gt;0),B294/B293-1,""),"")</f>
        <v/>
      </c>
      <c r="E294" s="28">
        <f>IFERROR(IF(AND(ISNUMBER(C294),ISNUMBER(C293),C293&lt;&gt;0),C294/C293-1,""),"")</f>
        <v/>
      </c>
      <c r="F294" s="28">
        <f>IFERROR(D294-Dashboard!$B$4/252,"")</f>
        <v/>
      </c>
      <c r="G294" s="28">
        <f>IFERROR(E294-Dashboard!$B$4/252,"")</f>
        <v/>
      </c>
      <c r="H294" s="8">
        <f>IFERROR(IF(ISNUMBER(B294),MAX(B294,IFERROR(H293,B294)),""),"")</f>
        <v/>
      </c>
      <c r="I294" s="29">
        <f>IFERROR(IF(AND(ISNUMBER(B294),ISNUMBER(H294)),B294/H294-1,""),"")</f>
        <v/>
      </c>
      <c r="J294" s="8">
        <f>IFERROR(IF(ISNUMBER(C294),MAX(C294,IFERROR(J293,C294)),""),"")</f>
        <v/>
      </c>
      <c r="K294" s="29">
        <f>IFERROR(IF(AND(ISNUMBER(C294),ISNUMBER(J294)),C294/J294-1,""),"")</f>
        <v/>
      </c>
      <c r="L294" s="28">
        <f>IFERROR(IF(AND(ISNUMBER(D294),ISNUMBER(E294)),D294-E294,""),"")</f>
        <v/>
      </c>
    </row>
    <row r="295">
      <c r="A295" s="7">
        <f>IFERROR(Datos!A295,"")</f>
        <v/>
      </c>
      <c r="B295" s="8">
        <f>IFERROR(Datos!B295,"")</f>
        <v/>
      </c>
      <c r="C295" s="8">
        <f>IFERROR(Datos!C295,"")</f>
        <v/>
      </c>
      <c r="D295" s="28">
        <f>IFERROR(IF(AND(ISNUMBER(B295),ISNUMBER(B294),B294&lt;&gt;0),B295/B294-1,""),"")</f>
        <v/>
      </c>
      <c r="E295" s="28">
        <f>IFERROR(IF(AND(ISNUMBER(C295),ISNUMBER(C294),C294&lt;&gt;0),C295/C294-1,""),"")</f>
        <v/>
      </c>
      <c r="F295" s="28">
        <f>IFERROR(D295-Dashboard!$B$4/252,"")</f>
        <v/>
      </c>
      <c r="G295" s="28">
        <f>IFERROR(E295-Dashboard!$B$4/252,"")</f>
        <v/>
      </c>
      <c r="H295" s="8">
        <f>IFERROR(IF(ISNUMBER(B295),MAX(B295,IFERROR(H294,B295)),""),"")</f>
        <v/>
      </c>
      <c r="I295" s="29">
        <f>IFERROR(IF(AND(ISNUMBER(B295),ISNUMBER(H295)),B295/H295-1,""),"")</f>
        <v/>
      </c>
      <c r="J295" s="8">
        <f>IFERROR(IF(ISNUMBER(C295),MAX(C295,IFERROR(J294,C295)),""),"")</f>
        <v/>
      </c>
      <c r="K295" s="29">
        <f>IFERROR(IF(AND(ISNUMBER(C295),ISNUMBER(J295)),C295/J295-1,""),"")</f>
        <v/>
      </c>
      <c r="L295" s="28">
        <f>IFERROR(IF(AND(ISNUMBER(D295),ISNUMBER(E295)),D295-E295,""),"")</f>
        <v/>
      </c>
    </row>
    <row r="296">
      <c r="A296" s="7">
        <f>IFERROR(Datos!A296,"")</f>
        <v/>
      </c>
      <c r="B296" s="8">
        <f>IFERROR(Datos!B296,"")</f>
        <v/>
      </c>
      <c r="C296" s="8">
        <f>IFERROR(Datos!C296,"")</f>
        <v/>
      </c>
      <c r="D296" s="28">
        <f>IFERROR(IF(AND(ISNUMBER(B296),ISNUMBER(B295),B295&lt;&gt;0),B296/B295-1,""),"")</f>
        <v/>
      </c>
      <c r="E296" s="28">
        <f>IFERROR(IF(AND(ISNUMBER(C296),ISNUMBER(C295),C295&lt;&gt;0),C296/C295-1,""),"")</f>
        <v/>
      </c>
      <c r="F296" s="28">
        <f>IFERROR(D296-Dashboard!$B$4/252,"")</f>
        <v/>
      </c>
      <c r="G296" s="28">
        <f>IFERROR(E296-Dashboard!$B$4/252,"")</f>
        <v/>
      </c>
      <c r="H296" s="8">
        <f>IFERROR(IF(ISNUMBER(B296),MAX(B296,IFERROR(H295,B296)),""),"")</f>
        <v/>
      </c>
      <c r="I296" s="29">
        <f>IFERROR(IF(AND(ISNUMBER(B296),ISNUMBER(H296)),B296/H296-1,""),"")</f>
        <v/>
      </c>
      <c r="J296" s="8">
        <f>IFERROR(IF(ISNUMBER(C296),MAX(C296,IFERROR(J295,C296)),""),"")</f>
        <v/>
      </c>
      <c r="K296" s="29">
        <f>IFERROR(IF(AND(ISNUMBER(C296),ISNUMBER(J296)),C296/J296-1,""),"")</f>
        <v/>
      </c>
      <c r="L296" s="28">
        <f>IFERROR(IF(AND(ISNUMBER(D296),ISNUMBER(E296)),D296-E296,""),"")</f>
        <v/>
      </c>
    </row>
    <row r="297">
      <c r="A297" s="7">
        <f>IFERROR(Datos!A297,"")</f>
        <v/>
      </c>
      <c r="B297" s="8">
        <f>IFERROR(Datos!B297,"")</f>
        <v/>
      </c>
      <c r="C297" s="8">
        <f>IFERROR(Datos!C297,"")</f>
        <v/>
      </c>
      <c r="D297" s="28">
        <f>IFERROR(IF(AND(ISNUMBER(B297),ISNUMBER(B296),B296&lt;&gt;0),B297/B296-1,""),"")</f>
        <v/>
      </c>
      <c r="E297" s="28">
        <f>IFERROR(IF(AND(ISNUMBER(C297),ISNUMBER(C296),C296&lt;&gt;0),C297/C296-1,""),"")</f>
        <v/>
      </c>
      <c r="F297" s="28">
        <f>IFERROR(D297-Dashboard!$B$4/252,"")</f>
        <v/>
      </c>
      <c r="G297" s="28">
        <f>IFERROR(E297-Dashboard!$B$4/252,"")</f>
        <v/>
      </c>
      <c r="H297" s="8">
        <f>IFERROR(IF(ISNUMBER(B297),MAX(B297,IFERROR(H296,B297)),""),"")</f>
        <v/>
      </c>
      <c r="I297" s="29">
        <f>IFERROR(IF(AND(ISNUMBER(B297),ISNUMBER(H297)),B297/H297-1,""),"")</f>
        <v/>
      </c>
      <c r="J297" s="8">
        <f>IFERROR(IF(ISNUMBER(C297),MAX(C297,IFERROR(J296,C297)),""),"")</f>
        <v/>
      </c>
      <c r="K297" s="29">
        <f>IFERROR(IF(AND(ISNUMBER(C297),ISNUMBER(J297)),C297/J297-1,""),"")</f>
        <v/>
      </c>
      <c r="L297" s="28">
        <f>IFERROR(IF(AND(ISNUMBER(D297),ISNUMBER(E297)),D297-E297,""),"")</f>
        <v/>
      </c>
    </row>
    <row r="298">
      <c r="A298" s="7">
        <f>IFERROR(Datos!A298,"")</f>
        <v/>
      </c>
      <c r="B298" s="8">
        <f>IFERROR(Datos!B298,"")</f>
        <v/>
      </c>
      <c r="C298" s="8">
        <f>IFERROR(Datos!C298,"")</f>
        <v/>
      </c>
      <c r="D298" s="28">
        <f>IFERROR(IF(AND(ISNUMBER(B298),ISNUMBER(B297),B297&lt;&gt;0),B298/B297-1,""),"")</f>
        <v/>
      </c>
      <c r="E298" s="28">
        <f>IFERROR(IF(AND(ISNUMBER(C298),ISNUMBER(C297),C297&lt;&gt;0),C298/C297-1,""),"")</f>
        <v/>
      </c>
      <c r="F298" s="28">
        <f>IFERROR(D298-Dashboard!$B$4/252,"")</f>
        <v/>
      </c>
      <c r="G298" s="28">
        <f>IFERROR(E298-Dashboard!$B$4/252,"")</f>
        <v/>
      </c>
      <c r="H298" s="8">
        <f>IFERROR(IF(ISNUMBER(B298),MAX(B298,IFERROR(H297,B298)),""),"")</f>
        <v/>
      </c>
      <c r="I298" s="29">
        <f>IFERROR(IF(AND(ISNUMBER(B298),ISNUMBER(H298)),B298/H298-1,""),"")</f>
        <v/>
      </c>
      <c r="J298" s="8">
        <f>IFERROR(IF(ISNUMBER(C298),MAX(C298,IFERROR(J297,C298)),""),"")</f>
        <v/>
      </c>
      <c r="K298" s="29">
        <f>IFERROR(IF(AND(ISNUMBER(C298),ISNUMBER(J298)),C298/J298-1,""),"")</f>
        <v/>
      </c>
      <c r="L298" s="28">
        <f>IFERROR(IF(AND(ISNUMBER(D298),ISNUMBER(E298)),D298-E298,""),"")</f>
        <v/>
      </c>
    </row>
    <row r="299">
      <c r="A299" s="7">
        <f>IFERROR(Datos!A299,"")</f>
        <v/>
      </c>
      <c r="B299" s="8">
        <f>IFERROR(Datos!B299,"")</f>
        <v/>
      </c>
      <c r="C299" s="8">
        <f>IFERROR(Datos!C299,"")</f>
        <v/>
      </c>
      <c r="D299" s="28">
        <f>IFERROR(IF(AND(ISNUMBER(B299),ISNUMBER(B298),B298&lt;&gt;0),B299/B298-1,""),"")</f>
        <v/>
      </c>
      <c r="E299" s="28">
        <f>IFERROR(IF(AND(ISNUMBER(C299),ISNUMBER(C298),C298&lt;&gt;0),C299/C298-1,""),"")</f>
        <v/>
      </c>
      <c r="F299" s="28">
        <f>IFERROR(D299-Dashboard!$B$4/252,"")</f>
        <v/>
      </c>
      <c r="G299" s="28">
        <f>IFERROR(E299-Dashboard!$B$4/252,"")</f>
        <v/>
      </c>
      <c r="H299" s="8">
        <f>IFERROR(IF(ISNUMBER(B299),MAX(B299,IFERROR(H298,B299)),""),"")</f>
        <v/>
      </c>
      <c r="I299" s="29">
        <f>IFERROR(IF(AND(ISNUMBER(B299),ISNUMBER(H299)),B299/H299-1,""),"")</f>
        <v/>
      </c>
      <c r="J299" s="8">
        <f>IFERROR(IF(ISNUMBER(C299),MAX(C299,IFERROR(J298,C299)),""),"")</f>
        <v/>
      </c>
      <c r="K299" s="29">
        <f>IFERROR(IF(AND(ISNUMBER(C299),ISNUMBER(J299)),C299/J299-1,""),"")</f>
        <v/>
      </c>
      <c r="L299" s="28">
        <f>IFERROR(IF(AND(ISNUMBER(D299),ISNUMBER(E299)),D299-E299,""),"")</f>
        <v/>
      </c>
    </row>
    <row r="300">
      <c r="A300" s="7">
        <f>IFERROR(Datos!A300,"")</f>
        <v/>
      </c>
      <c r="B300" s="8">
        <f>IFERROR(Datos!B300,"")</f>
        <v/>
      </c>
      <c r="C300" s="8">
        <f>IFERROR(Datos!C300,"")</f>
        <v/>
      </c>
      <c r="D300" s="28">
        <f>IFERROR(IF(AND(ISNUMBER(B300),ISNUMBER(B299),B299&lt;&gt;0),B300/B299-1,""),"")</f>
        <v/>
      </c>
      <c r="E300" s="28">
        <f>IFERROR(IF(AND(ISNUMBER(C300),ISNUMBER(C299),C299&lt;&gt;0),C300/C299-1,""),"")</f>
        <v/>
      </c>
      <c r="F300" s="28">
        <f>IFERROR(D300-Dashboard!$B$4/252,"")</f>
        <v/>
      </c>
      <c r="G300" s="28">
        <f>IFERROR(E300-Dashboard!$B$4/252,"")</f>
        <v/>
      </c>
      <c r="H300" s="8">
        <f>IFERROR(IF(ISNUMBER(B300),MAX(B300,IFERROR(H299,B300)),""),"")</f>
        <v/>
      </c>
      <c r="I300" s="29">
        <f>IFERROR(IF(AND(ISNUMBER(B300),ISNUMBER(H300)),B300/H300-1,""),"")</f>
        <v/>
      </c>
      <c r="J300" s="8">
        <f>IFERROR(IF(ISNUMBER(C300),MAX(C300,IFERROR(J299,C300)),""),"")</f>
        <v/>
      </c>
      <c r="K300" s="29">
        <f>IFERROR(IF(AND(ISNUMBER(C300),ISNUMBER(J300)),C300/J300-1,""),"")</f>
        <v/>
      </c>
      <c r="L300" s="28">
        <f>IFERROR(IF(AND(ISNUMBER(D300),ISNUMBER(E300)),D300-E300,""),"")</f>
        <v/>
      </c>
    </row>
    <row r="301">
      <c r="A301" s="7">
        <f>IFERROR(Datos!A301,"")</f>
        <v/>
      </c>
      <c r="B301" s="8">
        <f>IFERROR(Datos!B301,"")</f>
        <v/>
      </c>
      <c r="C301" s="8">
        <f>IFERROR(Datos!C301,"")</f>
        <v/>
      </c>
      <c r="D301" s="28">
        <f>IFERROR(IF(AND(ISNUMBER(B301),ISNUMBER(B300),B300&lt;&gt;0),B301/B300-1,""),"")</f>
        <v/>
      </c>
      <c r="E301" s="28">
        <f>IFERROR(IF(AND(ISNUMBER(C301),ISNUMBER(C300),C300&lt;&gt;0),C301/C300-1,""),"")</f>
        <v/>
      </c>
      <c r="F301" s="28">
        <f>IFERROR(D301-Dashboard!$B$4/252,"")</f>
        <v/>
      </c>
      <c r="G301" s="28">
        <f>IFERROR(E301-Dashboard!$B$4/252,"")</f>
        <v/>
      </c>
      <c r="H301" s="8">
        <f>IFERROR(IF(ISNUMBER(B301),MAX(B301,IFERROR(H300,B301)),""),"")</f>
        <v/>
      </c>
      <c r="I301" s="29">
        <f>IFERROR(IF(AND(ISNUMBER(B301),ISNUMBER(H301)),B301/H301-1,""),"")</f>
        <v/>
      </c>
      <c r="J301" s="8">
        <f>IFERROR(IF(ISNUMBER(C301),MAX(C301,IFERROR(J300,C301)),""),"")</f>
        <v/>
      </c>
      <c r="K301" s="29">
        <f>IFERROR(IF(AND(ISNUMBER(C301),ISNUMBER(J301)),C301/J301-1,""),"")</f>
        <v/>
      </c>
      <c r="L301" s="28">
        <f>IFERROR(IF(AND(ISNUMBER(D301),ISNUMBER(E301)),D301-E301,""),"")</f>
        <v/>
      </c>
    </row>
    <row r="302">
      <c r="A302" s="7">
        <f>IFERROR(Datos!A302,"")</f>
        <v/>
      </c>
      <c r="B302" s="8">
        <f>IFERROR(Datos!B302,"")</f>
        <v/>
      </c>
      <c r="C302" s="8">
        <f>IFERROR(Datos!C302,"")</f>
        <v/>
      </c>
      <c r="D302" s="28">
        <f>IFERROR(IF(AND(ISNUMBER(B302),ISNUMBER(B301),B301&lt;&gt;0),B302/B301-1,""),"")</f>
        <v/>
      </c>
      <c r="E302" s="28">
        <f>IFERROR(IF(AND(ISNUMBER(C302),ISNUMBER(C301),C301&lt;&gt;0),C302/C301-1,""),"")</f>
        <v/>
      </c>
      <c r="F302" s="28">
        <f>IFERROR(D302-Dashboard!$B$4/252,"")</f>
        <v/>
      </c>
      <c r="G302" s="28">
        <f>IFERROR(E302-Dashboard!$B$4/252,"")</f>
        <v/>
      </c>
      <c r="H302" s="8">
        <f>IFERROR(IF(ISNUMBER(B302),MAX(B302,IFERROR(H301,B302)),""),"")</f>
        <v/>
      </c>
      <c r="I302" s="29">
        <f>IFERROR(IF(AND(ISNUMBER(B302),ISNUMBER(H302)),B302/H302-1,""),"")</f>
        <v/>
      </c>
      <c r="J302" s="8">
        <f>IFERROR(IF(ISNUMBER(C302),MAX(C302,IFERROR(J301,C302)),""),"")</f>
        <v/>
      </c>
      <c r="K302" s="29">
        <f>IFERROR(IF(AND(ISNUMBER(C302),ISNUMBER(J302)),C302/J302-1,""),"")</f>
        <v/>
      </c>
      <c r="L302" s="28">
        <f>IFERROR(IF(AND(ISNUMBER(D302),ISNUMBER(E302)),D302-E302,""),"")</f>
        <v/>
      </c>
    </row>
    <row r="303">
      <c r="A303" s="7">
        <f>IFERROR(Datos!A303,"")</f>
        <v/>
      </c>
      <c r="B303" s="8">
        <f>IFERROR(Datos!B303,"")</f>
        <v/>
      </c>
      <c r="C303" s="8">
        <f>IFERROR(Datos!C303,"")</f>
        <v/>
      </c>
      <c r="D303" s="28">
        <f>IFERROR(IF(AND(ISNUMBER(B303),ISNUMBER(B302),B302&lt;&gt;0),B303/B302-1,""),"")</f>
        <v/>
      </c>
      <c r="E303" s="28">
        <f>IFERROR(IF(AND(ISNUMBER(C303),ISNUMBER(C302),C302&lt;&gt;0),C303/C302-1,""),"")</f>
        <v/>
      </c>
      <c r="F303" s="28">
        <f>IFERROR(D303-Dashboard!$B$4/252,"")</f>
        <v/>
      </c>
      <c r="G303" s="28">
        <f>IFERROR(E303-Dashboard!$B$4/252,"")</f>
        <v/>
      </c>
      <c r="H303" s="8">
        <f>IFERROR(IF(ISNUMBER(B303),MAX(B303,IFERROR(H302,B303)),""),"")</f>
        <v/>
      </c>
      <c r="I303" s="29">
        <f>IFERROR(IF(AND(ISNUMBER(B303),ISNUMBER(H303)),B303/H303-1,""),"")</f>
        <v/>
      </c>
      <c r="J303" s="8">
        <f>IFERROR(IF(ISNUMBER(C303),MAX(C303,IFERROR(J302,C303)),""),"")</f>
        <v/>
      </c>
      <c r="K303" s="29">
        <f>IFERROR(IF(AND(ISNUMBER(C303),ISNUMBER(J303)),C303/J303-1,""),"")</f>
        <v/>
      </c>
      <c r="L303" s="28">
        <f>IFERROR(IF(AND(ISNUMBER(D303),ISNUMBER(E303)),D303-E303,""),"")</f>
        <v/>
      </c>
    </row>
    <row r="304">
      <c r="A304" s="7">
        <f>IFERROR(Datos!A304,"")</f>
        <v/>
      </c>
      <c r="B304" s="8">
        <f>IFERROR(Datos!B304,"")</f>
        <v/>
      </c>
      <c r="C304" s="8">
        <f>IFERROR(Datos!C304,"")</f>
        <v/>
      </c>
      <c r="D304" s="28">
        <f>IFERROR(IF(AND(ISNUMBER(B304),ISNUMBER(B303),B303&lt;&gt;0),B304/B303-1,""),"")</f>
        <v/>
      </c>
      <c r="E304" s="28">
        <f>IFERROR(IF(AND(ISNUMBER(C304),ISNUMBER(C303),C303&lt;&gt;0),C304/C303-1,""),"")</f>
        <v/>
      </c>
      <c r="F304" s="28">
        <f>IFERROR(D304-Dashboard!$B$4/252,"")</f>
        <v/>
      </c>
      <c r="G304" s="28">
        <f>IFERROR(E304-Dashboard!$B$4/252,"")</f>
        <v/>
      </c>
      <c r="H304" s="8">
        <f>IFERROR(IF(ISNUMBER(B304),MAX(B304,IFERROR(H303,B304)),""),"")</f>
        <v/>
      </c>
      <c r="I304" s="29">
        <f>IFERROR(IF(AND(ISNUMBER(B304),ISNUMBER(H304)),B304/H304-1,""),"")</f>
        <v/>
      </c>
      <c r="J304" s="8">
        <f>IFERROR(IF(ISNUMBER(C304),MAX(C304,IFERROR(J303,C304)),""),"")</f>
        <v/>
      </c>
      <c r="K304" s="29">
        <f>IFERROR(IF(AND(ISNUMBER(C304),ISNUMBER(J304)),C304/J304-1,""),"")</f>
        <v/>
      </c>
      <c r="L304" s="28">
        <f>IFERROR(IF(AND(ISNUMBER(D304),ISNUMBER(E304)),D304-E304,""),"")</f>
        <v/>
      </c>
    </row>
    <row r="305">
      <c r="A305" s="7">
        <f>IFERROR(Datos!A305,"")</f>
        <v/>
      </c>
      <c r="B305" s="8">
        <f>IFERROR(Datos!B305,"")</f>
        <v/>
      </c>
      <c r="C305" s="8">
        <f>IFERROR(Datos!C305,"")</f>
        <v/>
      </c>
      <c r="D305" s="28">
        <f>IFERROR(IF(AND(ISNUMBER(B305),ISNUMBER(B304),B304&lt;&gt;0),B305/B304-1,""),"")</f>
        <v/>
      </c>
      <c r="E305" s="28">
        <f>IFERROR(IF(AND(ISNUMBER(C305),ISNUMBER(C304),C304&lt;&gt;0),C305/C304-1,""),"")</f>
        <v/>
      </c>
      <c r="F305" s="28">
        <f>IFERROR(D305-Dashboard!$B$4/252,"")</f>
        <v/>
      </c>
      <c r="G305" s="28">
        <f>IFERROR(E305-Dashboard!$B$4/252,"")</f>
        <v/>
      </c>
      <c r="H305" s="8">
        <f>IFERROR(IF(ISNUMBER(B305),MAX(B305,IFERROR(H304,B305)),""),"")</f>
        <v/>
      </c>
      <c r="I305" s="29">
        <f>IFERROR(IF(AND(ISNUMBER(B305),ISNUMBER(H305)),B305/H305-1,""),"")</f>
        <v/>
      </c>
      <c r="J305" s="8">
        <f>IFERROR(IF(ISNUMBER(C305),MAX(C305,IFERROR(J304,C305)),""),"")</f>
        <v/>
      </c>
      <c r="K305" s="29">
        <f>IFERROR(IF(AND(ISNUMBER(C305),ISNUMBER(J305)),C305/J305-1,""),"")</f>
        <v/>
      </c>
      <c r="L305" s="28">
        <f>IFERROR(IF(AND(ISNUMBER(D305),ISNUMBER(E305)),D305-E305,""),"")</f>
        <v/>
      </c>
    </row>
    <row r="306">
      <c r="A306" s="7">
        <f>IFERROR(Datos!A306,"")</f>
        <v/>
      </c>
      <c r="B306" s="8">
        <f>IFERROR(Datos!B306,"")</f>
        <v/>
      </c>
      <c r="C306" s="8">
        <f>IFERROR(Datos!C306,"")</f>
        <v/>
      </c>
      <c r="D306" s="28">
        <f>IFERROR(IF(AND(ISNUMBER(B306),ISNUMBER(B305),B305&lt;&gt;0),B306/B305-1,""),"")</f>
        <v/>
      </c>
      <c r="E306" s="28">
        <f>IFERROR(IF(AND(ISNUMBER(C306),ISNUMBER(C305),C305&lt;&gt;0),C306/C305-1,""),"")</f>
        <v/>
      </c>
      <c r="F306" s="28">
        <f>IFERROR(D306-Dashboard!$B$4/252,"")</f>
        <v/>
      </c>
      <c r="G306" s="28">
        <f>IFERROR(E306-Dashboard!$B$4/252,"")</f>
        <v/>
      </c>
      <c r="H306" s="8">
        <f>IFERROR(IF(ISNUMBER(B306),MAX(B306,IFERROR(H305,B306)),""),"")</f>
        <v/>
      </c>
      <c r="I306" s="29">
        <f>IFERROR(IF(AND(ISNUMBER(B306),ISNUMBER(H306)),B306/H306-1,""),"")</f>
        <v/>
      </c>
      <c r="J306" s="8">
        <f>IFERROR(IF(ISNUMBER(C306),MAX(C306,IFERROR(J305,C306)),""),"")</f>
        <v/>
      </c>
      <c r="K306" s="29">
        <f>IFERROR(IF(AND(ISNUMBER(C306),ISNUMBER(J306)),C306/J306-1,""),"")</f>
        <v/>
      </c>
      <c r="L306" s="28">
        <f>IFERROR(IF(AND(ISNUMBER(D306),ISNUMBER(E306)),D306-E306,""),"")</f>
        <v/>
      </c>
    </row>
    <row r="307">
      <c r="A307" s="7">
        <f>IFERROR(Datos!A307,"")</f>
        <v/>
      </c>
      <c r="B307" s="8">
        <f>IFERROR(Datos!B307,"")</f>
        <v/>
      </c>
      <c r="C307" s="8">
        <f>IFERROR(Datos!C307,"")</f>
        <v/>
      </c>
      <c r="D307" s="28">
        <f>IFERROR(IF(AND(ISNUMBER(B307),ISNUMBER(B306),B306&lt;&gt;0),B307/B306-1,""),"")</f>
        <v/>
      </c>
      <c r="E307" s="28">
        <f>IFERROR(IF(AND(ISNUMBER(C307),ISNUMBER(C306),C306&lt;&gt;0),C307/C306-1,""),"")</f>
        <v/>
      </c>
      <c r="F307" s="28">
        <f>IFERROR(D307-Dashboard!$B$4/252,"")</f>
        <v/>
      </c>
      <c r="G307" s="28">
        <f>IFERROR(E307-Dashboard!$B$4/252,"")</f>
        <v/>
      </c>
      <c r="H307" s="8">
        <f>IFERROR(IF(ISNUMBER(B307),MAX(B307,IFERROR(H306,B307)),""),"")</f>
        <v/>
      </c>
      <c r="I307" s="29">
        <f>IFERROR(IF(AND(ISNUMBER(B307),ISNUMBER(H307)),B307/H307-1,""),"")</f>
        <v/>
      </c>
      <c r="J307" s="8">
        <f>IFERROR(IF(ISNUMBER(C307),MAX(C307,IFERROR(J306,C307)),""),"")</f>
        <v/>
      </c>
      <c r="K307" s="29">
        <f>IFERROR(IF(AND(ISNUMBER(C307),ISNUMBER(J307)),C307/J307-1,""),"")</f>
        <v/>
      </c>
      <c r="L307" s="28">
        <f>IFERROR(IF(AND(ISNUMBER(D307),ISNUMBER(E307)),D307-E307,""),"")</f>
        <v/>
      </c>
    </row>
    <row r="308">
      <c r="A308" s="7">
        <f>IFERROR(Datos!A308,"")</f>
        <v/>
      </c>
      <c r="B308" s="8">
        <f>IFERROR(Datos!B308,"")</f>
        <v/>
      </c>
      <c r="C308" s="8">
        <f>IFERROR(Datos!C308,"")</f>
        <v/>
      </c>
      <c r="D308" s="28">
        <f>IFERROR(IF(AND(ISNUMBER(B308),ISNUMBER(B307),B307&lt;&gt;0),B308/B307-1,""),"")</f>
        <v/>
      </c>
      <c r="E308" s="28">
        <f>IFERROR(IF(AND(ISNUMBER(C308),ISNUMBER(C307),C307&lt;&gt;0),C308/C307-1,""),"")</f>
        <v/>
      </c>
      <c r="F308" s="28">
        <f>IFERROR(D308-Dashboard!$B$4/252,"")</f>
        <v/>
      </c>
      <c r="G308" s="28">
        <f>IFERROR(E308-Dashboard!$B$4/252,"")</f>
        <v/>
      </c>
      <c r="H308" s="8">
        <f>IFERROR(IF(ISNUMBER(B308),MAX(B308,IFERROR(H307,B308)),""),"")</f>
        <v/>
      </c>
      <c r="I308" s="29">
        <f>IFERROR(IF(AND(ISNUMBER(B308),ISNUMBER(H308)),B308/H308-1,""),"")</f>
        <v/>
      </c>
      <c r="J308" s="8">
        <f>IFERROR(IF(ISNUMBER(C308),MAX(C308,IFERROR(J307,C308)),""),"")</f>
        <v/>
      </c>
      <c r="K308" s="29">
        <f>IFERROR(IF(AND(ISNUMBER(C308),ISNUMBER(J308)),C308/J308-1,""),"")</f>
        <v/>
      </c>
      <c r="L308" s="28">
        <f>IFERROR(IF(AND(ISNUMBER(D308),ISNUMBER(E308)),D308-E308,""),"")</f>
        <v/>
      </c>
    </row>
    <row r="309">
      <c r="A309" s="7">
        <f>IFERROR(Datos!A309,"")</f>
        <v/>
      </c>
      <c r="B309" s="8">
        <f>IFERROR(Datos!B309,"")</f>
        <v/>
      </c>
      <c r="C309" s="8">
        <f>IFERROR(Datos!C309,"")</f>
        <v/>
      </c>
      <c r="D309" s="28">
        <f>IFERROR(IF(AND(ISNUMBER(B309),ISNUMBER(B308),B308&lt;&gt;0),B309/B308-1,""),"")</f>
        <v/>
      </c>
      <c r="E309" s="28">
        <f>IFERROR(IF(AND(ISNUMBER(C309),ISNUMBER(C308),C308&lt;&gt;0),C309/C308-1,""),"")</f>
        <v/>
      </c>
      <c r="F309" s="28">
        <f>IFERROR(D309-Dashboard!$B$4/252,"")</f>
        <v/>
      </c>
      <c r="G309" s="28">
        <f>IFERROR(E309-Dashboard!$B$4/252,"")</f>
        <v/>
      </c>
      <c r="H309" s="8">
        <f>IFERROR(IF(ISNUMBER(B309),MAX(B309,IFERROR(H308,B309)),""),"")</f>
        <v/>
      </c>
      <c r="I309" s="29">
        <f>IFERROR(IF(AND(ISNUMBER(B309),ISNUMBER(H309)),B309/H309-1,""),"")</f>
        <v/>
      </c>
      <c r="J309" s="8">
        <f>IFERROR(IF(ISNUMBER(C309),MAX(C309,IFERROR(J308,C309)),""),"")</f>
        <v/>
      </c>
      <c r="K309" s="29">
        <f>IFERROR(IF(AND(ISNUMBER(C309),ISNUMBER(J309)),C309/J309-1,""),"")</f>
        <v/>
      </c>
      <c r="L309" s="28">
        <f>IFERROR(IF(AND(ISNUMBER(D309),ISNUMBER(E309)),D309-E309,""),"")</f>
        <v/>
      </c>
    </row>
    <row r="310">
      <c r="A310" s="7">
        <f>IFERROR(Datos!A310,"")</f>
        <v/>
      </c>
      <c r="B310" s="8">
        <f>IFERROR(Datos!B310,"")</f>
        <v/>
      </c>
      <c r="C310" s="8">
        <f>IFERROR(Datos!C310,"")</f>
        <v/>
      </c>
      <c r="D310" s="28">
        <f>IFERROR(IF(AND(ISNUMBER(B310),ISNUMBER(B309),B309&lt;&gt;0),B310/B309-1,""),"")</f>
        <v/>
      </c>
      <c r="E310" s="28">
        <f>IFERROR(IF(AND(ISNUMBER(C310),ISNUMBER(C309),C309&lt;&gt;0),C310/C309-1,""),"")</f>
        <v/>
      </c>
      <c r="F310" s="28">
        <f>IFERROR(D310-Dashboard!$B$4/252,"")</f>
        <v/>
      </c>
      <c r="G310" s="28">
        <f>IFERROR(E310-Dashboard!$B$4/252,"")</f>
        <v/>
      </c>
      <c r="H310" s="8">
        <f>IFERROR(IF(ISNUMBER(B310),MAX(B310,IFERROR(H309,B310)),""),"")</f>
        <v/>
      </c>
      <c r="I310" s="29">
        <f>IFERROR(IF(AND(ISNUMBER(B310),ISNUMBER(H310)),B310/H310-1,""),"")</f>
        <v/>
      </c>
      <c r="J310" s="8">
        <f>IFERROR(IF(ISNUMBER(C310),MAX(C310,IFERROR(J309,C310)),""),"")</f>
        <v/>
      </c>
      <c r="K310" s="29">
        <f>IFERROR(IF(AND(ISNUMBER(C310),ISNUMBER(J310)),C310/J310-1,""),"")</f>
        <v/>
      </c>
      <c r="L310" s="28">
        <f>IFERROR(IF(AND(ISNUMBER(D310),ISNUMBER(E310)),D310-E310,""),"")</f>
        <v/>
      </c>
    </row>
    <row r="311">
      <c r="A311" s="7">
        <f>IFERROR(Datos!A311,"")</f>
        <v/>
      </c>
      <c r="B311" s="8">
        <f>IFERROR(Datos!B311,"")</f>
        <v/>
      </c>
      <c r="C311" s="8">
        <f>IFERROR(Datos!C311,"")</f>
        <v/>
      </c>
      <c r="D311" s="28">
        <f>IFERROR(IF(AND(ISNUMBER(B311),ISNUMBER(B310),B310&lt;&gt;0),B311/B310-1,""),"")</f>
        <v/>
      </c>
      <c r="E311" s="28">
        <f>IFERROR(IF(AND(ISNUMBER(C311),ISNUMBER(C310),C310&lt;&gt;0),C311/C310-1,""),"")</f>
        <v/>
      </c>
      <c r="F311" s="28">
        <f>IFERROR(D311-Dashboard!$B$4/252,"")</f>
        <v/>
      </c>
      <c r="G311" s="28">
        <f>IFERROR(E311-Dashboard!$B$4/252,"")</f>
        <v/>
      </c>
      <c r="H311" s="8">
        <f>IFERROR(IF(ISNUMBER(B311),MAX(B311,IFERROR(H310,B311)),""),"")</f>
        <v/>
      </c>
      <c r="I311" s="29">
        <f>IFERROR(IF(AND(ISNUMBER(B311),ISNUMBER(H311)),B311/H311-1,""),"")</f>
        <v/>
      </c>
      <c r="J311" s="8">
        <f>IFERROR(IF(ISNUMBER(C311),MAX(C311,IFERROR(J310,C311)),""),"")</f>
        <v/>
      </c>
      <c r="K311" s="29">
        <f>IFERROR(IF(AND(ISNUMBER(C311),ISNUMBER(J311)),C311/J311-1,""),"")</f>
        <v/>
      </c>
      <c r="L311" s="28">
        <f>IFERROR(IF(AND(ISNUMBER(D311),ISNUMBER(E311)),D311-E311,""),"")</f>
        <v/>
      </c>
    </row>
    <row r="312">
      <c r="A312" s="7">
        <f>IFERROR(Datos!A312,"")</f>
        <v/>
      </c>
      <c r="B312" s="8">
        <f>IFERROR(Datos!B312,"")</f>
        <v/>
      </c>
      <c r="C312" s="8">
        <f>IFERROR(Datos!C312,"")</f>
        <v/>
      </c>
      <c r="D312" s="28">
        <f>IFERROR(IF(AND(ISNUMBER(B312),ISNUMBER(B311),B311&lt;&gt;0),B312/B311-1,""),"")</f>
        <v/>
      </c>
      <c r="E312" s="28">
        <f>IFERROR(IF(AND(ISNUMBER(C312),ISNUMBER(C311),C311&lt;&gt;0),C312/C311-1,""),"")</f>
        <v/>
      </c>
      <c r="F312" s="28">
        <f>IFERROR(D312-Dashboard!$B$4/252,"")</f>
        <v/>
      </c>
      <c r="G312" s="28">
        <f>IFERROR(E312-Dashboard!$B$4/252,"")</f>
        <v/>
      </c>
      <c r="H312" s="8">
        <f>IFERROR(IF(ISNUMBER(B312),MAX(B312,IFERROR(H311,B312)),""),"")</f>
        <v/>
      </c>
      <c r="I312" s="29">
        <f>IFERROR(IF(AND(ISNUMBER(B312),ISNUMBER(H312)),B312/H312-1,""),"")</f>
        <v/>
      </c>
      <c r="J312" s="8">
        <f>IFERROR(IF(ISNUMBER(C312),MAX(C312,IFERROR(J311,C312)),""),"")</f>
        <v/>
      </c>
      <c r="K312" s="29">
        <f>IFERROR(IF(AND(ISNUMBER(C312),ISNUMBER(J312)),C312/J312-1,""),"")</f>
        <v/>
      </c>
      <c r="L312" s="28">
        <f>IFERROR(IF(AND(ISNUMBER(D312),ISNUMBER(E312)),D312-E312,""),"")</f>
        <v/>
      </c>
    </row>
    <row r="313">
      <c r="A313" s="7">
        <f>IFERROR(Datos!A313,"")</f>
        <v/>
      </c>
      <c r="B313" s="8">
        <f>IFERROR(Datos!B313,"")</f>
        <v/>
      </c>
      <c r="C313" s="8">
        <f>IFERROR(Datos!C313,"")</f>
        <v/>
      </c>
      <c r="D313" s="28">
        <f>IFERROR(IF(AND(ISNUMBER(B313),ISNUMBER(B312),B312&lt;&gt;0),B313/B312-1,""),"")</f>
        <v/>
      </c>
      <c r="E313" s="28">
        <f>IFERROR(IF(AND(ISNUMBER(C313),ISNUMBER(C312),C312&lt;&gt;0),C313/C312-1,""),"")</f>
        <v/>
      </c>
      <c r="F313" s="28">
        <f>IFERROR(D313-Dashboard!$B$4/252,"")</f>
        <v/>
      </c>
      <c r="G313" s="28">
        <f>IFERROR(E313-Dashboard!$B$4/252,"")</f>
        <v/>
      </c>
      <c r="H313" s="8">
        <f>IFERROR(IF(ISNUMBER(B313),MAX(B313,IFERROR(H312,B313)),""),"")</f>
        <v/>
      </c>
      <c r="I313" s="29">
        <f>IFERROR(IF(AND(ISNUMBER(B313),ISNUMBER(H313)),B313/H313-1,""),"")</f>
        <v/>
      </c>
      <c r="J313" s="8">
        <f>IFERROR(IF(ISNUMBER(C313),MAX(C313,IFERROR(J312,C313)),""),"")</f>
        <v/>
      </c>
      <c r="K313" s="29">
        <f>IFERROR(IF(AND(ISNUMBER(C313),ISNUMBER(J313)),C313/J313-1,""),"")</f>
        <v/>
      </c>
      <c r="L313" s="28">
        <f>IFERROR(IF(AND(ISNUMBER(D313),ISNUMBER(E313)),D313-E313,""),"")</f>
        <v/>
      </c>
    </row>
    <row r="314">
      <c r="A314" s="7">
        <f>IFERROR(Datos!A314,"")</f>
        <v/>
      </c>
      <c r="B314" s="8">
        <f>IFERROR(Datos!B314,"")</f>
        <v/>
      </c>
      <c r="C314" s="8">
        <f>IFERROR(Datos!C314,"")</f>
        <v/>
      </c>
      <c r="D314" s="28">
        <f>IFERROR(IF(AND(ISNUMBER(B314),ISNUMBER(B313),B313&lt;&gt;0),B314/B313-1,""),"")</f>
        <v/>
      </c>
      <c r="E314" s="28">
        <f>IFERROR(IF(AND(ISNUMBER(C314),ISNUMBER(C313),C313&lt;&gt;0),C314/C313-1,""),"")</f>
        <v/>
      </c>
      <c r="F314" s="28">
        <f>IFERROR(D314-Dashboard!$B$4/252,"")</f>
        <v/>
      </c>
      <c r="G314" s="28">
        <f>IFERROR(E314-Dashboard!$B$4/252,"")</f>
        <v/>
      </c>
      <c r="H314" s="8">
        <f>IFERROR(IF(ISNUMBER(B314),MAX(B314,IFERROR(H313,B314)),""),"")</f>
        <v/>
      </c>
      <c r="I314" s="29">
        <f>IFERROR(IF(AND(ISNUMBER(B314),ISNUMBER(H314)),B314/H314-1,""),"")</f>
        <v/>
      </c>
      <c r="J314" s="8">
        <f>IFERROR(IF(ISNUMBER(C314),MAX(C314,IFERROR(J313,C314)),""),"")</f>
        <v/>
      </c>
      <c r="K314" s="29">
        <f>IFERROR(IF(AND(ISNUMBER(C314),ISNUMBER(J314)),C314/J314-1,""),"")</f>
        <v/>
      </c>
      <c r="L314" s="28">
        <f>IFERROR(IF(AND(ISNUMBER(D314),ISNUMBER(E314)),D314-E314,""),"")</f>
        <v/>
      </c>
    </row>
    <row r="315">
      <c r="A315" s="7">
        <f>IFERROR(Datos!A315,"")</f>
        <v/>
      </c>
      <c r="B315" s="8">
        <f>IFERROR(Datos!B315,"")</f>
        <v/>
      </c>
      <c r="C315" s="8">
        <f>IFERROR(Datos!C315,"")</f>
        <v/>
      </c>
      <c r="D315" s="28">
        <f>IFERROR(IF(AND(ISNUMBER(B315),ISNUMBER(B314),B314&lt;&gt;0),B315/B314-1,""),"")</f>
        <v/>
      </c>
      <c r="E315" s="28">
        <f>IFERROR(IF(AND(ISNUMBER(C315),ISNUMBER(C314),C314&lt;&gt;0),C315/C314-1,""),"")</f>
        <v/>
      </c>
      <c r="F315" s="28">
        <f>IFERROR(D315-Dashboard!$B$4/252,"")</f>
        <v/>
      </c>
      <c r="G315" s="28">
        <f>IFERROR(E315-Dashboard!$B$4/252,"")</f>
        <v/>
      </c>
      <c r="H315" s="8">
        <f>IFERROR(IF(ISNUMBER(B315),MAX(B315,IFERROR(H314,B315)),""),"")</f>
        <v/>
      </c>
      <c r="I315" s="29">
        <f>IFERROR(IF(AND(ISNUMBER(B315),ISNUMBER(H315)),B315/H315-1,""),"")</f>
        <v/>
      </c>
      <c r="J315" s="8">
        <f>IFERROR(IF(ISNUMBER(C315),MAX(C315,IFERROR(J314,C315)),""),"")</f>
        <v/>
      </c>
      <c r="K315" s="29">
        <f>IFERROR(IF(AND(ISNUMBER(C315),ISNUMBER(J315)),C315/J315-1,""),"")</f>
        <v/>
      </c>
      <c r="L315" s="28">
        <f>IFERROR(IF(AND(ISNUMBER(D315),ISNUMBER(E315)),D315-E315,""),"")</f>
        <v/>
      </c>
    </row>
    <row r="316">
      <c r="A316" s="7">
        <f>IFERROR(Datos!A316,"")</f>
        <v/>
      </c>
      <c r="B316" s="8">
        <f>IFERROR(Datos!B316,"")</f>
        <v/>
      </c>
      <c r="C316" s="8">
        <f>IFERROR(Datos!C316,"")</f>
        <v/>
      </c>
      <c r="D316" s="28">
        <f>IFERROR(IF(AND(ISNUMBER(B316),ISNUMBER(B315),B315&lt;&gt;0),B316/B315-1,""),"")</f>
        <v/>
      </c>
      <c r="E316" s="28">
        <f>IFERROR(IF(AND(ISNUMBER(C316),ISNUMBER(C315),C315&lt;&gt;0),C316/C315-1,""),"")</f>
        <v/>
      </c>
      <c r="F316" s="28">
        <f>IFERROR(D316-Dashboard!$B$4/252,"")</f>
        <v/>
      </c>
      <c r="G316" s="28">
        <f>IFERROR(E316-Dashboard!$B$4/252,"")</f>
        <v/>
      </c>
      <c r="H316" s="8">
        <f>IFERROR(IF(ISNUMBER(B316),MAX(B316,IFERROR(H315,B316)),""),"")</f>
        <v/>
      </c>
      <c r="I316" s="29">
        <f>IFERROR(IF(AND(ISNUMBER(B316),ISNUMBER(H316)),B316/H316-1,""),"")</f>
        <v/>
      </c>
      <c r="J316" s="8">
        <f>IFERROR(IF(ISNUMBER(C316),MAX(C316,IFERROR(J315,C316)),""),"")</f>
        <v/>
      </c>
      <c r="K316" s="29">
        <f>IFERROR(IF(AND(ISNUMBER(C316),ISNUMBER(J316)),C316/J316-1,""),"")</f>
        <v/>
      </c>
      <c r="L316" s="28">
        <f>IFERROR(IF(AND(ISNUMBER(D316),ISNUMBER(E316)),D316-E316,""),"")</f>
        <v/>
      </c>
    </row>
    <row r="317">
      <c r="A317" s="7">
        <f>IFERROR(Datos!A317,"")</f>
        <v/>
      </c>
      <c r="B317" s="8">
        <f>IFERROR(Datos!B317,"")</f>
        <v/>
      </c>
      <c r="C317" s="8">
        <f>IFERROR(Datos!C317,"")</f>
        <v/>
      </c>
      <c r="D317" s="28">
        <f>IFERROR(IF(AND(ISNUMBER(B317),ISNUMBER(B316),B316&lt;&gt;0),B317/B316-1,""),"")</f>
        <v/>
      </c>
      <c r="E317" s="28">
        <f>IFERROR(IF(AND(ISNUMBER(C317),ISNUMBER(C316),C316&lt;&gt;0),C317/C316-1,""),"")</f>
        <v/>
      </c>
      <c r="F317" s="28">
        <f>IFERROR(D317-Dashboard!$B$4/252,"")</f>
        <v/>
      </c>
      <c r="G317" s="28">
        <f>IFERROR(E317-Dashboard!$B$4/252,"")</f>
        <v/>
      </c>
      <c r="H317" s="8">
        <f>IFERROR(IF(ISNUMBER(B317),MAX(B317,IFERROR(H316,B317)),""),"")</f>
        <v/>
      </c>
      <c r="I317" s="29">
        <f>IFERROR(IF(AND(ISNUMBER(B317),ISNUMBER(H317)),B317/H317-1,""),"")</f>
        <v/>
      </c>
      <c r="J317" s="8">
        <f>IFERROR(IF(ISNUMBER(C317),MAX(C317,IFERROR(J316,C317)),""),"")</f>
        <v/>
      </c>
      <c r="K317" s="29">
        <f>IFERROR(IF(AND(ISNUMBER(C317),ISNUMBER(J317)),C317/J317-1,""),"")</f>
        <v/>
      </c>
      <c r="L317" s="28">
        <f>IFERROR(IF(AND(ISNUMBER(D317),ISNUMBER(E317)),D317-E317,""),"")</f>
        <v/>
      </c>
    </row>
    <row r="318">
      <c r="A318" s="7">
        <f>IFERROR(Datos!A318,"")</f>
        <v/>
      </c>
      <c r="B318" s="8">
        <f>IFERROR(Datos!B318,"")</f>
        <v/>
      </c>
      <c r="C318" s="8">
        <f>IFERROR(Datos!C318,"")</f>
        <v/>
      </c>
      <c r="D318" s="28">
        <f>IFERROR(IF(AND(ISNUMBER(B318),ISNUMBER(B317),B317&lt;&gt;0),B318/B317-1,""),"")</f>
        <v/>
      </c>
      <c r="E318" s="28">
        <f>IFERROR(IF(AND(ISNUMBER(C318),ISNUMBER(C317),C317&lt;&gt;0),C318/C317-1,""),"")</f>
        <v/>
      </c>
      <c r="F318" s="28">
        <f>IFERROR(D318-Dashboard!$B$4/252,"")</f>
        <v/>
      </c>
      <c r="G318" s="28">
        <f>IFERROR(E318-Dashboard!$B$4/252,"")</f>
        <v/>
      </c>
      <c r="H318" s="8">
        <f>IFERROR(IF(ISNUMBER(B318),MAX(B318,IFERROR(H317,B318)),""),"")</f>
        <v/>
      </c>
      <c r="I318" s="29">
        <f>IFERROR(IF(AND(ISNUMBER(B318),ISNUMBER(H318)),B318/H318-1,""),"")</f>
        <v/>
      </c>
      <c r="J318" s="8">
        <f>IFERROR(IF(ISNUMBER(C318),MAX(C318,IFERROR(J317,C318)),""),"")</f>
        <v/>
      </c>
      <c r="K318" s="29">
        <f>IFERROR(IF(AND(ISNUMBER(C318),ISNUMBER(J318)),C318/J318-1,""),"")</f>
        <v/>
      </c>
      <c r="L318" s="28">
        <f>IFERROR(IF(AND(ISNUMBER(D318),ISNUMBER(E318)),D318-E318,""),"")</f>
        <v/>
      </c>
    </row>
    <row r="319">
      <c r="A319" s="7">
        <f>IFERROR(Datos!A319,"")</f>
        <v/>
      </c>
      <c r="B319" s="8">
        <f>IFERROR(Datos!B319,"")</f>
        <v/>
      </c>
      <c r="C319" s="8">
        <f>IFERROR(Datos!C319,"")</f>
        <v/>
      </c>
      <c r="D319" s="28">
        <f>IFERROR(IF(AND(ISNUMBER(B319),ISNUMBER(B318),B318&lt;&gt;0),B319/B318-1,""),"")</f>
        <v/>
      </c>
      <c r="E319" s="28">
        <f>IFERROR(IF(AND(ISNUMBER(C319),ISNUMBER(C318),C318&lt;&gt;0),C319/C318-1,""),"")</f>
        <v/>
      </c>
      <c r="F319" s="28">
        <f>IFERROR(D319-Dashboard!$B$4/252,"")</f>
        <v/>
      </c>
      <c r="G319" s="28">
        <f>IFERROR(E319-Dashboard!$B$4/252,"")</f>
        <v/>
      </c>
      <c r="H319" s="8">
        <f>IFERROR(IF(ISNUMBER(B319),MAX(B319,IFERROR(H318,B319)),""),"")</f>
        <v/>
      </c>
      <c r="I319" s="29">
        <f>IFERROR(IF(AND(ISNUMBER(B319),ISNUMBER(H319)),B319/H319-1,""),"")</f>
        <v/>
      </c>
      <c r="J319" s="8">
        <f>IFERROR(IF(ISNUMBER(C319),MAX(C319,IFERROR(J318,C319)),""),"")</f>
        <v/>
      </c>
      <c r="K319" s="29">
        <f>IFERROR(IF(AND(ISNUMBER(C319),ISNUMBER(J319)),C319/J319-1,""),"")</f>
        <v/>
      </c>
      <c r="L319" s="28">
        <f>IFERROR(IF(AND(ISNUMBER(D319),ISNUMBER(E319)),D319-E319,""),"")</f>
        <v/>
      </c>
    </row>
    <row r="320">
      <c r="A320" s="7">
        <f>IFERROR(Datos!A320,"")</f>
        <v/>
      </c>
      <c r="B320" s="8">
        <f>IFERROR(Datos!B320,"")</f>
        <v/>
      </c>
      <c r="C320" s="8">
        <f>IFERROR(Datos!C320,"")</f>
        <v/>
      </c>
      <c r="D320" s="28">
        <f>IFERROR(IF(AND(ISNUMBER(B320),ISNUMBER(B319),B319&lt;&gt;0),B320/B319-1,""),"")</f>
        <v/>
      </c>
      <c r="E320" s="28">
        <f>IFERROR(IF(AND(ISNUMBER(C320),ISNUMBER(C319),C319&lt;&gt;0),C320/C319-1,""),"")</f>
        <v/>
      </c>
      <c r="F320" s="28">
        <f>IFERROR(D320-Dashboard!$B$4/252,"")</f>
        <v/>
      </c>
      <c r="G320" s="28">
        <f>IFERROR(E320-Dashboard!$B$4/252,"")</f>
        <v/>
      </c>
      <c r="H320" s="8">
        <f>IFERROR(IF(ISNUMBER(B320),MAX(B320,IFERROR(H319,B320)),""),"")</f>
        <v/>
      </c>
      <c r="I320" s="29">
        <f>IFERROR(IF(AND(ISNUMBER(B320),ISNUMBER(H320)),B320/H320-1,""),"")</f>
        <v/>
      </c>
      <c r="J320" s="8">
        <f>IFERROR(IF(ISNUMBER(C320),MAX(C320,IFERROR(J319,C320)),""),"")</f>
        <v/>
      </c>
      <c r="K320" s="29">
        <f>IFERROR(IF(AND(ISNUMBER(C320),ISNUMBER(J320)),C320/J320-1,""),"")</f>
        <v/>
      </c>
      <c r="L320" s="28">
        <f>IFERROR(IF(AND(ISNUMBER(D320),ISNUMBER(E320)),D320-E320,""),"")</f>
        <v/>
      </c>
    </row>
    <row r="321">
      <c r="A321" s="7">
        <f>IFERROR(Datos!A321,"")</f>
        <v/>
      </c>
      <c r="B321" s="8">
        <f>IFERROR(Datos!B321,"")</f>
        <v/>
      </c>
      <c r="C321" s="8">
        <f>IFERROR(Datos!C321,"")</f>
        <v/>
      </c>
      <c r="D321" s="28">
        <f>IFERROR(IF(AND(ISNUMBER(B321),ISNUMBER(B320),B320&lt;&gt;0),B321/B320-1,""),"")</f>
        <v/>
      </c>
      <c r="E321" s="28">
        <f>IFERROR(IF(AND(ISNUMBER(C321),ISNUMBER(C320),C320&lt;&gt;0),C321/C320-1,""),"")</f>
        <v/>
      </c>
      <c r="F321" s="28">
        <f>IFERROR(D321-Dashboard!$B$4/252,"")</f>
        <v/>
      </c>
      <c r="G321" s="28">
        <f>IFERROR(E321-Dashboard!$B$4/252,"")</f>
        <v/>
      </c>
      <c r="H321" s="8">
        <f>IFERROR(IF(ISNUMBER(B321),MAX(B321,IFERROR(H320,B321)),""),"")</f>
        <v/>
      </c>
      <c r="I321" s="29">
        <f>IFERROR(IF(AND(ISNUMBER(B321),ISNUMBER(H321)),B321/H321-1,""),"")</f>
        <v/>
      </c>
      <c r="J321" s="8">
        <f>IFERROR(IF(ISNUMBER(C321),MAX(C321,IFERROR(J320,C321)),""),"")</f>
        <v/>
      </c>
      <c r="K321" s="29">
        <f>IFERROR(IF(AND(ISNUMBER(C321),ISNUMBER(J321)),C321/J321-1,""),"")</f>
        <v/>
      </c>
      <c r="L321" s="28">
        <f>IFERROR(IF(AND(ISNUMBER(D321),ISNUMBER(E321)),D321-E321,""),"")</f>
        <v/>
      </c>
    </row>
    <row r="322">
      <c r="A322" s="7">
        <f>IFERROR(Datos!A322,"")</f>
        <v/>
      </c>
      <c r="B322" s="8">
        <f>IFERROR(Datos!B322,"")</f>
        <v/>
      </c>
      <c r="C322" s="8">
        <f>IFERROR(Datos!C322,"")</f>
        <v/>
      </c>
      <c r="D322" s="28">
        <f>IFERROR(IF(AND(ISNUMBER(B322),ISNUMBER(B321),B321&lt;&gt;0),B322/B321-1,""),"")</f>
        <v/>
      </c>
      <c r="E322" s="28">
        <f>IFERROR(IF(AND(ISNUMBER(C322),ISNUMBER(C321),C321&lt;&gt;0),C322/C321-1,""),"")</f>
        <v/>
      </c>
      <c r="F322" s="28">
        <f>IFERROR(D322-Dashboard!$B$4/252,"")</f>
        <v/>
      </c>
      <c r="G322" s="28">
        <f>IFERROR(E322-Dashboard!$B$4/252,"")</f>
        <v/>
      </c>
      <c r="H322" s="8">
        <f>IFERROR(IF(ISNUMBER(B322),MAX(B322,IFERROR(H321,B322)),""),"")</f>
        <v/>
      </c>
      <c r="I322" s="29">
        <f>IFERROR(IF(AND(ISNUMBER(B322),ISNUMBER(H322)),B322/H322-1,""),"")</f>
        <v/>
      </c>
      <c r="J322" s="8">
        <f>IFERROR(IF(ISNUMBER(C322),MAX(C322,IFERROR(J321,C322)),""),"")</f>
        <v/>
      </c>
      <c r="K322" s="29">
        <f>IFERROR(IF(AND(ISNUMBER(C322),ISNUMBER(J322)),C322/J322-1,""),"")</f>
        <v/>
      </c>
      <c r="L322" s="28">
        <f>IFERROR(IF(AND(ISNUMBER(D322),ISNUMBER(E322)),D322-E322,""),"")</f>
        <v/>
      </c>
    </row>
    <row r="323">
      <c r="A323" s="7">
        <f>IFERROR(Datos!A323,"")</f>
        <v/>
      </c>
      <c r="B323" s="8">
        <f>IFERROR(Datos!B323,"")</f>
        <v/>
      </c>
      <c r="C323" s="8">
        <f>IFERROR(Datos!C323,"")</f>
        <v/>
      </c>
      <c r="D323" s="28">
        <f>IFERROR(IF(AND(ISNUMBER(B323),ISNUMBER(B322),B322&lt;&gt;0),B323/B322-1,""),"")</f>
        <v/>
      </c>
      <c r="E323" s="28">
        <f>IFERROR(IF(AND(ISNUMBER(C323),ISNUMBER(C322),C322&lt;&gt;0),C323/C322-1,""),"")</f>
        <v/>
      </c>
      <c r="F323" s="28">
        <f>IFERROR(D323-Dashboard!$B$4/252,"")</f>
        <v/>
      </c>
      <c r="G323" s="28">
        <f>IFERROR(E323-Dashboard!$B$4/252,"")</f>
        <v/>
      </c>
      <c r="H323" s="8">
        <f>IFERROR(IF(ISNUMBER(B323),MAX(B323,IFERROR(H322,B323)),""),"")</f>
        <v/>
      </c>
      <c r="I323" s="29">
        <f>IFERROR(IF(AND(ISNUMBER(B323),ISNUMBER(H323)),B323/H323-1,""),"")</f>
        <v/>
      </c>
      <c r="J323" s="8">
        <f>IFERROR(IF(ISNUMBER(C323),MAX(C323,IFERROR(J322,C323)),""),"")</f>
        <v/>
      </c>
      <c r="K323" s="29">
        <f>IFERROR(IF(AND(ISNUMBER(C323),ISNUMBER(J323)),C323/J323-1,""),"")</f>
        <v/>
      </c>
      <c r="L323" s="28">
        <f>IFERROR(IF(AND(ISNUMBER(D323),ISNUMBER(E323)),D323-E323,""),"")</f>
        <v/>
      </c>
    </row>
    <row r="324">
      <c r="A324" s="7">
        <f>IFERROR(Datos!A324,"")</f>
        <v/>
      </c>
      <c r="B324" s="8">
        <f>IFERROR(Datos!B324,"")</f>
        <v/>
      </c>
      <c r="C324" s="8">
        <f>IFERROR(Datos!C324,"")</f>
        <v/>
      </c>
      <c r="D324" s="28">
        <f>IFERROR(IF(AND(ISNUMBER(B324),ISNUMBER(B323),B323&lt;&gt;0),B324/B323-1,""),"")</f>
        <v/>
      </c>
      <c r="E324" s="28">
        <f>IFERROR(IF(AND(ISNUMBER(C324),ISNUMBER(C323),C323&lt;&gt;0),C324/C323-1,""),"")</f>
        <v/>
      </c>
      <c r="F324" s="28">
        <f>IFERROR(D324-Dashboard!$B$4/252,"")</f>
        <v/>
      </c>
      <c r="G324" s="28">
        <f>IFERROR(E324-Dashboard!$B$4/252,"")</f>
        <v/>
      </c>
      <c r="H324" s="8">
        <f>IFERROR(IF(ISNUMBER(B324),MAX(B324,IFERROR(H323,B324)),""),"")</f>
        <v/>
      </c>
      <c r="I324" s="29">
        <f>IFERROR(IF(AND(ISNUMBER(B324),ISNUMBER(H324)),B324/H324-1,""),"")</f>
        <v/>
      </c>
      <c r="J324" s="8">
        <f>IFERROR(IF(ISNUMBER(C324),MAX(C324,IFERROR(J323,C324)),""),"")</f>
        <v/>
      </c>
      <c r="K324" s="29">
        <f>IFERROR(IF(AND(ISNUMBER(C324),ISNUMBER(J324)),C324/J324-1,""),"")</f>
        <v/>
      </c>
      <c r="L324" s="28">
        <f>IFERROR(IF(AND(ISNUMBER(D324),ISNUMBER(E324)),D324-E324,""),"")</f>
        <v/>
      </c>
    </row>
    <row r="325">
      <c r="A325" s="7">
        <f>IFERROR(Datos!A325,"")</f>
        <v/>
      </c>
      <c r="B325" s="8">
        <f>IFERROR(Datos!B325,"")</f>
        <v/>
      </c>
      <c r="C325" s="8">
        <f>IFERROR(Datos!C325,"")</f>
        <v/>
      </c>
      <c r="D325" s="28">
        <f>IFERROR(IF(AND(ISNUMBER(B325),ISNUMBER(B324),B324&lt;&gt;0),B325/B324-1,""),"")</f>
        <v/>
      </c>
      <c r="E325" s="28">
        <f>IFERROR(IF(AND(ISNUMBER(C325),ISNUMBER(C324),C324&lt;&gt;0),C325/C324-1,""),"")</f>
        <v/>
      </c>
      <c r="F325" s="28">
        <f>IFERROR(D325-Dashboard!$B$4/252,"")</f>
        <v/>
      </c>
      <c r="G325" s="28">
        <f>IFERROR(E325-Dashboard!$B$4/252,"")</f>
        <v/>
      </c>
      <c r="H325" s="8">
        <f>IFERROR(IF(ISNUMBER(B325),MAX(B325,IFERROR(H324,B325)),""),"")</f>
        <v/>
      </c>
      <c r="I325" s="29">
        <f>IFERROR(IF(AND(ISNUMBER(B325),ISNUMBER(H325)),B325/H325-1,""),"")</f>
        <v/>
      </c>
      <c r="J325" s="8">
        <f>IFERROR(IF(ISNUMBER(C325),MAX(C325,IFERROR(J324,C325)),""),"")</f>
        <v/>
      </c>
      <c r="K325" s="29">
        <f>IFERROR(IF(AND(ISNUMBER(C325),ISNUMBER(J325)),C325/J325-1,""),"")</f>
        <v/>
      </c>
      <c r="L325" s="28">
        <f>IFERROR(IF(AND(ISNUMBER(D325),ISNUMBER(E325)),D325-E325,""),"")</f>
        <v/>
      </c>
    </row>
    <row r="326">
      <c r="A326" s="7">
        <f>IFERROR(Datos!A326,"")</f>
        <v/>
      </c>
      <c r="B326" s="8">
        <f>IFERROR(Datos!B326,"")</f>
        <v/>
      </c>
      <c r="C326" s="8">
        <f>IFERROR(Datos!C326,"")</f>
        <v/>
      </c>
      <c r="D326" s="28">
        <f>IFERROR(IF(AND(ISNUMBER(B326),ISNUMBER(B325),B325&lt;&gt;0),B326/B325-1,""),"")</f>
        <v/>
      </c>
      <c r="E326" s="28">
        <f>IFERROR(IF(AND(ISNUMBER(C326),ISNUMBER(C325),C325&lt;&gt;0),C326/C325-1,""),"")</f>
        <v/>
      </c>
      <c r="F326" s="28">
        <f>IFERROR(D326-Dashboard!$B$4/252,"")</f>
        <v/>
      </c>
      <c r="G326" s="28">
        <f>IFERROR(E326-Dashboard!$B$4/252,"")</f>
        <v/>
      </c>
      <c r="H326" s="8">
        <f>IFERROR(IF(ISNUMBER(B326),MAX(B326,IFERROR(H325,B326)),""),"")</f>
        <v/>
      </c>
      <c r="I326" s="29">
        <f>IFERROR(IF(AND(ISNUMBER(B326),ISNUMBER(H326)),B326/H326-1,""),"")</f>
        <v/>
      </c>
      <c r="J326" s="8">
        <f>IFERROR(IF(ISNUMBER(C326),MAX(C326,IFERROR(J325,C326)),""),"")</f>
        <v/>
      </c>
      <c r="K326" s="29">
        <f>IFERROR(IF(AND(ISNUMBER(C326),ISNUMBER(J326)),C326/J326-1,""),"")</f>
        <v/>
      </c>
      <c r="L326" s="28">
        <f>IFERROR(IF(AND(ISNUMBER(D326),ISNUMBER(E326)),D326-E326,""),"")</f>
        <v/>
      </c>
    </row>
    <row r="327">
      <c r="A327" s="7">
        <f>IFERROR(Datos!A327,"")</f>
        <v/>
      </c>
      <c r="B327" s="8">
        <f>IFERROR(Datos!B327,"")</f>
        <v/>
      </c>
      <c r="C327" s="8">
        <f>IFERROR(Datos!C327,"")</f>
        <v/>
      </c>
      <c r="D327" s="28">
        <f>IFERROR(IF(AND(ISNUMBER(B327),ISNUMBER(B326),B326&lt;&gt;0),B327/B326-1,""),"")</f>
        <v/>
      </c>
      <c r="E327" s="28">
        <f>IFERROR(IF(AND(ISNUMBER(C327),ISNUMBER(C326),C326&lt;&gt;0),C327/C326-1,""),"")</f>
        <v/>
      </c>
      <c r="F327" s="28">
        <f>IFERROR(D327-Dashboard!$B$4/252,"")</f>
        <v/>
      </c>
      <c r="G327" s="28">
        <f>IFERROR(E327-Dashboard!$B$4/252,"")</f>
        <v/>
      </c>
      <c r="H327" s="8">
        <f>IFERROR(IF(ISNUMBER(B327),MAX(B327,IFERROR(H326,B327)),""),"")</f>
        <v/>
      </c>
      <c r="I327" s="29">
        <f>IFERROR(IF(AND(ISNUMBER(B327),ISNUMBER(H327)),B327/H327-1,""),"")</f>
        <v/>
      </c>
      <c r="J327" s="8">
        <f>IFERROR(IF(ISNUMBER(C327),MAX(C327,IFERROR(J326,C327)),""),"")</f>
        <v/>
      </c>
      <c r="K327" s="29">
        <f>IFERROR(IF(AND(ISNUMBER(C327),ISNUMBER(J327)),C327/J327-1,""),"")</f>
        <v/>
      </c>
      <c r="L327" s="28">
        <f>IFERROR(IF(AND(ISNUMBER(D327),ISNUMBER(E327)),D327-E327,""),"")</f>
        <v/>
      </c>
    </row>
    <row r="328">
      <c r="A328" s="7">
        <f>IFERROR(Datos!A328,"")</f>
        <v/>
      </c>
      <c r="B328" s="8">
        <f>IFERROR(Datos!B328,"")</f>
        <v/>
      </c>
      <c r="C328" s="8">
        <f>IFERROR(Datos!C328,"")</f>
        <v/>
      </c>
      <c r="D328" s="28">
        <f>IFERROR(IF(AND(ISNUMBER(B328),ISNUMBER(B327),B327&lt;&gt;0),B328/B327-1,""),"")</f>
        <v/>
      </c>
      <c r="E328" s="28">
        <f>IFERROR(IF(AND(ISNUMBER(C328),ISNUMBER(C327),C327&lt;&gt;0),C328/C327-1,""),"")</f>
        <v/>
      </c>
      <c r="F328" s="28">
        <f>IFERROR(D328-Dashboard!$B$4/252,"")</f>
        <v/>
      </c>
      <c r="G328" s="28">
        <f>IFERROR(E328-Dashboard!$B$4/252,"")</f>
        <v/>
      </c>
      <c r="H328" s="8">
        <f>IFERROR(IF(ISNUMBER(B328),MAX(B328,IFERROR(H327,B328)),""),"")</f>
        <v/>
      </c>
      <c r="I328" s="29">
        <f>IFERROR(IF(AND(ISNUMBER(B328),ISNUMBER(H328)),B328/H328-1,""),"")</f>
        <v/>
      </c>
      <c r="J328" s="8">
        <f>IFERROR(IF(ISNUMBER(C328),MAX(C328,IFERROR(J327,C328)),""),"")</f>
        <v/>
      </c>
      <c r="K328" s="29">
        <f>IFERROR(IF(AND(ISNUMBER(C328),ISNUMBER(J328)),C328/J328-1,""),"")</f>
        <v/>
      </c>
      <c r="L328" s="28">
        <f>IFERROR(IF(AND(ISNUMBER(D328),ISNUMBER(E328)),D328-E328,""),"")</f>
        <v/>
      </c>
    </row>
    <row r="329">
      <c r="A329" s="7">
        <f>IFERROR(Datos!A329,"")</f>
        <v/>
      </c>
      <c r="B329" s="8">
        <f>IFERROR(Datos!B329,"")</f>
        <v/>
      </c>
      <c r="C329" s="8">
        <f>IFERROR(Datos!C329,"")</f>
        <v/>
      </c>
      <c r="D329" s="28">
        <f>IFERROR(IF(AND(ISNUMBER(B329),ISNUMBER(B328),B328&lt;&gt;0),B329/B328-1,""),"")</f>
        <v/>
      </c>
      <c r="E329" s="28">
        <f>IFERROR(IF(AND(ISNUMBER(C329),ISNUMBER(C328),C328&lt;&gt;0),C329/C328-1,""),"")</f>
        <v/>
      </c>
      <c r="F329" s="28">
        <f>IFERROR(D329-Dashboard!$B$4/252,"")</f>
        <v/>
      </c>
      <c r="G329" s="28">
        <f>IFERROR(E329-Dashboard!$B$4/252,"")</f>
        <v/>
      </c>
      <c r="H329" s="8">
        <f>IFERROR(IF(ISNUMBER(B329),MAX(B329,IFERROR(H328,B329)),""),"")</f>
        <v/>
      </c>
      <c r="I329" s="29">
        <f>IFERROR(IF(AND(ISNUMBER(B329),ISNUMBER(H329)),B329/H329-1,""),"")</f>
        <v/>
      </c>
      <c r="J329" s="8">
        <f>IFERROR(IF(ISNUMBER(C329),MAX(C329,IFERROR(J328,C329)),""),"")</f>
        <v/>
      </c>
      <c r="K329" s="29">
        <f>IFERROR(IF(AND(ISNUMBER(C329),ISNUMBER(J329)),C329/J329-1,""),"")</f>
        <v/>
      </c>
      <c r="L329" s="28">
        <f>IFERROR(IF(AND(ISNUMBER(D329),ISNUMBER(E329)),D329-E329,""),"")</f>
        <v/>
      </c>
    </row>
    <row r="330">
      <c r="A330" s="7">
        <f>IFERROR(Datos!A330,"")</f>
        <v/>
      </c>
      <c r="B330" s="8">
        <f>IFERROR(Datos!B330,"")</f>
        <v/>
      </c>
      <c r="C330" s="8">
        <f>IFERROR(Datos!C330,"")</f>
        <v/>
      </c>
      <c r="D330" s="28">
        <f>IFERROR(IF(AND(ISNUMBER(B330),ISNUMBER(B329),B329&lt;&gt;0),B330/B329-1,""),"")</f>
        <v/>
      </c>
      <c r="E330" s="28">
        <f>IFERROR(IF(AND(ISNUMBER(C330),ISNUMBER(C329),C329&lt;&gt;0),C330/C329-1,""),"")</f>
        <v/>
      </c>
      <c r="F330" s="28">
        <f>IFERROR(D330-Dashboard!$B$4/252,"")</f>
        <v/>
      </c>
      <c r="G330" s="28">
        <f>IFERROR(E330-Dashboard!$B$4/252,"")</f>
        <v/>
      </c>
      <c r="H330" s="8">
        <f>IFERROR(IF(ISNUMBER(B330),MAX(B330,IFERROR(H329,B330)),""),"")</f>
        <v/>
      </c>
      <c r="I330" s="29">
        <f>IFERROR(IF(AND(ISNUMBER(B330),ISNUMBER(H330)),B330/H330-1,""),"")</f>
        <v/>
      </c>
      <c r="J330" s="8">
        <f>IFERROR(IF(ISNUMBER(C330),MAX(C330,IFERROR(J329,C330)),""),"")</f>
        <v/>
      </c>
      <c r="K330" s="29">
        <f>IFERROR(IF(AND(ISNUMBER(C330),ISNUMBER(J330)),C330/J330-1,""),"")</f>
        <v/>
      </c>
      <c r="L330" s="28">
        <f>IFERROR(IF(AND(ISNUMBER(D330),ISNUMBER(E330)),D330-E330,""),"")</f>
        <v/>
      </c>
    </row>
    <row r="331">
      <c r="A331" s="7">
        <f>IFERROR(Datos!A331,"")</f>
        <v/>
      </c>
      <c r="B331" s="8">
        <f>IFERROR(Datos!B331,"")</f>
        <v/>
      </c>
      <c r="C331" s="8">
        <f>IFERROR(Datos!C331,"")</f>
        <v/>
      </c>
      <c r="D331" s="28">
        <f>IFERROR(IF(AND(ISNUMBER(B331),ISNUMBER(B330),B330&lt;&gt;0),B331/B330-1,""),"")</f>
        <v/>
      </c>
      <c r="E331" s="28">
        <f>IFERROR(IF(AND(ISNUMBER(C331),ISNUMBER(C330),C330&lt;&gt;0),C331/C330-1,""),"")</f>
        <v/>
      </c>
      <c r="F331" s="28">
        <f>IFERROR(D331-Dashboard!$B$4/252,"")</f>
        <v/>
      </c>
      <c r="G331" s="28">
        <f>IFERROR(E331-Dashboard!$B$4/252,"")</f>
        <v/>
      </c>
      <c r="H331" s="8">
        <f>IFERROR(IF(ISNUMBER(B331),MAX(B331,IFERROR(H330,B331)),""),"")</f>
        <v/>
      </c>
      <c r="I331" s="29">
        <f>IFERROR(IF(AND(ISNUMBER(B331),ISNUMBER(H331)),B331/H331-1,""),"")</f>
        <v/>
      </c>
      <c r="J331" s="8">
        <f>IFERROR(IF(ISNUMBER(C331),MAX(C331,IFERROR(J330,C331)),""),"")</f>
        <v/>
      </c>
      <c r="K331" s="29">
        <f>IFERROR(IF(AND(ISNUMBER(C331),ISNUMBER(J331)),C331/J331-1,""),"")</f>
        <v/>
      </c>
      <c r="L331" s="28">
        <f>IFERROR(IF(AND(ISNUMBER(D331),ISNUMBER(E331)),D331-E331,""),"")</f>
        <v/>
      </c>
    </row>
    <row r="332">
      <c r="A332" s="7">
        <f>IFERROR(Datos!A332,"")</f>
        <v/>
      </c>
      <c r="B332" s="8">
        <f>IFERROR(Datos!B332,"")</f>
        <v/>
      </c>
      <c r="C332" s="8">
        <f>IFERROR(Datos!C332,"")</f>
        <v/>
      </c>
      <c r="D332" s="28">
        <f>IFERROR(IF(AND(ISNUMBER(B332),ISNUMBER(B331),B331&lt;&gt;0),B332/B331-1,""),"")</f>
        <v/>
      </c>
      <c r="E332" s="28">
        <f>IFERROR(IF(AND(ISNUMBER(C332),ISNUMBER(C331),C331&lt;&gt;0),C332/C331-1,""),"")</f>
        <v/>
      </c>
      <c r="F332" s="28">
        <f>IFERROR(D332-Dashboard!$B$4/252,"")</f>
        <v/>
      </c>
      <c r="G332" s="28">
        <f>IFERROR(E332-Dashboard!$B$4/252,"")</f>
        <v/>
      </c>
      <c r="H332" s="8">
        <f>IFERROR(IF(ISNUMBER(B332),MAX(B332,IFERROR(H331,B332)),""),"")</f>
        <v/>
      </c>
      <c r="I332" s="29">
        <f>IFERROR(IF(AND(ISNUMBER(B332),ISNUMBER(H332)),B332/H332-1,""),"")</f>
        <v/>
      </c>
      <c r="J332" s="8">
        <f>IFERROR(IF(ISNUMBER(C332),MAX(C332,IFERROR(J331,C332)),""),"")</f>
        <v/>
      </c>
      <c r="K332" s="29">
        <f>IFERROR(IF(AND(ISNUMBER(C332),ISNUMBER(J332)),C332/J332-1,""),"")</f>
        <v/>
      </c>
      <c r="L332" s="28">
        <f>IFERROR(IF(AND(ISNUMBER(D332),ISNUMBER(E332)),D332-E332,""),"")</f>
        <v/>
      </c>
    </row>
    <row r="333">
      <c r="A333" s="7">
        <f>IFERROR(Datos!A333,"")</f>
        <v/>
      </c>
      <c r="B333" s="8">
        <f>IFERROR(Datos!B333,"")</f>
        <v/>
      </c>
      <c r="C333" s="8">
        <f>IFERROR(Datos!C333,"")</f>
        <v/>
      </c>
      <c r="D333" s="28">
        <f>IFERROR(IF(AND(ISNUMBER(B333),ISNUMBER(B332),B332&lt;&gt;0),B333/B332-1,""),"")</f>
        <v/>
      </c>
      <c r="E333" s="28">
        <f>IFERROR(IF(AND(ISNUMBER(C333),ISNUMBER(C332),C332&lt;&gt;0),C333/C332-1,""),"")</f>
        <v/>
      </c>
      <c r="F333" s="28">
        <f>IFERROR(D333-Dashboard!$B$4/252,"")</f>
        <v/>
      </c>
      <c r="G333" s="28">
        <f>IFERROR(E333-Dashboard!$B$4/252,"")</f>
        <v/>
      </c>
      <c r="H333" s="8">
        <f>IFERROR(IF(ISNUMBER(B333),MAX(B333,IFERROR(H332,B333)),""),"")</f>
        <v/>
      </c>
      <c r="I333" s="29">
        <f>IFERROR(IF(AND(ISNUMBER(B333),ISNUMBER(H333)),B333/H333-1,""),"")</f>
        <v/>
      </c>
      <c r="J333" s="8">
        <f>IFERROR(IF(ISNUMBER(C333),MAX(C333,IFERROR(J332,C333)),""),"")</f>
        <v/>
      </c>
      <c r="K333" s="29">
        <f>IFERROR(IF(AND(ISNUMBER(C333),ISNUMBER(J333)),C333/J333-1,""),"")</f>
        <v/>
      </c>
      <c r="L333" s="28">
        <f>IFERROR(IF(AND(ISNUMBER(D333),ISNUMBER(E333)),D333-E333,""),"")</f>
        <v/>
      </c>
    </row>
    <row r="334">
      <c r="A334" s="7">
        <f>IFERROR(Datos!A334,"")</f>
        <v/>
      </c>
      <c r="B334" s="8">
        <f>IFERROR(Datos!B334,"")</f>
        <v/>
      </c>
      <c r="C334" s="8">
        <f>IFERROR(Datos!C334,"")</f>
        <v/>
      </c>
      <c r="D334" s="28">
        <f>IFERROR(IF(AND(ISNUMBER(B334),ISNUMBER(B333),B333&lt;&gt;0),B334/B333-1,""),"")</f>
        <v/>
      </c>
      <c r="E334" s="28">
        <f>IFERROR(IF(AND(ISNUMBER(C334),ISNUMBER(C333),C333&lt;&gt;0),C334/C333-1,""),"")</f>
        <v/>
      </c>
      <c r="F334" s="28">
        <f>IFERROR(D334-Dashboard!$B$4/252,"")</f>
        <v/>
      </c>
      <c r="G334" s="28">
        <f>IFERROR(E334-Dashboard!$B$4/252,"")</f>
        <v/>
      </c>
      <c r="H334" s="8">
        <f>IFERROR(IF(ISNUMBER(B334),MAX(B334,IFERROR(H333,B334)),""),"")</f>
        <v/>
      </c>
      <c r="I334" s="29">
        <f>IFERROR(IF(AND(ISNUMBER(B334),ISNUMBER(H334)),B334/H334-1,""),"")</f>
        <v/>
      </c>
      <c r="J334" s="8">
        <f>IFERROR(IF(ISNUMBER(C334),MAX(C334,IFERROR(J333,C334)),""),"")</f>
        <v/>
      </c>
      <c r="K334" s="29">
        <f>IFERROR(IF(AND(ISNUMBER(C334),ISNUMBER(J334)),C334/J334-1,""),"")</f>
        <v/>
      </c>
      <c r="L334" s="28">
        <f>IFERROR(IF(AND(ISNUMBER(D334),ISNUMBER(E334)),D334-E334,""),"")</f>
        <v/>
      </c>
    </row>
    <row r="335">
      <c r="A335" s="7">
        <f>IFERROR(Datos!A335,"")</f>
        <v/>
      </c>
      <c r="B335" s="8">
        <f>IFERROR(Datos!B335,"")</f>
        <v/>
      </c>
      <c r="C335" s="8">
        <f>IFERROR(Datos!C335,"")</f>
        <v/>
      </c>
      <c r="D335" s="28">
        <f>IFERROR(IF(AND(ISNUMBER(B335),ISNUMBER(B334),B334&lt;&gt;0),B335/B334-1,""),"")</f>
        <v/>
      </c>
      <c r="E335" s="28">
        <f>IFERROR(IF(AND(ISNUMBER(C335),ISNUMBER(C334),C334&lt;&gt;0),C335/C334-1,""),"")</f>
        <v/>
      </c>
      <c r="F335" s="28">
        <f>IFERROR(D335-Dashboard!$B$4/252,"")</f>
        <v/>
      </c>
      <c r="G335" s="28">
        <f>IFERROR(E335-Dashboard!$B$4/252,"")</f>
        <v/>
      </c>
      <c r="H335" s="8">
        <f>IFERROR(IF(ISNUMBER(B335),MAX(B335,IFERROR(H334,B335)),""),"")</f>
        <v/>
      </c>
      <c r="I335" s="29">
        <f>IFERROR(IF(AND(ISNUMBER(B335),ISNUMBER(H335)),B335/H335-1,""),"")</f>
        <v/>
      </c>
      <c r="J335" s="8">
        <f>IFERROR(IF(ISNUMBER(C335),MAX(C335,IFERROR(J334,C335)),""),"")</f>
        <v/>
      </c>
      <c r="K335" s="29">
        <f>IFERROR(IF(AND(ISNUMBER(C335),ISNUMBER(J335)),C335/J335-1,""),"")</f>
        <v/>
      </c>
      <c r="L335" s="28">
        <f>IFERROR(IF(AND(ISNUMBER(D335),ISNUMBER(E335)),D335-E335,""),"")</f>
        <v/>
      </c>
    </row>
    <row r="336">
      <c r="A336" s="7">
        <f>IFERROR(Datos!A336,"")</f>
        <v/>
      </c>
      <c r="B336" s="8">
        <f>IFERROR(Datos!B336,"")</f>
        <v/>
      </c>
      <c r="C336" s="8">
        <f>IFERROR(Datos!C336,"")</f>
        <v/>
      </c>
      <c r="D336" s="28">
        <f>IFERROR(IF(AND(ISNUMBER(B336),ISNUMBER(B335),B335&lt;&gt;0),B336/B335-1,""),"")</f>
        <v/>
      </c>
      <c r="E336" s="28">
        <f>IFERROR(IF(AND(ISNUMBER(C336),ISNUMBER(C335),C335&lt;&gt;0),C336/C335-1,""),"")</f>
        <v/>
      </c>
      <c r="F336" s="28">
        <f>IFERROR(D336-Dashboard!$B$4/252,"")</f>
        <v/>
      </c>
      <c r="G336" s="28">
        <f>IFERROR(E336-Dashboard!$B$4/252,"")</f>
        <v/>
      </c>
      <c r="H336" s="8">
        <f>IFERROR(IF(ISNUMBER(B336),MAX(B336,IFERROR(H335,B336)),""),"")</f>
        <v/>
      </c>
      <c r="I336" s="29">
        <f>IFERROR(IF(AND(ISNUMBER(B336),ISNUMBER(H336)),B336/H336-1,""),"")</f>
        <v/>
      </c>
      <c r="J336" s="8">
        <f>IFERROR(IF(ISNUMBER(C336),MAX(C336,IFERROR(J335,C336)),""),"")</f>
        <v/>
      </c>
      <c r="K336" s="29">
        <f>IFERROR(IF(AND(ISNUMBER(C336),ISNUMBER(J336)),C336/J336-1,""),"")</f>
        <v/>
      </c>
      <c r="L336" s="28">
        <f>IFERROR(IF(AND(ISNUMBER(D336),ISNUMBER(E336)),D336-E336,""),"")</f>
        <v/>
      </c>
    </row>
    <row r="337">
      <c r="A337" s="7">
        <f>IFERROR(Datos!A337,"")</f>
        <v/>
      </c>
      <c r="B337" s="8">
        <f>IFERROR(Datos!B337,"")</f>
        <v/>
      </c>
      <c r="C337" s="8">
        <f>IFERROR(Datos!C337,"")</f>
        <v/>
      </c>
      <c r="D337" s="28">
        <f>IFERROR(IF(AND(ISNUMBER(B337),ISNUMBER(B336),B336&lt;&gt;0),B337/B336-1,""),"")</f>
        <v/>
      </c>
      <c r="E337" s="28">
        <f>IFERROR(IF(AND(ISNUMBER(C337),ISNUMBER(C336),C336&lt;&gt;0),C337/C336-1,""),"")</f>
        <v/>
      </c>
      <c r="F337" s="28">
        <f>IFERROR(D337-Dashboard!$B$4/252,"")</f>
        <v/>
      </c>
      <c r="G337" s="28">
        <f>IFERROR(E337-Dashboard!$B$4/252,"")</f>
        <v/>
      </c>
      <c r="H337" s="8">
        <f>IFERROR(IF(ISNUMBER(B337),MAX(B337,IFERROR(H336,B337)),""),"")</f>
        <v/>
      </c>
      <c r="I337" s="29">
        <f>IFERROR(IF(AND(ISNUMBER(B337),ISNUMBER(H337)),B337/H337-1,""),"")</f>
        <v/>
      </c>
      <c r="J337" s="8">
        <f>IFERROR(IF(ISNUMBER(C337),MAX(C337,IFERROR(J336,C337)),""),"")</f>
        <v/>
      </c>
      <c r="K337" s="29">
        <f>IFERROR(IF(AND(ISNUMBER(C337),ISNUMBER(J337)),C337/J337-1,""),"")</f>
        <v/>
      </c>
      <c r="L337" s="28">
        <f>IFERROR(IF(AND(ISNUMBER(D337),ISNUMBER(E337)),D337-E337,""),"")</f>
        <v/>
      </c>
    </row>
    <row r="338">
      <c r="A338" s="7">
        <f>IFERROR(Datos!A338,"")</f>
        <v/>
      </c>
      <c r="B338" s="8">
        <f>IFERROR(Datos!B338,"")</f>
        <v/>
      </c>
      <c r="C338" s="8">
        <f>IFERROR(Datos!C338,"")</f>
        <v/>
      </c>
      <c r="D338" s="28">
        <f>IFERROR(IF(AND(ISNUMBER(B338),ISNUMBER(B337),B337&lt;&gt;0),B338/B337-1,""),"")</f>
        <v/>
      </c>
      <c r="E338" s="28">
        <f>IFERROR(IF(AND(ISNUMBER(C338),ISNUMBER(C337),C337&lt;&gt;0),C338/C337-1,""),"")</f>
        <v/>
      </c>
      <c r="F338" s="28">
        <f>IFERROR(D338-Dashboard!$B$4/252,"")</f>
        <v/>
      </c>
      <c r="G338" s="28">
        <f>IFERROR(E338-Dashboard!$B$4/252,"")</f>
        <v/>
      </c>
      <c r="H338" s="8">
        <f>IFERROR(IF(ISNUMBER(B338),MAX(B338,IFERROR(H337,B338)),""),"")</f>
        <v/>
      </c>
      <c r="I338" s="29">
        <f>IFERROR(IF(AND(ISNUMBER(B338),ISNUMBER(H338)),B338/H338-1,""),"")</f>
        <v/>
      </c>
      <c r="J338" s="8">
        <f>IFERROR(IF(ISNUMBER(C338),MAX(C338,IFERROR(J337,C338)),""),"")</f>
        <v/>
      </c>
      <c r="K338" s="29">
        <f>IFERROR(IF(AND(ISNUMBER(C338),ISNUMBER(J338)),C338/J338-1,""),"")</f>
        <v/>
      </c>
      <c r="L338" s="28">
        <f>IFERROR(IF(AND(ISNUMBER(D338),ISNUMBER(E338)),D338-E338,""),"")</f>
        <v/>
      </c>
    </row>
    <row r="339">
      <c r="A339" s="7">
        <f>IFERROR(Datos!A339,"")</f>
        <v/>
      </c>
      <c r="B339" s="8">
        <f>IFERROR(Datos!B339,"")</f>
        <v/>
      </c>
      <c r="C339" s="8">
        <f>IFERROR(Datos!C339,"")</f>
        <v/>
      </c>
      <c r="D339" s="28">
        <f>IFERROR(IF(AND(ISNUMBER(B339),ISNUMBER(B338),B338&lt;&gt;0),B339/B338-1,""),"")</f>
        <v/>
      </c>
      <c r="E339" s="28">
        <f>IFERROR(IF(AND(ISNUMBER(C339),ISNUMBER(C338),C338&lt;&gt;0),C339/C338-1,""),"")</f>
        <v/>
      </c>
      <c r="F339" s="28">
        <f>IFERROR(D339-Dashboard!$B$4/252,"")</f>
        <v/>
      </c>
      <c r="G339" s="28">
        <f>IFERROR(E339-Dashboard!$B$4/252,"")</f>
        <v/>
      </c>
      <c r="H339" s="8">
        <f>IFERROR(IF(ISNUMBER(B339),MAX(B339,IFERROR(H338,B339)),""),"")</f>
        <v/>
      </c>
      <c r="I339" s="29">
        <f>IFERROR(IF(AND(ISNUMBER(B339),ISNUMBER(H339)),B339/H339-1,""),"")</f>
        <v/>
      </c>
      <c r="J339" s="8">
        <f>IFERROR(IF(ISNUMBER(C339),MAX(C339,IFERROR(J338,C339)),""),"")</f>
        <v/>
      </c>
      <c r="K339" s="29">
        <f>IFERROR(IF(AND(ISNUMBER(C339),ISNUMBER(J339)),C339/J339-1,""),"")</f>
        <v/>
      </c>
      <c r="L339" s="28">
        <f>IFERROR(IF(AND(ISNUMBER(D339),ISNUMBER(E339)),D339-E339,""),"")</f>
        <v/>
      </c>
    </row>
    <row r="340">
      <c r="A340" s="7">
        <f>IFERROR(Datos!A340,"")</f>
        <v/>
      </c>
      <c r="B340" s="8">
        <f>IFERROR(Datos!B340,"")</f>
        <v/>
      </c>
      <c r="C340" s="8">
        <f>IFERROR(Datos!C340,"")</f>
        <v/>
      </c>
      <c r="D340" s="28">
        <f>IFERROR(IF(AND(ISNUMBER(B340),ISNUMBER(B339),B339&lt;&gt;0),B340/B339-1,""),"")</f>
        <v/>
      </c>
      <c r="E340" s="28">
        <f>IFERROR(IF(AND(ISNUMBER(C340),ISNUMBER(C339),C339&lt;&gt;0),C340/C339-1,""),"")</f>
        <v/>
      </c>
      <c r="F340" s="28">
        <f>IFERROR(D340-Dashboard!$B$4/252,"")</f>
        <v/>
      </c>
      <c r="G340" s="28">
        <f>IFERROR(E340-Dashboard!$B$4/252,"")</f>
        <v/>
      </c>
      <c r="H340" s="8">
        <f>IFERROR(IF(ISNUMBER(B340),MAX(B340,IFERROR(H339,B340)),""),"")</f>
        <v/>
      </c>
      <c r="I340" s="29">
        <f>IFERROR(IF(AND(ISNUMBER(B340),ISNUMBER(H340)),B340/H340-1,""),"")</f>
        <v/>
      </c>
      <c r="J340" s="8">
        <f>IFERROR(IF(ISNUMBER(C340),MAX(C340,IFERROR(J339,C340)),""),"")</f>
        <v/>
      </c>
      <c r="K340" s="29">
        <f>IFERROR(IF(AND(ISNUMBER(C340),ISNUMBER(J340)),C340/J340-1,""),"")</f>
        <v/>
      </c>
      <c r="L340" s="28">
        <f>IFERROR(IF(AND(ISNUMBER(D340),ISNUMBER(E340)),D340-E340,""),"")</f>
        <v/>
      </c>
    </row>
    <row r="341">
      <c r="A341" s="7">
        <f>IFERROR(Datos!A341,"")</f>
        <v/>
      </c>
      <c r="B341" s="8">
        <f>IFERROR(Datos!B341,"")</f>
        <v/>
      </c>
      <c r="C341" s="8">
        <f>IFERROR(Datos!C341,"")</f>
        <v/>
      </c>
      <c r="D341" s="28">
        <f>IFERROR(IF(AND(ISNUMBER(B341),ISNUMBER(B340),B340&lt;&gt;0),B341/B340-1,""),"")</f>
        <v/>
      </c>
      <c r="E341" s="28">
        <f>IFERROR(IF(AND(ISNUMBER(C341),ISNUMBER(C340),C340&lt;&gt;0),C341/C340-1,""),"")</f>
        <v/>
      </c>
      <c r="F341" s="28">
        <f>IFERROR(D341-Dashboard!$B$4/252,"")</f>
        <v/>
      </c>
      <c r="G341" s="28">
        <f>IFERROR(E341-Dashboard!$B$4/252,"")</f>
        <v/>
      </c>
      <c r="H341" s="8">
        <f>IFERROR(IF(ISNUMBER(B341),MAX(B341,IFERROR(H340,B341)),""),"")</f>
        <v/>
      </c>
      <c r="I341" s="29">
        <f>IFERROR(IF(AND(ISNUMBER(B341),ISNUMBER(H341)),B341/H341-1,""),"")</f>
        <v/>
      </c>
      <c r="J341" s="8">
        <f>IFERROR(IF(ISNUMBER(C341),MAX(C341,IFERROR(J340,C341)),""),"")</f>
        <v/>
      </c>
      <c r="K341" s="29">
        <f>IFERROR(IF(AND(ISNUMBER(C341),ISNUMBER(J341)),C341/J341-1,""),"")</f>
        <v/>
      </c>
      <c r="L341" s="28">
        <f>IFERROR(IF(AND(ISNUMBER(D341),ISNUMBER(E341)),D341-E341,""),"")</f>
        <v/>
      </c>
    </row>
    <row r="342">
      <c r="A342" s="7">
        <f>IFERROR(Datos!A342,"")</f>
        <v/>
      </c>
      <c r="B342" s="8">
        <f>IFERROR(Datos!B342,"")</f>
        <v/>
      </c>
      <c r="C342" s="8">
        <f>IFERROR(Datos!C342,"")</f>
        <v/>
      </c>
      <c r="D342" s="28">
        <f>IFERROR(IF(AND(ISNUMBER(B342),ISNUMBER(B341),B341&lt;&gt;0),B342/B341-1,""),"")</f>
        <v/>
      </c>
      <c r="E342" s="28">
        <f>IFERROR(IF(AND(ISNUMBER(C342),ISNUMBER(C341),C341&lt;&gt;0),C342/C341-1,""),"")</f>
        <v/>
      </c>
      <c r="F342" s="28">
        <f>IFERROR(D342-Dashboard!$B$4/252,"")</f>
        <v/>
      </c>
      <c r="G342" s="28">
        <f>IFERROR(E342-Dashboard!$B$4/252,"")</f>
        <v/>
      </c>
      <c r="H342" s="8">
        <f>IFERROR(IF(ISNUMBER(B342),MAX(B342,IFERROR(H341,B342)),""),"")</f>
        <v/>
      </c>
      <c r="I342" s="29">
        <f>IFERROR(IF(AND(ISNUMBER(B342),ISNUMBER(H342)),B342/H342-1,""),"")</f>
        <v/>
      </c>
      <c r="J342" s="8">
        <f>IFERROR(IF(ISNUMBER(C342),MAX(C342,IFERROR(J341,C342)),""),"")</f>
        <v/>
      </c>
      <c r="K342" s="29">
        <f>IFERROR(IF(AND(ISNUMBER(C342),ISNUMBER(J342)),C342/J342-1,""),"")</f>
        <v/>
      </c>
      <c r="L342" s="28">
        <f>IFERROR(IF(AND(ISNUMBER(D342),ISNUMBER(E342)),D342-E342,""),"")</f>
        <v/>
      </c>
    </row>
    <row r="343">
      <c r="A343" s="7">
        <f>IFERROR(Datos!A343,"")</f>
        <v/>
      </c>
      <c r="B343" s="8">
        <f>IFERROR(Datos!B343,"")</f>
        <v/>
      </c>
      <c r="C343" s="8">
        <f>IFERROR(Datos!C343,"")</f>
        <v/>
      </c>
      <c r="D343" s="28">
        <f>IFERROR(IF(AND(ISNUMBER(B343),ISNUMBER(B342),B342&lt;&gt;0),B343/B342-1,""),"")</f>
        <v/>
      </c>
      <c r="E343" s="28">
        <f>IFERROR(IF(AND(ISNUMBER(C343),ISNUMBER(C342),C342&lt;&gt;0),C343/C342-1,""),"")</f>
        <v/>
      </c>
      <c r="F343" s="28">
        <f>IFERROR(D343-Dashboard!$B$4/252,"")</f>
        <v/>
      </c>
      <c r="G343" s="28">
        <f>IFERROR(E343-Dashboard!$B$4/252,"")</f>
        <v/>
      </c>
      <c r="H343" s="8">
        <f>IFERROR(IF(ISNUMBER(B343),MAX(B343,IFERROR(H342,B343)),""),"")</f>
        <v/>
      </c>
      <c r="I343" s="29">
        <f>IFERROR(IF(AND(ISNUMBER(B343),ISNUMBER(H343)),B343/H343-1,""),"")</f>
        <v/>
      </c>
      <c r="J343" s="8">
        <f>IFERROR(IF(ISNUMBER(C343),MAX(C343,IFERROR(J342,C343)),""),"")</f>
        <v/>
      </c>
      <c r="K343" s="29">
        <f>IFERROR(IF(AND(ISNUMBER(C343),ISNUMBER(J343)),C343/J343-1,""),"")</f>
        <v/>
      </c>
      <c r="L343" s="28">
        <f>IFERROR(IF(AND(ISNUMBER(D343),ISNUMBER(E343)),D343-E343,""),"")</f>
        <v/>
      </c>
    </row>
    <row r="344">
      <c r="A344" s="7">
        <f>IFERROR(Datos!A344,"")</f>
        <v/>
      </c>
      <c r="B344" s="8">
        <f>IFERROR(Datos!B344,"")</f>
        <v/>
      </c>
      <c r="C344" s="8">
        <f>IFERROR(Datos!C344,"")</f>
        <v/>
      </c>
      <c r="D344" s="28">
        <f>IFERROR(IF(AND(ISNUMBER(B344),ISNUMBER(B343),B343&lt;&gt;0),B344/B343-1,""),"")</f>
        <v/>
      </c>
      <c r="E344" s="28">
        <f>IFERROR(IF(AND(ISNUMBER(C344),ISNUMBER(C343),C343&lt;&gt;0),C344/C343-1,""),"")</f>
        <v/>
      </c>
      <c r="F344" s="28">
        <f>IFERROR(D344-Dashboard!$B$4/252,"")</f>
        <v/>
      </c>
      <c r="G344" s="28">
        <f>IFERROR(E344-Dashboard!$B$4/252,"")</f>
        <v/>
      </c>
      <c r="H344" s="8">
        <f>IFERROR(IF(ISNUMBER(B344),MAX(B344,IFERROR(H343,B344)),""),"")</f>
        <v/>
      </c>
      <c r="I344" s="29">
        <f>IFERROR(IF(AND(ISNUMBER(B344),ISNUMBER(H344)),B344/H344-1,""),"")</f>
        <v/>
      </c>
      <c r="J344" s="8">
        <f>IFERROR(IF(ISNUMBER(C344),MAX(C344,IFERROR(J343,C344)),""),"")</f>
        <v/>
      </c>
      <c r="K344" s="29">
        <f>IFERROR(IF(AND(ISNUMBER(C344),ISNUMBER(J344)),C344/J344-1,""),"")</f>
        <v/>
      </c>
      <c r="L344" s="28">
        <f>IFERROR(IF(AND(ISNUMBER(D344),ISNUMBER(E344)),D344-E344,""),"")</f>
        <v/>
      </c>
    </row>
    <row r="345">
      <c r="A345" s="7">
        <f>IFERROR(Datos!A345,"")</f>
        <v/>
      </c>
      <c r="B345" s="8">
        <f>IFERROR(Datos!B345,"")</f>
        <v/>
      </c>
      <c r="C345" s="8">
        <f>IFERROR(Datos!C345,"")</f>
        <v/>
      </c>
      <c r="D345" s="28">
        <f>IFERROR(IF(AND(ISNUMBER(B345),ISNUMBER(B344),B344&lt;&gt;0),B345/B344-1,""),"")</f>
        <v/>
      </c>
      <c r="E345" s="28">
        <f>IFERROR(IF(AND(ISNUMBER(C345),ISNUMBER(C344),C344&lt;&gt;0),C345/C344-1,""),"")</f>
        <v/>
      </c>
      <c r="F345" s="28">
        <f>IFERROR(D345-Dashboard!$B$4/252,"")</f>
        <v/>
      </c>
      <c r="G345" s="28">
        <f>IFERROR(E345-Dashboard!$B$4/252,"")</f>
        <v/>
      </c>
      <c r="H345" s="8">
        <f>IFERROR(IF(ISNUMBER(B345),MAX(B345,IFERROR(H344,B345)),""),"")</f>
        <v/>
      </c>
      <c r="I345" s="29">
        <f>IFERROR(IF(AND(ISNUMBER(B345),ISNUMBER(H345)),B345/H345-1,""),"")</f>
        <v/>
      </c>
      <c r="J345" s="8">
        <f>IFERROR(IF(ISNUMBER(C345),MAX(C345,IFERROR(J344,C345)),""),"")</f>
        <v/>
      </c>
      <c r="K345" s="29">
        <f>IFERROR(IF(AND(ISNUMBER(C345),ISNUMBER(J345)),C345/J345-1,""),"")</f>
        <v/>
      </c>
      <c r="L345" s="28">
        <f>IFERROR(IF(AND(ISNUMBER(D345),ISNUMBER(E345)),D345-E345,""),"")</f>
        <v/>
      </c>
    </row>
    <row r="346">
      <c r="A346" s="7">
        <f>IFERROR(Datos!A346,"")</f>
        <v/>
      </c>
      <c r="B346" s="8">
        <f>IFERROR(Datos!B346,"")</f>
        <v/>
      </c>
      <c r="C346" s="8">
        <f>IFERROR(Datos!C346,"")</f>
        <v/>
      </c>
      <c r="D346" s="28">
        <f>IFERROR(IF(AND(ISNUMBER(B346),ISNUMBER(B345),B345&lt;&gt;0),B346/B345-1,""),"")</f>
        <v/>
      </c>
      <c r="E346" s="28">
        <f>IFERROR(IF(AND(ISNUMBER(C346),ISNUMBER(C345),C345&lt;&gt;0),C346/C345-1,""),"")</f>
        <v/>
      </c>
      <c r="F346" s="28">
        <f>IFERROR(D346-Dashboard!$B$4/252,"")</f>
        <v/>
      </c>
      <c r="G346" s="28">
        <f>IFERROR(E346-Dashboard!$B$4/252,"")</f>
        <v/>
      </c>
      <c r="H346" s="8">
        <f>IFERROR(IF(ISNUMBER(B346),MAX(B346,IFERROR(H345,B346)),""),"")</f>
        <v/>
      </c>
      <c r="I346" s="29">
        <f>IFERROR(IF(AND(ISNUMBER(B346),ISNUMBER(H346)),B346/H346-1,""),"")</f>
        <v/>
      </c>
      <c r="J346" s="8">
        <f>IFERROR(IF(ISNUMBER(C346),MAX(C346,IFERROR(J345,C346)),""),"")</f>
        <v/>
      </c>
      <c r="K346" s="29">
        <f>IFERROR(IF(AND(ISNUMBER(C346),ISNUMBER(J346)),C346/J346-1,""),"")</f>
        <v/>
      </c>
      <c r="L346" s="28">
        <f>IFERROR(IF(AND(ISNUMBER(D346),ISNUMBER(E346)),D346-E346,""),"")</f>
        <v/>
      </c>
    </row>
    <row r="347">
      <c r="A347" s="7">
        <f>IFERROR(Datos!A347,"")</f>
        <v/>
      </c>
      <c r="B347" s="8">
        <f>IFERROR(Datos!B347,"")</f>
        <v/>
      </c>
      <c r="C347" s="8">
        <f>IFERROR(Datos!C347,"")</f>
        <v/>
      </c>
      <c r="D347" s="28">
        <f>IFERROR(IF(AND(ISNUMBER(B347),ISNUMBER(B346),B346&lt;&gt;0),B347/B346-1,""),"")</f>
        <v/>
      </c>
      <c r="E347" s="28">
        <f>IFERROR(IF(AND(ISNUMBER(C347),ISNUMBER(C346),C346&lt;&gt;0),C347/C346-1,""),"")</f>
        <v/>
      </c>
      <c r="F347" s="28">
        <f>IFERROR(D347-Dashboard!$B$4/252,"")</f>
        <v/>
      </c>
      <c r="G347" s="28">
        <f>IFERROR(E347-Dashboard!$B$4/252,"")</f>
        <v/>
      </c>
      <c r="H347" s="8">
        <f>IFERROR(IF(ISNUMBER(B347),MAX(B347,IFERROR(H346,B347)),""),"")</f>
        <v/>
      </c>
      <c r="I347" s="29">
        <f>IFERROR(IF(AND(ISNUMBER(B347),ISNUMBER(H347)),B347/H347-1,""),"")</f>
        <v/>
      </c>
      <c r="J347" s="8">
        <f>IFERROR(IF(ISNUMBER(C347),MAX(C347,IFERROR(J346,C347)),""),"")</f>
        <v/>
      </c>
      <c r="K347" s="29">
        <f>IFERROR(IF(AND(ISNUMBER(C347),ISNUMBER(J347)),C347/J347-1,""),"")</f>
        <v/>
      </c>
      <c r="L347" s="28">
        <f>IFERROR(IF(AND(ISNUMBER(D347),ISNUMBER(E347)),D347-E347,""),"")</f>
        <v/>
      </c>
    </row>
    <row r="348">
      <c r="A348" s="7">
        <f>IFERROR(Datos!A348,"")</f>
        <v/>
      </c>
      <c r="B348" s="8">
        <f>IFERROR(Datos!B348,"")</f>
        <v/>
      </c>
      <c r="C348" s="8">
        <f>IFERROR(Datos!C348,"")</f>
        <v/>
      </c>
      <c r="D348" s="28">
        <f>IFERROR(IF(AND(ISNUMBER(B348),ISNUMBER(B347),B347&lt;&gt;0),B348/B347-1,""),"")</f>
        <v/>
      </c>
      <c r="E348" s="28">
        <f>IFERROR(IF(AND(ISNUMBER(C348),ISNUMBER(C347),C347&lt;&gt;0),C348/C347-1,""),"")</f>
        <v/>
      </c>
      <c r="F348" s="28">
        <f>IFERROR(D348-Dashboard!$B$4/252,"")</f>
        <v/>
      </c>
      <c r="G348" s="28">
        <f>IFERROR(E348-Dashboard!$B$4/252,"")</f>
        <v/>
      </c>
      <c r="H348" s="8">
        <f>IFERROR(IF(ISNUMBER(B348),MAX(B348,IFERROR(H347,B348)),""),"")</f>
        <v/>
      </c>
      <c r="I348" s="29">
        <f>IFERROR(IF(AND(ISNUMBER(B348),ISNUMBER(H348)),B348/H348-1,""),"")</f>
        <v/>
      </c>
      <c r="J348" s="8">
        <f>IFERROR(IF(ISNUMBER(C348),MAX(C348,IFERROR(J347,C348)),""),"")</f>
        <v/>
      </c>
      <c r="K348" s="29">
        <f>IFERROR(IF(AND(ISNUMBER(C348),ISNUMBER(J348)),C348/J348-1,""),"")</f>
        <v/>
      </c>
      <c r="L348" s="28">
        <f>IFERROR(IF(AND(ISNUMBER(D348),ISNUMBER(E348)),D348-E348,""),"")</f>
        <v/>
      </c>
    </row>
    <row r="349">
      <c r="A349" s="7">
        <f>IFERROR(Datos!A349,"")</f>
        <v/>
      </c>
      <c r="B349" s="8">
        <f>IFERROR(Datos!B349,"")</f>
        <v/>
      </c>
      <c r="C349" s="8">
        <f>IFERROR(Datos!C349,"")</f>
        <v/>
      </c>
      <c r="D349" s="28">
        <f>IFERROR(IF(AND(ISNUMBER(B349),ISNUMBER(B348),B348&lt;&gt;0),B349/B348-1,""),"")</f>
        <v/>
      </c>
      <c r="E349" s="28">
        <f>IFERROR(IF(AND(ISNUMBER(C349),ISNUMBER(C348),C348&lt;&gt;0),C349/C348-1,""),"")</f>
        <v/>
      </c>
      <c r="F349" s="28">
        <f>IFERROR(D349-Dashboard!$B$4/252,"")</f>
        <v/>
      </c>
      <c r="G349" s="28">
        <f>IFERROR(E349-Dashboard!$B$4/252,"")</f>
        <v/>
      </c>
      <c r="H349" s="8">
        <f>IFERROR(IF(ISNUMBER(B349),MAX(B349,IFERROR(H348,B349)),""),"")</f>
        <v/>
      </c>
      <c r="I349" s="29">
        <f>IFERROR(IF(AND(ISNUMBER(B349),ISNUMBER(H349)),B349/H349-1,""),"")</f>
        <v/>
      </c>
      <c r="J349" s="8">
        <f>IFERROR(IF(ISNUMBER(C349),MAX(C349,IFERROR(J348,C349)),""),"")</f>
        <v/>
      </c>
      <c r="K349" s="29">
        <f>IFERROR(IF(AND(ISNUMBER(C349),ISNUMBER(J349)),C349/J349-1,""),"")</f>
        <v/>
      </c>
      <c r="L349" s="28">
        <f>IFERROR(IF(AND(ISNUMBER(D349),ISNUMBER(E349)),D349-E349,""),"")</f>
        <v/>
      </c>
    </row>
    <row r="350">
      <c r="A350" s="7">
        <f>IFERROR(Datos!A350,"")</f>
        <v/>
      </c>
      <c r="B350" s="8">
        <f>IFERROR(Datos!B350,"")</f>
        <v/>
      </c>
      <c r="C350" s="8">
        <f>IFERROR(Datos!C350,"")</f>
        <v/>
      </c>
      <c r="D350" s="28">
        <f>IFERROR(IF(AND(ISNUMBER(B350),ISNUMBER(B349),B349&lt;&gt;0),B350/B349-1,""),"")</f>
        <v/>
      </c>
      <c r="E350" s="28">
        <f>IFERROR(IF(AND(ISNUMBER(C350),ISNUMBER(C349),C349&lt;&gt;0),C350/C349-1,""),"")</f>
        <v/>
      </c>
      <c r="F350" s="28">
        <f>IFERROR(D350-Dashboard!$B$4/252,"")</f>
        <v/>
      </c>
      <c r="G350" s="28">
        <f>IFERROR(E350-Dashboard!$B$4/252,"")</f>
        <v/>
      </c>
      <c r="H350" s="8">
        <f>IFERROR(IF(ISNUMBER(B350),MAX(B350,IFERROR(H349,B350)),""),"")</f>
        <v/>
      </c>
      <c r="I350" s="29">
        <f>IFERROR(IF(AND(ISNUMBER(B350),ISNUMBER(H350)),B350/H350-1,""),"")</f>
        <v/>
      </c>
      <c r="J350" s="8">
        <f>IFERROR(IF(ISNUMBER(C350),MAX(C350,IFERROR(J349,C350)),""),"")</f>
        <v/>
      </c>
      <c r="K350" s="29">
        <f>IFERROR(IF(AND(ISNUMBER(C350),ISNUMBER(J350)),C350/J350-1,""),"")</f>
        <v/>
      </c>
      <c r="L350" s="28">
        <f>IFERROR(IF(AND(ISNUMBER(D350),ISNUMBER(E350)),D350-E350,""),"")</f>
        <v/>
      </c>
    </row>
    <row r="351">
      <c r="A351" s="7">
        <f>IFERROR(Datos!A351,"")</f>
        <v/>
      </c>
      <c r="B351" s="8">
        <f>IFERROR(Datos!B351,"")</f>
        <v/>
      </c>
      <c r="C351" s="8">
        <f>IFERROR(Datos!C351,"")</f>
        <v/>
      </c>
      <c r="D351" s="28">
        <f>IFERROR(IF(AND(ISNUMBER(B351),ISNUMBER(B350),B350&lt;&gt;0),B351/B350-1,""),"")</f>
        <v/>
      </c>
      <c r="E351" s="28">
        <f>IFERROR(IF(AND(ISNUMBER(C351),ISNUMBER(C350),C350&lt;&gt;0),C351/C350-1,""),"")</f>
        <v/>
      </c>
      <c r="F351" s="28">
        <f>IFERROR(D351-Dashboard!$B$4/252,"")</f>
        <v/>
      </c>
      <c r="G351" s="28">
        <f>IFERROR(E351-Dashboard!$B$4/252,"")</f>
        <v/>
      </c>
      <c r="H351" s="8">
        <f>IFERROR(IF(ISNUMBER(B351),MAX(B351,IFERROR(H350,B351)),""),"")</f>
        <v/>
      </c>
      <c r="I351" s="29">
        <f>IFERROR(IF(AND(ISNUMBER(B351),ISNUMBER(H351)),B351/H351-1,""),"")</f>
        <v/>
      </c>
      <c r="J351" s="8">
        <f>IFERROR(IF(ISNUMBER(C351),MAX(C351,IFERROR(J350,C351)),""),"")</f>
        <v/>
      </c>
      <c r="K351" s="29">
        <f>IFERROR(IF(AND(ISNUMBER(C351),ISNUMBER(J351)),C351/J351-1,""),"")</f>
        <v/>
      </c>
      <c r="L351" s="28">
        <f>IFERROR(IF(AND(ISNUMBER(D351),ISNUMBER(E351)),D351-E351,""),"")</f>
        <v/>
      </c>
    </row>
    <row r="352">
      <c r="A352" s="7">
        <f>IFERROR(Datos!A352,"")</f>
        <v/>
      </c>
      <c r="B352" s="8">
        <f>IFERROR(Datos!B352,"")</f>
        <v/>
      </c>
      <c r="C352" s="8">
        <f>IFERROR(Datos!C352,"")</f>
        <v/>
      </c>
      <c r="D352" s="28">
        <f>IFERROR(IF(AND(ISNUMBER(B352),ISNUMBER(B351),B351&lt;&gt;0),B352/B351-1,""),"")</f>
        <v/>
      </c>
      <c r="E352" s="28">
        <f>IFERROR(IF(AND(ISNUMBER(C352),ISNUMBER(C351),C351&lt;&gt;0),C352/C351-1,""),"")</f>
        <v/>
      </c>
      <c r="F352" s="28">
        <f>IFERROR(D352-Dashboard!$B$4/252,"")</f>
        <v/>
      </c>
      <c r="G352" s="28">
        <f>IFERROR(E352-Dashboard!$B$4/252,"")</f>
        <v/>
      </c>
      <c r="H352" s="8">
        <f>IFERROR(IF(ISNUMBER(B352),MAX(B352,IFERROR(H351,B352)),""),"")</f>
        <v/>
      </c>
      <c r="I352" s="29">
        <f>IFERROR(IF(AND(ISNUMBER(B352),ISNUMBER(H352)),B352/H352-1,""),"")</f>
        <v/>
      </c>
      <c r="J352" s="8">
        <f>IFERROR(IF(ISNUMBER(C352),MAX(C352,IFERROR(J351,C352)),""),"")</f>
        <v/>
      </c>
      <c r="K352" s="29">
        <f>IFERROR(IF(AND(ISNUMBER(C352),ISNUMBER(J352)),C352/J352-1,""),"")</f>
        <v/>
      </c>
      <c r="L352" s="28">
        <f>IFERROR(IF(AND(ISNUMBER(D352),ISNUMBER(E352)),D352-E352,""),"")</f>
        <v/>
      </c>
    </row>
    <row r="353">
      <c r="A353" s="7">
        <f>IFERROR(Datos!A353,"")</f>
        <v/>
      </c>
      <c r="B353" s="8">
        <f>IFERROR(Datos!B353,"")</f>
        <v/>
      </c>
      <c r="C353" s="8">
        <f>IFERROR(Datos!C353,"")</f>
        <v/>
      </c>
      <c r="D353" s="28">
        <f>IFERROR(IF(AND(ISNUMBER(B353),ISNUMBER(B352),B352&lt;&gt;0),B353/B352-1,""),"")</f>
        <v/>
      </c>
      <c r="E353" s="28">
        <f>IFERROR(IF(AND(ISNUMBER(C353),ISNUMBER(C352),C352&lt;&gt;0),C353/C352-1,""),"")</f>
        <v/>
      </c>
      <c r="F353" s="28">
        <f>IFERROR(D353-Dashboard!$B$4/252,"")</f>
        <v/>
      </c>
      <c r="G353" s="28">
        <f>IFERROR(E353-Dashboard!$B$4/252,"")</f>
        <v/>
      </c>
      <c r="H353" s="8">
        <f>IFERROR(IF(ISNUMBER(B353),MAX(B353,IFERROR(H352,B353)),""),"")</f>
        <v/>
      </c>
      <c r="I353" s="29">
        <f>IFERROR(IF(AND(ISNUMBER(B353),ISNUMBER(H353)),B353/H353-1,""),"")</f>
        <v/>
      </c>
      <c r="J353" s="8">
        <f>IFERROR(IF(ISNUMBER(C353),MAX(C353,IFERROR(J352,C353)),""),"")</f>
        <v/>
      </c>
      <c r="K353" s="29">
        <f>IFERROR(IF(AND(ISNUMBER(C353),ISNUMBER(J353)),C353/J353-1,""),"")</f>
        <v/>
      </c>
      <c r="L353" s="28">
        <f>IFERROR(IF(AND(ISNUMBER(D353),ISNUMBER(E353)),D353-E353,""),"")</f>
        <v/>
      </c>
    </row>
    <row r="354">
      <c r="A354" s="7">
        <f>IFERROR(Datos!A354,"")</f>
        <v/>
      </c>
      <c r="B354" s="8">
        <f>IFERROR(Datos!B354,"")</f>
        <v/>
      </c>
      <c r="C354" s="8">
        <f>IFERROR(Datos!C354,"")</f>
        <v/>
      </c>
      <c r="D354" s="28">
        <f>IFERROR(IF(AND(ISNUMBER(B354),ISNUMBER(B353),B353&lt;&gt;0),B354/B353-1,""),"")</f>
        <v/>
      </c>
      <c r="E354" s="28">
        <f>IFERROR(IF(AND(ISNUMBER(C354),ISNUMBER(C353),C353&lt;&gt;0),C354/C353-1,""),"")</f>
        <v/>
      </c>
      <c r="F354" s="28">
        <f>IFERROR(D354-Dashboard!$B$4/252,"")</f>
        <v/>
      </c>
      <c r="G354" s="28">
        <f>IFERROR(E354-Dashboard!$B$4/252,"")</f>
        <v/>
      </c>
      <c r="H354" s="8">
        <f>IFERROR(IF(ISNUMBER(B354),MAX(B354,IFERROR(H353,B354)),""),"")</f>
        <v/>
      </c>
      <c r="I354" s="29">
        <f>IFERROR(IF(AND(ISNUMBER(B354),ISNUMBER(H354)),B354/H354-1,""),"")</f>
        <v/>
      </c>
      <c r="J354" s="8">
        <f>IFERROR(IF(ISNUMBER(C354),MAX(C354,IFERROR(J353,C354)),""),"")</f>
        <v/>
      </c>
      <c r="K354" s="29">
        <f>IFERROR(IF(AND(ISNUMBER(C354),ISNUMBER(J354)),C354/J354-1,""),"")</f>
        <v/>
      </c>
      <c r="L354" s="28">
        <f>IFERROR(IF(AND(ISNUMBER(D354),ISNUMBER(E354)),D354-E354,""),"")</f>
        <v/>
      </c>
    </row>
    <row r="355">
      <c r="A355" s="7">
        <f>IFERROR(Datos!A355,"")</f>
        <v/>
      </c>
      <c r="B355" s="8">
        <f>IFERROR(Datos!B355,"")</f>
        <v/>
      </c>
      <c r="C355" s="8">
        <f>IFERROR(Datos!C355,"")</f>
        <v/>
      </c>
      <c r="D355" s="28">
        <f>IFERROR(IF(AND(ISNUMBER(B355),ISNUMBER(B354),B354&lt;&gt;0),B355/B354-1,""),"")</f>
        <v/>
      </c>
      <c r="E355" s="28">
        <f>IFERROR(IF(AND(ISNUMBER(C355),ISNUMBER(C354),C354&lt;&gt;0),C355/C354-1,""),"")</f>
        <v/>
      </c>
      <c r="F355" s="28">
        <f>IFERROR(D355-Dashboard!$B$4/252,"")</f>
        <v/>
      </c>
      <c r="G355" s="28">
        <f>IFERROR(E355-Dashboard!$B$4/252,"")</f>
        <v/>
      </c>
      <c r="H355" s="8">
        <f>IFERROR(IF(ISNUMBER(B355),MAX(B355,IFERROR(H354,B355)),""),"")</f>
        <v/>
      </c>
      <c r="I355" s="29">
        <f>IFERROR(IF(AND(ISNUMBER(B355),ISNUMBER(H355)),B355/H355-1,""),"")</f>
        <v/>
      </c>
      <c r="J355" s="8">
        <f>IFERROR(IF(ISNUMBER(C355),MAX(C355,IFERROR(J354,C355)),""),"")</f>
        <v/>
      </c>
      <c r="K355" s="29">
        <f>IFERROR(IF(AND(ISNUMBER(C355),ISNUMBER(J355)),C355/J355-1,""),"")</f>
        <v/>
      </c>
      <c r="L355" s="28">
        <f>IFERROR(IF(AND(ISNUMBER(D355),ISNUMBER(E355)),D355-E355,""),"")</f>
        <v/>
      </c>
    </row>
    <row r="356">
      <c r="A356" s="7">
        <f>IFERROR(Datos!A356,"")</f>
        <v/>
      </c>
      <c r="B356" s="8">
        <f>IFERROR(Datos!B356,"")</f>
        <v/>
      </c>
      <c r="C356" s="8">
        <f>IFERROR(Datos!C356,"")</f>
        <v/>
      </c>
      <c r="D356" s="28">
        <f>IFERROR(IF(AND(ISNUMBER(B356),ISNUMBER(B355),B355&lt;&gt;0),B356/B355-1,""),"")</f>
        <v/>
      </c>
      <c r="E356" s="28">
        <f>IFERROR(IF(AND(ISNUMBER(C356),ISNUMBER(C355),C355&lt;&gt;0),C356/C355-1,""),"")</f>
        <v/>
      </c>
      <c r="F356" s="28">
        <f>IFERROR(D356-Dashboard!$B$4/252,"")</f>
        <v/>
      </c>
      <c r="G356" s="28">
        <f>IFERROR(E356-Dashboard!$B$4/252,"")</f>
        <v/>
      </c>
      <c r="H356" s="8">
        <f>IFERROR(IF(ISNUMBER(B356),MAX(B356,IFERROR(H355,B356)),""),"")</f>
        <v/>
      </c>
      <c r="I356" s="29">
        <f>IFERROR(IF(AND(ISNUMBER(B356),ISNUMBER(H356)),B356/H356-1,""),"")</f>
        <v/>
      </c>
      <c r="J356" s="8">
        <f>IFERROR(IF(ISNUMBER(C356),MAX(C356,IFERROR(J355,C356)),""),"")</f>
        <v/>
      </c>
      <c r="K356" s="29">
        <f>IFERROR(IF(AND(ISNUMBER(C356),ISNUMBER(J356)),C356/J356-1,""),"")</f>
        <v/>
      </c>
      <c r="L356" s="28">
        <f>IFERROR(IF(AND(ISNUMBER(D356),ISNUMBER(E356)),D356-E356,""),"")</f>
        <v/>
      </c>
    </row>
    <row r="357">
      <c r="A357" s="7">
        <f>IFERROR(Datos!A357,"")</f>
        <v/>
      </c>
      <c r="B357" s="8">
        <f>IFERROR(Datos!B357,"")</f>
        <v/>
      </c>
      <c r="C357" s="8">
        <f>IFERROR(Datos!C357,"")</f>
        <v/>
      </c>
      <c r="D357" s="28">
        <f>IFERROR(IF(AND(ISNUMBER(B357),ISNUMBER(B356),B356&lt;&gt;0),B357/B356-1,""),"")</f>
        <v/>
      </c>
      <c r="E357" s="28">
        <f>IFERROR(IF(AND(ISNUMBER(C357),ISNUMBER(C356),C356&lt;&gt;0),C357/C356-1,""),"")</f>
        <v/>
      </c>
      <c r="F357" s="28">
        <f>IFERROR(D357-Dashboard!$B$4/252,"")</f>
        <v/>
      </c>
      <c r="G357" s="28">
        <f>IFERROR(E357-Dashboard!$B$4/252,"")</f>
        <v/>
      </c>
      <c r="H357" s="8">
        <f>IFERROR(IF(ISNUMBER(B357),MAX(B357,IFERROR(H356,B357)),""),"")</f>
        <v/>
      </c>
      <c r="I357" s="29">
        <f>IFERROR(IF(AND(ISNUMBER(B357),ISNUMBER(H357)),B357/H357-1,""),"")</f>
        <v/>
      </c>
      <c r="J357" s="8">
        <f>IFERROR(IF(ISNUMBER(C357),MAX(C357,IFERROR(J356,C357)),""),"")</f>
        <v/>
      </c>
      <c r="K357" s="29">
        <f>IFERROR(IF(AND(ISNUMBER(C357),ISNUMBER(J357)),C357/J357-1,""),"")</f>
        <v/>
      </c>
      <c r="L357" s="28">
        <f>IFERROR(IF(AND(ISNUMBER(D357),ISNUMBER(E357)),D357-E357,""),"")</f>
        <v/>
      </c>
    </row>
    <row r="358">
      <c r="A358" s="7">
        <f>IFERROR(Datos!A358,"")</f>
        <v/>
      </c>
      <c r="B358" s="8">
        <f>IFERROR(Datos!B358,"")</f>
        <v/>
      </c>
      <c r="C358" s="8">
        <f>IFERROR(Datos!C358,"")</f>
        <v/>
      </c>
      <c r="D358" s="28">
        <f>IFERROR(IF(AND(ISNUMBER(B358),ISNUMBER(B357),B357&lt;&gt;0),B358/B357-1,""),"")</f>
        <v/>
      </c>
      <c r="E358" s="28">
        <f>IFERROR(IF(AND(ISNUMBER(C358),ISNUMBER(C357),C357&lt;&gt;0),C358/C357-1,""),"")</f>
        <v/>
      </c>
      <c r="F358" s="28">
        <f>IFERROR(D358-Dashboard!$B$4/252,"")</f>
        <v/>
      </c>
      <c r="G358" s="28">
        <f>IFERROR(E358-Dashboard!$B$4/252,"")</f>
        <v/>
      </c>
      <c r="H358" s="8">
        <f>IFERROR(IF(ISNUMBER(B358),MAX(B358,IFERROR(H357,B358)),""),"")</f>
        <v/>
      </c>
      <c r="I358" s="29">
        <f>IFERROR(IF(AND(ISNUMBER(B358),ISNUMBER(H358)),B358/H358-1,""),"")</f>
        <v/>
      </c>
      <c r="J358" s="8">
        <f>IFERROR(IF(ISNUMBER(C358),MAX(C358,IFERROR(J357,C358)),""),"")</f>
        <v/>
      </c>
      <c r="K358" s="29">
        <f>IFERROR(IF(AND(ISNUMBER(C358),ISNUMBER(J358)),C358/J358-1,""),"")</f>
        <v/>
      </c>
      <c r="L358" s="28">
        <f>IFERROR(IF(AND(ISNUMBER(D358),ISNUMBER(E358)),D358-E358,""),"")</f>
        <v/>
      </c>
    </row>
    <row r="359">
      <c r="A359" s="7">
        <f>IFERROR(Datos!A359,"")</f>
        <v/>
      </c>
      <c r="B359" s="8">
        <f>IFERROR(Datos!B359,"")</f>
        <v/>
      </c>
      <c r="C359" s="8">
        <f>IFERROR(Datos!C359,"")</f>
        <v/>
      </c>
      <c r="D359" s="28">
        <f>IFERROR(IF(AND(ISNUMBER(B359),ISNUMBER(B358),B358&lt;&gt;0),B359/B358-1,""),"")</f>
        <v/>
      </c>
      <c r="E359" s="28">
        <f>IFERROR(IF(AND(ISNUMBER(C359),ISNUMBER(C358),C358&lt;&gt;0),C359/C358-1,""),"")</f>
        <v/>
      </c>
      <c r="F359" s="28">
        <f>IFERROR(D359-Dashboard!$B$4/252,"")</f>
        <v/>
      </c>
      <c r="G359" s="28">
        <f>IFERROR(E359-Dashboard!$B$4/252,"")</f>
        <v/>
      </c>
      <c r="H359" s="8">
        <f>IFERROR(IF(ISNUMBER(B359),MAX(B359,IFERROR(H358,B359)),""),"")</f>
        <v/>
      </c>
      <c r="I359" s="29">
        <f>IFERROR(IF(AND(ISNUMBER(B359),ISNUMBER(H359)),B359/H359-1,""),"")</f>
        <v/>
      </c>
      <c r="J359" s="8">
        <f>IFERROR(IF(ISNUMBER(C359),MAX(C359,IFERROR(J358,C359)),""),"")</f>
        <v/>
      </c>
      <c r="K359" s="29">
        <f>IFERROR(IF(AND(ISNUMBER(C359),ISNUMBER(J359)),C359/J359-1,""),"")</f>
        <v/>
      </c>
      <c r="L359" s="28">
        <f>IFERROR(IF(AND(ISNUMBER(D359),ISNUMBER(E359)),D359-E359,""),"")</f>
        <v/>
      </c>
    </row>
    <row r="360">
      <c r="A360" s="7">
        <f>IFERROR(Datos!A360,"")</f>
        <v/>
      </c>
      <c r="B360" s="8">
        <f>IFERROR(Datos!B360,"")</f>
        <v/>
      </c>
      <c r="C360" s="8">
        <f>IFERROR(Datos!C360,"")</f>
        <v/>
      </c>
      <c r="D360" s="28">
        <f>IFERROR(IF(AND(ISNUMBER(B360),ISNUMBER(B359),B359&lt;&gt;0),B360/B359-1,""),"")</f>
        <v/>
      </c>
      <c r="E360" s="28">
        <f>IFERROR(IF(AND(ISNUMBER(C360),ISNUMBER(C359),C359&lt;&gt;0),C360/C359-1,""),"")</f>
        <v/>
      </c>
      <c r="F360" s="28">
        <f>IFERROR(D360-Dashboard!$B$4/252,"")</f>
        <v/>
      </c>
      <c r="G360" s="28">
        <f>IFERROR(E360-Dashboard!$B$4/252,"")</f>
        <v/>
      </c>
      <c r="H360" s="8">
        <f>IFERROR(IF(ISNUMBER(B360),MAX(B360,IFERROR(H359,B360)),""),"")</f>
        <v/>
      </c>
      <c r="I360" s="29">
        <f>IFERROR(IF(AND(ISNUMBER(B360),ISNUMBER(H360)),B360/H360-1,""),"")</f>
        <v/>
      </c>
      <c r="J360" s="8">
        <f>IFERROR(IF(ISNUMBER(C360),MAX(C360,IFERROR(J359,C360)),""),"")</f>
        <v/>
      </c>
      <c r="K360" s="29">
        <f>IFERROR(IF(AND(ISNUMBER(C360),ISNUMBER(J360)),C360/J360-1,""),"")</f>
        <v/>
      </c>
      <c r="L360" s="28">
        <f>IFERROR(IF(AND(ISNUMBER(D360),ISNUMBER(E360)),D360-E360,""),"")</f>
        <v/>
      </c>
    </row>
    <row r="361">
      <c r="A361" s="7">
        <f>IFERROR(Datos!A361,"")</f>
        <v/>
      </c>
      <c r="B361" s="8">
        <f>IFERROR(Datos!B361,"")</f>
        <v/>
      </c>
      <c r="C361" s="8">
        <f>IFERROR(Datos!C361,"")</f>
        <v/>
      </c>
      <c r="D361" s="28">
        <f>IFERROR(IF(AND(ISNUMBER(B361),ISNUMBER(B360),B360&lt;&gt;0),B361/B360-1,""),"")</f>
        <v/>
      </c>
      <c r="E361" s="28">
        <f>IFERROR(IF(AND(ISNUMBER(C361),ISNUMBER(C360),C360&lt;&gt;0),C361/C360-1,""),"")</f>
        <v/>
      </c>
      <c r="F361" s="28">
        <f>IFERROR(D361-Dashboard!$B$4/252,"")</f>
        <v/>
      </c>
      <c r="G361" s="28">
        <f>IFERROR(E361-Dashboard!$B$4/252,"")</f>
        <v/>
      </c>
      <c r="H361" s="8">
        <f>IFERROR(IF(ISNUMBER(B361),MAX(B361,IFERROR(H360,B361)),""),"")</f>
        <v/>
      </c>
      <c r="I361" s="29">
        <f>IFERROR(IF(AND(ISNUMBER(B361),ISNUMBER(H361)),B361/H361-1,""),"")</f>
        <v/>
      </c>
      <c r="J361" s="8">
        <f>IFERROR(IF(ISNUMBER(C361),MAX(C361,IFERROR(J360,C361)),""),"")</f>
        <v/>
      </c>
      <c r="K361" s="29">
        <f>IFERROR(IF(AND(ISNUMBER(C361),ISNUMBER(J361)),C361/J361-1,""),"")</f>
        <v/>
      </c>
      <c r="L361" s="28">
        <f>IFERROR(IF(AND(ISNUMBER(D361),ISNUMBER(E361)),D361-E361,""),"")</f>
        <v/>
      </c>
    </row>
    <row r="362">
      <c r="A362" s="7">
        <f>IFERROR(Datos!A362,"")</f>
        <v/>
      </c>
      <c r="B362" s="8">
        <f>IFERROR(Datos!B362,"")</f>
        <v/>
      </c>
      <c r="C362" s="8">
        <f>IFERROR(Datos!C362,"")</f>
        <v/>
      </c>
      <c r="D362" s="28">
        <f>IFERROR(IF(AND(ISNUMBER(B362),ISNUMBER(B361),B361&lt;&gt;0),B362/B361-1,""),"")</f>
        <v/>
      </c>
      <c r="E362" s="28">
        <f>IFERROR(IF(AND(ISNUMBER(C362),ISNUMBER(C361),C361&lt;&gt;0),C362/C361-1,""),"")</f>
        <v/>
      </c>
      <c r="F362" s="28">
        <f>IFERROR(D362-Dashboard!$B$4/252,"")</f>
        <v/>
      </c>
      <c r="G362" s="28">
        <f>IFERROR(E362-Dashboard!$B$4/252,"")</f>
        <v/>
      </c>
      <c r="H362" s="8">
        <f>IFERROR(IF(ISNUMBER(B362),MAX(B362,IFERROR(H361,B362)),""),"")</f>
        <v/>
      </c>
      <c r="I362" s="29">
        <f>IFERROR(IF(AND(ISNUMBER(B362),ISNUMBER(H362)),B362/H362-1,""),"")</f>
        <v/>
      </c>
      <c r="J362" s="8">
        <f>IFERROR(IF(ISNUMBER(C362),MAX(C362,IFERROR(J361,C362)),""),"")</f>
        <v/>
      </c>
      <c r="K362" s="29">
        <f>IFERROR(IF(AND(ISNUMBER(C362),ISNUMBER(J362)),C362/J362-1,""),"")</f>
        <v/>
      </c>
      <c r="L362" s="28">
        <f>IFERROR(IF(AND(ISNUMBER(D362),ISNUMBER(E362)),D362-E362,""),"")</f>
        <v/>
      </c>
    </row>
    <row r="363">
      <c r="A363" s="7">
        <f>IFERROR(Datos!A363,"")</f>
        <v/>
      </c>
      <c r="B363" s="8">
        <f>IFERROR(Datos!B363,"")</f>
        <v/>
      </c>
      <c r="C363" s="8">
        <f>IFERROR(Datos!C363,"")</f>
        <v/>
      </c>
      <c r="D363" s="28">
        <f>IFERROR(IF(AND(ISNUMBER(B363),ISNUMBER(B362),B362&lt;&gt;0),B363/B362-1,""),"")</f>
        <v/>
      </c>
      <c r="E363" s="28">
        <f>IFERROR(IF(AND(ISNUMBER(C363),ISNUMBER(C362),C362&lt;&gt;0),C363/C362-1,""),"")</f>
        <v/>
      </c>
      <c r="F363" s="28">
        <f>IFERROR(D363-Dashboard!$B$4/252,"")</f>
        <v/>
      </c>
      <c r="G363" s="28">
        <f>IFERROR(E363-Dashboard!$B$4/252,"")</f>
        <v/>
      </c>
      <c r="H363" s="8">
        <f>IFERROR(IF(ISNUMBER(B363),MAX(B363,IFERROR(H362,B363)),""),"")</f>
        <v/>
      </c>
      <c r="I363" s="29">
        <f>IFERROR(IF(AND(ISNUMBER(B363),ISNUMBER(H363)),B363/H363-1,""),"")</f>
        <v/>
      </c>
      <c r="J363" s="8">
        <f>IFERROR(IF(ISNUMBER(C363),MAX(C363,IFERROR(J362,C363)),""),"")</f>
        <v/>
      </c>
      <c r="K363" s="29">
        <f>IFERROR(IF(AND(ISNUMBER(C363),ISNUMBER(J363)),C363/J363-1,""),"")</f>
        <v/>
      </c>
      <c r="L363" s="28">
        <f>IFERROR(IF(AND(ISNUMBER(D363),ISNUMBER(E363)),D363-E363,""),"")</f>
        <v/>
      </c>
    </row>
    <row r="364">
      <c r="A364" s="7">
        <f>IFERROR(Datos!A364,"")</f>
        <v/>
      </c>
      <c r="B364" s="8">
        <f>IFERROR(Datos!B364,"")</f>
        <v/>
      </c>
      <c r="C364" s="8">
        <f>IFERROR(Datos!C364,"")</f>
        <v/>
      </c>
      <c r="D364" s="28">
        <f>IFERROR(IF(AND(ISNUMBER(B364),ISNUMBER(B363),B363&lt;&gt;0),B364/B363-1,""),"")</f>
        <v/>
      </c>
      <c r="E364" s="28">
        <f>IFERROR(IF(AND(ISNUMBER(C364),ISNUMBER(C363),C363&lt;&gt;0),C364/C363-1,""),"")</f>
        <v/>
      </c>
      <c r="F364" s="28">
        <f>IFERROR(D364-Dashboard!$B$4/252,"")</f>
        <v/>
      </c>
      <c r="G364" s="28">
        <f>IFERROR(E364-Dashboard!$B$4/252,"")</f>
        <v/>
      </c>
      <c r="H364" s="8">
        <f>IFERROR(IF(ISNUMBER(B364),MAX(B364,IFERROR(H363,B364)),""),"")</f>
        <v/>
      </c>
      <c r="I364" s="29">
        <f>IFERROR(IF(AND(ISNUMBER(B364),ISNUMBER(H364)),B364/H364-1,""),"")</f>
        <v/>
      </c>
      <c r="J364" s="8">
        <f>IFERROR(IF(ISNUMBER(C364),MAX(C364,IFERROR(J363,C364)),""),"")</f>
        <v/>
      </c>
      <c r="K364" s="29">
        <f>IFERROR(IF(AND(ISNUMBER(C364),ISNUMBER(J364)),C364/J364-1,""),"")</f>
        <v/>
      </c>
      <c r="L364" s="28">
        <f>IFERROR(IF(AND(ISNUMBER(D364),ISNUMBER(E364)),D364-E364,""),"")</f>
        <v/>
      </c>
    </row>
    <row r="365">
      <c r="A365" s="7">
        <f>IFERROR(Datos!A365,"")</f>
        <v/>
      </c>
      <c r="B365" s="8">
        <f>IFERROR(Datos!B365,"")</f>
        <v/>
      </c>
      <c r="C365" s="8">
        <f>IFERROR(Datos!C365,"")</f>
        <v/>
      </c>
      <c r="D365" s="28">
        <f>IFERROR(IF(AND(ISNUMBER(B365),ISNUMBER(B364),B364&lt;&gt;0),B365/B364-1,""),"")</f>
        <v/>
      </c>
      <c r="E365" s="28">
        <f>IFERROR(IF(AND(ISNUMBER(C365),ISNUMBER(C364),C364&lt;&gt;0),C365/C364-1,""),"")</f>
        <v/>
      </c>
      <c r="F365" s="28">
        <f>IFERROR(D365-Dashboard!$B$4/252,"")</f>
        <v/>
      </c>
      <c r="G365" s="28">
        <f>IFERROR(E365-Dashboard!$B$4/252,"")</f>
        <v/>
      </c>
      <c r="H365" s="8">
        <f>IFERROR(IF(ISNUMBER(B365),MAX(B365,IFERROR(H364,B365)),""),"")</f>
        <v/>
      </c>
      <c r="I365" s="29">
        <f>IFERROR(IF(AND(ISNUMBER(B365),ISNUMBER(H365)),B365/H365-1,""),"")</f>
        <v/>
      </c>
      <c r="J365" s="8">
        <f>IFERROR(IF(ISNUMBER(C365),MAX(C365,IFERROR(J364,C365)),""),"")</f>
        <v/>
      </c>
      <c r="K365" s="29">
        <f>IFERROR(IF(AND(ISNUMBER(C365),ISNUMBER(J365)),C365/J365-1,""),"")</f>
        <v/>
      </c>
      <c r="L365" s="28">
        <f>IFERROR(IF(AND(ISNUMBER(D365),ISNUMBER(E365)),D365-E365,""),"")</f>
        <v/>
      </c>
    </row>
    <row r="366">
      <c r="A366" s="7">
        <f>IFERROR(Datos!A366,"")</f>
        <v/>
      </c>
      <c r="B366" s="8">
        <f>IFERROR(Datos!B366,"")</f>
        <v/>
      </c>
      <c r="C366" s="8">
        <f>IFERROR(Datos!C366,"")</f>
        <v/>
      </c>
      <c r="D366" s="28">
        <f>IFERROR(IF(AND(ISNUMBER(B366),ISNUMBER(B365),B365&lt;&gt;0),B366/B365-1,""),"")</f>
        <v/>
      </c>
      <c r="E366" s="28">
        <f>IFERROR(IF(AND(ISNUMBER(C366),ISNUMBER(C365),C365&lt;&gt;0),C366/C365-1,""),"")</f>
        <v/>
      </c>
      <c r="F366" s="28">
        <f>IFERROR(D366-Dashboard!$B$4/252,"")</f>
        <v/>
      </c>
      <c r="G366" s="28">
        <f>IFERROR(E366-Dashboard!$B$4/252,"")</f>
        <v/>
      </c>
      <c r="H366" s="8">
        <f>IFERROR(IF(ISNUMBER(B366),MAX(B366,IFERROR(H365,B366)),""),"")</f>
        <v/>
      </c>
      <c r="I366" s="29">
        <f>IFERROR(IF(AND(ISNUMBER(B366),ISNUMBER(H366)),B366/H366-1,""),"")</f>
        <v/>
      </c>
      <c r="J366" s="8">
        <f>IFERROR(IF(ISNUMBER(C366),MAX(C366,IFERROR(J365,C366)),""),"")</f>
        <v/>
      </c>
      <c r="K366" s="29">
        <f>IFERROR(IF(AND(ISNUMBER(C366),ISNUMBER(J366)),C366/J366-1,""),"")</f>
        <v/>
      </c>
      <c r="L366" s="28">
        <f>IFERROR(IF(AND(ISNUMBER(D366),ISNUMBER(E366)),D366-E366,""),"")</f>
        <v/>
      </c>
    </row>
    <row r="367">
      <c r="A367" s="7">
        <f>IFERROR(Datos!A367,"")</f>
        <v/>
      </c>
      <c r="B367" s="8">
        <f>IFERROR(Datos!B367,"")</f>
        <v/>
      </c>
      <c r="C367" s="8">
        <f>IFERROR(Datos!C367,"")</f>
        <v/>
      </c>
      <c r="D367" s="28">
        <f>IFERROR(IF(AND(ISNUMBER(B367),ISNUMBER(B366),B366&lt;&gt;0),B367/B366-1,""),"")</f>
        <v/>
      </c>
      <c r="E367" s="28">
        <f>IFERROR(IF(AND(ISNUMBER(C367),ISNUMBER(C366),C366&lt;&gt;0),C367/C366-1,""),"")</f>
        <v/>
      </c>
      <c r="F367" s="28">
        <f>IFERROR(D367-Dashboard!$B$4/252,"")</f>
        <v/>
      </c>
      <c r="G367" s="28">
        <f>IFERROR(E367-Dashboard!$B$4/252,"")</f>
        <v/>
      </c>
      <c r="H367" s="8">
        <f>IFERROR(IF(ISNUMBER(B367),MAX(B367,IFERROR(H366,B367)),""),"")</f>
        <v/>
      </c>
      <c r="I367" s="29">
        <f>IFERROR(IF(AND(ISNUMBER(B367),ISNUMBER(H367)),B367/H367-1,""),"")</f>
        <v/>
      </c>
      <c r="J367" s="8">
        <f>IFERROR(IF(ISNUMBER(C367),MAX(C367,IFERROR(J366,C367)),""),"")</f>
        <v/>
      </c>
      <c r="K367" s="29">
        <f>IFERROR(IF(AND(ISNUMBER(C367),ISNUMBER(J367)),C367/J367-1,""),"")</f>
        <v/>
      </c>
      <c r="L367" s="28">
        <f>IFERROR(IF(AND(ISNUMBER(D367),ISNUMBER(E367)),D367-E367,""),"")</f>
        <v/>
      </c>
    </row>
    <row r="368">
      <c r="A368" s="7">
        <f>IFERROR(Datos!A368,"")</f>
        <v/>
      </c>
      <c r="B368" s="8">
        <f>IFERROR(Datos!B368,"")</f>
        <v/>
      </c>
      <c r="C368" s="8">
        <f>IFERROR(Datos!C368,"")</f>
        <v/>
      </c>
      <c r="D368" s="28">
        <f>IFERROR(IF(AND(ISNUMBER(B368),ISNUMBER(B367),B367&lt;&gt;0),B368/B367-1,""),"")</f>
        <v/>
      </c>
      <c r="E368" s="28">
        <f>IFERROR(IF(AND(ISNUMBER(C368),ISNUMBER(C367),C367&lt;&gt;0),C368/C367-1,""),"")</f>
        <v/>
      </c>
      <c r="F368" s="28">
        <f>IFERROR(D368-Dashboard!$B$4/252,"")</f>
        <v/>
      </c>
      <c r="G368" s="28">
        <f>IFERROR(E368-Dashboard!$B$4/252,"")</f>
        <v/>
      </c>
      <c r="H368" s="8">
        <f>IFERROR(IF(ISNUMBER(B368),MAX(B368,IFERROR(H367,B368)),""),"")</f>
        <v/>
      </c>
      <c r="I368" s="29">
        <f>IFERROR(IF(AND(ISNUMBER(B368),ISNUMBER(H368)),B368/H368-1,""),"")</f>
        <v/>
      </c>
      <c r="J368" s="8">
        <f>IFERROR(IF(ISNUMBER(C368),MAX(C368,IFERROR(J367,C368)),""),"")</f>
        <v/>
      </c>
      <c r="K368" s="29">
        <f>IFERROR(IF(AND(ISNUMBER(C368),ISNUMBER(J368)),C368/J368-1,""),"")</f>
        <v/>
      </c>
      <c r="L368" s="28">
        <f>IFERROR(IF(AND(ISNUMBER(D368),ISNUMBER(E368)),D368-E368,""),"")</f>
        <v/>
      </c>
    </row>
    <row r="369">
      <c r="A369" s="7">
        <f>IFERROR(Datos!A369,"")</f>
        <v/>
      </c>
      <c r="B369" s="8">
        <f>IFERROR(Datos!B369,"")</f>
        <v/>
      </c>
      <c r="C369" s="8">
        <f>IFERROR(Datos!C369,"")</f>
        <v/>
      </c>
      <c r="D369" s="28">
        <f>IFERROR(IF(AND(ISNUMBER(B369),ISNUMBER(B368),B368&lt;&gt;0),B369/B368-1,""),"")</f>
        <v/>
      </c>
      <c r="E369" s="28">
        <f>IFERROR(IF(AND(ISNUMBER(C369),ISNUMBER(C368),C368&lt;&gt;0),C369/C368-1,""),"")</f>
        <v/>
      </c>
      <c r="F369" s="28">
        <f>IFERROR(D369-Dashboard!$B$4/252,"")</f>
        <v/>
      </c>
      <c r="G369" s="28">
        <f>IFERROR(E369-Dashboard!$B$4/252,"")</f>
        <v/>
      </c>
      <c r="H369" s="8">
        <f>IFERROR(IF(ISNUMBER(B369),MAX(B369,IFERROR(H368,B369)),""),"")</f>
        <v/>
      </c>
      <c r="I369" s="29">
        <f>IFERROR(IF(AND(ISNUMBER(B369),ISNUMBER(H369)),B369/H369-1,""),"")</f>
        <v/>
      </c>
      <c r="J369" s="8">
        <f>IFERROR(IF(ISNUMBER(C369),MAX(C369,IFERROR(J368,C369)),""),"")</f>
        <v/>
      </c>
      <c r="K369" s="29">
        <f>IFERROR(IF(AND(ISNUMBER(C369),ISNUMBER(J369)),C369/J369-1,""),"")</f>
        <v/>
      </c>
      <c r="L369" s="28">
        <f>IFERROR(IF(AND(ISNUMBER(D369),ISNUMBER(E369)),D369-E369,""),"")</f>
        <v/>
      </c>
    </row>
    <row r="370">
      <c r="A370" s="7">
        <f>IFERROR(Datos!A370,"")</f>
        <v/>
      </c>
      <c r="B370" s="8">
        <f>IFERROR(Datos!B370,"")</f>
        <v/>
      </c>
      <c r="C370" s="8">
        <f>IFERROR(Datos!C370,"")</f>
        <v/>
      </c>
      <c r="D370" s="28">
        <f>IFERROR(IF(AND(ISNUMBER(B370),ISNUMBER(B369),B369&lt;&gt;0),B370/B369-1,""),"")</f>
        <v/>
      </c>
      <c r="E370" s="28">
        <f>IFERROR(IF(AND(ISNUMBER(C370),ISNUMBER(C369),C369&lt;&gt;0),C370/C369-1,""),"")</f>
        <v/>
      </c>
      <c r="F370" s="28">
        <f>IFERROR(D370-Dashboard!$B$4/252,"")</f>
        <v/>
      </c>
      <c r="G370" s="28">
        <f>IFERROR(E370-Dashboard!$B$4/252,"")</f>
        <v/>
      </c>
      <c r="H370" s="8">
        <f>IFERROR(IF(ISNUMBER(B370),MAX(B370,IFERROR(H369,B370)),""),"")</f>
        <v/>
      </c>
      <c r="I370" s="29">
        <f>IFERROR(IF(AND(ISNUMBER(B370),ISNUMBER(H370)),B370/H370-1,""),"")</f>
        <v/>
      </c>
      <c r="J370" s="8">
        <f>IFERROR(IF(ISNUMBER(C370),MAX(C370,IFERROR(J369,C370)),""),"")</f>
        <v/>
      </c>
      <c r="K370" s="29">
        <f>IFERROR(IF(AND(ISNUMBER(C370),ISNUMBER(J370)),C370/J370-1,""),"")</f>
        <v/>
      </c>
      <c r="L370" s="28">
        <f>IFERROR(IF(AND(ISNUMBER(D370),ISNUMBER(E370)),D370-E370,""),"")</f>
        <v/>
      </c>
    </row>
    <row r="371">
      <c r="A371" s="7">
        <f>IFERROR(Datos!A371,"")</f>
        <v/>
      </c>
      <c r="B371" s="8">
        <f>IFERROR(Datos!B371,"")</f>
        <v/>
      </c>
      <c r="C371" s="8">
        <f>IFERROR(Datos!C371,"")</f>
        <v/>
      </c>
      <c r="D371" s="28">
        <f>IFERROR(IF(AND(ISNUMBER(B371),ISNUMBER(B370),B370&lt;&gt;0),B371/B370-1,""),"")</f>
        <v/>
      </c>
      <c r="E371" s="28">
        <f>IFERROR(IF(AND(ISNUMBER(C371),ISNUMBER(C370),C370&lt;&gt;0),C371/C370-1,""),"")</f>
        <v/>
      </c>
      <c r="F371" s="28">
        <f>IFERROR(D371-Dashboard!$B$4/252,"")</f>
        <v/>
      </c>
      <c r="G371" s="28">
        <f>IFERROR(E371-Dashboard!$B$4/252,"")</f>
        <v/>
      </c>
      <c r="H371" s="8">
        <f>IFERROR(IF(ISNUMBER(B371),MAX(B371,IFERROR(H370,B371)),""),"")</f>
        <v/>
      </c>
      <c r="I371" s="29">
        <f>IFERROR(IF(AND(ISNUMBER(B371),ISNUMBER(H371)),B371/H371-1,""),"")</f>
        <v/>
      </c>
      <c r="J371" s="8">
        <f>IFERROR(IF(ISNUMBER(C371),MAX(C371,IFERROR(J370,C371)),""),"")</f>
        <v/>
      </c>
      <c r="K371" s="29">
        <f>IFERROR(IF(AND(ISNUMBER(C371),ISNUMBER(J371)),C371/J371-1,""),"")</f>
        <v/>
      </c>
      <c r="L371" s="28">
        <f>IFERROR(IF(AND(ISNUMBER(D371),ISNUMBER(E371)),D371-E371,""),"")</f>
        <v/>
      </c>
    </row>
    <row r="372">
      <c r="A372" s="7">
        <f>IFERROR(Datos!A372,"")</f>
        <v/>
      </c>
      <c r="B372" s="8">
        <f>IFERROR(Datos!B372,"")</f>
        <v/>
      </c>
      <c r="C372" s="8">
        <f>IFERROR(Datos!C372,"")</f>
        <v/>
      </c>
      <c r="D372" s="28">
        <f>IFERROR(IF(AND(ISNUMBER(B372),ISNUMBER(B371),B371&lt;&gt;0),B372/B371-1,""),"")</f>
        <v/>
      </c>
      <c r="E372" s="28">
        <f>IFERROR(IF(AND(ISNUMBER(C372),ISNUMBER(C371),C371&lt;&gt;0),C372/C371-1,""),"")</f>
        <v/>
      </c>
      <c r="F372" s="28">
        <f>IFERROR(D372-Dashboard!$B$4/252,"")</f>
        <v/>
      </c>
      <c r="G372" s="28">
        <f>IFERROR(E372-Dashboard!$B$4/252,"")</f>
        <v/>
      </c>
      <c r="H372" s="8">
        <f>IFERROR(IF(ISNUMBER(B372),MAX(B372,IFERROR(H371,B372)),""),"")</f>
        <v/>
      </c>
      <c r="I372" s="29">
        <f>IFERROR(IF(AND(ISNUMBER(B372),ISNUMBER(H372)),B372/H372-1,""),"")</f>
        <v/>
      </c>
      <c r="J372" s="8">
        <f>IFERROR(IF(ISNUMBER(C372),MAX(C372,IFERROR(J371,C372)),""),"")</f>
        <v/>
      </c>
      <c r="K372" s="29">
        <f>IFERROR(IF(AND(ISNUMBER(C372),ISNUMBER(J372)),C372/J372-1,""),"")</f>
        <v/>
      </c>
      <c r="L372" s="28">
        <f>IFERROR(IF(AND(ISNUMBER(D372),ISNUMBER(E372)),D372-E372,""),"")</f>
        <v/>
      </c>
    </row>
    <row r="373">
      <c r="A373" s="7">
        <f>IFERROR(Datos!A373,"")</f>
        <v/>
      </c>
      <c r="B373" s="8">
        <f>IFERROR(Datos!B373,"")</f>
        <v/>
      </c>
      <c r="C373" s="8">
        <f>IFERROR(Datos!C373,"")</f>
        <v/>
      </c>
      <c r="D373" s="28">
        <f>IFERROR(IF(AND(ISNUMBER(B373),ISNUMBER(B372),B372&lt;&gt;0),B373/B372-1,""),"")</f>
        <v/>
      </c>
      <c r="E373" s="28">
        <f>IFERROR(IF(AND(ISNUMBER(C373),ISNUMBER(C372),C372&lt;&gt;0),C373/C372-1,""),"")</f>
        <v/>
      </c>
      <c r="F373" s="28">
        <f>IFERROR(D373-Dashboard!$B$4/252,"")</f>
        <v/>
      </c>
      <c r="G373" s="28">
        <f>IFERROR(E373-Dashboard!$B$4/252,"")</f>
        <v/>
      </c>
      <c r="H373" s="8">
        <f>IFERROR(IF(ISNUMBER(B373),MAX(B373,IFERROR(H372,B373)),""),"")</f>
        <v/>
      </c>
      <c r="I373" s="29">
        <f>IFERROR(IF(AND(ISNUMBER(B373),ISNUMBER(H373)),B373/H373-1,""),"")</f>
        <v/>
      </c>
      <c r="J373" s="8">
        <f>IFERROR(IF(ISNUMBER(C373),MAX(C373,IFERROR(J372,C373)),""),"")</f>
        <v/>
      </c>
      <c r="K373" s="29">
        <f>IFERROR(IF(AND(ISNUMBER(C373),ISNUMBER(J373)),C373/J373-1,""),"")</f>
        <v/>
      </c>
      <c r="L373" s="28">
        <f>IFERROR(IF(AND(ISNUMBER(D373),ISNUMBER(E373)),D373-E373,""),"")</f>
        <v/>
      </c>
    </row>
    <row r="374">
      <c r="A374" s="7">
        <f>IFERROR(Datos!A374,"")</f>
        <v/>
      </c>
      <c r="B374" s="8">
        <f>IFERROR(Datos!B374,"")</f>
        <v/>
      </c>
      <c r="C374" s="8">
        <f>IFERROR(Datos!C374,"")</f>
        <v/>
      </c>
      <c r="D374" s="28">
        <f>IFERROR(IF(AND(ISNUMBER(B374),ISNUMBER(B373),B373&lt;&gt;0),B374/B373-1,""),"")</f>
        <v/>
      </c>
      <c r="E374" s="28">
        <f>IFERROR(IF(AND(ISNUMBER(C374),ISNUMBER(C373),C373&lt;&gt;0),C374/C373-1,""),"")</f>
        <v/>
      </c>
      <c r="F374" s="28">
        <f>IFERROR(D374-Dashboard!$B$4/252,"")</f>
        <v/>
      </c>
      <c r="G374" s="28">
        <f>IFERROR(E374-Dashboard!$B$4/252,"")</f>
        <v/>
      </c>
      <c r="H374" s="8">
        <f>IFERROR(IF(ISNUMBER(B374),MAX(B374,IFERROR(H373,B374)),""),"")</f>
        <v/>
      </c>
      <c r="I374" s="29">
        <f>IFERROR(IF(AND(ISNUMBER(B374),ISNUMBER(H374)),B374/H374-1,""),"")</f>
        <v/>
      </c>
      <c r="J374" s="8">
        <f>IFERROR(IF(ISNUMBER(C374),MAX(C374,IFERROR(J373,C374)),""),"")</f>
        <v/>
      </c>
      <c r="K374" s="29">
        <f>IFERROR(IF(AND(ISNUMBER(C374),ISNUMBER(J374)),C374/J374-1,""),"")</f>
        <v/>
      </c>
      <c r="L374" s="28">
        <f>IFERROR(IF(AND(ISNUMBER(D374),ISNUMBER(E374)),D374-E374,""),"")</f>
        <v/>
      </c>
    </row>
    <row r="375">
      <c r="A375" s="7">
        <f>IFERROR(Datos!A375,"")</f>
        <v/>
      </c>
      <c r="B375" s="8">
        <f>IFERROR(Datos!B375,"")</f>
        <v/>
      </c>
      <c r="C375" s="8">
        <f>IFERROR(Datos!C375,"")</f>
        <v/>
      </c>
      <c r="D375" s="28">
        <f>IFERROR(IF(AND(ISNUMBER(B375),ISNUMBER(B374),B374&lt;&gt;0),B375/B374-1,""),"")</f>
        <v/>
      </c>
      <c r="E375" s="28">
        <f>IFERROR(IF(AND(ISNUMBER(C375),ISNUMBER(C374),C374&lt;&gt;0),C375/C374-1,""),"")</f>
        <v/>
      </c>
      <c r="F375" s="28">
        <f>IFERROR(D375-Dashboard!$B$4/252,"")</f>
        <v/>
      </c>
      <c r="G375" s="28">
        <f>IFERROR(E375-Dashboard!$B$4/252,"")</f>
        <v/>
      </c>
      <c r="H375" s="8">
        <f>IFERROR(IF(ISNUMBER(B375),MAX(B375,IFERROR(H374,B375)),""),"")</f>
        <v/>
      </c>
      <c r="I375" s="29">
        <f>IFERROR(IF(AND(ISNUMBER(B375),ISNUMBER(H375)),B375/H375-1,""),"")</f>
        <v/>
      </c>
      <c r="J375" s="8">
        <f>IFERROR(IF(ISNUMBER(C375),MAX(C375,IFERROR(J374,C375)),""),"")</f>
        <v/>
      </c>
      <c r="K375" s="29">
        <f>IFERROR(IF(AND(ISNUMBER(C375),ISNUMBER(J375)),C375/J375-1,""),"")</f>
        <v/>
      </c>
      <c r="L375" s="28">
        <f>IFERROR(IF(AND(ISNUMBER(D375),ISNUMBER(E375)),D375-E375,""),"")</f>
        <v/>
      </c>
    </row>
    <row r="376">
      <c r="A376" s="7">
        <f>IFERROR(Datos!A376,"")</f>
        <v/>
      </c>
      <c r="B376" s="8">
        <f>IFERROR(Datos!B376,"")</f>
        <v/>
      </c>
      <c r="C376" s="8">
        <f>IFERROR(Datos!C376,"")</f>
        <v/>
      </c>
      <c r="D376" s="28">
        <f>IFERROR(IF(AND(ISNUMBER(B376),ISNUMBER(B375),B375&lt;&gt;0),B376/B375-1,""),"")</f>
        <v/>
      </c>
      <c r="E376" s="28">
        <f>IFERROR(IF(AND(ISNUMBER(C376),ISNUMBER(C375),C375&lt;&gt;0),C376/C375-1,""),"")</f>
        <v/>
      </c>
      <c r="F376" s="28">
        <f>IFERROR(D376-Dashboard!$B$4/252,"")</f>
        <v/>
      </c>
      <c r="G376" s="28">
        <f>IFERROR(E376-Dashboard!$B$4/252,"")</f>
        <v/>
      </c>
      <c r="H376" s="8">
        <f>IFERROR(IF(ISNUMBER(B376),MAX(B376,IFERROR(H375,B376)),""),"")</f>
        <v/>
      </c>
      <c r="I376" s="29">
        <f>IFERROR(IF(AND(ISNUMBER(B376),ISNUMBER(H376)),B376/H376-1,""),"")</f>
        <v/>
      </c>
      <c r="J376" s="8">
        <f>IFERROR(IF(ISNUMBER(C376),MAX(C376,IFERROR(J375,C376)),""),"")</f>
        <v/>
      </c>
      <c r="K376" s="29">
        <f>IFERROR(IF(AND(ISNUMBER(C376),ISNUMBER(J376)),C376/J376-1,""),"")</f>
        <v/>
      </c>
      <c r="L376" s="28">
        <f>IFERROR(IF(AND(ISNUMBER(D376),ISNUMBER(E376)),D376-E376,""),"")</f>
        <v/>
      </c>
    </row>
    <row r="377">
      <c r="A377" s="7">
        <f>IFERROR(Datos!A377,"")</f>
        <v/>
      </c>
      <c r="B377" s="8">
        <f>IFERROR(Datos!B377,"")</f>
        <v/>
      </c>
      <c r="C377" s="8">
        <f>IFERROR(Datos!C377,"")</f>
        <v/>
      </c>
      <c r="D377" s="28">
        <f>IFERROR(IF(AND(ISNUMBER(B377),ISNUMBER(B376),B376&lt;&gt;0),B377/B376-1,""),"")</f>
        <v/>
      </c>
      <c r="E377" s="28">
        <f>IFERROR(IF(AND(ISNUMBER(C377),ISNUMBER(C376),C376&lt;&gt;0),C377/C376-1,""),"")</f>
        <v/>
      </c>
      <c r="F377" s="28">
        <f>IFERROR(D377-Dashboard!$B$4/252,"")</f>
        <v/>
      </c>
      <c r="G377" s="28">
        <f>IFERROR(E377-Dashboard!$B$4/252,"")</f>
        <v/>
      </c>
      <c r="H377" s="8">
        <f>IFERROR(IF(ISNUMBER(B377),MAX(B377,IFERROR(H376,B377)),""),"")</f>
        <v/>
      </c>
      <c r="I377" s="29">
        <f>IFERROR(IF(AND(ISNUMBER(B377),ISNUMBER(H377)),B377/H377-1,""),"")</f>
        <v/>
      </c>
      <c r="J377" s="8">
        <f>IFERROR(IF(ISNUMBER(C377),MAX(C377,IFERROR(J376,C377)),""),"")</f>
        <v/>
      </c>
      <c r="K377" s="29">
        <f>IFERROR(IF(AND(ISNUMBER(C377),ISNUMBER(J377)),C377/J377-1,""),"")</f>
        <v/>
      </c>
      <c r="L377" s="28">
        <f>IFERROR(IF(AND(ISNUMBER(D377),ISNUMBER(E377)),D377-E377,""),"")</f>
        <v/>
      </c>
    </row>
    <row r="378">
      <c r="A378" s="7">
        <f>IFERROR(Datos!A378,"")</f>
        <v/>
      </c>
      <c r="B378" s="8">
        <f>IFERROR(Datos!B378,"")</f>
        <v/>
      </c>
      <c r="C378" s="8">
        <f>IFERROR(Datos!C378,"")</f>
        <v/>
      </c>
      <c r="D378" s="28">
        <f>IFERROR(IF(AND(ISNUMBER(B378),ISNUMBER(B377),B377&lt;&gt;0),B378/B377-1,""),"")</f>
        <v/>
      </c>
      <c r="E378" s="28">
        <f>IFERROR(IF(AND(ISNUMBER(C378),ISNUMBER(C377),C377&lt;&gt;0),C378/C377-1,""),"")</f>
        <v/>
      </c>
      <c r="F378" s="28">
        <f>IFERROR(D378-Dashboard!$B$4/252,"")</f>
        <v/>
      </c>
      <c r="G378" s="28">
        <f>IFERROR(E378-Dashboard!$B$4/252,"")</f>
        <v/>
      </c>
      <c r="H378" s="8">
        <f>IFERROR(IF(ISNUMBER(B378),MAX(B378,IFERROR(H377,B378)),""),"")</f>
        <v/>
      </c>
      <c r="I378" s="29">
        <f>IFERROR(IF(AND(ISNUMBER(B378),ISNUMBER(H378)),B378/H378-1,""),"")</f>
        <v/>
      </c>
      <c r="J378" s="8">
        <f>IFERROR(IF(ISNUMBER(C378),MAX(C378,IFERROR(J377,C378)),""),"")</f>
        <v/>
      </c>
      <c r="K378" s="29">
        <f>IFERROR(IF(AND(ISNUMBER(C378),ISNUMBER(J378)),C378/J378-1,""),"")</f>
        <v/>
      </c>
      <c r="L378" s="28">
        <f>IFERROR(IF(AND(ISNUMBER(D378),ISNUMBER(E378)),D378-E378,""),"")</f>
        <v/>
      </c>
    </row>
    <row r="379">
      <c r="A379" s="7">
        <f>IFERROR(Datos!A379,"")</f>
        <v/>
      </c>
      <c r="B379" s="8">
        <f>IFERROR(Datos!B379,"")</f>
        <v/>
      </c>
      <c r="C379" s="8">
        <f>IFERROR(Datos!C379,"")</f>
        <v/>
      </c>
      <c r="D379" s="28">
        <f>IFERROR(IF(AND(ISNUMBER(B379),ISNUMBER(B378),B378&lt;&gt;0),B379/B378-1,""),"")</f>
        <v/>
      </c>
      <c r="E379" s="28">
        <f>IFERROR(IF(AND(ISNUMBER(C379),ISNUMBER(C378),C378&lt;&gt;0),C379/C378-1,""),"")</f>
        <v/>
      </c>
      <c r="F379" s="28">
        <f>IFERROR(D379-Dashboard!$B$4/252,"")</f>
        <v/>
      </c>
      <c r="G379" s="28">
        <f>IFERROR(E379-Dashboard!$B$4/252,"")</f>
        <v/>
      </c>
      <c r="H379" s="8">
        <f>IFERROR(IF(ISNUMBER(B379),MAX(B379,IFERROR(H378,B379)),""),"")</f>
        <v/>
      </c>
      <c r="I379" s="29">
        <f>IFERROR(IF(AND(ISNUMBER(B379),ISNUMBER(H379)),B379/H379-1,""),"")</f>
        <v/>
      </c>
      <c r="J379" s="8">
        <f>IFERROR(IF(ISNUMBER(C379),MAX(C379,IFERROR(J378,C379)),""),"")</f>
        <v/>
      </c>
      <c r="K379" s="29">
        <f>IFERROR(IF(AND(ISNUMBER(C379),ISNUMBER(J379)),C379/J379-1,""),"")</f>
        <v/>
      </c>
      <c r="L379" s="28">
        <f>IFERROR(IF(AND(ISNUMBER(D379),ISNUMBER(E379)),D379-E379,""),"")</f>
        <v/>
      </c>
    </row>
    <row r="380">
      <c r="A380" s="7">
        <f>IFERROR(Datos!A380,"")</f>
        <v/>
      </c>
      <c r="B380" s="8">
        <f>IFERROR(Datos!B380,"")</f>
        <v/>
      </c>
      <c r="C380" s="8">
        <f>IFERROR(Datos!C380,"")</f>
        <v/>
      </c>
      <c r="D380" s="28">
        <f>IFERROR(IF(AND(ISNUMBER(B380),ISNUMBER(B379),B379&lt;&gt;0),B380/B379-1,""),"")</f>
        <v/>
      </c>
      <c r="E380" s="28">
        <f>IFERROR(IF(AND(ISNUMBER(C380),ISNUMBER(C379),C379&lt;&gt;0),C380/C379-1,""),"")</f>
        <v/>
      </c>
      <c r="F380" s="28">
        <f>IFERROR(D380-Dashboard!$B$4/252,"")</f>
        <v/>
      </c>
      <c r="G380" s="28">
        <f>IFERROR(E380-Dashboard!$B$4/252,"")</f>
        <v/>
      </c>
      <c r="H380" s="8">
        <f>IFERROR(IF(ISNUMBER(B380),MAX(B380,IFERROR(H379,B380)),""),"")</f>
        <v/>
      </c>
      <c r="I380" s="29">
        <f>IFERROR(IF(AND(ISNUMBER(B380),ISNUMBER(H380)),B380/H380-1,""),"")</f>
        <v/>
      </c>
      <c r="J380" s="8">
        <f>IFERROR(IF(ISNUMBER(C380),MAX(C380,IFERROR(J379,C380)),""),"")</f>
        <v/>
      </c>
      <c r="K380" s="29">
        <f>IFERROR(IF(AND(ISNUMBER(C380),ISNUMBER(J380)),C380/J380-1,""),"")</f>
        <v/>
      </c>
      <c r="L380" s="28">
        <f>IFERROR(IF(AND(ISNUMBER(D380),ISNUMBER(E380)),D380-E380,""),"")</f>
        <v/>
      </c>
    </row>
    <row r="381">
      <c r="A381" s="7">
        <f>IFERROR(Datos!A381,"")</f>
        <v/>
      </c>
      <c r="B381" s="8">
        <f>IFERROR(Datos!B381,"")</f>
        <v/>
      </c>
      <c r="C381" s="8">
        <f>IFERROR(Datos!C381,"")</f>
        <v/>
      </c>
      <c r="D381" s="28">
        <f>IFERROR(IF(AND(ISNUMBER(B381),ISNUMBER(B380),B380&lt;&gt;0),B381/B380-1,""),"")</f>
        <v/>
      </c>
      <c r="E381" s="28">
        <f>IFERROR(IF(AND(ISNUMBER(C381),ISNUMBER(C380),C380&lt;&gt;0),C381/C380-1,""),"")</f>
        <v/>
      </c>
      <c r="F381" s="28">
        <f>IFERROR(D381-Dashboard!$B$4/252,"")</f>
        <v/>
      </c>
      <c r="G381" s="28">
        <f>IFERROR(E381-Dashboard!$B$4/252,"")</f>
        <v/>
      </c>
      <c r="H381" s="8">
        <f>IFERROR(IF(ISNUMBER(B381),MAX(B381,IFERROR(H380,B381)),""),"")</f>
        <v/>
      </c>
      <c r="I381" s="29">
        <f>IFERROR(IF(AND(ISNUMBER(B381),ISNUMBER(H381)),B381/H381-1,""),"")</f>
        <v/>
      </c>
      <c r="J381" s="8">
        <f>IFERROR(IF(ISNUMBER(C381),MAX(C381,IFERROR(J380,C381)),""),"")</f>
        <v/>
      </c>
      <c r="K381" s="29">
        <f>IFERROR(IF(AND(ISNUMBER(C381),ISNUMBER(J381)),C381/J381-1,""),"")</f>
        <v/>
      </c>
      <c r="L381" s="28">
        <f>IFERROR(IF(AND(ISNUMBER(D381),ISNUMBER(E381)),D381-E381,""),"")</f>
        <v/>
      </c>
    </row>
    <row r="382">
      <c r="A382" s="7">
        <f>IFERROR(Datos!A382,"")</f>
        <v/>
      </c>
      <c r="B382" s="8">
        <f>IFERROR(Datos!B382,"")</f>
        <v/>
      </c>
      <c r="C382" s="8">
        <f>IFERROR(Datos!C382,"")</f>
        <v/>
      </c>
      <c r="D382" s="28">
        <f>IFERROR(IF(AND(ISNUMBER(B382),ISNUMBER(B381),B381&lt;&gt;0),B382/B381-1,""),"")</f>
        <v/>
      </c>
      <c r="E382" s="28">
        <f>IFERROR(IF(AND(ISNUMBER(C382),ISNUMBER(C381),C381&lt;&gt;0),C382/C381-1,""),"")</f>
        <v/>
      </c>
      <c r="F382" s="28">
        <f>IFERROR(D382-Dashboard!$B$4/252,"")</f>
        <v/>
      </c>
      <c r="G382" s="28">
        <f>IFERROR(E382-Dashboard!$B$4/252,"")</f>
        <v/>
      </c>
      <c r="H382" s="8">
        <f>IFERROR(IF(ISNUMBER(B382),MAX(B382,IFERROR(H381,B382)),""),"")</f>
        <v/>
      </c>
      <c r="I382" s="29">
        <f>IFERROR(IF(AND(ISNUMBER(B382),ISNUMBER(H382)),B382/H382-1,""),"")</f>
        <v/>
      </c>
      <c r="J382" s="8">
        <f>IFERROR(IF(ISNUMBER(C382),MAX(C382,IFERROR(J381,C382)),""),"")</f>
        <v/>
      </c>
      <c r="K382" s="29">
        <f>IFERROR(IF(AND(ISNUMBER(C382),ISNUMBER(J382)),C382/J382-1,""),"")</f>
        <v/>
      </c>
      <c r="L382" s="28">
        <f>IFERROR(IF(AND(ISNUMBER(D382),ISNUMBER(E382)),D382-E382,""),"")</f>
        <v/>
      </c>
    </row>
    <row r="383">
      <c r="A383" s="7">
        <f>IFERROR(Datos!A383,"")</f>
        <v/>
      </c>
      <c r="B383" s="8">
        <f>IFERROR(Datos!B383,"")</f>
        <v/>
      </c>
      <c r="C383" s="8">
        <f>IFERROR(Datos!C383,"")</f>
        <v/>
      </c>
      <c r="D383" s="28">
        <f>IFERROR(IF(AND(ISNUMBER(B383),ISNUMBER(B382),B382&lt;&gt;0),B383/B382-1,""),"")</f>
        <v/>
      </c>
      <c r="E383" s="28">
        <f>IFERROR(IF(AND(ISNUMBER(C383),ISNUMBER(C382),C382&lt;&gt;0),C383/C382-1,""),"")</f>
        <v/>
      </c>
      <c r="F383" s="28">
        <f>IFERROR(D383-Dashboard!$B$4/252,"")</f>
        <v/>
      </c>
      <c r="G383" s="28">
        <f>IFERROR(E383-Dashboard!$B$4/252,"")</f>
        <v/>
      </c>
      <c r="H383" s="8">
        <f>IFERROR(IF(ISNUMBER(B383),MAX(B383,IFERROR(H382,B383)),""),"")</f>
        <v/>
      </c>
      <c r="I383" s="29">
        <f>IFERROR(IF(AND(ISNUMBER(B383),ISNUMBER(H383)),B383/H383-1,""),"")</f>
        <v/>
      </c>
      <c r="J383" s="8">
        <f>IFERROR(IF(ISNUMBER(C383),MAX(C383,IFERROR(J382,C383)),""),"")</f>
        <v/>
      </c>
      <c r="K383" s="29">
        <f>IFERROR(IF(AND(ISNUMBER(C383),ISNUMBER(J383)),C383/J383-1,""),"")</f>
        <v/>
      </c>
      <c r="L383" s="28">
        <f>IFERROR(IF(AND(ISNUMBER(D383),ISNUMBER(E383)),D383-E383,""),"")</f>
        <v/>
      </c>
    </row>
    <row r="384">
      <c r="A384" s="7">
        <f>IFERROR(Datos!A384,"")</f>
        <v/>
      </c>
      <c r="B384" s="8">
        <f>IFERROR(Datos!B384,"")</f>
        <v/>
      </c>
      <c r="C384" s="8">
        <f>IFERROR(Datos!C384,"")</f>
        <v/>
      </c>
      <c r="D384" s="28">
        <f>IFERROR(IF(AND(ISNUMBER(B384),ISNUMBER(B383),B383&lt;&gt;0),B384/B383-1,""),"")</f>
        <v/>
      </c>
      <c r="E384" s="28">
        <f>IFERROR(IF(AND(ISNUMBER(C384),ISNUMBER(C383),C383&lt;&gt;0),C384/C383-1,""),"")</f>
        <v/>
      </c>
      <c r="F384" s="28">
        <f>IFERROR(D384-Dashboard!$B$4/252,"")</f>
        <v/>
      </c>
      <c r="G384" s="28">
        <f>IFERROR(E384-Dashboard!$B$4/252,"")</f>
        <v/>
      </c>
      <c r="H384" s="8">
        <f>IFERROR(IF(ISNUMBER(B384),MAX(B384,IFERROR(H383,B384)),""),"")</f>
        <v/>
      </c>
      <c r="I384" s="29">
        <f>IFERROR(IF(AND(ISNUMBER(B384),ISNUMBER(H384)),B384/H384-1,""),"")</f>
        <v/>
      </c>
      <c r="J384" s="8">
        <f>IFERROR(IF(ISNUMBER(C384),MAX(C384,IFERROR(J383,C384)),""),"")</f>
        <v/>
      </c>
      <c r="K384" s="29">
        <f>IFERROR(IF(AND(ISNUMBER(C384),ISNUMBER(J384)),C384/J384-1,""),"")</f>
        <v/>
      </c>
      <c r="L384" s="28">
        <f>IFERROR(IF(AND(ISNUMBER(D384),ISNUMBER(E384)),D384-E384,""),"")</f>
        <v/>
      </c>
    </row>
    <row r="385">
      <c r="A385" s="7">
        <f>IFERROR(Datos!A385,"")</f>
        <v/>
      </c>
      <c r="B385" s="8">
        <f>IFERROR(Datos!B385,"")</f>
        <v/>
      </c>
      <c r="C385" s="8">
        <f>IFERROR(Datos!C385,"")</f>
        <v/>
      </c>
      <c r="D385" s="28">
        <f>IFERROR(IF(AND(ISNUMBER(B385),ISNUMBER(B384),B384&lt;&gt;0),B385/B384-1,""),"")</f>
        <v/>
      </c>
      <c r="E385" s="28">
        <f>IFERROR(IF(AND(ISNUMBER(C385),ISNUMBER(C384),C384&lt;&gt;0),C385/C384-1,""),"")</f>
        <v/>
      </c>
      <c r="F385" s="28">
        <f>IFERROR(D385-Dashboard!$B$4/252,"")</f>
        <v/>
      </c>
      <c r="G385" s="28">
        <f>IFERROR(E385-Dashboard!$B$4/252,"")</f>
        <v/>
      </c>
      <c r="H385" s="8">
        <f>IFERROR(IF(ISNUMBER(B385),MAX(B385,IFERROR(H384,B385)),""),"")</f>
        <v/>
      </c>
      <c r="I385" s="29">
        <f>IFERROR(IF(AND(ISNUMBER(B385),ISNUMBER(H385)),B385/H385-1,""),"")</f>
        <v/>
      </c>
      <c r="J385" s="8">
        <f>IFERROR(IF(ISNUMBER(C385),MAX(C385,IFERROR(J384,C385)),""),"")</f>
        <v/>
      </c>
      <c r="K385" s="29">
        <f>IFERROR(IF(AND(ISNUMBER(C385),ISNUMBER(J385)),C385/J385-1,""),"")</f>
        <v/>
      </c>
      <c r="L385" s="28">
        <f>IFERROR(IF(AND(ISNUMBER(D385),ISNUMBER(E385)),D385-E385,""),"")</f>
        <v/>
      </c>
    </row>
    <row r="386">
      <c r="A386" s="7">
        <f>IFERROR(Datos!A386,"")</f>
        <v/>
      </c>
      <c r="B386" s="8">
        <f>IFERROR(Datos!B386,"")</f>
        <v/>
      </c>
      <c r="C386" s="8">
        <f>IFERROR(Datos!C386,"")</f>
        <v/>
      </c>
      <c r="D386" s="28">
        <f>IFERROR(IF(AND(ISNUMBER(B386),ISNUMBER(B385),B385&lt;&gt;0),B386/B385-1,""),"")</f>
        <v/>
      </c>
      <c r="E386" s="28">
        <f>IFERROR(IF(AND(ISNUMBER(C386),ISNUMBER(C385),C385&lt;&gt;0),C386/C385-1,""),"")</f>
        <v/>
      </c>
      <c r="F386" s="28">
        <f>IFERROR(D386-Dashboard!$B$4/252,"")</f>
        <v/>
      </c>
      <c r="G386" s="28">
        <f>IFERROR(E386-Dashboard!$B$4/252,"")</f>
        <v/>
      </c>
      <c r="H386" s="8">
        <f>IFERROR(IF(ISNUMBER(B386),MAX(B386,IFERROR(H385,B386)),""),"")</f>
        <v/>
      </c>
      <c r="I386" s="29">
        <f>IFERROR(IF(AND(ISNUMBER(B386),ISNUMBER(H386)),B386/H386-1,""),"")</f>
        <v/>
      </c>
      <c r="J386" s="8">
        <f>IFERROR(IF(ISNUMBER(C386),MAX(C386,IFERROR(J385,C386)),""),"")</f>
        <v/>
      </c>
      <c r="K386" s="29">
        <f>IFERROR(IF(AND(ISNUMBER(C386),ISNUMBER(J386)),C386/J386-1,""),"")</f>
        <v/>
      </c>
      <c r="L386" s="28">
        <f>IFERROR(IF(AND(ISNUMBER(D386),ISNUMBER(E386)),D386-E386,""),"")</f>
        <v/>
      </c>
    </row>
    <row r="387">
      <c r="A387" s="7">
        <f>IFERROR(Datos!A387,"")</f>
        <v/>
      </c>
      <c r="B387" s="8">
        <f>IFERROR(Datos!B387,"")</f>
        <v/>
      </c>
      <c r="C387" s="8">
        <f>IFERROR(Datos!C387,"")</f>
        <v/>
      </c>
      <c r="D387" s="28">
        <f>IFERROR(IF(AND(ISNUMBER(B387),ISNUMBER(B386),B386&lt;&gt;0),B387/B386-1,""),"")</f>
        <v/>
      </c>
      <c r="E387" s="28">
        <f>IFERROR(IF(AND(ISNUMBER(C387),ISNUMBER(C386),C386&lt;&gt;0),C387/C386-1,""),"")</f>
        <v/>
      </c>
      <c r="F387" s="28">
        <f>IFERROR(D387-Dashboard!$B$4/252,"")</f>
        <v/>
      </c>
      <c r="G387" s="28">
        <f>IFERROR(E387-Dashboard!$B$4/252,"")</f>
        <v/>
      </c>
      <c r="H387" s="8">
        <f>IFERROR(IF(ISNUMBER(B387),MAX(B387,IFERROR(H386,B387)),""),"")</f>
        <v/>
      </c>
      <c r="I387" s="29">
        <f>IFERROR(IF(AND(ISNUMBER(B387),ISNUMBER(H387)),B387/H387-1,""),"")</f>
        <v/>
      </c>
      <c r="J387" s="8">
        <f>IFERROR(IF(ISNUMBER(C387),MAX(C387,IFERROR(J386,C387)),""),"")</f>
        <v/>
      </c>
      <c r="K387" s="29">
        <f>IFERROR(IF(AND(ISNUMBER(C387),ISNUMBER(J387)),C387/J387-1,""),"")</f>
        <v/>
      </c>
      <c r="L387" s="28">
        <f>IFERROR(IF(AND(ISNUMBER(D387),ISNUMBER(E387)),D387-E387,""),"")</f>
        <v/>
      </c>
    </row>
    <row r="388">
      <c r="A388" s="7">
        <f>IFERROR(Datos!A388,"")</f>
        <v/>
      </c>
      <c r="B388" s="8">
        <f>IFERROR(Datos!B388,"")</f>
        <v/>
      </c>
      <c r="C388" s="8">
        <f>IFERROR(Datos!C388,"")</f>
        <v/>
      </c>
      <c r="D388" s="28">
        <f>IFERROR(IF(AND(ISNUMBER(B388),ISNUMBER(B387),B387&lt;&gt;0),B388/B387-1,""),"")</f>
        <v/>
      </c>
      <c r="E388" s="28">
        <f>IFERROR(IF(AND(ISNUMBER(C388),ISNUMBER(C387),C387&lt;&gt;0),C388/C387-1,""),"")</f>
        <v/>
      </c>
      <c r="F388" s="28">
        <f>IFERROR(D388-Dashboard!$B$4/252,"")</f>
        <v/>
      </c>
      <c r="G388" s="28">
        <f>IFERROR(E388-Dashboard!$B$4/252,"")</f>
        <v/>
      </c>
      <c r="H388" s="8">
        <f>IFERROR(IF(ISNUMBER(B388),MAX(B388,IFERROR(H387,B388)),""),"")</f>
        <v/>
      </c>
      <c r="I388" s="29">
        <f>IFERROR(IF(AND(ISNUMBER(B388),ISNUMBER(H388)),B388/H388-1,""),"")</f>
        <v/>
      </c>
      <c r="J388" s="8">
        <f>IFERROR(IF(ISNUMBER(C388),MAX(C388,IFERROR(J387,C388)),""),"")</f>
        <v/>
      </c>
      <c r="K388" s="29">
        <f>IFERROR(IF(AND(ISNUMBER(C388),ISNUMBER(J388)),C388/J388-1,""),"")</f>
        <v/>
      </c>
      <c r="L388" s="28">
        <f>IFERROR(IF(AND(ISNUMBER(D388),ISNUMBER(E388)),D388-E388,""),"")</f>
        <v/>
      </c>
    </row>
    <row r="389">
      <c r="A389" s="7">
        <f>IFERROR(Datos!A389,"")</f>
        <v/>
      </c>
      <c r="B389" s="8">
        <f>IFERROR(Datos!B389,"")</f>
        <v/>
      </c>
      <c r="C389" s="8">
        <f>IFERROR(Datos!C389,"")</f>
        <v/>
      </c>
      <c r="D389" s="28">
        <f>IFERROR(IF(AND(ISNUMBER(B389),ISNUMBER(B388),B388&lt;&gt;0),B389/B388-1,""),"")</f>
        <v/>
      </c>
      <c r="E389" s="28">
        <f>IFERROR(IF(AND(ISNUMBER(C389),ISNUMBER(C388),C388&lt;&gt;0),C389/C388-1,""),"")</f>
        <v/>
      </c>
      <c r="F389" s="28">
        <f>IFERROR(D389-Dashboard!$B$4/252,"")</f>
        <v/>
      </c>
      <c r="G389" s="28">
        <f>IFERROR(E389-Dashboard!$B$4/252,"")</f>
        <v/>
      </c>
      <c r="H389" s="8">
        <f>IFERROR(IF(ISNUMBER(B389),MAX(B389,IFERROR(H388,B389)),""),"")</f>
        <v/>
      </c>
      <c r="I389" s="29">
        <f>IFERROR(IF(AND(ISNUMBER(B389),ISNUMBER(H389)),B389/H389-1,""),"")</f>
        <v/>
      </c>
      <c r="J389" s="8">
        <f>IFERROR(IF(ISNUMBER(C389),MAX(C389,IFERROR(J388,C389)),""),"")</f>
        <v/>
      </c>
      <c r="K389" s="29">
        <f>IFERROR(IF(AND(ISNUMBER(C389),ISNUMBER(J389)),C389/J389-1,""),"")</f>
        <v/>
      </c>
      <c r="L389" s="28">
        <f>IFERROR(IF(AND(ISNUMBER(D389),ISNUMBER(E389)),D389-E389,""),"")</f>
        <v/>
      </c>
    </row>
    <row r="390">
      <c r="A390" s="7">
        <f>IFERROR(Datos!A390,"")</f>
        <v/>
      </c>
      <c r="B390" s="8">
        <f>IFERROR(Datos!B390,"")</f>
        <v/>
      </c>
      <c r="C390" s="8">
        <f>IFERROR(Datos!C390,"")</f>
        <v/>
      </c>
      <c r="D390" s="28">
        <f>IFERROR(IF(AND(ISNUMBER(B390),ISNUMBER(B389),B389&lt;&gt;0),B390/B389-1,""),"")</f>
        <v/>
      </c>
      <c r="E390" s="28">
        <f>IFERROR(IF(AND(ISNUMBER(C390),ISNUMBER(C389),C389&lt;&gt;0),C390/C389-1,""),"")</f>
        <v/>
      </c>
      <c r="F390" s="28">
        <f>IFERROR(D390-Dashboard!$B$4/252,"")</f>
        <v/>
      </c>
      <c r="G390" s="28">
        <f>IFERROR(E390-Dashboard!$B$4/252,"")</f>
        <v/>
      </c>
      <c r="H390" s="8">
        <f>IFERROR(IF(ISNUMBER(B390),MAX(B390,IFERROR(H389,B390)),""),"")</f>
        <v/>
      </c>
      <c r="I390" s="29">
        <f>IFERROR(IF(AND(ISNUMBER(B390),ISNUMBER(H390)),B390/H390-1,""),"")</f>
        <v/>
      </c>
      <c r="J390" s="8">
        <f>IFERROR(IF(ISNUMBER(C390),MAX(C390,IFERROR(J389,C390)),""),"")</f>
        <v/>
      </c>
      <c r="K390" s="29">
        <f>IFERROR(IF(AND(ISNUMBER(C390),ISNUMBER(J390)),C390/J390-1,""),"")</f>
        <v/>
      </c>
      <c r="L390" s="28">
        <f>IFERROR(IF(AND(ISNUMBER(D390),ISNUMBER(E390)),D390-E390,""),"")</f>
        <v/>
      </c>
    </row>
    <row r="391">
      <c r="A391" s="7">
        <f>IFERROR(Datos!A391,"")</f>
        <v/>
      </c>
      <c r="B391" s="8">
        <f>IFERROR(Datos!B391,"")</f>
        <v/>
      </c>
      <c r="C391" s="8">
        <f>IFERROR(Datos!C391,"")</f>
        <v/>
      </c>
      <c r="D391" s="28">
        <f>IFERROR(IF(AND(ISNUMBER(B391),ISNUMBER(B390),B390&lt;&gt;0),B391/B390-1,""),"")</f>
        <v/>
      </c>
      <c r="E391" s="28">
        <f>IFERROR(IF(AND(ISNUMBER(C391),ISNUMBER(C390),C390&lt;&gt;0),C391/C390-1,""),"")</f>
        <v/>
      </c>
      <c r="F391" s="28">
        <f>IFERROR(D391-Dashboard!$B$4/252,"")</f>
        <v/>
      </c>
      <c r="G391" s="28">
        <f>IFERROR(E391-Dashboard!$B$4/252,"")</f>
        <v/>
      </c>
      <c r="H391" s="8">
        <f>IFERROR(IF(ISNUMBER(B391),MAX(B391,IFERROR(H390,B391)),""),"")</f>
        <v/>
      </c>
      <c r="I391" s="29">
        <f>IFERROR(IF(AND(ISNUMBER(B391),ISNUMBER(H391)),B391/H391-1,""),"")</f>
        <v/>
      </c>
      <c r="J391" s="8">
        <f>IFERROR(IF(ISNUMBER(C391),MAX(C391,IFERROR(J390,C391)),""),"")</f>
        <v/>
      </c>
      <c r="K391" s="29">
        <f>IFERROR(IF(AND(ISNUMBER(C391),ISNUMBER(J391)),C391/J391-1,""),"")</f>
        <v/>
      </c>
      <c r="L391" s="28">
        <f>IFERROR(IF(AND(ISNUMBER(D391),ISNUMBER(E391)),D391-E391,""),"")</f>
        <v/>
      </c>
    </row>
    <row r="392">
      <c r="A392" s="7">
        <f>IFERROR(Datos!A392,"")</f>
        <v/>
      </c>
      <c r="B392" s="8">
        <f>IFERROR(Datos!B392,"")</f>
        <v/>
      </c>
      <c r="C392" s="8">
        <f>IFERROR(Datos!C392,"")</f>
        <v/>
      </c>
      <c r="D392" s="28">
        <f>IFERROR(IF(AND(ISNUMBER(B392),ISNUMBER(B391),B391&lt;&gt;0),B392/B391-1,""),"")</f>
        <v/>
      </c>
      <c r="E392" s="28">
        <f>IFERROR(IF(AND(ISNUMBER(C392),ISNUMBER(C391),C391&lt;&gt;0),C392/C391-1,""),"")</f>
        <v/>
      </c>
      <c r="F392" s="28">
        <f>IFERROR(D392-Dashboard!$B$4/252,"")</f>
        <v/>
      </c>
      <c r="G392" s="28">
        <f>IFERROR(E392-Dashboard!$B$4/252,"")</f>
        <v/>
      </c>
      <c r="H392" s="8">
        <f>IFERROR(IF(ISNUMBER(B392),MAX(B392,IFERROR(H391,B392)),""),"")</f>
        <v/>
      </c>
      <c r="I392" s="29">
        <f>IFERROR(IF(AND(ISNUMBER(B392),ISNUMBER(H392)),B392/H392-1,""),"")</f>
        <v/>
      </c>
      <c r="J392" s="8">
        <f>IFERROR(IF(ISNUMBER(C392),MAX(C392,IFERROR(J391,C392)),""),"")</f>
        <v/>
      </c>
      <c r="K392" s="29">
        <f>IFERROR(IF(AND(ISNUMBER(C392),ISNUMBER(J392)),C392/J392-1,""),"")</f>
        <v/>
      </c>
      <c r="L392" s="28">
        <f>IFERROR(IF(AND(ISNUMBER(D392),ISNUMBER(E392)),D392-E392,""),"")</f>
        <v/>
      </c>
    </row>
    <row r="393">
      <c r="A393" s="7">
        <f>IFERROR(Datos!A393,"")</f>
        <v/>
      </c>
      <c r="B393" s="8">
        <f>IFERROR(Datos!B393,"")</f>
        <v/>
      </c>
      <c r="C393" s="8">
        <f>IFERROR(Datos!C393,"")</f>
        <v/>
      </c>
      <c r="D393" s="28">
        <f>IFERROR(IF(AND(ISNUMBER(B393),ISNUMBER(B392),B392&lt;&gt;0),B393/B392-1,""),"")</f>
        <v/>
      </c>
      <c r="E393" s="28">
        <f>IFERROR(IF(AND(ISNUMBER(C393),ISNUMBER(C392),C392&lt;&gt;0),C393/C392-1,""),"")</f>
        <v/>
      </c>
      <c r="F393" s="28">
        <f>IFERROR(D393-Dashboard!$B$4/252,"")</f>
        <v/>
      </c>
      <c r="G393" s="28">
        <f>IFERROR(E393-Dashboard!$B$4/252,"")</f>
        <v/>
      </c>
      <c r="H393" s="8">
        <f>IFERROR(IF(ISNUMBER(B393),MAX(B393,IFERROR(H392,B393)),""),"")</f>
        <v/>
      </c>
      <c r="I393" s="29">
        <f>IFERROR(IF(AND(ISNUMBER(B393),ISNUMBER(H393)),B393/H393-1,""),"")</f>
        <v/>
      </c>
      <c r="J393" s="8">
        <f>IFERROR(IF(ISNUMBER(C393),MAX(C393,IFERROR(J392,C393)),""),"")</f>
        <v/>
      </c>
      <c r="K393" s="29">
        <f>IFERROR(IF(AND(ISNUMBER(C393),ISNUMBER(J393)),C393/J393-1,""),"")</f>
        <v/>
      </c>
      <c r="L393" s="28">
        <f>IFERROR(IF(AND(ISNUMBER(D393),ISNUMBER(E393)),D393-E393,""),"")</f>
        <v/>
      </c>
    </row>
    <row r="394">
      <c r="A394" s="7">
        <f>IFERROR(Datos!A394,"")</f>
        <v/>
      </c>
      <c r="B394" s="8">
        <f>IFERROR(Datos!B394,"")</f>
        <v/>
      </c>
      <c r="C394" s="8">
        <f>IFERROR(Datos!C394,"")</f>
        <v/>
      </c>
      <c r="D394" s="28">
        <f>IFERROR(IF(AND(ISNUMBER(B394),ISNUMBER(B393),B393&lt;&gt;0),B394/B393-1,""),"")</f>
        <v/>
      </c>
      <c r="E394" s="28">
        <f>IFERROR(IF(AND(ISNUMBER(C394),ISNUMBER(C393),C393&lt;&gt;0),C394/C393-1,""),"")</f>
        <v/>
      </c>
      <c r="F394" s="28">
        <f>IFERROR(D394-Dashboard!$B$4/252,"")</f>
        <v/>
      </c>
      <c r="G394" s="28">
        <f>IFERROR(E394-Dashboard!$B$4/252,"")</f>
        <v/>
      </c>
      <c r="H394" s="8">
        <f>IFERROR(IF(ISNUMBER(B394),MAX(B394,IFERROR(H393,B394)),""),"")</f>
        <v/>
      </c>
      <c r="I394" s="29">
        <f>IFERROR(IF(AND(ISNUMBER(B394),ISNUMBER(H394)),B394/H394-1,""),"")</f>
        <v/>
      </c>
      <c r="J394" s="8">
        <f>IFERROR(IF(ISNUMBER(C394),MAX(C394,IFERROR(J393,C394)),""),"")</f>
        <v/>
      </c>
      <c r="K394" s="29">
        <f>IFERROR(IF(AND(ISNUMBER(C394),ISNUMBER(J394)),C394/J394-1,""),"")</f>
        <v/>
      </c>
      <c r="L394" s="28">
        <f>IFERROR(IF(AND(ISNUMBER(D394),ISNUMBER(E394)),D394-E394,""),"")</f>
        <v/>
      </c>
    </row>
    <row r="395">
      <c r="A395" s="7">
        <f>IFERROR(Datos!A395,"")</f>
        <v/>
      </c>
      <c r="B395" s="8">
        <f>IFERROR(Datos!B395,"")</f>
        <v/>
      </c>
      <c r="C395" s="8">
        <f>IFERROR(Datos!C395,"")</f>
        <v/>
      </c>
      <c r="D395" s="28">
        <f>IFERROR(IF(AND(ISNUMBER(B395),ISNUMBER(B394),B394&lt;&gt;0),B395/B394-1,""),"")</f>
        <v/>
      </c>
      <c r="E395" s="28">
        <f>IFERROR(IF(AND(ISNUMBER(C395),ISNUMBER(C394),C394&lt;&gt;0),C395/C394-1,""),"")</f>
        <v/>
      </c>
      <c r="F395" s="28">
        <f>IFERROR(D395-Dashboard!$B$4/252,"")</f>
        <v/>
      </c>
      <c r="G395" s="28">
        <f>IFERROR(E395-Dashboard!$B$4/252,"")</f>
        <v/>
      </c>
      <c r="H395" s="8">
        <f>IFERROR(IF(ISNUMBER(B395),MAX(B395,IFERROR(H394,B395)),""),"")</f>
        <v/>
      </c>
      <c r="I395" s="29">
        <f>IFERROR(IF(AND(ISNUMBER(B395),ISNUMBER(H395)),B395/H395-1,""),"")</f>
        <v/>
      </c>
      <c r="J395" s="8">
        <f>IFERROR(IF(ISNUMBER(C395),MAX(C395,IFERROR(J394,C395)),""),"")</f>
        <v/>
      </c>
      <c r="K395" s="29">
        <f>IFERROR(IF(AND(ISNUMBER(C395),ISNUMBER(J395)),C395/J395-1,""),"")</f>
        <v/>
      </c>
      <c r="L395" s="28">
        <f>IFERROR(IF(AND(ISNUMBER(D395),ISNUMBER(E395)),D395-E395,""),"")</f>
        <v/>
      </c>
    </row>
    <row r="396">
      <c r="A396" s="7">
        <f>IFERROR(Datos!A396,"")</f>
        <v/>
      </c>
      <c r="B396" s="8">
        <f>IFERROR(Datos!B396,"")</f>
        <v/>
      </c>
      <c r="C396" s="8">
        <f>IFERROR(Datos!C396,"")</f>
        <v/>
      </c>
      <c r="D396" s="28">
        <f>IFERROR(IF(AND(ISNUMBER(B396),ISNUMBER(B395),B395&lt;&gt;0),B396/B395-1,""),"")</f>
        <v/>
      </c>
      <c r="E396" s="28">
        <f>IFERROR(IF(AND(ISNUMBER(C396),ISNUMBER(C395),C395&lt;&gt;0),C396/C395-1,""),"")</f>
        <v/>
      </c>
      <c r="F396" s="28">
        <f>IFERROR(D396-Dashboard!$B$4/252,"")</f>
        <v/>
      </c>
      <c r="G396" s="28">
        <f>IFERROR(E396-Dashboard!$B$4/252,"")</f>
        <v/>
      </c>
      <c r="H396" s="8">
        <f>IFERROR(IF(ISNUMBER(B396),MAX(B396,IFERROR(H395,B396)),""),"")</f>
        <v/>
      </c>
      <c r="I396" s="29">
        <f>IFERROR(IF(AND(ISNUMBER(B396),ISNUMBER(H396)),B396/H396-1,""),"")</f>
        <v/>
      </c>
      <c r="J396" s="8">
        <f>IFERROR(IF(ISNUMBER(C396),MAX(C396,IFERROR(J395,C396)),""),"")</f>
        <v/>
      </c>
      <c r="K396" s="29">
        <f>IFERROR(IF(AND(ISNUMBER(C396),ISNUMBER(J396)),C396/J396-1,""),"")</f>
        <v/>
      </c>
      <c r="L396" s="28">
        <f>IFERROR(IF(AND(ISNUMBER(D396),ISNUMBER(E396)),D396-E396,""),"")</f>
        <v/>
      </c>
    </row>
    <row r="397">
      <c r="A397" s="7">
        <f>IFERROR(Datos!A397,"")</f>
        <v/>
      </c>
      <c r="B397" s="8">
        <f>IFERROR(Datos!B397,"")</f>
        <v/>
      </c>
      <c r="C397" s="8">
        <f>IFERROR(Datos!C397,"")</f>
        <v/>
      </c>
      <c r="D397" s="28">
        <f>IFERROR(IF(AND(ISNUMBER(B397),ISNUMBER(B396),B396&lt;&gt;0),B397/B396-1,""),"")</f>
        <v/>
      </c>
      <c r="E397" s="28">
        <f>IFERROR(IF(AND(ISNUMBER(C397),ISNUMBER(C396),C396&lt;&gt;0),C397/C396-1,""),"")</f>
        <v/>
      </c>
      <c r="F397" s="28">
        <f>IFERROR(D397-Dashboard!$B$4/252,"")</f>
        <v/>
      </c>
      <c r="G397" s="28">
        <f>IFERROR(E397-Dashboard!$B$4/252,"")</f>
        <v/>
      </c>
      <c r="H397" s="8">
        <f>IFERROR(IF(ISNUMBER(B397),MAX(B397,IFERROR(H396,B397)),""),"")</f>
        <v/>
      </c>
      <c r="I397" s="29">
        <f>IFERROR(IF(AND(ISNUMBER(B397),ISNUMBER(H397)),B397/H397-1,""),"")</f>
        <v/>
      </c>
      <c r="J397" s="8">
        <f>IFERROR(IF(ISNUMBER(C397),MAX(C397,IFERROR(J396,C397)),""),"")</f>
        <v/>
      </c>
      <c r="K397" s="29">
        <f>IFERROR(IF(AND(ISNUMBER(C397),ISNUMBER(J397)),C397/J397-1,""),"")</f>
        <v/>
      </c>
      <c r="L397" s="28">
        <f>IFERROR(IF(AND(ISNUMBER(D397),ISNUMBER(E397)),D397-E397,""),"")</f>
        <v/>
      </c>
    </row>
    <row r="398">
      <c r="A398" s="7">
        <f>IFERROR(Datos!A398,"")</f>
        <v/>
      </c>
      <c r="B398" s="8">
        <f>IFERROR(Datos!B398,"")</f>
        <v/>
      </c>
      <c r="C398" s="8">
        <f>IFERROR(Datos!C398,"")</f>
        <v/>
      </c>
      <c r="D398" s="28">
        <f>IFERROR(IF(AND(ISNUMBER(B398),ISNUMBER(B397),B397&lt;&gt;0),B398/B397-1,""),"")</f>
        <v/>
      </c>
      <c r="E398" s="28">
        <f>IFERROR(IF(AND(ISNUMBER(C398),ISNUMBER(C397),C397&lt;&gt;0),C398/C397-1,""),"")</f>
        <v/>
      </c>
      <c r="F398" s="28">
        <f>IFERROR(D398-Dashboard!$B$4/252,"")</f>
        <v/>
      </c>
      <c r="G398" s="28">
        <f>IFERROR(E398-Dashboard!$B$4/252,"")</f>
        <v/>
      </c>
      <c r="H398" s="8">
        <f>IFERROR(IF(ISNUMBER(B398),MAX(B398,IFERROR(H397,B398)),""),"")</f>
        <v/>
      </c>
      <c r="I398" s="29">
        <f>IFERROR(IF(AND(ISNUMBER(B398),ISNUMBER(H398)),B398/H398-1,""),"")</f>
        <v/>
      </c>
      <c r="J398" s="8">
        <f>IFERROR(IF(ISNUMBER(C398),MAX(C398,IFERROR(J397,C398)),""),"")</f>
        <v/>
      </c>
      <c r="K398" s="29">
        <f>IFERROR(IF(AND(ISNUMBER(C398),ISNUMBER(J398)),C398/J398-1,""),"")</f>
        <v/>
      </c>
      <c r="L398" s="28">
        <f>IFERROR(IF(AND(ISNUMBER(D398),ISNUMBER(E398)),D398-E398,""),"")</f>
        <v/>
      </c>
    </row>
    <row r="399">
      <c r="A399" s="7">
        <f>IFERROR(Datos!A399,"")</f>
        <v/>
      </c>
      <c r="B399" s="8">
        <f>IFERROR(Datos!B399,"")</f>
        <v/>
      </c>
      <c r="C399" s="8">
        <f>IFERROR(Datos!C399,"")</f>
        <v/>
      </c>
      <c r="D399" s="28">
        <f>IFERROR(IF(AND(ISNUMBER(B399),ISNUMBER(B398),B398&lt;&gt;0),B399/B398-1,""),"")</f>
        <v/>
      </c>
      <c r="E399" s="28">
        <f>IFERROR(IF(AND(ISNUMBER(C399),ISNUMBER(C398),C398&lt;&gt;0),C399/C398-1,""),"")</f>
        <v/>
      </c>
      <c r="F399" s="28">
        <f>IFERROR(D399-Dashboard!$B$4/252,"")</f>
        <v/>
      </c>
      <c r="G399" s="28">
        <f>IFERROR(E399-Dashboard!$B$4/252,"")</f>
        <v/>
      </c>
      <c r="H399" s="8">
        <f>IFERROR(IF(ISNUMBER(B399),MAX(B399,IFERROR(H398,B399)),""),"")</f>
        <v/>
      </c>
      <c r="I399" s="29">
        <f>IFERROR(IF(AND(ISNUMBER(B399),ISNUMBER(H399)),B399/H399-1,""),"")</f>
        <v/>
      </c>
      <c r="J399" s="8">
        <f>IFERROR(IF(ISNUMBER(C399),MAX(C399,IFERROR(J398,C399)),""),"")</f>
        <v/>
      </c>
      <c r="K399" s="29">
        <f>IFERROR(IF(AND(ISNUMBER(C399),ISNUMBER(J399)),C399/J399-1,""),"")</f>
        <v/>
      </c>
      <c r="L399" s="28">
        <f>IFERROR(IF(AND(ISNUMBER(D399),ISNUMBER(E399)),D399-E399,""),"")</f>
        <v/>
      </c>
    </row>
    <row r="400">
      <c r="A400" s="7">
        <f>IFERROR(Datos!A400,"")</f>
        <v/>
      </c>
      <c r="B400" s="8">
        <f>IFERROR(Datos!B400,"")</f>
        <v/>
      </c>
      <c r="C400" s="8">
        <f>IFERROR(Datos!C400,"")</f>
        <v/>
      </c>
      <c r="D400" s="28">
        <f>IFERROR(IF(AND(ISNUMBER(B400),ISNUMBER(B399),B399&lt;&gt;0),B400/B399-1,""),"")</f>
        <v/>
      </c>
      <c r="E400" s="28">
        <f>IFERROR(IF(AND(ISNUMBER(C400),ISNUMBER(C399),C399&lt;&gt;0),C400/C399-1,""),"")</f>
        <v/>
      </c>
      <c r="F400" s="28">
        <f>IFERROR(D400-Dashboard!$B$4/252,"")</f>
        <v/>
      </c>
      <c r="G400" s="28">
        <f>IFERROR(E400-Dashboard!$B$4/252,"")</f>
        <v/>
      </c>
      <c r="H400" s="8">
        <f>IFERROR(IF(ISNUMBER(B400),MAX(B400,IFERROR(H399,B400)),""),"")</f>
        <v/>
      </c>
      <c r="I400" s="29">
        <f>IFERROR(IF(AND(ISNUMBER(B400),ISNUMBER(H400)),B400/H400-1,""),"")</f>
        <v/>
      </c>
      <c r="J400" s="8">
        <f>IFERROR(IF(ISNUMBER(C400),MAX(C400,IFERROR(J399,C400)),""),"")</f>
        <v/>
      </c>
      <c r="K400" s="29">
        <f>IFERROR(IF(AND(ISNUMBER(C400),ISNUMBER(J400)),C400/J400-1,""),"")</f>
        <v/>
      </c>
      <c r="L400" s="28">
        <f>IFERROR(IF(AND(ISNUMBER(D400),ISNUMBER(E400)),D400-E400,""),"")</f>
        <v/>
      </c>
    </row>
    <row r="401">
      <c r="A401" s="7">
        <f>IFERROR(Datos!A401,"")</f>
        <v/>
      </c>
      <c r="B401" s="8">
        <f>IFERROR(Datos!B401,"")</f>
        <v/>
      </c>
      <c r="C401" s="8">
        <f>IFERROR(Datos!C401,"")</f>
        <v/>
      </c>
      <c r="D401" s="28">
        <f>IFERROR(IF(AND(ISNUMBER(B401),ISNUMBER(B400),B400&lt;&gt;0),B401/B400-1,""),"")</f>
        <v/>
      </c>
      <c r="E401" s="28">
        <f>IFERROR(IF(AND(ISNUMBER(C401),ISNUMBER(C400),C400&lt;&gt;0),C401/C400-1,""),"")</f>
        <v/>
      </c>
      <c r="F401" s="28">
        <f>IFERROR(D401-Dashboard!$B$4/252,"")</f>
        <v/>
      </c>
      <c r="G401" s="28">
        <f>IFERROR(E401-Dashboard!$B$4/252,"")</f>
        <v/>
      </c>
      <c r="H401" s="8">
        <f>IFERROR(IF(ISNUMBER(B401),MAX(B401,IFERROR(H400,B401)),""),"")</f>
        <v/>
      </c>
      <c r="I401" s="29">
        <f>IFERROR(IF(AND(ISNUMBER(B401),ISNUMBER(H401)),B401/H401-1,""),"")</f>
        <v/>
      </c>
      <c r="J401" s="8">
        <f>IFERROR(IF(ISNUMBER(C401),MAX(C401,IFERROR(J400,C401)),""),"")</f>
        <v/>
      </c>
      <c r="K401" s="29">
        <f>IFERROR(IF(AND(ISNUMBER(C401),ISNUMBER(J401)),C401/J401-1,""),"")</f>
        <v/>
      </c>
      <c r="L401" s="28">
        <f>IFERROR(IF(AND(ISNUMBER(D401),ISNUMBER(E401)),D401-E401,""),"")</f>
        <v/>
      </c>
    </row>
    <row r="402">
      <c r="A402" s="7">
        <f>IFERROR(Datos!A402,"")</f>
        <v/>
      </c>
      <c r="B402" s="8">
        <f>IFERROR(Datos!B402,"")</f>
        <v/>
      </c>
      <c r="C402" s="8">
        <f>IFERROR(Datos!C402,"")</f>
        <v/>
      </c>
      <c r="D402" s="28">
        <f>IFERROR(IF(AND(ISNUMBER(B402),ISNUMBER(B401),B401&lt;&gt;0),B402/B401-1,""),"")</f>
        <v/>
      </c>
      <c r="E402" s="28">
        <f>IFERROR(IF(AND(ISNUMBER(C402),ISNUMBER(C401),C401&lt;&gt;0),C402/C401-1,""),"")</f>
        <v/>
      </c>
      <c r="F402" s="28">
        <f>IFERROR(D402-Dashboard!$B$4/252,"")</f>
        <v/>
      </c>
      <c r="G402" s="28">
        <f>IFERROR(E402-Dashboard!$B$4/252,"")</f>
        <v/>
      </c>
      <c r="H402" s="8">
        <f>IFERROR(IF(ISNUMBER(B402),MAX(B402,IFERROR(H401,B402)),""),"")</f>
        <v/>
      </c>
      <c r="I402" s="29">
        <f>IFERROR(IF(AND(ISNUMBER(B402),ISNUMBER(H402)),B402/H402-1,""),"")</f>
        <v/>
      </c>
      <c r="J402" s="8">
        <f>IFERROR(IF(ISNUMBER(C402),MAX(C402,IFERROR(J401,C402)),""),"")</f>
        <v/>
      </c>
      <c r="K402" s="29">
        <f>IFERROR(IF(AND(ISNUMBER(C402),ISNUMBER(J402)),C402/J402-1,""),"")</f>
        <v/>
      </c>
      <c r="L402" s="28">
        <f>IFERROR(IF(AND(ISNUMBER(D402),ISNUMBER(E402)),D402-E402,""),"")</f>
        <v/>
      </c>
    </row>
    <row r="403">
      <c r="A403" s="7">
        <f>IFERROR(Datos!A403,"")</f>
        <v/>
      </c>
      <c r="B403" s="8">
        <f>IFERROR(Datos!B403,"")</f>
        <v/>
      </c>
      <c r="C403" s="8">
        <f>IFERROR(Datos!C403,"")</f>
        <v/>
      </c>
      <c r="D403" s="28">
        <f>IFERROR(IF(AND(ISNUMBER(B403),ISNUMBER(B402),B402&lt;&gt;0),B403/B402-1,""),"")</f>
        <v/>
      </c>
      <c r="E403" s="28">
        <f>IFERROR(IF(AND(ISNUMBER(C403),ISNUMBER(C402),C402&lt;&gt;0),C403/C402-1,""),"")</f>
        <v/>
      </c>
      <c r="F403" s="28">
        <f>IFERROR(D403-Dashboard!$B$4/252,"")</f>
        <v/>
      </c>
      <c r="G403" s="28">
        <f>IFERROR(E403-Dashboard!$B$4/252,"")</f>
        <v/>
      </c>
      <c r="H403" s="8">
        <f>IFERROR(IF(ISNUMBER(B403),MAX(B403,IFERROR(H402,B403)),""),"")</f>
        <v/>
      </c>
      <c r="I403" s="29">
        <f>IFERROR(IF(AND(ISNUMBER(B403),ISNUMBER(H403)),B403/H403-1,""),"")</f>
        <v/>
      </c>
      <c r="J403" s="8">
        <f>IFERROR(IF(ISNUMBER(C403),MAX(C403,IFERROR(J402,C403)),""),"")</f>
        <v/>
      </c>
      <c r="K403" s="29">
        <f>IFERROR(IF(AND(ISNUMBER(C403),ISNUMBER(J403)),C403/J403-1,""),"")</f>
        <v/>
      </c>
      <c r="L403" s="28">
        <f>IFERROR(IF(AND(ISNUMBER(D403),ISNUMBER(E403)),D403-E403,""),"")</f>
        <v/>
      </c>
    </row>
    <row r="404">
      <c r="A404" s="7">
        <f>IFERROR(Datos!A404,"")</f>
        <v/>
      </c>
      <c r="B404" s="8">
        <f>IFERROR(Datos!B404,"")</f>
        <v/>
      </c>
      <c r="C404" s="8">
        <f>IFERROR(Datos!C404,"")</f>
        <v/>
      </c>
      <c r="D404" s="28">
        <f>IFERROR(IF(AND(ISNUMBER(B404),ISNUMBER(B403),B403&lt;&gt;0),B404/B403-1,""),"")</f>
        <v/>
      </c>
      <c r="E404" s="28">
        <f>IFERROR(IF(AND(ISNUMBER(C404),ISNUMBER(C403),C403&lt;&gt;0),C404/C403-1,""),"")</f>
        <v/>
      </c>
      <c r="F404" s="28">
        <f>IFERROR(D404-Dashboard!$B$4/252,"")</f>
        <v/>
      </c>
      <c r="G404" s="28">
        <f>IFERROR(E404-Dashboard!$B$4/252,"")</f>
        <v/>
      </c>
      <c r="H404" s="8">
        <f>IFERROR(IF(ISNUMBER(B404),MAX(B404,IFERROR(H403,B404)),""),"")</f>
        <v/>
      </c>
      <c r="I404" s="29">
        <f>IFERROR(IF(AND(ISNUMBER(B404),ISNUMBER(H404)),B404/H404-1,""),"")</f>
        <v/>
      </c>
      <c r="J404" s="8">
        <f>IFERROR(IF(ISNUMBER(C404),MAX(C404,IFERROR(J403,C404)),""),"")</f>
        <v/>
      </c>
      <c r="K404" s="29">
        <f>IFERROR(IF(AND(ISNUMBER(C404),ISNUMBER(J404)),C404/J404-1,""),"")</f>
        <v/>
      </c>
      <c r="L404" s="28">
        <f>IFERROR(IF(AND(ISNUMBER(D404),ISNUMBER(E404)),D404-E404,""),"")</f>
        <v/>
      </c>
    </row>
    <row r="405">
      <c r="A405" s="7">
        <f>IFERROR(Datos!A405,"")</f>
        <v/>
      </c>
      <c r="B405" s="8">
        <f>IFERROR(Datos!B405,"")</f>
        <v/>
      </c>
      <c r="C405" s="8">
        <f>IFERROR(Datos!C405,"")</f>
        <v/>
      </c>
      <c r="D405" s="28">
        <f>IFERROR(IF(AND(ISNUMBER(B405),ISNUMBER(B404),B404&lt;&gt;0),B405/B404-1,""),"")</f>
        <v/>
      </c>
      <c r="E405" s="28">
        <f>IFERROR(IF(AND(ISNUMBER(C405),ISNUMBER(C404),C404&lt;&gt;0),C405/C404-1,""),"")</f>
        <v/>
      </c>
      <c r="F405" s="28">
        <f>IFERROR(D405-Dashboard!$B$4/252,"")</f>
        <v/>
      </c>
      <c r="G405" s="28">
        <f>IFERROR(E405-Dashboard!$B$4/252,"")</f>
        <v/>
      </c>
      <c r="H405" s="8">
        <f>IFERROR(IF(ISNUMBER(B405),MAX(B405,IFERROR(H404,B405)),""),"")</f>
        <v/>
      </c>
      <c r="I405" s="29">
        <f>IFERROR(IF(AND(ISNUMBER(B405),ISNUMBER(H405)),B405/H405-1,""),"")</f>
        <v/>
      </c>
      <c r="J405" s="8">
        <f>IFERROR(IF(ISNUMBER(C405),MAX(C405,IFERROR(J404,C405)),""),"")</f>
        <v/>
      </c>
      <c r="K405" s="29">
        <f>IFERROR(IF(AND(ISNUMBER(C405),ISNUMBER(J405)),C405/J405-1,""),"")</f>
        <v/>
      </c>
      <c r="L405" s="28">
        <f>IFERROR(IF(AND(ISNUMBER(D405),ISNUMBER(E405)),D405-E405,""),"")</f>
        <v/>
      </c>
    </row>
    <row r="406">
      <c r="A406" s="7">
        <f>IFERROR(Datos!A406,"")</f>
        <v/>
      </c>
      <c r="B406" s="8">
        <f>IFERROR(Datos!B406,"")</f>
        <v/>
      </c>
      <c r="C406" s="8">
        <f>IFERROR(Datos!C406,"")</f>
        <v/>
      </c>
      <c r="D406" s="28">
        <f>IFERROR(IF(AND(ISNUMBER(B406),ISNUMBER(B405),B405&lt;&gt;0),B406/B405-1,""),"")</f>
        <v/>
      </c>
      <c r="E406" s="28">
        <f>IFERROR(IF(AND(ISNUMBER(C406),ISNUMBER(C405),C405&lt;&gt;0),C406/C405-1,""),"")</f>
        <v/>
      </c>
      <c r="F406" s="28">
        <f>IFERROR(D406-Dashboard!$B$4/252,"")</f>
        <v/>
      </c>
      <c r="G406" s="28">
        <f>IFERROR(E406-Dashboard!$B$4/252,"")</f>
        <v/>
      </c>
      <c r="H406" s="8">
        <f>IFERROR(IF(ISNUMBER(B406),MAX(B406,IFERROR(H405,B406)),""),"")</f>
        <v/>
      </c>
      <c r="I406" s="29">
        <f>IFERROR(IF(AND(ISNUMBER(B406),ISNUMBER(H406)),B406/H406-1,""),"")</f>
        <v/>
      </c>
      <c r="J406" s="8">
        <f>IFERROR(IF(ISNUMBER(C406),MAX(C406,IFERROR(J405,C406)),""),"")</f>
        <v/>
      </c>
      <c r="K406" s="29">
        <f>IFERROR(IF(AND(ISNUMBER(C406),ISNUMBER(J406)),C406/J406-1,""),"")</f>
        <v/>
      </c>
      <c r="L406" s="28">
        <f>IFERROR(IF(AND(ISNUMBER(D406),ISNUMBER(E406)),D406-E406,""),"")</f>
        <v/>
      </c>
    </row>
    <row r="407">
      <c r="A407" s="7">
        <f>IFERROR(Datos!A407,"")</f>
        <v/>
      </c>
      <c r="B407" s="8">
        <f>IFERROR(Datos!B407,"")</f>
        <v/>
      </c>
      <c r="C407" s="8">
        <f>IFERROR(Datos!C407,"")</f>
        <v/>
      </c>
      <c r="D407" s="28">
        <f>IFERROR(IF(AND(ISNUMBER(B407),ISNUMBER(B406),B406&lt;&gt;0),B407/B406-1,""),"")</f>
        <v/>
      </c>
      <c r="E407" s="28">
        <f>IFERROR(IF(AND(ISNUMBER(C407),ISNUMBER(C406),C406&lt;&gt;0),C407/C406-1,""),"")</f>
        <v/>
      </c>
      <c r="F407" s="28">
        <f>IFERROR(D407-Dashboard!$B$4/252,"")</f>
        <v/>
      </c>
      <c r="G407" s="28">
        <f>IFERROR(E407-Dashboard!$B$4/252,"")</f>
        <v/>
      </c>
      <c r="H407" s="8">
        <f>IFERROR(IF(ISNUMBER(B407),MAX(B407,IFERROR(H406,B407)),""),"")</f>
        <v/>
      </c>
      <c r="I407" s="29">
        <f>IFERROR(IF(AND(ISNUMBER(B407),ISNUMBER(H407)),B407/H407-1,""),"")</f>
        <v/>
      </c>
      <c r="J407" s="8">
        <f>IFERROR(IF(ISNUMBER(C407),MAX(C407,IFERROR(J406,C407)),""),"")</f>
        <v/>
      </c>
      <c r="K407" s="29">
        <f>IFERROR(IF(AND(ISNUMBER(C407),ISNUMBER(J407)),C407/J407-1,""),"")</f>
        <v/>
      </c>
      <c r="L407" s="28">
        <f>IFERROR(IF(AND(ISNUMBER(D407),ISNUMBER(E407)),D407-E407,""),"")</f>
        <v/>
      </c>
    </row>
    <row r="408">
      <c r="A408" s="7">
        <f>IFERROR(Datos!A408,"")</f>
        <v/>
      </c>
      <c r="B408" s="8">
        <f>IFERROR(Datos!B408,"")</f>
        <v/>
      </c>
      <c r="C408" s="8">
        <f>IFERROR(Datos!C408,"")</f>
        <v/>
      </c>
      <c r="D408" s="28">
        <f>IFERROR(IF(AND(ISNUMBER(B408),ISNUMBER(B407),B407&lt;&gt;0),B408/B407-1,""),"")</f>
        <v/>
      </c>
      <c r="E408" s="28">
        <f>IFERROR(IF(AND(ISNUMBER(C408),ISNUMBER(C407),C407&lt;&gt;0),C408/C407-1,""),"")</f>
        <v/>
      </c>
      <c r="F408" s="28">
        <f>IFERROR(D408-Dashboard!$B$4/252,"")</f>
        <v/>
      </c>
      <c r="G408" s="28">
        <f>IFERROR(E408-Dashboard!$B$4/252,"")</f>
        <v/>
      </c>
      <c r="H408" s="8">
        <f>IFERROR(IF(ISNUMBER(B408),MAX(B408,IFERROR(H407,B408)),""),"")</f>
        <v/>
      </c>
      <c r="I408" s="29">
        <f>IFERROR(IF(AND(ISNUMBER(B408),ISNUMBER(H408)),B408/H408-1,""),"")</f>
        <v/>
      </c>
      <c r="J408" s="8">
        <f>IFERROR(IF(ISNUMBER(C408),MAX(C408,IFERROR(J407,C408)),""),"")</f>
        <v/>
      </c>
      <c r="K408" s="29">
        <f>IFERROR(IF(AND(ISNUMBER(C408),ISNUMBER(J408)),C408/J408-1,""),"")</f>
        <v/>
      </c>
      <c r="L408" s="28">
        <f>IFERROR(IF(AND(ISNUMBER(D408),ISNUMBER(E408)),D408-E408,""),"")</f>
        <v/>
      </c>
    </row>
    <row r="409">
      <c r="A409" s="7">
        <f>IFERROR(Datos!A409,"")</f>
        <v/>
      </c>
      <c r="B409" s="8">
        <f>IFERROR(Datos!B409,"")</f>
        <v/>
      </c>
      <c r="C409" s="8">
        <f>IFERROR(Datos!C409,"")</f>
        <v/>
      </c>
      <c r="D409" s="28">
        <f>IFERROR(IF(AND(ISNUMBER(B409),ISNUMBER(B408),B408&lt;&gt;0),B409/B408-1,""),"")</f>
        <v/>
      </c>
      <c r="E409" s="28">
        <f>IFERROR(IF(AND(ISNUMBER(C409),ISNUMBER(C408),C408&lt;&gt;0),C409/C408-1,""),"")</f>
        <v/>
      </c>
      <c r="F409" s="28">
        <f>IFERROR(D409-Dashboard!$B$4/252,"")</f>
        <v/>
      </c>
      <c r="G409" s="28">
        <f>IFERROR(E409-Dashboard!$B$4/252,"")</f>
        <v/>
      </c>
      <c r="H409" s="8">
        <f>IFERROR(IF(ISNUMBER(B409),MAX(B409,IFERROR(H408,B409)),""),"")</f>
        <v/>
      </c>
      <c r="I409" s="29">
        <f>IFERROR(IF(AND(ISNUMBER(B409),ISNUMBER(H409)),B409/H409-1,""),"")</f>
        <v/>
      </c>
      <c r="J409" s="8">
        <f>IFERROR(IF(ISNUMBER(C409),MAX(C409,IFERROR(J408,C409)),""),"")</f>
        <v/>
      </c>
      <c r="K409" s="29">
        <f>IFERROR(IF(AND(ISNUMBER(C409),ISNUMBER(J409)),C409/J409-1,""),"")</f>
        <v/>
      </c>
      <c r="L409" s="28">
        <f>IFERROR(IF(AND(ISNUMBER(D409),ISNUMBER(E409)),D409-E409,""),"")</f>
        <v/>
      </c>
    </row>
    <row r="410">
      <c r="A410" s="7">
        <f>IFERROR(Datos!A410,"")</f>
        <v/>
      </c>
      <c r="B410" s="8">
        <f>IFERROR(Datos!B410,"")</f>
        <v/>
      </c>
      <c r="C410" s="8">
        <f>IFERROR(Datos!C410,"")</f>
        <v/>
      </c>
      <c r="D410" s="28">
        <f>IFERROR(IF(AND(ISNUMBER(B410),ISNUMBER(B409),B409&lt;&gt;0),B410/B409-1,""),"")</f>
        <v/>
      </c>
      <c r="E410" s="28">
        <f>IFERROR(IF(AND(ISNUMBER(C410),ISNUMBER(C409),C409&lt;&gt;0),C410/C409-1,""),"")</f>
        <v/>
      </c>
      <c r="F410" s="28">
        <f>IFERROR(D410-Dashboard!$B$4/252,"")</f>
        <v/>
      </c>
      <c r="G410" s="28">
        <f>IFERROR(E410-Dashboard!$B$4/252,"")</f>
        <v/>
      </c>
      <c r="H410" s="8">
        <f>IFERROR(IF(ISNUMBER(B410),MAX(B410,IFERROR(H409,B410)),""),"")</f>
        <v/>
      </c>
      <c r="I410" s="29">
        <f>IFERROR(IF(AND(ISNUMBER(B410),ISNUMBER(H410)),B410/H410-1,""),"")</f>
        <v/>
      </c>
      <c r="J410" s="8">
        <f>IFERROR(IF(ISNUMBER(C410),MAX(C410,IFERROR(J409,C410)),""),"")</f>
        <v/>
      </c>
      <c r="K410" s="29">
        <f>IFERROR(IF(AND(ISNUMBER(C410),ISNUMBER(J410)),C410/J410-1,""),"")</f>
        <v/>
      </c>
      <c r="L410" s="28">
        <f>IFERROR(IF(AND(ISNUMBER(D410),ISNUMBER(E410)),D410-E410,""),"")</f>
        <v/>
      </c>
    </row>
    <row r="411">
      <c r="A411" s="7">
        <f>IFERROR(Datos!A411,"")</f>
        <v/>
      </c>
      <c r="B411" s="8">
        <f>IFERROR(Datos!B411,"")</f>
        <v/>
      </c>
      <c r="C411" s="8">
        <f>IFERROR(Datos!C411,"")</f>
        <v/>
      </c>
      <c r="D411" s="28">
        <f>IFERROR(IF(AND(ISNUMBER(B411),ISNUMBER(B410),B410&lt;&gt;0),B411/B410-1,""),"")</f>
        <v/>
      </c>
      <c r="E411" s="28">
        <f>IFERROR(IF(AND(ISNUMBER(C411),ISNUMBER(C410),C410&lt;&gt;0),C411/C410-1,""),"")</f>
        <v/>
      </c>
      <c r="F411" s="28">
        <f>IFERROR(D411-Dashboard!$B$4/252,"")</f>
        <v/>
      </c>
      <c r="G411" s="28">
        <f>IFERROR(E411-Dashboard!$B$4/252,"")</f>
        <v/>
      </c>
      <c r="H411" s="8">
        <f>IFERROR(IF(ISNUMBER(B411),MAX(B411,IFERROR(H410,B411)),""),"")</f>
        <v/>
      </c>
      <c r="I411" s="29">
        <f>IFERROR(IF(AND(ISNUMBER(B411),ISNUMBER(H411)),B411/H411-1,""),"")</f>
        <v/>
      </c>
      <c r="J411" s="8">
        <f>IFERROR(IF(ISNUMBER(C411),MAX(C411,IFERROR(J410,C411)),""),"")</f>
        <v/>
      </c>
      <c r="K411" s="29">
        <f>IFERROR(IF(AND(ISNUMBER(C411),ISNUMBER(J411)),C411/J411-1,""),"")</f>
        <v/>
      </c>
      <c r="L411" s="28">
        <f>IFERROR(IF(AND(ISNUMBER(D411),ISNUMBER(E411)),D411-E411,""),"")</f>
        <v/>
      </c>
    </row>
    <row r="412">
      <c r="A412" s="7">
        <f>IFERROR(Datos!A412,"")</f>
        <v/>
      </c>
      <c r="B412" s="8">
        <f>IFERROR(Datos!B412,"")</f>
        <v/>
      </c>
      <c r="C412" s="8">
        <f>IFERROR(Datos!C412,"")</f>
        <v/>
      </c>
      <c r="D412" s="28">
        <f>IFERROR(IF(AND(ISNUMBER(B412),ISNUMBER(B411),B411&lt;&gt;0),B412/B411-1,""),"")</f>
        <v/>
      </c>
      <c r="E412" s="28">
        <f>IFERROR(IF(AND(ISNUMBER(C412),ISNUMBER(C411),C411&lt;&gt;0),C412/C411-1,""),"")</f>
        <v/>
      </c>
      <c r="F412" s="28">
        <f>IFERROR(D412-Dashboard!$B$4/252,"")</f>
        <v/>
      </c>
      <c r="G412" s="28">
        <f>IFERROR(E412-Dashboard!$B$4/252,"")</f>
        <v/>
      </c>
      <c r="H412" s="8">
        <f>IFERROR(IF(ISNUMBER(B412),MAX(B412,IFERROR(H411,B412)),""),"")</f>
        <v/>
      </c>
      <c r="I412" s="29">
        <f>IFERROR(IF(AND(ISNUMBER(B412),ISNUMBER(H412)),B412/H412-1,""),"")</f>
        <v/>
      </c>
      <c r="J412" s="8">
        <f>IFERROR(IF(ISNUMBER(C412),MAX(C412,IFERROR(J411,C412)),""),"")</f>
        <v/>
      </c>
      <c r="K412" s="29">
        <f>IFERROR(IF(AND(ISNUMBER(C412),ISNUMBER(J412)),C412/J412-1,""),"")</f>
        <v/>
      </c>
      <c r="L412" s="28">
        <f>IFERROR(IF(AND(ISNUMBER(D412),ISNUMBER(E412)),D412-E412,""),"")</f>
        <v/>
      </c>
    </row>
    <row r="413">
      <c r="A413" s="7">
        <f>IFERROR(Datos!A413,"")</f>
        <v/>
      </c>
      <c r="B413" s="8">
        <f>IFERROR(Datos!B413,"")</f>
        <v/>
      </c>
      <c r="C413" s="8">
        <f>IFERROR(Datos!C413,"")</f>
        <v/>
      </c>
      <c r="D413" s="28">
        <f>IFERROR(IF(AND(ISNUMBER(B413),ISNUMBER(B412),B412&lt;&gt;0),B413/B412-1,""),"")</f>
        <v/>
      </c>
      <c r="E413" s="28">
        <f>IFERROR(IF(AND(ISNUMBER(C413),ISNUMBER(C412),C412&lt;&gt;0),C413/C412-1,""),"")</f>
        <v/>
      </c>
      <c r="F413" s="28">
        <f>IFERROR(D413-Dashboard!$B$4/252,"")</f>
        <v/>
      </c>
      <c r="G413" s="28">
        <f>IFERROR(E413-Dashboard!$B$4/252,"")</f>
        <v/>
      </c>
      <c r="H413" s="8">
        <f>IFERROR(IF(ISNUMBER(B413),MAX(B413,IFERROR(H412,B413)),""),"")</f>
        <v/>
      </c>
      <c r="I413" s="29">
        <f>IFERROR(IF(AND(ISNUMBER(B413),ISNUMBER(H413)),B413/H413-1,""),"")</f>
        <v/>
      </c>
      <c r="J413" s="8">
        <f>IFERROR(IF(ISNUMBER(C413),MAX(C413,IFERROR(J412,C413)),""),"")</f>
        <v/>
      </c>
      <c r="K413" s="29">
        <f>IFERROR(IF(AND(ISNUMBER(C413),ISNUMBER(J413)),C413/J413-1,""),"")</f>
        <v/>
      </c>
      <c r="L413" s="28">
        <f>IFERROR(IF(AND(ISNUMBER(D413),ISNUMBER(E413)),D413-E413,""),"")</f>
        <v/>
      </c>
    </row>
    <row r="414">
      <c r="A414" s="7">
        <f>IFERROR(Datos!A414,"")</f>
        <v/>
      </c>
      <c r="B414" s="8">
        <f>IFERROR(Datos!B414,"")</f>
        <v/>
      </c>
      <c r="C414" s="8">
        <f>IFERROR(Datos!C414,"")</f>
        <v/>
      </c>
      <c r="D414" s="28">
        <f>IFERROR(IF(AND(ISNUMBER(B414),ISNUMBER(B413),B413&lt;&gt;0),B414/B413-1,""),"")</f>
        <v/>
      </c>
      <c r="E414" s="28">
        <f>IFERROR(IF(AND(ISNUMBER(C414),ISNUMBER(C413),C413&lt;&gt;0),C414/C413-1,""),"")</f>
        <v/>
      </c>
      <c r="F414" s="28">
        <f>IFERROR(D414-Dashboard!$B$4/252,"")</f>
        <v/>
      </c>
      <c r="G414" s="28">
        <f>IFERROR(E414-Dashboard!$B$4/252,"")</f>
        <v/>
      </c>
      <c r="H414" s="8">
        <f>IFERROR(IF(ISNUMBER(B414),MAX(B414,IFERROR(H413,B414)),""),"")</f>
        <v/>
      </c>
      <c r="I414" s="29">
        <f>IFERROR(IF(AND(ISNUMBER(B414),ISNUMBER(H414)),B414/H414-1,""),"")</f>
        <v/>
      </c>
      <c r="J414" s="8">
        <f>IFERROR(IF(ISNUMBER(C414),MAX(C414,IFERROR(J413,C414)),""),"")</f>
        <v/>
      </c>
      <c r="K414" s="29">
        <f>IFERROR(IF(AND(ISNUMBER(C414),ISNUMBER(J414)),C414/J414-1,""),"")</f>
        <v/>
      </c>
      <c r="L414" s="28">
        <f>IFERROR(IF(AND(ISNUMBER(D414),ISNUMBER(E414)),D414-E414,""),"")</f>
        <v/>
      </c>
    </row>
    <row r="415">
      <c r="A415" s="7">
        <f>IFERROR(Datos!A415,"")</f>
        <v/>
      </c>
      <c r="B415" s="8">
        <f>IFERROR(Datos!B415,"")</f>
        <v/>
      </c>
      <c r="C415" s="8">
        <f>IFERROR(Datos!C415,"")</f>
        <v/>
      </c>
      <c r="D415" s="28">
        <f>IFERROR(IF(AND(ISNUMBER(B415),ISNUMBER(B414),B414&lt;&gt;0),B415/B414-1,""),"")</f>
        <v/>
      </c>
      <c r="E415" s="28">
        <f>IFERROR(IF(AND(ISNUMBER(C415),ISNUMBER(C414),C414&lt;&gt;0),C415/C414-1,""),"")</f>
        <v/>
      </c>
      <c r="F415" s="28">
        <f>IFERROR(D415-Dashboard!$B$4/252,"")</f>
        <v/>
      </c>
      <c r="G415" s="28">
        <f>IFERROR(E415-Dashboard!$B$4/252,"")</f>
        <v/>
      </c>
      <c r="H415" s="8">
        <f>IFERROR(IF(ISNUMBER(B415),MAX(B415,IFERROR(H414,B415)),""),"")</f>
        <v/>
      </c>
      <c r="I415" s="29">
        <f>IFERROR(IF(AND(ISNUMBER(B415),ISNUMBER(H415)),B415/H415-1,""),"")</f>
        <v/>
      </c>
      <c r="J415" s="8">
        <f>IFERROR(IF(ISNUMBER(C415),MAX(C415,IFERROR(J414,C415)),""),"")</f>
        <v/>
      </c>
      <c r="K415" s="29">
        <f>IFERROR(IF(AND(ISNUMBER(C415),ISNUMBER(J415)),C415/J415-1,""),"")</f>
        <v/>
      </c>
      <c r="L415" s="28">
        <f>IFERROR(IF(AND(ISNUMBER(D415),ISNUMBER(E415)),D415-E415,""),"")</f>
        <v/>
      </c>
    </row>
    <row r="416">
      <c r="A416" s="7">
        <f>IFERROR(Datos!A416,"")</f>
        <v/>
      </c>
      <c r="B416" s="8">
        <f>IFERROR(Datos!B416,"")</f>
        <v/>
      </c>
      <c r="C416" s="8">
        <f>IFERROR(Datos!C416,"")</f>
        <v/>
      </c>
      <c r="D416" s="28">
        <f>IFERROR(IF(AND(ISNUMBER(B416),ISNUMBER(B415),B415&lt;&gt;0),B416/B415-1,""),"")</f>
        <v/>
      </c>
      <c r="E416" s="28">
        <f>IFERROR(IF(AND(ISNUMBER(C416),ISNUMBER(C415),C415&lt;&gt;0),C416/C415-1,""),"")</f>
        <v/>
      </c>
      <c r="F416" s="28">
        <f>IFERROR(D416-Dashboard!$B$4/252,"")</f>
        <v/>
      </c>
      <c r="G416" s="28">
        <f>IFERROR(E416-Dashboard!$B$4/252,"")</f>
        <v/>
      </c>
      <c r="H416" s="8">
        <f>IFERROR(IF(ISNUMBER(B416),MAX(B416,IFERROR(H415,B416)),""),"")</f>
        <v/>
      </c>
      <c r="I416" s="29">
        <f>IFERROR(IF(AND(ISNUMBER(B416),ISNUMBER(H416)),B416/H416-1,""),"")</f>
        <v/>
      </c>
      <c r="J416" s="8">
        <f>IFERROR(IF(ISNUMBER(C416),MAX(C416,IFERROR(J415,C416)),""),"")</f>
        <v/>
      </c>
      <c r="K416" s="29">
        <f>IFERROR(IF(AND(ISNUMBER(C416),ISNUMBER(J416)),C416/J416-1,""),"")</f>
        <v/>
      </c>
      <c r="L416" s="28">
        <f>IFERROR(IF(AND(ISNUMBER(D416),ISNUMBER(E416)),D416-E416,""),"")</f>
        <v/>
      </c>
    </row>
    <row r="417">
      <c r="A417" s="7">
        <f>IFERROR(Datos!A417,"")</f>
        <v/>
      </c>
      <c r="B417" s="8">
        <f>IFERROR(Datos!B417,"")</f>
        <v/>
      </c>
      <c r="C417" s="8">
        <f>IFERROR(Datos!C417,"")</f>
        <v/>
      </c>
      <c r="D417" s="28">
        <f>IFERROR(IF(AND(ISNUMBER(B417),ISNUMBER(B416),B416&lt;&gt;0),B417/B416-1,""),"")</f>
        <v/>
      </c>
      <c r="E417" s="28">
        <f>IFERROR(IF(AND(ISNUMBER(C417),ISNUMBER(C416),C416&lt;&gt;0),C417/C416-1,""),"")</f>
        <v/>
      </c>
      <c r="F417" s="28">
        <f>IFERROR(D417-Dashboard!$B$4/252,"")</f>
        <v/>
      </c>
      <c r="G417" s="28">
        <f>IFERROR(E417-Dashboard!$B$4/252,"")</f>
        <v/>
      </c>
      <c r="H417" s="8">
        <f>IFERROR(IF(ISNUMBER(B417),MAX(B417,IFERROR(H416,B417)),""),"")</f>
        <v/>
      </c>
      <c r="I417" s="29">
        <f>IFERROR(IF(AND(ISNUMBER(B417),ISNUMBER(H417)),B417/H417-1,""),"")</f>
        <v/>
      </c>
      <c r="J417" s="8">
        <f>IFERROR(IF(ISNUMBER(C417),MAX(C417,IFERROR(J416,C417)),""),"")</f>
        <v/>
      </c>
      <c r="K417" s="29">
        <f>IFERROR(IF(AND(ISNUMBER(C417),ISNUMBER(J417)),C417/J417-1,""),"")</f>
        <v/>
      </c>
      <c r="L417" s="28">
        <f>IFERROR(IF(AND(ISNUMBER(D417),ISNUMBER(E417)),D417-E417,""),"")</f>
        <v/>
      </c>
    </row>
    <row r="418">
      <c r="A418" s="7">
        <f>IFERROR(Datos!A418,"")</f>
        <v/>
      </c>
      <c r="B418" s="8">
        <f>IFERROR(Datos!B418,"")</f>
        <v/>
      </c>
      <c r="C418" s="8">
        <f>IFERROR(Datos!C418,"")</f>
        <v/>
      </c>
      <c r="D418" s="28">
        <f>IFERROR(IF(AND(ISNUMBER(B418),ISNUMBER(B417),B417&lt;&gt;0),B418/B417-1,""),"")</f>
        <v/>
      </c>
      <c r="E418" s="28">
        <f>IFERROR(IF(AND(ISNUMBER(C418),ISNUMBER(C417),C417&lt;&gt;0),C418/C417-1,""),"")</f>
        <v/>
      </c>
      <c r="F418" s="28">
        <f>IFERROR(D418-Dashboard!$B$4/252,"")</f>
        <v/>
      </c>
      <c r="G418" s="28">
        <f>IFERROR(E418-Dashboard!$B$4/252,"")</f>
        <v/>
      </c>
      <c r="H418" s="8">
        <f>IFERROR(IF(ISNUMBER(B418),MAX(B418,IFERROR(H417,B418)),""),"")</f>
        <v/>
      </c>
      <c r="I418" s="29">
        <f>IFERROR(IF(AND(ISNUMBER(B418),ISNUMBER(H418)),B418/H418-1,""),"")</f>
        <v/>
      </c>
      <c r="J418" s="8">
        <f>IFERROR(IF(ISNUMBER(C418),MAX(C418,IFERROR(J417,C418)),""),"")</f>
        <v/>
      </c>
      <c r="K418" s="29">
        <f>IFERROR(IF(AND(ISNUMBER(C418),ISNUMBER(J418)),C418/J418-1,""),"")</f>
        <v/>
      </c>
      <c r="L418" s="28">
        <f>IFERROR(IF(AND(ISNUMBER(D418),ISNUMBER(E418)),D418-E418,""),"")</f>
        <v/>
      </c>
    </row>
    <row r="419">
      <c r="A419" s="7">
        <f>IFERROR(Datos!A419,"")</f>
        <v/>
      </c>
      <c r="B419" s="8">
        <f>IFERROR(Datos!B419,"")</f>
        <v/>
      </c>
      <c r="C419" s="8">
        <f>IFERROR(Datos!C419,"")</f>
        <v/>
      </c>
      <c r="D419" s="28">
        <f>IFERROR(IF(AND(ISNUMBER(B419),ISNUMBER(B418),B418&lt;&gt;0),B419/B418-1,""),"")</f>
        <v/>
      </c>
      <c r="E419" s="28">
        <f>IFERROR(IF(AND(ISNUMBER(C419),ISNUMBER(C418),C418&lt;&gt;0),C419/C418-1,""),"")</f>
        <v/>
      </c>
      <c r="F419" s="28">
        <f>IFERROR(D419-Dashboard!$B$4/252,"")</f>
        <v/>
      </c>
      <c r="G419" s="28">
        <f>IFERROR(E419-Dashboard!$B$4/252,"")</f>
        <v/>
      </c>
      <c r="H419" s="8">
        <f>IFERROR(IF(ISNUMBER(B419),MAX(B419,IFERROR(H418,B419)),""),"")</f>
        <v/>
      </c>
      <c r="I419" s="29">
        <f>IFERROR(IF(AND(ISNUMBER(B419),ISNUMBER(H419)),B419/H419-1,""),"")</f>
        <v/>
      </c>
      <c r="J419" s="8">
        <f>IFERROR(IF(ISNUMBER(C419),MAX(C419,IFERROR(J418,C419)),""),"")</f>
        <v/>
      </c>
      <c r="K419" s="29">
        <f>IFERROR(IF(AND(ISNUMBER(C419),ISNUMBER(J419)),C419/J419-1,""),"")</f>
        <v/>
      </c>
      <c r="L419" s="28">
        <f>IFERROR(IF(AND(ISNUMBER(D419),ISNUMBER(E419)),D419-E419,""),"")</f>
        <v/>
      </c>
    </row>
    <row r="420">
      <c r="A420" s="7">
        <f>IFERROR(Datos!A420,"")</f>
        <v/>
      </c>
      <c r="B420" s="8">
        <f>IFERROR(Datos!B420,"")</f>
        <v/>
      </c>
      <c r="C420" s="8">
        <f>IFERROR(Datos!C420,"")</f>
        <v/>
      </c>
      <c r="D420" s="28">
        <f>IFERROR(IF(AND(ISNUMBER(B420),ISNUMBER(B419),B419&lt;&gt;0),B420/B419-1,""),"")</f>
        <v/>
      </c>
      <c r="E420" s="28">
        <f>IFERROR(IF(AND(ISNUMBER(C420),ISNUMBER(C419),C419&lt;&gt;0),C420/C419-1,""),"")</f>
        <v/>
      </c>
      <c r="F420" s="28">
        <f>IFERROR(D420-Dashboard!$B$4/252,"")</f>
        <v/>
      </c>
      <c r="G420" s="28">
        <f>IFERROR(E420-Dashboard!$B$4/252,"")</f>
        <v/>
      </c>
      <c r="H420" s="8">
        <f>IFERROR(IF(ISNUMBER(B420),MAX(B420,IFERROR(H419,B420)),""),"")</f>
        <v/>
      </c>
      <c r="I420" s="29">
        <f>IFERROR(IF(AND(ISNUMBER(B420),ISNUMBER(H420)),B420/H420-1,""),"")</f>
        <v/>
      </c>
      <c r="J420" s="8">
        <f>IFERROR(IF(ISNUMBER(C420),MAX(C420,IFERROR(J419,C420)),""),"")</f>
        <v/>
      </c>
      <c r="K420" s="29">
        <f>IFERROR(IF(AND(ISNUMBER(C420),ISNUMBER(J420)),C420/J420-1,""),"")</f>
        <v/>
      </c>
      <c r="L420" s="28">
        <f>IFERROR(IF(AND(ISNUMBER(D420),ISNUMBER(E420)),D420-E420,""),"")</f>
        <v/>
      </c>
    </row>
    <row r="421">
      <c r="A421" s="7">
        <f>IFERROR(Datos!A421,"")</f>
        <v/>
      </c>
      <c r="B421" s="8">
        <f>IFERROR(Datos!B421,"")</f>
        <v/>
      </c>
      <c r="C421" s="8">
        <f>IFERROR(Datos!C421,"")</f>
        <v/>
      </c>
      <c r="D421" s="28">
        <f>IFERROR(IF(AND(ISNUMBER(B421),ISNUMBER(B420),B420&lt;&gt;0),B421/B420-1,""),"")</f>
        <v/>
      </c>
      <c r="E421" s="28">
        <f>IFERROR(IF(AND(ISNUMBER(C421),ISNUMBER(C420),C420&lt;&gt;0),C421/C420-1,""),"")</f>
        <v/>
      </c>
      <c r="F421" s="28">
        <f>IFERROR(D421-Dashboard!$B$4/252,"")</f>
        <v/>
      </c>
      <c r="G421" s="28">
        <f>IFERROR(E421-Dashboard!$B$4/252,"")</f>
        <v/>
      </c>
      <c r="H421" s="8">
        <f>IFERROR(IF(ISNUMBER(B421),MAX(B421,IFERROR(H420,B421)),""),"")</f>
        <v/>
      </c>
      <c r="I421" s="29">
        <f>IFERROR(IF(AND(ISNUMBER(B421),ISNUMBER(H421)),B421/H421-1,""),"")</f>
        <v/>
      </c>
      <c r="J421" s="8">
        <f>IFERROR(IF(ISNUMBER(C421),MAX(C421,IFERROR(J420,C421)),""),"")</f>
        <v/>
      </c>
      <c r="K421" s="29">
        <f>IFERROR(IF(AND(ISNUMBER(C421),ISNUMBER(J421)),C421/J421-1,""),"")</f>
        <v/>
      </c>
      <c r="L421" s="28">
        <f>IFERROR(IF(AND(ISNUMBER(D421),ISNUMBER(E421)),D421-E421,""),"")</f>
        <v/>
      </c>
    </row>
    <row r="422">
      <c r="A422" s="7">
        <f>IFERROR(Datos!A422,"")</f>
        <v/>
      </c>
      <c r="B422" s="8">
        <f>IFERROR(Datos!B422,"")</f>
        <v/>
      </c>
      <c r="C422" s="8">
        <f>IFERROR(Datos!C422,"")</f>
        <v/>
      </c>
      <c r="D422" s="28">
        <f>IFERROR(IF(AND(ISNUMBER(B422),ISNUMBER(B421),B421&lt;&gt;0),B422/B421-1,""),"")</f>
        <v/>
      </c>
      <c r="E422" s="28">
        <f>IFERROR(IF(AND(ISNUMBER(C422),ISNUMBER(C421),C421&lt;&gt;0),C422/C421-1,""),"")</f>
        <v/>
      </c>
      <c r="F422" s="28">
        <f>IFERROR(D422-Dashboard!$B$4/252,"")</f>
        <v/>
      </c>
      <c r="G422" s="28">
        <f>IFERROR(E422-Dashboard!$B$4/252,"")</f>
        <v/>
      </c>
      <c r="H422" s="8">
        <f>IFERROR(IF(ISNUMBER(B422),MAX(B422,IFERROR(H421,B422)),""),"")</f>
        <v/>
      </c>
      <c r="I422" s="29">
        <f>IFERROR(IF(AND(ISNUMBER(B422),ISNUMBER(H422)),B422/H422-1,""),"")</f>
        <v/>
      </c>
      <c r="J422" s="8">
        <f>IFERROR(IF(ISNUMBER(C422),MAX(C422,IFERROR(J421,C422)),""),"")</f>
        <v/>
      </c>
      <c r="K422" s="29">
        <f>IFERROR(IF(AND(ISNUMBER(C422),ISNUMBER(J422)),C422/J422-1,""),"")</f>
        <v/>
      </c>
      <c r="L422" s="28">
        <f>IFERROR(IF(AND(ISNUMBER(D422),ISNUMBER(E422)),D422-E422,""),"")</f>
        <v/>
      </c>
    </row>
    <row r="423">
      <c r="A423" s="7">
        <f>IFERROR(Datos!A423,"")</f>
        <v/>
      </c>
      <c r="B423" s="8">
        <f>IFERROR(Datos!B423,"")</f>
        <v/>
      </c>
      <c r="C423" s="8">
        <f>IFERROR(Datos!C423,"")</f>
        <v/>
      </c>
      <c r="D423" s="28">
        <f>IFERROR(IF(AND(ISNUMBER(B423),ISNUMBER(B422),B422&lt;&gt;0),B423/B422-1,""),"")</f>
        <v/>
      </c>
      <c r="E423" s="28">
        <f>IFERROR(IF(AND(ISNUMBER(C423),ISNUMBER(C422),C422&lt;&gt;0),C423/C422-1,""),"")</f>
        <v/>
      </c>
      <c r="F423" s="28">
        <f>IFERROR(D423-Dashboard!$B$4/252,"")</f>
        <v/>
      </c>
      <c r="G423" s="28">
        <f>IFERROR(E423-Dashboard!$B$4/252,"")</f>
        <v/>
      </c>
      <c r="H423" s="8">
        <f>IFERROR(IF(ISNUMBER(B423),MAX(B423,IFERROR(H422,B423)),""),"")</f>
        <v/>
      </c>
      <c r="I423" s="29">
        <f>IFERROR(IF(AND(ISNUMBER(B423),ISNUMBER(H423)),B423/H423-1,""),"")</f>
        <v/>
      </c>
      <c r="J423" s="8">
        <f>IFERROR(IF(ISNUMBER(C423),MAX(C423,IFERROR(J422,C423)),""),"")</f>
        <v/>
      </c>
      <c r="K423" s="29">
        <f>IFERROR(IF(AND(ISNUMBER(C423),ISNUMBER(J423)),C423/J423-1,""),"")</f>
        <v/>
      </c>
      <c r="L423" s="28">
        <f>IFERROR(IF(AND(ISNUMBER(D423),ISNUMBER(E423)),D423-E423,""),"")</f>
        <v/>
      </c>
    </row>
    <row r="424">
      <c r="A424" s="7">
        <f>IFERROR(Datos!A424,"")</f>
        <v/>
      </c>
      <c r="B424" s="8">
        <f>IFERROR(Datos!B424,"")</f>
        <v/>
      </c>
      <c r="C424" s="8">
        <f>IFERROR(Datos!C424,"")</f>
        <v/>
      </c>
      <c r="D424" s="28">
        <f>IFERROR(IF(AND(ISNUMBER(B424),ISNUMBER(B423),B423&lt;&gt;0),B424/B423-1,""),"")</f>
        <v/>
      </c>
      <c r="E424" s="28">
        <f>IFERROR(IF(AND(ISNUMBER(C424),ISNUMBER(C423),C423&lt;&gt;0),C424/C423-1,""),"")</f>
        <v/>
      </c>
      <c r="F424" s="28">
        <f>IFERROR(D424-Dashboard!$B$4/252,"")</f>
        <v/>
      </c>
      <c r="G424" s="28">
        <f>IFERROR(E424-Dashboard!$B$4/252,"")</f>
        <v/>
      </c>
      <c r="H424" s="8">
        <f>IFERROR(IF(ISNUMBER(B424),MAX(B424,IFERROR(H423,B424)),""),"")</f>
        <v/>
      </c>
      <c r="I424" s="29">
        <f>IFERROR(IF(AND(ISNUMBER(B424),ISNUMBER(H424)),B424/H424-1,""),"")</f>
        <v/>
      </c>
      <c r="J424" s="8">
        <f>IFERROR(IF(ISNUMBER(C424),MAX(C424,IFERROR(J423,C424)),""),"")</f>
        <v/>
      </c>
      <c r="K424" s="29">
        <f>IFERROR(IF(AND(ISNUMBER(C424),ISNUMBER(J424)),C424/J424-1,""),"")</f>
        <v/>
      </c>
      <c r="L424" s="28">
        <f>IFERROR(IF(AND(ISNUMBER(D424),ISNUMBER(E424)),D424-E424,""),"")</f>
        <v/>
      </c>
    </row>
    <row r="425">
      <c r="A425" s="7">
        <f>IFERROR(Datos!A425,"")</f>
        <v/>
      </c>
      <c r="B425" s="8">
        <f>IFERROR(Datos!B425,"")</f>
        <v/>
      </c>
      <c r="C425" s="8">
        <f>IFERROR(Datos!C425,"")</f>
        <v/>
      </c>
      <c r="D425" s="28">
        <f>IFERROR(IF(AND(ISNUMBER(B425),ISNUMBER(B424),B424&lt;&gt;0),B425/B424-1,""),"")</f>
        <v/>
      </c>
      <c r="E425" s="28">
        <f>IFERROR(IF(AND(ISNUMBER(C425),ISNUMBER(C424),C424&lt;&gt;0),C425/C424-1,""),"")</f>
        <v/>
      </c>
      <c r="F425" s="28">
        <f>IFERROR(D425-Dashboard!$B$4/252,"")</f>
        <v/>
      </c>
      <c r="G425" s="28">
        <f>IFERROR(E425-Dashboard!$B$4/252,"")</f>
        <v/>
      </c>
      <c r="H425" s="8">
        <f>IFERROR(IF(ISNUMBER(B425),MAX(B425,IFERROR(H424,B425)),""),"")</f>
        <v/>
      </c>
      <c r="I425" s="29">
        <f>IFERROR(IF(AND(ISNUMBER(B425),ISNUMBER(H425)),B425/H425-1,""),"")</f>
        <v/>
      </c>
      <c r="J425" s="8">
        <f>IFERROR(IF(ISNUMBER(C425),MAX(C425,IFERROR(J424,C425)),""),"")</f>
        <v/>
      </c>
      <c r="K425" s="29">
        <f>IFERROR(IF(AND(ISNUMBER(C425),ISNUMBER(J425)),C425/J425-1,""),"")</f>
        <v/>
      </c>
      <c r="L425" s="28">
        <f>IFERROR(IF(AND(ISNUMBER(D425),ISNUMBER(E425)),D425-E425,""),"")</f>
        <v/>
      </c>
    </row>
    <row r="426">
      <c r="A426" s="7">
        <f>IFERROR(Datos!A426,"")</f>
        <v/>
      </c>
      <c r="B426" s="8">
        <f>IFERROR(Datos!B426,"")</f>
        <v/>
      </c>
      <c r="C426" s="8">
        <f>IFERROR(Datos!C426,"")</f>
        <v/>
      </c>
      <c r="D426" s="28">
        <f>IFERROR(IF(AND(ISNUMBER(B426),ISNUMBER(B425),B425&lt;&gt;0),B426/B425-1,""),"")</f>
        <v/>
      </c>
      <c r="E426" s="28">
        <f>IFERROR(IF(AND(ISNUMBER(C426),ISNUMBER(C425),C425&lt;&gt;0),C426/C425-1,""),"")</f>
        <v/>
      </c>
      <c r="F426" s="28">
        <f>IFERROR(D426-Dashboard!$B$4/252,"")</f>
        <v/>
      </c>
      <c r="G426" s="28">
        <f>IFERROR(E426-Dashboard!$B$4/252,"")</f>
        <v/>
      </c>
      <c r="H426" s="8">
        <f>IFERROR(IF(ISNUMBER(B426),MAX(B426,IFERROR(H425,B426)),""),"")</f>
        <v/>
      </c>
      <c r="I426" s="29">
        <f>IFERROR(IF(AND(ISNUMBER(B426),ISNUMBER(H426)),B426/H426-1,""),"")</f>
        <v/>
      </c>
      <c r="J426" s="8">
        <f>IFERROR(IF(ISNUMBER(C426),MAX(C426,IFERROR(J425,C426)),""),"")</f>
        <v/>
      </c>
      <c r="K426" s="29">
        <f>IFERROR(IF(AND(ISNUMBER(C426),ISNUMBER(J426)),C426/J426-1,""),"")</f>
        <v/>
      </c>
      <c r="L426" s="28">
        <f>IFERROR(IF(AND(ISNUMBER(D426),ISNUMBER(E426)),D426-E426,""),"")</f>
        <v/>
      </c>
    </row>
    <row r="427">
      <c r="A427" s="7">
        <f>IFERROR(Datos!A427,"")</f>
        <v/>
      </c>
      <c r="B427" s="8">
        <f>IFERROR(Datos!B427,"")</f>
        <v/>
      </c>
      <c r="C427" s="8">
        <f>IFERROR(Datos!C427,"")</f>
        <v/>
      </c>
      <c r="D427" s="28">
        <f>IFERROR(IF(AND(ISNUMBER(B427),ISNUMBER(B426),B426&lt;&gt;0),B427/B426-1,""),"")</f>
        <v/>
      </c>
      <c r="E427" s="28">
        <f>IFERROR(IF(AND(ISNUMBER(C427),ISNUMBER(C426),C426&lt;&gt;0),C427/C426-1,""),"")</f>
        <v/>
      </c>
      <c r="F427" s="28">
        <f>IFERROR(D427-Dashboard!$B$4/252,"")</f>
        <v/>
      </c>
      <c r="G427" s="28">
        <f>IFERROR(E427-Dashboard!$B$4/252,"")</f>
        <v/>
      </c>
      <c r="H427" s="8">
        <f>IFERROR(IF(ISNUMBER(B427),MAX(B427,IFERROR(H426,B427)),""),"")</f>
        <v/>
      </c>
      <c r="I427" s="29">
        <f>IFERROR(IF(AND(ISNUMBER(B427),ISNUMBER(H427)),B427/H427-1,""),"")</f>
        <v/>
      </c>
      <c r="J427" s="8">
        <f>IFERROR(IF(ISNUMBER(C427),MAX(C427,IFERROR(J426,C427)),""),"")</f>
        <v/>
      </c>
      <c r="K427" s="29">
        <f>IFERROR(IF(AND(ISNUMBER(C427),ISNUMBER(J427)),C427/J427-1,""),"")</f>
        <v/>
      </c>
      <c r="L427" s="28">
        <f>IFERROR(IF(AND(ISNUMBER(D427),ISNUMBER(E427)),D427-E427,""),"")</f>
        <v/>
      </c>
    </row>
    <row r="428">
      <c r="A428" s="7">
        <f>IFERROR(Datos!A428,"")</f>
        <v/>
      </c>
      <c r="B428" s="8">
        <f>IFERROR(Datos!B428,"")</f>
        <v/>
      </c>
      <c r="C428" s="8">
        <f>IFERROR(Datos!C428,"")</f>
        <v/>
      </c>
      <c r="D428" s="28">
        <f>IFERROR(IF(AND(ISNUMBER(B428),ISNUMBER(B427),B427&lt;&gt;0),B428/B427-1,""),"")</f>
        <v/>
      </c>
      <c r="E428" s="28">
        <f>IFERROR(IF(AND(ISNUMBER(C428),ISNUMBER(C427),C427&lt;&gt;0),C428/C427-1,""),"")</f>
        <v/>
      </c>
      <c r="F428" s="28">
        <f>IFERROR(D428-Dashboard!$B$4/252,"")</f>
        <v/>
      </c>
      <c r="G428" s="28">
        <f>IFERROR(E428-Dashboard!$B$4/252,"")</f>
        <v/>
      </c>
      <c r="H428" s="8">
        <f>IFERROR(IF(ISNUMBER(B428),MAX(B428,IFERROR(H427,B428)),""),"")</f>
        <v/>
      </c>
      <c r="I428" s="29">
        <f>IFERROR(IF(AND(ISNUMBER(B428),ISNUMBER(H428)),B428/H428-1,""),"")</f>
        <v/>
      </c>
      <c r="J428" s="8">
        <f>IFERROR(IF(ISNUMBER(C428),MAX(C428,IFERROR(J427,C428)),""),"")</f>
        <v/>
      </c>
      <c r="K428" s="29">
        <f>IFERROR(IF(AND(ISNUMBER(C428),ISNUMBER(J428)),C428/J428-1,""),"")</f>
        <v/>
      </c>
      <c r="L428" s="28">
        <f>IFERROR(IF(AND(ISNUMBER(D428),ISNUMBER(E428)),D428-E428,""),"")</f>
        <v/>
      </c>
    </row>
    <row r="429">
      <c r="A429" s="7">
        <f>IFERROR(Datos!A429,"")</f>
        <v/>
      </c>
      <c r="B429" s="8">
        <f>IFERROR(Datos!B429,"")</f>
        <v/>
      </c>
      <c r="C429" s="8">
        <f>IFERROR(Datos!C429,"")</f>
        <v/>
      </c>
      <c r="D429" s="28">
        <f>IFERROR(IF(AND(ISNUMBER(B429),ISNUMBER(B428),B428&lt;&gt;0),B429/B428-1,""),"")</f>
        <v/>
      </c>
      <c r="E429" s="28">
        <f>IFERROR(IF(AND(ISNUMBER(C429),ISNUMBER(C428),C428&lt;&gt;0),C429/C428-1,""),"")</f>
        <v/>
      </c>
      <c r="F429" s="28">
        <f>IFERROR(D429-Dashboard!$B$4/252,"")</f>
        <v/>
      </c>
      <c r="G429" s="28">
        <f>IFERROR(E429-Dashboard!$B$4/252,"")</f>
        <v/>
      </c>
      <c r="H429" s="8">
        <f>IFERROR(IF(ISNUMBER(B429),MAX(B429,IFERROR(H428,B429)),""),"")</f>
        <v/>
      </c>
      <c r="I429" s="29">
        <f>IFERROR(IF(AND(ISNUMBER(B429),ISNUMBER(H429)),B429/H429-1,""),"")</f>
        <v/>
      </c>
      <c r="J429" s="8">
        <f>IFERROR(IF(ISNUMBER(C429),MAX(C429,IFERROR(J428,C429)),""),"")</f>
        <v/>
      </c>
      <c r="K429" s="29">
        <f>IFERROR(IF(AND(ISNUMBER(C429),ISNUMBER(J429)),C429/J429-1,""),"")</f>
        <v/>
      </c>
      <c r="L429" s="28">
        <f>IFERROR(IF(AND(ISNUMBER(D429),ISNUMBER(E429)),D429-E429,""),"")</f>
        <v/>
      </c>
    </row>
    <row r="430">
      <c r="A430" s="7">
        <f>IFERROR(Datos!A430,"")</f>
        <v/>
      </c>
      <c r="B430" s="8">
        <f>IFERROR(Datos!B430,"")</f>
        <v/>
      </c>
      <c r="C430" s="8">
        <f>IFERROR(Datos!C430,"")</f>
        <v/>
      </c>
      <c r="D430" s="28">
        <f>IFERROR(IF(AND(ISNUMBER(B430),ISNUMBER(B429),B429&lt;&gt;0),B430/B429-1,""),"")</f>
        <v/>
      </c>
      <c r="E430" s="28">
        <f>IFERROR(IF(AND(ISNUMBER(C430),ISNUMBER(C429),C429&lt;&gt;0),C430/C429-1,""),"")</f>
        <v/>
      </c>
      <c r="F430" s="28">
        <f>IFERROR(D430-Dashboard!$B$4/252,"")</f>
        <v/>
      </c>
      <c r="G430" s="28">
        <f>IFERROR(E430-Dashboard!$B$4/252,"")</f>
        <v/>
      </c>
      <c r="H430" s="8">
        <f>IFERROR(IF(ISNUMBER(B430),MAX(B430,IFERROR(H429,B430)),""),"")</f>
        <v/>
      </c>
      <c r="I430" s="29">
        <f>IFERROR(IF(AND(ISNUMBER(B430),ISNUMBER(H430)),B430/H430-1,""),"")</f>
        <v/>
      </c>
      <c r="J430" s="8">
        <f>IFERROR(IF(ISNUMBER(C430),MAX(C430,IFERROR(J429,C430)),""),"")</f>
        <v/>
      </c>
      <c r="K430" s="29">
        <f>IFERROR(IF(AND(ISNUMBER(C430),ISNUMBER(J430)),C430/J430-1,""),"")</f>
        <v/>
      </c>
      <c r="L430" s="28">
        <f>IFERROR(IF(AND(ISNUMBER(D430),ISNUMBER(E430)),D430-E430,""),"")</f>
        <v/>
      </c>
    </row>
    <row r="431">
      <c r="A431" s="7">
        <f>IFERROR(Datos!A431,"")</f>
        <v/>
      </c>
      <c r="B431" s="8">
        <f>IFERROR(Datos!B431,"")</f>
        <v/>
      </c>
      <c r="C431" s="8">
        <f>IFERROR(Datos!C431,"")</f>
        <v/>
      </c>
      <c r="D431" s="28">
        <f>IFERROR(IF(AND(ISNUMBER(B431),ISNUMBER(B430),B430&lt;&gt;0),B431/B430-1,""),"")</f>
        <v/>
      </c>
      <c r="E431" s="28">
        <f>IFERROR(IF(AND(ISNUMBER(C431),ISNUMBER(C430),C430&lt;&gt;0),C431/C430-1,""),"")</f>
        <v/>
      </c>
      <c r="F431" s="28">
        <f>IFERROR(D431-Dashboard!$B$4/252,"")</f>
        <v/>
      </c>
      <c r="G431" s="28">
        <f>IFERROR(E431-Dashboard!$B$4/252,"")</f>
        <v/>
      </c>
      <c r="H431" s="8">
        <f>IFERROR(IF(ISNUMBER(B431),MAX(B431,IFERROR(H430,B431)),""),"")</f>
        <v/>
      </c>
      <c r="I431" s="29">
        <f>IFERROR(IF(AND(ISNUMBER(B431),ISNUMBER(H431)),B431/H431-1,""),"")</f>
        <v/>
      </c>
      <c r="J431" s="8">
        <f>IFERROR(IF(ISNUMBER(C431),MAX(C431,IFERROR(J430,C431)),""),"")</f>
        <v/>
      </c>
      <c r="K431" s="29">
        <f>IFERROR(IF(AND(ISNUMBER(C431),ISNUMBER(J431)),C431/J431-1,""),"")</f>
        <v/>
      </c>
      <c r="L431" s="28">
        <f>IFERROR(IF(AND(ISNUMBER(D431),ISNUMBER(E431)),D431-E431,""),"")</f>
        <v/>
      </c>
    </row>
    <row r="432">
      <c r="A432" s="7">
        <f>IFERROR(Datos!A432,"")</f>
        <v/>
      </c>
      <c r="B432" s="8">
        <f>IFERROR(Datos!B432,"")</f>
        <v/>
      </c>
      <c r="C432" s="8">
        <f>IFERROR(Datos!C432,"")</f>
        <v/>
      </c>
      <c r="D432" s="28">
        <f>IFERROR(IF(AND(ISNUMBER(B432),ISNUMBER(B431),B431&lt;&gt;0),B432/B431-1,""),"")</f>
        <v/>
      </c>
      <c r="E432" s="28">
        <f>IFERROR(IF(AND(ISNUMBER(C432),ISNUMBER(C431),C431&lt;&gt;0),C432/C431-1,""),"")</f>
        <v/>
      </c>
      <c r="F432" s="28">
        <f>IFERROR(D432-Dashboard!$B$4/252,"")</f>
        <v/>
      </c>
      <c r="G432" s="28">
        <f>IFERROR(E432-Dashboard!$B$4/252,"")</f>
        <v/>
      </c>
      <c r="H432" s="8">
        <f>IFERROR(IF(ISNUMBER(B432),MAX(B432,IFERROR(H431,B432)),""),"")</f>
        <v/>
      </c>
      <c r="I432" s="29">
        <f>IFERROR(IF(AND(ISNUMBER(B432),ISNUMBER(H432)),B432/H432-1,""),"")</f>
        <v/>
      </c>
      <c r="J432" s="8">
        <f>IFERROR(IF(ISNUMBER(C432),MAX(C432,IFERROR(J431,C432)),""),"")</f>
        <v/>
      </c>
      <c r="K432" s="29">
        <f>IFERROR(IF(AND(ISNUMBER(C432),ISNUMBER(J432)),C432/J432-1,""),"")</f>
        <v/>
      </c>
      <c r="L432" s="28">
        <f>IFERROR(IF(AND(ISNUMBER(D432),ISNUMBER(E432)),D432-E432,""),"")</f>
        <v/>
      </c>
    </row>
    <row r="433">
      <c r="A433" s="7">
        <f>IFERROR(Datos!A433,"")</f>
        <v/>
      </c>
      <c r="B433" s="8">
        <f>IFERROR(Datos!B433,"")</f>
        <v/>
      </c>
      <c r="C433" s="8">
        <f>IFERROR(Datos!C433,"")</f>
        <v/>
      </c>
      <c r="D433" s="28">
        <f>IFERROR(IF(AND(ISNUMBER(B433),ISNUMBER(B432),B432&lt;&gt;0),B433/B432-1,""),"")</f>
        <v/>
      </c>
      <c r="E433" s="28">
        <f>IFERROR(IF(AND(ISNUMBER(C433),ISNUMBER(C432),C432&lt;&gt;0),C433/C432-1,""),"")</f>
        <v/>
      </c>
      <c r="F433" s="28">
        <f>IFERROR(D433-Dashboard!$B$4/252,"")</f>
        <v/>
      </c>
      <c r="G433" s="28">
        <f>IFERROR(E433-Dashboard!$B$4/252,"")</f>
        <v/>
      </c>
      <c r="H433" s="8">
        <f>IFERROR(IF(ISNUMBER(B433),MAX(B433,IFERROR(H432,B433)),""),"")</f>
        <v/>
      </c>
      <c r="I433" s="29">
        <f>IFERROR(IF(AND(ISNUMBER(B433),ISNUMBER(H433)),B433/H433-1,""),"")</f>
        <v/>
      </c>
      <c r="J433" s="8">
        <f>IFERROR(IF(ISNUMBER(C433),MAX(C433,IFERROR(J432,C433)),""),"")</f>
        <v/>
      </c>
      <c r="K433" s="29">
        <f>IFERROR(IF(AND(ISNUMBER(C433),ISNUMBER(J433)),C433/J433-1,""),"")</f>
        <v/>
      </c>
      <c r="L433" s="28">
        <f>IFERROR(IF(AND(ISNUMBER(D433),ISNUMBER(E433)),D433-E433,""),"")</f>
        <v/>
      </c>
    </row>
    <row r="434">
      <c r="A434" s="7">
        <f>IFERROR(Datos!A434,"")</f>
        <v/>
      </c>
      <c r="B434" s="8">
        <f>IFERROR(Datos!B434,"")</f>
        <v/>
      </c>
      <c r="C434" s="8">
        <f>IFERROR(Datos!C434,"")</f>
        <v/>
      </c>
      <c r="D434" s="28">
        <f>IFERROR(IF(AND(ISNUMBER(B434),ISNUMBER(B433),B433&lt;&gt;0),B434/B433-1,""),"")</f>
        <v/>
      </c>
      <c r="E434" s="28">
        <f>IFERROR(IF(AND(ISNUMBER(C434),ISNUMBER(C433),C433&lt;&gt;0),C434/C433-1,""),"")</f>
        <v/>
      </c>
      <c r="F434" s="28">
        <f>IFERROR(D434-Dashboard!$B$4/252,"")</f>
        <v/>
      </c>
      <c r="G434" s="28">
        <f>IFERROR(E434-Dashboard!$B$4/252,"")</f>
        <v/>
      </c>
      <c r="H434" s="8">
        <f>IFERROR(IF(ISNUMBER(B434),MAX(B434,IFERROR(H433,B434)),""),"")</f>
        <v/>
      </c>
      <c r="I434" s="29">
        <f>IFERROR(IF(AND(ISNUMBER(B434),ISNUMBER(H434)),B434/H434-1,""),"")</f>
        <v/>
      </c>
      <c r="J434" s="8">
        <f>IFERROR(IF(ISNUMBER(C434),MAX(C434,IFERROR(J433,C434)),""),"")</f>
        <v/>
      </c>
      <c r="K434" s="29">
        <f>IFERROR(IF(AND(ISNUMBER(C434),ISNUMBER(J434)),C434/J434-1,""),"")</f>
        <v/>
      </c>
      <c r="L434" s="28">
        <f>IFERROR(IF(AND(ISNUMBER(D434),ISNUMBER(E434)),D434-E434,""),"")</f>
        <v/>
      </c>
    </row>
    <row r="435">
      <c r="A435" s="7">
        <f>IFERROR(Datos!A435,"")</f>
        <v/>
      </c>
      <c r="B435" s="8">
        <f>IFERROR(Datos!B435,"")</f>
        <v/>
      </c>
      <c r="C435" s="8">
        <f>IFERROR(Datos!C435,"")</f>
        <v/>
      </c>
      <c r="D435" s="28">
        <f>IFERROR(IF(AND(ISNUMBER(B435),ISNUMBER(B434),B434&lt;&gt;0),B435/B434-1,""),"")</f>
        <v/>
      </c>
      <c r="E435" s="28">
        <f>IFERROR(IF(AND(ISNUMBER(C435),ISNUMBER(C434),C434&lt;&gt;0),C435/C434-1,""),"")</f>
        <v/>
      </c>
      <c r="F435" s="28">
        <f>IFERROR(D435-Dashboard!$B$4/252,"")</f>
        <v/>
      </c>
      <c r="G435" s="28">
        <f>IFERROR(E435-Dashboard!$B$4/252,"")</f>
        <v/>
      </c>
      <c r="H435" s="8">
        <f>IFERROR(IF(ISNUMBER(B435),MAX(B435,IFERROR(H434,B435)),""),"")</f>
        <v/>
      </c>
      <c r="I435" s="29">
        <f>IFERROR(IF(AND(ISNUMBER(B435),ISNUMBER(H435)),B435/H435-1,""),"")</f>
        <v/>
      </c>
      <c r="J435" s="8">
        <f>IFERROR(IF(ISNUMBER(C435),MAX(C435,IFERROR(J434,C435)),""),"")</f>
        <v/>
      </c>
      <c r="K435" s="29">
        <f>IFERROR(IF(AND(ISNUMBER(C435),ISNUMBER(J435)),C435/J435-1,""),"")</f>
        <v/>
      </c>
      <c r="L435" s="28">
        <f>IFERROR(IF(AND(ISNUMBER(D435),ISNUMBER(E435)),D435-E435,""),"")</f>
        <v/>
      </c>
    </row>
    <row r="436">
      <c r="A436" s="7">
        <f>IFERROR(Datos!A436,"")</f>
        <v/>
      </c>
      <c r="B436" s="8">
        <f>IFERROR(Datos!B436,"")</f>
        <v/>
      </c>
      <c r="C436" s="8">
        <f>IFERROR(Datos!C436,"")</f>
        <v/>
      </c>
      <c r="D436" s="28">
        <f>IFERROR(IF(AND(ISNUMBER(B436),ISNUMBER(B435),B435&lt;&gt;0),B436/B435-1,""),"")</f>
        <v/>
      </c>
      <c r="E436" s="28">
        <f>IFERROR(IF(AND(ISNUMBER(C436),ISNUMBER(C435),C435&lt;&gt;0),C436/C435-1,""),"")</f>
        <v/>
      </c>
      <c r="F436" s="28">
        <f>IFERROR(D436-Dashboard!$B$4/252,"")</f>
        <v/>
      </c>
      <c r="G436" s="28">
        <f>IFERROR(E436-Dashboard!$B$4/252,"")</f>
        <v/>
      </c>
      <c r="H436" s="8">
        <f>IFERROR(IF(ISNUMBER(B436),MAX(B436,IFERROR(H435,B436)),""),"")</f>
        <v/>
      </c>
      <c r="I436" s="29">
        <f>IFERROR(IF(AND(ISNUMBER(B436),ISNUMBER(H436)),B436/H436-1,""),"")</f>
        <v/>
      </c>
      <c r="J436" s="8">
        <f>IFERROR(IF(ISNUMBER(C436),MAX(C436,IFERROR(J435,C436)),""),"")</f>
        <v/>
      </c>
      <c r="K436" s="29">
        <f>IFERROR(IF(AND(ISNUMBER(C436),ISNUMBER(J436)),C436/J436-1,""),"")</f>
        <v/>
      </c>
      <c r="L436" s="28">
        <f>IFERROR(IF(AND(ISNUMBER(D436),ISNUMBER(E436)),D436-E436,""),"")</f>
        <v/>
      </c>
    </row>
    <row r="437">
      <c r="A437" s="7">
        <f>IFERROR(Datos!A437,"")</f>
        <v/>
      </c>
      <c r="B437" s="8">
        <f>IFERROR(Datos!B437,"")</f>
        <v/>
      </c>
      <c r="C437" s="8">
        <f>IFERROR(Datos!C437,"")</f>
        <v/>
      </c>
      <c r="D437" s="28">
        <f>IFERROR(IF(AND(ISNUMBER(B437),ISNUMBER(B436),B436&lt;&gt;0),B437/B436-1,""),"")</f>
        <v/>
      </c>
      <c r="E437" s="28">
        <f>IFERROR(IF(AND(ISNUMBER(C437),ISNUMBER(C436),C436&lt;&gt;0),C437/C436-1,""),"")</f>
        <v/>
      </c>
      <c r="F437" s="28">
        <f>IFERROR(D437-Dashboard!$B$4/252,"")</f>
        <v/>
      </c>
      <c r="G437" s="28">
        <f>IFERROR(E437-Dashboard!$B$4/252,"")</f>
        <v/>
      </c>
      <c r="H437" s="8">
        <f>IFERROR(IF(ISNUMBER(B437),MAX(B437,IFERROR(H436,B437)),""),"")</f>
        <v/>
      </c>
      <c r="I437" s="29">
        <f>IFERROR(IF(AND(ISNUMBER(B437),ISNUMBER(H437)),B437/H437-1,""),"")</f>
        <v/>
      </c>
      <c r="J437" s="8">
        <f>IFERROR(IF(ISNUMBER(C437),MAX(C437,IFERROR(J436,C437)),""),"")</f>
        <v/>
      </c>
      <c r="K437" s="29">
        <f>IFERROR(IF(AND(ISNUMBER(C437),ISNUMBER(J437)),C437/J437-1,""),"")</f>
        <v/>
      </c>
      <c r="L437" s="28">
        <f>IFERROR(IF(AND(ISNUMBER(D437),ISNUMBER(E437)),D437-E437,""),"")</f>
        <v/>
      </c>
    </row>
    <row r="438">
      <c r="A438" s="7">
        <f>IFERROR(Datos!A438,"")</f>
        <v/>
      </c>
      <c r="B438" s="8">
        <f>IFERROR(Datos!B438,"")</f>
        <v/>
      </c>
      <c r="C438" s="8">
        <f>IFERROR(Datos!C438,"")</f>
        <v/>
      </c>
      <c r="D438" s="28">
        <f>IFERROR(IF(AND(ISNUMBER(B438),ISNUMBER(B437),B437&lt;&gt;0),B438/B437-1,""),"")</f>
        <v/>
      </c>
      <c r="E438" s="28">
        <f>IFERROR(IF(AND(ISNUMBER(C438),ISNUMBER(C437),C437&lt;&gt;0),C438/C437-1,""),"")</f>
        <v/>
      </c>
      <c r="F438" s="28">
        <f>IFERROR(D438-Dashboard!$B$4/252,"")</f>
        <v/>
      </c>
      <c r="G438" s="28">
        <f>IFERROR(E438-Dashboard!$B$4/252,"")</f>
        <v/>
      </c>
      <c r="H438" s="8">
        <f>IFERROR(IF(ISNUMBER(B438),MAX(B438,IFERROR(H437,B438)),""),"")</f>
        <v/>
      </c>
      <c r="I438" s="29">
        <f>IFERROR(IF(AND(ISNUMBER(B438),ISNUMBER(H438)),B438/H438-1,""),"")</f>
        <v/>
      </c>
      <c r="J438" s="8">
        <f>IFERROR(IF(ISNUMBER(C438),MAX(C438,IFERROR(J437,C438)),""),"")</f>
        <v/>
      </c>
      <c r="K438" s="29">
        <f>IFERROR(IF(AND(ISNUMBER(C438),ISNUMBER(J438)),C438/J438-1,""),"")</f>
        <v/>
      </c>
      <c r="L438" s="28">
        <f>IFERROR(IF(AND(ISNUMBER(D438),ISNUMBER(E438)),D438-E438,""),"")</f>
        <v/>
      </c>
    </row>
    <row r="439">
      <c r="A439" s="7">
        <f>IFERROR(Datos!A439,"")</f>
        <v/>
      </c>
      <c r="B439" s="8">
        <f>IFERROR(Datos!B439,"")</f>
        <v/>
      </c>
      <c r="C439" s="8">
        <f>IFERROR(Datos!C439,"")</f>
        <v/>
      </c>
      <c r="D439" s="28">
        <f>IFERROR(IF(AND(ISNUMBER(B439),ISNUMBER(B438),B438&lt;&gt;0),B439/B438-1,""),"")</f>
        <v/>
      </c>
      <c r="E439" s="28">
        <f>IFERROR(IF(AND(ISNUMBER(C439),ISNUMBER(C438),C438&lt;&gt;0),C439/C438-1,""),"")</f>
        <v/>
      </c>
      <c r="F439" s="28">
        <f>IFERROR(D439-Dashboard!$B$4/252,"")</f>
        <v/>
      </c>
      <c r="G439" s="28">
        <f>IFERROR(E439-Dashboard!$B$4/252,"")</f>
        <v/>
      </c>
      <c r="H439" s="8">
        <f>IFERROR(IF(ISNUMBER(B439),MAX(B439,IFERROR(H438,B439)),""),"")</f>
        <v/>
      </c>
      <c r="I439" s="29">
        <f>IFERROR(IF(AND(ISNUMBER(B439),ISNUMBER(H439)),B439/H439-1,""),"")</f>
        <v/>
      </c>
      <c r="J439" s="8">
        <f>IFERROR(IF(ISNUMBER(C439),MAX(C439,IFERROR(J438,C439)),""),"")</f>
        <v/>
      </c>
      <c r="K439" s="29">
        <f>IFERROR(IF(AND(ISNUMBER(C439),ISNUMBER(J439)),C439/J439-1,""),"")</f>
        <v/>
      </c>
      <c r="L439" s="28">
        <f>IFERROR(IF(AND(ISNUMBER(D439),ISNUMBER(E439)),D439-E439,""),"")</f>
        <v/>
      </c>
    </row>
    <row r="440">
      <c r="A440" s="7">
        <f>IFERROR(Datos!A440,"")</f>
        <v/>
      </c>
      <c r="B440" s="8">
        <f>IFERROR(Datos!B440,"")</f>
        <v/>
      </c>
      <c r="C440" s="8">
        <f>IFERROR(Datos!C440,"")</f>
        <v/>
      </c>
      <c r="D440" s="28">
        <f>IFERROR(IF(AND(ISNUMBER(B440),ISNUMBER(B439),B439&lt;&gt;0),B440/B439-1,""),"")</f>
        <v/>
      </c>
      <c r="E440" s="28">
        <f>IFERROR(IF(AND(ISNUMBER(C440),ISNUMBER(C439),C439&lt;&gt;0),C440/C439-1,""),"")</f>
        <v/>
      </c>
      <c r="F440" s="28">
        <f>IFERROR(D440-Dashboard!$B$4/252,"")</f>
        <v/>
      </c>
      <c r="G440" s="28">
        <f>IFERROR(E440-Dashboard!$B$4/252,"")</f>
        <v/>
      </c>
      <c r="H440" s="8">
        <f>IFERROR(IF(ISNUMBER(B440),MAX(B440,IFERROR(H439,B440)),""),"")</f>
        <v/>
      </c>
      <c r="I440" s="29">
        <f>IFERROR(IF(AND(ISNUMBER(B440),ISNUMBER(H440)),B440/H440-1,""),"")</f>
        <v/>
      </c>
      <c r="J440" s="8">
        <f>IFERROR(IF(ISNUMBER(C440),MAX(C440,IFERROR(J439,C440)),""),"")</f>
        <v/>
      </c>
      <c r="K440" s="29">
        <f>IFERROR(IF(AND(ISNUMBER(C440),ISNUMBER(J440)),C440/J440-1,""),"")</f>
        <v/>
      </c>
      <c r="L440" s="28">
        <f>IFERROR(IF(AND(ISNUMBER(D440),ISNUMBER(E440)),D440-E440,""),"")</f>
        <v/>
      </c>
    </row>
    <row r="441">
      <c r="A441" s="7">
        <f>IFERROR(Datos!A441,"")</f>
        <v/>
      </c>
      <c r="B441" s="8">
        <f>IFERROR(Datos!B441,"")</f>
        <v/>
      </c>
      <c r="C441" s="8">
        <f>IFERROR(Datos!C441,"")</f>
        <v/>
      </c>
      <c r="D441" s="28">
        <f>IFERROR(IF(AND(ISNUMBER(B441),ISNUMBER(B440),B440&lt;&gt;0),B441/B440-1,""),"")</f>
        <v/>
      </c>
      <c r="E441" s="28">
        <f>IFERROR(IF(AND(ISNUMBER(C441),ISNUMBER(C440),C440&lt;&gt;0),C441/C440-1,""),"")</f>
        <v/>
      </c>
      <c r="F441" s="28">
        <f>IFERROR(D441-Dashboard!$B$4/252,"")</f>
        <v/>
      </c>
      <c r="G441" s="28">
        <f>IFERROR(E441-Dashboard!$B$4/252,"")</f>
        <v/>
      </c>
      <c r="H441" s="8">
        <f>IFERROR(IF(ISNUMBER(B441),MAX(B441,IFERROR(H440,B441)),""),"")</f>
        <v/>
      </c>
      <c r="I441" s="29">
        <f>IFERROR(IF(AND(ISNUMBER(B441),ISNUMBER(H441)),B441/H441-1,""),"")</f>
        <v/>
      </c>
      <c r="J441" s="8">
        <f>IFERROR(IF(ISNUMBER(C441),MAX(C441,IFERROR(J440,C441)),""),"")</f>
        <v/>
      </c>
      <c r="K441" s="29">
        <f>IFERROR(IF(AND(ISNUMBER(C441),ISNUMBER(J441)),C441/J441-1,""),"")</f>
        <v/>
      </c>
      <c r="L441" s="28">
        <f>IFERROR(IF(AND(ISNUMBER(D441),ISNUMBER(E441)),D441-E441,""),"")</f>
        <v/>
      </c>
    </row>
    <row r="442">
      <c r="A442" s="7">
        <f>IFERROR(Datos!A442,"")</f>
        <v/>
      </c>
      <c r="B442" s="8">
        <f>IFERROR(Datos!B442,"")</f>
        <v/>
      </c>
      <c r="C442" s="8">
        <f>IFERROR(Datos!C442,"")</f>
        <v/>
      </c>
      <c r="D442" s="28">
        <f>IFERROR(IF(AND(ISNUMBER(B442),ISNUMBER(B441),B441&lt;&gt;0),B442/B441-1,""),"")</f>
        <v/>
      </c>
      <c r="E442" s="28">
        <f>IFERROR(IF(AND(ISNUMBER(C442),ISNUMBER(C441),C441&lt;&gt;0),C442/C441-1,""),"")</f>
        <v/>
      </c>
      <c r="F442" s="28">
        <f>IFERROR(D442-Dashboard!$B$4/252,"")</f>
        <v/>
      </c>
      <c r="G442" s="28">
        <f>IFERROR(E442-Dashboard!$B$4/252,"")</f>
        <v/>
      </c>
      <c r="H442" s="8">
        <f>IFERROR(IF(ISNUMBER(B442),MAX(B442,IFERROR(H441,B442)),""),"")</f>
        <v/>
      </c>
      <c r="I442" s="29">
        <f>IFERROR(IF(AND(ISNUMBER(B442),ISNUMBER(H442)),B442/H442-1,""),"")</f>
        <v/>
      </c>
      <c r="J442" s="8">
        <f>IFERROR(IF(ISNUMBER(C442),MAX(C442,IFERROR(J441,C442)),""),"")</f>
        <v/>
      </c>
      <c r="K442" s="29">
        <f>IFERROR(IF(AND(ISNUMBER(C442),ISNUMBER(J442)),C442/J442-1,""),"")</f>
        <v/>
      </c>
      <c r="L442" s="28">
        <f>IFERROR(IF(AND(ISNUMBER(D442),ISNUMBER(E442)),D442-E442,""),"")</f>
        <v/>
      </c>
    </row>
    <row r="443">
      <c r="A443" s="7">
        <f>IFERROR(Datos!A443,"")</f>
        <v/>
      </c>
      <c r="B443" s="8">
        <f>IFERROR(Datos!B443,"")</f>
        <v/>
      </c>
      <c r="C443" s="8">
        <f>IFERROR(Datos!C443,"")</f>
        <v/>
      </c>
      <c r="D443" s="28">
        <f>IFERROR(IF(AND(ISNUMBER(B443),ISNUMBER(B442),B442&lt;&gt;0),B443/B442-1,""),"")</f>
        <v/>
      </c>
      <c r="E443" s="28">
        <f>IFERROR(IF(AND(ISNUMBER(C443),ISNUMBER(C442),C442&lt;&gt;0),C443/C442-1,""),"")</f>
        <v/>
      </c>
      <c r="F443" s="28">
        <f>IFERROR(D443-Dashboard!$B$4/252,"")</f>
        <v/>
      </c>
      <c r="G443" s="28">
        <f>IFERROR(E443-Dashboard!$B$4/252,"")</f>
        <v/>
      </c>
      <c r="H443" s="8">
        <f>IFERROR(IF(ISNUMBER(B443),MAX(B443,IFERROR(H442,B443)),""),"")</f>
        <v/>
      </c>
      <c r="I443" s="29">
        <f>IFERROR(IF(AND(ISNUMBER(B443),ISNUMBER(H443)),B443/H443-1,""),"")</f>
        <v/>
      </c>
      <c r="J443" s="8">
        <f>IFERROR(IF(ISNUMBER(C443),MAX(C443,IFERROR(J442,C443)),""),"")</f>
        <v/>
      </c>
      <c r="K443" s="29">
        <f>IFERROR(IF(AND(ISNUMBER(C443),ISNUMBER(J443)),C443/J443-1,""),"")</f>
        <v/>
      </c>
      <c r="L443" s="28">
        <f>IFERROR(IF(AND(ISNUMBER(D443),ISNUMBER(E443)),D443-E443,""),"")</f>
        <v/>
      </c>
    </row>
    <row r="444">
      <c r="A444" s="7">
        <f>IFERROR(Datos!A444,"")</f>
        <v/>
      </c>
      <c r="B444" s="8">
        <f>IFERROR(Datos!B444,"")</f>
        <v/>
      </c>
      <c r="C444" s="8">
        <f>IFERROR(Datos!C444,"")</f>
        <v/>
      </c>
      <c r="D444" s="28">
        <f>IFERROR(IF(AND(ISNUMBER(B444),ISNUMBER(B443),B443&lt;&gt;0),B444/B443-1,""),"")</f>
        <v/>
      </c>
      <c r="E444" s="28">
        <f>IFERROR(IF(AND(ISNUMBER(C444),ISNUMBER(C443),C443&lt;&gt;0),C444/C443-1,""),"")</f>
        <v/>
      </c>
      <c r="F444" s="28">
        <f>IFERROR(D444-Dashboard!$B$4/252,"")</f>
        <v/>
      </c>
      <c r="G444" s="28">
        <f>IFERROR(E444-Dashboard!$B$4/252,"")</f>
        <v/>
      </c>
      <c r="H444" s="8">
        <f>IFERROR(IF(ISNUMBER(B444),MAX(B444,IFERROR(H443,B444)),""),"")</f>
        <v/>
      </c>
      <c r="I444" s="29">
        <f>IFERROR(IF(AND(ISNUMBER(B444),ISNUMBER(H444)),B444/H444-1,""),"")</f>
        <v/>
      </c>
      <c r="J444" s="8">
        <f>IFERROR(IF(ISNUMBER(C444),MAX(C444,IFERROR(J443,C444)),""),"")</f>
        <v/>
      </c>
      <c r="K444" s="29">
        <f>IFERROR(IF(AND(ISNUMBER(C444),ISNUMBER(J444)),C444/J444-1,""),"")</f>
        <v/>
      </c>
      <c r="L444" s="28">
        <f>IFERROR(IF(AND(ISNUMBER(D444),ISNUMBER(E444)),D444-E444,""),"")</f>
        <v/>
      </c>
    </row>
    <row r="445">
      <c r="A445" s="7">
        <f>IFERROR(Datos!A445,"")</f>
        <v/>
      </c>
      <c r="B445" s="8">
        <f>IFERROR(Datos!B445,"")</f>
        <v/>
      </c>
      <c r="C445" s="8">
        <f>IFERROR(Datos!C445,"")</f>
        <v/>
      </c>
      <c r="D445" s="28">
        <f>IFERROR(IF(AND(ISNUMBER(B445),ISNUMBER(B444),B444&lt;&gt;0),B445/B444-1,""),"")</f>
        <v/>
      </c>
      <c r="E445" s="28">
        <f>IFERROR(IF(AND(ISNUMBER(C445),ISNUMBER(C444),C444&lt;&gt;0),C445/C444-1,""),"")</f>
        <v/>
      </c>
      <c r="F445" s="28">
        <f>IFERROR(D445-Dashboard!$B$4/252,"")</f>
        <v/>
      </c>
      <c r="G445" s="28">
        <f>IFERROR(E445-Dashboard!$B$4/252,"")</f>
        <v/>
      </c>
      <c r="H445" s="8">
        <f>IFERROR(IF(ISNUMBER(B445),MAX(B445,IFERROR(H444,B445)),""),"")</f>
        <v/>
      </c>
      <c r="I445" s="29">
        <f>IFERROR(IF(AND(ISNUMBER(B445),ISNUMBER(H445)),B445/H445-1,""),"")</f>
        <v/>
      </c>
      <c r="J445" s="8">
        <f>IFERROR(IF(ISNUMBER(C445),MAX(C445,IFERROR(J444,C445)),""),"")</f>
        <v/>
      </c>
      <c r="K445" s="29">
        <f>IFERROR(IF(AND(ISNUMBER(C445),ISNUMBER(J445)),C445/J445-1,""),"")</f>
        <v/>
      </c>
      <c r="L445" s="28">
        <f>IFERROR(IF(AND(ISNUMBER(D445),ISNUMBER(E445)),D445-E445,""),"")</f>
        <v/>
      </c>
    </row>
    <row r="446">
      <c r="A446" s="7">
        <f>IFERROR(Datos!A446,"")</f>
        <v/>
      </c>
      <c r="B446" s="8">
        <f>IFERROR(Datos!B446,"")</f>
        <v/>
      </c>
      <c r="C446" s="8">
        <f>IFERROR(Datos!C446,"")</f>
        <v/>
      </c>
      <c r="D446" s="28">
        <f>IFERROR(IF(AND(ISNUMBER(B446),ISNUMBER(B445),B445&lt;&gt;0),B446/B445-1,""),"")</f>
        <v/>
      </c>
      <c r="E446" s="28">
        <f>IFERROR(IF(AND(ISNUMBER(C446),ISNUMBER(C445),C445&lt;&gt;0),C446/C445-1,""),"")</f>
        <v/>
      </c>
      <c r="F446" s="28">
        <f>IFERROR(D446-Dashboard!$B$4/252,"")</f>
        <v/>
      </c>
      <c r="G446" s="28">
        <f>IFERROR(E446-Dashboard!$B$4/252,"")</f>
        <v/>
      </c>
      <c r="H446" s="8">
        <f>IFERROR(IF(ISNUMBER(B446),MAX(B446,IFERROR(H445,B446)),""),"")</f>
        <v/>
      </c>
      <c r="I446" s="29">
        <f>IFERROR(IF(AND(ISNUMBER(B446),ISNUMBER(H446)),B446/H446-1,""),"")</f>
        <v/>
      </c>
      <c r="J446" s="8">
        <f>IFERROR(IF(ISNUMBER(C446),MAX(C446,IFERROR(J445,C446)),""),"")</f>
        <v/>
      </c>
      <c r="K446" s="29">
        <f>IFERROR(IF(AND(ISNUMBER(C446),ISNUMBER(J446)),C446/J446-1,""),"")</f>
        <v/>
      </c>
      <c r="L446" s="28">
        <f>IFERROR(IF(AND(ISNUMBER(D446),ISNUMBER(E446)),D446-E446,""),"")</f>
        <v/>
      </c>
    </row>
    <row r="447">
      <c r="A447" s="7">
        <f>IFERROR(Datos!A447,"")</f>
        <v/>
      </c>
      <c r="B447" s="8">
        <f>IFERROR(Datos!B447,"")</f>
        <v/>
      </c>
      <c r="C447" s="8">
        <f>IFERROR(Datos!C447,"")</f>
        <v/>
      </c>
      <c r="D447" s="28">
        <f>IFERROR(IF(AND(ISNUMBER(B447),ISNUMBER(B446),B446&lt;&gt;0),B447/B446-1,""),"")</f>
        <v/>
      </c>
      <c r="E447" s="28">
        <f>IFERROR(IF(AND(ISNUMBER(C447),ISNUMBER(C446),C446&lt;&gt;0),C447/C446-1,""),"")</f>
        <v/>
      </c>
      <c r="F447" s="28">
        <f>IFERROR(D447-Dashboard!$B$4/252,"")</f>
        <v/>
      </c>
      <c r="G447" s="28">
        <f>IFERROR(E447-Dashboard!$B$4/252,"")</f>
        <v/>
      </c>
      <c r="H447" s="8">
        <f>IFERROR(IF(ISNUMBER(B447),MAX(B447,IFERROR(H446,B447)),""),"")</f>
        <v/>
      </c>
      <c r="I447" s="29">
        <f>IFERROR(IF(AND(ISNUMBER(B447),ISNUMBER(H447)),B447/H447-1,""),"")</f>
        <v/>
      </c>
      <c r="J447" s="8">
        <f>IFERROR(IF(ISNUMBER(C447),MAX(C447,IFERROR(J446,C447)),""),"")</f>
        <v/>
      </c>
      <c r="K447" s="29">
        <f>IFERROR(IF(AND(ISNUMBER(C447),ISNUMBER(J447)),C447/J447-1,""),"")</f>
        <v/>
      </c>
      <c r="L447" s="28">
        <f>IFERROR(IF(AND(ISNUMBER(D447),ISNUMBER(E447)),D447-E447,""),"")</f>
        <v/>
      </c>
    </row>
    <row r="448">
      <c r="A448" s="7">
        <f>IFERROR(Datos!A448,"")</f>
        <v/>
      </c>
      <c r="B448" s="8">
        <f>IFERROR(Datos!B448,"")</f>
        <v/>
      </c>
      <c r="C448" s="8">
        <f>IFERROR(Datos!C448,"")</f>
        <v/>
      </c>
      <c r="D448" s="28">
        <f>IFERROR(IF(AND(ISNUMBER(B448),ISNUMBER(B447),B447&lt;&gt;0),B448/B447-1,""),"")</f>
        <v/>
      </c>
      <c r="E448" s="28">
        <f>IFERROR(IF(AND(ISNUMBER(C448),ISNUMBER(C447),C447&lt;&gt;0),C448/C447-1,""),"")</f>
        <v/>
      </c>
      <c r="F448" s="28">
        <f>IFERROR(D448-Dashboard!$B$4/252,"")</f>
        <v/>
      </c>
      <c r="G448" s="28">
        <f>IFERROR(E448-Dashboard!$B$4/252,"")</f>
        <v/>
      </c>
      <c r="H448" s="8">
        <f>IFERROR(IF(ISNUMBER(B448),MAX(B448,IFERROR(H447,B448)),""),"")</f>
        <v/>
      </c>
      <c r="I448" s="29">
        <f>IFERROR(IF(AND(ISNUMBER(B448),ISNUMBER(H448)),B448/H448-1,""),"")</f>
        <v/>
      </c>
      <c r="J448" s="8">
        <f>IFERROR(IF(ISNUMBER(C448),MAX(C448,IFERROR(J447,C448)),""),"")</f>
        <v/>
      </c>
      <c r="K448" s="29">
        <f>IFERROR(IF(AND(ISNUMBER(C448),ISNUMBER(J448)),C448/J448-1,""),"")</f>
        <v/>
      </c>
      <c r="L448" s="28">
        <f>IFERROR(IF(AND(ISNUMBER(D448),ISNUMBER(E448)),D448-E448,""),"")</f>
        <v/>
      </c>
    </row>
    <row r="449">
      <c r="A449" s="7">
        <f>IFERROR(Datos!A449,"")</f>
        <v/>
      </c>
      <c r="B449" s="8">
        <f>IFERROR(Datos!B449,"")</f>
        <v/>
      </c>
      <c r="C449" s="8">
        <f>IFERROR(Datos!C449,"")</f>
        <v/>
      </c>
      <c r="D449" s="28">
        <f>IFERROR(IF(AND(ISNUMBER(B449),ISNUMBER(B448),B448&lt;&gt;0),B449/B448-1,""),"")</f>
        <v/>
      </c>
      <c r="E449" s="28">
        <f>IFERROR(IF(AND(ISNUMBER(C449),ISNUMBER(C448),C448&lt;&gt;0),C449/C448-1,""),"")</f>
        <v/>
      </c>
      <c r="F449" s="28">
        <f>IFERROR(D449-Dashboard!$B$4/252,"")</f>
        <v/>
      </c>
      <c r="G449" s="28">
        <f>IFERROR(E449-Dashboard!$B$4/252,"")</f>
        <v/>
      </c>
      <c r="H449" s="8">
        <f>IFERROR(IF(ISNUMBER(B449),MAX(B449,IFERROR(H448,B449)),""),"")</f>
        <v/>
      </c>
      <c r="I449" s="29">
        <f>IFERROR(IF(AND(ISNUMBER(B449),ISNUMBER(H449)),B449/H449-1,""),"")</f>
        <v/>
      </c>
      <c r="J449" s="8">
        <f>IFERROR(IF(ISNUMBER(C449),MAX(C449,IFERROR(J448,C449)),""),"")</f>
        <v/>
      </c>
      <c r="K449" s="29">
        <f>IFERROR(IF(AND(ISNUMBER(C449),ISNUMBER(J449)),C449/J449-1,""),"")</f>
        <v/>
      </c>
      <c r="L449" s="28">
        <f>IFERROR(IF(AND(ISNUMBER(D449),ISNUMBER(E449)),D449-E449,""),"")</f>
        <v/>
      </c>
    </row>
    <row r="450">
      <c r="A450" s="7">
        <f>IFERROR(Datos!A450,"")</f>
        <v/>
      </c>
      <c r="B450" s="8">
        <f>IFERROR(Datos!B450,"")</f>
        <v/>
      </c>
      <c r="C450" s="8">
        <f>IFERROR(Datos!C450,"")</f>
        <v/>
      </c>
      <c r="D450" s="28">
        <f>IFERROR(IF(AND(ISNUMBER(B450),ISNUMBER(B449),B449&lt;&gt;0),B450/B449-1,""),"")</f>
        <v/>
      </c>
      <c r="E450" s="28">
        <f>IFERROR(IF(AND(ISNUMBER(C450),ISNUMBER(C449),C449&lt;&gt;0),C450/C449-1,""),"")</f>
        <v/>
      </c>
      <c r="F450" s="28">
        <f>IFERROR(D450-Dashboard!$B$4/252,"")</f>
        <v/>
      </c>
      <c r="G450" s="28">
        <f>IFERROR(E450-Dashboard!$B$4/252,"")</f>
        <v/>
      </c>
      <c r="H450" s="8">
        <f>IFERROR(IF(ISNUMBER(B450),MAX(B450,IFERROR(H449,B450)),""),"")</f>
        <v/>
      </c>
      <c r="I450" s="29">
        <f>IFERROR(IF(AND(ISNUMBER(B450),ISNUMBER(H450)),B450/H450-1,""),"")</f>
        <v/>
      </c>
      <c r="J450" s="8">
        <f>IFERROR(IF(ISNUMBER(C450),MAX(C450,IFERROR(J449,C450)),""),"")</f>
        <v/>
      </c>
      <c r="K450" s="29">
        <f>IFERROR(IF(AND(ISNUMBER(C450),ISNUMBER(J450)),C450/J450-1,""),"")</f>
        <v/>
      </c>
      <c r="L450" s="28">
        <f>IFERROR(IF(AND(ISNUMBER(D450),ISNUMBER(E450)),D450-E450,""),"")</f>
        <v/>
      </c>
    </row>
    <row r="451">
      <c r="A451" s="7">
        <f>IFERROR(Datos!A451,"")</f>
        <v/>
      </c>
      <c r="B451" s="8">
        <f>IFERROR(Datos!B451,"")</f>
        <v/>
      </c>
      <c r="C451" s="8">
        <f>IFERROR(Datos!C451,"")</f>
        <v/>
      </c>
      <c r="D451" s="28">
        <f>IFERROR(IF(AND(ISNUMBER(B451),ISNUMBER(B450),B450&lt;&gt;0),B451/B450-1,""),"")</f>
        <v/>
      </c>
      <c r="E451" s="28">
        <f>IFERROR(IF(AND(ISNUMBER(C451),ISNUMBER(C450),C450&lt;&gt;0),C451/C450-1,""),"")</f>
        <v/>
      </c>
      <c r="F451" s="28">
        <f>IFERROR(D451-Dashboard!$B$4/252,"")</f>
        <v/>
      </c>
      <c r="G451" s="28">
        <f>IFERROR(E451-Dashboard!$B$4/252,"")</f>
        <v/>
      </c>
      <c r="H451" s="8">
        <f>IFERROR(IF(ISNUMBER(B451),MAX(B451,IFERROR(H450,B451)),""),"")</f>
        <v/>
      </c>
      <c r="I451" s="29">
        <f>IFERROR(IF(AND(ISNUMBER(B451),ISNUMBER(H451)),B451/H451-1,""),"")</f>
        <v/>
      </c>
      <c r="J451" s="8">
        <f>IFERROR(IF(ISNUMBER(C451),MAX(C451,IFERROR(J450,C451)),""),"")</f>
        <v/>
      </c>
      <c r="K451" s="29">
        <f>IFERROR(IF(AND(ISNUMBER(C451),ISNUMBER(J451)),C451/J451-1,""),"")</f>
        <v/>
      </c>
      <c r="L451" s="28">
        <f>IFERROR(IF(AND(ISNUMBER(D451),ISNUMBER(E451)),D451-E451,""),"")</f>
        <v/>
      </c>
    </row>
    <row r="452">
      <c r="A452" s="7">
        <f>IFERROR(Datos!A452,"")</f>
        <v/>
      </c>
      <c r="B452" s="8">
        <f>IFERROR(Datos!B452,"")</f>
        <v/>
      </c>
      <c r="C452" s="8">
        <f>IFERROR(Datos!C452,"")</f>
        <v/>
      </c>
      <c r="D452" s="28">
        <f>IFERROR(IF(AND(ISNUMBER(B452),ISNUMBER(B451),B451&lt;&gt;0),B452/B451-1,""),"")</f>
        <v/>
      </c>
      <c r="E452" s="28">
        <f>IFERROR(IF(AND(ISNUMBER(C452),ISNUMBER(C451),C451&lt;&gt;0),C452/C451-1,""),"")</f>
        <v/>
      </c>
      <c r="F452" s="28">
        <f>IFERROR(D452-Dashboard!$B$4/252,"")</f>
        <v/>
      </c>
      <c r="G452" s="28">
        <f>IFERROR(E452-Dashboard!$B$4/252,"")</f>
        <v/>
      </c>
      <c r="H452" s="8">
        <f>IFERROR(IF(ISNUMBER(B452),MAX(B452,IFERROR(H451,B452)),""),"")</f>
        <v/>
      </c>
      <c r="I452" s="29">
        <f>IFERROR(IF(AND(ISNUMBER(B452),ISNUMBER(H452)),B452/H452-1,""),"")</f>
        <v/>
      </c>
      <c r="J452" s="8">
        <f>IFERROR(IF(ISNUMBER(C452),MAX(C452,IFERROR(J451,C452)),""),"")</f>
        <v/>
      </c>
      <c r="K452" s="29">
        <f>IFERROR(IF(AND(ISNUMBER(C452),ISNUMBER(J452)),C452/J452-1,""),"")</f>
        <v/>
      </c>
      <c r="L452" s="28">
        <f>IFERROR(IF(AND(ISNUMBER(D452),ISNUMBER(E452)),D452-E452,""),"")</f>
        <v/>
      </c>
    </row>
    <row r="453">
      <c r="A453" s="7">
        <f>IFERROR(Datos!A453,"")</f>
        <v/>
      </c>
      <c r="B453" s="8">
        <f>IFERROR(Datos!B453,"")</f>
        <v/>
      </c>
      <c r="C453" s="8">
        <f>IFERROR(Datos!C453,"")</f>
        <v/>
      </c>
      <c r="D453" s="28">
        <f>IFERROR(IF(AND(ISNUMBER(B453),ISNUMBER(B452),B452&lt;&gt;0),B453/B452-1,""),"")</f>
        <v/>
      </c>
      <c r="E453" s="28">
        <f>IFERROR(IF(AND(ISNUMBER(C453),ISNUMBER(C452),C452&lt;&gt;0),C453/C452-1,""),"")</f>
        <v/>
      </c>
      <c r="F453" s="28">
        <f>IFERROR(D453-Dashboard!$B$4/252,"")</f>
        <v/>
      </c>
      <c r="G453" s="28">
        <f>IFERROR(E453-Dashboard!$B$4/252,"")</f>
        <v/>
      </c>
      <c r="H453" s="8">
        <f>IFERROR(IF(ISNUMBER(B453),MAX(B453,IFERROR(H452,B453)),""),"")</f>
        <v/>
      </c>
      <c r="I453" s="29">
        <f>IFERROR(IF(AND(ISNUMBER(B453),ISNUMBER(H453)),B453/H453-1,""),"")</f>
        <v/>
      </c>
      <c r="J453" s="8">
        <f>IFERROR(IF(ISNUMBER(C453),MAX(C453,IFERROR(J452,C453)),""),"")</f>
        <v/>
      </c>
      <c r="K453" s="29">
        <f>IFERROR(IF(AND(ISNUMBER(C453),ISNUMBER(J453)),C453/J453-1,""),"")</f>
        <v/>
      </c>
      <c r="L453" s="28">
        <f>IFERROR(IF(AND(ISNUMBER(D453),ISNUMBER(E453)),D453-E453,""),"")</f>
        <v/>
      </c>
    </row>
    <row r="454">
      <c r="A454" s="7">
        <f>IFERROR(Datos!A454,"")</f>
        <v/>
      </c>
      <c r="B454" s="8">
        <f>IFERROR(Datos!B454,"")</f>
        <v/>
      </c>
      <c r="C454" s="8">
        <f>IFERROR(Datos!C454,"")</f>
        <v/>
      </c>
      <c r="D454" s="28">
        <f>IFERROR(IF(AND(ISNUMBER(B454),ISNUMBER(B453),B453&lt;&gt;0),B454/B453-1,""),"")</f>
        <v/>
      </c>
      <c r="E454" s="28">
        <f>IFERROR(IF(AND(ISNUMBER(C454),ISNUMBER(C453),C453&lt;&gt;0),C454/C453-1,""),"")</f>
        <v/>
      </c>
      <c r="F454" s="28">
        <f>IFERROR(D454-Dashboard!$B$4/252,"")</f>
        <v/>
      </c>
      <c r="G454" s="28">
        <f>IFERROR(E454-Dashboard!$B$4/252,"")</f>
        <v/>
      </c>
      <c r="H454" s="8">
        <f>IFERROR(IF(ISNUMBER(B454),MAX(B454,IFERROR(H453,B454)),""),"")</f>
        <v/>
      </c>
      <c r="I454" s="29">
        <f>IFERROR(IF(AND(ISNUMBER(B454),ISNUMBER(H454)),B454/H454-1,""),"")</f>
        <v/>
      </c>
      <c r="J454" s="8">
        <f>IFERROR(IF(ISNUMBER(C454),MAX(C454,IFERROR(J453,C454)),""),"")</f>
        <v/>
      </c>
      <c r="K454" s="29">
        <f>IFERROR(IF(AND(ISNUMBER(C454),ISNUMBER(J454)),C454/J454-1,""),"")</f>
        <v/>
      </c>
      <c r="L454" s="28">
        <f>IFERROR(IF(AND(ISNUMBER(D454),ISNUMBER(E454)),D454-E454,""),"")</f>
        <v/>
      </c>
    </row>
    <row r="455">
      <c r="A455" s="7">
        <f>IFERROR(Datos!A455,"")</f>
        <v/>
      </c>
      <c r="B455" s="8">
        <f>IFERROR(Datos!B455,"")</f>
        <v/>
      </c>
      <c r="C455" s="8">
        <f>IFERROR(Datos!C455,"")</f>
        <v/>
      </c>
      <c r="D455" s="28">
        <f>IFERROR(IF(AND(ISNUMBER(B455),ISNUMBER(B454),B454&lt;&gt;0),B455/B454-1,""),"")</f>
        <v/>
      </c>
      <c r="E455" s="28">
        <f>IFERROR(IF(AND(ISNUMBER(C455),ISNUMBER(C454),C454&lt;&gt;0),C455/C454-1,""),"")</f>
        <v/>
      </c>
      <c r="F455" s="28">
        <f>IFERROR(D455-Dashboard!$B$4/252,"")</f>
        <v/>
      </c>
      <c r="G455" s="28">
        <f>IFERROR(E455-Dashboard!$B$4/252,"")</f>
        <v/>
      </c>
      <c r="H455" s="8">
        <f>IFERROR(IF(ISNUMBER(B455),MAX(B455,IFERROR(H454,B455)),""),"")</f>
        <v/>
      </c>
      <c r="I455" s="29">
        <f>IFERROR(IF(AND(ISNUMBER(B455),ISNUMBER(H455)),B455/H455-1,""),"")</f>
        <v/>
      </c>
      <c r="J455" s="8">
        <f>IFERROR(IF(ISNUMBER(C455),MAX(C455,IFERROR(J454,C455)),""),"")</f>
        <v/>
      </c>
      <c r="K455" s="29">
        <f>IFERROR(IF(AND(ISNUMBER(C455),ISNUMBER(J455)),C455/J455-1,""),"")</f>
        <v/>
      </c>
      <c r="L455" s="28">
        <f>IFERROR(IF(AND(ISNUMBER(D455),ISNUMBER(E455)),D455-E455,""),"")</f>
        <v/>
      </c>
    </row>
    <row r="456">
      <c r="A456" s="7">
        <f>IFERROR(Datos!A456,"")</f>
        <v/>
      </c>
      <c r="B456" s="8">
        <f>IFERROR(Datos!B456,"")</f>
        <v/>
      </c>
      <c r="C456" s="8">
        <f>IFERROR(Datos!C456,"")</f>
        <v/>
      </c>
      <c r="D456" s="28">
        <f>IFERROR(IF(AND(ISNUMBER(B456),ISNUMBER(B455),B455&lt;&gt;0),B456/B455-1,""),"")</f>
        <v/>
      </c>
      <c r="E456" s="28">
        <f>IFERROR(IF(AND(ISNUMBER(C456),ISNUMBER(C455),C455&lt;&gt;0),C456/C455-1,""),"")</f>
        <v/>
      </c>
      <c r="F456" s="28">
        <f>IFERROR(D456-Dashboard!$B$4/252,"")</f>
        <v/>
      </c>
      <c r="G456" s="28">
        <f>IFERROR(E456-Dashboard!$B$4/252,"")</f>
        <v/>
      </c>
      <c r="H456" s="8">
        <f>IFERROR(IF(ISNUMBER(B456),MAX(B456,IFERROR(H455,B456)),""),"")</f>
        <v/>
      </c>
      <c r="I456" s="29">
        <f>IFERROR(IF(AND(ISNUMBER(B456),ISNUMBER(H456)),B456/H456-1,""),"")</f>
        <v/>
      </c>
      <c r="J456" s="8">
        <f>IFERROR(IF(ISNUMBER(C456),MAX(C456,IFERROR(J455,C456)),""),"")</f>
        <v/>
      </c>
      <c r="K456" s="29">
        <f>IFERROR(IF(AND(ISNUMBER(C456),ISNUMBER(J456)),C456/J456-1,""),"")</f>
        <v/>
      </c>
      <c r="L456" s="28">
        <f>IFERROR(IF(AND(ISNUMBER(D456),ISNUMBER(E456)),D456-E456,""),"")</f>
        <v/>
      </c>
    </row>
    <row r="457">
      <c r="A457" s="7">
        <f>IFERROR(Datos!A457,"")</f>
        <v/>
      </c>
      <c r="B457" s="8">
        <f>IFERROR(Datos!B457,"")</f>
        <v/>
      </c>
      <c r="C457" s="8">
        <f>IFERROR(Datos!C457,"")</f>
        <v/>
      </c>
      <c r="D457" s="28">
        <f>IFERROR(IF(AND(ISNUMBER(B457),ISNUMBER(B456),B456&lt;&gt;0),B457/B456-1,""),"")</f>
        <v/>
      </c>
      <c r="E457" s="28">
        <f>IFERROR(IF(AND(ISNUMBER(C457),ISNUMBER(C456),C456&lt;&gt;0),C457/C456-1,""),"")</f>
        <v/>
      </c>
      <c r="F457" s="28">
        <f>IFERROR(D457-Dashboard!$B$4/252,"")</f>
        <v/>
      </c>
      <c r="G457" s="28">
        <f>IFERROR(E457-Dashboard!$B$4/252,"")</f>
        <v/>
      </c>
      <c r="H457" s="8">
        <f>IFERROR(IF(ISNUMBER(B457),MAX(B457,IFERROR(H456,B457)),""),"")</f>
        <v/>
      </c>
      <c r="I457" s="29">
        <f>IFERROR(IF(AND(ISNUMBER(B457),ISNUMBER(H457)),B457/H457-1,""),"")</f>
        <v/>
      </c>
      <c r="J457" s="8">
        <f>IFERROR(IF(ISNUMBER(C457),MAX(C457,IFERROR(J456,C457)),""),"")</f>
        <v/>
      </c>
      <c r="K457" s="29">
        <f>IFERROR(IF(AND(ISNUMBER(C457),ISNUMBER(J457)),C457/J457-1,""),"")</f>
        <v/>
      </c>
      <c r="L457" s="28">
        <f>IFERROR(IF(AND(ISNUMBER(D457),ISNUMBER(E457)),D457-E457,""),"")</f>
        <v/>
      </c>
    </row>
    <row r="458">
      <c r="A458" s="7">
        <f>IFERROR(Datos!A458,"")</f>
        <v/>
      </c>
      <c r="B458" s="8">
        <f>IFERROR(Datos!B458,"")</f>
        <v/>
      </c>
      <c r="C458" s="8">
        <f>IFERROR(Datos!C458,"")</f>
        <v/>
      </c>
      <c r="D458" s="28">
        <f>IFERROR(IF(AND(ISNUMBER(B458),ISNUMBER(B457),B457&lt;&gt;0),B458/B457-1,""),"")</f>
        <v/>
      </c>
      <c r="E458" s="28">
        <f>IFERROR(IF(AND(ISNUMBER(C458),ISNUMBER(C457),C457&lt;&gt;0),C458/C457-1,""),"")</f>
        <v/>
      </c>
      <c r="F458" s="28">
        <f>IFERROR(D458-Dashboard!$B$4/252,"")</f>
        <v/>
      </c>
      <c r="G458" s="28">
        <f>IFERROR(E458-Dashboard!$B$4/252,"")</f>
        <v/>
      </c>
      <c r="H458" s="8">
        <f>IFERROR(IF(ISNUMBER(B458),MAX(B458,IFERROR(H457,B458)),""),"")</f>
        <v/>
      </c>
      <c r="I458" s="29">
        <f>IFERROR(IF(AND(ISNUMBER(B458),ISNUMBER(H458)),B458/H458-1,""),"")</f>
        <v/>
      </c>
      <c r="J458" s="8">
        <f>IFERROR(IF(ISNUMBER(C458),MAX(C458,IFERROR(J457,C458)),""),"")</f>
        <v/>
      </c>
      <c r="K458" s="29">
        <f>IFERROR(IF(AND(ISNUMBER(C458),ISNUMBER(J458)),C458/J458-1,""),"")</f>
        <v/>
      </c>
      <c r="L458" s="28">
        <f>IFERROR(IF(AND(ISNUMBER(D458),ISNUMBER(E458)),D458-E458,""),"")</f>
        <v/>
      </c>
    </row>
    <row r="459">
      <c r="A459" s="7">
        <f>IFERROR(Datos!A459,"")</f>
        <v/>
      </c>
      <c r="B459" s="8">
        <f>IFERROR(Datos!B459,"")</f>
        <v/>
      </c>
      <c r="C459" s="8">
        <f>IFERROR(Datos!C459,"")</f>
        <v/>
      </c>
      <c r="D459" s="28">
        <f>IFERROR(IF(AND(ISNUMBER(B459),ISNUMBER(B458),B458&lt;&gt;0),B459/B458-1,""),"")</f>
        <v/>
      </c>
      <c r="E459" s="28">
        <f>IFERROR(IF(AND(ISNUMBER(C459),ISNUMBER(C458),C458&lt;&gt;0),C459/C458-1,""),"")</f>
        <v/>
      </c>
      <c r="F459" s="28">
        <f>IFERROR(D459-Dashboard!$B$4/252,"")</f>
        <v/>
      </c>
      <c r="G459" s="28">
        <f>IFERROR(E459-Dashboard!$B$4/252,"")</f>
        <v/>
      </c>
      <c r="H459" s="8">
        <f>IFERROR(IF(ISNUMBER(B459),MAX(B459,IFERROR(H458,B459)),""),"")</f>
        <v/>
      </c>
      <c r="I459" s="29">
        <f>IFERROR(IF(AND(ISNUMBER(B459),ISNUMBER(H459)),B459/H459-1,""),"")</f>
        <v/>
      </c>
      <c r="J459" s="8">
        <f>IFERROR(IF(ISNUMBER(C459),MAX(C459,IFERROR(J458,C459)),""),"")</f>
        <v/>
      </c>
      <c r="K459" s="29">
        <f>IFERROR(IF(AND(ISNUMBER(C459),ISNUMBER(J459)),C459/J459-1,""),"")</f>
        <v/>
      </c>
      <c r="L459" s="28">
        <f>IFERROR(IF(AND(ISNUMBER(D459),ISNUMBER(E459)),D459-E459,""),"")</f>
        <v/>
      </c>
    </row>
    <row r="460">
      <c r="A460" s="7">
        <f>IFERROR(Datos!A460,"")</f>
        <v/>
      </c>
      <c r="B460" s="8">
        <f>IFERROR(Datos!B460,"")</f>
        <v/>
      </c>
      <c r="C460" s="8">
        <f>IFERROR(Datos!C460,"")</f>
        <v/>
      </c>
      <c r="D460" s="28">
        <f>IFERROR(IF(AND(ISNUMBER(B460),ISNUMBER(B459),B459&lt;&gt;0),B460/B459-1,""),"")</f>
        <v/>
      </c>
      <c r="E460" s="28">
        <f>IFERROR(IF(AND(ISNUMBER(C460),ISNUMBER(C459),C459&lt;&gt;0),C460/C459-1,""),"")</f>
        <v/>
      </c>
      <c r="F460" s="28">
        <f>IFERROR(D460-Dashboard!$B$4/252,"")</f>
        <v/>
      </c>
      <c r="G460" s="28">
        <f>IFERROR(E460-Dashboard!$B$4/252,"")</f>
        <v/>
      </c>
      <c r="H460" s="8">
        <f>IFERROR(IF(ISNUMBER(B460),MAX(B460,IFERROR(H459,B460)),""),"")</f>
        <v/>
      </c>
      <c r="I460" s="29">
        <f>IFERROR(IF(AND(ISNUMBER(B460),ISNUMBER(H460)),B460/H460-1,""),"")</f>
        <v/>
      </c>
      <c r="J460" s="8">
        <f>IFERROR(IF(ISNUMBER(C460),MAX(C460,IFERROR(J459,C460)),""),"")</f>
        <v/>
      </c>
      <c r="K460" s="29">
        <f>IFERROR(IF(AND(ISNUMBER(C460),ISNUMBER(J460)),C460/J460-1,""),"")</f>
        <v/>
      </c>
      <c r="L460" s="28">
        <f>IFERROR(IF(AND(ISNUMBER(D460),ISNUMBER(E460)),D460-E460,""),"")</f>
        <v/>
      </c>
    </row>
    <row r="461">
      <c r="A461" s="7">
        <f>IFERROR(Datos!A461,"")</f>
        <v/>
      </c>
      <c r="B461" s="8">
        <f>IFERROR(Datos!B461,"")</f>
        <v/>
      </c>
      <c r="C461" s="8">
        <f>IFERROR(Datos!C461,"")</f>
        <v/>
      </c>
      <c r="D461" s="28">
        <f>IFERROR(IF(AND(ISNUMBER(B461),ISNUMBER(B460),B460&lt;&gt;0),B461/B460-1,""),"")</f>
        <v/>
      </c>
      <c r="E461" s="28">
        <f>IFERROR(IF(AND(ISNUMBER(C461),ISNUMBER(C460),C460&lt;&gt;0),C461/C460-1,""),"")</f>
        <v/>
      </c>
      <c r="F461" s="28">
        <f>IFERROR(D461-Dashboard!$B$4/252,"")</f>
        <v/>
      </c>
      <c r="G461" s="28">
        <f>IFERROR(E461-Dashboard!$B$4/252,"")</f>
        <v/>
      </c>
      <c r="H461" s="8">
        <f>IFERROR(IF(ISNUMBER(B461),MAX(B461,IFERROR(H460,B461)),""),"")</f>
        <v/>
      </c>
      <c r="I461" s="29">
        <f>IFERROR(IF(AND(ISNUMBER(B461),ISNUMBER(H461)),B461/H461-1,""),"")</f>
        <v/>
      </c>
      <c r="J461" s="8">
        <f>IFERROR(IF(ISNUMBER(C461),MAX(C461,IFERROR(J460,C461)),""),"")</f>
        <v/>
      </c>
      <c r="K461" s="29">
        <f>IFERROR(IF(AND(ISNUMBER(C461),ISNUMBER(J461)),C461/J461-1,""),"")</f>
        <v/>
      </c>
      <c r="L461" s="28">
        <f>IFERROR(IF(AND(ISNUMBER(D461),ISNUMBER(E461)),D461-E461,""),"")</f>
        <v/>
      </c>
    </row>
    <row r="462">
      <c r="A462" s="7">
        <f>IFERROR(Datos!A462,"")</f>
        <v/>
      </c>
      <c r="B462" s="8">
        <f>IFERROR(Datos!B462,"")</f>
        <v/>
      </c>
      <c r="C462" s="8">
        <f>IFERROR(Datos!C462,"")</f>
        <v/>
      </c>
      <c r="D462" s="28">
        <f>IFERROR(IF(AND(ISNUMBER(B462),ISNUMBER(B461),B461&lt;&gt;0),B462/B461-1,""),"")</f>
        <v/>
      </c>
      <c r="E462" s="28">
        <f>IFERROR(IF(AND(ISNUMBER(C462),ISNUMBER(C461),C461&lt;&gt;0),C462/C461-1,""),"")</f>
        <v/>
      </c>
      <c r="F462" s="28">
        <f>IFERROR(D462-Dashboard!$B$4/252,"")</f>
        <v/>
      </c>
      <c r="G462" s="28">
        <f>IFERROR(E462-Dashboard!$B$4/252,"")</f>
        <v/>
      </c>
      <c r="H462" s="8">
        <f>IFERROR(IF(ISNUMBER(B462),MAX(B462,IFERROR(H461,B462)),""),"")</f>
        <v/>
      </c>
      <c r="I462" s="29">
        <f>IFERROR(IF(AND(ISNUMBER(B462),ISNUMBER(H462)),B462/H462-1,""),"")</f>
        <v/>
      </c>
      <c r="J462" s="8">
        <f>IFERROR(IF(ISNUMBER(C462),MAX(C462,IFERROR(J461,C462)),""),"")</f>
        <v/>
      </c>
      <c r="K462" s="29">
        <f>IFERROR(IF(AND(ISNUMBER(C462),ISNUMBER(J462)),C462/J462-1,""),"")</f>
        <v/>
      </c>
      <c r="L462" s="28">
        <f>IFERROR(IF(AND(ISNUMBER(D462),ISNUMBER(E462)),D462-E462,""),"")</f>
        <v/>
      </c>
    </row>
    <row r="463">
      <c r="A463" s="7">
        <f>IFERROR(Datos!A463,"")</f>
        <v/>
      </c>
      <c r="B463" s="8">
        <f>IFERROR(Datos!B463,"")</f>
        <v/>
      </c>
      <c r="C463" s="8">
        <f>IFERROR(Datos!C463,"")</f>
        <v/>
      </c>
      <c r="D463" s="28">
        <f>IFERROR(IF(AND(ISNUMBER(B463),ISNUMBER(B462),B462&lt;&gt;0),B463/B462-1,""),"")</f>
        <v/>
      </c>
      <c r="E463" s="28">
        <f>IFERROR(IF(AND(ISNUMBER(C463),ISNUMBER(C462),C462&lt;&gt;0),C463/C462-1,""),"")</f>
        <v/>
      </c>
      <c r="F463" s="28">
        <f>IFERROR(D463-Dashboard!$B$4/252,"")</f>
        <v/>
      </c>
      <c r="G463" s="28">
        <f>IFERROR(E463-Dashboard!$B$4/252,"")</f>
        <v/>
      </c>
      <c r="H463" s="8">
        <f>IFERROR(IF(ISNUMBER(B463),MAX(B463,IFERROR(H462,B463)),""),"")</f>
        <v/>
      </c>
      <c r="I463" s="29">
        <f>IFERROR(IF(AND(ISNUMBER(B463),ISNUMBER(H463)),B463/H463-1,""),"")</f>
        <v/>
      </c>
      <c r="J463" s="8">
        <f>IFERROR(IF(ISNUMBER(C463),MAX(C463,IFERROR(J462,C463)),""),"")</f>
        <v/>
      </c>
      <c r="K463" s="29">
        <f>IFERROR(IF(AND(ISNUMBER(C463),ISNUMBER(J463)),C463/J463-1,""),"")</f>
        <v/>
      </c>
      <c r="L463" s="28">
        <f>IFERROR(IF(AND(ISNUMBER(D463),ISNUMBER(E463)),D463-E463,""),"")</f>
        <v/>
      </c>
    </row>
    <row r="464">
      <c r="A464" s="7">
        <f>IFERROR(Datos!A464,"")</f>
        <v/>
      </c>
      <c r="B464" s="8">
        <f>IFERROR(Datos!B464,"")</f>
        <v/>
      </c>
      <c r="C464" s="8">
        <f>IFERROR(Datos!C464,"")</f>
        <v/>
      </c>
      <c r="D464" s="28">
        <f>IFERROR(IF(AND(ISNUMBER(B464),ISNUMBER(B463),B463&lt;&gt;0),B464/B463-1,""),"")</f>
        <v/>
      </c>
      <c r="E464" s="28">
        <f>IFERROR(IF(AND(ISNUMBER(C464),ISNUMBER(C463),C463&lt;&gt;0),C464/C463-1,""),"")</f>
        <v/>
      </c>
      <c r="F464" s="28">
        <f>IFERROR(D464-Dashboard!$B$4/252,"")</f>
        <v/>
      </c>
      <c r="G464" s="28">
        <f>IFERROR(E464-Dashboard!$B$4/252,"")</f>
        <v/>
      </c>
      <c r="H464" s="8">
        <f>IFERROR(IF(ISNUMBER(B464),MAX(B464,IFERROR(H463,B464)),""),"")</f>
        <v/>
      </c>
      <c r="I464" s="29">
        <f>IFERROR(IF(AND(ISNUMBER(B464),ISNUMBER(H464)),B464/H464-1,""),"")</f>
        <v/>
      </c>
      <c r="J464" s="8">
        <f>IFERROR(IF(ISNUMBER(C464),MAX(C464,IFERROR(J463,C464)),""),"")</f>
        <v/>
      </c>
      <c r="K464" s="29">
        <f>IFERROR(IF(AND(ISNUMBER(C464),ISNUMBER(J464)),C464/J464-1,""),"")</f>
        <v/>
      </c>
      <c r="L464" s="28">
        <f>IFERROR(IF(AND(ISNUMBER(D464),ISNUMBER(E464)),D464-E464,""),"")</f>
        <v/>
      </c>
    </row>
    <row r="465">
      <c r="A465" s="7">
        <f>IFERROR(Datos!A465,"")</f>
        <v/>
      </c>
      <c r="B465" s="8">
        <f>IFERROR(Datos!B465,"")</f>
        <v/>
      </c>
      <c r="C465" s="8">
        <f>IFERROR(Datos!C465,"")</f>
        <v/>
      </c>
      <c r="D465" s="28">
        <f>IFERROR(IF(AND(ISNUMBER(B465),ISNUMBER(B464),B464&lt;&gt;0),B465/B464-1,""),"")</f>
        <v/>
      </c>
      <c r="E465" s="28">
        <f>IFERROR(IF(AND(ISNUMBER(C465),ISNUMBER(C464),C464&lt;&gt;0),C465/C464-1,""),"")</f>
        <v/>
      </c>
      <c r="F465" s="28">
        <f>IFERROR(D465-Dashboard!$B$4/252,"")</f>
        <v/>
      </c>
      <c r="G465" s="28">
        <f>IFERROR(E465-Dashboard!$B$4/252,"")</f>
        <v/>
      </c>
      <c r="H465" s="8">
        <f>IFERROR(IF(ISNUMBER(B465),MAX(B465,IFERROR(H464,B465)),""),"")</f>
        <v/>
      </c>
      <c r="I465" s="29">
        <f>IFERROR(IF(AND(ISNUMBER(B465),ISNUMBER(H465)),B465/H465-1,""),"")</f>
        <v/>
      </c>
      <c r="J465" s="8">
        <f>IFERROR(IF(ISNUMBER(C465),MAX(C465,IFERROR(J464,C465)),""),"")</f>
        <v/>
      </c>
      <c r="K465" s="29">
        <f>IFERROR(IF(AND(ISNUMBER(C465),ISNUMBER(J465)),C465/J465-1,""),"")</f>
        <v/>
      </c>
      <c r="L465" s="28">
        <f>IFERROR(IF(AND(ISNUMBER(D465),ISNUMBER(E465)),D465-E465,""),"")</f>
        <v/>
      </c>
    </row>
    <row r="466">
      <c r="A466" s="7">
        <f>IFERROR(Datos!A466,"")</f>
        <v/>
      </c>
      <c r="B466" s="8">
        <f>IFERROR(Datos!B466,"")</f>
        <v/>
      </c>
      <c r="C466" s="8">
        <f>IFERROR(Datos!C466,"")</f>
        <v/>
      </c>
      <c r="D466" s="28">
        <f>IFERROR(IF(AND(ISNUMBER(B466),ISNUMBER(B465),B465&lt;&gt;0),B466/B465-1,""),"")</f>
        <v/>
      </c>
      <c r="E466" s="28">
        <f>IFERROR(IF(AND(ISNUMBER(C466),ISNUMBER(C465),C465&lt;&gt;0),C466/C465-1,""),"")</f>
        <v/>
      </c>
      <c r="F466" s="28">
        <f>IFERROR(D466-Dashboard!$B$4/252,"")</f>
        <v/>
      </c>
      <c r="G466" s="28">
        <f>IFERROR(E466-Dashboard!$B$4/252,"")</f>
        <v/>
      </c>
      <c r="H466" s="8">
        <f>IFERROR(IF(ISNUMBER(B466),MAX(B466,IFERROR(H465,B466)),""),"")</f>
        <v/>
      </c>
      <c r="I466" s="29">
        <f>IFERROR(IF(AND(ISNUMBER(B466),ISNUMBER(H466)),B466/H466-1,""),"")</f>
        <v/>
      </c>
      <c r="J466" s="8">
        <f>IFERROR(IF(ISNUMBER(C466),MAX(C466,IFERROR(J465,C466)),""),"")</f>
        <v/>
      </c>
      <c r="K466" s="29">
        <f>IFERROR(IF(AND(ISNUMBER(C466),ISNUMBER(J466)),C466/J466-1,""),"")</f>
        <v/>
      </c>
      <c r="L466" s="28">
        <f>IFERROR(IF(AND(ISNUMBER(D466),ISNUMBER(E466)),D466-E466,""),"")</f>
        <v/>
      </c>
    </row>
    <row r="467">
      <c r="A467" s="7">
        <f>IFERROR(Datos!A467,"")</f>
        <v/>
      </c>
      <c r="B467" s="8">
        <f>IFERROR(Datos!B467,"")</f>
        <v/>
      </c>
      <c r="C467" s="8">
        <f>IFERROR(Datos!C467,"")</f>
        <v/>
      </c>
      <c r="D467" s="28">
        <f>IFERROR(IF(AND(ISNUMBER(B467),ISNUMBER(B466),B466&lt;&gt;0),B467/B466-1,""),"")</f>
        <v/>
      </c>
      <c r="E467" s="28">
        <f>IFERROR(IF(AND(ISNUMBER(C467),ISNUMBER(C466),C466&lt;&gt;0),C467/C466-1,""),"")</f>
        <v/>
      </c>
      <c r="F467" s="28">
        <f>IFERROR(D467-Dashboard!$B$4/252,"")</f>
        <v/>
      </c>
      <c r="G467" s="28">
        <f>IFERROR(E467-Dashboard!$B$4/252,"")</f>
        <v/>
      </c>
      <c r="H467" s="8">
        <f>IFERROR(IF(ISNUMBER(B467),MAX(B467,IFERROR(H466,B467)),""),"")</f>
        <v/>
      </c>
      <c r="I467" s="29">
        <f>IFERROR(IF(AND(ISNUMBER(B467),ISNUMBER(H467)),B467/H467-1,""),"")</f>
        <v/>
      </c>
      <c r="J467" s="8">
        <f>IFERROR(IF(ISNUMBER(C467),MAX(C467,IFERROR(J466,C467)),""),"")</f>
        <v/>
      </c>
      <c r="K467" s="29">
        <f>IFERROR(IF(AND(ISNUMBER(C467),ISNUMBER(J467)),C467/J467-1,""),"")</f>
        <v/>
      </c>
      <c r="L467" s="28">
        <f>IFERROR(IF(AND(ISNUMBER(D467),ISNUMBER(E467)),D467-E467,""),"")</f>
        <v/>
      </c>
    </row>
    <row r="468">
      <c r="A468" s="7">
        <f>IFERROR(Datos!A468,"")</f>
        <v/>
      </c>
      <c r="B468" s="8">
        <f>IFERROR(Datos!B468,"")</f>
        <v/>
      </c>
      <c r="C468" s="8">
        <f>IFERROR(Datos!C468,"")</f>
        <v/>
      </c>
      <c r="D468" s="28">
        <f>IFERROR(IF(AND(ISNUMBER(B468),ISNUMBER(B467),B467&lt;&gt;0),B468/B467-1,""),"")</f>
        <v/>
      </c>
      <c r="E468" s="28">
        <f>IFERROR(IF(AND(ISNUMBER(C468),ISNUMBER(C467),C467&lt;&gt;0),C468/C467-1,""),"")</f>
        <v/>
      </c>
      <c r="F468" s="28">
        <f>IFERROR(D468-Dashboard!$B$4/252,"")</f>
        <v/>
      </c>
      <c r="G468" s="28">
        <f>IFERROR(E468-Dashboard!$B$4/252,"")</f>
        <v/>
      </c>
      <c r="H468" s="8">
        <f>IFERROR(IF(ISNUMBER(B468),MAX(B468,IFERROR(H467,B468)),""),"")</f>
        <v/>
      </c>
      <c r="I468" s="29">
        <f>IFERROR(IF(AND(ISNUMBER(B468),ISNUMBER(H468)),B468/H468-1,""),"")</f>
        <v/>
      </c>
      <c r="J468" s="8">
        <f>IFERROR(IF(ISNUMBER(C468),MAX(C468,IFERROR(J467,C468)),""),"")</f>
        <v/>
      </c>
      <c r="K468" s="29">
        <f>IFERROR(IF(AND(ISNUMBER(C468),ISNUMBER(J468)),C468/J468-1,""),"")</f>
        <v/>
      </c>
      <c r="L468" s="28">
        <f>IFERROR(IF(AND(ISNUMBER(D468),ISNUMBER(E468)),D468-E468,""),"")</f>
        <v/>
      </c>
    </row>
    <row r="469">
      <c r="A469" s="7">
        <f>IFERROR(Datos!A469,"")</f>
        <v/>
      </c>
      <c r="B469" s="8">
        <f>IFERROR(Datos!B469,"")</f>
        <v/>
      </c>
      <c r="C469" s="8">
        <f>IFERROR(Datos!C469,"")</f>
        <v/>
      </c>
      <c r="D469" s="28">
        <f>IFERROR(IF(AND(ISNUMBER(B469),ISNUMBER(B468),B468&lt;&gt;0),B469/B468-1,""),"")</f>
        <v/>
      </c>
      <c r="E469" s="28">
        <f>IFERROR(IF(AND(ISNUMBER(C469),ISNUMBER(C468),C468&lt;&gt;0),C469/C468-1,""),"")</f>
        <v/>
      </c>
      <c r="F469" s="28">
        <f>IFERROR(D469-Dashboard!$B$4/252,"")</f>
        <v/>
      </c>
      <c r="G469" s="28">
        <f>IFERROR(E469-Dashboard!$B$4/252,"")</f>
        <v/>
      </c>
      <c r="H469" s="8">
        <f>IFERROR(IF(ISNUMBER(B469),MAX(B469,IFERROR(H468,B469)),""),"")</f>
        <v/>
      </c>
      <c r="I469" s="29">
        <f>IFERROR(IF(AND(ISNUMBER(B469),ISNUMBER(H469)),B469/H469-1,""),"")</f>
        <v/>
      </c>
      <c r="J469" s="8">
        <f>IFERROR(IF(ISNUMBER(C469),MAX(C469,IFERROR(J468,C469)),""),"")</f>
        <v/>
      </c>
      <c r="K469" s="29">
        <f>IFERROR(IF(AND(ISNUMBER(C469),ISNUMBER(J469)),C469/J469-1,""),"")</f>
        <v/>
      </c>
      <c r="L469" s="28">
        <f>IFERROR(IF(AND(ISNUMBER(D469),ISNUMBER(E469)),D469-E469,""),"")</f>
        <v/>
      </c>
    </row>
    <row r="470">
      <c r="A470" s="7">
        <f>IFERROR(Datos!A470,"")</f>
        <v/>
      </c>
      <c r="B470" s="8">
        <f>IFERROR(Datos!B470,"")</f>
        <v/>
      </c>
      <c r="C470" s="8">
        <f>IFERROR(Datos!C470,"")</f>
        <v/>
      </c>
      <c r="D470" s="28">
        <f>IFERROR(IF(AND(ISNUMBER(B470),ISNUMBER(B469),B469&lt;&gt;0),B470/B469-1,""),"")</f>
        <v/>
      </c>
      <c r="E470" s="28">
        <f>IFERROR(IF(AND(ISNUMBER(C470),ISNUMBER(C469),C469&lt;&gt;0),C470/C469-1,""),"")</f>
        <v/>
      </c>
      <c r="F470" s="28">
        <f>IFERROR(D470-Dashboard!$B$4/252,"")</f>
        <v/>
      </c>
      <c r="G470" s="28">
        <f>IFERROR(E470-Dashboard!$B$4/252,"")</f>
        <v/>
      </c>
      <c r="H470" s="8">
        <f>IFERROR(IF(ISNUMBER(B470),MAX(B470,IFERROR(H469,B470)),""),"")</f>
        <v/>
      </c>
      <c r="I470" s="29">
        <f>IFERROR(IF(AND(ISNUMBER(B470),ISNUMBER(H470)),B470/H470-1,""),"")</f>
        <v/>
      </c>
      <c r="J470" s="8">
        <f>IFERROR(IF(ISNUMBER(C470),MAX(C470,IFERROR(J469,C470)),""),"")</f>
        <v/>
      </c>
      <c r="K470" s="29">
        <f>IFERROR(IF(AND(ISNUMBER(C470),ISNUMBER(J470)),C470/J470-1,""),"")</f>
        <v/>
      </c>
      <c r="L470" s="28">
        <f>IFERROR(IF(AND(ISNUMBER(D470),ISNUMBER(E470)),D470-E470,""),"")</f>
        <v/>
      </c>
    </row>
    <row r="471">
      <c r="A471" s="7">
        <f>IFERROR(Datos!A471,"")</f>
        <v/>
      </c>
      <c r="B471" s="8">
        <f>IFERROR(Datos!B471,"")</f>
        <v/>
      </c>
      <c r="C471" s="8">
        <f>IFERROR(Datos!C471,"")</f>
        <v/>
      </c>
      <c r="D471" s="28">
        <f>IFERROR(IF(AND(ISNUMBER(B471),ISNUMBER(B470),B470&lt;&gt;0),B471/B470-1,""),"")</f>
        <v/>
      </c>
      <c r="E471" s="28">
        <f>IFERROR(IF(AND(ISNUMBER(C471),ISNUMBER(C470),C470&lt;&gt;0),C471/C470-1,""),"")</f>
        <v/>
      </c>
      <c r="F471" s="28">
        <f>IFERROR(D471-Dashboard!$B$4/252,"")</f>
        <v/>
      </c>
      <c r="G471" s="28">
        <f>IFERROR(E471-Dashboard!$B$4/252,"")</f>
        <v/>
      </c>
      <c r="H471" s="8">
        <f>IFERROR(IF(ISNUMBER(B471),MAX(B471,IFERROR(H470,B471)),""),"")</f>
        <v/>
      </c>
      <c r="I471" s="29">
        <f>IFERROR(IF(AND(ISNUMBER(B471),ISNUMBER(H471)),B471/H471-1,""),"")</f>
        <v/>
      </c>
      <c r="J471" s="8">
        <f>IFERROR(IF(ISNUMBER(C471),MAX(C471,IFERROR(J470,C471)),""),"")</f>
        <v/>
      </c>
      <c r="K471" s="29">
        <f>IFERROR(IF(AND(ISNUMBER(C471),ISNUMBER(J471)),C471/J471-1,""),"")</f>
        <v/>
      </c>
      <c r="L471" s="28">
        <f>IFERROR(IF(AND(ISNUMBER(D471),ISNUMBER(E471)),D471-E471,""),"")</f>
        <v/>
      </c>
    </row>
    <row r="472">
      <c r="A472" s="7">
        <f>IFERROR(Datos!A472,"")</f>
        <v/>
      </c>
      <c r="B472" s="8">
        <f>IFERROR(Datos!B472,"")</f>
        <v/>
      </c>
      <c r="C472" s="8">
        <f>IFERROR(Datos!C472,"")</f>
        <v/>
      </c>
      <c r="D472" s="28">
        <f>IFERROR(IF(AND(ISNUMBER(B472),ISNUMBER(B471),B471&lt;&gt;0),B472/B471-1,""),"")</f>
        <v/>
      </c>
      <c r="E472" s="28">
        <f>IFERROR(IF(AND(ISNUMBER(C472),ISNUMBER(C471),C471&lt;&gt;0),C472/C471-1,""),"")</f>
        <v/>
      </c>
      <c r="F472" s="28">
        <f>IFERROR(D472-Dashboard!$B$4/252,"")</f>
        <v/>
      </c>
      <c r="G472" s="28">
        <f>IFERROR(E472-Dashboard!$B$4/252,"")</f>
        <v/>
      </c>
      <c r="H472" s="8">
        <f>IFERROR(IF(ISNUMBER(B472),MAX(B472,IFERROR(H471,B472)),""),"")</f>
        <v/>
      </c>
      <c r="I472" s="29">
        <f>IFERROR(IF(AND(ISNUMBER(B472),ISNUMBER(H472)),B472/H472-1,""),"")</f>
        <v/>
      </c>
      <c r="J472" s="8">
        <f>IFERROR(IF(ISNUMBER(C472),MAX(C472,IFERROR(J471,C472)),""),"")</f>
        <v/>
      </c>
      <c r="K472" s="29">
        <f>IFERROR(IF(AND(ISNUMBER(C472),ISNUMBER(J472)),C472/J472-1,""),"")</f>
        <v/>
      </c>
      <c r="L472" s="28">
        <f>IFERROR(IF(AND(ISNUMBER(D472),ISNUMBER(E472)),D472-E472,""),"")</f>
        <v/>
      </c>
    </row>
    <row r="473">
      <c r="A473" s="7">
        <f>IFERROR(Datos!A473,"")</f>
        <v/>
      </c>
      <c r="B473" s="8">
        <f>IFERROR(Datos!B473,"")</f>
        <v/>
      </c>
      <c r="C473" s="8">
        <f>IFERROR(Datos!C473,"")</f>
        <v/>
      </c>
      <c r="D473" s="28">
        <f>IFERROR(IF(AND(ISNUMBER(B473),ISNUMBER(B472),B472&lt;&gt;0),B473/B472-1,""),"")</f>
        <v/>
      </c>
      <c r="E473" s="28">
        <f>IFERROR(IF(AND(ISNUMBER(C473),ISNUMBER(C472),C472&lt;&gt;0),C473/C472-1,""),"")</f>
        <v/>
      </c>
      <c r="F473" s="28">
        <f>IFERROR(D473-Dashboard!$B$4/252,"")</f>
        <v/>
      </c>
      <c r="G473" s="28">
        <f>IFERROR(E473-Dashboard!$B$4/252,"")</f>
        <v/>
      </c>
      <c r="H473" s="8">
        <f>IFERROR(IF(ISNUMBER(B473),MAX(B473,IFERROR(H472,B473)),""),"")</f>
        <v/>
      </c>
      <c r="I473" s="29">
        <f>IFERROR(IF(AND(ISNUMBER(B473),ISNUMBER(H473)),B473/H473-1,""),"")</f>
        <v/>
      </c>
      <c r="J473" s="8">
        <f>IFERROR(IF(ISNUMBER(C473),MAX(C473,IFERROR(J472,C473)),""),"")</f>
        <v/>
      </c>
      <c r="K473" s="29">
        <f>IFERROR(IF(AND(ISNUMBER(C473),ISNUMBER(J473)),C473/J473-1,""),"")</f>
        <v/>
      </c>
      <c r="L473" s="28">
        <f>IFERROR(IF(AND(ISNUMBER(D473),ISNUMBER(E473)),D473-E473,""),"")</f>
        <v/>
      </c>
    </row>
    <row r="474">
      <c r="A474" s="7">
        <f>IFERROR(Datos!A474,"")</f>
        <v/>
      </c>
      <c r="B474" s="8">
        <f>IFERROR(Datos!B474,"")</f>
        <v/>
      </c>
      <c r="C474" s="8">
        <f>IFERROR(Datos!C474,"")</f>
        <v/>
      </c>
      <c r="D474" s="28">
        <f>IFERROR(IF(AND(ISNUMBER(B474),ISNUMBER(B473),B473&lt;&gt;0),B474/B473-1,""),"")</f>
        <v/>
      </c>
      <c r="E474" s="28">
        <f>IFERROR(IF(AND(ISNUMBER(C474),ISNUMBER(C473),C473&lt;&gt;0),C474/C473-1,""),"")</f>
        <v/>
      </c>
      <c r="F474" s="28">
        <f>IFERROR(D474-Dashboard!$B$4/252,"")</f>
        <v/>
      </c>
      <c r="G474" s="28">
        <f>IFERROR(E474-Dashboard!$B$4/252,"")</f>
        <v/>
      </c>
      <c r="H474" s="8">
        <f>IFERROR(IF(ISNUMBER(B474),MAX(B474,IFERROR(H473,B474)),""),"")</f>
        <v/>
      </c>
      <c r="I474" s="29">
        <f>IFERROR(IF(AND(ISNUMBER(B474),ISNUMBER(H474)),B474/H474-1,""),"")</f>
        <v/>
      </c>
      <c r="J474" s="8">
        <f>IFERROR(IF(ISNUMBER(C474),MAX(C474,IFERROR(J473,C474)),""),"")</f>
        <v/>
      </c>
      <c r="K474" s="29">
        <f>IFERROR(IF(AND(ISNUMBER(C474),ISNUMBER(J474)),C474/J474-1,""),"")</f>
        <v/>
      </c>
      <c r="L474" s="28">
        <f>IFERROR(IF(AND(ISNUMBER(D474),ISNUMBER(E474)),D474-E474,""),"")</f>
        <v/>
      </c>
    </row>
    <row r="475">
      <c r="A475" s="7">
        <f>IFERROR(Datos!A475,"")</f>
        <v/>
      </c>
      <c r="B475" s="8">
        <f>IFERROR(Datos!B475,"")</f>
        <v/>
      </c>
      <c r="C475" s="8">
        <f>IFERROR(Datos!C475,"")</f>
        <v/>
      </c>
      <c r="D475" s="28">
        <f>IFERROR(IF(AND(ISNUMBER(B475),ISNUMBER(B474),B474&lt;&gt;0),B475/B474-1,""),"")</f>
        <v/>
      </c>
      <c r="E475" s="28">
        <f>IFERROR(IF(AND(ISNUMBER(C475),ISNUMBER(C474),C474&lt;&gt;0),C475/C474-1,""),"")</f>
        <v/>
      </c>
      <c r="F475" s="28">
        <f>IFERROR(D475-Dashboard!$B$4/252,"")</f>
        <v/>
      </c>
      <c r="G475" s="28">
        <f>IFERROR(E475-Dashboard!$B$4/252,"")</f>
        <v/>
      </c>
      <c r="H475" s="8">
        <f>IFERROR(IF(ISNUMBER(B475),MAX(B475,IFERROR(H474,B475)),""),"")</f>
        <v/>
      </c>
      <c r="I475" s="29">
        <f>IFERROR(IF(AND(ISNUMBER(B475),ISNUMBER(H475)),B475/H475-1,""),"")</f>
        <v/>
      </c>
      <c r="J475" s="8">
        <f>IFERROR(IF(ISNUMBER(C475),MAX(C475,IFERROR(J474,C475)),""),"")</f>
        <v/>
      </c>
      <c r="K475" s="29">
        <f>IFERROR(IF(AND(ISNUMBER(C475),ISNUMBER(J475)),C475/J475-1,""),"")</f>
        <v/>
      </c>
      <c r="L475" s="28">
        <f>IFERROR(IF(AND(ISNUMBER(D475),ISNUMBER(E475)),D475-E475,""),"")</f>
        <v/>
      </c>
    </row>
    <row r="476">
      <c r="A476" s="7">
        <f>IFERROR(Datos!A476,"")</f>
        <v/>
      </c>
      <c r="B476" s="8">
        <f>IFERROR(Datos!B476,"")</f>
        <v/>
      </c>
      <c r="C476" s="8">
        <f>IFERROR(Datos!C476,"")</f>
        <v/>
      </c>
      <c r="D476" s="28">
        <f>IFERROR(IF(AND(ISNUMBER(B476),ISNUMBER(B475),B475&lt;&gt;0),B476/B475-1,""),"")</f>
        <v/>
      </c>
      <c r="E476" s="28">
        <f>IFERROR(IF(AND(ISNUMBER(C476),ISNUMBER(C475),C475&lt;&gt;0),C476/C475-1,""),"")</f>
        <v/>
      </c>
      <c r="F476" s="28">
        <f>IFERROR(D476-Dashboard!$B$4/252,"")</f>
        <v/>
      </c>
      <c r="G476" s="28">
        <f>IFERROR(E476-Dashboard!$B$4/252,"")</f>
        <v/>
      </c>
      <c r="H476" s="8">
        <f>IFERROR(IF(ISNUMBER(B476),MAX(B476,IFERROR(H475,B476)),""),"")</f>
        <v/>
      </c>
      <c r="I476" s="29">
        <f>IFERROR(IF(AND(ISNUMBER(B476),ISNUMBER(H476)),B476/H476-1,""),"")</f>
        <v/>
      </c>
      <c r="J476" s="8">
        <f>IFERROR(IF(ISNUMBER(C476),MAX(C476,IFERROR(J475,C476)),""),"")</f>
        <v/>
      </c>
      <c r="K476" s="29">
        <f>IFERROR(IF(AND(ISNUMBER(C476),ISNUMBER(J476)),C476/J476-1,""),"")</f>
        <v/>
      </c>
      <c r="L476" s="28">
        <f>IFERROR(IF(AND(ISNUMBER(D476),ISNUMBER(E476)),D476-E476,""),"")</f>
        <v/>
      </c>
    </row>
    <row r="477">
      <c r="A477" s="7">
        <f>IFERROR(Datos!A477,"")</f>
        <v/>
      </c>
      <c r="B477" s="8">
        <f>IFERROR(Datos!B477,"")</f>
        <v/>
      </c>
      <c r="C477" s="8">
        <f>IFERROR(Datos!C477,"")</f>
        <v/>
      </c>
      <c r="D477" s="28">
        <f>IFERROR(IF(AND(ISNUMBER(B477),ISNUMBER(B476),B476&lt;&gt;0),B477/B476-1,""),"")</f>
        <v/>
      </c>
      <c r="E477" s="28">
        <f>IFERROR(IF(AND(ISNUMBER(C477),ISNUMBER(C476),C476&lt;&gt;0),C477/C476-1,""),"")</f>
        <v/>
      </c>
      <c r="F477" s="28">
        <f>IFERROR(D477-Dashboard!$B$4/252,"")</f>
        <v/>
      </c>
      <c r="G477" s="28">
        <f>IFERROR(E477-Dashboard!$B$4/252,"")</f>
        <v/>
      </c>
      <c r="H477" s="8">
        <f>IFERROR(IF(ISNUMBER(B477),MAX(B477,IFERROR(H476,B477)),""),"")</f>
        <v/>
      </c>
      <c r="I477" s="29">
        <f>IFERROR(IF(AND(ISNUMBER(B477),ISNUMBER(H477)),B477/H477-1,""),"")</f>
        <v/>
      </c>
      <c r="J477" s="8">
        <f>IFERROR(IF(ISNUMBER(C477),MAX(C477,IFERROR(J476,C477)),""),"")</f>
        <v/>
      </c>
      <c r="K477" s="29">
        <f>IFERROR(IF(AND(ISNUMBER(C477),ISNUMBER(J477)),C477/J477-1,""),"")</f>
        <v/>
      </c>
      <c r="L477" s="28">
        <f>IFERROR(IF(AND(ISNUMBER(D477),ISNUMBER(E477)),D477-E477,""),"")</f>
        <v/>
      </c>
    </row>
    <row r="478">
      <c r="A478" s="7">
        <f>IFERROR(Datos!A478,"")</f>
        <v/>
      </c>
      <c r="B478" s="8">
        <f>IFERROR(Datos!B478,"")</f>
        <v/>
      </c>
      <c r="C478" s="8">
        <f>IFERROR(Datos!C478,"")</f>
        <v/>
      </c>
      <c r="D478" s="28">
        <f>IFERROR(IF(AND(ISNUMBER(B478),ISNUMBER(B477),B477&lt;&gt;0),B478/B477-1,""),"")</f>
        <v/>
      </c>
      <c r="E478" s="28">
        <f>IFERROR(IF(AND(ISNUMBER(C478),ISNUMBER(C477),C477&lt;&gt;0),C478/C477-1,""),"")</f>
        <v/>
      </c>
      <c r="F478" s="28">
        <f>IFERROR(D478-Dashboard!$B$4/252,"")</f>
        <v/>
      </c>
      <c r="G478" s="28">
        <f>IFERROR(E478-Dashboard!$B$4/252,"")</f>
        <v/>
      </c>
      <c r="H478" s="8">
        <f>IFERROR(IF(ISNUMBER(B478),MAX(B478,IFERROR(H477,B478)),""),"")</f>
        <v/>
      </c>
      <c r="I478" s="29">
        <f>IFERROR(IF(AND(ISNUMBER(B478),ISNUMBER(H478)),B478/H478-1,""),"")</f>
        <v/>
      </c>
      <c r="J478" s="8">
        <f>IFERROR(IF(ISNUMBER(C478),MAX(C478,IFERROR(J477,C478)),""),"")</f>
        <v/>
      </c>
      <c r="K478" s="29">
        <f>IFERROR(IF(AND(ISNUMBER(C478),ISNUMBER(J478)),C478/J478-1,""),"")</f>
        <v/>
      </c>
      <c r="L478" s="28">
        <f>IFERROR(IF(AND(ISNUMBER(D478),ISNUMBER(E478)),D478-E478,""),"")</f>
        <v/>
      </c>
    </row>
    <row r="479">
      <c r="A479" s="7">
        <f>IFERROR(Datos!A479,"")</f>
        <v/>
      </c>
      <c r="B479" s="8">
        <f>IFERROR(Datos!B479,"")</f>
        <v/>
      </c>
      <c r="C479" s="8">
        <f>IFERROR(Datos!C479,"")</f>
        <v/>
      </c>
      <c r="D479" s="28">
        <f>IFERROR(IF(AND(ISNUMBER(B479),ISNUMBER(B478),B478&lt;&gt;0),B479/B478-1,""),"")</f>
        <v/>
      </c>
      <c r="E479" s="28">
        <f>IFERROR(IF(AND(ISNUMBER(C479),ISNUMBER(C478),C478&lt;&gt;0),C479/C478-1,""),"")</f>
        <v/>
      </c>
      <c r="F479" s="28">
        <f>IFERROR(D479-Dashboard!$B$4/252,"")</f>
        <v/>
      </c>
      <c r="G479" s="28">
        <f>IFERROR(E479-Dashboard!$B$4/252,"")</f>
        <v/>
      </c>
      <c r="H479" s="8">
        <f>IFERROR(IF(ISNUMBER(B479),MAX(B479,IFERROR(H478,B479)),""),"")</f>
        <v/>
      </c>
      <c r="I479" s="29">
        <f>IFERROR(IF(AND(ISNUMBER(B479),ISNUMBER(H479)),B479/H479-1,""),"")</f>
        <v/>
      </c>
      <c r="J479" s="8">
        <f>IFERROR(IF(ISNUMBER(C479),MAX(C479,IFERROR(J478,C479)),""),"")</f>
        <v/>
      </c>
      <c r="K479" s="29">
        <f>IFERROR(IF(AND(ISNUMBER(C479),ISNUMBER(J479)),C479/J479-1,""),"")</f>
        <v/>
      </c>
      <c r="L479" s="28">
        <f>IFERROR(IF(AND(ISNUMBER(D479),ISNUMBER(E479)),D479-E479,""),"")</f>
        <v/>
      </c>
    </row>
    <row r="480">
      <c r="A480" s="7">
        <f>IFERROR(Datos!A480,"")</f>
        <v/>
      </c>
      <c r="B480" s="8">
        <f>IFERROR(Datos!B480,"")</f>
        <v/>
      </c>
      <c r="C480" s="8">
        <f>IFERROR(Datos!C480,"")</f>
        <v/>
      </c>
      <c r="D480" s="28">
        <f>IFERROR(IF(AND(ISNUMBER(B480),ISNUMBER(B479),B479&lt;&gt;0),B480/B479-1,""),"")</f>
        <v/>
      </c>
      <c r="E480" s="28">
        <f>IFERROR(IF(AND(ISNUMBER(C480),ISNUMBER(C479),C479&lt;&gt;0),C480/C479-1,""),"")</f>
        <v/>
      </c>
      <c r="F480" s="28">
        <f>IFERROR(D480-Dashboard!$B$4/252,"")</f>
        <v/>
      </c>
      <c r="G480" s="28">
        <f>IFERROR(E480-Dashboard!$B$4/252,"")</f>
        <v/>
      </c>
      <c r="H480" s="8">
        <f>IFERROR(IF(ISNUMBER(B480),MAX(B480,IFERROR(H479,B480)),""),"")</f>
        <v/>
      </c>
      <c r="I480" s="29">
        <f>IFERROR(IF(AND(ISNUMBER(B480),ISNUMBER(H480)),B480/H480-1,""),"")</f>
        <v/>
      </c>
      <c r="J480" s="8">
        <f>IFERROR(IF(ISNUMBER(C480),MAX(C480,IFERROR(J479,C480)),""),"")</f>
        <v/>
      </c>
      <c r="K480" s="29">
        <f>IFERROR(IF(AND(ISNUMBER(C480),ISNUMBER(J480)),C480/J480-1,""),"")</f>
        <v/>
      </c>
      <c r="L480" s="28">
        <f>IFERROR(IF(AND(ISNUMBER(D480),ISNUMBER(E480)),D480-E480,""),"")</f>
        <v/>
      </c>
    </row>
    <row r="481">
      <c r="A481" s="7">
        <f>IFERROR(Datos!A481,"")</f>
        <v/>
      </c>
      <c r="B481" s="8">
        <f>IFERROR(Datos!B481,"")</f>
        <v/>
      </c>
      <c r="C481" s="8">
        <f>IFERROR(Datos!C481,"")</f>
        <v/>
      </c>
      <c r="D481" s="28">
        <f>IFERROR(IF(AND(ISNUMBER(B481),ISNUMBER(B480),B480&lt;&gt;0),B481/B480-1,""),"")</f>
        <v/>
      </c>
      <c r="E481" s="28">
        <f>IFERROR(IF(AND(ISNUMBER(C481),ISNUMBER(C480),C480&lt;&gt;0),C481/C480-1,""),"")</f>
        <v/>
      </c>
      <c r="F481" s="28">
        <f>IFERROR(D481-Dashboard!$B$4/252,"")</f>
        <v/>
      </c>
      <c r="G481" s="28">
        <f>IFERROR(E481-Dashboard!$B$4/252,"")</f>
        <v/>
      </c>
      <c r="H481" s="8">
        <f>IFERROR(IF(ISNUMBER(B481),MAX(B481,IFERROR(H480,B481)),""),"")</f>
        <v/>
      </c>
      <c r="I481" s="29">
        <f>IFERROR(IF(AND(ISNUMBER(B481),ISNUMBER(H481)),B481/H481-1,""),"")</f>
        <v/>
      </c>
      <c r="J481" s="8">
        <f>IFERROR(IF(ISNUMBER(C481),MAX(C481,IFERROR(J480,C481)),""),"")</f>
        <v/>
      </c>
      <c r="K481" s="29">
        <f>IFERROR(IF(AND(ISNUMBER(C481),ISNUMBER(J481)),C481/J481-1,""),"")</f>
        <v/>
      </c>
      <c r="L481" s="28">
        <f>IFERROR(IF(AND(ISNUMBER(D481),ISNUMBER(E481)),D481-E481,""),"")</f>
        <v/>
      </c>
    </row>
    <row r="482">
      <c r="A482" s="7">
        <f>IFERROR(Datos!A482,"")</f>
        <v/>
      </c>
      <c r="B482" s="8">
        <f>IFERROR(Datos!B482,"")</f>
        <v/>
      </c>
      <c r="C482" s="8">
        <f>IFERROR(Datos!C482,"")</f>
        <v/>
      </c>
      <c r="D482" s="28">
        <f>IFERROR(IF(AND(ISNUMBER(B482),ISNUMBER(B481),B481&lt;&gt;0),B482/B481-1,""),"")</f>
        <v/>
      </c>
      <c r="E482" s="28">
        <f>IFERROR(IF(AND(ISNUMBER(C482),ISNUMBER(C481),C481&lt;&gt;0),C482/C481-1,""),"")</f>
        <v/>
      </c>
      <c r="F482" s="28">
        <f>IFERROR(D482-Dashboard!$B$4/252,"")</f>
        <v/>
      </c>
      <c r="G482" s="28">
        <f>IFERROR(E482-Dashboard!$B$4/252,"")</f>
        <v/>
      </c>
      <c r="H482" s="8">
        <f>IFERROR(IF(ISNUMBER(B482),MAX(B482,IFERROR(H481,B482)),""),"")</f>
        <v/>
      </c>
      <c r="I482" s="29">
        <f>IFERROR(IF(AND(ISNUMBER(B482),ISNUMBER(H482)),B482/H482-1,""),"")</f>
        <v/>
      </c>
      <c r="J482" s="8">
        <f>IFERROR(IF(ISNUMBER(C482),MAX(C482,IFERROR(J481,C482)),""),"")</f>
        <v/>
      </c>
      <c r="K482" s="29">
        <f>IFERROR(IF(AND(ISNUMBER(C482),ISNUMBER(J482)),C482/J482-1,""),"")</f>
        <v/>
      </c>
      <c r="L482" s="28">
        <f>IFERROR(IF(AND(ISNUMBER(D482),ISNUMBER(E482)),D482-E482,""),"")</f>
        <v/>
      </c>
    </row>
    <row r="483">
      <c r="A483" s="7">
        <f>IFERROR(Datos!A483,"")</f>
        <v/>
      </c>
      <c r="B483" s="8">
        <f>IFERROR(Datos!B483,"")</f>
        <v/>
      </c>
      <c r="C483" s="8">
        <f>IFERROR(Datos!C483,"")</f>
        <v/>
      </c>
      <c r="D483" s="28">
        <f>IFERROR(IF(AND(ISNUMBER(B483),ISNUMBER(B482),B482&lt;&gt;0),B483/B482-1,""),"")</f>
        <v/>
      </c>
      <c r="E483" s="28">
        <f>IFERROR(IF(AND(ISNUMBER(C483),ISNUMBER(C482),C482&lt;&gt;0),C483/C482-1,""),"")</f>
        <v/>
      </c>
      <c r="F483" s="28">
        <f>IFERROR(D483-Dashboard!$B$4/252,"")</f>
        <v/>
      </c>
      <c r="G483" s="28">
        <f>IFERROR(E483-Dashboard!$B$4/252,"")</f>
        <v/>
      </c>
      <c r="H483" s="8">
        <f>IFERROR(IF(ISNUMBER(B483),MAX(B483,IFERROR(H482,B483)),""),"")</f>
        <v/>
      </c>
      <c r="I483" s="29">
        <f>IFERROR(IF(AND(ISNUMBER(B483),ISNUMBER(H483)),B483/H483-1,""),"")</f>
        <v/>
      </c>
      <c r="J483" s="8">
        <f>IFERROR(IF(ISNUMBER(C483),MAX(C483,IFERROR(J482,C483)),""),"")</f>
        <v/>
      </c>
      <c r="K483" s="29">
        <f>IFERROR(IF(AND(ISNUMBER(C483),ISNUMBER(J483)),C483/J483-1,""),"")</f>
        <v/>
      </c>
      <c r="L483" s="28">
        <f>IFERROR(IF(AND(ISNUMBER(D483),ISNUMBER(E483)),D483-E483,""),"")</f>
        <v/>
      </c>
    </row>
    <row r="484">
      <c r="A484" s="7">
        <f>IFERROR(Datos!A484,"")</f>
        <v/>
      </c>
      <c r="B484" s="8">
        <f>IFERROR(Datos!B484,"")</f>
        <v/>
      </c>
      <c r="C484" s="8">
        <f>IFERROR(Datos!C484,"")</f>
        <v/>
      </c>
      <c r="D484" s="28">
        <f>IFERROR(IF(AND(ISNUMBER(B484),ISNUMBER(B483),B483&lt;&gt;0),B484/B483-1,""),"")</f>
        <v/>
      </c>
      <c r="E484" s="28">
        <f>IFERROR(IF(AND(ISNUMBER(C484),ISNUMBER(C483),C483&lt;&gt;0),C484/C483-1,""),"")</f>
        <v/>
      </c>
      <c r="F484" s="28">
        <f>IFERROR(D484-Dashboard!$B$4/252,"")</f>
        <v/>
      </c>
      <c r="G484" s="28">
        <f>IFERROR(E484-Dashboard!$B$4/252,"")</f>
        <v/>
      </c>
      <c r="H484" s="8">
        <f>IFERROR(IF(ISNUMBER(B484),MAX(B484,IFERROR(H483,B484)),""),"")</f>
        <v/>
      </c>
      <c r="I484" s="29">
        <f>IFERROR(IF(AND(ISNUMBER(B484),ISNUMBER(H484)),B484/H484-1,""),"")</f>
        <v/>
      </c>
      <c r="J484" s="8">
        <f>IFERROR(IF(ISNUMBER(C484),MAX(C484,IFERROR(J483,C484)),""),"")</f>
        <v/>
      </c>
      <c r="K484" s="29">
        <f>IFERROR(IF(AND(ISNUMBER(C484),ISNUMBER(J484)),C484/J484-1,""),"")</f>
        <v/>
      </c>
      <c r="L484" s="28">
        <f>IFERROR(IF(AND(ISNUMBER(D484),ISNUMBER(E484)),D484-E484,""),"")</f>
        <v/>
      </c>
    </row>
    <row r="485">
      <c r="A485" s="7">
        <f>IFERROR(Datos!A485,"")</f>
        <v/>
      </c>
      <c r="B485" s="8">
        <f>IFERROR(Datos!B485,"")</f>
        <v/>
      </c>
      <c r="C485" s="8">
        <f>IFERROR(Datos!C485,"")</f>
        <v/>
      </c>
      <c r="D485" s="28">
        <f>IFERROR(IF(AND(ISNUMBER(B485),ISNUMBER(B484),B484&lt;&gt;0),B485/B484-1,""),"")</f>
        <v/>
      </c>
      <c r="E485" s="28">
        <f>IFERROR(IF(AND(ISNUMBER(C485),ISNUMBER(C484),C484&lt;&gt;0),C485/C484-1,""),"")</f>
        <v/>
      </c>
      <c r="F485" s="28">
        <f>IFERROR(D485-Dashboard!$B$4/252,"")</f>
        <v/>
      </c>
      <c r="G485" s="28">
        <f>IFERROR(E485-Dashboard!$B$4/252,"")</f>
        <v/>
      </c>
      <c r="H485" s="8">
        <f>IFERROR(IF(ISNUMBER(B485),MAX(B485,IFERROR(H484,B485)),""),"")</f>
        <v/>
      </c>
      <c r="I485" s="29">
        <f>IFERROR(IF(AND(ISNUMBER(B485),ISNUMBER(H485)),B485/H485-1,""),"")</f>
        <v/>
      </c>
      <c r="J485" s="8">
        <f>IFERROR(IF(ISNUMBER(C485),MAX(C485,IFERROR(J484,C485)),""),"")</f>
        <v/>
      </c>
      <c r="K485" s="29">
        <f>IFERROR(IF(AND(ISNUMBER(C485),ISNUMBER(J485)),C485/J485-1,""),"")</f>
        <v/>
      </c>
      <c r="L485" s="28">
        <f>IFERROR(IF(AND(ISNUMBER(D485),ISNUMBER(E485)),D485-E485,""),"")</f>
        <v/>
      </c>
    </row>
    <row r="486">
      <c r="A486" s="7">
        <f>IFERROR(Datos!A486,"")</f>
        <v/>
      </c>
      <c r="B486" s="8">
        <f>IFERROR(Datos!B486,"")</f>
        <v/>
      </c>
      <c r="C486" s="8">
        <f>IFERROR(Datos!C486,"")</f>
        <v/>
      </c>
      <c r="D486" s="28">
        <f>IFERROR(IF(AND(ISNUMBER(B486),ISNUMBER(B485),B485&lt;&gt;0),B486/B485-1,""),"")</f>
        <v/>
      </c>
      <c r="E486" s="28">
        <f>IFERROR(IF(AND(ISNUMBER(C486),ISNUMBER(C485),C485&lt;&gt;0),C486/C485-1,""),"")</f>
        <v/>
      </c>
      <c r="F486" s="28">
        <f>IFERROR(D486-Dashboard!$B$4/252,"")</f>
        <v/>
      </c>
      <c r="G486" s="28">
        <f>IFERROR(E486-Dashboard!$B$4/252,"")</f>
        <v/>
      </c>
      <c r="H486" s="8">
        <f>IFERROR(IF(ISNUMBER(B486),MAX(B486,IFERROR(H485,B486)),""),"")</f>
        <v/>
      </c>
      <c r="I486" s="29">
        <f>IFERROR(IF(AND(ISNUMBER(B486),ISNUMBER(H486)),B486/H486-1,""),"")</f>
        <v/>
      </c>
      <c r="J486" s="8">
        <f>IFERROR(IF(ISNUMBER(C486),MAX(C486,IFERROR(J485,C486)),""),"")</f>
        <v/>
      </c>
      <c r="K486" s="29">
        <f>IFERROR(IF(AND(ISNUMBER(C486),ISNUMBER(J486)),C486/J486-1,""),"")</f>
        <v/>
      </c>
      <c r="L486" s="28">
        <f>IFERROR(IF(AND(ISNUMBER(D486),ISNUMBER(E486)),D486-E486,""),"")</f>
        <v/>
      </c>
    </row>
    <row r="487">
      <c r="A487" s="7">
        <f>IFERROR(Datos!A487,"")</f>
        <v/>
      </c>
      <c r="B487" s="8">
        <f>IFERROR(Datos!B487,"")</f>
        <v/>
      </c>
      <c r="C487" s="8">
        <f>IFERROR(Datos!C487,"")</f>
        <v/>
      </c>
      <c r="D487" s="28">
        <f>IFERROR(IF(AND(ISNUMBER(B487),ISNUMBER(B486),B486&lt;&gt;0),B487/B486-1,""),"")</f>
        <v/>
      </c>
      <c r="E487" s="28">
        <f>IFERROR(IF(AND(ISNUMBER(C487),ISNUMBER(C486),C486&lt;&gt;0),C487/C486-1,""),"")</f>
        <v/>
      </c>
      <c r="F487" s="28">
        <f>IFERROR(D487-Dashboard!$B$4/252,"")</f>
        <v/>
      </c>
      <c r="G487" s="28">
        <f>IFERROR(E487-Dashboard!$B$4/252,"")</f>
        <v/>
      </c>
      <c r="H487" s="8">
        <f>IFERROR(IF(ISNUMBER(B487),MAX(B487,IFERROR(H486,B487)),""),"")</f>
        <v/>
      </c>
      <c r="I487" s="29">
        <f>IFERROR(IF(AND(ISNUMBER(B487),ISNUMBER(H487)),B487/H487-1,""),"")</f>
        <v/>
      </c>
      <c r="J487" s="8">
        <f>IFERROR(IF(ISNUMBER(C487),MAX(C487,IFERROR(J486,C487)),""),"")</f>
        <v/>
      </c>
      <c r="K487" s="29">
        <f>IFERROR(IF(AND(ISNUMBER(C487),ISNUMBER(J487)),C487/J487-1,""),"")</f>
        <v/>
      </c>
      <c r="L487" s="28">
        <f>IFERROR(IF(AND(ISNUMBER(D487),ISNUMBER(E487)),D487-E487,""),"")</f>
        <v/>
      </c>
    </row>
    <row r="488">
      <c r="A488" s="7">
        <f>IFERROR(Datos!A488,"")</f>
        <v/>
      </c>
      <c r="B488" s="8">
        <f>IFERROR(Datos!B488,"")</f>
        <v/>
      </c>
      <c r="C488" s="8">
        <f>IFERROR(Datos!C488,"")</f>
        <v/>
      </c>
      <c r="D488" s="28">
        <f>IFERROR(IF(AND(ISNUMBER(B488),ISNUMBER(B487),B487&lt;&gt;0),B488/B487-1,""),"")</f>
        <v/>
      </c>
      <c r="E488" s="28">
        <f>IFERROR(IF(AND(ISNUMBER(C488),ISNUMBER(C487),C487&lt;&gt;0),C488/C487-1,""),"")</f>
        <v/>
      </c>
      <c r="F488" s="28">
        <f>IFERROR(D488-Dashboard!$B$4/252,"")</f>
        <v/>
      </c>
      <c r="G488" s="28">
        <f>IFERROR(E488-Dashboard!$B$4/252,"")</f>
        <v/>
      </c>
      <c r="H488" s="8">
        <f>IFERROR(IF(ISNUMBER(B488),MAX(B488,IFERROR(H487,B488)),""),"")</f>
        <v/>
      </c>
      <c r="I488" s="29">
        <f>IFERROR(IF(AND(ISNUMBER(B488),ISNUMBER(H488)),B488/H488-1,""),"")</f>
        <v/>
      </c>
      <c r="J488" s="8">
        <f>IFERROR(IF(ISNUMBER(C488),MAX(C488,IFERROR(J487,C488)),""),"")</f>
        <v/>
      </c>
      <c r="K488" s="29">
        <f>IFERROR(IF(AND(ISNUMBER(C488),ISNUMBER(J488)),C488/J488-1,""),"")</f>
        <v/>
      </c>
      <c r="L488" s="28">
        <f>IFERROR(IF(AND(ISNUMBER(D488),ISNUMBER(E488)),D488-E488,""),"")</f>
        <v/>
      </c>
    </row>
    <row r="489">
      <c r="A489" s="7">
        <f>IFERROR(Datos!A489,"")</f>
        <v/>
      </c>
      <c r="B489" s="8">
        <f>IFERROR(Datos!B489,"")</f>
        <v/>
      </c>
      <c r="C489" s="8">
        <f>IFERROR(Datos!C489,"")</f>
        <v/>
      </c>
      <c r="D489" s="28">
        <f>IFERROR(IF(AND(ISNUMBER(B489),ISNUMBER(B488),B488&lt;&gt;0),B489/B488-1,""),"")</f>
        <v/>
      </c>
      <c r="E489" s="28">
        <f>IFERROR(IF(AND(ISNUMBER(C489),ISNUMBER(C488),C488&lt;&gt;0),C489/C488-1,""),"")</f>
        <v/>
      </c>
      <c r="F489" s="28">
        <f>IFERROR(D489-Dashboard!$B$4/252,"")</f>
        <v/>
      </c>
      <c r="G489" s="28">
        <f>IFERROR(E489-Dashboard!$B$4/252,"")</f>
        <v/>
      </c>
      <c r="H489" s="8">
        <f>IFERROR(IF(ISNUMBER(B489),MAX(B489,IFERROR(H488,B489)),""),"")</f>
        <v/>
      </c>
      <c r="I489" s="29">
        <f>IFERROR(IF(AND(ISNUMBER(B489),ISNUMBER(H489)),B489/H489-1,""),"")</f>
        <v/>
      </c>
      <c r="J489" s="8">
        <f>IFERROR(IF(ISNUMBER(C489),MAX(C489,IFERROR(J488,C489)),""),"")</f>
        <v/>
      </c>
      <c r="K489" s="29">
        <f>IFERROR(IF(AND(ISNUMBER(C489),ISNUMBER(J489)),C489/J489-1,""),"")</f>
        <v/>
      </c>
      <c r="L489" s="28">
        <f>IFERROR(IF(AND(ISNUMBER(D489),ISNUMBER(E489)),D489-E489,""),"")</f>
        <v/>
      </c>
    </row>
    <row r="490">
      <c r="A490" s="7">
        <f>IFERROR(Datos!A490,"")</f>
        <v/>
      </c>
      <c r="B490" s="8">
        <f>IFERROR(Datos!B490,"")</f>
        <v/>
      </c>
      <c r="C490" s="8">
        <f>IFERROR(Datos!C490,"")</f>
        <v/>
      </c>
      <c r="D490" s="28">
        <f>IFERROR(IF(AND(ISNUMBER(B490),ISNUMBER(B489),B489&lt;&gt;0),B490/B489-1,""),"")</f>
        <v/>
      </c>
      <c r="E490" s="28">
        <f>IFERROR(IF(AND(ISNUMBER(C490),ISNUMBER(C489),C489&lt;&gt;0),C490/C489-1,""),"")</f>
        <v/>
      </c>
      <c r="F490" s="28">
        <f>IFERROR(D490-Dashboard!$B$4/252,"")</f>
        <v/>
      </c>
      <c r="G490" s="28">
        <f>IFERROR(E490-Dashboard!$B$4/252,"")</f>
        <v/>
      </c>
      <c r="H490" s="8">
        <f>IFERROR(IF(ISNUMBER(B490),MAX(B490,IFERROR(H489,B490)),""),"")</f>
        <v/>
      </c>
      <c r="I490" s="29">
        <f>IFERROR(IF(AND(ISNUMBER(B490),ISNUMBER(H490)),B490/H490-1,""),"")</f>
        <v/>
      </c>
      <c r="J490" s="8">
        <f>IFERROR(IF(ISNUMBER(C490),MAX(C490,IFERROR(J489,C490)),""),"")</f>
        <v/>
      </c>
      <c r="K490" s="29">
        <f>IFERROR(IF(AND(ISNUMBER(C490),ISNUMBER(J490)),C490/J490-1,""),"")</f>
        <v/>
      </c>
      <c r="L490" s="28">
        <f>IFERROR(IF(AND(ISNUMBER(D490),ISNUMBER(E490)),D490-E490,""),"")</f>
        <v/>
      </c>
    </row>
    <row r="491">
      <c r="A491" s="7">
        <f>IFERROR(Datos!A491,"")</f>
        <v/>
      </c>
      <c r="B491" s="8">
        <f>IFERROR(Datos!B491,"")</f>
        <v/>
      </c>
      <c r="C491" s="8">
        <f>IFERROR(Datos!C491,"")</f>
        <v/>
      </c>
      <c r="D491" s="28">
        <f>IFERROR(IF(AND(ISNUMBER(B491),ISNUMBER(B490),B490&lt;&gt;0),B491/B490-1,""),"")</f>
        <v/>
      </c>
      <c r="E491" s="28">
        <f>IFERROR(IF(AND(ISNUMBER(C491),ISNUMBER(C490),C490&lt;&gt;0),C491/C490-1,""),"")</f>
        <v/>
      </c>
      <c r="F491" s="28">
        <f>IFERROR(D491-Dashboard!$B$4/252,"")</f>
        <v/>
      </c>
      <c r="G491" s="28">
        <f>IFERROR(E491-Dashboard!$B$4/252,"")</f>
        <v/>
      </c>
      <c r="H491" s="8">
        <f>IFERROR(IF(ISNUMBER(B491),MAX(B491,IFERROR(H490,B491)),""),"")</f>
        <v/>
      </c>
      <c r="I491" s="29">
        <f>IFERROR(IF(AND(ISNUMBER(B491),ISNUMBER(H491)),B491/H491-1,""),"")</f>
        <v/>
      </c>
      <c r="J491" s="8">
        <f>IFERROR(IF(ISNUMBER(C491),MAX(C491,IFERROR(J490,C491)),""),"")</f>
        <v/>
      </c>
      <c r="K491" s="29">
        <f>IFERROR(IF(AND(ISNUMBER(C491),ISNUMBER(J491)),C491/J491-1,""),"")</f>
        <v/>
      </c>
      <c r="L491" s="28">
        <f>IFERROR(IF(AND(ISNUMBER(D491),ISNUMBER(E491)),D491-E491,""),"")</f>
        <v/>
      </c>
    </row>
    <row r="492">
      <c r="A492" s="7">
        <f>IFERROR(Datos!A492,"")</f>
        <v/>
      </c>
      <c r="B492" s="8">
        <f>IFERROR(Datos!B492,"")</f>
        <v/>
      </c>
      <c r="C492" s="8">
        <f>IFERROR(Datos!C492,"")</f>
        <v/>
      </c>
      <c r="D492" s="28">
        <f>IFERROR(IF(AND(ISNUMBER(B492),ISNUMBER(B491),B491&lt;&gt;0),B492/B491-1,""),"")</f>
        <v/>
      </c>
      <c r="E492" s="28">
        <f>IFERROR(IF(AND(ISNUMBER(C492),ISNUMBER(C491),C491&lt;&gt;0),C492/C491-1,""),"")</f>
        <v/>
      </c>
      <c r="F492" s="28">
        <f>IFERROR(D492-Dashboard!$B$4/252,"")</f>
        <v/>
      </c>
      <c r="G492" s="28">
        <f>IFERROR(E492-Dashboard!$B$4/252,"")</f>
        <v/>
      </c>
      <c r="H492" s="8">
        <f>IFERROR(IF(ISNUMBER(B492),MAX(B492,IFERROR(H491,B492)),""),"")</f>
        <v/>
      </c>
      <c r="I492" s="29">
        <f>IFERROR(IF(AND(ISNUMBER(B492),ISNUMBER(H492)),B492/H492-1,""),"")</f>
        <v/>
      </c>
      <c r="J492" s="8">
        <f>IFERROR(IF(ISNUMBER(C492),MAX(C492,IFERROR(J491,C492)),""),"")</f>
        <v/>
      </c>
      <c r="K492" s="29">
        <f>IFERROR(IF(AND(ISNUMBER(C492),ISNUMBER(J492)),C492/J492-1,""),"")</f>
        <v/>
      </c>
      <c r="L492" s="28">
        <f>IFERROR(IF(AND(ISNUMBER(D492),ISNUMBER(E492)),D492-E492,""),"")</f>
        <v/>
      </c>
    </row>
    <row r="493">
      <c r="A493" s="7">
        <f>IFERROR(Datos!A493,"")</f>
        <v/>
      </c>
      <c r="B493" s="8">
        <f>IFERROR(Datos!B493,"")</f>
        <v/>
      </c>
      <c r="C493" s="8">
        <f>IFERROR(Datos!C493,"")</f>
        <v/>
      </c>
      <c r="D493" s="28">
        <f>IFERROR(IF(AND(ISNUMBER(B493),ISNUMBER(B492),B492&lt;&gt;0),B493/B492-1,""),"")</f>
        <v/>
      </c>
      <c r="E493" s="28">
        <f>IFERROR(IF(AND(ISNUMBER(C493),ISNUMBER(C492),C492&lt;&gt;0),C493/C492-1,""),"")</f>
        <v/>
      </c>
      <c r="F493" s="28">
        <f>IFERROR(D493-Dashboard!$B$4/252,"")</f>
        <v/>
      </c>
      <c r="G493" s="28">
        <f>IFERROR(E493-Dashboard!$B$4/252,"")</f>
        <v/>
      </c>
      <c r="H493" s="8">
        <f>IFERROR(IF(ISNUMBER(B493),MAX(B493,IFERROR(H492,B493)),""),"")</f>
        <v/>
      </c>
      <c r="I493" s="29">
        <f>IFERROR(IF(AND(ISNUMBER(B493),ISNUMBER(H493)),B493/H493-1,""),"")</f>
        <v/>
      </c>
      <c r="J493" s="8">
        <f>IFERROR(IF(ISNUMBER(C493),MAX(C493,IFERROR(J492,C493)),""),"")</f>
        <v/>
      </c>
      <c r="K493" s="29">
        <f>IFERROR(IF(AND(ISNUMBER(C493),ISNUMBER(J493)),C493/J493-1,""),"")</f>
        <v/>
      </c>
      <c r="L493" s="28">
        <f>IFERROR(IF(AND(ISNUMBER(D493),ISNUMBER(E493)),D493-E493,""),"")</f>
        <v/>
      </c>
    </row>
    <row r="494">
      <c r="A494" s="7">
        <f>IFERROR(Datos!A494,"")</f>
        <v/>
      </c>
      <c r="B494" s="8">
        <f>IFERROR(Datos!B494,"")</f>
        <v/>
      </c>
      <c r="C494" s="8">
        <f>IFERROR(Datos!C494,"")</f>
        <v/>
      </c>
      <c r="D494" s="28">
        <f>IFERROR(IF(AND(ISNUMBER(B494),ISNUMBER(B493),B493&lt;&gt;0),B494/B493-1,""),"")</f>
        <v/>
      </c>
      <c r="E494" s="28">
        <f>IFERROR(IF(AND(ISNUMBER(C494),ISNUMBER(C493),C493&lt;&gt;0),C494/C493-1,""),"")</f>
        <v/>
      </c>
      <c r="F494" s="28">
        <f>IFERROR(D494-Dashboard!$B$4/252,"")</f>
        <v/>
      </c>
      <c r="G494" s="28">
        <f>IFERROR(E494-Dashboard!$B$4/252,"")</f>
        <v/>
      </c>
      <c r="H494" s="8">
        <f>IFERROR(IF(ISNUMBER(B494),MAX(B494,IFERROR(H493,B494)),""),"")</f>
        <v/>
      </c>
      <c r="I494" s="29">
        <f>IFERROR(IF(AND(ISNUMBER(B494),ISNUMBER(H494)),B494/H494-1,""),"")</f>
        <v/>
      </c>
      <c r="J494" s="8">
        <f>IFERROR(IF(ISNUMBER(C494),MAX(C494,IFERROR(J493,C494)),""),"")</f>
        <v/>
      </c>
      <c r="K494" s="29">
        <f>IFERROR(IF(AND(ISNUMBER(C494),ISNUMBER(J494)),C494/J494-1,""),"")</f>
        <v/>
      </c>
      <c r="L494" s="28">
        <f>IFERROR(IF(AND(ISNUMBER(D494),ISNUMBER(E494)),D494-E494,""),"")</f>
        <v/>
      </c>
    </row>
    <row r="495">
      <c r="A495" s="7">
        <f>IFERROR(Datos!A495,"")</f>
        <v/>
      </c>
      <c r="B495" s="8">
        <f>IFERROR(Datos!B495,"")</f>
        <v/>
      </c>
      <c r="C495" s="8">
        <f>IFERROR(Datos!C495,"")</f>
        <v/>
      </c>
      <c r="D495" s="28">
        <f>IFERROR(IF(AND(ISNUMBER(B495),ISNUMBER(B494),B494&lt;&gt;0),B495/B494-1,""),"")</f>
        <v/>
      </c>
      <c r="E495" s="28">
        <f>IFERROR(IF(AND(ISNUMBER(C495),ISNUMBER(C494),C494&lt;&gt;0),C495/C494-1,""),"")</f>
        <v/>
      </c>
      <c r="F495" s="28">
        <f>IFERROR(D495-Dashboard!$B$4/252,"")</f>
        <v/>
      </c>
      <c r="G495" s="28">
        <f>IFERROR(E495-Dashboard!$B$4/252,"")</f>
        <v/>
      </c>
      <c r="H495" s="8">
        <f>IFERROR(IF(ISNUMBER(B495),MAX(B495,IFERROR(H494,B495)),""),"")</f>
        <v/>
      </c>
      <c r="I495" s="29">
        <f>IFERROR(IF(AND(ISNUMBER(B495),ISNUMBER(H495)),B495/H495-1,""),"")</f>
        <v/>
      </c>
      <c r="J495" s="8">
        <f>IFERROR(IF(ISNUMBER(C495),MAX(C495,IFERROR(J494,C495)),""),"")</f>
        <v/>
      </c>
      <c r="K495" s="29">
        <f>IFERROR(IF(AND(ISNUMBER(C495),ISNUMBER(J495)),C495/J495-1,""),"")</f>
        <v/>
      </c>
      <c r="L495" s="28">
        <f>IFERROR(IF(AND(ISNUMBER(D495),ISNUMBER(E495)),D495-E495,""),"")</f>
        <v/>
      </c>
    </row>
    <row r="496">
      <c r="A496" s="7">
        <f>IFERROR(Datos!A496,"")</f>
        <v/>
      </c>
      <c r="B496" s="8">
        <f>IFERROR(Datos!B496,"")</f>
        <v/>
      </c>
      <c r="C496" s="8">
        <f>IFERROR(Datos!C496,"")</f>
        <v/>
      </c>
      <c r="D496" s="28">
        <f>IFERROR(IF(AND(ISNUMBER(B496),ISNUMBER(B495),B495&lt;&gt;0),B496/B495-1,""),"")</f>
        <v/>
      </c>
      <c r="E496" s="28">
        <f>IFERROR(IF(AND(ISNUMBER(C496),ISNUMBER(C495),C495&lt;&gt;0),C496/C495-1,""),"")</f>
        <v/>
      </c>
      <c r="F496" s="28">
        <f>IFERROR(D496-Dashboard!$B$4/252,"")</f>
        <v/>
      </c>
      <c r="G496" s="28">
        <f>IFERROR(E496-Dashboard!$B$4/252,"")</f>
        <v/>
      </c>
      <c r="H496" s="8">
        <f>IFERROR(IF(ISNUMBER(B496),MAX(B496,IFERROR(H495,B496)),""),"")</f>
        <v/>
      </c>
      <c r="I496" s="29">
        <f>IFERROR(IF(AND(ISNUMBER(B496),ISNUMBER(H496)),B496/H496-1,""),"")</f>
        <v/>
      </c>
      <c r="J496" s="8">
        <f>IFERROR(IF(ISNUMBER(C496),MAX(C496,IFERROR(J495,C496)),""),"")</f>
        <v/>
      </c>
      <c r="K496" s="29">
        <f>IFERROR(IF(AND(ISNUMBER(C496),ISNUMBER(J496)),C496/J496-1,""),"")</f>
        <v/>
      </c>
      <c r="L496" s="28">
        <f>IFERROR(IF(AND(ISNUMBER(D496),ISNUMBER(E496)),D496-E496,""),"")</f>
        <v/>
      </c>
    </row>
    <row r="497">
      <c r="A497" s="7">
        <f>IFERROR(Datos!A497,"")</f>
        <v/>
      </c>
      <c r="B497" s="8">
        <f>IFERROR(Datos!B497,"")</f>
        <v/>
      </c>
      <c r="C497" s="8">
        <f>IFERROR(Datos!C497,"")</f>
        <v/>
      </c>
      <c r="D497" s="28">
        <f>IFERROR(IF(AND(ISNUMBER(B497),ISNUMBER(B496),B496&lt;&gt;0),B497/B496-1,""),"")</f>
        <v/>
      </c>
      <c r="E497" s="28">
        <f>IFERROR(IF(AND(ISNUMBER(C497),ISNUMBER(C496),C496&lt;&gt;0),C497/C496-1,""),"")</f>
        <v/>
      </c>
      <c r="F497" s="28">
        <f>IFERROR(D497-Dashboard!$B$4/252,"")</f>
        <v/>
      </c>
      <c r="G497" s="28">
        <f>IFERROR(E497-Dashboard!$B$4/252,"")</f>
        <v/>
      </c>
      <c r="H497" s="8">
        <f>IFERROR(IF(ISNUMBER(B497),MAX(B497,IFERROR(H496,B497)),""),"")</f>
        <v/>
      </c>
      <c r="I497" s="29">
        <f>IFERROR(IF(AND(ISNUMBER(B497),ISNUMBER(H497)),B497/H497-1,""),"")</f>
        <v/>
      </c>
      <c r="J497" s="8">
        <f>IFERROR(IF(ISNUMBER(C497),MAX(C497,IFERROR(J496,C497)),""),"")</f>
        <v/>
      </c>
      <c r="K497" s="29">
        <f>IFERROR(IF(AND(ISNUMBER(C497),ISNUMBER(J497)),C497/J497-1,""),"")</f>
        <v/>
      </c>
      <c r="L497" s="28">
        <f>IFERROR(IF(AND(ISNUMBER(D497),ISNUMBER(E497)),D497-E497,""),"")</f>
        <v/>
      </c>
    </row>
    <row r="498">
      <c r="A498" s="7">
        <f>IFERROR(Datos!A498,"")</f>
        <v/>
      </c>
      <c r="B498" s="8">
        <f>IFERROR(Datos!B498,"")</f>
        <v/>
      </c>
      <c r="C498" s="8">
        <f>IFERROR(Datos!C498,"")</f>
        <v/>
      </c>
      <c r="D498" s="28">
        <f>IFERROR(IF(AND(ISNUMBER(B498),ISNUMBER(B497),B497&lt;&gt;0),B498/B497-1,""),"")</f>
        <v/>
      </c>
      <c r="E498" s="28">
        <f>IFERROR(IF(AND(ISNUMBER(C498),ISNUMBER(C497),C497&lt;&gt;0),C498/C497-1,""),"")</f>
        <v/>
      </c>
      <c r="F498" s="28">
        <f>IFERROR(D498-Dashboard!$B$4/252,"")</f>
        <v/>
      </c>
      <c r="G498" s="28">
        <f>IFERROR(E498-Dashboard!$B$4/252,"")</f>
        <v/>
      </c>
      <c r="H498" s="8">
        <f>IFERROR(IF(ISNUMBER(B498),MAX(B498,IFERROR(H497,B498)),""),"")</f>
        <v/>
      </c>
      <c r="I498" s="29">
        <f>IFERROR(IF(AND(ISNUMBER(B498),ISNUMBER(H498)),B498/H498-1,""),"")</f>
        <v/>
      </c>
      <c r="J498" s="8">
        <f>IFERROR(IF(ISNUMBER(C498),MAX(C498,IFERROR(J497,C498)),""),"")</f>
        <v/>
      </c>
      <c r="K498" s="29">
        <f>IFERROR(IF(AND(ISNUMBER(C498),ISNUMBER(J498)),C498/J498-1,""),"")</f>
        <v/>
      </c>
      <c r="L498" s="28">
        <f>IFERROR(IF(AND(ISNUMBER(D498),ISNUMBER(E498)),D498-E498,""),"")</f>
        <v/>
      </c>
    </row>
    <row r="499">
      <c r="A499" s="7">
        <f>IFERROR(Datos!A499,"")</f>
        <v/>
      </c>
      <c r="B499" s="8">
        <f>IFERROR(Datos!B499,"")</f>
        <v/>
      </c>
      <c r="C499" s="8">
        <f>IFERROR(Datos!C499,"")</f>
        <v/>
      </c>
      <c r="D499" s="28">
        <f>IFERROR(IF(AND(ISNUMBER(B499),ISNUMBER(B498),B498&lt;&gt;0),B499/B498-1,""),"")</f>
        <v/>
      </c>
      <c r="E499" s="28">
        <f>IFERROR(IF(AND(ISNUMBER(C499),ISNUMBER(C498),C498&lt;&gt;0),C499/C498-1,""),"")</f>
        <v/>
      </c>
      <c r="F499" s="28">
        <f>IFERROR(D499-Dashboard!$B$4/252,"")</f>
        <v/>
      </c>
      <c r="G499" s="28">
        <f>IFERROR(E499-Dashboard!$B$4/252,"")</f>
        <v/>
      </c>
      <c r="H499" s="8">
        <f>IFERROR(IF(ISNUMBER(B499),MAX(B499,IFERROR(H498,B499)),""),"")</f>
        <v/>
      </c>
      <c r="I499" s="29">
        <f>IFERROR(IF(AND(ISNUMBER(B499),ISNUMBER(H499)),B499/H499-1,""),"")</f>
        <v/>
      </c>
      <c r="J499" s="8">
        <f>IFERROR(IF(ISNUMBER(C499),MAX(C499,IFERROR(J498,C499)),""),"")</f>
        <v/>
      </c>
      <c r="K499" s="29">
        <f>IFERROR(IF(AND(ISNUMBER(C499),ISNUMBER(J499)),C499/J499-1,""),"")</f>
        <v/>
      </c>
      <c r="L499" s="28">
        <f>IFERROR(IF(AND(ISNUMBER(D499),ISNUMBER(E499)),D499-E499,""),"")</f>
        <v/>
      </c>
    </row>
    <row r="500">
      <c r="A500" s="7">
        <f>IFERROR(Datos!A500,"")</f>
        <v/>
      </c>
      <c r="B500" s="8">
        <f>IFERROR(Datos!B500,"")</f>
        <v/>
      </c>
      <c r="C500" s="8">
        <f>IFERROR(Datos!C500,"")</f>
        <v/>
      </c>
      <c r="D500" s="28">
        <f>IFERROR(IF(AND(ISNUMBER(B500),ISNUMBER(B499),B499&lt;&gt;0),B500/B499-1,""),"")</f>
        <v/>
      </c>
      <c r="E500" s="28">
        <f>IFERROR(IF(AND(ISNUMBER(C500),ISNUMBER(C499),C499&lt;&gt;0),C500/C499-1,""),"")</f>
        <v/>
      </c>
      <c r="F500" s="28">
        <f>IFERROR(D500-Dashboard!$B$4/252,"")</f>
        <v/>
      </c>
      <c r="G500" s="28">
        <f>IFERROR(E500-Dashboard!$B$4/252,"")</f>
        <v/>
      </c>
      <c r="H500" s="8">
        <f>IFERROR(IF(ISNUMBER(B500),MAX(B500,IFERROR(H499,B500)),""),"")</f>
        <v/>
      </c>
      <c r="I500" s="29">
        <f>IFERROR(IF(AND(ISNUMBER(B500),ISNUMBER(H500)),B500/H500-1,""),"")</f>
        <v/>
      </c>
      <c r="J500" s="8">
        <f>IFERROR(IF(ISNUMBER(C500),MAX(C500,IFERROR(J499,C500)),""),"")</f>
        <v/>
      </c>
      <c r="K500" s="29">
        <f>IFERROR(IF(AND(ISNUMBER(C500),ISNUMBER(J500)),C500/J500-1,""),"")</f>
        <v/>
      </c>
      <c r="L500" s="28">
        <f>IFERROR(IF(AND(ISNUMBER(D500),ISNUMBER(E500)),D500-E500,""),"")</f>
        <v/>
      </c>
    </row>
    <row r="501">
      <c r="A501" s="7">
        <f>IFERROR(Datos!A501,"")</f>
        <v/>
      </c>
      <c r="B501" s="8">
        <f>IFERROR(Datos!B501,"")</f>
        <v/>
      </c>
      <c r="C501" s="8">
        <f>IFERROR(Datos!C501,"")</f>
        <v/>
      </c>
      <c r="D501" s="28">
        <f>IFERROR(IF(AND(ISNUMBER(B501),ISNUMBER(B500),B500&lt;&gt;0),B501/B500-1,""),"")</f>
        <v/>
      </c>
      <c r="E501" s="28">
        <f>IFERROR(IF(AND(ISNUMBER(C501),ISNUMBER(C500),C500&lt;&gt;0),C501/C500-1,""),"")</f>
        <v/>
      </c>
      <c r="F501" s="28">
        <f>IFERROR(D501-Dashboard!$B$4/252,"")</f>
        <v/>
      </c>
      <c r="G501" s="28">
        <f>IFERROR(E501-Dashboard!$B$4/252,"")</f>
        <v/>
      </c>
      <c r="H501" s="8">
        <f>IFERROR(IF(ISNUMBER(B501),MAX(B501,IFERROR(H500,B501)),""),"")</f>
        <v/>
      </c>
      <c r="I501" s="29">
        <f>IFERROR(IF(AND(ISNUMBER(B501),ISNUMBER(H501)),B501/H501-1,""),"")</f>
        <v/>
      </c>
      <c r="J501" s="8">
        <f>IFERROR(IF(ISNUMBER(C501),MAX(C501,IFERROR(J500,C501)),""),"")</f>
        <v/>
      </c>
      <c r="K501" s="29">
        <f>IFERROR(IF(AND(ISNUMBER(C501),ISNUMBER(J501)),C501/J501-1,""),"")</f>
        <v/>
      </c>
      <c r="L501" s="28">
        <f>IFERROR(IF(AND(ISNUMBER(D501),ISNUMBER(E501)),D501-E501,""),"")</f>
        <v/>
      </c>
    </row>
    <row r="502">
      <c r="A502" s="7">
        <f>IFERROR(Datos!A502,"")</f>
        <v/>
      </c>
      <c r="B502" s="8">
        <f>IFERROR(Datos!B502,"")</f>
        <v/>
      </c>
      <c r="C502" s="8">
        <f>IFERROR(Datos!C502,"")</f>
        <v/>
      </c>
      <c r="D502" s="28">
        <f>IFERROR(IF(AND(ISNUMBER(B502),ISNUMBER(B501),B501&lt;&gt;0),B502/B501-1,""),"")</f>
        <v/>
      </c>
      <c r="E502" s="28">
        <f>IFERROR(IF(AND(ISNUMBER(C502),ISNUMBER(C501),C501&lt;&gt;0),C502/C501-1,""),"")</f>
        <v/>
      </c>
      <c r="F502" s="28">
        <f>IFERROR(D502-Dashboard!$B$4/252,"")</f>
        <v/>
      </c>
      <c r="G502" s="28">
        <f>IFERROR(E502-Dashboard!$B$4/252,"")</f>
        <v/>
      </c>
      <c r="H502" s="8">
        <f>IFERROR(IF(ISNUMBER(B502),MAX(B502,IFERROR(H501,B502)),""),"")</f>
        <v/>
      </c>
      <c r="I502" s="29">
        <f>IFERROR(IF(AND(ISNUMBER(B502),ISNUMBER(H502)),B502/H502-1,""),"")</f>
        <v/>
      </c>
      <c r="J502" s="8">
        <f>IFERROR(IF(ISNUMBER(C502),MAX(C502,IFERROR(J501,C502)),""),"")</f>
        <v/>
      </c>
      <c r="K502" s="29">
        <f>IFERROR(IF(AND(ISNUMBER(C502),ISNUMBER(J502)),C502/J502-1,""),"")</f>
        <v/>
      </c>
      <c r="L502" s="28">
        <f>IFERROR(IF(AND(ISNUMBER(D502),ISNUMBER(E502)),D502-E502,""),"")</f>
        <v/>
      </c>
    </row>
    <row r="503">
      <c r="A503" s="7">
        <f>IFERROR(Datos!A503,"")</f>
        <v/>
      </c>
      <c r="B503" s="8">
        <f>IFERROR(Datos!B503,"")</f>
        <v/>
      </c>
      <c r="C503" s="8">
        <f>IFERROR(Datos!C503,"")</f>
        <v/>
      </c>
      <c r="D503" s="28">
        <f>IFERROR(IF(AND(ISNUMBER(B503),ISNUMBER(B502),B502&lt;&gt;0),B503/B502-1,""),"")</f>
        <v/>
      </c>
      <c r="E503" s="28">
        <f>IFERROR(IF(AND(ISNUMBER(C503),ISNUMBER(C502),C502&lt;&gt;0),C503/C502-1,""),"")</f>
        <v/>
      </c>
      <c r="F503" s="28">
        <f>IFERROR(D503-Dashboard!$B$4/252,"")</f>
        <v/>
      </c>
      <c r="G503" s="28">
        <f>IFERROR(E503-Dashboard!$B$4/252,"")</f>
        <v/>
      </c>
      <c r="H503" s="8">
        <f>IFERROR(IF(ISNUMBER(B503),MAX(B503,IFERROR(H502,B503)),""),"")</f>
        <v/>
      </c>
      <c r="I503" s="29">
        <f>IFERROR(IF(AND(ISNUMBER(B503),ISNUMBER(H503)),B503/H503-1,""),"")</f>
        <v/>
      </c>
      <c r="J503" s="8">
        <f>IFERROR(IF(ISNUMBER(C503),MAX(C503,IFERROR(J502,C503)),""),"")</f>
        <v/>
      </c>
      <c r="K503" s="29">
        <f>IFERROR(IF(AND(ISNUMBER(C503),ISNUMBER(J503)),C503/J503-1,""),"")</f>
        <v/>
      </c>
      <c r="L503" s="28">
        <f>IFERROR(IF(AND(ISNUMBER(D503),ISNUMBER(E503)),D503-E503,""),"")</f>
        <v/>
      </c>
    </row>
    <row r="504">
      <c r="A504" s="7">
        <f>IFERROR(Datos!A504,"")</f>
        <v/>
      </c>
      <c r="B504" s="8">
        <f>IFERROR(Datos!B504,"")</f>
        <v/>
      </c>
      <c r="C504" s="8">
        <f>IFERROR(Datos!C504,"")</f>
        <v/>
      </c>
      <c r="D504" s="28">
        <f>IFERROR(IF(AND(ISNUMBER(B504),ISNUMBER(B503),B503&lt;&gt;0),B504/B503-1,""),"")</f>
        <v/>
      </c>
      <c r="E504" s="28">
        <f>IFERROR(IF(AND(ISNUMBER(C504),ISNUMBER(C503),C503&lt;&gt;0),C504/C503-1,""),"")</f>
        <v/>
      </c>
      <c r="F504" s="28">
        <f>IFERROR(D504-Dashboard!$B$4/252,"")</f>
        <v/>
      </c>
      <c r="G504" s="28">
        <f>IFERROR(E504-Dashboard!$B$4/252,"")</f>
        <v/>
      </c>
      <c r="H504" s="8">
        <f>IFERROR(IF(ISNUMBER(B504),MAX(B504,IFERROR(H503,B504)),""),"")</f>
        <v/>
      </c>
      <c r="I504" s="29">
        <f>IFERROR(IF(AND(ISNUMBER(B504),ISNUMBER(H504)),B504/H504-1,""),"")</f>
        <v/>
      </c>
      <c r="J504" s="8">
        <f>IFERROR(IF(ISNUMBER(C504),MAX(C504,IFERROR(J503,C504)),""),"")</f>
        <v/>
      </c>
      <c r="K504" s="29">
        <f>IFERROR(IF(AND(ISNUMBER(C504),ISNUMBER(J504)),C504/J504-1,""),"")</f>
        <v/>
      </c>
      <c r="L504" s="28">
        <f>IFERROR(IF(AND(ISNUMBER(D504),ISNUMBER(E504)),D504-E504,""),"")</f>
        <v/>
      </c>
    </row>
    <row r="505">
      <c r="A505" s="7">
        <f>IFERROR(Datos!A505,"")</f>
        <v/>
      </c>
      <c r="B505" s="8">
        <f>IFERROR(Datos!B505,"")</f>
        <v/>
      </c>
      <c r="C505" s="8">
        <f>IFERROR(Datos!C505,"")</f>
        <v/>
      </c>
      <c r="D505" s="28">
        <f>IFERROR(IF(AND(ISNUMBER(B505),ISNUMBER(B504),B504&lt;&gt;0),B505/B504-1,""),"")</f>
        <v/>
      </c>
      <c r="E505" s="28">
        <f>IFERROR(IF(AND(ISNUMBER(C505),ISNUMBER(C504),C504&lt;&gt;0),C505/C504-1,""),"")</f>
        <v/>
      </c>
      <c r="F505" s="28">
        <f>IFERROR(D505-Dashboard!$B$4/252,"")</f>
        <v/>
      </c>
      <c r="G505" s="28">
        <f>IFERROR(E505-Dashboard!$B$4/252,"")</f>
        <v/>
      </c>
      <c r="H505" s="8">
        <f>IFERROR(IF(ISNUMBER(B505),MAX(B505,IFERROR(H504,B505)),""),"")</f>
        <v/>
      </c>
      <c r="I505" s="29">
        <f>IFERROR(IF(AND(ISNUMBER(B505),ISNUMBER(H505)),B505/H505-1,""),"")</f>
        <v/>
      </c>
      <c r="J505" s="8">
        <f>IFERROR(IF(ISNUMBER(C505),MAX(C505,IFERROR(J504,C505)),""),"")</f>
        <v/>
      </c>
      <c r="K505" s="29">
        <f>IFERROR(IF(AND(ISNUMBER(C505),ISNUMBER(J505)),C505/J505-1,""),"")</f>
        <v/>
      </c>
      <c r="L505" s="28">
        <f>IFERROR(IF(AND(ISNUMBER(D505),ISNUMBER(E505)),D505-E505,""),"")</f>
        <v/>
      </c>
    </row>
    <row r="506">
      <c r="A506" s="7">
        <f>IFERROR(Datos!A506,"")</f>
        <v/>
      </c>
      <c r="B506" s="8">
        <f>IFERROR(Datos!B506,"")</f>
        <v/>
      </c>
      <c r="C506" s="8">
        <f>IFERROR(Datos!C506,"")</f>
        <v/>
      </c>
      <c r="D506" s="28">
        <f>IFERROR(IF(AND(ISNUMBER(B506),ISNUMBER(B505),B505&lt;&gt;0),B506/B505-1,""),"")</f>
        <v/>
      </c>
      <c r="E506" s="28">
        <f>IFERROR(IF(AND(ISNUMBER(C506),ISNUMBER(C505),C505&lt;&gt;0),C506/C505-1,""),"")</f>
        <v/>
      </c>
      <c r="F506" s="28">
        <f>IFERROR(D506-Dashboard!$B$4/252,"")</f>
        <v/>
      </c>
      <c r="G506" s="28">
        <f>IFERROR(E506-Dashboard!$B$4/252,"")</f>
        <v/>
      </c>
      <c r="H506" s="8">
        <f>IFERROR(IF(ISNUMBER(B506),MAX(B506,IFERROR(H505,B506)),""),"")</f>
        <v/>
      </c>
      <c r="I506" s="29">
        <f>IFERROR(IF(AND(ISNUMBER(B506),ISNUMBER(H506)),B506/H506-1,""),"")</f>
        <v/>
      </c>
      <c r="J506" s="8">
        <f>IFERROR(IF(ISNUMBER(C506),MAX(C506,IFERROR(J505,C506)),""),"")</f>
        <v/>
      </c>
      <c r="K506" s="29">
        <f>IFERROR(IF(AND(ISNUMBER(C506),ISNUMBER(J506)),C506/J506-1,""),"")</f>
        <v/>
      </c>
      <c r="L506" s="28">
        <f>IFERROR(IF(AND(ISNUMBER(D506),ISNUMBER(E506)),D506-E506,""),"")</f>
        <v/>
      </c>
    </row>
    <row r="507">
      <c r="A507" s="7">
        <f>IFERROR(Datos!A507,"")</f>
        <v/>
      </c>
      <c r="B507" s="8">
        <f>IFERROR(Datos!B507,"")</f>
        <v/>
      </c>
      <c r="C507" s="8">
        <f>IFERROR(Datos!C507,"")</f>
        <v/>
      </c>
      <c r="D507" s="28">
        <f>IFERROR(IF(AND(ISNUMBER(B507),ISNUMBER(B506),B506&lt;&gt;0),B507/B506-1,""),"")</f>
        <v/>
      </c>
      <c r="E507" s="28">
        <f>IFERROR(IF(AND(ISNUMBER(C507),ISNUMBER(C506),C506&lt;&gt;0),C507/C506-1,""),"")</f>
        <v/>
      </c>
      <c r="F507" s="28">
        <f>IFERROR(D507-Dashboard!$B$4/252,"")</f>
        <v/>
      </c>
      <c r="G507" s="28">
        <f>IFERROR(E507-Dashboard!$B$4/252,"")</f>
        <v/>
      </c>
      <c r="H507" s="8">
        <f>IFERROR(IF(ISNUMBER(B507),MAX(B507,IFERROR(H506,B507)),""),"")</f>
        <v/>
      </c>
      <c r="I507" s="29">
        <f>IFERROR(IF(AND(ISNUMBER(B507),ISNUMBER(H507)),B507/H507-1,""),"")</f>
        <v/>
      </c>
      <c r="J507" s="8">
        <f>IFERROR(IF(ISNUMBER(C507),MAX(C507,IFERROR(J506,C507)),""),"")</f>
        <v/>
      </c>
      <c r="K507" s="29">
        <f>IFERROR(IF(AND(ISNUMBER(C507),ISNUMBER(J507)),C507/J507-1,""),"")</f>
        <v/>
      </c>
      <c r="L507" s="28">
        <f>IFERROR(IF(AND(ISNUMBER(D507),ISNUMBER(E507)),D507-E507,""),"")</f>
        <v/>
      </c>
    </row>
    <row r="508">
      <c r="A508" s="7">
        <f>IFERROR(Datos!A508,"")</f>
        <v/>
      </c>
      <c r="B508" s="8">
        <f>IFERROR(Datos!B508,"")</f>
        <v/>
      </c>
      <c r="C508" s="8">
        <f>IFERROR(Datos!C508,"")</f>
        <v/>
      </c>
      <c r="D508" s="28">
        <f>IFERROR(IF(AND(ISNUMBER(B508),ISNUMBER(B507),B507&lt;&gt;0),B508/B507-1,""),"")</f>
        <v/>
      </c>
      <c r="E508" s="28">
        <f>IFERROR(IF(AND(ISNUMBER(C508),ISNUMBER(C507),C507&lt;&gt;0),C508/C507-1,""),"")</f>
        <v/>
      </c>
      <c r="F508" s="28">
        <f>IFERROR(D508-Dashboard!$B$4/252,"")</f>
        <v/>
      </c>
      <c r="G508" s="28">
        <f>IFERROR(E508-Dashboard!$B$4/252,"")</f>
        <v/>
      </c>
      <c r="H508" s="8">
        <f>IFERROR(IF(ISNUMBER(B508),MAX(B508,IFERROR(H507,B508)),""),"")</f>
        <v/>
      </c>
      <c r="I508" s="29">
        <f>IFERROR(IF(AND(ISNUMBER(B508),ISNUMBER(H508)),B508/H508-1,""),"")</f>
        <v/>
      </c>
      <c r="J508" s="8">
        <f>IFERROR(IF(ISNUMBER(C508),MAX(C508,IFERROR(J507,C508)),""),"")</f>
        <v/>
      </c>
      <c r="K508" s="29">
        <f>IFERROR(IF(AND(ISNUMBER(C508),ISNUMBER(J508)),C508/J508-1,""),"")</f>
        <v/>
      </c>
      <c r="L508" s="28">
        <f>IFERROR(IF(AND(ISNUMBER(D508),ISNUMBER(E508)),D508-E508,""),"")</f>
        <v/>
      </c>
    </row>
    <row r="509">
      <c r="A509" s="7">
        <f>IFERROR(Datos!A509,"")</f>
        <v/>
      </c>
      <c r="B509" s="8">
        <f>IFERROR(Datos!B509,"")</f>
        <v/>
      </c>
      <c r="C509" s="8">
        <f>IFERROR(Datos!C509,"")</f>
        <v/>
      </c>
      <c r="D509" s="28">
        <f>IFERROR(IF(AND(ISNUMBER(B509),ISNUMBER(B508),B508&lt;&gt;0),B509/B508-1,""),"")</f>
        <v/>
      </c>
      <c r="E509" s="28">
        <f>IFERROR(IF(AND(ISNUMBER(C509),ISNUMBER(C508),C508&lt;&gt;0),C509/C508-1,""),"")</f>
        <v/>
      </c>
      <c r="F509" s="28">
        <f>IFERROR(D509-Dashboard!$B$4/252,"")</f>
        <v/>
      </c>
      <c r="G509" s="28">
        <f>IFERROR(E509-Dashboard!$B$4/252,"")</f>
        <v/>
      </c>
      <c r="H509" s="8">
        <f>IFERROR(IF(ISNUMBER(B509),MAX(B509,IFERROR(H508,B509)),""),"")</f>
        <v/>
      </c>
      <c r="I509" s="29">
        <f>IFERROR(IF(AND(ISNUMBER(B509),ISNUMBER(H509)),B509/H509-1,""),"")</f>
        <v/>
      </c>
      <c r="J509" s="8">
        <f>IFERROR(IF(ISNUMBER(C509),MAX(C509,IFERROR(J508,C509)),""),"")</f>
        <v/>
      </c>
      <c r="K509" s="29">
        <f>IFERROR(IF(AND(ISNUMBER(C509),ISNUMBER(J509)),C509/J509-1,""),"")</f>
        <v/>
      </c>
      <c r="L509" s="28">
        <f>IFERROR(IF(AND(ISNUMBER(D509),ISNUMBER(E509)),D509-E509,""),"")</f>
        <v/>
      </c>
    </row>
    <row r="510">
      <c r="A510" s="7">
        <f>IFERROR(Datos!A510,"")</f>
        <v/>
      </c>
      <c r="B510" s="8">
        <f>IFERROR(Datos!B510,"")</f>
        <v/>
      </c>
      <c r="C510" s="8">
        <f>IFERROR(Datos!C510,"")</f>
        <v/>
      </c>
      <c r="D510" s="28">
        <f>IFERROR(IF(AND(ISNUMBER(B510),ISNUMBER(B509),B509&lt;&gt;0),B510/B509-1,""),"")</f>
        <v/>
      </c>
      <c r="E510" s="28">
        <f>IFERROR(IF(AND(ISNUMBER(C510),ISNUMBER(C509),C509&lt;&gt;0),C510/C509-1,""),"")</f>
        <v/>
      </c>
      <c r="F510" s="28">
        <f>IFERROR(D510-Dashboard!$B$4/252,"")</f>
        <v/>
      </c>
      <c r="G510" s="28">
        <f>IFERROR(E510-Dashboard!$B$4/252,"")</f>
        <v/>
      </c>
      <c r="H510" s="8">
        <f>IFERROR(IF(ISNUMBER(B510),MAX(B510,IFERROR(H509,B510)),""),"")</f>
        <v/>
      </c>
      <c r="I510" s="29">
        <f>IFERROR(IF(AND(ISNUMBER(B510),ISNUMBER(H510)),B510/H510-1,""),"")</f>
        <v/>
      </c>
      <c r="J510" s="8">
        <f>IFERROR(IF(ISNUMBER(C510),MAX(C510,IFERROR(J509,C510)),""),"")</f>
        <v/>
      </c>
      <c r="K510" s="29">
        <f>IFERROR(IF(AND(ISNUMBER(C510),ISNUMBER(J510)),C510/J510-1,""),"")</f>
        <v/>
      </c>
      <c r="L510" s="28">
        <f>IFERROR(IF(AND(ISNUMBER(D510),ISNUMBER(E510)),D510-E510,""),"")</f>
        <v/>
      </c>
    </row>
    <row r="511">
      <c r="A511" s="7">
        <f>IFERROR(Datos!A511,"")</f>
        <v/>
      </c>
      <c r="B511" s="8">
        <f>IFERROR(Datos!B511,"")</f>
        <v/>
      </c>
      <c r="C511" s="8">
        <f>IFERROR(Datos!C511,"")</f>
        <v/>
      </c>
      <c r="D511" s="28">
        <f>IFERROR(IF(AND(ISNUMBER(B511),ISNUMBER(B510),B510&lt;&gt;0),B511/B510-1,""),"")</f>
        <v/>
      </c>
      <c r="E511" s="28">
        <f>IFERROR(IF(AND(ISNUMBER(C511),ISNUMBER(C510),C510&lt;&gt;0),C511/C510-1,""),"")</f>
        <v/>
      </c>
      <c r="F511" s="28">
        <f>IFERROR(D511-Dashboard!$B$4/252,"")</f>
        <v/>
      </c>
      <c r="G511" s="28">
        <f>IFERROR(E511-Dashboard!$B$4/252,"")</f>
        <v/>
      </c>
      <c r="H511" s="8">
        <f>IFERROR(IF(ISNUMBER(B511),MAX(B511,IFERROR(H510,B511)),""),"")</f>
        <v/>
      </c>
      <c r="I511" s="29">
        <f>IFERROR(IF(AND(ISNUMBER(B511),ISNUMBER(H511)),B511/H511-1,""),"")</f>
        <v/>
      </c>
      <c r="J511" s="8">
        <f>IFERROR(IF(ISNUMBER(C511),MAX(C511,IFERROR(J510,C511)),""),"")</f>
        <v/>
      </c>
      <c r="K511" s="29">
        <f>IFERROR(IF(AND(ISNUMBER(C511),ISNUMBER(J511)),C511/J511-1,""),"")</f>
        <v/>
      </c>
      <c r="L511" s="28">
        <f>IFERROR(IF(AND(ISNUMBER(D511),ISNUMBER(E511)),D511-E511,""),"")</f>
        <v/>
      </c>
    </row>
    <row r="512">
      <c r="A512" s="7">
        <f>IFERROR(Datos!A512,"")</f>
        <v/>
      </c>
      <c r="B512" s="8">
        <f>IFERROR(Datos!B512,"")</f>
        <v/>
      </c>
      <c r="C512" s="8">
        <f>IFERROR(Datos!C512,"")</f>
        <v/>
      </c>
      <c r="D512" s="28">
        <f>IFERROR(IF(AND(ISNUMBER(B512),ISNUMBER(B511),B511&lt;&gt;0),B512/B511-1,""),"")</f>
        <v/>
      </c>
      <c r="E512" s="28">
        <f>IFERROR(IF(AND(ISNUMBER(C512),ISNUMBER(C511),C511&lt;&gt;0),C512/C511-1,""),"")</f>
        <v/>
      </c>
      <c r="F512" s="28">
        <f>IFERROR(D512-Dashboard!$B$4/252,"")</f>
        <v/>
      </c>
      <c r="G512" s="28">
        <f>IFERROR(E512-Dashboard!$B$4/252,"")</f>
        <v/>
      </c>
      <c r="H512" s="8">
        <f>IFERROR(IF(ISNUMBER(B512),MAX(B512,IFERROR(H511,B512)),""),"")</f>
        <v/>
      </c>
      <c r="I512" s="29">
        <f>IFERROR(IF(AND(ISNUMBER(B512),ISNUMBER(H512)),B512/H512-1,""),"")</f>
        <v/>
      </c>
      <c r="J512" s="8">
        <f>IFERROR(IF(ISNUMBER(C512),MAX(C512,IFERROR(J511,C512)),""),"")</f>
        <v/>
      </c>
      <c r="K512" s="29">
        <f>IFERROR(IF(AND(ISNUMBER(C512),ISNUMBER(J512)),C512/J512-1,""),"")</f>
        <v/>
      </c>
      <c r="L512" s="28">
        <f>IFERROR(IF(AND(ISNUMBER(D512),ISNUMBER(E512)),D512-E512,""),"")</f>
        <v/>
      </c>
    </row>
    <row r="513">
      <c r="A513" s="7">
        <f>IFERROR(Datos!A513,"")</f>
        <v/>
      </c>
      <c r="B513" s="8">
        <f>IFERROR(Datos!B513,"")</f>
        <v/>
      </c>
      <c r="C513" s="8">
        <f>IFERROR(Datos!C513,"")</f>
        <v/>
      </c>
      <c r="D513" s="28">
        <f>IFERROR(IF(AND(ISNUMBER(B513),ISNUMBER(B512),B512&lt;&gt;0),B513/B512-1,""),"")</f>
        <v/>
      </c>
      <c r="E513" s="28">
        <f>IFERROR(IF(AND(ISNUMBER(C513),ISNUMBER(C512),C512&lt;&gt;0),C513/C512-1,""),"")</f>
        <v/>
      </c>
      <c r="F513" s="28">
        <f>IFERROR(D513-Dashboard!$B$4/252,"")</f>
        <v/>
      </c>
      <c r="G513" s="28">
        <f>IFERROR(E513-Dashboard!$B$4/252,"")</f>
        <v/>
      </c>
      <c r="H513" s="8">
        <f>IFERROR(IF(ISNUMBER(B513),MAX(B513,IFERROR(H512,B513)),""),"")</f>
        <v/>
      </c>
      <c r="I513" s="29">
        <f>IFERROR(IF(AND(ISNUMBER(B513),ISNUMBER(H513)),B513/H513-1,""),"")</f>
        <v/>
      </c>
      <c r="J513" s="8">
        <f>IFERROR(IF(ISNUMBER(C513),MAX(C513,IFERROR(J512,C513)),""),"")</f>
        <v/>
      </c>
      <c r="K513" s="29">
        <f>IFERROR(IF(AND(ISNUMBER(C513),ISNUMBER(J513)),C513/J513-1,""),"")</f>
        <v/>
      </c>
      <c r="L513" s="28">
        <f>IFERROR(IF(AND(ISNUMBER(D513),ISNUMBER(E513)),D513-E513,""),"")</f>
        <v/>
      </c>
    </row>
    <row r="514">
      <c r="A514" s="7">
        <f>IFERROR(Datos!A514,"")</f>
        <v/>
      </c>
      <c r="B514" s="8">
        <f>IFERROR(Datos!B514,"")</f>
        <v/>
      </c>
      <c r="C514" s="8">
        <f>IFERROR(Datos!C514,"")</f>
        <v/>
      </c>
      <c r="D514" s="28">
        <f>IFERROR(IF(AND(ISNUMBER(B514),ISNUMBER(B513),B513&lt;&gt;0),B514/B513-1,""),"")</f>
        <v/>
      </c>
      <c r="E514" s="28">
        <f>IFERROR(IF(AND(ISNUMBER(C514),ISNUMBER(C513),C513&lt;&gt;0),C514/C513-1,""),"")</f>
        <v/>
      </c>
      <c r="F514" s="28">
        <f>IFERROR(D514-Dashboard!$B$4/252,"")</f>
        <v/>
      </c>
      <c r="G514" s="28">
        <f>IFERROR(E514-Dashboard!$B$4/252,"")</f>
        <v/>
      </c>
      <c r="H514" s="8">
        <f>IFERROR(IF(ISNUMBER(B514),MAX(B514,IFERROR(H513,B514)),""),"")</f>
        <v/>
      </c>
      <c r="I514" s="29">
        <f>IFERROR(IF(AND(ISNUMBER(B514),ISNUMBER(H514)),B514/H514-1,""),"")</f>
        <v/>
      </c>
      <c r="J514" s="8">
        <f>IFERROR(IF(ISNUMBER(C514),MAX(C514,IFERROR(J513,C514)),""),"")</f>
        <v/>
      </c>
      <c r="K514" s="29">
        <f>IFERROR(IF(AND(ISNUMBER(C514),ISNUMBER(J514)),C514/J514-1,""),"")</f>
        <v/>
      </c>
      <c r="L514" s="28">
        <f>IFERROR(IF(AND(ISNUMBER(D514),ISNUMBER(E514)),D514-E514,""),"")</f>
        <v/>
      </c>
    </row>
    <row r="515">
      <c r="A515" s="7">
        <f>IFERROR(Datos!A515,"")</f>
        <v/>
      </c>
      <c r="B515" s="8">
        <f>IFERROR(Datos!B515,"")</f>
        <v/>
      </c>
      <c r="C515" s="8">
        <f>IFERROR(Datos!C515,"")</f>
        <v/>
      </c>
      <c r="D515" s="28">
        <f>IFERROR(IF(AND(ISNUMBER(B515),ISNUMBER(B514),B514&lt;&gt;0),B515/B514-1,""),"")</f>
        <v/>
      </c>
      <c r="E515" s="28">
        <f>IFERROR(IF(AND(ISNUMBER(C515),ISNUMBER(C514),C514&lt;&gt;0),C515/C514-1,""),"")</f>
        <v/>
      </c>
      <c r="F515" s="28">
        <f>IFERROR(D515-Dashboard!$B$4/252,"")</f>
        <v/>
      </c>
      <c r="G515" s="28">
        <f>IFERROR(E515-Dashboard!$B$4/252,"")</f>
        <v/>
      </c>
      <c r="H515" s="8">
        <f>IFERROR(IF(ISNUMBER(B515),MAX(B515,IFERROR(H514,B515)),""),"")</f>
        <v/>
      </c>
      <c r="I515" s="29">
        <f>IFERROR(IF(AND(ISNUMBER(B515),ISNUMBER(H515)),B515/H515-1,""),"")</f>
        <v/>
      </c>
      <c r="J515" s="8">
        <f>IFERROR(IF(ISNUMBER(C515),MAX(C515,IFERROR(J514,C515)),""),"")</f>
        <v/>
      </c>
      <c r="K515" s="29">
        <f>IFERROR(IF(AND(ISNUMBER(C515),ISNUMBER(J515)),C515/J515-1,""),"")</f>
        <v/>
      </c>
      <c r="L515" s="28">
        <f>IFERROR(IF(AND(ISNUMBER(D515),ISNUMBER(E515)),D515-E515,""),"")</f>
        <v/>
      </c>
    </row>
    <row r="516">
      <c r="A516" s="7">
        <f>IFERROR(Datos!A516,"")</f>
        <v/>
      </c>
      <c r="B516" s="8">
        <f>IFERROR(Datos!B516,"")</f>
        <v/>
      </c>
      <c r="C516" s="8">
        <f>IFERROR(Datos!C516,"")</f>
        <v/>
      </c>
      <c r="D516" s="28">
        <f>IFERROR(IF(AND(ISNUMBER(B516),ISNUMBER(B515),B515&lt;&gt;0),B516/B515-1,""),"")</f>
        <v/>
      </c>
      <c r="E516" s="28">
        <f>IFERROR(IF(AND(ISNUMBER(C516),ISNUMBER(C515),C515&lt;&gt;0),C516/C515-1,""),"")</f>
        <v/>
      </c>
      <c r="F516" s="28">
        <f>IFERROR(D516-Dashboard!$B$4/252,"")</f>
        <v/>
      </c>
      <c r="G516" s="28">
        <f>IFERROR(E516-Dashboard!$B$4/252,"")</f>
        <v/>
      </c>
      <c r="H516" s="8">
        <f>IFERROR(IF(ISNUMBER(B516),MAX(B516,IFERROR(H515,B516)),""),"")</f>
        <v/>
      </c>
      <c r="I516" s="29">
        <f>IFERROR(IF(AND(ISNUMBER(B516),ISNUMBER(H516)),B516/H516-1,""),"")</f>
        <v/>
      </c>
      <c r="J516" s="8">
        <f>IFERROR(IF(ISNUMBER(C516),MAX(C516,IFERROR(J515,C516)),""),"")</f>
        <v/>
      </c>
      <c r="K516" s="29">
        <f>IFERROR(IF(AND(ISNUMBER(C516),ISNUMBER(J516)),C516/J516-1,""),"")</f>
        <v/>
      </c>
      <c r="L516" s="28">
        <f>IFERROR(IF(AND(ISNUMBER(D516),ISNUMBER(E516)),D516-E516,""),"")</f>
        <v/>
      </c>
    </row>
    <row r="517">
      <c r="A517" s="7">
        <f>IFERROR(Datos!A517,"")</f>
        <v/>
      </c>
      <c r="B517" s="8">
        <f>IFERROR(Datos!B517,"")</f>
        <v/>
      </c>
      <c r="C517" s="8">
        <f>IFERROR(Datos!C517,"")</f>
        <v/>
      </c>
      <c r="D517" s="28">
        <f>IFERROR(IF(AND(ISNUMBER(B517),ISNUMBER(B516),B516&lt;&gt;0),B517/B516-1,""),"")</f>
        <v/>
      </c>
      <c r="E517" s="28">
        <f>IFERROR(IF(AND(ISNUMBER(C517),ISNUMBER(C516),C516&lt;&gt;0),C517/C516-1,""),"")</f>
        <v/>
      </c>
      <c r="F517" s="28">
        <f>IFERROR(D517-Dashboard!$B$4/252,"")</f>
        <v/>
      </c>
      <c r="G517" s="28">
        <f>IFERROR(E517-Dashboard!$B$4/252,"")</f>
        <v/>
      </c>
      <c r="H517" s="8">
        <f>IFERROR(IF(ISNUMBER(B517),MAX(B517,IFERROR(H516,B517)),""),"")</f>
        <v/>
      </c>
      <c r="I517" s="29">
        <f>IFERROR(IF(AND(ISNUMBER(B517),ISNUMBER(H517)),B517/H517-1,""),"")</f>
        <v/>
      </c>
      <c r="J517" s="8">
        <f>IFERROR(IF(ISNUMBER(C517),MAX(C517,IFERROR(J516,C517)),""),"")</f>
        <v/>
      </c>
      <c r="K517" s="29">
        <f>IFERROR(IF(AND(ISNUMBER(C517),ISNUMBER(J517)),C517/J517-1,""),"")</f>
        <v/>
      </c>
      <c r="L517" s="28">
        <f>IFERROR(IF(AND(ISNUMBER(D517),ISNUMBER(E517)),D517-E517,""),"")</f>
        <v/>
      </c>
    </row>
    <row r="518">
      <c r="A518" s="7">
        <f>IFERROR(Datos!A518,"")</f>
        <v/>
      </c>
      <c r="B518" s="8">
        <f>IFERROR(Datos!B518,"")</f>
        <v/>
      </c>
      <c r="C518" s="8">
        <f>IFERROR(Datos!C518,"")</f>
        <v/>
      </c>
      <c r="D518" s="28">
        <f>IFERROR(IF(AND(ISNUMBER(B518),ISNUMBER(B517),B517&lt;&gt;0),B518/B517-1,""),"")</f>
        <v/>
      </c>
      <c r="E518" s="28">
        <f>IFERROR(IF(AND(ISNUMBER(C518),ISNUMBER(C517),C517&lt;&gt;0),C518/C517-1,""),"")</f>
        <v/>
      </c>
      <c r="F518" s="28">
        <f>IFERROR(D518-Dashboard!$B$4/252,"")</f>
        <v/>
      </c>
      <c r="G518" s="28">
        <f>IFERROR(E518-Dashboard!$B$4/252,"")</f>
        <v/>
      </c>
      <c r="H518" s="8">
        <f>IFERROR(IF(ISNUMBER(B518),MAX(B518,IFERROR(H517,B518)),""),"")</f>
        <v/>
      </c>
      <c r="I518" s="29">
        <f>IFERROR(IF(AND(ISNUMBER(B518),ISNUMBER(H518)),B518/H518-1,""),"")</f>
        <v/>
      </c>
      <c r="J518" s="8">
        <f>IFERROR(IF(ISNUMBER(C518),MAX(C518,IFERROR(J517,C518)),""),"")</f>
        <v/>
      </c>
      <c r="K518" s="29">
        <f>IFERROR(IF(AND(ISNUMBER(C518),ISNUMBER(J518)),C518/J518-1,""),"")</f>
        <v/>
      </c>
      <c r="L518" s="28">
        <f>IFERROR(IF(AND(ISNUMBER(D518),ISNUMBER(E518)),D518-E518,""),"")</f>
        <v/>
      </c>
    </row>
    <row r="519">
      <c r="A519" s="7">
        <f>IFERROR(Datos!A519,"")</f>
        <v/>
      </c>
      <c r="B519" s="8">
        <f>IFERROR(Datos!B519,"")</f>
        <v/>
      </c>
      <c r="C519" s="8">
        <f>IFERROR(Datos!C519,"")</f>
        <v/>
      </c>
      <c r="D519" s="28">
        <f>IFERROR(IF(AND(ISNUMBER(B519),ISNUMBER(B518),B518&lt;&gt;0),B519/B518-1,""),"")</f>
        <v/>
      </c>
      <c r="E519" s="28">
        <f>IFERROR(IF(AND(ISNUMBER(C519),ISNUMBER(C518),C518&lt;&gt;0),C519/C518-1,""),"")</f>
        <v/>
      </c>
      <c r="F519" s="28">
        <f>IFERROR(D519-Dashboard!$B$4/252,"")</f>
        <v/>
      </c>
      <c r="G519" s="28">
        <f>IFERROR(E519-Dashboard!$B$4/252,"")</f>
        <v/>
      </c>
      <c r="H519" s="8">
        <f>IFERROR(IF(ISNUMBER(B519),MAX(B519,IFERROR(H518,B519)),""),"")</f>
        <v/>
      </c>
      <c r="I519" s="29">
        <f>IFERROR(IF(AND(ISNUMBER(B519),ISNUMBER(H519)),B519/H519-1,""),"")</f>
        <v/>
      </c>
      <c r="J519" s="8">
        <f>IFERROR(IF(ISNUMBER(C519),MAX(C519,IFERROR(J518,C519)),""),"")</f>
        <v/>
      </c>
      <c r="K519" s="29">
        <f>IFERROR(IF(AND(ISNUMBER(C519),ISNUMBER(J519)),C519/J519-1,""),"")</f>
        <v/>
      </c>
      <c r="L519" s="28">
        <f>IFERROR(IF(AND(ISNUMBER(D519),ISNUMBER(E519)),D519-E519,""),"")</f>
        <v/>
      </c>
    </row>
    <row r="520">
      <c r="A520" s="7">
        <f>IFERROR(Datos!A520,"")</f>
        <v/>
      </c>
      <c r="B520" s="8">
        <f>IFERROR(Datos!B520,"")</f>
        <v/>
      </c>
      <c r="C520" s="8">
        <f>IFERROR(Datos!C520,"")</f>
        <v/>
      </c>
      <c r="D520" s="28">
        <f>IFERROR(IF(AND(ISNUMBER(B520),ISNUMBER(B519),B519&lt;&gt;0),B520/B519-1,""),"")</f>
        <v/>
      </c>
      <c r="E520" s="28">
        <f>IFERROR(IF(AND(ISNUMBER(C520),ISNUMBER(C519),C519&lt;&gt;0),C520/C519-1,""),"")</f>
        <v/>
      </c>
      <c r="F520" s="28">
        <f>IFERROR(D520-Dashboard!$B$4/252,"")</f>
        <v/>
      </c>
      <c r="G520" s="28">
        <f>IFERROR(E520-Dashboard!$B$4/252,"")</f>
        <v/>
      </c>
      <c r="H520" s="8">
        <f>IFERROR(IF(ISNUMBER(B520),MAX(B520,IFERROR(H519,B520)),""),"")</f>
        <v/>
      </c>
      <c r="I520" s="29">
        <f>IFERROR(IF(AND(ISNUMBER(B520),ISNUMBER(H520)),B520/H520-1,""),"")</f>
        <v/>
      </c>
      <c r="J520" s="8">
        <f>IFERROR(IF(ISNUMBER(C520),MAX(C520,IFERROR(J519,C520)),""),"")</f>
        <v/>
      </c>
      <c r="K520" s="29">
        <f>IFERROR(IF(AND(ISNUMBER(C520),ISNUMBER(J520)),C520/J520-1,""),"")</f>
        <v/>
      </c>
      <c r="L520" s="28">
        <f>IFERROR(IF(AND(ISNUMBER(D520),ISNUMBER(E520)),D520-E520,""),"")</f>
        <v/>
      </c>
    </row>
    <row r="521">
      <c r="A521" s="7">
        <f>IFERROR(Datos!A521,"")</f>
        <v/>
      </c>
      <c r="B521" s="8">
        <f>IFERROR(Datos!B521,"")</f>
        <v/>
      </c>
      <c r="C521" s="8">
        <f>IFERROR(Datos!C521,"")</f>
        <v/>
      </c>
      <c r="D521" s="28">
        <f>IFERROR(IF(AND(ISNUMBER(B521),ISNUMBER(B520),B520&lt;&gt;0),B521/B520-1,""),"")</f>
        <v/>
      </c>
      <c r="E521" s="28">
        <f>IFERROR(IF(AND(ISNUMBER(C521),ISNUMBER(C520),C520&lt;&gt;0),C521/C520-1,""),"")</f>
        <v/>
      </c>
      <c r="F521" s="28">
        <f>IFERROR(D521-Dashboard!$B$4/252,"")</f>
        <v/>
      </c>
      <c r="G521" s="28">
        <f>IFERROR(E521-Dashboard!$B$4/252,"")</f>
        <v/>
      </c>
      <c r="H521" s="8">
        <f>IFERROR(IF(ISNUMBER(B521),MAX(B521,IFERROR(H520,B521)),""),"")</f>
        <v/>
      </c>
      <c r="I521" s="29">
        <f>IFERROR(IF(AND(ISNUMBER(B521),ISNUMBER(H521)),B521/H521-1,""),"")</f>
        <v/>
      </c>
      <c r="J521" s="8">
        <f>IFERROR(IF(ISNUMBER(C521),MAX(C521,IFERROR(J520,C521)),""),"")</f>
        <v/>
      </c>
      <c r="K521" s="29">
        <f>IFERROR(IF(AND(ISNUMBER(C521),ISNUMBER(J521)),C521/J521-1,""),"")</f>
        <v/>
      </c>
      <c r="L521" s="28">
        <f>IFERROR(IF(AND(ISNUMBER(D521),ISNUMBER(E521)),D521-E521,""),"")</f>
        <v/>
      </c>
    </row>
    <row r="522">
      <c r="A522" s="7">
        <f>IFERROR(Datos!A522,"")</f>
        <v/>
      </c>
      <c r="B522" s="8">
        <f>IFERROR(Datos!B522,"")</f>
        <v/>
      </c>
      <c r="C522" s="8">
        <f>IFERROR(Datos!C522,"")</f>
        <v/>
      </c>
      <c r="D522" s="28">
        <f>IFERROR(IF(AND(ISNUMBER(B522),ISNUMBER(B521),B521&lt;&gt;0),B522/B521-1,""),"")</f>
        <v/>
      </c>
      <c r="E522" s="28">
        <f>IFERROR(IF(AND(ISNUMBER(C522),ISNUMBER(C521),C521&lt;&gt;0),C522/C521-1,""),"")</f>
        <v/>
      </c>
      <c r="F522" s="28">
        <f>IFERROR(D522-Dashboard!$B$4/252,"")</f>
        <v/>
      </c>
      <c r="G522" s="28">
        <f>IFERROR(E522-Dashboard!$B$4/252,"")</f>
        <v/>
      </c>
      <c r="H522" s="8">
        <f>IFERROR(IF(ISNUMBER(B522),MAX(B522,IFERROR(H521,B522)),""),"")</f>
        <v/>
      </c>
      <c r="I522" s="29">
        <f>IFERROR(IF(AND(ISNUMBER(B522),ISNUMBER(H522)),B522/H522-1,""),"")</f>
        <v/>
      </c>
      <c r="J522" s="8">
        <f>IFERROR(IF(ISNUMBER(C522),MAX(C522,IFERROR(J521,C522)),""),"")</f>
        <v/>
      </c>
      <c r="K522" s="29">
        <f>IFERROR(IF(AND(ISNUMBER(C522),ISNUMBER(J522)),C522/J522-1,""),"")</f>
        <v/>
      </c>
      <c r="L522" s="28">
        <f>IFERROR(IF(AND(ISNUMBER(D522),ISNUMBER(E522)),D522-E522,""),"")</f>
        <v/>
      </c>
    </row>
    <row r="523">
      <c r="A523" s="7">
        <f>IFERROR(Datos!A523,"")</f>
        <v/>
      </c>
      <c r="B523" s="8">
        <f>IFERROR(Datos!B523,"")</f>
        <v/>
      </c>
      <c r="C523" s="8">
        <f>IFERROR(Datos!C523,"")</f>
        <v/>
      </c>
      <c r="D523" s="28">
        <f>IFERROR(IF(AND(ISNUMBER(B523),ISNUMBER(B522),B522&lt;&gt;0),B523/B522-1,""),"")</f>
        <v/>
      </c>
      <c r="E523" s="28">
        <f>IFERROR(IF(AND(ISNUMBER(C523),ISNUMBER(C522),C522&lt;&gt;0),C523/C522-1,""),"")</f>
        <v/>
      </c>
      <c r="F523" s="28">
        <f>IFERROR(D523-Dashboard!$B$4/252,"")</f>
        <v/>
      </c>
      <c r="G523" s="28">
        <f>IFERROR(E523-Dashboard!$B$4/252,"")</f>
        <v/>
      </c>
      <c r="H523" s="8">
        <f>IFERROR(IF(ISNUMBER(B523),MAX(B523,IFERROR(H522,B523)),""),"")</f>
        <v/>
      </c>
      <c r="I523" s="29">
        <f>IFERROR(IF(AND(ISNUMBER(B523),ISNUMBER(H523)),B523/H523-1,""),"")</f>
        <v/>
      </c>
      <c r="J523" s="8">
        <f>IFERROR(IF(ISNUMBER(C523),MAX(C523,IFERROR(J522,C523)),""),"")</f>
        <v/>
      </c>
      <c r="K523" s="29">
        <f>IFERROR(IF(AND(ISNUMBER(C523),ISNUMBER(J523)),C523/J523-1,""),"")</f>
        <v/>
      </c>
      <c r="L523" s="28">
        <f>IFERROR(IF(AND(ISNUMBER(D523),ISNUMBER(E523)),D523-E523,""),"")</f>
        <v/>
      </c>
    </row>
    <row r="524">
      <c r="A524" s="7">
        <f>IFERROR(Datos!A524,"")</f>
        <v/>
      </c>
      <c r="B524" s="8">
        <f>IFERROR(Datos!B524,"")</f>
        <v/>
      </c>
      <c r="C524" s="8">
        <f>IFERROR(Datos!C524,"")</f>
        <v/>
      </c>
      <c r="D524" s="28">
        <f>IFERROR(IF(AND(ISNUMBER(B524),ISNUMBER(B523),B523&lt;&gt;0),B524/B523-1,""),"")</f>
        <v/>
      </c>
      <c r="E524" s="28">
        <f>IFERROR(IF(AND(ISNUMBER(C524),ISNUMBER(C523),C523&lt;&gt;0),C524/C523-1,""),"")</f>
        <v/>
      </c>
      <c r="F524" s="28">
        <f>IFERROR(D524-Dashboard!$B$4/252,"")</f>
        <v/>
      </c>
      <c r="G524" s="28">
        <f>IFERROR(E524-Dashboard!$B$4/252,"")</f>
        <v/>
      </c>
      <c r="H524" s="8">
        <f>IFERROR(IF(ISNUMBER(B524),MAX(B524,IFERROR(H523,B524)),""),"")</f>
        <v/>
      </c>
      <c r="I524" s="29">
        <f>IFERROR(IF(AND(ISNUMBER(B524),ISNUMBER(H524)),B524/H524-1,""),"")</f>
        <v/>
      </c>
      <c r="J524" s="8">
        <f>IFERROR(IF(ISNUMBER(C524),MAX(C524,IFERROR(J523,C524)),""),"")</f>
        <v/>
      </c>
      <c r="K524" s="29">
        <f>IFERROR(IF(AND(ISNUMBER(C524),ISNUMBER(J524)),C524/J524-1,""),"")</f>
        <v/>
      </c>
      <c r="L524" s="28">
        <f>IFERROR(IF(AND(ISNUMBER(D524),ISNUMBER(E524)),D524-E524,""),"")</f>
        <v/>
      </c>
    </row>
    <row r="525">
      <c r="A525" s="7">
        <f>IFERROR(Datos!A525,"")</f>
        <v/>
      </c>
      <c r="B525" s="8">
        <f>IFERROR(Datos!B525,"")</f>
        <v/>
      </c>
      <c r="C525" s="8">
        <f>IFERROR(Datos!C525,"")</f>
        <v/>
      </c>
      <c r="D525" s="28">
        <f>IFERROR(IF(AND(ISNUMBER(B525),ISNUMBER(B524),B524&lt;&gt;0),B525/B524-1,""),"")</f>
        <v/>
      </c>
      <c r="E525" s="28">
        <f>IFERROR(IF(AND(ISNUMBER(C525),ISNUMBER(C524),C524&lt;&gt;0),C525/C524-1,""),"")</f>
        <v/>
      </c>
      <c r="F525" s="28">
        <f>IFERROR(D525-Dashboard!$B$4/252,"")</f>
        <v/>
      </c>
      <c r="G525" s="28">
        <f>IFERROR(E525-Dashboard!$B$4/252,"")</f>
        <v/>
      </c>
      <c r="H525" s="8">
        <f>IFERROR(IF(ISNUMBER(B525),MAX(B525,IFERROR(H524,B525)),""),"")</f>
        <v/>
      </c>
      <c r="I525" s="29">
        <f>IFERROR(IF(AND(ISNUMBER(B525),ISNUMBER(H525)),B525/H525-1,""),"")</f>
        <v/>
      </c>
      <c r="J525" s="8">
        <f>IFERROR(IF(ISNUMBER(C525),MAX(C525,IFERROR(J524,C525)),""),"")</f>
        <v/>
      </c>
      <c r="K525" s="29">
        <f>IFERROR(IF(AND(ISNUMBER(C525),ISNUMBER(J525)),C525/J525-1,""),"")</f>
        <v/>
      </c>
      <c r="L525" s="28">
        <f>IFERROR(IF(AND(ISNUMBER(D525),ISNUMBER(E525)),D525-E525,""),"")</f>
        <v/>
      </c>
    </row>
    <row r="526">
      <c r="A526" s="7">
        <f>IFERROR(Datos!A526,"")</f>
        <v/>
      </c>
      <c r="B526" s="8">
        <f>IFERROR(Datos!B526,"")</f>
        <v/>
      </c>
      <c r="C526" s="8">
        <f>IFERROR(Datos!C526,"")</f>
        <v/>
      </c>
      <c r="D526" s="28">
        <f>IFERROR(IF(AND(ISNUMBER(B526),ISNUMBER(B525),B525&lt;&gt;0),B526/B525-1,""),"")</f>
        <v/>
      </c>
      <c r="E526" s="28">
        <f>IFERROR(IF(AND(ISNUMBER(C526),ISNUMBER(C525),C525&lt;&gt;0),C526/C525-1,""),"")</f>
        <v/>
      </c>
      <c r="F526" s="28">
        <f>IFERROR(D526-Dashboard!$B$4/252,"")</f>
        <v/>
      </c>
      <c r="G526" s="28">
        <f>IFERROR(E526-Dashboard!$B$4/252,"")</f>
        <v/>
      </c>
      <c r="H526" s="8">
        <f>IFERROR(IF(ISNUMBER(B526),MAX(B526,IFERROR(H525,B526)),""),"")</f>
        <v/>
      </c>
      <c r="I526" s="29">
        <f>IFERROR(IF(AND(ISNUMBER(B526),ISNUMBER(H526)),B526/H526-1,""),"")</f>
        <v/>
      </c>
      <c r="J526" s="8">
        <f>IFERROR(IF(ISNUMBER(C526),MAX(C526,IFERROR(J525,C526)),""),"")</f>
        <v/>
      </c>
      <c r="K526" s="29">
        <f>IFERROR(IF(AND(ISNUMBER(C526),ISNUMBER(J526)),C526/J526-1,""),"")</f>
        <v/>
      </c>
      <c r="L526" s="28">
        <f>IFERROR(IF(AND(ISNUMBER(D526),ISNUMBER(E526)),D526-E526,""),"")</f>
        <v/>
      </c>
    </row>
    <row r="527">
      <c r="A527" s="7">
        <f>IFERROR(Datos!A527,"")</f>
        <v/>
      </c>
      <c r="B527" s="8">
        <f>IFERROR(Datos!B527,"")</f>
        <v/>
      </c>
      <c r="C527" s="8">
        <f>IFERROR(Datos!C527,"")</f>
        <v/>
      </c>
      <c r="D527" s="28">
        <f>IFERROR(IF(AND(ISNUMBER(B527),ISNUMBER(B526),B526&lt;&gt;0),B527/B526-1,""),"")</f>
        <v/>
      </c>
      <c r="E527" s="28">
        <f>IFERROR(IF(AND(ISNUMBER(C527),ISNUMBER(C526),C526&lt;&gt;0),C527/C526-1,""),"")</f>
        <v/>
      </c>
      <c r="F527" s="28">
        <f>IFERROR(D527-Dashboard!$B$4/252,"")</f>
        <v/>
      </c>
      <c r="G527" s="28">
        <f>IFERROR(E527-Dashboard!$B$4/252,"")</f>
        <v/>
      </c>
      <c r="H527" s="8">
        <f>IFERROR(IF(ISNUMBER(B527),MAX(B527,IFERROR(H526,B527)),""),"")</f>
        <v/>
      </c>
      <c r="I527" s="29">
        <f>IFERROR(IF(AND(ISNUMBER(B527),ISNUMBER(H527)),B527/H527-1,""),"")</f>
        <v/>
      </c>
      <c r="J527" s="8">
        <f>IFERROR(IF(ISNUMBER(C527),MAX(C527,IFERROR(J526,C527)),""),"")</f>
        <v/>
      </c>
      <c r="K527" s="29">
        <f>IFERROR(IF(AND(ISNUMBER(C527),ISNUMBER(J527)),C527/J527-1,""),"")</f>
        <v/>
      </c>
      <c r="L527" s="28">
        <f>IFERROR(IF(AND(ISNUMBER(D527),ISNUMBER(E527)),D527-E527,""),"")</f>
        <v/>
      </c>
    </row>
    <row r="528">
      <c r="A528" s="7">
        <f>IFERROR(Datos!A528,"")</f>
        <v/>
      </c>
      <c r="B528" s="8">
        <f>IFERROR(Datos!B528,"")</f>
        <v/>
      </c>
      <c r="C528" s="8">
        <f>IFERROR(Datos!C528,"")</f>
        <v/>
      </c>
      <c r="D528" s="28">
        <f>IFERROR(IF(AND(ISNUMBER(B528),ISNUMBER(B527),B527&lt;&gt;0),B528/B527-1,""),"")</f>
        <v/>
      </c>
      <c r="E528" s="28">
        <f>IFERROR(IF(AND(ISNUMBER(C528),ISNUMBER(C527),C527&lt;&gt;0),C528/C527-1,""),"")</f>
        <v/>
      </c>
      <c r="F528" s="28">
        <f>IFERROR(D528-Dashboard!$B$4/252,"")</f>
        <v/>
      </c>
      <c r="G528" s="28">
        <f>IFERROR(E528-Dashboard!$B$4/252,"")</f>
        <v/>
      </c>
      <c r="H528" s="8">
        <f>IFERROR(IF(ISNUMBER(B528),MAX(B528,IFERROR(H527,B528)),""),"")</f>
        <v/>
      </c>
      <c r="I528" s="29">
        <f>IFERROR(IF(AND(ISNUMBER(B528),ISNUMBER(H528)),B528/H528-1,""),"")</f>
        <v/>
      </c>
      <c r="J528" s="8">
        <f>IFERROR(IF(ISNUMBER(C528),MAX(C528,IFERROR(J527,C528)),""),"")</f>
        <v/>
      </c>
      <c r="K528" s="29">
        <f>IFERROR(IF(AND(ISNUMBER(C528),ISNUMBER(J528)),C528/J528-1,""),"")</f>
        <v/>
      </c>
      <c r="L528" s="28">
        <f>IFERROR(IF(AND(ISNUMBER(D528),ISNUMBER(E528)),D528-E528,""),"")</f>
        <v/>
      </c>
    </row>
    <row r="529">
      <c r="A529" s="7">
        <f>IFERROR(Datos!A529,"")</f>
        <v/>
      </c>
      <c r="B529" s="8">
        <f>IFERROR(Datos!B529,"")</f>
        <v/>
      </c>
      <c r="C529" s="8">
        <f>IFERROR(Datos!C529,"")</f>
        <v/>
      </c>
      <c r="D529" s="28">
        <f>IFERROR(IF(AND(ISNUMBER(B529),ISNUMBER(B528),B528&lt;&gt;0),B529/B528-1,""),"")</f>
        <v/>
      </c>
      <c r="E529" s="28">
        <f>IFERROR(IF(AND(ISNUMBER(C529),ISNUMBER(C528),C528&lt;&gt;0),C529/C528-1,""),"")</f>
        <v/>
      </c>
      <c r="F529" s="28">
        <f>IFERROR(D529-Dashboard!$B$4/252,"")</f>
        <v/>
      </c>
      <c r="G529" s="28">
        <f>IFERROR(E529-Dashboard!$B$4/252,"")</f>
        <v/>
      </c>
      <c r="H529" s="8">
        <f>IFERROR(IF(ISNUMBER(B529),MAX(B529,IFERROR(H528,B529)),""),"")</f>
        <v/>
      </c>
      <c r="I529" s="29">
        <f>IFERROR(IF(AND(ISNUMBER(B529),ISNUMBER(H529)),B529/H529-1,""),"")</f>
        <v/>
      </c>
      <c r="J529" s="8">
        <f>IFERROR(IF(ISNUMBER(C529),MAX(C529,IFERROR(J528,C529)),""),"")</f>
        <v/>
      </c>
      <c r="K529" s="29">
        <f>IFERROR(IF(AND(ISNUMBER(C529),ISNUMBER(J529)),C529/J529-1,""),"")</f>
        <v/>
      </c>
      <c r="L529" s="28">
        <f>IFERROR(IF(AND(ISNUMBER(D529),ISNUMBER(E529)),D529-E529,""),"")</f>
        <v/>
      </c>
    </row>
    <row r="530">
      <c r="A530" s="7">
        <f>IFERROR(Datos!A530,"")</f>
        <v/>
      </c>
      <c r="B530" s="8">
        <f>IFERROR(Datos!B530,"")</f>
        <v/>
      </c>
      <c r="C530" s="8">
        <f>IFERROR(Datos!C530,"")</f>
        <v/>
      </c>
      <c r="D530" s="28">
        <f>IFERROR(IF(AND(ISNUMBER(B530),ISNUMBER(B529),B529&lt;&gt;0),B530/B529-1,""),"")</f>
        <v/>
      </c>
      <c r="E530" s="28">
        <f>IFERROR(IF(AND(ISNUMBER(C530),ISNUMBER(C529),C529&lt;&gt;0),C530/C529-1,""),"")</f>
        <v/>
      </c>
      <c r="F530" s="28">
        <f>IFERROR(D530-Dashboard!$B$4/252,"")</f>
        <v/>
      </c>
      <c r="G530" s="28">
        <f>IFERROR(E530-Dashboard!$B$4/252,"")</f>
        <v/>
      </c>
      <c r="H530" s="8">
        <f>IFERROR(IF(ISNUMBER(B530),MAX(B530,IFERROR(H529,B530)),""),"")</f>
        <v/>
      </c>
      <c r="I530" s="29">
        <f>IFERROR(IF(AND(ISNUMBER(B530),ISNUMBER(H530)),B530/H530-1,""),"")</f>
        <v/>
      </c>
      <c r="J530" s="8">
        <f>IFERROR(IF(ISNUMBER(C530),MAX(C530,IFERROR(J529,C530)),""),"")</f>
        <v/>
      </c>
      <c r="K530" s="29">
        <f>IFERROR(IF(AND(ISNUMBER(C530),ISNUMBER(J530)),C530/J530-1,""),"")</f>
        <v/>
      </c>
      <c r="L530" s="28">
        <f>IFERROR(IF(AND(ISNUMBER(D530),ISNUMBER(E530)),D530-E530,""),"")</f>
        <v/>
      </c>
    </row>
    <row r="531">
      <c r="A531" s="7">
        <f>IFERROR(Datos!A531,"")</f>
        <v/>
      </c>
      <c r="B531" s="8">
        <f>IFERROR(Datos!B531,"")</f>
        <v/>
      </c>
      <c r="C531" s="8">
        <f>IFERROR(Datos!C531,"")</f>
        <v/>
      </c>
      <c r="D531" s="28">
        <f>IFERROR(IF(AND(ISNUMBER(B531),ISNUMBER(B530),B530&lt;&gt;0),B531/B530-1,""),"")</f>
        <v/>
      </c>
      <c r="E531" s="28">
        <f>IFERROR(IF(AND(ISNUMBER(C531),ISNUMBER(C530),C530&lt;&gt;0),C531/C530-1,""),"")</f>
        <v/>
      </c>
      <c r="F531" s="28">
        <f>IFERROR(D531-Dashboard!$B$4/252,"")</f>
        <v/>
      </c>
      <c r="G531" s="28">
        <f>IFERROR(E531-Dashboard!$B$4/252,"")</f>
        <v/>
      </c>
      <c r="H531" s="8">
        <f>IFERROR(IF(ISNUMBER(B531),MAX(B531,IFERROR(H530,B531)),""),"")</f>
        <v/>
      </c>
      <c r="I531" s="29">
        <f>IFERROR(IF(AND(ISNUMBER(B531),ISNUMBER(H531)),B531/H531-1,""),"")</f>
        <v/>
      </c>
      <c r="J531" s="8">
        <f>IFERROR(IF(ISNUMBER(C531),MAX(C531,IFERROR(J530,C531)),""),"")</f>
        <v/>
      </c>
      <c r="K531" s="29">
        <f>IFERROR(IF(AND(ISNUMBER(C531),ISNUMBER(J531)),C531/J531-1,""),"")</f>
        <v/>
      </c>
      <c r="L531" s="28">
        <f>IFERROR(IF(AND(ISNUMBER(D531),ISNUMBER(E531)),D531-E531,""),"")</f>
        <v/>
      </c>
    </row>
    <row r="532">
      <c r="A532" s="7">
        <f>IFERROR(Datos!A532,"")</f>
        <v/>
      </c>
      <c r="B532" s="8">
        <f>IFERROR(Datos!B532,"")</f>
        <v/>
      </c>
      <c r="C532" s="8">
        <f>IFERROR(Datos!C532,"")</f>
        <v/>
      </c>
      <c r="D532" s="28">
        <f>IFERROR(IF(AND(ISNUMBER(B532),ISNUMBER(B531),B531&lt;&gt;0),B532/B531-1,""),"")</f>
        <v/>
      </c>
      <c r="E532" s="28">
        <f>IFERROR(IF(AND(ISNUMBER(C532),ISNUMBER(C531),C531&lt;&gt;0),C532/C531-1,""),"")</f>
        <v/>
      </c>
      <c r="F532" s="28">
        <f>IFERROR(D532-Dashboard!$B$4/252,"")</f>
        <v/>
      </c>
      <c r="G532" s="28">
        <f>IFERROR(E532-Dashboard!$B$4/252,"")</f>
        <v/>
      </c>
      <c r="H532" s="8">
        <f>IFERROR(IF(ISNUMBER(B532),MAX(B532,IFERROR(H531,B532)),""),"")</f>
        <v/>
      </c>
      <c r="I532" s="29">
        <f>IFERROR(IF(AND(ISNUMBER(B532),ISNUMBER(H532)),B532/H532-1,""),"")</f>
        <v/>
      </c>
      <c r="J532" s="8">
        <f>IFERROR(IF(ISNUMBER(C532),MAX(C532,IFERROR(J531,C532)),""),"")</f>
        <v/>
      </c>
      <c r="K532" s="29">
        <f>IFERROR(IF(AND(ISNUMBER(C532),ISNUMBER(J532)),C532/J532-1,""),"")</f>
        <v/>
      </c>
      <c r="L532" s="28">
        <f>IFERROR(IF(AND(ISNUMBER(D532),ISNUMBER(E532)),D532-E532,""),"")</f>
        <v/>
      </c>
    </row>
    <row r="533">
      <c r="A533" s="7">
        <f>IFERROR(Datos!A533,"")</f>
        <v/>
      </c>
      <c r="B533" s="8">
        <f>IFERROR(Datos!B533,"")</f>
        <v/>
      </c>
      <c r="C533" s="8">
        <f>IFERROR(Datos!C533,"")</f>
        <v/>
      </c>
      <c r="D533" s="28">
        <f>IFERROR(IF(AND(ISNUMBER(B533),ISNUMBER(B532),B532&lt;&gt;0),B533/B532-1,""),"")</f>
        <v/>
      </c>
      <c r="E533" s="28">
        <f>IFERROR(IF(AND(ISNUMBER(C533),ISNUMBER(C532),C532&lt;&gt;0),C533/C532-1,""),"")</f>
        <v/>
      </c>
      <c r="F533" s="28">
        <f>IFERROR(D533-Dashboard!$B$4/252,"")</f>
        <v/>
      </c>
      <c r="G533" s="28">
        <f>IFERROR(E533-Dashboard!$B$4/252,"")</f>
        <v/>
      </c>
      <c r="H533" s="8">
        <f>IFERROR(IF(ISNUMBER(B533),MAX(B533,IFERROR(H532,B533)),""),"")</f>
        <v/>
      </c>
      <c r="I533" s="29">
        <f>IFERROR(IF(AND(ISNUMBER(B533),ISNUMBER(H533)),B533/H533-1,""),"")</f>
        <v/>
      </c>
      <c r="J533" s="8">
        <f>IFERROR(IF(ISNUMBER(C533),MAX(C533,IFERROR(J532,C533)),""),"")</f>
        <v/>
      </c>
      <c r="K533" s="29">
        <f>IFERROR(IF(AND(ISNUMBER(C533),ISNUMBER(J533)),C533/J533-1,""),"")</f>
        <v/>
      </c>
      <c r="L533" s="28">
        <f>IFERROR(IF(AND(ISNUMBER(D533),ISNUMBER(E533)),D533-E533,""),"")</f>
        <v/>
      </c>
    </row>
    <row r="534">
      <c r="A534" s="7">
        <f>IFERROR(Datos!A534,"")</f>
        <v/>
      </c>
      <c r="B534" s="8">
        <f>IFERROR(Datos!B534,"")</f>
        <v/>
      </c>
      <c r="C534" s="8">
        <f>IFERROR(Datos!C534,"")</f>
        <v/>
      </c>
      <c r="D534" s="28">
        <f>IFERROR(IF(AND(ISNUMBER(B534),ISNUMBER(B533),B533&lt;&gt;0),B534/B533-1,""),"")</f>
        <v/>
      </c>
      <c r="E534" s="28">
        <f>IFERROR(IF(AND(ISNUMBER(C534),ISNUMBER(C533),C533&lt;&gt;0),C534/C533-1,""),"")</f>
        <v/>
      </c>
      <c r="F534" s="28">
        <f>IFERROR(D534-Dashboard!$B$4/252,"")</f>
        <v/>
      </c>
      <c r="G534" s="28">
        <f>IFERROR(E534-Dashboard!$B$4/252,"")</f>
        <v/>
      </c>
      <c r="H534" s="8">
        <f>IFERROR(IF(ISNUMBER(B534),MAX(B534,IFERROR(H533,B534)),""),"")</f>
        <v/>
      </c>
      <c r="I534" s="29">
        <f>IFERROR(IF(AND(ISNUMBER(B534),ISNUMBER(H534)),B534/H534-1,""),"")</f>
        <v/>
      </c>
      <c r="J534" s="8">
        <f>IFERROR(IF(ISNUMBER(C534),MAX(C534,IFERROR(J533,C534)),""),"")</f>
        <v/>
      </c>
      <c r="K534" s="29">
        <f>IFERROR(IF(AND(ISNUMBER(C534),ISNUMBER(J534)),C534/J534-1,""),"")</f>
        <v/>
      </c>
      <c r="L534" s="28">
        <f>IFERROR(IF(AND(ISNUMBER(D534),ISNUMBER(E534)),D534-E534,""),"")</f>
        <v/>
      </c>
    </row>
    <row r="535">
      <c r="A535" s="7">
        <f>IFERROR(Datos!A535,"")</f>
        <v/>
      </c>
      <c r="B535" s="8">
        <f>IFERROR(Datos!B535,"")</f>
        <v/>
      </c>
      <c r="C535" s="8">
        <f>IFERROR(Datos!C535,"")</f>
        <v/>
      </c>
      <c r="D535" s="28">
        <f>IFERROR(IF(AND(ISNUMBER(B535),ISNUMBER(B534),B534&lt;&gt;0),B535/B534-1,""),"")</f>
        <v/>
      </c>
      <c r="E535" s="28">
        <f>IFERROR(IF(AND(ISNUMBER(C535),ISNUMBER(C534),C534&lt;&gt;0),C535/C534-1,""),"")</f>
        <v/>
      </c>
      <c r="F535" s="28">
        <f>IFERROR(D535-Dashboard!$B$4/252,"")</f>
        <v/>
      </c>
      <c r="G535" s="28">
        <f>IFERROR(E535-Dashboard!$B$4/252,"")</f>
        <v/>
      </c>
      <c r="H535" s="8">
        <f>IFERROR(IF(ISNUMBER(B535),MAX(B535,IFERROR(H534,B535)),""),"")</f>
        <v/>
      </c>
      <c r="I535" s="29">
        <f>IFERROR(IF(AND(ISNUMBER(B535),ISNUMBER(H535)),B535/H535-1,""),"")</f>
        <v/>
      </c>
      <c r="J535" s="8">
        <f>IFERROR(IF(ISNUMBER(C535),MAX(C535,IFERROR(J534,C535)),""),"")</f>
        <v/>
      </c>
      <c r="K535" s="29">
        <f>IFERROR(IF(AND(ISNUMBER(C535),ISNUMBER(J535)),C535/J535-1,""),"")</f>
        <v/>
      </c>
      <c r="L535" s="28">
        <f>IFERROR(IF(AND(ISNUMBER(D535),ISNUMBER(E535)),D535-E535,""),"")</f>
        <v/>
      </c>
    </row>
    <row r="536">
      <c r="A536" s="7">
        <f>IFERROR(Datos!A536,"")</f>
        <v/>
      </c>
      <c r="B536" s="8">
        <f>IFERROR(Datos!B536,"")</f>
        <v/>
      </c>
      <c r="C536" s="8">
        <f>IFERROR(Datos!C536,"")</f>
        <v/>
      </c>
      <c r="D536" s="28">
        <f>IFERROR(IF(AND(ISNUMBER(B536),ISNUMBER(B535),B535&lt;&gt;0),B536/B535-1,""),"")</f>
        <v/>
      </c>
      <c r="E536" s="28">
        <f>IFERROR(IF(AND(ISNUMBER(C536),ISNUMBER(C535),C535&lt;&gt;0),C536/C535-1,""),"")</f>
        <v/>
      </c>
      <c r="F536" s="28">
        <f>IFERROR(D536-Dashboard!$B$4/252,"")</f>
        <v/>
      </c>
      <c r="G536" s="28">
        <f>IFERROR(E536-Dashboard!$B$4/252,"")</f>
        <v/>
      </c>
      <c r="H536" s="8">
        <f>IFERROR(IF(ISNUMBER(B536),MAX(B536,IFERROR(H535,B536)),""),"")</f>
        <v/>
      </c>
      <c r="I536" s="29">
        <f>IFERROR(IF(AND(ISNUMBER(B536),ISNUMBER(H536)),B536/H536-1,""),"")</f>
        <v/>
      </c>
      <c r="J536" s="8">
        <f>IFERROR(IF(ISNUMBER(C536),MAX(C536,IFERROR(J535,C536)),""),"")</f>
        <v/>
      </c>
      <c r="K536" s="29">
        <f>IFERROR(IF(AND(ISNUMBER(C536),ISNUMBER(J536)),C536/J536-1,""),"")</f>
        <v/>
      </c>
      <c r="L536" s="28">
        <f>IFERROR(IF(AND(ISNUMBER(D536),ISNUMBER(E536)),D536-E536,""),"")</f>
        <v/>
      </c>
    </row>
    <row r="537">
      <c r="A537" s="7">
        <f>IFERROR(Datos!A537,"")</f>
        <v/>
      </c>
      <c r="B537" s="8">
        <f>IFERROR(Datos!B537,"")</f>
        <v/>
      </c>
      <c r="C537" s="8">
        <f>IFERROR(Datos!C537,"")</f>
        <v/>
      </c>
      <c r="D537" s="28">
        <f>IFERROR(IF(AND(ISNUMBER(B537),ISNUMBER(B536),B536&lt;&gt;0),B537/B536-1,""),"")</f>
        <v/>
      </c>
      <c r="E537" s="28">
        <f>IFERROR(IF(AND(ISNUMBER(C537),ISNUMBER(C536),C536&lt;&gt;0),C537/C536-1,""),"")</f>
        <v/>
      </c>
      <c r="F537" s="28">
        <f>IFERROR(D537-Dashboard!$B$4/252,"")</f>
        <v/>
      </c>
      <c r="G537" s="28">
        <f>IFERROR(E537-Dashboard!$B$4/252,"")</f>
        <v/>
      </c>
      <c r="H537" s="8">
        <f>IFERROR(IF(ISNUMBER(B537),MAX(B537,IFERROR(H536,B537)),""),"")</f>
        <v/>
      </c>
      <c r="I537" s="29">
        <f>IFERROR(IF(AND(ISNUMBER(B537),ISNUMBER(H537)),B537/H537-1,""),"")</f>
        <v/>
      </c>
      <c r="J537" s="8">
        <f>IFERROR(IF(ISNUMBER(C537),MAX(C537,IFERROR(J536,C537)),""),"")</f>
        <v/>
      </c>
      <c r="K537" s="29">
        <f>IFERROR(IF(AND(ISNUMBER(C537),ISNUMBER(J537)),C537/J537-1,""),"")</f>
        <v/>
      </c>
      <c r="L537" s="28">
        <f>IFERROR(IF(AND(ISNUMBER(D537),ISNUMBER(E537)),D537-E537,""),"")</f>
        <v/>
      </c>
    </row>
    <row r="538">
      <c r="A538" s="7">
        <f>IFERROR(Datos!A538,"")</f>
        <v/>
      </c>
      <c r="B538" s="8">
        <f>IFERROR(Datos!B538,"")</f>
        <v/>
      </c>
      <c r="C538" s="8">
        <f>IFERROR(Datos!C538,"")</f>
        <v/>
      </c>
      <c r="D538" s="28">
        <f>IFERROR(IF(AND(ISNUMBER(B538),ISNUMBER(B537),B537&lt;&gt;0),B538/B537-1,""),"")</f>
        <v/>
      </c>
      <c r="E538" s="28">
        <f>IFERROR(IF(AND(ISNUMBER(C538),ISNUMBER(C537),C537&lt;&gt;0),C538/C537-1,""),"")</f>
        <v/>
      </c>
      <c r="F538" s="28">
        <f>IFERROR(D538-Dashboard!$B$4/252,"")</f>
        <v/>
      </c>
      <c r="G538" s="28">
        <f>IFERROR(E538-Dashboard!$B$4/252,"")</f>
        <v/>
      </c>
      <c r="H538" s="8">
        <f>IFERROR(IF(ISNUMBER(B538),MAX(B538,IFERROR(H537,B538)),""),"")</f>
        <v/>
      </c>
      <c r="I538" s="29">
        <f>IFERROR(IF(AND(ISNUMBER(B538),ISNUMBER(H538)),B538/H538-1,""),"")</f>
        <v/>
      </c>
      <c r="J538" s="8">
        <f>IFERROR(IF(ISNUMBER(C538),MAX(C538,IFERROR(J537,C538)),""),"")</f>
        <v/>
      </c>
      <c r="K538" s="29">
        <f>IFERROR(IF(AND(ISNUMBER(C538),ISNUMBER(J538)),C538/J538-1,""),"")</f>
        <v/>
      </c>
      <c r="L538" s="28">
        <f>IFERROR(IF(AND(ISNUMBER(D538),ISNUMBER(E538)),D538-E538,""),"")</f>
        <v/>
      </c>
    </row>
    <row r="539">
      <c r="A539" s="7">
        <f>IFERROR(Datos!A539,"")</f>
        <v/>
      </c>
      <c r="B539" s="8">
        <f>IFERROR(Datos!B539,"")</f>
        <v/>
      </c>
      <c r="C539" s="8">
        <f>IFERROR(Datos!C539,"")</f>
        <v/>
      </c>
      <c r="D539" s="28">
        <f>IFERROR(IF(AND(ISNUMBER(B539),ISNUMBER(B538),B538&lt;&gt;0),B539/B538-1,""),"")</f>
        <v/>
      </c>
      <c r="E539" s="28">
        <f>IFERROR(IF(AND(ISNUMBER(C539),ISNUMBER(C538),C538&lt;&gt;0),C539/C538-1,""),"")</f>
        <v/>
      </c>
      <c r="F539" s="28">
        <f>IFERROR(D539-Dashboard!$B$4/252,"")</f>
        <v/>
      </c>
      <c r="G539" s="28">
        <f>IFERROR(E539-Dashboard!$B$4/252,"")</f>
        <v/>
      </c>
      <c r="H539" s="8">
        <f>IFERROR(IF(ISNUMBER(B539),MAX(B539,IFERROR(H538,B539)),""),"")</f>
        <v/>
      </c>
      <c r="I539" s="29">
        <f>IFERROR(IF(AND(ISNUMBER(B539),ISNUMBER(H539)),B539/H539-1,""),"")</f>
        <v/>
      </c>
      <c r="J539" s="8">
        <f>IFERROR(IF(ISNUMBER(C539),MAX(C539,IFERROR(J538,C539)),""),"")</f>
        <v/>
      </c>
      <c r="K539" s="29">
        <f>IFERROR(IF(AND(ISNUMBER(C539),ISNUMBER(J539)),C539/J539-1,""),"")</f>
        <v/>
      </c>
      <c r="L539" s="28">
        <f>IFERROR(IF(AND(ISNUMBER(D539),ISNUMBER(E539)),D539-E539,""),"")</f>
        <v/>
      </c>
    </row>
    <row r="540">
      <c r="A540" s="7">
        <f>IFERROR(Datos!A540,"")</f>
        <v/>
      </c>
      <c r="B540" s="8">
        <f>IFERROR(Datos!B540,"")</f>
        <v/>
      </c>
      <c r="C540" s="8">
        <f>IFERROR(Datos!C540,"")</f>
        <v/>
      </c>
      <c r="D540" s="28">
        <f>IFERROR(IF(AND(ISNUMBER(B540),ISNUMBER(B539),B539&lt;&gt;0),B540/B539-1,""),"")</f>
        <v/>
      </c>
      <c r="E540" s="28">
        <f>IFERROR(IF(AND(ISNUMBER(C540),ISNUMBER(C539),C539&lt;&gt;0),C540/C539-1,""),"")</f>
        <v/>
      </c>
      <c r="F540" s="28">
        <f>IFERROR(D540-Dashboard!$B$4/252,"")</f>
        <v/>
      </c>
      <c r="G540" s="28">
        <f>IFERROR(E540-Dashboard!$B$4/252,"")</f>
        <v/>
      </c>
      <c r="H540" s="8">
        <f>IFERROR(IF(ISNUMBER(B540),MAX(B540,IFERROR(H539,B540)),""),"")</f>
        <v/>
      </c>
      <c r="I540" s="29">
        <f>IFERROR(IF(AND(ISNUMBER(B540),ISNUMBER(H540)),B540/H540-1,""),"")</f>
        <v/>
      </c>
      <c r="J540" s="8">
        <f>IFERROR(IF(ISNUMBER(C540),MAX(C540,IFERROR(J539,C540)),""),"")</f>
        <v/>
      </c>
      <c r="K540" s="29">
        <f>IFERROR(IF(AND(ISNUMBER(C540),ISNUMBER(J540)),C540/J540-1,""),"")</f>
        <v/>
      </c>
      <c r="L540" s="28">
        <f>IFERROR(IF(AND(ISNUMBER(D540),ISNUMBER(E540)),D540-E540,""),"")</f>
        <v/>
      </c>
    </row>
    <row r="541">
      <c r="A541" s="7">
        <f>IFERROR(Datos!A541,"")</f>
        <v/>
      </c>
      <c r="B541" s="8">
        <f>IFERROR(Datos!B541,"")</f>
        <v/>
      </c>
      <c r="C541" s="8">
        <f>IFERROR(Datos!C541,"")</f>
        <v/>
      </c>
      <c r="D541" s="28">
        <f>IFERROR(IF(AND(ISNUMBER(B541),ISNUMBER(B540),B540&lt;&gt;0),B541/B540-1,""),"")</f>
        <v/>
      </c>
      <c r="E541" s="28">
        <f>IFERROR(IF(AND(ISNUMBER(C541),ISNUMBER(C540),C540&lt;&gt;0),C541/C540-1,""),"")</f>
        <v/>
      </c>
      <c r="F541" s="28">
        <f>IFERROR(D541-Dashboard!$B$4/252,"")</f>
        <v/>
      </c>
      <c r="G541" s="28">
        <f>IFERROR(E541-Dashboard!$B$4/252,"")</f>
        <v/>
      </c>
      <c r="H541" s="8">
        <f>IFERROR(IF(ISNUMBER(B541),MAX(B541,IFERROR(H540,B541)),""),"")</f>
        <v/>
      </c>
      <c r="I541" s="29">
        <f>IFERROR(IF(AND(ISNUMBER(B541),ISNUMBER(H541)),B541/H541-1,""),"")</f>
        <v/>
      </c>
      <c r="J541" s="8">
        <f>IFERROR(IF(ISNUMBER(C541),MAX(C541,IFERROR(J540,C541)),""),"")</f>
        <v/>
      </c>
      <c r="K541" s="29">
        <f>IFERROR(IF(AND(ISNUMBER(C541),ISNUMBER(J541)),C541/J541-1,""),"")</f>
        <v/>
      </c>
      <c r="L541" s="28">
        <f>IFERROR(IF(AND(ISNUMBER(D541),ISNUMBER(E541)),D541-E541,""),"")</f>
        <v/>
      </c>
    </row>
    <row r="542">
      <c r="A542" s="7">
        <f>IFERROR(Datos!A542,"")</f>
        <v/>
      </c>
      <c r="B542" s="8">
        <f>IFERROR(Datos!B542,"")</f>
        <v/>
      </c>
      <c r="C542" s="8">
        <f>IFERROR(Datos!C542,"")</f>
        <v/>
      </c>
      <c r="D542" s="28">
        <f>IFERROR(IF(AND(ISNUMBER(B542),ISNUMBER(B541),B541&lt;&gt;0),B542/B541-1,""),"")</f>
        <v/>
      </c>
      <c r="E542" s="28">
        <f>IFERROR(IF(AND(ISNUMBER(C542),ISNUMBER(C541),C541&lt;&gt;0),C542/C541-1,""),"")</f>
        <v/>
      </c>
      <c r="F542" s="28">
        <f>IFERROR(D542-Dashboard!$B$4/252,"")</f>
        <v/>
      </c>
      <c r="G542" s="28">
        <f>IFERROR(E542-Dashboard!$B$4/252,"")</f>
        <v/>
      </c>
      <c r="H542" s="8">
        <f>IFERROR(IF(ISNUMBER(B542),MAX(B542,IFERROR(H541,B542)),""),"")</f>
        <v/>
      </c>
      <c r="I542" s="29">
        <f>IFERROR(IF(AND(ISNUMBER(B542),ISNUMBER(H542)),B542/H542-1,""),"")</f>
        <v/>
      </c>
      <c r="J542" s="8">
        <f>IFERROR(IF(ISNUMBER(C542),MAX(C542,IFERROR(J541,C542)),""),"")</f>
        <v/>
      </c>
      <c r="K542" s="29">
        <f>IFERROR(IF(AND(ISNUMBER(C542),ISNUMBER(J542)),C542/J542-1,""),"")</f>
        <v/>
      </c>
      <c r="L542" s="28">
        <f>IFERROR(IF(AND(ISNUMBER(D542),ISNUMBER(E542)),D542-E542,""),"")</f>
        <v/>
      </c>
    </row>
    <row r="543">
      <c r="A543" s="7">
        <f>IFERROR(Datos!A543,"")</f>
        <v/>
      </c>
      <c r="B543" s="8">
        <f>IFERROR(Datos!B543,"")</f>
        <v/>
      </c>
      <c r="C543" s="8">
        <f>IFERROR(Datos!C543,"")</f>
        <v/>
      </c>
      <c r="D543" s="28">
        <f>IFERROR(IF(AND(ISNUMBER(B543),ISNUMBER(B542),B542&lt;&gt;0),B543/B542-1,""),"")</f>
        <v/>
      </c>
      <c r="E543" s="28">
        <f>IFERROR(IF(AND(ISNUMBER(C543),ISNUMBER(C542),C542&lt;&gt;0),C543/C542-1,""),"")</f>
        <v/>
      </c>
      <c r="F543" s="28">
        <f>IFERROR(D543-Dashboard!$B$4/252,"")</f>
        <v/>
      </c>
      <c r="G543" s="28">
        <f>IFERROR(E543-Dashboard!$B$4/252,"")</f>
        <v/>
      </c>
      <c r="H543" s="8">
        <f>IFERROR(IF(ISNUMBER(B543),MAX(B543,IFERROR(H542,B543)),""),"")</f>
        <v/>
      </c>
      <c r="I543" s="29">
        <f>IFERROR(IF(AND(ISNUMBER(B543),ISNUMBER(H543)),B543/H543-1,""),"")</f>
        <v/>
      </c>
      <c r="J543" s="8">
        <f>IFERROR(IF(ISNUMBER(C543),MAX(C543,IFERROR(J542,C543)),""),"")</f>
        <v/>
      </c>
      <c r="K543" s="29">
        <f>IFERROR(IF(AND(ISNUMBER(C543),ISNUMBER(J543)),C543/J543-1,""),"")</f>
        <v/>
      </c>
      <c r="L543" s="28">
        <f>IFERROR(IF(AND(ISNUMBER(D543),ISNUMBER(E543)),D543-E543,""),"")</f>
        <v/>
      </c>
    </row>
    <row r="544">
      <c r="A544" s="7">
        <f>IFERROR(Datos!A544,"")</f>
        <v/>
      </c>
      <c r="B544" s="8">
        <f>IFERROR(Datos!B544,"")</f>
        <v/>
      </c>
      <c r="C544" s="8">
        <f>IFERROR(Datos!C544,"")</f>
        <v/>
      </c>
      <c r="D544" s="28">
        <f>IFERROR(IF(AND(ISNUMBER(B544),ISNUMBER(B543),B543&lt;&gt;0),B544/B543-1,""),"")</f>
        <v/>
      </c>
      <c r="E544" s="28">
        <f>IFERROR(IF(AND(ISNUMBER(C544),ISNUMBER(C543),C543&lt;&gt;0),C544/C543-1,""),"")</f>
        <v/>
      </c>
      <c r="F544" s="28">
        <f>IFERROR(D544-Dashboard!$B$4/252,"")</f>
        <v/>
      </c>
      <c r="G544" s="28">
        <f>IFERROR(E544-Dashboard!$B$4/252,"")</f>
        <v/>
      </c>
      <c r="H544" s="8">
        <f>IFERROR(IF(ISNUMBER(B544),MAX(B544,IFERROR(H543,B544)),""),"")</f>
        <v/>
      </c>
      <c r="I544" s="29">
        <f>IFERROR(IF(AND(ISNUMBER(B544),ISNUMBER(H544)),B544/H544-1,""),"")</f>
        <v/>
      </c>
      <c r="J544" s="8">
        <f>IFERROR(IF(ISNUMBER(C544),MAX(C544,IFERROR(J543,C544)),""),"")</f>
        <v/>
      </c>
      <c r="K544" s="29">
        <f>IFERROR(IF(AND(ISNUMBER(C544),ISNUMBER(J544)),C544/J544-1,""),"")</f>
        <v/>
      </c>
      <c r="L544" s="28">
        <f>IFERROR(IF(AND(ISNUMBER(D544),ISNUMBER(E544)),D544-E544,""),"")</f>
        <v/>
      </c>
    </row>
    <row r="545">
      <c r="A545" s="7">
        <f>IFERROR(Datos!A545,"")</f>
        <v/>
      </c>
      <c r="B545" s="8">
        <f>IFERROR(Datos!B545,"")</f>
        <v/>
      </c>
      <c r="C545" s="8">
        <f>IFERROR(Datos!C545,"")</f>
        <v/>
      </c>
      <c r="D545" s="28">
        <f>IFERROR(IF(AND(ISNUMBER(B545),ISNUMBER(B544),B544&lt;&gt;0),B545/B544-1,""),"")</f>
        <v/>
      </c>
      <c r="E545" s="28">
        <f>IFERROR(IF(AND(ISNUMBER(C545),ISNUMBER(C544),C544&lt;&gt;0),C545/C544-1,""),"")</f>
        <v/>
      </c>
      <c r="F545" s="28">
        <f>IFERROR(D545-Dashboard!$B$4/252,"")</f>
        <v/>
      </c>
      <c r="G545" s="28">
        <f>IFERROR(E545-Dashboard!$B$4/252,"")</f>
        <v/>
      </c>
      <c r="H545" s="8">
        <f>IFERROR(IF(ISNUMBER(B545),MAX(B545,IFERROR(H544,B545)),""),"")</f>
        <v/>
      </c>
      <c r="I545" s="29">
        <f>IFERROR(IF(AND(ISNUMBER(B545),ISNUMBER(H545)),B545/H545-1,""),"")</f>
        <v/>
      </c>
      <c r="J545" s="8">
        <f>IFERROR(IF(ISNUMBER(C545),MAX(C545,IFERROR(J544,C545)),""),"")</f>
        <v/>
      </c>
      <c r="K545" s="29">
        <f>IFERROR(IF(AND(ISNUMBER(C545),ISNUMBER(J545)),C545/J545-1,""),"")</f>
        <v/>
      </c>
      <c r="L545" s="28">
        <f>IFERROR(IF(AND(ISNUMBER(D545),ISNUMBER(E545)),D545-E545,""),"")</f>
        <v/>
      </c>
    </row>
    <row r="546">
      <c r="A546" s="7">
        <f>IFERROR(Datos!A546,"")</f>
        <v/>
      </c>
      <c r="B546" s="8">
        <f>IFERROR(Datos!B546,"")</f>
        <v/>
      </c>
      <c r="C546" s="8">
        <f>IFERROR(Datos!C546,"")</f>
        <v/>
      </c>
      <c r="D546" s="28">
        <f>IFERROR(IF(AND(ISNUMBER(B546),ISNUMBER(B545),B545&lt;&gt;0),B546/B545-1,""),"")</f>
        <v/>
      </c>
      <c r="E546" s="28">
        <f>IFERROR(IF(AND(ISNUMBER(C546),ISNUMBER(C545),C545&lt;&gt;0),C546/C545-1,""),"")</f>
        <v/>
      </c>
      <c r="F546" s="28">
        <f>IFERROR(D546-Dashboard!$B$4/252,"")</f>
        <v/>
      </c>
      <c r="G546" s="28">
        <f>IFERROR(E546-Dashboard!$B$4/252,"")</f>
        <v/>
      </c>
      <c r="H546" s="8">
        <f>IFERROR(IF(ISNUMBER(B546),MAX(B546,IFERROR(H545,B546)),""),"")</f>
        <v/>
      </c>
      <c r="I546" s="29">
        <f>IFERROR(IF(AND(ISNUMBER(B546),ISNUMBER(H546)),B546/H546-1,""),"")</f>
        <v/>
      </c>
      <c r="J546" s="8">
        <f>IFERROR(IF(ISNUMBER(C546),MAX(C546,IFERROR(J545,C546)),""),"")</f>
        <v/>
      </c>
      <c r="K546" s="29">
        <f>IFERROR(IF(AND(ISNUMBER(C546),ISNUMBER(J546)),C546/J546-1,""),"")</f>
        <v/>
      </c>
      <c r="L546" s="28">
        <f>IFERROR(IF(AND(ISNUMBER(D546),ISNUMBER(E546)),D546-E546,""),"")</f>
        <v/>
      </c>
    </row>
    <row r="547">
      <c r="A547" s="7">
        <f>IFERROR(Datos!A547,"")</f>
        <v/>
      </c>
      <c r="B547" s="8">
        <f>IFERROR(Datos!B547,"")</f>
        <v/>
      </c>
      <c r="C547" s="8">
        <f>IFERROR(Datos!C547,"")</f>
        <v/>
      </c>
      <c r="D547" s="28">
        <f>IFERROR(IF(AND(ISNUMBER(B547),ISNUMBER(B546),B546&lt;&gt;0),B547/B546-1,""),"")</f>
        <v/>
      </c>
      <c r="E547" s="28">
        <f>IFERROR(IF(AND(ISNUMBER(C547),ISNUMBER(C546),C546&lt;&gt;0),C547/C546-1,""),"")</f>
        <v/>
      </c>
      <c r="F547" s="28">
        <f>IFERROR(D547-Dashboard!$B$4/252,"")</f>
        <v/>
      </c>
      <c r="G547" s="28">
        <f>IFERROR(E547-Dashboard!$B$4/252,"")</f>
        <v/>
      </c>
      <c r="H547" s="8">
        <f>IFERROR(IF(ISNUMBER(B547),MAX(B547,IFERROR(H546,B547)),""),"")</f>
        <v/>
      </c>
      <c r="I547" s="29">
        <f>IFERROR(IF(AND(ISNUMBER(B547),ISNUMBER(H547)),B547/H547-1,""),"")</f>
        <v/>
      </c>
      <c r="J547" s="8">
        <f>IFERROR(IF(ISNUMBER(C547),MAX(C547,IFERROR(J546,C547)),""),"")</f>
        <v/>
      </c>
      <c r="K547" s="29">
        <f>IFERROR(IF(AND(ISNUMBER(C547),ISNUMBER(J547)),C547/J547-1,""),"")</f>
        <v/>
      </c>
      <c r="L547" s="28">
        <f>IFERROR(IF(AND(ISNUMBER(D547),ISNUMBER(E547)),D547-E547,""),"")</f>
        <v/>
      </c>
    </row>
    <row r="548">
      <c r="A548" s="7">
        <f>IFERROR(Datos!A548,"")</f>
        <v/>
      </c>
      <c r="B548" s="8">
        <f>IFERROR(Datos!B548,"")</f>
        <v/>
      </c>
      <c r="C548" s="8">
        <f>IFERROR(Datos!C548,"")</f>
        <v/>
      </c>
      <c r="D548" s="28">
        <f>IFERROR(IF(AND(ISNUMBER(B548),ISNUMBER(B547),B547&lt;&gt;0),B548/B547-1,""),"")</f>
        <v/>
      </c>
      <c r="E548" s="28">
        <f>IFERROR(IF(AND(ISNUMBER(C548),ISNUMBER(C547),C547&lt;&gt;0),C548/C547-1,""),"")</f>
        <v/>
      </c>
      <c r="F548" s="28">
        <f>IFERROR(D548-Dashboard!$B$4/252,"")</f>
        <v/>
      </c>
      <c r="G548" s="28">
        <f>IFERROR(E548-Dashboard!$B$4/252,"")</f>
        <v/>
      </c>
      <c r="H548" s="8">
        <f>IFERROR(IF(ISNUMBER(B548),MAX(B548,IFERROR(H547,B548)),""),"")</f>
        <v/>
      </c>
      <c r="I548" s="29">
        <f>IFERROR(IF(AND(ISNUMBER(B548),ISNUMBER(H548)),B548/H548-1,""),"")</f>
        <v/>
      </c>
      <c r="J548" s="8">
        <f>IFERROR(IF(ISNUMBER(C548),MAX(C548,IFERROR(J547,C548)),""),"")</f>
        <v/>
      </c>
      <c r="K548" s="29">
        <f>IFERROR(IF(AND(ISNUMBER(C548),ISNUMBER(J548)),C548/J548-1,""),"")</f>
        <v/>
      </c>
      <c r="L548" s="28">
        <f>IFERROR(IF(AND(ISNUMBER(D548),ISNUMBER(E548)),D548-E548,""),"")</f>
        <v/>
      </c>
    </row>
    <row r="549">
      <c r="A549" s="7">
        <f>IFERROR(Datos!A549,"")</f>
        <v/>
      </c>
      <c r="B549" s="8">
        <f>IFERROR(Datos!B549,"")</f>
        <v/>
      </c>
      <c r="C549" s="8">
        <f>IFERROR(Datos!C549,"")</f>
        <v/>
      </c>
      <c r="D549" s="28">
        <f>IFERROR(IF(AND(ISNUMBER(B549),ISNUMBER(B548),B548&lt;&gt;0),B549/B548-1,""),"")</f>
        <v/>
      </c>
      <c r="E549" s="28">
        <f>IFERROR(IF(AND(ISNUMBER(C549),ISNUMBER(C548),C548&lt;&gt;0),C549/C548-1,""),"")</f>
        <v/>
      </c>
      <c r="F549" s="28">
        <f>IFERROR(D549-Dashboard!$B$4/252,"")</f>
        <v/>
      </c>
      <c r="G549" s="28">
        <f>IFERROR(E549-Dashboard!$B$4/252,"")</f>
        <v/>
      </c>
      <c r="H549" s="8">
        <f>IFERROR(IF(ISNUMBER(B549),MAX(B549,IFERROR(H548,B549)),""),"")</f>
        <v/>
      </c>
      <c r="I549" s="29">
        <f>IFERROR(IF(AND(ISNUMBER(B549),ISNUMBER(H549)),B549/H549-1,""),"")</f>
        <v/>
      </c>
      <c r="J549" s="8">
        <f>IFERROR(IF(ISNUMBER(C549),MAX(C549,IFERROR(J548,C549)),""),"")</f>
        <v/>
      </c>
      <c r="K549" s="29">
        <f>IFERROR(IF(AND(ISNUMBER(C549),ISNUMBER(J549)),C549/J549-1,""),"")</f>
        <v/>
      </c>
      <c r="L549" s="28">
        <f>IFERROR(IF(AND(ISNUMBER(D549),ISNUMBER(E549)),D549-E549,""),"")</f>
        <v/>
      </c>
    </row>
    <row r="550">
      <c r="A550" s="7">
        <f>IFERROR(Datos!A550,"")</f>
        <v/>
      </c>
      <c r="B550" s="8">
        <f>IFERROR(Datos!B550,"")</f>
        <v/>
      </c>
      <c r="C550" s="8">
        <f>IFERROR(Datos!C550,"")</f>
        <v/>
      </c>
      <c r="D550" s="28">
        <f>IFERROR(IF(AND(ISNUMBER(B550),ISNUMBER(B549),B549&lt;&gt;0),B550/B549-1,""),"")</f>
        <v/>
      </c>
      <c r="E550" s="28">
        <f>IFERROR(IF(AND(ISNUMBER(C550),ISNUMBER(C549),C549&lt;&gt;0),C550/C549-1,""),"")</f>
        <v/>
      </c>
      <c r="F550" s="28">
        <f>IFERROR(D550-Dashboard!$B$4/252,"")</f>
        <v/>
      </c>
      <c r="G550" s="28">
        <f>IFERROR(E550-Dashboard!$B$4/252,"")</f>
        <v/>
      </c>
      <c r="H550" s="8">
        <f>IFERROR(IF(ISNUMBER(B550),MAX(B550,IFERROR(H549,B550)),""),"")</f>
        <v/>
      </c>
      <c r="I550" s="29">
        <f>IFERROR(IF(AND(ISNUMBER(B550),ISNUMBER(H550)),B550/H550-1,""),"")</f>
        <v/>
      </c>
      <c r="J550" s="8">
        <f>IFERROR(IF(ISNUMBER(C550),MAX(C550,IFERROR(J549,C550)),""),"")</f>
        <v/>
      </c>
      <c r="K550" s="29">
        <f>IFERROR(IF(AND(ISNUMBER(C550),ISNUMBER(J550)),C550/J550-1,""),"")</f>
        <v/>
      </c>
      <c r="L550" s="28">
        <f>IFERROR(IF(AND(ISNUMBER(D550),ISNUMBER(E550)),D550-E550,""),"")</f>
        <v/>
      </c>
    </row>
    <row r="551">
      <c r="A551" s="7">
        <f>IFERROR(Datos!A551,"")</f>
        <v/>
      </c>
      <c r="B551" s="8">
        <f>IFERROR(Datos!B551,"")</f>
        <v/>
      </c>
      <c r="C551" s="8">
        <f>IFERROR(Datos!C551,"")</f>
        <v/>
      </c>
      <c r="D551" s="28">
        <f>IFERROR(IF(AND(ISNUMBER(B551),ISNUMBER(B550),B550&lt;&gt;0),B551/B550-1,""),"")</f>
        <v/>
      </c>
      <c r="E551" s="28">
        <f>IFERROR(IF(AND(ISNUMBER(C551),ISNUMBER(C550),C550&lt;&gt;0),C551/C550-1,""),"")</f>
        <v/>
      </c>
      <c r="F551" s="28">
        <f>IFERROR(D551-Dashboard!$B$4/252,"")</f>
        <v/>
      </c>
      <c r="G551" s="28">
        <f>IFERROR(E551-Dashboard!$B$4/252,"")</f>
        <v/>
      </c>
      <c r="H551" s="8">
        <f>IFERROR(IF(ISNUMBER(B551),MAX(B551,IFERROR(H550,B551)),""),"")</f>
        <v/>
      </c>
      <c r="I551" s="29">
        <f>IFERROR(IF(AND(ISNUMBER(B551),ISNUMBER(H551)),B551/H551-1,""),"")</f>
        <v/>
      </c>
      <c r="J551" s="8">
        <f>IFERROR(IF(ISNUMBER(C551),MAX(C551,IFERROR(J550,C551)),""),"")</f>
        <v/>
      </c>
      <c r="K551" s="29">
        <f>IFERROR(IF(AND(ISNUMBER(C551),ISNUMBER(J551)),C551/J551-1,""),"")</f>
        <v/>
      </c>
      <c r="L551" s="28">
        <f>IFERROR(IF(AND(ISNUMBER(D551),ISNUMBER(E551)),D551-E551,""),"")</f>
        <v/>
      </c>
    </row>
    <row r="552">
      <c r="A552" s="7">
        <f>IFERROR(Datos!A552,"")</f>
        <v/>
      </c>
      <c r="B552" s="8">
        <f>IFERROR(Datos!B552,"")</f>
        <v/>
      </c>
      <c r="C552" s="8">
        <f>IFERROR(Datos!C552,"")</f>
        <v/>
      </c>
      <c r="D552" s="28">
        <f>IFERROR(IF(AND(ISNUMBER(B552),ISNUMBER(B551),B551&lt;&gt;0),B552/B551-1,""),"")</f>
        <v/>
      </c>
      <c r="E552" s="28">
        <f>IFERROR(IF(AND(ISNUMBER(C552),ISNUMBER(C551),C551&lt;&gt;0),C552/C551-1,""),"")</f>
        <v/>
      </c>
      <c r="F552" s="28">
        <f>IFERROR(D552-Dashboard!$B$4/252,"")</f>
        <v/>
      </c>
      <c r="G552" s="28">
        <f>IFERROR(E552-Dashboard!$B$4/252,"")</f>
        <v/>
      </c>
      <c r="H552" s="8">
        <f>IFERROR(IF(ISNUMBER(B552),MAX(B552,IFERROR(H551,B552)),""),"")</f>
        <v/>
      </c>
      <c r="I552" s="29">
        <f>IFERROR(IF(AND(ISNUMBER(B552),ISNUMBER(H552)),B552/H552-1,""),"")</f>
        <v/>
      </c>
      <c r="J552" s="8">
        <f>IFERROR(IF(ISNUMBER(C552),MAX(C552,IFERROR(J551,C552)),""),"")</f>
        <v/>
      </c>
      <c r="K552" s="29">
        <f>IFERROR(IF(AND(ISNUMBER(C552),ISNUMBER(J552)),C552/J552-1,""),"")</f>
        <v/>
      </c>
      <c r="L552" s="28">
        <f>IFERROR(IF(AND(ISNUMBER(D552),ISNUMBER(E552)),D552-E552,""),"")</f>
        <v/>
      </c>
    </row>
    <row r="553">
      <c r="A553" s="7">
        <f>IFERROR(Datos!A553,"")</f>
        <v/>
      </c>
      <c r="B553" s="8">
        <f>IFERROR(Datos!B553,"")</f>
        <v/>
      </c>
      <c r="C553" s="8">
        <f>IFERROR(Datos!C553,"")</f>
        <v/>
      </c>
      <c r="D553" s="28">
        <f>IFERROR(IF(AND(ISNUMBER(B553),ISNUMBER(B552),B552&lt;&gt;0),B553/B552-1,""),"")</f>
        <v/>
      </c>
      <c r="E553" s="28">
        <f>IFERROR(IF(AND(ISNUMBER(C553),ISNUMBER(C552),C552&lt;&gt;0),C553/C552-1,""),"")</f>
        <v/>
      </c>
      <c r="F553" s="28">
        <f>IFERROR(D553-Dashboard!$B$4/252,"")</f>
        <v/>
      </c>
      <c r="G553" s="28">
        <f>IFERROR(E553-Dashboard!$B$4/252,"")</f>
        <v/>
      </c>
      <c r="H553" s="8">
        <f>IFERROR(IF(ISNUMBER(B553),MAX(B553,IFERROR(H552,B553)),""),"")</f>
        <v/>
      </c>
      <c r="I553" s="29">
        <f>IFERROR(IF(AND(ISNUMBER(B553),ISNUMBER(H553)),B553/H553-1,""),"")</f>
        <v/>
      </c>
      <c r="J553" s="8">
        <f>IFERROR(IF(ISNUMBER(C553),MAX(C553,IFERROR(J552,C553)),""),"")</f>
        <v/>
      </c>
      <c r="K553" s="29">
        <f>IFERROR(IF(AND(ISNUMBER(C553),ISNUMBER(J553)),C553/J553-1,""),"")</f>
        <v/>
      </c>
      <c r="L553" s="28">
        <f>IFERROR(IF(AND(ISNUMBER(D553),ISNUMBER(E553)),D553-E553,""),"")</f>
        <v/>
      </c>
    </row>
    <row r="554">
      <c r="A554" s="7">
        <f>IFERROR(Datos!A554,"")</f>
        <v/>
      </c>
      <c r="B554" s="8">
        <f>IFERROR(Datos!B554,"")</f>
        <v/>
      </c>
      <c r="C554" s="8">
        <f>IFERROR(Datos!C554,"")</f>
        <v/>
      </c>
      <c r="D554" s="28">
        <f>IFERROR(IF(AND(ISNUMBER(B554),ISNUMBER(B553),B553&lt;&gt;0),B554/B553-1,""),"")</f>
        <v/>
      </c>
      <c r="E554" s="28">
        <f>IFERROR(IF(AND(ISNUMBER(C554),ISNUMBER(C553),C553&lt;&gt;0),C554/C553-1,""),"")</f>
        <v/>
      </c>
      <c r="F554" s="28">
        <f>IFERROR(D554-Dashboard!$B$4/252,"")</f>
        <v/>
      </c>
      <c r="G554" s="28">
        <f>IFERROR(E554-Dashboard!$B$4/252,"")</f>
        <v/>
      </c>
      <c r="H554" s="8">
        <f>IFERROR(IF(ISNUMBER(B554),MAX(B554,IFERROR(H553,B554)),""),"")</f>
        <v/>
      </c>
      <c r="I554" s="29">
        <f>IFERROR(IF(AND(ISNUMBER(B554),ISNUMBER(H554)),B554/H554-1,""),"")</f>
        <v/>
      </c>
      <c r="J554" s="8">
        <f>IFERROR(IF(ISNUMBER(C554),MAX(C554,IFERROR(J553,C554)),""),"")</f>
        <v/>
      </c>
      <c r="K554" s="29">
        <f>IFERROR(IF(AND(ISNUMBER(C554),ISNUMBER(J554)),C554/J554-1,""),"")</f>
        <v/>
      </c>
      <c r="L554" s="28">
        <f>IFERROR(IF(AND(ISNUMBER(D554),ISNUMBER(E554)),D554-E554,""),"")</f>
        <v/>
      </c>
    </row>
    <row r="555">
      <c r="A555" s="7">
        <f>IFERROR(Datos!A555,"")</f>
        <v/>
      </c>
      <c r="B555" s="8">
        <f>IFERROR(Datos!B555,"")</f>
        <v/>
      </c>
      <c r="C555" s="8">
        <f>IFERROR(Datos!C555,"")</f>
        <v/>
      </c>
      <c r="D555" s="28">
        <f>IFERROR(IF(AND(ISNUMBER(B555),ISNUMBER(B554),B554&lt;&gt;0),B555/B554-1,""),"")</f>
        <v/>
      </c>
      <c r="E555" s="28">
        <f>IFERROR(IF(AND(ISNUMBER(C555),ISNUMBER(C554),C554&lt;&gt;0),C555/C554-1,""),"")</f>
        <v/>
      </c>
      <c r="F555" s="28">
        <f>IFERROR(D555-Dashboard!$B$4/252,"")</f>
        <v/>
      </c>
      <c r="G555" s="28">
        <f>IFERROR(E555-Dashboard!$B$4/252,"")</f>
        <v/>
      </c>
      <c r="H555" s="8">
        <f>IFERROR(IF(ISNUMBER(B555),MAX(B555,IFERROR(H554,B555)),""),"")</f>
        <v/>
      </c>
      <c r="I555" s="29">
        <f>IFERROR(IF(AND(ISNUMBER(B555),ISNUMBER(H555)),B555/H555-1,""),"")</f>
        <v/>
      </c>
      <c r="J555" s="8">
        <f>IFERROR(IF(ISNUMBER(C555),MAX(C555,IFERROR(J554,C555)),""),"")</f>
        <v/>
      </c>
      <c r="K555" s="29">
        <f>IFERROR(IF(AND(ISNUMBER(C555),ISNUMBER(J555)),C555/J555-1,""),"")</f>
        <v/>
      </c>
      <c r="L555" s="28">
        <f>IFERROR(IF(AND(ISNUMBER(D555),ISNUMBER(E555)),D555-E555,""),"")</f>
        <v/>
      </c>
    </row>
    <row r="556">
      <c r="A556" s="7">
        <f>IFERROR(Datos!A556,"")</f>
        <v/>
      </c>
      <c r="B556" s="8">
        <f>IFERROR(Datos!B556,"")</f>
        <v/>
      </c>
      <c r="C556" s="8">
        <f>IFERROR(Datos!C556,"")</f>
        <v/>
      </c>
      <c r="D556" s="28">
        <f>IFERROR(IF(AND(ISNUMBER(B556),ISNUMBER(B555),B555&lt;&gt;0),B556/B555-1,""),"")</f>
        <v/>
      </c>
      <c r="E556" s="28">
        <f>IFERROR(IF(AND(ISNUMBER(C556),ISNUMBER(C555),C555&lt;&gt;0),C556/C555-1,""),"")</f>
        <v/>
      </c>
      <c r="F556" s="28">
        <f>IFERROR(D556-Dashboard!$B$4/252,"")</f>
        <v/>
      </c>
      <c r="G556" s="28">
        <f>IFERROR(E556-Dashboard!$B$4/252,"")</f>
        <v/>
      </c>
      <c r="H556" s="8">
        <f>IFERROR(IF(ISNUMBER(B556),MAX(B556,IFERROR(H555,B556)),""),"")</f>
        <v/>
      </c>
      <c r="I556" s="29">
        <f>IFERROR(IF(AND(ISNUMBER(B556),ISNUMBER(H556)),B556/H556-1,""),"")</f>
        <v/>
      </c>
      <c r="J556" s="8">
        <f>IFERROR(IF(ISNUMBER(C556),MAX(C556,IFERROR(J555,C556)),""),"")</f>
        <v/>
      </c>
      <c r="K556" s="29">
        <f>IFERROR(IF(AND(ISNUMBER(C556),ISNUMBER(J556)),C556/J556-1,""),"")</f>
        <v/>
      </c>
      <c r="L556" s="28">
        <f>IFERROR(IF(AND(ISNUMBER(D556),ISNUMBER(E556)),D556-E556,""),"")</f>
        <v/>
      </c>
    </row>
    <row r="557">
      <c r="A557" s="7">
        <f>IFERROR(Datos!A557,"")</f>
        <v/>
      </c>
      <c r="B557" s="8">
        <f>IFERROR(Datos!B557,"")</f>
        <v/>
      </c>
      <c r="C557" s="8">
        <f>IFERROR(Datos!C557,"")</f>
        <v/>
      </c>
      <c r="D557" s="28">
        <f>IFERROR(IF(AND(ISNUMBER(B557),ISNUMBER(B556),B556&lt;&gt;0),B557/B556-1,""),"")</f>
        <v/>
      </c>
      <c r="E557" s="28">
        <f>IFERROR(IF(AND(ISNUMBER(C557),ISNUMBER(C556),C556&lt;&gt;0),C557/C556-1,""),"")</f>
        <v/>
      </c>
      <c r="F557" s="28">
        <f>IFERROR(D557-Dashboard!$B$4/252,"")</f>
        <v/>
      </c>
      <c r="G557" s="28">
        <f>IFERROR(E557-Dashboard!$B$4/252,"")</f>
        <v/>
      </c>
      <c r="H557" s="8">
        <f>IFERROR(IF(ISNUMBER(B557),MAX(B557,IFERROR(H556,B557)),""),"")</f>
        <v/>
      </c>
      <c r="I557" s="29">
        <f>IFERROR(IF(AND(ISNUMBER(B557),ISNUMBER(H557)),B557/H557-1,""),"")</f>
        <v/>
      </c>
      <c r="J557" s="8">
        <f>IFERROR(IF(ISNUMBER(C557),MAX(C557,IFERROR(J556,C557)),""),"")</f>
        <v/>
      </c>
      <c r="K557" s="29">
        <f>IFERROR(IF(AND(ISNUMBER(C557),ISNUMBER(J557)),C557/J557-1,""),"")</f>
        <v/>
      </c>
      <c r="L557" s="28">
        <f>IFERROR(IF(AND(ISNUMBER(D557),ISNUMBER(E557)),D557-E557,""),"")</f>
        <v/>
      </c>
    </row>
    <row r="558">
      <c r="A558" s="7">
        <f>IFERROR(Datos!A558,"")</f>
        <v/>
      </c>
      <c r="B558" s="8">
        <f>IFERROR(Datos!B558,"")</f>
        <v/>
      </c>
      <c r="C558" s="8">
        <f>IFERROR(Datos!C558,"")</f>
        <v/>
      </c>
      <c r="D558" s="28">
        <f>IFERROR(IF(AND(ISNUMBER(B558),ISNUMBER(B557),B557&lt;&gt;0),B558/B557-1,""),"")</f>
        <v/>
      </c>
      <c r="E558" s="28">
        <f>IFERROR(IF(AND(ISNUMBER(C558),ISNUMBER(C557),C557&lt;&gt;0),C558/C557-1,""),"")</f>
        <v/>
      </c>
      <c r="F558" s="28">
        <f>IFERROR(D558-Dashboard!$B$4/252,"")</f>
        <v/>
      </c>
      <c r="G558" s="28">
        <f>IFERROR(E558-Dashboard!$B$4/252,"")</f>
        <v/>
      </c>
      <c r="H558" s="8">
        <f>IFERROR(IF(ISNUMBER(B558),MAX(B558,IFERROR(H557,B558)),""),"")</f>
        <v/>
      </c>
      <c r="I558" s="29">
        <f>IFERROR(IF(AND(ISNUMBER(B558),ISNUMBER(H558)),B558/H558-1,""),"")</f>
        <v/>
      </c>
      <c r="J558" s="8">
        <f>IFERROR(IF(ISNUMBER(C558),MAX(C558,IFERROR(J557,C558)),""),"")</f>
        <v/>
      </c>
      <c r="K558" s="29">
        <f>IFERROR(IF(AND(ISNUMBER(C558),ISNUMBER(J558)),C558/J558-1,""),"")</f>
        <v/>
      </c>
      <c r="L558" s="28">
        <f>IFERROR(IF(AND(ISNUMBER(D558),ISNUMBER(E558)),D558-E558,""),"")</f>
        <v/>
      </c>
    </row>
    <row r="559">
      <c r="A559" s="7">
        <f>IFERROR(Datos!A559,"")</f>
        <v/>
      </c>
      <c r="B559" s="8">
        <f>IFERROR(Datos!B559,"")</f>
        <v/>
      </c>
      <c r="C559" s="8">
        <f>IFERROR(Datos!C559,"")</f>
        <v/>
      </c>
      <c r="D559" s="28">
        <f>IFERROR(IF(AND(ISNUMBER(B559),ISNUMBER(B558),B558&lt;&gt;0),B559/B558-1,""),"")</f>
        <v/>
      </c>
      <c r="E559" s="28">
        <f>IFERROR(IF(AND(ISNUMBER(C559),ISNUMBER(C558),C558&lt;&gt;0),C559/C558-1,""),"")</f>
        <v/>
      </c>
      <c r="F559" s="28">
        <f>IFERROR(D559-Dashboard!$B$4/252,"")</f>
        <v/>
      </c>
      <c r="G559" s="28">
        <f>IFERROR(E559-Dashboard!$B$4/252,"")</f>
        <v/>
      </c>
      <c r="H559" s="8">
        <f>IFERROR(IF(ISNUMBER(B559),MAX(B559,IFERROR(H558,B559)),""),"")</f>
        <v/>
      </c>
      <c r="I559" s="29">
        <f>IFERROR(IF(AND(ISNUMBER(B559),ISNUMBER(H559)),B559/H559-1,""),"")</f>
        <v/>
      </c>
      <c r="J559" s="8">
        <f>IFERROR(IF(ISNUMBER(C559),MAX(C559,IFERROR(J558,C559)),""),"")</f>
        <v/>
      </c>
      <c r="K559" s="29">
        <f>IFERROR(IF(AND(ISNUMBER(C559),ISNUMBER(J559)),C559/J559-1,""),"")</f>
        <v/>
      </c>
      <c r="L559" s="28">
        <f>IFERROR(IF(AND(ISNUMBER(D559),ISNUMBER(E559)),D559-E559,""),"")</f>
        <v/>
      </c>
    </row>
    <row r="560">
      <c r="A560" s="7">
        <f>IFERROR(Datos!A560,"")</f>
        <v/>
      </c>
      <c r="B560" s="8">
        <f>IFERROR(Datos!B560,"")</f>
        <v/>
      </c>
      <c r="C560" s="8">
        <f>IFERROR(Datos!C560,"")</f>
        <v/>
      </c>
      <c r="D560" s="28">
        <f>IFERROR(IF(AND(ISNUMBER(B560),ISNUMBER(B559),B559&lt;&gt;0),B560/B559-1,""),"")</f>
        <v/>
      </c>
      <c r="E560" s="28">
        <f>IFERROR(IF(AND(ISNUMBER(C560),ISNUMBER(C559),C559&lt;&gt;0),C560/C559-1,""),"")</f>
        <v/>
      </c>
      <c r="F560" s="28">
        <f>IFERROR(D560-Dashboard!$B$4/252,"")</f>
        <v/>
      </c>
      <c r="G560" s="28">
        <f>IFERROR(E560-Dashboard!$B$4/252,"")</f>
        <v/>
      </c>
      <c r="H560" s="8">
        <f>IFERROR(IF(ISNUMBER(B560),MAX(B560,IFERROR(H559,B560)),""),"")</f>
        <v/>
      </c>
      <c r="I560" s="29">
        <f>IFERROR(IF(AND(ISNUMBER(B560),ISNUMBER(H560)),B560/H560-1,""),"")</f>
        <v/>
      </c>
      <c r="J560" s="8">
        <f>IFERROR(IF(ISNUMBER(C560),MAX(C560,IFERROR(J559,C560)),""),"")</f>
        <v/>
      </c>
      <c r="K560" s="29">
        <f>IFERROR(IF(AND(ISNUMBER(C560),ISNUMBER(J560)),C560/J560-1,""),"")</f>
        <v/>
      </c>
      <c r="L560" s="28">
        <f>IFERROR(IF(AND(ISNUMBER(D560),ISNUMBER(E560)),D560-E560,""),"")</f>
        <v/>
      </c>
    </row>
    <row r="561">
      <c r="A561" s="7">
        <f>IFERROR(Datos!A561,"")</f>
        <v/>
      </c>
      <c r="B561" s="8">
        <f>IFERROR(Datos!B561,"")</f>
        <v/>
      </c>
      <c r="C561" s="8">
        <f>IFERROR(Datos!C561,"")</f>
        <v/>
      </c>
      <c r="D561" s="28">
        <f>IFERROR(IF(AND(ISNUMBER(B561),ISNUMBER(B560),B560&lt;&gt;0),B561/B560-1,""),"")</f>
        <v/>
      </c>
      <c r="E561" s="28">
        <f>IFERROR(IF(AND(ISNUMBER(C561),ISNUMBER(C560),C560&lt;&gt;0),C561/C560-1,""),"")</f>
        <v/>
      </c>
      <c r="F561" s="28">
        <f>IFERROR(D561-Dashboard!$B$4/252,"")</f>
        <v/>
      </c>
      <c r="G561" s="28">
        <f>IFERROR(E561-Dashboard!$B$4/252,"")</f>
        <v/>
      </c>
      <c r="H561" s="8">
        <f>IFERROR(IF(ISNUMBER(B561),MAX(B561,IFERROR(H560,B561)),""),"")</f>
        <v/>
      </c>
      <c r="I561" s="29">
        <f>IFERROR(IF(AND(ISNUMBER(B561),ISNUMBER(H561)),B561/H561-1,""),"")</f>
        <v/>
      </c>
      <c r="J561" s="8">
        <f>IFERROR(IF(ISNUMBER(C561),MAX(C561,IFERROR(J560,C561)),""),"")</f>
        <v/>
      </c>
      <c r="K561" s="29">
        <f>IFERROR(IF(AND(ISNUMBER(C561),ISNUMBER(J561)),C561/J561-1,""),"")</f>
        <v/>
      </c>
      <c r="L561" s="28">
        <f>IFERROR(IF(AND(ISNUMBER(D561),ISNUMBER(E561)),D561-E561,""),"")</f>
        <v/>
      </c>
    </row>
    <row r="562">
      <c r="A562" s="7">
        <f>IFERROR(Datos!A562,"")</f>
        <v/>
      </c>
      <c r="B562" s="8">
        <f>IFERROR(Datos!B562,"")</f>
        <v/>
      </c>
      <c r="C562" s="8">
        <f>IFERROR(Datos!C562,"")</f>
        <v/>
      </c>
      <c r="D562" s="28">
        <f>IFERROR(IF(AND(ISNUMBER(B562),ISNUMBER(B561),B561&lt;&gt;0),B562/B561-1,""),"")</f>
        <v/>
      </c>
      <c r="E562" s="28">
        <f>IFERROR(IF(AND(ISNUMBER(C562),ISNUMBER(C561),C561&lt;&gt;0),C562/C561-1,""),"")</f>
        <v/>
      </c>
      <c r="F562" s="28">
        <f>IFERROR(D562-Dashboard!$B$4/252,"")</f>
        <v/>
      </c>
      <c r="G562" s="28">
        <f>IFERROR(E562-Dashboard!$B$4/252,"")</f>
        <v/>
      </c>
      <c r="H562" s="8">
        <f>IFERROR(IF(ISNUMBER(B562),MAX(B562,IFERROR(H561,B562)),""),"")</f>
        <v/>
      </c>
      <c r="I562" s="29">
        <f>IFERROR(IF(AND(ISNUMBER(B562),ISNUMBER(H562)),B562/H562-1,""),"")</f>
        <v/>
      </c>
      <c r="J562" s="8">
        <f>IFERROR(IF(ISNUMBER(C562),MAX(C562,IFERROR(J561,C562)),""),"")</f>
        <v/>
      </c>
      <c r="K562" s="29">
        <f>IFERROR(IF(AND(ISNUMBER(C562),ISNUMBER(J562)),C562/J562-1,""),"")</f>
        <v/>
      </c>
      <c r="L562" s="28">
        <f>IFERROR(IF(AND(ISNUMBER(D562),ISNUMBER(E562)),D562-E562,""),"")</f>
        <v/>
      </c>
    </row>
    <row r="563">
      <c r="A563" s="7">
        <f>IFERROR(Datos!A563,"")</f>
        <v/>
      </c>
      <c r="B563" s="8">
        <f>IFERROR(Datos!B563,"")</f>
        <v/>
      </c>
      <c r="C563" s="8">
        <f>IFERROR(Datos!C563,"")</f>
        <v/>
      </c>
      <c r="D563" s="28">
        <f>IFERROR(IF(AND(ISNUMBER(B563),ISNUMBER(B562),B562&lt;&gt;0),B563/B562-1,""),"")</f>
        <v/>
      </c>
      <c r="E563" s="28">
        <f>IFERROR(IF(AND(ISNUMBER(C563),ISNUMBER(C562),C562&lt;&gt;0),C563/C562-1,""),"")</f>
        <v/>
      </c>
      <c r="F563" s="28">
        <f>IFERROR(D563-Dashboard!$B$4/252,"")</f>
        <v/>
      </c>
      <c r="G563" s="28">
        <f>IFERROR(E563-Dashboard!$B$4/252,"")</f>
        <v/>
      </c>
      <c r="H563" s="8">
        <f>IFERROR(IF(ISNUMBER(B563),MAX(B563,IFERROR(H562,B563)),""),"")</f>
        <v/>
      </c>
      <c r="I563" s="29">
        <f>IFERROR(IF(AND(ISNUMBER(B563),ISNUMBER(H563)),B563/H563-1,""),"")</f>
        <v/>
      </c>
      <c r="J563" s="8">
        <f>IFERROR(IF(ISNUMBER(C563),MAX(C563,IFERROR(J562,C563)),""),"")</f>
        <v/>
      </c>
      <c r="K563" s="29">
        <f>IFERROR(IF(AND(ISNUMBER(C563),ISNUMBER(J563)),C563/J563-1,""),"")</f>
        <v/>
      </c>
      <c r="L563" s="28">
        <f>IFERROR(IF(AND(ISNUMBER(D563),ISNUMBER(E563)),D563-E563,""),"")</f>
        <v/>
      </c>
    </row>
    <row r="564">
      <c r="A564" s="7">
        <f>IFERROR(Datos!A564,"")</f>
        <v/>
      </c>
      <c r="B564" s="8">
        <f>IFERROR(Datos!B564,"")</f>
        <v/>
      </c>
      <c r="C564" s="8">
        <f>IFERROR(Datos!C564,"")</f>
        <v/>
      </c>
      <c r="D564" s="28">
        <f>IFERROR(IF(AND(ISNUMBER(B564),ISNUMBER(B563),B563&lt;&gt;0),B564/B563-1,""),"")</f>
        <v/>
      </c>
      <c r="E564" s="28">
        <f>IFERROR(IF(AND(ISNUMBER(C564),ISNUMBER(C563),C563&lt;&gt;0),C564/C563-1,""),"")</f>
        <v/>
      </c>
      <c r="F564" s="28">
        <f>IFERROR(D564-Dashboard!$B$4/252,"")</f>
        <v/>
      </c>
      <c r="G564" s="28">
        <f>IFERROR(E564-Dashboard!$B$4/252,"")</f>
        <v/>
      </c>
      <c r="H564" s="8">
        <f>IFERROR(IF(ISNUMBER(B564),MAX(B564,IFERROR(H563,B564)),""),"")</f>
        <v/>
      </c>
      <c r="I564" s="29">
        <f>IFERROR(IF(AND(ISNUMBER(B564),ISNUMBER(H564)),B564/H564-1,""),"")</f>
        <v/>
      </c>
      <c r="J564" s="8">
        <f>IFERROR(IF(ISNUMBER(C564),MAX(C564,IFERROR(J563,C564)),""),"")</f>
        <v/>
      </c>
      <c r="K564" s="29">
        <f>IFERROR(IF(AND(ISNUMBER(C564),ISNUMBER(J564)),C564/J564-1,""),"")</f>
        <v/>
      </c>
      <c r="L564" s="28">
        <f>IFERROR(IF(AND(ISNUMBER(D564),ISNUMBER(E564)),D564-E564,""),"")</f>
        <v/>
      </c>
    </row>
    <row r="565">
      <c r="A565" s="7">
        <f>IFERROR(Datos!A565,"")</f>
        <v/>
      </c>
      <c r="B565" s="8">
        <f>IFERROR(Datos!B565,"")</f>
        <v/>
      </c>
      <c r="C565" s="8">
        <f>IFERROR(Datos!C565,"")</f>
        <v/>
      </c>
      <c r="D565" s="28">
        <f>IFERROR(IF(AND(ISNUMBER(B565),ISNUMBER(B564),B564&lt;&gt;0),B565/B564-1,""),"")</f>
        <v/>
      </c>
      <c r="E565" s="28">
        <f>IFERROR(IF(AND(ISNUMBER(C565),ISNUMBER(C564),C564&lt;&gt;0),C565/C564-1,""),"")</f>
        <v/>
      </c>
      <c r="F565" s="28">
        <f>IFERROR(D565-Dashboard!$B$4/252,"")</f>
        <v/>
      </c>
      <c r="G565" s="28">
        <f>IFERROR(E565-Dashboard!$B$4/252,"")</f>
        <v/>
      </c>
      <c r="H565" s="8">
        <f>IFERROR(IF(ISNUMBER(B565),MAX(B565,IFERROR(H564,B565)),""),"")</f>
        <v/>
      </c>
      <c r="I565" s="29">
        <f>IFERROR(IF(AND(ISNUMBER(B565),ISNUMBER(H565)),B565/H565-1,""),"")</f>
        <v/>
      </c>
      <c r="J565" s="8">
        <f>IFERROR(IF(ISNUMBER(C565),MAX(C565,IFERROR(J564,C565)),""),"")</f>
        <v/>
      </c>
      <c r="K565" s="29">
        <f>IFERROR(IF(AND(ISNUMBER(C565),ISNUMBER(J565)),C565/J565-1,""),"")</f>
        <v/>
      </c>
      <c r="L565" s="28">
        <f>IFERROR(IF(AND(ISNUMBER(D565),ISNUMBER(E565)),D565-E565,""),"")</f>
        <v/>
      </c>
    </row>
    <row r="566">
      <c r="A566" s="7">
        <f>IFERROR(Datos!A566,"")</f>
        <v/>
      </c>
      <c r="B566" s="8">
        <f>IFERROR(Datos!B566,"")</f>
        <v/>
      </c>
      <c r="C566" s="8">
        <f>IFERROR(Datos!C566,"")</f>
        <v/>
      </c>
      <c r="D566" s="28">
        <f>IFERROR(IF(AND(ISNUMBER(B566),ISNUMBER(B565),B565&lt;&gt;0),B566/B565-1,""),"")</f>
        <v/>
      </c>
      <c r="E566" s="28">
        <f>IFERROR(IF(AND(ISNUMBER(C566),ISNUMBER(C565),C565&lt;&gt;0),C566/C565-1,""),"")</f>
        <v/>
      </c>
      <c r="F566" s="28">
        <f>IFERROR(D566-Dashboard!$B$4/252,"")</f>
        <v/>
      </c>
      <c r="G566" s="28">
        <f>IFERROR(E566-Dashboard!$B$4/252,"")</f>
        <v/>
      </c>
      <c r="H566" s="8">
        <f>IFERROR(IF(ISNUMBER(B566),MAX(B566,IFERROR(H565,B566)),""),"")</f>
        <v/>
      </c>
      <c r="I566" s="29">
        <f>IFERROR(IF(AND(ISNUMBER(B566),ISNUMBER(H566)),B566/H566-1,""),"")</f>
        <v/>
      </c>
      <c r="J566" s="8">
        <f>IFERROR(IF(ISNUMBER(C566),MAX(C566,IFERROR(J565,C566)),""),"")</f>
        <v/>
      </c>
      <c r="K566" s="29">
        <f>IFERROR(IF(AND(ISNUMBER(C566),ISNUMBER(J566)),C566/J566-1,""),"")</f>
        <v/>
      </c>
      <c r="L566" s="28">
        <f>IFERROR(IF(AND(ISNUMBER(D566),ISNUMBER(E566)),D566-E566,""),"")</f>
        <v/>
      </c>
    </row>
    <row r="567">
      <c r="A567" s="7">
        <f>IFERROR(Datos!A567,"")</f>
        <v/>
      </c>
      <c r="B567" s="8">
        <f>IFERROR(Datos!B567,"")</f>
        <v/>
      </c>
      <c r="C567" s="8">
        <f>IFERROR(Datos!C567,"")</f>
        <v/>
      </c>
      <c r="D567" s="28">
        <f>IFERROR(IF(AND(ISNUMBER(B567),ISNUMBER(B566),B566&lt;&gt;0),B567/B566-1,""),"")</f>
        <v/>
      </c>
      <c r="E567" s="28">
        <f>IFERROR(IF(AND(ISNUMBER(C567),ISNUMBER(C566),C566&lt;&gt;0),C567/C566-1,""),"")</f>
        <v/>
      </c>
      <c r="F567" s="28">
        <f>IFERROR(D567-Dashboard!$B$4/252,"")</f>
        <v/>
      </c>
      <c r="G567" s="28">
        <f>IFERROR(E567-Dashboard!$B$4/252,"")</f>
        <v/>
      </c>
      <c r="H567" s="8">
        <f>IFERROR(IF(ISNUMBER(B567),MAX(B567,IFERROR(H566,B567)),""),"")</f>
        <v/>
      </c>
      <c r="I567" s="29">
        <f>IFERROR(IF(AND(ISNUMBER(B567),ISNUMBER(H567)),B567/H567-1,""),"")</f>
        <v/>
      </c>
      <c r="J567" s="8">
        <f>IFERROR(IF(ISNUMBER(C567),MAX(C567,IFERROR(J566,C567)),""),"")</f>
        <v/>
      </c>
      <c r="K567" s="29">
        <f>IFERROR(IF(AND(ISNUMBER(C567),ISNUMBER(J567)),C567/J567-1,""),"")</f>
        <v/>
      </c>
      <c r="L567" s="28">
        <f>IFERROR(IF(AND(ISNUMBER(D567),ISNUMBER(E567)),D567-E567,""),"")</f>
        <v/>
      </c>
    </row>
    <row r="568">
      <c r="A568" s="7">
        <f>IFERROR(Datos!A568,"")</f>
        <v/>
      </c>
      <c r="B568" s="8">
        <f>IFERROR(Datos!B568,"")</f>
        <v/>
      </c>
      <c r="C568" s="8">
        <f>IFERROR(Datos!C568,"")</f>
        <v/>
      </c>
      <c r="D568" s="28">
        <f>IFERROR(IF(AND(ISNUMBER(B568),ISNUMBER(B567),B567&lt;&gt;0),B568/B567-1,""),"")</f>
        <v/>
      </c>
      <c r="E568" s="28">
        <f>IFERROR(IF(AND(ISNUMBER(C568),ISNUMBER(C567),C567&lt;&gt;0),C568/C567-1,""),"")</f>
        <v/>
      </c>
      <c r="F568" s="28">
        <f>IFERROR(D568-Dashboard!$B$4/252,"")</f>
        <v/>
      </c>
      <c r="G568" s="28">
        <f>IFERROR(E568-Dashboard!$B$4/252,"")</f>
        <v/>
      </c>
      <c r="H568" s="8">
        <f>IFERROR(IF(ISNUMBER(B568),MAX(B568,IFERROR(H567,B568)),""),"")</f>
        <v/>
      </c>
      <c r="I568" s="29">
        <f>IFERROR(IF(AND(ISNUMBER(B568),ISNUMBER(H568)),B568/H568-1,""),"")</f>
        <v/>
      </c>
      <c r="J568" s="8">
        <f>IFERROR(IF(ISNUMBER(C568),MAX(C568,IFERROR(J567,C568)),""),"")</f>
        <v/>
      </c>
      <c r="K568" s="29">
        <f>IFERROR(IF(AND(ISNUMBER(C568),ISNUMBER(J568)),C568/J568-1,""),"")</f>
        <v/>
      </c>
      <c r="L568" s="28">
        <f>IFERROR(IF(AND(ISNUMBER(D568),ISNUMBER(E568)),D568-E568,""),"")</f>
        <v/>
      </c>
    </row>
    <row r="569">
      <c r="A569" s="7">
        <f>IFERROR(Datos!A569,"")</f>
        <v/>
      </c>
      <c r="B569" s="8">
        <f>IFERROR(Datos!B569,"")</f>
        <v/>
      </c>
      <c r="C569" s="8">
        <f>IFERROR(Datos!C569,"")</f>
        <v/>
      </c>
      <c r="D569" s="28">
        <f>IFERROR(IF(AND(ISNUMBER(B569),ISNUMBER(B568),B568&lt;&gt;0),B569/B568-1,""),"")</f>
        <v/>
      </c>
      <c r="E569" s="28">
        <f>IFERROR(IF(AND(ISNUMBER(C569),ISNUMBER(C568),C568&lt;&gt;0),C569/C568-1,""),"")</f>
        <v/>
      </c>
      <c r="F569" s="28">
        <f>IFERROR(D569-Dashboard!$B$4/252,"")</f>
        <v/>
      </c>
      <c r="G569" s="28">
        <f>IFERROR(E569-Dashboard!$B$4/252,"")</f>
        <v/>
      </c>
      <c r="H569" s="8">
        <f>IFERROR(IF(ISNUMBER(B569),MAX(B569,IFERROR(H568,B569)),""),"")</f>
        <v/>
      </c>
      <c r="I569" s="29">
        <f>IFERROR(IF(AND(ISNUMBER(B569),ISNUMBER(H569)),B569/H569-1,""),"")</f>
        <v/>
      </c>
      <c r="J569" s="8">
        <f>IFERROR(IF(ISNUMBER(C569),MAX(C569,IFERROR(J568,C569)),""),"")</f>
        <v/>
      </c>
      <c r="K569" s="29">
        <f>IFERROR(IF(AND(ISNUMBER(C569),ISNUMBER(J569)),C569/J569-1,""),"")</f>
        <v/>
      </c>
      <c r="L569" s="28">
        <f>IFERROR(IF(AND(ISNUMBER(D569),ISNUMBER(E569)),D569-E569,""),"")</f>
        <v/>
      </c>
    </row>
    <row r="570">
      <c r="A570" s="7">
        <f>IFERROR(Datos!A570,"")</f>
        <v/>
      </c>
      <c r="B570" s="8">
        <f>IFERROR(Datos!B570,"")</f>
        <v/>
      </c>
      <c r="C570" s="8">
        <f>IFERROR(Datos!C570,"")</f>
        <v/>
      </c>
      <c r="D570" s="28">
        <f>IFERROR(IF(AND(ISNUMBER(B570),ISNUMBER(B569),B569&lt;&gt;0),B570/B569-1,""),"")</f>
        <v/>
      </c>
      <c r="E570" s="28">
        <f>IFERROR(IF(AND(ISNUMBER(C570),ISNUMBER(C569),C569&lt;&gt;0),C570/C569-1,""),"")</f>
        <v/>
      </c>
      <c r="F570" s="28">
        <f>IFERROR(D570-Dashboard!$B$4/252,"")</f>
        <v/>
      </c>
      <c r="G570" s="28">
        <f>IFERROR(E570-Dashboard!$B$4/252,"")</f>
        <v/>
      </c>
      <c r="H570" s="8">
        <f>IFERROR(IF(ISNUMBER(B570),MAX(B570,IFERROR(H569,B570)),""),"")</f>
        <v/>
      </c>
      <c r="I570" s="29">
        <f>IFERROR(IF(AND(ISNUMBER(B570),ISNUMBER(H570)),B570/H570-1,""),"")</f>
        <v/>
      </c>
      <c r="J570" s="8">
        <f>IFERROR(IF(ISNUMBER(C570),MAX(C570,IFERROR(J569,C570)),""),"")</f>
        <v/>
      </c>
      <c r="K570" s="29">
        <f>IFERROR(IF(AND(ISNUMBER(C570),ISNUMBER(J570)),C570/J570-1,""),"")</f>
        <v/>
      </c>
      <c r="L570" s="28">
        <f>IFERROR(IF(AND(ISNUMBER(D570),ISNUMBER(E570)),D570-E570,""),"")</f>
        <v/>
      </c>
    </row>
    <row r="571">
      <c r="A571" s="7">
        <f>IFERROR(Datos!A571,"")</f>
        <v/>
      </c>
      <c r="B571" s="8">
        <f>IFERROR(Datos!B571,"")</f>
        <v/>
      </c>
      <c r="C571" s="8">
        <f>IFERROR(Datos!C571,"")</f>
        <v/>
      </c>
      <c r="D571" s="28">
        <f>IFERROR(IF(AND(ISNUMBER(B571),ISNUMBER(B570),B570&lt;&gt;0),B571/B570-1,""),"")</f>
        <v/>
      </c>
      <c r="E571" s="28">
        <f>IFERROR(IF(AND(ISNUMBER(C571),ISNUMBER(C570),C570&lt;&gt;0),C571/C570-1,""),"")</f>
        <v/>
      </c>
      <c r="F571" s="28">
        <f>IFERROR(D571-Dashboard!$B$4/252,"")</f>
        <v/>
      </c>
      <c r="G571" s="28">
        <f>IFERROR(E571-Dashboard!$B$4/252,"")</f>
        <v/>
      </c>
      <c r="H571" s="8">
        <f>IFERROR(IF(ISNUMBER(B571),MAX(B571,IFERROR(H570,B571)),""),"")</f>
        <v/>
      </c>
      <c r="I571" s="29">
        <f>IFERROR(IF(AND(ISNUMBER(B571),ISNUMBER(H571)),B571/H571-1,""),"")</f>
        <v/>
      </c>
      <c r="J571" s="8">
        <f>IFERROR(IF(ISNUMBER(C571),MAX(C571,IFERROR(J570,C571)),""),"")</f>
        <v/>
      </c>
      <c r="K571" s="29">
        <f>IFERROR(IF(AND(ISNUMBER(C571),ISNUMBER(J571)),C571/J571-1,""),"")</f>
        <v/>
      </c>
      <c r="L571" s="28">
        <f>IFERROR(IF(AND(ISNUMBER(D571),ISNUMBER(E571)),D571-E571,""),"")</f>
        <v/>
      </c>
    </row>
    <row r="572">
      <c r="A572" s="7">
        <f>IFERROR(Datos!A572,"")</f>
        <v/>
      </c>
      <c r="B572" s="8">
        <f>IFERROR(Datos!B572,"")</f>
        <v/>
      </c>
      <c r="C572" s="8">
        <f>IFERROR(Datos!C572,"")</f>
        <v/>
      </c>
      <c r="D572" s="28">
        <f>IFERROR(IF(AND(ISNUMBER(B572),ISNUMBER(B571),B571&lt;&gt;0),B572/B571-1,""),"")</f>
        <v/>
      </c>
      <c r="E572" s="28">
        <f>IFERROR(IF(AND(ISNUMBER(C572),ISNUMBER(C571),C571&lt;&gt;0),C572/C571-1,""),"")</f>
        <v/>
      </c>
      <c r="F572" s="28">
        <f>IFERROR(D572-Dashboard!$B$4/252,"")</f>
        <v/>
      </c>
      <c r="G572" s="28">
        <f>IFERROR(E572-Dashboard!$B$4/252,"")</f>
        <v/>
      </c>
      <c r="H572" s="8">
        <f>IFERROR(IF(ISNUMBER(B572),MAX(B572,IFERROR(H571,B572)),""),"")</f>
        <v/>
      </c>
      <c r="I572" s="29">
        <f>IFERROR(IF(AND(ISNUMBER(B572),ISNUMBER(H572)),B572/H572-1,""),"")</f>
        <v/>
      </c>
      <c r="J572" s="8">
        <f>IFERROR(IF(ISNUMBER(C572),MAX(C572,IFERROR(J571,C572)),""),"")</f>
        <v/>
      </c>
      <c r="K572" s="29">
        <f>IFERROR(IF(AND(ISNUMBER(C572),ISNUMBER(J572)),C572/J572-1,""),"")</f>
        <v/>
      </c>
      <c r="L572" s="28">
        <f>IFERROR(IF(AND(ISNUMBER(D572),ISNUMBER(E572)),D572-E572,""),"")</f>
        <v/>
      </c>
    </row>
    <row r="573">
      <c r="A573" s="7">
        <f>IFERROR(Datos!A573,"")</f>
        <v/>
      </c>
      <c r="B573" s="8">
        <f>IFERROR(Datos!B573,"")</f>
        <v/>
      </c>
      <c r="C573" s="8">
        <f>IFERROR(Datos!C573,"")</f>
        <v/>
      </c>
      <c r="D573" s="28">
        <f>IFERROR(IF(AND(ISNUMBER(B573),ISNUMBER(B572),B572&lt;&gt;0),B573/B572-1,""),"")</f>
        <v/>
      </c>
      <c r="E573" s="28">
        <f>IFERROR(IF(AND(ISNUMBER(C573),ISNUMBER(C572),C572&lt;&gt;0),C573/C572-1,""),"")</f>
        <v/>
      </c>
      <c r="F573" s="28">
        <f>IFERROR(D573-Dashboard!$B$4/252,"")</f>
        <v/>
      </c>
      <c r="G573" s="28">
        <f>IFERROR(E573-Dashboard!$B$4/252,"")</f>
        <v/>
      </c>
      <c r="H573" s="8">
        <f>IFERROR(IF(ISNUMBER(B573),MAX(B573,IFERROR(H572,B573)),""),"")</f>
        <v/>
      </c>
      <c r="I573" s="29">
        <f>IFERROR(IF(AND(ISNUMBER(B573),ISNUMBER(H573)),B573/H573-1,""),"")</f>
        <v/>
      </c>
      <c r="J573" s="8">
        <f>IFERROR(IF(ISNUMBER(C573),MAX(C573,IFERROR(J572,C573)),""),"")</f>
        <v/>
      </c>
      <c r="K573" s="29">
        <f>IFERROR(IF(AND(ISNUMBER(C573),ISNUMBER(J573)),C573/J573-1,""),"")</f>
        <v/>
      </c>
      <c r="L573" s="28">
        <f>IFERROR(IF(AND(ISNUMBER(D573),ISNUMBER(E573)),D573-E573,""),"")</f>
        <v/>
      </c>
    </row>
    <row r="574">
      <c r="A574" s="7">
        <f>IFERROR(Datos!A574,"")</f>
        <v/>
      </c>
      <c r="B574" s="8">
        <f>IFERROR(Datos!B574,"")</f>
        <v/>
      </c>
      <c r="C574" s="8">
        <f>IFERROR(Datos!C574,"")</f>
        <v/>
      </c>
      <c r="D574" s="28">
        <f>IFERROR(IF(AND(ISNUMBER(B574),ISNUMBER(B573),B573&lt;&gt;0),B574/B573-1,""),"")</f>
        <v/>
      </c>
      <c r="E574" s="28">
        <f>IFERROR(IF(AND(ISNUMBER(C574),ISNUMBER(C573),C573&lt;&gt;0),C574/C573-1,""),"")</f>
        <v/>
      </c>
      <c r="F574" s="28">
        <f>IFERROR(D574-Dashboard!$B$4/252,"")</f>
        <v/>
      </c>
      <c r="G574" s="28">
        <f>IFERROR(E574-Dashboard!$B$4/252,"")</f>
        <v/>
      </c>
      <c r="H574" s="8">
        <f>IFERROR(IF(ISNUMBER(B574),MAX(B574,IFERROR(H573,B574)),""),"")</f>
        <v/>
      </c>
      <c r="I574" s="29">
        <f>IFERROR(IF(AND(ISNUMBER(B574),ISNUMBER(H574)),B574/H574-1,""),"")</f>
        <v/>
      </c>
      <c r="J574" s="8">
        <f>IFERROR(IF(ISNUMBER(C574),MAX(C574,IFERROR(J573,C574)),""),"")</f>
        <v/>
      </c>
      <c r="K574" s="29">
        <f>IFERROR(IF(AND(ISNUMBER(C574),ISNUMBER(J574)),C574/J574-1,""),"")</f>
        <v/>
      </c>
      <c r="L574" s="28">
        <f>IFERROR(IF(AND(ISNUMBER(D574),ISNUMBER(E574)),D574-E574,""),"")</f>
        <v/>
      </c>
    </row>
    <row r="575">
      <c r="A575" s="7">
        <f>IFERROR(Datos!A575,"")</f>
        <v/>
      </c>
      <c r="B575" s="8">
        <f>IFERROR(Datos!B575,"")</f>
        <v/>
      </c>
      <c r="C575" s="8">
        <f>IFERROR(Datos!C575,"")</f>
        <v/>
      </c>
      <c r="D575" s="28">
        <f>IFERROR(IF(AND(ISNUMBER(B575),ISNUMBER(B574),B574&lt;&gt;0),B575/B574-1,""),"")</f>
        <v/>
      </c>
      <c r="E575" s="28">
        <f>IFERROR(IF(AND(ISNUMBER(C575),ISNUMBER(C574),C574&lt;&gt;0),C575/C574-1,""),"")</f>
        <v/>
      </c>
      <c r="F575" s="28">
        <f>IFERROR(D575-Dashboard!$B$4/252,"")</f>
        <v/>
      </c>
      <c r="G575" s="28">
        <f>IFERROR(E575-Dashboard!$B$4/252,"")</f>
        <v/>
      </c>
      <c r="H575" s="8">
        <f>IFERROR(IF(ISNUMBER(B575),MAX(B575,IFERROR(H574,B575)),""),"")</f>
        <v/>
      </c>
      <c r="I575" s="29">
        <f>IFERROR(IF(AND(ISNUMBER(B575),ISNUMBER(H575)),B575/H575-1,""),"")</f>
        <v/>
      </c>
      <c r="J575" s="8">
        <f>IFERROR(IF(ISNUMBER(C575),MAX(C575,IFERROR(J574,C575)),""),"")</f>
        <v/>
      </c>
      <c r="K575" s="29">
        <f>IFERROR(IF(AND(ISNUMBER(C575),ISNUMBER(J575)),C575/J575-1,""),"")</f>
        <v/>
      </c>
      <c r="L575" s="28">
        <f>IFERROR(IF(AND(ISNUMBER(D575),ISNUMBER(E575)),D575-E575,""),"")</f>
        <v/>
      </c>
    </row>
    <row r="576">
      <c r="A576" s="7">
        <f>IFERROR(Datos!A576,"")</f>
        <v/>
      </c>
      <c r="B576" s="8">
        <f>IFERROR(Datos!B576,"")</f>
        <v/>
      </c>
      <c r="C576" s="8">
        <f>IFERROR(Datos!C576,"")</f>
        <v/>
      </c>
      <c r="D576" s="28">
        <f>IFERROR(IF(AND(ISNUMBER(B576),ISNUMBER(B575),B575&lt;&gt;0),B576/B575-1,""),"")</f>
        <v/>
      </c>
      <c r="E576" s="28">
        <f>IFERROR(IF(AND(ISNUMBER(C576),ISNUMBER(C575),C575&lt;&gt;0),C576/C575-1,""),"")</f>
        <v/>
      </c>
      <c r="F576" s="28">
        <f>IFERROR(D576-Dashboard!$B$4/252,"")</f>
        <v/>
      </c>
      <c r="G576" s="28">
        <f>IFERROR(E576-Dashboard!$B$4/252,"")</f>
        <v/>
      </c>
      <c r="H576" s="8">
        <f>IFERROR(IF(ISNUMBER(B576),MAX(B576,IFERROR(H575,B576)),""),"")</f>
        <v/>
      </c>
      <c r="I576" s="29">
        <f>IFERROR(IF(AND(ISNUMBER(B576),ISNUMBER(H576)),B576/H576-1,""),"")</f>
        <v/>
      </c>
      <c r="J576" s="8">
        <f>IFERROR(IF(ISNUMBER(C576),MAX(C576,IFERROR(J575,C576)),""),"")</f>
        <v/>
      </c>
      <c r="K576" s="29">
        <f>IFERROR(IF(AND(ISNUMBER(C576),ISNUMBER(J576)),C576/J576-1,""),"")</f>
        <v/>
      </c>
      <c r="L576" s="28">
        <f>IFERROR(IF(AND(ISNUMBER(D576),ISNUMBER(E576)),D576-E576,""),"")</f>
        <v/>
      </c>
    </row>
    <row r="577">
      <c r="A577" s="7">
        <f>IFERROR(Datos!A577,"")</f>
        <v/>
      </c>
      <c r="B577" s="8">
        <f>IFERROR(Datos!B577,"")</f>
        <v/>
      </c>
      <c r="C577" s="8">
        <f>IFERROR(Datos!C577,"")</f>
        <v/>
      </c>
      <c r="D577" s="28">
        <f>IFERROR(IF(AND(ISNUMBER(B577),ISNUMBER(B576),B576&lt;&gt;0),B577/B576-1,""),"")</f>
        <v/>
      </c>
      <c r="E577" s="28">
        <f>IFERROR(IF(AND(ISNUMBER(C577),ISNUMBER(C576),C576&lt;&gt;0),C577/C576-1,""),"")</f>
        <v/>
      </c>
      <c r="F577" s="28">
        <f>IFERROR(D577-Dashboard!$B$4/252,"")</f>
        <v/>
      </c>
      <c r="G577" s="28">
        <f>IFERROR(E577-Dashboard!$B$4/252,"")</f>
        <v/>
      </c>
      <c r="H577" s="8">
        <f>IFERROR(IF(ISNUMBER(B577),MAX(B577,IFERROR(H576,B577)),""),"")</f>
        <v/>
      </c>
      <c r="I577" s="29">
        <f>IFERROR(IF(AND(ISNUMBER(B577),ISNUMBER(H577)),B577/H577-1,""),"")</f>
        <v/>
      </c>
      <c r="J577" s="8">
        <f>IFERROR(IF(ISNUMBER(C577),MAX(C577,IFERROR(J576,C577)),""),"")</f>
        <v/>
      </c>
      <c r="K577" s="29">
        <f>IFERROR(IF(AND(ISNUMBER(C577),ISNUMBER(J577)),C577/J577-1,""),"")</f>
        <v/>
      </c>
      <c r="L577" s="28">
        <f>IFERROR(IF(AND(ISNUMBER(D577),ISNUMBER(E577)),D577-E577,""),"")</f>
        <v/>
      </c>
    </row>
    <row r="578">
      <c r="A578" s="7">
        <f>IFERROR(Datos!A578,"")</f>
        <v/>
      </c>
      <c r="B578" s="8">
        <f>IFERROR(Datos!B578,"")</f>
        <v/>
      </c>
      <c r="C578" s="8">
        <f>IFERROR(Datos!C578,"")</f>
        <v/>
      </c>
      <c r="D578" s="28">
        <f>IFERROR(IF(AND(ISNUMBER(B578),ISNUMBER(B577),B577&lt;&gt;0),B578/B577-1,""),"")</f>
        <v/>
      </c>
      <c r="E578" s="28">
        <f>IFERROR(IF(AND(ISNUMBER(C578),ISNUMBER(C577),C577&lt;&gt;0),C578/C577-1,""),"")</f>
        <v/>
      </c>
      <c r="F578" s="28">
        <f>IFERROR(D578-Dashboard!$B$4/252,"")</f>
        <v/>
      </c>
      <c r="G578" s="28">
        <f>IFERROR(E578-Dashboard!$B$4/252,"")</f>
        <v/>
      </c>
      <c r="H578" s="8">
        <f>IFERROR(IF(ISNUMBER(B578),MAX(B578,IFERROR(H577,B578)),""),"")</f>
        <v/>
      </c>
      <c r="I578" s="29">
        <f>IFERROR(IF(AND(ISNUMBER(B578),ISNUMBER(H578)),B578/H578-1,""),"")</f>
        <v/>
      </c>
      <c r="J578" s="8">
        <f>IFERROR(IF(ISNUMBER(C578),MAX(C578,IFERROR(J577,C578)),""),"")</f>
        <v/>
      </c>
      <c r="K578" s="29">
        <f>IFERROR(IF(AND(ISNUMBER(C578),ISNUMBER(J578)),C578/J578-1,""),"")</f>
        <v/>
      </c>
      <c r="L578" s="28">
        <f>IFERROR(IF(AND(ISNUMBER(D578),ISNUMBER(E578)),D578-E578,""),"")</f>
        <v/>
      </c>
    </row>
    <row r="579">
      <c r="A579" s="7">
        <f>IFERROR(Datos!A579,"")</f>
        <v/>
      </c>
      <c r="B579" s="8">
        <f>IFERROR(Datos!B579,"")</f>
        <v/>
      </c>
      <c r="C579" s="8">
        <f>IFERROR(Datos!C579,"")</f>
        <v/>
      </c>
      <c r="D579" s="28">
        <f>IFERROR(IF(AND(ISNUMBER(B579),ISNUMBER(B578),B578&lt;&gt;0),B579/B578-1,""),"")</f>
        <v/>
      </c>
      <c r="E579" s="28">
        <f>IFERROR(IF(AND(ISNUMBER(C579),ISNUMBER(C578),C578&lt;&gt;0),C579/C578-1,""),"")</f>
        <v/>
      </c>
      <c r="F579" s="28">
        <f>IFERROR(D579-Dashboard!$B$4/252,"")</f>
        <v/>
      </c>
      <c r="G579" s="28">
        <f>IFERROR(E579-Dashboard!$B$4/252,"")</f>
        <v/>
      </c>
      <c r="H579" s="8">
        <f>IFERROR(IF(ISNUMBER(B579),MAX(B579,IFERROR(H578,B579)),""),"")</f>
        <v/>
      </c>
      <c r="I579" s="29">
        <f>IFERROR(IF(AND(ISNUMBER(B579),ISNUMBER(H579)),B579/H579-1,""),"")</f>
        <v/>
      </c>
      <c r="J579" s="8">
        <f>IFERROR(IF(ISNUMBER(C579),MAX(C579,IFERROR(J578,C579)),""),"")</f>
        <v/>
      </c>
      <c r="K579" s="29">
        <f>IFERROR(IF(AND(ISNUMBER(C579),ISNUMBER(J579)),C579/J579-1,""),"")</f>
        <v/>
      </c>
      <c r="L579" s="28">
        <f>IFERROR(IF(AND(ISNUMBER(D579),ISNUMBER(E579)),D579-E579,""),"")</f>
        <v/>
      </c>
    </row>
    <row r="580">
      <c r="A580" s="7">
        <f>IFERROR(Datos!A580,"")</f>
        <v/>
      </c>
      <c r="B580" s="8">
        <f>IFERROR(Datos!B580,"")</f>
        <v/>
      </c>
      <c r="C580" s="8">
        <f>IFERROR(Datos!C580,"")</f>
        <v/>
      </c>
      <c r="D580" s="28">
        <f>IFERROR(IF(AND(ISNUMBER(B580),ISNUMBER(B579),B579&lt;&gt;0),B580/B579-1,""),"")</f>
        <v/>
      </c>
      <c r="E580" s="28">
        <f>IFERROR(IF(AND(ISNUMBER(C580),ISNUMBER(C579),C579&lt;&gt;0),C580/C579-1,""),"")</f>
        <v/>
      </c>
      <c r="F580" s="28">
        <f>IFERROR(D580-Dashboard!$B$4/252,"")</f>
        <v/>
      </c>
      <c r="G580" s="28">
        <f>IFERROR(E580-Dashboard!$B$4/252,"")</f>
        <v/>
      </c>
      <c r="H580" s="8">
        <f>IFERROR(IF(ISNUMBER(B580),MAX(B580,IFERROR(H579,B580)),""),"")</f>
        <v/>
      </c>
      <c r="I580" s="29">
        <f>IFERROR(IF(AND(ISNUMBER(B580),ISNUMBER(H580)),B580/H580-1,""),"")</f>
        <v/>
      </c>
      <c r="J580" s="8">
        <f>IFERROR(IF(ISNUMBER(C580),MAX(C580,IFERROR(J579,C580)),""),"")</f>
        <v/>
      </c>
      <c r="K580" s="29">
        <f>IFERROR(IF(AND(ISNUMBER(C580),ISNUMBER(J580)),C580/J580-1,""),"")</f>
        <v/>
      </c>
      <c r="L580" s="28">
        <f>IFERROR(IF(AND(ISNUMBER(D580),ISNUMBER(E580)),D580-E580,""),"")</f>
        <v/>
      </c>
    </row>
    <row r="581">
      <c r="A581" s="7">
        <f>IFERROR(Datos!A581,"")</f>
        <v/>
      </c>
      <c r="B581" s="8">
        <f>IFERROR(Datos!B581,"")</f>
        <v/>
      </c>
      <c r="C581" s="8">
        <f>IFERROR(Datos!C581,"")</f>
        <v/>
      </c>
      <c r="D581" s="28">
        <f>IFERROR(IF(AND(ISNUMBER(B581),ISNUMBER(B580),B580&lt;&gt;0),B581/B580-1,""),"")</f>
        <v/>
      </c>
      <c r="E581" s="28">
        <f>IFERROR(IF(AND(ISNUMBER(C581),ISNUMBER(C580),C580&lt;&gt;0),C581/C580-1,""),"")</f>
        <v/>
      </c>
      <c r="F581" s="28">
        <f>IFERROR(D581-Dashboard!$B$4/252,"")</f>
        <v/>
      </c>
      <c r="G581" s="28">
        <f>IFERROR(E581-Dashboard!$B$4/252,"")</f>
        <v/>
      </c>
      <c r="H581" s="8">
        <f>IFERROR(IF(ISNUMBER(B581),MAX(B581,IFERROR(H580,B581)),""),"")</f>
        <v/>
      </c>
      <c r="I581" s="29">
        <f>IFERROR(IF(AND(ISNUMBER(B581),ISNUMBER(H581)),B581/H581-1,""),"")</f>
        <v/>
      </c>
      <c r="J581" s="8">
        <f>IFERROR(IF(ISNUMBER(C581),MAX(C581,IFERROR(J580,C581)),""),"")</f>
        <v/>
      </c>
      <c r="K581" s="29">
        <f>IFERROR(IF(AND(ISNUMBER(C581),ISNUMBER(J581)),C581/J581-1,""),"")</f>
        <v/>
      </c>
      <c r="L581" s="28">
        <f>IFERROR(IF(AND(ISNUMBER(D581),ISNUMBER(E581)),D581-E581,""),"")</f>
        <v/>
      </c>
    </row>
    <row r="582">
      <c r="A582" s="7">
        <f>IFERROR(Datos!A582,"")</f>
        <v/>
      </c>
      <c r="B582" s="8">
        <f>IFERROR(Datos!B582,"")</f>
        <v/>
      </c>
      <c r="C582" s="8">
        <f>IFERROR(Datos!C582,"")</f>
        <v/>
      </c>
      <c r="D582" s="28">
        <f>IFERROR(IF(AND(ISNUMBER(B582),ISNUMBER(B581),B581&lt;&gt;0),B582/B581-1,""),"")</f>
        <v/>
      </c>
      <c r="E582" s="28">
        <f>IFERROR(IF(AND(ISNUMBER(C582),ISNUMBER(C581),C581&lt;&gt;0),C582/C581-1,""),"")</f>
        <v/>
      </c>
      <c r="F582" s="28">
        <f>IFERROR(D582-Dashboard!$B$4/252,"")</f>
        <v/>
      </c>
      <c r="G582" s="28">
        <f>IFERROR(E582-Dashboard!$B$4/252,"")</f>
        <v/>
      </c>
      <c r="H582" s="8">
        <f>IFERROR(IF(ISNUMBER(B582),MAX(B582,IFERROR(H581,B582)),""),"")</f>
        <v/>
      </c>
      <c r="I582" s="29">
        <f>IFERROR(IF(AND(ISNUMBER(B582),ISNUMBER(H582)),B582/H582-1,""),"")</f>
        <v/>
      </c>
      <c r="J582" s="8">
        <f>IFERROR(IF(ISNUMBER(C582),MAX(C582,IFERROR(J581,C582)),""),"")</f>
        <v/>
      </c>
      <c r="K582" s="29">
        <f>IFERROR(IF(AND(ISNUMBER(C582),ISNUMBER(J582)),C582/J582-1,""),"")</f>
        <v/>
      </c>
      <c r="L582" s="28">
        <f>IFERROR(IF(AND(ISNUMBER(D582),ISNUMBER(E582)),D582-E582,""),"")</f>
        <v/>
      </c>
    </row>
    <row r="583">
      <c r="A583" s="7">
        <f>IFERROR(Datos!A583,"")</f>
        <v/>
      </c>
      <c r="B583" s="8">
        <f>IFERROR(Datos!B583,"")</f>
        <v/>
      </c>
      <c r="C583" s="8">
        <f>IFERROR(Datos!C583,"")</f>
        <v/>
      </c>
      <c r="D583" s="28">
        <f>IFERROR(IF(AND(ISNUMBER(B583),ISNUMBER(B582),B582&lt;&gt;0),B583/B582-1,""),"")</f>
        <v/>
      </c>
      <c r="E583" s="28">
        <f>IFERROR(IF(AND(ISNUMBER(C583),ISNUMBER(C582),C582&lt;&gt;0),C583/C582-1,""),"")</f>
        <v/>
      </c>
      <c r="F583" s="28">
        <f>IFERROR(D583-Dashboard!$B$4/252,"")</f>
        <v/>
      </c>
      <c r="G583" s="28">
        <f>IFERROR(E583-Dashboard!$B$4/252,"")</f>
        <v/>
      </c>
      <c r="H583" s="8">
        <f>IFERROR(IF(ISNUMBER(B583),MAX(B583,IFERROR(H582,B583)),""),"")</f>
        <v/>
      </c>
      <c r="I583" s="29">
        <f>IFERROR(IF(AND(ISNUMBER(B583),ISNUMBER(H583)),B583/H583-1,""),"")</f>
        <v/>
      </c>
      <c r="J583" s="8">
        <f>IFERROR(IF(ISNUMBER(C583),MAX(C583,IFERROR(J582,C583)),""),"")</f>
        <v/>
      </c>
      <c r="K583" s="29">
        <f>IFERROR(IF(AND(ISNUMBER(C583),ISNUMBER(J583)),C583/J583-1,""),"")</f>
        <v/>
      </c>
      <c r="L583" s="28">
        <f>IFERROR(IF(AND(ISNUMBER(D583),ISNUMBER(E583)),D583-E583,""),"")</f>
        <v/>
      </c>
    </row>
    <row r="584">
      <c r="A584" s="7">
        <f>IFERROR(Datos!A584,"")</f>
        <v/>
      </c>
      <c r="B584" s="8">
        <f>IFERROR(Datos!B584,"")</f>
        <v/>
      </c>
      <c r="C584" s="8">
        <f>IFERROR(Datos!C584,"")</f>
        <v/>
      </c>
      <c r="D584" s="28">
        <f>IFERROR(IF(AND(ISNUMBER(B584),ISNUMBER(B583),B583&lt;&gt;0),B584/B583-1,""),"")</f>
        <v/>
      </c>
      <c r="E584" s="28">
        <f>IFERROR(IF(AND(ISNUMBER(C584),ISNUMBER(C583),C583&lt;&gt;0),C584/C583-1,""),"")</f>
        <v/>
      </c>
      <c r="F584" s="28">
        <f>IFERROR(D584-Dashboard!$B$4/252,"")</f>
        <v/>
      </c>
      <c r="G584" s="28">
        <f>IFERROR(E584-Dashboard!$B$4/252,"")</f>
        <v/>
      </c>
      <c r="H584" s="8">
        <f>IFERROR(IF(ISNUMBER(B584),MAX(B584,IFERROR(H583,B584)),""),"")</f>
        <v/>
      </c>
      <c r="I584" s="29">
        <f>IFERROR(IF(AND(ISNUMBER(B584),ISNUMBER(H584)),B584/H584-1,""),"")</f>
        <v/>
      </c>
      <c r="J584" s="8">
        <f>IFERROR(IF(ISNUMBER(C584),MAX(C584,IFERROR(J583,C584)),""),"")</f>
        <v/>
      </c>
      <c r="K584" s="29">
        <f>IFERROR(IF(AND(ISNUMBER(C584),ISNUMBER(J584)),C584/J584-1,""),"")</f>
        <v/>
      </c>
      <c r="L584" s="28">
        <f>IFERROR(IF(AND(ISNUMBER(D584),ISNUMBER(E584)),D584-E584,""),"")</f>
        <v/>
      </c>
    </row>
    <row r="585">
      <c r="A585" s="7">
        <f>IFERROR(Datos!A585,"")</f>
        <v/>
      </c>
      <c r="B585" s="8">
        <f>IFERROR(Datos!B585,"")</f>
        <v/>
      </c>
      <c r="C585" s="8">
        <f>IFERROR(Datos!C585,"")</f>
        <v/>
      </c>
      <c r="D585" s="28">
        <f>IFERROR(IF(AND(ISNUMBER(B585),ISNUMBER(B584),B584&lt;&gt;0),B585/B584-1,""),"")</f>
        <v/>
      </c>
      <c r="E585" s="28">
        <f>IFERROR(IF(AND(ISNUMBER(C585),ISNUMBER(C584),C584&lt;&gt;0),C585/C584-1,""),"")</f>
        <v/>
      </c>
      <c r="F585" s="28">
        <f>IFERROR(D585-Dashboard!$B$4/252,"")</f>
        <v/>
      </c>
      <c r="G585" s="28">
        <f>IFERROR(E585-Dashboard!$B$4/252,"")</f>
        <v/>
      </c>
      <c r="H585" s="8">
        <f>IFERROR(IF(ISNUMBER(B585),MAX(B585,IFERROR(H584,B585)),""),"")</f>
        <v/>
      </c>
      <c r="I585" s="29">
        <f>IFERROR(IF(AND(ISNUMBER(B585),ISNUMBER(H585)),B585/H585-1,""),"")</f>
        <v/>
      </c>
      <c r="J585" s="8">
        <f>IFERROR(IF(ISNUMBER(C585),MAX(C585,IFERROR(J584,C585)),""),"")</f>
        <v/>
      </c>
      <c r="K585" s="29">
        <f>IFERROR(IF(AND(ISNUMBER(C585),ISNUMBER(J585)),C585/J585-1,""),"")</f>
        <v/>
      </c>
      <c r="L585" s="28">
        <f>IFERROR(IF(AND(ISNUMBER(D585),ISNUMBER(E585)),D585-E585,""),"")</f>
        <v/>
      </c>
    </row>
    <row r="586">
      <c r="A586" s="7">
        <f>IFERROR(Datos!A586,"")</f>
        <v/>
      </c>
      <c r="B586" s="8">
        <f>IFERROR(Datos!B586,"")</f>
        <v/>
      </c>
      <c r="C586" s="8">
        <f>IFERROR(Datos!C586,"")</f>
        <v/>
      </c>
      <c r="D586" s="28">
        <f>IFERROR(IF(AND(ISNUMBER(B586),ISNUMBER(B585),B585&lt;&gt;0),B586/B585-1,""),"")</f>
        <v/>
      </c>
      <c r="E586" s="28">
        <f>IFERROR(IF(AND(ISNUMBER(C586),ISNUMBER(C585),C585&lt;&gt;0),C586/C585-1,""),"")</f>
        <v/>
      </c>
      <c r="F586" s="28">
        <f>IFERROR(D586-Dashboard!$B$4/252,"")</f>
        <v/>
      </c>
      <c r="G586" s="28">
        <f>IFERROR(E586-Dashboard!$B$4/252,"")</f>
        <v/>
      </c>
      <c r="H586" s="8">
        <f>IFERROR(IF(ISNUMBER(B586),MAX(B586,IFERROR(H585,B586)),""),"")</f>
        <v/>
      </c>
      <c r="I586" s="29">
        <f>IFERROR(IF(AND(ISNUMBER(B586),ISNUMBER(H586)),B586/H586-1,""),"")</f>
        <v/>
      </c>
      <c r="J586" s="8">
        <f>IFERROR(IF(ISNUMBER(C586),MAX(C586,IFERROR(J585,C586)),""),"")</f>
        <v/>
      </c>
      <c r="K586" s="29">
        <f>IFERROR(IF(AND(ISNUMBER(C586),ISNUMBER(J586)),C586/J586-1,""),"")</f>
        <v/>
      </c>
      <c r="L586" s="28">
        <f>IFERROR(IF(AND(ISNUMBER(D586),ISNUMBER(E586)),D586-E586,""),"")</f>
        <v/>
      </c>
    </row>
    <row r="587">
      <c r="A587" s="7">
        <f>IFERROR(Datos!A587,"")</f>
        <v/>
      </c>
      <c r="B587" s="8">
        <f>IFERROR(Datos!B587,"")</f>
        <v/>
      </c>
      <c r="C587" s="8">
        <f>IFERROR(Datos!C587,"")</f>
        <v/>
      </c>
      <c r="D587" s="28">
        <f>IFERROR(IF(AND(ISNUMBER(B587),ISNUMBER(B586),B586&lt;&gt;0),B587/B586-1,""),"")</f>
        <v/>
      </c>
      <c r="E587" s="28">
        <f>IFERROR(IF(AND(ISNUMBER(C587),ISNUMBER(C586),C586&lt;&gt;0),C587/C586-1,""),"")</f>
        <v/>
      </c>
      <c r="F587" s="28">
        <f>IFERROR(D587-Dashboard!$B$4/252,"")</f>
        <v/>
      </c>
      <c r="G587" s="28">
        <f>IFERROR(E587-Dashboard!$B$4/252,"")</f>
        <v/>
      </c>
      <c r="H587" s="8">
        <f>IFERROR(IF(ISNUMBER(B587),MAX(B587,IFERROR(H586,B587)),""),"")</f>
        <v/>
      </c>
      <c r="I587" s="29">
        <f>IFERROR(IF(AND(ISNUMBER(B587),ISNUMBER(H587)),B587/H587-1,""),"")</f>
        <v/>
      </c>
      <c r="J587" s="8">
        <f>IFERROR(IF(ISNUMBER(C587),MAX(C587,IFERROR(J586,C587)),""),"")</f>
        <v/>
      </c>
      <c r="K587" s="29">
        <f>IFERROR(IF(AND(ISNUMBER(C587),ISNUMBER(J587)),C587/J587-1,""),"")</f>
        <v/>
      </c>
      <c r="L587" s="28">
        <f>IFERROR(IF(AND(ISNUMBER(D587),ISNUMBER(E587)),D587-E587,""),"")</f>
        <v/>
      </c>
    </row>
    <row r="588">
      <c r="A588" s="7">
        <f>IFERROR(Datos!A588,"")</f>
        <v/>
      </c>
      <c r="B588" s="8">
        <f>IFERROR(Datos!B588,"")</f>
        <v/>
      </c>
      <c r="C588" s="8">
        <f>IFERROR(Datos!C588,"")</f>
        <v/>
      </c>
      <c r="D588" s="28">
        <f>IFERROR(IF(AND(ISNUMBER(B588),ISNUMBER(B587),B587&lt;&gt;0),B588/B587-1,""),"")</f>
        <v/>
      </c>
      <c r="E588" s="28">
        <f>IFERROR(IF(AND(ISNUMBER(C588),ISNUMBER(C587),C587&lt;&gt;0),C588/C587-1,""),"")</f>
        <v/>
      </c>
      <c r="F588" s="28">
        <f>IFERROR(D588-Dashboard!$B$4/252,"")</f>
        <v/>
      </c>
      <c r="G588" s="28">
        <f>IFERROR(E588-Dashboard!$B$4/252,"")</f>
        <v/>
      </c>
      <c r="H588" s="8">
        <f>IFERROR(IF(ISNUMBER(B588),MAX(B588,IFERROR(H587,B588)),""),"")</f>
        <v/>
      </c>
      <c r="I588" s="29">
        <f>IFERROR(IF(AND(ISNUMBER(B588),ISNUMBER(H588)),B588/H588-1,""),"")</f>
        <v/>
      </c>
      <c r="J588" s="8">
        <f>IFERROR(IF(ISNUMBER(C588),MAX(C588,IFERROR(J587,C588)),""),"")</f>
        <v/>
      </c>
      <c r="K588" s="29">
        <f>IFERROR(IF(AND(ISNUMBER(C588),ISNUMBER(J588)),C588/J588-1,""),"")</f>
        <v/>
      </c>
      <c r="L588" s="28">
        <f>IFERROR(IF(AND(ISNUMBER(D588),ISNUMBER(E588)),D588-E588,""),"")</f>
        <v/>
      </c>
    </row>
    <row r="589">
      <c r="A589" s="7">
        <f>IFERROR(Datos!A589,"")</f>
        <v/>
      </c>
      <c r="B589" s="8">
        <f>IFERROR(Datos!B589,"")</f>
        <v/>
      </c>
      <c r="C589" s="8">
        <f>IFERROR(Datos!C589,"")</f>
        <v/>
      </c>
      <c r="D589" s="28">
        <f>IFERROR(IF(AND(ISNUMBER(B589),ISNUMBER(B588),B588&lt;&gt;0),B589/B588-1,""),"")</f>
        <v/>
      </c>
      <c r="E589" s="28">
        <f>IFERROR(IF(AND(ISNUMBER(C589),ISNUMBER(C588),C588&lt;&gt;0),C589/C588-1,""),"")</f>
        <v/>
      </c>
      <c r="F589" s="28">
        <f>IFERROR(D589-Dashboard!$B$4/252,"")</f>
        <v/>
      </c>
      <c r="G589" s="28">
        <f>IFERROR(E589-Dashboard!$B$4/252,"")</f>
        <v/>
      </c>
      <c r="H589" s="8">
        <f>IFERROR(IF(ISNUMBER(B589),MAX(B589,IFERROR(H588,B589)),""),"")</f>
        <v/>
      </c>
      <c r="I589" s="29">
        <f>IFERROR(IF(AND(ISNUMBER(B589),ISNUMBER(H589)),B589/H589-1,""),"")</f>
        <v/>
      </c>
      <c r="J589" s="8">
        <f>IFERROR(IF(ISNUMBER(C589),MAX(C589,IFERROR(J588,C589)),""),"")</f>
        <v/>
      </c>
      <c r="K589" s="29">
        <f>IFERROR(IF(AND(ISNUMBER(C589),ISNUMBER(J589)),C589/J589-1,""),"")</f>
        <v/>
      </c>
      <c r="L589" s="28">
        <f>IFERROR(IF(AND(ISNUMBER(D589),ISNUMBER(E589)),D589-E589,""),"")</f>
        <v/>
      </c>
    </row>
    <row r="590">
      <c r="A590" s="7">
        <f>IFERROR(Datos!A590,"")</f>
        <v/>
      </c>
      <c r="B590" s="8">
        <f>IFERROR(Datos!B590,"")</f>
        <v/>
      </c>
      <c r="C590" s="8">
        <f>IFERROR(Datos!C590,"")</f>
        <v/>
      </c>
      <c r="D590" s="28">
        <f>IFERROR(IF(AND(ISNUMBER(B590),ISNUMBER(B589),B589&lt;&gt;0),B590/B589-1,""),"")</f>
        <v/>
      </c>
      <c r="E590" s="28">
        <f>IFERROR(IF(AND(ISNUMBER(C590),ISNUMBER(C589),C589&lt;&gt;0),C590/C589-1,""),"")</f>
        <v/>
      </c>
      <c r="F590" s="28">
        <f>IFERROR(D590-Dashboard!$B$4/252,"")</f>
        <v/>
      </c>
      <c r="G590" s="28">
        <f>IFERROR(E590-Dashboard!$B$4/252,"")</f>
        <v/>
      </c>
      <c r="H590" s="8">
        <f>IFERROR(IF(ISNUMBER(B590),MAX(B590,IFERROR(H589,B590)),""),"")</f>
        <v/>
      </c>
      <c r="I590" s="29">
        <f>IFERROR(IF(AND(ISNUMBER(B590),ISNUMBER(H590)),B590/H590-1,""),"")</f>
        <v/>
      </c>
      <c r="J590" s="8">
        <f>IFERROR(IF(ISNUMBER(C590),MAX(C590,IFERROR(J589,C590)),""),"")</f>
        <v/>
      </c>
      <c r="K590" s="29">
        <f>IFERROR(IF(AND(ISNUMBER(C590),ISNUMBER(J590)),C590/J590-1,""),"")</f>
        <v/>
      </c>
      <c r="L590" s="28">
        <f>IFERROR(IF(AND(ISNUMBER(D590),ISNUMBER(E590)),D590-E590,""),"")</f>
        <v/>
      </c>
    </row>
    <row r="591">
      <c r="A591" s="7">
        <f>IFERROR(Datos!A591,"")</f>
        <v/>
      </c>
      <c r="B591" s="8">
        <f>IFERROR(Datos!B591,"")</f>
        <v/>
      </c>
      <c r="C591" s="8">
        <f>IFERROR(Datos!C591,"")</f>
        <v/>
      </c>
      <c r="D591" s="28">
        <f>IFERROR(IF(AND(ISNUMBER(B591),ISNUMBER(B590),B590&lt;&gt;0),B591/B590-1,""),"")</f>
        <v/>
      </c>
      <c r="E591" s="28">
        <f>IFERROR(IF(AND(ISNUMBER(C591),ISNUMBER(C590),C590&lt;&gt;0),C591/C590-1,""),"")</f>
        <v/>
      </c>
      <c r="F591" s="28">
        <f>IFERROR(D591-Dashboard!$B$4/252,"")</f>
        <v/>
      </c>
      <c r="G591" s="28">
        <f>IFERROR(E591-Dashboard!$B$4/252,"")</f>
        <v/>
      </c>
      <c r="H591" s="8">
        <f>IFERROR(IF(ISNUMBER(B591),MAX(B591,IFERROR(H590,B591)),""),"")</f>
        <v/>
      </c>
      <c r="I591" s="29">
        <f>IFERROR(IF(AND(ISNUMBER(B591),ISNUMBER(H591)),B591/H591-1,""),"")</f>
        <v/>
      </c>
      <c r="J591" s="8">
        <f>IFERROR(IF(ISNUMBER(C591),MAX(C591,IFERROR(J590,C591)),""),"")</f>
        <v/>
      </c>
      <c r="K591" s="29">
        <f>IFERROR(IF(AND(ISNUMBER(C591),ISNUMBER(J591)),C591/J591-1,""),"")</f>
        <v/>
      </c>
      <c r="L591" s="28">
        <f>IFERROR(IF(AND(ISNUMBER(D591),ISNUMBER(E591)),D591-E591,""),"")</f>
        <v/>
      </c>
    </row>
    <row r="592">
      <c r="A592" s="7">
        <f>IFERROR(Datos!A592,"")</f>
        <v/>
      </c>
      <c r="B592" s="8">
        <f>IFERROR(Datos!B592,"")</f>
        <v/>
      </c>
      <c r="C592" s="8">
        <f>IFERROR(Datos!C592,"")</f>
        <v/>
      </c>
      <c r="D592" s="28">
        <f>IFERROR(IF(AND(ISNUMBER(B592),ISNUMBER(B591),B591&lt;&gt;0),B592/B591-1,""),"")</f>
        <v/>
      </c>
      <c r="E592" s="28">
        <f>IFERROR(IF(AND(ISNUMBER(C592),ISNUMBER(C591),C591&lt;&gt;0),C592/C591-1,""),"")</f>
        <v/>
      </c>
      <c r="F592" s="28">
        <f>IFERROR(D592-Dashboard!$B$4/252,"")</f>
        <v/>
      </c>
      <c r="G592" s="28">
        <f>IFERROR(E592-Dashboard!$B$4/252,"")</f>
        <v/>
      </c>
      <c r="H592" s="8">
        <f>IFERROR(IF(ISNUMBER(B592),MAX(B592,IFERROR(H591,B592)),""),"")</f>
        <v/>
      </c>
      <c r="I592" s="29">
        <f>IFERROR(IF(AND(ISNUMBER(B592),ISNUMBER(H592)),B592/H592-1,""),"")</f>
        <v/>
      </c>
      <c r="J592" s="8">
        <f>IFERROR(IF(ISNUMBER(C592),MAX(C592,IFERROR(J591,C592)),""),"")</f>
        <v/>
      </c>
      <c r="K592" s="29">
        <f>IFERROR(IF(AND(ISNUMBER(C592),ISNUMBER(J592)),C592/J592-1,""),"")</f>
        <v/>
      </c>
      <c r="L592" s="28">
        <f>IFERROR(IF(AND(ISNUMBER(D592),ISNUMBER(E592)),D592-E592,""),"")</f>
        <v/>
      </c>
    </row>
    <row r="593">
      <c r="A593" s="7">
        <f>IFERROR(Datos!A593,"")</f>
        <v/>
      </c>
      <c r="B593" s="8">
        <f>IFERROR(Datos!B593,"")</f>
        <v/>
      </c>
      <c r="C593" s="8">
        <f>IFERROR(Datos!C593,"")</f>
        <v/>
      </c>
      <c r="D593" s="28">
        <f>IFERROR(IF(AND(ISNUMBER(B593),ISNUMBER(B592),B592&lt;&gt;0),B593/B592-1,""),"")</f>
        <v/>
      </c>
      <c r="E593" s="28">
        <f>IFERROR(IF(AND(ISNUMBER(C593),ISNUMBER(C592),C592&lt;&gt;0),C593/C592-1,""),"")</f>
        <v/>
      </c>
      <c r="F593" s="28">
        <f>IFERROR(D593-Dashboard!$B$4/252,"")</f>
        <v/>
      </c>
      <c r="G593" s="28">
        <f>IFERROR(E593-Dashboard!$B$4/252,"")</f>
        <v/>
      </c>
      <c r="H593" s="8">
        <f>IFERROR(IF(ISNUMBER(B593),MAX(B593,IFERROR(H592,B593)),""),"")</f>
        <v/>
      </c>
      <c r="I593" s="29">
        <f>IFERROR(IF(AND(ISNUMBER(B593),ISNUMBER(H593)),B593/H593-1,""),"")</f>
        <v/>
      </c>
      <c r="J593" s="8">
        <f>IFERROR(IF(ISNUMBER(C593),MAX(C593,IFERROR(J592,C593)),""),"")</f>
        <v/>
      </c>
      <c r="K593" s="29">
        <f>IFERROR(IF(AND(ISNUMBER(C593),ISNUMBER(J593)),C593/J593-1,""),"")</f>
        <v/>
      </c>
      <c r="L593" s="28">
        <f>IFERROR(IF(AND(ISNUMBER(D593),ISNUMBER(E593)),D593-E593,""),"")</f>
        <v/>
      </c>
    </row>
    <row r="594">
      <c r="A594" s="7">
        <f>IFERROR(Datos!A594,"")</f>
        <v/>
      </c>
      <c r="B594" s="8">
        <f>IFERROR(Datos!B594,"")</f>
        <v/>
      </c>
      <c r="C594" s="8">
        <f>IFERROR(Datos!C594,"")</f>
        <v/>
      </c>
      <c r="D594" s="28">
        <f>IFERROR(IF(AND(ISNUMBER(B594),ISNUMBER(B593),B593&lt;&gt;0),B594/B593-1,""),"")</f>
        <v/>
      </c>
      <c r="E594" s="28">
        <f>IFERROR(IF(AND(ISNUMBER(C594),ISNUMBER(C593),C593&lt;&gt;0),C594/C593-1,""),"")</f>
        <v/>
      </c>
      <c r="F594" s="28">
        <f>IFERROR(D594-Dashboard!$B$4/252,"")</f>
        <v/>
      </c>
      <c r="G594" s="28">
        <f>IFERROR(E594-Dashboard!$B$4/252,"")</f>
        <v/>
      </c>
      <c r="H594" s="8">
        <f>IFERROR(IF(ISNUMBER(B594),MAX(B594,IFERROR(H593,B594)),""),"")</f>
        <v/>
      </c>
      <c r="I594" s="29">
        <f>IFERROR(IF(AND(ISNUMBER(B594),ISNUMBER(H594)),B594/H594-1,""),"")</f>
        <v/>
      </c>
      <c r="J594" s="8">
        <f>IFERROR(IF(ISNUMBER(C594),MAX(C594,IFERROR(J593,C594)),""),"")</f>
        <v/>
      </c>
      <c r="K594" s="29">
        <f>IFERROR(IF(AND(ISNUMBER(C594),ISNUMBER(J594)),C594/J594-1,""),"")</f>
        <v/>
      </c>
      <c r="L594" s="28">
        <f>IFERROR(IF(AND(ISNUMBER(D594),ISNUMBER(E594)),D594-E594,""),"")</f>
        <v/>
      </c>
    </row>
    <row r="595">
      <c r="A595" s="7">
        <f>IFERROR(Datos!A595,"")</f>
        <v/>
      </c>
      <c r="B595" s="8">
        <f>IFERROR(Datos!B595,"")</f>
        <v/>
      </c>
      <c r="C595" s="8">
        <f>IFERROR(Datos!C595,"")</f>
        <v/>
      </c>
      <c r="D595" s="28">
        <f>IFERROR(IF(AND(ISNUMBER(B595),ISNUMBER(B594),B594&lt;&gt;0),B595/B594-1,""),"")</f>
        <v/>
      </c>
      <c r="E595" s="28">
        <f>IFERROR(IF(AND(ISNUMBER(C595),ISNUMBER(C594),C594&lt;&gt;0),C595/C594-1,""),"")</f>
        <v/>
      </c>
      <c r="F595" s="28">
        <f>IFERROR(D595-Dashboard!$B$4/252,"")</f>
        <v/>
      </c>
      <c r="G595" s="28">
        <f>IFERROR(E595-Dashboard!$B$4/252,"")</f>
        <v/>
      </c>
      <c r="H595" s="8">
        <f>IFERROR(IF(ISNUMBER(B595),MAX(B595,IFERROR(H594,B595)),""),"")</f>
        <v/>
      </c>
      <c r="I595" s="29">
        <f>IFERROR(IF(AND(ISNUMBER(B595),ISNUMBER(H595)),B595/H595-1,""),"")</f>
        <v/>
      </c>
      <c r="J595" s="8">
        <f>IFERROR(IF(ISNUMBER(C595),MAX(C595,IFERROR(J594,C595)),""),"")</f>
        <v/>
      </c>
      <c r="K595" s="29">
        <f>IFERROR(IF(AND(ISNUMBER(C595),ISNUMBER(J595)),C595/J595-1,""),"")</f>
        <v/>
      </c>
      <c r="L595" s="28">
        <f>IFERROR(IF(AND(ISNUMBER(D595),ISNUMBER(E595)),D595-E595,""),"")</f>
        <v/>
      </c>
    </row>
    <row r="596">
      <c r="A596" s="7">
        <f>IFERROR(Datos!A596,"")</f>
        <v/>
      </c>
      <c r="B596" s="8">
        <f>IFERROR(Datos!B596,"")</f>
        <v/>
      </c>
      <c r="C596" s="8">
        <f>IFERROR(Datos!C596,"")</f>
        <v/>
      </c>
      <c r="D596" s="28">
        <f>IFERROR(IF(AND(ISNUMBER(B596),ISNUMBER(B595),B595&lt;&gt;0),B596/B595-1,""),"")</f>
        <v/>
      </c>
      <c r="E596" s="28">
        <f>IFERROR(IF(AND(ISNUMBER(C596),ISNUMBER(C595),C595&lt;&gt;0),C596/C595-1,""),"")</f>
        <v/>
      </c>
      <c r="F596" s="28">
        <f>IFERROR(D596-Dashboard!$B$4/252,"")</f>
        <v/>
      </c>
      <c r="G596" s="28">
        <f>IFERROR(E596-Dashboard!$B$4/252,"")</f>
        <v/>
      </c>
      <c r="H596" s="8">
        <f>IFERROR(IF(ISNUMBER(B596),MAX(B596,IFERROR(H595,B596)),""),"")</f>
        <v/>
      </c>
      <c r="I596" s="29">
        <f>IFERROR(IF(AND(ISNUMBER(B596),ISNUMBER(H596)),B596/H596-1,""),"")</f>
        <v/>
      </c>
      <c r="J596" s="8">
        <f>IFERROR(IF(ISNUMBER(C596),MAX(C596,IFERROR(J595,C596)),""),"")</f>
        <v/>
      </c>
      <c r="K596" s="29">
        <f>IFERROR(IF(AND(ISNUMBER(C596),ISNUMBER(J596)),C596/J596-1,""),"")</f>
        <v/>
      </c>
      <c r="L596" s="28">
        <f>IFERROR(IF(AND(ISNUMBER(D596),ISNUMBER(E596)),D596-E596,""),"")</f>
        <v/>
      </c>
    </row>
    <row r="597">
      <c r="A597" s="7">
        <f>IFERROR(Datos!A597,"")</f>
        <v/>
      </c>
      <c r="B597" s="8">
        <f>IFERROR(Datos!B597,"")</f>
        <v/>
      </c>
      <c r="C597" s="8">
        <f>IFERROR(Datos!C597,"")</f>
        <v/>
      </c>
      <c r="D597" s="28">
        <f>IFERROR(IF(AND(ISNUMBER(B597),ISNUMBER(B596),B596&lt;&gt;0),B597/B596-1,""),"")</f>
        <v/>
      </c>
      <c r="E597" s="28">
        <f>IFERROR(IF(AND(ISNUMBER(C597),ISNUMBER(C596),C596&lt;&gt;0),C597/C596-1,""),"")</f>
        <v/>
      </c>
      <c r="F597" s="28">
        <f>IFERROR(D597-Dashboard!$B$4/252,"")</f>
        <v/>
      </c>
      <c r="G597" s="28">
        <f>IFERROR(E597-Dashboard!$B$4/252,"")</f>
        <v/>
      </c>
      <c r="H597" s="8">
        <f>IFERROR(IF(ISNUMBER(B597),MAX(B597,IFERROR(H596,B597)),""),"")</f>
        <v/>
      </c>
      <c r="I597" s="29">
        <f>IFERROR(IF(AND(ISNUMBER(B597),ISNUMBER(H597)),B597/H597-1,""),"")</f>
        <v/>
      </c>
      <c r="J597" s="8">
        <f>IFERROR(IF(ISNUMBER(C597),MAX(C597,IFERROR(J596,C597)),""),"")</f>
        <v/>
      </c>
      <c r="K597" s="29">
        <f>IFERROR(IF(AND(ISNUMBER(C597),ISNUMBER(J597)),C597/J597-1,""),"")</f>
        <v/>
      </c>
      <c r="L597" s="28">
        <f>IFERROR(IF(AND(ISNUMBER(D597),ISNUMBER(E597)),D597-E597,""),"")</f>
        <v/>
      </c>
    </row>
    <row r="598">
      <c r="A598" s="7">
        <f>IFERROR(Datos!A598,"")</f>
        <v/>
      </c>
      <c r="B598" s="8">
        <f>IFERROR(Datos!B598,"")</f>
        <v/>
      </c>
      <c r="C598" s="8">
        <f>IFERROR(Datos!C598,"")</f>
        <v/>
      </c>
      <c r="D598" s="28">
        <f>IFERROR(IF(AND(ISNUMBER(B598),ISNUMBER(B597),B597&lt;&gt;0),B598/B597-1,""),"")</f>
        <v/>
      </c>
      <c r="E598" s="28">
        <f>IFERROR(IF(AND(ISNUMBER(C598),ISNUMBER(C597),C597&lt;&gt;0),C598/C597-1,""),"")</f>
        <v/>
      </c>
      <c r="F598" s="28">
        <f>IFERROR(D598-Dashboard!$B$4/252,"")</f>
        <v/>
      </c>
      <c r="G598" s="28">
        <f>IFERROR(E598-Dashboard!$B$4/252,"")</f>
        <v/>
      </c>
      <c r="H598" s="8">
        <f>IFERROR(IF(ISNUMBER(B598),MAX(B598,IFERROR(H597,B598)),""),"")</f>
        <v/>
      </c>
      <c r="I598" s="29">
        <f>IFERROR(IF(AND(ISNUMBER(B598),ISNUMBER(H598)),B598/H598-1,""),"")</f>
        <v/>
      </c>
      <c r="J598" s="8">
        <f>IFERROR(IF(ISNUMBER(C598),MAX(C598,IFERROR(J597,C598)),""),"")</f>
        <v/>
      </c>
      <c r="K598" s="29">
        <f>IFERROR(IF(AND(ISNUMBER(C598),ISNUMBER(J598)),C598/J598-1,""),"")</f>
        <v/>
      </c>
      <c r="L598" s="28">
        <f>IFERROR(IF(AND(ISNUMBER(D598),ISNUMBER(E598)),D598-E598,""),"")</f>
        <v/>
      </c>
    </row>
    <row r="599">
      <c r="A599" s="7">
        <f>IFERROR(Datos!A599,"")</f>
        <v/>
      </c>
      <c r="B599" s="8">
        <f>IFERROR(Datos!B599,"")</f>
        <v/>
      </c>
      <c r="C599" s="8">
        <f>IFERROR(Datos!C599,"")</f>
        <v/>
      </c>
      <c r="D599" s="28">
        <f>IFERROR(IF(AND(ISNUMBER(B599),ISNUMBER(B598),B598&lt;&gt;0),B599/B598-1,""),"")</f>
        <v/>
      </c>
      <c r="E599" s="28">
        <f>IFERROR(IF(AND(ISNUMBER(C599),ISNUMBER(C598),C598&lt;&gt;0),C599/C598-1,""),"")</f>
        <v/>
      </c>
      <c r="F599" s="28">
        <f>IFERROR(D599-Dashboard!$B$4/252,"")</f>
        <v/>
      </c>
      <c r="G599" s="28">
        <f>IFERROR(E599-Dashboard!$B$4/252,"")</f>
        <v/>
      </c>
      <c r="H599" s="8">
        <f>IFERROR(IF(ISNUMBER(B599),MAX(B599,IFERROR(H598,B599)),""),"")</f>
        <v/>
      </c>
      <c r="I599" s="29">
        <f>IFERROR(IF(AND(ISNUMBER(B599),ISNUMBER(H599)),B599/H599-1,""),"")</f>
        <v/>
      </c>
      <c r="J599" s="8">
        <f>IFERROR(IF(ISNUMBER(C599),MAX(C599,IFERROR(J598,C599)),""),"")</f>
        <v/>
      </c>
      <c r="K599" s="29">
        <f>IFERROR(IF(AND(ISNUMBER(C599),ISNUMBER(J599)),C599/J599-1,""),"")</f>
        <v/>
      </c>
      <c r="L599" s="28">
        <f>IFERROR(IF(AND(ISNUMBER(D599),ISNUMBER(E599)),D599-E599,""),"")</f>
        <v/>
      </c>
    </row>
    <row r="600">
      <c r="A600" s="7">
        <f>IFERROR(Datos!A600,"")</f>
        <v/>
      </c>
      <c r="B600" s="8">
        <f>IFERROR(Datos!B600,"")</f>
        <v/>
      </c>
      <c r="C600" s="8">
        <f>IFERROR(Datos!C600,"")</f>
        <v/>
      </c>
      <c r="D600" s="28">
        <f>IFERROR(IF(AND(ISNUMBER(B600),ISNUMBER(B599),B599&lt;&gt;0),B600/B599-1,""),"")</f>
        <v/>
      </c>
      <c r="E600" s="28">
        <f>IFERROR(IF(AND(ISNUMBER(C600),ISNUMBER(C599),C599&lt;&gt;0),C600/C599-1,""),"")</f>
        <v/>
      </c>
      <c r="F600" s="28">
        <f>IFERROR(D600-Dashboard!$B$4/252,"")</f>
        <v/>
      </c>
      <c r="G600" s="28">
        <f>IFERROR(E600-Dashboard!$B$4/252,"")</f>
        <v/>
      </c>
      <c r="H600" s="8">
        <f>IFERROR(IF(ISNUMBER(B600),MAX(B600,IFERROR(H599,B600)),""),"")</f>
        <v/>
      </c>
      <c r="I600" s="29">
        <f>IFERROR(IF(AND(ISNUMBER(B600),ISNUMBER(H600)),B600/H600-1,""),"")</f>
        <v/>
      </c>
      <c r="J600" s="8">
        <f>IFERROR(IF(ISNUMBER(C600),MAX(C600,IFERROR(J599,C600)),""),"")</f>
        <v/>
      </c>
      <c r="K600" s="29">
        <f>IFERROR(IF(AND(ISNUMBER(C600),ISNUMBER(J600)),C600/J600-1,""),"")</f>
        <v/>
      </c>
      <c r="L600" s="28">
        <f>IFERROR(IF(AND(ISNUMBER(D600),ISNUMBER(E600)),D600-E600,""),"")</f>
        <v/>
      </c>
    </row>
    <row r="601">
      <c r="A601" s="7">
        <f>IFERROR(Datos!A601,"")</f>
        <v/>
      </c>
      <c r="B601" s="8">
        <f>IFERROR(Datos!B601,"")</f>
        <v/>
      </c>
      <c r="C601" s="8">
        <f>IFERROR(Datos!C601,"")</f>
        <v/>
      </c>
      <c r="D601" s="28">
        <f>IFERROR(IF(AND(ISNUMBER(B601),ISNUMBER(B600),B600&lt;&gt;0),B601/B600-1,""),"")</f>
        <v/>
      </c>
      <c r="E601" s="28">
        <f>IFERROR(IF(AND(ISNUMBER(C601),ISNUMBER(C600),C600&lt;&gt;0),C601/C600-1,""),"")</f>
        <v/>
      </c>
      <c r="F601" s="28">
        <f>IFERROR(D601-Dashboard!$B$4/252,"")</f>
        <v/>
      </c>
      <c r="G601" s="28">
        <f>IFERROR(E601-Dashboard!$B$4/252,"")</f>
        <v/>
      </c>
      <c r="H601" s="8">
        <f>IFERROR(IF(ISNUMBER(B601),MAX(B601,IFERROR(H600,B601)),""),"")</f>
        <v/>
      </c>
      <c r="I601" s="29">
        <f>IFERROR(IF(AND(ISNUMBER(B601),ISNUMBER(H601)),B601/H601-1,""),"")</f>
        <v/>
      </c>
      <c r="J601" s="8">
        <f>IFERROR(IF(ISNUMBER(C601),MAX(C601,IFERROR(J600,C601)),""),"")</f>
        <v/>
      </c>
      <c r="K601" s="29">
        <f>IFERROR(IF(AND(ISNUMBER(C601),ISNUMBER(J601)),C601/J601-1,""),"")</f>
        <v/>
      </c>
      <c r="L601" s="28">
        <f>IFERROR(IF(AND(ISNUMBER(D601),ISNUMBER(E601)),D601-E601,""),"")</f>
        <v/>
      </c>
    </row>
    <row r="602">
      <c r="A602" s="7">
        <f>IFERROR(Datos!A602,"")</f>
        <v/>
      </c>
      <c r="B602" s="8">
        <f>IFERROR(Datos!B602,"")</f>
        <v/>
      </c>
      <c r="C602" s="8">
        <f>IFERROR(Datos!C602,"")</f>
        <v/>
      </c>
      <c r="D602" s="28">
        <f>IFERROR(IF(AND(ISNUMBER(B602),ISNUMBER(B601),B601&lt;&gt;0),B602/B601-1,""),"")</f>
        <v/>
      </c>
      <c r="E602" s="28">
        <f>IFERROR(IF(AND(ISNUMBER(C602),ISNUMBER(C601),C601&lt;&gt;0),C602/C601-1,""),"")</f>
        <v/>
      </c>
      <c r="F602" s="28">
        <f>IFERROR(D602-Dashboard!$B$4/252,"")</f>
        <v/>
      </c>
      <c r="G602" s="28">
        <f>IFERROR(E602-Dashboard!$B$4/252,"")</f>
        <v/>
      </c>
      <c r="H602" s="8">
        <f>IFERROR(IF(ISNUMBER(B602),MAX(B602,IFERROR(H601,B602)),""),"")</f>
        <v/>
      </c>
      <c r="I602" s="29">
        <f>IFERROR(IF(AND(ISNUMBER(B602),ISNUMBER(H602)),B602/H602-1,""),"")</f>
        <v/>
      </c>
      <c r="J602" s="8">
        <f>IFERROR(IF(ISNUMBER(C602),MAX(C602,IFERROR(J601,C602)),""),"")</f>
        <v/>
      </c>
      <c r="K602" s="29">
        <f>IFERROR(IF(AND(ISNUMBER(C602),ISNUMBER(J602)),C602/J602-1,""),"")</f>
        <v/>
      </c>
      <c r="L602" s="28">
        <f>IFERROR(IF(AND(ISNUMBER(D602),ISNUMBER(E602)),D602-E602,""),"")</f>
        <v/>
      </c>
    </row>
    <row r="603">
      <c r="A603" s="7">
        <f>IFERROR(Datos!A603,"")</f>
        <v/>
      </c>
      <c r="B603" s="8">
        <f>IFERROR(Datos!B603,"")</f>
        <v/>
      </c>
      <c r="C603" s="8">
        <f>IFERROR(Datos!C603,"")</f>
        <v/>
      </c>
      <c r="D603" s="28">
        <f>IFERROR(IF(AND(ISNUMBER(B603),ISNUMBER(B602),B602&lt;&gt;0),B603/B602-1,""),"")</f>
        <v/>
      </c>
      <c r="E603" s="28">
        <f>IFERROR(IF(AND(ISNUMBER(C603),ISNUMBER(C602),C602&lt;&gt;0),C603/C602-1,""),"")</f>
        <v/>
      </c>
      <c r="F603" s="28">
        <f>IFERROR(D603-Dashboard!$B$4/252,"")</f>
        <v/>
      </c>
      <c r="G603" s="28">
        <f>IFERROR(E603-Dashboard!$B$4/252,"")</f>
        <v/>
      </c>
      <c r="H603" s="8">
        <f>IFERROR(IF(ISNUMBER(B603),MAX(B603,IFERROR(H602,B603)),""),"")</f>
        <v/>
      </c>
      <c r="I603" s="29">
        <f>IFERROR(IF(AND(ISNUMBER(B603),ISNUMBER(H603)),B603/H603-1,""),"")</f>
        <v/>
      </c>
      <c r="J603" s="8">
        <f>IFERROR(IF(ISNUMBER(C603),MAX(C603,IFERROR(J602,C603)),""),"")</f>
        <v/>
      </c>
      <c r="K603" s="29">
        <f>IFERROR(IF(AND(ISNUMBER(C603),ISNUMBER(J603)),C603/J603-1,""),"")</f>
        <v/>
      </c>
      <c r="L603" s="28">
        <f>IFERROR(IF(AND(ISNUMBER(D603),ISNUMBER(E603)),D603-E603,""),"")</f>
        <v/>
      </c>
    </row>
    <row r="604">
      <c r="A604" s="7">
        <f>IFERROR(Datos!A604,"")</f>
        <v/>
      </c>
      <c r="B604" s="8">
        <f>IFERROR(Datos!B604,"")</f>
        <v/>
      </c>
      <c r="C604" s="8">
        <f>IFERROR(Datos!C604,"")</f>
        <v/>
      </c>
      <c r="D604" s="28">
        <f>IFERROR(IF(AND(ISNUMBER(B604),ISNUMBER(B603),B603&lt;&gt;0),B604/B603-1,""),"")</f>
        <v/>
      </c>
      <c r="E604" s="28">
        <f>IFERROR(IF(AND(ISNUMBER(C604),ISNUMBER(C603),C603&lt;&gt;0),C604/C603-1,""),"")</f>
        <v/>
      </c>
      <c r="F604" s="28">
        <f>IFERROR(D604-Dashboard!$B$4/252,"")</f>
        <v/>
      </c>
      <c r="G604" s="28">
        <f>IFERROR(E604-Dashboard!$B$4/252,"")</f>
        <v/>
      </c>
      <c r="H604" s="8">
        <f>IFERROR(IF(ISNUMBER(B604),MAX(B604,IFERROR(H603,B604)),""),"")</f>
        <v/>
      </c>
      <c r="I604" s="29">
        <f>IFERROR(IF(AND(ISNUMBER(B604),ISNUMBER(H604)),B604/H604-1,""),"")</f>
        <v/>
      </c>
      <c r="J604" s="8">
        <f>IFERROR(IF(ISNUMBER(C604),MAX(C604,IFERROR(J603,C604)),""),"")</f>
        <v/>
      </c>
      <c r="K604" s="29">
        <f>IFERROR(IF(AND(ISNUMBER(C604),ISNUMBER(J604)),C604/J604-1,""),"")</f>
        <v/>
      </c>
      <c r="L604" s="28">
        <f>IFERROR(IF(AND(ISNUMBER(D604),ISNUMBER(E604)),D604-E604,""),"")</f>
        <v/>
      </c>
    </row>
    <row r="605">
      <c r="A605" s="7">
        <f>IFERROR(Datos!A605,"")</f>
        <v/>
      </c>
      <c r="B605" s="8">
        <f>IFERROR(Datos!B605,"")</f>
        <v/>
      </c>
      <c r="C605" s="8">
        <f>IFERROR(Datos!C605,"")</f>
        <v/>
      </c>
      <c r="D605" s="28">
        <f>IFERROR(IF(AND(ISNUMBER(B605),ISNUMBER(B604),B604&lt;&gt;0),B605/B604-1,""),"")</f>
        <v/>
      </c>
      <c r="E605" s="28">
        <f>IFERROR(IF(AND(ISNUMBER(C605),ISNUMBER(C604),C604&lt;&gt;0),C605/C604-1,""),"")</f>
        <v/>
      </c>
      <c r="F605" s="28">
        <f>IFERROR(D605-Dashboard!$B$4/252,"")</f>
        <v/>
      </c>
      <c r="G605" s="28">
        <f>IFERROR(E605-Dashboard!$B$4/252,"")</f>
        <v/>
      </c>
      <c r="H605" s="8">
        <f>IFERROR(IF(ISNUMBER(B605),MAX(B605,IFERROR(H604,B605)),""),"")</f>
        <v/>
      </c>
      <c r="I605" s="29">
        <f>IFERROR(IF(AND(ISNUMBER(B605),ISNUMBER(H605)),B605/H605-1,""),"")</f>
        <v/>
      </c>
      <c r="J605" s="8">
        <f>IFERROR(IF(ISNUMBER(C605),MAX(C605,IFERROR(J604,C605)),""),"")</f>
        <v/>
      </c>
      <c r="K605" s="29">
        <f>IFERROR(IF(AND(ISNUMBER(C605),ISNUMBER(J605)),C605/J605-1,""),"")</f>
        <v/>
      </c>
      <c r="L605" s="28">
        <f>IFERROR(IF(AND(ISNUMBER(D605),ISNUMBER(E605)),D605-E605,""),"")</f>
        <v/>
      </c>
    </row>
    <row r="606">
      <c r="A606" s="7">
        <f>IFERROR(Datos!A606,"")</f>
        <v/>
      </c>
      <c r="B606" s="8">
        <f>IFERROR(Datos!B606,"")</f>
        <v/>
      </c>
      <c r="C606" s="8">
        <f>IFERROR(Datos!C606,"")</f>
        <v/>
      </c>
      <c r="D606" s="28">
        <f>IFERROR(IF(AND(ISNUMBER(B606),ISNUMBER(B605),B605&lt;&gt;0),B606/B605-1,""),"")</f>
        <v/>
      </c>
      <c r="E606" s="28">
        <f>IFERROR(IF(AND(ISNUMBER(C606),ISNUMBER(C605),C605&lt;&gt;0),C606/C605-1,""),"")</f>
        <v/>
      </c>
      <c r="F606" s="28">
        <f>IFERROR(D606-Dashboard!$B$4/252,"")</f>
        <v/>
      </c>
      <c r="G606" s="28">
        <f>IFERROR(E606-Dashboard!$B$4/252,"")</f>
        <v/>
      </c>
      <c r="H606" s="8">
        <f>IFERROR(IF(ISNUMBER(B606),MAX(B606,IFERROR(H605,B606)),""),"")</f>
        <v/>
      </c>
      <c r="I606" s="29">
        <f>IFERROR(IF(AND(ISNUMBER(B606),ISNUMBER(H606)),B606/H606-1,""),"")</f>
        <v/>
      </c>
      <c r="J606" s="8">
        <f>IFERROR(IF(ISNUMBER(C606),MAX(C606,IFERROR(J605,C606)),""),"")</f>
        <v/>
      </c>
      <c r="K606" s="29">
        <f>IFERROR(IF(AND(ISNUMBER(C606),ISNUMBER(J606)),C606/J606-1,""),"")</f>
        <v/>
      </c>
      <c r="L606" s="28">
        <f>IFERROR(IF(AND(ISNUMBER(D606),ISNUMBER(E606)),D606-E606,""),"")</f>
        <v/>
      </c>
    </row>
    <row r="607">
      <c r="A607" s="7">
        <f>IFERROR(Datos!A607,"")</f>
        <v/>
      </c>
      <c r="B607" s="8">
        <f>IFERROR(Datos!B607,"")</f>
        <v/>
      </c>
      <c r="C607" s="8">
        <f>IFERROR(Datos!C607,"")</f>
        <v/>
      </c>
      <c r="D607" s="28">
        <f>IFERROR(IF(AND(ISNUMBER(B607),ISNUMBER(B606),B606&lt;&gt;0),B607/B606-1,""),"")</f>
        <v/>
      </c>
      <c r="E607" s="28">
        <f>IFERROR(IF(AND(ISNUMBER(C607),ISNUMBER(C606),C606&lt;&gt;0),C607/C606-1,""),"")</f>
        <v/>
      </c>
      <c r="F607" s="28">
        <f>IFERROR(D607-Dashboard!$B$4/252,"")</f>
        <v/>
      </c>
      <c r="G607" s="28">
        <f>IFERROR(E607-Dashboard!$B$4/252,"")</f>
        <v/>
      </c>
      <c r="H607" s="8">
        <f>IFERROR(IF(ISNUMBER(B607),MAX(B607,IFERROR(H606,B607)),""),"")</f>
        <v/>
      </c>
      <c r="I607" s="29">
        <f>IFERROR(IF(AND(ISNUMBER(B607),ISNUMBER(H607)),B607/H607-1,""),"")</f>
        <v/>
      </c>
      <c r="J607" s="8">
        <f>IFERROR(IF(ISNUMBER(C607),MAX(C607,IFERROR(J606,C607)),""),"")</f>
        <v/>
      </c>
      <c r="K607" s="29">
        <f>IFERROR(IF(AND(ISNUMBER(C607),ISNUMBER(J607)),C607/J607-1,""),"")</f>
        <v/>
      </c>
      <c r="L607" s="28">
        <f>IFERROR(IF(AND(ISNUMBER(D607),ISNUMBER(E607)),D607-E607,""),"")</f>
        <v/>
      </c>
    </row>
    <row r="608">
      <c r="A608" s="7">
        <f>IFERROR(Datos!A608,"")</f>
        <v/>
      </c>
      <c r="B608" s="8">
        <f>IFERROR(Datos!B608,"")</f>
        <v/>
      </c>
      <c r="C608" s="8">
        <f>IFERROR(Datos!C608,"")</f>
        <v/>
      </c>
      <c r="D608" s="28">
        <f>IFERROR(IF(AND(ISNUMBER(B608),ISNUMBER(B607),B607&lt;&gt;0),B608/B607-1,""),"")</f>
        <v/>
      </c>
      <c r="E608" s="28">
        <f>IFERROR(IF(AND(ISNUMBER(C608),ISNUMBER(C607),C607&lt;&gt;0),C608/C607-1,""),"")</f>
        <v/>
      </c>
      <c r="F608" s="28">
        <f>IFERROR(D608-Dashboard!$B$4/252,"")</f>
        <v/>
      </c>
      <c r="G608" s="28">
        <f>IFERROR(E608-Dashboard!$B$4/252,"")</f>
        <v/>
      </c>
      <c r="H608" s="8">
        <f>IFERROR(IF(ISNUMBER(B608),MAX(B608,IFERROR(H607,B608)),""),"")</f>
        <v/>
      </c>
      <c r="I608" s="29">
        <f>IFERROR(IF(AND(ISNUMBER(B608),ISNUMBER(H608)),B608/H608-1,""),"")</f>
        <v/>
      </c>
      <c r="J608" s="8">
        <f>IFERROR(IF(ISNUMBER(C608),MAX(C608,IFERROR(J607,C608)),""),"")</f>
        <v/>
      </c>
      <c r="K608" s="29">
        <f>IFERROR(IF(AND(ISNUMBER(C608),ISNUMBER(J608)),C608/J608-1,""),"")</f>
        <v/>
      </c>
      <c r="L608" s="28">
        <f>IFERROR(IF(AND(ISNUMBER(D608),ISNUMBER(E608)),D608-E608,""),"")</f>
        <v/>
      </c>
    </row>
    <row r="609">
      <c r="A609" s="7">
        <f>IFERROR(Datos!A609,"")</f>
        <v/>
      </c>
      <c r="B609" s="8">
        <f>IFERROR(Datos!B609,"")</f>
        <v/>
      </c>
      <c r="C609" s="8">
        <f>IFERROR(Datos!C609,"")</f>
        <v/>
      </c>
      <c r="D609" s="28">
        <f>IFERROR(IF(AND(ISNUMBER(B609),ISNUMBER(B608),B608&lt;&gt;0),B609/B608-1,""),"")</f>
        <v/>
      </c>
      <c r="E609" s="28">
        <f>IFERROR(IF(AND(ISNUMBER(C609),ISNUMBER(C608),C608&lt;&gt;0),C609/C608-1,""),"")</f>
        <v/>
      </c>
      <c r="F609" s="28">
        <f>IFERROR(D609-Dashboard!$B$4/252,"")</f>
        <v/>
      </c>
      <c r="G609" s="28">
        <f>IFERROR(E609-Dashboard!$B$4/252,"")</f>
        <v/>
      </c>
      <c r="H609" s="8">
        <f>IFERROR(IF(ISNUMBER(B609),MAX(B609,IFERROR(H608,B609)),""),"")</f>
        <v/>
      </c>
      <c r="I609" s="29">
        <f>IFERROR(IF(AND(ISNUMBER(B609),ISNUMBER(H609)),B609/H609-1,""),"")</f>
        <v/>
      </c>
      <c r="J609" s="8">
        <f>IFERROR(IF(ISNUMBER(C609),MAX(C609,IFERROR(J608,C609)),""),"")</f>
        <v/>
      </c>
      <c r="K609" s="29">
        <f>IFERROR(IF(AND(ISNUMBER(C609),ISNUMBER(J609)),C609/J609-1,""),"")</f>
        <v/>
      </c>
      <c r="L609" s="28">
        <f>IFERROR(IF(AND(ISNUMBER(D609),ISNUMBER(E609)),D609-E609,""),"")</f>
        <v/>
      </c>
    </row>
    <row r="610">
      <c r="A610" s="7">
        <f>IFERROR(Datos!A610,"")</f>
        <v/>
      </c>
      <c r="B610" s="8">
        <f>IFERROR(Datos!B610,"")</f>
        <v/>
      </c>
      <c r="C610" s="8">
        <f>IFERROR(Datos!C610,"")</f>
        <v/>
      </c>
      <c r="D610" s="28">
        <f>IFERROR(IF(AND(ISNUMBER(B610),ISNUMBER(B609),B609&lt;&gt;0),B610/B609-1,""),"")</f>
        <v/>
      </c>
      <c r="E610" s="28">
        <f>IFERROR(IF(AND(ISNUMBER(C610),ISNUMBER(C609),C609&lt;&gt;0),C610/C609-1,""),"")</f>
        <v/>
      </c>
      <c r="F610" s="28">
        <f>IFERROR(D610-Dashboard!$B$4/252,"")</f>
        <v/>
      </c>
      <c r="G610" s="28">
        <f>IFERROR(E610-Dashboard!$B$4/252,"")</f>
        <v/>
      </c>
      <c r="H610" s="8">
        <f>IFERROR(IF(ISNUMBER(B610),MAX(B610,IFERROR(H609,B610)),""),"")</f>
        <v/>
      </c>
      <c r="I610" s="29">
        <f>IFERROR(IF(AND(ISNUMBER(B610),ISNUMBER(H610)),B610/H610-1,""),"")</f>
        <v/>
      </c>
      <c r="J610" s="8">
        <f>IFERROR(IF(ISNUMBER(C610),MAX(C610,IFERROR(J609,C610)),""),"")</f>
        <v/>
      </c>
      <c r="K610" s="29">
        <f>IFERROR(IF(AND(ISNUMBER(C610),ISNUMBER(J610)),C610/J610-1,""),"")</f>
        <v/>
      </c>
      <c r="L610" s="28">
        <f>IFERROR(IF(AND(ISNUMBER(D610),ISNUMBER(E610)),D610-E610,""),"")</f>
        <v/>
      </c>
    </row>
    <row r="611">
      <c r="A611" s="7">
        <f>IFERROR(Datos!A611,"")</f>
        <v/>
      </c>
      <c r="B611" s="8">
        <f>IFERROR(Datos!B611,"")</f>
        <v/>
      </c>
      <c r="C611" s="8">
        <f>IFERROR(Datos!C611,"")</f>
        <v/>
      </c>
      <c r="D611" s="28">
        <f>IFERROR(IF(AND(ISNUMBER(B611),ISNUMBER(B610),B610&lt;&gt;0),B611/B610-1,""),"")</f>
        <v/>
      </c>
      <c r="E611" s="28">
        <f>IFERROR(IF(AND(ISNUMBER(C611),ISNUMBER(C610),C610&lt;&gt;0),C611/C610-1,""),"")</f>
        <v/>
      </c>
      <c r="F611" s="28">
        <f>IFERROR(D611-Dashboard!$B$4/252,"")</f>
        <v/>
      </c>
      <c r="G611" s="28">
        <f>IFERROR(E611-Dashboard!$B$4/252,"")</f>
        <v/>
      </c>
      <c r="H611" s="8">
        <f>IFERROR(IF(ISNUMBER(B611),MAX(B611,IFERROR(H610,B611)),""),"")</f>
        <v/>
      </c>
      <c r="I611" s="29">
        <f>IFERROR(IF(AND(ISNUMBER(B611),ISNUMBER(H611)),B611/H611-1,""),"")</f>
        <v/>
      </c>
      <c r="J611" s="8">
        <f>IFERROR(IF(ISNUMBER(C611),MAX(C611,IFERROR(J610,C611)),""),"")</f>
        <v/>
      </c>
      <c r="K611" s="29">
        <f>IFERROR(IF(AND(ISNUMBER(C611),ISNUMBER(J611)),C611/J611-1,""),"")</f>
        <v/>
      </c>
      <c r="L611" s="28">
        <f>IFERROR(IF(AND(ISNUMBER(D611),ISNUMBER(E611)),D611-E611,""),"")</f>
        <v/>
      </c>
    </row>
    <row r="612">
      <c r="A612" s="7">
        <f>IFERROR(Datos!A612,"")</f>
        <v/>
      </c>
      <c r="B612" s="8">
        <f>IFERROR(Datos!B612,"")</f>
        <v/>
      </c>
      <c r="C612" s="8">
        <f>IFERROR(Datos!C612,"")</f>
        <v/>
      </c>
      <c r="D612" s="28">
        <f>IFERROR(IF(AND(ISNUMBER(B612),ISNUMBER(B611),B611&lt;&gt;0),B612/B611-1,""),"")</f>
        <v/>
      </c>
      <c r="E612" s="28">
        <f>IFERROR(IF(AND(ISNUMBER(C612),ISNUMBER(C611),C611&lt;&gt;0),C612/C611-1,""),"")</f>
        <v/>
      </c>
      <c r="F612" s="28">
        <f>IFERROR(D612-Dashboard!$B$4/252,"")</f>
        <v/>
      </c>
      <c r="G612" s="28">
        <f>IFERROR(E612-Dashboard!$B$4/252,"")</f>
        <v/>
      </c>
      <c r="H612" s="8">
        <f>IFERROR(IF(ISNUMBER(B612),MAX(B612,IFERROR(H611,B612)),""),"")</f>
        <v/>
      </c>
      <c r="I612" s="29">
        <f>IFERROR(IF(AND(ISNUMBER(B612),ISNUMBER(H612)),B612/H612-1,""),"")</f>
        <v/>
      </c>
      <c r="J612" s="8">
        <f>IFERROR(IF(ISNUMBER(C612),MAX(C612,IFERROR(J611,C612)),""),"")</f>
        <v/>
      </c>
      <c r="K612" s="29">
        <f>IFERROR(IF(AND(ISNUMBER(C612),ISNUMBER(J612)),C612/J612-1,""),"")</f>
        <v/>
      </c>
      <c r="L612" s="28">
        <f>IFERROR(IF(AND(ISNUMBER(D612),ISNUMBER(E612)),D612-E612,""),"")</f>
        <v/>
      </c>
    </row>
    <row r="613">
      <c r="A613" s="7">
        <f>IFERROR(Datos!A613,"")</f>
        <v/>
      </c>
      <c r="B613" s="8">
        <f>IFERROR(Datos!B613,"")</f>
        <v/>
      </c>
      <c r="C613" s="8">
        <f>IFERROR(Datos!C613,"")</f>
        <v/>
      </c>
      <c r="D613" s="28">
        <f>IFERROR(IF(AND(ISNUMBER(B613),ISNUMBER(B612),B612&lt;&gt;0),B613/B612-1,""),"")</f>
        <v/>
      </c>
      <c r="E613" s="28">
        <f>IFERROR(IF(AND(ISNUMBER(C613),ISNUMBER(C612),C612&lt;&gt;0),C613/C612-1,""),"")</f>
        <v/>
      </c>
      <c r="F613" s="28">
        <f>IFERROR(D613-Dashboard!$B$4/252,"")</f>
        <v/>
      </c>
      <c r="G613" s="28">
        <f>IFERROR(E613-Dashboard!$B$4/252,"")</f>
        <v/>
      </c>
      <c r="H613" s="8">
        <f>IFERROR(IF(ISNUMBER(B613),MAX(B613,IFERROR(H612,B613)),""),"")</f>
        <v/>
      </c>
      <c r="I613" s="29">
        <f>IFERROR(IF(AND(ISNUMBER(B613),ISNUMBER(H613)),B613/H613-1,""),"")</f>
        <v/>
      </c>
      <c r="J613" s="8">
        <f>IFERROR(IF(ISNUMBER(C613),MAX(C613,IFERROR(J612,C613)),""),"")</f>
        <v/>
      </c>
      <c r="K613" s="29">
        <f>IFERROR(IF(AND(ISNUMBER(C613),ISNUMBER(J613)),C613/J613-1,""),"")</f>
        <v/>
      </c>
      <c r="L613" s="28">
        <f>IFERROR(IF(AND(ISNUMBER(D613),ISNUMBER(E613)),D613-E613,""),"")</f>
        <v/>
      </c>
    </row>
    <row r="614">
      <c r="A614" s="7">
        <f>IFERROR(Datos!A614,"")</f>
        <v/>
      </c>
      <c r="B614" s="8">
        <f>IFERROR(Datos!B614,"")</f>
        <v/>
      </c>
      <c r="C614" s="8">
        <f>IFERROR(Datos!C614,"")</f>
        <v/>
      </c>
      <c r="D614" s="28">
        <f>IFERROR(IF(AND(ISNUMBER(B614),ISNUMBER(B613),B613&lt;&gt;0),B614/B613-1,""),"")</f>
        <v/>
      </c>
      <c r="E614" s="28">
        <f>IFERROR(IF(AND(ISNUMBER(C614),ISNUMBER(C613),C613&lt;&gt;0),C614/C613-1,""),"")</f>
        <v/>
      </c>
      <c r="F614" s="28">
        <f>IFERROR(D614-Dashboard!$B$4/252,"")</f>
        <v/>
      </c>
      <c r="G614" s="28">
        <f>IFERROR(E614-Dashboard!$B$4/252,"")</f>
        <v/>
      </c>
      <c r="H614" s="8">
        <f>IFERROR(IF(ISNUMBER(B614),MAX(B614,IFERROR(H613,B614)),""),"")</f>
        <v/>
      </c>
      <c r="I614" s="29">
        <f>IFERROR(IF(AND(ISNUMBER(B614),ISNUMBER(H614)),B614/H614-1,""),"")</f>
        <v/>
      </c>
      <c r="J614" s="8">
        <f>IFERROR(IF(ISNUMBER(C614),MAX(C614,IFERROR(J613,C614)),""),"")</f>
        <v/>
      </c>
      <c r="K614" s="29">
        <f>IFERROR(IF(AND(ISNUMBER(C614),ISNUMBER(J614)),C614/J614-1,""),"")</f>
        <v/>
      </c>
      <c r="L614" s="28">
        <f>IFERROR(IF(AND(ISNUMBER(D614),ISNUMBER(E614)),D614-E614,""),"")</f>
        <v/>
      </c>
    </row>
    <row r="615">
      <c r="A615" s="7">
        <f>IFERROR(Datos!A615,"")</f>
        <v/>
      </c>
      <c r="B615" s="8">
        <f>IFERROR(Datos!B615,"")</f>
        <v/>
      </c>
      <c r="C615" s="8">
        <f>IFERROR(Datos!C615,"")</f>
        <v/>
      </c>
      <c r="D615" s="28">
        <f>IFERROR(IF(AND(ISNUMBER(B615),ISNUMBER(B614),B614&lt;&gt;0),B615/B614-1,""),"")</f>
        <v/>
      </c>
      <c r="E615" s="28">
        <f>IFERROR(IF(AND(ISNUMBER(C615),ISNUMBER(C614),C614&lt;&gt;0),C615/C614-1,""),"")</f>
        <v/>
      </c>
      <c r="F615" s="28">
        <f>IFERROR(D615-Dashboard!$B$4/252,"")</f>
        <v/>
      </c>
      <c r="G615" s="28">
        <f>IFERROR(E615-Dashboard!$B$4/252,"")</f>
        <v/>
      </c>
      <c r="H615" s="8">
        <f>IFERROR(IF(ISNUMBER(B615),MAX(B615,IFERROR(H614,B615)),""),"")</f>
        <v/>
      </c>
      <c r="I615" s="29">
        <f>IFERROR(IF(AND(ISNUMBER(B615),ISNUMBER(H615)),B615/H615-1,""),"")</f>
        <v/>
      </c>
      <c r="J615" s="8">
        <f>IFERROR(IF(ISNUMBER(C615),MAX(C615,IFERROR(J614,C615)),""),"")</f>
        <v/>
      </c>
      <c r="K615" s="29">
        <f>IFERROR(IF(AND(ISNUMBER(C615),ISNUMBER(J615)),C615/J615-1,""),"")</f>
        <v/>
      </c>
      <c r="L615" s="28">
        <f>IFERROR(IF(AND(ISNUMBER(D615),ISNUMBER(E615)),D615-E615,""),"")</f>
        <v/>
      </c>
    </row>
    <row r="616">
      <c r="A616" s="7">
        <f>IFERROR(Datos!A616,"")</f>
        <v/>
      </c>
      <c r="B616" s="8">
        <f>IFERROR(Datos!B616,"")</f>
        <v/>
      </c>
      <c r="C616" s="8">
        <f>IFERROR(Datos!C616,"")</f>
        <v/>
      </c>
      <c r="D616" s="28">
        <f>IFERROR(IF(AND(ISNUMBER(B616),ISNUMBER(B615),B615&lt;&gt;0),B616/B615-1,""),"")</f>
        <v/>
      </c>
      <c r="E616" s="28">
        <f>IFERROR(IF(AND(ISNUMBER(C616),ISNUMBER(C615),C615&lt;&gt;0),C616/C615-1,""),"")</f>
        <v/>
      </c>
      <c r="F616" s="28">
        <f>IFERROR(D616-Dashboard!$B$4/252,"")</f>
        <v/>
      </c>
      <c r="G616" s="28">
        <f>IFERROR(E616-Dashboard!$B$4/252,"")</f>
        <v/>
      </c>
      <c r="H616" s="8">
        <f>IFERROR(IF(ISNUMBER(B616),MAX(B616,IFERROR(H615,B616)),""),"")</f>
        <v/>
      </c>
      <c r="I616" s="29">
        <f>IFERROR(IF(AND(ISNUMBER(B616),ISNUMBER(H616)),B616/H616-1,""),"")</f>
        <v/>
      </c>
      <c r="J616" s="8">
        <f>IFERROR(IF(ISNUMBER(C616),MAX(C616,IFERROR(J615,C616)),""),"")</f>
        <v/>
      </c>
      <c r="K616" s="29">
        <f>IFERROR(IF(AND(ISNUMBER(C616),ISNUMBER(J616)),C616/J616-1,""),"")</f>
        <v/>
      </c>
      <c r="L616" s="28">
        <f>IFERROR(IF(AND(ISNUMBER(D616),ISNUMBER(E616)),D616-E616,""),"")</f>
        <v/>
      </c>
    </row>
    <row r="617">
      <c r="A617" s="7">
        <f>IFERROR(Datos!A617,"")</f>
        <v/>
      </c>
      <c r="B617" s="8">
        <f>IFERROR(Datos!B617,"")</f>
        <v/>
      </c>
      <c r="C617" s="8">
        <f>IFERROR(Datos!C617,"")</f>
        <v/>
      </c>
      <c r="D617" s="28">
        <f>IFERROR(IF(AND(ISNUMBER(B617),ISNUMBER(B616),B616&lt;&gt;0),B617/B616-1,""),"")</f>
        <v/>
      </c>
      <c r="E617" s="28">
        <f>IFERROR(IF(AND(ISNUMBER(C617),ISNUMBER(C616),C616&lt;&gt;0),C617/C616-1,""),"")</f>
        <v/>
      </c>
      <c r="F617" s="28">
        <f>IFERROR(D617-Dashboard!$B$4/252,"")</f>
        <v/>
      </c>
      <c r="G617" s="28">
        <f>IFERROR(E617-Dashboard!$B$4/252,"")</f>
        <v/>
      </c>
      <c r="H617" s="8">
        <f>IFERROR(IF(ISNUMBER(B617),MAX(B617,IFERROR(H616,B617)),""),"")</f>
        <v/>
      </c>
      <c r="I617" s="29">
        <f>IFERROR(IF(AND(ISNUMBER(B617),ISNUMBER(H617)),B617/H617-1,""),"")</f>
        <v/>
      </c>
      <c r="J617" s="8">
        <f>IFERROR(IF(ISNUMBER(C617),MAX(C617,IFERROR(J616,C617)),""),"")</f>
        <v/>
      </c>
      <c r="K617" s="29">
        <f>IFERROR(IF(AND(ISNUMBER(C617),ISNUMBER(J617)),C617/J617-1,""),"")</f>
        <v/>
      </c>
      <c r="L617" s="28">
        <f>IFERROR(IF(AND(ISNUMBER(D617),ISNUMBER(E617)),D617-E617,""),"")</f>
        <v/>
      </c>
    </row>
    <row r="618">
      <c r="A618" s="7">
        <f>IFERROR(Datos!A618,"")</f>
        <v/>
      </c>
      <c r="B618" s="8">
        <f>IFERROR(Datos!B618,"")</f>
        <v/>
      </c>
      <c r="C618" s="8">
        <f>IFERROR(Datos!C618,"")</f>
        <v/>
      </c>
      <c r="D618" s="28">
        <f>IFERROR(IF(AND(ISNUMBER(B618),ISNUMBER(B617),B617&lt;&gt;0),B618/B617-1,""),"")</f>
        <v/>
      </c>
      <c r="E618" s="28">
        <f>IFERROR(IF(AND(ISNUMBER(C618),ISNUMBER(C617),C617&lt;&gt;0),C618/C617-1,""),"")</f>
        <v/>
      </c>
      <c r="F618" s="28">
        <f>IFERROR(D618-Dashboard!$B$4/252,"")</f>
        <v/>
      </c>
      <c r="G618" s="28">
        <f>IFERROR(E618-Dashboard!$B$4/252,"")</f>
        <v/>
      </c>
      <c r="H618" s="8">
        <f>IFERROR(IF(ISNUMBER(B618),MAX(B618,IFERROR(H617,B618)),""),"")</f>
        <v/>
      </c>
      <c r="I618" s="29">
        <f>IFERROR(IF(AND(ISNUMBER(B618),ISNUMBER(H618)),B618/H618-1,""),"")</f>
        <v/>
      </c>
      <c r="J618" s="8">
        <f>IFERROR(IF(ISNUMBER(C618),MAX(C618,IFERROR(J617,C618)),""),"")</f>
        <v/>
      </c>
      <c r="K618" s="29">
        <f>IFERROR(IF(AND(ISNUMBER(C618),ISNUMBER(J618)),C618/J618-1,""),"")</f>
        <v/>
      </c>
      <c r="L618" s="28">
        <f>IFERROR(IF(AND(ISNUMBER(D618),ISNUMBER(E618)),D618-E618,""),"")</f>
        <v/>
      </c>
    </row>
    <row r="619">
      <c r="A619" s="7">
        <f>IFERROR(Datos!A619,"")</f>
        <v/>
      </c>
      <c r="B619" s="8">
        <f>IFERROR(Datos!B619,"")</f>
        <v/>
      </c>
      <c r="C619" s="8">
        <f>IFERROR(Datos!C619,"")</f>
        <v/>
      </c>
      <c r="D619" s="28">
        <f>IFERROR(IF(AND(ISNUMBER(B619),ISNUMBER(B618),B618&lt;&gt;0),B619/B618-1,""),"")</f>
        <v/>
      </c>
      <c r="E619" s="28">
        <f>IFERROR(IF(AND(ISNUMBER(C619),ISNUMBER(C618),C618&lt;&gt;0),C619/C618-1,""),"")</f>
        <v/>
      </c>
      <c r="F619" s="28">
        <f>IFERROR(D619-Dashboard!$B$4/252,"")</f>
        <v/>
      </c>
      <c r="G619" s="28">
        <f>IFERROR(E619-Dashboard!$B$4/252,"")</f>
        <v/>
      </c>
      <c r="H619" s="8">
        <f>IFERROR(IF(ISNUMBER(B619),MAX(B619,IFERROR(H618,B619)),""),"")</f>
        <v/>
      </c>
      <c r="I619" s="29">
        <f>IFERROR(IF(AND(ISNUMBER(B619),ISNUMBER(H619)),B619/H619-1,""),"")</f>
        <v/>
      </c>
      <c r="J619" s="8">
        <f>IFERROR(IF(ISNUMBER(C619),MAX(C619,IFERROR(J618,C619)),""),"")</f>
        <v/>
      </c>
      <c r="K619" s="29">
        <f>IFERROR(IF(AND(ISNUMBER(C619),ISNUMBER(J619)),C619/J619-1,""),"")</f>
        <v/>
      </c>
      <c r="L619" s="28">
        <f>IFERROR(IF(AND(ISNUMBER(D619),ISNUMBER(E619)),D619-E619,""),"")</f>
        <v/>
      </c>
    </row>
    <row r="620">
      <c r="A620" s="7">
        <f>IFERROR(Datos!A620,"")</f>
        <v/>
      </c>
      <c r="B620" s="8">
        <f>IFERROR(Datos!B620,"")</f>
        <v/>
      </c>
      <c r="C620" s="8">
        <f>IFERROR(Datos!C620,"")</f>
        <v/>
      </c>
      <c r="D620" s="28">
        <f>IFERROR(IF(AND(ISNUMBER(B620),ISNUMBER(B619),B619&lt;&gt;0),B620/B619-1,""),"")</f>
        <v/>
      </c>
      <c r="E620" s="28">
        <f>IFERROR(IF(AND(ISNUMBER(C620),ISNUMBER(C619),C619&lt;&gt;0),C620/C619-1,""),"")</f>
        <v/>
      </c>
      <c r="F620" s="28">
        <f>IFERROR(D620-Dashboard!$B$4/252,"")</f>
        <v/>
      </c>
      <c r="G620" s="28">
        <f>IFERROR(E620-Dashboard!$B$4/252,"")</f>
        <v/>
      </c>
      <c r="H620" s="8">
        <f>IFERROR(IF(ISNUMBER(B620),MAX(B620,IFERROR(H619,B620)),""),"")</f>
        <v/>
      </c>
      <c r="I620" s="29">
        <f>IFERROR(IF(AND(ISNUMBER(B620),ISNUMBER(H620)),B620/H620-1,""),"")</f>
        <v/>
      </c>
      <c r="J620" s="8">
        <f>IFERROR(IF(ISNUMBER(C620),MAX(C620,IFERROR(J619,C620)),""),"")</f>
        <v/>
      </c>
      <c r="K620" s="29">
        <f>IFERROR(IF(AND(ISNUMBER(C620),ISNUMBER(J620)),C620/J620-1,""),"")</f>
        <v/>
      </c>
      <c r="L620" s="28">
        <f>IFERROR(IF(AND(ISNUMBER(D620),ISNUMBER(E620)),D620-E620,""),"")</f>
        <v/>
      </c>
    </row>
    <row r="621">
      <c r="A621" s="7">
        <f>IFERROR(Datos!A621,"")</f>
        <v/>
      </c>
      <c r="B621" s="8">
        <f>IFERROR(Datos!B621,"")</f>
        <v/>
      </c>
      <c r="C621" s="8">
        <f>IFERROR(Datos!C621,"")</f>
        <v/>
      </c>
      <c r="D621" s="28">
        <f>IFERROR(IF(AND(ISNUMBER(B621),ISNUMBER(B620),B620&lt;&gt;0),B621/B620-1,""),"")</f>
        <v/>
      </c>
      <c r="E621" s="28">
        <f>IFERROR(IF(AND(ISNUMBER(C621),ISNUMBER(C620),C620&lt;&gt;0),C621/C620-1,""),"")</f>
        <v/>
      </c>
      <c r="F621" s="28">
        <f>IFERROR(D621-Dashboard!$B$4/252,"")</f>
        <v/>
      </c>
      <c r="G621" s="28">
        <f>IFERROR(E621-Dashboard!$B$4/252,"")</f>
        <v/>
      </c>
      <c r="H621" s="8">
        <f>IFERROR(IF(ISNUMBER(B621),MAX(B621,IFERROR(H620,B621)),""),"")</f>
        <v/>
      </c>
      <c r="I621" s="29">
        <f>IFERROR(IF(AND(ISNUMBER(B621),ISNUMBER(H621)),B621/H621-1,""),"")</f>
        <v/>
      </c>
      <c r="J621" s="8">
        <f>IFERROR(IF(ISNUMBER(C621),MAX(C621,IFERROR(J620,C621)),""),"")</f>
        <v/>
      </c>
      <c r="K621" s="29">
        <f>IFERROR(IF(AND(ISNUMBER(C621),ISNUMBER(J621)),C621/J621-1,""),"")</f>
        <v/>
      </c>
      <c r="L621" s="28">
        <f>IFERROR(IF(AND(ISNUMBER(D621),ISNUMBER(E621)),D621-E621,""),"")</f>
        <v/>
      </c>
    </row>
    <row r="622">
      <c r="A622" s="7">
        <f>IFERROR(Datos!A622,"")</f>
        <v/>
      </c>
      <c r="B622" s="8">
        <f>IFERROR(Datos!B622,"")</f>
        <v/>
      </c>
      <c r="C622" s="8">
        <f>IFERROR(Datos!C622,"")</f>
        <v/>
      </c>
      <c r="D622" s="28">
        <f>IFERROR(IF(AND(ISNUMBER(B622),ISNUMBER(B621),B621&lt;&gt;0),B622/B621-1,""),"")</f>
        <v/>
      </c>
      <c r="E622" s="28">
        <f>IFERROR(IF(AND(ISNUMBER(C622),ISNUMBER(C621),C621&lt;&gt;0),C622/C621-1,""),"")</f>
        <v/>
      </c>
      <c r="F622" s="28">
        <f>IFERROR(D622-Dashboard!$B$4/252,"")</f>
        <v/>
      </c>
      <c r="G622" s="28">
        <f>IFERROR(E622-Dashboard!$B$4/252,"")</f>
        <v/>
      </c>
      <c r="H622" s="8">
        <f>IFERROR(IF(ISNUMBER(B622),MAX(B622,IFERROR(H621,B622)),""),"")</f>
        <v/>
      </c>
      <c r="I622" s="29">
        <f>IFERROR(IF(AND(ISNUMBER(B622),ISNUMBER(H622)),B622/H622-1,""),"")</f>
        <v/>
      </c>
      <c r="J622" s="8">
        <f>IFERROR(IF(ISNUMBER(C622),MAX(C622,IFERROR(J621,C622)),""),"")</f>
        <v/>
      </c>
      <c r="K622" s="29">
        <f>IFERROR(IF(AND(ISNUMBER(C622),ISNUMBER(J622)),C622/J622-1,""),"")</f>
        <v/>
      </c>
      <c r="L622" s="28">
        <f>IFERROR(IF(AND(ISNUMBER(D622),ISNUMBER(E622)),D622-E622,""),"")</f>
        <v/>
      </c>
    </row>
    <row r="623">
      <c r="A623" s="7">
        <f>IFERROR(Datos!A623,"")</f>
        <v/>
      </c>
      <c r="B623" s="8">
        <f>IFERROR(Datos!B623,"")</f>
        <v/>
      </c>
      <c r="C623" s="8">
        <f>IFERROR(Datos!C623,"")</f>
        <v/>
      </c>
      <c r="D623" s="28">
        <f>IFERROR(IF(AND(ISNUMBER(B623),ISNUMBER(B622),B622&lt;&gt;0),B623/B622-1,""),"")</f>
        <v/>
      </c>
      <c r="E623" s="28">
        <f>IFERROR(IF(AND(ISNUMBER(C623),ISNUMBER(C622),C622&lt;&gt;0),C623/C622-1,""),"")</f>
        <v/>
      </c>
      <c r="F623" s="28">
        <f>IFERROR(D623-Dashboard!$B$4/252,"")</f>
        <v/>
      </c>
      <c r="G623" s="28">
        <f>IFERROR(E623-Dashboard!$B$4/252,"")</f>
        <v/>
      </c>
      <c r="H623" s="8">
        <f>IFERROR(IF(ISNUMBER(B623),MAX(B623,IFERROR(H622,B623)),""),"")</f>
        <v/>
      </c>
      <c r="I623" s="29">
        <f>IFERROR(IF(AND(ISNUMBER(B623),ISNUMBER(H623)),B623/H623-1,""),"")</f>
        <v/>
      </c>
      <c r="J623" s="8">
        <f>IFERROR(IF(ISNUMBER(C623),MAX(C623,IFERROR(J622,C623)),""),"")</f>
        <v/>
      </c>
      <c r="K623" s="29">
        <f>IFERROR(IF(AND(ISNUMBER(C623),ISNUMBER(J623)),C623/J623-1,""),"")</f>
        <v/>
      </c>
      <c r="L623" s="28">
        <f>IFERROR(IF(AND(ISNUMBER(D623),ISNUMBER(E623)),D623-E623,""),"")</f>
        <v/>
      </c>
    </row>
    <row r="624">
      <c r="A624" s="7">
        <f>IFERROR(Datos!A624,"")</f>
        <v/>
      </c>
      <c r="B624" s="8">
        <f>IFERROR(Datos!B624,"")</f>
        <v/>
      </c>
      <c r="C624" s="8">
        <f>IFERROR(Datos!C624,"")</f>
        <v/>
      </c>
      <c r="D624" s="28">
        <f>IFERROR(IF(AND(ISNUMBER(B624),ISNUMBER(B623),B623&lt;&gt;0),B624/B623-1,""),"")</f>
        <v/>
      </c>
      <c r="E624" s="28">
        <f>IFERROR(IF(AND(ISNUMBER(C624),ISNUMBER(C623),C623&lt;&gt;0),C624/C623-1,""),"")</f>
        <v/>
      </c>
      <c r="F624" s="28">
        <f>IFERROR(D624-Dashboard!$B$4/252,"")</f>
        <v/>
      </c>
      <c r="G624" s="28">
        <f>IFERROR(E624-Dashboard!$B$4/252,"")</f>
        <v/>
      </c>
      <c r="H624" s="8">
        <f>IFERROR(IF(ISNUMBER(B624),MAX(B624,IFERROR(H623,B624)),""),"")</f>
        <v/>
      </c>
      <c r="I624" s="29">
        <f>IFERROR(IF(AND(ISNUMBER(B624),ISNUMBER(H624)),B624/H624-1,""),"")</f>
        <v/>
      </c>
      <c r="J624" s="8">
        <f>IFERROR(IF(ISNUMBER(C624),MAX(C624,IFERROR(J623,C624)),""),"")</f>
        <v/>
      </c>
      <c r="K624" s="29">
        <f>IFERROR(IF(AND(ISNUMBER(C624),ISNUMBER(J624)),C624/J624-1,""),"")</f>
        <v/>
      </c>
      <c r="L624" s="28">
        <f>IFERROR(IF(AND(ISNUMBER(D624),ISNUMBER(E624)),D624-E624,""),"")</f>
        <v/>
      </c>
    </row>
    <row r="625">
      <c r="A625" s="7">
        <f>IFERROR(Datos!A625,"")</f>
        <v/>
      </c>
      <c r="B625" s="8">
        <f>IFERROR(Datos!B625,"")</f>
        <v/>
      </c>
      <c r="C625" s="8">
        <f>IFERROR(Datos!C625,"")</f>
        <v/>
      </c>
      <c r="D625" s="28">
        <f>IFERROR(IF(AND(ISNUMBER(B625),ISNUMBER(B624),B624&lt;&gt;0),B625/B624-1,""),"")</f>
        <v/>
      </c>
      <c r="E625" s="28">
        <f>IFERROR(IF(AND(ISNUMBER(C625),ISNUMBER(C624),C624&lt;&gt;0),C625/C624-1,""),"")</f>
        <v/>
      </c>
      <c r="F625" s="28">
        <f>IFERROR(D625-Dashboard!$B$4/252,"")</f>
        <v/>
      </c>
      <c r="G625" s="28">
        <f>IFERROR(E625-Dashboard!$B$4/252,"")</f>
        <v/>
      </c>
      <c r="H625" s="8">
        <f>IFERROR(IF(ISNUMBER(B625),MAX(B625,IFERROR(H624,B625)),""),"")</f>
        <v/>
      </c>
      <c r="I625" s="29">
        <f>IFERROR(IF(AND(ISNUMBER(B625),ISNUMBER(H625)),B625/H625-1,""),"")</f>
        <v/>
      </c>
      <c r="J625" s="8">
        <f>IFERROR(IF(ISNUMBER(C625),MAX(C625,IFERROR(J624,C625)),""),"")</f>
        <v/>
      </c>
      <c r="K625" s="29">
        <f>IFERROR(IF(AND(ISNUMBER(C625),ISNUMBER(J625)),C625/J625-1,""),"")</f>
        <v/>
      </c>
      <c r="L625" s="28">
        <f>IFERROR(IF(AND(ISNUMBER(D625),ISNUMBER(E625)),D625-E625,""),"")</f>
        <v/>
      </c>
    </row>
    <row r="626">
      <c r="A626" s="7">
        <f>IFERROR(Datos!A626,"")</f>
        <v/>
      </c>
      <c r="B626" s="8">
        <f>IFERROR(Datos!B626,"")</f>
        <v/>
      </c>
      <c r="C626" s="8">
        <f>IFERROR(Datos!C626,"")</f>
        <v/>
      </c>
      <c r="D626" s="28">
        <f>IFERROR(IF(AND(ISNUMBER(B626),ISNUMBER(B625),B625&lt;&gt;0),B626/B625-1,""),"")</f>
        <v/>
      </c>
      <c r="E626" s="28">
        <f>IFERROR(IF(AND(ISNUMBER(C626),ISNUMBER(C625),C625&lt;&gt;0),C626/C625-1,""),"")</f>
        <v/>
      </c>
      <c r="F626" s="28">
        <f>IFERROR(D626-Dashboard!$B$4/252,"")</f>
        <v/>
      </c>
      <c r="G626" s="28">
        <f>IFERROR(E626-Dashboard!$B$4/252,"")</f>
        <v/>
      </c>
      <c r="H626" s="8">
        <f>IFERROR(IF(ISNUMBER(B626),MAX(B626,IFERROR(H625,B626)),""),"")</f>
        <v/>
      </c>
      <c r="I626" s="29">
        <f>IFERROR(IF(AND(ISNUMBER(B626),ISNUMBER(H626)),B626/H626-1,""),"")</f>
        <v/>
      </c>
      <c r="J626" s="8">
        <f>IFERROR(IF(ISNUMBER(C626),MAX(C626,IFERROR(J625,C626)),""),"")</f>
        <v/>
      </c>
      <c r="K626" s="29">
        <f>IFERROR(IF(AND(ISNUMBER(C626),ISNUMBER(J626)),C626/J626-1,""),"")</f>
        <v/>
      </c>
      <c r="L626" s="28">
        <f>IFERROR(IF(AND(ISNUMBER(D626),ISNUMBER(E626)),D626-E626,""),"")</f>
        <v/>
      </c>
    </row>
    <row r="627">
      <c r="A627" s="7">
        <f>IFERROR(Datos!A627,"")</f>
        <v/>
      </c>
      <c r="B627" s="8">
        <f>IFERROR(Datos!B627,"")</f>
        <v/>
      </c>
      <c r="C627" s="8">
        <f>IFERROR(Datos!C627,"")</f>
        <v/>
      </c>
      <c r="D627" s="28">
        <f>IFERROR(IF(AND(ISNUMBER(B627),ISNUMBER(B626),B626&lt;&gt;0),B627/B626-1,""),"")</f>
        <v/>
      </c>
      <c r="E627" s="28">
        <f>IFERROR(IF(AND(ISNUMBER(C627),ISNUMBER(C626),C626&lt;&gt;0),C627/C626-1,""),"")</f>
        <v/>
      </c>
      <c r="F627" s="28">
        <f>IFERROR(D627-Dashboard!$B$4/252,"")</f>
        <v/>
      </c>
      <c r="G627" s="28">
        <f>IFERROR(E627-Dashboard!$B$4/252,"")</f>
        <v/>
      </c>
      <c r="H627" s="8">
        <f>IFERROR(IF(ISNUMBER(B627),MAX(B627,IFERROR(H626,B627)),""),"")</f>
        <v/>
      </c>
      <c r="I627" s="29">
        <f>IFERROR(IF(AND(ISNUMBER(B627),ISNUMBER(H627)),B627/H627-1,""),"")</f>
        <v/>
      </c>
      <c r="J627" s="8">
        <f>IFERROR(IF(ISNUMBER(C627),MAX(C627,IFERROR(J626,C627)),""),"")</f>
        <v/>
      </c>
      <c r="K627" s="29">
        <f>IFERROR(IF(AND(ISNUMBER(C627),ISNUMBER(J627)),C627/J627-1,""),"")</f>
        <v/>
      </c>
      <c r="L627" s="28">
        <f>IFERROR(IF(AND(ISNUMBER(D627),ISNUMBER(E627)),D627-E627,""),"")</f>
        <v/>
      </c>
    </row>
    <row r="628">
      <c r="A628" s="7">
        <f>IFERROR(Datos!A628,"")</f>
        <v/>
      </c>
      <c r="B628" s="8">
        <f>IFERROR(Datos!B628,"")</f>
        <v/>
      </c>
      <c r="C628" s="8">
        <f>IFERROR(Datos!C628,"")</f>
        <v/>
      </c>
      <c r="D628" s="28">
        <f>IFERROR(IF(AND(ISNUMBER(B628),ISNUMBER(B627),B627&lt;&gt;0),B628/B627-1,""),"")</f>
        <v/>
      </c>
      <c r="E628" s="28">
        <f>IFERROR(IF(AND(ISNUMBER(C628),ISNUMBER(C627),C627&lt;&gt;0),C628/C627-1,""),"")</f>
        <v/>
      </c>
      <c r="F628" s="28">
        <f>IFERROR(D628-Dashboard!$B$4/252,"")</f>
        <v/>
      </c>
      <c r="G628" s="28">
        <f>IFERROR(E628-Dashboard!$B$4/252,"")</f>
        <v/>
      </c>
      <c r="H628" s="8">
        <f>IFERROR(IF(ISNUMBER(B628),MAX(B628,IFERROR(H627,B628)),""),"")</f>
        <v/>
      </c>
      <c r="I628" s="29">
        <f>IFERROR(IF(AND(ISNUMBER(B628),ISNUMBER(H628)),B628/H628-1,""),"")</f>
        <v/>
      </c>
      <c r="J628" s="8">
        <f>IFERROR(IF(ISNUMBER(C628),MAX(C628,IFERROR(J627,C628)),""),"")</f>
        <v/>
      </c>
      <c r="K628" s="29">
        <f>IFERROR(IF(AND(ISNUMBER(C628),ISNUMBER(J628)),C628/J628-1,""),"")</f>
        <v/>
      </c>
      <c r="L628" s="28">
        <f>IFERROR(IF(AND(ISNUMBER(D628),ISNUMBER(E628)),D628-E628,""),"")</f>
        <v/>
      </c>
    </row>
    <row r="629">
      <c r="A629" s="7">
        <f>IFERROR(Datos!A629,"")</f>
        <v/>
      </c>
      <c r="B629" s="8">
        <f>IFERROR(Datos!B629,"")</f>
        <v/>
      </c>
      <c r="C629" s="8">
        <f>IFERROR(Datos!C629,"")</f>
        <v/>
      </c>
      <c r="D629" s="28">
        <f>IFERROR(IF(AND(ISNUMBER(B629),ISNUMBER(B628),B628&lt;&gt;0),B629/B628-1,""),"")</f>
        <v/>
      </c>
      <c r="E629" s="28">
        <f>IFERROR(IF(AND(ISNUMBER(C629),ISNUMBER(C628),C628&lt;&gt;0),C629/C628-1,""),"")</f>
        <v/>
      </c>
      <c r="F629" s="28">
        <f>IFERROR(D629-Dashboard!$B$4/252,"")</f>
        <v/>
      </c>
      <c r="G629" s="28">
        <f>IFERROR(E629-Dashboard!$B$4/252,"")</f>
        <v/>
      </c>
      <c r="H629" s="8">
        <f>IFERROR(IF(ISNUMBER(B629),MAX(B629,IFERROR(H628,B629)),""),"")</f>
        <v/>
      </c>
      <c r="I629" s="29">
        <f>IFERROR(IF(AND(ISNUMBER(B629),ISNUMBER(H629)),B629/H629-1,""),"")</f>
        <v/>
      </c>
      <c r="J629" s="8">
        <f>IFERROR(IF(ISNUMBER(C629),MAX(C629,IFERROR(J628,C629)),""),"")</f>
        <v/>
      </c>
      <c r="K629" s="29">
        <f>IFERROR(IF(AND(ISNUMBER(C629),ISNUMBER(J629)),C629/J629-1,""),"")</f>
        <v/>
      </c>
      <c r="L629" s="28">
        <f>IFERROR(IF(AND(ISNUMBER(D629),ISNUMBER(E629)),D629-E629,""),"")</f>
        <v/>
      </c>
    </row>
    <row r="630">
      <c r="A630" s="7">
        <f>IFERROR(Datos!A630,"")</f>
        <v/>
      </c>
      <c r="B630" s="8">
        <f>IFERROR(Datos!B630,"")</f>
        <v/>
      </c>
      <c r="C630" s="8">
        <f>IFERROR(Datos!C630,"")</f>
        <v/>
      </c>
      <c r="D630" s="28">
        <f>IFERROR(IF(AND(ISNUMBER(B630),ISNUMBER(B629),B629&lt;&gt;0),B630/B629-1,""),"")</f>
        <v/>
      </c>
      <c r="E630" s="28">
        <f>IFERROR(IF(AND(ISNUMBER(C630),ISNUMBER(C629),C629&lt;&gt;0),C630/C629-1,""),"")</f>
        <v/>
      </c>
      <c r="F630" s="28">
        <f>IFERROR(D630-Dashboard!$B$4/252,"")</f>
        <v/>
      </c>
      <c r="G630" s="28">
        <f>IFERROR(E630-Dashboard!$B$4/252,"")</f>
        <v/>
      </c>
      <c r="H630" s="8">
        <f>IFERROR(IF(ISNUMBER(B630),MAX(B630,IFERROR(H629,B630)),""),"")</f>
        <v/>
      </c>
      <c r="I630" s="29">
        <f>IFERROR(IF(AND(ISNUMBER(B630),ISNUMBER(H630)),B630/H630-1,""),"")</f>
        <v/>
      </c>
      <c r="J630" s="8">
        <f>IFERROR(IF(ISNUMBER(C630),MAX(C630,IFERROR(J629,C630)),""),"")</f>
        <v/>
      </c>
      <c r="K630" s="29">
        <f>IFERROR(IF(AND(ISNUMBER(C630),ISNUMBER(J630)),C630/J630-1,""),"")</f>
        <v/>
      </c>
      <c r="L630" s="28">
        <f>IFERROR(IF(AND(ISNUMBER(D630),ISNUMBER(E630)),D630-E630,""),"")</f>
        <v/>
      </c>
    </row>
    <row r="631">
      <c r="A631" s="7">
        <f>IFERROR(Datos!A631,"")</f>
        <v/>
      </c>
      <c r="B631" s="8">
        <f>IFERROR(Datos!B631,"")</f>
        <v/>
      </c>
      <c r="C631" s="8">
        <f>IFERROR(Datos!C631,"")</f>
        <v/>
      </c>
      <c r="D631" s="28">
        <f>IFERROR(IF(AND(ISNUMBER(B631),ISNUMBER(B630),B630&lt;&gt;0),B631/B630-1,""),"")</f>
        <v/>
      </c>
      <c r="E631" s="28">
        <f>IFERROR(IF(AND(ISNUMBER(C631),ISNUMBER(C630),C630&lt;&gt;0),C631/C630-1,""),"")</f>
        <v/>
      </c>
      <c r="F631" s="28">
        <f>IFERROR(D631-Dashboard!$B$4/252,"")</f>
        <v/>
      </c>
      <c r="G631" s="28">
        <f>IFERROR(E631-Dashboard!$B$4/252,"")</f>
        <v/>
      </c>
      <c r="H631" s="8">
        <f>IFERROR(IF(ISNUMBER(B631),MAX(B631,IFERROR(H630,B631)),""),"")</f>
        <v/>
      </c>
      <c r="I631" s="29">
        <f>IFERROR(IF(AND(ISNUMBER(B631),ISNUMBER(H631)),B631/H631-1,""),"")</f>
        <v/>
      </c>
      <c r="J631" s="8">
        <f>IFERROR(IF(ISNUMBER(C631),MAX(C631,IFERROR(J630,C631)),""),"")</f>
        <v/>
      </c>
      <c r="K631" s="29">
        <f>IFERROR(IF(AND(ISNUMBER(C631),ISNUMBER(J631)),C631/J631-1,""),"")</f>
        <v/>
      </c>
      <c r="L631" s="28">
        <f>IFERROR(IF(AND(ISNUMBER(D631),ISNUMBER(E631)),D631-E631,""),"")</f>
        <v/>
      </c>
    </row>
    <row r="632">
      <c r="A632" s="7">
        <f>IFERROR(Datos!A632,"")</f>
        <v/>
      </c>
      <c r="B632" s="8">
        <f>IFERROR(Datos!B632,"")</f>
        <v/>
      </c>
      <c r="C632" s="8">
        <f>IFERROR(Datos!C632,"")</f>
        <v/>
      </c>
      <c r="D632" s="28">
        <f>IFERROR(IF(AND(ISNUMBER(B632),ISNUMBER(B631),B631&lt;&gt;0),B632/B631-1,""),"")</f>
        <v/>
      </c>
      <c r="E632" s="28">
        <f>IFERROR(IF(AND(ISNUMBER(C632),ISNUMBER(C631),C631&lt;&gt;0),C632/C631-1,""),"")</f>
        <v/>
      </c>
      <c r="F632" s="28">
        <f>IFERROR(D632-Dashboard!$B$4/252,"")</f>
        <v/>
      </c>
      <c r="G632" s="28">
        <f>IFERROR(E632-Dashboard!$B$4/252,"")</f>
        <v/>
      </c>
      <c r="H632" s="8">
        <f>IFERROR(IF(ISNUMBER(B632),MAX(B632,IFERROR(H631,B632)),""),"")</f>
        <v/>
      </c>
      <c r="I632" s="29">
        <f>IFERROR(IF(AND(ISNUMBER(B632),ISNUMBER(H632)),B632/H632-1,""),"")</f>
        <v/>
      </c>
      <c r="J632" s="8">
        <f>IFERROR(IF(ISNUMBER(C632),MAX(C632,IFERROR(J631,C632)),""),"")</f>
        <v/>
      </c>
      <c r="K632" s="29">
        <f>IFERROR(IF(AND(ISNUMBER(C632),ISNUMBER(J632)),C632/J632-1,""),"")</f>
        <v/>
      </c>
      <c r="L632" s="28">
        <f>IFERROR(IF(AND(ISNUMBER(D632),ISNUMBER(E632)),D632-E632,""),"")</f>
        <v/>
      </c>
    </row>
    <row r="633">
      <c r="A633" s="7">
        <f>IFERROR(Datos!A633,"")</f>
        <v/>
      </c>
      <c r="B633" s="8">
        <f>IFERROR(Datos!B633,"")</f>
        <v/>
      </c>
      <c r="C633" s="8">
        <f>IFERROR(Datos!C633,"")</f>
        <v/>
      </c>
      <c r="D633" s="28">
        <f>IFERROR(IF(AND(ISNUMBER(B633),ISNUMBER(B632),B632&lt;&gt;0),B633/B632-1,""),"")</f>
        <v/>
      </c>
      <c r="E633" s="28">
        <f>IFERROR(IF(AND(ISNUMBER(C633),ISNUMBER(C632),C632&lt;&gt;0),C633/C632-1,""),"")</f>
        <v/>
      </c>
      <c r="F633" s="28">
        <f>IFERROR(D633-Dashboard!$B$4/252,"")</f>
        <v/>
      </c>
      <c r="G633" s="28">
        <f>IFERROR(E633-Dashboard!$B$4/252,"")</f>
        <v/>
      </c>
      <c r="H633" s="8">
        <f>IFERROR(IF(ISNUMBER(B633),MAX(B633,IFERROR(H632,B633)),""),"")</f>
        <v/>
      </c>
      <c r="I633" s="29">
        <f>IFERROR(IF(AND(ISNUMBER(B633),ISNUMBER(H633)),B633/H633-1,""),"")</f>
        <v/>
      </c>
      <c r="J633" s="8">
        <f>IFERROR(IF(ISNUMBER(C633),MAX(C633,IFERROR(J632,C633)),""),"")</f>
        <v/>
      </c>
      <c r="K633" s="29">
        <f>IFERROR(IF(AND(ISNUMBER(C633),ISNUMBER(J633)),C633/J633-1,""),"")</f>
        <v/>
      </c>
      <c r="L633" s="28">
        <f>IFERROR(IF(AND(ISNUMBER(D633),ISNUMBER(E633)),D633-E633,""),"")</f>
        <v/>
      </c>
    </row>
    <row r="634">
      <c r="A634" s="7">
        <f>IFERROR(Datos!A634,"")</f>
        <v/>
      </c>
      <c r="B634" s="8">
        <f>IFERROR(Datos!B634,"")</f>
        <v/>
      </c>
      <c r="C634" s="8">
        <f>IFERROR(Datos!C634,"")</f>
        <v/>
      </c>
      <c r="D634" s="28">
        <f>IFERROR(IF(AND(ISNUMBER(B634),ISNUMBER(B633),B633&lt;&gt;0),B634/B633-1,""),"")</f>
        <v/>
      </c>
      <c r="E634" s="28">
        <f>IFERROR(IF(AND(ISNUMBER(C634),ISNUMBER(C633),C633&lt;&gt;0),C634/C633-1,""),"")</f>
        <v/>
      </c>
      <c r="F634" s="28">
        <f>IFERROR(D634-Dashboard!$B$4/252,"")</f>
        <v/>
      </c>
      <c r="G634" s="28">
        <f>IFERROR(E634-Dashboard!$B$4/252,"")</f>
        <v/>
      </c>
      <c r="H634" s="8">
        <f>IFERROR(IF(ISNUMBER(B634),MAX(B634,IFERROR(H633,B634)),""),"")</f>
        <v/>
      </c>
      <c r="I634" s="29">
        <f>IFERROR(IF(AND(ISNUMBER(B634),ISNUMBER(H634)),B634/H634-1,""),"")</f>
        <v/>
      </c>
      <c r="J634" s="8">
        <f>IFERROR(IF(ISNUMBER(C634),MAX(C634,IFERROR(J633,C634)),""),"")</f>
        <v/>
      </c>
      <c r="K634" s="29">
        <f>IFERROR(IF(AND(ISNUMBER(C634),ISNUMBER(J634)),C634/J634-1,""),"")</f>
        <v/>
      </c>
      <c r="L634" s="28">
        <f>IFERROR(IF(AND(ISNUMBER(D634),ISNUMBER(E634)),D634-E634,""),"")</f>
        <v/>
      </c>
    </row>
    <row r="635">
      <c r="A635" s="7">
        <f>IFERROR(Datos!A635,"")</f>
        <v/>
      </c>
      <c r="B635" s="8">
        <f>IFERROR(Datos!B635,"")</f>
        <v/>
      </c>
      <c r="C635" s="8">
        <f>IFERROR(Datos!C635,"")</f>
        <v/>
      </c>
      <c r="D635" s="28">
        <f>IFERROR(IF(AND(ISNUMBER(B635),ISNUMBER(B634),B634&lt;&gt;0),B635/B634-1,""),"")</f>
        <v/>
      </c>
      <c r="E635" s="28">
        <f>IFERROR(IF(AND(ISNUMBER(C635),ISNUMBER(C634),C634&lt;&gt;0),C635/C634-1,""),"")</f>
        <v/>
      </c>
      <c r="F635" s="28">
        <f>IFERROR(D635-Dashboard!$B$4/252,"")</f>
        <v/>
      </c>
      <c r="G635" s="28">
        <f>IFERROR(E635-Dashboard!$B$4/252,"")</f>
        <v/>
      </c>
      <c r="H635" s="8">
        <f>IFERROR(IF(ISNUMBER(B635),MAX(B635,IFERROR(H634,B635)),""),"")</f>
        <v/>
      </c>
      <c r="I635" s="29">
        <f>IFERROR(IF(AND(ISNUMBER(B635),ISNUMBER(H635)),B635/H635-1,""),"")</f>
        <v/>
      </c>
      <c r="J635" s="8">
        <f>IFERROR(IF(ISNUMBER(C635),MAX(C635,IFERROR(J634,C635)),""),"")</f>
        <v/>
      </c>
      <c r="K635" s="29">
        <f>IFERROR(IF(AND(ISNUMBER(C635),ISNUMBER(J635)),C635/J635-1,""),"")</f>
        <v/>
      </c>
      <c r="L635" s="28">
        <f>IFERROR(IF(AND(ISNUMBER(D635),ISNUMBER(E635)),D635-E635,""),"")</f>
        <v/>
      </c>
    </row>
    <row r="636">
      <c r="A636" s="7">
        <f>IFERROR(Datos!A636,"")</f>
        <v/>
      </c>
      <c r="B636" s="8">
        <f>IFERROR(Datos!B636,"")</f>
        <v/>
      </c>
      <c r="C636" s="8">
        <f>IFERROR(Datos!C636,"")</f>
        <v/>
      </c>
      <c r="D636" s="28">
        <f>IFERROR(IF(AND(ISNUMBER(B636),ISNUMBER(B635),B635&lt;&gt;0),B636/B635-1,""),"")</f>
        <v/>
      </c>
      <c r="E636" s="28">
        <f>IFERROR(IF(AND(ISNUMBER(C636),ISNUMBER(C635),C635&lt;&gt;0),C636/C635-1,""),"")</f>
        <v/>
      </c>
      <c r="F636" s="28">
        <f>IFERROR(D636-Dashboard!$B$4/252,"")</f>
        <v/>
      </c>
      <c r="G636" s="28">
        <f>IFERROR(E636-Dashboard!$B$4/252,"")</f>
        <v/>
      </c>
      <c r="H636" s="8">
        <f>IFERROR(IF(ISNUMBER(B636),MAX(B636,IFERROR(H635,B636)),""),"")</f>
        <v/>
      </c>
      <c r="I636" s="29">
        <f>IFERROR(IF(AND(ISNUMBER(B636),ISNUMBER(H636)),B636/H636-1,""),"")</f>
        <v/>
      </c>
      <c r="J636" s="8">
        <f>IFERROR(IF(ISNUMBER(C636),MAX(C636,IFERROR(J635,C636)),""),"")</f>
        <v/>
      </c>
      <c r="K636" s="29">
        <f>IFERROR(IF(AND(ISNUMBER(C636),ISNUMBER(J636)),C636/J636-1,""),"")</f>
        <v/>
      </c>
      <c r="L636" s="28">
        <f>IFERROR(IF(AND(ISNUMBER(D636),ISNUMBER(E636)),D636-E636,""),"")</f>
        <v/>
      </c>
    </row>
    <row r="637">
      <c r="A637" s="7">
        <f>IFERROR(Datos!A637,"")</f>
        <v/>
      </c>
      <c r="B637" s="8">
        <f>IFERROR(Datos!B637,"")</f>
        <v/>
      </c>
      <c r="C637" s="8">
        <f>IFERROR(Datos!C637,"")</f>
        <v/>
      </c>
      <c r="D637" s="28">
        <f>IFERROR(IF(AND(ISNUMBER(B637),ISNUMBER(B636),B636&lt;&gt;0),B637/B636-1,""),"")</f>
        <v/>
      </c>
      <c r="E637" s="28">
        <f>IFERROR(IF(AND(ISNUMBER(C637),ISNUMBER(C636),C636&lt;&gt;0),C637/C636-1,""),"")</f>
        <v/>
      </c>
      <c r="F637" s="28">
        <f>IFERROR(D637-Dashboard!$B$4/252,"")</f>
        <v/>
      </c>
      <c r="G637" s="28">
        <f>IFERROR(E637-Dashboard!$B$4/252,"")</f>
        <v/>
      </c>
      <c r="H637" s="8">
        <f>IFERROR(IF(ISNUMBER(B637),MAX(B637,IFERROR(H636,B637)),""),"")</f>
        <v/>
      </c>
      <c r="I637" s="29">
        <f>IFERROR(IF(AND(ISNUMBER(B637),ISNUMBER(H637)),B637/H637-1,""),"")</f>
        <v/>
      </c>
      <c r="J637" s="8">
        <f>IFERROR(IF(ISNUMBER(C637),MAX(C637,IFERROR(J636,C637)),""),"")</f>
        <v/>
      </c>
      <c r="K637" s="29">
        <f>IFERROR(IF(AND(ISNUMBER(C637),ISNUMBER(J637)),C637/J637-1,""),"")</f>
        <v/>
      </c>
      <c r="L637" s="28">
        <f>IFERROR(IF(AND(ISNUMBER(D637),ISNUMBER(E637)),D637-E637,""),"")</f>
        <v/>
      </c>
    </row>
    <row r="638">
      <c r="A638" s="7">
        <f>IFERROR(Datos!A638,"")</f>
        <v/>
      </c>
      <c r="B638" s="8">
        <f>IFERROR(Datos!B638,"")</f>
        <v/>
      </c>
      <c r="C638" s="8">
        <f>IFERROR(Datos!C638,"")</f>
        <v/>
      </c>
      <c r="D638" s="28">
        <f>IFERROR(IF(AND(ISNUMBER(B638),ISNUMBER(B637),B637&lt;&gt;0),B638/B637-1,""),"")</f>
        <v/>
      </c>
      <c r="E638" s="28">
        <f>IFERROR(IF(AND(ISNUMBER(C638),ISNUMBER(C637),C637&lt;&gt;0),C638/C637-1,""),"")</f>
        <v/>
      </c>
      <c r="F638" s="28">
        <f>IFERROR(D638-Dashboard!$B$4/252,"")</f>
        <v/>
      </c>
      <c r="G638" s="28">
        <f>IFERROR(E638-Dashboard!$B$4/252,"")</f>
        <v/>
      </c>
      <c r="H638" s="8">
        <f>IFERROR(IF(ISNUMBER(B638),MAX(B638,IFERROR(H637,B638)),""),"")</f>
        <v/>
      </c>
      <c r="I638" s="29">
        <f>IFERROR(IF(AND(ISNUMBER(B638),ISNUMBER(H638)),B638/H638-1,""),"")</f>
        <v/>
      </c>
      <c r="J638" s="8">
        <f>IFERROR(IF(ISNUMBER(C638),MAX(C638,IFERROR(J637,C638)),""),"")</f>
        <v/>
      </c>
      <c r="K638" s="29">
        <f>IFERROR(IF(AND(ISNUMBER(C638),ISNUMBER(J638)),C638/J638-1,""),"")</f>
        <v/>
      </c>
      <c r="L638" s="28">
        <f>IFERROR(IF(AND(ISNUMBER(D638),ISNUMBER(E638)),D638-E638,""),"")</f>
        <v/>
      </c>
    </row>
    <row r="639">
      <c r="A639" s="7">
        <f>IFERROR(Datos!A639,"")</f>
        <v/>
      </c>
      <c r="B639" s="8">
        <f>IFERROR(Datos!B639,"")</f>
        <v/>
      </c>
      <c r="C639" s="8">
        <f>IFERROR(Datos!C639,"")</f>
        <v/>
      </c>
      <c r="D639" s="28">
        <f>IFERROR(IF(AND(ISNUMBER(B639),ISNUMBER(B638),B638&lt;&gt;0),B639/B638-1,""),"")</f>
        <v/>
      </c>
      <c r="E639" s="28">
        <f>IFERROR(IF(AND(ISNUMBER(C639),ISNUMBER(C638),C638&lt;&gt;0),C639/C638-1,""),"")</f>
        <v/>
      </c>
      <c r="F639" s="28">
        <f>IFERROR(D639-Dashboard!$B$4/252,"")</f>
        <v/>
      </c>
      <c r="G639" s="28">
        <f>IFERROR(E639-Dashboard!$B$4/252,"")</f>
        <v/>
      </c>
      <c r="H639" s="8">
        <f>IFERROR(IF(ISNUMBER(B639),MAX(B639,IFERROR(H638,B639)),""),"")</f>
        <v/>
      </c>
      <c r="I639" s="29">
        <f>IFERROR(IF(AND(ISNUMBER(B639),ISNUMBER(H639)),B639/H639-1,""),"")</f>
        <v/>
      </c>
      <c r="J639" s="8">
        <f>IFERROR(IF(ISNUMBER(C639),MAX(C639,IFERROR(J638,C639)),""),"")</f>
        <v/>
      </c>
      <c r="K639" s="29">
        <f>IFERROR(IF(AND(ISNUMBER(C639),ISNUMBER(J639)),C639/J639-1,""),"")</f>
        <v/>
      </c>
      <c r="L639" s="28">
        <f>IFERROR(IF(AND(ISNUMBER(D639),ISNUMBER(E639)),D639-E639,""),"")</f>
        <v/>
      </c>
    </row>
    <row r="640">
      <c r="A640" s="7">
        <f>IFERROR(Datos!A640,"")</f>
        <v/>
      </c>
      <c r="B640" s="8">
        <f>IFERROR(Datos!B640,"")</f>
        <v/>
      </c>
      <c r="C640" s="8">
        <f>IFERROR(Datos!C640,"")</f>
        <v/>
      </c>
      <c r="D640" s="28">
        <f>IFERROR(IF(AND(ISNUMBER(B640),ISNUMBER(B639),B639&lt;&gt;0),B640/B639-1,""),"")</f>
        <v/>
      </c>
      <c r="E640" s="28">
        <f>IFERROR(IF(AND(ISNUMBER(C640),ISNUMBER(C639),C639&lt;&gt;0),C640/C639-1,""),"")</f>
        <v/>
      </c>
      <c r="F640" s="28">
        <f>IFERROR(D640-Dashboard!$B$4/252,"")</f>
        <v/>
      </c>
      <c r="G640" s="28">
        <f>IFERROR(E640-Dashboard!$B$4/252,"")</f>
        <v/>
      </c>
      <c r="H640" s="8">
        <f>IFERROR(IF(ISNUMBER(B640),MAX(B640,IFERROR(H639,B640)),""),"")</f>
        <v/>
      </c>
      <c r="I640" s="29">
        <f>IFERROR(IF(AND(ISNUMBER(B640),ISNUMBER(H640)),B640/H640-1,""),"")</f>
        <v/>
      </c>
      <c r="J640" s="8">
        <f>IFERROR(IF(ISNUMBER(C640),MAX(C640,IFERROR(J639,C640)),""),"")</f>
        <v/>
      </c>
      <c r="K640" s="29">
        <f>IFERROR(IF(AND(ISNUMBER(C640),ISNUMBER(J640)),C640/J640-1,""),"")</f>
        <v/>
      </c>
      <c r="L640" s="28">
        <f>IFERROR(IF(AND(ISNUMBER(D640),ISNUMBER(E640)),D640-E640,""),"")</f>
        <v/>
      </c>
    </row>
    <row r="641">
      <c r="A641" s="7">
        <f>IFERROR(Datos!A641,"")</f>
        <v/>
      </c>
      <c r="B641" s="8">
        <f>IFERROR(Datos!B641,"")</f>
        <v/>
      </c>
      <c r="C641" s="8">
        <f>IFERROR(Datos!C641,"")</f>
        <v/>
      </c>
      <c r="D641" s="28">
        <f>IFERROR(IF(AND(ISNUMBER(B641),ISNUMBER(B640),B640&lt;&gt;0),B641/B640-1,""),"")</f>
        <v/>
      </c>
      <c r="E641" s="28">
        <f>IFERROR(IF(AND(ISNUMBER(C641),ISNUMBER(C640),C640&lt;&gt;0),C641/C640-1,""),"")</f>
        <v/>
      </c>
      <c r="F641" s="28">
        <f>IFERROR(D641-Dashboard!$B$4/252,"")</f>
        <v/>
      </c>
      <c r="G641" s="28">
        <f>IFERROR(E641-Dashboard!$B$4/252,"")</f>
        <v/>
      </c>
      <c r="H641" s="8">
        <f>IFERROR(IF(ISNUMBER(B641),MAX(B641,IFERROR(H640,B641)),""),"")</f>
        <v/>
      </c>
      <c r="I641" s="29">
        <f>IFERROR(IF(AND(ISNUMBER(B641),ISNUMBER(H641)),B641/H641-1,""),"")</f>
        <v/>
      </c>
      <c r="J641" s="8">
        <f>IFERROR(IF(ISNUMBER(C641),MAX(C641,IFERROR(J640,C641)),""),"")</f>
        <v/>
      </c>
      <c r="K641" s="29">
        <f>IFERROR(IF(AND(ISNUMBER(C641),ISNUMBER(J641)),C641/J641-1,""),"")</f>
        <v/>
      </c>
      <c r="L641" s="28">
        <f>IFERROR(IF(AND(ISNUMBER(D641),ISNUMBER(E641)),D641-E641,""),"")</f>
        <v/>
      </c>
    </row>
    <row r="642">
      <c r="A642" s="7">
        <f>IFERROR(Datos!A642,"")</f>
        <v/>
      </c>
      <c r="B642" s="8">
        <f>IFERROR(Datos!B642,"")</f>
        <v/>
      </c>
      <c r="C642" s="8">
        <f>IFERROR(Datos!C642,"")</f>
        <v/>
      </c>
      <c r="D642" s="28">
        <f>IFERROR(IF(AND(ISNUMBER(B642),ISNUMBER(B641),B641&lt;&gt;0),B642/B641-1,""),"")</f>
        <v/>
      </c>
      <c r="E642" s="28">
        <f>IFERROR(IF(AND(ISNUMBER(C642),ISNUMBER(C641),C641&lt;&gt;0),C642/C641-1,""),"")</f>
        <v/>
      </c>
      <c r="F642" s="28">
        <f>IFERROR(D642-Dashboard!$B$4/252,"")</f>
        <v/>
      </c>
      <c r="G642" s="28">
        <f>IFERROR(E642-Dashboard!$B$4/252,"")</f>
        <v/>
      </c>
      <c r="H642" s="8">
        <f>IFERROR(IF(ISNUMBER(B642),MAX(B642,IFERROR(H641,B642)),""),"")</f>
        <v/>
      </c>
      <c r="I642" s="29">
        <f>IFERROR(IF(AND(ISNUMBER(B642),ISNUMBER(H642)),B642/H642-1,""),"")</f>
        <v/>
      </c>
      <c r="J642" s="8">
        <f>IFERROR(IF(ISNUMBER(C642),MAX(C642,IFERROR(J641,C642)),""),"")</f>
        <v/>
      </c>
      <c r="K642" s="29">
        <f>IFERROR(IF(AND(ISNUMBER(C642),ISNUMBER(J642)),C642/J642-1,""),"")</f>
        <v/>
      </c>
      <c r="L642" s="28">
        <f>IFERROR(IF(AND(ISNUMBER(D642),ISNUMBER(E642)),D642-E642,""),"")</f>
        <v/>
      </c>
    </row>
    <row r="643">
      <c r="A643" s="7">
        <f>IFERROR(Datos!A643,"")</f>
        <v/>
      </c>
      <c r="B643" s="8">
        <f>IFERROR(Datos!B643,"")</f>
        <v/>
      </c>
      <c r="C643" s="8">
        <f>IFERROR(Datos!C643,"")</f>
        <v/>
      </c>
      <c r="D643" s="28">
        <f>IFERROR(IF(AND(ISNUMBER(B643),ISNUMBER(B642),B642&lt;&gt;0),B643/B642-1,""),"")</f>
        <v/>
      </c>
      <c r="E643" s="28">
        <f>IFERROR(IF(AND(ISNUMBER(C643),ISNUMBER(C642),C642&lt;&gt;0),C643/C642-1,""),"")</f>
        <v/>
      </c>
      <c r="F643" s="28">
        <f>IFERROR(D643-Dashboard!$B$4/252,"")</f>
        <v/>
      </c>
      <c r="G643" s="28">
        <f>IFERROR(E643-Dashboard!$B$4/252,"")</f>
        <v/>
      </c>
      <c r="H643" s="8">
        <f>IFERROR(IF(ISNUMBER(B643),MAX(B643,IFERROR(H642,B643)),""),"")</f>
        <v/>
      </c>
      <c r="I643" s="29">
        <f>IFERROR(IF(AND(ISNUMBER(B643),ISNUMBER(H643)),B643/H643-1,""),"")</f>
        <v/>
      </c>
      <c r="J643" s="8">
        <f>IFERROR(IF(ISNUMBER(C643),MAX(C643,IFERROR(J642,C643)),""),"")</f>
        <v/>
      </c>
      <c r="K643" s="29">
        <f>IFERROR(IF(AND(ISNUMBER(C643),ISNUMBER(J643)),C643/J643-1,""),"")</f>
        <v/>
      </c>
      <c r="L643" s="28">
        <f>IFERROR(IF(AND(ISNUMBER(D643),ISNUMBER(E643)),D643-E643,""),"")</f>
        <v/>
      </c>
    </row>
    <row r="644">
      <c r="A644" s="7">
        <f>IFERROR(Datos!A644,"")</f>
        <v/>
      </c>
      <c r="B644" s="8">
        <f>IFERROR(Datos!B644,"")</f>
        <v/>
      </c>
      <c r="C644" s="8">
        <f>IFERROR(Datos!C644,"")</f>
        <v/>
      </c>
      <c r="D644" s="28">
        <f>IFERROR(IF(AND(ISNUMBER(B644),ISNUMBER(B643),B643&lt;&gt;0),B644/B643-1,""),"")</f>
        <v/>
      </c>
      <c r="E644" s="28">
        <f>IFERROR(IF(AND(ISNUMBER(C644),ISNUMBER(C643),C643&lt;&gt;0),C644/C643-1,""),"")</f>
        <v/>
      </c>
      <c r="F644" s="28">
        <f>IFERROR(D644-Dashboard!$B$4/252,"")</f>
        <v/>
      </c>
      <c r="G644" s="28">
        <f>IFERROR(E644-Dashboard!$B$4/252,"")</f>
        <v/>
      </c>
      <c r="H644" s="8">
        <f>IFERROR(IF(ISNUMBER(B644),MAX(B644,IFERROR(H643,B644)),""),"")</f>
        <v/>
      </c>
      <c r="I644" s="29">
        <f>IFERROR(IF(AND(ISNUMBER(B644),ISNUMBER(H644)),B644/H644-1,""),"")</f>
        <v/>
      </c>
      <c r="J644" s="8">
        <f>IFERROR(IF(ISNUMBER(C644),MAX(C644,IFERROR(J643,C644)),""),"")</f>
        <v/>
      </c>
      <c r="K644" s="29">
        <f>IFERROR(IF(AND(ISNUMBER(C644),ISNUMBER(J644)),C644/J644-1,""),"")</f>
        <v/>
      </c>
      <c r="L644" s="28">
        <f>IFERROR(IF(AND(ISNUMBER(D644),ISNUMBER(E644)),D644-E644,""),"")</f>
        <v/>
      </c>
    </row>
    <row r="645">
      <c r="A645" s="7">
        <f>IFERROR(Datos!A645,"")</f>
        <v/>
      </c>
      <c r="B645" s="8">
        <f>IFERROR(Datos!B645,"")</f>
        <v/>
      </c>
      <c r="C645" s="8">
        <f>IFERROR(Datos!C645,"")</f>
        <v/>
      </c>
      <c r="D645" s="28">
        <f>IFERROR(IF(AND(ISNUMBER(B645),ISNUMBER(B644),B644&lt;&gt;0),B645/B644-1,""),"")</f>
        <v/>
      </c>
      <c r="E645" s="28">
        <f>IFERROR(IF(AND(ISNUMBER(C645),ISNUMBER(C644),C644&lt;&gt;0),C645/C644-1,""),"")</f>
        <v/>
      </c>
      <c r="F645" s="28">
        <f>IFERROR(D645-Dashboard!$B$4/252,"")</f>
        <v/>
      </c>
      <c r="G645" s="28">
        <f>IFERROR(E645-Dashboard!$B$4/252,"")</f>
        <v/>
      </c>
      <c r="H645" s="8">
        <f>IFERROR(IF(ISNUMBER(B645),MAX(B645,IFERROR(H644,B645)),""),"")</f>
        <v/>
      </c>
      <c r="I645" s="29">
        <f>IFERROR(IF(AND(ISNUMBER(B645),ISNUMBER(H645)),B645/H645-1,""),"")</f>
        <v/>
      </c>
      <c r="J645" s="8">
        <f>IFERROR(IF(ISNUMBER(C645),MAX(C645,IFERROR(J644,C645)),""),"")</f>
        <v/>
      </c>
      <c r="K645" s="29">
        <f>IFERROR(IF(AND(ISNUMBER(C645),ISNUMBER(J645)),C645/J645-1,""),"")</f>
        <v/>
      </c>
      <c r="L645" s="28">
        <f>IFERROR(IF(AND(ISNUMBER(D645),ISNUMBER(E645)),D645-E645,""),"")</f>
        <v/>
      </c>
    </row>
    <row r="646">
      <c r="A646" s="7">
        <f>IFERROR(Datos!A646,"")</f>
        <v/>
      </c>
      <c r="B646" s="8">
        <f>IFERROR(Datos!B646,"")</f>
        <v/>
      </c>
      <c r="C646" s="8">
        <f>IFERROR(Datos!C646,"")</f>
        <v/>
      </c>
      <c r="D646" s="28">
        <f>IFERROR(IF(AND(ISNUMBER(B646),ISNUMBER(B645),B645&lt;&gt;0),B646/B645-1,""),"")</f>
        <v/>
      </c>
      <c r="E646" s="28">
        <f>IFERROR(IF(AND(ISNUMBER(C646),ISNUMBER(C645),C645&lt;&gt;0),C646/C645-1,""),"")</f>
        <v/>
      </c>
      <c r="F646" s="28">
        <f>IFERROR(D646-Dashboard!$B$4/252,"")</f>
        <v/>
      </c>
      <c r="G646" s="28">
        <f>IFERROR(E646-Dashboard!$B$4/252,"")</f>
        <v/>
      </c>
      <c r="H646" s="8">
        <f>IFERROR(IF(ISNUMBER(B646),MAX(B646,IFERROR(H645,B646)),""),"")</f>
        <v/>
      </c>
      <c r="I646" s="29">
        <f>IFERROR(IF(AND(ISNUMBER(B646),ISNUMBER(H646)),B646/H646-1,""),"")</f>
        <v/>
      </c>
      <c r="J646" s="8">
        <f>IFERROR(IF(ISNUMBER(C646),MAX(C646,IFERROR(J645,C646)),""),"")</f>
        <v/>
      </c>
      <c r="K646" s="29">
        <f>IFERROR(IF(AND(ISNUMBER(C646),ISNUMBER(J646)),C646/J646-1,""),"")</f>
        <v/>
      </c>
      <c r="L646" s="28">
        <f>IFERROR(IF(AND(ISNUMBER(D646),ISNUMBER(E646)),D646-E646,""),"")</f>
        <v/>
      </c>
    </row>
    <row r="647">
      <c r="A647" s="7">
        <f>IFERROR(Datos!A647,"")</f>
        <v/>
      </c>
      <c r="B647" s="8">
        <f>IFERROR(Datos!B647,"")</f>
        <v/>
      </c>
      <c r="C647" s="8">
        <f>IFERROR(Datos!C647,"")</f>
        <v/>
      </c>
      <c r="D647" s="28">
        <f>IFERROR(IF(AND(ISNUMBER(B647),ISNUMBER(B646),B646&lt;&gt;0),B647/B646-1,""),"")</f>
        <v/>
      </c>
      <c r="E647" s="28">
        <f>IFERROR(IF(AND(ISNUMBER(C647),ISNUMBER(C646),C646&lt;&gt;0),C647/C646-1,""),"")</f>
        <v/>
      </c>
      <c r="F647" s="28">
        <f>IFERROR(D647-Dashboard!$B$4/252,"")</f>
        <v/>
      </c>
      <c r="G647" s="28">
        <f>IFERROR(E647-Dashboard!$B$4/252,"")</f>
        <v/>
      </c>
      <c r="H647" s="8">
        <f>IFERROR(IF(ISNUMBER(B647),MAX(B647,IFERROR(H646,B647)),""),"")</f>
        <v/>
      </c>
      <c r="I647" s="29">
        <f>IFERROR(IF(AND(ISNUMBER(B647),ISNUMBER(H647)),B647/H647-1,""),"")</f>
        <v/>
      </c>
      <c r="J647" s="8">
        <f>IFERROR(IF(ISNUMBER(C647),MAX(C647,IFERROR(J646,C647)),""),"")</f>
        <v/>
      </c>
      <c r="K647" s="29">
        <f>IFERROR(IF(AND(ISNUMBER(C647),ISNUMBER(J647)),C647/J647-1,""),"")</f>
        <v/>
      </c>
      <c r="L647" s="28">
        <f>IFERROR(IF(AND(ISNUMBER(D647),ISNUMBER(E647)),D647-E647,""),"")</f>
        <v/>
      </c>
    </row>
    <row r="648">
      <c r="A648" s="7">
        <f>IFERROR(Datos!A648,"")</f>
        <v/>
      </c>
      <c r="B648" s="8">
        <f>IFERROR(Datos!B648,"")</f>
        <v/>
      </c>
      <c r="C648" s="8">
        <f>IFERROR(Datos!C648,"")</f>
        <v/>
      </c>
      <c r="D648" s="28">
        <f>IFERROR(IF(AND(ISNUMBER(B648),ISNUMBER(B647),B647&lt;&gt;0),B648/B647-1,""),"")</f>
        <v/>
      </c>
      <c r="E648" s="28">
        <f>IFERROR(IF(AND(ISNUMBER(C648),ISNUMBER(C647),C647&lt;&gt;0),C648/C647-1,""),"")</f>
        <v/>
      </c>
      <c r="F648" s="28">
        <f>IFERROR(D648-Dashboard!$B$4/252,"")</f>
        <v/>
      </c>
      <c r="G648" s="28">
        <f>IFERROR(E648-Dashboard!$B$4/252,"")</f>
        <v/>
      </c>
      <c r="H648" s="8">
        <f>IFERROR(IF(ISNUMBER(B648),MAX(B648,IFERROR(H647,B648)),""),"")</f>
        <v/>
      </c>
      <c r="I648" s="29">
        <f>IFERROR(IF(AND(ISNUMBER(B648),ISNUMBER(H648)),B648/H648-1,""),"")</f>
        <v/>
      </c>
      <c r="J648" s="8">
        <f>IFERROR(IF(ISNUMBER(C648),MAX(C648,IFERROR(J647,C648)),""),"")</f>
        <v/>
      </c>
      <c r="K648" s="29">
        <f>IFERROR(IF(AND(ISNUMBER(C648),ISNUMBER(J648)),C648/J648-1,""),"")</f>
        <v/>
      </c>
      <c r="L648" s="28">
        <f>IFERROR(IF(AND(ISNUMBER(D648),ISNUMBER(E648)),D648-E648,""),"")</f>
        <v/>
      </c>
    </row>
    <row r="649">
      <c r="A649" s="7">
        <f>IFERROR(Datos!A649,"")</f>
        <v/>
      </c>
      <c r="B649" s="8">
        <f>IFERROR(Datos!B649,"")</f>
        <v/>
      </c>
      <c r="C649" s="8">
        <f>IFERROR(Datos!C649,"")</f>
        <v/>
      </c>
      <c r="D649" s="28">
        <f>IFERROR(IF(AND(ISNUMBER(B649),ISNUMBER(B648),B648&lt;&gt;0),B649/B648-1,""),"")</f>
        <v/>
      </c>
      <c r="E649" s="28">
        <f>IFERROR(IF(AND(ISNUMBER(C649),ISNUMBER(C648),C648&lt;&gt;0),C649/C648-1,""),"")</f>
        <v/>
      </c>
      <c r="F649" s="28">
        <f>IFERROR(D649-Dashboard!$B$4/252,"")</f>
        <v/>
      </c>
      <c r="G649" s="28">
        <f>IFERROR(E649-Dashboard!$B$4/252,"")</f>
        <v/>
      </c>
      <c r="H649" s="8">
        <f>IFERROR(IF(ISNUMBER(B649),MAX(B649,IFERROR(H648,B649)),""),"")</f>
        <v/>
      </c>
      <c r="I649" s="29">
        <f>IFERROR(IF(AND(ISNUMBER(B649),ISNUMBER(H649)),B649/H649-1,""),"")</f>
        <v/>
      </c>
      <c r="J649" s="8">
        <f>IFERROR(IF(ISNUMBER(C649),MAX(C649,IFERROR(J648,C649)),""),"")</f>
        <v/>
      </c>
      <c r="K649" s="29">
        <f>IFERROR(IF(AND(ISNUMBER(C649),ISNUMBER(J649)),C649/J649-1,""),"")</f>
        <v/>
      </c>
      <c r="L649" s="28">
        <f>IFERROR(IF(AND(ISNUMBER(D649),ISNUMBER(E649)),D649-E649,""),"")</f>
        <v/>
      </c>
    </row>
    <row r="650">
      <c r="A650" s="7">
        <f>IFERROR(Datos!A650,"")</f>
        <v/>
      </c>
      <c r="B650" s="8">
        <f>IFERROR(Datos!B650,"")</f>
        <v/>
      </c>
      <c r="C650" s="8">
        <f>IFERROR(Datos!C650,"")</f>
        <v/>
      </c>
      <c r="D650" s="28">
        <f>IFERROR(IF(AND(ISNUMBER(B650),ISNUMBER(B649),B649&lt;&gt;0),B650/B649-1,""),"")</f>
        <v/>
      </c>
      <c r="E650" s="28">
        <f>IFERROR(IF(AND(ISNUMBER(C650),ISNUMBER(C649),C649&lt;&gt;0),C650/C649-1,""),"")</f>
        <v/>
      </c>
      <c r="F650" s="28">
        <f>IFERROR(D650-Dashboard!$B$4/252,"")</f>
        <v/>
      </c>
      <c r="G650" s="28">
        <f>IFERROR(E650-Dashboard!$B$4/252,"")</f>
        <v/>
      </c>
      <c r="H650" s="8">
        <f>IFERROR(IF(ISNUMBER(B650),MAX(B650,IFERROR(H649,B650)),""),"")</f>
        <v/>
      </c>
      <c r="I650" s="29">
        <f>IFERROR(IF(AND(ISNUMBER(B650),ISNUMBER(H650)),B650/H650-1,""),"")</f>
        <v/>
      </c>
      <c r="J650" s="8">
        <f>IFERROR(IF(ISNUMBER(C650),MAX(C650,IFERROR(J649,C650)),""),"")</f>
        <v/>
      </c>
      <c r="K650" s="29">
        <f>IFERROR(IF(AND(ISNUMBER(C650),ISNUMBER(J650)),C650/J650-1,""),"")</f>
        <v/>
      </c>
      <c r="L650" s="28">
        <f>IFERROR(IF(AND(ISNUMBER(D650),ISNUMBER(E650)),D650-E650,""),"")</f>
        <v/>
      </c>
    </row>
    <row r="651">
      <c r="A651" s="7">
        <f>IFERROR(Datos!A651,"")</f>
        <v/>
      </c>
      <c r="B651" s="8">
        <f>IFERROR(Datos!B651,"")</f>
        <v/>
      </c>
      <c r="C651" s="8">
        <f>IFERROR(Datos!C651,"")</f>
        <v/>
      </c>
      <c r="D651" s="28">
        <f>IFERROR(IF(AND(ISNUMBER(B651),ISNUMBER(B650),B650&lt;&gt;0),B651/B650-1,""),"")</f>
        <v/>
      </c>
      <c r="E651" s="28">
        <f>IFERROR(IF(AND(ISNUMBER(C651),ISNUMBER(C650),C650&lt;&gt;0),C651/C650-1,""),"")</f>
        <v/>
      </c>
      <c r="F651" s="28">
        <f>IFERROR(D651-Dashboard!$B$4/252,"")</f>
        <v/>
      </c>
      <c r="G651" s="28">
        <f>IFERROR(E651-Dashboard!$B$4/252,"")</f>
        <v/>
      </c>
      <c r="H651" s="8">
        <f>IFERROR(IF(ISNUMBER(B651),MAX(B651,IFERROR(H650,B651)),""),"")</f>
        <v/>
      </c>
      <c r="I651" s="29">
        <f>IFERROR(IF(AND(ISNUMBER(B651),ISNUMBER(H651)),B651/H651-1,""),"")</f>
        <v/>
      </c>
      <c r="J651" s="8">
        <f>IFERROR(IF(ISNUMBER(C651),MAX(C651,IFERROR(J650,C651)),""),"")</f>
        <v/>
      </c>
      <c r="K651" s="29">
        <f>IFERROR(IF(AND(ISNUMBER(C651),ISNUMBER(J651)),C651/J651-1,""),"")</f>
        <v/>
      </c>
      <c r="L651" s="28">
        <f>IFERROR(IF(AND(ISNUMBER(D651),ISNUMBER(E651)),D651-E651,""),"")</f>
        <v/>
      </c>
    </row>
    <row r="652">
      <c r="A652" s="7">
        <f>IFERROR(Datos!A652,"")</f>
        <v/>
      </c>
      <c r="B652" s="8">
        <f>IFERROR(Datos!B652,"")</f>
        <v/>
      </c>
      <c r="C652" s="8">
        <f>IFERROR(Datos!C652,"")</f>
        <v/>
      </c>
      <c r="D652" s="28">
        <f>IFERROR(IF(AND(ISNUMBER(B652),ISNUMBER(B651),B651&lt;&gt;0),B652/B651-1,""),"")</f>
        <v/>
      </c>
      <c r="E652" s="28">
        <f>IFERROR(IF(AND(ISNUMBER(C652),ISNUMBER(C651),C651&lt;&gt;0),C652/C651-1,""),"")</f>
        <v/>
      </c>
      <c r="F652" s="28">
        <f>IFERROR(D652-Dashboard!$B$4/252,"")</f>
        <v/>
      </c>
      <c r="G652" s="28">
        <f>IFERROR(E652-Dashboard!$B$4/252,"")</f>
        <v/>
      </c>
      <c r="H652" s="8">
        <f>IFERROR(IF(ISNUMBER(B652),MAX(B652,IFERROR(H651,B652)),""),"")</f>
        <v/>
      </c>
      <c r="I652" s="29">
        <f>IFERROR(IF(AND(ISNUMBER(B652),ISNUMBER(H652)),B652/H652-1,""),"")</f>
        <v/>
      </c>
      <c r="J652" s="8">
        <f>IFERROR(IF(ISNUMBER(C652),MAX(C652,IFERROR(J651,C652)),""),"")</f>
        <v/>
      </c>
      <c r="K652" s="29">
        <f>IFERROR(IF(AND(ISNUMBER(C652),ISNUMBER(J652)),C652/J652-1,""),"")</f>
        <v/>
      </c>
      <c r="L652" s="28">
        <f>IFERROR(IF(AND(ISNUMBER(D652),ISNUMBER(E652)),D652-E652,""),"")</f>
        <v/>
      </c>
    </row>
    <row r="653">
      <c r="A653" s="7">
        <f>IFERROR(Datos!A653,"")</f>
        <v/>
      </c>
      <c r="B653" s="8">
        <f>IFERROR(Datos!B653,"")</f>
        <v/>
      </c>
      <c r="C653" s="8">
        <f>IFERROR(Datos!C653,"")</f>
        <v/>
      </c>
      <c r="D653" s="28">
        <f>IFERROR(IF(AND(ISNUMBER(B653),ISNUMBER(B652),B652&lt;&gt;0),B653/B652-1,""),"")</f>
        <v/>
      </c>
      <c r="E653" s="28">
        <f>IFERROR(IF(AND(ISNUMBER(C653),ISNUMBER(C652),C652&lt;&gt;0),C653/C652-1,""),"")</f>
        <v/>
      </c>
      <c r="F653" s="28">
        <f>IFERROR(D653-Dashboard!$B$4/252,"")</f>
        <v/>
      </c>
      <c r="G653" s="28">
        <f>IFERROR(E653-Dashboard!$B$4/252,"")</f>
        <v/>
      </c>
      <c r="H653" s="8">
        <f>IFERROR(IF(ISNUMBER(B653),MAX(B653,IFERROR(H652,B653)),""),"")</f>
        <v/>
      </c>
      <c r="I653" s="29">
        <f>IFERROR(IF(AND(ISNUMBER(B653),ISNUMBER(H653)),B653/H653-1,""),"")</f>
        <v/>
      </c>
      <c r="J653" s="8">
        <f>IFERROR(IF(ISNUMBER(C653),MAX(C653,IFERROR(J652,C653)),""),"")</f>
        <v/>
      </c>
      <c r="K653" s="29">
        <f>IFERROR(IF(AND(ISNUMBER(C653),ISNUMBER(J653)),C653/J653-1,""),"")</f>
        <v/>
      </c>
      <c r="L653" s="28">
        <f>IFERROR(IF(AND(ISNUMBER(D653),ISNUMBER(E653)),D653-E653,""),"")</f>
        <v/>
      </c>
    </row>
    <row r="654">
      <c r="A654" s="7">
        <f>IFERROR(Datos!A654,"")</f>
        <v/>
      </c>
      <c r="B654" s="8">
        <f>IFERROR(Datos!B654,"")</f>
        <v/>
      </c>
      <c r="C654" s="8">
        <f>IFERROR(Datos!C654,"")</f>
        <v/>
      </c>
      <c r="D654" s="28">
        <f>IFERROR(IF(AND(ISNUMBER(B654),ISNUMBER(B653),B653&lt;&gt;0),B654/B653-1,""),"")</f>
        <v/>
      </c>
      <c r="E654" s="28">
        <f>IFERROR(IF(AND(ISNUMBER(C654),ISNUMBER(C653),C653&lt;&gt;0),C654/C653-1,""),"")</f>
        <v/>
      </c>
      <c r="F654" s="28">
        <f>IFERROR(D654-Dashboard!$B$4/252,"")</f>
        <v/>
      </c>
      <c r="G654" s="28">
        <f>IFERROR(E654-Dashboard!$B$4/252,"")</f>
        <v/>
      </c>
      <c r="H654" s="8">
        <f>IFERROR(IF(ISNUMBER(B654),MAX(B654,IFERROR(H653,B654)),""),"")</f>
        <v/>
      </c>
      <c r="I654" s="29">
        <f>IFERROR(IF(AND(ISNUMBER(B654),ISNUMBER(H654)),B654/H654-1,""),"")</f>
        <v/>
      </c>
      <c r="J654" s="8">
        <f>IFERROR(IF(ISNUMBER(C654),MAX(C654,IFERROR(J653,C654)),""),"")</f>
        <v/>
      </c>
      <c r="K654" s="29">
        <f>IFERROR(IF(AND(ISNUMBER(C654),ISNUMBER(J654)),C654/J654-1,""),"")</f>
        <v/>
      </c>
      <c r="L654" s="28">
        <f>IFERROR(IF(AND(ISNUMBER(D654),ISNUMBER(E654)),D654-E654,""),"")</f>
        <v/>
      </c>
    </row>
    <row r="655">
      <c r="A655" s="7">
        <f>IFERROR(Datos!A655,"")</f>
        <v/>
      </c>
      <c r="B655" s="8">
        <f>IFERROR(Datos!B655,"")</f>
        <v/>
      </c>
      <c r="C655" s="8">
        <f>IFERROR(Datos!C655,"")</f>
        <v/>
      </c>
      <c r="D655" s="28">
        <f>IFERROR(IF(AND(ISNUMBER(B655),ISNUMBER(B654),B654&lt;&gt;0),B655/B654-1,""),"")</f>
        <v/>
      </c>
      <c r="E655" s="28">
        <f>IFERROR(IF(AND(ISNUMBER(C655),ISNUMBER(C654),C654&lt;&gt;0),C655/C654-1,""),"")</f>
        <v/>
      </c>
      <c r="F655" s="28">
        <f>IFERROR(D655-Dashboard!$B$4/252,"")</f>
        <v/>
      </c>
      <c r="G655" s="28">
        <f>IFERROR(E655-Dashboard!$B$4/252,"")</f>
        <v/>
      </c>
      <c r="H655" s="8">
        <f>IFERROR(IF(ISNUMBER(B655),MAX(B655,IFERROR(H654,B655)),""),"")</f>
        <v/>
      </c>
      <c r="I655" s="29">
        <f>IFERROR(IF(AND(ISNUMBER(B655),ISNUMBER(H655)),B655/H655-1,""),"")</f>
        <v/>
      </c>
      <c r="J655" s="8">
        <f>IFERROR(IF(ISNUMBER(C655),MAX(C655,IFERROR(J654,C655)),""),"")</f>
        <v/>
      </c>
      <c r="K655" s="29">
        <f>IFERROR(IF(AND(ISNUMBER(C655),ISNUMBER(J655)),C655/J655-1,""),"")</f>
        <v/>
      </c>
      <c r="L655" s="28">
        <f>IFERROR(IF(AND(ISNUMBER(D655),ISNUMBER(E655)),D655-E655,""),"")</f>
        <v/>
      </c>
    </row>
    <row r="656">
      <c r="A656" s="7">
        <f>IFERROR(Datos!A656,"")</f>
        <v/>
      </c>
      <c r="B656" s="8">
        <f>IFERROR(Datos!B656,"")</f>
        <v/>
      </c>
      <c r="C656" s="8">
        <f>IFERROR(Datos!C656,"")</f>
        <v/>
      </c>
      <c r="D656" s="28">
        <f>IFERROR(IF(AND(ISNUMBER(B656),ISNUMBER(B655),B655&lt;&gt;0),B656/B655-1,""),"")</f>
        <v/>
      </c>
      <c r="E656" s="28">
        <f>IFERROR(IF(AND(ISNUMBER(C656),ISNUMBER(C655),C655&lt;&gt;0),C656/C655-1,""),"")</f>
        <v/>
      </c>
      <c r="F656" s="28">
        <f>IFERROR(D656-Dashboard!$B$4/252,"")</f>
        <v/>
      </c>
      <c r="G656" s="28">
        <f>IFERROR(E656-Dashboard!$B$4/252,"")</f>
        <v/>
      </c>
      <c r="H656" s="8">
        <f>IFERROR(IF(ISNUMBER(B656),MAX(B656,IFERROR(H655,B656)),""),"")</f>
        <v/>
      </c>
      <c r="I656" s="29">
        <f>IFERROR(IF(AND(ISNUMBER(B656),ISNUMBER(H656)),B656/H656-1,""),"")</f>
        <v/>
      </c>
      <c r="J656" s="8">
        <f>IFERROR(IF(ISNUMBER(C656),MAX(C656,IFERROR(J655,C656)),""),"")</f>
        <v/>
      </c>
      <c r="K656" s="29">
        <f>IFERROR(IF(AND(ISNUMBER(C656),ISNUMBER(J656)),C656/J656-1,""),"")</f>
        <v/>
      </c>
      <c r="L656" s="28">
        <f>IFERROR(IF(AND(ISNUMBER(D656),ISNUMBER(E656)),D656-E656,""),"")</f>
        <v/>
      </c>
    </row>
    <row r="657">
      <c r="A657" s="7">
        <f>IFERROR(Datos!A657,"")</f>
        <v/>
      </c>
      <c r="B657" s="8">
        <f>IFERROR(Datos!B657,"")</f>
        <v/>
      </c>
      <c r="C657" s="8">
        <f>IFERROR(Datos!C657,"")</f>
        <v/>
      </c>
      <c r="D657" s="28">
        <f>IFERROR(IF(AND(ISNUMBER(B657),ISNUMBER(B656),B656&lt;&gt;0),B657/B656-1,""),"")</f>
        <v/>
      </c>
      <c r="E657" s="28">
        <f>IFERROR(IF(AND(ISNUMBER(C657),ISNUMBER(C656),C656&lt;&gt;0),C657/C656-1,""),"")</f>
        <v/>
      </c>
      <c r="F657" s="28">
        <f>IFERROR(D657-Dashboard!$B$4/252,"")</f>
        <v/>
      </c>
      <c r="G657" s="28">
        <f>IFERROR(E657-Dashboard!$B$4/252,"")</f>
        <v/>
      </c>
      <c r="H657" s="8">
        <f>IFERROR(IF(ISNUMBER(B657),MAX(B657,IFERROR(H656,B657)),""),"")</f>
        <v/>
      </c>
      <c r="I657" s="29">
        <f>IFERROR(IF(AND(ISNUMBER(B657),ISNUMBER(H657)),B657/H657-1,""),"")</f>
        <v/>
      </c>
      <c r="J657" s="8">
        <f>IFERROR(IF(ISNUMBER(C657),MAX(C657,IFERROR(J656,C657)),""),"")</f>
        <v/>
      </c>
      <c r="K657" s="29">
        <f>IFERROR(IF(AND(ISNUMBER(C657),ISNUMBER(J657)),C657/J657-1,""),"")</f>
        <v/>
      </c>
      <c r="L657" s="28">
        <f>IFERROR(IF(AND(ISNUMBER(D657),ISNUMBER(E657)),D657-E657,""),"")</f>
        <v/>
      </c>
    </row>
    <row r="658">
      <c r="A658" s="7">
        <f>IFERROR(Datos!A658,"")</f>
        <v/>
      </c>
      <c r="B658" s="8">
        <f>IFERROR(Datos!B658,"")</f>
        <v/>
      </c>
      <c r="C658" s="8">
        <f>IFERROR(Datos!C658,"")</f>
        <v/>
      </c>
      <c r="D658" s="28">
        <f>IFERROR(IF(AND(ISNUMBER(B658),ISNUMBER(B657),B657&lt;&gt;0),B658/B657-1,""),"")</f>
        <v/>
      </c>
      <c r="E658" s="28">
        <f>IFERROR(IF(AND(ISNUMBER(C658),ISNUMBER(C657),C657&lt;&gt;0),C658/C657-1,""),"")</f>
        <v/>
      </c>
      <c r="F658" s="28">
        <f>IFERROR(D658-Dashboard!$B$4/252,"")</f>
        <v/>
      </c>
      <c r="G658" s="28">
        <f>IFERROR(E658-Dashboard!$B$4/252,"")</f>
        <v/>
      </c>
      <c r="H658" s="8">
        <f>IFERROR(IF(ISNUMBER(B658),MAX(B658,IFERROR(H657,B658)),""),"")</f>
        <v/>
      </c>
      <c r="I658" s="29">
        <f>IFERROR(IF(AND(ISNUMBER(B658),ISNUMBER(H658)),B658/H658-1,""),"")</f>
        <v/>
      </c>
      <c r="J658" s="8">
        <f>IFERROR(IF(ISNUMBER(C658),MAX(C658,IFERROR(J657,C658)),""),"")</f>
        <v/>
      </c>
      <c r="K658" s="29">
        <f>IFERROR(IF(AND(ISNUMBER(C658),ISNUMBER(J658)),C658/J658-1,""),"")</f>
        <v/>
      </c>
      <c r="L658" s="28">
        <f>IFERROR(IF(AND(ISNUMBER(D658),ISNUMBER(E658)),D658-E658,""),"")</f>
        <v/>
      </c>
    </row>
    <row r="659">
      <c r="A659" s="7">
        <f>IFERROR(Datos!A659,"")</f>
        <v/>
      </c>
      <c r="B659" s="8">
        <f>IFERROR(Datos!B659,"")</f>
        <v/>
      </c>
      <c r="C659" s="8">
        <f>IFERROR(Datos!C659,"")</f>
        <v/>
      </c>
      <c r="D659" s="28">
        <f>IFERROR(IF(AND(ISNUMBER(B659),ISNUMBER(B658),B658&lt;&gt;0),B659/B658-1,""),"")</f>
        <v/>
      </c>
      <c r="E659" s="28">
        <f>IFERROR(IF(AND(ISNUMBER(C659),ISNUMBER(C658),C658&lt;&gt;0),C659/C658-1,""),"")</f>
        <v/>
      </c>
      <c r="F659" s="28">
        <f>IFERROR(D659-Dashboard!$B$4/252,"")</f>
        <v/>
      </c>
      <c r="G659" s="28">
        <f>IFERROR(E659-Dashboard!$B$4/252,"")</f>
        <v/>
      </c>
      <c r="H659" s="8">
        <f>IFERROR(IF(ISNUMBER(B659),MAX(B659,IFERROR(H658,B659)),""),"")</f>
        <v/>
      </c>
      <c r="I659" s="29">
        <f>IFERROR(IF(AND(ISNUMBER(B659),ISNUMBER(H659)),B659/H659-1,""),"")</f>
        <v/>
      </c>
      <c r="J659" s="8">
        <f>IFERROR(IF(ISNUMBER(C659),MAX(C659,IFERROR(J658,C659)),""),"")</f>
        <v/>
      </c>
      <c r="K659" s="29">
        <f>IFERROR(IF(AND(ISNUMBER(C659),ISNUMBER(J659)),C659/J659-1,""),"")</f>
        <v/>
      </c>
      <c r="L659" s="28">
        <f>IFERROR(IF(AND(ISNUMBER(D659),ISNUMBER(E659)),D659-E659,""),"")</f>
        <v/>
      </c>
    </row>
    <row r="660">
      <c r="A660" s="7">
        <f>IFERROR(Datos!A660,"")</f>
        <v/>
      </c>
      <c r="B660" s="8">
        <f>IFERROR(Datos!B660,"")</f>
        <v/>
      </c>
      <c r="C660" s="8">
        <f>IFERROR(Datos!C660,"")</f>
        <v/>
      </c>
      <c r="D660" s="28">
        <f>IFERROR(IF(AND(ISNUMBER(B660),ISNUMBER(B659),B659&lt;&gt;0),B660/B659-1,""),"")</f>
        <v/>
      </c>
      <c r="E660" s="28">
        <f>IFERROR(IF(AND(ISNUMBER(C660),ISNUMBER(C659),C659&lt;&gt;0),C660/C659-1,""),"")</f>
        <v/>
      </c>
      <c r="F660" s="28">
        <f>IFERROR(D660-Dashboard!$B$4/252,"")</f>
        <v/>
      </c>
      <c r="G660" s="28">
        <f>IFERROR(E660-Dashboard!$B$4/252,"")</f>
        <v/>
      </c>
      <c r="H660" s="8">
        <f>IFERROR(IF(ISNUMBER(B660),MAX(B660,IFERROR(H659,B660)),""),"")</f>
        <v/>
      </c>
      <c r="I660" s="29">
        <f>IFERROR(IF(AND(ISNUMBER(B660),ISNUMBER(H660)),B660/H660-1,""),"")</f>
        <v/>
      </c>
      <c r="J660" s="8">
        <f>IFERROR(IF(ISNUMBER(C660),MAX(C660,IFERROR(J659,C660)),""),"")</f>
        <v/>
      </c>
      <c r="K660" s="29">
        <f>IFERROR(IF(AND(ISNUMBER(C660),ISNUMBER(J660)),C660/J660-1,""),"")</f>
        <v/>
      </c>
      <c r="L660" s="28">
        <f>IFERROR(IF(AND(ISNUMBER(D660),ISNUMBER(E660)),D660-E660,""),"")</f>
        <v/>
      </c>
    </row>
    <row r="661">
      <c r="A661" s="7">
        <f>IFERROR(Datos!A661,"")</f>
        <v/>
      </c>
      <c r="B661" s="8">
        <f>IFERROR(Datos!B661,"")</f>
        <v/>
      </c>
      <c r="C661" s="8">
        <f>IFERROR(Datos!C661,"")</f>
        <v/>
      </c>
      <c r="D661" s="28">
        <f>IFERROR(IF(AND(ISNUMBER(B661),ISNUMBER(B660),B660&lt;&gt;0),B661/B660-1,""),"")</f>
        <v/>
      </c>
      <c r="E661" s="28">
        <f>IFERROR(IF(AND(ISNUMBER(C661),ISNUMBER(C660),C660&lt;&gt;0),C661/C660-1,""),"")</f>
        <v/>
      </c>
      <c r="F661" s="28">
        <f>IFERROR(D661-Dashboard!$B$4/252,"")</f>
        <v/>
      </c>
      <c r="G661" s="28">
        <f>IFERROR(E661-Dashboard!$B$4/252,"")</f>
        <v/>
      </c>
      <c r="H661" s="8">
        <f>IFERROR(IF(ISNUMBER(B661),MAX(B661,IFERROR(H660,B661)),""),"")</f>
        <v/>
      </c>
      <c r="I661" s="29">
        <f>IFERROR(IF(AND(ISNUMBER(B661),ISNUMBER(H661)),B661/H661-1,""),"")</f>
        <v/>
      </c>
      <c r="J661" s="8">
        <f>IFERROR(IF(ISNUMBER(C661),MAX(C661,IFERROR(J660,C661)),""),"")</f>
        <v/>
      </c>
      <c r="K661" s="29">
        <f>IFERROR(IF(AND(ISNUMBER(C661),ISNUMBER(J661)),C661/J661-1,""),"")</f>
        <v/>
      </c>
      <c r="L661" s="28">
        <f>IFERROR(IF(AND(ISNUMBER(D661),ISNUMBER(E661)),D661-E661,""),"")</f>
        <v/>
      </c>
    </row>
    <row r="662">
      <c r="A662" s="7">
        <f>IFERROR(Datos!A662,"")</f>
        <v/>
      </c>
      <c r="B662" s="8">
        <f>IFERROR(Datos!B662,"")</f>
        <v/>
      </c>
      <c r="C662" s="8">
        <f>IFERROR(Datos!C662,"")</f>
        <v/>
      </c>
      <c r="D662" s="28">
        <f>IFERROR(IF(AND(ISNUMBER(B662),ISNUMBER(B661),B661&lt;&gt;0),B662/B661-1,""),"")</f>
        <v/>
      </c>
      <c r="E662" s="28">
        <f>IFERROR(IF(AND(ISNUMBER(C662),ISNUMBER(C661),C661&lt;&gt;0),C662/C661-1,""),"")</f>
        <v/>
      </c>
      <c r="F662" s="28">
        <f>IFERROR(D662-Dashboard!$B$4/252,"")</f>
        <v/>
      </c>
      <c r="G662" s="28">
        <f>IFERROR(E662-Dashboard!$B$4/252,"")</f>
        <v/>
      </c>
      <c r="H662" s="8">
        <f>IFERROR(IF(ISNUMBER(B662),MAX(B662,IFERROR(H661,B662)),""),"")</f>
        <v/>
      </c>
      <c r="I662" s="29">
        <f>IFERROR(IF(AND(ISNUMBER(B662),ISNUMBER(H662)),B662/H662-1,""),"")</f>
        <v/>
      </c>
      <c r="J662" s="8">
        <f>IFERROR(IF(ISNUMBER(C662),MAX(C662,IFERROR(J661,C662)),""),"")</f>
        <v/>
      </c>
      <c r="K662" s="29">
        <f>IFERROR(IF(AND(ISNUMBER(C662),ISNUMBER(J662)),C662/J662-1,""),"")</f>
        <v/>
      </c>
      <c r="L662" s="28">
        <f>IFERROR(IF(AND(ISNUMBER(D662),ISNUMBER(E662)),D662-E662,""),"")</f>
        <v/>
      </c>
    </row>
    <row r="663">
      <c r="A663" s="7">
        <f>IFERROR(Datos!A663,"")</f>
        <v/>
      </c>
      <c r="B663" s="8">
        <f>IFERROR(Datos!B663,"")</f>
        <v/>
      </c>
      <c r="C663" s="8">
        <f>IFERROR(Datos!C663,"")</f>
        <v/>
      </c>
      <c r="D663" s="28">
        <f>IFERROR(IF(AND(ISNUMBER(B663),ISNUMBER(B662),B662&lt;&gt;0),B663/B662-1,""),"")</f>
        <v/>
      </c>
      <c r="E663" s="28">
        <f>IFERROR(IF(AND(ISNUMBER(C663),ISNUMBER(C662),C662&lt;&gt;0),C663/C662-1,""),"")</f>
        <v/>
      </c>
      <c r="F663" s="28">
        <f>IFERROR(D663-Dashboard!$B$4/252,"")</f>
        <v/>
      </c>
      <c r="G663" s="28">
        <f>IFERROR(E663-Dashboard!$B$4/252,"")</f>
        <v/>
      </c>
      <c r="H663" s="8">
        <f>IFERROR(IF(ISNUMBER(B663),MAX(B663,IFERROR(H662,B663)),""),"")</f>
        <v/>
      </c>
      <c r="I663" s="29">
        <f>IFERROR(IF(AND(ISNUMBER(B663),ISNUMBER(H663)),B663/H663-1,""),"")</f>
        <v/>
      </c>
      <c r="J663" s="8">
        <f>IFERROR(IF(ISNUMBER(C663),MAX(C663,IFERROR(J662,C663)),""),"")</f>
        <v/>
      </c>
      <c r="K663" s="29">
        <f>IFERROR(IF(AND(ISNUMBER(C663),ISNUMBER(J663)),C663/J663-1,""),"")</f>
        <v/>
      </c>
      <c r="L663" s="28">
        <f>IFERROR(IF(AND(ISNUMBER(D663),ISNUMBER(E663)),D663-E663,""),"")</f>
        <v/>
      </c>
    </row>
    <row r="664">
      <c r="A664" s="7">
        <f>IFERROR(Datos!A664,"")</f>
        <v/>
      </c>
      <c r="B664" s="8">
        <f>IFERROR(Datos!B664,"")</f>
        <v/>
      </c>
      <c r="C664" s="8">
        <f>IFERROR(Datos!C664,"")</f>
        <v/>
      </c>
      <c r="D664" s="28">
        <f>IFERROR(IF(AND(ISNUMBER(B664),ISNUMBER(B663),B663&lt;&gt;0),B664/B663-1,""),"")</f>
        <v/>
      </c>
      <c r="E664" s="28">
        <f>IFERROR(IF(AND(ISNUMBER(C664),ISNUMBER(C663),C663&lt;&gt;0),C664/C663-1,""),"")</f>
        <v/>
      </c>
      <c r="F664" s="28">
        <f>IFERROR(D664-Dashboard!$B$4/252,"")</f>
        <v/>
      </c>
      <c r="G664" s="28">
        <f>IFERROR(E664-Dashboard!$B$4/252,"")</f>
        <v/>
      </c>
      <c r="H664" s="8">
        <f>IFERROR(IF(ISNUMBER(B664),MAX(B664,IFERROR(H663,B664)),""),"")</f>
        <v/>
      </c>
      <c r="I664" s="29">
        <f>IFERROR(IF(AND(ISNUMBER(B664),ISNUMBER(H664)),B664/H664-1,""),"")</f>
        <v/>
      </c>
      <c r="J664" s="8">
        <f>IFERROR(IF(ISNUMBER(C664),MAX(C664,IFERROR(J663,C664)),""),"")</f>
        <v/>
      </c>
      <c r="K664" s="29">
        <f>IFERROR(IF(AND(ISNUMBER(C664),ISNUMBER(J664)),C664/J664-1,""),"")</f>
        <v/>
      </c>
      <c r="L664" s="28">
        <f>IFERROR(IF(AND(ISNUMBER(D664),ISNUMBER(E664)),D664-E664,""),"")</f>
        <v/>
      </c>
    </row>
    <row r="665">
      <c r="A665" s="7">
        <f>IFERROR(Datos!A665,"")</f>
        <v/>
      </c>
      <c r="B665" s="8">
        <f>IFERROR(Datos!B665,"")</f>
        <v/>
      </c>
      <c r="C665" s="8">
        <f>IFERROR(Datos!C665,"")</f>
        <v/>
      </c>
      <c r="D665" s="28">
        <f>IFERROR(IF(AND(ISNUMBER(B665),ISNUMBER(B664),B664&lt;&gt;0),B665/B664-1,""),"")</f>
        <v/>
      </c>
      <c r="E665" s="28">
        <f>IFERROR(IF(AND(ISNUMBER(C665),ISNUMBER(C664),C664&lt;&gt;0),C665/C664-1,""),"")</f>
        <v/>
      </c>
      <c r="F665" s="28">
        <f>IFERROR(D665-Dashboard!$B$4/252,"")</f>
        <v/>
      </c>
      <c r="G665" s="28">
        <f>IFERROR(E665-Dashboard!$B$4/252,"")</f>
        <v/>
      </c>
      <c r="H665" s="8">
        <f>IFERROR(IF(ISNUMBER(B665),MAX(B665,IFERROR(H664,B665)),""),"")</f>
        <v/>
      </c>
      <c r="I665" s="29">
        <f>IFERROR(IF(AND(ISNUMBER(B665),ISNUMBER(H665)),B665/H665-1,""),"")</f>
        <v/>
      </c>
      <c r="J665" s="8">
        <f>IFERROR(IF(ISNUMBER(C665),MAX(C665,IFERROR(J664,C665)),""),"")</f>
        <v/>
      </c>
      <c r="K665" s="29">
        <f>IFERROR(IF(AND(ISNUMBER(C665),ISNUMBER(J665)),C665/J665-1,""),"")</f>
        <v/>
      </c>
      <c r="L665" s="28">
        <f>IFERROR(IF(AND(ISNUMBER(D665),ISNUMBER(E665)),D665-E665,""),"")</f>
        <v/>
      </c>
    </row>
    <row r="666">
      <c r="A666" s="7">
        <f>IFERROR(Datos!A666,"")</f>
        <v/>
      </c>
      <c r="B666" s="8">
        <f>IFERROR(Datos!B666,"")</f>
        <v/>
      </c>
      <c r="C666" s="8">
        <f>IFERROR(Datos!C666,"")</f>
        <v/>
      </c>
      <c r="D666" s="28">
        <f>IFERROR(IF(AND(ISNUMBER(B666),ISNUMBER(B665),B665&lt;&gt;0),B666/B665-1,""),"")</f>
        <v/>
      </c>
      <c r="E666" s="28">
        <f>IFERROR(IF(AND(ISNUMBER(C666),ISNUMBER(C665),C665&lt;&gt;0),C666/C665-1,""),"")</f>
        <v/>
      </c>
      <c r="F666" s="28">
        <f>IFERROR(D666-Dashboard!$B$4/252,"")</f>
        <v/>
      </c>
      <c r="G666" s="28">
        <f>IFERROR(E666-Dashboard!$B$4/252,"")</f>
        <v/>
      </c>
      <c r="H666" s="8">
        <f>IFERROR(IF(ISNUMBER(B666),MAX(B666,IFERROR(H665,B666)),""),"")</f>
        <v/>
      </c>
      <c r="I666" s="29">
        <f>IFERROR(IF(AND(ISNUMBER(B666),ISNUMBER(H666)),B666/H666-1,""),"")</f>
        <v/>
      </c>
      <c r="J666" s="8">
        <f>IFERROR(IF(ISNUMBER(C666),MAX(C666,IFERROR(J665,C666)),""),"")</f>
        <v/>
      </c>
      <c r="K666" s="29">
        <f>IFERROR(IF(AND(ISNUMBER(C666),ISNUMBER(J666)),C666/J666-1,""),"")</f>
        <v/>
      </c>
      <c r="L666" s="28">
        <f>IFERROR(IF(AND(ISNUMBER(D666),ISNUMBER(E666)),D666-E666,""),"")</f>
        <v/>
      </c>
    </row>
    <row r="667">
      <c r="A667" s="7">
        <f>IFERROR(Datos!A667,"")</f>
        <v/>
      </c>
      <c r="B667" s="8">
        <f>IFERROR(Datos!B667,"")</f>
        <v/>
      </c>
      <c r="C667" s="8">
        <f>IFERROR(Datos!C667,"")</f>
        <v/>
      </c>
      <c r="D667" s="28">
        <f>IFERROR(IF(AND(ISNUMBER(B667),ISNUMBER(B666),B666&lt;&gt;0),B667/B666-1,""),"")</f>
        <v/>
      </c>
      <c r="E667" s="28">
        <f>IFERROR(IF(AND(ISNUMBER(C667),ISNUMBER(C666),C666&lt;&gt;0),C667/C666-1,""),"")</f>
        <v/>
      </c>
      <c r="F667" s="28">
        <f>IFERROR(D667-Dashboard!$B$4/252,"")</f>
        <v/>
      </c>
      <c r="G667" s="28">
        <f>IFERROR(E667-Dashboard!$B$4/252,"")</f>
        <v/>
      </c>
      <c r="H667" s="8">
        <f>IFERROR(IF(ISNUMBER(B667),MAX(B667,IFERROR(H666,B667)),""),"")</f>
        <v/>
      </c>
      <c r="I667" s="29">
        <f>IFERROR(IF(AND(ISNUMBER(B667),ISNUMBER(H667)),B667/H667-1,""),"")</f>
        <v/>
      </c>
      <c r="J667" s="8">
        <f>IFERROR(IF(ISNUMBER(C667),MAX(C667,IFERROR(J666,C667)),""),"")</f>
        <v/>
      </c>
      <c r="K667" s="29">
        <f>IFERROR(IF(AND(ISNUMBER(C667),ISNUMBER(J667)),C667/J667-1,""),"")</f>
        <v/>
      </c>
      <c r="L667" s="28">
        <f>IFERROR(IF(AND(ISNUMBER(D667),ISNUMBER(E667)),D667-E667,""),"")</f>
        <v/>
      </c>
    </row>
    <row r="668">
      <c r="A668" s="7">
        <f>IFERROR(Datos!A668,"")</f>
        <v/>
      </c>
      <c r="B668" s="8">
        <f>IFERROR(Datos!B668,"")</f>
        <v/>
      </c>
      <c r="C668" s="8">
        <f>IFERROR(Datos!C668,"")</f>
        <v/>
      </c>
      <c r="D668" s="28">
        <f>IFERROR(IF(AND(ISNUMBER(B668),ISNUMBER(B667),B667&lt;&gt;0),B668/B667-1,""),"")</f>
        <v/>
      </c>
      <c r="E668" s="28">
        <f>IFERROR(IF(AND(ISNUMBER(C668),ISNUMBER(C667),C667&lt;&gt;0),C668/C667-1,""),"")</f>
        <v/>
      </c>
      <c r="F668" s="28">
        <f>IFERROR(D668-Dashboard!$B$4/252,"")</f>
        <v/>
      </c>
      <c r="G668" s="28">
        <f>IFERROR(E668-Dashboard!$B$4/252,"")</f>
        <v/>
      </c>
      <c r="H668" s="8">
        <f>IFERROR(IF(ISNUMBER(B668),MAX(B668,IFERROR(H667,B668)),""),"")</f>
        <v/>
      </c>
      <c r="I668" s="29">
        <f>IFERROR(IF(AND(ISNUMBER(B668),ISNUMBER(H668)),B668/H668-1,""),"")</f>
        <v/>
      </c>
      <c r="J668" s="8">
        <f>IFERROR(IF(ISNUMBER(C668),MAX(C668,IFERROR(J667,C668)),""),"")</f>
        <v/>
      </c>
      <c r="K668" s="29">
        <f>IFERROR(IF(AND(ISNUMBER(C668),ISNUMBER(J668)),C668/J668-1,""),"")</f>
        <v/>
      </c>
      <c r="L668" s="28">
        <f>IFERROR(IF(AND(ISNUMBER(D668),ISNUMBER(E668)),D668-E668,""),"")</f>
        <v/>
      </c>
    </row>
    <row r="669">
      <c r="A669" s="7">
        <f>IFERROR(Datos!A669,"")</f>
        <v/>
      </c>
      <c r="B669" s="8">
        <f>IFERROR(Datos!B669,"")</f>
        <v/>
      </c>
      <c r="C669" s="8">
        <f>IFERROR(Datos!C669,"")</f>
        <v/>
      </c>
      <c r="D669" s="28">
        <f>IFERROR(IF(AND(ISNUMBER(B669),ISNUMBER(B668),B668&lt;&gt;0),B669/B668-1,""),"")</f>
        <v/>
      </c>
      <c r="E669" s="28">
        <f>IFERROR(IF(AND(ISNUMBER(C669),ISNUMBER(C668),C668&lt;&gt;0),C669/C668-1,""),"")</f>
        <v/>
      </c>
      <c r="F669" s="28">
        <f>IFERROR(D669-Dashboard!$B$4/252,"")</f>
        <v/>
      </c>
      <c r="G669" s="28">
        <f>IFERROR(E669-Dashboard!$B$4/252,"")</f>
        <v/>
      </c>
      <c r="H669" s="8">
        <f>IFERROR(IF(ISNUMBER(B669),MAX(B669,IFERROR(H668,B669)),""),"")</f>
        <v/>
      </c>
      <c r="I669" s="29">
        <f>IFERROR(IF(AND(ISNUMBER(B669),ISNUMBER(H669)),B669/H669-1,""),"")</f>
        <v/>
      </c>
      <c r="J669" s="8">
        <f>IFERROR(IF(ISNUMBER(C669),MAX(C669,IFERROR(J668,C669)),""),"")</f>
        <v/>
      </c>
      <c r="K669" s="29">
        <f>IFERROR(IF(AND(ISNUMBER(C669),ISNUMBER(J669)),C669/J669-1,""),"")</f>
        <v/>
      </c>
      <c r="L669" s="28">
        <f>IFERROR(IF(AND(ISNUMBER(D669),ISNUMBER(E669)),D669-E669,""),"")</f>
        <v/>
      </c>
    </row>
    <row r="670">
      <c r="A670" s="7">
        <f>IFERROR(Datos!A670,"")</f>
        <v/>
      </c>
      <c r="B670" s="8">
        <f>IFERROR(Datos!B670,"")</f>
        <v/>
      </c>
      <c r="C670" s="8">
        <f>IFERROR(Datos!C670,"")</f>
        <v/>
      </c>
      <c r="D670" s="28">
        <f>IFERROR(IF(AND(ISNUMBER(B670),ISNUMBER(B669),B669&lt;&gt;0),B670/B669-1,""),"")</f>
        <v/>
      </c>
      <c r="E670" s="28">
        <f>IFERROR(IF(AND(ISNUMBER(C670),ISNUMBER(C669),C669&lt;&gt;0),C670/C669-1,""),"")</f>
        <v/>
      </c>
      <c r="F670" s="28">
        <f>IFERROR(D670-Dashboard!$B$4/252,"")</f>
        <v/>
      </c>
      <c r="G670" s="28">
        <f>IFERROR(E670-Dashboard!$B$4/252,"")</f>
        <v/>
      </c>
      <c r="H670" s="8">
        <f>IFERROR(IF(ISNUMBER(B670),MAX(B670,IFERROR(H669,B670)),""),"")</f>
        <v/>
      </c>
      <c r="I670" s="29">
        <f>IFERROR(IF(AND(ISNUMBER(B670),ISNUMBER(H670)),B670/H670-1,""),"")</f>
        <v/>
      </c>
      <c r="J670" s="8">
        <f>IFERROR(IF(ISNUMBER(C670),MAX(C670,IFERROR(J669,C670)),""),"")</f>
        <v/>
      </c>
      <c r="K670" s="29">
        <f>IFERROR(IF(AND(ISNUMBER(C670),ISNUMBER(J670)),C670/J670-1,""),"")</f>
        <v/>
      </c>
      <c r="L670" s="28">
        <f>IFERROR(IF(AND(ISNUMBER(D670),ISNUMBER(E670)),D670-E670,""),"")</f>
        <v/>
      </c>
    </row>
    <row r="671">
      <c r="A671" s="7">
        <f>IFERROR(Datos!A671,"")</f>
        <v/>
      </c>
      <c r="B671" s="8">
        <f>IFERROR(Datos!B671,"")</f>
        <v/>
      </c>
      <c r="C671" s="8">
        <f>IFERROR(Datos!C671,"")</f>
        <v/>
      </c>
      <c r="D671" s="28">
        <f>IFERROR(IF(AND(ISNUMBER(B671),ISNUMBER(B670),B670&lt;&gt;0),B671/B670-1,""),"")</f>
        <v/>
      </c>
      <c r="E671" s="28">
        <f>IFERROR(IF(AND(ISNUMBER(C671),ISNUMBER(C670),C670&lt;&gt;0),C671/C670-1,""),"")</f>
        <v/>
      </c>
      <c r="F671" s="28">
        <f>IFERROR(D671-Dashboard!$B$4/252,"")</f>
        <v/>
      </c>
      <c r="G671" s="28">
        <f>IFERROR(E671-Dashboard!$B$4/252,"")</f>
        <v/>
      </c>
      <c r="H671" s="8">
        <f>IFERROR(IF(ISNUMBER(B671),MAX(B671,IFERROR(H670,B671)),""),"")</f>
        <v/>
      </c>
      <c r="I671" s="29">
        <f>IFERROR(IF(AND(ISNUMBER(B671),ISNUMBER(H671)),B671/H671-1,""),"")</f>
        <v/>
      </c>
      <c r="J671" s="8">
        <f>IFERROR(IF(ISNUMBER(C671),MAX(C671,IFERROR(J670,C671)),""),"")</f>
        <v/>
      </c>
      <c r="K671" s="29">
        <f>IFERROR(IF(AND(ISNUMBER(C671),ISNUMBER(J671)),C671/J671-1,""),"")</f>
        <v/>
      </c>
      <c r="L671" s="28">
        <f>IFERROR(IF(AND(ISNUMBER(D671),ISNUMBER(E671)),D671-E671,""),"")</f>
        <v/>
      </c>
    </row>
    <row r="672">
      <c r="A672" s="7">
        <f>IFERROR(Datos!A672,"")</f>
        <v/>
      </c>
      <c r="B672" s="8">
        <f>IFERROR(Datos!B672,"")</f>
        <v/>
      </c>
      <c r="C672" s="8">
        <f>IFERROR(Datos!C672,"")</f>
        <v/>
      </c>
      <c r="D672" s="28">
        <f>IFERROR(IF(AND(ISNUMBER(B672),ISNUMBER(B671),B671&lt;&gt;0),B672/B671-1,""),"")</f>
        <v/>
      </c>
      <c r="E672" s="28">
        <f>IFERROR(IF(AND(ISNUMBER(C672),ISNUMBER(C671),C671&lt;&gt;0),C672/C671-1,""),"")</f>
        <v/>
      </c>
      <c r="F672" s="28">
        <f>IFERROR(D672-Dashboard!$B$4/252,"")</f>
        <v/>
      </c>
      <c r="G672" s="28">
        <f>IFERROR(E672-Dashboard!$B$4/252,"")</f>
        <v/>
      </c>
      <c r="H672" s="8">
        <f>IFERROR(IF(ISNUMBER(B672),MAX(B672,IFERROR(H671,B672)),""),"")</f>
        <v/>
      </c>
      <c r="I672" s="29">
        <f>IFERROR(IF(AND(ISNUMBER(B672),ISNUMBER(H672)),B672/H672-1,""),"")</f>
        <v/>
      </c>
      <c r="J672" s="8">
        <f>IFERROR(IF(ISNUMBER(C672),MAX(C672,IFERROR(J671,C672)),""),"")</f>
        <v/>
      </c>
      <c r="K672" s="29">
        <f>IFERROR(IF(AND(ISNUMBER(C672),ISNUMBER(J672)),C672/J672-1,""),"")</f>
        <v/>
      </c>
      <c r="L672" s="28">
        <f>IFERROR(IF(AND(ISNUMBER(D672),ISNUMBER(E672)),D672-E672,""),"")</f>
        <v/>
      </c>
    </row>
    <row r="673">
      <c r="A673" s="7">
        <f>IFERROR(Datos!A673,"")</f>
        <v/>
      </c>
      <c r="B673" s="8">
        <f>IFERROR(Datos!B673,"")</f>
        <v/>
      </c>
      <c r="C673" s="8">
        <f>IFERROR(Datos!C673,"")</f>
        <v/>
      </c>
      <c r="D673" s="28">
        <f>IFERROR(IF(AND(ISNUMBER(B673),ISNUMBER(B672),B672&lt;&gt;0),B673/B672-1,""),"")</f>
        <v/>
      </c>
      <c r="E673" s="28">
        <f>IFERROR(IF(AND(ISNUMBER(C673),ISNUMBER(C672),C672&lt;&gt;0),C673/C672-1,""),"")</f>
        <v/>
      </c>
      <c r="F673" s="28">
        <f>IFERROR(D673-Dashboard!$B$4/252,"")</f>
        <v/>
      </c>
      <c r="G673" s="28">
        <f>IFERROR(E673-Dashboard!$B$4/252,"")</f>
        <v/>
      </c>
      <c r="H673" s="8">
        <f>IFERROR(IF(ISNUMBER(B673),MAX(B673,IFERROR(H672,B673)),""),"")</f>
        <v/>
      </c>
      <c r="I673" s="29">
        <f>IFERROR(IF(AND(ISNUMBER(B673),ISNUMBER(H673)),B673/H673-1,""),"")</f>
        <v/>
      </c>
      <c r="J673" s="8">
        <f>IFERROR(IF(ISNUMBER(C673),MAX(C673,IFERROR(J672,C673)),""),"")</f>
        <v/>
      </c>
      <c r="K673" s="29">
        <f>IFERROR(IF(AND(ISNUMBER(C673),ISNUMBER(J673)),C673/J673-1,""),"")</f>
        <v/>
      </c>
      <c r="L673" s="28">
        <f>IFERROR(IF(AND(ISNUMBER(D673),ISNUMBER(E673)),D673-E673,""),"")</f>
        <v/>
      </c>
    </row>
    <row r="674">
      <c r="A674" s="7">
        <f>IFERROR(Datos!A674,"")</f>
        <v/>
      </c>
      <c r="B674" s="8">
        <f>IFERROR(Datos!B674,"")</f>
        <v/>
      </c>
      <c r="C674" s="8">
        <f>IFERROR(Datos!C674,"")</f>
        <v/>
      </c>
      <c r="D674" s="28">
        <f>IFERROR(IF(AND(ISNUMBER(B674),ISNUMBER(B673),B673&lt;&gt;0),B674/B673-1,""),"")</f>
        <v/>
      </c>
      <c r="E674" s="28">
        <f>IFERROR(IF(AND(ISNUMBER(C674),ISNUMBER(C673),C673&lt;&gt;0),C674/C673-1,""),"")</f>
        <v/>
      </c>
      <c r="F674" s="28">
        <f>IFERROR(D674-Dashboard!$B$4/252,"")</f>
        <v/>
      </c>
      <c r="G674" s="28">
        <f>IFERROR(E674-Dashboard!$B$4/252,"")</f>
        <v/>
      </c>
      <c r="H674" s="8">
        <f>IFERROR(IF(ISNUMBER(B674),MAX(B674,IFERROR(H673,B674)),""),"")</f>
        <v/>
      </c>
      <c r="I674" s="29">
        <f>IFERROR(IF(AND(ISNUMBER(B674),ISNUMBER(H674)),B674/H674-1,""),"")</f>
        <v/>
      </c>
      <c r="J674" s="8">
        <f>IFERROR(IF(ISNUMBER(C674),MAX(C674,IFERROR(J673,C674)),""),"")</f>
        <v/>
      </c>
      <c r="K674" s="29">
        <f>IFERROR(IF(AND(ISNUMBER(C674),ISNUMBER(J674)),C674/J674-1,""),"")</f>
        <v/>
      </c>
      <c r="L674" s="28">
        <f>IFERROR(IF(AND(ISNUMBER(D674),ISNUMBER(E674)),D674-E674,""),"")</f>
        <v/>
      </c>
    </row>
    <row r="675">
      <c r="A675" s="7">
        <f>IFERROR(Datos!A675,"")</f>
        <v/>
      </c>
      <c r="B675" s="8">
        <f>IFERROR(Datos!B675,"")</f>
        <v/>
      </c>
      <c r="C675" s="8">
        <f>IFERROR(Datos!C675,"")</f>
        <v/>
      </c>
      <c r="D675" s="28">
        <f>IFERROR(IF(AND(ISNUMBER(B675),ISNUMBER(B674),B674&lt;&gt;0),B675/B674-1,""),"")</f>
        <v/>
      </c>
      <c r="E675" s="28">
        <f>IFERROR(IF(AND(ISNUMBER(C675),ISNUMBER(C674),C674&lt;&gt;0),C675/C674-1,""),"")</f>
        <v/>
      </c>
      <c r="F675" s="28">
        <f>IFERROR(D675-Dashboard!$B$4/252,"")</f>
        <v/>
      </c>
      <c r="G675" s="28">
        <f>IFERROR(E675-Dashboard!$B$4/252,"")</f>
        <v/>
      </c>
      <c r="H675" s="8">
        <f>IFERROR(IF(ISNUMBER(B675),MAX(B675,IFERROR(H674,B675)),""),"")</f>
        <v/>
      </c>
      <c r="I675" s="29">
        <f>IFERROR(IF(AND(ISNUMBER(B675),ISNUMBER(H675)),B675/H675-1,""),"")</f>
        <v/>
      </c>
      <c r="J675" s="8">
        <f>IFERROR(IF(ISNUMBER(C675),MAX(C675,IFERROR(J674,C675)),""),"")</f>
        <v/>
      </c>
      <c r="K675" s="29">
        <f>IFERROR(IF(AND(ISNUMBER(C675),ISNUMBER(J675)),C675/J675-1,""),"")</f>
        <v/>
      </c>
      <c r="L675" s="28">
        <f>IFERROR(IF(AND(ISNUMBER(D675),ISNUMBER(E675)),D675-E675,""),"")</f>
        <v/>
      </c>
    </row>
    <row r="676">
      <c r="A676" s="7">
        <f>IFERROR(Datos!A676,"")</f>
        <v/>
      </c>
      <c r="B676" s="8">
        <f>IFERROR(Datos!B676,"")</f>
        <v/>
      </c>
      <c r="C676" s="8">
        <f>IFERROR(Datos!C676,"")</f>
        <v/>
      </c>
      <c r="D676" s="28">
        <f>IFERROR(IF(AND(ISNUMBER(B676),ISNUMBER(B675),B675&lt;&gt;0),B676/B675-1,""),"")</f>
        <v/>
      </c>
      <c r="E676" s="28">
        <f>IFERROR(IF(AND(ISNUMBER(C676),ISNUMBER(C675),C675&lt;&gt;0),C676/C675-1,""),"")</f>
        <v/>
      </c>
      <c r="F676" s="28">
        <f>IFERROR(D676-Dashboard!$B$4/252,"")</f>
        <v/>
      </c>
      <c r="G676" s="28">
        <f>IFERROR(E676-Dashboard!$B$4/252,"")</f>
        <v/>
      </c>
      <c r="H676" s="8">
        <f>IFERROR(IF(ISNUMBER(B676),MAX(B676,IFERROR(H675,B676)),""),"")</f>
        <v/>
      </c>
      <c r="I676" s="29">
        <f>IFERROR(IF(AND(ISNUMBER(B676),ISNUMBER(H676)),B676/H676-1,""),"")</f>
        <v/>
      </c>
      <c r="J676" s="8">
        <f>IFERROR(IF(ISNUMBER(C676),MAX(C676,IFERROR(J675,C676)),""),"")</f>
        <v/>
      </c>
      <c r="K676" s="29">
        <f>IFERROR(IF(AND(ISNUMBER(C676),ISNUMBER(J676)),C676/J676-1,""),"")</f>
        <v/>
      </c>
      <c r="L676" s="28">
        <f>IFERROR(IF(AND(ISNUMBER(D676),ISNUMBER(E676)),D676-E676,""),"")</f>
        <v/>
      </c>
    </row>
    <row r="677">
      <c r="A677" s="7">
        <f>IFERROR(Datos!A677,"")</f>
        <v/>
      </c>
      <c r="B677" s="8">
        <f>IFERROR(Datos!B677,"")</f>
        <v/>
      </c>
      <c r="C677" s="8">
        <f>IFERROR(Datos!C677,"")</f>
        <v/>
      </c>
      <c r="D677" s="28">
        <f>IFERROR(IF(AND(ISNUMBER(B677),ISNUMBER(B676),B676&lt;&gt;0),B677/B676-1,""),"")</f>
        <v/>
      </c>
      <c r="E677" s="28">
        <f>IFERROR(IF(AND(ISNUMBER(C677),ISNUMBER(C676),C676&lt;&gt;0),C677/C676-1,""),"")</f>
        <v/>
      </c>
      <c r="F677" s="28">
        <f>IFERROR(D677-Dashboard!$B$4/252,"")</f>
        <v/>
      </c>
      <c r="G677" s="28">
        <f>IFERROR(E677-Dashboard!$B$4/252,"")</f>
        <v/>
      </c>
      <c r="H677" s="8">
        <f>IFERROR(IF(ISNUMBER(B677),MAX(B677,IFERROR(H676,B677)),""),"")</f>
        <v/>
      </c>
      <c r="I677" s="29">
        <f>IFERROR(IF(AND(ISNUMBER(B677),ISNUMBER(H677)),B677/H677-1,""),"")</f>
        <v/>
      </c>
      <c r="J677" s="8">
        <f>IFERROR(IF(ISNUMBER(C677),MAX(C677,IFERROR(J676,C677)),""),"")</f>
        <v/>
      </c>
      <c r="K677" s="29">
        <f>IFERROR(IF(AND(ISNUMBER(C677),ISNUMBER(J677)),C677/J677-1,""),"")</f>
        <v/>
      </c>
      <c r="L677" s="28">
        <f>IFERROR(IF(AND(ISNUMBER(D677),ISNUMBER(E677)),D677-E677,""),"")</f>
        <v/>
      </c>
    </row>
    <row r="678">
      <c r="A678" s="7">
        <f>IFERROR(Datos!A678,"")</f>
        <v/>
      </c>
      <c r="B678" s="8">
        <f>IFERROR(Datos!B678,"")</f>
        <v/>
      </c>
      <c r="C678" s="8">
        <f>IFERROR(Datos!C678,"")</f>
        <v/>
      </c>
      <c r="D678" s="28">
        <f>IFERROR(IF(AND(ISNUMBER(B678),ISNUMBER(B677),B677&lt;&gt;0),B678/B677-1,""),"")</f>
        <v/>
      </c>
      <c r="E678" s="28">
        <f>IFERROR(IF(AND(ISNUMBER(C678),ISNUMBER(C677),C677&lt;&gt;0),C678/C677-1,""),"")</f>
        <v/>
      </c>
      <c r="F678" s="28">
        <f>IFERROR(D678-Dashboard!$B$4/252,"")</f>
        <v/>
      </c>
      <c r="G678" s="28">
        <f>IFERROR(E678-Dashboard!$B$4/252,"")</f>
        <v/>
      </c>
      <c r="H678" s="8">
        <f>IFERROR(IF(ISNUMBER(B678),MAX(B678,IFERROR(H677,B678)),""),"")</f>
        <v/>
      </c>
      <c r="I678" s="29">
        <f>IFERROR(IF(AND(ISNUMBER(B678),ISNUMBER(H678)),B678/H678-1,""),"")</f>
        <v/>
      </c>
      <c r="J678" s="8">
        <f>IFERROR(IF(ISNUMBER(C678),MAX(C678,IFERROR(J677,C678)),""),"")</f>
        <v/>
      </c>
      <c r="K678" s="29">
        <f>IFERROR(IF(AND(ISNUMBER(C678),ISNUMBER(J678)),C678/J678-1,""),"")</f>
        <v/>
      </c>
      <c r="L678" s="28">
        <f>IFERROR(IF(AND(ISNUMBER(D678),ISNUMBER(E678)),D678-E678,""),"")</f>
        <v/>
      </c>
    </row>
    <row r="679">
      <c r="A679" s="7">
        <f>IFERROR(Datos!A679,"")</f>
        <v/>
      </c>
      <c r="B679" s="8">
        <f>IFERROR(Datos!B679,"")</f>
        <v/>
      </c>
      <c r="C679" s="8">
        <f>IFERROR(Datos!C679,"")</f>
        <v/>
      </c>
      <c r="D679" s="28">
        <f>IFERROR(IF(AND(ISNUMBER(B679),ISNUMBER(B678),B678&lt;&gt;0),B679/B678-1,""),"")</f>
        <v/>
      </c>
      <c r="E679" s="28">
        <f>IFERROR(IF(AND(ISNUMBER(C679),ISNUMBER(C678),C678&lt;&gt;0),C679/C678-1,""),"")</f>
        <v/>
      </c>
      <c r="F679" s="28">
        <f>IFERROR(D679-Dashboard!$B$4/252,"")</f>
        <v/>
      </c>
      <c r="G679" s="28">
        <f>IFERROR(E679-Dashboard!$B$4/252,"")</f>
        <v/>
      </c>
      <c r="H679" s="8">
        <f>IFERROR(IF(ISNUMBER(B679),MAX(B679,IFERROR(H678,B679)),""),"")</f>
        <v/>
      </c>
      <c r="I679" s="29">
        <f>IFERROR(IF(AND(ISNUMBER(B679),ISNUMBER(H679)),B679/H679-1,""),"")</f>
        <v/>
      </c>
      <c r="J679" s="8">
        <f>IFERROR(IF(ISNUMBER(C679),MAX(C679,IFERROR(J678,C679)),""),"")</f>
        <v/>
      </c>
      <c r="K679" s="29">
        <f>IFERROR(IF(AND(ISNUMBER(C679),ISNUMBER(J679)),C679/J679-1,""),"")</f>
        <v/>
      </c>
      <c r="L679" s="28">
        <f>IFERROR(IF(AND(ISNUMBER(D679),ISNUMBER(E679)),D679-E679,""),"")</f>
        <v/>
      </c>
    </row>
    <row r="680">
      <c r="A680" s="7">
        <f>IFERROR(Datos!A680,"")</f>
        <v/>
      </c>
      <c r="B680" s="8">
        <f>IFERROR(Datos!B680,"")</f>
        <v/>
      </c>
      <c r="C680" s="8">
        <f>IFERROR(Datos!C680,"")</f>
        <v/>
      </c>
      <c r="D680" s="28">
        <f>IFERROR(IF(AND(ISNUMBER(B680),ISNUMBER(B679),B679&lt;&gt;0),B680/B679-1,""),"")</f>
        <v/>
      </c>
      <c r="E680" s="28">
        <f>IFERROR(IF(AND(ISNUMBER(C680),ISNUMBER(C679),C679&lt;&gt;0),C680/C679-1,""),"")</f>
        <v/>
      </c>
      <c r="F680" s="28">
        <f>IFERROR(D680-Dashboard!$B$4/252,"")</f>
        <v/>
      </c>
      <c r="G680" s="28">
        <f>IFERROR(E680-Dashboard!$B$4/252,"")</f>
        <v/>
      </c>
      <c r="H680" s="8">
        <f>IFERROR(IF(ISNUMBER(B680),MAX(B680,IFERROR(H679,B680)),""),"")</f>
        <v/>
      </c>
      <c r="I680" s="29">
        <f>IFERROR(IF(AND(ISNUMBER(B680),ISNUMBER(H680)),B680/H680-1,""),"")</f>
        <v/>
      </c>
      <c r="J680" s="8">
        <f>IFERROR(IF(ISNUMBER(C680),MAX(C680,IFERROR(J679,C680)),""),"")</f>
        <v/>
      </c>
      <c r="K680" s="29">
        <f>IFERROR(IF(AND(ISNUMBER(C680),ISNUMBER(J680)),C680/J680-1,""),"")</f>
        <v/>
      </c>
      <c r="L680" s="28">
        <f>IFERROR(IF(AND(ISNUMBER(D680),ISNUMBER(E680)),D680-E680,""),"")</f>
        <v/>
      </c>
    </row>
    <row r="681">
      <c r="A681" s="7">
        <f>IFERROR(Datos!A681,"")</f>
        <v/>
      </c>
      <c r="B681" s="8">
        <f>IFERROR(Datos!B681,"")</f>
        <v/>
      </c>
      <c r="C681" s="8">
        <f>IFERROR(Datos!C681,"")</f>
        <v/>
      </c>
      <c r="D681" s="28">
        <f>IFERROR(IF(AND(ISNUMBER(B681),ISNUMBER(B680),B680&lt;&gt;0),B681/B680-1,""),"")</f>
        <v/>
      </c>
      <c r="E681" s="28">
        <f>IFERROR(IF(AND(ISNUMBER(C681),ISNUMBER(C680),C680&lt;&gt;0),C681/C680-1,""),"")</f>
        <v/>
      </c>
      <c r="F681" s="28">
        <f>IFERROR(D681-Dashboard!$B$4/252,"")</f>
        <v/>
      </c>
      <c r="G681" s="28">
        <f>IFERROR(E681-Dashboard!$B$4/252,"")</f>
        <v/>
      </c>
      <c r="H681" s="8">
        <f>IFERROR(IF(ISNUMBER(B681),MAX(B681,IFERROR(H680,B681)),""),"")</f>
        <v/>
      </c>
      <c r="I681" s="29">
        <f>IFERROR(IF(AND(ISNUMBER(B681),ISNUMBER(H681)),B681/H681-1,""),"")</f>
        <v/>
      </c>
      <c r="J681" s="8">
        <f>IFERROR(IF(ISNUMBER(C681),MAX(C681,IFERROR(J680,C681)),""),"")</f>
        <v/>
      </c>
      <c r="K681" s="29">
        <f>IFERROR(IF(AND(ISNUMBER(C681),ISNUMBER(J681)),C681/J681-1,""),"")</f>
        <v/>
      </c>
      <c r="L681" s="28">
        <f>IFERROR(IF(AND(ISNUMBER(D681),ISNUMBER(E681)),D681-E681,""),"")</f>
        <v/>
      </c>
    </row>
    <row r="682">
      <c r="A682" s="7">
        <f>IFERROR(Datos!A682,"")</f>
        <v/>
      </c>
      <c r="B682" s="8">
        <f>IFERROR(Datos!B682,"")</f>
        <v/>
      </c>
      <c r="C682" s="8">
        <f>IFERROR(Datos!C682,"")</f>
        <v/>
      </c>
      <c r="D682" s="28">
        <f>IFERROR(IF(AND(ISNUMBER(B682),ISNUMBER(B681),B681&lt;&gt;0),B682/B681-1,""),"")</f>
        <v/>
      </c>
      <c r="E682" s="28">
        <f>IFERROR(IF(AND(ISNUMBER(C682),ISNUMBER(C681),C681&lt;&gt;0),C682/C681-1,""),"")</f>
        <v/>
      </c>
      <c r="F682" s="28">
        <f>IFERROR(D682-Dashboard!$B$4/252,"")</f>
        <v/>
      </c>
      <c r="G682" s="28">
        <f>IFERROR(E682-Dashboard!$B$4/252,"")</f>
        <v/>
      </c>
      <c r="H682" s="8">
        <f>IFERROR(IF(ISNUMBER(B682),MAX(B682,IFERROR(H681,B682)),""),"")</f>
        <v/>
      </c>
      <c r="I682" s="29">
        <f>IFERROR(IF(AND(ISNUMBER(B682),ISNUMBER(H682)),B682/H682-1,""),"")</f>
        <v/>
      </c>
      <c r="J682" s="8">
        <f>IFERROR(IF(ISNUMBER(C682),MAX(C682,IFERROR(J681,C682)),""),"")</f>
        <v/>
      </c>
      <c r="K682" s="29">
        <f>IFERROR(IF(AND(ISNUMBER(C682),ISNUMBER(J682)),C682/J682-1,""),"")</f>
        <v/>
      </c>
      <c r="L682" s="28">
        <f>IFERROR(IF(AND(ISNUMBER(D682),ISNUMBER(E682)),D682-E682,""),"")</f>
        <v/>
      </c>
    </row>
    <row r="683">
      <c r="A683" s="7">
        <f>IFERROR(Datos!A683,"")</f>
        <v/>
      </c>
      <c r="B683" s="8">
        <f>IFERROR(Datos!B683,"")</f>
        <v/>
      </c>
      <c r="C683" s="8">
        <f>IFERROR(Datos!C683,"")</f>
        <v/>
      </c>
      <c r="D683" s="28">
        <f>IFERROR(IF(AND(ISNUMBER(B683),ISNUMBER(B682),B682&lt;&gt;0),B683/B682-1,""),"")</f>
        <v/>
      </c>
      <c r="E683" s="28">
        <f>IFERROR(IF(AND(ISNUMBER(C683),ISNUMBER(C682),C682&lt;&gt;0),C683/C682-1,""),"")</f>
        <v/>
      </c>
      <c r="F683" s="28">
        <f>IFERROR(D683-Dashboard!$B$4/252,"")</f>
        <v/>
      </c>
      <c r="G683" s="28">
        <f>IFERROR(E683-Dashboard!$B$4/252,"")</f>
        <v/>
      </c>
      <c r="H683" s="8">
        <f>IFERROR(IF(ISNUMBER(B683),MAX(B683,IFERROR(H682,B683)),""),"")</f>
        <v/>
      </c>
      <c r="I683" s="29">
        <f>IFERROR(IF(AND(ISNUMBER(B683),ISNUMBER(H683)),B683/H683-1,""),"")</f>
        <v/>
      </c>
      <c r="J683" s="8">
        <f>IFERROR(IF(ISNUMBER(C683),MAX(C683,IFERROR(J682,C683)),""),"")</f>
        <v/>
      </c>
      <c r="K683" s="29">
        <f>IFERROR(IF(AND(ISNUMBER(C683),ISNUMBER(J683)),C683/J683-1,""),"")</f>
        <v/>
      </c>
      <c r="L683" s="28">
        <f>IFERROR(IF(AND(ISNUMBER(D683),ISNUMBER(E683)),D683-E683,""),"")</f>
        <v/>
      </c>
    </row>
    <row r="684">
      <c r="A684" s="7">
        <f>IFERROR(Datos!A684,"")</f>
        <v/>
      </c>
      <c r="B684" s="8">
        <f>IFERROR(Datos!B684,"")</f>
        <v/>
      </c>
      <c r="C684" s="8">
        <f>IFERROR(Datos!C684,"")</f>
        <v/>
      </c>
      <c r="D684" s="28">
        <f>IFERROR(IF(AND(ISNUMBER(B684),ISNUMBER(B683),B683&lt;&gt;0),B684/B683-1,""),"")</f>
        <v/>
      </c>
      <c r="E684" s="28">
        <f>IFERROR(IF(AND(ISNUMBER(C684),ISNUMBER(C683),C683&lt;&gt;0),C684/C683-1,""),"")</f>
        <v/>
      </c>
      <c r="F684" s="28">
        <f>IFERROR(D684-Dashboard!$B$4/252,"")</f>
        <v/>
      </c>
      <c r="G684" s="28">
        <f>IFERROR(E684-Dashboard!$B$4/252,"")</f>
        <v/>
      </c>
      <c r="H684" s="8">
        <f>IFERROR(IF(ISNUMBER(B684),MAX(B684,IFERROR(H683,B684)),""),"")</f>
        <v/>
      </c>
      <c r="I684" s="29">
        <f>IFERROR(IF(AND(ISNUMBER(B684),ISNUMBER(H684)),B684/H684-1,""),"")</f>
        <v/>
      </c>
      <c r="J684" s="8">
        <f>IFERROR(IF(ISNUMBER(C684),MAX(C684,IFERROR(J683,C684)),""),"")</f>
        <v/>
      </c>
      <c r="K684" s="29">
        <f>IFERROR(IF(AND(ISNUMBER(C684),ISNUMBER(J684)),C684/J684-1,""),"")</f>
        <v/>
      </c>
      <c r="L684" s="28">
        <f>IFERROR(IF(AND(ISNUMBER(D684),ISNUMBER(E684)),D684-E684,""),"")</f>
        <v/>
      </c>
    </row>
    <row r="685">
      <c r="A685" s="7">
        <f>IFERROR(Datos!A685,"")</f>
        <v/>
      </c>
      <c r="B685" s="8">
        <f>IFERROR(Datos!B685,"")</f>
        <v/>
      </c>
      <c r="C685" s="8">
        <f>IFERROR(Datos!C685,"")</f>
        <v/>
      </c>
      <c r="D685" s="28">
        <f>IFERROR(IF(AND(ISNUMBER(B685),ISNUMBER(B684),B684&lt;&gt;0),B685/B684-1,""),"")</f>
        <v/>
      </c>
      <c r="E685" s="28">
        <f>IFERROR(IF(AND(ISNUMBER(C685),ISNUMBER(C684),C684&lt;&gt;0),C685/C684-1,""),"")</f>
        <v/>
      </c>
      <c r="F685" s="28">
        <f>IFERROR(D685-Dashboard!$B$4/252,"")</f>
        <v/>
      </c>
      <c r="G685" s="28">
        <f>IFERROR(E685-Dashboard!$B$4/252,"")</f>
        <v/>
      </c>
      <c r="H685" s="8">
        <f>IFERROR(IF(ISNUMBER(B685),MAX(B685,IFERROR(H684,B685)),""),"")</f>
        <v/>
      </c>
      <c r="I685" s="29">
        <f>IFERROR(IF(AND(ISNUMBER(B685),ISNUMBER(H685)),B685/H685-1,""),"")</f>
        <v/>
      </c>
      <c r="J685" s="8">
        <f>IFERROR(IF(ISNUMBER(C685),MAX(C685,IFERROR(J684,C685)),""),"")</f>
        <v/>
      </c>
      <c r="K685" s="29">
        <f>IFERROR(IF(AND(ISNUMBER(C685),ISNUMBER(J685)),C685/J685-1,""),"")</f>
        <v/>
      </c>
      <c r="L685" s="28">
        <f>IFERROR(IF(AND(ISNUMBER(D685),ISNUMBER(E685)),D685-E685,""),"")</f>
        <v/>
      </c>
    </row>
    <row r="686">
      <c r="A686" s="7">
        <f>IFERROR(Datos!A686,"")</f>
        <v/>
      </c>
      <c r="B686" s="8">
        <f>IFERROR(Datos!B686,"")</f>
        <v/>
      </c>
      <c r="C686" s="8">
        <f>IFERROR(Datos!C686,"")</f>
        <v/>
      </c>
      <c r="D686" s="28">
        <f>IFERROR(IF(AND(ISNUMBER(B686),ISNUMBER(B685),B685&lt;&gt;0),B686/B685-1,""),"")</f>
        <v/>
      </c>
      <c r="E686" s="28">
        <f>IFERROR(IF(AND(ISNUMBER(C686),ISNUMBER(C685),C685&lt;&gt;0),C686/C685-1,""),"")</f>
        <v/>
      </c>
      <c r="F686" s="28">
        <f>IFERROR(D686-Dashboard!$B$4/252,"")</f>
        <v/>
      </c>
      <c r="G686" s="28">
        <f>IFERROR(E686-Dashboard!$B$4/252,"")</f>
        <v/>
      </c>
      <c r="H686" s="8">
        <f>IFERROR(IF(ISNUMBER(B686),MAX(B686,IFERROR(H685,B686)),""),"")</f>
        <v/>
      </c>
      <c r="I686" s="29">
        <f>IFERROR(IF(AND(ISNUMBER(B686),ISNUMBER(H686)),B686/H686-1,""),"")</f>
        <v/>
      </c>
      <c r="J686" s="8">
        <f>IFERROR(IF(ISNUMBER(C686),MAX(C686,IFERROR(J685,C686)),""),"")</f>
        <v/>
      </c>
      <c r="K686" s="29">
        <f>IFERROR(IF(AND(ISNUMBER(C686),ISNUMBER(J686)),C686/J686-1,""),"")</f>
        <v/>
      </c>
      <c r="L686" s="28">
        <f>IFERROR(IF(AND(ISNUMBER(D686),ISNUMBER(E686)),D686-E686,""),"")</f>
        <v/>
      </c>
    </row>
    <row r="687">
      <c r="A687" s="7">
        <f>IFERROR(Datos!A687,"")</f>
        <v/>
      </c>
      <c r="B687" s="8">
        <f>IFERROR(Datos!B687,"")</f>
        <v/>
      </c>
      <c r="C687" s="8">
        <f>IFERROR(Datos!C687,"")</f>
        <v/>
      </c>
      <c r="D687" s="28">
        <f>IFERROR(IF(AND(ISNUMBER(B687),ISNUMBER(B686),B686&lt;&gt;0),B687/B686-1,""),"")</f>
        <v/>
      </c>
      <c r="E687" s="28">
        <f>IFERROR(IF(AND(ISNUMBER(C687),ISNUMBER(C686),C686&lt;&gt;0),C687/C686-1,""),"")</f>
        <v/>
      </c>
      <c r="F687" s="28">
        <f>IFERROR(D687-Dashboard!$B$4/252,"")</f>
        <v/>
      </c>
      <c r="G687" s="28">
        <f>IFERROR(E687-Dashboard!$B$4/252,"")</f>
        <v/>
      </c>
      <c r="H687" s="8">
        <f>IFERROR(IF(ISNUMBER(B687),MAX(B687,IFERROR(H686,B687)),""),"")</f>
        <v/>
      </c>
      <c r="I687" s="29">
        <f>IFERROR(IF(AND(ISNUMBER(B687),ISNUMBER(H687)),B687/H687-1,""),"")</f>
        <v/>
      </c>
      <c r="J687" s="8">
        <f>IFERROR(IF(ISNUMBER(C687),MAX(C687,IFERROR(J686,C687)),""),"")</f>
        <v/>
      </c>
      <c r="K687" s="29">
        <f>IFERROR(IF(AND(ISNUMBER(C687),ISNUMBER(J687)),C687/J687-1,""),"")</f>
        <v/>
      </c>
      <c r="L687" s="28">
        <f>IFERROR(IF(AND(ISNUMBER(D687),ISNUMBER(E687)),D687-E687,""),"")</f>
        <v/>
      </c>
    </row>
    <row r="688">
      <c r="A688" s="7">
        <f>IFERROR(Datos!A688,"")</f>
        <v/>
      </c>
      <c r="B688" s="8">
        <f>IFERROR(Datos!B688,"")</f>
        <v/>
      </c>
      <c r="C688" s="8">
        <f>IFERROR(Datos!C688,"")</f>
        <v/>
      </c>
      <c r="D688" s="28">
        <f>IFERROR(IF(AND(ISNUMBER(B688),ISNUMBER(B687),B687&lt;&gt;0),B688/B687-1,""),"")</f>
        <v/>
      </c>
      <c r="E688" s="28">
        <f>IFERROR(IF(AND(ISNUMBER(C688),ISNUMBER(C687),C687&lt;&gt;0),C688/C687-1,""),"")</f>
        <v/>
      </c>
      <c r="F688" s="28">
        <f>IFERROR(D688-Dashboard!$B$4/252,"")</f>
        <v/>
      </c>
      <c r="G688" s="28">
        <f>IFERROR(E688-Dashboard!$B$4/252,"")</f>
        <v/>
      </c>
      <c r="H688" s="8">
        <f>IFERROR(IF(ISNUMBER(B688),MAX(B688,IFERROR(H687,B688)),""),"")</f>
        <v/>
      </c>
      <c r="I688" s="29">
        <f>IFERROR(IF(AND(ISNUMBER(B688),ISNUMBER(H688)),B688/H688-1,""),"")</f>
        <v/>
      </c>
      <c r="J688" s="8">
        <f>IFERROR(IF(ISNUMBER(C688),MAX(C688,IFERROR(J687,C688)),""),"")</f>
        <v/>
      </c>
      <c r="K688" s="29">
        <f>IFERROR(IF(AND(ISNUMBER(C688),ISNUMBER(J688)),C688/J688-1,""),"")</f>
        <v/>
      </c>
      <c r="L688" s="28">
        <f>IFERROR(IF(AND(ISNUMBER(D688),ISNUMBER(E688)),D688-E688,""),"")</f>
        <v/>
      </c>
    </row>
    <row r="689">
      <c r="A689" s="7">
        <f>IFERROR(Datos!A689,"")</f>
        <v/>
      </c>
      <c r="B689" s="8">
        <f>IFERROR(Datos!B689,"")</f>
        <v/>
      </c>
      <c r="C689" s="8">
        <f>IFERROR(Datos!C689,"")</f>
        <v/>
      </c>
      <c r="D689" s="28">
        <f>IFERROR(IF(AND(ISNUMBER(B689),ISNUMBER(B688),B688&lt;&gt;0),B689/B688-1,""),"")</f>
        <v/>
      </c>
      <c r="E689" s="28">
        <f>IFERROR(IF(AND(ISNUMBER(C689),ISNUMBER(C688),C688&lt;&gt;0),C689/C688-1,""),"")</f>
        <v/>
      </c>
      <c r="F689" s="28">
        <f>IFERROR(D689-Dashboard!$B$4/252,"")</f>
        <v/>
      </c>
      <c r="G689" s="28">
        <f>IFERROR(E689-Dashboard!$B$4/252,"")</f>
        <v/>
      </c>
      <c r="H689" s="8">
        <f>IFERROR(IF(ISNUMBER(B689),MAX(B689,IFERROR(H688,B689)),""),"")</f>
        <v/>
      </c>
      <c r="I689" s="29">
        <f>IFERROR(IF(AND(ISNUMBER(B689),ISNUMBER(H689)),B689/H689-1,""),"")</f>
        <v/>
      </c>
      <c r="J689" s="8">
        <f>IFERROR(IF(ISNUMBER(C689),MAX(C689,IFERROR(J688,C689)),""),"")</f>
        <v/>
      </c>
      <c r="K689" s="29">
        <f>IFERROR(IF(AND(ISNUMBER(C689),ISNUMBER(J689)),C689/J689-1,""),"")</f>
        <v/>
      </c>
      <c r="L689" s="28">
        <f>IFERROR(IF(AND(ISNUMBER(D689),ISNUMBER(E689)),D689-E689,""),"")</f>
        <v/>
      </c>
    </row>
    <row r="690">
      <c r="A690" s="7">
        <f>IFERROR(Datos!A690,"")</f>
        <v/>
      </c>
      <c r="B690" s="8">
        <f>IFERROR(Datos!B690,"")</f>
        <v/>
      </c>
      <c r="C690" s="8">
        <f>IFERROR(Datos!C690,"")</f>
        <v/>
      </c>
      <c r="D690" s="28">
        <f>IFERROR(IF(AND(ISNUMBER(B690),ISNUMBER(B689),B689&lt;&gt;0),B690/B689-1,""),"")</f>
        <v/>
      </c>
      <c r="E690" s="28">
        <f>IFERROR(IF(AND(ISNUMBER(C690),ISNUMBER(C689),C689&lt;&gt;0),C690/C689-1,""),"")</f>
        <v/>
      </c>
      <c r="F690" s="28">
        <f>IFERROR(D690-Dashboard!$B$4/252,"")</f>
        <v/>
      </c>
      <c r="G690" s="28">
        <f>IFERROR(E690-Dashboard!$B$4/252,"")</f>
        <v/>
      </c>
      <c r="H690" s="8">
        <f>IFERROR(IF(ISNUMBER(B690),MAX(B690,IFERROR(H689,B690)),""),"")</f>
        <v/>
      </c>
      <c r="I690" s="29">
        <f>IFERROR(IF(AND(ISNUMBER(B690),ISNUMBER(H690)),B690/H690-1,""),"")</f>
        <v/>
      </c>
      <c r="J690" s="8">
        <f>IFERROR(IF(ISNUMBER(C690),MAX(C690,IFERROR(J689,C690)),""),"")</f>
        <v/>
      </c>
      <c r="K690" s="29">
        <f>IFERROR(IF(AND(ISNUMBER(C690),ISNUMBER(J690)),C690/J690-1,""),"")</f>
        <v/>
      </c>
      <c r="L690" s="28">
        <f>IFERROR(IF(AND(ISNUMBER(D690),ISNUMBER(E690)),D690-E690,""),"")</f>
        <v/>
      </c>
    </row>
    <row r="691">
      <c r="A691" s="7">
        <f>IFERROR(Datos!A691,"")</f>
        <v/>
      </c>
      <c r="B691" s="8">
        <f>IFERROR(Datos!B691,"")</f>
        <v/>
      </c>
      <c r="C691" s="8">
        <f>IFERROR(Datos!C691,"")</f>
        <v/>
      </c>
      <c r="D691" s="28">
        <f>IFERROR(IF(AND(ISNUMBER(B691),ISNUMBER(B690),B690&lt;&gt;0),B691/B690-1,""),"")</f>
        <v/>
      </c>
      <c r="E691" s="28">
        <f>IFERROR(IF(AND(ISNUMBER(C691),ISNUMBER(C690),C690&lt;&gt;0),C691/C690-1,""),"")</f>
        <v/>
      </c>
      <c r="F691" s="28">
        <f>IFERROR(D691-Dashboard!$B$4/252,"")</f>
        <v/>
      </c>
      <c r="G691" s="28">
        <f>IFERROR(E691-Dashboard!$B$4/252,"")</f>
        <v/>
      </c>
      <c r="H691" s="8">
        <f>IFERROR(IF(ISNUMBER(B691),MAX(B691,IFERROR(H690,B691)),""),"")</f>
        <v/>
      </c>
      <c r="I691" s="29">
        <f>IFERROR(IF(AND(ISNUMBER(B691),ISNUMBER(H691)),B691/H691-1,""),"")</f>
        <v/>
      </c>
      <c r="J691" s="8">
        <f>IFERROR(IF(ISNUMBER(C691),MAX(C691,IFERROR(J690,C691)),""),"")</f>
        <v/>
      </c>
      <c r="K691" s="29">
        <f>IFERROR(IF(AND(ISNUMBER(C691),ISNUMBER(J691)),C691/J691-1,""),"")</f>
        <v/>
      </c>
      <c r="L691" s="28">
        <f>IFERROR(IF(AND(ISNUMBER(D691),ISNUMBER(E691)),D691-E691,""),"")</f>
        <v/>
      </c>
    </row>
    <row r="692">
      <c r="A692" s="7">
        <f>IFERROR(Datos!A692,"")</f>
        <v/>
      </c>
      <c r="B692" s="8">
        <f>IFERROR(Datos!B692,"")</f>
        <v/>
      </c>
      <c r="C692" s="8">
        <f>IFERROR(Datos!C692,"")</f>
        <v/>
      </c>
      <c r="D692" s="28">
        <f>IFERROR(IF(AND(ISNUMBER(B692),ISNUMBER(B691),B691&lt;&gt;0),B692/B691-1,""),"")</f>
        <v/>
      </c>
      <c r="E692" s="28">
        <f>IFERROR(IF(AND(ISNUMBER(C692),ISNUMBER(C691),C691&lt;&gt;0),C692/C691-1,""),"")</f>
        <v/>
      </c>
      <c r="F692" s="28">
        <f>IFERROR(D692-Dashboard!$B$4/252,"")</f>
        <v/>
      </c>
      <c r="G692" s="28">
        <f>IFERROR(E692-Dashboard!$B$4/252,"")</f>
        <v/>
      </c>
      <c r="H692" s="8">
        <f>IFERROR(IF(ISNUMBER(B692),MAX(B692,IFERROR(H691,B692)),""),"")</f>
        <v/>
      </c>
      <c r="I692" s="29">
        <f>IFERROR(IF(AND(ISNUMBER(B692),ISNUMBER(H692)),B692/H692-1,""),"")</f>
        <v/>
      </c>
      <c r="J692" s="8">
        <f>IFERROR(IF(ISNUMBER(C692),MAX(C692,IFERROR(J691,C692)),""),"")</f>
        <v/>
      </c>
      <c r="K692" s="29">
        <f>IFERROR(IF(AND(ISNUMBER(C692),ISNUMBER(J692)),C692/J692-1,""),"")</f>
        <v/>
      </c>
      <c r="L692" s="28">
        <f>IFERROR(IF(AND(ISNUMBER(D692),ISNUMBER(E692)),D692-E692,""),"")</f>
        <v/>
      </c>
    </row>
    <row r="693">
      <c r="A693" s="7">
        <f>IFERROR(Datos!A693,"")</f>
        <v/>
      </c>
      <c r="B693" s="8">
        <f>IFERROR(Datos!B693,"")</f>
        <v/>
      </c>
      <c r="C693" s="8">
        <f>IFERROR(Datos!C693,"")</f>
        <v/>
      </c>
      <c r="D693" s="28">
        <f>IFERROR(IF(AND(ISNUMBER(B693),ISNUMBER(B692),B692&lt;&gt;0),B693/B692-1,""),"")</f>
        <v/>
      </c>
      <c r="E693" s="28">
        <f>IFERROR(IF(AND(ISNUMBER(C693),ISNUMBER(C692),C692&lt;&gt;0),C693/C692-1,""),"")</f>
        <v/>
      </c>
      <c r="F693" s="28">
        <f>IFERROR(D693-Dashboard!$B$4/252,"")</f>
        <v/>
      </c>
      <c r="G693" s="28">
        <f>IFERROR(E693-Dashboard!$B$4/252,"")</f>
        <v/>
      </c>
      <c r="H693" s="8">
        <f>IFERROR(IF(ISNUMBER(B693),MAX(B693,IFERROR(H692,B693)),""),"")</f>
        <v/>
      </c>
      <c r="I693" s="29">
        <f>IFERROR(IF(AND(ISNUMBER(B693),ISNUMBER(H693)),B693/H693-1,""),"")</f>
        <v/>
      </c>
      <c r="J693" s="8">
        <f>IFERROR(IF(ISNUMBER(C693),MAX(C693,IFERROR(J692,C693)),""),"")</f>
        <v/>
      </c>
      <c r="K693" s="29">
        <f>IFERROR(IF(AND(ISNUMBER(C693),ISNUMBER(J693)),C693/J693-1,""),"")</f>
        <v/>
      </c>
      <c r="L693" s="28">
        <f>IFERROR(IF(AND(ISNUMBER(D693),ISNUMBER(E693)),D693-E693,""),"")</f>
        <v/>
      </c>
    </row>
    <row r="694">
      <c r="A694" s="7">
        <f>IFERROR(Datos!A694,"")</f>
        <v/>
      </c>
      <c r="B694" s="8">
        <f>IFERROR(Datos!B694,"")</f>
        <v/>
      </c>
      <c r="C694" s="8">
        <f>IFERROR(Datos!C694,"")</f>
        <v/>
      </c>
      <c r="D694" s="28">
        <f>IFERROR(IF(AND(ISNUMBER(B694),ISNUMBER(B693),B693&lt;&gt;0),B694/B693-1,""),"")</f>
        <v/>
      </c>
      <c r="E694" s="28">
        <f>IFERROR(IF(AND(ISNUMBER(C694),ISNUMBER(C693),C693&lt;&gt;0),C694/C693-1,""),"")</f>
        <v/>
      </c>
      <c r="F694" s="28">
        <f>IFERROR(D694-Dashboard!$B$4/252,"")</f>
        <v/>
      </c>
      <c r="G694" s="28">
        <f>IFERROR(E694-Dashboard!$B$4/252,"")</f>
        <v/>
      </c>
      <c r="H694" s="8">
        <f>IFERROR(IF(ISNUMBER(B694),MAX(B694,IFERROR(H693,B694)),""),"")</f>
        <v/>
      </c>
      <c r="I694" s="29">
        <f>IFERROR(IF(AND(ISNUMBER(B694),ISNUMBER(H694)),B694/H694-1,""),"")</f>
        <v/>
      </c>
      <c r="J694" s="8">
        <f>IFERROR(IF(ISNUMBER(C694),MAX(C694,IFERROR(J693,C694)),""),"")</f>
        <v/>
      </c>
      <c r="K694" s="29">
        <f>IFERROR(IF(AND(ISNUMBER(C694),ISNUMBER(J694)),C694/J694-1,""),"")</f>
        <v/>
      </c>
      <c r="L694" s="28">
        <f>IFERROR(IF(AND(ISNUMBER(D694),ISNUMBER(E694)),D694-E694,""),"")</f>
        <v/>
      </c>
    </row>
    <row r="695">
      <c r="A695" s="7">
        <f>IFERROR(Datos!A695,"")</f>
        <v/>
      </c>
      <c r="B695" s="8">
        <f>IFERROR(Datos!B695,"")</f>
        <v/>
      </c>
      <c r="C695" s="8">
        <f>IFERROR(Datos!C695,"")</f>
        <v/>
      </c>
      <c r="D695" s="28">
        <f>IFERROR(IF(AND(ISNUMBER(B695),ISNUMBER(B694),B694&lt;&gt;0),B695/B694-1,""),"")</f>
        <v/>
      </c>
      <c r="E695" s="28">
        <f>IFERROR(IF(AND(ISNUMBER(C695),ISNUMBER(C694),C694&lt;&gt;0),C695/C694-1,""),"")</f>
        <v/>
      </c>
      <c r="F695" s="28">
        <f>IFERROR(D695-Dashboard!$B$4/252,"")</f>
        <v/>
      </c>
      <c r="G695" s="28">
        <f>IFERROR(E695-Dashboard!$B$4/252,"")</f>
        <v/>
      </c>
      <c r="H695" s="8">
        <f>IFERROR(IF(ISNUMBER(B695),MAX(B695,IFERROR(H694,B695)),""),"")</f>
        <v/>
      </c>
      <c r="I695" s="29">
        <f>IFERROR(IF(AND(ISNUMBER(B695),ISNUMBER(H695)),B695/H695-1,""),"")</f>
        <v/>
      </c>
      <c r="J695" s="8">
        <f>IFERROR(IF(ISNUMBER(C695),MAX(C695,IFERROR(J694,C695)),""),"")</f>
        <v/>
      </c>
      <c r="K695" s="29">
        <f>IFERROR(IF(AND(ISNUMBER(C695),ISNUMBER(J695)),C695/J695-1,""),"")</f>
        <v/>
      </c>
      <c r="L695" s="28">
        <f>IFERROR(IF(AND(ISNUMBER(D695),ISNUMBER(E695)),D695-E695,""),"")</f>
        <v/>
      </c>
    </row>
    <row r="696">
      <c r="A696" s="7">
        <f>IFERROR(Datos!A696,"")</f>
        <v/>
      </c>
      <c r="B696" s="8">
        <f>IFERROR(Datos!B696,"")</f>
        <v/>
      </c>
      <c r="C696" s="8">
        <f>IFERROR(Datos!C696,"")</f>
        <v/>
      </c>
      <c r="D696" s="28">
        <f>IFERROR(IF(AND(ISNUMBER(B696),ISNUMBER(B695),B695&lt;&gt;0),B696/B695-1,""),"")</f>
        <v/>
      </c>
      <c r="E696" s="28">
        <f>IFERROR(IF(AND(ISNUMBER(C696),ISNUMBER(C695),C695&lt;&gt;0),C696/C695-1,""),"")</f>
        <v/>
      </c>
      <c r="F696" s="28">
        <f>IFERROR(D696-Dashboard!$B$4/252,"")</f>
        <v/>
      </c>
      <c r="G696" s="28">
        <f>IFERROR(E696-Dashboard!$B$4/252,"")</f>
        <v/>
      </c>
      <c r="H696" s="8">
        <f>IFERROR(IF(ISNUMBER(B696),MAX(B696,IFERROR(H695,B696)),""),"")</f>
        <v/>
      </c>
      <c r="I696" s="29">
        <f>IFERROR(IF(AND(ISNUMBER(B696),ISNUMBER(H696)),B696/H696-1,""),"")</f>
        <v/>
      </c>
      <c r="J696" s="8">
        <f>IFERROR(IF(ISNUMBER(C696),MAX(C696,IFERROR(J695,C696)),""),"")</f>
        <v/>
      </c>
      <c r="K696" s="29">
        <f>IFERROR(IF(AND(ISNUMBER(C696),ISNUMBER(J696)),C696/J696-1,""),"")</f>
        <v/>
      </c>
      <c r="L696" s="28">
        <f>IFERROR(IF(AND(ISNUMBER(D696),ISNUMBER(E696)),D696-E696,""),"")</f>
        <v/>
      </c>
    </row>
    <row r="697">
      <c r="A697" s="7">
        <f>IFERROR(Datos!A697,"")</f>
        <v/>
      </c>
      <c r="B697" s="8">
        <f>IFERROR(Datos!B697,"")</f>
        <v/>
      </c>
      <c r="C697" s="8">
        <f>IFERROR(Datos!C697,"")</f>
        <v/>
      </c>
      <c r="D697" s="28">
        <f>IFERROR(IF(AND(ISNUMBER(B697),ISNUMBER(B696),B696&lt;&gt;0),B697/B696-1,""),"")</f>
        <v/>
      </c>
      <c r="E697" s="28">
        <f>IFERROR(IF(AND(ISNUMBER(C697),ISNUMBER(C696),C696&lt;&gt;0),C697/C696-1,""),"")</f>
        <v/>
      </c>
      <c r="F697" s="28">
        <f>IFERROR(D697-Dashboard!$B$4/252,"")</f>
        <v/>
      </c>
      <c r="G697" s="28">
        <f>IFERROR(E697-Dashboard!$B$4/252,"")</f>
        <v/>
      </c>
      <c r="H697" s="8">
        <f>IFERROR(IF(ISNUMBER(B697),MAX(B697,IFERROR(H696,B697)),""),"")</f>
        <v/>
      </c>
      <c r="I697" s="29">
        <f>IFERROR(IF(AND(ISNUMBER(B697),ISNUMBER(H697)),B697/H697-1,""),"")</f>
        <v/>
      </c>
      <c r="J697" s="8">
        <f>IFERROR(IF(ISNUMBER(C697),MAX(C697,IFERROR(J696,C697)),""),"")</f>
        <v/>
      </c>
      <c r="K697" s="29">
        <f>IFERROR(IF(AND(ISNUMBER(C697),ISNUMBER(J697)),C697/J697-1,""),"")</f>
        <v/>
      </c>
      <c r="L697" s="28">
        <f>IFERROR(IF(AND(ISNUMBER(D697),ISNUMBER(E697)),D697-E697,""),"")</f>
        <v/>
      </c>
    </row>
    <row r="698">
      <c r="A698" s="7">
        <f>IFERROR(Datos!A698,"")</f>
        <v/>
      </c>
      <c r="B698" s="8">
        <f>IFERROR(Datos!B698,"")</f>
        <v/>
      </c>
      <c r="C698" s="8">
        <f>IFERROR(Datos!C698,"")</f>
        <v/>
      </c>
      <c r="D698" s="28">
        <f>IFERROR(IF(AND(ISNUMBER(B698),ISNUMBER(B697),B697&lt;&gt;0),B698/B697-1,""),"")</f>
        <v/>
      </c>
      <c r="E698" s="28">
        <f>IFERROR(IF(AND(ISNUMBER(C698),ISNUMBER(C697),C697&lt;&gt;0),C698/C697-1,""),"")</f>
        <v/>
      </c>
      <c r="F698" s="28">
        <f>IFERROR(D698-Dashboard!$B$4/252,"")</f>
        <v/>
      </c>
      <c r="G698" s="28">
        <f>IFERROR(E698-Dashboard!$B$4/252,"")</f>
        <v/>
      </c>
      <c r="H698" s="8">
        <f>IFERROR(IF(ISNUMBER(B698),MAX(B698,IFERROR(H697,B698)),""),"")</f>
        <v/>
      </c>
      <c r="I698" s="29">
        <f>IFERROR(IF(AND(ISNUMBER(B698),ISNUMBER(H698)),B698/H698-1,""),"")</f>
        <v/>
      </c>
      <c r="J698" s="8">
        <f>IFERROR(IF(ISNUMBER(C698),MAX(C698,IFERROR(J697,C698)),""),"")</f>
        <v/>
      </c>
      <c r="K698" s="29">
        <f>IFERROR(IF(AND(ISNUMBER(C698),ISNUMBER(J698)),C698/J698-1,""),"")</f>
        <v/>
      </c>
      <c r="L698" s="28">
        <f>IFERROR(IF(AND(ISNUMBER(D698),ISNUMBER(E698)),D698-E698,""),"")</f>
        <v/>
      </c>
    </row>
    <row r="699">
      <c r="A699" s="7">
        <f>IFERROR(Datos!A699,"")</f>
        <v/>
      </c>
      <c r="B699" s="8">
        <f>IFERROR(Datos!B699,"")</f>
        <v/>
      </c>
      <c r="C699" s="8">
        <f>IFERROR(Datos!C699,"")</f>
        <v/>
      </c>
      <c r="D699" s="28">
        <f>IFERROR(IF(AND(ISNUMBER(B699),ISNUMBER(B698),B698&lt;&gt;0),B699/B698-1,""),"")</f>
        <v/>
      </c>
      <c r="E699" s="28">
        <f>IFERROR(IF(AND(ISNUMBER(C699),ISNUMBER(C698),C698&lt;&gt;0),C699/C698-1,""),"")</f>
        <v/>
      </c>
      <c r="F699" s="28">
        <f>IFERROR(D699-Dashboard!$B$4/252,"")</f>
        <v/>
      </c>
      <c r="G699" s="28">
        <f>IFERROR(E699-Dashboard!$B$4/252,"")</f>
        <v/>
      </c>
      <c r="H699" s="8">
        <f>IFERROR(IF(ISNUMBER(B699),MAX(B699,IFERROR(H698,B699)),""),"")</f>
        <v/>
      </c>
      <c r="I699" s="29">
        <f>IFERROR(IF(AND(ISNUMBER(B699),ISNUMBER(H699)),B699/H699-1,""),"")</f>
        <v/>
      </c>
      <c r="J699" s="8">
        <f>IFERROR(IF(ISNUMBER(C699),MAX(C699,IFERROR(J698,C699)),""),"")</f>
        <v/>
      </c>
      <c r="K699" s="29">
        <f>IFERROR(IF(AND(ISNUMBER(C699),ISNUMBER(J699)),C699/J699-1,""),"")</f>
        <v/>
      </c>
      <c r="L699" s="28">
        <f>IFERROR(IF(AND(ISNUMBER(D699),ISNUMBER(E699)),D699-E699,""),"")</f>
        <v/>
      </c>
    </row>
    <row r="700">
      <c r="A700" s="7">
        <f>IFERROR(Datos!A700,"")</f>
        <v/>
      </c>
      <c r="B700" s="8">
        <f>IFERROR(Datos!B700,"")</f>
        <v/>
      </c>
      <c r="C700" s="8">
        <f>IFERROR(Datos!C700,"")</f>
        <v/>
      </c>
      <c r="D700" s="28">
        <f>IFERROR(IF(AND(ISNUMBER(B700),ISNUMBER(B699),B699&lt;&gt;0),B700/B699-1,""),"")</f>
        <v/>
      </c>
      <c r="E700" s="28">
        <f>IFERROR(IF(AND(ISNUMBER(C700),ISNUMBER(C699),C699&lt;&gt;0),C700/C699-1,""),"")</f>
        <v/>
      </c>
      <c r="F700" s="28">
        <f>IFERROR(D700-Dashboard!$B$4/252,"")</f>
        <v/>
      </c>
      <c r="G700" s="28">
        <f>IFERROR(E700-Dashboard!$B$4/252,"")</f>
        <v/>
      </c>
      <c r="H700" s="8">
        <f>IFERROR(IF(ISNUMBER(B700),MAX(B700,IFERROR(H699,B700)),""),"")</f>
        <v/>
      </c>
      <c r="I700" s="29">
        <f>IFERROR(IF(AND(ISNUMBER(B700),ISNUMBER(H700)),B700/H700-1,""),"")</f>
        <v/>
      </c>
      <c r="J700" s="8">
        <f>IFERROR(IF(ISNUMBER(C700),MAX(C700,IFERROR(J699,C700)),""),"")</f>
        <v/>
      </c>
      <c r="K700" s="29">
        <f>IFERROR(IF(AND(ISNUMBER(C700),ISNUMBER(J700)),C700/J700-1,""),"")</f>
        <v/>
      </c>
      <c r="L700" s="28">
        <f>IFERROR(IF(AND(ISNUMBER(D700),ISNUMBER(E700)),D700-E700,""),"")</f>
        <v/>
      </c>
    </row>
    <row r="701">
      <c r="A701" s="7">
        <f>IFERROR(Datos!A701,"")</f>
        <v/>
      </c>
      <c r="B701" s="8">
        <f>IFERROR(Datos!B701,"")</f>
        <v/>
      </c>
      <c r="C701" s="8">
        <f>IFERROR(Datos!C701,"")</f>
        <v/>
      </c>
      <c r="D701" s="28">
        <f>IFERROR(IF(AND(ISNUMBER(B701),ISNUMBER(B700),B700&lt;&gt;0),B701/B700-1,""),"")</f>
        <v/>
      </c>
      <c r="E701" s="28">
        <f>IFERROR(IF(AND(ISNUMBER(C701),ISNUMBER(C700),C700&lt;&gt;0),C701/C700-1,""),"")</f>
        <v/>
      </c>
      <c r="F701" s="28">
        <f>IFERROR(D701-Dashboard!$B$4/252,"")</f>
        <v/>
      </c>
      <c r="G701" s="28">
        <f>IFERROR(E701-Dashboard!$B$4/252,"")</f>
        <v/>
      </c>
      <c r="H701" s="8">
        <f>IFERROR(IF(ISNUMBER(B701),MAX(B701,IFERROR(H700,B701)),""),"")</f>
        <v/>
      </c>
      <c r="I701" s="29">
        <f>IFERROR(IF(AND(ISNUMBER(B701),ISNUMBER(H701)),B701/H701-1,""),"")</f>
        <v/>
      </c>
      <c r="J701" s="8">
        <f>IFERROR(IF(ISNUMBER(C701),MAX(C701,IFERROR(J700,C701)),""),"")</f>
        <v/>
      </c>
      <c r="K701" s="29">
        <f>IFERROR(IF(AND(ISNUMBER(C701),ISNUMBER(J701)),C701/J701-1,""),"")</f>
        <v/>
      </c>
      <c r="L701" s="28">
        <f>IFERROR(IF(AND(ISNUMBER(D701),ISNUMBER(E701)),D701-E701,""),"")</f>
        <v/>
      </c>
    </row>
    <row r="702">
      <c r="A702" s="7">
        <f>IFERROR(Datos!A702,"")</f>
        <v/>
      </c>
      <c r="B702" s="8">
        <f>IFERROR(Datos!B702,"")</f>
        <v/>
      </c>
      <c r="C702" s="8">
        <f>IFERROR(Datos!C702,"")</f>
        <v/>
      </c>
      <c r="D702" s="28">
        <f>IFERROR(IF(AND(ISNUMBER(B702),ISNUMBER(B701),B701&lt;&gt;0),B702/B701-1,""),"")</f>
        <v/>
      </c>
      <c r="E702" s="28">
        <f>IFERROR(IF(AND(ISNUMBER(C702),ISNUMBER(C701),C701&lt;&gt;0),C702/C701-1,""),"")</f>
        <v/>
      </c>
      <c r="F702" s="28">
        <f>IFERROR(D702-Dashboard!$B$4/252,"")</f>
        <v/>
      </c>
      <c r="G702" s="28">
        <f>IFERROR(E702-Dashboard!$B$4/252,"")</f>
        <v/>
      </c>
      <c r="H702" s="8">
        <f>IFERROR(IF(ISNUMBER(B702),MAX(B702,IFERROR(H701,B702)),""),"")</f>
        <v/>
      </c>
      <c r="I702" s="29">
        <f>IFERROR(IF(AND(ISNUMBER(B702),ISNUMBER(H702)),B702/H702-1,""),"")</f>
        <v/>
      </c>
      <c r="J702" s="8">
        <f>IFERROR(IF(ISNUMBER(C702),MAX(C702,IFERROR(J701,C702)),""),"")</f>
        <v/>
      </c>
      <c r="K702" s="29">
        <f>IFERROR(IF(AND(ISNUMBER(C702),ISNUMBER(J702)),C702/J702-1,""),"")</f>
        <v/>
      </c>
      <c r="L702" s="28">
        <f>IFERROR(IF(AND(ISNUMBER(D702),ISNUMBER(E702)),D702-E702,""),"")</f>
        <v/>
      </c>
    </row>
    <row r="703">
      <c r="A703" s="7">
        <f>IFERROR(Datos!A703,"")</f>
        <v/>
      </c>
      <c r="B703" s="8">
        <f>IFERROR(Datos!B703,"")</f>
        <v/>
      </c>
      <c r="C703" s="8">
        <f>IFERROR(Datos!C703,"")</f>
        <v/>
      </c>
      <c r="D703" s="28">
        <f>IFERROR(IF(AND(ISNUMBER(B703),ISNUMBER(B702),B702&lt;&gt;0),B703/B702-1,""),"")</f>
        <v/>
      </c>
      <c r="E703" s="28">
        <f>IFERROR(IF(AND(ISNUMBER(C703),ISNUMBER(C702),C702&lt;&gt;0),C703/C702-1,""),"")</f>
        <v/>
      </c>
      <c r="F703" s="28">
        <f>IFERROR(D703-Dashboard!$B$4/252,"")</f>
        <v/>
      </c>
      <c r="G703" s="28">
        <f>IFERROR(E703-Dashboard!$B$4/252,"")</f>
        <v/>
      </c>
      <c r="H703" s="8">
        <f>IFERROR(IF(ISNUMBER(B703),MAX(B703,IFERROR(H702,B703)),""),"")</f>
        <v/>
      </c>
      <c r="I703" s="29">
        <f>IFERROR(IF(AND(ISNUMBER(B703),ISNUMBER(H703)),B703/H703-1,""),"")</f>
        <v/>
      </c>
      <c r="J703" s="8">
        <f>IFERROR(IF(ISNUMBER(C703),MAX(C703,IFERROR(J702,C703)),""),"")</f>
        <v/>
      </c>
      <c r="K703" s="29">
        <f>IFERROR(IF(AND(ISNUMBER(C703),ISNUMBER(J703)),C703/J703-1,""),"")</f>
        <v/>
      </c>
      <c r="L703" s="28">
        <f>IFERROR(IF(AND(ISNUMBER(D703),ISNUMBER(E703)),D703-E703,""),"")</f>
        <v/>
      </c>
    </row>
    <row r="704">
      <c r="A704" s="7">
        <f>IFERROR(Datos!A704,"")</f>
        <v/>
      </c>
      <c r="B704" s="8">
        <f>IFERROR(Datos!B704,"")</f>
        <v/>
      </c>
      <c r="C704" s="8">
        <f>IFERROR(Datos!C704,"")</f>
        <v/>
      </c>
      <c r="D704" s="28">
        <f>IFERROR(IF(AND(ISNUMBER(B704),ISNUMBER(B703),B703&lt;&gt;0),B704/B703-1,""),"")</f>
        <v/>
      </c>
      <c r="E704" s="28">
        <f>IFERROR(IF(AND(ISNUMBER(C704),ISNUMBER(C703),C703&lt;&gt;0),C704/C703-1,""),"")</f>
        <v/>
      </c>
      <c r="F704" s="28">
        <f>IFERROR(D704-Dashboard!$B$4/252,"")</f>
        <v/>
      </c>
      <c r="G704" s="28">
        <f>IFERROR(E704-Dashboard!$B$4/252,"")</f>
        <v/>
      </c>
      <c r="H704" s="8">
        <f>IFERROR(IF(ISNUMBER(B704),MAX(B704,IFERROR(H703,B704)),""),"")</f>
        <v/>
      </c>
      <c r="I704" s="29">
        <f>IFERROR(IF(AND(ISNUMBER(B704),ISNUMBER(H704)),B704/H704-1,""),"")</f>
        <v/>
      </c>
      <c r="J704" s="8">
        <f>IFERROR(IF(ISNUMBER(C704),MAX(C704,IFERROR(J703,C704)),""),"")</f>
        <v/>
      </c>
      <c r="K704" s="29">
        <f>IFERROR(IF(AND(ISNUMBER(C704),ISNUMBER(J704)),C704/J704-1,""),"")</f>
        <v/>
      </c>
      <c r="L704" s="28">
        <f>IFERROR(IF(AND(ISNUMBER(D704),ISNUMBER(E704)),D704-E704,""),"")</f>
        <v/>
      </c>
    </row>
    <row r="705">
      <c r="A705" s="7">
        <f>IFERROR(Datos!A705,"")</f>
        <v/>
      </c>
      <c r="B705" s="8">
        <f>IFERROR(Datos!B705,"")</f>
        <v/>
      </c>
      <c r="C705" s="8">
        <f>IFERROR(Datos!C705,"")</f>
        <v/>
      </c>
      <c r="D705" s="28">
        <f>IFERROR(IF(AND(ISNUMBER(B705),ISNUMBER(B704),B704&lt;&gt;0),B705/B704-1,""),"")</f>
        <v/>
      </c>
      <c r="E705" s="28">
        <f>IFERROR(IF(AND(ISNUMBER(C705),ISNUMBER(C704),C704&lt;&gt;0),C705/C704-1,""),"")</f>
        <v/>
      </c>
      <c r="F705" s="28">
        <f>IFERROR(D705-Dashboard!$B$4/252,"")</f>
        <v/>
      </c>
      <c r="G705" s="28">
        <f>IFERROR(E705-Dashboard!$B$4/252,"")</f>
        <v/>
      </c>
      <c r="H705" s="8">
        <f>IFERROR(IF(ISNUMBER(B705),MAX(B705,IFERROR(H704,B705)),""),"")</f>
        <v/>
      </c>
      <c r="I705" s="29">
        <f>IFERROR(IF(AND(ISNUMBER(B705),ISNUMBER(H705)),B705/H705-1,""),"")</f>
        <v/>
      </c>
      <c r="J705" s="8">
        <f>IFERROR(IF(ISNUMBER(C705),MAX(C705,IFERROR(J704,C705)),""),"")</f>
        <v/>
      </c>
      <c r="K705" s="29">
        <f>IFERROR(IF(AND(ISNUMBER(C705),ISNUMBER(J705)),C705/J705-1,""),"")</f>
        <v/>
      </c>
      <c r="L705" s="28">
        <f>IFERROR(IF(AND(ISNUMBER(D705),ISNUMBER(E705)),D705-E705,""),"")</f>
        <v/>
      </c>
    </row>
    <row r="706">
      <c r="A706" s="7">
        <f>IFERROR(Datos!A706,"")</f>
        <v/>
      </c>
      <c r="B706" s="8">
        <f>IFERROR(Datos!B706,"")</f>
        <v/>
      </c>
      <c r="C706" s="8">
        <f>IFERROR(Datos!C706,"")</f>
        <v/>
      </c>
      <c r="D706" s="28">
        <f>IFERROR(IF(AND(ISNUMBER(B706),ISNUMBER(B705),B705&lt;&gt;0),B706/B705-1,""),"")</f>
        <v/>
      </c>
      <c r="E706" s="28">
        <f>IFERROR(IF(AND(ISNUMBER(C706),ISNUMBER(C705),C705&lt;&gt;0),C706/C705-1,""),"")</f>
        <v/>
      </c>
      <c r="F706" s="28">
        <f>IFERROR(D706-Dashboard!$B$4/252,"")</f>
        <v/>
      </c>
      <c r="G706" s="28">
        <f>IFERROR(E706-Dashboard!$B$4/252,"")</f>
        <v/>
      </c>
      <c r="H706" s="8">
        <f>IFERROR(IF(ISNUMBER(B706),MAX(B706,IFERROR(H705,B706)),""),"")</f>
        <v/>
      </c>
      <c r="I706" s="29">
        <f>IFERROR(IF(AND(ISNUMBER(B706),ISNUMBER(H706)),B706/H706-1,""),"")</f>
        <v/>
      </c>
      <c r="J706" s="8">
        <f>IFERROR(IF(ISNUMBER(C706),MAX(C706,IFERROR(J705,C706)),""),"")</f>
        <v/>
      </c>
      <c r="K706" s="29">
        <f>IFERROR(IF(AND(ISNUMBER(C706),ISNUMBER(J706)),C706/J706-1,""),"")</f>
        <v/>
      </c>
      <c r="L706" s="28">
        <f>IFERROR(IF(AND(ISNUMBER(D706),ISNUMBER(E706)),D706-E706,""),"")</f>
        <v/>
      </c>
    </row>
    <row r="707">
      <c r="A707" s="7">
        <f>IFERROR(Datos!A707,"")</f>
        <v/>
      </c>
      <c r="B707" s="8">
        <f>IFERROR(Datos!B707,"")</f>
        <v/>
      </c>
      <c r="C707" s="8">
        <f>IFERROR(Datos!C707,"")</f>
        <v/>
      </c>
      <c r="D707" s="28">
        <f>IFERROR(IF(AND(ISNUMBER(B707),ISNUMBER(B706),B706&lt;&gt;0),B707/B706-1,""),"")</f>
        <v/>
      </c>
      <c r="E707" s="28">
        <f>IFERROR(IF(AND(ISNUMBER(C707),ISNUMBER(C706),C706&lt;&gt;0),C707/C706-1,""),"")</f>
        <v/>
      </c>
      <c r="F707" s="28">
        <f>IFERROR(D707-Dashboard!$B$4/252,"")</f>
        <v/>
      </c>
      <c r="G707" s="28">
        <f>IFERROR(E707-Dashboard!$B$4/252,"")</f>
        <v/>
      </c>
      <c r="H707" s="8">
        <f>IFERROR(IF(ISNUMBER(B707),MAX(B707,IFERROR(H706,B707)),""),"")</f>
        <v/>
      </c>
      <c r="I707" s="29">
        <f>IFERROR(IF(AND(ISNUMBER(B707),ISNUMBER(H707)),B707/H707-1,""),"")</f>
        <v/>
      </c>
      <c r="J707" s="8">
        <f>IFERROR(IF(ISNUMBER(C707),MAX(C707,IFERROR(J706,C707)),""),"")</f>
        <v/>
      </c>
      <c r="K707" s="29">
        <f>IFERROR(IF(AND(ISNUMBER(C707),ISNUMBER(J707)),C707/J707-1,""),"")</f>
        <v/>
      </c>
      <c r="L707" s="28">
        <f>IFERROR(IF(AND(ISNUMBER(D707),ISNUMBER(E707)),D707-E707,""),"")</f>
        <v/>
      </c>
    </row>
    <row r="708">
      <c r="A708" s="7">
        <f>IFERROR(Datos!A708,"")</f>
        <v/>
      </c>
      <c r="B708" s="8">
        <f>IFERROR(Datos!B708,"")</f>
        <v/>
      </c>
      <c r="C708" s="8">
        <f>IFERROR(Datos!C708,"")</f>
        <v/>
      </c>
      <c r="D708" s="28">
        <f>IFERROR(IF(AND(ISNUMBER(B708),ISNUMBER(B707),B707&lt;&gt;0),B708/B707-1,""),"")</f>
        <v/>
      </c>
      <c r="E708" s="28">
        <f>IFERROR(IF(AND(ISNUMBER(C708),ISNUMBER(C707),C707&lt;&gt;0),C708/C707-1,""),"")</f>
        <v/>
      </c>
      <c r="F708" s="28">
        <f>IFERROR(D708-Dashboard!$B$4/252,"")</f>
        <v/>
      </c>
      <c r="G708" s="28">
        <f>IFERROR(E708-Dashboard!$B$4/252,"")</f>
        <v/>
      </c>
      <c r="H708" s="8">
        <f>IFERROR(IF(ISNUMBER(B708),MAX(B708,IFERROR(H707,B708)),""),"")</f>
        <v/>
      </c>
      <c r="I708" s="29">
        <f>IFERROR(IF(AND(ISNUMBER(B708),ISNUMBER(H708)),B708/H708-1,""),"")</f>
        <v/>
      </c>
      <c r="J708" s="8">
        <f>IFERROR(IF(ISNUMBER(C708),MAX(C708,IFERROR(J707,C708)),""),"")</f>
        <v/>
      </c>
      <c r="K708" s="29">
        <f>IFERROR(IF(AND(ISNUMBER(C708),ISNUMBER(J708)),C708/J708-1,""),"")</f>
        <v/>
      </c>
      <c r="L708" s="28">
        <f>IFERROR(IF(AND(ISNUMBER(D708),ISNUMBER(E708)),D708-E708,""),"")</f>
        <v/>
      </c>
    </row>
    <row r="709">
      <c r="A709" s="7">
        <f>IFERROR(Datos!A709,"")</f>
        <v/>
      </c>
      <c r="B709" s="8">
        <f>IFERROR(Datos!B709,"")</f>
        <v/>
      </c>
      <c r="C709" s="8">
        <f>IFERROR(Datos!C709,"")</f>
        <v/>
      </c>
      <c r="D709" s="28">
        <f>IFERROR(IF(AND(ISNUMBER(B709),ISNUMBER(B708),B708&lt;&gt;0),B709/B708-1,""),"")</f>
        <v/>
      </c>
      <c r="E709" s="28">
        <f>IFERROR(IF(AND(ISNUMBER(C709),ISNUMBER(C708),C708&lt;&gt;0),C709/C708-1,""),"")</f>
        <v/>
      </c>
      <c r="F709" s="28">
        <f>IFERROR(D709-Dashboard!$B$4/252,"")</f>
        <v/>
      </c>
      <c r="G709" s="28">
        <f>IFERROR(E709-Dashboard!$B$4/252,"")</f>
        <v/>
      </c>
      <c r="H709" s="8">
        <f>IFERROR(IF(ISNUMBER(B709),MAX(B709,IFERROR(H708,B709)),""),"")</f>
        <v/>
      </c>
      <c r="I709" s="29">
        <f>IFERROR(IF(AND(ISNUMBER(B709),ISNUMBER(H709)),B709/H709-1,""),"")</f>
        <v/>
      </c>
      <c r="J709" s="8">
        <f>IFERROR(IF(ISNUMBER(C709),MAX(C709,IFERROR(J708,C709)),""),"")</f>
        <v/>
      </c>
      <c r="K709" s="29">
        <f>IFERROR(IF(AND(ISNUMBER(C709),ISNUMBER(J709)),C709/J709-1,""),"")</f>
        <v/>
      </c>
      <c r="L709" s="28">
        <f>IFERROR(IF(AND(ISNUMBER(D709),ISNUMBER(E709)),D709-E709,""),"")</f>
        <v/>
      </c>
    </row>
    <row r="710">
      <c r="A710" s="7">
        <f>IFERROR(Datos!A710,"")</f>
        <v/>
      </c>
      <c r="B710" s="8">
        <f>IFERROR(Datos!B710,"")</f>
        <v/>
      </c>
      <c r="C710" s="8">
        <f>IFERROR(Datos!C710,"")</f>
        <v/>
      </c>
      <c r="D710" s="28">
        <f>IFERROR(IF(AND(ISNUMBER(B710),ISNUMBER(B709),B709&lt;&gt;0),B710/B709-1,""),"")</f>
        <v/>
      </c>
      <c r="E710" s="28">
        <f>IFERROR(IF(AND(ISNUMBER(C710),ISNUMBER(C709),C709&lt;&gt;0),C710/C709-1,""),"")</f>
        <v/>
      </c>
      <c r="F710" s="28">
        <f>IFERROR(D710-Dashboard!$B$4/252,"")</f>
        <v/>
      </c>
      <c r="G710" s="28">
        <f>IFERROR(E710-Dashboard!$B$4/252,"")</f>
        <v/>
      </c>
      <c r="H710" s="8">
        <f>IFERROR(IF(ISNUMBER(B710),MAX(B710,IFERROR(H709,B710)),""),"")</f>
        <v/>
      </c>
      <c r="I710" s="29">
        <f>IFERROR(IF(AND(ISNUMBER(B710),ISNUMBER(H710)),B710/H710-1,""),"")</f>
        <v/>
      </c>
      <c r="J710" s="8">
        <f>IFERROR(IF(ISNUMBER(C710),MAX(C710,IFERROR(J709,C710)),""),"")</f>
        <v/>
      </c>
      <c r="K710" s="29">
        <f>IFERROR(IF(AND(ISNUMBER(C710),ISNUMBER(J710)),C710/J710-1,""),"")</f>
        <v/>
      </c>
      <c r="L710" s="28">
        <f>IFERROR(IF(AND(ISNUMBER(D710),ISNUMBER(E710)),D710-E710,""),"")</f>
        <v/>
      </c>
    </row>
    <row r="711">
      <c r="A711" s="7">
        <f>IFERROR(Datos!A711,"")</f>
        <v/>
      </c>
      <c r="B711" s="8">
        <f>IFERROR(Datos!B711,"")</f>
        <v/>
      </c>
      <c r="C711" s="8">
        <f>IFERROR(Datos!C711,"")</f>
        <v/>
      </c>
      <c r="D711" s="28">
        <f>IFERROR(IF(AND(ISNUMBER(B711),ISNUMBER(B710),B710&lt;&gt;0),B711/B710-1,""),"")</f>
        <v/>
      </c>
      <c r="E711" s="28">
        <f>IFERROR(IF(AND(ISNUMBER(C711),ISNUMBER(C710),C710&lt;&gt;0),C711/C710-1,""),"")</f>
        <v/>
      </c>
      <c r="F711" s="28">
        <f>IFERROR(D711-Dashboard!$B$4/252,"")</f>
        <v/>
      </c>
      <c r="G711" s="28">
        <f>IFERROR(E711-Dashboard!$B$4/252,"")</f>
        <v/>
      </c>
      <c r="H711" s="8">
        <f>IFERROR(IF(ISNUMBER(B711),MAX(B711,IFERROR(H710,B711)),""),"")</f>
        <v/>
      </c>
      <c r="I711" s="29">
        <f>IFERROR(IF(AND(ISNUMBER(B711),ISNUMBER(H711)),B711/H711-1,""),"")</f>
        <v/>
      </c>
      <c r="J711" s="8">
        <f>IFERROR(IF(ISNUMBER(C711),MAX(C711,IFERROR(J710,C711)),""),"")</f>
        <v/>
      </c>
      <c r="K711" s="29">
        <f>IFERROR(IF(AND(ISNUMBER(C711),ISNUMBER(J711)),C711/J711-1,""),"")</f>
        <v/>
      </c>
      <c r="L711" s="28">
        <f>IFERROR(IF(AND(ISNUMBER(D711),ISNUMBER(E711)),D711-E711,""),"")</f>
        <v/>
      </c>
    </row>
    <row r="712">
      <c r="A712" s="7">
        <f>IFERROR(Datos!A712,"")</f>
        <v/>
      </c>
      <c r="B712" s="8">
        <f>IFERROR(Datos!B712,"")</f>
        <v/>
      </c>
      <c r="C712" s="8">
        <f>IFERROR(Datos!C712,"")</f>
        <v/>
      </c>
      <c r="D712" s="28">
        <f>IFERROR(IF(AND(ISNUMBER(B712),ISNUMBER(B711),B711&lt;&gt;0),B712/B711-1,""),"")</f>
        <v/>
      </c>
      <c r="E712" s="28">
        <f>IFERROR(IF(AND(ISNUMBER(C712),ISNUMBER(C711),C711&lt;&gt;0),C712/C711-1,""),"")</f>
        <v/>
      </c>
      <c r="F712" s="28">
        <f>IFERROR(D712-Dashboard!$B$4/252,"")</f>
        <v/>
      </c>
      <c r="G712" s="28">
        <f>IFERROR(E712-Dashboard!$B$4/252,"")</f>
        <v/>
      </c>
      <c r="H712" s="8">
        <f>IFERROR(IF(ISNUMBER(B712),MAX(B712,IFERROR(H711,B712)),""),"")</f>
        <v/>
      </c>
      <c r="I712" s="29">
        <f>IFERROR(IF(AND(ISNUMBER(B712),ISNUMBER(H712)),B712/H712-1,""),"")</f>
        <v/>
      </c>
      <c r="J712" s="8">
        <f>IFERROR(IF(ISNUMBER(C712),MAX(C712,IFERROR(J711,C712)),""),"")</f>
        <v/>
      </c>
      <c r="K712" s="29">
        <f>IFERROR(IF(AND(ISNUMBER(C712),ISNUMBER(J712)),C712/J712-1,""),"")</f>
        <v/>
      </c>
      <c r="L712" s="28">
        <f>IFERROR(IF(AND(ISNUMBER(D712),ISNUMBER(E712)),D712-E712,""),"")</f>
        <v/>
      </c>
    </row>
    <row r="713">
      <c r="A713" s="7">
        <f>IFERROR(Datos!A713,"")</f>
        <v/>
      </c>
      <c r="B713" s="8">
        <f>IFERROR(Datos!B713,"")</f>
        <v/>
      </c>
      <c r="C713" s="8">
        <f>IFERROR(Datos!C713,"")</f>
        <v/>
      </c>
      <c r="D713" s="28">
        <f>IFERROR(IF(AND(ISNUMBER(B713),ISNUMBER(B712),B712&lt;&gt;0),B713/B712-1,""),"")</f>
        <v/>
      </c>
      <c r="E713" s="28">
        <f>IFERROR(IF(AND(ISNUMBER(C713),ISNUMBER(C712),C712&lt;&gt;0),C713/C712-1,""),"")</f>
        <v/>
      </c>
      <c r="F713" s="28">
        <f>IFERROR(D713-Dashboard!$B$4/252,"")</f>
        <v/>
      </c>
      <c r="G713" s="28">
        <f>IFERROR(E713-Dashboard!$B$4/252,"")</f>
        <v/>
      </c>
      <c r="H713" s="8">
        <f>IFERROR(IF(ISNUMBER(B713),MAX(B713,IFERROR(H712,B713)),""),"")</f>
        <v/>
      </c>
      <c r="I713" s="29">
        <f>IFERROR(IF(AND(ISNUMBER(B713),ISNUMBER(H713)),B713/H713-1,""),"")</f>
        <v/>
      </c>
      <c r="J713" s="8">
        <f>IFERROR(IF(ISNUMBER(C713),MAX(C713,IFERROR(J712,C713)),""),"")</f>
        <v/>
      </c>
      <c r="K713" s="29">
        <f>IFERROR(IF(AND(ISNUMBER(C713),ISNUMBER(J713)),C713/J713-1,""),"")</f>
        <v/>
      </c>
      <c r="L713" s="28">
        <f>IFERROR(IF(AND(ISNUMBER(D713),ISNUMBER(E713)),D713-E713,""),"")</f>
        <v/>
      </c>
    </row>
    <row r="714">
      <c r="A714" s="7">
        <f>IFERROR(Datos!A714,"")</f>
        <v/>
      </c>
      <c r="B714" s="8">
        <f>IFERROR(Datos!B714,"")</f>
        <v/>
      </c>
      <c r="C714" s="8">
        <f>IFERROR(Datos!C714,"")</f>
        <v/>
      </c>
      <c r="D714" s="28">
        <f>IFERROR(IF(AND(ISNUMBER(B714),ISNUMBER(B713),B713&lt;&gt;0),B714/B713-1,""),"")</f>
        <v/>
      </c>
      <c r="E714" s="28">
        <f>IFERROR(IF(AND(ISNUMBER(C714),ISNUMBER(C713),C713&lt;&gt;0),C714/C713-1,""),"")</f>
        <v/>
      </c>
      <c r="F714" s="28">
        <f>IFERROR(D714-Dashboard!$B$4/252,"")</f>
        <v/>
      </c>
      <c r="G714" s="28">
        <f>IFERROR(E714-Dashboard!$B$4/252,"")</f>
        <v/>
      </c>
      <c r="H714" s="8">
        <f>IFERROR(IF(ISNUMBER(B714),MAX(B714,IFERROR(H713,B714)),""),"")</f>
        <v/>
      </c>
      <c r="I714" s="29">
        <f>IFERROR(IF(AND(ISNUMBER(B714),ISNUMBER(H714)),B714/H714-1,""),"")</f>
        <v/>
      </c>
      <c r="J714" s="8">
        <f>IFERROR(IF(ISNUMBER(C714),MAX(C714,IFERROR(J713,C714)),""),"")</f>
        <v/>
      </c>
      <c r="K714" s="29">
        <f>IFERROR(IF(AND(ISNUMBER(C714),ISNUMBER(J714)),C714/J714-1,""),"")</f>
        <v/>
      </c>
      <c r="L714" s="28">
        <f>IFERROR(IF(AND(ISNUMBER(D714),ISNUMBER(E714)),D714-E714,""),"")</f>
        <v/>
      </c>
    </row>
    <row r="715">
      <c r="A715" s="7">
        <f>IFERROR(Datos!A715,"")</f>
        <v/>
      </c>
      <c r="B715" s="8">
        <f>IFERROR(Datos!B715,"")</f>
        <v/>
      </c>
      <c r="C715" s="8">
        <f>IFERROR(Datos!C715,"")</f>
        <v/>
      </c>
      <c r="D715" s="28">
        <f>IFERROR(IF(AND(ISNUMBER(B715),ISNUMBER(B714),B714&lt;&gt;0),B715/B714-1,""),"")</f>
        <v/>
      </c>
      <c r="E715" s="28">
        <f>IFERROR(IF(AND(ISNUMBER(C715),ISNUMBER(C714),C714&lt;&gt;0),C715/C714-1,""),"")</f>
        <v/>
      </c>
      <c r="F715" s="28">
        <f>IFERROR(D715-Dashboard!$B$4/252,"")</f>
        <v/>
      </c>
      <c r="G715" s="28">
        <f>IFERROR(E715-Dashboard!$B$4/252,"")</f>
        <v/>
      </c>
      <c r="H715" s="8">
        <f>IFERROR(IF(ISNUMBER(B715),MAX(B715,IFERROR(H714,B715)),""),"")</f>
        <v/>
      </c>
      <c r="I715" s="29">
        <f>IFERROR(IF(AND(ISNUMBER(B715),ISNUMBER(H715)),B715/H715-1,""),"")</f>
        <v/>
      </c>
      <c r="J715" s="8">
        <f>IFERROR(IF(ISNUMBER(C715),MAX(C715,IFERROR(J714,C715)),""),"")</f>
        <v/>
      </c>
      <c r="K715" s="29">
        <f>IFERROR(IF(AND(ISNUMBER(C715),ISNUMBER(J715)),C715/J715-1,""),"")</f>
        <v/>
      </c>
      <c r="L715" s="28">
        <f>IFERROR(IF(AND(ISNUMBER(D715),ISNUMBER(E715)),D715-E715,""),"")</f>
        <v/>
      </c>
    </row>
    <row r="716">
      <c r="A716" s="7">
        <f>IFERROR(Datos!A716,"")</f>
        <v/>
      </c>
      <c r="B716" s="8">
        <f>IFERROR(Datos!B716,"")</f>
        <v/>
      </c>
      <c r="C716" s="8">
        <f>IFERROR(Datos!C716,"")</f>
        <v/>
      </c>
      <c r="D716" s="28">
        <f>IFERROR(IF(AND(ISNUMBER(B716),ISNUMBER(B715),B715&lt;&gt;0),B716/B715-1,""),"")</f>
        <v/>
      </c>
      <c r="E716" s="28">
        <f>IFERROR(IF(AND(ISNUMBER(C716),ISNUMBER(C715),C715&lt;&gt;0),C716/C715-1,""),"")</f>
        <v/>
      </c>
      <c r="F716" s="28">
        <f>IFERROR(D716-Dashboard!$B$4/252,"")</f>
        <v/>
      </c>
      <c r="G716" s="28">
        <f>IFERROR(E716-Dashboard!$B$4/252,"")</f>
        <v/>
      </c>
      <c r="H716" s="8">
        <f>IFERROR(IF(ISNUMBER(B716),MAX(B716,IFERROR(H715,B716)),""),"")</f>
        <v/>
      </c>
      <c r="I716" s="29">
        <f>IFERROR(IF(AND(ISNUMBER(B716),ISNUMBER(H716)),B716/H716-1,""),"")</f>
        <v/>
      </c>
      <c r="J716" s="8">
        <f>IFERROR(IF(ISNUMBER(C716),MAX(C716,IFERROR(J715,C716)),""),"")</f>
        <v/>
      </c>
      <c r="K716" s="29">
        <f>IFERROR(IF(AND(ISNUMBER(C716),ISNUMBER(J716)),C716/J716-1,""),"")</f>
        <v/>
      </c>
      <c r="L716" s="28">
        <f>IFERROR(IF(AND(ISNUMBER(D716),ISNUMBER(E716)),D716-E716,""),"")</f>
        <v/>
      </c>
    </row>
    <row r="717">
      <c r="A717" s="7">
        <f>IFERROR(Datos!A717,"")</f>
        <v/>
      </c>
      <c r="B717" s="8">
        <f>IFERROR(Datos!B717,"")</f>
        <v/>
      </c>
      <c r="C717" s="8">
        <f>IFERROR(Datos!C717,"")</f>
        <v/>
      </c>
      <c r="D717" s="28">
        <f>IFERROR(IF(AND(ISNUMBER(B717),ISNUMBER(B716),B716&lt;&gt;0),B717/B716-1,""),"")</f>
        <v/>
      </c>
      <c r="E717" s="28">
        <f>IFERROR(IF(AND(ISNUMBER(C717),ISNUMBER(C716),C716&lt;&gt;0),C717/C716-1,""),"")</f>
        <v/>
      </c>
      <c r="F717" s="28">
        <f>IFERROR(D717-Dashboard!$B$4/252,"")</f>
        <v/>
      </c>
      <c r="G717" s="28">
        <f>IFERROR(E717-Dashboard!$B$4/252,"")</f>
        <v/>
      </c>
      <c r="H717" s="8">
        <f>IFERROR(IF(ISNUMBER(B717),MAX(B717,IFERROR(H716,B717)),""),"")</f>
        <v/>
      </c>
      <c r="I717" s="29">
        <f>IFERROR(IF(AND(ISNUMBER(B717),ISNUMBER(H717)),B717/H717-1,""),"")</f>
        <v/>
      </c>
      <c r="J717" s="8">
        <f>IFERROR(IF(ISNUMBER(C717),MAX(C717,IFERROR(J716,C717)),""),"")</f>
        <v/>
      </c>
      <c r="K717" s="29">
        <f>IFERROR(IF(AND(ISNUMBER(C717),ISNUMBER(J717)),C717/J717-1,""),"")</f>
        <v/>
      </c>
      <c r="L717" s="28">
        <f>IFERROR(IF(AND(ISNUMBER(D717),ISNUMBER(E717)),D717-E717,""),"")</f>
        <v/>
      </c>
    </row>
    <row r="718">
      <c r="A718" s="7">
        <f>IFERROR(Datos!A718,"")</f>
        <v/>
      </c>
      <c r="B718" s="8">
        <f>IFERROR(Datos!B718,"")</f>
        <v/>
      </c>
      <c r="C718" s="8">
        <f>IFERROR(Datos!C718,"")</f>
        <v/>
      </c>
      <c r="D718" s="28">
        <f>IFERROR(IF(AND(ISNUMBER(B718),ISNUMBER(B717),B717&lt;&gt;0),B718/B717-1,""),"")</f>
        <v/>
      </c>
      <c r="E718" s="28">
        <f>IFERROR(IF(AND(ISNUMBER(C718),ISNUMBER(C717),C717&lt;&gt;0),C718/C717-1,""),"")</f>
        <v/>
      </c>
      <c r="F718" s="28">
        <f>IFERROR(D718-Dashboard!$B$4/252,"")</f>
        <v/>
      </c>
      <c r="G718" s="28">
        <f>IFERROR(E718-Dashboard!$B$4/252,"")</f>
        <v/>
      </c>
      <c r="H718" s="8">
        <f>IFERROR(IF(ISNUMBER(B718),MAX(B718,IFERROR(H717,B718)),""),"")</f>
        <v/>
      </c>
      <c r="I718" s="29">
        <f>IFERROR(IF(AND(ISNUMBER(B718),ISNUMBER(H718)),B718/H718-1,""),"")</f>
        <v/>
      </c>
      <c r="J718" s="8">
        <f>IFERROR(IF(ISNUMBER(C718),MAX(C718,IFERROR(J717,C718)),""),"")</f>
        <v/>
      </c>
      <c r="K718" s="29">
        <f>IFERROR(IF(AND(ISNUMBER(C718),ISNUMBER(J718)),C718/J718-1,""),"")</f>
        <v/>
      </c>
      <c r="L718" s="28">
        <f>IFERROR(IF(AND(ISNUMBER(D718),ISNUMBER(E718)),D718-E718,""),"")</f>
        <v/>
      </c>
    </row>
    <row r="719">
      <c r="A719" s="7">
        <f>IFERROR(Datos!A719,"")</f>
        <v/>
      </c>
      <c r="B719" s="8">
        <f>IFERROR(Datos!B719,"")</f>
        <v/>
      </c>
      <c r="C719" s="8">
        <f>IFERROR(Datos!C719,"")</f>
        <v/>
      </c>
      <c r="D719" s="28">
        <f>IFERROR(IF(AND(ISNUMBER(B719),ISNUMBER(B718),B718&lt;&gt;0),B719/B718-1,""),"")</f>
        <v/>
      </c>
      <c r="E719" s="28">
        <f>IFERROR(IF(AND(ISNUMBER(C719),ISNUMBER(C718),C718&lt;&gt;0),C719/C718-1,""),"")</f>
        <v/>
      </c>
      <c r="F719" s="28">
        <f>IFERROR(D719-Dashboard!$B$4/252,"")</f>
        <v/>
      </c>
      <c r="G719" s="28">
        <f>IFERROR(E719-Dashboard!$B$4/252,"")</f>
        <v/>
      </c>
      <c r="H719" s="8">
        <f>IFERROR(IF(ISNUMBER(B719),MAX(B719,IFERROR(H718,B719)),""),"")</f>
        <v/>
      </c>
      <c r="I719" s="29">
        <f>IFERROR(IF(AND(ISNUMBER(B719),ISNUMBER(H719)),B719/H719-1,""),"")</f>
        <v/>
      </c>
      <c r="J719" s="8">
        <f>IFERROR(IF(ISNUMBER(C719),MAX(C719,IFERROR(J718,C719)),""),"")</f>
        <v/>
      </c>
      <c r="K719" s="29">
        <f>IFERROR(IF(AND(ISNUMBER(C719),ISNUMBER(J719)),C719/J719-1,""),"")</f>
        <v/>
      </c>
      <c r="L719" s="28">
        <f>IFERROR(IF(AND(ISNUMBER(D719),ISNUMBER(E719)),D719-E719,""),"")</f>
        <v/>
      </c>
    </row>
    <row r="720">
      <c r="A720" s="7">
        <f>IFERROR(Datos!A720,"")</f>
        <v/>
      </c>
      <c r="B720" s="8">
        <f>IFERROR(Datos!B720,"")</f>
        <v/>
      </c>
      <c r="C720" s="8">
        <f>IFERROR(Datos!C720,"")</f>
        <v/>
      </c>
      <c r="D720" s="28">
        <f>IFERROR(IF(AND(ISNUMBER(B720),ISNUMBER(B719),B719&lt;&gt;0),B720/B719-1,""),"")</f>
        <v/>
      </c>
      <c r="E720" s="28">
        <f>IFERROR(IF(AND(ISNUMBER(C720),ISNUMBER(C719),C719&lt;&gt;0),C720/C719-1,""),"")</f>
        <v/>
      </c>
      <c r="F720" s="28">
        <f>IFERROR(D720-Dashboard!$B$4/252,"")</f>
        <v/>
      </c>
      <c r="G720" s="28">
        <f>IFERROR(E720-Dashboard!$B$4/252,"")</f>
        <v/>
      </c>
      <c r="H720" s="8">
        <f>IFERROR(IF(ISNUMBER(B720),MAX(B720,IFERROR(H719,B720)),""),"")</f>
        <v/>
      </c>
      <c r="I720" s="29">
        <f>IFERROR(IF(AND(ISNUMBER(B720),ISNUMBER(H720)),B720/H720-1,""),"")</f>
        <v/>
      </c>
      <c r="J720" s="8">
        <f>IFERROR(IF(ISNUMBER(C720),MAX(C720,IFERROR(J719,C720)),""),"")</f>
        <v/>
      </c>
      <c r="K720" s="29">
        <f>IFERROR(IF(AND(ISNUMBER(C720),ISNUMBER(J720)),C720/J720-1,""),"")</f>
        <v/>
      </c>
      <c r="L720" s="28">
        <f>IFERROR(IF(AND(ISNUMBER(D720),ISNUMBER(E720)),D720-E720,""),"")</f>
        <v/>
      </c>
    </row>
    <row r="721">
      <c r="A721" s="7">
        <f>IFERROR(Datos!A721,"")</f>
        <v/>
      </c>
      <c r="B721" s="8">
        <f>IFERROR(Datos!B721,"")</f>
        <v/>
      </c>
      <c r="C721" s="8">
        <f>IFERROR(Datos!C721,"")</f>
        <v/>
      </c>
      <c r="D721" s="28">
        <f>IFERROR(IF(AND(ISNUMBER(B721),ISNUMBER(B720),B720&lt;&gt;0),B721/B720-1,""),"")</f>
        <v/>
      </c>
      <c r="E721" s="28">
        <f>IFERROR(IF(AND(ISNUMBER(C721),ISNUMBER(C720),C720&lt;&gt;0),C721/C720-1,""),"")</f>
        <v/>
      </c>
      <c r="F721" s="28">
        <f>IFERROR(D721-Dashboard!$B$4/252,"")</f>
        <v/>
      </c>
      <c r="G721" s="28">
        <f>IFERROR(E721-Dashboard!$B$4/252,"")</f>
        <v/>
      </c>
      <c r="H721" s="8">
        <f>IFERROR(IF(ISNUMBER(B721),MAX(B721,IFERROR(H720,B721)),""),"")</f>
        <v/>
      </c>
      <c r="I721" s="29">
        <f>IFERROR(IF(AND(ISNUMBER(B721),ISNUMBER(H721)),B721/H721-1,""),"")</f>
        <v/>
      </c>
      <c r="J721" s="8">
        <f>IFERROR(IF(ISNUMBER(C721),MAX(C721,IFERROR(J720,C721)),""),"")</f>
        <v/>
      </c>
      <c r="K721" s="29">
        <f>IFERROR(IF(AND(ISNUMBER(C721),ISNUMBER(J721)),C721/J721-1,""),"")</f>
        <v/>
      </c>
      <c r="L721" s="28">
        <f>IFERROR(IF(AND(ISNUMBER(D721),ISNUMBER(E721)),D721-E721,""),"")</f>
        <v/>
      </c>
    </row>
    <row r="722">
      <c r="A722" s="7">
        <f>IFERROR(Datos!A722,"")</f>
        <v/>
      </c>
      <c r="B722" s="8">
        <f>IFERROR(Datos!B722,"")</f>
        <v/>
      </c>
      <c r="C722" s="8">
        <f>IFERROR(Datos!C722,"")</f>
        <v/>
      </c>
      <c r="D722" s="28">
        <f>IFERROR(IF(AND(ISNUMBER(B722),ISNUMBER(B721),B721&lt;&gt;0),B722/B721-1,""),"")</f>
        <v/>
      </c>
      <c r="E722" s="28">
        <f>IFERROR(IF(AND(ISNUMBER(C722),ISNUMBER(C721),C721&lt;&gt;0),C722/C721-1,""),"")</f>
        <v/>
      </c>
      <c r="F722" s="28">
        <f>IFERROR(D722-Dashboard!$B$4/252,"")</f>
        <v/>
      </c>
      <c r="G722" s="28">
        <f>IFERROR(E722-Dashboard!$B$4/252,"")</f>
        <v/>
      </c>
      <c r="H722" s="8">
        <f>IFERROR(IF(ISNUMBER(B722),MAX(B722,IFERROR(H721,B722)),""),"")</f>
        <v/>
      </c>
      <c r="I722" s="29">
        <f>IFERROR(IF(AND(ISNUMBER(B722),ISNUMBER(H722)),B722/H722-1,""),"")</f>
        <v/>
      </c>
      <c r="J722" s="8">
        <f>IFERROR(IF(ISNUMBER(C722),MAX(C722,IFERROR(J721,C722)),""),"")</f>
        <v/>
      </c>
      <c r="K722" s="29">
        <f>IFERROR(IF(AND(ISNUMBER(C722),ISNUMBER(J722)),C722/J722-1,""),"")</f>
        <v/>
      </c>
      <c r="L722" s="28">
        <f>IFERROR(IF(AND(ISNUMBER(D722),ISNUMBER(E722)),D722-E722,""),"")</f>
        <v/>
      </c>
    </row>
    <row r="723">
      <c r="A723" s="7">
        <f>IFERROR(Datos!A723,"")</f>
        <v/>
      </c>
      <c r="B723" s="8">
        <f>IFERROR(Datos!B723,"")</f>
        <v/>
      </c>
      <c r="C723" s="8">
        <f>IFERROR(Datos!C723,"")</f>
        <v/>
      </c>
      <c r="D723" s="28">
        <f>IFERROR(IF(AND(ISNUMBER(B723),ISNUMBER(B722),B722&lt;&gt;0),B723/B722-1,""),"")</f>
        <v/>
      </c>
      <c r="E723" s="28">
        <f>IFERROR(IF(AND(ISNUMBER(C723),ISNUMBER(C722),C722&lt;&gt;0),C723/C722-1,""),"")</f>
        <v/>
      </c>
      <c r="F723" s="28">
        <f>IFERROR(D723-Dashboard!$B$4/252,"")</f>
        <v/>
      </c>
      <c r="G723" s="28">
        <f>IFERROR(E723-Dashboard!$B$4/252,"")</f>
        <v/>
      </c>
      <c r="H723" s="8">
        <f>IFERROR(IF(ISNUMBER(B723),MAX(B723,IFERROR(H722,B723)),""),"")</f>
        <v/>
      </c>
      <c r="I723" s="29">
        <f>IFERROR(IF(AND(ISNUMBER(B723),ISNUMBER(H723)),B723/H723-1,""),"")</f>
        <v/>
      </c>
      <c r="J723" s="8">
        <f>IFERROR(IF(ISNUMBER(C723),MAX(C723,IFERROR(J722,C723)),""),"")</f>
        <v/>
      </c>
      <c r="K723" s="29">
        <f>IFERROR(IF(AND(ISNUMBER(C723),ISNUMBER(J723)),C723/J723-1,""),"")</f>
        <v/>
      </c>
      <c r="L723" s="28">
        <f>IFERROR(IF(AND(ISNUMBER(D723),ISNUMBER(E723)),D723-E723,""),"")</f>
        <v/>
      </c>
    </row>
    <row r="724">
      <c r="A724" s="7">
        <f>IFERROR(Datos!A724,"")</f>
        <v/>
      </c>
      <c r="B724" s="8">
        <f>IFERROR(Datos!B724,"")</f>
        <v/>
      </c>
      <c r="C724" s="8">
        <f>IFERROR(Datos!C724,"")</f>
        <v/>
      </c>
      <c r="D724" s="28">
        <f>IFERROR(IF(AND(ISNUMBER(B724),ISNUMBER(B723),B723&lt;&gt;0),B724/B723-1,""),"")</f>
        <v/>
      </c>
      <c r="E724" s="28">
        <f>IFERROR(IF(AND(ISNUMBER(C724),ISNUMBER(C723),C723&lt;&gt;0),C724/C723-1,""),"")</f>
        <v/>
      </c>
      <c r="F724" s="28">
        <f>IFERROR(D724-Dashboard!$B$4/252,"")</f>
        <v/>
      </c>
      <c r="G724" s="28">
        <f>IFERROR(E724-Dashboard!$B$4/252,"")</f>
        <v/>
      </c>
      <c r="H724" s="8">
        <f>IFERROR(IF(ISNUMBER(B724),MAX(B724,IFERROR(H723,B724)),""),"")</f>
        <v/>
      </c>
      <c r="I724" s="29">
        <f>IFERROR(IF(AND(ISNUMBER(B724),ISNUMBER(H724)),B724/H724-1,""),"")</f>
        <v/>
      </c>
      <c r="J724" s="8">
        <f>IFERROR(IF(ISNUMBER(C724),MAX(C724,IFERROR(J723,C724)),""),"")</f>
        <v/>
      </c>
      <c r="K724" s="29">
        <f>IFERROR(IF(AND(ISNUMBER(C724),ISNUMBER(J724)),C724/J724-1,""),"")</f>
        <v/>
      </c>
      <c r="L724" s="28">
        <f>IFERROR(IF(AND(ISNUMBER(D724),ISNUMBER(E724)),D724-E724,""),"")</f>
        <v/>
      </c>
    </row>
    <row r="725">
      <c r="A725" s="7">
        <f>IFERROR(Datos!A725,"")</f>
        <v/>
      </c>
      <c r="B725" s="8">
        <f>IFERROR(Datos!B725,"")</f>
        <v/>
      </c>
      <c r="C725" s="8">
        <f>IFERROR(Datos!C725,"")</f>
        <v/>
      </c>
      <c r="D725" s="28">
        <f>IFERROR(IF(AND(ISNUMBER(B725),ISNUMBER(B724),B724&lt;&gt;0),B725/B724-1,""),"")</f>
        <v/>
      </c>
      <c r="E725" s="28">
        <f>IFERROR(IF(AND(ISNUMBER(C725),ISNUMBER(C724),C724&lt;&gt;0),C725/C724-1,""),"")</f>
        <v/>
      </c>
      <c r="F725" s="28">
        <f>IFERROR(D725-Dashboard!$B$4/252,"")</f>
        <v/>
      </c>
      <c r="G725" s="28">
        <f>IFERROR(E725-Dashboard!$B$4/252,"")</f>
        <v/>
      </c>
      <c r="H725" s="8">
        <f>IFERROR(IF(ISNUMBER(B725),MAX(B725,IFERROR(H724,B725)),""),"")</f>
        <v/>
      </c>
      <c r="I725" s="29">
        <f>IFERROR(IF(AND(ISNUMBER(B725),ISNUMBER(H725)),B725/H725-1,""),"")</f>
        <v/>
      </c>
      <c r="J725" s="8">
        <f>IFERROR(IF(ISNUMBER(C725),MAX(C725,IFERROR(J724,C725)),""),"")</f>
        <v/>
      </c>
      <c r="K725" s="29">
        <f>IFERROR(IF(AND(ISNUMBER(C725),ISNUMBER(J725)),C725/J725-1,""),"")</f>
        <v/>
      </c>
      <c r="L725" s="28">
        <f>IFERROR(IF(AND(ISNUMBER(D725),ISNUMBER(E725)),D725-E725,""),"")</f>
        <v/>
      </c>
    </row>
    <row r="726">
      <c r="A726" s="7">
        <f>IFERROR(Datos!A726,"")</f>
        <v/>
      </c>
      <c r="B726" s="8">
        <f>IFERROR(Datos!B726,"")</f>
        <v/>
      </c>
      <c r="C726" s="8">
        <f>IFERROR(Datos!C726,"")</f>
        <v/>
      </c>
      <c r="D726" s="28">
        <f>IFERROR(IF(AND(ISNUMBER(B726),ISNUMBER(B725),B725&lt;&gt;0),B726/B725-1,""),"")</f>
        <v/>
      </c>
      <c r="E726" s="28">
        <f>IFERROR(IF(AND(ISNUMBER(C726),ISNUMBER(C725),C725&lt;&gt;0),C726/C725-1,""),"")</f>
        <v/>
      </c>
      <c r="F726" s="28">
        <f>IFERROR(D726-Dashboard!$B$4/252,"")</f>
        <v/>
      </c>
      <c r="G726" s="28">
        <f>IFERROR(E726-Dashboard!$B$4/252,"")</f>
        <v/>
      </c>
      <c r="H726" s="8">
        <f>IFERROR(IF(ISNUMBER(B726),MAX(B726,IFERROR(H725,B726)),""),"")</f>
        <v/>
      </c>
      <c r="I726" s="29">
        <f>IFERROR(IF(AND(ISNUMBER(B726),ISNUMBER(H726)),B726/H726-1,""),"")</f>
        <v/>
      </c>
      <c r="J726" s="8">
        <f>IFERROR(IF(ISNUMBER(C726),MAX(C726,IFERROR(J725,C726)),""),"")</f>
        <v/>
      </c>
      <c r="K726" s="29">
        <f>IFERROR(IF(AND(ISNUMBER(C726),ISNUMBER(J726)),C726/J726-1,""),"")</f>
        <v/>
      </c>
      <c r="L726" s="28">
        <f>IFERROR(IF(AND(ISNUMBER(D726),ISNUMBER(E726)),D726-E726,""),"")</f>
        <v/>
      </c>
    </row>
    <row r="727">
      <c r="A727" s="7">
        <f>IFERROR(Datos!A727,"")</f>
        <v/>
      </c>
      <c r="B727" s="8">
        <f>IFERROR(Datos!B727,"")</f>
        <v/>
      </c>
      <c r="C727" s="8">
        <f>IFERROR(Datos!C727,"")</f>
        <v/>
      </c>
      <c r="D727" s="28">
        <f>IFERROR(IF(AND(ISNUMBER(B727),ISNUMBER(B726),B726&lt;&gt;0),B727/B726-1,""),"")</f>
        <v/>
      </c>
      <c r="E727" s="28">
        <f>IFERROR(IF(AND(ISNUMBER(C727),ISNUMBER(C726),C726&lt;&gt;0),C727/C726-1,""),"")</f>
        <v/>
      </c>
      <c r="F727" s="28">
        <f>IFERROR(D727-Dashboard!$B$4/252,"")</f>
        <v/>
      </c>
      <c r="G727" s="28">
        <f>IFERROR(E727-Dashboard!$B$4/252,"")</f>
        <v/>
      </c>
      <c r="H727" s="8">
        <f>IFERROR(IF(ISNUMBER(B727),MAX(B727,IFERROR(H726,B727)),""),"")</f>
        <v/>
      </c>
      <c r="I727" s="29">
        <f>IFERROR(IF(AND(ISNUMBER(B727),ISNUMBER(H727)),B727/H727-1,""),"")</f>
        <v/>
      </c>
      <c r="J727" s="8">
        <f>IFERROR(IF(ISNUMBER(C727),MAX(C727,IFERROR(J726,C727)),""),"")</f>
        <v/>
      </c>
      <c r="K727" s="29">
        <f>IFERROR(IF(AND(ISNUMBER(C727),ISNUMBER(J727)),C727/J727-1,""),"")</f>
        <v/>
      </c>
      <c r="L727" s="28">
        <f>IFERROR(IF(AND(ISNUMBER(D727),ISNUMBER(E727)),D727-E727,""),"")</f>
        <v/>
      </c>
    </row>
    <row r="728">
      <c r="A728" s="7">
        <f>IFERROR(Datos!A728,"")</f>
        <v/>
      </c>
      <c r="B728" s="8">
        <f>IFERROR(Datos!B728,"")</f>
        <v/>
      </c>
      <c r="C728" s="8">
        <f>IFERROR(Datos!C728,"")</f>
        <v/>
      </c>
      <c r="D728" s="28">
        <f>IFERROR(IF(AND(ISNUMBER(B728),ISNUMBER(B727),B727&lt;&gt;0),B728/B727-1,""),"")</f>
        <v/>
      </c>
      <c r="E728" s="28">
        <f>IFERROR(IF(AND(ISNUMBER(C728),ISNUMBER(C727),C727&lt;&gt;0),C728/C727-1,""),"")</f>
        <v/>
      </c>
      <c r="F728" s="28">
        <f>IFERROR(D728-Dashboard!$B$4/252,"")</f>
        <v/>
      </c>
      <c r="G728" s="28">
        <f>IFERROR(E728-Dashboard!$B$4/252,"")</f>
        <v/>
      </c>
      <c r="H728" s="8">
        <f>IFERROR(IF(ISNUMBER(B728),MAX(B728,IFERROR(H727,B728)),""),"")</f>
        <v/>
      </c>
      <c r="I728" s="29">
        <f>IFERROR(IF(AND(ISNUMBER(B728),ISNUMBER(H728)),B728/H728-1,""),"")</f>
        <v/>
      </c>
      <c r="J728" s="8">
        <f>IFERROR(IF(ISNUMBER(C728),MAX(C728,IFERROR(J727,C728)),""),"")</f>
        <v/>
      </c>
      <c r="K728" s="29">
        <f>IFERROR(IF(AND(ISNUMBER(C728),ISNUMBER(J728)),C728/J728-1,""),"")</f>
        <v/>
      </c>
      <c r="L728" s="28">
        <f>IFERROR(IF(AND(ISNUMBER(D728),ISNUMBER(E728)),D728-E728,""),"")</f>
        <v/>
      </c>
    </row>
    <row r="729">
      <c r="A729" s="7">
        <f>IFERROR(Datos!A729,"")</f>
        <v/>
      </c>
      <c r="B729" s="8">
        <f>IFERROR(Datos!B729,"")</f>
        <v/>
      </c>
      <c r="C729" s="8">
        <f>IFERROR(Datos!C729,"")</f>
        <v/>
      </c>
      <c r="D729" s="28">
        <f>IFERROR(IF(AND(ISNUMBER(B729),ISNUMBER(B728),B728&lt;&gt;0),B729/B728-1,""),"")</f>
        <v/>
      </c>
      <c r="E729" s="28">
        <f>IFERROR(IF(AND(ISNUMBER(C729),ISNUMBER(C728),C728&lt;&gt;0),C729/C728-1,""),"")</f>
        <v/>
      </c>
      <c r="F729" s="28">
        <f>IFERROR(D729-Dashboard!$B$4/252,"")</f>
        <v/>
      </c>
      <c r="G729" s="28">
        <f>IFERROR(E729-Dashboard!$B$4/252,"")</f>
        <v/>
      </c>
      <c r="H729" s="8">
        <f>IFERROR(IF(ISNUMBER(B729),MAX(B729,IFERROR(H728,B729)),""),"")</f>
        <v/>
      </c>
      <c r="I729" s="29">
        <f>IFERROR(IF(AND(ISNUMBER(B729),ISNUMBER(H729)),B729/H729-1,""),"")</f>
        <v/>
      </c>
      <c r="J729" s="8">
        <f>IFERROR(IF(ISNUMBER(C729),MAX(C729,IFERROR(J728,C729)),""),"")</f>
        <v/>
      </c>
      <c r="K729" s="29">
        <f>IFERROR(IF(AND(ISNUMBER(C729),ISNUMBER(J729)),C729/J729-1,""),"")</f>
        <v/>
      </c>
      <c r="L729" s="28">
        <f>IFERROR(IF(AND(ISNUMBER(D729),ISNUMBER(E729)),D729-E729,""),"")</f>
        <v/>
      </c>
    </row>
    <row r="730">
      <c r="A730" s="7">
        <f>IFERROR(Datos!A730,"")</f>
        <v/>
      </c>
      <c r="B730" s="8">
        <f>IFERROR(Datos!B730,"")</f>
        <v/>
      </c>
      <c r="C730" s="8">
        <f>IFERROR(Datos!C730,"")</f>
        <v/>
      </c>
      <c r="D730" s="28">
        <f>IFERROR(IF(AND(ISNUMBER(B730),ISNUMBER(B729),B729&lt;&gt;0),B730/B729-1,""),"")</f>
        <v/>
      </c>
      <c r="E730" s="28">
        <f>IFERROR(IF(AND(ISNUMBER(C730),ISNUMBER(C729),C729&lt;&gt;0),C730/C729-1,""),"")</f>
        <v/>
      </c>
      <c r="F730" s="28">
        <f>IFERROR(D730-Dashboard!$B$4/252,"")</f>
        <v/>
      </c>
      <c r="G730" s="28">
        <f>IFERROR(E730-Dashboard!$B$4/252,"")</f>
        <v/>
      </c>
      <c r="H730" s="8">
        <f>IFERROR(IF(ISNUMBER(B730),MAX(B730,IFERROR(H729,B730)),""),"")</f>
        <v/>
      </c>
      <c r="I730" s="29">
        <f>IFERROR(IF(AND(ISNUMBER(B730),ISNUMBER(H730)),B730/H730-1,""),"")</f>
        <v/>
      </c>
      <c r="J730" s="8">
        <f>IFERROR(IF(ISNUMBER(C730),MAX(C730,IFERROR(J729,C730)),""),"")</f>
        <v/>
      </c>
      <c r="K730" s="29">
        <f>IFERROR(IF(AND(ISNUMBER(C730),ISNUMBER(J730)),C730/J730-1,""),"")</f>
        <v/>
      </c>
      <c r="L730" s="28">
        <f>IFERROR(IF(AND(ISNUMBER(D730),ISNUMBER(E730)),D730-E730,""),"")</f>
        <v/>
      </c>
    </row>
    <row r="731">
      <c r="A731" s="7">
        <f>IFERROR(Datos!A731,"")</f>
        <v/>
      </c>
      <c r="B731" s="8">
        <f>IFERROR(Datos!B731,"")</f>
        <v/>
      </c>
      <c r="C731" s="8">
        <f>IFERROR(Datos!C731,"")</f>
        <v/>
      </c>
      <c r="D731" s="28">
        <f>IFERROR(IF(AND(ISNUMBER(B731),ISNUMBER(B730),B730&lt;&gt;0),B731/B730-1,""),"")</f>
        <v/>
      </c>
      <c r="E731" s="28">
        <f>IFERROR(IF(AND(ISNUMBER(C731),ISNUMBER(C730),C730&lt;&gt;0),C731/C730-1,""),"")</f>
        <v/>
      </c>
      <c r="F731" s="28">
        <f>IFERROR(D731-Dashboard!$B$4/252,"")</f>
        <v/>
      </c>
      <c r="G731" s="28">
        <f>IFERROR(E731-Dashboard!$B$4/252,"")</f>
        <v/>
      </c>
      <c r="H731" s="8">
        <f>IFERROR(IF(ISNUMBER(B731),MAX(B731,IFERROR(H730,B731)),""),"")</f>
        <v/>
      </c>
      <c r="I731" s="29">
        <f>IFERROR(IF(AND(ISNUMBER(B731),ISNUMBER(H731)),B731/H731-1,""),"")</f>
        <v/>
      </c>
      <c r="J731" s="8">
        <f>IFERROR(IF(ISNUMBER(C731),MAX(C731,IFERROR(J730,C731)),""),"")</f>
        <v/>
      </c>
      <c r="K731" s="29">
        <f>IFERROR(IF(AND(ISNUMBER(C731),ISNUMBER(J731)),C731/J731-1,""),"")</f>
        <v/>
      </c>
      <c r="L731" s="28">
        <f>IFERROR(IF(AND(ISNUMBER(D731),ISNUMBER(E731)),D731-E731,""),"")</f>
        <v/>
      </c>
    </row>
    <row r="732">
      <c r="A732" s="7">
        <f>IFERROR(Datos!A732,"")</f>
        <v/>
      </c>
      <c r="B732" s="8">
        <f>IFERROR(Datos!B732,"")</f>
        <v/>
      </c>
      <c r="C732" s="8">
        <f>IFERROR(Datos!C732,"")</f>
        <v/>
      </c>
      <c r="D732" s="28">
        <f>IFERROR(IF(AND(ISNUMBER(B732),ISNUMBER(B731),B731&lt;&gt;0),B732/B731-1,""),"")</f>
        <v/>
      </c>
      <c r="E732" s="28">
        <f>IFERROR(IF(AND(ISNUMBER(C732),ISNUMBER(C731),C731&lt;&gt;0),C732/C731-1,""),"")</f>
        <v/>
      </c>
      <c r="F732" s="28">
        <f>IFERROR(D732-Dashboard!$B$4/252,"")</f>
        <v/>
      </c>
      <c r="G732" s="28">
        <f>IFERROR(E732-Dashboard!$B$4/252,"")</f>
        <v/>
      </c>
      <c r="H732" s="8">
        <f>IFERROR(IF(ISNUMBER(B732),MAX(B732,IFERROR(H731,B732)),""),"")</f>
        <v/>
      </c>
      <c r="I732" s="29">
        <f>IFERROR(IF(AND(ISNUMBER(B732),ISNUMBER(H732)),B732/H732-1,""),"")</f>
        <v/>
      </c>
      <c r="J732" s="8">
        <f>IFERROR(IF(ISNUMBER(C732),MAX(C732,IFERROR(J731,C732)),""),"")</f>
        <v/>
      </c>
      <c r="K732" s="29">
        <f>IFERROR(IF(AND(ISNUMBER(C732),ISNUMBER(J732)),C732/J732-1,""),"")</f>
        <v/>
      </c>
      <c r="L732" s="28">
        <f>IFERROR(IF(AND(ISNUMBER(D732),ISNUMBER(E732)),D732-E732,""),"")</f>
        <v/>
      </c>
    </row>
    <row r="733">
      <c r="A733" s="7">
        <f>IFERROR(Datos!A733,"")</f>
        <v/>
      </c>
      <c r="B733" s="8">
        <f>IFERROR(Datos!B733,"")</f>
        <v/>
      </c>
      <c r="C733" s="8">
        <f>IFERROR(Datos!C733,"")</f>
        <v/>
      </c>
      <c r="D733" s="28">
        <f>IFERROR(IF(AND(ISNUMBER(B733),ISNUMBER(B732),B732&lt;&gt;0),B733/B732-1,""),"")</f>
        <v/>
      </c>
      <c r="E733" s="28">
        <f>IFERROR(IF(AND(ISNUMBER(C733),ISNUMBER(C732),C732&lt;&gt;0),C733/C732-1,""),"")</f>
        <v/>
      </c>
      <c r="F733" s="28">
        <f>IFERROR(D733-Dashboard!$B$4/252,"")</f>
        <v/>
      </c>
      <c r="G733" s="28">
        <f>IFERROR(E733-Dashboard!$B$4/252,"")</f>
        <v/>
      </c>
      <c r="H733" s="8">
        <f>IFERROR(IF(ISNUMBER(B733),MAX(B733,IFERROR(H732,B733)),""),"")</f>
        <v/>
      </c>
      <c r="I733" s="29">
        <f>IFERROR(IF(AND(ISNUMBER(B733),ISNUMBER(H733)),B733/H733-1,""),"")</f>
        <v/>
      </c>
      <c r="J733" s="8">
        <f>IFERROR(IF(ISNUMBER(C733),MAX(C733,IFERROR(J732,C733)),""),"")</f>
        <v/>
      </c>
      <c r="K733" s="29">
        <f>IFERROR(IF(AND(ISNUMBER(C733),ISNUMBER(J733)),C733/J733-1,""),"")</f>
        <v/>
      </c>
      <c r="L733" s="28">
        <f>IFERROR(IF(AND(ISNUMBER(D733),ISNUMBER(E733)),D733-E733,""),"")</f>
        <v/>
      </c>
    </row>
    <row r="734">
      <c r="A734" s="7">
        <f>IFERROR(Datos!A734,"")</f>
        <v/>
      </c>
      <c r="B734" s="8">
        <f>IFERROR(Datos!B734,"")</f>
        <v/>
      </c>
      <c r="C734" s="8">
        <f>IFERROR(Datos!C734,"")</f>
        <v/>
      </c>
      <c r="D734" s="28">
        <f>IFERROR(IF(AND(ISNUMBER(B734),ISNUMBER(B733),B733&lt;&gt;0),B734/B733-1,""),"")</f>
        <v/>
      </c>
      <c r="E734" s="28">
        <f>IFERROR(IF(AND(ISNUMBER(C734),ISNUMBER(C733),C733&lt;&gt;0),C734/C733-1,""),"")</f>
        <v/>
      </c>
      <c r="F734" s="28">
        <f>IFERROR(D734-Dashboard!$B$4/252,"")</f>
        <v/>
      </c>
      <c r="G734" s="28">
        <f>IFERROR(E734-Dashboard!$B$4/252,"")</f>
        <v/>
      </c>
      <c r="H734" s="8">
        <f>IFERROR(IF(ISNUMBER(B734),MAX(B734,IFERROR(H733,B734)),""),"")</f>
        <v/>
      </c>
      <c r="I734" s="29">
        <f>IFERROR(IF(AND(ISNUMBER(B734),ISNUMBER(H734)),B734/H734-1,""),"")</f>
        <v/>
      </c>
      <c r="J734" s="8">
        <f>IFERROR(IF(ISNUMBER(C734),MAX(C734,IFERROR(J733,C734)),""),"")</f>
        <v/>
      </c>
      <c r="K734" s="29">
        <f>IFERROR(IF(AND(ISNUMBER(C734),ISNUMBER(J734)),C734/J734-1,""),"")</f>
        <v/>
      </c>
      <c r="L734" s="28">
        <f>IFERROR(IF(AND(ISNUMBER(D734),ISNUMBER(E734)),D734-E734,""),"")</f>
        <v/>
      </c>
    </row>
    <row r="735">
      <c r="A735" s="7">
        <f>IFERROR(Datos!A735,"")</f>
        <v/>
      </c>
      <c r="B735" s="8">
        <f>IFERROR(Datos!B735,"")</f>
        <v/>
      </c>
      <c r="C735" s="8">
        <f>IFERROR(Datos!C735,"")</f>
        <v/>
      </c>
      <c r="D735" s="28">
        <f>IFERROR(IF(AND(ISNUMBER(B735),ISNUMBER(B734),B734&lt;&gt;0),B735/B734-1,""),"")</f>
        <v/>
      </c>
      <c r="E735" s="28">
        <f>IFERROR(IF(AND(ISNUMBER(C735),ISNUMBER(C734),C734&lt;&gt;0),C735/C734-1,""),"")</f>
        <v/>
      </c>
      <c r="F735" s="28">
        <f>IFERROR(D735-Dashboard!$B$4/252,"")</f>
        <v/>
      </c>
      <c r="G735" s="28">
        <f>IFERROR(E735-Dashboard!$B$4/252,"")</f>
        <v/>
      </c>
      <c r="H735" s="8">
        <f>IFERROR(IF(ISNUMBER(B735),MAX(B735,IFERROR(H734,B735)),""),"")</f>
        <v/>
      </c>
      <c r="I735" s="29">
        <f>IFERROR(IF(AND(ISNUMBER(B735),ISNUMBER(H735)),B735/H735-1,""),"")</f>
        <v/>
      </c>
      <c r="J735" s="8">
        <f>IFERROR(IF(ISNUMBER(C735),MAX(C735,IFERROR(J734,C735)),""),"")</f>
        <v/>
      </c>
      <c r="K735" s="29">
        <f>IFERROR(IF(AND(ISNUMBER(C735),ISNUMBER(J735)),C735/J735-1,""),"")</f>
        <v/>
      </c>
      <c r="L735" s="28">
        <f>IFERROR(IF(AND(ISNUMBER(D735),ISNUMBER(E735)),D735-E735,""),"")</f>
        <v/>
      </c>
    </row>
    <row r="736">
      <c r="A736" s="7">
        <f>IFERROR(Datos!A736,"")</f>
        <v/>
      </c>
      <c r="B736" s="8">
        <f>IFERROR(Datos!B736,"")</f>
        <v/>
      </c>
      <c r="C736" s="8">
        <f>IFERROR(Datos!C736,"")</f>
        <v/>
      </c>
      <c r="D736" s="28">
        <f>IFERROR(IF(AND(ISNUMBER(B736),ISNUMBER(B735),B735&lt;&gt;0),B736/B735-1,""),"")</f>
        <v/>
      </c>
      <c r="E736" s="28">
        <f>IFERROR(IF(AND(ISNUMBER(C736),ISNUMBER(C735),C735&lt;&gt;0),C736/C735-1,""),"")</f>
        <v/>
      </c>
      <c r="F736" s="28">
        <f>IFERROR(D736-Dashboard!$B$4/252,"")</f>
        <v/>
      </c>
      <c r="G736" s="28">
        <f>IFERROR(E736-Dashboard!$B$4/252,"")</f>
        <v/>
      </c>
      <c r="H736" s="8">
        <f>IFERROR(IF(ISNUMBER(B736),MAX(B736,IFERROR(H735,B736)),""),"")</f>
        <v/>
      </c>
      <c r="I736" s="29">
        <f>IFERROR(IF(AND(ISNUMBER(B736),ISNUMBER(H736)),B736/H736-1,""),"")</f>
        <v/>
      </c>
      <c r="J736" s="8">
        <f>IFERROR(IF(ISNUMBER(C736),MAX(C736,IFERROR(J735,C736)),""),"")</f>
        <v/>
      </c>
      <c r="K736" s="29">
        <f>IFERROR(IF(AND(ISNUMBER(C736),ISNUMBER(J736)),C736/J736-1,""),"")</f>
        <v/>
      </c>
      <c r="L736" s="28">
        <f>IFERROR(IF(AND(ISNUMBER(D736),ISNUMBER(E736)),D736-E736,""),"")</f>
        <v/>
      </c>
    </row>
    <row r="737">
      <c r="A737" s="7">
        <f>IFERROR(Datos!A737,"")</f>
        <v/>
      </c>
      <c r="B737" s="8">
        <f>IFERROR(Datos!B737,"")</f>
        <v/>
      </c>
      <c r="C737" s="8">
        <f>IFERROR(Datos!C737,"")</f>
        <v/>
      </c>
      <c r="D737" s="28">
        <f>IFERROR(IF(AND(ISNUMBER(B737),ISNUMBER(B736),B736&lt;&gt;0),B737/B736-1,""),"")</f>
        <v/>
      </c>
      <c r="E737" s="28">
        <f>IFERROR(IF(AND(ISNUMBER(C737),ISNUMBER(C736),C736&lt;&gt;0),C737/C736-1,""),"")</f>
        <v/>
      </c>
      <c r="F737" s="28">
        <f>IFERROR(D737-Dashboard!$B$4/252,"")</f>
        <v/>
      </c>
      <c r="G737" s="28">
        <f>IFERROR(E737-Dashboard!$B$4/252,"")</f>
        <v/>
      </c>
      <c r="H737" s="8">
        <f>IFERROR(IF(ISNUMBER(B737),MAX(B737,IFERROR(H736,B737)),""),"")</f>
        <v/>
      </c>
      <c r="I737" s="29">
        <f>IFERROR(IF(AND(ISNUMBER(B737),ISNUMBER(H737)),B737/H737-1,""),"")</f>
        <v/>
      </c>
      <c r="J737" s="8">
        <f>IFERROR(IF(ISNUMBER(C737),MAX(C737,IFERROR(J736,C737)),""),"")</f>
        <v/>
      </c>
      <c r="K737" s="29">
        <f>IFERROR(IF(AND(ISNUMBER(C737),ISNUMBER(J737)),C737/J737-1,""),"")</f>
        <v/>
      </c>
      <c r="L737" s="28">
        <f>IFERROR(IF(AND(ISNUMBER(D737),ISNUMBER(E737)),D737-E737,""),"")</f>
        <v/>
      </c>
    </row>
    <row r="738">
      <c r="A738" s="7">
        <f>IFERROR(Datos!A738,"")</f>
        <v/>
      </c>
      <c r="B738" s="8">
        <f>IFERROR(Datos!B738,"")</f>
        <v/>
      </c>
      <c r="C738" s="8">
        <f>IFERROR(Datos!C738,"")</f>
        <v/>
      </c>
      <c r="D738" s="28">
        <f>IFERROR(IF(AND(ISNUMBER(B738),ISNUMBER(B737),B737&lt;&gt;0),B738/B737-1,""),"")</f>
        <v/>
      </c>
      <c r="E738" s="28">
        <f>IFERROR(IF(AND(ISNUMBER(C738),ISNUMBER(C737),C737&lt;&gt;0),C738/C737-1,""),"")</f>
        <v/>
      </c>
      <c r="F738" s="28">
        <f>IFERROR(D738-Dashboard!$B$4/252,"")</f>
        <v/>
      </c>
      <c r="G738" s="28">
        <f>IFERROR(E738-Dashboard!$B$4/252,"")</f>
        <v/>
      </c>
      <c r="H738" s="8">
        <f>IFERROR(IF(ISNUMBER(B738),MAX(B738,IFERROR(H737,B738)),""),"")</f>
        <v/>
      </c>
      <c r="I738" s="29">
        <f>IFERROR(IF(AND(ISNUMBER(B738),ISNUMBER(H738)),B738/H738-1,""),"")</f>
        <v/>
      </c>
      <c r="J738" s="8">
        <f>IFERROR(IF(ISNUMBER(C738),MAX(C738,IFERROR(J737,C738)),""),"")</f>
        <v/>
      </c>
      <c r="K738" s="29">
        <f>IFERROR(IF(AND(ISNUMBER(C738),ISNUMBER(J738)),C738/J738-1,""),"")</f>
        <v/>
      </c>
      <c r="L738" s="28">
        <f>IFERROR(IF(AND(ISNUMBER(D738),ISNUMBER(E738)),D738-E738,""),"")</f>
        <v/>
      </c>
    </row>
    <row r="739">
      <c r="A739" s="7">
        <f>IFERROR(Datos!A739,"")</f>
        <v/>
      </c>
      <c r="B739" s="8">
        <f>IFERROR(Datos!B739,"")</f>
        <v/>
      </c>
      <c r="C739" s="8">
        <f>IFERROR(Datos!C739,"")</f>
        <v/>
      </c>
      <c r="D739" s="28">
        <f>IFERROR(IF(AND(ISNUMBER(B739),ISNUMBER(B738),B738&lt;&gt;0),B739/B738-1,""),"")</f>
        <v/>
      </c>
      <c r="E739" s="28">
        <f>IFERROR(IF(AND(ISNUMBER(C739),ISNUMBER(C738),C738&lt;&gt;0),C739/C738-1,""),"")</f>
        <v/>
      </c>
      <c r="F739" s="28">
        <f>IFERROR(D739-Dashboard!$B$4/252,"")</f>
        <v/>
      </c>
      <c r="G739" s="28">
        <f>IFERROR(E739-Dashboard!$B$4/252,"")</f>
        <v/>
      </c>
      <c r="H739" s="8">
        <f>IFERROR(IF(ISNUMBER(B739),MAX(B739,IFERROR(H738,B739)),""),"")</f>
        <v/>
      </c>
      <c r="I739" s="29">
        <f>IFERROR(IF(AND(ISNUMBER(B739),ISNUMBER(H739)),B739/H739-1,""),"")</f>
        <v/>
      </c>
      <c r="J739" s="8">
        <f>IFERROR(IF(ISNUMBER(C739),MAX(C739,IFERROR(J738,C739)),""),"")</f>
        <v/>
      </c>
      <c r="K739" s="29">
        <f>IFERROR(IF(AND(ISNUMBER(C739),ISNUMBER(J739)),C739/J739-1,""),"")</f>
        <v/>
      </c>
      <c r="L739" s="28">
        <f>IFERROR(IF(AND(ISNUMBER(D739),ISNUMBER(E739)),D739-E739,""),"")</f>
        <v/>
      </c>
    </row>
    <row r="740">
      <c r="A740" s="7">
        <f>IFERROR(Datos!A740,"")</f>
        <v/>
      </c>
      <c r="B740" s="8">
        <f>IFERROR(Datos!B740,"")</f>
        <v/>
      </c>
      <c r="C740" s="8">
        <f>IFERROR(Datos!C740,"")</f>
        <v/>
      </c>
      <c r="D740" s="28">
        <f>IFERROR(IF(AND(ISNUMBER(B740),ISNUMBER(B739),B739&lt;&gt;0),B740/B739-1,""),"")</f>
        <v/>
      </c>
      <c r="E740" s="28">
        <f>IFERROR(IF(AND(ISNUMBER(C740),ISNUMBER(C739),C739&lt;&gt;0),C740/C739-1,""),"")</f>
        <v/>
      </c>
      <c r="F740" s="28">
        <f>IFERROR(D740-Dashboard!$B$4/252,"")</f>
        <v/>
      </c>
      <c r="G740" s="28">
        <f>IFERROR(E740-Dashboard!$B$4/252,"")</f>
        <v/>
      </c>
      <c r="H740" s="8">
        <f>IFERROR(IF(ISNUMBER(B740),MAX(B740,IFERROR(H739,B740)),""),"")</f>
        <v/>
      </c>
      <c r="I740" s="29">
        <f>IFERROR(IF(AND(ISNUMBER(B740),ISNUMBER(H740)),B740/H740-1,""),"")</f>
        <v/>
      </c>
      <c r="J740" s="8">
        <f>IFERROR(IF(ISNUMBER(C740),MAX(C740,IFERROR(J739,C740)),""),"")</f>
        <v/>
      </c>
      <c r="K740" s="29">
        <f>IFERROR(IF(AND(ISNUMBER(C740),ISNUMBER(J740)),C740/J740-1,""),"")</f>
        <v/>
      </c>
      <c r="L740" s="28">
        <f>IFERROR(IF(AND(ISNUMBER(D740),ISNUMBER(E740)),D740-E740,""),"")</f>
        <v/>
      </c>
    </row>
    <row r="741">
      <c r="A741" s="7">
        <f>IFERROR(Datos!A741,"")</f>
        <v/>
      </c>
      <c r="B741" s="8">
        <f>IFERROR(Datos!B741,"")</f>
        <v/>
      </c>
      <c r="C741" s="8">
        <f>IFERROR(Datos!C741,"")</f>
        <v/>
      </c>
      <c r="D741" s="28">
        <f>IFERROR(IF(AND(ISNUMBER(B741),ISNUMBER(B740),B740&lt;&gt;0),B741/B740-1,""),"")</f>
        <v/>
      </c>
      <c r="E741" s="28">
        <f>IFERROR(IF(AND(ISNUMBER(C741),ISNUMBER(C740),C740&lt;&gt;0),C741/C740-1,""),"")</f>
        <v/>
      </c>
      <c r="F741" s="28">
        <f>IFERROR(D741-Dashboard!$B$4/252,"")</f>
        <v/>
      </c>
      <c r="G741" s="28">
        <f>IFERROR(E741-Dashboard!$B$4/252,"")</f>
        <v/>
      </c>
      <c r="H741" s="8">
        <f>IFERROR(IF(ISNUMBER(B741),MAX(B741,IFERROR(H740,B741)),""),"")</f>
        <v/>
      </c>
      <c r="I741" s="29">
        <f>IFERROR(IF(AND(ISNUMBER(B741),ISNUMBER(H741)),B741/H741-1,""),"")</f>
        <v/>
      </c>
      <c r="J741" s="8">
        <f>IFERROR(IF(ISNUMBER(C741),MAX(C741,IFERROR(J740,C741)),""),"")</f>
        <v/>
      </c>
      <c r="K741" s="29">
        <f>IFERROR(IF(AND(ISNUMBER(C741),ISNUMBER(J741)),C741/J741-1,""),"")</f>
        <v/>
      </c>
      <c r="L741" s="28">
        <f>IFERROR(IF(AND(ISNUMBER(D741),ISNUMBER(E741)),D741-E741,""),"")</f>
        <v/>
      </c>
    </row>
    <row r="742">
      <c r="A742" s="7">
        <f>IFERROR(Datos!A742,"")</f>
        <v/>
      </c>
      <c r="B742" s="8">
        <f>IFERROR(Datos!B742,"")</f>
        <v/>
      </c>
      <c r="C742" s="8">
        <f>IFERROR(Datos!C742,"")</f>
        <v/>
      </c>
      <c r="D742" s="28">
        <f>IFERROR(IF(AND(ISNUMBER(B742),ISNUMBER(B741),B741&lt;&gt;0),B742/B741-1,""),"")</f>
        <v/>
      </c>
      <c r="E742" s="28">
        <f>IFERROR(IF(AND(ISNUMBER(C742),ISNUMBER(C741),C741&lt;&gt;0),C742/C741-1,""),"")</f>
        <v/>
      </c>
      <c r="F742" s="28">
        <f>IFERROR(D742-Dashboard!$B$4/252,"")</f>
        <v/>
      </c>
      <c r="G742" s="28">
        <f>IFERROR(E742-Dashboard!$B$4/252,"")</f>
        <v/>
      </c>
      <c r="H742" s="8">
        <f>IFERROR(IF(ISNUMBER(B742),MAX(B742,IFERROR(H741,B742)),""),"")</f>
        <v/>
      </c>
      <c r="I742" s="29">
        <f>IFERROR(IF(AND(ISNUMBER(B742),ISNUMBER(H742)),B742/H742-1,""),"")</f>
        <v/>
      </c>
      <c r="J742" s="8">
        <f>IFERROR(IF(ISNUMBER(C742),MAX(C742,IFERROR(J741,C742)),""),"")</f>
        <v/>
      </c>
      <c r="K742" s="29">
        <f>IFERROR(IF(AND(ISNUMBER(C742),ISNUMBER(J742)),C742/J742-1,""),"")</f>
        <v/>
      </c>
      <c r="L742" s="28">
        <f>IFERROR(IF(AND(ISNUMBER(D742),ISNUMBER(E742)),D742-E742,""),"")</f>
        <v/>
      </c>
    </row>
    <row r="743">
      <c r="A743" s="7">
        <f>IFERROR(Datos!A743,"")</f>
        <v/>
      </c>
      <c r="B743" s="8">
        <f>IFERROR(Datos!B743,"")</f>
        <v/>
      </c>
      <c r="C743" s="8">
        <f>IFERROR(Datos!C743,"")</f>
        <v/>
      </c>
      <c r="D743" s="28">
        <f>IFERROR(IF(AND(ISNUMBER(B743),ISNUMBER(B742),B742&lt;&gt;0),B743/B742-1,""),"")</f>
        <v/>
      </c>
      <c r="E743" s="28">
        <f>IFERROR(IF(AND(ISNUMBER(C743),ISNUMBER(C742),C742&lt;&gt;0),C743/C742-1,""),"")</f>
        <v/>
      </c>
      <c r="F743" s="28">
        <f>IFERROR(D743-Dashboard!$B$4/252,"")</f>
        <v/>
      </c>
      <c r="G743" s="28">
        <f>IFERROR(E743-Dashboard!$B$4/252,"")</f>
        <v/>
      </c>
      <c r="H743" s="8">
        <f>IFERROR(IF(ISNUMBER(B743),MAX(B743,IFERROR(H742,B743)),""),"")</f>
        <v/>
      </c>
      <c r="I743" s="29">
        <f>IFERROR(IF(AND(ISNUMBER(B743),ISNUMBER(H743)),B743/H743-1,""),"")</f>
        <v/>
      </c>
      <c r="J743" s="8">
        <f>IFERROR(IF(ISNUMBER(C743),MAX(C743,IFERROR(J742,C743)),""),"")</f>
        <v/>
      </c>
      <c r="K743" s="29">
        <f>IFERROR(IF(AND(ISNUMBER(C743),ISNUMBER(J743)),C743/J743-1,""),"")</f>
        <v/>
      </c>
      <c r="L743" s="28">
        <f>IFERROR(IF(AND(ISNUMBER(D743),ISNUMBER(E743)),D743-E743,""),"")</f>
        <v/>
      </c>
    </row>
    <row r="744">
      <c r="A744" s="7">
        <f>IFERROR(Datos!A744,"")</f>
        <v/>
      </c>
      <c r="B744" s="8">
        <f>IFERROR(Datos!B744,"")</f>
        <v/>
      </c>
      <c r="C744" s="8">
        <f>IFERROR(Datos!C744,"")</f>
        <v/>
      </c>
      <c r="D744" s="28">
        <f>IFERROR(IF(AND(ISNUMBER(B744),ISNUMBER(B743),B743&lt;&gt;0),B744/B743-1,""),"")</f>
        <v/>
      </c>
      <c r="E744" s="28">
        <f>IFERROR(IF(AND(ISNUMBER(C744),ISNUMBER(C743),C743&lt;&gt;0),C744/C743-1,""),"")</f>
        <v/>
      </c>
      <c r="F744" s="28">
        <f>IFERROR(D744-Dashboard!$B$4/252,"")</f>
        <v/>
      </c>
      <c r="G744" s="28">
        <f>IFERROR(E744-Dashboard!$B$4/252,"")</f>
        <v/>
      </c>
      <c r="H744" s="8">
        <f>IFERROR(IF(ISNUMBER(B744),MAX(B744,IFERROR(H743,B744)),""),"")</f>
        <v/>
      </c>
      <c r="I744" s="29">
        <f>IFERROR(IF(AND(ISNUMBER(B744),ISNUMBER(H744)),B744/H744-1,""),"")</f>
        <v/>
      </c>
      <c r="J744" s="8">
        <f>IFERROR(IF(ISNUMBER(C744),MAX(C744,IFERROR(J743,C744)),""),"")</f>
        <v/>
      </c>
      <c r="K744" s="29">
        <f>IFERROR(IF(AND(ISNUMBER(C744),ISNUMBER(J744)),C744/J744-1,""),"")</f>
        <v/>
      </c>
      <c r="L744" s="28">
        <f>IFERROR(IF(AND(ISNUMBER(D744),ISNUMBER(E744)),D744-E744,""),"")</f>
        <v/>
      </c>
    </row>
    <row r="745">
      <c r="A745" s="7">
        <f>IFERROR(Datos!A745,"")</f>
        <v/>
      </c>
      <c r="B745" s="8">
        <f>IFERROR(Datos!B745,"")</f>
        <v/>
      </c>
      <c r="C745" s="8">
        <f>IFERROR(Datos!C745,"")</f>
        <v/>
      </c>
      <c r="D745" s="28">
        <f>IFERROR(IF(AND(ISNUMBER(B745),ISNUMBER(B744),B744&lt;&gt;0),B745/B744-1,""),"")</f>
        <v/>
      </c>
      <c r="E745" s="28">
        <f>IFERROR(IF(AND(ISNUMBER(C745),ISNUMBER(C744),C744&lt;&gt;0),C745/C744-1,""),"")</f>
        <v/>
      </c>
      <c r="F745" s="28">
        <f>IFERROR(D745-Dashboard!$B$4/252,"")</f>
        <v/>
      </c>
      <c r="G745" s="28">
        <f>IFERROR(E745-Dashboard!$B$4/252,"")</f>
        <v/>
      </c>
      <c r="H745" s="8">
        <f>IFERROR(IF(ISNUMBER(B745),MAX(B745,IFERROR(H744,B745)),""),"")</f>
        <v/>
      </c>
      <c r="I745" s="29">
        <f>IFERROR(IF(AND(ISNUMBER(B745),ISNUMBER(H745)),B745/H745-1,""),"")</f>
        <v/>
      </c>
      <c r="J745" s="8">
        <f>IFERROR(IF(ISNUMBER(C745),MAX(C745,IFERROR(J744,C745)),""),"")</f>
        <v/>
      </c>
      <c r="K745" s="29">
        <f>IFERROR(IF(AND(ISNUMBER(C745),ISNUMBER(J745)),C745/J745-1,""),"")</f>
        <v/>
      </c>
      <c r="L745" s="28">
        <f>IFERROR(IF(AND(ISNUMBER(D745),ISNUMBER(E745)),D745-E745,""),"")</f>
        <v/>
      </c>
    </row>
    <row r="746">
      <c r="A746" s="7">
        <f>IFERROR(Datos!A746,"")</f>
        <v/>
      </c>
      <c r="B746" s="8">
        <f>IFERROR(Datos!B746,"")</f>
        <v/>
      </c>
      <c r="C746" s="8">
        <f>IFERROR(Datos!C746,"")</f>
        <v/>
      </c>
      <c r="D746" s="28">
        <f>IFERROR(IF(AND(ISNUMBER(B746),ISNUMBER(B745),B745&lt;&gt;0),B746/B745-1,""),"")</f>
        <v/>
      </c>
      <c r="E746" s="28">
        <f>IFERROR(IF(AND(ISNUMBER(C746),ISNUMBER(C745),C745&lt;&gt;0),C746/C745-1,""),"")</f>
        <v/>
      </c>
      <c r="F746" s="28">
        <f>IFERROR(D746-Dashboard!$B$4/252,"")</f>
        <v/>
      </c>
      <c r="G746" s="28">
        <f>IFERROR(E746-Dashboard!$B$4/252,"")</f>
        <v/>
      </c>
      <c r="H746" s="8">
        <f>IFERROR(IF(ISNUMBER(B746),MAX(B746,IFERROR(H745,B746)),""),"")</f>
        <v/>
      </c>
      <c r="I746" s="29">
        <f>IFERROR(IF(AND(ISNUMBER(B746),ISNUMBER(H746)),B746/H746-1,""),"")</f>
        <v/>
      </c>
      <c r="J746" s="8">
        <f>IFERROR(IF(ISNUMBER(C746),MAX(C746,IFERROR(J745,C746)),""),"")</f>
        <v/>
      </c>
      <c r="K746" s="29">
        <f>IFERROR(IF(AND(ISNUMBER(C746),ISNUMBER(J746)),C746/J746-1,""),"")</f>
        <v/>
      </c>
      <c r="L746" s="28">
        <f>IFERROR(IF(AND(ISNUMBER(D746),ISNUMBER(E746)),D746-E746,""),"")</f>
        <v/>
      </c>
    </row>
    <row r="747">
      <c r="A747" s="7">
        <f>IFERROR(Datos!A747,"")</f>
        <v/>
      </c>
      <c r="B747" s="8">
        <f>IFERROR(Datos!B747,"")</f>
        <v/>
      </c>
      <c r="C747" s="8">
        <f>IFERROR(Datos!C747,"")</f>
        <v/>
      </c>
      <c r="D747" s="28">
        <f>IFERROR(IF(AND(ISNUMBER(B747),ISNUMBER(B746),B746&lt;&gt;0),B747/B746-1,""),"")</f>
        <v/>
      </c>
      <c r="E747" s="28">
        <f>IFERROR(IF(AND(ISNUMBER(C747),ISNUMBER(C746),C746&lt;&gt;0),C747/C746-1,""),"")</f>
        <v/>
      </c>
      <c r="F747" s="28">
        <f>IFERROR(D747-Dashboard!$B$4/252,"")</f>
        <v/>
      </c>
      <c r="G747" s="28">
        <f>IFERROR(E747-Dashboard!$B$4/252,"")</f>
        <v/>
      </c>
      <c r="H747" s="8">
        <f>IFERROR(IF(ISNUMBER(B747),MAX(B747,IFERROR(H746,B747)),""),"")</f>
        <v/>
      </c>
      <c r="I747" s="29">
        <f>IFERROR(IF(AND(ISNUMBER(B747),ISNUMBER(H747)),B747/H747-1,""),"")</f>
        <v/>
      </c>
      <c r="J747" s="8">
        <f>IFERROR(IF(ISNUMBER(C747),MAX(C747,IFERROR(J746,C747)),""),"")</f>
        <v/>
      </c>
      <c r="K747" s="29">
        <f>IFERROR(IF(AND(ISNUMBER(C747),ISNUMBER(J747)),C747/J747-1,""),"")</f>
        <v/>
      </c>
      <c r="L747" s="28">
        <f>IFERROR(IF(AND(ISNUMBER(D747),ISNUMBER(E747)),D747-E747,""),"")</f>
        <v/>
      </c>
    </row>
    <row r="748">
      <c r="A748" s="7">
        <f>IFERROR(Datos!A748,"")</f>
        <v/>
      </c>
      <c r="B748" s="8">
        <f>IFERROR(Datos!B748,"")</f>
        <v/>
      </c>
      <c r="C748" s="8">
        <f>IFERROR(Datos!C748,"")</f>
        <v/>
      </c>
      <c r="D748" s="28">
        <f>IFERROR(IF(AND(ISNUMBER(B748),ISNUMBER(B747),B747&lt;&gt;0),B748/B747-1,""),"")</f>
        <v/>
      </c>
      <c r="E748" s="28">
        <f>IFERROR(IF(AND(ISNUMBER(C748),ISNUMBER(C747),C747&lt;&gt;0),C748/C747-1,""),"")</f>
        <v/>
      </c>
      <c r="F748" s="28">
        <f>IFERROR(D748-Dashboard!$B$4/252,"")</f>
        <v/>
      </c>
      <c r="G748" s="28">
        <f>IFERROR(E748-Dashboard!$B$4/252,"")</f>
        <v/>
      </c>
      <c r="H748" s="8">
        <f>IFERROR(IF(ISNUMBER(B748),MAX(B748,IFERROR(H747,B748)),""),"")</f>
        <v/>
      </c>
      <c r="I748" s="29">
        <f>IFERROR(IF(AND(ISNUMBER(B748),ISNUMBER(H748)),B748/H748-1,""),"")</f>
        <v/>
      </c>
      <c r="J748" s="8">
        <f>IFERROR(IF(ISNUMBER(C748),MAX(C748,IFERROR(J747,C748)),""),"")</f>
        <v/>
      </c>
      <c r="K748" s="29">
        <f>IFERROR(IF(AND(ISNUMBER(C748),ISNUMBER(J748)),C748/J748-1,""),"")</f>
        <v/>
      </c>
      <c r="L748" s="28">
        <f>IFERROR(IF(AND(ISNUMBER(D748),ISNUMBER(E748)),D748-E748,""),"")</f>
        <v/>
      </c>
    </row>
    <row r="749">
      <c r="A749" s="7">
        <f>IFERROR(Datos!A749,"")</f>
        <v/>
      </c>
      <c r="B749" s="8">
        <f>IFERROR(Datos!B749,"")</f>
        <v/>
      </c>
      <c r="C749" s="8">
        <f>IFERROR(Datos!C749,"")</f>
        <v/>
      </c>
      <c r="D749" s="28">
        <f>IFERROR(IF(AND(ISNUMBER(B749),ISNUMBER(B748),B748&lt;&gt;0),B749/B748-1,""),"")</f>
        <v/>
      </c>
      <c r="E749" s="28">
        <f>IFERROR(IF(AND(ISNUMBER(C749),ISNUMBER(C748),C748&lt;&gt;0),C749/C748-1,""),"")</f>
        <v/>
      </c>
      <c r="F749" s="28">
        <f>IFERROR(D749-Dashboard!$B$4/252,"")</f>
        <v/>
      </c>
      <c r="G749" s="28">
        <f>IFERROR(E749-Dashboard!$B$4/252,"")</f>
        <v/>
      </c>
      <c r="H749" s="8">
        <f>IFERROR(IF(ISNUMBER(B749),MAX(B749,IFERROR(H748,B749)),""),"")</f>
        <v/>
      </c>
      <c r="I749" s="29">
        <f>IFERROR(IF(AND(ISNUMBER(B749),ISNUMBER(H749)),B749/H749-1,""),"")</f>
        <v/>
      </c>
      <c r="J749" s="8">
        <f>IFERROR(IF(ISNUMBER(C749),MAX(C749,IFERROR(J748,C749)),""),"")</f>
        <v/>
      </c>
      <c r="K749" s="29">
        <f>IFERROR(IF(AND(ISNUMBER(C749),ISNUMBER(J749)),C749/J749-1,""),"")</f>
        <v/>
      </c>
      <c r="L749" s="28">
        <f>IFERROR(IF(AND(ISNUMBER(D749),ISNUMBER(E749)),D749-E749,""),"")</f>
        <v/>
      </c>
    </row>
    <row r="750">
      <c r="A750" s="7">
        <f>IFERROR(Datos!A750,"")</f>
        <v/>
      </c>
      <c r="B750" s="8">
        <f>IFERROR(Datos!B750,"")</f>
        <v/>
      </c>
      <c r="C750" s="8">
        <f>IFERROR(Datos!C750,"")</f>
        <v/>
      </c>
      <c r="D750" s="28">
        <f>IFERROR(IF(AND(ISNUMBER(B750),ISNUMBER(B749),B749&lt;&gt;0),B750/B749-1,""),"")</f>
        <v/>
      </c>
      <c r="E750" s="28">
        <f>IFERROR(IF(AND(ISNUMBER(C750),ISNUMBER(C749),C749&lt;&gt;0),C750/C749-1,""),"")</f>
        <v/>
      </c>
      <c r="F750" s="28">
        <f>IFERROR(D750-Dashboard!$B$4/252,"")</f>
        <v/>
      </c>
      <c r="G750" s="28">
        <f>IFERROR(E750-Dashboard!$B$4/252,"")</f>
        <v/>
      </c>
      <c r="H750" s="8">
        <f>IFERROR(IF(ISNUMBER(B750),MAX(B750,IFERROR(H749,B750)),""),"")</f>
        <v/>
      </c>
      <c r="I750" s="29">
        <f>IFERROR(IF(AND(ISNUMBER(B750),ISNUMBER(H750)),B750/H750-1,""),"")</f>
        <v/>
      </c>
      <c r="J750" s="8">
        <f>IFERROR(IF(ISNUMBER(C750),MAX(C750,IFERROR(J749,C750)),""),"")</f>
        <v/>
      </c>
      <c r="K750" s="29">
        <f>IFERROR(IF(AND(ISNUMBER(C750),ISNUMBER(J750)),C750/J750-1,""),"")</f>
        <v/>
      </c>
      <c r="L750" s="28">
        <f>IFERROR(IF(AND(ISNUMBER(D750),ISNUMBER(E750)),D750-E750,""),"")</f>
        <v/>
      </c>
    </row>
    <row r="751">
      <c r="A751" s="7">
        <f>IFERROR(Datos!A751,"")</f>
        <v/>
      </c>
      <c r="B751" s="8">
        <f>IFERROR(Datos!B751,"")</f>
        <v/>
      </c>
      <c r="C751" s="8">
        <f>IFERROR(Datos!C751,"")</f>
        <v/>
      </c>
      <c r="D751" s="28">
        <f>IFERROR(IF(AND(ISNUMBER(B751),ISNUMBER(B750),B750&lt;&gt;0),B751/B750-1,""),"")</f>
        <v/>
      </c>
      <c r="E751" s="28">
        <f>IFERROR(IF(AND(ISNUMBER(C751),ISNUMBER(C750),C750&lt;&gt;0),C751/C750-1,""),"")</f>
        <v/>
      </c>
      <c r="F751" s="28">
        <f>IFERROR(D751-Dashboard!$B$4/252,"")</f>
        <v/>
      </c>
      <c r="G751" s="28">
        <f>IFERROR(E751-Dashboard!$B$4/252,"")</f>
        <v/>
      </c>
      <c r="H751" s="8">
        <f>IFERROR(IF(ISNUMBER(B751),MAX(B751,IFERROR(H750,B751)),""),"")</f>
        <v/>
      </c>
      <c r="I751" s="29">
        <f>IFERROR(IF(AND(ISNUMBER(B751),ISNUMBER(H751)),B751/H751-1,""),"")</f>
        <v/>
      </c>
      <c r="J751" s="8">
        <f>IFERROR(IF(ISNUMBER(C751),MAX(C751,IFERROR(J750,C751)),""),"")</f>
        <v/>
      </c>
      <c r="K751" s="29">
        <f>IFERROR(IF(AND(ISNUMBER(C751),ISNUMBER(J751)),C751/J751-1,""),"")</f>
        <v/>
      </c>
      <c r="L751" s="28">
        <f>IFERROR(IF(AND(ISNUMBER(D751),ISNUMBER(E751)),D751-E751,""),"")</f>
        <v/>
      </c>
    </row>
    <row r="752">
      <c r="A752" s="7">
        <f>IFERROR(Datos!A752,"")</f>
        <v/>
      </c>
      <c r="B752" s="8">
        <f>IFERROR(Datos!B752,"")</f>
        <v/>
      </c>
      <c r="C752" s="8">
        <f>IFERROR(Datos!C752,"")</f>
        <v/>
      </c>
      <c r="D752" s="28">
        <f>IFERROR(IF(AND(ISNUMBER(B752),ISNUMBER(B751),B751&lt;&gt;0),B752/B751-1,""),"")</f>
        <v/>
      </c>
      <c r="E752" s="28">
        <f>IFERROR(IF(AND(ISNUMBER(C752),ISNUMBER(C751),C751&lt;&gt;0),C752/C751-1,""),"")</f>
        <v/>
      </c>
      <c r="F752" s="28">
        <f>IFERROR(D752-Dashboard!$B$4/252,"")</f>
        <v/>
      </c>
      <c r="G752" s="28">
        <f>IFERROR(E752-Dashboard!$B$4/252,"")</f>
        <v/>
      </c>
      <c r="H752" s="8">
        <f>IFERROR(IF(ISNUMBER(B752),MAX(B752,IFERROR(H751,B752)),""),"")</f>
        <v/>
      </c>
      <c r="I752" s="29">
        <f>IFERROR(IF(AND(ISNUMBER(B752),ISNUMBER(H752)),B752/H752-1,""),"")</f>
        <v/>
      </c>
      <c r="J752" s="8">
        <f>IFERROR(IF(ISNUMBER(C752),MAX(C752,IFERROR(J751,C752)),""),"")</f>
        <v/>
      </c>
      <c r="K752" s="29">
        <f>IFERROR(IF(AND(ISNUMBER(C752),ISNUMBER(J752)),C752/J752-1,""),"")</f>
        <v/>
      </c>
      <c r="L752" s="28">
        <f>IFERROR(IF(AND(ISNUMBER(D752),ISNUMBER(E752)),D752-E752,""),"")</f>
        <v/>
      </c>
    </row>
    <row r="753">
      <c r="A753" s="7">
        <f>IFERROR(Datos!A753,"")</f>
        <v/>
      </c>
      <c r="B753" s="8">
        <f>IFERROR(Datos!B753,"")</f>
        <v/>
      </c>
      <c r="C753" s="8">
        <f>IFERROR(Datos!C753,"")</f>
        <v/>
      </c>
      <c r="D753" s="28">
        <f>IFERROR(IF(AND(ISNUMBER(B753),ISNUMBER(B752),B752&lt;&gt;0),B753/B752-1,""),"")</f>
        <v/>
      </c>
      <c r="E753" s="28">
        <f>IFERROR(IF(AND(ISNUMBER(C753),ISNUMBER(C752),C752&lt;&gt;0),C753/C752-1,""),"")</f>
        <v/>
      </c>
      <c r="F753" s="28">
        <f>IFERROR(D753-Dashboard!$B$4/252,"")</f>
        <v/>
      </c>
      <c r="G753" s="28">
        <f>IFERROR(E753-Dashboard!$B$4/252,"")</f>
        <v/>
      </c>
      <c r="H753" s="8">
        <f>IFERROR(IF(ISNUMBER(B753),MAX(B753,IFERROR(H752,B753)),""),"")</f>
        <v/>
      </c>
      <c r="I753" s="29">
        <f>IFERROR(IF(AND(ISNUMBER(B753),ISNUMBER(H753)),B753/H753-1,""),"")</f>
        <v/>
      </c>
      <c r="J753" s="8">
        <f>IFERROR(IF(ISNUMBER(C753),MAX(C753,IFERROR(J752,C753)),""),"")</f>
        <v/>
      </c>
      <c r="K753" s="29">
        <f>IFERROR(IF(AND(ISNUMBER(C753),ISNUMBER(J753)),C753/J753-1,""),"")</f>
        <v/>
      </c>
      <c r="L753" s="28">
        <f>IFERROR(IF(AND(ISNUMBER(D753),ISNUMBER(E753)),D753-E753,""),"")</f>
        <v/>
      </c>
    </row>
    <row r="754">
      <c r="A754" s="7">
        <f>IFERROR(Datos!A754,"")</f>
        <v/>
      </c>
      <c r="B754" s="8">
        <f>IFERROR(Datos!B754,"")</f>
        <v/>
      </c>
      <c r="C754" s="8">
        <f>IFERROR(Datos!C754,"")</f>
        <v/>
      </c>
      <c r="D754" s="28">
        <f>IFERROR(IF(AND(ISNUMBER(B754),ISNUMBER(B753),B753&lt;&gt;0),B754/B753-1,""),"")</f>
        <v/>
      </c>
      <c r="E754" s="28">
        <f>IFERROR(IF(AND(ISNUMBER(C754),ISNUMBER(C753),C753&lt;&gt;0),C754/C753-1,""),"")</f>
        <v/>
      </c>
      <c r="F754" s="28">
        <f>IFERROR(D754-Dashboard!$B$4/252,"")</f>
        <v/>
      </c>
      <c r="G754" s="28">
        <f>IFERROR(E754-Dashboard!$B$4/252,"")</f>
        <v/>
      </c>
      <c r="H754" s="8">
        <f>IFERROR(IF(ISNUMBER(B754),MAX(B754,IFERROR(H753,B754)),""),"")</f>
        <v/>
      </c>
      <c r="I754" s="29">
        <f>IFERROR(IF(AND(ISNUMBER(B754),ISNUMBER(H754)),B754/H754-1,""),"")</f>
        <v/>
      </c>
      <c r="J754" s="8">
        <f>IFERROR(IF(ISNUMBER(C754),MAX(C754,IFERROR(J753,C754)),""),"")</f>
        <v/>
      </c>
      <c r="K754" s="29">
        <f>IFERROR(IF(AND(ISNUMBER(C754),ISNUMBER(J754)),C754/J754-1,""),"")</f>
        <v/>
      </c>
      <c r="L754" s="28">
        <f>IFERROR(IF(AND(ISNUMBER(D754),ISNUMBER(E754)),D754-E754,""),"")</f>
        <v/>
      </c>
    </row>
    <row r="755">
      <c r="A755" s="7">
        <f>IFERROR(Datos!A755,"")</f>
        <v/>
      </c>
      <c r="B755" s="8">
        <f>IFERROR(Datos!B755,"")</f>
        <v/>
      </c>
      <c r="C755" s="8">
        <f>IFERROR(Datos!C755,"")</f>
        <v/>
      </c>
      <c r="D755" s="28">
        <f>IFERROR(IF(AND(ISNUMBER(B755),ISNUMBER(B754),B754&lt;&gt;0),B755/B754-1,""),"")</f>
        <v/>
      </c>
      <c r="E755" s="28">
        <f>IFERROR(IF(AND(ISNUMBER(C755),ISNUMBER(C754),C754&lt;&gt;0),C755/C754-1,""),"")</f>
        <v/>
      </c>
      <c r="F755" s="28">
        <f>IFERROR(D755-Dashboard!$B$4/252,"")</f>
        <v/>
      </c>
      <c r="G755" s="28">
        <f>IFERROR(E755-Dashboard!$B$4/252,"")</f>
        <v/>
      </c>
      <c r="H755" s="8">
        <f>IFERROR(IF(ISNUMBER(B755),MAX(B755,IFERROR(H754,B755)),""),"")</f>
        <v/>
      </c>
      <c r="I755" s="29">
        <f>IFERROR(IF(AND(ISNUMBER(B755),ISNUMBER(H755)),B755/H755-1,""),"")</f>
        <v/>
      </c>
      <c r="J755" s="8">
        <f>IFERROR(IF(ISNUMBER(C755),MAX(C755,IFERROR(J754,C755)),""),"")</f>
        <v/>
      </c>
      <c r="K755" s="29">
        <f>IFERROR(IF(AND(ISNUMBER(C755),ISNUMBER(J755)),C755/J755-1,""),"")</f>
        <v/>
      </c>
      <c r="L755" s="28">
        <f>IFERROR(IF(AND(ISNUMBER(D755),ISNUMBER(E755)),D755-E755,""),"")</f>
        <v/>
      </c>
    </row>
    <row r="756">
      <c r="A756" s="7">
        <f>IFERROR(Datos!A756,"")</f>
        <v/>
      </c>
      <c r="B756" s="8">
        <f>IFERROR(Datos!B756,"")</f>
        <v/>
      </c>
      <c r="C756" s="8">
        <f>IFERROR(Datos!C756,"")</f>
        <v/>
      </c>
      <c r="D756" s="28">
        <f>IFERROR(IF(AND(ISNUMBER(B756),ISNUMBER(B755),B755&lt;&gt;0),B756/B755-1,""),"")</f>
        <v/>
      </c>
      <c r="E756" s="28">
        <f>IFERROR(IF(AND(ISNUMBER(C756),ISNUMBER(C755),C755&lt;&gt;0),C756/C755-1,""),"")</f>
        <v/>
      </c>
      <c r="F756" s="28">
        <f>IFERROR(D756-Dashboard!$B$4/252,"")</f>
        <v/>
      </c>
      <c r="G756" s="28">
        <f>IFERROR(E756-Dashboard!$B$4/252,"")</f>
        <v/>
      </c>
      <c r="H756" s="8">
        <f>IFERROR(IF(ISNUMBER(B756),MAX(B756,IFERROR(H755,B756)),""),"")</f>
        <v/>
      </c>
      <c r="I756" s="29">
        <f>IFERROR(IF(AND(ISNUMBER(B756),ISNUMBER(H756)),B756/H756-1,""),"")</f>
        <v/>
      </c>
      <c r="J756" s="8">
        <f>IFERROR(IF(ISNUMBER(C756),MAX(C756,IFERROR(J755,C756)),""),"")</f>
        <v/>
      </c>
      <c r="K756" s="29">
        <f>IFERROR(IF(AND(ISNUMBER(C756),ISNUMBER(J756)),C756/J756-1,""),"")</f>
        <v/>
      </c>
      <c r="L756" s="28">
        <f>IFERROR(IF(AND(ISNUMBER(D756),ISNUMBER(E756)),D756-E756,""),"")</f>
        <v/>
      </c>
    </row>
    <row r="757">
      <c r="A757" s="7">
        <f>IFERROR(Datos!A757,"")</f>
        <v/>
      </c>
      <c r="B757" s="8">
        <f>IFERROR(Datos!B757,"")</f>
        <v/>
      </c>
      <c r="C757" s="8">
        <f>IFERROR(Datos!C757,"")</f>
        <v/>
      </c>
      <c r="D757" s="28">
        <f>IFERROR(IF(AND(ISNUMBER(B757),ISNUMBER(B756),B756&lt;&gt;0),B757/B756-1,""),"")</f>
        <v/>
      </c>
      <c r="E757" s="28">
        <f>IFERROR(IF(AND(ISNUMBER(C757),ISNUMBER(C756),C756&lt;&gt;0),C757/C756-1,""),"")</f>
        <v/>
      </c>
      <c r="F757" s="28">
        <f>IFERROR(D757-Dashboard!$B$4/252,"")</f>
        <v/>
      </c>
      <c r="G757" s="28">
        <f>IFERROR(E757-Dashboard!$B$4/252,"")</f>
        <v/>
      </c>
      <c r="H757" s="8">
        <f>IFERROR(IF(ISNUMBER(B757),MAX(B757,IFERROR(H756,B757)),""),"")</f>
        <v/>
      </c>
      <c r="I757" s="29">
        <f>IFERROR(IF(AND(ISNUMBER(B757),ISNUMBER(H757)),B757/H757-1,""),"")</f>
        <v/>
      </c>
      <c r="J757" s="8">
        <f>IFERROR(IF(ISNUMBER(C757),MAX(C757,IFERROR(J756,C757)),""),"")</f>
        <v/>
      </c>
      <c r="K757" s="29">
        <f>IFERROR(IF(AND(ISNUMBER(C757),ISNUMBER(J757)),C757/J757-1,""),"")</f>
        <v/>
      </c>
      <c r="L757" s="28">
        <f>IFERROR(IF(AND(ISNUMBER(D757),ISNUMBER(E757)),D757-E757,""),"")</f>
        <v/>
      </c>
    </row>
    <row r="758">
      <c r="A758" s="7">
        <f>IFERROR(Datos!A758,"")</f>
        <v/>
      </c>
      <c r="B758" s="8">
        <f>IFERROR(Datos!B758,"")</f>
        <v/>
      </c>
      <c r="C758" s="8">
        <f>IFERROR(Datos!C758,"")</f>
        <v/>
      </c>
      <c r="D758" s="28">
        <f>IFERROR(IF(AND(ISNUMBER(B758),ISNUMBER(B757),B757&lt;&gt;0),B758/B757-1,""),"")</f>
        <v/>
      </c>
      <c r="E758" s="28">
        <f>IFERROR(IF(AND(ISNUMBER(C758),ISNUMBER(C757),C757&lt;&gt;0),C758/C757-1,""),"")</f>
        <v/>
      </c>
      <c r="F758" s="28">
        <f>IFERROR(D758-Dashboard!$B$4/252,"")</f>
        <v/>
      </c>
      <c r="G758" s="28">
        <f>IFERROR(E758-Dashboard!$B$4/252,"")</f>
        <v/>
      </c>
      <c r="H758" s="8">
        <f>IFERROR(IF(ISNUMBER(B758),MAX(B758,IFERROR(H757,B758)),""),"")</f>
        <v/>
      </c>
      <c r="I758" s="29">
        <f>IFERROR(IF(AND(ISNUMBER(B758),ISNUMBER(H758)),B758/H758-1,""),"")</f>
        <v/>
      </c>
      <c r="J758" s="8">
        <f>IFERROR(IF(ISNUMBER(C758),MAX(C758,IFERROR(J757,C758)),""),"")</f>
        <v/>
      </c>
      <c r="K758" s="29">
        <f>IFERROR(IF(AND(ISNUMBER(C758),ISNUMBER(J758)),C758/J758-1,""),"")</f>
        <v/>
      </c>
      <c r="L758" s="28">
        <f>IFERROR(IF(AND(ISNUMBER(D758),ISNUMBER(E758)),D758-E758,""),"")</f>
        <v/>
      </c>
    </row>
    <row r="759">
      <c r="A759" s="7">
        <f>IFERROR(Datos!A759,"")</f>
        <v/>
      </c>
      <c r="B759" s="8">
        <f>IFERROR(Datos!B759,"")</f>
        <v/>
      </c>
      <c r="C759" s="8">
        <f>IFERROR(Datos!C759,"")</f>
        <v/>
      </c>
      <c r="D759" s="28">
        <f>IFERROR(IF(AND(ISNUMBER(B759),ISNUMBER(B758),B758&lt;&gt;0),B759/B758-1,""),"")</f>
        <v/>
      </c>
      <c r="E759" s="28">
        <f>IFERROR(IF(AND(ISNUMBER(C759),ISNUMBER(C758),C758&lt;&gt;0),C759/C758-1,""),"")</f>
        <v/>
      </c>
      <c r="F759" s="28">
        <f>IFERROR(D759-Dashboard!$B$4/252,"")</f>
        <v/>
      </c>
      <c r="G759" s="28">
        <f>IFERROR(E759-Dashboard!$B$4/252,"")</f>
        <v/>
      </c>
      <c r="H759" s="8">
        <f>IFERROR(IF(ISNUMBER(B759),MAX(B759,IFERROR(H758,B759)),""),"")</f>
        <v/>
      </c>
      <c r="I759" s="29">
        <f>IFERROR(IF(AND(ISNUMBER(B759),ISNUMBER(H759)),B759/H759-1,""),"")</f>
        <v/>
      </c>
      <c r="J759" s="8">
        <f>IFERROR(IF(ISNUMBER(C759),MAX(C759,IFERROR(J758,C759)),""),"")</f>
        <v/>
      </c>
      <c r="K759" s="29">
        <f>IFERROR(IF(AND(ISNUMBER(C759),ISNUMBER(J759)),C759/J759-1,""),"")</f>
        <v/>
      </c>
      <c r="L759" s="28">
        <f>IFERROR(IF(AND(ISNUMBER(D759),ISNUMBER(E759)),D759-E759,""),"")</f>
        <v/>
      </c>
    </row>
    <row r="760">
      <c r="A760" s="7">
        <f>IFERROR(Datos!A760,"")</f>
        <v/>
      </c>
      <c r="B760" s="8">
        <f>IFERROR(Datos!B760,"")</f>
        <v/>
      </c>
      <c r="C760" s="8">
        <f>IFERROR(Datos!C760,"")</f>
        <v/>
      </c>
      <c r="D760" s="28">
        <f>IFERROR(IF(AND(ISNUMBER(B760),ISNUMBER(B759),B759&lt;&gt;0),B760/B759-1,""),"")</f>
        <v/>
      </c>
      <c r="E760" s="28">
        <f>IFERROR(IF(AND(ISNUMBER(C760),ISNUMBER(C759),C759&lt;&gt;0),C760/C759-1,""),"")</f>
        <v/>
      </c>
      <c r="F760" s="28">
        <f>IFERROR(D760-Dashboard!$B$4/252,"")</f>
        <v/>
      </c>
      <c r="G760" s="28">
        <f>IFERROR(E760-Dashboard!$B$4/252,"")</f>
        <v/>
      </c>
      <c r="H760" s="8">
        <f>IFERROR(IF(ISNUMBER(B760),MAX(B760,IFERROR(H759,B760)),""),"")</f>
        <v/>
      </c>
      <c r="I760" s="29">
        <f>IFERROR(IF(AND(ISNUMBER(B760),ISNUMBER(H760)),B760/H760-1,""),"")</f>
        <v/>
      </c>
      <c r="J760" s="8">
        <f>IFERROR(IF(ISNUMBER(C760),MAX(C760,IFERROR(J759,C760)),""),"")</f>
        <v/>
      </c>
      <c r="K760" s="29">
        <f>IFERROR(IF(AND(ISNUMBER(C760),ISNUMBER(J760)),C760/J760-1,""),"")</f>
        <v/>
      </c>
      <c r="L760" s="28">
        <f>IFERROR(IF(AND(ISNUMBER(D760),ISNUMBER(E760)),D760-E760,""),"")</f>
        <v/>
      </c>
    </row>
    <row r="761">
      <c r="A761" s="7">
        <f>IFERROR(Datos!A761,"")</f>
        <v/>
      </c>
      <c r="B761" s="8">
        <f>IFERROR(Datos!B761,"")</f>
        <v/>
      </c>
      <c r="C761" s="8">
        <f>IFERROR(Datos!C761,"")</f>
        <v/>
      </c>
      <c r="D761" s="28">
        <f>IFERROR(IF(AND(ISNUMBER(B761),ISNUMBER(B760),B760&lt;&gt;0),B761/B760-1,""),"")</f>
        <v/>
      </c>
      <c r="E761" s="28">
        <f>IFERROR(IF(AND(ISNUMBER(C761),ISNUMBER(C760),C760&lt;&gt;0),C761/C760-1,""),"")</f>
        <v/>
      </c>
      <c r="F761" s="28">
        <f>IFERROR(D761-Dashboard!$B$4/252,"")</f>
        <v/>
      </c>
      <c r="G761" s="28">
        <f>IFERROR(E761-Dashboard!$B$4/252,"")</f>
        <v/>
      </c>
      <c r="H761" s="8">
        <f>IFERROR(IF(ISNUMBER(B761),MAX(B761,IFERROR(H760,B761)),""),"")</f>
        <v/>
      </c>
      <c r="I761" s="29">
        <f>IFERROR(IF(AND(ISNUMBER(B761),ISNUMBER(H761)),B761/H761-1,""),"")</f>
        <v/>
      </c>
      <c r="J761" s="8">
        <f>IFERROR(IF(ISNUMBER(C761),MAX(C761,IFERROR(J760,C761)),""),"")</f>
        <v/>
      </c>
      <c r="K761" s="29">
        <f>IFERROR(IF(AND(ISNUMBER(C761),ISNUMBER(J761)),C761/J761-1,""),"")</f>
        <v/>
      </c>
      <c r="L761" s="28">
        <f>IFERROR(IF(AND(ISNUMBER(D761),ISNUMBER(E761)),D761-E761,""),"")</f>
        <v/>
      </c>
    </row>
    <row r="762">
      <c r="A762" s="7">
        <f>IFERROR(Datos!A762,"")</f>
        <v/>
      </c>
      <c r="B762" s="8">
        <f>IFERROR(Datos!B762,"")</f>
        <v/>
      </c>
      <c r="C762" s="8">
        <f>IFERROR(Datos!C762,"")</f>
        <v/>
      </c>
      <c r="D762" s="28">
        <f>IFERROR(IF(AND(ISNUMBER(B762),ISNUMBER(B761),B761&lt;&gt;0),B762/B761-1,""),"")</f>
        <v/>
      </c>
      <c r="E762" s="28">
        <f>IFERROR(IF(AND(ISNUMBER(C762),ISNUMBER(C761),C761&lt;&gt;0),C762/C761-1,""),"")</f>
        <v/>
      </c>
      <c r="F762" s="28">
        <f>IFERROR(D762-Dashboard!$B$4/252,"")</f>
        <v/>
      </c>
      <c r="G762" s="28">
        <f>IFERROR(E762-Dashboard!$B$4/252,"")</f>
        <v/>
      </c>
      <c r="H762" s="8">
        <f>IFERROR(IF(ISNUMBER(B762),MAX(B762,IFERROR(H761,B762)),""),"")</f>
        <v/>
      </c>
      <c r="I762" s="29">
        <f>IFERROR(IF(AND(ISNUMBER(B762),ISNUMBER(H762)),B762/H762-1,""),"")</f>
        <v/>
      </c>
      <c r="J762" s="8">
        <f>IFERROR(IF(ISNUMBER(C762),MAX(C762,IFERROR(J761,C762)),""),"")</f>
        <v/>
      </c>
      <c r="K762" s="29">
        <f>IFERROR(IF(AND(ISNUMBER(C762),ISNUMBER(J762)),C762/J762-1,""),"")</f>
        <v/>
      </c>
      <c r="L762" s="28">
        <f>IFERROR(IF(AND(ISNUMBER(D762),ISNUMBER(E762)),D762-E762,""),"")</f>
        <v/>
      </c>
    </row>
    <row r="763">
      <c r="A763" s="7">
        <f>IFERROR(Datos!A763,"")</f>
        <v/>
      </c>
      <c r="B763" s="8">
        <f>IFERROR(Datos!B763,"")</f>
        <v/>
      </c>
      <c r="C763" s="8">
        <f>IFERROR(Datos!C763,"")</f>
        <v/>
      </c>
      <c r="D763" s="28">
        <f>IFERROR(IF(AND(ISNUMBER(B763),ISNUMBER(B762),B762&lt;&gt;0),B763/B762-1,""),"")</f>
        <v/>
      </c>
      <c r="E763" s="28">
        <f>IFERROR(IF(AND(ISNUMBER(C763),ISNUMBER(C762),C762&lt;&gt;0),C763/C762-1,""),"")</f>
        <v/>
      </c>
      <c r="F763" s="28">
        <f>IFERROR(D763-Dashboard!$B$4/252,"")</f>
        <v/>
      </c>
      <c r="G763" s="28">
        <f>IFERROR(E763-Dashboard!$B$4/252,"")</f>
        <v/>
      </c>
      <c r="H763" s="8">
        <f>IFERROR(IF(ISNUMBER(B763),MAX(B763,IFERROR(H762,B763)),""),"")</f>
        <v/>
      </c>
      <c r="I763" s="29">
        <f>IFERROR(IF(AND(ISNUMBER(B763),ISNUMBER(H763)),B763/H763-1,""),"")</f>
        <v/>
      </c>
      <c r="J763" s="8">
        <f>IFERROR(IF(ISNUMBER(C763),MAX(C763,IFERROR(J762,C763)),""),"")</f>
        <v/>
      </c>
      <c r="K763" s="29">
        <f>IFERROR(IF(AND(ISNUMBER(C763),ISNUMBER(J763)),C763/J763-1,""),"")</f>
        <v/>
      </c>
      <c r="L763" s="28">
        <f>IFERROR(IF(AND(ISNUMBER(D763),ISNUMBER(E763)),D763-E763,""),"")</f>
        <v/>
      </c>
    </row>
    <row r="764">
      <c r="A764" s="7">
        <f>IFERROR(Datos!A764,"")</f>
        <v/>
      </c>
      <c r="B764" s="8">
        <f>IFERROR(Datos!B764,"")</f>
        <v/>
      </c>
      <c r="C764" s="8">
        <f>IFERROR(Datos!C764,"")</f>
        <v/>
      </c>
      <c r="D764" s="28">
        <f>IFERROR(IF(AND(ISNUMBER(B764),ISNUMBER(B763),B763&lt;&gt;0),B764/B763-1,""),"")</f>
        <v/>
      </c>
      <c r="E764" s="28">
        <f>IFERROR(IF(AND(ISNUMBER(C764),ISNUMBER(C763),C763&lt;&gt;0),C764/C763-1,""),"")</f>
        <v/>
      </c>
      <c r="F764" s="28">
        <f>IFERROR(D764-Dashboard!$B$4/252,"")</f>
        <v/>
      </c>
      <c r="G764" s="28">
        <f>IFERROR(E764-Dashboard!$B$4/252,"")</f>
        <v/>
      </c>
      <c r="H764" s="8">
        <f>IFERROR(IF(ISNUMBER(B764),MAX(B764,IFERROR(H763,B764)),""),"")</f>
        <v/>
      </c>
      <c r="I764" s="29">
        <f>IFERROR(IF(AND(ISNUMBER(B764),ISNUMBER(H764)),B764/H764-1,""),"")</f>
        <v/>
      </c>
      <c r="J764" s="8">
        <f>IFERROR(IF(ISNUMBER(C764),MAX(C764,IFERROR(J763,C764)),""),"")</f>
        <v/>
      </c>
      <c r="K764" s="29">
        <f>IFERROR(IF(AND(ISNUMBER(C764),ISNUMBER(J764)),C764/J764-1,""),"")</f>
        <v/>
      </c>
      <c r="L764" s="28">
        <f>IFERROR(IF(AND(ISNUMBER(D764),ISNUMBER(E764)),D764-E764,""),"")</f>
        <v/>
      </c>
    </row>
    <row r="765">
      <c r="A765" s="7">
        <f>IFERROR(Datos!A765,"")</f>
        <v/>
      </c>
      <c r="B765" s="8">
        <f>IFERROR(Datos!B765,"")</f>
        <v/>
      </c>
      <c r="C765" s="8">
        <f>IFERROR(Datos!C765,"")</f>
        <v/>
      </c>
      <c r="D765" s="28">
        <f>IFERROR(IF(AND(ISNUMBER(B765),ISNUMBER(B764),B764&lt;&gt;0),B765/B764-1,""),"")</f>
        <v/>
      </c>
      <c r="E765" s="28">
        <f>IFERROR(IF(AND(ISNUMBER(C765),ISNUMBER(C764),C764&lt;&gt;0),C765/C764-1,""),"")</f>
        <v/>
      </c>
      <c r="F765" s="28">
        <f>IFERROR(D765-Dashboard!$B$4/252,"")</f>
        <v/>
      </c>
      <c r="G765" s="28">
        <f>IFERROR(E765-Dashboard!$B$4/252,"")</f>
        <v/>
      </c>
      <c r="H765" s="8">
        <f>IFERROR(IF(ISNUMBER(B765),MAX(B765,IFERROR(H764,B765)),""),"")</f>
        <v/>
      </c>
      <c r="I765" s="29">
        <f>IFERROR(IF(AND(ISNUMBER(B765),ISNUMBER(H765)),B765/H765-1,""),"")</f>
        <v/>
      </c>
      <c r="J765" s="8">
        <f>IFERROR(IF(ISNUMBER(C765),MAX(C765,IFERROR(J764,C765)),""),"")</f>
        <v/>
      </c>
      <c r="K765" s="29">
        <f>IFERROR(IF(AND(ISNUMBER(C765),ISNUMBER(J765)),C765/J765-1,""),"")</f>
        <v/>
      </c>
      <c r="L765" s="28">
        <f>IFERROR(IF(AND(ISNUMBER(D765),ISNUMBER(E765)),D765-E765,""),"")</f>
        <v/>
      </c>
    </row>
    <row r="766">
      <c r="A766" s="7">
        <f>IFERROR(Datos!A766,"")</f>
        <v/>
      </c>
      <c r="B766" s="8">
        <f>IFERROR(Datos!B766,"")</f>
        <v/>
      </c>
      <c r="C766" s="8">
        <f>IFERROR(Datos!C766,"")</f>
        <v/>
      </c>
      <c r="D766" s="28">
        <f>IFERROR(IF(AND(ISNUMBER(B766),ISNUMBER(B765),B765&lt;&gt;0),B766/B765-1,""),"")</f>
        <v/>
      </c>
      <c r="E766" s="28">
        <f>IFERROR(IF(AND(ISNUMBER(C766),ISNUMBER(C765),C765&lt;&gt;0),C766/C765-1,""),"")</f>
        <v/>
      </c>
      <c r="F766" s="28">
        <f>IFERROR(D766-Dashboard!$B$4/252,"")</f>
        <v/>
      </c>
      <c r="G766" s="28">
        <f>IFERROR(E766-Dashboard!$B$4/252,"")</f>
        <v/>
      </c>
      <c r="H766" s="8">
        <f>IFERROR(IF(ISNUMBER(B766),MAX(B766,IFERROR(H765,B766)),""),"")</f>
        <v/>
      </c>
      <c r="I766" s="29">
        <f>IFERROR(IF(AND(ISNUMBER(B766),ISNUMBER(H766)),B766/H766-1,""),"")</f>
        <v/>
      </c>
      <c r="J766" s="8">
        <f>IFERROR(IF(ISNUMBER(C766),MAX(C766,IFERROR(J765,C766)),""),"")</f>
        <v/>
      </c>
      <c r="K766" s="29">
        <f>IFERROR(IF(AND(ISNUMBER(C766),ISNUMBER(J766)),C766/J766-1,""),"")</f>
        <v/>
      </c>
      <c r="L766" s="28">
        <f>IFERROR(IF(AND(ISNUMBER(D766),ISNUMBER(E766)),D766-E766,""),"")</f>
        <v/>
      </c>
    </row>
    <row r="767">
      <c r="A767" s="7">
        <f>IFERROR(Datos!A767,"")</f>
        <v/>
      </c>
      <c r="B767" s="8">
        <f>IFERROR(Datos!B767,"")</f>
        <v/>
      </c>
      <c r="C767" s="8">
        <f>IFERROR(Datos!C767,"")</f>
        <v/>
      </c>
      <c r="D767" s="28">
        <f>IFERROR(IF(AND(ISNUMBER(B767),ISNUMBER(B766),B766&lt;&gt;0),B767/B766-1,""),"")</f>
        <v/>
      </c>
      <c r="E767" s="28">
        <f>IFERROR(IF(AND(ISNUMBER(C767),ISNUMBER(C766),C766&lt;&gt;0),C767/C766-1,""),"")</f>
        <v/>
      </c>
      <c r="F767" s="28">
        <f>IFERROR(D767-Dashboard!$B$4/252,"")</f>
        <v/>
      </c>
      <c r="G767" s="28">
        <f>IFERROR(E767-Dashboard!$B$4/252,"")</f>
        <v/>
      </c>
      <c r="H767" s="8">
        <f>IFERROR(IF(ISNUMBER(B767),MAX(B767,IFERROR(H766,B767)),""),"")</f>
        <v/>
      </c>
      <c r="I767" s="29">
        <f>IFERROR(IF(AND(ISNUMBER(B767),ISNUMBER(H767)),B767/H767-1,""),"")</f>
        <v/>
      </c>
      <c r="J767" s="8">
        <f>IFERROR(IF(ISNUMBER(C767),MAX(C767,IFERROR(J766,C767)),""),"")</f>
        <v/>
      </c>
      <c r="K767" s="29">
        <f>IFERROR(IF(AND(ISNUMBER(C767),ISNUMBER(J767)),C767/J767-1,""),"")</f>
        <v/>
      </c>
      <c r="L767" s="28">
        <f>IFERROR(IF(AND(ISNUMBER(D767),ISNUMBER(E767)),D767-E767,""),"")</f>
        <v/>
      </c>
    </row>
    <row r="768">
      <c r="A768" s="7">
        <f>IFERROR(Datos!A768,"")</f>
        <v/>
      </c>
      <c r="B768" s="8">
        <f>IFERROR(Datos!B768,"")</f>
        <v/>
      </c>
      <c r="C768" s="8">
        <f>IFERROR(Datos!C768,"")</f>
        <v/>
      </c>
      <c r="D768" s="28">
        <f>IFERROR(IF(AND(ISNUMBER(B768),ISNUMBER(B767),B767&lt;&gt;0),B768/B767-1,""),"")</f>
        <v/>
      </c>
      <c r="E768" s="28">
        <f>IFERROR(IF(AND(ISNUMBER(C768),ISNUMBER(C767),C767&lt;&gt;0),C768/C767-1,""),"")</f>
        <v/>
      </c>
      <c r="F768" s="28">
        <f>IFERROR(D768-Dashboard!$B$4/252,"")</f>
        <v/>
      </c>
      <c r="G768" s="28">
        <f>IFERROR(E768-Dashboard!$B$4/252,"")</f>
        <v/>
      </c>
      <c r="H768" s="8">
        <f>IFERROR(IF(ISNUMBER(B768),MAX(B768,IFERROR(H767,B768)),""),"")</f>
        <v/>
      </c>
      <c r="I768" s="29">
        <f>IFERROR(IF(AND(ISNUMBER(B768),ISNUMBER(H768)),B768/H768-1,""),"")</f>
        <v/>
      </c>
      <c r="J768" s="8">
        <f>IFERROR(IF(ISNUMBER(C768),MAX(C768,IFERROR(J767,C768)),""),"")</f>
        <v/>
      </c>
      <c r="K768" s="29">
        <f>IFERROR(IF(AND(ISNUMBER(C768),ISNUMBER(J768)),C768/J768-1,""),"")</f>
        <v/>
      </c>
      <c r="L768" s="28">
        <f>IFERROR(IF(AND(ISNUMBER(D768),ISNUMBER(E768)),D768-E768,""),"")</f>
        <v/>
      </c>
    </row>
    <row r="769">
      <c r="A769" s="7">
        <f>IFERROR(Datos!A769,"")</f>
        <v/>
      </c>
      <c r="B769" s="8">
        <f>IFERROR(Datos!B769,"")</f>
        <v/>
      </c>
      <c r="C769" s="8">
        <f>IFERROR(Datos!C769,"")</f>
        <v/>
      </c>
      <c r="D769" s="28">
        <f>IFERROR(IF(AND(ISNUMBER(B769),ISNUMBER(B768),B768&lt;&gt;0),B769/B768-1,""),"")</f>
        <v/>
      </c>
      <c r="E769" s="28">
        <f>IFERROR(IF(AND(ISNUMBER(C769),ISNUMBER(C768),C768&lt;&gt;0),C769/C768-1,""),"")</f>
        <v/>
      </c>
      <c r="F769" s="28">
        <f>IFERROR(D769-Dashboard!$B$4/252,"")</f>
        <v/>
      </c>
      <c r="G769" s="28">
        <f>IFERROR(E769-Dashboard!$B$4/252,"")</f>
        <v/>
      </c>
      <c r="H769" s="8">
        <f>IFERROR(IF(ISNUMBER(B769),MAX(B769,IFERROR(H768,B769)),""),"")</f>
        <v/>
      </c>
      <c r="I769" s="29">
        <f>IFERROR(IF(AND(ISNUMBER(B769),ISNUMBER(H769)),B769/H769-1,""),"")</f>
        <v/>
      </c>
      <c r="J769" s="8">
        <f>IFERROR(IF(ISNUMBER(C769),MAX(C769,IFERROR(J768,C769)),""),"")</f>
        <v/>
      </c>
      <c r="K769" s="29">
        <f>IFERROR(IF(AND(ISNUMBER(C769),ISNUMBER(J769)),C769/J769-1,""),"")</f>
        <v/>
      </c>
      <c r="L769" s="28">
        <f>IFERROR(IF(AND(ISNUMBER(D769),ISNUMBER(E769)),D769-E769,""),"")</f>
        <v/>
      </c>
    </row>
    <row r="770">
      <c r="A770" s="7">
        <f>IFERROR(Datos!A770,"")</f>
        <v/>
      </c>
      <c r="B770" s="8">
        <f>IFERROR(Datos!B770,"")</f>
        <v/>
      </c>
      <c r="C770" s="8">
        <f>IFERROR(Datos!C770,"")</f>
        <v/>
      </c>
      <c r="D770" s="28">
        <f>IFERROR(IF(AND(ISNUMBER(B770),ISNUMBER(B769),B769&lt;&gt;0),B770/B769-1,""),"")</f>
        <v/>
      </c>
      <c r="E770" s="28">
        <f>IFERROR(IF(AND(ISNUMBER(C770),ISNUMBER(C769),C769&lt;&gt;0),C770/C769-1,""),"")</f>
        <v/>
      </c>
      <c r="F770" s="28">
        <f>IFERROR(D770-Dashboard!$B$4/252,"")</f>
        <v/>
      </c>
      <c r="G770" s="28">
        <f>IFERROR(E770-Dashboard!$B$4/252,"")</f>
        <v/>
      </c>
      <c r="H770" s="8">
        <f>IFERROR(IF(ISNUMBER(B770),MAX(B770,IFERROR(H769,B770)),""),"")</f>
        <v/>
      </c>
      <c r="I770" s="29">
        <f>IFERROR(IF(AND(ISNUMBER(B770),ISNUMBER(H770)),B770/H770-1,""),"")</f>
        <v/>
      </c>
      <c r="J770" s="8">
        <f>IFERROR(IF(ISNUMBER(C770),MAX(C770,IFERROR(J769,C770)),""),"")</f>
        <v/>
      </c>
      <c r="K770" s="29">
        <f>IFERROR(IF(AND(ISNUMBER(C770),ISNUMBER(J770)),C770/J770-1,""),"")</f>
        <v/>
      </c>
      <c r="L770" s="28">
        <f>IFERROR(IF(AND(ISNUMBER(D770),ISNUMBER(E770)),D770-E770,""),"")</f>
        <v/>
      </c>
    </row>
    <row r="771">
      <c r="A771" s="7">
        <f>IFERROR(Datos!A771,"")</f>
        <v/>
      </c>
      <c r="B771" s="8">
        <f>IFERROR(Datos!B771,"")</f>
        <v/>
      </c>
      <c r="C771" s="8">
        <f>IFERROR(Datos!C771,"")</f>
        <v/>
      </c>
      <c r="D771" s="28">
        <f>IFERROR(IF(AND(ISNUMBER(B771),ISNUMBER(B770),B770&lt;&gt;0),B771/B770-1,""),"")</f>
        <v/>
      </c>
      <c r="E771" s="28">
        <f>IFERROR(IF(AND(ISNUMBER(C771),ISNUMBER(C770),C770&lt;&gt;0),C771/C770-1,""),"")</f>
        <v/>
      </c>
      <c r="F771" s="28">
        <f>IFERROR(D771-Dashboard!$B$4/252,"")</f>
        <v/>
      </c>
      <c r="G771" s="28">
        <f>IFERROR(E771-Dashboard!$B$4/252,"")</f>
        <v/>
      </c>
      <c r="H771" s="8">
        <f>IFERROR(IF(ISNUMBER(B771),MAX(B771,IFERROR(H770,B771)),""),"")</f>
        <v/>
      </c>
      <c r="I771" s="29">
        <f>IFERROR(IF(AND(ISNUMBER(B771),ISNUMBER(H771)),B771/H771-1,""),"")</f>
        <v/>
      </c>
      <c r="J771" s="8">
        <f>IFERROR(IF(ISNUMBER(C771),MAX(C771,IFERROR(J770,C771)),""),"")</f>
        <v/>
      </c>
      <c r="K771" s="29">
        <f>IFERROR(IF(AND(ISNUMBER(C771),ISNUMBER(J771)),C771/J771-1,""),"")</f>
        <v/>
      </c>
      <c r="L771" s="28">
        <f>IFERROR(IF(AND(ISNUMBER(D771),ISNUMBER(E771)),D771-E771,""),"")</f>
        <v/>
      </c>
    </row>
    <row r="772">
      <c r="A772" s="7">
        <f>IFERROR(Datos!A772,"")</f>
        <v/>
      </c>
      <c r="B772" s="8">
        <f>IFERROR(Datos!B772,"")</f>
        <v/>
      </c>
      <c r="C772" s="8">
        <f>IFERROR(Datos!C772,"")</f>
        <v/>
      </c>
      <c r="D772" s="28">
        <f>IFERROR(IF(AND(ISNUMBER(B772),ISNUMBER(B771),B771&lt;&gt;0),B772/B771-1,""),"")</f>
        <v/>
      </c>
      <c r="E772" s="28">
        <f>IFERROR(IF(AND(ISNUMBER(C772),ISNUMBER(C771),C771&lt;&gt;0),C772/C771-1,""),"")</f>
        <v/>
      </c>
      <c r="F772" s="28">
        <f>IFERROR(D772-Dashboard!$B$4/252,"")</f>
        <v/>
      </c>
      <c r="G772" s="28">
        <f>IFERROR(E772-Dashboard!$B$4/252,"")</f>
        <v/>
      </c>
      <c r="H772" s="8">
        <f>IFERROR(IF(ISNUMBER(B772),MAX(B772,IFERROR(H771,B772)),""),"")</f>
        <v/>
      </c>
      <c r="I772" s="29">
        <f>IFERROR(IF(AND(ISNUMBER(B772),ISNUMBER(H772)),B772/H772-1,""),"")</f>
        <v/>
      </c>
      <c r="J772" s="8">
        <f>IFERROR(IF(ISNUMBER(C772),MAX(C772,IFERROR(J771,C772)),""),"")</f>
        <v/>
      </c>
      <c r="K772" s="29">
        <f>IFERROR(IF(AND(ISNUMBER(C772),ISNUMBER(J772)),C772/J772-1,""),"")</f>
        <v/>
      </c>
      <c r="L772" s="28">
        <f>IFERROR(IF(AND(ISNUMBER(D772),ISNUMBER(E772)),D772-E772,""),"")</f>
        <v/>
      </c>
    </row>
    <row r="773">
      <c r="A773" s="7">
        <f>IFERROR(Datos!A773,"")</f>
        <v/>
      </c>
      <c r="B773" s="8">
        <f>IFERROR(Datos!B773,"")</f>
        <v/>
      </c>
      <c r="C773" s="8">
        <f>IFERROR(Datos!C773,"")</f>
        <v/>
      </c>
      <c r="D773" s="28">
        <f>IFERROR(IF(AND(ISNUMBER(B773),ISNUMBER(B772),B772&lt;&gt;0),B773/B772-1,""),"")</f>
        <v/>
      </c>
      <c r="E773" s="28">
        <f>IFERROR(IF(AND(ISNUMBER(C773),ISNUMBER(C772),C772&lt;&gt;0),C773/C772-1,""),"")</f>
        <v/>
      </c>
      <c r="F773" s="28">
        <f>IFERROR(D773-Dashboard!$B$4/252,"")</f>
        <v/>
      </c>
      <c r="G773" s="28">
        <f>IFERROR(E773-Dashboard!$B$4/252,"")</f>
        <v/>
      </c>
      <c r="H773" s="8">
        <f>IFERROR(IF(ISNUMBER(B773),MAX(B773,IFERROR(H772,B773)),""),"")</f>
        <v/>
      </c>
      <c r="I773" s="29">
        <f>IFERROR(IF(AND(ISNUMBER(B773),ISNUMBER(H773)),B773/H773-1,""),"")</f>
        <v/>
      </c>
      <c r="J773" s="8">
        <f>IFERROR(IF(ISNUMBER(C773),MAX(C773,IFERROR(J772,C773)),""),"")</f>
        <v/>
      </c>
      <c r="K773" s="29">
        <f>IFERROR(IF(AND(ISNUMBER(C773),ISNUMBER(J773)),C773/J773-1,""),"")</f>
        <v/>
      </c>
      <c r="L773" s="28">
        <f>IFERROR(IF(AND(ISNUMBER(D773),ISNUMBER(E773)),D773-E773,""),"")</f>
        <v/>
      </c>
    </row>
    <row r="774">
      <c r="A774" s="7">
        <f>IFERROR(Datos!A774,"")</f>
        <v/>
      </c>
      <c r="B774" s="8">
        <f>IFERROR(Datos!B774,"")</f>
        <v/>
      </c>
      <c r="C774" s="8">
        <f>IFERROR(Datos!C774,"")</f>
        <v/>
      </c>
      <c r="D774" s="28">
        <f>IFERROR(IF(AND(ISNUMBER(B774),ISNUMBER(B773),B773&lt;&gt;0),B774/B773-1,""),"")</f>
        <v/>
      </c>
      <c r="E774" s="28">
        <f>IFERROR(IF(AND(ISNUMBER(C774),ISNUMBER(C773),C773&lt;&gt;0),C774/C773-1,""),"")</f>
        <v/>
      </c>
      <c r="F774" s="28">
        <f>IFERROR(D774-Dashboard!$B$4/252,"")</f>
        <v/>
      </c>
      <c r="G774" s="28">
        <f>IFERROR(E774-Dashboard!$B$4/252,"")</f>
        <v/>
      </c>
      <c r="H774" s="8">
        <f>IFERROR(IF(ISNUMBER(B774),MAX(B774,IFERROR(H773,B774)),""),"")</f>
        <v/>
      </c>
      <c r="I774" s="29">
        <f>IFERROR(IF(AND(ISNUMBER(B774),ISNUMBER(H774)),B774/H774-1,""),"")</f>
        <v/>
      </c>
      <c r="J774" s="8">
        <f>IFERROR(IF(ISNUMBER(C774),MAX(C774,IFERROR(J773,C774)),""),"")</f>
        <v/>
      </c>
      <c r="K774" s="29">
        <f>IFERROR(IF(AND(ISNUMBER(C774),ISNUMBER(J774)),C774/J774-1,""),"")</f>
        <v/>
      </c>
      <c r="L774" s="28">
        <f>IFERROR(IF(AND(ISNUMBER(D774),ISNUMBER(E774)),D774-E774,""),"")</f>
        <v/>
      </c>
    </row>
    <row r="775">
      <c r="A775" s="7">
        <f>IFERROR(Datos!A775,"")</f>
        <v/>
      </c>
      <c r="B775" s="8">
        <f>IFERROR(Datos!B775,"")</f>
        <v/>
      </c>
      <c r="C775" s="8">
        <f>IFERROR(Datos!C775,"")</f>
        <v/>
      </c>
      <c r="D775" s="28">
        <f>IFERROR(IF(AND(ISNUMBER(B775),ISNUMBER(B774),B774&lt;&gt;0),B775/B774-1,""),"")</f>
        <v/>
      </c>
      <c r="E775" s="28">
        <f>IFERROR(IF(AND(ISNUMBER(C775),ISNUMBER(C774),C774&lt;&gt;0),C775/C774-1,""),"")</f>
        <v/>
      </c>
      <c r="F775" s="28">
        <f>IFERROR(D775-Dashboard!$B$4/252,"")</f>
        <v/>
      </c>
      <c r="G775" s="28">
        <f>IFERROR(E775-Dashboard!$B$4/252,"")</f>
        <v/>
      </c>
      <c r="H775" s="8">
        <f>IFERROR(IF(ISNUMBER(B775),MAX(B775,IFERROR(H774,B775)),""),"")</f>
        <v/>
      </c>
      <c r="I775" s="29">
        <f>IFERROR(IF(AND(ISNUMBER(B775),ISNUMBER(H775)),B775/H775-1,""),"")</f>
        <v/>
      </c>
      <c r="J775" s="8">
        <f>IFERROR(IF(ISNUMBER(C775),MAX(C775,IFERROR(J774,C775)),""),"")</f>
        <v/>
      </c>
      <c r="K775" s="29">
        <f>IFERROR(IF(AND(ISNUMBER(C775),ISNUMBER(J775)),C775/J775-1,""),"")</f>
        <v/>
      </c>
      <c r="L775" s="28">
        <f>IFERROR(IF(AND(ISNUMBER(D775),ISNUMBER(E775)),D775-E775,""),"")</f>
        <v/>
      </c>
    </row>
    <row r="776">
      <c r="A776" s="7">
        <f>IFERROR(Datos!A776,"")</f>
        <v/>
      </c>
      <c r="B776" s="8">
        <f>IFERROR(Datos!B776,"")</f>
        <v/>
      </c>
      <c r="C776" s="8">
        <f>IFERROR(Datos!C776,"")</f>
        <v/>
      </c>
      <c r="D776" s="28">
        <f>IFERROR(IF(AND(ISNUMBER(B776),ISNUMBER(B775),B775&lt;&gt;0),B776/B775-1,""),"")</f>
        <v/>
      </c>
      <c r="E776" s="28">
        <f>IFERROR(IF(AND(ISNUMBER(C776),ISNUMBER(C775),C775&lt;&gt;0),C776/C775-1,""),"")</f>
        <v/>
      </c>
      <c r="F776" s="28">
        <f>IFERROR(D776-Dashboard!$B$4/252,"")</f>
        <v/>
      </c>
      <c r="G776" s="28">
        <f>IFERROR(E776-Dashboard!$B$4/252,"")</f>
        <v/>
      </c>
      <c r="H776" s="8">
        <f>IFERROR(IF(ISNUMBER(B776),MAX(B776,IFERROR(H775,B776)),""),"")</f>
        <v/>
      </c>
      <c r="I776" s="29">
        <f>IFERROR(IF(AND(ISNUMBER(B776),ISNUMBER(H776)),B776/H776-1,""),"")</f>
        <v/>
      </c>
      <c r="J776" s="8">
        <f>IFERROR(IF(ISNUMBER(C776),MAX(C776,IFERROR(J775,C776)),""),"")</f>
        <v/>
      </c>
      <c r="K776" s="29">
        <f>IFERROR(IF(AND(ISNUMBER(C776),ISNUMBER(J776)),C776/J776-1,""),"")</f>
        <v/>
      </c>
      <c r="L776" s="28">
        <f>IFERROR(IF(AND(ISNUMBER(D776),ISNUMBER(E776)),D776-E776,""),"")</f>
        <v/>
      </c>
    </row>
    <row r="777">
      <c r="A777" s="7">
        <f>IFERROR(Datos!A777,"")</f>
        <v/>
      </c>
      <c r="B777" s="8">
        <f>IFERROR(Datos!B777,"")</f>
        <v/>
      </c>
      <c r="C777" s="8">
        <f>IFERROR(Datos!C777,"")</f>
        <v/>
      </c>
      <c r="D777" s="28">
        <f>IFERROR(IF(AND(ISNUMBER(B777),ISNUMBER(B776),B776&lt;&gt;0),B777/B776-1,""),"")</f>
        <v/>
      </c>
      <c r="E777" s="28">
        <f>IFERROR(IF(AND(ISNUMBER(C777),ISNUMBER(C776),C776&lt;&gt;0),C777/C776-1,""),"")</f>
        <v/>
      </c>
      <c r="F777" s="28">
        <f>IFERROR(D777-Dashboard!$B$4/252,"")</f>
        <v/>
      </c>
      <c r="G777" s="28">
        <f>IFERROR(E777-Dashboard!$B$4/252,"")</f>
        <v/>
      </c>
      <c r="H777" s="8">
        <f>IFERROR(IF(ISNUMBER(B777),MAX(B777,IFERROR(H776,B777)),""),"")</f>
        <v/>
      </c>
      <c r="I777" s="29">
        <f>IFERROR(IF(AND(ISNUMBER(B777),ISNUMBER(H777)),B777/H777-1,""),"")</f>
        <v/>
      </c>
      <c r="J777" s="8">
        <f>IFERROR(IF(ISNUMBER(C777),MAX(C777,IFERROR(J776,C777)),""),"")</f>
        <v/>
      </c>
      <c r="K777" s="29">
        <f>IFERROR(IF(AND(ISNUMBER(C777),ISNUMBER(J777)),C777/J777-1,""),"")</f>
        <v/>
      </c>
      <c r="L777" s="28">
        <f>IFERROR(IF(AND(ISNUMBER(D777),ISNUMBER(E777)),D777-E777,""),"")</f>
        <v/>
      </c>
    </row>
    <row r="778">
      <c r="A778" s="7">
        <f>IFERROR(Datos!A778,"")</f>
        <v/>
      </c>
      <c r="B778" s="8">
        <f>IFERROR(Datos!B778,"")</f>
        <v/>
      </c>
      <c r="C778" s="8">
        <f>IFERROR(Datos!C778,"")</f>
        <v/>
      </c>
      <c r="D778" s="28">
        <f>IFERROR(IF(AND(ISNUMBER(B778),ISNUMBER(B777),B777&lt;&gt;0),B778/B777-1,""),"")</f>
        <v/>
      </c>
      <c r="E778" s="28">
        <f>IFERROR(IF(AND(ISNUMBER(C778),ISNUMBER(C777),C777&lt;&gt;0),C778/C777-1,""),"")</f>
        <v/>
      </c>
      <c r="F778" s="28">
        <f>IFERROR(D778-Dashboard!$B$4/252,"")</f>
        <v/>
      </c>
      <c r="G778" s="28">
        <f>IFERROR(E778-Dashboard!$B$4/252,"")</f>
        <v/>
      </c>
      <c r="H778" s="8">
        <f>IFERROR(IF(ISNUMBER(B778),MAX(B778,IFERROR(H777,B778)),""),"")</f>
        <v/>
      </c>
      <c r="I778" s="29">
        <f>IFERROR(IF(AND(ISNUMBER(B778),ISNUMBER(H778)),B778/H778-1,""),"")</f>
        <v/>
      </c>
      <c r="J778" s="8">
        <f>IFERROR(IF(ISNUMBER(C778),MAX(C778,IFERROR(J777,C778)),""),"")</f>
        <v/>
      </c>
      <c r="K778" s="29">
        <f>IFERROR(IF(AND(ISNUMBER(C778),ISNUMBER(J778)),C778/J778-1,""),"")</f>
        <v/>
      </c>
      <c r="L778" s="28">
        <f>IFERROR(IF(AND(ISNUMBER(D778),ISNUMBER(E778)),D778-E778,""),"")</f>
        <v/>
      </c>
    </row>
    <row r="779">
      <c r="A779" s="7">
        <f>IFERROR(Datos!A779,"")</f>
        <v/>
      </c>
      <c r="B779" s="8">
        <f>IFERROR(Datos!B779,"")</f>
        <v/>
      </c>
      <c r="C779" s="8">
        <f>IFERROR(Datos!C779,"")</f>
        <v/>
      </c>
      <c r="D779" s="28">
        <f>IFERROR(IF(AND(ISNUMBER(B779),ISNUMBER(B778),B778&lt;&gt;0),B779/B778-1,""),"")</f>
        <v/>
      </c>
      <c r="E779" s="28">
        <f>IFERROR(IF(AND(ISNUMBER(C779),ISNUMBER(C778),C778&lt;&gt;0),C779/C778-1,""),"")</f>
        <v/>
      </c>
      <c r="F779" s="28">
        <f>IFERROR(D779-Dashboard!$B$4/252,"")</f>
        <v/>
      </c>
      <c r="G779" s="28">
        <f>IFERROR(E779-Dashboard!$B$4/252,"")</f>
        <v/>
      </c>
      <c r="H779" s="8">
        <f>IFERROR(IF(ISNUMBER(B779),MAX(B779,IFERROR(H778,B779)),""),"")</f>
        <v/>
      </c>
      <c r="I779" s="29">
        <f>IFERROR(IF(AND(ISNUMBER(B779),ISNUMBER(H779)),B779/H779-1,""),"")</f>
        <v/>
      </c>
      <c r="J779" s="8">
        <f>IFERROR(IF(ISNUMBER(C779),MAX(C779,IFERROR(J778,C779)),""),"")</f>
        <v/>
      </c>
      <c r="K779" s="29">
        <f>IFERROR(IF(AND(ISNUMBER(C779),ISNUMBER(J779)),C779/J779-1,""),"")</f>
        <v/>
      </c>
      <c r="L779" s="28">
        <f>IFERROR(IF(AND(ISNUMBER(D779),ISNUMBER(E779)),D779-E779,""),"")</f>
        <v/>
      </c>
    </row>
    <row r="780">
      <c r="A780" s="7">
        <f>IFERROR(Datos!A780,"")</f>
        <v/>
      </c>
      <c r="B780" s="8">
        <f>IFERROR(Datos!B780,"")</f>
        <v/>
      </c>
      <c r="C780" s="8">
        <f>IFERROR(Datos!C780,"")</f>
        <v/>
      </c>
      <c r="D780" s="28">
        <f>IFERROR(IF(AND(ISNUMBER(B780),ISNUMBER(B779),B779&lt;&gt;0),B780/B779-1,""),"")</f>
        <v/>
      </c>
      <c r="E780" s="28">
        <f>IFERROR(IF(AND(ISNUMBER(C780),ISNUMBER(C779),C779&lt;&gt;0),C780/C779-1,""),"")</f>
        <v/>
      </c>
      <c r="F780" s="28">
        <f>IFERROR(D780-Dashboard!$B$4/252,"")</f>
        <v/>
      </c>
      <c r="G780" s="28">
        <f>IFERROR(E780-Dashboard!$B$4/252,"")</f>
        <v/>
      </c>
      <c r="H780" s="8">
        <f>IFERROR(IF(ISNUMBER(B780),MAX(B780,IFERROR(H779,B780)),""),"")</f>
        <v/>
      </c>
      <c r="I780" s="29">
        <f>IFERROR(IF(AND(ISNUMBER(B780),ISNUMBER(H780)),B780/H780-1,""),"")</f>
        <v/>
      </c>
      <c r="J780" s="8">
        <f>IFERROR(IF(ISNUMBER(C780),MAX(C780,IFERROR(J779,C780)),""),"")</f>
        <v/>
      </c>
      <c r="K780" s="29">
        <f>IFERROR(IF(AND(ISNUMBER(C780),ISNUMBER(J780)),C780/J780-1,""),"")</f>
        <v/>
      </c>
      <c r="L780" s="28">
        <f>IFERROR(IF(AND(ISNUMBER(D780),ISNUMBER(E780)),D780-E780,""),"")</f>
        <v/>
      </c>
    </row>
    <row r="781">
      <c r="A781" s="7">
        <f>IFERROR(Datos!A781,"")</f>
        <v/>
      </c>
      <c r="B781" s="8">
        <f>IFERROR(Datos!B781,"")</f>
        <v/>
      </c>
      <c r="C781" s="8">
        <f>IFERROR(Datos!C781,"")</f>
        <v/>
      </c>
      <c r="D781" s="28">
        <f>IFERROR(IF(AND(ISNUMBER(B781),ISNUMBER(B780),B780&lt;&gt;0),B781/B780-1,""),"")</f>
        <v/>
      </c>
      <c r="E781" s="28">
        <f>IFERROR(IF(AND(ISNUMBER(C781),ISNUMBER(C780),C780&lt;&gt;0),C781/C780-1,""),"")</f>
        <v/>
      </c>
      <c r="F781" s="28">
        <f>IFERROR(D781-Dashboard!$B$4/252,"")</f>
        <v/>
      </c>
      <c r="G781" s="28">
        <f>IFERROR(E781-Dashboard!$B$4/252,"")</f>
        <v/>
      </c>
      <c r="H781" s="8">
        <f>IFERROR(IF(ISNUMBER(B781),MAX(B781,IFERROR(H780,B781)),""),"")</f>
        <v/>
      </c>
      <c r="I781" s="29">
        <f>IFERROR(IF(AND(ISNUMBER(B781),ISNUMBER(H781)),B781/H781-1,""),"")</f>
        <v/>
      </c>
      <c r="J781" s="8">
        <f>IFERROR(IF(ISNUMBER(C781),MAX(C781,IFERROR(J780,C781)),""),"")</f>
        <v/>
      </c>
      <c r="K781" s="29">
        <f>IFERROR(IF(AND(ISNUMBER(C781),ISNUMBER(J781)),C781/J781-1,""),"")</f>
        <v/>
      </c>
      <c r="L781" s="28">
        <f>IFERROR(IF(AND(ISNUMBER(D781),ISNUMBER(E781)),D781-E781,""),"")</f>
        <v/>
      </c>
    </row>
    <row r="782">
      <c r="A782" s="7">
        <f>IFERROR(Datos!A782,"")</f>
        <v/>
      </c>
      <c r="B782" s="8">
        <f>IFERROR(Datos!B782,"")</f>
        <v/>
      </c>
      <c r="C782" s="8">
        <f>IFERROR(Datos!C782,"")</f>
        <v/>
      </c>
      <c r="D782" s="28">
        <f>IFERROR(IF(AND(ISNUMBER(B782),ISNUMBER(B781),B781&lt;&gt;0),B782/B781-1,""),"")</f>
        <v/>
      </c>
      <c r="E782" s="28">
        <f>IFERROR(IF(AND(ISNUMBER(C782),ISNUMBER(C781),C781&lt;&gt;0),C782/C781-1,""),"")</f>
        <v/>
      </c>
      <c r="F782" s="28">
        <f>IFERROR(D782-Dashboard!$B$4/252,"")</f>
        <v/>
      </c>
      <c r="G782" s="28">
        <f>IFERROR(E782-Dashboard!$B$4/252,"")</f>
        <v/>
      </c>
      <c r="H782" s="8">
        <f>IFERROR(IF(ISNUMBER(B782),MAX(B782,IFERROR(H781,B782)),""),"")</f>
        <v/>
      </c>
      <c r="I782" s="29">
        <f>IFERROR(IF(AND(ISNUMBER(B782),ISNUMBER(H782)),B782/H782-1,""),"")</f>
        <v/>
      </c>
      <c r="J782" s="8">
        <f>IFERROR(IF(ISNUMBER(C782),MAX(C782,IFERROR(J781,C782)),""),"")</f>
        <v/>
      </c>
      <c r="K782" s="29">
        <f>IFERROR(IF(AND(ISNUMBER(C782),ISNUMBER(J782)),C782/J782-1,""),"")</f>
        <v/>
      </c>
      <c r="L782" s="28">
        <f>IFERROR(IF(AND(ISNUMBER(D782),ISNUMBER(E782)),D782-E782,""),"")</f>
        <v/>
      </c>
    </row>
    <row r="783">
      <c r="A783" s="7">
        <f>IFERROR(Datos!A783,"")</f>
        <v/>
      </c>
      <c r="B783" s="8">
        <f>IFERROR(Datos!B783,"")</f>
        <v/>
      </c>
      <c r="C783" s="8">
        <f>IFERROR(Datos!C783,"")</f>
        <v/>
      </c>
      <c r="D783" s="28">
        <f>IFERROR(IF(AND(ISNUMBER(B783),ISNUMBER(B782),B782&lt;&gt;0),B783/B782-1,""),"")</f>
        <v/>
      </c>
      <c r="E783" s="28">
        <f>IFERROR(IF(AND(ISNUMBER(C783),ISNUMBER(C782),C782&lt;&gt;0),C783/C782-1,""),"")</f>
        <v/>
      </c>
      <c r="F783" s="28">
        <f>IFERROR(D783-Dashboard!$B$4/252,"")</f>
        <v/>
      </c>
      <c r="G783" s="28">
        <f>IFERROR(E783-Dashboard!$B$4/252,"")</f>
        <v/>
      </c>
      <c r="H783" s="8">
        <f>IFERROR(IF(ISNUMBER(B783),MAX(B783,IFERROR(H782,B783)),""),"")</f>
        <v/>
      </c>
      <c r="I783" s="29">
        <f>IFERROR(IF(AND(ISNUMBER(B783),ISNUMBER(H783)),B783/H783-1,""),"")</f>
        <v/>
      </c>
      <c r="J783" s="8">
        <f>IFERROR(IF(ISNUMBER(C783),MAX(C783,IFERROR(J782,C783)),""),"")</f>
        <v/>
      </c>
      <c r="K783" s="29">
        <f>IFERROR(IF(AND(ISNUMBER(C783),ISNUMBER(J783)),C783/J783-1,""),"")</f>
        <v/>
      </c>
      <c r="L783" s="28">
        <f>IFERROR(IF(AND(ISNUMBER(D783),ISNUMBER(E783)),D783-E783,""),"")</f>
        <v/>
      </c>
    </row>
    <row r="784">
      <c r="A784" s="7">
        <f>IFERROR(Datos!A784,"")</f>
        <v/>
      </c>
      <c r="B784" s="8">
        <f>IFERROR(Datos!B784,"")</f>
        <v/>
      </c>
      <c r="C784" s="8">
        <f>IFERROR(Datos!C784,"")</f>
        <v/>
      </c>
      <c r="D784" s="28">
        <f>IFERROR(IF(AND(ISNUMBER(B784),ISNUMBER(B783),B783&lt;&gt;0),B784/B783-1,""),"")</f>
        <v/>
      </c>
      <c r="E784" s="28">
        <f>IFERROR(IF(AND(ISNUMBER(C784),ISNUMBER(C783),C783&lt;&gt;0),C784/C783-1,""),"")</f>
        <v/>
      </c>
      <c r="F784" s="28">
        <f>IFERROR(D784-Dashboard!$B$4/252,"")</f>
        <v/>
      </c>
      <c r="G784" s="28">
        <f>IFERROR(E784-Dashboard!$B$4/252,"")</f>
        <v/>
      </c>
      <c r="H784" s="8">
        <f>IFERROR(IF(ISNUMBER(B784),MAX(B784,IFERROR(H783,B784)),""),"")</f>
        <v/>
      </c>
      <c r="I784" s="29">
        <f>IFERROR(IF(AND(ISNUMBER(B784),ISNUMBER(H784)),B784/H784-1,""),"")</f>
        <v/>
      </c>
      <c r="J784" s="8">
        <f>IFERROR(IF(ISNUMBER(C784),MAX(C784,IFERROR(J783,C784)),""),"")</f>
        <v/>
      </c>
      <c r="K784" s="29">
        <f>IFERROR(IF(AND(ISNUMBER(C784),ISNUMBER(J784)),C784/J784-1,""),"")</f>
        <v/>
      </c>
      <c r="L784" s="28">
        <f>IFERROR(IF(AND(ISNUMBER(D784),ISNUMBER(E784)),D784-E784,""),"")</f>
        <v/>
      </c>
    </row>
    <row r="785">
      <c r="A785" s="7">
        <f>IFERROR(Datos!A785,"")</f>
        <v/>
      </c>
      <c r="B785" s="8">
        <f>IFERROR(Datos!B785,"")</f>
        <v/>
      </c>
      <c r="C785" s="8">
        <f>IFERROR(Datos!C785,"")</f>
        <v/>
      </c>
      <c r="D785" s="28">
        <f>IFERROR(IF(AND(ISNUMBER(B785),ISNUMBER(B784),B784&lt;&gt;0),B785/B784-1,""),"")</f>
        <v/>
      </c>
      <c r="E785" s="28">
        <f>IFERROR(IF(AND(ISNUMBER(C785),ISNUMBER(C784),C784&lt;&gt;0),C785/C784-1,""),"")</f>
        <v/>
      </c>
      <c r="F785" s="28">
        <f>IFERROR(D785-Dashboard!$B$4/252,"")</f>
        <v/>
      </c>
      <c r="G785" s="28">
        <f>IFERROR(E785-Dashboard!$B$4/252,"")</f>
        <v/>
      </c>
      <c r="H785" s="8">
        <f>IFERROR(IF(ISNUMBER(B785),MAX(B785,IFERROR(H784,B785)),""),"")</f>
        <v/>
      </c>
      <c r="I785" s="29">
        <f>IFERROR(IF(AND(ISNUMBER(B785),ISNUMBER(H785)),B785/H785-1,""),"")</f>
        <v/>
      </c>
      <c r="J785" s="8">
        <f>IFERROR(IF(ISNUMBER(C785),MAX(C785,IFERROR(J784,C785)),""),"")</f>
        <v/>
      </c>
      <c r="K785" s="29">
        <f>IFERROR(IF(AND(ISNUMBER(C785),ISNUMBER(J785)),C785/J785-1,""),"")</f>
        <v/>
      </c>
      <c r="L785" s="28">
        <f>IFERROR(IF(AND(ISNUMBER(D785),ISNUMBER(E785)),D785-E785,""),"")</f>
        <v/>
      </c>
    </row>
    <row r="786">
      <c r="A786" s="7">
        <f>IFERROR(Datos!A786,"")</f>
        <v/>
      </c>
      <c r="B786" s="8">
        <f>IFERROR(Datos!B786,"")</f>
        <v/>
      </c>
      <c r="C786" s="8">
        <f>IFERROR(Datos!C786,"")</f>
        <v/>
      </c>
      <c r="D786" s="28">
        <f>IFERROR(IF(AND(ISNUMBER(B786),ISNUMBER(B785),B785&lt;&gt;0),B786/B785-1,""),"")</f>
        <v/>
      </c>
      <c r="E786" s="28">
        <f>IFERROR(IF(AND(ISNUMBER(C786),ISNUMBER(C785),C785&lt;&gt;0),C786/C785-1,""),"")</f>
        <v/>
      </c>
      <c r="F786" s="28">
        <f>IFERROR(D786-Dashboard!$B$4/252,"")</f>
        <v/>
      </c>
      <c r="G786" s="28">
        <f>IFERROR(E786-Dashboard!$B$4/252,"")</f>
        <v/>
      </c>
      <c r="H786" s="8">
        <f>IFERROR(IF(ISNUMBER(B786),MAX(B786,IFERROR(H785,B786)),""),"")</f>
        <v/>
      </c>
      <c r="I786" s="29">
        <f>IFERROR(IF(AND(ISNUMBER(B786),ISNUMBER(H786)),B786/H786-1,""),"")</f>
        <v/>
      </c>
      <c r="J786" s="8">
        <f>IFERROR(IF(ISNUMBER(C786),MAX(C786,IFERROR(J785,C786)),""),"")</f>
        <v/>
      </c>
      <c r="K786" s="29">
        <f>IFERROR(IF(AND(ISNUMBER(C786),ISNUMBER(J786)),C786/J786-1,""),"")</f>
        <v/>
      </c>
      <c r="L786" s="28">
        <f>IFERROR(IF(AND(ISNUMBER(D786),ISNUMBER(E786)),D786-E786,""),"")</f>
        <v/>
      </c>
    </row>
    <row r="787">
      <c r="A787" s="7">
        <f>IFERROR(Datos!A787,"")</f>
        <v/>
      </c>
      <c r="B787" s="8">
        <f>IFERROR(Datos!B787,"")</f>
        <v/>
      </c>
      <c r="C787" s="8">
        <f>IFERROR(Datos!C787,"")</f>
        <v/>
      </c>
      <c r="D787" s="28">
        <f>IFERROR(IF(AND(ISNUMBER(B787),ISNUMBER(B786),B786&lt;&gt;0),B787/B786-1,""),"")</f>
        <v/>
      </c>
      <c r="E787" s="28">
        <f>IFERROR(IF(AND(ISNUMBER(C787),ISNUMBER(C786),C786&lt;&gt;0),C787/C786-1,""),"")</f>
        <v/>
      </c>
      <c r="F787" s="28">
        <f>IFERROR(D787-Dashboard!$B$4/252,"")</f>
        <v/>
      </c>
      <c r="G787" s="28">
        <f>IFERROR(E787-Dashboard!$B$4/252,"")</f>
        <v/>
      </c>
      <c r="H787" s="8">
        <f>IFERROR(IF(ISNUMBER(B787),MAX(B787,IFERROR(H786,B787)),""),"")</f>
        <v/>
      </c>
      <c r="I787" s="29">
        <f>IFERROR(IF(AND(ISNUMBER(B787),ISNUMBER(H787)),B787/H787-1,""),"")</f>
        <v/>
      </c>
      <c r="J787" s="8">
        <f>IFERROR(IF(ISNUMBER(C787),MAX(C787,IFERROR(J786,C787)),""),"")</f>
        <v/>
      </c>
      <c r="K787" s="29">
        <f>IFERROR(IF(AND(ISNUMBER(C787),ISNUMBER(J787)),C787/J787-1,""),"")</f>
        <v/>
      </c>
      <c r="L787" s="28">
        <f>IFERROR(IF(AND(ISNUMBER(D787),ISNUMBER(E787)),D787-E787,""),"")</f>
        <v/>
      </c>
    </row>
    <row r="788">
      <c r="A788" s="7">
        <f>IFERROR(Datos!A788,"")</f>
        <v/>
      </c>
      <c r="B788" s="8">
        <f>IFERROR(Datos!B788,"")</f>
        <v/>
      </c>
      <c r="C788" s="8">
        <f>IFERROR(Datos!C788,"")</f>
        <v/>
      </c>
      <c r="D788" s="28">
        <f>IFERROR(IF(AND(ISNUMBER(B788),ISNUMBER(B787),B787&lt;&gt;0),B788/B787-1,""),"")</f>
        <v/>
      </c>
      <c r="E788" s="28">
        <f>IFERROR(IF(AND(ISNUMBER(C788),ISNUMBER(C787),C787&lt;&gt;0),C788/C787-1,""),"")</f>
        <v/>
      </c>
      <c r="F788" s="28">
        <f>IFERROR(D788-Dashboard!$B$4/252,"")</f>
        <v/>
      </c>
      <c r="G788" s="28">
        <f>IFERROR(E788-Dashboard!$B$4/252,"")</f>
        <v/>
      </c>
      <c r="H788" s="8">
        <f>IFERROR(IF(ISNUMBER(B788),MAX(B788,IFERROR(H787,B788)),""),"")</f>
        <v/>
      </c>
      <c r="I788" s="29">
        <f>IFERROR(IF(AND(ISNUMBER(B788),ISNUMBER(H788)),B788/H788-1,""),"")</f>
        <v/>
      </c>
      <c r="J788" s="8">
        <f>IFERROR(IF(ISNUMBER(C788),MAX(C788,IFERROR(J787,C788)),""),"")</f>
        <v/>
      </c>
      <c r="K788" s="29">
        <f>IFERROR(IF(AND(ISNUMBER(C788),ISNUMBER(J788)),C788/J788-1,""),"")</f>
        <v/>
      </c>
      <c r="L788" s="28">
        <f>IFERROR(IF(AND(ISNUMBER(D788),ISNUMBER(E788)),D788-E788,""),"")</f>
        <v/>
      </c>
    </row>
    <row r="789">
      <c r="A789" s="7">
        <f>IFERROR(Datos!A789,"")</f>
        <v/>
      </c>
      <c r="B789" s="8">
        <f>IFERROR(Datos!B789,"")</f>
        <v/>
      </c>
      <c r="C789" s="8">
        <f>IFERROR(Datos!C789,"")</f>
        <v/>
      </c>
      <c r="D789" s="28">
        <f>IFERROR(IF(AND(ISNUMBER(B789),ISNUMBER(B788),B788&lt;&gt;0),B789/B788-1,""),"")</f>
        <v/>
      </c>
      <c r="E789" s="28">
        <f>IFERROR(IF(AND(ISNUMBER(C789),ISNUMBER(C788),C788&lt;&gt;0),C789/C788-1,""),"")</f>
        <v/>
      </c>
      <c r="F789" s="28">
        <f>IFERROR(D789-Dashboard!$B$4/252,"")</f>
        <v/>
      </c>
      <c r="G789" s="28">
        <f>IFERROR(E789-Dashboard!$B$4/252,"")</f>
        <v/>
      </c>
      <c r="H789" s="8">
        <f>IFERROR(IF(ISNUMBER(B789),MAX(B789,IFERROR(H788,B789)),""),"")</f>
        <v/>
      </c>
      <c r="I789" s="29">
        <f>IFERROR(IF(AND(ISNUMBER(B789),ISNUMBER(H789)),B789/H789-1,""),"")</f>
        <v/>
      </c>
      <c r="J789" s="8">
        <f>IFERROR(IF(ISNUMBER(C789),MAX(C789,IFERROR(J788,C789)),""),"")</f>
        <v/>
      </c>
      <c r="K789" s="29">
        <f>IFERROR(IF(AND(ISNUMBER(C789),ISNUMBER(J789)),C789/J789-1,""),"")</f>
        <v/>
      </c>
      <c r="L789" s="28">
        <f>IFERROR(IF(AND(ISNUMBER(D789),ISNUMBER(E789)),D789-E789,""),"")</f>
        <v/>
      </c>
    </row>
    <row r="790">
      <c r="A790" s="7">
        <f>IFERROR(Datos!A790,"")</f>
        <v/>
      </c>
      <c r="B790" s="8">
        <f>IFERROR(Datos!B790,"")</f>
        <v/>
      </c>
      <c r="C790" s="8">
        <f>IFERROR(Datos!C790,"")</f>
        <v/>
      </c>
      <c r="D790" s="28">
        <f>IFERROR(IF(AND(ISNUMBER(B790),ISNUMBER(B789),B789&lt;&gt;0),B790/B789-1,""),"")</f>
        <v/>
      </c>
      <c r="E790" s="28">
        <f>IFERROR(IF(AND(ISNUMBER(C790),ISNUMBER(C789),C789&lt;&gt;0),C790/C789-1,""),"")</f>
        <v/>
      </c>
      <c r="F790" s="28">
        <f>IFERROR(D790-Dashboard!$B$4/252,"")</f>
        <v/>
      </c>
      <c r="G790" s="28">
        <f>IFERROR(E790-Dashboard!$B$4/252,"")</f>
        <v/>
      </c>
      <c r="H790" s="8">
        <f>IFERROR(IF(ISNUMBER(B790),MAX(B790,IFERROR(H789,B790)),""),"")</f>
        <v/>
      </c>
      <c r="I790" s="29">
        <f>IFERROR(IF(AND(ISNUMBER(B790),ISNUMBER(H790)),B790/H790-1,""),"")</f>
        <v/>
      </c>
      <c r="J790" s="8">
        <f>IFERROR(IF(ISNUMBER(C790),MAX(C790,IFERROR(J789,C790)),""),"")</f>
        <v/>
      </c>
      <c r="K790" s="29">
        <f>IFERROR(IF(AND(ISNUMBER(C790),ISNUMBER(J790)),C790/J790-1,""),"")</f>
        <v/>
      </c>
      <c r="L790" s="28">
        <f>IFERROR(IF(AND(ISNUMBER(D790),ISNUMBER(E790)),D790-E790,""),"")</f>
        <v/>
      </c>
    </row>
    <row r="791">
      <c r="A791" s="7">
        <f>IFERROR(Datos!A791,"")</f>
        <v/>
      </c>
      <c r="B791" s="8">
        <f>IFERROR(Datos!B791,"")</f>
        <v/>
      </c>
      <c r="C791" s="8">
        <f>IFERROR(Datos!C791,"")</f>
        <v/>
      </c>
      <c r="D791" s="28">
        <f>IFERROR(IF(AND(ISNUMBER(B791),ISNUMBER(B790),B790&lt;&gt;0),B791/B790-1,""),"")</f>
        <v/>
      </c>
      <c r="E791" s="28">
        <f>IFERROR(IF(AND(ISNUMBER(C791),ISNUMBER(C790),C790&lt;&gt;0),C791/C790-1,""),"")</f>
        <v/>
      </c>
      <c r="F791" s="28">
        <f>IFERROR(D791-Dashboard!$B$4/252,"")</f>
        <v/>
      </c>
      <c r="G791" s="28">
        <f>IFERROR(E791-Dashboard!$B$4/252,"")</f>
        <v/>
      </c>
      <c r="H791" s="8">
        <f>IFERROR(IF(ISNUMBER(B791),MAX(B791,IFERROR(H790,B791)),""),"")</f>
        <v/>
      </c>
      <c r="I791" s="29">
        <f>IFERROR(IF(AND(ISNUMBER(B791),ISNUMBER(H791)),B791/H791-1,""),"")</f>
        <v/>
      </c>
      <c r="J791" s="8">
        <f>IFERROR(IF(ISNUMBER(C791),MAX(C791,IFERROR(J790,C791)),""),"")</f>
        <v/>
      </c>
      <c r="K791" s="29">
        <f>IFERROR(IF(AND(ISNUMBER(C791),ISNUMBER(J791)),C791/J791-1,""),"")</f>
        <v/>
      </c>
      <c r="L791" s="28">
        <f>IFERROR(IF(AND(ISNUMBER(D791),ISNUMBER(E791)),D791-E791,""),"")</f>
        <v/>
      </c>
    </row>
    <row r="792">
      <c r="A792" s="7">
        <f>IFERROR(Datos!A792,"")</f>
        <v/>
      </c>
      <c r="B792" s="8">
        <f>IFERROR(Datos!B792,"")</f>
        <v/>
      </c>
      <c r="C792" s="8">
        <f>IFERROR(Datos!C792,"")</f>
        <v/>
      </c>
      <c r="D792" s="28">
        <f>IFERROR(IF(AND(ISNUMBER(B792),ISNUMBER(B791),B791&lt;&gt;0),B792/B791-1,""),"")</f>
        <v/>
      </c>
      <c r="E792" s="28">
        <f>IFERROR(IF(AND(ISNUMBER(C792),ISNUMBER(C791),C791&lt;&gt;0),C792/C791-1,""),"")</f>
        <v/>
      </c>
      <c r="F792" s="28">
        <f>IFERROR(D792-Dashboard!$B$4/252,"")</f>
        <v/>
      </c>
      <c r="G792" s="28">
        <f>IFERROR(E792-Dashboard!$B$4/252,"")</f>
        <v/>
      </c>
      <c r="H792" s="8">
        <f>IFERROR(IF(ISNUMBER(B792),MAX(B792,IFERROR(H791,B792)),""),"")</f>
        <v/>
      </c>
      <c r="I792" s="29">
        <f>IFERROR(IF(AND(ISNUMBER(B792),ISNUMBER(H792)),B792/H792-1,""),"")</f>
        <v/>
      </c>
      <c r="J792" s="8">
        <f>IFERROR(IF(ISNUMBER(C792),MAX(C792,IFERROR(J791,C792)),""),"")</f>
        <v/>
      </c>
      <c r="K792" s="29">
        <f>IFERROR(IF(AND(ISNUMBER(C792),ISNUMBER(J792)),C792/J792-1,""),"")</f>
        <v/>
      </c>
      <c r="L792" s="28">
        <f>IFERROR(IF(AND(ISNUMBER(D792),ISNUMBER(E792)),D792-E792,""),"")</f>
        <v/>
      </c>
    </row>
    <row r="793">
      <c r="A793" s="7">
        <f>IFERROR(Datos!A793,"")</f>
        <v/>
      </c>
      <c r="B793" s="8">
        <f>IFERROR(Datos!B793,"")</f>
        <v/>
      </c>
      <c r="C793" s="8">
        <f>IFERROR(Datos!C793,"")</f>
        <v/>
      </c>
      <c r="D793" s="28">
        <f>IFERROR(IF(AND(ISNUMBER(B793),ISNUMBER(B792),B792&lt;&gt;0),B793/B792-1,""),"")</f>
        <v/>
      </c>
      <c r="E793" s="28">
        <f>IFERROR(IF(AND(ISNUMBER(C793),ISNUMBER(C792),C792&lt;&gt;0),C793/C792-1,""),"")</f>
        <v/>
      </c>
      <c r="F793" s="28">
        <f>IFERROR(D793-Dashboard!$B$4/252,"")</f>
        <v/>
      </c>
      <c r="G793" s="28">
        <f>IFERROR(E793-Dashboard!$B$4/252,"")</f>
        <v/>
      </c>
      <c r="H793" s="8">
        <f>IFERROR(IF(ISNUMBER(B793),MAX(B793,IFERROR(H792,B793)),""),"")</f>
        <v/>
      </c>
      <c r="I793" s="29">
        <f>IFERROR(IF(AND(ISNUMBER(B793),ISNUMBER(H793)),B793/H793-1,""),"")</f>
        <v/>
      </c>
      <c r="J793" s="8">
        <f>IFERROR(IF(ISNUMBER(C793),MAX(C793,IFERROR(J792,C793)),""),"")</f>
        <v/>
      </c>
      <c r="K793" s="29">
        <f>IFERROR(IF(AND(ISNUMBER(C793),ISNUMBER(J793)),C793/J793-1,""),"")</f>
        <v/>
      </c>
      <c r="L793" s="28">
        <f>IFERROR(IF(AND(ISNUMBER(D793),ISNUMBER(E793)),D793-E793,""),"")</f>
        <v/>
      </c>
    </row>
    <row r="794">
      <c r="A794" s="7">
        <f>IFERROR(Datos!A794,"")</f>
        <v/>
      </c>
      <c r="B794" s="8">
        <f>IFERROR(Datos!B794,"")</f>
        <v/>
      </c>
      <c r="C794" s="8">
        <f>IFERROR(Datos!C794,"")</f>
        <v/>
      </c>
      <c r="D794" s="28">
        <f>IFERROR(IF(AND(ISNUMBER(B794),ISNUMBER(B793),B793&lt;&gt;0),B794/B793-1,""),"")</f>
        <v/>
      </c>
      <c r="E794" s="28">
        <f>IFERROR(IF(AND(ISNUMBER(C794),ISNUMBER(C793),C793&lt;&gt;0),C794/C793-1,""),"")</f>
        <v/>
      </c>
      <c r="F794" s="28">
        <f>IFERROR(D794-Dashboard!$B$4/252,"")</f>
        <v/>
      </c>
      <c r="G794" s="28">
        <f>IFERROR(E794-Dashboard!$B$4/252,"")</f>
        <v/>
      </c>
      <c r="H794" s="8">
        <f>IFERROR(IF(ISNUMBER(B794),MAX(B794,IFERROR(H793,B794)),""),"")</f>
        <v/>
      </c>
      <c r="I794" s="29">
        <f>IFERROR(IF(AND(ISNUMBER(B794),ISNUMBER(H794)),B794/H794-1,""),"")</f>
        <v/>
      </c>
      <c r="J794" s="8">
        <f>IFERROR(IF(ISNUMBER(C794),MAX(C794,IFERROR(J793,C794)),""),"")</f>
        <v/>
      </c>
      <c r="K794" s="29">
        <f>IFERROR(IF(AND(ISNUMBER(C794),ISNUMBER(J794)),C794/J794-1,""),"")</f>
        <v/>
      </c>
      <c r="L794" s="28">
        <f>IFERROR(IF(AND(ISNUMBER(D794),ISNUMBER(E794)),D794-E794,""),"")</f>
        <v/>
      </c>
    </row>
    <row r="795">
      <c r="A795" s="7">
        <f>IFERROR(Datos!A795,"")</f>
        <v/>
      </c>
      <c r="B795" s="8">
        <f>IFERROR(Datos!B795,"")</f>
        <v/>
      </c>
      <c r="C795" s="8">
        <f>IFERROR(Datos!C795,"")</f>
        <v/>
      </c>
      <c r="D795" s="28">
        <f>IFERROR(IF(AND(ISNUMBER(B795),ISNUMBER(B794),B794&lt;&gt;0),B795/B794-1,""),"")</f>
        <v/>
      </c>
      <c r="E795" s="28">
        <f>IFERROR(IF(AND(ISNUMBER(C795),ISNUMBER(C794),C794&lt;&gt;0),C795/C794-1,""),"")</f>
        <v/>
      </c>
      <c r="F795" s="28">
        <f>IFERROR(D795-Dashboard!$B$4/252,"")</f>
        <v/>
      </c>
      <c r="G795" s="28">
        <f>IFERROR(E795-Dashboard!$B$4/252,"")</f>
        <v/>
      </c>
      <c r="H795" s="8">
        <f>IFERROR(IF(ISNUMBER(B795),MAX(B795,IFERROR(H794,B795)),""),"")</f>
        <v/>
      </c>
      <c r="I795" s="29">
        <f>IFERROR(IF(AND(ISNUMBER(B795),ISNUMBER(H795)),B795/H795-1,""),"")</f>
        <v/>
      </c>
      <c r="J795" s="8">
        <f>IFERROR(IF(ISNUMBER(C795),MAX(C795,IFERROR(J794,C795)),""),"")</f>
        <v/>
      </c>
      <c r="K795" s="29">
        <f>IFERROR(IF(AND(ISNUMBER(C795),ISNUMBER(J795)),C795/J795-1,""),"")</f>
        <v/>
      </c>
      <c r="L795" s="28">
        <f>IFERROR(IF(AND(ISNUMBER(D795),ISNUMBER(E795)),D795-E795,""),"")</f>
        <v/>
      </c>
    </row>
    <row r="796">
      <c r="A796" s="7">
        <f>IFERROR(Datos!A796,"")</f>
        <v/>
      </c>
      <c r="B796" s="8">
        <f>IFERROR(Datos!B796,"")</f>
        <v/>
      </c>
      <c r="C796" s="8">
        <f>IFERROR(Datos!C796,"")</f>
        <v/>
      </c>
      <c r="D796" s="28">
        <f>IFERROR(IF(AND(ISNUMBER(B796),ISNUMBER(B795),B795&lt;&gt;0),B796/B795-1,""),"")</f>
        <v/>
      </c>
      <c r="E796" s="28">
        <f>IFERROR(IF(AND(ISNUMBER(C796),ISNUMBER(C795),C795&lt;&gt;0),C796/C795-1,""),"")</f>
        <v/>
      </c>
      <c r="F796" s="28">
        <f>IFERROR(D796-Dashboard!$B$4/252,"")</f>
        <v/>
      </c>
      <c r="G796" s="28">
        <f>IFERROR(E796-Dashboard!$B$4/252,"")</f>
        <v/>
      </c>
      <c r="H796" s="8">
        <f>IFERROR(IF(ISNUMBER(B796),MAX(B796,IFERROR(H795,B796)),""),"")</f>
        <v/>
      </c>
      <c r="I796" s="29">
        <f>IFERROR(IF(AND(ISNUMBER(B796),ISNUMBER(H796)),B796/H796-1,""),"")</f>
        <v/>
      </c>
      <c r="J796" s="8">
        <f>IFERROR(IF(ISNUMBER(C796),MAX(C796,IFERROR(J795,C796)),""),"")</f>
        <v/>
      </c>
      <c r="K796" s="29">
        <f>IFERROR(IF(AND(ISNUMBER(C796),ISNUMBER(J796)),C796/J796-1,""),"")</f>
        <v/>
      </c>
      <c r="L796" s="28">
        <f>IFERROR(IF(AND(ISNUMBER(D796),ISNUMBER(E796)),D796-E796,""),"")</f>
        <v/>
      </c>
    </row>
    <row r="797">
      <c r="A797" s="7">
        <f>IFERROR(Datos!A797,"")</f>
        <v/>
      </c>
      <c r="B797" s="8">
        <f>IFERROR(Datos!B797,"")</f>
        <v/>
      </c>
      <c r="C797" s="8">
        <f>IFERROR(Datos!C797,"")</f>
        <v/>
      </c>
      <c r="D797" s="28">
        <f>IFERROR(IF(AND(ISNUMBER(B797),ISNUMBER(B796),B796&lt;&gt;0),B797/B796-1,""),"")</f>
        <v/>
      </c>
      <c r="E797" s="28">
        <f>IFERROR(IF(AND(ISNUMBER(C797),ISNUMBER(C796),C796&lt;&gt;0),C797/C796-1,""),"")</f>
        <v/>
      </c>
      <c r="F797" s="28">
        <f>IFERROR(D797-Dashboard!$B$4/252,"")</f>
        <v/>
      </c>
      <c r="G797" s="28">
        <f>IFERROR(E797-Dashboard!$B$4/252,"")</f>
        <v/>
      </c>
      <c r="H797" s="8">
        <f>IFERROR(IF(ISNUMBER(B797),MAX(B797,IFERROR(H796,B797)),""),"")</f>
        <v/>
      </c>
      <c r="I797" s="29">
        <f>IFERROR(IF(AND(ISNUMBER(B797),ISNUMBER(H797)),B797/H797-1,""),"")</f>
        <v/>
      </c>
      <c r="J797" s="8">
        <f>IFERROR(IF(ISNUMBER(C797),MAX(C797,IFERROR(J796,C797)),""),"")</f>
        <v/>
      </c>
      <c r="K797" s="29">
        <f>IFERROR(IF(AND(ISNUMBER(C797),ISNUMBER(J797)),C797/J797-1,""),"")</f>
        <v/>
      </c>
      <c r="L797" s="28">
        <f>IFERROR(IF(AND(ISNUMBER(D797),ISNUMBER(E797)),D797-E797,""),"")</f>
        <v/>
      </c>
    </row>
    <row r="798">
      <c r="A798" s="7">
        <f>IFERROR(Datos!A798,"")</f>
        <v/>
      </c>
      <c r="B798" s="8">
        <f>IFERROR(Datos!B798,"")</f>
        <v/>
      </c>
      <c r="C798" s="8">
        <f>IFERROR(Datos!C798,"")</f>
        <v/>
      </c>
      <c r="D798" s="28">
        <f>IFERROR(IF(AND(ISNUMBER(B798),ISNUMBER(B797),B797&lt;&gt;0),B798/B797-1,""),"")</f>
        <v/>
      </c>
      <c r="E798" s="28">
        <f>IFERROR(IF(AND(ISNUMBER(C798),ISNUMBER(C797),C797&lt;&gt;0),C798/C797-1,""),"")</f>
        <v/>
      </c>
      <c r="F798" s="28">
        <f>IFERROR(D798-Dashboard!$B$4/252,"")</f>
        <v/>
      </c>
      <c r="G798" s="28">
        <f>IFERROR(E798-Dashboard!$B$4/252,"")</f>
        <v/>
      </c>
      <c r="H798" s="8">
        <f>IFERROR(IF(ISNUMBER(B798),MAX(B798,IFERROR(H797,B798)),""),"")</f>
        <v/>
      </c>
      <c r="I798" s="29">
        <f>IFERROR(IF(AND(ISNUMBER(B798),ISNUMBER(H798)),B798/H798-1,""),"")</f>
        <v/>
      </c>
      <c r="J798" s="8">
        <f>IFERROR(IF(ISNUMBER(C798),MAX(C798,IFERROR(J797,C798)),""),"")</f>
        <v/>
      </c>
      <c r="K798" s="29">
        <f>IFERROR(IF(AND(ISNUMBER(C798),ISNUMBER(J798)),C798/J798-1,""),"")</f>
        <v/>
      </c>
      <c r="L798" s="28">
        <f>IFERROR(IF(AND(ISNUMBER(D798),ISNUMBER(E798)),D798-E798,""),"")</f>
        <v/>
      </c>
    </row>
    <row r="799">
      <c r="A799" s="7">
        <f>IFERROR(Datos!A799,"")</f>
        <v/>
      </c>
      <c r="B799" s="8">
        <f>IFERROR(Datos!B799,"")</f>
        <v/>
      </c>
      <c r="C799" s="8">
        <f>IFERROR(Datos!C799,"")</f>
        <v/>
      </c>
      <c r="D799" s="28">
        <f>IFERROR(IF(AND(ISNUMBER(B799),ISNUMBER(B798),B798&lt;&gt;0),B799/B798-1,""),"")</f>
        <v/>
      </c>
      <c r="E799" s="28">
        <f>IFERROR(IF(AND(ISNUMBER(C799),ISNUMBER(C798),C798&lt;&gt;0),C799/C798-1,""),"")</f>
        <v/>
      </c>
      <c r="F799" s="28">
        <f>IFERROR(D799-Dashboard!$B$4/252,"")</f>
        <v/>
      </c>
      <c r="G799" s="28">
        <f>IFERROR(E799-Dashboard!$B$4/252,"")</f>
        <v/>
      </c>
      <c r="H799" s="8">
        <f>IFERROR(IF(ISNUMBER(B799),MAX(B799,IFERROR(H798,B799)),""),"")</f>
        <v/>
      </c>
      <c r="I799" s="29">
        <f>IFERROR(IF(AND(ISNUMBER(B799),ISNUMBER(H799)),B799/H799-1,""),"")</f>
        <v/>
      </c>
      <c r="J799" s="8">
        <f>IFERROR(IF(ISNUMBER(C799),MAX(C799,IFERROR(J798,C799)),""),"")</f>
        <v/>
      </c>
      <c r="K799" s="29">
        <f>IFERROR(IF(AND(ISNUMBER(C799),ISNUMBER(J799)),C799/J799-1,""),"")</f>
        <v/>
      </c>
      <c r="L799" s="28">
        <f>IFERROR(IF(AND(ISNUMBER(D799),ISNUMBER(E799)),D799-E799,""),"")</f>
        <v/>
      </c>
    </row>
    <row r="800">
      <c r="A800" s="7">
        <f>IFERROR(Datos!A800,"")</f>
        <v/>
      </c>
      <c r="B800" s="8">
        <f>IFERROR(Datos!B800,"")</f>
        <v/>
      </c>
      <c r="C800" s="8">
        <f>IFERROR(Datos!C800,"")</f>
        <v/>
      </c>
      <c r="D800" s="28">
        <f>IFERROR(IF(AND(ISNUMBER(B800),ISNUMBER(B799),B799&lt;&gt;0),B800/B799-1,""),"")</f>
        <v/>
      </c>
      <c r="E800" s="28">
        <f>IFERROR(IF(AND(ISNUMBER(C800),ISNUMBER(C799),C799&lt;&gt;0),C800/C799-1,""),"")</f>
        <v/>
      </c>
      <c r="F800" s="28">
        <f>IFERROR(D800-Dashboard!$B$4/252,"")</f>
        <v/>
      </c>
      <c r="G800" s="28">
        <f>IFERROR(E800-Dashboard!$B$4/252,"")</f>
        <v/>
      </c>
      <c r="H800" s="8">
        <f>IFERROR(IF(ISNUMBER(B800),MAX(B800,IFERROR(H799,B800)),""),"")</f>
        <v/>
      </c>
      <c r="I800" s="29">
        <f>IFERROR(IF(AND(ISNUMBER(B800),ISNUMBER(H800)),B800/H800-1,""),"")</f>
        <v/>
      </c>
      <c r="J800" s="8">
        <f>IFERROR(IF(ISNUMBER(C800),MAX(C800,IFERROR(J799,C800)),""),"")</f>
        <v/>
      </c>
      <c r="K800" s="29">
        <f>IFERROR(IF(AND(ISNUMBER(C800),ISNUMBER(J800)),C800/J800-1,""),"")</f>
        <v/>
      </c>
      <c r="L800" s="28">
        <f>IFERROR(IF(AND(ISNUMBER(D800),ISNUMBER(E800)),D800-E800,""),"")</f>
        <v/>
      </c>
    </row>
    <row r="801">
      <c r="A801" s="7">
        <f>IFERROR(Datos!A801,"")</f>
        <v/>
      </c>
      <c r="B801" s="8">
        <f>IFERROR(Datos!B801,"")</f>
        <v/>
      </c>
      <c r="C801" s="8">
        <f>IFERROR(Datos!C801,"")</f>
        <v/>
      </c>
      <c r="D801" s="28">
        <f>IFERROR(IF(AND(ISNUMBER(B801),ISNUMBER(B800),B800&lt;&gt;0),B801/B800-1,""),"")</f>
        <v/>
      </c>
      <c r="E801" s="28">
        <f>IFERROR(IF(AND(ISNUMBER(C801),ISNUMBER(C800),C800&lt;&gt;0),C801/C800-1,""),"")</f>
        <v/>
      </c>
      <c r="F801" s="28">
        <f>IFERROR(D801-Dashboard!$B$4/252,"")</f>
        <v/>
      </c>
      <c r="G801" s="28">
        <f>IFERROR(E801-Dashboard!$B$4/252,"")</f>
        <v/>
      </c>
      <c r="H801" s="8">
        <f>IFERROR(IF(ISNUMBER(B801),MAX(B801,IFERROR(H800,B801)),""),"")</f>
        <v/>
      </c>
      <c r="I801" s="29">
        <f>IFERROR(IF(AND(ISNUMBER(B801),ISNUMBER(H801)),B801/H801-1,""),"")</f>
        <v/>
      </c>
      <c r="J801" s="8">
        <f>IFERROR(IF(ISNUMBER(C801),MAX(C801,IFERROR(J800,C801)),""),"")</f>
        <v/>
      </c>
      <c r="K801" s="29">
        <f>IFERROR(IF(AND(ISNUMBER(C801),ISNUMBER(J801)),C801/J801-1,""),"")</f>
        <v/>
      </c>
      <c r="L801" s="28">
        <f>IFERROR(IF(AND(ISNUMBER(D801),ISNUMBER(E801)),D801-E801,""),"")</f>
        <v/>
      </c>
    </row>
    <row r="802">
      <c r="A802" s="7">
        <f>IFERROR(Datos!A802,"")</f>
        <v/>
      </c>
      <c r="B802" s="8">
        <f>IFERROR(Datos!B802,"")</f>
        <v/>
      </c>
      <c r="C802" s="8">
        <f>IFERROR(Datos!C802,"")</f>
        <v/>
      </c>
      <c r="D802" s="28">
        <f>IFERROR(IF(AND(ISNUMBER(B802),ISNUMBER(B801),B801&lt;&gt;0),B802/B801-1,""),"")</f>
        <v/>
      </c>
      <c r="E802" s="28">
        <f>IFERROR(IF(AND(ISNUMBER(C802),ISNUMBER(C801),C801&lt;&gt;0),C802/C801-1,""),"")</f>
        <v/>
      </c>
      <c r="F802" s="28">
        <f>IFERROR(D802-Dashboard!$B$4/252,"")</f>
        <v/>
      </c>
      <c r="G802" s="28">
        <f>IFERROR(E802-Dashboard!$B$4/252,"")</f>
        <v/>
      </c>
      <c r="H802" s="8">
        <f>IFERROR(IF(ISNUMBER(B802),MAX(B802,IFERROR(H801,B802)),""),"")</f>
        <v/>
      </c>
      <c r="I802" s="29">
        <f>IFERROR(IF(AND(ISNUMBER(B802),ISNUMBER(H802)),B802/H802-1,""),"")</f>
        <v/>
      </c>
      <c r="J802" s="8">
        <f>IFERROR(IF(ISNUMBER(C802),MAX(C802,IFERROR(J801,C802)),""),"")</f>
        <v/>
      </c>
      <c r="K802" s="29">
        <f>IFERROR(IF(AND(ISNUMBER(C802),ISNUMBER(J802)),C802/J802-1,""),"")</f>
        <v/>
      </c>
      <c r="L802" s="28">
        <f>IFERROR(IF(AND(ISNUMBER(D802),ISNUMBER(E802)),D802-E802,""),"")</f>
        <v/>
      </c>
    </row>
    <row r="803">
      <c r="A803" s="7">
        <f>IFERROR(Datos!A803,"")</f>
        <v/>
      </c>
      <c r="B803" s="8">
        <f>IFERROR(Datos!B803,"")</f>
        <v/>
      </c>
      <c r="C803" s="8">
        <f>IFERROR(Datos!C803,"")</f>
        <v/>
      </c>
      <c r="D803" s="28">
        <f>IFERROR(IF(AND(ISNUMBER(B803),ISNUMBER(B802),B802&lt;&gt;0),B803/B802-1,""),"")</f>
        <v/>
      </c>
      <c r="E803" s="28">
        <f>IFERROR(IF(AND(ISNUMBER(C803),ISNUMBER(C802),C802&lt;&gt;0),C803/C802-1,""),"")</f>
        <v/>
      </c>
      <c r="F803" s="28">
        <f>IFERROR(D803-Dashboard!$B$4/252,"")</f>
        <v/>
      </c>
      <c r="G803" s="28">
        <f>IFERROR(E803-Dashboard!$B$4/252,"")</f>
        <v/>
      </c>
      <c r="H803" s="8">
        <f>IFERROR(IF(ISNUMBER(B803),MAX(B803,IFERROR(H802,B803)),""),"")</f>
        <v/>
      </c>
      <c r="I803" s="29">
        <f>IFERROR(IF(AND(ISNUMBER(B803),ISNUMBER(H803)),B803/H803-1,""),"")</f>
        <v/>
      </c>
      <c r="J803" s="8">
        <f>IFERROR(IF(ISNUMBER(C803),MAX(C803,IFERROR(J802,C803)),""),"")</f>
        <v/>
      </c>
      <c r="K803" s="29">
        <f>IFERROR(IF(AND(ISNUMBER(C803),ISNUMBER(J803)),C803/J803-1,""),"")</f>
        <v/>
      </c>
      <c r="L803" s="28">
        <f>IFERROR(IF(AND(ISNUMBER(D803),ISNUMBER(E803)),D803-E803,""),"")</f>
        <v/>
      </c>
    </row>
    <row r="804">
      <c r="A804" s="7">
        <f>IFERROR(Datos!A804,"")</f>
        <v/>
      </c>
      <c r="B804" s="8">
        <f>IFERROR(Datos!B804,"")</f>
        <v/>
      </c>
      <c r="C804" s="8">
        <f>IFERROR(Datos!C804,"")</f>
        <v/>
      </c>
      <c r="D804" s="28">
        <f>IFERROR(IF(AND(ISNUMBER(B804),ISNUMBER(B803),B803&lt;&gt;0),B804/B803-1,""),"")</f>
        <v/>
      </c>
      <c r="E804" s="28">
        <f>IFERROR(IF(AND(ISNUMBER(C804),ISNUMBER(C803),C803&lt;&gt;0),C804/C803-1,""),"")</f>
        <v/>
      </c>
      <c r="F804" s="28">
        <f>IFERROR(D804-Dashboard!$B$4/252,"")</f>
        <v/>
      </c>
      <c r="G804" s="28">
        <f>IFERROR(E804-Dashboard!$B$4/252,"")</f>
        <v/>
      </c>
      <c r="H804" s="8">
        <f>IFERROR(IF(ISNUMBER(B804),MAX(B804,IFERROR(H803,B804)),""),"")</f>
        <v/>
      </c>
      <c r="I804" s="29">
        <f>IFERROR(IF(AND(ISNUMBER(B804),ISNUMBER(H804)),B804/H804-1,""),"")</f>
        <v/>
      </c>
      <c r="J804" s="8">
        <f>IFERROR(IF(ISNUMBER(C804),MAX(C804,IFERROR(J803,C804)),""),"")</f>
        <v/>
      </c>
      <c r="K804" s="29">
        <f>IFERROR(IF(AND(ISNUMBER(C804),ISNUMBER(J804)),C804/J804-1,""),"")</f>
        <v/>
      </c>
      <c r="L804" s="28">
        <f>IFERROR(IF(AND(ISNUMBER(D804),ISNUMBER(E804)),D804-E804,""),"")</f>
        <v/>
      </c>
    </row>
    <row r="805">
      <c r="A805" s="7">
        <f>IFERROR(Datos!A805,"")</f>
        <v/>
      </c>
      <c r="B805" s="8">
        <f>IFERROR(Datos!B805,"")</f>
        <v/>
      </c>
      <c r="C805" s="8">
        <f>IFERROR(Datos!C805,"")</f>
        <v/>
      </c>
      <c r="D805" s="28">
        <f>IFERROR(IF(AND(ISNUMBER(B805),ISNUMBER(B804),B804&lt;&gt;0),B805/B804-1,""),"")</f>
        <v/>
      </c>
      <c r="E805" s="28">
        <f>IFERROR(IF(AND(ISNUMBER(C805),ISNUMBER(C804),C804&lt;&gt;0),C805/C804-1,""),"")</f>
        <v/>
      </c>
      <c r="F805" s="28">
        <f>IFERROR(D805-Dashboard!$B$4/252,"")</f>
        <v/>
      </c>
      <c r="G805" s="28">
        <f>IFERROR(E805-Dashboard!$B$4/252,"")</f>
        <v/>
      </c>
      <c r="H805" s="8">
        <f>IFERROR(IF(ISNUMBER(B805),MAX(B805,IFERROR(H804,B805)),""),"")</f>
        <v/>
      </c>
      <c r="I805" s="29">
        <f>IFERROR(IF(AND(ISNUMBER(B805),ISNUMBER(H805)),B805/H805-1,""),"")</f>
        <v/>
      </c>
      <c r="J805" s="8">
        <f>IFERROR(IF(ISNUMBER(C805),MAX(C805,IFERROR(J804,C805)),""),"")</f>
        <v/>
      </c>
      <c r="K805" s="29">
        <f>IFERROR(IF(AND(ISNUMBER(C805),ISNUMBER(J805)),C805/J805-1,""),"")</f>
        <v/>
      </c>
      <c r="L805" s="28">
        <f>IFERROR(IF(AND(ISNUMBER(D805),ISNUMBER(E805)),D805-E805,""),"")</f>
        <v/>
      </c>
    </row>
    <row r="806">
      <c r="A806" s="7">
        <f>IFERROR(Datos!A806,"")</f>
        <v/>
      </c>
      <c r="B806" s="8">
        <f>IFERROR(Datos!B806,"")</f>
        <v/>
      </c>
      <c r="C806" s="8">
        <f>IFERROR(Datos!C806,"")</f>
        <v/>
      </c>
      <c r="D806" s="28">
        <f>IFERROR(IF(AND(ISNUMBER(B806),ISNUMBER(B805),B805&lt;&gt;0),B806/B805-1,""),"")</f>
        <v/>
      </c>
      <c r="E806" s="28">
        <f>IFERROR(IF(AND(ISNUMBER(C806),ISNUMBER(C805),C805&lt;&gt;0),C806/C805-1,""),"")</f>
        <v/>
      </c>
      <c r="F806" s="28">
        <f>IFERROR(D806-Dashboard!$B$4/252,"")</f>
        <v/>
      </c>
      <c r="G806" s="28">
        <f>IFERROR(E806-Dashboard!$B$4/252,"")</f>
        <v/>
      </c>
      <c r="H806" s="8">
        <f>IFERROR(IF(ISNUMBER(B806),MAX(B806,IFERROR(H805,B806)),""),"")</f>
        <v/>
      </c>
      <c r="I806" s="29">
        <f>IFERROR(IF(AND(ISNUMBER(B806),ISNUMBER(H806)),B806/H806-1,""),"")</f>
        <v/>
      </c>
      <c r="J806" s="8">
        <f>IFERROR(IF(ISNUMBER(C806),MAX(C806,IFERROR(J805,C806)),""),"")</f>
        <v/>
      </c>
      <c r="K806" s="29">
        <f>IFERROR(IF(AND(ISNUMBER(C806),ISNUMBER(J806)),C806/J806-1,""),"")</f>
        <v/>
      </c>
      <c r="L806" s="28">
        <f>IFERROR(IF(AND(ISNUMBER(D806),ISNUMBER(E806)),D806-E806,""),"")</f>
        <v/>
      </c>
    </row>
    <row r="807">
      <c r="A807" s="7">
        <f>IFERROR(Datos!A807,"")</f>
        <v/>
      </c>
      <c r="B807" s="8">
        <f>IFERROR(Datos!B807,"")</f>
        <v/>
      </c>
      <c r="C807" s="8">
        <f>IFERROR(Datos!C807,"")</f>
        <v/>
      </c>
      <c r="D807" s="28">
        <f>IFERROR(IF(AND(ISNUMBER(B807),ISNUMBER(B806),B806&lt;&gt;0),B807/B806-1,""),"")</f>
        <v/>
      </c>
      <c r="E807" s="28">
        <f>IFERROR(IF(AND(ISNUMBER(C807),ISNUMBER(C806),C806&lt;&gt;0),C807/C806-1,""),"")</f>
        <v/>
      </c>
      <c r="F807" s="28">
        <f>IFERROR(D807-Dashboard!$B$4/252,"")</f>
        <v/>
      </c>
      <c r="G807" s="28">
        <f>IFERROR(E807-Dashboard!$B$4/252,"")</f>
        <v/>
      </c>
      <c r="H807" s="8">
        <f>IFERROR(IF(ISNUMBER(B807),MAX(B807,IFERROR(H806,B807)),""),"")</f>
        <v/>
      </c>
      <c r="I807" s="29">
        <f>IFERROR(IF(AND(ISNUMBER(B807),ISNUMBER(H807)),B807/H807-1,""),"")</f>
        <v/>
      </c>
      <c r="J807" s="8">
        <f>IFERROR(IF(ISNUMBER(C807),MAX(C807,IFERROR(J806,C807)),""),"")</f>
        <v/>
      </c>
      <c r="K807" s="29">
        <f>IFERROR(IF(AND(ISNUMBER(C807),ISNUMBER(J807)),C807/J807-1,""),"")</f>
        <v/>
      </c>
      <c r="L807" s="28">
        <f>IFERROR(IF(AND(ISNUMBER(D807),ISNUMBER(E807)),D807-E807,""),"")</f>
        <v/>
      </c>
    </row>
    <row r="808">
      <c r="A808" s="7">
        <f>IFERROR(Datos!A808,"")</f>
        <v/>
      </c>
      <c r="B808" s="8">
        <f>IFERROR(Datos!B808,"")</f>
        <v/>
      </c>
      <c r="C808" s="8">
        <f>IFERROR(Datos!C808,"")</f>
        <v/>
      </c>
      <c r="D808" s="28">
        <f>IFERROR(IF(AND(ISNUMBER(B808),ISNUMBER(B807),B807&lt;&gt;0),B808/B807-1,""),"")</f>
        <v/>
      </c>
      <c r="E808" s="28">
        <f>IFERROR(IF(AND(ISNUMBER(C808),ISNUMBER(C807),C807&lt;&gt;0),C808/C807-1,""),"")</f>
        <v/>
      </c>
      <c r="F808" s="28">
        <f>IFERROR(D808-Dashboard!$B$4/252,"")</f>
        <v/>
      </c>
      <c r="G808" s="28">
        <f>IFERROR(E808-Dashboard!$B$4/252,"")</f>
        <v/>
      </c>
      <c r="H808" s="8">
        <f>IFERROR(IF(ISNUMBER(B808),MAX(B808,IFERROR(H807,B808)),""),"")</f>
        <v/>
      </c>
      <c r="I808" s="29">
        <f>IFERROR(IF(AND(ISNUMBER(B808),ISNUMBER(H808)),B808/H808-1,""),"")</f>
        <v/>
      </c>
      <c r="J808" s="8">
        <f>IFERROR(IF(ISNUMBER(C808),MAX(C808,IFERROR(J807,C808)),""),"")</f>
        <v/>
      </c>
      <c r="K808" s="29">
        <f>IFERROR(IF(AND(ISNUMBER(C808),ISNUMBER(J808)),C808/J808-1,""),"")</f>
        <v/>
      </c>
      <c r="L808" s="28">
        <f>IFERROR(IF(AND(ISNUMBER(D808),ISNUMBER(E808)),D808-E808,""),"")</f>
        <v/>
      </c>
    </row>
    <row r="809">
      <c r="A809" s="7">
        <f>IFERROR(Datos!A809,"")</f>
        <v/>
      </c>
      <c r="B809" s="8">
        <f>IFERROR(Datos!B809,"")</f>
        <v/>
      </c>
      <c r="C809" s="8">
        <f>IFERROR(Datos!C809,"")</f>
        <v/>
      </c>
      <c r="D809" s="28">
        <f>IFERROR(IF(AND(ISNUMBER(B809),ISNUMBER(B808),B808&lt;&gt;0),B809/B808-1,""),"")</f>
        <v/>
      </c>
      <c r="E809" s="28">
        <f>IFERROR(IF(AND(ISNUMBER(C809),ISNUMBER(C808),C808&lt;&gt;0),C809/C808-1,""),"")</f>
        <v/>
      </c>
      <c r="F809" s="28">
        <f>IFERROR(D809-Dashboard!$B$4/252,"")</f>
        <v/>
      </c>
      <c r="G809" s="28">
        <f>IFERROR(E809-Dashboard!$B$4/252,"")</f>
        <v/>
      </c>
      <c r="H809" s="8">
        <f>IFERROR(IF(ISNUMBER(B809),MAX(B809,IFERROR(H808,B809)),""),"")</f>
        <v/>
      </c>
      <c r="I809" s="29">
        <f>IFERROR(IF(AND(ISNUMBER(B809),ISNUMBER(H809)),B809/H809-1,""),"")</f>
        <v/>
      </c>
      <c r="J809" s="8">
        <f>IFERROR(IF(ISNUMBER(C809),MAX(C809,IFERROR(J808,C809)),""),"")</f>
        <v/>
      </c>
      <c r="K809" s="29">
        <f>IFERROR(IF(AND(ISNUMBER(C809),ISNUMBER(J809)),C809/J809-1,""),"")</f>
        <v/>
      </c>
      <c r="L809" s="28">
        <f>IFERROR(IF(AND(ISNUMBER(D809),ISNUMBER(E809)),D809-E809,""),"")</f>
        <v/>
      </c>
    </row>
    <row r="810">
      <c r="A810" s="7">
        <f>IFERROR(Datos!A810,"")</f>
        <v/>
      </c>
      <c r="B810" s="8">
        <f>IFERROR(Datos!B810,"")</f>
        <v/>
      </c>
      <c r="C810" s="8">
        <f>IFERROR(Datos!C810,"")</f>
        <v/>
      </c>
      <c r="D810" s="28">
        <f>IFERROR(IF(AND(ISNUMBER(B810),ISNUMBER(B809),B809&lt;&gt;0),B810/B809-1,""),"")</f>
        <v/>
      </c>
      <c r="E810" s="28">
        <f>IFERROR(IF(AND(ISNUMBER(C810),ISNUMBER(C809),C809&lt;&gt;0),C810/C809-1,""),"")</f>
        <v/>
      </c>
      <c r="F810" s="28">
        <f>IFERROR(D810-Dashboard!$B$4/252,"")</f>
        <v/>
      </c>
      <c r="G810" s="28">
        <f>IFERROR(E810-Dashboard!$B$4/252,"")</f>
        <v/>
      </c>
      <c r="H810" s="8">
        <f>IFERROR(IF(ISNUMBER(B810),MAX(B810,IFERROR(H809,B810)),""),"")</f>
        <v/>
      </c>
      <c r="I810" s="29">
        <f>IFERROR(IF(AND(ISNUMBER(B810),ISNUMBER(H810)),B810/H810-1,""),"")</f>
        <v/>
      </c>
      <c r="J810" s="8">
        <f>IFERROR(IF(ISNUMBER(C810),MAX(C810,IFERROR(J809,C810)),""),"")</f>
        <v/>
      </c>
      <c r="K810" s="29">
        <f>IFERROR(IF(AND(ISNUMBER(C810),ISNUMBER(J810)),C810/J810-1,""),"")</f>
        <v/>
      </c>
      <c r="L810" s="28">
        <f>IFERROR(IF(AND(ISNUMBER(D810),ISNUMBER(E810)),D810-E810,""),"")</f>
        <v/>
      </c>
    </row>
    <row r="811">
      <c r="A811" s="7">
        <f>IFERROR(Datos!A811,"")</f>
        <v/>
      </c>
      <c r="B811" s="8">
        <f>IFERROR(Datos!B811,"")</f>
        <v/>
      </c>
      <c r="C811" s="8">
        <f>IFERROR(Datos!C811,"")</f>
        <v/>
      </c>
      <c r="D811" s="28">
        <f>IFERROR(IF(AND(ISNUMBER(B811),ISNUMBER(B810),B810&lt;&gt;0),B811/B810-1,""),"")</f>
        <v/>
      </c>
      <c r="E811" s="28">
        <f>IFERROR(IF(AND(ISNUMBER(C811),ISNUMBER(C810),C810&lt;&gt;0),C811/C810-1,""),"")</f>
        <v/>
      </c>
      <c r="F811" s="28">
        <f>IFERROR(D811-Dashboard!$B$4/252,"")</f>
        <v/>
      </c>
      <c r="G811" s="28">
        <f>IFERROR(E811-Dashboard!$B$4/252,"")</f>
        <v/>
      </c>
      <c r="H811" s="8">
        <f>IFERROR(IF(ISNUMBER(B811),MAX(B811,IFERROR(H810,B811)),""),"")</f>
        <v/>
      </c>
      <c r="I811" s="29">
        <f>IFERROR(IF(AND(ISNUMBER(B811),ISNUMBER(H811)),B811/H811-1,""),"")</f>
        <v/>
      </c>
      <c r="J811" s="8">
        <f>IFERROR(IF(ISNUMBER(C811),MAX(C811,IFERROR(J810,C811)),""),"")</f>
        <v/>
      </c>
      <c r="K811" s="29">
        <f>IFERROR(IF(AND(ISNUMBER(C811),ISNUMBER(J811)),C811/J811-1,""),"")</f>
        <v/>
      </c>
      <c r="L811" s="28">
        <f>IFERROR(IF(AND(ISNUMBER(D811),ISNUMBER(E811)),D811-E811,""),"")</f>
        <v/>
      </c>
    </row>
    <row r="812">
      <c r="A812" s="7">
        <f>IFERROR(Datos!A812,"")</f>
        <v/>
      </c>
      <c r="B812" s="8">
        <f>IFERROR(Datos!B812,"")</f>
        <v/>
      </c>
      <c r="C812" s="8">
        <f>IFERROR(Datos!C812,"")</f>
        <v/>
      </c>
      <c r="D812" s="28">
        <f>IFERROR(IF(AND(ISNUMBER(B812),ISNUMBER(B811),B811&lt;&gt;0),B812/B811-1,""),"")</f>
        <v/>
      </c>
      <c r="E812" s="28">
        <f>IFERROR(IF(AND(ISNUMBER(C812),ISNUMBER(C811),C811&lt;&gt;0),C812/C811-1,""),"")</f>
        <v/>
      </c>
      <c r="F812" s="28">
        <f>IFERROR(D812-Dashboard!$B$4/252,"")</f>
        <v/>
      </c>
      <c r="G812" s="28">
        <f>IFERROR(E812-Dashboard!$B$4/252,"")</f>
        <v/>
      </c>
      <c r="H812" s="8">
        <f>IFERROR(IF(ISNUMBER(B812),MAX(B812,IFERROR(H811,B812)),""),"")</f>
        <v/>
      </c>
      <c r="I812" s="29">
        <f>IFERROR(IF(AND(ISNUMBER(B812),ISNUMBER(H812)),B812/H812-1,""),"")</f>
        <v/>
      </c>
      <c r="J812" s="8">
        <f>IFERROR(IF(ISNUMBER(C812),MAX(C812,IFERROR(J811,C812)),""),"")</f>
        <v/>
      </c>
      <c r="K812" s="29">
        <f>IFERROR(IF(AND(ISNUMBER(C812),ISNUMBER(J812)),C812/J812-1,""),"")</f>
        <v/>
      </c>
      <c r="L812" s="28">
        <f>IFERROR(IF(AND(ISNUMBER(D812),ISNUMBER(E812)),D812-E812,""),"")</f>
        <v/>
      </c>
    </row>
    <row r="813">
      <c r="A813" s="7">
        <f>IFERROR(Datos!A813,"")</f>
        <v/>
      </c>
      <c r="B813" s="8">
        <f>IFERROR(Datos!B813,"")</f>
        <v/>
      </c>
      <c r="C813" s="8">
        <f>IFERROR(Datos!C813,"")</f>
        <v/>
      </c>
      <c r="D813" s="28">
        <f>IFERROR(IF(AND(ISNUMBER(B813),ISNUMBER(B812),B812&lt;&gt;0),B813/B812-1,""),"")</f>
        <v/>
      </c>
      <c r="E813" s="28">
        <f>IFERROR(IF(AND(ISNUMBER(C813),ISNUMBER(C812),C812&lt;&gt;0),C813/C812-1,""),"")</f>
        <v/>
      </c>
      <c r="F813" s="28">
        <f>IFERROR(D813-Dashboard!$B$4/252,"")</f>
        <v/>
      </c>
      <c r="G813" s="28">
        <f>IFERROR(E813-Dashboard!$B$4/252,"")</f>
        <v/>
      </c>
      <c r="H813" s="8">
        <f>IFERROR(IF(ISNUMBER(B813),MAX(B813,IFERROR(H812,B813)),""),"")</f>
        <v/>
      </c>
      <c r="I813" s="29">
        <f>IFERROR(IF(AND(ISNUMBER(B813),ISNUMBER(H813)),B813/H813-1,""),"")</f>
        <v/>
      </c>
      <c r="J813" s="8">
        <f>IFERROR(IF(ISNUMBER(C813),MAX(C813,IFERROR(J812,C813)),""),"")</f>
        <v/>
      </c>
      <c r="K813" s="29">
        <f>IFERROR(IF(AND(ISNUMBER(C813),ISNUMBER(J813)),C813/J813-1,""),"")</f>
        <v/>
      </c>
      <c r="L813" s="28">
        <f>IFERROR(IF(AND(ISNUMBER(D813),ISNUMBER(E813)),D813-E813,""),"")</f>
        <v/>
      </c>
    </row>
    <row r="814">
      <c r="A814" s="7">
        <f>IFERROR(Datos!A814,"")</f>
        <v/>
      </c>
      <c r="B814" s="8">
        <f>IFERROR(Datos!B814,"")</f>
        <v/>
      </c>
      <c r="C814" s="8">
        <f>IFERROR(Datos!C814,"")</f>
        <v/>
      </c>
      <c r="D814" s="28">
        <f>IFERROR(IF(AND(ISNUMBER(B814),ISNUMBER(B813),B813&lt;&gt;0),B814/B813-1,""),"")</f>
        <v/>
      </c>
      <c r="E814" s="28">
        <f>IFERROR(IF(AND(ISNUMBER(C814),ISNUMBER(C813),C813&lt;&gt;0),C814/C813-1,""),"")</f>
        <v/>
      </c>
      <c r="F814" s="28">
        <f>IFERROR(D814-Dashboard!$B$4/252,"")</f>
        <v/>
      </c>
      <c r="G814" s="28">
        <f>IFERROR(E814-Dashboard!$B$4/252,"")</f>
        <v/>
      </c>
      <c r="H814" s="8">
        <f>IFERROR(IF(ISNUMBER(B814),MAX(B814,IFERROR(H813,B814)),""),"")</f>
        <v/>
      </c>
      <c r="I814" s="29">
        <f>IFERROR(IF(AND(ISNUMBER(B814),ISNUMBER(H814)),B814/H814-1,""),"")</f>
        <v/>
      </c>
      <c r="J814" s="8">
        <f>IFERROR(IF(ISNUMBER(C814),MAX(C814,IFERROR(J813,C814)),""),"")</f>
        <v/>
      </c>
      <c r="K814" s="29">
        <f>IFERROR(IF(AND(ISNUMBER(C814),ISNUMBER(J814)),C814/J814-1,""),"")</f>
        <v/>
      </c>
      <c r="L814" s="28">
        <f>IFERROR(IF(AND(ISNUMBER(D814),ISNUMBER(E814)),D814-E814,""),"")</f>
        <v/>
      </c>
    </row>
    <row r="815">
      <c r="A815" s="7">
        <f>IFERROR(Datos!A815,"")</f>
        <v/>
      </c>
      <c r="B815" s="8">
        <f>IFERROR(Datos!B815,"")</f>
        <v/>
      </c>
      <c r="C815" s="8">
        <f>IFERROR(Datos!C815,"")</f>
        <v/>
      </c>
      <c r="D815" s="28">
        <f>IFERROR(IF(AND(ISNUMBER(B815),ISNUMBER(B814),B814&lt;&gt;0),B815/B814-1,""),"")</f>
        <v/>
      </c>
      <c r="E815" s="28">
        <f>IFERROR(IF(AND(ISNUMBER(C815),ISNUMBER(C814),C814&lt;&gt;0),C815/C814-1,""),"")</f>
        <v/>
      </c>
      <c r="F815" s="28">
        <f>IFERROR(D815-Dashboard!$B$4/252,"")</f>
        <v/>
      </c>
      <c r="G815" s="28">
        <f>IFERROR(E815-Dashboard!$B$4/252,"")</f>
        <v/>
      </c>
      <c r="H815" s="8">
        <f>IFERROR(IF(ISNUMBER(B815),MAX(B815,IFERROR(H814,B815)),""),"")</f>
        <v/>
      </c>
      <c r="I815" s="29">
        <f>IFERROR(IF(AND(ISNUMBER(B815),ISNUMBER(H815)),B815/H815-1,""),"")</f>
        <v/>
      </c>
      <c r="J815" s="8">
        <f>IFERROR(IF(ISNUMBER(C815),MAX(C815,IFERROR(J814,C815)),""),"")</f>
        <v/>
      </c>
      <c r="K815" s="29">
        <f>IFERROR(IF(AND(ISNUMBER(C815),ISNUMBER(J815)),C815/J815-1,""),"")</f>
        <v/>
      </c>
      <c r="L815" s="28">
        <f>IFERROR(IF(AND(ISNUMBER(D815),ISNUMBER(E815)),D815-E815,""),"")</f>
        <v/>
      </c>
    </row>
    <row r="816">
      <c r="A816" s="7">
        <f>IFERROR(Datos!A816,"")</f>
        <v/>
      </c>
      <c r="B816" s="8">
        <f>IFERROR(Datos!B816,"")</f>
        <v/>
      </c>
      <c r="C816" s="8">
        <f>IFERROR(Datos!C816,"")</f>
        <v/>
      </c>
      <c r="D816" s="28">
        <f>IFERROR(IF(AND(ISNUMBER(B816),ISNUMBER(B815),B815&lt;&gt;0),B816/B815-1,""),"")</f>
        <v/>
      </c>
      <c r="E816" s="28">
        <f>IFERROR(IF(AND(ISNUMBER(C816),ISNUMBER(C815),C815&lt;&gt;0),C816/C815-1,""),"")</f>
        <v/>
      </c>
      <c r="F816" s="28">
        <f>IFERROR(D816-Dashboard!$B$4/252,"")</f>
        <v/>
      </c>
      <c r="G816" s="28">
        <f>IFERROR(E816-Dashboard!$B$4/252,"")</f>
        <v/>
      </c>
      <c r="H816" s="8">
        <f>IFERROR(IF(ISNUMBER(B816),MAX(B816,IFERROR(H815,B816)),""),"")</f>
        <v/>
      </c>
      <c r="I816" s="29">
        <f>IFERROR(IF(AND(ISNUMBER(B816),ISNUMBER(H816)),B816/H816-1,""),"")</f>
        <v/>
      </c>
      <c r="J816" s="8">
        <f>IFERROR(IF(ISNUMBER(C816),MAX(C816,IFERROR(J815,C816)),""),"")</f>
        <v/>
      </c>
      <c r="K816" s="29">
        <f>IFERROR(IF(AND(ISNUMBER(C816),ISNUMBER(J816)),C816/J816-1,""),"")</f>
        <v/>
      </c>
      <c r="L816" s="28">
        <f>IFERROR(IF(AND(ISNUMBER(D816),ISNUMBER(E816)),D816-E816,""),"")</f>
        <v/>
      </c>
    </row>
    <row r="817">
      <c r="A817" s="7">
        <f>IFERROR(Datos!A817,"")</f>
        <v/>
      </c>
      <c r="B817" s="8">
        <f>IFERROR(Datos!B817,"")</f>
        <v/>
      </c>
      <c r="C817" s="8">
        <f>IFERROR(Datos!C817,"")</f>
        <v/>
      </c>
      <c r="D817" s="28">
        <f>IFERROR(IF(AND(ISNUMBER(B817),ISNUMBER(B816),B816&lt;&gt;0),B817/B816-1,""),"")</f>
        <v/>
      </c>
      <c r="E817" s="28">
        <f>IFERROR(IF(AND(ISNUMBER(C817),ISNUMBER(C816),C816&lt;&gt;0),C817/C816-1,""),"")</f>
        <v/>
      </c>
      <c r="F817" s="28">
        <f>IFERROR(D817-Dashboard!$B$4/252,"")</f>
        <v/>
      </c>
      <c r="G817" s="28">
        <f>IFERROR(E817-Dashboard!$B$4/252,"")</f>
        <v/>
      </c>
      <c r="H817" s="8">
        <f>IFERROR(IF(ISNUMBER(B817),MAX(B817,IFERROR(H816,B817)),""),"")</f>
        <v/>
      </c>
      <c r="I817" s="29">
        <f>IFERROR(IF(AND(ISNUMBER(B817),ISNUMBER(H817)),B817/H817-1,""),"")</f>
        <v/>
      </c>
      <c r="J817" s="8">
        <f>IFERROR(IF(ISNUMBER(C817),MAX(C817,IFERROR(J816,C817)),""),"")</f>
        <v/>
      </c>
      <c r="K817" s="29">
        <f>IFERROR(IF(AND(ISNUMBER(C817),ISNUMBER(J817)),C817/J817-1,""),"")</f>
        <v/>
      </c>
      <c r="L817" s="28">
        <f>IFERROR(IF(AND(ISNUMBER(D817),ISNUMBER(E817)),D817-E817,""),"")</f>
        <v/>
      </c>
    </row>
    <row r="818">
      <c r="A818" s="7">
        <f>IFERROR(Datos!A818,"")</f>
        <v/>
      </c>
      <c r="B818" s="8">
        <f>IFERROR(Datos!B818,"")</f>
        <v/>
      </c>
      <c r="C818" s="8">
        <f>IFERROR(Datos!C818,"")</f>
        <v/>
      </c>
      <c r="D818" s="28">
        <f>IFERROR(IF(AND(ISNUMBER(B818),ISNUMBER(B817),B817&lt;&gt;0),B818/B817-1,""),"")</f>
        <v/>
      </c>
      <c r="E818" s="28">
        <f>IFERROR(IF(AND(ISNUMBER(C818),ISNUMBER(C817),C817&lt;&gt;0),C818/C817-1,""),"")</f>
        <v/>
      </c>
      <c r="F818" s="28">
        <f>IFERROR(D818-Dashboard!$B$4/252,"")</f>
        <v/>
      </c>
      <c r="G818" s="28">
        <f>IFERROR(E818-Dashboard!$B$4/252,"")</f>
        <v/>
      </c>
      <c r="H818" s="8">
        <f>IFERROR(IF(ISNUMBER(B818),MAX(B818,IFERROR(H817,B818)),""),"")</f>
        <v/>
      </c>
      <c r="I818" s="29">
        <f>IFERROR(IF(AND(ISNUMBER(B818),ISNUMBER(H818)),B818/H818-1,""),"")</f>
        <v/>
      </c>
      <c r="J818" s="8">
        <f>IFERROR(IF(ISNUMBER(C818),MAX(C818,IFERROR(J817,C818)),""),"")</f>
        <v/>
      </c>
      <c r="K818" s="29">
        <f>IFERROR(IF(AND(ISNUMBER(C818),ISNUMBER(J818)),C818/J818-1,""),"")</f>
        <v/>
      </c>
      <c r="L818" s="28">
        <f>IFERROR(IF(AND(ISNUMBER(D818),ISNUMBER(E818)),D818-E818,""),"")</f>
        <v/>
      </c>
    </row>
    <row r="819">
      <c r="A819" s="7">
        <f>IFERROR(Datos!A819,"")</f>
        <v/>
      </c>
      <c r="B819" s="8">
        <f>IFERROR(Datos!B819,"")</f>
        <v/>
      </c>
      <c r="C819" s="8">
        <f>IFERROR(Datos!C819,"")</f>
        <v/>
      </c>
      <c r="D819" s="28">
        <f>IFERROR(IF(AND(ISNUMBER(B819),ISNUMBER(B818),B818&lt;&gt;0),B819/B818-1,""),"")</f>
        <v/>
      </c>
      <c r="E819" s="28">
        <f>IFERROR(IF(AND(ISNUMBER(C819),ISNUMBER(C818),C818&lt;&gt;0),C819/C818-1,""),"")</f>
        <v/>
      </c>
      <c r="F819" s="28">
        <f>IFERROR(D819-Dashboard!$B$4/252,"")</f>
        <v/>
      </c>
      <c r="G819" s="28">
        <f>IFERROR(E819-Dashboard!$B$4/252,"")</f>
        <v/>
      </c>
      <c r="H819" s="8">
        <f>IFERROR(IF(ISNUMBER(B819),MAX(B819,IFERROR(H818,B819)),""),"")</f>
        <v/>
      </c>
      <c r="I819" s="29">
        <f>IFERROR(IF(AND(ISNUMBER(B819),ISNUMBER(H819)),B819/H819-1,""),"")</f>
        <v/>
      </c>
      <c r="J819" s="8">
        <f>IFERROR(IF(ISNUMBER(C819),MAX(C819,IFERROR(J818,C819)),""),"")</f>
        <v/>
      </c>
      <c r="K819" s="29">
        <f>IFERROR(IF(AND(ISNUMBER(C819),ISNUMBER(J819)),C819/J819-1,""),"")</f>
        <v/>
      </c>
      <c r="L819" s="28">
        <f>IFERROR(IF(AND(ISNUMBER(D819),ISNUMBER(E819)),D819-E819,""),"")</f>
        <v/>
      </c>
    </row>
    <row r="820">
      <c r="A820" s="7">
        <f>IFERROR(Datos!A820,"")</f>
        <v/>
      </c>
      <c r="B820" s="8">
        <f>IFERROR(Datos!B820,"")</f>
        <v/>
      </c>
      <c r="C820" s="8">
        <f>IFERROR(Datos!C820,"")</f>
        <v/>
      </c>
      <c r="D820" s="28">
        <f>IFERROR(IF(AND(ISNUMBER(B820),ISNUMBER(B819),B819&lt;&gt;0),B820/B819-1,""),"")</f>
        <v/>
      </c>
      <c r="E820" s="28">
        <f>IFERROR(IF(AND(ISNUMBER(C820),ISNUMBER(C819),C819&lt;&gt;0),C820/C819-1,""),"")</f>
        <v/>
      </c>
      <c r="F820" s="28">
        <f>IFERROR(D820-Dashboard!$B$4/252,"")</f>
        <v/>
      </c>
      <c r="G820" s="28">
        <f>IFERROR(E820-Dashboard!$B$4/252,"")</f>
        <v/>
      </c>
      <c r="H820" s="8">
        <f>IFERROR(IF(ISNUMBER(B820),MAX(B820,IFERROR(H819,B820)),""),"")</f>
        <v/>
      </c>
      <c r="I820" s="29">
        <f>IFERROR(IF(AND(ISNUMBER(B820),ISNUMBER(H820)),B820/H820-1,""),"")</f>
        <v/>
      </c>
      <c r="J820" s="8">
        <f>IFERROR(IF(ISNUMBER(C820),MAX(C820,IFERROR(J819,C820)),""),"")</f>
        <v/>
      </c>
      <c r="K820" s="29">
        <f>IFERROR(IF(AND(ISNUMBER(C820),ISNUMBER(J820)),C820/J820-1,""),"")</f>
        <v/>
      </c>
      <c r="L820" s="28">
        <f>IFERROR(IF(AND(ISNUMBER(D820),ISNUMBER(E820)),D820-E820,""),"")</f>
        <v/>
      </c>
    </row>
    <row r="821">
      <c r="A821" s="7">
        <f>IFERROR(Datos!A821,"")</f>
        <v/>
      </c>
      <c r="B821" s="8">
        <f>IFERROR(Datos!B821,"")</f>
        <v/>
      </c>
      <c r="C821" s="8">
        <f>IFERROR(Datos!C821,"")</f>
        <v/>
      </c>
      <c r="D821" s="28">
        <f>IFERROR(IF(AND(ISNUMBER(B821),ISNUMBER(B820),B820&lt;&gt;0),B821/B820-1,""),"")</f>
        <v/>
      </c>
      <c r="E821" s="28">
        <f>IFERROR(IF(AND(ISNUMBER(C821),ISNUMBER(C820),C820&lt;&gt;0),C821/C820-1,""),"")</f>
        <v/>
      </c>
      <c r="F821" s="28">
        <f>IFERROR(D821-Dashboard!$B$4/252,"")</f>
        <v/>
      </c>
      <c r="G821" s="28">
        <f>IFERROR(E821-Dashboard!$B$4/252,"")</f>
        <v/>
      </c>
      <c r="H821" s="8">
        <f>IFERROR(IF(ISNUMBER(B821),MAX(B821,IFERROR(H820,B821)),""),"")</f>
        <v/>
      </c>
      <c r="I821" s="29">
        <f>IFERROR(IF(AND(ISNUMBER(B821),ISNUMBER(H821)),B821/H821-1,""),"")</f>
        <v/>
      </c>
      <c r="J821" s="8">
        <f>IFERROR(IF(ISNUMBER(C821),MAX(C821,IFERROR(J820,C821)),""),"")</f>
        <v/>
      </c>
      <c r="K821" s="29">
        <f>IFERROR(IF(AND(ISNUMBER(C821),ISNUMBER(J821)),C821/J821-1,""),"")</f>
        <v/>
      </c>
      <c r="L821" s="28">
        <f>IFERROR(IF(AND(ISNUMBER(D821),ISNUMBER(E821)),D821-E821,""),"")</f>
        <v/>
      </c>
    </row>
    <row r="822">
      <c r="A822" s="7">
        <f>IFERROR(Datos!A822,"")</f>
        <v/>
      </c>
      <c r="B822" s="8">
        <f>IFERROR(Datos!B822,"")</f>
        <v/>
      </c>
      <c r="C822" s="8">
        <f>IFERROR(Datos!C822,"")</f>
        <v/>
      </c>
      <c r="D822" s="28">
        <f>IFERROR(IF(AND(ISNUMBER(B822),ISNUMBER(B821),B821&lt;&gt;0),B822/B821-1,""),"")</f>
        <v/>
      </c>
      <c r="E822" s="28">
        <f>IFERROR(IF(AND(ISNUMBER(C822),ISNUMBER(C821),C821&lt;&gt;0),C822/C821-1,""),"")</f>
        <v/>
      </c>
      <c r="F822" s="28">
        <f>IFERROR(D822-Dashboard!$B$4/252,"")</f>
        <v/>
      </c>
      <c r="G822" s="28">
        <f>IFERROR(E822-Dashboard!$B$4/252,"")</f>
        <v/>
      </c>
      <c r="H822" s="8">
        <f>IFERROR(IF(ISNUMBER(B822),MAX(B822,IFERROR(H821,B822)),""),"")</f>
        <v/>
      </c>
      <c r="I822" s="29">
        <f>IFERROR(IF(AND(ISNUMBER(B822),ISNUMBER(H822)),B822/H822-1,""),"")</f>
        <v/>
      </c>
      <c r="J822" s="8">
        <f>IFERROR(IF(ISNUMBER(C822),MAX(C822,IFERROR(J821,C822)),""),"")</f>
        <v/>
      </c>
      <c r="K822" s="29">
        <f>IFERROR(IF(AND(ISNUMBER(C822),ISNUMBER(J822)),C822/J822-1,""),"")</f>
        <v/>
      </c>
      <c r="L822" s="28">
        <f>IFERROR(IF(AND(ISNUMBER(D822),ISNUMBER(E822)),D822-E822,""),"")</f>
        <v/>
      </c>
    </row>
    <row r="823">
      <c r="A823" s="7">
        <f>IFERROR(Datos!A823,"")</f>
        <v/>
      </c>
      <c r="B823" s="8">
        <f>IFERROR(Datos!B823,"")</f>
        <v/>
      </c>
      <c r="C823" s="8">
        <f>IFERROR(Datos!C823,"")</f>
        <v/>
      </c>
      <c r="D823" s="28">
        <f>IFERROR(IF(AND(ISNUMBER(B823),ISNUMBER(B822),B822&lt;&gt;0),B823/B822-1,""),"")</f>
        <v/>
      </c>
      <c r="E823" s="28">
        <f>IFERROR(IF(AND(ISNUMBER(C823),ISNUMBER(C822),C822&lt;&gt;0),C823/C822-1,""),"")</f>
        <v/>
      </c>
      <c r="F823" s="28">
        <f>IFERROR(D823-Dashboard!$B$4/252,"")</f>
        <v/>
      </c>
      <c r="G823" s="28">
        <f>IFERROR(E823-Dashboard!$B$4/252,"")</f>
        <v/>
      </c>
      <c r="H823" s="8">
        <f>IFERROR(IF(ISNUMBER(B823),MAX(B823,IFERROR(H822,B823)),""),"")</f>
        <v/>
      </c>
      <c r="I823" s="29">
        <f>IFERROR(IF(AND(ISNUMBER(B823),ISNUMBER(H823)),B823/H823-1,""),"")</f>
        <v/>
      </c>
      <c r="J823" s="8">
        <f>IFERROR(IF(ISNUMBER(C823),MAX(C823,IFERROR(J822,C823)),""),"")</f>
        <v/>
      </c>
      <c r="K823" s="29">
        <f>IFERROR(IF(AND(ISNUMBER(C823),ISNUMBER(J823)),C823/J823-1,""),"")</f>
        <v/>
      </c>
      <c r="L823" s="28">
        <f>IFERROR(IF(AND(ISNUMBER(D823),ISNUMBER(E823)),D823-E823,""),"")</f>
        <v/>
      </c>
    </row>
    <row r="824">
      <c r="A824" s="7">
        <f>IFERROR(Datos!A824,"")</f>
        <v/>
      </c>
      <c r="B824" s="8">
        <f>IFERROR(Datos!B824,"")</f>
        <v/>
      </c>
      <c r="C824" s="8">
        <f>IFERROR(Datos!C824,"")</f>
        <v/>
      </c>
      <c r="D824" s="28">
        <f>IFERROR(IF(AND(ISNUMBER(B824),ISNUMBER(B823),B823&lt;&gt;0),B824/B823-1,""),"")</f>
        <v/>
      </c>
      <c r="E824" s="28">
        <f>IFERROR(IF(AND(ISNUMBER(C824),ISNUMBER(C823),C823&lt;&gt;0),C824/C823-1,""),"")</f>
        <v/>
      </c>
      <c r="F824" s="28">
        <f>IFERROR(D824-Dashboard!$B$4/252,"")</f>
        <v/>
      </c>
      <c r="G824" s="28">
        <f>IFERROR(E824-Dashboard!$B$4/252,"")</f>
        <v/>
      </c>
      <c r="H824" s="8">
        <f>IFERROR(IF(ISNUMBER(B824),MAX(B824,IFERROR(H823,B824)),""),"")</f>
        <v/>
      </c>
      <c r="I824" s="29">
        <f>IFERROR(IF(AND(ISNUMBER(B824),ISNUMBER(H824)),B824/H824-1,""),"")</f>
        <v/>
      </c>
      <c r="J824" s="8">
        <f>IFERROR(IF(ISNUMBER(C824),MAX(C824,IFERROR(J823,C824)),""),"")</f>
        <v/>
      </c>
      <c r="K824" s="29">
        <f>IFERROR(IF(AND(ISNUMBER(C824),ISNUMBER(J824)),C824/J824-1,""),"")</f>
        <v/>
      </c>
      <c r="L824" s="28">
        <f>IFERROR(IF(AND(ISNUMBER(D824),ISNUMBER(E824)),D824-E824,""),"")</f>
        <v/>
      </c>
    </row>
    <row r="825">
      <c r="A825" s="7">
        <f>IFERROR(Datos!A825,"")</f>
        <v/>
      </c>
      <c r="B825" s="8">
        <f>IFERROR(Datos!B825,"")</f>
        <v/>
      </c>
      <c r="C825" s="8">
        <f>IFERROR(Datos!C825,"")</f>
        <v/>
      </c>
      <c r="D825" s="28">
        <f>IFERROR(IF(AND(ISNUMBER(B825),ISNUMBER(B824),B824&lt;&gt;0),B825/B824-1,""),"")</f>
        <v/>
      </c>
      <c r="E825" s="28">
        <f>IFERROR(IF(AND(ISNUMBER(C825),ISNUMBER(C824),C824&lt;&gt;0),C825/C824-1,""),"")</f>
        <v/>
      </c>
      <c r="F825" s="28">
        <f>IFERROR(D825-Dashboard!$B$4/252,"")</f>
        <v/>
      </c>
      <c r="G825" s="28">
        <f>IFERROR(E825-Dashboard!$B$4/252,"")</f>
        <v/>
      </c>
      <c r="H825" s="8">
        <f>IFERROR(IF(ISNUMBER(B825),MAX(B825,IFERROR(H824,B825)),""),"")</f>
        <v/>
      </c>
      <c r="I825" s="29">
        <f>IFERROR(IF(AND(ISNUMBER(B825),ISNUMBER(H825)),B825/H825-1,""),"")</f>
        <v/>
      </c>
      <c r="J825" s="8">
        <f>IFERROR(IF(ISNUMBER(C825),MAX(C825,IFERROR(J824,C825)),""),"")</f>
        <v/>
      </c>
      <c r="K825" s="29">
        <f>IFERROR(IF(AND(ISNUMBER(C825),ISNUMBER(J825)),C825/J825-1,""),"")</f>
        <v/>
      </c>
      <c r="L825" s="28">
        <f>IFERROR(IF(AND(ISNUMBER(D825),ISNUMBER(E825)),D825-E825,""),"")</f>
        <v/>
      </c>
    </row>
    <row r="826">
      <c r="A826" s="7">
        <f>IFERROR(Datos!A826,"")</f>
        <v/>
      </c>
      <c r="B826" s="8">
        <f>IFERROR(Datos!B826,"")</f>
        <v/>
      </c>
      <c r="C826" s="8">
        <f>IFERROR(Datos!C826,"")</f>
        <v/>
      </c>
      <c r="D826" s="28">
        <f>IFERROR(IF(AND(ISNUMBER(B826),ISNUMBER(B825),B825&lt;&gt;0),B826/B825-1,""),"")</f>
        <v/>
      </c>
      <c r="E826" s="28">
        <f>IFERROR(IF(AND(ISNUMBER(C826),ISNUMBER(C825),C825&lt;&gt;0),C826/C825-1,""),"")</f>
        <v/>
      </c>
      <c r="F826" s="28">
        <f>IFERROR(D826-Dashboard!$B$4/252,"")</f>
        <v/>
      </c>
      <c r="G826" s="28">
        <f>IFERROR(E826-Dashboard!$B$4/252,"")</f>
        <v/>
      </c>
      <c r="H826" s="8">
        <f>IFERROR(IF(ISNUMBER(B826),MAX(B826,IFERROR(H825,B826)),""),"")</f>
        <v/>
      </c>
      <c r="I826" s="29">
        <f>IFERROR(IF(AND(ISNUMBER(B826),ISNUMBER(H826)),B826/H826-1,""),"")</f>
        <v/>
      </c>
      <c r="J826" s="8">
        <f>IFERROR(IF(ISNUMBER(C826),MAX(C826,IFERROR(J825,C826)),""),"")</f>
        <v/>
      </c>
      <c r="K826" s="29">
        <f>IFERROR(IF(AND(ISNUMBER(C826),ISNUMBER(J826)),C826/J826-1,""),"")</f>
        <v/>
      </c>
      <c r="L826" s="28">
        <f>IFERROR(IF(AND(ISNUMBER(D826),ISNUMBER(E826)),D826-E826,""),"")</f>
        <v/>
      </c>
    </row>
    <row r="827">
      <c r="A827" s="7">
        <f>IFERROR(Datos!A827,"")</f>
        <v/>
      </c>
      <c r="B827" s="8">
        <f>IFERROR(Datos!B827,"")</f>
        <v/>
      </c>
      <c r="C827" s="8">
        <f>IFERROR(Datos!C827,"")</f>
        <v/>
      </c>
      <c r="D827" s="28">
        <f>IFERROR(IF(AND(ISNUMBER(B827),ISNUMBER(B826),B826&lt;&gt;0),B827/B826-1,""),"")</f>
        <v/>
      </c>
      <c r="E827" s="28">
        <f>IFERROR(IF(AND(ISNUMBER(C827),ISNUMBER(C826),C826&lt;&gt;0),C827/C826-1,""),"")</f>
        <v/>
      </c>
      <c r="F827" s="28">
        <f>IFERROR(D827-Dashboard!$B$4/252,"")</f>
        <v/>
      </c>
      <c r="G827" s="28">
        <f>IFERROR(E827-Dashboard!$B$4/252,"")</f>
        <v/>
      </c>
      <c r="H827" s="8">
        <f>IFERROR(IF(ISNUMBER(B827),MAX(B827,IFERROR(H826,B827)),""),"")</f>
        <v/>
      </c>
      <c r="I827" s="29">
        <f>IFERROR(IF(AND(ISNUMBER(B827),ISNUMBER(H827)),B827/H827-1,""),"")</f>
        <v/>
      </c>
      <c r="J827" s="8">
        <f>IFERROR(IF(ISNUMBER(C827),MAX(C827,IFERROR(J826,C827)),""),"")</f>
        <v/>
      </c>
      <c r="K827" s="29">
        <f>IFERROR(IF(AND(ISNUMBER(C827),ISNUMBER(J827)),C827/J827-1,""),"")</f>
        <v/>
      </c>
      <c r="L827" s="28">
        <f>IFERROR(IF(AND(ISNUMBER(D827),ISNUMBER(E827)),D827-E827,""),"")</f>
        <v/>
      </c>
    </row>
    <row r="828">
      <c r="A828" s="7">
        <f>IFERROR(Datos!A828,"")</f>
        <v/>
      </c>
      <c r="B828" s="8">
        <f>IFERROR(Datos!B828,"")</f>
        <v/>
      </c>
      <c r="C828" s="8">
        <f>IFERROR(Datos!C828,"")</f>
        <v/>
      </c>
      <c r="D828" s="28">
        <f>IFERROR(IF(AND(ISNUMBER(B828),ISNUMBER(B827),B827&lt;&gt;0),B828/B827-1,""),"")</f>
        <v/>
      </c>
      <c r="E828" s="28">
        <f>IFERROR(IF(AND(ISNUMBER(C828),ISNUMBER(C827),C827&lt;&gt;0),C828/C827-1,""),"")</f>
        <v/>
      </c>
      <c r="F828" s="28">
        <f>IFERROR(D828-Dashboard!$B$4/252,"")</f>
        <v/>
      </c>
      <c r="G828" s="28">
        <f>IFERROR(E828-Dashboard!$B$4/252,"")</f>
        <v/>
      </c>
      <c r="H828" s="8">
        <f>IFERROR(IF(ISNUMBER(B828),MAX(B828,IFERROR(H827,B828)),""),"")</f>
        <v/>
      </c>
      <c r="I828" s="29">
        <f>IFERROR(IF(AND(ISNUMBER(B828),ISNUMBER(H828)),B828/H828-1,""),"")</f>
        <v/>
      </c>
      <c r="J828" s="8">
        <f>IFERROR(IF(ISNUMBER(C828),MAX(C828,IFERROR(J827,C828)),""),"")</f>
        <v/>
      </c>
      <c r="K828" s="29">
        <f>IFERROR(IF(AND(ISNUMBER(C828),ISNUMBER(J828)),C828/J828-1,""),"")</f>
        <v/>
      </c>
      <c r="L828" s="28">
        <f>IFERROR(IF(AND(ISNUMBER(D828),ISNUMBER(E828)),D828-E828,""),"")</f>
        <v/>
      </c>
    </row>
    <row r="829">
      <c r="A829" s="7">
        <f>IFERROR(Datos!A829,"")</f>
        <v/>
      </c>
      <c r="B829" s="8">
        <f>IFERROR(Datos!B829,"")</f>
        <v/>
      </c>
      <c r="C829" s="8">
        <f>IFERROR(Datos!C829,"")</f>
        <v/>
      </c>
      <c r="D829" s="28">
        <f>IFERROR(IF(AND(ISNUMBER(B829),ISNUMBER(B828),B828&lt;&gt;0),B829/B828-1,""),"")</f>
        <v/>
      </c>
      <c r="E829" s="28">
        <f>IFERROR(IF(AND(ISNUMBER(C829),ISNUMBER(C828),C828&lt;&gt;0),C829/C828-1,""),"")</f>
        <v/>
      </c>
      <c r="F829" s="28">
        <f>IFERROR(D829-Dashboard!$B$4/252,"")</f>
        <v/>
      </c>
      <c r="G829" s="28">
        <f>IFERROR(E829-Dashboard!$B$4/252,"")</f>
        <v/>
      </c>
      <c r="H829" s="8">
        <f>IFERROR(IF(ISNUMBER(B829),MAX(B829,IFERROR(H828,B829)),""),"")</f>
        <v/>
      </c>
      <c r="I829" s="29">
        <f>IFERROR(IF(AND(ISNUMBER(B829),ISNUMBER(H829)),B829/H829-1,""),"")</f>
        <v/>
      </c>
      <c r="J829" s="8">
        <f>IFERROR(IF(ISNUMBER(C829),MAX(C829,IFERROR(J828,C829)),""),"")</f>
        <v/>
      </c>
      <c r="K829" s="29">
        <f>IFERROR(IF(AND(ISNUMBER(C829),ISNUMBER(J829)),C829/J829-1,""),"")</f>
        <v/>
      </c>
      <c r="L829" s="28">
        <f>IFERROR(IF(AND(ISNUMBER(D829),ISNUMBER(E829)),D829-E829,""),"")</f>
        <v/>
      </c>
    </row>
    <row r="830">
      <c r="A830" s="7">
        <f>IFERROR(Datos!A830,"")</f>
        <v/>
      </c>
      <c r="B830" s="8">
        <f>IFERROR(Datos!B830,"")</f>
        <v/>
      </c>
      <c r="C830" s="8">
        <f>IFERROR(Datos!C830,"")</f>
        <v/>
      </c>
      <c r="D830" s="28">
        <f>IFERROR(IF(AND(ISNUMBER(B830),ISNUMBER(B829),B829&lt;&gt;0),B830/B829-1,""),"")</f>
        <v/>
      </c>
      <c r="E830" s="28">
        <f>IFERROR(IF(AND(ISNUMBER(C830),ISNUMBER(C829),C829&lt;&gt;0),C830/C829-1,""),"")</f>
        <v/>
      </c>
      <c r="F830" s="28">
        <f>IFERROR(D830-Dashboard!$B$4/252,"")</f>
        <v/>
      </c>
      <c r="G830" s="28">
        <f>IFERROR(E830-Dashboard!$B$4/252,"")</f>
        <v/>
      </c>
      <c r="H830" s="8">
        <f>IFERROR(IF(ISNUMBER(B830),MAX(B830,IFERROR(H829,B830)),""),"")</f>
        <v/>
      </c>
      <c r="I830" s="29">
        <f>IFERROR(IF(AND(ISNUMBER(B830),ISNUMBER(H830)),B830/H830-1,""),"")</f>
        <v/>
      </c>
      <c r="J830" s="8">
        <f>IFERROR(IF(ISNUMBER(C830),MAX(C830,IFERROR(J829,C830)),""),"")</f>
        <v/>
      </c>
      <c r="K830" s="29">
        <f>IFERROR(IF(AND(ISNUMBER(C830),ISNUMBER(J830)),C830/J830-1,""),"")</f>
        <v/>
      </c>
      <c r="L830" s="28">
        <f>IFERROR(IF(AND(ISNUMBER(D830),ISNUMBER(E830)),D830-E830,""),"")</f>
        <v/>
      </c>
    </row>
    <row r="831">
      <c r="A831" s="7">
        <f>IFERROR(Datos!A831,"")</f>
        <v/>
      </c>
      <c r="B831" s="8">
        <f>IFERROR(Datos!B831,"")</f>
        <v/>
      </c>
      <c r="C831" s="8">
        <f>IFERROR(Datos!C831,"")</f>
        <v/>
      </c>
      <c r="D831" s="28">
        <f>IFERROR(IF(AND(ISNUMBER(B831),ISNUMBER(B830),B830&lt;&gt;0),B831/B830-1,""),"")</f>
        <v/>
      </c>
      <c r="E831" s="28">
        <f>IFERROR(IF(AND(ISNUMBER(C831),ISNUMBER(C830),C830&lt;&gt;0),C831/C830-1,""),"")</f>
        <v/>
      </c>
      <c r="F831" s="28">
        <f>IFERROR(D831-Dashboard!$B$4/252,"")</f>
        <v/>
      </c>
      <c r="G831" s="28">
        <f>IFERROR(E831-Dashboard!$B$4/252,"")</f>
        <v/>
      </c>
      <c r="H831" s="8">
        <f>IFERROR(IF(ISNUMBER(B831),MAX(B831,IFERROR(H830,B831)),""),"")</f>
        <v/>
      </c>
      <c r="I831" s="29">
        <f>IFERROR(IF(AND(ISNUMBER(B831),ISNUMBER(H831)),B831/H831-1,""),"")</f>
        <v/>
      </c>
      <c r="J831" s="8">
        <f>IFERROR(IF(ISNUMBER(C831),MAX(C831,IFERROR(J830,C831)),""),"")</f>
        <v/>
      </c>
      <c r="K831" s="29">
        <f>IFERROR(IF(AND(ISNUMBER(C831),ISNUMBER(J831)),C831/J831-1,""),"")</f>
        <v/>
      </c>
      <c r="L831" s="28">
        <f>IFERROR(IF(AND(ISNUMBER(D831),ISNUMBER(E831)),D831-E831,""),"")</f>
        <v/>
      </c>
    </row>
    <row r="832">
      <c r="A832" s="7">
        <f>IFERROR(Datos!A832,"")</f>
        <v/>
      </c>
      <c r="B832" s="8">
        <f>IFERROR(Datos!B832,"")</f>
        <v/>
      </c>
      <c r="C832" s="8">
        <f>IFERROR(Datos!C832,"")</f>
        <v/>
      </c>
      <c r="D832" s="28">
        <f>IFERROR(IF(AND(ISNUMBER(B832),ISNUMBER(B831),B831&lt;&gt;0),B832/B831-1,""),"")</f>
        <v/>
      </c>
      <c r="E832" s="28">
        <f>IFERROR(IF(AND(ISNUMBER(C832),ISNUMBER(C831),C831&lt;&gt;0),C832/C831-1,""),"")</f>
        <v/>
      </c>
      <c r="F832" s="28">
        <f>IFERROR(D832-Dashboard!$B$4/252,"")</f>
        <v/>
      </c>
      <c r="G832" s="28">
        <f>IFERROR(E832-Dashboard!$B$4/252,"")</f>
        <v/>
      </c>
      <c r="H832" s="8">
        <f>IFERROR(IF(ISNUMBER(B832),MAX(B832,IFERROR(H831,B832)),""),"")</f>
        <v/>
      </c>
      <c r="I832" s="29">
        <f>IFERROR(IF(AND(ISNUMBER(B832),ISNUMBER(H832)),B832/H832-1,""),"")</f>
        <v/>
      </c>
      <c r="J832" s="8">
        <f>IFERROR(IF(ISNUMBER(C832),MAX(C832,IFERROR(J831,C832)),""),"")</f>
        <v/>
      </c>
      <c r="K832" s="29">
        <f>IFERROR(IF(AND(ISNUMBER(C832),ISNUMBER(J832)),C832/J832-1,""),"")</f>
        <v/>
      </c>
      <c r="L832" s="28">
        <f>IFERROR(IF(AND(ISNUMBER(D832),ISNUMBER(E832)),D832-E832,""),"")</f>
        <v/>
      </c>
    </row>
    <row r="833">
      <c r="A833" s="7">
        <f>IFERROR(Datos!A833,"")</f>
        <v/>
      </c>
      <c r="B833" s="8">
        <f>IFERROR(Datos!B833,"")</f>
        <v/>
      </c>
      <c r="C833" s="8">
        <f>IFERROR(Datos!C833,"")</f>
        <v/>
      </c>
      <c r="D833" s="28">
        <f>IFERROR(IF(AND(ISNUMBER(B833),ISNUMBER(B832),B832&lt;&gt;0),B833/B832-1,""),"")</f>
        <v/>
      </c>
      <c r="E833" s="28">
        <f>IFERROR(IF(AND(ISNUMBER(C833),ISNUMBER(C832),C832&lt;&gt;0),C833/C832-1,""),"")</f>
        <v/>
      </c>
      <c r="F833" s="28">
        <f>IFERROR(D833-Dashboard!$B$4/252,"")</f>
        <v/>
      </c>
      <c r="G833" s="28">
        <f>IFERROR(E833-Dashboard!$B$4/252,"")</f>
        <v/>
      </c>
      <c r="H833" s="8">
        <f>IFERROR(IF(ISNUMBER(B833),MAX(B833,IFERROR(H832,B833)),""),"")</f>
        <v/>
      </c>
      <c r="I833" s="29">
        <f>IFERROR(IF(AND(ISNUMBER(B833),ISNUMBER(H833)),B833/H833-1,""),"")</f>
        <v/>
      </c>
      <c r="J833" s="8">
        <f>IFERROR(IF(ISNUMBER(C833),MAX(C833,IFERROR(J832,C833)),""),"")</f>
        <v/>
      </c>
      <c r="K833" s="29">
        <f>IFERROR(IF(AND(ISNUMBER(C833),ISNUMBER(J833)),C833/J833-1,""),"")</f>
        <v/>
      </c>
      <c r="L833" s="28">
        <f>IFERROR(IF(AND(ISNUMBER(D833),ISNUMBER(E833)),D833-E833,""),"")</f>
        <v/>
      </c>
    </row>
    <row r="834">
      <c r="A834" s="7">
        <f>IFERROR(Datos!A834,"")</f>
        <v/>
      </c>
      <c r="B834" s="8">
        <f>IFERROR(Datos!B834,"")</f>
        <v/>
      </c>
      <c r="C834" s="8">
        <f>IFERROR(Datos!C834,"")</f>
        <v/>
      </c>
      <c r="D834" s="28">
        <f>IFERROR(IF(AND(ISNUMBER(B834),ISNUMBER(B833),B833&lt;&gt;0),B834/B833-1,""),"")</f>
        <v/>
      </c>
      <c r="E834" s="28">
        <f>IFERROR(IF(AND(ISNUMBER(C834),ISNUMBER(C833),C833&lt;&gt;0),C834/C833-1,""),"")</f>
        <v/>
      </c>
      <c r="F834" s="28">
        <f>IFERROR(D834-Dashboard!$B$4/252,"")</f>
        <v/>
      </c>
      <c r="G834" s="28">
        <f>IFERROR(E834-Dashboard!$B$4/252,"")</f>
        <v/>
      </c>
      <c r="H834" s="8">
        <f>IFERROR(IF(ISNUMBER(B834),MAX(B834,IFERROR(H833,B834)),""),"")</f>
        <v/>
      </c>
      <c r="I834" s="29">
        <f>IFERROR(IF(AND(ISNUMBER(B834),ISNUMBER(H834)),B834/H834-1,""),"")</f>
        <v/>
      </c>
      <c r="J834" s="8">
        <f>IFERROR(IF(ISNUMBER(C834),MAX(C834,IFERROR(J833,C834)),""),"")</f>
        <v/>
      </c>
      <c r="K834" s="29">
        <f>IFERROR(IF(AND(ISNUMBER(C834),ISNUMBER(J834)),C834/J834-1,""),"")</f>
        <v/>
      </c>
      <c r="L834" s="28">
        <f>IFERROR(IF(AND(ISNUMBER(D834),ISNUMBER(E834)),D834-E834,""),"")</f>
        <v/>
      </c>
    </row>
    <row r="835">
      <c r="A835" s="7">
        <f>IFERROR(Datos!A835,"")</f>
        <v/>
      </c>
      <c r="B835" s="8">
        <f>IFERROR(Datos!B835,"")</f>
        <v/>
      </c>
      <c r="C835" s="8">
        <f>IFERROR(Datos!C835,"")</f>
        <v/>
      </c>
      <c r="D835" s="28">
        <f>IFERROR(IF(AND(ISNUMBER(B835),ISNUMBER(B834),B834&lt;&gt;0),B835/B834-1,""),"")</f>
        <v/>
      </c>
      <c r="E835" s="28">
        <f>IFERROR(IF(AND(ISNUMBER(C835),ISNUMBER(C834),C834&lt;&gt;0),C835/C834-1,""),"")</f>
        <v/>
      </c>
      <c r="F835" s="28">
        <f>IFERROR(D835-Dashboard!$B$4/252,"")</f>
        <v/>
      </c>
      <c r="G835" s="28">
        <f>IFERROR(E835-Dashboard!$B$4/252,"")</f>
        <v/>
      </c>
      <c r="H835" s="8">
        <f>IFERROR(IF(ISNUMBER(B835),MAX(B835,IFERROR(H834,B835)),""),"")</f>
        <v/>
      </c>
      <c r="I835" s="29">
        <f>IFERROR(IF(AND(ISNUMBER(B835),ISNUMBER(H835)),B835/H835-1,""),"")</f>
        <v/>
      </c>
      <c r="J835" s="8">
        <f>IFERROR(IF(ISNUMBER(C835),MAX(C835,IFERROR(J834,C835)),""),"")</f>
        <v/>
      </c>
      <c r="K835" s="29">
        <f>IFERROR(IF(AND(ISNUMBER(C835),ISNUMBER(J835)),C835/J835-1,""),"")</f>
        <v/>
      </c>
      <c r="L835" s="28">
        <f>IFERROR(IF(AND(ISNUMBER(D835),ISNUMBER(E835)),D835-E835,""),"")</f>
        <v/>
      </c>
    </row>
    <row r="836">
      <c r="A836" s="7">
        <f>IFERROR(Datos!A836,"")</f>
        <v/>
      </c>
      <c r="B836" s="8">
        <f>IFERROR(Datos!B836,"")</f>
        <v/>
      </c>
      <c r="C836" s="8">
        <f>IFERROR(Datos!C836,"")</f>
        <v/>
      </c>
      <c r="D836" s="28">
        <f>IFERROR(IF(AND(ISNUMBER(B836),ISNUMBER(B835),B835&lt;&gt;0),B836/B835-1,""),"")</f>
        <v/>
      </c>
      <c r="E836" s="28">
        <f>IFERROR(IF(AND(ISNUMBER(C836),ISNUMBER(C835),C835&lt;&gt;0),C836/C835-1,""),"")</f>
        <v/>
      </c>
      <c r="F836" s="28">
        <f>IFERROR(D836-Dashboard!$B$4/252,"")</f>
        <v/>
      </c>
      <c r="G836" s="28">
        <f>IFERROR(E836-Dashboard!$B$4/252,"")</f>
        <v/>
      </c>
      <c r="H836" s="8">
        <f>IFERROR(IF(ISNUMBER(B836),MAX(B836,IFERROR(H835,B836)),""),"")</f>
        <v/>
      </c>
      <c r="I836" s="29">
        <f>IFERROR(IF(AND(ISNUMBER(B836),ISNUMBER(H836)),B836/H836-1,""),"")</f>
        <v/>
      </c>
      <c r="J836" s="8">
        <f>IFERROR(IF(ISNUMBER(C836),MAX(C836,IFERROR(J835,C836)),""),"")</f>
        <v/>
      </c>
      <c r="K836" s="29">
        <f>IFERROR(IF(AND(ISNUMBER(C836),ISNUMBER(J836)),C836/J836-1,""),"")</f>
        <v/>
      </c>
      <c r="L836" s="28">
        <f>IFERROR(IF(AND(ISNUMBER(D836),ISNUMBER(E836)),D836-E836,""),"")</f>
        <v/>
      </c>
    </row>
    <row r="837">
      <c r="A837" s="7">
        <f>IFERROR(Datos!A837,"")</f>
        <v/>
      </c>
      <c r="B837" s="8">
        <f>IFERROR(Datos!B837,"")</f>
        <v/>
      </c>
      <c r="C837" s="8">
        <f>IFERROR(Datos!C837,"")</f>
        <v/>
      </c>
      <c r="D837" s="28">
        <f>IFERROR(IF(AND(ISNUMBER(B837),ISNUMBER(B836),B836&lt;&gt;0),B837/B836-1,""),"")</f>
        <v/>
      </c>
      <c r="E837" s="28">
        <f>IFERROR(IF(AND(ISNUMBER(C837),ISNUMBER(C836),C836&lt;&gt;0),C837/C836-1,""),"")</f>
        <v/>
      </c>
      <c r="F837" s="28">
        <f>IFERROR(D837-Dashboard!$B$4/252,"")</f>
        <v/>
      </c>
      <c r="G837" s="28">
        <f>IFERROR(E837-Dashboard!$B$4/252,"")</f>
        <v/>
      </c>
      <c r="H837" s="8">
        <f>IFERROR(IF(ISNUMBER(B837),MAX(B837,IFERROR(H836,B837)),""),"")</f>
        <v/>
      </c>
      <c r="I837" s="29">
        <f>IFERROR(IF(AND(ISNUMBER(B837),ISNUMBER(H837)),B837/H837-1,""),"")</f>
        <v/>
      </c>
      <c r="J837" s="8">
        <f>IFERROR(IF(ISNUMBER(C837),MAX(C837,IFERROR(J836,C837)),""),"")</f>
        <v/>
      </c>
      <c r="K837" s="29">
        <f>IFERROR(IF(AND(ISNUMBER(C837),ISNUMBER(J837)),C837/J837-1,""),"")</f>
        <v/>
      </c>
      <c r="L837" s="28">
        <f>IFERROR(IF(AND(ISNUMBER(D837),ISNUMBER(E837)),D837-E837,""),"")</f>
        <v/>
      </c>
    </row>
    <row r="838">
      <c r="A838" s="7">
        <f>IFERROR(Datos!A838,"")</f>
        <v/>
      </c>
      <c r="B838" s="8">
        <f>IFERROR(Datos!B838,"")</f>
        <v/>
      </c>
      <c r="C838" s="8">
        <f>IFERROR(Datos!C838,"")</f>
        <v/>
      </c>
      <c r="D838" s="28">
        <f>IFERROR(IF(AND(ISNUMBER(B838),ISNUMBER(B837),B837&lt;&gt;0),B838/B837-1,""),"")</f>
        <v/>
      </c>
      <c r="E838" s="28">
        <f>IFERROR(IF(AND(ISNUMBER(C838),ISNUMBER(C837),C837&lt;&gt;0),C838/C837-1,""),"")</f>
        <v/>
      </c>
      <c r="F838" s="28">
        <f>IFERROR(D838-Dashboard!$B$4/252,"")</f>
        <v/>
      </c>
      <c r="G838" s="28">
        <f>IFERROR(E838-Dashboard!$B$4/252,"")</f>
        <v/>
      </c>
      <c r="H838" s="8">
        <f>IFERROR(IF(ISNUMBER(B838),MAX(B838,IFERROR(H837,B838)),""),"")</f>
        <v/>
      </c>
      <c r="I838" s="29">
        <f>IFERROR(IF(AND(ISNUMBER(B838),ISNUMBER(H838)),B838/H838-1,""),"")</f>
        <v/>
      </c>
      <c r="J838" s="8">
        <f>IFERROR(IF(ISNUMBER(C838),MAX(C838,IFERROR(J837,C838)),""),"")</f>
        <v/>
      </c>
      <c r="K838" s="29">
        <f>IFERROR(IF(AND(ISNUMBER(C838),ISNUMBER(J838)),C838/J838-1,""),"")</f>
        <v/>
      </c>
      <c r="L838" s="28">
        <f>IFERROR(IF(AND(ISNUMBER(D838),ISNUMBER(E838)),D838-E838,""),"")</f>
        <v/>
      </c>
    </row>
    <row r="839">
      <c r="A839" s="7">
        <f>IFERROR(Datos!A839,"")</f>
        <v/>
      </c>
      <c r="B839" s="8">
        <f>IFERROR(Datos!B839,"")</f>
        <v/>
      </c>
      <c r="C839" s="8">
        <f>IFERROR(Datos!C839,"")</f>
        <v/>
      </c>
      <c r="D839" s="28">
        <f>IFERROR(IF(AND(ISNUMBER(B839),ISNUMBER(B838),B838&lt;&gt;0),B839/B838-1,""),"")</f>
        <v/>
      </c>
      <c r="E839" s="28">
        <f>IFERROR(IF(AND(ISNUMBER(C839),ISNUMBER(C838),C838&lt;&gt;0),C839/C838-1,""),"")</f>
        <v/>
      </c>
      <c r="F839" s="28">
        <f>IFERROR(D839-Dashboard!$B$4/252,"")</f>
        <v/>
      </c>
      <c r="G839" s="28">
        <f>IFERROR(E839-Dashboard!$B$4/252,"")</f>
        <v/>
      </c>
      <c r="H839" s="8">
        <f>IFERROR(IF(ISNUMBER(B839),MAX(B839,IFERROR(H838,B839)),""),"")</f>
        <v/>
      </c>
      <c r="I839" s="29">
        <f>IFERROR(IF(AND(ISNUMBER(B839),ISNUMBER(H839)),B839/H839-1,""),"")</f>
        <v/>
      </c>
      <c r="J839" s="8">
        <f>IFERROR(IF(ISNUMBER(C839),MAX(C839,IFERROR(J838,C839)),""),"")</f>
        <v/>
      </c>
      <c r="K839" s="29">
        <f>IFERROR(IF(AND(ISNUMBER(C839),ISNUMBER(J839)),C839/J839-1,""),"")</f>
        <v/>
      </c>
      <c r="L839" s="28">
        <f>IFERROR(IF(AND(ISNUMBER(D839),ISNUMBER(E839)),D839-E839,""),"")</f>
        <v/>
      </c>
    </row>
    <row r="840">
      <c r="A840" s="7">
        <f>IFERROR(Datos!A840,"")</f>
        <v/>
      </c>
      <c r="B840" s="8">
        <f>IFERROR(Datos!B840,"")</f>
        <v/>
      </c>
      <c r="C840" s="8">
        <f>IFERROR(Datos!C840,"")</f>
        <v/>
      </c>
      <c r="D840" s="28">
        <f>IFERROR(IF(AND(ISNUMBER(B840),ISNUMBER(B839),B839&lt;&gt;0),B840/B839-1,""),"")</f>
        <v/>
      </c>
      <c r="E840" s="28">
        <f>IFERROR(IF(AND(ISNUMBER(C840),ISNUMBER(C839),C839&lt;&gt;0),C840/C839-1,""),"")</f>
        <v/>
      </c>
      <c r="F840" s="28">
        <f>IFERROR(D840-Dashboard!$B$4/252,"")</f>
        <v/>
      </c>
      <c r="G840" s="28">
        <f>IFERROR(E840-Dashboard!$B$4/252,"")</f>
        <v/>
      </c>
      <c r="H840" s="8">
        <f>IFERROR(IF(ISNUMBER(B840),MAX(B840,IFERROR(H839,B840)),""),"")</f>
        <v/>
      </c>
      <c r="I840" s="29">
        <f>IFERROR(IF(AND(ISNUMBER(B840),ISNUMBER(H840)),B840/H840-1,""),"")</f>
        <v/>
      </c>
      <c r="J840" s="8">
        <f>IFERROR(IF(ISNUMBER(C840),MAX(C840,IFERROR(J839,C840)),""),"")</f>
        <v/>
      </c>
      <c r="K840" s="29">
        <f>IFERROR(IF(AND(ISNUMBER(C840),ISNUMBER(J840)),C840/J840-1,""),"")</f>
        <v/>
      </c>
      <c r="L840" s="28">
        <f>IFERROR(IF(AND(ISNUMBER(D840),ISNUMBER(E840)),D840-E840,""),"")</f>
        <v/>
      </c>
    </row>
    <row r="841">
      <c r="A841" s="7">
        <f>IFERROR(Datos!A841,"")</f>
        <v/>
      </c>
      <c r="B841" s="8">
        <f>IFERROR(Datos!B841,"")</f>
        <v/>
      </c>
      <c r="C841" s="8">
        <f>IFERROR(Datos!C841,"")</f>
        <v/>
      </c>
      <c r="D841" s="28">
        <f>IFERROR(IF(AND(ISNUMBER(B841),ISNUMBER(B840),B840&lt;&gt;0),B841/B840-1,""),"")</f>
        <v/>
      </c>
      <c r="E841" s="28">
        <f>IFERROR(IF(AND(ISNUMBER(C841),ISNUMBER(C840),C840&lt;&gt;0),C841/C840-1,""),"")</f>
        <v/>
      </c>
      <c r="F841" s="28">
        <f>IFERROR(D841-Dashboard!$B$4/252,"")</f>
        <v/>
      </c>
      <c r="G841" s="28">
        <f>IFERROR(E841-Dashboard!$B$4/252,"")</f>
        <v/>
      </c>
      <c r="H841" s="8">
        <f>IFERROR(IF(ISNUMBER(B841),MAX(B841,IFERROR(H840,B841)),""),"")</f>
        <v/>
      </c>
      <c r="I841" s="29">
        <f>IFERROR(IF(AND(ISNUMBER(B841),ISNUMBER(H841)),B841/H841-1,""),"")</f>
        <v/>
      </c>
      <c r="J841" s="8">
        <f>IFERROR(IF(ISNUMBER(C841),MAX(C841,IFERROR(J840,C841)),""),"")</f>
        <v/>
      </c>
      <c r="K841" s="29">
        <f>IFERROR(IF(AND(ISNUMBER(C841),ISNUMBER(J841)),C841/J841-1,""),"")</f>
        <v/>
      </c>
      <c r="L841" s="28">
        <f>IFERROR(IF(AND(ISNUMBER(D841),ISNUMBER(E841)),D841-E841,""),"")</f>
        <v/>
      </c>
    </row>
    <row r="842">
      <c r="A842" s="7">
        <f>IFERROR(Datos!A842,"")</f>
        <v/>
      </c>
      <c r="B842" s="8">
        <f>IFERROR(Datos!B842,"")</f>
        <v/>
      </c>
      <c r="C842" s="8">
        <f>IFERROR(Datos!C842,"")</f>
        <v/>
      </c>
      <c r="D842" s="28">
        <f>IFERROR(IF(AND(ISNUMBER(B842),ISNUMBER(B841),B841&lt;&gt;0),B842/B841-1,""),"")</f>
        <v/>
      </c>
      <c r="E842" s="28">
        <f>IFERROR(IF(AND(ISNUMBER(C842),ISNUMBER(C841),C841&lt;&gt;0),C842/C841-1,""),"")</f>
        <v/>
      </c>
      <c r="F842" s="28">
        <f>IFERROR(D842-Dashboard!$B$4/252,"")</f>
        <v/>
      </c>
      <c r="G842" s="28">
        <f>IFERROR(E842-Dashboard!$B$4/252,"")</f>
        <v/>
      </c>
      <c r="H842" s="8">
        <f>IFERROR(IF(ISNUMBER(B842),MAX(B842,IFERROR(H841,B842)),""),"")</f>
        <v/>
      </c>
      <c r="I842" s="29">
        <f>IFERROR(IF(AND(ISNUMBER(B842),ISNUMBER(H842)),B842/H842-1,""),"")</f>
        <v/>
      </c>
      <c r="J842" s="8">
        <f>IFERROR(IF(ISNUMBER(C842),MAX(C842,IFERROR(J841,C842)),""),"")</f>
        <v/>
      </c>
      <c r="K842" s="29">
        <f>IFERROR(IF(AND(ISNUMBER(C842),ISNUMBER(J842)),C842/J842-1,""),"")</f>
        <v/>
      </c>
      <c r="L842" s="28">
        <f>IFERROR(IF(AND(ISNUMBER(D842),ISNUMBER(E842)),D842-E842,""),"")</f>
        <v/>
      </c>
    </row>
    <row r="843">
      <c r="A843" s="7">
        <f>IFERROR(Datos!A843,"")</f>
        <v/>
      </c>
      <c r="B843" s="8">
        <f>IFERROR(Datos!B843,"")</f>
        <v/>
      </c>
      <c r="C843" s="8">
        <f>IFERROR(Datos!C843,"")</f>
        <v/>
      </c>
      <c r="D843" s="28">
        <f>IFERROR(IF(AND(ISNUMBER(B843),ISNUMBER(B842),B842&lt;&gt;0),B843/B842-1,""),"")</f>
        <v/>
      </c>
      <c r="E843" s="28">
        <f>IFERROR(IF(AND(ISNUMBER(C843),ISNUMBER(C842),C842&lt;&gt;0),C843/C842-1,""),"")</f>
        <v/>
      </c>
      <c r="F843" s="28">
        <f>IFERROR(D843-Dashboard!$B$4/252,"")</f>
        <v/>
      </c>
      <c r="G843" s="28">
        <f>IFERROR(E843-Dashboard!$B$4/252,"")</f>
        <v/>
      </c>
      <c r="H843" s="8">
        <f>IFERROR(IF(ISNUMBER(B843),MAX(B843,IFERROR(H842,B843)),""),"")</f>
        <v/>
      </c>
      <c r="I843" s="29">
        <f>IFERROR(IF(AND(ISNUMBER(B843),ISNUMBER(H843)),B843/H843-1,""),"")</f>
        <v/>
      </c>
      <c r="J843" s="8">
        <f>IFERROR(IF(ISNUMBER(C843),MAX(C843,IFERROR(J842,C843)),""),"")</f>
        <v/>
      </c>
      <c r="K843" s="29">
        <f>IFERROR(IF(AND(ISNUMBER(C843),ISNUMBER(J843)),C843/J843-1,""),"")</f>
        <v/>
      </c>
      <c r="L843" s="28">
        <f>IFERROR(IF(AND(ISNUMBER(D843),ISNUMBER(E843)),D843-E843,""),"")</f>
        <v/>
      </c>
    </row>
    <row r="844">
      <c r="A844" s="7">
        <f>IFERROR(Datos!A844,"")</f>
        <v/>
      </c>
      <c r="B844" s="8">
        <f>IFERROR(Datos!B844,"")</f>
        <v/>
      </c>
      <c r="C844" s="8">
        <f>IFERROR(Datos!C844,"")</f>
        <v/>
      </c>
      <c r="D844" s="28">
        <f>IFERROR(IF(AND(ISNUMBER(B844),ISNUMBER(B843),B843&lt;&gt;0),B844/B843-1,""),"")</f>
        <v/>
      </c>
      <c r="E844" s="28">
        <f>IFERROR(IF(AND(ISNUMBER(C844),ISNUMBER(C843),C843&lt;&gt;0),C844/C843-1,""),"")</f>
        <v/>
      </c>
      <c r="F844" s="28">
        <f>IFERROR(D844-Dashboard!$B$4/252,"")</f>
        <v/>
      </c>
      <c r="G844" s="28">
        <f>IFERROR(E844-Dashboard!$B$4/252,"")</f>
        <v/>
      </c>
      <c r="H844" s="8">
        <f>IFERROR(IF(ISNUMBER(B844),MAX(B844,IFERROR(H843,B844)),""),"")</f>
        <v/>
      </c>
      <c r="I844" s="29">
        <f>IFERROR(IF(AND(ISNUMBER(B844),ISNUMBER(H844)),B844/H844-1,""),"")</f>
        <v/>
      </c>
      <c r="J844" s="8">
        <f>IFERROR(IF(ISNUMBER(C844),MAX(C844,IFERROR(J843,C844)),""),"")</f>
        <v/>
      </c>
      <c r="K844" s="29">
        <f>IFERROR(IF(AND(ISNUMBER(C844),ISNUMBER(J844)),C844/J844-1,""),"")</f>
        <v/>
      </c>
      <c r="L844" s="28">
        <f>IFERROR(IF(AND(ISNUMBER(D844),ISNUMBER(E844)),D844-E844,""),"")</f>
        <v/>
      </c>
    </row>
    <row r="845">
      <c r="A845" s="7">
        <f>IFERROR(Datos!A845,"")</f>
        <v/>
      </c>
      <c r="B845" s="8">
        <f>IFERROR(Datos!B845,"")</f>
        <v/>
      </c>
      <c r="C845" s="8">
        <f>IFERROR(Datos!C845,"")</f>
        <v/>
      </c>
      <c r="D845" s="28">
        <f>IFERROR(IF(AND(ISNUMBER(B845),ISNUMBER(B844),B844&lt;&gt;0),B845/B844-1,""),"")</f>
        <v/>
      </c>
      <c r="E845" s="28">
        <f>IFERROR(IF(AND(ISNUMBER(C845),ISNUMBER(C844),C844&lt;&gt;0),C845/C844-1,""),"")</f>
        <v/>
      </c>
      <c r="F845" s="28">
        <f>IFERROR(D845-Dashboard!$B$4/252,"")</f>
        <v/>
      </c>
      <c r="G845" s="28">
        <f>IFERROR(E845-Dashboard!$B$4/252,"")</f>
        <v/>
      </c>
      <c r="H845" s="8">
        <f>IFERROR(IF(ISNUMBER(B845),MAX(B845,IFERROR(H844,B845)),""),"")</f>
        <v/>
      </c>
      <c r="I845" s="29">
        <f>IFERROR(IF(AND(ISNUMBER(B845),ISNUMBER(H845)),B845/H845-1,""),"")</f>
        <v/>
      </c>
      <c r="J845" s="8">
        <f>IFERROR(IF(ISNUMBER(C845),MAX(C845,IFERROR(J844,C845)),""),"")</f>
        <v/>
      </c>
      <c r="K845" s="29">
        <f>IFERROR(IF(AND(ISNUMBER(C845),ISNUMBER(J845)),C845/J845-1,""),"")</f>
        <v/>
      </c>
      <c r="L845" s="28">
        <f>IFERROR(IF(AND(ISNUMBER(D845),ISNUMBER(E845)),D845-E845,""),"")</f>
        <v/>
      </c>
    </row>
    <row r="846">
      <c r="A846" s="7">
        <f>IFERROR(Datos!A846,"")</f>
        <v/>
      </c>
      <c r="B846" s="8">
        <f>IFERROR(Datos!B846,"")</f>
        <v/>
      </c>
      <c r="C846" s="8">
        <f>IFERROR(Datos!C846,"")</f>
        <v/>
      </c>
      <c r="D846" s="28">
        <f>IFERROR(IF(AND(ISNUMBER(B846),ISNUMBER(B845),B845&lt;&gt;0),B846/B845-1,""),"")</f>
        <v/>
      </c>
      <c r="E846" s="28">
        <f>IFERROR(IF(AND(ISNUMBER(C846),ISNUMBER(C845),C845&lt;&gt;0),C846/C845-1,""),"")</f>
        <v/>
      </c>
      <c r="F846" s="28">
        <f>IFERROR(D846-Dashboard!$B$4/252,"")</f>
        <v/>
      </c>
      <c r="G846" s="28">
        <f>IFERROR(E846-Dashboard!$B$4/252,"")</f>
        <v/>
      </c>
      <c r="H846" s="8">
        <f>IFERROR(IF(ISNUMBER(B846),MAX(B846,IFERROR(H845,B846)),""),"")</f>
        <v/>
      </c>
      <c r="I846" s="29">
        <f>IFERROR(IF(AND(ISNUMBER(B846),ISNUMBER(H846)),B846/H846-1,""),"")</f>
        <v/>
      </c>
      <c r="J846" s="8">
        <f>IFERROR(IF(ISNUMBER(C846),MAX(C846,IFERROR(J845,C846)),""),"")</f>
        <v/>
      </c>
      <c r="K846" s="29">
        <f>IFERROR(IF(AND(ISNUMBER(C846),ISNUMBER(J846)),C846/J846-1,""),"")</f>
        <v/>
      </c>
      <c r="L846" s="28">
        <f>IFERROR(IF(AND(ISNUMBER(D846),ISNUMBER(E846)),D846-E846,""),"")</f>
        <v/>
      </c>
    </row>
    <row r="847">
      <c r="A847" s="7">
        <f>IFERROR(Datos!A847,"")</f>
        <v/>
      </c>
      <c r="B847" s="8">
        <f>IFERROR(Datos!B847,"")</f>
        <v/>
      </c>
      <c r="C847" s="8">
        <f>IFERROR(Datos!C847,"")</f>
        <v/>
      </c>
      <c r="D847" s="28">
        <f>IFERROR(IF(AND(ISNUMBER(B847),ISNUMBER(B846),B846&lt;&gt;0),B847/B846-1,""),"")</f>
        <v/>
      </c>
      <c r="E847" s="28">
        <f>IFERROR(IF(AND(ISNUMBER(C847),ISNUMBER(C846),C846&lt;&gt;0),C847/C846-1,""),"")</f>
        <v/>
      </c>
      <c r="F847" s="28">
        <f>IFERROR(D847-Dashboard!$B$4/252,"")</f>
        <v/>
      </c>
      <c r="G847" s="28">
        <f>IFERROR(E847-Dashboard!$B$4/252,"")</f>
        <v/>
      </c>
      <c r="H847" s="8">
        <f>IFERROR(IF(ISNUMBER(B847),MAX(B847,IFERROR(H846,B847)),""),"")</f>
        <v/>
      </c>
      <c r="I847" s="29">
        <f>IFERROR(IF(AND(ISNUMBER(B847),ISNUMBER(H847)),B847/H847-1,""),"")</f>
        <v/>
      </c>
      <c r="J847" s="8">
        <f>IFERROR(IF(ISNUMBER(C847),MAX(C847,IFERROR(J846,C847)),""),"")</f>
        <v/>
      </c>
      <c r="K847" s="29">
        <f>IFERROR(IF(AND(ISNUMBER(C847),ISNUMBER(J847)),C847/J847-1,""),"")</f>
        <v/>
      </c>
      <c r="L847" s="28">
        <f>IFERROR(IF(AND(ISNUMBER(D847),ISNUMBER(E847)),D847-E847,""),"")</f>
        <v/>
      </c>
    </row>
    <row r="848">
      <c r="A848" s="7">
        <f>IFERROR(Datos!A848,"")</f>
        <v/>
      </c>
      <c r="B848" s="8">
        <f>IFERROR(Datos!B848,"")</f>
        <v/>
      </c>
      <c r="C848" s="8">
        <f>IFERROR(Datos!C848,"")</f>
        <v/>
      </c>
      <c r="D848" s="28">
        <f>IFERROR(IF(AND(ISNUMBER(B848),ISNUMBER(B847),B847&lt;&gt;0),B848/B847-1,""),"")</f>
        <v/>
      </c>
      <c r="E848" s="28">
        <f>IFERROR(IF(AND(ISNUMBER(C848),ISNUMBER(C847),C847&lt;&gt;0),C848/C847-1,""),"")</f>
        <v/>
      </c>
      <c r="F848" s="28">
        <f>IFERROR(D848-Dashboard!$B$4/252,"")</f>
        <v/>
      </c>
      <c r="G848" s="28">
        <f>IFERROR(E848-Dashboard!$B$4/252,"")</f>
        <v/>
      </c>
      <c r="H848" s="8">
        <f>IFERROR(IF(ISNUMBER(B848),MAX(B848,IFERROR(H847,B848)),""),"")</f>
        <v/>
      </c>
      <c r="I848" s="29">
        <f>IFERROR(IF(AND(ISNUMBER(B848),ISNUMBER(H848)),B848/H848-1,""),"")</f>
        <v/>
      </c>
      <c r="J848" s="8">
        <f>IFERROR(IF(ISNUMBER(C848),MAX(C848,IFERROR(J847,C848)),""),"")</f>
        <v/>
      </c>
      <c r="K848" s="29">
        <f>IFERROR(IF(AND(ISNUMBER(C848),ISNUMBER(J848)),C848/J848-1,""),"")</f>
        <v/>
      </c>
      <c r="L848" s="28">
        <f>IFERROR(IF(AND(ISNUMBER(D848),ISNUMBER(E848)),D848-E848,""),"")</f>
        <v/>
      </c>
    </row>
    <row r="849">
      <c r="A849" s="7">
        <f>IFERROR(Datos!A849,"")</f>
        <v/>
      </c>
      <c r="B849" s="8">
        <f>IFERROR(Datos!B849,"")</f>
        <v/>
      </c>
      <c r="C849" s="8">
        <f>IFERROR(Datos!C849,"")</f>
        <v/>
      </c>
      <c r="D849" s="28">
        <f>IFERROR(IF(AND(ISNUMBER(B849),ISNUMBER(B848),B848&lt;&gt;0),B849/B848-1,""),"")</f>
        <v/>
      </c>
      <c r="E849" s="28">
        <f>IFERROR(IF(AND(ISNUMBER(C849),ISNUMBER(C848),C848&lt;&gt;0),C849/C848-1,""),"")</f>
        <v/>
      </c>
      <c r="F849" s="28">
        <f>IFERROR(D849-Dashboard!$B$4/252,"")</f>
        <v/>
      </c>
      <c r="G849" s="28">
        <f>IFERROR(E849-Dashboard!$B$4/252,"")</f>
        <v/>
      </c>
      <c r="H849" s="8">
        <f>IFERROR(IF(ISNUMBER(B849),MAX(B849,IFERROR(H848,B849)),""),"")</f>
        <v/>
      </c>
      <c r="I849" s="29">
        <f>IFERROR(IF(AND(ISNUMBER(B849),ISNUMBER(H849)),B849/H849-1,""),"")</f>
        <v/>
      </c>
      <c r="J849" s="8">
        <f>IFERROR(IF(ISNUMBER(C849),MAX(C849,IFERROR(J848,C849)),""),"")</f>
        <v/>
      </c>
      <c r="K849" s="29">
        <f>IFERROR(IF(AND(ISNUMBER(C849),ISNUMBER(J849)),C849/J849-1,""),"")</f>
        <v/>
      </c>
      <c r="L849" s="28">
        <f>IFERROR(IF(AND(ISNUMBER(D849),ISNUMBER(E849)),D849-E849,""),"")</f>
        <v/>
      </c>
    </row>
    <row r="850">
      <c r="A850" s="7">
        <f>IFERROR(Datos!A850,"")</f>
        <v/>
      </c>
      <c r="B850" s="8">
        <f>IFERROR(Datos!B850,"")</f>
        <v/>
      </c>
      <c r="C850" s="8">
        <f>IFERROR(Datos!C850,"")</f>
        <v/>
      </c>
      <c r="D850" s="28">
        <f>IFERROR(IF(AND(ISNUMBER(B850),ISNUMBER(B849),B849&lt;&gt;0),B850/B849-1,""),"")</f>
        <v/>
      </c>
      <c r="E850" s="28">
        <f>IFERROR(IF(AND(ISNUMBER(C850),ISNUMBER(C849),C849&lt;&gt;0),C850/C849-1,""),"")</f>
        <v/>
      </c>
      <c r="F850" s="28">
        <f>IFERROR(D850-Dashboard!$B$4/252,"")</f>
        <v/>
      </c>
      <c r="G850" s="28">
        <f>IFERROR(E850-Dashboard!$B$4/252,"")</f>
        <v/>
      </c>
      <c r="H850" s="8">
        <f>IFERROR(IF(ISNUMBER(B850),MAX(B850,IFERROR(H849,B850)),""),"")</f>
        <v/>
      </c>
      <c r="I850" s="29">
        <f>IFERROR(IF(AND(ISNUMBER(B850),ISNUMBER(H850)),B850/H850-1,""),"")</f>
        <v/>
      </c>
      <c r="J850" s="8">
        <f>IFERROR(IF(ISNUMBER(C850),MAX(C850,IFERROR(J849,C850)),""),"")</f>
        <v/>
      </c>
      <c r="K850" s="29">
        <f>IFERROR(IF(AND(ISNUMBER(C850),ISNUMBER(J850)),C850/J850-1,""),"")</f>
        <v/>
      </c>
      <c r="L850" s="28">
        <f>IFERROR(IF(AND(ISNUMBER(D850),ISNUMBER(E850)),D850-E850,""),"")</f>
        <v/>
      </c>
    </row>
    <row r="851">
      <c r="A851" s="7">
        <f>IFERROR(Datos!A851,"")</f>
        <v/>
      </c>
      <c r="B851" s="8">
        <f>IFERROR(Datos!B851,"")</f>
        <v/>
      </c>
      <c r="C851" s="8">
        <f>IFERROR(Datos!C851,"")</f>
        <v/>
      </c>
      <c r="D851" s="28">
        <f>IFERROR(IF(AND(ISNUMBER(B851),ISNUMBER(B850),B850&lt;&gt;0),B851/B850-1,""),"")</f>
        <v/>
      </c>
      <c r="E851" s="28">
        <f>IFERROR(IF(AND(ISNUMBER(C851),ISNUMBER(C850),C850&lt;&gt;0),C851/C850-1,""),"")</f>
        <v/>
      </c>
      <c r="F851" s="28">
        <f>IFERROR(D851-Dashboard!$B$4/252,"")</f>
        <v/>
      </c>
      <c r="G851" s="28">
        <f>IFERROR(E851-Dashboard!$B$4/252,"")</f>
        <v/>
      </c>
      <c r="H851" s="8">
        <f>IFERROR(IF(ISNUMBER(B851),MAX(B851,IFERROR(H850,B851)),""),"")</f>
        <v/>
      </c>
      <c r="I851" s="29">
        <f>IFERROR(IF(AND(ISNUMBER(B851),ISNUMBER(H851)),B851/H851-1,""),"")</f>
        <v/>
      </c>
      <c r="J851" s="8">
        <f>IFERROR(IF(ISNUMBER(C851),MAX(C851,IFERROR(J850,C851)),""),"")</f>
        <v/>
      </c>
      <c r="K851" s="29">
        <f>IFERROR(IF(AND(ISNUMBER(C851),ISNUMBER(J851)),C851/J851-1,""),"")</f>
        <v/>
      </c>
      <c r="L851" s="28">
        <f>IFERROR(IF(AND(ISNUMBER(D851),ISNUMBER(E851)),D851-E851,""),"")</f>
        <v/>
      </c>
    </row>
    <row r="852">
      <c r="A852" s="7">
        <f>IFERROR(Datos!A852,"")</f>
        <v/>
      </c>
      <c r="B852" s="8">
        <f>IFERROR(Datos!B852,"")</f>
        <v/>
      </c>
      <c r="C852" s="8">
        <f>IFERROR(Datos!C852,"")</f>
        <v/>
      </c>
      <c r="D852" s="28">
        <f>IFERROR(IF(AND(ISNUMBER(B852),ISNUMBER(B851),B851&lt;&gt;0),B852/B851-1,""),"")</f>
        <v/>
      </c>
      <c r="E852" s="28">
        <f>IFERROR(IF(AND(ISNUMBER(C852),ISNUMBER(C851),C851&lt;&gt;0),C852/C851-1,""),"")</f>
        <v/>
      </c>
      <c r="F852" s="28">
        <f>IFERROR(D852-Dashboard!$B$4/252,"")</f>
        <v/>
      </c>
      <c r="G852" s="28">
        <f>IFERROR(E852-Dashboard!$B$4/252,"")</f>
        <v/>
      </c>
      <c r="H852" s="8">
        <f>IFERROR(IF(ISNUMBER(B852),MAX(B852,IFERROR(H851,B852)),""),"")</f>
        <v/>
      </c>
      <c r="I852" s="29">
        <f>IFERROR(IF(AND(ISNUMBER(B852),ISNUMBER(H852)),B852/H852-1,""),"")</f>
        <v/>
      </c>
      <c r="J852" s="8">
        <f>IFERROR(IF(ISNUMBER(C852),MAX(C852,IFERROR(J851,C852)),""),"")</f>
        <v/>
      </c>
      <c r="K852" s="29">
        <f>IFERROR(IF(AND(ISNUMBER(C852),ISNUMBER(J852)),C852/J852-1,""),"")</f>
        <v/>
      </c>
      <c r="L852" s="28">
        <f>IFERROR(IF(AND(ISNUMBER(D852),ISNUMBER(E852)),D852-E852,""),"")</f>
        <v/>
      </c>
    </row>
    <row r="853">
      <c r="A853" s="7">
        <f>IFERROR(Datos!A853,"")</f>
        <v/>
      </c>
      <c r="B853" s="8">
        <f>IFERROR(Datos!B853,"")</f>
        <v/>
      </c>
      <c r="C853" s="8">
        <f>IFERROR(Datos!C853,"")</f>
        <v/>
      </c>
      <c r="D853" s="28">
        <f>IFERROR(IF(AND(ISNUMBER(B853),ISNUMBER(B852),B852&lt;&gt;0),B853/B852-1,""),"")</f>
        <v/>
      </c>
      <c r="E853" s="28">
        <f>IFERROR(IF(AND(ISNUMBER(C853),ISNUMBER(C852),C852&lt;&gt;0),C853/C852-1,""),"")</f>
        <v/>
      </c>
      <c r="F853" s="28">
        <f>IFERROR(D853-Dashboard!$B$4/252,"")</f>
        <v/>
      </c>
      <c r="G853" s="28">
        <f>IFERROR(E853-Dashboard!$B$4/252,"")</f>
        <v/>
      </c>
      <c r="H853" s="8">
        <f>IFERROR(IF(ISNUMBER(B853),MAX(B853,IFERROR(H852,B853)),""),"")</f>
        <v/>
      </c>
      <c r="I853" s="29">
        <f>IFERROR(IF(AND(ISNUMBER(B853),ISNUMBER(H853)),B853/H853-1,""),"")</f>
        <v/>
      </c>
      <c r="J853" s="8">
        <f>IFERROR(IF(ISNUMBER(C853),MAX(C853,IFERROR(J852,C853)),""),"")</f>
        <v/>
      </c>
      <c r="K853" s="29">
        <f>IFERROR(IF(AND(ISNUMBER(C853),ISNUMBER(J853)),C853/J853-1,""),"")</f>
        <v/>
      </c>
      <c r="L853" s="28">
        <f>IFERROR(IF(AND(ISNUMBER(D853),ISNUMBER(E853)),D853-E853,""),"")</f>
        <v/>
      </c>
    </row>
    <row r="854">
      <c r="A854" s="7">
        <f>IFERROR(Datos!A854,"")</f>
        <v/>
      </c>
      <c r="B854" s="8">
        <f>IFERROR(Datos!B854,"")</f>
        <v/>
      </c>
      <c r="C854" s="8">
        <f>IFERROR(Datos!C854,"")</f>
        <v/>
      </c>
      <c r="D854" s="28">
        <f>IFERROR(IF(AND(ISNUMBER(B854),ISNUMBER(B853),B853&lt;&gt;0),B854/B853-1,""),"")</f>
        <v/>
      </c>
      <c r="E854" s="28">
        <f>IFERROR(IF(AND(ISNUMBER(C854),ISNUMBER(C853),C853&lt;&gt;0),C854/C853-1,""),"")</f>
        <v/>
      </c>
      <c r="F854" s="28">
        <f>IFERROR(D854-Dashboard!$B$4/252,"")</f>
        <v/>
      </c>
      <c r="G854" s="28">
        <f>IFERROR(E854-Dashboard!$B$4/252,"")</f>
        <v/>
      </c>
      <c r="H854" s="8">
        <f>IFERROR(IF(ISNUMBER(B854),MAX(B854,IFERROR(H853,B854)),""),"")</f>
        <v/>
      </c>
      <c r="I854" s="29">
        <f>IFERROR(IF(AND(ISNUMBER(B854),ISNUMBER(H854)),B854/H854-1,""),"")</f>
        <v/>
      </c>
      <c r="J854" s="8">
        <f>IFERROR(IF(ISNUMBER(C854),MAX(C854,IFERROR(J853,C854)),""),"")</f>
        <v/>
      </c>
      <c r="K854" s="29">
        <f>IFERROR(IF(AND(ISNUMBER(C854),ISNUMBER(J854)),C854/J854-1,""),"")</f>
        <v/>
      </c>
      <c r="L854" s="28">
        <f>IFERROR(IF(AND(ISNUMBER(D854),ISNUMBER(E854)),D854-E854,""),"")</f>
        <v/>
      </c>
    </row>
    <row r="855">
      <c r="A855" s="7">
        <f>IFERROR(Datos!A855,"")</f>
        <v/>
      </c>
      <c r="B855" s="8">
        <f>IFERROR(Datos!B855,"")</f>
        <v/>
      </c>
      <c r="C855" s="8">
        <f>IFERROR(Datos!C855,"")</f>
        <v/>
      </c>
      <c r="D855" s="28">
        <f>IFERROR(IF(AND(ISNUMBER(B855),ISNUMBER(B854),B854&lt;&gt;0),B855/B854-1,""),"")</f>
        <v/>
      </c>
      <c r="E855" s="28">
        <f>IFERROR(IF(AND(ISNUMBER(C855),ISNUMBER(C854),C854&lt;&gt;0),C855/C854-1,""),"")</f>
        <v/>
      </c>
      <c r="F855" s="28">
        <f>IFERROR(D855-Dashboard!$B$4/252,"")</f>
        <v/>
      </c>
      <c r="G855" s="28">
        <f>IFERROR(E855-Dashboard!$B$4/252,"")</f>
        <v/>
      </c>
      <c r="H855" s="8">
        <f>IFERROR(IF(ISNUMBER(B855),MAX(B855,IFERROR(H854,B855)),""),"")</f>
        <v/>
      </c>
      <c r="I855" s="29">
        <f>IFERROR(IF(AND(ISNUMBER(B855),ISNUMBER(H855)),B855/H855-1,""),"")</f>
        <v/>
      </c>
      <c r="J855" s="8">
        <f>IFERROR(IF(ISNUMBER(C855),MAX(C855,IFERROR(J854,C855)),""),"")</f>
        <v/>
      </c>
      <c r="K855" s="29">
        <f>IFERROR(IF(AND(ISNUMBER(C855),ISNUMBER(J855)),C855/J855-1,""),"")</f>
        <v/>
      </c>
      <c r="L855" s="28">
        <f>IFERROR(IF(AND(ISNUMBER(D855),ISNUMBER(E855)),D855-E855,""),"")</f>
        <v/>
      </c>
    </row>
    <row r="856">
      <c r="A856" s="7">
        <f>IFERROR(Datos!A856,"")</f>
        <v/>
      </c>
      <c r="B856" s="8">
        <f>IFERROR(Datos!B856,"")</f>
        <v/>
      </c>
      <c r="C856" s="8">
        <f>IFERROR(Datos!C856,"")</f>
        <v/>
      </c>
      <c r="D856" s="28">
        <f>IFERROR(IF(AND(ISNUMBER(B856),ISNUMBER(B855),B855&lt;&gt;0),B856/B855-1,""),"")</f>
        <v/>
      </c>
      <c r="E856" s="28">
        <f>IFERROR(IF(AND(ISNUMBER(C856),ISNUMBER(C855),C855&lt;&gt;0),C856/C855-1,""),"")</f>
        <v/>
      </c>
      <c r="F856" s="28">
        <f>IFERROR(D856-Dashboard!$B$4/252,"")</f>
        <v/>
      </c>
      <c r="G856" s="28">
        <f>IFERROR(E856-Dashboard!$B$4/252,"")</f>
        <v/>
      </c>
      <c r="H856" s="8">
        <f>IFERROR(IF(ISNUMBER(B856),MAX(B856,IFERROR(H855,B856)),""),"")</f>
        <v/>
      </c>
      <c r="I856" s="29">
        <f>IFERROR(IF(AND(ISNUMBER(B856),ISNUMBER(H856)),B856/H856-1,""),"")</f>
        <v/>
      </c>
      <c r="J856" s="8">
        <f>IFERROR(IF(ISNUMBER(C856),MAX(C856,IFERROR(J855,C856)),""),"")</f>
        <v/>
      </c>
      <c r="K856" s="29">
        <f>IFERROR(IF(AND(ISNUMBER(C856),ISNUMBER(J856)),C856/J856-1,""),"")</f>
        <v/>
      </c>
      <c r="L856" s="28">
        <f>IFERROR(IF(AND(ISNUMBER(D856),ISNUMBER(E856)),D856-E856,""),"")</f>
        <v/>
      </c>
    </row>
    <row r="857">
      <c r="A857" s="7">
        <f>IFERROR(Datos!A857,"")</f>
        <v/>
      </c>
      <c r="B857" s="8">
        <f>IFERROR(Datos!B857,"")</f>
        <v/>
      </c>
      <c r="C857" s="8">
        <f>IFERROR(Datos!C857,"")</f>
        <v/>
      </c>
      <c r="D857" s="28">
        <f>IFERROR(IF(AND(ISNUMBER(B857),ISNUMBER(B856),B856&lt;&gt;0),B857/B856-1,""),"")</f>
        <v/>
      </c>
      <c r="E857" s="28">
        <f>IFERROR(IF(AND(ISNUMBER(C857),ISNUMBER(C856),C856&lt;&gt;0),C857/C856-1,""),"")</f>
        <v/>
      </c>
      <c r="F857" s="28">
        <f>IFERROR(D857-Dashboard!$B$4/252,"")</f>
        <v/>
      </c>
      <c r="G857" s="28">
        <f>IFERROR(E857-Dashboard!$B$4/252,"")</f>
        <v/>
      </c>
      <c r="H857" s="8">
        <f>IFERROR(IF(ISNUMBER(B857),MAX(B857,IFERROR(H856,B857)),""),"")</f>
        <v/>
      </c>
      <c r="I857" s="29">
        <f>IFERROR(IF(AND(ISNUMBER(B857),ISNUMBER(H857)),B857/H857-1,""),"")</f>
        <v/>
      </c>
      <c r="J857" s="8">
        <f>IFERROR(IF(ISNUMBER(C857),MAX(C857,IFERROR(J856,C857)),""),"")</f>
        <v/>
      </c>
      <c r="K857" s="29">
        <f>IFERROR(IF(AND(ISNUMBER(C857),ISNUMBER(J857)),C857/J857-1,""),"")</f>
        <v/>
      </c>
      <c r="L857" s="28">
        <f>IFERROR(IF(AND(ISNUMBER(D857),ISNUMBER(E857)),D857-E857,""),"")</f>
        <v/>
      </c>
    </row>
    <row r="858">
      <c r="A858" s="7">
        <f>IFERROR(Datos!A858,"")</f>
        <v/>
      </c>
      <c r="B858" s="8">
        <f>IFERROR(Datos!B858,"")</f>
        <v/>
      </c>
      <c r="C858" s="8">
        <f>IFERROR(Datos!C858,"")</f>
        <v/>
      </c>
      <c r="D858" s="28">
        <f>IFERROR(IF(AND(ISNUMBER(B858),ISNUMBER(B857),B857&lt;&gt;0),B858/B857-1,""),"")</f>
        <v/>
      </c>
      <c r="E858" s="28">
        <f>IFERROR(IF(AND(ISNUMBER(C858),ISNUMBER(C857),C857&lt;&gt;0),C858/C857-1,""),"")</f>
        <v/>
      </c>
      <c r="F858" s="28">
        <f>IFERROR(D858-Dashboard!$B$4/252,"")</f>
        <v/>
      </c>
      <c r="G858" s="28">
        <f>IFERROR(E858-Dashboard!$B$4/252,"")</f>
        <v/>
      </c>
      <c r="H858" s="8">
        <f>IFERROR(IF(ISNUMBER(B858),MAX(B858,IFERROR(H857,B858)),""),"")</f>
        <v/>
      </c>
      <c r="I858" s="29">
        <f>IFERROR(IF(AND(ISNUMBER(B858),ISNUMBER(H858)),B858/H858-1,""),"")</f>
        <v/>
      </c>
      <c r="J858" s="8">
        <f>IFERROR(IF(ISNUMBER(C858),MAX(C858,IFERROR(J857,C858)),""),"")</f>
        <v/>
      </c>
      <c r="K858" s="29">
        <f>IFERROR(IF(AND(ISNUMBER(C858),ISNUMBER(J858)),C858/J858-1,""),"")</f>
        <v/>
      </c>
      <c r="L858" s="28">
        <f>IFERROR(IF(AND(ISNUMBER(D858),ISNUMBER(E858)),D858-E858,""),"")</f>
        <v/>
      </c>
    </row>
    <row r="859">
      <c r="A859" s="7">
        <f>IFERROR(Datos!A859,"")</f>
        <v/>
      </c>
      <c r="B859" s="8">
        <f>IFERROR(Datos!B859,"")</f>
        <v/>
      </c>
      <c r="C859" s="8">
        <f>IFERROR(Datos!C859,"")</f>
        <v/>
      </c>
      <c r="D859" s="28">
        <f>IFERROR(IF(AND(ISNUMBER(B859),ISNUMBER(B858),B858&lt;&gt;0),B859/B858-1,""),"")</f>
        <v/>
      </c>
      <c r="E859" s="28">
        <f>IFERROR(IF(AND(ISNUMBER(C859),ISNUMBER(C858),C858&lt;&gt;0),C859/C858-1,""),"")</f>
        <v/>
      </c>
      <c r="F859" s="28">
        <f>IFERROR(D859-Dashboard!$B$4/252,"")</f>
        <v/>
      </c>
      <c r="G859" s="28">
        <f>IFERROR(E859-Dashboard!$B$4/252,"")</f>
        <v/>
      </c>
      <c r="H859" s="8">
        <f>IFERROR(IF(ISNUMBER(B859),MAX(B859,IFERROR(H858,B859)),""),"")</f>
        <v/>
      </c>
      <c r="I859" s="29">
        <f>IFERROR(IF(AND(ISNUMBER(B859),ISNUMBER(H859)),B859/H859-1,""),"")</f>
        <v/>
      </c>
      <c r="J859" s="8">
        <f>IFERROR(IF(ISNUMBER(C859),MAX(C859,IFERROR(J858,C859)),""),"")</f>
        <v/>
      </c>
      <c r="K859" s="29">
        <f>IFERROR(IF(AND(ISNUMBER(C859),ISNUMBER(J859)),C859/J859-1,""),"")</f>
        <v/>
      </c>
      <c r="L859" s="28">
        <f>IFERROR(IF(AND(ISNUMBER(D859),ISNUMBER(E859)),D859-E859,""),"")</f>
        <v/>
      </c>
    </row>
    <row r="860">
      <c r="A860" s="7">
        <f>IFERROR(Datos!A860,"")</f>
        <v/>
      </c>
      <c r="B860" s="8">
        <f>IFERROR(Datos!B860,"")</f>
        <v/>
      </c>
      <c r="C860" s="8">
        <f>IFERROR(Datos!C860,"")</f>
        <v/>
      </c>
      <c r="D860" s="28">
        <f>IFERROR(IF(AND(ISNUMBER(B860),ISNUMBER(B859),B859&lt;&gt;0),B860/B859-1,""),"")</f>
        <v/>
      </c>
      <c r="E860" s="28">
        <f>IFERROR(IF(AND(ISNUMBER(C860),ISNUMBER(C859),C859&lt;&gt;0),C860/C859-1,""),"")</f>
        <v/>
      </c>
      <c r="F860" s="28">
        <f>IFERROR(D860-Dashboard!$B$4/252,"")</f>
        <v/>
      </c>
      <c r="G860" s="28">
        <f>IFERROR(E860-Dashboard!$B$4/252,"")</f>
        <v/>
      </c>
      <c r="H860" s="8">
        <f>IFERROR(IF(ISNUMBER(B860),MAX(B860,IFERROR(H859,B860)),""),"")</f>
        <v/>
      </c>
      <c r="I860" s="29">
        <f>IFERROR(IF(AND(ISNUMBER(B860),ISNUMBER(H860)),B860/H860-1,""),"")</f>
        <v/>
      </c>
      <c r="J860" s="8">
        <f>IFERROR(IF(ISNUMBER(C860),MAX(C860,IFERROR(J859,C860)),""),"")</f>
        <v/>
      </c>
      <c r="K860" s="29">
        <f>IFERROR(IF(AND(ISNUMBER(C860),ISNUMBER(J860)),C860/J860-1,""),"")</f>
        <v/>
      </c>
      <c r="L860" s="28">
        <f>IFERROR(IF(AND(ISNUMBER(D860),ISNUMBER(E860)),D860-E860,""),"")</f>
        <v/>
      </c>
    </row>
    <row r="861">
      <c r="A861" s="7">
        <f>IFERROR(Datos!A861,"")</f>
        <v/>
      </c>
      <c r="B861" s="8">
        <f>IFERROR(Datos!B861,"")</f>
        <v/>
      </c>
      <c r="C861" s="8">
        <f>IFERROR(Datos!C861,"")</f>
        <v/>
      </c>
      <c r="D861" s="28">
        <f>IFERROR(IF(AND(ISNUMBER(B861),ISNUMBER(B860),B860&lt;&gt;0),B861/B860-1,""),"")</f>
        <v/>
      </c>
      <c r="E861" s="28">
        <f>IFERROR(IF(AND(ISNUMBER(C861),ISNUMBER(C860),C860&lt;&gt;0),C861/C860-1,""),"")</f>
        <v/>
      </c>
      <c r="F861" s="28">
        <f>IFERROR(D861-Dashboard!$B$4/252,"")</f>
        <v/>
      </c>
      <c r="G861" s="28">
        <f>IFERROR(E861-Dashboard!$B$4/252,"")</f>
        <v/>
      </c>
      <c r="H861" s="8">
        <f>IFERROR(IF(ISNUMBER(B861),MAX(B861,IFERROR(H860,B861)),""),"")</f>
        <v/>
      </c>
      <c r="I861" s="29">
        <f>IFERROR(IF(AND(ISNUMBER(B861),ISNUMBER(H861)),B861/H861-1,""),"")</f>
        <v/>
      </c>
      <c r="J861" s="8">
        <f>IFERROR(IF(ISNUMBER(C861),MAX(C861,IFERROR(J860,C861)),""),"")</f>
        <v/>
      </c>
      <c r="K861" s="29">
        <f>IFERROR(IF(AND(ISNUMBER(C861),ISNUMBER(J861)),C861/J861-1,""),"")</f>
        <v/>
      </c>
      <c r="L861" s="28">
        <f>IFERROR(IF(AND(ISNUMBER(D861),ISNUMBER(E861)),D861-E861,""),"")</f>
        <v/>
      </c>
    </row>
    <row r="862">
      <c r="A862" s="7">
        <f>IFERROR(Datos!A862,"")</f>
        <v/>
      </c>
      <c r="B862" s="8">
        <f>IFERROR(Datos!B862,"")</f>
        <v/>
      </c>
      <c r="C862" s="8">
        <f>IFERROR(Datos!C862,"")</f>
        <v/>
      </c>
      <c r="D862" s="28">
        <f>IFERROR(IF(AND(ISNUMBER(B862),ISNUMBER(B861),B861&lt;&gt;0),B862/B861-1,""),"")</f>
        <v/>
      </c>
      <c r="E862" s="28">
        <f>IFERROR(IF(AND(ISNUMBER(C862),ISNUMBER(C861),C861&lt;&gt;0),C862/C861-1,""),"")</f>
        <v/>
      </c>
      <c r="F862" s="28">
        <f>IFERROR(D862-Dashboard!$B$4/252,"")</f>
        <v/>
      </c>
      <c r="G862" s="28">
        <f>IFERROR(E862-Dashboard!$B$4/252,"")</f>
        <v/>
      </c>
      <c r="H862" s="8">
        <f>IFERROR(IF(ISNUMBER(B862),MAX(B862,IFERROR(H861,B862)),""),"")</f>
        <v/>
      </c>
      <c r="I862" s="29">
        <f>IFERROR(IF(AND(ISNUMBER(B862),ISNUMBER(H862)),B862/H862-1,""),"")</f>
        <v/>
      </c>
      <c r="J862" s="8">
        <f>IFERROR(IF(ISNUMBER(C862),MAX(C862,IFERROR(J861,C862)),""),"")</f>
        <v/>
      </c>
      <c r="K862" s="29">
        <f>IFERROR(IF(AND(ISNUMBER(C862),ISNUMBER(J862)),C862/J862-1,""),"")</f>
        <v/>
      </c>
      <c r="L862" s="28">
        <f>IFERROR(IF(AND(ISNUMBER(D862),ISNUMBER(E862)),D862-E862,""),"")</f>
        <v/>
      </c>
    </row>
    <row r="863">
      <c r="A863" s="7">
        <f>IFERROR(Datos!A863,"")</f>
        <v/>
      </c>
      <c r="B863" s="8">
        <f>IFERROR(Datos!B863,"")</f>
        <v/>
      </c>
      <c r="C863" s="8">
        <f>IFERROR(Datos!C863,"")</f>
        <v/>
      </c>
      <c r="D863" s="28">
        <f>IFERROR(IF(AND(ISNUMBER(B863),ISNUMBER(B862),B862&lt;&gt;0),B863/B862-1,""),"")</f>
        <v/>
      </c>
      <c r="E863" s="28">
        <f>IFERROR(IF(AND(ISNUMBER(C863),ISNUMBER(C862),C862&lt;&gt;0),C863/C862-1,""),"")</f>
        <v/>
      </c>
      <c r="F863" s="28">
        <f>IFERROR(D863-Dashboard!$B$4/252,"")</f>
        <v/>
      </c>
      <c r="G863" s="28">
        <f>IFERROR(E863-Dashboard!$B$4/252,"")</f>
        <v/>
      </c>
      <c r="H863" s="8">
        <f>IFERROR(IF(ISNUMBER(B863),MAX(B863,IFERROR(H862,B863)),""),"")</f>
        <v/>
      </c>
      <c r="I863" s="29">
        <f>IFERROR(IF(AND(ISNUMBER(B863),ISNUMBER(H863)),B863/H863-1,""),"")</f>
        <v/>
      </c>
      <c r="J863" s="8">
        <f>IFERROR(IF(ISNUMBER(C863),MAX(C863,IFERROR(J862,C863)),""),"")</f>
        <v/>
      </c>
      <c r="K863" s="29">
        <f>IFERROR(IF(AND(ISNUMBER(C863),ISNUMBER(J863)),C863/J863-1,""),"")</f>
        <v/>
      </c>
      <c r="L863" s="28">
        <f>IFERROR(IF(AND(ISNUMBER(D863),ISNUMBER(E863)),D863-E863,""),"")</f>
        <v/>
      </c>
    </row>
    <row r="864">
      <c r="A864" s="7">
        <f>IFERROR(Datos!A864,"")</f>
        <v/>
      </c>
      <c r="B864" s="8">
        <f>IFERROR(Datos!B864,"")</f>
        <v/>
      </c>
      <c r="C864" s="8">
        <f>IFERROR(Datos!C864,"")</f>
        <v/>
      </c>
      <c r="D864" s="28">
        <f>IFERROR(IF(AND(ISNUMBER(B864),ISNUMBER(B863),B863&lt;&gt;0),B864/B863-1,""),"")</f>
        <v/>
      </c>
      <c r="E864" s="28">
        <f>IFERROR(IF(AND(ISNUMBER(C864),ISNUMBER(C863),C863&lt;&gt;0),C864/C863-1,""),"")</f>
        <v/>
      </c>
      <c r="F864" s="28">
        <f>IFERROR(D864-Dashboard!$B$4/252,"")</f>
        <v/>
      </c>
      <c r="G864" s="28">
        <f>IFERROR(E864-Dashboard!$B$4/252,"")</f>
        <v/>
      </c>
      <c r="H864" s="8">
        <f>IFERROR(IF(ISNUMBER(B864),MAX(B864,IFERROR(H863,B864)),""),"")</f>
        <v/>
      </c>
      <c r="I864" s="29">
        <f>IFERROR(IF(AND(ISNUMBER(B864),ISNUMBER(H864)),B864/H864-1,""),"")</f>
        <v/>
      </c>
      <c r="J864" s="8">
        <f>IFERROR(IF(ISNUMBER(C864),MAX(C864,IFERROR(J863,C864)),""),"")</f>
        <v/>
      </c>
      <c r="K864" s="29">
        <f>IFERROR(IF(AND(ISNUMBER(C864),ISNUMBER(J864)),C864/J864-1,""),"")</f>
        <v/>
      </c>
      <c r="L864" s="28">
        <f>IFERROR(IF(AND(ISNUMBER(D864),ISNUMBER(E864)),D864-E864,""),"")</f>
        <v/>
      </c>
    </row>
    <row r="865">
      <c r="A865" s="7">
        <f>IFERROR(Datos!A865,"")</f>
        <v/>
      </c>
      <c r="B865" s="8">
        <f>IFERROR(Datos!B865,"")</f>
        <v/>
      </c>
      <c r="C865" s="8">
        <f>IFERROR(Datos!C865,"")</f>
        <v/>
      </c>
      <c r="D865" s="28">
        <f>IFERROR(IF(AND(ISNUMBER(B865),ISNUMBER(B864),B864&lt;&gt;0),B865/B864-1,""),"")</f>
        <v/>
      </c>
      <c r="E865" s="28">
        <f>IFERROR(IF(AND(ISNUMBER(C865),ISNUMBER(C864),C864&lt;&gt;0),C865/C864-1,""),"")</f>
        <v/>
      </c>
      <c r="F865" s="28">
        <f>IFERROR(D865-Dashboard!$B$4/252,"")</f>
        <v/>
      </c>
      <c r="G865" s="28">
        <f>IFERROR(E865-Dashboard!$B$4/252,"")</f>
        <v/>
      </c>
      <c r="H865" s="8">
        <f>IFERROR(IF(ISNUMBER(B865),MAX(B865,IFERROR(H864,B865)),""),"")</f>
        <v/>
      </c>
      <c r="I865" s="29">
        <f>IFERROR(IF(AND(ISNUMBER(B865),ISNUMBER(H865)),B865/H865-1,""),"")</f>
        <v/>
      </c>
      <c r="J865" s="8">
        <f>IFERROR(IF(ISNUMBER(C865),MAX(C865,IFERROR(J864,C865)),""),"")</f>
        <v/>
      </c>
      <c r="K865" s="29">
        <f>IFERROR(IF(AND(ISNUMBER(C865),ISNUMBER(J865)),C865/J865-1,""),"")</f>
        <v/>
      </c>
      <c r="L865" s="28">
        <f>IFERROR(IF(AND(ISNUMBER(D865),ISNUMBER(E865)),D865-E865,""),"")</f>
        <v/>
      </c>
    </row>
    <row r="866">
      <c r="A866" s="7">
        <f>IFERROR(Datos!A866,"")</f>
        <v/>
      </c>
      <c r="B866" s="8">
        <f>IFERROR(Datos!B866,"")</f>
        <v/>
      </c>
      <c r="C866" s="8">
        <f>IFERROR(Datos!C866,"")</f>
        <v/>
      </c>
      <c r="D866" s="28">
        <f>IFERROR(IF(AND(ISNUMBER(B866),ISNUMBER(B865),B865&lt;&gt;0),B866/B865-1,""),"")</f>
        <v/>
      </c>
      <c r="E866" s="28">
        <f>IFERROR(IF(AND(ISNUMBER(C866),ISNUMBER(C865),C865&lt;&gt;0),C866/C865-1,""),"")</f>
        <v/>
      </c>
      <c r="F866" s="28">
        <f>IFERROR(D866-Dashboard!$B$4/252,"")</f>
        <v/>
      </c>
      <c r="G866" s="28">
        <f>IFERROR(E866-Dashboard!$B$4/252,"")</f>
        <v/>
      </c>
      <c r="H866" s="8">
        <f>IFERROR(IF(ISNUMBER(B866),MAX(B866,IFERROR(H865,B866)),""),"")</f>
        <v/>
      </c>
      <c r="I866" s="29">
        <f>IFERROR(IF(AND(ISNUMBER(B866),ISNUMBER(H866)),B866/H866-1,""),"")</f>
        <v/>
      </c>
      <c r="J866" s="8">
        <f>IFERROR(IF(ISNUMBER(C866),MAX(C866,IFERROR(J865,C866)),""),"")</f>
        <v/>
      </c>
      <c r="K866" s="29">
        <f>IFERROR(IF(AND(ISNUMBER(C866),ISNUMBER(J866)),C866/J866-1,""),"")</f>
        <v/>
      </c>
      <c r="L866" s="28">
        <f>IFERROR(IF(AND(ISNUMBER(D866),ISNUMBER(E866)),D866-E866,""),"")</f>
        <v/>
      </c>
    </row>
    <row r="867">
      <c r="A867" s="7">
        <f>IFERROR(Datos!A867,"")</f>
        <v/>
      </c>
      <c r="B867" s="8">
        <f>IFERROR(Datos!B867,"")</f>
        <v/>
      </c>
      <c r="C867" s="8">
        <f>IFERROR(Datos!C867,"")</f>
        <v/>
      </c>
      <c r="D867" s="28">
        <f>IFERROR(IF(AND(ISNUMBER(B867),ISNUMBER(B866),B866&lt;&gt;0),B867/B866-1,""),"")</f>
        <v/>
      </c>
      <c r="E867" s="28">
        <f>IFERROR(IF(AND(ISNUMBER(C867),ISNUMBER(C866),C866&lt;&gt;0),C867/C866-1,""),"")</f>
        <v/>
      </c>
      <c r="F867" s="28">
        <f>IFERROR(D867-Dashboard!$B$4/252,"")</f>
        <v/>
      </c>
      <c r="G867" s="28">
        <f>IFERROR(E867-Dashboard!$B$4/252,"")</f>
        <v/>
      </c>
      <c r="H867" s="8">
        <f>IFERROR(IF(ISNUMBER(B867),MAX(B867,IFERROR(H866,B867)),""),"")</f>
        <v/>
      </c>
      <c r="I867" s="29">
        <f>IFERROR(IF(AND(ISNUMBER(B867),ISNUMBER(H867)),B867/H867-1,""),"")</f>
        <v/>
      </c>
      <c r="J867" s="8">
        <f>IFERROR(IF(ISNUMBER(C867),MAX(C867,IFERROR(J866,C867)),""),"")</f>
        <v/>
      </c>
      <c r="K867" s="29">
        <f>IFERROR(IF(AND(ISNUMBER(C867),ISNUMBER(J867)),C867/J867-1,""),"")</f>
        <v/>
      </c>
      <c r="L867" s="28">
        <f>IFERROR(IF(AND(ISNUMBER(D867),ISNUMBER(E867)),D867-E867,""),"")</f>
        <v/>
      </c>
    </row>
    <row r="868">
      <c r="A868" s="7">
        <f>IFERROR(Datos!A868,"")</f>
        <v/>
      </c>
      <c r="B868" s="8">
        <f>IFERROR(Datos!B868,"")</f>
        <v/>
      </c>
      <c r="C868" s="8">
        <f>IFERROR(Datos!C868,"")</f>
        <v/>
      </c>
      <c r="D868" s="28">
        <f>IFERROR(IF(AND(ISNUMBER(B868),ISNUMBER(B867),B867&lt;&gt;0),B868/B867-1,""),"")</f>
        <v/>
      </c>
      <c r="E868" s="28">
        <f>IFERROR(IF(AND(ISNUMBER(C868),ISNUMBER(C867),C867&lt;&gt;0),C868/C867-1,""),"")</f>
        <v/>
      </c>
      <c r="F868" s="28">
        <f>IFERROR(D868-Dashboard!$B$4/252,"")</f>
        <v/>
      </c>
      <c r="G868" s="28">
        <f>IFERROR(E868-Dashboard!$B$4/252,"")</f>
        <v/>
      </c>
      <c r="H868" s="8">
        <f>IFERROR(IF(ISNUMBER(B868),MAX(B868,IFERROR(H867,B868)),""),"")</f>
        <v/>
      </c>
      <c r="I868" s="29">
        <f>IFERROR(IF(AND(ISNUMBER(B868),ISNUMBER(H868)),B868/H868-1,""),"")</f>
        <v/>
      </c>
      <c r="J868" s="8">
        <f>IFERROR(IF(ISNUMBER(C868),MAX(C868,IFERROR(J867,C868)),""),"")</f>
        <v/>
      </c>
      <c r="K868" s="29">
        <f>IFERROR(IF(AND(ISNUMBER(C868),ISNUMBER(J868)),C868/J868-1,""),"")</f>
        <v/>
      </c>
      <c r="L868" s="28">
        <f>IFERROR(IF(AND(ISNUMBER(D868),ISNUMBER(E868)),D868-E868,""),"")</f>
        <v/>
      </c>
    </row>
    <row r="869">
      <c r="A869" s="7">
        <f>IFERROR(Datos!A869,"")</f>
        <v/>
      </c>
      <c r="B869" s="8">
        <f>IFERROR(Datos!B869,"")</f>
        <v/>
      </c>
      <c r="C869" s="8">
        <f>IFERROR(Datos!C869,"")</f>
        <v/>
      </c>
      <c r="D869" s="28">
        <f>IFERROR(IF(AND(ISNUMBER(B869),ISNUMBER(B868),B868&lt;&gt;0),B869/B868-1,""),"")</f>
        <v/>
      </c>
      <c r="E869" s="28">
        <f>IFERROR(IF(AND(ISNUMBER(C869),ISNUMBER(C868),C868&lt;&gt;0),C869/C868-1,""),"")</f>
        <v/>
      </c>
      <c r="F869" s="28">
        <f>IFERROR(D869-Dashboard!$B$4/252,"")</f>
        <v/>
      </c>
      <c r="G869" s="28">
        <f>IFERROR(E869-Dashboard!$B$4/252,"")</f>
        <v/>
      </c>
      <c r="H869" s="8">
        <f>IFERROR(IF(ISNUMBER(B869),MAX(B869,IFERROR(H868,B869)),""),"")</f>
        <v/>
      </c>
      <c r="I869" s="29">
        <f>IFERROR(IF(AND(ISNUMBER(B869),ISNUMBER(H869)),B869/H869-1,""),"")</f>
        <v/>
      </c>
      <c r="J869" s="8">
        <f>IFERROR(IF(ISNUMBER(C869),MAX(C869,IFERROR(J868,C869)),""),"")</f>
        <v/>
      </c>
      <c r="K869" s="29">
        <f>IFERROR(IF(AND(ISNUMBER(C869),ISNUMBER(J869)),C869/J869-1,""),"")</f>
        <v/>
      </c>
      <c r="L869" s="28">
        <f>IFERROR(IF(AND(ISNUMBER(D869),ISNUMBER(E869)),D869-E869,""),"")</f>
        <v/>
      </c>
    </row>
    <row r="870">
      <c r="A870" s="7">
        <f>IFERROR(Datos!A870,"")</f>
        <v/>
      </c>
      <c r="B870" s="8">
        <f>IFERROR(Datos!B870,"")</f>
        <v/>
      </c>
      <c r="C870" s="8">
        <f>IFERROR(Datos!C870,"")</f>
        <v/>
      </c>
      <c r="D870" s="28">
        <f>IFERROR(IF(AND(ISNUMBER(B870),ISNUMBER(B869),B869&lt;&gt;0),B870/B869-1,""),"")</f>
        <v/>
      </c>
      <c r="E870" s="28">
        <f>IFERROR(IF(AND(ISNUMBER(C870),ISNUMBER(C869),C869&lt;&gt;0),C870/C869-1,""),"")</f>
        <v/>
      </c>
      <c r="F870" s="28">
        <f>IFERROR(D870-Dashboard!$B$4/252,"")</f>
        <v/>
      </c>
      <c r="G870" s="28">
        <f>IFERROR(E870-Dashboard!$B$4/252,"")</f>
        <v/>
      </c>
      <c r="H870" s="8">
        <f>IFERROR(IF(ISNUMBER(B870),MAX(B870,IFERROR(H869,B870)),""),"")</f>
        <v/>
      </c>
      <c r="I870" s="29">
        <f>IFERROR(IF(AND(ISNUMBER(B870),ISNUMBER(H870)),B870/H870-1,""),"")</f>
        <v/>
      </c>
      <c r="J870" s="8">
        <f>IFERROR(IF(ISNUMBER(C870),MAX(C870,IFERROR(J869,C870)),""),"")</f>
        <v/>
      </c>
      <c r="K870" s="29">
        <f>IFERROR(IF(AND(ISNUMBER(C870),ISNUMBER(J870)),C870/J870-1,""),"")</f>
        <v/>
      </c>
      <c r="L870" s="28">
        <f>IFERROR(IF(AND(ISNUMBER(D870),ISNUMBER(E870)),D870-E870,""),"")</f>
        <v/>
      </c>
    </row>
    <row r="871">
      <c r="A871" s="7">
        <f>IFERROR(Datos!A871,"")</f>
        <v/>
      </c>
      <c r="B871" s="8">
        <f>IFERROR(Datos!B871,"")</f>
        <v/>
      </c>
      <c r="C871" s="8">
        <f>IFERROR(Datos!C871,"")</f>
        <v/>
      </c>
      <c r="D871" s="28">
        <f>IFERROR(IF(AND(ISNUMBER(B871),ISNUMBER(B870),B870&lt;&gt;0),B871/B870-1,""),"")</f>
        <v/>
      </c>
      <c r="E871" s="28">
        <f>IFERROR(IF(AND(ISNUMBER(C871),ISNUMBER(C870),C870&lt;&gt;0),C871/C870-1,""),"")</f>
        <v/>
      </c>
      <c r="F871" s="28">
        <f>IFERROR(D871-Dashboard!$B$4/252,"")</f>
        <v/>
      </c>
      <c r="G871" s="28">
        <f>IFERROR(E871-Dashboard!$B$4/252,"")</f>
        <v/>
      </c>
      <c r="H871" s="8">
        <f>IFERROR(IF(ISNUMBER(B871),MAX(B871,IFERROR(H870,B871)),""),"")</f>
        <v/>
      </c>
      <c r="I871" s="29">
        <f>IFERROR(IF(AND(ISNUMBER(B871),ISNUMBER(H871)),B871/H871-1,""),"")</f>
        <v/>
      </c>
      <c r="J871" s="8">
        <f>IFERROR(IF(ISNUMBER(C871),MAX(C871,IFERROR(J870,C871)),""),"")</f>
        <v/>
      </c>
      <c r="K871" s="29">
        <f>IFERROR(IF(AND(ISNUMBER(C871),ISNUMBER(J871)),C871/J871-1,""),"")</f>
        <v/>
      </c>
      <c r="L871" s="28">
        <f>IFERROR(IF(AND(ISNUMBER(D871),ISNUMBER(E871)),D871-E871,""),"")</f>
        <v/>
      </c>
    </row>
    <row r="872">
      <c r="A872" s="7">
        <f>IFERROR(Datos!A872,"")</f>
        <v/>
      </c>
      <c r="B872" s="8">
        <f>IFERROR(Datos!B872,"")</f>
        <v/>
      </c>
      <c r="C872" s="8">
        <f>IFERROR(Datos!C872,"")</f>
        <v/>
      </c>
      <c r="D872" s="28">
        <f>IFERROR(IF(AND(ISNUMBER(B872),ISNUMBER(B871),B871&lt;&gt;0),B872/B871-1,""),"")</f>
        <v/>
      </c>
      <c r="E872" s="28">
        <f>IFERROR(IF(AND(ISNUMBER(C872),ISNUMBER(C871),C871&lt;&gt;0),C872/C871-1,""),"")</f>
        <v/>
      </c>
      <c r="F872" s="28">
        <f>IFERROR(D872-Dashboard!$B$4/252,"")</f>
        <v/>
      </c>
      <c r="G872" s="28">
        <f>IFERROR(E872-Dashboard!$B$4/252,"")</f>
        <v/>
      </c>
      <c r="H872" s="8">
        <f>IFERROR(IF(ISNUMBER(B872),MAX(B872,IFERROR(H871,B872)),""),"")</f>
        <v/>
      </c>
      <c r="I872" s="29">
        <f>IFERROR(IF(AND(ISNUMBER(B872),ISNUMBER(H872)),B872/H872-1,""),"")</f>
        <v/>
      </c>
      <c r="J872" s="8">
        <f>IFERROR(IF(ISNUMBER(C872),MAX(C872,IFERROR(J871,C872)),""),"")</f>
        <v/>
      </c>
      <c r="K872" s="29">
        <f>IFERROR(IF(AND(ISNUMBER(C872),ISNUMBER(J872)),C872/J872-1,""),"")</f>
        <v/>
      </c>
      <c r="L872" s="28">
        <f>IFERROR(IF(AND(ISNUMBER(D872),ISNUMBER(E872)),D872-E872,""),"")</f>
        <v/>
      </c>
    </row>
    <row r="873">
      <c r="A873" s="7">
        <f>IFERROR(Datos!A873,"")</f>
        <v/>
      </c>
      <c r="B873" s="8">
        <f>IFERROR(Datos!B873,"")</f>
        <v/>
      </c>
      <c r="C873" s="8">
        <f>IFERROR(Datos!C873,"")</f>
        <v/>
      </c>
      <c r="D873" s="28">
        <f>IFERROR(IF(AND(ISNUMBER(B873),ISNUMBER(B872),B872&lt;&gt;0),B873/B872-1,""),"")</f>
        <v/>
      </c>
      <c r="E873" s="28">
        <f>IFERROR(IF(AND(ISNUMBER(C873),ISNUMBER(C872),C872&lt;&gt;0),C873/C872-1,""),"")</f>
        <v/>
      </c>
      <c r="F873" s="28">
        <f>IFERROR(D873-Dashboard!$B$4/252,"")</f>
        <v/>
      </c>
      <c r="G873" s="28">
        <f>IFERROR(E873-Dashboard!$B$4/252,"")</f>
        <v/>
      </c>
      <c r="H873" s="8">
        <f>IFERROR(IF(ISNUMBER(B873),MAX(B873,IFERROR(H872,B873)),""),"")</f>
        <v/>
      </c>
      <c r="I873" s="29">
        <f>IFERROR(IF(AND(ISNUMBER(B873),ISNUMBER(H873)),B873/H873-1,""),"")</f>
        <v/>
      </c>
      <c r="J873" s="8">
        <f>IFERROR(IF(ISNUMBER(C873),MAX(C873,IFERROR(J872,C873)),""),"")</f>
        <v/>
      </c>
      <c r="K873" s="29">
        <f>IFERROR(IF(AND(ISNUMBER(C873),ISNUMBER(J873)),C873/J873-1,""),"")</f>
        <v/>
      </c>
      <c r="L873" s="28">
        <f>IFERROR(IF(AND(ISNUMBER(D873),ISNUMBER(E873)),D873-E873,""),"")</f>
        <v/>
      </c>
    </row>
    <row r="874">
      <c r="A874" s="7">
        <f>IFERROR(Datos!A874,"")</f>
        <v/>
      </c>
      <c r="B874" s="8">
        <f>IFERROR(Datos!B874,"")</f>
        <v/>
      </c>
      <c r="C874" s="8">
        <f>IFERROR(Datos!C874,"")</f>
        <v/>
      </c>
      <c r="D874" s="28">
        <f>IFERROR(IF(AND(ISNUMBER(B874),ISNUMBER(B873),B873&lt;&gt;0),B874/B873-1,""),"")</f>
        <v/>
      </c>
      <c r="E874" s="28">
        <f>IFERROR(IF(AND(ISNUMBER(C874),ISNUMBER(C873),C873&lt;&gt;0),C874/C873-1,""),"")</f>
        <v/>
      </c>
      <c r="F874" s="28">
        <f>IFERROR(D874-Dashboard!$B$4/252,"")</f>
        <v/>
      </c>
      <c r="G874" s="28">
        <f>IFERROR(E874-Dashboard!$B$4/252,"")</f>
        <v/>
      </c>
      <c r="H874" s="8">
        <f>IFERROR(IF(ISNUMBER(B874),MAX(B874,IFERROR(H873,B874)),""),"")</f>
        <v/>
      </c>
      <c r="I874" s="29">
        <f>IFERROR(IF(AND(ISNUMBER(B874),ISNUMBER(H874)),B874/H874-1,""),"")</f>
        <v/>
      </c>
      <c r="J874" s="8">
        <f>IFERROR(IF(ISNUMBER(C874),MAX(C874,IFERROR(J873,C874)),""),"")</f>
        <v/>
      </c>
      <c r="K874" s="29">
        <f>IFERROR(IF(AND(ISNUMBER(C874),ISNUMBER(J874)),C874/J874-1,""),"")</f>
        <v/>
      </c>
      <c r="L874" s="28">
        <f>IFERROR(IF(AND(ISNUMBER(D874),ISNUMBER(E874)),D874-E874,""),"")</f>
        <v/>
      </c>
    </row>
    <row r="875">
      <c r="A875" s="7">
        <f>IFERROR(Datos!A875,"")</f>
        <v/>
      </c>
      <c r="B875" s="8">
        <f>IFERROR(Datos!B875,"")</f>
        <v/>
      </c>
      <c r="C875" s="8">
        <f>IFERROR(Datos!C875,"")</f>
        <v/>
      </c>
      <c r="D875" s="28">
        <f>IFERROR(IF(AND(ISNUMBER(B875),ISNUMBER(B874),B874&lt;&gt;0),B875/B874-1,""),"")</f>
        <v/>
      </c>
      <c r="E875" s="28">
        <f>IFERROR(IF(AND(ISNUMBER(C875),ISNUMBER(C874),C874&lt;&gt;0),C875/C874-1,""),"")</f>
        <v/>
      </c>
      <c r="F875" s="28">
        <f>IFERROR(D875-Dashboard!$B$4/252,"")</f>
        <v/>
      </c>
      <c r="G875" s="28">
        <f>IFERROR(E875-Dashboard!$B$4/252,"")</f>
        <v/>
      </c>
      <c r="H875" s="8">
        <f>IFERROR(IF(ISNUMBER(B875),MAX(B875,IFERROR(H874,B875)),""),"")</f>
        <v/>
      </c>
      <c r="I875" s="29">
        <f>IFERROR(IF(AND(ISNUMBER(B875),ISNUMBER(H875)),B875/H875-1,""),"")</f>
        <v/>
      </c>
      <c r="J875" s="8">
        <f>IFERROR(IF(ISNUMBER(C875),MAX(C875,IFERROR(J874,C875)),""),"")</f>
        <v/>
      </c>
      <c r="K875" s="29">
        <f>IFERROR(IF(AND(ISNUMBER(C875),ISNUMBER(J875)),C875/J875-1,""),"")</f>
        <v/>
      </c>
      <c r="L875" s="28">
        <f>IFERROR(IF(AND(ISNUMBER(D875),ISNUMBER(E875)),D875-E875,""),"")</f>
        <v/>
      </c>
    </row>
    <row r="876">
      <c r="A876" s="7">
        <f>IFERROR(Datos!A876,"")</f>
        <v/>
      </c>
      <c r="B876" s="8">
        <f>IFERROR(Datos!B876,"")</f>
        <v/>
      </c>
      <c r="C876" s="8">
        <f>IFERROR(Datos!C876,"")</f>
        <v/>
      </c>
      <c r="D876" s="28">
        <f>IFERROR(IF(AND(ISNUMBER(B876),ISNUMBER(B875),B875&lt;&gt;0),B876/B875-1,""),"")</f>
        <v/>
      </c>
      <c r="E876" s="28">
        <f>IFERROR(IF(AND(ISNUMBER(C876),ISNUMBER(C875),C875&lt;&gt;0),C876/C875-1,""),"")</f>
        <v/>
      </c>
      <c r="F876" s="28">
        <f>IFERROR(D876-Dashboard!$B$4/252,"")</f>
        <v/>
      </c>
      <c r="G876" s="28">
        <f>IFERROR(E876-Dashboard!$B$4/252,"")</f>
        <v/>
      </c>
      <c r="H876" s="8">
        <f>IFERROR(IF(ISNUMBER(B876),MAX(B876,IFERROR(H875,B876)),""),"")</f>
        <v/>
      </c>
      <c r="I876" s="29">
        <f>IFERROR(IF(AND(ISNUMBER(B876),ISNUMBER(H876)),B876/H876-1,""),"")</f>
        <v/>
      </c>
      <c r="J876" s="8">
        <f>IFERROR(IF(ISNUMBER(C876),MAX(C876,IFERROR(J875,C876)),""),"")</f>
        <v/>
      </c>
      <c r="K876" s="29">
        <f>IFERROR(IF(AND(ISNUMBER(C876),ISNUMBER(J876)),C876/J876-1,""),"")</f>
        <v/>
      </c>
      <c r="L876" s="28">
        <f>IFERROR(IF(AND(ISNUMBER(D876),ISNUMBER(E876)),D876-E876,""),"")</f>
        <v/>
      </c>
    </row>
    <row r="877">
      <c r="A877" s="7">
        <f>IFERROR(Datos!A877,"")</f>
        <v/>
      </c>
      <c r="B877" s="8">
        <f>IFERROR(Datos!B877,"")</f>
        <v/>
      </c>
      <c r="C877" s="8">
        <f>IFERROR(Datos!C877,"")</f>
        <v/>
      </c>
      <c r="D877" s="28">
        <f>IFERROR(IF(AND(ISNUMBER(B877),ISNUMBER(B876),B876&lt;&gt;0),B877/B876-1,""),"")</f>
        <v/>
      </c>
      <c r="E877" s="28">
        <f>IFERROR(IF(AND(ISNUMBER(C877),ISNUMBER(C876),C876&lt;&gt;0),C877/C876-1,""),"")</f>
        <v/>
      </c>
      <c r="F877" s="28">
        <f>IFERROR(D877-Dashboard!$B$4/252,"")</f>
        <v/>
      </c>
      <c r="G877" s="28">
        <f>IFERROR(E877-Dashboard!$B$4/252,"")</f>
        <v/>
      </c>
      <c r="H877" s="8">
        <f>IFERROR(IF(ISNUMBER(B877),MAX(B877,IFERROR(H876,B877)),""),"")</f>
        <v/>
      </c>
      <c r="I877" s="29">
        <f>IFERROR(IF(AND(ISNUMBER(B877),ISNUMBER(H877)),B877/H877-1,""),"")</f>
        <v/>
      </c>
      <c r="J877" s="8">
        <f>IFERROR(IF(ISNUMBER(C877),MAX(C877,IFERROR(J876,C877)),""),"")</f>
        <v/>
      </c>
      <c r="K877" s="29">
        <f>IFERROR(IF(AND(ISNUMBER(C877),ISNUMBER(J877)),C877/J877-1,""),"")</f>
        <v/>
      </c>
      <c r="L877" s="28">
        <f>IFERROR(IF(AND(ISNUMBER(D877),ISNUMBER(E877)),D877-E877,""),"")</f>
        <v/>
      </c>
    </row>
    <row r="878">
      <c r="A878" s="7">
        <f>IFERROR(Datos!A878,"")</f>
        <v/>
      </c>
      <c r="B878" s="8">
        <f>IFERROR(Datos!B878,"")</f>
        <v/>
      </c>
      <c r="C878" s="8">
        <f>IFERROR(Datos!C878,"")</f>
        <v/>
      </c>
      <c r="D878" s="28">
        <f>IFERROR(IF(AND(ISNUMBER(B878),ISNUMBER(B877),B877&lt;&gt;0),B878/B877-1,""),"")</f>
        <v/>
      </c>
      <c r="E878" s="28">
        <f>IFERROR(IF(AND(ISNUMBER(C878),ISNUMBER(C877),C877&lt;&gt;0),C878/C877-1,""),"")</f>
        <v/>
      </c>
      <c r="F878" s="28">
        <f>IFERROR(D878-Dashboard!$B$4/252,"")</f>
        <v/>
      </c>
      <c r="G878" s="28">
        <f>IFERROR(E878-Dashboard!$B$4/252,"")</f>
        <v/>
      </c>
      <c r="H878" s="8">
        <f>IFERROR(IF(ISNUMBER(B878),MAX(B878,IFERROR(H877,B878)),""),"")</f>
        <v/>
      </c>
      <c r="I878" s="29">
        <f>IFERROR(IF(AND(ISNUMBER(B878),ISNUMBER(H878)),B878/H878-1,""),"")</f>
        <v/>
      </c>
      <c r="J878" s="8">
        <f>IFERROR(IF(ISNUMBER(C878),MAX(C878,IFERROR(J877,C878)),""),"")</f>
        <v/>
      </c>
      <c r="K878" s="29">
        <f>IFERROR(IF(AND(ISNUMBER(C878),ISNUMBER(J878)),C878/J878-1,""),"")</f>
        <v/>
      </c>
      <c r="L878" s="28">
        <f>IFERROR(IF(AND(ISNUMBER(D878),ISNUMBER(E878)),D878-E878,""),"")</f>
        <v/>
      </c>
    </row>
    <row r="879">
      <c r="A879" s="7">
        <f>IFERROR(Datos!A879,"")</f>
        <v/>
      </c>
      <c r="B879" s="8">
        <f>IFERROR(Datos!B879,"")</f>
        <v/>
      </c>
      <c r="C879" s="8">
        <f>IFERROR(Datos!C879,"")</f>
        <v/>
      </c>
      <c r="D879" s="28">
        <f>IFERROR(IF(AND(ISNUMBER(B879),ISNUMBER(B878),B878&lt;&gt;0),B879/B878-1,""),"")</f>
        <v/>
      </c>
      <c r="E879" s="28">
        <f>IFERROR(IF(AND(ISNUMBER(C879),ISNUMBER(C878),C878&lt;&gt;0),C879/C878-1,""),"")</f>
        <v/>
      </c>
      <c r="F879" s="28">
        <f>IFERROR(D879-Dashboard!$B$4/252,"")</f>
        <v/>
      </c>
      <c r="G879" s="28">
        <f>IFERROR(E879-Dashboard!$B$4/252,"")</f>
        <v/>
      </c>
      <c r="H879" s="8">
        <f>IFERROR(IF(ISNUMBER(B879),MAX(B879,IFERROR(H878,B879)),""),"")</f>
        <v/>
      </c>
      <c r="I879" s="29">
        <f>IFERROR(IF(AND(ISNUMBER(B879),ISNUMBER(H879)),B879/H879-1,""),"")</f>
        <v/>
      </c>
      <c r="J879" s="8">
        <f>IFERROR(IF(ISNUMBER(C879),MAX(C879,IFERROR(J878,C879)),""),"")</f>
        <v/>
      </c>
      <c r="K879" s="29">
        <f>IFERROR(IF(AND(ISNUMBER(C879),ISNUMBER(J879)),C879/J879-1,""),"")</f>
        <v/>
      </c>
      <c r="L879" s="28">
        <f>IFERROR(IF(AND(ISNUMBER(D879),ISNUMBER(E879)),D879-E879,""),"")</f>
        <v/>
      </c>
    </row>
    <row r="880">
      <c r="A880" s="7">
        <f>IFERROR(Datos!A880,"")</f>
        <v/>
      </c>
      <c r="B880" s="8">
        <f>IFERROR(Datos!B880,"")</f>
        <v/>
      </c>
      <c r="C880" s="8">
        <f>IFERROR(Datos!C880,"")</f>
        <v/>
      </c>
      <c r="D880" s="28">
        <f>IFERROR(IF(AND(ISNUMBER(B880),ISNUMBER(B879),B879&lt;&gt;0),B880/B879-1,""),"")</f>
        <v/>
      </c>
      <c r="E880" s="28">
        <f>IFERROR(IF(AND(ISNUMBER(C880),ISNUMBER(C879),C879&lt;&gt;0),C880/C879-1,""),"")</f>
        <v/>
      </c>
      <c r="F880" s="28">
        <f>IFERROR(D880-Dashboard!$B$4/252,"")</f>
        <v/>
      </c>
      <c r="G880" s="28">
        <f>IFERROR(E880-Dashboard!$B$4/252,"")</f>
        <v/>
      </c>
      <c r="H880" s="8">
        <f>IFERROR(IF(ISNUMBER(B880),MAX(B880,IFERROR(H879,B880)),""),"")</f>
        <v/>
      </c>
      <c r="I880" s="29">
        <f>IFERROR(IF(AND(ISNUMBER(B880),ISNUMBER(H880)),B880/H880-1,""),"")</f>
        <v/>
      </c>
      <c r="J880" s="8">
        <f>IFERROR(IF(ISNUMBER(C880),MAX(C880,IFERROR(J879,C880)),""),"")</f>
        <v/>
      </c>
      <c r="K880" s="29">
        <f>IFERROR(IF(AND(ISNUMBER(C880),ISNUMBER(J880)),C880/J880-1,""),"")</f>
        <v/>
      </c>
      <c r="L880" s="28">
        <f>IFERROR(IF(AND(ISNUMBER(D880),ISNUMBER(E880)),D880-E880,""),"")</f>
        <v/>
      </c>
    </row>
    <row r="881">
      <c r="A881" s="7">
        <f>IFERROR(Datos!A881,"")</f>
        <v/>
      </c>
      <c r="B881" s="8">
        <f>IFERROR(Datos!B881,"")</f>
        <v/>
      </c>
      <c r="C881" s="8">
        <f>IFERROR(Datos!C881,"")</f>
        <v/>
      </c>
      <c r="D881" s="28">
        <f>IFERROR(IF(AND(ISNUMBER(B881),ISNUMBER(B880),B880&lt;&gt;0),B881/B880-1,""),"")</f>
        <v/>
      </c>
      <c r="E881" s="28">
        <f>IFERROR(IF(AND(ISNUMBER(C881),ISNUMBER(C880),C880&lt;&gt;0),C881/C880-1,""),"")</f>
        <v/>
      </c>
      <c r="F881" s="28">
        <f>IFERROR(D881-Dashboard!$B$4/252,"")</f>
        <v/>
      </c>
      <c r="G881" s="28">
        <f>IFERROR(E881-Dashboard!$B$4/252,"")</f>
        <v/>
      </c>
      <c r="H881" s="8">
        <f>IFERROR(IF(ISNUMBER(B881),MAX(B881,IFERROR(H880,B881)),""),"")</f>
        <v/>
      </c>
      <c r="I881" s="29">
        <f>IFERROR(IF(AND(ISNUMBER(B881),ISNUMBER(H881)),B881/H881-1,""),"")</f>
        <v/>
      </c>
      <c r="J881" s="8">
        <f>IFERROR(IF(ISNUMBER(C881),MAX(C881,IFERROR(J880,C881)),""),"")</f>
        <v/>
      </c>
      <c r="K881" s="29">
        <f>IFERROR(IF(AND(ISNUMBER(C881),ISNUMBER(J881)),C881/J881-1,""),"")</f>
        <v/>
      </c>
      <c r="L881" s="28">
        <f>IFERROR(IF(AND(ISNUMBER(D881),ISNUMBER(E881)),D881-E881,""),"")</f>
        <v/>
      </c>
    </row>
    <row r="882">
      <c r="A882" s="7">
        <f>IFERROR(Datos!A882,"")</f>
        <v/>
      </c>
      <c r="B882" s="8">
        <f>IFERROR(Datos!B882,"")</f>
        <v/>
      </c>
      <c r="C882" s="8">
        <f>IFERROR(Datos!C882,"")</f>
        <v/>
      </c>
      <c r="D882" s="28">
        <f>IFERROR(IF(AND(ISNUMBER(B882),ISNUMBER(B881),B881&lt;&gt;0),B882/B881-1,""),"")</f>
        <v/>
      </c>
      <c r="E882" s="28">
        <f>IFERROR(IF(AND(ISNUMBER(C882),ISNUMBER(C881),C881&lt;&gt;0),C882/C881-1,""),"")</f>
        <v/>
      </c>
      <c r="F882" s="28">
        <f>IFERROR(D882-Dashboard!$B$4/252,"")</f>
        <v/>
      </c>
      <c r="G882" s="28">
        <f>IFERROR(E882-Dashboard!$B$4/252,"")</f>
        <v/>
      </c>
      <c r="H882" s="8">
        <f>IFERROR(IF(ISNUMBER(B882),MAX(B882,IFERROR(H881,B882)),""),"")</f>
        <v/>
      </c>
      <c r="I882" s="29">
        <f>IFERROR(IF(AND(ISNUMBER(B882),ISNUMBER(H882)),B882/H882-1,""),"")</f>
        <v/>
      </c>
      <c r="J882" s="8">
        <f>IFERROR(IF(ISNUMBER(C882),MAX(C882,IFERROR(J881,C882)),""),"")</f>
        <v/>
      </c>
      <c r="K882" s="29">
        <f>IFERROR(IF(AND(ISNUMBER(C882),ISNUMBER(J882)),C882/J882-1,""),"")</f>
        <v/>
      </c>
      <c r="L882" s="28">
        <f>IFERROR(IF(AND(ISNUMBER(D882),ISNUMBER(E882)),D882-E882,""),"")</f>
        <v/>
      </c>
    </row>
    <row r="883">
      <c r="A883" s="7">
        <f>IFERROR(Datos!A883,"")</f>
        <v/>
      </c>
      <c r="B883" s="8">
        <f>IFERROR(Datos!B883,"")</f>
        <v/>
      </c>
      <c r="C883" s="8">
        <f>IFERROR(Datos!C883,"")</f>
        <v/>
      </c>
      <c r="D883" s="28">
        <f>IFERROR(IF(AND(ISNUMBER(B883),ISNUMBER(B882),B882&lt;&gt;0),B883/B882-1,""),"")</f>
        <v/>
      </c>
      <c r="E883" s="28">
        <f>IFERROR(IF(AND(ISNUMBER(C883),ISNUMBER(C882),C882&lt;&gt;0),C883/C882-1,""),"")</f>
        <v/>
      </c>
      <c r="F883" s="28">
        <f>IFERROR(D883-Dashboard!$B$4/252,"")</f>
        <v/>
      </c>
      <c r="G883" s="28">
        <f>IFERROR(E883-Dashboard!$B$4/252,"")</f>
        <v/>
      </c>
      <c r="H883" s="8">
        <f>IFERROR(IF(ISNUMBER(B883),MAX(B883,IFERROR(H882,B883)),""),"")</f>
        <v/>
      </c>
      <c r="I883" s="29">
        <f>IFERROR(IF(AND(ISNUMBER(B883),ISNUMBER(H883)),B883/H883-1,""),"")</f>
        <v/>
      </c>
      <c r="J883" s="8">
        <f>IFERROR(IF(ISNUMBER(C883),MAX(C883,IFERROR(J882,C883)),""),"")</f>
        <v/>
      </c>
      <c r="K883" s="29">
        <f>IFERROR(IF(AND(ISNUMBER(C883),ISNUMBER(J883)),C883/J883-1,""),"")</f>
        <v/>
      </c>
      <c r="L883" s="28">
        <f>IFERROR(IF(AND(ISNUMBER(D883),ISNUMBER(E883)),D883-E883,""),"")</f>
        <v/>
      </c>
    </row>
    <row r="884">
      <c r="A884" s="7">
        <f>IFERROR(Datos!A884,"")</f>
        <v/>
      </c>
      <c r="B884" s="8">
        <f>IFERROR(Datos!B884,"")</f>
        <v/>
      </c>
      <c r="C884" s="8">
        <f>IFERROR(Datos!C884,"")</f>
        <v/>
      </c>
      <c r="D884" s="28">
        <f>IFERROR(IF(AND(ISNUMBER(B884),ISNUMBER(B883),B883&lt;&gt;0),B884/B883-1,""),"")</f>
        <v/>
      </c>
      <c r="E884" s="28">
        <f>IFERROR(IF(AND(ISNUMBER(C884),ISNUMBER(C883),C883&lt;&gt;0),C884/C883-1,""),"")</f>
        <v/>
      </c>
      <c r="F884" s="28">
        <f>IFERROR(D884-Dashboard!$B$4/252,"")</f>
        <v/>
      </c>
      <c r="G884" s="28">
        <f>IFERROR(E884-Dashboard!$B$4/252,"")</f>
        <v/>
      </c>
      <c r="H884" s="8">
        <f>IFERROR(IF(ISNUMBER(B884),MAX(B884,IFERROR(H883,B884)),""),"")</f>
        <v/>
      </c>
      <c r="I884" s="29">
        <f>IFERROR(IF(AND(ISNUMBER(B884),ISNUMBER(H884)),B884/H884-1,""),"")</f>
        <v/>
      </c>
      <c r="J884" s="8">
        <f>IFERROR(IF(ISNUMBER(C884),MAX(C884,IFERROR(J883,C884)),""),"")</f>
        <v/>
      </c>
      <c r="K884" s="29">
        <f>IFERROR(IF(AND(ISNUMBER(C884),ISNUMBER(J884)),C884/J884-1,""),"")</f>
        <v/>
      </c>
      <c r="L884" s="28">
        <f>IFERROR(IF(AND(ISNUMBER(D884),ISNUMBER(E884)),D884-E884,""),"")</f>
        <v/>
      </c>
    </row>
    <row r="885">
      <c r="A885" s="7">
        <f>IFERROR(Datos!A885,"")</f>
        <v/>
      </c>
      <c r="B885" s="8">
        <f>IFERROR(Datos!B885,"")</f>
        <v/>
      </c>
      <c r="C885" s="8">
        <f>IFERROR(Datos!C885,"")</f>
        <v/>
      </c>
      <c r="D885" s="28">
        <f>IFERROR(IF(AND(ISNUMBER(B885),ISNUMBER(B884),B884&lt;&gt;0),B885/B884-1,""),"")</f>
        <v/>
      </c>
      <c r="E885" s="28">
        <f>IFERROR(IF(AND(ISNUMBER(C885),ISNUMBER(C884),C884&lt;&gt;0),C885/C884-1,""),"")</f>
        <v/>
      </c>
      <c r="F885" s="28">
        <f>IFERROR(D885-Dashboard!$B$4/252,"")</f>
        <v/>
      </c>
      <c r="G885" s="28">
        <f>IFERROR(E885-Dashboard!$B$4/252,"")</f>
        <v/>
      </c>
      <c r="H885" s="8">
        <f>IFERROR(IF(ISNUMBER(B885),MAX(B885,IFERROR(H884,B885)),""),"")</f>
        <v/>
      </c>
      <c r="I885" s="29">
        <f>IFERROR(IF(AND(ISNUMBER(B885),ISNUMBER(H885)),B885/H885-1,""),"")</f>
        <v/>
      </c>
      <c r="J885" s="8">
        <f>IFERROR(IF(ISNUMBER(C885),MAX(C885,IFERROR(J884,C885)),""),"")</f>
        <v/>
      </c>
      <c r="K885" s="29">
        <f>IFERROR(IF(AND(ISNUMBER(C885),ISNUMBER(J885)),C885/J885-1,""),"")</f>
        <v/>
      </c>
      <c r="L885" s="28">
        <f>IFERROR(IF(AND(ISNUMBER(D885),ISNUMBER(E885)),D885-E885,""),"")</f>
        <v/>
      </c>
    </row>
    <row r="886">
      <c r="A886" s="7">
        <f>IFERROR(Datos!A886,"")</f>
        <v/>
      </c>
      <c r="B886" s="8">
        <f>IFERROR(Datos!B886,"")</f>
        <v/>
      </c>
      <c r="C886" s="8">
        <f>IFERROR(Datos!C886,"")</f>
        <v/>
      </c>
      <c r="D886" s="28">
        <f>IFERROR(IF(AND(ISNUMBER(B886),ISNUMBER(B885),B885&lt;&gt;0),B886/B885-1,""),"")</f>
        <v/>
      </c>
      <c r="E886" s="28">
        <f>IFERROR(IF(AND(ISNUMBER(C886),ISNUMBER(C885),C885&lt;&gt;0),C886/C885-1,""),"")</f>
        <v/>
      </c>
      <c r="F886" s="28">
        <f>IFERROR(D886-Dashboard!$B$4/252,"")</f>
        <v/>
      </c>
      <c r="G886" s="28">
        <f>IFERROR(E886-Dashboard!$B$4/252,"")</f>
        <v/>
      </c>
      <c r="H886" s="8">
        <f>IFERROR(IF(ISNUMBER(B886),MAX(B886,IFERROR(H885,B886)),""),"")</f>
        <v/>
      </c>
      <c r="I886" s="29">
        <f>IFERROR(IF(AND(ISNUMBER(B886),ISNUMBER(H886)),B886/H886-1,""),"")</f>
        <v/>
      </c>
      <c r="J886" s="8">
        <f>IFERROR(IF(ISNUMBER(C886),MAX(C886,IFERROR(J885,C886)),""),"")</f>
        <v/>
      </c>
      <c r="K886" s="29">
        <f>IFERROR(IF(AND(ISNUMBER(C886),ISNUMBER(J886)),C886/J886-1,""),"")</f>
        <v/>
      </c>
      <c r="L886" s="28">
        <f>IFERROR(IF(AND(ISNUMBER(D886),ISNUMBER(E886)),D886-E886,""),"")</f>
        <v/>
      </c>
    </row>
    <row r="887">
      <c r="A887" s="7">
        <f>IFERROR(Datos!A887,"")</f>
        <v/>
      </c>
      <c r="B887" s="8">
        <f>IFERROR(Datos!B887,"")</f>
        <v/>
      </c>
      <c r="C887" s="8">
        <f>IFERROR(Datos!C887,"")</f>
        <v/>
      </c>
      <c r="D887" s="28">
        <f>IFERROR(IF(AND(ISNUMBER(B887),ISNUMBER(B886),B886&lt;&gt;0),B887/B886-1,""),"")</f>
        <v/>
      </c>
      <c r="E887" s="28">
        <f>IFERROR(IF(AND(ISNUMBER(C887),ISNUMBER(C886),C886&lt;&gt;0),C887/C886-1,""),"")</f>
        <v/>
      </c>
      <c r="F887" s="28">
        <f>IFERROR(D887-Dashboard!$B$4/252,"")</f>
        <v/>
      </c>
      <c r="G887" s="28">
        <f>IFERROR(E887-Dashboard!$B$4/252,"")</f>
        <v/>
      </c>
      <c r="H887" s="8">
        <f>IFERROR(IF(ISNUMBER(B887),MAX(B887,IFERROR(H886,B887)),""),"")</f>
        <v/>
      </c>
      <c r="I887" s="29">
        <f>IFERROR(IF(AND(ISNUMBER(B887),ISNUMBER(H887)),B887/H887-1,""),"")</f>
        <v/>
      </c>
      <c r="J887" s="8">
        <f>IFERROR(IF(ISNUMBER(C887),MAX(C887,IFERROR(J886,C887)),""),"")</f>
        <v/>
      </c>
      <c r="K887" s="29">
        <f>IFERROR(IF(AND(ISNUMBER(C887),ISNUMBER(J887)),C887/J887-1,""),"")</f>
        <v/>
      </c>
      <c r="L887" s="28">
        <f>IFERROR(IF(AND(ISNUMBER(D887),ISNUMBER(E887)),D887-E887,""),"")</f>
        <v/>
      </c>
    </row>
    <row r="888">
      <c r="A888" s="7">
        <f>IFERROR(Datos!A888,"")</f>
        <v/>
      </c>
      <c r="B888" s="8">
        <f>IFERROR(Datos!B888,"")</f>
        <v/>
      </c>
      <c r="C888" s="8">
        <f>IFERROR(Datos!C888,"")</f>
        <v/>
      </c>
      <c r="D888" s="28">
        <f>IFERROR(IF(AND(ISNUMBER(B888),ISNUMBER(B887),B887&lt;&gt;0),B888/B887-1,""),"")</f>
        <v/>
      </c>
      <c r="E888" s="28">
        <f>IFERROR(IF(AND(ISNUMBER(C888),ISNUMBER(C887),C887&lt;&gt;0),C888/C887-1,""),"")</f>
        <v/>
      </c>
      <c r="F888" s="28">
        <f>IFERROR(D888-Dashboard!$B$4/252,"")</f>
        <v/>
      </c>
      <c r="G888" s="28">
        <f>IFERROR(E888-Dashboard!$B$4/252,"")</f>
        <v/>
      </c>
      <c r="H888" s="8">
        <f>IFERROR(IF(ISNUMBER(B888),MAX(B888,IFERROR(H887,B888)),""),"")</f>
        <v/>
      </c>
      <c r="I888" s="29">
        <f>IFERROR(IF(AND(ISNUMBER(B888),ISNUMBER(H888)),B888/H888-1,""),"")</f>
        <v/>
      </c>
      <c r="J888" s="8">
        <f>IFERROR(IF(ISNUMBER(C888),MAX(C888,IFERROR(J887,C888)),""),"")</f>
        <v/>
      </c>
      <c r="K888" s="29">
        <f>IFERROR(IF(AND(ISNUMBER(C888),ISNUMBER(J888)),C888/J888-1,""),"")</f>
        <v/>
      </c>
      <c r="L888" s="28">
        <f>IFERROR(IF(AND(ISNUMBER(D888),ISNUMBER(E888)),D888-E888,""),"")</f>
        <v/>
      </c>
    </row>
    <row r="889">
      <c r="A889" s="7">
        <f>IFERROR(Datos!A889,"")</f>
        <v/>
      </c>
      <c r="B889" s="8">
        <f>IFERROR(Datos!B889,"")</f>
        <v/>
      </c>
      <c r="C889" s="8">
        <f>IFERROR(Datos!C889,"")</f>
        <v/>
      </c>
      <c r="D889" s="28">
        <f>IFERROR(IF(AND(ISNUMBER(B889),ISNUMBER(B888),B888&lt;&gt;0),B889/B888-1,""),"")</f>
        <v/>
      </c>
      <c r="E889" s="28">
        <f>IFERROR(IF(AND(ISNUMBER(C889),ISNUMBER(C888),C888&lt;&gt;0),C889/C888-1,""),"")</f>
        <v/>
      </c>
      <c r="F889" s="28">
        <f>IFERROR(D889-Dashboard!$B$4/252,"")</f>
        <v/>
      </c>
      <c r="G889" s="28">
        <f>IFERROR(E889-Dashboard!$B$4/252,"")</f>
        <v/>
      </c>
      <c r="H889" s="8">
        <f>IFERROR(IF(ISNUMBER(B889),MAX(B889,IFERROR(H888,B889)),""),"")</f>
        <v/>
      </c>
      <c r="I889" s="29">
        <f>IFERROR(IF(AND(ISNUMBER(B889),ISNUMBER(H889)),B889/H889-1,""),"")</f>
        <v/>
      </c>
      <c r="J889" s="8">
        <f>IFERROR(IF(ISNUMBER(C889),MAX(C889,IFERROR(J888,C889)),""),"")</f>
        <v/>
      </c>
      <c r="K889" s="29">
        <f>IFERROR(IF(AND(ISNUMBER(C889),ISNUMBER(J889)),C889/J889-1,""),"")</f>
        <v/>
      </c>
      <c r="L889" s="28">
        <f>IFERROR(IF(AND(ISNUMBER(D889),ISNUMBER(E889)),D889-E889,""),"")</f>
        <v/>
      </c>
    </row>
    <row r="890">
      <c r="A890" s="7">
        <f>IFERROR(Datos!A890,"")</f>
        <v/>
      </c>
      <c r="B890" s="8">
        <f>IFERROR(Datos!B890,"")</f>
        <v/>
      </c>
      <c r="C890" s="8">
        <f>IFERROR(Datos!C890,"")</f>
        <v/>
      </c>
      <c r="D890" s="28">
        <f>IFERROR(IF(AND(ISNUMBER(B890),ISNUMBER(B889),B889&lt;&gt;0),B890/B889-1,""),"")</f>
        <v/>
      </c>
      <c r="E890" s="28">
        <f>IFERROR(IF(AND(ISNUMBER(C890),ISNUMBER(C889),C889&lt;&gt;0),C890/C889-1,""),"")</f>
        <v/>
      </c>
      <c r="F890" s="28">
        <f>IFERROR(D890-Dashboard!$B$4/252,"")</f>
        <v/>
      </c>
      <c r="G890" s="28">
        <f>IFERROR(E890-Dashboard!$B$4/252,"")</f>
        <v/>
      </c>
      <c r="H890" s="8">
        <f>IFERROR(IF(ISNUMBER(B890),MAX(B890,IFERROR(H889,B890)),""),"")</f>
        <v/>
      </c>
      <c r="I890" s="29">
        <f>IFERROR(IF(AND(ISNUMBER(B890),ISNUMBER(H890)),B890/H890-1,""),"")</f>
        <v/>
      </c>
      <c r="J890" s="8">
        <f>IFERROR(IF(ISNUMBER(C890),MAX(C890,IFERROR(J889,C890)),""),"")</f>
        <v/>
      </c>
      <c r="K890" s="29">
        <f>IFERROR(IF(AND(ISNUMBER(C890),ISNUMBER(J890)),C890/J890-1,""),"")</f>
        <v/>
      </c>
      <c r="L890" s="28">
        <f>IFERROR(IF(AND(ISNUMBER(D890),ISNUMBER(E890)),D890-E890,""),"")</f>
        <v/>
      </c>
    </row>
    <row r="891">
      <c r="A891" s="7">
        <f>IFERROR(Datos!A891,"")</f>
        <v/>
      </c>
      <c r="B891" s="8">
        <f>IFERROR(Datos!B891,"")</f>
        <v/>
      </c>
      <c r="C891" s="8">
        <f>IFERROR(Datos!C891,"")</f>
        <v/>
      </c>
      <c r="D891" s="28">
        <f>IFERROR(IF(AND(ISNUMBER(B891),ISNUMBER(B890),B890&lt;&gt;0),B891/B890-1,""),"")</f>
        <v/>
      </c>
      <c r="E891" s="28">
        <f>IFERROR(IF(AND(ISNUMBER(C891),ISNUMBER(C890),C890&lt;&gt;0),C891/C890-1,""),"")</f>
        <v/>
      </c>
      <c r="F891" s="28">
        <f>IFERROR(D891-Dashboard!$B$4/252,"")</f>
        <v/>
      </c>
      <c r="G891" s="28">
        <f>IFERROR(E891-Dashboard!$B$4/252,"")</f>
        <v/>
      </c>
      <c r="H891" s="8">
        <f>IFERROR(IF(ISNUMBER(B891),MAX(B891,IFERROR(H890,B891)),""),"")</f>
        <v/>
      </c>
      <c r="I891" s="29">
        <f>IFERROR(IF(AND(ISNUMBER(B891),ISNUMBER(H891)),B891/H891-1,""),"")</f>
        <v/>
      </c>
      <c r="J891" s="8">
        <f>IFERROR(IF(ISNUMBER(C891),MAX(C891,IFERROR(J890,C891)),""),"")</f>
        <v/>
      </c>
      <c r="K891" s="29">
        <f>IFERROR(IF(AND(ISNUMBER(C891),ISNUMBER(J891)),C891/J891-1,""),"")</f>
        <v/>
      </c>
      <c r="L891" s="28">
        <f>IFERROR(IF(AND(ISNUMBER(D891),ISNUMBER(E891)),D891-E891,""),"")</f>
        <v/>
      </c>
    </row>
    <row r="892">
      <c r="A892" s="7">
        <f>IFERROR(Datos!A892,"")</f>
        <v/>
      </c>
      <c r="B892" s="8">
        <f>IFERROR(Datos!B892,"")</f>
        <v/>
      </c>
      <c r="C892" s="8">
        <f>IFERROR(Datos!C892,"")</f>
        <v/>
      </c>
      <c r="D892" s="28">
        <f>IFERROR(IF(AND(ISNUMBER(B892),ISNUMBER(B891),B891&lt;&gt;0),B892/B891-1,""),"")</f>
        <v/>
      </c>
      <c r="E892" s="28">
        <f>IFERROR(IF(AND(ISNUMBER(C892),ISNUMBER(C891),C891&lt;&gt;0),C892/C891-1,""),"")</f>
        <v/>
      </c>
      <c r="F892" s="28">
        <f>IFERROR(D892-Dashboard!$B$4/252,"")</f>
        <v/>
      </c>
      <c r="G892" s="28">
        <f>IFERROR(E892-Dashboard!$B$4/252,"")</f>
        <v/>
      </c>
      <c r="H892" s="8">
        <f>IFERROR(IF(ISNUMBER(B892),MAX(B892,IFERROR(H891,B892)),""),"")</f>
        <v/>
      </c>
      <c r="I892" s="29">
        <f>IFERROR(IF(AND(ISNUMBER(B892),ISNUMBER(H892)),B892/H892-1,""),"")</f>
        <v/>
      </c>
      <c r="J892" s="8">
        <f>IFERROR(IF(ISNUMBER(C892),MAX(C892,IFERROR(J891,C892)),""),"")</f>
        <v/>
      </c>
      <c r="K892" s="29">
        <f>IFERROR(IF(AND(ISNUMBER(C892),ISNUMBER(J892)),C892/J892-1,""),"")</f>
        <v/>
      </c>
      <c r="L892" s="28">
        <f>IFERROR(IF(AND(ISNUMBER(D892),ISNUMBER(E892)),D892-E892,""),"")</f>
        <v/>
      </c>
    </row>
    <row r="893">
      <c r="A893" s="7">
        <f>IFERROR(Datos!A893,"")</f>
        <v/>
      </c>
      <c r="B893" s="8">
        <f>IFERROR(Datos!B893,"")</f>
        <v/>
      </c>
      <c r="C893" s="8">
        <f>IFERROR(Datos!C893,"")</f>
        <v/>
      </c>
      <c r="D893" s="28">
        <f>IFERROR(IF(AND(ISNUMBER(B893),ISNUMBER(B892),B892&lt;&gt;0),B893/B892-1,""),"")</f>
        <v/>
      </c>
      <c r="E893" s="28">
        <f>IFERROR(IF(AND(ISNUMBER(C893),ISNUMBER(C892),C892&lt;&gt;0),C893/C892-1,""),"")</f>
        <v/>
      </c>
      <c r="F893" s="28">
        <f>IFERROR(D893-Dashboard!$B$4/252,"")</f>
        <v/>
      </c>
      <c r="G893" s="28">
        <f>IFERROR(E893-Dashboard!$B$4/252,"")</f>
        <v/>
      </c>
      <c r="H893" s="8">
        <f>IFERROR(IF(ISNUMBER(B893),MAX(B893,IFERROR(H892,B893)),""),"")</f>
        <v/>
      </c>
      <c r="I893" s="29">
        <f>IFERROR(IF(AND(ISNUMBER(B893),ISNUMBER(H893)),B893/H893-1,""),"")</f>
        <v/>
      </c>
      <c r="J893" s="8">
        <f>IFERROR(IF(ISNUMBER(C893),MAX(C893,IFERROR(J892,C893)),""),"")</f>
        <v/>
      </c>
      <c r="K893" s="29">
        <f>IFERROR(IF(AND(ISNUMBER(C893),ISNUMBER(J893)),C893/J893-1,""),"")</f>
        <v/>
      </c>
      <c r="L893" s="28">
        <f>IFERROR(IF(AND(ISNUMBER(D893),ISNUMBER(E893)),D893-E893,""),"")</f>
        <v/>
      </c>
    </row>
    <row r="894">
      <c r="A894" s="7">
        <f>IFERROR(Datos!A894,"")</f>
        <v/>
      </c>
      <c r="B894" s="8">
        <f>IFERROR(Datos!B894,"")</f>
        <v/>
      </c>
      <c r="C894" s="8">
        <f>IFERROR(Datos!C894,"")</f>
        <v/>
      </c>
      <c r="D894" s="28">
        <f>IFERROR(IF(AND(ISNUMBER(B894),ISNUMBER(B893),B893&lt;&gt;0),B894/B893-1,""),"")</f>
        <v/>
      </c>
      <c r="E894" s="28">
        <f>IFERROR(IF(AND(ISNUMBER(C894),ISNUMBER(C893),C893&lt;&gt;0),C894/C893-1,""),"")</f>
        <v/>
      </c>
      <c r="F894" s="28">
        <f>IFERROR(D894-Dashboard!$B$4/252,"")</f>
        <v/>
      </c>
      <c r="G894" s="28">
        <f>IFERROR(E894-Dashboard!$B$4/252,"")</f>
        <v/>
      </c>
      <c r="H894" s="8">
        <f>IFERROR(IF(ISNUMBER(B894),MAX(B894,IFERROR(H893,B894)),""),"")</f>
        <v/>
      </c>
      <c r="I894" s="29">
        <f>IFERROR(IF(AND(ISNUMBER(B894),ISNUMBER(H894)),B894/H894-1,""),"")</f>
        <v/>
      </c>
      <c r="J894" s="8">
        <f>IFERROR(IF(ISNUMBER(C894),MAX(C894,IFERROR(J893,C894)),""),"")</f>
        <v/>
      </c>
      <c r="K894" s="29">
        <f>IFERROR(IF(AND(ISNUMBER(C894),ISNUMBER(J894)),C894/J894-1,""),"")</f>
        <v/>
      </c>
      <c r="L894" s="28">
        <f>IFERROR(IF(AND(ISNUMBER(D894),ISNUMBER(E894)),D894-E894,""),"")</f>
        <v/>
      </c>
    </row>
    <row r="895">
      <c r="A895" s="7">
        <f>IFERROR(Datos!A895,"")</f>
        <v/>
      </c>
      <c r="B895" s="8">
        <f>IFERROR(Datos!B895,"")</f>
        <v/>
      </c>
      <c r="C895" s="8">
        <f>IFERROR(Datos!C895,"")</f>
        <v/>
      </c>
      <c r="D895" s="28">
        <f>IFERROR(IF(AND(ISNUMBER(B895),ISNUMBER(B894),B894&lt;&gt;0),B895/B894-1,""),"")</f>
        <v/>
      </c>
      <c r="E895" s="28">
        <f>IFERROR(IF(AND(ISNUMBER(C895),ISNUMBER(C894),C894&lt;&gt;0),C895/C894-1,""),"")</f>
        <v/>
      </c>
      <c r="F895" s="28">
        <f>IFERROR(D895-Dashboard!$B$4/252,"")</f>
        <v/>
      </c>
      <c r="G895" s="28">
        <f>IFERROR(E895-Dashboard!$B$4/252,"")</f>
        <v/>
      </c>
      <c r="H895" s="8">
        <f>IFERROR(IF(ISNUMBER(B895),MAX(B895,IFERROR(H894,B895)),""),"")</f>
        <v/>
      </c>
      <c r="I895" s="29">
        <f>IFERROR(IF(AND(ISNUMBER(B895),ISNUMBER(H895)),B895/H895-1,""),"")</f>
        <v/>
      </c>
      <c r="J895" s="8">
        <f>IFERROR(IF(ISNUMBER(C895),MAX(C895,IFERROR(J894,C895)),""),"")</f>
        <v/>
      </c>
      <c r="K895" s="29">
        <f>IFERROR(IF(AND(ISNUMBER(C895),ISNUMBER(J895)),C895/J895-1,""),"")</f>
        <v/>
      </c>
      <c r="L895" s="28">
        <f>IFERROR(IF(AND(ISNUMBER(D895),ISNUMBER(E895)),D895-E895,""),"")</f>
        <v/>
      </c>
    </row>
    <row r="896">
      <c r="A896" s="7">
        <f>IFERROR(Datos!A896,"")</f>
        <v/>
      </c>
      <c r="B896" s="8">
        <f>IFERROR(Datos!B896,"")</f>
        <v/>
      </c>
      <c r="C896" s="8">
        <f>IFERROR(Datos!C896,"")</f>
        <v/>
      </c>
      <c r="D896" s="28">
        <f>IFERROR(IF(AND(ISNUMBER(B896),ISNUMBER(B895),B895&lt;&gt;0),B896/B895-1,""),"")</f>
        <v/>
      </c>
      <c r="E896" s="28">
        <f>IFERROR(IF(AND(ISNUMBER(C896),ISNUMBER(C895),C895&lt;&gt;0),C896/C895-1,""),"")</f>
        <v/>
      </c>
      <c r="F896" s="28">
        <f>IFERROR(D896-Dashboard!$B$4/252,"")</f>
        <v/>
      </c>
      <c r="G896" s="28">
        <f>IFERROR(E896-Dashboard!$B$4/252,"")</f>
        <v/>
      </c>
      <c r="H896" s="8">
        <f>IFERROR(IF(ISNUMBER(B896),MAX(B896,IFERROR(H895,B896)),""),"")</f>
        <v/>
      </c>
      <c r="I896" s="29">
        <f>IFERROR(IF(AND(ISNUMBER(B896),ISNUMBER(H896)),B896/H896-1,""),"")</f>
        <v/>
      </c>
      <c r="J896" s="8">
        <f>IFERROR(IF(ISNUMBER(C896),MAX(C896,IFERROR(J895,C896)),""),"")</f>
        <v/>
      </c>
      <c r="K896" s="29">
        <f>IFERROR(IF(AND(ISNUMBER(C896),ISNUMBER(J896)),C896/J896-1,""),"")</f>
        <v/>
      </c>
      <c r="L896" s="28">
        <f>IFERROR(IF(AND(ISNUMBER(D896),ISNUMBER(E896)),D896-E896,""),"")</f>
        <v/>
      </c>
    </row>
    <row r="897">
      <c r="A897" s="7">
        <f>IFERROR(Datos!A897,"")</f>
        <v/>
      </c>
      <c r="B897" s="8">
        <f>IFERROR(Datos!B897,"")</f>
        <v/>
      </c>
      <c r="C897" s="8">
        <f>IFERROR(Datos!C897,"")</f>
        <v/>
      </c>
      <c r="D897" s="28">
        <f>IFERROR(IF(AND(ISNUMBER(B897),ISNUMBER(B896),B896&lt;&gt;0),B897/B896-1,""),"")</f>
        <v/>
      </c>
      <c r="E897" s="28">
        <f>IFERROR(IF(AND(ISNUMBER(C897),ISNUMBER(C896),C896&lt;&gt;0),C897/C896-1,""),"")</f>
        <v/>
      </c>
      <c r="F897" s="28">
        <f>IFERROR(D897-Dashboard!$B$4/252,"")</f>
        <v/>
      </c>
      <c r="G897" s="28">
        <f>IFERROR(E897-Dashboard!$B$4/252,"")</f>
        <v/>
      </c>
      <c r="H897" s="8">
        <f>IFERROR(IF(ISNUMBER(B897),MAX(B897,IFERROR(H896,B897)),""),"")</f>
        <v/>
      </c>
      <c r="I897" s="29">
        <f>IFERROR(IF(AND(ISNUMBER(B897),ISNUMBER(H897)),B897/H897-1,""),"")</f>
        <v/>
      </c>
      <c r="J897" s="8">
        <f>IFERROR(IF(ISNUMBER(C897),MAX(C897,IFERROR(J896,C897)),""),"")</f>
        <v/>
      </c>
      <c r="K897" s="29">
        <f>IFERROR(IF(AND(ISNUMBER(C897),ISNUMBER(J897)),C897/J897-1,""),"")</f>
        <v/>
      </c>
      <c r="L897" s="28">
        <f>IFERROR(IF(AND(ISNUMBER(D897),ISNUMBER(E897)),D897-E897,""),"")</f>
        <v/>
      </c>
    </row>
    <row r="898">
      <c r="A898" s="7">
        <f>IFERROR(Datos!A898,"")</f>
        <v/>
      </c>
      <c r="B898" s="8">
        <f>IFERROR(Datos!B898,"")</f>
        <v/>
      </c>
      <c r="C898" s="8">
        <f>IFERROR(Datos!C898,"")</f>
        <v/>
      </c>
      <c r="D898" s="28">
        <f>IFERROR(IF(AND(ISNUMBER(B898),ISNUMBER(B897),B897&lt;&gt;0),B898/B897-1,""),"")</f>
        <v/>
      </c>
      <c r="E898" s="28">
        <f>IFERROR(IF(AND(ISNUMBER(C898),ISNUMBER(C897),C897&lt;&gt;0),C898/C897-1,""),"")</f>
        <v/>
      </c>
      <c r="F898" s="28">
        <f>IFERROR(D898-Dashboard!$B$4/252,"")</f>
        <v/>
      </c>
      <c r="G898" s="28">
        <f>IFERROR(E898-Dashboard!$B$4/252,"")</f>
        <v/>
      </c>
      <c r="H898" s="8">
        <f>IFERROR(IF(ISNUMBER(B898),MAX(B898,IFERROR(H897,B898)),""),"")</f>
        <v/>
      </c>
      <c r="I898" s="29">
        <f>IFERROR(IF(AND(ISNUMBER(B898),ISNUMBER(H898)),B898/H898-1,""),"")</f>
        <v/>
      </c>
      <c r="J898" s="8">
        <f>IFERROR(IF(ISNUMBER(C898),MAX(C898,IFERROR(J897,C898)),""),"")</f>
        <v/>
      </c>
      <c r="K898" s="29">
        <f>IFERROR(IF(AND(ISNUMBER(C898),ISNUMBER(J898)),C898/J898-1,""),"")</f>
        <v/>
      </c>
      <c r="L898" s="28">
        <f>IFERROR(IF(AND(ISNUMBER(D898),ISNUMBER(E898)),D898-E898,""),"")</f>
        <v/>
      </c>
    </row>
    <row r="899">
      <c r="A899" s="7">
        <f>IFERROR(Datos!A899,"")</f>
        <v/>
      </c>
      <c r="B899" s="8">
        <f>IFERROR(Datos!B899,"")</f>
        <v/>
      </c>
      <c r="C899" s="8">
        <f>IFERROR(Datos!C899,"")</f>
        <v/>
      </c>
      <c r="D899" s="28">
        <f>IFERROR(IF(AND(ISNUMBER(B899),ISNUMBER(B898),B898&lt;&gt;0),B899/B898-1,""),"")</f>
        <v/>
      </c>
      <c r="E899" s="28">
        <f>IFERROR(IF(AND(ISNUMBER(C899),ISNUMBER(C898),C898&lt;&gt;0),C899/C898-1,""),"")</f>
        <v/>
      </c>
      <c r="F899" s="28">
        <f>IFERROR(D899-Dashboard!$B$4/252,"")</f>
        <v/>
      </c>
      <c r="G899" s="28">
        <f>IFERROR(E899-Dashboard!$B$4/252,"")</f>
        <v/>
      </c>
      <c r="H899" s="8">
        <f>IFERROR(IF(ISNUMBER(B899),MAX(B899,IFERROR(H898,B899)),""),"")</f>
        <v/>
      </c>
      <c r="I899" s="29">
        <f>IFERROR(IF(AND(ISNUMBER(B899),ISNUMBER(H899)),B899/H899-1,""),"")</f>
        <v/>
      </c>
      <c r="J899" s="8">
        <f>IFERROR(IF(ISNUMBER(C899),MAX(C899,IFERROR(J898,C899)),""),"")</f>
        <v/>
      </c>
      <c r="K899" s="29">
        <f>IFERROR(IF(AND(ISNUMBER(C899),ISNUMBER(J899)),C899/J899-1,""),"")</f>
        <v/>
      </c>
      <c r="L899" s="28">
        <f>IFERROR(IF(AND(ISNUMBER(D899),ISNUMBER(E899)),D899-E899,""),"")</f>
        <v/>
      </c>
    </row>
    <row r="900">
      <c r="A900" s="7">
        <f>IFERROR(Datos!A900,"")</f>
        <v/>
      </c>
      <c r="B900" s="8">
        <f>IFERROR(Datos!B900,"")</f>
        <v/>
      </c>
      <c r="C900" s="8">
        <f>IFERROR(Datos!C900,"")</f>
        <v/>
      </c>
      <c r="D900" s="28">
        <f>IFERROR(IF(AND(ISNUMBER(B900),ISNUMBER(B899),B899&lt;&gt;0),B900/B899-1,""),"")</f>
        <v/>
      </c>
      <c r="E900" s="28">
        <f>IFERROR(IF(AND(ISNUMBER(C900),ISNUMBER(C899),C899&lt;&gt;0),C900/C899-1,""),"")</f>
        <v/>
      </c>
      <c r="F900" s="28">
        <f>IFERROR(D900-Dashboard!$B$4/252,"")</f>
        <v/>
      </c>
      <c r="G900" s="28">
        <f>IFERROR(E900-Dashboard!$B$4/252,"")</f>
        <v/>
      </c>
      <c r="H900" s="8">
        <f>IFERROR(IF(ISNUMBER(B900),MAX(B900,IFERROR(H899,B900)),""),"")</f>
        <v/>
      </c>
      <c r="I900" s="29">
        <f>IFERROR(IF(AND(ISNUMBER(B900),ISNUMBER(H900)),B900/H900-1,""),"")</f>
        <v/>
      </c>
      <c r="J900" s="8">
        <f>IFERROR(IF(ISNUMBER(C900),MAX(C900,IFERROR(J899,C900)),""),"")</f>
        <v/>
      </c>
      <c r="K900" s="29">
        <f>IFERROR(IF(AND(ISNUMBER(C900),ISNUMBER(J900)),C900/J900-1,""),"")</f>
        <v/>
      </c>
      <c r="L900" s="28">
        <f>IFERROR(IF(AND(ISNUMBER(D900),ISNUMBER(E900)),D900-E900,""),"")</f>
        <v/>
      </c>
    </row>
    <row r="901">
      <c r="A901" s="7">
        <f>IFERROR(Datos!A901,"")</f>
        <v/>
      </c>
      <c r="B901" s="8">
        <f>IFERROR(Datos!B901,"")</f>
        <v/>
      </c>
      <c r="C901" s="8">
        <f>IFERROR(Datos!C901,"")</f>
        <v/>
      </c>
      <c r="D901" s="28">
        <f>IFERROR(IF(AND(ISNUMBER(B901),ISNUMBER(B900),B900&lt;&gt;0),B901/B900-1,""),"")</f>
        <v/>
      </c>
      <c r="E901" s="28">
        <f>IFERROR(IF(AND(ISNUMBER(C901),ISNUMBER(C900),C900&lt;&gt;0),C901/C900-1,""),"")</f>
        <v/>
      </c>
      <c r="F901" s="28">
        <f>IFERROR(D901-Dashboard!$B$4/252,"")</f>
        <v/>
      </c>
      <c r="G901" s="28">
        <f>IFERROR(E901-Dashboard!$B$4/252,"")</f>
        <v/>
      </c>
      <c r="H901" s="8">
        <f>IFERROR(IF(ISNUMBER(B901),MAX(B901,IFERROR(H900,B901)),""),"")</f>
        <v/>
      </c>
      <c r="I901" s="29">
        <f>IFERROR(IF(AND(ISNUMBER(B901),ISNUMBER(H901)),B901/H901-1,""),"")</f>
        <v/>
      </c>
      <c r="J901" s="8">
        <f>IFERROR(IF(ISNUMBER(C901),MAX(C901,IFERROR(J900,C901)),""),"")</f>
        <v/>
      </c>
      <c r="K901" s="29">
        <f>IFERROR(IF(AND(ISNUMBER(C901),ISNUMBER(J901)),C901/J901-1,""),"")</f>
        <v/>
      </c>
      <c r="L901" s="28">
        <f>IFERROR(IF(AND(ISNUMBER(D901),ISNUMBER(E901)),D901-E901,""),"")</f>
        <v/>
      </c>
    </row>
    <row r="902">
      <c r="A902" s="7">
        <f>IFERROR(Datos!A902,"")</f>
        <v/>
      </c>
      <c r="B902" s="8">
        <f>IFERROR(Datos!B902,"")</f>
        <v/>
      </c>
      <c r="C902" s="8">
        <f>IFERROR(Datos!C902,"")</f>
        <v/>
      </c>
      <c r="D902" s="28">
        <f>IFERROR(IF(AND(ISNUMBER(B902),ISNUMBER(B901),B901&lt;&gt;0),B902/B901-1,""),"")</f>
        <v/>
      </c>
      <c r="E902" s="28">
        <f>IFERROR(IF(AND(ISNUMBER(C902),ISNUMBER(C901),C901&lt;&gt;0),C902/C901-1,""),"")</f>
        <v/>
      </c>
      <c r="F902" s="28">
        <f>IFERROR(D902-Dashboard!$B$4/252,"")</f>
        <v/>
      </c>
      <c r="G902" s="28">
        <f>IFERROR(E902-Dashboard!$B$4/252,"")</f>
        <v/>
      </c>
      <c r="H902" s="8">
        <f>IFERROR(IF(ISNUMBER(B902),MAX(B902,IFERROR(H901,B902)),""),"")</f>
        <v/>
      </c>
      <c r="I902" s="29">
        <f>IFERROR(IF(AND(ISNUMBER(B902),ISNUMBER(H902)),B902/H902-1,""),"")</f>
        <v/>
      </c>
      <c r="J902" s="8">
        <f>IFERROR(IF(ISNUMBER(C902),MAX(C902,IFERROR(J901,C902)),""),"")</f>
        <v/>
      </c>
      <c r="K902" s="29">
        <f>IFERROR(IF(AND(ISNUMBER(C902),ISNUMBER(J902)),C902/J902-1,""),"")</f>
        <v/>
      </c>
      <c r="L902" s="28">
        <f>IFERROR(IF(AND(ISNUMBER(D902),ISNUMBER(E902)),D902-E902,""),"")</f>
        <v/>
      </c>
    </row>
    <row r="903">
      <c r="A903" s="7">
        <f>IFERROR(Datos!A903,"")</f>
        <v/>
      </c>
      <c r="B903" s="8">
        <f>IFERROR(Datos!B903,"")</f>
        <v/>
      </c>
      <c r="C903" s="8">
        <f>IFERROR(Datos!C903,"")</f>
        <v/>
      </c>
      <c r="D903" s="28">
        <f>IFERROR(IF(AND(ISNUMBER(B903),ISNUMBER(B902),B902&lt;&gt;0),B903/B902-1,""),"")</f>
        <v/>
      </c>
      <c r="E903" s="28">
        <f>IFERROR(IF(AND(ISNUMBER(C903),ISNUMBER(C902),C902&lt;&gt;0),C903/C902-1,""),"")</f>
        <v/>
      </c>
      <c r="F903" s="28">
        <f>IFERROR(D903-Dashboard!$B$4/252,"")</f>
        <v/>
      </c>
      <c r="G903" s="28">
        <f>IFERROR(E903-Dashboard!$B$4/252,"")</f>
        <v/>
      </c>
      <c r="H903" s="8">
        <f>IFERROR(IF(ISNUMBER(B903),MAX(B903,IFERROR(H902,B903)),""),"")</f>
        <v/>
      </c>
      <c r="I903" s="29">
        <f>IFERROR(IF(AND(ISNUMBER(B903),ISNUMBER(H903)),B903/H903-1,""),"")</f>
        <v/>
      </c>
      <c r="J903" s="8">
        <f>IFERROR(IF(ISNUMBER(C903),MAX(C903,IFERROR(J902,C903)),""),"")</f>
        <v/>
      </c>
      <c r="K903" s="29">
        <f>IFERROR(IF(AND(ISNUMBER(C903),ISNUMBER(J903)),C903/J903-1,""),"")</f>
        <v/>
      </c>
      <c r="L903" s="28">
        <f>IFERROR(IF(AND(ISNUMBER(D903),ISNUMBER(E903)),D903-E903,""),"")</f>
        <v/>
      </c>
    </row>
    <row r="904">
      <c r="A904" s="7">
        <f>IFERROR(Datos!A904,"")</f>
        <v/>
      </c>
      <c r="B904" s="8">
        <f>IFERROR(Datos!B904,"")</f>
        <v/>
      </c>
      <c r="C904" s="8">
        <f>IFERROR(Datos!C904,"")</f>
        <v/>
      </c>
      <c r="D904" s="28">
        <f>IFERROR(IF(AND(ISNUMBER(B904),ISNUMBER(B903),B903&lt;&gt;0),B904/B903-1,""),"")</f>
        <v/>
      </c>
      <c r="E904" s="28">
        <f>IFERROR(IF(AND(ISNUMBER(C904),ISNUMBER(C903),C903&lt;&gt;0),C904/C903-1,""),"")</f>
        <v/>
      </c>
      <c r="F904" s="28">
        <f>IFERROR(D904-Dashboard!$B$4/252,"")</f>
        <v/>
      </c>
      <c r="G904" s="28">
        <f>IFERROR(E904-Dashboard!$B$4/252,"")</f>
        <v/>
      </c>
      <c r="H904" s="8">
        <f>IFERROR(IF(ISNUMBER(B904),MAX(B904,IFERROR(H903,B904)),""),"")</f>
        <v/>
      </c>
      <c r="I904" s="29">
        <f>IFERROR(IF(AND(ISNUMBER(B904),ISNUMBER(H904)),B904/H904-1,""),"")</f>
        <v/>
      </c>
      <c r="J904" s="8">
        <f>IFERROR(IF(ISNUMBER(C904),MAX(C904,IFERROR(J903,C904)),""),"")</f>
        <v/>
      </c>
      <c r="K904" s="29">
        <f>IFERROR(IF(AND(ISNUMBER(C904),ISNUMBER(J904)),C904/J904-1,""),"")</f>
        <v/>
      </c>
      <c r="L904" s="28">
        <f>IFERROR(IF(AND(ISNUMBER(D904),ISNUMBER(E904)),D904-E904,""),"")</f>
        <v/>
      </c>
    </row>
    <row r="905">
      <c r="A905" s="7">
        <f>IFERROR(Datos!A905,"")</f>
        <v/>
      </c>
      <c r="B905" s="8">
        <f>IFERROR(Datos!B905,"")</f>
        <v/>
      </c>
      <c r="C905" s="8">
        <f>IFERROR(Datos!C905,"")</f>
        <v/>
      </c>
      <c r="D905" s="28">
        <f>IFERROR(IF(AND(ISNUMBER(B905),ISNUMBER(B904),B904&lt;&gt;0),B905/B904-1,""),"")</f>
        <v/>
      </c>
      <c r="E905" s="28">
        <f>IFERROR(IF(AND(ISNUMBER(C905),ISNUMBER(C904),C904&lt;&gt;0),C905/C904-1,""),"")</f>
        <v/>
      </c>
      <c r="F905" s="28">
        <f>IFERROR(D905-Dashboard!$B$4/252,"")</f>
        <v/>
      </c>
      <c r="G905" s="28">
        <f>IFERROR(E905-Dashboard!$B$4/252,"")</f>
        <v/>
      </c>
      <c r="H905" s="8">
        <f>IFERROR(IF(ISNUMBER(B905),MAX(B905,IFERROR(H904,B905)),""),"")</f>
        <v/>
      </c>
      <c r="I905" s="29">
        <f>IFERROR(IF(AND(ISNUMBER(B905),ISNUMBER(H905)),B905/H905-1,""),"")</f>
        <v/>
      </c>
      <c r="J905" s="8">
        <f>IFERROR(IF(ISNUMBER(C905),MAX(C905,IFERROR(J904,C905)),""),"")</f>
        <v/>
      </c>
      <c r="K905" s="29">
        <f>IFERROR(IF(AND(ISNUMBER(C905),ISNUMBER(J905)),C905/J905-1,""),"")</f>
        <v/>
      </c>
      <c r="L905" s="28">
        <f>IFERROR(IF(AND(ISNUMBER(D905),ISNUMBER(E905)),D905-E905,""),"")</f>
        <v/>
      </c>
    </row>
    <row r="906">
      <c r="A906" s="7">
        <f>IFERROR(Datos!A906,"")</f>
        <v/>
      </c>
      <c r="B906" s="8">
        <f>IFERROR(Datos!B906,"")</f>
        <v/>
      </c>
      <c r="C906" s="8">
        <f>IFERROR(Datos!C906,"")</f>
        <v/>
      </c>
      <c r="D906" s="28">
        <f>IFERROR(IF(AND(ISNUMBER(B906),ISNUMBER(B905),B905&lt;&gt;0),B906/B905-1,""),"")</f>
        <v/>
      </c>
      <c r="E906" s="28">
        <f>IFERROR(IF(AND(ISNUMBER(C906),ISNUMBER(C905),C905&lt;&gt;0),C906/C905-1,""),"")</f>
        <v/>
      </c>
      <c r="F906" s="28">
        <f>IFERROR(D906-Dashboard!$B$4/252,"")</f>
        <v/>
      </c>
      <c r="G906" s="28">
        <f>IFERROR(E906-Dashboard!$B$4/252,"")</f>
        <v/>
      </c>
      <c r="H906" s="8">
        <f>IFERROR(IF(ISNUMBER(B906),MAX(B906,IFERROR(H905,B906)),""),"")</f>
        <v/>
      </c>
      <c r="I906" s="29">
        <f>IFERROR(IF(AND(ISNUMBER(B906),ISNUMBER(H906)),B906/H906-1,""),"")</f>
        <v/>
      </c>
      <c r="J906" s="8">
        <f>IFERROR(IF(ISNUMBER(C906),MAX(C906,IFERROR(J905,C906)),""),"")</f>
        <v/>
      </c>
      <c r="K906" s="29">
        <f>IFERROR(IF(AND(ISNUMBER(C906),ISNUMBER(J906)),C906/J906-1,""),"")</f>
        <v/>
      </c>
      <c r="L906" s="28">
        <f>IFERROR(IF(AND(ISNUMBER(D906),ISNUMBER(E906)),D906-E906,""),"")</f>
        <v/>
      </c>
    </row>
    <row r="907">
      <c r="A907" s="7">
        <f>IFERROR(Datos!A907,"")</f>
        <v/>
      </c>
      <c r="B907" s="8">
        <f>IFERROR(Datos!B907,"")</f>
        <v/>
      </c>
      <c r="C907" s="8">
        <f>IFERROR(Datos!C907,"")</f>
        <v/>
      </c>
      <c r="D907" s="28">
        <f>IFERROR(IF(AND(ISNUMBER(B907),ISNUMBER(B906),B906&lt;&gt;0),B907/B906-1,""),"")</f>
        <v/>
      </c>
      <c r="E907" s="28">
        <f>IFERROR(IF(AND(ISNUMBER(C907),ISNUMBER(C906),C906&lt;&gt;0),C907/C906-1,""),"")</f>
        <v/>
      </c>
      <c r="F907" s="28">
        <f>IFERROR(D907-Dashboard!$B$4/252,"")</f>
        <v/>
      </c>
      <c r="G907" s="28">
        <f>IFERROR(E907-Dashboard!$B$4/252,"")</f>
        <v/>
      </c>
      <c r="H907" s="8">
        <f>IFERROR(IF(ISNUMBER(B907),MAX(B907,IFERROR(H906,B907)),""),"")</f>
        <v/>
      </c>
      <c r="I907" s="29">
        <f>IFERROR(IF(AND(ISNUMBER(B907),ISNUMBER(H907)),B907/H907-1,""),"")</f>
        <v/>
      </c>
      <c r="J907" s="8">
        <f>IFERROR(IF(ISNUMBER(C907),MAX(C907,IFERROR(J906,C907)),""),"")</f>
        <v/>
      </c>
      <c r="K907" s="29">
        <f>IFERROR(IF(AND(ISNUMBER(C907),ISNUMBER(J907)),C907/J907-1,""),"")</f>
        <v/>
      </c>
      <c r="L907" s="28">
        <f>IFERROR(IF(AND(ISNUMBER(D907),ISNUMBER(E907)),D907-E907,""),"")</f>
        <v/>
      </c>
    </row>
    <row r="908">
      <c r="A908" s="7">
        <f>IFERROR(Datos!A908,"")</f>
        <v/>
      </c>
      <c r="B908" s="8">
        <f>IFERROR(Datos!B908,"")</f>
        <v/>
      </c>
      <c r="C908" s="8">
        <f>IFERROR(Datos!C908,"")</f>
        <v/>
      </c>
      <c r="D908" s="28">
        <f>IFERROR(IF(AND(ISNUMBER(B908),ISNUMBER(B907),B907&lt;&gt;0),B908/B907-1,""),"")</f>
        <v/>
      </c>
      <c r="E908" s="28">
        <f>IFERROR(IF(AND(ISNUMBER(C908),ISNUMBER(C907),C907&lt;&gt;0),C908/C907-1,""),"")</f>
        <v/>
      </c>
      <c r="F908" s="28">
        <f>IFERROR(D908-Dashboard!$B$4/252,"")</f>
        <v/>
      </c>
      <c r="G908" s="28">
        <f>IFERROR(E908-Dashboard!$B$4/252,"")</f>
        <v/>
      </c>
      <c r="H908" s="8">
        <f>IFERROR(IF(ISNUMBER(B908),MAX(B908,IFERROR(H907,B908)),""),"")</f>
        <v/>
      </c>
      <c r="I908" s="29">
        <f>IFERROR(IF(AND(ISNUMBER(B908),ISNUMBER(H908)),B908/H908-1,""),"")</f>
        <v/>
      </c>
      <c r="J908" s="8">
        <f>IFERROR(IF(ISNUMBER(C908),MAX(C908,IFERROR(J907,C908)),""),"")</f>
        <v/>
      </c>
      <c r="K908" s="29">
        <f>IFERROR(IF(AND(ISNUMBER(C908),ISNUMBER(J908)),C908/J908-1,""),"")</f>
        <v/>
      </c>
      <c r="L908" s="28">
        <f>IFERROR(IF(AND(ISNUMBER(D908),ISNUMBER(E908)),D908-E908,""),"")</f>
        <v/>
      </c>
    </row>
    <row r="909">
      <c r="A909" s="7">
        <f>IFERROR(Datos!A909,"")</f>
        <v/>
      </c>
      <c r="B909" s="8">
        <f>IFERROR(Datos!B909,"")</f>
        <v/>
      </c>
      <c r="C909" s="8">
        <f>IFERROR(Datos!C909,"")</f>
        <v/>
      </c>
      <c r="D909" s="28">
        <f>IFERROR(IF(AND(ISNUMBER(B909),ISNUMBER(B908),B908&lt;&gt;0),B909/B908-1,""),"")</f>
        <v/>
      </c>
      <c r="E909" s="28">
        <f>IFERROR(IF(AND(ISNUMBER(C909),ISNUMBER(C908),C908&lt;&gt;0),C909/C908-1,""),"")</f>
        <v/>
      </c>
      <c r="F909" s="28">
        <f>IFERROR(D909-Dashboard!$B$4/252,"")</f>
        <v/>
      </c>
      <c r="G909" s="28">
        <f>IFERROR(E909-Dashboard!$B$4/252,"")</f>
        <v/>
      </c>
      <c r="H909" s="8">
        <f>IFERROR(IF(ISNUMBER(B909),MAX(B909,IFERROR(H908,B909)),""),"")</f>
        <v/>
      </c>
      <c r="I909" s="29">
        <f>IFERROR(IF(AND(ISNUMBER(B909),ISNUMBER(H909)),B909/H909-1,""),"")</f>
        <v/>
      </c>
      <c r="J909" s="8">
        <f>IFERROR(IF(ISNUMBER(C909),MAX(C909,IFERROR(J908,C909)),""),"")</f>
        <v/>
      </c>
      <c r="K909" s="29">
        <f>IFERROR(IF(AND(ISNUMBER(C909),ISNUMBER(J909)),C909/J909-1,""),"")</f>
        <v/>
      </c>
      <c r="L909" s="28">
        <f>IFERROR(IF(AND(ISNUMBER(D909),ISNUMBER(E909)),D909-E909,""),"")</f>
        <v/>
      </c>
    </row>
    <row r="910">
      <c r="A910" s="7">
        <f>IFERROR(Datos!A910,"")</f>
        <v/>
      </c>
      <c r="B910" s="8">
        <f>IFERROR(Datos!B910,"")</f>
        <v/>
      </c>
      <c r="C910" s="8">
        <f>IFERROR(Datos!C910,"")</f>
        <v/>
      </c>
      <c r="D910" s="28">
        <f>IFERROR(IF(AND(ISNUMBER(B910),ISNUMBER(B909),B909&lt;&gt;0),B910/B909-1,""),"")</f>
        <v/>
      </c>
      <c r="E910" s="28">
        <f>IFERROR(IF(AND(ISNUMBER(C910),ISNUMBER(C909),C909&lt;&gt;0),C910/C909-1,""),"")</f>
        <v/>
      </c>
      <c r="F910" s="28">
        <f>IFERROR(D910-Dashboard!$B$4/252,"")</f>
        <v/>
      </c>
      <c r="G910" s="28">
        <f>IFERROR(E910-Dashboard!$B$4/252,"")</f>
        <v/>
      </c>
      <c r="H910" s="8">
        <f>IFERROR(IF(ISNUMBER(B910),MAX(B910,IFERROR(H909,B910)),""),"")</f>
        <v/>
      </c>
      <c r="I910" s="29">
        <f>IFERROR(IF(AND(ISNUMBER(B910),ISNUMBER(H910)),B910/H910-1,""),"")</f>
        <v/>
      </c>
      <c r="J910" s="8">
        <f>IFERROR(IF(ISNUMBER(C910),MAX(C910,IFERROR(J909,C910)),""),"")</f>
        <v/>
      </c>
      <c r="K910" s="29">
        <f>IFERROR(IF(AND(ISNUMBER(C910),ISNUMBER(J910)),C910/J910-1,""),"")</f>
        <v/>
      </c>
      <c r="L910" s="28">
        <f>IFERROR(IF(AND(ISNUMBER(D910),ISNUMBER(E910)),D910-E910,""),"")</f>
        <v/>
      </c>
    </row>
    <row r="911">
      <c r="A911" s="7">
        <f>IFERROR(Datos!A911,"")</f>
        <v/>
      </c>
      <c r="B911" s="8">
        <f>IFERROR(Datos!B911,"")</f>
        <v/>
      </c>
      <c r="C911" s="8">
        <f>IFERROR(Datos!C911,"")</f>
        <v/>
      </c>
      <c r="D911" s="28">
        <f>IFERROR(IF(AND(ISNUMBER(B911),ISNUMBER(B910),B910&lt;&gt;0),B911/B910-1,""),"")</f>
        <v/>
      </c>
      <c r="E911" s="28">
        <f>IFERROR(IF(AND(ISNUMBER(C911),ISNUMBER(C910),C910&lt;&gt;0),C911/C910-1,""),"")</f>
        <v/>
      </c>
      <c r="F911" s="28">
        <f>IFERROR(D911-Dashboard!$B$4/252,"")</f>
        <v/>
      </c>
      <c r="G911" s="28">
        <f>IFERROR(E911-Dashboard!$B$4/252,"")</f>
        <v/>
      </c>
      <c r="H911" s="8">
        <f>IFERROR(IF(ISNUMBER(B911),MAX(B911,IFERROR(H910,B911)),""),"")</f>
        <v/>
      </c>
      <c r="I911" s="29">
        <f>IFERROR(IF(AND(ISNUMBER(B911),ISNUMBER(H911)),B911/H911-1,""),"")</f>
        <v/>
      </c>
      <c r="J911" s="8">
        <f>IFERROR(IF(ISNUMBER(C911),MAX(C911,IFERROR(J910,C911)),""),"")</f>
        <v/>
      </c>
      <c r="K911" s="29">
        <f>IFERROR(IF(AND(ISNUMBER(C911),ISNUMBER(J911)),C911/J911-1,""),"")</f>
        <v/>
      </c>
      <c r="L911" s="28">
        <f>IFERROR(IF(AND(ISNUMBER(D911),ISNUMBER(E911)),D911-E911,""),"")</f>
        <v/>
      </c>
    </row>
    <row r="912">
      <c r="A912" s="7">
        <f>IFERROR(Datos!A912,"")</f>
        <v/>
      </c>
      <c r="B912" s="8">
        <f>IFERROR(Datos!B912,"")</f>
        <v/>
      </c>
      <c r="C912" s="8">
        <f>IFERROR(Datos!C912,"")</f>
        <v/>
      </c>
      <c r="D912" s="28">
        <f>IFERROR(IF(AND(ISNUMBER(B912),ISNUMBER(B911),B911&lt;&gt;0),B912/B911-1,""),"")</f>
        <v/>
      </c>
      <c r="E912" s="28">
        <f>IFERROR(IF(AND(ISNUMBER(C912),ISNUMBER(C911),C911&lt;&gt;0),C912/C911-1,""),"")</f>
        <v/>
      </c>
      <c r="F912" s="28">
        <f>IFERROR(D912-Dashboard!$B$4/252,"")</f>
        <v/>
      </c>
      <c r="G912" s="28">
        <f>IFERROR(E912-Dashboard!$B$4/252,"")</f>
        <v/>
      </c>
      <c r="H912" s="8">
        <f>IFERROR(IF(ISNUMBER(B912),MAX(B912,IFERROR(H911,B912)),""),"")</f>
        <v/>
      </c>
      <c r="I912" s="29">
        <f>IFERROR(IF(AND(ISNUMBER(B912),ISNUMBER(H912)),B912/H912-1,""),"")</f>
        <v/>
      </c>
      <c r="J912" s="8">
        <f>IFERROR(IF(ISNUMBER(C912),MAX(C912,IFERROR(J911,C912)),""),"")</f>
        <v/>
      </c>
      <c r="K912" s="29">
        <f>IFERROR(IF(AND(ISNUMBER(C912),ISNUMBER(J912)),C912/J912-1,""),"")</f>
        <v/>
      </c>
      <c r="L912" s="28">
        <f>IFERROR(IF(AND(ISNUMBER(D912),ISNUMBER(E912)),D912-E912,""),"")</f>
        <v/>
      </c>
    </row>
    <row r="913">
      <c r="A913" s="7">
        <f>IFERROR(Datos!A913,"")</f>
        <v/>
      </c>
      <c r="B913" s="8">
        <f>IFERROR(Datos!B913,"")</f>
        <v/>
      </c>
      <c r="C913" s="8">
        <f>IFERROR(Datos!C913,"")</f>
        <v/>
      </c>
      <c r="D913" s="28">
        <f>IFERROR(IF(AND(ISNUMBER(B913),ISNUMBER(B912),B912&lt;&gt;0),B913/B912-1,""),"")</f>
        <v/>
      </c>
      <c r="E913" s="28">
        <f>IFERROR(IF(AND(ISNUMBER(C913),ISNUMBER(C912),C912&lt;&gt;0),C913/C912-1,""),"")</f>
        <v/>
      </c>
      <c r="F913" s="28">
        <f>IFERROR(D913-Dashboard!$B$4/252,"")</f>
        <v/>
      </c>
      <c r="G913" s="28">
        <f>IFERROR(E913-Dashboard!$B$4/252,"")</f>
        <v/>
      </c>
      <c r="H913" s="8">
        <f>IFERROR(IF(ISNUMBER(B913),MAX(B913,IFERROR(H912,B913)),""),"")</f>
        <v/>
      </c>
      <c r="I913" s="29">
        <f>IFERROR(IF(AND(ISNUMBER(B913),ISNUMBER(H913)),B913/H913-1,""),"")</f>
        <v/>
      </c>
      <c r="J913" s="8">
        <f>IFERROR(IF(ISNUMBER(C913),MAX(C913,IFERROR(J912,C913)),""),"")</f>
        <v/>
      </c>
      <c r="K913" s="29">
        <f>IFERROR(IF(AND(ISNUMBER(C913),ISNUMBER(J913)),C913/J913-1,""),"")</f>
        <v/>
      </c>
      <c r="L913" s="28">
        <f>IFERROR(IF(AND(ISNUMBER(D913),ISNUMBER(E913)),D913-E913,""),"")</f>
        <v/>
      </c>
    </row>
    <row r="914">
      <c r="A914" s="7">
        <f>IFERROR(Datos!A914,"")</f>
        <v/>
      </c>
      <c r="B914" s="8">
        <f>IFERROR(Datos!B914,"")</f>
        <v/>
      </c>
      <c r="C914" s="8">
        <f>IFERROR(Datos!C914,"")</f>
        <v/>
      </c>
      <c r="D914" s="28">
        <f>IFERROR(IF(AND(ISNUMBER(B914),ISNUMBER(B913),B913&lt;&gt;0),B914/B913-1,""),"")</f>
        <v/>
      </c>
      <c r="E914" s="28">
        <f>IFERROR(IF(AND(ISNUMBER(C914),ISNUMBER(C913),C913&lt;&gt;0),C914/C913-1,""),"")</f>
        <v/>
      </c>
      <c r="F914" s="28">
        <f>IFERROR(D914-Dashboard!$B$4/252,"")</f>
        <v/>
      </c>
      <c r="G914" s="28">
        <f>IFERROR(E914-Dashboard!$B$4/252,"")</f>
        <v/>
      </c>
      <c r="H914" s="8">
        <f>IFERROR(IF(ISNUMBER(B914),MAX(B914,IFERROR(H913,B914)),""),"")</f>
        <v/>
      </c>
      <c r="I914" s="29">
        <f>IFERROR(IF(AND(ISNUMBER(B914),ISNUMBER(H914)),B914/H914-1,""),"")</f>
        <v/>
      </c>
      <c r="J914" s="8">
        <f>IFERROR(IF(ISNUMBER(C914),MAX(C914,IFERROR(J913,C914)),""),"")</f>
        <v/>
      </c>
      <c r="K914" s="29">
        <f>IFERROR(IF(AND(ISNUMBER(C914),ISNUMBER(J914)),C914/J914-1,""),"")</f>
        <v/>
      </c>
      <c r="L914" s="28">
        <f>IFERROR(IF(AND(ISNUMBER(D914),ISNUMBER(E914)),D914-E914,""),"")</f>
        <v/>
      </c>
    </row>
    <row r="915">
      <c r="A915" s="7">
        <f>IFERROR(Datos!A915,"")</f>
        <v/>
      </c>
      <c r="B915" s="8">
        <f>IFERROR(Datos!B915,"")</f>
        <v/>
      </c>
      <c r="C915" s="8">
        <f>IFERROR(Datos!C915,"")</f>
        <v/>
      </c>
      <c r="D915" s="28">
        <f>IFERROR(IF(AND(ISNUMBER(B915),ISNUMBER(B914),B914&lt;&gt;0),B915/B914-1,""),"")</f>
        <v/>
      </c>
      <c r="E915" s="28">
        <f>IFERROR(IF(AND(ISNUMBER(C915),ISNUMBER(C914),C914&lt;&gt;0),C915/C914-1,""),"")</f>
        <v/>
      </c>
      <c r="F915" s="28">
        <f>IFERROR(D915-Dashboard!$B$4/252,"")</f>
        <v/>
      </c>
      <c r="G915" s="28">
        <f>IFERROR(E915-Dashboard!$B$4/252,"")</f>
        <v/>
      </c>
      <c r="H915" s="8">
        <f>IFERROR(IF(ISNUMBER(B915),MAX(B915,IFERROR(H914,B915)),""),"")</f>
        <v/>
      </c>
      <c r="I915" s="29">
        <f>IFERROR(IF(AND(ISNUMBER(B915),ISNUMBER(H915)),B915/H915-1,""),"")</f>
        <v/>
      </c>
      <c r="J915" s="8">
        <f>IFERROR(IF(ISNUMBER(C915),MAX(C915,IFERROR(J914,C915)),""),"")</f>
        <v/>
      </c>
      <c r="K915" s="29">
        <f>IFERROR(IF(AND(ISNUMBER(C915),ISNUMBER(J915)),C915/J915-1,""),"")</f>
        <v/>
      </c>
      <c r="L915" s="28">
        <f>IFERROR(IF(AND(ISNUMBER(D915),ISNUMBER(E915)),D915-E915,""),"")</f>
        <v/>
      </c>
    </row>
    <row r="916">
      <c r="A916" s="7">
        <f>IFERROR(Datos!A916,"")</f>
        <v/>
      </c>
      <c r="B916" s="8">
        <f>IFERROR(Datos!B916,"")</f>
        <v/>
      </c>
      <c r="C916" s="8">
        <f>IFERROR(Datos!C916,"")</f>
        <v/>
      </c>
      <c r="D916" s="28">
        <f>IFERROR(IF(AND(ISNUMBER(B916),ISNUMBER(B915),B915&lt;&gt;0),B916/B915-1,""),"")</f>
        <v/>
      </c>
      <c r="E916" s="28">
        <f>IFERROR(IF(AND(ISNUMBER(C916),ISNUMBER(C915),C915&lt;&gt;0),C916/C915-1,""),"")</f>
        <v/>
      </c>
      <c r="F916" s="28">
        <f>IFERROR(D916-Dashboard!$B$4/252,"")</f>
        <v/>
      </c>
      <c r="G916" s="28">
        <f>IFERROR(E916-Dashboard!$B$4/252,"")</f>
        <v/>
      </c>
      <c r="H916" s="8">
        <f>IFERROR(IF(ISNUMBER(B916),MAX(B916,IFERROR(H915,B916)),""),"")</f>
        <v/>
      </c>
      <c r="I916" s="29">
        <f>IFERROR(IF(AND(ISNUMBER(B916),ISNUMBER(H916)),B916/H916-1,""),"")</f>
        <v/>
      </c>
      <c r="J916" s="8">
        <f>IFERROR(IF(ISNUMBER(C916),MAX(C916,IFERROR(J915,C916)),""),"")</f>
        <v/>
      </c>
      <c r="K916" s="29">
        <f>IFERROR(IF(AND(ISNUMBER(C916),ISNUMBER(J916)),C916/J916-1,""),"")</f>
        <v/>
      </c>
      <c r="L916" s="28">
        <f>IFERROR(IF(AND(ISNUMBER(D916),ISNUMBER(E916)),D916-E916,""),"")</f>
        <v/>
      </c>
    </row>
    <row r="917">
      <c r="A917" s="7">
        <f>IFERROR(Datos!A917,"")</f>
        <v/>
      </c>
      <c r="B917" s="8">
        <f>IFERROR(Datos!B917,"")</f>
        <v/>
      </c>
      <c r="C917" s="8">
        <f>IFERROR(Datos!C917,"")</f>
        <v/>
      </c>
      <c r="D917" s="28">
        <f>IFERROR(IF(AND(ISNUMBER(B917),ISNUMBER(B916),B916&lt;&gt;0),B917/B916-1,""),"")</f>
        <v/>
      </c>
      <c r="E917" s="28">
        <f>IFERROR(IF(AND(ISNUMBER(C917),ISNUMBER(C916),C916&lt;&gt;0),C917/C916-1,""),"")</f>
        <v/>
      </c>
      <c r="F917" s="28">
        <f>IFERROR(D917-Dashboard!$B$4/252,"")</f>
        <v/>
      </c>
      <c r="G917" s="28">
        <f>IFERROR(E917-Dashboard!$B$4/252,"")</f>
        <v/>
      </c>
      <c r="H917" s="8">
        <f>IFERROR(IF(ISNUMBER(B917),MAX(B917,IFERROR(H916,B917)),""),"")</f>
        <v/>
      </c>
      <c r="I917" s="29">
        <f>IFERROR(IF(AND(ISNUMBER(B917),ISNUMBER(H917)),B917/H917-1,""),"")</f>
        <v/>
      </c>
      <c r="J917" s="8">
        <f>IFERROR(IF(ISNUMBER(C917),MAX(C917,IFERROR(J916,C917)),""),"")</f>
        <v/>
      </c>
      <c r="K917" s="29">
        <f>IFERROR(IF(AND(ISNUMBER(C917),ISNUMBER(J917)),C917/J917-1,""),"")</f>
        <v/>
      </c>
      <c r="L917" s="28">
        <f>IFERROR(IF(AND(ISNUMBER(D917),ISNUMBER(E917)),D917-E917,""),"")</f>
        <v/>
      </c>
    </row>
    <row r="918">
      <c r="A918" s="7">
        <f>IFERROR(Datos!A918,"")</f>
        <v/>
      </c>
      <c r="B918" s="8">
        <f>IFERROR(Datos!B918,"")</f>
        <v/>
      </c>
      <c r="C918" s="8">
        <f>IFERROR(Datos!C918,"")</f>
        <v/>
      </c>
      <c r="D918" s="28">
        <f>IFERROR(IF(AND(ISNUMBER(B918),ISNUMBER(B917),B917&lt;&gt;0),B918/B917-1,""),"")</f>
        <v/>
      </c>
      <c r="E918" s="28">
        <f>IFERROR(IF(AND(ISNUMBER(C918),ISNUMBER(C917),C917&lt;&gt;0),C918/C917-1,""),"")</f>
        <v/>
      </c>
      <c r="F918" s="28">
        <f>IFERROR(D918-Dashboard!$B$4/252,"")</f>
        <v/>
      </c>
      <c r="G918" s="28">
        <f>IFERROR(E918-Dashboard!$B$4/252,"")</f>
        <v/>
      </c>
      <c r="H918" s="8">
        <f>IFERROR(IF(ISNUMBER(B918),MAX(B918,IFERROR(H917,B918)),""),"")</f>
        <v/>
      </c>
      <c r="I918" s="29">
        <f>IFERROR(IF(AND(ISNUMBER(B918),ISNUMBER(H918)),B918/H918-1,""),"")</f>
        <v/>
      </c>
      <c r="J918" s="8">
        <f>IFERROR(IF(ISNUMBER(C918),MAX(C918,IFERROR(J917,C918)),""),"")</f>
        <v/>
      </c>
      <c r="K918" s="29">
        <f>IFERROR(IF(AND(ISNUMBER(C918),ISNUMBER(J918)),C918/J918-1,""),"")</f>
        <v/>
      </c>
      <c r="L918" s="28">
        <f>IFERROR(IF(AND(ISNUMBER(D918),ISNUMBER(E918)),D918-E918,""),"")</f>
        <v/>
      </c>
    </row>
    <row r="919">
      <c r="A919" s="7">
        <f>IFERROR(Datos!A919,"")</f>
        <v/>
      </c>
      <c r="B919" s="8">
        <f>IFERROR(Datos!B919,"")</f>
        <v/>
      </c>
      <c r="C919" s="8">
        <f>IFERROR(Datos!C919,"")</f>
        <v/>
      </c>
      <c r="D919" s="28">
        <f>IFERROR(IF(AND(ISNUMBER(B919),ISNUMBER(B918),B918&lt;&gt;0),B919/B918-1,""),"")</f>
        <v/>
      </c>
      <c r="E919" s="28">
        <f>IFERROR(IF(AND(ISNUMBER(C919),ISNUMBER(C918),C918&lt;&gt;0),C919/C918-1,""),"")</f>
        <v/>
      </c>
      <c r="F919" s="28">
        <f>IFERROR(D919-Dashboard!$B$4/252,"")</f>
        <v/>
      </c>
      <c r="G919" s="28">
        <f>IFERROR(E919-Dashboard!$B$4/252,"")</f>
        <v/>
      </c>
      <c r="H919" s="8">
        <f>IFERROR(IF(ISNUMBER(B919),MAX(B919,IFERROR(H918,B919)),""),"")</f>
        <v/>
      </c>
      <c r="I919" s="29">
        <f>IFERROR(IF(AND(ISNUMBER(B919),ISNUMBER(H919)),B919/H919-1,""),"")</f>
        <v/>
      </c>
      <c r="J919" s="8">
        <f>IFERROR(IF(ISNUMBER(C919),MAX(C919,IFERROR(J918,C919)),""),"")</f>
        <v/>
      </c>
      <c r="K919" s="29">
        <f>IFERROR(IF(AND(ISNUMBER(C919),ISNUMBER(J919)),C919/J919-1,""),"")</f>
        <v/>
      </c>
      <c r="L919" s="28">
        <f>IFERROR(IF(AND(ISNUMBER(D919),ISNUMBER(E919)),D919-E919,""),"")</f>
        <v/>
      </c>
    </row>
    <row r="920">
      <c r="A920" s="7">
        <f>IFERROR(Datos!A920,"")</f>
        <v/>
      </c>
      <c r="B920" s="8">
        <f>IFERROR(Datos!B920,"")</f>
        <v/>
      </c>
      <c r="C920" s="8">
        <f>IFERROR(Datos!C920,"")</f>
        <v/>
      </c>
      <c r="D920" s="28">
        <f>IFERROR(IF(AND(ISNUMBER(B920),ISNUMBER(B919),B919&lt;&gt;0),B920/B919-1,""),"")</f>
        <v/>
      </c>
      <c r="E920" s="28">
        <f>IFERROR(IF(AND(ISNUMBER(C920),ISNUMBER(C919),C919&lt;&gt;0),C920/C919-1,""),"")</f>
        <v/>
      </c>
      <c r="F920" s="28">
        <f>IFERROR(D920-Dashboard!$B$4/252,"")</f>
        <v/>
      </c>
      <c r="G920" s="28">
        <f>IFERROR(E920-Dashboard!$B$4/252,"")</f>
        <v/>
      </c>
      <c r="H920" s="8">
        <f>IFERROR(IF(ISNUMBER(B920),MAX(B920,IFERROR(H919,B920)),""),"")</f>
        <v/>
      </c>
      <c r="I920" s="29">
        <f>IFERROR(IF(AND(ISNUMBER(B920),ISNUMBER(H920)),B920/H920-1,""),"")</f>
        <v/>
      </c>
      <c r="J920" s="8">
        <f>IFERROR(IF(ISNUMBER(C920),MAX(C920,IFERROR(J919,C920)),""),"")</f>
        <v/>
      </c>
      <c r="K920" s="29">
        <f>IFERROR(IF(AND(ISNUMBER(C920),ISNUMBER(J920)),C920/J920-1,""),"")</f>
        <v/>
      </c>
      <c r="L920" s="28">
        <f>IFERROR(IF(AND(ISNUMBER(D920),ISNUMBER(E920)),D920-E920,""),"")</f>
        <v/>
      </c>
    </row>
    <row r="921">
      <c r="A921" s="7">
        <f>IFERROR(Datos!A921,"")</f>
        <v/>
      </c>
      <c r="B921" s="8">
        <f>IFERROR(Datos!B921,"")</f>
        <v/>
      </c>
      <c r="C921" s="8">
        <f>IFERROR(Datos!C921,"")</f>
        <v/>
      </c>
      <c r="D921" s="28">
        <f>IFERROR(IF(AND(ISNUMBER(B921),ISNUMBER(B920),B920&lt;&gt;0),B921/B920-1,""),"")</f>
        <v/>
      </c>
      <c r="E921" s="28">
        <f>IFERROR(IF(AND(ISNUMBER(C921),ISNUMBER(C920),C920&lt;&gt;0),C921/C920-1,""),"")</f>
        <v/>
      </c>
      <c r="F921" s="28">
        <f>IFERROR(D921-Dashboard!$B$4/252,"")</f>
        <v/>
      </c>
      <c r="G921" s="28">
        <f>IFERROR(E921-Dashboard!$B$4/252,"")</f>
        <v/>
      </c>
      <c r="H921" s="8">
        <f>IFERROR(IF(ISNUMBER(B921),MAX(B921,IFERROR(H920,B921)),""),"")</f>
        <v/>
      </c>
      <c r="I921" s="29">
        <f>IFERROR(IF(AND(ISNUMBER(B921),ISNUMBER(H921)),B921/H921-1,""),"")</f>
        <v/>
      </c>
      <c r="J921" s="8">
        <f>IFERROR(IF(ISNUMBER(C921),MAX(C921,IFERROR(J920,C921)),""),"")</f>
        <v/>
      </c>
      <c r="K921" s="29">
        <f>IFERROR(IF(AND(ISNUMBER(C921),ISNUMBER(J921)),C921/J921-1,""),"")</f>
        <v/>
      </c>
      <c r="L921" s="28">
        <f>IFERROR(IF(AND(ISNUMBER(D921),ISNUMBER(E921)),D921-E921,""),"")</f>
        <v/>
      </c>
    </row>
    <row r="922">
      <c r="A922" s="7">
        <f>IFERROR(Datos!A922,"")</f>
        <v/>
      </c>
      <c r="B922" s="8">
        <f>IFERROR(Datos!B922,"")</f>
        <v/>
      </c>
      <c r="C922" s="8">
        <f>IFERROR(Datos!C922,"")</f>
        <v/>
      </c>
      <c r="D922" s="28">
        <f>IFERROR(IF(AND(ISNUMBER(B922),ISNUMBER(B921),B921&lt;&gt;0),B922/B921-1,""),"")</f>
        <v/>
      </c>
      <c r="E922" s="28">
        <f>IFERROR(IF(AND(ISNUMBER(C922),ISNUMBER(C921),C921&lt;&gt;0),C922/C921-1,""),"")</f>
        <v/>
      </c>
      <c r="F922" s="28">
        <f>IFERROR(D922-Dashboard!$B$4/252,"")</f>
        <v/>
      </c>
      <c r="G922" s="28">
        <f>IFERROR(E922-Dashboard!$B$4/252,"")</f>
        <v/>
      </c>
      <c r="H922" s="8">
        <f>IFERROR(IF(ISNUMBER(B922),MAX(B922,IFERROR(H921,B922)),""),"")</f>
        <v/>
      </c>
      <c r="I922" s="29">
        <f>IFERROR(IF(AND(ISNUMBER(B922),ISNUMBER(H922)),B922/H922-1,""),"")</f>
        <v/>
      </c>
      <c r="J922" s="8">
        <f>IFERROR(IF(ISNUMBER(C922),MAX(C922,IFERROR(J921,C922)),""),"")</f>
        <v/>
      </c>
      <c r="K922" s="29">
        <f>IFERROR(IF(AND(ISNUMBER(C922),ISNUMBER(J922)),C922/J922-1,""),"")</f>
        <v/>
      </c>
      <c r="L922" s="28">
        <f>IFERROR(IF(AND(ISNUMBER(D922),ISNUMBER(E922)),D922-E922,""),"")</f>
        <v/>
      </c>
    </row>
    <row r="923">
      <c r="A923" s="7">
        <f>IFERROR(Datos!A923,"")</f>
        <v/>
      </c>
      <c r="B923" s="8">
        <f>IFERROR(Datos!B923,"")</f>
        <v/>
      </c>
      <c r="C923" s="8">
        <f>IFERROR(Datos!C923,"")</f>
        <v/>
      </c>
      <c r="D923" s="28">
        <f>IFERROR(IF(AND(ISNUMBER(B923),ISNUMBER(B922),B922&lt;&gt;0),B923/B922-1,""),"")</f>
        <v/>
      </c>
      <c r="E923" s="28">
        <f>IFERROR(IF(AND(ISNUMBER(C923),ISNUMBER(C922),C922&lt;&gt;0),C923/C922-1,""),"")</f>
        <v/>
      </c>
      <c r="F923" s="28">
        <f>IFERROR(D923-Dashboard!$B$4/252,"")</f>
        <v/>
      </c>
      <c r="G923" s="28">
        <f>IFERROR(E923-Dashboard!$B$4/252,"")</f>
        <v/>
      </c>
      <c r="H923" s="8">
        <f>IFERROR(IF(ISNUMBER(B923),MAX(B923,IFERROR(H922,B923)),""),"")</f>
        <v/>
      </c>
      <c r="I923" s="29">
        <f>IFERROR(IF(AND(ISNUMBER(B923),ISNUMBER(H923)),B923/H923-1,""),"")</f>
        <v/>
      </c>
      <c r="J923" s="8">
        <f>IFERROR(IF(ISNUMBER(C923),MAX(C923,IFERROR(J922,C923)),""),"")</f>
        <v/>
      </c>
      <c r="K923" s="29">
        <f>IFERROR(IF(AND(ISNUMBER(C923),ISNUMBER(J923)),C923/J923-1,""),"")</f>
        <v/>
      </c>
      <c r="L923" s="28">
        <f>IFERROR(IF(AND(ISNUMBER(D923),ISNUMBER(E923)),D923-E923,""),"")</f>
        <v/>
      </c>
    </row>
    <row r="924">
      <c r="A924" s="7">
        <f>IFERROR(Datos!A924,"")</f>
        <v/>
      </c>
      <c r="B924" s="8">
        <f>IFERROR(Datos!B924,"")</f>
        <v/>
      </c>
      <c r="C924" s="8">
        <f>IFERROR(Datos!C924,"")</f>
        <v/>
      </c>
      <c r="D924" s="28">
        <f>IFERROR(IF(AND(ISNUMBER(B924),ISNUMBER(B923),B923&lt;&gt;0),B924/B923-1,""),"")</f>
        <v/>
      </c>
      <c r="E924" s="28">
        <f>IFERROR(IF(AND(ISNUMBER(C924),ISNUMBER(C923),C923&lt;&gt;0),C924/C923-1,""),"")</f>
        <v/>
      </c>
      <c r="F924" s="28">
        <f>IFERROR(D924-Dashboard!$B$4/252,"")</f>
        <v/>
      </c>
      <c r="G924" s="28">
        <f>IFERROR(E924-Dashboard!$B$4/252,"")</f>
        <v/>
      </c>
      <c r="H924" s="8">
        <f>IFERROR(IF(ISNUMBER(B924),MAX(B924,IFERROR(H923,B924)),""),"")</f>
        <v/>
      </c>
      <c r="I924" s="29">
        <f>IFERROR(IF(AND(ISNUMBER(B924),ISNUMBER(H924)),B924/H924-1,""),"")</f>
        <v/>
      </c>
      <c r="J924" s="8">
        <f>IFERROR(IF(ISNUMBER(C924),MAX(C924,IFERROR(J923,C924)),""),"")</f>
        <v/>
      </c>
      <c r="K924" s="29">
        <f>IFERROR(IF(AND(ISNUMBER(C924),ISNUMBER(J924)),C924/J924-1,""),"")</f>
        <v/>
      </c>
      <c r="L924" s="28">
        <f>IFERROR(IF(AND(ISNUMBER(D924),ISNUMBER(E924)),D924-E924,""),"")</f>
        <v/>
      </c>
    </row>
    <row r="925">
      <c r="A925" s="7">
        <f>IFERROR(Datos!A925,"")</f>
        <v/>
      </c>
      <c r="B925" s="8">
        <f>IFERROR(Datos!B925,"")</f>
        <v/>
      </c>
      <c r="C925" s="8">
        <f>IFERROR(Datos!C925,"")</f>
        <v/>
      </c>
      <c r="D925" s="28">
        <f>IFERROR(IF(AND(ISNUMBER(B925),ISNUMBER(B924),B924&lt;&gt;0),B925/B924-1,""),"")</f>
        <v/>
      </c>
      <c r="E925" s="28">
        <f>IFERROR(IF(AND(ISNUMBER(C925),ISNUMBER(C924),C924&lt;&gt;0),C925/C924-1,""),"")</f>
        <v/>
      </c>
      <c r="F925" s="28">
        <f>IFERROR(D925-Dashboard!$B$4/252,"")</f>
        <v/>
      </c>
      <c r="G925" s="28">
        <f>IFERROR(E925-Dashboard!$B$4/252,"")</f>
        <v/>
      </c>
      <c r="H925" s="8">
        <f>IFERROR(IF(ISNUMBER(B925),MAX(B925,IFERROR(H924,B925)),""),"")</f>
        <v/>
      </c>
      <c r="I925" s="29">
        <f>IFERROR(IF(AND(ISNUMBER(B925),ISNUMBER(H925)),B925/H925-1,""),"")</f>
        <v/>
      </c>
      <c r="J925" s="8">
        <f>IFERROR(IF(ISNUMBER(C925),MAX(C925,IFERROR(J924,C925)),""),"")</f>
        <v/>
      </c>
      <c r="K925" s="29">
        <f>IFERROR(IF(AND(ISNUMBER(C925),ISNUMBER(J925)),C925/J925-1,""),"")</f>
        <v/>
      </c>
      <c r="L925" s="28">
        <f>IFERROR(IF(AND(ISNUMBER(D925),ISNUMBER(E925)),D925-E925,""),"")</f>
        <v/>
      </c>
    </row>
    <row r="926">
      <c r="A926" s="7">
        <f>IFERROR(Datos!A926,"")</f>
        <v/>
      </c>
      <c r="B926" s="8">
        <f>IFERROR(Datos!B926,"")</f>
        <v/>
      </c>
      <c r="C926" s="8">
        <f>IFERROR(Datos!C926,"")</f>
        <v/>
      </c>
      <c r="D926" s="28">
        <f>IFERROR(IF(AND(ISNUMBER(B926),ISNUMBER(B925),B925&lt;&gt;0),B926/B925-1,""),"")</f>
        <v/>
      </c>
      <c r="E926" s="28">
        <f>IFERROR(IF(AND(ISNUMBER(C926),ISNUMBER(C925),C925&lt;&gt;0),C926/C925-1,""),"")</f>
        <v/>
      </c>
      <c r="F926" s="28">
        <f>IFERROR(D926-Dashboard!$B$4/252,"")</f>
        <v/>
      </c>
      <c r="G926" s="28">
        <f>IFERROR(E926-Dashboard!$B$4/252,"")</f>
        <v/>
      </c>
      <c r="H926" s="8">
        <f>IFERROR(IF(ISNUMBER(B926),MAX(B926,IFERROR(H925,B926)),""),"")</f>
        <v/>
      </c>
      <c r="I926" s="29">
        <f>IFERROR(IF(AND(ISNUMBER(B926),ISNUMBER(H926)),B926/H926-1,""),"")</f>
        <v/>
      </c>
      <c r="J926" s="8">
        <f>IFERROR(IF(ISNUMBER(C926),MAX(C926,IFERROR(J925,C926)),""),"")</f>
        <v/>
      </c>
      <c r="K926" s="29">
        <f>IFERROR(IF(AND(ISNUMBER(C926),ISNUMBER(J926)),C926/J926-1,""),"")</f>
        <v/>
      </c>
      <c r="L926" s="28">
        <f>IFERROR(IF(AND(ISNUMBER(D926),ISNUMBER(E926)),D926-E926,""),"")</f>
        <v/>
      </c>
    </row>
    <row r="927">
      <c r="A927" s="7">
        <f>IFERROR(Datos!A927,"")</f>
        <v/>
      </c>
      <c r="B927" s="8">
        <f>IFERROR(Datos!B927,"")</f>
        <v/>
      </c>
      <c r="C927" s="8">
        <f>IFERROR(Datos!C927,"")</f>
        <v/>
      </c>
      <c r="D927" s="28">
        <f>IFERROR(IF(AND(ISNUMBER(B927),ISNUMBER(B926),B926&lt;&gt;0),B927/B926-1,""),"")</f>
        <v/>
      </c>
      <c r="E927" s="28">
        <f>IFERROR(IF(AND(ISNUMBER(C927),ISNUMBER(C926),C926&lt;&gt;0),C927/C926-1,""),"")</f>
        <v/>
      </c>
      <c r="F927" s="28">
        <f>IFERROR(D927-Dashboard!$B$4/252,"")</f>
        <v/>
      </c>
      <c r="G927" s="28">
        <f>IFERROR(E927-Dashboard!$B$4/252,"")</f>
        <v/>
      </c>
      <c r="H927" s="8">
        <f>IFERROR(IF(ISNUMBER(B927),MAX(B927,IFERROR(H926,B927)),""),"")</f>
        <v/>
      </c>
      <c r="I927" s="29">
        <f>IFERROR(IF(AND(ISNUMBER(B927),ISNUMBER(H927)),B927/H927-1,""),"")</f>
        <v/>
      </c>
      <c r="J927" s="8">
        <f>IFERROR(IF(ISNUMBER(C927),MAX(C927,IFERROR(J926,C927)),""),"")</f>
        <v/>
      </c>
      <c r="K927" s="29">
        <f>IFERROR(IF(AND(ISNUMBER(C927),ISNUMBER(J927)),C927/J927-1,""),"")</f>
        <v/>
      </c>
      <c r="L927" s="28">
        <f>IFERROR(IF(AND(ISNUMBER(D927),ISNUMBER(E927)),D927-E927,""),"")</f>
        <v/>
      </c>
    </row>
    <row r="928">
      <c r="A928" s="7">
        <f>IFERROR(Datos!A928,"")</f>
        <v/>
      </c>
      <c r="B928" s="8">
        <f>IFERROR(Datos!B928,"")</f>
        <v/>
      </c>
      <c r="C928" s="8">
        <f>IFERROR(Datos!C928,"")</f>
        <v/>
      </c>
      <c r="D928" s="28">
        <f>IFERROR(IF(AND(ISNUMBER(B928),ISNUMBER(B927),B927&lt;&gt;0),B928/B927-1,""),"")</f>
        <v/>
      </c>
      <c r="E928" s="28">
        <f>IFERROR(IF(AND(ISNUMBER(C928),ISNUMBER(C927),C927&lt;&gt;0),C928/C927-1,""),"")</f>
        <v/>
      </c>
      <c r="F928" s="28">
        <f>IFERROR(D928-Dashboard!$B$4/252,"")</f>
        <v/>
      </c>
      <c r="G928" s="28">
        <f>IFERROR(E928-Dashboard!$B$4/252,"")</f>
        <v/>
      </c>
      <c r="H928" s="8">
        <f>IFERROR(IF(ISNUMBER(B928),MAX(B928,IFERROR(H927,B928)),""),"")</f>
        <v/>
      </c>
      <c r="I928" s="29">
        <f>IFERROR(IF(AND(ISNUMBER(B928),ISNUMBER(H928)),B928/H928-1,""),"")</f>
        <v/>
      </c>
      <c r="J928" s="8">
        <f>IFERROR(IF(ISNUMBER(C928),MAX(C928,IFERROR(J927,C928)),""),"")</f>
        <v/>
      </c>
      <c r="K928" s="29">
        <f>IFERROR(IF(AND(ISNUMBER(C928),ISNUMBER(J928)),C928/J928-1,""),"")</f>
        <v/>
      </c>
      <c r="L928" s="28">
        <f>IFERROR(IF(AND(ISNUMBER(D928),ISNUMBER(E928)),D928-E928,""),"")</f>
        <v/>
      </c>
    </row>
    <row r="929">
      <c r="A929" s="7">
        <f>IFERROR(Datos!A929,"")</f>
        <v/>
      </c>
      <c r="B929" s="8">
        <f>IFERROR(Datos!B929,"")</f>
        <v/>
      </c>
      <c r="C929" s="8">
        <f>IFERROR(Datos!C929,"")</f>
        <v/>
      </c>
      <c r="D929" s="28">
        <f>IFERROR(IF(AND(ISNUMBER(B929),ISNUMBER(B928),B928&lt;&gt;0),B929/B928-1,""),"")</f>
        <v/>
      </c>
      <c r="E929" s="28">
        <f>IFERROR(IF(AND(ISNUMBER(C929),ISNUMBER(C928),C928&lt;&gt;0),C929/C928-1,""),"")</f>
        <v/>
      </c>
      <c r="F929" s="28">
        <f>IFERROR(D929-Dashboard!$B$4/252,"")</f>
        <v/>
      </c>
      <c r="G929" s="28">
        <f>IFERROR(E929-Dashboard!$B$4/252,"")</f>
        <v/>
      </c>
      <c r="H929" s="8">
        <f>IFERROR(IF(ISNUMBER(B929),MAX(B929,IFERROR(H928,B929)),""),"")</f>
        <v/>
      </c>
      <c r="I929" s="29">
        <f>IFERROR(IF(AND(ISNUMBER(B929),ISNUMBER(H929)),B929/H929-1,""),"")</f>
        <v/>
      </c>
      <c r="J929" s="8">
        <f>IFERROR(IF(ISNUMBER(C929),MAX(C929,IFERROR(J928,C929)),""),"")</f>
        <v/>
      </c>
      <c r="K929" s="29">
        <f>IFERROR(IF(AND(ISNUMBER(C929),ISNUMBER(J929)),C929/J929-1,""),"")</f>
        <v/>
      </c>
      <c r="L929" s="28">
        <f>IFERROR(IF(AND(ISNUMBER(D929),ISNUMBER(E929)),D929-E929,""),"")</f>
        <v/>
      </c>
    </row>
    <row r="930">
      <c r="A930" s="7">
        <f>IFERROR(Datos!A930,"")</f>
        <v/>
      </c>
      <c r="B930" s="8">
        <f>IFERROR(Datos!B930,"")</f>
        <v/>
      </c>
      <c r="C930" s="8">
        <f>IFERROR(Datos!C930,"")</f>
        <v/>
      </c>
      <c r="D930" s="28">
        <f>IFERROR(IF(AND(ISNUMBER(B930),ISNUMBER(B929),B929&lt;&gt;0),B930/B929-1,""),"")</f>
        <v/>
      </c>
      <c r="E930" s="28">
        <f>IFERROR(IF(AND(ISNUMBER(C930),ISNUMBER(C929),C929&lt;&gt;0),C930/C929-1,""),"")</f>
        <v/>
      </c>
      <c r="F930" s="28">
        <f>IFERROR(D930-Dashboard!$B$4/252,"")</f>
        <v/>
      </c>
      <c r="G930" s="28">
        <f>IFERROR(E930-Dashboard!$B$4/252,"")</f>
        <v/>
      </c>
      <c r="H930" s="8">
        <f>IFERROR(IF(ISNUMBER(B930),MAX(B930,IFERROR(H929,B930)),""),"")</f>
        <v/>
      </c>
      <c r="I930" s="29">
        <f>IFERROR(IF(AND(ISNUMBER(B930),ISNUMBER(H930)),B930/H930-1,""),"")</f>
        <v/>
      </c>
      <c r="J930" s="8">
        <f>IFERROR(IF(ISNUMBER(C930),MAX(C930,IFERROR(J929,C930)),""),"")</f>
        <v/>
      </c>
      <c r="K930" s="29">
        <f>IFERROR(IF(AND(ISNUMBER(C930),ISNUMBER(J930)),C930/J930-1,""),"")</f>
        <v/>
      </c>
      <c r="L930" s="28">
        <f>IFERROR(IF(AND(ISNUMBER(D930),ISNUMBER(E930)),D930-E930,""),"")</f>
        <v/>
      </c>
    </row>
    <row r="931">
      <c r="A931" s="7">
        <f>IFERROR(Datos!A931,"")</f>
        <v/>
      </c>
      <c r="B931" s="8">
        <f>IFERROR(Datos!B931,"")</f>
        <v/>
      </c>
      <c r="C931" s="8">
        <f>IFERROR(Datos!C931,"")</f>
        <v/>
      </c>
      <c r="D931" s="28">
        <f>IFERROR(IF(AND(ISNUMBER(B931),ISNUMBER(B930),B930&lt;&gt;0),B931/B930-1,""),"")</f>
        <v/>
      </c>
      <c r="E931" s="28">
        <f>IFERROR(IF(AND(ISNUMBER(C931),ISNUMBER(C930),C930&lt;&gt;0),C931/C930-1,""),"")</f>
        <v/>
      </c>
      <c r="F931" s="28">
        <f>IFERROR(D931-Dashboard!$B$4/252,"")</f>
        <v/>
      </c>
      <c r="G931" s="28">
        <f>IFERROR(E931-Dashboard!$B$4/252,"")</f>
        <v/>
      </c>
      <c r="H931" s="8">
        <f>IFERROR(IF(ISNUMBER(B931),MAX(B931,IFERROR(H930,B931)),""),"")</f>
        <v/>
      </c>
      <c r="I931" s="29">
        <f>IFERROR(IF(AND(ISNUMBER(B931),ISNUMBER(H931)),B931/H931-1,""),"")</f>
        <v/>
      </c>
      <c r="J931" s="8">
        <f>IFERROR(IF(ISNUMBER(C931),MAX(C931,IFERROR(J930,C931)),""),"")</f>
        <v/>
      </c>
      <c r="K931" s="29">
        <f>IFERROR(IF(AND(ISNUMBER(C931),ISNUMBER(J931)),C931/J931-1,""),"")</f>
        <v/>
      </c>
      <c r="L931" s="28">
        <f>IFERROR(IF(AND(ISNUMBER(D931),ISNUMBER(E931)),D931-E931,""),"")</f>
        <v/>
      </c>
    </row>
    <row r="932">
      <c r="A932" s="7">
        <f>IFERROR(Datos!A932,"")</f>
        <v/>
      </c>
      <c r="B932" s="8">
        <f>IFERROR(Datos!B932,"")</f>
        <v/>
      </c>
      <c r="C932" s="8">
        <f>IFERROR(Datos!C932,"")</f>
        <v/>
      </c>
      <c r="D932" s="28">
        <f>IFERROR(IF(AND(ISNUMBER(B932),ISNUMBER(B931),B931&lt;&gt;0),B932/B931-1,""),"")</f>
        <v/>
      </c>
      <c r="E932" s="28">
        <f>IFERROR(IF(AND(ISNUMBER(C932),ISNUMBER(C931),C931&lt;&gt;0),C932/C931-1,""),"")</f>
        <v/>
      </c>
      <c r="F932" s="28">
        <f>IFERROR(D932-Dashboard!$B$4/252,"")</f>
        <v/>
      </c>
      <c r="G932" s="28">
        <f>IFERROR(E932-Dashboard!$B$4/252,"")</f>
        <v/>
      </c>
      <c r="H932" s="8">
        <f>IFERROR(IF(ISNUMBER(B932),MAX(B932,IFERROR(H931,B932)),""),"")</f>
        <v/>
      </c>
      <c r="I932" s="29">
        <f>IFERROR(IF(AND(ISNUMBER(B932),ISNUMBER(H932)),B932/H932-1,""),"")</f>
        <v/>
      </c>
      <c r="J932" s="8">
        <f>IFERROR(IF(ISNUMBER(C932),MAX(C932,IFERROR(J931,C932)),""),"")</f>
        <v/>
      </c>
      <c r="K932" s="29">
        <f>IFERROR(IF(AND(ISNUMBER(C932),ISNUMBER(J932)),C932/J932-1,""),"")</f>
        <v/>
      </c>
      <c r="L932" s="28">
        <f>IFERROR(IF(AND(ISNUMBER(D932),ISNUMBER(E932)),D932-E932,""),"")</f>
        <v/>
      </c>
    </row>
    <row r="933">
      <c r="A933" s="7">
        <f>IFERROR(Datos!A933,"")</f>
        <v/>
      </c>
      <c r="B933" s="8">
        <f>IFERROR(Datos!B933,"")</f>
        <v/>
      </c>
      <c r="C933" s="8">
        <f>IFERROR(Datos!C933,"")</f>
        <v/>
      </c>
      <c r="D933" s="28">
        <f>IFERROR(IF(AND(ISNUMBER(B933),ISNUMBER(B932),B932&lt;&gt;0),B933/B932-1,""),"")</f>
        <v/>
      </c>
      <c r="E933" s="28">
        <f>IFERROR(IF(AND(ISNUMBER(C933),ISNUMBER(C932),C932&lt;&gt;0),C933/C932-1,""),"")</f>
        <v/>
      </c>
      <c r="F933" s="28">
        <f>IFERROR(D933-Dashboard!$B$4/252,"")</f>
        <v/>
      </c>
      <c r="G933" s="28">
        <f>IFERROR(E933-Dashboard!$B$4/252,"")</f>
        <v/>
      </c>
      <c r="H933" s="8">
        <f>IFERROR(IF(ISNUMBER(B933),MAX(B933,IFERROR(H932,B933)),""),"")</f>
        <v/>
      </c>
      <c r="I933" s="29">
        <f>IFERROR(IF(AND(ISNUMBER(B933),ISNUMBER(H933)),B933/H933-1,""),"")</f>
        <v/>
      </c>
      <c r="J933" s="8">
        <f>IFERROR(IF(ISNUMBER(C933),MAX(C933,IFERROR(J932,C933)),""),"")</f>
        <v/>
      </c>
      <c r="K933" s="29">
        <f>IFERROR(IF(AND(ISNUMBER(C933),ISNUMBER(J933)),C933/J933-1,""),"")</f>
        <v/>
      </c>
      <c r="L933" s="28">
        <f>IFERROR(IF(AND(ISNUMBER(D933),ISNUMBER(E933)),D933-E933,""),"")</f>
        <v/>
      </c>
    </row>
    <row r="934">
      <c r="A934" s="7">
        <f>IFERROR(Datos!A934,"")</f>
        <v/>
      </c>
      <c r="B934" s="8">
        <f>IFERROR(Datos!B934,"")</f>
        <v/>
      </c>
      <c r="C934" s="8">
        <f>IFERROR(Datos!C934,"")</f>
        <v/>
      </c>
      <c r="D934" s="28">
        <f>IFERROR(IF(AND(ISNUMBER(B934),ISNUMBER(B933),B933&lt;&gt;0),B934/B933-1,""),"")</f>
        <v/>
      </c>
      <c r="E934" s="28">
        <f>IFERROR(IF(AND(ISNUMBER(C934),ISNUMBER(C933),C933&lt;&gt;0),C934/C933-1,""),"")</f>
        <v/>
      </c>
      <c r="F934" s="28">
        <f>IFERROR(D934-Dashboard!$B$4/252,"")</f>
        <v/>
      </c>
      <c r="G934" s="28">
        <f>IFERROR(E934-Dashboard!$B$4/252,"")</f>
        <v/>
      </c>
      <c r="H934" s="8">
        <f>IFERROR(IF(ISNUMBER(B934),MAX(B934,IFERROR(H933,B934)),""),"")</f>
        <v/>
      </c>
      <c r="I934" s="29">
        <f>IFERROR(IF(AND(ISNUMBER(B934),ISNUMBER(H934)),B934/H934-1,""),"")</f>
        <v/>
      </c>
      <c r="J934" s="8">
        <f>IFERROR(IF(ISNUMBER(C934),MAX(C934,IFERROR(J933,C934)),""),"")</f>
        <v/>
      </c>
      <c r="K934" s="29">
        <f>IFERROR(IF(AND(ISNUMBER(C934),ISNUMBER(J934)),C934/J934-1,""),"")</f>
        <v/>
      </c>
      <c r="L934" s="28">
        <f>IFERROR(IF(AND(ISNUMBER(D934),ISNUMBER(E934)),D934-E934,""),"")</f>
        <v/>
      </c>
    </row>
    <row r="935">
      <c r="A935" s="7">
        <f>IFERROR(Datos!A935,"")</f>
        <v/>
      </c>
      <c r="B935" s="8">
        <f>IFERROR(Datos!B935,"")</f>
        <v/>
      </c>
      <c r="C935" s="8">
        <f>IFERROR(Datos!C935,"")</f>
        <v/>
      </c>
      <c r="D935" s="28">
        <f>IFERROR(IF(AND(ISNUMBER(B935),ISNUMBER(B934),B934&lt;&gt;0),B935/B934-1,""),"")</f>
        <v/>
      </c>
      <c r="E935" s="28">
        <f>IFERROR(IF(AND(ISNUMBER(C935),ISNUMBER(C934),C934&lt;&gt;0),C935/C934-1,""),"")</f>
        <v/>
      </c>
      <c r="F935" s="28">
        <f>IFERROR(D935-Dashboard!$B$4/252,"")</f>
        <v/>
      </c>
      <c r="G935" s="28">
        <f>IFERROR(E935-Dashboard!$B$4/252,"")</f>
        <v/>
      </c>
      <c r="H935" s="8">
        <f>IFERROR(IF(ISNUMBER(B935),MAX(B935,IFERROR(H934,B935)),""),"")</f>
        <v/>
      </c>
      <c r="I935" s="29">
        <f>IFERROR(IF(AND(ISNUMBER(B935),ISNUMBER(H935)),B935/H935-1,""),"")</f>
        <v/>
      </c>
      <c r="J935" s="8">
        <f>IFERROR(IF(ISNUMBER(C935),MAX(C935,IFERROR(J934,C935)),""),"")</f>
        <v/>
      </c>
      <c r="K935" s="29">
        <f>IFERROR(IF(AND(ISNUMBER(C935),ISNUMBER(J935)),C935/J935-1,""),"")</f>
        <v/>
      </c>
      <c r="L935" s="28">
        <f>IFERROR(IF(AND(ISNUMBER(D935),ISNUMBER(E935)),D935-E935,""),"")</f>
        <v/>
      </c>
    </row>
    <row r="936">
      <c r="A936" s="7">
        <f>IFERROR(Datos!A936,"")</f>
        <v/>
      </c>
      <c r="B936" s="8">
        <f>IFERROR(Datos!B936,"")</f>
        <v/>
      </c>
      <c r="C936" s="8">
        <f>IFERROR(Datos!C936,"")</f>
        <v/>
      </c>
      <c r="D936" s="28">
        <f>IFERROR(IF(AND(ISNUMBER(B936),ISNUMBER(B935),B935&lt;&gt;0),B936/B935-1,""),"")</f>
        <v/>
      </c>
      <c r="E936" s="28">
        <f>IFERROR(IF(AND(ISNUMBER(C936),ISNUMBER(C935),C935&lt;&gt;0),C936/C935-1,""),"")</f>
        <v/>
      </c>
      <c r="F936" s="28">
        <f>IFERROR(D936-Dashboard!$B$4/252,"")</f>
        <v/>
      </c>
      <c r="G936" s="28">
        <f>IFERROR(E936-Dashboard!$B$4/252,"")</f>
        <v/>
      </c>
      <c r="H936" s="8">
        <f>IFERROR(IF(ISNUMBER(B936),MAX(B936,IFERROR(H935,B936)),""),"")</f>
        <v/>
      </c>
      <c r="I936" s="29">
        <f>IFERROR(IF(AND(ISNUMBER(B936),ISNUMBER(H936)),B936/H936-1,""),"")</f>
        <v/>
      </c>
      <c r="J936" s="8">
        <f>IFERROR(IF(ISNUMBER(C936),MAX(C936,IFERROR(J935,C936)),""),"")</f>
        <v/>
      </c>
      <c r="K936" s="29">
        <f>IFERROR(IF(AND(ISNUMBER(C936),ISNUMBER(J936)),C936/J936-1,""),"")</f>
        <v/>
      </c>
      <c r="L936" s="28">
        <f>IFERROR(IF(AND(ISNUMBER(D936),ISNUMBER(E936)),D936-E936,""),"")</f>
        <v/>
      </c>
    </row>
    <row r="937">
      <c r="A937" s="7">
        <f>IFERROR(Datos!A937,"")</f>
        <v/>
      </c>
      <c r="B937" s="8">
        <f>IFERROR(Datos!B937,"")</f>
        <v/>
      </c>
      <c r="C937" s="8">
        <f>IFERROR(Datos!C937,"")</f>
        <v/>
      </c>
      <c r="D937" s="28">
        <f>IFERROR(IF(AND(ISNUMBER(B937),ISNUMBER(B936),B936&lt;&gt;0),B937/B936-1,""),"")</f>
        <v/>
      </c>
      <c r="E937" s="28">
        <f>IFERROR(IF(AND(ISNUMBER(C937),ISNUMBER(C936),C936&lt;&gt;0),C937/C936-1,""),"")</f>
        <v/>
      </c>
      <c r="F937" s="28">
        <f>IFERROR(D937-Dashboard!$B$4/252,"")</f>
        <v/>
      </c>
      <c r="G937" s="28">
        <f>IFERROR(E937-Dashboard!$B$4/252,"")</f>
        <v/>
      </c>
      <c r="H937" s="8">
        <f>IFERROR(IF(ISNUMBER(B937),MAX(B937,IFERROR(H936,B937)),""),"")</f>
        <v/>
      </c>
      <c r="I937" s="29">
        <f>IFERROR(IF(AND(ISNUMBER(B937),ISNUMBER(H937)),B937/H937-1,""),"")</f>
        <v/>
      </c>
      <c r="J937" s="8">
        <f>IFERROR(IF(ISNUMBER(C937),MAX(C937,IFERROR(J936,C937)),""),"")</f>
        <v/>
      </c>
      <c r="K937" s="29">
        <f>IFERROR(IF(AND(ISNUMBER(C937),ISNUMBER(J937)),C937/J937-1,""),"")</f>
        <v/>
      </c>
      <c r="L937" s="28">
        <f>IFERROR(IF(AND(ISNUMBER(D937),ISNUMBER(E937)),D937-E937,""),"")</f>
        <v/>
      </c>
    </row>
    <row r="938">
      <c r="A938" s="7">
        <f>IFERROR(Datos!A938,"")</f>
        <v/>
      </c>
      <c r="B938" s="8">
        <f>IFERROR(Datos!B938,"")</f>
        <v/>
      </c>
      <c r="C938" s="8">
        <f>IFERROR(Datos!C938,"")</f>
        <v/>
      </c>
      <c r="D938" s="28">
        <f>IFERROR(IF(AND(ISNUMBER(B938),ISNUMBER(B937),B937&lt;&gt;0),B938/B937-1,""),"")</f>
        <v/>
      </c>
      <c r="E938" s="28">
        <f>IFERROR(IF(AND(ISNUMBER(C938),ISNUMBER(C937),C937&lt;&gt;0),C938/C937-1,""),"")</f>
        <v/>
      </c>
      <c r="F938" s="28">
        <f>IFERROR(D938-Dashboard!$B$4/252,"")</f>
        <v/>
      </c>
      <c r="G938" s="28">
        <f>IFERROR(E938-Dashboard!$B$4/252,"")</f>
        <v/>
      </c>
      <c r="H938" s="8">
        <f>IFERROR(IF(ISNUMBER(B938),MAX(B938,IFERROR(H937,B938)),""),"")</f>
        <v/>
      </c>
      <c r="I938" s="29">
        <f>IFERROR(IF(AND(ISNUMBER(B938),ISNUMBER(H938)),B938/H938-1,""),"")</f>
        <v/>
      </c>
      <c r="J938" s="8">
        <f>IFERROR(IF(ISNUMBER(C938),MAX(C938,IFERROR(J937,C938)),""),"")</f>
        <v/>
      </c>
      <c r="K938" s="29">
        <f>IFERROR(IF(AND(ISNUMBER(C938),ISNUMBER(J938)),C938/J938-1,""),"")</f>
        <v/>
      </c>
      <c r="L938" s="28">
        <f>IFERROR(IF(AND(ISNUMBER(D938),ISNUMBER(E938)),D938-E938,""),"")</f>
        <v/>
      </c>
    </row>
    <row r="939">
      <c r="A939" s="7">
        <f>IFERROR(Datos!A939,"")</f>
        <v/>
      </c>
      <c r="B939" s="8">
        <f>IFERROR(Datos!B939,"")</f>
        <v/>
      </c>
      <c r="C939" s="8">
        <f>IFERROR(Datos!C939,"")</f>
        <v/>
      </c>
      <c r="D939" s="28">
        <f>IFERROR(IF(AND(ISNUMBER(B939),ISNUMBER(B938),B938&lt;&gt;0),B939/B938-1,""),"")</f>
        <v/>
      </c>
      <c r="E939" s="28">
        <f>IFERROR(IF(AND(ISNUMBER(C939),ISNUMBER(C938),C938&lt;&gt;0),C939/C938-1,""),"")</f>
        <v/>
      </c>
      <c r="F939" s="28">
        <f>IFERROR(D939-Dashboard!$B$4/252,"")</f>
        <v/>
      </c>
      <c r="G939" s="28">
        <f>IFERROR(E939-Dashboard!$B$4/252,"")</f>
        <v/>
      </c>
      <c r="H939" s="8">
        <f>IFERROR(IF(ISNUMBER(B939),MAX(B939,IFERROR(H938,B939)),""),"")</f>
        <v/>
      </c>
      <c r="I939" s="29">
        <f>IFERROR(IF(AND(ISNUMBER(B939),ISNUMBER(H939)),B939/H939-1,""),"")</f>
        <v/>
      </c>
      <c r="J939" s="8">
        <f>IFERROR(IF(ISNUMBER(C939),MAX(C939,IFERROR(J938,C939)),""),"")</f>
        <v/>
      </c>
      <c r="K939" s="29">
        <f>IFERROR(IF(AND(ISNUMBER(C939),ISNUMBER(J939)),C939/J939-1,""),"")</f>
        <v/>
      </c>
      <c r="L939" s="28">
        <f>IFERROR(IF(AND(ISNUMBER(D939),ISNUMBER(E939)),D939-E939,""),"")</f>
        <v/>
      </c>
    </row>
    <row r="940">
      <c r="A940" s="7">
        <f>IFERROR(Datos!A940,"")</f>
        <v/>
      </c>
      <c r="B940" s="8">
        <f>IFERROR(Datos!B940,"")</f>
        <v/>
      </c>
      <c r="C940" s="8">
        <f>IFERROR(Datos!C940,"")</f>
        <v/>
      </c>
      <c r="D940" s="28">
        <f>IFERROR(IF(AND(ISNUMBER(B940),ISNUMBER(B939),B939&lt;&gt;0),B940/B939-1,""),"")</f>
        <v/>
      </c>
      <c r="E940" s="28">
        <f>IFERROR(IF(AND(ISNUMBER(C940),ISNUMBER(C939),C939&lt;&gt;0),C940/C939-1,""),"")</f>
        <v/>
      </c>
      <c r="F940" s="28">
        <f>IFERROR(D940-Dashboard!$B$4/252,"")</f>
        <v/>
      </c>
      <c r="G940" s="28">
        <f>IFERROR(E940-Dashboard!$B$4/252,"")</f>
        <v/>
      </c>
      <c r="H940" s="8">
        <f>IFERROR(IF(ISNUMBER(B940),MAX(B940,IFERROR(H939,B940)),""),"")</f>
        <v/>
      </c>
      <c r="I940" s="29">
        <f>IFERROR(IF(AND(ISNUMBER(B940),ISNUMBER(H940)),B940/H940-1,""),"")</f>
        <v/>
      </c>
      <c r="J940" s="8">
        <f>IFERROR(IF(ISNUMBER(C940),MAX(C940,IFERROR(J939,C940)),""),"")</f>
        <v/>
      </c>
      <c r="K940" s="29">
        <f>IFERROR(IF(AND(ISNUMBER(C940),ISNUMBER(J940)),C940/J940-1,""),"")</f>
        <v/>
      </c>
      <c r="L940" s="28">
        <f>IFERROR(IF(AND(ISNUMBER(D940),ISNUMBER(E940)),D940-E940,""),"")</f>
        <v/>
      </c>
    </row>
    <row r="941">
      <c r="A941" s="7">
        <f>IFERROR(Datos!A941,"")</f>
        <v/>
      </c>
      <c r="B941" s="8">
        <f>IFERROR(Datos!B941,"")</f>
        <v/>
      </c>
      <c r="C941" s="8">
        <f>IFERROR(Datos!C941,"")</f>
        <v/>
      </c>
      <c r="D941" s="28">
        <f>IFERROR(IF(AND(ISNUMBER(B941),ISNUMBER(B940),B940&lt;&gt;0),B941/B940-1,""),"")</f>
        <v/>
      </c>
      <c r="E941" s="28">
        <f>IFERROR(IF(AND(ISNUMBER(C941),ISNUMBER(C940),C940&lt;&gt;0),C941/C940-1,""),"")</f>
        <v/>
      </c>
      <c r="F941" s="28">
        <f>IFERROR(D941-Dashboard!$B$4/252,"")</f>
        <v/>
      </c>
      <c r="G941" s="28">
        <f>IFERROR(E941-Dashboard!$B$4/252,"")</f>
        <v/>
      </c>
      <c r="H941" s="8">
        <f>IFERROR(IF(ISNUMBER(B941),MAX(B941,IFERROR(H940,B941)),""),"")</f>
        <v/>
      </c>
      <c r="I941" s="29">
        <f>IFERROR(IF(AND(ISNUMBER(B941),ISNUMBER(H941)),B941/H941-1,""),"")</f>
        <v/>
      </c>
      <c r="J941" s="8">
        <f>IFERROR(IF(ISNUMBER(C941),MAX(C941,IFERROR(J940,C941)),""),"")</f>
        <v/>
      </c>
      <c r="K941" s="29">
        <f>IFERROR(IF(AND(ISNUMBER(C941),ISNUMBER(J941)),C941/J941-1,""),"")</f>
        <v/>
      </c>
      <c r="L941" s="28">
        <f>IFERROR(IF(AND(ISNUMBER(D941),ISNUMBER(E941)),D941-E941,""),"")</f>
        <v/>
      </c>
    </row>
    <row r="942">
      <c r="A942" s="7">
        <f>IFERROR(Datos!A942,"")</f>
        <v/>
      </c>
      <c r="B942" s="8">
        <f>IFERROR(Datos!B942,"")</f>
        <v/>
      </c>
      <c r="C942" s="8">
        <f>IFERROR(Datos!C942,"")</f>
        <v/>
      </c>
      <c r="D942" s="28">
        <f>IFERROR(IF(AND(ISNUMBER(B942),ISNUMBER(B941),B941&lt;&gt;0),B942/B941-1,""),"")</f>
        <v/>
      </c>
      <c r="E942" s="28">
        <f>IFERROR(IF(AND(ISNUMBER(C942),ISNUMBER(C941),C941&lt;&gt;0),C942/C941-1,""),"")</f>
        <v/>
      </c>
      <c r="F942" s="28">
        <f>IFERROR(D942-Dashboard!$B$4/252,"")</f>
        <v/>
      </c>
      <c r="G942" s="28">
        <f>IFERROR(E942-Dashboard!$B$4/252,"")</f>
        <v/>
      </c>
      <c r="H942" s="8">
        <f>IFERROR(IF(ISNUMBER(B942),MAX(B942,IFERROR(H941,B942)),""),"")</f>
        <v/>
      </c>
      <c r="I942" s="29">
        <f>IFERROR(IF(AND(ISNUMBER(B942),ISNUMBER(H942)),B942/H942-1,""),"")</f>
        <v/>
      </c>
      <c r="J942" s="8">
        <f>IFERROR(IF(ISNUMBER(C942),MAX(C942,IFERROR(J941,C942)),""),"")</f>
        <v/>
      </c>
      <c r="K942" s="29">
        <f>IFERROR(IF(AND(ISNUMBER(C942),ISNUMBER(J942)),C942/J942-1,""),"")</f>
        <v/>
      </c>
      <c r="L942" s="28">
        <f>IFERROR(IF(AND(ISNUMBER(D942),ISNUMBER(E942)),D942-E942,""),"")</f>
        <v/>
      </c>
    </row>
    <row r="943">
      <c r="A943" s="7">
        <f>IFERROR(Datos!A943,"")</f>
        <v/>
      </c>
      <c r="B943" s="8">
        <f>IFERROR(Datos!B943,"")</f>
        <v/>
      </c>
      <c r="C943" s="8">
        <f>IFERROR(Datos!C943,"")</f>
        <v/>
      </c>
      <c r="D943" s="28">
        <f>IFERROR(IF(AND(ISNUMBER(B943),ISNUMBER(B942),B942&lt;&gt;0),B943/B942-1,""),"")</f>
        <v/>
      </c>
      <c r="E943" s="28">
        <f>IFERROR(IF(AND(ISNUMBER(C943),ISNUMBER(C942),C942&lt;&gt;0),C943/C942-1,""),"")</f>
        <v/>
      </c>
      <c r="F943" s="28">
        <f>IFERROR(D943-Dashboard!$B$4/252,"")</f>
        <v/>
      </c>
      <c r="G943" s="28">
        <f>IFERROR(E943-Dashboard!$B$4/252,"")</f>
        <v/>
      </c>
      <c r="H943" s="8">
        <f>IFERROR(IF(ISNUMBER(B943),MAX(B943,IFERROR(H942,B943)),""),"")</f>
        <v/>
      </c>
      <c r="I943" s="29">
        <f>IFERROR(IF(AND(ISNUMBER(B943),ISNUMBER(H943)),B943/H943-1,""),"")</f>
        <v/>
      </c>
      <c r="J943" s="8">
        <f>IFERROR(IF(ISNUMBER(C943),MAX(C943,IFERROR(J942,C943)),""),"")</f>
        <v/>
      </c>
      <c r="K943" s="29">
        <f>IFERROR(IF(AND(ISNUMBER(C943),ISNUMBER(J943)),C943/J943-1,""),"")</f>
        <v/>
      </c>
      <c r="L943" s="28">
        <f>IFERROR(IF(AND(ISNUMBER(D943),ISNUMBER(E943)),D943-E943,""),"")</f>
        <v/>
      </c>
    </row>
    <row r="944">
      <c r="A944" s="7">
        <f>IFERROR(Datos!A944,"")</f>
        <v/>
      </c>
      <c r="B944" s="8">
        <f>IFERROR(Datos!B944,"")</f>
        <v/>
      </c>
      <c r="C944" s="8">
        <f>IFERROR(Datos!C944,"")</f>
        <v/>
      </c>
      <c r="D944" s="28">
        <f>IFERROR(IF(AND(ISNUMBER(B944),ISNUMBER(B943),B943&lt;&gt;0),B944/B943-1,""),"")</f>
        <v/>
      </c>
      <c r="E944" s="28">
        <f>IFERROR(IF(AND(ISNUMBER(C944),ISNUMBER(C943),C943&lt;&gt;0),C944/C943-1,""),"")</f>
        <v/>
      </c>
      <c r="F944" s="28">
        <f>IFERROR(D944-Dashboard!$B$4/252,"")</f>
        <v/>
      </c>
      <c r="G944" s="28">
        <f>IFERROR(E944-Dashboard!$B$4/252,"")</f>
        <v/>
      </c>
      <c r="H944" s="8">
        <f>IFERROR(IF(ISNUMBER(B944),MAX(B944,IFERROR(H943,B944)),""),"")</f>
        <v/>
      </c>
      <c r="I944" s="29">
        <f>IFERROR(IF(AND(ISNUMBER(B944),ISNUMBER(H944)),B944/H944-1,""),"")</f>
        <v/>
      </c>
      <c r="J944" s="8">
        <f>IFERROR(IF(ISNUMBER(C944),MAX(C944,IFERROR(J943,C944)),""),"")</f>
        <v/>
      </c>
      <c r="K944" s="29">
        <f>IFERROR(IF(AND(ISNUMBER(C944),ISNUMBER(J944)),C944/J944-1,""),"")</f>
        <v/>
      </c>
      <c r="L944" s="28">
        <f>IFERROR(IF(AND(ISNUMBER(D944),ISNUMBER(E944)),D944-E944,""),"")</f>
        <v/>
      </c>
    </row>
    <row r="945">
      <c r="A945" s="7">
        <f>IFERROR(Datos!A945,"")</f>
        <v/>
      </c>
      <c r="B945" s="8">
        <f>IFERROR(Datos!B945,"")</f>
        <v/>
      </c>
      <c r="C945" s="8">
        <f>IFERROR(Datos!C945,"")</f>
        <v/>
      </c>
      <c r="D945" s="28">
        <f>IFERROR(IF(AND(ISNUMBER(B945),ISNUMBER(B944),B944&lt;&gt;0),B945/B944-1,""),"")</f>
        <v/>
      </c>
      <c r="E945" s="28">
        <f>IFERROR(IF(AND(ISNUMBER(C945),ISNUMBER(C944),C944&lt;&gt;0),C945/C944-1,""),"")</f>
        <v/>
      </c>
      <c r="F945" s="28">
        <f>IFERROR(D945-Dashboard!$B$4/252,"")</f>
        <v/>
      </c>
      <c r="G945" s="28">
        <f>IFERROR(E945-Dashboard!$B$4/252,"")</f>
        <v/>
      </c>
      <c r="H945" s="8">
        <f>IFERROR(IF(ISNUMBER(B945),MAX(B945,IFERROR(H944,B945)),""),"")</f>
        <v/>
      </c>
      <c r="I945" s="29">
        <f>IFERROR(IF(AND(ISNUMBER(B945),ISNUMBER(H945)),B945/H945-1,""),"")</f>
        <v/>
      </c>
      <c r="J945" s="8">
        <f>IFERROR(IF(ISNUMBER(C945),MAX(C945,IFERROR(J944,C945)),""),"")</f>
        <v/>
      </c>
      <c r="K945" s="29">
        <f>IFERROR(IF(AND(ISNUMBER(C945),ISNUMBER(J945)),C945/J945-1,""),"")</f>
        <v/>
      </c>
      <c r="L945" s="28">
        <f>IFERROR(IF(AND(ISNUMBER(D945),ISNUMBER(E945)),D945-E945,""),"")</f>
        <v/>
      </c>
    </row>
    <row r="946">
      <c r="A946" s="7">
        <f>IFERROR(Datos!A946,"")</f>
        <v/>
      </c>
      <c r="B946" s="8">
        <f>IFERROR(Datos!B946,"")</f>
        <v/>
      </c>
      <c r="C946" s="8">
        <f>IFERROR(Datos!C946,"")</f>
        <v/>
      </c>
      <c r="D946" s="28">
        <f>IFERROR(IF(AND(ISNUMBER(B946),ISNUMBER(B945),B945&lt;&gt;0),B946/B945-1,""),"")</f>
        <v/>
      </c>
      <c r="E946" s="28">
        <f>IFERROR(IF(AND(ISNUMBER(C946),ISNUMBER(C945),C945&lt;&gt;0),C946/C945-1,""),"")</f>
        <v/>
      </c>
      <c r="F946" s="28">
        <f>IFERROR(D946-Dashboard!$B$4/252,"")</f>
        <v/>
      </c>
      <c r="G946" s="28">
        <f>IFERROR(E946-Dashboard!$B$4/252,"")</f>
        <v/>
      </c>
      <c r="H946" s="8">
        <f>IFERROR(IF(ISNUMBER(B946),MAX(B946,IFERROR(H945,B946)),""),"")</f>
        <v/>
      </c>
      <c r="I946" s="29">
        <f>IFERROR(IF(AND(ISNUMBER(B946),ISNUMBER(H946)),B946/H946-1,""),"")</f>
        <v/>
      </c>
      <c r="J946" s="8">
        <f>IFERROR(IF(ISNUMBER(C946),MAX(C946,IFERROR(J945,C946)),""),"")</f>
        <v/>
      </c>
      <c r="K946" s="29">
        <f>IFERROR(IF(AND(ISNUMBER(C946),ISNUMBER(J946)),C946/J946-1,""),"")</f>
        <v/>
      </c>
      <c r="L946" s="28">
        <f>IFERROR(IF(AND(ISNUMBER(D946),ISNUMBER(E946)),D946-E946,""),"")</f>
        <v/>
      </c>
    </row>
    <row r="947">
      <c r="A947" s="7">
        <f>IFERROR(Datos!A947,"")</f>
        <v/>
      </c>
      <c r="B947" s="8">
        <f>IFERROR(Datos!B947,"")</f>
        <v/>
      </c>
      <c r="C947" s="8">
        <f>IFERROR(Datos!C947,"")</f>
        <v/>
      </c>
      <c r="D947" s="28">
        <f>IFERROR(IF(AND(ISNUMBER(B947),ISNUMBER(B946),B946&lt;&gt;0),B947/B946-1,""),"")</f>
        <v/>
      </c>
      <c r="E947" s="28">
        <f>IFERROR(IF(AND(ISNUMBER(C947),ISNUMBER(C946),C946&lt;&gt;0),C947/C946-1,""),"")</f>
        <v/>
      </c>
      <c r="F947" s="28">
        <f>IFERROR(D947-Dashboard!$B$4/252,"")</f>
        <v/>
      </c>
      <c r="G947" s="28">
        <f>IFERROR(E947-Dashboard!$B$4/252,"")</f>
        <v/>
      </c>
      <c r="H947" s="8">
        <f>IFERROR(IF(ISNUMBER(B947),MAX(B947,IFERROR(H946,B947)),""),"")</f>
        <v/>
      </c>
      <c r="I947" s="29">
        <f>IFERROR(IF(AND(ISNUMBER(B947),ISNUMBER(H947)),B947/H947-1,""),"")</f>
        <v/>
      </c>
      <c r="J947" s="8">
        <f>IFERROR(IF(ISNUMBER(C947),MAX(C947,IFERROR(J946,C947)),""),"")</f>
        <v/>
      </c>
      <c r="K947" s="29">
        <f>IFERROR(IF(AND(ISNUMBER(C947),ISNUMBER(J947)),C947/J947-1,""),"")</f>
        <v/>
      </c>
      <c r="L947" s="28">
        <f>IFERROR(IF(AND(ISNUMBER(D947),ISNUMBER(E947)),D947-E947,""),"")</f>
        <v/>
      </c>
    </row>
    <row r="948">
      <c r="A948" s="7">
        <f>IFERROR(Datos!A948,"")</f>
        <v/>
      </c>
      <c r="B948" s="8">
        <f>IFERROR(Datos!B948,"")</f>
        <v/>
      </c>
      <c r="C948" s="8">
        <f>IFERROR(Datos!C948,"")</f>
        <v/>
      </c>
      <c r="D948" s="28">
        <f>IFERROR(IF(AND(ISNUMBER(B948),ISNUMBER(B947),B947&lt;&gt;0),B948/B947-1,""),"")</f>
        <v/>
      </c>
      <c r="E948" s="28">
        <f>IFERROR(IF(AND(ISNUMBER(C948),ISNUMBER(C947),C947&lt;&gt;0),C948/C947-1,""),"")</f>
        <v/>
      </c>
      <c r="F948" s="28">
        <f>IFERROR(D948-Dashboard!$B$4/252,"")</f>
        <v/>
      </c>
      <c r="G948" s="28">
        <f>IFERROR(E948-Dashboard!$B$4/252,"")</f>
        <v/>
      </c>
      <c r="H948" s="8">
        <f>IFERROR(IF(ISNUMBER(B948),MAX(B948,IFERROR(H947,B948)),""),"")</f>
        <v/>
      </c>
      <c r="I948" s="29">
        <f>IFERROR(IF(AND(ISNUMBER(B948),ISNUMBER(H948)),B948/H948-1,""),"")</f>
        <v/>
      </c>
      <c r="J948" s="8">
        <f>IFERROR(IF(ISNUMBER(C948),MAX(C948,IFERROR(J947,C948)),""),"")</f>
        <v/>
      </c>
      <c r="K948" s="29">
        <f>IFERROR(IF(AND(ISNUMBER(C948),ISNUMBER(J948)),C948/J948-1,""),"")</f>
        <v/>
      </c>
      <c r="L948" s="28">
        <f>IFERROR(IF(AND(ISNUMBER(D948),ISNUMBER(E948)),D948-E948,""),"")</f>
        <v/>
      </c>
    </row>
    <row r="949">
      <c r="A949" s="7">
        <f>IFERROR(Datos!A949,"")</f>
        <v/>
      </c>
      <c r="B949" s="8">
        <f>IFERROR(Datos!B949,"")</f>
        <v/>
      </c>
      <c r="C949" s="8">
        <f>IFERROR(Datos!C949,"")</f>
        <v/>
      </c>
      <c r="D949" s="28">
        <f>IFERROR(IF(AND(ISNUMBER(B949),ISNUMBER(B948),B948&lt;&gt;0),B949/B948-1,""),"")</f>
        <v/>
      </c>
      <c r="E949" s="28">
        <f>IFERROR(IF(AND(ISNUMBER(C949),ISNUMBER(C948),C948&lt;&gt;0),C949/C948-1,""),"")</f>
        <v/>
      </c>
      <c r="F949" s="28">
        <f>IFERROR(D949-Dashboard!$B$4/252,"")</f>
        <v/>
      </c>
      <c r="G949" s="28">
        <f>IFERROR(E949-Dashboard!$B$4/252,"")</f>
        <v/>
      </c>
      <c r="H949" s="8">
        <f>IFERROR(IF(ISNUMBER(B949),MAX(B949,IFERROR(H948,B949)),""),"")</f>
        <v/>
      </c>
      <c r="I949" s="29">
        <f>IFERROR(IF(AND(ISNUMBER(B949),ISNUMBER(H949)),B949/H949-1,""),"")</f>
        <v/>
      </c>
      <c r="J949" s="8">
        <f>IFERROR(IF(ISNUMBER(C949),MAX(C949,IFERROR(J948,C949)),""),"")</f>
        <v/>
      </c>
      <c r="K949" s="29">
        <f>IFERROR(IF(AND(ISNUMBER(C949),ISNUMBER(J949)),C949/J949-1,""),"")</f>
        <v/>
      </c>
      <c r="L949" s="28">
        <f>IFERROR(IF(AND(ISNUMBER(D949),ISNUMBER(E949)),D949-E949,""),"")</f>
        <v/>
      </c>
    </row>
    <row r="950">
      <c r="A950" s="7">
        <f>IFERROR(Datos!A950,"")</f>
        <v/>
      </c>
      <c r="B950" s="8">
        <f>IFERROR(Datos!B950,"")</f>
        <v/>
      </c>
      <c r="C950" s="8">
        <f>IFERROR(Datos!C950,"")</f>
        <v/>
      </c>
      <c r="D950" s="28">
        <f>IFERROR(IF(AND(ISNUMBER(B950),ISNUMBER(B949),B949&lt;&gt;0),B950/B949-1,""),"")</f>
        <v/>
      </c>
      <c r="E950" s="28">
        <f>IFERROR(IF(AND(ISNUMBER(C950),ISNUMBER(C949),C949&lt;&gt;0),C950/C949-1,""),"")</f>
        <v/>
      </c>
      <c r="F950" s="28">
        <f>IFERROR(D950-Dashboard!$B$4/252,"")</f>
        <v/>
      </c>
      <c r="G950" s="28">
        <f>IFERROR(E950-Dashboard!$B$4/252,"")</f>
        <v/>
      </c>
      <c r="H950" s="8">
        <f>IFERROR(IF(ISNUMBER(B950),MAX(B950,IFERROR(H949,B950)),""),"")</f>
        <v/>
      </c>
      <c r="I950" s="29">
        <f>IFERROR(IF(AND(ISNUMBER(B950),ISNUMBER(H950)),B950/H950-1,""),"")</f>
        <v/>
      </c>
      <c r="J950" s="8">
        <f>IFERROR(IF(ISNUMBER(C950),MAX(C950,IFERROR(J949,C950)),""),"")</f>
        <v/>
      </c>
      <c r="K950" s="29">
        <f>IFERROR(IF(AND(ISNUMBER(C950),ISNUMBER(J950)),C950/J950-1,""),"")</f>
        <v/>
      </c>
      <c r="L950" s="28">
        <f>IFERROR(IF(AND(ISNUMBER(D950),ISNUMBER(E950)),D950-E950,""),"")</f>
        <v/>
      </c>
    </row>
    <row r="951">
      <c r="A951" s="7">
        <f>IFERROR(Datos!A951,"")</f>
        <v/>
      </c>
      <c r="B951" s="8">
        <f>IFERROR(Datos!B951,"")</f>
        <v/>
      </c>
      <c r="C951" s="8">
        <f>IFERROR(Datos!C951,"")</f>
        <v/>
      </c>
      <c r="D951" s="28">
        <f>IFERROR(IF(AND(ISNUMBER(B951),ISNUMBER(B950),B950&lt;&gt;0),B951/B950-1,""),"")</f>
        <v/>
      </c>
      <c r="E951" s="28">
        <f>IFERROR(IF(AND(ISNUMBER(C951),ISNUMBER(C950),C950&lt;&gt;0),C951/C950-1,""),"")</f>
        <v/>
      </c>
      <c r="F951" s="28">
        <f>IFERROR(D951-Dashboard!$B$4/252,"")</f>
        <v/>
      </c>
      <c r="G951" s="28">
        <f>IFERROR(E951-Dashboard!$B$4/252,"")</f>
        <v/>
      </c>
      <c r="H951" s="8">
        <f>IFERROR(IF(ISNUMBER(B951),MAX(B951,IFERROR(H950,B951)),""),"")</f>
        <v/>
      </c>
      <c r="I951" s="29">
        <f>IFERROR(IF(AND(ISNUMBER(B951),ISNUMBER(H951)),B951/H951-1,""),"")</f>
        <v/>
      </c>
      <c r="J951" s="8">
        <f>IFERROR(IF(ISNUMBER(C951),MAX(C951,IFERROR(J950,C951)),""),"")</f>
        <v/>
      </c>
      <c r="K951" s="29">
        <f>IFERROR(IF(AND(ISNUMBER(C951),ISNUMBER(J951)),C951/J951-1,""),"")</f>
        <v/>
      </c>
      <c r="L951" s="28">
        <f>IFERROR(IF(AND(ISNUMBER(D951),ISNUMBER(E951)),D951-E951,""),"")</f>
        <v/>
      </c>
    </row>
    <row r="952">
      <c r="A952" s="7">
        <f>IFERROR(Datos!A952,"")</f>
        <v/>
      </c>
      <c r="B952" s="8">
        <f>IFERROR(Datos!B952,"")</f>
        <v/>
      </c>
      <c r="C952" s="8">
        <f>IFERROR(Datos!C952,"")</f>
        <v/>
      </c>
      <c r="D952" s="28">
        <f>IFERROR(IF(AND(ISNUMBER(B952),ISNUMBER(B951),B951&lt;&gt;0),B952/B951-1,""),"")</f>
        <v/>
      </c>
      <c r="E952" s="28">
        <f>IFERROR(IF(AND(ISNUMBER(C952),ISNUMBER(C951),C951&lt;&gt;0),C952/C951-1,""),"")</f>
        <v/>
      </c>
      <c r="F952" s="28">
        <f>IFERROR(D952-Dashboard!$B$4/252,"")</f>
        <v/>
      </c>
      <c r="G952" s="28">
        <f>IFERROR(E952-Dashboard!$B$4/252,"")</f>
        <v/>
      </c>
      <c r="H952" s="8">
        <f>IFERROR(IF(ISNUMBER(B952),MAX(B952,IFERROR(H951,B952)),""),"")</f>
        <v/>
      </c>
      <c r="I952" s="29">
        <f>IFERROR(IF(AND(ISNUMBER(B952),ISNUMBER(H952)),B952/H952-1,""),"")</f>
        <v/>
      </c>
      <c r="J952" s="8">
        <f>IFERROR(IF(ISNUMBER(C952),MAX(C952,IFERROR(J951,C952)),""),"")</f>
        <v/>
      </c>
      <c r="K952" s="29">
        <f>IFERROR(IF(AND(ISNUMBER(C952),ISNUMBER(J952)),C952/J952-1,""),"")</f>
        <v/>
      </c>
      <c r="L952" s="28">
        <f>IFERROR(IF(AND(ISNUMBER(D952),ISNUMBER(E952)),D952-E952,""),"")</f>
        <v/>
      </c>
    </row>
    <row r="953">
      <c r="A953" s="7">
        <f>IFERROR(Datos!A953,"")</f>
        <v/>
      </c>
      <c r="B953" s="8">
        <f>IFERROR(Datos!B953,"")</f>
        <v/>
      </c>
      <c r="C953" s="8">
        <f>IFERROR(Datos!C953,"")</f>
        <v/>
      </c>
      <c r="D953" s="28">
        <f>IFERROR(IF(AND(ISNUMBER(B953),ISNUMBER(B952),B952&lt;&gt;0),B953/B952-1,""),"")</f>
        <v/>
      </c>
      <c r="E953" s="28">
        <f>IFERROR(IF(AND(ISNUMBER(C953),ISNUMBER(C952),C952&lt;&gt;0),C953/C952-1,""),"")</f>
        <v/>
      </c>
      <c r="F953" s="28">
        <f>IFERROR(D953-Dashboard!$B$4/252,"")</f>
        <v/>
      </c>
      <c r="G953" s="28">
        <f>IFERROR(E953-Dashboard!$B$4/252,"")</f>
        <v/>
      </c>
      <c r="H953" s="8">
        <f>IFERROR(IF(ISNUMBER(B953),MAX(B953,IFERROR(H952,B953)),""),"")</f>
        <v/>
      </c>
      <c r="I953" s="29">
        <f>IFERROR(IF(AND(ISNUMBER(B953),ISNUMBER(H953)),B953/H953-1,""),"")</f>
        <v/>
      </c>
      <c r="J953" s="8">
        <f>IFERROR(IF(ISNUMBER(C953),MAX(C953,IFERROR(J952,C953)),""),"")</f>
        <v/>
      </c>
      <c r="K953" s="29">
        <f>IFERROR(IF(AND(ISNUMBER(C953),ISNUMBER(J953)),C953/J953-1,""),"")</f>
        <v/>
      </c>
      <c r="L953" s="28">
        <f>IFERROR(IF(AND(ISNUMBER(D953),ISNUMBER(E953)),D953-E953,""),"")</f>
        <v/>
      </c>
    </row>
    <row r="954">
      <c r="A954" s="7">
        <f>IFERROR(Datos!A954,"")</f>
        <v/>
      </c>
      <c r="B954" s="8">
        <f>IFERROR(Datos!B954,"")</f>
        <v/>
      </c>
      <c r="C954" s="8">
        <f>IFERROR(Datos!C954,"")</f>
        <v/>
      </c>
      <c r="D954" s="28">
        <f>IFERROR(IF(AND(ISNUMBER(B954),ISNUMBER(B953),B953&lt;&gt;0),B954/B953-1,""),"")</f>
        <v/>
      </c>
      <c r="E954" s="28">
        <f>IFERROR(IF(AND(ISNUMBER(C954),ISNUMBER(C953),C953&lt;&gt;0),C954/C953-1,""),"")</f>
        <v/>
      </c>
      <c r="F954" s="28">
        <f>IFERROR(D954-Dashboard!$B$4/252,"")</f>
        <v/>
      </c>
      <c r="G954" s="28">
        <f>IFERROR(E954-Dashboard!$B$4/252,"")</f>
        <v/>
      </c>
      <c r="H954" s="8">
        <f>IFERROR(IF(ISNUMBER(B954),MAX(B954,IFERROR(H953,B954)),""),"")</f>
        <v/>
      </c>
      <c r="I954" s="29">
        <f>IFERROR(IF(AND(ISNUMBER(B954),ISNUMBER(H954)),B954/H954-1,""),"")</f>
        <v/>
      </c>
      <c r="J954" s="8">
        <f>IFERROR(IF(ISNUMBER(C954),MAX(C954,IFERROR(J953,C954)),""),"")</f>
        <v/>
      </c>
      <c r="K954" s="29">
        <f>IFERROR(IF(AND(ISNUMBER(C954),ISNUMBER(J954)),C954/J954-1,""),"")</f>
        <v/>
      </c>
      <c r="L954" s="28">
        <f>IFERROR(IF(AND(ISNUMBER(D954),ISNUMBER(E954)),D954-E954,""),"")</f>
        <v/>
      </c>
    </row>
    <row r="955">
      <c r="A955" s="7">
        <f>IFERROR(Datos!A955,"")</f>
        <v/>
      </c>
      <c r="B955" s="8">
        <f>IFERROR(Datos!B955,"")</f>
        <v/>
      </c>
      <c r="C955" s="8">
        <f>IFERROR(Datos!C955,"")</f>
        <v/>
      </c>
      <c r="D955" s="28">
        <f>IFERROR(IF(AND(ISNUMBER(B955),ISNUMBER(B954),B954&lt;&gt;0),B955/B954-1,""),"")</f>
        <v/>
      </c>
      <c r="E955" s="28">
        <f>IFERROR(IF(AND(ISNUMBER(C955),ISNUMBER(C954),C954&lt;&gt;0),C955/C954-1,""),"")</f>
        <v/>
      </c>
      <c r="F955" s="28">
        <f>IFERROR(D955-Dashboard!$B$4/252,"")</f>
        <v/>
      </c>
      <c r="G955" s="28">
        <f>IFERROR(E955-Dashboard!$B$4/252,"")</f>
        <v/>
      </c>
      <c r="H955" s="8">
        <f>IFERROR(IF(ISNUMBER(B955),MAX(B955,IFERROR(H954,B955)),""),"")</f>
        <v/>
      </c>
      <c r="I955" s="29">
        <f>IFERROR(IF(AND(ISNUMBER(B955),ISNUMBER(H955)),B955/H955-1,""),"")</f>
        <v/>
      </c>
      <c r="J955" s="8">
        <f>IFERROR(IF(ISNUMBER(C955),MAX(C955,IFERROR(J954,C955)),""),"")</f>
        <v/>
      </c>
      <c r="K955" s="29">
        <f>IFERROR(IF(AND(ISNUMBER(C955),ISNUMBER(J955)),C955/J955-1,""),"")</f>
        <v/>
      </c>
      <c r="L955" s="28">
        <f>IFERROR(IF(AND(ISNUMBER(D955),ISNUMBER(E955)),D955-E955,""),"")</f>
        <v/>
      </c>
    </row>
    <row r="956">
      <c r="A956" s="7">
        <f>IFERROR(Datos!A956,"")</f>
        <v/>
      </c>
      <c r="B956" s="8">
        <f>IFERROR(Datos!B956,"")</f>
        <v/>
      </c>
      <c r="C956" s="8">
        <f>IFERROR(Datos!C956,"")</f>
        <v/>
      </c>
      <c r="D956" s="28">
        <f>IFERROR(IF(AND(ISNUMBER(B956),ISNUMBER(B955),B955&lt;&gt;0),B956/B955-1,""),"")</f>
        <v/>
      </c>
      <c r="E956" s="28">
        <f>IFERROR(IF(AND(ISNUMBER(C956),ISNUMBER(C955),C955&lt;&gt;0),C956/C955-1,""),"")</f>
        <v/>
      </c>
      <c r="F956" s="28">
        <f>IFERROR(D956-Dashboard!$B$4/252,"")</f>
        <v/>
      </c>
      <c r="G956" s="28">
        <f>IFERROR(E956-Dashboard!$B$4/252,"")</f>
        <v/>
      </c>
      <c r="H956" s="8">
        <f>IFERROR(IF(ISNUMBER(B956),MAX(B956,IFERROR(H955,B956)),""),"")</f>
        <v/>
      </c>
      <c r="I956" s="29">
        <f>IFERROR(IF(AND(ISNUMBER(B956),ISNUMBER(H956)),B956/H956-1,""),"")</f>
        <v/>
      </c>
      <c r="J956" s="8">
        <f>IFERROR(IF(ISNUMBER(C956),MAX(C956,IFERROR(J955,C956)),""),"")</f>
        <v/>
      </c>
      <c r="K956" s="29">
        <f>IFERROR(IF(AND(ISNUMBER(C956),ISNUMBER(J956)),C956/J956-1,""),"")</f>
        <v/>
      </c>
      <c r="L956" s="28">
        <f>IFERROR(IF(AND(ISNUMBER(D956),ISNUMBER(E956)),D956-E956,""),"")</f>
        <v/>
      </c>
    </row>
    <row r="957">
      <c r="A957" s="7">
        <f>IFERROR(Datos!A957,"")</f>
        <v/>
      </c>
      <c r="B957" s="8">
        <f>IFERROR(Datos!B957,"")</f>
        <v/>
      </c>
      <c r="C957" s="8">
        <f>IFERROR(Datos!C957,"")</f>
        <v/>
      </c>
      <c r="D957" s="28">
        <f>IFERROR(IF(AND(ISNUMBER(B957),ISNUMBER(B956),B956&lt;&gt;0),B957/B956-1,""),"")</f>
        <v/>
      </c>
      <c r="E957" s="28">
        <f>IFERROR(IF(AND(ISNUMBER(C957),ISNUMBER(C956),C956&lt;&gt;0),C957/C956-1,""),"")</f>
        <v/>
      </c>
      <c r="F957" s="28">
        <f>IFERROR(D957-Dashboard!$B$4/252,"")</f>
        <v/>
      </c>
      <c r="G957" s="28">
        <f>IFERROR(E957-Dashboard!$B$4/252,"")</f>
        <v/>
      </c>
      <c r="H957" s="8">
        <f>IFERROR(IF(ISNUMBER(B957),MAX(B957,IFERROR(H956,B957)),""),"")</f>
        <v/>
      </c>
      <c r="I957" s="29">
        <f>IFERROR(IF(AND(ISNUMBER(B957),ISNUMBER(H957)),B957/H957-1,""),"")</f>
        <v/>
      </c>
      <c r="J957" s="8">
        <f>IFERROR(IF(ISNUMBER(C957),MAX(C957,IFERROR(J956,C957)),""),"")</f>
        <v/>
      </c>
      <c r="K957" s="29">
        <f>IFERROR(IF(AND(ISNUMBER(C957),ISNUMBER(J957)),C957/J957-1,""),"")</f>
        <v/>
      </c>
      <c r="L957" s="28">
        <f>IFERROR(IF(AND(ISNUMBER(D957),ISNUMBER(E957)),D957-E957,""),"")</f>
        <v/>
      </c>
    </row>
    <row r="958">
      <c r="A958" s="7">
        <f>IFERROR(Datos!A958,"")</f>
        <v/>
      </c>
      <c r="B958" s="8">
        <f>IFERROR(Datos!B958,"")</f>
        <v/>
      </c>
      <c r="C958" s="8">
        <f>IFERROR(Datos!C958,"")</f>
        <v/>
      </c>
      <c r="D958" s="28">
        <f>IFERROR(IF(AND(ISNUMBER(B958),ISNUMBER(B957),B957&lt;&gt;0),B958/B957-1,""),"")</f>
        <v/>
      </c>
      <c r="E958" s="28">
        <f>IFERROR(IF(AND(ISNUMBER(C958),ISNUMBER(C957),C957&lt;&gt;0),C958/C957-1,""),"")</f>
        <v/>
      </c>
      <c r="F958" s="28">
        <f>IFERROR(D958-Dashboard!$B$4/252,"")</f>
        <v/>
      </c>
      <c r="G958" s="28">
        <f>IFERROR(E958-Dashboard!$B$4/252,"")</f>
        <v/>
      </c>
      <c r="H958" s="8">
        <f>IFERROR(IF(ISNUMBER(B958),MAX(B958,IFERROR(H957,B958)),""),"")</f>
        <v/>
      </c>
      <c r="I958" s="29">
        <f>IFERROR(IF(AND(ISNUMBER(B958),ISNUMBER(H958)),B958/H958-1,""),"")</f>
        <v/>
      </c>
      <c r="J958" s="8">
        <f>IFERROR(IF(ISNUMBER(C958),MAX(C958,IFERROR(J957,C958)),""),"")</f>
        <v/>
      </c>
      <c r="K958" s="29">
        <f>IFERROR(IF(AND(ISNUMBER(C958),ISNUMBER(J958)),C958/J958-1,""),"")</f>
        <v/>
      </c>
      <c r="L958" s="28">
        <f>IFERROR(IF(AND(ISNUMBER(D958),ISNUMBER(E958)),D958-E958,""),"")</f>
        <v/>
      </c>
    </row>
    <row r="959">
      <c r="A959" s="7">
        <f>IFERROR(Datos!A959,"")</f>
        <v/>
      </c>
      <c r="B959" s="8">
        <f>IFERROR(Datos!B959,"")</f>
        <v/>
      </c>
      <c r="C959" s="8">
        <f>IFERROR(Datos!C959,"")</f>
        <v/>
      </c>
      <c r="D959" s="28">
        <f>IFERROR(IF(AND(ISNUMBER(B959),ISNUMBER(B958),B958&lt;&gt;0),B959/B958-1,""),"")</f>
        <v/>
      </c>
      <c r="E959" s="28">
        <f>IFERROR(IF(AND(ISNUMBER(C959),ISNUMBER(C958),C958&lt;&gt;0),C959/C958-1,""),"")</f>
        <v/>
      </c>
      <c r="F959" s="28">
        <f>IFERROR(D959-Dashboard!$B$4/252,"")</f>
        <v/>
      </c>
      <c r="G959" s="28">
        <f>IFERROR(E959-Dashboard!$B$4/252,"")</f>
        <v/>
      </c>
      <c r="H959" s="8">
        <f>IFERROR(IF(ISNUMBER(B959),MAX(B959,IFERROR(H958,B959)),""),"")</f>
        <v/>
      </c>
      <c r="I959" s="29">
        <f>IFERROR(IF(AND(ISNUMBER(B959),ISNUMBER(H959)),B959/H959-1,""),"")</f>
        <v/>
      </c>
      <c r="J959" s="8">
        <f>IFERROR(IF(ISNUMBER(C959),MAX(C959,IFERROR(J958,C959)),""),"")</f>
        <v/>
      </c>
      <c r="K959" s="29">
        <f>IFERROR(IF(AND(ISNUMBER(C959),ISNUMBER(J959)),C959/J959-1,""),"")</f>
        <v/>
      </c>
      <c r="L959" s="28">
        <f>IFERROR(IF(AND(ISNUMBER(D959),ISNUMBER(E959)),D959-E959,""),"")</f>
        <v/>
      </c>
    </row>
    <row r="960">
      <c r="A960" s="7">
        <f>IFERROR(Datos!A960,"")</f>
        <v/>
      </c>
      <c r="B960" s="8">
        <f>IFERROR(Datos!B960,"")</f>
        <v/>
      </c>
      <c r="C960" s="8">
        <f>IFERROR(Datos!C960,"")</f>
        <v/>
      </c>
      <c r="D960" s="28">
        <f>IFERROR(IF(AND(ISNUMBER(B960),ISNUMBER(B959),B959&lt;&gt;0),B960/B959-1,""),"")</f>
        <v/>
      </c>
      <c r="E960" s="28">
        <f>IFERROR(IF(AND(ISNUMBER(C960),ISNUMBER(C959),C959&lt;&gt;0),C960/C959-1,""),"")</f>
        <v/>
      </c>
      <c r="F960" s="28">
        <f>IFERROR(D960-Dashboard!$B$4/252,"")</f>
        <v/>
      </c>
      <c r="G960" s="28">
        <f>IFERROR(E960-Dashboard!$B$4/252,"")</f>
        <v/>
      </c>
      <c r="H960" s="8">
        <f>IFERROR(IF(ISNUMBER(B960),MAX(B960,IFERROR(H959,B960)),""),"")</f>
        <v/>
      </c>
      <c r="I960" s="29">
        <f>IFERROR(IF(AND(ISNUMBER(B960),ISNUMBER(H960)),B960/H960-1,""),"")</f>
        <v/>
      </c>
      <c r="J960" s="8">
        <f>IFERROR(IF(ISNUMBER(C960),MAX(C960,IFERROR(J959,C960)),""),"")</f>
        <v/>
      </c>
      <c r="K960" s="29">
        <f>IFERROR(IF(AND(ISNUMBER(C960),ISNUMBER(J960)),C960/J960-1,""),"")</f>
        <v/>
      </c>
      <c r="L960" s="28">
        <f>IFERROR(IF(AND(ISNUMBER(D960),ISNUMBER(E960)),D960-E960,""),"")</f>
        <v/>
      </c>
    </row>
    <row r="961">
      <c r="A961" s="7">
        <f>IFERROR(Datos!A961,"")</f>
        <v/>
      </c>
      <c r="B961" s="8">
        <f>IFERROR(Datos!B961,"")</f>
        <v/>
      </c>
      <c r="C961" s="8">
        <f>IFERROR(Datos!C961,"")</f>
        <v/>
      </c>
      <c r="D961" s="28">
        <f>IFERROR(IF(AND(ISNUMBER(B961),ISNUMBER(B960),B960&lt;&gt;0),B961/B960-1,""),"")</f>
        <v/>
      </c>
      <c r="E961" s="28">
        <f>IFERROR(IF(AND(ISNUMBER(C961),ISNUMBER(C960),C960&lt;&gt;0),C961/C960-1,""),"")</f>
        <v/>
      </c>
      <c r="F961" s="28">
        <f>IFERROR(D961-Dashboard!$B$4/252,"")</f>
        <v/>
      </c>
      <c r="G961" s="28">
        <f>IFERROR(E961-Dashboard!$B$4/252,"")</f>
        <v/>
      </c>
      <c r="H961" s="8">
        <f>IFERROR(IF(ISNUMBER(B961),MAX(B961,IFERROR(H960,B961)),""),"")</f>
        <v/>
      </c>
      <c r="I961" s="29">
        <f>IFERROR(IF(AND(ISNUMBER(B961),ISNUMBER(H961)),B961/H961-1,""),"")</f>
        <v/>
      </c>
      <c r="J961" s="8">
        <f>IFERROR(IF(ISNUMBER(C961),MAX(C961,IFERROR(J960,C961)),""),"")</f>
        <v/>
      </c>
      <c r="K961" s="29">
        <f>IFERROR(IF(AND(ISNUMBER(C961),ISNUMBER(J961)),C961/J961-1,""),"")</f>
        <v/>
      </c>
      <c r="L961" s="28">
        <f>IFERROR(IF(AND(ISNUMBER(D961),ISNUMBER(E961)),D961-E961,""),"")</f>
        <v/>
      </c>
    </row>
    <row r="962">
      <c r="A962" s="7">
        <f>IFERROR(Datos!A962,"")</f>
        <v/>
      </c>
      <c r="B962" s="8">
        <f>IFERROR(Datos!B962,"")</f>
        <v/>
      </c>
      <c r="C962" s="8">
        <f>IFERROR(Datos!C962,"")</f>
        <v/>
      </c>
      <c r="D962" s="28">
        <f>IFERROR(IF(AND(ISNUMBER(B962),ISNUMBER(B961),B961&lt;&gt;0),B962/B961-1,""),"")</f>
        <v/>
      </c>
      <c r="E962" s="28">
        <f>IFERROR(IF(AND(ISNUMBER(C962),ISNUMBER(C961),C961&lt;&gt;0),C962/C961-1,""),"")</f>
        <v/>
      </c>
      <c r="F962" s="28">
        <f>IFERROR(D962-Dashboard!$B$4/252,"")</f>
        <v/>
      </c>
      <c r="G962" s="28">
        <f>IFERROR(E962-Dashboard!$B$4/252,"")</f>
        <v/>
      </c>
      <c r="H962" s="8">
        <f>IFERROR(IF(ISNUMBER(B962),MAX(B962,IFERROR(H961,B962)),""),"")</f>
        <v/>
      </c>
      <c r="I962" s="29">
        <f>IFERROR(IF(AND(ISNUMBER(B962),ISNUMBER(H962)),B962/H962-1,""),"")</f>
        <v/>
      </c>
      <c r="J962" s="8">
        <f>IFERROR(IF(ISNUMBER(C962),MAX(C962,IFERROR(J961,C962)),""),"")</f>
        <v/>
      </c>
      <c r="K962" s="29">
        <f>IFERROR(IF(AND(ISNUMBER(C962),ISNUMBER(J962)),C962/J962-1,""),"")</f>
        <v/>
      </c>
      <c r="L962" s="28">
        <f>IFERROR(IF(AND(ISNUMBER(D962),ISNUMBER(E962)),D962-E962,""),"")</f>
        <v/>
      </c>
    </row>
    <row r="963">
      <c r="A963" s="7">
        <f>IFERROR(Datos!A963,"")</f>
        <v/>
      </c>
      <c r="B963" s="8">
        <f>IFERROR(Datos!B963,"")</f>
        <v/>
      </c>
      <c r="C963" s="8">
        <f>IFERROR(Datos!C963,"")</f>
        <v/>
      </c>
      <c r="D963" s="28">
        <f>IFERROR(IF(AND(ISNUMBER(B963),ISNUMBER(B962),B962&lt;&gt;0),B963/B962-1,""),"")</f>
        <v/>
      </c>
      <c r="E963" s="28">
        <f>IFERROR(IF(AND(ISNUMBER(C963),ISNUMBER(C962),C962&lt;&gt;0),C963/C962-1,""),"")</f>
        <v/>
      </c>
      <c r="F963" s="28">
        <f>IFERROR(D963-Dashboard!$B$4/252,"")</f>
        <v/>
      </c>
      <c r="G963" s="28">
        <f>IFERROR(E963-Dashboard!$B$4/252,"")</f>
        <v/>
      </c>
      <c r="H963" s="8">
        <f>IFERROR(IF(ISNUMBER(B963),MAX(B963,IFERROR(H962,B963)),""),"")</f>
        <v/>
      </c>
      <c r="I963" s="29">
        <f>IFERROR(IF(AND(ISNUMBER(B963),ISNUMBER(H963)),B963/H963-1,""),"")</f>
        <v/>
      </c>
      <c r="J963" s="8">
        <f>IFERROR(IF(ISNUMBER(C963),MAX(C963,IFERROR(J962,C963)),""),"")</f>
        <v/>
      </c>
      <c r="K963" s="29">
        <f>IFERROR(IF(AND(ISNUMBER(C963),ISNUMBER(J963)),C963/J963-1,""),"")</f>
        <v/>
      </c>
      <c r="L963" s="28">
        <f>IFERROR(IF(AND(ISNUMBER(D963),ISNUMBER(E963)),D963-E963,""),"")</f>
        <v/>
      </c>
    </row>
    <row r="964">
      <c r="A964" s="7">
        <f>IFERROR(Datos!A964,"")</f>
        <v/>
      </c>
      <c r="B964" s="8">
        <f>IFERROR(Datos!B964,"")</f>
        <v/>
      </c>
      <c r="C964" s="8">
        <f>IFERROR(Datos!C964,"")</f>
        <v/>
      </c>
      <c r="D964" s="28">
        <f>IFERROR(IF(AND(ISNUMBER(B964),ISNUMBER(B963),B963&lt;&gt;0),B964/B963-1,""),"")</f>
        <v/>
      </c>
      <c r="E964" s="28">
        <f>IFERROR(IF(AND(ISNUMBER(C964),ISNUMBER(C963),C963&lt;&gt;0),C964/C963-1,""),"")</f>
        <v/>
      </c>
      <c r="F964" s="28">
        <f>IFERROR(D964-Dashboard!$B$4/252,"")</f>
        <v/>
      </c>
      <c r="G964" s="28">
        <f>IFERROR(E964-Dashboard!$B$4/252,"")</f>
        <v/>
      </c>
      <c r="H964" s="8">
        <f>IFERROR(IF(ISNUMBER(B964),MAX(B964,IFERROR(H963,B964)),""),"")</f>
        <v/>
      </c>
      <c r="I964" s="29">
        <f>IFERROR(IF(AND(ISNUMBER(B964),ISNUMBER(H964)),B964/H964-1,""),"")</f>
        <v/>
      </c>
      <c r="J964" s="8">
        <f>IFERROR(IF(ISNUMBER(C964),MAX(C964,IFERROR(J963,C964)),""),"")</f>
        <v/>
      </c>
      <c r="K964" s="29">
        <f>IFERROR(IF(AND(ISNUMBER(C964),ISNUMBER(J964)),C964/J964-1,""),"")</f>
        <v/>
      </c>
      <c r="L964" s="28">
        <f>IFERROR(IF(AND(ISNUMBER(D964),ISNUMBER(E964)),D964-E964,""),"")</f>
        <v/>
      </c>
    </row>
    <row r="965">
      <c r="A965" s="7">
        <f>IFERROR(Datos!A965,"")</f>
        <v/>
      </c>
      <c r="B965" s="8">
        <f>IFERROR(Datos!B965,"")</f>
        <v/>
      </c>
      <c r="C965" s="8">
        <f>IFERROR(Datos!C965,"")</f>
        <v/>
      </c>
      <c r="D965" s="28">
        <f>IFERROR(IF(AND(ISNUMBER(B965),ISNUMBER(B964),B964&lt;&gt;0),B965/B964-1,""),"")</f>
        <v/>
      </c>
      <c r="E965" s="28">
        <f>IFERROR(IF(AND(ISNUMBER(C965),ISNUMBER(C964),C964&lt;&gt;0),C965/C964-1,""),"")</f>
        <v/>
      </c>
      <c r="F965" s="28">
        <f>IFERROR(D965-Dashboard!$B$4/252,"")</f>
        <v/>
      </c>
      <c r="G965" s="28">
        <f>IFERROR(E965-Dashboard!$B$4/252,"")</f>
        <v/>
      </c>
      <c r="H965" s="8">
        <f>IFERROR(IF(ISNUMBER(B965),MAX(B965,IFERROR(H964,B965)),""),"")</f>
        <v/>
      </c>
      <c r="I965" s="29">
        <f>IFERROR(IF(AND(ISNUMBER(B965),ISNUMBER(H965)),B965/H965-1,""),"")</f>
        <v/>
      </c>
      <c r="J965" s="8">
        <f>IFERROR(IF(ISNUMBER(C965),MAX(C965,IFERROR(J964,C965)),""),"")</f>
        <v/>
      </c>
      <c r="K965" s="29">
        <f>IFERROR(IF(AND(ISNUMBER(C965),ISNUMBER(J965)),C965/J965-1,""),"")</f>
        <v/>
      </c>
      <c r="L965" s="28">
        <f>IFERROR(IF(AND(ISNUMBER(D965),ISNUMBER(E965)),D965-E965,""),"")</f>
        <v/>
      </c>
    </row>
    <row r="966">
      <c r="A966" s="7">
        <f>IFERROR(Datos!A966,"")</f>
        <v/>
      </c>
      <c r="B966" s="8">
        <f>IFERROR(Datos!B966,"")</f>
        <v/>
      </c>
      <c r="C966" s="8">
        <f>IFERROR(Datos!C966,"")</f>
        <v/>
      </c>
      <c r="D966" s="28">
        <f>IFERROR(IF(AND(ISNUMBER(B966),ISNUMBER(B965),B965&lt;&gt;0),B966/B965-1,""),"")</f>
        <v/>
      </c>
      <c r="E966" s="28">
        <f>IFERROR(IF(AND(ISNUMBER(C966),ISNUMBER(C965),C965&lt;&gt;0),C966/C965-1,""),"")</f>
        <v/>
      </c>
      <c r="F966" s="28">
        <f>IFERROR(D966-Dashboard!$B$4/252,"")</f>
        <v/>
      </c>
      <c r="G966" s="28">
        <f>IFERROR(E966-Dashboard!$B$4/252,"")</f>
        <v/>
      </c>
      <c r="H966" s="8">
        <f>IFERROR(IF(ISNUMBER(B966),MAX(B966,IFERROR(H965,B966)),""),"")</f>
        <v/>
      </c>
      <c r="I966" s="29">
        <f>IFERROR(IF(AND(ISNUMBER(B966),ISNUMBER(H966)),B966/H966-1,""),"")</f>
        <v/>
      </c>
      <c r="J966" s="8">
        <f>IFERROR(IF(ISNUMBER(C966),MAX(C966,IFERROR(J965,C966)),""),"")</f>
        <v/>
      </c>
      <c r="K966" s="29">
        <f>IFERROR(IF(AND(ISNUMBER(C966),ISNUMBER(J966)),C966/J966-1,""),"")</f>
        <v/>
      </c>
      <c r="L966" s="28">
        <f>IFERROR(IF(AND(ISNUMBER(D966),ISNUMBER(E966)),D966-E966,""),"")</f>
        <v/>
      </c>
    </row>
    <row r="967">
      <c r="A967" s="7">
        <f>IFERROR(Datos!A967,"")</f>
        <v/>
      </c>
      <c r="B967" s="8">
        <f>IFERROR(Datos!B967,"")</f>
        <v/>
      </c>
      <c r="C967" s="8">
        <f>IFERROR(Datos!C967,"")</f>
        <v/>
      </c>
      <c r="D967" s="28">
        <f>IFERROR(IF(AND(ISNUMBER(B967),ISNUMBER(B966),B966&lt;&gt;0),B967/B966-1,""),"")</f>
        <v/>
      </c>
      <c r="E967" s="28">
        <f>IFERROR(IF(AND(ISNUMBER(C967),ISNUMBER(C966),C966&lt;&gt;0),C967/C966-1,""),"")</f>
        <v/>
      </c>
      <c r="F967" s="28">
        <f>IFERROR(D967-Dashboard!$B$4/252,"")</f>
        <v/>
      </c>
      <c r="G967" s="28">
        <f>IFERROR(E967-Dashboard!$B$4/252,"")</f>
        <v/>
      </c>
      <c r="H967" s="8">
        <f>IFERROR(IF(ISNUMBER(B967),MAX(B967,IFERROR(H966,B967)),""),"")</f>
        <v/>
      </c>
      <c r="I967" s="29">
        <f>IFERROR(IF(AND(ISNUMBER(B967),ISNUMBER(H967)),B967/H967-1,""),"")</f>
        <v/>
      </c>
      <c r="J967" s="8">
        <f>IFERROR(IF(ISNUMBER(C967),MAX(C967,IFERROR(J966,C967)),""),"")</f>
        <v/>
      </c>
      <c r="K967" s="29">
        <f>IFERROR(IF(AND(ISNUMBER(C967),ISNUMBER(J967)),C967/J967-1,""),"")</f>
        <v/>
      </c>
      <c r="L967" s="28">
        <f>IFERROR(IF(AND(ISNUMBER(D967),ISNUMBER(E967)),D967-E967,""),"")</f>
        <v/>
      </c>
    </row>
    <row r="968">
      <c r="A968" s="7">
        <f>IFERROR(Datos!A968,"")</f>
        <v/>
      </c>
      <c r="B968" s="8">
        <f>IFERROR(Datos!B968,"")</f>
        <v/>
      </c>
      <c r="C968" s="8">
        <f>IFERROR(Datos!C968,"")</f>
        <v/>
      </c>
      <c r="D968" s="28">
        <f>IFERROR(IF(AND(ISNUMBER(B968),ISNUMBER(B967),B967&lt;&gt;0),B968/B967-1,""),"")</f>
        <v/>
      </c>
      <c r="E968" s="28">
        <f>IFERROR(IF(AND(ISNUMBER(C968),ISNUMBER(C967),C967&lt;&gt;0),C968/C967-1,""),"")</f>
        <v/>
      </c>
      <c r="F968" s="28">
        <f>IFERROR(D968-Dashboard!$B$4/252,"")</f>
        <v/>
      </c>
      <c r="G968" s="28">
        <f>IFERROR(E968-Dashboard!$B$4/252,"")</f>
        <v/>
      </c>
      <c r="H968" s="8">
        <f>IFERROR(IF(ISNUMBER(B968),MAX(B968,IFERROR(H967,B968)),""),"")</f>
        <v/>
      </c>
      <c r="I968" s="29">
        <f>IFERROR(IF(AND(ISNUMBER(B968),ISNUMBER(H968)),B968/H968-1,""),"")</f>
        <v/>
      </c>
      <c r="J968" s="8">
        <f>IFERROR(IF(ISNUMBER(C968),MAX(C968,IFERROR(J967,C968)),""),"")</f>
        <v/>
      </c>
      <c r="K968" s="29">
        <f>IFERROR(IF(AND(ISNUMBER(C968),ISNUMBER(J968)),C968/J968-1,""),"")</f>
        <v/>
      </c>
      <c r="L968" s="28">
        <f>IFERROR(IF(AND(ISNUMBER(D968),ISNUMBER(E968)),D968-E968,""),"")</f>
        <v/>
      </c>
    </row>
    <row r="969">
      <c r="A969" s="7">
        <f>IFERROR(Datos!A969,"")</f>
        <v/>
      </c>
      <c r="B969" s="8">
        <f>IFERROR(Datos!B969,"")</f>
        <v/>
      </c>
      <c r="C969" s="8">
        <f>IFERROR(Datos!C969,"")</f>
        <v/>
      </c>
      <c r="D969" s="28">
        <f>IFERROR(IF(AND(ISNUMBER(B969),ISNUMBER(B968),B968&lt;&gt;0),B969/B968-1,""),"")</f>
        <v/>
      </c>
      <c r="E969" s="28">
        <f>IFERROR(IF(AND(ISNUMBER(C969),ISNUMBER(C968),C968&lt;&gt;0),C969/C968-1,""),"")</f>
        <v/>
      </c>
      <c r="F969" s="28">
        <f>IFERROR(D969-Dashboard!$B$4/252,"")</f>
        <v/>
      </c>
      <c r="G969" s="28">
        <f>IFERROR(E969-Dashboard!$B$4/252,"")</f>
        <v/>
      </c>
      <c r="H969" s="8">
        <f>IFERROR(IF(ISNUMBER(B969),MAX(B969,IFERROR(H968,B969)),""),"")</f>
        <v/>
      </c>
      <c r="I969" s="29">
        <f>IFERROR(IF(AND(ISNUMBER(B969),ISNUMBER(H969)),B969/H969-1,""),"")</f>
        <v/>
      </c>
      <c r="J969" s="8">
        <f>IFERROR(IF(ISNUMBER(C969),MAX(C969,IFERROR(J968,C969)),""),"")</f>
        <v/>
      </c>
      <c r="K969" s="29">
        <f>IFERROR(IF(AND(ISNUMBER(C969),ISNUMBER(J969)),C969/J969-1,""),"")</f>
        <v/>
      </c>
      <c r="L969" s="28">
        <f>IFERROR(IF(AND(ISNUMBER(D969),ISNUMBER(E969)),D969-E969,""),"")</f>
        <v/>
      </c>
    </row>
    <row r="970">
      <c r="A970" s="7">
        <f>IFERROR(Datos!A970,"")</f>
        <v/>
      </c>
      <c r="B970" s="8">
        <f>IFERROR(Datos!B970,"")</f>
        <v/>
      </c>
      <c r="C970" s="8">
        <f>IFERROR(Datos!C970,"")</f>
        <v/>
      </c>
      <c r="D970" s="28">
        <f>IFERROR(IF(AND(ISNUMBER(B970),ISNUMBER(B969),B969&lt;&gt;0),B970/B969-1,""),"")</f>
        <v/>
      </c>
      <c r="E970" s="28">
        <f>IFERROR(IF(AND(ISNUMBER(C970),ISNUMBER(C969),C969&lt;&gt;0),C970/C969-1,""),"")</f>
        <v/>
      </c>
      <c r="F970" s="28">
        <f>IFERROR(D970-Dashboard!$B$4/252,"")</f>
        <v/>
      </c>
      <c r="G970" s="28">
        <f>IFERROR(E970-Dashboard!$B$4/252,"")</f>
        <v/>
      </c>
      <c r="H970" s="8">
        <f>IFERROR(IF(ISNUMBER(B970),MAX(B970,IFERROR(H969,B970)),""),"")</f>
        <v/>
      </c>
      <c r="I970" s="29">
        <f>IFERROR(IF(AND(ISNUMBER(B970),ISNUMBER(H970)),B970/H970-1,""),"")</f>
        <v/>
      </c>
      <c r="J970" s="8">
        <f>IFERROR(IF(ISNUMBER(C970),MAX(C970,IFERROR(J969,C970)),""),"")</f>
        <v/>
      </c>
      <c r="K970" s="29">
        <f>IFERROR(IF(AND(ISNUMBER(C970),ISNUMBER(J970)),C970/J970-1,""),"")</f>
        <v/>
      </c>
      <c r="L970" s="28">
        <f>IFERROR(IF(AND(ISNUMBER(D970),ISNUMBER(E970)),D970-E970,""),"")</f>
        <v/>
      </c>
    </row>
    <row r="971">
      <c r="A971" s="7">
        <f>IFERROR(Datos!A971,"")</f>
        <v/>
      </c>
      <c r="B971" s="8">
        <f>IFERROR(Datos!B971,"")</f>
        <v/>
      </c>
      <c r="C971" s="8">
        <f>IFERROR(Datos!C971,"")</f>
        <v/>
      </c>
      <c r="D971" s="28">
        <f>IFERROR(IF(AND(ISNUMBER(B971),ISNUMBER(B970),B970&lt;&gt;0),B971/B970-1,""),"")</f>
        <v/>
      </c>
      <c r="E971" s="28">
        <f>IFERROR(IF(AND(ISNUMBER(C971),ISNUMBER(C970),C970&lt;&gt;0),C971/C970-1,""),"")</f>
        <v/>
      </c>
      <c r="F971" s="28">
        <f>IFERROR(D971-Dashboard!$B$4/252,"")</f>
        <v/>
      </c>
      <c r="G971" s="28">
        <f>IFERROR(E971-Dashboard!$B$4/252,"")</f>
        <v/>
      </c>
      <c r="H971" s="8">
        <f>IFERROR(IF(ISNUMBER(B971),MAX(B971,IFERROR(H970,B971)),""),"")</f>
        <v/>
      </c>
      <c r="I971" s="29">
        <f>IFERROR(IF(AND(ISNUMBER(B971),ISNUMBER(H971)),B971/H971-1,""),"")</f>
        <v/>
      </c>
      <c r="J971" s="8">
        <f>IFERROR(IF(ISNUMBER(C971),MAX(C971,IFERROR(J970,C971)),""),"")</f>
        <v/>
      </c>
      <c r="K971" s="29">
        <f>IFERROR(IF(AND(ISNUMBER(C971),ISNUMBER(J971)),C971/J971-1,""),"")</f>
        <v/>
      </c>
      <c r="L971" s="28">
        <f>IFERROR(IF(AND(ISNUMBER(D971),ISNUMBER(E971)),D971-E971,""),"")</f>
        <v/>
      </c>
    </row>
    <row r="972">
      <c r="A972" s="7">
        <f>IFERROR(Datos!A972,"")</f>
        <v/>
      </c>
      <c r="B972" s="8">
        <f>IFERROR(Datos!B972,"")</f>
        <v/>
      </c>
      <c r="C972" s="8">
        <f>IFERROR(Datos!C972,"")</f>
        <v/>
      </c>
      <c r="D972" s="28">
        <f>IFERROR(IF(AND(ISNUMBER(B972),ISNUMBER(B971),B971&lt;&gt;0),B972/B971-1,""),"")</f>
        <v/>
      </c>
      <c r="E972" s="28">
        <f>IFERROR(IF(AND(ISNUMBER(C972),ISNUMBER(C971),C971&lt;&gt;0),C972/C971-1,""),"")</f>
        <v/>
      </c>
      <c r="F972" s="28">
        <f>IFERROR(D972-Dashboard!$B$4/252,"")</f>
        <v/>
      </c>
      <c r="G972" s="28">
        <f>IFERROR(E972-Dashboard!$B$4/252,"")</f>
        <v/>
      </c>
      <c r="H972" s="8">
        <f>IFERROR(IF(ISNUMBER(B972),MAX(B972,IFERROR(H971,B972)),""),"")</f>
        <v/>
      </c>
      <c r="I972" s="29">
        <f>IFERROR(IF(AND(ISNUMBER(B972),ISNUMBER(H972)),B972/H972-1,""),"")</f>
        <v/>
      </c>
      <c r="J972" s="8">
        <f>IFERROR(IF(ISNUMBER(C972),MAX(C972,IFERROR(J971,C972)),""),"")</f>
        <v/>
      </c>
      <c r="K972" s="29">
        <f>IFERROR(IF(AND(ISNUMBER(C972),ISNUMBER(J972)),C972/J972-1,""),"")</f>
        <v/>
      </c>
      <c r="L972" s="28">
        <f>IFERROR(IF(AND(ISNUMBER(D972),ISNUMBER(E972)),D972-E972,""),"")</f>
        <v/>
      </c>
    </row>
    <row r="973">
      <c r="A973" s="7">
        <f>IFERROR(Datos!A973,"")</f>
        <v/>
      </c>
      <c r="B973" s="8">
        <f>IFERROR(Datos!B973,"")</f>
        <v/>
      </c>
      <c r="C973" s="8">
        <f>IFERROR(Datos!C973,"")</f>
        <v/>
      </c>
      <c r="D973" s="28">
        <f>IFERROR(IF(AND(ISNUMBER(B973),ISNUMBER(B972),B972&lt;&gt;0),B973/B972-1,""),"")</f>
        <v/>
      </c>
      <c r="E973" s="28">
        <f>IFERROR(IF(AND(ISNUMBER(C973),ISNUMBER(C972),C972&lt;&gt;0),C973/C972-1,""),"")</f>
        <v/>
      </c>
      <c r="F973" s="28">
        <f>IFERROR(D973-Dashboard!$B$4/252,"")</f>
        <v/>
      </c>
      <c r="G973" s="28">
        <f>IFERROR(E973-Dashboard!$B$4/252,"")</f>
        <v/>
      </c>
      <c r="H973" s="8">
        <f>IFERROR(IF(ISNUMBER(B973),MAX(B973,IFERROR(H972,B973)),""),"")</f>
        <v/>
      </c>
      <c r="I973" s="29">
        <f>IFERROR(IF(AND(ISNUMBER(B973),ISNUMBER(H973)),B973/H973-1,""),"")</f>
        <v/>
      </c>
      <c r="J973" s="8">
        <f>IFERROR(IF(ISNUMBER(C973),MAX(C973,IFERROR(J972,C973)),""),"")</f>
        <v/>
      </c>
      <c r="K973" s="29">
        <f>IFERROR(IF(AND(ISNUMBER(C973),ISNUMBER(J973)),C973/J973-1,""),"")</f>
        <v/>
      </c>
      <c r="L973" s="28">
        <f>IFERROR(IF(AND(ISNUMBER(D973),ISNUMBER(E973)),D973-E973,""),"")</f>
        <v/>
      </c>
    </row>
    <row r="974">
      <c r="A974" s="7">
        <f>IFERROR(Datos!A974,"")</f>
        <v/>
      </c>
      <c r="B974" s="8">
        <f>IFERROR(Datos!B974,"")</f>
        <v/>
      </c>
      <c r="C974" s="8">
        <f>IFERROR(Datos!C974,"")</f>
        <v/>
      </c>
      <c r="D974" s="28">
        <f>IFERROR(IF(AND(ISNUMBER(B974),ISNUMBER(B973),B973&lt;&gt;0),B974/B973-1,""),"")</f>
        <v/>
      </c>
      <c r="E974" s="28">
        <f>IFERROR(IF(AND(ISNUMBER(C974),ISNUMBER(C973),C973&lt;&gt;0),C974/C973-1,""),"")</f>
        <v/>
      </c>
      <c r="F974" s="28">
        <f>IFERROR(D974-Dashboard!$B$4/252,"")</f>
        <v/>
      </c>
      <c r="G974" s="28">
        <f>IFERROR(E974-Dashboard!$B$4/252,"")</f>
        <v/>
      </c>
      <c r="H974" s="8">
        <f>IFERROR(IF(ISNUMBER(B974),MAX(B974,IFERROR(H973,B974)),""),"")</f>
        <v/>
      </c>
      <c r="I974" s="29">
        <f>IFERROR(IF(AND(ISNUMBER(B974),ISNUMBER(H974)),B974/H974-1,""),"")</f>
        <v/>
      </c>
      <c r="J974" s="8">
        <f>IFERROR(IF(ISNUMBER(C974),MAX(C974,IFERROR(J973,C974)),""),"")</f>
        <v/>
      </c>
      <c r="K974" s="29">
        <f>IFERROR(IF(AND(ISNUMBER(C974),ISNUMBER(J974)),C974/J974-1,""),"")</f>
        <v/>
      </c>
      <c r="L974" s="28">
        <f>IFERROR(IF(AND(ISNUMBER(D974),ISNUMBER(E974)),D974-E974,""),"")</f>
        <v/>
      </c>
    </row>
    <row r="975">
      <c r="A975" s="7">
        <f>IFERROR(Datos!A975,"")</f>
        <v/>
      </c>
      <c r="B975" s="8">
        <f>IFERROR(Datos!B975,"")</f>
        <v/>
      </c>
      <c r="C975" s="8">
        <f>IFERROR(Datos!C975,"")</f>
        <v/>
      </c>
      <c r="D975" s="28">
        <f>IFERROR(IF(AND(ISNUMBER(B975),ISNUMBER(B974),B974&lt;&gt;0),B975/B974-1,""),"")</f>
        <v/>
      </c>
      <c r="E975" s="28">
        <f>IFERROR(IF(AND(ISNUMBER(C975),ISNUMBER(C974),C974&lt;&gt;0),C975/C974-1,""),"")</f>
        <v/>
      </c>
      <c r="F975" s="28">
        <f>IFERROR(D975-Dashboard!$B$4/252,"")</f>
        <v/>
      </c>
      <c r="G975" s="28">
        <f>IFERROR(E975-Dashboard!$B$4/252,"")</f>
        <v/>
      </c>
      <c r="H975" s="8">
        <f>IFERROR(IF(ISNUMBER(B975),MAX(B975,IFERROR(H974,B975)),""),"")</f>
        <v/>
      </c>
      <c r="I975" s="29">
        <f>IFERROR(IF(AND(ISNUMBER(B975),ISNUMBER(H975)),B975/H975-1,""),"")</f>
        <v/>
      </c>
      <c r="J975" s="8">
        <f>IFERROR(IF(ISNUMBER(C975),MAX(C975,IFERROR(J974,C975)),""),"")</f>
        <v/>
      </c>
      <c r="K975" s="29">
        <f>IFERROR(IF(AND(ISNUMBER(C975),ISNUMBER(J975)),C975/J975-1,""),"")</f>
        <v/>
      </c>
      <c r="L975" s="28">
        <f>IFERROR(IF(AND(ISNUMBER(D975),ISNUMBER(E975)),D975-E975,""),"")</f>
        <v/>
      </c>
    </row>
    <row r="976">
      <c r="A976" s="7">
        <f>IFERROR(Datos!A976,"")</f>
        <v/>
      </c>
      <c r="B976" s="8">
        <f>IFERROR(Datos!B976,"")</f>
        <v/>
      </c>
      <c r="C976" s="8">
        <f>IFERROR(Datos!C976,"")</f>
        <v/>
      </c>
      <c r="D976" s="28">
        <f>IFERROR(IF(AND(ISNUMBER(B976),ISNUMBER(B975),B975&lt;&gt;0),B976/B975-1,""),"")</f>
        <v/>
      </c>
      <c r="E976" s="28">
        <f>IFERROR(IF(AND(ISNUMBER(C976),ISNUMBER(C975),C975&lt;&gt;0),C976/C975-1,""),"")</f>
        <v/>
      </c>
      <c r="F976" s="28">
        <f>IFERROR(D976-Dashboard!$B$4/252,"")</f>
        <v/>
      </c>
      <c r="G976" s="28">
        <f>IFERROR(E976-Dashboard!$B$4/252,"")</f>
        <v/>
      </c>
      <c r="H976" s="8">
        <f>IFERROR(IF(ISNUMBER(B976),MAX(B976,IFERROR(H975,B976)),""),"")</f>
        <v/>
      </c>
      <c r="I976" s="29">
        <f>IFERROR(IF(AND(ISNUMBER(B976),ISNUMBER(H976)),B976/H976-1,""),"")</f>
        <v/>
      </c>
      <c r="J976" s="8">
        <f>IFERROR(IF(ISNUMBER(C976),MAX(C976,IFERROR(J975,C976)),""),"")</f>
        <v/>
      </c>
      <c r="K976" s="29">
        <f>IFERROR(IF(AND(ISNUMBER(C976),ISNUMBER(J976)),C976/J976-1,""),"")</f>
        <v/>
      </c>
      <c r="L976" s="28">
        <f>IFERROR(IF(AND(ISNUMBER(D976),ISNUMBER(E976)),D976-E976,""),"")</f>
        <v/>
      </c>
    </row>
    <row r="977">
      <c r="A977" s="7">
        <f>IFERROR(Datos!A977,"")</f>
        <v/>
      </c>
      <c r="B977" s="8">
        <f>IFERROR(Datos!B977,"")</f>
        <v/>
      </c>
      <c r="C977" s="8">
        <f>IFERROR(Datos!C977,"")</f>
        <v/>
      </c>
      <c r="D977" s="28">
        <f>IFERROR(IF(AND(ISNUMBER(B977),ISNUMBER(B976),B976&lt;&gt;0),B977/B976-1,""),"")</f>
        <v/>
      </c>
      <c r="E977" s="28">
        <f>IFERROR(IF(AND(ISNUMBER(C977),ISNUMBER(C976),C976&lt;&gt;0),C977/C976-1,""),"")</f>
        <v/>
      </c>
      <c r="F977" s="28">
        <f>IFERROR(D977-Dashboard!$B$4/252,"")</f>
        <v/>
      </c>
      <c r="G977" s="28">
        <f>IFERROR(E977-Dashboard!$B$4/252,"")</f>
        <v/>
      </c>
      <c r="H977" s="8">
        <f>IFERROR(IF(ISNUMBER(B977),MAX(B977,IFERROR(H976,B977)),""),"")</f>
        <v/>
      </c>
      <c r="I977" s="29">
        <f>IFERROR(IF(AND(ISNUMBER(B977),ISNUMBER(H977)),B977/H977-1,""),"")</f>
        <v/>
      </c>
      <c r="J977" s="8">
        <f>IFERROR(IF(ISNUMBER(C977),MAX(C977,IFERROR(J976,C977)),""),"")</f>
        <v/>
      </c>
      <c r="K977" s="29">
        <f>IFERROR(IF(AND(ISNUMBER(C977),ISNUMBER(J977)),C977/J977-1,""),"")</f>
        <v/>
      </c>
      <c r="L977" s="28">
        <f>IFERROR(IF(AND(ISNUMBER(D977),ISNUMBER(E977)),D977-E977,""),"")</f>
        <v/>
      </c>
    </row>
    <row r="978">
      <c r="A978" s="7">
        <f>IFERROR(Datos!A978,"")</f>
        <v/>
      </c>
      <c r="B978" s="8">
        <f>IFERROR(Datos!B978,"")</f>
        <v/>
      </c>
      <c r="C978" s="8">
        <f>IFERROR(Datos!C978,"")</f>
        <v/>
      </c>
      <c r="D978" s="28">
        <f>IFERROR(IF(AND(ISNUMBER(B978),ISNUMBER(B977),B977&lt;&gt;0),B978/B977-1,""),"")</f>
        <v/>
      </c>
      <c r="E978" s="28">
        <f>IFERROR(IF(AND(ISNUMBER(C978),ISNUMBER(C977),C977&lt;&gt;0),C978/C977-1,""),"")</f>
        <v/>
      </c>
      <c r="F978" s="28">
        <f>IFERROR(D978-Dashboard!$B$4/252,"")</f>
        <v/>
      </c>
      <c r="G978" s="28">
        <f>IFERROR(E978-Dashboard!$B$4/252,"")</f>
        <v/>
      </c>
      <c r="H978" s="8">
        <f>IFERROR(IF(ISNUMBER(B978),MAX(B978,IFERROR(H977,B978)),""),"")</f>
        <v/>
      </c>
      <c r="I978" s="29">
        <f>IFERROR(IF(AND(ISNUMBER(B978),ISNUMBER(H978)),B978/H978-1,""),"")</f>
        <v/>
      </c>
      <c r="J978" s="8">
        <f>IFERROR(IF(ISNUMBER(C978),MAX(C978,IFERROR(J977,C978)),""),"")</f>
        <v/>
      </c>
      <c r="K978" s="29">
        <f>IFERROR(IF(AND(ISNUMBER(C978),ISNUMBER(J978)),C978/J978-1,""),"")</f>
        <v/>
      </c>
      <c r="L978" s="28">
        <f>IFERROR(IF(AND(ISNUMBER(D978),ISNUMBER(E978)),D978-E978,""),"")</f>
        <v/>
      </c>
    </row>
    <row r="979">
      <c r="A979" s="7">
        <f>IFERROR(Datos!A979,"")</f>
        <v/>
      </c>
      <c r="B979" s="8">
        <f>IFERROR(Datos!B979,"")</f>
        <v/>
      </c>
      <c r="C979" s="8">
        <f>IFERROR(Datos!C979,"")</f>
        <v/>
      </c>
      <c r="D979" s="28">
        <f>IFERROR(IF(AND(ISNUMBER(B979),ISNUMBER(B978),B978&lt;&gt;0),B979/B978-1,""),"")</f>
        <v/>
      </c>
      <c r="E979" s="28">
        <f>IFERROR(IF(AND(ISNUMBER(C979),ISNUMBER(C978),C978&lt;&gt;0),C979/C978-1,""),"")</f>
        <v/>
      </c>
      <c r="F979" s="28">
        <f>IFERROR(D979-Dashboard!$B$4/252,"")</f>
        <v/>
      </c>
      <c r="G979" s="28">
        <f>IFERROR(E979-Dashboard!$B$4/252,"")</f>
        <v/>
      </c>
      <c r="H979" s="8">
        <f>IFERROR(IF(ISNUMBER(B979),MAX(B979,IFERROR(H978,B979)),""),"")</f>
        <v/>
      </c>
      <c r="I979" s="29">
        <f>IFERROR(IF(AND(ISNUMBER(B979),ISNUMBER(H979)),B979/H979-1,""),"")</f>
        <v/>
      </c>
      <c r="J979" s="8">
        <f>IFERROR(IF(ISNUMBER(C979),MAX(C979,IFERROR(J978,C979)),""),"")</f>
        <v/>
      </c>
      <c r="K979" s="29">
        <f>IFERROR(IF(AND(ISNUMBER(C979),ISNUMBER(J979)),C979/J979-1,""),"")</f>
        <v/>
      </c>
      <c r="L979" s="28">
        <f>IFERROR(IF(AND(ISNUMBER(D979),ISNUMBER(E979)),D979-E979,""),"")</f>
        <v/>
      </c>
    </row>
    <row r="980">
      <c r="A980" s="7">
        <f>IFERROR(Datos!A980,"")</f>
        <v/>
      </c>
      <c r="B980" s="8">
        <f>IFERROR(Datos!B980,"")</f>
        <v/>
      </c>
      <c r="C980" s="8">
        <f>IFERROR(Datos!C980,"")</f>
        <v/>
      </c>
      <c r="D980" s="28">
        <f>IFERROR(IF(AND(ISNUMBER(B980),ISNUMBER(B979),B979&lt;&gt;0),B980/B979-1,""),"")</f>
        <v/>
      </c>
      <c r="E980" s="28">
        <f>IFERROR(IF(AND(ISNUMBER(C980),ISNUMBER(C979),C979&lt;&gt;0),C980/C979-1,""),"")</f>
        <v/>
      </c>
      <c r="F980" s="28">
        <f>IFERROR(D980-Dashboard!$B$4/252,"")</f>
        <v/>
      </c>
      <c r="G980" s="28">
        <f>IFERROR(E980-Dashboard!$B$4/252,"")</f>
        <v/>
      </c>
      <c r="H980" s="8">
        <f>IFERROR(IF(ISNUMBER(B980),MAX(B980,IFERROR(H979,B980)),""),"")</f>
        <v/>
      </c>
      <c r="I980" s="29">
        <f>IFERROR(IF(AND(ISNUMBER(B980),ISNUMBER(H980)),B980/H980-1,""),"")</f>
        <v/>
      </c>
      <c r="J980" s="8">
        <f>IFERROR(IF(ISNUMBER(C980),MAX(C980,IFERROR(J979,C980)),""),"")</f>
        <v/>
      </c>
      <c r="K980" s="29">
        <f>IFERROR(IF(AND(ISNUMBER(C980),ISNUMBER(J980)),C980/J980-1,""),"")</f>
        <v/>
      </c>
      <c r="L980" s="28">
        <f>IFERROR(IF(AND(ISNUMBER(D980),ISNUMBER(E980)),D980-E980,""),"")</f>
        <v/>
      </c>
    </row>
    <row r="981">
      <c r="A981" s="7">
        <f>IFERROR(Datos!A981,"")</f>
        <v/>
      </c>
      <c r="B981" s="8">
        <f>IFERROR(Datos!B981,"")</f>
        <v/>
      </c>
      <c r="C981" s="8">
        <f>IFERROR(Datos!C981,"")</f>
        <v/>
      </c>
      <c r="D981" s="28">
        <f>IFERROR(IF(AND(ISNUMBER(B981),ISNUMBER(B980),B980&lt;&gt;0),B981/B980-1,""),"")</f>
        <v/>
      </c>
      <c r="E981" s="28">
        <f>IFERROR(IF(AND(ISNUMBER(C981),ISNUMBER(C980),C980&lt;&gt;0),C981/C980-1,""),"")</f>
        <v/>
      </c>
      <c r="F981" s="28">
        <f>IFERROR(D981-Dashboard!$B$4/252,"")</f>
        <v/>
      </c>
      <c r="G981" s="28">
        <f>IFERROR(E981-Dashboard!$B$4/252,"")</f>
        <v/>
      </c>
      <c r="H981" s="8">
        <f>IFERROR(IF(ISNUMBER(B981),MAX(B981,IFERROR(H980,B981)),""),"")</f>
        <v/>
      </c>
      <c r="I981" s="29">
        <f>IFERROR(IF(AND(ISNUMBER(B981),ISNUMBER(H981)),B981/H981-1,""),"")</f>
        <v/>
      </c>
      <c r="J981" s="8">
        <f>IFERROR(IF(ISNUMBER(C981),MAX(C981,IFERROR(J980,C981)),""),"")</f>
        <v/>
      </c>
      <c r="K981" s="29">
        <f>IFERROR(IF(AND(ISNUMBER(C981),ISNUMBER(J981)),C981/J981-1,""),"")</f>
        <v/>
      </c>
      <c r="L981" s="28">
        <f>IFERROR(IF(AND(ISNUMBER(D981),ISNUMBER(E981)),D981-E981,""),"")</f>
        <v/>
      </c>
    </row>
    <row r="982">
      <c r="A982" s="7">
        <f>IFERROR(Datos!A982,"")</f>
        <v/>
      </c>
      <c r="B982" s="8">
        <f>IFERROR(Datos!B982,"")</f>
        <v/>
      </c>
      <c r="C982" s="8">
        <f>IFERROR(Datos!C982,"")</f>
        <v/>
      </c>
      <c r="D982" s="28">
        <f>IFERROR(IF(AND(ISNUMBER(B982),ISNUMBER(B981),B981&lt;&gt;0),B982/B981-1,""),"")</f>
        <v/>
      </c>
      <c r="E982" s="28">
        <f>IFERROR(IF(AND(ISNUMBER(C982),ISNUMBER(C981),C981&lt;&gt;0),C982/C981-1,""),"")</f>
        <v/>
      </c>
      <c r="F982" s="28">
        <f>IFERROR(D982-Dashboard!$B$4/252,"")</f>
        <v/>
      </c>
      <c r="G982" s="28">
        <f>IFERROR(E982-Dashboard!$B$4/252,"")</f>
        <v/>
      </c>
      <c r="H982" s="8">
        <f>IFERROR(IF(ISNUMBER(B982),MAX(B982,IFERROR(H981,B982)),""),"")</f>
        <v/>
      </c>
      <c r="I982" s="29">
        <f>IFERROR(IF(AND(ISNUMBER(B982),ISNUMBER(H982)),B982/H982-1,""),"")</f>
        <v/>
      </c>
      <c r="J982" s="8">
        <f>IFERROR(IF(ISNUMBER(C982),MAX(C982,IFERROR(J981,C982)),""),"")</f>
        <v/>
      </c>
      <c r="K982" s="29">
        <f>IFERROR(IF(AND(ISNUMBER(C982),ISNUMBER(J982)),C982/J982-1,""),"")</f>
        <v/>
      </c>
      <c r="L982" s="28">
        <f>IFERROR(IF(AND(ISNUMBER(D982),ISNUMBER(E982)),D982-E982,""),"")</f>
        <v/>
      </c>
    </row>
    <row r="983">
      <c r="A983" s="7">
        <f>IFERROR(Datos!A983,"")</f>
        <v/>
      </c>
      <c r="B983" s="8">
        <f>IFERROR(Datos!B983,"")</f>
        <v/>
      </c>
      <c r="C983" s="8">
        <f>IFERROR(Datos!C983,"")</f>
        <v/>
      </c>
      <c r="D983" s="28">
        <f>IFERROR(IF(AND(ISNUMBER(B983),ISNUMBER(B982),B982&lt;&gt;0),B983/B982-1,""),"")</f>
        <v/>
      </c>
      <c r="E983" s="28">
        <f>IFERROR(IF(AND(ISNUMBER(C983),ISNUMBER(C982),C982&lt;&gt;0),C983/C982-1,""),"")</f>
        <v/>
      </c>
      <c r="F983" s="28">
        <f>IFERROR(D983-Dashboard!$B$4/252,"")</f>
        <v/>
      </c>
      <c r="G983" s="28">
        <f>IFERROR(E983-Dashboard!$B$4/252,"")</f>
        <v/>
      </c>
      <c r="H983" s="8">
        <f>IFERROR(IF(ISNUMBER(B983),MAX(B983,IFERROR(H982,B983)),""),"")</f>
        <v/>
      </c>
      <c r="I983" s="29">
        <f>IFERROR(IF(AND(ISNUMBER(B983),ISNUMBER(H983)),B983/H983-1,""),"")</f>
        <v/>
      </c>
      <c r="J983" s="8">
        <f>IFERROR(IF(ISNUMBER(C983),MAX(C983,IFERROR(J982,C983)),""),"")</f>
        <v/>
      </c>
      <c r="K983" s="29">
        <f>IFERROR(IF(AND(ISNUMBER(C983),ISNUMBER(J983)),C983/J983-1,""),"")</f>
        <v/>
      </c>
      <c r="L983" s="28">
        <f>IFERROR(IF(AND(ISNUMBER(D983),ISNUMBER(E983)),D983-E983,""),"")</f>
        <v/>
      </c>
    </row>
    <row r="984">
      <c r="A984" s="7">
        <f>IFERROR(Datos!A984,"")</f>
        <v/>
      </c>
      <c r="B984" s="8">
        <f>IFERROR(Datos!B984,"")</f>
        <v/>
      </c>
      <c r="C984" s="8">
        <f>IFERROR(Datos!C984,"")</f>
        <v/>
      </c>
      <c r="D984" s="28">
        <f>IFERROR(IF(AND(ISNUMBER(B984),ISNUMBER(B983),B983&lt;&gt;0),B984/B983-1,""),"")</f>
        <v/>
      </c>
      <c r="E984" s="28">
        <f>IFERROR(IF(AND(ISNUMBER(C984),ISNUMBER(C983),C983&lt;&gt;0),C984/C983-1,""),"")</f>
        <v/>
      </c>
      <c r="F984" s="28">
        <f>IFERROR(D984-Dashboard!$B$4/252,"")</f>
        <v/>
      </c>
      <c r="G984" s="28">
        <f>IFERROR(E984-Dashboard!$B$4/252,"")</f>
        <v/>
      </c>
      <c r="H984" s="8">
        <f>IFERROR(IF(ISNUMBER(B984),MAX(B984,IFERROR(H983,B984)),""),"")</f>
        <v/>
      </c>
      <c r="I984" s="29">
        <f>IFERROR(IF(AND(ISNUMBER(B984),ISNUMBER(H984)),B984/H984-1,""),"")</f>
        <v/>
      </c>
      <c r="J984" s="8">
        <f>IFERROR(IF(ISNUMBER(C984),MAX(C984,IFERROR(J983,C984)),""),"")</f>
        <v/>
      </c>
      <c r="K984" s="29">
        <f>IFERROR(IF(AND(ISNUMBER(C984),ISNUMBER(J984)),C984/J984-1,""),"")</f>
        <v/>
      </c>
      <c r="L984" s="28">
        <f>IFERROR(IF(AND(ISNUMBER(D984),ISNUMBER(E984)),D984-E984,""),"")</f>
        <v/>
      </c>
    </row>
    <row r="985">
      <c r="A985" s="7">
        <f>IFERROR(Datos!A985,"")</f>
        <v/>
      </c>
      <c r="B985" s="8">
        <f>IFERROR(Datos!B985,"")</f>
        <v/>
      </c>
      <c r="C985" s="8">
        <f>IFERROR(Datos!C985,"")</f>
        <v/>
      </c>
      <c r="D985" s="28">
        <f>IFERROR(IF(AND(ISNUMBER(B985),ISNUMBER(B984),B984&lt;&gt;0),B985/B984-1,""),"")</f>
        <v/>
      </c>
      <c r="E985" s="28">
        <f>IFERROR(IF(AND(ISNUMBER(C985),ISNUMBER(C984),C984&lt;&gt;0),C985/C984-1,""),"")</f>
        <v/>
      </c>
      <c r="F985" s="28">
        <f>IFERROR(D985-Dashboard!$B$4/252,"")</f>
        <v/>
      </c>
      <c r="G985" s="28">
        <f>IFERROR(E985-Dashboard!$B$4/252,"")</f>
        <v/>
      </c>
      <c r="H985" s="8">
        <f>IFERROR(IF(ISNUMBER(B985),MAX(B985,IFERROR(H984,B985)),""),"")</f>
        <v/>
      </c>
      <c r="I985" s="29">
        <f>IFERROR(IF(AND(ISNUMBER(B985),ISNUMBER(H985)),B985/H985-1,""),"")</f>
        <v/>
      </c>
      <c r="J985" s="8">
        <f>IFERROR(IF(ISNUMBER(C985),MAX(C985,IFERROR(J984,C985)),""),"")</f>
        <v/>
      </c>
      <c r="K985" s="29">
        <f>IFERROR(IF(AND(ISNUMBER(C985),ISNUMBER(J985)),C985/J985-1,""),"")</f>
        <v/>
      </c>
      <c r="L985" s="28">
        <f>IFERROR(IF(AND(ISNUMBER(D985),ISNUMBER(E985)),D985-E985,""),"")</f>
        <v/>
      </c>
    </row>
    <row r="986">
      <c r="A986" s="7">
        <f>IFERROR(Datos!A986,"")</f>
        <v/>
      </c>
      <c r="B986" s="8">
        <f>IFERROR(Datos!B986,"")</f>
        <v/>
      </c>
      <c r="C986" s="8">
        <f>IFERROR(Datos!C986,"")</f>
        <v/>
      </c>
      <c r="D986" s="28">
        <f>IFERROR(IF(AND(ISNUMBER(B986),ISNUMBER(B985),B985&lt;&gt;0),B986/B985-1,""),"")</f>
        <v/>
      </c>
      <c r="E986" s="28">
        <f>IFERROR(IF(AND(ISNUMBER(C986),ISNUMBER(C985),C985&lt;&gt;0),C986/C985-1,""),"")</f>
        <v/>
      </c>
      <c r="F986" s="28">
        <f>IFERROR(D986-Dashboard!$B$4/252,"")</f>
        <v/>
      </c>
      <c r="G986" s="28">
        <f>IFERROR(E986-Dashboard!$B$4/252,"")</f>
        <v/>
      </c>
      <c r="H986" s="8">
        <f>IFERROR(IF(ISNUMBER(B986),MAX(B986,IFERROR(H985,B986)),""),"")</f>
        <v/>
      </c>
      <c r="I986" s="29">
        <f>IFERROR(IF(AND(ISNUMBER(B986),ISNUMBER(H986)),B986/H986-1,""),"")</f>
        <v/>
      </c>
      <c r="J986" s="8">
        <f>IFERROR(IF(ISNUMBER(C986),MAX(C986,IFERROR(J985,C986)),""),"")</f>
        <v/>
      </c>
      <c r="K986" s="29">
        <f>IFERROR(IF(AND(ISNUMBER(C986),ISNUMBER(J986)),C986/J986-1,""),"")</f>
        <v/>
      </c>
      <c r="L986" s="28">
        <f>IFERROR(IF(AND(ISNUMBER(D986),ISNUMBER(E986)),D986-E986,""),"")</f>
        <v/>
      </c>
    </row>
    <row r="987">
      <c r="A987" s="7">
        <f>IFERROR(Datos!A987,"")</f>
        <v/>
      </c>
      <c r="B987" s="8">
        <f>IFERROR(Datos!B987,"")</f>
        <v/>
      </c>
      <c r="C987" s="8">
        <f>IFERROR(Datos!C987,"")</f>
        <v/>
      </c>
      <c r="D987" s="28">
        <f>IFERROR(IF(AND(ISNUMBER(B987),ISNUMBER(B986),B986&lt;&gt;0),B987/B986-1,""),"")</f>
        <v/>
      </c>
      <c r="E987" s="28">
        <f>IFERROR(IF(AND(ISNUMBER(C987),ISNUMBER(C986),C986&lt;&gt;0),C987/C986-1,""),"")</f>
        <v/>
      </c>
      <c r="F987" s="28">
        <f>IFERROR(D987-Dashboard!$B$4/252,"")</f>
        <v/>
      </c>
      <c r="G987" s="28">
        <f>IFERROR(E987-Dashboard!$B$4/252,"")</f>
        <v/>
      </c>
      <c r="H987" s="8">
        <f>IFERROR(IF(ISNUMBER(B987),MAX(B987,IFERROR(H986,B987)),""),"")</f>
        <v/>
      </c>
      <c r="I987" s="29">
        <f>IFERROR(IF(AND(ISNUMBER(B987),ISNUMBER(H987)),B987/H987-1,""),"")</f>
        <v/>
      </c>
      <c r="J987" s="8">
        <f>IFERROR(IF(ISNUMBER(C987),MAX(C987,IFERROR(J986,C987)),""),"")</f>
        <v/>
      </c>
      <c r="K987" s="29">
        <f>IFERROR(IF(AND(ISNUMBER(C987),ISNUMBER(J987)),C987/J987-1,""),"")</f>
        <v/>
      </c>
      <c r="L987" s="28">
        <f>IFERROR(IF(AND(ISNUMBER(D987),ISNUMBER(E987)),D987-E987,""),"")</f>
        <v/>
      </c>
    </row>
    <row r="988">
      <c r="A988" s="7">
        <f>IFERROR(Datos!A988,"")</f>
        <v/>
      </c>
      <c r="B988" s="8">
        <f>IFERROR(Datos!B988,"")</f>
        <v/>
      </c>
      <c r="C988" s="8">
        <f>IFERROR(Datos!C988,"")</f>
        <v/>
      </c>
      <c r="D988" s="28">
        <f>IFERROR(IF(AND(ISNUMBER(B988),ISNUMBER(B987),B987&lt;&gt;0),B988/B987-1,""),"")</f>
        <v/>
      </c>
      <c r="E988" s="28">
        <f>IFERROR(IF(AND(ISNUMBER(C988),ISNUMBER(C987),C987&lt;&gt;0),C988/C987-1,""),"")</f>
        <v/>
      </c>
      <c r="F988" s="28">
        <f>IFERROR(D988-Dashboard!$B$4/252,"")</f>
        <v/>
      </c>
      <c r="G988" s="28">
        <f>IFERROR(E988-Dashboard!$B$4/252,"")</f>
        <v/>
      </c>
      <c r="H988" s="8">
        <f>IFERROR(IF(ISNUMBER(B988),MAX(B988,IFERROR(H987,B988)),""),"")</f>
        <v/>
      </c>
      <c r="I988" s="29">
        <f>IFERROR(IF(AND(ISNUMBER(B988),ISNUMBER(H988)),B988/H988-1,""),"")</f>
        <v/>
      </c>
      <c r="J988" s="8">
        <f>IFERROR(IF(ISNUMBER(C988),MAX(C988,IFERROR(J987,C988)),""),"")</f>
        <v/>
      </c>
      <c r="K988" s="29">
        <f>IFERROR(IF(AND(ISNUMBER(C988),ISNUMBER(J988)),C988/J988-1,""),"")</f>
        <v/>
      </c>
      <c r="L988" s="28">
        <f>IFERROR(IF(AND(ISNUMBER(D988),ISNUMBER(E988)),D988-E988,""),"")</f>
        <v/>
      </c>
    </row>
    <row r="989">
      <c r="A989" s="7">
        <f>IFERROR(Datos!A989,"")</f>
        <v/>
      </c>
      <c r="B989" s="8">
        <f>IFERROR(Datos!B989,"")</f>
        <v/>
      </c>
      <c r="C989" s="8">
        <f>IFERROR(Datos!C989,"")</f>
        <v/>
      </c>
      <c r="D989" s="28">
        <f>IFERROR(IF(AND(ISNUMBER(B989),ISNUMBER(B988),B988&lt;&gt;0),B989/B988-1,""),"")</f>
        <v/>
      </c>
      <c r="E989" s="28">
        <f>IFERROR(IF(AND(ISNUMBER(C989),ISNUMBER(C988),C988&lt;&gt;0),C989/C988-1,""),"")</f>
        <v/>
      </c>
      <c r="F989" s="28">
        <f>IFERROR(D989-Dashboard!$B$4/252,"")</f>
        <v/>
      </c>
      <c r="G989" s="28">
        <f>IFERROR(E989-Dashboard!$B$4/252,"")</f>
        <v/>
      </c>
      <c r="H989" s="8">
        <f>IFERROR(IF(ISNUMBER(B989),MAX(B989,IFERROR(H988,B989)),""),"")</f>
        <v/>
      </c>
      <c r="I989" s="29">
        <f>IFERROR(IF(AND(ISNUMBER(B989),ISNUMBER(H989)),B989/H989-1,""),"")</f>
        <v/>
      </c>
      <c r="J989" s="8">
        <f>IFERROR(IF(ISNUMBER(C989),MAX(C989,IFERROR(J988,C989)),""),"")</f>
        <v/>
      </c>
      <c r="K989" s="29">
        <f>IFERROR(IF(AND(ISNUMBER(C989),ISNUMBER(J989)),C989/J989-1,""),"")</f>
        <v/>
      </c>
      <c r="L989" s="28">
        <f>IFERROR(IF(AND(ISNUMBER(D989),ISNUMBER(E989)),D989-E989,""),"")</f>
        <v/>
      </c>
    </row>
    <row r="990">
      <c r="A990" s="7">
        <f>IFERROR(Datos!A990,"")</f>
        <v/>
      </c>
      <c r="B990" s="8">
        <f>IFERROR(Datos!B990,"")</f>
        <v/>
      </c>
      <c r="C990" s="8">
        <f>IFERROR(Datos!C990,"")</f>
        <v/>
      </c>
      <c r="D990" s="28">
        <f>IFERROR(IF(AND(ISNUMBER(B990),ISNUMBER(B989),B989&lt;&gt;0),B990/B989-1,""),"")</f>
        <v/>
      </c>
      <c r="E990" s="28">
        <f>IFERROR(IF(AND(ISNUMBER(C990),ISNUMBER(C989),C989&lt;&gt;0),C990/C989-1,""),"")</f>
        <v/>
      </c>
      <c r="F990" s="28">
        <f>IFERROR(D990-Dashboard!$B$4/252,"")</f>
        <v/>
      </c>
      <c r="G990" s="28">
        <f>IFERROR(E990-Dashboard!$B$4/252,"")</f>
        <v/>
      </c>
      <c r="H990" s="8">
        <f>IFERROR(IF(ISNUMBER(B990),MAX(B990,IFERROR(H989,B990)),""),"")</f>
        <v/>
      </c>
      <c r="I990" s="29">
        <f>IFERROR(IF(AND(ISNUMBER(B990),ISNUMBER(H990)),B990/H990-1,""),"")</f>
        <v/>
      </c>
      <c r="J990" s="8">
        <f>IFERROR(IF(ISNUMBER(C990),MAX(C990,IFERROR(J989,C990)),""),"")</f>
        <v/>
      </c>
      <c r="K990" s="29">
        <f>IFERROR(IF(AND(ISNUMBER(C990),ISNUMBER(J990)),C990/J990-1,""),"")</f>
        <v/>
      </c>
      <c r="L990" s="28">
        <f>IFERROR(IF(AND(ISNUMBER(D990),ISNUMBER(E990)),D990-E990,""),"")</f>
        <v/>
      </c>
    </row>
    <row r="991">
      <c r="A991" s="7">
        <f>IFERROR(Datos!A991,"")</f>
        <v/>
      </c>
      <c r="B991" s="8">
        <f>IFERROR(Datos!B991,"")</f>
        <v/>
      </c>
      <c r="C991" s="8">
        <f>IFERROR(Datos!C991,"")</f>
        <v/>
      </c>
      <c r="D991" s="28">
        <f>IFERROR(IF(AND(ISNUMBER(B991),ISNUMBER(B990),B990&lt;&gt;0),B991/B990-1,""),"")</f>
        <v/>
      </c>
      <c r="E991" s="28">
        <f>IFERROR(IF(AND(ISNUMBER(C991),ISNUMBER(C990),C990&lt;&gt;0),C991/C990-1,""),"")</f>
        <v/>
      </c>
      <c r="F991" s="28">
        <f>IFERROR(D991-Dashboard!$B$4/252,"")</f>
        <v/>
      </c>
      <c r="G991" s="28">
        <f>IFERROR(E991-Dashboard!$B$4/252,"")</f>
        <v/>
      </c>
      <c r="H991" s="8">
        <f>IFERROR(IF(ISNUMBER(B991),MAX(B991,IFERROR(H990,B991)),""),"")</f>
        <v/>
      </c>
      <c r="I991" s="29">
        <f>IFERROR(IF(AND(ISNUMBER(B991),ISNUMBER(H991)),B991/H991-1,""),"")</f>
        <v/>
      </c>
      <c r="J991" s="8">
        <f>IFERROR(IF(ISNUMBER(C991),MAX(C991,IFERROR(J990,C991)),""),"")</f>
        <v/>
      </c>
      <c r="K991" s="29">
        <f>IFERROR(IF(AND(ISNUMBER(C991),ISNUMBER(J991)),C991/J991-1,""),"")</f>
        <v/>
      </c>
      <c r="L991" s="28">
        <f>IFERROR(IF(AND(ISNUMBER(D991),ISNUMBER(E991)),D991-E991,""),"")</f>
        <v/>
      </c>
    </row>
    <row r="992">
      <c r="A992" s="7">
        <f>IFERROR(Datos!A992,"")</f>
        <v/>
      </c>
      <c r="B992" s="8">
        <f>IFERROR(Datos!B992,"")</f>
        <v/>
      </c>
      <c r="C992" s="8">
        <f>IFERROR(Datos!C992,"")</f>
        <v/>
      </c>
      <c r="D992" s="28">
        <f>IFERROR(IF(AND(ISNUMBER(B992),ISNUMBER(B991),B991&lt;&gt;0),B992/B991-1,""),"")</f>
        <v/>
      </c>
      <c r="E992" s="28">
        <f>IFERROR(IF(AND(ISNUMBER(C992),ISNUMBER(C991),C991&lt;&gt;0),C992/C991-1,""),"")</f>
        <v/>
      </c>
      <c r="F992" s="28">
        <f>IFERROR(D992-Dashboard!$B$4/252,"")</f>
        <v/>
      </c>
      <c r="G992" s="28">
        <f>IFERROR(E992-Dashboard!$B$4/252,"")</f>
        <v/>
      </c>
      <c r="H992" s="8">
        <f>IFERROR(IF(ISNUMBER(B992),MAX(B992,IFERROR(H991,B992)),""),"")</f>
        <v/>
      </c>
      <c r="I992" s="29">
        <f>IFERROR(IF(AND(ISNUMBER(B992),ISNUMBER(H992)),B992/H992-1,""),"")</f>
        <v/>
      </c>
      <c r="J992" s="8">
        <f>IFERROR(IF(ISNUMBER(C992),MAX(C992,IFERROR(J991,C992)),""),"")</f>
        <v/>
      </c>
      <c r="K992" s="29">
        <f>IFERROR(IF(AND(ISNUMBER(C992),ISNUMBER(J992)),C992/J992-1,""),"")</f>
        <v/>
      </c>
      <c r="L992" s="28">
        <f>IFERROR(IF(AND(ISNUMBER(D992),ISNUMBER(E992)),D992-E992,""),"")</f>
        <v/>
      </c>
    </row>
    <row r="993">
      <c r="A993" s="7">
        <f>IFERROR(Datos!A993,"")</f>
        <v/>
      </c>
      <c r="B993" s="8">
        <f>IFERROR(Datos!B993,"")</f>
        <v/>
      </c>
      <c r="C993" s="8">
        <f>IFERROR(Datos!C993,"")</f>
        <v/>
      </c>
      <c r="D993" s="28">
        <f>IFERROR(IF(AND(ISNUMBER(B993),ISNUMBER(B992),B992&lt;&gt;0),B993/B992-1,""),"")</f>
        <v/>
      </c>
      <c r="E993" s="28">
        <f>IFERROR(IF(AND(ISNUMBER(C993),ISNUMBER(C992),C992&lt;&gt;0),C993/C992-1,""),"")</f>
        <v/>
      </c>
      <c r="F993" s="28">
        <f>IFERROR(D993-Dashboard!$B$4/252,"")</f>
        <v/>
      </c>
      <c r="G993" s="28">
        <f>IFERROR(E993-Dashboard!$B$4/252,"")</f>
        <v/>
      </c>
      <c r="H993" s="8">
        <f>IFERROR(IF(ISNUMBER(B993),MAX(B993,IFERROR(H992,B993)),""),"")</f>
        <v/>
      </c>
      <c r="I993" s="29">
        <f>IFERROR(IF(AND(ISNUMBER(B993),ISNUMBER(H993)),B993/H993-1,""),"")</f>
        <v/>
      </c>
      <c r="J993" s="8">
        <f>IFERROR(IF(ISNUMBER(C993),MAX(C993,IFERROR(J992,C993)),""),"")</f>
        <v/>
      </c>
      <c r="K993" s="29">
        <f>IFERROR(IF(AND(ISNUMBER(C993),ISNUMBER(J993)),C993/J993-1,""),"")</f>
        <v/>
      </c>
      <c r="L993" s="28">
        <f>IFERROR(IF(AND(ISNUMBER(D993),ISNUMBER(E993)),D993-E993,""),"")</f>
        <v/>
      </c>
    </row>
    <row r="994">
      <c r="A994" s="7">
        <f>IFERROR(Datos!A994,"")</f>
        <v/>
      </c>
      <c r="B994" s="8">
        <f>IFERROR(Datos!B994,"")</f>
        <v/>
      </c>
      <c r="C994" s="8">
        <f>IFERROR(Datos!C994,"")</f>
        <v/>
      </c>
      <c r="D994" s="28">
        <f>IFERROR(IF(AND(ISNUMBER(B994),ISNUMBER(B993),B993&lt;&gt;0),B994/B993-1,""),"")</f>
        <v/>
      </c>
      <c r="E994" s="28">
        <f>IFERROR(IF(AND(ISNUMBER(C994),ISNUMBER(C993),C993&lt;&gt;0),C994/C993-1,""),"")</f>
        <v/>
      </c>
      <c r="F994" s="28">
        <f>IFERROR(D994-Dashboard!$B$4/252,"")</f>
        <v/>
      </c>
      <c r="G994" s="28">
        <f>IFERROR(E994-Dashboard!$B$4/252,"")</f>
        <v/>
      </c>
      <c r="H994" s="8">
        <f>IFERROR(IF(ISNUMBER(B994),MAX(B994,IFERROR(H993,B994)),""),"")</f>
        <v/>
      </c>
      <c r="I994" s="29">
        <f>IFERROR(IF(AND(ISNUMBER(B994),ISNUMBER(H994)),B994/H994-1,""),"")</f>
        <v/>
      </c>
      <c r="J994" s="8">
        <f>IFERROR(IF(ISNUMBER(C994),MAX(C994,IFERROR(J993,C994)),""),"")</f>
        <v/>
      </c>
      <c r="K994" s="29">
        <f>IFERROR(IF(AND(ISNUMBER(C994),ISNUMBER(J994)),C994/J994-1,""),"")</f>
        <v/>
      </c>
      <c r="L994" s="28">
        <f>IFERROR(IF(AND(ISNUMBER(D994),ISNUMBER(E994)),D994-E994,""),"")</f>
        <v/>
      </c>
    </row>
    <row r="995">
      <c r="A995" s="7">
        <f>IFERROR(Datos!A995,"")</f>
        <v/>
      </c>
      <c r="B995" s="8">
        <f>IFERROR(Datos!B995,"")</f>
        <v/>
      </c>
      <c r="C995" s="8">
        <f>IFERROR(Datos!C995,"")</f>
        <v/>
      </c>
      <c r="D995" s="28">
        <f>IFERROR(IF(AND(ISNUMBER(B995),ISNUMBER(B994),B994&lt;&gt;0),B995/B994-1,""),"")</f>
        <v/>
      </c>
      <c r="E995" s="28">
        <f>IFERROR(IF(AND(ISNUMBER(C995),ISNUMBER(C994),C994&lt;&gt;0),C995/C994-1,""),"")</f>
        <v/>
      </c>
      <c r="F995" s="28">
        <f>IFERROR(D995-Dashboard!$B$4/252,"")</f>
        <v/>
      </c>
      <c r="G995" s="28">
        <f>IFERROR(E995-Dashboard!$B$4/252,"")</f>
        <v/>
      </c>
      <c r="H995" s="8">
        <f>IFERROR(IF(ISNUMBER(B995),MAX(B995,IFERROR(H994,B995)),""),"")</f>
        <v/>
      </c>
      <c r="I995" s="29">
        <f>IFERROR(IF(AND(ISNUMBER(B995),ISNUMBER(H995)),B995/H995-1,""),"")</f>
        <v/>
      </c>
      <c r="J995" s="8">
        <f>IFERROR(IF(ISNUMBER(C995),MAX(C995,IFERROR(J994,C995)),""),"")</f>
        <v/>
      </c>
      <c r="K995" s="29">
        <f>IFERROR(IF(AND(ISNUMBER(C995),ISNUMBER(J995)),C995/J995-1,""),"")</f>
        <v/>
      </c>
      <c r="L995" s="28">
        <f>IFERROR(IF(AND(ISNUMBER(D995),ISNUMBER(E995)),D995-E995,""),"")</f>
        <v/>
      </c>
    </row>
    <row r="996">
      <c r="A996" s="7">
        <f>IFERROR(Datos!A996,"")</f>
        <v/>
      </c>
      <c r="B996" s="8">
        <f>IFERROR(Datos!B996,"")</f>
        <v/>
      </c>
      <c r="C996" s="8">
        <f>IFERROR(Datos!C996,"")</f>
        <v/>
      </c>
      <c r="D996" s="28">
        <f>IFERROR(IF(AND(ISNUMBER(B996),ISNUMBER(B995),B995&lt;&gt;0),B996/B995-1,""),"")</f>
        <v/>
      </c>
      <c r="E996" s="28">
        <f>IFERROR(IF(AND(ISNUMBER(C996),ISNUMBER(C995),C995&lt;&gt;0),C996/C995-1,""),"")</f>
        <v/>
      </c>
      <c r="F996" s="28">
        <f>IFERROR(D996-Dashboard!$B$4/252,"")</f>
        <v/>
      </c>
      <c r="G996" s="28">
        <f>IFERROR(E996-Dashboard!$B$4/252,"")</f>
        <v/>
      </c>
      <c r="H996" s="8">
        <f>IFERROR(IF(ISNUMBER(B996),MAX(B996,IFERROR(H995,B996)),""),"")</f>
        <v/>
      </c>
      <c r="I996" s="29">
        <f>IFERROR(IF(AND(ISNUMBER(B996),ISNUMBER(H996)),B996/H996-1,""),"")</f>
        <v/>
      </c>
      <c r="J996" s="8">
        <f>IFERROR(IF(ISNUMBER(C996),MAX(C996,IFERROR(J995,C996)),""),"")</f>
        <v/>
      </c>
      <c r="K996" s="29">
        <f>IFERROR(IF(AND(ISNUMBER(C996),ISNUMBER(J996)),C996/J996-1,""),"")</f>
        <v/>
      </c>
      <c r="L996" s="28">
        <f>IFERROR(IF(AND(ISNUMBER(D996),ISNUMBER(E996)),D996-E996,""),"")</f>
        <v/>
      </c>
    </row>
    <row r="997">
      <c r="A997" s="7">
        <f>IFERROR(Datos!A997,"")</f>
        <v/>
      </c>
      <c r="B997" s="8">
        <f>IFERROR(Datos!B997,"")</f>
        <v/>
      </c>
      <c r="C997" s="8">
        <f>IFERROR(Datos!C997,"")</f>
        <v/>
      </c>
      <c r="D997" s="28">
        <f>IFERROR(IF(AND(ISNUMBER(B997),ISNUMBER(B996),B996&lt;&gt;0),B997/B996-1,""),"")</f>
        <v/>
      </c>
      <c r="E997" s="28">
        <f>IFERROR(IF(AND(ISNUMBER(C997),ISNUMBER(C996),C996&lt;&gt;0),C997/C996-1,""),"")</f>
        <v/>
      </c>
      <c r="F997" s="28">
        <f>IFERROR(D997-Dashboard!$B$4/252,"")</f>
        <v/>
      </c>
      <c r="G997" s="28">
        <f>IFERROR(E997-Dashboard!$B$4/252,"")</f>
        <v/>
      </c>
      <c r="H997" s="8">
        <f>IFERROR(IF(ISNUMBER(B997),MAX(B997,IFERROR(H996,B997)),""),"")</f>
        <v/>
      </c>
      <c r="I997" s="29">
        <f>IFERROR(IF(AND(ISNUMBER(B997),ISNUMBER(H997)),B997/H997-1,""),"")</f>
        <v/>
      </c>
      <c r="J997" s="8">
        <f>IFERROR(IF(ISNUMBER(C997),MAX(C997,IFERROR(J996,C997)),""),"")</f>
        <v/>
      </c>
      <c r="K997" s="29">
        <f>IFERROR(IF(AND(ISNUMBER(C997),ISNUMBER(J997)),C997/J997-1,""),"")</f>
        <v/>
      </c>
      <c r="L997" s="28">
        <f>IFERROR(IF(AND(ISNUMBER(D997),ISNUMBER(E997)),D997-E997,""),"")</f>
        <v/>
      </c>
    </row>
    <row r="998">
      <c r="A998" s="7">
        <f>IFERROR(Datos!A998,"")</f>
        <v/>
      </c>
      <c r="B998" s="8">
        <f>IFERROR(Datos!B998,"")</f>
        <v/>
      </c>
      <c r="C998" s="8">
        <f>IFERROR(Datos!C998,"")</f>
        <v/>
      </c>
      <c r="D998" s="28">
        <f>IFERROR(IF(AND(ISNUMBER(B998),ISNUMBER(B997),B997&lt;&gt;0),B998/B997-1,""),"")</f>
        <v/>
      </c>
      <c r="E998" s="28">
        <f>IFERROR(IF(AND(ISNUMBER(C998),ISNUMBER(C997),C997&lt;&gt;0),C998/C997-1,""),"")</f>
        <v/>
      </c>
      <c r="F998" s="28">
        <f>IFERROR(D998-Dashboard!$B$4/252,"")</f>
        <v/>
      </c>
      <c r="G998" s="28">
        <f>IFERROR(E998-Dashboard!$B$4/252,"")</f>
        <v/>
      </c>
      <c r="H998" s="8">
        <f>IFERROR(IF(ISNUMBER(B998),MAX(B998,IFERROR(H997,B998)),""),"")</f>
        <v/>
      </c>
      <c r="I998" s="29">
        <f>IFERROR(IF(AND(ISNUMBER(B998),ISNUMBER(H998)),B998/H998-1,""),"")</f>
        <v/>
      </c>
      <c r="J998" s="8">
        <f>IFERROR(IF(ISNUMBER(C998),MAX(C998,IFERROR(J997,C998)),""),"")</f>
        <v/>
      </c>
      <c r="K998" s="29">
        <f>IFERROR(IF(AND(ISNUMBER(C998),ISNUMBER(J998)),C998/J998-1,""),"")</f>
        <v/>
      </c>
      <c r="L998" s="28">
        <f>IFERROR(IF(AND(ISNUMBER(D998),ISNUMBER(E998)),D998-E998,""),"")</f>
        <v/>
      </c>
    </row>
    <row r="999">
      <c r="A999" s="7">
        <f>IFERROR(Datos!A999,"")</f>
        <v/>
      </c>
      <c r="B999" s="8">
        <f>IFERROR(Datos!B999,"")</f>
        <v/>
      </c>
      <c r="C999" s="8">
        <f>IFERROR(Datos!C999,"")</f>
        <v/>
      </c>
      <c r="D999" s="28">
        <f>IFERROR(IF(AND(ISNUMBER(B999),ISNUMBER(B998),B998&lt;&gt;0),B999/B998-1,""),"")</f>
        <v/>
      </c>
      <c r="E999" s="28">
        <f>IFERROR(IF(AND(ISNUMBER(C999),ISNUMBER(C998),C998&lt;&gt;0),C999/C998-1,""),"")</f>
        <v/>
      </c>
      <c r="F999" s="28">
        <f>IFERROR(D999-Dashboard!$B$4/252,"")</f>
        <v/>
      </c>
      <c r="G999" s="28">
        <f>IFERROR(E999-Dashboard!$B$4/252,"")</f>
        <v/>
      </c>
      <c r="H999" s="8">
        <f>IFERROR(IF(ISNUMBER(B999),MAX(B999,IFERROR(H998,B999)),""),"")</f>
        <v/>
      </c>
      <c r="I999" s="29">
        <f>IFERROR(IF(AND(ISNUMBER(B999),ISNUMBER(H999)),B999/H999-1,""),"")</f>
        <v/>
      </c>
      <c r="J999" s="8">
        <f>IFERROR(IF(ISNUMBER(C999),MAX(C999,IFERROR(J998,C999)),""),"")</f>
        <v/>
      </c>
      <c r="K999" s="29">
        <f>IFERROR(IF(AND(ISNUMBER(C999),ISNUMBER(J999)),C999/J999-1,""),"")</f>
        <v/>
      </c>
      <c r="L999" s="28">
        <f>IFERROR(IF(AND(ISNUMBER(D999),ISNUMBER(E999)),D999-E999,""),"")</f>
        <v/>
      </c>
    </row>
    <row r="1000">
      <c r="A1000" s="7">
        <f>IFERROR(Datos!A1000,"")</f>
        <v/>
      </c>
      <c r="B1000" s="8">
        <f>IFERROR(Datos!B1000,"")</f>
        <v/>
      </c>
      <c r="C1000" s="8">
        <f>IFERROR(Datos!C1000,"")</f>
        <v/>
      </c>
      <c r="D1000" s="28">
        <f>IFERROR(IF(AND(ISNUMBER(B1000),ISNUMBER(B999),B999&lt;&gt;0),B1000/B999-1,""),"")</f>
        <v/>
      </c>
      <c r="E1000" s="28">
        <f>IFERROR(IF(AND(ISNUMBER(C1000),ISNUMBER(C999),C999&lt;&gt;0),C1000/C999-1,""),"")</f>
        <v/>
      </c>
      <c r="F1000" s="28">
        <f>IFERROR(D1000-Dashboard!$B$4/252,"")</f>
        <v/>
      </c>
      <c r="G1000" s="28">
        <f>IFERROR(E1000-Dashboard!$B$4/252,"")</f>
        <v/>
      </c>
      <c r="H1000" s="8">
        <f>IFERROR(IF(ISNUMBER(B1000),MAX(B1000,IFERROR(H999,B1000)),""),"")</f>
        <v/>
      </c>
      <c r="I1000" s="29">
        <f>IFERROR(IF(AND(ISNUMBER(B1000),ISNUMBER(H1000)),B1000/H1000-1,""),"")</f>
        <v/>
      </c>
      <c r="J1000" s="8">
        <f>IFERROR(IF(ISNUMBER(C1000),MAX(C1000,IFERROR(J999,C1000)),""),"")</f>
        <v/>
      </c>
      <c r="K1000" s="29">
        <f>IFERROR(IF(AND(ISNUMBER(C1000),ISNUMBER(J1000)),C1000/J1000-1,""),"")</f>
        <v/>
      </c>
      <c r="L1000" s="28">
        <f>IFERROR(IF(AND(ISNUMBER(D1000),ISNUMBER(E1000)),D1000-E1000,""),"")</f>
        <v/>
      </c>
    </row>
    <row r="1001">
      <c r="A1001" s="7">
        <f>IFERROR(Datos!A1001,"")</f>
        <v/>
      </c>
      <c r="B1001" s="8">
        <f>IFERROR(Datos!B1001,"")</f>
        <v/>
      </c>
      <c r="C1001" s="8">
        <f>IFERROR(Datos!C1001,"")</f>
        <v/>
      </c>
      <c r="D1001" s="28">
        <f>IFERROR(IF(AND(ISNUMBER(B1001),ISNUMBER(B1000),B1000&lt;&gt;0),B1001/B1000-1,""),"")</f>
        <v/>
      </c>
      <c r="E1001" s="28">
        <f>IFERROR(IF(AND(ISNUMBER(C1001),ISNUMBER(C1000),C1000&lt;&gt;0),C1001/C1000-1,""),"")</f>
        <v/>
      </c>
      <c r="F1001" s="28">
        <f>IFERROR(D1001-Dashboard!$B$4/252,"")</f>
        <v/>
      </c>
      <c r="G1001" s="28">
        <f>IFERROR(E1001-Dashboard!$B$4/252,"")</f>
        <v/>
      </c>
      <c r="H1001" s="8">
        <f>IFERROR(IF(ISNUMBER(B1001),MAX(B1001,IFERROR(H1000,B1001)),""),"")</f>
        <v/>
      </c>
      <c r="I1001" s="29">
        <f>IFERROR(IF(AND(ISNUMBER(B1001),ISNUMBER(H1001)),B1001/H1001-1,""),"")</f>
        <v/>
      </c>
      <c r="J1001" s="8">
        <f>IFERROR(IF(ISNUMBER(C1001),MAX(C1001,IFERROR(J1000,C1001)),""),"")</f>
        <v/>
      </c>
      <c r="K1001" s="29">
        <f>IFERROR(IF(AND(ISNUMBER(C1001),ISNUMBER(J1001)),C1001/J1001-1,""),"")</f>
        <v/>
      </c>
      <c r="L1001" s="28">
        <f>IFERROR(IF(AND(ISNUMBER(D1001),ISNUMBER(E1001)),D1001-E1001,""),"")</f>
        <v/>
      </c>
    </row>
    <row r="1002">
      <c r="A1002" s="7">
        <f>IFERROR(Datos!A1002,"")</f>
        <v/>
      </c>
      <c r="B1002" s="8">
        <f>IFERROR(Datos!B1002,"")</f>
        <v/>
      </c>
      <c r="C1002" s="8">
        <f>IFERROR(Datos!C1002,"")</f>
        <v/>
      </c>
      <c r="D1002" s="28">
        <f>IFERROR(IF(AND(ISNUMBER(B1002),ISNUMBER(B1001),B1001&lt;&gt;0),B1002/B1001-1,""),"")</f>
        <v/>
      </c>
      <c r="E1002" s="28">
        <f>IFERROR(IF(AND(ISNUMBER(C1002),ISNUMBER(C1001),C1001&lt;&gt;0),C1002/C1001-1,""),"")</f>
        <v/>
      </c>
      <c r="F1002" s="28">
        <f>IFERROR(D1002-Dashboard!$B$4/252,"")</f>
        <v/>
      </c>
      <c r="G1002" s="28">
        <f>IFERROR(E1002-Dashboard!$B$4/252,"")</f>
        <v/>
      </c>
      <c r="H1002" s="8">
        <f>IFERROR(IF(ISNUMBER(B1002),MAX(B1002,IFERROR(H1001,B1002)),""),"")</f>
        <v/>
      </c>
      <c r="I1002" s="29">
        <f>IFERROR(IF(AND(ISNUMBER(B1002),ISNUMBER(H1002)),B1002/H1002-1,""),"")</f>
        <v/>
      </c>
      <c r="J1002" s="8">
        <f>IFERROR(IF(ISNUMBER(C1002),MAX(C1002,IFERROR(J1001,C1002)),""),"")</f>
        <v/>
      </c>
      <c r="K1002" s="29">
        <f>IFERROR(IF(AND(ISNUMBER(C1002),ISNUMBER(J1002)),C1002/J1002-1,""),"")</f>
        <v/>
      </c>
      <c r="L1002" s="28">
        <f>IFERROR(IF(AND(ISNUMBER(D1002),ISNUMBER(E1002)),D1002-E1002,""),"")</f>
        <v/>
      </c>
    </row>
    <row r="1003">
      <c r="A1003" s="7">
        <f>IFERROR(Datos!A1003,"")</f>
        <v/>
      </c>
      <c r="B1003" s="8">
        <f>IFERROR(Datos!B1003,"")</f>
        <v/>
      </c>
      <c r="C1003" s="8">
        <f>IFERROR(Datos!C1003,"")</f>
        <v/>
      </c>
      <c r="D1003" s="28">
        <f>IFERROR(IF(AND(ISNUMBER(B1003),ISNUMBER(B1002),B1002&lt;&gt;0),B1003/B1002-1,""),"")</f>
        <v/>
      </c>
      <c r="E1003" s="28">
        <f>IFERROR(IF(AND(ISNUMBER(C1003),ISNUMBER(C1002),C1002&lt;&gt;0),C1003/C1002-1,""),"")</f>
        <v/>
      </c>
      <c r="F1003" s="28">
        <f>IFERROR(D1003-Dashboard!$B$4/252,"")</f>
        <v/>
      </c>
      <c r="G1003" s="28">
        <f>IFERROR(E1003-Dashboard!$B$4/252,"")</f>
        <v/>
      </c>
      <c r="H1003" s="8">
        <f>IFERROR(IF(ISNUMBER(B1003),MAX(B1003,IFERROR(H1002,B1003)),""),"")</f>
        <v/>
      </c>
      <c r="I1003" s="29">
        <f>IFERROR(IF(AND(ISNUMBER(B1003),ISNUMBER(H1003)),B1003/H1003-1,""),"")</f>
        <v/>
      </c>
      <c r="J1003" s="8">
        <f>IFERROR(IF(ISNUMBER(C1003),MAX(C1003,IFERROR(J1002,C1003)),""),"")</f>
        <v/>
      </c>
      <c r="K1003" s="29">
        <f>IFERROR(IF(AND(ISNUMBER(C1003),ISNUMBER(J1003)),C1003/J1003-1,""),"")</f>
        <v/>
      </c>
      <c r="L1003" s="28">
        <f>IFERROR(IF(AND(ISNUMBER(D1003),ISNUMBER(E1003)),D1003-E1003,""),"")</f>
        <v/>
      </c>
    </row>
    <row r="1004">
      <c r="A1004" s="7">
        <f>IFERROR(Datos!A1004,"")</f>
        <v/>
      </c>
      <c r="B1004" s="8">
        <f>IFERROR(Datos!B1004,"")</f>
        <v/>
      </c>
      <c r="C1004" s="8">
        <f>IFERROR(Datos!C1004,"")</f>
        <v/>
      </c>
      <c r="D1004" s="28">
        <f>IFERROR(IF(AND(ISNUMBER(B1004),ISNUMBER(B1003),B1003&lt;&gt;0),B1004/B1003-1,""),"")</f>
        <v/>
      </c>
      <c r="E1004" s="28">
        <f>IFERROR(IF(AND(ISNUMBER(C1004),ISNUMBER(C1003),C1003&lt;&gt;0),C1004/C1003-1,""),"")</f>
        <v/>
      </c>
      <c r="F1004" s="28">
        <f>IFERROR(D1004-Dashboard!$B$4/252,"")</f>
        <v/>
      </c>
      <c r="G1004" s="28">
        <f>IFERROR(E1004-Dashboard!$B$4/252,"")</f>
        <v/>
      </c>
      <c r="H1004" s="8">
        <f>IFERROR(IF(ISNUMBER(B1004),MAX(B1004,IFERROR(H1003,B1004)),""),"")</f>
        <v/>
      </c>
      <c r="I1004" s="29">
        <f>IFERROR(IF(AND(ISNUMBER(B1004),ISNUMBER(H1004)),B1004/H1004-1,""),"")</f>
        <v/>
      </c>
      <c r="J1004" s="8">
        <f>IFERROR(IF(ISNUMBER(C1004),MAX(C1004,IFERROR(J1003,C1004)),""),"")</f>
        <v/>
      </c>
      <c r="K1004" s="29">
        <f>IFERROR(IF(AND(ISNUMBER(C1004),ISNUMBER(J1004)),C1004/J1004-1,""),"")</f>
        <v/>
      </c>
      <c r="L1004" s="28">
        <f>IFERROR(IF(AND(ISNUMBER(D1004),ISNUMBER(E1004)),D1004-E1004,""),"")</f>
        <v/>
      </c>
    </row>
    <row r="1005">
      <c r="A1005" s="7">
        <f>IFERROR(Datos!A1005,"")</f>
        <v/>
      </c>
      <c r="B1005" s="8">
        <f>IFERROR(Datos!B1005,"")</f>
        <v/>
      </c>
      <c r="C1005" s="8">
        <f>IFERROR(Datos!C1005,"")</f>
        <v/>
      </c>
      <c r="D1005" s="28">
        <f>IFERROR(IF(AND(ISNUMBER(B1005),ISNUMBER(B1004),B1004&lt;&gt;0),B1005/B1004-1,""),"")</f>
        <v/>
      </c>
      <c r="E1005" s="28">
        <f>IFERROR(IF(AND(ISNUMBER(C1005),ISNUMBER(C1004),C1004&lt;&gt;0),C1005/C1004-1,""),"")</f>
        <v/>
      </c>
      <c r="F1005" s="28">
        <f>IFERROR(D1005-Dashboard!$B$4/252,"")</f>
        <v/>
      </c>
      <c r="G1005" s="28">
        <f>IFERROR(E1005-Dashboard!$B$4/252,"")</f>
        <v/>
      </c>
      <c r="H1005" s="8">
        <f>IFERROR(IF(ISNUMBER(B1005),MAX(B1005,IFERROR(H1004,B1005)),""),"")</f>
        <v/>
      </c>
      <c r="I1005" s="29">
        <f>IFERROR(IF(AND(ISNUMBER(B1005),ISNUMBER(H1005)),B1005/H1005-1,""),"")</f>
        <v/>
      </c>
      <c r="J1005" s="8">
        <f>IFERROR(IF(ISNUMBER(C1005),MAX(C1005,IFERROR(J1004,C1005)),""),"")</f>
        <v/>
      </c>
      <c r="K1005" s="29">
        <f>IFERROR(IF(AND(ISNUMBER(C1005),ISNUMBER(J1005)),C1005/J1005-1,""),"")</f>
        <v/>
      </c>
      <c r="L1005" s="28">
        <f>IFERROR(IF(AND(ISNUMBER(D1005),ISNUMBER(E1005)),D1005-E1005,""),"")</f>
        <v/>
      </c>
    </row>
    <row r="1006">
      <c r="A1006" s="7">
        <f>IFERROR(Datos!A1006,"")</f>
        <v/>
      </c>
      <c r="B1006" s="8">
        <f>IFERROR(Datos!B1006,"")</f>
        <v/>
      </c>
      <c r="C1006" s="8">
        <f>IFERROR(Datos!C1006,"")</f>
        <v/>
      </c>
      <c r="D1006" s="28">
        <f>IFERROR(IF(AND(ISNUMBER(B1006),ISNUMBER(B1005),B1005&lt;&gt;0),B1006/B1005-1,""),"")</f>
        <v/>
      </c>
      <c r="E1006" s="28">
        <f>IFERROR(IF(AND(ISNUMBER(C1006),ISNUMBER(C1005),C1005&lt;&gt;0),C1006/C1005-1,""),"")</f>
        <v/>
      </c>
      <c r="F1006" s="28">
        <f>IFERROR(D1006-Dashboard!$B$4/252,"")</f>
        <v/>
      </c>
      <c r="G1006" s="28">
        <f>IFERROR(E1006-Dashboard!$B$4/252,"")</f>
        <v/>
      </c>
      <c r="H1006" s="8">
        <f>IFERROR(IF(ISNUMBER(B1006),MAX(B1006,IFERROR(H1005,B1006)),""),"")</f>
        <v/>
      </c>
      <c r="I1006" s="29">
        <f>IFERROR(IF(AND(ISNUMBER(B1006),ISNUMBER(H1006)),B1006/H1006-1,""),"")</f>
        <v/>
      </c>
      <c r="J1006" s="8">
        <f>IFERROR(IF(ISNUMBER(C1006),MAX(C1006,IFERROR(J1005,C1006)),""),"")</f>
        <v/>
      </c>
      <c r="K1006" s="29">
        <f>IFERROR(IF(AND(ISNUMBER(C1006),ISNUMBER(J1006)),C1006/J1006-1,""),"")</f>
        <v/>
      </c>
      <c r="L1006" s="28">
        <f>IFERROR(IF(AND(ISNUMBER(D1006),ISNUMBER(E1006)),D1006-E1006,""),"")</f>
        <v/>
      </c>
    </row>
    <row r="1007">
      <c r="A1007" s="7">
        <f>IFERROR(Datos!A1007,"")</f>
        <v/>
      </c>
      <c r="B1007" s="8">
        <f>IFERROR(Datos!B1007,"")</f>
        <v/>
      </c>
      <c r="C1007" s="8">
        <f>IFERROR(Datos!C1007,"")</f>
        <v/>
      </c>
      <c r="D1007" s="28">
        <f>IFERROR(IF(AND(ISNUMBER(B1007),ISNUMBER(B1006),B1006&lt;&gt;0),B1007/B1006-1,""),"")</f>
        <v/>
      </c>
      <c r="E1007" s="28">
        <f>IFERROR(IF(AND(ISNUMBER(C1007),ISNUMBER(C1006),C1006&lt;&gt;0),C1007/C1006-1,""),"")</f>
        <v/>
      </c>
      <c r="F1007" s="28">
        <f>IFERROR(D1007-Dashboard!$B$4/252,"")</f>
        <v/>
      </c>
      <c r="G1007" s="28">
        <f>IFERROR(E1007-Dashboard!$B$4/252,"")</f>
        <v/>
      </c>
      <c r="H1007" s="8">
        <f>IFERROR(IF(ISNUMBER(B1007),MAX(B1007,IFERROR(H1006,B1007)),""),"")</f>
        <v/>
      </c>
      <c r="I1007" s="29">
        <f>IFERROR(IF(AND(ISNUMBER(B1007),ISNUMBER(H1007)),B1007/H1007-1,""),"")</f>
        <v/>
      </c>
      <c r="J1007" s="8">
        <f>IFERROR(IF(ISNUMBER(C1007),MAX(C1007,IFERROR(J1006,C1007)),""),"")</f>
        <v/>
      </c>
      <c r="K1007" s="29">
        <f>IFERROR(IF(AND(ISNUMBER(C1007),ISNUMBER(J1007)),C1007/J1007-1,""),"")</f>
        <v/>
      </c>
      <c r="L1007" s="28">
        <f>IFERROR(IF(AND(ISNUMBER(D1007),ISNUMBER(E1007)),D1007-E1007,""),"")</f>
        <v/>
      </c>
    </row>
    <row r="1008">
      <c r="A1008" s="7">
        <f>IFERROR(Datos!A1008,"")</f>
        <v/>
      </c>
      <c r="B1008" s="8">
        <f>IFERROR(Datos!B1008,"")</f>
        <v/>
      </c>
      <c r="C1008" s="8">
        <f>IFERROR(Datos!C1008,"")</f>
        <v/>
      </c>
      <c r="D1008" s="28">
        <f>IFERROR(IF(AND(ISNUMBER(B1008),ISNUMBER(B1007),B1007&lt;&gt;0),B1008/B1007-1,""),"")</f>
        <v/>
      </c>
      <c r="E1008" s="28">
        <f>IFERROR(IF(AND(ISNUMBER(C1008),ISNUMBER(C1007),C1007&lt;&gt;0),C1008/C1007-1,""),"")</f>
        <v/>
      </c>
      <c r="F1008" s="28">
        <f>IFERROR(D1008-Dashboard!$B$4/252,"")</f>
        <v/>
      </c>
      <c r="G1008" s="28">
        <f>IFERROR(E1008-Dashboard!$B$4/252,"")</f>
        <v/>
      </c>
      <c r="H1008" s="8">
        <f>IFERROR(IF(ISNUMBER(B1008),MAX(B1008,IFERROR(H1007,B1008)),""),"")</f>
        <v/>
      </c>
      <c r="I1008" s="29">
        <f>IFERROR(IF(AND(ISNUMBER(B1008),ISNUMBER(H1008)),B1008/H1008-1,""),"")</f>
        <v/>
      </c>
      <c r="J1008" s="8">
        <f>IFERROR(IF(ISNUMBER(C1008),MAX(C1008,IFERROR(J1007,C1008)),""),"")</f>
        <v/>
      </c>
      <c r="K1008" s="29">
        <f>IFERROR(IF(AND(ISNUMBER(C1008),ISNUMBER(J1008)),C1008/J1008-1,""),"")</f>
        <v/>
      </c>
      <c r="L1008" s="28">
        <f>IFERROR(IF(AND(ISNUMBER(D1008),ISNUMBER(E1008)),D1008-E1008,""),"")</f>
        <v/>
      </c>
    </row>
    <row r="1009">
      <c r="A1009" s="7">
        <f>IFERROR(Datos!A1009,"")</f>
        <v/>
      </c>
      <c r="B1009" s="8">
        <f>IFERROR(Datos!B1009,"")</f>
        <v/>
      </c>
      <c r="C1009" s="8">
        <f>IFERROR(Datos!C1009,"")</f>
        <v/>
      </c>
      <c r="D1009" s="28">
        <f>IFERROR(IF(AND(ISNUMBER(B1009),ISNUMBER(B1008),B1008&lt;&gt;0),B1009/B1008-1,""),"")</f>
        <v/>
      </c>
      <c r="E1009" s="28">
        <f>IFERROR(IF(AND(ISNUMBER(C1009),ISNUMBER(C1008),C1008&lt;&gt;0),C1009/C1008-1,""),"")</f>
        <v/>
      </c>
      <c r="F1009" s="28">
        <f>IFERROR(D1009-Dashboard!$B$4/252,"")</f>
        <v/>
      </c>
      <c r="G1009" s="28">
        <f>IFERROR(E1009-Dashboard!$B$4/252,"")</f>
        <v/>
      </c>
      <c r="H1009" s="8">
        <f>IFERROR(IF(ISNUMBER(B1009),MAX(B1009,IFERROR(H1008,B1009)),""),"")</f>
        <v/>
      </c>
      <c r="I1009" s="29">
        <f>IFERROR(IF(AND(ISNUMBER(B1009),ISNUMBER(H1009)),B1009/H1009-1,""),"")</f>
        <v/>
      </c>
      <c r="J1009" s="8">
        <f>IFERROR(IF(ISNUMBER(C1009),MAX(C1009,IFERROR(J1008,C1009)),""),"")</f>
        <v/>
      </c>
      <c r="K1009" s="29">
        <f>IFERROR(IF(AND(ISNUMBER(C1009),ISNUMBER(J1009)),C1009/J1009-1,""),"")</f>
        <v/>
      </c>
      <c r="L1009" s="28">
        <f>IFERROR(IF(AND(ISNUMBER(D1009),ISNUMBER(E1009)),D1009-E1009,""),"")</f>
        <v/>
      </c>
    </row>
    <row r="1010">
      <c r="A1010" s="7">
        <f>IFERROR(Datos!A1010,"")</f>
        <v/>
      </c>
      <c r="B1010" s="8">
        <f>IFERROR(Datos!B1010,"")</f>
        <v/>
      </c>
      <c r="C1010" s="8">
        <f>IFERROR(Datos!C1010,"")</f>
        <v/>
      </c>
      <c r="D1010" s="28">
        <f>IFERROR(IF(AND(ISNUMBER(B1010),ISNUMBER(B1009),B1009&lt;&gt;0),B1010/B1009-1,""),"")</f>
        <v/>
      </c>
      <c r="E1010" s="28">
        <f>IFERROR(IF(AND(ISNUMBER(C1010),ISNUMBER(C1009),C1009&lt;&gt;0),C1010/C1009-1,""),"")</f>
        <v/>
      </c>
      <c r="F1010" s="28">
        <f>IFERROR(D1010-Dashboard!$B$4/252,"")</f>
        <v/>
      </c>
      <c r="G1010" s="28">
        <f>IFERROR(E1010-Dashboard!$B$4/252,"")</f>
        <v/>
      </c>
      <c r="H1010" s="8">
        <f>IFERROR(IF(ISNUMBER(B1010),MAX(B1010,IFERROR(H1009,B1010)),""),"")</f>
        <v/>
      </c>
      <c r="I1010" s="29">
        <f>IFERROR(IF(AND(ISNUMBER(B1010),ISNUMBER(H1010)),B1010/H1010-1,""),"")</f>
        <v/>
      </c>
      <c r="J1010" s="8">
        <f>IFERROR(IF(ISNUMBER(C1010),MAX(C1010,IFERROR(J1009,C1010)),""),"")</f>
        <v/>
      </c>
      <c r="K1010" s="29">
        <f>IFERROR(IF(AND(ISNUMBER(C1010),ISNUMBER(J1010)),C1010/J1010-1,""),"")</f>
        <v/>
      </c>
      <c r="L1010" s="28">
        <f>IFERROR(IF(AND(ISNUMBER(D1010),ISNUMBER(E1010)),D1010-E1010,""),"")</f>
        <v/>
      </c>
    </row>
    <row r="1011">
      <c r="A1011" s="7">
        <f>IFERROR(Datos!A1011,"")</f>
        <v/>
      </c>
      <c r="B1011" s="8">
        <f>IFERROR(Datos!B1011,"")</f>
        <v/>
      </c>
      <c r="C1011" s="8">
        <f>IFERROR(Datos!C1011,"")</f>
        <v/>
      </c>
      <c r="D1011" s="28">
        <f>IFERROR(IF(AND(ISNUMBER(B1011),ISNUMBER(B1010),B1010&lt;&gt;0),B1011/B1010-1,""),"")</f>
        <v/>
      </c>
      <c r="E1011" s="28">
        <f>IFERROR(IF(AND(ISNUMBER(C1011),ISNUMBER(C1010),C1010&lt;&gt;0),C1011/C1010-1,""),"")</f>
        <v/>
      </c>
      <c r="F1011" s="28">
        <f>IFERROR(D1011-Dashboard!$B$4/252,"")</f>
        <v/>
      </c>
      <c r="G1011" s="28">
        <f>IFERROR(E1011-Dashboard!$B$4/252,"")</f>
        <v/>
      </c>
      <c r="H1011" s="8">
        <f>IFERROR(IF(ISNUMBER(B1011),MAX(B1011,IFERROR(H1010,B1011)),""),"")</f>
        <v/>
      </c>
      <c r="I1011" s="29">
        <f>IFERROR(IF(AND(ISNUMBER(B1011),ISNUMBER(H1011)),B1011/H1011-1,""),"")</f>
        <v/>
      </c>
      <c r="J1011" s="8">
        <f>IFERROR(IF(ISNUMBER(C1011),MAX(C1011,IFERROR(J1010,C1011)),""),"")</f>
        <v/>
      </c>
      <c r="K1011" s="29">
        <f>IFERROR(IF(AND(ISNUMBER(C1011),ISNUMBER(J1011)),C1011/J1011-1,""),"")</f>
        <v/>
      </c>
      <c r="L1011" s="28">
        <f>IFERROR(IF(AND(ISNUMBER(D1011),ISNUMBER(E1011)),D1011-E1011,""),"")</f>
        <v/>
      </c>
    </row>
    <row r="1012">
      <c r="A1012" s="7">
        <f>IFERROR(Datos!A1012,"")</f>
        <v/>
      </c>
      <c r="B1012" s="8">
        <f>IFERROR(Datos!B1012,"")</f>
        <v/>
      </c>
      <c r="C1012" s="8">
        <f>IFERROR(Datos!C1012,"")</f>
        <v/>
      </c>
      <c r="D1012" s="28">
        <f>IFERROR(IF(AND(ISNUMBER(B1012),ISNUMBER(B1011),B1011&lt;&gt;0),B1012/B1011-1,""),"")</f>
        <v/>
      </c>
      <c r="E1012" s="28">
        <f>IFERROR(IF(AND(ISNUMBER(C1012),ISNUMBER(C1011),C1011&lt;&gt;0),C1012/C1011-1,""),"")</f>
        <v/>
      </c>
      <c r="F1012" s="28">
        <f>IFERROR(D1012-Dashboard!$B$4/252,"")</f>
        <v/>
      </c>
      <c r="G1012" s="28">
        <f>IFERROR(E1012-Dashboard!$B$4/252,"")</f>
        <v/>
      </c>
      <c r="H1012" s="8">
        <f>IFERROR(IF(ISNUMBER(B1012),MAX(B1012,IFERROR(H1011,B1012)),""),"")</f>
        <v/>
      </c>
      <c r="I1012" s="29">
        <f>IFERROR(IF(AND(ISNUMBER(B1012),ISNUMBER(H1012)),B1012/H1012-1,""),"")</f>
        <v/>
      </c>
      <c r="J1012" s="8">
        <f>IFERROR(IF(ISNUMBER(C1012),MAX(C1012,IFERROR(J1011,C1012)),""),"")</f>
        <v/>
      </c>
      <c r="K1012" s="29">
        <f>IFERROR(IF(AND(ISNUMBER(C1012),ISNUMBER(J1012)),C1012/J1012-1,""),"")</f>
        <v/>
      </c>
      <c r="L1012" s="28">
        <f>IFERROR(IF(AND(ISNUMBER(D1012),ISNUMBER(E1012)),D1012-E1012,""),"")</f>
        <v/>
      </c>
    </row>
    <row r="1013">
      <c r="A1013" s="7">
        <f>IFERROR(Datos!A1013,"")</f>
        <v/>
      </c>
      <c r="B1013" s="8">
        <f>IFERROR(Datos!B1013,"")</f>
        <v/>
      </c>
      <c r="C1013" s="8">
        <f>IFERROR(Datos!C1013,"")</f>
        <v/>
      </c>
      <c r="D1013" s="28">
        <f>IFERROR(IF(AND(ISNUMBER(B1013),ISNUMBER(B1012),B1012&lt;&gt;0),B1013/B1012-1,""),"")</f>
        <v/>
      </c>
      <c r="E1013" s="28">
        <f>IFERROR(IF(AND(ISNUMBER(C1013),ISNUMBER(C1012),C1012&lt;&gt;0),C1013/C1012-1,""),"")</f>
        <v/>
      </c>
      <c r="F1013" s="28">
        <f>IFERROR(D1013-Dashboard!$B$4/252,"")</f>
        <v/>
      </c>
      <c r="G1013" s="28">
        <f>IFERROR(E1013-Dashboard!$B$4/252,"")</f>
        <v/>
      </c>
      <c r="H1013" s="8">
        <f>IFERROR(IF(ISNUMBER(B1013),MAX(B1013,IFERROR(H1012,B1013)),""),"")</f>
        <v/>
      </c>
      <c r="I1013" s="29">
        <f>IFERROR(IF(AND(ISNUMBER(B1013),ISNUMBER(H1013)),B1013/H1013-1,""),"")</f>
        <v/>
      </c>
      <c r="J1013" s="8">
        <f>IFERROR(IF(ISNUMBER(C1013),MAX(C1013,IFERROR(J1012,C1013)),""),"")</f>
        <v/>
      </c>
      <c r="K1013" s="29">
        <f>IFERROR(IF(AND(ISNUMBER(C1013),ISNUMBER(J1013)),C1013/J1013-1,""),"")</f>
        <v/>
      </c>
      <c r="L1013" s="28">
        <f>IFERROR(IF(AND(ISNUMBER(D1013),ISNUMBER(E1013)),D1013-E1013,""),"")</f>
        <v/>
      </c>
    </row>
    <row r="1014">
      <c r="A1014" s="7">
        <f>IFERROR(Datos!A1014,"")</f>
        <v/>
      </c>
      <c r="B1014" s="8">
        <f>IFERROR(Datos!B1014,"")</f>
        <v/>
      </c>
      <c r="C1014" s="8">
        <f>IFERROR(Datos!C1014,"")</f>
        <v/>
      </c>
      <c r="D1014" s="28">
        <f>IFERROR(IF(AND(ISNUMBER(B1014),ISNUMBER(B1013),B1013&lt;&gt;0),B1014/B1013-1,""),"")</f>
        <v/>
      </c>
      <c r="E1014" s="28">
        <f>IFERROR(IF(AND(ISNUMBER(C1014),ISNUMBER(C1013),C1013&lt;&gt;0),C1014/C1013-1,""),"")</f>
        <v/>
      </c>
      <c r="F1014" s="28">
        <f>IFERROR(D1014-Dashboard!$B$4/252,"")</f>
        <v/>
      </c>
      <c r="G1014" s="28">
        <f>IFERROR(E1014-Dashboard!$B$4/252,"")</f>
        <v/>
      </c>
      <c r="H1014" s="8">
        <f>IFERROR(IF(ISNUMBER(B1014),MAX(B1014,IFERROR(H1013,B1014)),""),"")</f>
        <v/>
      </c>
      <c r="I1014" s="29">
        <f>IFERROR(IF(AND(ISNUMBER(B1014),ISNUMBER(H1014)),B1014/H1014-1,""),"")</f>
        <v/>
      </c>
      <c r="J1014" s="8">
        <f>IFERROR(IF(ISNUMBER(C1014),MAX(C1014,IFERROR(J1013,C1014)),""),"")</f>
        <v/>
      </c>
      <c r="K1014" s="29">
        <f>IFERROR(IF(AND(ISNUMBER(C1014),ISNUMBER(J1014)),C1014/J1014-1,""),"")</f>
        <v/>
      </c>
      <c r="L1014" s="28">
        <f>IFERROR(IF(AND(ISNUMBER(D1014),ISNUMBER(E1014)),D1014-E1014,""),"")</f>
        <v/>
      </c>
    </row>
    <row r="1015">
      <c r="A1015" s="7">
        <f>IFERROR(Datos!A1015,"")</f>
        <v/>
      </c>
      <c r="B1015" s="8">
        <f>IFERROR(Datos!B1015,"")</f>
        <v/>
      </c>
      <c r="C1015" s="8">
        <f>IFERROR(Datos!C1015,"")</f>
        <v/>
      </c>
      <c r="D1015" s="28">
        <f>IFERROR(IF(AND(ISNUMBER(B1015),ISNUMBER(B1014),B1014&lt;&gt;0),B1015/B1014-1,""),"")</f>
        <v/>
      </c>
      <c r="E1015" s="28">
        <f>IFERROR(IF(AND(ISNUMBER(C1015),ISNUMBER(C1014),C1014&lt;&gt;0),C1015/C1014-1,""),"")</f>
        <v/>
      </c>
      <c r="F1015" s="28">
        <f>IFERROR(D1015-Dashboard!$B$4/252,"")</f>
        <v/>
      </c>
      <c r="G1015" s="28">
        <f>IFERROR(E1015-Dashboard!$B$4/252,"")</f>
        <v/>
      </c>
      <c r="H1015" s="8">
        <f>IFERROR(IF(ISNUMBER(B1015),MAX(B1015,IFERROR(H1014,B1015)),""),"")</f>
        <v/>
      </c>
      <c r="I1015" s="29">
        <f>IFERROR(IF(AND(ISNUMBER(B1015),ISNUMBER(H1015)),B1015/H1015-1,""),"")</f>
        <v/>
      </c>
      <c r="J1015" s="8">
        <f>IFERROR(IF(ISNUMBER(C1015),MAX(C1015,IFERROR(J1014,C1015)),""),"")</f>
        <v/>
      </c>
      <c r="K1015" s="29">
        <f>IFERROR(IF(AND(ISNUMBER(C1015),ISNUMBER(J1015)),C1015/J1015-1,""),"")</f>
        <v/>
      </c>
      <c r="L1015" s="28">
        <f>IFERROR(IF(AND(ISNUMBER(D1015),ISNUMBER(E1015)),D1015-E1015,""),"")</f>
        <v/>
      </c>
    </row>
    <row r="1016">
      <c r="A1016" s="7">
        <f>IFERROR(Datos!A1016,"")</f>
        <v/>
      </c>
      <c r="B1016" s="8">
        <f>IFERROR(Datos!B1016,"")</f>
        <v/>
      </c>
      <c r="C1016" s="8">
        <f>IFERROR(Datos!C1016,"")</f>
        <v/>
      </c>
      <c r="D1016" s="28">
        <f>IFERROR(IF(AND(ISNUMBER(B1016),ISNUMBER(B1015),B1015&lt;&gt;0),B1016/B1015-1,""),"")</f>
        <v/>
      </c>
      <c r="E1016" s="28">
        <f>IFERROR(IF(AND(ISNUMBER(C1016),ISNUMBER(C1015),C1015&lt;&gt;0),C1016/C1015-1,""),"")</f>
        <v/>
      </c>
      <c r="F1016" s="28">
        <f>IFERROR(D1016-Dashboard!$B$4/252,"")</f>
        <v/>
      </c>
      <c r="G1016" s="28">
        <f>IFERROR(E1016-Dashboard!$B$4/252,"")</f>
        <v/>
      </c>
      <c r="H1016" s="8">
        <f>IFERROR(IF(ISNUMBER(B1016),MAX(B1016,IFERROR(H1015,B1016)),""),"")</f>
        <v/>
      </c>
      <c r="I1016" s="29">
        <f>IFERROR(IF(AND(ISNUMBER(B1016),ISNUMBER(H1016)),B1016/H1016-1,""),"")</f>
        <v/>
      </c>
      <c r="J1016" s="8">
        <f>IFERROR(IF(ISNUMBER(C1016),MAX(C1016,IFERROR(J1015,C1016)),""),"")</f>
        <v/>
      </c>
      <c r="K1016" s="29">
        <f>IFERROR(IF(AND(ISNUMBER(C1016),ISNUMBER(J1016)),C1016/J1016-1,""),"")</f>
        <v/>
      </c>
      <c r="L1016" s="28">
        <f>IFERROR(IF(AND(ISNUMBER(D1016),ISNUMBER(E1016)),D1016-E1016,""),"")</f>
        <v/>
      </c>
    </row>
    <row r="1017">
      <c r="A1017" s="7">
        <f>IFERROR(Datos!A1017,"")</f>
        <v/>
      </c>
      <c r="B1017" s="8">
        <f>IFERROR(Datos!B1017,"")</f>
        <v/>
      </c>
      <c r="C1017" s="8">
        <f>IFERROR(Datos!C1017,"")</f>
        <v/>
      </c>
      <c r="D1017" s="28">
        <f>IFERROR(IF(AND(ISNUMBER(B1017),ISNUMBER(B1016),B1016&lt;&gt;0),B1017/B1016-1,""),"")</f>
        <v/>
      </c>
      <c r="E1017" s="28">
        <f>IFERROR(IF(AND(ISNUMBER(C1017),ISNUMBER(C1016),C1016&lt;&gt;0),C1017/C1016-1,""),"")</f>
        <v/>
      </c>
      <c r="F1017" s="28">
        <f>IFERROR(D1017-Dashboard!$B$4/252,"")</f>
        <v/>
      </c>
      <c r="G1017" s="28">
        <f>IFERROR(E1017-Dashboard!$B$4/252,"")</f>
        <v/>
      </c>
      <c r="H1017" s="8">
        <f>IFERROR(IF(ISNUMBER(B1017),MAX(B1017,IFERROR(H1016,B1017)),""),"")</f>
        <v/>
      </c>
      <c r="I1017" s="29">
        <f>IFERROR(IF(AND(ISNUMBER(B1017),ISNUMBER(H1017)),B1017/H1017-1,""),"")</f>
        <v/>
      </c>
      <c r="J1017" s="8">
        <f>IFERROR(IF(ISNUMBER(C1017),MAX(C1017,IFERROR(J1016,C1017)),""),"")</f>
        <v/>
      </c>
      <c r="K1017" s="29">
        <f>IFERROR(IF(AND(ISNUMBER(C1017),ISNUMBER(J1017)),C1017/J1017-1,""),"")</f>
        <v/>
      </c>
      <c r="L1017" s="28">
        <f>IFERROR(IF(AND(ISNUMBER(D1017),ISNUMBER(E1017)),D1017-E1017,""),"")</f>
        <v/>
      </c>
    </row>
    <row r="1018">
      <c r="A1018" s="7">
        <f>IFERROR(Datos!A1018,"")</f>
        <v/>
      </c>
      <c r="B1018" s="8">
        <f>IFERROR(Datos!B1018,"")</f>
        <v/>
      </c>
      <c r="C1018" s="8">
        <f>IFERROR(Datos!C1018,"")</f>
        <v/>
      </c>
      <c r="D1018" s="28">
        <f>IFERROR(IF(AND(ISNUMBER(B1018),ISNUMBER(B1017),B1017&lt;&gt;0),B1018/B1017-1,""),"")</f>
        <v/>
      </c>
      <c r="E1018" s="28">
        <f>IFERROR(IF(AND(ISNUMBER(C1018),ISNUMBER(C1017),C1017&lt;&gt;0),C1018/C1017-1,""),"")</f>
        <v/>
      </c>
      <c r="F1018" s="28">
        <f>IFERROR(D1018-Dashboard!$B$4/252,"")</f>
        <v/>
      </c>
      <c r="G1018" s="28">
        <f>IFERROR(E1018-Dashboard!$B$4/252,"")</f>
        <v/>
      </c>
      <c r="H1018" s="8">
        <f>IFERROR(IF(ISNUMBER(B1018),MAX(B1018,IFERROR(H1017,B1018)),""),"")</f>
        <v/>
      </c>
      <c r="I1018" s="29">
        <f>IFERROR(IF(AND(ISNUMBER(B1018),ISNUMBER(H1018)),B1018/H1018-1,""),"")</f>
        <v/>
      </c>
      <c r="J1018" s="8">
        <f>IFERROR(IF(ISNUMBER(C1018),MAX(C1018,IFERROR(J1017,C1018)),""),"")</f>
        <v/>
      </c>
      <c r="K1018" s="29">
        <f>IFERROR(IF(AND(ISNUMBER(C1018),ISNUMBER(J1018)),C1018/J1018-1,""),"")</f>
        <v/>
      </c>
      <c r="L1018" s="28">
        <f>IFERROR(IF(AND(ISNUMBER(D1018),ISNUMBER(E1018)),D1018-E1018,""),"")</f>
        <v/>
      </c>
    </row>
    <row r="1019">
      <c r="A1019" s="7">
        <f>IFERROR(Datos!A1019,"")</f>
        <v/>
      </c>
      <c r="B1019" s="8">
        <f>IFERROR(Datos!B1019,"")</f>
        <v/>
      </c>
      <c r="C1019" s="8">
        <f>IFERROR(Datos!C1019,"")</f>
        <v/>
      </c>
      <c r="D1019" s="28">
        <f>IFERROR(IF(AND(ISNUMBER(B1019),ISNUMBER(B1018),B1018&lt;&gt;0),B1019/B1018-1,""),"")</f>
        <v/>
      </c>
      <c r="E1019" s="28">
        <f>IFERROR(IF(AND(ISNUMBER(C1019),ISNUMBER(C1018),C1018&lt;&gt;0),C1019/C1018-1,""),"")</f>
        <v/>
      </c>
      <c r="F1019" s="28">
        <f>IFERROR(D1019-Dashboard!$B$4/252,"")</f>
        <v/>
      </c>
      <c r="G1019" s="28">
        <f>IFERROR(E1019-Dashboard!$B$4/252,"")</f>
        <v/>
      </c>
      <c r="H1019" s="8">
        <f>IFERROR(IF(ISNUMBER(B1019),MAX(B1019,IFERROR(H1018,B1019)),""),"")</f>
        <v/>
      </c>
      <c r="I1019" s="29">
        <f>IFERROR(IF(AND(ISNUMBER(B1019),ISNUMBER(H1019)),B1019/H1019-1,""),"")</f>
        <v/>
      </c>
      <c r="J1019" s="8">
        <f>IFERROR(IF(ISNUMBER(C1019),MAX(C1019,IFERROR(J1018,C1019)),""),"")</f>
        <v/>
      </c>
      <c r="K1019" s="29">
        <f>IFERROR(IF(AND(ISNUMBER(C1019),ISNUMBER(J1019)),C1019/J1019-1,""),"")</f>
        <v/>
      </c>
      <c r="L1019" s="28">
        <f>IFERROR(IF(AND(ISNUMBER(D1019),ISNUMBER(E1019)),D1019-E1019,""),"")</f>
        <v/>
      </c>
    </row>
    <row r="1020">
      <c r="A1020" s="7">
        <f>IFERROR(Datos!A1020,"")</f>
        <v/>
      </c>
      <c r="B1020" s="8">
        <f>IFERROR(Datos!B1020,"")</f>
        <v/>
      </c>
      <c r="C1020" s="8">
        <f>IFERROR(Datos!C1020,"")</f>
        <v/>
      </c>
      <c r="D1020" s="28">
        <f>IFERROR(IF(AND(ISNUMBER(B1020),ISNUMBER(B1019),B1019&lt;&gt;0),B1020/B1019-1,""),"")</f>
        <v/>
      </c>
      <c r="E1020" s="28">
        <f>IFERROR(IF(AND(ISNUMBER(C1020),ISNUMBER(C1019),C1019&lt;&gt;0),C1020/C1019-1,""),"")</f>
        <v/>
      </c>
      <c r="F1020" s="28">
        <f>IFERROR(D1020-Dashboard!$B$4/252,"")</f>
        <v/>
      </c>
      <c r="G1020" s="28">
        <f>IFERROR(E1020-Dashboard!$B$4/252,"")</f>
        <v/>
      </c>
      <c r="H1020" s="8">
        <f>IFERROR(IF(ISNUMBER(B1020),MAX(B1020,IFERROR(H1019,B1020)),""),"")</f>
        <v/>
      </c>
      <c r="I1020" s="29">
        <f>IFERROR(IF(AND(ISNUMBER(B1020),ISNUMBER(H1020)),B1020/H1020-1,""),"")</f>
        <v/>
      </c>
      <c r="J1020" s="8">
        <f>IFERROR(IF(ISNUMBER(C1020),MAX(C1020,IFERROR(J1019,C1020)),""),"")</f>
        <v/>
      </c>
      <c r="K1020" s="29">
        <f>IFERROR(IF(AND(ISNUMBER(C1020),ISNUMBER(J1020)),C1020/J1020-1,""),"")</f>
        <v/>
      </c>
      <c r="L1020" s="28">
        <f>IFERROR(IF(AND(ISNUMBER(D1020),ISNUMBER(E1020)),D1020-E1020,""),"")</f>
        <v/>
      </c>
    </row>
    <row r="1021">
      <c r="A1021" s="7">
        <f>IFERROR(Datos!A1021,"")</f>
        <v/>
      </c>
      <c r="B1021" s="8">
        <f>IFERROR(Datos!B1021,"")</f>
        <v/>
      </c>
      <c r="C1021" s="8">
        <f>IFERROR(Datos!C1021,"")</f>
        <v/>
      </c>
      <c r="D1021" s="28">
        <f>IFERROR(IF(AND(ISNUMBER(B1021),ISNUMBER(B1020),B1020&lt;&gt;0),B1021/B1020-1,""),"")</f>
        <v/>
      </c>
      <c r="E1021" s="28">
        <f>IFERROR(IF(AND(ISNUMBER(C1021),ISNUMBER(C1020),C1020&lt;&gt;0),C1021/C1020-1,""),"")</f>
        <v/>
      </c>
      <c r="F1021" s="28">
        <f>IFERROR(D1021-Dashboard!$B$4/252,"")</f>
        <v/>
      </c>
      <c r="G1021" s="28">
        <f>IFERROR(E1021-Dashboard!$B$4/252,"")</f>
        <v/>
      </c>
      <c r="H1021" s="8">
        <f>IFERROR(IF(ISNUMBER(B1021),MAX(B1021,IFERROR(H1020,B1021)),""),"")</f>
        <v/>
      </c>
      <c r="I1021" s="29">
        <f>IFERROR(IF(AND(ISNUMBER(B1021),ISNUMBER(H1021)),B1021/H1021-1,""),"")</f>
        <v/>
      </c>
      <c r="J1021" s="8">
        <f>IFERROR(IF(ISNUMBER(C1021),MAX(C1021,IFERROR(J1020,C1021)),""),"")</f>
        <v/>
      </c>
      <c r="K1021" s="29">
        <f>IFERROR(IF(AND(ISNUMBER(C1021),ISNUMBER(J1021)),C1021/J1021-1,""),"")</f>
        <v/>
      </c>
      <c r="L1021" s="28">
        <f>IFERROR(IF(AND(ISNUMBER(D1021),ISNUMBER(E1021)),D1021-E1021,""),"")</f>
        <v/>
      </c>
    </row>
    <row r="1022">
      <c r="A1022" s="7">
        <f>IFERROR(Datos!A1022,"")</f>
        <v/>
      </c>
      <c r="B1022" s="8">
        <f>IFERROR(Datos!B1022,"")</f>
        <v/>
      </c>
      <c r="C1022" s="8">
        <f>IFERROR(Datos!C1022,"")</f>
        <v/>
      </c>
      <c r="D1022" s="28">
        <f>IFERROR(IF(AND(ISNUMBER(B1022),ISNUMBER(B1021),B1021&lt;&gt;0),B1022/B1021-1,""),"")</f>
        <v/>
      </c>
      <c r="E1022" s="28">
        <f>IFERROR(IF(AND(ISNUMBER(C1022),ISNUMBER(C1021),C1021&lt;&gt;0),C1022/C1021-1,""),"")</f>
        <v/>
      </c>
      <c r="F1022" s="28">
        <f>IFERROR(D1022-Dashboard!$B$4/252,"")</f>
        <v/>
      </c>
      <c r="G1022" s="28">
        <f>IFERROR(E1022-Dashboard!$B$4/252,"")</f>
        <v/>
      </c>
      <c r="H1022" s="8">
        <f>IFERROR(IF(ISNUMBER(B1022),MAX(B1022,IFERROR(H1021,B1022)),""),"")</f>
        <v/>
      </c>
      <c r="I1022" s="29">
        <f>IFERROR(IF(AND(ISNUMBER(B1022),ISNUMBER(H1022)),B1022/H1022-1,""),"")</f>
        <v/>
      </c>
      <c r="J1022" s="8">
        <f>IFERROR(IF(ISNUMBER(C1022),MAX(C1022,IFERROR(J1021,C1022)),""),"")</f>
        <v/>
      </c>
      <c r="K1022" s="29">
        <f>IFERROR(IF(AND(ISNUMBER(C1022),ISNUMBER(J1022)),C1022/J1022-1,""),"")</f>
        <v/>
      </c>
      <c r="L1022" s="28">
        <f>IFERROR(IF(AND(ISNUMBER(D1022),ISNUMBER(E1022)),D1022-E1022,""),"")</f>
        <v/>
      </c>
    </row>
    <row r="1023">
      <c r="A1023" s="7">
        <f>IFERROR(Datos!A1023,"")</f>
        <v/>
      </c>
      <c r="B1023" s="8">
        <f>IFERROR(Datos!B1023,"")</f>
        <v/>
      </c>
      <c r="C1023" s="8">
        <f>IFERROR(Datos!C1023,"")</f>
        <v/>
      </c>
      <c r="D1023" s="28">
        <f>IFERROR(IF(AND(ISNUMBER(B1023),ISNUMBER(B1022),B1022&lt;&gt;0),B1023/B1022-1,""),"")</f>
        <v/>
      </c>
      <c r="E1023" s="28">
        <f>IFERROR(IF(AND(ISNUMBER(C1023),ISNUMBER(C1022),C1022&lt;&gt;0),C1023/C1022-1,""),"")</f>
        <v/>
      </c>
      <c r="F1023" s="28">
        <f>IFERROR(D1023-Dashboard!$B$4/252,"")</f>
        <v/>
      </c>
      <c r="G1023" s="28">
        <f>IFERROR(E1023-Dashboard!$B$4/252,"")</f>
        <v/>
      </c>
      <c r="H1023" s="8">
        <f>IFERROR(IF(ISNUMBER(B1023),MAX(B1023,IFERROR(H1022,B1023)),""),"")</f>
        <v/>
      </c>
      <c r="I1023" s="29">
        <f>IFERROR(IF(AND(ISNUMBER(B1023),ISNUMBER(H1023)),B1023/H1023-1,""),"")</f>
        <v/>
      </c>
      <c r="J1023" s="8">
        <f>IFERROR(IF(ISNUMBER(C1023),MAX(C1023,IFERROR(J1022,C1023)),""),"")</f>
        <v/>
      </c>
      <c r="K1023" s="29">
        <f>IFERROR(IF(AND(ISNUMBER(C1023),ISNUMBER(J1023)),C1023/J1023-1,""),"")</f>
        <v/>
      </c>
      <c r="L1023" s="28">
        <f>IFERROR(IF(AND(ISNUMBER(D1023),ISNUMBER(E1023)),D1023-E1023,""),"")</f>
        <v/>
      </c>
    </row>
    <row r="1024">
      <c r="A1024" s="7">
        <f>IFERROR(Datos!A1024,"")</f>
        <v/>
      </c>
      <c r="B1024" s="8">
        <f>IFERROR(Datos!B1024,"")</f>
        <v/>
      </c>
      <c r="C1024" s="8">
        <f>IFERROR(Datos!C1024,"")</f>
        <v/>
      </c>
      <c r="D1024" s="28">
        <f>IFERROR(IF(AND(ISNUMBER(B1024),ISNUMBER(B1023),B1023&lt;&gt;0),B1024/B1023-1,""),"")</f>
        <v/>
      </c>
      <c r="E1024" s="28">
        <f>IFERROR(IF(AND(ISNUMBER(C1024),ISNUMBER(C1023),C1023&lt;&gt;0),C1024/C1023-1,""),"")</f>
        <v/>
      </c>
      <c r="F1024" s="28">
        <f>IFERROR(D1024-Dashboard!$B$4/252,"")</f>
        <v/>
      </c>
      <c r="G1024" s="28">
        <f>IFERROR(E1024-Dashboard!$B$4/252,"")</f>
        <v/>
      </c>
      <c r="H1024" s="8">
        <f>IFERROR(IF(ISNUMBER(B1024),MAX(B1024,IFERROR(H1023,B1024)),""),"")</f>
        <v/>
      </c>
      <c r="I1024" s="29">
        <f>IFERROR(IF(AND(ISNUMBER(B1024),ISNUMBER(H1024)),B1024/H1024-1,""),"")</f>
        <v/>
      </c>
      <c r="J1024" s="8">
        <f>IFERROR(IF(ISNUMBER(C1024),MAX(C1024,IFERROR(J1023,C1024)),""),"")</f>
        <v/>
      </c>
      <c r="K1024" s="29">
        <f>IFERROR(IF(AND(ISNUMBER(C1024),ISNUMBER(J1024)),C1024/J1024-1,""),"")</f>
        <v/>
      </c>
      <c r="L1024" s="28">
        <f>IFERROR(IF(AND(ISNUMBER(D1024),ISNUMBER(E1024)),D1024-E1024,""),"")</f>
        <v/>
      </c>
    </row>
    <row r="1025">
      <c r="A1025" s="7">
        <f>IFERROR(Datos!A1025,"")</f>
        <v/>
      </c>
      <c r="B1025" s="8">
        <f>IFERROR(Datos!B1025,"")</f>
        <v/>
      </c>
      <c r="C1025" s="8">
        <f>IFERROR(Datos!C1025,"")</f>
        <v/>
      </c>
      <c r="D1025" s="28">
        <f>IFERROR(IF(AND(ISNUMBER(B1025),ISNUMBER(B1024),B1024&lt;&gt;0),B1025/B1024-1,""),"")</f>
        <v/>
      </c>
      <c r="E1025" s="28">
        <f>IFERROR(IF(AND(ISNUMBER(C1025),ISNUMBER(C1024),C1024&lt;&gt;0),C1025/C1024-1,""),"")</f>
        <v/>
      </c>
      <c r="F1025" s="28">
        <f>IFERROR(D1025-Dashboard!$B$4/252,"")</f>
        <v/>
      </c>
      <c r="G1025" s="28">
        <f>IFERROR(E1025-Dashboard!$B$4/252,"")</f>
        <v/>
      </c>
      <c r="H1025" s="8">
        <f>IFERROR(IF(ISNUMBER(B1025),MAX(B1025,IFERROR(H1024,B1025)),""),"")</f>
        <v/>
      </c>
      <c r="I1025" s="29">
        <f>IFERROR(IF(AND(ISNUMBER(B1025),ISNUMBER(H1025)),B1025/H1025-1,""),"")</f>
        <v/>
      </c>
      <c r="J1025" s="8">
        <f>IFERROR(IF(ISNUMBER(C1025),MAX(C1025,IFERROR(J1024,C1025)),""),"")</f>
        <v/>
      </c>
      <c r="K1025" s="29">
        <f>IFERROR(IF(AND(ISNUMBER(C1025),ISNUMBER(J1025)),C1025/J1025-1,""),"")</f>
        <v/>
      </c>
      <c r="L1025" s="28">
        <f>IFERROR(IF(AND(ISNUMBER(D1025),ISNUMBER(E1025)),D1025-E1025,""),"")</f>
        <v/>
      </c>
    </row>
    <row r="1026">
      <c r="A1026" s="7">
        <f>IFERROR(Datos!A1026,"")</f>
        <v/>
      </c>
      <c r="B1026" s="8">
        <f>IFERROR(Datos!B1026,"")</f>
        <v/>
      </c>
      <c r="C1026" s="8">
        <f>IFERROR(Datos!C1026,"")</f>
        <v/>
      </c>
      <c r="D1026" s="28">
        <f>IFERROR(IF(AND(ISNUMBER(B1026),ISNUMBER(B1025),B1025&lt;&gt;0),B1026/B1025-1,""),"")</f>
        <v/>
      </c>
      <c r="E1026" s="28">
        <f>IFERROR(IF(AND(ISNUMBER(C1026),ISNUMBER(C1025),C1025&lt;&gt;0),C1026/C1025-1,""),"")</f>
        <v/>
      </c>
      <c r="F1026" s="28">
        <f>IFERROR(D1026-Dashboard!$B$4/252,"")</f>
        <v/>
      </c>
      <c r="G1026" s="28">
        <f>IFERROR(E1026-Dashboard!$B$4/252,"")</f>
        <v/>
      </c>
      <c r="H1026" s="8">
        <f>IFERROR(IF(ISNUMBER(B1026),MAX(B1026,IFERROR(H1025,B1026)),""),"")</f>
        <v/>
      </c>
      <c r="I1026" s="29">
        <f>IFERROR(IF(AND(ISNUMBER(B1026),ISNUMBER(H1026)),B1026/H1026-1,""),"")</f>
        <v/>
      </c>
      <c r="J1026" s="8">
        <f>IFERROR(IF(ISNUMBER(C1026),MAX(C1026,IFERROR(J1025,C1026)),""),"")</f>
        <v/>
      </c>
      <c r="K1026" s="29">
        <f>IFERROR(IF(AND(ISNUMBER(C1026),ISNUMBER(J1026)),C1026/J1026-1,""),"")</f>
        <v/>
      </c>
      <c r="L1026" s="28">
        <f>IFERROR(IF(AND(ISNUMBER(D1026),ISNUMBER(E1026)),D1026-E1026,""),"")</f>
        <v/>
      </c>
    </row>
    <row r="1027">
      <c r="A1027" s="7">
        <f>IFERROR(Datos!A1027,"")</f>
        <v/>
      </c>
      <c r="B1027" s="8">
        <f>IFERROR(Datos!B1027,"")</f>
        <v/>
      </c>
      <c r="C1027" s="8">
        <f>IFERROR(Datos!C1027,"")</f>
        <v/>
      </c>
      <c r="D1027" s="28">
        <f>IFERROR(IF(AND(ISNUMBER(B1027),ISNUMBER(B1026),B1026&lt;&gt;0),B1027/B1026-1,""),"")</f>
        <v/>
      </c>
      <c r="E1027" s="28">
        <f>IFERROR(IF(AND(ISNUMBER(C1027),ISNUMBER(C1026),C1026&lt;&gt;0),C1027/C1026-1,""),"")</f>
        <v/>
      </c>
      <c r="F1027" s="28">
        <f>IFERROR(D1027-Dashboard!$B$4/252,"")</f>
        <v/>
      </c>
      <c r="G1027" s="28">
        <f>IFERROR(E1027-Dashboard!$B$4/252,"")</f>
        <v/>
      </c>
      <c r="H1027" s="8">
        <f>IFERROR(IF(ISNUMBER(B1027),MAX(B1027,IFERROR(H1026,B1027)),""),"")</f>
        <v/>
      </c>
      <c r="I1027" s="29">
        <f>IFERROR(IF(AND(ISNUMBER(B1027),ISNUMBER(H1027)),B1027/H1027-1,""),"")</f>
        <v/>
      </c>
      <c r="J1027" s="8">
        <f>IFERROR(IF(ISNUMBER(C1027),MAX(C1027,IFERROR(J1026,C1027)),""),"")</f>
        <v/>
      </c>
      <c r="K1027" s="29">
        <f>IFERROR(IF(AND(ISNUMBER(C1027),ISNUMBER(J1027)),C1027/J1027-1,""),"")</f>
        <v/>
      </c>
      <c r="L1027" s="28">
        <f>IFERROR(IF(AND(ISNUMBER(D1027),ISNUMBER(E1027)),D1027-E1027,""),"")</f>
        <v/>
      </c>
    </row>
    <row r="1028">
      <c r="A1028" s="7">
        <f>IFERROR(Datos!A1028,"")</f>
        <v/>
      </c>
      <c r="B1028" s="8">
        <f>IFERROR(Datos!B1028,"")</f>
        <v/>
      </c>
      <c r="C1028" s="8">
        <f>IFERROR(Datos!C1028,"")</f>
        <v/>
      </c>
      <c r="D1028" s="28">
        <f>IFERROR(IF(AND(ISNUMBER(B1028),ISNUMBER(B1027),B1027&lt;&gt;0),B1028/B1027-1,""),"")</f>
        <v/>
      </c>
      <c r="E1028" s="28">
        <f>IFERROR(IF(AND(ISNUMBER(C1028),ISNUMBER(C1027),C1027&lt;&gt;0),C1028/C1027-1,""),"")</f>
        <v/>
      </c>
      <c r="F1028" s="28">
        <f>IFERROR(D1028-Dashboard!$B$4/252,"")</f>
        <v/>
      </c>
      <c r="G1028" s="28">
        <f>IFERROR(E1028-Dashboard!$B$4/252,"")</f>
        <v/>
      </c>
      <c r="H1028" s="8">
        <f>IFERROR(IF(ISNUMBER(B1028),MAX(B1028,IFERROR(H1027,B1028)),""),"")</f>
        <v/>
      </c>
      <c r="I1028" s="29">
        <f>IFERROR(IF(AND(ISNUMBER(B1028),ISNUMBER(H1028)),B1028/H1028-1,""),"")</f>
        <v/>
      </c>
      <c r="J1028" s="8">
        <f>IFERROR(IF(ISNUMBER(C1028),MAX(C1028,IFERROR(J1027,C1028)),""),"")</f>
        <v/>
      </c>
      <c r="K1028" s="29">
        <f>IFERROR(IF(AND(ISNUMBER(C1028),ISNUMBER(J1028)),C1028/J1028-1,""),"")</f>
        <v/>
      </c>
      <c r="L1028" s="28">
        <f>IFERROR(IF(AND(ISNUMBER(D1028),ISNUMBER(E1028)),D1028-E1028,""),"")</f>
        <v/>
      </c>
    </row>
    <row r="1029">
      <c r="A1029" s="7">
        <f>IFERROR(Datos!A1029,"")</f>
        <v/>
      </c>
      <c r="B1029" s="8">
        <f>IFERROR(Datos!B1029,"")</f>
        <v/>
      </c>
      <c r="C1029" s="8">
        <f>IFERROR(Datos!C1029,"")</f>
        <v/>
      </c>
      <c r="D1029" s="28">
        <f>IFERROR(IF(AND(ISNUMBER(B1029),ISNUMBER(B1028),B1028&lt;&gt;0),B1029/B1028-1,""),"")</f>
        <v/>
      </c>
      <c r="E1029" s="28">
        <f>IFERROR(IF(AND(ISNUMBER(C1029),ISNUMBER(C1028),C1028&lt;&gt;0),C1029/C1028-1,""),"")</f>
        <v/>
      </c>
      <c r="F1029" s="28">
        <f>IFERROR(D1029-Dashboard!$B$4/252,"")</f>
        <v/>
      </c>
      <c r="G1029" s="28">
        <f>IFERROR(E1029-Dashboard!$B$4/252,"")</f>
        <v/>
      </c>
      <c r="H1029" s="8">
        <f>IFERROR(IF(ISNUMBER(B1029),MAX(B1029,IFERROR(H1028,B1029)),""),"")</f>
        <v/>
      </c>
      <c r="I1029" s="29">
        <f>IFERROR(IF(AND(ISNUMBER(B1029),ISNUMBER(H1029)),B1029/H1029-1,""),"")</f>
        <v/>
      </c>
      <c r="J1029" s="8">
        <f>IFERROR(IF(ISNUMBER(C1029),MAX(C1029,IFERROR(J1028,C1029)),""),"")</f>
        <v/>
      </c>
      <c r="K1029" s="29">
        <f>IFERROR(IF(AND(ISNUMBER(C1029),ISNUMBER(J1029)),C1029/J1029-1,""),"")</f>
        <v/>
      </c>
      <c r="L1029" s="28">
        <f>IFERROR(IF(AND(ISNUMBER(D1029),ISNUMBER(E1029)),D1029-E1029,""),"")</f>
        <v/>
      </c>
    </row>
    <row r="1030">
      <c r="A1030" s="7">
        <f>IFERROR(Datos!A1030,"")</f>
        <v/>
      </c>
      <c r="B1030" s="8">
        <f>IFERROR(Datos!B1030,"")</f>
        <v/>
      </c>
      <c r="C1030" s="8">
        <f>IFERROR(Datos!C1030,"")</f>
        <v/>
      </c>
      <c r="D1030" s="28">
        <f>IFERROR(IF(AND(ISNUMBER(B1030),ISNUMBER(B1029),B1029&lt;&gt;0),B1030/B1029-1,""),"")</f>
        <v/>
      </c>
      <c r="E1030" s="28">
        <f>IFERROR(IF(AND(ISNUMBER(C1030),ISNUMBER(C1029),C1029&lt;&gt;0),C1030/C1029-1,""),"")</f>
        <v/>
      </c>
      <c r="F1030" s="28">
        <f>IFERROR(D1030-Dashboard!$B$4/252,"")</f>
        <v/>
      </c>
      <c r="G1030" s="28">
        <f>IFERROR(E1030-Dashboard!$B$4/252,"")</f>
        <v/>
      </c>
      <c r="H1030" s="8">
        <f>IFERROR(IF(ISNUMBER(B1030),MAX(B1030,IFERROR(H1029,B1030)),""),"")</f>
        <v/>
      </c>
      <c r="I1030" s="29">
        <f>IFERROR(IF(AND(ISNUMBER(B1030),ISNUMBER(H1030)),B1030/H1030-1,""),"")</f>
        <v/>
      </c>
      <c r="J1030" s="8">
        <f>IFERROR(IF(ISNUMBER(C1030),MAX(C1030,IFERROR(J1029,C1030)),""),"")</f>
        <v/>
      </c>
      <c r="K1030" s="29">
        <f>IFERROR(IF(AND(ISNUMBER(C1030),ISNUMBER(J1030)),C1030/J1030-1,""),"")</f>
        <v/>
      </c>
      <c r="L1030" s="28">
        <f>IFERROR(IF(AND(ISNUMBER(D1030),ISNUMBER(E1030)),D1030-E1030,""),"")</f>
        <v/>
      </c>
    </row>
    <row r="1031">
      <c r="A1031" s="7">
        <f>IFERROR(Datos!A1031,"")</f>
        <v/>
      </c>
      <c r="B1031" s="8">
        <f>IFERROR(Datos!B1031,"")</f>
        <v/>
      </c>
      <c r="C1031" s="8">
        <f>IFERROR(Datos!C1031,"")</f>
        <v/>
      </c>
      <c r="D1031" s="28">
        <f>IFERROR(IF(AND(ISNUMBER(B1031),ISNUMBER(B1030),B1030&lt;&gt;0),B1031/B1030-1,""),"")</f>
        <v/>
      </c>
      <c r="E1031" s="28">
        <f>IFERROR(IF(AND(ISNUMBER(C1031),ISNUMBER(C1030),C1030&lt;&gt;0),C1031/C1030-1,""),"")</f>
        <v/>
      </c>
      <c r="F1031" s="28">
        <f>IFERROR(D1031-Dashboard!$B$4/252,"")</f>
        <v/>
      </c>
      <c r="G1031" s="28">
        <f>IFERROR(E1031-Dashboard!$B$4/252,"")</f>
        <v/>
      </c>
      <c r="H1031" s="8">
        <f>IFERROR(IF(ISNUMBER(B1031),MAX(B1031,IFERROR(H1030,B1031)),""),"")</f>
        <v/>
      </c>
      <c r="I1031" s="29">
        <f>IFERROR(IF(AND(ISNUMBER(B1031),ISNUMBER(H1031)),B1031/H1031-1,""),"")</f>
        <v/>
      </c>
      <c r="J1031" s="8">
        <f>IFERROR(IF(ISNUMBER(C1031),MAX(C1031,IFERROR(J1030,C1031)),""),"")</f>
        <v/>
      </c>
      <c r="K1031" s="29">
        <f>IFERROR(IF(AND(ISNUMBER(C1031),ISNUMBER(J1031)),C1031/J1031-1,""),"")</f>
        <v/>
      </c>
      <c r="L1031" s="28">
        <f>IFERROR(IF(AND(ISNUMBER(D1031),ISNUMBER(E1031)),D1031-E1031,""),"")</f>
        <v/>
      </c>
    </row>
    <row r="1032">
      <c r="A1032" s="7">
        <f>IFERROR(Datos!A1032,"")</f>
        <v/>
      </c>
      <c r="B1032" s="8">
        <f>IFERROR(Datos!B1032,"")</f>
        <v/>
      </c>
      <c r="C1032" s="8">
        <f>IFERROR(Datos!C1032,"")</f>
        <v/>
      </c>
      <c r="D1032" s="28">
        <f>IFERROR(IF(AND(ISNUMBER(B1032),ISNUMBER(B1031),B1031&lt;&gt;0),B1032/B1031-1,""),"")</f>
        <v/>
      </c>
      <c r="E1032" s="28">
        <f>IFERROR(IF(AND(ISNUMBER(C1032),ISNUMBER(C1031),C1031&lt;&gt;0),C1032/C1031-1,""),"")</f>
        <v/>
      </c>
      <c r="F1032" s="28">
        <f>IFERROR(D1032-Dashboard!$B$4/252,"")</f>
        <v/>
      </c>
      <c r="G1032" s="28">
        <f>IFERROR(E1032-Dashboard!$B$4/252,"")</f>
        <v/>
      </c>
      <c r="H1032" s="8">
        <f>IFERROR(IF(ISNUMBER(B1032),MAX(B1032,IFERROR(H1031,B1032)),""),"")</f>
        <v/>
      </c>
      <c r="I1032" s="29">
        <f>IFERROR(IF(AND(ISNUMBER(B1032),ISNUMBER(H1032)),B1032/H1032-1,""),"")</f>
        <v/>
      </c>
      <c r="J1032" s="8">
        <f>IFERROR(IF(ISNUMBER(C1032),MAX(C1032,IFERROR(J1031,C1032)),""),"")</f>
        <v/>
      </c>
      <c r="K1032" s="29">
        <f>IFERROR(IF(AND(ISNUMBER(C1032),ISNUMBER(J1032)),C1032/J1032-1,""),"")</f>
        <v/>
      </c>
      <c r="L1032" s="28">
        <f>IFERROR(IF(AND(ISNUMBER(D1032),ISNUMBER(E1032)),D1032-E1032,""),"")</f>
        <v/>
      </c>
    </row>
    <row r="1033">
      <c r="A1033" s="7">
        <f>IFERROR(Datos!A1033,"")</f>
        <v/>
      </c>
      <c r="B1033" s="8">
        <f>IFERROR(Datos!B1033,"")</f>
        <v/>
      </c>
      <c r="C1033" s="8">
        <f>IFERROR(Datos!C1033,"")</f>
        <v/>
      </c>
      <c r="D1033" s="28">
        <f>IFERROR(IF(AND(ISNUMBER(B1033),ISNUMBER(B1032),B1032&lt;&gt;0),B1033/B1032-1,""),"")</f>
        <v/>
      </c>
      <c r="E1033" s="28">
        <f>IFERROR(IF(AND(ISNUMBER(C1033),ISNUMBER(C1032),C1032&lt;&gt;0),C1033/C1032-1,""),"")</f>
        <v/>
      </c>
      <c r="F1033" s="28">
        <f>IFERROR(D1033-Dashboard!$B$4/252,"")</f>
        <v/>
      </c>
      <c r="G1033" s="28">
        <f>IFERROR(E1033-Dashboard!$B$4/252,"")</f>
        <v/>
      </c>
      <c r="H1033" s="8">
        <f>IFERROR(IF(ISNUMBER(B1033),MAX(B1033,IFERROR(H1032,B1033)),""),"")</f>
        <v/>
      </c>
      <c r="I1033" s="29">
        <f>IFERROR(IF(AND(ISNUMBER(B1033),ISNUMBER(H1033)),B1033/H1033-1,""),"")</f>
        <v/>
      </c>
      <c r="J1033" s="8">
        <f>IFERROR(IF(ISNUMBER(C1033),MAX(C1033,IFERROR(J1032,C1033)),""),"")</f>
        <v/>
      </c>
      <c r="K1033" s="29">
        <f>IFERROR(IF(AND(ISNUMBER(C1033),ISNUMBER(J1033)),C1033/J1033-1,""),"")</f>
        <v/>
      </c>
      <c r="L1033" s="28">
        <f>IFERROR(IF(AND(ISNUMBER(D1033),ISNUMBER(E1033)),D1033-E1033,""),"")</f>
        <v/>
      </c>
    </row>
    <row r="1034">
      <c r="A1034" s="7">
        <f>IFERROR(Datos!A1034,"")</f>
        <v/>
      </c>
      <c r="B1034" s="8">
        <f>IFERROR(Datos!B1034,"")</f>
        <v/>
      </c>
      <c r="C1034" s="8">
        <f>IFERROR(Datos!C1034,"")</f>
        <v/>
      </c>
      <c r="D1034" s="28">
        <f>IFERROR(IF(AND(ISNUMBER(B1034),ISNUMBER(B1033),B1033&lt;&gt;0),B1034/B1033-1,""),"")</f>
        <v/>
      </c>
      <c r="E1034" s="28">
        <f>IFERROR(IF(AND(ISNUMBER(C1034),ISNUMBER(C1033),C1033&lt;&gt;0),C1034/C1033-1,""),"")</f>
        <v/>
      </c>
      <c r="F1034" s="28">
        <f>IFERROR(D1034-Dashboard!$B$4/252,"")</f>
        <v/>
      </c>
      <c r="G1034" s="28">
        <f>IFERROR(E1034-Dashboard!$B$4/252,"")</f>
        <v/>
      </c>
      <c r="H1034" s="8">
        <f>IFERROR(IF(ISNUMBER(B1034),MAX(B1034,IFERROR(H1033,B1034)),""),"")</f>
        <v/>
      </c>
      <c r="I1034" s="29">
        <f>IFERROR(IF(AND(ISNUMBER(B1034),ISNUMBER(H1034)),B1034/H1034-1,""),"")</f>
        <v/>
      </c>
      <c r="J1034" s="8">
        <f>IFERROR(IF(ISNUMBER(C1034),MAX(C1034,IFERROR(J1033,C1034)),""),"")</f>
        <v/>
      </c>
      <c r="K1034" s="29">
        <f>IFERROR(IF(AND(ISNUMBER(C1034),ISNUMBER(J1034)),C1034/J1034-1,""),"")</f>
        <v/>
      </c>
      <c r="L1034" s="28">
        <f>IFERROR(IF(AND(ISNUMBER(D1034),ISNUMBER(E1034)),D1034-E1034,""),"")</f>
        <v/>
      </c>
    </row>
    <row r="1035">
      <c r="A1035" s="7">
        <f>IFERROR(Datos!A1035,"")</f>
        <v/>
      </c>
      <c r="B1035" s="8">
        <f>IFERROR(Datos!B1035,"")</f>
        <v/>
      </c>
      <c r="C1035" s="8">
        <f>IFERROR(Datos!C1035,"")</f>
        <v/>
      </c>
      <c r="D1035" s="28">
        <f>IFERROR(IF(AND(ISNUMBER(B1035),ISNUMBER(B1034),B1034&lt;&gt;0),B1035/B1034-1,""),"")</f>
        <v/>
      </c>
      <c r="E1035" s="28">
        <f>IFERROR(IF(AND(ISNUMBER(C1035),ISNUMBER(C1034),C1034&lt;&gt;0),C1035/C1034-1,""),"")</f>
        <v/>
      </c>
      <c r="F1035" s="28">
        <f>IFERROR(D1035-Dashboard!$B$4/252,"")</f>
        <v/>
      </c>
      <c r="G1035" s="28">
        <f>IFERROR(E1035-Dashboard!$B$4/252,"")</f>
        <v/>
      </c>
      <c r="H1035" s="8">
        <f>IFERROR(IF(ISNUMBER(B1035),MAX(B1035,IFERROR(H1034,B1035)),""),"")</f>
        <v/>
      </c>
      <c r="I1035" s="29">
        <f>IFERROR(IF(AND(ISNUMBER(B1035),ISNUMBER(H1035)),B1035/H1035-1,""),"")</f>
        <v/>
      </c>
      <c r="J1035" s="8">
        <f>IFERROR(IF(ISNUMBER(C1035),MAX(C1035,IFERROR(J1034,C1035)),""),"")</f>
        <v/>
      </c>
      <c r="K1035" s="29">
        <f>IFERROR(IF(AND(ISNUMBER(C1035),ISNUMBER(J1035)),C1035/J1035-1,""),"")</f>
        <v/>
      </c>
      <c r="L1035" s="28">
        <f>IFERROR(IF(AND(ISNUMBER(D1035),ISNUMBER(E1035)),D1035-E1035,""),"")</f>
        <v/>
      </c>
    </row>
    <row r="1036">
      <c r="A1036" s="7">
        <f>IFERROR(Datos!A1036,"")</f>
        <v/>
      </c>
      <c r="B1036" s="8">
        <f>IFERROR(Datos!B1036,"")</f>
        <v/>
      </c>
      <c r="C1036" s="8">
        <f>IFERROR(Datos!C1036,"")</f>
        <v/>
      </c>
      <c r="D1036" s="28">
        <f>IFERROR(IF(AND(ISNUMBER(B1036),ISNUMBER(B1035),B1035&lt;&gt;0),B1036/B1035-1,""),"")</f>
        <v/>
      </c>
      <c r="E1036" s="28">
        <f>IFERROR(IF(AND(ISNUMBER(C1036),ISNUMBER(C1035),C1035&lt;&gt;0),C1036/C1035-1,""),"")</f>
        <v/>
      </c>
      <c r="F1036" s="28">
        <f>IFERROR(D1036-Dashboard!$B$4/252,"")</f>
        <v/>
      </c>
      <c r="G1036" s="28">
        <f>IFERROR(E1036-Dashboard!$B$4/252,"")</f>
        <v/>
      </c>
      <c r="H1036" s="8">
        <f>IFERROR(IF(ISNUMBER(B1036),MAX(B1036,IFERROR(H1035,B1036)),""),"")</f>
        <v/>
      </c>
      <c r="I1036" s="29">
        <f>IFERROR(IF(AND(ISNUMBER(B1036),ISNUMBER(H1036)),B1036/H1036-1,""),"")</f>
        <v/>
      </c>
      <c r="J1036" s="8">
        <f>IFERROR(IF(ISNUMBER(C1036),MAX(C1036,IFERROR(J1035,C1036)),""),"")</f>
        <v/>
      </c>
      <c r="K1036" s="29">
        <f>IFERROR(IF(AND(ISNUMBER(C1036),ISNUMBER(J1036)),C1036/J1036-1,""),"")</f>
        <v/>
      </c>
      <c r="L1036" s="28">
        <f>IFERROR(IF(AND(ISNUMBER(D1036),ISNUMBER(E1036)),D1036-E1036,""),"")</f>
        <v/>
      </c>
    </row>
    <row r="1037">
      <c r="A1037" s="7">
        <f>IFERROR(Datos!A1037,"")</f>
        <v/>
      </c>
      <c r="B1037" s="8">
        <f>IFERROR(Datos!B1037,"")</f>
        <v/>
      </c>
      <c r="C1037" s="8">
        <f>IFERROR(Datos!C1037,"")</f>
        <v/>
      </c>
      <c r="D1037" s="28">
        <f>IFERROR(IF(AND(ISNUMBER(B1037),ISNUMBER(B1036),B1036&lt;&gt;0),B1037/B1036-1,""),"")</f>
        <v/>
      </c>
      <c r="E1037" s="28">
        <f>IFERROR(IF(AND(ISNUMBER(C1037),ISNUMBER(C1036),C1036&lt;&gt;0),C1037/C1036-1,""),"")</f>
        <v/>
      </c>
      <c r="F1037" s="28">
        <f>IFERROR(D1037-Dashboard!$B$4/252,"")</f>
        <v/>
      </c>
      <c r="G1037" s="28">
        <f>IFERROR(E1037-Dashboard!$B$4/252,"")</f>
        <v/>
      </c>
      <c r="H1037" s="8">
        <f>IFERROR(IF(ISNUMBER(B1037),MAX(B1037,IFERROR(H1036,B1037)),""),"")</f>
        <v/>
      </c>
      <c r="I1037" s="29">
        <f>IFERROR(IF(AND(ISNUMBER(B1037),ISNUMBER(H1037)),B1037/H1037-1,""),"")</f>
        <v/>
      </c>
      <c r="J1037" s="8">
        <f>IFERROR(IF(ISNUMBER(C1037),MAX(C1037,IFERROR(J1036,C1037)),""),"")</f>
        <v/>
      </c>
      <c r="K1037" s="29">
        <f>IFERROR(IF(AND(ISNUMBER(C1037),ISNUMBER(J1037)),C1037/J1037-1,""),"")</f>
        <v/>
      </c>
      <c r="L1037" s="28">
        <f>IFERROR(IF(AND(ISNUMBER(D1037),ISNUMBER(E1037)),D1037-E1037,""),"")</f>
        <v/>
      </c>
    </row>
    <row r="1038">
      <c r="A1038" s="7">
        <f>IFERROR(Datos!A1038,"")</f>
        <v/>
      </c>
      <c r="B1038" s="8">
        <f>IFERROR(Datos!B1038,"")</f>
        <v/>
      </c>
      <c r="C1038" s="8">
        <f>IFERROR(Datos!C1038,"")</f>
        <v/>
      </c>
      <c r="D1038" s="28">
        <f>IFERROR(IF(AND(ISNUMBER(B1038),ISNUMBER(B1037),B1037&lt;&gt;0),B1038/B1037-1,""),"")</f>
        <v/>
      </c>
      <c r="E1038" s="28">
        <f>IFERROR(IF(AND(ISNUMBER(C1038),ISNUMBER(C1037),C1037&lt;&gt;0),C1038/C1037-1,""),"")</f>
        <v/>
      </c>
      <c r="F1038" s="28">
        <f>IFERROR(D1038-Dashboard!$B$4/252,"")</f>
        <v/>
      </c>
      <c r="G1038" s="28">
        <f>IFERROR(E1038-Dashboard!$B$4/252,"")</f>
        <v/>
      </c>
      <c r="H1038" s="8">
        <f>IFERROR(IF(ISNUMBER(B1038),MAX(B1038,IFERROR(H1037,B1038)),""),"")</f>
        <v/>
      </c>
      <c r="I1038" s="29">
        <f>IFERROR(IF(AND(ISNUMBER(B1038),ISNUMBER(H1038)),B1038/H1038-1,""),"")</f>
        <v/>
      </c>
      <c r="J1038" s="8">
        <f>IFERROR(IF(ISNUMBER(C1038),MAX(C1038,IFERROR(J1037,C1038)),""),"")</f>
        <v/>
      </c>
      <c r="K1038" s="29">
        <f>IFERROR(IF(AND(ISNUMBER(C1038),ISNUMBER(J1038)),C1038/J1038-1,""),"")</f>
        <v/>
      </c>
      <c r="L1038" s="28">
        <f>IFERROR(IF(AND(ISNUMBER(D1038),ISNUMBER(E1038)),D1038-E1038,""),"")</f>
        <v/>
      </c>
    </row>
    <row r="1039">
      <c r="A1039" s="7">
        <f>IFERROR(Datos!A1039,"")</f>
        <v/>
      </c>
      <c r="B1039" s="8">
        <f>IFERROR(Datos!B1039,"")</f>
        <v/>
      </c>
      <c r="C1039" s="8">
        <f>IFERROR(Datos!C1039,"")</f>
        <v/>
      </c>
      <c r="D1039" s="28">
        <f>IFERROR(IF(AND(ISNUMBER(B1039),ISNUMBER(B1038),B1038&lt;&gt;0),B1039/B1038-1,""),"")</f>
        <v/>
      </c>
      <c r="E1039" s="28">
        <f>IFERROR(IF(AND(ISNUMBER(C1039),ISNUMBER(C1038),C1038&lt;&gt;0),C1039/C1038-1,""),"")</f>
        <v/>
      </c>
      <c r="F1039" s="28">
        <f>IFERROR(D1039-Dashboard!$B$4/252,"")</f>
        <v/>
      </c>
      <c r="G1039" s="28">
        <f>IFERROR(E1039-Dashboard!$B$4/252,"")</f>
        <v/>
      </c>
      <c r="H1039" s="8">
        <f>IFERROR(IF(ISNUMBER(B1039),MAX(B1039,IFERROR(H1038,B1039)),""),"")</f>
        <v/>
      </c>
      <c r="I1039" s="29">
        <f>IFERROR(IF(AND(ISNUMBER(B1039),ISNUMBER(H1039)),B1039/H1039-1,""),"")</f>
        <v/>
      </c>
      <c r="J1039" s="8">
        <f>IFERROR(IF(ISNUMBER(C1039),MAX(C1039,IFERROR(J1038,C1039)),""),"")</f>
        <v/>
      </c>
      <c r="K1039" s="29">
        <f>IFERROR(IF(AND(ISNUMBER(C1039),ISNUMBER(J1039)),C1039/J1039-1,""),"")</f>
        <v/>
      </c>
      <c r="L1039" s="28">
        <f>IFERROR(IF(AND(ISNUMBER(D1039),ISNUMBER(E1039)),D1039-E1039,""),"")</f>
        <v/>
      </c>
    </row>
    <row r="1040">
      <c r="A1040" s="7">
        <f>IFERROR(Datos!A1040,"")</f>
        <v/>
      </c>
      <c r="B1040" s="8">
        <f>IFERROR(Datos!B1040,"")</f>
        <v/>
      </c>
      <c r="C1040" s="8">
        <f>IFERROR(Datos!C1040,"")</f>
        <v/>
      </c>
      <c r="D1040" s="28">
        <f>IFERROR(IF(AND(ISNUMBER(B1040),ISNUMBER(B1039),B1039&lt;&gt;0),B1040/B1039-1,""),"")</f>
        <v/>
      </c>
      <c r="E1040" s="28">
        <f>IFERROR(IF(AND(ISNUMBER(C1040),ISNUMBER(C1039),C1039&lt;&gt;0),C1040/C1039-1,""),"")</f>
        <v/>
      </c>
      <c r="F1040" s="28">
        <f>IFERROR(D1040-Dashboard!$B$4/252,"")</f>
        <v/>
      </c>
      <c r="G1040" s="28">
        <f>IFERROR(E1040-Dashboard!$B$4/252,"")</f>
        <v/>
      </c>
      <c r="H1040" s="8">
        <f>IFERROR(IF(ISNUMBER(B1040),MAX(B1040,IFERROR(H1039,B1040)),""),"")</f>
        <v/>
      </c>
      <c r="I1040" s="29">
        <f>IFERROR(IF(AND(ISNUMBER(B1040),ISNUMBER(H1040)),B1040/H1040-1,""),"")</f>
        <v/>
      </c>
      <c r="J1040" s="8">
        <f>IFERROR(IF(ISNUMBER(C1040),MAX(C1040,IFERROR(J1039,C1040)),""),"")</f>
        <v/>
      </c>
      <c r="K1040" s="29">
        <f>IFERROR(IF(AND(ISNUMBER(C1040),ISNUMBER(J1040)),C1040/J1040-1,""),"")</f>
        <v/>
      </c>
      <c r="L1040" s="28">
        <f>IFERROR(IF(AND(ISNUMBER(D1040),ISNUMBER(E1040)),D1040-E1040,""),"")</f>
        <v/>
      </c>
    </row>
    <row r="1041">
      <c r="A1041" s="7">
        <f>IFERROR(Datos!A1041,"")</f>
        <v/>
      </c>
      <c r="B1041" s="8">
        <f>IFERROR(Datos!B1041,"")</f>
        <v/>
      </c>
      <c r="C1041" s="8">
        <f>IFERROR(Datos!C1041,"")</f>
        <v/>
      </c>
      <c r="D1041" s="28">
        <f>IFERROR(IF(AND(ISNUMBER(B1041),ISNUMBER(B1040),B1040&lt;&gt;0),B1041/B1040-1,""),"")</f>
        <v/>
      </c>
      <c r="E1041" s="28">
        <f>IFERROR(IF(AND(ISNUMBER(C1041),ISNUMBER(C1040),C1040&lt;&gt;0),C1041/C1040-1,""),"")</f>
        <v/>
      </c>
      <c r="F1041" s="28">
        <f>IFERROR(D1041-Dashboard!$B$4/252,"")</f>
        <v/>
      </c>
      <c r="G1041" s="28">
        <f>IFERROR(E1041-Dashboard!$B$4/252,"")</f>
        <v/>
      </c>
      <c r="H1041" s="8">
        <f>IFERROR(IF(ISNUMBER(B1041),MAX(B1041,IFERROR(H1040,B1041)),""),"")</f>
        <v/>
      </c>
      <c r="I1041" s="29">
        <f>IFERROR(IF(AND(ISNUMBER(B1041),ISNUMBER(H1041)),B1041/H1041-1,""),"")</f>
        <v/>
      </c>
      <c r="J1041" s="8">
        <f>IFERROR(IF(ISNUMBER(C1041),MAX(C1041,IFERROR(J1040,C1041)),""),"")</f>
        <v/>
      </c>
      <c r="K1041" s="29">
        <f>IFERROR(IF(AND(ISNUMBER(C1041),ISNUMBER(J1041)),C1041/J1041-1,""),"")</f>
        <v/>
      </c>
      <c r="L1041" s="28">
        <f>IFERROR(IF(AND(ISNUMBER(D1041),ISNUMBER(E1041)),D1041-E1041,""),"")</f>
        <v/>
      </c>
    </row>
    <row r="1042">
      <c r="A1042" s="7">
        <f>IFERROR(Datos!A1042,"")</f>
        <v/>
      </c>
      <c r="B1042" s="8">
        <f>IFERROR(Datos!B1042,"")</f>
        <v/>
      </c>
      <c r="C1042" s="8">
        <f>IFERROR(Datos!C1042,"")</f>
        <v/>
      </c>
      <c r="D1042" s="28">
        <f>IFERROR(IF(AND(ISNUMBER(B1042),ISNUMBER(B1041),B1041&lt;&gt;0),B1042/B1041-1,""),"")</f>
        <v/>
      </c>
      <c r="E1042" s="28">
        <f>IFERROR(IF(AND(ISNUMBER(C1042),ISNUMBER(C1041),C1041&lt;&gt;0),C1042/C1041-1,""),"")</f>
        <v/>
      </c>
      <c r="F1042" s="28">
        <f>IFERROR(D1042-Dashboard!$B$4/252,"")</f>
        <v/>
      </c>
      <c r="G1042" s="28">
        <f>IFERROR(E1042-Dashboard!$B$4/252,"")</f>
        <v/>
      </c>
      <c r="H1042" s="8">
        <f>IFERROR(IF(ISNUMBER(B1042),MAX(B1042,IFERROR(H1041,B1042)),""),"")</f>
        <v/>
      </c>
      <c r="I1042" s="29">
        <f>IFERROR(IF(AND(ISNUMBER(B1042),ISNUMBER(H1042)),B1042/H1042-1,""),"")</f>
        <v/>
      </c>
      <c r="J1042" s="8">
        <f>IFERROR(IF(ISNUMBER(C1042),MAX(C1042,IFERROR(J1041,C1042)),""),"")</f>
        <v/>
      </c>
      <c r="K1042" s="29">
        <f>IFERROR(IF(AND(ISNUMBER(C1042),ISNUMBER(J1042)),C1042/J1042-1,""),"")</f>
        <v/>
      </c>
      <c r="L1042" s="28">
        <f>IFERROR(IF(AND(ISNUMBER(D1042),ISNUMBER(E1042)),D1042-E1042,""),"")</f>
        <v/>
      </c>
    </row>
    <row r="1043">
      <c r="A1043" s="7">
        <f>IFERROR(Datos!A1043,"")</f>
        <v/>
      </c>
      <c r="B1043" s="8">
        <f>IFERROR(Datos!B1043,"")</f>
        <v/>
      </c>
      <c r="C1043" s="8">
        <f>IFERROR(Datos!C1043,"")</f>
        <v/>
      </c>
      <c r="D1043" s="28">
        <f>IFERROR(IF(AND(ISNUMBER(B1043),ISNUMBER(B1042),B1042&lt;&gt;0),B1043/B1042-1,""),"")</f>
        <v/>
      </c>
      <c r="E1043" s="28">
        <f>IFERROR(IF(AND(ISNUMBER(C1043),ISNUMBER(C1042),C1042&lt;&gt;0),C1043/C1042-1,""),"")</f>
        <v/>
      </c>
      <c r="F1043" s="28">
        <f>IFERROR(D1043-Dashboard!$B$4/252,"")</f>
        <v/>
      </c>
      <c r="G1043" s="28">
        <f>IFERROR(E1043-Dashboard!$B$4/252,"")</f>
        <v/>
      </c>
      <c r="H1043" s="8">
        <f>IFERROR(IF(ISNUMBER(B1043),MAX(B1043,IFERROR(H1042,B1043)),""),"")</f>
        <v/>
      </c>
      <c r="I1043" s="29">
        <f>IFERROR(IF(AND(ISNUMBER(B1043),ISNUMBER(H1043)),B1043/H1043-1,""),"")</f>
        <v/>
      </c>
      <c r="J1043" s="8">
        <f>IFERROR(IF(ISNUMBER(C1043),MAX(C1043,IFERROR(J1042,C1043)),""),"")</f>
        <v/>
      </c>
      <c r="K1043" s="29">
        <f>IFERROR(IF(AND(ISNUMBER(C1043),ISNUMBER(J1043)),C1043/J1043-1,""),"")</f>
        <v/>
      </c>
      <c r="L1043" s="28">
        <f>IFERROR(IF(AND(ISNUMBER(D1043),ISNUMBER(E1043)),D1043-E1043,""),"")</f>
        <v/>
      </c>
    </row>
    <row r="1044">
      <c r="A1044" s="7">
        <f>IFERROR(Datos!A1044,"")</f>
        <v/>
      </c>
      <c r="B1044" s="8">
        <f>IFERROR(Datos!B1044,"")</f>
        <v/>
      </c>
      <c r="C1044" s="8">
        <f>IFERROR(Datos!C1044,"")</f>
        <v/>
      </c>
      <c r="D1044" s="28">
        <f>IFERROR(IF(AND(ISNUMBER(B1044),ISNUMBER(B1043),B1043&lt;&gt;0),B1044/B1043-1,""),"")</f>
        <v/>
      </c>
      <c r="E1044" s="28">
        <f>IFERROR(IF(AND(ISNUMBER(C1044),ISNUMBER(C1043),C1043&lt;&gt;0),C1044/C1043-1,""),"")</f>
        <v/>
      </c>
      <c r="F1044" s="28">
        <f>IFERROR(D1044-Dashboard!$B$4/252,"")</f>
        <v/>
      </c>
      <c r="G1044" s="28">
        <f>IFERROR(E1044-Dashboard!$B$4/252,"")</f>
        <v/>
      </c>
      <c r="H1044" s="8">
        <f>IFERROR(IF(ISNUMBER(B1044),MAX(B1044,IFERROR(H1043,B1044)),""),"")</f>
        <v/>
      </c>
      <c r="I1044" s="29">
        <f>IFERROR(IF(AND(ISNUMBER(B1044),ISNUMBER(H1044)),B1044/H1044-1,""),"")</f>
        <v/>
      </c>
      <c r="J1044" s="8">
        <f>IFERROR(IF(ISNUMBER(C1044),MAX(C1044,IFERROR(J1043,C1044)),""),"")</f>
        <v/>
      </c>
      <c r="K1044" s="29">
        <f>IFERROR(IF(AND(ISNUMBER(C1044),ISNUMBER(J1044)),C1044/J1044-1,""),"")</f>
        <v/>
      </c>
      <c r="L1044" s="28">
        <f>IFERROR(IF(AND(ISNUMBER(D1044),ISNUMBER(E1044)),D1044-E1044,""),"")</f>
        <v/>
      </c>
    </row>
    <row r="1045">
      <c r="A1045" s="7">
        <f>IFERROR(Datos!A1045,"")</f>
        <v/>
      </c>
      <c r="B1045" s="8">
        <f>IFERROR(Datos!B1045,"")</f>
        <v/>
      </c>
      <c r="C1045" s="8">
        <f>IFERROR(Datos!C1045,"")</f>
        <v/>
      </c>
      <c r="D1045" s="28">
        <f>IFERROR(IF(AND(ISNUMBER(B1045),ISNUMBER(B1044),B1044&lt;&gt;0),B1045/B1044-1,""),"")</f>
        <v/>
      </c>
      <c r="E1045" s="28">
        <f>IFERROR(IF(AND(ISNUMBER(C1045),ISNUMBER(C1044),C1044&lt;&gt;0),C1045/C1044-1,""),"")</f>
        <v/>
      </c>
      <c r="F1045" s="28">
        <f>IFERROR(D1045-Dashboard!$B$4/252,"")</f>
        <v/>
      </c>
      <c r="G1045" s="28">
        <f>IFERROR(E1045-Dashboard!$B$4/252,"")</f>
        <v/>
      </c>
      <c r="H1045" s="8">
        <f>IFERROR(IF(ISNUMBER(B1045),MAX(B1045,IFERROR(H1044,B1045)),""),"")</f>
        <v/>
      </c>
      <c r="I1045" s="29">
        <f>IFERROR(IF(AND(ISNUMBER(B1045),ISNUMBER(H1045)),B1045/H1045-1,""),"")</f>
        <v/>
      </c>
      <c r="J1045" s="8">
        <f>IFERROR(IF(ISNUMBER(C1045),MAX(C1045,IFERROR(J1044,C1045)),""),"")</f>
        <v/>
      </c>
      <c r="K1045" s="29">
        <f>IFERROR(IF(AND(ISNUMBER(C1045),ISNUMBER(J1045)),C1045/J1045-1,""),"")</f>
        <v/>
      </c>
      <c r="L1045" s="28">
        <f>IFERROR(IF(AND(ISNUMBER(D1045),ISNUMBER(E1045)),D1045-E1045,""),"")</f>
        <v/>
      </c>
    </row>
    <row r="1046">
      <c r="A1046" s="7">
        <f>IFERROR(Datos!A1046,"")</f>
        <v/>
      </c>
      <c r="B1046" s="8">
        <f>IFERROR(Datos!B1046,"")</f>
        <v/>
      </c>
      <c r="C1046" s="8">
        <f>IFERROR(Datos!C1046,"")</f>
        <v/>
      </c>
      <c r="D1046" s="28">
        <f>IFERROR(IF(AND(ISNUMBER(B1046),ISNUMBER(B1045),B1045&lt;&gt;0),B1046/B1045-1,""),"")</f>
        <v/>
      </c>
      <c r="E1046" s="28">
        <f>IFERROR(IF(AND(ISNUMBER(C1046),ISNUMBER(C1045),C1045&lt;&gt;0),C1046/C1045-1,""),"")</f>
        <v/>
      </c>
      <c r="F1046" s="28">
        <f>IFERROR(D1046-Dashboard!$B$4/252,"")</f>
        <v/>
      </c>
      <c r="G1046" s="28">
        <f>IFERROR(E1046-Dashboard!$B$4/252,"")</f>
        <v/>
      </c>
      <c r="H1046" s="8">
        <f>IFERROR(IF(ISNUMBER(B1046),MAX(B1046,IFERROR(H1045,B1046)),""),"")</f>
        <v/>
      </c>
      <c r="I1046" s="29">
        <f>IFERROR(IF(AND(ISNUMBER(B1046),ISNUMBER(H1046)),B1046/H1046-1,""),"")</f>
        <v/>
      </c>
      <c r="J1046" s="8">
        <f>IFERROR(IF(ISNUMBER(C1046),MAX(C1046,IFERROR(J1045,C1046)),""),"")</f>
        <v/>
      </c>
      <c r="K1046" s="29">
        <f>IFERROR(IF(AND(ISNUMBER(C1046),ISNUMBER(J1046)),C1046/J1046-1,""),"")</f>
        <v/>
      </c>
      <c r="L1046" s="28">
        <f>IFERROR(IF(AND(ISNUMBER(D1046),ISNUMBER(E1046)),D1046-E1046,""),"")</f>
        <v/>
      </c>
    </row>
    <row r="1047">
      <c r="A1047" s="7">
        <f>IFERROR(Datos!A1047,"")</f>
        <v/>
      </c>
      <c r="B1047" s="8">
        <f>IFERROR(Datos!B1047,"")</f>
        <v/>
      </c>
      <c r="C1047" s="8">
        <f>IFERROR(Datos!C1047,"")</f>
        <v/>
      </c>
      <c r="D1047" s="28">
        <f>IFERROR(IF(AND(ISNUMBER(B1047),ISNUMBER(B1046),B1046&lt;&gt;0),B1047/B1046-1,""),"")</f>
        <v/>
      </c>
      <c r="E1047" s="28">
        <f>IFERROR(IF(AND(ISNUMBER(C1047),ISNUMBER(C1046),C1046&lt;&gt;0),C1047/C1046-1,""),"")</f>
        <v/>
      </c>
      <c r="F1047" s="28">
        <f>IFERROR(D1047-Dashboard!$B$4/252,"")</f>
        <v/>
      </c>
      <c r="G1047" s="28">
        <f>IFERROR(E1047-Dashboard!$B$4/252,"")</f>
        <v/>
      </c>
      <c r="H1047" s="8">
        <f>IFERROR(IF(ISNUMBER(B1047),MAX(B1047,IFERROR(H1046,B1047)),""),"")</f>
        <v/>
      </c>
      <c r="I1047" s="29">
        <f>IFERROR(IF(AND(ISNUMBER(B1047),ISNUMBER(H1047)),B1047/H1047-1,""),"")</f>
        <v/>
      </c>
      <c r="J1047" s="8">
        <f>IFERROR(IF(ISNUMBER(C1047),MAX(C1047,IFERROR(J1046,C1047)),""),"")</f>
        <v/>
      </c>
      <c r="K1047" s="29">
        <f>IFERROR(IF(AND(ISNUMBER(C1047),ISNUMBER(J1047)),C1047/J1047-1,""),"")</f>
        <v/>
      </c>
      <c r="L1047" s="28">
        <f>IFERROR(IF(AND(ISNUMBER(D1047),ISNUMBER(E1047)),D1047-E1047,""),"")</f>
        <v/>
      </c>
    </row>
    <row r="1048">
      <c r="A1048" s="7">
        <f>IFERROR(Datos!A1048,"")</f>
        <v/>
      </c>
      <c r="B1048" s="8">
        <f>IFERROR(Datos!B1048,"")</f>
        <v/>
      </c>
      <c r="C1048" s="8">
        <f>IFERROR(Datos!C1048,"")</f>
        <v/>
      </c>
      <c r="D1048" s="28">
        <f>IFERROR(IF(AND(ISNUMBER(B1048),ISNUMBER(B1047),B1047&lt;&gt;0),B1048/B1047-1,""),"")</f>
        <v/>
      </c>
      <c r="E1048" s="28">
        <f>IFERROR(IF(AND(ISNUMBER(C1048),ISNUMBER(C1047),C1047&lt;&gt;0),C1048/C1047-1,""),"")</f>
        <v/>
      </c>
      <c r="F1048" s="28">
        <f>IFERROR(D1048-Dashboard!$B$4/252,"")</f>
        <v/>
      </c>
      <c r="G1048" s="28">
        <f>IFERROR(E1048-Dashboard!$B$4/252,"")</f>
        <v/>
      </c>
      <c r="H1048" s="8">
        <f>IFERROR(IF(ISNUMBER(B1048),MAX(B1048,IFERROR(H1047,B1048)),""),"")</f>
        <v/>
      </c>
      <c r="I1048" s="29">
        <f>IFERROR(IF(AND(ISNUMBER(B1048),ISNUMBER(H1048)),B1048/H1048-1,""),"")</f>
        <v/>
      </c>
      <c r="J1048" s="8">
        <f>IFERROR(IF(ISNUMBER(C1048),MAX(C1048,IFERROR(J1047,C1048)),""),"")</f>
        <v/>
      </c>
      <c r="K1048" s="29">
        <f>IFERROR(IF(AND(ISNUMBER(C1048),ISNUMBER(J1048)),C1048/J1048-1,""),"")</f>
        <v/>
      </c>
      <c r="L1048" s="28">
        <f>IFERROR(IF(AND(ISNUMBER(D1048),ISNUMBER(E1048)),D1048-E1048,""),"")</f>
        <v/>
      </c>
    </row>
    <row r="1049">
      <c r="A1049" s="7">
        <f>IFERROR(Datos!A1049,"")</f>
        <v/>
      </c>
      <c r="B1049" s="8">
        <f>IFERROR(Datos!B1049,"")</f>
        <v/>
      </c>
      <c r="C1049" s="8">
        <f>IFERROR(Datos!C1049,"")</f>
        <v/>
      </c>
      <c r="D1049" s="28">
        <f>IFERROR(IF(AND(ISNUMBER(B1049),ISNUMBER(B1048),B1048&lt;&gt;0),B1049/B1048-1,""),"")</f>
        <v/>
      </c>
      <c r="E1049" s="28">
        <f>IFERROR(IF(AND(ISNUMBER(C1049),ISNUMBER(C1048),C1048&lt;&gt;0),C1049/C1048-1,""),"")</f>
        <v/>
      </c>
      <c r="F1049" s="28">
        <f>IFERROR(D1049-Dashboard!$B$4/252,"")</f>
        <v/>
      </c>
      <c r="G1049" s="28">
        <f>IFERROR(E1049-Dashboard!$B$4/252,"")</f>
        <v/>
      </c>
      <c r="H1049" s="8">
        <f>IFERROR(IF(ISNUMBER(B1049),MAX(B1049,IFERROR(H1048,B1049)),""),"")</f>
        <v/>
      </c>
      <c r="I1049" s="29">
        <f>IFERROR(IF(AND(ISNUMBER(B1049),ISNUMBER(H1049)),B1049/H1049-1,""),"")</f>
        <v/>
      </c>
      <c r="J1049" s="8">
        <f>IFERROR(IF(ISNUMBER(C1049),MAX(C1049,IFERROR(J1048,C1049)),""),"")</f>
        <v/>
      </c>
      <c r="K1049" s="29">
        <f>IFERROR(IF(AND(ISNUMBER(C1049),ISNUMBER(J1049)),C1049/J1049-1,""),"")</f>
        <v/>
      </c>
      <c r="L1049" s="28">
        <f>IFERROR(IF(AND(ISNUMBER(D1049),ISNUMBER(E1049)),D1049-E1049,""),"")</f>
        <v/>
      </c>
    </row>
    <row r="1050">
      <c r="A1050" s="7">
        <f>IFERROR(Datos!A1050,"")</f>
        <v/>
      </c>
      <c r="B1050" s="8">
        <f>IFERROR(Datos!B1050,"")</f>
        <v/>
      </c>
      <c r="C1050" s="8">
        <f>IFERROR(Datos!C1050,"")</f>
        <v/>
      </c>
      <c r="D1050" s="28">
        <f>IFERROR(IF(AND(ISNUMBER(B1050),ISNUMBER(B1049),B1049&lt;&gt;0),B1050/B1049-1,""),"")</f>
        <v/>
      </c>
      <c r="E1050" s="28">
        <f>IFERROR(IF(AND(ISNUMBER(C1050),ISNUMBER(C1049),C1049&lt;&gt;0),C1050/C1049-1,""),"")</f>
        <v/>
      </c>
      <c r="F1050" s="28">
        <f>IFERROR(D1050-Dashboard!$B$4/252,"")</f>
        <v/>
      </c>
      <c r="G1050" s="28">
        <f>IFERROR(E1050-Dashboard!$B$4/252,"")</f>
        <v/>
      </c>
      <c r="H1050" s="8">
        <f>IFERROR(IF(ISNUMBER(B1050),MAX(B1050,IFERROR(H1049,B1050)),""),"")</f>
        <v/>
      </c>
      <c r="I1050" s="29">
        <f>IFERROR(IF(AND(ISNUMBER(B1050),ISNUMBER(H1050)),B1050/H1050-1,""),"")</f>
        <v/>
      </c>
      <c r="J1050" s="8">
        <f>IFERROR(IF(ISNUMBER(C1050),MAX(C1050,IFERROR(J1049,C1050)),""),"")</f>
        <v/>
      </c>
      <c r="K1050" s="29">
        <f>IFERROR(IF(AND(ISNUMBER(C1050),ISNUMBER(J1050)),C1050/J1050-1,""),"")</f>
        <v/>
      </c>
      <c r="L1050" s="28">
        <f>IFERROR(IF(AND(ISNUMBER(D1050),ISNUMBER(E1050)),D1050-E1050,""),"")</f>
        <v/>
      </c>
    </row>
    <row r="1051">
      <c r="A1051" s="7">
        <f>IFERROR(Datos!A1051,"")</f>
        <v/>
      </c>
      <c r="B1051" s="8">
        <f>IFERROR(Datos!B1051,"")</f>
        <v/>
      </c>
      <c r="C1051" s="8">
        <f>IFERROR(Datos!C1051,"")</f>
        <v/>
      </c>
      <c r="D1051" s="28">
        <f>IFERROR(IF(AND(ISNUMBER(B1051),ISNUMBER(B1050),B1050&lt;&gt;0),B1051/B1050-1,""),"")</f>
        <v/>
      </c>
      <c r="E1051" s="28">
        <f>IFERROR(IF(AND(ISNUMBER(C1051),ISNUMBER(C1050),C1050&lt;&gt;0),C1051/C1050-1,""),"")</f>
        <v/>
      </c>
      <c r="F1051" s="28">
        <f>IFERROR(D1051-Dashboard!$B$4/252,"")</f>
        <v/>
      </c>
      <c r="G1051" s="28">
        <f>IFERROR(E1051-Dashboard!$B$4/252,"")</f>
        <v/>
      </c>
      <c r="H1051" s="8">
        <f>IFERROR(IF(ISNUMBER(B1051),MAX(B1051,IFERROR(H1050,B1051)),""),"")</f>
        <v/>
      </c>
      <c r="I1051" s="29">
        <f>IFERROR(IF(AND(ISNUMBER(B1051),ISNUMBER(H1051)),B1051/H1051-1,""),"")</f>
        <v/>
      </c>
      <c r="J1051" s="8">
        <f>IFERROR(IF(ISNUMBER(C1051),MAX(C1051,IFERROR(J1050,C1051)),""),"")</f>
        <v/>
      </c>
      <c r="K1051" s="29">
        <f>IFERROR(IF(AND(ISNUMBER(C1051),ISNUMBER(J1051)),C1051/J1051-1,""),"")</f>
        <v/>
      </c>
      <c r="L1051" s="28">
        <f>IFERROR(IF(AND(ISNUMBER(D1051),ISNUMBER(E1051)),D1051-E1051,""),"")</f>
        <v/>
      </c>
    </row>
    <row r="1052">
      <c r="A1052" s="7">
        <f>IFERROR(Datos!A1052,"")</f>
        <v/>
      </c>
      <c r="B1052" s="8">
        <f>IFERROR(Datos!B1052,"")</f>
        <v/>
      </c>
      <c r="C1052" s="8">
        <f>IFERROR(Datos!C1052,"")</f>
        <v/>
      </c>
      <c r="D1052" s="28">
        <f>IFERROR(IF(AND(ISNUMBER(B1052),ISNUMBER(B1051),B1051&lt;&gt;0),B1052/B1051-1,""),"")</f>
        <v/>
      </c>
      <c r="E1052" s="28">
        <f>IFERROR(IF(AND(ISNUMBER(C1052),ISNUMBER(C1051),C1051&lt;&gt;0),C1052/C1051-1,""),"")</f>
        <v/>
      </c>
      <c r="F1052" s="28">
        <f>IFERROR(D1052-Dashboard!$B$4/252,"")</f>
        <v/>
      </c>
      <c r="G1052" s="28">
        <f>IFERROR(E1052-Dashboard!$B$4/252,"")</f>
        <v/>
      </c>
      <c r="H1052" s="8">
        <f>IFERROR(IF(ISNUMBER(B1052),MAX(B1052,IFERROR(H1051,B1052)),""),"")</f>
        <v/>
      </c>
      <c r="I1052" s="29">
        <f>IFERROR(IF(AND(ISNUMBER(B1052),ISNUMBER(H1052)),B1052/H1052-1,""),"")</f>
        <v/>
      </c>
      <c r="J1052" s="8">
        <f>IFERROR(IF(ISNUMBER(C1052),MAX(C1052,IFERROR(J1051,C1052)),""),"")</f>
        <v/>
      </c>
      <c r="K1052" s="29">
        <f>IFERROR(IF(AND(ISNUMBER(C1052),ISNUMBER(J1052)),C1052/J1052-1,""),"")</f>
        <v/>
      </c>
      <c r="L1052" s="28">
        <f>IFERROR(IF(AND(ISNUMBER(D1052),ISNUMBER(E1052)),D1052-E1052,""),"")</f>
        <v/>
      </c>
    </row>
    <row r="1053">
      <c r="A1053" s="7">
        <f>IFERROR(Datos!A1053,"")</f>
        <v/>
      </c>
      <c r="B1053" s="8">
        <f>IFERROR(Datos!B1053,"")</f>
        <v/>
      </c>
      <c r="C1053" s="8">
        <f>IFERROR(Datos!C1053,"")</f>
        <v/>
      </c>
      <c r="D1053" s="28">
        <f>IFERROR(IF(AND(ISNUMBER(B1053),ISNUMBER(B1052),B1052&lt;&gt;0),B1053/B1052-1,""),"")</f>
        <v/>
      </c>
      <c r="E1053" s="28">
        <f>IFERROR(IF(AND(ISNUMBER(C1053),ISNUMBER(C1052),C1052&lt;&gt;0),C1053/C1052-1,""),"")</f>
        <v/>
      </c>
      <c r="F1053" s="28">
        <f>IFERROR(D1053-Dashboard!$B$4/252,"")</f>
        <v/>
      </c>
      <c r="G1053" s="28">
        <f>IFERROR(E1053-Dashboard!$B$4/252,"")</f>
        <v/>
      </c>
      <c r="H1053" s="8">
        <f>IFERROR(IF(ISNUMBER(B1053),MAX(B1053,IFERROR(H1052,B1053)),""),"")</f>
        <v/>
      </c>
      <c r="I1053" s="29">
        <f>IFERROR(IF(AND(ISNUMBER(B1053),ISNUMBER(H1053)),B1053/H1053-1,""),"")</f>
        <v/>
      </c>
      <c r="J1053" s="8">
        <f>IFERROR(IF(ISNUMBER(C1053),MAX(C1053,IFERROR(J1052,C1053)),""),"")</f>
        <v/>
      </c>
      <c r="K1053" s="29">
        <f>IFERROR(IF(AND(ISNUMBER(C1053),ISNUMBER(J1053)),C1053/J1053-1,""),"")</f>
        <v/>
      </c>
      <c r="L1053" s="28">
        <f>IFERROR(IF(AND(ISNUMBER(D1053),ISNUMBER(E1053)),D1053-E1053,""),"")</f>
        <v/>
      </c>
    </row>
    <row r="1054">
      <c r="A1054" s="7">
        <f>IFERROR(Datos!A1054,"")</f>
        <v/>
      </c>
      <c r="B1054" s="8">
        <f>IFERROR(Datos!B1054,"")</f>
        <v/>
      </c>
      <c r="C1054" s="8">
        <f>IFERROR(Datos!C1054,"")</f>
        <v/>
      </c>
      <c r="D1054" s="28">
        <f>IFERROR(IF(AND(ISNUMBER(B1054),ISNUMBER(B1053),B1053&lt;&gt;0),B1054/B1053-1,""),"")</f>
        <v/>
      </c>
      <c r="E1054" s="28">
        <f>IFERROR(IF(AND(ISNUMBER(C1054),ISNUMBER(C1053),C1053&lt;&gt;0),C1054/C1053-1,""),"")</f>
        <v/>
      </c>
      <c r="F1054" s="28">
        <f>IFERROR(D1054-Dashboard!$B$4/252,"")</f>
        <v/>
      </c>
      <c r="G1054" s="28">
        <f>IFERROR(E1054-Dashboard!$B$4/252,"")</f>
        <v/>
      </c>
      <c r="H1054" s="8">
        <f>IFERROR(IF(ISNUMBER(B1054),MAX(B1054,IFERROR(H1053,B1054)),""),"")</f>
        <v/>
      </c>
      <c r="I1054" s="29">
        <f>IFERROR(IF(AND(ISNUMBER(B1054),ISNUMBER(H1054)),B1054/H1054-1,""),"")</f>
        <v/>
      </c>
      <c r="J1054" s="8">
        <f>IFERROR(IF(ISNUMBER(C1054),MAX(C1054,IFERROR(J1053,C1054)),""),"")</f>
        <v/>
      </c>
      <c r="K1054" s="29">
        <f>IFERROR(IF(AND(ISNUMBER(C1054),ISNUMBER(J1054)),C1054/J1054-1,""),"")</f>
        <v/>
      </c>
      <c r="L1054" s="28">
        <f>IFERROR(IF(AND(ISNUMBER(D1054),ISNUMBER(E1054)),D1054-E1054,""),"")</f>
        <v/>
      </c>
    </row>
    <row r="1055">
      <c r="A1055" s="7">
        <f>IFERROR(Datos!A1055,"")</f>
        <v/>
      </c>
      <c r="B1055" s="8">
        <f>IFERROR(Datos!B1055,"")</f>
        <v/>
      </c>
      <c r="C1055" s="8">
        <f>IFERROR(Datos!C1055,"")</f>
        <v/>
      </c>
      <c r="D1055" s="28">
        <f>IFERROR(IF(AND(ISNUMBER(B1055),ISNUMBER(B1054),B1054&lt;&gt;0),B1055/B1054-1,""),"")</f>
        <v/>
      </c>
      <c r="E1055" s="28">
        <f>IFERROR(IF(AND(ISNUMBER(C1055),ISNUMBER(C1054),C1054&lt;&gt;0),C1055/C1054-1,""),"")</f>
        <v/>
      </c>
      <c r="F1055" s="28">
        <f>IFERROR(D1055-Dashboard!$B$4/252,"")</f>
        <v/>
      </c>
      <c r="G1055" s="28">
        <f>IFERROR(E1055-Dashboard!$B$4/252,"")</f>
        <v/>
      </c>
      <c r="H1055" s="8">
        <f>IFERROR(IF(ISNUMBER(B1055),MAX(B1055,IFERROR(H1054,B1055)),""),"")</f>
        <v/>
      </c>
      <c r="I1055" s="29">
        <f>IFERROR(IF(AND(ISNUMBER(B1055),ISNUMBER(H1055)),B1055/H1055-1,""),"")</f>
        <v/>
      </c>
      <c r="J1055" s="8">
        <f>IFERROR(IF(ISNUMBER(C1055),MAX(C1055,IFERROR(J1054,C1055)),""),"")</f>
        <v/>
      </c>
      <c r="K1055" s="29">
        <f>IFERROR(IF(AND(ISNUMBER(C1055),ISNUMBER(J1055)),C1055/J1055-1,""),"")</f>
        <v/>
      </c>
      <c r="L1055" s="28">
        <f>IFERROR(IF(AND(ISNUMBER(D1055),ISNUMBER(E1055)),D1055-E1055,""),"")</f>
        <v/>
      </c>
    </row>
    <row r="1056">
      <c r="A1056" s="7">
        <f>IFERROR(Datos!A1056,"")</f>
        <v/>
      </c>
      <c r="B1056" s="8">
        <f>IFERROR(Datos!B1056,"")</f>
        <v/>
      </c>
      <c r="C1056" s="8">
        <f>IFERROR(Datos!C1056,"")</f>
        <v/>
      </c>
      <c r="D1056" s="28">
        <f>IFERROR(IF(AND(ISNUMBER(B1056),ISNUMBER(B1055),B1055&lt;&gt;0),B1056/B1055-1,""),"")</f>
        <v/>
      </c>
      <c r="E1056" s="28">
        <f>IFERROR(IF(AND(ISNUMBER(C1056),ISNUMBER(C1055),C1055&lt;&gt;0),C1056/C1055-1,""),"")</f>
        <v/>
      </c>
      <c r="F1056" s="28">
        <f>IFERROR(D1056-Dashboard!$B$4/252,"")</f>
        <v/>
      </c>
      <c r="G1056" s="28">
        <f>IFERROR(E1056-Dashboard!$B$4/252,"")</f>
        <v/>
      </c>
      <c r="H1056" s="8">
        <f>IFERROR(IF(ISNUMBER(B1056),MAX(B1056,IFERROR(H1055,B1056)),""),"")</f>
        <v/>
      </c>
      <c r="I1056" s="29">
        <f>IFERROR(IF(AND(ISNUMBER(B1056),ISNUMBER(H1056)),B1056/H1056-1,""),"")</f>
        <v/>
      </c>
      <c r="J1056" s="8">
        <f>IFERROR(IF(ISNUMBER(C1056),MAX(C1056,IFERROR(J1055,C1056)),""),"")</f>
        <v/>
      </c>
      <c r="K1056" s="29">
        <f>IFERROR(IF(AND(ISNUMBER(C1056),ISNUMBER(J1056)),C1056/J1056-1,""),"")</f>
        <v/>
      </c>
      <c r="L1056" s="28">
        <f>IFERROR(IF(AND(ISNUMBER(D1056),ISNUMBER(E1056)),D1056-E1056,""),"")</f>
        <v/>
      </c>
    </row>
    <row r="1057">
      <c r="A1057" s="7">
        <f>IFERROR(Datos!A1057,"")</f>
        <v/>
      </c>
      <c r="B1057" s="8">
        <f>IFERROR(Datos!B1057,"")</f>
        <v/>
      </c>
      <c r="C1057" s="8">
        <f>IFERROR(Datos!C1057,"")</f>
        <v/>
      </c>
      <c r="D1057" s="28">
        <f>IFERROR(IF(AND(ISNUMBER(B1057),ISNUMBER(B1056),B1056&lt;&gt;0),B1057/B1056-1,""),"")</f>
        <v/>
      </c>
      <c r="E1057" s="28">
        <f>IFERROR(IF(AND(ISNUMBER(C1057),ISNUMBER(C1056),C1056&lt;&gt;0),C1057/C1056-1,""),"")</f>
        <v/>
      </c>
      <c r="F1057" s="28">
        <f>IFERROR(D1057-Dashboard!$B$4/252,"")</f>
        <v/>
      </c>
      <c r="G1057" s="28">
        <f>IFERROR(E1057-Dashboard!$B$4/252,"")</f>
        <v/>
      </c>
      <c r="H1057" s="8">
        <f>IFERROR(IF(ISNUMBER(B1057),MAX(B1057,IFERROR(H1056,B1057)),""),"")</f>
        <v/>
      </c>
      <c r="I1057" s="29">
        <f>IFERROR(IF(AND(ISNUMBER(B1057),ISNUMBER(H1057)),B1057/H1057-1,""),"")</f>
        <v/>
      </c>
      <c r="J1057" s="8">
        <f>IFERROR(IF(ISNUMBER(C1057),MAX(C1057,IFERROR(J1056,C1057)),""),"")</f>
        <v/>
      </c>
      <c r="K1057" s="29">
        <f>IFERROR(IF(AND(ISNUMBER(C1057),ISNUMBER(J1057)),C1057/J1057-1,""),"")</f>
        <v/>
      </c>
      <c r="L1057" s="28">
        <f>IFERROR(IF(AND(ISNUMBER(D1057),ISNUMBER(E1057)),D1057-E1057,""),"")</f>
        <v/>
      </c>
    </row>
    <row r="1058">
      <c r="A1058" s="7">
        <f>IFERROR(Datos!A1058,"")</f>
        <v/>
      </c>
      <c r="B1058" s="8">
        <f>IFERROR(Datos!B1058,"")</f>
        <v/>
      </c>
      <c r="C1058" s="8">
        <f>IFERROR(Datos!C1058,"")</f>
        <v/>
      </c>
      <c r="D1058" s="28">
        <f>IFERROR(IF(AND(ISNUMBER(B1058),ISNUMBER(B1057),B1057&lt;&gt;0),B1058/B1057-1,""),"")</f>
        <v/>
      </c>
      <c r="E1058" s="28">
        <f>IFERROR(IF(AND(ISNUMBER(C1058),ISNUMBER(C1057),C1057&lt;&gt;0),C1058/C1057-1,""),"")</f>
        <v/>
      </c>
      <c r="F1058" s="28">
        <f>IFERROR(D1058-Dashboard!$B$4/252,"")</f>
        <v/>
      </c>
      <c r="G1058" s="28">
        <f>IFERROR(E1058-Dashboard!$B$4/252,"")</f>
        <v/>
      </c>
      <c r="H1058" s="8">
        <f>IFERROR(IF(ISNUMBER(B1058),MAX(B1058,IFERROR(H1057,B1058)),""),"")</f>
        <v/>
      </c>
      <c r="I1058" s="29">
        <f>IFERROR(IF(AND(ISNUMBER(B1058),ISNUMBER(H1058)),B1058/H1058-1,""),"")</f>
        <v/>
      </c>
      <c r="J1058" s="8">
        <f>IFERROR(IF(ISNUMBER(C1058),MAX(C1058,IFERROR(J1057,C1058)),""),"")</f>
        <v/>
      </c>
      <c r="K1058" s="29">
        <f>IFERROR(IF(AND(ISNUMBER(C1058),ISNUMBER(J1058)),C1058/J1058-1,""),"")</f>
        <v/>
      </c>
      <c r="L1058" s="28">
        <f>IFERROR(IF(AND(ISNUMBER(D1058),ISNUMBER(E1058)),D1058-E1058,""),"")</f>
        <v/>
      </c>
    </row>
    <row r="1059">
      <c r="A1059" s="7">
        <f>IFERROR(Datos!A1059,"")</f>
        <v/>
      </c>
      <c r="B1059" s="8">
        <f>IFERROR(Datos!B1059,"")</f>
        <v/>
      </c>
      <c r="C1059" s="8">
        <f>IFERROR(Datos!C1059,"")</f>
        <v/>
      </c>
      <c r="D1059" s="28">
        <f>IFERROR(IF(AND(ISNUMBER(B1059),ISNUMBER(B1058),B1058&lt;&gt;0),B1059/B1058-1,""),"")</f>
        <v/>
      </c>
      <c r="E1059" s="28">
        <f>IFERROR(IF(AND(ISNUMBER(C1059),ISNUMBER(C1058),C1058&lt;&gt;0),C1059/C1058-1,""),"")</f>
        <v/>
      </c>
      <c r="F1059" s="28">
        <f>IFERROR(D1059-Dashboard!$B$4/252,"")</f>
        <v/>
      </c>
      <c r="G1059" s="28">
        <f>IFERROR(E1059-Dashboard!$B$4/252,"")</f>
        <v/>
      </c>
      <c r="H1059" s="8">
        <f>IFERROR(IF(ISNUMBER(B1059),MAX(B1059,IFERROR(H1058,B1059)),""),"")</f>
        <v/>
      </c>
      <c r="I1059" s="29">
        <f>IFERROR(IF(AND(ISNUMBER(B1059),ISNUMBER(H1059)),B1059/H1059-1,""),"")</f>
        <v/>
      </c>
      <c r="J1059" s="8">
        <f>IFERROR(IF(ISNUMBER(C1059),MAX(C1059,IFERROR(J1058,C1059)),""),"")</f>
        <v/>
      </c>
      <c r="K1059" s="29">
        <f>IFERROR(IF(AND(ISNUMBER(C1059),ISNUMBER(J1059)),C1059/J1059-1,""),"")</f>
        <v/>
      </c>
      <c r="L1059" s="28">
        <f>IFERROR(IF(AND(ISNUMBER(D1059),ISNUMBER(E1059)),D1059-E1059,""),"")</f>
        <v/>
      </c>
    </row>
    <row r="1060">
      <c r="A1060" s="7">
        <f>IFERROR(Datos!A1060,"")</f>
        <v/>
      </c>
      <c r="B1060" s="8">
        <f>IFERROR(Datos!B1060,"")</f>
        <v/>
      </c>
      <c r="C1060" s="8">
        <f>IFERROR(Datos!C1060,"")</f>
        <v/>
      </c>
      <c r="D1060" s="28">
        <f>IFERROR(IF(AND(ISNUMBER(B1060),ISNUMBER(B1059),B1059&lt;&gt;0),B1060/B1059-1,""),"")</f>
        <v/>
      </c>
      <c r="E1060" s="28">
        <f>IFERROR(IF(AND(ISNUMBER(C1060),ISNUMBER(C1059),C1059&lt;&gt;0),C1060/C1059-1,""),"")</f>
        <v/>
      </c>
      <c r="F1060" s="28">
        <f>IFERROR(D1060-Dashboard!$B$4/252,"")</f>
        <v/>
      </c>
      <c r="G1060" s="28">
        <f>IFERROR(E1060-Dashboard!$B$4/252,"")</f>
        <v/>
      </c>
      <c r="H1060" s="8">
        <f>IFERROR(IF(ISNUMBER(B1060),MAX(B1060,IFERROR(H1059,B1060)),""),"")</f>
        <v/>
      </c>
      <c r="I1060" s="29">
        <f>IFERROR(IF(AND(ISNUMBER(B1060),ISNUMBER(H1060)),B1060/H1060-1,""),"")</f>
        <v/>
      </c>
      <c r="J1060" s="8">
        <f>IFERROR(IF(ISNUMBER(C1060),MAX(C1060,IFERROR(J1059,C1060)),""),"")</f>
        <v/>
      </c>
      <c r="K1060" s="29">
        <f>IFERROR(IF(AND(ISNUMBER(C1060),ISNUMBER(J1060)),C1060/J1060-1,""),"")</f>
        <v/>
      </c>
      <c r="L1060" s="28">
        <f>IFERROR(IF(AND(ISNUMBER(D1060),ISNUMBER(E1060)),D1060-E1060,""),"")</f>
        <v/>
      </c>
    </row>
    <row r="1061">
      <c r="A1061" s="7">
        <f>IFERROR(Datos!A1061,"")</f>
        <v/>
      </c>
      <c r="B1061" s="8">
        <f>IFERROR(Datos!B1061,"")</f>
        <v/>
      </c>
      <c r="C1061" s="8">
        <f>IFERROR(Datos!C1061,"")</f>
        <v/>
      </c>
      <c r="D1061" s="28">
        <f>IFERROR(IF(AND(ISNUMBER(B1061),ISNUMBER(B1060),B1060&lt;&gt;0),B1061/B1060-1,""),"")</f>
        <v/>
      </c>
      <c r="E1061" s="28">
        <f>IFERROR(IF(AND(ISNUMBER(C1061),ISNUMBER(C1060),C1060&lt;&gt;0),C1061/C1060-1,""),"")</f>
        <v/>
      </c>
      <c r="F1061" s="28">
        <f>IFERROR(D1061-Dashboard!$B$4/252,"")</f>
        <v/>
      </c>
      <c r="G1061" s="28">
        <f>IFERROR(E1061-Dashboard!$B$4/252,"")</f>
        <v/>
      </c>
      <c r="H1061" s="8">
        <f>IFERROR(IF(ISNUMBER(B1061),MAX(B1061,IFERROR(H1060,B1061)),""),"")</f>
        <v/>
      </c>
      <c r="I1061" s="29">
        <f>IFERROR(IF(AND(ISNUMBER(B1061),ISNUMBER(H1061)),B1061/H1061-1,""),"")</f>
        <v/>
      </c>
      <c r="J1061" s="8">
        <f>IFERROR(IF(ISNUMBER(C1061),MAX(C1061,IFERROR(J1060,C1061)),""),"")</f>
        <v/>
      </c>
      <c r="K1061" s="29">
        <f>IFERROR(IF(AND(ISNUMBER(C1061),ISNUMBER(J1061)),C1061/J1061-1,""),"")</f>
        <v/>
      </c>
      <c r="L1061" s="28">
        <f>IFERROR(IF(AND(ISNUMBER(D1061),ISNUMBER(E1061)),D1061-E1061,""),"")</f>
        <v/>
      </c>
    </row>
    <row r="1062">
      <c r="A1062" s="7">
        <f>IFERROR(Datos!A1062,"")</f>
        <v/>
      </c>
      <c r="B1062" s="8">
        <f>IFERROR(Datos!B1062,"")</f>
        <v/>
      </c>
      <c r="C1062" s="8">
        <f>IFERROR(Datos!C1062,"")</f>
        <v/>
      </c>
      <c r="D1062" s="28">
        <f>IFERROR(IF(AND(ISNUMBER(B1062),ISNUMBER(B1061),B1061&lt;&gt;0),B1062/B1061-1,""),"")</f>
        <v/>
      </c>
      <c r="E1062" s="28">
        <f>IFERROR(IF(AND(ISNUMBER(C1062),ISNUMBER(C1061),C1061&lt;&gt;0),C1062/C1061-1,""),"")</f>
        <v/>
      </c>
      <c r="F1062" s="28">
        <f>IFERROR(D1062-Dashboard!$B$4/252,"")</f>
        <v/>
      </c>
      <c r="G1062" s="28">
        <f>IFERROR(E1062-Dashboard!$B$4/252,"")</f>
        <v/>
      </c>
      <c r="H1062" s="8">
        <f>IFERROR(IF(ISNUMBER(B1062),MAX(B1062,IFERROR(H1061,B1062)),""),"")</f>
        <v/>
      </c>
      <c r="I1062" s="29">
        <f>IFERROR(IF(AND(ISNUMBER(B1062),ISNUMBER(H1062)),B1062/H1062-1,""),"")</f>
        <v/>
      </c>
      <c r="J1062" s="8">
        <f>IFERROR(IF(ISNUMBER(C1062),MAX(C1062,IFERROR(J1061,C1062)),""),"")</f>
        <v/>
      </c>
      <c r="K1062" s="29">
        <f>IFERROR(IF(AND(ISNUMBER(C1062),ISNUMBER(J1062)),C1062/J1062-1,""),"")</f>
        <v/>
      </c>
      <c r="L1062" s="28">
        <f>IFERROR(IF(AND(ISNUMBER(D1062),ISNUMBER(E1062)),D1062-E1062,""),"")</f>
        <v/>
      </c>
    </row>
    <row r="1063">
      <c r="A1063" s="7">
        <f>IFERROR(Datos!A1063,"")</f>
        <v/>
      </c>
      <c r="B1063" s="8">
        <f>IFERROR(Datos!B1063,"")</f>
        <v/>
      </c>
      <c r="C1063" s="8">
        <f>IFERROR(Datos!C1063,"")</f>
        <v/>
      </c>
      <c r="D1063" s="28">
        <f>IFERROR(IF(AND(ISNUMBER(B1063),ISNUMBER(B1062),B1062&lt;&gt;0),B1063/B1062-1,""),"")</f>
        <v/>
      </c>
      <c r="E1063" s="28">
        <f>IFERROR(IF(AND(ISNUMBER(C1063),ISNUMBER(C1062),C1062&lt;&gt;0),C1063/C1062-1,""),"")</f>
        <v/>
      </c>
      <c r="F1063" s="28">
        <f>IFERROR(D1063-Dashboard!$B$4/252,"")</f>
        <v/>
      </c>
      <c r="G1063" s="28">
        <f>IFERROR(E1063-Dashboard!$B$4/252,"")</f>
        <v/>
      </c>
      <c r="H1063" s="8">
        <f>IFERROR(IF(ISNUMBER(B1063),MAX(B1063,IFERROR(H1062,B1063)),""),"")</f>
        <v/>
      </c>
      <c r="I1063" s="29">
        <f>IFERROR(IF(AND(ISNUMBER(B1063),ISNUMBER(H1063)),B1063/H1063-1,""),"")</f>
        <v/>
      </c>
      <c r="J1063" s="8">
        <f>IFERROR(IF(ISNUMBER(C1063),MAX(C1063,IFERROR(J1062,C1063)),""),"")</f>
        <v/>
      </c>
      <c r="K1063" s="29">
        <f>IFERROR(IF(AND(ISNUMBER(C1063),ISNUMBER(J1063)),C1063/J1063-1,""),"")</f>
        <v/>
      </c>
      <c r="L1063" s="28">
        <f>IFERROR(IF(AND(ISNUMBER(D1063),ISNUMBER(E1063)),D1063-E1063,""),"")</f>
        <v/>
      </c>
    </row>
    <row r="1064">
      <c r="A1064" s="7">
        <f>IFERROR(Datos!A1064,"")</f>
        <v/>
      </c>
      <c r="B1064" s="8">
        <f>IFERROR(Datos!B1064,"")</f>
        <v/>
      </c>
      <c r="C1064" s="8">
        <f>IFERROR(Datos!C1064,"")</f>
        <v/>
      </c>
      <c r="D1064" s="28">
        <f>IFERROR(IF(AND(ISNUMBER(B1064),ISNUMBER(B1063),B1063&lt;&gt;0),B1064/B1063-1,""),"")</f>
        <v/>
      </c>
      <c r="E1064" s="28">
        <f>IFERROR(IF(AND(ISNUMBER(C1064),ISNUMBER(C1063),C1063&lt;&gt;0),C1064/C1063-1,""),"")</f>
        <v/>
      </c>
      <c r="F1064" s="28">
        <f>IFERROR(D1064-Dashboard!$B$4/252,"")</f>
        <v/>
      </c>
      <c r="G1064" s="28">
        <f>IFERROR(E1064-Dashboard!$B$4/252,"")</f>
        <v/>
      </c>
      <c r="H1064" s="8">
        <f>IFERROR(IF(ISNUMBER(B1064),MAX(B1064,IFERROR(H1063,B1064)),""),"")</f>
        <v/>
      </c>
      <c r="I1064" s="29">
        <f>IFERROR(IF(AND(ISNUMBER(B1064),ISNUMBER(H1064)),B1064/H1064-1,""),"")</f>
        <v/>
      </c>
      <c r="J1064" s="8">
        <f>IFERROR(IF(ISNUMBER(C1064),MAX(C1064,IFERROR(J1063,C1064)),""),"")</f>
        <v/>
      </c>
      <c r="K1064" s="29">
        <f>IFERROR(IF(AND(ISNUMBER(C1064),ISNUMBER(J1064)),C1064/J1064-1,""),"")</f>
        <v/>
      </c>
      <c r="L1064" s="28">
        <f>IFERROR(IF(AND(ISNUMBER(D1064),ISNUMBER(E1064)),D1064-E1064,""),"")</f>
        <v/>
      </c>
    </row>
    <row r="1065">
      <c r="A1065" s="7">
        <f>IFERROR(Datos!A1065,"")</f>
        <v/>
      </c>
      <c r="B1065" s="8">
        <f>IFERROR(Datos!B1065,"")</f>
        <v/>
      </c>
      <c r="C1065" s="8">
        <f>IFERROR(Datos!C1065,"")</f>
        <v/>
      </c>
      <c r="D1065" s="28">
        <f>IFERROR(IF(AND(ISNUMBER(B1065),ISNUMBER(B1064),B1064&lt;&gt;0),B1065/B1064-1,""),"")</f>
        <v/>
      </c>
      <c r="E1065" s="28">
        <f>IFERROR(IF(AND(ISNUMBER(C1065),ISNUMBER(C1064),C1064&lt;&gt;0),C1065/C1064-1,""),"")</f>
        <v/>
      </c>
      <c r="F1065" s="28">
        <f>IFERROR(D1065-Dashboard!$B$4/252,"")</f>
        <v/>
      </c>
      <c r="G1065" s="28">
        <f>IFERROR(E1065-Dashboard!$B$4/252,"")</f>
        <v/>
      </c>
      <c r="H1065" s="8">
        <f>IFERROR(IF(ISNUMBER(B1065),MAX(B1065,IFERROR(H1064,B1065)),""),"")</f>
        <v/>
      </c>
      <c r="I1065" s="29">
        <f>IFERROR(IF(AND(ISNUMBER(B1065),ISNUMBER(H1065)),B1065/H1065-1,""),"")</f>
        <v/>
      </c>
      <c r="J1065" s="8">
        <f>IFERROR(IF(ISNUMBER(C1065),MAX(C1065,IFERROR(J1064,C1065)),""),"")</f>
        <v/>
      </c>
      <c r="K1065" s="29">
        <f>IFERROR(IF(AND(ISNUMBER(C1065),ISNUMBER(J1065)),C1065/J1065-1,""),"")</f>
        <v/>
      </c>
      <c r="L1065" s="28">
        <f>IFERROR(IF(AND(ISNUMBER(D1065),ISNUMBER(E1065)),D1065-E1065,""),"")</f>
        <v/>
      </c>
    </row>
    <row r="1066">
      <c r="A1066" s="7">
        <f>IFERROR(Datos!A1066,"")</f>
        <v/>
      </c>
      <c r="B1066" s="8">
        <f>IFERROR(Datos!B1066,"")</f>
        <v/>
      </c>
      <c r="C1066" s="8">
        <f>IFERROR(Datos!C1066,"")</f>
        <v/>
      </c>
      <c r="D1066" s="28">
        <f>IFERROR(IF(AND(ISNUMBER(B1066),ISNUMBER(B1065),B1065&lt;&gt;0),B1066/B1065-1,""),"")</f>
        <v/>
      </c>
      <c r="E1066" s="28">
        <f>IFERROR(IF(AND(ISNUMBER(C1066),ISNUMBER(C1065),C1065&lt;&gt;0),C1066/C1065-1,""),"")</f>
        <v/>
      </c>
      <c r="F1066" s="28">
        <f>IFERROR(D1066-Dashboard!$B$4/252,"")</f>
        <v/>
      </c>
      <c r="G1066" s="28">
        <f>IFERROR(E1066-Dashboard!$B$4/252,"")</f>
        <v/>
      </c>
      <c r="H1066" s="8">
        <f>IFERROR(IF(ISNUMBER(B1066),MAX(B1066,IFERROR(H1065,B1066)),""),"")</f>
        <v/>
      </c>
      <c r="I1066" s="29">
        <f>IFERROR(IF(AND(ISNUMBER(B1066),ISNUMBER(H1066)),B1066/H1066-1,""),"")</f>
        <v/>
      </c>
      <c r="J1066" s="8">
        <f>IFERROR(IF(ISNUMBER(C1066),MAX(C1066,IFERROR(J1065,C1066)),""),"")</f>
        <v/>
      </c>
      <c r="K1066" s="29">
        <f>IFERROR(IF(AND(ISNUMBER(C1066),ISNUMBER(J1066)),C1066/J1066-1,""),"")</f>
        <v/>
      </c>
      <c r="L1066" s="28">
        <f>IFERROR(IF(AND(ISNUMBER(D1066),ISNUMBER(E1066)),D1066-E1066,""),"")</f>
        <v/>
      </c>
    </row>
    <row r="1067">
      <c r="A1067" s="7">
        <f>IFERROR(Datos!A1067,"")</f>
        <v/>
      </c>
      <c r="B1067" s="8">
        <f>IFERROR(Datos!B1067,"")</f>
        <v/>
      </c>
      <c r="C1067" s="8">
        <f>IFERROR(Datos!C1067,"")</f>
        <v/>
      </c>
      <c r="D1067" s="28">
        <f>IFERROR(IF(AND(ISNUMBER(B1067),ISNUMBER(B1066),B1066&lt;&gt;0),B1067/B1066-1,""),"")</f>
        <v/>
      </c>
      <c r="E1067" s="28">
        <f>IFERROR(IF(AND(ISNUMBER(C1067),ISNUMBER(C1066),C1066&lt;&gt;0),C1067/C1066-1,""),"")</f>
        <v/>
      </c>
      <c r="F1067" s="28">
        <f>IFERROR(D1067-Dashboard!$B$4/252,"")</f>
        <v/>
      </c>
      <c r="G1067" s="28">
        <f>IFERROR(E1067-Dashboard!$B$4/252,"")</f>
        <v/>
      </c>
      <c r="H1067" s="8">
        <f>IFERROR(IF(ISNUMBER(B1067),MAX(B1067,IFERROR(H1066,B1067)),""),"")</f>
        <v/>
      </c>
      <c r="I1067" s="29">
        <f>IFERROR(IF(AND(ISNUMBER(B1067),ISNUMBER(H1067)),B1067/H1067-1,""),"")</f>
        <v/>
      </c>
      <c r="J1067" s="8">
        <f>IFERROR(IF(ISNUMBER(C1067),MAX(C1067,IFERROR(J1066,C1067)),""),"")</f>
        <v/>
      </c>
      <c r="K1067" s="29">
        <f>IFERROR(IF(AND(ISNUMBER(C1067),ISNUMBER(J1067)),C1067/J1067-1,""),"")</f>
        <v/>
      </c>
      <c r="L1067" s="28">
        <f>IFERROR(IF(AND(ISNUMBER(D1067),ISNUMBER(E1067)),D1067-E1067,""),"")</f>
        <v/>
      </c>
    </row>
    <row r="1068">
      <c r="A1068" s="7">
        <f>IFERROR(Datos!A1068,"")</f>
        <v/>
      </c>
      <c r="B1068" s="8">
        <f>IFERROR(Datos!B1068,"")</f>
        <v/>
      </c>
      <c r="C1068" s="8">
        <f>IFERROR(Datos!C1068,"")</f>
        <v/>
      </c>
      <c r="D1068" s="28">
        <f>IFERROR(IF(AND(ISNUMBER(B1068),ISNUMBER(B1067),B1067&lt;&gt;0),B1068/B1067-1,""),"")</f>
        <v/>
      </c>
      <c r="E1068" s="28">
        <f>IFERROR(IF(AND(ISNUMBER(C1068),ISNUMBER(C1067),C1067&lt;&gt;0),C1068/C1067-1,""),"")</f>
        <v/>
      </c>
      <c r="F1068" s="28">
        <f>IFERROR(D1068-Dashboard!$B$4/252,"")</f>
        <v/>
      </c>
      <c r="G1068" s="28">
        <f>IFERROR(E1068-Dashboard!$B$4/252,"")</f>
        <v/>
      </c>
      <c r="H1068" s="8">
        <f>IFERROR(IF(ISNUMBER(B1068),MAX(B1068,IFERROR(H1067,B1068)),""),"")</f>
        <v/>
      </c>
      <c r="I1068" s="29">
        <f>IFERROR(IF(AND(ISNUMBER(B1068),ISNUMBER(H1068)),B1068/H1068-1,""),"")</f>
        <v/>
      </c>
      <c r="J1068" s="8">
        <f>IFERROR(IF(ISNUMBER(C1068),MAX(C1068,IFERROR(J1067,C1068)),""),"")</f>
        <v/>
      </c>
      <c r="K1068" s="29">
        <f>IFERROR(IF(AND(ISNUMBER(C1068),ISNUMBER(J1068)),C1068/J1068-1,""),"")</f>
        <v/>
      </c>
      <c r="L1068" s="28">
        <f>IFERROR(IF(AND(ISNUMBER(D1068),ISNUMBER(E1068)),D1068-E1068,""),"")</f>
        <v/>
      </c>
    </row>
    <row r="1069">
      <c r="A1069" s="7">
        <f>IFERROR(Datos!A1069,"")</f>
        <v/>
      </c>
      <c r="B1069" s="8">
        <f>IFERROR(Datos!B1069,"")</f>
        <v/>
      </c>
      <c r="C1069" s="8">
        <f>IFERROR(Datos!C1069,"")</f>
        <v/>
      </c>
      <c r="D1069" s="28">
        <f>IFERROR(IF(AND(ISNUMBER(B1069),ISNUMBER(B1068),B1068&lt;&gt;0),B1069/B1068-1,""),"")</f>
        <v/>
      </c>
      <c r="E1069" s="28">
        <f>IFERROR(IF(AND(ISNUMBER(C1069),ISNUMBER(C1068),C1068&lt;&gt;0),C1069/C1068-1,""),"")</f>
        <v/>
      </c>
      <c r="F1069" s="28">
        <f>IFERROR(D1069-Dashboard!$B$4/252,"")</f>
        <v/>
      </c>
      <c r="G1069" s="28">
        <f>IFERROR(E1069-Dashboard!$B$4/252,"")</f>
        <v/>
      </c>
      <c r="H1069" s="8">
        <f>IFERROR(IF(ISNUMBER(B1069),MAX(B1069,IFERROR(H1068,B1069)),""),"")</f>
        <v/>
      </c>
      <c r="I1069" s="29">
        <f>IFERROR(IF(AND(ISNUMBER(B1069),ISNUMBER(H1069)),B1069/H1069-1,""),"")</f>
        <v/>
      </c>
      <c r="J1069" s="8">
        <f>IFERROR(IF(ISNUMBER(C1069),MAX(C1069,IFERROR(J1068,C1069)),""),"")</f>
        <v/>
      </c>
      <c r="K1069" s="29">
        <f>IFERROR(IF(AND(ISNUMBER(C1069),ISNUMBER(J1069)),C1069/J1069-1,""),"")</f>
        <v/>
      </c>
      <c r="L1069" s="28">
        <f>IFERROR(IF(AND(ISNUMBER(D1069),ISNUMBER(E1069)),D1069-E1069,""),"")</f>
        <v/>
      </c>
    </row>
    <row r="1070">
      <c r="A1070" s="7">
        <f>IFERROR(Datos!A1070,"")</f>
        <v/>
      </c>
      <c r="B1070" s="8">
        <f>IFERROR(Datos!B1070,"")</f>
        <v/>
      </c>
      <c r="C1070" s="8">
        <f>IFERROR(Datos!C1070,"")</f>
        <v/>
      </c>
      <c r="D1070" s="28">
        <f>IFERROR(IF(AND(ISNUMBER(B1070),ISNUMBER(B1069),B1069&lt;&gt;0),B1070/B1069-1,""),"")</f>
        <v/>
      </c>
      <c r="E1070" s="28">
        <f>IFERROR(IF(AND(ISNUMBER(C1070),ISNUMBER(C1069),C1069&lt;&gt;0),C1070/C1069-1,""),"")</f>
        <v/>
      </c>
      <c r="F1070" s="28">
        <f>IFERROR(D1070-Dashboard!$B$4/252,"")</f>
        <v/>
      </c>
      <c r="G1070" s="28">
        <f>IFERROR(E1070-Dashboard!$B$4/252,"")</f>
        <v/>
      </c>
      <c r="H1070" s="8">
        <f>IFERROR(IF(ISNUMBER(B1070),MAX(B1070,IFERROR(H1069,B1070)),""),"")</f>
        <v/>
      </c>
      <c r="I1070" s="29">
        <f>IFERROR(IF(AND(ISNUMBER(B1070),ISNUMBER(H1070)),B1070/H1070-1,""),"")</f>
        <v/>
      </c>
      <c r="J1070" s="8">
        <f>IFERROR(IF(ISNUMBER(C1070),MAX(C1070,IFERROR(J1069,C1070)),""),"")</f>
        <v/>
      </c>
      <c r="K1070" s="29">
        <f>IFERROR(IF(AND(ISNUMBER(C1070),ISNUMBER(J1070)),C1070/J1070-1,""),"")</f>
        <v/>
      </c>
      <c r="L1070" s="28">
        <f>IFERROR(IF(AND(ISNUMBER(D1070),ISNUMBER(E1070)),D1070-E1070,""),"")</f>
        <v/>
      </c>
    </row>
    <row r="1071">
      <c r="A1071" s="7">
        <f>IFERROR(Datos!A1071,"")</f>
        <v/>
      </c>
      <c r="B1071" s="8">
        <f>IFERROR(Datos!B1071,"")</f>
        <v/>
      </c>
      <c r="C1071" s="8">
        <f>IFERROR(Datos!C1071,"")</f>
        <v/>
      </c>
      <c r="D1071" s="28">
        <f>IFERROR(IF(AND(ISNUMBER(B1071),ISNUMBER(B1070),B1070&lt;&gt;0),B1071/B1070-1,""),"")</f>
        <v/>
      </c>
      <c r="E1071" s="28">
        <f>IFERROR(IF(AND(ISNUMBER(C1071),ISNUMBER(C1070),C1070&lt;&gt;0),C1071/C1070-1,""),"")</f>
        <v/>
      </c>
      <c r="F1071" s="28">
        <f>IFERROR(D1071-Dashboard!$B$4/252,"")</f>
        <v/>
      </c>
      <c r="G1071" s="28">
        <f>IFERROR(E1071-Dashboard!$B$4/252,"")</f>
        <v/>
      </c>
      <c r="H1071" s="8">
        <f>IFERROR(IF(ISNUMBER(B1071),MAX(B1071,IFERROR(H1070,B1071)),""),"")</f>
        <v/>
      </c>
      <c r="I1071" s="29">
        <f>IFERROR(IF(AND(ISNUMBER(B1071),ISNUMBER(H1071)),B1071/H1071-1,""),"")</f>
        <v/>
      </c>
      <c r="J1071" s="8">
        <f>IFERROR(IF(ISNUMBER(C1071),MAX(C1071,IFERROR(J1070,C1071)),""),"")</f>
        <v/>
      </c>
      <c r="K1071" s="29">
        <f>IFERROR(IF(AND(ISNUMBER(C1071),ISNUMBER(J1071)),C1071/J1071-1,""),"")</f>
        <v/>
      </c>
      <c r="L1071" s="28">
        <f>IFERROR(IF(AND(ISNUMBER(D1071),ISNUMBER(E1071)),D1071-E1071,""),"")</f>
        <v/>
      </c>
    </row>
    <row r="1072">
      <c r="A1072" s="7">
        <f>IFERROR(Datos!A1072,"")</f>
        <v/>
      </c>
      <c r="B1072" s="8">
        <f>IFERROR(Datos!B1072,"")</f>
        <v/>
      </c>
      <c r="C1072" s="8">
        <f>IFERROR(Datos!C1072,"")</f>
        <v/>
      </c>
      <c r="D1072" s="28">
        <f>IFERROR(IF(AND(ISNUMBER(B1072),ISNUMBER(B1071),B1071&lt;&gt;0),B1072/B1071-1,""),"")</f>
        <v/>
      </c>
      <c r="E1072" s="28">
        <f>IFERROR(IF(AND(ISNUMBER(C1072),ISNUMBER(C1071),C1071&lt;&gt;0),C1072/C1071-1,""),"")</f>
        <v/>
      </c>
      <c r="F1072" s="28">
        <f>IFERROR(D1072-Dashboard!$B$4/252,"")</f>
        <v/>
      </c>
      <c r="G1072" s="28">
        <f>IFERROR(E1072-Dashboard!$B$4/252,"")</f>
        <v/>
      </c>
      <c r="H1072" s="8">
        <f>IFERROR(IF(ISNUMBER(B1072),MAX(B1072,IFERROR(H1071,B1072)),""),"")</f>
        <v/>
      </c>
      <c r="I1072" s="29">
        <f>IFERROR(IF(AND(ISNUMBER(B1072),ISNUMBER(H1072)),B1072/H1072-1,""),"")</f>
        <v/>
      </c>
      <c r="J1072" s="8">
        <f>IFERROR(IF(ISNUMBER(C1072),MAX(C1072,IFERROR(J1071,C1072)),""),"")</f>
        <v/>
      </c>
      <c r="K1072" s="29">
        <f>IFERROR(IF(AND(ISNUMBER(C1072),ISNUMBER(J1072)),C1072/J1072-1,""),"")</f>
        <v/>
      </c>
      <c r="L1072" s="28">
        <f>IFERROR(IF(AND(ISNUMBER(D1072),ISNUMBER(E1072)),D1072-E1072,""),"")</f>
        <v/>
      </c>
    </row>
    <row r="1073">
      <c r="A1073" s="7">
        <f>IFERROR(Datos!A1073,"")</f>
        <v/>
      </c>
      <c r="B1073" s="8">
        <f>IFERROR(Datos!B1073,"")</f>
        <v/>
      </c>
      <c r="C1073" s="8">
        <f>IFERROR(Datos!C1073,"")</f>
        <v/>
      </c>
      <c r="D1073" s="28">
        <f>IFERROR(IF(AND(ISNUMBER(B1073),ISNUMBER(B1072),B1072&lt;&gt;0),B1073/B1072-1,""),"")</f>
        <v/>
      </c>
      <c r="E1073" s="28">
        <f>IFERROR(IF(AND(ISNUMBER(C1073),ISNUMBER(C1072),C1072&lt;&gt;0),C1073/C1072-1,""),"")</f>
        <v/>
      </c>
      <c r="F1073" s="28">
        <f>IFERROR(D1073-Dashboard!$B$4/252,"")</f>
        <v/>
      </c>
      <c r="G1073" s="28">
        <f>IFERROR(E1073-Dashboard!$B$4/252,"")</f>
        <v/>
      </c>
      <c r="H1073" s="8">
        <f>IFERROR(IF(ISNUMBER(B1073),MAX(B1073,IFERROR(H1072,B1073)),""),"")</f>
        <v/>
      </c>
      <c r="I1073" s="29">
        <f>IFERROR(IF(AND(ISNUMBER(B1073),ISNUMBER(H1073)),B1073/H1073-1,""),"")</f>
        <v/>
      </c>
      <c r="J1073" s="8">
        <f>IFERROR(IF(ISNUMBER(C1073),MAX(C1073,IFERROR(J1072,C1073)),""),"")</f>
        <v/>
      </c>
      <c r="K1073" s="29">
        <f>IFERROR(IF(AND(ISNUMBER(C1073),ISNUMBER(J1073)),C1073/J1073-1,""),"")</f>
        <v/>
      </c>
      <c r="L1073" s="28">
        <f>IFERROR(IF(AND(ISNUMBER(D1073),ISNUMBER(E1073)),D1073-E1073,""),"")</f>
        <v/>
      </c>
    </row>
    <row r="1074">
      <c r="A1074" s="7">
        <f>IFERROR(Datos!A1074,"")</f>
        <v/>
      </c>
      <c r="B1074" s="8">
        <f>IFERROR(Datos!B1074,"")</f>
        <v/>
      </c>
      <c r="C1074" s="8">
        <f>IFERROR(Datos!C1074,"")</f>
        <v/>
      </c>
      <c r="D1074" s="28">
        <f>IFERROR(IF(AND(ISNUMBER(B1074),ISNUMBER(B1073),B1073&lt;&gt;0),B1074/B1073-1,""),"")</f>
        <v/>
      </c>
      <c r="E1074" s="28">
        <f>IFERROR(IF(AND(ISNUMBER(C1074),ISNUMBER(C1073),C1073&lt;&gt;0),C1074/C1073-1,""),"")</f>
        <v/>
      </c>
      <c r="F1074" s="28">
        <f>IFERROR(D1074-Dashboard!$B$4/252,"")</f>
        <v/>
      </c>
      <c r="G1074" s="28">
        <f>IFERROR(E1074-Dashboard!$B$4/252,"")</f>
        <v/>
      </c>
      <c r="H1074" s="8">
        <f>IFERROR(IF(ISNUMBER(B1074),MAX(B1074,IFERROR(H1073,B1074)),""),"")</f>
        <v/>
      </c>
      <c r="I1074" s="29">
        <f>IFERROR(IF(AND(ISNUMBER(B1074),ISNUMBER(H1074)),B1074/H1074-1,""),"")</f>
        <v/>
      </c>
      <c r="J1074" s="8">
        <f>IFERROR(IF(ISNUMBER(C1074),MAX(C1074,IFERROR(J1073,C1074)),""),"")</f>
        <v/>
      </c>
      <c r="K1074" s="29">
        <f>IFERROR(IF(AND(ISNUMBER(C1074),ISNUMBER(J1074)),C1074/J1074-1,""),"")</f>
        <v/>
      </c>
      <c r="L1074" s="28">
        <f>IFERROR(IF(AND(ISNUMBER(D1074),ISNUMBER(E1074)),D1074-E1074,""),"")</f>
        <v/>
      </c>
    </row>
    <row r="1075">
      <c r="A1075" s="7">
        <f>IFERROR(Datos!A1075,"")</f>
        <v/>
      </c>
      <c r="B1075" s="8">
        <f>IFERROR(Datos!B1075,"")</f>
        <v/>
      </c>
      <c r="C1075" s="8">
        <f>IFERROR(Datos!C1075,"")</f>
        <v/>
      </c>
      <c r="D1075" s="28">
        <f>IFERROR(IF(AND(ISNUMBER(B1075),ISNUMBER(B1074),B1074&lt;&gt;0),B1075/B1074-1,""),"")</f>
        <v/>
      </c>
      <c r="E1075" s="28">
        <f>IFERROR(IF(AND(ISNUMBER(C1075),ISNUMBER(C1074),C1074&lt;&gt;0),C1075/C1074-1,""),"")</f>
        <v/>
      </c>
      <c r="F1075" s="28">
        <f>IFERROR(D1075-Dashboard!$B$4/252,"")</f>
        <v/>
      </c>
      <c r="G1075" s="28">
        <f>IFERROR(E1075-Dashboard!$B$4/252,"")</f>
        <v/>
      </c>
      <c r="H1075" s="8">
        <f>IFERROR(IF(ISNUMBER(B1075),MAX(B1075,IFERROR(H1074,B1075)),""),"")</f>
        <v/>
      </c>
      <c r="I1075" s="29">
        <f>IFERROR(IF(AND(ISNUMBER(B1075),ISNUMBER(H1075)),B1075/H1075-1,""),"")</f>
        <v/>
      </c>
      <c r="J1075" s="8">
        <f>IFERROR(IF(ISNUMBER(C1075),MAX(C1075,IFERROR(J1074,C1075)),""),"")</f>
        <v/>
      </c>
      <c r="K1075" s="29">
        <f>IFERROR(IF(AND(ISNUMBER(C1075),ISNUMBER(J1075)),C1075/J1075-1,""),"")</f>
        <v/>
      </c>
      <c r="L1075" s="28">
        <f>IFERROR(IF(AND(ISNUMBER(D1075),ISNUMBER(E1075)),D1075-E1075,""),"")</f>
        <v/>
      </c>
    </row>
    <row r="1076">
      <c r="A1076" s="7">
        <f>IFERROR(Datos!A1076,"")</f>
        <v/>
      </c>
      <c r="B1076" s="8">
        <f>IFERROR(Datos!B1076,"")</f>
        <v/>
      </c>
      <c r="C1076" s="8">
        <f>IFERROR(Datos!C1076,"")</f>
        <v/>
      </c>
      <c r="D1076" s="28">
        <f>IFERROR(IF(AND(ISNUMBER(B1076),ISNUMBER(B1075),B1075&lt;&gt;0),B1076/B1075-1,""),"")</f>
        <v/>
      </c>
      <c r="E1076" s="28">
        <f>IFERROR(IF(AND(ISNUMBER(C1076),ISNUMBER(C1075),C1075&lt;&gt;0),C1076/C1075-1,""),"")</f>
        <v/>
      </c>
      <c r="F1076" s="28">
        <f>IFERROR(D1076-Dashboard!$B$4/252,"")</f>
        <v/>
      </c>
      <c r="G1076" s="28">
        <f>IFERROR(E1076-Dashboard!$B$4/252,"")</f>
        <v/>
      </c>
      <c r="H1076" s="8">
        <f>IFERROR(IF(ISNUMBER(B1076),MAX(B1076,IFERROR(H1075,B1076)),""),"")</f>
        <v/>
      </c>
      <c r="I1076" s="29">
        <f>IFERROR(IF(AND(ISNUMBER(B1076),ISNUMBER(H1076)),B1076/H1076-1,""),"")</f>
        <v/>
      </c>
      <c r="J1076" s="8">
        <f>IFERROR(IF(ISNUMBER(C1076),MAX(C1076,IFERROR(J1075,C1076)),""),"")</f>
        <v/>
      </c>
      <c r="K1076" s="29">
        <f>IFERROR(IF(AND(ISNUMBER(C1076),ISNUMBER(J1076)),C1076/J1076-1,""),"")</f>
        <v/>
      </c>
      <c r="L1076" s="28">
        <f>IFERROR(IF(AND(ISNUMBER(D1076),ISNUMBER(E1076)),D1076-E1076,""),"")</f>
        <v/>
      </c>
    </row>
    <row r="1077">
      <c r="A1077" s="7">
        <f>IFERROR(Datos!A1077,"")</f>
        <v/>
      </c>
      <c r="B1077" s="8">
        <f>IFERROR(Datos!B1077,"")</f>
        <v/>
      </c>
      <c r="C1077" s="8">
        <f>IFERROR(Datos!C1077,"")</f>
        <v/>
      </c>
      <c r="D1077" s="28">
        <f>IFERROR(IF(AND(ISNUMBER(B1077),ISNUMBER(B1076),B1076&lt;&gt;0),B1077/B1076-1,""),"")</f>
        <v/>
      </c>
      <c r="E1077" s="28">
        <f>IFERROR(IF(AND(ISNUMBER(C1077),ISNUMBER(C1076),C1076&lt;&gt;0),C1077/C1076-1,""),"")</f>
        <v/>
      </c>
      <c r="F1077" s="28">
        <f>IFERROR(D1077-Dashboard!$B$4/252,"")</f>
        <v/>
      </c>
      <c r="G1077" s="28">
        <f>IFERROR(E1077-Dashboard!$B$4/252,"")</f>
        <v/>
      </c>
      <c r="H1077" s="8">
        <f>IFERROR(IF(ISNUMBER(B1077),MAX(B1077,IFERROR(H1076,B1077)),""),"")</f>
        <v/>
      </c>
      <c r="I1077" s="29">
        <f>IFERROR(IF(AND(ISNUMBER(B1077),ISNUMBER(H1077)),B1077/H1077-1,""),"")</f>
        <v/>
      </c>
      <c r="J1077" s="8">
        <f>IFERROR(IF(ISNUMBER(C1077),MAX(C1077,IFERROR(J1076,C1077)),""),"")</f>
        <v/>
      </c>
      <c r="K1077" s="29">
        <f>IFERROR(IF(AND(ISNUMBER(C1077),ISNUMBER(J1077)),C1077/J1077-1,""),"")</f>
        <v/>
      </c>
      <c r="L1077" s="28">
        <f>IFERROR(IF(AND(ISNUMBER(D1077),ISNUMBER(E1077)),D1077-E1077,""),"")</f>
        <v/>
      </c>
    </row>
    <row r="1078">
      <c r="A1078" s="7">
        <f>IFERROR(Datos!A1078,"")</f>
        <v/>
      </c>
      <c r="B1078" s="8">
        <f>IFERROR(Datos!B1078,"")</f>
        <v/>
      </c>
      <c r="C1078" s="8">
        <f>IFERROR(Datos!C1078,"")</f>
        <v/>
      </c>
      <c r="D1078" s="28">
        <f>IFERROR(IF(AND(ISNUMBER(B1078),ISNUMBER(B1077),B1077&lt;&gt;0),B1078/B1077-1,""),"")</f>
        <v/>
      </c>
      <c r="E1078" s="28">
        <f>IFERROR(IF(AND(ISNUMBER(C1078),ISNUMBER(C1077),C1077&lt;&gt;0),C1078/C1077-1,""),"")</f>
        <v/>
      </c>
      <c r="F1078" s="28">
        <f>IFERROR(D1078-Dashboard!$B$4/252,"")</f>
        <v/>
      </c>
      <c r="G1078" s="28">
        <f>IFERROR(E1078-Dashboard!$B$4/252,"")</f>
        <v/>
      </c>
      <c r="H1078" s="8">
        <f>IFERROR(IF(ISNUMBER(B1078),MAX(B1078,IFERROR(H1077,B1078)),""),"")</f>
        <v/>
      </c>
      <c r="I1078" s="29">
        <f>IFERROR(IF(AND(ISNUMBER(B1078),ISNUMBER(H1078)),B1078/H1078-1,""),"")</f>
        <v/>
      </c>
      <c r="J1078" s="8">
        <f>IFERROR(IF(ISNUMBER(C1078),MAX(C1078,IFERROR(J1077,C1078)),""),"")</f>
        <v/>
      </c>
      <c r="K1078" s="29">
        <f>IFERROR(IF(AND(ISNUMBER(C1078),ISNUMBER(J1078)),C1078/J1078-1,""),"")</f>
        <v/>
      </c>
      <c r="L1078" s="28">
        <f>IFERROR(IF(AND(ISNUMBER(D1078),ISNUMBER(E1078)),D1078-E1078,""),"")</f>
        <v/>
      </c>
    </row>
    <row r="1079">
      <c r="A1079" s="7">
        <f>IFERROR(Datos!A1079,"")</f>
        <v/>
      </c>
      <c r="B1079" s="8">
        <f>IFERROR(Datos!B1079,"")</f>
        <v/>
      </c>
      <c r="C1079" s="8">
        <f>IFERROR(Datos!C1079,"")</f>
        <v/>
      </c>
      <c r="D1079" s="28">
        <f>IFERROR(IF(AND(ISNUMBER(B1079),ISNUMBER(B1078),B1078&lt;&gt;0),B1079/B1078-1,""),"")</f>
        <v/>
      </c>
      <c r="E1079" s="28">
        <f>IFERROR(IF(AND(ISNUMBER(C1079),ISNUMBER(C1078),C1078&lt;&gt;0),C1079/C1078-1,""),"")</f>
        <v/>
      </c>
      <c r="F1079" s="28">
        <f>IFERROR(D1079-Dashboard!$B$4/252,"")</f>
        <v/>
      </c>
      <c r="G1079" s="28">
        <f>IFERROR(E1079-Dashboard!$B$4/252,"")</f>
        <v/>
      </c>
      <c r="H1079" s="8">
        <f>IFERROR(IF(ISNUMBER(B1079),MAX(B1079,IFERROR(H1078,B1079)),""),"")</f>
        <v/>
      </c>
      <c r="I1079" s="29">
        <f>IFERROR(IF(AND(ISNUMBER(B1079),ISNUMBER(H1079)),B1079/H1079-1,""),"")</f>
        <v/>
      </c>
      <c r="J1079" s="8">
        <f>IFERROR(IF(ISNUMBER(C1079),MAX(C1079,IFERROR(J1078,C1079)),""),"")</f>
        <v/>
      </c>
      <c r="K1079" s="29">
        <f>IFERROR(IF(AND(ISNUMBER(C1079),ISNUMBER(J1079)),C1079/J1079-1,""),"")</f>
        <v/>
      </c>
      <c r="L1079" s="28">
        <f>IFERROR(IF(AND(ISNUMBER(D1079),ISNUMBER(E1079)),D1079-E1079,""),"")</f>
        <v/>
      </c>
    </row>
    <row r="1080">
      <c r="A1080" s="7">
        <f>IFERROR(Datos!A1080,"")</f>
        <v/>
      </c>
      <c r="B1080" s="8">
        <f>IFERROR(Datos!B1080,"")</f>
        <v/>
      </c>
      <c r="C1080" s="8">
        <f>IFERROR(Datos!C1080,"")</f>
        <v/>
      </c>
      <c r="D1080" s="28">
        <f>IFERROR(IF(AND(ISNUMBER(B1080),ISNUMBER(B1079),B1079&lt;&gt;0),B1080/B1079-1,""),"")</f>
        <v/>
      </c>
      <c r="E1080" s="28">
        <f>IFERROR(IF(AND(ISNUMBER(C1080),ISNUMBER(C1079),C1079&lt;&gt;0),C1080/C1079-1,""),"")</f>
        <v/>
      </c>
      <c r="F1080" s="28">
        <f>IFERROR(D1080-Dashboard!$B$4/252,"")</f>
        <v/>
      </c>
      <c r="G1080" s="28">
        <f>IFERROR(E1080-Dashboard!$B$4/252,"")</f>
        <v/>
      </c>
      <c r="H1080" s="8">
        <f>IFERROR(IF(ISNUMBER(B1080),MAX(B1080,IFERROR(H1079,B1080)),""),"")</f>
        <v/>
      </c>
      <c r="I1080" s="29">
        <f>IFERROR(IF(AND(ISNUMBER(B1080),ISNUMBER(H1080)),B1080/H1080-1,""),"")</f>
        <v/>
      </c>
      <c r="J1080" s="8">
        <f>IFERROR(IF(ISNUMBER(C1080),MAX(C1080,IFERROR(J1079,C1080)),""),"")</f>
        <v/>
      </c>
      <c r="K1080" s="29">
        <f>IFERROR(IF(AND(ISNUMBER(C1080),ISNUMBER(J1080)),C1080/J1080-1,""),"")</f>
        <v/>
      </c>
      <c r="L1080" s="28">
        <f>IFERROR(IF(AND(ISNUMBER(D1080),ISNUMBER(E1080)),D1080-E1080,""),"")</f>
        <v/>
      </c>
    </row>
    <row r="1081">
      <c r="A1081" s="7">
        <f>IFERROR(Datos!A1081,"")</f>
        <v/>
      </c>
      <c r="B1081" s="8">
        <f>IFERROR(Datos!B1081,"")</f>
        <v/>
      </c>
      <c r="C1081" s="8">
        <f>IFERROR(Datos!C1081,"")</f>
        <v/>
      </c>
      <c r="D1081" s="28">
        <f>IFERROR(IF(AND(ISNUMBER(B1081),ISNUMBER(B1080),B1080&lt;&gt;0),B1081/B1080-1,""),"")</f>
        <v/>
      </c>
      <c r="E1081" s="28">
        <f>IFERROR(IF(AND(ISNUMBER(C1081),ISNUMBER(C1080),C1080&lt;&gt;0),C1081/C1080-1,""),"")</f>
        <v/>
      </c>
      <c r="F1081" s="28">
        <f>IFERROR(D1081-Dashboard!$B$4/252,"")</f>
        <v/>
      </c>
      <c r="G1081" s="28">
        <f>IFERROR(E1081-Dashboard!$B$4/252,"")</f>
        <v/>
      </c>
      <c r="H1081" s="8">
        <f>IFERROR(IF(ISNUMBER(B1081),MAX(B1081,IFERROR(H1080,B1081)),""),"")</f>
        <v/>
      </c>
      <c r="I1081" s="29">
        <f>IFERROR(IF(AND(ISNUMBER(B1081),ISNUMBER(H1081)),B1081/H1081-1,""),"")</f>
        <v/>
      </c>
      <c r="J1081" s="8">
        <f>IFERROR(IF(ISNUMBER(C1081),MAX(C1081,IFERROR(J1080,C1081)),""),"")</f>
        <v/>
      </c>
      <c r="K1081" s="29">
        <f>IFERROR(IF(AND(ISNUMBER(C1081),ISNUMBER(J1081)),C1081/J1081-1,""),"")</f>
        <v/>
      </c>
      <c r="L1081" s="28">
        <f>IFERROR(IF(AND(ISNUMBER(D1081),ISNUMBER(E1081)),D1081-E1081,""),"")</f>
        <v/>
      </c>
    </row>
    <row r="1082">
      <c r="A1082" s="7">
        <f>IFERROR(Datos!A1082,"")</f>
        <v/>
      </c>
      <c r="B1082" s="8">
        <f>IFERROR(Datos!B1082,"")</f>
        <v/>
      </c>
      <c r="C1082" s="8">
        <f>IFERROR(Datos!C1082,"")</f>
        <v/>
      </c>
      <c r="D1082" s="28">
        <f>IFERROR(IF(AND(ISNUMBER(B1082),ISNUMBER(B1081),B1081&lt;&gt;0),B1082/B1081-1,""),"")</f>
        <v/>
      </c>
      <c r="E1082" s="28">
        <f>IFERROR(IF(AND(ISNUMBER(C1082),ISNUMBER(C1081),C1081&lt;&gt;0),C1082/C1081-1,""),"")</f>
        <v/>
      </c>
      <c r="F1082" s="28">
        <f>IFERROR(D1082-Dashboard!$B$4/252,"")</f>
        <v/>
      </c>
      <c r="G1082" s="28">
        <f>IFERROR(E1082-Dashboard!$B$4/252,"")</f>
        <v/>
      </c>
      <c r="H1082" s="8">
        <f>IFERROR(IF(ISNUMBER(B1082),MAX(B1082,IFERROR(H1081,B1082)),""),"")</f>
        <v/>
      </c>
      <c r="I1082" s="29">
        <f>IFERROR(IF(AND(ISNUMBER(B1082),ISNUMBER(H1082)),B1082/H1082-1,""),"")</f>
        <v/>
      </c>
      <c r="J1082" s="8">
        <f>IFERROR(IF(ISNUMBER(C1082),MAX(C1082,IFERROR(J1081,C1082)),""),"")</f>
        <v/>
      </c>
      <c r="K1082" s="29">
        <f>IFERROR(IF(AND(ISNUMBER(C1082),ISNUMBER(J1082)),C1082/J1082-1,""),"")</f>
        <v/>
      </c>
      <c r="L1082" s="28">
        <f>IFERROR(IF(AND(ISNUMBER(D1082),ISNUMBER(E1082)),D1082-E1082,""),"")</f>
        <v/>
      </c>
    </row>
    <row r="1083">
      <c r="A1083" s="7">
        <f>IFERROR(Datos!A1083,"")</f>
        <v/>
      </c>
      <c r="B1083" s="8">
        <f>IFERROR(Datos!B1083,"")</f>
        <v/>
      </c>
      <c r="C1083" s="8">
        <f>IFERROR(Datos!C1083,"")</f>
        <v/>
      </c>
      <c r="D1083" s="28">
        <f>IFERROR(IF(AND(ISNUMBER(B1083),ISNUMBER(B1082),B1082&lt;&gt;0),B1083/B1082-1,""),"")</f>
        <v/>
      </c>
      <c r="E1083" s="28">
        <f>IFERROR(IF(AND(ISNUMBER(C1083),ISNUMBER(C1082),C1082&lt;&gt;0),C1083/C1082-1,""),"")</f>
        <v/>
      </c>
      <c r="F1083" s="28">
        <f>IFERROR(D1083-Dashboard!$B$4/252,"")</f>
        <v/>
      </c>
      <c r="G1083" s="28">
        <f>IFERROR(E1083-Dashboard!$B$4/252,"")</f>
        <v/>
      </c>
      <c r="H1083" s="8">
        <f>IFERROR(IF(ISNUMBER(B1083),MAX(B1083,IFERROR(H1082,B1083)),""),"")</f>
        <v/>
      </c>
      <c r="I1083" s="29">
        <f>IFERROR(IF(AND(ISNUMBER(B1083),ISNUMBER(H1083)),B1083/H1083-1,""),"")</f>
        <v/>
      </c>
      <c r="J1083" s="8">
        <f>IFERROR(IF(ISNUMBER(C1083),MAX(C1083,IFERROR(J1082,C1083)),""),"")</f>
        <v/>
      </c>
      <c r="K1083" s="29">
        <f>IFERROR(IF(AND(ISNUMBER(C1083),ISNUMBER(J1083)),C1083/J1083-1,""),"")</f>
        <v/>
      </c>
      <c r="L1083" s="28">
        <f>IFERROR(IF(AND(ISNUMBER(D1083),ISNUMBER(E1083)),D1083-E1083,""),"")</f>
        <v/>
      </c>
    </row>
    <row r="1084">
      <c r="A1084" s="7">
        <f>IFERROR(Datos!A1084,"")</f>
        <v/>
      </c>
      <c r="B1084" s="8">
        <f>IFERROR(Datos!B1084,"")</f>
        <v/>
      </c>
      <c r="C1084" s="8">
        <f>IFERROR(Datos!C1084,"")</f>
        <v/>
      </c>
      <c r="D1084" s="28">
        <f>IFERROR(IF(AND(ISNUMBER(B1084),ISNUMBER(B1083),B1083&lt;&gt;0),B1084/B1083-1,""),"")</f>
        <v/>
      </c>
      <c r="E1084" s="28">
        <f>IFERROR(IF(AND(ISNUMBER(C1084),ISNUMBER(C1083),C1083&lt;&gt;0),C1084/C1083-1,""),"")</f>
        <v/>
      </c>
      <c r="F1084" s="28">
        <f>IFERROR(D1084-Dashboard!$B$4/252,"")</f>
        <v/>
      </c>
      <c r="G1084" s="28">
        <f>IFERROR(E1084-Dashboard!$B$4/252,"")</f>
        <v/>
      </c>
      <c r="H1084" s="8">
        <f>IFERROR(IF(ISNUMBER(B1084),MAX(B1084,IFERROR(H1083,B1084)),""),"")</f>
        <v/>
      </c>
      <c r="I1084" s="29">
        <f>IFERROR(IF(AND(ISNUMBER(B1084),ISNUMBER(H1084)),B1084/H1084-1,""),"")</f>
        <v/>
      </c>
      <c r="J1084" s="8">
        <f>IFERROR(IF(ISNUMBER(C1084),MAX(C1084,IFERROR(J1083,C1084)),""),"")</f>
        <v/>
      </c>
      <c r="K1084" s="29">
        <f>IFERROR(IF(AND(ISNUMBER(C1084),ISNUMBER(J1084)),C1084/J1084-1,""),"")</f>
        <v/>
      </c>
      <c r="L1084" s="28">
        <f>IFERROR(IF(AND(ISNUMBER(D1084),ISNUMBER(E1084)),D1084-E1084,""),"")</f>
        <v/>
      </c>
    </row>
    <row r="1085">
      <c r="A1085" s="7">
        <f>IFERROR(Datos!A1085,"")</f>
        <v/>
      </c>
      <c r="B1085" s="8">
        <f>IFERROR(Datos!B1085,"")</f>
        <v/>
      </c>
      <c r="C1085" s="8">
        <f>IFERROR(Datos!C1085,"")</f>
        <v/>
      </c>
      <c r="D1085" s="28">
        <f>IFERROR(IF(AND(ISNUMBER(B1085),ISNUMBER(B1084),B1084&lt;&gt;0),B1085/B1084-1,""),"")</f>
        <v/>
      </c>
      <c r="E1085" s="28">
        <f>IFERROR(IF(AND(ISNUMBER(C1085),ISNUMBER(C1084),C1084&lt;&gt;0),C1085/C1084-1,""),"")</f>
        <v/>
      </c>
      <c r="F1085" s="28">
        <f>IFERROR(D1085-Dashboard!$B$4/252,"")</f>
        <v/>
      </c>
      <c r="G1085" s="28">
        <f>IFERROR(E1085-Dashboard!$B$4/252,"")</f>
        <v/>
      </c>
      <c r="H1085" s="8">
        <f>IFERROR(IF(ISNUMBER(B1085),MAX(B1085,IFERROR(H1084,B1085)),""),"")</f>
        <v/>
      </c>
      <c r="I1085" s="29">
        <f>IFERROR(IF(AND(ISNUMBER(B1085),ISNUMBER(H1085)),B1085/H1085-1,""),"")</f>
        <v/>
      </c>
      <c r="J1085" s="8">
        <f>IFERROR(IF(ISNUMBER(C1085),MAX(C1085,IFERROR(J1084,C1085)),""),"")</f>
        <v/>
      </c>
      <c r="K1085" s="29">
        <f>IFERROR(IF(AND(ISNUMBER(C1085),ISNUMBER(J1085)),C1085/J1085-1,""),"")</f>
        <v/>
      </c>
      <c r="L1085" s="28">
        <f>IFERROR(IF(AND(ISNUMBER(D1085),ISNUMBER(E1085)),D1085-E1085,""),"")</f>
        <v/>
      </c>
    </row>
    <row r="1086">
      <c r="A1086" s="7">
        <f>IFERROR(Datos!A1086,"")</f>
        <v/>
      </c>
      <c r="B1086" s="8">
        <f>IFERROR(Datos!B1086,"")</f>
        <v/>
      </c>
      <c r="C1086" s="8">
        <f>IFERROR(Datos!C1086,"")</f>
        <v/>
      </c>
      <c r="D1086" s="28">
        <f>IFERROR(IF(AND(ISNUMBER(B1086),ISNUMBER(B1085),B1085&lt;&gt;0),B1086/B1085-1,""),"")</f>
        <v/>
      </c>
      <c r="E1086" s="28">
        <f>IFERROR(IF(AND(ISNUMBER(C1086),ISNUMBER(C1085),C1085&lt;&gt;0),C1086/C1085-1,""),"")</f>
        <v/>
      </c>
      <c r="F1086" s="28">
        <f>IFERROR(D1086-Dashboard!$B$4/252,"")</f>
        <v/>
      </c>
      <c r="G1086" s="28">
        <f>IFERROR(E1086-Dashboard!$B$4/252,"")</f>
        <v/>
      </c>
      <c r="H1086" s="8">
        <f>IFERROR(IF(ISNUMBER(B1086),MAX(B1086,IFERROR(H1085,B1086)),""),"")</f>
        <v/>
      </c>
      <c r="I1086" s="29">
        <f>IFERROR(IF(AND(ISNUMBER(B1086),ISNUMBER(H1086)),B1086/H1086-1,""),"")</f>
        <v/>
      </c>
      <c r="J1086" s="8">
        <f>IFERROR(IF(ISNUMBER(C1086),MAX(C1086,IFERROR(J1085,C1086)),""),"")</f>
        <v/>
      </c>
      <c r="K1086" s="29">
        <f>IFERROR(IF(AND(ISNUMBER(C1086),ISNUMBER(J1086)),C1086/J1086-1,""),"")</f>
        <v/>
      </c>
      <c r="L1086" s="28">
        <f>IFERROR(IF(AND(ISNUMBER(D1086),ISNUMBER(E1086)),D1086-E1086,""),"")</f>
        <v/>
      </c>
    </row>
    <row r="1087">
      <c r="A1087" s="7">
        <f>IFERROR(Datos!A1087,"")</f>
        <v/>
      </c>
      <c r="B1087" s="8">
        <f>IFERROR(Datos!B1087,"")</f>
        <v/>
      </c>
      <c r="C1087" s="8">
        <f>IFERROR(Datos!C1087,"")</f>
        <v/>
      </c>
      <c r="D1087" s="28">
        <f>IFERROR(IF(AND(ISNUMBER(B1087),ISNUMBER(B1086),B1086&lt;&gt;0),B1087/B1086-1,""),"")</f>
        <v/>
      </c>
      <c r="E1087" s="28">
        <f>IFERROR(IF(AND(ISNUMBER(C1087),ISNUMBER(C1086),C1086&lt;&gt;0),C1087/C1086-1,""),"")</f>
        <v/>
      </c>
      <c r="F1087" s="28">
        <f>IFERROR(D1087-Dashboard!$B$4/252,"")</f>
        <v/>
      </c>
      <c r="G1087" s="28">
        <f>IFERROR(E1087-Dashboard!$B$4/252,"")</f>
        <v/>
      </c>
      <c r="H1087" s="8">
        <f>IFERROR(IF(ISNUMBER(B1087),MAX(B1087,IFERROR(H1086,B1087)),""),"")</f>
        <v/>
      </c>
      <c r="I1087" s="29">
        <f>IFERROR(IF(AND(ISNUMBER(B1087),ISNUMBER(H1087)),B1087/H1087-1,""),"")</f>
        <v/>
      </c>
      <c r="J1087" s="8">
        <f>IFERROR(IF(ISNUMBER(C1087),MAX(C1087,IFERROR(J1086,C1087)),""),"")</f>
        <v/>
      </c>
      <c r="K1087" s="29">
        <f>IFERROR(IF(AND(ISNUMBER(C1087),ISNUMBER(J1087)),C1087/J1087-1,""),"")</f>
        <v/>
      </c>
      <c r="L1087" s="28">
        <f>IFERROR(IF(AND(ISNUMBER(D1087),ISNUMBER(E1087)),D1087-E1087,""),"")</f>
        <v/>
      </c>
    </row>
    <row r="1088">
      <c r="A1088" s="7">
        <f>IFERROR(Datos!A1088,"")</f>
        <v/>
      </c>
      <c r="B1088" s="8">
        <f>IFERROR(Datos!B1088,"")</f>
        <v/>
      </c>
      <c r="C1088" s="8">
        <f>IFERROR(Datos!C1088,"")</f>
        <v/>
      </c>
      <c r="D1088" s="28">
        <f>IFERROR(IF(AND(ISNUMBER(B1088),ISNUMBER(B1087),B1087&lt;&gt;0),B1088/B1087-1,""),"")</f>
        <v/>
      </c>
      <c r="E1088" s="28">
        <f>IFERROR(IF(AND(ISNUMBER(C1088),ISNUMBER(C1087),C1087&lt;&gt;0),C1088/C1087-1,""),"")</f>
        <v/>
      </c>
      <c r="F1088" s="28">
        <f>IFERROR(D1088-Dashboard!$B$4/252,"")</f>
        <v/>
      </c>
      <c r="G1088" s="28">
        <f>IFERROR(E1088-Dashboard!$B$4/252,"")</f>
        <v/>
      </c>
      <c r="H1088" s="8">
        <f>IFERROR(IF(ISNUMBER(B1088),MAX(B1088,IFERROR(H1087,B1088)),""),"")</f>
        <v/>
      </c>
      <c r="I1088" s="29">
        <f>IFERROR(IF(AND(ISNUMBER(B1088),ISNUMBER(H1088)),B1088/H1088-1,""),"")</f>
        <v/>
      </c>
      <c r="J1088" s="8">
        <f>IFERROR(IF(ISNUMBER(C1088),MAX(C1088,IFERROR(J1087,C1088)),""),"")</f>
        <v/>
      </c>
      <c r="K1088" s="29">
        <f>IFERROR(IF(AND(ISNUMBER(C1088),ISNUMBER(J1088)),C1088/J1088-1,""),"")</f>
        <v/>
      </c>
      <c r="L1088" s="28">
        <f>IFERROR(IF(AND(ISNUMBER(D1088),ISNUMBER(E1088)),D1088-E1088,""),"")</f>
        <v/>
      </c>
    </row>
    <row r="1089">
      <c r="A1089" s="7">
        <f>IFERROR(Datos!A1089,"")</f>
        <v/>
      </c>
      <c r="B1089" s="8">
        <f>IFERROR(Datos!B1089,"")</f>
        <v/>
      </c>
      <c r="C1089" s="8">
        <f>IFERROR(Datos!C1089,"")</f>
        <v/>
      </c>
      <c r="D1089" s="28">
        <f>IFERROR(IF(AND(ISNUMBER(B1089),ISNUMBER(B1088),B1088&lt;&gt;0),B1089/B1088-1,""),"")</f>
        <v/>
      </c>
      <c r="E1089" s="28">
        <f>IFERROR(IF(AND(ISNUMBER(C1089),ISNUMBER(C1088),C1088&lt;&gt;0),C1089/C1088-1,""),"")</f>
        <v/>
      </c>
      <c r="F1089" s="28">
        <f>IFERROR(D1089-Dashboard!$B$4/252,"")</f>
        <v/>
      </c>
      <c r="G1089" s="28">
        <f>IFERROR(E1089-Dashboard!$B$4/252,"")</f>
        <v/>
      </c>
      <c r="H1089" s="8">
        <f>IFERROR(IF(ISNUMBER(B1089),MAX(B1089,IFERROR(H1088,B1089)),""),"")</f>
        <v/>
      </c>
      <c r="I1089" s="29">
        <f>IFERROR(IF(AND(ISNUMBER(B1089),ISNUMBER(H1089)),B1089/H1089-1,""),"")</f>
        <v/>
      </c>
      <c r="J1089" s="8">
        <f>IFERROR(IF(ISNUMBER(C1089),MAX(C1089,IFERROR(J1088,C1089)),""),"")</f>
        <v/>
      </c>
      <c r="K1089" s="29">
        <f>IFERROR(IF(AND(ISNUMBER(C1089),ISNUMBER(J1089)),C1089/J1089-1,""),"")</f>
        <v/>
      </c>
      <c r="L1089" s="28">
        <f>IFERROR(IF(AND(ISNUMBER(D1089),ISNUMBER(E1089)),D1089-E1089,""),"")</f>
        <v/>
      </c>
    </row>
    <row r="1090">
      <c r="A1090" s="7">
        <f>IFERROR(Datos!A1090,"")</f>
        <v/>
      </c>
      <c r="B1090" s="8">
        <f>IFERROR(Datos!B1090,"")</f>
        <v/>
      </c>
      <c r="C1090" s="8">
        <f>IFERROR(Datos!C1090,"")</f>
        <v/>
      </c>
      <c r="D1090" s="28">
        <f>IFERROR(IF(AND(ISNUMBER(B1090),ISNUMBER(B1089),B1089&lt;&gt;0),B1090/B1089-1,""),"")</f>
        <v/>
      </c>
      <c r="E1090" s="28">
        <f>IFERROR(IF(AND(ISNUMBER(C1090),ISNUMBER(C1089),C1089&lt;&gt;0),C1090/C1089-1,""),"")</f>
        <v/>
      </c>
      <c r="F1090" s="28">
        <f>IFERROR(D1090-Dashboard!$B$4/252,"")</f>
        <v/>
      </c>
      <c r="G1090" s="28">
        <f>IFERROR(E1090-Dashboard!$B$4/252,"")</f>
        <v/>
      </c>
      <c r="H1090" s="8">
        <f>IFERROR(IF(ISNUMBER(B1090),MAX(B1090,IFERROR(H1089,B1090)),""),"")</f>
        <v/>
      </c>
      <c r="I1090" s="29">
        <f>IFERROR(IF(AND(ISNUMBER(B1090),ISNUMBER(H1090)),B1090/H1090-1,""),"")</f>
        <v/>
      </c>
      <c r="J1090" s="8">
        <f>IFERROR(IF(ISNUMBER(C1090),MAX(C1090,IFERROR(J1089,C1090)),""),"")</f>
        <v/>
      </c>
      <c r="K1090" s="29">
        <f>IFERROR(IF(AND(ISNUMBER(C1090),ISNUMBER(J1090)),C1090/J1090-1,""),"")</f>
        <v/>
      </c>
      <c r="L1090" s="28">
        <f>IFERROR(IF(AND(ISNUMBER(D1090),ISNUMBER(E1090)),D1090-E1090,""),"")</f>
        <v/>
      </c>
    </row>
    <row r="1091">
      <c r="A1091" s="7">
        <f>IFERROR(Datos!A1091,"")</f>
        <v/>
      </c>
      <c r="B1091" s="8">
        <f>IFERROR(Datos!B1091,"")</f>
        <v/>
      </c>
      <c r="C1091" s="8">
        <f>IFERROR(Datos!C1091,"")</f>
        <v/>
      </c>
      <c r="D1091" s="28">
        <f>IFERROR(IF(AND(ISNUMBER(B1091),ISNUMBER(B1090),B1090&lt;&gt;0),B1091/B1090-1,""),"")</f>
        <v/>
      </c>
      <c r="E1091" s="28">
        <f>IFERROR(IF(AND(ISNUMBER(C1091),ISNUMBER(C1090),C1090&lt;&gt;0),C1091/C1090-1,""),"")</f>
        <v/>
      </c>
      <c r="F1091" s="28">
        <f>IFERROR(D1091-Dashboard!$B$4/252,"")</f>
        <v/>
      </c>
      <c r="G1091" s="28">
        <f>IFERROR(E1091-Dashboard!$B$4/252,"")</f>
        <v/>
      </c>
      <c r="H1091" s="8">
        <f>IFERROR(IF(ISNUMBER(B1091),MAX(B1091,IFERROR(H1090,B1091)),""),"")</f>
        <v/>
      </c>
      <c r="I1091" s="29">
        <f>IFERROR(IF(AND(ISNUMBER(B1091),ISNUMBER(H1091)),B1091/H1091-1,""),"")</f>
        <v/>
      </c>
      <c r="J1091" s="8">
        <f>IFERROR(IF(ISNUMBER(C1091),MAX(C1091,IFERROR(J1090,C1091)),""),"")</f>
        <v/>
      </c>
      <c r="K1091" s="29">
        <f>IFERROR(IF(AND(ISNUMBER(C1091),ISNUMBER(J1091)),C1091/J1091-1,""),"")</f>
        <v/>
      </c>
      <c r="L1091" s="28">
        <f>IFERROR(IF(AND(ISNUMBER(D1091),ISNUMBER(E1091)),D1091-E1091,""),"")</f>
        <v/>
      </c>
    </row>
    <row r="1092">
      <c r="A1092" s="7">
        <f>IFERROR(Datos!A1092,"")</f>
        <v/>
      </c>
      <c r="B1092" s="8">
        <f>IFERROR(Datos!B1092,"")</f>
        <v/>
      </c>
      <c r="C1092" s="8">
        <f>IFERROR(Datos!C1092,"")</f>
        <v/>
      </c>
      <c r="D1092" s="28">
        <f>IFERROR(IF(AND(ISNUMBER(B1092),ISNUMBER(B1091),B1091&lt;&gt;0),B1092/B1091-1,""),"")</f>
        <v/>
      </c>
      <c r="E1092" s="28">
        <f>IFERROR(IF(AND(ISNUMBER(C1092),ISNUMBER(C1091),C1091&lt;&gt;0),C1092/C1091-1,""),"")</f>
        <v/>
      </c>
      <c r="F1092" s="28">
        <f>IFERROR(D1092-Dashboard!$B$4/252,"")</f>
        <v/>
      </c>
      <c r="G1092" s="28">
        <f>IFERROR(E1092-Dashboard!$B$4/252,"")</f>
        <v/>
      </c>
      <c r="H1092" s="8">
        <f>IFERROR(IF(ISNUMBER(B1092),MAX(B1092,IFERROR(H1091,B1092)),""),"")</f>
        <v/>
      </c>
      <c r="I1092" s="29">
        <f>IFERROR(IF(AND(ISNUMBER(B1092),ISNUMBER(H1092)),B1092/H1092-1,""),"")</f>
        <v/>
      </c>
      <c r="J1092" s="8">
        <f>IFERROR(IF(ISNUMBER(C1092),MAX(C1092,IFERROR(J1091,C1092)),""),"")</f>
        <v/>
      </c>
      <c r="K1092" s="29">
        <f>IFERROR(IF(AND(ISNUMBER(C1092),ISNUMBER(J1092)),C1092/J1092-1,""),"")</f>
        <v/>
      </c>
      <c r="L1092" s="28">
        <f>IFERROR(IF(AND(ISNUMBER(D1092),ISNUMBER(E1092)),D1092-E1092,""),"")</f>
        <v/>
      </c>
    </row>
    <row r="1093">
      <c r="A1093" s="7">
        <f>IFERROR(Datos!A1093,"")</f>
        <v/>
      </c>
      <c r="B1093" s="8">
        <f>IFERROR(Datos!B1093,"")</f>
        <v/>
      </c>
      <c r="C1093" s="8">
        <f>IFERROR(Datos!C1093,"")</f>
        <v/>
      </c>
      <c r="D1093" s="28">
        <f>IFERROR(IF(AND(ISNUMBER(B1093),ISNUMBER(B1092),B1092&lt;&gt;0),B1093/B1092-1,""),"")</f>
        <v/>
      </c>
      <c r="E1093" s="28">
        <f>IFERROR(IF(AND(ISNUMBER(C1093),ISNUMBER(C1092),C1092&lt;&gt;0),C1093/C1092-1,""),"")</f>
        <v/>
      </c>
      <c r="F1093" s="28">
        <f>IFERROR(D1093-Dashboard!$B$4/252,"")</f>
        <v/>
      </c>
      <c r="G1093" s="28">
        <f>IFERROR(E1093-Dashboard!$B$4/252,"")</f>
        <v/>
      </c>
      <c r="H1093" s="8">
        <f>IFERROR(IF(ISNUMBER(B1093),MAX(B1093,IFERROR(H1092,B1093)),""),"")</f>
        <v/>
      </c>
      <c r="I1093" s="29">
        <f>IFERROR(IF(AND(ISNUMBER(B1093),ISNUMBER(H1093)),B1093/H1093-1,""),"")</f>
        <v/>
      </c>
      <c r="J1093" s="8">
        <f>IFERROR(IF(ISNUMBER(C1093),MAX(C1093,IFERROR(J1092,C1093)),""),"")</f>
        <v/>
      </c>
      <c r="K1093" s="29">
        <f>IFERROR(IF(AND(ISNUMBER(C1093),ISNUMBER(J1093)),C1093/J1093-1,""),"")</f>
        <v/>
      </c>
      <c r="L1093" s="28">
        <f>IFERROR(IF(AND(ISNUMBER(D1093),ISNUMBER(E1093)),D1093-E1093,""),"")</f>
        <v/>
      </c>
    </row>
    <row r="1094">
      <c r="A1094" s="7">
        <f>IFERROR(Datos!A1094,"")</f>
        <v/>
      </c>
      <c r="B1094" s="8">
        <f>IFERROR(Datos!B1094,"")</f>
        <v/>
      </c>
      <c r="C1094" s="8">
        <f>IFERROR(Datos!C1094,"")</f>
        <v/>
      </c>
      <c r="D1094" s="28">
        <f>IFERROR(IF(AND(ISNUMBER(B1094),ISNUMBER(B1093),B1093&lt;&gt;0),B1094/B1093-1,""),"")</f>
        <v/>
      </c>
      <c r="E1094" s="28">
        <f>IFERROR(IF(AND(ISNUMBER(C1094),ISNUMBER(C1093),C1093&lt;&gt;0),C1094/C1093-1,""),"")</f>
        <v/>
      </c>
      <c r="F1094" s="28">
        <f>IFERROR(D1094-Dashboard!$B$4/252,"")</f>
        <v/>
      </c>
      <c r="G1094" s="28">
        <f>IFERROR(E1094-Dashboard!$B$4/252,"")</f>
        <v/>
      </c>
      <c r="H1094" s="8">
        <f>IFERROR(IF(ISNUMBER(B1094),MAX(B1094,IFERROR(H1093,B1094)),""),"")</f>
        <v/>
      </c>
      <c r="I1094" s="29">
        <f>IFERROR(IF(AND(ISNUMBER(B1094),ISNUMBER(H1094)),B1094/H1094-1,""),"")</f>
        <v/>
      </c>
      <c r="J1094" s="8">
        <f>IFERROR(IF(ISNUMBER(C1094),MAX(C1094,IFERROR(J1093,C1094)),""),"")</f>
        <v/>
      </c>
      <c r="K1094" s="29">
        <f>IFERROR(IF(AND(ISNUMBER(C1094),ISNUMBER(J1094)),C1094/J1094-1,""),"")</f>
        <v/>
      </c>
      <c r="L1094" s="28">
        <f>IFERROR(IF(AND(ISNUMBER(D1094),ISNUMBER(E1094)),D1094-E1094,""),"")</f>
        <v/>
      </c>
    </row>
    <row r="1095">
      <c r="A1095" s="7">
        <f>IFERROR(Datos!A1095,"")</f>
        <v/>
      </c>
      <c r="B1095" s="8">
        <f>IFERROR(Datos!B1095,"")</f>
        <v/>
      </c>
      <c r="C1095" s="8">
        <f>IFERROR(Datos!C1095,"")</f>
        <v/>
      </c>
      <c r="D1095" s="28">
        <f>IFERROR(IF(AND(ISNUMBER(B1095),ISNUMBER(B1094),B1094&lt;&gt;0),B1095/B1094-1,""),"")</f>
        <v/>
      </c>
      <c r="E1095" s="28">
        <f>IFERROR(IF(AND(ISNUMBER(C1095),ISNUMBER(C1094),C1094&lt;&gt;0),C1095/C1094-1,""),"")</f>
        <v/>
      </c>
      <c r="F1095" s="28">
        <f>IFERROR(D1095-Dashboard!$B$4/252,"")</f>
        <v/>
      </c>
      <c r="G1095" s="28">
        <f>IFERROR(E1095-Dashboard!$B$4/252,"")</f>
        <v/>
      </c>
      <c r="H1095" s="8">
        <f>IFERROR(IF(ISNUMBER(B1095),MAX(B1095,IFERROR(H1094,B1095)),""),"")</f>
        <v/>
      </c>
      <c r="I1095" s="29">
        <f>IFERROR(IF(AND(ISNUMBER(B1095),ISNUMBER(H1095)),B1095/H1095-1,""),"")</f>
        <v/>
      </c>
      <c r="J1095" s="8">
        <f>IFERROR(IF(ISNUMBER(C1095),MAX(C1095,IFERROR(J1094,C1095)),""),"")</f>
        <v/>
      </c>
      <c r="K1095" s="29">
        <f>IFERROR(IF(AND(ISNUMBER(C1095),ISNUMBER(J1095)),C1095/J1095-1,""),"")</f>
        <v/>
      </c>
      <c r="L1095" s="28">
        <f>IFERROR(IF(AND(ISNUMBER(D1095),ISNUMBER(E1095)),D1095-E1095,""),"")</f>
        <v/>
      </c>
    </row>
    <row r="1096">
      <c r="A1096" s="7">
        <f>IFERROR(Datos!A1096,"")</f>
        <v/>
      </c>
      <c r="B1096" s="8">
        <f>IFERROR(Datos!B1096,"")</f>
        <v/>
      </c>
      <c r="C1096" s="8">
        <f>IFERROR(Datos!C1096,"")</f>
        <v/>
      </c>
      <c r="D1096" s="28">
        <f>IFERROR(IF(AND(ISNUMBER(B1096),ISNUMBER(B1095),B1095&lt;&gt;0),B1096/B1095-1,""),"")</f>
        <v/>
      </c>
      <c r="E1096" s="28">
        <f>IFERROR(IF(AND(ISNUMBER(C1096),ISNUMBER(C1095),C1095&lt;&gt;0),C1096/C1095-1,""),"")</f>
        <v/>
      </c>
      <c r="F1096" s="28">
        <f>IFERROR(D1096-Dashboard!$B$4/252,"")</f>
        <v/>
      </c>
      <c r="G1096" s="28">
        <f>IFERROR(E1096-Dashboard!$B$4/252,"")</f>
        <v/>
      </c>
      <c r="H1096" s="8">
        <f>IFERROR(IF(ISNUMBER(B1096),MAX(B1096,IFERROR(H1095,B1096)),""),"")</f>
        <v/>
      </c>
      <c r="I1096" s="29">
        <f>IFERROR(IF(AND(ISNUMBER(B1096),ISNUMBER(H1096)),B1096/H1096-1,""),"")</f>
        <v/>
      </c>
      <c r="J1096" s="8">
        <f>IFERROR(IF(ISNUMBER(C1096),MAX(C1096,IFERROR(J1095,C1096)),""),"")</f>
        <v/>
      </c>
      <c r="K1096" s="29">
        <f>IFERROR(IF(AND(ISNUMBER(C1096),ISNUMBER(J1096)),C1096/J1096-1,""),"")</f>
        <v/>
      </c>
      <c r="L1096" s="28">
        <f>IFERROR(IF(AND(ISNUMBER(D1096),ISNUMBER(E1096)),D1096-E1096,""),"")</f>
        <v/>
      </c>
    </row>
    <row r="1097">
      <c r="A1097" s="7">
        <f>IFERROR(Datos!A1097,"")</f>
        <v/>
      </c>
      <c r="B1097" s="8">
        <f>IFERROR(Datos!B1097,"")</f>
        <v/>
      </c>
      <c r="C1097" s="8">
        <f>IFERROR(Datos!C1097,"")</f>
        <v/>
      </c>
      <c r="D1097" s="28">
        <f>IFERROR(IF(AND(ISNUMBER(B1097),ISNUMBER(B1096),B1096&lt;&gt;0),B1097/B1096-1,""),"")</f>
        <v/>
      </c>
      <c r="E1097" s="28">
        <f>IFERROR(IF(AND(ISNUMBER(C1097),ISNUMBER(C1096),C1096&lt;&gt;0),C1097/C1096-1,""),"")</f>
        <v/>
      </c>
      <c r="F1097" s="28">
        <f>IFERROR(D1097-Dashboard!$B$4/252,"")</f>
        <v/>
      </c>
      <c r="G1097" s="28">
        <f>IFERROR(E1097-Dashboard!$B$4/252,"")</f>
        <v/>
      </c>
      <c r="H1097" s="8">
        <f>IFERROR(IF(ISNUMBER(B1097),MAX(B1097,IFERROR(H1096,B1097)),""),"")</f>
        <v/>
      </c>
      <c r="I1097" s="29">
        <f>IFERROR(IF(AND(ISNUMBER(B1097),ISNUMBER(H1097)),B1097/H1097-1,""),"")</f>
        <v/>
      </c>
      <c r="J1097" s="8">
        <f>IFERROR(IF(ISNUMBER(C1097),MAX(C1097,IFERROR(J1096,C1097)),""),"")</f>
        <v/>
      </c>
      <c r="K1097" s="29">
        <f>IFERROR(IF(AND(ISNUMBER(C1097),ISNUMBER(J1097)),C1097/J1097-1,""),"")</f>
        <v/>
      </c>
      <c r="L1097" s="28">
        <f>IFERROR(IF(AND(ISNUMBER(D1097),ISNUMBER(E1097)),D1097-E1097,""),"")</f>
        <v/>
      </c>
    </row>
    <row r="1098">
      <c r="A1098" s="7">
        <f>IFERROR(Datos!A1098,"")</f>
        <v/>
      </c>
      <c r="B1098" s="8">
        <f>IFERROR(Datos!B1098,"")</f>
        <v/>
      </c>
      <c r="C1098" s="8">
        <f>IFERROR(Datos!C1098,"")</f>
        <v/>
      </c>
      <c r="D1098" s="28">
        <f>IFERROR(IF(AND(ISNUMBER(B1098),ISNUMBER(B1097),B1097&lt;&gt;0),B1098/B1097-1,""),"")</f>
        <v/>
      </c>
      <c r="E1098" s="28">
        <f>IFERROR(IF(AND(ISNUMBER(C1098),ISNUMBER(C1097),C1097&lt;&gt;0),C1098/C1097-1,""),"")</f>
        <v/>
      </c>
      <c r="F1098" s="28">
        <f>IFERROR(D1098-Dashboard!$B$4/252,"")</f>
        <v/>
      </c>
      <c r="G1098" s="28">
        <f>IFERROR(E1098-Dashboard!$B$4/252,"")</f>
        <v/>
      </c>
      <c r="H1098" s="8">
        <f>IFERROR(IF(ISNUMBER(B1098),MAX(B1098,IFERROR(H1097,B1098)),""),"")</f>
        <v/>
      </c>
      <c r="I1098" s="29">
        <f>IFERROR(IF(AND(ISNUMBER(B1098),ISNUMBER(H1098)),B1098/H1098-1,""),"")</f>
        <v/>
      </c>
      <c r="J1098" s="8">
        <f>IFERROR(IF(ISNUMBER(C1098),MAX(C1098,IFERROR(J1097,C1098)),""),"")</f>
        <v/>
      </c>
      <c r="K1098" s="29">
        <f>IFERROR(IF(AND(ISNUMBER(C1098),ISNUMBER(J1098)),C1098/J1098-1,""),"")</f>
        <v/>
      </c>
      <c r="L1098" s="28">
        <f>IFERROR(IF(AND(ISNUMBER(D1098),ISNUMBER(E1098)),D1098-E1098,""),"")</f>
        <v/>
      </c>
    </row>
    <row r="1099">
      <c r="A1099" s="7">
        <f>IFERROR(Datos!A1099,"")</f>
        <v/>
      </c>
      <c r="B1099" s="8">
        <f>IFERROR(Datos!B1099,"")</f>
        <v/>
      </c>
      <c r="C1099" s="8">
        <f>IFERROR(Datos!C1099,"")</f>
        <v/>
      </c>
      <c r="D1099" s="28">
        <f>IFERROR(IF(AND(ISNUMBER(B1099),ISNUMBER(B1098),B1098&lt;&gt;0),B1099/B1098-1,""),"")</f>
        <v/>
      </c>
      <c r="E1099" s="28">
        <f>IFERROR(IF(AND(ISNUMBER(C1099),ISNUMBER(C1098),C1098&lt;&gt;0),C1099/C1098-1,""),"")</f>
        <v/>
      </c>
      <c r="F1099" s="28">
        <f>IFERROR(D1099-Dashboard!$B$4/252,"")</f>
        <v/>
      </c>
      <c r="G1099" s="28">
        <f>IFERROR(E1099-Dashboard!$B$4/252,"")</f>
        <v/>
      </c>
      <c r="H1099" s="8">
        <f>IFERROR(IF(ISNUMBER(B1099),MAX(B1099,IFERROR(H1098,B1099)),""),"")</f>
        <v/>
      </c>
      <c r="I1099" s="29">
        <f>IFERROR(IF(AND(ISNUMBER(B1099),ISNUMBER(H1099)),B1099/H1099-1,""),"")</f>
        <v/>
      </c>
      <c r="J1099" s="8">
        <f>IFERROR(IF(ISNUMBER(C1099),MAX(C1099,IFERROR(J1098,C1099)),""),"")</f>
        <v/>
      </c>
      <c r="K1099" s="29">
        <f>IFERROR(IF(AND(ISNUMBER(C1099),ISNUMBER(J1099)),C1099/J1099-1,""),"")</f>
        <v/>
      </c>
      <c r="L1099" s="28">
        <f>IFERROR(IF(AND(ISNUMBER(D1099),ISNUMBER(E1099)),D1099-E1099,""),"")</f>
        <v/>
      </c>
    </row>
    <row r="1100">
      <c r="A1100" s="7">
        <f>IFERROR(Datos!A1100,"")</f>
        <v/>
      </c>
      <c r="B1100" s="8">
        <f>IFERROR(Datos!B1100,"")</f>
        <v/>
      </c>
      <c r="C1100" s="8">
        <f>IFERROR(Datos!C1100,"")</f>
        <v/>
      </c>
      <c r="D1100" s="28">
        <f>IFERROR(IF(AND(ISNUMBER(B1100),ISNUMBER(B1099),B1099&lt;&gt;0),B1100/B1099-1,""),"")</f>
        <v/>
      </c>
      <c r="E1100" s="28">
        <f>IFERROR(IF(AND(ISNUMBER(C1100),ISNUMBER(C1099),C1099&lt;&gt;0),C1100/C1099-1,""),"")</f>
        <v/>
      </c>
      <c r="F1100" s="28">
        <f>IFERROR(D1100-Dashboard!$B$4/252,"")</f>
        <v/>
      </c>
      <c r="G1100" s="28">
        <f>IFERROR(E1100-Dashboard!$B$4/252,"")</f>
        <v/>
      </c>
      <c r="H1100" s="8">
        <f>IFERROR(IF(ISNUMBER(B1100),MAX(B1100,IFERROR(H1099,B1100)),""),"")</f>
        <v/>
      </c>
      <c r="I1100" s="29">
        <f>IFERROR(IF(AND(ISNUMBER(B1100),ISNUMBER(H1100)),B1100/H1100-1,""),"")</f>
        <v/>
      </c>
      <c r="J1100" s="8">
        <f>IFERROR(IF(ISNUMBER(C1100),MAX(C1100,IFERROR(J1099,C1100)),""),"")</f>
        <v/>
      </c>
      <c r="K1100" s="29">
        <f>IFERROR(IF(AND(ISNUMBER(C1100),ISNUMBER(J1100)),C1100/J1100-1,""),"")</f>
        <v/>
      </c>
      <c r="L1100" s="28">
        <f>IFERROR(IF(AND(ISNUMBER(D1100),ISNUMBER(E1100)),D1100-E1100,""),"")</f>
        <v/>
      </c>
    </row>
    <row r="1101">
      <c r="A1101" s="7">
        <f>IFERROR(Datos!A1101,"")</f>
        <v/>
      </c>
      <c r="B1101" s="8">
        <f>IFERROR(Datos!B1101,"")</f>
        <v/>
      </c>
      <c r="C1101" s="8">
        <f>IFERROR(Datos!C1101,"")</f>
        <v/>
      </c>
      <c r="D1101" s="28">
        <f>IFERROR(IF(AND(ISNUMBER(B1101),ISNUMBER(B1100),B1100&lt;&gt;0),B1101/B1100-1,""),"")</f>
        <v/>
      </c>
      <c r="E1101" s="28">
        <f>IFERROR(IF(AND(ISNUMBER(C1101),ISNUMBER(C1100),C1100&lt;&gt;0),C1101/C1100-1,""),"")</f>
        <v/>
      </c>
      <c r="F1101" s="28">
        <f>IFERROR(D1101-Dashboard!$B$4/252,"")</f>
        <v/>
      </c>
      <c r="G1101" s="28">
        <f>IFERROR(E1101-Dashboard!$B$4/252,"")</f>
        <v/>
      </c>
      <c r="H1101" s="8">
        <f>IFERROR(IF(ISNUMBER(B1101),MAX(B1101,IFERROR(H1100,B1101)),""),"")</f>
        <v/>
      </c>
      <c r="I1101" s="29">
        <f>IFERROR(IF(AND(ISNUMBER(B1101),ISNUMBER(H1101)),B1101/H1101-1,""),"")</f>
        <v/>
      </c>
      <c r="J1101" s="8">
        <f>IFERROR(IF(ISNUMBER(C1101),MAX(C1101,IFERROR(J1100,C1101)),""),"")</f>
        <v/>
      </c>
      <c r="K1101" s="29">
        <f>IFERROR(IF(AND(ISNUMBER(C1101),ISNUMBER(J1101)),C1101/J1101-1,""),"")</f>
        <v/>
      </c>
      <c r="L1101" s="28">
        <f>IFERROR(IF(AND(ISNUMBER(D1101),ISNUMBER(E1101)),D1101-E1101,""),"")</f>
        <v/>
      </c>
    </row>
    <row r="1102">
      <c r="A1102" s="7">
        <f>IFERROR(Datos!A1102,"")</f>
        <v/>
      </c>
      <c r="B1102" s="8">
        <f>IFERROR(Datos!B1102,"")</f>
        <v/>
      </c>
      <c r="C1102" s="8">
        <f>IFERROR(Datos!C1102,"")</f>
        <v/>
      </c>
      <c r="D1102" s="28">
        <f>IFERROR(IF(AND(ISNUMBER(B1102),ISNUMBER(B1101),B1101&lt;&gt;0),B1102/B1101-1,""),"")</f>
        <v/>
      </c>
      <c r="E1102" s="28">
        <f>IFERROR(IF(AND(ISNUMBER(C1102),ISNUMBER(C1101),C1101&lt;&gt;0),C1102/C1101-1,""),"")</f>
        <v/>
      </c>
      <c r="F1102" s="28">
        <f>IFERROR(D1102-Dashboard!$B$4/252,"")</f>
        <v/>
      </c>
      <c r="G1102" s="28">
        <f>IFERROR(E1102-Dashboard!$B$4/252,"")</f>
        <v/>
      </c>
      <c r="H1102" s="8">
        <f>IFERROR(IF(ISNUMBER(B1102),MAX(B1102,IFERROR(H1101,B1102)),""),"")</f>
        <v/>
      </c>
      <c r="I1102" s="29">
        <f>IFERROR(IF(AND(ISNUMBER(B1102),ISNUMBER(H1102)),B1102/H1102-1,""),"")</f>
        <v/>
      </c>
      <c r="J1102" s="8">
        <f>IFERROR(IF(ISNUMBER(C1102),MAX(C1102,IFERROR(J1101,C1102)),""),"")</f>
        <v/>
      </c>
      <c r="K1102" s="29">
        <f>IFERROR(IF(AND(ISNUMBER(C1102),ISNUMBER(J1102)),C1102/J1102-1,""),"")</f>
        <v/>
      </c>
      <c r="L1102" s="28">
        <f>IFERROR(IF(AND(ISNUMBER(D1102),ISNUMBER(E1102)),D1102-E1102,""),"")</f>
        <v/>
      </c>
    </row>
    <row r="1103">
      <c r="A1103" s="7">
        <f>IFERROR(Datos!A1103,"")</f>
        <v/>
      </c>
      <c r="B1103" s="8">
        <f>IFERROR(Datos!B1103,"")</f>
        <v/>
      </c>
      <c r="C1103" s="8">
        <f>IFERROR(Datos!C1103,"")</f>
        <v/>
      </c>
      <c r="D1103" s="28">
        <f>IFERROR(IF(AND(ISNUMBER(B1103),ISNUMBER(B1102),B1102&lt;&gt;0),B1103/B1102-1,""),"")</f>
        <v/>
      </c>
      <c r="E1103" s="28">
        <f>IFERROR(IF(AND(ISNUMBER(C1103),ISNUMBER(C1102),C1102&lt;&gt;0),C1103/C1102-1,""),"")</f>
        <v/>
      </c>
      <c r="F1103" s="28">
        <f>IFERROR(D1103-Dashboard!$B$4/252,"")</f>
        <v/>
      </c>
      <c r="G1103" s="28">
        <f>IFERROR(E1103-Dashboard!$B$4/252,"")</f>
        <v/>
      </c>
      <c r="H1103" s="8">
        <f>IFERROR(IF(ISNUMBER(B1103),MAX(B1103,IFERROR(H1102,B1103)),""),"")</f>
        <v/>
      </c>
      <c r="I1103" s="29">
        <f>IFERROR(IF(AND(ISNUMBER(B1103),ISNUMBER(H1103)),B1103/H1103-1,""),"")</f>
        <v/>
      </c>
      <c r="J1103" s="8">
        <f>IFERROR(IF(ISNUMBER(C1103),MAX(C1103,IFERROR(J1102,C1103)),""),"")</f>
        <v/>
      </c>
      <c r="K1103" s="29">
        <f>IFERROR(IF(AND(ISNUMBER(C1103),ISNUMBER(J1103)),C1103/J1103-1,""),"")</f>
        <v/>
      </c>
      <c r="L1103" s="28">
        <f>IFERROR(IF(AND(ISNUMBER(D1103),ISNUMBER(E1103)),D1103-E1103,""),"")</f>
        <v/>
      </c>
    </row>
    <row r="1104">
      <c r="A1104" s="7">
        <f>IFERROR(Datos!A1104,"")</f>
        <v/>
      </c>
      <c r="B1104" s="8">
        <f>IFERROR(Datos!B1104,"")</f>
        <v/>
      </c>
      <c r="C1104" s="8">
        <f>IFERROR(Datos!C1104,"")</f>
        <v/>
      </c>
      <c r="D1104" s="28">
        <f>IFERROR(IF(AND(ISNUMBER(B1104),ISNUMBER(B1103),B1103&lt;&gt;0),B1104/B1103-1,""),"")</f>
        <v/>
      </c>
      <c r="E1104" s="28">
        <f>IFERROR(IF(AND(ISNUMBER(C1104),ISNUMBER(C1103),C1103&lt;&gt;0),C1104/C1103-1,""),"")</f>
        <v/>
      </c>
      <c r="F1104" s="28">
        <f>IFERROR(D1104-Dashboard!$B$4/252,"")</f>
        <v/>
      </c>
      <c r="G1104" s="28">
        <f>IFERROR(E1104-Dashboard!$B$4/252,"")</f>
        <v/>
      </c>
      <c r="H1104" s="8">
        <f>IFERROR(IF(ISNUMBER(B1104),MAX(B1104,IFERROR(H1103,B1104)),""),"")</f>
        <v/>
      </c>
      <c r="I1104" s="29">
        <f>IFERROR(IF(AND(ISNUMBER(B1104),ISNUMBER(H1104)),B1104/H1104-1,""),"")</f>
        <v/>
      </c>
      <c r="J1104" s="8">
        <f>IFERROR(IF(ISNUMBER(C1104),MAX(C1104,IFERROR(J1103,C1104)),""),"")</f>
        <v/>
      </c>
      <c r="K1104" s="29">
        <f>IFERROR(IF(AND(ISNUMBER(C1104),ISNUMBER(J1104)),C1104/J1104-1,""),"")</f>
        <v/>
      </c>
      <c r="L1104" s="28">
        <f>IFERROR(IF(AND(ISNUMBER(D1104),ISNUMBER(E1104)),D1104-E1104,""),"")</f>
        <v/>
      </c>
    </row>
    <row r="1105">
      <c r="A1105" s="7">
        <f>IFERROR(Datos!A1105,"")</f>
        <v/>
      </c>
      <c r="B1105" s="8">
        <f>IFERROR(Datos!B1105,"")</f>
        <v/>
      </c>
      <c r="C1105" s="8">
        <f>IFERROR(Datos!C1105,"")</f>
        <v/>
      </c>
      <c r="D1105" s="28">
        <f>IFERROR(IF(AND(ISNUMBER(B1105),ISNUMBER(B1104),B1104&lt;&gt;0),B1105/B1104-1,""),"")</f>
        <v/>
      </c>
      <c r="E1105" s="28">
        <f>IFERROR(IF(AND(ISNUMBER(C1105),ISNUMBER(C1104),C1104&lt;&gt;0),C1105/C1104-1,""),"")</f>
        <v/>
      </c>
      <c r="F1105" s="28">
        <f>IFERROR(D1105-Dashboard!$B$4/252,"")</f>
        <v/>
      </c>
      <c r="G1105" s="28">
        <f>IFERROR(E1105-Dashboard!$B$4/252,"")</f>
        <v/>
      </c>
      <c r="H1105" s="8">
        <f>IFERROR(IF(ISNUMBER(B1105),MAX(B1105,IFERROR(H1104,B1105)),""),"")</f>
        <v/>
      </c>
      <c r="I1105" s="29">
        <f>IFERROR(IF(AND(ISNUMBER(B1105),ISNUMBER(H1105)),B1105/H1105-1,""),"")</f>
        <v/>
      </c>
      <c r="J1105" s="8">
        <f>IFERROR(IF(ISNUMBER(C1105),MAX(C1105,IFERROR(J1104,C1105)),""),"")</f>
        <v/>
      </c>
      <c r="K1105" s="29">
        <f>IFERROR(IF(AND(ISNUMBER(C1105),ISNUMBER(J1105)),C1105/J1105-1,""),"")</f>
        <v/>
      </c>
      <c r="L1105" s="28">
        <f>IFERROR(IF(AND(ISNUMBER(D1105),ISNUMBER(E1105)),D1105-E1105,""),"")</f>
        <v/>
      </c>
    </row>
    <row r="1106">
      <c r="A1106" s="7">
        <f>IFERROR(Datos!A1106,"")</f>
        <v/>
      </c>
      <c r="B1106" s="8">
        <f>IFERROR(Datos!B1106,"")</f>
        <v/>
      </c>
      <c r="C1106" s="8">
        <f>IFERROR(Datos!C1106,"")</f>
        <v/>
      </c>
      <c r="D1106" s="28">
        <f>IFERROR(IF(AND(ISNUMBER(B1106),ISNUMBER(B1105),B1105&lt;&gt;0),B1106/B1105-1,""),"")</f>
        <v/>
      </c>
      <c r="E1106" s="28">
        <f>IFERROR(IF(AND(ISNUMBER(C1106),ISNUMBER(C1105),C1105&lt;&gt;0),C1106/C1105-1,""),"")</f>
        <v/>
      </c>
      <c r="F1106" s="28">
        <f>IFERROR(D1106-Dashboard!$B$4/252,"")</f>
        <v/>
      </c>
      <c r="G1106" s="28">
        <f>IFERROR(E1106-Dashboard!$B$4/252,"")</f>
        <v/>
      </c>
      <c r="H1106" s="8">
        <f>IFERROR(IF(ISNUMBER(B1106),MAX(B1106,IFERROR(H1105,B1106)),""),"")</f>
        <v/>
      </c>
      <c r="I1106" s="29">
        <f>IFERROR(IF(AND(ISNUMBER(B1106),ISNUMBER(H1106)),B1106/H1106-1,""),"")</f>
        <v/>
      </c>
      <c r="J1106" s="8">
        <f>IFERROR(IF(ISNUMBER(C1106),MAX(C1106,IFERROR(J1105,C1106)),""),"")</f>
        <v/>
      </c>
      <c r="K1106" s="29">
        <f>IFERROR(IF(AND(ISNUMBER(C1106),ISNUMBER(J1106)),C1106/J1106-1,""),"")</f>
        <v/>
      </c>
      <c r="L1106" s="28">
        <f>IFERROR(IF(AND(ISNUMBER(D1106),ISNUMBER(E1106)),D1106-E1106,""),"")</f>
        <v/>
      </c>
    </row>
    <row r="1107">
      <c r="A1107" s="7">
        <f>IFERROR(Datos!A1107,"")</f>
        <v/>
      </c>
      <c r="B1107" s="8">
        <f>IFERROR(Datos!B1107,"")</f>
        <v/>
      </c>
      <c r="C1107" s="8">
        <f>IFERROR(Datos!C1107,"")</f>
        <v/>
      </c>
      <c r="D1107" s="28">
        <f>IFERROR(IF(AND(ISNUMBER(B1107),ISNUMBER(B1106),B1106&lt;&gt;0),B1107/B1106-1,""),"")</f>
        <v/>
      </c>
      <c r="E1107" s="28">
        <f>IFERROR(IF(AND(ISNUMBER(C1107),ISNUMBER(C1106),C1106&lt;&gt;0),C1107/C1106-1,""),"")</f>
        <v/>
      </c>
      <c r="F1107" s="28">
        <f>IFERROR(D1107-Dashboard!$B$4/252,"")</f>
        <v/>
      </c>
      <c r="G1107" s="28">
        <f>IFERROR(E1107-Dashboard!$B$4/252,"")</f>
        <v/>
      </c>
      <c r="H1107" s="8">
        <f>IFERROR(IF(ISNUMBER(B1107),MAX(B1107,IFERROR(H1106,B1107)),""),"")</f>
        <v/>
      </c>
      <c r="I1107" s="29">
        <f>IFERROR(IF(AND(ISNUMBER(B1107),ISNUMBER(H1107)),B1107/H1107-1,""),"")</f>
        <v/>
      </c>
      <c r="J1107" s="8">
        <f>IFERROR(IF(ISNUMBER(C1107),MAX(C1107,IFERROR(J1106,C1107)),""),"")</f>
        <v/>
      </c>
      <c r="K1107" s="29">
        <f>IFERROR(IF(AND(ISNUMBER(C1107),ISNUMBER(J1107)),C1107/J1107-1,""),"")</f>
        <v/>
      </c>
      <c r="L1107" s="28">
        <f>IFERROR(IF(AND(ISNUMBER(D1107),ISNUMBER(E1107)),D1107-E1107,""),"")</f>
        <v/>
      </c>
    </row>
    <row r="1108">
      <c r="A1108" s="7">
        <f>IFERROR(Datos!A1108,"")</f>
        <v/>
      </c>
      <c r="B1108" s="8">
        <f>IFERROR(Datos!B1108,"")</f>
        <v/>
      </c>
      <c r="C1108" s="8">
        <f>IFERROR(Datos!C1108,"")</f>
        <v/>
      </c>
      <c r="D1108" s="28">
        <f>IFERROR(IF(AND(ISNUMBER(B1108),ISNUMBER(B1107),B1107&lt;&gt;0),B1108/B1107-1,""),"")</f>
        <v/>
      </c>
      <c r="E1108" s="28">
        <f>IFERROR(IF(AND(ISNUMBER(C1108),ISNUMBER(C1107),C1107&lt;&gt;0),C1108/C1107-1,""),"")</f>
        <v/>
      </c>
      <c r="F1108" s="28">
        <f>IFERROR(D1108-Dashboard!$B$4/252,"")</f>
        <v/>
      </c>
      <c r="G1108" s="28">
        <f>IFERROR(E1108-Dashboard!$B$4/252,"")</f>
        <v/>
      </c>
      <c r="H1108" s="8">
        <f>IFERROR(IF(ISNUMBER(B1108),MAX(B1108,IFERROR(H1107,B1108)),""),"")</f>
        <v/>
      </c>
      <c r="I1108" s="29">
        <f>IFERROR(IF(AND(ISNUMBER(B1108),ISNUMBER(H1108)),B1108/H1108-1,""),"")</f>
        <v/>
      </c>
      <c r="J1108" s="8">
        <f>IFERROR(IF(ISNUMBER(C1108),MAX(C1108,IFERROR(J1107,C1108)),""),"")</f>
        <v/>
      </c>
      <c r="K1108" s="29">
        <f>IFERROR(IF(AND(ISNUMBER(C1108),ISNUMBER(J1108)),C1108/J1108-1,""),"")</f>
        <v/>
      </c>
      <c r="L1108" s="28">
        <f>IFERROR(IF(AND(ISNUMBER(D1108),ISNUMBER(E1108)),D1108-E1108,""),"")</f>
        <v/>
      </c>
    </row>
    <row r="1109">
      <c r="A1109" s="7">
        <f>IFERROR(Datos!A1109,"")</f>
        <v/>
      </c>
      <c r="B1109" s="8">
        <f>IFERROR(Datos!B1109,"")</f>
        <v/>
      </c>
      <c r="C1109" s="8">
        <f>IFERROR(Datos!C1109,"")</f>
        <v/>
      </c>
      <c r="D1109" s="28">
        <f>IFERROR(IF(AND(ISNUMBER(B1109),ISNUMBER(B1108),B1108&lt;&gt;0),B1109/B1108-1,""),"")</f>
        <v/>
      </c>
      <c r="E1109" s="28">
        <f>IFERROR(IF(AND(ISNUMBER(C1109),ISNUMBER(C1108),C1108&lt;&gt;0),C1109/C1108-1,""),"")</f>
        <v/>
      </c>
      <c r="F1109" s="28">
        <f>IFERROR(D1109-Dashboard!$B$4/252,"")</f>
        <v/>
      </c>
      <c r="G1109" s="28">
        <f>IFERROR(E1109-Dashboard!$B$4/252,"")</f>
        <v/>
      </c>
      <c r="H1109" s="8">
        <f>IFERROR(IF(ISNUMBER(B1109),MAX(B1109,IFERROR(H1108,B1109)),""),"")</f>
        <v/>
      </c>
      <c r="I1109" s="29">
        <f>IFERROR(IF(AND(ISNUMBER(B1109),ISNUMBER(H1109)),B1109/H1109-1,""),"")</f>
        <v/>
      </c>
      <c r="J1109" s="8">
        <f>IFERROR(IF(ISNUMBER(C1109),MAX(C1109,IFERROR(J1108,C1109)),""),"")</f>
        <v/>
      </c>
      <c r="K1109" s="29">
        <f>IFERROR(IF(AND(ISNUMBER(C1109),ISNUMBER(J1109)),C1109/J1109-1,""),"")</f>
        <v/>
      </c>
      <c r="L1109" s="28">
        <f>IFERROR(IF(AND(ISNUMBER(D1109),ISNUMBER(E1109)),D1109-E1109,""),"")</f>
        <v/>
      </c>
    </row>
    <row r="1110">
      <c r="A1110" s="7">
        <f>IFERROR(Datos!A1110,"")</f>
        <v/>
      </c>
      <c r="B1110" s="8">
        <f>IFERROR(Datos!B1110,"")</f>
        <v/>
      </c>
      <c r="C1110" s="8">
        <f>IFERROR(Datos!C1110,"")</f>
        <v/>
      </c>
      <c r="D1110" s="28">
        <f>IFERROR(IF(AND(ISNUMBER(B1110),ISNUMBER(B1109),B1109&lt;&gt;0),B1110/B1109-1,""),"")</f>
        <v/>
      </c>
      <c r="E1110" s="28">
        <f>IFERROR(IF(AND(ISNUMBER(C1110),ISNUMBER(C1109),C1109&lt;&gt;0),C1110/C1109-1,""),"")</f>
        <v/>
      </c>
      <c r="F1110" s="28">
        <f>IFERROR(D1110-Dashboard!$B$4/252,"")</f>
        <v/>
      </c>
      <c r="G1110" s="28">
        <f>IFERROR(E1110-Dashboard!$B$4/252,"")</f>
        <v/>
      </c>
      <c r="H1110" s="8">
        <f>IFERROR(IF(ISNUMBER(B1110),MAX(B1110,IFERROR(H1109,B1110)),""),"")</f>
        <v/>
      </c>
      <c r="I1110" s="29">
        <f>IFERROR(IF(AND(ISNUMBER(B1110),ISNUMBER(H1110)),B1110/H1110-1,""),"")</f>
        <v/>
      </c>
      <c r="J1110" s="8">
        <f>IFERROR(IF(ISNUMBER(C1110),MAX(C1110,IFERROR(J1109,C1110)),""),"")</f>
        <v/>
      </c>
      <c r="K1110" s="29">
        <f>IFERROR(IF(AND(ISNUMBER(C1110),ISNUMBER(J1110)),C1110/J1110-1,""),"")</f>
        <v/>
      </c>
      <c r="L1110" s="28">
        <f>IFERROR(IF(AND(ISNUMBER(D1110),ISNUMBER(E1110)),D1110-E1110,""),"")</f>
        <v/>
      </c>
    </row>
    <row r="1111">
      <c r="A1111" s="7">
        <f>IFERROR(Datos!A1111,"")</f>
        <v/>
      </c>
      <c r="B1111" s="8">
        <f>IFERROR(Datos!B1111,"")</f>
        <v/>
      </c>
      <c r="C1111" s="8">
        <f>IFERROR(Datos!C1111,"")</f>
        <v/>
      </c>
      <c r="D1111" s="28">
        <f>IFERROR(IF(AND(ISNUMBER(B1111),ISNUMBER(B1110),B1110&lt;&gt;0),B1111/B1110-1,""),"")</f>
        <v/>
      </c>
      <c r="E1111" s="28">
        <f>IFERROR(IF(AND(ISNUMBER(C1111),ISNUMBER(C1110),C1110&lt;&gt;0),C1111/C1110-1,""),"")</f>
        <v/>
      </c>
      <c r="F1111" s="28">
        <f>IFERROR(D1111-Dashboard!$B$4/252,"")</f>
        <v/>
      </c>
      <c r="G1111" s="28">
        <f>IFERROR(E1111-Dashboard!$B$4/252,"")</f>
        <v/>
      </c>
      <c r="H1111" s="8">
        <f>IFERROR(IF(ISNUMBER(B1111),MAX(B1111,IFERROR(H1110,B1111)),""),"")</f>
        <v/>
      </c>
      <c r="I1111" s="29">
        <f>IFERROR(IF(AND(ISNUMBER(B1111),ISNUMBER(H1111)),B1111/H1111-1,""),"")</f>
        <v/>
      </c>
      <c r="J1111" s="8">
        <f>IFERROR(IF(ISNUMBER(C1111),MAX(C1111,IFERROR(J1110,C1111)),""),"")</f>
        <v/>
      </c>
      <c r="K1111" s="29">
        <f>IFERROR(IF(AND(ISNUMBER(C1111),ISNUMBER(J1111)),C1111/J1111-1,""),"")</f>
        <v/>
      </c>
      <c r="L1111" s="28">
        <f>IFERROR(IF(AND(ISNUMBER(D1111),ISNUMBER(E1111)),D1111-E1111,""),"")</f>
        <v/>
      </c>
    </row>
    <row r="1112">
      <c r="A1112" s="7">
        <f>IFERROR(Datos!A1112,"")</f>
        <v/>
      </c>
      <c r="B1112" s="8">
        <f>IFERROR(Datos!B1112,"")</f>
        <v/>
      </c>
      <c r="C1112" s="8">
        <f>IFERROR(Datos!C1112,"")</f>
        <v/>
      </c>
      <c r="D1112" s="28">
        <f>IFERROR(IF(AND(ISNUMBER(B1112),ISNUMBER(B1111),B1111&lt;&gt;0),B1112/B1111-1,""),"")</f>
        <v/>
      </c>
      <c r="E1112" s="28">
        <f>IFERROR(IF(AND(ISNUMBER(C1112),ISNUMBER(C1111),C1111&lt;&gt;0),C1112/C1111-1,""),"")</f>
        <v/>
      </c>
      <c r="F1112" s="28">
        <f>IFERROR(D1112-Dashboard!$B$4/252,"")</f>
        <v/>
      </c>
      <c r="G1112" s="28">
        <f>IFERROR(E1112-Dashboard!$B$4/252,"")</f>
        <v/>
      </c>
      <c r="H1112" s="8">
        <f>IFERROR(IF(ISNUMBER(B1112),MAX(B1112,IFERROR(H1111,B1112)),""),"")</f>
        <v/>
      </c>
      <c r="I1112" s="29">
        <f>IFERROR(IF(AND(ISNUMBER(B1112),ISNUMBER(H1112)),B1112/H1112-1,""),"")</f>
        <v/>
      </c>
      <c r="J1112" s="8">
        <f>IFERROR(IF(ISNUMBER(C1112),MAX(C1112,IFERROR(J1111,C1112)),""),"")</f>
        <v/>
      </c>
      <c r="K1112" s="29">
        <f>IFERROR(IF(AND(ISNUMBER(C1112),ISNUMBER(J1112)),C1112/J1112-1,""),"")</f>
        <v/>
      </c>
      <c r="L1112" s="28">
        <f>IFERROR(IF(AND(ISNUMBER(D1112),ISNUMBER(E1112)),D1112-E1112,""),"")</f>
        <v/>
      </c>
    </row>
    <row r="1113">
      <c r="A1113" s="7">
        <f>IFERROR(Datos!A1113,"")</f>
        <v/>
      </c>
      <c r="B1113" s="8">
        <f>IFERROR(Datos!B1113,"")</f>
        <v/>
      </c>
      <c r="C1113" s="8">
        <f>IFERROR(Datos!C1113,"")</f>
        <v/>
      </c>
      <c r="D1113" s="28">
        <f>IFERROR(IF(AND(ISNUMBER(B1113),ISNUMBER(B1112),B1112&lt;&gt;0),B1113/B1112-1,""),"")</f>
        <v/>
      </c>
      <c r="E1113" s="28">
        <f>IFERROR(IF(AND(ISNUMBER(C1113),ISNUMBER(C1112),C1112&lt;&gt;0),C1113/C1112-1,""),"")</f>
        <v/>
      </c>
      <c r="F1113" s="28">
        <f>IFERROR(D1113-Dashboard!$B$4/252,"")</f>
        <v/>
      </c>
      <c r="G1113" s="28">
        <f>IFERROR(E1113-Dashboard!$B$4/252,"")</f>
        <v/>
      </c>
      <c r="H1113" s="8">
        <f>IFERROR(IF(ISNUMBER(B1113),MAX(B1113,IFERROR(H1112,B1113)),""),"")</f>
        <v/>
      </c>
      <c r="I1113" s="29">
        <f>IFERROR(IF(AND(ISNUMBER(B1113),ISNUMBER(H1113)),B1113/H1113-1,""),"")</f>
        <v/>
      </c>
      <c r="J1113" s="8">
        <f>IFERROR(IF(ISNUMBER(C1113),MAX(C1113,IFERROR(J1112,C1113)),""),"")</f>
        <v/>
      </c>
      <c r="K1113" s="29">
        <f>IFERROR(IF(AND(ISNUMBER(C1113),ISNUMBER(J1113)),C1113/J1113-1,""),"")</f>
        <v/>
      </c>
      <c r="L1113" s="28">
        <f>IFERROR(IF(AND(ISNUMBER(D1113),ISNUMBER(E1113)),D1113-E1113,""),"")</f>
        <v/>
      </c>
    </row>
    <row r="1114">
      <c r="A1114" s="7">
        <f>IFERROR(Datos!A1114,"")</f>
        <v/>
      </c>
      <c r="B1114" s="8">
        <f>IFERROR(Datos!B1114,"")</f>
        <v/>
      </c>
      <c r="C1114" s="8">
        <f>IFERROR(Datos!C1114,"")</f>
        <v/>
      </c>
      <c r="D1114" s="28">
        <f>IFERROR(IF(AND(ISNUMBER(B1114),ISNUMBER(B1113),B1113&lt;&gt;0),B1114/B1113-1,""),"")</f>
        <v/>
      </c>
      <c r="E1114" s="28">
        <f>IFERROR(IF(AND(ISNUMBER(C1114),ISNUMBER(C1113),C1113&lt;&gt;0),C1114/C1113-1,""),"")</f>
        <v/>
      </c>
      <c r="F1114" s="28">
        <f>IFERROR(D1114-Dashboard!$B$4/252,"")</f>
        <v/>
      </c>
      <c r="G1114" s="28">
        <f>IFERROR(E1114-Dashboard!$B$4/252,"")</f>
        <v/>
      </c>
      <c r="H1114" s="8">
        <f>IFERROR(IF(ISNUMBER(B1114),MAX(B1114,IFERROR(H1113,B1114)),""),"")</f>
        <v/>
      </c>
      <c r="I1114" s="29">
        <f>IFERROR(IF(AND(ISNUMBER(B1114),ISNUMBER(H1114)),B1114/H1114-1,""),"")</f>
        <v/>
      </c>
      <c r="J1114" s="8">
        <f>IFERROR(IF(ISNUMBER(C1114),MAX(C1114,IFERROR(J1113,C1114)),""),"")</f>
        <v/>
      </c>
      <c r="K1114" s="29">
        <f>IFERROR(IF(AND(ISNUMBER(C1114),ISNUMBER(J1114)),C1114/J1114-1,""),"")</f>
        <v/>
      </c>
      <c r="L1114" s="28">
        <f>IFERROR(IF(AND(ISNUMBER(D1114),ISNUMBER(E1114)),D1114-E1114,""),"")</f>
        <v/>
      </c>
    </row>
    <row r="1115">
      <c r="A1115" s="7">
        <f>IFERROR(Datos!A1115,"")</f>
        <v/>
      </c>
      <c r="B1115" s="8">
        <f>IFERROR(Datos!B1115,"")</f>
        <v/>
      </c>
      <c r="C1115" s="8">
        <f>IFERROR(Datos!C1115,"")</f>
        <v/>
      </c>
      <c r="D1115" s="28">
        <f>IFERROR(IF(AND(ISNUMBER(B1115),ISNUMBER(B1114),B1114&lt;&gt;0),B1115/B1114-1,""),"")</f>
        <v/>
      </c>
      <c r="E1115" s="28">
        <f>IFERROR(IF(AND(ISNUMBER(C1115),ISNUMBER(C1114),C1114&lt;&gt;0),C1115/C1114-1,""),"")</f>
        <v/>
      </c>
      <c r="F1115" s="28">
        <f>IFERROR(D1115-Dashboard!$B$4/252,"")</f>
        <v/>
      </c>
      <c r="G1115" s="28">
        <f>IFERROR(E1115-Dashboard!$B$4/252,"")</f>
        <v/>
      </c>
      <c r="H1115" s="8">
        <f>IFERROR(IF(ISNUMBER(B1115),MAX(B1115,IFERROR(H1114,B1115)),""),"")</f>
        <v/>
      </c>
      <c r="I1115" s="29">
        <f>IFERROR(IF(AND(ISNUMBER(B1115),ISNUMBER(H1115)),B1115/H1115-1,""),"")</f>
        <v/>
      </c>
      <c r="J1115" s="8">
        <f>IFERROR(IF(ISNUMBER(C1115),MAX(C1115,IFERROR(J1114,C1115)),""),"")</f>
        <v/>
      </c>
      <c r="K1115" s="29">
        <f>IFERROR(IF(AND(ISNUMBER(C1115),ISNUMBER(J1115)),C1115/J1115-1,""),"")</f>
        <v/>
      </c>
      <c r="L1115" s="28">
        <f>IFERROR(IF(AND(ISNUMBER(D1115),ISNUMBER(E1115)),D1115-E1115,""),"")</f>
        <v/>
      </c>
    </row>
    <row r="1116">
      <c r="A1116" s="7">
        <f>IFERROR(Datos!A1116,"")</f>
        <v/>
      </c>
      <c r="B1116" s="8">
        <f>IFERROR(Datos!B1116,"")</f>
        <v/>
      </c>
      <c r="C1116" s="8">
        <f>IFERROR(Datos!C1116,"")</f>
        <v/>
      </c>
      <c r="D1116" s="28">
        <f>IFERROR(IF(AND(ISNUMBER(B1116),ISNUMBER(B1115),B1115&lt;&gt;0),B1116/B1115-1,""),"")</f>
        <v/>
      </c>
      <c r="E1116" s="28">
        <f>IFERROR(IF(AND(ISNUMBER(C1116),ISNUMBER(C1115),C1115&lt;&gt;0),C1116/C1115-1,""),"")</f>
        <v/>
      </c>
      <c r="F1116" s="28">
        <f>IFERROR(D1116-Dashboard!$B$4/252,"")</f>
        <v/>
      </c>
      <c r="G1116" s="28">
        <f>IFERROR(E1116-Dashboard!$B$4/252,"")</f>
        <v/>
      </c>
      <c r="H1116" s="8">
        <f>IFERROR(IF(ISNUMBER(B1116),MAX(B1116,IFERROR(H1115,B1116)),""),"")</f>
        <v/>
      </c>
      <c r="I1116" s="29">
        <f>IFERROR(IF(AND(ISNUMBER(B1116),ISNUMBER(H1116)),B1116/H1116-1,""),"")</f>
        <v/>
      </c>
      <c r="J1116" s="8">
        <f>IFERROR(IF(ISNUMBER(C1116),MAX(C1116,IFERROR(J1115,C1116)),""),"")</f>
        <v/>
      </c>
      <c r="K1116" s="29">
        <f>IFERROR(IF(AND(ISNUMBER(C1116),ISNUMBER(J1116)),C1116/J1116-1,""),"")</f>
        <v/>
      </c>
      <c r="L1116" s="28">
        <f>IFERROR(IF(AND(ISNUMBER(D1116),ISNUMBER(E1116)),D1116-E1116,""),"")</f>
        <v/>
      </c>
    </row>
    <row r="1117">
      <c r="A1117" s="7">
        <f>IFERROR(Datos!A1117,"")</f>
        <v/>
      </c>
      <c r="B1117" s="8">
        <f>IFERROR(Datos!B1117,"")</f>
        <v/>
      </c>
      <c r="C1117" s="8">
        <f>IFERROR(Datos!C1117,"")</f>
        <v/>
      </c>
      <c r="D1117" s="28">
        <f>IFERROR(IF(AND(ISNUMBER(B1117),ISNUMBER(B1116),B1116&lt;&gt;0),B1117/B1116-1,""),"")</f>
        <v/>
      </c>
      <c r="E1117" s="28">
        <f>IFERROR(IF(AND(ISNUMBER(C1117),ISNUMBER(C1116),C1116&lt;&gt;0),C1117/C1116-1,""),"")</f>
        <v/>
      </c>
      <c r="F1117" s="28">
        <f>IFERROR(D1117-Dashboard!$B$4/252,"")</f>
        <v/>
      </c>
      <c r="G1117" s="28">
        <f>IFERROR(E1117-Dashboard!$B$4/252,"")</f>
        <v/>
      </c>
      <c r="H1117" s="8">
        <f>IFERROR(IF(ISNUMBER(B1117),MAX(B1117,IFERROR(H1116,B1117)),""),"")</f>
        <v/>
      </c>
      <c r="I1117" s="29">
        <f>IFERROR(IF(AND(ISNUMBER(B1117),ISNUMBER(H1117)),B1117/H1117-1,""),"")</f>
        <v/>
      </c>
      <c r="J1117" s="8">
        <f>IFERROR(IF(ISNUMBER(C1117),MAX(C1117,IFERROR(J1116,C1117)),""),"")</f>
        <v/>
      </c>
      <c r="K1117" s="29">
        <f>IFERROR(IF(AND(ISNUMBER(C1117),ISNUMBER(J1117)),C1117/J1117-1,""),"")</f>
        <v/>
      </c>
      <c r="L1117" s="28">
        <f>IFERROR(IF(AND(ISNUMBER(D1117),ISNUMBER(E1117)),D1117-E1117,""),"")</f>
        <v/>
      </c>
    </row>
    <row r="1118">
      <c r="A1118" s="7">
        <f>IFERROR(Datos!A1118,"")</f>
        <v/>
      </c>
      <c r="B1118" s="8">
        <f>IFERROR(Datos!B1118,"")</f>
        <v/>
      </c>
      <c r="C1118" s="8">
        <f>IFERROR(Datos!C1118,"")</f>
        <v/>
      </c>
      <c r="D1118" s="28">
        <f>IFERROR(IF(AND(ISNUMBER(B1118),ISNUMBER(B1117),B1117&lt;&gt;0),B1118/B1117-1,""),"")</f>
        <v/>
      </c>
      <c r="E1118" s="28">
        <f>IFERROR(IF(AND(ISNUMBER(C1118),ISNUMBER(C1117),C1117&lt;&gt;0),C1118/C1117-1,""),"")</f>
        <v/>
      </c>
      <c r="F1118" s="28">
        <f>IFERROR(D1118-Dashboard!$B$4/252,"")</f>
        <v/>
      </c>
      <c r="G1118" s="28">
        <f>IFERROR(E1118-Dashboard!$B$4/252,"")</f>
        <v/>
      </c>
      <c r="H1118" s="8">
        <f>IFERROR(IF(ISNUMBER(B1118),MAX(B1118,IFERROR(H1117,B1118)),""),"")</f>
        <v/>
      </c>
      <c r="I1118" s="29">
        <f>IFERROR(IF(AND(ISNUMBER(B1118),ISNUMBER(H1118)),B1118/H1118-1,""),"")</f>
        <v/>
      </c>
      <c r="J1118" s="8">
        <f>IFERROR(IF(ISNUMBER(C1118),MAX(C1118,IFERROR(J1117,C1118)),""),"")</f>
        <v/>
      </c>
      <c r="K1118" s="29">
        <f>IFERROR(IF(AND(ISNUMBER(C1118),ISNUMBER(J1118)),C1118/J1118-1,""),"")</f>
        <v/>
      </c>
      <c r="L1118" s="28">
        <f>IFERROR(IF(AND(ISNUMBER(D1118),ISNUMBER(E1118)),D1118-E1118,""),"")</f>
        <v/>
      </c>
    </row>
    <row r="1119">
      <c r="A1119" s="7">
        <f>IFERROR(Datos!A1119,"")</f>
        <v/>
      </c>
      <c r="B1119" s="8">
        <f>IFERROR(Datos!B1119,"")</f>
        <v/>
      </c>
      <c r="C1119" s="8">
        <f>IFERROR(Datos!C1119,"")</f>
        <v/>
      </c>
      <c r="D1119" s="28">
        <f>IFERROR(IF(AND(ISNUMBER(B1119),ISNUMBER(B1118),B1118&lt;&gt;0),B1119/B1118-1,""),"")</f>
        <v/>
      </c>
      <c r="E1119" s="28">
        <f>IFERROR(IF(AND(ISNUMBER(C1119),ISNUMBER(C1118),C1118&lt;&gt;0),C1119/C1118-1,""),"")</f>
        <v/>
      </c>
      <c r="F1119" s="28">
        <f>IFERROR(D1119-Dashboard!$B$4/252,"")</f>
        <v/>
      </c>
      <c r="G1119" s="28">
        <f>IFERROR(E1119-Dashboard!$B$4/252,"")</f>
        <v/>
      </c>
      <c r="H1119" s="8">
        <f>IFERROR(IF(ISNUMBER(B1119),MAX(B1119,IFERROR(H1118,B1119)),""),"")</f>
        <v/>
      </c>
      <c r="I1119" s="29">
        <f>IFERROR(IF(AND(ISNUMBER(B1119),ISNUMBER(H1119)),B1119/H1119-1,""),"")</f>
        <v/>
      </c>
      <c r="J1119" s="8">
        <f>IFERROR(IF(ISNUMBER(C1119),MAX(C1119,IFERROR(J1118,C1119)),""),"")</f>
        <v/>
      </c>
      <c r="K1119" s="29">
        <f>IFERROR(IF(AND(ISNUMBER(C1119),ISNUMBER(J1119)),C1119/J1119-1,""),"")</f>
        <v/>
      </c>
      <c r="L1119" s="28">
        <f>IFERROR(IF(AND(ISNUMBER(D1119),ISNUMBER(E1119)),D1119-E1119,""),"")</f>
        <v/>
      </c>
    </row>
    <row r="1120">
      <c r="A1120" s="7">
        <f>IFERROR(Datos!A1120,"")</f>
        <v/>
      </c>
      <c r="B1120" s="8">
        <f>IFERROR(Datos!B1120,"")</f>
        <v/>
      </c>
      <c r="C1120" s="8">
        <f>IFERROR(Datos!C1120,"")</f>
        <v/>
      </c>
      <c r="D1120" s="28">
        <f>IFERROR(IF(AND(ISNUMBER(B1120),ISNUMBER(B1119),B1119&lt;&gt;0),B1120/B1119-1,""),"")</f>
        <v/>
      </c>
      <c r="E1120" s="28">
        <f>IFERROR(IF(AND(ISNUMBER(C1120),ISNUMBER(C1119),C1119&lt;&gt;0),C1120/C1119-1,""),"")</f>
        <v/>
      </c>
      <c r="F1120" s="28">
        <f>IFERROR(D1120-Dashboard!$B$4/252,"")</f>
        <v/>
      </c>
      <c r="G1120" s="28">
        <f>IFERROR(E1120-Dashboard!$B$4/252,"")</f>
        <v/>
      </c>
      <c r="H1120" s="8">
        <f>IFERROR(IF(ISNUMBER(B1120),MAX(B1120,IFERROR(H1119,B1120)),""),"")</f>
        <v/>
      </c>
      <c r="I1120" s="29">
        <f>IFERROR(IF(AND(ISNUMBER(B1120),ISNUMBER(H1120)),B1120/H1120-1,""),"")</f>
        <v/>
      </c>
      <c r="J1120" s="8">
        <f>IFERROR(IF(ISNUMBER(C1120),MAX(C1120,IFERROR(J1119,C1120)),""),"")</f>
        <v/>
      </c>
      <c r="K1120" s="29">
        <f>IFERROR(IF(AND(ISNUMBER(C1120),ISNUMBER(J1120)),C1120/J1120-1,""),"")</f>
        <v/>
      </c>
      <c r="L1120" s="28">
        <f>IFERROR(IF(AND(ISNUMBER(D1120),ISNUMBER(E1120)),D1120-E1120,""),"")</f>
        <v/>
      </c>
    </row>
    <row r="1121">
      <c r="A1121" s="7">
        <f>IFERROR(Datos!A1121,"")</f>
        <v/>
      </c>
      <c r="B1121" s="8">
        <f>IFERROR(Datos!B1121,"")</f>
        <v/>
      </c>
      <c r="C1121" s="8">
        <f>IFERROR(Datos!C1121,"")</f>
        <v/>
      </c>
      <c r="D1121" s="28">
        <f>IFERROR(IF(AND(ISNUMBER(B1121),ISNUMBER(B1120),B1120&lt;&gt;0),B1121/B1120-1,""),"")</f>
        <v/>
      </c>
      <c r="E1121" s="28">
        <f>IFERROR(IF(AND(ISNUMBER(C1121),ISNUMBER(C1120),C1120&lt;&gt;0),C1121/C1120-1,""),"")</f>
        <v/>
      </c>
      <c r="F1121" s="28">
        <f>IFERROR(D1121-Dashboard!$B$4/252,"")</f>
        <v/>
      </c>
      <c r="G1121" s="28">
        <f>IFERROR(E1121-Dashboard!$B$4/252,"")</f>
        <v/>
      </c>
      <c r="H1121" s="8">
        <f>IFERROR(IF(ISNUMBER(B1121),MAX(B1121,IFERROR(H1120,B1121)),""),"")</f>
        <v/>
      </c>
      <c r="I1121" s="29">
        <f>IFERROR(IF(AND(ISNUMBER(B1121),ISNUMBER(H1121)),B1121/H1121-1,""),"")</f>
        <v/>
      </c>
      <c r="J1121" s="8">
        <f>IFERROR(IF(ISNUMBER(C1121),MAX(C1121,IFERROR(J1120,C1121)),""),"")</f>
        <v/>
      </c>
      <c r="K1121" s="29">
        <f>IFERROR(IF(AND(ISNUMBER(C1121),ISNUMBER(J1121)),C1121/J1121-1,""),"")</f>
        <v/>
      </c>
      <c r="L1121" s="28">
        <f>IFERROR(IF(AND(ISNUMBER(D1121),ISNUMBER(E1121)),D1121-E1121,""),"")</f>
        <v/>
      </c>
    </row>
    <row r="1122">
      <c r="A1122" s="7">
        <f>IFERROR(Datos!A1122,"")</f>
        <v/>
      </c>
      <c r="B1122" s="8">
        <f>IFERROR(Datos!B1122,"")</f>
        <v/>
      </c>
      <c r="C1122" s="8">
        <f>IFERROR(Datos!C1122,"")</f>
        <v/>
      </c>
      <c r="D1122" s="28">
        <f>IFERROR(IF(AND(ISNUMBER(B1122),ISNUMBER(B1121),B1121&lt;&gt;0),B1122/B1121-1,""),"")</f>
        <v/>
      </c>
      <c r="E1122" s="28">
        <f>IFERROR(IF(AND(ISNUMBER(C1122),ISNUMBER(C1121),C1121&lt;&gt;0),C1122/C1121-1,""),"")</f>
        <v/>
      </c>
      <c r="F1122" s="28">
        <f>IFERROR(D1122-Dashboard!$B$4/252,"")</f>
        <v/>
      </c>
      <c r="G1122" s="28">
        <f>IFERROR(E1122-Dashboard!$B$4/252,"")</f>
        <v/>
      </c>
      <c r="H1122" s="8">
        <f>IFERROR(IF(ISNUMBER(B1122),MAX(B1122,IFERROR(H1121,B1122)),""),"")</f>
        <v/>
      </c>
      <c r="I1122" s="29">
        <f>IFERROR(IF(AND(ISNUMBER(B1122),ISNUMBER(H1122)),B1122/H1122-1,""),"")</f>
        <v/>
      </c>
      <c r="J1122" s="8">
        <f>IFERROR(IF(ISNUMBER(C1122),MAX(C1122,IFERROR(J1121,C1122)),""),"")</f>
        <v/>
      </c>
      <c r="K1122" s="29">
        <f>IFERROR(IF(AND(ISNUMBER(C1122),ISNUMBER(J1122)),C1122/J1122-1,""),"")</f>
        <v/>
      </c>
      <c r="L1122" s="28">
        <f>IFERROR(IF(AND(ISNUMBER(D1122),ISNUMBER(E1122)),D1122-E1122,""),"")</f>
        <v/>
      </c>
    </row>
    <row r="1123">
      <c r="A1123" s="7">
        <f>IFERROR(Datos!A1123,"")</f>
        <v/>
      </c>
      <c r="B1123" s="8">
        <f>IFERROR(Datos!B1123,"")</f>
        <v/>
      </c>
      <c r="C1123" s="8">
        <f>IFERROR(Datos!C1123,"")</f>
        <v/>
      </c>
      <c r="D1123" s="28">
        <f>IFERROR(IF(AND(ISNUMBER(B1123),ISNUMBER(B1122),B1122&lt;&gt;0),B1123/B1122-1,""),"")</f>
        <v/>
      </c>
      <c r="E1123" s="28">
        <f>IFERROR(IF(AND(ISNUMBER(C1123),ISNUMBER(C1122),C1122&lt;&gt;0),C1123/C1122-1,""),"")</f>
        <v/>
      </c>
      <c r="F1123" s="28">
        <f>IFERROR(D1123-Dashboard!$B$4/252,"")</f>
        <v/>
      </c>
      <c r="G1123" s="28">
        <f>IFERROR(E1123-Dashboard!$B$4/252,"")</f>
        <v/>
      </c>
      <c r="H1123" s="8">
        <f>IFERROR(IF(ISNUMBER(B1123),MAX(B1123,IFERROR(H1122,B1123)),""),"")</f>
        <v/>
      </c>
      <c r="I1123" s="29">
        <f>IFERROR(IF(AND(ISNUMBER(B1123),ISNUMBER(H1123)),B1123/H1123-1,""),"")</f>
        <v/>
      </c>
      <c r="J1123" s="8">
        <f>IFERROR(IF(ISNUMBER(C1123),MAX(C1123,IFERROR(J1122,C1123)),""),"")</f>
        <v/>
      </c>
      <c r="K1123" s="29">
        <f>IFERROR(IF(AND(ISNUMBER(C1123),ISNUMBER(J1123)),C1123/J1123-1,""),"")</f>
        <v/>
      </c>
      <c r="L1123" s="28">
        <f>IFERROR(IF(AND(ISNUMBER(D1123),ISNUMBER(E1123)),D1123-E1123,""),"")</f>
        <v/>
      </c>
    </row>
    <row r="1124">
      <c r="A1124" s="7">
        <f>IFERROR(Datos!A1124,"")</f>
        <v/>
      </c>
      <c r="B1124" s="8">
        <f>IFERROR(Datos!B1124,"")</f>
        <v/>
      </c>
      <c r="C1124" s="8">
        <f>IFERROR(Datos!C1124,"")</f>
        <v/>
      </c>
      <c r="D1124" s="28">
        <f>IFERROR(IF(AND(ISNUMBER(B1124),ISNUMBER(B1123),B1123&lt;&gt;0),B1124/B1123-1,""),"")</f>
        <v/>
      </c>
      <c r="E1124" s="28">
        <f>IFERROR(IF(AND(ISNUMBER(C1124),ISNUMBER(C1123),C1123&lt;&gt;0),C1124/C1123-1,""),"")</f>
        <v/>
      </c>
      <c r="F1124" s="28">
        <f>IFERROR(D1124-Dashboard!$B$4/252,"")</f>
        <v/>
      </c>
      <c r="G1124" s="28">
        <f>IFERROR(E1124-Dashboard!$B$4/252,"")</f>
        <v/>
      </c>
      <c r="H1124" s="8">
        <f>IFERROR(IF(ISNUMBER(B1124),MAX(B1124,IFERROR(H1123,B1124)),""),"")</f>
        <v/>
      </c>
      <c r="I1124" s="29">
        <f>IFERROR(IF(AND(ISNUMBER(B1124),ISNUMBER(H1124)),B1124/H1124-1,""),"")</f>
        <v/>
      </c>
      <c r="J1124" s="8">
        <f>IFERROR(IF(ISNUMBER(C1124),MAX(C1124,IFERROR(J1123,C1124)),""),"")</f>
        <v/>
      </c>
      <c r="K1124" s="29">
        <f>IFERROR(IF(AND(ISNUMBER(C1124),ISNUMBER(J1124)),C1124/J1124-1,""),"")</f>
        <v/>
      </c>
      <c r="L1124" s="28">
        <f>IFERROR(IF(AND(ISNUMBER(D1124),ISNUMBER(E1124)),D1124-E1124,""),"")</f>
        <v/>
      </c>
    </row>
    <row r="1125">
      <c r="A1125" s="7">
        <f>IFERROR(Datos!A1125,"")</f>
        <v/>
      </c>
      <c r="B1125" s="8">
        <f>IFERROR(Datos!B1125,"")</f>
        <v/>
      </c>
      <c r="C1125" s="8">
        <f>IFERROR(Datos!C1125,"")</f>
        <v/>
      </c>
      <c r="D1125" s="28">
        <f>IFERROR(IF(AND(ISNUMBER(B1125),ISNUMBER(B1124),B1124&lt;&gt;0),B1125/B1124-1,""),"")</f>
        <v/>
      </c>
      <c r="E1125" s="28">
        <f>IFERROR(IF(AND(ISNUMBER(C1125),ISNUMBER(C1124),C1124&lt;&gt;0),C1125/C1124-1,""),"")</f>
        <v/>
      </c>
      <c r="F1125" s="28">
        <f>IFERROR(D1125-Dashboard!$B$4/252,"")</f>
        <v/>
      </c>
      <c r="G1125" s="28">
        <f>IFERROR(E1125-Dashboard!$B$4/252,"")</f>
        <v/>
      </c>
      <c r="H1125" s="8">
        <f>IFERROR(IF(ISNUMBER(B1125),MAX(B1125,IFERROR(H1124,B1125)),""),"")</f>
        <v/>
      </c>
      <c r="I1125" s="29">
        <f>IFERROR(IF(AND(ISNUMBER(B1125),ISNUMBER(H1125)),B1125/H1125-1,""),"")</f>
        <v/>
      </c>
      <c r="J1125" s="8">
        <f>IFERROR(IF(ISNUMBER(C1125),MAX(C1125,IFERROR(J1124,C1125)),""),"")</f>
        <v/>
      </c>
      <c r="K1125" s="29">
        <f>IFERROR(IF(AND(ISNUMBER(C1125),ISNUMBER(J1125)),C1125/J1125-1,""),"")</f>
        <v/>
      </c>
      <c r="L1125" s="28">
        <f>IFERROR(IF(AND(ISNUMBER(D1125),ISNUMBER(E1125)),D1125-E1125,""),"")</f>
        <v/>
      </c>
    </row>
    <row r="1126">
      <c r="A1126" s="7">
        <f>IFERROR(Datos!A1126,"")</f>
        <v/>
      </c>
      <c r="B1126" s="8">
        <f>IFERROR(Datos!B1126,"")</f>
        <v/>
      </c>
      <c r="C1126" s="8">
        <f>IFERROR(Datos!C1126,"")</f>
        <v/>
      </c>
      <c r="D1126" s="28">
        <f>IFERROR(IF(AND(ISNUMBER(B1126),ISNUMBER(B1125),B1125&lt;&gt;0),B1126/B1125-1,""),"")</f>
        <v/>
      </c>
      <c r="E1126" s="28">
        <f>IFERROR(IF(AND(ISNUMBER(C1126),ISNUMBER(C1125),C1125&lt;&gt;0),C1126/C1125-1,""),"")</f>
        <v/>
      </c>
      <c r="F1126" s="28">
        <f>IFERROR(D1126-Dashboard!$B$4/252,"")</f>
        <v/>
      </c>
      <c r="G1126" s="28">
        <f>IFERROR(E1126-Dashboard!$B$4/252,"")</f>
        <v/>
      </c>
      <c r="H1126" s="8">
        <f>IFERROR(IF(ISNUMBER(B1126),MAX(B1126,IFERROR(H1125,B1126)),""),"")</f>
        <v/>
      </c>
      <c r="I1126" s="29">
        <f>IFERROR(IF(AND(ISNUMBER(B1126),ISNUMBER(H1126)),B1126/H1126-1,""),"")</f>
        <v/>
      </c>
      <c r="J1126" s="8">
        <f>IFERROR(IF(ISNUMBER(C1126),MAX(C1126,IFERROR(J1125,C1126)),""),"")</f>
        <v/>
      </c>
      <c r="K1126" s="29">
        <f>IFERROR(IF(AND(ISNUMBER(C1126),ISNUMBER(J1126)),C1126/J1126-1,""),"")</f>
        <v/>
      </c>
      <c r="L1126" s="28">
        <f>IFERROR(IF(AND(ISNUMBER(D1126),ISNUMBER(E1126)),D1126-E1126,""),"")</f>
        <v/>
      </c>
    </row>
    <row r="1127">
      <c r="A1127" s="7">
        <f>IFERROR(Datos!A1127,"")</f>
        <v/>
      </c>
      <c r="B1127" s="8">
        <f>IFERROR(Datos!B1127,"")</f>
        <v/>
      </c>
      <c r="C1127" s="8">
        <f>IFERROR(Datos!C1127,"")</f>
        <v/>
      </c>
      <c r="D1127" s="28">
        <f>IFERROR(IF(AND(ISNUMBER(B1127),ISNUMBER(B1126),B1126&lt;&gt;0),B1127/B1126-1,""),"")</f>
        <v/>
      </c>
      <c r="E1127" s="28">
        <f>IFERROR(IF(AND(ISNUMBER(C1127),ISNUMBER(C1126),C1126&lt;&gt;0),C1127/C1126-1,""),"")</f>
        <v/>
      </c>
      <c r="F1127" s="28">
        <f>IFERROR(D1127-Dashboard!$B$4/252,"")</f>
        <v/>
      </c>
      <c r="G1127" s="28">
        <f>IFERROR(E1127-Dashboard!$B$4/252,"")</f>
        <v/>
      </c>
      <c r="H1127" s="8">
        <f>IFERROR(IF(ISNUMBER(B1127),MAX(B1127,IFERROR(H1126,B1127)),""),"")</f>
        <v/>
      </c>
      <c r="I1127" s="29">
        <f>IFERROR(IF(AND(ISNUMBER(B1127),ISNUMBER(H1127)),B1127/H1127-1,""),"")</f>
        <v/>
      </c>
      <c r="J1127" s="8">
        <f>IFERROR(IF(ISNUMBER(C1127),MAX(C1127,IFERROR(J1126,C1127)),""),"")</f>
        <v/>
      </c>
      <c r="K1127" s="29">
        <f>IFERROR(IF(AND(ISNUMBER(C1127),ISNUMBER(J1127)),C1127/J1127-1,""),"")</f>
        <v/>
      </c>
      <c r="L1127" s="28">
        <f>IFERROR(IF(AND(ISNUMBER(D1127),ISNUMBER(E1127)),D1127-E1127,""),"")</f>
        <v/>
      </c>
    </row>
    <row r="1128">
      <c r="A1128" s="7">
        <f>IFERROR(Datos!A1128,"")</f>
        <v/>
      </c>
      <c r="B1128" s="8">
        <f>IFERROR(Datos!B1128,"")</f>
        <v/>
      </c>
      <c r="C1128" s="8">
        <f>IFERROR(Datos!C1128,"")</f>
        <v/>
      </c>
      <c r="D1128" s="28">
        <f>IFERROR(IF(AND(ISNUMBER(B1128),ISNUMBER(B1127),B1127&lt;&gt;0),B1128/B1127-1,""),"")</f>
        <v/>
      </c>
      <c r="E1128" s="28">
        <f>IFERROR(IF(AND(ISNUMBER(C1128),ISNUMBER(C1127),C1127&lt;&gt;0),C1128/C1127-1,""),"")</f>
        <v/>
      </c>
      <c r="F1128" s="28">
        <f>IFERROR(D1128-Dashboard!$B$4/252,"")</f>
        <v/>
      </c>
      <c r="G1128" s="28">
        <f>IFERROR(E1128-Dashboard!$B$4/252,"")</f>
        <v/>
      </c>
      <c r="H1128" s="8">
        <f>IFERROR(IF(ISNUMBER(B1128),MAX(B1128,IFERROR(H1127,B1128)),""),"")</f>
        <v/>
      </c>
      <c r="I1128" s="29">
        <f>IFERROR(IF(AND(ISNUMBER(B1128),ISNUMBER(H1128)),B1128/H1128-1,""),"")</f>
        <v/>
      </c>
      <c r="J1128" s="8">
        <f>IFERROR(IF(ISNUMBER(C1128),MAX(C1128,IFERROR(J1127,C1128)),""),"")</f>
        <v/>
      </c>
      <c r="K1128" s="29">
        <f>IFERROR(IF(AND(ISNUMBER(C1128),ISNUMBER(J1128)),C1128/J1128-1,""),"")</f>
        <v/>
      </c>
      <c r="L1128" s="28">
        <f>IFERROR(IF(AND(ISNUMBER(D1128),ISNUMBER(E1128)),D1128-E1128,""),"")</f>
        <v/>
      </c>
    </row>
    <row r="1129">
      <c r="A1129" s="7">
        <f>IFERROR(Datos!A1129,"")</f>
        <v/>
      </c>
      <c r="B1129" s="8">
        <f>IFERROR(Datos!B1129,"")</f>
        <v/>
      </c>
      <c r="C1129" s="8">
        <f>IFERROR(Datos!C1129,"")</f>
        <v/>
      </c>
      <c r="D1129" s="28">
        <f>IFERROR(IF(AND(ISNUMBER(B1129),ISNUMBER(B1128),B1128&lt;&gt;0),B1129/B1128-1,""),"")</f>
        <v/>
      </c>
      <c r="E1129" s="28">
        <f>IFERROR(IF(AND(ISNUMBER(C1129),ISNUMBER(C1128),C1128&lt;&gt;0),C1129/C1128-1,""),"")</f>
        <v/>
      </c>
      <c r="F1129" s="28">
        <f>IFERROR(D1129-Dashboard!$B$4/252,"")</f>
        <v/>
      </c>
      <c r="G1129" s="28">
        <f>IFERROR(E1129-Dashboard!$B$4/252,"")</f>
        <v/>
      </c>
      <c r="H1129" s="8">
        <f>IFERROR(IF(ISNUMBER(B1129),MAX(B1129,IFERROR(H1128,B1129)),""),"")</f>
        <v/>
      </c>
      <c r="I1129" s="29">
        <f>IFERROR(IF(AND(ISNUMBER(B1129),ISNUMBER(H1129)),B1129/H1129-1,""),"")</f>
        <v/>
      </c>
      <c r="J1129" s="8">
        <f>IFERROR(IF(ISNUMBER(C1129),MAX(C1129,IFERROR(J1128,C1129)),""),"")</f>
        <v/>
      </c>
      <c r="K1129" s="29">
        <f>IFERROR(IF(AND(ISNUMBER(C1129),ISNUMBER(J1129)),C1129/J1129-1,""),"")</f>
        <v/>
      </c>
      <c r="L1129" s="28">
        <f>IFERROR(IF(AND(ISNUMBER(D1129),ISNUMBER(E1129)),D1129-E1129,""),"")</f>
        <v/>
      </c>
    </row>
    <row r="1130">
      <c r="A1130" s="7">
        <f>IFERROR(Datos!A1130,"")</f>
        <v/>
      </c>
      <c r="B1130" s="8">
        <f>IFERROR(Datos!B1130,"")</f>
        <v/>
      </c>
      <c r="C1130" s="8">
        <f>IFERROR(Datos!C1130,"")</f>
        <v/>
      </c>
      <c r="D1130" s="28">
        <f>IFERROR(IF(AND(ISNUMBER(B1130),ISNUMBER(B1129),B1129&lt;&gt;0),B1130/B1129-1,""),"")</f>
        <v/>
      </c>
      <c r="E1130" s="28">
        <f>IFERROR(IF(AND(ISNUMBER(C1130),ISNUMBER(C1129),C1129&lt;&gt;0),C1130/C1129-1,""),"")</f>
        <v/>
      </c>
      <c r="F1130" s="28">
        <f>IFERROR(D1130-Dashboard!$B$4/252,"")</f>
        <v/>
      </c>
      <c r="G1130" s="28">
        <f>IFERROR(E1130-Dashboard!$B$4/252,"")</f>
        <v/>
      </c>
      <c r="H1130" s="8">
        <f>IFERROR(IF(ISNUMBER(B1130),MAX(B1130,IFERROR(H1129,B1130)),""),"")</f>
        <v/>
      </c>
      <c r="I1130" s="29">
        <f>IFERROR(IF(AND(ISNUMBER(B1130),ISNUMBER(H1130)),B1130/H1130-1,""),"")</f>
        <v/>
      </c>
      <c r="J1130" s="8">
        <f>IFERROR(IF(ISNUMBER(C1130),MAX(C1130,IFERROR(J1129,C1130)),""),"")</f>
        <v/>
      </c>
      <c r="K1130" s="29">
        <f>IFERROR(IF(AND(ISNUMBER(C1130),ISNUMBER(J1130)),C1130/J1130-1,""),"")</f>
        <v/>
      </c>
      <c r="L1130" s="28">
        <f>IFERROR(IF(AND(ISNUMBER(D1130),ISNUMBER(E1130)),D1130-E1130,""),"")</f>
        <v/>
      </c>
    </row>
    <row r="1131">
      <c r="A1131" s="7">
        <f>IFERROR(Datos!A1131,"")</f>
        <v/>
      </c>
      <c r="B1131" s="8">
        <f>IFERROR(Datos!B1131,"")</f>
        <v/>
      </c>
      <c r="C1131" s="8">
        <f>IFERROR(Datos!C1131,"")</f>
        <v/>
      </c>
      <c r="D1131" s="28">
        <f>IFERROR(IF(AND(ISNUMBER(B1131),ISNUMBER(B1130),B1130&lt;&gt;0),B1131/B1130-1,""),"")</f>
        <v/>
      </c>
      <c r="E1131" s="28">
        <f>IFERROR(IF(AND(ISNUMBER(C1131),ISNUMBER(C1130),C1130&lt;&gt;0),C1131/C1130-1,""),"")</f>
        <v/>
      </c>
      <c r="F1131" s="28">
        <f>IFERROR(D1131-Dashboard!$B$4/252,"")</f>
        <v/>
      </c>
      <c r="G1131" s="28">
        <f>IFERROR(E1131-Dashboard!$B$4/252,"")</f>
        <v/>
      </c>
      <c r="H1131" s="8">
        <f>IFERROR(IF(ISNUMBER(B1131),MAX(B1131,IFERROR(H1130,B1131)),""),"")</f>
        <v/>
      </c>
      <c r="I1131" s="29">
        <f>IFERROR(IF(AND(ISNUMBER(B1131),ISNUMBER(H1131)),B1131/H1131-1,""),"")</f>
        <v/>
      </c>
      <c r="J1131" s="8">
        <f>IFERROR(IF(ISNUMBER(C1131),MAX(C1131,IFERROR(J1130,C1131)),""),"")</f>
        <v/>
      </c>
      <c r="K1131" s="29">
        <f>IFERROR(IF(AND(ISNUMBER(C1131),ISNUMBER(J1131)),C1131/J1131-1,""),"")</f>
        <v/>
      </c>
      <c r="L1131" s="28">
        <f>IFERROR(IF(AND(ISNUMBER(D1131),ISNUMBER(E1131)),D1131-E1131,""),"")</f>
        <v/>
      </c>
    </row>
    <row r="1132">
      <c r="A1132" s="7">
        <f>IFERROR(Datos!A1132,"")</f>
        <v/>
      </c>
      <c r="B1132" s="8">
        <f>IFERROR(Datos!B1132,"")</f>
        <v/>
      </c>
      <c r="C1132" s="8">
        <f>IFERROR(Datos!C1132,"")</f>
        <v/>
      </c>
      <c r="D1132" s="28">
        <f>IFERROR(IF(AND(ISNUMBER(B1132),ISNUMBER(B1131),B1131&lt;&gt;0),B1132/B1131-1,""),"")</f>
        <v/>
      </c>
      <c r="E1132" s="28">
        <f>IFERROR(IF(AND(ISNUMBER(C1132),ISNUMBER(C1131),C1131&lt;&gt;0),C1132/C1131-1,""),"")</f>
        <v/>
      </c>
      <c r="F1132" s="28">
        <f>IFERROR(D1132-Dashboard!$B$4/252,"")</f>
        <v/>
      </c>
      <c r="G1132" s="28">
        <f>IFERROR(E1132-Dashboard!$B$4/252,"")</f>
        <v/>
      </c>
      <c r="H1132" s="8">
        <f>IFERROR(IF(ISNUMBER(B1132),MAX(B1132,IFERROR(H1131,B1132)),""),"")</f>
        <v/>
      </c>
      <c r="I1132" s="29">
        <f>IFERROR(IF(AND(ISNUMBER(B1132),ISNUMBER(H1132)),B1132/H1132-1,""),"")</f>
        <v/>
      </c>
      <c r="J1132" s="8">
        <f>IFERROR(IF(ISNUMBER(C1132),MAX(C1132,IFERROR(J1131,C1132)),""),"")</f>
        <v/>
      </c>
      <c r="K1132" s="29">
        <f>IFERROR(IF(AND(ISNUMBER(C1132),ISNUMBER(J1132)),C1132/J1132-1,""),"")</f>
        <v/>
      </c>
      <c r="L1132" s="28">
        <f>IFERROR(IF(AND(ISNUMBER(D1132),ISNUMBER(E1132)),D1132-E1132,""),"")</f>
        <v/>
      </c>
    </row>
    <row r="1133">
      <c r="A1133" s="7">
        <f>IFERROR(Datos!A1133,"")</f>
        <v/>
      </c>
      <c r="B1133" s="8">
        <f>IFERROR(Datos!B1133,"")</f>
        <v/>
      </c>
      <c r="C1133" s="8">
        <f>IFERROR(Datos!C1133,"")</f>
        <v/>
      </c>
      <c r="D1133" s="28">
        <f>IFERROR(IF(AND(ISNUMBER(B1133),ISNUMBER(B1132),B1132&lt;&gt;0),B1133/B1132-1,""),"")</f>
        <v/>
      </c>
      <c r="E1133" s="28">
        <f>IFERROR(IF(AND(ISNUMBER(C1133),ISNUMBER(C1132),C1132&lt;&gt;0),C1133/C1132-1,""),"")</f>
        <v/>
      </c>
      <c r="F1133" s="28">
        <f>IFERROR(D1133-Dashboard!$B$4/252,"")</f>
        <v/>
      </c>
      <c r="G1133" s="28">
        <f>IFERROR(E1133-Dashboard!$B$4/252,"")</f>
        <v/>
      </c>
      <c r="H1133" s="8">
        <f>IFERROR(IF(ISNUMBER(B1133),MAX(B1133,IFERROR(H1132,B1133)),""),"")</f>
        <v/>
      </c>
      <c r="I1133" s="29">
        <f>IFERROR(IF(AND(ISNUMBER(B1133),ISNUMBER(H1133)),B1133/H1133-1,""),"")</f>
        <v/>
      </c>
      <c r="J1133" s="8">
        <f>IFERROR(IF(ISNUMBER(C1133),MAX(C1133,IFERROR(J1132,C1133)),""),"")</f>
        <v/>
      </c>
      <c r="K1133" s="29">
        <f>IFERROR(IF(AND(ISNUMBER(C1133),ISNUMBER(J1133)),C1133/J1133-1,""),"")</f>
        <v/>
      </c>
      <c r="L1133" s="28">
        <f>IFERROR(IF(AND(ISNUMBER(D1133),ISNUMBER(E1133)),D1133-E1133,""),"")</f>
        <v/>
      </c>
    </row>
    <row r="1134">
      <c r="A1134" s="7">
        <f>IFERROR(Datos!A1134,"")</f>
        <v/>
      </c>
      <c r="B1134" s="8">
        <f>IFERROR(Datos!B1134,"")</f>
        <v/>
      </c>
      <c r="C1134" s="8">
        <f>IFERROR(Datos!C1134,"")</f>
        <v/>
      </c>
      <c r="D1134" s="28">
        <f>IFERROR(IF(AND(ISNUMBER(B1134),ISNUMBER(B1133),B1133&lt;&gt;0),B1134/B1133-1,""),"")</f>
        <v/>
      </c>
      <c r="E1134" s="28">
        <f>IFERROR(IF(AND(ISNUMBER(C1134),ISNUMBER(C1133),C1133&lt;&gt;0),C1134/C1133-1,""),"")</f>
        <v/>
      </c>
      <c r="F1134" s="28">
        <f>IFERROR(D1134-Dashboard!$B$4/252,"")</f>
        <v/>
      </c>
      <c r="G1134" s="28">
        <f>IFERROR(E1134-Dashboard!$B$4/252,"")</f>
        <v/>
      </c>
      <c r="H1134" s="8">
        <f>IFERROR(IF(ISNUMBER(B1134),MAX(B1134,IFERROR(H1133,B1134)),""),"")</f>
        <v/>
      </c>
      <c r="I1134" s="29">
        <f>IFERROR(IF(AND(ISNUMBER(B1134),ISNUMBER(H1134)),B1134/H1134-1,""),"")</f>
        <v/>
      </c>
      <c r="J1134" s="8">
        <f>IFERROR(IF(ISNUMBER(C1134),MAX(C1134,IFERROR(J1133,C1134)),""),"")</f>
        <v/>
      </c>
      <c r="K1134" s="29">
        <f>IFERROR(IF(AND(ISNUMBER(C1134),ISNUMBER(J1134)),C1134/J1134-1,""),"")</f>
        <v/>
      </c>
      <c r="L1134" s="28">
        <f>IFERROR(IF(AND(ISNUMBER(D1134),ISNUMBER(E1134)),D1134-E1134,""),"")</f>
        <v/>
      </c>
    </row>
    <row r="1135">
      <c r="A1135" s="7">
        <f>IFERROR(Datos!A1135,"")</f>
        <v/>
      </c>
      <c r="B1135" s="8">
        <f>IFERROR(Datos!B1135,"")</f>
        <v/>
      </c>
      <c r="C1135" s="8">
        <f>IFERROR(Datos!C1135,"")</f>
        <v/>
      </c>
      <c r="D1135" s="28">
        <f>IFERROR(IF(AND(ISNUMBER(B1135),ISNUMBER(B1134),B1134&lt;&gt;0),B1135/B1134-1,""),"")</f>
        <v/>
      </c>
      <c r="E1135" s="28">
        <f>IFERROR(IF(AND(ISNUMBER(C1135),ISNUMBER(C1134),C1134&lt;&gt;0),C1135/C1134-1,""),"")</f>
        <v/>
      </c>
      <c r="F1135" s="28">
        <f>IFERROR(D1135-Dashboard!$B$4/252,"")</f>
        <v/>
      </c>
      <c r="G1135" s="28">
        <f>IFERROR(E1135-Dashboard!$B$4/252,"")</f>
        <v/>
      </c>
      <c r="H1135" s="8">
        <f>IFERROR(IF(ISNUMBER(B1135),MAX(B1135,IFERROR(H1134,B1135)),""),"")</f>
        <v/>
      </c>
      <c r="I1135" s="29">
        <f>IFERROR(IF(AND(ISNUMBER(B1135),ISNUMBER(H1135)),B1135/H1135-1,""),"")</f>
        <v/>
      </c>
      <c r="J1135" s="8">
        <f>IFERROR(IF(ISNUMBER(C1135),MAX(C1135,IFERROR(J1134,C1135)),""),"")</f>
        <v/>
      </c>
      <c r="K1135" s="29">
        <f>IFERROR(IF(AND(ISNUMBER(C1135),ISNUMBER(J1135)),C1135/J1135-1,""),"")</f>
        <v/>
      </c>
      <c r="L1135" s="28">
        <f>IFERROR(IF(AND(ISNUMBER(D1135),ISNUMBER(E1135)),D1135-E1135,""),"")</f>
        <v/>
      </c>
    </row>
    <row r="1136">
      <c r="A1136" s="7">
        <f>IFERROR(Datos!A1136,"")</f>
        <v/>
      </c>
      <c r="B1136" s="8">
        <f>IFERROR(Datos!B1136,"")</f>
        <v/>
      </c>
      <c r="C1136" s="8">
        <f>IFERROR(Datos!C1136,"")</f>
        <v/>
      </c>
      <c r="D1136" s="28">
        <f>IFERROR(IF(AND(ISNUMBER(B1136),ISNUMBER(B1135),B1135&lt;&gt;0),B1136/B1135-1,""),"")</f>
        <v/>
      </c>
      <c r="E1136" s="28">
        <f>IFERROR(IF(AND(ISNUMBER(C1136),ISNUMBER(C1135),C1135&lt;&gt;0),C1136/C1135-1,""),"")</f>
        <v/>
      </c>
      <c r="F1136" s="28">
        <f>IFERROR(D1136-Dashboard!$B$4/252,"")</f>
        <v/>
      </c>
      <c r="G1136" s="28">
        <f>IFERROR(E1136-Dashboard!$B$4/252,"")</f>
        <v/>
      </c>
      <c r="H1136" s="8">
        <f>IFERROR(IF(ISNUMBER(B1136),MAX(B1136,IFERROR(H1135,B1136)),""),"")</f>
        <v/>
      </c>
      <c r="I1136" s="29">
        <f>IFERROR(IF(AND(ISNUMBER(B1136),ISNUMBER(H1136)),B1136/H1136-1,""),"")</f>
        <v/>
      </c>
      <c r="J1136" s="8">
        <f>IFERROR(IF(ISNUMBER(C1136),MAX(C1136,IFERROR(J1135,C1136)),""),"")</f>
        <v/>
      </c>
      <c r="K1136" s="29">
        <f>IFERROR(IF(AND(ISNUMBER(C1136),ISNUMBER(J1136)),C1136/J1136-1,""),"")</f>
        <v/>
      </c>
      <c r="L1136" s="28">
        <f>IFERROR(IF(AND(ISNUMBER(D1136),ISNUMBER(E1136)),D1136-E1136,""),"")</f>
        <v/>
      </c>
    </row>
    <row r="1137">
      <c r="A1137" s="7">
        <f>IFERROR(Datos!A1137,"")</f>
        <v/>
      </c>
      <c r="B1137" s="8">
        <f>IFERROR(Datos!B1137,"")</f>
        <v/>
      </c>
      <c r="C1137" s="8">
        <f>IFERROR(Datos!C1137,"")</f>
        <v/>
      </c>
      <c r="D1137" s="28">
        <f>IFERROR(IF(AND(ISNUMBER(B1137),ISNUMBER(B1136),B1136&lt;&gt;0),B1137/B1136-1,""),"")</f>
        <v/>
      </c>
      <c r="E1137" s="28">
        <f>IFERROR(IF(AND(ISNUMBER(C1137),ISNUMBER(C1136),C1136&lt;&gt;0),C1137/C1136-1,""),"")</f>
        <v/>
      </c>
      <c r="F1137" s="28">
        <f>IFERROR(D1137-Dashboard!$B$4/252,"")</f>
        <v/>
      </c>
      <c r="G1137" s="28">
        <f>IFERROR(E1137-Dashboard!$B$4/252,"")</f>
        <v/>
      </c>
      <c r="H1137" s="8">
        <f>IFERROR(IF(ISNUMBER(B1137),MAX(B1137,IFERROR(H1136,B1137)),""),"")</f>
        <v/>
      </c>
      <c r="I1137" s="29">
        <f>IFERROR(IF(AND(ISNUMBER(B1137),ISNUMBER(H1137)),B1137/H1137-1,""),"")</f>
        <v/>
      </c>
      <c r="J1137" s="8">
        <f>IFERROR(IF(ISNUMBER(C1137),MAX(C1137,IFERROR(J1136,C1137)),""),"")</f>
        <v/>
      </c>
      <c r="K1137" s="29">
        <f>IFERROR(IF(AND(ISNUMBER(C1137),ISNUMBER(J1137)),C1137/J1137-1,""),"")</f>
        <v/>
      </c>
      <c r="L1137" s="28">
        <f>IFERROR(IF(AND(ISNUMBER(D1137),ISNUMBER(E1137)),D1137-E1137,""),"")</f>
        <v/>
      </c>
    </row>
    <row r="1138">
      <c r="A1138" s="7">
        <f>IFERROR(Datos!A1138,"")</f>
        <v/>
      </c>
      <c r="B1138" s="8">
        <f>IFERROR(Datos!B1138,"")</f>
        <v/>
      </c>
      <c r="C1138" s="8">
        <f>IFERROR(Datos!C1138,"")</f>
        <v/>
      </c>
      <c r="D1138" s="28">
        <f>IFERROR(IF(AND(ISNUMBER(B1138),ISNUMBER(B1137),B1137&lt;&gt;0),B1138/B1137-1,""),"")</f>
        <v/>
      </c>
      <c r="E1138" s="28">
        <f>IFERROR(IF(AND(ISNUMBER(C1138),ISNUMBER(C1137),C1137&lt;&gt;0),C1138/C1137-1,""),"")</f>
        <v/>
      </c>
      <c r="F1138" s="28">
        <f>IFERROR(D1138-Dashboard!$B$4/252,"")</f>
        <v/>
      </c>
      <c r="G1138" s="28">
        <f>IFERROR(E1138-Dashboard!$B$4/252,"")</f>
        <v/>
      </c>
      <c r="H1138" s="8">
        <f>IFERROR(IF(ISNUMBER(B1138),MAX(B1138,IFERROR(H1137,B1138)),""),"")</f>
        <v/>
      </c>
      <c r="I1138" s="29">
        <f>IFERROR(IF(AND(ISNUMBER(B1138),ISNUMBER(H1138)),B1138/H1138-1,""),"")</f>
        <v/>
      </c>
      <c r="J1138" s="8">
        <f>IFERROR(IF(ISNUMBER(C1138),MAX(C1138,IFERROR(J1137,C1138)),""),"")</f>
        <v/>
      </c>
      <c r="K1138" s="29">
        <f>IFERROR(IF(AND(ISNUMBER(C1138),ISNUMBER(J1138)),C1138/J1138-1,""),"")</f>
        <v/>
      </c>
      <c r="L1138" s="28">
        <f>IFERROR(IF(AND(ISNUMBER(D1138),ISNUMBER(E1138)),D1138-E1138,""),"")</f>
        <v/>
      </c>
    </row>
    <row r="1139">
      <c r="A1139" s="7">
        <f>IFERROR(Datos!A1139,"")</f>
        <v/>
      </c>
      <c r="B1139" s="8">
        <f>IFERROR(Datos!B1139,"")</f>
        <v/>
      </c>
      <c r="C1139" s="8">
        <f>IFERROR(Datos!C1139,"")</f>
        <v/>
      </c>
      <c r="D1139" s="28">
        <f>IFERROR(IF(AND(ISNUMBER(B1139),ISNUMBER(B1138),B1138&lt;&gt;0),B1139/B1138-1,""),"")</f>
        <v/>
      </c>
      <c r="E1139" s="28">
        <f>IFERROR(IF(AND(ISNUMBER(C1139),ISNUMBER(C1138),C1138&lt;&gt;0),C1139/C1138-1,""),"")</f>
        <v/>
      </c>
      <c r="F1139" s="28">
        <f>IFERROR(D1139-Dashboard!$B$4/252,"")</f>
        <v/>
      </c>
      <c r="G1139" s="28">
        <f>IFERROR(E1139-Dashboard!$B$4/252,"")</f>
        <v/>
      </c>
      <c r="H1139" s="8">
        <f>IFERROR(IF(ISNUMBER(B1139),MAX(B1139,IFERROR(H1138,B1139)),""),"")</f>
        <v/>
      </c>
      <c r="I1139" s="29">
        <f>IFERROR(IF(AND(ISNUMBER(B1139),ISNUMBER(H1139)),B1139/H1139-1,""),"")</f>
        <v/>
      </c>
      <c r="J1139" s="8">
        <f>IFERROR(IF(ISNUMBER(C1139),MAX(C1139,IFERROR(J1138,C1139)),""),"")</f>
        <v/>
      </c>
      <c r="K1139" s="29">
        <f>IFERROR(IF(AND(ISNUMBER(C1139),ISNUMBER(J1139)),C1139/J1139-1,""),"")</f>
        <v/>
      </c>
      <c r="L1139" s="28">
        <f>IFERROR(IF(AND(ISNUMBER(D1139),ISNUMBER(E1139)),D1139-E1139,""),"")</f>
        <v/>
      </c>
    </row>
    <row r="1140">
      <c r="A1140" s="7">
        <f>IFERROR(Datos!A1140,"")</f>
        <v/>
      </c>
      <c r="B1140" s="8">
        <f>IFERROR(Datos!B1140,"")</f>
        <v/>
      </c>
      <c r="C1140" s="8">
        <f>IFERROR(Datos!C1140,"")</f>
        <v/>
      </c>
      <c r="D1140" s="28">
        <f>IFERROR(IF(AND(ISNUMBER(B1140),ISNUMBER(B1139),B1139&lt;&gt;0),B1140/B1139-1,""),"")</f>
        <v/>
      </c>
      <c r="E1140" s="28">
        <f>IFERROR(IF(AND(ISNUMBER(C1140),ISNUMBER(C1139),C1139&lt;&gt;0),C1140/C1139-1,""),"")</f>
        <v/>
      </c>
      <c r="F1140" s="28">
        <f>IFERROR(D1140-Dashboard!$B$4/252,"")</f>
        <v/>
      </c>
      <c r="G1140" s="28">
        <f>IFERROR(E1140-Dashboard!$B$4/252,"")</f>
        <v/>
      </c>
      <c r="H1140" s="8">
        <f>IFERROR(IF(ISNUMBER(B1140),MAX(B1140,IFERROR(H1139,B1140)),""),"")</f>
        <v/>
      </c>
      <c r="I1140" s="29">
        <f>IFERROR(IF(AND(ISNUMBER(B1140),ISNUMBER(H1140)),B1140/H1140-1,""),"")</f>
        <v/>
      </c>
      <c r="J1140" s="8">
        <f>IFERROR(IF(ISNUMBER(C1140),MAX(C1140,IFERROR(J1139,C1140)),""),"")</f>
        <v/>
      </c>
      <c r="K1140" s="29">
        <f>IFERROR(IF(AND(ISNUMBER(C1140),ISNUMBER(J1140)),C1140/J1140-1,""),"")</f>
        <v/>
      </c>
      <c r="L1140" s="28">
        <f>IFERROR(IF(AND(ISNUMBER(D1140),ISNUMBER(E1140)),D1140-E1140,""),"")</f>
        <v/>
      </c>
    </row>
    <row r="1141">
      <c r="A1141" s="7">
        <f>IFERROR(Datos!A1141,"")</f>
        <v/>
      </c>
      <c r="B1141" s="8">
        <f>IFERROR(Datos!B1141,"")</f>
        <v/>
      </c>
      <c r="C1141" s="8">
        <f>IFERROR(Datos!C1141,"")</f>
        <v/>
      </c>
      <c r="D1141" s="28">
        <f>IFERROR(IF(AND(ISNUMBER(B1141),ISNUMBER(B1140),B1140&lt;&gt;0),B1141/B1140-1,""),"")</f>
        <v/>
      </c>
      <c r="E1141" s="28">
        <f>IFERROR(IF(AND(ISNUMBER(C1141),ISNUMBER(C1140),C1140&lt;&gt;0),C1141/C1140-1,""),"")</f>
        <v/>
      </c>
      <c r="F1141" s="28">
        <f>IFERROR(D1141-Dashboard!$B$4/252,"")</f>
        <v/>
      </c>
      <c r="G1141" s="28">
        <f>IFERROR(E1141-Dashboard!$B$4/252,"")</f>
        <v/>
      </c>
      <c r="H1141" s="8">
        <f>IFERROR(IF(ISNUMBER(B1141),MAX(B1141,IFERROR(H1140,B1141)),""),"")</f>
        <v/>
      </c>
      <c r="I1141" s="29">
        <f>IFERROR(IF(AND(ISNUMBER(B1141),ISNUMBER(H1141)),B1141/H1141-1,""),"")</f>
        <v/>
      </c>
      <c r="J1141" s="8">
        <f>IFERROR(IF(ISNUMBER(C1141),MAX(C1141,IFERROR(J1140,C1141)),""),"")</f>
        <v/>
      </c>
      <c r="K1141" s="29">
        <f>IFERROR(IF(AND(ISNUMBER(C1141),ISNUMBER(J1141)),C1141/J1141-1,""),"")</f>
        <v/>
      </c>
      <c r="L1141" s="28">
        <f>IFERROR(IF(AND(ISNUMBER(D1141),ISNUMBER(E1141)),D1141-E1141,""),"")</f>
        <v/>
      </c>
    </row>
    <row r="1142">
      <c r="A1142" s="7">
        <f>IFERROR(Datos!A1142,"")</f>
        <v/>
      </c>
      <c r="B1142" s="8">
        <f>IFERROR(Datos!B1142,"")</f>
        <v/>
      </c>
      <c r="C1142" s="8">
        <f>IFERROR(Datos!C1142,"")</f>
        <v/>
      </c>
      <c r="D1142" s="28">
        <f>IFERROR(IF(AND(ISNUMBER(B1142),ISNUMBER(B1141),B1141&lt;&gt;0),B1142/B1141-1,""),"")</f>
        <v/>
      </c>
      <c r="E1142" s="28">
        <f>IFERROR(IF(AND(ISNUMBER(C1142),ISNUMBER(C1141),C1141&lt;&gt;0),C1142/C1141-1,""),"")</f>
        <v/>
      </c>
      <c r="F1142" s="28">
        <f>IFERROR(D1142-Dashboard!$B$4/252,"")</f>
        <v/>
      </c>
      <c r="G1142" s="28">
        <f>IFERROR(E1142-Dashboard!$B$4/252,"")</f>
        <v/>
      </c>
      <c r="H1142" s="8">
        <f>IFERROR(IF(ISNUMBER(B1142),MAX(B1142,IFERROR(H1141,B1142)),""),"")</f>
        <v/>
      </c>
      <c r="I1142" s="29">
        <f>IFERROR(IF(AND(ISNUMBER(B1142),ISNUMBER(H1142)),B1142/H1142-1,""),"")</f>
        <v/>
      </c>
      <c r="J1142" s="8">
        <f>IFERROR(IF(ISNUMBER(C1142),MAX(C1142,IFERROR(J1141,C1142)),""),"")</f>
        <v/>
      </c>
      <c r="K1142" s="29">
        <f>IFERROR(IF(AND(ISNUMBER(C1142),ISNUMBER(J1142)),C1142/J1142-1,""),"")</f>
        <v/>
      </c>
      <c r="L1142" s="28">
        <f>IFERROR(IF(AND(ISNUMBER(D1142),ISNUMBER(E1142)),D1142-E1142,""),"")</f>
        <v/>
      </c>
    </row>
    <row r="1143">
      <c r="A1143" s="7">
        <f>IFERROR(Datos!A1143,"")</f>
        <v/>
      </c>
      <c r="B1143" s="8">
        <f>IFERROR(Datos!B1143,"")</f>
        <v/>
      </c>
      <c r="C1143" s="8">
        <f>IFERROR(Datos!C1143,"")</f>
        <v/>
      </c>
      <c r="D1143" s="28">
        <f>IFERROR(IF(AND(ISNUMBER(B1143),ISNUMBER(B1142),B1142&lt;&gt;0),B1143/B1142-1,""),"")</f>
        <v/>
      </c>
      <c r="E1143" s="28">
        <f>IFERROR(IF(AND(ISNUMBER(C1143),ISNUMBER(C1142),C1142&lt;&gt;0),C1143/C1142-1,""),"")</f>
        <v/>
      </c>
      <c r="F1143" s="28">
        <f>IFERROR(D1143-Dashboard!$B$4/252,"")</f>
        <v/>
      </c>
      <c r="G1143" s="28">
        <f>IFERROR(E1143-Dashboard!$B$4/252,"")</f>
        <v/>
      </c>
      <c r="H1143" s="8">
        <f>IFERROR(IF(ISNUMBER(B1143),MAX(B1143,IFERROR(H1142,B1143)),""),"")</f>
        <v/>
      </c>
      <c r="I1143" s="29">
        <f>IFERROR(IF(AND(ISNUMBER(B1143),ISNUMBER(H1143)),B1143/H1143-1,""),"")</f>
        <v/>
      </c>
      <c r="J1143" s="8">
        <f>IFERROR(IF(ISNUMBER(C1143),MAX(C1143,IFERROR(J1142,C1143)),""),"")</f>
        <v/>
      </c>
      <c r="K1143" s="29">
        <f>IFERROR(IF(AND(ISNUMBER(C1143),ISNUMBER(J1143)),C1143/J1143-1,""),"")</f>
        <v/>
      </c>
      <c r="L1143" s="28">
        <f>IFERROR(IF(AND(ISNUMBER(D1143),ISNUMBER(E1143)),D1143-E1143,""),"")</f>
        <v/>
      </c>
    </row>
    <row r="1144">
      <c r="A1144" s="7">
        <f>IFERROR(Datos!A1144,"")</f>
        <v/>
      </c>
      <c r="B1144" s="8">
        <f>IFERROR(Datos!B1144,"")</f>
        <v/>
      </c>
      <c r="C1144" s="8">
        <f>IFERROR(Datos!C1144,"")</f>
        <v/>
      </c>
      <c r="D1144" s="28">
        <f>IFERROR(IF(AND(ISNUMBER(B1144),ISNUMBER(B1143),B1143&lt;&gt;0),B1144/B1143-1,""),"")</f>
        <v/>
      </c>
      <c r="E1144" s="28">
        <f>IFERROR(IF(AND(ISNUMBER(C1144),ISNUMBER(C1143),C1143&lt;&gt;0),C1144/C1143-1,""),"")</f>
        <v/>
      </c>
      <c r="F1144" s="28">
        <f>IFERROR(D1144-Dashboard!$B$4/252,"")</f>
        <v/>
      </c>
      <c r="G1144" s="28">
        <f>IFERROR(E1144-Dashboard!$B$4/252,"")</f>
        <v/>
      </c>
      <c r="H1144" s="8">
        <f>IFERROR(IF(ISNUMBER(B1144),MAX(B1144,IFERROR(H1143,B1144)),""),"")</f>
        <v/>
      </c>
      <c r="I1144" s="29">
        <f>IFERROR(IF(AND(ISNUMBER(B1144),ISNUMBER(H1144)),B1144/H1144-1,""),"")</f>
        <v/>
      </c>
      <c r="J1144" s="8">
        <f>IFERROR(IF(ISNUMBER(C1144),MAX(C1144,IFERROR(J1143,C1144)),""),"")</f>
        <v/>
      </c>
      <c r="K1144" s="29">
        <f>IFERROR(IF(AND(ISNUMBER(C1144),ISNUMBER(J1144)),C1144/J1144-1,""),"")</f>
        <v/>
      </c>
      <c r="L1144" s="28">
        <f>IFERROR(IF(AND(ISNUMBER(D1144),ISNUMBER(E1144)),D1144-E1144,""),"")</f>
        <v/>
      </c>
    </row>
    <row r="1145">
      <c r="A1145" s="7">
        <f>IFERROR(Datos!A1145,"")</f>
        <v/>
      </c>
      <c r="B1145" s="8">
        <f>IFERROR(Datos!B1145,"")</f>
        <v/>
      </c>
      <c r="C1145" s="8">
        <f>IFERROR(Datos!C1145,"")</f>
        <v/>
      </c>
      <c r="D1145" s="28">
        <f>IFERROR(IF(AND(ISNUMBER(B1145),ISNUMBER(B1144),B1144&lt;&gt;0),B1145/B1144-1,""),"")</f>
        <v/>
      </c>
      <c r="E1145" s="28">
        <f>IFERROR(IF(AND(ISNUMBER(C1145),ISNUMBER(C1144),C1144&lt;&gt;0),C1145/C1144-1,""),"")</f>
        <v/>
      </c>
      <c r="F1145" s="28">
        <f>IFERROR(D1145-Dashboard!$B$4/252,"")</f>
        <v/>
      </c>
      <c r="G1145" s="28">
        <f>IFERROR(E1145-Dashboard!$B$4/252,"")</f>
        <v/>
      </c>
      <c r="H1145" s="8">
        <f>IFERROR(IF(ISNUMBER(B1145),MAX(B1145,IFERROR(H1144,B1145)),""),"")</f>
        <v/>
      </c>
      <c r="I1145" s="29">
        <f>IFERROR(IF(AND(ISNUMBER(B1145),ISNUMBER(H1145)),B1145/H1145-1,""),"")</f>
        <v/>
      </c>
      <c r="J1145" s="8">
        <f>IFERROR(IF(ISNUMBER(C1145),MAX(C1145,IFERROR(J1144,C1145)),""),"")</f>
        <v/>
      </c>
      <c r="K1145" s="29">
        <f>IFERROR(IF(AND(ISNUMBER(C1145),ISNUMBER(J1145)),C1145/J1145-1,""),"")</f>
        <v/>
      </c>
      <c r="L1145" s="28">
        <f>IFERROR(IF(AND(ISNUMBER(D1145),ISNUMBER(E1145)),D1145-E1145,""),"")</f>
        <v/>
      </c>
    </row>
    <row r="1146">
      <c r="A1146" s="7">
        <f>IFERROR(Datos!A1146,"")</f>
        <v/>
      </c>
      <c r="B1146" s="8">
        <f>IFERROR(Datos!B1146,"")</f>
        <v/>
      </c>
      <c r="C1146" s="8">
        <f>IFERROR(Datos!C1146,"")</f>
        <v/>
      </c>
      <c r="D1146" s="28">
        <f>IFERROR(IF(AND(ISNUMBER(B1146),ISNUMBER(B1145),B1145&lt;&gt;0),B1146/B1145-1,""),"")</f>
        <v/>
      </c>
      <c r="E1146" s="28">
        <f>IFERROR(IF(AND(ISNUMBER(C1146),ISNUMBER(C1145),C1145&lt;&gt;0),C1146/C1145-1,""),"")</f>
        <v/>
      </c>
      <c r="F1146" s="28">
        <f>IFERROR(D1146-Dashboard!$B$4/252,"")</f>
        <v/>
      </c>
      <c r="G1146" s="28">
        <f>IFERROR(E1146-Dashboard!$B$4/252,"")</f>
        <v/>
      </c>
      <c r="H1146" s="8">
        <f>IFERROR(IF(ISNUMBER(B1146),MAX(B1146,IFERROR(H1145,B1146)),""),"")</f>
        <v/>
      </c>
      <c r="I1146" s="29">
        <f>IFERROR(IF(AND(ISNUMBER(B1146),ISNUMBER(H1146)),B1146/H1146-1,""),"")</f>
        <v/>
      </c>
      <c r="J1146" s="8">
        <f>IFERROR(IF(ISNUMBER(C1146),MAX(C1146,IFERROR(J1145,C1146)),""),"")</f>
        <v/>
      </c>
      <c r="K1146" s="29">
        <f>IFERROR(IF(AND(ISNUMBER(C1146),ISNUMBER(J1146)),C1146/J1146-1,""),"")</f>
        <v/>
      </c>
      <c r="L1146" s="28">
        <f>IFERROR(IF(AND(ISNUMBER(D1146),ISNUMBER(E1146)),D1146-E1146,""),"")</f>
        <v/>
      </c>
    </row>
    <row r="1147">
      <c r="A1147" s="7">
        <f>IFERROR(Datos!A1147,"")</f>
        <v/>
      </c>
      <c r="B1147" s="8">
        <f>IFERROR(Datos!B1147,"")</f>
        <v/>
      </c>
      <c r="C1147" s="8">
        <f>IFERROR(Datos!C1147,"")</f>
        <v/>
      </c>
      <c r="D1147" s="28">
        <f>IFERROR(IF(AND(ISNUMBER(B1147),ISNUMBER(B1146),B1146&lt;&gt;0),B1147/B1146-1,""),"")</f>
        <v/>
      </c>
      <c r="E1147" s="28">
        <f>IFERROR(IF(AND(ISNUMBER(C1147),ISNUMBER(C1146),C1146&lt;&gt;0),C1147/C1146-1,""),"")</f>
        <v/>
      </c>
      <c r="F1147" s="28">
        <f>IFERROR(D1147-Dashboard!$B$4/252,"")</f>
        <v/>
      </c>
      <c r="G1147" s="28">
        <f>IFERROR(E1147-Dashboard!$B$4/252,"")</f>
        <v/>
      </c>
      <c r="H1147" s="8">
        <f>IFERROR(IF(ISNUMBER(B1147),MAX(B1147,IFERROR(H1146,B1147)),""),"")</f>
        <v/>
      </c>
      <c r="I1147" s="29">
        <f>IFERROR(IF(AND(ISNUMBER(B1147),ISNUMBER(H1147)),B1147/H1147-1,""),"")</f>
        <v/>
      </c>
      <c r="J1147" s="8">
        <f>IFERROR(IF(ISNUMBER(C1147),MAX(C1147,IFERROR(J1146,C1147)),""),"")</f>
        <v/>
      </c>
      <c r="K1147" s="29">
        <f>IFERROR(IF(AND(ISNUMBER(C1147),ISNUMBER(J1147)),C1147/J1147-1,""),"")</f>
        <v/>
      </c>
      <c r="L1147" s="28">
        <f>IFERROR(IF(AND(ISNUMBER(D1147),ISNUMBER(E1147)),D1147-E1147,""),"")</f>
        <v/>
      </c>
    </row>
    <row r="1148">
      <c r="A1148" s="7">
        <f>IFERROR(Datos!A1148,"")</f>
        <v/>
      </c>
      <c r="B1148" s="8">
        <f>IFERROR(Datos!B1148,"")</f>
        <v/>
      </c>
      <c r="C1148" s="8">
        <f>IFERROR(Datos!C1148,"")</f>
        <v/>
      </c>
      <c r="D1148" s="28">
        <f>IFERROR(IF(AND(ISNUMBER(B1148),ISNUMBER(B1147),B1147&lt;&gt;0),B1148/B1147-1,""),"")</f>
        <v/>
      </c>
      <c r="E1148" s="28">
        <f>IFERROR(IF(AND(ISNUMBER(C1148),ISNUMBER(C1147),C1147&lt;&gt;0),C1148/C1147-1,""),"")</f>
        <v/>
      </c>
      <c r="F1148" s="28">
        <f>IFERROR(D1148-Dashboard!$B$4/252,"")</f>
        <v/>
      </c>
      <c r="G1148" s="28">
        <f>IFERROR(E1148-Dashboard!$B$4/252,"")</f>
        <v/>
      </c>
      <c r="H1148" s="8">
        <f>IFERROR(IF(ISNUMBER(B1148),MAX(B1148,IFERROR(H1147,B1148)),""),"")</f>
        <v/>
      </c>
      <c r="I1148" s="29">
        <f>IFERROR(IF(AND(ISNUMBER(B1148),ISNUMBER(H1148)),B1148/H1148-1,""),"")</f>
        <v/>
      </c>
      <c r="J1148" s="8">
        <f>IFERROR(IF(ISNUMBER(C1148),MAX(C1148,IFERROR(J1147,C1148)),""),"")</f>
        <v/>
      </c>
      <c r="K1148" s="29">
        <f>IFERROR(IF(AND(ISNUMBER(C1148),ISNUMBER(J1148)),C1148/J1148-1,""),"")</f>
        <v/>
      </c>
      <c r="L1148" s="28">
        <f>IFERROR(IF(AND(ISNUMBER(D1148),ISNUMBER(E1148)),D1148-E1148,""),"")</f>
        <v/>
      </c>
    </row>
    <row r="1149">
      <c r="A1149" s="7">
        <f>IFERROR(Datos!A1149,"")</f>
        <v/>
      </c>
      <c r="B1149" s="8">
        <f>IFERROR(Datos!B1149,"")</f>
        <v/>
      </c>
      <c r="C1149" s="8">
        <f>IFERROR(Datos!C1149,"")</f>
        <v/>
      </c>
      <c r="D1149" s="28">
        <f>IFERROR(IF(AND(ISNUMBER(B1149),ISNUMBER(B1148),B1148&lt;&gt;0),B1149/B1148-1,""),"")</f>
        <v/>
      </c>
      <c r="E1149" s="28">
        <f>IFERROR(IF(AND(ISNUMBER(C1149),ISNUMBER(C1148),C1148&lt;&gt;0),C1149/C1148-1,""),"")</f>
        <v/>
      </c>
      <c r="F1149" s="28">
        <f>IFERROR(D1149-Dashboard!$B$4/252,"")</f>
        <v/>
      </c>
      <c r="G1149" s="28">
        <f>IFERROR(E1149-Dashboard!$B$4/252,"")</f>
        <v/>
      </c>
      <c r="H1149" s="8">
        <f>IFERROR(IF(ISNUMBER(B1149),MAX(B1149,IFERROR(H1148,B1149)),""),"")</f>
        <v/>
      </c>
      <c r="I1149" s="29">
        <f>IFERROR(IF(AND(ISNUMBER(B1149),ISNUMBER(H1149)),B1149/H1149-1,""),"")</f>
        <v/>
      </c>
      <c r="J1149" s="8">
        <f>IFERROR(IF(ISNUMBER(C1149),MAX(C1149,IFERROR(J1148,C1149)),""),"")</f>
        <v/>
      </c>
      <c r="K1149" s="29">
        <f>IFERROR(IF(AND(ISNUMBER(C1149),ISNUMBER(J1149)),C1149/J1149-1,""),"")</f>
        <v/>
      </c>
      <c r="L1149" s="28">
        <f>IFERROR(IF(AND(ISNUMBER(D1149),ISNUMBER(E1149)),D1149-E1149,""),"")</f>
        <v/>
      </c>
    </row>
    <row r="1150">
      <c r="A1150" s="7">
        <f>IFERROR(Datos!A1150,"")</f>
        <v/>
      </c>
      <c r="B1150" s="8">
        <f>IFERROR(Datos!B1150,"")</f>
        <v/>
      </c>
      <c r="C1150" s="8">
        <f>IFERROR(Datos!C1150,"")</f>
        <v/>
      </c>
      <c r="D1150" s="28">
        <f>IFERROR(IF(AND(ISNUMBER(B1150),ISNUMBER(B1149),B1149&lt;&gt;0),B1150/B1149-1,""),"")</f>
        <v/>
      </c>
      <c r="E1150" s="28">
        <f>IFERROR(IF(AND(ISNUMBER(C1150),ISNUMBER(C1149),C1149&lt;&gt;0),C1150/C1149-1,""),"")</f>
        <v/>
      </c>
      <c r="F1150" s="28">
        <f>IFERROR(D1150-Dashboard!$B$4/252,"")</f>
        <v/>
      </c>
      <c r="G1150" s="28">
        <f>IFERROR(E1150-Dashboard!$B$4/252,"")</f>
        <v/>
      </c>
      <c r="H1150" s="8">
        <f>IFERROR(IF(ISNUMBER(B1150),MAX(B1150,IFERROR(H1149,B1150)),""),"")</f>
        <v/>
      </c>
      <c r="I1150" s="29">
        <f>IFERROR(IF(AND(ISNUMBER(B1150),ISNUMBER(H1150)),B1150/H1150-1,""),"")</f>
        <v/>
      </c>
      <c r="J1150" s="8">
        <f>IFERROR(IF(ISNUMBER(C1150),MAX(C1150,IFERROR(J1149,C1150)),""),"")</f>
        <v/>
      </c>
      <c r="K1150" s="29">
        <f>IFERROR(IF(AND(ISNUMBER(C1150),ISNUMBER(J1150)),C1150/J1150-1,""),"")</f>
        <v/>
      </c>
      <c r="L1150" s="28">
        <f>IFERROR(IF(AND(ISNUMBER(D1150),ISNUMBER(E1150)),D1150-E1150,""),"")</f>
        <v/>
      </c>
    </row>
    <row r="1151">
      <c r="A1151" s="7">
        <f>IFERROR(Datos!A1151,"")</f>
        <v/>
      </c>
      <c r="B1151" s="8">
        <f>IFERROR(Datos!B1151,"")</f>
        <v/>
      </c>
      <c r="C1151" s="8">
        <f>IFERROR(Datos!C1151,"")</f>
        <v/>
      </c>
      <c r="D1151" s="28">
        <f>IFERROR(IF(AND(ISNUMBER(B1151),ISNUMBER(B1150),B1150&lt;&gt;0),B1151/B1150-1,""),"")</f>
        <v/>
      </c>
      <c r="E1151" s="28">
        <f>IFERROR(IF(AND(ISNUMBER(C1151),ISNUMBER(C1150),C1150&lt;&gt;0),C1151/C1150-1,""),"")</f>
        <v/>
      </c>
      <c r="F1151" s="28">
        <f>IFERROR(D1151-Dashboard!$B$4/252,"")</f>
        <v/>
      </c>
      <c r="G1151" s="28">
        <f>IFERROR(E1151-Dashboard!$B$4/252,"")</f>
        <v/>
      </c>
      <c r="H1151" s="8">
        <f>IFERROR(IF(ISNUMBER(B1151),MAX(B1151,IFERROR(H1150,B1151)),""),"")</f>
        <v/>
      </c>
      <c r="I1151" s="29">
        <f>IFERROR(IF(AND(ISNUMBER(B1151),ISNUMBER(H1151)),B1151/H1151-1,""),"")</f>
        <v/>
      </c>
      <c r="J1151" s="8">
        <f>IFERROR(IF(ISNUMBER(C1151),MAX(C1151,IFERROR(J1150,C1151)),""),"")</f>
        <v/>
      </c>
      <c r="K1151" s="29">
        <f>IFERROR(IF(AND(ISNUMBER(C1151),ISNUMBER(J1151)),C1151/J1151-1,""),"")</f>
        <v/>
      </c>
      <c r="L1151" s="28">
        <f>IFERROR(IF(AND(ISNUMBER(D1151),ISNUMBER(E1151)),D1151-E1151,""),"")</f>
        <v/>
      </c>
    </row>
    <row r="1152">
      <c r="A1152" s="7">
        <f>IFERROR(Datos!A1152,"")</f>
        <v/>
      </c>
      <c r="B1152" s="8">
        <f>IFERROR(Datos!B1152,"")</f>
        <v/>
      </c>
      <c r="C1152" s="8">
        <f>IFERROR(Datos!C1152,"")</f>
        <v/>
      </c>
      <c r="D1152" s="28">
        <f>IFERROR(IF(AND(ISNUMBER(B1152),ISNUMBER(B1151),B1151&lt;&gt;0),B1152/B1151-1,""),"")</f>
        <v/>
      </c>
      <c r="E1152" s="28">
        <f>IFERROR(IF(AND(ISNUMBER(C1152),ISNUMBER(C1151),C1151&lt;&gt;0),C1152/C1151-1,""),"")</f>
        <v/>
      </c>
      <c r="F1152" s="28">
        <f>IFERROR(D1152-Dashboard!$B$4/252,"")</f>
        <v/>
      </c>
      <c r="G1152" s="28">
        <f>IFERROR(E1152-Dashboard!$B$4/252,"")</f>
        <v/>
      </c>
      <c r="H1152" s="8">
        <f>IFERROR(IF(ISNUMBER(B1152),MAX(B1152,IFERROR(H1151,B1152)),""),"")</f>
        <v/>
      </c>
      <c r="I1152" s="29">
        <f>IFERROR(IF(AND(ISNUMBER(B1152),ISNUMBER(H1152)),B1152/H1152-1,""),"")</f>
        <v/>
      </c>
      <c r="J1152" s="8">
        <f>IFERROR(IF(ISNUMBER(C1152),MAX(C1152,IFERROR(J1151,C1152)),""),"")</f>
        <v/>
      </c>
      <c r="K1152" s="29">
        <f>IFERROR(IF(AND(ISNUMBER(C1152),ISNUMBER(J1152)),C1152/J1152-1,""),"")</f>
        <v/>
      </c>
      <c r="L1152" s="28">
        <f>IFERROR(IF(AND(ISNUMBER(D1152),ISNUMBER(E1152)),D1152-E1152,""),"")</f>
        <v/>
      </c>
    </row>
    <row r="1153">
      <c r="A1153" s="7">
        <f>IFERROR(Datos!A1153,"")</f>
        <v/>
      </c>
      <c r="B1153" s="8">
        <f>IFERROR(Datos!B1153,"")</f>
        <v/>
      </c>
      <c r="C1153" s="8">
        <f>IFERROR(Datos!C1153,"")</f>
        <v/>
      </c>
      <c r="D1153" s="28">
        <f>IFERROR(IF(AND(ISNUMBER(B1153),ISNUMBER(B1152),B1152&lt;&gt;0),B1153/B1152-1,""),"")</f>
        <v/>
      </c>
      <c r="E1153" s="28">
        <f>IFERROR(IF(AND(ISNUMBER(C1153),ISNUMBER(C1152),C1152&lt;&gt;0),C1153/C1152-1,""),"")</f>
        <v/>
      </c>
      <c r="F1153" s="28">
        <f>IFERROR(D1153-Dashboard!$B$4/252,"")</f>
        <v/>
      </c>
      <c r="G1153" s="28">
        <f>IFERROR(E1153-Dashboard!$B$4/252,"")</f>
        <v/>
      </c>
      <c r="H1153" s="8">
        <f>IFERROR(IF(ISNUMBER(B1153),MAX(B1153,IFERROR(H1152,B1153)),""),"")</f>
        <v/>
      </c>
      <c r="I1153" s="29">
        <f>IFERROR(IF(AND(ISNUMBER(B1153),ISNUMBER(H1153)),B1153/H1153-1,""),"")</f>
        <v/>
      </c>
      <c r="J1153" s="8">
        <f>IFERROR(IF(ISNUMBER(C1153),MAX(C1153,IFERROR(J1152,C1153)),""),"")</f>
        <v/>
      </c>
      <c r="K1153" s="29">
        <f>IFERROR(IF(AND(ISNUMBER(C1153),ISNUMBER(J1153)),C1153/J1153-1,""),"")</f>
        <v/>
      </c>
      <c r="L1153" s="28">
        <f>IFERROR(IF(AND(ISNUMBER(D1153),ISNUMBER(E1153)),D1153-E1153,""),"")</f>
        <v/>
      </c>
    </row>
    <row r="1154">
      <c r="A1154" s="7">
        <f>IFERROR(Datos!A1154,"")</f>
        <v/>
      </c>
      <c r="B1154" s="8">
        <f>IFERROR(Datos!B1154,"")</f>
        <v/>
      </c>
      <c r="C1154" s="8">
        <f>IFERROR(Datos!C1154,"")</f>
        <v/>
      </c>
      <c r="D1154" s="28">
        <f>IFERROR(IF(AND(ISNUMBER(B1154),ISNUMBER(B1153),B1153&lt;&gt;0),B1154/B1153-1,""),"")</f>
        <v/>
      </c>
      <c r="E1154" s="28">
        <f>IFERROR(IF(AND(ISNUMBER(C1154),ISNUMBER(C1153),C1153&lt;&gt;0),C1154/C1153-1,""),"")</f>
        <v/>
      </c>
      <c r="F1154" s="28">
        <f>IFERROR(D1154-Dashboard!$B$4/252,"")</f>
        <v/>
      </c>
      <c r="G1154" s="28">
        <f>IFERROR(E1154-Dashboard!$B$4/252,"")</f>
        <v/>
      </c>
      <c r="H1154" s="8">
        <f>IFERROR(IF(ISNUMBER(B1154),MAX(B1154,IFERROR(H1153,B1154)),""),"")</f>
        <v/>
      </c>
      <c r="I1154" s="29">
        <f>IFERROR(IF(AND(ISNUMBER(B1154),ISNUMBER(H1154)),B1154/H1154-1,""),"")</f>
        <v/>
      </c>
      <c r="J1154" s="8">
        <f>IFERROR(IF(ISNUMBER(C1154),MAX(C1154,IFERROR(J1153,C1154)),""),"")</f>
        <v/>
      </c>
      <c r="K1154" s="29">
        <f>IFERROR(IF(AND(ISNUMBER(C1154),ISNUMBER(J1154)),C1154/J1154-1,""),"")</f>
        <v/>
      </c>
      <c r="L1154" s="28">
        <f>IFERROR(IF(AND(ISNUMBER(D1154),ISNUMBER(E1154)),D1154-E1154,""),"")</f>
        <v/>
      </c>
    </row>
    <row r="1155">
      <c r="A1155" s="7">
        <f>IFERROR(Datos!A1155,"")</f>
        <v/>
      </c>
      <c r="B1155" s="8">
        <f>IFERROR(Datos!B1155,"")</f>
        <v/>
      </c>
      <c r="C1155" s="8">
        <f>IFERROR(Datos!C1155,"")</f>
        <v/>
      </c>
      <c r="D1155" s="28">
        <f>IFERROR(IF(AND(ISNUMBER(B1155),ISNUMBER(B1154),B1154&lt;&gt;0),B1155/B1154-1,""),"")</f>
        <v/>
      </c>
      <c r="E1155" s="28">
        <f>IFERROR(IF(AND(ISNUMBER(C1155),ISNUMBER(C1154),C1154&lt;&gt;0),C1155/C1154-1,""),"")</f>
        <v/>
      </c>
      <c r="F1155" s="28">
        <f>IFERROR(D1155-Dashboard!$B$4/252,"")</f>
        <v/>
      </c>
      <c r="G1155" s="28">
        <f>IFERROR(E1155-Dashboard!$B$4/252,"")</f>
        <v/>
      </c>
      <c r="H1155" s="8">
        <f>IFERROR(IF(ISNUMBER(B1155),MAX(B1155,IFERROR(H1154,B1155)),""),"")</f>
        <v/>
      </c>
      <c r="I1155" s="29">
        <f>IFERROR(IF(AND(ISNUMBER(B1155),ISNUMBER(H1155)),B1155/H1155-1,""),"")</f>
        <v/>
      </c>
      <c r="J1155" s="8">
        <f>IFERROR(IF(ISNUMBER(C1155),MAX(C1155,IFERROR(J1154,C1155)),""),"")</f>
        <v/>
      </c>
      <c r="K1155" s="29">
        <f>IFERROR(IF(AND(ISNUMBER(C1155),ISNUMBER(J1155)),C1155/J1155-1,""),"")</f>
        <v/>
      </c>
      <c r="L1155" s="28">
        <f>IFERROR(IF(AND(ISNUMBER(D1155),ISNUMBER(E1155)),D1155-E1155,""),"")</f>
        <v/>
      </c>
    </row>
    <row r="1156">
      <c r="A1156" s="7">
        <f>IFERROR(Datos!A1156,"")</f>
        <v/>
      </c>
      <c r="B1156" s="8">
        <f>IFERROR(Datos!B1156,"")</f>
        <v/>
      </c>
      <c r="C1156" s="8">
        <f>IFERROR(Datos!C1156,"")</f>
        <v/>
      </c>
      <c r="D1156" s="28">
        <f>IFERROR(IF(AND(ISNUMBER(B1156),ISNUMBER(B1155),B1155&lt;&gt;0),B1156/B1155-1,""),"")</f>
        <v/>
      </c>
      <c r="E1156" s="28">
        <f>IFERROR(IF(AND(ISNUMBER(C1156),ISNUMBER(C1155),C1155&lt;&gt;0),C1156/C1155-1,""),"")</f>
        <v/>
      </c>
      <c r="F1156" s="28">
        <f>IFERROR(D1156-Dashboard!$B$4/252,"")</f>
        <v/>
      </c>
      <c r="G1156" s="28">
        <f>IFERROR(E1156-Dashboard!$B$4/252,"")</f>
        <v/>
      </c>
      <c r="H1156" s="8">
        <f>IFERROR(IF(ISNUMBER(B1156),MAX(B1156,IFERROR(H1155,B1156)),""),"")</f>
        <v/>
      </c>
      <c r="I1156" s="29">
        <f>IFERROR(IF(AND(ISNUMBER(B1156),ISNUMBER(H1156)),B1156/H1156-1,""),"")</f>
        <v/>
      </c>
      <c r="J1156" s="8">
        <f>IFERROR(IF(ISNUMBER(C1156),MAX(C1156,IFERROR(J1155,C1156)),""),"")</f>
        <v/>
      </c>
      <c r="K1156" s="29">
        <f>IFERROR(IF(AND(ISNUMBER(C1156),ISNUMBER(J1156)),C1156/J1156-1,""),"")</f>
        <v/>
      </c>
      <c r="L1156" s="28">
        <f>IFERROR(IF(AND(ISNUMBER(D1156),ISNUMBER(E1156)),D1156-E1156,""),"")</f>
        <v/>
      </c>
    </row>
    <row r="1157">
      <c r="A1157" s="7">
        <f>IFERROR(Datos!A1157,"")</f>
        <v/>
      </c>
      <c r="B1157" s="8">
        <f>IFERROR(Datos!B1157,"")</f>
        <v/>
      </c>
      <c r="C1157" s="8">
        <f>IFERROR(Datos!C1157,"")</f>
        <v/>
      </c>
      <c r="D1157" s="28">
        <f>IFERROR(IF(AND(ISNUMBER(B1157),ISNUMBER(B1156),B1156&lt;&gt;0),B1157/B1156-1,""),"")</f>
        <v/>
      </c>
      <c r="E1157" s="28">
        <f>IFERROR(IF(AND(ISNUMBER(C1157),ISNUMBER(C1156),C1156&lt;&gt;0),C1157/C1156-1,""),"")</f>
        <v/>
      </c>
      <c r="F1157" s="28">
        <f>IFERROR(D1157-Dashboard!$B$4/252,"")</f>
        <v/>
      </c>
      <c r="G1157" s="28">
        <f>IFERROR(E1157-Dashboard!$B$4/252,"")</f>
        <v/>
      </c>
      <c r="H1157" s="8">
        <f>IFERROR(IF(ISNUMBER(B1157),MAX(B1157,IFERROR(H1156,B1157)),""),"")</f>
        <v/>
      </c>
      <c r="I1157" s="29">
        <f>IFERROR(IF(AND(ISNUMBER(B1157),ISNUMBER(H1157)),B1157/H1157-1,""),"")</f>
        <v/>
      </c>
      <c r="J1157" s="8">
        <f>IFERROR(IF(ISNUMBER(C1157),MAX(C1157,IFERROR(J1156,C1157)),""),"")</f>
        <v/>
      </c>
      <c r="K1157" s="29">
        <f>IFERROR(IF(AND(ISNUMBER(C1157),ISNUMBER(J1157)),C1157/J1157-1,""),"")</f>
        <v/>
      </c>
      <c r="L1157" s="28">
        <f>IFERROR(IF(AND(ISNUMBER(D1157),ISNUMBER(E1157)),D1157-E1157,""),"")</f>
        <v/>
      </c>
    </row>
    <row r="1158">
      <c r="A1158" s="7">
        <f>IFERROR(Datos!A1158,"")</f>
        <v/>
      </c>
      <c r="B1158" s="8">
        <f>IFERROR(Datos!B1158,"")</f>
        <v/>
      </c>
      <c r="C1158" s="8">
        <f>IFERROR(Datos!C1158,"")</f>
        <v/>
      </c>
      <c r="D1158" s="28">
        <f>IFERROR(IF(AND(ISNUMBER(B1158),ISNUMBER(B1157),B1157&lt;&gt;0),B1158/B1157-1,""),"")</f>
        <v/>
      </c>
      <c r="E1158" s="28">
        <f>IFERROR(IF(AND(ISNUMBER(C1158),ISNUMBER(C1157),C1157&lt;&gt;0),C1158/C1157-1,""),"")</f>
        <v/>
      </c>
      <c r="F1158" s="28">
        <f>IFERROR(D1158-Dashboard!$B$4/252,"")</f>
        <v/>
      </c>
      <c r="G1158" s="28">
        <f>IFERROR(E1158-Dashboard!$B$4/252,"")</f>
        <v/>
      </c>
      <c r="H1158" s="8">
        <f>IFERROR(IF(ISNUMBER(B1158),MAX(B1158,IFERROR(H1157,B1158)),""),"")</f>
        <v/>
      </c>
      <c r="I1158" s="29">
        <f>IFERROR(IF(AND(ISNUMBER(B1158),ISNUMBER(H1158)),B1158/H1158-1,""),"")</f>
        <v/>
      </c>
      <c r="J1158" s="8">
        <f>IFERROR(IF(ISNUMBER(C1158),MAX(C1158,IFERROR(J1157,C1158)),""),"")</f>
        <v/>
      </c>
      <c r="K1158" s="29">
        <f>IFERROR(IF(AND(ISNUMBER(C1158),ISNUMBER(J1158)),C1158/J1158-1,""),"")</f>
        <v/>
      </c>
      <c r="L1158" s="28">
        <f>IFERROR(IF(AND(ISNUMBER(D1158),ISNUMBER(E1158)),D1158-E1158,""),"")</f>
        <v/>
      </c>
    </row>
    <row r="1159">
      <c r="A1159" s="7">
        <f>IFERROR(Datos!A1159,"")</f>
        <v/>
      </c>
      <c r="B1159" s="8">
        <f>IFERROR(Datos!B1159,"")</f>
        <v/>
      </c>
      <c r="C1159" s="8">
        <f>IFERROR(Datos!C1159,"")</f>
        <v/>
      </c>
      <c r="D1159" s="28">
        <f>IFERROR(IF(AND(ISNUMBER(B1159),ISNUMBER(B1158),B1158&lt;&gt;0),B1159/B1158-1,""),"")</f>
        <v/>
      </c>
      <c r="E1159" s="28">
        <f>IFERROR(IF(AND(ISNUMBER(C1159),ISNUMBER(C1158),C1158&lt;&gt;0),C1159/C1158-1,""),"")</f>
        <v/>
      </c>
      <c r="F1159" s="28">
        <f>IFERROR(D1159-Dashboard!$B$4/252,"")</f>
        <v/>
      </c>
      <c r="G1159" s="28">
        <f>IFERROR(E1159-Dashboard!$B$4/252,"")</f>
        <v/>
      </c>
      <c r="H1159" s="8">
        <f>IFERROR(IF(ISNUMBER(B1159),MAX(B1159,IFERROR(H1158,B1159)),""),"")</f>
        <v/>
      </c>
      <c r="I1159" s="29">
        <f>IFERROR(IF(AND(ISNUMBER(B1159),ISNUMBER(H1159)),B1159/H1159-1,""),"")</f>
        <v/>
      </c>
      <c r="J1159" s="8">
        <f>IFERROR(IF(ISNUMBER(C1159),MAX(C1159,IFERROR(J1158,C1159)),""),"")</f>
        <v/>
      </c>
      <c r="K1159" s="29">
        <f>IFERROR(IF(AND(ISNUMBER(C1159),ISNUMBER(J1159)),C1159/J1159-1,""),"")</f>
        <v/>
      </c>
      <c r="L1159" s="28">
        <f>IFERROR(IF(AND(ISNUMBER(D1159),ISNUMBER(E1159)),D1159-E1159,""),"")</f>
        <v/>
      </c>
    </row>
    <row r="1160">
      <c r="A1160" s="7">
        <f>IFERROR(Datos!A1160,"")</f>
        <v/>
      </c>
      <c r="B1160" s="8">
        <f>IFERROR(Datos!B1160,"")</f>
        <v/>
      </c>
      <c r="C1160" s="8">
        <f>IFERROR(Datos!C1160,"")</f>
        <v/>
      </c>
      <c r="D1160" s="28">
        <f>IFERROR(IF(AND(ISNUMBER(B1160),ISNUMBER(B1159),B1159&lt;&gt;0),B1160/B1159-1,""),"")</f>
        <v/>
      </c>
      <c r="E1160" s="28">
        <f>IFERROR(IF(AND(ISNUMBER(C1160),ISNUMBER(C1159),C1159&lt;&gt;0),C1160/C1159-1,""),"")</f>
        <v/>
      </c>
      <c r="F1160" s="28">
        <f>IFERROR(D1160-Dashboard!$B$4/252,"")</f>
        <v/>
      </c>
      <c r="G1160" s="28">
        <f>IFERROR(E1160-Dashboard!$B$4/252,"")</f>
        <v/>
      </c>
      <c r="H1160" s="8">
        <f>IFERROR(IF(ISNUMBER(B1160),MAX(B1160,IFERROR(H1159,B1160)),""),"")</f>
        <v/>
      </c>
      <c r="I1160" s="29">
        <f>IFERROR(IF(AND(ISNUMBER(B1160),ISNUMBER(H1160)),B1160/H1160-1,""),"")</f>
        <v/>
      </c>
      <c r="J1160" s="8">
        <f>IFERROR(IF(ISNUMBER(C1160),MAX(C1160,IFERROR(J1159,C1160)),""),"")</f>
        <v/>
      </c>
      <c r="K1160" s="29">
        <f>IFERROR(IF(AND(ISNUMBER(C1160),ISNUMBER(J1160)),C1160/J1160-1,""),"")</f>
        <v/>
      </c>
      <c r="L1160" s="28">
        <f>IFERROR(IF(AND(ISNUMBER(D1160),ISNUMBER(E1160)),D1160-E1160,""),"")</f>
        <v/>
      </c>
    </row>
    <row r="1161">
      <c r="A1161" s="7">
        <f>IFERROR(Datos!A1161,"")</f>
        <v/>
      </c>
      <c r="B1161" s="8">
        <f>IFERROR(Datos!B1161,"")</f>
        <v/>
      </c>
      <c r="C1161" s="8">
        <f>IFERROR(Datos!C1161,"")</f>
        <v/>
      </c>
      <c r="D1161" s="28">
        <f>IFERROR(IF(AND(ISNUMBER(B1161),ISNUMBER(B1160),B1160&lt;&gt;0),B1161/B1160-1,""),"")</f>
        <v/>
      </c>
      <c r="E1161" s="28">
        <f>IFERROR(IF(AND(ISNUMBER(C1161),ISNUMBER(C1160),C1160&lt;&gt;0),C1161/C1160-1,""),"")</f>
        <v/>
      </c>
      <c r="F1161" s="28">
        <f>IFERROR(D1161-Dashboard!$B$4/252,"")</f>
        <v/>
      </c>
      <c r="G1161" s="28">
        <f>IFERROR(E1161-Dashboard!$B$4/252,"")</f>
        <v/>
      </c>
      <c r="H1161" s="8">
        <f>IFERROR(IF(ISNUMBER(B1161),MAX(B1161,IFERROR(H1160,B1161)),""),"")</f>
        <v/>
      </c>
      <c r="I1161" s="29">
        <f>IFERROR(IF(AND(ISNUMBER(B1161),ISNUMBER(H1161)),B1161/H1161-1,""),"")</f>
        <v/>
      </c>
      <c r="J1161" s="8">
        <f>IFERROR(IF(ISNUMBER(C1161),MAX(C1161,IFERROR(J1160,C1161)),""),"")</f>
        <v/>
      </c>
      <c r="K1161" s="29">
        <f>IFERROR(IF(AND(ISNUMBER(C1161),ISNUMBER(J1161)),C1161/J1161-1,""),"")</f>
        <v/>
      </c>
      <c r="L1161" s="28">
        <f>IFERROR(IF(AND(ISNUMBER(D1161),ISNUMBER(E1161)),D1161-E1161,""),"")</f>
        <v/>
      </c>
    </row>
    <row r="1162">
      <c r="A1162" s="7">
        <f>IFERROR(Datos!A1162,"")</f>
        <v/>
      </c>
      <c r="B1162" s="8">
        <f>IFERROR(Datos!B1162,"")</f>
        <v/>
      </c>
      <c r="C1162" s="8">
        <f>IFERROR(Datos!C1162,"")</f>
        <v/>
      </c>
      <c r="D1162" s="28">
        <f>IFERROR(IF(AND(ISNUMBER(B1162),ISNUMBER(B1161),B1161&lt;&gt;0),B1162/B1161-1,""),"")</f>
        <v/>
      </c>
      <c r="E1162" s="28">
        <f>IFERROR(IF(AND(ISNUMBER(C1162),ISNUMBER(C1161),C1161&lt;&gt;0),C1162/C1161-1,""),"")</f>
        <v/>
      </c>
      <c r="F1162" s="28">
        <f>IFERROR(D1162-Dashboard!$B$4/252,"")</f>
        <v/>
      </c>
      <c r="G1162" s="28">
        <f>IFERROR(E1162-Dashboard!$B$4/252,"")</f>
        <v/>
      </c>
      <c r="H1162" s="8">
        <f>IFERROR(IF(ISNUMBER(B1162),MAX(B1162,IFERROR(H1161,B1162)),""),"")</f>
        <v/>
      </c>
      <c r="I1162" s="29">
        <f>IFERROR(IF(AND(ISNUMBER(B1162),ISNUMBER(H1162)),B1162/H1162-1,""),"")</f>
        <v/>
      </c>
      <c r="J1162" s="8">
        <f>IFERROR(IF(ISNUMBER(C1162),MAX(C1162,IFERROR(J1161,C1162)),""),"")</f>
        <v/>
      </c>
      <c r="K1162" s="29">
        <f>IFERROR(IF(AND(ISNUMBER(C1162),ISNUMBER(J1162)),C1162/J1162-1,""),"")</f>
        <v/>
      </c>
      <c r="L1162" s="28">
        <f>IFERROR(IF(AND(ISNUMBER(D1162),ISNUMBER(E1162)),D1162-E1162,""),"")</f>
        <v/>
      </c>
    </row>
    <row r="1163">
      <c r="A1163" s="7">
        <f>IFERROR(Datos!A1163,"")</f>
        <v/>
      </c>
      <c r="B1163" s="8">
        <f>IFERROR(Datos!B1163,"")</f>
        <v/>
      </c>
      <c r="C1163" s="8">
        <f>IFERROR(Datos!C1163,"")</f>
        <v/>
      </c>
      <c r="D1163" s="28">
        <f>IFERROR(IF(AND(ISNUMBER(B1163),ISNUMBER(B1162),B1162&lt;&gt;0),B1163/B1162-1,""),"")</f>
        <v/>
      </c>
      <c r="E1163" s="28">
        <f>IFERROR(IF(AND(ISNUMBER(C1163),ISNUMBER(C1162),C1162&lt;&gt;0),C1163/C1162-1,""),"")</f>
        <v/>
      </c>
      <c r="F1163" s="28">
        <f>IFERROR(D1163-Dashboard!$B$4/252,"")</f>
        <v/>
      </c>
      <c r="G1163" s="28">
        <f>IFERROR(E1163-Dashboard!$B$4/252,"")</f>
        <v/>
      </c>
      <c r="H1163" s="8">
        <f>IFERROR(IF(ISNUMBER(B1163),MAX(B1163,IFERROR(H1162,B1163)),""),"")</f>
        <v/>
      </c>
      <c r="I1163" s="29">
        <f>IFERROR(IF(AND(ISNUMBER(B1163),ISNUMBER(H1163)),B1163/H1163-1,""),"")</f>
        <v/>
      </c>
      <c r="J1163" s="8">
        <f>IFERROR(IF(ISNUMBER(C1163),MAX(C1163,IFERROR(J1162,C1163)),""),"")</f>
        <v/>
      </c>
      <c r="K1163" s="29">
        <f>IFERROR(IF(AND(ISNUMBER(C1163),ISNUMBER(J1163)),C1163/J1163-1,""),"")</f>
        <v/>
      </c>
      <c r="L1163" s="28">
        <f>IFERROR(IF(AND(ISNUMBER(D1163),ISNUMBER(E1163)),D1163-E1163,""),"")</f>
        <v/>
      </c>
    </row>
    <row r="1164">
      <c r="A1164" s="7">
        <f>IFERROR(Datos!A1164,"")</f>
        <v/>
      </c>
      <c r="B1164" s="8">
        <f>IFERROR(Datos!B1164,"")</f>
        <v/>
      </c>
      <c r="C1164" s="8">
        <f>IFERROR(Datos!C1164,"")</f>
        <v/>
      </c>
      <c r="D1164" s="28">
        <f>IFERROR(IF(AND(ISNUMBER(B1164),ISNUMBER(B1163),B1163&lt;&gt;0),B1164/B1163-1,""),"")</f>
        <v/>
      </c>
      <c r="E1164" s="28">
        <f>IFERROR(IF(AND(ISNUMBER(C1164),ISNUMBER(C1163),C1163&lt;&gt;0),C1164/C1163-1,""),"")</f>
        <v/>
      </c>
      <c r="F1164" s="28">
        <f>IFERROR(D1164-Dashboard!$B$4/252,"")</f>
        <v/>
      </c>
      <c r="G1164" s="28">
        <f>IFERROR(E1164-Dashboard!$B$4/252,"")</f>
        <v/>
      </c>
      <c r="H1164" s="8">
        <f>IFERROR(IF(ISNUMBER(B1164),MAX(B1164,IFERROR(H1163,B1164)),""),"")</f>
        <v/>
      </c>
      <c r="I1164" s="29">
        <f>IFERROR(IF(AND(ISNUMBER(B1164),ISNUMBER(H1164)),B1164/H1164-1,""),"")</f>
        <v/>
      </c>
      <c r="J1164" s="8">
        <f>IFERROR(IF(ISNUMBER(C1164),MAX(C1164,IFERROR(J1163,C1164)),""),"")</f>
        <v/>
      </c>
      <c r="K1164" s="29">
        <f>IFERROR(IF(AND(ISNUMBER(C1164),ISNUMBER(J1164)),C1164/J1164-1,""),"")</f>
        <v/>
      </c>
      <c r="L1164" s="28">
        <f>IFERROR(IF(AND(ISNUMBER(D1164),ISNUMBER(E1164)),D1164-E1164,""),"")</f>
        <v/>
      </c>
    </row>
    <row r="1165">
      <c r="A1165" s="7">
        <f>IFERROR(Datos!A1165,"")</f>
        <v/>
      </c>
      <c r="B1165" s="8">
        <f>IFERROR(Datos!B1165,"")</f>
        <v/>
      </c>
      <c r="C1165" s="8">
        <f>IFERROR(Datos!C1165,"")</f>
        <v/>
      </c>
      <c r="D1165" s="28">
        <f>IFERROR(IF(AND(ISNUMBER(B1165),ISNUMBER(B1164),B1164&lt;&gt;0),B1165/B1164-1,""),"")</f>
        <v/>
      </c>
      <c r="E1165" s="28">
        <f>IFERROR(IF(AND(ISNUMBER(C1165),ISNUMBER(C1164),C1164&lt;&gt;0),C1165/C1164-1,""),"")</f>
        <v/>
      </c>
      <c r="F1165" s="28">
        <f>IFERROR(D1165-Dashboard!$B$4/252,"")</f>
        <v/>
      </c>
      <c r="G1165" s="28">
        <f>IFERROR(E1165-Dashboard!$B$4/252,"")</f>
        <v/>
      </c>
      <c r="H1165" s="8">
        <f>IFERROR(IF(ISNUMBER(B1165),MAX(B1165,IFERROR(H1164,B1165)),""),"")</f>
        <v/>
      </c>
      <c r="I1165" s="29">
        <f>IFERROR(IF(AND(ISNUMBER(B1165),ISNUMBER(H1165)),B1165/H1165-1,""),"")</f>
        <v/>
      </c>
      <c r="J1165" s="8">
        <f>IFERROR(IF(ISNUMBER(C1165),MAX(C1165,IFERROR(J1164,C1165)),""),"")</f>
        <v/>
      </c>
      <c r="K1165" s="29">
        <f>IFERROR(IF(AND(ISNUMBER(C1165),ISNUMBER(J1165)),C1165/J1165-1,""),"")</f>
        <v/>
      </c>
      <c r="L1165" s="28">
        <f>IFERROR(IF(AND(ISNUMBER(D1165),ISNUMBER(E1165)),D1165-E1165,""),"")</f>
        <v/>
      </c>
    </row>
    <row r="1166">
      <c r="A1166" s="7">
        <f>IFERROR(Datos!A1166,"")</f>
        <v/>
      </c>
      <c r="B1166" s="8">
        <f>IFERROR(Datos!B1166,"")</f>
        <v/>
      </c>
      <c r="C1166" s="8">
        <f>IFERROR(Datos!C1166,"")</f>
        <v/>
      </c>
      <c r="D1166" s="28">
        <f>IFERROR(IF(AND(ISNUMBER(B1166),ISNUMBER(B1165),B1165&lt;&gt;0),B1166/B1165-1,""),"")</f>
        <v/>
      </c>
      <c r="E1166" s="28">
        <f>IFERROR(IF(AND(ISNUMBER(C1166),ISNUMBER(C1165),C1165&lt;&gt;0),C1166/C1165-1,""),"")</f>
        <v/>
      </c>
      <c r="F1166" s="28">
        <f>IFERROR(D1166-Dashboard!$B$4/252,"")</f>
        <v/>
      </c>
      <c r="G1166" s="28">
        <f>IFERROR(E1166-Dashboard!$B$4/252,"")</f>
        <v/>
      </c>
      <c r="H1166" s="8">
        <f>IFERROR(IF(ISNUMBER(B1166),MAX(B1166,IFERROR(H1165,B1166)),""),"")</f>
        <v/>
      </c>
      <c r="I1166" s="29">
        <f>IFERROR(IF(AND(ISNUMBER(B1166),ISNUMBER(H1166)),B1166/H1166-1,""),"")</f>
        <v/>
      </c>
      <c r="J1166" s="8">
        <f>IFERROR(IF(ISNUMBER(C1166),MAX(C1166,IFERROR(J1165,C1166)),""),"")</f>
        <v/>
      </c>
      <c r="K1166" s="29">
        <f>IFERROR(IF(AND(ISNUMBER(C1166),ISNUMBER(J1166)),C1166/J1166-1,""),"")</f>
        <v/>
      </c>
      <c r="L1166" s="28">
        <f>IFERROR(IF(AND(ISNUMBER(D1166),ISNUMBER(E1166)),D1166-E1166,""),"")</f>
        <v/>
      </c>
    </row>
    <row r="1167">
      <c r="A1167" s="7">
        <f>IFERROR(Datos!A1167,"")</f>
        <v/>
      </c>
      <c r="B1167" s="8">
        <f>IFERROR(Datos!B1167,"")</f>
        <v/>
      </c>
      <c r="C1167" s="8">
        <f>IFERROR(Datos!C1167,"")</f>
        <v/>
      </c>
      <c r="D1167" s="28">
        <f>IFERROR(IF(AND(ISNUMBER(B1167),ISNUMBER(B1166),B1166&lt;&gt;0),B1167/B1166-1,""),"")</f>
        <v/>
      </c>
      <c r="E1167" s="28">
        <f>IFERROR(IF(AND(ISNUMBER(C1167),ISNUMBER(C1166),C1166&lt;&gt;0),C1167/C1166-1,""),"")</f>
        <v/>
      </c>
      <c r="F1167" s="28">
        <f>IFERROR(D1167-Dashboard!$B$4/252,"")</f>
        <v/>
      </c>
      <c r="G1167" s="28">
        <f>IFERROR(E1167-Dashboard!$B$4/252,"")</f>
        <v/>
      </c>
      <c r="H1167" s="8">
        <f>IFERROR(IF(ISNUMBER(B1167),MAX(B1167,IFERROR(H1166,B1167)),""),"")</f>
        <v/>
      </c>
      <c r="I1167" s="29">
        <f>IFERROR(IF(AND(ISNUMBER(B1167),ISNUMBER(H1167)),B1167/H1167-1,""),"")</f>
        <v/>
      </c>
      <c r="J1167" s="8">
        <f>IFERROR(IF(ISNUMBER(C1167),MAX(C1167,IFERROR(J1166,C1167)),""),"")</f>
        <v/>
      </c>
      <c r="K1167" s="29">
        <f>IFERROR(IF(AND(ISNUMBER(C1167),ISNUMBER(J1167)),C1167/J1167-1,""),"")</f>
        <v/>
      </c>
      <c r="L1167" s="28">
        <f>IFERROR(IF(AND(ISNUMBER(D1167),ISNUMBER(E1167)),D1167-E1167,""),"")</f>
        <v/>
      </c>
    </row>
    <row r="1168">
      <c r="A1168" s="7">
        <f>IFERROR(Datos!A1168,"")</f>
        <v/>
      </c>
      <c r="B1168" s="8">
        <f>IFERROR(Datos!B1168,"")</f>
        <v/>
      </c>
      <c r="C1168" s="8">
        <f>IFERROR(Datos!C1168,"")</f>
        <v/>
      </c>
      <c r="D1168" s="28">
        <f>IFERROR(IF(AND(ISNUMBER(B1168),ISNUMBER(B1167),B1167&lt;&gt;0),B1168/B1167-1,""),"")</f>
        <v/>
      </c>
      <c r="E1168" s="28">
        <f>IFERROR(IF(AND(ISNUMBER(C1168),ISNUMBER(C1167),C1167&lt;&gt;0),C1168/C1167-1,""),"")</f>
        <v/>
      </c>
      <c r="F1168" s="28">
        <f>IFERROR(D1168-Dashboard!$B$4/252,"")</f>
        <v/>
      </c>
      <c r="G1168" s="28">
        <f>IFERROR(E1168-Dashboard!$B$4/252,"")</f>
        <v/>
      </c>
      <c r="H1168" s="8">
        <f>IFERROR(IF(ISNUMBER(B1168),MAX(B1168,IFERROR(H1167,B1168)),""),"")</f>
        <v/>
      </c>
      <c r="I1168" s="29">
        <f>IFERROR(IF(AND(ISNUMBER(B1168),ISNUMBER(H1168)),B1168/H1168-1,""),"")</f>
        <v/>
      </c>
      <c r="J1168" s="8">
        <f>IFERROR(IF(ISNUMBER(C1168),MAX(C1168,IFERROR(J1167,C1168)),""),"")</f>
        <v/>
      </c>
      <c r="K1168" s="29">
        <f>IFERROR(IF(AND(ISNUMBER(C1168),ISNUMBER(J1168)),C1168/J1168-1,""),"")</f>
        <v/>
      </c>
      <c r="L1168" s="28">
        <f>IFERROR(IF(AND(ISNUMBER(D1168),ISNUMBER(E1168)),D1168-E1168,""),"")</f>
        <v/>
      </c>
    </row>
    <row r="1169">
      <c r="A1169" s="7">
        <f>IFERROR(Datos!A1169,"")</f>
        <v/>
      </c>
      <c r="B1169" s="8">
        <f>IFERROR(Datos!B1169,"")</f>
        <v/>
      </c>
      <c r="C1169" s="8">
        <f>IFERROR(Datos!C1169,"")</f>
        <v/>
      </c>
      <c r="D1169" s="28">
        <f>IFERROR(IF(AND(ISNUMBER(B1169),ISNUMBER(B1168),B1168&lt;&gt;0),B1169/B1168-1,""),"")</f>
        <v/>
      </c>
      <c r="E1169" s="28">
        <f>IFERROR(IF(AND(ISNUMBER(C1169),ISNUMBER(C1168),C1168&lt;&gt;0),C1169/C1168-1,""),"")</f>
        <v/>
      </c>
      <c r="F1169" s="28">
        <f>IFERROR(D1169-Dashboard!$B$4/252,"")</f>
        <v/>
      </c>
      <c r="G1169" s="28">
        <f>IFERROR(E1169-Dashboard!$B$4/252,"")</f>
        <v/>
      </c>
      <c r="H1169" s="8">
        <f>IFERROR(IF(ISNUMBER(B1169),MAX(B1169,IFERROR(H1168,B1169)),""),"")</f>
        <v/>
      </c>
      <c r="I1169" s="29">
        <f>IFERROR(IF(AND(ISNUMBER(B1169),ISNUMBER(H1169)),B1169/H1169-1,""),"")</f>
        <v/>
      </c>
      <c r="J1169" s="8">
        <f>IFERROR(IF(ISNUMBER(C1169),MAX(C1169,IFERROR(J1168,C1169)),""),"")</f>
        <v/>
      </c>
      <c r="K1169" s="29">
        <f>IFERROR(IF(AND(ISNUMBER(C1169),ISNUMBER(J1169)),C1169/J1169-1,""),"")</f>
        <v/>
      </c>
      <c r="L1169" s="28">
        <f>IFERROR(IF(AND(ISNUMBER(D1169),ISNUMBER(E1169)),D1169-E1169,""),"")</f>
        <v/>
      </c>
    </row>
    <row r="1170">
      <c r="A1170" s="7">
        <f>IFERROR(Datos!A1170,"")</f>
        <v/>
      </c>
      <c r="B1170" s="8">
        <f>IFERROR(Datos!B1170,"")</f>
        <v/>
      </c>
      <c r="C1170" s="8">
        <f>IFERROR(Datos!C1170,"")</f>
        <v/>
      </c>
      <c r="D1170" s="28">
        <f>IFERROR(IF(AND(ISNUMBER(B1170),ISNUMBER(B1169),B1169&lt;&gt;0),B1170/B1169-1,""),"")</f>
        <v/>
      </c>
      <c r="E1170" s="28">
        <f>IFERROR(IF(AND(ISNUMBER(C1170),ISNUMBER(C1169),C1169&lt;&gt;0),C1170/C1169-1,""),"")</f>
        <v/>
      </c>
      <c r="F1170" s="28">
        <f>IFERROR(D1170-Dashboard!$B$4/252,"")</f>
        <v/>
      </c>
      <c r="G1170" s="28">
        <f>IFERROR(E1170-Dashboard!$B$4/252,"")</f>
        <v/>
      </c>
      <c r="H1170" s="8">
        <f>IFERROR(IF(ISNUMBER(B1170),MAX(B1170,IFERROR(H1169,B1170)),""),"")</f>
        <v/>
      </c>
      <c r="I1170" s="29">
        <f>IFERROR(IF(AND(ISNUMBER(B1170),ISNUMBER(H1170)),B1170/H1170-1,""),"")</f>
        <v/>
      </c>
      <c r="J1170" s="8">
        <f>IFERROR(IF(ISNUMBER(C1170),MAX(C1170,IFERROR(J1169,C1170)),""),"")</f>
        <v/>
      </c>
      <c r="K1170" s="29">
        <f>IFERROR(IF(AND(ISNUMBER(C1170),ISNUMBER(J1170)),C1170/J1170-1,""),"")</f>
        <v/>
      </c>
      <c r="L1170" s="28">
        <f>IFERROR(IF(AND(ISNUMBER(D1170),ISNUMBER(E1170)),D1170-E1170,""),"")</f>
        <v/>
      </c>
    </row>
    <row r="1171">
      <c r="A1171" s="7">
        <f>IFERROR(Datos!A1171,"")</f>
        <v/>
      </c>
      <c r="B1171" s="8">
        <f>IFERROR(Datos!B1171,"")</f>
        <v/>
      </c>
      <c r="C1171" s="8">
        <f>IFERROR(Datos!C1171,"")</f>
        <v/>
      </c>
      <c r="D1171" s="28">
        <f>IFERROR(IF(AND(ISNUMBER(B1171),ISNUMBER(B1170),B1170&lt;&gt;0),B1171/B1170-1,""),"")</f>
        <v/>
      </c>
      <c r="E1171" s="28">
        <f>IFERROR(IF(AND(ISNUMBER(C1171),ISNUMBER(C1170),C1170&lt;&gt;0),C1171/C1170-1,""),"")</f>
        <v/>
      </c>
      <c r="F1171" s="28">
        <f>IFERROR(D1171-Dashboard!$B$4/252,"")</f>
        <v/>
      </c>
      <c r="G1171" s="28">
        <f>IFERROR(E1171-Dashboard!$B$4/252,"")</f>
        <v/>
      </c>
      <c r="H1171" s="8">
        <f>IFERROR(IF(ISNUMBER(B1171),MAX(B1171,IFERROR(H1170,B1171)),""),"")</f>
        <v/>
      </c>
      <c r="I1171" s="29">
        <f>IFERROR(IF(AND(ISNUMBER(B1171),ISNUMBER(H1171)),B1171/H1171-1,""),"")</f>
        <v/>
      </c>
      <c r="J1171" s="8">
        <f>IFERROR(IF(ISNUMBER(C1171),MAX(C1171,IFERROR(J1170,C1171)),""),"")</f>
        <v/>
      </c>
      <c r="K1171" s="29">
        <f>IFERROR(IF(AND(ISNUMBER(C1171),ISNUMBER(J1171)),C1171/J1171-1,""),"")</f>
        <v/>
      </c>
      <c r="L1171" s="28">
        <f>IFERROR(IF(AND(ISNUMBER(D1171),ISNUMBER(E1171)),D1171-E1171,""),"")</f>
        <v/>
      </c>
    </row>
    <row r="1172">
      <c r="A1172" s="7">
        <f>IFERROR(Datos!A1172,"")</f>
        <v/>
      </c>
      <c r="B1172" s="8">
        <f>IFERROR(Datos!B1172,"")</f>
        <v/>
      </c>
      <c r="C1172" s="8">
        <f>IFERROR(Datos!C1172,"")</f>
        <v/>
      </c>
      <c r="D1172" s="28">
        <f>IFERROR(IF(AND(ISNUMBER(B1172),ISNUMBER(B1171),B1171&lt;&gt;0),B1172/B1171-1,""),"")</f>
        <v/>
      </c>
      <c r="E1172" s="28">
        <f>IFERROR(IF(AND(ISNUMBER(C1172),ISNUMBER(C1171),C1171&lt;&gt;0),C1172/C1171-1,""),"")</f>
        <v/>
      </c>
      <c r="F1172" s="28">
        <f>IFERROR(D1172-Dashboard!$B$4/252,"")</f>
        <v/>
      </c>
      <c r="G1172" s="28">
        <f>IFERROR(E1172-Dashboard!$B$4/252,"")</f>
        <v/>
      </c>
      <c r="H1172" s="8">
        <f>IFERROR(IF(ISNUMBER(B1172),MAX(B1172,IFERROR(H1171,B1172)),""),"")</f>
        <v/>
      </c>
      <c r="I1172" s="29">
        <f>IFERROR(IF(AND(ISNUMBER(B1172),ISNUMBER(H1172)),B1172/H1172-1,""),"")</f>
        <v/>
      </c>
      <c r="J1172" s="8">
        <f>IFERROR(IF(ISNUMBER(C1172),MAX(C1172,IFERROR(J1171,C1172)),""),"")</f>
        <v/>
      </c>
      <c r="K1172" s="29">
        <f>IFERROR(IF(AND(ISNUMBER(C1172),ISNUMBER(J1172)),C1172/J1172-1,""),"")</f>
        <v/>
      </c>
      <c r="L1172" s="28">
        <f>IFERROR(IF(AND(ISNUMBER(D1172),ISNUMBER(E1172)),D1172-E1172,""),"")</f>
        <v/>
      </c>
    </row>
    <row r="1173">
      <c r="A1173" s="7">
        <f>IFERROR(Datos!A1173,"")</f>
        <v/>
      </c>
      <c r="B1173" s="8">
        <f>IFERROR(Datos!B1173,"")</f>
        <v/>
      </c>
      <c r="C1173" s="8">
        <f>IFERROR(Datos!C1173,"")</f>
        <v/>
      </c>
      <c r="D1173" s="28">
        <f>IFERROR(IF(AND(ISNUMBER(B1173),ISNUMBER(B1172),B1172&lt;&gt;0),B1173/B1172-1,""),"")</f>
        <v/>
      </c>
      <c r="E1173" s="28">
        <f>IFERROR(IF(AND(ISNUMBER(C1173),ISNUMBER(C1172),C1172&lt;&gt;0),C1173/C1172-1,""),"")</f>
        <v/>
      </c>
      <c r="F1173" s="28">
        <f>IFERROR(D1173-Dashboard!$B$4/252,"")</f>
        <v/>
      </c>
      <c r="G1173" s="28">
        <f>IFERROR(E1173-Dashboard!$B$4/252,"")</f>
        <v/>
      </c>
      <c r="H1173" s="8">
        <f>IFERROR(IF(ISNUMBER(B1173),MAX(B1173,IFERROR(H1172,B1173)),""),"")</f>
        <v/>
      </c>
      <c r="I1173" s="29">
        <f>IFERROR(IF(AND(ISNUMBER(B1173),ISNUMBER(H1173)),B1173/H1173-1,""),"")</f>
        <v/>
      </c>
      <c r="J1173" s="8">
        <f>IFERROR(IF(ISNUMBER(C1173),MAX(C1173,IFERROR(J1172,C1173)),""),"")</f>
        <v/>
      </c>
      <c r="K1173" s="29">
        <f>IFERROR(IF(AND(ISNUMBER(C1173),ISNUMBER(J1173)),C1173/J1173-1,""),"")</f>
        <v/>
      </c>
      <c r="L1173" s="28">
        <f>IFERROR(IF(AND(ISNUMBER(D1173),ISNUMBER(E1173)),D1173-E1173,""),"")</f>
        <v/>
      </c>
    </row>
    <row r="1174">
      <c r="A1174" s="7">
        <f>IFERROR(Datos!A1174,"")</f>
        <v/>
      </c>
      <c r="B1174" s="8">
        <f>IFERROR(Datos!B1174,"")</f>
        <v/>
      </c>
      <c r="C1174" s="8">
        <f>IFERROR(Datos!C1174,"")</f>
        <v/>
      </c>
      <c r="D1174" s="28">
        <f>IFERROR(IF(AND(ISNUMBER(B1174),ISNUMBER(B1173),B1173&lt;&gt;0),B1174/B1173-1,""),"")</f>
        <v/>
      </c>
      <c r="E1174" s="28">
        <f>IFERROR(IF(AND(ISNUMBER(C1174),ISNUMBER(C1173),C1173&lt;&gt;0),C1174/C1173-1,""),"")</f>
        <v/>
      </c>
      <c r="F1174" s="28">
        <f>IFERROR(D1174-Dashboard!$B$4/252,"")</f>
        <v/>
      </c>
      <c r="G1174" s="28">
        <f>IFERROR(E1174-Dashboard!$B$4/252,"")</f>
        <v/>
      </c>
      <c r="H1174" s="8">
        <f>IFERROR(IF(ISNUMBER(B1174),MAX(B1174,IFERROR(H1173,B1174)),""),"")</f>
        <v/>
      </c>
      <c r="I1174" s="29">
        <f>IFERROR(IF(AND(ISNUMBER(B1174),ISNUMBER(H1174)),B1174/H1174-1,""),"")</f>
        <v/>
      </c>
      <c r="J1174" s="8">
        <f>IFERROR(IF(ISNUMBER(C1174),MAX(C1174,IFERROR(J1173,C1174)),""),"")</f>
        <v/>
      </c>
      <c r="K1174" s="29">
        <f>IFERROR(IF(AND(ISNUMBER(C1174),ISNUMBER(J1174)),C1174/J1174-1,""),"")</f>
        <v/>
      </c>
      <c r="L1174" s="28">
        <f>IFERROR(IF(AND(ISNUMBER(D1174),ISNUMBER(E1174)),D1174-E1174,""),"")</f>
        <v/>
      </c>
    </row>
    <row r="1175">
      <c r="A1175" s="7">
        <f>IFERROR(Datos!A1175,"")</f>
        <v/>
      </c>
      <c r="B1175" s="8">
        <f>IFERROR(Datos!B1175,"")</f>
        <v/>
      </c>
      <c r="C1175" s="8">
        <f>IFERROR(Datos!C1175,"")</f>
        <v/>
      </c>
      <c r="D1175" s="28">
        <f>IFERROR(IF(AND(ISNUMBER(B1175),ISNUMBER(B1174),B1174&lt;&gt;0),B1175/B1174-1,""),"")</f>
        <v/>
      </c>
      <c r="E1175" s="28">
        <f>IFERROR(IF(AND(ISNUMBER(C1175),ISNUMBER(C1174),C1174&lt;&gt;0),C1175/C1174-1,""),"")</f>
        <v/>
      </c>
      <c r="F1175" s="28">
        <f>IFERROR(D1175-Dashboard!$B$4/252,"")</f>
        <v/>
      </c>
      <c r="G1175" s="28">
        <f>IFERROR(E1175-Dashboard!$B$4/252,"")</f>
        <v/>
      </c>
      <c r="H1175" s="8">
        <f>IFERROR(IF(ISNUMBER(B1175),MAX(B1175,IFERROR(H1174,B1175)),""),"")</f>
        <v/>
      </c>
      <c r="I1175" s="29">
        <f>IFERROR(IF(AND(ISNUMBER(B1175),ISNUMBER(H1175)),B1175/H1175-1,""),"")</f>
        <v/>
      </c>
      <c r="J1175" s="8">
        <f>IFERROR(IF(ISNUMBER(C1175),MAX(C1175,IFERROR(J1174,C1175)),""),"")</f>
        <v/>
      </c>
      <c r="K1175" s="29">
        <f>IFERROR(IF(AND(ISNUMBER(C1175),ISNUMBER(J1175)),C1175/J1175-1,""),"")</f>
        <v/>
      </c>
      <c r="L1175" s="28">
        <f>IFERROR(IF(AND(ISNUMBER(D1175),ISNUMBER(E1175)),D1175-E1175,""),"")</f>
        <v/>
      </c>
    </row>
    <row r="1176">
      <c r="A1176" s="7">
        <f>IFERROR(Datos!A1176,"")</f>
        <v/>
      </c>
      <c r="B1176" s="8">
        <f>IFERROR(Datos!B1176,"")</f>
        <v/>
      </c>
      <c r="C1176" s="8">
        <f>IFERROR(Datos!C1176,"")</f>
        <v/>
      </c>
      <c r="D1176" s="28">
        <f>IFERROR(IF(AND(ISNUMBER(B1176),ISNUMBER(B1175),B1175&lt;&gt;0),B1176/B1175-1,""),"")</f>
        <v/>
      </c>
      <c r="E1176" s="28">
        <f>IFERROR(IF(AND(ISNUMBER(C1176),ISNUMBER(C1175),C1175&lt;&gt;0),C1176/C1175-1,""),"")</f>
        <v/>
      </c>
      <c r="F1176" s="28">
        <f>IFERROR(D1176-Dashboard!$B$4/252,"")</f>
        <v/>
      </c>
      <c r="G1176" s="28">
        <f>IFERROR(E1176-Dashboard!$B$4/252,"")</f>
        <v/>
      </c>
      <c r="H1176" s="8">
        <f>IFERROR(IF(ISNUMBER(B1176),MAX(B1176,IFERROR(H1175,B1176)),""),"")</f>
        <v/>
      </c>
      <c r="I1176" s="29">
        <f>IFERROR(IF(AND(ISNUMBER(B1176),ISNUMBER(H1176)),B1176/H1176-1,""),"")</f>
        <v/>
      </c>
      <c r="J1176" s="8">
        <f>IFERROR(IF(ISNUMBER(C1176),MAX(C1176,IFERROR(J1175,C1176)),""),"")</f>
        <v/>
      </c>
      <c r="K1176" s="29">
        <f>IFERROR(IF(AND(ISNUMBER(C1176),ISNUMBER(J1176)),C1176/J1176-1,""),"")</f>
        <v/>
      </c>
      <c r="L1176" s="28">
        <f>IFERROR(IF(AND(ISNUMBER(D1176),ISNUMBER(E1176)),D1176-E1176,""),"")</f>
        <v/>
      </c>
    </row>
    <row r="1177">
      <c r="A1177" s="7">
        <f>IFERROR(Datos!A1177,"")</f>
        <v/>
      </c>
      <c r="B1177" s="8">
        <f>IFERROR(Datos!B1177,"")</f>
        <v/>
      </c>
      <c r="C1177" s="8">
        <f>IFERROR(Datos!C1177,"")</f>
        <v/>
      </c>
      <c r="D1177" s="28">
        <f>IFERROR(IF(AND(ISNUMBER(B1177),ISNUMBER(B1176),B1176&lt;&gt;0),B1177/B1176-1,""),"")</f>
        <v/>
      </c>
      <c r="E1177" s="28">
        <f>IFERROR(IF(AND(ISNUMBER(C1177),ISNUMBER(C1176),C1176&lt;&gt;0),C1177/C1176-1,""),"")</f>
        <v/>
      </c>
      <c r="F1177" s="28">
        <f>IFERROR(D1177-Dashboard!$B$4/252,"")</f>
        <v/>
      </c>
      <c r="G1177" s="28">
        <f>IFERROR(E1177-Dashboard!$B$4/252,"")</f>
        <v/>
      </c>
      <c r="H1177" s="8">
        <f>IFERROR(IF(ISNUMBER(B1177),MAX(B1177,IFERROR(H1176,B1177)),""),"")</f>
        <v/>
      </c>
      <c r="I1177" s="29">
        <f>IFERROR(IF(AND(ISNUMBER(B1177),ISNUMBER(H1177)),B1177/H1177-1,""),"")</f>
        <v/>
      </c>
      <c r="J1177" s="8">
        <f>IFERROR(IF(ISNUMBER(C1177),MAX(C1177,IFERROR(J1176,C1177)),""),"")</f>
        <v/>
      </c>
      <c r="K1177" s="29">
        <f>IFERROR(IF(AND(ISNUMBER(C1177),ISNUMBER(J1177)),C1177/J1177-1,""),"")</f>
        <v/>
      </c>
      <c r="L1177" s="28">
        <f>IFERROR(IF(AND(ISNUMBER(D1177),ISNUMBER(E1177)),D1177-E1177,""),"")</f>
        <v/>
      </c>
    </row>
    <row r="1178">
      <c r="A1178" s="7">
        <f>IFERROR(Datos!A1178,"")</f>
        <v/>
      </c>
      <c r="B1178" s="8">
        <f>IFERROR(Datos!B1178,"")</f>
        <v/>
      </c>
      <c r="C1178" s="8">
        <f>IFERROR(Datos!C1178,"")</f>
        <v/>
      </c>
      <c r="D1178" s="28">
        <f>IFERROR(IF(AND(ISNUMBER(B1178),ISNUMBER(B1177),B1177&lt;&gt;0),B1178/B1177-1,""),"")</f>
        <v/>
      </c>
      <c r="E1178" s="28">
        <f>IFERROR(IF(AND(ISNUMBER(C1178),ISNUMBER(C1177),C1177&lt;&gt;0),C1178/C1177-1,""),"")</f>
        <v/>
      </c>
      <c r="F1178" s="28">
        <f>IFERROR(D1178-Dashboard!$B$4/252,"")</f>
        <v/>
      </c>
      <c r="G1178" s="28">
        <f>IFERROR(E1178-Dashboard!$B$4/252,"")</f>
        <v/>
      </c>
      <c r="H1178" s="8">
        <f>IFERROR(IF(ISNUMBER(B1178),MAX(B1178,IFERROR(H1177,B1178)),""),"")</f>
        <v/>
      </c>
      <c r="I1178" s="29">
        <f>IFERROR(IF(AND(ISNUMBER(B1178),ISNUMBER(H1178)),B1178/H1178-1,""),"")</f>
        <v/>
      </c>
      <c r="J1178" s="8">
        <f>IFERROR(IF(ISNUMBER(C1178),MAX(C1178,IFERROR(J1177,C1178)),""),"")</f>
        <v/>
      </c>
      <c r="K1178" s="29">
        <f>IFERROR(IF(AND(ISNUMBER(C1178),ISNUMBER(J1178)),C1178/J1178-1,""),"")</f>
        <v/>
      </c>
      <c r="L1178" s="28">
        <f>IFERROR(IF(AND(ISNUMBER(D1178),ISNUMBER(E1178)),D1178-E1178,""),"")</f>
        <v/>
      </c>
    </row>
    <row r="1179">
      <c r="A1179" s="7">
        <f>IFERROR(Datos!A1179,"")</f>
        <v/>
      </c>
      <c r="B1179" s="8">
        <f>IFERROR(Datos!B1179,"")</f>
        <v/>
      </c>
      <c r="C1179" s="8">
        <f>IFERROR(Datos!C1179,"")</f>
        <v/>
      </c>
      <c r="D1179" s="28">
        <f>IFERROR(IF(AND(ISNUMBER(B1179),ISNUMBER(B1178),B1178&lt;&gt;0),B1179/B1178-1,""),"")</f>
        <v/>
      </c>
      <c r="E1179" s="28">
        <f>IFERROR(IF(AND(ISNUMBER(C1179),ISNUMBER(C1178),C1178&lt;&gt;0),C1179/C1178-1,""),"")</f>
        <v/>
      </c>
      <c r="F1179" s="28">
        <f>IFERROR(D1179-Dashboard!$B$4/252,"")</f>
        <v/>
      </c>
      <c r="G1179" s="28">
        <f>IFERROR(E1179-Dashboard!$B$4/252,"")</f>
        <v/>
      </c>
      <c r="H1179" s="8">
        <f>IFERROR(IF(ISNUMBER(B1179),MAX(B1179,IFERROR(H1178,B1179)),""),"")</f>
        <v/>
      </c>
      <c r="I1179" s="29">
        <f>IFERROR(IF(AND(ISNUMBER(B1179),ISNUMBER(H1179)),B1179/H1179-1,""),"")</f>
        <v/>
      </c>
      <c r="J1179" s="8">
        <f>IFERROR(IF(ISNUMBER(C1179),MAX(C1179,IFERROR(J1178,C1179)),""),"")</f>
        <v/>
      </c>
      <c r="K1179" s="29">
        <f>IFERROR(IF(AND(ISNUMBER(C1179),ISNUMBER(J1179)),C1179/J1179-1,""),"")</f>
        <v/>
      </c>
      <c r="L1179" s="28">
        <f>IFERROR(IF(AND(ISNUMBER(D1179),ISNUMBER(E1179)),D1179-E1179,""),"")</f>
        <v/>
      </c>
    </row>
    <row r="1180">
      <c r="A1180" s="7">
        <f>IFERROR(Datos!A1180,"")</f>
        <v/>
      </c>
      <c r="B1180" s="8">
        <f>IFERROR(Datos!B1180,"")</f>
        <v/>
      </c>
      <c r="C1180" s="8">
        <f>IFERROR(Datos!C1180,"")</f>
        <v/>
      </c>
      <c r="D1180" s="28">
        <f>IFERROR(IF(AND(ISNUMBER(B1180),ISNUMBER(B1179),B1179&lt;&gt;0),B1180/B1179-1,""),"")</f>
        <v/>
      </c>
      <c r="E1180" s="28">
        <f>IFERROR(IF(AND(ISNUMBER(C1180),ISNUMBER(C1179),C1179&lt;&gt;0),C1180/C1179-1,""),"")</f>
        <v/>
      </c>
      <c r="F1180" s="28">
        <f>IFERROR(D1180-Dashboard!$B$4/252,"")</f>
        <v/>
      </c>
      <c r="G1180" s="28">
        <f>IFERROR(E1180-Dashboard!$B$4/252,"")</f>
        <v/>
      </c>
      <c r="H1180" s="8">
        <f>IFERROR(IF(ISNUMBER(B1180),MAX(B1180,IFERROR(H1179,B1180)),""),"")</f>
        <v/>
      </c>
      <c r="I1180" s="29">
        <f>IFERROR(IF(AND(ISNUMBER(B1180),ISNUMBER(H1180)),B1180/H1180-1,""),"")</f>
        <v/>
      </c>
      <c r="J1180" s="8">
        <f>IFERROR(IF(ISNUMBER(C1180),MAX(C1180,IFERROR(J1179,C1180)),""),"")</f>
        <v/>
      </c>
      <c r="K1180" s="29">
        <f>IFERROR(IF(AND(ISNUMBER(C1180),ISNUMBER(J1180)),C1180/J1180-1,""),"")</f>
        <v/>
      </c>
      <c r="L1180" s="28">
        <f>IFERROR(IF(AND(ISNUMBER(D1180),ISNUMBER(E1180)),D1180-E1180,""),"")</f>
        <v/>
      </c>
    </row>
    <row r="1181">
      <c r="A1181" s="7">
        <f>IFERROR(Datos!A1181,"")</f>
        <v/>
      </c>
      <c r="B1181" s="8">
        <f>IFERROR(Datos!B1181,"")</f>
        <v/>
      </c>
      <c r="C1181" s="8">
        <f>IFERROR(Datos!C1181,"")</f>
        <v/>
      </c>
      <c r="D1181" s="28">
        <f>IFERROR(IF(AND(ISNUMBER(B1181),ISNUMBER(B1180),B1180&lt;&gt;0),B1181/B1180-1,""),"")</f>
        <v/>
      </c>
      <c r="E1181" s="28">
        <f>IFERROR(IF(AND(ISNUMBER(C1181),ISNUMBER(C1180),C1180&lt;&gt;0),C1181/C1180-1,""),"")</f>
        <v/>
      </c>
      <c r="F1181" s="28">
        <f>IFERROR(D1181-Dashboard!$B$4/252,"")</f>
        <v/>
      </c>
      <c r="G1181" s="28">
        <f>IFERROR(E1181-Dashboard!$B$4/252,"")</f>
        <v/>
      </c>
      <c r="H1181" s="8">
        <f>IFERROR(IF(ISNUMBER(B1181),MAX(B1181,IFERROR(H1180,B1181)),""),"")</f>
        <v/>
      </c>
      <c r="I1181" s="29">
        <f>IFERROR(IF(AND(ISNUMBER(B1181),ISNUMBER(H1181)),B1181/H1181-1,""),"")</f>
        <v/>
      </c>
      <c r="J1181" s="8">
        <f>IFERROR(IF(ISNUMBER(C1181),MAX(C1181,IFERROR(J1180,C1181)),""),"")</f>
        <v/>
      </c>
      <c r="K1181" s="29">
        <f>IFERROR(IF(AND(ISNUMBER(C1181),ISNUMBER(J1181)),C1181/J1181-1,""),"")</f>
        <v/>
      </c>
      <c r="L1181" s="28">
        <f>IFERROR(IF(AND(ISNUMBER(D1181),ISNUMBER(E1181)),D1181-E1181,""),"")</f>
        <v/>
      </c>
    </row>
    <row r="1182">
      <c r="A1182" s="7">
        <f>IFERROR(Datos!A1182,"")</f>
        <v/>
      </c>
      <c r="B1182" s="8">
        <f>IFERROR(Datos!B1182,"")</f>
        <v/>
      </c>
      <c r="C1182" s="8">
        <f>IFERROR(Datos!C1182,"")</f>
        <v/>
      </c>
      <c r="D1182" s="28">
        <f>IFERROR(IF(AND(ISNUMBER(B1182),ISNUMBER(B1181),B1181&lt;&gt;0),B1182/B1181-1,""),"")</f>
        <v/>
      </c>
      <c r="E1182" s="28">
        <f>IFERROR(IF(AND(ISNUMBER(C1182),ISNUMBER(C1181),C1181&lt;&gt;0),C1182/C1181-1,""),"")</f>
        <v/>
      </c>
      <c r="F1182" s="28">
        <f>IFERROR(D1182-Dashboard!$B$4/252,"")</f>
        <v/>
      </c>
      <c r="G1182" s="28">
        <f>IFERROR(E1182-Dashboard!$B$4/252,"")</f>
        <v/>
      </c>
      <c r="H1182" s="8">
        <f>IFERROR(IF(ISNUMBER(B1182),MAX(B1182,IFERROR(H1181,B1182)),""),"")</f>
        <v/>
      </c>
      <c r="I1182" s="29">
        <f>IFERROR(IF(AND(ISNUMBER(B1182),ISNUMBER(H1182)),B1182/H1182-1,""),"")</f>
        <v/>
      </c>
      <c r="J1182" s="8">
        <f>IFERROR(IF(ISNUMBER(C1182),MAX(C1182,IFERROR(J1181,C1182)),""),"")</f>
        <v/>
      </c>
      <c r="K1182" s="29">
        <f>IFERROR(IF(AND(ISNUMBER(C1182),ISNUMBER(J1182)),C1182/J1182-1,""),"")</f>
        <v/>
      </c>
      <c r="L1182" s="28">
        <f>IFERROR(IF(AND(ISNUMBER(D1182),ISNUMBER(E1182)),D1182-E1182,""),"")</f>
        <v/>
      </c>
    </row>
    <row r="1183">
      <c r="A1183" s="7">
        <f>IFERROR(Datos!A1183,"")</f>
        <v/>
      </c>
      <c r="B1183" s="8">
        <f>IFERROR(Datos!B1183,"")</f>
        <v/>
      </c>
      <c r="C1183" s="8">
        <f>IFERROR(Datos!C1183,"")</f>
        <v/>
      </c>
      <c r="D1183" s="28">
        <f>IFERROR(IF(AND(ISNUMBER(B1183),ISNUMBER(B1182),B1182&lt;&gt;0),B1183/B1182-1,""),"")</f>
        <v/>
      </c>
      <c r="E1183" s="28">
        <f>IFERROR(IF(AND(ISNUMBER(C1183),ISNUMBER(C1182),C1182&lt;&gt;0),C1183/C1182-1,""),"")</f>
        <v/>
      </c>
      <c r="F1183" s="28">
        <f>IFERROR(D1183-Dashboard!$B$4/252,"")</f>
        <v/>
      </c>
      <c r="G1183" s="28">
        <f>IFERROR(E1183-Dashboard!$B$4/252,"")</f>
        <v/>
      </c>
      <c r="H1183" s="8">
        <f>IFERROR(IF(ISNUMBER(B1183),MAX(B1183,IFERROR(H1182,B1183)),""),"")</f>
        <v/>
      </c>
      <c r="I1183" s="29">
        <f>IFERROR(IF(AND(ISNUMBER(B1183),ISNUMBER(H1183)),B1183/H1183-1,""),"")</f>
        <v/>
      </c>
      <c r="J1183" s="8">
        <f>IFERROR(IF(ISNUMBER(C1183),MAX(C1183,IFERROR(J1182,C1183)),""),"")</f>
        <v/>
      </c>
      <c r="K1183" s="29">
        <f>IFERROR(IF(AND(ISNUMBER(C1183),ISNUMBER(J1183)),C1183/J1183-1,""),"")</f>
        <v/>
      </c>
      <c r="L1183" s="28">
        <f>IFERROR(IF(AND(ISNUMBER(D1183),ISNUMBER(E1183)),D1183-E1183,""),"")</f>
        <v/>
      </c>
    </row>
    <row r="1184">
      <c r="A1184" s="7">
        <f>IFERROR(Datos!A1184,"")</f>
        <v/>
      </c>
      <c r="B1184" s="8">
        <f>IFERROR(Datos!B1184,"")</f>
        <v/>
      </c>
      <c r="C1184" s="8">
        <f>IFERROR(Datos!C1184,"")</f>
        <v/>
      </c>
      <c r="D1184" s="28">
        <f>IFERROR(IF(AND(ISNUMBER(B1184),ISNUMBER(B1183),B1183&lt;&gt;0),B1184/B1183-1,""),"")</f>
        <v/>
      </c>
      <c r="E1184" s="28">
        <f>IFERROR(IF(AND(ISNUMBER(C1184),ISNUMBER(C1183),C1183&lt;&gt;0),C1184/C1183-1,""),"")</f>
        <v/>
      </c>
      <c r="F1184" s="28">
        <f>IFERROR(D1184-Dashboard!$B$4/252,"")</f>
        <v/>
      </c>
      <c r="G1184" s="28">
        <f>IFERROR(E1184-Dashboard!$B$4/252,"")</f>
        <v/>
      </c>
      <c r="H1184" s="8">
        <f>IFERROR(IF(ISNUMBER(B1184),MAX(B1184,IFERROR(H1183,B1184)),""),"")</f>
        <v/>
      </c>
      <c r="I1184" s="29">
        <f>IFERROR(IF(AND(ISNUMBER(B1184),ISNUMBER(H1184)),B1184/H1184-1,""),"")</f>
        <v/>
      </c>
      <c r="J1184" s="8">
        <f>IFERROR(IF(ISNUMBER(C1184),MAX(C1184,IFERROR(J1183,C1184)),""),"")</f>
        <v/>
      </c>
      <c r="K1184" s="29">
        <f>IFERROR(IF(AND(ISNUMBER(C1184),ISNUMBER(J1184)),C1184/J1184-1,""),"")</f>
        <v/>
      </c>
      <c r="L1184" s="28">
        <f>IFERROR(IF(AND(ISNUMBER(D1184),ISNUMBER(E1184)),D1184-E1184,""),"")</f>
        <v/>
      </c>
    </row>
    <row r="1185">
      <c r="A1185" s="7">
        <f>IFERROR(Datos!A1185,"")</f>
        <v/>
      </c>
      <c r="B1185" s="8">
        <f>IFERROR(Datos!B1185,"")</f>
        <v/>
      </c>
      <c r="C1185" s="8">
        <f>IFERROR(Datos!C1185,"")</f>
        <v/>
      </c>
      <c r="D1185" s="28">
        <f>IFERROR(IF(AND(ISNUMBER(B1185),ISNUMBER(B1184),B1184&lt;&gt;0),B1185/B1184-1,""),"")</f>
        <v/>
      </c>
      <c r="E1185" s="28">
        <f>IFERROR(IF(AND(ISNUMBER(C1185),ISNUMBER(C1184),C1184&lt;&gt;0),C1185/C1184-1,""),"")</f>
        <v/>
      </c>
      <c r="F1185" s="28">
        <f>IFERROR(D1185-Dashboard!$B$4/252,"")</f>
        <v/>
      </c>
      <c r="G1185" s="28">
        <f>IFERROR(E1185-Dashboard!$B$4/252,"")</f>
        <v/>
      </c>
      <c r="H1185" s="8">
        <f>IFERROR(IF(ISNUMBER(B1185),MAX(B1185,IFERROR(H1184,B1185)),""),"")</f>
        <v/>
      </c>
      <c r="I1185" s="29">
        <f>IFERROR(IF(AND(ISNUMBER(B1185),ISNUMBER(H1185)),B1185/H1185-1,""),"")</f>
        <v/>
      </c>
      <c r="J1185" s="8">
        <f>IFERROR(IF(ISNUMBER(C1185),MAX(C1185,IFERROR(J1184,C1185)),""),"")</f>
        <v/>
      </c>
      <c r="K1185" s="29">
        <f>IFERROR(IF(AND(ISNUMBER(C1185),ISNUMBER(J1185)),C1185/J1185-1,""),"")</f>
        <v/>
      </c>
      <c r="L1185" s="28">
        <f>IFERROR(IF(AND(ISNUMBER(D1185),ISNUMBER(E1185)),D1185-E1185,""),"")</f>
        <v/>
      </c>
    </row>
    <row r="1186">
      <c r="A1186" s="7">
        <f>IFERROR(Datos!A1186,"")</f>
        <v/>
      </c>
      <c r="B1186" s="8">
        <f>IFERROR(Datos!B1186,"")</f>
        <v/>
      </c>
      <c r="C1186" s="8">
        <f>IFERROR(Datos!C1186,"")</f>
        <v/>
      </c>
      <c r="D1186" s="28">
        <f>IFERROR(IF(AND(ISNUMBER(B1186),ISNUMBER(B1185),B1185&lt;&gt;0),B1186/B1185-1,""),"")</f>
        <v/>
      </c>
      <c r="E1186" s="28">
        <f>IFERROR(IF(AND(ISNUMBER(C1186),ISNUMBER(C1185),C1185&lt;&gt;0),C1186/C1185-1,""),"")</f>
        <v/>
      </c>
      <c r="F1186" s="28">
        <f>IFERROR(D1186-Dashboard!$B$4/252,"")</f>
        <v/>
      </c>
      <c r="G1186" s="28">
        <f>IFERROR(E1186-Dashboard!$B$4/252,"")</f>
        <v/>
      </c>
      <c r="H1186" s="8">
        <f>IFERROR(IF(ISNUMBER(B1186),MAX(B1186,IFERROR(H1185,B1186)),""),"")</f>
        <v/>
      </c>
      <c r="I1186" s="29">
        <f>IFERROR(IF(AND(ISNUMBER(B1186),ISNUMBER(H1186)),B1186/H1186-1,""),"")</f>
        <v/>
      </c>
      <c r="J1186" s="8">
        <f>IFERROR(IF(ISNUMBER(C1186),MAX(C1186,IFERROR(J1185,C1186)),""),"")</f>
        <v/>
      </c>
      <c r="K1186" s="29">
        <f>IFERROR(IF(AND(ISNUMBER(C1186),ISNUMBER(J1186)),C1186/J1186-1,""),"")</f>
        <v/>
      </c>
      <c r="L1186" s="28">
        <f>IFERROR(IF(AND(ISNUMBER(D1186),ISNUMBER(E1186)),D1186-E1186,""),"")</f>
        <v/>
      </c>
    </row>
    <row r="1187">
      <c r="A1187" s="7">
        <f>IFERROR(Datos!A1187,"")</f>
        <v/>
      </c>
      <c r="B1187" s="8">
        <f>IFERROR(Datos!B1187,"")</f>
        <v/>
      </c>
      <c r="C1187" s="8">
        <f>IFERROR(Datos!C1187,"")</f>
        <v/>
      </c>
      <c r="D1187" s="28">
        <f>IFERROR(IF(AND(ISNUMBER(B1187),ISNUMBER(B1186),B1186&lt;&gt;0),B1187/B1186-1,""),"")</f>
        <v/>
      </c>
      <c r="E1187" s="28">
        <f>IFERROR(IF(AND(ISNUMBER(C1187),ISNUMBER(C1186),C1186&lt;&gt;0),C1187/C1186-1,""),"")</f>
        <v/>
      </c>
      <c r="F1187" s="28">
        <f>IFERROR(D1187-Dashboard!$B$4/252,"")</f>
        <v/>
      </c>
      <c r="G1187" s="28">
        <f>IFERROR(E1187-Dashboard!$B$4/252,"")</f>
        <v/>
      </c>
      <c r="H1187" s="8">
        <f>IFERROR(IF(ISNUMBER(B1187),MAX(B1187,IFERROR(H1186,B1187)),""),"")</f>
        <v/>
      </c>
      <c r="I1187" s="29">
        <f>IFERROR(IF(AND(ISNUMBER(B1187),ISNUMBER(H1187)),B1187/H1187-1,""),"")</f>
        <v/>
      </c>
      <c r="J1187" s="8">
        <f>IFERROR(IF(ISNUMBER(C1187),MAX(C1187,IFERROR(J1186,C1187)),""),"")</f>
        <v/>
      </c>
      <c r="K1187" s="29">
        <f>IFERROR(IF(AND(ISNUMBER(C1187),ISNUMBER(J1187)),C1187/J1187-1,""),"")</f>
        <v/>
      </c>
      <c r="L1187" s="28">
        <f>IFERROR(IF(AND(ISNUMBER(D1187),ISNUMBER(E1187)),D1187-E1187,""),"")</f>
        <v/>
      </c>
    </row>
    <row r="1188">
      <c r="A1188" s="7">
        <f>IFERROR(Datos!A1188,"")</f>
        <v/>
      </c>
      <c r="B1188" s="8">
        <f>IFERROR(Datos!B1188,"")</f>
        <v/>
      </c>
      <c r="C1188" s="8">
        <f>IFERROR(Datos!C1188,"")</f>
        <v/>
      </c>
      <c r="D1188" s="28">
        <f>IFERROR(IF(AND(ISNUMBER(B1188),ISNUMBER(B1187),B1187&lt;&gt;0),B1188/B1187-1,""),"")</f>
        <v/>
      </c>
      <c r="E1188" s="28">
        <f>IFERROR(IF(AND(ISNUMBER(C1188),ISNUMBER(C1187),C1187&lt;&gt;0),C1188/C1187-1,""),"")</f>
        <v/>
      </c>
      <c r="F1188" s="28">
        <f>IFERROR(D1188-Dashboard!$B$4/252,"")</f>
        <v/>
      </c>
      <c r="G1188" s="28">
        <f>IFERROR(E1188-Dashboard!$B$4/252,"")</f>
        <v/>
      </c>
      <c r="H1188" s="8">
        <f>IFERROR(IF(ISNUMBER(B1188),MAX(B1188,IFERROR(H1187,B1188)),""),"")</f>
        <v/>
      </c>
      <c r="I1188" s="29">
        <f>IFERROR(IF(AND(ISNUMBER(B1188),ISNUMBER(H1188)),B1188/H1188-1,""),"")</f>
        <v/>
      </c>
      <c r="J1188" s="8">
        <f>IFERROR(IF(ISNUMBER(C1188),MAX(C1188,IFERROR(J1187,C1188)),""),"")</f>
        <v/>
      </c>
      <c r="K1188" s="29">
        <f>IFERROR(IF(AND(ISNUMBER(C1188),ISNUMBER(J1188)),C1188/J1188-1,""),"")</f>
        <v/>
      </c>
      <c r="L1188" s="28">
        <f>IFERROR(IF(AND(ISNUMBER(D1188),ISNUMBER(E1188)),D1188-E1188,""),"")</f>
        <v/>
      </c>
    </row>
    <row r="1189">
      <c r="A1189" s="7">
        <f>IFERROR(Datos!A1189,"")</f>
        <v/>
      </c>
      <c r="B1189" s="8">
        <f>IFERROR(Datos!B1189,"")</f>
        <v/>
      </c>
      <c r="C1189" s="8">
        <f>IFERROR(Datos!C1189,"")</f>
        <v/>
      </c>
      <c r="D1189" s="28">
        <f>IFERROR(IF(AND(ISNUMBER(B1189),ISNUMBER(B1188),B1188&lt;&gt;0),B1189/B1188-1,""),"")</f>
        <v/>
      </c>
      <c r="E1189" s="28">
        <f>IFERROR(IF(AND(ISNUMBER(C1189),ISNUMBER(C1188),C1188&lt;&gt;0),C1189/C1188-1,""),"")</f>
        <v/>
      </c>
      <c r="F1189" s="28">
        <f>IFERROR(D1189-Dashboard!$B$4/252,"")</f>
        <v/>
      </c>
      <c r="G1189" s="28">
        <f>IFERROR(E1189-Dashboard!$B$4/252,"")</f>
        <v/>
      </c>
      <c r="H1189" s="8">
        <f>IFERROR(IF(ISNUMBER(B1189),MAX(B1189,IFERROR(H1188,B1189)),""),"")</f>
        <v/>
      </c>
      <c r="I1189" s="29">
        <f>IFERROR(IF(AND(ISNUMBER(B1189),ISNUMBER(H1189)),B1189/H1189-1,""),"")</f>
        <v/>
      </c>
      <c r="J1189" s="8">
        <f>IFERROR(IF(ISNUMBER(C1189),MAX(C1189,IFERROR(J1188,C1189)),""),"")</f>
        <v/>
      </c>
      <c r="K1189" s="29">
        <f>IFERROR(IF(AND(ISNUMBER(C1189),ISNUMBER(J1189)),C1189/J1189-1,""),"")</f>
        <v/>
      </c>
      <c r="L1189" s="28">
        <f>IFERROR(IF(AND(ISNUMBER(D1189),ISNUMBER(E1189)),D1189-E1189,""),"")</f>
        <v/>
      </c>
    </row>
    <row r="1190">
      <c r="A1190" s="7">
        <f>IFERROR(Datos!A1190,"")</f>
        <v/>
      </c>
      <c r="B1190" s="8">
        <f>IFERROR(Datos!B1190,"")</f>
        <v/>
      </c>
      <c r="C1190" s="8">
        <f>IFERROR(Datos!C1190,"")</f>
        <v/>
      </c>
      <c r="D1190" s="28">
        <f>IFERROR(IF(AND(ISNUMBER(B1190),ISNUMBER(B1189),B1189&lt;&gt;0),B1190/B1189-1,""),"")</f>
        <v/>
      </c>
      <c r="E1190" s="28">
        <f>IFERROR(IF(AND(ISNUMBER(C1190),ISNUMBER(C1189),C1189&lt;&gt;0),C1190/C1189-1,""),"")</f>
        <v/>
      </c>
      <c r="F1190" s="28">
        <f>IFERROR(D1190-Dashboard!$B$4/252,"")</f>
        <v/>
      </c>
      <c r="G1190" s="28">
        <f>IFERROR(E1190-Dashboard!$B$4/252,"")</f>
        <v/>
      </c>
      <c r="H1190" s="8">
        <f>IFERROR(IF(ISNUMBER(B1190),MAX(B1190,IFERROR(H1189,B1190)),""),"")</f>
        <v/>
      </c>
      <c r="I1190" s="29">
        <f>IFERROR(IF(AND(ISNUMBER(B1190),ISNUMBER(H1190)),B1190/H1190-1,""),"")</f>
        <v/>
      </c>
      <c r="J1190" s="8">
        <f>IFERROR(IF(ISNUMBER(C1190),MAX(C1190,IFERROR(J1189,C1190)),""),"")</f>
        <v/>
      </c>
      <c r="K1190" s="29">
        <f>IFERROR(IF(AND(ISNUMBER(C1190),ISNUMBER(J1190)),C1190/J1190-1,""),"")</f>
        <v/>
      </c>
      <c r="L1190" s="28">
        <f>IFERROR(IF(AND(ISNUMBER(D1190),ISNUMBER(E1190)),D1190-E1190,""),"")</f>
        <v/>
      </c>
    </row>
    <row r="1191">
      <c r="A1191" s="7">
        <f>IFERROR(Datos!A1191,"")</f>
        <v/>
      </c>
      <c r="B1191" s="8">
        <f>IFERROR(Datos!B1191,"")</f>
        <v/>
      </c>
      <c r="C1191" s="8">
        <f>IFERROR(Datos!C1191,"")</f>
        <v/>
      </c>
      <c r="D1191" s="28">
        <f>IFERROR(IF(AND(ISNUMBER(B1191),ISNUMBER(B1190),B1190&lt;&gt;0),B1191/B1190-1,""),"")</f>
        <v/>
      </c>
      <c r="E1191" s="28">
        <f>IFERROR(IF(AND(ISNUMBER(C1191),ISNUMBER(C1190),C1190&lt;&gt;0),C1191/C1190-1,""),"")</f>
        <v/>
      </c>
      <c r="F1191" s="28">
        <f>IFERROR(D1191-Dashboard!$B$4/252,"")</f>
        <v/>
      </c>
      <c r="G1191" s="28">
        <f>IFERROR(E1191-Dashboard!$B$4/252,"")</f>
        <v/>
      </c>
      <c r="H1191" s="8">
        <f>IFERROR(IF(ISNUMBER(B1191),MAX(B1191,IFERROR(H1190,B1191)),""),"")</f>
        <v/>
      </c>
      <c r="I1191" s="29">
        <f>IFERROR(IF(AND(ISNUMBER(B1191),ISNUMBER(H1191)),B1191/H1191-1,""),"")</f>
        <v/>
      </c>
      <c r="J1191" s="8">
        <f>IFERROR(IF(ISNUMBER(C1191),MAX(C1191,IFERROR(J1190,C1191)),""),"")</f>
        <v/>
      </c>
      <c r="K1191" s="29">
        <f>IFERROR(IF(AND(ISNUMBER(C1191),ISNUMBER(J1191)),C1191/J1191-1,""),"")</f>
        <v/>
      </c>
      <c r="L1191" s="28">
        <f>IFERROR(IF(AND(ISNUMBER(D1191),ISNUMBER(E1191)),D1191-E1191,""),"")</f>
        <v/>
      </c>
    </row>
    <row r="1192">
      <c r="A1192" s="7">
        <f>IFERROR(Datos!A1192,"")</f>
        <v/>
      </c>
      <c r="B1192" s="8">
        <f>IFERROR(Datos!B1192,"")</f>
        <v/>
      </c>
      <c r="C1192" s="8">
        <f>IFERROR(Datos!C1192,"")</f>
        <v/>
      </c>
      <c r="D1192" s="28">
        <f>IFERROR(IF(AND(ISNUMBER(B1192),ISNUMBER(B1191),B1191&lt;&gt;0),B1192/B1191-1,""),"")</f>
        <v/>
      </c>
      <c r="E1192" s="28">
        <f>IFERROR(IF(AND(ISNUMBER(C1192),ISNUMBER(C1191),C1191&lt;&gt;0),C1192/C1191-1,""),"")</f>
        <v/>
      </c>
      <c r="F1192" s="28">
        <f>IFERROR(D1192-Dashboard!$B$4/252,"")</f>
        <v/>
      </c>
      <c r="G1192" s="28">
        <f>IFERROR(E1192-Dashboard!$B$4/252,"")</f>
        <v/>
      </c>
      <c r="H1192" s="8">
        <f>IFERROR(IF(ISNUMBER(B1192),MAX(B1192,IFERROR(H1191,B1192)),""),"")</f>
        <v/>
      </c>
      <c r="I1192" s="29">
        <f>IFERROR(IF(AND(ISNUMBER(B1192),ISNUMBER(H1192)),B1192/H1192-1,""),"")</f>
        <v/>
      </c>
      <c r="J1192" s="8">
        <f>IFERROR(IF(ISNUMBER(C1192),MAX(C1192,IFERROR(J1191,C1192)),""),"")</f>
        <v/>
      </c>
      <c r="K1192" s="29">
        <f>IFERROR(IF(AND(ISNUMBER(C1192),ISNUMBER(J1192)),C1192/J1192-1,""),"")</f>
        <v/>
      </c>
      <c r="L1192" s="28">
        <f>IFERROR(IF(AND(ISNUMBER(D1192),ISNUMBER(E1192)),D1192-E1192,""),"")</f>
        <v/>
      </c>
    </row>
    <row r="1193">
      <c r="A1193" s="7">
        <f>IFERROR(Datos!A1193,"")</f>
        <v/>
      </c>
      <c r="B1193" s="8">
        <f>IFERROR(Datos!B1193,"")</f>
        <v/>
      </c>
      <c r="C1193" s="8">
        <f>IFERROR(Datos!C1193,"")</f>
        <v/>
      </c>
      <c r="D1193" s="28">
        <f>IFERROR(IF(AND(ISNUMBER(B1193),ISNUMBER(B1192),B1192&lt;&gt;0),B1193/B1192-1,""),"")</f>
        <v/>
      </c>
      <c r="E1193" s="28">
        <f>IFERROR(IF(AND(ISNUMBER(C1193),ISNUMBER(C1192),C1192&lt;&gt;0),C1193/C1192-1,""),"")</f>
        <v/>
      </c>
      <c r="F1193" s="28">
        <f>IFERROR(D1193-Dashboard!$B$4/252,"")</f>
        <v/>
      </c>
      <c r="G1193" s="28">
        <f>IFERROR(E1193-Dashboard!$B$4/252,"")</f>
        <v/>
      </c>
      <c r="H1193" s="8">
        <f>IFERROR(IF(ISNUMBER(B1193),MAX(B1193,IFERROR(H1192,B1193)),""),"")</f>
        <v/>
      </c>
      <c r="I1193" s="29">
        <f>IFERROR(IF(AND(ISNUMBER(B1193),ISNUMBER(H1193)),B1193/H1193-1,""),"")</f>
        <v/>
      </c>
      <c r="J1193" s="8">
        <f>IFERROR(IF(ISNUMBER(C1193),MAX(C1193,IFERROR(J1192,C1193)),""),"")</f>
        <v/>
      </c>
      <c r="K1193" s="29">
        <f>IFERROR(IF(AND(ISNUMBER(C1193),ISNUMBER(J1193)),C1193/J1193-1,""),"")</f>
        <v/>
      </c>
      <c r="L1193" s="28">
        <f>IFERROR(IF(AND(ISNUMBER(D1193),ISNUMBER(E1193)),D1193-E1193,""),"")</f>
        <v/>
      </c>
    </row>
    <row r="1194">
      <c r="A1194" s="7">
        <f>IFERROR(Datos!A1194,"")</f>
        <v/>
      </c>
      <c r="B1194" s="8">
        <f>IFERROR(Datos!B1194,"")</f>
        <v/>
      </c>
      <c r="C1194" s="8">
        <f>IFERROR(Datos!C1194,"")</f>
        <v/>
      </c>
      <c r="D1194" s="28">
        <f>IFERROR(IF(AND(ISNUMBER(B1194),ISNUMBER(B1193),B1193&lt;&gt;0),B1194/B1193-1,""),"")</f>
        <v/>
      </c>
      <c r="E1194" s="28">
        <f>IFERROR(IF(AND(ISNUMBER(C1194),ISNUMBER(C1193),C1193&lt;&gt;0),C1194/C1193-1,""),"")</f>
        <v/>
      </c>
      <c r="F1194" s="28">
        <f>IFERROR(D1194-Dashboard!$B$4/252,"")</f>
        <v/>
      </c>
      <c r="G1194" s="28">
        <f>IFERROR(E1194-Dashboard!$B$4/252,"")</f>
        <v/>
      </c>
      <c r="H1194" s="8">
        <f>IFERROR(IF(ISNUMBER(B1194),MAX(B1194,IFERROR(H1193,B1194)),""),"")</f>
        <v/>
      </c>
      <c r="I1194" s="29">
        <f>IFERROR(IF(AND(ISNUMBER(B1194),ISNUMBER(H1194)),B1194/H1194-1,""),"")</f>
        <v/>
      </c>
      <c r="J1194" s="8">
        <f>IFERROR(IF(ISNUMBER(C1194),MAX(C1194,IFERROR(J1193,C1194)),""),"")</f>
        <v/>
      </c>
      <c r="K1194" s="29">
        <f>IFERROR(IF(AND(ISNUMBER(C1194),ISNUMBER(J1194)),C1194/J1194-1,""),"")</f>
        <v/>
      </c>
      <c r="L1194" s="28">
        <f>IFERROR(IF(AND(ISNUMBER(D1194),ISNUMBER(E1194)),D1194-E1194,""),"")</f>
        <v/>
      </c>
    </row>
    <row r="1195">
      <c r="A1195" s="7">
        <f>IFERROR(Datos!A1195,"")</f>
        <v/>
      </c>
      <c r="B1195" s="8">
        <f>IFERROR(Datos!B1195,"")</f>
        <v/>
      </c>
      <c r="C1195" s="8">
        <f>IFERROR(Datos!C1195,"")</f>
        <v/>
      </c>
      <c r="D1195" s="28">
        <f>IFERROR(IF(AND(ISNUMBER(B1195),ISNUMBER(B1194),B1194&lt;&gt;0),B1195/B1194-1,""),"")</f>
        <v/>
      </c>
      <c r="E1195" s="28">
        <f>IFERROR(IF(AND(ISNUMBER(C1195),ISNUMBER(C1194),C1194&lt;&gt;0),C1195/C1194-1,""),"")</f>
        <v/>
      </c>
      <c r="F1195" s="28">
        <f>IFERROR(D1195-Dashboard!$B$4/252,"")</f>
        <v/>
      </c>
      <c r="G1195" s="28">
        <f>IFERROR(E1195-Dashboard!$B$4/252,"")</f>
        <v/>
      </c>
      <c r="H1195" s="8">
        <f>IFERROR(IF(ISNUMBER(B1195),MAX(B1195,IFERROR(H1194,B1195)),""),"")</f>
        <v/>
      </c>
      <c r="I1195" s="29">
        <f>IFERROR(IF(AND(ISNUMBER(B1195),ISNUMBER(H1195)),B1195/H1195-1,""),"")</f>
        <v/>
      </c>
      <c r="J1195" s="8">
        <f>IFERROR(IF(ISNUMBER(C1195),MAX(C1195,IFERROR(J1194,C1195)),""),"")</f>
        <v/>
      </c>
      <c r="K1195" s="29">
        <f>IFERROR(IF(AND(ISNUMBER(C1195),ISNUMBER(J1195)),C1195/J1195-1,""),"")</f>
        <v/>
      </c>
      <c r="L1195" s="28">
        <f>IFERROR(IF(AND(ISNUMBER(D1195),ISNUMBER(E1195)),D1195-E1195,""),"")</f>
        <v/>
      </c>
    </row>
    <row r="1196">
      <c r="A1196" s="7">
        <f>IFERROR(Datos!A1196,"")</f>
        <v/>
      </c>
      <c r="B1196" s="8">
        <f>IFERROR(Datos!B1196,"")</f>
        <v/>
      </c>
      <c r="C1196" s="8">
        <f>IFERROR(Datos!C1196,"")</f>
        <v/>
      </c>
      <c r="D1196" s="28">
        <f>IFERROR(IF(AND(ISNUMBER(B1196),ISNUMBER(B1195),B1195&lt;&gt;0),B1196/B1195-1,""),"")</f>
        <v/>
      </c>
      <c r="E1196" s="28">
        <f>IFERROR(IF(AND(ISNUMBER(C1196),ISNUMBER(C1195),C1195&lt;&gt;0),C1196/C1195-1,""),"")</f>
        <v/>
      </c>
      <c r="F1196" s="28">
        <f>IFERROR(D1196-Dashboard!$B$4/252,"")</f>
        <v/>
      </c>
      <c r="G1196" s="28">
        <f>IFERROR(E1196-Dashboard!$B$4/252,"")</f>
        <v/>
      </c>
      <c r="H1196" s="8">
        <f>IFERROR(IF(ISNUMBER(B1196),MAX(B1196,IFERROR(H1195,B1196)),""),"")</f>
        <v/>
      </c>
      <c r="I1196" s="29">
        <f>IFERROR(IF(AND(ISNUMBER(B1196),ISNUMBER(H1196)),B1196/H1196-1,""),"")</f>
        <v/>
      </c>
      <c r="J1196" s="8">
        <f>IFERROR(IF(ISNUMBER(C1196),MAX(C1196,IFERROR(J1195,C1196)),""),"")</f>
        <v/>
      </c>
      <c r="K1196" s="29">
        <f>IFERROR(IF(AND(ISNUMBER(C1196),ISNUMBER(J1196)),C1196/J1196-1,""),"")</f>
        <v/>
      </c>
      <c r="L1196" s="28">
        <f>IFERROR(IF(AND(ISNUMBER(D1196),ISNUMBER(E1196)),D1196-E1196,""),"")</f>
        <v/>
      </c>
    </row>
    <row r="1197">
      <c r="A1197" s="7">
        <f>IFERROR(Datos!A1197,"")</f>
        <v/>
      </c>
      <c r="B1197" s="8">
        <f>IFERROR(Datos!B1197,"")</f>
        <v/>
      </c>
      <c r="C1197" s="8">
        <f>IFERROR(Datos!C1197,"")</f>
        <v/>
      </c>
      <c r="D1197" s="28">
        <f>IFERROR(IF(AND(ISNUMBER(B1197),ISNUMBER(B1196),B1196&lt;&gt;0),B1197/B1196-1,""),"")</f>
        <v/>
      </c>
      <c r="E1197" s="28">
        <f>IFERROR(IF(AND(ISNUMBER(C1197),ISNUMBER(C1196),C1196&lt;&gt;0),C1197/C1196-1,""),"")</f>
        <v/>
      </c>
      <c r="F1197" s="28">
        <f>IFERROR(D1197-Dashboard!$B$4/252,"")</f>
        <v/>
      </c>
      <c r="G1197" s="28">
        <f>IFERROR(E1197-Dashboard!$B$4/252,"")</f>
        <v/>
      </c>
      <c r="H1197" s="8">
        <f>IFERROR(IF(ISNUMBER(B1197),MAX(B1197,IFERROR(H1196,B1197)),""),"")</f>
        <v/>
      </c>
      <c r="I1197" s="29">
        <f>IFERROR(IF(AND(ISNUMBER(B1197),ISNUMBER(H1197)),B1197/H1197-1,""),"")</f>
        <v/>
      </c>
      <c r="J1197" s="8">
        <f>IFERROR(IF(ISNUMBER(C1197),MAX(C1197,IFERROR(J1196,C1197)),""),"")</f>
        <v/>
      </c>
      <c r="K1197" s="29">
        <f>IFERROR(IF(AND(ISNUMBER(C1197),ISNUMBER(J1197)),C1197/J1197-1,""),"")</f>
        <v/>
      </c>
      <c r="L1197" s="28">
        <f>IFERROR(IF(AND(ISNUMBER(D1197),ISNUMBER(E1197)),D1197-E1197,""),"")</f>
        <v/>
      </c>
    </row>
    <row r="1198">
      <c r="A1198" s="7">
        <f>IFERROR(Datos!A1198,"")</f>
        <v/>
      </c>
      <c r="B1198" s="8">
        <f>IFERROR(Datos!B1198,"")</f>
        <v/>
      </c>
      <c r="C1198" s="8">
        <f>IFERROR(Datos!C1198,"")</f>
        <v/>
      </c>
      <c r="D1198" s="28">
        <f>IFERROR(IF(AND(ISNUMBER(B1198),ISNUMBER(B1197),B1197&lt;&gt;0),B1198/B1197-1,""),"")</f>
        <v/>
      </c>
      <c r="E1198" s="28">
        <f>IFERROR(IF(AND(ISNUMBER(C1198),ISNUMBER(C1197),C1197&lt;&gt;0),C1198/C1197-1,""),"")</f>
        <v/>
      </c>
      <c r="F1198" s="28">
        <f>IFERROR(D1198-Dashboard!$B$4/252,"")</f>
        <v/>
      </c>
      <c r="G1198" s="28">
        <f>IFERROR(E1198-Dashboard!$B$4/252,"")</f>
        <v/>
      </c>
      <c r="H1198" s="8">
        <f>IFERROR(IF(ISNUMBER(B1198),MAX(B1198,IFERROR(H1197,B1198)),""),"")</f>
        <v/>
      </c>
      <c r="I1198" s="29">
        <f>IFERROR(IF(AND(ISNUMBER(B1198),ISNUMBER(H1198)),B1198/H1198-1,""),"")</f>
        <v/>
      </c>
      <c r="J1198" s="8">
        <f>IFERROR(IF(ISNUMBER(C1198),MAX(C1198,IFERROR(J1197,C1198)),""),"")</f>
        <v/>
      </c>
      <c r="K1198" s="29">
        <f>IFERROR(IF(AND(ISNUMBER(C1198),ISNUMBER(J1198)),C1198/J1198-1,""),"")</f>
        <v/>
      </c>
      <c r="L1198" s="28">
        <f>IFERROR(IF(AND(ISNUMBER(D1198),ISNUMBER(E1198)),D1198-E1198,""),"")</f>
        <v/>
      </c>
    </row>
    <row r="1199">
      <c r="A1199" s="7">
        <f>IFERROR(Datos!A1199,"")</f>
        <v/>
      </c>
      <c r="B1199" s="8">
        <f>IFERROR(Datos!B1199,"")</f>
        <v/>
      </c>
      <c r="C1199" s="8">
        <f>IFERROR(Datos!C1199,"")</f>
        <v/>
      </c>
      <c r="D1199" s="28">
        <f>IFERROR(IF(AND(ISNUMBER(B1199),ISNUMBER(B1198),B1198&lt;&gt;0),B1199/B1198-1,""),"")</f>
        <v/>
      </c>
      <c r="E1199" s="28">
        <f>IFERROR(IF(AND(ISNUMBER(C1199),ISNUMBER(C1198),C1198&lt;&gt;0),C1199/C1198-1,""),"")</f>
        <v/>
      </c>
      <c r="F1199" s="28">
        <f>IFERROR(D1199-Dashboard!$B$4/252,"")</f>
        <v/>
      </c>
      <c r="G1199" s="28">
        <f>IFERROR(E1199-Dashboard!$B$4/252,"")</f>
        <v/>
      </c>
      <c r="H1199" s="8">
        <f>IFERROR(IF(ISNUMBER(B1199),MAX(B1199,IFERROR(H1198,B1199)),""),"")</f>
        <v/>
      </c>
      <c r="I1199" s="29">
        <f>IFERROR(IF(AND(ISNUMBER(B1199),ISNUMBER(H1199)),B1199/H1199-1,""),"")</f>
        <v/>
      </c>
      <c r="J1199" s="8">
        <f>IFERROR(IF(ISNUMBER(C1199),MAX(C1199,IFERROR(J1198,C1199)),""),"")</f>
        <v/>
      </c>
      <c r="K1199" s="29">
        <f>IFERROR(IF(AND(ISNUMBER(C1199),ISNUMBER(J1199)),C1199/J1199-1,""),"")</f>
        <v/>
      </c>
      <c r="L1199" s="28">
        <f>IFERROR(IF(AND(ISNUMBER(D1199),ISNUMBER(E1199)),D1199-E1199,""),"")</f>
        <v/>
      </c>
    </row>
    <row r="1200">
      <c r="A1200" s="7">
        <f>IFERROR(Datos!A1200,"")</f>
        <v/>
      </c>
      <c r="B1200" s="8">
        <f>IFERROR(Datos!B1200,"")</f>
        <v/>
      </c>
      <c r="C1200" s="8">
        <f>IFERROR(Datos!C1200,"")</f>
        <v/>
      </c>
      <c r="D1200" s="28">
        <f>IFERROR(IF(AND(ISNUMBER(B1200),ISNUMBER(B1199),B1199&lt;&gt;0),B1200/B1199-1,""),"")</f>
        <v/>
      </c>
      <c r="E1200" s="28">
        <f>IFERROR(IF(AND(ISNUMBER(C1200),ISNUMBER(C1199),C1199&lt;&gt;0),C1200/C1199-1,""),"")</f>
        <v/>
      </c>
      <c r="F1200" s="28">
        <f>IFERROR(D1200-Dashboard!$B$4/252,"")</f>
        <v/>
      </c>
      <c r="G1200" s="28">
        <f>IFERROR(E1200-Dashboard!$B$4/252,"")</f>
        <v/>
      </c>
      <c r="H1200" s="8">
        <f>IFERROR(IF(ISNUMBER(B1200),MAX(B1200,IFERROR(H1199,B1200)),""),"")</f>
        <v/>
      </c>
      <c r="I1200" s="29">
        <f>IFERROR(IF(AND(ISNUMBER(B1200),ISNUMBER(H1200)),B1200/H1200-1,""),"")</f>
        <v/>
      </c>
      <c r="J1200" s="8">
        <f>IFERROR(IF(ISNUMBER(C1200),MAX(C1200,IFERROR(J1199,C1200)),""),"")</f>
        <v/>
      </c>
      <c r="K1200" s="29">
        <f>IFERROR(IF(AND(ISNUMBER(C1200),ISNUMBER(J1200)),C1200/J1200-1,""),"")</f>
        <v/>
      </c>
      <c r="L1200" s="28">
        <f>IFERROR(IF(AND(ISNUMBER(D1200),ISNUMBER(E1200)),D1200-E1200,""),"")</f>
        <v/>
      </c>
    </row>
    <row r="1201">
      <c r="A1201" s="7">
        <f>IFERROR(Datos!A1201,"")</f>
        <v/>
      </c>
      <c r="B1201" s="8">
        <f>IFERROR(Datos!B1201,"")</f>
        <v/>
      </c>
      <c r="C1201" s="8">
        <f>IFERROR(Datos!C1201,"")</f>
        <v/>
      </c>
      <c r="D1201" s="28">
        <f>IFERROR(IF(AND(ISNUMBER(B1201),ISNUMBER(B1200),B1200&lt;&gt;0),B1201/B1200-1,""),"")</f>
        <v/>
      </c>
      <c r="E1201" s="28">
        <f>IFERROR(IF(AND(ISNUMBER(C1201),ISNUMBER(C1200),C1200&lt;&gt;0),C1201/C1200-1,""),"")</f>
        <v/>
      </c>
      <c r="F1201" s="28">
        <f>IFERROR(D1201-Dashboard!$B$4/252,"")</f>
        <v/>
      </c>
      <c r="G1201" s="28">
        <f>IFERROR(E1201-Dashboard!$B$4/252,"")</f>
        <v/>
      </c>
      <c r="H1201" s="8">
        <f>IFERROR(IF(ISNUMBER(B1201),MAX(B1201,IFERROR(H1200,B1201)),""),"")</f>
        <v/>
      </c>
      <c r="I1201" s="29">
        <f>IFERROR(IF(AND(ISNUMBER(B1201),ISNUMBER(H1201)),B1201/H1201-1,""),"")</f>
        <v/>
      </c>
      <c r="J1201" s="8">
        <f>IFERROR(IF(ISNUMBER(C1201),MAX(C1201,IFERROR(J1200,C1201)),""),"")</f>
        <v/>
      </c>
      <c r="K1201" s="29">
        <f>IFERROR(IF(AND(ISNUMBER(C1201),ISNUMBER(J1201)),C1201/J1201-1,""),"")</f>
        <v/>
      </c>
      <c r="L1201" s="28">
        <f>IFERROR(IF(AND(ISNUMBER(D1201),ISNUMBER(E1201)),D1201-E1201,""),"")</f>
        <v/>
      </c>
    </row>
    <row r="1202">
      <c r="A1202" s="7">
        <f>IFERROR(Datos!A1202,"")</f>
        <v/>
      </c>
      <c r="B1202" s="8">
        <f>IFERROR(Datos!B1202,"")</f>
        <v/>
      </c>
      <c r="C1202" s="8">
        <f>IFERROR(Datos!C1202,"")</f>
        <v/>
      </c>
      <c r="D1202" s="28">
        <f>IFERROR(IF(AND(ISNUMBER(B1202),ISNUMBER(B1201),B1201&lt;&gt;0),B1202/B1201-1,""),"")</f>
        <v/>
      </c>
      <c r="E1202" s="28">
        <f>IFERROR(IF(AND(ISNUMBER(C1202),ISNUMBER(C1201),C1201&lt;&gt;0),C1202/C1201-1,""),"")</f>
        <v/>
      </c>
      <c r="F1202" s="28">
        <f>IFERROR(D1202-Dashboard!$B$4/252,"")</f>
        <v/>
      </c>
      <c r="G1202" s="28">
        <f>IFERROR(E1202-Dashboard!$B$4/252,"")</f>
        <v/>
      </c>
      <c r="H1202" s="8">
        <f>IFERROR(IF(ISNUMBER(B1202),MAX(B1202,IFERROR(H1201,B1202)),""),"")</f>
        <v/>
      </c>
      <c r="I1202" s="29">
        <f>IFERROR(IF(AND(ISNUMBER(B1202),ISNUMBER(H1202)),B1202/H1202-1,""),"")</f>
        <v/>
      </c>
      <c r="J1202" s="8">
        <f>IFERROR(IF(ISNUMBER(C1202),MAX(C1202,IFERROR(J1201,C1202)),""),"")</f>
        <v/>
      </c>
      <c r="K1202" s="29">
        <f>IFERROR(IF(AND(ISNUMBER(C1202),ISNUMBER(J1202)),C1202/J1202-1,""),"")</f>
        <v/>
      </c>
      <c r="L1202" s="28">
        <f>IFERROR(IF(AND(ISNUMBER(D1202),ISNUMBER(E1202)),D1202-E1202,""),"")</f>
        <v/>
      </c>
    </row>
    <row r="1203">
      <c r="A1203" s="7">
        <f>IFERROR(Datos!A1203,"")</f>
        <v/>
      </c>
      <c r="B1203" s="8">
        <f>IFERROR(Datos!B1203,"")</f>
        <v/>
      </c>
      <c r="C1203" s="8">
        <f>IFERROR(Datos!C1203,"")</f>
        <v/>
      </c>
      <c r="D1203" s="28">
        <f>IFERROR(IF(AND(ISNUMBER(B1203),ISNUMBER(B1202),B1202&lt;&gt;0),B1203/B1202-1,""),"")</f>
        <v/>
      </c>
      <c r="E1203" s="28">
        <f>IFERROR(IF(AND(ISNUMBER(C1203),ISNUMBER(C1202),C1202&lt;&gt;0),C1203/C1202-1,""),"")</f>
        <v/>
      </c>
      <c r="F1203" s="28">
        <f>IFERROR(D1203-Dashboard!$B$4/252,"")</f>
        <v/>
      </c>
      <c r="G1203" s="28">
        <f>IFERROR(E1203-Dashboard!$B$4/252,"")</f>
        <v/>
      </c>
      <c r="H1203" s="8">
        <f>IFERROR(IF(ISNUMBER(B1203),MAX(B1203,IFERROR(H1202,B1203)),""),"")</f>
        <v/>
      </c>
      <c r="I1203" s="29">
        <f>IFERROR(IF(AND(ISNUMBER(B1203),ISNUMBER(H1203)),B1203/H1203-1,""),"")</f>
        <v/>
      </c>
      <c r="J1203" s="8">
        <f>IFERROR(IF(ISNUMBER(C1203),MAX(C1203,IFERROR(J1202,C1203)),""),"")</f>
        <v/>
      </c>
      <c r="K1203" s="29">
        <f>IFERROR(IF(AND(ISNUMBER(C1203),ISNUMBER(J1203)),C1203/J1203-1,""),"")</f>
        <v/>
      </c>
      <c r="L1203" s="28">
        <f>IFERROR(IF(AND(ISNUMBER(D1203),ISNUMBER(E1203)),D1203-E1203,""),"")</f>
        <v/>
      </c>
    </row>
    <row r="1204">
      <c r="A1204" s="7">
        <f>IFERROR(Datos!A1204,"")</f>
        <v/>
      </c>
      <c r="B1204" s="8">
        <f>IFERROR(Datos!B1204,"")</f>
        <v/>
      </c>
      <c r="C1204" s="8">
        <f>IFERROR(Datos!C1204,"")</f>
        <v/>
      </c>
      <c r="D1204" s="28">
        <f>IFERROR(IF(AND(ISNUMBER(B1204),ISNUMBER(B1203),B1203&lt;&gt;0),B1204/B1203-1,""),"")</f>
        <v/>
      </c>
      <c r="E1204" s="28">
        <f>IFERROR(IF(AND(ISNUMBER(C1204),ISNUMBER(C1203),C1203&lt;&gt;0),C1204/C1203-1,""),"")</f>
        <v/>
      </c>
      <c r="F1204" s="28">
        <f>IFERROR(D1204-Dashboard!$B$4/252,"")</f>
        <v/>
      </c>
      <c r="G1204" s="28">
        <f>IFERROR(E1204-Dashboard!$B$4/252,"")</f>
        <v/>
      </c>
      <c r="H1204" s="8">
        <f>IFERROR(IF(ISNUMBER(B1204),MAX(B1204,IFERROR(H1203,B1204)),""),"")</f>
        <v/>
      </c>
      <c r="I1204" s="29">
        <f>IFERROR(IF(AND(ISNUMBER(B1204),ISNUMBER(H1204)),B1204/H1204-1,""),"")</f>
        <v/>
      </c>
      <c r="J1204" s="8">
        <f>IFERROR(IF(ISNUMBER(C1204),MAX(C1204,IFERROR(J1203,C1204)),""),"")</f>
        <v/>
      </c>
      <c r="K1204" s="29">
        <f>IFERROR(IF(AND(ISNUMBER(C1204),ISNUMBER(J1204)),C1204/J1204-1,""),"")</f>
        <v/>
      </c>
      <c r="L1204" s="28">
        <f>IFERROR(IF(AND(ISNUMBER(D1204),ISNUMBER(E1204)),D1204-E1204,""),"")</f>
        <v/>
      </c>
    </row>
    <row r="1205">
      <c r="A1205" s="7">
        <f>IFERROR(Datos!A1205,"")</f>
        <v/>
      </c>
      <c r="B1205" s="8">
        <f>IFERROR(Datos!B1205,"")</f>
        <v/>
      </c>
      <c r="C1205" s="8">
        <f>IFERROR(Datos!C1205,"")</f>
        <v/>
      </c>
      <c r="D1205" s="28">
        <f>IFERROR(IF(AND(ISNUMBER(B1205),ISNUMBER(B1204),B1204&lt;&gt;0),B1205/B1204-1,""),"")</f>
        <v/>
      </c>
      <c r="E1205" s="28">
        <f>IFERROR(IF(AND(ISNUMBER(C1205),ISNUMBER(C1204),C1204&lt;&gt;0),C1205/C1204-1,""),"")</f>
        <v/>
      </c>
      <c r="F1205" s="28">
        <f>IFERROR(D1205-Dashboard!$B$4/252,"")</f>
        <v/>
      </c>
      <c r="G1205" s="28">
        <f>IFERROR(E1205-Dashboard!$B$4/252,"")</f>
        <v/>
      </c>
      <c r="H1205" s="8">
        <f>IFERROR(IF(ISNUMBER(B1205),MAX(B1205,IFERROR(H1204,B1205)),""),"")</f>
        <v/>
      </c>
      <c r="I1205" s="29">
        <f>IFERROR(IF(AND(ISNUMBER(B1205),ISNUMBER(H1205)),B1205/H1205-1,""),"")</f>
        <v/>
      </c>
      <c r="J1205" s="8">
        <f>IFERROR(IF(ISNUMBER(C1205),MAX(C1205,IFERROR(J1204,C1205)),""),"")</f>
        <v/>
      </c>
      <c r="K1205" s="29">
        <f>IFERROR(IF(AND(ISNUMBER(C1205),ISNUMBER(J1205)),C1205/J1205-1,""),"")</f>
        <v/>
      </c>
      <c r="L1205" s="28">
        <f>IFERROR(IF(AND(ISNUMBER(D1205),ISNUMBER(E1205)),D1205-E1205,""),"")</f>
        <v/>
      </c>
    </row>
    <row r="1206">
      <c r="A1206" s="7">
        <f>IFERROR(Datos!A1206,"")</f>
        <v/>
      </c>
      <c r="B1206" s="8">
        <f>IFERROR(Datos!B1206,"")</f>
        <v/>
      </c>
      <c r="C1206" s="8">
        <f>IFERROR(Datos!C1206,"")</f>
        <v/>
      </c>
      <c r="D1206" s="28">
        <f>IFERROR(IF(AND(ISNUMBER(B1206),ISNUMBER(B1205),B1205&lt;&gt;0),B1206/B1205-1,""),"")</f>
        <v/>
      </c>
      <c r="E1206" s="28">
        <f>IFERROR(IF(AND(ISNUMBER(C1206),ISNUMBER(C1205),C1205&lt;&gt;0),C1206/C1205-1,""),"")</f>
        <v/>
      </c>
      <c r="F1206" s="28">
        <f>IFERROR(D1206-Dashboard!$B$4/252,"")</f>
        <v/>
      </c>
      <c r="G1206" s="28">
        <f>IFERROR(E1206-Dashboard!$B$4/252,"")</f>
        <v/>
      </c>
      <c r="H1206" s="8">
        <f>IFERROR(IF(ISNUMBER(B1206),MAX(B1206,IFERROR(H1205,B1206)),""),"")</f>
        <v/>
      </c>
      <c r="I1206" s="29">
        <f>IFERROR(IF(AND(ISNUMBER(B1206),ISNUMBER(H1206)),B1206/H1206-1,""),"")</f>
        <v/>
      </c>
      <c r="J1206" s="8">
        <f>IFERROR(IF(ISNUMBER(C1206),MAX(C1206,IFERROR(J1205,C1206)),""),"")</f>
        <v/>
      </c>
      <c r="K1206" s="29">
        <f>IFERROR(IF(AND(ISNUMBER(C1206),ISNUMBER(J1206)),C1206/J1206-1,""),"")</f>
        <v/>
      </c>
      <c r="L1206" s="28">
        <f>IFERROR(IF(AND(ISNUMBER(D1206),ISNUMBER(E1206)),D1206-E1206,""),"")</f>
        <v/>
      </c>
    </row>
    <row r="1207">
      <c r="A1207" s="7">
        <f>IFERROR(Datos!A1207,"")</f>
        <v/>
      </c>
      <c r="B1207" s="8">
        <f>IFERROR(Datos!B1207,"")</f>
        <v/>
      </c>
      <c r="C1207" s="8">
        <f>IFERROR(Datos!C1207,"")</f>
        <v/>
      </c>
      <c r="D1207" s="28">
        <f>IFERROR(IF(AND(ISNUMBER(B1207),ISNUMBER(B1206),B1206&lt;&gt;0),B1207/B1206-1,""),"")</f>
        <v/>
      </c>
      <c r="E1207" s="28">
        <f>IFERROR(IF(AND(ISNUMBER(C1207),ISNUMBER(C1206),C1206&lt;&gt;0),C1207/C1206-1,""),"")</f>
        <v/>
      </c>
      <c r="F1207" s="28">
        <f>IFERROR(D1207-Dashboard!$B$4/252,"")</f>
        <v/>
      </c>
      <c r="G1207" s="28">
        <f>IFERROR(E1207-Dashboard!$B$4/252,"")</f>
        <v/>
      </c>
      <c r="H1207" s="8">
        <f>IFERROR(IF(ISNUMBER(B1207),MAX(B1207,IFERROR(H1206,B1207)),""),"")</f>
        <v/>
      </c>
      <c r="I1207" s="29">
        <f>IFERROR(IF(AND(ISNUMBER(B1207),ISNUMBER(H1207)),B1207/H1207-1,""),"")</f>
        <v/>
      </c>
      <c r="J1207" s="8">
        <f>IFERROR(IF(ISNUMBER(C1207),MAX(C1207,IFERROR(J1206,C1207)),""),"")</f>
        <v/>
      </c>
      <c r="K1207" s="29">
        <f>IFERROR(IF(AND(ISNUMBER(C1207),ISNUMBER(J1207)),C1207/J1207-1,""),"")</f>
        <v/>
      </c>
      <c r="L1207" s="28">
        <f>IFERROR(IF(AND(ISNUMBER(D1207),ISNUMBER(E1207)),D1207-E1207,""),"")</f>
        <v/>
      </c>
    </row>
    <row r="1208">
      <c r="A1208" s="7">
        <f>IFERROR(Datos!A1208,"")</f>
        <v/>
      </c>
      <c r="B1208" s="8">
        <f>IFERROR(Datos!B1208,"")</f>
        <v/>
      </c>
      <c r="C1208" s="8">
        <f>IFERROR(Datos!C1208,"")</f>
        <v/>
      </c>
      <c r="D1208" s="28">
        <f>IFERROR(IF(AND(ISNUMBER(B1208),ISNUMBER(B1207),B1207&lt;&gt;0),B1208/B1207-1,""),"")</f>
        <v/>
      </c>
      <c r="E1208" s="28">
        <f>IFERROR(IF(AND(ISNUMBER(C1208),ISNUMBER(C1207),C1207&lt;&gt;0),C1208/C1207-1,""),"")</f>
        <v/>
      </c>
      <c r="F1208" s="28">
        <f>IFERROR(D1208-Dashboard!$B$4/252,"")</f>
        <v/>
      </c>
      <c r="G1208" s="28">
        <f>IFERROR(E1208-Dashboard!$B$4/252,"")</f>
        <v/>
      </c>
      <c r="H1208" s="8">
        <f>IFERROR(IF(ISNUMBER(B1208),MAX(B1208,IFERROR(H1207,B1208)),""),"")</f>
        <v/>
      </c>
      <c r="I1208" s="29">
        <f>IFERROR(IF(AND(ISNUMBER(B1208),ISNUMBER(H1208)),B1208/H1208-1,""),"")</f>
        <v/>
      </c>
      <c r="J1208" s="8">
        <f>IFERROR(IF(ISNUMBER(C1208),MAX(C1208,IFERROR(J1207,C1208)),""),"")</f>
        <v/>
      </c>
      <c r="K1208" s="29">
        <f>IFERROR(IF(AND(ISNUMBER(C1208),ISNUMBER(J1208)),C1208/J1208-1,""),"")</f>
        <v/>
      </c>
      <c r="L1208" s="28">
        <f>IFERROR(IF(AND(ISNUMBER(D1208),ISNUMBER(E1208)),D1208-E1208,""),"")</f>
        <v/>
      </c>
    </row>
    <row r="1209">
      <c r="A1209" s="7">
        <f>IFERROR(Datos!A1209,"")</f>
        <v/>
      </c>
      <c r="B1209" s="8">
        <f>IFERROR(Datos!B1209,"")</f>
        <v/>
      </c>
      <c r="C1209" s="8">
        <f>IFERROR(Datos!C1209,"")</f>
        <v/>
      </c>
      <c r="D1209" s="28">
        <f>IFERROR(IF(AND(ISNUMBER(B1209),ISNUMBER(B1208),B1208&lt;&gt;0),B1209/B1208-1,""),"")</f>
        <v/>
      </c>
      <c r="E1209" s="28">
        <f>IFERROR(IF(AND(ISNUMBER(C1209),ISNUMBER(C1208),C1208&lt;&gt;0),C1209/C1208-1,""),"")</f>
        <v/>
      </c>
      <c r="F1209" s="28">
        <f>IFERROR(D1209-Dashboard!$B$4/252,"")</f>
        <v/>
      </c>
      <c r="G1209" s="28">
        <f>IFERROR(E1209-Dashboard!$B$4/252,"")</f>
        <v/>
      </c>
      <c r="H1209" s="8">
        <f>IFERROR(IF(ISNUMBER(B1209),MAX(B1209,IFERROR(H1208,B1209)),""),"")</f>
        <v/>
      </c>
      <c r="I1209" s="29">
        <f>IFERROR(IF(AND(ISNUMBER(B1209),ISNUMBER(H1209)),B1209/H1209-1,""),"")</f>
        <v/>
      </c>
      <c r="J1209" s="8">
        <f>IFERROR(IF(ISNUMBER(C1209),MAX(C1209,IFERROR(J1208,C1209)),""),"")</f>
        <v/>
      </c>
      <c r="K1209" s="29">
        <f>IFERROR(IF(AND(ISNUMBER(C1209),ISNUMBER(J1209)),C1209/J1209-1,""),"")</f>
        <v/>
      </c>
      <c r="L1209" s="28">
        <f>IFERROR(IF(AND(ISNUMBER(D1209),ISNUMBER(E1209)),D1209-E1209,""),"")</f>
        <v/>
      </c>
    </row>
    <row r="1210">
      <c r="A1210" s="7">
        <f>IFERROR(Datos!A1210,"")</f>
        <v/>
      </c>
      <c r="B1210" s="8">
        <f>IFERROR(Datos!B1210,"")</f>
        <v/>
      </c>
      <c r="C1210" s="8">
        <f>IFERROR(Datos!C1210,"")</f>
        <v/>
      </c>
      <c r="D1210" s="28">
        <f>IFERROR(IF(AND(ISNUMBER(B1210),ISNUMBER(B1209),B1209&lt;&gt;0),B1210/B1209-1,""),"")</f>
        <v/>
      </c>
      <c r="E1210" s="28">
        <f>IFERROR(IF(AND(ISNUMBER(C1210),ISNUMBER(C1209),C1209&lt;&gt;0),C1210/C1209-1,""),"")</f>
        <v/>
      </c>
      <c r="F1210" s="28">
        <f>IFERROR(D1210-Dashboard!$B$4/252,"")</f>
        <v/>
      </c>
      <c r="G1210" s="28">
        <f>IFERROR(E1210-Dashboard!$B$4/252,"")</f>
        <v/>
      </c>
      <c r="H1210" s="8">
        <f>IFERROR(IF(ISNUMBER(B1210),MAX(B1210,IFERROR(H1209,B1210)),""),"")</f>
        <v/>
      </c>
      <c r="I1210" s="29">
        <f>IFERROR(IF(AND(ISNUMBER(B1210),ISNUMBER(H1210)),B1210/H1210-1,""),"")</f>
        <v/>
      </c>
      <c r="J1210" s="8">
        <f>IFERROR(IF(ISNUMBER(C1210),MAX(C1210,IFERROR(J1209,C1210)),""),"")</f>
        <v/>
      </c>
      <c r="K1210" s="29">
        <f>IFERROR(IF(AND(ISNUMBER(C1210),ISNUMBER(J1210)),C1210/J1210-1,""),"")</f>
        <v/>
      </c>
      <c r="L1210" s="28">
        <f>IFERROR(IF(AND(ISNUMBER(D1210),ISNUMBER(E1210)),D1210-E1210,""),"")</f>
        <v/>
      </c>
    </row>
    <row r="1211">
      <c r="A1211" s="7">
        <f>IFERROR(Datos!A1211,"")</f>
        <v/>
      </c>
      <c r="B1211" s="8">
        <f>IFERROR(Datos!B1211,"")</f>
        <v/>
      </c>
      <c r="C1211" s="8">
        <f>IFERROR(Datos!C1211,"")</f>
        <v/>
      </c>
      <c r="D1211" s="28">
        <f>IFERROR(IF(AND(ISNUMBER(B1211),ISNUMBER(B1210),B1210&lt;&gt;0),B1211/B1210-1,""),"")</f>
        <v/>
      </c>
      <c r="E1211" s="28">
        <f>IFERROR(IF(AND(ISNUMBER(C1211),ISNUMBER(C1210),C1210&lt;&gt;0),C1211/C1210-1,""),"")</f>
        <v/>
      </c>
      <c r="F1211" s="28">
        <f>IFERROR(D1211-Dashboard!$B$4/252,"")</f>
        <v/>
      </c>
      <c r="G1211" s="28">
        <f>IFERROR(E1211-Dashboard!$B$4/252,"")</f>
        <v/>
      </c>
      <c r="H1211" s="8">
        <f>IFERROR(IF(ISNUMBER(B1211),MAX(B1211,IFERROR(H1210,B1211)),""),"")</f>
        <v/>
      </c>
      <c r="I1211" s="29">
        <f>IFERROR(IF(AND(ISNUMBER(B1211),ISNUMBER(H1211)),B1211/H1211-1,""),"")</f>
        <v/>
      </c>
      <c r="J1211" s="8">
        <f>IFERROR(IF(ISNUMBER(C1211),MAX(C1211,IFERROR(J1210,C1211)),""),"")</f>
        <v/>
      </c>
      <c r="K1211" s="29">
        <f>IFERROR(IF(AND(ISNUMBER(C1211),ISNUMBER(J1211)),C1211/J1211-1,""),"")</f>
        <v/>
      </c>
      <c r="L1211" s="28">
        <f>IFERROR(IF(AND(ISNUMBER(D1211),ISNUMBER(E1211)),D1211-E1211,""),"")</f>
        <v/>
      </c>
    </row>
    <row r="1212">
      <c r="A1212" s="7">
        <f>IFERROR(Datos!A1212,"")</f>
        <v/>
      </c>
      <c r="B1212" s="8">
        <f>IFERROR(Datos!B1212,"")</f>
        <v/>
      </c>
      <c r="C1212" s="8">
        <f>IFERROR(Datos!C1212,"")</f>
        <v/>
      </c>
      <c r="D1212" s="28">
        <f>IFERROR(IF(AND(ISNUMBER(B1212),ISNUMBER(B1211),B1211&lt;&gt;0),B1212/B1211-1,""),"")</f>
        <v/>
      </c>
      <c r="E1212" s="28">
        <f>IFERROR(IF(AND(ISNUMBER(C1212),ISNUMBER(C1211),C1211&lt;&gt;0),C1212/C1211-1,""),"")</f>
        <v/>
      </c>
      <c r="F1212" s="28">
        <f>IFERROR(D1212-Dashboard!$B$4/252,"")</f>
        <v/>
      </c>
      <c r="G1212" s="28">
        <f>IFERROR(E1212-Dashboard!$B$4/252,"")</f>
        <v/>
      </c>
      <c r="H1212" s="8">
        <f>IFERROR(IF(ISNUMBER(B1212),MAX(B1212,IFERROR(H1211,B1212)),""),"")</f>
        <v/>
      </c>
      <c r="I1212" s="29">
        <f>IFERROR(IF(AND(ISNUMBER(B1212),ISNUMBER(H1212)),B1212/H1212-1,""),"")</f>
        <v/>
      </c>
      <c r="J1212" s="8">
        <f>IFERROR(IF(ISNUMBER(C1212),MAX(C1212,IFERROR(J1211,C1212)),""),"")</f>
        <v/>
      </c>
      <c r="K1212" s="29">
        <f>IFERROR(IF(AND(ISNUMBER(C1212),ISNUMBER(J1212)),C1212/J1212-1,""),"")</f>
        <v/>
      </c>
      <c r="L1212" s="28">
        <f>IFERROR(IF(AND(ISNUMBER(D1212),ISNUMBER(E1212)),D1212-E1212,""),"")</f>
        <v/>
      </c>
    </row>
    <row r="1213">
      <c r="A1213" s="7">
        <f>IFERROR(Datos!A1213,"")</f>
        <v/>
      </c>
      <c r="B1213" s="8">
        <f>IFERROR(Datos!B1213,"")</f>
        <v/>
      </c>
      <c r="C1213" s="8">
        <f>IFERROR(Datos!C1213,"")</f>
        <v/>
      </c>
      <c r="D1213" s="28">
        <f>IFERROR(IF(AND(ISNUMBER(B1213),ISNUMBER(B1212),B1212&lt;&gt;0),B1213/B1212-1,""),"")</f>
        <v/>
      </c>
      <c r="E1213" s="28">
        <f>IFERROR(IF(AND(ISNUMBER(C1213),ISNUMBER(C1212),C1212&lt;&gt;0),C1213/C1212-1,""),"")</f>
        <v/>
      </c>
      <c r="F1213" s="28">
        <f>IFERROR(D1213-Dashboard!$B$4/252,"")</f>
        <v/>
      </c>
      <c r="G1213" s="28">
        <f>IFERROR(E1213-Dashboard!$B$4/252,"")</f>
        <v/>
      </c>
      <c r="H1213" s="8">
        <f>IFERROR(IF(ISNUMBER(B1213),MAX(B1213,IFERROR(H1212,B1213)),""),"")</f>
        <v/>
      </c>
      <c r="I1213" s="29">
        <f>IFERROR(IF(AND(ISNUMBER(B1213),ISNUMBER(H1213)),B1213/H1213-1,""),"")</f>
        <v/>
      </c>
      <c r="J1213" s="8">
        <f>IFERROR(IF(ISNUMBER(C1213),MAX(C1213,IFERROR(J1212,C1213)),""),"")</f>
        <v/>
      </c>
      <c r="K1213" s="29">
        <f>IFERROR(IF(AND(ISNUMBER(C1213),ISNUMBER(J1213)),C1213/J1213-1,""),"")</f>
        <v/>
      </c>
      <c r="L1213" s="28">
        <f>IFERROR(IF(AND(ISNUMBER(D1213),ISNUMBER(E1213)),D1213-E1213,""),"")</f>
        <v/>
      </c>
    </row>
    <row r="1214">
      <c r="A1214" s="7">
        <f>IFERROR(Datos!A1214,"")</f>
        <v/>
      </c>
      <c r="B1214" s="8">
        <f>IFERROR(Datos!B1214,"")</f>
        <v/>
      </c>
      <c r="C1214" s="8">
        <f>IFERROR(Datos!C1214,"")</f>
        <v/>
      </c>
      <c r="D1214" s="28">
        <f>IFERROR(IF(AND(ISNUMBER(B1214),ISNUMBER(B1213),B1213&lt;&gt;0),B1214/B1213-1,""),"")</f>
        <v/>
      </c>
      <c r="E1214" s="28">
        <f>IFERROR(IF(AND(ISNUMBER(C1214),ISNUMBER(C1213),C1213&lt;&gt;0),C1214/C1213-1,""),"")</f>
        <v/>
      </c>
      <c r="F1214" s="28">
        <f>IFERROR(D1214-Dashboard!$B$4/252,"")</f>
        <v/>
      </c>
      <c r="G1214" s="28">
        <f>IFERROR(E1214-Dashboard!$B$4/252,"")</f>
        <v/>
      </c>
      <c r="H1214" s="8">
        <f>IFERROR(IF(ISNUMBER(B1214),MAX(B1214,IFERROR(H1213,B1214)),""),"")</f>
        <v/>
      </c>
      <c r="I1214" s="29">
        <f>IFERROR(IF(AND(ISNUMBER(B1214),ISNUMBER(H1214)),B1214/H1214-1,""),"")</f>
        <v/>
      </c>
      <c r="J1214" s="8">
        <f>IFERROR(IF(ISNUMBER(C1214),MAX(C1214,IFERROR(J1213,C1214)),""),"")</f>
        <v/>
      </c>
      <c r="K1214" s="29">
        <f>IFERROR(IF(AND(ISNUMBER(C1214),ISNUMBER(J1214)),C1214/J1214-1,""),"")</f>
        <v/>
      </c>
      <c r="L1214" s="28">
        <f>IFERROR(IF(AND(ISNUMBER(D1214),ISNUMBER(E1214)),D1214-E1214,""),"")</f>
        <v/>
      </c>
    </row>
    <row r="1215">
      <c r="A1215" s="7">
        <f>IFERROR(Datos!A1215,"")</f>
        <v/>
      </c>
      <c r="B1215" s="8">
        <f>IFERROR(Datos!B1215,"")</f>
        <v/>
      </c>
      <c r="C1215" s="8">
        <f>IFERROR(Datos!C1215,"")</f>
        <v/>
      </c>
      <c r="D1215" s="28">
        <f>IFERROR(IF(AND(ISNUMBER(B1215),ISNUMBER(B1214),B1214&lt;&gt;0),B1215/B1214-1,""),"")</f>
        <v/>
      </c>
      <c r="E1215" s="28">
        <f>IFERROR(IF(AND(ISNUMBER(C1215),ISNUMBER(C1214),C1214&lt;&gt;0),C1215/C1214-1,""),"")</f>
        <v/>
      </c>
      <c r="F1215" s="28">
        <f>IFERROR(D1215-Dashboard!$B$4/252,"")</f>
        <v/>
      </c>
      <c r="G1215" s="28">
        <f>IFERROR(E1215-Dashboard!$B$4/252,"")</f>
        <v/>
      </c>
      <c r="H1215" s="8">
        <f>IFERROR(IF(ISNUMBER(B1215),MAX(B1215,IFERROR(H1214,B1215)),""),"")</f>
        <v/>
      </c>
      <c r="I1215" s="29">
        <f>IFERROR(IF(AND(ISNUMBER(B1215),ISNUMBER(H1215)),B1215/H1215-1,""),"")</f>
        <v/>
      </c>
      <c r="J1215" s="8">
        <f>IFERROR(IF(ISNUMBER(C1215),MAX(C1215,IFERROR(J1214,C1215)),""),"")</f>
        <v/>
      </c>
      <c r="K1215" s="29">
        <f>IFERROR(IF(AND(ISNUMBER(C1215),ISNUMBER(J1215)),C1215/J1215-1,""),"")</f>
        <v/>
      </c>
      <c r="L1215" s="28">
        <f>IFERROR(IF(AND(ISNUMBER(D1215),ISNUMBER(E1215)),D1215-E1215,""),"")</f>
        <v/>
      </c>
    </row>
    <row r="1216">
      <c r="A1216" s="7">
        <f>IFERROR(Datos!A1216,"")</f>
        <v/>
      </c>
      <c r="B1216" s="8">
        <f>IFERROR(Datos!B1216,"")</f>
        <v/>
      </c>
      <c r="C1216" s="8">
        <f>IFERROR(Datos!C1216,"")</f>
        <v/>
      </c>
      <c r="D1216" s="28">
        <f>IFERROR(IF(AND(ISNUMBER(B1216),ISNUMBER(B1215),B1215&lt;&gt;0),B1216/B1215-1,""),"")</f>
        <v/>
      </c>
      <c r="E1216" s="28">
        <f>IFERROR(IF(AND(ISNUMBER(C1216),ISNUMBER(C1215),C1215&lt;&gt;0),C1216/C1215-1,""),"")</f>
        <v/>
      </c>
      <c r="F1216" s="28">
        <f>IFERROR(D1216-Dashboard!$B$4/252,"")</f>
        <v/>
      </c>
      <c r="G1216" s="28">
        <f>IFERROR(E1216-Dashboard!$B$4/252,"")</f>
        <v/>
      </c>
      <c r="H1216" s="8">
        <f>IFERROR(IF(ISNUMBER(B1216),MAX(B1216,IFERROR(H1215,B1216)),""),"")</f>
        <v/>
      </c>
      <c r="I1216" s="29">
        <f>IFERROR(IF(AND(ISNUMBER(B1216),ISNUMBER(H1216)),B1216/H1216-1,""),"")</f>
        <v/>
      </c>
      <c r="J1216" s="8">
        <f>IFERROR(IF(ISNUMBER(C1216),MAX(C1216,IFERROR(J1215,C1216)),""),"")</f>
        <v/>
      </c>
      <c r="K1216" s="29">
        <f>IFERROR(IF(AND(ISNUMBER(C1216),ISNUMBER(J1216)),C1216/J1216-1,""),"")</f>
        <v/>
      </c>
      <c r="L1216" s="28">
        <f>IFERROR(IF(AND(ISNUMBER(D1216),ISNUMBER(E1216)),D1216-E1216,""),"")</f>
        <v/>
      </c>
    </row>
    <row r="1217">
      <c r="A1217" s="7">
        <f>IFERROR(Datos!A1217,"")</f>
        <v/>
      </c>
      <c r="B1217" s="8">
        <f>IFERROR(Datos!B1217,"")</f>
        <v/>
      </c>
      <c r="C1217" s="8">
        <f>IFERROR(Datos!C1217,"")</f>
        <v/>
      </c>
      <c r="D1217" s="28">
        <f>IFERROR(IF(AND(ISNUMBER(B1217),ISNUMBER(B1216),B1216&lt;&gt;0),B1217/B1216-1,""),"")</f>
        <v/>
      </c>
      <c r="E1217" s="28">
        <f>IFERROR(IF(AND(ISNUMBER(C1217),ISNUMBER(C1216),C1216&lt;&gt;0),C1217/C1216-1,""),"")</f>
        <v/>
      </c>
      <c r="F1217" s="28">
        <f>IFERROR(D1217-Dashboard!$B$4/252,"")</f>
        <v/>
      </c>
      <c r="G1217" s="28">
        <f>IFERROR(E1217-Dashboard!$B$4/252,"")</f>
        <v/>
      </c>
      <c r="H1217" s="8">
        <f>IFERROR(IF(ISNUMBER(B1217),MAX(B1217,IFERROR(H1216,B1217)),""),"")</f>
        <v/>
      </c>
      <c r="I1217" s="29">
        <f>IFERROR(IF(AND(ISNUMBER(B1217),ISNUMBER(H1217)),B1217/H1217-1,""),"")</f>
        <v/>
      </c>
      <c r="J1217" s="8">
        <f>IFERROR(IF(ISNUMBER(C1217),MAX(C1217,IFERROR(J1216,C1217)),""),"")</f>
        <v/>
      </c>
      <c r="K1217" s="29">
        <f>IFERROR(IF(AND(ISNUMBER(C1217),ISNUMBER(J1217)),C1217/J1217-1,""),"")</f>
        <v/>
      </c>
      <c r="L1217" s="28">
        <f>IFERROR(IF(AND(ISNUMBER(D1217),ISNUMBER(E1217)),D1217-E1217,""),"")</f>
        <v/>
      </c>
    </row>
    <row r="1218">
      <c r="A1218" s="7">
        <f>IFERROR(Datos!A1218,"")</f>
        <v/>
      </c>
      <c r="B1218" s="8">
        <f>IFERROR(Datos!B1218,"")</f>
        <v/>
      </c>
      <c r="C1218" s="8">
        <f>IFERROR(Datos!C1218,"")</f>
        <v/>
      </c>
      <c r="D1218" s="28">
        <f>IFERROR(IF(AND(ISNUMBER(B1218),ISNUMBER(B1217),B1217&lt;&gt;0),B1218/B1217-1,""),"")</f>
        <v/>
      </c>
      <c r="E1218" s="28">
        <f>IFERROR(IF(AND(ISNUMBER(C1218),ISNUMBER(C1217),C1217&lt;&gt;0),C1218/C1217-1,""),"")</f>
        <v/>
      </c>
      <c r="F1218" s="28">
        <f>IFERROR(D1218-Dashboard!$B$4/252,"")</f>
        <v/>
      </c>
      <c r="G1218" s="28">
        <f>IFERROR(E1218-Dashboard!$B$4/252,"")</f>
        <v/>
      </c>
      <c r="H1218" s="8">
        <f>IFERROR(IF(ISNUMBER(B1218),MAX(B1218,IFERROR(H1217,B1218)),""),"")</f>
        <v/>
      </c>
      <c r="I1218" s="29">
        <f>IFERROR(IF(AND(ISNUMBER(B1218),ISNUMBER(H1218)),B1218/H1218-1,""),"")</f>
        <v/>
      </c>
      <c r="J1218" s="8">
        <f>IFERROR(IF(ISNUMBER(C1218),MAX(C1218,IFERROR(J1217,C1218)),""),"")</f>
        <v/>
      </c>
      <c r="K1218" s="29">
        <f>IFERROR(IF(AND(ISNUMBER(C1218),ISNUMBER(J1218)),C1218/J1218-1,""),"")</f>
        <v/>
      </c>
      <c r="L1218" s="28">
        <f>IFERROR(IF(AND(ISNUMBER(D1218),ISNUMBER(E1218)),D1218-E1218,""),"")</f>
        <v/>
      </c>
    </row>
    <row r="1219">
      <c r="A1219" s="7">
        <f>IFERROR(Datos!A1219,"")</f>
        <v/>
      </c>
      <c r="B1219" s="8">
        <f>IFERROR(Datos!B1219,"")</f>
        <v/>
      </c>
      <c r="C1219" s="8">
        <f>IFERROR(Datos!C1219,"")</f>
        <v/>
      </c>
      <c r="D1219" s="28">
        <f>IFERROR(IF(AND(ISNUMBER(B1219),ISNUMBER(B1218),B1218&lt;&gt;0),B1219/B1218-1,""),"")</f>
        <v/>
      </c>
      <c r="E1219" s="28">
        <f>IFERROR(IF(AND(ISNUMBER(C1219),ISNUMBER(C1218),C1218&lt;&gt;0),C1219/C1218-1,""),"")</f>
        <v/>
      </c>
      <c r="F1219" s="28">
        <f>IFERROR(D1219-Dashboard!$B$4/252,"")</f>
        <v/>
      </c>
      <c r="G1219" s="28">
        <f>IFERROR(E1219-Dashboard!$B$4/252,"")</f>
        <v/>
      </c>
      <c r="H1219" s="8">
        <f>IFERROR(IF(ISNUMBER(B1219),MAX(B1219,IFERROR(H1218,B1219)),""),"")</f>
        <v/>
      </c>
      <c r="I1219" s="29">
        <f>IFERROR(IF(AND(ISNUMBER(B1219),ISNUMBER(H1219)),B1219/H1219-1,""),"")</f>
        <v/>
      </c>
      <c r="J1219" s="8">
        <f>IFERROR(IF(ISNUMBER(C1219),MAX(C1219,IFERROR(J1218,C1219)),""),"")</f>
        <v/>
      </c>
      <c r="K1219" s="29">
        <f>IFERROR(IF(AND(ISNUMBER(C1219),ISNUMBER(J1219)),C1219/J1219-1,""),"")</f>
        <v/>
      </c>
      <c r="L1219" s="28">
        <f>IFERROR(IF(AND(ISNUMBER(D1219),ISNUMBER(E1219)),D1219-E1219,""),"")</f>
        <v/>
      </c>
    </row>
    <row r="1220">
      <c r="A1220" s="7">
        <f>IFERROR(Datos!A1220,"")</f>
        <v/>
      </c>
      <c r="B1220" s="8">
        <f>IFERROR(Datos!B1220,"")</f>
        <v/>
      </c>
      <c r="C1220" s="8">
        <f>IFERROR(Datos!C1220,"")</f>
        <v/>
      </c>
      <c r="D1220" s="28">
        <f>IFERROR(IF(AND(ISNUMBER(B1220),ISNUMBER(B1219),B1219&lt;&gt;0),B1220/B1219-1,""),"")</f>
        <v/>
      </c>
      <c r="E1220" s="28">
        <f>IFERROR(IF(AND(ISNUMBER(C1220),ISNUMBER(C1219),C1219&lt;&gt;0),C1220/C1219-1,""),"")</f>
        <v/>
      </c>
      <c r="F1220" s="28">
        <f>IFERROR(D1220-Dashboard!$B$4/252,"")</f>
        <v/>
      </c>
      <c r="G1220" s="28">
        <f>IFERROR(E1220-Dashboard!$B$4/252,"")</f>
        <v/>
      </c>
      <c r="H1220" s="8">
        <f>IFERROR(IF(ISNUMBER(B1220),MAX(B1220,IFERROR(H1219,B1220)),""),"")</f>
        <v/>
      </c>
      <c r="I1220" s="29">
        <f>IFERROR(IF(AND(ISNUMBER(B1220),ISNUMBER(H1220)),B1220/H1220-1,""),"")</f>
        <v/>
      </c>
      <c r="J1220" s="8">
        <f>IFERROR(IF(ISNUMBER(C1220),MAX(C1220,IFERROR(J1219,C1220)),""),"")</f>
        <v/>
      </c>
      <c r="K1220" s="29">
        <f>IFERROR(IF(AND(ISNUMBER(C1220),ISNUMBER(J1220)),C1220/J1220-1,""),"")</f>
        <v/>
      </c>
      <c r="L1220" s="28">
        <f>IFERROR(IF(AND(ISNUMBER(D1220),ISNUMBER(E1220)),D1220-E1220,""),"")</f>
        <v/>
      </c>
    </row>
    <row r="1221">
      <c r="A1221" s="7">
        <f>IFERROR(Datos!A1221,"")</f>
        <v/>
      </c>
      <c r="B1221" s="8">
        <f>IFERROR(Datos!B1221,"")</f>
        <v/>
      </c>
      <c r="C1221" s="8">
        <f>IFERROR(Datos!C1221,"")</f>
        <v/>
      </c>
      <c r="D1221" s="28">
        <f>IFERROR(IF(AND(ISNUMBER(B1221),ISNUMBER(B1220),B1220&lt;&gt;0),B1221/B1220-1,""),"")</f>
        <v/>
      </c>
      <c r="E1221" s="28">
        <f>IFERROR(IF(AND(ISNUMBER(C1221),ISNUMBER(C1220),C1220&lt;&gt;0),C1221/C1220-1,""),"")</f>
        <v/>
      </c>
      <c r="F1221" s="28">
        <f>IFERROR(D1221-Dashboard!$B$4/252,"")</f>
        <v/>
      </c>
      <c r="G1221" s="28">
        <f>IFERROR(E1221-Dashboard!$B$4/252,"")</f>
        <v/>
      </c>
      <c r="H1221" s="8">
        <f>IFERROR(IF(ISNUMBER(B1221),MAX(B1221,IFERROR(H1220,B1221)),""),"")</f>
        <v/>
      </c>
      <c r="I1221" s="29">
        <f>IFERROR(IF(AND(ISNUMBER(B1221),ISNUMBER(H1221)),B1221/H1221-1,""),"")</f>
        <v/>
      </c>
      <c r="J1221" s="8">
        <f>IFERROR(IF(ISNUMBER(C1221),MAX(C1221,IFERROR(J1220,C1221)),""),"")</f>
        <v/>
      </c>
      <c r="K1221" s="29">
        <f>IFERROR(IF(AND(ISNUMBER(C1221),ISNUMBER(J1221)),C1221/J1221-1,""),"")</f>
        <v/>
      </c>
      <c r="L1221" s="28">
        <f>IFERROR(IF(AND(ISNUMBER(D1221),ISNUMBER(E1221)),D1221-E1221,""),"")</f>
        <v/>
      </c>
    </row>
    <row r="1222">
      <c r="A1222" s="7">
        <f>IFERROR(Datos!A1222,"")</f>
        <v/>
      </c>
      <c r="B1222" s="8">
        <f>IFERROR(Datos!B1222,"")</f>
        <v/>
      </c>
      <c r="C1222" s="8">
        <f>IFERROR(Datos!C1222,"")</f>
        <v/>
      </c>
      <c r="D1222" s="28">
        <f>IFERROR(IF(AND(ISNUMBER(B1222),ISNUMBER(B1221),B1221&lt;&gt;0),B1222/B1221-1,""),"")</f>
        <v/>
      </c>
      <c r="E1222" s="28">
        <f>IFERROR(IF(AND(ISNUMBER(C1222),ISNUMBER(C1221),C1221&lt;&gt;0),C1222/C1221-1,""),"")</f>
        <v/>
      </c>
      <c r="F1222" s="28">
        <f>IFERROR(D1222-Dashboard!$B$4/252,"")</f>
        <v/>
      </c>
      <c r="G1222" s="28">
        <f>IFERROR(E1222-Dashboard!$B$4/252,"")</f>
        <v/>
      </c>
      <c r="H1222" s="8">
        <f>IFERROR(IF(ISNUMBER(B1222),MAX(B1222,IFERROR(H1221,B1222)),""),"")</f>
        <v/>
      </c>
      <c r="I1222" s="29">
        <f>IFERROR(IF(AND(ISNUMBER(B1222),ISNUMBER(H1222)),B1222/H1222-1,""),"")</f>
        <v/>
      </c>
      <c r="J1222" s="8">
        <f>IFERROR(IF(ISNUMBER(C1222),MAX(C1222,IFERROR(J1221,C1222)),""),"")</f>
        <v/>
      </c>
      <c r="K1222" s="29">
        <f>IFERROR(IF(AND(ISNUMBER(C1222),ISNUMBER(J1222)),C1222/J1222-1,""),"")</f>
        <v/>
      </c>
      <c r="L1222" s="28">
        <f>IFERROR(IF(AND(ISNUMBER(D1222),ISNUMBER(E1222)),D1222-E1222,""),"")</f>
        <v/>
      </c>
    </row>
    <row r="1223">
      <c r="A1223" s="7">
        <f>IFERROR(Datos!A1223,"")</f>
        <v/>
      </c>
      <c r="B1223" s="8">
        <f>IFERROR(Datos!B1223,"")</f>
        <v/>
      </c>
      <c r="C1223" s="8">
        <f>IFERROR(Datos!C1223,"")</f>
        <v/>
      </c>
      <c r="D1223" s="28">
        <f>IFERROR(IF(AND(ISNUMBER(B1223),ISNUMBER(B1222),B1222&lt;&gt;0),B1223/B1222-1,""),"")</f>
        <v/>
      </c>
      <c r="E1223" s="28">
        <f>IFERROR(IF(AND(ISNUMBER(C1223),ISNUMBER(C1222),C1222&lt;&gt;0),C1223/C1222-1,""),"")</f>
        <v/>
      </c>
      <c r="F1223" s="28">
        <f>IFERROR(D1223-Dashboard!$B$4/252,"")</f>
        <v/>
      </c>
      <c r="G1223" s="28">
        <f>IFERROR(E1223-Dashboard!$B$4/252,"")</f>
        <v/>
      </c>
      <c r="H1223" s="8">
        <f>IFERROR(IF(ISNUMBER(B1223),MAX(B1223,IFERROR(H1222,B1223)),""),"")</f>
        <v/>
      </c>
      <c r="I1223" s="29">
        <f>IFERROR(IF(AND(ISNUMBER(B1223),ISNUMBER(H1223)),B1223/H1223-1,""),"")</f>
        <v/>
      </c>
      <c r="J1223" s="8">
        <f>IFERROR(IF(ISNUMBER(C1223),MAX(C1223,IFERROR(J1222,C1223)),""),"")</f>
        <v/>
      </c>
      <c r="K1223" s="29">
        <f>IFERROR(IF(AND(ISNUMBER(C1223),ISNUMBER(J1223)),C1223/J1223-1,""),"")</f>
        <v/>
      </c>
      <c r="L1223" s="28">
        <f>IFERROR(IF(AND(ISNUMBER(D1223),ISNUMBER(E1223)),D1223-E1223,""),"")</f>
        <v/>
      </c>
    </row>
    <row r="1224">
      <c r="A1224" s="7">
        <f>IFERROR(Datos!A1224,"")</f>
        <v/>
      </c>
      <c r="B1224" s="8">
        <f>IFERROR(Datos!B1224,"")</f>
        <v/>
      </c>
      <c r="C1224" s="8">
        <f>IFERROR(Datos!C1224,"")</f>
        <v/>
      </c>
      <c r="D1224" s="28">
        <f>IFERROR(IF(AND(ISNUMBER(B1224),ISNUMBER(B1223),B1223&lt;&gt;0),B1224/B1223-1,""),"")</f>
        <v/>
      </c>
      <c r="E1224" s="28">
        <f>IFERROR(IF(AND(ISNUMBER(C1224),ISNUMBER(C1223),C1223&lt;&gt;0),C1224/C1223-1,""),"")</f>
        <v/>
      </c>
      <c r="F1224" s="28">
        <f>IFERROR(D1224-Dashboard!$B$4/252,"")</f>
        <v/>
      </c>
      <c r="G1224" s="28">
        <f>IFERROR(E1224-Dashboard!$B$4/252,"")</f>
        <v/>
      </c>
      <c r="H1224" s="8">
        <f>IFERROR(IF(ISNUMBER(B1224),MAX(B1224,IFERROR(H1223,B1224)),""),"")</f>
        <v/>
      </c>
      <c r="I1224" s="29">
        <f>IFERROR(IF(AND(ISNUMBER(B1224),ISNUMBER(H1224)),B1224/H1224-1,""),"")</f>
        <v/>
      </c>
      <c r="J1224" s="8">
        <f>IFERROR(IF(ISNUMBER(C1224),MAX(C1224,IFERROR(J1223,C1224)),""),"")</f>
        <v/>
      </c>
      <c r="K1224" s="29">
        <f>IFERROR(IF(AND(ISNUMBER(C1224),ISNUMBER(J1224)),C1224/J1224-1,""),"")</f>
        <v/>
      </c>
      <c r="L1224" s="28">
        <f>IFERROR(IF(AND(ISNUMBER(D1224),ISNUMBER(E1224)),D1224-E1224,""),"")</f>
        <v/>
      </c>
    </row>
    <row r="1225">
      <c r="A1225" s="7">
        <f>IFERROR(Datos!A1225,"")</f>
        <v/>
      </c>
      <c r="B1225" s="8">
        <f>IFERROR(Datos!B1225,"")</f>
        <v/>
      </c>
      <c r="C1225" s="8">
        <f>IFERROR(Datos!C1225,"")</f>
        <v/>
      </c>
      <c r="D1225" s="28">
        <f>IFERROR(IF(AND(ISNUMBER(B1225),ISNUMBER(B1224),B1224&lt;&gt;0),B1225/B1224-1,""),"")</f>
        <v/>
      </c>
      <c r="E1225" s="28">
        <f>IFERROR(IF(AND(ISNUMBER(C1225),ISNUMBER(C1224),C1224&lt;&gt;0),C1225/C1224-1,""),"")</f>
        <v/>
      </c>
      <c r="F1225" s="28">
        <f>IFERROR(D1225-Dashboard!$B$4/252,"")</f>
        <v/>
      </c>
      <c r="G1225" s="28">
        <f>IFERROR(E1225-Dashboard!$B$4/252,"")</f>
        <v/>
      </c>
      <c r="H1225" s="8">
        <f>IFERROR(IF(ISNUMBER(B1225),MAX(B1225,IFERROR(H1224,B1225)),""),"")</f>
        <v/>
      </c>
      <c r="I1225" s="29">
        <f>IFERROR(IF(AND(ISNUMBER(B1225),ISNUMBER(H1225)),B1225/H1225-1,""),"")</f>
        <v/>
      </c>
      <c r="J1225" s="8">
        <f>IFERROR(IF(ISNUMBER(C1225),MAX(C1225,IFERROR(J1224,C1225)),""),"")</f>
        <v/>
      </c>
      <c r="K1225" s="29">
        <f>IFERROR(IF(AND(ISNUMBER(C1225),ISNUMBER(J1225)),C1225/J1225-1,""),"")</f>
        <v/>
      </c>
      <c r="L1225" s="28">
        <f>IFERROR(IF(AND(ISNUMBER(D1225),ISNUMBER(E1225)),D1225-E1225,""),"")</f>
        <v/>
      </c>
    </row>
    <row r="1226">
      <c r="A1226" s="7">
        <f>IFERROR(Datos!A1226,"")</f>
        <v/>
      </c>
      <c r="B1226" s="8">
        <f>IFERROR(Datos!B1226,"")</f>
        <v/>
      </c>
      <c r="C1226" s="8">
        <f>IFERROR(Datos!C1226,"")</f>
        <v/>
      </c>
      <c r="D1226" s="28">
        <f>IFERROR(IF(AND(ISNUMBER(B1226),ISNUMBER(B1225),B1225&lt;&gt;0),B1226/B1225-1,""),"")</f>
        <v/>
      </c>
      <c r="E1226" s="28">
        <f>IFERROR(IF(AND(ISNUMBER(C1226),ISNUMBER(C1225),C1225&lt;&gt;0),C1226/C1225-1,""),"")</f>
        <v/>
      </c>
      <c r="F1226" s="28">
        <f>IFERROR(D1226-Dashboard!$B$4/252,"")</f>
        <v/>
      </c>
      <c r="G1226" s="28">
        <f>IFERROR(E1226-Dashboard!$B$4/252,"")</f>
        <v/>
      </c>
      <c r="H1226" s="8">
        <f>IFERROR(IF(ISNUMBER(B1226),MAX(B1226,IFERROR(H1225,B1226)),""),"")</f>
        <v/>
      </c>
      <c r="I1226" s="29">
        <f>IFERROR(IF(AND(ISNUMBER(B1226),ISNUMBER(H1226)),B1226/H1226-1,""),"")</f>
        <v/>
      </c>
      <c r="J1226" s="8">
        <f>IFERROR(IF(ISNUMBER(C1226),MAX(C1226,IFERROR(J1225,C1226)),""),"")</f>
        <v/>
      </c>
      <c r="K1226" s="29">
        <f>IFERROR(IF(AND(ISNUMBER(C1226),ISNUMBER(J1226)),C1226/J1226-1,""),"")</f>
        <v/>
      </c>
      <c r="L1226" s="28">
        <f>IFERROR(IF(AND(ISNUMBER(D1226),ISNUMBER(E1226)),D1226-E1226,""),"")</f>
        <v/>
      </c>
    </row>
    <row r="1227">
      <c r="A1227" s="7">
        <f>IFERROR(Datos!A1227,"")</f>
        <v/>
      </c>
      <c r="B1227" s="8">
        <f>IFERROR(Datos!B1227,"")</f>
        <v/>
      </c>
      <c r="C1227" s="8">
        <f>IFERROR(Datos!C1227,"")</f>
        <v/>
      </c>
      <c r="D1227" s="28">
        <f>IFERROR(IF(AND(ISNUMBER(B1227),ISNUMBER(B1226),B1226&lt;&gt;0),B1227/B1226-1,""),"")</f>
        <v/>
      </c>
      <c r="E1227" s="28">
        <f>IFERROR(IF(AND(ISNUMBER(C1227),ISNUMBER(C1226),C1226&lt;&gt;0),C1227/C1226-1,""),"")</f>
        <v/>
      </c>
      <c r="F1227" s="28">
        <f>IFERROR(D1227-Dashboard!$B$4/252,"")</f>
        <v/>
      </c>
      <c r="G1227" s="28">
        <f>IFERROR(E1227-Dashboard!$B$4/252,"")</f>
        <v/>
      </c>
      <c r="H1227" s="8">
        <f>IFERROR(IF(ISNUMBER(B1227),MAX(B1227,IFERROR(H1226,B1227)),""),"")</f>
        <v/>
      </c>
      <c r="I1227" s="29">
        <f>IFERROR(IF(AND(ISNUMBER(B1227),ISNUMBER(H1227)),B1227/H1227-1,""),"")</f>
        <v/>
      </c>
      <c r="J1227" s="8">
        <f>IFERROR(IF(ISNUMBER(C1227),MAX(C1227,IFERROR(J1226,C1227)),""),"")</f>
        <v/>
      </c>
      <c r="K1227" s="29">
        <f>IFERROR(IF(AND(ISNUMBER(C1227),ISNUMBER(J1227)),C1227/J1227-1,""),"")</f>
        <v/>
      </c>
      <c r="L1227" s="28">
        <f>IFERROR(IF(AND(ISNUMBER(D1227),ISNUMBER(E1227)),D1227-E1227,""),"")</f>
        <v/>
      </c>
    </row>
    <row r="1228">
      <c r="A1228" s="7">
        <f>IFERROR(Datos!A1228,"")</f>
        <v/>
      </c>
      <c r="B1228" s="8">
        <f>IFERROR(Datos!B1228,"")</f>
        <v/>
      </c>
      <c r="C1228" s="8">
        <f>IFERROR(Datos!C1228,"")</f>
        <v/>
      </c>
      <c r="D1228" s="28">
        <f>IFERROR(IF(AND(ISNUMBER(B1228),ISNUMBER(B1227),B1227&lt;&gt;0),B1228/B1227-1,""),"")</f>
        <v/>
      </c>
      <c r="E1228" s="28">
        <f>IFERROR(IF(AND(ISNUMBER(C1228),ISNUMBER(C1227),C1227&lt;&gt;0),C1228/C1227-1,""),"")</f>
        <v/>
      </c>
      <c r="F1228" s="28">
        <f>IFERROR(D1228-Dashboard!$B$4/252,"")</f>
        <v/>
      </c>
      <c r="G1228" s="28">
        <f>IFERROR(E1228-Dashboard!$B$4/252,"")</f>
        <v/>
      </c>
      <c r="H1228" s="8">
        <f>IFERROR(IF(ISNUMBER(B1228),MAX(B1228,IFERROR(H1227,B1228)),""),"")</f>
        <v/>
      </c>
      <c r="I1228" s="29">
        <f>IFERROR(IF(AND(ISNUMBER(B1228),ISNUMBER(H1228)),B1228/H1228-1,""),"")</f>
        <v/>
      </c>
      <c r="J1228" s="8">
        <f>IFERROR(IF(ISNUMBER(C1228),MAX(C1228,IFERROR(J1227,C1228)),""),"")</f>
        <v/>
      </c>
      <c r="K1228" s="29">
        <f>IFERROR(IF(AND(ISNUMBER(C1228),ISNUMBER(J1228)),C1228/J1228-1,""),"")</f>
        <v/>
      </c>
      <c r="L1228" s="28">
        <f>IFERROR(IF(AND(ISNUMBER(D1228),ISNUMBER(E1228)),D1228-E1228,""),"")</f>
        <v/>
      </c>
    </row>
    <row r="1229">
      <c r="A1229" s="7">
        <f>IFERROR(Datos!A1229,"")</f>
        <v/>
      </c>
      <c r="B1229" s="8">
        <f>IFERROR(Datos!B1229,"")</f>
        <v/>
      </c>
      <c r="C1229" s="8">
        <f>IFERROR(Datos!C1229,"")</f>
        <v/>
      </c>
      <c r="D1229" s="28">
        <f>IFERROR(IF(AND(ISNUMBER(B1229),ISNUMBER(B1228),B1228&lt;&gt;0),B1229/B1228-1,""),"")</f>
        <v/>
      </c>
      <c r="E1229" s="28">
        <f>IFERROR(IF(AND(ISNUMBER(C1229),ISNUMBER(C1228),C1228&lt;&gt;0),C1229/C1228-1,""),"")</f>
        <v/>
      </c>
      <c r="F1229" s="28">
        <f>IFERROR(D1229-Dashboard!$B$4/252,"")</f>
        <v/>
      </c>
      <c r="G1229" s="28">
        <f>IFERROR(E1229-Dashboard!$B$4/252,"")</f>
        <v/>
      </c>
      <c r="H1229" s="8">
        <f>IFERROR(IF(ISNUMBER(B1229),MAX(B1229,IFERROR(H1228,B1229)),""),"")</f>
        <v/>
      </c>
      <c r="I1229" s="29">
        <f>IFERROR(IF(AND(ISNUMBER(B1229),ISNUMBER(H1229)),B1229/H1229-1,""),"")</f>
        <v/>
      </c>
      <c r="J1229" s="8">
        <f>IFERROR(IF(ISNUMBER(C1229),MAX(C1229,IFERROR(J1228,C1229)),""),"")</f>
        <v/>
      </c>
      <c r="K1229" s="29">
        <f>IFERROR(IF(AND(ISNUMBER(C1229),ISNUMBER(J1229)),C1229/J1229-1,""),"")</f>
        <v/>
      </c>
      <c r="L1229" s="28">
        <f>IFERROR(IF(AND(ISNUMBER(D1229),ISNUMBER(E1229)),D1229-E1229,""),"")</f>
        <v/>
      </c>
    </row>
    <row r="1230">
      <c r="A1230" s="7">
        <f>IFERROR(Datos!A1230,"")</f>
        <v/>
      </c>
      <c r="B1230" s="8">
        <f>IFERROR(Datos!B1230,"")</f>
        <v/>
      </c>
      <c r="C1230" s="8">
        <f>IFERROR(Datos!C1230,"")</f>
        <v/>
      </c>
      <c r="D1230" s="28">
        <f>IFERROR(IF(AND(ISNUMBER(B1230),ISNUMBER(B1229),B1229&lt;&gt;0),B1230/B1229-1,""),"")</f>
        <v/>
      </c>
      <c r="E1230" s="28">
        <f>IFERROR(IF(AND(ISNUMBER(C1230),ISNUMBER(C1229),C1229&lt;&gt;0),C1230/C1229-1,""),"")</f>
        <v/>
      </c>
      <c r="F1230" s="28">
        <f>IFERROR(D1230-Dashboard!$B$4/252,"")</f>
        <v/>
      </c>
      <c r="G1230" s="28">
        <f>IFERROR(E1230-Dashboard!$B$4/252,"")</f>
        <v/>
      </c>
      <c r="H1230" s="8">
        <f>IFERROR(IF(ISNUMBER(B1230),MAX(B1230,IFERROR(H1229,B1230)),""),"")</f>
        <v/>
      </c>
      <c r="I1230" s="29">
        <f>IFERROR(IF(AND(ISNUMBER(B1230),ISNUMBER(H1230)),B1230/H1230-1,""),"")</f>
        <v/>
      </c>
      <c r="J1230" s="8">
        <f>IFERROR(IF(ISNUMBER(C1230),MAX(C1230,IFERROR(J1229,C1230)),""),"")</f>
        <v/>
      </c>
      <c r="K1230" s="29">
        <f>IFERROR(IF(AND(ISNUMBER(C1230),ISNUMBER(J1230)),C1230/J1230-1,""),"")</f>
        <v/>
      </c>
      <c r="L1230" s="28">
        <f>IFERROR(IF(AND(ISNUMBER(D1230),ISNUMBER(E1230)),D1230-E1230,""),"")</f>
        <v/>
      </c>
    </row>
    <row r="1231">
      <c r="A1231" s="7">
        <f>IFERROR(Datos!A1231,"")</f>
        <v/>
      </c>
      <c r="B1231" s="8">
        <f>IFERROR(Datos!B1231,"")</f>
        <v/>
      </c>
      <c r="C1231" s="8">
        <f>IFERROR(Datos!C1231,"")</f>
        <v/>
      </c>
      <c r="D1231" s="28">
        <f>IFERROR(IF(AND(ISNUMBER(B1231),ISNUMBER(B1230),B1230&lt;&gt;0),B1231/B1230-1,""),"")</f>
        <v/>
      </c>
      <c r="E1231" s="28">
        <f>IFERROR(IF(AND(ISNUMBER(C1231),ISNUMBER(C1230),C1230&lt;&gt;0),C1231/C1230-1,""),"")</f>
        <v/>
      </c>
      <c r="F1231" s="28">
        <f>IFERROR(D1231-Dashboard!$B$4/252,"")</f>
        <v/>
      </c>
      <c r="G1231" s="28">
        <f>IFERROR(E1231-Dashboard!$B$4/252,"")</f>
        <v/>
      </c>
      <c r="H1231" s="8">
        <f>IFERROR(IF(ISNUMBER(B1231),MAX(B1231,IFERROR(H1230,B1231)),""),"")</f>
        <v/>
      </c>
      <c r="I1231" s="29">
        <f>IFERROR(IF(AND(ISNUMBER(B1231),ISNUMBER(H1231)),B1231/H1231-1,""),"")</f>
        <v/>
      </c>
      <c r="J1231" s="8">
        <f>IFERROR(IF(ISNUMBER(C1231),MAX(C1231,IFERROR(J1230,C1231)),""),"")</f>
        <v/>
      </c>
      <c r="K1231" s="29">
        <f>IFERROR(IF(AND(ISNUMBER(C1231),ISNUMBER(J1231)),C1231/J1231-1,""),"")</f>
        <v/>
      </c>
      <c r="L1231" s="28">
        <f>IFERROR(IF(AND(ISNUMBER(D1231),ISNUMBER(E1231)),D1231-E1231,""),"")</f>
        <v/>
      </c>
    </row>
    <row r="1232">
      <c r="A1232" s="7">
        <f>IFERROR(Datos!A1232,"")</f>
        <v/>
      </c>
      <c r="B1232" s="8">
        <f>IFERROR(Datos!B1232,"")</f>
        <v/>
      </c>
      <c r="C1232" s="8">
        <f>IFERROR(Datos!C1232,"")</f>
        <v/>
      </c>
      <c r="D1232" s="28">
        <f>IFERROR(IF(AND(ISNUMBER(B1232),ISNUMBER(B1231),B1231&lt;&gt;0),B1232/B1231-1,""),"")</f>
        <v/>
      </c>
      <c r="E1232" s="28">
        <f>IFERROR(IF(AND(ISNUMBER(C1232),ISNUMBER(C1231),C1231&lt;&gt;0),C1232/C1231-1,""),"")</f>
        <v/>
      </c>
      <c r="F1232" s="28">
        <f>IFERROR(D1232-Dashboard!$B$4/252,"")</f>
        <v/>
      </c>
      <c r="G1232" s="28">
        <f>IFERROR(E1232-Dashboard!$B$4/252,"")</f>
        <v/>
      </c>
      <c r="H1232" s="8">
        <f>IFERROR(IF(ISNUMBER(B1232),MAX(B1232,IFERROR(H1231,B1232)),""),"")</f>
        <v/>
      </c>
      <c r="I1232" s="29">
        <f>IFERROR(IF(AND(ISNUMBER(B1232),ISNUMBER(H1232)),B1232/H1232-1,""),"")</f>
        <v/>
      </c>
      <c r="J1232" s="8">
        <f>IFERROR(IF(ISNUMBER(C1232),MAX(C1232,IFERROR(J1231,C1232)),""),"")</f>
        <v/>
      </c>
      <c r="K1232" s="29">
        <f>IFERROR(IF(AND(ISNUMBER(C1232),ISNUMBER(J1232)),C1232/J1232-1,""),"")</f>
        <v/>
      </c>
      <c r="L1232" s="28">
        <f>IFERROR(IF(AND(ISNUMBER(D1232),ISNUMBER(E1232)),D1232-E1232,""),"")</f>
        <v/>
      </c>
    </row>
    <row r="1233">
      <c r="A1233" s="7">
        <f>IFERROR(Datos!A1233,"")</f>
        <v/>
      </c>
      <c r="B1233" s="8">
        <f>IFERROR(Datos!B1233,"")</f>
        <v/>
      </c>
      <c r="C1233" s="8">
        <f>IFERROR(Datos!C1233,"")</f>
        <v/>
      </c>
      <c r="D1233" s="28">
        <f>IFERROR(IF(AND(ISNUMBER(B1233),ISNUMBER(B1232),B1232&lt;&gt;0),B1233/B1232-1,""),"")</f>
        <v/>
      </c>
      <c r="E1233" s="28">
        <f>IFERROR(IF(AND(ISNUMBER(C1233),ISNUMBER(C1232),C1232&lt;&gt;0),C1233/C1232-1,""),"")</f>
        <v/>
      </c>
      <c r="F1233" s="28">
        <f>IFERROR(D1233-Dashboard!$B$4/252,"")</f>
        <v/>
      </c>
      <c r="G1233" s="28">
        <f>IFERROR(E1233-Dashboard!$B$4/252,"")</f>
        <v/>
      </c>
      <c r="H1233" s="8">
        <f>IFERROR(IF(ISNUMBER(B1233),MAX(B1233,IFERROR(H1232,B1233)),""),"")</f>
        <v/>
      </c>
      <c r="I1233" s="29">
        <f>IFERROR(IF(AND(ISNUMBER(B1233),ISNUMBER(H1233)),B1233/H1233-1,""),"")</f>
        <v/>
      </c>
      <c r="J1233" s="8">
        <f>IFERROR(IF(ISNUMBER(C1233),MAX(C1233,IFERROR(J1232,C1233)),""),"")</f>
        <v/>
      </c>
      <c r="K1233" s="29">
        <f>IFERROR(IF(AND(ISNUMBER(C1233),ISNUMBER(J1233)),C1233/J1233-1,""),"")</f>
        <v/>
      </c>
      <c r="L1233" s="28">
        <f>IFERROR(IF(AND(ISNUMBER(D1233),ISNUMBER(E1233)),D1233-E1233,""),"")</f>
        <v/>
      </c>
    </row>
    <row r="1234">
      <c r="A1234" s="7">
        <f>IFERROR(Datos!A1234,"")</f>
        <v/>
      </c>
      <c r="B1234" s="8">
        <f>IFERROR(Datos!B1234,"")</f>
        <v/>
      </c>
      <c r="C1234" s="8">
        <f>IFERROR(Datos!C1234,"")</f>
        <v/>
      </c>
      <c r="D1234" s="28">
        <f>IFERROR(IF(AND(ISNUMBER(B1234),ISNUMBER(B1233),B1233&lt;&gt;0),B1234/B1233-1,""),"")</f>
        <v/>
      </c>
      <c r="E1234" s="28">
        <f>IFERROR(IF(AND(ISNUMBER(C1234),ISNUMBER(C1233),C1233&lt;&gt;0),C1234/C1233-1,""),"")</f>
        <v/>
      </c>
      <c r="F1234" s="28">
        <f>IFERROR(D1234-Dashboard!$B$4/252,"")</f>
        <v/>
      </c>
      <c r="G1234" s="28">
        <f>IFERROR(E1234-Dashboard!$B$4/252,"")</f>
        <v/>
      </c>
      <c r="H1234" s="8">
        <f>IFERROR(IF(ISNUMBER(B1234),MAX(B1234,IFERROR(H1233,B1234)),""),"")</f>
        <v/>
      </c>
      <c r="I1234" s="29">
        <f>IFERROR(IF(AND(ISNUMBER(B1234),ISNUMBER(H1234)),B1234/H1234-1,""),"")</f>
        <v/>
      </c>
      <c r="J1234" s="8">
        <f>IFERROR(IF(ISNUMBER(C1234),MAX(C1234,IFERROR(J1233,C1234)),""),"")</f>
        <v/>
      </c>
      <c r="K1234" s="29">
        <f>IFERROR(IF(AND(ISNUMBER(C1234),ISNUMBER(J1234)),C1234/J1234-1,""),"")</f>
        <v/>
      </c>
      <c r="L1234" s="28">
        <f>IFERROR(IF(AND(ISNUMBER(D1234),ISNUMBER(E1234)),D1234-E1234,""),"")</f>
        <v/>
      </c>
    </row>
    <row r="1235">
      <c r="A1235" s="7">
        <f>IFERROR(Datos!A1235,"")</f>
        <v/>
      </c>
      <c r="B1235" s="8">
        <f>IFERROR(Datos!B1235,"")</f>
        <v/>
      </c>
      <c r="C1235" s="8">
        <f>IFERROR(Datos!C1235,"")</f>
        <v/>
      </c>
      <c r="D1235" s="28">
        <f>IFERROR(IF(AND(ISNUMBER(B1235),ISNUMBER(B1234),B1234&lt;&gt;0),B1235/B1234-1,""),"")</f>
        <v/>
      </c>
      <c r="E1235" s="28">
        <f>IFERROR(IF(AND(ISNUMBER(C1235),ISNUMBER(C1234),C1234&lt;&gt;0),C1235/C1234-1,""),"")</f>
        <v/>
      </c>
      <c r="F1235" s="28">
        <f>IFERROR(D1235-Dashboard!$B$4/252,"")</f>
        <v/>
      </c>
      <c r="G1235" s="28">
        <f>IFERROR(E1235-Dashboard!$B$4/252,"")</f>
        <v/>
      </c>
      <c r="H1235" s="8">
        <f>IFERROR(IF(ISNUMBER(B1235),MAX(B1235,IFERROR(H1234,B1235)),""),"")</f>
        <v/>
      </c>
      <c r="I1235" s="29">
        <f>IFERROR(IF(AND(ISNUMBER(B1235),ISNUMBER(H1235)),B1235/H1235-1,""),"")</f>
        <v/>
      </c>
      <c r="J1235" s="8">
        <f>IFERROR(IF(ISNUMBER(C1235),MAX(C1235,IFERROR(J1234,C1235)),""),"")</f>
        <v/>
      </c>
      <c r="K1235" s="29">
        <f>IFERROR(IF(AND(ISNUMBER(C1235),ISNUMBER(J1235)),C1235/J1235-1,""),"")</f>
        <v/>
      </c>
      <c r="L1235" s="28">
        <f>IFERROR(IF(AND(ISNUMBER(D1235),ISNUMBER(E1235)),D1235-E1235,""),"")</f>
        <v/>
      </c>
    </row>
    <row r="1236">
      <c r="A1236" s="7">
        <f>IFERROR(Datos!A1236,"")</f>
        <v/>
      </c>
      <c r="B1236" s="8">
        <f>IFERROR(Datos!B1236,"")</f>
        <v/>
      </c>
      <c r="C1236" s="8">
        <f>IFERROR(Datos!C1236,"")</f>
        <v/>
      </c>
      <c r="D1236" s="28">
        <f>IFERROR(IF(AND(ISNUMBER(B1236),ISNUMBER(B1235),B1235&lt;&gt;0),B1236/B1235-1,""),"")</f>
        <v/>
      </c>
      <c r="E1236" s="28">
        <f>IFERROR(IF(AND(ISNUMBER(C1236),ISNUMBER(C1235),C1235&lt;&gt;0),C1236/C1235-1,""),"")</f>
        <v/>
      </c>
      <c r="F1236" s="28">
        <f>IFERROR(D1236-Dashboard!$B$4/252,"")</f>
        <v/>
      </c>
      <c r="G1236" s="28">
        <f>IFERROR(E1236-Dashboard!$B$4/252,"")</f>
        <v/>
      </c>
      <c r="H1236" s="8">
        <f>IFERROR(IF(ISNUMBER(B1236),MAX(B1236,IFERROR(H1235,B1236)),""),"")</f>
        <v/>
      </c>
      <c r="I1236" s="29">
        <f>IFERROR(IF(AND(ISNUMBER(B1236),ISNUMBER(H1236)),B1236/H1236-1,""),"")</f>
        <v/>
      </c>
      <c r="J1236" s="8">
        <f>IFERROR(IF(ISNUMBER(C1236),MAX(C1236,IFERROR(J1235,C1236)),""),"")</f>
        <v/>
      </c>
      <c r="K1236" s="29">
        <f>IFERROR(IF(AND(ISNUMBER(C1236),ISNUMBER(J1236)),C1236/J1236-1,""),"")</f>
        <v/>
      </c>
      <c r="L1236" s="28">
        <f>IFERROR(IF(AND(ISNUMBER(D1236),ISNUMBER(E1236)),D1236-E1236,""),"")</f>
        <v/>
      </c>
    </row>
    <row r="1237">
      <c r="A1237" s="7">
        <f>IFERROR(Datos!A1237,"")</f>
        <v/>
      </c>
      <c r="B1237" s="8">
        <f>IFERROR(Datos!B1237,"")</f>
        <v/>
      </c>
      <c r="C1237" s="8">
        <f>IFERROR(Datos!C1237,"")</f>
        <v/>
      </c>
      <c r="D1237" s="28">
        <f>IFERROR(IF(AND(ISNUMBER(B1237),ISNUMBER(B1236),B1236&lt;&gt;0),B1237/B1236-1,""),"")</f>
        <v/>
      </c>
      <c r="E1237" s="28">
        <f>IFERROR(IF(AND(ISNUMBER(C1237),ISNUMBER(C1236),C1236&lt;&gt;0),C1237/C1236-1,""),"")</f>
        <v/>
      </c>
      <c r="F1237" s="28">
        <f>IFERROR(D1237-Dashboard!$B$4/252,"")</f>
        <v/>
      </c>
      <c r="G1237" s="28">
        <f>IFERROR(E1237-Dashboard!$B$4/252,"")</f>
        <v/>
      </c>
      <c r="H1237" s="8">
        <f>IFERROR(IF(ISNUMBER(B1237),MAX(B1237,IFERROR(H1236,B1237)),""),"")</f>
        <v/>
      </c>
      <c r="I1237" s="29">
        <f>IFERROR(IF(AND(ISNUMBER(B1237),ISNUMBER(H1237)),B1237/H1237-1,""),"")</f>
        <v/>
      </c>
      <c r="J1237" s="8">
        <f>IFERROR(IF(ISNUMBER(C1237),MAX(C1237,IFERROR(J1236,C1237)),""),"")</f>
        <v/>
      </c>
      <c r="K1237" s="29">
        <f>IFERROR(IF(AND(ISNUMBER(C1237),ISNUMBER(J1237)),C1237/J1237-1,""),"")</f>
        <v/>
      </c>
      <c r="L1237" s="28">
        <f>IFERROR(IF(AND(ISNUMBER(D1237),ISNUMBER(E1237)),D1237-E1237,""),"")</f>
        <v/>
      </c>
    </row>
    <row r="1238">
      <c r="A1238" s="7">
        <f>IFERROR(Datos!A1238,"")</f>
        <v/>
      </c>
      <c r="B1238" s="8">
        <f>IFERROR(Datos!B1238,"")</f>
        <v/>
      </c>
      <c r="C1238" s="8">
        <f>IFERROR(Datos!C1238,"")</f>
        <v/>
      </c>
      <c r="D1238" s="28">
        <f>IFERROR(IF(AND(ISNUMBER(B1238),ISNUMBER(B1237),B1237&lt;&gt;0),B1238/B1237-1,""),"")</f>
        <v/>
      </c>
      <c r="E1238" s="28">
        <f>IFERROR(IF(AND(ISNUMBER(C1238),ISNUMBER(C1237),C1237&lt;&gt;0),C1238/C1237-1,""),"")</f>
        <v/>
      </c>
      <c r="F1238" s="28">
        <f>IFERROR(D1238-Dashboard!$B$4/252,"")</f>
        <v/>
      </c>
      <c r="G1238" s="28">
        <f>IFERROR(E1238-Dashboard!$B$4/252,"")</f>
        <v/>
      </c>
      <c r="H1238" s="8">
        <f>IFERROR(IF(ISNUMBER(B1238),MAX(B1238,IFERROR(H1237,B1238)),""),"")</f>
        <v/>
      </c>
      <c r="I1238" s="29">
        <f>IFERROR(IF(AND(ISNUMBER(B1238),ISNUMBER(H1238)),B1238/H1238-1,""),"")</f>
        <v/>
      </c>
      <c r="J1238" s="8">
        <f>IFERROR(IF(ISNUMBER(C1238),MAX(C1238,IFERROR(J1237,C1238)),""),"")</f>
        <v/>
      </c>
      <c r="K1238" s="29">
        <f>IFERROR(IF(AND(ISNUMBER(C1238),ISNUMBER(J1238)),C1238/J1238-1,""),"")</f>
        <v/>
      </c>
      <c r="L1238" s="28">
        <f>IFERROR(IF(AND(ISNUMBER(D1238),ISNUMBER(E1238)),D1238-E1238,""),"")</f>
        <v/>
      </c>
    </row>
    <row r="1239">
      <c r="A1239" s="7">
        <f>IFERROR(Datos!A1239,"")</f>
        <v/>
      </c>
      <c r="B1239" s="8">
        <f>IFERROR(Datos!B1239,"")</f>
        <v/>
      </c>
      <c r="C1239" s="8">
        <f>IFERROR(Datos!C1239,"")</f>
        <v/>
      </c>
      <c r="D1239" s="28">
        <f>IFERROR(IF(AND(ISNUMBER(B1239),ISNUMBER(B1238),B1238&lt;&gt;0),B1239/B1238-1,""),"")</f>
        <v/>
      </c>
      <c r="E1239" s="28">
        <f>IFERROR(IF(AND(ISNUMBER(C1239),ISNUMBER(C1238),C1238&lt;&gt;0),C1239/C1238-1,""),"")</f>
        <v/>
      </c>
      <c r="F1239" s="28">
        <f>IFERROR(D1239-Dashboard!$B$4/252,"")</f>
        <v/>
      </c>
      <c r="G1239" s="28">
        <f>IFERROR(E1239-Dashboard!$B$4/252,"")</f>
        <v/>
      </c>
      <c r="H1239" s="8">
        <f>IFERROR(IF(ISNUMBER(B1239),MAX(B1239,IFERROR(H1238,B1239)),""),"")</f>
        <v/>
      </c>
      <c r="I1239" s="29">
        <f>IFERROR(IF(AND(ISNUMBER(B1239),ISNUMBER(H1239)),B1239/H1239-1,""),"")</f>
        <v/>
      </c>
      <c r="J1239" s="8">
        <f>IFERROR(IF(ISNUMBER(C1239),MAX(C1239,IFERROR(J1238,C1239)),""),"")</f>
        <v/>
      </c>
      <c r="K1239" s="29">
        <f>IFERROR(IF(AND(ISNUMBER(C1239),ISNUMBER(J1239)),C1239/J1239-1,""),"")</f>
        <v/>
      </c>
      <c r="L1239" s="28">
        <f>IFERROR(IF(AND(ISNUMBER(D1239),ISNUMBER(E1239)),D1239-E1239,""),"")</f>
        <v/>
      </c>
    </row>
    <row r="1240">
      <c r="A1240" s="7">
        <f>IFERROR(Datos!A1240,"")</f>
        <v/>
      </c>
      <c r="B1240" s="8">
        <f>IFERROR(Datos!B1240,"")</f>
        <v/>
      </c>
      <c r="C1240" s="8">
        <f>IFERROR(Datos!C1240,"")</f>
        <v/>
      </c>
      <c r="D1240" s="28">
        <f>IFERROR(IF(AND(ISNUMBER(B1240),ISNUMBER(B1239),B1239&lt;&gt;0),B1240/B1239-1,""),"")</f>
        <v/>
      </c>
      <c r="E1240" s="28">
        <f>IFERROR(IF(AND(ISNUMBER(C1240),ISNUMBER(C1239),C1239&lt;&gt;0),C1240/C1239-1,""),"")</f>
        <v/>
      </c>
      <c r="F1240" s="28">
        <f>IFERROR(D1240-Dashboard!$B$4/252,"")</f>
        <v/>
      </c>
      <c r="G1240" s="28">
        <f>IFERROR(E1240-Dashboard!$B$4/252,"")</f>
        <v/>
      </c>
      <c r="H1240" s="8">
        <f>IFERROR(IF(ISNUMBER(B1240),MAX(B1240,IFERROR(H1239,B1240)),""),"")</f>
        <v/>
      </c>
      <c r="I1240" s="29">
        <f>IFERROR(IF(AND(ISNUMBER(B1240),ISNUMBER(H1240)),B1240/H1240-1,""),"")</f>
        <v/>
      </c>
      <c r="J1240" s="8">
        <f>IFERROR(IF(ISNUMBER(C1240),MAX(C1240,IFERROR(J1239,C1240)),""),"")</f>
        <v/>
      </c>
      <c r="K1240" s="29">
        <f>IFERROR(IF(AND(ISNUMBER(C1240),ISNUMBER(J1240)),C1240/J1240-1,""),"")</f>
        <v/>
      </c>
      <c r="L1240" s="28">
        <f>IFERROR(IF(AND(ISNUMBER(D1240),ISNUMBER(E1240)),D1240-E1240,""),"")</f>
        <v/>
      </c>
    </row>
    <row r="1241">
      <c r="A1241" s="7">
        <f>IFERROR(Datos!A1241,"")</f>
        <v/>
      </c>
      <c r="B1241" s="8">
        <f>IFERROR(Datos!B1241,"")</f>
        <v/>
      </c>
      <c r="C1241" s="8">
        <f>IFERROR(Datos!C1241,"")</f>
        <v/>
      </c>
      <c r="D1241" s="28">
        <f>IFERROR(IF(AND(ISNUMBER(B1241),ISNUMBER(B1240),B1240&lt;&gt;0),B1241/B1240-1,""),"")</f>
        <v/>
      </c>
      <c r="E1241" s="28">
        <f>IFERROR(IF(AND(ISNUMBER(C1241),ISNUMBER(C1240),C1240&lt;&gt;0),C1241/C1240-1,""),"")</f>
        <v/>
      </c>
      <c r="F1241" s="28">
        <f>IFERROR(D1241-Dashboard!$B$4/252,"")</f>
        <v/>
      </c>
      <c r="G1241" s="28">
        <f>IFERROR(E1241-Dashboard!$B$4/252,"")</f>
        <v/>
      </c>
      <c r="H1241" s="8">
        <f>IFERROR(IF(ISNUMBER(B1241),MAX(B1241,IFERROR(H1240,B1241)),""),"")</f>
        <v/>
      </c>
      <c r="I1241" s="29">
        <f>IFERROR(IF(AND(ISNUMBER(B1241),ISNUMBER(H1241)),B1241/H1241-1,""),"")</f>
        <v/>
      </c>
      <c r="J1241" s="8">
        <f>IFERROR(IF(ISNUMBER(C1241),MAX(C1241,IFERROR(J1240,C1241)),""),"")</f>
        <v/>
      </c>
      <c r="K1241" s="29">
        <f>IFERROR(IF(AND(ISNUMBER(C1241),ISNUMBER(J1241)),C1241/J1241-1,""),"")</f>
        <v/>
      </c>
      <c r="L1241" s="28">
        <f>IFERROR(IF(AND(ISNUMBER(D1241),ISNUMBER(E1241)),D1241-E1241,""),"")</f>
        <v/>
      </c>
    </row>
    <row r="1242">
      <c r="A1242" s="7">
        <f>IFERROR(Datos!A1242,"")</f>
        <v/>
      </c>
      <c r="B1242" s="8">
        <f>IFERROR(Datos!B1242,"")</f>
        <v/>
      </c>
      <c r="C1242" s="8">
        <f>IFERROR(Datos!C1242,"")</f>
        <v/>
      </c>
      <c r="D1242" s="28">
        <f>IFERROR(IF(AND(ISNUMBER(B1242),ISNUMBER(B1241),B1241&lt;&gt;0),B1242/B1241-1,""),"")</f>
        <v/>
      </c>
      <c r="E1242" s="28">
        <f>IFERROR(IF(AND(ISNUMBER(C1242),ISNUMBER(C1241),C1241&lt;&gt;0),C1242/C1241-1,""),"")</f>
        <v/>
      </c>
      <c r="F1242" s="28">
        <f>IFERROR(D1242-Dashboard!$B$4/252,"")</f>
        <v/>
      </c>
      <c r="G1242" s="28">
        <f>IFERROR(E1242-Dashboard!$B$4/252,"")</f>
        <v/>
      </c>
      <c r="H1242" s="8">
        <f>IFERROR(IF(ISNUMBER(B1242),MAX(B1242,IFERROR(H1241,B1242)),""),"")</f>
        <v/>
      </c>
      <c r="I1242" s="29">
        <f>IFERROR(IF(AND(ISNUMBER(B1242),ISNUMBER(H1242)),B1242/H1242-1,""),"")</f>
        <v/>
      </c>
      <c r="J1242" s="8">
        <f>IFERROR(IF(ISNUMBER(C1242),MAX(C1242,IFERROR(J1241,C1242)),""),"")</f>
        <v/>
      </c>
      <c r="K1242" s="29">
        <f>IFERROR(IF(AND(ISNUMBER(C1242),ISNUMBER(J1242)),C1242/J1242-1,""),"")</f>
        <v/>
      </c>
      <c r="L1242" s="28">
        <f>IFERROR(IF(AND(ISNUMBER(D1242),ISNUMBER(E1242)),D1242-E1242,""),"")</f>
        <v/>
      </c>
    </row>
    <row r="1243">
      <c r="A1243" s="7">
        <f>IFERROR(Datos!A1243,"")</f>
        <v/>
      </c>
      <c r="B1243" s="8">
        <f>IFERROR(Datos!B1243,"")</f>
        <v/>
      </c>
      <c r="C1243" s="8">
        <f>IFERROR(Datos!C1243,"")</f>
        <v/>
      </c>
      <c r="D1243" s="28">
        <f>IFERROR(IF(AND(ISNUMBER(B1243),ISNUMBER(B1242),B1242&lt;&gt;0),B1243/B1242-1,""),"")</f>
        <v/>
      </c>
      <c r="E1243" s="28">
        <f>IFERROR(IF(AND(ISNUMBER(C1243),ISNUMBER(C1242),C1242&lt;&gt;0),C1243/C1242-1,""),"")</f>
        <v/>
      </c>
      <c r="F1243" s="28">
        <f>IFERROR(D1243-Dashboard!$B$4/252,"")</f>
        <v/>
      </c>
      <c r="G1243" s="28">
        <f>IFERROR(E1243-Dashboard!$B$4/252,"")</f>
        <v/>
      </c>
      <c r="H1243" s="8">
        <f>IFERROR(IF(ISNUMBER(B1243),MAX(B1243,IFERROR(H1242,B1243)),""),"")</f>
        <v/>
      </c>
      <c r="I1243" s="29">
        <f>IFERROR(IF(AND(ISNUMBER(B1243),ISNUMBER(H1243)),B1243/H1243-1,""),"")</f>
        <v/>
      </c>
      <c r="J1243" s="8">
        <f>IFERROR(IF(ISNUMBER(C1243),MAX(C1243,IFERROR(J1242,C1243)),""),"")</f>
        <v/>
      </c>
      <c r="K1243" s="29">
        <f>IFERROR(IF(AND(ISNUMBER(C1243),ISNUMBER(J1243)),C1243/J1243-1,""),"")</f>
        <v/>
      </c>
      <c r="L1243" s="28">
        <f>IFERROR(IF(AND(ISNUMBER(D1243),ISNUMBER(E1243)),D1243-E1243,""),"")</f>
        <v/>
      </c>
    </row>
    <row r="1244">
      <c r="A1244" s="7">
        <f>IFERROR(Datos!A1244,"")</f>
        <v/>
      </c>
      <c r="B1244" s="8">
        <f>IFERROR(Datos!B1244,"")</f>
        <v/>
      </c>
      <c r="C1244" s="8">
        <f>IFERROR(Datos!C1244,"")</f>
        <v/>
      </c>
      <c r="D1244" s="28">
        <f>IFERROR(IF(AND(ISNUMBER(B1244),ISNUMBER(B1243),B1243&lt;&gt;0),B1244/B1243-1,""),"")</f>
        <v/>
      </c>
      <c r="E1244" s="28">
        <f>IFERROR(IF(AND(ISNUMBER(C1244),ISNUMBER(C1243),C1243&lt;&gt;0),C1244/C1243-1,""),"")</f>
        <v/>
      </c>
      <c r="F1244" s="28">
        <f>IFERROR(D1244-Dashboard!$B$4/252,"")</f>
        <v/>
      </c>
      <c r="G1244" s="28">
        <f>IFERROR(E1244-Dashboard!$B$4/252,"")</f>
        <v/>
      </c>
      <c r="H1244" s="8">
        <f>IFERROR(IF(ISNUMBER(B1244),MAX(B1244,IFERROR(H1243,B1244)),""),"")</f>
        <v/>
      </c>
      <c r="I1244" s="29">
        <f>IFERROR(IF(AND(ISNUMBER(B1244),ISNUMBER(H1244)),B1244/H1244-1,""),"")</f>
        <v/>
      </c>
      <c r="J1244" s="8">
        <f>IFERROR(IF(ISNUMBER(C1244),MAX(C1244,IFERROR(J1243,C1244)),""),"")</f>
        <v/>
      </c>
      <c r="K1244" s="29">
        <f>IFERROR(IF(AND(ISNUMBER(C1244),ISNUMBER(J1244)),C1244/J1244-1,""),"")</f>
        <v/>
      </c>
      <c r="L1244" s="28">
        <f>IFERROR(IF(AND(ISNUMBER(D1244),ISNUMBER(E1244)),D1244-E1244,""),"")</f>
        <v/>
      </c>
    </row>
    <row r="1245">
      <c r="A1245" s="7">
        <f>IFERROR(Datos!A1245,"")</f>
        <v/>
      </c>
      <c r="B1245" s="8">
        <f>IFERROR(Datos!B1245,"")</f>
        <v/>
      </c>
      <c r="C1245" s="8">
        <f>IFERROR(Datos!C1245,"")</f>
        <v/>
      </c>
      <c r="D1245" s="28">
        <f>IFERROR(IF(AND(ISNUMBER(B1245),ISNUMBER(B1244),B1244&lt;&gt;0),B1245/B1244-1,""),"")</f>
        <v/>
      </c>
      <c r="E1245" s="28">
        <f>IFERROR(IF(AND(ISNUMBER(C1245),ISNUMBER(C1244),C1244&lt;&gt;0),C1245/C1244-1,""),"")</f>
        <v/>
      </c>
      <c r="F1245" s="28">
        <f>IFERROR(D1245-Dashboard!$B$4/252,"")</f>
        <v/>
      </c>
      <c r="G1245" s="28">
        <f>IFERROR(E1245-Dashboard!$B$4/252,"")</f>
        <v/>
      </c>
      <c r="H1245" s="8">
        <f>IFERROR(IF(ISNUMBER(B1245),MAX(B1245,IFERROR(H1244,B1245)),""),"")</f>
        <v/>
      </c>
      <c r="I1245" s="29">
        <f>IFERROR(IF(AND(ISNUMBER(B1245),ISNUMBER(H1245)),B1245/H1245-1,""),"")</f>
        <v/>
      </c>
      <c r="J1245" s="8">
        <f>IFERROR(IF(ISNUMBER(C1245),MAX(C1245,IFERROR(J1244,C1245)),""),"")</f>
        <v/>
      </c>
      <c r="K1245" s="29">
        <f>IFERROR(IF(AND(ISNUMBER(C1245),ISNUMBER(J1245)),C1245/J1245-1,""),"")</f>
        <v/>
      </c>
      <c r="L1245" s="28">
        <f>IFERROR(IF(AND(ISNUMBER(D1245),ISNUMBER(E1245)),D1245-E1245,""),"")</f>
        <v/>
      </c>
    </row>
    <row r="1246">
      <c r="A1246" s="7">
        <f>IFERROR(Datos!A1246,"")</f>
        <v/>
      </c>
      <c r="B1246" s="8">
        <f>IFERROR(Datos!B1246,"")</f>
        <v/>
      </c>
      <c r="C1246" s="8">
        <f>IFERROR(Datos!C1246,"")</f>
        <v/>
      </c>
      <c r="D1246" s="28">
        <f>IFERROR(IF(AND(ISNUMBER(B1246),ISNUMBER(B1245),B1245&lt;&gt;0),B1246/B1245-1,""),"")</f>
        <v/>
      </c>
      <c r="E1246" s="28">
        <f>IFERROR(IF(AND(ISNUMBER(C1246),ISNUMBER(C1245),C1245&lt;&gt;0),C1246/C1245-1,""),"")</f>
        <v/>
      </c>
      <c r="F1246" s="28">
        <f>IFERROR(D1246-Dashboard!$B$4/252,"")</f>
        <v/>
      </c>
      <c r="G1246" s="28">
        <f>IFERROR(E1246-Dashboard!$B$4/252,"")</f>
        <v/>
      </c>
      <c r="H1246" s="8">
        <f>IFERROR(IF(ISNUMBER(B1246),MAX(B1246,IFERROR(H1245,B1246)),""),"")</f>
        <v/>
      </c>
      <c r="I1246" s="29">
        <f>IFERROR(IF(AND(ISNUMBER(B1246),ISNUMBER(H1246)),B1246/H1246-1,""),"")</f>
        <v/>
      </c>
      <c r="J1246" s="8">
        <f>IFERROR(IF(ISNUMBER(C1246),MAX(C1246,IFERROR(J1245,C1246)),""),"")</f>
        <v/>
      </c>
      <c r="K1246" s="29">
        <f>IFERROR(IF(AND(ISNUMBER(C1246),ISNUMBER(J1246)),C1246/J1246-1,""),"")</f>
        <v/>
      </c>
      <c r="L1246" s="28">
        <f>IFERROR(IF(AND(ISNUMBER(D1246),ISNUMBER(E1246)),D1246-E1246,""),"")</f>
        <v/>
      </c>
    </row>
    <row r="1247">
      <c r="A1247" s="7">
        <f>IFERROR(Datos!A1247,"")</f>
        <v/>
      </c>
      <c r="B1247" s="8">
        <f>IFERROR(Datos!B1247,"")</f>
        <v/>
      </c>
      <c r="C1247" s="8">
        <f>IFERROR(Datos!C1247,"")</f>
        <v/>
      </c>
      <c r="D1247" s="28">
        <f>IFERROR(IF(AND(ISNUMBER(B1247),ISNUMBER(B1246),B1246&lt;&gt;0),B1247/B1246-1,""),"")</f>
        <v/>
      </c>
      <c r="E1247" s="28">
        <f>IFERROR(IF(AND(ISNUMBER(C1247),ISNUMBER(C1246),C1246&lt;&gt;0),C1247/C1246-1,""),"")</f>
        <v/>
      </c>
      <c r="F1247" s="28">
        <f>IFERROR(D1247-Dashboard!$B$4/252,"")</f>
        <v/>
      </c>
      <c r="G1247" s="28">
        <f>IFERROR(E1247-Dashboard!$B$4/252,"")</f>
        <v/>
      </c>
      <c r="H1247" s="8">
        <f>IFERROR(IF(ISNUMBER(B1247),MAX(B1247,IFERROR(H1246,B1247)),""),"")</f>
        <v/>
      </c>
      <c r="I1247" s="29">
        <f>IFERROR(IF(AND(ISNUMBER(B1247),ISNUMBER(H1247)),B1247/H1247-1,""),"")</f>
        <v/>
      </c>
      <c r="J1247" s="8">
        <f>IFERROR(IF(ISNUMBER(C1247),MAX(C1247,IFERROR(J1246,C1247)),""),"")</f>
        <v/>
      </c>
      <c r="K1247" s="29">
        <f>IFERROR(IF(AND(ISNUMBER(C1247),ISNUMBER(J1247)),C1247/J1247-1,""),"")</f>
        <v/>
      </c>
      <c r="L1247" s="28">
        <f>IFERROR(IF(AND(ISNUMBER(D1247),ISNUMBER(E1247)),D1247-E1247,""),"")</f>
        <v/>
      </c>
    </row>
    <row r="1248">
      <c r="A1248" s="7">
        <f>IFERROR(Datos!A1248,"")</f>
        <v/>
      </c>
      <c r="B1248" s="8">
        <f>IFERROR(Datos!B1248,"")</f>
        <v/>
      </c>
      <c r="C1248" s="8">
        <f>IFERROR(Datos!C1248,"")</f>
        <v/>
      </c>
      <c r="D1248" s="28">
        <f>IFERROR(IF(AND(ISNUMBER(B1248),ISNUMBER(B1247),B1247&lt;&gt;0),B1248/B1247-1,""),"")</f>
        <v/>
      </c>
      <c r="E1248" s="28">
        <f>IFERROR(IF(AND(ISNUMBER(C1248),ISNUMBER(C1247),C1247&lt;&gt;0),C1248/C1247-1,""),"")</f>
        <v/>
      </c>
      <c r="F1248" s="28">
        <f>IFERROR(D1248-Dashboard!$B$4/252,"")</f>
        <v/>
      </c>
      <c r="G1248" s="28">
        <f>IFERROR(E1248-Dashboard!$B$4/252,"")</f>
        <v/>
      </c>
      <c r="H1248" s="8">
        <f>IFERROR(IF(ISNUMBER(B1248),MAX(B1248,IFERROR(H1247,B1248)),""),"")</f>
        <v/>
      </c>
      <c r="I1248" s="29">
        <f>IFERROR(IF(AND(ISNUMBER(B1248),ISNUMBER(H1248)),B1248/H1248-1,""),"")</f>
        <v/>
      </c>
      <c r="J1248" s="8">
        <f>IFERROR(IF(ISNUMBER(C1248),MAX(C1248,IFERROR(J1247,C1248)),""),"")</f>
        <v/>
      </c>
      <c r="K1248" s="29">
        <f>IFERROR(IF(AND(ISNUMBER(C1248),ISNUMBER(J1248)),C1248/J1248-1,""),"")</f>
        <v/>
      </c>
      <c r="L1248" s="28">
        <f>IFERROR(IF(AND(ISNUMBER(D1248),ISNUMBER(E1248)),D1248-E1248,""),"")</f>
        <v/>
      </c>
    </row>
    <row r="1249">
      <c r="A1249" s="7">
        <f>IFERROR(Datos!A1249,"")</f>
        <v/>
      </c>
      <c r="B1249" s="8">
        <f>IFERROR(Datos!B1249,"")</f>
        <v/>
      </c>
      <c r="C1249" s="8">
        <f>IFERROR(Datos!C1249,"")</f>
        <v/>
      </c>
      <c r="D1249" s="28">
        <f>IFERROR(IF(AND(ISNUMBER(B1249),ISNUMBER(B1248),B1248&lt;&gt;0),B1249/B1248-1,""),"")</f>
        <v/>
      </c>
      <c r="E1249" s="28">
        <f>IFERROR(IF(AND(ISNUMBER(C1249),ISNUMBER(C1248),C1248&lt;&gt;0),C1249/C1248-1,""),"")</f>
        <v/>
      </c>
      <c r="F1249" s="28">
        <f>IFERROR(D1249-Dashboard!$B$4/252,"")</f>
        <v/>
      </c>
      <c r="G1249" s="28">
        <f>IFERROR(E1249-Dashboard!$B$4/252,"")</f>
        <v/>
      </c>
      <c r="H1249" s="8">
        <f>IFERROR(IF(ISNUMBER(B1249),MAX(B1249,IFERROR(H1248,B1249)),""),"")</f>
        <v/>
      </c>
      <c r="I1249" s="29">
        <f>IFERROR(IF(AND(ISNUMBER(B1249),ISNUMBER(H1249)),B1249/H1249-1,""),"")</f>
        <v/>
      </c>
      <c r="J1249" s="8">
        <f>IFERROR(IF(ISNUMBER(C1249),MAX(C1249,IFERROR(J1248,C1249)),""),"")</f>
        <v/>
      </c>
      <c r="K1249" s="29">
        <f>IFERROR(IF(AND(ISNUMBER(C1249),ISNUMBER(J1249)),C1249/J1249-1,""),"")</f>
        <v/>
      </c>
      <c r="L1249" s="28">
        <f>IFERROR(IF(AND(ISNUMBER(D1249),ISNUMBER(E1249)),D1249-E1249,""),"")</f>
        <v/>
      </c>
    </row>
    <row r="1250">
      <c r="A1250" s="7">
        <f>IFERROR(Datos!A1250,"")</f>
        <v/>
      </c>
      <c r="B1250" s="8">
        <f>IFERROR(Datos!B1250,"")</f>
        <v/>
      </c>
      <c r="C1250" s="8">
        <f>IFERROR(Datos!C1250,"")</f>
        <v/>
      </c>
      <c r="D1250" s="28">
        <f>IFERROR(IF(AND(ISNUMBER(B1250),ISNUMBER(B1249),B1249&lt;&gt;0),B1250/B1249-1,""),"")</f>
        <v/>
      </c>
      <c r="E1250" s="28">
        <f>IFERROR(IF(AND(ISNUMBER(C1250),ISNUMBER(C1249),C1249&lt;&gt;0),C1250/C1249-1,""),"")</f>
        <v/>
      </c>
      <c r="F1250" s="28">
        <f>IFERROR(D1250-Dashboard!$B$4/252,"")</f>
        <v/>
      </c>
      <c r="G1250" s="28">
        <f>IFERROR(E1250-Dashboard!$B$4/252,"")</f>
        <v/>
      </c>
      <c r="H1250" s="8">
        <f>IFERROR(IF(ISNUMBER(B1250),MAX(B1250,IFERROR(H1249,B1250)),""),"")</f>
        <v/>
      </c>
      <c r="I1250" s="29">
        <f>IFERROR(IF(AND(ISNUMBER(B1250),ISNUMBER(H1250)),B1250/H1250-1,""),"")</f>
        <v/>
      </c>
      <c r="J1250" s="8">
        <f>IFERROR(IF(ISNUMBER(C1250),MAX(C1250,IFERROR(J1249,C1250)),""),"")</f>
        <v/>
      </c>
      <c r="K1250" s="29">
        <f>IFERROR(IF(AND(ISNUMBER(C1250),ISNUMBER(J1250)),C1250/J1250-1,""),"")</f>
        <v/>
      </c>
      <c r="L1250" s="28">
        <f>IFERROR(IF(AND(ISNUMBER(D1250),ISNUMBER(E1250)),D1250-E1250,""),"")</f>
        <v/>
      </c>
    </row>
    <row r="1251">
      <c r="A1251" s="7">
        <f>IFERROR(Datos!A1251,"")</f>
        <v/>
      </c>
      <c r="B1251" s="8">
        <f>IFERROR(Datos!B1251,"")</f>
        <v/>
      </c>
      <c r="C1251" s="8">
        <f>IFERROR(Datos!C1251,"")</f>
        <v/>
      </c>
      <c r="D1251" s="28">
        <f>IFERROR(IF(AND(ISNUMBER(B1251),ISNUMBER(B1250),B1250&lt;&gt;0),B1251/B1250-1,""),"")</f>
        <v/>
      </c>
      <c r="E1251" s="28">
        <f>IFERROR(IF(AND(ISNUMBER(C1251),ISNUMBER(C1250),C1250&lt;&gt;0),C1251/C1250-1,""),"")</f>
        <v/>
      </c>
      <c r="F1251" s="28">
        <f>IFERROR(D1251-Dashboard!$B$4/252,"")</f>
        <v/>
      </c>
      <c r="G1251" s="28">
        <f>IFERROR(E1251-Dashboard!$B$4/252,"")</f>
        <v/>
      </c>
      <c r="H1251" s="8">
        <f>IFERROR(IF(ISNUMBER(B1251),MAX(B1251,IFERROR(H1250,B1251)),""),"")</f>
        <v/>
      </c>
      <c r="I1251" s="29">
        <f>IFERROR(IF(AND(ISNUMBER(B1251),ISNUMBER(H1251)),B1251/H1251-1,""),"")</f>
        <v/>
      </c>
      <c r="J1251" s="8">
        <f>IFERROR(IF(ISNUMBER(C1251),MAX(C1251,IFERROR(J1250,C1251)),""),"")</f>
        <v/>
      </c>
      <c r="K1251" s="29">
        <f>IFERROR(IF(AND(ISNUMBER(C1251),ISNUMBER(J1251)),C1251/J1251-1,""),"")</f>
        <v/>
      </c>
      <c r="L1251" s="28">
        <f>IFERROR(IF(AND(ISNUMBER(D1251),ISNUMBER(E1251)),D1251-E1251,""),"")</f>
        <v/>
      </c>
    </row>
    <row r="1252">
      <c r="A1252" s="7">
        <f>IFERROR(Datos!A1252,"")</f>
        <v/>
      </c>
      <c r="B1252" s="8">
        <f>IFERROR(Datos!B1252,"")</f>
        <v/>
      </c>
      <c r="C1252" s="8">
        <f>IFERROR(Datos!C1252,"")</f>
        <v/>
      </c>
      <c r="D1252" s="28">
        <f>IFERROR(IF(AND(ISNUMBER(B1252),ISNUMBER(B1251),B1251&lt;&gt;0),B1252/B1251-1,""),"")</f>
        <v/>
      </c>
      <c r="E1252" s="28">
        <f>IFERROR(IF(AND(ISNUMBER(C1252),ISNUMBER(C1251),C1251&lt;&gt;0),C1252/C1251-1,""),"")</f>
        <v/>
      </c>
      <c r="F1252" s="28">
        <f>IFERROR(D1252-Dashboard!$B$4/252,"")</f>
        <v/>
      </c>
      <c r="G1252" s="28">
        <f>IFERROR(E1252-Dashboard!$B$4/252,"")</f>
        <v/>
      </c>
      <c r="H1252" s="8">
        <f>IFERROR(IF(ISNUMBER(B1252),MAX(B1252,IFERROR(H1251,B1252)),""),"")</f>
        <v/>
      </c>
      <c r="I1252" s="29">
        <f>IFERROR(IF(AND(ISNUMBER(B1252),ISNUMBER(H1252)),B1252/H1252-1,""),"")</f>
        <v/>
      </c>
      <c r="J1252" s="8">
        <f>IFERROR(IF(ISNUMBER(C1252),MAX(C1252,IFERROR(J1251,C1252)),""),"")</f>
        <v/>
      </c>
      <c r="K1252" s="29">
        <f>IFERROR(IF(AND(ISNUMBER(C1252),ISNUMBER(J1252)),C1252/J1252-1,""),"")</f>
        <v/>
      </c>
      <c r="L1252" s="28">
        <f>IFERROR(IF(AND(ISNUMBER(D1252),ISNUMBER(E1252)),D1252-E1252,""),"")</f>
        <v/>
      </c>
    </row>
    <row r="1253">
      <c r="A1253" s="7">
        <f>IFERROR(Datos!A1253,"")</f>
        <v/>
      </c>
      <c r="B1253" s="8">
        <f>IFERROR(Datos!B1253,"")</f>
        <v/>
      </c>
      <c r="C1253" s="8">
        <f>IFERROR(Datos!C1253,"")</f>
        <v/>
      </c>
      <c r="D1253" s="28">
        <f>IFERROR(IF(AND(ISNUMBER(B1253),ISNUMBER(B1252),B1252&lt;&gt;0),B1253/B1252-1,""),"")</f>
        <v/>
      </c>
      <c r="E1253" s="28">
        <f>IFERROR(IF(AND(ISNUMBER(C1253),ISNUMBER(C1252),C1252&lt;&gt;0),C1253/C1252-1,""),"")</f>
        <v/>
      </c>
      <c r="F1253" s="28">
        <f>IFERROR(D1253-Dashboard!$B$4/252,"")</f>
        <v/>
      </c>
      <c r="G1253" s="28">
        <f>IFERROR(E1253-Dashboard!$B$4/252,"")</f>
        <v/>
      </c>
      <c r="H1253" s="8">
        <f>IFERROR(IF(ISNUMBER(B1253),MAX(B1253,IFERROR(H1252,B1253)),""),"")</f>
        <v/>
      </c>
      <c r="I1253" s="29">
        <f>IFERROR(IF(AND(ISNUMBER(B1253),ISNUMBER(H1253)),B1253/H1253-1,""),"")</f>
        <v/>
      </c>
      <c r="J1253" s="8">
        <f>IFERROR(IF(ISNUMBER(C1253),MAX(C1253,IFERROR(J1252,C1253)),""),"")</f>
        <v/>
      </c>
      <c r="K1253" s="29">
        <f>IFERROR(IF(AND(ISNUMBER(C1253),ISNUMBER(J1253)),C1253/J1253-1,""),"")</f>
        <v/>
      </c>
      <c r="L1253" s="28">
        <f>IFERROR(IF(AND(ISNUMBER(D1253),ISNUMBER(E1253)),D1253-E1253,""),"")</f>
        <v/>
      </c>
    </row>
    <row r="1254">
      <c r="A1254" s="7">
        <f>IFERROR(Datos!A1254,"")</f>
        <v/>
      </c>
      <c r="B1254" s="8">
        <f>IFERROR(Datos!B1254,"")</f>
        <v/>
      </c>
      <c r="C1254" s="8">
        <f>IFERROR(Datos!C1254,"")</f>
        <v/>
      </c>
      <c r="D1254" s="28">
        <f>IFERROR(IF(AND(ISNUMBER(B1254),ISNUMBER(B1253),B1253&lt;&gt;0),B1254/B1253-1,""),"")</f>
        <v/>
      </c>
      <c r="E1254" s="28">
        <f>IFERROR(IF(AND(ISNUMBER(C1254),ISNUMBER(C1253),C1253&lt;&gt;0),C1254/C1253-1,""),"")</f>
        <v/>
      </c>
      <c r="F1254" s="28">
        <f>IFERROR(D1254-Dashboard!$B$4/252,"")</f>
        <v/>
      </c>
      <c r="G1254" s="28">
        <f>IFERROR(E1254-Dashboard!$B$4/252,"")</f>
        <v/>
      </c>
      <c r="H1254" s="8">
        <f>IFERROR(IF(ISNUMBER(B1254),MAX(B1254,IFERROR(H1253,B1254)),""),"")</f>
        <v/>
      </c>
      <c r="I1254" s="29">
        <f>IFERROR(IF(AND(ISNUMBER(B1254),ISNUMBER(H1254)),B1254/H1254-1,""),"")</f>
        <v/>
      </c>
      <c r="J1254" s="8">
        <f>IFERROR(IF(ISNUMBER(C1254),MAX(C1254,IFERROR(J1253,C1254)),""),"")</f>
        <v/>
      </c>
      <c r="K1254" s="29">
        <f>IFERROR(IF(AND(ISNUMBER(C1254),ISNUMBER(J1254)),C1254/J1254-1,""),"")</f>
        <v/>
      </c>
      <c r="L1254" s="28">
        <f>IFERROR(IF(AND(ISNUMBER(D1254),ISNUMBER(E1254)),D1254-E1254,""),"")</f>
        <v/>
      </c>
    </row>
    <row r="1255">
      <c r="A1255" s="7">
        <f>IFERROR(Datos!A1255,"")</f>
        <v/>
      </c>
      <c r="B1255" s="8">
        <f>IFERROR(Datos!B1255,"")</f>
        <v/>
      </c>
      <c r="C1255" s="8">
        <f>IFERROR(Datos!C1255,"")</f>
        <v/>
      </c>
      <c r="D1255" s="28">
        <f>IFERROR(IF(AND(ISNUMBER(B1255),ISNUMBER(B1254),B1254&lt;&gt;0),B1255/B1254-1,""),"")</f>
        <v/>
      </c>
      <c r="E1255" s="28">
        <f>IFERROR(IF(AND(ISNUMBER(C1255),ISNUMBER(C1254),C1254&lt;&gt;0),C1255/C1254-1,""),"")</f>
        <v/>
      </c>
      <c r="F1255" s="28">
        <f>IFERROR(D1255-Dashboard!$B$4/252,"")</f>
        <v/>
      </c>
      <c r="G1255" s="28">
        <f>IFERROR(E1255-Dashboard!$B$4/252,"")</f>
        <v/>
      </c>
      <c r="H1255" s="8">
        <f>IFERROR(IF(ISNUMBER(B1255),MAX(B1255,IFERROR(H1254,B1255)),""),"")</f>
        <v/>
      </c>
      <c r="I1255" s="29">
        <f>IFERROR(IF(AND(ISNUMBER(B1255),ISNUMBER(H1255)),B1255/H1255-1,""),"")</f>
        <v/>
      </c>
      <c r="J1255" s="8">
        <f>IFERROR(IF(ISNUMBER(C1255),MAX(C1255,IFERROR(J1254,C1255)),""),"")</f>
        <v/>
      </c>
      <c r="K1255" s="29">
        <f>IFERROR(IF(AND(ISNUMBER(C1255),ISNUMBER(J1255)),C1255/J1255-1,""),"")</f>
        <v/>
      </c>
      <c r="L1255" s="28">
        <f>IFERROR(IF(AND(ISNUMBER(D1255),ISNUMBER(E1255)),D1255-E1255,""),"")</f>
        <v/>
      </c>
    </row>
    <row r="1256">
      <c r="A1256" s="7">
        <f>IFERROR(Datos!A1256,"")</f>
        <v/>
      </c>
      <c r="B1256" s="8">
        <f>IFERROR(Datos!B1256,"")</f>
        <v/>
      </c>
      <c r="C1256" s="8">
        <f>IFERROR(Datos!C1256,"")</f>
        <v/>
      </c>
      <c r="D1256" s="28">
        <f>IFERROR(IF(AND(ISNUMBER(B1256),ISNUMBER(B1255),B1255&lt;&gt;0),B1256/B1255-1,""),"")</f>
        <v/>
      </c>
      <c r="E1256" s="28">
        <f>IFERROR(IF(AND(ISNUMBER(C1256),ISNUMBER(C1255),C1255&lt;&gt;0),C1256/C1255-1,""),"")</f>
        <v/>
      </c>
      <c r="F1256" s="28">
        <f>IFERROR(D1256-Dashboard!$B$4/252,"")</f>
        <v/>
      </c>
      <c r="G1256" s="28">
        <f>IFERROR(E1256-Dashboard!$B$4/252,"")</f>
        <v/>
      </c>
      <c r="H1256" s="8">
        <f>IFERROR(IF(ISNUMBER(B1256),MAX(B1256,IFERROR(H1255,B1256)),""),"")</f>
        <v/>
      </c>
      <c r="I1256" s="29">
        <f>IFERROR(IF(AND(ISNUMBER(B1256),ISNUMBER(H1256)),B1256/H1256-1,""),"")</f>
        <v/>
      </c>
      <c r="J1256" s="8">
        <f>IFERROR(IF(ISNUMBER(C1256),MAX(C1256,IFERROR(J1255,C1256)),""),"")</f>
        <v/>
      </c>
      <c r="K1256" s="29">
        <f>IFERROR(IF(AND(ISNUMBER(C1256),ISNUMBER(J1256)),C1256/J1256-1,""),"")</f>
        <v/>
      </c>
      <c r="L1256" s="28">
        <f>IFERROR(IF(AND(ISNUMBER(D1256),ISNUMBER(E1256)),D1256-E1256,""),"")</f>
        <v/>
      </c>
    </row>
    <row r="1257">
      <c r="A1257" s="7">
        <f>IFERROR(Datos!A1257,"")</f>
        <v/>
      </c>
      <c r="B1257" s="8">
        <f>IFERROR(Datos!B1257,"")</f>
        <v/>
      </c>
      <c r="C1257" s="8">
        <f>IFERROR(Datos!C1257,"")</f>
        <v/>
      </c>
      <c r="D1257" s="28">
        <f>IFERROR(IF(AND(ISNUMBER(B1257),ISNUMBER(B1256),B1256&lt;&gt;0),B1257/B1256-1,""),"")</f>
        <v/>
      </c>
      <c r="E1257" s="28">
        <f>IFERROR(IF(AND(ISNUMBER(C1257),ISNUMBER(C1256),C1256&lt;&gt;0),C1257/C1256-1,""),"")</f>
        <v/>
      </c>
      <c r="F1257" s="28">
        <f>IFERROR(D1257-Dashboard!$B$4/252,"")</f>
        <v/>
      </c>
      <c r="G1257" s="28">
        <f>IFERROR(E1257-Dashboard!$B$4/252,"")</f>
        <v/>
      </c>
      <c r="H1257" s="8">
        <f>IFERROR(IF(ISNUMBER(B1257),MAX(B1257,IFERROR(H1256,B1257)),""),"")</f>
        <v/>
      </c>
      <c r="I1257" s="29">
        <f>IFERROR(IF(AND(ISNUMBER(B1257),ISNUMBER(H1257)),B1257/H1257-1,""),"")</f>
        <v/>
      </c>
      <c r="J1257" s="8">
        <f>IFERROR(IF(ISNUMBER(C1257),MAX(C1257,IFERROR(J1256,C1257)),""),"")</f>
        <v/>
      </c>
      <c r="K1257" s="29">
        <f>IFERROR(IF(AND(ISNUMBER(C1257),ISNUMBER(J1257)),C1257/J1257-1,""),"")</f>
        <v/>
      </c>
      <c r="L1257" s="28">
        <f>IFERROR(IF(AND(ISNUMBER(D1257),ISNUMBER(E1257)),D1257-E1257,""),"")</f>
        <v/>
      </c>
    </row>
    <row r="1258">
      <c r="A1258" s="7">
        <f>IFERROR(Datos!A1258,"")</f>
        <v/>
      </c>
      <c r="B1258" s="8">
        <f>IFERROR(Datos!B1258,"")</f>
        <v/>
      </c>
      <c r="C1258" s="8">
        <f>IFERROR(Datos!C1258,"")</f>
        <v/>
      </c>
      <c r="D1258" s="28">
        <f>IFERROR(IF(AND(ISNUMBER(B1258),ISNUMBER(B1257),B1257&lt;&gt;0),B1258/B1257-1,""),"")</f>
        <v/>
      </c>
      <c r="E1258" s="28">
        <f>IFERROR(IF(AND(ISNUMBER(C1258),ISNUMBER(C1257),C1257&lt;&gt;0),C1258/C1257-1,""),"")</f>
        <v/>
      </c>
      <c r="F1258" s="28">
        <f>IFERROR(D1258-Dashboard!$B$4/252,"")</f>
        <v/>
      </c>
      <c r="G1258" s="28">
        <f>IFERROR(E1258-Dashboard!$B$4/252,"")</f>
        <v/>
      </c>
      <c r="H1258" s="8">
        <f>IFERROR(IF(ISNUMBER(B1258),MAX(B1258,IFERROR(H1257,B1258)),""),"")</f>
        <v/>
      </c>
      <c r="I1258" s="29">
        <f>IFERROR(IF(AND(ISNUMBER(B1258),ISNUMBER(H1258)),B1258/H1258-1,""),"")</f>
        <v/>
      </c>
      <c r="J1258" s="8">
        <f>IFERROR(IF(ISNUMBER(C1258),MAX(C1258,IFERROR(J1257,C1258)),""),"")</f>
        <v/>
      </c>
      <c r="K1258" s="29">
        <f>IFERROR(IF(AND(ISNUMBER(C1258),ISNUMBER(J1258)),C1258/J1258-1,""),"")</f>
        <v/>
      </c>
      <c r="L1258" s="28">
        <f>IFERROR(IF(AND(ISNUMBER(D1258),ISNUMBER(E1258)),D1258-E1258,""),"")</f>
        <v/>
      </c>
    </row>
    <row r="1259">
      <c r="A1259" s="7">
        <f>IFERROR(Datos!A1259,"")</f>
        <v/>
      </c>
      <c r="B1259" s="8">
        <f>IFERROR(Datos!B1259,"")</f>
        <v/>
      </c>
      <c r="C1259" s="8">
        <f>IFERROR(Datos!C1259,"")</f>
        <v/>
      </c>
      <c r="D1259" s="28">
        <f>IFERROR(IF(AND(ISNUMBER(B1259),ISNUMBER(B1258),B1258&lt;&gt;0),B1259/B1258-1,""),"")</f>
        <v/>
      </c>
      <c r="E1259" s="28">
        <f>IFERROR(IF(AND(ISNUMBER(C1259),ISNUMBER(C1258),C1258&lt;&gt;0),C1259/C1258-1,""),"")</f>
        <v/>
      </c>
      <c r="F1259" s="28">
        <f>IFERROR(D1259-Dashboard!$B$4/252,"")</f>
        <v/>
      </c>
      <c r="G1259" s="28">
        <f>IFERROR(E1259-Dashboard!$B$4/252,"")</f>
        <v/>
      </c>
      <c r="H1259" s="8">
        <f>IFERROR(IF(ISNUMBER(B1259),MAX(B1259,IFERROR(H1258,B1259)),""),"")</f>
        <v/>
      </c>
      <c r="I1259" s="29">
        <f>IFERROR(IF(AND(ISNUMBER(B1259),ISNUMBER(H1259)),B1259/H1259-1,""),"")</f>
        <v/>
      </c>
      <c r="J1259" s="8">
        <f>IFERROR(IF(ISNUMBER(C1259),MAX(C1259,IFERROR(J1258,C1259)),""),"")</f>
        <v/>
      </c>
      <c r="K1259" s="29">
        <f>IFERROR(IF(AND(ISNUMBER(C1259),ISNUMBER(J1259)),C1259/J1259-1,""),"")</f>
        <v/>
      </c>
      <c r="L1259" s="28">
        <f>IFERROR(IF(AND(ISNUMBER(D1259),ISNUMBER(E1259)),D1259-E1259,""),"")</f>
        <v/>
      </c>
    </row>
    <row r="1260">
      <c r="A1260" s="7">
        <f>IFERROR(Datos!A1260,"")</f>
        <v/>
      </c>
      <c r="B1260" s="8">
        <f>IFERROR(Datos!B1260,"")</f>
        <v/>
      </c>
      <c r="C1260" s="8">
        <f>IFERROR(Datos!C1260,"")</f>
        <v/>
      </c>
      <c r="D1260" s="28">
        <f>IFERROR(IF(AND(ISNUMBER(B1260),ISNUMBER(B1259),B1259&lt;&gt;0),B1260/B1259-1,""),"")</f>
        <v/>
      </c>
      <c r="E1260" s="28">
        <f>IFERROR(IF(AND(ISNUMBER(C1260),ISNUMBER(C1259),C1259&lt;&gt;0),C1260/C1259-1,""),"")</f>
        <v/>
      </c>
      <c r="F1260" s="28">
        <f>IFERROR(D1260-Dashboard!$B$4/252,"")</f>
        <v/>
      </c>
      <c r="G1260" s="28">
        <f>IFERROR(E1260-Dashboard!$B$4/252,"")</f>
        <v/>
      </c>
      <c r="H1260" s="8">
        <f>IFERROR(IF(ISNUMBER(B1260),MAX(B1260,IFERROR(H1259,B1260)),""),"")</f>
        <v/>
      </c>
      <c r="I1260" s="29">
        <f>IFERROR(IF(AND(ISNUMBER(B1260),ISNUMBER(H1260)),B1260/H1260-1,""),"")</f>
        <v/>
      </c>
      <c r="J1260" s="8">
        <f>IFERROR(IF(ISNUMBER(C1260),MAX(C1260,IFERROR(J1259,C1260)),""),"")</f>
        <v/>
      </c>
      <c r="K1260" s="29">
        <f>IFERROR(IF(AND(ISNUMBER(C1260),ISNUMBER(J1260)),C1260/J1260-1,""),"")</f>
        <v/>
      </c>
      <c r="L1260" s="28">
        <f>IFERROR(IF(AND(ISNUMBER(D1260),ISNUMBER(E1260)),D1260-E1260,""),"")</f>
        <v/>
      </c>
    </row>
    <row r="1261">
      <c r="A1261" s="7">
        <f>IFERROR(Datos!A1261,"")</f>
        <v/>
      </c>
      <c r="B1261" s="8">
        <f>IFERROR(Datos!B1261,"")</f>
        <v/>
      </c>
      <c r="C1261" s="8">
        <f>IFERROR(Datos!C1261,"")</f>
        <v/>
      </c>
      <c r="D1261" s="28">
        <f>IFERROR(IF(AND(ISNUMBER(B1261),ISNUMBER(B1260),B1260&lt;&gt;0),B1261/B1260-1,""),"")</f>
        <v/>
      </c>
      <c r="E1261" s="28">
        <f>IFERROR(IF(AND(ISNUMBER(C1261),ISNUMBER(C1260),C1260&lt;&gt;0),C1261/C1260-1,""),"")</f>
        <v/>
      </c>
      <c r="F1261" s="28">
        <f>IFERROR(D1261-Dashboard!$B$4/252,"")</f>
        <v/>
      </c>
      <c r="G1261" s="28">
        <f>IFERROR(E1261-Dashboard!$B$4/252,"")</f>
        <v/>
      </c>
      <c r="H1261" s="8">
        <f>IFERROR(IF(ISNUMBER(B1261),MAX(B1261,IFERROR(H1260,B1261)),""),"")</f>
        <v/>
      </c>
      <c r="I1261" s="29">
        <f>IFERROR(IF(AND(ISNUMBER(B1261),ISNUMBER(H1261)),B1261/H1261-1,""),"")</f>
        <v/>
      </c>
      <c r="J1261" s="8">
        <f>IFERROR(IF(ISNUMBER(C1261),MAX(C1261,IFERROR(J1260,C1261)),""),"")</f>
        <v/>
      </c>
      <c r="K1261" s="29">
        <f>IFERROR(IF(AND(ISNUMBER(C1261),ISNUMBER(J1261)),C1261/J1261-1,""),"")</f>
        <v/>
      </c>
      <c r="L1261" s="28">
        <f>IFERROR(IF(AND(ISNUMBER(D1261),ISNUMBER(E1261)),D1261-E1261,""),"")</f>
        <v/>
      </c>
    </row>
    <row r="1262">
      <c r="A1262" s="7">
        <f>IFERROR(Datos!A1262,"")</f>
        <v/>
      </c>
      <c r="B1262" s="8">
        <f>IFERROR(Datos!B1262,"")</f>
        <v/>
      </c>
      <c r="C1262" s="8">
        <f>IFERROR(Datos!C1262,"")</f>
        <v/>
      </c>
      <c r="D1262" s="28">
        <f>IFERROR(IF(AND(ISNUMBER(B1262),ISNUMBER(B1261),B1261&lt;&gt;0),B1262/B1261-1,""),"")</f>
        <v/>
      </c>
      <c r="E1262" s="28">
        <f>IFERROR(IF(AND(ISNUMBER(C1262),ISNUMBER(C1261),C1261&lt;&gt;0),C1262/C1261-1,""),"")</f>
        <v/>
      </c>
      <c r="F1262" s="28">
        <f>IFERROR(D1262-Dashboard!$B$4/252,"")</f>
        <v/>
      </c>
      <c r="G1262" s="28">
        <f>IFERROR(E1262-Dashboard!$B$4/252,"")</f>
        <v/>
      </c>
      <c r="H1262" s="8">
        <f>IFERROR(IF(ISNUMBER(B1262),MAX(B1262,IFERROR(H1261,B1262)),""),"")</f>
        <v/>
      </c>
      <c r="I1262" s="29">
        <f>IFERROR(IF(AND(ISNUMBER(B1262),ISNUMBER(H1262)),B1262/H1262-1,""),"")</f>
        <v/>
      </c>
      <c r="J1262" s="8">
        <f>IFERROR(IF(ISNUMBER(C1262),MAX(C1262,IFERROR(J1261,C1262)),""),"")</f>
        <v/>
      </c>
      <c r="K1262" s="29">
        <f>IFERROR(IF(AND(ISNUMBER(C1262),ISNUMBER(J1262)),C1262/J1262-1,""),"")</f>
        <v/>
      </c>
      <c r="L1262" s="28">
        <f>IFERROR(IF(AND(ISNUMBER(D1262),ISNUMBER(E1262)),D1262-E1262,""),"")</f>
        <v/>
      </c>
    </row>
    <row r="1263">
      <c r="A1263" s="7">
        <f>IFERROR(Datos!A1263,"")</f>
        <v/>
      </c>
      <c r="B1263" s="8">
        <f>IFERROR(Datos!B1263,"")</f>
        <v/>
      </c>
      <c r="C1263" s="8">
        <f>IFERROR(Datos!C1263,"")</f>
        <v/>
      </c>
      <c r="D1263" s="28">
        <f>IFERROR(IF(AND(ISNUMBER(B1263),ISNUMBER(B1262),B1262&lt;&gt;0),B1263/B1262-1,""),"")</f>
        <v/>
      </c>
      <c r="E1263" s="28">
        <f>IFERROR(IF(AND(ISNUMBER(C1263),ISNUMBER(C1262),C1262&lt;&gt;0),C1263/C1262-1,""),"")</f>
        <v/>
      </c>
      <c r="F1263" s="28">
        <f>IFERROR(D1263-Dashboard!$B$4/252,"")</f>
        <v/>
      </c>
      <c r="G1263" s="28">
        <f>IFERROR(E1263-Dashboard!$B$4/252,"")</f>
        <v/>
      </c>
      <c r="H1263" s="8">
        <f>IFERROR(IF(ISNUMBER(B1263),MAX(B1263,IFERROR(H1262,B1263)),""),"")</f>
        <v/>
      </c>
      <c r="I1263" s="29">
        <f>IFERROR(IF(AND(ISNUMBER(B1263),ISNUMBER(H1263)),B1263/H1263-1,""),"")</f>
        <v/>
      </c>
      <c r="J1263" s="8">
        <f>IFERROR(IF(ISNUMBER(C1263),MAX(C1263,IFERROR(J1262,C1263)),""),"")</f>
        <v/>
      </c>
      <c r="K1263" s="29">
        <f>IFERROR(IF(AND(ISNUMBER(C1263),ISNUMBER(J1263)),C1263/J1263-1,""),"")</f>
        <v/>
      </c>
      <c r="L1263" s="28">
        <f>IFERROR(IF(AND(ISNUMBER(D1263),ISNUMBER(E1263)),D1263-E1263,""),"")</f>
        <v/>
      </c>
    </row>
    <row r="1264">
      <c r="A1264" s="7">
        <f>IFERROR(Datos!A1264,"")</f>
        <v/>
      </c>
      <c r="B1264" s="8">
        <f>IFERROR(Datos!B1264,"")</f>
        <v/>
      </c>
      <c r="C1264" s="8">
        <f>IFERROR(Datos!C1264,"")</f>
        <v/>
      </c>
      <c r="D1264" s="28">
        <f>IFERROR(IF(AND(ISNUMBER(B1264),ISNUMBER(B1263),B1263&lt;&gt;0),B1264/B1263-1,""),"")</f>
        <v/>
      </c>
      <c r="E1264" s="28">
        <f>IFERROR(IF(AND(ISNUMBER(C1264),ISNUMBER(C1263),C1263&lt;&gt;0),C1264/C1263-1,""),"")</f>
        <v/>
      </c>
      <c r="F1264" s="28">
        <f>IFERROR(D1264-Dashboard!$B$4/252,"")</f>
        <v/>
      </c>
      <c r="G1264" s="28">
        <f>IFERROR(E1264-Dashboard!$B$4/252,"")</f>
        <v/>
      </c>
      <c r="H1264" s="8">
        <f>IFERROR(IF(ISNUMBER(B1264),MAX(B1264,IFERROR(H1263,B1264)),""),"")</f>
        <v/>
      </c>
      <c r="I1264" s="29">
        <f>IFERROR(IF(AND(ISNUMBER(B1264),ISNUMBER(H1264)),B1264/H1264-1,""),"")</f>
        <v/>
      </c>
      <c r="J1264" s="8">
        <f>IFERROR(IF(ISNUMBER(C1264),MAX(C1264,IFERROR(J1263,C1264)),""),"")</f>
        <v/>
      </c>
      <c r="K1264" s="29">
        <f>IFERROR(IF(AND(ISNUMBER(C1264),ISNUMBER(J1264)),C1264/J1264-1,""),"")</f>
        <v/>
      </c>
      <c r="L1264" s="28">
        <f>IFERROR(IF(AND(ISNUMBER(D1264),ISNUMBER(E1264)),D1264-E1264,""),"")</f>
        <v/>
      </c>
    </row>
    <row r="1265">
      <c r="A1265" s="7">
        <f>IFERROR(Datos!A1265,"")</f>
        <v/>
      </c>
      <c r="B1265" s="8">
        <f>IFERROR(Datos!B1265,"")</f>
        <v/>
      </c>
      <c r="C1265" s="8">
        <f>IFERROR(Datos!C1265,"")</f>
        <v/>
      </c>
      <c r="D1265" s="28">
        <f>IFERROR(IF(AND(ISNUMBER(B1265),ISNUMBER(B1264),B1264&lt;&gt;0),B1265/B1264-1,""),"")</f>
        <v/>
      </c>
      <c r="E1265" s="28">
        <f>IFERROR(IF(AND(ISNUMBER(C1265),ISNUMBER(C1264),C1264&lt;&gt;0),C1265/C1264-1,""),"")</f>
        <v/>
      </c>
      <c r="F1265" s="28">
        <f>IFERROR(D1265-Dashboard!$B$4/252,"")</f>
        <v/>
      </c>
      <c r="G1265" s="28">
        <f>IFERROR(E1265-Dashboard!$B$4/252,"")</f>
        <v/>
      </c>
      <c r="H1265" s="8">
        <f>IFERROR(IF(ISNUMBER(B1265),MAX(B1265,IFERROR(H1264,B1265)),""),"")</f>
        <v/>
      </c>
      <c r="I1265" s="29">
        <f>IFERROR(IF(AND(ISNUMBER(B1265),ISNUMBER(H1265)),B1265/H1265-1,""),"")</f>
        <v/>
      </c>
      <c r="J1265" s="8">
        <f>IFERROR(IF(ISNUMBER(C1265),MAX(C1265,IFERROR(J1264,C1265)),""),"")</f>
        <v/>
      </c>
      <c r="K1265" s="29">
        <f>IFERROR(IF(AND(ISNUMBER(C1265),ISNUMBER(J1265)),C1265/J1265-1,""),"")</f>
        <v/>
      </c>
      <c r="L1265" s="28">
        <f>IFERROR(IF(AND(ISNUMBER(D1265),ISNUMBER(E1265)),D1265-E1265,""),"")</f>
        <v/>
      </c>
    </row>
    <row r="1266">
      <c r="A1266" s="7">
        <f>IFERROR(Datos!A1266,"")</f>
        <v/>
      </c>
      <c r="B1266" s="8">
        <f>IFERROR(Datos!B1266,"")</f>
        <v/>
      </c>
      <c r="C1266" s="8">
        <f>IFERROR(Datos!C1266,"")</f>
        <v/>
      </c>
      <c r="D1266" s="28">
        <f>IFERROR(IF(AND(ISNUMBER(B1266),ISNUMBER(B1265),B1265&lt;&gt;0),B1266/B1265-1,""),"")</f>
        <v/>
      </c>
      <c r="E1266" s="28">
        <f>IFERROR(IF(AND(ISNUMBER(C1266),ISNUMBER(C1265),C1265&lt;&gt;0),C1266/C1265-1,""),"")</f>
        <v/>
      </c>
      <c r="F1266" s="28">
        <f>IFERROR(D1266-Dashboard!$B$4/252,"")</f>
        <v/>
      </c>
      <c r="G1266" s="28">
        <f>IFERROR(E1266-Dashboard!$B$4/252,"")</f>
        <v/>
      </c>
      <c r="H1266" s="8">
        <f>IFERROR(IF(ISNUMBER(B1266),MAX(B1266,IFERROR(H1265,B1266)),""),"")</f>
        <v/>
      </c>
      <c r="I1266" s="29">
        <f>IFERROR(IF(AND(ISNUMBER(B1266),ISNUMBER(H1266)),B1266/H1266-1,""),"")</f>
        <v/>
      </c>
      <c r="J1266" s="8">
        <f>IFERROR(IF(ISNUMBER(C1266),MAX(C1266,IFERROR(J1265,C1266)),""),"")</f>
        <v/>
      </c>
      <c r="K1266" s="29">
        <f>IFERROR(IF(AND(ISNUMBER(C1266),ISNUMBER(J1266)),C1266/J1266-1,""),"")</f>
        <v/>
      </c>
      <c r="L1266" s="28">
        <f>IFERROR(IF(AND(ISNUMBER(D1266),ISNUMBER(E1266)),D1266-E1266,""),"")</f>
        <v/>
      </c>
    </row>
    <row r="1267">
      <c r="A1267" s="7">
        <f>IFERROR(Datos!A1267,"")</f>
        <v/>
      </c>
      <c r="B1267" s="8">
        <f>IFERROR(Datos!B1267,"")</f>
        <v/>
      </c>
      <c r="C1267" s="8">
        <f>IFERROR(Datos!C1267,"")</f>
        <v/>
      </c>
      <c r="D1267" s="28">
        <f>IFERROR(IF(AND(ISNUMBER(B1267),ISNUMBER(B1266),B1266&lt;&gt;0),B1267/B1266-1,""),"")</f>
        <v/>
      </c>
      <c r="E1267" s="28">
        <f>IFERROR(IF(AND(ISNUMBER(C1267),ISNUMBER(C1266),C1266&lt;&gt;0),C1267/C1266-1,""),"")</f>
        <v/>
      </c>
      <c r="F1267" s="28">
        <f>IFERROR(D1267-Dashboard!$B$4/252,"")</f>
        <v/>
      </c>
      <c r="G1267" s="28">
        <f>IFERROR(E1267-Dashboard!$B$4/252,"")</f>
        <v/>
      </c>
      <c r="H1267" s="8">
        <f>IFERROR(IF(ISNUMBER(B1267),MAX(B1267,IFERROR(H1266,B1267)),""),"")</f>
        <v/>
      </c>
      <c r="I1267" s="29">
        <f>IFERROR(IF(AND(ISNUMBER(B1267),ISNUMBER(H1267)),B1267/H1267-1,""),"")</f>
        <v/>
      </c>
      <c r="J1267" s="8">
        <f>IFERROR(IF(ISNUMBER(C1267),MAX(C1267,IFERROR(J1266,C1267)),""),"")</f>
        <v/>
      </c>
      <c r="K1267" s="29">
        <f>IFERROR(IF(AND(ISNUMBER(C1267),ISNUMBER(J1267)),C1267/J1267-1,""),"")</f>
        <v/>
      </c>
      <c r="L1267" s="28">
        <f>IFERROR(IF(AND(ISNUMBER(D1267),ISNUMBER(E1267)),D1267-E1267,""),"")</f>
        <v/>
      </c>
    </row>
    <row r="1268">
      <c r="A1268" s="7">
        <f>IFERROR(Datos!A1268,"")</f>
        <v/>
      </c>
      <c r="B1268" s="8">
        <f>IFERROR(Datos!B1268,"")</f>
        <v/>
      </c>
      <c r="C1268" s="8">
        <f>IFERROR(Datos!C1268,"")</f>
        <v/>
      </c>
      <c r="D1268" s="28">
        <f>IFERROR(IF(AND(ISNUMBER(B1268),ISNUMBER(B1267),B1267&lt;&gt;0),B1268/B1267-1,""),"")</f>
        <v/>
      </c>
      <c r="E1268" s="28">
        <f>IFERROR(IF(AND(ISNUMBER(C1268),ISNUMBER(C1267),C1267&lt;&gt;0),C1268/C1267-1,""),"")</f>
        <v/>
      </c>
      <c r="F1268" s="28">
        <f>IFERROR(D1268-Dashboard!$B$4/252,"")</f>
        <v/>
      </c>
      <c r="G1268" s="28">
        <f>IFERROR(E1268-Dashboard!$B$4/252,"")</f>
        <v/>
      </c>
      <c r="H1268" s="8">
        <f>IFERROR(IF(ISNUMBER(B1268),MAX(B1268,IFERROR(H1267,B1268)),""),"")</f>
        <v/>
      </c>
      <c r="I1268" s="29">
        <f>IFERROR(IF(AND(ISNUMBER(B1268),ISNUMBER(H1268)),B1268/H1268-1,""),"")</f>
        <v/>
      </c>
      <c r="J1268" s="8">
        <f>IFERROR(IF(ISNUMBER(C1268),MAX(C1268,IFERROR(J1267,C1268)),""),"")</f>
        <v/>
      </c>
      <c r="K1268" s="29">
        <f>IFERROR(IF(AND(ISNUMBER(C1268),ISNUMBER(J1268)),C1268/J1268-1,""),"")</f>
        <v/>
      </c>
      <c r="L1268" s="28">
        <f>IFERROR(IF(AND(ISNUMBER(D1268),ISNUMBER(E1268)),D1268-E1268,""),"")</f>
        <v/>
      </c>
    </row>
    <row r="1269">
      <c r="A1269" s="7">
        <f>IFERROR(Datos!A1269,"")</f>
        <v/>
      </c>
      <c r="B1269" s="8">
        <f>IFERROR(Datos!B1269,"")</f>
        <v/>
      </c>
      <c r="C1269" s="8">
        <f>IFERROR(Datos!C1269,"")</f>
        <v/>
      </c>
      <c r="D1269" s="28">
        <f>IFERROR(IF(AND(ISNUMBER(B1269),ISNUMBER(B1268),B1268&lt;&gt;0),B1269/B1268-1,""),"")</f>
        <v/>
      </c>
      <c r="E1269" s="28">
        <f>IFERROR(IF(AND(ISNUMBER(C1269),ISNUMBER(C1268),C1268&lt;&gt;0),C1269/C1268-1,""),"")</f>
        <v/>
      </c>
      <c r="F1269" s="28">
        <f>IFERROR(D1269-Dashboard!$B$4/252,"")</f>
        <v/>
      </c>
      <c r="G1269" s="28">
        <f>IFERROR(E1269-Dashboard!$B$4/252,"")</f>
        <v/>
      </c>
      <c r="H1269" s="8">
        <f>IFERROR(IF(ISNUMBER(B1269),MAX(B1269,IFERROR(H1268,B1269)),""),"")</f>
        <v/>
      </c>
      <c r="I1269" s="29">
        <f>IFERROR(IF(AND(ISNUMBER(B1269),ISNUMBER(H1269)),B1269/H1269-1,""),"")</f>
        <v/>
      </c>
      <c r="J1269" s="8">
        <f>IFERROR(IF(ISNUMBER(C1269),MAX(C1269,IFERROR(J1268,C1269)),""),"")</f>
        <v/>
      </c>
      <c r="K1269" s="29">
        <f>IFERROR(IF(AND(ISNUMBER(C1269),ISNUMBER(J1269)),C1269/J1269-1,""),"")</f>
        <v/>
      </c>
      <c r="L1269" s="28">
        <f>IFERROR(IF(AND(ISNUMBER(D1269),ISNUMBER(E1269)),D1269-E1269,""),"")</f>
        <v/>
      </c>
    </row>
    <row r="1270">
      <c r="A1270" s="7">
        <f>IFERROR(Datos!A1270,"")</f>
        <v/>
      </c>
      <c r="B1270" s="8">
        <f>IFERROR(Datos!B1270,"")</f>
        <v/>
      </c>
      <c r="C1270" s="8">
        <f>IFERROR(Datos!C1270,"")</f>
        <v/>
      </c>
      <c r="D1270" s="28">
        <f>IFERROR(IF(AND(ISNUMBER(B1270),ISNUMBER(B1269),B1269&lt;&gt;0),B1270/B1269-1,""),"")</f>
        <v/>
      </c>
      <c r="E1270" s="28">
        <f>IFERROR(IF(AND(ISNUMBER(C1270),ISNUMBER(C1269),C1269&lt;&gt;0),C1270/C1269-1,""),"")</f>
        <v/>
      </c>
      <c r="F1270" s="28">
        <f>IFERROR(D1270-Dashboard!$B$4/252,"")</f>
        <v/>
      </c>
      <c r="G1270" s="28">
        <f>IFERROR(E1270-Dashboard!$B$4/252,"")</f>
        <v/>
      </c>
      <c r="H1270" s="8">
        <f>IFERROR(IF(ISNUMBER(B1270),MAX(B1270,IFERROR(H1269,B1270)),""),"")</f>
        <v/>
      </c>
      <c r="I1270" s="29">
        <f>IFERROR(IF(AND(ISNUMBER(B1270),ISNUMBER(H1270)),B1270/H1270-1,""),"")</f>
        <v/>
      </c>
      <c r="J1270" s="8">
        <f>IFERROR(IF(ISNUMBER(C1270),MAX(C1270,IFERROR(J1269,C1270)),""),"")</f>
        <v/>
      </c>
      <c r="K1270" s="29">
        <f>IFERROR(IF(AND(ISNUMBER(C1270),ISNUMBER(J1270)),C1270/J1270-1,""),"")</f>
        <v/>
      </c>
      <c r="L1270" s="28">
        <f>IFERROR(IF(AND(ISNUMBER(D1270),ISNUMBER(E1270)),D1270-E1270,""),"")</f>
        <v/>
      </c>
    </row>
    <row r="1271">
      <c r="A1271" s="7">
        <f>IFERROR(Datos!A1271,"")</f>
        <v/>
      </c>
      <c r="B1271" s="8">
        <f>IFERROR(Datos!B1271,"")</f>
        <v/>
      </c>
      <c r="C1271" s="8">
        <f>IFERROR(Datos!C1271,"")</f>
        <v/>
      </c>
      <c r="D1271" s="28">
        <f>IFERROR(IF(AND(ISNUMBER(B1271),ISNUMBER(B1270),B1270&lt;&gt;0),B1271/B1270-1,""),"")</f>
        <v/>
      </c>
      <c r="E1271" s="28">
        <f>IFERROR(IF(AND(ISNUMBER(C1271),ISNUMBER(C1270),C1270&lt;&gt;0),C1271/C1270-1,""),"")</f>
        <v/>
      </c>
      <c r="F1271" s="28">
        <f>IFERROR(D1271-Dashboard!$B$4/252,"")</f>
        <v/>
      </c>
      <c r="G1271" s="28">
        <f>IFERROR(E1271-Dashboard!$B$4/252,"")</f>
        <v/>
      </c>
      <c r="H1271" s="8">
        <f>IFERROR(IF(ISNUMBER(B1271),MAX(B1271,IFERROR(H1270,B1271)),""),"")</f>
        <v/>
      </c>
      <c r="I1271" s="29">
        <f>IFERROR(IF(AND(ISNUMBER(B1271),ISNUMBER(H1271)),B1271/H1271-1,""),"")</f>
        <v/>
      </c>
      <c r="J1271" s="8">
        <f>IFERROR(IF(ISNUMBER(C1271),MAX(C1271,IFERROR(J1270,C1271)),""),"")</f>
        <v/>
      </c>
      <c r="K1271" s="29">
        <f>IFERROR(IF(AND(ISNUMBER(C1271),ISNUMBER(J1271)),C1271/J1271-1,""),"")</f>
        <v/>
      </c>
      <c r="L1271" s="28">
        <f>IFERROR(IF(AND(ISNUMBER(D1271),ISNUMBER(E1271)),D1271-E1271,""),"")</f>
        <v/>
      </c>
    </row>
    <row r="1272">
      <c r="A1272" s="7">
        <f>IFERROR(Datos!A1272,"")</f>
        <v/>
      </c>
      <c r="B1272" s="8">
        <f>IFERROR(Datos!B1272,"")</f>
        <v/>
      </c>
      <c r="C1272" s="8">
        <f>IFERROR(Datos!C1272,"")</f>
        <v/>
      </c>
      <c r="D1272" s="28">
        <f>IFERROR(IF(AND(ISNUMBER(B1272),ISNUMBER(B1271),B1271&lt;&gt;0),B1272/B1271-1,""),"")</f>
        <v/>
      </c>
      <c r="E1272" s="28">
        <f>IFERROR(IF(AND(ISNUMBER(C1272),ISNUMBER(C1271),C1271&lt;&gt;0),C1272/C1271-1,""),"")</f>
        <v/>
      </c>
      <c r="F1272" s="28">
        <f>IFERROR(D1272-Dashboard!$B$4/252,"")</f>
        <v/>
      </c>
      <c r="G1272" s="28">
        <f>IFERROR(E1272-Dashboard!$B$4/252,"")</f>
        <v/>
      </c>
      <c r="H1272" s="8">
        <f>IFERROR(IF(ISNUMBER(B1272),MAX(B1272,IFERROR(H1271,B1272)),""),"")</f>
        <v/>
      </c>
      <c r="I1272" s="29">
        <f>IFERROR(IF(AND(ISNUMBER(B1272),ISNUMBER(H1272)),B1272/H1272-1,""),"")</f>
        <v/>
      </c>
      <c r="J1272" s="8">
        <f>IFERROR(IF(ISNUMBER(C1272),MAX(C1272,IFERROR(J1271,C1272)),""),"")</f>
        <v/>
      </c>
      <c r="K1272" s="29">
        <f>IFERROR(IF(AND(ISNUMBER(C1272),ISNUMBER(J1272)),C1272/J1272-1,""),"")</f>
        <v/>
      </c>
      <c r="L1272" s="28">
        <f>IFERROR(IF(AND(ISNUMBER(D1272),ISNUMBER(E1272)),D1272-E1272,""),"")</f>
        <v/>
      </c>
    </row>
    <row r="1273">
      <c r="A1273" s="7">
        <f>IFERROR(Datos!A1273,"")</f>
        <v/>
      </c>
      <c r="B1273" s="8">
        <f>IFERROR(Datos!B1273,"")</f>
        <v/>
      </c>
      <c r="C1273" s="8">
        <f>IFERROR(Datos!C1273,"")</f>
        <v/>
      </c>
      <c r="D1273" s="28">
        <f>IFERROR(IF(AND(ISNUMBER(B1273),ISNUMBER(B1272),B1272&lt;&gt;0),B1273/B1272-1,""),"")</f>
        <v/>
      </c>
      <c r="E1273" s="28">
        <f>IFERROR(IF(AND(ISNUMBER(C1273),ISNUMBER(C1272),C1272&lt;&gt;0),C1273/C1272-1,""),"")</f>
        <v/>
      </c>
      <c r="F1273" s="28">
        <f>IFERROR(D1273-Dashboard!$B$4/252,"")</f>
        <v/>
      </c>
      <c r="G1273" s="28">
        <f>IFERROR(E1273-Dashboard!$B$4/252,"")</f>
        <v/>
      </c>
      <c r="H1273" s="8">
        <f>IFERROR(IF(ISNUMBER(B1273),MAX(B1273,IFERROR(H1272,B1273)),""),"")</f>
        <v/>
      </c>
      <c r="I1273" s="29">
        <f>IFERROR(IF(AND(ISNUMBER(B1273),ISNUMBER(H1273)),B1273/H1273-1,""),"")</f>
        <v/>
      </c>
      <c r="J1273" s="8">
        <f>IFERROR(IF(ISNUMBER(C1273),MAX(C1273,IFERROR(J1272,C1273)),""),"")</f>
        <v/>
      </c>
      <c r="K1273" s="29">
        <f>IFERROR(IF(AND(ISNUMBER(C1273),ISNUMBER(J1273)),C1273/J1273-1,""),"")</f>
        <v/>
      </c>
      <c r="L1273" s="28">
        <f>IFERROR(IF(AND(ISNUMBER(D1273),ISNUMBER(E1273)),D1273-E1273,""),"")</f>
        <v/>
      </c>
    </row>
    <row r="1274">
      <c r="A1274" s="7">
        <f>IFERROR(Datos!A1274,"")</f>
        <v/>
      </c>
      <c r="B1274" s="8">
        <f>IFERROR(Datos!B1274,"")</f>
        <v/>
      </c>
      <c r="C1274" s="8">
        <f>IFERROR(Datos!C1274,"")</f>
        <v/>
      </c>
      <c r="D1274" s="28">
        <f>IFERROR(IF(AND(ISNUMBER(B1274),ISNUMBER(B1273),B1273&lt;&gt;0),B1274/B1273-1,""),"")</f>
        <v/>
      </c>
      <c r="E1274" s="28">
        <f>IFERROR(IF(AND(ISNUMBER(C1274),ISNUMBER(C1273),C1273&lt;&gt;0),C1274/C1273-1,""),"")</f>
        <v/>
      </c>
      <c r="F1274" s="28">
        <f>IFERROR(D1274-Dashboard!$B$4/252,"")</f>
        <v/>
      </c>
      <c r="G1274" s="28">
        <f>IFERROR(E1274-Dashboard!$B$4/252,"")</f>
        <v/>
      </c>
      <c r="H1274" s="8">
        <f>IFERROR(IF(ISNUMBER(B1274),MAX(B1274,IFERROR(H1273,B1274)),""),"")</f>
        <v/>
      </c>
      <c r="I1274" s="29">
        <f>IFERROR(IF(AND(ISNUMBER(B1274),ISNUMBER(H1274)),B1274/H1274-1,""),"")</f>
        <v/>
      </c>
      <c r="J1274" s="8">
        <f>IFERROR(IF(ISNUMBER(C1274),MAX(C1274,IFERROR(J1273,C1274)),""),"")</f>
        <v/>
      </c>
      <c r="K1274" s="29">
        <f>IFERROR(IF(AND(ISNUMBER(C1274),ISNUMBER(J1274)),C1274/J1274-1,""),"")</f>
        <v/>
      </c>
      <c r="L1274" s="28">
        <f>IFERROR(IF(AND(ISNUMBER(D1274),ISNUMBER(E1274)),D1274-E1274,""),"")</f>
        <v/>
      </c>
    </row>
    <row r="1275">
      <c r="A1275" s="7">
        <f>IFERROR(Datos!A1275,"")</f>
        <v/>
      </c>
      <c r="B1275" s="8">
        <f>IFERROR(Datos!B1275,"")</f>
        <v/>
      </c>
      <c r="C1275" s="8">
        <f>IFERROR(Datos!C1275,"")</f>
        <v/>
      </c>
      <c r="D1275" s="28">
        <f>IFERROR(IF(AND(ISNUMBER(B1275),ISNUMBER(B1274),B1274&lt;&gt;0),B1275/B1274-1,""),"")</f>
        <v/>
      </c>
      <c r="E1275" s="28">
        <f>IFERROR(IF(AND(ISNUMBER(C1275),ISNUMBER(C1274),C1274&lt;&gt;0),C1275/C1274-1,""),"")</f>
        <v/>
      </c>
      <c r="F1275" s="28">
        <f>IFERROR(D1275-Dashboard!$B$4/252,"")</f>
        <v/>
      </c>
      <c r="G1275" s="28">
        <f>IFERROR(E1275-Dashboard!$B$4/252,"")</f>
        <v/>
      </c>
      <c r="H1275" s="8">
        <f>IFERROR(IF(ISNUMBER(B1275),MAX(B1275,IFERROR(H1274,B1275)),""),"")</f>
        <v/>
      </c>
      <c r="I1275" s="29">
        <f>IFERROR(IF(AND(ISNUMBER(B1275),ISNUMBER(H1275)),B1275/H1275-1,""),"")</f>
        <v/>
      </c>
      <c r="J1275" s="8">
        <f>IFERROR(IF(ISNUMBER(C1275),MAX(C1275,IFERROR(J1274,C1275)),""),"")</f>
        <v/>
      </c>
      <c r="K1275" s="29">
        <f>IFERROR(IF(AND(ISNUMBER(C1275),ISNUMBER(J1275)),C1275/J1275-1,""),"")</f>
        <v/>
      </c>
      <c r="L1275" s="28">
        <f>IFERROR(IF(AND(ISNUMBER(D1275),ISNUMBER(E1275)),D1275-E1275,""),"")</f>
        <v/>
      </c>
    </row>
    <row r="1276">
      <c r="A1276" s="7">
        <f>IFERROR(Datos!A1276,"")</f>
        <v/>
      </c>
      <c r="B1276" s="8">
        <f>IFERROR(Datos!B1276,"")</f>
        <v/>
      </c>
      <c r="C1276" s="8">
        <f>IFERROR(Datos!C1276,"")</f>
        <v/>
      </c>
      <c r="D1276" s="28">
        <f>IFERROR(IF(AND(ISNUMBER(B1276),ISNUMBER(B1275),B1275&lt;&gt;0),B1276/B1275-1,""),"")</f>
        <v/>
      </c>
      <c r="E1276" s="28">
        <f>IFERROR(IF(AND(ISNUMBER(C1276),ISNUMBER(C1275),C1275&lt;&gt;0),C1276/C1275-1,""),"")</f>
        <v/>
      </c>
      <c r="F1276" s="28">
        <f>IFERROR(D1276-Dashboard!$B$4/252,"")</f>
        <v/>
      </c>
      <c r="G1276" s="28">
        <f>IFERROR(E1276-Dashboard!$B$4/252,"")</f>
        <v/>
      </c>
      <c r="H1276" s="8">
        <f>IFERROR(IF(ISNUMBER(B1276),MAX(B1276,IFERROR(H1275,B1276)),""),"")</f>
        <v/>
      </c>
      <c r="I1276" s="29">
        <f>IFERROR(IF(AND(ISNUMBER(B1276),ISNUMBER(H1276)),B1276/H1276-1,""),"")</f>
        <v/>
      </c>
      <c r="J1276" s="8">
        <f>IFERROR(IF(ISNUMBER(C1276),MAX(C1276,IFERROR(J1275,C1276)),""),"")</f>
        <v/>
      </c>
      <c r="K1276" s="29">
        <f>IFERROR(IF(AND(ISNUMBER(C1276),ISNUMBER(J1276)),C1276/J1276-1,""),"")</f>
        <v/>
      </c>
      <c r="L1276" s="28">
        <f>IFERROR(IF(AND(ISNUMBER(D1276),ISNUMBER(E1276)),D1276-E1276,""),"")</f>
        <v/>
      </c>
    </row>
    <row r="1277">
      <c r="A1277" s="7">
        <f>IFERROR(Datos!A1277,"")</f>
        <v/>
      </c>
      <c r="B1277" s="8">
        <f>IFERROR(Datos!B1277,"")</f>
        <v/>
      </c>
      <c r="C1277" s="8">
        <f>IFERROR(Datos!C1277,"")</f>
        <v/>
      </c>
      <c r="D1277" s="28">
        <f>IFERROR(IF(AND(ISNUMBER(B1277),ISNUMBER(B1276),B1276&lt;&gt;0),B1277/B1276-1,""),"")</f>
        <v/>
      </c>
      <c r="E1277" s="28">
        <f>IFERROR(IF(AND(ISNUMBER(C1277),ISNUMBER(C1276),C1276&lt;&gt;0),C1277/C1276-1,""),"")</f>
        <v/>
      </c>
      <c r="F1277" s="28">
        <f>IFERROR(D1277-Dashboard!$B$4/252,"")</f>
        <v/>
      </c>
      <c r="G1277" s="28">
        <f>IFERROR(E1277-Dashboard!$B$4/252,"")</f>
        <v/>
      </c>
      <c r="H1277" s="8">
        <f>IFERROR(IF(ISNUMBER(B1277),MAX(B1277,IFERROR(H1276,B1277)),""),"")</f>
        <v/>
      </c>
      <c r="I1277" s="29">
        <f>IFERROR(IF(AND(ISNUMBER(B1277),ISNUMBER(H1277)),B1277/H1277-1,""),"")</f>
        <v/>
      </c>
      <c r="J1277" s="8">
        <f>IFERROR(IF(ISNUMBER(C1277),MAX(C1277,IFERROR(J1276,C1277)),""),"")</f>
        <v/>
      </c>
      <c r="K1277" s="29">
        <f>IFERROR(IF(AND(ISNUMBER(C1277),ISNUMBER(J1277)),C1277/J1277-1,""),"")</f>
        <v/>
      </c>
      <c r="L1277" s="28">
        <f>IFERROR(IF(AND(ISNUMBER(D1277),ISNUMBER(E1277)),D1277-E1277,""),"")</f>
        <v/>
      </c>
    </row>
    <row r="1278">
      <c r="A1278" s="7">
        <f>IFERROR(Datos!A1278,"")</f>
        <v/>
      </c>
      <c r="B1278" s="8">
        <f>IFERROR(Datos!B1278,"")</f>
        <v/>
      </c>
      <c r="C1278" s="8">
        <f>IFERROR(Datos!C1278,"")</f>
        <v/>
      </c>
      <c r="D1278" s="28">
        <f>IFERROR(IF(AND(ISNUMBER(B1278),ISNUMBER(B1277),B1277&lt;&gt;0),B1278/B1277-1,""),"")</f>
        <v/>
      </c>
      <c r="E1278" s="28">
        <f>IFERROR(IF(AND(ISNUMBER(C1278),ISNUMBER(C1277),C1277&lt;&gt;0),C1278/C1277-1,""),"")</f>
        <v/>
      </c>
      <c r="F1278" s="28">
        <f>IFERROR(D1278-Dashboard!$B$4/252,"")</f>
        <v/>
      </c>
      <c r="G1278" s="28">
        <f>IFERROR(E1278-Dashboard!$B$4/252,"")</f>
        <v/>
      </c>
      <c r="H1278" s="8">
        <f>IFERROR(IF(ISNUMBER(B1278),MAX(B1278,IFERROR(H1277,B1278)),""),"")</f>
        <v/>
      </c>
      <c r="I1278" s="29">
        <f>IFERROR(IF(AND(ISNUMBER(B1278),ISNUMBER(H1278)),B1278/H1278-1,""),"")</f>
        <v/>
      </c>
      <c r="J1278" s="8">
        <f>IFERROR(IF(ISNUMBER(C1278),MAX(C1278,IFERROR(J1277,C1278)),""),"")</f>
        <v/>
      </c>
      <c r="K1278" s="29">
        <f>IFERROR(IF(AND(ISNUMBER(C1278),ISNUMBER(J1278)),C1278/J1278-1,""),"")</f>
        <v/>
      </c>
      <c r="L1278" s="28">
        <f>IFERROR(IF(AND(ISNUMBER(D1278),ISNUMBER(E1278)),D1278-E1278,""),"")</f>
        <v/>
      </c>
    </row>
    <row r="1279">
      <c r="A1279" s="7">
        <f>IFERROR(Datos!A1279,"")</f>
        <v/>
      </c>
      <c r="B1279" s="8">
        <f>IFERROR(Datos!B1279,"")</f>
        <v/>
      </c>
      <c r="C1279" s="8">
        <f>IFERROR(Datos!C1279,"")</f>
        <v/>
      </c>
      <c r="D1279" s="28">
        <f>IFERROR(IF(AND(ISNUMBER(B1279),ISNUMBER(B1278),B1278&lt;&gt;0),B1279/B1278-1,""),"")</f>
        <v/>
      </c>
      <c r="E1279" s="28">
        <f>IFERROR(IF(AND(ISNUMBER(C1279),ISNUMBER(C1278),C1278&lt;&gt;0),C1279/C1278-1,""),"")</f>
        <v/>
      </c>
      <c r="F1279" s="28">
        <f>IFERROR(D1279-Dashboard!$B$4/252,"")</f>
        <v/>
      </c>
      <c r="G1279" s="28">
        <f>IFERROR(E1279-Dashboard!$B$4/252,"")</f>
        <v/>
      </c>
      <c r="H1279" s="8">
        <f>IFERROR(IF(ISNUMBER(B1279),MAX(B1279,IFERROR(H1278,B1279)),""),"")</f>
        <v/>
      </c>
      <c r="I1279" s="29">
        <f>IFERROR(IF(AND(ISNUMBER(B1279),ISNUMBER(H1279)),B1279/H1279-1,""),"")</f>
        <v/>
      </c>
      <c r="J1279" s="8">
        <f>IFERROR(IF(ISNUMBER(C1279),MAX(C1279,IFERROR(J1278,C1279)),""),"")</f>
        <v/>
      </c>
      <c r="K1279" s="29">
        <f>IFERROR(IF(AND(ISNUMBER(C1279),ISNUMBER(J1279)),C1279/J1279-1,""),"")</f>
        <v/>
      </c>
      <c r="L1279" s="28">
        <f>IFERROR(IF(AND(ISNUMBER(D1279),ISNUMBER(E1279)),D1279-E1279,""),"")</f>
        <v/>
      </c>
    </row>
    <row r="1280">
      <c r="A1280" s="7">
        <f>IFERROR(Datos!A1280,"")</f>
        <v/>
      </c>
      <c r="B1280" s="8">
        <f>IFERROR(Datos!B1280,"")</f>
        <v/>
      </c>
      <c r="C1280" s="8">
        <f>IFERROR(Datos!C1280,"")</f>
        <v/>
      </c>
      <c r="D1280" s="28">
        <f>IFERROR(IF(AND(ISNUMBER(B1280),ISNUMBER(B1279),B1279&lt;&gt;0),B1280/B1279-1,""),"")</f>
        <v/>
      </c>
      <c r="E1280" s="28">
        <f>IFERROR(IF(AND(ISNUMBER(C1280),ISNUMBER(C1279),C1279&lt;&gt;0),C1280/C1279-1,""),"")</f>
        <v/>
      </c>
      <c r="F1280" s="28">
        <f>IFERROR(D1280-Dashboard!$B$4/252,"")</f>
        <v/>
      </c>
      <c r="G1280" s="28">
        <f>IFERROR(E1280-Dashboard!$B$4/252,"")</f>
        <v/>
      </c>
      <c r="H1280" s="8">
        <f>IFERROR(IF(ISNUMBER(B1280),MAX(B1280,IFERROR(H1279,B1280)),""),"")</f>
        <v/>
      </c>
      <c r="I1280" s="29">
        <f>IFERROR(IF(AND(ISNUMBER(B1280),ISNUMBER(H1280)),B1280/H1280-1,""),"")</f>
        <v/>
      </c>
      <c r="J1280" s="8">
        <f>IFERROR(IF(ISNUMBER(C1280),MAX(C1280,IFERROR(J1279,C1280)),""),"")</f>
        <v/>
      </c>
      <c r="K1280" s="29">
        <f>IFERROR(IF(AND(ISNUMBER(C1280),ISNUMBER(J1280)),C1280/J1280-1,""),"")</f>
        <v/>
      </c>
      <c r="L1280" s="28">
        <f>IFERROR(IF(AND(ISNUMBER(D1280),ISNUMBER(E1280)),D1280-E1280,""),"")</f>
        <v/>
      </c>
    </row>
    <row r="1281">
      <c r="A1281" s="7">
        <f>IFERROR(Datos!A1281,"")</f>
        <v/>
      </c>
      <c r="B1281" s="8">
        <f>IFERROR(Datos!B1281,"")</f>
        <v/>
      </c>
      <c r="C1281" s="8">
        <f>IFERROR(Datos!C1281,"")</f>
        <v/>
      </c>
      <c r="D1281" s="28">
        <f>IFERROR(IF(AND(ISNUMBER(B1281),ISNUMBER(B1280),B1280&lt;&gt;0),B1281/B1280-1,""),"")</f>
        <v/>
      </c>
      <c r="E1281" s="28">
        <f>IFERROR(IF(AND(ISNUMBER(C1281),ISNUMBER(C1280),C1280&lt;&gt;0),C1281/C1280-1,""),"")</f>
        <v/>
      </c>
      <c r="F1281" s="28">
        <f>IFERROR(D1281-Dashboard!$B$4/252,"")</f>
        <v/>
      </c>
      <c r="G1281" s="28">
        <f>IFERROR(E1281-Dashboard!$B$4/252,"")</f>
        <v/>
      </c>
      <c r="H1281" s="8">
        <f>IFERROR(IF(ISNUMBER(B1281),MAX(B1281,IFERROR(H1280,B1281)),""),"")</f>
        <v/>
      </c>
      <c r="I1281" s="29">
        <f>IFERROR(IF(AND(ISNUMBER(B1281),ISNUMBER(H1281)),B1281/H1281-1,""),"")</f>
        <v/>
      </c>
      <c r="J1281" s="8">
        <f>IFERROR(IF(ISNUMBER(C1281),MAX(C1281,IFERROR(J1280,C1281)),""),"")</f>
        <v/>
      </c>
      <c r="K1281" s="29">
        <f>IFERROR(IF(AND(ISNUMBER(C1281),ISNUMBER(J1281)),C1281/J1281-1,""),"")</f>
        <v/>
      </c>
      <c r="L1281" s="28">
        <f>IFERROR(IF(AND(ISNUMBER(D1281),ISNUMBER(E1281)),D1281-E1281,""),"")</f>
        <v/>
      </c>
    </row>
    <row r="1282">
      <c r="A1282" s="7">
        <f>IFERROR(Datos!A1282,"")</f>
        <v/>
      </c>
      <c r="B1282" s="8">
        <f>IFERROR(Datos!B1282,"")</f>
        <v/>
      </c>
      <c r="C1282" s="8">
        <f>IFERROR(Datos!C1282,"")</f>
        <v/>
      </c>
      <c r="D1282" s="28">
        <f>IFERROR(IF(AND(ISNUMBER(B1282),ISNUMBER(B1281),B1281&lt;&gt;0),B1282/B1281-1,""),"")</f>
        <v/>
      </c>
      <c r="E1282" s="28">
        <f>IFERROR(IF(AND(ISNUMBER(C1282),ISNUMBER(C1281),C1281&lt;&gt;0),C1282/C1281-1,""),"")</f>
        <v/>
      </c>
      <c r="F1282" s="28">
        <f>IFERROR(D1282-Dashboard!$B$4/252,"")</f>
        <v/>
      </c>
      <c r="G1282" s="28">
        <f>IFERROR(E1282-Dashboard!$B$4/252,"")</f>
        <v/>
      </c>
      <c r="H1282" s="8">
        <f>IFERROR(IF(ISNUMBER(B1282),MAX(B1282,IFERROR(H1281,B1282)),""),"")</f>
        <v/>
      </c>
      <c r="I1282" s="29">
        <f>IFERROR(IF(AND(ISNUMBER(B1282),ISNUMBER(H1282)),B1282/H1282-1,""),"")</f>
        <v/>
      </c>
      <c r="J1282" s="8">
        <f>IFERROR(IF(ISNUMBER(C1282),MAX(C1282,IFERROR(J1281,C1282)),""),"")</f>
        <v/>
      </c>
      <c r="K1282" s="29">
        <f>IFERROR(IF(AND(ISNUMBER(C1282),ISNUMBER(J1282)),C1282/J1282-1,""),"")</f>
        <v/>
      </c>
      <c r="L1282" s="28">
        <f>IFERROR(IF(AND(ISNUMBER(D1282),ISNUMBER(E1282)),D1282-E1282,""),"")</f>
        <v/>
      </c>
    </row>
    <row r="1283">
      <c r="A1283" s="7">
        <f>IFERROR(Datos!A1283,"")</f>
        <v/>
      </c>
      <c r="B1283" s="8">
        <f>IFERROR(Datos!B1283,"")</f>
        <v/>
      </c>
      <c r="C1283" s="8">
        <f>IFERROR(Datos!C1283,"")</f>
        <v/>
      </c>
      <c r="D1283" s="28">
        <f>IFERROR(IF(AND(ISNUMBER(B1283),ISNUMBER(B1282),B1282&lt;&gt;0),B1283/B1282-1,""),"")</f>
        <v/>
      </c>
      <c r="E1283" s="28">
        <f>IFERROR(IF(AND(ISNUMBER(C1283),ISNUMBER(C1282),C1282&lt;&gt;0),C1283/C1282-1,""),"")</f>
        <v/>
      </c>
      <c r="F1283" s="28">
        <f>IFERROR(D1283-Dashboard!$B$4/252,"")</f>
        <v/>
      </c>
      <c r="G1283" s="28">
        <f>IFERROR(E1283-Dashboard!$B$4/252,"")</f>
        <v/>
      </c>
      <c r="H1283" s="8">
        <f>IFERROR(IF(ISNUMBER(B1283),MAX(B1283,IFERROR(H1282,B1283)),""),"")</f>
        <v/>
      </c>
      <c r="I1283" s="29">
        <f>IFERROR(IF(AND(ISNUMBER(B1283),ISNUMBER(H1283)),B1283/H1283-1,""),"")</f>
        <v/>
      </c>
      <c r="J1283" s="8">
        <f>IFERROR(IF(ISNUMBER(C1283),MAX(C1283,IFERROR(J1282,C1283)),""),"")</f>
        <v/>
      </c>
      <c r="K1283" s="29">
        <f>IFERROR(IF(AND(ISNUMBER(C1283),ISNUMBER(J1283)),C1283/J1283-1,""),"")</f>
        <v/>
      </c>
      <c r="L1283" s="28">
        <f>IFERROR(IF(AND(ISNUMBER(D1283),ISNUMBER(E1283)),D1283-E1283,""),"")</f>
        <v/>
      </c>
    </row>
    <row r="1284">
      <c r="A1284" s="7">
        <f>IFERROR(Datos!A1284,"")</f>
        <v/>
      </c>
      <c r="B1284" s="8">
        <f>IFERROR(Datos!B1284,"")</f>
        <v/>
      </c>
      <c r="C1284" s="8">
        <f>IFERROR(Datos!C1284,"")</f>
        <v/>
      </c>
      <c r="D1284" s="28">
        <f>IFERROR(IF(AND(ISNUMBER(B1284),ISNUMBER(B1283),B1283&lt;&gt;0),B1284/B1283-1,""),"")</f>
        <v/>
      </c>
      <c r="E1284" s="28">
        <f>IFERROR(IF(AND(ISNUMBER(C1284),ISNUMBER(C1283),C1283&lt;&gt;0),C1284/C1283-1,""),"")</f>
        <v/>
      </c>
      <c r="F1284" s="28">
        <f>IFERROR(D1284-Dashboard!$B$4/252,"")</f>
        <v/>
      </c>
      <c r="G1284" s="28">
        <f>IFERROR(E1284-Dashboard!$B$4/252,"")</f>
        <v/>
      </c>
      <c r="H1284" s="8">
        <f>IFERROR(IF(ISNUMBER(B1284),MAX(B1284,IFERROR(H1283,B1284)),""),"")</f>
        <v/>
      </c>
      <c r="I1284" s="29">
        <f>IFERROR(IF(AND(ISNUMBER(B1284),ISNUMBER(H1284)),B1284/H1284-1,""),"")</f>
        <v/>
      </c>
      <c r="J1284" s="8">
        <f>IFERROR(IF(ISNUMBER(C1284),MAX(C1284,IFERROR(J1283,C1284)),""),"")</f>
        <v/>
      </c>
      <c r="K1284" s="29">
        <f>IFERROR(IF(AND(ISNUMBER(C1284),ISNUMBER(J1284)),C1284/J1284-1,""),"")</f>
        <v/>
      </c>
      <c r="L1284" s="28">
        <f>IFERROR(IF(AND(ISNUMBER(D1284),ISNUMBER(E1284)),D1284-E1284,""),"")</f>
        <v/>
      </c>
    </row>
    <row r="1285">
      <c r="A1285" s="7">
        <f>IFERROR(Datos!A1285,"")</f>
        <v/>
      </c>
      <c r="B1285" s="8">
        <f>IFERROR(Datos!B1285,"")</f>
        <v/>
      </c>
      <c r="C1285" s="8">
        <f>IFERROR(Datos!C1285,"")</f>
        <v/>
      </c>
      <c r="D1285" s="28">
        <f>IFERROR(IF(AND(ISNUMBER(B1285),ISNUMBER(B1284),B1284&lt;&gt;0),B1285/B1284-1,""),"")</f>
        <v/>
      </c>
      <c r="E1285" s="28">
        <f>IFERROR(IF(AND(ISNUMBER(C1285),ISNUMBER(C1284),C1284&lt;&gt;0),C1285/C1284-1,""),"")</f>
        <v/>
      </c>
      <c r="F1285" s="28">
        <f>IFERROR(D1285-Dashboard!$B$4/252,"")</f>
        <v/>
      </c>
      <c r="G1285" s="28">
        <f>IFERROR(E1285-Dashboard!$B$4/252,"")</f>
        <v/>
      </c>
      <c r="H1285" s="8">
        <f>IFERROR(IF(ISNUMBER(B1285),MAX(B1285,IFERROR(H1284,B1285)),""),"")</f>
        <v/>
      </c>
      <c r="I1285" s="29">
        <f>IFERROR(IF(AND(ISNUMBER(B1285),ISNUMBER(H1285)),B1285/H1285-1,""),"")</f>
        <v/>
      </c>
      <c r="J1285" s="8">
        <f>IFERROR(IF(ISNUMBER(C1285),MAX(C1285,IFERROR(J1284,C1285)),""),"")</f>
        <v/>
      </c>
      <c r="K1285" s="29">
        <f>IFERROR(IF(AND(ISNUMBER(C1285),ISNUMBER(J1285)),C1285/J1285-1,""),"")</f>
        <v/>
      </c>
      <c r="L1285" s="28">
        <f>IFERROR(IF(AND(ISNUMBER(D1285),ISNUMBER(E1285)),D1285-E1285,""),"")</f>
        <v/>
      </c>
    </row>
    <row r="1286">
      <c r="A1286" s="7">
        <f>IFERROR(Datos!A1286,"")</f>
        <v/>
      </c>
      <c r="B1286" s="8">
        <f>IFERROR(Datos!B1286,"")</f>
        <v/>
      </c>
      <c r="C1286" s="8">
        <f>IFERROR(Datos!C1286,"")</f>
        <v/>
      </c>
      <c r="D1286" s="28">
        <f>IFERROR(IF(AND(ISNUMBER(B1286),ISNUMBER(B1285),B1285&lt;&gt;0),B1286/B1285-1,""),"")</f>
        <v/>
      </c>
      <c r="E1286" s="28">
        <f>IFERROR(IF(AND(ISNUMBER(C1286),ISNUMBER(C1285),C1285&lt;&gt;0),C1286/C1285-1,""),"")</f>
        <v/>
      </c>
      <c r="F1286" s="28">
        <f>IFERROR(D1286-Dashboard!$B$4/252,"")</f>
        <v/>
      </c>
      <c r="G1286" s="28">
        <f>IFERROR(E1286-Dashboard!$B$4/252,"")</f>
        <v/>
      </c>
      <c r="H1286" s="8">
        <f>IFERROR(IF(ISNUMBER(B1286),MAX(B1286,IFERROR(H1285,B1286)),""),"")</f>
        <v/>
      </c>
      <c r="I1286" s="29">
        <f>IFERROR(IF(AND(ISNUMBER(B1286),ISNUMBER(H1286)),B1286/H1286-1,""),"")</f>
        <v/>
      </c>
      <c r="J1286" s="8">
        <f>IFERROR(IF(ISNUMBER(C1286),MAX(C1286,IFERROR(J1285,C1286)),""),"")</f>
        <v/>
      </c>
      <c r="K1286" s="29">
        <f>IFERROR(IF(AND(ISNUMBER(C1286),ISNUMBER(J1286)),C1286/J1286-1,""),"")</f>
        <v/>
      </c>
      <c r="L1286" s="28">
        <f>IFERROR(IF(AND(ISNUMBER(D1286),ISNUMBER(E1286)),D1286-E1286,""),"")</f>
        <v/>
      </c>
    </row>
    <row r="1287">
      <c r="A1287" s="7">
        <f>IFERROR(Datos!A1287,"")</f>
        <v/>
      </c>
      <c r="B1287" s="8">
        <f>IFERROR(Datos!B1287,"")</f>
        <v/>
      </c>
      <c r="C1287" s="8">
        <f>IFERROR(Datos!C1287,"")</f>
        <v/>
      </c>
      <c r="D1287" s="28">
        <f>IFERROR(IF(AND(ISNUMBER(B1287),ISNUMBER(B1286),B1286&lt;&gt;0),B1287/B1286-1,""),"")</f>
        <v/>
      </c>
      <c r="E1287" s="28">
        <f>IFERROR(IF(AND(ISNUMBER(C1287),ISNUMBER(C1286),C1286&lt;&gt;0),C1287/C1286-1,""),"")</f>
        <v/>
      </c>
      <c r="F1287" s="28">
        <f>IFERROR(D1287-Dashboard!$B$4/252,"")</f>
        <v/>
      </c>
      <c r="G1287" s="28">
        <f>IFERROR(E1287-Dashboard!$B$4/252,"")</f>
        <v/>
      </c>
      <c r="H1287" s="8">
        <f>IFERROR(IF(ISNUMBER(B1287),MAX(B1287,IFERROR(H1286,B1287)),""),"")</f>
        <v/>
      </c>
      <c r="I1287" s="29">
        <f>IFERROR(IF(AND(ISNUMBER(B1287),ISNUMBER(H1287)),B1287/H1287-1,""),"")</f>
        <v/>
      </c>
      <c r="J1287" s="8">
        <f>IFERROR(IF(ISNUMBER(C1287),MAX(C1287,IFERROR(J1286,C1287)),""),"")</f>
        <v/>
      </c>
      <c r="K1287" s="29">
        <f>IFERROR(IF(AND(ISNUMBER(C1287),ISNUMBER(J1287)),C1287/J1287-1,""),"")</f>
        <v/>
      </c>
      <c r="L1287" s="28">
        <f>IFERROR(IF(AND(ISNUMBER(D1287),ISNUMBER(E1287)),D1287-E1287,""),"")</f>
        <v/>
      </c>
    </row>
    <row r="1288">
      <c r="A1288" s="7">
        <f>IFERROR(Datos!A1288,"")</f>
        <v/>
      </c>
      <c r="B1288" s="8">
        <f>IFERROR(Datos!B1288,"")</f>
        <v/>
      </c>
      <c r="C1288" s="8">
        <f>IFERROR(Datos!C1288,"")</f>
        <v/>
      </c>
      <c r="D1288" s="28">
        <f>IFERROR(IF(AND(ISNUMBER(B1288),ISNUMBER(B1287),B1287&lt;&gt;0),B1288/B1287-1,""),"")</f>
        <v/>
      </c>
      <c r="E1288" s="28">
        <f>IFERROR(IF(AND(ISNUMBER(C1288),ISNUMBER(C1287),C1287&lt;&gt;0),C1288/C1287-1,""),"")</f>
        <v/>
      </c>
      <c r="F1288" s="28">
        <f>IFERROR(D1288-Dashboard!$B$4/252,"")</f>
        <v/>
      </c>
      <c r="G1288" s="28">
        <f>IFERROR(E1288-Dashboard!$B$4/252,"")</f>
        <v/>
      </c>
      <c r="H1288" s="8">
        <f>IFERROR(IF(ISNUMBER(B1288),MAX(B1288,IFERROR(H1287,B1288)),""),"")</f>
        <v/>
      </c>
      <c r="I1288" s="29">
        <f>IFERROR(IF(AND(ISNUMBER(B1288),ISNUMBER(H1288)),B1288/H1288-1,""),"")</f>
        <v/>
      </c>
      <c r="J1288" s="8">
        <f>IFERROR(IF(ISNUMBER(C1288),MAX(C1288,IFERROR(J1287,C1288)),""),"")</f>
        <v/>
      </c>
      <c r="K1288" s="29">
        <f>IFERROR(IF(AND(ISNUMBER(C1288),ISNUMBER(J1288)),C1288/J1288-1,""),"")</f>
        <v/>
      </c>
      <c r="L1288" s="28">
        <f>IFERROR(IF(AND(ISNUMBER(D1288),ISNUMBER(E1288)),D1288-E1288,""),"")</f>
        <v/>
      </c>
    </row>
    <row r="1289">
      <c r="A1289" s="7">
        <f>IFERROR(Datos!A1289,"")</f>
        <v/>
      </c>
      <c r="B1289" s="8">
        <f>IFERROR(Datos!B1289,"")</f>
        <v/>
      </c>
      <c r="C1289" s="8">
        <f>IFERROR(Datos!C1289,"")</f>
        <v/>
      </c>
      <c r="D1289" s="28">
        <f>IFERROR(IF(AND(ISNUMBER(B1289),ISNUMBER(B1288),B1288&lt;&gt;0),B1289/B1288-1,""),"")</f>
        <v/>
      </c>
      <c r="E1289" s="28">
        <f>IFERROR(IF(AND(ISNUMBER(C1289),ISNUMBER(C1288),C1288&lt;&gt;0),C1289/C1288-1,""),"")</f>
        <v/>
      </c>
      <c r="F1289" s="28">
        <f>IFERROR(D1289-Dashboard!$B$4/252,"")</f>
        <v/>
      </c>
      <c r="G1289" s="28">
        <f>IFERROR(E1289-Dashboard!$B$4/252,"")</f>
        <v/>
      </c>
      <c r="H1289" s="8">
        <f>IFERROR(IF(ISNUMBER(B1289),MAX(B1289,IFERROR(H1288,B1289)),""),"")</f>
        <v/>
      </c>
      <c r="I1289" s="29">
        <f>IFERROR(IF(AND(ISNUMBER(B1289),ISNUMBER(H1289)),B1289/H1289-1,""),"")</f>
        <v/>
      </c>
      <c r="J1289" s="8">
        <f>IFERROR(IF(ISNUMBER(C1289),MAX(C1289,IFERROR(J1288,C1289)),""),"")</f>
        <v/>
      </c>
      <c r="K1289" s="29">
        <f>IFERROR(IF(AND(ISNUMBER(C1289),ISNUMBER(J1289)),C1289/J1289-1,""),"")</f>
        <v/>
      </c>
      <c r="L1289" s="28">
        <f>IFERROR(IF(AND(ISNUMBER(D1289),ISNUMBER(E1289)),D1289-E1289,""),"")</f>
        <v/>
      </c>
    </row>
    <row r="1290">
      <c r="A1290" s="7">
        <f>IFERROR(Datos!A1290,"")</f>
        <v/>
      </c>
      <c r="B1290" s="8">
        <f>IFERROR(Datos!B1290,"")</f>
        <v/>
      </c>
      <c r="C1290" s="8">
        <f>IFERROR(Datos!C1290,"")</f>
        <v/>
      </c>
      <c r="D1290" s="28">
        <f>IFERROR(IF(AND(ISNUMBER(B1290),ISNUMBER(B1289),B1289&lt;&gt;0),B1290/B1289-1,""),"")</f>
        <v/>
      </c>
      <c r="E1290" s="28">
        <f>IFERROR(IF(AND(ISNUMBER(C1290),ISNUMBER(C1289),C1289&lt;&gt;0),C1290/C1289-1,""),"")</f>
        <v/>
      </c>
      <c r="F1290" s="28">
        <f>IFERROR(D1290-Dashboard!$B$4/252,"")</f>
        <v/>
      </c>
      <c r="G1290" s="28">
        <f>IFERROR(E1290-Dashboard!$B$4/252,"")</f>
        <v/>
      </c>
      <c r="H1290" s="8">
        <f>IFERROR(IF(ISNUMBER(B1290),MAX(B1290,IFERROR(H1289,B1290)),""),"")</f>
        <v/>
      </c>
      <c r="I1290" s="29">
        <f>IFERROR(IF(AND(ISNUMBER(B1290),ISNUMBER(H1290)),B1290/H1290-1,""),"")</f>
        <v/>
      </c>
      <c r="J1290" s="8">
        <f>IFERROR(IF(ISNUMBER(C1290),MAX(C1290,IFERROR(J1289,C1290)),""),"")</f>
        <v/>
      </c>
      <c r="K1290" s="29">
        <f>IFERROR(IF(AND(ISNUMBER(C1290),ISNUMBER(J1290)),C1290/J1290-1,""),"")</f>
        <v/>
      </c>
      <c r="L1290" s="28">
        <f>IFERROR(IF(AND(ISNUMBER(D1290),ISNUMBER(E1290)),D1290-E1290,""),"")</f>
        <v/>
      </c>
    </row>
    <row r="1291">
      <c r="A1291" s="7">
        <f>IFERROR(Datos!A1291,"")</f>
        <v/>
      </c>
      <c r="B1291" s="8">
        <f>IFERROR(Datos!B1291,"")</f>
        <v/>
      </c>
      <c r="C1291" s="8">
        <f>IFERROR(Datos!C1291,"")</f>
        <v/>
      </c>
      <c r="D1291" s="28">
        <f>IFERROR(IF(AND(ISNUMBER(B1291),ISNUMBER(B1290),B1290&lt;&gt;0),B1291/B1290-1,""),"")</f>
        <v/>
      </c>
      <c r="E1291" s="28">
        <f>IFERROR(IF(AND(ISNUMBER(C1291),ISNUMBER(C1290),C1290&lt;&gt;0),C1291/C1290-1,""),"")</f>
        <v/>
      </c>
      <c r="F1291" s="28">
        <f>IFERROR(D1291-Dashboard!$B$4/252,"")</f>
        <v/>
      </c>
      <c r="G1291" s="28">
        <f>IFERROR(E1291-Dashboard!$B$4/252,"")</f>
        <v/>
      </c>
      <c r="H1291" s="8">
        <f>IFERROR(IF(ISNUMBER(B1291),MAX(B1291,IFERROR(H1290,B1291)),""),"")</f>
        <v/>
      </c>
      <c r="I1291" s="29">
        <f>IFERROR(IF(AND(ISNUMBER(B1291),ISNUMBER(H1291)),B1291/H1291-1,""),"")</f>
        <v/>
      </c>
      <c r="J1291" s="8">
        <f>IFERROR(IF(ISNUMBER(C1291),MAX(C1291,IFERROR(J1290,C1291)),""),"")</f>
        <v/>
      </c>
      <c r="K1291" s="29">
        <f>IFERROR(IF(AND(ISNUMBER(C1291),ISNUMBER(J1291)),C1291/J1291-1,""),"")</f>
        <v/>
      </c>
      <c r="L1291" s="28">
        <f>IFERROR(IF(AND(ISNUMBER(D1291),ISNUMBER(E1291)),D1291-E1291,""),"")</f>
        <v/>
      </c>
    </row>
    <row r="1292">
      <c r="A1292" s="7">
        <f>IFERROR(Datos!A1292,"")</f>
        <v/>
      </c>
      <c r="B1292" s="8">
        <f>IFERROR(Datos!B1292,"")</f>
        <v/>
      </c>
      <c r="C1292" s="8">
        <f>IFERROR(Datos!C1292,"")</f>
        <v/>
      </c>
      <c r="D1292" s="28">
        <f>IFERROR(IF(AND(ISNUMBER(B1292),ISNUMBER(B1291),B1291&lt;&gt;0),B1292/B1291-1,""),"")</f>
        <v/>
      </c>
      <c r="E1292" s="28">
        <f>IFERROR(IF(AND(ISNUMBER(C1292),ISNUMBER(C1291),C1291&lt;&gt;0),C1292/C1291-1,""),"")</f>
        <v/>
      </c>
      <c r="F1292" s="28">
        <f>IFERROR(D1292-Dashboard!$B$4/252,"")</f>
        <v/>
      </c>
      <c r="G1292" s="28">
        <f>IFERROR(E1292-Dashboard!$B$4/252,"")</f>
        <v/>
      </c>
      <c r="H1292" s="8">
        <f>IFERROR(IF(ISNUMBER(B1292),MAX(B1292,IFERROR(H1291,B1292)),""),"")</f>
        <v/>
      </c>
      <c r="I1292" s="29">
        <f>IFERROR(IF(AND(ISNUMBER(B1292),ISNUMBER(H1292)),B1292/H1292-1,""),"")</f>
        <v/>
      </c>
      <c r="J1292" s="8">
        <f>IFERROR(IF(ISNUMBER(C1292),MAX(C1292,IFERROR(J1291,C1292)),""),"")</f>
        <v/>
      </c>
      <c r="K1292" s="29">
        <f>IFERROR(IF(AND(ISNUMBER(C1292),ISNUMBER(J1292)),C1292/J1292-1,""),"")</f>
        <v/>
      </c>
      <c r="L1292" s="28">
        <f>IFERROR(IF(AND(ISNUMBER(D1292),ISNUMBER(E1292)),D1292-E1292,""),"")</f>
        <v/>
      </c>
    </row>
    <row r="1293">
      <c r="A1293" s="7">
        <f>IFERROR(Datos!A1293,"")</f>
        <v/>
      </c>
      <c r="B1293" s="8">
        <f>IFERROR(Datos!B1293,"")</f>
        <v/>
      </c>
      <c r="C1293" s="8">
        <f>IFERROR(Datos!C1293,"")</f>
        <v/>
      </c>
      <c r="D1293" s="28">
        <f>IFERROR(IF(AND(ISNUMBER(B1293),ISNUMBER(B1292),B1292&lt;&gt;0),B1293/B1292-1,""),"")</f>
        <v/>
      </c>
      <c r="E1293" s="28">
        <f>IFERROR(IF(AND(ISNUMBER(C1293),ISNUMBER(C1292),C1292&lt;&gt;0),C1293/C1292-1,""),"")</f>
        <v/>
      </c>
      <c r="F1293" s="28">
        <f>IFERROR(D1293-Dashboard!$B$4/252,"")</f>
        <v/>
      </c>
      <c r="G1293" s="28">
        <f>IFERROR(E1293-Dashboard!$B$4/252,"")</f>
        <v/>
      </c>
      <c r="H1293" s="8">
        <f>IFERROR(IF(ISNUMBER(B1293),MAX(B1293,IFERROR(H1292,B1293)),""),"")</f>
        <v/>
      </c>
      <c r="I1293" s="29">
        <f>IFERROR(IF(AND(ISNUMBER(B1293),ISNUMBER(H1293)),B1293/H1293-1,""),"")</f>
        <v/>
      </c>
      <c r="J1293" s="8">
        <f>IFERROR(IF(ISNUMBER(C1293),MAX(C1293,IFERROR(J1292,C1293)),""),"")</f>
        <v/>
      </c>
      <c r="K1293" s="29">
        <f>IFERROR(IF(AND(ISNUMBER(C1293),ISNUMBER(J1293)),C1293/J1293-1,""),"")</f>
        <v/>
      </c>
      <c r="L1293" s="28">
        <f>IFERROR(IF(AND(ISNUMBER(D1293),ISNUMBER(E1293)),D1293-E1293,""),"")</f>
        <v/>
      </c>
    </row>
    <row r="1294">
      <c r="A1294" s="7">
        <f>IFERROR(Datos!A1294,"")</f>
        <v/>
      </c>
      <c r="B1294" s="8">
        <f>IFERROR(Datos!B1294,"")</f>
        <v/>
      </c>
      <c r="C1294" s="8">
        <f>IFERROR(Datos!C1294,"")</f>
        <v/>
      </c>
      <c r="D1294" s="28">
        <f>IFERROR(IF(AND(ISNUMBER(B1294),ISNUMBER(B1293),B1293&lt;&gt;0),B1294/B1293-1,""),"")</f>
        <v/>
      </c>
      <c r="E1294" s="28">
        <f>IFERROR(IF(AND(ISNUMBER(C1294),ISNUMBER(C1293),C1293&lt;&gt;0),C1294/C1293-1,""),"")</f>
        <v/>
      </c>
      <c r="F1294" s="28">
        <f>IFERROR(D1294-Dashboard!$B$4/252,"")</f>
        <v/>
      </c>
      <c r="G1294" s="28">
        <f>IFERROR(E1294-Dashboard!$B$4/252,"")</f>
        <v/>
      </c>
      <c r="H1294" s="8">
        <f>IFERROR(IF(ISNUMBER(B1294),MAX(B1294,IFERROR(H1293,B1294)),""),"")</f>
        <v/>
      </c>
      <c r="I1294" s="29">
        <f>IFERROR(IF(AND(ISNUMBER(B1294),ISNUMBER(H1294)),B1294/H1294-1,""),"")</f>
        <v/>
      </c>
      <c r="J1294" s="8">
        <f>IFERROR(IF(ISNUMBER(C1294),MAX(C1294,IFERROR(J1293,C1294)),""),"")</f>
        <v/>
      </c>
      <c r="K1294" s="29">
        <f>IFERROR(IF(AND(ISNUMBER(C1294),ISNUMBER(J1294)),C1294/J1294-1,""),"")</f>
        <v/>
      </c>
      <c r="L1294" s="28">
        <f>IFERROR(IF(AND(ISNUMBER(D1294),ISNUMBER(E1294)),D1294-E1294,""),"")</f>
        <v/>
      </c>
    </row>
    <row r="1295">
      <c r="A1295" s="7">
        <f>IFERROR(Datos!A1295,"")</f>
        <v/>
      </c>
      <c r="B1295" s="8">
        <f>IFERROR(Datos!B1295,"")</f>
        <v/>
      </c>
      <c r="C1295" s="8">
        <f>IFERROR(Datos!C1295,"")</f>
        <v/>
      </c>
      <c r="D1295" s="28">
        <f>IFERROR(IF(AND(ISNUMBER(B1295),ISNUMBER(B1294),B1294&lt;&gt;0),B1295/B1294-1,""),"")</f>
        <v/>
      </c>
      <c r="E1295" s="28">
        <f>IFERROR(IF(AND(ISNUMBER(C1295),ISNUMBER(C1294),C1294&lt;&gt;0),C1295/C1294-1,""),"")</f>
        <v/>
      </c>
      <c r="F1295" s="28">
        <f>IFERROR(D1295-Dashboard!$B$4/252,"")</f>
        <v/>
      </c>
      <c r="G1295" s="28">
        <f>IFERROR(E1295-Dashboard!$B$4/252,"")</f>
        <v/>
      </c>
      <c r="H1295" s="8">
        <f>IFERROR(IF(ISNUMBER(B1295),MAX(B1295,IFERROR(H1294,B1295)),""),"")</f>
        <v/>
      </c>
      <c r="I1295" s="29">
        <f>IFERROR(IF(AND(ISNUMBER(B1295),ISNUMBER(H1295)),B1295/H1295-1,""),"")</f>
        <v/>
      </c>
      <c r="J1295" s="8">
        <f>IFERROR(IF(ISNUMBER(C1295),MAX(C1295,IFERROR(J1294,C1295)),""),"")</f>
        <v/>
      </c>
      <c r="K1295" s="29">
        <f>IFERROR(IF(AND(ISNUMBER(C1295),ISNUMBER(J1295)),C1295/J1295-1,""),"")</f>
        <v/>
      </c>
      <c r="L1295" s="28">
        <f>IFERROR(IF(AND(ISNUMBER(D1295),ISNUMBER(E1295)),D1295-E1295,""),"")</f>
        <v/>
      </c>
    </row>
    <row r="1296">
      <c r="A1296" s="7">
        <f>IFERROR(Datos!A1296,"")</f>
        <v/>
      </c>
      <c r="B1296" s="8">
        <f>IFERROR(Datos!B1296,"")</f>
        <v/>
      </c>
      <c r="C1296" s="8">
        <f>IFERROR(Datos!C1296,"")</f>
        <v/>
      </c>
      <c r="D1296" s="28">
        <f>IFERROR(IF(AND(ISNUMBER(B1296),ISNUMBER(B1295),B1295&lt;&gt;0),B1296/B1295-1,""),"")</f>
        <v/>
      </c>
      <c r="E1296" s="28">
        <f>IFERROR(IF(AND(ISNUMBER(C1296),ISNUMBER(C1295),C1295&lt;&gt;0),C1296/C1295-1,""),"")</f>
        <v/>
      </c>
      <c r="F1296" s="28">
        <f>IFERROR(D1296-Dashboard!$B$4/252,"")</f>
        <v/>
      </c>
      <c r="G1296" s="28">
        <f>IFERROR(E1296-Dashboard!$B$4/252,"")</f>
        <v/>
      </c>
      <c r="H1296" s="8">
        <f>IFERROR(IF(ISNUMBER(B1296),MAX(B1296,IFERROR(H1295,B1296)),""),"")</f>
        <v/>
      </c>
      <c r="I1296" s="29">
        <f>IFERROR(IF(AND(ISNUMBER(B1296),ISNUMBER(H1296)),B1296/H1296-1,""),"")</f>
        <v/>
      </c>
      <c r="J1296" s="8">
        <f>IFERROR(IF(ISNUMBER(C1296),MAX(C1296,IFERROR(J1295,C1296)),""),"")</f>
        <v/>
      </c>
      <c r="K1296" s="29">
        <f>IFERROR(IF(AND(ISNUMBER(C1296),ISNUMBER(J1296)),C1296/J1296-1,""),"")</f>
        <v/>
      </c>
      <c r="L1296" s="28">
        <f>IFERROR(IF(AND(ISNUMBER(D1296),ISNUMBER(E1296)),D1296-E1296,""),"")</f>
        <v/>
      </c>
    </row>
    <row r="1297">
      <c r="A1297" s="7">
        <f>IFERROR(Datos!A1297,"")</f>
        <v/>
      </c>
      <c r="B1297" s="8">
        <f>IFERROR(Datos!B1297,"")</f>
        <v/>
      </c>
      <c r="C1297" s="8">
        <f>IFERROR(Datos!C1297,"")</f>
        <v/>
      </c>
      <c r="D1297" s="28">
        <f>IFERROR(IF(AND(ISNUMBER(B1297),ISNUMBER(B1296),B1296&lt;&gt;0),B1297/B1296-1,""),"")</f>
        <v/>
      </c>
      <c r="E1297" s="28">
        <f>IFERROR(IF(AND(ISNUMBER(C1297),ISNUMBER(C1296),C1296&lt;&gt;0),C1297/C1296-1,""),"")</f>
        <v/>
      </c>
      <c r="F1297" s="28">
        <f>IFERROR(D1297-Dashboard!$B$4/252,"")</f>
        <v/>
      </c>
      <c r="G1297" s="28">
        <f>IFERROR(E1297-Dashboard!$B$4/252,"")</f>
        <v/>
      </c>
      <c r="H1297" s="8">
        <f>IFERROR(IF(ISNUMBER(B1297),MAX(B1297,IFERROR(H1296,B1297)),""),"")</f>
        <v/>
      </c>
      <c r="I1297" s="29">
        <f>IFERROR(IF(AND(ISNUMBER(B1297),ISNUMBER(H1297)),B1297/H1297-1,""),"")</f>
        <v/>
      </c>
      <c r="J1297" s="8">
        <f>IFERROR(IF(ISNUMBER(C1297),MAX(C1297,IFERROR(J1296,C1297)),""),"")</f>
        <v/>
      </c>
      <c r="K1297" s="29">
        <f>IFERROR(IF(AND(ISNUMBER(C1297),ISNUMBER(J1297)),C1297/J1297-1,""),"")</f>
        <v/>
      </c>
      <c r="L1297" s="28">
        <f>IFERROR(IF(AND(ISNUMBER(D1297),ISNUMBER(E1297)),D1297-E1297,""),"")</f>
        <v/>
      </c>
    </row>
    <row r="1298">
      <c r="A1298" s="7">
        <f>IFERROR(Datos!A1298,"")</f>
        <v/>
      </c>
      <c r="B1298" s="8">
        <f>IFERROR(Datos!B1298,"")</f>
        <v/>
      </c>
      <c r="C1298" s="8">
        <f>IFERROR(Datos!C1298,"")</f>
        <v/>
      </c>
      <c r="D1298" s="28">
        <f>IFERROR(IF(AND(ISNUMBER(B1298),ISNUMBER(B1297),B1297&lt;&gt;0),B1298/B1297-1,""),"")</f>
        <v/>
      </c>
      <c r="E1298" s="28">
        <f>IFERROR(IF(AND(ISNUMBER(C1298),ISNUMBER(C1297),C1297&lt;&gt;0),C1298/C1297-1,""),"")</f>
        <v/>
      </c>
      <c r="F1298" s="28">
        <f>IFERROR(D1298-Dashboard!$B$4/252,"")</f>
        <v/>
      </c>
      <c r="G1298" s="28">
        <f>IFERROR(E1298-Dashboard!$B$4/252,"")</f>
        <v/>
      </c>
      <c r="H1298" s="8">
        <f>IFERROR(IF(ISNUMBER(B1298),MAX(B1298,IFERROR(H1297,B1298)),""),"")</f>
        <v/>
      </c>
      <c r="I1298" s="29">
        <f>IFERROR(IF(AND(ISNUMBER(B1298),ISNUMBER(H1298)),B1298/H1298-1,""),"")</f>
        <v/>
      </c>
      <c r="J1298" s="8">
        <f>IFERROR(IF(ISNUMBER(C1298),MAX(C1298,IFERROR(J1297,C1298)),""),"")</f>
        <v/>
      </c>
      <c r="K1298" s="29">
        <f>IFERROR(IF(AND(ISNUMBER(C1298),ISNUMBER(J1298)),C1298/J1298-1,""),"")</f>
        <v/>
      </c>
      <c r="L1298" s="28">
        <f>IFERROR(IF(AND(ISNUMBER(D1298),ISNUMBER(E1298)),D1298-E1298,""),"")</f>
        <v/>
      </c>
    </row>
    <row r="1299">
      <c r="A1299" s="7">
        <f>IFERROR(Datos!A1299,"")</f>
        <v/>
      </c>
      <c r="B1299" s="8">
        <f>IFERROR(Datos!B1299,"")</f>
        <v/>
      </c>
      <c r="C1299" s="8">
        <f>IFERROR(Datos!C1299,"")</f>
        <v/>
      </c>
      <c r="D1299" s="28">
        <f>IFERROR(IF(AND(ISNUMBER(B1299),ISNUMBER(B1298),B1298&lt;&gt;0),B1299/B1298-1,""),"")</f>
        <v/>
      </c>
      <c r="E1299" s="28">
        <f>IFERROR(IF(AND(ISNUMBER(C1299),ISNUMBER(C1298),C1298&lt;&gt;0),C1299/C1298-1,""),"")</f>
        <v/>
      </c>
      <c r="F1299" s="28">
        <f>IFERROR(D1299-Dashboard!$B$4/252,"")</f>
        <v/>
      </c>
      <c r="G1299" s="28">
        <f>IFERROR(E1299-Dashboard!$B$4/252,"")</f>
        <v/>
      </c>
      <c r="H1299" s="8">
        <f>IFERROR(IF(ISNUMBER(B1299),MAX(B1299,IFERROR(H1298,B1299)),""),"")</f>
        <v/>
      </c>
      <c r="I1299" s="29">
        <f>IFERROR(IF(AND(ISNUMBER(B1299),ISNUMBER(H1299)),B1299/H1299-1,""),"")</f>
        <v/>
      </c>
      <c r="J1299" s="8">
        <f>IFERROR(IF(ISNUMBER(C1299),MAX(C1299,IFERROR(J1298,C1299)),""),"")</f>
        <v/>
      </c>
      <c r="K1299" s="29">
        <f>IFERROR(IF(AND(ISNUMBER(C1299),ISNUMBER(J1299)),C1299/J1299-1,""),"")</f>
        <v/>
      </c>
      <c r="L1299" s="28">
        <f>IFERROR(IF(AND(ISNUMBER(D1299),ISNUMBER(E1299)),D1299-E1299,""),"")</f>
        <v/>
      </c>
    </row>
    <row r="1300">
      <c r="A1300" s="7">
        <f>IFERROR(Datos!A1300,"")</f>
        <v/>
      </c>
      <c r="B1300" s="8">
        <f>IFERROR(Datos!B1300,"")</f>
        <v/>
      </c>
      <c r="C1300" s="8">
        <f>IFERROR(Datos!C1300,"")</f>
        <v/>
      </c>
      <c r="D1300" s="28">
        <f>IFERROR(IF(AND(ISNUMBER(B1300),ISNUMBER(B1299),B1299&lt;&gt;0),B1300/B1299-1,""),"")</f>
        <v/>
      </c>
      <c r="E1300" s="28">
        <f>IFERROR(IF(AND(ISNUMBER(C1300),ISNUMBER(C1299),C1299&lt;&gt;0),C1300/C1299-1,""),"")</f>
        <v/>
      </c>
      <c r="F1300" s="28">
        <f>IFERROR(D1300-Dashboard!$B$4/252,"")</f>
        <v/>
      </c>
      <c r="G1300" s="28">
        <f>IFERROR(E1300-Dashboard!$B$4/252,"")</f>
        <v/>
      </c>
      <c r="H1300" s="8">
        <f>IFERROR(IF(ISNUMBER(B1300),MAX(B1300,IFERROR(H1299,B1300)),""),"")</f>
        <v/>
      </c>
      <c r="I1300" s="29">
        <f>IFERROR(IF(AND(ISNUMBER(B1300),ISNUMBER(H1300)),B1300/H1300-1,""),"")</f>
        <v/>
      </c>
      <c r="J1300" s="8">
        <f>IFERROR(IF(ISNUMBER(C1300),MAX(C1300,IFERROR(J1299,C1300)),""),"")</f>
        <v/>
      </c>
      <c r="K1300" s="29">
        <f>IFERROR(IF(AND(ISNUMBER(C1300),ISNUMBER(J1300)),C1300/J1300-1,""),"")</f>
        <v/>
      </c>
      <c r="L1300" s="28">
        <f>IFERROR(IF(AND(ISNUMBER(D1300),ISNUMBER(E1300)),D1300-E1300,""),"")</f>
        <v/>
      </c>
    </row>
    <row r="1301">
      <c r="A1301" s="7">
        <f>IFERROR(Datos!A1301,"")</f>
        <v/>
      </c>
      <c r="B1301" s="8">
        <f>IFERROR(Datos!B1301,"")</f>
        <v/>
      </c>
      <c r="C1301" s="8">
        <f>IFERROR(Datos!C1301,"")</f>
        <v/>
      </c>
      <c r="D1301" s="28">
        <f>IFERROR(IF(AND(ISNUMBER(B1301),ISNUMBER(B1300),B1300&lt;&gt;0),B1301/B1300-1,""),"")</f>
        <v/>
      </c>
      <c r="E1301" s="28">
        <f>IFERROR(IF(AND(ISNUMBER(C1301),ISNUMBER(C1300),C1300&lt;&gt;0),C1301/C1300-1,""),"")</f>
        <v/>
      </c>
      <c r="F1301" s="28">
        <f>IFERROR(D1301-Dashboard!$B$4/252,"")</f>
        <v/>
      </c>
      <c r="G1301" s="28">
        <f>IFERROR(E1301-Dashboard!$B$4/252,"")</f>
        <v/>
      </c>
      <c r="H1301" s="8">
        <f>IFERROR(IF(ISNUMBER(B1301),MAX(B1301,IFERROR(H1300,B1301)),""),"")</f>
        <v/>
      </c>
      <c r="I1301" s="29">
        <f>IFERROR(IF(AND(ISNUMBER(B1301),ISNUMBER(H1301)),B1301/H1301-1,""),"")</f>
        <v/>
      </c>
      <c r="J1301" s="8">
        <f>IFERROR(IF(ISNUMBER(C1301),MAX(C1301,IFERROR(J1300,C1301)),""),"")</f>
        <v/>
      </c>
      <c r="K1301" s="29">
        <f>IFERROR(IF(AND(ISNUMBER(C1301),ISNUMBER(J1301)),C1301/J1301-1,""),"")</f>
        <v/>
      </c>
      <c r="L1301" s="28">
        <f>IFERROR(IF(AND(ISNUMBER(D1301),ISNUMBER(E1301)),D1301-E1301,""),"")</f>
        <v/>
      </c>
    </row>
    <row r="1302">
      <c r="A1302" s="7">
        <f>IFERROR(Datos!A1302,"")</f>
        <v/>
      </c>
      <c r="B1302" s="8">
        <f>IFERROR(Datos!B1302,"")</f>
        <v/>
      </c>
      <c r="C1302" s="8">
        <f>IFERROR(Datos!C1302,"")</f>
        <v/>
      </c>
      <c r="D1302" s="28">
        <f>IFERROR(IF(AND(ISNUMBER(B1302),ISNUMBER(B1301),B1301&lt;&gt;0),B1302/B1301-1,""),"")</f>
        <v/>
      </c>
      <c r="E1302" s="28">
        <f>IFERROR(IF(AND(ISNUMBER(C1302),ISNUMBER(C1301),C1301&lt;&gt;0),C1302/C1301-1,""),"")</f>
        <v/>
      </c>
      <c r="F1302" s="28">
        <f>IFERROR(D1302-Dashboard!$B$4/252,"")</f>
        <v/>
      </c>
      <c r="G1302" s="28">
        <f>IFERROR(E1302-Dashboard!$B$4/252,"")</f>
        <v/>
      </c>
      <c r="H1302" s="8">
        <f>IFERROR(IF(ISNUMBER(B1302),MAX(B1302,IFERROR(H1301,B1302)),""),"")</f>
        <v/>
      </c>
      <c r="I1302" s="29">
        <f>IFERROR(IF(AND(ISNUMBER(B1302),ISNUMBER(H1302)),B1302/H1302-1,""),"")</f>
        <v/>
      </c>
      <c r="J1302" s="8">
        <f>IFERROR(IF(ISNUMBER(C1302),MAX(C1302,IFERROR(J1301,C1302)),""),"")</f>
        <v/>
      </c>
      <c r="K1302" s="29">
        <f>IFERROR(IF(AND(ISNUMBER(C1302),ISNUMBER(J1302)),C1302/J1302-1,""),"")</f>
        <v/>
      </c>
      <c r="L1302" s="28">
        <f>IFERROR(IF(AND(ISNUMBER(D1302),ISNUMBER(E1302)),D1302-E1302,""),"")</f>
        <v/>
      </c>
    </row>
    <row r="1303">
      <c r="A1303" s="7">
        <f>IFERROR(Datos!A1303,"")</f>
        <v/>
      </c>
      <c r="B1303" s="8">
        <f>IFERROR(Datos!B1303,"")</f>
        <v/>
      </c>
      <c r="C1303" s="8">
        <f>IFERROR(Datos!C1303,"")</f>
        <v/>
      </c>
      <c r="D1303" s="28">
        <f>IFERROR(IF(AND(ISNUMBER(B1303),ISNUMBER(B1302),B1302&lt;&gt;0),B1303/B1302-1,""),"")</f>
        <v/>
      </c>
      <c r="E1303" s="28">
        <f>IFERROR(IF(AND(ISNUMBER(C1303),ISNUMBER(C1302),C1302&lt;&gt;0),C1303/C1302-1,""),"")</f>
        <v/>
      </c>
      <c r="F1303" s="28">
        <f>IFERROR(D1303-Dashboard!$B$4/252,"")</f>
        <v/>
      </c>
      <c r="G1303" s="28">
        <f>IFERROR(E1303-Dashboard!$B$4/252,"")</f>
        <v/>
      </c>
      <c r="H1303" s="8">
        <f>IFERROR(IF(ISNUMBER(B1303),MAX(B1303,IFERROR(H1302,B1303)),""),"")</f>
        <v/>
      </c>
      <c r="I1303" s="29">
        <f>IFERROR(IF(AND(ISNUMBER(B1303),ISNUMBER(H1303)),B1303/H1303-1,""),"")</f>
        <v/>
      </c>
      <c r="J1303" s="8">
        <f>IFERROR(IF(ISNUMBER(C1303),MAX(C1303,IFERROR(J1302,C1303)),""),"")</f>
        <v/>
      </c>
      <c r="K1303" s="29">
        <f>IFERROR(IF(AND(ISNUMBER(C1303),ISNUMBER(J1303)),C1303/J1303-1,""),"")</f>
        <v/>
      </c>
      <c r="L1303" s="28">
        <f>IFERROR(IF(AND(ISNUMBER(D1303),ISNUMBER(E1303)),D1303-E1303,""),"")</f>
        <v/>
      </c>
    </row>
    <row r="1304">
      <c r="A1304" s="7">
        <f>IFERROR(Datos!A1304,"")</f>
        <v/>
      </c>
      <c r="B1304" s="8">
        <f>IFERROR(Datos!B1304,"")</f>
        <v/>
      </c>
      <c r="C1304" s="8">
        <f>IFERROR(Datos!C1304,"")</f>
        <v/>
      </c>
      <c r="D1304" s="28">
        <f>IFERROR(IF(AND(ISNUMBER(B1304),ISNUMBER(B1303),B1303&lt;&gt;0),B1304/B1303-1,""),"")</f>
        <v/>
      </c>
      <c r="E1304" s="28">
        <f>IFERROR(IF(AND(ISNUMBER(C1304),ISNUMBER(C1303),C1303&lt;&gt;0),C1304/C1303-1,""),"")</f>
        <v/>
      </c>
      <c r="F1304" s="28">
        <f>IFERROR(D1304-Dashboard!$B$4/252,"")</f>
        <v/>
      </c>
      <c r="G1304" s="28">
        <f>IFERROR(E1304-Dashboard!$B$4/252,"")</f>
        <v/>
      </c>
      <c r="H1304" s="8">
        <f>IFERROR(IF(ISNUMBER(B1304),MAX(B1304,IFERROR(H1303,B1304)),""),"")</f>
        <v/>
      </c>
      <c r="I1304" s="29">
        <f>IFERROR(IF(AND(ISNUMBER(B1304),ISNUMBER(H1304)),B1304/H1304-1,""),"")</f>
        <v/>
      </c>
      <c r="J1304" s="8">
        <f>IFERROR(IF(ISNUMBER(C1304),MAX(C1304,IFERROR(J1303,C1304)),""),"")</f>
        <v/>
      </c>
      <c r="K1304" s="29">
        <f>IFERROR(IF(AND(ISNUMBER(C1304),ISNUMBER(J1304)),C1304/J1304-1,""),"")</f>
        <v/>
      </c>
      <c r="L1304" s="28">
        <f>IFERROR(IF(AND(ISNUMBER(D1304),ISNUMBER(E1304)),D1304-E1304,""),"")</f>
        <v/>
      </c>
    </row>
    <row r="1305">
      <c r="A1305" s="7">
        <f>IFERROR(Datos!A1305,"")</f>
        <v/>
      </c>
      <c r="B1305" s="8">
        <f>IFERROR(Datos!B1305,"")</f>
        <v/>
      </c>
      <c r="C1305" s="8">
        <f>IFERROR(Datos!C1305,"")</f>
        <v/>
      </c>
      <c r="D1305" s="28">
        <f>IFERROR(IF(AND(ISNUMBER(B1305),ISNUMBER(B1304),B1304&lt;&gt;0),B1305/B1304-1,""),"")</f>
        <v/>
      </c>
      <c r="E1305" s="28">
        <f>IFERROR(IF(AND(ISNUMBER(C1305),ISNUMBER(C1304),C1304&lt;&gt;0),C1305/C1304-1,""),"")</f>
        <v/>
      </c>
      <c r="F1305" s="28">
        <f>IFERROR(D1305-Dashboard!$B$4/252,"")</f>
        <v/>
      </c>
      <c r="G1305" s="28">
        <f>IFERROR(E1305-Dashboard!$B$4/252,"")</f>
        <v/>
      </c>
      <c r="H1305" s="8">
        <f>IFERROR(IF(ISNUMBER(B1305),MAX(B1305,IFERROR(H1304,B1305)),""),"")</f>
        <v/>
      </c>
      <c r="I1305" s="29">
        <f>IFERROR(IF(AND(ISNUMBER(B1305),ISNUMBER(H1305)),B1305/H1305-1,""),"")</f>
        <v/>
      </c>
      <c r="J1305" s="8">
        <f>IFERROR(IF(ISNUMBER(C1305),MAX(C1305,IFERROR(J1304,C1305)),""),"")</f>
        <v/>
      </c>
      <c r="K1305" s="29">
        <f>IFERROR(IF(AND(ISNUMBER(C1305),ISNUMBER(J1305)),C1305/J1305-1,""),"")</f>
        <v/>
      </c>
      <c r="L1305" s="28">
        <f>IFERROR(IF(AND(ISNUMBER(D1305),ISNUMBER(E1305)),D1305-E1305,""),"")</f>
        <v/>
      </c>
    </row>
    <row r="1306">
      <c r="A1306" s="7">
        <f>IFERROR(Datos!A1306,"")</f>
        <v/>
      </c>
      <c r="B1306" s="8">
        <f>IFERROR(Datos!B1306,"")</f>
        <v/>
      </c>
      <c r="C1306" s="8">
        <f>IFERROR(Datos!C1306,"")</f>
        <v/>
      </c>
      <c r="D1306" s="28">
        <f>IFERROR(IF(AND(ISNUMBER(B1306),ISNUMBER(B1305),B1305&lt;&gt;0),B1306/B1305-1,""),"")</f>
        <v/>
      </c>
      <c r="E1306" s="28">
        <f>IFERROR(IF(AND(ISNUMBER(C1306),ISNUMBER(C1305),C1305&lt;&gt;0),C1306/C1305-1,""),"")</f>
        <v/>
      </c>
      <c r="F1306" s="28">
        <f>IFERROR(D1306-Dashboard!$B$4/252,"")</f>
        <v/>
      </c>
      <c r="G1306" s="28">
        <f>IFERROR(E1306-Dashboard!$B$4/252,"")</f>
        <v/>
      </c>
      <c r="H1306" s="8">
        <f>IFERROR(IF(ISNUMBER(B1306),MAX(B1306,IFERROR(H1305,B1306)),""),"")</f>
        <v/>
      </c>
      <c r="I1306" s="29">
        <f>IFERROR(IF(AND(ISNUMBER(B1306),ISNUMBER(H1306)),B1306/H1306-1,""),"")</f>
        <v/>
      </c>
      <c r="J1306" s="8">
        <f>IFERROR(IF(ISNUMBER(C1306),MAX(C1306,IFERROR(J1305,C1306)),""),"")</f>
        <v/>
      </c>
      <c r="K1306" s="29">
        <f>IFERROR(IF(AND(ISNUMBER(C1306),ISNUMBER(J1306)),C1306/J1306-1,""),"")</f>
        <v/>
      </c>
      <c r="L1306" s="28">
        <f>IFERROR(IF(AND(ISNUMBER(D1306),ISNUMBER(E1306)),D1306-E1306,""),"")</f>
        <v/>
      </c>
    </row>
    <row r="1307">
      <c r="A1307" s="7">
        <f>IFERROR(Datos!A1307,"")</f>
        <v/>
      </c>
      <c r="B1307" s="8">
        <f>IFERROR(Datos!B1307,"")</f>
        <v/>
      </c>
      <c r="C1307" s="8">
        <f>IFERROR(Datos!C1307,"")</f>
        <v/>
      </c>
      <c r="D1307" s="28">
        <f>IFERROR(IF(AND(ISNUMBER(B1307),ISNUMBER(B1306),B1306&lt;&gt;0),B1307/B1306-1,""),"")</f>
        <v/>
      </c>
      <c r="E1307" s="28">
        <f>IFERROR(IF(AND(ISNUMBER(C1307),ISNUMBER(C1306),C1306&lt;&gt;0),C1307/C1306-1,""),"")</f>
        <v/>
      </c>
      <c r="F1307" s="28">
        <f>IFERROR(D1307-Dashboard!$B$4/252,"")</f>
        <v/>
      </c>
      <c r="G1307" s="28">
        <f>IFERROR(E1307-Dashboard!$B$4/252,"")</f>
        <v/>
      </c>
      <c r="H1307" s="8">
        <f>IFERROR(IF(ISNUMBER(B1307),MAX(B1307,IFERROR(H1306,B1307)),""),"")</f>
        <v/>
      </c>
      <c r="I1307" s="29">
        <f>IFERROR(IF(AND(ISNUMBER(B1307),ISNUMBER(H1307)),B1307/H1307-1,""),"")</f>
        <v/>
      </c>
      <c r="J1307" s="8">
        <f>IFERROR(IF(ISNUMBER(C1307),MAX(C1307,IFERROR(J1306,C1307)),""),"")</f>
        <v/>
      </c>
      <c r="K1307" s="29">
        <f>IFERROR(IF(AND(ISNUMBER(C1307),ISNUMBER(J1307)),C1307/J1307-1,""),"")</f>
        <v/>
      </c>
      <c r="L1307" s="28">
        <f>IFERROR(IF(AND(ISNUMBER(D1307),ISNUMBER(E1307)),D1307-E1307,""),"")</f>
        <v/>
      </c>
    </row>
    <row r="1308">
      <c r="A1308" s="7">
        <f>IFERROR(Datos!A1308,"")</f>
        <v/>
      </c>
      <c r="B1308" s="8">
        <f>IFERROR(Datos!B1308,"")</f>
        <v/>
      </c>
      <c r="C1308" s="8">
        <f>IFERROR(Datos!C1308,"")</f>
        <v/>
      </c>
      <c r="D1308" s="28">
        <f>IFERROR(IF(AND(ISNUMBER(B1308),ISNUMBER(B1307),B1307&lt;&gt;0),B1308/B1307-1,""),"")</f>
        <v/>
      </c>
      <c r="E1308" s="28">
        <f>IFERROR(IF(AND(ISNUMBER(C1308),ISNUMBER(C1307),C1307&lt;&gt;0),C1308/C1307-1,""),"")</f>
        <v/>
      </c>
      <c r="F1308" s="28">
        <f>IFERROR(D1308-Dashboard!$B$4/252,"")</f>
        <v/>
      </c>
      <c r="G1308" s="28">
        <f>IFERROR(E1308-Dashboard!$B$4/252,"")</f>
        <v/>
      </c>
      <c r="H1308" s="8">
        <f>IFERROR(IF(ISNUMBER(B1308),MAX(B1308,IFERROR(H1307,B1308)),""),"")</f>
        <v/>
      </c>
      <c r="I1308" s="29">
        <f>IFERROR(IF(AND(ISNUMBER(B1308),ISNUMBER(H1308)),B1308/H1308-1,""),"")</f>
        <v/>
      </c>
      <c r="J1308" s="8">
        <f>IFERROR(IF(ISNUMBER(C1308),MAX(C1308,IFERROR(J1307,C1308)),""),"")</f>
        <v/>
      </c>
      <c r="K1308" s="29">
        <f>IFERROR(IF(AND(ISNUMBER(C1308),ISNUMBER(J1308)),C1308/J1308-1,""),"")</f>
        <v/>
      </c>
      <c r="L1308" s="28">
        <f>IFERROR(IF(AND(ISNUMBER(D1308),ISNUMBER(E1308)),D1308-E1308,""),"")</f>
        <v/>
      </c>
    </row>
    <row r="1309">
      <c r="A1309" s="7">
        <f>IFERROR(Datos!A1309,"")</f>
        <v/>
      </c>
      <c r="B1309" s="8">
        <f>IFERROR(Datos!B1309,"")</f>
        <v/>
      </c>
      <c r="C1309" s="8">
        <f>IFERROR(Datos!C1309,"")</f>
        <v/>
      </c>
      <c r="D1309" s="28">
        <f>IFERROR(IF(AND(ISNUMBER(B1309),ISNUMBER(B1308),B1308&lt;&gt;0),B1309/B1308-1,""),"")</f>
        <v/>
      </c>
      <c r="E1309" s="28">
        <f>IFERROR(IF(AND(ISNUMBER(C1309),ISNUMBER(C1308),C1308&lt;&gt;0),C1309/C1308-1,""),"")</f>
        <v/>
      </c>
      <c r="F1309" s="28">
        <f>IFERROR(D1309-Dashboard!$B$4/252,"")</f>
        <v/>
      </c>
      <c r="G1309" s="28">
        <f>IFERROR(E1309-Dashboard!$B$4/252,"")</f>
        <v/>
      </c>
      <c r="H1309" s="8">
        <f>IFERROR(IF(ISNUMBER(B1309),MAX(B1309,IFERROR(H1308,B1309)),""),"")</f>
        <v/>
      </c>
      <c r="I1309" s="29">
        <f>IFERROR(IF(AND(ISNUMBER(B1309),ISNUMBER(H1309)),B1309/H1309-1,""),"")</f>
        <v/>
      </c>
      <c r="J1309" s="8">
        <f>IFERROR(IF(ISNUMBER(C1309),MAX(C1309,IFERROR(J1308,C1309)),""),"")</f>
        <v/>
      </c>
      <c r="K1309" s="29">
        <f>IFERROR(IF(AND(ISNUMBER(C1309),ISNUMBER(J1309)),C1309/J1309-1,""),"")</f>
        <v/>
      </c>
      <c r="L1309" s="28">
        <f>IFERROR(IF(AND(ISNUMBER(D1309),ISNUMBER(E1309)),D1309-E1309,""),"")</f>
        <v/>
      </c>
    </row>
    <row r="1310">
      <c r="A1310" s="7">
        <f>IFERROR(Datos!A1310,"")</f>
        <v/>
      </c>
      <c r="B1310" s="8">
        <f>IFERROR(Datos!B1310,"")</f>
        <v/>
      </c>
      <c r="C1310" s="8">
        <f>IFERROR(Datos!C1310,"")</f>
        <v/>
      </c>
      <c r="D1310" s="28">
        <f>IFERROR(IF(AND(ISNUMBER(B1310),ISNUMBER(B1309),B1309&lt;&gt;0),B1310/B1309-1,""),"")</f>
        <v/>
      </c>
      <c r="E1310" s="28">
        <f>IFERROR(IF(AND(ISNUMBER(C1310),ISNUMBER(C1309),C1309&lt;&gt;0),C1310/C1309-1,""),"")</f>
        <v/>
      </c>
      <c r="F1310" s="28">
        <f>IFERROR(D1310-Dashboard!$B$4/252,"")</f>
        <v/>
      </c>
      <c r="G1310" s="28">
        <f>IFERROR(E1310-Dashboard!$B$4/252,"")</f>
        <v/>
      </c>
      <c r="H1310" s="8">
        <f>IFERROR(IF(ISNUMBER(B1310),MAX(B1310,IFERROR(H1309,B1310)),""),"")</f>
        <v/>
      </c>
      <c r="I1310" s="29">
        <f>IFERROR(IF(AND(ISNUMBER(B1310),ISNUMBER(H1310)),B1310/H1310-1,""),"")</f>
        <v/>
      </c>
      <c r="J1310" s="8">
        <f>IFERROR(IF(ISNUMBER(C1310),MAX(C1310,IFERROR(J1309,C1310)),""),"")</f>
        <v/>
      </c>
      <c r="K1310" s="29">
        <f>IFERROR(IF(AND(ISNUMBER(C1310),ISNUMBER(J1310)),C1310/J1310-1,""),"")</f>
        <v/>
      </c>
      <c r="L1310" s="28">
        <f>IFERROR(IF(AND(ISNUMBER(D1310),ISNUMBER(E1310)),D1310-E1310,""),"")</f>
        <v/>
      </c>
    </row>
    <row r="1311">
      <c r="A1311" s="7">
        <f>IFERROR(Datos!A1311,"")</f>
        <v/>
      </c>
      <c r="B1311" s="8">
        <f>IFERROR(Datos!B1311,"")</f>
        <v/>
      </c>
      <c r="C1311" s="8">
        <f>IFERROR(Datos!C1311,"")</f>
        <v/>
      </c>
      <c r="D1311" s="28">
        <f>IFERROR(IF(AND(ISNUMBER(B1311),ISNUMBER(B1310),B1310&lt;&gt;0),B1311/B1310-1,""),"")</f>
        <v/>
      </c>
      <c r="E1311" s="28">
        <f>IFERROR(IF(AND(ISNUMBER(C1311),ISNUMBER(C1310),C1310&lt;&gt;0),C1311/C1310-1,""),"")</f>
        <v/>
      </c>
      <c r="F1311" s="28">
        <f>IFERROR(D1311-Dashboard!$B$4/252,"")</f>
        <v/>
      </c>
      <c r="G1311" s="28">
        <f>IFERROR(E1311-Dashboard!$B$4/252,"")</f>
        <v/>
      </c>
      <c r="H1311" s="8">
        <f>IFERROR(IF(ISNUMBER(B1311),MAX(B1311,IFERROR(H1310,B1311)),""),"")</f>
        <v/>
      </c>
      <c r="I1311" s="29">
        <f>IFERROR(IF(AND(ISNUMBER(B1311),ISNUMBER(H1311)),B1311/H1311-1,""),"")</f>
        <v/>
      </c>
      <c r="J1311" s="8">
        <f>IFERROR(IF(ISNUMBER(C1311),MAX(C1311,IFERROR(J1310,C1311)),""),"")</f>
        <v/>
      </c>
      <c r="K1311" s="29">
        <f>IFERROR(IF(AND(ISNUMBER(C1311),ISNUMBER(J1311)),C1311/J1311-1,""),"")</f>
        <v/>
      </c>
      <c r="L1311" s="28">
        <f>IFERROR(IF(AND(ISNUMBER(D1311),ISNUMBER(E1311)),D1311-E1311,""),"")</f>
        <v/>
      </c>
    </row>
    <row r="1312">
      <c r="A1312" s="7">
        <f>IFERROR(Datos!A1312,"")</f>
        <v/>
      </c>
      <c r="B1312" s="8">
        <f>IFERROR(Datos!B1312,"")</f>
        <v/>
      </c>
      <c r="C1312" s="8">
        <f>IFERROR(Datos!C1312,"")</f>
        <v/>
      </c>
      <c r="D1312" s="28">
        <f>IFERROR(IF(AND(ISNUMBER(B1312),ISNUMBER(B1311),B1311&lt;&gt;0),B1312/B1311-1,""),"")</f>
        <v/>
      </c>
      <c r="E1312" s="28">
        <f>IFERROR(IF(AND(ISNUMBER(C1312),ISNUMBER(C1311),C1311&lt;&gt;0),C1312/C1311-1,""),"")</f>
        <v/>
      </c>
      <c r="F1312" s="28">
        <f>IFERROR(D1312-Dashboard!$B$4/252,"")</f>
        <v/>
      </c>
      <c r="G1312" s="28">
        <f>IFERROR(E1312-Dashboard!$B$4/252,"")</f>
        <v/>
      </c>
      <c r="H1312" s="8">
        <f>IFERROR(IF(ISNUMBER(B1312),MAX(B1312,IFERROR(H1311,B1312)),""),"")</f>
        <v/>
      </c>
      <c r="I1312" s="29">
        <f>IFERROR(IF(AND(ISNUMBER(B1312),ISNUMBER(H1312)),B1312/H1312-1,""),"")</f>
        <v/>
      </c>
      <c r="J1312" s="8">
        <f>IFERROR(IF(ISNUMBER(C1312),MAX(C1312,IFERROR(J1311,C1312)),""),"")</f>
        <v/>
      </c>
      <c r="K1312" s="29">
        <f>IFERROR(IF(AND(ISNUMBER(C1312),ISNUMBER(J1312)),C1312/J1312-1,""),"")</f>
        <v/>
      </c>
      <c r="L1312" s="28">
        <f>IFERROR(IF(AND(ISNUMBER(D1312),ISNUMBER(E1312)),D1312-E1312,""),"")</f>
        <v/>
      </c>
    </row>
    <row r="1313">
      <c r="A1313" s="7">
        <f>IFERROR(Datos!A1313,"")</f>
        <v/>
      </c>
      <c r="B1313" s="8">
        <f>IFERROR(Datos!B1313,"")</f>
        <v/>
      </c>
      <c r="C1313" s="8">
        <f>IFERROR(Datos!C1313,"")</f>
        <v/>
      </c>
      <c r="D1313" s="28">
        <f>IFERROR(IF(AND(ISNUMBER(B1313),ISNUMBER(B1312),B1312&lt;&gt;0),B1313/B1312-1,""),"")</f>
        <v/>
      </c>
      <c r="E1313" s="28">
        <f>IFERROR(IF(AND(ISNUMBER(C1313),ISNUMBER(C1312),C1312&lt;&gt;0),C1313/C1312-1,""),"")</f>
        <v/>
      </c>
      <c r="F1313" s="28">
        <f>IFERROR(D1313-Dashboard!$B$4/252,"")</f>
        <v/>
      </c>
      <c r="G1313" s="28">
        <f>IFERROR(E1313-Dashboard!$B$4/252,"")</f>
        <v/>
      </c>
      <c r="H1313" s="8">
        <f>IFERROR(IF(ISNUMBER(B1313),MAX(B1313,IFERROR(H1312,B1313)),""),"")</f>
        <v/>
      </c>
      <c r="I1313" s="29">
        <f>IFERROR(IF(AND(ISNUMBER(B1313),ISNUMBER(H1313)),B1313/H1313-1,""),"")</f>
        <v/>
      </c>
      <c r="J1313" s="8">
        <f>IFERROR(IF(ISNUMBER(C1313),MAX(C1313,IFERROR(J1312,C1313)),""),"")</f>
        <v/>
      </c>
      <c r="K1313" s="29">
        <f>IFERROR(IF(AND(ISNUMBER(C1313),ISNUMBER(J1313)),C1313/J1313-1,""),"")</f>
        <v/>
      </c>
      <c r="L1313" s="28">
        <f>IFERROR(IF(AND(ISNUMBER(D1313),ISNUMBER(E1313)),D1313-E1313,""),"")</f>
        <v/>
      </c>
    </row>
    <row r="1314">
      <c r="A1314" s="7">
        <f>IFERROR(Datos!A1314,"")</f>
        <v/>
      </c>
      <c r="B1314" s="8">
        <f>IFERROR(Datos!B1314,"")</f>
        <v/>
      </c>
      <c r="C1314" s="8">
        <f>IFERROR(Datos!C1314,"")</f>
        <v/>
      </c>
      <c r="D1314" s="28">
        <f>IFERROR(IF(AND(ISNUMBER(B1314),ISNUMBER(B1313),B1313&lt;&gt;0),B1314/B1313-1,""),"")</f>
        <v/>
      </c>
      <c r="E1314" s="28">
        <f>IFERROR(IF(AND(ISNUMBER(C1314),ISNUMBER(C1313),C1313&lt;&gt;0),C1314/C1313-1,""),"")</f>
        <v/>
      </c>
      <c r="F1314" s="28">
        <f>IFERROR(D1314-Dashboard!$B$4/252,"")</f>
        <v/>
      </c>
      <c r="G1314" s="28">
        <f>IFERROR(E1314-Dashboard!$B$4/252,"")</f>
        <v/>
      </c>
      <c r="H1314" s="8">
        <f>IFERROR(IF(ISNUMBER(B1314),MAX(B1314,IFERROR(H1313,B1314)),""),"")</f>
        <v/>
      </c>
      <c r="I1314" s="29">
        <f>IFERROR(IF(AND(ISNUMBER(B1314),ISNUMBER(H1314)),B1314/H1314-1,""),"")</f>
        <v/>
      </c>
      <c r="J1314" s="8">
        <f>IFERROR(IF(ISNUMBER(C1314),MAX(C1314,IFERROR(J1313,C1314)),""),"")</f>
        <v/>
      </c>
      <c r="K1314" s="29">
        <f>IFERROR(IF(AND(ISNUMBER(C1314),ISNUMBER(J1314)),C1314/J1314-1,""),"")</f>
        <v/>
      </c>
      <c r="L1314" s="28">
        <f>IFERROR(IF(AND(ISNUMBER(D1314),ISNUMBER(E1314)),D1314-E1314,""),"")</f>
        <v/>
      </c>
    </row>
    <row r="1315">
      <c r="A1315" s="7">
        <f>IFERROR(Datos!A1315,"")</f>
        <v/>
      </c>
      <c r="B1315" s="8">
        <f>IFERROR(Datos!B1315,"")</f>
        <v/>
      </c>
      <c r="C1315" s="8">
        <f>IFERROR(Datos!C1315,"")</f>
        <v/>
      </c>
      <c r="D1315" s="28">
        <f>IFERROR(IF(AND(ISNUMBER(B1315),ISNUMBER(B1314),B1314&lt;&gt;0),B1315/B1314-1,""),"")</f>
        <v/>
      </c>
      <c r="E1315" s="28">
        <f>IFERROR(IF(AND(ISNUMBER(C1315),ISNUMBER(C1314),C1314&lt;&gt;0),C1315/C1314-1,""),"")</f>
        <v/>
      </c>
      <c r="F1315" s="28">
        <f>IFERROR(D1315-Dashboard!$B$4/252,"")</f>
        <v/>
      </c>
      <c r="G1315" s="28">
        <f>IFERROR(E1315-Dashboard!$B$4/252,"")</f>
        <v/>
      </c>
      <c r="H1315" s="8">
        <f>IFERROR(IF(ISNUMBER(B1315),MAX(B1315,IFERROR(H1314,B1315)),""),"")</f>
        <v/>
      </c>
      <c r="I1315" s="29">
        <f>IFERROR(IF(AND(ISNUMBER(B1315),ISNUMBER(H1315)),B1315/H1315-1,""),"")</f>
        <v/>
      </c>
      <c r="J1315" s="8">
        <f>IFERROR(IF(ISNUMBER(C1315),MAX(C1315,IFERROR(J1314,C1315)),""),"")</f>
        <v/>
      </c>
      <c r="K1315" s="29">
        <f>IFERROR(IF(AND(ISNUMBER(C1315),ISNUMBER(J1315)),C1315/J1315-1,""),"")</f>
        <v/>
      </c>
      <c r="L1315" s="28">
        <f>IFERROR(IF(AND(ISNUMBER(D1315),ISNUMBER(E1315)),D1315-E1315,""),"")</f>
        <v/>
      </c>
    </row>
    <row r="1316">
      <c r="A1316" s="7">
        <f>IFERROR(Datos!A1316,"")</f>
        <v/>
      </c>
      <c r="B1316" s="8">
        <f>IFERROR(Datos!B1316,"")</f>
        <v/>
      </c>
      <c r="C1316" s="8">
        <f>IFERROR(Datos!C1316,"")</f>
        <v/>
      </c>
      <c r="D1316" s="28">
        <f>IFERROR(IF(AND(ISNUMBER(B1316),ISNUMBER(B1315),B1315&lt;&gt;0),B1316/B1315-1,""),"")</f>
        <v/>
      </c>
      <c r="E1316" s="28">
        <f>IFERROR(IF(AND(ISNUMBER(C1316),ISNUMBER(C1315),C1315&lt;&gt;0),C1316/C1315-1,""),"")</f>
        <v/>
      </c>
      <c r="F1316" s="28">
        <f>IFERROR(D1316-Dashboard!$B$4/252,"")</f>
        <v/>
      </c>
      <c r="G1316" s="28">
        <f>IFERROR(E1316-Dashboard!$B$4/252,"")</f>
        <v/>
      </c>
      <c r="H1316" s="8">
        <f>IFERROR(IF(ISNUMBER(B1316),MAX(B1316,IFERROR(H1315,B1316)),""),"")</f>
        <v/>
      </c>
      <c r="I1316" s="29">
        <f>IFERROR(IF(AND(ISNUMBER(B1316),ISNUMBER(H1316)),B1316/H1316-1,""),"")</f>
        <v/>
      </c>
      <c r="J1316" s="8">
        <f>IFERROR(IF(ISNUMBER(C1316),MAX(C1316,IFERROR(J1315,C1316)),""),"")</f>
        <v/>
      </c>
      <c r="K1316" s="29">
        <f>IFERROR(IF(AND(ISNUMBER(C1316),ISNUMBER(J1316)),C1316/J1316-1,""),"")</f>
        <v/>
      </c>
      <c r="L1316" s="28">
        <f>IFERROR(IF(AND(ISNUMBER(D1316),ISNUMBER(E1316)),D1316-E1316,""),"")</f>
        <v/>
      </c>
    </row>
    <row r="1317">
      <c r="A1317" s="7">
        <f>IFERROR(Datos!A1317,"")</f>
        <v/>
      </c>
      <c r="B1317" s="8">
        <f>IFERROR(Datos!B1317,"")</f>
        <v/>
      </c>
      <c r="C1317" s="8">
        <f>IFERROR(Datos!C1317,"")</f>
        <v/>
      </c>
      <c r="D1317" s="28">
        <f>IFERROR(IF(AND(ISNUMBER(B1317),ISNUMBER(B1316),B1316&lt;&gt;0),B1317/B1316-1,""),"")</f>
        <v/>
      </c>
      <c r="E1317" s="28">
        <f>IFERROR(IF(AND(ISNUMBER(C1317),ISNUMBER(C1316),C1316&lt;&gt;0),C1317/C1316-1,""),"")</f>
        <v/>
      </c>
      <c r="F1317" s="28">
        <f>IFERROR(D1317-Dashboard!$B$4/252,"")</f>
        <v/>
      </c>
      <c r="G1317" s="28">
        <f>IFERROR(E1317-Dashboard!$B$4/252,"")</f>
        <v/>
      </c>
      <c r="H1317" s="8">
        <f>IFERROR(IF(ISNUMBER(B1317),MAX(B1317,IFERROR(H1316,B1317)),""),"")</f>
        <v/>
      </c>
      <c r="I1317" s="29">
        <f>IFERROR(IF(AND(ISNUMBER(B1317),ISNUMBER(H1317)),B1317/H1317-1,""),"")</f>
        <v/>
      </c>
      <c r="J1317" s="8">
        <f>IFERROR(IF(ISNUMBER(C1317),MAX(C1317,IFERROR(J1316,C1317)),""),"")</f>
        <v/>
      </c>
      <c r="K1317" s="29">
        <f>IFERROR(IF(AND(ISNUMBER(C1317),ISNUMBER(J1317)),C1317/J1317-1,""),"")</f>
        <v/>
      </c>
      <c r="L1317" s="28">
        <f>IFERROR(IF(AND(ISNUMBER(D1317),ISNUMBER(E1317)),D1317-E1317,""),"")</f>
        <v/>
      </c>
    </row>
    <row r="1318">
      <c r="A1318" s="7">
        <f>IFERROR(Datos!A1318,"")</f>
        <v/>
      </c>
      <c r="B1318" s="8">
        <f>IFERROR(Datos!B1318,"")</f>
        <v/>
      </c>
      <c r="C1318" s="8">
        <f>IFERROR(Datos!C1318,"")</f>
        <v/>
      </c>
      <c r="D1318" s="28">
        <f>IFERROR(IF(AND(ISNUMBER(B1318),ISNUMBER(B1317),B1317&lt;&gt;0),B1318/B1317-1,""),"")</f>
        <v/>
      </c>
      <c r="E1318" s="28">
        <f>IFERROR(IF(AND(ISNUMBER(C1318),ISNUMBER(C1317),C1317&lt;&gt;0),C1318/C1317-1,""),"")</f>
        <v/>
      </c>
      <c r="F1318" s="28">
        <f>IFERROR(D1318-Dashboard!$B$4/252,"")</f>
        <v/>
      </c>
      <c r="G1318" s="28">
        <f>IFERROR(E1318-Dashboard!$B$4/252,"")</f>
        <v/>
      </c>
      <c r="H1318" s="8">
        <f>IFERROR(IF(ISNUMBER(B1318),MAX(B1318,IFERROR(H1317,B1318)),""),"")</f>
        <v/>
      </c>
      <c r="I1318" s="29">
        <f>IFERROR(IF(AND(ISNUMBER(B1318),ISNUMBER(H1318)),B1318/H1318-1,""),"")</f>
        <v/>
      </c>
      <c r="J1318" s="8">
        <f>IFERROR(IF(ISNUMBER(C1318),MAX(C1318,IFERROR(J1317,C1318)),""),"")</f>
        <v/>
      </c>
      <c r="K1318" s="29">
        <f>IFERROR(IF(AND(ISNUMBER(C1318),ISNUMBER(J1318)),C1318/J1318-1,""),"")</f>
        <v/>
      </c>
      <c r="L1318" s="28">
        <f>IFERROR(IF(AND(ISNUMBER(D1318),ISNUMBER(E1318)),D1318-E1318,""),"")</f>
        <v/>
      </c>
    </row>
    <row r="1319">
      <c r="A1319" s="7">
        <f>IFERROR(Datos!A1319,"")</f>
        <v/>
      </c>
      <c r="B1319" s="8">
        <f>IFERROR(Datos!B1319,"")</f>
        <v/>
      </c>
      <c r="C1319" s="8">
        <f>IFERROR(Datos!C1319,"")</f>
        <v/>
      </c>
      <c r="D1319" s="28">
        <f>IFERROR(IF(AND(ISNUMBER(B1319),ISNUMBER(B1318),B1318&lt;&gt;0),B1319/B1318-1,""),"")</f>
        <v/>
      </c>
      <c r="E1319" s="28">
        <f>IFERROR(IF(AND(ISNUMBER(C1319),ISNUMBER(C1318),C1318&lt;&gt;0),C1319/C1318-1,""),"")</f>
        <v/>
      </c>
      <c r="F1319" s="28">
        <f>IFERROR(D1319-Dashboard!$B$4/252,"")</f>
        <v/>
      </c>
      <c r="G1319" s="28">
        <f>IFERROR(E1319-Dashboard!$B$4/252,"")</f>
        <v/>
      </c>
      <c r="H1319" s="8">
        <f>IFERROR(IF(ISNUMBER(B1319),MAX(B1319,IFERROR(H1318,B1319)),""),"")</f>
        <v/>
      </c>
      <c r="I1319" s="29">
        <f>IFERROR(IF(AND(ISNUMBER(B1319),ISNUMBER(H1319)),B1319/H1319-1,""),"")</f>
        <v/>
      </c>
      <c r="J1319" s="8">
        <f>IFERROR(IF(ISNUMBER(C1319),MAX(C1319,IFERROR(J1318,C1319)),""),"")</f>
        <v/>
      </c>
      <c r="K1319" s="29">
        <f>IFERROR(IF(AND(ISNUMBER(C1319),ISNUMBER(J1319)),C1319/J1319-1,""),"")</f>
        <v/>
      </c>
      <c r="L1319" s="28">
        <f>IFERROR(IF(AND(ISNUMBER(D1319),ISNUMBER(E1319)),D1319-E1319,""),"")</f>
        <v/>
      </c>
    </row>
    <row r="1320">
      <c r="A1320" s="7">
        <f>IFERROR(Datos!A1320,"")</f>
        <v/>
      </c>
      <c r="B1320" s="8">
        <f>IFERROR(Datos!B1320,"")</f>
        <v/>
      </c>
      <c r="C1320" s="8">
        <f>IFERROR(Datos!C1320,"")</f>
        <v/>
      </c>
      <c r="D1320" s="28">
        <f>IFERROR(IF(AND(ISNUMBER(B1320),ISNUMBER(B1319),B1319&lt;&gt;0),B1320/B1319-1,""),"")</f>
        <v/>
      </c>
      <c r="E1320" s="28">
        <f>IFERROR(IF(AND(ISNUMBER(C1320),ISNUMBER(C1319),C1319&lt;&gt;0),C1320/C1319-1,""),"")</f>
        <v/>
      </c>
      <c r="F1320" s="28">
        <f>IFERROR(D1320-Dashboard!$B$4/252,"")</f>
        <v/>
      </c>
      <c r="G1320" s="28">
        <f>IFERROR(E1320-Dashboard!$B$4/252,"")</f>
        <v/>
      </c>
      <c r="H1320" s="8">
        <f>IFERROR(IF(ISNUMBER(B1320),MAX(B1320,IFERROR(H1319,B1320)),""),"")</f>
        <v/>
      </c>
      <c r="I1320" s="29">
        <f>IFERROR(IF(AND(ISNUMBER(B1320),ISNUMBER(H1320)),B1320/H1320-1,""),"")</f>
        <v/>
      </c>
      <c r="J1320" s="8">
        <f>IFERROR(IF(ISNUMBER(C1320),MAX(C1320,IFERROR(J1319,C1320)),""),"")</f>
        <v/>
      </c>
      <c r="K1320" s="29">
        <f>IFERROR(IF(AND(ISNUMBER(C1320),ISNUMBER(J1320)),C1320/J1320-1,""),"")</f>
        <v/>
      </c>
      <c r="L1320" s="28">
        <f>IFERROR(IF(AND(ISNUMBER(D1320),ISNUMBER(E1320)),D1320-E1320,""),"")</f>
        <v/>
      </c>
    </row>
    <row r="1321">
      <c r="A1321" s="7">
        <f>IFERROR(Datos!A1321,"")</f>
        <v/>
      </c>
      <c r="B1321" s="8">
        <f>IFERROR(Datos!B1321,"")</f>
        <v/>
      </c>
      <c r="C1321" s="8">
        <f>IFERROR(Datos!C1321,"")</f>
        <v/>
      </c>
      <c r="D1321" s="28">
        <f>IFERROR(IF(AND(ISNUMBER(B1321),ISNUMBER(B1320),B1320&lt;&gt;0),B1321/B1320-1,""),"")</f>
        <v/>
      </c>
      <c r="E1321" s="28">
        <f>IFERROR(IF(AND(ISNUMBER(C1321),ISNUMBER(C1320),C1320&lt;&gt;0),C1321/C1320-1,""),"")</f>
        <v/>
      </c>
      <c r="F1321" s="28">
        <f>IFERROR(D1321-Dashboard!$B$4/252,"")</f>
        <v/>
      </c>
      <c r="G1321" s="28">
        <f>IFERROR(E1321-Dashboard!$B$4/252,"")</f>
        <v/>
      </c>
      <c r="H1321" s="8">
        <f>IFERROR(IF(ISNUMBER(B1321),MAX(B1321,IFERROR(H1320,B1321)),""),"")</f>
        <v/>
      </c>
      <c r="I1321" s="29">
        <f>IFERROR(IF(AND(ISNUMBER(B1321),ISNUMBER(H1321)),B1321/H1321-1,""),"")</f>
        <v/>
      </c>
      <c r="J1321" s="8">
        <f>IFERROR(IF(ISNUMBER(C1321),MAX(C1321,IFERROR(J1320,C1321)),""),"")</f>
        <v/>
      </c>
      <c r="K1321" s="29">
        <f>IFERROR(IF(AND(ISNUMBER(C1321),ISNUMBER(J1321)),C1321/J1321-1,""),"")</f>
        <v/>
      </c>
      <c r="L1321" s="28">
        <f>IFERROR(IF(AND(ISNUMBER(D1321),ISNUMBER(E1321)),D1321-E1321,""),"")</f>
        <v/>
      </c>
    </row>
    <row r="1322">
      <c r="A1322" s="7">
        <f>IFERROR(Datos!A1322,"")</f>
        <v/>
      </c>
      <c r="B1322" s="8">
        <f>IFERROR(Datos!B1322,"")</f>
        <v/>
      </c>
      <c r="C1322" s="8">
        <f>IFERROR(Datos!C1322,"")</f>
        <v/>
      </c>
      <c r="D1322" s="28">
        <f>IFERROR(IF(AND(ISNUMBER(B1322),ISNUMBER(B1321),B1321&lt;&gt;0),B1322/B1321-1,""),"")</f>
        <v/>
      </c>
      <c r="E1322" s="28">
        <f>IFERROR(IF(AND(ISNUMBER(C1322),ISNUMBER(C1321),C1321&lt;&gt;0),C1322/C1321-1,""),"")</f>
        <v/>
      </c>
      <c r="F1322" s="28">
        <f>IFERROR(D1322-Dashboard!$B$4/252,"")</f>
        <v/>
      </c>
      <c r="G1322" s="28">
        <f>IFERROR(E1322-Dashboard!$B$4/252,"")</f>
        <v/>
      </c>
      <c r="H1322" s="8">
        <f>IFERROR(IF(ISNUMBER(B1322),MAX(B1322,IFERROR(H1321,B1322)),""),"")</f>
        <v/>
      </c>
      <c r="I1322" s="29">
        <f>IFERROR(IF(AND(ISNUMBER(B1322),ISNUMBER(H1322)),B1322/H1322-1,""),"")</f>
        <v/>
      </c>
      <c r="J1322" s="8">
        <f>IFERROR(IF(ISNUMBER(C1322),MAX(C1322,IFERROR(J1321,C1322)),""),"")</f>
        <v/>
      </c>
      <c r="K1322" s="29">
        <f>IFERROR(IF(AND(ISNUMBER(C1322),ISNUMBER(J1322)),C1322/J1322-1,""),"")</f>
        <v/>
      </c>
      <c r="L1322" s="28">
        <f>IFERROR(IF(AND(ISNUMBER(D1322),ISNUMBER(E1322)),D1322-E1322,""),"")</f>
        <v/>
      </c>
    </row>
    <row r="1323">
      <c r="A1323" s="7">
        <f>IFERROR(Datos!A1323,"")</f>
        <v/>
      </c>
      <c r="B1323" s="8">
        <f>IFERROR(Datos!B1323,"")</f>
        <v/>
      </c>
      <c r="C1323" s="8">
        <f>IFERROR(Datos!C1323,"")</f>
        <v/>
      </c>
      <c r="D1323" s="28">
        <f>IFERROR(IF(AND(ISNUMBER(B1323),ISNUMBER(B1322),B1322&lt;&gt;0),B1323/B1322-1,""),"")</f>
        <v/>
      </c>
      <c r="E1323" s="28">
        <f>IFERROR(IF(AND(ISNUMBER(C1323),ISNUMBER(C1322),C1322&lt;&gt;0),C1323/C1322-1,""),"")</f>
        <v/>
      </c>
      <c r="F1323" s="28">
        <f>IFERROR(D1323-Dashboard!$B$4/252,"")</f>
        <v/>
      </c>
      <c r="G1323" s="28">
        <f>IFERROR(E1323-Dashboard!$B$4/252,"")</f>
        <v/>
      </c>
      <c r="H1323" s="8">
        <f>IFERROR(IF(ISNUMBER(B1323),MAX(B1323,IFERROR(H1322,B1323)),""),"")</f>
        <v/>
      </c>
      <c r="I1323" s="29">
        <f>IFERROR(IF(AND(ISNUMBER(B1323),ISNUMBER(H1323)),B1323/H1323-1,""),"")</f>
        <v/>
      </c>
      <c r="J1323" s="8">
        <f>IFERROR(IF(ISNUMBER(C1323),MAX(C1323,IFERROR(J1322,C1323)),""),"")</f>
        <v/>
      </c>
      <c r="K1323" s="29">
        <f>IFERROR(IF(AND(ISNUMBER(C1323),ISNUMBER(J1323)),C1323/J1323-1,""),"")</f>
        <v/>
      </c>
      <c r="L1323" s="28">
        <f>IFERROR(IF(AND(ISNUMBER(D1323),ISNUMBER(E1323)),D1323-E1323,""),"")</f>
        <v/>
      </c>
    </row>
    <row r="1324">
      <c r="A1324" s="7">
        <f>IFERROR(Datos!A1324,"")</f>
        <v/>
      </c>
      <c r="B1324" s="8">
        <f>IFERROR(Datos!B1324,"")</f>
        <v/>
      </c>
      <c r="C1324" s="8">
        <f>IFERROR(Datos!C1324,"")</f>
        <v/>
      </c>
      <c r="D1324" s="28">
        <f>IFERROR(IF(AND(ISNUMBER(B1324),ISNUMBER(B1323),B1323&lt;&gt;0),B1324/B1323-1,""),"")</f>
        <v/>
      </c>
      <c r="E1324" s="28">
        <f>IFERROR(IF(AND(ISNUMBER(C1324),ISNUMBER(C1323),C1323&lt;&gt;0),C1324/C1323-1,""),"")</f>
        <v/>
      </c>
      <c r="F1324" s="28">
        <f>IFERROR(D1324-Dashboard!$B$4/252,"")</f>
        <v/>
      </c>
      <c r="G1324" s="28">
        <f>IFERROR(E1324-Dashboard!$B$4/252,"")</f>
        <v/>
      </c>
      <c r="H1324" s="8">
        <f>IFERROR(IF(ISNUMBER(B1324),MAX(B1324,IFERROR(H1323,B1324)),""),"")</f>
        <v/>
      </c>
      <c r="I1324" s="29">
        <f>IFERROR(IF(AND(ISNUMBER(B1324),ISNUMBER(H1324)),B1324/H1324-1,""),"")</f>
        <v/>
      </c>
      <c r="J1324" s="8">
        <f>IFERROR(IF(ISNUMBER(C1324),MAX(C1324,IFERROR(J1323,C1324)),""),"")</f>
        <v/>
      </c>
      <c r="K1324" s="29">
        <f>IFERROR(IF(AND(ISNUMBER(C1324),ISNUMBER(J1324)),C1324/J1324-1,""),"")</f>
        <v/>
      </c>
      <c r="L1324" s="28">
        <f>IFERROR(IF(AND(ISNUMBER(D1324),ISNUMBER(E1324)),D1324-E1324,""),"")</f>
        <v/>
      </c>
    </row>
    <row r="1325">
      <c r="A1325" s="7">
        <f>IFERROR(Datos!A1325,"")</f>
        <v/>
      </c>
      <c r="B1325" s="8">
        <f>IFERROR(Datos!B1325,"")</f>
        <v/>
      </c>
      <c r="C1325" s="8">
        <f>IFERROR(Datos!C1325,"")</f>
        <v/>
      </c>
      <c r="D1325" s="28">
        <f>IFERROR(IF(AND(ISNUMBER(B1325),ISNUMBER(B1324),B1324&lt;&gt;0),B1325/B1324-1,""),"")</f>
        <v/>
      </c>
      <c r="E1325" s="28">
        <f>IFERROR(IF(AND(ISNUMBER(C1325),ISNUMBER(C1324),C1324&lt;&gt;0),C1325/C1324-1,""),"")</f>
        <v/>
      </c>
      <c r="F1325" s="28">
        <f>IFERROR(D1325-Dashboard!$B$4/252,"")</f>
        <v/>
      </c>
      <c r="G1325" s="28">
        <f>IFERROR(E1325-Dashboard!$B$4/252,"")</f>
        <v/>
      </c>
      <c r="H1325" s="8">
        <f>IFERROR(IF(ISNUMBER(B1325),MAX(B1325,IFERROR(H1324,B1325)),""),"")</f>
        <v/>
      </c>
      <c r="I1325" s="29">
        <f>IFERROR(IF(AND(ISNUMBER(B1325),ISNUMBER(H1325)),B1325/H1325-1,""),"")</f>
        <v/>
      </c>
      <c r="J1325" s="8">
        <f>IFERROR(IF(ISNUMBER(C1325),MAX(C1325,IFERROR(J1324,C1325)),""),"")</f>
        <v/>
      </c>
      <c r="K1325" s="29">
        <f>IFERROR(IF(AND(ISNUMBER(C1325),ISNUMBER(J1325)),C1325/J1325-1,""),"")</f>
        <v/>
      </c>
      <c r="L1325" s="28">
        <f>IFERROR(IF(AND(ISNUMBER(D1325),ISNUMBER(E1325)),D1325-E1325,""),"")</f>
        <v/>
      </c>
    </row>
    <row r="1326">
      <c r="A1326" s="7">
        <f>IFERROR(Datos!A1326,"")</f>
        <v/>
      </c>
      <c r="B1326" s="8">
        <f>IFERROR(Datos!B1326,"")</f>
        <v/>
      </c>
      <c r="C1326" s="8">
        <f>IFERROR(Datos!C1326,"")</f>
        <v/>
      </c>
      <c r="D1326" s="28">
        <f>IFERROR(IF(AND(ISNUMBER(B1326),ISNUMBER(B1325),B1325&lt;&gt;0),B1326/B1325-1,""),"")</f>
        <v/>
      </c>
      <c r="E1326" s="28">
        <f>IFERROR(IF(AND(ISNUMBER(C1326),ISNUMBER(C1325),C1325&lt;&gt;0),C1326/C1325-1,""),"")</f>
        <v/>
      </c>
      <c r="F1326" s="28">
        <f>IFERROR(D1326-Dashboard!$B$4/252,"")</f>
        <v/>
      </c>
      <c r="G1326" s="28">
        <f>IFERROR(E1326-Dashboard!$B$4/252,"")</f>
        <v/>
      </c>
      <c r="H1326" s="8">
        <f>IFERROR(IF(ISNUMBER(B1326),MAX(B1326,IFERROR(H1325,B1326)),""),"")</f>
        <v/>
      </c>
      <c r="I1326" s="29">
        <f>IFERROR(IF(AND(ISNUMBER(B1326),ISNUMBER(H1326)),B1326/H1326-1,""),"")</f>
        <v/>
      </c>
      <c r="J1326" s="8">
        <f>IFERROR(IF(ISNUMBER(C1326),MAX(C1326,IFERROR(J1325,C1326)),""),"")</f>
        <v/>
      </c>
      <c r="K1326" s="29">
        <f>IFERROR(IF(AND(ISNUMBER(C1326),ISNUMBER(J1326)),C1326/J1326-1,""),"")</f>
        <v/>
      </c>
      <c r="L1326" s="28">
        <f>IFERROR(IF(AND(ISNUMBER(D1326),ISNUMBER(E1326)),D1326-E1326,""),"")</f>
        <v/>
      </c>
    </row>
    <row r="1327">
      <c r="A1327" s="7">
        <f>IFERROR(Datos!A1327,"")</f>
        <v/>
      </c>
      <c r="B1327" s="8">
        <f>IFERROR(Datos!B1327,"")</f>
        <v/>
      </c>
      <c r="C1327" s="8">
        <f>IFERROR(Datos!C1327,"")</f>
        <v/>
      </c>
      <c r="D1327" s="28">
        <f>IFERROR(IF(AND(ISNUMBER(B1327),ISNUMBER(B1326),B1326&lt;&gt;0),B1327/B1326-1,""),"")</f>
        <v/>
      </c>
      <c r="E1327" s="28">
        <f>IFERROR(IF(AND(ISNUMBER(C1327),ISNUMBER(C1326),C1326&lt;&gt;0),C1327/C1326-1,""),"")</f>
        <v/>
      </c>
      <c r="F1327" s="28">
        <f>IFERROR(D1327-Dashboard!$B$4/252,"")</f>
        <v/>
      </c>
      <c r="G1327" s="28">
        <f>IFERROR(E1327-Dashboard!$B$4/252,"")</f>
        <v/>
      </c>
      <c r="H1327" s="8">
        <f>IFERROR(IF(ISNUMBER(B1327),MAX(B1327,IFERROR(H1326,B1327)),""),"")</f>
        <v/>
      </c>
      <c r="I1327" s="29">
        <f>IFERROR(IF(AND(ISNUMBER(B1327),ISNUMBER(H1327)),B1327/H1327-1,""),"")</f>
        <v/>
      </c>
      <c r="J1327" s="8">
        <f>IFERROR(IF(ISNUMBER(C1327),MAX(C1327,IFERROR(J1326,C1327)),""),"")</f>
        <v/>
      </c>
      <c r="K1327" s="29">
        <f>IFERROR(IF(AND(ISNUMBER(C1327),ISNUMBER(J1327)),C1327/J1327-1,""),"")</f>
        <v/>
      </c>
      <c r="L1327" s="28">
        <f>IFERROR(IF(AND(ISNUMBER(D1327),ISNUMBER(E1327)),D1327-E1327,""),"")</f>
        <v/>
      </c>
    </row>
    <row r="1328">
      <c r="A1328" s="7">
        <f>IFERROR(Datos!A1328,"")</f>
        <v/>
      </c>
      <c r="B1328" s="8">
        <f>IFERROR(Datos!B1328,"")</f>
        <v/>
      </c>
      <c r="C1328" s="8">
        <f>IFERROR(Datos!C1328,"")</f>
        <v/>
      </c>
      <c r="D1328" s="28">
        <f>IFERROR(IF(AND(ISNUMBER(B1328),ISNUMBER(B1327),B1327&lt;&gt;0),B1328/B1327-1,""),"")</f>
        <v/>
      </c>
      <c r="E1328" s="28">
        <f>IFERROR(IF(AND(ISNUMBER(C1328),ISNUMBER(C1327),C1327&lt;&gt;0),C1328/C1327-1,""),"")</f>
        <v/>
      </c>
      <c r="F1328" s="28">
        <f>IFERROR(D1328-Dashboard!$B$4/252,"")</f>
        <v/>
      </c>
      <c r="G1328" s="28">
        <f>IFERROR(E1328-Dashboard!$B$4/252,"")</f>
        <v/>
      </c>
      <c r="H1328" s="8">
        <f>IFERROR(IF(ISNUMBER(B1328),MAX(B1328,IFERROR(H1327,B1328)),""),"")</f>
        <v/>
      </c>
      <c r="I1328" s="29">
        <f>IFERROR(IF(AND(ISNUMBER(B1328),ISNUMBER(H1328)),B1328/H1328-1,""),"")</f>
        <v/>
      </c>
      <c r="J1328" s="8">
        <f>IFERROR(IF(ISNUMBER(C1328),MAX(C1328,IFERROR(J1327,C1328)),""),"")</f>
        <v/>
      </c>
      <c r="K1328" s="29">
        <f>IFERROR(IF(AND(ISNUMBER(C1328),ISNUMBER(J1328)),C1328/J1328-1,""),"")</f>
        <v/>
      </c>
      <c r="L1328" s="28">
        <f>IFERROR(IF(AND(ISNUMBER(D1328),ISNUMBER(E1328)),D1328-E1328,""),"")</f>
        <v/>
      </c>
    </row>
    <row r="1329">
      <c r="A1329" s="7">
        <f>IFERROR(Datos!A1329,"")</f>
        <v/>
      </c>
      <c r="B1329" s="8">
        <f>IFERROR(Datos!B1329,"")</f>
        <v/>
      </c>
      <c r="C1329" s="8">
        <f>IFERROR(Datos!C1329,"")</f>
        <v/>
      </c>
      <c r="D1329" s="28">
        <f>IFERROR(IF(AND(ISNUMBER(B1329),ISNUMBER(B1328),B1328&lt;&gt;0),B1329/B1328-1,""),"")</f>
        <v/>
      </c>
      <c r="E1329" s="28">
        <f>IFERROR(IF(AND(ISNUMBER(C1329),ISNUMBER(C1328),C1328&lt;&gt;0),C1329/C1328-1,""),"")</f>
        <v/>
      </c>
      <c r="F1329" s="28">
        <f>IFERROR(D1329-Dashboard!$B$4/252,"")</f>
        <v/>
      </c>
      <c r="G1329" s="28">
        <f>IFERROR(E1329-Dashboard!$B$4/252,"")</f>
        <v/>
      </c>
      <c r="H1329" s="8">
        <f>IFERROR(IF(ISNUMBER(B1329),MAX(B1329,IFERROR(H1328,B1329)),""),"")</f>
        <v/>
      </c>
      <c r="I1329" s="29">
        <f>IFERROR(IF(AND(ISNUMBER(B1329),ISNUMBER(H1329)),B1329/H1329-1,""),"")</f>
        <v/>
      </c>
      <c r="J1329" s="8">
        <f>IFERROR(IF(ISNUMBER(C1329),MAX(C1329,IFERROR(J1328,C1329)),""),"")</f>
        <v/>
      </c>
      <c r="K1329" s="29">
        <f>IFERROR(IF(AND(ISNUMBER(C1329),ISNUMBER(J1329)),C1329/J1329-1,""),"")</f>
        <v/>
      </c>
      <c r="L1329" s="28">
        <f>IFERROR(IF(AND(ISNUMBER(D1329),ISNUMBER(E1329)),D1329-E1329,""),"")</f>
        <v/>
      </c>
    </row>
    <row r="1330">
      <c r="A1330" s="7">
        <f>IFERROR(Datos!A1330,"")</f>
        <v/>
      </c>
      <c r="B1330" s="8">
        <f>IFERROR(Datos!B1330,"")</f>
        <v/>
      </c>
      <c r="C1330" s="8">
        <f>IFERROR(Datos!C1330,"")</f>
        <v/>
      </c>
      <c r="D1330" s="28">
        <f>IFERROR(IF(AND(ISNUMBER(B1330),ISNUMBER(B1329),B1329&lt;&gt;0),B1330/B1329-1,""),"")</f>
        <v/>
      </c>
      <c r="E1330" s="28">
        <f>IFERROR(IF(AND(ISNUMBER(C1330),ISNUMBER(C1329),C1329&lt;&gt;0),C1330/C1329-1,""),"")</f>
        <v/>
      </c>
      <c r="F1330" s="28">
        <f>IFERROR(D1330-Dashboard!$B$4/252,"")</f>
        <v/>
      </c>
      <c r="G1330" s="28">
        <f>IFERROR(E1330-Dashboard!$B$4/252,"")</f>
        <v/>
      </c>
      <c r="H1330" s="8">
        <f>IFERROR(IF(ISNUMBER(B1330),MAX(B1330,IFERROR(H1329,B1330)),""),"")</f>
        <v/>
      </c>
      <c r="I1330" s="29">
        <f>IFERROR(IF(AND(ISNUMBER(B1330),ISNUMBER(H1330)),B1330/H1330-1,""),"")</f>
        <v/>
      </c>
      <c r="J1330" s="8">
        <f>IFERROR(IF(ISNUMBER(C1330),MAX(C1330,IFERROR(J1329,C1330)),""),"")</f>
        <v/>
      </c>
      <c r="K1330" s="29">
        <f>IFERROR(IF(AND(ISNUMBER(C1330),ISNUMBER(J1330)),C1330/J1330-1,""),"")</f>
        <v/>
      </c>
      <c r="L1330" s="28">
        <f>IFERROR(IF(AND(ISNUMBER(D1330),ISNUMBER(E1330)),D1330-E1330,""),"")</f>
        <v/>
      </c>
    </row>
    <row r="1331">
      <c r="A1331" s="7">
        <f>IFERROR(Datos!A1331,"")</f>
        <v/>
      </c>
      <c r="B1331" s="8">
        <f>IFERROR(Datos!B1331,"")</f>
        <v/>
      </c>
      <c r="C1331" s="8">
        <f>IFERROR(Datos!C1331,"")</f>
        <v/>
      </c>
      <c r="D1331" s="28">
        <f>IFERROR(IF(AND(ISNUMBER(B1331),ISNUMBER(B1330),B1330&lt;&gt;0),B1331/B1330-1,""),"")</f>
        <v/>
      </c>
      <c r="E1331" s="28">
        <f>IFERROR(IF(AND(ISNUMBER(C1331),ISNUMBER(C1330),C1330&lt;&gt;0),C1331/C1330-1,""),"")</f>
        <v/>
      </c>
      <c r="F1331" s="28">
        <f>IFERROR(D1331-Dashboard!$B$4/252,"")</f>
        <v/>
      </c>
      <c r="G1331" s="28">
        <f>IFERROR(E1331-Dashboard!$B$4/252,"")</f>
        <v/>
      </c>
      <c r="H1331" s="8">
        <f>IFERROR(IF(ISNUMBER(B1331),MAX(B1331,IFERROR(H1330,B1331)),""),"")</f>
        <v/>
      </c>
      <c r="I1331" s="29">
        <f>IFERROR(IF(AND(ISNUMBER(B1331),ISNUMBER(H1331)),B1331/H1331-1,""),"")</f>
        <v/>
      </c>
      <c r="J1331" s="8">
        <f>IFERROR(IF(ISNUMBER(C1331),MAX(C1331,IFERROR(J1330,C1331)),""),"")</f>
        <v/>
      </c>
      <c r="K1331" s="29">
        <f>IFERROR(IF(AND(ISNUMBER(C1331),ISNUMBER(J1331)),C1331/J1331-1,""),"")</f>
        <v/>
      </c>
      <c r="L1331" s="28">
        <f>IFERROR(IF(AND(ISNUMBER(D1331),ISNUMBER(E1331)),D1331-E1331,""),"")</f>
        <v/>
      </c>
    </row>
    <row r="1332">
      <c r="A1332" s="7">
        <f>IFERROR(Datos!A1332,"")</f>
        <v/>
      </c>
      <c r="B1332" s="8">
        <f>IFERROR(Datos!B1332,"")</f>
        <v/>
      </c>
      <c r="C1332" s="8">
        <f>IFERROR(Datos!C1332,"")</f>
        <v/>
      </c>
      <c r="D1332" s="28">
        <f>IFERROR(IF(AND(ISNUMBER(B1332),ISNUMBER(B1331),B1331&lt;&gt;0),B1332/B1331-1,""),"")</f>
        <v/>
      </c>
      <c r="E1332" s="28">
        <f>IFERROR(IF(AND(ISNUMBER(C1332),ISNUMBER(C1331),C1331&lt;&gt;0),C1332/C1331-1,""),"")</f>
        <v/>
      </c>
      <c r="F1332" s="28">
        <f>IFERROR(D1332-Dashboard!$B$4/252,"")</f>
        <v/>
      </c>
      <c r="G1332" s="28">
        <f>IFERROR(E1332-Dashboard!$B$4/252,"")</f>
        <v/>
      </c>
      <c r="H1332" s="8">
        <f>IFERROR(IF(ISNUMBER(B1332),MAX(B1332,IFERROR(H1331,B1332)),""),"")</f>
        <v/>
      </c>
      <c r="I1332" s="29">
        <f>IFERROR(IF(AND(ISNUMBER(B1332),ISNUMBER(H1332)),B1332/H1332-1,""),"")</f>
        <v/>
      </c>
      <c r="J1332" s="8">
        <f>IFERROR(IF(ISNUMBER(C1332),MAX(C1332,IFERROR(J1331,C1332)),""),"")</f>
        <v/>
      </c>
      <c r="K1332" s="29">
        <f>IFERROR(IF(AND(ISNUMBER(C1332),ISNUMBER(J1332)),C1332/J1332-1,""),"")</f>
        <v/>
      </c>
      <c r="L1332" s="28">
        <f>IFERROR(IF(AND(ISNUMBER(D1332),ISNUMBER(E1332)),D1332-E1332,""),"")</f>
        <v/>
      </c>
    </row>
    <row r="1333">
      <c r="A1333" s="7">
        <f>IFERROR(Datos!A1333,"")</f>
        <v/>
      </c>
      <c r="B1333" s="8">
        <f>IFERROR(Datos!B1333,"")</f>
        <v/>
      </c>
      <c r="C1333" s="8">
        <f>IFERROR(Datos!C1333,"")</f>
        <v/>
      </c>
      <c r="D1333" s="28">
        <f>IFERROR(IF(AND(ISNUMBER(B1333),ISNUMBER(B1332),B1332&lt;&gt;0),B1333/B1332-1,""),"")</f>
        <v/>
      </c>
      <c r="E1333" s="28">
        <f>IFERROR(IF(AND(ISNUMBER(C1333),ISNUMBER(C1332),C1332&lt;&gt;0),C1333/C1332-1,""),"")</f>
        <v/>
      </c>
      <c r="F1333" s="28">
        <f>IFERROR(D1333-Dashboard!$B$4/252,"")</f>
        <v/>
      </c>
      <c r="G1333" s="28">
        <f>IFERROR(E1333-Dashboard!$B$4/252,"")</f>
        <v/>
      </c>
      <c r="H1333" s="8">
        <f>IFERROR(IF(ISNUMBER(B1333),MAX(B1333,IFERROR(H1332,B1333)),""),"")</f>
        <v/>
      </c>
      <c r="I1333" s="29">
        <f>IFERROR(IF(AND(ISNUMBER(B1333),ISNUMBER(H1333)),B1333/H1333-1,""),"")</f>
        <v/>
      </c>
      <c r="J1333" s="8">
        <f>IFERROR(IF(ISNUMBER(C1333),MAX(C1333,IFERROR(J1332,C1333)),""),"")</f>
        <v/>
      </c>
      <c r="K1333" s="29">
        <f>IFERROR(IF(AND(ISNUMBER(C1333),ISNUMBER(J1333)),C1333/J1333-1,""),"")</f>
        <v/>
      </c>
      <c r="L1333" s="28">
        <f>IFERROR(IF(AND(ISNUMBER(D1333),ISNUMBER(E1333)),D1333-E1333,""),"")</f>
        <v/>
      </c>
    </row>
    <row r="1334">
      <c r="A1334" s="7">
        <f>IFERROR(Datos!A1334,"")</f>
        <v/>
      </c>
      <c r="B1334" s="8">
        <f>IFERROR(Datos!B1334,"")</f>
        <v/>
      </c>
      <c r="C1334" s="8">
        <f>IFERROR(Datos!C1334,"")</f>
        <v/>
      </c>
      <c r="D1334" s="28">
        <f>IFERROR(IF(AND(ISNUMBER(B1334),ISNUMBER(B1333),B1333&lt;&gt;0),B1334/B1333-1,""),"")</f>
        <v/>
      </c>
      <c r="E1334" s="28">
        <f>IFERROR(IF(AND(ISNUMBER(C1334),ISNUMBER(C1333),C1333&lt;&gt;0),C1334/C1333-1,""),"")</f>
        <v/>
      </c>
      <c r="F1334" s="28">
        <f>IFERROR(D1334-Dashboard!$B$4/252,"")</f>
        <v/>
      </c>
      <c r="G1334" s="28">
        <f>IFERROR(E1334-Dashboard!$B$4/252,"")</f>
        <v/>
      </c>
      <c r="H1334" s="8">
        <f>IFERROR(IF(ISNUMBER(B1334),MAX(B1334,IFERROR(H1333,B1334)),""),"")</f>
        <v/>
      </c>
      <c r="I1334" s="29">
        <f>IFERROR(IF(AND(ISNUMBER(B1334),ISNUMBER(H1334)),B1334/H1334-1,""),"")</f>
        <v/>
      </c>
      <c r="J1334" s="8">
        <f>IFERROR(IF(ISNUMBER(C1334),MAX(C1334,IFERROR(J1333,C1334)),""),"")</f>
        <v/>
      </c>
      <c r="K1334" s="29">
        <f>IFERROR(IF(AND(ISNUMBER(C1334),ISNUMBER(J1334)),C1334/J1334-1,""),"")</f>
        <v/>
      </c>
      <c r="L1334" s="28">
        <f>IFERROR(IF(AND(ISNUMBER(D1334),ISNUMBER(E1334)),D1334-E1334,""),"")</f>
        <v/>
      </c>
    </row>
    <row r="1335">
      <c r="A1335" s="7">
        <f>IFERROR(Datos!A1335,"")</f>
        <v/>
      </c>
      <c r="B1335" s="8">
        <f>IFERROR(Datos!B1335,"")</f>
        <v/>
      </c>
      <c r="C1335" s="8">
        <f>IFERROR(Datos!C1335,"")</f>
        <v/>
      </c>
      <c r="D1335" s="28">
        <f>IFERROR(IF(AND(ISNUMBER(B1335),ISNUMBER(B1334),B1334&lt;&gt;0),B1335/B1334-1,""),"")</f>
        <v/>
      </c>
      <c r="E1335" s="28">
        <f>IFERROR(IF(AND(ISNUMBER(C1335),ISNUMBER(C1334),C1334&lt;&gt;0),C1335/C1334-1,""),"")</f>
        <v/>
      </c>
      <c r="F1335" s="28">
        <f>IFERROR(D1335-Dashboard!$B$4/252,"")</f>
        <v/>
      </c>
      <c r="G1335" s="28">
        <f>IFERROR(E1335-Dashboard!$B$4/252,"")</f>
        <v/>
      </c>
      <c r="H1335" s="8">
        <f>IFERROR(IF(ISNUMBER(B1335),MAX(B1335,IFERROR(H1334,B1335)),""),"")</f>
        <v/>
      </c>
      <c r="I1335" s="29">
        <f>IFERROR(IF(AND(ISNUMBER(B1335),ISNUMBER(H1335)),B1335/H1335-1,""),"")</f>
        <v/>
      </c>
      <c r="J1335" s="8">
        <f>IFERROR(IF(ISNUMBER(C1335),MAX(C1335,IFERROR(J1334,C1335)),""),"")</f>
        <v/>
      </c>
      <c r="K1335" s="29">
        <f>IFERROR(IF(AND(ISNUMBER(C1335),ISNUMBER(J1335)),C1335/J1335-1,""),"")</f>
        <v/>
      </c>
      <c r="L1335" s="28">
        <f>IFERROR(IF(AND(ISNUMBER(D1335),ISNUMBER(E1335)),D1335-E1335,""),"")</f>
        <v/>
      </c>
    </row>
    <row r="1336">
      <c r="A1336" s="7">
        <f>IFERROR(Datos!A1336,"")</f>
        <v/>
      </c>
      <c r="B1336" s="8">
        <f>IFERROR(Datos!B1336,"")</f>
        <v/>
      </c>
      <c r="C1336" s="8">
        <f>IFERROR(Datos!C1336,"")</f>
        <v/>
      </c>
      <c r="D1336" s="28">
        <f>IFERROR(IF(AND(ISNUMBER(B1336),ISNUMBER(B1335),B1335&lt;&gt;0),B1336/B1335-1,""),"")</f>
        <v/>
      </c>
      <c r="E1336" s="28">
        <f>IFERROR(IF(AND(ISNUMBER(C1336),ISNUMBER(C1335),C1335&lt;&gt;0),C1336/C1335-1,""),"")</f>
        <v/>
      </c>
      <c r="F1336" s="28">
        <f>IFERROR(D1336-Dashboard!$B$4/252,"")</f>
        <v/>
      </c>
      <c r="G1336" s="28">
        <f>IFERROR(E1336-Dashboard!$B$4/252,"")</f>
        <v/>
      </c>
      <c r="H1336" s="8">
        <f>IFERROR(IF(ISNUMBER(B1336),MAX(B1336,IFERROR(H1335,B1336)),""),"")</f>
        <v/>
      </c>
      <c r="I1336" s="29">
        <f>IFERROR(IF(AND(ISNUMBER(B1336),ISNUMBER(H1336)),B1336/H1336-1,""),"")</f>
        <v/>
      </c>
      <c r="J1336" s="8">
        <f>IFERROR(IF(ISNUMBER(C1336),MAX(C1336,IFERROR(J1335,C1336)),""),"")</f>
        <v/>
      </c>
      <c r="K1336" s="29">
        <f>IFERROR(IF(AND(ISNUMBER(C1336),ISNUMBER(J1336)),C1336/J1336-1,""),"")</f>
        <v/>
      </c>
      <c r="L1336" s="28">
        <f>IFERROR(IF(AND(ISNUMBER(D1336),ISNUMBER(E1336)),D1336-E1336,""),"")</f>
        <v/>
      </c>
    </row>
    <row r="1337">
      <c r="A1337" s="7">
        <f>IFERROR(Datos!A1337,"")</f>
        <v/>
      </c>
      <c r="B1337" s="8">
        <f>IFERROR(Datos!B1337,"")</f>
        <v/>
      </c>
      <c r="C1337" s="8">
        <f>IFERROR(Datos!C1337,"")</f>
        <v/>
      </c>
      <c r="D1337" s="28">
        <f>IFERROR(IF(AND(ISNUMBER(B1337),ISNUMBER(B1336),B1336&lt;&gt;0),B1337/B1336-1,""),"")</f>
        <v/>
      </c>
      <c r="E1337" s="28">
        <f>IFERROR(IF(AND(ISNUMBER(C1337),ISNUMBER(C1336),C1336&lt;&gt;0),C1337/C1336-1,""),"")</f>
        <v/>
      </c>
      <c r="F1337" s="28">
        <f>IFERROR(D1337-Dashboard!$B$4/252,"")</f>
        <v/>
      </c>
      <c r="G1337" s="28">
        <f>IFERROR(E1337-Dashboard!$B$4/252,"")</f>
        <v/>
      </c>
      <c r="H1337" s="8">
        <f>IFERROR(IF(ISNUMBER(B1337),MAX(B1337,IFERROR(H1336,B1337)),""),"")</f>
        <v/>
      </c>
      <c r="I1337" s="29">
        <f>IFERROR(IF(AND(ISNUMBER(B1337),ISNUMBER(H1337)),B1337/H1337-1,""),"")</f>
        <v/>
      </c>
      <c r="J1337" s="8">
        <f>IFERROR(IF(ISNUMBER(C1337),MAX(C1337,IFERROR(J1336,C1337)),""),"")</f>
        <v/>
      </c>
      <c r="K1337" s="29">
        <f>IFERROR(IF(AND(ISNUMBER(C1337),ISNUMBER(J1337)),C1337/J1337-1,""),"")</f>
        <v/>
      </c>
      <c r="L1337" s="28">
        <f>IFERROR(IF(AND(ISNUMBER(D1337),ISNUMBER(E1337)),D1337-E1337,""),"")</f>
        <v/>
      </c>
    </row>
    <row r="1338">
      <c r="A1338" s="7">
        <f>IFERROR(Datos!A1338,"")</f>
        <v/>
      </c>
      <c r="B1338" s="8">
        <f>IFERROR(Datos!B1338,"")</f>
        <v/>
      </c>
      <c r="C1338" s="8">
        <f>IFERROR(Datos!C1338,"")</f>
        <v/>
      </c>
      <c r="D1338" s="28">
        <f>IFERROR(IF(AND(ISNUMBER(B1338),ISNUMBER(B1337),B1337&lt;&gt;0),B1338/B1337-1,""),"")</f>
        <v/>
      </c>
      <c r="E1338" s="28">
        <f>IFERROR(IF(AND(ISNUMBER(C1338),ISNUMBER(C1337),C1337&lt;&gt;0),C1338/C1337-1,""),"")</f>
        <v/>
      </c>
      <c r="F1338" s="28">
        <f>IFERROR(D1338-Dashboard!$B$4/252,"")</f>
        <v/>
      </c>
      <c r="G1338" s="28">
        <f>IFERROR(E1338-Dashboard!$B$4/252,"")</f>
        <v/>
      </c>
      <c r="H1338" s="8">
        <f>IFERROR(IF(ISNUMBER(B1338),MAX(B1338,IFERROR(H1337,B1338)),""),"")</f>
        <v/>
      </c>
      <c r="I1338" s="29">
        <f>IFERROR(IF(AND(ISNUMBER(B1338),ISNUMBER(H1338)),B1338/H1338-1,""),"")</f>
        <v/>
      </c>
      <c r="J1338" s="8">
        <f>IFERROR(IF(ISNUMBER(C1338),MAX(C1338,IFERROR(J1337,C1338)),""),"")</f>
        <v/>
      </c>
      <c r="K1338" s="29">
        <f>IFERROR(IF(AND(ISNUMBER(C1338),ISNUMBER(J1338)),C1338/J1338-1,""),"")</f>
        <v/>
      </c>
      <c r="L1338" s="28">
        <f>IFERROR(IF(AND(ISNUMBER(D1338),ISNUMBER(E1338)),D1338-E1338,""),"")</f>
        <v/>
      </c>
    </row>
    <row r="1339">
      <c r="A1339" s="7">
        <f>IFERROR(Datos!A1339,"")</f>
        <v/>
      </c>
      <c r="B1339" s="8">
        <f>IFERROR(Datos!B1339,"")</f>
        <v/>
      </c>
      <c r="C1339" s="8">
        <f>IFERROR(Datos!C1339,"")</f>
        <v/>
      </c>
      <c r="D1339" s="28">
        <f>IFERROR(IF(AND(ISNUMBER(B1339),ISNUMBER(B1338),B1338&lt;&gt;0),B1339/B1338-1,""),"")</f>
        <v/>
      </c>
      <c r="E1339" s="28">
        <f>IFERROR(IF(AND(ISNUMBER(C1339),ISNUMBER(C1338),C1338&lt;&gt;0),C1339/C1338-1,""),"")</f>
        <v/>
      </c>
      <c r="F1339" s="28">
        <f>IFERROR(D1339-Dashboard!$B$4/252,"")</f>
        <v/>
      </c>
      <c r="G1339" s="28">
        <f>IFERROR(E1339-Dashboard!$B$4/252,"")</f>
        <v/>
      </c>
      <c r="H1339" s="8">
        <f>IFERROR(IF(ISNUMBER(B1339),MAX(B1339,IFERROR(H1338,B1339)),""),"")</f>
        <v/>
      </c>
      <c r="I1339" s="29">
        <f>IFERROR(IF(AND(ISNUMBER(B1339),ISNUMBER(H1339)),B1339/H1339-1,""),"")</f>
        <v/>
      </c>
      <c r="J1339" s="8">
        <f>IFERROR(IF(ISNUMBER(C1339),MAX(C1339,IFERROR(J1338,C1339)),""),"")</f>
        <v/>
      </c>
      <c r="K1339" s="29">
        <f>IFERROR(IF(AND(ISNUMBER(C1339),ISNUMBER(J1339)),C1339/J1339-1,""),"")</f>
        <v/>
      </c>
      <c r="L1339" s="28">
        <f>IFERROR(IF(AND(ISNUMBER(D1339),ISNUMBER(E1339)),D1339-E1339,""),"")</f>
        <v/>
      </c>
    </row>
    <row r="1340">
      <c r="A1340" s="7">
        <f>IFERROR(Datos!A1340,"")</f>
        <v/>
      </c>
      <c r="B1340" s="8">
        <f>IFERROR(Datos!B1340,"")</f>
        <v/>
      </c>
      <c r="C1340" s="8">
        <f>IFERROR(Datos!C1340,"")</f>
        <v/>
      </c>
      <c r="D1340" s="28">
        <f>IFERROR(IF(AND(ISNUMBER(B1340),ISNUMBER(B1339),B1339&lt;&gt;0),B1340/B1339-1,""),"")</f>
        <v/>
      </c>
      <c r="E1340" s="28">
        <f>IFERROR(IF(AND(ISNUMBER(C1340),ISNUMBER(C1339),C1339&lt;&gt;0),C1340/C1339-1,""),"")</f>
        <v/>
      </c>
      <c r="F1340" s="28">
        <f>IFERROR(D1340-Dashboard!$B$4/252,"")</f>
        <v/>
      </c>
      <c r="G1340" s="28">
        <f>IFERROR(E1340-Dashboard!$B$4/252,"")</f>
        <v/>
      </c>
      <c r="H1340" s="8">
        <f>IFERROR(IF(ISNUMBER(B1340),MAX(B1340,IFERROR(H1339,B1340)),""),"")</f>
        <v/>
      </c>
      <c r="I1340" s="29">
        <f>IFERROR(IF(AND(ISNUMBER(B1340),ISNUMBER(H1340)),B1340/H1340-1,""),"")</f>
        <v/>
      </c>
      <c r="J1340" s="8">
        <f>IFERROR(IF(ISNUMBER(C1340),MAX(C1340,IFERROR(J1339,C1340)),""),"")</f>
        <v/>
      </c>
      <c r="K1340" s="29">
        <f>IFERROR(IF(AND(ISNUMBER(C1340),ISNUMBER(J1340)),C1340/J1340-1,""),"")</f>
        <v/>
      </c>
      <c r="L1340" s="28">
        <f>IFERROR(IF(AND(ISNUMBER(D1340),ISNUMBER(E1340)),D1340-E1340,""),"")</f>
        <v/>
      </c>
    </row>
    <row r="1341">
      <c r="A1341" s="7">
        <f>IFERROR(Datos!A1341,"")</f>
        <v/>
      </c>
      <c r="B1341" s="8">
        <f>IFERROR(Datos!B1341,"")</f>
        <v/>
      </c>
      <c r="C1341" s="8">
        <f>IFERROR(Datos!C1341,"")</f>
        <v/>
      </c>
      <c r="D1341" s="28">
        <f>IFERROR(IF(AND(ISNUMBER(B1341),ISNUMBER(B1340),B1340&lt;&gt;0),B1341/B1340-1,""),"")</f>
        <v/>
      </c>
      <c r="E1341" s="28">
        <f>IFERROR(IF(AND(ISNUMBER(C1341),ISNUMBER(C1340),C1340&lt;&gt;0),C1341/C1340-1,""),"")</f>
        <v/>
      </c>
      <c r="F1341" s="28">
        <f>IFERROR(D1341-Dashboard!$B$4/252,"")</f>
        <v/>
      </c>
      <c r="G1341" s="28">
        <f>IFERROR(E1341-Dashboard!$B$4/252,"")</f>
        <v/>
      </c>
      <c r="H1341" s="8">
        <f>IFERROR(IF(ISNUMBER(B1341),MAX(B1341,IFERROR(H1340,B1341)),""),"")</f>
        <v/>
      </c>
      <c r="I1341" s="29">
        <f>IFERROR(IF(AND(ISNUMBER(B1341),ISNUMBER(H1341)),B1341/H1341-1,""),"")</f>
        <v/>
      </c>
      <c r="J1341" s="8">
        <f>IFERROR(IF(ISNUMBER(C1341),MAX(C1341,IFERROR(J1340,C1341)),""),"")</f>
        <v/>
      </c>
      <c r="K1341" s="29">
        <f>IFERROR(IF(AND(ISNUMBER(C1341),ISNUMBER(J1341)),C1341/J1341-1,""),"")</f>
        <v/>
      </c>
      <c r="L1341" s="28">
        <f>IFERROR(IF(AND(ISNUMBER(D1341),ISNUMBER(E1341)),D1341-E1341,""),"")</f>
        <v/>
      </c>
    </row>
    <row r="1342">
      <c r="A1342" s="7">
        <f>IFERROR(Datos!A1342,"")</f>
        <v/>
      </c>
      <c r="B1342" s="8">
        <f>IFERROR(Datos!B1342,"")</f>
        <v/>
      </c>
      <c r="C1342" s="8">
        <f>IFERROR(Datos!C1342,"")</f>
        <v/>
      </c>
      <c r="D1342" s="28">
        <f>IFERROR(IF(AND(ISNUMBER(B1342),ISNUMBER(B1341),B1341&lt;&gt;0),B1342/B1341-1,""),"")</f>
        <v/>
      </c>
      <c r="E1342" s="28">
        <f>IFERROR(IF(AND(ISNUMBER(C1342),ISNUMBER(C1341),C1341&lt;&gt;0),C1342/C1341-1,""),"")</f>
        <v/>
      </c>
      <c r="F1342" s="28">
        <f>IFERROR(D1342-Dashboard!$B$4/252,"")</f>
        <v/>
      </c>
      <c r="G1342" s="28">
        <f>IFERROR(E1342-Dashboard!$B$4/252,"")</f>
        <v/>
      </c>
      <c r="H1342" s="8">
        <f>IFERROR(IF(ISNUMBER(B1342),MAX(B1342,IFERROR(H1341,B1342)),""),"")</f>
        <v/>
      </c>
      <c r="I1342" s="29">
        <f>IFERROR(IF(AND(ISNUMBER(B1342),ISNUMBER(H1342)),B1342/H1342-1,""),"")</f>
        <v/>
      </c>
      <c r="J1342" s="8">
        <f>IFERROR(IF(ISNUMBER(C1342),MAX(C1342,IFERROR(J1341,C1342)),""),"")</f>
        <v/>
      </c>
      <c r="K1342" s="29">
        <f>IFERROR(IF(AND(ISNUMBER(C1342),ISNUMBER(J1342)),C1342/J1342-1,""),"")</f>
        <v/>
      </c>
      <c r="L1342" s="28">
        <f>IFERROR(IF(AND(ISNUMBER(D1342),ISNUMBER(E1342)),D1342-E1342,""),"")</f>
        <v/>
      </c>
    </row>
    <row r="1343">
      <c r="A1343" s="7">
        <f>IFERROR(Datos!A1343,"")</f>
        <v/>
      </c>
      <c r="B1343" s="8">
        <f>IFERROR(Datos!B1343,"")</f>
        <v/>
      </c>
      <c r="C1343" s="8">
        <f>IFERROR(Datos!C1343,"")</f>
        <v/>
      </c>
      <c r="D1343" s="28">
        <f>IFERROR(IF(AND(ISNUMBER(B1343),ISNUMBER(B1342),B1342&lt;&gt;0),B1343/B1342-1,""),"")</f>
        <v/>
      </c>
      <c r="E1343" s="28">
        <f>IFERROR(IF(AND(ISNUMBER(C1343),ISNUMBER(C1342),C1342&lt;&gt;0),C1343/C1342-1,""),"")</f>
        <v/>
      </c>
      <c r="F1343" s="28">
        <f>IFERROR(D1343-Dashboard!$B$4/252,"")</f>
        <v/>
      </c>
      <c r="G1343" s="28">
        <f>IFERROR(E1343-Dashboard!$B$4/252,"")</f>
        <v/>
      </c>
      <c r="H1343" s="8">
        <f>IFERROR(IF(ISNUMBER(B1343),MAX(B1343,IFERROR(H1342,B1343)),""),"")</f>
        <v/>
      </c>
      <c r="I1343" s="29">
        <f>IFERROR(IF(AND(ISNUMBER(B1343),ISNUMBER(H1343)),B1343/H1343-1,""),"")</f>
        <v/>
      </c>
      <c r="J1343" s="8">
        <f>IFERROR(IF(ISNUMBER(C1343),MAX(C1343,IFERROR(J1342,C1343)),""),"")</f>
        <v/>
      </c>
      <c r="K1343" s="29">
        <f>IFERROR(IF(AND(ISNUMBER(C1343),ISNUMBER(J1343)),C1343/J1343-1,""),"")</f>
        <v/>
      </c>
      <c r="L1343" s="28">
        <f>IFERROR(IF(AND(ISNUMBER(D1343),ISNUMBER(E1343)),D1343-E1343,""),"")</f>
        <v/>
      </c>
    </row>
    <row r="1344">
      <c r="A1344" s="7">
        <f>IFERROR(Datos!A1344,"")</f>
        <v/>
      </c>
      <c r="B1344" s="8">
        <f>IFERROR(Datos!B1344,"")</f>
        <v/>
      </c>
      <c r="C1344" s="8">
        <f>IFERROR(Datos!C1344,"")</f>
        <v/>
      </c>
      <c r="D1344" s="28">
        <f>IFERROR(IF(AND(ISNUMBER(B1344),ISNUMBER(B1343),B1343&lt;&gt;0),B1344/B1343-1,""),"")</f>
        <v/>
      </c>
      <c r="E1344" s="28">
        <f>IFERROR(IF(AND(ISNUMBER(C1344),ISNUMBER(C1343),C1343&lt;&gt;0),C1344/C1343-1,""),"")</f>
        <v/>
      </c>
      <c r="F1344" s="28">
        <f>IFERROR(D1344-Dashboard!$B$4/252,"")</f>
        <v/>
      </c>
      <c r="G1344" s="28">
        <f>IFERROR(E1344-Dashboard!$B$4/252,"")</f>
        <v/>
      </c>
      <c r="H1344" s="8">
        <f>IFERROR(IF(ISNUMBER(B1344),MAX(B1344,IFERROR(H1343,B1344)),""),"")</f>
        <v/>
      </c>
      <c r="I1344" s="29">
        <f>IFERROR(IF(AND(ISNUMBER(B1344),ISNUMBER(H1344)),B1344/H1344-1,""),"")</f>
        <v/>
      </c>
      <c r="J1344" s="8">
        <f>IFERROR(IF(ISNUMBER(C1344),MAX(C1344,IFERROR(J1343,C1344)),""),"")</f>
        <v/>
      </c>
      <c r="K1344" s="29">
        <f>IFERROR(IF(AND(ISNUMBER(C1344),ISNUMBER(J1344)),C1344/J1344-1,""),"")</f>
        <v/>
      </c>
      <c r="L1344" s="28">
        <f>IFERROR(IF(AND(ISNUMBER(D1344),ISNUMBER(E1344)),D1344-E1344,""),"")</f>
        <v/>
      </c>
    </row>
    <row r="1345">
      <c r="A1345" s="7">
        <f>IFERROR(Datos!A1345,"")</f>
        <v/>
      </c>
      <c r="B1345" s="8">
        <f>IFERROR(Datos!B1345,"")</f>
        <v/>
      </c>
      <c r="C1345" s="8">
        <f>IFERROR(Datos!C1345,"")</f>
        <v/>
      </c>
      <c r="D1345" s="28">
        <f>IFERROR(IF(AND(ISNUMBER(B1345),ISNUMBER(B1344),B1344&lt;&gt;0),B1345/B1344-1,""),"")</f>
        <v/>
      </c>
      <c r="E1345" s="28">
        <f>IFERROR(IF(AND(ISNUMBER(C1345),ISNUMBER(C1344),C1344&lt;&gt;0),C1345/C1344-1,""),"")</f>
        <v/>
      </c>
      <c r="F1345" s="28">
        <f>IFERROR(D1345-Dashboard!$B$4/252,"")</f>
        <v/>
      </c>
      <c r="G1345" s="28">
        <f>IFERROR(E1345-Dashboard!$B$4/252,"")</f>
        <v/>
      </c>
      <c r="H1345" s="8">
        <f>IFERROR(IF(ISNUMBER(B1345),MAX(B1345,IFERROR(H1344,B1345)),""),"")</f>
        <v/>
      </c>
      <c r="I1345" s="29">
        <f>IFERROR(IF(AND(ISNUMBER(B1345),ISNUMBER(H1345)),B1345/H1345-1,""),"")</f>
        <v/>
      </c>
      <c r="J1345" s="8">
        <f>IFERROR(IF(ISNUMBER(C1345),MAX(C1345,IFERROR(J1344,C1345)),""),"")</f>
        <v/>
      </c>
      <c r="K1345" s="29">
        <f>IFERROR(IF(AND(ISNUMBER(C1345),ISNUMBER(J1345)),C1345/J1345-1,""),"")</f>
        <v/>
      </c>
      <c r="L1345" s="28">
        <f>IFERROR(IF(AND(ISNUMBER(D1345),ISNUMBER(E1345)),D1345-E1345,""),"")</f>
        <v/>
      </c>
    </row>
    <row r="1346">
      <c r="A1346" s="7">
        <f>IFERROR(Datos!A1346,"")</f>
        <v/>
      </c>
      <c r="B1346" s="8">
        <f>IFERROR(Datos!B1346,"")</f>
        <v/>
      </c>
      <c r="C1346" s="8">
        <f>IFERROR(Datos!C1346,"")</f>
        <v/>
      </c>
      <c r="D1346" s="28">
        <f>IFERROR(IF(AND(ISNUMBER(B1346),ISNUMBER(B1345),B1345&lt;&gt;0),B1346/B1345-1,""),"")</f>
        <v/>
      </c>
      <c r="E1346" s="28">
        <f>IFERROR(IF(AND(ISNUMBER(C1346),ISNUMBER(C1345),C1345&lt;&gt;0),C1346/C1345-1,""),"")</f>
        <v/>
      </c>
      <c r="F1346" s="28">
        <f>IFERROR(D1346-Dashboard!$B$4/252,"")</f>
        <v/>
      </c>
      <c r="G1346" s="28">
        <f>IFERROR(E1346-Dashboard!$B$4/252,"")</f>
        <v/>
      </c>
      <c r="H1346" s="8">
        <f>IFERROR(IF(ISNUMBER(B1346),MAX(B1346,IFERROR(H1345,B1346)),""),"")</f>
        <v/>
      </c>
      <c r="I1346" s="29">
        <f>IFERROR(IF(AND(ISNUMBER(B1346),ISNUMBER(H1346)),B1346/H1346-1,""),"")</f>
        <v/>
      </c>
      <c r="J1346" s="8">
        <f>IFERROR(IF(ISNUMBER(C1346),MAX(C1346,IFERROR(J1345,C1346)),""),"")</f>
        <v/>
      </c>
      <c r="K1346" s="29">
        <f>IFERROR(IF(AND(ISNUMBER(C1346),ISNUMBER(J1346)),C1346/J1346-1,""),"")</f>
        <v/>
      </c>
      <c r="L1346" s="28">
        <f>IFERROR(IF(AND(ISNUMBER(D1346),ISNUMBER(E1346)),D1346-E1346,""),"")</f>
        <v/>
      </c>
    </row>
    <row r="1347">
      <c r="A1347" s="7">
        <f>IFERROR(Datos!A1347,"")</f>
        <v/>
      </c>
      <c r="B1347" s="8">
        <f>IFERROR(Datos!B1347,"")</f>
        <v/>
      </c>
      <c r="C1347" s="8">
        <f>IFERROR(Datos!C1347,"")</f>
        <v/>
      </c>
      <c r="D1347" s="28">
        <f>IFERROR(IF(AND(ISNUMBER(B1347),ISNUMBER(B1346),B1346&lt;&gt;0),B1347/B1346-1,""),"")</f>
        <v/>
      </c>
      <c r="E1347" s="28">
        <f>IFERROR(IF(AND(ISNUMBER(C1347),ISNUMBER(C1346),C1346&lt;&gt;0),C1347/C1346-1,""),"")</f>
        <v/>
      </c>
      <c r="F1347" s="28">
        <f>IFERROR(D1347-Dashboard!$B$4/252,"")</f>
        <v/>
      </c>
      <c r="G1347" s="28">
        <f>IFERROR(E1347-Dashboard!$B$4/252,"")</f>
        <v/>
      </c>
      <c r="H1347" s="8">
        <f>IFERROR(IF(ISNUMBER(B1347),MAX(B1347,IFERROR(H1346,B1347)),""),"")</f>
        <v/>
      </c>
      <c r="I1347" s="29">
        <f>IFERROR(IF(AND(ISNUMBER(B1347),ISNUMBER(H1347)),B1347/H1347-1,""),"")</f>
        <v/>
      </c>
      <c r="J1347" s="8">
        <f>IFERROR(IF(ISNUMBER(C1347),MAX(C1347,IFERROR(J1346,C1347)),""),"")</f>
        <v/>
      </c>
      <c r="K1347" s="29">
        <f>IFERROR(IF(AND(ISNUMBER(C1347),ISNUMBER(J1347)),C1347/J1347-1,""),"")</f>
        <v/>
      </c>
      <c r="L1347" s="28">
        <f>IFERROR(IF(AND(ISNUMBER(D1347),ISNUMBER(E1347)),D1347-E1347,""),"")</f>
        <v/>
      </c>
    </row>
    <row r="1348">
      <c r="A1348" s="7">
        <f>IFERROR(Datos!A1348,"")</f>
        <v/>
      </c>
      <c r="B1348" s="8">
        <f>IFERROR(Datos!B1348,"")</f>
        <v/>
      </c>
      <c r="C1348" s="8">
        <f>IFERROR(Datos!C1348,"")</f>
        <v/>
      </c>
      <c r="D1348" s="28">
        <f>IFERROR(IF(AND(ISNUMBER(B1348),ISNUMBER(B1347),B1347&lt;&gt;0),B1348/B1347-1,""),"")</f>
        <v/>
      </c>
      <c r="E1348" s="28">
        <f>IFERROR(IF(AND(ISNUMBER(C1348),ISNUMBER(C1347),C1347&lt;&gt;0),C1348/C1347-1,""),"")</f>
        <v/>
      </c>
      <c r="F1348" s="28">
        <f>IFERROR(D1348-Dashboard!$B$4/252,"")</f>
        <v/>
      </c>
      <c r="G1348" s="28">
        <f>IFERROR(E1348-Dashboard!$B$4/252,"")</f>
        <v/>
      </c>
      <c r="H1348" s="8">
        <f>IFERROR(IF(ISNUMBER(B1348),MAX(B1348,IFERROR(H1347,B1348)),""),"")</f>
        <v/>
      </c>
      <c r="I1348" s="29">
        <f>IFERROR(IF(AND(ISNUMBER(B1348),ISNUMBER(H1348)),B1348/H1348-1,""),"")</f>
        <v/>
      </c>
      <c r="J1348" s="8">
        <f>IFERROR(IF(ISNUMBER(C1348),MAX(C1348,IFERROR(J1347,C1348)),""),"")</f>
        <v/>
      </c>
      <c r="K1348" s="29">
        <f>IFERROR(IF(AND(ISNUMBER(C1348),ISNUMBER(J1348)),C1348/J1348-1,""),"")</f>
        <v/>
      </c>
      <c r="L1348" s="28">
        <f>IFERROR(IF(AND(ISNUMBER(D1348),ISNUMBER(E1348)),D1348-E1348,""),"")</f>
        <v/>
      </c>
    </row>
    <row r="1349">
      <c r="A1349" s="7">
        <f>IFERROR(Datos!A1349,"")</f>
        <v/>
      </c>
      <c r="B1349" s="8">
        <f>IFERROR(Datos!B1349,"")</f>
        <v/>
      </c>
      <c r="C1349" s="8">
        <f>IFERROR(Datos!C1349,"")</f>
        <v/>
      </c>
      <c r="D1349" s="28">
        <f>IFERROR(IF(AND(ISNUMBER(B1349),ISNUMBER(B1348),B1348&lt;&gt;0),B1349/B1348-1,""),"")</f>
        <v/>
      </c>
      <c r="E1349" s="28">
        <f>IFERROR(IF(AND(ISNUMBER(C1349),ISNUMBER(C1348),C1348&lt;&gt;0),C1349/C1348-1,""),"")</f>
        <v/>
      </c>
      <c r="F1349" s="28">
        <f>IFERROR(D1349-Dashboard!$B$4/252,"")</f>
        <v/>
      </c>
      <c r="G1349" s="28">
        <f>IFERROR(E1349-Dashboard!$B$4/252,"")</f>
        <v/>
      </c>
      <c r="H1349" s="8">
        <f>IFERROR(IF(ISNUMBER(B1349),MAX(B1349,IFERROR(H1348,B1349)),""),"")</f>
        <v/>
      </c>
      <c r="I1349" s="29">
        <f>IFERROR(IF(AND(ISNUMBER(B1349),ISNUMBER(H1349)),B1349/H1349-1,""),"")</f>
        <v/>
      </c>
      <c r="J1349" s="8">
        <f>IFERROR(IF(ISNUMBER(C1349),MAX(C1349,IFERROR(J1348,C1349)),""),"")</f>
        <v/>
      </c>
      <c r="K1349" s="29">
        <f>IFERROR(IF(AND(ISNUMBER(C1349),ISNUMBER(J1349)),C1349/J1349-1,""),"")</f>
        <v/>
      </c>
      <c r="L1349" s="28">
        <f>IFERROR(IF(AND(ISNUMBER(D1349),ISNUMBER(E1349)),D1349-E1349,""),"")</f>
        <v/>
      </c>
    </row>
    <row r="1350">
      <c r="A1350" s="7">
        <f>IFERROR(Datos!A1350,"")</f>
        <v/>
      </c>
      <c r="B1350" s="8">
        <f>IFERROR(Datos!B1350,"")</f>
        <v/>
      </c>
      <c r="C1350" s="8">
        <f>IFERROR(Datos!C1350,"")</f>
        <v/>
      </c>
      <c r="D1350" s="28">
        <f>IFERROR(IF(AND(ISNUMBER(B1350),ISNUMBER(B1349),B1349&lt;&gt;0),B1350/B1349-1,""),"")</f>
        <v/>
      </c>
      <c r="E1350" s="28">
        <f>IFERROR(IF(AND(ISNUMBER(C1350),ISNUMBER(C1349),C1349&lt;&gt;0),C1350/C1349-1,""),"")</f>
        <v/>
      </c>
      <c r="F1350" s="28">
        <f>IFERROR(D1350-Dashboard!$B$4/252,"")</f>
        <v/>
      </c>
      <c r="G1350" s="28">
        <f>IFERROR(E1350-Dashboard!$B$4/252,"")</f>
        <v/>
      </c>
      <c r="H1350" s="8">
        <f>IFERROR(IF(ISNUMBER(B1350),MAX(B1350,IFERROR(H1349,B1350)),""),"")</f>
        <v/>
      </c>
      <c r="I1350" s="29">
        <f>IFERROR(IF(AND(ISNUMBER(B1350),ISNUMBER(H1350)),B1350/H1350-1,""),"")</f>
        <v/>
      </c>
      <c r="J1350" s="8">
        <f>IFERROR(IF(ISNUMBER(C1350),MAX(C1350,IFERROR(J1349,C1350)),""),"")</f>
        <v/>
      </c>
      <c r="K1350" s="29">
        <f>IFERROR(IF(AND(ISNUMBER(C1350),ISNUMBER(J1350)),C1350/J1350-1,""),"")</f>
        <v/>
      </c>
      <c r="L1350" s="28">
        <f>IFERROR(IF(AND(ISNUMBER(D1350),ISNUMBER(E1350)),D1350-E1350,""),"")</f>
        <v/>
      </c>
    </row>
    <row r="1351">
      <c r="A1351" s="7">
        <f>IFERROR(Datos!A1351,"")</f>
        <v/>
      </c>
      <c r="B1351" s="8">
        <f>IFERROR(Datos!B1351,"")</f>
        <v/>
      </c>
      <c r="C1351" s="8">
        <f>IFERROR(Datos!C1351,"")</f>
        <v/>
      </c>
      <c r="D1351" s="28">
        <f>IFERROR(IF(AND(ISNUMBER(B1351),ISNUMBER(B1350),B1350&lt;&gt;0),B1351/B1350-1,""),"")</f>
        <v/>
      </c>
      <c r="E1351" s="28">
        <f>IFERROR(IF(AND(ISNUMBER(C1351),ISNUMBER(C1350),C1350&lt;&gt;0),C1351/C1350-1,""),"")</f>
        <v/>
      </c>
      <c r="F1351" s="28">
        <f>IFERROR(D1351-Dashboard!$B$4/252,"")</f>
        <v/>
      </c>
      <c r="G1351" s="28">
        <f>IFERROR(E1351-Dashboard!$B$4/252,"")</f>
        <v/>
      </c>
      <c r="H1351" s="8">
        <f>IFERROR(IF(ISNUMBER(B1351),MAX(B1351,IFERROR(H1350,B1351)),""),"")</f>
        <v/>
      </c>
      <c r="I1351" s="29">
        <f>IFERROR(IF(AND(ISNUMBER(B1351),ISNUMBER(H1351)),B1351/H1351-1,""),"")</f>
        <v/>
      </c>
      <c r="J1351" s="8">
        <f>IFERROR(IF(ISNUMBER(C1351),MAX(C1351,IFERROR(J1350,C1351)),""),"")</f>
        <v/>
      </c>
      <c r="K1351" s="29">
        <f>IFERROR(IF(AND(ISNUMBER(C1351),ISNUMBER(J1351)),C1351/J1351-1,""),"")</f>
        <v/>
      </c>
      <c r="L1351" s="28">
        <f>IFERROR(IF(AND(ISNUMBER(D1351),ISNUMBER(E1351)),D1351-E1351,""),"")</f>
        <v/>
      </c>
    </row>
    <row r="1352">
      <c r="A1352" s="7">
        <f>IFERROR(Datos!A1352,"")</f>
        <v/>
      </c>
      <c r="B1352" s="8">
        <f>IFERROR(Datos!B1352,"")</f>
        <v/>
      </c>
      <c r="C1352" s="8">
        <f>IFERROR(Datos!C1352,"")</f>
        <v/>
      </c>
      <c r="D1352" s="28">
        <f>IFERROR(IF(AND(ISNUMBER(B1352),ISNUMBER(B1351),B1351&lt;&gt;0),B1352/B1351-1,""),"")</f>
        <v/>
      </c>
      <c r="E1352" s="28">
        <f>IFERROR(IF(AND(ISNUMBER(C1352),ISNUMBER(C1351),C1351&lt;&gt;0),C1352/C1351-1,""),"")</f>
        <v/>
      </c>
      <c r="F1352" s="28">
        <f>IFERROR(D1352-Dashboard!$B$4/252,"")</f>
        <v/>
      </c>
      <c r="G1352" s="28">
        <f>IFERROR(E1352-Dashboard!$B$4/252,"")</f>
        <v/>
      </c>
      <c r="H1352" s="8">
        <f>IFERROR(IF(ISNUMBER(B1352),MAX(B1352,IFERROR(H1351,B1352)),""),"")</f>
        <v/>
      </c>
      <c r="I1352" s="29">
        <f>IFERROR(IF(AND(ISNUMBER(B1352),ISNUMBER(H1352)),B1352/H1352-1,""),"")</f>
        <v/>
      </c>
      <c r="J1352" s="8">
        <f>IFERROR(IF(ISNUMBER(C1352),MAX(C1352,IFERROR(J1351,C1352)),""),"")</f>
        <v/>
      </c>
      <c r="K1352" s="29">
        <f>IFERROR(IF(AND(ISNUMBER(C1352),ISNUMBER(J1352)),C1352/J1352-1,""),"")</f>
        <v/>
      </c>
      <c r="L1352" s="28">
        <f>IFERROR(IF(AND(ISNUMBER(D1352),ISNUMBER(E1352)),D1352-E1352,""),"")</f>
        <v/>
      </c>
    </row>
    <row r="1353">
      <c r="A1353" s="7">
        <f>IFERROR(Datos!A1353,"")</f>
        <v/>
      </c>
      <c r="B1353" s="8">
        <f>IFERROR(Datos!B1353,"")</f>
        <v/>
      </c>
      <c r="C1353" s="8">
        <f>IFERROR(Datos!C1353,"")</f>
        <v/>
      </c>
      <c r="D1353" s="28">
        <f>IFERROR(IF(AND(ISNUMBER(B1353),ISNUMBER(B1352),B1352&lt;&gt;0),B1353/B1352-1,""),"")</f>
        <v/>
      </c>
      <c r="E1353" s="28">
        <f>IFERROR(IF(AND(ISNUMBER(C1353),ISNUMBER(C1352),C1352&lt;&gt;0),C1353/C1352-1,""),"")</f>
        <v/>
      </c>
      <c r="F1353" s="28">
        <f>IFERROR(D1353-Dashboard!$B$4/252,"")</f>
        <v/>
      </c>
      <c r="G1353" s="28">
        <f>IFERROR(E1353-Dashboard!$B$4/252,"")</f>
        <v/>
      </c>
      <c r="H1353" s="8">
        <f>IFERROR(IF(ISNUMBER(B1353),MAX(B1353,IFERROR(H1352,B1353)),""),"")</f>
        <v/>
      </c>
      <c r="I1353" s="29">
        <f>IFERROR(IF(AND(ISNUMBER(B1353),ISNUMBER(H1353)),B1353/H1353-1,""),"")</f>
        <v/>
      </c>
      <c r="J1353" s="8">
        <f>IFERROR(IF(ISNUMBER(C1353),MAX(C1353,IFERROR(J1352,C1353)),""),"")</f>
        <v/>
      </c>
      <c r="K1353" s="29">
        <f>IFERROR(IF(AND(ISNUMBER(C1353),ISNUMBER(J1353)),C1353/J1353-1,""),"")</f>
        <v/>
      </c>
      <c r="L1353" s="28">
        <f>IFERROR(IF(AND(ISNUMBER(D1353),ISNUMBER(E1353)),D1353-E1353,""),"")</f>
        <v/>
      </c>
    </row>
    <row r="1354">
      <c r="A1354" s="7">
        <f>IFERROR(Datos!A1354,"")</f>
        <v/>
      </c>
      <c r="B1354" s="8">
        <f>IFERROR(Datos!B1354,"")</f>
        <v/>
      </c>
      <c r="C1354" s="8">
        <f>IFERROR(Datos!C1354,"")</f>
        <v/>
      </c>
      <c r="D1354" s="28">
        <f>IFERROR(IF(AND(ISNUMBER(B1354),ISNUMBER(B1353),B1353&lt;&gt;0),B1354/B1353-1,""),"")</f>
        <v/>
      </c>
      <c r="E1354" s="28">
        <f>IFERROR(IF(AND(ISNUMBER(C1354),ISNUMBER(C1353),C1353&lt;&gt;0),C1354/C1353-1,""),"")</f>
        <v/>
      </c>
      <c r="F1354" s="28">
        <f>IFERROR(D1354-Dashboard!$B$4/252,"")</f>
        <v/>
      </c>
      <c r="G1354" s="28">
        <f>IFERROR(E1354-Dashboard!$B$4/252,"")</f>
        <v/>
      </c>
      <c r="H1354" s="8">
        <f>IFERROR(IF(ISNUMBER(B1354),MAX(B1354,IFERROR(H1353,B1354)),""),"")</f>
        <v/>
      </c>
      <c r="I1354" s="29">
        <f>IFERROR(IF(AND(ISNUMBER(B1354),ISNUMBER(H1354)),B1354/H1354-1,""),"")</f>
        <v/>
      </c>
      <c r="J1354" s="8">
        <f>IFERROR(IF(ISNUMBER(C1354),MAX(C1354,IFERROR(J1353,C1354)),""),"")</f>
        <v/>
      </c>
      <c r="K1354" s="29">
        <f>IFERROR(IF(AND(ISNUMBER(C1354),ISNUMBER(J1354)),C1354/J1354-1,""),"")</f>
        <v/>
      </c>
      <c r="L1354" s="28">
        <f>IFERROR(IF(AND(ISNUMBER(D1354),ISNUMBER(E1354)),D1354-E1354,""),"")</f>
        <v/>
      </c>
    </row>
    <row r="1355">
      <c r="A1355" s="7">
        <f>IFERROR(Datos!A1355,"")</f>
        <v/>
      </c>
      <c r="B1355" s="8">
        <f>IFERROR(Datos!B1355,"")</f>
        <v/>
      </c>
      <c r="C1355" s="8">
        <f>IFERROR(Datos!C1355,"")</f>
        <v/>
      </c>
      <c r="D1355" s="28">
        <f>IFERROR(IF(AND(ISNUMBER(B1355),ISNUMBER(B1354),B1354&lt;&gt;0),B1355/B1354-1,""),"")</f>
        <v/>
      </c>
      <c r="E1355" s="28">
        <f>IFERROR(IF(AND(ISNUMBER(C1355),ISNUMBER(C1354),C1354&lt;&gt;0),C1355/C1354-1,""),"")</f>
        <v/>
      </c>
      <c r="F1355" s="28">
        <f>IFERROR(D1355-Dashboard!$B$4/252,"")</f>
        <v/>
      </c>
      <c r="G1355" s="28">
        <f>IFERROR(E1355-Dashboard!$B$4/252,"")</f>
        <v/>
      </c>
      <c r="H1355" s="8">
        <f>IFERROR(IF(ISNUMBER(B1355),MAX(B1355,IFERROR(H1354,B1355)),""),"")</f>
        <v/>
      </c>
      <c r="I1355" s="29">
        <f>IFERROR(IF(AND(ISNUMBER(B1355),ISNUMBER(H1355)),B1355/H1355-1,""),"")</f>
        <v/>
      </c>
      <c r="J1355" s="8">
        <f>IFERROR(IF(ISNUMBER(C1355),MAX(C1355,IFERROR(J1354,C1355)),""),"")</f>
        <v/>
      </c>
      <c r="K1355" s="29">
        <f>IFERROR(IF(AND(ISNUMBER(C1355),ISNUMBER(J1355)),C1355/J1355-1,""),"")</f>
        <v/>
      </c>
      <c r="L1355" s="28">
        <f>IFERROR(IF(AND(ISNUMBER(D1355),ISNUMBER(E1355)),D1355-E1355,""),"")</f>
        <v/>
      </c>
    </row>
    <row r="1356">
      <c r="A1356" s="7">
        <f>IFERROR(Datos!A1356,"")</f>
        <v/>
      </c>
      <c r="B1356" s="8">
        <f>IFERROR(Datos!B1356,"")</f>
        <v/>
      </c>
      <c r="C1356" s="8">
        <f>IFERROR(Datos!C1356,"")</f>
        <v/>
      </c>
      <c r="D1356" s="28">
        <f>IFERROR(IF(AND(ISNUMBER(B1356),ISNUMBER(B1355),B1355&lt;&gt;0),B1356/B1355-1,""),"")</f>
        <v/>
      </c>
      <c r="E1356" s="28">
        <f>IFERROR(IF(AND(ISNUMBER(C1356),ISNUMBER(C1355),C1355&lt;&gt;0),C1356/C1355-1,""),"")</f>
        <v/>
      </c>
      <c r="F1356" s="28">
        <f>IFERROR(D1356-Dashboard!$B$4/252,"")</f>
        <v/>
      </c>
      <c r="G1356" s="28">
        <f>IFERROR(E1356-Dashboard!$B$4/252,"")</f>
        <v/>
      </c>
      <c r="H1356" s="8">
        <f>IFERROR(IF(ISNUMBER(B1356),MAX(B1356,IFERROR(H1355,B1356)),""),"")</f>
        <v/>
      </c>
      <c r="I1356" s="29">
        <f>IFERROR(IF(AND(ISNUMBER(B1356),ISNUMBER(H1356)),B1356/H1356-1,""),"")</f>
        <v/>
      </c>
      <c r="J1356" s="8">
        <f>IFERROR(IF(ISNUMBER(C1356),MAX(C1356,IFERROR(J1355,C1356)),""),"")</f>
        <v/>
      </c>
      <c r="K1356" s="29">
        <f>IFERROR(IF(AND(ISNUMBER(C1356),ISNUMBER(J1356)),C1356/J1356-1,""),"")</f>
        <v/>
      </c>
      <c r="L1356" s="28">
        <f>IFERROR(IF(AND(ISNUMBER(D1356),ISNUMBER(E1356)),D1356-E1356,""),"")</f>
        <v/>
      </c>
    </row>
    <row r="1357">
      <c r="A1357" s="7">
        <f>IFERROR(Datos!A1357,"")</f>
        <v/>
      </c>
      <c r="B1357" s="8">
        <f>IFERROR(Datos!B1357,"")</f>
        <v/>
      </c>
      <c r="C1357" s="8">
        <f>IFERROR(Datos!C1357,"")</f>
        <v/>
      </c>
      <c r="D1357" s="28">
        <f>IFERROR(IF(AND(ISNUMBER(B1357),ISNUMBER(B1356),B1356&lt;&gt;0),B1357/B1356-1,""),"")</f>
        <v/>
      </c>
      <c r="E1357" s="28">
        <f>IFERROR(IF(AND(ISNUMBER(C1357),ISNUMBER(C1356),C1356&lt;&gt;0),C1357/C1356-1,""),"")</f>
        <v/>
      </c>
      <c r="F1357" s="28">
        <f>IFERROR(D1357-Dashboard!$B$4/252,"")</f>
        <v/>
      </c>
      <c r="G1357" s="28">
        <f>IFERROR(E1357-Dashboard!$B$4/252,"")</f>
        <v/>
      </c>
      <c r="H1357" s="8">
        <f>IFERROR(IF(ISNUMBER(B1357),MAX(B1357,IFERROR(H1356,B1357)),""),"")</f>
        <v/>
      </c>
      <c r="I1357" s="29">
        <f>IFERROR(IF(AND(ISNUMBER(B1357),ISNUMBER(H1357)),B1357/H1357-1,""),"")</f>
        <v/>
      </c>
      <c r="J1357" s="8">
        <f>IFERROR(IF(ISNUMBER(C1357),MAX(C1357,IFERROR(J1356,C1357)),""),"")</f>
        <v/>
      </c>
      <c r="K1357" s="29">
        <f>IFERROR(IF(AND(ISNUMBER(C1357),ISNUMBER(J1357)),C1357/J1357-1,""),"")</f>
        <v/>
      </c>
      <c r="L1357" s="28">
        <f>IFERROR(IF(AND(ISNUMBER(D1357),ISNUMBER(E1357)),D1357-E1357,""),"")</f>
        <v/>
      </c>
    </row>
    <row r="1358">
      <c r="A1358" s="7">
        <f>IFERROR(Datos!A1358,"")</f>
        <v/>
      </c>
      <c r="B1358" s="8">
        <f>IFERROR(Datos!B1358,"")</f>
        <v/>
      </c>
      <c r="C1358" s="8">
        <f>IFERROR(Datos!C1358,"")</f>
        <v/>
      </c>
      <c r="D1358" s="28">
        <f>IFERROR(IF(AND(ISNUMBER(B1358),ISNUMBER(B1357),B1357&lt;&gt;0),B1358/B1357-1,""),"")</f>
        <v/>
      </c>
      <c r="E1358" s="28">
        <f>IFERROR(IF(AND(ISNUMBER(C1358),ISNUMBER(C1357),C1357&lt;&gt;0),C1358/C1357-1,""),"")</f>
        <v/>
      </c>
      <c r="F1358" s="28">
        <f>IFERROR(D1358-Dashboard!$B$4/252,"")</f>
        <v/>
      </c>
      <c r="G1358" s="28">
        <f>IFERROR(E1358-Dashboard!$B$4/252,"")</f>
        <v/>
      </c>
      <c r="H1358" s="8">
        <f>IFERROR(IF(ISNUMBER(B1358),MAX(B1358,IFERROR(H1357,B1358)),""),"")</f>
        <v/>
      </c>
      <c r="I1358" s="29">
        <f>IFERROR(IF(AND(ISNUMBER(B1358),ISNUMBER(H1358)),B1358/H1358-1,""),"")</f>
        <v/>
      </c>
      <c r="J1358" s="8">
        <f>IFERROR(IF(ISNUMBER(C1358),MAX(C1358,IFERROR(J1357,C1358)),""),"")</f>
        <v/>
      </c>
      <c r="K1358" s="29">
        <f>IFERROR(IF(AND(ISNUMBER(C1358),ISNUMBER(J1358)),C1358/J1358-1,""),"")</f>
        <v/>
      </c>
      <c r="L1358" s="28">
        <f>IFERROR(IF(AND(ISNUMBER(D1358),ISNUMBER(E1358)),D1358-E1358,""),"")</f>
        <v/>
      </c>
    </row>
    <row r="1359">
      <c r="A1359" s="7">
        <f>IFERROR(Datos!A1359,"")</f>
        <v/>
      </c>
      <c r="B1359" s="8">
        <f>IFERROR(Datos!B1359,"")</f>
        <v/>
      </c>
      <c r="C1359" s="8">
        <f>IFERROR(Datos!C1359,"")</f>
        <v/>
      </c>
      <c r="D1359" s="28">
        <f>IFERROR(IF(AND(ISNUMBER(B1359),ISNUMBER(B1358),B1358&lt;&gt;0),B1359/B1358-1,""),"")</f>
        <v/>
      </c>
      <c r="E1359" s="28">
        <f>IFERROR(IF(AND(ISNUMBER(C1359),ISNUMBER(C1358),C1358&lt;&gt;0),C1359/C1358-1,""),"")</f>
        <v/>
      </c>
      <c r="F1359" s="28">
        <f>IFERROR(D1359-Dashboard!$B$4/252,"")</f>
        <v/>
      </c>
      <c r="G1359" s="28">
        <f>IFERROR(E1359-Dashboard!$B$4/252,"")</f>
        <v/>
      </c>
      <c r="H1359" s="8">
        <f>IFERROR(IF(ISNUMBER(B1359),MAX(B1359,IFERROR(H1358,B1359)),""),"")</f>
        <v/>
      </c>
      <c r="I1359" s="29">
        <f>IFERROR(IF(AND(ISNUMBER(B1359),ISNUMBER(H1359)),B1359/H1359-1,""),"")</f>
        <v/>
      </c>
      <c r="J1359" s="8">
        <f>IFERROR(IF(ISNUMBER(C1359),MAX(C1359,IFERROR(J1358,C1359)),""),"")</f>
        <v/>
      </c>
      <c r="K1359" s="29">
        <f>IFERROR(IF(AND(ISNUMBER(C1359),ISNUMBER(J1359)),C1359/J1359-1,""),"")</f>
        <v/>
      </c>
      <c r="L1359" s="28">
        <f>IFERROR(IF(AND(ISNUMBER(D1359),ISNUMBER(E1359)),D1359-E1359,""),"")</f>
        <v/>
      </c>
    </row>
    <row r="1360">
      <c r="A1360" s="7">
        <f>IFERROR(Datos!A1360,"")</f>
        <v/>
      </c>
      <c r="B1360" s="8">
        <f>IFERROR(Datos!B1360,"")</f>
        <v/>
      </c>
      <c r="C1360" s="8">
        <f>IFERROR(Datos!C1360,"")</f>
        <v/>
      </c>
      <c r="D1360" s="28">
        <f>IFERROR(IF(AND(ISNUMBER(B1360),ISNUMBER(B1359),B1359&lt;&gt;0),B1360/B1359-1,""),"")</f>
        <v/>
      </c>
      <c r="E1360" s="28">
        <f>IFERROR(IF(AND(ISNUMBER(C1360),ISNUMBER(C1359),C1359&lt;&gt;0),C1360/C1359-1,""),"")</f>
        <v/>
      </c>
      <c r="F1360" s="28">
        <f>IFERROR(D1360-Dashboard!$B$4/252,"")</f>
        <v/>
      </c>
      <c r="G1360" s="28">
        <f>IFERROR(E1360-Dashboard!$B$4/252,"")</f>
        <v/>
      </c>
      <c r="H1360" s="8">
        <f>IFERROR(IF(ISNUMBER(B1360),MAX(B1360,IFERROR(H1359,B1360)),""),"")</f>
        <v/>
      </c>
      <c r="I1360" s="29">
        <f>IFERROR(IF(AND(ISNUMBER(B1360),ISNUMBER(H1360)),B1360/H1360-1,""),"")</f>
        <v/>
      </c>
      <c r="J1360" s="8">
        <f>IFERROR(IF(ISNUMBER(C1360),MAX(C1360,IFERROR(J1359,C1360)),""),"")</f>
        <v/>
      </c>
      <c r="K1360" s="29">
        <f>IFERROR(IF(AND(ISNUMBER(C1360),ISNUMBER(J1360)),C1360/J1360-1,""),"")</f>
        <v/>
      </c>
      <c r="L1360" s="28">
        <f>IFERROR(IF(AND(ISNUMBER(D1360),ISNUMBER(E1360)),D1360-E1360,""),"")</f>
        <v/>
      </c>
    </row>
    <row r="1361">
      <c r="A1361" s="7">
        <f>IFERROR(Datos!A1361,"")</f>
        <v/>
      </c>
      <c r="B1361" s="8">
        <f>IFERROR(Datos!B1361,"")</f>
        <v/>
      </c>
      <c r="C1361" s="8">
        <f>IFERROR(Datos!C1361,"")</f>
        <v/>
      </c>
      <c r="D1361" s="28">
        <f>IFERROR(IF(AND(ISNUMBER(B1361),ISNUMBER(B1360),B1360&lt;&gt;0),B1361/B1360-1,""),"")</f>
        <v/>
      </c>
      <c r="E1361" s="28">
        <f>IFERROR(IF(AND(ISNUMBER(C1361),ISNUMBER(C1360),C1360&lt;&gt;0),C1361/C1360-1,""),"")</f>
        <v/>
      </c>
      <c r="F1361" s="28">
        <f>IFERROR(D1361-Dashboard!$B$4/252,"")</f>
        <v/>
      </c>
      <c r="G1361" s="28">
        <f>IFERROR(E1361-Dashboard!$B$4/252,"")</f>
        <v/>
      </c>
      <c r="H1361" s="8">
        <f>IFERROR(IF(ISNUMBER(B1361),MAX(B1361,IFERROR(H1360,B1361)),""),"")</f>
        <v/>
      </c>
      <c r="I1361" s="29">
        <f>IFERROR(IF(AND(ISNUMBER(B1361),ISNUMBER(H1361)),B1361/H1361-1,""),"")</f>
        <v/>
      </c>
      <c r="J1361" s="8">
        <f>IFERROR(IF(ISNUMBER(C1361),MAX(C1361,IFERROR(J1360,C1361)),""),"")</f>
        <v/>
      </c>
      <c r="K1361" s="29">
        <f>IFERROR(IF(AND(ISNUMBER(C1361),ISNUMBER(J1361)),C1361/J1361-1,""),"")</f>
        <v/>
      </c>
      <c r="L1361" s="28">
        <f>IFERROR(IF(AND(ISNUMBER(D1361),ISNUMBER(E1361)),D1361-E1361,""),"")</f>
        <v/>
      </c>
    </row>
    <row r="1362">
      <c r="A1362" s="7">
        <f>IFERROR(Datos!A1362,"")</f>
        <v/>
      </c>
      <c r="B1362" s="8">
        <f>IFERROR(Datos!B1362,"")</f>
        <v/>
      </c>
      <c r="C1362" s="8">
        <f>IFERROR(Datos!C1362,"")</f>
        <v/>
      </c>
      <c r="D1362" s="28">
        <f>IFERROR(IF(AND(ISNUMBER(B1362),ISNUMBER(B1361),B1361&lt;&gt;0),B1362/B1361-1,""),"")</f>
        <v/>
      </c>
      <c r="E1362" s="28">
        <f>IFERROR(IF(AND(ISNUMBER(C1362),ISNUMBER(C1361),C1361&lt;&gt;0),C1362/C1361-1,""),"")</f>
        <v/>
      </c>
      <c r="F1362" s="28">
        <f>IFERROR(D1362-Dashboard!$B$4/252,"")</f>
        <v/>
      </c>
      <c r="G1362" s="28">
        <f>IFERROR(E1362-Dashboard!$B$4/252,"")</f>
        <v/>
      </c>
      <c r="H1362" s="8">
        <f>IFERROR(IF(ISNUMBER(B1362),MAX(B1362,IFERROR(H1361,B1362)),""),"")</f>
        <v/>
      </c>
      <c r="I1362" s="29">
        <f>IFERROR(IF(AND(ISNUMBER(B1362),ISNUMBER(H1362)),B1362/H1362-1,""),"")</f>
        <v/>
      </c>
      <c r="J1362" s="8">
        <f>IFERROR(IF(ISNUMBER(C1362),MAX(C1362,IFERROR(J1361,C1362)),""),"")</f>
        <v/>
      </c>
      <c r="K1362" s="29">
        <f>IFERROR(IF(AND(ISNUMBER(C1362),ISNUMBER(J1362)),C1362/J1362-1,""),"")</f>
        <v/>
      </c>
      <c r="L1362" s="28">
        <f>IFERROR(IF(AND(ISNUMBER(D1362),ISNUMBER(E1362)),D1362-E1362,""),"")</f>
        <v/>
      </c>
    </row>
    <row r="1363">
      <c r="A1363" s="7">
        <f>IFERROR(Datos!A1363,"")</f>
        <v/>
      </c>
      <c r="B1363" s="8">
        <f>IFERROR(Datos!B1363,"")</f>
        <v/>
      </c>
      <c r="C1363" s="8">
        <f>IFERROR(Datos!C1363,"")</f>
        <v/>
      </c>
      <c r="D1363" s="28">
        <f>IFERROR(IF(AND(ISNUMBER(B1363),ISNUMBER(B1362),B1362&lt;&gt;0),B1363/B1362-1,""),"")</f>
        <v/>
      </c>
      <c r="E1363" s="28">
        <f>IFERROR(IF(AND(ISNUMBER(C1363),ISNUMBER(C1362),C1362&lt;&gt;0),C1363/C1362-1,""),"")</f>
        <v/>
      </c>
      <c r="F1363" s="28">
        <f>IFERROR(D1363-Dashboard!$B$4/252,"")</f>
        <v/>
      </c>
      <c r="G1363" s="28">
        <f>IFERROR(E1363-Dashboard!$B$4/252,"")</f>
        <v/>
      </c>
      <c r="H1363" s="8">
        <f>IFERROR(IF(ISNUMBER(B1363),MAX(B1363,IFERROR(H1362,B1363)),""),"")</f>
        <v/>
      </c>
      <c r="I1363" s="29">
        <f>IFERROR(IF(AND(ISNUMBER(B1363),ISNUMBER(H1363)),B1363/H1363-1,""),"")</f>
        <v/>
      </c>
      <c r="J1363" s="8">
        <f>IFERROR(IF(ISNUMBER(C1363),MAX(C1363,IFERROR(J1362,C1363)),""),"")</f>
        <v/>
      </c>
      <c r="K1363" s="29">
        <f>IFERROR(IF(AND(ISNUMBER(C1363),ISNUMBER(J1363)),C1363/J1363-1,""),"")</f>
        <v/>
      </c>
      <c r="L1363" s="28">
        <f>IFERROR(IF(AND(ISNUMBER(D1363),ISNUMBER(E1363)),D1363-E1363,""),"")</f>
        <v/>
      </c>
    </row>
    <row r="1364">
      <c r="A1364" s="7">
        <f>IFERROR(Datos!A1364,"")</f>
        <v/>
      </c>
      <c r="B1364" s="8">
        <f>IFERROR(Datos!B1364,"")</f>
        <v/>
      </c>
      <c r="C1364" s="8">
        <f>IFERROR(Datos!C1364,"")</f>
        <v/>
      </c>
      <c r="D1364" s="28">
        <f>IFERROR(IF(AND(ISNUMBER(B1364),ISNUMBER(B1363),B1363&lt;&gt;0),B1364/B1363-1,""),"")</f>
        <v/>
      </c>
      <c r="E1364" s="28">
        <f>IFERROR(IF(AND(ISNUMBER(C1364),ISNUMBER(C1363),C1363&lt;&gt;0),C1364/C1363-1,""),"")</f>
        <v/>
      </c>
      <c r="F1364" s="28">
        <f>IFERROR(D1364-Dashboard!$B$4/252,"")</f>
        <v/>
      </c>
      <c r="G1364" s="28">
        <f>IFERROR(E1364-Dashboard!$B$4/252,"")</f>
        <v/>
      </c>
      <c r="H1364" s="8">
        <f>IFERROR(IF(ISNUMBER(B1364),MAX(B1364,IFERROR(H1363,B1364)),""),"")</f>
        <v/>
      </c>
      <c r="I1364" s="29">
        <f>IFERROR(IF(AND(ISNUMBER(B1364),ISNUMBER(H1364)),B1364/H1364-1,""),"")</f>
        <v/>
      </c>
      <c r="J1364" s="8">
        <f>IFERROR(IF(ISNUMBER(C1364),MAX(C1364,IFERROR(J1363,C1364)),""),"")</f>
        <v/>
      </c>
      <c r="K1364" s="29">
        <f>IFERROR(IF(AND(ISNUMBER(C1364),ISNUMBER(J1364)),C1364/J1364-1,""),"")</f>
        <v/>
      </c>
      <c r="L1364" s="28">
        <f>IFERROR(IF(AND(ISNUMBER(D1364),ISNUMBER(E1364)),D1364-E1364,""),"")</f>
        <v/>
      </c>
    </row>
    <row r="1365">
      <c r="A1365" s="7">
        <f>IFERROR(Datos!A1365,"")</f>
        <v/>
      </c>
      <c r="B1365" s="8">
        <f>IFERROR(Datos!B1365,"")</f>
        <v/>
      </c>
      <c r="C1365" s="8">
        <f>IFERROR(Datos!C1365,"")</f>
        <v/>
      </c>
      <c r="D1365" s="28">
        <f>IFERROR(IF(AND(ISNUMBER(B1365),ISNUMBER(B1364),B1364&lt;&gt;0),B1365/B1364-1,""),"")</f>
        <v/>
      </c>
      <c r="E1365" s="28">
        <f>IFERROR(IF(AND(ISNUMBER(C1365),ISNUMBER(C1364),C1364&lt;&gt;0),C1365/C1364-1,""),"")</f>
        <v/>
      </c>
      <c r="F1365" s="28">
        <f>IFERROR(D1365-Dashboard!$B$4/252,"")</f>
        <v/>
      </c>
      <c r="G1365" s="28">
        <f>IFERROR(E1365-Dashboard!$B$4/252,"")</f>
        <v/>
      </c>
      <c r="H1365" s="8">
        <f>IFERROR(IF(ISNUMBER(B1365),MAX(B1365,IFERROR(H1364,B1365)),""),"")</f>
        <v/>
      </c>
      <c r="I1365" s="29">
        <f>IFERROR(IF(AND(ISNUMBER(B1365),ISNUMBER(H1365)),B1365/H1365-1,""),"")</f>
        <v/>
      </c>
      <c r="J1365" s="8">
        <f>IFERROR(IF(ISNUMBER(C1365),MAX(C1365,IFERROR(J1364,C1365)),""),"")</f>
        <v/>
      </c>
      <c r="K1365" s="29">
        <f>IFERROR(IF(AND(ISNUMBER(C1365),ISNUMBER(J1365)),C1365/J1365-1,""),"")</f>
        <v/>
      </c>
      <c r="L1365" s="28">
        <f>IFERROR(IF(AND(ISNUMBER(D1365),ISNUMBER(E1365)),D1365-E1365,""),"")</f>
        <v/>
      </c>
    </row>
    <row r="1366">
      <c r="A1366" s="7">
        <f>IFERROR(Datos!A1366,"")</f>
        <v/>
      </c>
      <c r="B1366" s="8">
        <f>IFERROR(Datos!B1366,"")</f>
        <v/>
      </c>
      <c r="C1366" s="8">
        <f>IFERROR(Datos!C1366,"")</f>
        <v/>
      </c>
      <c r="D1366" s="28">
        <f>IFERROR(IF(AND(ISNUMBER(B1366),ISNUMBER(B1365),B1365&lt;&gt;0),B1366/B1365-1,""),"")</f>
        <v/>
      </c>
      <c r="E1366" s="28">
        <f>IFERROR(IF(AND(ISNUMBER(C1366),ISNUMBER(C1365),C1365&lt;&gt;0),C1366/C1365-1,""),"")</f>
        <v/>
      </c>
      <c r="F1366" s="28">
        <f>IFERROR(D1366-Dashboard!$B$4/252,"")</f>
        <v/>
      </c>
      <c r="G1366" s="28">
        <f>IFERROR(E1366-Dashboard!$B$4/252,"")</f>
        <v/>
      </c>
      <c r="H1366" s="8">
        <f>IFERROR(IF(ISNUMBER(B1366),MAX(B1366,IFERROR(H1365,B1366)),""),"")</f>
        <v/>
      </c>
      <c r="I1366" s="29">
        <f>IFERROR(IF(AND(ISNUMBER(B1366),ISNUMBER(H1366)),B1366/H1366-1,""),"")</f>
        <v/>
      </c>
      <c r="J1366" s="8">
        <f>IFERROR(IF(ISNUMBER(C1366),MAX(C1366,IFERROR(J1365,C1366)),""),"")</f>
        <v/>
      </c>
      <c r="K1366" s="29">
        <f>IFERROR(IF(AND(ISNUMBER(C1366),ISNUMBER(J1366)),C1366/J1366-1,""),"")</f>
        <v/>
      </c>
      <c r="L1366" s="28">
        <f>IFERROR(IF(AND(ISNUMBER(D1366),ISNUMBER(E1366)),D1366-E1366,""),"")</f>
        <v/>
      </c>
    </row>
    <row r="1367">
      <c r="A1367" s="7">
        <f>IFERROR(Datos!A1367,"")</f>
        <v/>
      </c>
      <c r="B1367" s="8">
        <f>IFERROR(Datos!B1367,"")</f>
        <v/>
      </c>
      <c r="C1367" s="8">
        <f>IFERROR(Datos!C1367,"")</f>
        <v/>
      </c>
      <c r="D1367" s="28">
        <f>IFERROR(IF(AND(ISNUMBER(B1367),ISNUMBER(B1366),B1366&lt;&gt;0),B1367/B1366-1,""),"")</f>
        <v/>
      </c>
      <c r="E1367" s="28">
        <f>IFERROR(IF(AND(ISNUMBER(C1367),ISNUMBER(C1366),C1366&lt;&gt;0),C1367/C1366-1,""),"")</f>
        <v/>
      </c>
      <c r="F1367" s="28">
        <f>IFERROR(D1367-Dashboard!$B$4/252,"")</f>
        <v/>
      </c>
      <c r="G1367" s="28">
        <f>IFERROR(E1367-Dashboard!$B$4/252,"")</f>
        <v/>
      </c>
      <c r="H1367" s="8">
        <f>IFERROR(IF(ISNUMBER(B1367),MAX(B1367,IFERROR(H1366,B1367)),""),"")</f>
        <v/>
      </c>
      <c r="I1367" s="29">
        <f>IFERROR(IF(AND(ISNUMBER(B1367),ISNUMBER(H1367)),B1367/H1367-1,""),"")</f>
        <v/>
      </c>
      <c r="J1367" s="8">
        <f>IFERROR(IF(ISNUMBER(C1367),MAX(C1367,IFERROR(J1366,C1367)),""),"")</f>
        <v/>
      </c>
      <c r="K1367" s="29">
        <f>IFERROR(IF(AND(ISNUMBER(C1367),ISNUMBER(J1367)),C1367/J1367-1,""),"")</f>
        <v/>
      </c>
      <c r="L1367" s="28">
        <f>IFERROR(IF(AND(ISNUMBER(D1367),ISNUMBER(E1367)),D1367-E1367,""),"")</f>
        <v/>
      </c>
    </row>
    <row r="1368">
      <c r="A1368" s="7">
        <f>IFERROR(Datos!A1368,"")</f>
        <v/>
      </c>
      <c r="B1368" s="8">
        <f>IFERROR(Datos!B1368,"")</f>
        <v/>
      </c>
      <c r="C1368" s="8">
        <f>IFERROR(Datos!C1368,"")</f>
        <v/>
      </c>
      <c r="D1368" s="28">
        <f>IFERROR(IF(AND(ISNUMBER(B1368),ISNUMBER(B1367),B1367&lt;&gt;0),B1368/B1367-1,""),"")</f>
        <v/>
      </c>
      <c r="E1368" s="28">
        <f>IFERROR(IF(AND(ISNUMBER(C1368),ISNUMBER(C1367),C1367&lt;&gt;0),C1368/C1367-1,""),"")</f>
        <v/>
      </c>
      <c r="F1368" s="28">
        <f>IFERROR(D1368-Dashboard!$B$4/252,"")</f>
        <v/>
      </c>
      <c r="G1368" s="28">
        <f>IFERROR(E1368-Dashboard!$B$4/252,"")</f>
        <v/>
      </c>
      <c r="H1368" s="8">
        <f>IFERROR(IF(ISNUMBER(B1368),MAX(B1368,IFERROR(H1367,B1368)),""),"")</f>
        <v/>
      </c>
      <c r="I1368" s="29">
        <f>IFERROR(IF(AND(ISNUMBER(B1368),ISNUMBER(H1368)),B1368/H1368-1,""),"")</f>
        <v/>
      </c>
      <c r="J1368" s="8">
        <f>IFERROR(IF(ISNUMBER(C1368),MAX(C1368,IFERROR(J1367,C1368)),""),"")</f>
        <v/>
      </c>
      <c r="K1368" s="29">
        <f>IFERROR(IF(AND(ISNUMBER(C1368),ISNUMBER(J1368)),C1368/J1368-1,""),"")</f>
        <v/>
      </c>
      <c r="L1368" s="28">
        <f>IFERROR(IF(AND(ISNUMBER(D1368),ISNUMBER(E1368)),D1368-E1368,""),"")</f>
        <v/>
      </c>
    </row>
    <row r="1369">
      <c r="A1369" s="7">
        <f>IFERROR(Datos!A1369,"")</f>
        <v/>
      </c>
      <c r="B1369" s="8">
        <f>IFERROR(Datos!B1369,"")</f>
        <v/>
      </c>
      <c r="C1369" s="8">
        <f>IFERROR(Datos!C1369,"")</f>
        <v/>
      </c>
      <c r="D1369" s="28">
        <f>IFERROR(IF(AND(ISNUMBER(B1369),ISNUMBER(B1368),B1368&lt;&gt;0),B1369/B1368-1,""),"")</f>
        <v/>
      </c>
      <c r="E1369" s="28">
        <f>IFERROR(IF(AND(ISNUMBER(C1369),ISNUMBER(C1368),C1368&lt;&gt;0),C1369/C1368-1,""),"")</f>
        <v/>
      </c>
      <c r="F1369" s="28">
        <f>IFERROR(D1369-Dashboard!$B$4/252,"")</f>
        <v/>
      </c>
      <c r="G1369" s="28">
        <f>IFERROR(E1369-Dashboard!$B$4/252,"")</f>
        <v/>
      </c>
      <c r="H1369" s="8">
        <f>IFERROR(IF(ISNUMBER(B1369),MAX(B1369,IFERROR(H1368,B1369)),""),"")</f>
        <v/>
      </c>
      <c r="I1369" s="29">
        <f>IFERROR(IF(AND(ISNUMBER(B1369),ISNUMBER(H1369)),B1369/H1369-1,""),"")</f>
        <v/>
      </c>
      <c r="J1369" s="8">
        <f>IFERROR(IF(ISNUMBER(C1369),MAX(C1369,IFERROR(J1368,C1369)),""),"")</f>
        <v/>
      </c>
      <c r="K1369" s="29">
        <f>IFERROR(IF(AND(ISNUMBER(C1369),ISNUMBER(J1369)),C1369/J1369-1,""),"")</f>
        <v/>
      </c>
      <c r="L1369" s="28">
        <f>IFERROR(IF(AND(ISNUMBER(D1369),ISNUMBER(E1369)),D1369-E1369,""),"")</f>
        <v/>
      </c>
    </row>
    <row r="1370">
      <c r="A1370" s="7">
        <f>IFERROR(Datos!A1370,"")</f>
        <v/>
      </c>
      <c r="B1370" s="8">
        <f>IFERROR(Datos!B1370,"")</f>
        <v/>
      </c>
      <c r="C1370" s="8">
        <f>IFERROR(Datos!C1370,"")</f>
        <v/>
      </c>
      <c r="D1370" s="28">
        <f>IFERROR(IF(AND(ISNUMBER(B1370),ISNUMBER(B1369),B1369&lt;&gt;0),B1370/B1369-1,""),"")</f>
        <v/>
      </c>
      <c r="E1370" s="28">
        <f>IFERROR(IF(AND(ISNUMBER(C1370),ISNUMBER(C1369),C1369&lt;&gt;0),C1370/C1369-1,""),"")</f>
        <v/>
      </c>
      <c r="F1370" s="28">
        <f>IFERROR(D1370-Dashboard!$B$4/252,"")</f>
        <v/>
      </c>
      <c r="G1370" s="28">
        <f>IFERROR(E1370-Dashboard!$B$4/252,"")</f>
        <v/>
      </c>
      <c r="H1370" s="8">
        <f>IFERROR(IF(ISNUMBER(B1370),MAX(B1370,IFERROR(H1369,B1370)),""),"")</f>
        <v/>
      </c>
      <c r="I1370" s="29">
        <f>IFERROR(IF(AND(ISNUMBER(B1370),ISNUMBER(H1370)),B1370/H1370-1,""),"")</f>
        <v/>
      </c>
      <c r="J1370" s="8">
        <f>IFERROR(IF(ISNUMBER(C1370),MAX(C1370,IFERROR(J1369,C1370)),""),"")</f>
        <v/>
      </c>
      <c r="K1370" s="29">
        <f>IFERROR(IF(AND(ISNUMBER(C1370),ISNUMBER(J1370)),C1370/J1370-1,""),"")</f>
        <v/>
      </c>
      <c r="L1370" s="28">
        <f>IFERROR(IF(AND(ISNUMBER(D1370),ISNUMBER(E1370)),D1370-E1370,""),"")</f>
        <v/>
      </c>
    </row>
    <row r="1371">
      <c r="A1371" s="7">
        <f>IFERROR(Datos!A1371,"")</f>
        <v/>
      </c>
      <c r="B1371" s="8">
        <f>IFERROR(Datos!B1371,"")</f>
        <v/>
      </c>
      <c r="C1371" s="8">
        <f>IFERROR(Datos!C1371,"")</f>
        <v/>
      </c>
      <c r="D1371" s="28">
        <f>IFERROR(IF(AND(ISNUMBER(B1371),ISNUMBER(B1370),B1370&lt;&gt;0),B1371/B1370-1,""),"")</f>
        <v/>
      </c>
      <c r="E1371" s="28">
        <f>IFERROR(IF(AND(ISNUMBER(C1371),ISNUMBER(C1370),C1370&lt;&gt;0),C1371/C1370-1,""),"")</f>
        <v/>
      </c>
      <c r="F1371" s="28">
        <f>IFERROR(D1371-Dashboard!$B$4/252,"")</f>
        <v/>
      </c>
      <c r="G1371" s="28">
        <f>IFERROR(E1371-Dashboard!$B$4/252,"")</f>
        <v/>
      </c>
      <c r="H1371" s="8">
        <f>IFERROR(IF(ISNUMBER(B1371),MAX(B1371,IFERROR(H1370,B1371)),""),"")</f>
        <v/>
      </c>
      <c r="I1371" s="29">
        <f>IFERROR(IF(AND(ISNUMBER(B1371),ISNUMBER(H1371)),B1371/H1371-1,""),"")</f>
        <v/>
      </c>
      <c r="J1371" s="8">
        <f>IFERROR(IF(ISNUMBER(C1371),MAX(C1371,IFERROR(J1370,C1371)),""),"")</f>
        <v/>
      </c>
      <c r="K1371" s="29">
        <f>IFERROR(IF(AND(ISNUMBER(C1371),ISNUMBER(J1371)),C1371/J1371-1,""),"")</f>
        <v/>
      </c>
      <c r="L1371" s="28">
        <f>IFERROR(IF(AND(ISNUMBER(D1371),ISNUMBER(E1371)),D1371-E1371,""),"")</f>
        <v/>
      </c>
    </row>
    <row r="1372">
      <c r="A1372" s="7">
        <f>IFERROR(Datos!A1372,"")</f>
        <v/>
      </c>
      <c r="B1372" s="8">
        <f>IFERROR(Datos!B1372,"")</f>
        <v/>
      </c>
      <c r="C1372" s="8">
        <f>IFERROR(Datos!C1372,"")</f>
        <v/>
      </c>
      <c r="D1372" s="28">
        <f>IFERROR(IF(AND(ISNUMBER(B1372),ISNUMBER(B1371),B1371&lt;&gt;0),B1372/B1371-1,""),"")</f>
        <v/>
      </c>
      <c r="E1372" s="28">
        <f>IFERROR(IF(AND(ISNUMBER(C1372),ISNUMBER(C1371),C1371&lt;&gt;0),C1372/C1371-1,""),"")</f>
        <v/>
      </c>
      <c r="F1372" s="28">
        <f>IFERROR(D1372-Dashboard!$B$4/252,"")</f>
        <v/>
      </c>
      <c r="G1372" s="28">
        <f>IFERROR(E1372-Dashboard!$B$4/252,"")</f>
        <v/>
      </c>
      <c r="H1372" s="8">
        <f>IFERROR(IF(ISNUMBER(B1372),MAX(B1372,IFERROR(H1371,B1372)),""),"")</f>
        <v/>
      </c>
      <c r="I1372" s="29">
        <f>IFERROR(IF(AND(ISNUMBER(B1372),ISNUMBER(H1372)),B1372/H1372-1,""),"")</f>
        <v/>
      </c>
      <c r="J1372" s="8">
        <f>IFERROR(IF(ISNUMBER(C1372),MAX(C1372,IFERROR(J1371,C1372)),""),"")</f>
        <v/>
      </c>
      <c r="K1372" s="29">
        <f>IFERROR(IF(AND(ISNUMBER(C1372),ISNUMBER(J1372)),C1372/J1372-1,""),"")</f>
        <v/>
      </c>
      <c r="L1372" s="28">
        <f>IFERROR(IF(AND(ISNUMBER(D1372),ISNUMBER(E1372)),D1372-E1372,""),"")</f>
        <v/>
      </c>
    </row>
    <row r="1373">
      <c r="A1373" s="7">
        <f>IFERROR(Datos!A1373,"")</f>
        <v/>
      </c>
      <c r="B1373" s="8">
        <f>IFERROR(Datos!B1373,"")</f>
        <v/>
      </c>
      <c r="C1373" s="8">
        <f>IFERROR(Datos!C1373,"")</f>
        <v/>
      </c>
      <c r="D1373" s="28">
        <f>IFERROR(IF(AND(ISNUMBER(B1373),ISNUMBER(B1372),B1372&lt;&gt;0),B1373/B1372-1,""),"")</f>
        <v/>
      </c>
      <c r="E1373" s="28">
        <f>IFERROR(IF(AND(ISNUMBER(C1373),ISNUMBER(C1372),C1372&lt;&gt;0),C1373/C1372-1,""),"")</f>
        <v/>
      </c>
      <c r="F1373" s="28">
        <f>IFERROR(D1373-Dashboard!$B$4/252,"")</f>
        <v/>
      </c>
      <c r="G1373" s="28">
        <f>IFERROR(E1373-Dashboard!$B$4/252,"")</f>
        <v/>
      </c>
      <c r="H1373" s="8">
        <f>IFERROR(IF(ISNUMBER(B1373),MAX(B1373,IFERROR(H1372,B1373)),""),"")</f>
        <v/>
      </c>
      <c r="I1373" s="29">
        <f>IFERROR(IF(AND(ISNUMBER(B1373),ISNUMBER(H1373)),B1373/H1373-1,""),"")</f>
        <v/>
      </c>
      <c r="J1373" s="8">
        <f>IFERROR(IF(ISNUMBER(C1373),MAX(C1373,IFERROR(J1372,C1373)),""),"")</f>
        <v/>
      </c>
      <c r="K1373" s="29">
        <f>IFERROR(IF(AND(ISNUMBER(C1373),ISNUMBER(J1373)),C1373/J1373-1,""),"")</f>
        <v/>
      </c>
      <c r="L1373" s="28">
        <f>IFERROR(IF(AND(ISNUMBER(D1373),ISNUMBER(E1373)),D1373-E1373,""),"")</f>
        <v/>
      </c>
    </row>
    <row r="1374">
      <c r="A1374" s="7">
        <f>IFERROR(Datos!A1374,"")</f>
        <v/>
      </c>
      <c r="B1374" s="8">
        <f>IFERROR(Datos!B1374,"")</f>
        <v/>
      </c>
      <c r="C1374" s="8">
        <f>IFERROR(Datos!C1374,"")</f>
        <v/>
      </c>
      <c r="D1374" s="28">
        <f>IFERROR(IF(AND(ISNUMBER(B1374),ISNUMBER(B1373),B1373&lt;&gt;0),B1374/B1373-1,""),"")</f>
        <v/>
      </c>
      <c r="E1374" s="28">
        <f>IFERROR(IF(AND(ISNUMBER(C1374),ISNUMBER(C1373),C1373&lt;&gt;0),C1374/C1373-1,""),"")</f>
        <v/>
      </c>
      <c r="F1374" s="28">
        <f>IFERROR(D1374-Dashboard!$B$4/252,"")</f>
        <v/>
      </c>
      <c r="G1374" s="28">
        <f>IFERROR(E1374-Dashboard!$B$4/252,"")</f>
        <v/>
      </c>
      <c r="H1374" s="8">
        <f>IFERROR(IF(ISNUMBER(B1374),MAX(B1374,IFERROR(H1373,B1374)),""),"")</f>
        <v/>
      </c>
      <c r="I1374" s="29">
        <f>IFERROR(IF(AND(ISNUMBER(B1374),ISNUMBER(H1374)),B1374/H1374-1,""),"")</f>
        <v/>
      </c>
      <c r="J1374" s="8">
        <f>IFERROR(IF(ISNUMBER(C1374),MAX(C1374,IFERROR(J1373,C1374)),""),"")</f>
        <v/>
      </c>
      <c r="K1374" s="29">
        <f>IFERROR(IF(AND(ISNUMBER(C1374),ISNUMBER(J1374)),C1374/J1374-1,""),"")</f>
        <v/>
      </c>
      <c r="L1374" s="28">
        <f>IFERROR(IF(AND(ISNUMBER(D1374),ISNUMBER(E1374)),D1374-E1374,""),"")</f>
        <v/>
      </c>
    </row>
    <row r="1375">
      <c r="A1375" s="7">
        <f>IFERROR(Datos!A1375,"")</f>
        <v/>
      </c>
      <c r="B1375" s="8">
        <f>IFERROR(Datos!B1375,"")</f>
        <v/>
      </c>
      <c r="C1375" s="8">
        <f>IFERROR(Datos!C1375,"")</f>
        <v/>
      </c>
      <c r="D1375" s="28">
        <f>IFERROR(IF(AND(ISNUMBER(B1375),ISNUMBER(B1374),B1374&lt;&gt;0),B1375/B1374-1,""),"")</f>
        <v/>
      </c>
      <c r="E1375" s="28">
        <f>IFERROR(IF(AND(ISNUMBER(C1375),ISNUMBER(C1374),C1374&lt;&gt;0),C1375/C1374-1,""),"")</f>
        <v/>
      </c>
      <c r="F1375" s="28">
        <f>IFERROR(D1375-Dashboard!$B$4/252,"")</f>
        <v/>
      </c>
      <c r="G1375" s="28">
        <f>IFERROR(E1375-Dashboard!$B$4/252,"")</f>
        <v/>
      </c>
      <c r="H1375" s="8">
        <f>IFERROR(IF(ISNUMBER(B1375),MAX(B1375,IFERROR(H1374,B1375)),""),"")</f>
        <v/>
      </c>
      <c r="I1375" s="29">
        <f>IFERROR(IF(AND(ISNUMBER(B1375),ISNUMBER(H1375)),B1375/H1375-1,""),"")</f>
        <v/>
      </c>
      <c r="J1375" s="8">
        <f>IFERROR(IF(ISNUMBER(C1375),MAX(C1375,IFERROR(J1374,C1375)),""),"")</f>
        <v/>
      </c>
      <c r="K1375" s="29">
        <f>IFERROR(IF(AND(ISNUMBER(C1375),ISNUMBER(J1375)),C1375/J1375-1,""),"")</f>
        <v/>
      </c>
      <c r="L1375" s="28">
        <f>IFERROR(IF(AND(ISNUMBER(D1375),ISNUMBER(E1375)),D1375-E1375,""),"")</f>
        <v/>
      </c>
    </row>
    <row r="1376">
      <c r="A1376" s="7">
        <f>IFERROR(Datos!A1376,"")</f>
        <v/>
      </c>
      <c r="B1376" s="8">
        <f>IFERROR(Datos!B1376,"")</f>
        <v/>
      </c>
      <c r="C1376" s="8">
        <f>IFERROR(Datos!C1376,"")</f>
        <v/>
      </c>
      <c r="D1376" s="28">
        <f>IFERROR(IF(AND(ISNUMBER(B1376),ISNUMBER(B1375),B1375&lt;&gt;0),B1376/B1375-1,""),"")</f>
        <v/>
      </c>
      <c r="E1376" s="28">
        <f>IFERROR(IF(AND(ISNUMBER(C1376),ISNUMBER(C1375),C1375&lt;&gt;0),C1376/C1375-1,""),"")</f>
        <v/>
      </c>
      <c r="F1376" s="28">
        <f>IFERROR(D1376-Dashboard!$B$4/252,"")</f>
        <v/>
      </c>
      <c r="G1376" s="28">
        <f>IFERROR(E1376-Dashboard!$B$4/252,"")</f>
        <v/>
      </c>
      <c r="H1376" s="8">
        <f>IFERROR(IF(ISNUMBER(B1376),MAX(B1376,IFERROR(H1375,B1376)),""),"")</f>
        <v/>
      </c>
      <c r="I1376" s="29">
        <f>IFERROR(IF(AND(ISNUMBER(B1376),ISNUMBER(H1376)),B1376/H1376-1,""),"")</f>
        <v/>
      </c>
      <c r="J1376" s="8">
        <f>IFERROR(IF(ISNUMBER(C1376),MAX(C1376,IFERROR(J1375,C1376)),""),"")</f>
        <v/>
      </c>
      <c r="K1376" s="29">
        <f>IFERROR(IF(AND(ISNUMBER(C1376),ISNUMBER(J1376)),C1376/J1376-1,""),"")</f>
        <v/>
      </c>
      <c r="L1376" s="28">
        <f>IFERROR(IF(AND(ISNUMBER(D1376),ISNUMBER(E1376)),D1376-E1376,""),"")</f>
        <v/>
      </c>
    </row>
    <row r="1377">
      <c r="A1377" s="7">
        <f>IFERROR(Datos!A1377,"")</f>
        <v/>
      </c>
      <c r="B1377" s="8">
        <f>IFERROR(Datos!B1377,"")</f>
        <v/>
      </c>
      <c r="C1377" s="8">
        <f>IFERROR(Datos!C1377,"")</f>
        <v/>
      </c>
      <c r="D1377" s="28">
        <f>IFERROR(IF(AND(ISNUMBER(B1377),ISNUMBER(B1376),B1376&lt;&gt;0),B1377/B1376-1,""),"")</f>
        <v/>
      </c>
      <c r="E1377" s="28">
        <f>IFERROR(IF(AND(ISNUMBER(C1377),ISNUMBER(C1376),C1376&lt;&gt;0),C1377/C1376-1,""),"")</f>
        <v/>
      </c>
      <c r="F1377" s="28">
        <f>IFERROR(D1377-Dashboard!$B$4/252,"")</f>
        <v/>
      </c>
      <c r="G1377" s="28">
        <f>IFERROR(E1377-Dashboard!$B$4/252,"")</f>
        <v/>
      </c>
      <c r="H1377" s="8">
        <f>IFERROR(IF(ISNUMBER(B1377),MAX(B1377,IFERROR(H1376,B1377)),""),"")</f>
        <v/>
      </c>
      <c r="I1377" s="29">
        <f>IFERROR(IF(AND(ISNUMBER(B1377),ISNUMBER(H1377)),B1377/H1377-1,""),"")</f>
        <v/>
      </c>
      <c r="J1377" s="8">
        <f>IFERROR(IF(ISNUMBER(C1377),MAX(C1377,IFERROR(J1376,C1377)),""),"")</f>
        <v/>
      </c>
      <c r="K1377" s="29">
        <f>IFERROR(IF(AND(ISNUMBER(C1377),ISNUMBER(J1377)),C1377/J1377-1,""),"")</f>
        <v/>
      </c>
      <c r="L1377" s="28">
        <f>IFERROR(IF(AND(ISNUMBER(D1377),ISNUMBER(E1377)),D1377-E1377,""),"")</f>
        <v/>
      </c>
    </row>
    <row r="1378">
      <c r="A1378" s="7">
        <f>IFERROR(Datos!A1378,"")</f>
        <v/>
      </c>
      <c r="B1378" s="8">
        <f>IFERROR(Datos!B1378,"")</f>
        <v/>
      </c>
      <c r="C1378" s="8">
        <f>IFERROR(Datos!C1378,"")</f>
        <v/>
      </c>
      <c r="D1378" s="28">
        <f>IFERROR(IF(AND(ISNUMBER(B1378),ISNUMBER(B1377),B1377&lt;&gt;0),B1378/B1377-1,""),"")</f>
        <v/>
      </c>
      <c r="E1378" s="28">
        <f>IFERROR(IF(AND(ISNUMBER(C1378),ISNUMBER(C1377),C1377&lt;&gt;0),C1378/C1377-1,""),"")</f>
        <v/>
      </c>
      <c r="F1378" s="28">
        <f>IFERROR(D1378-Dashboard!$B$4/252,"")</f>
        <v/>
      </c>
      <c r="G1378" s="28">
        <f>IFERROR(E1378-Dashboard!$B$4/252,"")</f>
        <v/>
      </c>
      <c r="H1378" s="8">
        <f>IFERROR(IF(ISNUMBER(B1378),MAX(B1378,IFERROR(H1377,B1378)),""),"")</f>
        <v/>
      </c>
      <c r="I1378" s="29">
        <f>IFERROR(IF(AND(ISNUMBER(B1378),ISNUMBER(H1378)),B1378/H1378-1,""),"")</f>
        <v/>
      </c>
      <c r="J1378" s="8">
        <f>IFERROR(IF(ISNUMBER(C1378),MAX(C1378,IFERROR(J1377,C1378)),""),"")</f>
        <v/>
      </c>
      <c r="K1378" s="29">
        <f>IFERROR(IF(AND(ISNUMBER(C1378),ISNUMBER(J1378)),C1378/J1378-1,""),"")</f>
        <v/>
      </c>
      <c r="L1378" s="28">
        <f>IFERROR(IF(AND(ISNUMBER(D1378),ISNUMBER(E1378)),D1378-E1378,""),"")</f>
        <v/>
      </c>
    </row>
    <row r="1379">
      <c r="A1379" s="7">
        <f>IFERROR(Datos!A1379,"")</f>
        <v/>
      </c>
      <c r="B1379" s="8">
        <f>IFERROR(Datos!B1379,"")</f>
        <v/>
      </c>
      <c r="C1379" s="8">
        <f>IFERROR(Datos!C1379,"")</f>
        <v/>
      </c>
      <c r="D1379" s="28">
        <f>IFERROR(IF(AND(ISNUMBER(B1379),ISNUMBER(B1378),B1378&lt;&gt;0),B1379/B1378-1,""),"")</f>
        <v/>
      </c>
      <c r="E1379" s="28">
        <f>IFERROR(IF(AND(ISNUMBER(C1379),ISNUMBER(C1378),C1378&lt;&gt;0),C1379/C1378-1,""),"")</f>
        <v/>
      </c>
      <c r="F1379" s="28">
        <f>IFERROR(D1379-Dashboard!$B$4/252,"")</f>
        <v/>
      </c>
      <c r="G1379" s="28">
        <f>IFERROR(E1379-Dashboard!$B$4/252,"")</f>
        <v/>
      </c>
      <c r="H1379" s="8">
        <f>IFERROR(IF(ISNUMBER(B1379),MAX(B1379,IFERROR(H1378,B1379)),""),"")</f>
        <v/>
      </c>
      <c r="I1379" s="29">
        <f>IFERROR(IF(AND(ISNUMBER(B1379),ISNUMBER(H1379)),B1379/H1379-1,""),"")</f>
        <v/>
      </c>
      <c r="J1379" s="8">
        <f>IFERROR(IF(ISNUMBER(C1379),MAX(C1379,IFERROR(J1378,C1379)),""),"")</f>
        <v/>
      </c>
      <c r="K1379" s="29">
        <f>IFERROR(IF(AND(ISNUMBER(C1379),ISNUMBER(J1379)),C1379/J1379-1,""),"")</f>
        <v/>
      </c>
      <c r="L1379" s="28">
        <f>IFERROR(IF(AND(ISNUMBER(D1379),ISNUMBER(E1379)),D1379-E1379,""),"")</f>
        <v/>
      </c>
    </row>
    <row r="1380">
      <c r="A1380" s="7">
        <f>IFERROR(Datos!A1380,"")</f>
        <v/>
      </c>
      <c r="B1380" s="8">
        <f>IFERROR(Datos!B1380,"")</f>
        <v/>
      </c>
      <c r="C1380" s="8">
        <f>IFERROR(Datos!C1380,"")</f>
        <v/>
      </c>
      <c r="D1380" s="28">
        <f>IFERROR(IF(AND(ISNUMBER(B1380),ISNUMBER(B1379),B1379&lt;&gt;0),B1380/B1379-1,""),"")</f>
        <v/>
      </c>
      <c r="E1380" s="28">
        <f>IFERROR(IF(AND(ISNUMBER(C1380),ISNUMBER(C1379),C1379&lt;&gt;0),C1380/C1379-1,""),"")</f>
        <v/>
      </c>
      <c r="F1380" s="28">
        <f>IFERROR(D1380-Dashboard!$B$4/252,"")</f>
        <v/>
      </c>
      <c r="G1380" s="28">
        <f>IFERROR(E1380-Dashboard!$B$4/252,"")</f>
        <v/>
      </c>
      <c r="H1380" s="8">
        <f>IFERROR(IF(ISNUMBER(B1380),MAX(B1380,IFERROR(H1379,B1380)),""),"")</f>
        <v/>
      </c>
      <c r="I1380" s="29">
        <f>IFERROR(IF(AND(ISNUMBER(B1380),ISNUMBER(H1380)),B1380/H1380-1,""),"")</f>
        <v/>
      </c>
      <c r="J1380" s="8">
        <f>IFERROR(IF(ISNUMBER(C1380),MAX(C1380,IFERROR(J1379,C1380)),""),"")</f>
        <v/>
      </c>
      <c r="K1380" s="29">
        <f>IFERROR(IF(AND(ISNUMBER(C1380),ISNUMBER(J1380)),C1380/J1380-1,""),"")</f>
        <v/>
      </c>
      <c r="L1380" s="28">
        <f>IFERROR(IF(AND(ISNUMBER(D1380),ISNUMBER(E1380)),D1380-E1380,""),"")</f>
        <v/>
      </c>
    </row>
    <row r="1381">
      <c r="A1381" s="7">
        <f>IFERROR(Datos!A1381,"")</f>
        <v/>
      </c>
      <c r="B1381" s="8">
        <f>IFERROR(Datos!B1381,"")</f>
        <v/>
      </c>
      <c r="C1381" s="8">
        <f>IFERROR(Datos!C1381,"")</f>
        <v/>
      </c>
      <c r="D1381" s="28">
        <f>IFERROR(IF(AND(ISNUMBER(B1381),ISNUMBER(B1380),B1380&lt;&gt;0),B1381/B1380-1,""),"")</f>
        <v/>
      </c>
      <c r="E1381" s="28">
        <f>IFERROR(IF(AND(ISNUMBER(C1381),ISNUMBER(C1380),C1380&lt;&gt;0),C1381/C1380-1,""),"")</f>
        <v/>
      </c>
      <c r="F1381" s="28">
        <f>IFERROR(D1381-Dashboard!$B$4/252,"")</f>
        <v/>
      </c>
      <c r="G1381" s="28">
        <f>IFERROR(E1381-Dashboard!$B$4/252,"")</f>
        <v/>
      </c>
      <c r="H1381" s="8">
        <f>IFERROR(IF(ISNUMBER(B1381),MAX(B1381,IFERROR(H1380,B1381)),""),"")</f>
        <v/>
      </c>
      <c r="I1381" s="29">
        <f>IFERROR(IF(AND(ISNUMBER(B1381),ISNUMBER(H1381)),B1381/H1381-1,""),"")</f>
        <v/>
      </c>
      <c r="J1381" s="8">
        <f>IFERROR(IF(ISNUMBER(C1381),MAX(C1381,IFERROR(J1380,C1381)),""),"")</f>
        <v/>
      </c>
      <c r="K1381" s="29">
        <f>IFERROR(IF(AND(ISNUMBER(C1381),ISNUMBER(J1381)),C1381/J1381-1,""),"")</f>
        <v/>
      </c>
      <c r="L1381" s="28">
        <f>IFERROR(IF(AND(ISNUMBER(D1381),ISNUMBER(E1381)),D1381-E1381,""),"")</f>
        <v/>
      </c>
    </row>
    <row r="1382">
      <c r="A1382" s="7">
        <f>IFERROR(Datos!A1382,"")</f>
        <v/>
      </c>
      <c r="B1382" s="8">
        <f>IFERROR(Datos!B1382,"")</f>
        <v/>
      </c>
      <c r="C1382" s="8">
        <f>IFERROR(Datos!C1382,"")</f>
        <v/>
      </c>
      <c r="D1382" s="28">
        <f>IFERROR(IF(AND(ISNUMBER(B1382),ISNUMBER(B1381),B1381&lt;&gt;0),B1382/B1381-1,""),"")</f>
        <v/>
      </c>
      <c r="E1382" s="28">
        <f>IFERROR(IF(AND(ISNUMBER(C1382),ISNUMBER(C1381),C1381&lt;&gt;0),C1382/C1381-1,""),"")</f>
        <v/>
      </c>
      <c r="F1382" s="28">
        <f>IFERROR(D1382-Dashboard!$B$4/252,"")</f>
        <v/>
      </c>
      <c r="G1382" s="28">
        <f>IFERROR(E1382-Dashboard!$B$4/252,"")</f>
        <v/>
      </c>
      <c r="H1382" s="8">
        <f>IFERROR(IF(ISNUMBER(B1382),MAX(B1382,IFERROR(H1381,B1382)),""),"")</f>
        <v/>
      </c>
      <c r="I1382" s="29">
        <f>IFERROR(IF(AND(ISNUMBER(B1382),ISNUMBER(H1382)),B1382/H1382-1,""),"")</f>
        <v/>
      </c>
      <c r="J1382" s="8">
        <f>IFERROR(IF(ISNUMBER(C1382),MAX(C1382,IFERROR(J1381,C1382)),""),"")</f>
        <v/>
      </c>
      <c r="K1382" s="29">
        <f>IFERROR(IF(AND(ISNUMBER(C1382),ISNUMBER(J1382)),C1382/J1382-1,""),"")</f>
        <v/>
      </c>
      <c r="L1382" s="28">
        <f>IFERROR(IF(AND(ISNUMBER(D1382),ISNUMBER(E1382)),D1382-E1382,""),"")</f>
        <v/>
      </c>
    </row>
    <row r="1383">
      <c r="A1383" s="7">
        <f>IFERROR(Datos!A1383,"")</f>
        <v/>
      </c>
      <c r="B1383" s="8">
        <f>IFERROR(Datos!B1383,"")</f>
        <v/>
      </c>
      <c r="C1383" s="8">
        <f>IFERROR(Datos!C1383,"")</f>
        <v/>
      </c>
      <c r="D1383" s="28">
        <f>IFERROR(IF(AND(ISNUMBER(B1383),ISNUMBER(B1382),B1382&lt;&gt;0),B1383/B1382-1,""),"")</f>
        <v/>
      </c>
      <c r="E1383" s="28">
        <f>IFERROR(IF(AND(ISNUMBER(C1383),ISNUMBER(C1382),C1382&lt;&gt;0),C1383/C1382-1,""),"")</f>
        <v/>
      </c>
      <c r="F1383" s="28">
        <f>IFERROR(D1383-Dashboard!$B$4/252,"")</f>
        <v/>
      </c>
      <c r="G1383" s="28">
        <f>IFERROR(E1383-Dashboard!$B$4/252,"")</f>
        <v/>
      </c>
      <c r="H1383" s="8">
        <f>IFERROR(IF(ISNUMBER(B1383),MAX(B1383,IFERROR(H1382,B1383)),""),"")</f>
        <v/>
      </c>
      <c r="I1383" s="29">
        <f>IFERROR(IF(AND(ISNUMBER(B1383),ISNUMBER(H1383)),B1383/H1383-1,""),"")</f>
        <v/>
      </c>
      <c r="J1383" s="8">
        <f>IFERROR(IF(ISNUMBER(C1383),MAX(C1383,IFERROR(J1382,C1383)),""),"")</f>
        <v/>
      </c>
      <c r="K1383" s="29">
        <f>IFERROR(IF(AND(ISNUMBER(C1383),ISNUMBER(J1383)),C1383/J1383-1,""),"")</f>
        <v/>
      </c>
      <c r="L1383" s="28">
        <f>IFERROR(IF(AND(ISNUMBER(D1383),ISNUMBER(E1383)),D1383-E1383,""),"")</f>
        <v/>
      </c>
    </row>
    <row r="1384">
      <c r="A1384" s="7">
        <f>IFERROR(Datos!A1384,"")</f>
        <v/>
      </c>
      <c r="B1384" s="8">
        <f>IFERROR(Datos!B1384,"")</f>
        <v/>
      </c>
      <c r="C1384" s="8">
        <f>IFERROR(Datos!C1384,"")</f>
        <v/>
      </c>
      <c r="D1384" s="28">
        <f>IFERROR(IF(AND(ISNUMBER(B1384),ISNUMBER(B1383),B1383&lt;&gt;0),B1384/B1383-1,""),"")</f>
        <v/>
      </c>
      <c r="E1384" s="28">
        <f>IFERROR(IF(AND(ISNUMBER(C1384),ISNUMBER(C1383),C1383&lt;&gt;0),C1384/C1383-1,""),"")</f>
        <v/>
      </c>
      <c r="F1384" s="28">
        <f>IFERROR(D1384-Dashboard!$B$4/252,"")</f>
        <v/>
      </c>
      <c r="G1384" s="28">
        <f>IFERROR(E1384-Dashboard!$B$4/252,"")</f>
        <v/>
      </c>
      <c r="H1384" s="8">
        <f>IFERROR(IF(ISNUMBER(B1384),MAX(B1384,IFERROR(H1383,B1384)),""),"")</f>
        <v/>
      </c>
      <c r="I1384" s="29">
        <f>IFERROR(IF(AND(ISNUMBER(B1384),ISNUMBER(H1384)),B1384/H1384-1,""),"")</f>
        <v/>
      </c>
      <c r="J1384" s="8">
        <f>IFERROR(IF(ISNUMBER(C1384),MAX(C1384,IFERROR(J1383,C1384)),""),"")</f>
        <v/>
      </c>
      <c r="K1384" s="29">
        <f>IFERROR(IF(AND(ISNUMBER(C1384),ISNUMBER(J1384)),C1384/J1384-1,""),"")</f>
        <v/>
      </c>
      <c r="L1384" s="28">
        <f>IFERROR(IF(AND(ISNUMBER(D1384),ISNUMBER(E1384)),D1384-E1384,""),"")</f>
        <v/>
      </c>
    </row>
    <row r="1385">
      <c r="A1385" s="7">
        <f>IFERROR(Datos!A1385,"")</f>
        <v/>
      </c>
      <c r="B1385" s="8">
        <f>IFERROR(Datos!B1385,"")</f>
        <v/>
      </c>
      <c r="C1385" s="8">
        <f>IFERROR(Datos!C1385,"")</f>
        <v/>
      </c>
      <c r="D1385" s="28">
        <f>IFERROR(IF(AND(ISNUMBER(B1385),ISNUMBER(B1384),B1384&lt;&gt;0),B1385/B1384-1,""),"")</f>
        <v/>
      </c>
      <c r="E1385" s="28">
        <f>IFERROR(IF(AND(ISNUMBER(C1385),ISNUMBER(C1384),C1384&lt;&gt;0),C1385/C1384-1,""),"")</f>
        <v/>
      </c>
      <c r="F1385" s="28">
        <f>IFERROR(D1385-Dashboard!$B$4/252,"")</f>
        <v/>
      </c>
      <c r="G1385" s="28">
        <f>IFERROR(E1385-Dashboard!$B$4/252,"")</f>
        <v/>
      </c>
      <c r="H1385" s="8">
        <f>IFERROR(IF(ISNUMBER(B1385),MAX(B1385,IFERROR(H1384,B1385)),""),"")</f>
        <v/>
      </c>
      <c r="I1385" s="29">
        <f>IFERROR(IF(AND(ISNUMBER(B1385),ISNUMBER(H1385)),B1385/H1385-1,""),"")</f>
        <v/>
      </c>
      <c r="J1385" s="8">
        <f>IFERROR(IF(ISNUMBER(C1385),MAX(C1385,IFERROR(J1384,C1385)),""),"")</f>
        <v/>
      </c>
      <c r="K1385" s="29">
        <f>IFERROR(IF(AND(ISNUMBER(C1385),ISNUMBER(J1385)),C1385/J1385-1,""),"")</f>
        <v/>
      </c>
      <c r="L1385" s="28">
        <f>IFERROR(IF(AND(ISNUMBER(D1385),ISNUMBER(E1385)),D1385-E1385,""),"")</f>
        <v/>
      </c>
    </row>
    <row r="1386">
      <c r="A1386" s="7">
        <f>IFERROR(Datos!A1386,"")</f>
        <v/>
      </c>
      <c r="B1386" s="8">
        <f>IFERROR(Datos!B1386,"")</f>
        <v/>
      </c>
      <c r="C1386" s="8">
        <f>IFERROR(Datos!C1386,"")</f>
        <v/>
      </c>
      <c r="D1386" s="28">
        <f>IFERROR(IF(AND(ISNUMBER(B1386),ISNUMBER(B1385),B1385&lt;&gt;0),B1386/B1385-1,""),"")</f>
        <v/>
      </c>
      <c r="E1386" s="28">
        <f>IFERROR(IF(AND(ISNUMBER(C1386),ISNUMBER(C1385),C1385&lt;&gt;0),C1386/C1385-1,""),"")</f>
        <v/>
      </c>
      <c r="F1386" s="28">
        <f>IFERROR(D1386-Dashboard!$B$4/252,"")</f>
        <v/>
      </c>
      <c r="G1386" s="28">
        <f>IFERROR(E1386-Dashboard!$B$4/252,"")</f>
        <v/>
      </c>
      <c r="H1386" s="8">
        <f>IFERROR(IF(ISNUMBER(B1386),MAX(B1386,IFERROR(H1385,B1386)),""),"")</f>
        <v/>
      </c>
      <c r="I1386" s="29">
        <f>IFERROR(IF(AND(ISNUMBER(B1386),ISNUMBER(H1386)),B1386/H1386-1,""),"")</f>
        <v/>
      </c>
      <c r="J1386" s="8">
        <f>IFERROR(IF(ISNUMBER(C1386),MAX(C1386,IFERROR(J1385,C1386)),""),"")</f>
        <v/>
      </c>
      <c r="K1386" s="29">
        <f>IFERROR(IF(AND(ISNUMBER(C1386),ISNUMBER(J1386)),C1386/J1386-1,""),"")</f>
        <v/>
      </c>
      <c r="L1386" s="28">
        <f>IFERROR(IF(AND(ISNUMBER(D1386),ISNUMBER(E1386)),D1386-E1386,""),"")</f>
        <v/>
      </c>
    </row>
    <row r="1387">
      <c r="A1387" s="7">
        <f>IFERROR(Datos!A1387,"")</f>
        <v/>
      </c>
      <c r="B1387" s="8">
        <f>IFERROR(Datos!B1387,"")</f>
        <v/>
      </c>
      <c r="C1387" s="8">
        <f>IFERROR(Datos!C1387,"")</f>
        <v/>
      </c>
      <c r="D1387" s="28">
        <f>IFERROR(IF(AND(ISNUMBER(B1387),ISNUMBER(B1386),B1386&lt;&gt;0),B1387/B1386-1,""),"")</f>
        <v/>
      </c>
      <c r="E1387" s="28">
        <f>IFERROR(IF(AND(ISNUMBER(C1387),ISNUMBER(C1386),C1386&lt;&gt;0),C1387/C1386-1,""),"")</f>
        <v/>
      </c>
      <c r="F1387" s="28">
        <f>IFERROR(D1387-Dashboard!$B$4/252,"")</f>
        <v/>
      </c>
      <c r="G1387" s="28">
        <f>IFERROR(E1387-Dashboard!$B$4/252,"")</f>
        <v/>
      </c>
      <c r="H1387" s="8">
        <f>IFERROR(IF(ISNUMBER(B1387),MAX(B1387,IFERROR(H1386,B1387)),""),"")</f>
        <v/>
      </c>
      <c r="I1387" s="29">
        <f>IFERROR(IF(AND(ISNUMBER(B1387),ISNUMBER(H1387)),B1387/H1387-1,""),"")</f>
        <v/>
      </c>
      <c r="J1387" s="8">
        <f>IFERROR(IF(ISNUMBER(C1387),MAX(C1387,IFERROR(J1386,C1387)),""),"")</f>
        <v/>
      </c>
      <c r="K1387" s="29">
        <f>IFERROR(IF(AND(ISNUMBER(C1387),ISNUMBER(J1387)),C1387/J1387-1,""),"")</f>
        <v/>
      </c>
      <c r="L1387" s="28">
        <f>IFERROR(IF(AND(ISNUMBER(D1387),ISNUMBER(E1387)),D1387-E1387,""),"")</f>
        <v/>
      </c>
    </row>
    <row r="1388">
      <c r="A1388" s="7">
        <f>IFERROR(Datos!A1388,"")</f>
        <v/>
      </c>
      <c r="B1388" s="8">
        <f>IFERROR(Datos!B1388,"")</f>
        <v/>
      </c>
      <c r="C1388" s="8">
        <f>IFERROR(Datos!C1388,"")</f>
        <v/>
      </c>
      <c r="D1388" s="28">
        <f>IFERROR(IF(AND(ISNUMBER(B1388),ISNUMBER(B1387),B1387&lt;&gt;0),B1388/B1387-1,""),"")</f>
        <v/>
      </c>
      <c r="E1388" s="28">
        <f>IFERROR(IF(AND(ISNUMBER(C1388),ISNUMBER(C1387),C1387&lt;&gt;0),C1388/C1387-1,""),"")</f>
        <v/>
      </c>
      <c r="F1388" s="28">
        <f>IFERROR(D1388-Dashboard!$B$4/252,"")</f>
        <v/>
      </c>
      <c r="G1388" s="28">
        <f>IFERROR(E1388-Dashboard!$B$4/252,"")</f>
        <v/>
      </c>
      <c r="H1388" s="8">
        <f>IFERROR(IF(ISNUMBER(B1388),MAX(B1388,IFERROR(H1387,B1388)),""),"")</f>
        <v/>
      </c>
      <c r="I1388" s="29">
        <f>IFERROR(IF(AND(ISNUMBER(B1388),ISNUMBER(H1388)),B1388/H1388-1,""),"")</f>
        <v/>
      </c>
      <c r="J1388" s="8">
        <f>IFERROR(IF(ISNUMBER(C1388),MAX(C1388,IFERROR(J1387,C1388)),""),"")</f>
        <v/>
      </c>
      <c r="K1388" s="29">
        <f>IFERROR(IF(AND(ISNUMBER(C1388),ISNUMBER(J1388)),C1388/J1388-1,""),"")</f>
        <v/>
      </c>
      <c r="L1388" s="28">
        <f>IFERROR(IF(AND(ISNUMBER(D1388),ISNUMBER(E1388)),D1388-E1388,""),"")</f>
        <v/>
      </c>
    </row>
    <row r="1389">
      <c r="A1389" s="7">
        <f>IFERROR(Datos!A1389,"")</f>
        <v/>
      </c>
      <c r="B1389" s="8">
        <f>IFERROR(Datos!B1389,"")</f>
        <v/>
      </c>
      <c r="C1389" s="8">
        <f>IFERROR(Datos!C1389,"")</f>
        <v/>
      </c>
      <c r="D1389" s="28">
        <f>IFERROR(IF(AND(ISNUMBER(B1389),ISNUMBER(B1388),B1388&lt;&gt;0),B1389/B1388-1,""),"")</f>
        <v/>
      </c>
      <c r="E1389" s="28">
        <f>IFERROR(IF(AND(ISNUMBER(C1389),ISNUMBER(C1388),C1388&lt;&gt;0),C1389/C1388-1,""),"")</f>
        <v/>
      </c>
      <c r="F1389" s="28">
        <f>IFERROR(D1389-Dashboard!$B$4/252,"")</f>
        <v/>
      </c>
      <c r="G1389" s="28">
        <f>IFERROR(E1389-Dashboard!$B$4/252,"")</f>
        <v/>
      </c>
      <c r="H1389" s="8">
        <f>IFERROR(IF(ISNUMBER(B1389),MAX(B1389,IFERROR(H1388,B1389)),""),"")</f>
        <v/>
      </c>
      <c r="I1389" s="29">
        <f>IFERROR(IF(AND(ISNUMBER(B1389),ISNUMBER(H1389)),B1389/H1389-1,""),"")</f>
        <v/>
      </c>
      <c r="J1389" s="8">
        <f>IFERROR(IF(ISNUMBER(C1389),MAX(C1389,IFERROR(J1388,C1389)),""),"")</f>
        <v/>
      </c>
      <c r="K1389" s="29">
        <f>IFERROR(IF(AND(ISNUMBER(C1389),ISNUMBER(J1389)),C1389/J1389-1,""),"")</f>
        <v/>
      </c>
      <c r="L1389" s="28">
        <f>IFERROR(IF(AND(ISNUMBER(D1389),ISNUMBER(E1389)),D1389-E1389,""),"")</f>
        <v/>
      </c>
    </row>
    <row r="1390">
      <c r="A1390" s="7">
        <f>IFERROR(Datos!A1390,"")</f>
        <v/>
      </c>
      <c r="B1390" s="8">
        <f>IFERROR(Datos!B1390,"")</f>
        <v/>
      </c>
      <c r="C1390" s="8">
        <f>IFERROR(Datos!C1390,"")</f>
        <v/>
      </c>
      <c r="D1390" s="28">
        <f>IFERROR(IF(AND(ISNUMBER(B1390),ISNUMBER(B1389),B1389&lt;&gt;0),B1390/B1389-1,""),"")</f>
        <v/>
      </c>
      <c r="E1390" s="28">
        <f>IFERROR(IF(AND(ISNUMBER(C1390),ISNUMBER(C1389),C1389&lt;&gt;0),C1390/C1389-1,""),"")</f>
        <v/>
      </c>
      <c r="F1390" s="28">
        <f>IFERROR(D1390-Dashboard!$B$4/252,"")</f>
        <v/>
      </c>
      <c r="G1390" s="28">
        <f>IFERROR(E1390-Dashboard!$B$4/252,"")</f>
        <v/>
      </c>
      <c r="H1390" s="8">
        <f>IFERROR(IF(ISNUMBER(B1390),MAX(B1390,IFERROR(H1389,B1390)),""),"")</f>
        <v/>
      </c>
      <c r="I1390" s="29">
        <f>IFERROR(IF(AND(ISNUMBER(B1390),ISNUMBER(H1390)),B1390/H1390-1,""),"")</f>
        <v/>
      </c>
      <c r="J1390" s="8">
        <f>IFERROR(IF(ISNUMBER(C1390),MAX(C1390,IFERROR(J1389,C1390)),""),"")</f>
        <v/>
      </c>
      <c r="K1390" s="29">
        <f>IFERROR(IF(AND(ISNUMBER(C1390),ISNUMBER(J1390)),C1390/J1390-1,""),"")</f>
        <v/>
      </c>
      <c r="L1390" s="28">
        <f>IFERROR(IF(AND(ISNUMBER(D1390),ISNUMBER(E1390)),D1390-E1390,""),"")</f>
        <v/>
      </c>
    </row>
    <row r="1391">
      <c r="A1391" s="7">
        <f>IFERROR(Datos!A1391,"")</f>
        <v/>
      </c>
      <c r="B1391" s="8">
        <f>IFERROR(Datos!B1391,"")</f>
        <v/>
      </c>
      <c r="C1391" s="8">
        <f>IFERROR(Datos!C1391,"")</f>
        <v/>
      </c>
      <c r="D1391" s="28">
        <f>IFERROR(IF(AND(ISNUMBER(B1391),ISNUMBER(B1390),B1390&lt;&gt;0),B1391/B1390-1,""),"")</f>
        <v/>
      </c>
      <c r="E1391" s="28">
        <f>IFERROR(IF(AND(ISNUMBER(C1391),ISNUMBER(C1390),C1390&lt;&gt;0),C1391/C1390-1,""),"")</f>
        <v/>
      </c>
      <c r="F1391" s="28">
        <f>IFERROR(D1391-Dashboard!$B$4/252,"")</f>
        <v/>
      </c>
      <c r="G1391" s="28">
        <f>IFERROR(E1391-Dashboard!$B$4/252,"")</f>
        <v/>
      </c>
      <c r="H1391" s="8">
        <f>IFERROR(IF(ISNUMBER(B1391),MAX(B1391,IFERROR(H1390,B1391)),""),"")</f>
        <v/>
      </c>
      <c r="I1391" s="29">
        <f>IFERROR(IF(AND(ISNUMBER(B1391),ISNUMBER(H1391)),B1391/H1391-1,""),"")</f>
        <v/>
      </c>
      <c r="J1391" s="8">
        <f>IFERROR(IF(ISNUMBER(C1391),MAX(C1391,IFERROR(J1390,C1391)),""),"")</f>
        <v/>
      </c>
      <c r="K1391" s="29">
        <f>IFERROR(IF(AND(ISNUMBER(C1391),ISNUMBER(J1391)),C1391/J1391-1,""),"")</f>
        <v/>
      </c>
      <c r="L1391" s="28">
        <f>IFERROR(IF(AND(ISNUMBER(D1391),ISNUMBER(E1391)),D1391-E1391,""),"")</f>
        <v/>
      </c>
    </row>
    <row r="1392">
      <c r="A1392" s="7">
        <f>IFERROR(Datos!A1392,"")</f>
        <v/>
      </c>
      <c r="B1392" s="8">
        <f>IFERROR(Datos!B1392,"")</f>
        <v/>
      </c>
      <c r="C1392" s="8">
        <f>IFERROR(Datos!C1392,"")</f>
        <v/>
      </c>
      <c r="D1392" s="28">
        <f>IFERROR(IF(AND(ISNUMBER(B1392),ISNUMBER(B1391),B1391&lt;&gt;0),B1392/B1391-1,""),"")</f>
        <v/>
      </c>
      <c r="E1392" s="28">
        <f>IFERROR(IF(AND(ISNUMBER(C1392),ISNUMBER(C1391),C1391&lt;&gt;0),C1392/C1391-1,""),"")</f>
        <v/>
      </c>
      <c r="F1392" s="28">
        <f>IFERROR(D1392-Dashboard!$B$4/252,"")</f>
        <v/>
      </c>
      <c r="G1392" s="28">
        <f>IFERROR(E1392-Dashboard!$B$4/252,"")</f>
        <v/>
      </c>
      <c r="H1392" s="8">
        <f>IFERROR(IF(ISNUMBER(B1392),MAX(B1392,IFERROR(H1391,B1392)),""),"")</f>
        <v/>
      </c>
      <c r="I1392" s="29">
        <f>IFERROR(IF(AND(ISNUMBER(B1392),ISNUMBER(H1392)),B1392/H1392-1,""),"")</f>
        <v/>
      </c>
      <c r="J1392" s="8">
        <f>IFERROR(IF(ISNUMBER(C1392),MAX(C1392,IFERROR(J1391,C1392)),""),"")</f>
        <v/>
      </c>
      <c r="K1392" s="29">
        <f>IFERROR(IF(AND(ISNUMBER(C1392),ISNUMBER(J1392)),C1392/J1392-1,""),"")</f>
        <v/>
      </c>
      <c r="L1392" s="28">
        <f>IFERROR(IF(AND(ISNUMBER(D1392),ISNUMBER(E1392)),D1392-E1392,""),"")</f>
        <v/>
      </c>
    </row>
    <row r="1393">
      <c r="A1393" s="7">
        <f>IFERROR(Datos!A1393,"")</f>
        <v/>
      </c>
      <c r="B1393" s="8">
        <f>IFERROR(Datos!B1393,"")</f>
        <v/>
      </c>
      <c r="C1393" s="8">
        <f>IFERROR(Datos!C1393,"")</f>
        <v/>
      </c>
      <c r="D1393" s="28">
        <f>IFERROR(IF(AND(ISNUMBER(B1393),ISNUMBER(B1392),B1392&lt;&gt;0),B1393/B1392-1,""),"")</f>
        <v/>
      </c>
      <c r="E1393" s="28">
        <f>IFERROR(IF(AND(ISNUMBER(C1393),ISNUMBER(C1392),C1392&lt;&gt;0),C1393/C1392-1,""),"")</f>
        <v/>
      </c>
      <c r="F1393" s="28">
        <f>IFERROR(D1393-Dashboard!$B$4/252,"")</f>
        <v/>
      </c>
      <c r="G1393" s="28">
        <f>IFERROR(E1393-Dashboard!$B$4/252,"")</f>
        <v/>
      </c>
      <c r="H1393" s="8">
        <f>IFERROR(IF(ISNUMBER(B1393),MAX(B1393,IFERROR(H1392,B1393)),""),"")</f>
        <v/>
      </c>
      <c r="I1393" s="29">
        <f>IFERROR(IF(AND(ISNUMBER(B1393),ISNUMBER(H1393)),B1393/H1393-1,""),"")</f>
        <v/>
      </c>
      <c r="J1393" s="8">
        <f>IFERROR(IF(ISNUMBER(C1393),MAX(C1393,IFERROR(J1392,C1393)),""),"")</f>
        <v/>
      </c>
      <c r="K1393" s="29">
        <f>IFERROR(IF(AND(ISNUMBER(C1393),ISNUMBER(J1393)),C1393/J1393-1,""),"")</f>
        <v/>
      </c>
      <c r="L1393" s="28">
        <f>IFERROR(IF(AND(ISNUMBER(D1393),ISNUMBER(E1393)),D1393-E1393,""),"")</f>
        <v/>
      </c>
    </row>
    <row r="1394">
      <c r="A1394" s="7">
        <f>IFERROR(Datos!A1394,"")</f>
        <v/>
      </c>
      <c r="B1394" s="8">
        <f>IFERROR(Datos!B1394,"")</f>
        <v/>
      </c>
      <c r="C1394" s="8">
        <f>IFERROR(Datos!C1394,"")</f>
        <v/>
      </c>
      <c r="D1394" s="28">
        <f>IFERROR(IF(AND(ISNUMBER(B1394),ISNUMBER(B1393),B1393&lt;&gt;0),B1394/B1393-1,""),"")</f>
        <v/>
      </c>
      <c r="E1394" s="28">
        <f>IFERROR(IF(AND(ISNUMBER(C1394),ISNUMBER(C1393),C1393&lt;&gt;0),C1394/C1393-1,""),"")</f>
        <v/>
      </c>
      <c r="F1394" s="28">
        <f>IFERROR(D1394-Dashboard!$B$4/252,"")</f>
        <v/>
      </c>
      <c r="G1394" s="28">
        <f>IFERROR(E1394-Dashboard!$B$4/252,"")</f>
        <v/>
      </c>
      <c r="H1394" s="8">
        <f>IFERROR(IF(ISNUMBER(B1394),MAX(B1394,IFERROR(H1393,B1394)),""),"")</f>
        <v/>
      </c>
      <c r="I1394" s="29">
        <f>IFERROR(IF(AND(ISNUMBER(B1394),ISNUMBER(H1394)),B1394/H1394-1,""),"")</f>
        <v/>
      </c>
      <c r="J1394" s="8">
        <f>IFERROR(IF(ISNUMBER(C1394),MAX(C1394,IFERROR(J1393,C1394)),""),"")</f>
        <v/>
      </c>
      <c r="K1394" s="29">
        <f>IFERROR(IF(AND(ISNUMBER(C1394),ISNUMBER(J1394)),C1394/J1394-1,""),"")</f>
        <v/>
      </c>
      <c r="L1394" s="28">
        <f>IFERROR(IF(AND(ISNUMBER(D1394),ISNUMBER(E1394)),D1394-E1394,""),"")</f>
        <v/>
      </c>
    </row>
    <row r="1395">
      <c r="A1395" s="7">
        <f>IFERROR(Datos!A1395,"")</f>
        <v/>
      </c>
      <c r="B1395" s="8">
        <f>IFERROR(Datos!B1395,"")</f>
        <v/>
      </c>
      <c r="C1395" s="8">
        <f>IFERROR(Datos!C1395,"")</f>
        <v/>
      </c>
      <c r="D1395" s="28">
        <f>IFERROR(IF(AND(ISNUMBER(B1395),ISNUMBER(B1394),B1394&lt;&gt;0),B1395/B1394-1,""),"")</f>
        <v/>
      </c>
      <c r="E1395" s="28">
        <f>IFERROR(IF(AND(ISNUMBER(C1395),ISNUMBER(C1394),C1394&lt;&gt;0),C1395/C1394-1,""),"")</f>
        <v/>
      </c>
      <c r="F1395" s="28">
        <f>IFERROR(D1395-Dashboard!$B$4/252,"")</f>
        <v/>
      </c>
      <c r="G1395" s="28">
        <f>IFERROR(E1395-Dashboard!$B$4/252,"")</f>
        <v/>
      </c>
      <c r="H1395" s="8">
        <f>IFERROR(IF(ISNUMBER(B1395),MAX(B1395,IFERROR(H1394,B1395)),""),"")</f>
        <v/>
      </c>
      <c r="I1395" s="29">
        <f>IFERROR(IF(AND(ISNUMBER(B1395),ISNUMBER(H1395)),B1395/H1395-1,""),"")</f>
        <v/>
      </c>
      <c r="J1395" s="8">
        <f>IFERROR(IF(ISNUMBER(C1395),MAX(C1395,IFERROR(J1394,C1395)),""),"")</f>
        <v/>
      </c>
      <c r="K1395" s="29">
        <f>IFERROR(IF(AND(ISNUMBER(C1395),ISNUMBER(J1395)),C1395/J1395-1,""),"")</f>
        <v/>
      </c>
      <c r="L1395" s="28">
        <f>IFERROR(IF(AND(ISNUMBER(D1395),ISNUMBER(E1395)),D1395-E1395,""),"")</f>
        <v/>
      </c>
    </row>
    <row r="1396">
      <c r="A1396" s="7">
        <f>IFERROR(Datos!A1396,"")</f>
        <v/>
      </c>
      <c r="B1396" s="8">
        <f>IFERROR(Datos!B1396,"")</f>
        <v/>
      </c>
      <c r="C1396" s="8">
        <f>IFERROR(Datos!C1396,"")</f>
        <v/>
      </c>
      <c r="D1396" s="28">
        <f>IFERROR(IF(AND(ISNUMBER(B1396),ISNUMBER(B1395),B1395&lt;&gt;0),B1396/B1395-1,""),"")</f>
        <v/>
      </c>
      <c r="E1396" s="28">
        <f>IFERROR(IF(AND(ISNUMBER(C1396),ISNUMBER(C1395),C1395&lt;&gt;0),C1396/C1395-1,""),"")</f>
        <v/>
      </c>
      <c r="F1396" s="28">
        <f>IFERROR(D1396-Dashboard!$B$4/252,"")</f>
        <v/>
      </c>
      <c r="G1396" s="28">
        <f>IFERROR(E1396-Dashboard!$B$4/252,"")</f>
        <v/>
      </c>
      <c r="H1396" s="8">
        <f>IFERROR(IF(ISNUMBER(B1396),MAX(B1396,IFERROR(H1395,B1396)),""),"")</f>
        <v/>
      </c>
      <c r="I1396" s="29">
        <f>IFERROR(IF(AND(ISNUMBER(B1396),ISNUMBER(H1396)),B1396/H1396-1,""),"")</f>
        <v/>
      </c>
      <c r="J1396" s="8">
        <f>IFERROR(IF(ISNUMBER(C1396),MAX(C1396,IFERROR(J1395,C1396)),""),"")</f>
        <v/>
      </c>
      <c r="K1396" s="29">
        <f>IFERROR(IF(AND(ISNUMBER(C1396),ISNUMBER(J1396)),C1396/J1396-1,""),"")</f>
        <v/>
      </c>
      <c r="L1396" s="28">
        <f>IFERROR(IF(AND(ISNUMBER(D1396),ISNUMBER(E1396)),D1396-E1396,""),"")</f>
        <v/>
      </c>
    </row>
    <row r="1397">
      <c r="A1397" s="7">
        <f>IFERROR(Datos!A1397,"")</f>
        <v/>
      </c>
      <c r="B1397" s="8">
        <f>IFERROR(Datos!B1397,"")</f>
        <v/>
      </c>
      <c r="C1397" s="8">
        <f>IFERROR(Datos!C1397,"")</f>
        <v/>
      </c>
      <c r="D1397" s="28">
        <f>IFERROR(IF(AND(ISNUMBER(B1397),ISNUMBER(B1396),B1396&lt;&gt;0),B1397/B1396-1,""),"")</f>
        <v/>
      </c>
      <c r="E1397" s="28">
        <f>IFERROR(IF(AND(ISNUMBER(C1397),ISNUMBER(C1396),C1396&lt;&gt;0),C1397/C1396-1,""),"")</f>
        <v/>
      </c>
      <c r="F1397" s="28">
        <f>IFERROR(D1397-Dashboard!$B$4/252,"")</f>
        <v/>
      </c>
      <c r="G1397" s="28">
        <f>IFERROR(E1397-Dashboard!$B$4/252,"")</f>
        <v/>
      </c>
      <c r="H1397" s="8">
        <f>IFERROR(IF(ISNUMBER(B1397),MAX(B1397,IFERROR(H1396,B1397)),""),"")</f>
        <v/>
      </c>
      <c r="I1397" s="29">
        <f>IFERROR(IF(AND(ISNUMBER(B1397),ISNUMBER(H1397)),B1397/H1397-1,""),"")</f>
        <v/>
      </c>
      <c r="J1397" s="8">
        <f>IFERROR(IF(ISNUMBER(C1397),MAX(C1397,IFERROR(J1396,C1397)),""),"")</f>
        <v/>
      </c>
      <c r="K1397" s="29">
        <f>IFERROR(IF(AND(ISNUMBER(C1397),ISNUMBER(J1397)),C1397/J1397-1,""),"")</f>
        <v/>
      </c>
      <c r="L1397" s="28">
        <f>IFERROR(IF(AND(ISNUMBER(D1397),ISNUMBER(E1397)),D1397-E1397,""),"")</f>
        <v/>
      </c>
    </row>
    <row r="1398">
      <c r="A1398" s="7">
        <f>IFERROR(Datos!A1398,"")</f>
        <v/>
      </c>
      <c r="B1398" s="8">
        <f>IFERROR(Datos!B1398,"")</f>
        <v/>
      </c>
      <c r="C1398" s="8">
        <f>IFERROR(Datos!C1398,"")</f>
        <v/>
      </c>
      <c r="D1398" s="28">
        <f>IFERROR(IF(AND(ISNUMBER(B1398),ISNUMBER(B1397),B1397&lt;&gt;0),B1398/B1397-1,""),"")</f>
        <v/>
      </c>
      <c r="E1398" s="28">
        <f>IFERROR(IF(AND(ISNUMBER(C1398),ISNUMBER(C1397),C1397&lt;&gt;0),C1398/C1397-1,""),"")</f>
        <v/>
      </c>
      <c r="F1398" s="28">
        <f>IFERROR(D1398-Dashboard!$B$4/252,"")</f>
        <v/>
      </c>
      <c r="G1398" s="28">
        <f>IFERROR(E1398-Dashboard!$B$4/252,"")</f>
        <v/>
      </c>
      <c r="H1398" s="8">
        <f>IFERROR(IF(ISNUMBER(B1398),MAX(B1398,IFERROR(H1397,B1398)),""),"")</f>
        <v/>
      </c>
      <c r="I1398" s="29">
        <f>IFERROR(IF(AND(ISNUMBER(B1398),ISNUMBER(H1398)),B1398/H1398-1,""),"")</f>
        <v/>
      </c>
      <c r="J1398" s="8">
        <f>IFERROR(IF(ISNUMBER(C1398),MAX(C1398,IFERROR(J1397,C1398)),""),"")</f>
        <v/>
      </c>
      <c r="K1398" s="29">
        <f>IFERROR(IF(AND(ISNUMBER(C1398),ISNUMBER(J1398)),C1398/J1398-1,""),"")</f>
        <v/>
      </c>
      <c r="L1398" s="28">
        <f>IFERROR(IF(AND(ISNUMBER(D1398),ISNUMBER(E1398)),D1398-E1398,""),"")</f>
        <v/>
      </c>
    </row>
    <row r="1399">
      <c r="A1399" s="7">
        <f>IFERROR(Datos!A1399,"")</f>
        <v/>
      </c>
      <c r="B1399" s="8">
        <f>IFERROR(Datos!B1399,"")</f>
        <v/>
      </c>
      <c r="C1399" s="8">
        <f>IFERROR(Datos!C1399,"")</f>
        <v/>
      </c>
      <c r="D1399" s="28">
        <f>IFERROR(IF(AND(ISNUMBER(B1399),ISNUMBER(B1398),B1398&lt;&gt;0),B1399/B1398-1,""),"")</f>
        <v/>
      </c>
      <c r="E1399" s="28">
        <f>IFERROR(IF(AND(ISNUMBER(C1399),ISNUMBER(C1398),C1398&lt;&gt;0),C1399/C1398-1,""),"")</f>
        <v/>
      </c>
      <c r="F1399" s="28">
        <f>IFERROR(D1399-Dashboard!$B$4/252,"")</f>
        <v/>
      </c>
      <c r="G1399" s="28">
        <f>IFERROR(E1399-Dashboard!$B$4/252,"")</f>
        <v/>
      </c>
      <c r="H1399" s="8">
        <f>IFERROR(IF(ISNUMBER(B1399),MAX(B1399,IFERROR(H1398,B1399)),""),"")</f>
        <v/>
      </c>
      <c r="I1399" s="29">
        <f>IFERROR(IF(AND(ISNUMBER(B1399),ISNUMBER(H1399)),B1399/H1399-1,""),"")</f>
        <v/>
      </c>
      <c r="J1399" s="8">
        <f>IFERROR(IF(ISNUMBER(C1399),MAX(C1399,IFERROR(J1398,C1399)),""),"")</f>
        <v/>
      </c>
      <c r="K1399" s="29">
        <f>IFERROR(IF(AND(ISNUMBER(C1399),ISNUMBER(J1399)),C1399/J1399-1,""),"")</f>
        <v/>
      </c>
      <c r="L1399" s="28">
        <f>IFERROR(IF(AND(ISNUMBER(D1399),ISNUMBER(E1399)),D1399-E1399,""),"")</f>
        <v/>
      </c>
    </row>
    <row r="1400">
      <c r="A1400" s="7">
        <f>IFERROR(Datos!A1400,"")</f>
        <v/>
      </c>
      <c r="B1400" s="8">
        <f>IFERROR(Datos!B1400,"")</f>
        <v/>
      </c>
      <c r="C1400" s="8">
        <f>IFERROR(Datos!C1400,"")</f>
        <v/>
      </c>
      <c r="D1400" s="28">
        <f>IFERROR(IF(AND(ISNUMBER(B1400),ISNUMBER(B1399),B1399&lt;&gt;0),B1400/B1399-1,""),"")</f>
        <v/>
      </c>
      <c r="E1400" s="28">
        <f>IFERROR(IF(AND(ISNUMBER(C1400),ISNUMBER(C1399),C1399&lt;&gt;0),C1400/C1399-1,""),"")</f>
        <v/>
      </c>
      <c r="F1400" s="28">
        <f>IFERROR(D1400-Dashboard!$B$4/252,"")</f>
        <v/>
      </c>
      <c r="G1400" s="28">
        <f>IFERROR(E1400-Dashboard!$B$4/252,"")</f>
        <v/>
      </c>
      <c r="H1400" s="8">
        <f>IFERROR(IF(ISNUMBER(B1400),MAX(B1400,IFERROR(H1399,B1400)),""),"")</f>
        <v/>
      </c>
      <c r="I1400" s="29">
        <f>IFERROR(IF(AND(ISNUMBER(B1400),ISNUMBER(H1400)),B1400/H1400-1,""),"")</f>
        <v/>
      </c>
      <c r="J1400" s="8">
        <f>IFERROR(IF(ISNUMBER(C1400),MAX(C1400,IFERROR(J1399,C1400)),""),"")</f>
        <v/>
      </c>
      <c r="K1400" s="29">
        <f>IFERROR(IF(AND(ISNUMBER(C1400),ISNUMBER(J1400)),C1400/J1400-1,""),"")</f>
        <v/>
      </c>
      <c r="L1400" s="28">
        <f>IFERROR(IF(AND(ISNUMBER(D1400),ISNUMBER(E1400)),D1400-E1400,""),"")</f>
        <v/>
      </c>
    </row>
    <row r="1401">
      <c r="A1401" s="7">
        <f>IFERROR(Datos!A1401,"")</f>
        <v/>
      </c>
      <c r="B1401" s="8">
        <f>IFERROR(Datos!B1401,"")</f>
        <v/>
      </c>
      <c r="C1401" s="8">
        <f>IFERROR(Datos!C1401,"")</f>
        <v/>
      </c>
      <c r="D1401" s="28">
        <f>IFERROR(IF(AND(ISNUMBER(B1401),ISNUMBER(B1400),B1400&lt;&gt;0),B1401/B1400-1,""),"")</f>
        <v/>
      </c>
      <c r="E1401" s="28">
        <f>IFERROR(IF(AND(ISNUMBER(C1401),ISNUMBER(C1400),C1400&lt;&gt;0),C1401/C1400-1,""),"")</f>
        <v/>
      </c>
      <c r="F1401" s="28">
        <f>IFERROR(D1401-Dashboard!$B$4/252,"")</f>
        <v/>
      </c>
      <c r="G1401" s="28">
        <f>IFERROR(E1401-Dashboard!$B$4/252,"")</f>
        <v/>
      </c>
      <c r="H1401" s="8">
        <f>IFERROR(IF(ISNUMBER(B1401),MAX(B1401,IFERROR(H1400,B1401)),""),"")</f>
        <v/>
      </c>
      <c r="I1401" s="29">
        <f>IFERROR(IF(AND(ISNUMBER(B1401),ISNUMBER(H1401)),B1401/H1401-1,""),"")</f>
        <v/>
      </c>
      <c r="J1401" s="8">
        <f>IFERROR(IF(ISNUMBER(C1401),MAX(C1401,IFERROR(J1400,C1401)),""),"")</f>
        <v/>
      </c>
      <c r="K1401" s="29">
        <f>IFERROR(IF(AND(ISNUMBER(C1401),ISNUMBER(J1401)),C1401/J1401-1,""),"")</f>
        <v/>
      </c>
      <c r="L1401" s="28">
        <f>IFERROR(IF(AND(ISNUMBER(D1401),ISNUMBER(E1401)),D1401-E1401,""),"")</f>
        <v/>
      </c>
    </row>
    <row r="1402">
      <c r="A1402" s="7">
        <f>IFERROR(Datos!A1402,"")</f>
        <v/>
      </c>
      <c r="B1402" s="8">
        <f>IFERROR(Datos!B1402,"")</f>
        <v/>
      </c>
      <c r="C1402" s="8">
        <f>IFERROR(Datos!C1402,"")</f>
        <v/>
      </c>
      <c r="D1402" s="28">
        <f>IFERROR(IF(AND(ISNUMBER(B1402),ISNUMBER(B1401),B1401&lt;&gt;0),B1402/B1401-1,""),"")</f>
        <v/>
      </c>
      <c r="E1402" s="28">
        <f>IFERROR(IF(AND(ISNUMBER(C1402),ISNUMBER(C1401),C1401&lt;&gt;0),C1402/C1401-1,""),"")</f>
        <v/>
      </c>
      <c r="F1402" s="28">
        <f>IFERROR(D1402-Dashboard!$B$4/252,"")</f>
        <v/>
      </c>
      <c r="G1402" s="28">
        <f>IFERROR(E1402-Dashboard!$B$4/252,"")</f>
        <v/>
      </c>
      <c r="H1402" s="8">
        <f>IFERROR(IF(ISNUMBER(B1402),MAX(B1402,IFERROR(H1401,B1402)),""),"")</f>
        <v/>
      </c>
      <c r="I1402" s="29">
        <f>IFERROR(IF(AND(ISNUMBER(B1402),ISNUMBER(H1402)),B1402/H1402-1,""),"")</f>
        <v/>
      </c>
      <c r="J1402" s="8">
        <f>IFERROR(IF(ISNUMBER(C1402),MAX(C1402,IFERROR(J1401,C1402)),""),"")</f>
        <v/>
      </c>
      <c r="K1402" s="29">
        <f>IFERROR(IF(AND(ISNUMBER(C1402),ISNUMBER(J1402)),C1402/J1402-1,""),"")</f>
        <v/>
      </c>
      <c r="L1402" s="28">
        <f>IFERROR(IF(AND(ISNUMBER(D1402),ISNUMBER(E1402)),D1402-E1402,""),"")</f>
        <v/>
      </c>
    </row>
    <row r="1403">
      <c r="A1403" s="7">
        <f>IFERROR(Datos!A1403,"")</f>
        <v/>
      </c>
      <c r="B1403" s="8">
        <f>IFERROR(Datos!B1403,"")</f>
        <v/>
      </c>
      <c r="C1403" s="8">
        <f>IFERROR(Datos!C1403,"")</f>
        <v/>
      </c>
      <c r="D1403" s="28">
        <f>IFERROR(IF(AND(ISNUMBER(B1403),ISNUMBER(B1402),B1402&lt;&gt;0),B1403/B1402-1,""),"")</f>
        <v/>
      </c>
      <c r="E1403" s="28">
        <f>IFERROR(IF(AND(ISNUMBER(C1403),ISNUMBER(C1402),C1402&lt;&gt;0),C1403/C1402-1,""),"")</f>
        <v/>
      </c>
      <c r="F1403" s="28">
        <f>IFERROR(D1403-Dashboard!$B$4/252,"")</f>
        <v/>
      </c>
      <c r="G1403" s="28">
        <f>IFERROR(E1403-Dashboard!$B$4/252,"")</f>
        <v/>
      </c>
      <c r="H1403" s="8">
        <f>IFERROR(IF(ISNUMBER(B1403),MAX(B1403,IFERROR(H1402,B1403)),""),"")</f>
        <v/>
      </c>
      <c r="I1403" s="29">
        <f>IFERROR(IF(AND(ISNUMBER(B1403),ISNUMBER(H1403)),B1403/H1403-1,""),"")</f>
        <v/>
      </c>
      <c r="J1403" s="8">
        <f>IFERROR(IF(ISNUMBER(C1403),MAX(C1403,IFERROR(J1402,C1403)),""),"")</f>
        <v/>
      </c>
      <c r="K1403" s="29">
        <f>IFERROR(IF(AND(ISNUMBER(C1403),ISNUMBER(J1403)),C1403/J1403-1,""),"")</f>
        <v/>
      </c>
      <c r="L1403" s="28">
        <f>IFERROR(IF(AND(ISNUMBER(D1403),ISNUMBER(E1403)),D1403-E1403,""),"")</f>
        <v/>
      </c>
    </row>
    <row r="1404">
      <c r="A1404" s="7">
        <f>IFERROR(Datos!A1404,"")</f>
        <v/>
      </c>
      <c r="B1404" s="8">
        <f>IFERROR(Datos!B1404,"")</f>
        <v/>
      </c>
      <c r="C1404" s="8">
        <f>IFERROR(Datos!C1404,"")</f>
        <v/>
      </c>
      <c r="D1404" s="28">
        <f>IFERROR(IF(AND(ISNUMBER(B1404),ISNUMBER(B1403),B1403&lt;&gt;0),B1404/B1403-1,""),"")</f>
        <v/>
      </c>
      <c r="E1404" s="28">
        <f>IFERROR(IF(AND(ISNUMBER(C1404),ISNUMBER(C1403),C1403&lt;&gt;0),C1404/C1403-1,""),"")</f>
        <v/>
      </c>
      <c r="F1404" s="28">
        <f>IFERROR(D1404-Dashboard!$B$4/252,"")</f>
        <v/>
      </c>
      <c r="G1404" s="28">
        <f>IFERROR(E1404-Dashboard!$B$4/252,"")</f>
        <v/>
      </c>
      <c r="H1404" s="8">
        <f>IFERROR(IF(ISNUMBER(B1404),MAX(B1404,IFERROR(H1403,B1404)),""),"")</f>
        <v/>
      </c>
      <c r="I1404" s="29">
        <f>IFERROR(IF(AND(ISNUMBER(B1404),ISNUMBER(H1404)),B1404/H1404-1,""),"")</f>
        <v/>
      </c>
      <c r="J1404" s="8">
        <f>IFERROR(IF(ISNUMBER(C1404),MAX(C1404,IFERROR(J1403,C1404)),""),"")</f>
        <v/>
      </c>
      <c r="K1404" s="29">
        <f>IFERROR(IF(AND(ISNUMBER(C1404),ISNUMBER(J1404)),C1404/J1404-1,""),"")</f>
        <v/>
      </c>
      <c r="L1404" s="28">
        <f>IFERROR(IF(AND(ISNUMBER(D1404),ISNUMBER(E1404)),D1404-E1404,""),"")</f>
        <v/>
      </c>
    </row>
    <row r="1405">
      <c r="A1405" s="7">
        <f>IFERROR(Datos!A1405,"")</f>
        <v/>
      </c>
      <c r="B1405" s="8">
        <f>IFERROR(Datos!B1405,"")</f>
        <v/>
      </c>
      <c r="C1405" s="8">
        <f>IFERROR(Datos!C1405,"")</f>
        <v/>
      </c>
      <c r="D1405" s="28">
        <f>IFERROR(IF(AND(ISNUMBER(B1405),ISNUMBER(B1404),B1404&lt;&gt;0),B1405/B1404-1,""),"")</f>
        <v/>
      </c>
      <c r="E1405" s="28">
        <f>IFERROR(IF(AND(ISNUMBER(C1405),ISNUMBER(C1404),C1404&lt;&gt;0),C1405/C1404-1,""),"")</f>
        <v/>
      </c>
      <c r="F1405" s="28">
        <f>IFERROR(D1405-Dashboard!$B$4/252,"")</f>
        <v/>
      </c>
      <c r="G1405" s="28">
        <f>IFERROR(E1405-Dashboard!$B$4/252,"")</f>
        <v/>
      </c>
      <c r="H1405" s="8">
        <f>IFERROR(IF(ISNUMBER(B1405),MAX(B1405,IFERROR(H1404,B1405)),""),"")</f>
        <v/>
      </c>
      <c r="I1405" s="29">
        <f>IFERROR(IF(AND(ISNUMBER(B1405),ISNUMBER(H1405)),B1405/H1405-1,""),"")</f>
        <v/>
      </c>
      <c r="J1405" s="8">
        <f>IFERROR(IF(ISNUMBER(C1405),MAX(C1405,IFERROR(J1404,C1405)),""),"")</f>
        <v/>
      </c>
      <c r="K1405" s="29">
        <f>IFERROR(IF(AND(ISNUMBER(C1405),ISNUMBER(J1405)),C1405/J1405-1,""),"")</f>
        <v/>
      </c>
      <c r="L1405" s="28">
        <f>IFERROR(IF(AND(ISNUMBER(D1405),ISNUMBER(E1405)),D1405-E1405,""),"")</f>
        <v/>
      </c>
    </row>
    <row r="1406">
      <c r="A1406" s="7">
        <f>IFERROR(Datos!A1406,"")</f>
        <v/>
      </c>
      <c r="B1406" s="8">
        <f>IFERROR(Datos!B1406,"")</f>
        <v/>
      </c>
      <c r="C1406" s="8">
        <f>IFERROR(Datos!C1406,"")</f>
        <v/>
      </c>
      <c r="D1406" s="28">
        <f>IFERROR(IF(AND(ISNUMBER(B1406),ISNUMBER(B1405),B1405&lt;&gt;0),B1406/B1405-1,""),"")</f>
        <v/>
      </c>
      <c r="E1406" s="28">
        <f>IFERROR(IF(AND(ISNUMBER(C1406),ISNUMBER(C1405),C1405&lt;&gt;0),C1406/C1405-1,""),"")</f>
        <v/>
      </c>
      <c r="F1406" s="28">
        <f>IFERROR(D1406-Dashboard!$B$4/252,"")</f>
        <v/>
      </c>
      <c r="G1406" s="28">
        <f>IFERROR(E1406-Dashboard!$B$4/252,"")</f>
        <v/>
      </c>
      <c r="H1406" s="8">
        <f>IFERROR(IF(ISNUMBER(B1406),MAX(B1406,IFERROR(H1405,B1406)),""),"")</f>
        <v/>
      </c>
      <c r="I1406" s="29">
        <f>IFERROR(IF(AND(ISNUMBER(B1406),ISNUMBER(H1406)),B1406/H1406-1,""),"")</f>
        <v/>
      </c>
      <c r="J1406" s="8">
        <f>IFERROR(IF(ISNUMBER(C1406),MAX(C1406,IFERROR(J1405,C1406)),""),"")</f>
        <v/>
      </c>
      <c r="K1406" s="29">
        <f>IFERROR(IF(AND(ISNUMBER(C1406),ISNUMBER(J1406)),C1406/J1406-1,""),"")</f>
        <v/>
      </c>
      <c r="L1406" s="28">
        <f>IFERROR(IF(AND(ISNUMBER(D1406),ISNUMBER(E1406)),D1406-E1406,""),"")</f>
        <v/>
      </c>
    </row>
    <row r="1407">
      <c r="A1407" s="7">
        <f>IFERROR(Datos!A1407,"")</f>
        <v/>
      </c>
      <c r="B1407" s="8">
        <f>IFERROR(Datos!B1407,"")</f>
        <v/>
      </c>
      <c r="C1407" s="8">
        <f>IFERROR(Datos!C1407,"")</f>
        <v/>
      </c>
      <c r="D1407" s="28">
        <f>IFERROR(IF(AND(ISNUMBER(B1407),ISNUMBER(B1406),B1406&lt;&gt;0),B1407/B1406-1,""),"")</f>
        <v/>
      </c>
      <c r="E1407" s="28">
        <f>IFERROR(IF(AND(ISNUMBER(C1407),ISNUMBER(C1406),C1406&lt;&gt;0),C1407/C1406-1,""),"")</f>
        <v/>
      </c>
      <c r="F1407" s="28">
        <f>IFERROR(D1407-Dashboard!$B$4/252,"")</f>
        <v/>
      </c>
      <c r="G1407" s="28">
        <f>IFERROR(E1407-Dashboard!$B$4/252,"")</f>
        <v/>
      </c>
      <c r="H1407" s="8">
        <f>IFERROR(IF(ISNUMBER(B1407),MAX(B1407,IFERROR(H1406,B1407)),""),"")</f>
        <v/>
      </c>
      <c r="I1407" s="29">
        <f>IFERROR(IF(AND(ISNUMBER(B1407),ISNUMBER(H1407)),B1407/H1407-1,""),"")</f>
        <v/>
      </c>
      <c r="J1407" s="8">
        <f>IFERROR(IF(ISNUMBER(C1407),MAX(C1407,IFERROR(J1406,C1407)),""),"")</f>
        <v/>
      </c>
      <c r="K1407" s="29">
        <f>IFERROR(IF(AND(ISNUMBER(C1407),ISNUMBER(J1407)),C1407/J1407-1,""),"")</f>
        <v/>
      </c>
      <c r="L1407" s="28">
        <f>IFERROR(IF(AND(ISNUMBER(D1407),ISNUMBER(E1407)),D1407-E1407,""),"")</f>
        <v/>
      </c>
    </row>
    <row r="1408">
      <c r="A1408" s="7">
        <f>IFERROR(Datos!A1408,"")</f>
        <v/>
      </c>
      <c r="B1408" s="8">
        <f>IFERROR(Datos!B1408,"")</f>
        <v/>
      </c>
      <c r="C1408" s="8">
        <f>IFERROR(Datos!C1408,"")</f>
        <v/>
      </c>
      <c r="D1408" s="28">
        <f>IFERROR(IF(AND(ISNUMBER(B1408),ISNUMBER(B1407),B1407&lt;&gt;0),B1408/B1407-1,""),"")</f>
        <v/>
      </c>
      <c r="E1408" s="28">
        <f>IFERROR(IF(AND(ISNUMBER(C1408),ISNUMBER(C1407),C1407&lt;&gt;0),C1408/C1407-1,""),"")</f>
        <v/>
      </c>
      <c r="F1408" s="28">
        <f>IFERROR(D1408-Dashboard!$B$4/252,"")</f>
        <v/>
      </c>
      <c r="G1408" s="28">
        <f>IFERROR(E1408-Dashboard!$B$4/252,"")</f>
        <v/>
      </c>
      <c r="H1408" s="8">
        <f>IFERROR(IF(ISNUMBER(B1408),MAX(B1408,IFERROR(H1407,B1408)),""),"")</f>
        <v/>
      </c>
      <c r="I1408" s="29">
        <f>IFERROR(IF(AND(ISNUMBER(B1408),ISNUMBER(H1408)),B1408/H1408-1,""),"")</f>
        <v/>
      </c>
      <c r="J1408" s="8">
        <f>IFERROR(IF(ISNUMBER(C1408),MAX(C1408,IFERROR(J1407,C1408)),""),"")</f>
        <v/>
      </c>
      <c r="K1408" s="29">
        <f>IFERROR(IF(AND(ISNUMBER(C1408),ISNUMBER(J1408)),C1408/J1408-1,""),"")</f>
        <v/>
      </c>
      <c r="L1408" s="28">
        <f>IFERROR(IF(AND(ISNUMBER(D1408),ISNUMBER(E1408)),D1408-E1408,""),"")</f>
        <v/>
      </c>
    </row>
    <row r="1409">
      <c r="A1409" s="7">
        <f>IFERROR(Datos!A1409,"")</f>
        <v/>
      </c>
      <c r="B1409" s="8">
        <f>IFERROR(Datos!B1409,"")</f>
        <v/>
      </c>
      <c r="C1409" s="8">
        <f>IFERROR(Datos!C1409,"")</f>
        <v/>
      </c>
      <c r="D1409" s="28">
        <f>IFERROR(IF(AND(ISNUMBER(B1409),ISNUMBER(B1408),B1408&lt;&gt;0),B1409/B1408-1,""),"")</f>
        <v/>
      </c>
      <c r="E1409" s="28">
        <f>IFERROR(IF(AND(ISNUMBER(C1409),ISNUMBER(C1408),C1408&lt;&gt;0),C1409/C1408-1,""),"")</f>
        <v/>
      </c>
      <c r="F1409" s="28">
        <f>IFERROR(D1409-Dashboard!$B$4/252,"")</f>
        <v/>
      </c>
      <c r="G1409" s="28">
        <f>IFERROR(E1409-Dashboard!$B$4/252,"")</f>
        <v/>
      </c>
      <c r="H1409" s="8">
        <f>IFERROR(IF(ISNUMBER(B1409),MAX(B1409,IFERROR(H1408,B1409)),""),"")</f>
        <v/>
      </c>
      <c r="I1409" s="29">
        <f>IFERROR(IF(AND(ISNUMBER(B1409),ISNUMBER(H1409)),B1409/H1409-1,""),"")</f>
        <v/>
      </c>
      <c r="J1409" s="8">
        <f>IFERROR(IF(ISNUMBER(C1409),MAX(C1409,IFERROR(J1408,C1409)),""),"")</f>
        <v/>
      </c>
      <c r="K1409" s="29">
        <f>IFERROR(IF(AND(ISNUMBER(C1409),ISNUMBER(J1409)),C1409/J1409-1,""),"")</f>
        <v/>
      </c>
      <c r="L1409" s="28">
        <f>IFERROR(IF(AND(ISNUMBER(D1409),ISNUMBER(E1409)),D1409-E1409,""),"")</f>
        <v/>
      </c>
    </row>
    <row r="1410">
      <c r="A1410" s="7">
        <f>IFERROR(Datos!A1410,"")</f>
        <v/>
      </c>
      <c r="B1410" s="8">
        <f>IFERROR(Datos!B1410,"")</f>
        <v/>
      </c>
      <c r="C1410" s="8">
        <f>IFERROR(Datos!C1410,"")</f>
        <v/>
      </c>
      <c r="D1410" s="28">
        <f>IFERROR(IF(AND(ISNUMBER(B1410),ISNUMBER(B1409),B1409&lt;&gt;0),B1410/B1409-1,""),"")</f>
        <v/>
      </c>
      <c r="E1410" s="28">
        <f>IFERROR(IF(AND(ISNUMBER(C1410),ISNUMBER(C1409),C1409&lt;&gt;0),C1410/C1409-1,""),"")</f>
        <v/>
      </c>
      <c r="F1410" s="28">
        <f>IFERROR(D1410-Dashboard!$B$4/252,"")</f>
        <v/>
      </c>
      <c r="G1410" s="28">
        <f>IFERROR(E1410-Dashboard!$B$4/252,"")</f>
        <v/>
      </c>
      <c r="H1410" s="8">
        <f>IFERROR(IF(ISNUMBER(B1410),MAX(B1410,IFERROR(H1409,B1410)),""),"")</f>
        <v/>
      </c>
      <c r="I1410" s="29">
        <f>IFERROR(IF(AND(ISNUMBER(B1410),ISNUMBER(H1410)),B1410/H1410-1,""),"")</f>
        <v/>
      </c>
      <c r="J1410" s="8">
        <f>IFERROR(IF(ISNUMBER(C1410),MAX(C1410,IFERROR(J1409,C1410)),""),"")</f>
        <v/>
      </c>
      <c r="K1410" s="29">
        <f>IFERROR(IF(AND(ISNUMBER(C1410),ISNUMBER(J1410)),C1410/J1410-1,""),"")</f>
        <v/>
      </c>
      <c r="L1410" s="28">
        <f>IFERROR(IF(AND(ISNUMBER(D1410),ISNUMBER(E1410)),D1410-E1410,""),"")</f>
        <v/>
      </c>
    </row>
    <row r="1411">
      <c r="A1411" s="7">
        <f>IFERROR(Datos!A1411,"")</f>
        <v/>
      </c>
      <c r="B1411" s="8">
        <f>IFERROR(Datos!B1411,"")</f>
        <v/>
      </c>
      <c r="C1411" s="8">
        <f>IFERROR(Datos!C1411,"")</f>
        <v/>
      </c>
      <c r="D1411" s="28">
        <f>IFERROR(IF(AND(ISNUMBER(B1411),ISNUMBER(B1410),B1410&lt;&gt;0),B1411/B1410-1,""),"")</f>
        <v/>
      </c>
      <c r="E1411" s="28">
        <f>IFERROR(IF(AND(ISNUMBER(C1411),ISNUMBER(C1410),C1410&lt;&gt;0),C1411/C1410-1,""),"")</f>
        <v/>
      </c>
      <c r="F1411" s="28">
        <f>IFERROR(D1411-Dashboard!$B$4/252,"")</f>
        <v/>
      </c>
      <c r="G1411" s="28">
        <f>IFERROR(E1411-Dashboard!$B$4/252,"")</f>
        <v/>
      </c>
      <c r="H1411" s="8">
        <f>IFERROR(IF(ISNUMBER(B1411),MAX(B1411,IFERROR(H1410,B1411)),""),"")</f>
        <v/>
      </c>
      <c r="I1411" s="29">
        <f>IFERROR(IF(AND(ISNUMBER(B1411),ISNUMBER(H1411)),B1411/H1411-1,""),"")</f>
        <v/>
      </c>
      <c r="J1411" s="8">
        <f>IFERROR(IF(ISNUMBER(C1411),MAX(C1411,IFERROR(J1410,C1411)),""),"")</f>
        <v/>
      </c>
      <c r="K1411" s="29">
        <f>IFERROR(IF(AND(ISNUMBER(C1411),ISNUMBER(J1411)),C1411/J1411-1,""),"")</f>
        <v/>
      </c>
      <c r="L1411" s="28">
        <f>IFERROR(IF(AND(ISNUMBER(D1411),ISNUMBER(E1411)),D1411-E1411,""),"")</f>
        <v/>
      </c>
    </row>
    <row r="1412">
      <c r="A1412" s="7">
        <f>IFERROR(Datos!A1412,"")</f>
        <v/>
      </c>
      <c r="B1412" s="8">
        <f>IFERROR(Datos!B1412,"")</f>
        <v/>
      </c>
      <c r="C1412" s="8">
        <f>IFERROR(Datos!C1412,"")</f>
        <v/>
      </c>
      <c r="D1412" s="28">
        <f>IFERROR(IF(AND(ISNUMBER(B1412),ISNUMBER(B1411),B1411&lt;&gt;0),B1412/B1411-1,""),"")</f>
        <v/>
      </c>
      <c r="E1412" s="28">
        <f>IFERROR(IF(AND(ISNUMBER(C1412),ISNUMBER(C1411),C1411&lt;&gt;0),C1412/C1411-1,""),"")</f>
        <v/>
      </c>
      <c r="F1412" s="28">
        <f>IFERROR(D1412-Dashboard!$B$4/252,"")</f>
        <v/>
      </c>
      <c r="G1412" s="28">
        <f>IFERROR(E1412-Dashboard!$B$4/252,"")</f>
        <v/>
      </c>
      <c r="H1412" s="8">
        <f>IFERROR(IF(ISNUMBER(B1412),MAX(B1412,IFERROR(H1411,B1412)),""),"")</f>
        <v/>
      </c>
      <c r="I1412" s="29">
        <f>IFERROR(IF(AND(ISNUMBER(B1412),ISNUMBER(H1412)),B1412/H1412-1,""),"")</f>
        <v/>
      </c>
      <c r="J1412" s="8">
        <f>IFERROR(IF(ISNUMBER(C1412),MAX(C1412,IFERROR(J1411,C1412)),""),"")</f>
        <v/>
      </c>
      <c r="K1412" s="29">
        <f>IFERROR(IF(AND(ISNUMBER(C1412),ISNUMBER(J1412)),C1412/J1412-1,""),"")</f>
        <v/>
      </c>
      <c r="L1412" s="28">
        <f>IFERROR(IF(AND(ISNUMBER(D1412),ISNUMBER(E1412)),D1412-E1412,""),"")</f>
        <v/>
      </c>
    </row>
    <row r="1413">
      <c r="A1413" s="7">
        <f>IFERROR(Datos!A1413,"")</f>
        <v/>
      </c>
      <c r="B1413" s="8">
        <f>IFERROR(Datos!B1413,"")</f>
        <v/>
      </c>
      <c r="C1413" s="8">
        <f>IFERROR(Datos!C1413,"")</f>
        <v/>
      </c>
      <c r="D1413" s="28">
        <f>IFERROR(IF(AND(ISNUMBER(B1413),ISNUMBER(B1412),B1412&lt;&gt;0),B1413/B1412-1,""),"")</f>
        <v/>
      </c>
      <c r="E1413" s="28">
        <f>IFERROR(IF(AND(ISNUMBER(C1413),ISNUMBER(C1412),C1412&lt;&gt;0),C1413/C1412-1,""),"")</f>
        <v/>
      </c>
      <c r="F1413" s="28">
        <f>IFERROR(D1413-Dashboard!$B$4/252,"")</f>
        <v/>
      </c>
      <c r="G1413" s="28">
        <f>IFERROR(E1413-Dashboard!$B$4/252,"")</f>
        <v/>
      </c>
      <c r="H1413" s="8">
        <f>IFERROR(IF(ISNUMBER(B1413),MAX(B1413,IFERROR(H1412,B1413)),""),"")</f>
        <v/>
      </c>
      <c r="I1413" s="29">
        <f>IFERROR(IF(AND(ISNUMBER(B1413),ISNUMBER(H1413)),B1413/H1413-1,""),"")</f>
        <v/>
      </c>
      <c r="J1413" s="8">
        <f>IFERROR(IF(ISNUMBER(C1413),MAX(C1413,IFERROR(J1412,C1413)),""),"")</f>
        <v/>
      </c>
      <c r="K1413" s="29">
        <f>IFERROR(IF(AND(ISNUMBER(C1413),ISNUMBER(J1413)),C1413/J1413-1,""),"")</f>
        <v/>
      </c>
      <c r="L1413" s="28">
        <f>IFERROR(IF(AND(ISNUMBER(D1413),ISNUMBER(E1413)),D1413-E1413,""),"")</f>
        <v/>
      </c>
    </row>
    <row r="1414">
      <c r="A1414" s="7">
        <f>IFERROR(Datos!A1414,"")</f>
        <v/>
      </c>
      <c r="B1414" s="8">
        <f>IFERROR(Datos!B1414,"")</f>
        <v/>
      </c>
      <c r="C1414" s="8">
        <f>IFERROR(Datos!C1414,"")</f>
        <v/>
      </c>
      <c r="D1414" s="28">
        <f>IFERROR(IF(AND(ISNUMBER(B1414),ISNUMBER(B1413),B1413&lt;&gt;0),B1414/B1413-1,""),"")</f>
        <v/>
      </c>
      <c r="E1414" s="28">
        <f>IFERROR(IF(AND(ISNUMBER(C1414),ISNUMBER(C1413),C1413&lt;&gt;0),C1414/C1413-1,""),"")</f>
        <v/>
      </c>
      <c r="F1414" s="28">
        <f>IFERROR(D1414-Dashboard!$B$4/252,"")</f>
        <v/>
      </c>
      <c r="G1414" s="28">
        <f>IFERROR(E1414-Dashboard!$B$4/252,"")</f>
        <v/>
      </c>
      <c r="H1414" s="8">
        <f>IFERROR(IF(ISNUMBER(B1414),MAX(B1414,IFERROR(H1413,B1414)),""),"")</f>
        <v/>
      </c>
      <c r="I1414" s="29">
        <f>IFERROR(IF(AND(ISNUMBER(B1414),ISNUMBER(H1414)),B1414/H1414-1,""),"")</f>
        <v/>
      </c>
      <c r="J1414" s="8">
        <f>IFERROR(IF(ISNUMBER(C1414),MAX(C1414,IFERROR(J1413,C1414)),""),"")</f>
        <v/>
      </c>
      <c r="K1414" s="29">
        <f>IFERROR(IF(AND(ISNUMBER(C1414),ISNUMBER(J1414)),C1414/J1414-1,""),"")</f>
        <v/>
      </c>
      <c r="L1414" s="28">
        <f>IFERROR(IF(AND(ISNUMBER(D1414),ISNUMBER(E1414)),D1414-E1414,""),"")</f>
        <v/>
      </c>
    </row>
    <row r="1415">
      <c r="A1415" s="7">
        <f>IFERROR(Datos!A1415,"")</f>
        <v/>
      </c>
      <c r="B1415" s="8">
        <f>IFERROR(Datos!B1415,"")</f>
        <v/>
      </c>
      <c r="C1415" s="8">
        <f>IFERROR(Datos!C1415,"")</f>
        <v/>
      </c>
      <c r="D1415" s="28">
        <f>IFERROR(IF(AND(ISNUMBER(B1415),ISNUMBER(B1414),B1414&lt;&gt;0),B1415/B1414-1,""),"")</f>
        <v/>
      </c>
      <c r="E1415" s="28">
        <f>IFERROR(IF(AND(ISNUMBER(C1415),ISNUMBER(C1414),C1414&lt;&gt;0),C1415/C1414-1,""),"")</f>
        <v/>
      </c>
      <c r="F1415" s="28">
        <f>IFERROR(D1415-Dashboard!$B$4/252,"")</f>
        <v/>
      </c>
      <c r="G1415" s="28">
        <f>IFERROR(E1415-Dashboard!$B$4/252,"")</f>
        <v/>
      </c>
      <c r="H1415" s="8">
        <f>IFERROR(IF(ISNUMBER(B1415),MAX(B1415,IFERROR(H1414,B1415)),""),"")</f>
        <v/>
      </c>
      <c r="I1415" s="29">
        <f>IFERROR(IF(AND(ISNUMBER(B1415),ISNUMBER(H1415)),B1415/H1415-1,""),"")</f>
        <v/>
      </c>
      <c r="J1415" s="8">
        <f>IFERROR(IF(ISNUMBER(C1415),MAX(C1415,IFERROR(J1414,C1415)),""),"")</f>
        <v/>
      </c>
      <c r="K1415" s="29">
        <f>IFERROR(IF(AND(ISNUMBER(C1415),ISNUMBER(J1415)),C1415/J1415-1,""),"")</f>
        <v/>
      </c>
      <c r="L1415" s="28">
        <f>IFERROR(IF(AND(ISNUMBER(D1415),ISNUMBER(E1415)),D1415-E1415,""),"")</f>
        <v/>
      </c>
    </row>
    <row r="1416">
      <c r="A1416" s="7">
        <f>IFERROR(Datos!A1416,"")</f>
        <v/>
      </c>
      <c r="B1416" s="8">
        <f>IFERROR(Datos!B1416,"")</f>
        <v/>
      </c>
      <c r="C1416" s="8">
        <f>IFERROR(Datos!C1416,"")</f>
        <v/>
      </c>
      <c r="D1416" s="28">
        <f>IFERROR(IF(AND(ISNUMBER(B1416),ISNUMBER(B1415),B1415&lt;&gt;0),B1416/B1415-1,""),"")</f>
        <v/>
      </c>
      <c r="E1416" s="28">
        <f>IFERROR(IF(AND(ISNUMBER(C1416),ISNUMBER(C1415),C1415&lt;&gt;0),C1416/C1415-1,""),"")</f>
        <v/>
      </c>
      <c r="F1416" s="28">
        <f>IFERROR(D1416-Dashboard!$B$4/252,"")</f>
        <v/>
      </c>
      <c r="G1416" s="28">
        <f>IFERROR(E1416-Dashboard!$B$4/252,"")</f>
        <v/>
      </c>
      <c r="H1416" s="8">
        <f>IFERROR(IF(ISNUMBER(B1416),MAX(B1416,IFERROR(H1415,B1416)),""),"")</f>
        <v/>
      </c>
      <c r="I1416" s="29">
        <f>IFERROR(IF(AND(ISNUMBER(B1416),ISNUMBER(H1416)),B1416/H1416-1,""),"")</f>
        <v/>
      </c>
      <c r="J1416" s="8">
        <f>IFERROR(IF(ISNUMBER(C1416),MAX(C1416,IFERROR(J1415,C1416)),""),"")</f>
        <v/>
      </c>
      <c r="K1416" s="29">
        <f>IFERROR(IF(AND(ISNUMBER(C1416),ISNUMBER(J1416)),C1416/J1416-1,""),"")</f>
        <v/>
      </c>
      <c r="L1416" s="28">
        <f>IFERROR(IF(AND(ISNUMBER(D1416),ISNUMBER(E1416)),D1416-E1416,""),"")</f>
        <v/>
      </c>
    </row>
    <row r="1417">
      <c r="A1417" s="7">
        <f>IFERROR(Datos!A1417,"")</f>
        <v/>
      </c>
      <c r="B1417" s="8">
        <f>IFERROR(Datos!B1417,"")</f>
        <v/>
      </c>
      <c r="C1417" s="8">
        <f>IFERROR(Datos!C1417,"")</f>
        <v/>
      </c>
      <c r="D1417" s="28">
        <f>IFERROR(IF(AND(ISNUMBER(B1417),ISNUMBER(B1416),B1416&lt;&gt;0),B1417/B1416-1,""),"")</f>
        <v/>
      </c>
      <c r="E1417" s="28">
        <f>IFERROR(IF(AND(ISNUMBER(C1417),ISNUMBER(C1416),C1416&lt;&gt;0),C1417/C1416-1,""),"")</f>
        <v/>
      </c>
      <c r="F1417" s="28">
        <f>IFERROR(D1417-Dashboard!$B$4/252,"")</f>
        <v/>
      </c>
      <c r="G1417" s="28">
        <f>IFERROR(E1417-Dashboard!$B$4/252,"")</f>
        <v/>
      </c>
      <c r="H1417" s="8">
        <f>IFERROR(IF(ISNUMBER(B1417),MAX(B1417,IFERROR(H1416,B1417)),""),"")</f>
        <v/>
      </c>
      <c r="I1417" s="29">
        <f>IFERROR(IF(AND(ISNUMBER(B1417),ISNUMBER(H1417)),B1417/H1417-1,""),"")</f>
        <v/>
      </c>
      <c r="J1417" s="8">
        <f>IFERROR(IF(ISNUMBER(C1417),MAX(C1417,IFERROR(J1416,C1417)),""),"")</f>
        <v/>
      </c>
      <c r="K1417" s="29">
        <f>IFERROR(IF(AND(ISNUMBER(C1417),ISNUMBER(J1417)),C1417/J1417-1,""),"")</f>
        <v/>
      </c>
      <c r="L1417" s="28">
        <f>IFERROR(IF(AND(ISNUMBER(D1417),ISNUMBER(E1417)),D1417-E1417,""),"")</f>
        <v/>
      </c>
    </row>
    <row r="1418">
      <c r="A1418" s="7">
        <f>IFERROR(Datos!A1418,"")</f>
        <v/>
      </c>
      <c r="B1418" s="8">
        <f>IFERROR(Datos!B1418,"")</f>
        <v/>
      </c>
      <c r="C1418" s="8">
        <f>IFERROR(Datos!C1418,"")</f>
        <v/>
      </c>
      <c r="D1418" s="28">
        <f>IFERROR(IF(AND(ISNUMBER(B1418),ISNUMBER(B1417),B1417&lt;&gt;0),B1418/B1417-1,""),"")</f>
        <v/>
      </c>
      <c r="E1418" s="28">
        <f>IFERROR(IF(AND(ISNUMBER(C1418),ISNUMBER(C1417),C1417&lt;&gt;0),C1418/C1417-1,""),"")</f>
        <v/>
      </c>
      <c r="F1418" s="28">
        <f>IFERROR(D1418-Dashboard!$B$4/252,"")</f>
        <v/>
      </c>
      <c r="G1418" s="28">
        <f>IFERROR(E1418-Dashboard!$B$4/252,"")</f>
        <v/>
      </c>
      <c r="H1418" s="8">
        <f>IFERROR(IF(ISNUMBER(B1418),MAX(B1418,IFERROR(H1417,B1418)),""),"")</f>
        <v/>
      </c>
      <c r="I1418" s="29">
        <f>IFERROR(IF(AND(ISNUMBER(B1418),ISNUMBER(H1418)),B1418/H1418-1,""),"")</f>
        <v/>
      </c>
      <c r="J1418" s="8">
        <f>IFERROR(IF(ISNUMBER(C1418),MAX(C1418,IFERROR(J1417,C1418)),""),"")</f>
        <v/>
      </c>
      <c r="K1418" s="29">
        <f>IFERROR(IF(AND(ISNUMBER(C1418),ISNUMBER(J1418)),C1418/J1418-1,""),"")</f>
        <v/>
      </c>
      <c r="L1418" s="28">
        <f>IFERROR(IF(AND(ISNUMBER(D1418),ISNUMBER(E1418)),D1418-E1418,""),"")</f>
        <v/>
      </c>
    </row>
    <row r="1419">
      <c r="A1419" s="7">
        <f>IFERROR(Datos!A1419,"")</f>
        <v/>
      </c>
      <c r="B1419" s="8">
        <f>IFERROR(Datos!B1419,"")</f>
        <v/>
      </c>
      <c r="C1419" s="8">
        <f>IFERROR(Datos!C1419,"")</f>
        <v/>
      </c>
      <c r="D1419" s="28">
        <f>IFERROR(IF(AND(ISNUMBER(B1419),ISNUMBER(B1418),B1418&lt;&gt;0),B1419/B1418-1,""),"")</f>
        <v/>
      </c>
      <c r="E1419" s="28">
        <f>IFERROR(IF(AND(ISNUMBER(C1419),ISNUMBER(C1418),C1418&lt;&gt;0),C1419/C1418-1,""),"")</f>
        <v/>
      </c>
      <c r="F1419" s="28">
        <f>IFERROR(D1419-Dashboard!$B$4/252,"")</f>
        <v/>
      </c>
      <c r="G1419" s="28">
        <f>IFERROR(E1419-Dashboard!$B$4/252,"")</f>
        <v/>
      </c>
      <c r="H1419" s="8">
        <f>IFERROR(IF(ISNUMBER(B1419),MAX(B1419,IFERROR(H1418,B1419)),""),"")</f>
        <v/>
      </c>
      <c r="I1419" s="29">
        <f>IFERROR(IF(AND(ISNUMBER(B1419),ISNUMBER(H1419)),B1419/H1419-1,""),"")</f>
        <v/>
      </c>
      <c r="J1419" s="8">
        <f>IFERROR(IF(ISNUMBER(C1419),MAX(C1419,IFERROR(J1418,C1419)),""),"")</f>
        <v/>
      </c>
      <c r="K1419" s="29">
        <f>IFERROR(IF(AND(ISNUMBER(C1419),ISNUMBER(J1419)),C1419/J1419-1,""),"")</f>
        <v/>
      </c>
      <c r="L1419" s="28">
        <f>IFERROR(IF(AND(ISNUMBER(D1419),ISNUMBER(E1419)),D1419-E1419,""),"")</f>
        <v/>
      </c>
    </row>
    <row r="1420">
      <c r="A1420" s="7">
        <f>IFERROR(Datos!A1420,"")</f>
        <v/>
      </c>
      <c r="B1420" s="8">
        <f>IFERROR(Datos!B1420,"")</f>
        <v/>
      </c>
      <c r="C1420" s="8">
        <f>IFERROR(Datos!C1420,"")</f>
        <v/>
      </c>
      <c r="D1420" s="28">
        <f>IFERROR(IF(AND(ISNUMBER(B1420),ISNUMBER(B1419),B1419&lt;&gt;0),B1420/B1419-1,""),"")</f>
        <v/>
      </c>
      <c r="E1420" s="28">
        <f>IFERROR(IF(AND(ISNUMBER(C1420),ISNUMBER(C1419),C1419&lt;&gt;0),C1420/C1419-1,""),"")</f>
        <v/>
      </c>
      <c r="F1420" s="28">
        <f>IFERROR(D1420-Dashboard!$B$4/252,"")</f>
        <v/>
      </c>
      <c r="G1420" s="28">
        <f>IFERROR(E1420-Dashboard!$B$4/252,"")</f>
        <v/>
      </c>
      <c r="H1420" s="8">
        <f>IFERROR(IF(ISNUMBER(B1420),MAX(B1420,IFERROR(H1419,B1420)),""),"")</f>
        <v/>
      </c>
      <c r="I1420" s="29">
        <f>IFERROR(IF(AND(ISNUMBER(B1420),ISNUMBER(H1420)),B1420/H1420-1,""),"")</f>
        <v/>
      </c>
      <c r="J1420" s="8">
        <f>IFERROR(IF(ISNUMBER(C1420),MAX(C1420,IFERROR(J1419,C1420)),""),"")</f>
        <v/>
      </c>
      <c r="K1420" s="29">
        <f>IFERROR(IF(AND(ISNUMBER(C1420),ISNUMBER(J1420)),C1420/J1420-1,""),"")</f>
        <v/>
      </c>
      <c r="L1420" s="28">
        <f>IFERROR(IF(AND(ISNUMBER(D1420),ISNUMBER(E1420)),D1420-E1420,""),"")</f>
        <v/>
      </c>
    </row>
    <row r="1421">
      <c r="A1421" s="7">
        <f>IFERROR(Datos!A1421,"")</f>
        <v/>
      </c>
      <c r="B1421" s="8">
        <f>IFERROR(Datos!B1421,"")</f>
        <v/>
      </c>
      <c r="C1421" s="8">
        <f>IFERROR(Datos!C1421,"")</f>
        <v/>
      </c>
      <c r="D1421" s="28">
        <f>IFERROR(IF(AND(ISNUMBER(B1421),ISNUMBER(B1420),B1420&lt;&gt;0),B1421/B1420-1,""),"")</f>
        <v/>
      </c>
      <c r="E1421" s="28">
        <f>IFERROR(IF(AND(ISNUMBER(C1421),ISNUMBER(C1420),C1420&lt;&gt;0),C1421/C1420-1,""),"")</f>
        <v/>
      </c>
      <c r="F1421" s="28">
        <f>IFERROR(D1421-Dashboard!$B$4/252,"")</f>
        <v/>
      </c>
      <c r="G1421" s="28">
        <f>IFERROR(E1421-Dashboard!$B$4/252,"")</f>
        <v/>
      </c>
      <c r="H1421" s="8">
        <f>IFERROR(IF(ISNUMBER(B1421),MAX(B1421,IFERROR(H1420,B1421)),""),"")</f>
        <v/>
      </c>
      <c r="I1421" s="29">
        <f>IFERROR(IF(AND(ISNUMBER(B1421),ISNUMBER(H1421)),B1421/H1421-1,""),"")</f>
        <v/>
      </c>
      <c r="J1421" s="8">
        <f>IFERROR(IF(ISNUMBER(C1421),MAX(C1421,IFERROR(J1420,C1421)),""),"")</f>
        <v/>
      </c>
      <c r="K1421" s="29">
        <f>IFERROR(IF(AND(ISNUMBER(C1421),ISNUMBER(J1421)),C1421/J1421-1,""),"")</f>
        <v/>
      </c>
      <c r="L1421" s="28">
        <f>IFERROR(IF(AND(ISNUMBER(D1421),ISNUMBER(E1421)),D1421-E1421,""),"")</f>
        <v/>
      </c>
    </row>
    <row r="1422">
      <c r="A1422" s="7">
        <f>IFERROR(Datos!A1422,"")</f>
        <v/>
      </c>
      <c r="B1422" s="8">
        <f>IFERROR(Datos!B1422,"")</f>
        <v/>
      </c>
      <c r="C1422" s="8">
        <f>IFERROR(Datos!C1422,"")</f>
        <v/>
      </c>
      <c r="D1422" s="28">
        <f>IFERROR(IF(AND(ISNUMBER(B1422),ISNUMBER(B1421),B1421&lt;&gt;0),B1422/B1421-1,""),"")</f>
        <v/>
      </c>
      <c r="E1422" s="28">
        <f>IFERROR(IF(AND(ISNUMBER(C1422),ISNUMBER(C1421),C1421&lt;&gt;0),C1422/C1421-1,""),"")</f>
        <v/>
      </c>
      <c r="F1422" s="28">
        <f>IFERROR(D1422-Dashboard!$B$4/252,"")</f>
        <v/>
      </c>
      <c r="G1422" s="28">
        <f>IFERROR(E1422-Dashboard!$B$4/252,"")</f>
        <v/>
      </c>
      <c r="H1422" s="8">
        <f>IFERROR(IF(ISNUMBER(B1422),MAX(B1422,IFERROR(H1421,B1422)),""),"")</f>
        <v/>
      </c>
      <c r="I1422" s="29">
        <f>IFERROR(IF(AND(ISNUMBER(B1422),ISNUMBER(H1422)),B1422/H1422-1,""),"")</f>
        <v/>
      </c>
      <c r="J1422" s="8">
        <f>IFERROR(IF(ISNUMBER(C1422),MAX(C1422,IFERROR(J1421,C1422)),""),"")</f>
        <v/>
      </c>
      <c r="K1422" s="29">
        <f>IFERROR(IF(AND(ISNUMBER(C1422),ISNUMBER(J1422)),C1422/J1422-1,""),"")</f>
        <v/>
      </c>
      <c r="L1422" s="28">
        <f>IFERROR(IF(AND(ISNUMBER(D1422),ISNUMBER(E1422)),D1422-E1422,""),"")</f>
        <v/>
      </c>
    </row>
    <row r="1423">
      <c r="A1423" s="7">
        <f>IFERROR(Datos!A1423,"")</f>
        <v/>
      </c>
      <c r="B1423" s="8">
        <f>IFERROR(Datos!B1423,"")</f>
        <v/>
      </c>
      <c r="C1423" s="8">
        <f>IFERROR(Datos!C1423,"")</f>
        <v/>
      </c>
      <c r="D1423" s="28">
        <f>IFERROR(IF(AND(ISNUMBER(B1423),ISNUMBER(B1422),B1422&lt;&gt;0),B1423/B1422-1,""),"")</f>
        <v/>
      </c>
      <c r="E1423" s="28">
        <f>IFERROR(IF(AND(ISNUMBER(C1423),ISNUMBER(C1422),C1422&lt;&gt;0),C1423/C1422-1,""),"")</f>
        <v/>
      </c>
      <c r="F1423" s="28">
        <f>IFERROR(D1423-Dashboard!$B$4/252,"")</f>
        <v/>
      </c>
      <c r="G1423" s="28">
        <f>IFERROR(E1423-Dashboard!$B$4/252,"")</f>
        <v/>
      </c>
      <c r="H1423" s="8">
        <f>IFERROR(IF(ISNUMBER(B1423),MAX(B1423,IFERROR(H1422,B1423)),""),"")</f>
        <v/>
      </c>
      <c r="I1423" s="29">
        <f>IFERROR(IF(AND(ISNUMBER(B1423),ISNUMBER(H1423)),B1423/H1423-1,""),"")</f>
        <v/>
      </c>
      <c r="J1423" s="8">
        <f>IFERROR(IF(ISNUMBER(C1423),MAX(C1423,IFERROR(J1422,C1423)),""),"")</f>
        <v/>
      </c>
      <c r="K1423" s="29">
        <f>IFERROR(IF(AND(ISNUMBER(C1423),ISNUMBER(J1423)),C1423/J1423-1,""),"")</f>
        <v/>
      </c>
      <c r="L1423" s="28">
        <f>IFERROR(IF(AND(ISNUMBER(D1423),ISNUMBER(E1423)),D1423-E1423,""),"")</f>
        <v/>
      </c>
    </row>
    <row r="1424">
      <c r="A1424" s="7">
        <f>IFERROR(Datos!A1424,"")</f>
        <v/>
      </c>
      <c r="B1424" s="8">
        <f>IFERROR(Datos!B1424,"")</f>
        <v/>
      </c>
      <c r="C1424" s="8">
        <f>IFERROR(Datos!C1424,"")</f>
        <v/>
      </c>
      <c r="D1424" s="28">
        <f>IFERROR(IF(AND(ISNUMBER(B1424),ISNUMBER(B1423),B1423&lt;&gt;0),B1424/B1423-1,""),"")</f>
        <v/>
      </c>
      <c r="E1424" s="28">
        <f>IFERROR(IF(AND(ISNUMBER(C1424),ISNUMBER(C1423),C1423&lt;&gt;0),C1424/C1423-1,""),"")</f>
        <v/>
      </c>
      <c r="F1424" s="28">
        <f>IFERROR(D1424-Dashboard!$B$4/252,"")</f>
        <v/>
      </c>
      <c r="G1424" s="28">
        <f>IFERROR(E1424-Dashboard!$B$4/252,"")</f>
        <v/>
      </c>
      <c r="H1424" s="8">
        <f>IFERROR(IF(ISNUMBER(B1424),MAX(B1424,IFERROR(H1423,B1424)),""),"")</f>
        <v/>
      </c>
      <c r="I1424" s="29">
        <f>IFERROR(IF(AND(ISNUMBER(B1424),ISNUMBER(H1424)),B1424/H1424-1,""),"")</f>
        <v/>
      </c>
      <c r="J1424" s="8">
        <f>IFERROR(IF(ISNUMBER(C1424),MAX(C1424,IFERROR(J1423,C1424)),""),"")</f>
        <v/>
      </c>
      <c r="K1424" s="29">
        <f>IFERROR(IF(AND(ISNUMBER(C1424),ISNUMBER(J1424)),C1424/J1424-1,""),"")</f>
        <v/>
      </c>
      <c r="L1424" s="28">
        <f>IFERROR(IF(AND(ISNUMBER(D1424),ISNUMBER(E1424)),D1424-E1424,""),"")</f>
        <v/>
      </c>
    </row>
    <row r="1425">
      <c r="A1425" s="7">
        <f>IFERROR(Datos!A1425,"")</f>
        <v/>
      </c>
      <c r="B1425" s="8">
        <f>IFERROR(Datos!B1425,"")</f>
        <v/>
      </c>
      <c r="C1425" s="8">
        <f>IFERROR(Datos!C1425,"")</f>
        <v/>
      </c>
      <c r="D1425" s="28">
        <f>IFERROR(IF(AND(ISNUMBER(B1425),ISNUMBER(B1424),B1424&lt;&gt;0),B1425/B1424-1,""),"")</f>
        <v/>
      </c>
      <c r="E1425" s="28">
        <f>IFERROR(IF(AND(ISNUMBER(C1425),ISNUMBER(C1424),C1424&lt;&gt;0),C1425/C1424-1,""),"")</f>
        <v/>
      </c>
      <c r="F1425" s="28">
        <f>IFERROR(D1425-Dashboard!$B$4/252,"")</f>
        <v/>
      </c>
      <c r="G1425" s="28">
        <f>IFERROR(E1425-Dashboard!$B$4/252,"")</f>
        <v/>
      </c>
      <c r="H1425" s="8">
        <f>IFERROR(IF(ISNUMBER(B1425),MAX(B1425,IFERROR(H1424,B1425)),""),"")</f>
        <v/>
      </c>
      <c r="I1425" s="29">
        <f>IFERROR(IF(AND(ISNUMBER(B1425),ISNUMBER(H1425)),B1425/H1425-1,""),"")</f>
        <v/>
      </c>
      <c r="J1425" s="8">
        <f>IFERROR(IF(ISNUMBER(C1425),MAX(C1425,IFERROR(J1424,C1425)),""),"")</f>
        <v/>
      </c>
      <c r="K1425" s="29">
        <f>IFERROR(IF(AND(ISNUMBER(C1425),ISNUMBER(J1425)),C1425/J1425-1,""),"")</f>
        <v/>
      </c>
      <c r="L1425" s="28">
        <f>IFERROR(IF(AND(ISNUMBER(D1425),ISNUMBER(E1425)),D1425-E1425,""),"")</f>
        <v/>
      </c>
    </row>
    <row r="1426">
      <c r="A1426" s="7">
        <f>IFERROR(Datos!A1426,"")</f>
        <v/>
      </c>
      <c r="B1426" s="8">
        <f>IFERROR(Datos!B1426,"")</f>
        <v/>
      </c>
      <c r="C1426" s="8">
        <f>IFERROR(Datos!C1426,"")</f>
        <v/>
      </c>
      <c r="D1426" s="28">
        <f>IFERROR(IF(AND(ISNUMBER(B1426),ISNUMBER(B1425),B1425&lt;&gt;0),B1426/B1425-1,""),"")</f>
        <v/>
      </c>
      <c r="E1426" s="28">
        <f>IFERROR(IF(AND(ISNUMBER(C1426),ISNUMBER(C1425),C1425&lt;&gt;0),C1426/C1425-1,""),"")</f>
        <v/>
      </c>
      <c r="F1426" s="28">
        <f>IFERROR(D1426-Dashboard!$B$4/252,"")</f>
        <v/>
      </c>
      <c r="G1426" s="28">
        <f>IFERROR(E1426-Dashboard!$B$4/252,"")</f>
        <v/>
      </c>
      <c r="H1426" s="8">
        <f>IFERROR(IF(ISNUMBER(B1426),MAX(B1426,IFERROR(H1425,B1426)),""),"")</f>
        <v/>
      </c>
      <c r="I1426" s="29">
        <f>IFERROR(IF(AND(ISNUMBER(B1426),ISNUMBER(H1426)),B1426/H1426-1,""),"")</f>
        <v/>
      </c>
      <c r="J1426" s="8">
        <f>IFERROR(IF(ISNUMBER(C1426),MAX(C1426,IFERROR(J1425,C1426)),""),"")</f>
        <v/>
      </c>
      <c r="K1426" s="29">
        <f>IFERROR(IF(AND(ISNUMBER(C1426),ISNUMBER(J1426)),C1426/J1426-1,""),"")</f>
        <v/>
      </c>
      <c r="L1426" s="28">
        <f>IFERROR(IF(AND(ISNUMBER(D1426),ISNUMBER(E1426)),D1426-E1426,""),"")</f>
        <v/>
      </c>
    </row>
    <row r="1427">
      <c r="A1427" s="7">
        <f>IFERROR(Datos!A1427,"")</f>
        <v/>
      </c>
      <c r="B1427" s="8">
        <f>IFERROR(Datos!B1427,"")</f>
        <v/>
      </c>
      <c r="C1427" s="8">
        <f>IFERROR(Datos!C1427,"")</f>
        <v/>
      </c>
      <c r="D1427" s="28">
        <f>IFERROR(IF(AND(ISNUMBER(B1427),ISNUMBER(B1426),B1426&lt;&gt;0),B1427/B1426-1,""),"")</f>
        <v/>
      </c>
      <c r="E1427" s="28">
        <f>IFERROR(IF(AND(ISNUMBER(C1427),ISNUMBER(C1426),C1426&lt;&gt;0),C1427/C1426-1,""),"")</f>
        <v/>
      </c>
      <c r="F1427" s="28">
        <f>IFERROR(D1427-Dashboard!$B$4/252,"")</f>
        <v/>
      </c>
      <c r="G1427" s="28">
        <f>IFERROR(E1427-Dashboard!$B$4/252,"")</f>
        <v/>
      </c>
      <c r="H1427" s="8">
        <f>IFERROR(IF(ISNUMBER(B1427),MAX(B1427,IFERROR(H1426,B1427)),""),"")</f>
        <v/>
      </c>
      <c r="I1427" s="29">
        <f>IFERROR(IF(AND(ISNUMBER(B1427),ISNUMBER(H1427)),B1427/H1427-1,""),"")</f>
        <v/>
      </c>
      <c r="J1427" s="8">
        <f>IFERROR(IF(ISNUMBER(C1427),MAX(C1427,IFERROR(J1426,C1427)),""),"")</f>
        <v/>
      </c>
      <c r="K1427" s="29">
        <f>IFERROR(IF(AND(ISNUMBER(C1427),ISNUMBER(J1427)),C1427/J1427-1,""),"")</f>
        <v/>
      </c>
      <c r="L1427" s="28">
        <f>IFERROR(IF(AND(ISNUMBER(D1427),ISNUMBER(E1427)),D1427-E1427,""),"")</f>
        <v/>
      </c>
    </row>
    <row r="1428">
      <c r="A1428" s="7">
        <f>IFERROR(Datos!A1428,"")</f>
        <v/>
      </c>
      <c r="B1428" s="8">
        <f>IFERROR(Datos!B1428,"")</f>
        <v/>
      </c>
      <c r="C1428" s="8">
        <f>IFERROR(Datos!C1428,"")</f>
        <v/>
      </c>
      <c r="D1428" s="28">
        <f>IFERROR(IF(AND(ISNUMBER(B1428),ISNUMBER(B1427),B1427&lt;&gt;0),B1428/B1427-1,""),"")</f>
        <v/>
      </c>
      <c r="E1428" s="28">
        <f>IFERROR(IF(AND(ISNUMBER(C1428),ISNUMBER(C1427),C1427&lt;&gt;0),C1428/C1427-1,""),"")</f>
        <v/>
      </c>
      <c r="F1428" s="28">
        <f>IFERROR(D1428-Dashboard!$B$4/252,"")</f>
        <v/>
      </c>
      <c r="G1428" s="28">
        <f>IFERROR(E1428-Dashboard!$B$4/252,"")</f>
        <v/>
      </c>
      <c r="H1428" s="8">
        <f>IFERROR(IF(ISNUMBER(B1428),MAX(B1428,IFERROR(H1427,B1428)),""),"")</f>
        <v/>
      </c>
      <c r="I1428" s="29">
        <f>IFERROR(IF(AND(ISNUMBER(B1428),ISNUMBER(H1428)),B1428/H1428-1,""),"")</f>
        <v/>
      </c>
      <c r="J1428" s="8">
        <f>IFERROR(IF(ISNUMBER(C1428),MAX(C1428,IFERROR(J1427,C1428)),""),"")</f>
        <v/>
      </c>
      <c r="K1428" s="29">
        <f>IFERROR(IF(AND(ISNUMBER(C1428),ISNUMBER(J1428)),C1428/J1428-1,""),"")</f>
        <v/>
      </c>
      <c r="L1428" s="28">
        <f>IFERROR(IF(AND(ISNUMBER(D1428),ISNUMBER(E1428)),D1428-E1428,""),"")</f>
        <v/>
      </c>
    </row>
    <row r="1429">
      <c r="A1429" s="7">
        <f>IFERROR(Datos!A1429,"")</f>
        <v/>
      </c>
      <c r="B1429" s="8">
        <f>IFERROR(Datos!B1429,"")</f>
        <v/>
      </c>
      <c r="C1429" s="8">
        <f>IFERROR(Datos!C1429,"")</f>
        <v/>
      </c>
      <c r="D1429" s="28">
        <f>IFERROR(IF(AND(ISNUMBER(B1429),ISNUMBER(B1428),B1428&lt;&gt;0),B1429/B1428-1,""),"")</f>
        <v/>
      </c>
      <c r="E1429" s="28">
        <f>IFERROR(IF(AND(ISNUMBER(C1429),ISNUMBER(C1428),C1428&lt;&gt;0),C1429/C1428-1,""),"")</f>
        <v/>
      </c>
      <c r="F1429" s="28">
        <f>IFERROR(D1429-Dashboard!$B$4/252,"")</f>
        <v/>
      </c>
      <c r="G1429" s="28">
        <f>IFERROR(E1429-Dashboard!$B$4/252,"")</f>
        <v/>
      </c>
      <c r="H1429" s="8">
        <f>IFERROR(IF(ISNUMBER(B1429),MAX(B1429,IFERROR(H1428,B1429)),""),"")</f>
        <v/>
      </c>
      <c r="I1429" s="29">
        <f>IFERROR(IF(AND(ISNUMBER(B1429),ISNUMBER(H1429)),B1429/H1429-1,""),"")</f>
        <v/>
      </c>
      <c r="J1429" s="8">
        <f>IFERROR(IF(ISNUMBER(C1429),MAX(C1429,IFERROR(J1428,C1429)),""),"")</f>
        <v/>
      </c>
      <c r="K1429" s="29">
        <f>IFERROR(IF(AND(ISNUMBER(C1429),ISNUMBER(J1429)),C1429/J1429-1,""),"")</f>
        <v/>
      </c>
      <c r="L1429" s="28">
        <f>IFERROR(IF(AND(ISNUMBER(D1429),ISNUMBER(E1429)),D1429-E1429,""),"")</f>
        <v/>
      </c>
    </row>
    <row r="1430">
      <c r="A1430" s="7">
        <f>IFERROR(Datos!A1430,"")</f>
        <v/>
      </c>
      <c r="B1430" s="8">
        <f>IFERROR(Datos!B1430,"")</f>
        <v/>
      </c>
      <c r="C1430" s="8">
        <f>IFERROR(Datos!C1430,"")</f>
        <v/>
      </c>
      <c r="D1430" s="28">
        <f>IFERROR(IF(AND(ISNUMBER(B1430),ISNUMBER(B1429),B1429&lt;&gt;0),B1430/B1429-1,""),"")</f>
        <v/>
      </c>
      <c r="E1430" s="28">
        <f>IFERROR(IF(AND(ISNUMBER(C1430),ISNUMBER(C1429),C1429&lt;&gt;0),C1430/C1429-1,""),"")</f>
        <v/>
      </c>
      <c r="F1430" s="28">
        <f>IFERROR(D1430-Dashboard!$B$4/252,"")</f>
        <v/>
      </c>
      <c r="G1430" s="28">
        <f>IFERROR(E1430-Dashboard!$B$4/252,"")</f>
        <v/>
      </c>
      <c r="H1430" s="8">
        <f>IFERROR(IF(ISNUMBER(B1430),MAX(B1430,IFERROR(H1429,B1430)),""),"")</f>
        <v/>
      </c>
      <c r="I1430" s="29">
        <f>IFERROR(IF(AND(ISNUMBER(B1430),ISNUMBER(H1430)),B1430/H1430-1,""),"")</f>
        <v/>
      </c>
      <c r="J1430" s="8">
        <f>IFERROR(IF(ISNUMBER(C1430),MAX(C1430,IFERROR(J1429,C1430)),""),"")</f>
        <v/>
      </c>
      <c r="K1430" s="29">
        <f>IFERROR(IF(AND(ISNUMBER(C1430),ISNUMBER(J1430)),C1430/J1430-1,""),"")</f>
        <v/>
      </c>
      <c r="L1430" s="28">
        <f>IFERROR(IF(AND(ISNUMBER(D1430),ISNUMBER(E1430)),D1430-E1430,""),"")</f>
        <v/>
      </c>
    </row>
    <row r="1431">
      <c r="A1431" s="7">
        <f>IFERROR(Datos!A1431,"")</f>
        <v/>
      </c>
      <c r="B1431" s="8">
        <f>IFERROR(Datos!B1431,"")</f>
        <v/>
      </c>
      <c r="C1431" s="8">
        <f>IFERROR(Datos!C1431,"")</f>
        <v/>
      </c>
      <c r="D1431" s="28">
        <f>IFERROR(IF(AND(ISNUMBER(B1431),ISNUMBER(B1430),B1430&lt;&gt;0),B1431/B1430-1,""),"")</f>
        <v/>
      </c>
      <c r="E1431" s="28">
        <f>IFERROR(IF(AND(ISNUMBER(C1431),ISNUMBER(C1430),C1430&lt;&gt;0),C1431/C1430-1,""),"")</f>
        <v/>
      </c>
      <c r="F1431" s="28">
        <f>IFERROR(D1431-Dashboard!$B$4/252,"")</f>
        <v/>
      </c>
      <c r="G1431" s="28">
        <f>IFERROR(E1431-Dashboard!$B$4/252,"")</f>
        <v/>
      </c>
      <c r="H1431" s="8">
        <f>IFERROR(IF(ISNUMBER(B1431),MAX(B1431,IFERROR(H1430,B1431)),""),"")</f>
        <v/>
      </c>
      <c r="I1431" s="29">
        <f>IFERROR(IF(AND(ISNUMBER(B1431),ISNUMBER(H1431)),B1431/H1431-1,""),"")</f>
        <v/>
      </c>
      <c r="J1431" s="8">
        <f>IFERROR(IF(ISNUMBER(C1431),MAX(C1431,IFERROR(J1430,C1431)),""),"")</f>
        <v/>
      </c>
      <c r="K1431" s="29">
        <f>IFERROR(IF(AND(ISNUMBER(C1431),ISNUMBER(J1431)),C1431/J1431-1,""),"")</f>
        <v/>
      </c>
      <c r="L1431" s="28">
        <f>IFERROR(IF(AND(ISNUMBER(D1431),ISNUMBER(E1431)),D1431-E1431,""),"")</f>
        <v/>
      </c>
    </row>
    <row r="1432">
      <c r="A1432" s="7">
        <f>IFERROR(Datos!A1432,"")</f>
        <v/>
      </c>
      <c r="B1432" s="8">
        <f>IFERROR(Datos!B1432,"")</f>
        <v/>
      </c>
      <c r="C1432" s="8">
        <f>IFERROR(Datos!C1432,"")</f>
        <v/>
      </c>
      <c r="D1432" s="28">
        <f>IFERROR(IF(AND(ISNUMBER(B1432),ISNUMBER(B1431),B1431&lt;&gt;0),B1432/B1431-1,""),"")</f>
        <v/>
      </c>
      <c r="E1432" s="28">
        <f>IFERROR(IF(AND(ISNUMBER(C1432),ISNUMBER(C1431),C1431&lt;&gt;0),C1432/C1431-1,""),"")</f>
        <v/>
      </c>
      <c r="F1432" s="28">
        <f>IFERROR(D1432-Dashboard!$B$4/252,"")</f>
        <v/>
      </c>
      <c r="G1432" s="28">
        <f>IFERROR(E1432-Dashboard!$B$4/252,"")</f>
        <v/>
      </c>
      <c r="H1432" s="8">
        <f>IFERROR(IF(ISNUMBER(B1432),MAX(B1432,IFERROR(H1431,B1432)),""),"")</f>
        <v/>
      </c>
      <c r="I1432" s="29">
        <f>IFERROR(IF(AND(ISNUMBER(B1432),ISNUMBER(H1432)),B1432/H1432-1,""),"")</f>
        <v/>
      </c>
      <c r="J1432" s="8">
        <f>IFERROR(IF(ISNUMBER(C1432),MAX(C1432,IFERROR(J1431,C1432)),""),"")</f>
        <v/>
      </c>
      <c r="K1432" s="29">
        <f>IFERROR(IF(AND(ISNUMBER(C1432),ISNUMBER(J1432)),C1432/J1432-1,""),"")</f>
        <v/>
      </c>
      <c r="L1432" s="28">
        <f>IFERROR(IF(AND(ISNUMBER(D1432),ISNUMBER(E1432)),D1432-E1432,""),"")</f>
        <v/>
      </c>
    </row>
    <row r="1433">
      <c r="A1433" s="7">
        <f>IFERROR(Datos!A1433,"")</f>
        <v/>
      </c>
      <c r="B1433" s="8">
        <f>IFERROR(Datos!B1433,"")</f>
        <v/>
      </c>
      <c r="C1433" s="8">
        <f>IFERROR(Datos!C1433,"")</f>
        <v/>
      </c>
      <c r="D1433" s="28">
        <f>IFERROR(IF(AND(ISNUMBER(B1433),ISNUMBER(B1432),B1432&lt;&gt;0),B1433/B1432-1,""),"")</f>
        <v/>
      </c>
      <c r="E1433" s="28">
        <f>IFERROR(IF(AND(ISNUMBER(C1433),ISNUMBER(C1432),C1432&lt;&gt;0),C1433/C1432-1,""),"")</f>
        <v/>
      </c>
      <c r="F1433" s="28">
        <f>IFERROR(D1433-Dashboard!$B$4/252,"")</f>
        <v/>
      </c>
      <c r="G1433" s="28">
        <f>IFERROR(E1433-Dashboard!$B$4/252,"")</f>
        <v/>
      </c>
      <c r="H1433" s="8">
        <f>IFERROR(IF(ISNUMBER(B1433),MAX(B1433,IFERROR(H1432,B1433)),""),"")</f>
        <v/>
      </c>
      <c r="I1433" s="29">
        <f>IFERROR(IF(AND(ISNUMBER(B1433),ISNUMBER(H1433)),B1433/H1433-1,""),"")</f>
        <v/>
      </c>
      <c r="J1433" s="8">
        <f>IFERROR(IF(ISNUMBER(C1433),MAX(C1433,IFERROR(J1432,C1433)),""),"")</f>
        <v/>
      </c>
      <c r="K1433" s="29">
        <f>IFERROR(IF(AND(ISNUMBER(C1433),ISNUMBER(J1433)),C1433/J1433-1,""),"")</f>
        <v/>
      </c>
      <c r="L1433" s="28">
        <f>IFERROR(IF(AND(ISNUMBER(D1433),ISNUMBER(E1433)),D1433-E1433,""),"")</f>
        <v/>
      </c>
    </row>
    <row r="1434">
      <c r="A1434" s="7">
        <f>IFERROR(Datos!A1434,"")</f>
        <v/>
      </c>
      <c r="B1434" s="8">
        <f>IFERROR(Datos!B1434,"")</f>
        <v/>
      </c>
      <c r="C1434" s="8">
        <f>IFERROR(Datos!C1434,"")</f>
        <v/>
      </c>
      <c r="D1434" s="28">
        <f>IFERROR(IF(AND(ISNUMBER(B1434),ISNUMBER(B1433),B1433&lt;&gt;0),B1434/B1433-1,""),"")</f>
        <v/>
      </c>
      <c r="E1434" s="28">
        <f>IFERROR(IF(AND(ISNUMBER(C1434),ISNUMBER(C1433),C1433&lt;&gt;0),C1434/C1433-1,""),"")</f>
        <v/>
      </c>
      <c r="F1434" s="28">
        <f>IFERROR(D1434-Dashboard!$B$4/252,"")</f>
        <v/>
      </c>
      <c r="G1434" s="28">
        <f>IFERROR(E1434-Dashboard!$B$4/252,"")</f>
        <v/>
      </c>
      <c r="H1434" s="8">
        <f>IFERROR(IF(ISNUMBER(B1434),MAX(B1434,IFERROR(H1433,B1434)),""),"")</f>
        <v/>
      </c>
      <c r="I1434" s="29">
        <f>IFERROR(IF(AND(ISNUMBER(B1434),ISNUMBER(H1434)),B1434/H1434-1,""),"")</f>
        <v/>
      </c>
      <c r="J1434" s="8">
        <f>IFERROR(IF(ISNUMBER(C1434),MAX(C1434,IFERROR(J1433,C1434)),""),"")</f>
        <v/>
      </c>
      <c r="K1434" s="29">
        <f>IFERROR(IF(AND(ISNUMBER(C1434),ISNUMBER(J1434)),C1434/J1434-1,""),"")</f>
        <v/>
      </c>
      <c r="L1434" s="28">
        <f>IFERROR(IF(AND(ISNUMBER(D1434),ISNUMBER(E1434)),D1434-E1434,""),"")</f>
        <v/>
      </c>
    </row>
    <row r="1435">
      <c r="A1435" s="7">
        <f>IFERROR(Datos!A1435,"")</f>
        <v/>
      </c>
      <c r="B1435" s="8">
        <f>IFERROR(Datos!B1435,"")</f>
        <v/>
      </c>
      <c r="C1435" s="8">
        <f>IFERROR(Datos!C1435,"")</f>
        <v/>
      </c>
      <c r="D1435" s="28">
        <f>IFERROR(IF(AND(ISNUMBER(B1435),ISNUMBER(B1434),B1434&lt;&gt;0),B1435/B1434-1,""),"")</f>
        <v/>
      </c>
      <c r="E1435" s="28">
        <f>IFERROR(IF(AND(ISNUMBER(C1435),ISNUMBER(C1434),C1434&lt;&gt;0),C1435/C1434-1,""),"")</f>
        <v/>
      </c>
      <c r="F1435" s="28">
        <f>IFERROR(D1435-Dashboard!$B$4/252,"")</f>
        <v/>
      </c>
      <c r="G1435" s="28">
        <f>IFERROR(E1435-Dashboard!$B$4/252,"")</f>
        <v/>
      </c>
      <c r="H1435" s="8">
        <f>IFERROR(IF(ISNUMBER(B1435),MAX(B1435,IFERROR(H1434,B1435)),""),"")</f>
        <v/>
      </c>
      <c r="I1435" s="29">
        <f>IFERROR(IF(AND(ISNUMBER(B1435),ISNUMBER(H1435)),B1435/H1435-1,""),"")</f>
        <v/>
      </c>
      <c r="J1435" s="8">
        <f>IFERROR(IF(ISNUMBER(C1435),MAX(C1435,IFERROR(J1434,C1435)),""),"")</f>
        <v/>
      </c>
      <c r="K1435" s="29">
        <f>IFERROR(IF(AND(ISNUMBER(C1435),ISNUMBER(J1435)),C1435/J1435-1,""),"")</f>
        <v/>
      </c>
      <c r="L1435" s="28">
        <f>IFERROR(IF(AND(ISNUMBER(D1435),ISNUMBER(E1435)),D1435-E1435,""),"")</f>
        <v/>
      </c>
    </row>
    <row r="1436">
      <c r="A1436" s="7">
        <f>IFERROR(Datos!A1436,"")</f>
        <v/>
      </c>
      <c r="B1436" s="8">
        <f>IFERROR(Datos!B1436,"")</f>
        <v/>
      </c>
      <c r="C1436" s="8">
        <f>IFERROR(Datos!C1436,"")</f>
        <v/>
      </c>
      <c r="D1436" s="28">
        <f>IFERROR(IF(AND(ISNUMBER(B1436),ISNUMBER(B1435),B1435&lt;&gt;0),B1436/B1435-1,""),"")</f>
        <v/>
      </c>
      <c r="E1436" s="28">
        <f>IFERROR(IF(AND(ISNUMBER(C1436),ISNUMBER(C1435),C1435&lt;&gt;0),C1436/C1435-1,""),"")</f>
        <v/>
      </c>
      <c r="F1436" s="28">
        <f>IFERROR(D1436-Dashboard!$B$4/252,"")</f>
        <v/>
      </c>
      <c r="G1436" s="28">
        <f>IFERROR(E1436-Dashboard!$B$4/252,"")</f>
        <v/>
      </c>
      <c r="H1436" s="8">
        <f>IFERROR(IF(ISNUMBER(B1436),MAX(B1436,IFERROR(H1435,B1436)),""),"")</f>
        <v/>
      </c>
      <c r="I1436" s="29">
        <f>IFERROR(IF(AND(ISNUMBER(B1436),ISNUMBER(H1436)),B1436/H1436-1,""),"")</f>
        <v/>
      </c>
      <c r="J1436" s="8">
        <f>IFERROR(IF(ISNUMBER(C1436),MAX(C1436,IFERROR(J1435,C1436)),""),"")</f>
        <v/>
      </c>
      <c r="K1436" s="29">
        <f>IFERROR(IF(AND(ISNUMBER(C1436),ISNUMBER(J1436)),C1436/J1436-1,""),"")</f>
        <v/>
      </c>
      <c r="L1436" s="28">
        <f>IFERROR(IF(AND(ISNUMBER(D1436),ISNUMBER(E1436)),D1436-E1436,""),"")</f>
        <v/>
      </c>
    </row>
    <row r="1437">
      <c r="A1437" s="7">
        <f>IFERROR(Datos!A1437,"")</f>
        <v/>
      </c>
      <c r="B1437" s="8">
        <f>IFERROR(Datos!B1437,"")</f>
        <v/>
      </c>
      <c r="C1437" s="8">
        <f>IFERROR(Datos!C1437,"")</f>
        <v/>
      </c>
      <c r="D1437" s="28">
        <f>IFERROR(IF(AND(ISNUMBER(B1437),ISNUMBER(B1436),B1436&lt;&gt;0),B1437/B1436-1,""),"")</f>
        <v/>
      </c>
      <c r="E1437" s="28">
        <f>IFERROR(IF(AND(ISNUMBER(C1437),ISNUMBER(C1436),C1436&lt;&gt;0),C1437/C1436-1,""),"")</f>
        <v/>
      </c>
      <c r="F1437" s="28">
        <f>IFERROR(D1437-Dashboard!$B$4/252,"")</f>
        <v/>
      </c>
      <c r="G1437" s="28">
        <f>IFERROR(E1437-Dashboard!$B$4/252,"")</f>
        <v/>
      </c>
      <c r="H1437" s="8">
        <f>IFERROR(IF(ISNUMBER(B1437),MAX(B1437,IFERROR(H1436,B1437)),""),"")</f>
        <v/>
      </c>
      <c r="I1437" s="29">
        <f>IFERROR(IF(AND(ISNUMBER(B1437),ISNUMBER(H1437)),B1437/H1437-1,""),"")</f>
        <v/>
      </c>
      <c r="J1437" s="8">
        <f>IFERROR(IF(ISNUMBER(C1437),MAX(C1437,IFERROR(J1436,C1437)),""),"")</f>
        <v/>
      </c>
      <c r="K1437" s="29">
        <f>IFERROR(IF(AND(ISNUMBER(C1437),ISNUMBER(J1437)),C1437/J1437-1,""),"")</f>
        <v/>
      </c>
      <c r="L1437" s="28">
        <f>IFERROR(IF(AND(ISNUMBER(D1437),ISNUMBER(E1437)),D1437-E1437,""),"")</f>
        <v/>
      </c>
    </row>
    <row r="1438">
      <c r="A1438" s="7">
        <f>IFERROR(Datos!A1438,"")</f>
        <v/>
      </c>
      <c r="B1438" s="8">
        <f>IFERROR(Datos!B1438,"")</f>
        <v/>
      </c>
      <c r="C1438" s="8">
        <f>IFERROR(Datos!C1438,"")</f>
        <v/>
      </c>
      <c r="D1438" s="28">
        <f>IFERROR(IF(AND(ISNUMBER(B1438),ISNUMBER(B1437),B1437&lt;&gt;0),B1438/B1437-1,""),"")</f>
        <v/>
      </c>
      <c r="E1438" s="28">
        <f>IFERROR(IF(AND(ISNUMBER(C1438),ISNUMBER(C1437),C1437&lt;&gt;0),C1438/C1437-1,""),"")</f>
        <v/>
      </c>
      <c r="F1438" s="28">
        <f>IFERROR(D1438-Dashboard!$B$4/252,"")</f>
        <v/>
      </c>
      <c r="G1438" s="28">
        <f>IFERROR(E1438-Dashboard!$B$4/252,"")</f>
        <v/>
      </c>
      <c r="H1438" s="8">
        <f>IFERROR(IF(ISNUMBER(B1438),MAX(B1438,IFERROR(H1437,B1438)),""),"")</f>
        <v/>
      </c>
      <c r="I1438" s="29">
        <f>IFERROR(IF(AND(ISNUMBER(B1438),ISNUMBER(H1438)),B1438/H1438-1,""),"")</f>
        <v/>
      </c>
      <c r="J1438" s="8">
        <f>IFERROR(IF(ISNUMBER(C1438),MAX(C1438,IFERROR(J1437,C1438)),""),"")</f>
        <v/>
      </c>
      <c r="K1438" s="29">
        <f>IFERROR(IF(AND(ISNUMBER(C1438),ISNUMBER(J1438)),C1438/J1438-1,""),"")</f>
        <v/>
      </c>
      <c r="L1438" s="28">
        <f>IFERROR(IF(AND(ISNUMBER(D1438),ISNUMBER(E1438)),D1438-E1438,""),"")</f>
        <v/>
      </c>
    </row>
    <row r="1439">
      <c r="A1439" s="7">
        <f>IFERROR(Datos!A1439,"")</f>
        <v/>
      </c>
      <c r="B1439" s="8">
        <f>IFERROR(Datos!B1439,"")</f>
        <v/>
      </c>
      <c r="C1439" s="8">
        <f>IFERROR(Datos!C1439,"")</f>
        <v/>
      </c>
      <c r="D1439" s="28">
        <f>IFERROR(IF(AND(ISNUMBER(B1439),ISNUMBER(B1438),B1438&lt;&gt;0),B1439/B1438-1,""),"")</f>
        <v/>
      </c>
      <c r="E1439" s="28">
        <f>IFERROR(IF(AND(ISNUMBER(C1439),ISNUMBER(C1438),C1438&lt;&gt;0),C1439/C1438-1,""),"")</f>
        <v/>
      </c>
      <c r="F1439" s="28">
        <f>IFERROR(D1439-Dashboard!$B$4/252,"")</f>
        <v/>
      </c>
      <c r="G1439" s="28">
        <f>IFERROR(E1439-Dashboard!$B$4/252,"")</f>
        <v/>
      </c>
      <c r="H1439" s="8">
        <f>IFERROR(IF(ISNUMBER(B1439),MAX(B1439,IFERROR(H1438,B1439)),""),"")</f>
        <v/>
      </c>
      <c r="I1439" s="29">
        <f>IFERROR(IF(AND(ISNUMBER(B1439),ISNUMBER(H1439)),B1439/H1439-1,""),"")</f>
        <v/>
      </c>
      <c r="J1439" s="8">
        <f>IFERROR(IF(ISNUMBER(C1439),MAX(C1439,IFERROR(J1438,C1439)),""),"")</f>
        <v/>
      </c>
      <c r="K1439" s="29">
        <f>IFERROR(IF(AND(ISNUMBER(C1439),ISNUMBER(J1439)),C1439/J1439-1,""),"")</f>
        <v/>
      </c>
      <c r="L1439" s="28">
        <f>IFERROR(IF(AND(ISNUMBER(D1439),ISNUMBER(E1439)),D1439-E1439,""),"")</f>
        <v/>
      </c>
    </row>
    <row r="1440">
      <c r="A1440" s="7">
        <f>IFERROR(Datos!A1440,"")</f>
        <v/>
      </c>
      <c r="B1440" s="8">
        <f>IFERROR(Datos!B1440,"")</f>
        <v/>
      </c>
      <c r="C1440" s="8">
        <f>IFERROR(Datos!C1440,"")</f>
        <v/>
      </c>
      <c r="D1440" s="28">
        <f>IFERROR(IF(AND(ISNUMBER(B1440),ISNUMBER(B1439),B1439&lt;&gt;0),B1440/B1439-1,""),"")</f>
        <v/>
      </c>
      <c r="E1440" s="28">
        <f>IFERROR(IF(AND(ISNUMBER(C1440),ISNUMBER(C1439),C1439&lt;&gt;0),C1440/C1439-1,""),"")</f>
        <v/>
      </c>
      <c r="F1440" s="28">
        <f>IFERROR(D1440-Dashboard!$B$4/252,"")</f>
        <v/>
      </c>
      <c r="G1440" s="28">
        <f>IFERROR(E1440-Dashboard!$B$4/252,"")</f>
        <v/>
      </c>
      <c r="H1440" s="8">
        <f>IFERROR(IF(ISNUMBER(B1440),MAX(B1440,IFERROR(H1439,B1440)),""),"")</f>
        <v/>
      </c>
      <c r="I1440" s="29">
        <f>IFERROR(IF(AND(ISNUMBER(B1440),ISNUMBER(H1440)),B1440/H1440-1,""),"")</f>
        <v/>
      </c>
      <c r="J1440" s="8">
        <f>IFERROR(IF(ISNUMBER(C1440),MAX(C1440,IFERROR(J1439,C1440)),""),"")</f>
        <v/>
      </c>
      <c r="K1440" s="29">
        <f>IFERROR(IF(AND(ISNUMBER(C1440),ISNUMBER(J1440)),C1440/J1440-1,""),"")</f>
        <v/>
      </c>
      <c r="L1440" s="28">
        <f>IFERROR(IF(AND(ISNUMBER(D1440),ISNUMBER(E1440)),D1440-E1440,""),"")</f>
        <v/>
      </c>
    </row>
    <row r="1441">
      <c r="A1441" s="7">
        <f>IFERROR(Datos!A1441,"")</f>
        <v/>
      </c>
      <c r="B1441" s="8">
        <f>IFERROR(Datos!B1441,"")</f>
        <v/>
      </c>
      <c r="C1441" s="8">
        <f>IFERROR(Datos!C1441,"")</f>
        <v/>
      </c>
      <c r="D1441" s="28">
        <f>IFERROR(IF(AND(ISNUMBER(B1441),ISNUMBER(B1440),B1440&lt;&gt;0),B1441/B1440-1,""),"")</f>
        <v/>
      </c>
      <c r="E1441" s="28">
        <f>IFERROR(IF(AND(ISNUMBER(C1441),ISNUMBER(C1440),C1440&lt;&gt;0),C1441/C1440-1,""),"")</f>
        <v/>
      </c>
      <c r="F1441" s="28">
        <f>IFERROR(D1441-Dashboard!$B$4/252,"")</f>
        <v/>
      </c>
      <c r="G1441" s="28">
        <f>IFERROR(E1441-Dashboard!$B$4/252,"")</f>
        <v/>
      </c>
      <c r="H1441" s="8">
        <f>IFERROR(IF(ISNUMBER(B1441),MAX(B1441,IFERROR(H1440,B1441)),""),"")</f>
        <v/>
      </c>
      <c r="I1441" s="29">
        <f>IFERROR(IF(AND(ISNUMBER(B1441),ISNUMBER(H1441)),B1441/H1441-1,""),"")</f>
        <v/>
      </c>
      <c r="J1441" s="8">
        <f>IFERROR(IF(ISNUMBER(C1441),MAX(C1441,IFERROR(J1440,C1441)),""),"")</f>
        <v/>
      </c>
      <c r="K1441" s="29">
        <f>IFERROR(IF(AND(ISNUMBER(C1441),ISNUMBER(J1441)),C1441/J1441-1,""),"")</f>
        <v/>
      </c>
      <c r="L1441" s="28">
        <f>IFERROR(IF(AND(ISNUMBER(D1441),ISNUMBER(E1441)),D1441-E1441,""),"")</f>
        <v/>
      </c>
    </row>
    <row r="1442">
      <c r="A1442" s="7">
        <f>IFERROR(Datos!A1442,"")</f>
        <v/>
      </c>
      <c r="B1442" s="8">
        <f>IFERROR(Datos!B1442,"")</f>
        <v/>
      </c>
      <c r="C1442" s="8">
        <f>IFERROR(Datos!C1442,"")</f>
        <v/>
      </c>
      <c r="D1442" s="28">
        <f>IFERROR(IF(AND(ISNUMBER(B1442),ISNUMBER(B1441),B1441&lt;&gt;0),B1442/B1441-1,""),"")</f>
        <v/>
      </c>
      <c r="E1442" s="28">
        <f>IFERROR(IF(AND(ISNUMBER(C1442),ISNUMBER(C1441),C1441&lt;&gt;0),C1442/C1441-1,""),"")</f>
        <v/>
      </c>
      <c r="F1442" s="28">
        <f>IFERROR(D1442-Dashboard!$B$4/252,"")</f>
        <v/>
      </c>
      <c r="G1442" s="28">
        <f>IFERROR(E1442-Dashboard!$B$4/252,"")</f>
        <v/>
      </c>
      <c r="H1442" s="8">
        <f>IFERROR(IF(ISNUMBER(B1442),MAX(B1442,IFERROR(H1441,B1442)),""),"")</f>
        <v/>
      </c>
      <c r="I1442" s="29">
        <f>IFERROR(IF(AND(ISNUMBER(B1442),ISNUMBER(H1442)),B1442/H1442-1,""),"")</f>
        <v/>
      </c>
      <c r="J1442" s="8">
        <f>IFERROR(IF(ISNUMBER(C1442),MAX(C1442,IFERROR(J1441,C1442)),""),"")</f>
        <v/>
      </c>
      <c r="K1442" s="29">
        <f>IFERROR(IF(AND(ISNUMBER(C1442),ISNUMBER(J1442)),C1442/J1442-1,""),"")</f>
        <v/>
      </c>
      <c r="L1442" s="28">
        <f>IFERROR(IF(AND(ISNUMBER(D1442),ISNUMBER(E1442)),D1442-E1442,""),"")</f>
        <v/>
      </c>
    </row>
    <row r="1443">
      <c r="A1443" s="7">
        <f>IFERROR(Datos!A1443,"")</f>
        <v/>
      </c>
      <c r="B1443" s="8">
        <f>IFERROR(Datos!B1443,"")</f>
        <v/>
      </c>
      <c r="C1443" s="8">
        <f>IFERROR(Datos!C1443,"")</f>
        <v/>
      </c>
      <c r="D1443" s="28">
        <f>IFERROR(IF(AND(ISNUMBER(B1443),ISNUMBER(B1442),B1442&lt;&gt;0),B1443/B1442-1,""),"")</f>
        <v/>
      </c>
      <c r="E1443" s="28">
        <f>IFERROR(IF(AND(ISNUMBER(C1443),ISNUMBER(C1442),C1442&lt;&gt;0),C1443/C1442-1,""),"")</f>
        <v/>
      </c>
      <c r="F1443" s="28">
        <f>IFERROR(D1443-Dashboard!$B$4/252,"")</f>
        <v/>
      </c>
      <c r="G1443" s="28">
        <f>IFERROR(E1443-Dashboard!$B$4/252,"")</f>
        <v/>
      </c>
      <c r="H1443" s="8">
        <f>IFERROR(IF(ISNUMBER(B1443),MAX(B1443,IFERROR(H1442,B1443)),""),"")</f>
        <v/>
      </c>
      <c r="I1443" s="29">
        <f>IFERROR(IF(AND(ISNUMBER(B1443),ISNUMBER(H1443)),B1443/H1443-1,""),"")</f>
        <v/>
      </c>
      <c r="J1443" s="8">
        <f>IFERROR(IF(ISNUMBER(C1443),MAX(C1443,IFERROR(J1442,C1443)),""),"")</f>
        <v/>
      </c>
      <c r="K1443" s="29">
        <f>IFERROR(IF(AND(ISNUMBER(C1443),ISNUMBER(J1443)),C1443/J1443-1,""),"")</f>
        <v/>
      </c>
      <c r="L1443" s="28">
        <f>IFERROR(IF(AND(ISNUMBER(D1443),ISNUMBER(E1443)),D1443-E1443,""),"")</f>
        <v/>
      </c>
    </row>
    <row r="1444">
      <c r="A1444" s="7">
        <f>IFERROR(Datos!A1444,"")</f>
        <v/>
      </c>
      <c r="B1444" s="8">
        <f>IFERROR(Datos!B1444,"")</f>
        <v/>
      </c>
      <c r="C1444" s="8">
        <f>IFERROR(Datos!C1444,"")</f>
        <v/>
      </c>
      <c r="D1444" s="28">
        <f>IFERROR(IF(AND(ISNUMBER(B1444),ISNUMBER(B1443),B1443&lt;&gt;0),B1444/B1443-1,""),"")</f>
        <v/>
      </c>
      <c r="E1444" s="28">
        <f>IFERROR(IF(AND(ISNUMBER(C1444),ISNUMBER(C1443),C1443&lt;&gt;0),C1444/C1443-1,""),"")</f>
        <v/>
      </c>
      <c r="F1444" s="28">
        <f>IFERROR(D1444-Dashboard!$B$4/252,"")</f>
        <v/>
      </c>
      <c r="G1444" s="28">
        <f>IFERROR(E1444-Dashboard!$B$4/252,"")</f>
        <v/>
      </c>
      <c r="H1444" s="8">
        <f>IFERROR(IF(ISNUMBER(B1444),MAX(B1444,IFERROR(H1443,B1444)),""),"")</f>
        <v/>
      </c>
      <c r="I1444" s="29">
        <f>IFERROR(IF(AND(ISNUMBER(B1444),ISNUMBER(H1444)),B1444/H1444-1,""),"")</f>
        <v/>
      </c>
      <c r="J1444" s="8">
        <f>IFERROR(IF(ISNUMBER(C1444),MAX(C1444,IFERROR(J1443,C1444)),""),"")</f>
        <v/>
      </c>
      <c r="K1444" s="29">
        <f>IFERROR(IF(AND(ISNUMBER(C1444),ISNUMBER(J1444)),C1444/J1444-1,""),"")</f>
        <v/>
      </c>
      <c r="L1444" s="28">
        <f>IFERROR(IF(AND(ISNUMBER(D1444),ISNUMBER(E1444)),D1444-E1444,""),"")</f>
        <v/>
      </c>
    </row>
    <row r="1445">
      <c r="A1445" s="7">
        <f>IFERROR(Datos!A1445,"")</f>
        <v/>
      </c>
      <c r="B1445" s="8">
        <f>IFERROR(Datos!B1445,"")</f>
        <v/>
      </c>
      <c r="C1445" s="8">
        <f>IFERROR(Datos!C1445,"")</f>
        <v/>
      </c>
      <c r="D1445" s="28">
        <f>IFERROR(IF(AND(ISNUMBER(B1445),ISNUMBER(B1444),B1444&lt;&gt;0),B1445/B1444-1,""),"")</f>
        <v/>
      </c>
      <c r="E1445" s="28">
        <f>IFERROR(IF(AND(ISNUMBER(C1445),ISNUMBER(C1444),C1444&lt;&gt;0),C1445/C1444-1,""),"")</f>
        <v/>
      </c>
      <c r="F1445" s="28">
        <f>IFERROR(D1445-Dashboard!$B$4/252,"")</f>
        <v/>
      </c>
      <c r="G1445" s="28">
        <f>IFERROR(E1445-Dashboard!$B$4/252,"")</f>
        <v/>
      </c>
      <c r="H1445" s="8">
        <f>IFERROR(IF(ISNUMBER(B1445),MAX(B1445,IFERROR(H1444,B1445)),""),"")</f>
        <v/>
      </c>
      <c r="I1445" s="29">
        <f>IFERROR(IF(AND(ISNUMBER(B1445),ISNUMBER(H1445)),B1445/H1445-1,""),"")</f>
        <v/>
      </c>
      <c r="J1445" s="8">
        <f>IFERROR(IF(ISNUMBER(C1445),MAX(C1445,IFERROR(J1444,C1445)),""),"")</f>
        <v/>
      </c>
      <c r="K1445" s="29">
        <f>IFERROR(IF(AND(ISNUMBER(C1445),ISNUMBER(J1445)),C1445/J1445-1,""),"")</f>
        <v/>
      </c>
      <c r="L1445" s="28">
        <f>IFERROR(IF(AND(ISNUMBER(D1445),ISNUMBER(E1445)),D1445-E1445,""),"")</f>
        <v/>
      </c>
    </row>
    <row r="1446">
      <c r="A1446" s="7">
        <f>IFERROR(Datos!A1446,"")</f>
        <v/>
      </c>
      <c r="B1446" s="8">
        <f>IFERROR(Datos!B1446,"")</f>
        <v/>
      </c>
      <c r="C1446" s="8">
        <f>IFERROR(Datos!C1446,"")</f>
        <v/>
      </c>
      <c r="D1446" s="28">
        <f>IFERROR(IF(AND(ISNUMBER(B1446),ISNUMBER(B1445),B1445&lt;&gt;0),B1446/B1445-1,""),"")</f>
        <v/>
      </c>
      <c r="E1446" s="28">
        <f>IFERROR(IF(AND(ISNUMBER(C1446),ISNUMBER(C1445),C1445&lt;&gt;0),C1446/C1445-1,""),"")</f>
        <v/>
      </c>
      <c r="F1446" s="28">
        <f>IFERROR(D1446-Dashboard!$B$4/252,"")</f>
        <v/>
      </c>
      <c r="G1446" s="28">
        <f>IFERROR(E1446-Dashboard!$B$4/252,"")</f>
        <v/>
      </c>
      <c r="H1446" s="8">
        <f>IFERROR(IF(ISNUMBER(B1446),MAX(B1446,IFERROR(H1445,B1446)),""),"")</f>
        <v/>
      </c>
      <c r="I1446" s="29">
        <f>IFERROR(IF(AND(ISNUMBER(B1446),ISNUMBER(H1446)),B1446/H1446-1,""),"")</f>
        <v/>
      </c>
      <c r="J1446" s="8">
        <f>IFERROR(IF(ISNUMBER(C1446),MAX(C1446,IFERROR(J1445,C1446)),""),"")</f>
        <v/>
      </c>
      <c r="K1446" s="29">
        <f>IFERROR(IF(AND(ISNUMBER(C1446),ISNUMBER(J1446)),C1446/J1446-1,""),"")</f>
        <v/>
      </c>
      <c r="L1446" s="28">
        <f>IFERROR(IF(AND(ISNUMBER(D1446),ISNUMBER(E1446)),D1446-E1446,""),"")</f>
        <v/>
      </c>
    </row>
    <row r="1447">
      <c r="A1447" s="7">
        <f>IFERROR(Datos!A1447,"")</f>
        <v/>
      </c>
      <c r="B1447" s="8">
        <f>IFERROR(Datos!B1447,"")</f>
        <v/>
      </c>
      <c r="C1447" s="8">
        <f>IFERROR(Datos!C1447,"")</f>
        <v/>
      </c>
      <c r="D1447" s="28">
        <f>IFERROR(IF(AND(ISNUMBER(B1447),ISNUMBER(B1446),B1446&lt;&gt;0),B1447/B1446-1,""),"")</f>
        <v/>
      </c>
      <c r="E1447" s="28">
        <f>IFERROR(IF(AND(ISNUMBER(C1447),ISNUMBER(C1446),C1446&lt;&gt;0),C1447/C1446-1,""),"")</f>
        <v/>
      </c>
      <c r="F1447" s="28">
        <f>IFERROR(D1447-Dashboard!$B$4/252,"")</f>
        <v/>
      </c>
      <c r="G1447" s="28">
        <f>IFERROR(E1447-Dashboard!$B$4/252,"")</f>
        <v/>
      </c>
      <c r="H1447" s="8">
        <f>IFERROR(IF(ISNUMBER(B1447),MAX(B1447,IFERROR(H1446,B1447)),""),"")</f>
        <v/>
      </c>
      <c r="I1447" s="29">
        <f>IFERROR(IF(AND(ISNUMBER(B1447),ISNUMBER(H1447)),B1447/H1447-1,""),"")</f>
        <v/>
      </c>
      <c r="J1447" s="8">
        <f>IFERROR(IF(ISNUMBER(C1447),MAX(C1447,IFERROR(J1446,C1447)),""),"")</f>
        <v/>
      </c>
      <c r="K1447" s="29">
        <f>IFERROR(IF(AND(ISNUMBER(C1447),ISNUMBER(J1447)),C1447/J1447-1,""),"")</f>
        <v/>
      </c>
      <c r="L1447" s="28">
        <f>IFERROR(IF(AND(ISNUMBER(D1447),ISNUMBER(E1447)),D1447-E1447,""),"")</f>
        <v/>
      </c>
    </row>
    <row r="1448">
      <c r="A1448" s="7">
        <f>IFERROR(Datos!A1448,"")</f>
        <v/>
      </c>
      <c r="B1448" s="8">
        <f>IFERROR(Datos!B1448,"")</f>
        <v/>
      </c>
      <c r="C1448" s="8">
        <f>IFERROR(Datos!C1448,"")</f>
        <v/>
      </c>
      <c r="D1448" s="28">
        <f>IFERROR(IF(AND(ISNUMBER(B1448),ISNUMBER(B1447),B1447&lt;&gt;0),B1448/B1447-1,""),"")</f>
        <v/>
      </c>
      <c r="E1448" s="28">
        <f>IFERROR(IF(AND(ISNUMBER(C1448),ISNUMBER(C1447),C1447&lt;&gt;0),C1448/C1447-1,""),"")</f>
        <v/>
      </c>
      <c r="F1448" s="28">
        <f>IFERROR(D1448-Dashboard!$B$4/252,"")</f>
        <v/>
      </c>
      <c r="G1448" s="28">
        <f>IFERROR(E1448-Dashboard!$B$4/252,"")</f>
        <v/>
      </c>
      <c r="H1448" s="8">
        <f>IFERROR(IF(ISNUMBER(B1448),MAX(B1448,IFERROR(H1447,B1448)),""),"")</f>
        <v/>
      </c>
      <c r="I1448" s="29">
        <f>IFERROR(IF(AND(ISNUMBER(B1448),ISNUMBER(H1448)),B1448/H1448-1,""),"")</f>
        <v/>
      </c>
      <c r="J1448" s="8">
        <f>IFERROR(IF(ISNUMBER(C1448),MAX(C1448,IFERROR(J1447,C1448)),""),"")</f>
        <v/>
      </c>
      <c r="K1448" s="29">
        <f>IFERROR(IF(AND(ISNUMBER(C1448),ISNUMBER(J1448)),C1448/J1448-1,""),"")</f>
        <v/>
      </c>
      <c r="L1448" s="28">
        <f>IFERROR(IF(AND(ISNUMBER(D1448),ISNUMBER(E1448)),D1448-E1448,""),"")</f>
        <v/>
      </c>
    </row>
    <row r="1449">
      <c r="A1449" s="7">
        <f>IFERROR(Datos!A1449,"")</f>
        <v/>
      </c>
      <c r="B1449" s="8">
        <f>IFERROR(Datos!B1449,"")</f>
        <v/>
      </c>
      <c r="C1449" s="8">
        <f>IFERROR(Datos!C1449,"")</f>
        <v/>
      </c>
      <c r="D1449" s="28">
        <f>IFERROR(IF(AND(ISNUMBER(B1449),ISNUMBER(B1448),B1448&lt;&gt;0),B1449/B1448-1,""),"")</f>
        <v/>
      </c>
      <c r="E1449" s="28">
        <f>IFERROR(IF(AND(ISNUMBER(C1449),ISNUMBER(C1448),C1448&lt;&gt;0),C1449/C1448-1,""),"")</f>
        <v/>
      </c>
      <c r="F1449" s="28">
        <f>IFERROR(D1449-Dashboard!$B$4/252,"")</f>
        <v/>
      </c>
      <c r="G1449" s="28">
        <f>IFERROR(E1449-Dashboard!$B$4/252,"")</f>
        <v/>
      </c>
      <c r="H1449" s="8">
        <f>IFERROR(IF(ISNUMBER(B1449),MAX(B1449,IFERROR(H1448,B1449)),""),"")</f>
        <v/>
      </c>
      <c r="I1449" s="29">
        <f>IFERROR(IF(AND(ISNUMBER(B1449),ISNUMBER(H1449)),B1449/H1449-1,""),"")</f>
        <v/>
      </c>
      <c r="J1449" s="8">
        <f>IFERROR(IF(ISNUMBER(C1449),MAX(C1449,IFERROR(J1448,C1449)),""),"")</f>
        <v/>
      </c>
      <c r="K1449" s="29">
        <f>IFERROR(IF(AND(ISNUMBER(C1449),ISNUMBER(J1449)),C1449/J1449-1,""),"")</f>
        <v/>
      </c>
      <c r="L1449" s="28">
        <f>IFERROR(IF(AND(ISNUMBER(D1449),ISNUMBER(E1449)),D1449-E1449,""),"")</f>
        <v/>
      </c>
    </row>
    <row r="1450">
      <c r="A1450" s="7">
        <f>IFERROR(Datos!A1450,"")</f>
        <v/>
      </c>
      <c r="B1450" s="8">
        <f>IFERROR(Datos!B1450,"")</f>
        <v/>
      </c>
      <c r="C1450" s="8">
        <f>IFERROR(Datos!C1450,"")</f>
        <v/>
      </c>
      <c r="D1450" s="28">
        <f>IFERROR(IF(AND(ISNUMBER(B1450),ISNUMBER(B1449),B1449&lt;&gt;0),B1450/B1449-1,""),"")</f>
        <v/>
      </c>
      <c r="E1450" s="28">
        <f>IFERROR(IF(AND(ISNUMBER(C1450),ISNUMBER(C1449),C1449&lt;&gt;0),C1450/C1449-1,""),"")</f>
        <v/>
      </c>
      <c r="F1450" s="28">
        <f>IFERROR(D1450-Dashboard!$B$4/252,"")</f>
        <v/>
      </c>
      <c r="G1450" s="28">
        <f>IFERROR(E1450-Dashboard!$B$4/252,"")</f>
        <v/>
      </c>
      <c r="H1450" s="8">
        <f>IFERROR(IF(ISNUMBER(B1450),MAX(B1450,IFERROR(H1449,B1450)),""),"")</f>
        <v/>
      </c>
      <c r="I1450" s="29">
        <f>IFERROR(IF(AND(ISNUMBER(B1450),ISNUMBER(H1450)),B1450/H1450-1,""),"")</f>
        <v/>
      </c>
      <c r="J1450" s="8">
        <f>IFERROR(IF(ISNUMBER(C1450),MAX(C1450,IFERROR(J1449,C1450)),""),"")</f>
        <v/>
      </c>
      <c r="K1450" s="29">
        <f>IFERROR(IF(AND(ISNUMBER(C1450),ISNUMBER(J1450)),C1450/J1450-1,""),"")</f>
        <v/>
      </c>
      <c r="L1450" s="28">
        <f>IFERROR(IF(AND(ISNUMBER(D1450),ISNUMBER(E1450)),D1450-E1450,""),"")</f>
        <v/>
      </c>
    </row>
    <row r="1451">
      <c r="A1451" s="7">
        <f>IFERROR(Datos!A1451,"")</f>
        <v/>
      </c>
      <c r="B1451" s="8">
        <f>IFERROR(Datos!B1451,"")</f>
        <v/>
      </c>
      <c r="C1451" s="8">
        <f>IFERROR(Datos!C1451,"")</f>
        <v/>
      </c>
      <c r="D1451" s="28">
        <f>IFERROR(IF(AND(ISNUMBER(B1451),ISNUMBER(B1450),B1450&lt;&gt;0),B1451/B1450-1,""),"")</f>
        <v/>
      </c>
      <c r="E1451" s="28">
        <f>IFERROR(IF(AND(ISNUMBER(C1451),ISNUMBER(C1450),C1450&lt;&gt;0),C1451/C1450-1,""),"")</f>
        <v/>
      </c>
      <c r="F1451" s="28">
        <f>IFERROR(D1451-Dashboard!$B$4/252,"")</f>
        <v/>
      </c>
      <c r="G1451" s="28">
        <f>IFERROR(E1451-Dashboard!$B$4/252,"")</f>
        <v/>
      </c>
      <c r="H1451" s="8">
        <f>IFERROR(IF(ISNUMBER(B1451),MAX(B1451,IFERROR(H1450,B1451)),""),"")</f>
        <v/>
      </c>
      <c r="I1451" s="29">
        <f>IFERROR(IF(AND(ISNUMBER(B1451),ISNUMBER(H1451)),B1451/H1451-1,""),"")</f>
        <v/>
      </c>
      <c r="J1451" s="8">
        <f>IFERROR(IF(ISNUMBER(C1451),MAX(C1451,IFERROR(J1450,C1451)),""),"")</f>
        <v/>
      </c>
      <c r="K1451" s="29">
        <f>IFERROR(IF(AND(ISNUMBER(C1451),ISNUMBER(J1451)),C1451/J1451-1,""),"")</f>
        <v/>
      </c>
      <c r="L1451" s="28">
        <f>IFERROR(IF(AND(ISNUMBER(D1451),ISNUMBER(E1451)),D1451-E1451,""),"")</f>
        <v/>
      </c>
    </row>
    <row r="1452">
      <c r="A1452" s="7">
        <f>IFERROR(Datos!A1452,"")</f>
        <v/>
      </c>
      <c r="B1452" s="8">
        <f>IFERROR(Datos!B1452,"")</f>
        <v/>
      </c>
      <c r="C1452" s="8">
        <f>IFERROR(Datos!C1452,"")</f>
        <v/>
      </c>
      <c r="D1452" s="28">
        <f>IFERROR(IF(AND(ISNUMBER(B1452),ISNUMBER(B1451),B1451&lt;&gt;0),B1452/B1451-1,""),"")</f>
        <v/>
      </c>
      <c r="E1452" s="28">
        <f>IFERROR(IF(AND(ISNUMBER(C1452),ISNUMBER(C1451),C1451&lt;&gt;0),C1452/C1451-1,""),"")</f>
        <v/>
      </c>
      <c r="F1452" s="28">
        <f>IFERROR(D1452-Dashboard!$B$4/252,"")</f>
        <v/>
      </c>
      <c r="G1452" s="28">
        <f>IFERROR(E1452-Dashboard!$B$4/252,"")</f>
        <v/>
      </c>
      <c r="H1452" s="8">
        <f>IFERROR(IF(ISNUMBER(B1452),MAX(B1452,IFERROR(H1451,B1452)),""),"")</f>
        <v/>
      </c>
      <c r="I1452" s="29">
        <f>IFERROR(IF(AND(ISNUMBER(B1452),ISNUMBER(H1452)),B1452/H1452-1,""),"")</f>
        <v/>
      </c>
      <c r="J1452" s="8">
        <f>IFERROR(IF(ISNUMBER(C1452),MAX(C1452,IFERROR(J1451,C1452)),""),"")</f>
        <v/>
      </c>
      <c r="K1452" s="29">
        <f>IFERROR(IF(AND(ISNUMBER(C1452),ISNUMBER(J1452)),C1452/J1452-1,""),"")</f>
        <v/>
      </c>
      <c r="L1452" s="28">
        <f>IFERROR(IF(AND(ISNUMBER(D1452),ISNUMBER(E1452)),D1452-E1452,""),"")</f>
        <v/>
      </c>
    </row>
    <row r="1453">
      <c r="A1453" s="7">
        <f>IFERROR(Datos!A1453,"")</f>
        <v/>
      </c>
      <c r="B1453" s="8">
        <f>IFERROR(Datos!B1453,"")</f>
        <v/>
      </c>
      <c r="C1453" s="8">
        <f>IFERROR(Datos!C1453,"")</f>
        <v/>
      </c>
      <c r="D1453" s="28">
        <f>IFERROR(IF(AND(ISNUMBER(B1453),ISNUMBER(B1452),B1452&lt;&gt;0),B1453/B1452-1,""),"")</f>
        <v/>
      </c>
      <c r="E1453" s="28">
        <f>IFERROR(IF(AND(ISNUMBER(C1453),ISNUMBER(C1452),C1452&lt;&gt;0),C1453/C1452-1,""),"")</f>
        <v/>
      </c>
      <c r="F1453" s="28">
        <f>IFERROR(D1453-Dashboard!$B$4/252,"")</f>
        <v/>
      </c>
      <c r="G1453" s="28">
        <f>IFERROR(E1453-Dashboard!$B$4/252,"")</f>
        <v/>
      </c>
      <c r="H1453" s="8">
        <f>IFERROR(IF(ISNUMBER(B1453),MAX(B1453,IFERROR(H1452,B1453)),""),"")</f>
        <v/>
      </c>
      <c r="I1453" s="29">
        <f>IFERROR(IF(AND(ISNUMBER(B1453),ISNUMBER(H1453)),B1453/H1453-1,""),"")</f>
        <v/>
      </c>
      <c r="J1453" s="8">
        <f>IFERROR(IF(ISNUMBER(C1453),MAX(C1453,IFERROR(J1452,C1453)),""),"")</f>
        <v/>
      </c>
      <c r="K1453" s="29">
        <f>IFERROR(IF(AND(ISNUMBER(C1453),ISNUMBER(J1453)),C1453/J1453-1,""),"")</f>
        <v/>
      </c>
      <c r="L1453" s="28">
        <f>IFERROR(IF(AND(ISNUMBER(D1453),ISNUMBER(E1453)),D1453-E1453,""),"")</f>
        <v/>
      </c>
    </row>
    <row r="1454">
      <c r="A1454" s="7">
        <f>IFERROR(Datos!A1454,"")</f>
        <v/>
      </c>
      <c r="B1454" s="8">
        <f>IFERROR(Datos!B1454,"")</f>
        <v/>
      </c>
      <c r="C1454" s="8">
        <f>IFERROR(Datos!C1454,"")</f>
        <v/>
      </c>
      <c r="D1454" s="28">
        <f>IFERROR(IF(AND(ISNUMBER(B1454),ISNUMBER(B1453),B1453&lt;&gt;0),B1454/B1453-1,""),"")</f>
        <v/>
      </c>
      <c r="E1454" s="28">
        <f>IFERROR(IF(AND(ISNUMBER(C1454),ISNUMBER(C1453),C1453&lt;&gt;0),C1454/C1453-1,""),"")</f>
        <v/>
      </c>
      <c r="F1454" s="28">
        <f>IFERROR(D1454-Dashboard!$B$4/252,"")</f>
        <v/>
      </c>
      <c r="G1454" s="28">
        <f>IFERROR(E1454-Dashboard!$B$4/252,"")</f>
        <v/>
      </c>
      <c r="H1454" s="8">
        <f>IFERROR(IF(ISNUMBER(B1454),MAX(B1454,IFERROR(H1453,B1454)),""),"")</f>
        <v/>
      </c>
      <c r="I1454" s="29">
        <f>IFERROR(IF(AND(ISNUMBER(B1454),ISNUMBER(H1454)),B1454/H1454-1,""),"")</f>
        <v/>
      </c>
      <c r="J1454" s="8">
        <f>IFERROR(IF(ISNUMBER(C1454),MAX(C1454,IFERROR(J1453,C1454)),""),"")</f>
        <v/>
      </c>
      <c r="K1454" s="29">
        <f>IFERROR(IF(AND(ISNUMBER(C1454),ISNUMBER(J1454)),C1454/J1454-1,""),"")</f>
        <v/>
      </c>
      <c r="L1454" s="28">
        <f>IFERROR(IF(AND(ISNUMBER(D1454),ISNUMBER(E1454)),D1454-E1454,""),"")</f>
        <v/>
      </c>
    </row>
    <row r="1455">
      <c r="A1455" s="7">
        <f>IFERROR(Datos!A1455,"")</f>
        <v/>
      </c>
      <c r="B1455" s="8">
        <f>IFERROR(Datos!B1455,"")</f>
        <v/>
      </c>
      <c r="C1455" s="8">
        <f>IFERROR(Datos!C1455,"")</f>
        <v/>
      </c>
      <c r="D1455" s="28">
        <f>IFERROR(IF(AND(ISNUMBER(B1455),ISNUMBER(B1454),B1454&lt;&gt;0),B1455/B1454-1,""),"")</f>
        <v/>
      </c>
      <c r="E1455" s="28">
        <f>IFERROR(IF(AND(ISNUMBER(C1455),ISNUMBER(C1454),C1454&lt;&gt;0),C1455/C1454-1,""),"")</f>
        <v/>
      </c>
      <c r="F1455" s="28">
        <f>IFERROR(D1455-Dashboard!$B$4/252,"")</f>
        <v/>
      </c>
      <c r="G1455" s="28">
        <f>IFERROR(E1455-Dashboard!$B$4/252,"")</f>
        <v/>
      </c>
      <c r="H1455" s="8">
        <f>IFERROR(IF(ISNUMBER(B1455),MAX(B1455,IFERROR(H1454,B1455)),""),"")</f>
        <v/>
      </c>
      <c r="I1455" s="29">
        <f>IFERROR(IF(AND(ISNUMBER(B1455),ISNUMBER(H1455)),B1455/H1455-1,""),"")</f>
        <v/>
      </c>
      <c r="J1455" s="8">
        <f>IFERROR(IF(ISNUMBER(C1455),MAX(C1455,IFERROR(J1454,C1455)),""),"")</f>
        <v/>
      </c>
      <c r="K1455" s="29">
        <f>IFERROR(IF(AND(ISNUMBER(C1455),ISNUMBER(J1455)),C1455/J1455-1,""),"")</f>
        <v/>
      </c>
      <c r="L1455" s="28">
        <f>IFERROR(IF(AND(ISNUMBER(D1455),ISNUMBER(E1455)),D1455-E1455,""),"")</f>
        <v/>
      </c>
    </row>
    <row r="1456">
      <c r="A1456" s="7">
        <f>IFERROR(Datos!A1456,"")</f>
        <v/>
      </c>
      <c r="B1456" s="8">
        <f>IFERROR(Datos!B1456,"")</f>
        <v/>
      </c>
      <c r="C1456" s="8">
        <f>IFERROR(Datos!C1456,"")</f>
        <v/>
      </c>
      <c r="D1456" s="28">
        <f>IFERROR(IF(AND(ISNUMBER(B1456),ISNUMBER(B1455),B1455&lt;&gt;0),B1456/B1455-1,""),"")</f>
        <v/>
      </c>
      <c r="E1456" s="28">
        <f>IFERROR(IF(AND(ISNUMBER(C1456),ISNUMBER(C1455),C1455&lt;&gt;0),C1456/C1455-1,""),"")</f>
        <v/>
      </c>
      <c r="F1456" s="28">
        <f>IFERROR(D1456-Dashboard!$B$4/252,"")</f>
        <v/>
      </c>
      <c r="G1456" s="28">
        <f>IFERROR(E1456-Dashboard!$B$4/252,"")</f>
        <v/>
      </c>
      <c r="H1456" s="8">
        <f>IFERROR(IF(ISNUMBER(B1456),MAX(B1456,IFERROR(H1455,B1456)),""),"")</f>
        <v/>
      </c>
      <c r="I1456" s="29">
        <f>IFERROR(IF(AND(ISNUMBER(B1456),ISNUMBER(H1456)),B1456/H1456-1,""),"")</f>
        <v/>
      </c>
      <c r="J1456" s="8">
        <f>IFERROR(IF(ISNUMBER(C1456),MAX(C1456,IFERROR(J1455,C1456)),""),"")</f>
        <v/>
      </c>
      <c r="K1456" s="29">
        <f>IFERROR(IF(AND(ISNUMBER(C1456),ISNUMBER(J1456)),C1456/J1456-1,""),"")</f>
        <v/>
      </c>
      <c r="L1456" s="28">
        <f>IFERROR(IF(AND(ISNUMBER(D1456),ISNUMBER(E1456)),D1456-E1456,""),"")</f>
        <v/>
      </c>
    </row>
    <row r="1457">
      <c r="A1457" s="7">
        <f>IFERROR(Datos!A1457,"")</f>
        <v/>
      </c>
      <c r="B1457" s="8">
        <f>IFERROR(Datos!B1457,"")</f>
        <v/>
      </c>
      <c r="C1457" s="8">
        <f>IFERROR(Datos!C1457,"")</f>
        <v/>
      </c>
      <c r="D1457" s="28">
        <f>IFERROR(IF(AND(ISNUMBER(B1457),ISNUMBER(B1456),B1456&lt;&gt;0),B1457/B1456-1,""),"")</f>
        <v/>
      </c>
      <c r="E1457" s="28">
        <f>IFERROR(IF(AND(ISNUMBER(C1457),ISNUMBER(C1456),C1456&lt;&gt;0),C1457/C1456-1,""),"")</f>
        <v/>
      </c>
      <c r="F1457" s="28">
        <f>IFERROR(D1457-Dashboard!$B$4/252,"")</f>
        <v/>
      </c>
      <c r="G1457" s="28">
        <f>IFERROR(E1457-Dashboard!$B$4/252,"")</f>
        <v/>
      </c>
      <c r="H1457" s="8">
        <f>IFERROR(IF(ISNUMBER(B1457),MAX(B1457,IFERROR(H1456,B1457)),""),"")</f>
        <v/>
      </c>
      <c r="I1457" s="29">
        <f>IFERROR(IF(AND(ISNUMBER(B1457),ISNUMBER(H1457)),B1457/H1457-1,""),"")</f>
        <v/>
      </c>
      <c r="J1457" s="8">
        <f>IFERROR(IF(ISNUMBER(C1457),MAX(C1457,IFERROR(J1456,C1457)),""),"")</f>
        <v/>
      </c>
      <c r="K1457" s="29">
        <f>IFERROR(IF(AND(ISNUMBER(C1457),ISNUMBER(J1457)),C1457/J1457-1,""),"")</f>
        <v/>
      </c>
      <c r="L1457" s="28">
        <f>IFERROR(IF(AND(ISNUMBER(D1457),ISNUMBER(E1457)),D1457-E1457,""),"")</f>
        <v/>
      </c>
    </row>
    <row r="1458">
      <c r="A1458" s="7">
        <f>IFERROR(Datos!A1458,"")</f>
        <v/>
      </c>
      <c r="B1458" s="8">
        <f>IFERROR(Datos!B1458,"")</f>
        <v/>
      </c>
      <c r="C1458" s="8">
        <f>IFERROR(Datos!C1458,"")</f>
        <v/>
      </c>
      <c r="D1458" s="28">
        <f>IFERROR(IF(AND(ISNUMBER(B1458),ISNUMBER(B1457),B1457&lt;&gt;0),B1458/B1457-1,""),"")</f>
        <v/>
      </c>
      <c r="E1458" s="28">
        <f>IFERROR(IF(AND(ISNUMBER(C1458),ISNUMBER(C1457),C1457&lt;&gt;0),C1458/C1457-1,""),"")</f>
        <v/>
      </c>
      <c r="F1458" s="28">
        <f>IFERROR(D1458-Dashboard!$B$4/252,"")</f>
        <v/>
      </c>
      <c r="G1458" s="28">
        <f>IFERROR(E1458-Dashboard!$B$4/252,"")</f>
        <v/>
      </c>
      <c r="H1458" s="8">
        <f>IFERROR(IF(ISNUMBER(B1458),MAX(B1458,IFERROR(H1457,B1458)),""),"")</f>
        <v/>
      </c>
      <c r="I1458" s="29">
        <f>IFERROR(IF(AND(ISNUMBER(B1458),ISNUMBER(H1458)),B1458/H1458-1,""),"")</f>
        <v/>
      </c>
      <c r="J1458" s="8">
        <f>IFERROR(IF(ISNUMBER(C1458),MAX(C1458,IFERROR(J1457,C1458)),""),"")</f>
        <v/>
      </c>
      <c r="K1458" s="29">
        <f>IFERROR(IF(AND(ISNUMBER(C1458),ISNUMBER(J1458)),C1458/J1458-1,""),"")</f>
        <v/>
      </c>
      <c r="L1458" s="28">
        <f>IFERROR(IF(AND(ISNUMBER(D1458),ISNUMBER(E1458)),D1458-E1458,""),"")</f>
        <v/>
      </c>
    </row>
    <row r="1459">
      <c r="A1459" s="7">
        <f>IFERROR(Datos!A1459,"")</f>
        <v/>
      </c>
      <c r="B1459" s="8">
        <f>IFERROR(Datos!B1459,"")</f>
        <v/>
      </c>
      <c r="C1459" s="8">
        <f>IFERROR(Datos!C1459,"")</f>
        <v/>
      </c>
      <c r="D1459" s="28">
        <f>IFERROR(IF(AND(ISNUMBER(B1459),ISNUMBER(B1458),B1458&lt;&gt;0),B1459/B1458-1,""),"")</f>
        <v/>
      </c>
      <c r="E1459" s="28">
        <f>IFERROR(IF(AND(ISNUMBER(C1459),ISNUMBER(C1458),C1458&lt;&gt;0),C1459/C1458-1,""),"")</f>
        <v/>
      </c>
      <c r="F1459" s="28">
        <f>IFERROR(D1459-Dashboard!$B$4/252,"")</f>
        <v/>
      </c>
      <c r="G1459" s="28">
        <f>IFERROR(E1459-Dashboard!$B$4/252,"")</f>
        <v/>
      </c>
      <c r="H1459" s="8">
        <f>IFERROR(IF(ISNUMBER(B1459),MAX(B1459,IFERROR(H1458,B1459)),""),"")</f>
        <v/>
      </c>
      <c r="I1459" s="29">
        <f>IFERROR(IF(AND(ISNUMBER(B1459),ISNUMBER(H1459)),B1459/H1459-1,""),"")</f>
        <v/>
      </c>
      <c r="J1459" s="8">
        <f>IFERROR(IF(ISNUMBER(C1459),MAX(C1459,IFERROR(J1458,C1459)),""),"")</f>
        <v/>
      </c>
      <c r="K1459" s="29">
        <f>IFERROR(IF(AND(ISNUMBER(C1459),ISNUMBER(J1459)),C1459/J1459-1,""),"")</f>
        <v/>
      </c>
      <c r="L1459" s="28">
        <f>IFERROR(IF(AND(ISNUMBER(D1459),ISNUMBER(E1459)),D1459-E1459,""),"")</f>
        <v/>
      </c>
    </row>
    <row r="1460">
      <c r="A1460" s="7">
        <f>IFERROR(Datos!A1460,"")</f>
        <v/>
      </c>
      <c r="B1460" s="8">
        <f>IFERROR(Datos!B1460,"")</f>
        <v/>
      </c>
      <c r="C1460" s="8">
        <f>IFERROR(Datos!C1460,"")</f>
        <v/>
      </c>
      <c r="D1460" s="28">
        <f>IFERROR(IF(AND(ISNUMBER(B1460),ISNUMBER(B1459),B1459&lt;&gt;0),B1460/B1459-1,""),"")</f>
        <v/>
      </c>
      <c r="E1460" s="28">
        <f>IFERROR(IF(AND(ISNUMBER(C1460),ISNUMBER(C1459),C1459&lt;&gt;0),C1460/C1459-1,""),"")</f>
        <v/>
      </c>
      <c r="F1460" s="28">
        <f>IFERROR(D1460-Dashboard!$B$4/252,"")</f>
        <v/>
      </c>
      <c r="G1460" s="28">
        <f>IFERROR(E1460-Dashboard!$B$4/252,"")</f>
        <v/>
      </c>
      <c r="H1460" s="8">
        <f>IFERROR(IF(ISNUMBER(B1460),MAX(B1460,IFERROR(H1459,B1460)),""),"")</f>
        <v/>
      </c>
      <c r="I1460" s="29">
        <f>IFERROR(IF(AND(ISNUMBER(B1460),ISNUMBER(H1460)),B1460/H1460-1,""),"")</f>
        <v/>
      </c>
      <c r="J1460" s="8">
        <f>IFERROR(IF(ISNUMBER(C1460),MAX(C1460,IFERROR(J1459,C1460)),""),"")</f>
        <v/>
      </c>
      <c r="K1460" s="29">
        <f>IFERROR(IF(AND(ISNUMBER(C1460),ISNUMBER(J1460)),C1460/J1460-1,""),"")</f>
        <v/>
      </c>
      <c r="L1460" s="28">
        <f>IFERROR(IF(AND(ISNUMBER(D1460),ISNUMBER(E1460)),D1460-E1460,""),"")</f>
        <v/>
      </c>
    </row>
    <row r="1461">
      <c r="A1461" s="7">
        <f>IFERROR(Datos!A1461,"")</f>
        <v/>
      </c>
      <c r="B1461" s="8">
        <f>IFERROR(Datos!B1461,"")</f>
        <v/>
      </c>
      <c r="C1461" s="8">
        <f>IFERROR(Datos!C1461,"")</f>
        <v/>
      </c>
      <c r="D1461" s="28">
        <f>IFERROR(IF(AND(ISNUMBER(B1461),ISNUMBER(B1460),B1460&lt;&gt;0),B1461/B1460-1,""),"")</f>
        <v/>
      </c>
      <c r="E1461" s="28">
        <f>IFERROR(IF(AND(ISNUMBER(C1461),ISNUMBER(C1460),C1460&lt;&gt;0),C1461/C1460-1,""),"")</f>
        <v/>
      </c>
      <c r="F1461" s="28">
        <f>IFERROR(D1461-Dashboard!$B$4/252,"")</f>
        <v/>
      </c>
      <c r="G1461" s="28">
        <f>IFERROR(E1461-Dashboard!$B$4/252,"")</f>
        <v/>
      </c>
      <c r="H1461" s="8">
        <f>IFERROR(IF(ISNUMBER(B1461),MAX(B1461,IFERROR(H1460,B1461)),""),"")</f>
        <v/>
      </c>
      <c r="I1461" s="29">
        <f>IFERROR(IF(AND(ISNUMBER(B1461),ISNUMBER(H1461)),B1461/H1461-1,""),"")</f>
        <v/>
      </c>
      <c r="J1461" s="8">
        <f>IFERROR(IF(ISNUMBER(C1461),MAX(C1461,IFERROR(J1460,C1461)),""),"")</f>
        <v/>
      </c>
      <c r="K1461" s="29">
        <f>IFERROR(IF(AND(ISNUMBER(C1461),ISNUMBER(J1461)),C1461/J1461-1,""),"")</f>
        <v/>
      </c>
      <c r="L1461" s="28">
        <f>IFERROR(IF(AND(ISNUMBER(D1461),ISNUMBER(E1461)),D1461-E1461,""),"")</f>
        <v/>
      </c>
    </row>
    <row r="1462">
      <c r="A1462" s="7">
        <f>IFERROR(Datos!A1462,"")</f>
        <v/>
      </c>
      <c r="B1462" s="8">
        <f>IFERROR(Datos!B1462,"")</f>
        <v/>
      </c>
      <c r="C1462" s="8">
        <f>IFERROR(Datos!C1462,"")</f>
        <v/>
      </c>
      <c r="D1462" s="28">
        <f>IFERROR(IF(AND(ISNUMBER(B1462),ISNUMBER(B1461),B1461&lt;&gt;0),B1462/B1461-1,""),"")</f>
        <v/>
      </c>
      <c r="E1462" s="28">
        <f>IFERROR(IF(AND(ISNUMBER(C1462),ISNUMBER(C1461),C1461&lt;&gt;0),C1462/C1461-1,""),"")</f>
        <v/>
      </c>
      <c r="F1462" s="28">
        <f>IFERROR(D1462-Dashboard!$B$4/252,"")</f>
        <v/>
      </c>
      <c r="G1462" s="28">
        <f>IFERROR(E1462-Dashboard!$B$4/252,"")</f>
        <v/>
      </c>
      <c r="H1462" s="8">
        <f>IFERROR(IF(ISNUMBER(B1462),MAX(B1462,IFERROR(H1461,B1462)),""),"")</f>
        <v/>
      </c>
      <c r="I1462" s="29">
        <f>IFERROR(IF(AND(ISNUMBER(B1462),ISNUMBER(H1462)),B1462/H1462-1,""),"")</f>
        <v/>
      </c>
      <c r="J1462" s="8">
        <f>IFERROR(IF(ISNUMBER(C1462),MAX(C1462,IFERROR(J1461,C1462)),""),"")</f>
        <v/>
      </c>
      <c r="K1462" s="29">
        <f>IFERROR(IF(AND(ISNUMBER(C1462),ISNUMBER(J1462)),C1462/J1462-1,""),"")</f>
        <v/>
      </c>
      <c r="L1462" s="28">
        <f>IFERROR(IF(AND(ISNUMBER(D1462),ISNUMBER(E1462)),D1462-E1462,""),"")</f>
        <v/>
      </c>
    </row>
    <row r="1463">
      <c r="A1463" s="7">
        <f>IFERROR(Datos!A1463,"")</f>
        <v/>
      </c>
      <c r="B1463" s="8">
        <f>IFERROR(Datos!B1463,"")</f>
        <v/>
      </c>
      <c r="C1463" s="8">
        <f>IFERROR(Datos!C1463,"")</f>
        <v/>
      </c>
      <c r="D1463" s="28">
        <f>IFERROR(IF(AND(ISNUMBER(B1463),ISNUMBER(B1462),B1462&lt;&gt;0),B1463/B1462-1,""),"")</f>
        <v/>
      </c>
      <c r="E1463" s="28">
        <f>IFERROR(IF(AND(ISNUMBER(C1463),ISNUMBER(C1462),C1462&lt;&gt;0),C1463/C1462-1,""),"")</f>
        <v/>
      </c>
      <c r="F1463" s="28">
        <f>IFERROR(D1463-Dashboard!$B$4/252,"")</f>
        <v/>
      </c>
      <c r="G1463" s="28">
        <f>IFERROR(E1463-Dashboard!$B$4/252,"")</f>
        <v/>
      </c>
      <c r="H1463" s="8">
        <f>IFERROR(IF(ISNUMBER(B1463),MAX(B1463,IFERROR(H1462,B1463)),""),"")</f>
        <v/>
      </c>
      <c r="I1463" s="29">
        <f>IFERROR(IF(AND(ISNUMBER(B1463),ISNUMBER(H1463)),B1463/H1463-1,""),"")</f>
        <v/>
      </c>
      <c r="J1463" s="8">
        <f>IFERROR(IF(ISNUMBER(C1463),MAX(C1463,IFERROR(J1462,C1463)),""),"")</f>
        <v/>
      </c>
      <c r="K1463" s="29">
        <f>IFERROR(IF(AND(ISNUMBER(C1463),ISNUMBER(J1463)),C1463/J1463-1,""),"")</f>
        <v/>
      </c>
      <c r="L1463" s="28">
        <f>IFERROR(IF(AND(ISNUMBER(D1463),ISNUMBER(E1463)),D1463-E1463,""),"")</f>
        <v/>
      </c>
    </row>
    <row r="1464">
      <c r="A1464" s="7">
        <f>IFERROR(Datos!A1464,"")</f>
        <v/>
      </c>
      <c r="B1464" s="8">
        <f>IFERROR(Datos!B1464,"")</f>
        <v/>
      </c>
      <c r="C1464" s="8">
        <f>IFERROR(Datos!C1464,"")</f>
        <v/>
      </c>
      <c r="D1464" s="28">
        <f>IFERROR(IF(AND(ISNUMBER(B1464),ISNUMBER(B1463),B1463&lt;&gt;0),B1464/B1463-1,""),"")</f>
        <v/>
      </c>
      <c r="E1464" s="28">
        <f>IFERROR(IF(AND(ISNUMBER(C1464),ISNUMBER(C1463),C1463&lt;&gt;0),C1464/C1463-1,""),"")</f>
        <v/>
      </c>
      <c r="F1464" s="28">
        <f>IFERROR(D1464-Dashboard!$B$4/252,"")</f>
        <v/>
      </c>
      <c r="G1464" s="28">
        <f>IFERROR(E1464-Dashboard!$B$4/252,"")</f>
        <v/>
      </c>
      <c r="H1464" s="8">
        <f>IFERROR(IF(ISNUMBER(B1464),MAX(B1464,IFERROR(H1463,B1464)),""),"")</f>
        <v/>
      </c>
      <c r="I1464" s="29">
        <f>IFERROR(IF(AND(ISNUMBER(B1464),ISNUMBER(H1464)),B1464/H1464-1,""),"")</f>
        <v/>
      </c>
      <c r="J1464" s="8">
        <f>IFERROR(IF(ISNUMBER(C1464),MAX(C1464,IFERROR(J1463,C1464)),""),"")</f>
        <v/>
      </c>
      <c r="K1464" s="29">
        <f>IFERROR(IF(AND(ISNUMBER(C1464),ISNUMBER(J1464)),C1464/J1464-1,""),"")</f>
        <v/>
      </c>
      <c r="L1464" s="28">
        <f>IFERROR(IF(AND(ISNUMBER(D1464),ISNUMBER(E1464)),D1464-E1464,""),"")</f>
        <v/>
      </c>
    </row>
    <row r="1465">
      <c r="A1465" s="7">
        <f>IFERROR(Datos!A1465,"")</f>
        <v/>
      </c>
      <c r="B1465" s="8">
        <f>IFERROR(Datos!B1465,"")</f>
        <v/>
      </c>
      <c r="C1465" s="8">
        <f>IFERROR(Datos!C1465,"")</f>
        <v/>
      </c>
      <c r="D1465" s="28">
        <f>IFERROR(IF(AND(ISNUMBER(B1465),ISNUMBER(B1464),B1464&lt;&gt;0),B1465/B1464-1,""),"")</f>
        <v/>
      </c>
      <c r="E1465" s="28">
        <f>IFERROR(IF(AND(ISNUMBER(C1465),ISNUMBER(C1464),C1464&lt;&gt;0),C1465/C1464-1,""),"")</f>
        <v/>
      </c>
      <c r="F1465" s="28">
        <f>IFERROR(D1465-Dashboard!$B$4/252,"")</f>
        <v/>
      </c>
      <c r="G1465" s="28">
        <f>IFERROR(E1465-Dashboard!$B$4/252,"")</f>
        <v/>
      </c>
      <c r="H1465" s="8">
        <f>IFERROR(IF(ISNUMBER(B1465),MAX(B1465,IFERROR(H1464,B1465)),""),"")</f>
        <v/>
      </c>
      <c r="I1465" s="29">
        <f>IFERROR(IF(AND(ISNUMBER(B1465),ISNUMBER(H1465)),B1465/H1465-1,""),"")</f>
        <v/>
      </c>
      <c r="J1465" s="8">
        <f>IFERROR(IF(ISNUMBER(C1465),MAX(C1465,IFERROR(J1464,C1465)),""),"")</f>
        <v/>
      </c>
      <c r="K1465" s="29">
        <f>IFERROR(IF(AND(ISNUMBER(C1465),ISNUMBER(J1465)),C1465/J1465-1,""),"")</f>
        <v/>
      </c>
      <c r="L1465" s="28">
        <f>IFERROR(IF(AND(ISNUMBER(D1465),ISNUMBER(E1465)),D1465-E1465,""),"")</f>
        <v/>
      </c>
    </row>
    <row r="1466">
      <c r="A1466" s="7">
        <f>IFERROR(Datos!A1466,"")</f>
        <v/>
      </c>
      <c r="B1466" s="8">
        <f>IFERROR(Datos!B1466,"")</f>
        <v/>
      </c>
      <c r="C1466" s="8">
        <f>IFERROR(Datos!C1466,"")</f>
        <v/>
      </c>
      <c r="D1466" s="28">
        <f>IFERROR(IF(AND(ISNUMBER(B1466),ISNUMBER(B1465),B1465&lt;&gt;0),B1466/B1465-1,""),"")</f>
        <v/>
      </c>
      <c r="E1466" s="28">
        <f>IFERROR(IF(AND(ISNUMBER(C1466),ISNUMBER(C1465),C1465&lt;&gt;0),C1466/C1465-1,""),"")</f>
        <v/>
      </c>
      <c r="F1466" s="28">
        <f>IFERROR(D1466-Dashboard!$B$4/252,"")</f>
        <v/>
      </c>
      <c r="G1466" s="28">
        <f>IFERROR(E1466-Dashboard!$B$4/252,"")</f>
        <v/>
      </c>
      <c r="H1466" s="8">
        <f>IFERROR(IF(ISNUMBER(B1466),MAX(B1466,IFERROR(H1465,B1466)),""),"")</f>
        <v/>
      </c>
      <c r="I1466" s="29">
        <f>IFERROR(IF(AND(ISNUMBER(B1466),ISNUMBER(H1466)),B1466/H1466-1,""),"")</f>
        <v/>
      </c>
      <c r="J1466" s="8">
        <f>IFERROR(IF(ISNUMBER(C1466),MAX(C1466,IFERROR(J1465,C1466)),""),"")</f>
        <v/>
      </c>
      <c r="K1466" s="29">
        <f>IFERROR(IF(AND(ISNUMBER(C1466),ISNUMBER(J1466)),C1466/J1466-1,""),"")</f>
        <v/>
      </c>
      <c r="L1466" s="28">
        <f>IFERROR(IF(AND(ISNUMBER(D1466),ISNUMBER(E1466)),D1466-E1466,""),"")</f>
        <v/>
      </c>
    </row>
    <row r="1467">
      <c r="A1467" s="7">
        <f>IFERROR(Datos!A1467,"")</f>
        <v/>
      </c>
      <c r="B1467" s="8">
        <f>IFERROR(Datos!B1467,"")</f>
        <v/>
      </c>
      <c r="C1467" s="8">
        <f>IFERROR(Datos!C1467,"")</f>
        <v/>
      </c>
      <c r="D1467" s="28">
        <f>IFERROR(IF(AND(ISNUMBER(B1467),ISNUMBER(B1466),B1466&lt;&gt;0),B1467/B1466-1,""),"")</f>
        <v/>
      </c>
      <c r="E1467" s="28">
        <f>IFERROR(IF(AND(ISNUMBER(C1467),ISNUMBER(C1466),C1466&lt;&gt;0),C1467/C1466-1,""),"")</f>
        <v/>
      </c>
      <c r="F1467" s="28">
        <f>IFERROR(D1467-Dashboard!$B$4/252,"")</f>
        <v/>
      </c>
      <c r="G1467" s="28">
        <f>IFERROR(E1467-Dashboard!$B$4/252,"")</f>
        <v/>
      </c>
      <c r="H1467" s="8">
        <f>IFERROR(IF(ISNUMBER(B1467),MAX(B1467,IFERROR(H1466,B1467)),""),"")</f>
        <v/>
      </c>
      <c r="I1467" s="29">
        <f>IFERROR(IF(AND(ISNUMBER(B1467),ISNUMBER(H1467)),B1467/H1467-1,""),"")</f>
        <v/>
      </c>
      <c r="J1467" s="8">
        <f>IFERROR(IF(ISNUMBER(C1467),MAX(C1467,IFERROR(J1466,C1467)),""),"")</f>
        <v/>
      </c>
      <c r="K1467" s="29">
        <f>IFERROR(IF(AND(ISNUMBER(C1467),ISNUMBER(J1467)),C1467/J1467-1,""),"")</f>
        <v/>
      </c>
      <c r="L1467" s="28">
        <f>IFERROR(IF(AND(ISNUMBER(D1467),ISNUMBER(E1467)),D1467-E1467,""),"")</f>
        <v/>
      </c>
    </row>
    <row r="1468">
      <c r="A1468" s="7">
        <f>IFERROR(Datos!A1468,"")</f>
        <v/>
      </c>
      <c r="B1468" s="8">
        <f>IFERROR(Datos!B1468,"")</f>
        <v/>
      </c>
      <c r="C1468" s="8">
        <f>IFERROR(Datos!C1468,"")</f>
        <v/>
      </c>
      <c r="D1468" s="28">
        <f>IFERROR(IF(AND(ISNUMBER(B1468),ISNUMBER(B1467),B1467&lt;&gt;0),B1468/B1467-1,""),"")</f>
        <v/>
      </c>
      <c r="E1468" s="28">
        <f>IFERROR(IF(AND(ISNUMBER(C1468),ISNUMBER(C1467),C1467&lt;&gt;0),C1468/C1467-1,""),"")</f>
        <v/>
      </c>
      <c r="F1468" s="28">
        <f>IFERROR(D1468-Dashboard!$B$4/252,"")</f>
        <v/>
      </c>
      <c r="G1468" s="28">
        <f>IFERROR(E1468-Dashboard!$B$4/252,"")</f>
        <v/>
      </c>
      <c r="H1468" s="8">
        <f>IFERROR(IF(ISNUMBER(B1468),MAX(B1468,IFERROR(H1467,B1468)),""),"")</f>
        <v/>
      </c>
      <c r="I1468" s="29">
        <f>IFERROR(IF(AND(ISNUMBER(B1468),ISNUMBER(H1468)),B1468/H1468-1,""),"")</f>
        <v/>
      </c>
      <c r="J1468" s="8">
        <f>IFERROR(IF(ISNUMBER(C1468),MAX(C1468,IFERROR(J1467,C1468)),""),"")</f>
        <v/>
      </c>
      <c r="K1468" s="29">
        <f>IFERROR(IF(AND(ISNUMBER(C1468),ISNUMBER(J1468)),C1468/J1468-1,""),"")</f>
        <v/>
      </c>
      <c r="L1468" s="28">
        <f>IFERROR(IF(AND(ISNUMBER(D1468),ISNUMBER(E1468)),D1468-E1468,""),"")</f>
        <v/>
      </c>
    </row>
    <row r="1469">
      <c r="A1469" s="7">
        <f>IFERROR(Datos!A1469,"")</f>
        <v/>
      </c>
      <c r="B1469" s="8">
        <f>IFERROR(Datos!B1469,"")</f>
        <v/>
      </c>
      <c r="C1469" s="8">
        <f>IFERROR(Datos!C1469,"")</f>
        <v/>
      </c>
      <c r="D1469" s="28">
        <f>IFERROR(IF(AND(ISNUMBER(B1469),ISNUMBER(B1468),B1468&lt;&gt;0),B1469/B1468-1,""),"")</f>
        <v/>
      </c>
      <c r="E1469" s="28">
        <f>IFERROR(IF(AND(ISNUMBER(C1469),ISNUMBER(C1468),C1468&lt;&gt;0),C1469/C1468-1,""),"")</f>
        <v/>
      </c>
      <c r="F1469" s="28">
        <f>IFERROR(D1469-Dashboard!$B$4/252,"")</f>
        <v/>
      </c>
      <c r="G1469" s="28">
        <f>IFERROR(E1469-Dashboard!$B$4/252,"")</f>
        <v/>
      </c>
      <c r="H1469" s="8">
        <f>IFERROR(IF(ISNUMBER(B1469),MAX(B1469,IFERROR(H1468,B1469)),""),"")</f>
        <v/>
      </c>
      <c r="I1469" s="29">
        <f>IFERROR(IF(AND(ISNUMBER(B1469),ISNUMBER(H1469)),B1469/H1469-1,""),"")</f>
        <v/>
      </c>
      <c r="J1469" s="8">
        <f>IFERROR(IF(ISNUMBER(C1469),MAX(C1469,IFERROR(J1468,C1469)),""),"")</f>
        <v/>
      </c>
      <c r="K1469" s="29">
        <f>IFERROR(IF(AND(ISNUMBER(C1469),ISNUMBER(J1469)),C1469/J1469-1,""),"")</f>
        <v/>
      </c>
      <c r="L1469" s="28">
        <f>IFERROR(IF(AND(ISNUMBER(D1469),ISNUMBER(E1469)),D1469-E1469,""),"")</f>
        <v/>
      </c>
    </row>
    <row r="1470">
      <c r="A1470" s="7">
        <f>IFERROR(Datos!A1470,"")</f>
        <v/>
      </c>
      <c r="B1470" s="8">
        <f>IFERROR(Datos!B1470,"")</f>
        <v/>
      </c>
      <c r="C1470" s="8">
        <f>IFERROR(Datos!C1470,"")</f>
        <v/>
      </c>
      <c r="D1470" s="28">
        <f>IFERROR(IF(AND(ISNUMBER(B1470),ISNUMBER(B1469),B1469&lt;&gt;0),B1470/B1469-1,""),"")</f>
        <v/>
      </c>
      <c r="E1470" s="28">
        <f>IFERROR(IF(AND(ISNUMBER(C1470),ISNUMBER(C1469),C1469&lt;&gt;0),C1470/C1469-1,""),"")</f>
        <v/>
      </c>
      <c r="F1470" s="28">
        <f>IFERROR(D1470-Dashboard!$B$4/252,"")</f>
        <v/>
      </c>
      <c r="G1470" s="28">
        <f>IFERROR(E1470-Dashboard!$B$4/252,"")</f>
        <v/>
      </c>
      <c r="H1470" s="8">
        <f>IFERROR(IF(ISNUMBER(B1470),MAX(B1470,IFERROR(H1469,B1470)),""),"")</f>
        <v/>
      </c>
      <c r="I1470" s="29">
        <f>IFERROR(IF(AND(ISNUMBER(B1470),ISNUMBER(H1470)),B1470/H1470-1,""),"")</f>
        <v/>
      </c>
      <c r="J1470" s="8">
        <f>IFERROR(IF(ISNUMBER(C1470),MAX(C1470,IFERROR(J1469,C1470)),""),"")</f>
        <v/>
      </c>
      <c r="K1470" s="29">
        <f>IFERROR(IF(AND(ISNUMBER(C1470),ISNUMBER(J1470)),C1470/J1470-1,""),"")</f>
        <v/>
      </c>
      <c r="L1470" s="28">
        <f>IFERROR(IF(AND(ISNUMBER(D1470),ISNUMBER(E1470)),D1470-E1470,""),"")</f>
        <v/>
      </c>
    </row>
    <row r="1471">
      <c r="A1471" s="7">
        <f>IFERROR(Datos!A1471,"")</f>
        <v/>
      </c>
      <c r="B1471" s="8">
        <f>IFERROR(Datos!B1471,"")</f>
        <v/>
      </c>
      <c r="C1471" s="8">
        <f>IFERROR(Datos!C1471,"")</f>
        <v/>
      </c>
      <c r="D1471" s="28">
        <f>IFERROR(IF(AND(ISNUMBER(B1471),ISNUMBER(B1470),B1470&lt;&gt;0),B1471/B1470-1,""),"")</f>
        <v/>
      </c>
      <c r="E1471" s="28">
        <f>IFERROR(IF(AND(ISNUMBER(C1471),ISNUMBER(C1470),C1470&lt;&gt;0),C1471/C1470-1,""),"")</f>
        <v/>
      </c>
      <c r="F1471" s="28">
        <f>IFERROR(D1471-Dashboard!$B$4/252,"")</f>
        <v/>
      </c>
      <c r="G1471" s="28">
        <f>IFERROR(E1471-Dashboard!$B$4/252,"")</f>
        <v/>
      </c>
      <c r="H1471" s="8">
        <f>IFERROR(IF(ISNUMBER(B1471),MAX(B1471,IFERROR(H1470,B1471)),""),"")</f>
        <v/>
      </c>
      <c r="I1471" s="29">
        <f>IFERROR(IF(AND(ISNUMBER(B1471),ISNUMBER(H1471)),B1471/H1471-1,""),"")</f>
        <v/>
      </c>
      <c r="J1471" s="8">
        <f>IFERROR(IF(ISNUMBER(C1471),MAX(C1471,IFERROR(J1470,C1471)),""),"")</f>
        <v/>
      </c>
      <c r="K1471" s="29">
        <f>IFERROR(IF(AND(ISNUMBER(C1471),ISNUMBER(J1471)),C1471/J1471-1,""),"")</f>
        <v/>
      </c>
      <c r="L1471" s="28">
        <f>IFERROR(IF(AND(ISNUMBER(D1471),ISNUMBER(E1471)),D1471-E1471,""),"")</f>
        <v/>
      </c>
    </row>
    <row r="1472">
      <c r="A1472" s="7">
        <f>IFERROR(Datos!A1472,"")</f>
        <v/>
      </c>
      <c r="B1472" s="8">
        <f>IFERROR(Datos!B1472,"")</f>
        <v/>
      </c>
      <c r="C1472" s="8">
        <f>IFERROR(Datos!C1472,"")</f>
        <v/>
      </c>
      <c r="D1472" s="28">
        <f>IFERROR(IF(AND(ISNUMBER(B1472),ISNUMBER(B1471),B1471&lt;&gt;0),B1472/B1471-1,""),"")</f>
        <v/>
      </c>
      <c r="E1472" s="28">
        <f>IFERROR(IF(AND(ISNUMBER(C1472),ISNUMBER(C1471),C1471&lt;&gt;0),C1472/C1471-1,""),"")</f>
        <v/>
      </c>
      <c r="F1472" s="28">
        <f>IFERROR(D1472-Dashboard!$B$4/252,"")</f>
        <v/>
      </c>
      <c r="G1472" s="28">
        <f>IFERROR(E1472-Dashboard!$B$4/252,"")</f>
        <v/>
      </c>
      <c r="H1472" s="8">
        <f>IFERROR(IF(ISNUMBER(B1472),MAX(B1472,IFERROR(H1471,B1472)),""),"")</f>
        <v/>
      </c>
      <c r="I1472" s="29">
        <f>IFERROR(IF(AND(ISNUMBER(B1472),ISNUMBER(H1472)),B1472/H1472-1,""),"")</f>
        <v/>
      </c>
      <c r="J1472" s="8">
        <f>IFERROR(IF(ISNUMBER(C1472),MAX(C1472,IFERROR(J1471,C1472)),""),"")</f>
        <v/>
      </c>
      <c r="K1472" s="29">
        <f>IFERROR(IF(AND(ISNUMBER(C1472),ISNUMBER(J1472)),C1472/J1472-1,""),"")</f>
        <v/>
      </c>
      <c r="L1472" s="28">
        <f>IFERROR(IF(AND(ISNUMBER(D1472),ISNUMBER(E1472)),D1472-E1472,""),"")</f>
        <v/>
      </c>
    </row>
    <row r="1473">
      <c r="A1473" s="7">
        <f>IFERROR(Datos!A1473,"")</f>
        <v/>
      </c>
      <c r="B1473" s="8">
        <f>IFERROR(Datos!B1473,"")</f>
        <v/>
      </c>
      <c r="C1473" s="8">
        <f>IFERROR(Datos!C1473,"")</f>
        <v/>
      </c>
      <c r="D1473" s="28">
        <f>IFERROR(IF(AND(ISNUMBER(B1473),ISNUMBER(B1472),B1472&lt;&gt;0),B1473/B1472-1,""),"")</f>
        <v/>
      </c>
      <c r="E1473" s="28">
        <f>IFERROR(IF(AND(ISNUMBER(C1473),ISNUMBER(C1472),C1472&lt;&gt;0),C1473/C1472-1,""),"")</f>
        <v/>
      </c>
      <c r="F1473" s="28">
        <f>IFERROR(D1473-Dashboard!$B$4/252,"")</f>
        <v/>
      </c>
      <c r="G1473" s="28">
        <f>IFERROR(E1473-Dashboard!$B$4/252,"")</f>
        <v/>
      </c>
      <c r="H1473" s="8">
        <f>IFERROR(IF(ISNUMBER(B1473),MAX(B1473,IFERROR(H1472,B1473)),""),"")</f>
        <v/>
      </c>
      <c r="I1473" s="29">
        <f>IFERROR(IF(AND(ISNUMBER(B1473),ISNUMBER(H1473)),B1473/H1473-1,""),"")</f>
        <v/>
      </c>
      <c r="J1473" s="8">
        <f>IFERROR(IF(ISNUMBER(C1473),MAX(C1473,IFERROR(J1472,C1473)),""),"")</f>
        <v/>
      </c>
      <c r="K1473" s="29">
        <f>IFERROR(IF(AND(ISNUMBER(C1473),ISNUMBER(J1473)),C1473/J1473-1,""),"")</f>
        <v/>
      </c>
      <c r="L1473" s="28">
        <f>IFERROR(IF(AND(ISNUMBER(D1473),ISNUMBER(E1473)),D1473-E1473,""),"")</f>
        <v/>
      </c>
    </row>
    <row r="1474">
      <c r="A1474" s="7">
        <f>IFERROR(Datos!A1474,"")</f>
        <v/>
      </c>
      <c r="B1474" s="8">
        <f>IFERROR(Datos!B1474,"")</f>
        <v/>
      </c>
      <c r="C1474" s="8">
        <f>IFERROR(Datos!C1474,"")</f>
        <v/>
      </c>
      <c r="D1474" s="28">
        <f>IFERROR(IF(AND(ISNUMBER(B1474),ISNUMBER(B1473),B1473&lt;&gt;0),B1474/B1473-1,""),"")</f>
        <v/>
      </c>
      <c r="E1474" s="28">
        <f>IFERROR(IF(AND(ISNUMBER(C1474),ISNUMBER(C1473),C1473&lt;&gt;0),C1474/C1473-1,""),"")</f>
        <v/>
      </c>
      <c r="F1474" s="28">
        <f>IFERROR(D1474-Dashboard!$B$4/252,"")</f>
        <v/>
      </c>
      <c r="G1474" s="28">
        <f>IFERROR(E1474-Dashboard!$B$4/252,"")</f>
        <v/>
      </c>
      <c r="H1474" s="8">
        <f>IFERROR(IF(ISNUMBER(B1474),MAX(B1474,IFERROR(H1473,B1474)),""),"")</f>
        <v/>
      </c>
      <c r="I1474" s="29">
        <f>IFERROR(IF(AND(ISNUMBER(B1474),ISNUMBER(H1474)),B1474/H1474-1,""),"")</f>
        <v/>
      </c>
      <c r="J1474" s="8">
        <f>IFERROR(IF(ISNUMBER(C1474),MAX(C1474,IFERROR(J1473,C1474)),""),"")</f>
        <v/>
      </c>
      <c r="K1474" s="29">
        <f>IFERROR(IF(AND(ISNUMBER(C1474),ISNUMBER(J1474)),C1474/J1474-1,""),"")</f>
        <v/>
      </c>
      <c r="L1474" s="28">
        <f>IFERROR(IF(AND(ISNUMBER(D1474),ISNUMBER(E1474)),D1474-E1474,""),"")</f>
        <v/>
      </c>
    </row>
    <row r="1475">
      <c r="A1475" s="7">
        <f>IFERROR(Datos!A1475,"")</f>
        <v/>
      </c>
      <c r="B1475" s="8">
        <f>IFERROR(Datos!B1475,"")</f>
        <v/>
      </c>
      <c r="C1475" s="8">
        <f>IFERROR(Datos!C1475,"")</f>
        <v/>
      </c>
      <c r="D1475" s="28">
        <f>IFERROR(IF(AND(ISNUMBER(B1475),ISNUMBER(B1474),B1474&lt;&gt;0),B1475/B1474-1,""),"")</f>
        <v/>
      </c>
      <c r="E1475" s="28">
        <f>IFERROR(IF(AND(ISNUMBER(C1475),ISNUMBER(C1474),C1474&lt;&gt;0),C1475/C1474-1,""),"")</f>
        <v/>
      </c>
      <c r="F1475" s="28">
        <f>IFERROR(D1475-Dashboard!$B$4/252,"")</f>
        <v/>
      </c>
      <c r="G1475" s="28">
        <f>IFERROR(E1475-Dashboard!$B$4/252,"")</f>
        <v/>
      </c>
      <c r="H1475" s="8">
        <f>IFERROR(IF(ISNUMBER(B1475),MAX(B1475,IFERROR(H1474,B1475)),""),"")</f>
        <v/>
      </c>
      <c r="I1475" s="29">
        <f>IFERROR(IF(AND(ISNUMBER(B1475),ISNUMBER(H1475)),B1475/H1475-1,""),"")</f>
        <v/>
      </c>
      <c r="J1475" s="8">
        <f>IFERROR(IF(ISNUMBER(C1475),MAX(C1475,IFERROR(J1474,C1475)),""),"")</f>
        <v/>
      </c>
      <c r="K1475" s="29">
        <f>IFERROR(IF(AND(ISNUMBER(C1475),ISNUMBER(J1475)),C1475/J1475-1,""),"")</f>
        <v/>
      </c>
      <c r="L1475" s="28">
        <f>IFERROR(IF(AND(ISNUMBER(D1475),ISNUMBER(E1475)),D1475-E1475,""),"")</f>
        <v/>
      </c>
    </row>
    <row r="1476">
      <c r="A1476" s="7">
        <f>IFERROR(Datos!A1476,"")</f>
        <v/>
      </c>
      <c r="B1476" s="8">
        <f>IFERROR(Datos!B1476,"")</f>
        <v/>
      </c>
      <c r="C1476" s="8">
        <f>IFERROR(Datos!C1476,"")</f>
        <v/>
      </c>
      <c r="D1476" s="28">
        <f>IFERROR(IF(AND(ISNUMBER(B1476),ISNUMBER(B1475),B1475&lt;&gt;0),B1476/B1475-1,""),"")</f>
        <v/>
      </c>
      <c r="E1476" s="28">
        <f>IFERROR(IF(AND(ISNUMBER(C1476),ISNUMBER(C1475),C1475&lt;&gt;0),C1476/C1475-1,""),"")</f>
        <v/>
      </c>
      <c r="F1476" s="28">
        <f>IFERROR(D1476-Dashboard!$B$4/252,"")</f>
        <v/>
      </c>
      <c r="G1476" s="28">
        <f>IFERROR(E1476-Dashboard!$B$4/252,"")</f>
        <v/>
      </c>
      <c r="H1476" s="8">
        <f>IFERROR(IF(ISNUMBER(B1476),MAX(B1476,IFERROR(H1475,B1476)),""),"")</f>
        <v/>
      </c>
      <c r="I1476" s="29">
        <f>IFERROR(IF(AND(ISNUMBER(B1476),ISNUMBER(H1476)),B1476/H1476-1,""),"")</f>
        <v/>
      </c>
      <c r="J1476" s="8">
        <f>IFERROR(IF(ISNUMBER(C1476),MAX(C1476,IFERROR(J1475,C1476)),""),"")</f>
        <v/>
      </c>
      <c r="K1476" s="29">
        <f>IFERROR(IF(AND(ISNUMBER(C1476),ISNUMBER(J1476)),C1476/J1476-1,""),"")</f>
        <v/>
      </c>
      <c r="L1476" s="28">
        <f>IFERROR(IF(AND(ISNUMBER(D1476),ISNUMBER(E1476)),D1476-E1476,""),"")</f>
        <v/>
      </c>
    </row>
    <row r="1477">
      <c r="A1477" s="7">
        <f>IFERROR(Datos!A1477,"")</f>
        <v/>
      </c>
      <c r="B1477" s="8">
        <f>IFERROR(Datos!B1477,"")</f>
        <v/>
      </c>
      <c r="C1477" s="8">
        <f>IFERROR(Datos!C1477,"")</f>
        <v/>
      </c>
      <c r="D1477" s="28">
        <f>IFERROR(IF(AND(ISNUMBER(B1477),ISNUMBER(B1476),B1476&lt;&gt;0),B1477/B1476-1,""),"")</f>
        <v/>
      </c>
      <c r="E1477" s="28">
        <f>IFERROR(IF(AND(ISNUMBER(C1477),ISNUMBER(C1476),C1476&lt;&gt;0),C1477/C1476-1,""),"")</f>
        <v/>
      </c>
      <c r="F1477" s="28">
        <f>IFERROR(D1477-Dashboard!$B$4/252,"")</f>
        <v/>
      </c>
      <c r="G1477" s="28">
        <f>IFERROR(E1477-Dashboard!$B$4/252,"")</f>
        <v/>
      </c>
      <c r="H1477" s="8">
        <f>IFERROR(IF(ISNUMBER(B1477),MAX(B1477,IFERROR(H1476,B1477)),""),"")</f>
        <v/>
      </c>
      <c r="I1477" s="29">
        <f>IFERROR(IF(AND(ISNUMBER(B1477),ISNUMBER(H1477)),B1477/H1477-1,""),"")</f>
        <v/>
      </c>
      <c r="J1477" s="8">
        <f>IFERROR(IF(ISNUMBER(C1477),MAX(C1477,IFERROR(J1476,C1477)),""),"")</f>
        <v/>
      </c>
      <c r="K1477" s="29">
        <f>IFERROR(IF(AND(ISNUMBER(C1477),ISNUMBER(J1477)),C1477/J1477-1,""),"")</f>
        <v/>
      </c>
      <c r="L1477" s="28">
        <f>IFERROR(IF(AND(ISNUMBER(D1477),ISNUMBER(E1477)),D1477-E1477,""),"")</f>
        <v/>
      </c>
    </row>
    <row r="1478">
      <c r="A1478" s="7">
        <f>IFERROR(Datos!A1478,"")</f>
        <v/>
      </c>
      <c r="B1478" s="8">
        <f>IFERROR(Datos!B1478,"")</f>
        <v/>
      </c>
      <c r="C1478" s="8">
        <f>IFERROR(Datos!C1478,"")</f>
        <v/>
      </c>
      <c r="D1478" s="28">
        <f>IFERROR(IF(AND(ISNUMBER(B1478),ISNUMBER(B1477),B1477&lt;&gt;0),B1478/B1477-1,""),"")</f>
        <v/>
      </c>
      <c r="E1478" s="28">
        <f>IFERROR(IF(AND(ISNUMBER(C1478),ISNUMBER(C1477),C1477&lt;&gt;0),C1478/C1477-1,""),"")</f>
        <v/>
      </c>
      <c r="F1478" s="28">
        <f>IFERROR(D1478-Dashboard!$B$4/252,"")</f>
        <v/>
      </c>
      <c r="G1478" s="28">
        <f>IFERROR(E1478-Dashboard!$B$4/252,"")</f>
        <v/>
      </c>
      <c r="H1478" s="8">
        <f>IFERROR(IF(ISNUMBER(B1478),MAX(B1478,IFERROR(H1477,B1478)),""),"")</f>
        <v/>
      </c>
      <c r="I1478" s="29">
        <f>IFERROR(IF(AND(ISNUMBER(B1478),ISNUMBER(H1478)),B1478/H1478-1,""),"")</f>
        <v/>
      </c>
      <c r="J1478" s="8">
        <f>IFERROR(IF(ISNUMBER(C1478),MAX(C1478,IFERROR(J1477,C1478)),""),"")</f>
        <v/>
      </c>
      <c r="K1478" s="29">
        <f>IFERROR(IF(AND(ISNUMBER(C1478),ISNUMBER(J1478)),C1478/J1478-1,""),"")</f>
        <v/>
      </c>
      <c r="L1478" s="28">
        <f>IFERROR(IF(AND(ISNUMBER(D1478),ISNUMBER(E1478)),D1478-E1478,""),"")</f>
        <v/>
      </c>
    </row>
    <row r="1479">
      <c r="A1479" s="7">
        <f>IFERROR(Datos!A1479,"")</f>
        <v/>
      </c>
      <c r="B1479" s="8">
        <f>IFERROR(Datos!B1479,"")</f>
        <v/>
      </c>
      <c r="C1479" s="8">
        <f>IFERROR(Datos!C1479,"")</f>
        <v/>
      </c>
      <c r="D1479" s="28">
        <f>IFERROR(IF(AND(ISNUMBER(B1479),ISNUMBER(B1478),B1478&lt;&gt;0),B1479/B1478-1,""),"")</f>
        <v/>
      </c>
      <c r="E1479" s="28">
        <f>IFERROR(IF(AND(ISNUMBER(C1479),ISNUMBER(C1478),C1478&lt;&gt;0),C1479/C1478-1,""),"")</f>
        <v/>
      </c>
      <c r="F1479" s="28">
        <f>IFERROR(D1479-Dashboard!$B$4/252,"")</f>
        <v/>
      </c>
      <c r="G1479" s="28">
        <f>IFERROR(E1479-Dashboard!$B$4/252,"")</f>
        <v/>
      </c>
      <c r="H1479" s="8">
        <f>IFERROR(IF(ISNUMBER(B1479),MAX(B1479,IFERROR(H1478,B1479)),""),"")</f>
        <v/>
      </c>
      <c r="I1479" s="29">
        <f>IFERROR(IF(AND(ISNUMBER(B1479),ISNUMBER(H1479)),B1479/H1479-1,""),"")</f>
        <v/>
      </c>
      <c r="J1479" s="8">
        <f>IFERROR(IF(ISNUMBER(C1479),MAX(C1479,IFERROR(J1478,C1479)),""),"")</f>
        <v/>
      </c>
      <c r="K1479" s="29">
        <f>IFERROR(IF(AND(ISNUMBER(C1479),ISNUMBER(J1479)),C1479/J1479-1,""),"")</f>
        <v/>
      </c>
      <c r="L1479" s="28">
        <f>IFERROR(IF(AND(ISNUMBER(D1479),ISNUMBER(E1479)),D1479-E1479,""),"")</f>
        <v/>
      </c>
    </row>
    <row r="1480">
      <c r="A1480" s="7">
        <f>IFERROR(Datos!A1480,"")</f>
        <v/>
      </c>
      <c r="B1480" s="8">
        <f>IFERROR(Datos!B1480,"")</f>
        <v/>
      </c>
      <c r="C1480" s="8">
        <f>IFERROR(Datos!C1480,"")</f>
        <v/>
      </c>
      <c r="D1480" s="28">
        <f>IFERROR(IF(AND(ISNUMBER(B1480),ISNUMBER(B1479),B1479&lt;&gt;0),B1480/B1479-1,""),"")</f>
        <v/>
      </c>
      <c r="E1480" s="28">
        <f>IFERROR(IF(AND(ISNUMBER(C1480),ISNUMBER(C1479),C1479&lt;&gt;0),C1480/C1479-1,""),"")</f>
        <v/>
      </c>
      <c r="F1480" s="28">
        <f>IFERROR(D1480-Dashboard!$B$4/252,"")</f>
        <v/>
      </c>
      <c r="G1480" s="28">
        <f>IFERROR(E1480-Dashboard!$B$4/252,"")</f>
        <v/>
      </c>
      <c r="H1480" s="8">
        <f>IFERROR(IF(ISNUMBER(B1480),MAX(B1480,IFERROR(H1479,B1480)),""),"")</f>
        <v/>
      </c>
      <c r="I1480" s="29">
        <f>IFERROR(IF(AND(ISNUMBER(B1480),ISNUMBER(H1480)),B1480/H1480-1,""),"")</f>
        <v/>
      </c>
      <c r="J1480" s="8">
        <f>IFERROR(IF(ISNUMBER(C1480),MAX(C1480,IFERROR(J1479,C1480)),""),"")</f>
        <v/>
      </c>
      <c r="K1480" s="29">
        <f>IFERROR(IF(AND(ISNUMBER(C1480),ISNUMBER(J1480)),C1480/J1480-1,""),"")</f>
        <v/>
      </c>
      <c r="L1480" s="28">
        <f>IFERROR(IF(AND(ISNUMBER(D1480),ISNUMBER(E1480)),D1480-E1480,""),"")</f>
        <v/>
      </c>
    </row>
    <row r="1481">
      <c r="A1481" s="7">
        <f>IFERROR(Datos!A1481,"")</f>
        <v/>
      </c>
      <c r="B1481" s="8">
        <f>IFERROR(Datos!B1481,"")</f>
        <v/>
      </c>
      <c r="C1481" s="8">
        <f>IFERROR(Datos!C1481,"")</f>
        <v/>
      </c>
      <c r="D1481" s="28">
        <f>IFERROR(IF(AND(ISNUMBER(B1481),ISNUMBER(B1480),B1480&lt;&gt;0),B1481/B1480-1,""),"")</f>
        <v/>
      </c>
      <c r="E1481" s="28">
        <f>IFERROR(IF(AND(ISNUMBER(C1481),ISNUMBER(C1480),C1480&lt;&gt;0),C1481/C1480-1,""),"")</f>
        <v/>
      </c>
      <c r="F1481" s="28">
        <f>IFERROR(D1481-Dashboard!$B$4/252,"")</f>
        <v/>
      </c>
      <c r="G1481" s="28">
        <f>IFERROR(E1481-Dashboard!$B$4/252,"")</f>
        <v/>
      </c>
      <c r="H1481" s="8">
        <f>IFERROR(IF(ISNUMBER(B1481),MAX(B1481,IFERROR(H1480,B1481)),""),"")</f>
        <v/>
      </c>
      <c r="I1481" s="29">
        <f>IFERROR(IF(AND(ISNUMBER(B1481),ISNUMBER(H1481)),B1481/H1481-1,""),"")</f>
        <v/>
      </c>
      <c r="J1481" s="8">
        <f>IFERROR(IF(ISNUMBER(C1481),MAX(C1481,IFERROR(J1480,C1481)),""),"")</f>
        <v/>
      </c>
      <c r="K1481" s="29">
        <f>IFERROR(IF(AND(ISNUMBER(C1481),ISNUMBER(J1481)),C1481/J1481-1,""),"")</f>
        <v/>
      </c>
      <c r="L1481" s="28">
        <f>IFERROR(IF(AND(ISNUMBER(D1481),ISNUMBER(E1481)),D1481-E1481,""),"")</f>
        <v/>
      </c>
    </row>
    <row r="1482">
      <c r="A1482" s="7">
        <f>IFERROR(Datos!A1482,"")</f>
        <v/>
      </c>
      <c r="B1482" s="8">
        <f>IFERROR(Datos!B1482,"")</f>
        <v/>
      </c>
      <c r="C1482" s="8">
        <f>IFERROR(Datos!C1482,"")</f>
        <v/>
      </c>
      <c r="D1482" s="28">
        <f>IFERROR(IF(AND(ISNUMBER(B1482),ISNUMBER(B1481),B1481&lt;&gt;0),B1482/B1481-1,""),"")</f>
        <v/>
      </c>
      <c r="E1482" s="28">
        <f>IFERROR(IF(AND(ISNUMBER(C1482),ISNUMBER(C1481),C1481&lt;&gt;0),C1482/C1481-1,""),"")</f>
        <v/>
      </c>
      <c r="F1482" s="28">
        <f>IFERROR(D1482-Dashboard!$B$4/252,"")</f>
        <v/>
      </c>
      <c r="G1482" s="28">
        <f>IFERROR(E1482-Dashboard!$B$4/252,"")</f>
        <v/>
      </c>
      <c r="H1482" s="8">
        <f>IFERROR(IF(ISNUMBER(B1482),MAX(B1482,IFERROR(H1481,B1482)),""),"")</f>
        <v/>
      </c>
      <c r="I1482" s="29">
        <f>IFERROR(IF(AND(ISNUMBER(B1482),ISNUMBER(H1482)),B1482/H1482-1,""),"")</f>
        <v/>
      </c>
      <c r="J1482" s="8">
        <f>IFERROR(IF(ISNUMBER(C1482),MAX(C1482,IFERROR(J1481,C1482)),""),"")</f>
        <v/>
      </c>
      <c r="K1482" s="29">
        <f>IFERROR(IF(AND(ISNUMBER(C1482),ISNUMBER(J1482)),C1482/J1482-1,""),"")</f>
        <v/>
      </c>
      <c r="L1482" s="28">
        <f>IFERROR(IF(AND(ISNUMBER(D1482),ISNUMBER(E1482)),D1482-E1482,""),"")</f>
        <v/>
      </c>
    </row>
    <row r="1483">
      <c r="A1483" s="7">
        <f>IFERROR(Datos!A1483,"")</f>
        <v/>
      </c>
      <c r="B1483" s="8">
        <f>IFERROR(Datos!B1483,"")</f>
        <v/>
      </c>
      <c r="C1483" s="8">
        <f>IFERROR(Datos!C1483,"")</f>
        <v/>
      </c>
      <c r="D1483" s="28">
        <f>IFERROR(IF(AND(ISNUMBER(B1483),ISNUMBER(B1482),B1482&lt;&gt;0),B1483/B1482-1,""),"")</f>
        <v/>
      </c>
      <c r="E1483" s="28">
        <f>IFERROR(IF(AND(ISNUMBER(C1483),ISNUMBER(C1482),C1482&lt;&gt;0),C1483/C1482-1,""),"")</f>
        <v/>
      </c>
      <c r="F1483" s="28">
        <f>IFERROR(D1483-Dashboard!$B$4/252,"")</f>
        <v/>
      </c>
      <c r="G1483" s="28">
        <f>IFERROR(E1483-Dashboard!$B$4/252,"")</f>
        <v/>
      </c>
      <c r="H1483" s="8">
        <f>IFERROR(IF(ISNUMBER(B1483),MAX(B1483,IFERROR(H1482,B1483)),""),"")</f>
        <v/>
      </c>
      <c r="I1483" s="29">
        <f>IFERROR(IF(AND(ISNUMBER(B1483),ISNUMBER(H1483)),B1483/H1483-1,""),"")</f>
        <v/>
      </c>
      <c r="J1483" s="8">
        <f>IFERROR(IF(ISNUMBER(C1483),MAX(C1483,IFERROR(J1482,C1483)),""),"")</f>
        <v/>
      </c>
      <c r="K1483" s="29">
        <f>IFERROR(IF(AND(ISNUMBER(C1483),ISNUMBER(J1483)),C1483/J1483-1,""),"")</f>
        <v/>
      </c>
      <c r="L1483" s="28">
        <f>IFERROR(IF(AND(ISNUMBER(D1483),ISNUMBER(E1483)),D1483-E1483,""),"")</f>
        <v/>
      </c>
    </row>
    <row r="1484">
      <c r="A1484" s="7">
        <f>IFERROR(Datos!A1484,"")</f>
        <v/>
      </c>
      <c r="B1484" s="8">
        <f>IFERROR(Datos!B1484,"")</f>
        <v/>
      </c>
      <c r="C1484" s="8">
        <f>IFERROR(Datos!C1484,"")</f>
        <v/>
      </c>
      <c r="D1484" s="28">
        <f>IFERROR(IF(AND(ISNUMBER(B1484),ISNUMBER(B1483),B1483&lt;&gt;0),B1484/B1483-1,""),"")</f>
        <v/>
      </c>
      <c r="E1484" s="28">
        <f>IFERROR(IF(AND(ISNUMBER(C1484),ISNUMBER(C1483),C1483&lt;&gt;0),C1484/C1483-1,""),"")</f>
        <v/>
      </c>
      <c r="F1484" s="28">
        <f>IFERROR(D1484-Dashboard!$B$4/252,"")</f>
        <v/>
      </c>
      <c r="G1484" s="28">
        <f>IFERROR(E1484-Dashboard!$B$4/252,"")</f>
        <v/>
      </c>
      <c r="H1484" s="8">
        <f>IFERROR(IF(ISNUMBER(B1484),MAX(B1484,IFERROR(H1483,B1484)),""),"")</f>
        <v/>
      </c>
      <c r="I1484" s="29">
        <f>IFERROR(IF(AND(ISNUMBER(B1484),ISNUMBER(H1484)),B1484/H1484-1,""),"")</f>
        <v/>
      </c>
      <c r="J1484" s="8">
        <f>IFERROR(IF(ISNUMBER(C1484),MAX(C1484,IFERROR(J1483,C1484)),""),"")</f>
        <v/>
      </c>
      <c r="K1484" s="29">
        <f>IFERROR(IF(AND(ISNUMBER(C1484),ISNUMBER(J1484)),C1484/J1484-1,""),"")</f>
        <v/>
      </c>
      <c r="L1484" s="28">
        <f>IFERROR(IF(AND(ISNUMBER(D1484),ISNUMBER(E1484)),D1484-E1484,""),"")</f>
        <v/>
      </c>
    </row>
    <row r="1485">
      <c r="A1485" s="7">
        <f>IFERROR(Datos!A1485,"")</f>
        <v/>
      </c>
      <c r="B1485" s="8">
        <f>IFERROR(Datos!B1485,"")</f>
        <v/>
      </c>
      <c r="C1485" s="8">
        <f>IFERROR(Datos!C1485,"")</f>
        <v/>
      </c>
      <c r="D1485" s="28">
        <f>IFERROR(IF(AND(ISNUMBER(B1485),ISNUMBER(B1484),B1484&lt;&gt;0),B1485/B1484-1,""),"")</f>
        <v/>
      </c>
      <c r="E1485" s="28">
        <f>IFERROR(IF(AND(ISNUMBER(C1485),ISNUMBER(C1484),C1484&lt;&gt;0),C1485/C1484-1,""),"")</f>
        <v/>
      </c>
      <c r="F1485" s="28">
        <f>IFERROR(D1485-Dashboard!$B$4/252,"")</f>
        <v/>
      </c>
      <c r="G1485" s="28">
        <f>IFERROR(E1485-Dashboard!$B$4/252,"")</f>
        <v/>
      </c>
      <c r="H1485" s="8">
        <f>IFERROR(IF(ISNUMBER(B1485),MAX(B1485,IFERROR(H1484,B1485)),""),"")</f>
        <v/>
      </c>
      <c r="I1485" s="29">
        <f>IFERROR(IF(AND(ISNUMBER(B1485),ISNUMBER(H1485)),B1485/H1485-1,""),"")</f>
        <v/>
      </c>
      <c r="J1485" s="8">
        <f>IFERROR(IF(ISNUMBER(C1485),MAX(C1485,IFERROR(J1484,C1485)),""),"")</f>
        <v/>
      </c>
      <c r="K1485" s="29">
        <f>IFERROR(IF(AND(ISNUMBER(C1485),ISNUMBER(J1485)),C1485/J1485-1,""),"")</f>
        <v/>
      </c>
      <c r="L1485" s="28">
        <f>IFERROR(IF(AND(ISNUMBER(D1485),ISNUMBER(E1485)),D1485-E1485,""),"")</f>
        <v/>
      </c>
    </row>
    <row r="1486">
      <c r="A1486" s="7">
        <f>IFERROR(Datos!A1486,"")</f>
        <v/>
      </c>
      <c r="B1486" s="8">
        <f>IFERROR(Datos!B1486,"")</f>
        <v/>
      </c>
      <c r="C1486" s="8">
        <f>IFERROR(Datos!C1486,"")</f>
        <v/>
      </c>
      <c r="D1486" s="28">
        <f>IFERROR(IF(AND(ISNUMBER(B1486),ISNUMBER(B1485),B1485&lt;&gt;0),B1486/B1485-1,""),"")</f>
        <v/>
      </c>
      <c r="E1486" s="28">
        <f>IFERROR(IF(AND(ISNUMBER(C1486),ISNUMBER(C1485),C1485&lt;&gt;0),C1486/C1485-1,""),"")</f>
        <v/>
      </c>
      <c r="F1486" s="28">
        <f>IFERROR(D1486-Dashboard!$B$4/252,"")</f>
        <v/>
      </c>
      <c r="G1486" s="28">
        <f>IFERROR(E1486-Dashboard!$B$4/252,"")</f>
        <v/>
      </c>
      <c r="H1486" s="8">
        <f>IFERROR(IF(ISNUMBER(B1486),MAX(B1486,IFERROR(H1485,B1486)),""),"")</f>
        <v/>
      </c>
      <c r="I1486" s="29">
        <f>IFERROR(IF(AND(ISNUMBER(B1486),ISNUMBER(H1486)),B1486/H1486-1,""),"")</f>
        <v/>
      </c>
      <c r="J1486" s="8">
        <f>IFERROR(IF(ISNUMBER(C1486),MAX(C1486,IFERROR(J1485,C1486)),""),"")</f>
        <v/>
      </c>
      <c r="K1486" s="29">
        <f>IFERROR(IF(AND(ISNUMBER(C1486),ISNUMBER(J1486)),C1486/J1486-1,""),"")</f>
        <v/>
      </c>
      <c r="L1486" s="28">
        <f>IFERROR(IF(AND(ISNUMBER(D1486),ISNUMBER(E1486)),D1486-E1486,""),"")</f>
        <v/>
      </c>
    </row>
    <row r="1487">
      <c r="A1487" s="7">
        <f>IFERROR(Datos!A1487,"")</f>
        <v/>
      </c>
      <c r="B1487" s="8">
        <f>IFERROR(Datos!B1487,"")</f>
        <v/>
      </c>
      <c r="C1487" s="8">
        <f>IFERROR(Datos!C1487,"")</f>
        <v/>
      </c>
      <c r="D1487" s="28">
        <f>IFERROR(IF(AND(ISNUMBER(B1487),ISNUMBER(B1486),B1486&lt;&gt;0),B1487/B1486-1,""),"")</f>
        <v/>
      </c>
      <c r="E1487" s="28">
        <f>IFERROR(IF(AND(ISNUMBER(C1487),ISNUMBER(C1486),C1486&lt;&gt;0),C1487/C1486-1,""),"")</f>
        <v/>
      </c>
      <c r="F1487" s="28">
        <f>IFERROR(D1487-Dashboard!$B$4/252,"")</f>
        <v/>
      </c>
      <c r="G1487" s="28">
        <f>IFERROR(E1487-Dashboard!$B$4/252,"")</f>
        <v/>
      </c>
      <c r="H1487" s="8">
        <f>IFERROR(IF(ISNUMBER(B1487),MAX(B1487,IFERROR(H1486,B1487)),""),"")</f>
        <v/>
      </c>
      <c r="I1487" s="29">
        <f>IFERROR(IF(AND(ISNUMBER(B1487),ISNUMBER(H1487)),B1487/H1487-1,""),"")</f>
        <v/>
      </c>
      <c r="J1487" s="8">
        <f>IFERROR(IF(ISNUMBER(C1487),MAX(C1487,IFERROR(J1486,C1487)),""),"")</f>
        <v/>
      </c>
      <c r="K1487" s="29">
        <f>IFERROR(IF(AND(ISNUMBER(C1487),ISNUMBER(J1487)),C1487/J1487-1,""),"")</f>
        <v/>
      </c>
      <c r="L1487" s="28">
        <f>IFERROR(IF(AND(ISNUMBER(D1487),ISNUMBER(E1487)),D1487-E1487,""),"")</f>
        <v/>
      </c>
    </row>
    <row r="1488">
      <c r="A1488" s="7">
        <f>IFERROR(Datos!A1488,"")</f>
        <v/>
      </c>
      <c r="B1488" s="8">
        <f>IFERROR(Datos!B1488,"")</f>
        <v/>
      </c>
      <c r="C1488" s="8">
        <f>IFERROR(Datos!C1488,"")</f>
        <v/>
      </c>
      <c r="D1488" s="28">
        <f>IFERROR(IF(AND(ISNUMBER(B1488),ISNUMBER(B1487),B1487&lt;&gt;0),B1488/B1487-1,""),"")</f>
        <v/>
      </c>
      <c r="E1488" s="28">
        <f>IFERROR(IF(AND(ISNUMBER(C1488),ISNUMBER(C1487),C1487&lt;&gt;0),C1488/C1487-1,""),"")</f>
        <v/>
      </c>
      <c r="F1488" s="28">
        <f>IFERROR(D1488-Dashboard!$B$4/252,"")</f>
        <v/>
      </c>
      <c r="G1488" s="28">
        <f>IFERROR(E1488-Dashboard!$B$4/252,"")</f>
        <v/>
      </c>
      <c r="H1488" s="8">
        <f>IFERROR(IF(ISNUMBER(B1488),MAX(B1488,IFERROR(H1487,B1488)),""),"")</f>
        <v/>
      </c>
      <c r="I1488" s="29">
        <f>IFERROR(IF(AND(ISNUMBER(B1488),ISNUMBER(H1488)),B1488/H1488-1,""),"")</f>
        <v/>
      </c>
      <c r="J1488" s="8">
        <f>IFERROR(IF(ISNUMBER(C1488),MAX(C1488,IFERROR(J1487,C1488)),""),"")</f>
        <v/>
      </c>
      <c r="K1488" s="29">
        <f>IFERROR(IF(AND(ISNUMBER(C1488),ISNUMBER(J1488)),C1488/J1488-1,""),"")</f>
        <v/>
      </c>
      <c r="L1488" s="28">
        <f>IFERROR(IF(AND(ISNUMBER(D1488),ISNUMBER(E1488)),D1488-E1488,""),"")</f>
        <v/>
      </c>
    </row>
    <row r="1489">
      <c r="A1489" s="7">
        <f>IFERROR(Datos!A1489,"")</f>
        <v/>
      </c>
      <c r="B1489" s="8">
        <f>IFERROR(Datos!B1489,"")</f>
        <v/>
      </c>
      <c r="C1489" s="8">
        <f>IFERROR(Datos!C1489,"")</f>
        <v/>
      </c>
      <c r="D1489" s="28">
        <f>IFERROR(IF(AND(ISNUMBER(B1489),ISNUMBER(B1488),B1488&lt;&gt;0),B1489/B1488-1,""),"")</f>
        <v/>
      </c>
      <c r="E1489" s="28">
        <f>IFERROR(IF(AND(ISNUMBER(C1489),ISNUMBER(C1488),C1488&lt;&gt;0),C1489/C1488-1,""),"")</f>
        <v/>
      </c>
      <c r="F1489" s="28">
        <f>IFERROR(D1489-Dashboard!$B$4/252,"")</f>
        <v/>
      </c>
      <c r="G1489" s="28">
        <f>IFERROR(E1489-Dashboard!$B$4/252,"")</f>
        <v/>
      </c>
      <c r="H1489" s="8">
        <f>IFERROR(IF(ISNUMBER(B1489),MAX(B1489,IFERROR(H1488,B1489)),""),"")</f>
        <v/>
      </c>
      <c r="I1489" s="29">
        <f>IFERROR(IF(AND(ISNUMBER(B1489),ISNUMBER(H1489)),B1489/H1489-1,""),"")</f>
        <v/>
      </c>
      <c r="J1489" s="8">
        <f>IFERROR(IF(ISNUMBER(C1489),MAX(C1489,IFERROR(J1488,C1489)),""),"")</f>
        <v/>
      </c>
      <c r="K1489" s="29">
        <f>IFERROR(IF(AND(ISNUMBER(C1489),ISNUMBER(J1489)),C1489/J1489-1,""),"")</f>
        <v/>
      </c>
      <c r="L1489" s="28">
        <f>IFERROR(IF(AND(ISNUMBER(D1489),ISNUMBER(E1489)),D1489-E1489,""),"")</f>
        <v/>
      </c>
    </row>
    <row r="1490">
      <c r="A1490" s="7">
        <f>IFERROR(Datos!A1490,"")</f>
        <v/>
      </c>
      <c r="B1490" s="8">
        <f>IFERROR(Datos!B1490,"")</f>
        <v/>
      </c>
      <c r="C1490" s="8">
        <f>IFERROR(Datos!C1490,"")</f>
        <v/>
      </c>
      <c r="D1490" s="28">
        <f>IFERROR(IF(AND(ISNUMBER(B1490),ISNUMBER(B1489),B1489&lt;&gt;0),B1490/B1489-1,""),"")</f>
        <v/>
      </c>
      <c r="E1490" s="28">
        <f>IFERROR(IF(AND(ISNUMBER(C1490),ISNUMBER(C1489),C1489&lt;&gt;0),C1490/C1489-1,""),"")</f>
        <v/>
      </c>
      <c r="F1490" s="28">
        <f>IFERROR(D1490-Dashboard!$B$4/252,"")</f>
        <v/>
      </c>
      <c r="G1490" s="28">
        <f>IFERROR(E1490-Dashboard!$B$4/252,"")</f>
        <v/>
      </c>
      <c r="H1490" s="8">
        <f>IFERROR(IF(ISNUMBER(B1490),MAX(B1490,IFERROR(H1489,B1490)),""),"")</f>
        <v/>
      </c>
      <c r="I1490" s="29">
        <f>IFERROR(IF(AND(ISNUMBER(B1490),ISNUMBER(H1490)),B1490/H1490-1,""),"")</f>
        <v/>
      </c>
      <c r="J1490" s="8">
        <f>IFERROR(IF(ISNUMBER(C1490),MAX(C1490,IFERROR(J1489,C1490)),""),"")</f>
        <v/>
      </c>
      <c r="K1490" s="29">
        <f>IFERROR(IF(AND(ISNUMBER(C1490),ISNUMBER(J1490)),C1490/J1490-1,""),"")</f>
        <v/>
      </c>
      <c r="L1490" s="28">
        <f>IFERROR(IF(AND(ISNUMBER(D1490),ISNUMBER(E1490)),D1490-E1490,""),"")</f>
        <v/>
      </c>
    </row>
    <row r="1491">
      <c r="A1491" s="7">
        <f>IFERROR(Datos!A1491,"")</f>
        <v/>
      </c>
      <c r="B1491" s="8">
        <f>IFERROR(Datos!B1491,"")</f>
        <v/>
      </c>
      <c r="C1491" s="8">
        <f>IFERROR(Datos!C1491,"")</f>
        <v/>
      </c>
      <c r="D1491" s="28">
        <f>IFERROR(IF(AND(ISNUMBER(B1491),ISNUMBER(B1490),B1490&lt;&gt;0),B1491/B1490-1,""),"")</f>
        <v/>
      </c>
      <c r="E1491" s="28">
        <f>IFERROR(IF(AND(ISNUMBER(C1491),ISNUMBER(C1490),C1490&lt;&gt;0),C1491/C1490-1,""),"")</f>
        <v/>
      </c>
      <c r="F1491" s="28">
        <f>IFERROR(D1491-Dashboard!$B$4/252,"")</f>
        <v/>
      </c>
      <c r="G1491" s="28">
        <f>IFERROR(E1491-Dashboard!$B$4/252,"")</f>
        <v/>
      </c>
      <c r="H1491" s="8">
        <f>IFERROR(IF(ISNUMBER(B1491),MAX(B1491,IFERROR(H1490,B1491)),""),"")</f>
        <v/>
      </c>
      <c r="I1491" s="29">
        <f>IFERROR(IF(AND(ISNUMBER(B1491),ISNUMBER(H1491)),B1491/H1491-1,""),"")</f>
        <v/>
      </c>
      <c r="J1491" s="8">
        <f>IFERROR(IF(ISNUMBER(C1491),MAX(C1491,IFERROR(J1490,C1491)),""),"")</f>
        <v/>
      </c>
      <c r="K1491" s="29">
        <f>IFERROR(IF(AND(ISNUMBER(C1491),ISNUMBER(J1491)),C1491/J1491-1,""),"")</f>
        <v/>
      </c>
      <c r="L1491" s="28">
        <f>IFERROR(IF(AND(ISNUMBER(D1491),ISNUMBER(E1491)),D1491-E1491,""),"")</f>
        <v/>
      </c>
    </row>
    <row r="1492">
      <c r="A1492" s="7">
        <f>IFERROR(Datos!A1492,"")</f>
        <v/>
      </c>
      <c r="B1492" s="8">
        <f>IFERROR(Datos!B1492,"")</f>
        <v/>
      </c>
      <c r="C1492" s="8">
        <f>IFERROR(Datos!C1492,"")</f>
        <v/>
      </c>
      <c r="D1492" s="28">
        <f>IFERROR(IF(AND(ISNUMBER(B1492),ISNUMBER(B1491),B1491&lt;&gt;0),B1492/B1491-1,""),"")</f>
        <v/>
      </c>
      <c r="E1492" s="28">
        <f>IFERROR(IF(AND(ISNUMBER(C1492),ISNUMBER(C1491),C1491&lt;&gt;0),C1492/C1491-1,""),"")</f>
        <v/>
      </c>
      <c r="F1492" s="28">
        <f>IFERROR(D1492-Dashboard!$B$4/252,"")</f>
        <v/>
      </c>
      <c r="G1492" s="28">
        <f>IFERROR(E1492-Dashboard!$B$4/252,"")</f>
        <v/>
      </c>
      <c r="H1492" s="8">
        <f>IFERROR(IF(ISNUMBER(B1492),MAX(B1492,IFERROR(H1491,B1492)),""),"")</f>
        <v/>
      </c>
      <c r="I1492" s="29">
        <f>IFERROR(IF(AND(ISNUMBER(B1492),ISNUMBER(H1492)),B1492/H1492-1,""),"")</f>
        <v/>
      </c>
      <c r="J1492" s="8">
        <f>IFERROR(IF(ISNUMBER(C1492),MAX(C1492,IFERROR(J1491,C1492)),""),"")</f>
        <v/>
      </c>
      <c r="K1492" s="29">
        <f>IFERROR(IF(AND(ISNUMBER(C1492),ISNUMBER(J1492)),C1492/J1492-1,""),"")</f>
        <v/>
      </c>
      <c r="L1492" s="28">
        <f>IFERROR(IF(AND(ISNUMBER(D1492),ISNUMBER(E1492)),D1492-E1492,""),"")</f>
        <v/>
      </c>
    </row>
    <row r="1493">
      <c r="A1493" s="7">
        <f>IFERROR(Datos!A1493,"")</f>
        <v/>
      </c>
      <c r="B1493" s="8">
        <f>IFERROR(Datos!B1493,"")</f>
        <v/>
      </c>
      <c r="C1493" s="8">
        <f>IFERROR(Datos!C1493,"")</f>
        <v/>
      </c>
      <c r="D1493" s="28">
        <f>IFERROR(IF(AND(ISNUMBER(B1493),ISNUMBER(B1492),B1492&lt;&gt;0),B1493/B1492-1,""),"")</f>
        <v/>
      </c>
      <c r="E1493" s="28">
        <f>IFERROR(IF(AND(ISNUMBER(C1493),ISNUMBER(C1492),C1492&lt;&gt;0),C1493/C1492-1,""),"")</f>
        <v/>
      </c>
      <c r="F1493" s="28">
        <f>IFERROR(D1493-Dashboard!$B$4/252,"")</f>
        <v/>
      </c>
      <c r="G1493" s="28">
        <f>IFERROR(E1493-Dashboard!$B$4/252,"")</f>
        <v/>
      </c>
      <c r="H1493" s="8">
        <f>IFERROR(IF(ISNUMBER(B1493),MAX(B1493,IFERROR(H1492,B1493)),""),"")</f>
        <v/>
      </c>
      <c r="I1493" s="29">
        <f>IFERROR(IF(AND(ISNUMBER(B1493),ISNUMBER(H1493)),B1493/H1493-1,""),"")</f>
        <v/>
      </c>
      <c r="J1493" s="8">
        <f>IFERROR(IF(ISNUMBER(C1493),MAX(C1493,IFERROR(J1492,C1493)),""),"")</f>
        <v/>
      </c>
      <c r="K1493" s="29">
        <f>IFERROR(IF(AND(ISNUMBER(C1493),ISNUMBER(J1493)),C1493/J1493-1,""),"")</f>
        <v/>
      </c>
      <c r="L1493" s="28">
        <f>IFERROR(IF(AND(ISNUMBER(D1493),ISNUMBER(E1493)),D1493-E1493,""),"")</f>
        <v/>
      </c>
    </row>
    <row r="1494">
      <c r="A1494" s="7">
        <f>IFERROR(Datos!A1494,"")</f>
        <v/>
      </c>
      <c r="B1494" s="8">
        <f>IFERROR(Datos!B1494,"")</f>
        <v/>
      </c>
      <c r="C1494" s="8">
        <f>IFERROR(Datos!C1494,"")</f>
        <v/>
      </c>
      <c r="D1494" s="28">
        <f>IFERROR(IF(AND(ISNUMBER(B1494),ISNUMBER(B1493),B1493&lt;&gt;0),B1494/B1493-1,""),"")</f>
        <v/>
      </c>
      <c r="E1494" s="28">
        <f>IFERROR(IF(AND(ISNUMBER(C1494),ISNUMBER(C1493),C1493&lt;&gt;0),C1494/C1493-1,""),"")</f>
        <v/>
      </c>
      <c r="F1494" s="28">
        <f>IFERROR(D1494-Dashboard!$B$4/252,"")</f>
        <v/>
      </c>
      <c r="G1494" s="28">
        <f>IFERROR(E1494-Dashboard!$B$4/252,"")</f>
        <v/>
      </c>
      <c r="H1494" s="8">
        <f>IFERROR(IF(ISNUMBER(B1494),MAX(B1494,IFERROR(H1493,B1494)),""),"")</f>
        <v/>
      </c>
      <c r="I1494" s="29">
        <f>IFERROR(IF(AND(ISNUMBER(B1494),ISNUMBER(H1494)),B1494/H1494-1,""),"")</f>
        <v/>
      </c>
      <c r="J1494" s="8">
        <f>IFERROR(IF(ISNUMBER(C1494),MAX(C1494,IFERROR(J1493,C1494)),""),"")</f>
        <v/>
      </c>
      <c r="K1494" s="29">
        <f>IFERROR(IF(AND(ISNUMBER(C1494),ISNUMBER(J1494)),C1494/J1494-1,""),"")</f>
        <v/>
      </c>
      <c r="L1494" s="28">
        <f>IFERROR(IF(AND(ISNUMBER(D1494),ISNUMBER(E1494)),D1494-E1494,""),"")</f>
        <v/>
      </c>
    </row>
    <row r="1495">
      <c r="A1495" s="7">
        <f>IFERROR(Datos!A1495,"")</f>
        <v/>
      </c>
      <c r="B1495" s="8">
        <f>IFERROR(Datos!B1495,"")</f>
        <v/>
      </c>
      <c r="C1495" s="8">
        <f>IFERROR(Datos!C1495,"")</f>
        <v/>
      </c>
      <c r="D1495" s="28">
        <f>IFERROR(IF(AND(ISNUMBER(B1495),ISNUMBER(B1494),B1494&lt;&gt;0),B1495/B1494-1,""),"")</f>
        <v/>
      </c>
      <c r="E1495" s="28">
        <f>IFERROR(IF(AND(ISNUMBER(C1495),ISNUMBER(C1494),C1494&lt;&gt;0),C1495/C1494-1,""),"")</f>
        <v/>
      </c>
      <c r="F1495" s="28">
        <f>IFERROR(D1495-Dashboard!$B$4/252,"")</f>
        <v/>
      </c>
      <c r="G1495" s="28">
        <f>IFERROR(E1495-Dashboard!$B$4/252,"")</f>
        <v/>
      </c>
      <c r="H1495" s="8">
        <f>IFERROR(IF(ISNUMBER(B1495),MAX(B1495,IFERROR(H1494,B1495)),""),"")</f>
        <v/>
      </c>
      <c r="I1495" s="29">
        <f>IFERROR(IF(AND(ISNUMBER(B1495),ISNUMBER(H1495)),B1495/H1495-1,""),"")</f>
        <v/>
      </c>
      <c r="J1495" s="8">
        <f>IFERROR(IF(ISNUMBER(C1495),MAX(C1495,IFERROR(J1494,C1495)),""),"")</f>
        <v/>
      </c>
      <c r="K1495" s="29">
        <f>IFERROR(IF(AND(ISNUMBER(C1495),ISNUMBER(J1495)),C1495/J1495-1,""),"")</f>
        <v/>
      </c>
      <c r="L1495" s="28">
        <f>IFERROR(IF(AND(ISNUMBER(D1495),ISNUMBER(E1495)),D1495-E1495,""),"")</f>
        <v/>
      </c>
    </row>
    <row r="1496">
      <c r="A1496" s="7">
        <f>IFERROR(Datos!A1496,"")</f>
        <v/>
      </c>
      <c r="B1496" s="8">
        <f>IFERROR(Datos!B1496,"")</f>
        <v/>
      </c>
      <c r="C1496" s="8">
        <f>IFERROR(Datos!C1496,"")</f>
        <v/>
      </c>
      <c r="D1496" s="28">
        <f>IFERROR(IF(AND(ISNUMBER(B1496),ISNUMBER(B1495),B1495&lt;&gt;0),B1496/B1495-1,""),"")</f>
        <v/>
      </c>
      <c r="E1496" s="28">
        <f>IFERROR(IF(AND(ISNUMBER(C1496),ISNUMBER(C1495),C1495&lt;&gt;0),C1496/C1495-1,""),"")</f>
        <v/>
      </c>
      <c r="F1496" s="28">
        <f>IFERROR(D1496-Dashboard!$B$4/252,"")</f>
        <v/>
      </c>
      <c r="G1496" s="28">
        <f>IFERROR(E1496-Dashboard!$B$4/252,"")</f>
        <v/>
      </c>
      <c r="H1496" s="8">
        <f>IFERROR(IF(ISNUMBER(B1496),MAX(B1496,IFERROR(H1495,B1496)),""),"")</f>
        <v/>
      </c>
      <c r="I1496" s="29">
        <f>IFERROR(IF(AND(ISNUMBER(B1496),ISNUMBER(H1496)),B1496/H1496-1,""),"")</f>
        <v/>
      </c>
      <c r="J1496" s="8">
        <f>IFERROR(IF(ISNUMBER(C1496),MAX(C1496,IFERROR(J1495,C1496)),""),"")</f>
        <v/>
      </c>
      <c r="K1496" s="29">
        <f>IFERROR(IF(AND(ISNUMBER(C1496),ISNUMBER(J1496)),C1496/J1496-1,""),"")</f>
        <v/>
      </c>
      <c r="L1496" s="28">
        <f>IFERROR(IF(AND(ISNUMBER(D1496),ISNUMBER(E1496)),D1496-E1496,""),"")</f>
        <v/>
      </c>
    </row>
    <row r="1497">
      <c r="A1497" s="7">
        <f>IFERROR(Datos!A1497,"")</f>
        <v/>
      </c>
      <c r="B1497" s="8">
        <f>IFERROR(Datos!B1497,"")</f>
        <v/>
      </c>
      <c r="C1497" s="8">
        <f>IFERROR(Datos!C1497,"")</f>
        <v/>
      </c>
      <c r="D1497" s="28">
        <f>IFERROR(IF(AND(ISNUMBER(B1497),ISNUMBER(B1496),B1496&lt;&gt;0),B1497/B1496-1,""),"")</f>
        <v/>
      </c>
      <c r="E1497" s="28">
        <f>IFERROR(IF(AND(ISNUMBER(C1497),ISNUMBER(C1496),C1496&lt;&gt;0),C1497/C1496-1,""),"")</f>
        <v/>
      </c>
      <c r="F1497" s="28">
        <f>IFERROR(D1497-Dashboard!$B$4/252,"")</f>
        <v/>
      </c>
      <c r="G1497" s="28">
        <f>IFERROR(E1497-Dashboard!$B$4/252,"")</f>
        <v/>
      </c>
      <c r="H1497" s="8">
        <f>IFERROR(IF(ISNUMBER(B1497),MAX(B1497,IFERROR(H1496,B1497)),""),"")</f>
        <v/>
      </c>
      <c r="I1497" s="29">
        <f>IFERROR(IF(AND(ISNUMBER(B1497),ISNUMBER(H1497)),B1497/H1497-1,""),"")</f>
        <v/>
      </c>
      <c r="J1497" s="8">
        <f>IFERROR(IF(ISNUMBER(C1497),MAX(C1497,IFERROR(J1496,C1497)),""),"")</f>
        <v/>
      </c>
      <c r="K1497" s="29">
        <f>IFERROR(IF(AND(ISNUMBER(C1497),ISNUMBER(J1497)),C1497/J1497-1,""),"")</f>
        <v/>
      </c>
      <c r="L1497" s="28">
        <f>IFERROR(IF(AND(ISNUMBER(D1497),ISNUMBER(E1497)),D1497-E1497,""),"")</f>
        <v/>
      </c>
    </row>
    <row r="1498">
      <c r="A1498" s="7">
        <f>IFERROR(Datos!A1498,"")</f>
        <v/>
      </c>
      <c r="B1498" s="8">
        <f>IFERROR(Datos!B1498,"")</f>
        <v/>
      </c>
      <c r="C1498" s="8">
        <f>IFERROR(Datos!C1498,"")</f>
        <v/>
      </c>
      <c r="D1498" s="28">
        <f>IFERROR(IF(AND(ISNUMBER(B1498),ISNUMBER(B1497),B1497&lt;&gt;0),B1498/B1497-1,""),"")</f>
        <v/>
      </c>
      <c r="E1498" s="28">
        <f>IFERROR(IF(AND(ISNUMBER(C1498),ISNUMBER(C1497),C1497&lt;&gt;0),C1498/C1497-1,""),"")</f>
        <v/>
      </c>
      <c r="F1498" s="28">
        <f>IFERROR(D1498-Dashboard!$B$4/252,"")</f>
        <v/>
      </c>
      <c r="G1498" s="28">
        <f>IFERROR(E1498-Dashboard!$B$4/252,"")</f>
        <v/>
      </c>
      <c r="H1498" s="8">
        <f>IFERROR(IF(ISNUMBER(B1498),MAX(B1498,IFERROR(H1497,B1498)),""),"")</f>
        <v/>
      </c>
      <c r="I1498" s="29">
        <f>IFERROR(IF(AND(ISNUMBER(B1498),ISNUMBER(H1498)),B1498/H1498-1,""),"")</f>
        <v/>
      </c>
      <c r="J1498" s="8">
        <f>IFERROR(IF(ISNUMBER(C1498),MAX(C1498,IFERROR(J1497,C1498)),""),"")</f>
        <v/>
      </c>
      <c r="K1498" s="29">
        <f>IFERROR(IF(AND(ISNUMBER(C1498),ISNUMBER(J1498)),C1498/J1498-1,""),"")</f>
        <v/>
      </c>
      <c r="L1498" s="28">
        <f>IFERROR(IF(AND(ISNUMBER(D1498),ISNUMBER(E1498)),D1498-E1498,""),"")</f>
        <v/>
      </c>
    </row>
    <row r="1499">
      <c r="A1499" s="7">
        <f>IFERROR(Datos!A1499,"")</f>
        <v/>
      </c>
      <c r="B1499" s="8">
        <f>IFERROR(Datos!B1499,"")</f>
        <v/>
      </c>
      <c r="C1499" s="8">
        <f>IFERROR(Datos!C1499,"")</f>
        <v/>
      </c>
      <c r="D1499" s="28">
        <f>IFERROR(IF(AND(ISNUMBER(B1499),ISNUMBER(B1498),B1498&lt;&gt;0),B1499/B1498-1,""),"")</f>
        <v/>
      </c>
      <c r="E1499" s="28">
        <f>IFERROR(IF(AND(ISNUMBER(C1499),ISNUMBER(C1498),C1498&lt;&gt;0),C1499/C1498-1,""),"")</f>
        <v/>
      </c>
      <c r="F1499" s="28">
        <f>IFERROR(D1499-Dashboard!$B$4/252,"")</f>
        <v/>
      </c>
      <c r="G1499" s="28">
        <f>IFERROR(E1499-Dashboard!$B$4/252,"")</f>
        <v/>
      </c>
      <c r="H1499" s="8">
        <f>IFERROR(IF(ISNUMBER(B1499),MAX(B1499,IFERROR(H1498,B1499)),""),"")</f>
        <v/>
      </c>
      <c r="I1499" s="29">
        <f>IFERROR(IF(AND(ISNUMBER(B1499),ISNUMBER(H1499)),B1499/H1499-1,""),"")</f>
        <v/>
      </c>
      <c r="J1499" s="8">
        <f>IFERROR(IF(ISNUMBER(C1499),MAX(C1499,IFERROR(J1498,C1499)),""),"")</f>
        <v/>
      </c>
      <c r="K1499" s="29">
        <f>IFERROR(IF(AND(ISNUMBER(C1499),ISNUMBER(J1499)),C1499/J1499-1,""),"")</f>
        <v/>
      </c>
      <c r="L1499" s="28">
        <f>IFERROR(IF(AND(ISNUMBER(D1499),ISNUMBER(E1499)),D1499-E1499,""),"")</f>
        <v/>
      </c>
    </row>
    <row r="1500">
      <c r="A1500" s="7">
        <f>IFERROR(Datos!A1500,"")</f>
        <v/>
      </c>
      <c r="B1500" s="8">
        <f>IFERROR(Datos!B1500,"")</f>
        <v/>
      </c>
      <c r="C1500" s="8">
        <f>IFERROR(Datos!C1500,"")</f>
        <v/>
      </c>
      <c r="D1500" s="28">
        <f>IFERROR(IF(AND(ISNUMBER(B1500),ISNUMBER(B1499),B1499&lt;&gt;0),B1500/B1499-1,""),"")</f>
        <v/>
      </c>
      <c r="E1500" s="28">
        <f>IFERROR(IF(AND(ISNUMBER(C1500),ISNUMBER(C1499),C1499&lt;&gt;0),C1500/C1499-1,""),"")</f>
        <v/>
      </c>
      <c r="F1500" s="28">
        <f>IFERROR(D1500-Dashboard!$B$4/252,"")</f>
        <v/>
      </c>
      <c r="G1500" s="28">
        <f>IFERROR(E1500-Dashboard!$B$4/252,"")</f>
        <v/>
      </c>
      <c r="H1500" s="8">
        <f>IFERROR(IF(ISNUMBER(B1500),MAX(B1500,IFERROR(H1499,B1500)),""),"")</f>
        <v/>
      </c>
      <c r="I1500" s="29">
        <f>IFERROR(IF(AND(ISNUMBER(B1500),ISNUMBER(H1500)),B1500/H1500-1,""),"")</f>
        <v/>
      </c>
      <c r="J1500" s="8">
        <f>IFERROR(IF(ISNUMBER(C1500),MAX(C1500,IFERROR(J1499,C1500)),""),"")</f>
        <v/>
      </c>
      <c r="K1500" s="29">
        <f>IFERROR(IF(AND(ISNUMBER(C1500),ISNUMBER(J1500)),C1500/J1500-1,""),"")</f>
        <v/>
      </c>
      <c r="L1500" s="28">
        <f>IFERROR(IF(AND(ISNUMBER(D1500),ISNUMBER(E1500)),D1500-E1500,""),"")</f>
        <v/>
      </c>
    </row>
    <row r="1501">
      <c r="A1501" s="7">
        <f>IFERROR(Datos!A1501,"")</f>
        <v/>
      </c>
      <c r="B1501" s="8">
        <f>IFERROR(Datos!B1501,"")</f>
        <v/>
      </c>
      <c r="C1501" s="8">
        <f>IFERROR(Datos!C1501,"")</f>
        <v/>
      </c>
      <c r="D1501" s="28">
        <f>IFERROR(IF(AND(ISNUMBER(B1501),ISNUMBER(B1500),B1500&lt;&gt;0),B1501/B1500-1,""),"")</f>
        <v/>
      </c>
      <c r="E1501" s="28">
        <f>IFERROR(IF(AND(ISNUMBER(C1501),ISNUMBER(C1500),C1500&lt;&gt;0),C1501/C1500-1,""),"")</f>
        <v/>
      </c>
      <c r="F1501" s="28">
        <f>IFERROR(D1501-Dashboard!$B$4/252,"")</f>
        <v/>
      </c>
      <c r="G1501" s="28">
        <f>IFERROR(E1501-Dashboard!$B$4/252,"")</f>
        <v/>
      </c>
      <c r="H1501" s="8">
        <f>IFERROR(IF(ISNUMBER(B1501),MAX(B1501,IFERROR(H1500,B1501)),""),"")</f>
        <v/>
      </c>
      <c r="I1501" s="29">
        <f>IFERROR(IF(AND(ISNUMBER(B1501),ISNUMBER(H1501)),B1501/H1501-1,""),"")</f>
        <v/>
      </c>
      <c r="J1501" s="8">
        <f>IFERROR(IF(ISNUMBER(C1501),MAX(C1501,IFERROR(J1500,C1501)),""),"")</f>
        <v/>
      </c>
      <c r="K1501" s="29">
        <f>IFERROR(IF(AND(ISNUMBER(C1501),ISNUMBER(J1501)),C1501/J1501-1,""),"")</f>
        <v/>
      </c>
      <c r="L1501" s="28">
        <f>IFERROR(IF(AND(ISNUMBER(D1501),ISNUMBER(E1501)),D1501-E1501,""),"")</f>
        <v/>
      </c>
    </row>
    <row r="1502">
      <c r="A1502" s="7">
        <f>IFERROR(Datos!A1502,"")</f>
        <v/>
      </c>
      <c r="B1502" s="8">
        <f>IFERROR(Datos!B1502,"")</f>
        <v/>
      </c>
      <c r="C1502" s="8">
        <f>IFERROR(Datos!C1502,"")</f>
        <v/>
      </c>
      <c r="D1502" s="28">
        <f>IFERROR(IF(AND(ISNUMBER(B1502),ISNUMBER(B1501),B1501&lt;&gt;0),B1502/B1501-1,""),"")</f>
        <v/>
      </c>
      <c r="E1502" s="28">
        <f>IFERROR(IF(AND(ISNUMBER(C1502),ISNUMBER(C1501),C1501&lt;&gt;0),C1502/C1501-1,""),"")</f>
        <v/>
      </c>
      <c r="F1502" s="28">
        <f>IFERROR(D1502-Dashboard!$B$4/252,"")</f>
        <v/>
      </c>
      <c r="G1502" s="28">
        <f>IFERROR(E1502-Dashboard!$B$4/252,"")</f>
        <v/>
      </c>
      <c r="H1502" s="8">
        <f>IFERROR(IF(ISNUMBER(B1502),MAX(B1502,IFERROR(H1501,B1502)),""),"")</f>
        <v/>
      </c>
      <c r="I1502" s="29">
        <f>IFERROR(IF(AND(ISNUMBER(B1502),ISNUMBER(H1502)),B1502/H1502-1,""),"")</f>
        <v/>
      </c>
      <c r="J1502" s="8">
        <f>IFERROR(IF(ISNUMBER(C1502),MAX(C1502,IFERROR(J1501,C1502)),""),"")</f>
        <v/>
      </c>
      <c r="K1502" s="29">
        <f>IFERROR(IF(AND(ISNUMBER(C1502),ISNUMBER(J1502)),C1502/J1502-1,""),"")</f>
        <v/>
      </c>
      <c r="L1502" s="28">
        <f>IFERROR(IF(AND(ISNUMBER(D1502),ISNUMBER(E1502)),D1502-E1502,""),"")</f>
        <v/>
      </c>
    </row>
    <row r="1503">
      <c r="A1503" s="7">
        <f>IFERROR(Datos!A1503,"")</f>
        <v/>
      </c>
      <c r="B1503" s="8">
        <f>IFERROR(Datos!B1503,"")</f>
        <v/>
      </c>
      <c r="C1503" s="8">
        <f>IFERROR(Datos!C1503,"")</f>
        <v/>
      </c>
      <c r="D1503" s="28">
        <f>IFERROR(IF(AND(ISNUMBER(B1503),ISNUMBER(B1502),B1502&lt;&gt;0),B1503/B1502-1,""),"")</f>
        <v/>
      </c>
      <c r="E1503" s="28">
        <f>IFERROR(IF(AND(ISNUMBER(C1503),ISNUMBER(C1502),C1502&lt;&gt;0),C1503/C1502-1,""),"")</f>
        <v/>
      </c>
      <c r="F1503" s="28">
        <f>IFERROR(D1503-Dashboard!$B$4/252,"")</f>
        <v/>
      </c>
      <c r="G1503" s="28">
        <f>IFERROR(E1503-Dashboard!$B$4/252,"")</f>
        <v/>
      </c>
      <c r="H1503" s="8">
        <f>IFERROR(IF(ISNUMBER(B1503),MAX(B1503,IFERROR(H1502,B1503)),""),"")</f>
        <v/>
      </c>
      <c r="I1503" s="29">
        <f>IFERROR(IF(AND(ISNUMBER(B1503),ISNUMBER(H1503)),B1503/H1503-1,""),"")</f>
        <v/>
      </c>
      <c r="J1503" s="8">
        <f>IFERROR(IF(ISNUMBER(C1503),MAX(C1503,IFERROR(J1502,C1503)),""),"")</f>
        <v/>
      </c>
      <c r="K1503" s="29">
        <f>IFERROR(IF(AND(ISNUMBER(C1503),ISNUMBER(J1503)),C1503/J1503-1,""),"")</f>
        <v/>
      </c>
      <c r="L1503" s="28">
        <f>IFERROR(IF(AND(ISNUMBER(D1503),ISNUMBER(E1503)),D1503-E1503,""),"")</f>
        <v/>
      </c>
    </row>
    <row r="1504">
      <c r="A1504" s="7">
        <f>IFERROR(Datos!A1504,"")</f>
        <v/>
      </c>
      <c r="B1504" s="8">
        <f>IFERROR(Datos!B1504,"")</f>
        <v/>
      </c>
      <c r="C1504" s="8">
        <f>IFERROR(Datos!C1504,"")</f>
        <v/>
      </c>
      <c r="D1504" s="28">
        <f>IFERROR(IF(AND(ISNUMBER(B1504),ISNUMBER(B1503),B1503&lt;&gt;0),B1504/B1503-1,""),"")</f>
        <v/>
      </c>
      <c r="E1504" s="28">
        <f>IFERROR(IF(AND(ISNUMBER(C1504),ISNUMBER(C1503),C1503&lt;&gt;0),C1504/C1503-1,""),"")</f>
        <v/>
      </c>
      <c r="F1504" s="28">
        <f>IFERROR(D1504-Dashboard!$B$4/252,"")</f>
        <v/>
      </c>
      <c r="G1504" s="28">
        <f>IFERROR(E1504-Dashboard!$B$4/252,"")</f>
        <v/>
      </c>
      <c r="H1504" s="8">
        <f>IFERROR(IF(ISNUMBER(B1504),MAX(B1504,IFERROR(H1503,B1504)),""),"")</f>
        <v/>
      </c>
      <c r="I1504" s="29">
        <f>IFERROR(IF(AND(ISNUMBER(B1504),ISNUMBER(H1504)),B1504/H1504-1,""),"")</f>
        <v/>
      </c>
      <c r="J1504" s="8">
        <f>IFERROR(IF(ISNUMBER(C1504),MAX(C1504,IFERROR(J1503,C1504)),""),"")</f>
        <v/>
      </c>
      <c r="K1504" s="29">
        <f>IFERROR(IF(AND(ISNUMBER(C1504),ISNUMBER(J1504)),C1504/J1504-1,""),"")</f>
        <v/>
      </c>
      <c r="L1504" s="28">
        <f>IFERROR(IF(AND(ISNUMBER(D1504),ISNUMBER(E1504)),D1504-E1504,""),"")</f>
        <v/>
      </c>
    </row>
    <row r="1505">
      <c r="A1505" s="7">
        <f>IFERROR(Datos!A1505,"")</f>
        <v/>
      </c>
      <c r="B1505" s="8">
        <f>IFERROR(Datos!B1505,"")</f>
        <v/>
      </c>
      <c r="C1505" s="8">
        <f>IFERROR(Datos!C1505,"")</f>
        <v/>
      </c>
      <c r="D1505" s="28">
        <f>IFERROR(IF(AND(ISNUMBER(B1505),ISNUMBER(B1504),B1504&lt;&gt;0),B1505/B1504-1,""),"")</f>
        <v/>
      </c>
      <c r="E1505" s="28">
        <f>IFERROR(IF(AND(ISNUMBER(C1505),ISNUMBER(C1504),C1504&lt;&gt;0),C1505/C1504-1,""),"")</f>
        <v/>
      </c>
      <c r="F1505" s="28">
        <f>IFERROR(D1505-Dashboard!$B$4/252,"")</f>
        <v/>
      </c>
      <c r="G1505" s="28">
        <f>IFERROR(E1505-Dashboard!$B$4/252,"")</f>
        <v/>
      </c>
      <c r="H1505" s="8">
        <f>IFERROR(IF(ISNUMBER(B1505),MAX(B1505,IFERROR(H1504,B1505)),""),"")</f>
        <v/>
      </c>
      <c r="I1505" s="29">
        <f>IFERROR(IF(AND(ISNUMBER(B1505),ISNUMBER(H1505)),B1505/H1505-1,""),"")</f>
        <v/>
      </c>
      <c r="J1505" s="8">
        <f>IFERROR(IF(ISNUMBER(C1505),MAX(C1505,IFERROR(J1504,C1505)),""),"")</f>
        <v/>
      </c>
      <c r="K1505" s="29">
        <f>IFERROR(IF(AND(ISNUMBER(C1505),ISNUMBER(J1505)),C1505/J1505-1,""),"")</f>
        <v/>
      </c>
      <c r="L1505" s="28">
        <f>IFERROR(IF(AND(ISNUMBER(D1505),ISNUMBER(E1505)),D1505-E1505,""),"")</f>
        <v/>
      </c>
    </row>
    <row r="1506">
      <c r="A1506" s="7">
        <f>IFERROR(Datos!A1506,"")</f>
        <v/>
      </c>
      <c r="B1506" s="8">
        <f>IFERROR(Datos!B1506,"")</f>
        <v/>
      </c>
      <c r="C1506" s="8">
        <f>IFERROR(Datos!C1506,"")</f>
        <v/>
      </c>
      <c r="D1506" s="28">
        <f>IFERROR(IF(AND(ISNUMBER(B1506),ISNUMBER(B1505),B1505&lt;&gt;0),B1506/B1505-1,""),"")</f>
        <v/>
      </c>
      <c r="E1506" s="28">
        <f>IFERROR(IF(AND(ISNUMBER(C1506),ISNUMBER(C1505),C1505&lt;&gt;0),C1506/C1505-1,""),"")</f>
        <v/>
      </c>
      <c r="F1506" s="28">
        <f>IFERROR(D1506-Dashboard!$B$4/252,"")</f>
        <v/>
      </c>
      <c r="G1506" s="28">
        <f>IFERROR(E1506-Dashboard!$B$4/252,"")</f>
        <v/>
      </c>
      <c r="H1506" s="8">
        <f>IFERROR(IF(ISNUMBER(B1506),MAX(B1506,IFERROR(H1505,B1506)),""),"")</f>
        <v/>
      </c>
      <c r="I1506" s="29">
        <f>IFERROR(IF(AND(ISNUMBER(B1506),ISNUMBER(H1506)),B1506/H1506-1,""),"")</f>
        <v/>
      </c>
      <c r="J1506" s="8">
        <f>IFERROR(IF(ISNUMBER(C1506),MAX(C1506,IFERROR(J1505,C1506)),""),"")</f>
        <v/>
      </c>
      <c r="K1506" s="29">
        <f>IFERROR(IF(AND(ISNUMBER(C1506),ISNUMBER(J1506)),C1506/J1506-1,""),"")</f>
        <v/>
      </c>
      <c r="L1506" s="28">
        <f>IFERROR(IF(AND(ISNUMBER(D1506),ISNUMBER(E1506)),D1506-E1506,""),"")</f>
        <v/>
      </c>
    </row>
    <row r="1507">
      <c r="A1507" s="7">
        <f>IFERROR(Datos!A1507,"")</f>
        <v/>
      </c>
      <c r="B1507" s="8">
        <f>IFERROR(Datos!B1507,"")</f>
        <v/>
      </c>
      <c r="C1507" s="8">
        <f>IFERROR(Datos!C1507,"")</f>
        <v/>
      </c>
      <c r="D1507" s="28">
        <f>IFERROR(IF(AND(ISNUMBER(B1507),ISNUMBER(B1506),B1506&lt;&gt;0),B1507/B1506-1,""),"")</f>
        <v/>
      </c>
      <c r="E1507" s="28">
        <f>IFERROR(IF(AND(ISNUMBER(C1507),ISNUMBER(C1506),C1506&lt;&gt;0),C1507/C1506-1,""),"")</f>
        <v/>
      </c>
      <c r="F1507" s="28">
        <f>IFERROR(D1507-Dashboard!$B$4/252,"")</f>
        <v/>
      </c>
      <c r="G1507" s="28">
        <f>IFERROR(E1507-Dashboard!$B$4/252,"")</f>
        <v/>
      </c>
      <c r="H1507" s="8">
        <f>IFERROR(IF(ISNUMBER(B1507),MAX(B1507,IFERROR(H1506,B1507)),""),"")</f>
        <v/>
      </c>
      <c r="I1507" s="29">
        <f>IFERROR(IF(AND(ISNUMBER(B1507),ISNUMBER(H1507)),B1507/H1507-1,""),"")</f>
        <v/>
      </c>
      <c r="J1507" s="8">
        <f>IFERROR(IF(ISNUMBER(C1507),MAX(C1507,IFERROR(J1506,C1507)),""),"")</f>
        <v/>
      </c>
      <c r="K1507" s="29">
        <f>IFERROR(IF(AND(ISNUMBER(C1507),ISNUMBER(J1507)),C1507/J1507-1,""),"")</f>
        <v/>
      </c>
      <c r="L1507" s="28">
        <f>IFERROR(IF(AND(ISNUMBER(D1507),ISNUMBER(E1507)),D1507-E1507,""),"")</f>
        <v/>
      </c>
    </row>
    <row r="1508">
      <c r="A1508" s="7">
        <f>IFERROR(Datos!A1508,"")</f>
        <v/>
      </c>
      <c r="B1508" s="8">
        <f>IFERROR(Datos!B1508,"")</f>
        <v/>
      </c>
      <c r="C1508" s="8">
        <f>IFERROR(Datos!C1508,"")</f>
        <v/>
      </c>
      <c r="D1508" s="28">
        <f>IFERROR(IF(AND(ISNUMBER(B1508),ISNUMBER(B1507),B1507&lt;&gt;0),B1508/B1507-1,""),"")</f>
        <v/>
      </c>
      <c r="E1508" s="28">
        <f>IFERROR(IF(AND(ISNUMBER(C1508),ISNUMBER(C1507),C1507&lt;&gt;0),C1508/C1507-1,""),"")</f>
        <v/>
      </c>
      <c r="F1508" s="28">
        <f>IFERROR(D1508-Dashboard!$B$4/252,"")</f>
        <v/>
      </c>
      <c r="G1508" s="28">
        <f>IFERROR(E1508-Dashboard!$B$4/252,"")</f>
        <v/>
      </c>
      <c r="H1508" s="8">
        <f>IFERROR(IF(ISNUMBER(B1508),MAX(B1508,IFERROR(H1507,B1508)),""),"")</f>
        <v/>
      </c>
      <c r="I1508" s="29">
        <f>IFERROR(IF(AND(ISNUMBER(B1508),ISNUMBER(H1508)),B1508/H1508-1,""),"")</f>
        <v/>
      </c>
      <c r="J1508" s="8">
        <f>IFERROR(IF(ISNUMBER(C1508),MAX(C1508,IFERROR(J1507,C1508)),""),"")</f>
        <v/>
      </c>
      <c r="K1508" s="29">
        <f>IFERROR(IF(AND(ISNUMBER(C1508),ISNUMBER(J1508)),C1508/J1508-1,""),"")</f>
        <v/>
      </c>
      <c r="L1508" s="28">
        <f>IFERROR(IF(AND(ISNUMBER(D1508),ISNUMBER(E1508)),D1508-E1508,""),"")</f>
        <v/>
      </c>
    </row>
    <row r="1509">
      <c r="A1509" s="7">
        <f>IFERROR(Datos!A1509,"")</f>
        <v/>
      </c>
      <c r="B1509" s="8">
        <f>IFERROR(Datos!B1509,"")</f>
        <v/>
      </c>
      <c r="C1509" s="8">
        <f>IFERROR(Datos!C1509,"")</f>
        <v/>
      </c>
      <c r="D1509" s="28">
        <f>IFERROR(IF(AND(ISNUMBER(B1509),ISNUMBER(B1508),B1508&lt;&gt;0),B1509/B1508-1,""),"")</f>
        <v/>
      </c>
      <c r="E1509" s="28">
        <f>IFERROR(IF(AND(ISNUMBER(C1509),ISNUMBER(C1508),C1508&lt;&gt;0),C1509/C1508-1,""),"")</f>
        <v/>
      </c>
      <c r="F1509" s="28">
        <f>IFERROR(D1509-Dashboard!$B$4/252,"")</f>
        <v/>
      </c>
      <c r="G1509" s="28">
        <f>IFERROR(E1509-Dashboard!$B$4/252,"")</f>
        <v/>
      </c>
      <c r="H1509" s="8">
        <f>IFERROR(IF(ISNUMBER(B1509),MAX(B1509,IFERROR(H1508,B1509)),""),"")</f>
        <v/>
      </c>
      <c r="I1509" s="29">
        <f>IFERROR(IF(AND(ISNUMBER(B1509),ISNUMBER(H1509)),B1509/H1509-1,""),"")</f>
        <v/>
      </c>
      <c r="J1509" s="8">
        <f>IFERROR(IF(ISNUMBER(C1509),MAX(C1509,IFERROR(J1508,C1509)),""),"")</f>
        <v/>
      </c>
      <c r="K1509" s="29">
        <f>IFERROR(IF(AND(ISNUMBER(C1509),ISNUMBER(J1509)),C1509/J1509-1,""),"")</f>
        <v/>
      </c>
      <c r="L1509" s="28">
        <f>IFERROR(IF(AND(ISNUMBER(D1509),ISNUMBER(E1509)),D1509-E1509,""),"")</f>
        <v/>
      </c>
    </row>
    <row r="1510">
      <c r="A1510" s="7">
        <f>IFERROR(Datos!A1510,"")</f>
        <v/>
      </c>
      <c r="B1510" s="8">
        <f>IFERROR(Datos!B1510,"")</f>
        <v/>
      </c>
      <c r="C1510" s="8">
        <f>IFERROR(Datos!C1510,"")</f>
        <v/>
      </c>
      <c r="D1510" s="28">
        <f>IFERROR(IF(AND(ISNUMBER(B1510),ISNUMBER(B1509),B1509&lt;&gt;0),B1510/B1509-1,""),"")</f>
        <v/>
      </c>
      <c r="E1510" s="28">
        <f>IFERROR(IF(AND(ISNUMBER(C1510),ISNUMBER(C1509),C1509&lt;&gt;0),C1510/C1509-1,""),"")</f>
        <v/>
      </c>
      <c r="F1510" s="28">
        <f>IFERROR(D1510-Dashboard!$B$4/252,"")</f>
        <v/>
      </c>
      <c r="G1510" s="28">
        <f>IFERROR(E1510-Dashboard!$B$4/252,"")</f>
        <v/>
      </c>
      <c r="H1510" s="8">
        <f>IFERROR(IF(ISNUMBER(B1510),MAX(B1510,IFERROR(H1509,B1510)),""),"")</f>
        <v/>
      </c>
      <c r="I1510" s="29">
        <f>IFERROR(IF(AND(ISNUMBER(B1510),ISNUMBER(H1510)),B1510/H1510-1,""),"")</f>
        <v/>
      </c>
      <c r="J1510" s="8">
        <f>IFERROR(IF(ISNUMBER(C1510),MAX(C1510,IFERROR(J1509,C1510)),""),"")</f>
        <v/>
      </c>
      <c r="K1510" s="29">
        <f>IFERROR(IF(AND(ISNUMBER(C1510),ISNUMBER(J1510)),C1510/J1510-1,""),"")</f>
        <v/>
      </c>
      <c r="L1510" s="28">
        <f>IFERROR(IF(AND(ISNUMBER(D1510),ISNUMBER(E1510)),D1510-E1510,""),"")</f>
        <v/>
      </c>
    </row>
    <row r="1511">
      <c r="A1511" s="7">
        <f>IFERROR(Datos!A1511,"")</f>
        <v/>
      </c>
      <c r="B1511" s="8">
        <f>IFERROR(Datos!B1511,"")</f>
        <v/>
      </c>
      <c r="C1511" s="8">
        <f>IFERROR(Datos!C1511,"")</f>
        <v/>
      </c>
      <c r="D1511" s="28">
        <f>IFERROR(IF(AND(ISNUMBER(B1511),ISNUMBER(B1510),B1510&lt;&gt;0),B1511/B1510-1,""),"")</f>
        <v/>
      </c>
      <c r="E1511" s="28">
        <f>IFERROR(IF(AND(ISNUMBER(C1511),ISNUMBER(C1510),C1510&lt;&gt;0),C1511/C1510-1,""),"")</f>
        <v/>
      </c>
      <c r="F1511" s="28">
        <f>IFERROR(D1511-Dashboard!$B$4/252,"")</f>
        <v/>
      </c>
      <c r="G1511" s="28">
        <f>IFERROR(E1511-Dashboard!$B$4/252,"")</f>
        <v/>
      </c>
      <c r="H1511" s="8">
        <f>IFERROR(IF(ISNUMBER(B1511),MAX(B1511,IFERROR(H1510,B1511)),""),"")</f>
        <v/>
      </c>
      <c r="I1511" s="29">
        <f>IFERROR(IF(AND(ISNUMBER(B1511),ISNUMBER(H1511)),B1511/H1511-1,""),"")</f>
        <v/>
      </c>
      <c r="J1511" s="8">
        <f>IFERROR(IF(ISNUMBER(C1511),MAX(C1511,IFERROR(J1510,C1511)),""),"")</f>
        <v/>
      </c>
      <c r="K1511" s="29">
        <f>IFERROR(IF(AND(ISNUMBER(C1511),ISNUMBER(J1511)),C1511/J1511-1,""),"")</f>
        <v/>
      </c>
      <c r="L1511" s="28">
        <f>IFERROR(IF(AND(ISNUMBER(D1511),ISNUMBER(E1511)),D1511-E1511,""),"")</f>
        <v/>
      </c>
    </row>
    <row r="1512">
      <c r="A1512" s="7">
        <f>IFERROR(Datos!A1512,"")</f>
        <v/>
      </c>
      <c r="B1512" s="8">
        <f>IFERROR(Datos!B1512,"")</f>
        <v/>
      </c>
      <c r="C1512" s="8">
        <f>IFERROR(Datos!C1512,"")</f>
        <v/>
      </c>
      <c r="D1512" s="28">
        <f>IFERROR(IF(AND(ISNUMBER(B1512),ISNUMBER(B1511),B1511&lt;&gt;0),B1512/B1511-1,""),"")</f>
        <v/>
      </c>
      <c r="E1512" s="28">
        <f>IFERROR(IF(AND(ISNUMBER(C1512),ISNUMBER(C1511),C1511&lt;&gt;0),C1512/C1511-1,""),"")</f>
        <v/>
      </c>
      <c r="F1512" s="28">
        <f>IFERROR(D1512-Dashboard!$B$4/252,"")</f>
        <v/>
      </c>
      <c r="G1512" s="28">
        <f>IFERROR(E1512-Dashboard!$B$4/252,"")</f>
        <v/>
      </c>
      <c r="H1512" s="8">
        <f>IFERROR(IF(ISNUMBER(B1512),MAX(B1512,IFERROR(H1511,B1512)),""),"")</f>
        <v/>
      </c>
      <c r="I1512" s="29">
        <f>IFERROR(IF(AND(ISNUMBER(B1512),ISNUMBER(H1512)),B1512/H1512-1,""),"")</f>
        <v/>
      </c>
      <c r="J1512" s="8">
        <f>IFERROR(IF(ISNUMBER(C1512),MAX(C1512,IFERROR(J1511,C1512)),""),"")</f>
        <v/>
      </c>
      <c r="K1512" s="29">
        <f>IFERROR(IF(AND(ISNUMBER(C1512),ISNUMBER(J1512)),C1512/J1512-1,""),"")</f>
        <v/>
      </c>
      <c r="L1512" s="28">
        <f>IFERROR(IF(AND(ISNUMBER(D1512),ISNUMBER(E1512)),D1512-E1512,""),"")</f>
        <v/>
      </c>
    </row>
    <row r="1513">
      <c r="A1513" s="7">
        <f>IFERROR(Datos!A1513,"")</f>
        <v/>
      </c>
      <c r="B1513" s="8">
        <f>IFERROR(Datos!B1513,"")</f>
        <v/>
      </c>
      <c r="C1513" s="8">
        <f>IFERROR(Datos!C1513,"")</f>
        <v/>
      </c>
      <c r="D1513" s="28">
        <f>IFERROR(IF(AND(ISNUMBER(B1513),ISNUMBER(B1512),B1512&lt;&gt;0),B1513/B1512-1,""),"")</f>
        <v/>
      </c>
      <c r="E1513" s="28">
        <f>IFERROR(IF(AND(ISNUMBER(C1513),ISNUMBER(C1512),C1512&lt;&gt;0),C1513/C1512-1,""),"")</f>
        <v/>
      </c>
      <c r="F1513" s="28">
        <f>IFERROR(D1513-Dashboard!$B$4/252,"")</f>
        <v/>
      </c>
      <c r="G1513" s="28">
        <f>IFERROR(E1513-Dashboard!$B$4/252,"")</f>
        <v/>
      </c>
      <c r="H1513" s="8">
        <f>IFERROR(IF(ISNUMBER(B1513),MAX(B1513,IFERROR(H1512,B1513)),""),"")</f>
        <v/>
      </c>
      <c r="I1513" s="29">
        <f>IFERROR(IF(AND(ISNUMBER(B1513),ISNUMBER(H1513)),B1513/H1513-1,""),"")</f>
        <v/>
      </c>
      <c r="J1513" s="8">
        <f>IFERROR(IF(ISNUMBER(C1513),MAX(C1513,IFERROR(J1512,C1513)),""),"")</f>
        <v/>
      </c>
      <c r="K1513" s="29">
        <f>IFERROR(IF(AND(ISNUMBER(C1513),ISNUMBER(J1513)),C1513/J1513-1,""),"")</f>
        <v/>
      </c>
      <c r="L1513" s="28">
        <f>IFERROR(IF(AND(ISNUMBER(D1513),ISNUMBER(E1513)),D1513-E1513,""),"")</f>
        <v/>
      </c>
    </row>
    <row r="1514">
      <c r="A1514" s="7">
        <f>IFERROR(Datos!A1514,"")</f>
        <v/>
      </c>
      <c r="B1514" s="8">
        <f>IFERROR(Datos!B1514,"")</f>
        <v/>
      </c>
      <c r="C1514" s="8">
        <f>IFERROR(Datos!C1514,"")</f>
        <v/>
      </c>
      <c r="D1514" s="28">
        <f>IFERROR(IF(AND(ISNUMBER(B1514),ISNUMBER(B1513),B1513&lt;&gt;0),B1514/B1513-1,""),"")</f>
        <v/>
      </c>
      <c r="E1514" s="28">
        <f>IFERROR(IF(AND(ISNUMBER(C1514),ISNUMBER(C1513),C1513&lt;&gt;0),C1514/C1513-1,""),"")</f>
        <v/>
      </c>
      <c r="F1514" s="28">
        <f>IFERROR(D1514-Dashboard!$B$4/252,"")</f>
        <v/>
      </c>
      <c r="G1514" s="28">
        <f>IFERROR(E1514-Dashboard!$B$4/252,"")</f>
        <v/>
      </c>
      <c r="H1514" s="8">
        <f>IFERROR(IF(ISNUMBER(B1514),MAX(B1514,IFERROR(H1513,B1514)),""),"")</f>
        <v/>
      </c>
      <c r="I1514" s="29">
        <f>IFERROR(IF(AND(ISNUMBER(B1514),ISNUMBER(H1514)),B1514/H1514-1,""),"")</f>
        <v/>
      </c>
      <c r="J1514" s="8">
        <f>IFERROR(IF(ISNUMBER(C1514),MAX(C1514,IFERROR(J1513,C1514)),""),"")</f>
        <v/>
      </c>
      <c r="K1514" s="29">
        <f>IFERROR(IF(AND(ISNUMBER(C1514),ISNUMBER(J1514)),C1514/J1514-1,""),"")</f>
        <v/>
      </c>
      <c r="L1514" s="28">
        <f>IFERROR(IF(AND(ISNUMBER(D1514),ISNUMBER(E1514)),D1514-E1514,""),"")</f>
        <v/>
      </c>
    </row>
    <row r="1515">
      <c r="A1515" s="7">
        <f>IFERROR(Datos!A1515,"")</f>
        <v/>
      </c>
      <c r="B1515" s="8">
        <f>IFERROR(Datos!B1515,"")</f>
        <v/>
      </c>
      <c r="C1515" s="8">
        <f>IFERROR(Datos!C1515,"")</f>
        <v/>
      </c>
      <c r="D1515" s="28">
        <f>IFERROR(IF(AND(ISNUMBER(B1515),ISNUMBER(B1514),B1514&lt;&gt;0),B1515/B1514-1,""),"")</f>
        <v/>
      </c>
      <c r="E1515" s="28">
        <f>IFERROR(IF(AND(ISNUMBER(C1515),ISNUMBER(C1514),C1514&lt;&gt;0),C1515/C1514-1,""),"")</f>
        <v/>
      </c>
      <c r="F1515" s="28">
        <f>IFERROR(D1515-Dashboard!$B$4/252,"")</f>
        <v/>
      </c>
      <c r="G1515" s="28">
        <f>IFERROR(E1515-Dashboard!$B$4/252,"")</f>
        <v/>
      </c>
      <c r="H1515" s="8">
        <f>IFERROR(IF(ISNUMBER(B1515),MAX(B1515,IFERROR(H1514,B1515)),""),"")</f>
        <v/>
      </c>
      <c r="I1515" s="29">
        <f>IFERROR(IF(AND(ISNUMBER(B1515),ISNUMBER(H1515)),B1515/H1515-1,""),"")</f>
        <v/>
      </c>
      <c r="J1515" s="8">
        <f>IFERROR(IF(ISNUMBER(C1515),MAX(C1515,IFERROR(J1514,C1515)),""),"")</f>
        <v/>
      </c>
      <c r="K1515" s="29">
        <f>IFERROR(IF(AND(ISNUMBER(C1515),ISNUMBER(J1515)),C1515/J1515-1,""),"")</f>
        <v/>
      </c>
      <c r="L1515" s="28">
        <f>IFERROR(IF(AND(ISNUMBER(D1515),ISNUMBER(E1515)),D1515-E1515,""),"")</f>
        <v/>
      </c>
    </row>
    <row r="1516">
      <c r="A1516" s="7">
        <f>IFERROR(Datos!A1516,"")</f>
        <v/>
      </c>
      <c r="B1516" s="8">
        <f>IFERROR(Datos!B1516,"")</f>
        <v/>
      </c>
      <c r="C1516" s="8">
        <f>IFERROR(Datos!C1516,"")</f>
        <v/>
      </c>
      <c r="D1516" s="28">
        <f>IFERROR(IF(AND(ISNUMBER(B1516),ISNUMBER(B1515),B1515&lt;&gt;0),B1516/B1515-1,""),"")</f>
        <v/>
      </c>
      <c r="E1516" s="28">
        <f>IFERROR(IF(AND(ISNUMBER(C1516),ISNUMBER(C1515),C1515&lt;&gt;0),C1516/C1515-1,""),"")</f>
        <v/>
      </c>
      <c r="F1516" s="28">
        <f>IFERROR(D1516-Dashboard!$B$4/252,"")</f>
        <v/>
      </c>
      <c r="G1516" s="28">
        <f>IFERROR(E1516-Dashboard!$B$4/252,"")</f>
        <v/>
      </c>
      <c r="H1516" s="8">
        <f>IFERROR(IF(ISNUMBER(B1516),MAX(B1516,IFERROR(H1515,B1516)),""),"")</f>
        <v/>
      </c>
      <c r="I1516" s="29">
        <f>IFERROR(IF(AND(ISNUMBER(B1516),ISNUMBER(H1516)),B1516/H1516-1,""),"")</f>
        <v/>
      </c>
      <c r="J1516" s="8">
        <f>IFERROR(IF(ISNUMBER(C1516),MAX(C1516,IFERROR(J1515,C1516)),""),"")</f>
        <v/>
      </c>
      <c r="K1516" s="29">
        <f>IFERROR(IF(AND(ISNUMBER(C1516),ISNUMBER(J1516)),C1516/J1516-1,""),"")</f>
        <v/>
      </c>
      <c r="L1516" s="28">
        <f>IFERROR(IF(AND(ISNUMBER(D1516),ISNUMBER(E1516)),D1516-E1516,""),"")</f>
        <v/>
      </c>
    </row>
    <row r="1517">
      <c r="A1517" s="7">
        <f>IFERROR(Datos!A1517,"")</f>
        <v/>
      </c>
      <c r="B1517" s="8">
        <f>IFERROR(Datos!B1517,"")</f>
        <v/>
      </c>
      <c r="C1517" s="8">
        <f>IFERROR(Datos!C1517,"")</f>
        <v/>
      </c>
      <c r="D1517" s="28">
        <f>IFERROR(IF(AND(ISNUMBER(B1517),ISNUMBER(B1516),B1516&lt;&gt;0),B1517/B1516-1,""),"")</f>
        <v/>
      </c>
      <c r="E1517" s="28">
        <f>IFERROR(IF(AND(ISNUMBER(C1517),ISNUMBER(C1516),C1516&lt;&gt;0),C1517/C1516-1,""),"")</f>
        <v/>
      </c>
      <c r="F1517" s="28">
        <f>IFERROR(D1517-Dashboard!$B$4/252,"")</f>
        <v/>
      </c>
      <c r="G1517" s="28">
        <f>IFERROR(E1517-Dashboard!$B$4/252,"")</f>
        <v/>
      </c>
      <c r="H1517" s="8">
        <f>IFERROR(IF(ISNUMBER(B1517),MAX(B1517,IFERROR(H1516,B1517)),""),"")</f>
        <v/>
      </c>
      <c r="I1517" s="29">
        <f>IFERROR(IF(AND(ISNUMBER(B1517),ISNUMBER(H1517)),B1517/H1517-1,""),"")</f>
        <v/>
      </c>
      <c r="J1517" s="8">
        <f>IFERROR(IF(ISNUMBER(C1517),MAX(C1517,IFERROR(J1516,C1517)),""),"")</f>
        <v/>
      </c>
      <c r="K1517" s="29">
        <f>IFERROR(IF(AND(ISNUMBER(C1517),ISNUMBER(J1517)),C1517/J1517-1,""),"")</f>
        <v/>
      </c>
      <c r="L1517" s="28">
        <f>IFERROR(IF(AND(ISNUMBER(D1517),ISNUMBER(E1517)),D1517-E1517,""),"")</f>
        <v/>
      </c>
    </row>
    <row r="1518">
      <c r="A1518" s="7">
        <f>IFERROR(Datos!A1518,"")</f>
        <v/>
      </c>
      <c r="B1518" s="8">
        <f>IFERROR(Datos!B1518,"")</f>
        <v/>
      </c>
      <c r="C1518" s="8">
        <f>IFERROR(Datos!C1518,"")</f>
        <v/>
      </c>
      <c r="D1518" s="28">
        <f>IFERROR(IF(AND(ISNUMBER(B1518),ISNUMBER(B1517),B1517&lt;&gt;0),B1518/B1517-1,""),"")</f>
        <v/>
      </c>
      <c r="E1518" s="28">
        <f>IFERROR(IF(AND(ISNUMBER(C1518),ISNUMBER(C1517),C1517&lt;&gt;0),C1518/C1517-1,""),"")</f>
        <v/>
      </c>
      <c r="F1518" s="28">
        <f>IFERROR(D1518-Dashboard!$B$4/252,"")</f>
        <v/>
      </c>
      <c r="G1518" s="28">
        <f>IFERROR(E1518-Dashboard!$B$4/252,"")</f>
        <v/>
      </c>
      <c r="H1518" s="8">
        <f>IFERROR(IF(ISNUMBER(B1518),MAX(B1518,IFERROR(H1517,B1518)),""),"")</f>
        <v/>
      </c>
      <c r="I1518" s="29">
        <f>IFERROR(IF(AND(ISNUMBER(B1518),ISNUMBER(H1518)),B1518/H1518-1,""),"")</f>
        <v/>
      </c>
      <c r="J1518" s="8">
        <f>IFERROR(IF(ISNUMBER(C1518),MAX(C1518,IFERROR(J1517,C1518)),""),"")</f>
        <v/>
      </c>
      <c r="K1518" s="29">
        <f>IFERROR(IF(AND(ISNUMBER(C1518),ISNUMBER(J1518)),C1518/J1518-1,""),"")</f>
        <v/>
      </c>
      <c r="L1518" s="28">
        <f>IFERROR(IF(AND(ISNUMBER(D1518),ISNUMBER(E1518)),D1518-E1518,""),"")</f>
        <v/>
      </c>
    </row>
    <row r="1519">
      <c r="A1519" s="7">
        <f>IFERROR(Datos!A1519,"")</f>
        <v/>
      </c>
      <c r="B1519" s="8">
        <f>IFERROR(Datos!B1519,"")</f>
        <v/>
      </c>
      <c r="C1519" s="8">
        <f>IFERROR(Datos!C1519,"")</f>
        <v/>
      </c>
      <c r="D1519" s="28">
        <f>IFERROR(IF(AND(ISNUMBER(B1519),ISNUMBER(B1518),B1518&lt;&gt;0),B1519/B1518-1,""),"")</f>
        <v/>
      </c>
      <c r="E1519" s="28">
        <f>IFERROR(IF(AND(ISNUMBER(C1519),ISNUMBER(C1518),C1518&lt;&gt;0),C1519/C1518-1,""),"")</f>
        <v/>
      </c>
      <c r="F1519" s="28">
        <f>IFERROR(D1519-Dashboard!$B$4/252,"")</f>
        <v/>
      </c>
      <c r="G1519" s="28">
        <f>IFERROR(E1519-Dashboard!$B$4/252,"")</f>
        <v/>
      </c>
      <c r="H1519" s="8">
        <f>IFERROR(IF(ISNUMBER(B1519),MAX(B1519,IFERROR(H1518,B1519)),""),"")</f>
        <v/>
      </c>
      <c r="I1519" s="29">
        <f>IFERROR(IF(AND(ISNUMBER(B1519),ISNUMBER(H1519)),B1519/H1519-1,""),"")</f>
        <v/>
      </c>
      <c r="J1519" s="8">
        <f>IFERROR(IF(ISNUMBER(C1519),MAX(C1519,IFERROR(J1518,C1519)),""),"")</f>
        <v/>
      </c>
      <c r="K1519" s="29">
        <f>IFERROR(IF(AND(ISNUMBER(C1519),ISNUMBER(J1519)),C1519/J1519-1,""),"")</f>
        <v/>
      </c>
      <c r="L1519" s="28">
        <f>IFERROR(IF(AND(ISNUMBER(D1519),ISNUMBER(E1519)),D1519-E1519,""),"")</f>
        <v/>
      </c>
    </row>
    <row r="1520">
      <c r="A1520" s="7">
        <f>IFERROR(Datos!A1520,"")</f>
        <v/>
      </c>
      <c r="B1520" s="8">
        <f>IFERROR(Datos!B1520,"")</f>
        <v/>
      </c>
      <c r="C1520" s="8">
        <f>IFERROR(Datos!C1520,"")</f>
        <v/>
      </c>
      <c r="D1520" s="28">
        <f>IFERROR(IF(AND(ISNUMBER(B1520),ISNUMBER(B1519),B1519&lt;&gt;0),B1520/B1519-1,""),"")</f>
        <v/>
      </c>
      <c r="E1520" s="28">
        <f>IFERROR(IF(AND(ISNUMBER(C1520),ISNUMBER(C1519),C1519&lt;&gt;0),C1520/C1519-1,""),"")</f>
        <v/>
      </c>
      <c r="F1520" s="28">
        <f>IFERROR(D1520-Dashboard!$B$4/252,"")</f>
        <v/>
      </c>
      <c r="G1520" s="28">
        <f>IFERROR(E1520-Dashboard!$B$4/252,"")</f>
        <v/>
      </c>
      <c r="H1520" s="8">
        <f>IFERROR(IF(ISNUMBER(B1520),MAX(B1520,IFERROR(H1519,B1520)),""),"")</f>
        <v/>
      </c>
      <c r="I1520" s="29">
        <f>IFERROR(IF(AND(ISNUMBER(B1520),ISNUMBER(H1520)),B1520/H1520-1,""),"")</f>
        <v/>
      </c>
      <c r="J1520" s="8">
        <f>IFERROR(IF(ISNUMBER(C1520),MAX(C1520,IFERROR(J1519,C1520)),""),"")</f>
        <v/>
      </c>
      <c r="K1520" s="29">
        <f>IFERROR(IF(AND(ISNUMBER(C1520),ISNUMBER(J1520)),C1520/J1520-1,""),"")</f>
        <v/>
      </c>
      <c r="L1520" s="28">
        <f>IFERROR(IF(AND(ISNUMBER(D1520),ISNUMBER(E1520)),D1520-E1520,""),"")</f>
        <v/>
      </c>
    </row>
    <row r="1521">
      <c r="A1521" s="7">
        <f>IFERROR(Datos!A1521,"")</f>
        <v/>
      </c>
      <c r="B1521" s="8">
        <f>IFERROR(Datos!B1521,"")</f>
        <v/>
      </c>
      <c r="C1521" s="8">
        <f>IFERROR(Datos!C1521,"")</f>
        <v/>
      </c>
      <c r="D1521" s="28">
        <f>IFERROR(IF(AND(ISNUMBER(B1521),ISNUMBER(B1520),B1520&lt;&gt;0),B1521/B1520-1,""),"")</f>
        <v/>
      </c>
      <c r="E1521" s="28">
        <f>IFERROR(IF(AND(ISNUMBER(C1521),ISNUMBER(C1520),C1520&lt;&gt;0),C1521/C1520-1,""),"")</f>
        <v/>
      </c>
      <c r="F1521" s="28">
        <f>IFERROR(D1521-Dashboard!$B$4/252,"")</f>
        <v/>
      </c>
      <c r="G1521" s="28">
        <f>IFERROR(E1521-Dashboard!$B$4/252,"")</f>
        <v/>
      </c>
      <c r="H1521" s="8">
        <f>IFERROR(IF(ISNUMBER(B1521),MAX(B1521,IFERROR(H1520,B1521)),""),"")</f>
        <v/>
      </c>
      <c r="I1521" s="29">
        <f>IFERROR(IF(AND(ISNUMBER(B1521),ISNUMBER(H1521)),B1521/H1521-1,""),"")</f>
        <v/>
      </c>
      <c r="J1521" s="8">
        <f>IFERROR(IF(ISNUMBER(C1521),MAX(C1521,IFERROR(J1520,C1521)),""),"")</f>
        <v/>
      </c>
      <c r="K1521" s="29">
        <f>IFERROR(IF(AND(ISNUMBER(C1521),ISNUMBER(J1521)),C1521/J1521-1,""),"")</f>
        <v/>
      </c>
      <c r="L1521" s="28">
        <f>IFERROR(IF(AND(ISNUMBER(D1521),ISNUMBER(E1521)),D1521-E1521,""),"")</f>
        <v/>
      </c>
    </row>
    <row r="1522">
      <c r="A1522" s="7">
        <f>IFERROR(Datos!A1522,"")</f>
        <v/>
      </c>
      <c r="B1522" s="8">
        <f>IFERROR(Datos!B1522,"")</f>
        <v/>
      </c>
      <c r="C1522" s="8">
        <f>IFERROR(Datos!C1522,"")</f>
        <v/>
      </c>
      <c r="D1522" s="28">
        <f>IFERROR(IF(AND(ISNUMBER(B1522),ISNUMBER(B1521),B1521&lt;&gt;0),B1522/B1521-1,""),"")</f>
        <v/>
      </c>
      <c r="E1522" s="28">
        <f>IFERROR(IF(AND(ISNUMBER(C1522),ISNUMBER(C1521),C1521&lt;&gt;0),C1522/C1521-1,""),"")</f>
        <v/>
      </c>
      <c r="F1522" s="28">
        <f>IFERROR(D1522-Dashboard!$B$4/252,"")</f>
        <v/>
      </c>
      <c r="G1522" s="28">
        <f>IFERROR(E1522-Dashboard!$B$4/252,"")</f>
        <v/>
      </c>
      <c r="H1522" s="8">
        <f>IFERROR(IF(ISNUMBER(B1522),MAX(B1522,IFERROR(H1521,B1522)),""),"")</f>
        <v/>
      </c>
      <c r="I1522" s="29">
        <f>IFERROR(IF(AND(ISNUMBER(B1522),ISNUMBER(H1522)),B1522/H1522-1,""),"")</f>
        <v/>
      </c>
      <c r="J1522" s="8">
        <f>IFERROR(IF(ISNUMBER(C1522),MAX(C1522,IFERROR(J1521,C1522)),""),"")</f>
        <v/>
      </c>
      <c r="K1522" s="29">
        <f>IFERROR(IF(AND(ISNUMBER(C1522),ISNUMBER(J1522)),C1522/J1522-1,""),"")</f>
        <v/>
      </c>
      <c r="L1522" s="28">
        <f>IFERROR(IF(AND(ISNUMBER(D1522),ISNUMBER(E1522)),D1522-E1522,""),"")</f>
        <v/>
      </c>
    </row>
    <row r="1523">
      <c r="A1523" s="7">
        <f>IFERROR(Datos!A1523,"")</f>
        <v/>
      </c>
      <c r="B1523" s="8">
        <f>IFERROR(Datos!B1523,"")</f>
        <v/>
      </c>
      <c r="C1523" s="8">
        <f>IFERROR(Datos!C1523,"")</f>
        <v/>
      </c>
      <c r="D1523" s="28">
        <f>IFERROR(IF(AND(ISNUMBER(B1523),ISNUMBER(B1522),B1522&lt;&gt;0),B1523/B1522-1,""),"")</f>
        <v/>
      </c>
      <c r="E1523" s="28">
        <f>IFERROR(IF(AND(ISNUMBER(C1523),ISNUMBER(C1522),C1522&lt;&gt;0),C1523/C1522-1,""),"")</f>
        <v/>
      </c>
      <c r="F1523" s="28">
        <f>IFERROR(D1523-Dashboard!$B$4/252,"")</f>
        <v/>
      </c>
      <c r="G1523" s="28">
        <f>IFERROR(E1523-Dashboard!$B$4/252,"")</f>
        <v/>
      </c>
      <c r="H1523" s="8">
        <f>IFERROR(IF(ISNUMBER(B1523),MAX(B1523,IFERROR(H1522,B1523)),""),"")</f>
        <v/>
      </c>
      <c r="I1523" s="29">
        <f>IFERROR(IF(AND(ISNUMBER(B1523),ISNUMBER(H1523)),B1523/H1523-1,""),"")</f>
        <v/>
      </c>
      <c r="J1523" s="8">
        <f>IFERROR(IF(ISNUMBER(C1523),MAX(C1523,IFERROR(J1522,C1523)),""),"")</f>
        <v/>
      </c>
      <c r="K1523" s="29">
        <f>IFERROR(IF(AND(ISNUMBER(C1523),ISNUMBER(J1523)),C1523/J1523-1,""),"")</f>
        <v/>
      </c>
      <c r="L1523" s="28">
        <f>IFERROR(IF(AND(ISNUMBER(D1523),ISNUMBER(E1523)),D1523-E1523,""),"")</f>
        <v/>
      </c>
    </row>
    <row r="1524">
      <c r="A1524" s="7">
        <f>IFERROR(Datos!A1524,"")</f>
        <v/>
      </c>
      <c r="B1524" s="8">
        <f>IFERROR(Datos!B1524,"")</f>
        <v/>
      </c>
      <c r="C1524" s="8">
        <f>IFERROR(Datos!C1524,"")</f>
        <v/>
      </c>
      <c r="D1524" s="28">
        <f>IFERROR(IF(AND(ISNUMBER(B1524),ISNUMBER(B1523),B1523&lt;&gt;0),B1524/B1523-1,""),"")</f>
        <v/>
      </c>
      <c r="E1524" s="28">
        <f>IFERROR(IF(AND(ISNUMBER(C1524),ISNUMBER(C1523),C1523&lt;&gt;0),C1524/C1523-1,""),"")</f>
        <v/>
      </c>
      <c r="F1524" s="28">
        <f>IFERROR(D1524-Dashboard!$B$4/252,"")</f>
        <v/>
      </c>
      <c r="G1524" s="28">
        <f>IFERROR(E1524-Dashboard!$B$4/252,"")</f>
        <v/>
      </c>
      <c r="H1524" s="8">
        <f>IFERROR(IF(ISNUMBER(B1524),MAX(B1524,IFERROR(H1523,B1524)),""),"")</f>
        <v/>
      </c>
      <c r="I1524" s="29">
        <f>IFERROR(IF(AND(ISNUMBER(B1524),ISNUMBER(H1524)),B1524/H1524-1,""),"")</f>
        <v/>
      </c>
      <c r="J1524" s="8">
        <f>IFERROR(IF(ISNUMBER(C1524),MAX(C1524,IFERROR(J1523,C1524)),""),"")</f>
        <v/>
      </c>
      <c r="K1524" s="29">
        <f>IFERROR(IF(AND(ISNUMBER(C1524),ISNUMBER(J1524)),C1524/J1524-1,""),"")</f>
        <v/>
      </c>
      <c r="L1524" s="28">
        <f>IFERROR(IF(AND(ISNUMBER(D1524),ISNUMBER(E1524)),D1524-E1524,""),"")</f>
        <v/>
      </c>
    </row>
    <row r="1525">
      <c r="A1525" s="7">
        <f>IFERROR(Datos!A1525,"")</f>
        <v/>
      </c>
      <c r="B1525" s="8">
        <f>IFERROR(Datos!B1525,"")</f>
        <v/>
      </c>
      <c r="C1525" s="8">
        <f>IFERROR(Datos!C1525,"")</f>
        <v/>
      </c>
      <c r="D1525" s="28">
        <f>IFERROR(IF(AND(ISNUMBER(B1525),ISNUMBER(B1524),B1524&lt;&gt;0),B1525/B1524-1,""),"")</f>
        <v/>
      </c>
      <c r="E1525" s="28">
        <f>IFERROR(IF(AND(ISNUMBER(C1525),ISNUMBER(C1524),C1524&lt;&gt;0),C1525/C1524-1,""),"")</f>
        <v/>
      </c>
      <c r="F1525" s="28">
        <f>IFERROR(D1525-Dashboard!$B$4/252,"")</f>
        <v/>
      </c>
      <c r="G1525" s="28">
        <f>IFERROR(E1525-Dashboard!$B$4/252,"")</f>
        <v/>
      </c>
      <c r="H1525" s="8">
        <f>IFERROR(IF(ISNUMBER(B1525),MAX(B1525,IFERROR(H1524,B1525)),""),"")</f>
        <v/>
      </c>
      <c r="I1525" s="29">
        <f>IFERROR(IF(AND(ISNUMBER(B1525),ISNUMBER(H1525)),B1525/H1525-1,""),"")</f>
        <v/>
      </c>
      <c r="J1525" s="8">
        <f>IFERROR(IF(ISNUMBER(C1525),MAX(C1525,IFERROR(J1524,C1525)),""),"")</f>
        <v/>
      </c>
      <c r="K1525" s="29">
        <f>IFERROR(IF(AND(ISNUMBER(C1525),ISNUMBER(J1525)),C1525/J1525-1,""),"")</f>
        <v/>
      </c>
      <c r="L1525" s="28">
        <f>IFERROR(IF(AND(ISNUMBER(D1525),ISNUMBER(E1525)),D1525-E1525,""),"")</f>
        <v/>
      </c>
    </row>
    <row r="1526">
      <c r="A1526" s="7">
        <f>IFERROR(Datos!A1526,"")</f>
        <v/>
      </c>
      <c r="B1526" s="8">
        <f>IFERROR(Datos!B1526,"")</f>
        <v/>
      </c>
      <c r="C1526" s="8">
        <f>IFERROR(Datos!C1526,"")</f>
        <v/>
      </c>
      <c r="D1526" s="28">
        <f>IFERROR(IF(AND(ISNUMBER(B1526),ISNUMBER(B1525),B1525&lt;&gt;0),B1526/B1525-1,""),"")</f>
        <v/>
      </c>
      <c r="E1526" s="28">
        <f>IFERROR(IF(AND(ISNUMBER(C1526),ISNUMBER(C1525),C1525&lt;&gt;0),C1526/C1525-1,""),"")</f>
        <v/>
      </c>
      <c r="F1526" s="28">
        <f>IFERROR(D1526-Dashboard!$B$4/252,"")</f>
        <v/>
      </c>
      <c r="G1526" s="28">
        <f>IFERROR(E1526-Dashboard!$B$4/252,"")</f>
        <v/>
      </c>
      <c r="H1526" s="8">
        <f>IFERROR(IF(ISNUMBER(B1526),MAX(B1526,IFERROR(H1525,B1526)),""),"")</f>
        <v/>
      </c>
      <c r="I1526" s="29">
        <f>IFERROR(IF(AND(ISNUMBER(B1526),ISNUMBER(H1526)),B1526/H1526-1,""),"")</f>
        <v/>
      </c>
      <c r="J1526" s="8">
        <f>IFERROR(IF(ISNUMBER(C1526),MAX(C1526,IFERROR(J1525,C1526)),""),"")</f>
        <v/>
      </c>
      <c r="K1526" s="29">
        <f>IFERROR(IF(AND(ISNUMBER(C1526),ISNUMBER(J1526)),C1526/J1526-1,""),"")</f>
        <v/>
      </c>
      <c r="L1526" s="28">
        <f>IFERROR(IF(AND(ISNUMBER(D1526),ISNUMBER(E1526)),D1526-E1526,""),"")</f>
        <v/>
      </c>
    </row>
    <row r="1527">
      <c r="A1527" s="7">
        <f>IFERROR(Datos!A1527,"")</f>
        <v/>
      </c>
      <c r="B1527" s="8">
        <f>IFERROR(Datos!B1527,"")</f>
        <v/>
      </c>
      <c r="C1527" s="8">
        <f>IFERROR(Datos!C1527,"")</f>
        <v/>
      </c>
      <c r="D1527" s="28">
        <f>IFERROR(IF(AND(ISNUMBER(B1527),ISNUMBER(B1526),B1526&lt;&gt;0),B1527/B1526-1,""),"")</f>
        <v/>
      </c>
      <c r="E1527" s="28">
        <f>IFERROR(IF(AND(ISNUMBER(C1527),ISNUMBER(C1526),C1526&lt;&gt;0),C1527/C1526-1,""),"")</f>
        <v/>
      </c>
      <c r="F1527" s="28">
        <f>IFERROR(D1527-Dashboard!$B$4/252,"")</f>
        <v/>
      </c>
      <c r="G1527" s="28">
        <f>IFERROR(E1527-Dashboard!$B$4/252,"")</f>
        <v/>
      </c>
      <c r="H1527" s="8">
        <f>IFERROR(IF(ISNUMBER(B1527),MAX(B1527,IFERROR(H1526,B1527)),""),"")</f>
        <v/>
      </c>
      <c r="I1527" s="29">
        <f>IFERROR(IF(AND(ISNUMBER(B1527),ISNUMBER(H1527)),B1527/H1527-1,""),"")</f>
        <v/>
      </c>
      <c r="J1527" s="8">
        <f>IFERROR(IF(ISNUMBER(C1527),MAX(C1527,IFERROR(J1526,C1527)),""),"")</f>
        <v/>
      </c>
      <c r="K1527" s="29">
        <f>IFERROR(IF(AND(ISNUMBER(C1527),ISNUMBER(J1527)),C1527/J1527-1,""),"")</f>
        <v/>
      </c>
      <c r="L1527" s="28">
        <f>IFERROR(IF(AND(ISNUMBER(D1527),ISNUMBER(E1527)),D1527-E1527,""),"")</f>
        <v/>
      </c>
    </row>
    <row r="1528">
      <c r="A1528" s="7">
        <f>IFERROR(Datos!A1528,"")</f>
        <v/>
      </c>
      <c r="B1528" s="8">
        <f>IFERROR(Datos!B1528,"")</f>
        <v/>
      </c>
      <c r="C1528" s="8">
        <f>IFERROR(Datos!C1528,"")</f>
        <v/>
      </c>
      <c r="D1528" s="28">
        <f>IFERROR(IF(AND(ISNUMBER(B1528),ISNUMBER(B1527),B1527&lt;&gt;0),B1528/B1527-1,""),"")</f>
        <v/>
      </c>
      <c r="E1528" s="28">
        <f>IFERROR(IF(AND(ISNUMBER(C1528),ISNUMBER(C1527),C1527&lt;&gt;0),C1528/C1527-1,""),"")</f>
        <v/>
      </c>
      <c r="F1528" s="28">
        <f>IFERROR(D1528-Dashboard!$B$4/252,"")</f>
        <v/>
      </c>
      <c r="G1528" s="28">
        <f>IFERROR(E1528-Dashboard!$B$4/252,"")</f>
        <v/>
      </c>
      <c r="H1528" s="8">
        <f>IFERROR(IF(ISNUMBER(B1528),MAX(B1528,IFERROR(H1527,B1528)),""),"")</f>
        <v/>
      </c>
      <c r="I1528" s="29">
        <f>IFERROR(IF(AND(ISNUMBER(B1528),ISNUMBER(H1528)),B1528/H1528-1,""),"")</f>
        <v/>
      </c>
      <c r="J1528" s="8">
        <f>IFERROR(IF(ISNUMBER(C1528),MAX(C1528,IFERROR(J1527,C1528)),""),"")</f>
        <v/>
      </c>
      <c r="K1528" s="29">
        <f>IFERROR(IF(AND(ISNUMBER(C1528),ISNUMBER(J1528)),C1528/J1528-1,""),"")</f>
        <v/>
      </c>
      <c r="L1528" s="28">
        <f>IFERROR(IF(AND(ISNUMBER(D1528),ISNUMBER(E1528)),D1528-E1528,""),"")</f>
        <v/>
      </c>
    </row>
    <row r="1529">
      <c r="A1529" s="7">
        <f>IFERROR(Datos!A1529,"")</f>
        <v/>
      </c>
      <c r="B1529" s="8">
        <f>IFERROR(Datos!B1529,"")</f>
        <v/>
      </c>
      <c r="C1529" s="8">
        <f>IFERROR(Datos!C1529,"")</f>
        <v/>
      </c>
      <c r="D1529" s="28">
        <f>IFERROR(IF(AND(ISNUMBER(B1529),ISNUMBER(B1528),B1528&lt;&gt;0),B1529/B1528-1,""),"")</f>
        <v/>
      </c>
      <c r="E1529" s="28">
        <f>IFERROR(IF(AND(ISNUMBER(C1529),ISNUMBER(C1528),C1528&lt;&gt;0),C1529/C1528-1,""),"")</f>
        <v/>
      </c>
      <c r="F1529" s="28">
        <f>IFERROR(D1529-Dashboard!$B$4/252,"")</f>
        <v/>
      </c>
      <c r="G1529" s="28">
        <f>IFERROR(E1529-Dashboard!$B$4/252,"")</f>
        <v/>
      </c>
      <c r="H1529" s="8">
        <f>IFERROR(IF(ISNUMBER(B1529),MAX(B1529,IFERROR(H1528,B1529)),""),"")</f>
        <v/>
      </c>
      <c r="I1529" s="29">
        <f>IFERROR(IF(AND(ISNUMBER(B1529),ISNUMBER(H1529)),B1529/H1529-1,""),"")</f>
        <v/>
      </c>
      <c r="J1529" s="8">
        <f>IFERROR(IF(ISNUMBER(C1529),MAX(C1529,IFERROR(J1528,C1529)),""),"")</f>
        <v/>
      </c>
      <c r="K1529" s="29">
        <f>IFERROR(IF(AND(ISNUMBER(C1529),ISNUMBER(J1529)),C1529/J1529-1,""),"")</f>
        <v/>
      </c>
      <c r="L1529" s="28">
        <f>IFERROR(IF(AND(ISNUMBER(D1529),ISNUMBER(E1529)),D1529-E1529,""),"")</f>
        <v/>
      </c>
    </row>
    <row r="1530">
      <c r="A1530" s="7">
        <f>IFERROR(Datos!A1530,"")</f>
        <v/>
      </c>
      <c r="B1530" s="8">
        <f>IFERROR(Datos!B1530,"")</f>
        <v/>
      </c>
      <c r="C1530" s="8">
        <f>IFERROR(Datos!C1530,"")</f>
        <v/>
      </c>
      <c r="D1530" s="28">
        <f>IFERROR(IF(AND(ISNUMBER(B1530),ISNUMBER(B1529),B1529&lt;&gt;0),B1530/B1529-1,""),"")</f>
        <v/>
      </c>
      <c r="E1530" s="28">
        <f>IFERROR(IF(AND(ISNUMBER(C1530),ISNUMBER(C1529),C1529&lt;&gt;0),C1530/C1529-1,""),"")</f>
        <v/>
      </c>
      <c r="F1530" s="28">
        <f>IFERROR(D1530-Dashboard!$B$4/252,"")</f>
        <v/>
      </c>
      <c r="G1530" s="28">
        <f>IFERROR(E1530-Dashboard!$B$4/252,"")</f>
        <v/>
      </c>
      <c r="H1530" s="8">
        <f>IFERROR(IF(ISNUMBER(B1530),MAX(B1530,IFERROR(H1529,B1530)),""),"")</f>
        <v/>
      </c>
      <c r="I1530" s="29">
        <f>IFERROR(IF(AND(ISNUMBER(B1530),ISNUMBER(H1530)),B1530/H1530-1,""),"")</f>
        <v/>
      </c>
      <c r="J1530" s="8">
        <f>IFERROR(IF(ISNUMBER(C1530),MAX(C1530,IFERROR(J1529,C1530)),""),"")</f>
        <v/>
      </c>
      <c r="K1530" s="29">
        <f>IFERROR(IF(AND(ISNUMBER(C1530),ISNUMBER(J1530)),C1530/J1530-1,""),"")</f>
        <v/>
      </c>
      <c r="L1530" s="28">
        <f>IFERROR(IF(AND(ISNUMBER(D1530),ISNUMBER(E1530)),D1530-E1530,""),"")</f>
        <v/>
      </c>
    </row>
    <row r="1531">
      <c r="A1531" s="7">
        <f>IFERROR(Datos!A1531,"")</f>
        <v/>
      </c>
      <c r="B1531" s="8">
        <f>IFERROR(Datos!B1531,"")</f>
        <v/>
      </c>
      <c r="C1531" s="8">
        <f>IFERROR(Datos!C1531,"")</f>
        <v/>
      </c>
      <c r="D1531" s="28">
        <f>IFERROR(IF(AND(ISNUMBER(B1531),ISNUMBER(B1530),B1530&lt;&gt;0),B1531/B1530-1,""),"")</f>
        <v/>
      </c>
      <c r="E1531" s="28">
        <f>IFERROR(IF(AND(ISNUMBER(C1531),ISNUMBER(C1530),C1530&lt;&gt;0),C1531/C1530-1,""),"")</f>
        <v/>
      </c>
      <c r="F1531" s="28">
        <f>IFERROR(D1531-Dashboard!$B$4/252,"")</f>
        <v/>
      </c>
      <c r="G1531" s="28">
        <f>IFERROR(E1531-Dashboard!$B$4/252,"")</f>
        <v/>
      </c>
      <c r="H1531" s="8">
        <f>IFERROR(IF(ISNUMBER(B1531),MAX(B1531,IFERROR(H1530,B1531)),""),"")</f>
        <v/>
      </c>
      <c r="I1531" s="29">
        <f>IFERROR(IF(AND(ISNUMBER(B1531),ISNUMBER(H1531)),B1531/H1531-1,""),"")</f>
        <v/>
      </c>
      <c r="J1531" s="8">
        <f>IFERROR(IF(ISNUMBER(C1531),MAX(C1531,IFERROR(J1530,C1531)),""),"")</f>
        <v/>
      </c>
      <c r="K1531" s="29">
        <f>IFERROR(IF(AND(ISNUMBER(C1531),ISNUMBER(J1531)),C1531/J1531-1,""),"")</f>
        <v/>
      </c>
      <c r="L1531" s="28">
        <f>IFERROR(IF(AND(ISNUMBER(D1531),ISNUMBER(E1531)),D1531-E1531,""),"")</f>
        <v/>
      </c>
    </row>
    <row r="1532">
      <c r="A1532" s="7">
        <f>IFERROR(Datos!A1532,"")</f>
        <v/>
      </c>
      <c r="B1532" s="8">
        <f>IFERROR(Datos!B1532,"")</f>
        <v/>
      </c>
      <c r="C1532" s="8">
        <f>IFERROR(Datos!C1532,"")</f>
        <v/>
      </c>
      <c r="D1532" s="28">
        <f>IFERROR(IF(AND(ISNUMBER(B1532),ISNUMBER(B1531),B1531&lt;&gt;0),B1532/B1531-1,""),"")</f>
        <v/>
      </c>
      <c r="E1532" s="28">
        <f>IFERROR(IF(AND(ISNUMBER(C1532),ISNUMBER(C1531),C1531&lt;&gt;0),C1532/C1531-1,""),"")</f>
        <v/>
      </c>
      <c r="F1532" s="28">
        <f>IFERROR(D1532-Dashboard!$B$4/252,"")</f>
        <v/>
      </c>
      <c r="G1532" s="28">
        <f>IFERROR(E1532-Dashboard!$B$4/252,"")</f>
        <v/>
      </c>
      <c r="H1532" s="8">
        <f>IFERROR(IF(ISNUMBER(B1532),MAX(B1532,IFERROR(H1531,B1532)),""),"")</f>
        <v/>
      </c>
      <c r="I1532" s="29">
        <f>IFERROR(IF(AND(ISNUMBER(B1532),ISNUMBER(H1532)),B1532/H1532-1,""),"")</f>
        <v/>
      </c>
      <c r="J1532" s="8">
        <f>IFERROR(IF(ISNUMBER(C1532),MAX(C1532,IFERROR(J1531,C1532)),""),"")</f>
        <v/>
      </c>
      <c r="K1532" s="29">
        <f>IFERROR(IF(AND(ISNUMBER(C1532),ISNUMBER(J1532)),C1532/J1532-1,""),"")</f>
        <v/>
      </c>
      <c r="L1532" s="28">
        <f>IFERROR(IF(AND(ISNUMBER(D1532),ISNUMBER(E1532)),D1532-E1532,""),"")</f>
        <v/>
      </c>
    </row>
    <row r="1533">
      <c r="A1533" s="7">
        <f>IFERROR(Datos!A1533,"")</f>
        <v/>
      </c>
      <c r="B1533" s="8">
        <f>IFERROR(Datos!B1533,"")</f>
        <v/>
      </c>
      <c r="C1533" s="8">
        <f>IFERROR(Datos!C1533,"")</f>
        <v/>
      </c>
      <c r="D1533" s="28">
        <f>IFERROR(IF(AND(ISNUMBER(B1533),ISNUMBER(B1532),B1532&lt;&gt;0),B1533/B1532-1,""),"")</f>
        <v/>
      </c>
      <c r="E1533" s="28">
        <f>IFERROR(IF(AND(ISNUMBER(C1533),ISNUMBER(C1532),C1532&lt;&gt;0),C1533/C1532-1,""),"")</f>
        <v/>
      </c>
      <c r="F1533" s="28">
        <f>IFERROR(D1533-Dashboard!$B$4/252,"")</f>
        <v/>
      </c>
      <c r="G1533" s="28">
        <f>IFERROR(E1533-Dashboard!$B$4/252,"")</f>
        <v/>
      </c>
      <c r="H1533" s="8">
        <f>IFERROR(IF(ISNUMBER(B1533),MAX(B1533,IFERROR(H1532,B1533)),""),"")</f>
        <v/>
      </c>
      <c r="I1533" s="29">
        <f>IFERROR(IF(AND(ISNUMBER(B1533),ISNUMBER(H1533)),B1533/H1533-1,""),"")</f>
        <v/>
      </c>
      <c r="J1533" s="8">
        <f>IFERROR(IF(ISNUMBER(C1533),MAX(C1533,IFERROR(J1532,C1533)),""),"")</f>
        <v/>
      </c>
      <c r="K1533" s="29">
        <f>IFERROR(IF(AND(ISNUMBER(C1533),ISNUMBER(J1533)),C1533/J1533-1,""),"")</f>
        <v/>
      </c>
      <c r="L1533" s="28">
        <f>IFERROR(IF(AND(ISNUMBER(D1533),ISNUMBER(E1533)),D1533-E1533,""),"")</f>
        <v/>
      </c>
    </row>
    <row r="1534">
      <c r="A1534" s="7">
        <f>IFERROR(Datos!A1534,"")</f>
        <v/>
      </c>
      <c r="B1534" s="8">
        <f>IFERROR(Datos!B1534,"")</f>
        <v/>
      </c>
      <c r="C1534" s="8">
        <f>IFERROR(Datos!C1534,"")</f>
        <v/>
      </c>
      <c r="D1534" s="28">
        <f>IFERROR(IF(AND(ISNUMBER(B1534),ISNUMBER(B1533),B1533&lt;&gt;0),B1534/B1533-1,""),"")</f>
        <v/>
      </c>
      <c r="E1534" s="28">
        <f>IFERROR(IF(AND(ISNUMBER(C1534),ISNUMBER(C1533),C1533&lt;&gt;0),C1534/C1533-1,""),"")</f>
        <v/>
      </c>
      <c r="F1534" s="28">
        <f>IFERROR(D1534-Dashboard!$B$4/252,"")</f>
        <v/>
      </c>
      <c r="G1534" s="28">
        <f>IFERROR(E1534-Dashboard!$B$4/252,"")</f>
        <v/>
      </c>
      <c r="H1534" s="8">
        <f>IFERROR(IF(ISNUMBER(B1534),MAX(B1534,IFERROR(H1533,B1534)),""),"")</f>
        <v/>
      </c>
      <c r="I1534" s="29">
        <f>IFERROR(IF(AND(ISNUMBER(B1534),ISNUMBER(H1534)),B1534/H1534-1,""),"")</f>
        <v/>
      </c>
      <c r="J1534" s="8">
        <f>IFERROR(IF(ISNUMBER(C1534),MAX(C1534,IFERROR(J1533,C1534)),""),"")</f>
        <v/>
      </c>
      <c r="K1534" s="29">
        <f>IFERROR(IF(AND(ISNUMBER(C1534),ISNUMBER(J1534)),C1534/J1534-1,""),"")</f>
        <v/>
      </c>
      <c r="L1534" s="28">
        <f>IFERROR(IF(AND(ISNUMBER(D1534),ISNUMBER(E1534)),D1534-E1534,""),"")</f>
        <v/>
      </c>
    </row>
    <row r="1535">
      <c r="A1535" s="7">
        <f>IFERROR(Datos!A1535,"")</f>
        <v/>
      </c>
      <c r="B1535" s="8">
        <f>IFERROR(Datos!B1535,"")</f>
        <v/>
      </c>
      <c r="C1535" s="8">
        <f>IFERROR(Datos!C1535,"")</f>
        <v/>
      </c>
      <c r="D1535" s="28">
        <f>IFERROR(IF(AND(ISNUMBER(B1535),ISNUMBER(B1534),B1534&lt;&gt;0),B1535/B1534-1,""),"")</f>
        <v/>
      </c>
      <c r="E1535" s="28">
        <f>IFERROR(IF(AND(ISNUMBER(C1535),ISNUMBER(C1534),C1534&lt;&gt;0),C1535/C1534-1,""),"")</f>
        <v/>
      </c>
      <c r="F1535" s="28">
        <f>IFERROR(D1535-Dashboard!$B$4/252,"")</f>
        <v/>
      </c>
      <c r="G1535" s="28">
        <f>IFERROR(E1535-Dashboard!$B$4/252,"")</f>
        <v/>
      </c>
      <c r="H1535" s="8">
        <f>IFERROR(IF(ISNUMBER(B1535),MAX(B1535,IFERROR(H1534,B1535)),""),"")</f>
        <v/>
      </c>
      <c r="I1535" s="29">
        <f>IFERROR(IF(AND(ISNUMBER(B1535),ISNUMBER(H1535)),B1535/H1535-1,""),"")</f>
        <v/>
      </c>
      <c r="J1535" s="8">
        <f>IFERROR(IF(ISNUMBER(C1535),MAX(C1535,IFERROR(J1534,C1535)),""),"")</f>
        <v/>
      </c>
      <c r="K1535" s="29">
        <f>IFERROR(IF(AND(ISNUMBER(C1535),ISNUMBER(J1535)),C1535/J1535-1,""),"")</f>
        <v/>
      </c>
      <c r="L1535" s="28">
        <f>IFERROR(IF(AND(ISNUMBER(D1535),ISNUMBER(E1535)),D1535-E1535,""),"")</f>
        <v/>
      </c>
    </row>
    <row r="1536">
      <c r="A1536" s="7">
        <f>IFERROR(Datos!A1536,"")</f>
        <v/>
      </c>
      <c r="B1536" s="8">
        <f>IFERROR(Datos!B1536,"")</f>
        <v/>
      </c>
      <c r="C1536" s="8">
        <f>IFERROR(Datos!C1536,"")</f>
        <v/>
      </c>
      <c r="D1536" s="28">
        <f>IFERROR(IF(AND(ISNUMBER(B1536),ISNUMBER(B1535),B1535&lt;&gt;0),B1536/B1535-1,""),"")</f>
        <v/>
      </c>
      <c r="E1536" s="28">
        <f>IFERROR(IF(AND(ISNUMBER(C1536),ISNUMBER(C1535),C1535&lt;&gt;0),C1536/C1535-1,""),"")</f>
        <v/>
      </c>
      <c r="F1536" s="28">
        <f>IFERROR(D1536-Dashboard!$B$4/252,"")</f>
        <v/>
      </c>
      <c r="G1536" s="28">
        <f>IFERROR(E1536-Dashboard!$B$4/252,"")</f>
        <v/>
      </c>
      <c r="H1536" s="8">
        <f>IFERROR(IF(ISNUMBER(B1536),MAX(B1536,IFERROR(H1535,B1536)),""),"")</f>
        <v/>
      </c>
      <c r="I1536" s="29">
        <f>IFERROR(IF(AND(ISNUMBER(B1536),ISNUMBER(H1536)),B1536/H1536-1,""),"")</f>
        <v/>
      </c>
      <c r="J1536" s="8">
        <f>IFERROR(IF(ISNUMBER(C1536),MAX(C1536,IFERROR(J1535,C1536)),""),"")</f>
        <v/>
      </c>
      <c r="K1536" s="29">
        <f>IFERROR(IF(AND(ISNUMBER(C1536),ISNUMBER(J1536)),C1536/J1536-1,""),"")</f>
        <v/>
      </c>
      <c r="L1536" s="28">
        <f>IFERROR(IF(AND(ISNUMBER(D1536),ISNUMBER(E1536)),D1536-E1536,""),"")</f>
        <v/>
      </c>
    </row>
    <row r="1537">
      <c r="A1537" s="7">
        <f>IFERROR(Datos!A1537,"")</f>
        <v/>
      </c>
      <c r="B1537" s="8">
        <f>IFERROR(Datos!B1537,"")</f>
        <v/>
      </c>
      <c r="C1537" s="8">
        <f>IFERROR(Datos!C1537,"")</f>
        <v/>
      </c>
      <c r="D1537" s="28">
        <f>IFERROR(IF(AND(ISNUMBER(B1537),ISNUMBER(B1536),B1536&lt;&gt;0),B1537/B1536-1,""),"")</f>
        <v/>
      </c>
      <c r="E1537" s="28">
        <f>IFERROR(IF(AND(ISNUMBER(C1537),ISNUMBER(C1536),C1536&lt;&gt;0),C1537/C1536-1,""),"")</f>
        <v/>
      </c>
      <c r="F1537" s="28">
        <f>IFERROR(D1537-Dashboard!$B$4/252,"")</f>
        <v/>
      </c>
      <c r="G1537" s="28">
        <f>IFERROR(E1537-Dashboard!$B$4/252,"")</f>
        <v/>
      </c>
      <c r="H1537" s="8">
        <f>IFERROR(IF(ISNUMBER(B1537),MAX(B1537,IFERROR(H1536,B1537)),""),"")</f>
        <v/>
      </c>
      <c r="I1537" s="29">
        <f>IFERROR(IF(AND(ISNUMBER(B1537),ISNUMBER(H1537)),B1537/H1537-1,""),"")</f>
        <v/>
      </c>
      <c r="J1537" s="8">
        <f>IFERROR(IF(ISNUMBER(C1537),MAX(C1537,IFERROR(J1536,C1537)),""),"")</f>
        <v/>
      </c>
      <c r="K1537" s="29">
        <f>IFERROR(IF(AND(ISNUMBER(C1537),ISNUMBER(J1537)),C1537/J1537-1,""),"")</f>
        <v/>
      </c>
      <c r="L1537" s="28">
        <f>IFERROR(IF(AND(ISNUMBER(D1537),ISNUMBER(E1537)),D1537-E1537,""),"")</f>
        <v/>
      </c>
    </row>
    <row r="1538">
      <c r="A1538" s="7">
        <f>IFERROR(Datos!A1538,"")</f>
        <v/>
      </c>
      <c r="B1538" s="8">
        <f>IFERROR(Datos!B1538,"")</f>
        <v/>
      </c>
      <c r="C1538" s="8">
        <f>IFERROR(Datos!C1538,"")</f>
        <v/>
      </c>
      <c r="D1538" s="28">
        <f>IFERROR(IF(AND(ISNUMBER(B1538),ISNUMBER(B1537),B1537&lt;&gt;0),B1538/B1537-1,""),"")</f>
        <v/>
      </c>
      <c r="E1538" s="28">
        <f>IFERROR(IF(AND(ISNUMBER(C1538),ISNUMBER(C1537),C1537&lt;&gt;0),C1538/C1537-1,""),"")</f>
        <v/>
      </c>
      <c r="F1538" s="28">
        <f>IFERROR(D1538-Dashboard!$B$4/252,"")</f>
        <v/>
      </c>
      <c r="G1538" s="28">
        <f>IFERROR(E1538-Dashboard!$B$4/252,"")</f>
        <v/>
      </c>
      <c r="H1538" s="8">
        <f>IFERROR(IF(ISNUMBER(B1538),MAX(B1538,IFERROR(H1537,B1538)),""),"")</f>
        <v/>
      </c>
      <c r="I1538" s="29">
        <f>IFERROR(IF(AND(ISNUMBER(B1538),ISNUMBER(H1538)),B1538/H1538-1,""),"")</f>
        <v/>
      </c>
      <c r="J1538" s="8">
        <f>IFERROR(IF(ISNUMBER(C1538),MAX(C1538,IFERROR(J1537,C1538)),""),"")</f>
        <v/>
      </c>
      <c r="K1538" s="29">
        <f>IFERROR(IF(AND(ISNUMBER(C1538),ISNUMBER(J1538)),C1538/J1538-1,""),"")</f>
        <v/>
      </c>
      <c r="L1538" s="28">
        <f>IFERROR(IF(AND(ISNUMBER(D1538),ISNUMBER(E1538)),D1538-E1538,""),"")</f>
        <v/>
      </c>
    </row>
    <row r="1539">
      <c r="A1539" s="7">
        <f>IFERROR(Datos!A1539,"")</f>
        <v/>
      </c>
      <c r="B1539" s="8">
        <f>IFERROR(Datos!B1539,"")</f>
        <v/>
      </c>
      <c r="C1539" s="8">
        <f>IFERROR(Datos!C1539,"")</f>
        <v/>
      </c>
      <c r="D1539" s="28">
        <f>IFERROR(IF(AND(ISNUMBER(B1539),ISNUMBER(B1538),B1538&lt;&gt;0),B1539/B1538-1,""),"")</f>
        <v/>
      </c>
      <c r="E1539" s="28">
        <f>IFERROR(IF(AND(ISNUMBER(C1539),ISNUMBER(C1538),C1538&lt;&gt;0),C1539/C1538-1,""),"")</f>
        <v/>
      </c>
      <c r="F1539" s="28">
        <f>IFERROR(D1539-Dashboard!$B$4/252,"")</f>
        <v/>
      </c>
      <c r="G1539" s="28">
        <f>IFERROR(E1539-Dashboard!$B$4/252,"")</f>
        <v/>
      </c>
      <c r="H1539" s="8">
        <f>IFERROR(IF(ISNUMBER(B1539),MAX(B1539,IFERROR(H1538,B1539)),""),"")</f>
        <v/>
      </c>
      <c r="I1539" s="29">
        <f>IFERROR(IF(AND(ISNUMBER(B1539),ISNUMBER(H1539)),B1539/H1539-1,""),"")</f>
        <v/>
      </c>
      <c r="J1539" s="8">
        <f>IFERROR(IF(ISNUMBER(C1539),MAX(C1539,IFERROR(J1538,C1539)),""),"")</f>
        <v/>
      </c>
      <c r="K1539" s="29">
        <f>IFERROR(IF(AND(ISNUMBER(C1539),ISNUMBER(J1539)),C1539/J1539-1,""),"")</f>
        <v/>
      </c>
      <c r="L1539" s="28">
        <f>IFERROR(IF(AND(ISNUMBER(D1539),ISNUMBER(E1539)),D1539-E1539,""),"")</f>
        <v/>
      </c>
    </row>
    <row r="1540">
      <c r="A1540" s="7">
        <f>IFERROR(Datos!A1540,"")</f>
        <v/>
      </c>
      <c r="B1540" s="8">
        <f>IFERROR(Datos!B1540,"")</f>
        <v/>
      </c>
      <c r="C1540" s="8">
        <f>IFERROR(Datos!C1540,"")</f>
        <v/>
      </c>
      <c r="D1540" s="28">
        <f>IFERROR(IF(AND(ISNUMBER(B1540),ISNUMBER(B1539),B1539&lt;&gt;0),B1540/B1539-1,""),"")</f>
        <v/>
      </c>
      <c r="E1540" s="28">
        <f>IFERROR(IF(AND(ISNUMBER(C1540),ISNUMBER(C1539),C1539&lt;&gt;0),C1540/C1539-1,""),"")</f>
        <v/>
      </c>
      <c r="F1540" s="28">
        <f>IFERROR(D1540-Dashboard!$B$4/252,"")</f>
        <v/>
      </c>
      <c r="G1540" s="28">
        <f>IFERROR(E1540-Dashboard!$B$4/252,"")</f>
        <v/>
      </c>
      <c r="H1540" s="8">
        <f>IFERROR(IF(ISNUMBER(B1540),MAX(B1540,IFERROR(H1539,B1540)),""),"")</f>
        <v/>
      </c>
      <c r="I1540" s="29">
        <f>IFERROR(IF(AND(ISNUMBER(B1540),ISNUMBER(H1540)),B1540/H1540-1,""),"")</f>
        <v/>
      </c>
      <c r="J1540" s="8">
        <f>IFERROR(IF(ISNUMBER(C1540),MAX(C1540,IFERROR(J1539,C1540)),""),"")</f>
        <v/>
      </c>
      <c r="K1540" s="29">
        <f>IFERROR(IF(AND(ISNUMBER(C1540),ISNUMBER(J1540)),C1540/J1540-1,""),"")</f>
        <v/>
      </c>
      <c r="L1540" s="28">
        <f>IFERROR(IF(AND(ISNUMBER(D1540),ISNUMBER(E1540)),D1540-E1540,""),"")</f>
        <v/>
      </c>
    </row>
    <row r="1541">
      <c r="A1541" s="7">
        <f>IFERROR(Datos!A1541,"")</f>
        <v/>
      </c>
      <c r="B1541" s="8">
        <f>IFERROR(Datos!B1541,"")</f>
        <v/>
      </c>
      <c r="C1541" s="8">
        <f>IFERROR(Datos!C1541,"")</f>
        <v/>
      </c>
      <c r="D1541" s="28">
        <f>IFERROR(IF(AND(ISNUMBER(B1541),ISNUMBER(B1540),B1540&lt;&gt;0),B1541/B1540-1,""),"")</f>
        <v/>
      </c>
      <c r="E1541" s="28">
        <f>IFERROR(IF(AND(ISNUMBER(C1541),ISNUMBER(C1540),C1540&lt;&gt;0),C1541/C1540-1,""),"")</f>
        <v/>
      </c>
      <c r="F1541" s="28">
        <f>IFERROR(D1541-Dashboard!$B$4/252,"")</f>
        <v/>
      </c>
      <c r="G1541" s="28">
        <f>IFERROR(E1541-Dashboard!$B$4/252,"")</f>
        <v/>
      </c>
      <c r="H1541" s="8">
        <f>IFERROR(IF(ISNUMBER(B1541),MAX(B1541,IFERROR(H1540,B1541)),""),"")</f>
        <v/>
      </c>
      <c r="I1541" s="29">
        <f>IFERROR(IF(AND(ISNUMBER(B1541),ISNUMBER(H1541)),B1541/H1541-1,""),"")</f>
        <v/>
      </c>
      <c r="J1541" s="8">
        <f>IFERROR(IF(ISNUMBER(C1541),MAX(C1541,IFERROR(J1540,C1541)),""),"")</f>
        <v/>
      </c>
      <c r="K1541" s="29">
        <f>IFERROR(IF(AND(ISNUMBER(C1541),ISNUMBER(J1541)),C1541/J1541-1,""),"")</f>
        <v/>
      </c>
      <c r="L1541" s="28">
        <f>IFERROR(IF(AND(ISNUMBER(D1541),ISNUMBER(E1541)),D1541-E1541,""),"")</f>
        <v/>
      </c>
    </row>
    <row r="1542">
      <c r="A1542" s="7">
        <f>IFERROR(Datos!A1542,"")</f>
        <v/>
      </c>
      <c r="B1542" s="8">
        <f>IFERROR(Datos!B1542,"")</f>
        <v/>
      </c>
      <c r="C1542" s="8">
        <f>IFERROR(Datos!C1542,"")</f>
        <v/>
      </c>
      <c r="D1542" s="28">
        <f>IFERROR(IF(AND(ISNUMBER(B1542),ISNUMBER(B1541),B1541&lt;&gt;0),B1542/B1541-1,""),"")</f>
        <v/>
      </c>
      <c r="E1542" s="28">
        <f>IFERROR(IF(AND(ISNUMBER(C1542),ISNUMBER(C1541),C1541&lt;&gt;0),C1542/C1541-1,""),"")</f>
        <v/>
      </c>
      <c r="F1542" s="28">
        <f>IFERROR(D1542-Dashboard!$B$4/252,"")</f>
        <v/>
      </c>
      <c r="G1542" s="28">
        <f>IFERROR(E1542-Dashboard!$B$4/252,"")</f>
        <v/>
      </c>
      <c r="H1542" s="8">
        <f>IFERROR(IF(ISNUMBER(B1542),MAX(B1542,IFERROR(H1541,B1542)),""),"")</f>
        <v/>
      </c>
      <c r="I1542" s="29">
        <f>IFERROR(IF(AND(ISNUMBER(B1542),ISNUMBER(H1542)),B1542/H1542-1,""),"")</f>
        <v/>
      </c>
      <c r="J1542" s="8">
        <f>IFERROR(IF(ISNUMBER(C1542),MAX(C1542,IFERROR(J1541,C1542)),""),"")</f>
        <v/>
      </c>
      <c r="K1542" s="29">
        <f>IFERROR(IF(AND(ISNUMBER(C1542),ISNUMBER(J1542)),C1542/J1542-1,""),"")</f>
        <v/>
      </c>
      <c r="L1542" s="28">
        <f>IFERROR(IF(AND(ISNUMBER(D1542),ISNUMBER(E1542)),D1542-E1542,""),"")</f>
        <v/>
      </c>
    </row>
    <row r="1543">
      <c r="A1543" s="7">
        <f>IFERROR(Datos!A1543,"")</f>
        <v/>
      </c>
      <c r="B1543" s="8">
        <f>IFERROR(Datos!B1543,"")</f>
        <v/>
      </c>
      <c r="C1543" s="8">
        <f>IFERROR(Datos!C1543,"")</f>
        <v/>
      </c>
      <c r="D1543" s="28">
        <f>IFERROR(IF(AND(ISNUMBER(B1543),ISNUMBER(B1542),B1542&lt;&gt;0),B1543/B1542-1,""),"")</f>
        <v/>
      </c>
      <c r="E1543" s="28">
        <f>IFERROR(IF(AND(ISNUMBER(C1543),ISNUMBER(C1542),C1542&lt;&gt;0),C1543/C1542-1,""),"")</f>
        <v/>
      </c>
      <c r="F1543" s="28">
        <f>IFERROR(D1543-Dashboard!$B$4/252,"")</f>
        <v/>
      </c>
      <c r="G1543" s="28">
        <f>IFERROR(E1543-Dashboard!$B$4/252,"")</f>
        <v/>
      </c>
      <c r="H1543" s="8">
        <f>IFERROR(IF(ISNUMBER(B1543),MAX(B1543,IFERROR(H1542,B1543)),""),"")</f>
        <v/>
      </c>
      <c r="I1543" s="29">
        <f>IFERROR(IF(AND(ISNUMBER(B1543),ISNUMBER(H1543)),B1543/H1543-1,""),"")</f>
        <v/>
      </c>
      <c r="J1543" s="8">
        <f>IFERROR(IF(ISNUMBER(C1543),MAX(C1543,IFERROR(J1542,C1543)),""),"")</f>
        <v/>
      </c>
      <c r="K1543" s="29">
        <f>IFERROR(IF(AND(ISNUMBER(C1543),ISNUMBER(J1543)),C1543/J1543-1,""),"")</f>
        <v/>
      </c>
      <c r="L1543" s="28">
        <f>IFERROR(IF(AND(ISNUMBER(D1543),ISNUMBER(E1543)),D1543-E1543,""),"")</f>
        <v/>
      </c>
    </row>
    <row r="1544">
      <c r="A1544" s="7">
        <f>IFERROR(Datos!A1544,"")</f>
        <v/>
      </c>
      <c r="B1544" s="8">
        <f>IFERROR(Datos!B1544,"")</f>
        <v/>
      </c>
      <c r="C1544" s="8">
        <f>IFERROR(Datos!C1544,"")</f>
        <v/>
      </c>
      <c r="D1544" s="28">
        <f>IFERROR(IF(AND(ISNUMBER(B1544),ISNUMBER(B1543),B1543&lt;&gt;0),B1544/B1543-1,""),"")</f>
        <v/>
      </c>
      <c r="E1544" s="28">
        <f>IFERROR(IF(AND(ISNUMBER(C1544),ISNUMBER(C1543),C1543&lt;&gt;0),C1544/C1543-1,""),"")</f>
        <v/>
      </c>
      <c r="F1544" s="28">
        <f>IFERROR(D1544-Dashboard!$B$4/252,"")</f>
        <v/>
      </c>
      <c r="G1544" s="28">
        <f>IFERROR(E1544-Dashboard!$B$4/252,"")</f>
        <v/>
      </c>
      <c r="H1544" s="8">
        <f>IFERROR(IF(ISNUMBER(B1544),MAX(B1544,IFERROR(H1543,B1544)),""),"")</f>
        <v/>
      </c>
      <c r="I1544" s="29">
        <f>IFERROR(IF(AND(ISNUMBER(B1544),ISNUMBER(H1544)),B1544/H1544-1,""),"")</f>
        <v/>
      </c>
      <c r="J1544" s="8">
        <f>IFERROR(IF(ISNUMBER(C1544),MAX(C1544,IFERROR(J1543,C1544)),""),"")</f>
        <v/>
      </c>
      <c r="K1544" s="29">
        <f>IFERROR(IF(AND(ISNUMBER(C1544),ISNUMBER(J1544)),C1544/J1544-1,""),"")</f>
        <v/>
      </c>
      <c r="L1544" s="28">
        <f>IFERROR(IF(AND(ISNUMBER(D1544),ISNUMBER(E1544)),D1544-E1544,""),"")</f>
        <v/>
      </c>
    </row>
    <row r="1545">
      <c r="A1545" s="7">
        <f>IFERROR(Datos!A1545,"")</f>
        <v/>
      </c>
      <c r="B1545" s="8">
        <f>IFERROR(Datos!B1545,"")</f>
        <v/>
      </c>
      <c r="C1545" s="8">
        <f>IFERROR(Datos!C1545,"")</f>
        <v/>
      </c>
      <c r="D1545" s="28">
        <f>IFERROR(IF(AND(ISNUMBER(B1545),ISNUMBER(B1544),B1544&lt;&gt;0),B1545/B1544-1,""),"")</f>
        <v/>
      </c>
      <c r="E1545" s="28">
        <f>IFERROR(IF(AND(ISNUMBER(C1545),ISNUMBER(C1544),C1544&lt;&gt;0),C1545/C1544-1,""),"")</f>
        <v/>
      </c>
      <c r="F1545" s="28">
        <f>IFERROR(D1545-Dashboard!$B$4/252,"")</f>
        <v/>
      </c>
      <c r="G1545" s="28">
        <f>IFERROR(E1545-Dashboard!$B$4/252,"")</f>
        <v/>
      </c>
      <c r="H1545" s="8">
        <f>IFERROR(IF(ISNUMBER(B1545),MAX(B1545,IFERROR(H1544,B1545)),""),"")</f>
        <v/>
      </c>
      <c r="I1545" s="29">
        <f>IFERROR(IF(AND(ISNUMBER(B1545),ISNUMBER(H1545)),B1545/H1545-1,""),"")</f>
        <v/>
      </c>
      <c r="J1545" s="8">
        <f>IFERROR(IF(ISNUMBER(C1545),MAX(C1545,IFERROR(J1544,C1545)),""),"")</f>
        <v/>
      </c>
      <c r="K1545" s="29">
        <f>IFERROR(IF(AND(ISNUMBER(C1545),ISNUMBER(J1545)),C1545/J1545-1,""),"")</f>
        <v/>
      </c>
      <c r="L1545" s="28">
        <f>IFERROR(IF(AND(ISNUMBER(D1545),ISNUMBER(E1545)),D1545-E1545,""),"")</f>
        <v/>
      </c>
    </row>
    <row r="1546">
      <c r="A1546" s="7">
        <f>IFERROR(Datos!A1546,"")</f>
        <v/>
      </c>
      <c r="B1546" s="8">
        <f>IFERROR(Datos!B1546,"")</f>
        <v/>
      </c>
      <c r="C1546" s="8">
        <f>IFERROR(Datos!C1546,"")</f>
        <v/>
      </c>
      <c r="D1546" s="28">
        <f>IFERROR(IF(AND(ISNUMBER(B1546),ISNUMBER(B1545),B1545&lt;&gt;0),B1546/B1545-1,""),"")</f>
        <v/>
      </c>
      <c r="E1546" s="28">
        <f>IFERROR(IF(AND(ISNUMBER(C1546),ISNUMBER(C1545),C1545&lt;&gt;0),C1546/C1545-1,""),"")</f>
        <v/>
      </c>
      <c r="F1546" s="28">
        <f>IFERROR(D1546-Dashboard!$B$4/252,"")</f>
        <v/>
      </c>
      <c r="G1546" s="28">
        <f>IFERROR(E1546-Dashboard!$B$4/252,"")</f>
        <v/>
      </c>
      <c r="H1546" s="8">
        <f>IFERROR(IF(ISNUMBER(B1546),MAX(B1546,IFERROR(H1545,B1546)),""),"")</f>
        <v/>
      </c>
      <c r="I1546" s="29">
        <f>IFERROR(IF(AND(ISNUMBER(B1546),ISNUMBER(H1546)),B1546/H1546-1,""),"")</f>
        <v/>
      </c>
      <c r="J1546" s="8">
        <f>IFERROR(IF(ISNUMBER(C1546),MAX(C1546,IFERROR(J1545,C1546)),""),"")</f>
        <v/>
      </c>
      <c r="K1546" s="29">
        <f>IFERROR(IF(AND(ISNUMBER(C1546),ISNUMBER(J1546)),C1546/J1546-1,""),"")</f>
        <v/>
      </c>
      <c r="L1546" s="28">
        <f>IFERROR(IF(AND(ISNUMBER(D1546),ISNUMBER(E1546)),D1546-E1546,""),"")</f>
        <v/>
      </c>
    </row>
    <row r="1547">
      <c r="A1547" s="7">
        <f>IFERROR(Datos!A1547,"")</f>
        <v/>
      </c>
      <c r="B1547" s="8">
        <f>IFERROR(Datos!B1547,"")</f>
        <v/>
      </c>
      <c r="C1547" s="8">
        <f>IFERROR(Datos!C1547,"")</f>
        <v/>
      </c>
      <c r="D1547" s="28">
        <f>IFERROR(IF(AND(ISNUMBER(B1547),ISNUMBER(B1546),B1546&lt;&gt;0),B1547/B1546-1,""),"")</f>
        <v/>
      </c>
      <c r="E1547" s="28">
        <f>IFERROR(IF(AND(ISNUMBER(C1547),ISNUMBER(C1546),C1546&lt;&gt;0),C1547/C1546-1,""),"")</f>
        <v/>
      </c>
      <c r="F1547" s="28">
        <f>IFERROR(D1547-Dashboard!$B$4/252,"")</f>
        <v/>
      </c>
      <c r="G1547" s="28">
        <f>IFERROR(E1547-Dashboard!$B$4/252,"")</f>
        <v/>
      </c>
      <c r="H1547" s="8">
        <f>IFERROR(IF(ISNUMBER(B1547),MAX(B1547,IFERROR(H1546,B1547)),""),"")</f>
        <v/>
      </c>
      <c r="I1547" s="29">
        <f>IFERROR(IF(AND(ISNUMBER(B1547),ISNUMBER(H1547)),B1547/H1547-1,""),"")</f>
        <v/>
      </c>
      <c r="J1547" s="8">
        <f>IFERROR(IF(ISNUMBER(C1547),MAX(C1547,IFERROR(J1546,C1547)),""),"")</f>
        <v/>
      </c>
      <c r="K1547" s="29">
        <f>IFERROR(IF(AND(ISNUMBER(C1547),ISNUMBER(J1547)),C1547/J1547-1,""),"")</f>
        <v/>
      </c>
      <c r="L1547" s="28">
        <f>IFERROR(IF(AND(ISNUMBER(D1547),ISNUMBER(E1547)),D1547-E1547,""),"")</f>
        <v/>
      </c>
    </row>
    <row r="1548">
      <c r="A1548" s="7">
        <f>IFERROR(Datos!A1548,"")</f>
        <v/>
      </c>
      <c r="B1548" s="8">
        <f>IFERROR(Datos!B1548,"")</f>
        <v/>
      </c>
      <c r="C1548" s="8">
        <f>IFERROR(Datos!C1548,"")</f>
        <v/>
      </c>
      <c r="D1548" s="28">
        <f>IFERROR(IF(AND(ISNUMBER(B1548),ISNUMBER(B1547),B1547&lt;&gt;0),B1548/B1547-1,""),"")</f>
        <v/>
      </c>
      <c r="E1548" s="28">
        <f>IFERROR(IF(AND(ISNUMBER(C1548),ISNUMBER(C1547),C1547&lt;&gt;0),C1548/C1547-1,""),"")</f>
        <v/>
      </c>
      <c r="F1548" s="28">
        <f>IFERROR(D1548-Dashboard!$B$4/252,"")</f>
        <v/>
      </c>
      <c r="G1548" s="28">
        <f>IFERROR(E1548-Dashboard!$B$4/252,"")</f>
        <v/>
      </c>
      <c r="H1548" s="8">
        <f>IFERROR(IF(ISNUMBER(B1548),MAX(B1548,IFERROR(H1547,B1548)),""),"")</f>
        <v/>
      </c>
      <c r="I1548" s="29">
        <f>IFERROR(IF(AND(ISNUMBER(B1548),ISNUMBER(H1548)),B1548/H1548-1,""),"")</f>
        <v/>
      </c>
      <c r="J1548" s="8">
        <f>IFERROR(IF(ISNUMBER(C1548),MAX(C1548,IFERROR(J1547,C1548)),""),"")</f>
        <v/>
      </c>
      <c r="K1548" s="29">
        <f>IFERROR(IF(AND(ISNUMBER(C1548),ISNUMBER(J1548)),C1548/J1548-1,""),"")</f>
        <v/>
      </c>
      <c r="L1548" s="28">
        <f>IFERROR(IF(AND(ISNUMBER(D1548),ISNUMBER(E1548)),D1548-E1548,""),"")</f>
        <v/>
      </c>
    </row>
    <row r="1549">
      <c r="A1549" s="7">
        <f>IFERROR(Datos!A1549,"")</f>
        <v/>
      </c>
      <c r="B1549" s="8">
        <f>IFERROR(Datos!B1549,"")</f>
        <v/>
      </c>
      <c r="C1549" s="8">
        <f>IFERROR(Datos!C1549,"")</f>
        <v/>
      </c>
      <c r="D1549" s="28">
        <f>IFERROR(IF(AND(ISNUMBER(B1549),ISNUMBER(B1548),B1548&lt;&gt;0),B1549/B1548-1,""),"")</f>
        <v/>
      </c>
      <c r="E1549" s="28">
        <f>IFERROR(IF(AND(ISNUMBER(C1549),ISNUMBER(C1548),C1548&lt;&gt;0),C1549/C1548-1,""),"")</f>
        <v/>
      </c>
      <c r="F1549" s="28">
        <f>IFERROR(D1549-Dashboard!$B$4/252,"")</f>
        <v/>
      </c>
      <c r="G1549" s="28">
        <f>IFERROR(E1549-Dashboard!$B$4/252,"")</f>
        <v/>
      </c>
      <c r="H1549" s="8">
        <f>IFERROR(IF(ISNUMBER(B1549),MAX(B1549,IFERROR(H1548,B1549)),""),"")</f>
        <v/>
      </c>
      <c r="I1549" s="29">
        <f>IFERROR(IF(AND(ISNUMBER(B1549),ISNUMBER(H1549)),B1549/H1549-1,""),"")</f>
        <v/>
      </c>
      <c r="J1549" s="8">
        <f>IFERROR(IF(ISNUMBER(C1549),MAX(C1549,IFERROR(J1548,C1549)),""),"")</f>
        <v/>
      </c>
      <c r="K1549" s="29">
        <f>IFERROR(IF(AND(ISNUMBER(C1549),ISNUMBER(J1549)),C1549/J1549-1,""),"")</f>
        <v/>
      </c>
      <c r="L1549" s="28">
        <f>IFERROR(IF(AND(ISNUMBER(D1549),ISNUMBER(E1549)),D1549-E1549,""),"")</f>
        <v/>
      </c>
    </row>
    <row r="1550">
      <c r="A1550" s="7">
        <f>IFERROR(Datos!A1550,"")</f>
        <v/>
      </c>
      <c r="B1550" s="8">
        <f>IFERROR(Datos!B1550,"")</f>
        <v/>
      </c>
      <c r="C1550" s="8">
        <f>IFERROR(Datos!C1550,"")</f>
        <v/>
      </c>
      <c r="D1550" s="28">
        <f>IFERROR(IF(AND(ISNUMBER(B1550),ISNUMBER(B1549),B1549&lt;&gt;0),B1550/B1549-1,""),"")</f>
        <v/>
      </c>
      <c r="E1550" s="28">
        <f>IFERROR(IF(AND(ISNUMBER(C1550),ISNUMBER(C1549),C1549&lt;&gt;0),C1550/C1549-1,""),"")</f>
        <v/>
      </c>
      <c r="F1550" s="28">
        <f>IFERROR(D1550-Dashboard!$B$4/252,"")</f>
        <v/>
      </c>
      <c r="G1550" s="28">
        <f>IFERROR(E1550-Dashboard!$B$4/252,"")</f>
        <v/>
      </c>
      <c r="H1550" s="8">
        <f>IFERROR(IF(ISNUMBER(B1550),MAX(B1550,IFERROR(H1549,B1550)),""),"")</f>
        <v/>
      </c>
      <c r="I1550" s="29">
        <f>IFERROR(IF(AND(ISNUMBER(B1550),ISNUMBER(H1550)),B1550/H1550-1,""),"")</f>
        <v/>
      </c>
      <c r="J1550" s="8">
        <f>IFERROR(IF(ISNUMBER(C1550),MAX(C1550,IFERROR(J1549,C1550)),""),"")</f>
        <v/>
      </c>
      <c r="K1550" s="29">
        <f>IFERROR(IF(AND(ISNUMBER(C1550),ISNUMBER(J1550)),C1550/J1550-1,""),"")</f>
        <v/>
      </c>
      <c r="L1550" s="28">
        <f>IFERROR(IF(AND(ISNUMBER(D1550),ISNUMBER(E1550)),D1550-E1550,""),"")</f>
        <v/>
      </c>
    </row>
    <row r="1551">
      <c r="A1551" s="7">
        <f>IFERROR(Datos!A1551,"")</f>
        <v/>
      </c>
      <c r="B1551" s="8">
        <f>IFERROR(Datos!B1551,"")</f>
        <v/>
      </c>
      <c r="C1551" s="8">
        <f>IFERROR(Datos!C1551,"")</f>
        <v/>
      </c>
      <c r="D1551" s="28">
        <f>IFERROR(IF(AND(ISNUMBER(B1551),ISNUMBER(B1550),B1550&lt;&gt;0),B1551/B1550-1,""),"")</f>
        <v/>
      </c>
      <c r="E1551" s="28">
        <f>IFERROR(IF(AND(ISNUMBER(C1551),ISNUMBER(C1550),C1550&lt;&gt;0),C1551/C1550-1,""),"")</f>
        <v/>
      </c>
      <c r="F1551" s="28">
        <f>IFERROR(D1551-Dashboard!$B$4/252,"")</f>
        <v/>
      </c>
      <c r="G1551" s="28">
        <f>IFERROR(E1551-Dashboard!$B$4/252,"")</f>
        <v/>
      </c>
      <c r="H1551" s="8">
        <f>IFERROR(IF(ISNUMBER(B1551),MAX(B1551,IFERROR(H1550,B1551)),""),"")</f>
        <v/>
      </c>
      <c r="I1551" s="29">
        <f>IFERROR(IF(AND(ISNUMBER(B1551),ISNUMBER(H1551)),B1551/H1551-1,""),"")</f>
        <v/>
      </c>
      <c r="J1551" s="8">
        <f>IFERROR(IF(ISNUMBER(C1551),MAX(C1551,IFERROR(J1550,C1551)),""),"")</f>
        <v/>
      </c>
      <c r="K1551" s="29">
        <f>IFERROR(IF(AND(ISNUMBER(C1551),ISNUMBER(J1551)),C1551/J1551-1,""),"")</f>
        <v/>
      </c>
      <c r="L1551" s="28">
        <f>IFERROR(IF(AND(ISNUMBER(D1551),ISNUMBER(E1551)),D1551-E1551,""),"")</f>
        <v/>
      </c>
    </row>
    <row r="1552">
      <c r="A1552" s="7">
        <f>IFERROR(Datos!A1552,"")</f>
        <v/>
      </c>
      <c r="B1552" s="8">
        <f>IFERROR(Datos!B1552,"")</f>
        <v/>
      </c>
      <c r="C1552" s="8">
        <f>IFERROR(Datos!C1552,"")</f>
        <v/>
      </c>
      <c r="D1552" s="28">
        <f>IFERROR(IF(AND(ISNUMBER(B1552),ISNUMBER(B1551),B1551&lt;&gt;0),B1552/B1551-1,""),"")</f>
        <v/>
      </c>
      <c r="E1552" s="28">
        <f>IFERROR(IF(AND(ISNUMBER(C1552),ISNUMBER(C1551),C1551&lt;&gt;0),C1552/C1551-1,""),"")</f>
        <v/>
      </c>
      <c r="F1552" s="28">
        <f>IFERROR(D1552-Dashboard!$B$4/252,"")</f>
        <v/>
      </c>
      <c r="G1552" s="28">
        <f>IFERROR(E1552-Dashboard!$B$4/252,"")</f>
        <v/>
      </c>
      <c r="H1552" s="8">
        <f>IFERROR(IF(ISNUMBER(B1552),MAX(B1552,IFERROR(H1551,B1552)),""),"")</f>
        <v/>
      </c>
      <c r="I1552" s="29">
        <f>IFERROR(IF(AND(ISNUMBER(B1552),ISNUMBER(H1552)),B1552/H1552-1,""),"")</f>
        <v/>
      </c>
      <c r="J1552" s="8">
        <f>IFERROR(IF(ISNUMBER(C1552),MAX(C1552,IFERROR(J1551,C1552)),""),"")</f>
        <v/>
      </c>
      <c r="K1552" s="29">
        <f>IFERROR(IF(AND(ISNUMBER(C1552),ISNUMBER(J1552)),C1552/J1552-1,""),"")</f>
        <v/>
      </c>
      <c r="L1552" s="28">
        <f>IFERROR(IF(AND(ISNUMBER(D1552),ISNUMBER(E1552)),D1552-E1552,""),"")</f>
        <v/>
      </c>
    </row>
    <row r="1553">
      <c r="A1553" s="7">
        <f>IFERROR(Datos!A1553,"")</f>
        <v/>
      </c>
      <c r="B1553" s="8">
        <f>IFERROR(Datos!B1553,"")</f>
        <v/>
      </c>
      <c r="C1553" s="8">
        <f>IFERROR(Datos!C1553,"")</f>
        <v/>
      </c>
      <c r="D1553" s="28">
        <f>IFERROR(IF(AND(ISNUMBER(B1553),ISNUMBER(B1552),B1552&lt;&gt;0),B1553/B1552-1,""),"")</f>
        <v/>
      </c>
      <c r="E1553" s="28">
        <f>IFERROR(IF(AND(ISNUMBER(C1553),ISNUMBER(C1552),C1552&lt;&gt;0),C1553/C1552-1,""),"")</f>
        <v/>
      </c>
      <c r="F1553" s="28">
        <f>IFERROR(D1553-Dashboard!$B$4/252,"")</f>
        <v/>
      </c>
      <c r="G1553" s="28">
        <f>IFERROR(E1553-Dashboard!$B$4/252,"")</f>
        <v/>
      </c>
      <c r="H1553" s="8">
        <f>IFERROR(IF(ISNUMBER(B1553),MAX(B1553,IFERROR(H1552,B1553)),""),"")</f>
        <v/>
      </c>
      <c r="I1553" s="29">
        <f>IFERROR(IF(AND(ISNUMBER(B1553),ISNUMBER(H1553)),B1553/H1553-1,""),"")</f>
        <v/>
      </c>
      <c r="J1553" s="8">
        <f>IFERROR(IF(ISNUMBER(C1553),MAX(C1553,IFERROR(J1552,C1553)),""),"")</f>
        <v/>
      </c>
      <c r="K1553" s="29">
        <f>IFERROR(IF(AND(ISNUMBER(C1553),ISNUMBER(J1553)),C1553/J1553-1,""),"")</f>
        <v/>
      </c>
      <c r="L1553" s="28">
        <f>IFERROR(IF(AND(ISNUMBER(D1553),ISNUMBER(E1553)),D1553-E1553,""),"")</f>
        <v/>
      </c>
    </row>
    <row r="1554">
      <c r="A1554" s="7">
        <f>IFERROR(Datos!A1554,"")</f>
        <v/>
      </c>
      <c r="B1554" s="8">
        <f>IFERROR(Datos!B1554,"")</f>
        <v/>
      </c>
      <c r="C1554" s="8">
        <f>IFERROR(Datos!C1554,"")</f>
        <v/>
      </c>
      <c r="D1554" s="28">
        <f>IFERROR(IF(AND(ISNUMBER(B1554),ISNUMBER(B1553),B1553&lt;&gt;0),B1554/B1553-1,""),"")</f>
        <v/>
      </c>
      <c r="E1554" s="28">
        <f>IFERROR(IF(AND(ISNUMBER(C1554),ISNUMBER(C1553),C1553&lt;&gt;0),C1554/C1553-1,""),"")</f>
        <v/>
      </c>
      <c r="F1554" s="28">
        <f>IFERROR(D1554-Dashboard!$B$4/252,"")</f>
        <v/>
      </c>
      <c r="G1554" s="28">
        <f>IFERROR(E1554-Dashboard!$B$4/252,"")</f>
        <v/>
      </c>
      <c r="H1554" s="8">
        <f>IFERROR(IF(ISNUMBER(B1554),MAX(B1554,IFERROR(H1553,B1554)),""),"")</f>
        <v/>
      </c>
      <c r="I1554" s="29">
        <f>IFERROR(IF(AND(ISNUMBER(B1554),ISNUMBER(H1554)),B1554/H1554-1,""),"")</f>
        <v/>
      </c>
      <c r="J1554" s="8">
        <f>IFERROR(IF(ISNUMBER(C1554),MAX(C1554,IFERROR(J1553,C1554)),""),"")</f>
        <v/>
      </c>
      <c r="K1554" s="29">
        <f>IFERROR(IF(AND(ISNUMBER(C1554),ISNUMBER(J1554)),C1554/J1554-1,""),"")</f>
        <v/>
      </c>
      <c r="L1554" s="28">
        <f>IFERROR(IF(AND(ISNUMBER(D1554),ISNUMBER(E1554)),D1554-E1554,""),"")</f>
        <v/>
      </c>
    </row>
    <row r="1555">
      <c r="A1555" s="7">
        <f>IFERROR(Datos!A1555,"")</f>
        <v/>
      </c>
      <c r="B1555" s="8">
        <f>IFERROR(Datos!B1555,"")</f>
        <v/>
      </c>
      <c r="C1555" s="8">
        <f>IFERROR(Datos!C1555,"")</f>
        <v/>
      </c>
      <c r="D1555" s="28">
        <f>IFERROR(IF(AND(ISNUMBER(B1555),ISNUMBER(B1554),B1554&lt;&gt;0),B1555/B1554-1,""),"")</f>
        <v/>
      </c>
      <c r="E1555" s="28">
        <f>IFERROR(IF(AND(ISNUMBER(C1555),ISNUMBER(C1554),C1554&lt;&gt;0),C1555/C1554-1,""),"")</f>
        <v/>
      </c>
      <c r="F1555" s="28">
        <f>IFERROR(D1555-Dashboard!$B$4/252,"")</f>
        <v/>
      </c>
      <c r="G1555" s="28">
        <f>IFERROR(E1555-Dashboard!$B$4/252,"")</f>
        <v/>
      </c>
      <c r="H1555" s="8">
        <f>IFERROR(IF(ISNUMBER(B1555),MAX(B1555,IFERROR(H1554,B1555)),""),"")</f>
        <v/>
      </c>
      <c r="I1555" s="29">
        <f>IFERROR(IF(AND(ISNUMBER(B1555),ISNUMBER(H1555)),B1555/H1555-1,""),"")</f>
        <v/>
      </c>
      <c r="J1555" s="8">
        <f>IFERROR(IF(ISNUMBER(C1555),MAX(C1555,IFERROR(J1554,C1555)),""),"")</f>
        <v/>
      </c>
      <c r="K1555" s="29">
        <f>IFERROR(IF(AND(ISNUMBER(C1555),ISNUMBER(J1555)),C1555/J1555-1,""),"")</f>
        <v/>
      </c>
      <c r="L1555" s="28">
        <f>IFERROR(IF(AND(ISNUMBER(D1555),ISNUMBER(E1555)),D1555-E1555,""),"")</f>
        <v/>
      </c>
    </row>
    <row r="1556">
      <c r="A1556" s="7">
        <f>IFERROR(Datos!A1556,"")</f>
        <v/>
      </c>
      <c r="B1556" s="8">
        <f>IFERROR(Datos!B1556,"")</f>
        <v/>
      </c>
      <c r="C1556" s="8">
        <f>IFERROR(Datos!C1556,"")</f>
        <v/>
      </c>
      <c r="D1556" s="28">
        <f>IFERROR(IF(AND(ISNUMBER(B1556),ISNUMBER(B1555),B1555&lt;&gt;0),B1556/B1555-1,""),"")</f>
        <v/>
      </c>
      <c r="E1556" s="28">
        <f>IFERROR(IF(AND(ISNUMBER(C1556),ISNUMBER(C1555),C1555&lt;&gt;0),C1556/C1555-1,""),"")</f>
        <v/>
      </c>
      <c r="F1556" s="28">
        <f>IFERROR(D1556-Dashboard!$B$4/252,"")</f>
        <v/>
      </c>
      <c r="G1556" s="28">
        <f>IFERROR(E1556-Dashboard!$B$4/252,"")</f>
        <v/>
      </c>
      <c r="H1556" s="8">
        <f>IFERROR(IF(ISNUMBER(B1556),MAX(B1556,IFERROR(H1555,B1556)),""),"")</f>
        <v/>
      </c>
      <c r="I1556" s="29">
        <f>IFERROR(IF(AND(ISNUMBER(B1556),ISNUMBER(H1556)),B1556/H1556-1,""),"")</f>
        <v/>
      </c>
      <c r="J1556" s="8">
        <f>IFERROR(IF(ISNUMBER(C1556),MAX(C1556,IFERROR(J1555,C1556)),""),"")</f>
        <v/>
      </c>
      <c r="K1556" s="29">
        <f>IFERROR(IF(AND(ISNUMBER(C1556),ISNUMBER(J1556)),C1556/J1556-1,""),"")</f>
        <v/>
      </c>
      <c r="L1556" s="28">
        <f>IFERROR(IF(AND(ISNUMBER(D1556),ISNUMBER(E1556)),D1556-E1556,""),"")</f>
        <v/>
      </c>
    </row>
    <row r="1557">
      <c r="A1557" s="7">
        <f>IFERROR(Datos!A1557,"")</f>
        <v/>
      </c>
      <c r="B1557" s="8">
        <f>IFERROR(Datos!B1557,"")</f>
        <v/>
      </c>
      <c r="C1557" s="8">
        <f>IFERROR(Datos!C1557,"")</f>
        <v/>
      </c>
      <c r="D1557" s="28">
        <f>IFERROR(IF(AND(ISNUMBER(B1557),ISNUMBER(B1556),B1556&lt;&gt;0),B1557/B1556-1,""),"")</f>
        <v/>
      </c>
      <c r="E1557" s="28">
        <f>IFERROR(IF(AND(ISNUMBER(C1557),ISNUMBER(C1556),C1556&lt;&gt;0),C1557/C1556-1,""),"")</f>
        <v/>
      </c>
      <c r="F1557" s="28">
        <f>IFERROR(D1557-Dashboard!$B$4/252,"")</f>
        <v/>
      </c>
      <c r="G1557" s="28">
        <f>IFERROR(E1557-Dashboard!$B$4/252,"")</f>
        <v/>
      </c>
      <c r="H1557" s="8">
        <f>IFERROR(IF(ISNUMBER(B1557),MAX(B1557,IFERROR(H1556,B1557)),""),"")</f>
        <v/>
      </c>
      <c r="I1557" s="29">
        <f>IFERROR(IF(AND(ISNUMBER(B1557),ISNUMBER(H1557)),B1557/H1557-1,""),"")</f>
        <v/>
      </c>
      <c r="J1557" s="8">
        <f>IFERROR(IF(ISNUMBER(C1557),MAX(C1557,IFERROR(J1556,C1557)),""),"")</f>
        <v/>
      </c>
      <c r="K1557" s="29">
        <f>IFERROR(IF(AND(ISNUMBER(C1557),ISNUMBER(J1557)),C1557/J1557-1,""),"")</f>
        <v/>
      </c>
      <c r="L1557" s="28">
        <f>IFERROR(IF(AND(ISNUMBER(D1557),ISNUMBER(E1557)),D1557-E1557,""),"")</f>
        <v/>
      </c>
    </row>
    <row r="1558">
      <c r="A1558" s="7">
        <f>IFERROR(Datos!A1558,"")</f>
        <v/>
      </c>
      <c r="B1558" s="8">
        <f>IFERROR(Datos!B1558,"")</f>
        <v/>
      </c>
      <c r="C1558" s="8">
        <f>IFERROR(Datos!C1558,"")</f>
        <v/>
      </c>
      <c r="D1558" s="28">
        <f>IFERROR(IF(AND(ISNUMBER(B1558),ISNUMBER(B1557),B1557&lt;&gt;0),B1558/B1557-1,""),"")</f>
        <v/>
      </c>
      <c r="E1558" s="28">
        <f>IFERROR(IF(AND(ISNUMBER(C1558),ISNUMBER(C1557),C1557&lt;&gt;0),C1558/C1557-1,""),"")</f>
        <v/>
      </c>
      <c r="F1558" s="28">
        <f>IFERROR(D1558-Dashboard!$B$4/252,"")</f>
        <v/>
      </c>
      <c r="G1558" s="28">
        <f>IFERROR(E1558-Dashboard!$B$4/252,"")</f>
        <v/>
      </c>
      <c r="H1558" s="8">
        <f>IFERROR(IF(ISNUMBER(B1558),MAX(B1558,IFERROR(H1557,B1558)),""),"")</f>
        <v/>
      </c>
      <c r="I1558" s="29">
        <f>IFERROR(IF(AND(ISNUMBER(B1558),ISNUMBER(H1558)),B1558/H1558-1,""),"")</f>
        <v/>
      </c>
      <c r="J1558" s="8">
        <f>IFERROR(IF(ISNUMBER(C1558),MAX(C1558,IFERROR(J1557,C1558)),""),"")</f>
        <v/>
      </c>
      <c r="K1558" s="29">
        <f>IFERROR(IF(AND(ISNUMBER(C1558),ISNUMBER(J1558)),C1558/J1558-1,""),"")</f>
        <v/>
      </c>
      <c r="L1558" s="28">
        <f>IFERROR(IF(AND(ISNUMBER(D1558),ISNUMBER(E1558)),D1558-E1558,""),"")</f>
        <v/>
      </c>
    </row>
    <row r="1559">
      <c r="A1559" s="7">
        <f>IFERROR(Datos!A1559,"")</f>
        <v/>
      </c>
      <c r="B1559" s="8">
        <f>IFERROR(Datos!B1559,"")</f>
        <v/>
      </c>
      <c r="C1559" s="8">
        <f>IFERROR(Datos!C1559,"")</f>
        <v/>
      </c>
      <c r="D1559" s="28">
        <f>IFERROR(IF(AND(ISNUMBER(B1559),ISNUMBER(B1558),B1558&lt;&gt;0),B1559/B1558-1,""),"")</f>
        <v/>
      </c>
      <c r="E1559" s="28">
        <f>IFERROR(IF(AND(ISNUMBER(C1559),ISNUMBER(C1558),C1558&lt;&gt;0),C1559/C1558-1,""),"")</f>
        <v/>
      </c>
      <c r="F1559" s="28">
        <f>IFERROR(D1559-Dashboard!$B$4/252,"")</f>
        <v/>
      </c>
      <c r="G1559" s="28">
        <f>IFERROR(E1559-Dashboard!$B$4/252,"")</f>
        <v/>
      </c>
      <c r="H1559" s="8">
        <f>IFERROR(IF(ISNUMBER(B1559),MAX(B1559,IFERROR(H1558,B1559)),""),"")</f>
        <v/>
      </c>
      <c r="I1559" s="29">
        <f>IFERROR(IF(AND(ISNUMBER(B1559),ISNUMBER(H1559)),B1559/H1559-1,""),"")</f>
        <v/>
      </c>
      <c r="J1559" s="8">
        <f>IFERROR(IF(ISNUMBER(C1559),MAX(C1559,IFERROR(J1558,C1559)),""),"")</f>
        <v/>
      </c>
      <c r="K1559" s="29">
        <f>IFERROR(IF(AND(ISNUMBER(C1559),ISNUMBER(J1559)),C1559/J1559-1,""),"")</f>
        <v/>
      </c>
      <c r="L1559" s="28">
        <f>IFERROR(IF(AND(ISNUMBER(D1559),ISNUMBER(E1559)),D1559-E1559,""),"")</f>
        <v/>
      </c>
    </row>
    <row r="1560">
      <c r="A1560" s="7">
        <f>IFERROR(Datos!A1560,"")</f>
        <v/>
      </c>
      <c r="B1560" s="8">
        <f>IFERROR(Datos!B1560,"")</f>
        <v/>
      </c>
      <c r="C1560" s="8">
        <f>IFERROR(Datos!C1560,"")</f>
        <v/>
      </c>
      <c r="D1560" s="28">
        <f>IFERROR(IF(AND(ISNUMBER(B1560),ISNUMBER(B1559),B1559&lt;&gt;0),B1560/B1559-1,""),"")</f>
        <v/>
      </c>
      <c r="E1560" s="28">
        <f>IFERROR(IF(AND(ISNUMBER(C1560),ISNUMBER(C1559),C1559&lt;&gt;0),C1560/C1559-1,""),"")</f>
        <v/>
      </c>
      <c r="F1560" s="28">
        <f>IFERROR(D1560-Dashboard!$B$4/252,"")</f>
        <v/>
      </c>
      <c r="G1560" s="28">
        <f>IFERROR(E1560-Dashboard!$B$4/252,"")</f>
        <v/>
      </c>
      <c r="H1560" s="8">
        <f>IFERROR(IF(ISNUMBER(B1560),MAX(B1560,IFERROR(H1559,B1560)),""),"")</f>
        <v/>
      </c>
      <c r="I1560" s="29">
        <f>IFERROR(IF(AND(ISNUMBER(B1560),ISNUMBER(H1560)),B1560/H1560-1,""),"")</f>
        <v/>
      </c>
      <c r="J1560" s="8">
        <f>IFERROR(IF(ISNUMBER(C1560),MAX(C1560,IFERROR(J1559,C1560)),""),"")</f>
        <v/>
      </c>
      <c r="K1560" s="29">
        <f>IFERROR(IF(AND(ISNUMBER(C1560),ISNUMBER(J1560)),C1560/J1560-1,""),"")</f>
        <v/>
      </c>
      <c r="L1560" s="28">
        <f>IFERROR(IF(AND(ISNUMBER(D1560),ISNUMBER(E1560)),D1560-E1560,""),"")</f>
        <v/>
      </c>
    </row>
    <row r="1561">
      <c r="A1561" s="7">
        <f>IFERROR(Datos!A1561,"")</f>
        <v/>
      </c>
      <c r="B1561" s="8">
        <f>IFERROR(Datos!B1561,"")</f>
        <v/>
      </c>
      <c r="C1561" s="8">
        <f>IFERROR(Datos!C1561,"")</f>
        <v/>
      </c>
      <c r="D1561" s="28">
        <f>IFERROR(IF(AND(ISNUMBER(B1561),ISNUMBER(B1560),B1560&lt;&gt;0),B1561/B1560-1,""),"")</f>
        <v/>
      </c>
      <c r="E1561" s="28">
        <f>IFERROR(IF(AND(ISNUMBER(C1561),ISNUMBER(C1560),C1560&lt;&gt;0),C1561/C1560-1,""),"")</f>
        <v/>
      </c>
      <c r="F1561" s="28">
        <f>IFERROR(D1561-Dashboard!$B$4/252,"")</f>
        <v/>
      </c>
      <c r="G1561" s="28">
        <f>IFERROR(E1561-Dashboard!$B$4/252,"")</f>
        <v/>
      </c>
      <c r="H1561" s="8">
        <f>IFERROR(IF(ISNUMBER(B1561),MAX(B1561,IFERROR(H1560,B1561)),""),"")</f>
        <v/>
      </c>
      <c r="I1561" s="29">
        <f>IFERROR(IF(AND(ISNUMBER(B1561),ISNUMBER(H1561)),B1561/H1561-1,""),"")</f>
        <v/>
      </c>
      <c r="J1561" s="8">
        <f>IFERROR(IF(ISNUMBER(C1561),MAX(C1561,IFERROR(J1560,C1561)),""),"")</f>
        <v/>
      </c>
      <c r="K1561" s="29">
        <f>IFERROR(IF(AND(ISNUMBER(C1561),ISNUMBER(J1561)),C1561/J1561-1,""),"")</f>
        <v/>
      </c>
      <c r="L1561" s="28">
        <f>IFERROR(IF(AND(ISNUMBER(D1561),ISNUMBER(E1561)),D1561-E1561,""),"")</f>
        <v/>
      </c>
    </row>
    <row r="1562">
      <c r="A1562" s="7">
        <f>IFERROR(Datos!A1562,"")</f>
        <v/>
      </c>
      <c r="B1562" s="8">
        <f>IFERROR(Datos!B1562,"")</f>
        <v/>
      </c>
      <c r="C1562" s="8">
        <f>IFERROR(Datos!C1562,"")</f>
        <v/>
      </c>
      <c r="D1562" s="28">
        <f>IFERROR(IF(AND(ISNUMBER(B1562),ISNUMBER(B1561),B1561&lt;&gt;0),B1562/B1561-1,""),"")</f>
        <v/>
      </c>
      <c r="E1562" s="28">
        <f>IFERROR(IF(AND(ISNUMBER(C1562),ISNUMBER(C1561),C1561&lt;&gt;0),C1562/C1561-1,""),"")</f>
        <v/>
      </c>
      <c r="F1562" s="28">
        <f>IFERROR(D1562-Dashboard!$B$4/252,"")</f>
        <v/>
      </c>
      <c r="G1562" s="28">
        <f>IFERROR(E1562-Dashboard!$B$4/252,"")</f>
        <v/>
      </c>
      <c r="H1562" s="8">
        <f>IFERROR(IF(ISNUMBER(B1562),MAX(B1562,IFERROR(H1561,B1562)),""),"")</f>
        <v/>
      </c>
      <c r="I1562" s="29">
        <f>IFERROR(IF(AND(ISNUMBER(B1562),ISNUMBER(H1562)),B1562/H1562-1,""),"")</f>
        <v/>
      </c>
      <c r="J1562" s="8">
        <f>IFERROR(IF(ISNUMBER(C1562),MAX(C1562,IFERROR(J1561,C1562)),""),"")</f>
        <v/>
      </c>
      <c r="K1562" s="29">
        <f>IFERROR(IF(AND(ISNUMBER(C1562),ISNUMBER(J1562)),C1562/J1562-1,""),"")</f>
        <v/>
      </c>
      <c r="L1562" s="28">
        <f>IFERROR(IF(AND(ISNUMBER(D1562),ISNUMBER(E1562)),D1562-E1562,""),"")</f>
        <v/>
      </c>
    </row>
    <row r="1563">
      <c r="A1563" s="7">
        <f>IFERROR(Datos!A1563,"")</f>
        <v/>
      </c>
      <c r="B1563" s="8">
        <f>IFERROR(Datos!B1563,"")</f>
        <v/>
      </c>
      <c r="C1563" s="8">
        <f>IFERROR(Datos!C1563,"")</f>
        <v/>
      </c>
      <c r="D1563" s="28">
        <f>IFERROR(IF(AND(ISNUMBER(B1563),ISNUMBER(B1562),B1562&lt;&gt;0),B1563/B1562-1,""),"")</f>
        <v/>
      </c>
      <c r="E1563" s="28">
        <f>IFERROR(IF(AND(ISNUMBER(C1563),ISNUMBER(C1562),C1562&lt;&gt;0),C1563/C1562-1,""),"")</f>
        <v/>
      </c>
      <c r="F1563" s="28">
        <f>IFERROR(D1563-Dashboard!$B$4/252,"")</f>
        <v/>
      </c>
      <c r="G1563" s="28">
        <f>IFERROR(E1563-Dashboard!$B$4/252,"")</f>
        <v/>
      </c>
      <c r="H1563" s="8">
        <f>IFERROR(IF(ISNUMBER(B1563),MAX(B1563,IFERROR(H1562,B1563)),""),"")</f>
        <v/>
      </c>
      <c r="I1563" s="29">
        <f>IFERROR(IF(AND(ISNUMBER(B1563),ISNUMBER(H1563)),B1563/H1563-1,""),"")</f>
        <v/>
      </c>
      <c r="J1563" s="8">
        <f>IFERROR(IF(ISNUMBER(C1563),MAX(C1563,IFERROR(J1562,C1563)),""),"")</f>
        <v/>
      </c>
      <c r="K1563" s="29">
        <f>IFERROR(IF(AND(ISNUMBER(C1563),ISNUMBER(J1563)),C1563/J1563-1,""),"")</f>
        <v/>
      </c>
      <c r="L1563" s="28">
        <f>IFERROR(IF(AND(ISNUMBER(D1563),ISNUMBER(E1563)),D1563-E1563,""),"")</f>
        <v/>
      </c>
    </row>
    <row r="1564">
      <c r="A1564" s="7">
        <f>IFERROR(Datos!A1564,"")</f>
        <v/>
      </c>
      <c r="B1564" s="8">
        <f>IFERROR(Datos!B1564,"")</f>
        <v/>
      </c>
      <c r="C1564" s="8">
        <f>IFERROR(Datos!C1564,"")</f>
        <v/>
      </c>
      <c r="D1564" s="28">
        <f>IFERROR(IF(AND(ISNUMBER(B1564),ISNUMBER(B1563),B1563&lt;&gt;0),B1564/B1563-1,""),"")</f>
        <v/>
      </c>
      <c r="E1564" s="28">
        <f>IFERROR(IF(AND(ISNUMBER(C1564),ISNUMBER(C1563),C1563&lt;&gt;0),C1564/C1563-1,""),"")</f>
        <v/>
      </c>
      <c r="F1564" s="28">
        <f>IFERROR(D1564-Dashboard!$B$4/252,"")</f>
        <v/>
      </c>
      <c r="G1564" s="28">
        <f>IFERROR(E1564-Dashboard!$B$4/252,"")</f>
        <v/>
      </c>
      <c r="H1564" s="8">
        <f>IFERROR(IF(ISNUMBER(B1564),MAX(B1564,IFERROR(H1563,B1564)),""),"")</f>
        <v/>
      </c>
      <c r="I1564" s="29">
        <f>IFERROR(IF(AND(ISNUMBER(B1564),ISNUMBER(H1564)),B1564/H1564-1,""),"")</f>
        <v/>
      </c>
      <c r="J1564" s="8">
        <f>IFERROR(IF(ISNUMBER(C1564),MAX(C1564,IFERROR(J1563,C1564)),""),"")</f>
        <v/>
      </c>
      <c r="K1564" s="29">
        <f>IFERROR(IF(AND(ISNUMBER(C1564),ISNUMBER(J1564)),C1564/J1564-1,""),"")</f>
        <v/>
      </c>
      <c r="L1564" s="28">
        <f>IFERROR(IF(AND(ISNUMBER(D1564),ISNUMBER(E1564)),D1564-E1564,""),"")</f>
        <v/>
      </c>
    </row>
    <row r="1565">
      <c r="A1565" s="7">
        <f>IFERROR(Datos!A1565,"")</f>
        <v/>
      </c>
      <c r="B1565" s="8">
        <f>IFERROR(Datos!B1565,"")</f>
        <v/>
      </c>
      <c r="C1565" s="8">
        <f>IFERROR(Datos!C1565,"")</f>
        <v/>
      </c>
      <c r="D1565" s="28">
        <f>IFERROR(IF(AND(ISNUMBER(B1565),ISNUMBER(B1564),B1564&lt;&gt;0),B1565/B1564-1,""),"")</f>
        <v/>
      </c>
      <c r="E1565" s="28">
        <f>IFERROR(IF(AND(ISNUMBER(C1565),ISNUMBER(C1564),C1564&lt;&gt;0),C1565/C1564-1,""),"")</f>
        <v/>
      </c>
      <c r="F1565" s="28">
        <f>IFERROR(D1565-Dashboard!$B$4/252,"")</f>
        <v/>
      </c>
      <c r="G1565" s="28">
        <f>IFERROR(E1565-Dashboard!$B$4/252,"")</f>
        <v/>
      </c>
      <c r="H1565" s="8">
        <f>IFERROR(IF(ISNUMBER(B1565),MAX(B1565,IFERROR(H1564,B1565)),""),"")</f>
        <v/>
      </c>
      <c r="I1565" s="29">
        <f>IFERROR(IF(AND(ISNUMBER(B1565),ISNUMBER(H1565)),B1565/H1565-1,""),"")</f>
        <v/>
      </c>
      <c r="J1565" s="8">
        <f>IFERROR(IF(ISNUMBER(C1565),MAX(C1565,IFERROR(J1564,C1565)),""),"")</f>
        <v/>
      </c>
      <c r="K1565" s="29">
        <f>IFERROR(IF(AND(ISNUMBER(C1565),ISNUMBER(J1565)),C1565/J1565-1,""),"")</f>
        <v/>
      </c>
      <c r="L1565" s="28">
        <f>IFERROR(IF(AND(ISNUMBER(D1565),ISNUMBER(E1565)),D1565-E1565,""),"")</f>
        <v/>
      </c>
    </row>
    <row r="1566">
      <c r="A1566" s="7">
        <f>IFERROR(Datos!A1566,"")</f>
        <v/>
      </c>
      <c r="B1566" s="8">
        <f>IFERROR(Datos!B1566,"")</f>
        <v/>
      </c>
      <c r="C1566" s="8">
        <f>IFERROR(Datos!C1566,"")</f>
        <v/>
      </c>
      <c r="D1566" s="28">
        <f>IFERROR(IF(AND(ISNUMBER(B1566),ISNUMBER(B1565),B1565&lt;&gt;0),B1566/B1565-1,""),"")</f>
        <v/>
      </c>
      <c r="E1566" s="28">
        <f>IFERROR(IF(AND(ISNUMBER(C1566),ISNUMBER(C1565),C1565&lt;&gt;0),C1566/C1565-1,""),"")</f>
        <v/>
      </c>
      <c r="F1566" s="28">
        <f>IFERROR(D1566-Dashboard!$B$4/252,"")</f>
        <v/>
      </c>
      <c r="G1566" s="28">
        <f>IFERROR(E1566-Dashboard!$B$4/252,"")</f>
        <v/>
      </c>
      <c r="H1566" s="8">
        <f>IFERROR(IF(ISNUMBER(B1566),MAX(B1566,IFERROR(H1565,B1566)),""),"")</f>
        <v/>
      </c>
      <c r="I1566" s="29">
        <f>IFERROR(IF(AND(ISNUMBER(B1566),ISNUMBER(H1566)),B1566/H1566-1,""),"")</f>
        <v/>
      </c>
      <c r="J1566" s="8">
        <f>IFERROR(IF(ISNUMBER(C1566),MAX(C1566,IFERROR(J1565,C1566)),""),"")</f>
        <v/>
      </c>
      <c r="K1566" s="29">
        <f>IFERROR(IF(AND(ISNUMBER(C1566),ISNUMBER(J1566)),C1566/J1566-1,""),"")</f>
        <v/>
      </c>
      <c r="L1566" s="28">
        <f>IFERROR(IF(AND(ISNUMBER(D1566),ISNUMBER(E1566)),D1566-E1566,""),"")</f>
        <v/>
      </c>
    </row>
    <row r="1567">
      <c r="A1567" s="7">
        <f>IFERROR(Datos!A1567,"")</f>
        <v/>
      </c>
      <c r="B1567" s="8">
        <f>IFERROR(Datos!B1567,"")</f>
        <v/>
      </c>
      <c r="C1567" s="8">
        <f>IFERROR(Datos!C1567,"")</f>
        <v/>
      </c>
      <c r="D1567" s="28">
        <f>IFERROR(IF(AND(ISNUMBER(B1567),ISNUMBER(B1566),B1566&lt;&gt;0),B1567/B1566-1,""),"")</f>
        <v/>
      </c>
      <c r="E1567" s="28">
        <f>IFERROR(IF(AND(ISNUMBER(C1567),ISNUMBER(C1566),C1566&lt;&gt;0),C1567/C1566-1,""),"")</f>
        <v/>
      </c>
      <c r="F1567" s="28">
        <f>IFERROR(D1567-Dashboard!$B$4/252,"")</f>
        <v/>
      </c>
      <c r="G1567" s="28">
        <f>IFERROR(E1567-Dashboard!$B$4/252,"")</f>
        <v/>
      </c>
      <c r="H1567" s="8">
        <f>IFERROR(IF(ISNUMBER(B1567),MAX(B1567,IFERROR(H1566,B1567)),""),"")</f>
        <v/>
      </c>
      <c r="I1567" s="29">
        <f>IFERROR(IF(AND(ISNUMBER(B1567),ISNUMBER(H1567)),B1567/H1567-1,""),"")</f>
        <v/>
      </c>
      <c r="J1567" s="8">
        <f>IFERROR(IF(ISNUMBER(C1567),MAX(C1567,IFERROR(J1566,C1567)),""),"")</f>
        <v/>
      </c>
      <c r="K1567" s="29">
        <f>IFERROR(IF(AND(ISNUMBER(C1567),ISNUMBER(J1567)),C1567/J1567-1,""),"")</f>
        <v/>
      </c>
      <c r="L1567" s="28">
        <f>IFERROR(IF(AND(ISNUMBER(D1567),ISNUMBER(E1567)),D1567-E1567,""),"")</f>
        <v/>
      </c>
    </row>
    <row r="1568">
      <c r="A1568" s="7">
        <f>IFERROR(Datos!A1568,"")</f>
        <v/>
      </c>
      <c r="B1568" s="8">
        <f>IFERROR(Datos!B1568,"")</f>
        <v/>
      </c>
      <c r="C1568" s="8">
        <f>IFERROR(Datos!C1568,"")</f>
        <v/>
      </c>
      <c r="D1568" s="28">
        <f>IFERROR(IF(AND(ISNUMBER(B1568),ISNUMBER(B1567),B1567&lt;&gt;0),B1568/B1567-1,""),"")</f>
        <v/>
      </c>
      <c r="E1568" s="28">
        <f>IFERROR(IF(AND(ISNUMBER(C1568),ISNUMBER(C1567),C1567&lt;&gt;0),C1568/C1567-1,""),"")</f>
        <v/>
      </c>
      <c r="F1568" s="28">
        <f>IFERROR(D1568-Dashboard!$B$4/252,"")</f>
        <v/>
      </c>
      <c r="G1568" s="28">
        <f>IFERROR(E1568-Dashboard!$B$4/252,"")</f>
        <v/>
      </c>
      <c r="H1568" s="8">
        <f>IFERROR(IF(ISNUMBER(B1568),MAX(B1568,IFERROR(H1567,B1568)),""),"")</f>
        <v/>
      </c>
      <c r="I1568" s="29">
        <f>IFERROR(IF(AND(ISNUMBER(B1568),ISNUMBER(H1568)),B1568/H1568-1,""),"")</f>
        <v/>
      </c>
      <c r="J1568" s="8">
        <f>IFERROR(IF(ISNUMBER(C1568),MAX(C1568,IFERROR(J1567,C1568)),""),"")</f>
        <v/>
      </c>
      <c r="K1568" s="29">
        <f>IFERROR(IF(AND(ISNUMBER(C1568),ISNUMBER(J1568)),C1568/J1568-1,""),"")</f>
        <v/>
      </c>
      <c r="L1568" s="28">
        <f>IFERROR(IF(AND(ISNUMBER(D1568),ISNUMBER(E1568)),D1568-E1568,""),"")</f>
        <v/>
      </c>
    </row>
    <row r="1569">
      <c r="A1569" s="7">
        <f>IFERROR(Datos!A1569,"")</f>
        <v/>
      </c>
      <c r="B1569" s="8">
        <f>IFERROR(Datos!B1569,"")</f>
        <v/>
      </c>
      <c r="C1569" s="8">
        <f>IFERROR(Datos!C1569,"")</f>
        <v/>
      </c>
      <c r="D1569" s="28">
        <f>IFERROR(IF(AND(ISNUMBER(B1569),ISNUMBER(B1568),B1568&lt;&gt;0),B1569/B1568-1,""),"")</f>
        <v/>
      </c>
      <c r="E1569" s="28">
        <f>IFERROR(IF(AND(ISNUMBER(C1569),ISNUMBER(C1568),C1568&lt;&gt;0),C1569/C1568-1,""),"")</f>
        <v/>
      </c>
      <c r="F1569" s="28">
        <f>IFERROR(D1569-Dashboard!$B$4/252,"")</f>
        <v/>
      </c>
      <c r="G1569" s="28">
        <f>IFERROR(E1569-Dashboard!$B$4/252,"")</f>
        <v/>
      </c>
      <c r="H1569" s="8">
        <f>IFERROR(IF(ISNUMBER(B1569),MAX(B1569,IFERROR(H1568,B1569)),""),"")</f>
        <v/>
      </c>
      <c r="I1569" s="29">
        <f>IFERROR(IF(AND(ISNUMBER(B1569),ISNUMBER(H1569)),B1569/H1569-1,""),"")</f>
        <v/>
      </c>
      <c r="J1569" s="8">
        <f>IFERROR(IF(ISNUMBER(C1569),MAX(C1569,IFERROR(J1568,C1569)),""),"")</f>
        <v/>
      </c>
      <c r="K1569" s="29">
        <f>IFERROR(IF(AND(ISNUMBER(C1569),ISNUMBER(J1569)),C1569/J1569-1,""),"")</f>
        <v/>
      </c>
      <c r="L1569" s="28">
        <f>IFERROR(IF(AND(ISNUMBER(D1569),ISNUMBER(E1569)),D1569-E1569,""),"")</f>
        <v/>
      </c>
    </row>
    <row r="1570">
      <c r="A1570" s="7">
        <f>IFERROR(Datos!A1570,"")</f>
        <v/>
      </c>
      <c r="B1570" s="8">
        <f>IFERROR(Datos!B1570,"")</f>
        <v/>
      </c>
      <c r="C1570" s="8">
        <f>IFERROR(Datos!C1570,"")</f>
        <v/>
      </c>
      <c r="D1570" s="28">
        <f>IFERROR(IF(AND(ISNUMBER(B1570),ISNUMBER(B1569),B1569&lt;&gt;0),B1570/B1569-1,""),"")</f>
        <v/>
      </c>
      <c r="E1570" s="28">
        <f>IFERROR(IF(AND(ISNUMBER(C1570),ISNUMBER(C1569),C1569&lt;&gt;0),C1570/C1569-1,""),"")</f>
        <v/>
      </c>
      <c r="F1570" s="28">
        <f>IFERROR(D1570-Dashboard!$B$4/252,"")</f>
        <v/>
      </c>
      <c r="G1570" s="28">
        <f>IFERROR(E1570-Dashboard!$B$4/252,"")</f>
        <v/>
      </c>
      <c r="H1570" s="8">
        <f>IFERROR(IF(ISNUMBER(B1570),MAX(B1570,IFERROR(H1569,B1570)),""),"")</f>
        <v/>
      </c>
      <c r="I1570" s="29">
        <f>IFERROR(IF(AND(ISNUMBER(B1570),ISNUMBER(H1570)),B1570/H1570-1,""),"")</f>
        <v/>
      </c>
      <c r="J1570" s="8">
        <f>IFERROR(IF(ISNUMBER(C1570),MAX(C1570,IFERROR(J1569,C1570)),""),"")</f>
        <v/>
      </c>
      <c r="K1570" s="29">
        <f>IFERROR(IF(AND(ISNUMBER(C1570),ISNUMBER(J1570)),C1570/J1570-1,""),"")</f>
        <v/>
      </c>
      <c r="L1570" s="28">
        <f>IFERROR(IF(AND(ISNUMBER(D1570),ISNUMBER(E1570)),D1570-E1570,""),"")</f>
        <v/>
      </c>
    </row>
    <row r="1571">
      <c r="A1571" s="7">
        <f>IFERROR(Datos!A1571,"")</f>
        <v/>
      </c>
      <c r="B1571" s="8">
        <f>IFERROR(Datos!B1571,"")</f>
        <v/>
      </c>
      <c r="C1571" s="8">
        <f>IFERROR(Datos!C1571,"")</f>
        <v/>
      </c>
      <c r="D1571" s="28">
        <f>IFERROR(IF(AND(ISNUMBER(B1571),ISNUMBER(B1570),B1570&lt;&gt;0),B1571/B1570-1,""),"")</f>
        <v/>
      </c>
      <c r="E1571" s="28">
        <f>IFERROR(IF(AND(ISNUMBER(C1571),ISNUMBER(C1570),C1570&lt;&gt;0),C1571/C1570-1,""),"")</f>
        <v/>
      </c>
      <c r="F1571" s="28">
        <f>IFERROR(D1571-Dashboard!$B$4/252,"")</f>
        <v/>
      </c>
      <c r="G1571" s="28">
        <f>IFERROR(E1571-Dashboard!$B$4/252,"")</f>
        <v/>
      </c>
      <c r="H1571" s="8">
        <f>IFERROR(IF(ISNUMBER(B1571),MAX(B1571,IFERROR(H1570,B1571)),""),"")</f>
        <v/>
      </c>
      <c r="I1571" s="29">
        <f>IFERROR(IF(AND(ISNUMBER(B1571),ISNUMBER(H1571)),B1571/H1571-1,""),"")</f>
        <v/>
      </c>
      <c r="J1571" s="8">
        <f>IFERROR(IF(ISNUMBER(C1571),MAX(C1571,IFERROR(J1570,C1571)),""),"")</f>
        <v/>
      </c>
      <c r="K1571" s="29">
        <f>IFERROR(IF(AND(ISNUMBER(C1571),ISNUMBER(J1571)),C1571/J1571-1,""),"")</f>
        <v/>
      </c>
      <c r="L1571" s="28">
        <f>IFERROR(IF(AND(ISNUMBER(D1571),ISNUMBER(E1571)),D1571-E1571,""),"")</f>
        <v/>
      </c>
    </row>
    <row r="1572">
      <c r="A1572" s="7">
        <f>IFERROR(Datos!A1572,"")</f>
        <v/>
      </c>
      <c r="B1572" s="8">
        <f>IFERROR(Datos!B1572,"")</f>
        <v/>
      </c>
      <c r="C1572" s="8">
        <f>IFERROR(Datos!C1572,"")</f>
        <v/>
      </c>
      <c r="D1572" s="28">
        <f>IFERROR(IF(AND(ISNUMBER(B1572),ISNUMBER(B1571),B1571&lt;&gt;0),B1572/B1571-1,""),"")</f>
        <v/>
      </c>
      <c r="E1572" s="28">
        <f>IFERROR(IF(AND(ISNUMBER(C1572),ISNUMBER(C1571),C1571&lt;&gt;0),C1572/C1571-1,""),"")</f>
        <v/>
      </c>
      <c r="F1572" s="28">
        <f>IFERROR(D1572-Dashboard!$B$4/252,"")</f>
        <v/>
      </c>
      <c r="G1572" s="28">
        <f>IFERROR(E1572-Dashboard!$B$4/252,"")</f>
        <v/>
      </c>
      <c r="H1572" s="8">
        <f>IFERROR(IF(ISNUMBER(B1572),MAX(B1572,IFERROR(H1571,B1572)),""),"")</f>
        <v/>
      </c>
      <c r="I1572" s="29">
        <f>IFERROR(IF(AND(ISNUMBER(B1572),ISNUMBER(H1572)),B1572/H1572-1,""),"")</f>
        <v/>
      </c>
      <c r="J1572" s="8">
        <f>IFERROR(IF(ISNUMBER(C1572),MAX(C1572,IFERROR(J1571,C1572)),""),"")</f>
        <v/>
      </c>
      <c r="K1572" s="29">
        <f>IFERROR(IF(AND(ISNUMBER(C1572),ISNUMBER(J1572)),C1572/J1572-1,""),"")</f>
        <v/>
      </c>
      <c r="L1572" s="28">
        <f>IFERROR(IF(AND(ISNUMBER(D1572),ISNUMBER(E1572)),D1572-E1572,""),"")</f>
        <v/>
      </c>
    </row>
    <row r="1573">
      <c r="A1573" s="7">
        <f>IFERROR(Datos!A1573,"")</f>
        <v/>
      </c>
      <c r="B1573" s="8">
        <f>IFERROR(Datos!B1573,"")</f>
        <v/>
      </c>
      <c r="C1573" s="8">
        <f>IFERROR(Datos!C1573,"")</f>
        <v/>
      </c>
      <c r="D1573" s="28">
        <f>IFERROR(IF(AND(ISNUMBER(B1573),ISNUMBER(B1572),B1572&lt;&gt;0),B1573/B1572-1,""),"")</f>
        <v/>
      </c>
      <c r="E1573" s="28">
        <f>IFERROR(IF(AND(ISNUMBER(C1573),ISNUMBER(C1572),C1572&lt;&gt;0),C1573/C1572-1,""),"")</f>
        <v/>
      </c>
      <c r="F1573" s="28">
        <f>IFERROR(D1573-Dashboard!$B$4/252,"")</f>
        <v/>
      </c>
      <c r="G1573" s="28">
        <f>IFERROR(E1573-Dashboard!$B$4/252,"")</f>
        <v/>
      </c>
      <c r="H1573" s="8">
        <f>IFERROR(IF(ISNUMBER(B1573),MAX(B1573,IFERROR(H1572,B1573)),""),"")</f>
        <v/>
      </c>
      <c r="I1573" s="29">
        <f>IFERROR(IF(AND(ISNUMBER(B1573),ISNUMBER(H1573)),B1573/H1573-1,""),"")</f>
        <v/>
      </c>
      <c r="J1573" s="8">
        <f>IFERROR(IF(ISNUMBER(C1573),MAX(C1573,IFERROR(J1572,C1573)),""),"")</f>
        <v/>
      </c>
      <c r="K1573" s="29">
        <f>IFERROR(IF(AND(ISNUMBER(C1573),ISNUMBER(J1573)),C1573/J1573-1,""),"")</f>
        <v/>
      </c>
      <c r="L1573" s="28">
        <f>IFERROR(IF(AND(ISNUMBER(D1573),ISNUMBER(E1573)),D1573-E1573,""),"")</f>
        <v/>
      </c>
    </row>
    <row r="1574">
      <c r="A1574" s="7">
        <f>IFERROR(Datos!A1574,"")</f>
        <v/>
      </c>
      <c r="B1574" s="8">
        <f>IFERROR(Datos!B1574,"")</f>
        <v/>
      </c>
      <c r="C1574" s="8">
        <f>IFERROR(Datos!C1574,"")</f>
        <v/>
      </c>
      <c r="D1574" s="28">
        <f>IFERROR(IF(AND(ISNUMBER(B1574),ISNUMBER(B1573),B1573&lt;&gt;0),B1574/B1573-1,""),"")</f>
        <v/>
      </c>
      <c r="E1574" s="28">
        <f>IFERROR(IF(AND(ISNUMBER(C1574),ISNUMBER(C1573),C1573&lt;&gt;0),C1574/C1573-1,""),"")</f>
        <v/>
      </c>
      <c r="F1574" s="28">
        <f>IFERROR(D1574-Dashboard!$B$4/252,"")</f>
        <v/>
      </c>
      <c r="G1574" s="28">
        <f>IFERROR(E1574-Dashboard!$B$4/252,"")</f>
        <v/>
      </c>
      <c r="H1574" s="8">
        <f>IFERROR(IF(ISNUMBER(B1574),MAX(B1574,IFERROR(H1573,B1574)),""),"")</f>
        <v/>
      </c>
      <c r="I1574" s="29">
        <f>IFERROR(IF(AND(ISNUMBER(B1574),ISNUMBER(H1574)),B1574/H1574-1,""),"")</f>
        <v/>
      </c>
      <c r="J1574" s="8">
        <f>IFERROR(IF(ISNUMBER(C1574),MAX(C1574,IFERROR(J1573,C1574)),""),"")</f>
        <v/>
      </c>
      <c r="K1574" s="29">
        <f>IFERROR(IF(AND(ISNUMBER(C1574),ISNUMBER(J1574)),C1574/J1574-1,""),"")</f>
        <v/>
      </c>
      <c r="L1574" s="28">
        <f>IFERROR(IF(AND(ISNUMBER(D1574),ISNUMBER(E1574)),D1574-E1574,""),"")</f>
        <v/>
      </c>
    </row>
    <row r="1575">
      <c r="A1575" s="7">
        <f>IFERROR(Datos!A1575,"")</f>
        <v/>
      </c>
      <c r="B1575" s="8">
        <f>IFERROR(Datos!B1575,"")</f>
        <v/>
      </c>
      <c r="C1575" s="8">
        <f>IFERROR(Datos!C1575,"")</f>
        <v/>
      </c>
      <c r="D1575" s="28">
        <f>IFERROR(IF(AND(ISNUMBER(B1575),ISNUMBER(B1574),B1574&lt;&gt;0),B1575/B1574-1,""),"")</f>
        <v/>
      </c>
      <c r="E1575" s="28">
        <f>IFERROR(IF(AND(ISNUMBER(C1575),ISNUMBER(C1574),C1574&lt;&gt;0),C1575/C1574-1,""),"")</f>
        <v/>
      </c>
      <c r="F1575" s="28">
        <f>IFERROR(D1575-Dashboard!$B$4/252,"")</f>
        <v/>
      </c>
      <c r="G1575" s="28">
        <f>IFERROR(E1575-Dashboard!$B$4/252,"")</f>
        <v/>
      </c>
      <c r="H1575" s="8">
        <f>IFERROR(IF(ISNUMBER(B1575),MAX(B1575,IFERROR(H1574,B1575)),""),"")</f>
        <v/>
      </c>
      <c r="I1575" s="29">
        <f>IFERROR(IF(AND(ISNUMBER(B1575),ISNUMBER(H1575)),B1575/H1575-1,""),"")</f>
        <v/>
      </c>
      <c r="J1575" s="8">
        <f>IFERROR(IF(ISNUMBER(C1575),MAX(C1575,IFERROR(J1574,C1575)),""),"")</f>
        <v/>
      </c>
      <c r="K1575" s="29">
        <f>IFERROR(IF(AND(ISNUMBER(C1575),ISNUMBER(J1575)),C1575/J1575-1,""),"")</f>
        <v/>
      </c>
      <c r="L1575" s="28">
        <f>IFERROR(IF(AND(ISNUMBER(D1575),ISNUMBER(E1575)),D1575-E1575,""),"")</f>
        <v/>
      </c>
    </row>
    <row r="1576">
      <c r="A1576" s="7">
        <f>IFERROR(Datos!A1576,"")</f>
        <v/>
      </c>
      <c r="B1576" s="8">
        <f>IFERROR(Datos!B1576,"")</f>
        <v/>
      </c>
      <c r="C1576" s="8">
        <f>IFERROR(Datos!C1576,"")</f>
        <v/>
      </c>
      <c r="D1576" s="28">
        <f>IFERROR(IF(AND(ISNUMBER(B1576),ISNUMBER(B1575),B1575&lt;&gt;0),B1576/B1575-1,""),"")</f>
        <v/>
      </c>
      <c r="E1576" s="28">
        <f>IFERROR(IF(AND(ISNUMBER(C1576),ISNUMBER(C1575),C1575&lt;&gt;0),C1576/C1575-1,""),"")</f>
        <v/>
      </c>
      <c r="F1576" s="28">
        <f>IFERROR(D1576-Dashboard!$B$4/252,"")</f>
        <v/>
      </c>
      <c r="G1576" s="28">
        <f>IFERROR(E1576-Dashboard!$B$4/252,"")</f>
        <v/>
      </c>
      <c r="H1576" s="8">
        <f>IFERROR(IF(ISNUMBER(B1576),MAX(B1576,IFERROR(H1575,B1576)),""),"")</f>
        <v/>
      </c>
      <c r="I1576" s="29">
        <f>IFERROR(IF(AND(ISNUMBER(B1576),ISNUMBER(H1576)),B1576/H1576-1,""),"")</f>
        <v/>
      </c>
      <c r="J1576" s="8">
        <f>IFERROR(IF(ISNUMBER(C1576),MAX(C1576,IFERROR(J1575,C1576)),""),"")</f>
        <v/>
      </c>
      <c r="K1576" s="29">
        <f>IFERROR(IF(AND(ISNUMBER(C1576),ISNUMBER(J1576)),C1576/J1576-1,""),"")</f>
        <v/>
      </c>
      <c r="L1576" s="28">
        <f>IFERROR(IF(AND(ISNUMBER(D1576),ISNUMBER(E1576)),D1576-E1576,""),"")</f>
        <v/>
      </c>
    </row>
    <row r="1577">
      <c r="A1577" s="7">
        <f>IFERROR(Datos!A1577,"")</f>
        <v/>
      </c>
      <c r="B1577" s="8">
        <f>IFERROR(Datos!B1577,"")</f>
        <v/>
      </c>
      <c r="C1577" s="8">
        <f>IFERROR(Datos!C1577,"")</f>
        <v/>
      </c>
      <c r="D1577" s="28">
        <f>IFERROR(IF(AND(ISNUMBER(B1577),ISNUMBER(B1576),B1576&lt;&gt;0),B1577/B1576-1,""),"")</f>
        <v/>
      </c>
      <c r="E1577" s="28">
        <f>IFERROR(IF(AND(ISNUMBER(C1577),ISNUMBER(C1576),C1576&lt;&gt;0),C1577/C1576-1,""),"")</f>
        <v/>
      </c>
      <c r="F1577" s="28">
        <f>IFERROR(D1577-Dashboard!$B$4/252,"")</f>
        <v/>
      </c>
      <c r="G1577" s="28">
        <f>IFERROR(E1577-Dashboard!$B$4/252,"")</f>
        <v/>
      </c>
      <c r="H1577" s="8">
        <f>IFERROR(IF(ISNUMBER(B1577),MAX(B1577,IFERROR(H1576,B1577)),""),"")</f>
        <v/>
      </c>
      <c r="I1577" s="29">
        <f>IFERROR(IF(AND(ISNUMBER(B1577),ISNUMBER(H1577)),B1577/H1577-1,""),"")</f>
        <v/>
      </c>
      <c r="J1577" s="8">
        <f>IFERROR(IF(ISNUMBER(C1577),MAX(C1577,IFERROR(J1576,C1577)),""),"")</f>
        <v/>
      </c>
      <c r="K1577" s="29">
        <f>IFERROR(IF(AND(ISNUMBER(C1577),ISNUMBER(J1577)),C1577/J1577-1,""),"")</f>
        <v/>
      </c>
      <c r="L1577" s="28">
        <f>IFERROR(IF(AND(ISNUMBER(D1577),ISNUMBER(E1577)),D1577-E1577,""),"")</f>
        <v/>
      </c>
    </row>
    <row r="1578">
      <c r="A1578" s="7">
        <f>IFERROR(Datos!A1578,"")</f>
        <v/>
      </c>
      <c r="B1578" s="8">
        <f>IFERROR(Datos!B1578,"")</f>
        <v/>
      </c>
      <c r="C1578" s="8">
        <f>IFERROR(Datos!C1578,"")</f>
        <v/>
      </c>
      <c r="D1578" s="28">
        <f>IFERROR(IF(AND(ISNUMBER(B1578),ISNUMBER(B1577),B1577&lt;&gt;0),B1578/B1577-1,""),"")</f>
        <v/>
      </c>
      <c r="E1578" s="28">
        <f>IFERROR(IF(AND(ISNUMBER(C1578),ISNUMBER(C1577),C1577&lt;&gt;0),C1578/C1577-1,""),"")</f>
        <v/>
      </c>
      <c r="F1578" s="28">
        <f>IFERROR(D1578-Dashboard!$B$4/252,"")</f>
        <v/>
      </c>
      <c r="G1578" s="28">
        <f>IFERROR(E1578-Dashboard!$B$4/252,"")</f>
        <v/>
      </c>
      <c r="H1578" s="8">
        <f>IFERROR(IF(ISNUMBER(B1578),MAX(B1578,IFERROR(H1577,B1578)),""),"")</f>
        <v/>
      </c>
      <c r="I1578" s="29">
        <f>IFERROR(IF(AND(ISNUMBER(B1578),ISNUMBER(H1578)),B1578/H1578-1,""),"")</f>
        <v/>
      </c>
      <c r="J1578" s="8">
        <f>IFERROR(IF(ISNUMBER(C1578),MAX(C1578,IFERROR(J1577,C1578)),""),"")</f>
        <v/>
      </c>
      <c r="K1578" s="29">
        <f>IFERROR(IF(AND(ISNUMBER(C1578),ISNUMBER(J1578)),C1578/J1578-1,""),"")</f>
        <v/>
      </c>
      <c r="L1578" s="28">
        <f>IFERROR(IF(AND(ISNUMBER(D1578),ISNUMBER(E1578)),D1578-E1578,""),"")</f>
        <v/>
      </c>
    </row>
    <row r="1579">
      <c r="A1579" s="7">
        <f>IFERROR(Datos!A1579,"")</f>
        <v/>
      </c>
      <c r="B1579" s="8">
        <f>IFERROR(Datos!B1579,"")</f>
        <v/>
      </c>
      <c r="C1579" s="8">
        <f>IFERROR(Datos!C1579,"")</f>
        <v/>
      </c>
      <c r="D1579" s="28">
        <f>IFERROR(IF(AND(ISNUMBER(B1579),ISNUMBER(B1578),B1578&lt;&gt;0),B1579/B1578-1,""),"")</f>
        <v/>
      </c>
      <c r="E1579" s="28">
        <f>IFERROR(IF(AND(ISNUMBER(C1579),ISNUMBER(C1578),C1578&lt;&gt;0),C1579/C1578-1,""),"")</f>
        <v/>
      </c>
      <c r="F1579" s="28">
        <f>IFERROR(D1579-Dashboard!$B$4/252,"")</f>
        <v/>
      </c>
      <c r="G1579" s="28">
        <f>IFERROR(E1579-Dashboard!$B$4/252,"")</f>
        <v/>
      </c>
      <c r="H1579" s="8">
        <f>IFERROR(IF(ISNUMBER(B1579),MAX(B1579,IFERROR(H1578,B1579)),""),"")</f>
        <v/>
      </c>
      <c r="I1579" s="29">
        <f>IFERROR(IF(AND(ISNUMBER(B1579),ISNUMBER(H1579)),B1579/H1579-1,""),"")</f>
        <v/>
      </c>
      <c r="J1579" s="8">
        <f>IFERROR(IF(ISNUMBER(C1579),MAX(C1579,IFERROR(J1578,C1579)),""),"")</f>
        <v/>
      </c>
      <c r="K1579" s="29">
        <f>IFERROR(IF(AND(ISNUMBER(C1579),ISNUMBER(J1579)),C1579/J1579-1,""),"")</f>
        <v/>
      </c>
      <c r="L1579" s="28">
        <f>IFERROR(IF(AND(ISNUMBER(D1579),ISNUMBER(E1579)),D1579-E1579,""),"")</f>
        <v/>
      </c>
    </row>
    <row r="1580">
      <c r="A1580" s="7">
        <f>IFERROR(Datos!A1580,"")</f>
        <v/>
      </c>
      <c r="B1580" s="8">
        <f>IFERROR(Datos!B1580,"")</f>
        <v/>
      </c>
      <c r="C1580" s="8">
        <f>IFERROR(Datos!C1580,"")</f>
        <v/>
      </c>
      <c r="D1580" s="28">
        <f>IFERROR(IF(AND(ISNUMBER(B1580),ISNUMBER(B1579),B1579&lt;&gt;0),B1580/B1579-1,""),"")</f>
        <v/>
      </c>
      <c r="E1580" s="28">
        <f>IFERROR(IF(AND(ISNUMBER(C1580),ISNUMBER(C1579),C1579&lt;&gt;0),C1580/C1579-1,""),"")</f>
        <v/>
      </c>
      <c r="F1580" s="28">
        <f>IFERROR(D1580-Dashboard!$B$4/252,"")</f>
        <v/>
      </c>
      <c r="G1580" s="28">
        <f>IFERROR(E1580-Dashboard!$B$4/252,"")</f>
        <v/>
      </c>
      <c r="H1580" s="8">
        <f>IFERROR(IF(ISNUMBER(B1580),MAX(B1580,IFERROR(H1579,B1580)),""),"")</f>
        <v/>
      </c>
      <c r="I1580" s="29">
        <f>IFERROR(IF(AND(ISNUMBER(B1580),ISNUMBER(H1580)),B1580/H1580-1,""),"")</f>
        <v/>
      </c>
      <c r="J1580" s="8">
        <f>IFERROR(IF(ISNUMBER(C1580),MAX(C1580,IFERROR(J1579,C1580)),""),"")</f>
        <v/>
      </c>
      <c r="K1580" s="29">
        <f>IFERROR(IF(AND(ISNUMBER(C1580),ISNUMBER(J1580)),C1580/J1580-1,""),"")</f>
        <v/>
      </c>
      <c r="L1580" s="28">
        <f>IFERROR(IF(AND(ISNUMBER(D1580),ISNUMBER(E1580)),D1580-E1580,""),"")</f>
        <v/>
      </c>
    </row>
    <row r="1581">
      <c r="A1581" s="7">
        <f>IFERROR(Datos!A1581,"")</f>
        <v/>
      </c>
      <c r="B1581" s="8">
        <f>IFERROR(Datos!B1581,"")</f>
        <v/>
      </c>
      <c r="C1581" s="8">
        <f>IFERROR(Datos!C1581,"")</f>
        <v/>
      </c>
      <c r="D1581" s="28">
        <f>IFERROR(IF(AND(ISNUMBER(B1581),ISNUMBER(B1580),B1580&lt;&gt;0),B1581/B1580-1,""),"")</f>
        <v/>
      </c>
      <c r="E1581" s="28">
        <f>IFERROR(IF(AND(ISNUMBER(C1581),ISNUMBER(C1580),C1580&lt;&gt;0),C1581/C1580-1,""),"")</f>
        <v/>
      </c>
      <c r="F1581" s="28">
        <f>IFERROR(D1581-Dashboard!$B$4/252,"")</f>
        <v/>
      </c>
      <c r="G1581" s="28">
        <f>IFERROR(E1581-Dashboard!$B$4/252,"")</f>
        <v/>
      </c>
      <c r="H1581" s="8">
        <f>IFERROR(IF(ISNUMBER(B1581),MAX(B1581,IFERROR(H1580,B1581)),""),"")</f>
        <v/>
      </c>
      <c r="I1581" s="29">
        <f>IFERROR(IF(AND(ISNUMBER(B1581),ISNUMBER(H1581)),B1581/H1581-1,""),"")</f>
        <v/>
      </c>
      <c r="J1581" s="8">
        <f>IFERROR(IF(ISNUMBER(C1581),MAX(C1581,IFERROR(J1580,C1581)),""),"")</f>
        <v/>
      </c>
      <c r="K1581" s="29">
        <f>IFERROR(IF(AND(ISNUMBER(C1581),ISNUMBER(J1581)),C1581/J1581-1,""),"")</f>
        <v/>
      </c>
      <c r="L1581" s="28">
        <f>IFERROR(IF(AND(ISNUMBER(D1581),ISNUMBER(E1581)),D1581-E1581,""),"")</f>
        <v/>
      </c>
    </row>
    <row r="1582">
      <c r="A1582" s="7">
        <f>IFERROR(Datos!A1582,"")</f>
        <v/>
      </c>
      <c r="B1582" s="8">
        <f>IFERROR(Datos!B1582,"")</f>
        <v/>
      </c>
      <c r="C1582" s="8">
        <f>IFERROR(Datos!C1582,"")</f>
        <v/>
      </c>
      <c r="D1582" s="28">
        <f>IFERROR(IF(AND(ISNUMBER(B1582),ISNUMBER(B1581),B1581&lt;&gt;0),B1582/B1581-1,""),"")</f>
        <v/>
      </c>
      <c r="E1582" s="28">
        <f>IFERROR(IF(AND(ISNUMBER(C1582),ISNUMBER(C1581),C1581&lt;&gt;0),C1582/C1581-1,""),"")</f>
        <v/>
      </c>
      <c r="F1582" s="28">
        <f>IFERROR(D1582-Dashboard!$B$4/252,"")</f>
        <v/>
      </c>
      <c r="G1582" s="28">
        <f>IFERROR(E1582-Dashboard!$B$4/252,"")</f>
        <v/>
      </c>
      <c r="H1582" s="8">
        <f>IFERROR(IF(ISNUMBER(B1582),MAX(B1582,IFERROR(H1581,B1582)),""),"")</f>
        <v/>
      </c>
      <c r="I1582" s="29">
        <f>IFERROR(IF(AND(ISNUMBER(B1582),ISNUMBER(H1582)),B1582/H1582-1,""),"")</f>
        <v/>
      </c>
      <c r="J1582" s="8">
        <f>IFERROR(IF(ISNUMBER(C1582),MAX(C1582,IFERROR(J1581,C1582)),""),"")</f>
        <v/>
      </c>
      <c r="K1582" s="29">
        <f>IFERROR(IF(AND(ISNUMBER(C1582),ISNUMBER(J1582)),C1582/J1582-1,""),"")</f>
        <v/>
      </c>
      <c r="L1582" s="28">
        <f>IFERROR(IF(AND(ISNUMBER(D1582),ISNUMBER(E1582)),D1582-E1582,""),"")</f>
        <v/>
      </c>
    </row>
    <row r="1583">
      <c r="A1583" s="7">
        <f>IFERROR(Datos!A1583,"")</f>
        <v/>
      </c>
      <c r="B1583" s="8">
        <f>IFERROR(Datos!B1583,"")</f>
        <v/>
      </c>
      <c r="C1583" s="8">
        <f>IFERROR(Datos!C1583,"")</f>
        <v/>
      </c>
      <c r="D1583" s="28">
        <f>IFERROR(IF(AND(ISNUMBER(B1583),ISNUMBER(B1582),B1582&lt;&gt;0),B1583/B1582-1,""),"")</f>
        <v/>
      </c>
      <c r="E1583" s="28">
        <f>IFERROR(IF(AND(ISNUMBER(C1583),ISNUMBER(C1582),C1582&lt;&gt;0),C1583/C1582-1,""),"")</f>
        <v/>
      </c>
      <c r="F1583" s="28">
        <f>IFERROR(D1583-Dashboard!$B$4/252,"")</f>
        <v/>
      </c>
      <c r="G1583" s="28">
        <f>IFERROR(E1583-Dashboard!$B$4/252,"")</f>
        <v/>
      </c>
      <c r="H1583" s="8">
        <f>IFERROR(IF(ISNUMBER(B1583),MAX(B1583,IFERROR(H1582,B1583)),""),"")</f>
        <v/>
      </c>
      <c r="I1583" s="29">
        <f>IFERROR(IF(AND(ISNUMBER(B1583),ISNUMBER(H1583)),B1583/H1583-1,""),"")</f>
        <v/>
      </c>
      <c r="J1583" s="8">
        <f>IFERROR(IF(ISNUMBER(C1583),MAX(C1583,IFERROR(J1582,C1583)),""),"")</f>
        <v/>
      </c>
      <c r="K1583" s="29">
        <f>IFERROR(IF(AND(ISNUMBER(C1583),ISNUMBER(J1583)),C1583/J1583-1,""),"")</f>
        <v/>
      </c>
      <c r="L1583" s="28">
        <f>IFERROR(IF(AND(ISNUMBER(D1583),ISNUMBER(E1583)),D1583-E1583,""),"")</f>
        <v/>
      </c>
    </row>
    <row r="1584">
      <c r="A1584" s="7">
        <f>IFERROR(Datos!A1584,"")</f>
        <v/>
      </c>
      <c r="B1584" s="8">
        <f>IFERROR(Datos!B1584,"")</f>
        <v/>
      </c>
      <c r="C1584" s="8">
        <f>IFERROR(Datos!C1584,"")</f>
        <v/>
      </c>
      <c r="D1584" s="28">
        <f>IFERROR(IF(AND(ISNUMBER(B1584),ISNUMBER(B1583),B1583&lt;&gt;0),B1584/B1583-1,""),"")</f>
        <v/>
      </c>
      <c r="E1584" s="28">
        <f>IFERROR(IF(AND(ISNUMBER(C1584),ISNUMBER(C1583),C1583&lt;&gt;0),C1584/C1583-1,""),"")</f>
        <v/>
      </c>
      <c r="F1584" s="28">
        <f>IFERROR(D1584-Dashboard!$B$4/252,"")</f>
        <v/>
      </c>
      <c r="G1584" s="28">
        <f>IFERROR(E1584-Dashboard!$B$4/252,"")</f>
        <v/>
      </c>
      <c r="H1584" s="8">
        <f>IFERROR(IF(ISNUMBER(B1584),MAX(B1584,IFERROR(H1583,B1584)),""),"")</f>
        <v/>
      </c>
      <c r="I1584" s="29">
        <f>IFERROR(IF(AND(ISNUMBER(B1584),ISNUMBER(H1584)),B1584/H1584-1,""),"")</f>
        <v/>
      </c>
      <c r="J1584" s="8">
        <f>IFERROR(IF(ISNUMBER(C1584),MAX(C1584,IFERROR(J1583,C1584)),""),"")</f>
        <v/>
      </c>
      <c r="K1584" s="29">
        <f>IFERROR(IF(AND(ISNUMBER(C1584),ISNUMBER(J1584)),C1584/J1584-1,""),"")</f>
        <v/>
      </c>
      <c r="L1584" s="28">
        <f>IFERROR(IF(AND(ISNUMBER(D1584),ISNUMBER(E1584)),D1584-E1584,""),"")</f>
        <v/>
      </c>
    </row>
    <row r="1585">
      <c r="A1585" s="7">
        <f>IFERROR(Datos!A1585,"")</f>
        <v/>
      </c>
      <c r="B1585" s="8">
        <f>IFERROR(Datos!B1585,"")</f>
        <v/>
      </c>
      <c r="C1585" s="8">
        <f>IFERROR(Datos!C1585,"")</f>
        <v/>
      </c>
      <c r="D1585" s="28">
        <f>IFERROR(IF(AND(ISNUMBER(B1585),ISNUMBER(B1584),B1584&lt;&gt;0),B1585/B1584-1,""),"")</f>
        <v/>
      </c>
      <c r="E1585" s="28">
        <f>IFERROR(IF(AND(ISNUMBER(C1585),ISNUMBER(C1584),C1584&lt;&gt;0),C1585/C1584-1,""),"")</f>
        <v/>
      </c>
      <c r="F1585" s="28">
        <f>IFERROR(D1585-Dashboard!$B$4/252,"")</f>
        <v/>
      </c>
      <c r="G1585" s="28">
        <f>IFERROR(E1585-Dashboard!$B$4/252,"")</f>
        <v/>
      </c>
      <c r="H1585" s="8">
        <f>IFERROR(IF(ISNUMBER(B1585),MAX(B1585,IFERROR(H1584,B1585)),""),"")</f>
        <v/>
      </c>
      <c r="I1585" s="29">
        <f>IFERROR(IF(AND(ISNUMBER(B1585),ISNUMBER(H1585)),B1585/H1585-1,""),"")</f>
        <v/>
      </c>
      <c r="J1585" s="8">
        <f>IFERROR(IF(ISNUMBER(C1585),MAX(C1585,IFERROR(J1584,C1585)),""),"")</f>
        <v/>
      </c>
      <c r="K1585" s="29">
        <f>IFERROR(IF(AND(ISNUMBER(C1585),ISNUMBER(J1585)),C1585/J1585-1,""),"")</f>
        <v/>
      </c>
      <c r="L1585" s="28">
        <f>IFERROR(IF(AND(ISNUMBER(D1585),ISNUMBER(E1585)),D1585-E1585,""),"")</f>
        <v/>
      </c>
    </row>
    <row r="1586">
      <c r="A1586" s="7">
        <f>IFERROR(Datos!A1586,"")</f>
        <v/>
      </c>
      <c r="B1586" s="8">
        <f>IFERROR(Datos!B1586,"")</f>
        <v/>
      </c>
      <c r="C1586" s="8">
        <f>IFERROR(Datos!C1586,"")</f>
        <v/>
      </c>
      <c r="D1586" s="28">
        <f>IFERROR(IF(AND(ISNUMBER(B1586),ISNUMBER(B1585),B1585&lt;&gt;0),B1586/B1585-1,""),"")</f>
        <v/>
      </c>
      <c r="E1586" s="28">
        <f>IFERROR(IF(AND(ISNUMBER(C1586),ISNUMBER(C1585),C1585&lt;&gt;0),C1586/C1585-1,""),"")</f>
        <v/>
      </c>
      <c r="F1586" s="28">
        <f>IFERROR(D1586-Dashboard!$B$4/252,"")</f>
        <v/>
      </c>
      <c r="G1586" s="28">
        <f>IFERROR(E1586-Dashboard!$B$4/252,"")</f>
        <v/>
      </c>
      <c r="H1586" s="8">
        <f>IFERROR(IF(ISNUMBER(B1586),MAX(B1586,IFERROR(H1585,B1586)),""),"")</f>
        <v/>
      </c>
      <c r="I1586" s="29">
        <f>IFERROR(IF(AND(ISNUMBER(B1586),ISNUMBER(H1586)),B1586/H1586-1,""),"")</f>
        <v/>
      </c>
      <c r="J1586" s="8">
        <f>IFERROR(IF(ISNUMBER(C1586),MAX(C1586,IFERROR(J1585,C1586)),""),"")</f>
        <v/>
      </c>
      <c r="K1586" s="29">
        <f>IFERROR(IF(AND(ISNUMBER(C1586),ISNUMBER(J1586)),C1586/J1586-1,""),"")</f>
        <v/>
      </c>
      <c r="L1586" s="28">
        <f>IFERROR(IF(AND(ISNUMBER(D1586),ISNUMBER(E1586)),D1586-E1586,""),"")</f>
        <v/>
      </c>
    </row>
    <row r="1587">
      <c r="A1587" s="7">
        <f>IFERROR(Datos!A1587,"")</f>
        <v/>
      </c>
      <c r="B1587" s="8">
        <f>IFERROR(Datos!B1587,"")</f>
        <v/>
      </c>
      <c r="C1587" s="8">
        <f>IFERROR(Datos!C1587,"")</f>
        <v/>
      </c>
      <c r="D1587" s="28">
        <f>IFERROR(IF(AND(ISNUMBER(B1587),ISNUMBER(B1586),B1586&lt;&gt;0),B1587/B1586-1,""),"")</f>
        <v/>
      </c>
      <c r="E1587" s="28">
        <f>IFERROR(IF(AND(ISNUMBER(C1587),ISNUMBER(C1586),C1586&lt;&gt;0),C1587/C1586-1,""),"")</f>
        <v/>
      </c>
      <c r="F1587" s="28">
        <f>IFERROR(D1587-Dashboard!$B$4/252,"")</f>
        <v/>
      </c>
      <c r="G1587" s="28">
        <f>IFERROR(E1587-Dashboard!$B$4/252,"")</f>
        <v/>
      </c>
      <c r="H1587" s="8">
        <f>IFERROR(IF(ISNUMBER(B1587),MAX(B1587,IFERROR(H1586,B1587)),""),"")</f>
        <v/>
      </c>
      <c r="I1587" s="29">
        <f>IFERROR(IF(AND(ISNUMBER(B1587),ISNUMBER(H1587)),B1587/H1587-1,""),"")</f>
        <v/>
      </c>
      <c r="J1587" s="8">
        <f>IFERROR(IF(ISNUMBER(C1587),MAX(C1587,IFERROR(J1586,C1587)),""),"")</f>
        <v/>
      </c>
      <c r="K1587" s="29">
        <f>IFERROR(IF(AND(ISNUMBER(C1587),ISNUMBER(J1587)),C1587/J1587-1,""),"")</f>
        <v/>
      </c>
      <c r="L1587" s="28">
        <f>IFERROR(IF(AND(ISNUMBER(D1587),ISNUMBER(E1587)),D1587-E1587,""),"")</f>
        <v/>
      </c>
    </row>
    <row r="1588">
      <c r="A1588" s="7">
        <f>IFERROR(Datos!A1588,"")</f>
        <v/>
      </c>
      <c r="B1588" s="8">
        <f>IFERROR(Datos!B1588,"")</f>
        <v/>
      </c>
      <c r="C1588" s="8">
        <f>IFERROR(Datos!C1588,"")</f>
        <v/>
      </c>
      <c r="D1588" s="28">
        <f>IFERROR(IF(AND(ISNUMBER(B1588),ISNUMBER(B1587),B1587&lt;&gt;0),B1588/B1587-1,""),"")</f>
        <v/>
      </c>
      <c r="E1588" s="28">
        <f>IFERROR(IF(AND(ISNUMBER(C1588),ISNUMBER(C1587),C1587&lt;&gt;0),C1588/C1587-1,""),"")</f>
        <v/>
      </c>
      <c r="F1588" s="28">
        <f>IFERROR(D1588-Dashboard!$B$4/252,"")</f>
        <v/>
      </c>
      <c r="G1588" s="28">
        <f>IFERROR(E1588-Dashboard!$B$4/252,"")</f>
        <v/>
      </c>
      <c r="H1588" s="8">
        <f>IFERROR(IF(ISNUMBER(B1588),MAX(B1588,IFERROR(H1587,B1588)),""),"")</f>
        <v/>
      </c>
      <c r="I1588" s="29">
        <f>IFERROR(IF(AND(ISNUMBER(B1588),ISNUMBER(H1588)),B1588/H1588-1,""),"")</f>
        <v/>
      </c>
      <c r="J1588" s="8">
        <f>IFERROR(IF(ISNUMBER(C1588),MAX(C1588,IFERROR(J1587,C1588)),""),"")</f>
        <v/>
      </c>
      <c r="K1588" s="29">
        <f>IFERROR(IF(AND(ISNUMBER(C1588),ISNUMBER(J1588)),C1588/J1588-1,""),"")</f>
        <v/>
      </c>
      <c r="L1588" s="28">
        <f>IFERROR(IF(AND(ISNUMBER(D1588),ISNUMBER(E1588)),D1588-E1588,""),"")</f>
        <v/>
      </c>
    </row>
    <row r="1589">
      <c r="A1589" s="7">
        <f>IFERROR(Datos!A1589,"")</f>
        <v/>
      </c>
      <c r="B1589" s="8">
        <f>IFERROR(Datos!B1589,"")</f>
        <v/>
      </c>
      <c r="C1589" s="8">
        <f>IFERROR(Datos!C1589,"")</f>
        <v/>
      </c>
      <c r="D1589" s="28">
        <f>IFERROR(IF(AND(ISNUMBER(B1589),ISNUMBER(B1588),B1588&lt;&gt;0),B1589/B1588-1,""),"")</f>
        <v/>
      </c>
      <c r="E1589" s="28">
        <f>IFERROR(IF(AND(ISNUMBER(C1589),ISNUMBER(C1588),C1588&lt;&gt;0),C1589/C1588-1,""),"")</f>
        <v/>
      </c>
      <c r="F1589" s="28">
        <f>IFERROR(D1589-Dashboard!$B$4/252,"")</f>
        <v/>
      </c>
      <c r="G1589" s="28">
        <f>IFERROR(E1589-Dashboard!$B$4/252,"")</f>
        <v/>
      </c>
      <c r="H1589" s="8">
        <f>IFERROR(IF(ISNUMBER(B1589),MAX(B1589,IFERROR(H1588,B1589)),""),"")</f>
        <v/>
      </c>
      <c r="I1589" s="29">
        <f>IFERROR(IF(AND(ISNUMBER(B1589),ISNUMBER(H1589)),B1589/H1589-1,""),"")</f>
        <v/>
      </c>
      <c r="J1589" s="8">
        <f>IFERROR(IF(ISNUMBER(C1589),MAX(C1589,IFERROR(J1588,C1589)),""),"")</f>
        <v/>
      </c>
      <c r="K1589" s="29">
        <f>IFERROR(IF(AND(ISNUMBER(C1589),ISNUMBER(J1589)),C1589/J1589-1,""),"")</f>
        <v/>
      </c>
      <c r="L1589" s="28">
        <f>IFERROR(IF(AND(ISNUMBER(D1589),ISNUMBER(E1589)),D1589-E1589,""),"")</f>
        <v/>
      </c>
    </row>
    <row r="1590">
      <c r="A1590" s="7">
        <f>IFERROR(Datos!A1590,"")</f>
        <v/>
      </c>
      <c r="B1590" s="8">
        <f>IFERROR(Datos!B1590,"")</f>
        <v/>
      </c>
      <c r="C1590" s="8">
        <f>IFERROR(Datos!C1590,"")</f>
        <v/>
      </c>
      <c r="D1590" s="28">
        <f>IFERROR(IF(AND(ISNUMBER(B1590),ISNUMBER(B1589),B1589&lt;&gt;0),B1590/B1589-1,""),"")</f>
        <v/>
      </c>
      <c r="E1590" s="28">
        <f>IFERROR(IF(AND(ISNUMBER(C1590),ISNUMBER(C1589),C1589&lt;&gt;0),C1590/C1589-1,""),"")</f>
        <v/>
      </c>
      <c r="F1590" s="28">
        <f>IFERROR(D1590-Dashboard!$B$4/252,"")</f>
        <v/>
      </c>
      <c r="G1590" s="28">
        <f>IFERROR(E1590-Dashboard!$B$4/252,"")</f>
        <v/>
      </c>
      <c r="H1590" s="8">
        <f>IFERROR(IF(ISNUMBER(B1590),MAX(B1590,IFERROR(H1589,B1590)),""),"")</f>
        <v/>
      </c>
      <c r="I1590" s="29">
        <f>IFERROR(IF(AND(ISNUMBER(B1590),ISNUMBER(H1590)),B1590/H1590-1,""),"")</f>
        <v/>
      </c>
      <c r="J1590" s="8">
        <f>IFERROR(IF(ISNUMBER(C1590),MAX(C1590,IFERROR(J1589,C1590)),""),"")</f>
        <v/>
      </c>
      <c r="K1590" s="29">
        <f>IFERROR(IF(AND(ISNUMBER(C1590),ISNUMBER(J1590)),C1590/J1590-1,""),"")</f>
        <v/>
      </c>
      <c r="L1590" s="28">
        <f>IFERROR(IF(AND(ISNUMBER(D1590),ISNUMBER(E1590)),D1590-E1590,""),"")</f>
        <v/>
      </c>
    </row>
    <row r="1591">
      <c r="A1591" s="7">
        <f>IFERROR(Datos!A1591,"")</f>
        <v/>
      </c>
      <c r="B1591" s="8">
        <f>IFERROR(Datos!B1591,"")</f>
        <v/>
      </c>
      <c r="C1591" s="8">
        <f>IFERROR(Datos!C1591,"")</f>
        <v/>
      </c>
      <c r="D1591" s="28">
        <f>IFERROR(IF(AND(ISNUMBER(B1591),ISNUMBER(B1590),B1590&lt;&gt;0),B1591/B1590-1,""),"")</f>
        <v/>
      </c>
      <c r="E1591" s="28">
        <f>IFERROR(IF(AND(ISNUMBER(C1591),ISNUMBER(C1590),C1590&lt;&gt;0),C1591/C1590-1,""),"")</f>
        <v/>
      </c>
      <c r="F1591" s="28">
        <f>IFERROR(D1591-Dashboard!$B$4/252,"")</f>
        <v/>
      </c>
      <c r="G1591" s="28">
        <f>IFERROR(E1591-Dashboard!$B$4/252,"")</f>
        <v/>
      </c>
      <c r="H1591" s="8">
        <f>IFERROR(IF(ISNUMBER(B1591),MAX(B1591,IFERROR(H1590,B1591)),""),"")</f>
        <v/>
      </c>
      <c r="I1591" s="29">
        <f>IFERROR(IF(AND(ISNUMBER(B1591),ISNUMBER(H1591)),B1591/H1591-1,""),"")</f>
        <v/>
      </c>
      <c r="J1591" s="8">
        <f>IFERROR(IF(ISNUMBER(C1591),MAX(C1591,IFERROR(J1590,C1591)),""),"")</f>
        <v/>
      </c>
      <c r="K1591" s="29">
        <f>IFERROR(IF(AND(ISNUMBER(C1591),ISNUMBER(J1591)),C1591/J1591-1,""),"")</f>
        <v/>
      </c>
      <c r="L1591" s="28">
        <f>IFERROR(IF(AND(ISNUMBER(D1591),ISNUMBER(E1591)),D1591-E1591,""),"")</f>
        <v/>
      </c>
    </row>
    <row r="1592">
      <c r="A1592" s="7">
        <f>IFERROR(Datos!A1592,"")</f>
        <v/>
      </c>
      <c r="B1592" s="8">
        <f>IFERROR(Datos!B1592,"")</f>
        <v/>
      </c>
      <c r="C1592" s="8">
        <f>IFERROR(Datos!C1592,"")</f>
        <v/>
      </c>
      <c r="D1592" s="28">
        <f>IFERROR(IF(AND(ISNUMBER(B1592),ISNUMBER(B1591),B1591&lt;&gt;0),B1592/B1591-1,""),"")</f>
        <v/>
      </c>
      <c r="E1592" s="28">
        <f>IFERROR(IF(AND(ISNUMBER(C1592),ISNUMBER(C1591),C1591&lt;&gt;0),C1592/C1591-1,""),"")</f>
        <v/>
      </c>
      <c r="F1592" s="28">
        <f>IFERROR(D1592-Dashboard!$B$4/252,"")</f>
        <v/>
      </c>
      <c r="G1592" s="28">
        <f>IFERROR(E1592-Dashboard!$B$4/252,"")</f>
        <v/>
      </c>
      <c r="H1592" s="8">
        <f>IFERROR(IF(ISNUMBER(B1592),MAX(B1592,IFERROR(H1591,B1592)),""),"")</f>
        <v/>
      </c>
      <c r="I1592" s="29">
        <f>IFERROR(IF(AND(ISNUMBER(B1592),ISNUMBER(H1592)),B1592/H1592-1,""),"")</f>
        <v/>
      </c>
      <c r="J1592" s="8">
        <f>IFERROR(IF(ISNUMBER(C1592),MAX(C1592,IFERROR(J1591,C1592)),""),"")</f>
        <v/>
      </c>
      <c r="K1592" s="29">
        <f>IFERROR(IF(AND(ISNUMBER(C1592),ISNUMBER(J1592)),C1592/J1592-1,""),"")</f>
        <v/>
      </c>
      <c r="L1592" s="28">
        <f>IFERROR(IF(AND(ISNUMBER(D1592),ISNUMBER(E1592)),D1592-E1592,""),"")</f>
        <v/>
      </c>
    </row>
    <row r="1593">
      <c r="A1593" s="7">
        <f>IFERROR(Datos!A1593,"")</f>
        <v/>
      </c>
      <c r="B1593" s="8">
        <f>IFERROR(Datos!B1593,"")</f>
        <v/>
      </c>
      <c r="C1593" s="8">
        <f>IFERROR(Datos!C1593,"")</f>
        <v/>
      </c>
      <c r="D1593" s="28">
        <f>IFERROR(IF(AND(ISNUMBER(B1593),ISNUMBER(B1592),B1592&lt;&gt;0),B1593/B1592-1,""),"")</f>
        <v/>
      </c>
      <c r="E1593" s="28">
        <f>IFERROR(IF(AND(ISNUMBER(C1593),ISNUMBER(C1592),C1592&lt;&gt;0),C1593/C1592-1,""),"")</f>
        <v/>
      </c>
      <c r="F1593" s="28">
        <f>IFERROR(D1593-Dashboard!$B$4/252,"")</f>
        <v/>
      </c>
      <c r="G1593" s="28">
        <f>IFERROR(E1593-Dashboard!$B$4/252,"")</f>
        <v/>
      </c>
      <c r="H1593" s="8">
        <f>IFERROR(IF(ISNUMBER(B1593),MAX(B1593,IFERROR(H1592,B1593)),""),"")</f>
        <v/>
      </c>
      <c r="I1593" s="29">
        <f>IFERROR(IF(AND(ISNUMBER(B1593),ISNUMBER(H1593)),B1593/H1593-1,""),"")</f>
        <v/>
      </c>
      <c r="J1593" s="8">
        <f>IFERROR(IF(ISNUMBER(C1593),MAX(C1593,IFERROR(J1592,C1593)),""),"")</f>
        <v/>
      </c>
      <c r="K1593" s="29">
        <f>IFERROR(IF(AND(ISNUMBER(C1593),ISNUMBER(J1593)),C1593/J1593-1,""),"")</f>
        <v/>
      </c>
      <c r="L1593" s="28">
        <f>IFERROR(IF(AND(ISNUMBER(D1593),ISNUMBER(E1593)),D1593-E1593,""),"")</f>
        <v/>
      </c>
    </row>
    <row r="1594">
      <c r="A1594" s="7">
        <f>IFERROR(Datos!A1594,"")</f>
        <v/>
      </c>
      <c r="B1594" s="8">
        <f>IFERROR(Datos!B1594,"")</f>
        <v/>
      </c>
      <c r="C1594" s="8">
        <f>IFERROR(Datos!C1594,"")</f>
        <v/>
      </c>
      <c r="D1594" s="28">
        <f>IFERROR(IF(AND(ISNUMBER(B1594),ISNUMBER(B1593),B1593&lt;&gt;0),B1594/B1593-1,""),"")</f>
        <v/>
      </c>
      <c r="E1594" s="28">
        <f>IFERROR(IF(AND(ISNUMBER(C1594),ISNUMBER(C1593),C1593&lt;&gt;0),C1594/C1593-1,""),"")</f>
        <v/>
      </c>
      <c r="F1594" s="28">
        <f>IFERROR(D1594-Dashboard!$B$4/252,"")</f>
        <v/>
      </c>
      <c r="G1594" s="28">
        <f>IFERROR(E1594-Dashboard!$B$4/252,"")</f>
        <v/>
      </c>
      <c r="H1594" s="8">
        <f>IFERROR(IF(ISNUMBER(B1594),MAX(B1594,IFERROR(H1593,B1594)),""),"")</f>
        <v/>
      </c>
      <c r="I1594" s="29">
        <f>IFERROR(IF(AND(ISNUMBER(B1594),ISNUMBER(H1594)),B1594/H1594-1,""),"")</f>
        <v/>
      </c>
      <c r="J1594" s="8">
        <f>IFERROR(IF(ISNUMBER(C1594),MAX(C1594,IFERROR(J1593,C1594)),""),"")</f>
        <v/>
      </c>
      <c r="K1594" s="29">
        <f>IFERROR(IF(AND(ISNUMBER(C1594),ISNUMBER(J1594)),C1594/J1594-1,""),"")</f>
        <v/>
      </c>
      <c r="L1594" s="28">
        <f>IFERROR(IF(AND(ISNUMBER(D1594),ISNUMBER(E1594)),D1594-E1594,""),"")</f>
        <v/>
      </c>
    </row>
    <row r="1595">
      <c r="A1595" s="7">
        <f>IFERROR(Datos!A1595,"")</f>
        <v/>
      </c>
      <c r="B1595" s="8">
        <f>IFERROR(Datos!B1595,"")</f>
        <v/>
      </c>
      <c r="C1595" s="8">
        <f>IFERROR(Datos!C1595,"")</f>
        <v/>
      </c>
      <c r="D1595" s="28">
        <f>IFERROR(IF(AND(ISNUMBER(B1595),ISNUMBER(B1594),B1594&lt;&gt;0),B1595/B1594-1,""),"")</f>
        <v/>
      </c>
      <c r="E1595" s="28">
        <f>IFERROR(IF(AND(ISNUMBER(C1595),ISNUMBER(C1594),C1594&lt;&gt;0),C1595/C1594-1,""),"")</f>
        <v/>
      </c>
      <c r="F1595" s="28">
        <f>IFERROR(D1595-Dashboard!$B$4/252,"")</f>
        <v/>
      </c>
      <c r="G1595" s="28">
        <f>IFERROR(E1595-Dashboard!$B$4/252,"")</f>
        <v/>
      </c>
      <c r="H1595" s="8">
        <f>IFERROR(IF(ISNUMBER(B1595),MAX(B1595,IFERROR(H1594,B1595)),""),"")</f>
        <v/>
      </c>
      <c r="I1595" s="29">
        <f>IFERROR(IF(AND(ISNUMBER(B1595),ISNUMBER(H1595)),B1595/H1595-1,""),"")</f>
        <v/>
      </c>
      <c r="J1595" s="8">
        <f>IFERROR(IF(ISNUMBER(C1595),MAX(C1595,IFERROR(J1594,C1595)),""),"")</f>
        <v/>
      </c>
      <c r="K1595" s="29">
        <f>IFERROR(IF(AND(ISNUMBER(C1595),ISNUMBER(J1595)),C1595/J1595-1,""),"")</f>
        <v/>
      </c>
      <c r="L1595" s="28">
        <f>IFERROR(IF(AND(ISNUMBER(D1595),ISNUMBER(E1595)),D1595-E1595,""),"")</f>
        <v/>
      </c>
    </row>
    <row r="1596">
      <c r="A1596" s="7">
        <f>IFERROR(Datos!A1596,"")</f>
        <v/>
      </c>
      <c r="B1596" s="8">
        <f>IFERROR(Datos!B1596,"")</f>
        <v/>
      </c>
      <c r="C1596" s="8">
        <f>IFERROR(Datos!C1596,"")</f>
        <v/>
      </c>
      <c r="D1596" s="28">
        <f>IFERROR(IF(AND(ISNUMBER(B1596),ISNUMBER(B1595),B1595&lt;&gt;0),B1596/B1595-1,""),"")</f>
        <v/>
      </c>
      <c r="E1596" s="28">
        <f>IFERROR(IF(AND(ISNUMBER(C1596),ISNUMBER(C1595),C1595&lt;&gt;0),C1596/C1595-1,""),"")</f>
        <v/>
      </c>
      <c r="F1596" s="28">
        <f>IFERROR(D1596-Dashboard!$B$4/252,"")</f>
        <v/>
      </c>
      <c r="G1596" s="28">
        <f>IFERROR(E1596-Dashboard!$B$4/252,"")</f>
        <v/>
      </c>
      <c r="H1596" s="8">
        <f>IFERROR(IF(ISNUMBER(B1596),MAX(B1596,IFERROR(H1595,B1596)),""),"")</f>
        <v/>
      </c>
      <c r="I1596" s="29">
        <f>IFERROR(IF(AND(ISNUMBER(B1596),ISNUMBER(H1596)),B1596/H1596-1,""),"")</f>
        <v/>
      </c>
      <c r="J1596" s="8">
        <f>IFERROR(IF(ISNUMBER(C1596),MAX(C1596,IFERROR(J1595,C1596)),""),"")</f>
        <v/>
      </c>
      <c r="K1596" s="29">
        <f>IFERROR(IF(AND(ISNUMBER(C1596),ISNUMBER(J1596)),C1596/J1596-1,""),"")</f>
        <v/>
      </c>
      <c r="L1596" s="28">
        <f>IFERROR(IF(AND(ISNUMBER(D1596),ISNUMBER(E1596)),D1596-E1596,""),"")</f>
        <v/>
      </c>
    </row>
    <row r="1597">
      <c r="A1597" s="7">
        <f>IFERROR(Datos!A1597,"")</f>
        <v/>
      </c>
      <c r="B1597" s="8">
        <f>IFERROR(Datos!B1597,"")</f>
        <v/>
      </c>
      <c r="C1597" s="8">
        <f>IFERROR(Datos!C1597,"")</f>
        <v/>
      </c>
      <c r="D1597" s="28">
        <f>IFERROR(IF(AND(ISNUMBER(B1597),ISNUMBER(B1596),B1596&lt;&gt;0),B1597/B1596-1,""),"")</f>
        <v/>
      </c>
      <c r="E1597" s="28">
        <f>IFERROR(IF(AND(ISNUMBER(C1597),ISNUMBER(C1596),C1596&lt;&gt;0),C1597/C1596-1,""),"")</f>
        <v/>
      </c>
      <c r="F1597" s="28">
        <f>IFERROR(D1597-Dashboard!$B$4/252,"")</f>
        <v/>
      </c>
      <c r="G1597" s="28">
        <f>IFERROR(E1597-Dashboard!$B$4/252,"")</f>
        <v/>
      </c>
      <c r="H1597" s="8">
        <f>IFERROR(IF(ISNUMBER(B1597),MAX(B1597,IFERROR(H1596,B1597)),""),"")</f>
        <v/>
      </c>
      <c r="I1597" s="29">
        <f>IFERROR(IF(AND(ISNUMBER(B1597),ISNUMBER(H1597)),B1597/H1597-1,""),"")</f>
        <v/>
      </c>
      <c r="J1597" s="8">
        <f>IFERROR(IF(ISNUMBER(C1597),MAX(C1597,IFERROR(J1596,C1597)),""),"")</f>
        <v/>
      </c>
      <c r="K1597" s="29">
        <f>IFERROR(IF(AND(ISNUMBER(C1597),ISNUMBER(J1597)),C1597/J1597-1,""),"")</f>
        <v/>
      </c>
      <c r="L1597" s="28">
        <f>IFERROR(IF(AND(ISNUMBER(D1597),ISNUMBER(E1597)),D1597-E1597,""),"")</f>
        <v/>
      </c>
    </row>
    <row r="1598">
      <c r="A1598" s="7">
        <f>IFERROR(Datos!A1598,"")</f>
        <v/>
      </c>
      <c r="B1598" s="8">
        <f>IFERROR(Datos!B1598,"")</f>
        <v/>
      </c>
      <c r="C1598" s="8">
        <f>IFERROR(Datos!C1598,"")</f>
        <v/>
      </c>
      <c r="D1598" s="28">
        <f>IFERROR(IF(AND(ISNUMBER(B1598),ISNUMBER(B1597),B1597&lt;&gt;0),B1598/B1597-1,""),"")</f>
        <v/>
      </c>
      <c r="E1598" s="28">
        <f>IFERROR(IF(AND(ISNUMBER(C1598),ISNUMBER(C1597),C1597&lt;&gt;0),C1598/C1597-1,""),"")</f>
        <v/>
      </c>
      <c r="F1598" s="28">
        <f>IFERROR(D1598-Dashboard!$B$4/252,"")</f>
        <v/>
      </c>
      <c r="G1598" s="28">
        <f>IFERROR(E1598-Dashboard!$B$4/252,"")</f>
        <v/>
      </c>
      <c r="H1598" s="8">
        <f>IFERROR(IF(ISNUMBER(B1598),MAX(B1598,IFERROR(H1597,B1598)),""),"")</f>
        <v/>
      </c>
      <c r="I1598" s="29">
        <f>IFERROR(IF(AND(ISNUMBER(B1598),ISNUMBER(H1598)),B1598/H1598-1,""),"")</f>
        <v/>
      </c>
      <c r="J1598" s="8">
        <f>IFERROR(IF(ISNUMBER(C1598),MAX(C1598,IFERROR(J1597,C1598)),""),"")</f>
        <v/>
      </c>
      <c r="K1598" s="29">
        <f>IFERROR(IF(AND(ISNUMBER(C1598),ISNUMBER(J1598)),C1598/J1598-1,""),"")</f>
        <v/>
      </c>
      <c r="L1598" s="28">
        <f>IFERROR(IF(AND(ISNUMBER(D1598),ISNUMBER(E1598)),D1598-E1598,""),"")</f>
        <v/>
      </c>
    </row>
    <row r="1599">
      <c r="A1599" s="7">
        <f>IFERROR(Datos!A1599,"")</f>
        <v/>
      </c>
      <c r="B1599" s="8">
        <f>IFERROR(Datos!B1599,"")</f>
        <v/>
      </c>
      <c r="C1599" s="8">
        <f>IFERROR(Datos!C1599,"")</f>
        <v/>
      </c>
      <c r="D1599" s="28">
        <f>IFERROR(IF(AND(ISNUMBER(B1599),ISNUMBER(B1598),B1598&lt;&gt;0),B1599/B1598-1,""),"")</f>
        <v/>
      </c>
      <c r="E1599" s="28">
        <f>IFERROR(IF(AND(ISNUMBER(C1599),ISNUMBER(C1598),C1598&lt;&gt;0),C1599/C1598-1,""),"")</f>
        <v/>
      </c>
      <c r="F1599" s="28">
        <f>IFERROR(D1599-Dashboard!$B$4/252,"")</f>
        <v/>
      </c>
      <c r="G1599" s="28">
        <f>IFERROR(E1599-Dashboard!$B$4/252,"")</f>
        <v/>
      </c>
      <c r="H1599" s="8">
        <f>IFERROR(IF(ISNUMBER(B1599),MAX(B1599,IFERROR(H1598,B1599)),""),"")</f>
        <v/>
      </c>
      <c r="I1599" s="29">
        <f>IFERROR(IF(AND(ISNUMBER(B1599),ISNUMBER(H1599)),B1599/H1599-1,""),"")</f>
        <v/>
      </c>
      <c r="J1599" s="8">
        <f>IFERROR(IF(ISNUMBER(C1599),MAX(C1599,IFERROR(J1598,C1599)),""),"")</f>
        <v/>
      </c>
      <c r="K1599" s="29">
        <f>IFERROR(IF(AND(ISNUMBER(C1599),ISNUMBER(J1599)),C1599/J1599-1,""),"")</f>
        <v/>
      </c>
      <c r="L1599" s="28">
        <f>IFERROR(IF(AND(ISNUMBER(D1599),ISNUMBER(E1599)),D1599-E1599,""),"")</f>
        <v/>
      </c>
    </row>
    <row r="1600">
      <c r="A1600" s="7">
        <f>IFERROR(Datos!A1600,"")</f>
        <v/>
      </c>
      <c r="B1600" s="8">
        <f>IFERROR(Datos!B1600,"")</f>
        <v/>
      </c>
      <c r="C1600" s="8">
        <f>IFERROR(Datos!C1600,"")</f>
        <v/>
      </c>
      <c r="D1600" s="28">
        <f>IFERROR(IF(AND(ISNUMBER(B1600),ISNUMBER(B1599),B1599&lt;&gt;0),B1600/B1599-1,""),"")</f>
        <v/>
      </c>
      <c r="E1600" s="28">
        <f>IFERROR(IF(AND(ISNUMBER(C1600),ISNUMBER(C1599),C1599&lt;&gt;0),C1600/C1599-1,""),"")</f>
        <v/>
      </c>
      <c r="F1600" s="28">
        <f>IFERROR(D1600-Dashboard!$B$4/252,"")</f>
        <v/>
      </c>
      <c r="G1600" s="28">
        <f>IFERROR(E1600-Dashboard!$B$4/252,"")</f>
        <v/>
      </c>
      <c r="H1600" s="8">
        <f>IFERROR(IF(ISNUMBER(B1600),MAX(B1600,IFERROR(H1599,B1600)),""),"")</f>
        <v/>
      </c>
      <c r="I1600" s="29">
        <f>IFERROR(IF(AND(ISNUMBER(B1600),ISNUMBER(H1600)),B1600/H1600-1,""),"")</f>
        <v/>
      </c>
      <c r="J1600" s="8">
        <f>IFERROR(IF(ISNUMBER(C1600),MAX(C1600,IFERROR(J1599,C1600)),""),"")</f>
        <v/>
      </c>
      <c r="K1600" s="29">
        <f>IFERROR(IF(AND(ISNUMBER(C1600),ISNUMBER(J1600)),C1600/J1600-1,""),"")</f>
        <v/>
      </c>
      <c r="L1600" s="28">
        <f>IFERROR(IF(AND(ISNUMBER(D1600),ISNUMBER(E1600)),D1600-E1600,""),"")</f>
        <v/>
      </c>
    </row>
    <row r="1601">
      <c r="A1601" s="7">
        <f>IFERROR(Datos!A1601,"")</f>
        <v/>
      </c>
      <c r="B1601" s="8">
        <f>IFERROR(Datos!B1601,"")</f>
        <v/>
      </c>
      <c r="C1601" s="8">
        <f>IFERROR(Datos!C1601,"")</f>
        <v/>
      </c>
      <c r="D1601" s="28">
        <f>IFERROR(IF(AND(ISNUMBER(B1601),ISNUMBER(B1600),B1600&lt;&gt;0),B1601/B1600-1,""),"")</f>
        <v/>
      </c>
      <c r="E1601" s="28">
        <f>IFERROR(IF(AND(ISNUMBER(C1601),ISNUMBER(C1600),C1600&lt;&gt;0),C1601/C1600-1,""),"")</f>
        <v/>
      </c>
      <c r="F1601" s="28">
        <f>IFERROR(D1601-Dashboard!$B$4/252,"")</f>
        <v/>
      </c>
      <c r="G1601" s="28">
        <f>IFERROR(E1601-Dashboard!$B$4/252,"")</f>
        <v/>
      </c>
      <c r="H1601" s="8">
        <f>IFERROR(IF(ISNUMBER(B1601),MAX(B1601,IFERROR(H1600,B1601)),""),"")</f>
        <v/>
      </c>
      <c r="I1601" s="29">
        <f>IFERROR(IF(AND(ISNUMBER(B1601),ISNUMBER(H1601)),B1601/H1601-1,""),"")</f>
        <v/>
      </c>
      <c r="J1601" s="8">
        <f>IFERROR(IF(ISNUMBER(C1601),MAX(C1601,IFERROR(J1600,C1601)),""),"")</f>
        <v/>
      </c>
      <c r="K1601" s="29">
        <f>IFERROR(IF(AND(ISNUMBER(C1601),ISNUMBER(J1601)),C1601/J1601-1,""),"")</f>
        <v/>
      </c>
      <c r="L1601" s="28">
        <f>IFERROR(IF(AND(ISNUMBER(D1601),ISNUMBER(E1601)),D1601-E1601,""),"")</f>
        <v/>
      </c>
    </row>
    <row r="1602">
      <c r="A1602" s="7">
        <f>IFERROR(Datos!A1602,"")</f>
        <v/>
      </c>
      <c r="B1602" s="8">
        <f>IFERROR(Datos!B1602,"")</f>
        <v/>
      </c>
      <c r="C1602" s="8">
        <f>IFERROR(Datos!C1602,"")</f>
        <v/>
      </c>
      <c r="D1602" s="28">
        <f>IFERROR(IF(AND(ISNUMBER(B1602),ISNUMBER(B1601),B1601&lt;&gt;0),B1602/B1601-1,""),"")</f>
        <v/>
      </c>
      <c r="E1602" s="28">
        <f>IFERROR(IF(AND(ISNUMBER(C1602),ISNUMBER(C1601),C1601&lt;&gt;0),C1602/C1601-1,""),"")</f>
        <v/>
      </c>
      <c r="F1602" s="28">
        <f>IFERROR(D1602-Dashboard!$B$4/252,"")</f>
        <v/>
      </c>
      <c r="G1602" s="28">
        <f>IFERROR(E1602-Dashboard!$B$4/252,"")</f>
        <v/>
      </c>
      <c r="H1602" s="8">
        <f>IFERROR(IF(ISNUMBER(B1602),MAX(B1602,IFERROR(H1601,B1602)),""),"")</f>
        <v/>
      </c>
      <c r="I1602" s="29">
        <f>IFERROR(IF(AND(ISNUMBER(B1602),ISNUMBER(H1602)),B1602/H1602-1,""),"")</f>
        <v/>
      </c>
      <c r="J1602" s="8">
        <f>IFERROR(IF(ISNUMBER(C1602),MAX(C1602,IFERROR(J1601,C1602)),""),"")</f>
        <v/>
      </c>
      <c r="K1602" s="29">
        <f>IFERROR(IF(AND(ISNUMBER(C1602),ISNUMBER(J1602)),C1602/J1602-1,""),"")</f>
        <v/>
      </c>
      <c r="L1602" s="28">
        <f>IFERROR(IF(AND(ISNUMBER(D1602),ISNUMBER(E1602)),D1602-E1602,""),"")</f>
        <v/>
      </c>
    </row>
    <row r="1603">
      <c r="A1603" s="7">
        <f>IFERROR(Datos!A1603,"")</f>
        <v/>
      </c>
      <c r="B1603" s="8">
        <f>IFERROR(Datos!B1603,"")</f>
        <v/>
      </c>
      <c r="C1603" s="8">
        <f>IFERROR(Datos!C1603,"")</f>
        <v/>
      </c>
      <c r="D1603" s="28">
        <f>IFERROR(IF(AND(ISNUMBER(B1603),ISNUMBER(B1602),B1602&lt;&gt;0),B1603/B1602-1,""),"")</f>
        <v/>
      </c>
      <c r="E1603" s="28">
        <f>IFERROR(IF(AND(ISNUMBER(C1603),ISNUMBER(C1602),C1602&lt;&gt;0),C1603/C1602-1,""),"")</f>
        <v/>
      </c>
      <c r="F1603" s="28">
        <f>IFERROR(D1603-Dashboard!$B$4/252,"")</f>
        <v/>
      </c>
      <c r="G1603" s="28">
        <f>IFERROR(E1603-Dashboard!$B$4/252,"")</f>
        <v/>
      </c>
      <c r="H1603" s="8">
        <f>IFERROR(IF(ISNUMBER(B1603),MAX(B1603,IFERROR(H1602,B1603)),""),"")</f>
        <v/>
      </c>
      <c r="I1603" s="29">
        <f>IFERROR(IF(AND(ISNUMBER(B1603),ISNUMBER(H1603)),B1603/H1603-1,""),"")</f>
        <v/>
      </c>
      <c r="J1603" s="8">
        <f>IFERROR(IF(ISNUMBER(C1603),MAX(C1603,IFERROR(J1602,C1603)),""),"")</f>
        <v/>
      </c>
      <c r="K1603" s="29">
        <f>IFERROR(IF(AND(ISNUMBER(C1603),ISNUMBER(J1603)),C1603/J1603-1,""),"")</f>
        <v/>
      </c>
      <c r="L1603" s="28">
        <f>IFERROR(IF(AND(ISNUMBER(D1603),ISNUMBER(E1603)),D1603-E1603,""),"")</f>
        <v/>
      </c>
    </row>
    <row r="1604">
      <c r="A1604" s="7">
        <f>IFERROR(Datos!A1604,"")</f>
        <v/>
      </c>
      <c r="B1604" s="8">
        <f>IFERROR(Datos!B1604,"")</f>
        <v/>
      </c>
      <c r="C1604" s="8">
        <f>IFERROR(Datos!C1604,"")</f>
        <v/>
      </c>
      <c r="D1604" s="28">
        <f>IFERROR(IF(AND(ISNUMBER(B1604),ISNUMBER(B1603),B1603&lt;&gt;0),B1604/B1603-1,""),"")</f>
        <v/>
      </c>
      <c r="E1604" s="28">
        <f>IFERROR(IF(AND(ISNUMBER(C1604),ISNUMBER(C1603),C1603&lt;&gt;0),C1604/C1603-1,""),"")</f>
        <v/>
      </c>
      <c r="F1604" s="28">
        <f>IFERROR(D1604-Dashboard!$B$4/252,"")</f>
        <v/>
      </c>
      <c r="G1604" s="28">
        <f>IFERROR(E1604-Dashboard!$B$4/252,"")</f>
        <v/>
      </c>
      <c r="H1604" s="8">
        <f>IFERROR(IF(ISNUMBER(B1604),MAX(B1604,IFERROR(H1603,B1604)),""),"")</f>
        <v/>
      </c>
      <c r="I1604" s="29">
        <f>IFERROR(IF(AND(ISNUMBER(B1604),ISNUMBER(H1604)),B1604/H1604-1,""),"")</f>
        <v/>
      </c>
      <c r="J1604" s="8">
        <f>IFERROR(IF(ISNUMBER(C1604),MAX(C1604,IFERROR(J1603,C1604)),""),"")</f>
        <v/>
      </c>
      <c r="K1604" s="29">
        <f>IFERROR(IF(AND(ISNUMBER(C1604),ISNUMBER(J1604)),C1604/J1604-1,""),"")</f>
        <v/>
      </c>
      <c r="L1604" s="28">
        <f>IFERROR(IF(AND(ISNUMBER(D1604),ISNUMBER(E1604)),D1604-E1604,""),"")</f>
        <v/>
      </c>
    </row>
    <row r="1605">
      <c r="A1605" s="7">
        <f>IFERROR(Datos!A1605,"")</f>
        <v/>
      </c>
      <c r="B1605" s="8">
        <f>IFERROR(Datos!B1605,"")</f>
        <v/>
      </c>
      <c r="C1605" s="8">
        <f>IFERROR(Datos!C1605,"")</f>
        <v/>
      </c>
      <c r="D1605" s="28">
        <f>IFERROR(IF(AND(ISNUMBER(B1605),ISNUMBER(B1604),B1604&lt;&gt;0),B1605/B1604-1,""),"")</f>
        <v/>
      </c>
      <c r="E1605" s="28">
        <f>IFERROR(IF(AND(ISNUMBER(C1605),ISNUMBER(C1604),C1604&lt;&gt;0),C1605/C1604-1,""),"")</f>
        <v/>
      </c>
      <c r="F1605" s="28">
        <f>IFERROR(D1605-Dashboard!$B$4/252,"")</f>
        <v/>
      </c>
      <c r="G1605" s="28">
        <f>IFERROR(E1605-Dashboard!$B$4/252,"")</f>
        <v/>
      </c>
      <c r="H1605" s="8">
        <f>IFERROR(IF(ISNUMBER(B1605),MAX(B1605,IFERROR(H1604,B1605)),""),"")</f>
        <v/>
      </c>
      <c r="I1605" s="29">
        <f>IFERROR(IF(AND(ISNUMBER(B1605),ISNUMBER(H1605)),B1605/H1605-1,""),"")</f>
        <v/>
      </c>
      <c r="J1605" s="8">
        <f>IFERROR(IF(ISNUMBER(C1605),MAX(C1605,IFERROR(J1604,C1605)),""),"")</f>
        <v/>
      </c>
      <c r="K1605" s="29">
        <f>IFERROR(IF(AND(ISNUMBER(C1605),ISNUMBER(J1605)),C1605/J1605-1,""),"")</f>
        <v/>
      </c>
      <c r="L1605" s="28">
        <f>IFERROR(IF(AND(ISNUMBER(D1605),ISNUMBER(E1605)),D1605-E1605,""),"")</f>
        <v/>
      </c>
    </row>
    <row r="1606">
      <c r="A1606" s="7">
        <f>IFERROR(Datos!A1606,"")</f>
        <v/>
      </c>
      <c r="B1606" s="8">
        <f>IFERROR(Datos!B1606,"")</f>
        <v/>
      </c>
      <c r="C1606" s="8">
        <f>IFERROR(Datos!C1606,"")</f>
        <v/>
      </c>
      <c r="D1606" s="28">
        <f>IFERROR(IF(AND(ISNUMBER(B1606),ISNUMBER(B1605),B1605&lt;&gt;0),B1606/B1605-1,""),"")</f>
        <v/>
      </c>
      <c r="E1606" s="28">
        <f>IFERROR(IF(AND(ISNUMBER(C1606),ISNUMBER(C1605),C1605&lt;&gt;0),C1606/C1605-1,""),"")</f>
        <v/>
      </c>
      <c r="F1606" s="28">
        <f>IFERROR(D1606-Dashboard!$B$4/252,"")</f>
        <v/>
      </c>
      <c r="G1606" s="28">
        <f>IFERROR(E1606-Dashboard!$B$4/252,"")</f>
        <v/>
      </c>
      <c r="H1606" s="8">
        <f>IFERROR(IF(ISNUMBER(B1606),MAX(B1606,IFERROR(H1605,B1606)),""),"")</f>
        <v/>
      </c>
      <c r="I1606" s="29">
        <f>IFERROR(IF(AND(ISNUMBER(B1606),ISNUMBER(H1606)),B1606/H1606-1,""),"")</f>
        <v/>
      </c>
      <c r="J1606" s="8">
        <f>IFERROR(IF(ISNUMBER(C1606),MAX(C1606,IFERROR(J1605,C1606)),""),"")</f>
        <v/>
      </c>
      <c r="K1606" s="29">
        <f>IFERROR(IF(AND(ISNUMBER(C1606),ISNUMBER(J1606)),C1606/J1606-1,""),"")</f>
        <v/>
      </c>
      <c r="L1606" s="28">
        <f>IFERROR(IF(AND(ISNUMBER(D1606),ISNUMBER(E1606)),D1606-E1606,""),"")</f>
        <v/>
      </c>
    </row>
    <row r="1607">
      <c r="A1607" s="7">
        <f>IFERROR(Datos!A1607,"")</f>
        <v/>
      </c>
      <c r="B1607" s="8">
        <f>IFERROR(Datos!B1607,"")</f>
        <v/>
      </c>
      <c r="C1607" s="8">
        <f>IFERROR(Datos!C1607,"")</f>
        <v/>
      </c>
      <c r="D1607" s="28">
        <f>IFERROR(IF(AND(ISNUMBER(B1607),ISNUMBER(B1606),B1606&lt;&gt;0),B1607/B1606-1,""),"")</f>
        <v/>
      </c>
      <c r="E1607" s="28">
        <f>IFERROR(IF(AND(ISNUMBER(C1607),ISNUMBER(C1606),C1606&lt;&gt;0),C1607/C1606-1,""),"")</f>
        <v/>
      </c>
      <c r="F1607" s="28">
        <f>IFERROR(D1607-Dashboard!$B$4/252,"")</f>
        <v/>
      </c>
      <c r="G1607" s="28">
        <f>IFERROR(E1607-Dashboard!$B$4/252,"")</f>
        <v/>
      </c>
      <c r="H1607" s="8">
        <f>IFERROR(IF(ISNUMBER(B1607),MAX(B1607,IFERROR(H1606,B1607)),""),"")</f>
        <v/>
      </c>
      <c r="I1607" s="29">
        <f>IFERROR(IF(AND(ISNUMBER(B1607),ISNUMBER(H1607)),B1607/H1607-1,""),"")</f>
        <v/>
      </c>
      <c r="J1607" s="8">
        <f>IFERROR(IF(ISNUMBER(C1607),MAX(C1607,IFERROR(J1606,C1607)),""),"")</f>
        <v/>
      </c>
      <c r="K1607" s="29">
        <f>IFERROR(IF(AND(ISNUMBER(C1607),ISNUMBER(J1607)),C1607/J1607-1,""),"")</f>
        <v/>
      </c>
      <c r="L1607" s="28">
        <f>IFERROR(IF(AND(ISNUMBER(D1607),ISNUMBER(E1607)),D1607-E1607,""),"")</f>
        <v/>
      </c>
    </row>
    <row r="1608">
      <c r="A1608" s="7">
        <f>IFERROR(Datos!A1608,"")</f>
        <v/>
      </c>
      <c r="B1608" s="8">
        <f>IFERROR(Datos!B1608,"")</f>
        <v/>
      </c>
      <c r="C1608" s="8">
        <f>IFERROR(Datos!C1608,"")</f>
        <v/>
      </c>
      <c r="D1608" s="28">
        <f>IFERROR(IF(AND(ISNUMBER(B1608),ISNUMBER(B1607),B1607&lt;&gt;0),B1608/B1607-1,""),"")</f>
        <v/>
      </c>
      <c r="E1608" s="28">
        <f>IFERROR(IF(AND(ISNUMBER(C1608),ISNUMBER(C1607),C1607&lt;&gt;0),C1608/C1607-1,""),"")</f>
        <v/>
      </c>
      <c r="F1608" s="28">
        <f>IFERROR(D1608-Dashboard!$B$4/252,"")</f>
        <v/>
      </c>
      <c r="G1608" s="28">
        <f>IFERROR(E1608-Dashboard!$B$4/252,"")</f>
        <v/>
      </c>
      <c r="H1608" s="8">
        <f>IFERROR(IF(ISNUMBER(B1608),MAX(B1608,IFERROR(H1607,B1608)),""),"")</f>
        <v/>
      </c>
      <c r="I1608" s="29">
        <f>IFERROR(IF(AND(ISNUMBER(B1608),ISNUMBER(H1608)),B1608/H1608-1,""),"")</f>
        <v/>
      </c>
      <c r="J1608" s="8">
        <f>IFERROR(IF(ISNUMBER(C1608),MAX(C1608,IFERROR(J1607,C1608)),""),"")</f>
        <v/>
      </c>
      <c r="K1608" s="29">
        <f>IFERROR(IF(AND(ISNUMBER(C1608),ISNUMBER(J1608)),C1608/J1608-1,""),"")</f>
        <v/>
      </c>
      <c r="L1608" s="28">
        <f>IFERROR(IF(AND(ISNUMBER(D1608),ISNUMBER(E1608)),D1608-E1608,""),"")</f>
        <v/>
      </c>
    </row>
    <row r="1609">
      <c r="A1609" s="7">
        <f>IFERROR(Datos!A1609,"")</f>
        <v/>
      </c>
      <c r="B1609" s="8">
        <f>IFERROR(Datos!B1609,"")</f>
        <v/>
      </c>
      <c r="C1609" s="8">
        <f>IFERROR(Datos!C1609,"")</f>
        <v/>
      </c>
      <c r="D1609" s="28">
        <f>IFERROR(IF(AND(ISNUMBER(B1609),ISNUMBER(B1608),B1608&lt;&gt;0),B1609/B1608-1,""),"")</f>
        <v/>
      </c>
      <c r="E1609" s="28">
        <f>IFERROR(IF(AND(ISNUMBER(C1609),ISNUMBER(C1608),C1608&lt;&gt;0),C1609/C1608-1,""),"")</f>
        <v/>
      </c>
      <c r="F1609" s="28">
        <f>IFERROR(D1609-Dashboard!$B$4/252,"")</f>
        <v/>
      </c>
      <c r="G1609" s="28">
        <f>IFERROR(E1609-Dashboard!$B$4/252,"")</f>
        <v/>
      </c>
      <c r="H1609" s="8">
        <f>IFERROR(IF(ISNUMBER(B1609),MAX(B1609,IFERROR(H1608,B1609)),""),"")</f>
        <v/>
      </c>
      <c r="I1609" s="29">
        <f>IFERROR(IF(AND(ISNUMBER(B1609),ISNUMBER(H1609)),B1609/H1609-1,""),"")</f>
        <v/>
      </c>
      <c r="J1609" s="8">
        <f>IFERROR(IF(ISNUMBER(C1609),MAX(C1609,IFERROR(J1608,C1609)),""),"")</f>
        <v/>
      </c>
      <c r="K1609" s="29">
        <f>IFERROR(IF(AND(ISNUMBER(C1609),ISNUMBER(J1609)),C1609/J1609-1,""),"")</f>
        <v/>
      </c>
      <c r="L1609" s="28">
        <f>IFERROR(IF(AND(ISNUMBER(D1609),ISNUMBER(E1609)),D1609-E1609,""),"")</f>
        <v/>
      </c>
    </row>
    <row r="1610">
      <c r="A1610" s="7">
        <f>IFERROR(Datos!A1610,"")</f>
        <v/>
      </c>
      <c r="B1610" s="8">
        <f>IFERROR(Datos!B1610,"")</f>
        <v/>
      </c>
      <c r="C1610" s="8">
        <f>IFERROR(Datos!C1610,"")</f>
        <v/>
      </c>
      <c r="D1610" s="28">
        <f>IFERROR(IF(AND(ISNUMBER(B1610),ISNUMBER(B1609),B1609&lt;&gt;0),B1610/B1609-1,""),"")</f>
        <v/>
      </c>
      <c r="E1610" s="28">
        <f>IFERROR(IF(AND(ISNUMBER(C1610),ISNUMBER(C1609),C1609&lt;&gt;0),C1610/C1609-1,""),"")</f>
        <v/>
      </c>
      <c r="F1610" s="28">
        <f>IFERROR(D1610-Dashboard!$B$4/252,"")</f>
        <v/>
      </c>
      <c r="G1610" s="28">
        <f>IFERROR(E1610-Dashboard!$B$4/252,"")</f>
        <v/>
      </c>
      <c r="H1610" s="8">
        <f>IFERROR(IF(ISNUMBER(B1610),MAX(B1610,IFERROR(H1609,B1610)),""),"")</f>
        <v/>
      </c>
      <c r="I1610" s="29">
        <f>IFERROR(IF(AND(ISNUMBER(B1610),ISNUMBER(H1610)),B1610/H1610-1,""),"")</f>
        <v/>
      </c>
      <c r="J1610" s="8">
        <f>IFERROR(IF(ISNUMBER(C1610),MAX(C1610,IFERROR(J1609,C1610)),""),"")</f>
        <v/>
      </c>
      <c r="K1610" s="29">
        <f>IFERROR(IF(AND(ISNUMBER(C1610),ISNUMBER(J1610)),C1610/J1610-1,""),"")</f>
        <v/>
      </c>
      <c r="L1610" s="28">
        <f>IFERROR(IF(AND(ISNUMBER(D1610),ISNUMBER(E1610)),D1610-E1610,""),"")</f>
        <v/>
      </c>
    </row>
    <row r="1611">
      <c r="A1611" s="7">
        <f>IFERROR(Datos!A1611,"")</f>
        <v/>
      </c>
      <c r="B1611" s="8">
        <f>IFERROR(Datos!B1611,"")</f>
        <v/>
      </c>
      <c r="C1611" s="8">
        <f>IFERROR(Datos!C1611,"")</f>
        <v/>
      </c>
      <c r="D1611" s="28">
        <f>IFERROR(IF(AND(ISNUMBER(B1611),ISNUMBER(B1610),B1610&lt;&gt;0),B1611/B1610-1,""),"")</f>
        <v/>
      </c>
      <c r="E1611" s="28">
        <f>IFERROR(IF(AND(ISNUMBER(C1611),ISNUMBER(C1610),C1610&lt;&gt;0),C1611/C1610-1,""),"")</f>
        <v/>
      </c>
      <c r="F1611" s="28">
        <f>IFERROR(D1611-Dashboard!$B$4/252,"")</f>
        <v/>
      </c>
      <c r="G1611" s="28">
        <f>IFERROR(E1611-Dashboard!$B$4/252,"")</f>
        <v/>
      </c>
      <c r="H1611" s="8">
        <f>IFERROR(IF(ISNUMBER(B1611),MAX(B1611,IFERROR(H1610,B1611)),""),"")</f>
        <v/>
      </c>
      <c r="I1611" s="29">
        <f>IFERROR(IF(AND(ISNUMBER(B1611),ISNUMBER(H1611)),B1611/H1611-1,""),"")</f>
        <v/>
      </c>
      <c r="J1611" s="8">
        <f>IFERROR(IF(ISNUMBER(C1611),MAX(C1611,IFERROR(J1610,C1611)),""),"")</f>
        <v/>
      </c>
      <c r="K1611" s="29">
        <f>IFERROR(IF(AND(ISNUMBER(C1611),ISNUMBER(J1611)),C1611/J1611-1,""),"")</f>
        <v/>
      </c>
      <c r="L1611" s="28">
        <f>IFERROR(IF(AND(ISNUMBER(D1611),ISNUMBER(E1611)),D1611-E1611,""),"")</f>
        <v/>
      </c>
    </row>
    <row r="1612">
      <c r="A1612" s="7">
        <f>IFERROR(Datos!A1612,"")</f>
        <v/>
      </c>
      <c r="B1612" s="8">
        <f>IFERROR(Datos!B1612,"")</f>
        <v/>
      </c>
      <c r="C1612" s="8">
        <f>IFERROR(Datos!C1612,"")</f>
        <v/>
      </c>
      <c r="D1612" s="28">
        <f>IFERROR(IF(AND(ISNUMBER(B1612),ISNUMBER(B1611),B1611&lt;&gt;0),B1612/B1611-1,""),"")</f>
        <v/>
      </c>
      <c r="E1612" s="28">
        <f>IFERROR(IF(AND(ISNUMBER(C1612),ISNUMBER(C1611),C1611&lt;&gt;0),C1612/C1611-1,""),"")</f>
        <v/>
      </c>
      <c r="F1612" s="28">
        <f>IFERROR(D1612-Dashboard!$B$4/252,"")</f>
        <v/>
      </c>
      <c r="G1612" s="28">
        <f>IFERROR(E1612-Dashboard!$B$4/252,"")</f>
        <v/>
      </c>
      <c r="H1612" s="8">
        <f>IFERROR(IF(ISNUMBER(B1612),MAX(B1612,IFERROR(H1611,B1612)),""),"")</f>
        <v/>
      </c>
      <c r="I1612" s="29">
        <f>IFERROR(IF(AND(ISNUMBER(B1612),ISNUMBER(H1612)),B1612/H1612-1,""),"")</f>
        <v/>
      </c>
      <c r="J1612" s="8">
        <f>IFERROR(IF(ISNUMBER(C1612),MAX(C1612,IFERROR(J1611,C1612)),""),"")</f>
        <v/>
      </c>
      <c r="K1612" s="29">
        <f>IFERROR(IF(AND(ISNUMBER(C1612),ISNUMBER(J1612)),C1612/J1612-1,""),"")</f>
        <v/>
      </c>
      <c r="L1612" s="28">
        <f>IFERROR(IF(AND(ISNUMBER(D1612),ISNUMBER(E1612)),D1612-E1612,""),"")</f>
        <v/>
      </c>
    </row>
    <row r="1613">
      <c r="A1613" s="7">
        <f>IFERROR(Datos!A1613,"")</f>
        <v/>
      </c>
      <c r="B1613" s="8">
        <f>IFERROR(Datos!B1613,"")</f>
        <v/>
      </c>
      <c r="C1613" s="8">
        <f>IFERROR(Datos!C1613,"")</f>
        <v/>
      </c>
      <c r="D1613" s="28">
        <f>IFERROR(IF(AND(ISNUMBER(B1613),ISNUMBER(B1612),B1612&lt;&gt;0),B1613/B1612-1,""),"")</f>
        <v/>
      </c>
      <c r="E1613" s="28">
        <f>IFERROR(IF(AND(ISNUMBER(C1613),ISNUMBER(C1612),C1612&lt;&gt;0),C1613/C1612-1,""),"")</f>
        <v/>
      </c>
      <c r="F1613" s="28">
        <f>IFERROR(D1613-Dashboard!$B$4/252,"")</f>
        <v/>
      </c>
      <c r="G1613" s="28">
        <f>IFERROR(E1613-Dashboard!$B$4/252,"")</f>
        <v/>
      </c>
      <c r="H1613" s="8">
        <f>IFERROR(IF(ISNUMBER(B1613),MAX(B1613,IFERROR(H1612,B1613)),""),"")</f>
        <v/>
      </c>
      <c r="I1613" s="29">
        <f>IFERROR(IF(AND(ISNUMBER(B1613),ISNUMBER(H1613)),B1613/H1613-1,""),"")</f>
        <v/>
      </c>
      <c r="J1613" s="8">
        <f>IFERROR(IF(ISNUMBER(C1613),MAX(C1613,IFERROR(J1612,C1613)),""),"")</f>
        <v/>
      </c>
      <c r="K1613" s="29">
        <f>IFERROR(IF(AND(ISNUMBER(C1613),ISNUMBER(J1613)),C1613/J1613-1,""),"")</f>
        <v/>
      </c>
      <c r="L1613" s="28">
        <f>IFERROR(IF(AND(ISNUMBER(D1613),ISNUMBER(E1613)),D1613-E1613,""),"")</f>
        <v/>
      </c>
    </row>
    <row r="1614">
      <c r="A1614" s="7">
        <f>IFERROR(Datos!A1614,"")</f>
        <v/>
      </c>
      <c r="B1614" s="8">
        <f>IFERROR(Datos!B1614,"")</f>
        <v/>
      </c>
      <c r="C1614" s="8">
        <f>IFERROR(Datos!C1614,"")</f>
        <v/>
      </c>
      <c r="D1614" s="28">
        <f>IFERROR(IF(AND(ISNUMBER(B1614),ISNUMBER(B1613),B1613&lt;&gt;0),B1614/B1613-1,""),"")</f>
        <v/>
      </c>
      <c r="E1614" s="28">
        <f>IFERROR(IF(AND(ISNUMBER(C1614),ISNUMBER(C1613),C1613&lt;&gt;0),C1614/C1613-1,""),"")</f>
        <v/>
      </c>
      <c r="F1614" s="28">
        <f>IFERROR(D1614-Dashboard!$B$4/252,"")</f>
        <v/>
      </c>
      <c r="G1614" s="28">
        <f>IFERROR(E1614-Dashboard!$B$4/252,"")</f>
        <v/>
      </c>
      <c r="H1614" s="8">
        <f>IFERROR(IF(ISNUMBER(B1614),MAX(B1614,IFERROR(H1613,B1614)),""),"")</f>
        <v/>
      </c>
      <c r="I1614" s="29">
        <f>IFERROR(IF(AND(ISNUMBER(B1614),ISNUMBER(H1614)),B1614/H1614-1,""),"")</f>
        <v/>
      </c>
      <c r="J1614" s="8">
        <f>IFERROR(IF(ISNUMBER(C1614),MAX(C1614,IFERROR(J1613,C1614)),""),"")</f>
        <v/>
      </c>
      <c r="K1614" s="29">
        <f>IFERROR(IF(AND(ISNUMBER(C1614),ISNUMBER(J1614)),C1614/J1614-1,""),"")</f>
        <v/>
      </c>
      <c r="L1614" s="28">
        <f>IFERROR(IF(AND(ISNUMBER(D1614),ISNUMBER(E1614)),D1614-E1614,""),"")</f>
        <v/>
      </c>
    </row>
    <row r="1615">
      <c r="A1615" s="7">
        <f>IFERROR(Datos!A1615,"")</f>
        <v/>
      </c>
      <c r="B1615" s="8">
        <f>IFERROR(Datos!B1615,"")</f>
        <v/>
      </c>
      <c r="C1615" s="8">
        <f>IFERROR(Datos!C1615,"")</f>
        <v/>
      </c>
      <c r="D1615" s="28">
        <f>IFERROR(IF(AND(ISNUMBER(B1615),ISNUMBER(B1614),B1614&lt;&gt;0),B1615/B1614-1,""),"")</f>
        <v/>
      </c>
      <c r="E1615" s="28">
        <f>IFERROR(IF(AND(ISNUMBER(C1615),ISNUMBER(C1614),C1614&lt;&gt;0),C1615/C1614-1,""),"")</f>
        <v/>
      </c>
      <c r="F1615" s="28">
        <f>IFERROR(D1615-Dashboard!$B$4/252,"")</f>
        <v/>
      </c>
      <c r="G1615" s="28">
        <f>IFERROR(E1615-Dashboard!$B$4/252,"")</f>
        <v/>
      </c>
      <c r="H1615" s="8">
        <f>IFERROR(IF(ISNUMBER(B1615),MAX(B1615,IFERROR(H1614,B1615)),""),"")</f>
        <v/>
      </c>
      <c r="I1615" s="29">
        <f>IFERROR(IF(AND(ISNUMBER(B1615),ISNUMBER(H1615)),B1615/H1615-1,""),"")</f>
        <v/>
      </c>
      <c r="J1615" s="8">
        <f>IFERROR(IF(ISNUMBER(C1615),MAX(C1615,IFERROR(J1614,C1615)),""),"")</f>
        <v/>
      </c>
      <c r="K1615" s="29">
        <f>IFERROR(IF(AND(ISNUMBER(C1615),ISNUMBER(J1615)),C1615/J1615-1,""),"")</f>
        <v/>
      </c>
      <c r="L1615" s="28">
        <f>IFERROR(IF(AND(ISNUMBER(D1615),ISNUMBER(E1615)),D1615-E1615,""),"")</f>
        <v/>
      </c>
    </row>
    <row r="1616">
      <c r="A1616" s="7">
        <f>IFERROR(Datos!A1616,"")</f>
        <v/>
      </c>
      <c r="B1616" s="8">
        <f>IFERROR(Datos!B1616,"")</f>
        <v/>
      </c>
      <c r="C1616" s="8">
        <f>IFERROR(Datos!C1616,"")</f>
        <v/>
      </c>
      <c r="D1616" s="28">
        <f>IFERROR(IF(AND(ISNUMBER(B1616),ISNUMBER(B1615),B1615&lt;&gt;0),B1616/B1615-1,""),"")</f>
        <v/>
      </c>
      <c r="E1616" s="28">
        <f>IFERROR(IF(AND(ISNUMBER(C1616),ISNUMBER(C1615),C1615&lt;&gt;0),C1616/C1615-1,""),"")</f>
        <v/>
      </c>
      <c r="F1616" s="28">
        <f>IFERROR(D1616-Dashboard!$B$4/252,"")</f>
        <v/>
      </c>
      <c r="G1616" s="28">
        <f>IFERROR(E1616-Dashboard!$B$4/252,"")</f>
        <v/>
      </c>
      <c r="H1616" s="8">
        <f>IFERROR(IF(ISNUMBER(B1616),MAX(B1616,IFERROR(H1615,B1616)),""),"")</f>
        <v/>
      </c>
      <c r="I1616" s="29">
        <f>IFERROR(IF(AND(ISNUMBER(B1616),ISNUMBER(H1616)),B1616/H1616-1,""),"")</f>
        <v/>
      </c>
      <c r="J1616" s="8">
        <f>IFERROR(IF(ISNUMBER(C1616),MAX(C1616,IFERROR(J1615,C1616)),""),"")</f>
        <v/>
      </c>
      <c r="K1616" s="29">
        <f>IFERROR(IF(AND(ISNUMBER(C1616),ISNUMBER(J1616)),C1616/J1616-1,""),"")</f>
        <v/>
      </c>
      <c r="L1616" s="28">
        <f>IFERROR(IF(AND(ISNUMBER(D1616),ISNUMBER(E1616)),D1616-E1616,""),"")</f>
        <v/>
      </c>
    </row>
    <row r="1617">
      <c r="A1617" s="7">
        <f>IFERROR(Datos!A1617,"")</f>
        <v/>
      </c>
      <c r="B1617" s="8">
        <f>IFERROR(Datos!B1617,"")</f>
        <v/>
      </c>
      <c r="C1617" s="8">
        <f>IFERROR(Datos!C1617,"")</f>
        <v/>
      </c>
      <c r="D1617" s="28">
        <f>IFERROR(IF(AND(ISNUMBER(B1617),ISNUMBER(B1616),B1616&lt;&gt;0),B1617/B1616-1,""),"")</f>
        <v/>
      </c>
      <c r="E1617" s="28">
        <f>IFERROR(IF(AND(ISNUMBER(C1617),ISNUMBER(C1616),C1616&lt;&gt;0),C1617/C1616-1,""),"")</f>
        <v/>
      </c>
      <c r="F1617" s="28">
        <f>IFERROR(D1617-Dashboard!$B$4/252,"")</f>
        <v/>
      </c>
      <c r="G1617" s="28">
        <f>IFERROR(E1617-Dashboard!$B$4/252,"")</f>
        <v/>
      </c>
      <c r="H1617" s="8">
        <f>IFERROR(IF(ISNUMBER(B1617),MAX(B1617,IFERROR(H1616,B1617)),""),"")</f>
        <v/>
      </c>
      <c r="I1617" s="29">
        <f>IFERROR(IF(AND(ISNUMBER(B1617),ISNUMBER(H1617)),B1617/H1617-1,""),"")</f>
        <v/>
      </c>
      <c r="J1617" s="8">
        <f>IFERROR(IF(ISNUMBER(C1617),MAX(C1617,IFERROR(J1616,C1617)),""),"")</f>
        <v/>
      </c>
      <c r="K1617" s="29">
        <f>IFERROR(IF(AND(ISNUMBER(C1617),ISNUMBER(J1617)),C1617/J1617-1,""),"")</f>
        <v/>
      </c>
      <c r="L1617" s="28">
        <f>IFERROR(IF(AND(ISNUMBER(D1617),ISNUMBER(E1617)),D1617-E1617,""),"")</f>
        <v/>
      </c>
    </row>
    <row r="1618">
      <c r="A1618" s="7">
        <f>IFERROR(Datos!A1618,"")</f>
        <v/>
      </c>
      <c r="B1618" s="8">
        <f>IFERROR(Datos!B1618,"")</f>
        <v/>
      </c>
      <c r="C1618" s="8">
        <f>IFERROR(Datos!C1618,"")</f>
        <v/>
      </c>
      <c r="D1618" s="28">
        <f>IFERROR(IF(AND(ISNUMBER(B1618),ISNUMBER(B1617),B1617&lt;&gt;0),B1618/B1617-1,""),"")</f>
        <v/>
      </c>
      <c r="E1618" s="28">
        <f>IFERROR(IF(AND(ISNUMBER(C1618),ISNUMBER(C1617),C1617&lt;&gt;0),C1618/C1617-1,""),"")</f>
        <v/>
      </c>
      <c r="F1618" s="28">
        <f>IFERROR(D1618-Dashboard!$B$4/252,"")</f>
        <v/>
      </c>
      <c r="G1618" s="28">
        <f>IFERROR(E1618-Dashboard!$B$4/252,"")</f>
        <v/>
      </c>
      <c r="H1618" s="8">
        <f>IFERROR(IF(ISNUMBER(B1618),MAX(B1618,IFERROR(H1617,B1618)),""),"")</f>
        <v/>
      </c>
      <c r="I1618" s="29">
        <f>IFERROR(IF(AND(ISNUMBER(B1618),ISNUMBER(H1618)),B1618/H1618-1,""),"")</f>
        <v/>
      </c>
      <c r="J1618" s="8">
        <f>IFERROR(IF(ISNUMBER(C1618),MAX(C1618,IFERROR(J1617,C1618)),""),"")</f>
        <v/>
      </c>
      <c r="K1618" s="29">
        <f>IFERROR(IF(AND(ISNUMBER(C1618),ISNUMBER(J1618)),C1618/J1618-1,""),"")</f>
        <v/>
      </c>
      <c r="L1618" s="28">
        <f>IFERROR(IF(AND(ISNUMBER(D1618),ISNUMBER(E1618)),D1618-E1618,""),"")</f>
        <v/>
      </c>
    </row>
    <row r="1619">
      <c r="A1619" s="7">
        <f>IFERROR(Datos!A1619,"")</f>
        <v/>
      </c>
      <c r="B1619" s="8">
        <f>IFERROR(Datos!B1619,"")</f>
        <v/>
      </c>
      <c r="C1619" s="8">
        <f>IFERROR(Datos!C1619,"")</f>
        <v/>
      </c>
      <c r="D1619" s="28">
        <f>IFERROR(IF(AND(ISNUMBER(B1619),ISNUMBER(B1618),B1618&lt;&gt;0),B1619/B1618-1,""),"")</f>
        <v/>
      </c>
      <c r="E1619" s="28">
        <f>IFERROR(IF(AND(ISNUMBER(C1619),ISNUMBER(C1618),C1618&lt;&gt;0),C1619/C1618-1,""),"")</f>
        <v/>
      </c>
      <c r="F1619" s="28">
        <f>IFERROR(D1619-Dashboard!$B$4/252,"")</f>
        <v/>
      </c>
      <c r="G1619" s="28">
        <f>IFERROR(E1619-Dashboard!$B$4/252,"")</f>
        <v/>
      </c>
      <c r="H1619" s="8">
        <f>IFERROR(IF(ISNUMBER(B1619),MAX(B1619,IFERROR(H1618,B1619)),""),"")</f>
        <v/>
      </c>
      <c r="I1619" s="29">
        <f>IFERROR(IF(AND(ISNUMBER(B1619),ISNUMBER(H1619)),B1619/H1619-1,""),"")</f>
        <v/>
      </c>
      <c r="J1619" s="8">
        <f>IFERROR(IF(ISNUMBER(C1619),MAX(C1619,IFERROR(J1618,C1619)),""),"")</f>
        <v/>
      </c>
      <c r="K1619" s="29">
        <f>IFERROR(IF(AND(ISNUMBER(C1619),ISNUMBER(J1619)),C1619/J1619-1,""),"")</f>
        <v/>
      </c>
      <c r="L1619" s="28">
        <f>IFERROR(IF(AND(ISNUMBER(D1619),ISNUMBER(E1619)),D1619-E1619,""),"")</f>
        <v/>
      </c>
    </row>
    <row r="1620">
      <c r="A1620" s="7">
        <f>IFERROR(Datos!A1620,"")</f>
        <v/>
      </c>
      <c r="B1620" s="8">
        <f>IFERROR(Datos!B1620,"")</f>
        <v/>
      </c>
      <c r="C1620" s="8">
        <f>IFERROR(Datos!C1620,"")</f>
        <v/>
      </c>
      <c r="D1620" s="28">
        <f>IFERROR(IF(AND(ISNUMBER(B1620),ISNUMBER(B1619),B1619&lt;&gt;0),B1620/B1619-1,""),"")</f>
        <v/>
      </c>
      <c r="E1620" s="28">
        <f>IFERROR(IF(AND(ISNUMBER(C1620),ISNUMBER(C1619),C1619&lt;&gt;0),C1620/C1619-1,""),"")</f>
        <v/>
      </c>
      <c r="F1620" s="28">
        <f>IFERROR(D1620-Dashboard!$B$4/252,"")</f>
        <v/>
      </c>
      <c r="G1620" s="28">
        <f>IFERROR(E1620-Dashboard!$B$4/252,"")</f>
        <v/>
      </c>
      <c r="H1620" s="8">
        <f>IFERROR(IF(ISNUMBER(B1620),MAX(B1620,IFERROR(H1619,B1620)),""),"")</f>
        <v/>
      </c>
      <c r="I1620" s="29">
        <f>IFERROR(IF(AND(ISNUMBER(B1620),ISNUMBER(H1620)),B1620/H1620-1,""),"")</f>
        <v/>
      </c>
      <c r="J1620" s="8">
        <f>IFERROR(IF(ISNUMBER(C1620),MAX(C1620,IFERROR(J1619,C1620)),""),"")</f>
        <v/>
      </c>
      <c r="K1620" s="29">
        <f>IFERROR(IF(AND(ISNUMBER(C1620),ISNUMBER(J1620)),C1620/J1620-1,""),"")</f>
        <v/>
      </c>
      <c r="L1620" s="28">
        <f>IFERROR(IF(AND(ISNUMBER(D1620),ISNUMBER(E1620)),D1620-E1620,""),"")</f>
        <v/>
      </c>
    </row>
    <row r="1621">
      <c r="A1621" s="7">
        <f>IFERROR(Datos!A1621,"")</f>
        <v/>
      </c>
      <c r="B1621" s="8">
        <f>IFERROR(Datos!B1621,"")</f>
        <v/>
      </c>
      <c r="C1621" s="8">
        <f>IFERROR(Datos!C1621,"")</f>
        <v/>
      </c>
      <c r="D1621" s="28">
        <f>IFERROR(IF(AND(ISNUMBER(B1621),ISNUMBER(B1620),B1620&lt;&gt;0),B1621/B1620-1,""),"")</f>
        <v/>
      </c>
      <c r="E1621" s="28">
        <f>IFERROR(IF(AND(ISNUMBER(C1621),ISNUMBER(C1620),C1620&lt;&gt;0),C1621/C1620-1,""),"")</f>
        <v/>
      </c>
      <c r="F1621" s="28">
        <f>IFERROR(D1621-Dashboard!$B$4/252,"")</f>
        <v/>
      </c>
      <c r="G1621" s="28">
        <f>IFERROR(E1621-Dashboard!$B$4/252,"")</f>
        <v/>
      </c>
      <c r="H1621" s="8">
        <f>IFERROR(IF(ISNUMBER(B1621),MAX(B1621,IFERROR(H1620,B1621)),""),"")</f>
        <v/>
      </c>
      <c r="I1621" s="29">
        <f>IFERROR(IF(AND(ISNUMBER(B1621),ISNUMBER(H1621)),B1621/H1621-1,""),"")</f>
        <v/>
      </c>
      <c r="J1621" s="8">
        <f>IFERROR(IF(ISNUMBER(C1621),MAX(C1621,IFERROR(J1620,C1621)),""),"")</f>
        <v/>
      </c>
      <c r="K1621" s="29">
        <f>IFERROR(IF(AND(ISNUMBER(C1621),ISNUMBER(J1621)),C1621/J1621-1,""),"")</f>
        <v/>
      </c>
      <c r="L1621" s="28">
        <f>IFERROR(IF(AND(ISNUMBER(D1621),ISNUMBER(E1621)),D1621-E1621,""),"")</f>
        <v/>
      </c>
    </row>
    <row r="1622">
      <c r="A1622" s="7">
        <f>IFERROR(Datos!A1622,"")</f>
        <v/>
      </c>
      <c r="B1622" s="8">
        <f>IFERROR(Datos!B1622,"")</f>
        <v/>
      </c>
      <c r="C1622" s="8">
        <f>IFERROR(Datos!C1622,"")</f>
        <v/>
      </c>
      <c r="D1622" s="28">
        <f>IFERROR(IF(AND(ISNUMBER(B1622),ISNUMBER(B1621),B1621&lt;&gt;0),B1622/B1621-1,""),"")</f>
        <v/>
      </c>
      <c r="E1622" s="28">
        <f>IFERROR(IF(AND(ISNUMBER(C1622),ISNUMBER(C1621),C1621&lt;&gt;0),C1622/C1621-1,""),"")</f>
        <v/>
      </c>
      <c r="F1622" s="28">
        <f>IFERROR(D1622-Dashboard!$B$4/252,"")</f>
        <v/>
      </c>
      <c r="G1622" s="28">
        <f>IFERROR(E1622-Dashboard!$B$4/252,"")</f>
        <v/>
      </c>
      <c r="H1622" s="8">
        <f>IFERROR(IF(ISNUMBER(B1622),MAX(B1622,IFERROR(H1621,B1622)),""),"")</f>
        <v/>
      </c>
      <c r="I1622" s="29">
        <f>IFERROR(IF(AND(ISNUMBER(B1622),ISNUMBER(H1622)),B1622/H1622-1,""),"")</f>
        <v/>
      </c>
      <c r="J1622" s="8">
        <f>IFERROR(IF(ISNUMBER(C1622),MAX(C1622,IFERROR(J1621,C1622)),""),"")</f>
        <v/>
      </c>
      <c r="K1622" s="29">
        <f>IFERROR(IF(AND(ISNUMBER(C1622),ISNUMBER(J1622)),C1622/J1622-1,""),"")</f>
        <v/>
      </c>
      <c r="L1622" s="28">
        <f>IFERROR(IF(AND(ISNUMBER(D1622),ISNUMBER(E1622)),D1622-E1622,""),"")</f>
        <v/>
      </c>
    </row>
    <row r="1623">
      <c r="A1623" s="7">
        <f>IFERROR(Datos!A1623,"")</f>
        <v/>
      </c>
      <c r="B1623" s="8">
        <f>IFERROR(Datos!B1623,"")</f>
        <v/>
      </c>
      <c r="C1623" s="8">
        <f>IFERROR(Datos!C1623,"")</f>
        <v/>
      </c>
      <c r="D1623" s="28">
        <f>IFERROR(IF(AND(ISNUMBER(B1623),ISNUMBER(B1622),B1622&lt;&gt;0),B1623/B1622-1,""),"")</f>
        <v/>
      </c>
      <c r="E1623" s="28">
        <f>IFERROR(IF(AND(ISNUMBER(C1623),ISNUMBER(C1622),C1622&lt;&gt;0),C1623/C1622-1,""),"")</f>
        <v/>
      </c>
      <c r="F1623" s="28">
        <f>IFERROR(D1623-Dashboard!$B$4/252,"")</f>
        <v/>
      </c>
      <c r="G1623" s="28">
        <f>IFERROR(E1623-Dashboard!$B$4/252,"")</f>
        <v/>
      </c>
      <c r="H1623" s="8">
        <f>IFERROR(IF(ISNUMBER(B1623),MAX(B1623,IFERROR(H1622,B1623)),""),"")</f>
        <v/>
      </c>
      <c r="I1623" s="29">
        <f>IFERROR(IF(AND(ISNUMBER(B1623),ISNUMBER(H1623)),B1623/H1623-1,""),"")</f>
        <v/>
      </c>
      <c r="J1623" s="8">
        <f>IFERROR(IF(ISNUMBER(C1623),MAX(C1623,IFERROR(J1622,C1623)),""),"")</f>
        <v/>
      </c>
      <c r="K1623" s="29">
        <f>IFERROR(IF(AND(ISNUMBER(C1623),ISNUMBER(J1623)),C1623/J1623-1,""),"")</f>
        <v/>
      </c>
      <c r="L1623" s="28">
        <f>IFERROR(IF(AND(ISNUMBER(D1623),ISNUMBER(E1623)),D1623-E1623,""),"")</f>
        <v/>
      </c>
    </row>
    <row r="1624">
      <c r="A1624" s="7">
        <f>IFERROR(Datos!A1624,"")</f>
        <v/>
      </c>
      <c r="B1624" s="8">
        <f>IFERROR(Datos!B1624,"")</f>
        <v/>
      </c>
      <c r="C1624" s="8">
        <f>IFERROR(Datos!C1624,"")</f>
        <v/>
      </c>
      <c r="D1624" s="28">
        <f>IFERROR(IF(AND(ISNUMBER(B1624),ISNUMBER(B1623),B1623&lt;&gt;0),B1624/B1623-1,""),"")</f>
        <v/>
      </c>
      <c r="E1624" s="28">
        <f>IFERROR(IF(AND(ISNUMBER(C1624),ISNUMBER(C1623),C1623&lt;&gt;0),C1624/C1623-1,""),"")</f>
        <v/>
      </c>
      <c r="F1624" s="28">
        <f>IFERROR(D1624-Dashboard!$B$4/252,"")</f>
        <v/>
      </c>
      <c r="G1624" s="28">
        <f>IFERROR(E1624-Dashboard!$B$4/252,"")</f>
        <v/>
      </c>
      <c r="H1624" s="8">
        <f>IFERROR(IF(ISNUMBER(B1624),MAX(B1624,IFERROR(H1623,B1624)),""),"")</f>
        <v/>
      </c>
      <c r="I1624" s="29">
        <f>IFERROR(IF(AND(ISNUMBER(B1624),ISNUMBER(H1624)),B1624/H1624-1,""),"")</f>
        <v/>
      </c>
      <c r="J1624" s="8">
        <f>IFERROR(IF(ISNUMBER(C1624),MAX(C1624,IFERROR(J1623,C1624)),""),"")</f>
        <v/>
      </c>
      <c r="K1624" s="29">
        <f>IFERROR(IF(AND(ISNUMBER(C1624),ISNUMBER(J1624)),C1624/J1624-1,""),"")</f>
        <v/>
      </c>
      <c r="L1624" s="28">
        <f>IFERROR(IF(AND(ISNUMBER(D1624),ISNUMBER(E1624)),D1624-E1624,""),"")</f>
        <v/>
      </c>
    </row>
    <row r="1625">
      <c r="A1625" s="7">
        <f>IFERROR(Datos!A1625,"")</f>
        <v/>
      </c>
      <c r="B1625" s="8">
        <f>IFERROR(Datos!B1625,"")</f>
        <v/>
      </c>
      <c r="C1625" s="8">
        <f>IFERROR(Datos!C1625,"")</f>
        <v/>
      </c>
      <c r="D1625" s="28">
        <f>IFERROR(IF(AND(ISNUMBER(B1625),ISNUMBER(B1624),B1624&lt;&gt;0),B1625/B1624-1,""),"")</f>
        <v/>
      </c>
      <c r="E1625" s="28">
        <f>IFERROR(IF(AND(ISNUMBER(C1625),ISNUMBER(C1624),C1624&lt;&gt;0),C1625/C1624-1,""),"")</f>
        <v/>
      </c>
      <c r="F1625" s="28">
        <f>IFERROR(D1625-Dashboard!$B$4/252,"")</f>
        <v/>
      </c>
      <c r="G1625" s="28">
        <f>IFERROR(E1625-Dashboard!$B$4/252,"")</f>
        <v/>
      </c>
      <c r="H1625" s="8">
        <f>IFERROR(IF(ISNUMBER(B1625),MAX(B1625,IFERROR(H1624,B1625)),""),"")</f>
        <v/>
      </c>
      <c r="I1625" s="29">
        <f>IFERROR(IF(AND(ISNUMBER(B1625),ISNUMBER(H1625)),B1625/H1625-1,""),"")</f>
        <v/>
      </c>
      <c r="J1625" s="8">
        <f>IFERROR(IF(ISNUMBER(C1625),MAX(C1625,IFERROR(J1624,C1625)),""),"")</f>
        <v/>
      </c>
      <c r="K1625" s="29">
        <f>IFERROR(IF(AND(ISNUMBER(C1625),ISNUMBER(J1625)),C1625/J1625-1,""),"")</f>
        <v/>
      </c>
      <c r="L1625" s="28">
        <f>IFERROR(IF(AND(ISNUMBER(D1625),ISNUMBER(E1625)),D1625-E1625,""),"")</f>
        <v/>
      </c>
    </row>
    <row r="1626">
      <c r="A1626" s="7">
        <f>IFERROR(Datos!A1626,"")</f>
        <v/>
      </c>
      <c r="B1626" s="8">
        <f>IFERROR(Datos!B1626,"")</f>
        <v/>
      </c>
      <c r="C1626" s="8">
        <f>IFERROR(Datos!C1626,"")</f>
        <v/>
      </c>
      <c r="D1626" s="28">
        <f>IFERROR(IF(AND(ISNUMBER(B1626),ISNUMBER(B1625),B1625&lt;&gt;0),B1626/B1625-1,""),"")</f>
        <v/>
      </c>
      <c r="E1626" s="28">
        <f>IFERROR(IF(AND(ISNUMBER(C1626),ISNUMBER(C1625),C1625&lt;&gt;0),C1626/C1625-1,""),"")</f>
        <v/>
      </c>
      <c r="F1626" s="28">
        <f>IFERROR(D1626-Dashboard!$B$4/252,"")</f>
        <v/>
      </c>
      <c r="G1626" s="28">
        <f>IFERROR(E1626-Dashboard!$B$4/252,"")</f>
        <v/>
      </c>
      <c r="H1626" s="8">
        <f>IFERROR(IF(ISNUMBER(B1626),MAX(B1626,IFERROR(H1625,B1626)),""),"")</f>
        <v/>
      </c>
      <c r="I1626" s="29">
        <f>IFERROR(IF(AND(ISNUMBER(B1626),ISNUMBER(H1626)),B1626/H1626-1,""),"")</f>
        <v/>
      </c>
      <c r="J1626" s="8">
        <f>IFERROR(IF(ISNUMBER(C1626),MAX(C1626,IFERROR(J1625,C1626)),""),"")</f>
        <v/>
      </c>
      <c r="K1626" s="29">
        <f>IFERROR(IF(AND(ISNUMBER(C1626),ISNUMBER(J1626)),C1626/J1626-1,""),"")</f>
        <v/>
      </c>
      <c r="L1626" s="28">
        <f>IFERROR(IF(AND(ISNUMBER(D1626),ISNUMBER(E1626)),D1626-E1626,""),"")</f>
        <v/>
      </c>
    </row>
    <row r="1627">
      <c r="A1627" s="7">
        <f>IFERROR(Datos!A1627,"")</f>
        <v/>
      </c>
      <c r="B1627" s="8">
        <f>IFERROR(Datos!B1627,"")</f>
        <v/>
      </c>
      <c r="C1627" s="8">
        <f>IFERROR(Datos!C1627,"")</f>
        <v/>
      </c>
      <c r="D1627" s="28">
        <f>IFERROR(IF(AND(ISNUMBER(B1627),ISNUMBER(B1626),B1626&lt;&gt;0),B1627/B1626-1,""),"")</f>
        <v/>
      </c>
      <c r="E1627" s="28">
        <f>IFERROR(IF(AND(ISNUMBER(C1627),ISNUMBER(C1626),C1626&lt;&gt;0),C1627/C1626-1,""),"")</f>
        <v/>
      </c>
      <c r="F1627" s="28">
        <f>IFERROR(D1627-Dashboard!$B$4/252,"")</f>
        <v/>
      </c>
      <c r="G1627" s="28">
        <f>IFERROR(E1627-Dashboard!$B$4/252,"")</f>
        <v/>
      </c>
      <c r="H1627" s="8">
        <f>IFERROR(IF(ISNUMBER(B1627),MAX(B1627,IFERROR(H1626,B1627)),""),"")</f>
        <v/>
      </c>
      <c r="I1627" s="29">
        <f>IFERROR(IF(AND(ISNUMBER(B1627),ISNUMBER(H1627)),B1627/H1627-1,""),"")</f>
        <v/>
      </c>
      <c r="J1627" s="8">
        <f>IFERROR(IF(ISNUMBER(C1627),MAX(C1627,IFERROR(J1626,C1627)),""),"")</f>
        <v/>
      </c>
      <c r="K1627" s="29">
        <f>IFERROR(IF(AND(ISNUMBER(C1627),ISNUMBER(J1627)),C1627/J1627-1,""),"")</f>
        <v/>
      </c>
      <c r="L1627" s="28">
        <f>IFERROR(IF(AND(ISNUMBER(D1627),ISNUMBER(E1627)),D1627-E1627,""),"")</f>
        <v/>
      </c>
    </row>
    <row r="1628">
      <c r="A1628" s="7">
        <f>IFERROR(Datos!A1628,"")</f>
        <v/>
      </c>
      <c r="B1628" s="8">
        <f>IFERROR(Datos!B1628,"")</f>
        <v/>
      </c>
      <c r="C1628" s="8">
        <f>IFERROR(Datos!C1628,"")</f>
        <v/>
      </c>
      <c r="D1628" s="28">
        <f>IFERROR(IF(AND(ISNUMBER(B1628),ISNUMBER(B1627),B1627&lt;&gt;0),B1628/B1627-1,""),"")</f>
        <v/>
      </c>
      <c r="E1628" s="28">
        <f>IFERROR(IF(AND(ISNUMBER(C1628),ISNUMBER(C1627),C1627&lt;&gt;0),C1628/C1627-1,""),"")</f>
        <v/>
      </c>
      <c r="F1628" s="28">
        <f>IFERROR(D1628-Dashboard!$B$4/252,"")</f>
        <v/>
      </c>
      <c r="G1628" s="28">
        <f>IFERROR(E1628-Dashboard!$B$4/252,"")</f>
        <v/>
      </c>
      <c r="H1628" s="8">
        <f>IFERROR(IF(ISNUMBER(B1628),MAX(B1628,IFERROR(H1627,B1628)),""),"")</f>
        <v/>
      </c>
      <c r="I1628" s="29">
        <f>IFERROR(IF(AND(ISNUMBER(B1628),ISNUMBER(H1628)),B1628/H1628-1,""),"")</f>
        <v/>
      </c>
      <c r="J1628" s="8">
        <f>IFERROR(IF(ISNUMBER(C1628),MAX(C1628,IFERROR(J1627,C1628)),""),"")</f>
        <v/>
      </c>
      <c r="K1628" s="29">
        <f>IFERROR(IF(AND(ISNUMBER(C1628),ISNUMBER(J1628)),C1628/J1628-1,""),"")</f>
        <v/>
      </c>
      <c r="L1628" s="28">
        <f>IFERROR(IF(AND(ISNUMBER(D1628),ISNUMBER(E1628)),D1628-E1628,""),"")</f>
        <v/>
      </c>
    </row>
    <row r="1629">
      <c r="A1629" s="7">
        <f>IFERROR(Datos!A1629,"")</f>
        <v/>
      </c>
      <c r="B1629" s="8">
        <f>IFERROR(Datos!B1629,"")</f>
        <v/>
      </c>
      <c r="C1629" s="8">
        <f>IFERROR(Datos!C1629,"")</f>
        <v/>
      </c>
      <c r="D1629" s="28">
        <f>IFERROR(IF(AND(ISNUMBER(B1629),ISNUMBER(B1628),B1628&lt;&gt;0),B1629/B1628-1,""),"")</f>
        <v/>
      </c>
      <c r="E1629" s="28">
        <f>IFERROR(IF(AND(ISNUMBER(C1629),ISNUMBER(C1628),C1628&lt;&gt;0),C1629/C1628-1,""),"")</f>
        <v/>
      </c>
      <c r="F1629" s="28">
        <f>IFERROR(D1629-Dashboard!$B$4/252,"")</f>
        <v/>
      </c>
      <c r="G1629" s="28">
        <f>IFERROR(E1629-Dashboard!$B$4/252,"")</f>
        <v/>
      </c>
      <c r="H1629" s="8">
        <f>IFERROR(IF(ISNUMBER(B1629),MAX(B1629,IFERROR(H1628,B1629)),""),"")</f>
        <v/>
      </c>
      <c r="I1629" s="29">
        <f>IFERROR(IF(AND(ISNUMBER(B1629),ISNUMBER(H1629)),B1629/H1629-1,""),"")</f>
        <v/>
      </c>
      <c r="J1629" s="8">
        <f>IFERROR(IF(ISNUMBER(C1629),MAX(C1629,IFERROR(J1628,C1629)),""),"")</f>
        <v/>
      </c>
      <c r="K1629" s="29">
        <f>IFERROR(IF(AND(ISNUMBER(C1629),ISNUMBER(J1629)),C1629/J1629-1,""),"")</f>
        <v/>
      </c>
      <c r="L1629" s="28">
        <f>IFERROR(IF(AND(ISNUMBER(D1629),ISNUMBER(E1629)),D1629-E1629,""),"")</f>
        <v/>
      </c>
    </row>
    <row r="1630">
      <c r="A1630" s="7">
        <f>IFERROR(Datos!A1630,"")</f>
        <v/>
      </c>
      <c r="B1630" s="8">
        <f>IFERROR(Datos!B1630,"")</f>
        <v/>
      </c>
      <c r="C1630" s="8">
        <f>IFERROR(Datos!C1630,"")</f>
        <v/>
      </c>
      <c r="D1630" s="28">
        <f>IFERROR(IF(AND(ISNUMBER(B1630),ISNUMBER(B1629),B1629&lt;&gt;0),B1630/B1629-1,""),"")</f>
        <v/>
      </c>
      <c r="E1630" s="28">
        <f>IFERROR(IF(AND(ISNUMBER(C1630),ISNUMBER(C1629),C1629&lt;&gt;0),C1630/C1629-1,""),"")</f>
        <v/>
      </c>
      <c r="F1630" s="28">
        <f>IFERROR(D1630-Dashboard!$B$4/252,"")</f>
        <v/>
      </c>
      <c r="G1630" s="28">
        <f>IFERROR(E1630-Dashboard!$B$4/252,"")</f>
        <v/>
      </c>
      <c r="H1630" s="8">
        <f>IFERROR(IF(ISNUMBER(B1630),MAX(B1630,IFERROR(H1629,B1630)),""),"")</f>
        <v/>
      </c>
      <c r="I1630" s="29">
        <f>IFERROR(IF(AND(ISNUMBER(B1630),ISNUMBER(H1630)),B1630/H1630-1,""),"")</f>
        <v/>
      </c>
      <c r="J1630" s="8">
        <f>IFERROR(IF(ISNUMBER(C1630),MAX(C1630,IFERROR(J1629,C1630)),""),"")</f>
        <v/>
      </c>
      <c r="K1630" s="29">
        <f>IFERROR(IF(AND(ISNUMBER(C1630),ISNUMBER(J1630)),C1630/J1630-1,""),"")</f>
        <v/>
      </c>
      <c r="L1630" s="28">
        <f>IFERROR(IF(AND(ISNUMBER(D1630),ISNUMBER(E1630)),D1630-E1630,""),"")</f>
        <v/>
      </c>
    </row>
    <row r="1631">
      <c r="A1631" s="7">
        <f>IFERROR(Datos!A1631,"")</f>
        <v/>
      </c>
      <c r="B1631" s="8">
        <f>IFERROR(Datos!B1631,"")</f>
        <v/>
      </c>
      <c r="C1631" s="8">
        <f>IFERROR(Datos!C1631,"")</f>
        <v/>
      </c>
      <c r="D1631" s="28">
        <f>IFERROR(IF(AND(ISNUMBER(B1631),ISNUMBER(B1630),B1630&lt;&gt;0),B1631/B1630-1,""),"")</f>
        <v/>
      </c>
      <c r="E1631" s="28">
        <f>IFERROR(IF(AND(ISNUMBER(C1631),ISNUMBER(C1630),C1630&lt;&gt;0),C1631/C1630-1,""),"")</f>
        <v/>
      </c>
      <c r="F1631" s="28">
        <f>IFERROR(D1631-Dashboard!$B$4/252,"")</f>
        <v/>
      </c>
      <c r="G1631" s="28">
        <f>IFERROR(E1631-Dashboard!$B$4/252,"")</f>
        <v/>
      </c>
      <c r="H1631" s="8">
        <f>IFERROR(IF(ISNUMBER(B1631),MAX(B1631,IFERROR(H1630,B1631)),""),"")</f>
        <v/>
      </c>
      <c r="I1631" s="29">
        <f>IFERROR(IF(AND(ISNUMBER(B1631),ISNUMBER(H1631)),B1631/H1631-1,""),"")</f>
        <v/>
      </c>
      <c r="J1631" s="8">
        <f>IFERROR(IF(ISNUMBER(C1631),MAX(C1631,IFERROR(J1630,C1631)),""),"")</f>
        <v/>
      </c>
      <c r="K1631" s="29">
        <f>IFERROR(IF(AND(ISNUMBER(C1631),ISNUMBER(J1631)),C1631/J1631-1,""),"")</f>
        <v/>
      </c>
      <c r="L1631" s="28">
        <f>IFERROR(IF(AND(ISNUMBER(D1631),ISNUMBER(E1631)),D1631-E1631,""),"")</f>
        <v/>
      </c>
    </row>
    <row r="1632">
      <c r="A1632" s="7">
        <f>IFERROR(Datos!A1632,"")</f>
        <v/>
      </c>
      <c r="B1632" s="8">
        <f>IFERROR(Datos!B1632,"")</f>
        <v/>
      </c>
      <c r="C1632" s="8">
        <f>IFERROR(Datos!C1632,"")</f>
        <v/>
      </c>
      <c r="D1632" s="28">
        <f>IFERROR(IF(AND(ISNUMBER(B1632),ISNUMBER(B1631),B1631&lt;&gt;0),B1632/B1631-1,""),"")</f>
        <v/>
      </c>
      <c r="E1632" s="28">
        <f>IFERROR(IF(AND(ISNUMBER(C1632),ISNUMBER(C1631),C1631&lt;&gt;0),C1632/C1631-1,""),"")</f>
        <v/>
      </c>
      <c r="F1632" s="28">
        <f>IFERROR(D1632-Dashboard!$B$4/252,"")</f>
        <v/>
      </c>
      <c r="G1632" s="28">
        <f>IFERROR(E1632-Dashboard!$B$4/252,"")</f>
        <v/>
      </c>
      <c r="H1632" s="8">
        <f>IFERROR(IF(ISNUMBER(B1632),MAX(B1632,IFERROR(H1631,B1632)),""),"")</f>
        <v/>
      </c>
      <c r="I1632" s="29">
        <f>IFERROR(IF(AND(ISNUMBER(B1632),ISNUMBER(H1632)),B1632/H1632-1,""),"")</f>
        <v/>
      </c>
      <c r="J1632" s="8">
        <f>IFERROR(IF(ISNUMBER(C1632),MAX(C1632,IFERROR(J1631,C1632)),""),"")</f>
        <v/>
      </c>
      <c r="K1632" s="29">
        <f>IFERROR(IF(AND(ISNUMBER(C1632),ISNUMBER(J1632)),C1632/J1632-1,""),"")</f>
        <v/>
      </c>
      <c r="L1632" s="28">
        <f>IFERROR(IF(AND(ISNUMBER(D1632),ISNUMBER(E1632)),D1632-E1632,""),"")</f>
        <v/>
      </c>
    </row>
    <row r="1633">
      <c r="A1633" s="7">
        <f>IFERROR(Datos!A1633,"")</f>
        <v/>
      </c>
      <c r="B1633" s="8">
        <f>IFERROR(Datos!B1633,"")</f>
        <v/>
      </c>
      <c r="C1633" s="8">
        <f>IFERROR(Datos!C1633,"")</f>
        <v/>
      </c>
      <c r="D1633" s="28">
        <f>IFERROR(IF(AND(ISNUMBER(B1633),ISNUMBER(B1632),B1632&lt;&gt;0),B1633/B1632-1,""),"")</f>
        <v/>
      </c>
      <c r="E1633" s="28">
        <f>IFERROR(IF(AND(ISNUMBER(C1633),ISNUMBER(C1632),C1632&lt;&gt;0),C1633/C1632-1,""),"")</f>
        <v/>
      </c>
      <c r="F1633" s="28">
        <f>IFERROR(D1633-Dashboard!$B$4/252,"")</f>
        <v/>
      </c>
      <c r="G1633" s="28">
        <f>IFERROR(E1633-Dashboard!$B$4/252,"")</f>
        <v/>
      </c>
      <c r="H1633" s="8">
        <f>IFERROR(IF(ISNUMBER(B1633),MAX(B1633,IFERROR(H1632,B1633)),""),"")</f>
        <v/>
      </c>
      <c r="I1633" s="29">
        <f>IFERROR(IF(AND(ISNUMBER(B1633),ISNUMBER(H1633)),B1633/H1633-1,""),"")</f>
        <v/>
      </c>
      <c r="J1633" s="8">
        <f>IFERROR(IF(ISNUMBER(C1633),MAX(C1633,IFERROR(J1632,C1633)),""),"")</f>
        <v/>
      </c>
      <c r="K1633" s="29">
        <f>IFERROR(IF(AND(ISNUMBER(C1633),ISNUMBER(J1633)),C1633/J1633-1,""),"")</f>
        <v/>
      </c>
      <c r="L1633" s="28">
        <f>IFERROR(IF(AND(ISNUMBER(D1633),ISNUMBER(E1633)),D1633-E1633,""),"")</f>
        <v/>
      </c>
    </row>
    <row r="1634">
      <c r="A1634" s="7">
        <f>IFERROR(Datos!A1634,"")</f>
        <v/>
      </c>
      <c r="B1634" s="8">
        <f>IFERROR(Datos!B1634,"")</f>
        <v/>
      </c>
      <c r="C1634" s="8">
        <f>IFERROR(Datos!C1634,"")</f>
        <v/>
      </c>
      <c r="D1634" s="28">
        <f>IFERROR(IF(AND(ISNUMBER(B1634),ISNUMBER(B1633),B1633&lt;&gt;0),B1634/B1633-1,""),"")</f>
        <v/>
      </c>
      <c r="E1634" s="28">
        <f>IFERROR(IF(AND(ISNUMBER(C1634),ISNUMBER(C1633),C1633&lt;&gt;0),C1634/C1633-1,""),"")</f>
        <v/>
      </c>
      <c r="F1634" s="28">
        <f>IFERROR(D1634-Dashboard!$B$4/252,"")</f>
        <v/>
      </c>
      <c r="G1634" s="28">
        <f>IFERROR(E1634-Dashboard!$B$4/252,"")</f>
        <v/>
      </c>
      <c r="H1634" s="8">
        <f>IFERROR(IF(ISNUMBER(B1634),MAX(B1634,IFERROR(H1633,B1634)),""),"")</f>
        <v/>
      </c>
      <c r="I1634" s="29">
        <f>IFERROR(IF(AND(ISNUMBER(B1634),ISNUMBER(H1634)),B1634/H1634-1,""),"")</f>
        <v/>
      </c>
      <c r="J1634" s="8">
        <f>IFERROR(IF(ISNUMBER(C1634),MAX(C1634,IFERROR(J1633,C1634)),""),"")</f>
        <v/>
      </c>
      <c r="K1634" s="29">
        <f>IFERROR(IF(AND(ISNUMBER(C1634),ISNUMBER(J1634)),C1634/J1634-1,""),"")</f>
        <v/>
      </c>
      <c r="L1634" s="28">
        <f>IFERROR(IF(AND(ISNUMBER(D1634),ISNUMBER(E1634)),D1634-E1634,""),"")</f>
        <v/>
      </c>
    </row>
    <row r="1635">
      <c r="A1635" s="7">
        <f>IFERROR(Datos!A1635,"")</f>
        <v/>
      </c>
      <c r="B1635" s="8">
        <f>IFERROR(Datos!B1635,"")</f>
        <v/>
      </c>
      <c r="C1635" s="8">
        <f>IFERROR(Datos!C1635,"")</f>
        <v/>
      </c>
      <c r="D1635" s="28">
        <f>IFERROR(IF(AND(ISNUMBER(B1635),ISNUMBER(B1634),B1634&lt;&gt;0),B1635/B1634-1,""),"")</f>
        <v/>
      </c>
      <c r="E1635" s="28">
        <f>IFERROR(IF(AND(ISNUMBER(C1635),ISNUMBER(C1634),C1634&lt;&gt;0),C1635/C1634-1,""),"")</f>
        <v/>
      </c>
      <c r="F1635" s="28">
        <f>IFERROR(D1635-Dashboard!$B$4/252,"")</f>
        <v/>
      </c>
      <c r="G1635" s="28">
        <f>IFERROR(E1635-Dashboard!$B$4/252,"")</f>
        <v/>
      </c>
      <c r="H1635" s="8">
        <f>IFERROR(IF(ISNUMBER(B1635),MAX(B1635,IFERROR(H1634,B1635)),""),"")</f>
        <v/>
      </c>
      <c r="I1635" s="29">
        <f>IFERROR(IF(AND(ISNUMBER(B1635),ISNUMBER(H1635)),B1635/H1635-1,""),"")</f>
        <v/>
      </c>
      <c r="J1635" s="8">
        <f>IFERROR(IF(ISNUMBER(C1635),MAX(C1635,IFERROR(J1634,C1635)),""),"")</f>
        <v/>
      </c>
      <c r="K1635" s="29">
        <f>IFERROR(IF(AND(ISNUMBER(C1635),ISNUMBER(J1635)),C1635/J1635-1,""),"")</f>
        <v/>
      </c>
      <c r="L1635" s="28">
        <f>IFERROR(IF(AND(ISNUMBER(D1635),ISNUMBER(E1635)),D1635-E1635,""),"")</f>
        <v/>
      </c>
    </row>
    <row r="1636">
      <c r="A1636" s="7">
        <f>IFERROR(Datos!A1636,"")</f>
        <v/>
      </c>
      <c r="B1636" s="8">
        <f>IFERROR(Datos!B1636,"")</f>
        <v/>
      </c>
      <c r="C1636" s="8">
        <f>IFERROR(Datos!C1636,"")</f>
        <v/>
      </c>
      <c r="D1636" s="28">
        <f>IFERROR(IF(AND(ISNUMBER(B1636),ISNUMBER(B1635),B1635&lt;&gt;0),B1636/B1635-1,""),"")</f>
        <v/>
      </c>
      <c r="E1636" s="28">
        <f>IFERROR(IF(AND(ISNUMBER(C1636),ISNUMBER(C1635),C1635&lt;&gt;0),C1636/C1635-1,""),"")</f>
        <v/>
      </c>
      <c r="F1636" s="28">
        <f>IFERROR(D1636-Dashboard!$B$4/252,"")</f>
        <v/>
      </c>
      <c r="G1636" s="28">
        <f>IFERROR(E1636-Dashboard!$B$4/252,"")</f>
        <v/>
      </c>
      <c r="H1636" s="8">
        <f>IFERROR(IF(ISNUMBER(B1636),MAX(B1636,IFERROR(H1635,B1636)),""),"")</f>
        <v/>
      </c>
      <c r="I1636" s="29">
        <f>IFERROR(IF(AND(ISNUMBER(B1636),ISNUMBER(H1636)),B1636/H1636-1,""),"")</f>
        <v/>
      </c>
      <c r="J1636" s="8">
        <f>IFERROR(IF(ISNUMBER(C1636),MAX(C1636,IFERROR(J1635,C1636)),""),"")</f>
        <v/>
      </c>
      <c r="K1636" s="29">
        <f>IFERROR(IF(AND(ISNUMBER(C1636),ISNUMBER(J1636)),C1636/J1636-1,""),"")</f>
        <v/>
      </c>
      <c r="L1636" s="28">
        <f>IFERROR(IF(AND(ISNUMBER(D1636),ISNUMBER(E1636)),D1636-E1636,""),"")</f>
        <v/>
      </c>
    </row>
    <row r="1637">
      <c r="A1637" s="7">
        <f>IFERROR(Datos!A1637,"")</f>
        <v/>
      </c>
      <c r="B1637" s="8">
        <f>IFERROR(Datos!B1637,"")</f>
        <v/>
      </c>
      <c r="C1637" s="8">
        <f>IFERROR(Datos!C1637,"")</f>
        <v/>
      </c>
      <c r="D1637" s="28">
        <f>IFERROR(IF(AND(ISNUMBER(B1637),ISNUMBER(B1636),B1636&lt;&gt;0),B1637/B1636-1,""),"")</f>
        <v/>
      </c>
      <c r="E1637" s="28">
        <f>IFERROR(IF(AND(ISNUMBER(C1637),ISNUMBER(C1636),C1636&lt;&gt;0),C1637/C1636-1,""),"")</f>
        <v/>
      </c>
      <c r="F1637" s="28">
        <f>IFERROR(D1637-Dashboard!$B$4/252,"")</f>
        <v/>
      </c>
      <c r="G1637" s="28">
        <f>IFERROR(E1637-Dashboard!$B$4/252,"")</f>
        <v/>
      </c>
      <c r="H1637" s="8">
        <f>IFERROR(IF(ISNUMBER(B1637),MAX(B1637,IFERROR(H1636,B1637)),""),"")</f>
        <v/>
      </c>
      <c r="I1637" s="29">
        <f>IFERROR(IF(AND(ISNUMBER(B1637),ISNUMBER(H1637)),B1637/H1637-1,""),"")</f>
        <v/>
      </c>
      <c r="J1637" s="8">
        <f>IFERROR(IF(ISNUMBER(C1637),MAX(C1637,IFERROR(J1636,C1637)),""),"")</f>
        <v/>
      </c>
      <c r="K1637" s="29">
        <f>IFERROR(IF(AND(ISNUMBER(C1637),ISNUMBER(J1637)),C1637/J1637-1,""),"")</f>
        <v/>
      </c>
      <c r="L1637" s="28">
        <f>IFERROR(IF(AND(ISNUMBER(D1637),ISNUMBER(E1637)),D1637-E1637,""),"")</f>
        <v/>
      </c>
    </row>
    <row r="1638">
      <c r="A1638" s="7">
        <f>IFERROR(Datos!A1638,"")</f>
        <v/>
      </c>
      <c r="B1638" s="8">
        <f>IFERROR(Datos!B1638,"")</f>
        <v/>
      </c>
      <c r="C1638" s="8">
        <f>IFERROR(Datos!C1638,"")</f>
        <v/>
      </c>
      <c r="D1638" s="28">
        <f>IFERROR(IF(AND(ISNUMBER(B1638),ISNUMBER(B1637),B1637&lt;&gt;0),B1638/B1637-1,""),"")</f>
        <v/>
      </c>
      <c r="E1638" s="28">
        <f>IFERROR(IF(AND(ISNUMBER(C1638),ISNUMBER(C1637),C1637&lt;&gt;0),C1638/C1637-1,""),"")</f>
        <v/>
      </c>
      <c r="F1638" s="28">
        <f>IFERROR(D1638-Dashboard!$B$4/252,"")</f>
        <v/>
      </c>
      <c r="G1638" s="28">
        <f>IFERROR(E1638-Dashboard!$B$4/252,"")</f>
        <v/>
      </c>
      <c r="H1638" s="8">
        <f>IFERROR(IF(ISNUMBER(B1638),MAX(B1638,IFERROR(H1637,B1638)),""),"")</f>
        <v/>
      </c>
      <c r="I1638" s="29">
        <f>IFERROR(IF(AND(ISNUMBER(B1638),ISNUMBER(H1638)),B1638/H1638-1,""),"")</f>
        <v/>
      </c>
      <c r="J1638" s="8">
        <f>IFERROR(IF(ISNUMBER(C1638),MAX(C1638,IFERROR(J1637,C1638)),""),"")</f>
        <v/>
      </c>
      <c r="K1638" s="29">
        <f>IFERROR(IF(AND(ISNUMBER(C1638),ISNUMBER(J1638)),C1638/J1638-1,""),"")</f>
        <v/>
      </c>
      <c r="L1638" s="28">
        <f>IFERROR(IF(AND(ISNUMBER(D1638),ISNUMBER(E1638)),D1638-E1638,""),"")</f>
        <v/>
      </c>
    </row>
    <row r="1639">
      <c r="A1639" s="7">
        <f>IFERROR(Datos!A1639,"")</f>
        <v/>
      </c>
      <c r="B1639" s="8">
        <f>IFERROR(Datos!B1639,"")</f>
        <v/>
      </c>
      <c r="C1639" s="8">
        <f>IFERROR(Datos!C1639,"")</f>
        <v/>
      </c>
      <c r="D1639" s="28">
        <f>IFERROR(IF(AND(ISNUMBER(B1639),ISNUMBER(B1638),B1638&lt;&gt;0),B1639/B1638-1,""),"")</f>
        <v/>
      </c>
      <c r="E1639" s="28">
        <f>IFERROR(IF(AND(ISNUMBER(C1639),ISNUMBER(C1638),C1638&lt;&gt;0),C1639/C1638-1,""),"")</f>
        <v/>
      </c>
      <c r="F1639" s="28">
        <f>IFERROR(D1639-Dashboard!$B$4/252,"")</f>
        <v/>
      </c>
      <c r="G1639" s="28">
        <f>IFERROR(E1639-Dashboard!$B$4/252,"")</f>
        <v/>
      </c>
      <c r="H1639" s="8">
        <f>IFERROR(IF(ISNUMBER(B1639),MAX(B1639,IFERROR(H1638,B1639)),""),"")</f>
        <v/>
      </c>
      <c r="I1639" s="29">
        <f>IFERROR(IF(AND(ISNUMBER(B1639),ISNUMBER(H1639)),B1639/H1639-1,""),"")</f>
        <v/>
      </c>
      <c r="J1639" s="8">
        <f>IFERROR(IF(ISNUMBER(C1639),MAX(C1639,IFERROR(J1638,C1639)),""),"")</f>
        <v/>
      </c>
      <c r="K1639" s="29">
        <f>IFERROR(IF(AND(ISNUMBER(C1639),ISNUMBER(J1639)),C1639/J1639-1,""),"")</f>
        <v/>
      </c>
      <c r="L1639" s="28">
        <f>IFERROR(IF(AND(ISNUMBER(D1639),ISNUMBER(E1639)),D1639-E1639,""),"")</f>
        <v/>
      </c>
    </row>
    <row r="1640">
      <c r="A1640" s="7">
        <f>IFERROR(Datos!A1640,"")</f>
        <v/>
      </c>
      <c r="B1640" s="8">
        <f>IFERROR(Datos!B1640,"")</f>
        <v/>
      </c>
      <c r="C1640" s="8">
        <f>IFERROR(Datos!C1640,"")</f>
        <v/>
      </c>
      <c r="D1640" s="28">
        <f>IFERROR(IF(AND(ISNUMBER(B1640),ISNUMBER(B1639),B1639&lt;&gt;0),B1640/B1639-1,""),"")</f>
        <v/>
      </c>
      <c r="E1640" s="28">
        <f>IFERROR(IF(AND(ISNUMBER(C1640),ISNUMBER(C1639),C1639&lt;&gt;0),C1640/C1639-1,""),"")</f>
        <v/>
      </c>
      <c r="F1640" s="28">
        <f>IFERROR(D1640-Dashboard!$B$4/252,"")</f>
        <v/>
      </c>
      <c r="G1640" s="28">
        <f>IFERROR(E1640-Dashboard!$B$4/252,"")</f>
        <v/>
      </c>
      <c r="H1640" s="8">
        <f>IFERROR(IF(ISNUMBER(B1640),MAX(B1640,IFERROR(H1639,B1640)),""),"")</f>
        <v/>
      </c>
      <c r="I1640" s="29">
        <f>IFERROR(IF(AND(ISNUMBER(B1640),ISNUMBER(H1640)),B1640/H1640-1,""),"")</f>
        <v/>
      </c>
      <c r="J1640" s="8">
        <f>IFERROR(IF(ISNUMBER(C1640),MAX(C1640,IFERROR(J1639,C1640)),""),"")</f>
        <v/>
      </c>
      <c r="K1640" s="29">
        <f>IFERROR(IF(AND(ISNUMBER(C1640),ISNUMBER(J1640)),C1640/J1640-1,""),"")</f>
        <v/>
      </c>
      <c r="L1640" s="28">
        <f>IFERROR(IF(AND(ISNUMBER(D1640),ISNUMBER(E1640)),D1640-E1640,""),"")</f>
        <v/>
      </c>
    </row>
    <row r="1641">
      <c r="A1641" s="7">
        <f>IFERROR(Datos!A1641,"")</f>
        <v/>
      </c>
      <c r="B1641" s="8">
        <f>IFERROR(Datos!B1641,"")</f>
        <v/>
      </c>
      <c r="C1641" s="8">
        <f>IFERROR(Datos!C1641,"")</f>
        <v/>
      </c>
      <c r="D1641" s="28">
        <f>IFERROR(IF(AND(ISNUMBER(B1641),ISNUMBER(B1640),B1640&lt;&gt;0),B1641/B1640-1,""),"")</f>
        <v/>
      </c>
      <c r="E1641" s="28">
        <f>IFERROR(IF(AND(ISNUMBER(C1641),ISNUMBER(C1640),C1640&lt;&gt;0),C1641/C1640-1,""),"")</f>
        <v/>
      </c>
      <c r="F1641" s="28">
        <f>IFERROR(D1641-Dashboard!$B$4/252,"")</f>
        <v/>
      </c>
      <c r="G1641" s="28">
        <f>IFERROR(E1641-Dashboard!$B$4/252,"")</f>
        <v/>
      </c>
      <c r="H1641" s="8">
        <f>IFERROR(IF(ISNUMBER(B1641),MAX(B1641,IFERROR(H1640,B1641)),""),"")</f>
        <v/>
      </c>
      <c r="I1641" s="29">
        <f>IFERROR(IF(AND(ISNUMBER(B1641),ISNUMBER(H1641)),B1641/H1641-1,""),"")</f>
        <v/>
      </c>
      <c r="J1641" s="8">
        <f>IFERROR(IF(ISNUMBER(C1641),MAX(C1641,IFERROR(J1640,C1641)),""),"")</f>
        <v/>
      </c>
      <c r="K1641" s="29">
        <f>IFERROR(IF(AND(ISNUMBER(C1641),ISNUMBER(J1641)),C1641/J1641-1,""),"")</f>
        <v/>
      </c>
      <c r="L1641" s="28">
        <f>IFERROR(IF(AND(ISNUMBER(D1641),ISNUMBER(E1641)),D1641-E1641,""),"")</f>
        <v/>
      </c>
    </row>
    <row r="1642">
      <c r="A1642" s="7">
        <f>IFERROR(Datos!A1642,"")</f>
        <v/>
      </c>
      <c r="B1642" s="8">
        <f>IFERROR(Datos!B1642,"")</f>
        <v/>
      </c>
      <c r="C1642" s="8">
        <f>IFERROR(Datos!C1642,"")</f>
        <v/>
      </c>
      <c r="D1642" s="28">
        <f>IFERROR(IF(AND(ISNUMBER(B1642),ISNUMBER(B1641),B1641&lt;&gt;0),B1642/B1641-1,""),"")</f>
        <v/>
      </c>
      <c r="E1642" s="28">
        <f>IFERROR(IF(AND(ISNUMBER(C1642),ISNUMBER(C1641),C1641&lt;&gt;0),C1642/C1641-1,""),"")</f>
        <v/>
      </c>
      <c r="F1642" s="28">
        <f>IFERROR(D1642-Dashboard!$B$4/252,"")</f>
        <v/>
      </c>
      <c r="G1642" s="28">
        <f>IFERROR(E1642-Dashboard!$B$4/252,"")</f>
        <v/>
      </c>
      <c r="H1642" s="8">
        <f>IFERROR(IF(ISNUMBER(B1642),MAX(B1642,IFERROR(H1641,B1642)),""),"")</f>
        <v/>
      </c>
      <c r="I1642" s="29">
        <f>IFERROR(IF(AND(ISNUMBER(B1642),ISNUMBER(H1642)),B1642/H1642-1,""),"")</f>
        <v/>
      </c>
      <c r="J1642" s="8">
        <f>IFERROR(IF(ISNUMBER(C1642),MAX(C1642,IFERROR(J1641,C1642)),""),"")</f>
        <v/>
      </c>
      <c r="K1642" s="29">
        <f>IFERROR(IF(AND(ISNUMBER(C1642),ISNUMBER(J1642)),C1642/J1642-1,""),"")</f>
        <v/>
      </c>
      <c r="L1642" s="28">
        <f>IFERROR(IF(AND(ISNUMBER(D1642),ISNUMBER(E1642)),D1642-E1642,""),"")</f>
        <v/>
      </c>
    </row>
    <row r="1643">
      <c r="A1643" s="7">
        <f>IFERROR(Datos!A1643,"")</f>
        <v/>
      </c>
      <c r="B1643" s="8">
        <f>IFERROR(Datos!B1643,"")</f>
        <v/>
      </c>
      <c r="C1643" s="8">
        <f>IFERROR(Datos!C1643,"")</f>
        <v/>
      </c>
      <c r="D1643" s="28">
        <f>IFERROR(IF(AND(ISNUMBER(B1643),ISNUMBER(B1642),B1642&lt;&gt;0),B1643/B1642-1,""),"")</f>
        <v/>
      </c>
      <c r="E1643" s="28">
        <f>IFERROR(IF(AND(ISNUMBER(C1643),ISNUMBER(C1642),C1642&lt;&gt;0),C1643/C1642-1,""),"")</f>
        <v/>
      </c>
      <c r="F1643" s="28">
        <f>IFERROR(D1643-Dashboard!$B$4/252,"")</f>
        <v/>
      </c>
      <c r="G1643" s="28">
        <f>IFERROR(E1643-Dashboard!$B$4/252,"")</f>
        <v/>
      </c>
      <c r="H1643" s="8">
        <f>IFERROR(IF(ISNUMBER(B1643),MAX(B1643,IFERROR(H1642,B1643)),""),"")</f>
        <v/>
      </c>
      <c r="I1643" s="29">
        <f>IFERROR(IF(AND(ISNUMBER(B1643),ISNUMBER(H1643)),B1643/H1643-1,""),"")</f>
        <v/>
      </c>
      <c r="J1643" s="8">
        <f>IFERROR(IF(ISNUMBER(C1643),MAX(C1643,IFERROR(J1642,C1643)),""),"")</f>
        <v/>
      </c>
      <c r="K1643" s="29">
        <f>IFERROR(IF(AND(ISNUMBER(C1643),ISNUMBER(J1643)),C1643/J1643-1,""),"")</f>
        <v/>
      </c>
      <c r="L1643" s="28">
        <f>IFERROR(IF(AND(ISNUMBER(D1643),ISNUMBER(E1643)),D1643-E1643,""),"")</f>
        <v/>
      </c>
    </row>
    <row r="1644">
      <c r="A1644" s="7">
        <f>IFERROR(Datos!A1644,"")</f>
        <v/>
      </c>
      <c r="B1644" s="8">
        <f>IFERROR(Datos!B1644,"")</f>
        <v/>
      </c>
      <c r="C1644" s="8">
        <f>IFERROR(Datos!C1644,"")</f>
        <v/>
      </c>
      <c r="D1644" s="28">
        <f>IFERROR(IF(AND(ISNUMBER(B1644),ISNUMBER(B1643),B1643&lt;&gt;0),B1644/B1643-1,""),"")</f>
        <v/>
      </c>
      <c r="E1644" s="28">
        <f>IFERROR(IF(AND(ISNUMBER(C1644),ISNUMBER(C1643),C1643&lt;&gt;0),C1644/C1643-1,""),"")</f>
        <v/>
      </c>
      <c r="F1644" s="28">
        <f>IFERROR(D1644-Dashboard!$B$4/252,"")</f>
        <v/>
      </c>
      <c r="G1644" s="28">
        <f>IFERROR(E1644-Dashboard!$B$4/252,"")</f>
        <v/>
      </c>
      <c r="H1644" s="8">
        <f>IFERROR(IF(ISNUMBER(B1644),MAX(B1644,IFERROR(H1643,B1644)),""),"")</f>
        <v/>
      </c>
      <c r="I1644" s="29">
        <f>IFERROR(IF(AND(ISNUMBER(B1644),ISNUMBER(H1644)),B1644/H1644-1,""),"")</f>
        <v/>
      </c>
      <c r="J1644" s="8">
        <f>IFERROR(IF(ISNUMBER(C1644),MAX(C1644,IFERROR(J1643,C1644)),""),"")</f>
        <v/>
      </c>
      <c r="K1644" s="29">
        <f>IFERROR(IF(AND(ISNUMBER(C1644),ISNUMBER(J1644)),C1644/J1644-1,""),"")</f>
        <v/>
      </c>
      <c r="L1644" s="28">
        <f>IFERROR(IF(AND(ISNUMBER(D1644),ISNUMBER(E1644)),D1644-E1644,""),"")</f>
        <v/>
      </c>
    </row>
    <row r="1645">
      <c r="A1645" s="7">
        <f>IFERROR(Datos!A1645,"")</f>
        <v/>
      </c>
      <c r="B1645" s="8">
        <f>IFERROR(Datos!B1645,"")</f>
        <v/>
      </c>
      <c r="C1645" s="8">
        <f>IFERROR(Datos!C1645,"")</f>
        <v/>
      </c>
      <c r="D1645" s="28">
        <f>IFERROR(IF(AND(ISNUMBER(B1645),ISNUMBER(B1644),B1644&lt;&gt;0),B1645/B1644-1,""),"")</f>
        <v/>
      </c>
      <c r="E1645" s="28">
        <f>IFERROR(IF(AND(ISNUMBER(C1645),ISNUMBER(C1644),C1644&lt;&gt;0),C1645/C1644-1,""),"")</f>
        <v/>
      </c>
      <c r="F1645" s="28">
        <f>IFERROR(D1645-Dashboard!$B$4/252,"")</f>
        <v/>
      </c>
      <c r="G1645" s="28">
        <f>IFERROR(E1645-Dashboard!$B$4/252,"")</f>
        <v/>
      </c>
      <c r="H1645" s="8">
        <f>IFERROR(IF(ISNUMBER(B1645),MAX(B1645,IFERROR(H1644,B1645)),""),"")</f>
        <v/>
      </c>
      <c r="I1645" s="29">
        <f>IFERROR(IF(AND(ISNUMBER(B1645),ISNUMBER(H1645)),B1645/H1645-1,""),"")</f>
        <v/>
      </c>
      <c r="J1645" s="8">
        <f>IFERROR(IF(ISNUMBER(C1645),MAX(C1645,IFERROR(J1644,C1645)),""),"")</f>
        <v/>
      </c>
      <c r="K1645" s="29">
        <f>IFERROR(IF(AND(ISNUMBER(C1645),ISNUMBER(J1645)),C1645/J1645-1,""),"")</f>
        <v/>
      </c>
      <c r="L1645" s="28">
        <f>IFERROR(IF(AND(ISNUMBER(D1645),ISNUMBER(E1645)),D1645-E1645,""),"")</f>
        <v/>
      </c>
    </row>
    <row r="1646">
      <c r="A1646" s="7">
        <f>IFERROR(Datos!A1646,"")</f>
        <v/>
      </c>
      <c r="B1646" s="8">
        <f>IFERROR(Datos!B1646,"")</f>
        <v/>
      </c>
      <c r="C1646" s="8">
        <f>IFERROR(Datos!C1646,"")</f>
        <v/>
      </c>
      <c r="D1646" s="28">
        <f>IFERROR(IF(AND(ISNUMBER(B1646),ISNUMBER(B1645),B1645&lt;&gt;0),B1646/B1645-1,""),"")</f>
        <v/>
      </c>
      <c r="E1646" s="28">
        <f>IFERROR(IF(AND(ISNUMBER(C1646),ISNUMBER(C1645),C1645&lt;&gt;0),C1646/C1645-1,""),"")</f>
        <v/>
      </c>
      <c r="F1646" s="28">
        <f>IFERROR(D1646-Dashboard!$B$4/252,"")</f>
        <v/>
      </c>
      <c r="G1646" s="28">
        <f>IFERROR(E1646-Dashboard!$B$4/252,"")</f>
        <v/>
      </c>
      <c r="H1646" s="8">
        <f>IFERROR(IF(ISNUMBER(B1646),MAX(B1646,IFERROR(H1645,B1646)),""),"")</f>
        <v/>
      </c>
      <c r="I1646" s="29">
        <f>IFERROR(IF(AND(ISNUMBER(B1646),ISNUMBER(H1646)),B1646/H1646-1,""),"")</f>
        <v/>
      </c>
      <c r="J1646" s="8">
        <f>IFERROR(IF(ISNUMBER(C1646),MAX(C1646,IFERROR(J1645,C1646)),""),"")</f>
        <v/>
      </c>
      <c r="K1646" s="29">
        <f>IFERROR(IF(AND(ISNUMBER(C1646),ISNUMBER(J1646)),C1646/J1646-1,""),"")</f>
        <v/>
      </c>
      <c r="L1646" s="28">
        <f>IFERROR(IF(AND(ISNUMBER(D1646),ISNUMBER(E1646)),D1646-E1646,""),"")</f>
        <v/>
      </c>
    </row>
    <row r="1647">
      <c r="A1647" s="7">
        <f>IFERROR(Datos!A1647,"")</f>
        <v/>
      </c>
      <c r="B1647" s="8">
        <f>IFERROR(Datos!B1647,"")</f>
        <v/>
      </c>
      <c r="C1647" s="8">
        <f>IFERROR(Datos!C1647,"")</f>
        <v/>
      </c>
      <c r="D1647" s="28">
        <f>IFERROR(IF(AND(ISNUMBER(B1647),ISNUMBER(B1646),B1646&lt;&gt;0),B1647/B1646-1,""),"")</f>
        <v/>
      </c>
      <c r="E1647" s="28">
        <f>IFERROR(IF(AND(ISNUMBER(C1647),ISNUMBER(C1646),C1646&lt;&gt;0),C1647/C1646-1,""),"")</f>
        <v/>
      </c>
      <c r="F1647" s="28">
        <f>IFERROR(D1647-Dashboard!$B$4/252,"")</f>
        <v/>
      </c>
      <c r="G1647" s="28">
        <f>IFERROR(E1647-Dashboard!$B$4/252,"")</f>
        <v/>
      </c>
      <c r="H1647" s="8">
        <f>IFERROR(IF(ISNUMBER(B1647),MAX(B1647,IFERROR(H1646,B1647)),""),"")</f>
        <v/>
      </c>
      <c r="I1647" s="29">
        <f>IFERROR(IF(AND(ISNUMBER(B1647),ISNUMBER(H1647)),B1647/H1647-1,""),"")</f>
        <v/>
      </c>
      <c r="J1647" s="8">
        <f>IFERROR(IF(ISNUMBER(C1647),MAX(C1647,IFERROR(J1646,C1647)),""),"")</f>
        <v/>
      </c>
      <c r="K1647" s="29">
        <f>IFERROR(IF(AND(ISNUMBER(C1647),ISNUMBER(J1647)),C1647/J1647-1,""),"")</f>
        <v/>
      </c>
      <c r="L1647" s="28">
        <f>IFERROR(IF(AND(ISNUMBER(D1647),ISNUMBER(E1647)),D1647-E1647,""),"")</f>
        <v/>
      </c>
    </row>
    <row r="1648">
      <c r="A1648" s="7">
        <f>IFERROR(Datos!A1648,"")</f>
        <v/>
      </c>
      <c r="B1648" s="8">
        <f>IFERROR(Datos!B1648,"")</f>
        <v/>
      </c>
      <c r="C1648" s="8">
        <f>IFERROR(Datos!C1648,"")</f>
        <v/>
      </c>
      <c r="D1648" s="28">
        <f>IFERROR(IF(AND(ISNUMBER(B1648),ISNUMBER(B1647),B1647&lt;&gt;0),B1648/B1647-1,""),"")</f>
        <v/>
      </c>
      <c r="E1648" s="28">
        <f>IFERROR(IF(AND(ISNUMBER(C1648),ISNUMBER(C1647),C1647&lt;&gt;0),C1648/C1647-1,""),"")</f>
        <v/>
      </c>
      <c r="F1648" s="28">
        <f>IFERROR(D1648-Dashboard!$B$4/252,"")</f>
        <v/>
      </c>
      <c r="G1648" s="28">
        <f>IFERROR(E1648-Dashboard!$B$4/252,"")</f>
        <v/>
      </c>
      <c r="H1648" s="8">
        <f>IFERROR(IF(ISNUMBER(B1648),MAX(B1648,IFERROR(H1647,B1648)),""),"")</f>
        <v/>
      </c>
      <c r="I1648" s="29">
        <f>IFERROR(IF(AND(ISNUMBER(B1648),ISNUMBER(H1648)),B1648/H1648-1,""),"")</f>
        <v/>
      </c>
      <c r="J1648" s="8">
        <f>IFERROR(IF(ISNUMBER(C1648),MAX(C1648,IFERROR(J1647,C1648)),""),"")</f>
        <v/>
      </c>
      <c r="K1648" s="29">
        <f>IFERROR(IF(AND(ISNUMBER(C1648),ISNUMBER(J1648)),C1648/J1648-1,""),"")</f>
        <v/>
      </c>
      <c r="L1648" s="28">
        <f>IFERROR(IF(AND(ISNUMBER(D1648),ISNUMBER(E1648)),D1648-E1648,""),"")</f>
        <v/>
      </c>
    </row>
    <row r="1649">
      <c r="A1649" s="7">
        <f>IFERROR(Datos!A1649,"")</f>
        <v/>
      </c>
      <c r="B1649" s="8">
        <f>IFERROR(Datos!B1649,"")</f>
        <v/>
      </c>
      <c r="C1649" s="8">
        <f>IFERROR(Datos!C1649,"")</f>
        <v/>
      </c>
      <c r="D1649" s="28">
        <f>IFERROR(IF(AND(ISNUMBER(B1649),ISNUMBER(B1648),B1648&lt;&gt;0),B1649/B1648-1,""),"")</f>
        <v/>
      </c>
      <c r="E1649" s="28">
        <f>IFERROR(IF(AND(ISNUMBER(C1649),ISNUMBER(C1648),C1648&lt;&gt;0),C1649/C1648-1,""),"")</f>
        <v/>
      </c>
      <c r="F1649" s="28">
        <f>IFERROR(D1649-Dashboard!$B$4/252,"")</f>
        <v/>
      </c>
      <c r="G1649" s="28">
        <f>IFERROR(E1649-Dashboard!$B$4/252,"")</f>
        <v/>
      </c>
      <c r="H1649" s="8">
        <f>IFERROR(IF(ISNUMBER(B1649),MAX(B1649,IFERROR(H1648,B1649)),""),"")</f>
        <v/>
      </c>
      <c r="I1649" s="29">
        <f>IFERROR(IF(AND(ISNUMBER(B1649),ISNUMBER(H1649)),B1649/H1649-1,""),"")</f>
        <v/>
      </c>
      <c r="J1649" s="8">
        <f>IFERROR(IF(ISNUMBER(C1649),MAX(C1649,IFERROR(J1648,C1649)),""),"")</f>
        <v/>
      </c>
      <c r="K1649" s="29">
        <f>IFERROR(IF(AND(ISNUMBER(C1649),ISNUMBER(J1649)),C1649/J1649-1,""),"")</f>
        <v/>
      </c>
      <c r="L1649" s="28">
        <f>IFERROR(IF(AND(ISNUMBER(D1649),ISNUMBER(E1649)),D1649-E1649,""),"")</f>
        <v/>
      </c>
    </row>
    <row r="1650">
      <c r="A1650" s="7">
        <f>IFERROR(Datos!A1650,"")</f>
        <v/>
      </c>
      <c r="B1650" s="8">
        <f>IFERROR(Datos!B1650,"")</f>
        <v/>
      </c>
      <c r="C1650" s="8">
        <f>IFERROR(Datos!C1650,"")</f>
        <v/>
      </c>
      <c r="D1650" s="28">
        <f>IFERROR(IF(AND(ISNUMBER(B1650),ISNUMBER(B1649),B1649&lt;&gt;0),B1650/B1649-1,""),"")</f>
        <v/>
      </c>
      <c r="E1650" s="28">
        <f>IFERROR(IF(AND(ISNUMBER(C1650),ISNUMBER(C1649),C1649&lt;&gt;0),C1650/C1649-1,""),"")</f>
        <v/>
      </c>
      <c r="F1650" s="28">
        <f>IFERROR(D1650-Dashboard!$B$4/252,"")</f>
        <v/>
      </c>
      <c r="G1650" s="28">
        <f>IFERROR(E1650-Dashboard!$B$4/252,"")</f>
        <v/>
      </c>
      <c r="H1650" s="8">
        <f>IFERROR(IF(ISNUMBER(B1650),MAX(B1650,IFERROR(H1649,B1650)),""),"")</f>
        <v/>
      </c>
      <c r="I1650" s="29">
        <f>IFERROR(IF(AND(ISNUMBER(B1650),ISNUMBER(H1650)),B1650/H1650-1,""),"")</f>
        <v/>
      </c>
      <c r="J1650" s="8">
        <f>IFERROR(IF(ISNUMBER(C1650),MAX(C1650,IFERROR(J1649,C1650)),""),"")</f>
        <v/>
      </c>
      <c r="K1650" s="29">
        <f>IFERROR(IF(AND(ISNUMBER(C1650),ISNUMBER(J1650)),C1650/J1650-1,""),"")</f>
        <v/>
      </c>
      <c r="L1650" s="28">
        <f>IFERROR(IF(AND(ISNUMBER(D1650),ISNUMBER(E1650)),D1650-E1650,""),"")</f>
        <v/>
      </c>
    </row>
    <row r="1651">
      <c r="A1651" s="7">
        <f>IFERROR(Datos!A1651,"")</f>
        <v/>
      </c>
      <c r="B1651" s="8">
        <f>IFERROR(Datos!B1651,"")</f>
        <v/>
      </c>
      <c r="C1651" s="8">
        <f>IFERROR(Datos!C1651,"")</f>
        <v/>
      </c>
      <c r="D1651" s="28">
        <f>IFERROR(IF(AND(ISNUMBER(B1651),ISNUMBER(B1650),B1650&lt;&gt;0),B1651/B1650-1,""),"")</f>
        <v/>
      </c>
      <c r="E1651" s="28">
        <f>IFERROR(IF(AND(ISNUMBER(C1651),ISNUMBER(C1650),C1650&lt;&gt;0),C1651/C1650-1,""),"")</f>
        <v/>
      </c>
      <c r="F1651" s="28">
        <f>IFERROR(D1651-Dashboard!$B$4/252,"")</f>
        <v/>
      </c>
      <c r="G1651" s="28">
        <f>IFERROR(E1651-Dashboard!$B$4/252,"")</f>
        <v/>
      </c>
      <c r="H1651" s="8">
        <f>IFERROR(IF(ISNUMBER(B1651),MAX(B1651,IFERROR(H1650,B1651)),""),"")</f>
        <v/>
      </c>
      <c r="I1651" s="29">
        <f>IFERROR(IF(AND(ISNUMBER(B1651),ISNUMBER(H1651)),B1651/H1651-1,""),"")</f>
        <v/>
      </c>
      <c r="J1651" s="8">
        <f>IFERROR(IF(ISNUMBER(C1651),MAX(C1651,IFERROR(J1650,C1651)),""),"")</f>
        <v/>
      </c>
      <c r="K1651" s="29">
        <f>IFERROR(IF(AND(ISNUMBER(C1651),ISNUMBER(J1651)),C1651/J1651-1,""),"")</f>
        <v/>
      </c>
      <c r="L1651" s="28">
        <f>IFERROR(IF(AND(ISNUMBER(D1651),ISNUMBER(E1651)),D1651-E1651,""),"")</f>
        <v/>
      </c>
    </row>
    <row r="1652">
      <c r="A1652" s="7">
        <f>IFERROR(Datos!A1652,"")</f>
        <v/>
      </c>
      <c r="B1652" s="8">
        <f>IFERROR(Datos!B1652,"")</f>
        <v/>
      </c>
      <c r="C1652" s="8">
        <f>IFERROR(Datos!C1652,"")</f>
        <v/>
      </c>
      <c r="D1652" s="28">
        <f>IFERROR(IF(AND(ISNUMBER(B1652),ISNUMBER(B1651),B1651&lt;&gt;0),B1652/B1651-1,""),"")</f>
        <v/>
      </c>
      <c r="E1652" s="28">
        <f>IFERROR(IF(AND(ISNUMBER(C1652),ISNUMBER(C1651),C1651&lt;&gt;0),C1652/C1651-1,""),"")</f>
        <v/>
      </c>
      <c r="F1652" s="28">
        <f>IFERROR(D1652-Dashboard!$B$4/252,"")</f>
        <v/>
      </c>
      <c r="G1652" s="28">
        <f>IFERROR(E1652-Dashboard!$B$4/252,"")</f>
        <v/>
      </c>
      <c r="H1652" s="8">
        <f>IFERROR(IF(ISNUMBER(B1652),MAX(B1652,IFERROR(H1651,B1652)),""),"")</f>
        <v/>
      </c>
      <c r="I1652" s="29">
        <f>IFERROR(IF(AND(ISNUMBER(B1652),ISNUMBER(H1652)),B1652/H1652-1,""),"")</f>
        <v/>
      </c>
      <c r="J1652" s="8">
        <f>IFERROR(IF(ISNUMBER(C1652),MAX(C1652,IFERROR(J1651,C1652)),""),"")</f>
        <v/>
      </c>
      <c r="K1652" s="29">
        <f>IFERROR(IF(AND(ISNUMBER(C1652),ISNUMBER(J1652)),C1652/J1652-1,""),"")</f>
        <v/>
      </c>
      <c r="L1652" s="28">
        <f>IFERROR(IF(AND(ISNUMBER(D1652),ISNUMBER(E1652)),D1652-E1652,""),"")</f>
        <v/>
      </c>
    </row>
    <row r="1653">
      <c r="A1653" s="7">
        <f>IFERROR(Datos!A1653,"")</f>
        <v/>
      </c>
      <c r="B1653" s="8">
        <f>IFERROR(Datos!B1653,"")</f>
        <v/>
      </c>
      <c r="C1653" s="8">
        <f>IFERROR(Datos!C1653,"")</f>
        <v/>
      </c>
      <c r="D1653" s="28">
        <f>IFERROR(IF(AND(ISNUMBER(B1653),ISNUMBER(B1652),B1652&lt;&gt;0),B1653/B1652-1,""),"")</f>
        <v/>
      </c>
      <c r="E1653" s="28">
        <f>IFERROR(IF(AND(ISNUMBER(C1653),ISNUMBER(C1652),C1652&lt;&gt;0),C1653/C1652-1,""),"")</f>
        <v/>
      </c>
      <c r="F1653" s="28">
        <f>IFERROR(D1653-Dashboard!$B$4/252,"")</f>
        <v/>
      </c>
      <c r="G1653" s="28">
        <f>IFERROR(E1653-Dashboard!$B$4/252,"")</f>
        <v/>
      </c>
      <c r="H1653" s="8">
        <f>IFERROR(IF(ISNUMBER(B1653),MAX(B1653,IFERROR(H1652,B1653)),""),"")</f>
        <v/>
      </c>
      <c r="I1653" s="29">
        <f>IFERROR(IF(AND(ISNUMBER(B1653),ISNUMBER(H1653)),B1653/H1653-1,""),"")</f>
        <v/>
      </c>
      <c r="J1653" s="8">
        <f>IFERROR(IF(ISNUMBER(C1653),MAX(C1653,IFERROR(J1652,C1653)),""),"")</f>
        <v/>
      </c>
      <c r="K1653" s="29">
        <f>IFERROR(IF(AND(ISNUMBER(C1653),ISNUMBER(J1653)),C1653/J1653-1,""),"")</f>
        <v/>
      </c>
      <c r="L1653" s="28">
        <f>IFERROR(IF(AND(ISNUMBER(D1653),ISNUMBER(E1653)),D1653-E1653,""),"")</f>
        <v/>
      </c>
    </row>
    <row r="1654">
      <c r="A1654" s="7">
        <f>IFERROR(Datos!A1654,"")</f>
        <v/>
      </c>
      <c r="B1654" s="8">
        <f>IFERROR(Datos!B1654,"")</f>
        <v/>
      </c>
      <c r="C1654" s="8">
        <f>IFERROR(Datos!C1654,"")</f>
        <v/>
      </c>
      <c r="D1654" s="28">
        <f>IFERROR(IF(AND(ISNUMBER(B1654),ISNUMBER(B1653),B1653&lt;&gt;0),B1654/B1653-1,""),"")</f>
        <v/>
      </c>
      <c r="E1654" s="28">
        <f>IFERROR(IF(AND(ISNUMBER(C1654),ISNUMBER(C1653),C1653&lt;&gt;0),C1654/C1653-1,""),"")</f>
        <v/>
      </c>
      <c r="F1654" s="28">
        <f>IFERROR(D1654-Dashboard!$B$4/252,"")</f>
        <v/>
      </c>
      <c r="G1654" s="28">
        <f>IFERROR(E1654-Dashboard!$B$4/252,"")</f>
        <v/>
      </c>
      <c r="H1654" s="8">
        <f>IFERROR(IF(ISNUMBER(B1654),MAX(B1654,IFERROR(H1653,B1654)),""),"")</f>
        <v/>
      </c>
      <c r="I1654" s="29">
        <f>IFERROR(IF(AND(ISNUMBER(B1654),ISNUMBER(H1654)),B1654/H1654-1,""),"")</f>
        <v/>
      </c>
      <c r="J1654" s="8">
        <f>IFERROR(IF(ISNUMBER(C1654),MAX(C1654,IFERROR(J1653,C1654)),""),"")</f>
        <v/>
      </c>
      <c r="K1654" s="29">
        <f>IFERROR(IF(AND(ISNUMBER(C1654),ISNUMBER(J1654)),C1654/J1654-1,""),"")</f>
        <v/>
      </c>
      <c r="L1654" s="28">
        <f>IFERROR(IF(AND(ISNUMBER(D1654),ISNUMBER(E1654)),D1654-E1654,""),"")</f>
        <v/>
      </c>
    </row>
    <row r="1655">
      <c r="A1655" s="7">
        <f>IFERROR(Datos!A1655,"")</f>
        <v/>
      </c>
      <c r="B1655" s="8">
        <f>IFERROR(Datos!B1655,"")</f>
        <v/>
      </c>
      <c r="C1655" s="8">
        <f>IFERROR(Datos!C1655,"")</f>
        <v/>
      </c>
      <c r="D1655" s="28">
        <f>IFERROR(IF(AND(ISNUMBER(B1655),ISNUMBER(B1654),B1654&lt;&gt;0),B1655/B1654-1,""),"")</f>
        <v/>
      </c>
      <c r="E1655" s="28">
        <f>IFERROR(IF(AND(ISNUMBER(C1655),ISNUMBER(C1654),C1654&lt;&gt;0),C1655/C1654-1,""),"")</f>
        <v/>
      </c>
      <c r="F1655" s="28">
        <f>IFERROR(D1655-Dashboard!$B$4/252,"")</f>
        <v/>
      </c>
      <c r="G1655" s="28">
        <f>IFERROR(E1655-Dashboard!$B$4/252,"")</f>
        <v/>
      </c>
      <c r="H1655" s="8">
        <f>IFERROR(IF(ISNUMBER(B1655),MAX(B1655,IFERROR(H1654,B1655)),""),"")</f>
        <v/>
      </c>
      <c r="I1655" s="29">
        <f>IFERROR(IF(AND(ISNUMBER(B1655),ISNUMBER(H1655)),B1655/H1655-1,""),"")</f>
        <v/>
      </c>
      <c r="J1655" s="8">
        <f>IFERROR(IF(ISNUMBER(C1655),MAX(C1655,IFERROR(J1654,C1655)),""),"")</f>
        <v/>
      </c>
      <c r="K1655" s="29">
        <f>IFERROR(IF(AND(ISNUMBER(C1655),ISNUMBER(J1655)),C1655/J1655-1,""),"")</f>
        <v/>
      </c>
      <c r="L1655" s="28">
        <f>IFERROR(IF(AND(ISNUMBER(D1655),ISNUMBER(E1655)),D1655-E1655,""),"")</f>
        <v/>
      </c>
    </row>
    <row r="1656">
      <c r="A1656" s="7">
        <f>IFERROR(Datos!A1656,"")</f>
        <v/>
      </c>
      <c r="B1656" s="8">
        <f>IFERROR(Datos!B1656,"")</f>
        <v/>
      </c>
      <c r="C1656" s="8">
        <f>IFERROR(Datos!C1656,"")</f>
        <v/>
      </c>
      <c r="D1656" s="28">
        <f>IFERROR(IF(AND(ISNUMBER(B1656),ISNUMBER(B1655),B1655&lt;&gt;0),B1656/B1655-1,""),"")</f>
        <v/>
      </c>
      <c r="E1656" s="28">
        <f>IFERROR(IF(AND(ISNUMBER(C1656),ISNUMBER(C1655),C1655&lt;&gt;0),C1656/C1655-1,""),"")</f>
        <v/>
      </c>
      <c r="F1656" s="28">
        <f>IFERROR(D1656-Dashboard!$B$4/252,"")</f>
        <v/>
      </c>
      <c r="G1656" s="28">
        <f>IFERROR(E1656-Dashboard!$B$4/252,"")</f>
        <v/>
      </c>
      <c r="H1656" s="8">
        <f>IFERROR(IF(ISNUMBER(B1656),MAX(B1656,IFERROR(H1655,B1656)),""),"")</f>
        <v/>
      </c>
      <c r="I1656" s="29">
        <f>IFERROR(IF(AND(ISNUMBER(B1656),ISNUMBER(H1656)),B1656/H1656-1,""),"")</f>
        <v/>
      </c>
      <c r="J1656" s="8">
        <f>IFERROR(IF(ISNUMBER(C1656),MAX(C1656,IFERROR(J1655,C1656)),""),"")</f>
        <v/>
      </c>
      <c r="K1656" s="29">
        <f>IFERROR(IF(AND(ISNUMBER(C1656),ISNUMBER(J1656)),C1656/J1656-1,""),"")</f>
        <v/>
      </c>
      <c r="L1656" s="28">
        <f>IFERROR(IF(AND(ISNUMBER(D1656),ISNUMBER(E1656)),D1656-E1656,""),"")</f>
        <v/>
      </c>
    </row>
    <row r="1657">
      <c r="A1657" s="7">
        <f>IFERROR(Datos!A1657,"")</f>
        <v/>
      </c>
      <c r="B1657" s="8">
        <f>IFERROR(Datos!B1657,"")</f>
        <v/>
      </c>
      <c r="C1657" s="8">
        <f>IFERROR(Datos!C1657,"")</f>
        <v/>
      </c>
      <c r="D1657" s="28">
        <f>IFERROR(IF(AND(ISNUMBER(B1657),ISNUMBER(B1656),B1656&lt;&gt;0),B1657/B1656-1,""),"")</f>
        <v/>
      </c>
      <c r="E1657" s="28">
        <f>IFERROR(IF(AND(ISNUMBER(C1657),ISNUMBER(C1656),C1656&lt;&gt;0),C1657/C1656-1,""),"")</f>
        <v/>
      </c>
      <c r="F1657" s="28">
        <f>IFERROR(D1657-Dashboard!$B$4/252,"")</f>
        <v/>
      </c>
      <c r="G1657" s="28">
        <f>IFERROR(E1657-Dashboard!$B$4/252,"")</f>
        <v/>
      </c>
      <c r="H1657" s="8">
        <f>IFERROR(IF(ISNUMBER(B1657),MAX(B1657,IFERROR(H1656,B1657)),""),"")</f>
        <v/>
      </c>
      <c r="I1657" s="29">
        <f>IFERROR(IF(AND(ISNUMBER(B1657),ISNUMBER(H1657)),B1657/H1657-1,""),"")</f>
        <v/>
      </c>
      <c r="J1657" s="8">
        <f>IFERROR(IF(ISNUMBER(C1657),MAX(C1657,IFERROR(J1656,C1657)),""),"")</f>
        <v/>
      </c>
      <c r="K1657" s="29">
        <f>IFERROR(IF(AND(ISNUMBER(C1657),ISNUMBER(J1657)),C1657/J1657-1,""),"")</f>
        <v/>
      </c>
      <c r="L1657" s="28">
        <f>IFERROR(IF(AND(ISNUMBER(D1657),ISNUMBER(E1657)),D1657-E1657,""),"")</f>
        <v/>
      </c>
    </row>
    <row r="1658">
      <c r="A1658" s="7">
        <f>IFERROR(Datos!A1658,"")</f>
        <v/>
      </c>
      <c r="B1658" s="8">
        <f>IFERROR(Datos!B1658,"")</f>
        <v/>
      </c>
      <c r="C1658" s="8">
        <f>IFERROR(Datos!C1658,"")</f>
        <v/>
      </c>
      <c r="D1658" s="28">
        <f>IFERROR(IF(AND(ISNUMBER(B1658),ISNUMBER(B1657),B1657&lt;&gt;0),B1658/B1657-1,""),"")</f>
        <v/>
      </c>
      <c r="E1658" s="28">
        <f>IFERROR(IF(AND(ISNUMBER(C1658),ISNUMBER(C1657),C1657&lt;&gt;0),C1658/C1657-1,""),"")</f>
        <v/>
      </c>
      <c r="F1658" s="28">
        <f>IFERROR(D1658-Dashboard!$B$4/252,"")</f>
        <v/>
      </c>
      <c r="G1658" s="28">
        <f>IFERROR(E1658-Dashboard!$B$4/252,"")</f>
        <v/>
      </c>
      <c r="H1658" s="8">
        <f>IFERROR(IF(ISNUMBER(B1658),MAX(B1658,IFERROR(H1657,B1658)),""),"")</f>
        <v/>
      </c>
      <c r="I1658" s="29">
        <f>IFERROR(IF(AND(ISNUMBER(B1658),ISNUMBER(H1658)),B1658/H1658-1,""),"")</f>
        <v/>
      </c>
      <c r="J1658" s="8">
        <f>IFERROR(IF(ISNUMBER(C1658),MAX(C1658,IFERROR(J1657,C1658)),""),"")</f>
        <v/>
      </c>
      <c r="K1658" s="29">
        <f>IFERROR(IF(AND(ISNUMBER(C1658),ISNUMBER(J1658)),C1658/J1658-1,""),"")</f>
        <v/>
      </c>
      <c r="L1658" s="28">
        <f>IFERROR(IF(AND(ISNUMBER(D1658),ISNUMBER(E1658)),D1658-E1658,""),"")</f>
        <v/>
      </c>
    </row>
    <row r="1659">
      <c r="A1659" s="7">
        <f>IFERROR(Datos!A1659,"")</f>
        <v/>
      </c>
      <c r="B1659" s="8">
        <f>IFERROR(Datos!B1659,"")</f>
        <v/>
      </c>
      <c r="C1659" s="8">
        <f>IFERROR(Datos!C1659,"")</f>
        <v/>
      </c>
      <c r="D1659" s="28">
        <f>IFERROR(IF(AND(ISNUMBER(B1659),ISNUMBER(B1658),B1658&lt;&gt;0),B1659/B1658-1,""),"")</f>
        <v/>
      </c>
      <c r="E1659" s="28">
        <f>IFERROR(IF(AND(ISNUMBER(C1659),ISNUMBER(C1658),C1658&lt;&gt;0),C1659/C1658-1,""),"")</f>
        <v/>
      </c>
      <c r="F1659" s="28">
        <f>IFERROR(D1659-Dashboard!$B$4/252,"")</f>
        <v/>
      </c>
      <c r="G1659" s="28">
        <f>IFERROR(E1659-Dashboard!$B$4/252,"")</f>
        <v/>
      </c>
      <c r="H1659" s="8">
        <f>IFERROR(IF(ISNUMBER(B1659),MAX(B1659,IFERROR(H1658,B1659)),""),"")</f>
        <v/>
      </c>
      <c r="I1659" s="29">
        <f>IFERROR(IF(AND(ISNUMBER(B1659),ISNUMBER(H1659)),B1659/H1659-1,""),"")</f>
        <v/>
      </c>
      <c r="J1659" s="8">
        <f>IFERROR(IF(ISNUMBER(C1659),MAX(C1659,IFERROR(J1658,C1659)),""),"")</f>
        <v/>
      </c>
      <c r="K1659" s="29">
        <f>IFERROR(IF(AND(ISNUMBER(C1659),ISNUMBER(J1659)),C1659/J1659-1,""),"")</f>
        <v/>
      </c>
      <c r="L1659" s="28">
        <f>IFERROR(IF(AND(ISNUMBER(D1659),ISNUMBER(E1659)),D1659-E1659,""),"")</f>
        <v/>
      </c>
    </row>
    <row r="1660">
      <c r="A1660" s="7">
        <f>IFERROR(Datos!A1660,"")</f>
        <v/>
      </c>
      <c r="B1660" s="8">
        <f>IFERROR(Datos!B1660,"")</f>
        <v/>
      </c>
      <c r="C1660" s="8">
        <f>IFERROR(Datos!C1660,"")</f>
        <v/>
      </c>
      <c r="D1660" s="28">
        <f>IFERROR(IF(AND(ISNUMBER(B1660),ISNUMBER(B1659),B1659&lt;&gt;0),B1660/B1659-1,""),"")</f>
        <v/>
      </c>
      <c r="E1660" s="28">
        <f>IFERROR(IF(AND(ISNUMBER(C1660),ISNUMBER(C1659),C1659&lt;&gt;0),C1660/C1659-1,""),"")</f>
        <v/>
      </c>
      <c r="F1660" s="28">
        <f>IFERROR(D1660-Dashboard!$B$4/252,"")</f>
        <v/>
      </c>
      <c r="G1660" s="28">
        <f>IFERROR(E1660-Dashboard!$B$4/252,"")</f>
        <v/>
      </c>
      <c r="H1660" s="8">
        <f>IFERROR(IF(ISNUMBER(B1660),MAX(B1660,IFERROR(H1659,B1660)),""),"")</f>
        <v/>
      </c>
      <c r="I1660" s="29">
        <f>IFERROR(IF(AND(ISNUMBER(B1660),ISNUMBER(H1660)),B1660/H1660-1,""),"")</f>
        <v/>
      </c>
      <c r="J1660" s="8">
        <f>IFERROR(IF(ISNUMBER(C1660),MAX(C1660,IFERROR(J1659,C1660)),""),"")</f>
        <v/>
      </c>
      <c r="K1660" s="29">
        <f>IFERROR(IF(AND(ISNUMBER(C1660),ISNUMBER(J1660)),C1660/J1660-1,""),"")</f>
        <v/>
      </c>
      <c r="L1660" s="28">
        <f>IFERROR(IF(AND(ISNUMBER(D1660),ISNUMBER(E1660)),D1660-E1660,""),"")</f>
        <v/>
      </c>
    </row>
    <row r="1661">
      <c r="A1661" s="7">
        <f>IFERROR(Datos!A1661,"")</f>
        <v/>
      </c>
      <c r="B1661" s="8">
        <f>IFERROR(Datos!B1661,"")</f>
        <v/>
      </c>
      <c r="C1661" s="8">
        <f>IFERROR(Datos!C1661,"")</f>
        <v/>
      </c>
      <c r="D1661" s="28">
        <f>IFERROR(IF(AND(ISNUMBER(B1661),ISNUMBER(B1660),B1660&lt;&gt;0),B1661/B1660-1,""),"")</f>
        <v/>
      </c>
      <c r="E1661" s="28">
        <f>IFERROR(IF(AND(ISNUMBER(C1661),ISNUMBER(C1660),C1660&lt;&gt;0),C1661/C1660-1,""),"")</f>
        <v/>
      </c>
      <c r="F1661" s="28">
        <f>IFERROR(D1661-Dashboard!$B$4/252,"")</f>
        <v/>
      </c>
      <c r="G1661" s="28">
        <f>IFERROR(E1661-Dashboard!$B$4/252,"")</f>
        <v/>
      </c>
      <c r="H1661" s="8">
        <f>IFERROR(IF(ISNUMBER(B1661),MAX(B1661,IFERROR(H1660,B1661)),""),"")</f>
        <v/>
      </c>
      <c r="I1661" s="29">
        <f>IFERROR(IF(AND(ISNUMBER(B1661),ISNUMBER(H1661)),B1661/H1661-1,""),"")</f>
        <v/>
      </c>
      <c r="J1661" s="8">
        <f>IFERROR(IF(ISNUMBER(C1661),MAX(C1661,IFERROR(J1660,C1661)),""),"")</f>
        <v/>
      </c>
      <c r="K1661" s="29">
        <f>IFERROR(IF(AND(ISNUMBER(C1661),ISNUMBER(J1661)),C1661/J1661-1,""),"")</f>
        <v/>
      </c>
      <c r="L1661" s="28">
        <f>IFERROR(IF(AND(ISNUMBER(D1661),ISNUMBER(E1661)),D1661-E1661,""),"")</f>
        <v/>
      </c>
    </row>
    <row r="1662">
      <c r="A1662" s="7">
        <f>IFERROR(Datos!A1662,"")</f>
        <v/>
      </c>
      <c r="B1662" s="8">
        <f>IFERROR(Datos!B1662,"")</f>
        <v/>
      </c>
      <c r="C1662" s="8">
        <f>IFERROR(Datos!C1662,"")</f>
        <v/>
      </c>
      <c r="D1662" s="28">
        <f>IFERROR(IF(AND(ISNUMBER(B1662),ISNUMBER(B1661),B1661&lt;&gt;0),B1662/B1661-1,""),"")</f>
        <v/>
      </c>
      <c r="E1662" s="28">
        <f>IFERROR(IF(AND(ISNUMBER(C1662),ISNUMBER(C1661),C1661&lt;&gt;0),C1662/C1661-1,""),"")</f>
        <v/>
      </c>
      <c r="F1662" s="28">
        <f>IFERROR(D1662-Dashboard!$B$4/252,"")</f>
        <v/>
      </c>
      <c r="G1662" s="28">
        <f>IFERROR(E1662-Dashboard!$B$4/252,"")</f>
        <v/>
      </c>
      <c r="H1662" s="8">
        <f>IFERROR(IF(ISNUMBER(B1662),MAX(B1662,IFERROR(H1661,B1662)),""),"")</f>
        <v/>
      </c>
      <c r="I1662" s="29">
        <f>IFERROR(IF(AND(ISNUMBER(B1662),ISNUMBER(H1662)),B1662/H1662-1,""),"")</f>
        <v/>
      </c>
      <c r="J1662" s="8">
        <f>IFERROR(IF(ISNUMBER(C1662),MAX(C1662,IFERROR(J1661,C1662)),""),"")</f>
        <v/>
      </c>
      <c r="K1662" s="29">
        <f>IFERROR(IF(AND(ISNUMBER(C1662),ISNUMBER(J1662)),C1662/J1662-1,""),"")</f>
        <v/>
      </c>
      <c r="L1662" s="28">
        <f>IFERROR(IF(AND(ISNUMBER(D1662),ISNUMBER(E1662)),D1662-E1662,""),"")</f>
        <v/>
      </c>
    </row>
    <row r="1663">
      <c r="A1663" s="7">
        <f>IFERROR(Datos!A1663,"")</f>
        <v/>
      </c>
      <c r="B1663" s="8">
        <f>IFERROR(Datos!B1663,"")</f>
        <v/>
      </c>
      <c r="C1663" s="8">
        <f>IFERROR(Datos!C1663,"")</f>
        <v/>
      </c>
      <c r="D1663" s="28">
        <f>IFERROR(IF(AND(ISNUMBER(B1663),ISNUMBER(B1662),B1662&lt;&gt;0),B1663/B1662-1,""),"")</f>
        <v/>
      </c>
      <c r="E1663" s="28">
        <f>IFERROR(IF(AND(ISNUMBER(C1663),ISNUMBER(C1662),C1662&lt;&gt;0),C1663/C1662-1,""),"")</f>
        <v/>
      </c>
      <c r="F1663" s="28">
        <f>IFERROR(D1663-Dashboard!$B$4/252,"")</f>
        <v/>
      </c>
      <c r="G1663" s="28">
        <f>IFERROR(E1663-Dashboard!$B$4/252,"")</f>
        <v/>
      </c>
      <c r="H1663" s="8">
        <f>IFERROR(IF(ISNUMBER(B1663),MAX(B1663,IFERROR(H1662,B1663)),""),"")</f>
        <v/>
      </c>
      <c r="I1663" s="29">
        <f>IFERROR(IF(AND(ISNUMBER(B1663),ISNUMBER(H1663)),B1663/H1663-1,""),"")</f>
        <v/>
      </c>
      <c r="J1663" s="8">
        <f>IFERROR(IF(ISNUMBER(C1663),MAX(C1663,IFERROR(J1662,C1663)),""),"")</f>
        <v/>
      </c>
      <c r="K1663" s="29">
        <f>IFERROR(IF(AND(ISNUMBER(C1663),ISNUMBER(J1663)),C1663/J1663-1,""),"")</f>
        <v/>
      </c>
      <c r="L1663" s="28">
        <f>IFERROR(IF(AND(ISNUMBER(D1663),ISNUMBER(E1663)),D1663-E1663,""),"")</f>
        <v/>
      </c>
    </row>
    <row r="1664">
      <c r="A1664" s="7">
        <f>IFERROR(Datos!A1664,"")</f>
        <v/>
      </c>
      <c r="B1664" s="8">
        <f>IFERROR(Datos!B1664,"")</f>
        <v/>
      </c>
      <c r="C1664" s="8">
        <f>IFERROR(Datos!C1664,"")</f>
        <v/>
      </c>
      <c r="D1664" s="28">
        <f>IFERROR(IF(AND(ISNUMBER(B1664),ISNUMBER(B1663),B1663&lt;&gt;0),B1664/B1663-1,""),"")</f>
        <v/>
      </c>
      <c r="E1664" s="28">
        <f>IFERROR(IF(AND(ISNUMBER(C1664),ISNUMBER(C1663),C1663&lt;&gt;0),C1664/C1663-1,""),"")</f>
        <v/>
      </c>
      <c r="F1664" s="28">
        <f>IFERROR(D1664-Dashboard!$B$4/252,"")</f>
        <v/>
      </c>
      <c r="G1664" s="28">
        <f>IFERROR(E1664-Dashboard!$B$4/252,"")</f>
        <v/>
      </c>
      <c r="H1664" s="8">
        <f>IFERROR(IF(ISNUMBER(B1664),MAX(B1664,IFERROR(H1663,B1664)),""),"")</f>
        <v/>
      </c>
      <c r="I1664" s="29">
        <f>IFERROR(IF(AND(ISNUMBER(B1664),ISNUMBER(H1664)),B1664/H1664-1,""),"")</f>
        <v/>
      </c>
      <c r="J1664" s="8">
        <f>IFERROR(IF(ISNUMBER(C1664),MAX(C1664,IFERROR(J1663,C1664)),""),"")</f>
        <v/>
      </c>
      <c r="K1664" s="29">
        <f>IFERROR(IF(AND(ISNUMBER(C1664),ISNUMBER(J1664)),C1664/J1664-1,""),"")</f>
        <v/>
      </c>
      <c r="L1664" s="28">
        <f>IFERROR(IF(AND(ISNUMBER(D1664),ISNUMBER(E1664)),D1664-E1664,""),"")</f>
        <v/>
      </c>
    </row>
    <row r="1665">
      <c r="A1665" s="7">
        <f>IFERROR(Datos!A1665,"")</f>
        <v/>
      </c>
      <c r="B1665" s="8">
        <f>IFERROR(Datos!B1665,"")</f>
        <v/>
      </c>
      <c r="C1665" s="8">
        <f>IFERROR(Datos!C1665,"")</f>
        <v/>
      </c>
      <c r="D1665" s="28">
        <f>IFERROR(IF(AND(ISNUMBER(B1665),ISNUMBER(B1664),B1664&lt;&gt;0),B1665/B1664-1,""),"")</f>
        <v/>
      </c>
      <c r="E1665" s="28">
        <f>IFERROR(IF(AND(ISNUMBER(C1665),ISNUMBER(C1664),C1664&lt;&gt;0),C1665/C1664-1,""),"")</f>
        <v/>
      </c>
      <c r="F1665" s="28">
        <f>IFERROR(D1665-Dashboard!$B$4/252,"")</f>
        <v/>
      </c>
      <c r="G1665" s="28">
        <f>IFERROR(E1665-Dashboard!$B$4/252,"")</f>
        <v/>
      </c>
      <c r="H1665" s="8">
        <f>IFERROR(IF(ISNUMBER(B1665),MAX(B1665,IFERROR(H1664,B1665)),""),"")</f>
        <v/>
      </c>
      <c r="I1665" s="29">
        <f>IFERROR(IF(AND(ISNUMBER(B1665),ISNUMBER(H1665)),B1665/H1665-1,""),"")</f>
        <v/>
      </c>
      <c r="J1665" s="8">
        <f>IFERROR(IF(ISNUMBER(C1665),MAX(C1665,IFERROR(J1664,C1665)),""),"")</f>
        <v/>
      </c>
      <c r="K1665" s="29">
        <f>IFERROR(IF(AND(ISNUMBER(C1665),ISNUMBER(J1665)),C1665/J1665-1,""),"")</f>
        <v/>
      </c>
      <c r="L1665" s="28">
        <f>IFERROR(IF(AND(ISNUMBER(D1665),ISNUMBER(E1665)),D1665-E1665,""),"")</f>
        <v/>
      </c>
    </row>
    <row r="1666">
      <c r="A1666" s="7">
        <f>IFERROR(Datos!A1666,"")</f>
        <v/>
      </c>
      <c r="B1666" s="8">
        <f>IFERROR(Datos!B1666,"")</f>
        <v/>
      </c>
      <c r="C1666" s="8">
        <f>IFERROR(Datos!C1666,"")</f>
        <v/>
      </c>
      <c r="D1666" s="28">
        <f>IFERROR(IF(AND(ISNUMBER(B1666),ISNUMBER(B1665),B1665&lt;&gt;0),B1666/B1665-1,""),"")</f>
        <v/>
      </c>
      <c r="E1666" s="28">
        <f>IFERROR(IF(AND(ISNUMBER(C1666),ISNUMBER(C1665),C1665&lt;&gt;0),C1666/C1665-1,""),"")</f>
        <v/>
      </c>
      <c r="F1666" s="28">
        <f>IFERROR(D1666-Dashboard!$B$4/252,"")</f>
        <v/>
      </c>
      <c r="G1666" s="28">
        <f>IFERROR(E1666-Dashboard!$B$4/252,"")</f>
        <v/>
      </c>
      <c r="H1666" s="8">
        <f>IFERROR(IF(ISNUMBER(B1666),MAX(B1666,IFERROR(H1665,B1666)),""),"")</f>
        <v/>
      </c>
      <c r="I1666" s="29">
        <f>IFERROR(IF(AND(ISNUMBER(B1666),ISNUMBER(H1666)),B1666/H1666-1,""),"")</f>
        <v/>
      </c>
      <c r="J1666" s="8">
        <f>IFERROR(IF(ISNUMBER(C1666),MAX(C1666,IFERROR(J1665,C1666)),""),"")</f>
        <v/>
      </c>
      <c r="K1666" s="29">
        <f>IFERROR(IF(AND(ISNUMBER(C1666),ISNUMBER(J1666)),C1666/J1666-1,""),"")</f>
        <v/>
      </c>
      <c r="L1666" s="28">
        <f>IFERROR(IF(AND(ISNUMBER(D1666),ISNUMBER(E1666)),D1666-E1666,""),"")</f>
        <v/>
      </c>
    </row>
    <row r="1667">
      <c r="A1667" s="7">
        <f>IFERROR(Datos!A1667,"")</f>
        <v/>
      </c>
      <c r="B1667" s="8">
        <f>IFERROR(Datos!B1667,"")</f>
        <v/>
      </c>
      <c r="C1667" s="8">
        <f>IFERROR(Datos!C1667,"")</f>
        <v/>
      </c>
      <c r="D1667" s="28">
        <f>IFERROR(IF(AND(ISNUMBER(B1667),ISNUMBER(B1666),B1666&lt;&gt;0),B1667/B1666-1,""),"")</f>
        <v/>
      </c>
      <c r="E1667" s="28">
        <f>IFERROR(IF(AND(ISNUMBER(C1667),ISNUMBER(C1666),C1666&lt;&gt;0),C1667/C1666-1,""),"")</f>
        <v/>
      </c>
      <c r="F1667" s="28">
        <f>IFERROR(D1667-Dashboard!$B$4/252,"")</f>
        <v/>
      </c>
      <c r="G1667" s="28">
        <f>IFERROR(E1667-Dashboard!$B$4/252,"")</f>
        <v/>
      </c>
      <c r="H1667" s="8">
        <f>IFERROR(IF(ISNUMBER(B1667),MAX(B1667,IFERROR(H1666,B1667)),""),"")</f>
        <v/>
      </c>
      <c r="I1667" s="29">
        <f>IFERROR(IF(AND(ISNUMBER(B1667),ISNUMBER(H1667)),B1667/H1667-1,""),"")</f>
        <v/>
      </c>
      <c r="J1667" s="8">
        <f>IFERROR(IF(ISNUMBER(C1667),MAX(C1667,IFERROR(J1666,C1667)),""),"")</f>
        <v/>
      </c>
      <c r="K1667" s="29">
        <f>IFERROR(IF(AND(ISNUMBER(C1667),ISNUMBER(J1667)),C1667/J1667-1,""),"")</f>
        <v/>
      </c>
      <c r="L1667" s="28">
        <f>IFERROR(IF(AND(ISNUMBER(D1667),ISNUMBER(E1667)),D1667-E1667,""),"")</f>
        <v/>
      </c>
    </row>
    <row r="1668">
      <c r="A1668" s="7">
        <f>IFERROR(Datos!A1668,"")</f>
        <v/>
      </c>
      <c r="B1668" s="8">
        <f>IFERROR(Datos!B1668,"")</f>
        <v/>
      </c>
      <c r="C1668" s="8">
        <f>IFERROR(Datos!C1668,"")</f>
        <v/>
      </c>
      <c r="D1668" s="28">
        <f>IFERROR(IF(AND(ISNUMBER(B1668),ISNUMBER(B1667),B1667&lt;&gt;0),B1668/B1667-1,""),"")</f>
        <v/>
      </c>
      <c r="E1668" s="28">
        <f>IFERROR(IF(AND(ISNUMBER(C1668),ISNUMBER(C1667),C1667&lt;&gt;0),C1668/C1667-1,""),"")</f>
        <v/>
      </c>
      <c r="F1668" s="28">
        <f>IFERROR(D1668-Dashboard!$B$4/252,"")</f>
        <v/>
      </c>
      <c r="G1668" s="28">
        <f>IFERROR(E1668-Dashboard!$B$4/252,"")</f>
        <v/>
      </c>
      <c r="H1668" s="8">
        <f>IFERROR(IF(ISNUMBER(B1668),MAX(B1668,IFERROR(H1667,B1668)),""),"")</f>
        <v/>
      </c>
      <c r="I1668" s="29">
        <f>IFERROR(IF(AND(ISNUMBER(B1668),ISNUMBER(H1668)),B1668/H1668-1,""),"")</f>
        <v/>
      </c>
      <c r="J1668" s="8">
        <f>IFERROR(IF(ISNUMBER(C1668),MAX(C1668,IFERROR(J1667,C1668)),""),"")</f>
        <v/>
      </c>
      <c r="K1668" s="29">
        <f>IFERROR(IF(AND(ISNUMBER(C1668),ISNUMBER(J1668)),C1668/J1668-1,""),"")</f>
        <v/>
      </c>
      <c r="L1668" s="28">
        <f>IFERROR(IF(AND(ISNUMBER(D1668),ISNUMBER(E1668)),D1668-E1668,""),"")</f>
        <v/>
      </c>
    </row>
    <row r="1669">
      <c r="A1669" s="7">
        <f>IFERROR(Datos!A1669,"")</f>
        <v/>
      </c>
      <c r="B1669" s="8">
        <f>IFERROR(Datos!B1669,"")</f>
        <v/>
      </c>
      <c r="C1669" s="8">
        <f>IFERROR(Datos!C1669,"")</f>
        <v/>
      </c>
      <c r="D1669" s="28">
        <f>IFERROR(IF(AND(ISNUMBER(B1669),ISNUMBER(B1668),B1668&lt;&gt;0),B1669/B1668-1,""),"")</f>
        <v/>
      </c>
      <c r="E1669" s="28">
        <f>IFERROR(IF(AND(ISNUMBER(C1669),ISNUMBER(C1668),C1668&lt;&gt;0),C1669/C1668-1,""),"")</f>
        <v/>
      </c>
      <c r="F1669" s="28">
        <f>IFERROR(D1669-Dashboard!$B$4/252,"")</f>
        <v/>
      </c>
      <c r="G1669" s="28">
        <f>IFERROR(E1669-Dashboard!$B$4/252,"")</f>
        <v/>
      </c>
      <c r="H1669" s="8">
        <f>IFERROR(IF(ISNUMBER(B1669),MAX(B1669,IFERROR(H1668,B1669)),""),"")</f>
        <v/>
      </c>
      <c r="I1669" s="29">
        <f>IFERROR(IF(AND(ISNUMBER(B1669),ISNUMBER(H1669)),B1669/H1669-1,""),"")</f>
        <v/>
      </c>
      <c r="J1669" s="8">
        <f>IFERROR(IF(ISNUMBER(C1669),MAX(C1669,IFERROR(J1668,C1669)),""),"")</f>
        <v/>
      </c>
      <c r="K1669" s="29">
        <f>IFERROR(IF(AND(ISNUMBER(C1669),ISNUMBER(J1669)),C1669/J1669-1,""),"")</f>
        <v/>
      </c>
      <c r="L1669" s="28">
        <f>IFERROR(IF(AND(ISNUMBER(D1669),ISNUMBER(E1669)),D1669-E1669,""),"")</f>
        <v/>
      </c>
    </row>
    <row r="1670">
      <c r="A1670" s="7">
        <f>IFERROR(Datos!A1670,"")</f>
        <v/>
      </c>
      <c r="B1670" s="8">
        <f>IFERROR(Datos!B1670,"")</f>
        <v/>
      </c>
      <c r="C1670" s="8">
        <f>IFERROR(Datos!C1670,"")</f>
        <v/>
      </c>
      <c r="D1670" s="28">
        <f>IFERROR(IF(AND(ISNUMBER(B1670),ISNUMBER(B1669),B1669&lt;&gt;0),B1670/B1669-1,""),"")</f>
        <v/>
      </c>
      <c r="E1670" s="28">
        <f>IFERROR(IF(AND(ISNUMBER(C1670),ISNUMBER(C1669),C1669&lt;&gt;0),C1670/C1669-1,""),"")</f>
        <v/>
      </c>
      <c r="F1670" s="28">
        <f>IFERROR(D1670-Dashboard!$B$4/252,"")</f>
        <v/>
      </c>
      <c r="G1670" s="28">
        <f>IFERROR(E1670-Dashboard!$B$4/252,"")</f>
        <v/>
      </c>
      <c r="H1670" s="8">
        <f>IFERROR(IF(ISNUMBER(B1670),MAX(B1670,IFERROR(H1669,B1670)),""),"")</f>
        <v/>
      </c>
      <c r="I1670" s="29">
        <f>IFERROR(IF(AND(ISNUMBER(B1670),ISNUMBER(H1670)),B1670/H1670-1,""),"")</f>
        <v/>
      </c>
      <c r="J1670" s="8">
        <f>IFERROR(IF(ISNUMBER(C1670),MAX(C1670,IFERROR(J1669,C1670)),""),"")</f>
        <v/>
      </c>
      <c r="K1670" s="29">
        <f>IFERROR(IF(AND(ISNUMBER(C1670),ISNUMBER(J1670)),C1670/J1670-1,""),"")</f>
        <v/>
      </c>
      <c r="L1670" s="28">
        <f>IFERROR(IF(AND(ISNUMBER(D1670),ISNUMBER(E1670)),D1670-E1670,""),"")</f>
        <v/>
      </c>
    </row>
    <row r="1671">
      <c r="A1671" s="7">
        <f>IFERROR(Datos!A1671,"")</f>
        <v/>
      </c>
      <c r="B1671" s="8">
        <f>IFERROR(Datos!B1671,"")</f>
        <v/>
      </c>
      <c r="C1671" s="8">
        <f>IFERROR(Datos!C1671,"")</f>
        <v/>
      </c>
      <c r="D1671" s="28">
        <f>IFERROR(IF(AND(ISNUMBER(B1671),ISNUMBER(B1670),B1670&lt;&gt;0),B1671/B1670-1,""),"")</f>
        <v/>
      </c>
      <c r="E1671" s="28">
        <f>IFERROR(IF(AND(ISNUMBER(C1671),ISNUMBER(C1670),C1670&lt;&gt;0),C1671/C1670-1,""),"")</f>
        <v/>
      </c>
      <c r="F1671" s="28">
        <f>IFERROR(D1671-Dashboard!$B$4/252,"")</f>
        <v/>
      </c>
      <c r="G1671" s="28">
        <f>IFERROR(E1671-Dashboard!$B$4/252,"")</f>
        <v/>
      </c>
      <c r="H1671" s="8">
        <f>IFERROR(IF(ISNUMBER(B1671),MAX(B1671,IFERROR(H1670,B1671)),""),"")</f>
        <v/>
      </c>
      <c r="I1671" s="29">
        <f>IFERROR(IF(AND(ISNUMBER(B1671),ISNUMBER(H1671)),B1671/H1671-1,""),"")</f>
        <v/>
      </c>
      <c r="J1671" s="8">
        <f>IFERROR(IF(ISNUMBER(C1671),MAX(C1671,IFERROR(J1670,C1671)),""),"")</f>
        <v/>
      </c>
      <c r="K1671" s="29">
        <f>IFERROR(IF(AND(ISNUMBER(C1671),ISNUMBER(J1671)),C1671/J1671-1,""),"")</f>
        <v/>
      </c>
      <c r="L1671" s="28">
        <f>IFERROR(IF(AND(ISNUMBER(D1671),ISNUMBER(E1671)),D1671-E1671,""),"")</f>
        <v/>
      </c>
    </row>
    <row r="1672">
      <c r="A1672" s="7">
        <f>IFERROR(Datos!A1672,"")</f>
        <v/>
      </c>
      <c r="B1672" s="8">
        <f>IFERROR(Datos!B1672,"")</f>
        <v/>
      </c>
      <c r="C1672" s="8">
        <f>IFERROR(Datos!C1672,"")</f>
        <v/>
      </c>
      <c r="D1672" s="28">
        <f>IFERROR(IF(AND(ISNUMBER(B1672),ISNUMBER(B1671),B1671&lt;&gt;0),B1672/B1671-1,""),"")</f>
        <v/>
      </c>
      <c r="E1672" s="28">
        <f>IFERROR(IF(AND(ISNUMBER(C1672),ISNUMBER(C1671),C1671&lt;&gt;0),C1672/C1671-1,""),"")</f>
        <v/>
      </c>
      <c r="F1672" s="28">
        <f>IFERROR(D1672-Dashboard!$B$4/252,"")</f>
        <v/>
      </c>
      <c r="G1672" s="28">
        <f>IFERROR(E1672-Dashboard!$B$4/252,"")</f>
        <v/>
      </c>
      <c r="H1672" s="8">
        <f>IFERROR(IF(ISNUMBER(B1672),MAX(B1672,IFERROR(H1671,B1672)),""),"")</f>
        <v/>
      </c>
      <c r="I1672" s="29">
        <f>IFERROR(IF(AND(ISNUMBER(B1672),ISNUMBER(H1672)),B1672/H1672-1,""),"")</f>
        <v/>
      </c>
      <c r="J1672" s="8">
        <f>IFERROR(IF(ISNUMBER(C1672),MAX(C1672,IFERROR(J1671,C1672)),""),"")</f>
        <v/>
      </c>
      <c r="K1672" s="29">
        <f>IFERROR(IF(AND(ISNUMBER(C1672),ISNUMBER(J1672)),C1672/J1672-1,""),"")</f>
        <v/>
      </c>
      <c r="L1672" s="28">
        <f>IFERROR(IF(AND(ISNUMBER(D1672),ISNUMBER(E1672)),D1672-E1672,""),"")</f>
        <v/>
      </c>
    </row>
    <row r="1673">
      <c r="A1673" s="7">
        <f>IFERROR(Datos!A1673,"")</f>
        <v/>
      </c>
      <c r="B1673" s="8">
        <f>IFERROR(Datos!B1673,"")</f>
        <v/>
      </c>
      <c r="C1673" s="8">
        <f>IFERROR(Datos!C1673,"")</f>
        <v/>
      </c>
      <c r="D1673" s="28">
        <f>IFERROR(IF(AND(ISNUMBER(B1673),ISNUMBER(B1672),B1672&lt;&gt;0),B1673/B1672-1,""),"")</f>
        <v/>
      </c>
      <c r="E1673" s="28">
        <f>IFERROR(IF(AND(ISNUMBER(C1673),ISNUMBER(C1672),C1672&lt;&gt;0),C1673/C1672-1,""),"")</f>
        <v/>
      </c>
      <c r="F1673" s="28">
        <f>IFERROR(D1673-Dashboard!$B$4/252,"")</f>
        <v/>
      </c>
      <c r="G1673" s="28">
        <f>IFERROR(E1673-Dashboard!$B$4/252,"")</f>
        <v/>
      </c>
      <c r="H1673" s="8">
        <f>IFERROR(IF(ISNUMBER(B1673),MAX(B1673,IFERROR(H1672,B1673)),""),"")</f>
        <v/>
      </c>
      <c r="I1673" s="29">
        <f>IFERROR(IF(AND(ISNUMBER(B1673),ISNUMBER(H1673)),B1673/H1673-1,""),"")</f>
        <v/>
      </c>
      <c r="J1673" s="8">
        <f>IFERROR(IF(ISNUMBER(C1673),MAX(C1673,IFERROR(J1672,C1673)),""),"")</f>
        <v/>
      </c>
      <c r="K1673" s="29">
        <f>IFERROR(IF(AND(ISNUMBER(C1673),ISNUMBER(J1673)),C1673/J1673-1,""),"")</f>
        <v/>
      </c>
      <c r="L1673" s="28">
        <f>IFERROR(IF(AND(ISNUMBER(D1673),ISNUMBER(E1673)),D1673-E1673,""),"")</f>
        <v/>
      </c>
    </row>
    <row r="1674">
      <c r="A1674" s="7">
        <f>IFERROR(Datos!A1674,"")</f>
        <v/>
      </c>
      <c r="B1674" s="8">
        <f>IFERROR(Datos!B1674,"")</f>
        <v/>
      </c>
      <c r="C1674" s="8">
        <f>IFERROR(Datos!C1674,"")</f>
        <v/>
      </c>
      <c r="D1674" s="28">
        <f>IFERROR(IF(AND(ISNUMBER(B1674),ISNUMBER(B1673),B1673&lt;&gt;0),B1674/B1673-1,""),"")</f>
        <v/>
      </c>
      <c r="E1674" s="28">
        <f>IFERROR(IF(AND(ISNUMBER(C1674),ISNUMBER(C1673),C1673&lt;&gt;0),C1674/C1673-1,""),"")</f>
        <v/>
      </c>
      <c r="F1674" s="28">
        <f>IFERROR(D1674-Dashboard!$B$4/252,"")</f>
        <v/>
      </c>
      <c r="G1674" s="28">
        <f>IFERROR(E1674-Dashboard!$B$4/252,"")</f>
        <v/>
      </c>
      <c r="H1674" s="8">
        <f>IFERROR(IF(ISNUMBER(B1674),MAX(B1674,IFERROR(H1673,B1674)),""),"")</f>
        <v/>
      </c>
      <c r="I1674" s="29">
        <f>IFERROR(IF(AND(ISNUMBER(B1674),ISNUMBER(H1674)),B1674/H1674-1,""),"")</f>
        <v/>
      </c>
      <c r="J1674" s="8">
        <f>IFERROR(IF(ISNUMBER(C1674),MAX(C1674,IFERROR(J1673,C1674)),""),"")</f>
        <v/>
      </c>
      <c r="K1674" s="29">
        <f>IFERROR(IF(AND(ISNUMBER(C1674),ISNUMBER(J1674)),C1674/J1674-1,""),"")</f>
        <v/>
      </c>
      <c r="L1674" s="28">
        <f>IFERROR(IF(AND(ISNUMBER(D1674),ISNUMBER(E1674)),D1674-E1674,""),"")</f>
        <v/>
      </c>
    </row>
    <row r="1675">
      <c r="A1675" s="7">
        <f>IFERROR(Datos!A1675,"")</f>
        <v/>
      </c>
      <c r="B1675" s="8">
        <f>IFERROR(Datos!B1675,"")</f>
        <v/>
      </c>
      <c r="C1675" s="8">
        <f>IFERROR(Datos!C1675,"")</f>
        <v/>
      </c>
      <c r="D1675" s="28">
        <f>IFERROR(IF(AND(ISNUMBER(B1675),ISNUMBER(B1674),B1674&lt;&gt;0),B1675/B1674-1,""),"")</f>
        <v/>
      </c>
      <c r="E1675" s="28">
        <f>IFERROR(IF(AND(ISNUMBER(C1675),ISNUMBER(C1674),C1674&lt;&gt;0),C1675/C1674-1,""),"")</f>
        <v/>
      </c>
      <c r="F1675" s="28">
        <f>IFERROR(D1675-Dashboard!$B$4/252,"")</f>
        <v/>
      </c>
      <c r="G1675" s="28">
        <f>IFERROR(E1675-Dashboard!$B$4/252,"")</f>
        <v/>
      </c>
      <c r="H1675" s="8">
        <f>IFERROR(IF(ISNUMBER(B1675),MAX(B1675,IFERROR(H1674,B1675)),""),"")</f>
        <v/>
      </c>
      <c r="I1675" s="29">
        <f>IFERROR(IF(AND(ISNUMBER(B1675),ISNUMBER(H1675)),B1675/H1675-1,""),"")</f>
        <v/>
      </c>
      <c r="J1675" s="8">
        <f>IFERROR(IF(ISNUMBER(C1675),MAX(C1675,IFERROR(J1674,C1675)),""),"")</f>
        <v/>
      </c>
      <c r="K1675" s="29">
        <f>IFERROR(IF(AND(ISNUMBER(C1675),ISNUMBER(J1675)),C1675/J1675-1,""),"")</f>
        <v/>
      </c>
      <c r="L1675" s="28">
        <f>IFERROR(IF(AND(ISNUMBER(D1675),ISNUMBER(E1675)),D1675-E1675,""),"")</f>
        <v/>
      </c>
    </row>
    <row r="1676">
      <c r="A1676" s="7">
        <f>IFERROR(Datos!A1676,"")</f>
        <v/>
      </c>
      <c r="B1676" s="8">
        <f>IFERROR(Datos!B1676,"")</f>
        <v/>
      </c>
      <c r="C1676" s="8">
        <f>IFERROR(Datos!C1676,"")</f>
        <v/>
      </c>
      <c r="D1676" s="28">
        <f>IFERROR(IF(AND(ISNUMBER(B1676),ISNUMBER(B1675),B1675&lt;&gt;0),B1676/B1675-1,""),"")</f>
        <v/>
      </c>
      <c r="E1676" s="28">
        <f>IFERROR(IF(AND(ISNUMBER(C1676),ISNUMBER(C1675),C1675&lt;&gt;0),C1676/C1675-1,""),"")</f>
        <v/>
      </c>
      <c r="F1676" s="28">
        <f>IFERROR(D1676-Dashboard!$B$4/252,"")</f>
        <v/>
      </c>
      <c r="G1676" s="28">
        <f>IFERROR(E1676-Dashboard!$B$4/252,"")</f>
        <v/>
      </c>
      <c r="H1676" s="8">
        <f>IFERROR(IF(ISNUMBER(B1676),MAX(B1676,IFERROR(H1675,B1676)),""),"")</f>
        <v/>
      </c>
      <c r="I1676" s="29">
        <f>IFERROR(IF(AND(ISNUMBER(B1676),ISNUMBER(H1676)),B1676/H1676-1,""),"")</f>
        <v/>
      </c>
      <c r="J1676" s="8">
        <f>IFERROR(IF(ISNUMBER(C1676),MAX(C1676,IFERROR(J1675,C1676)),""),"")</f>
        <v/>
      </c>
      <c r="K1676" s="29">
        <f>IFERROR(IF(AND(ISNUMBER(C1676),ISNUMBER(J1676)),C1676/J1676-1,""),"")</f>
        <v/>
      </c>
      <c r="L1676" s="28">
        <f>IFERROR(IF(AND(ISNUMBER(D1676),ISNUMBER(E1676)),D1676-E1676,""),"")</f>
        <v/>
      </c>
    </row>
    <row r="1677">
      <c r="A1677" s="7">
        <f>IFERROR(Datos!A1677,"")</f>
        <v/>
      </c>
      <c r="B1677" s="8">
        <f>IFERROR(Datos!B1677,"")</f>
        <v/>
      </c>
      <c r="C1677" s="8">
        <f>IFERROR(Datos!C1677,"")</f>
        <v/>
      </c>
      <c r="D1677" s="28">
        <f>IFERROR(IF(AND(ISNUMBER(B1677),ISNUMBER(B1676),B1676&lt;&gt;0),B1677/B1676-1,""),"")</f>
        <v/>
      </c>
      <c r="E1677" s="28">
        <f>IFERROR(IF(AND(ISNUMBER(C1677),ISNUMBER(C1676),C1676&lt;&gt;0),C1677/C1676-1,""),"")</f>
        <v/>
      </c>
      <c r="F1677" s="28">
        <f>IFERROR(D1677-Dashboard!$B$4/252,"")</f>
        <v/>
      </c>
      <c r="G1677" s="28">
        <f>IFERROR(E1677-Dashboard!$B$4/252,"")</f>
        <v/>
      </c>
      <c r="H1677" s="8">
        <f>IFERROR(IF(ISNUMBER(B1677),MAX(B1677,IFERROR(H1676,B1677)),""),"")</f>
        <v/>
      </c>
      <c r="I1677" s="29">
        <f>IFERROR(IF(AND(ISNUMBER(B1677),ISNUMBER(H1677)),B1677/H1677-1,""),"")</f>
        <v/>
      </c>
      <c r="J1677" s="8">
        <f>IFERROR(IF(ISNUMBER(C1677),MAX(C1677,IFERROR(J1676,C1677)),""),"")</f>
        <v/>
      </c>
      <c r="K1677" s="29">
        <f>IFERROR(IF(AND(ISNUMBER(C1677),ISNUMBER(J1677)),C1677/J1677-1,""),"")</f>
        <v/>
      </c>
      <c r="L1677" s="28">
        <f>IFERROR(IF(AND(ISNUMBER(D1677),ISNUMBER(E1677)),D1677-E1677,""),"")</f>
        <v/>
      </c>
    </row>
    <row r="1678">
      <c r="A1678" s="7">
        <f>IFERROR(Datos!A1678,"")</f>
        <v/>
      </c>
      <c r="B1678" s="8">
        <f>IFERROR(Datos!B1678,"")</f>
        <v/>
      </c>
      <c r="C1678" s="8">
        <f>IFERROR(Datos!C1678,"")</f>
        <v/>
      </c>
      <c r="D1678" s="28">
        <f>IFERROR(IF(AND(ISNUMBER(B1678),ISNUMBER(B1677),B1677&lt;&gt;0),B1678/B1677-1,""),"")</f>
        <v/>
      </c>
      <c r="E1678" s="28">
        <f>IFERROR(IF(AND(ISNUMBER(C1678),ISNUMBER(C1677),C1677&lt;&gt;0),C1678/C1677-1,""),"")</f>
        <v/>
      </c>
      <c r="F1678" s="28">
        <f>IFERROR(D1678-Dashboard!$B$4/252,"")</f>
        <v/>
      </c>
      <c r="G1678" s="28">
        <f>IFERROR(E1678-Dashboard!$B$4/252,"")</f>
        <v/>
      </c>
      <c r="H1678" s="8">
        <f>IFERROR(IF(ISNUMBER(B1678),MAX(B1678,IFERROR(H1677,B1678)),""),"")</f>
        <v/>
      </c>
      <c r="I1678" s="29">
        <f>IFERROR(IF(AND(ISNUMBER(B1678),ISNUMBER(H1678)),B1678/H1678-1,""),"")</f>
        <v/>
      </c>
      <c r="J1678" s="8">
        <f>IFERROR(IF(ISNUMBER(C1678),MAX(C1678,IFERROR(J1677,C1678)),""),"")</f>
        <v/>
      </c>
      <c r="K1678" s="29">
        <f>IFERROR(IF(AND(ISNUMBER(C1678),ISNUMBER(J1678)),C1678/J1678-1,""),"")</f>
        <v/>
      </c>
      <c r="L1678" s="28">
        <f>IFERROR(IF(AND(ISNUMBER(D1678),ISNUMBER(E1678)),D1678-E1678,""),"")</f>
        <v/>
      </c>
    </row>
    <row r="1679">
      <c r="A1679" s="7">
        <f>IFERROR(Datos!A1679,"")</f>
        <v/>
      </c>
      <c r="B1679" s="8">
        <f>IFERROR(Datos!B1679,"")</f>
        <v/>
      </c>
      <c r="C1679" s="8">
        <f>IFERROR(Datos!C1679,"")</f>
        <v/>
      </c>
      <c r="D1679" s="28">
        <f>IFERROR(IF(AND(ISNUMBER(B1679),ISNUMBER(B1678),B1678&lt;&gt;0),B1679/B1678-1,""),"")</f>
        <v/>
      </c>
      <c r="E1679" s="28">
        <f>IFERROR(IF(AND(ISNUMBER(C1679),ISNUMBER(C1678),C1678&lt;&gt;0),C1679/C1678-1,""),"")</f>
        <v/>
      </c>
      <c r="F1679" s="28">
        <f>IFERROR(D1679-Dashboard!$B$4/252,"")</f>
        <v/>
      </c>
      <c r="G1679" s="28">
        <f>IFERROR(E1679-Dashboard!$B$4/252,"")</f>
        <v/>
      </c>
      <c r="H1679" s="8">
        <f>IFERROR(IF(ISNUMBER(B1679),MAX(B1679,IFERROR(H1678,B1679)),""),"")</f>
        <v/>
      </c>
      <c r="I1679" s="29">
        <f>IFERROR(IF(AND(ISNUMBER(B1679),ISNUMBER(H1679)),B1679/H1679-1,""),"")</f>
        <v/>
      </c>
      <c r="J1679" s="8">
        <f>IFERROR(IF(ISNUMBER(C1679),MAX(C1679,IFERROR(J1678,C1679)),""),"")</f>
        <v/>
      </c>
      <c r="K1679" s="29">
        <f>IFERROR(IF(AND(ISNUMBER(C1679),ISNUMBER(J1679)),C1679/J1679-1,""),"")</f>
        <v/>
      </c>
      <c r="L1679" s="28">
        <f>IFERROR(IF(AND(ISNUMBER(D1679),ISNUMBER(E1679)),D1679-E1679,""),"")</f>
        <v/>
      </c>
    </row>
    <row r="1680">
      <c r="A1680" s="7">
        <f>IFERROR(Datos!A1680,"")</f>
        <v/>
      </c>
      <c r="B1680" s="8">
        <f>IFERROR(Datos!B1680,"")</f>
        <v/>
      </c>
      <c r="C1680" s="8">
        <f>IFERROR(Datos!C1680,"")</f>
        <v/>
      </c>
      <c r="D1680" s="28">
        <f>IFERROR(IF(AND(ISNUMBER(B1680),ISNUMBER(B1679),B1679&lt;&gt;0),B1680/B1679-1,""),"")</f>
        <v/>
      </c>
      <c r="E1680" s="28">
        <f>IFERROR(IF(AND(ISNUMBER(C1680),ISNUMBER(C1679),C1679&lt;&gt;0),C1680/C1679-1,""),"")</f>
        <v/>
      </c>
      <c r="F1680" s="28">
        <f>IFERROR(D1680-Dashboard!$B$4/252,"")</f>
        <v/>
      </c>
      <c r="G1680" s="28">
        <f>IFERROR(E1680-Dashboard!$B$4/252,"")</f>
        <v/>
      </c>
      <c r="H1680" s="8">
        <f>IFERROR(IF(ISNUMBER(B1680),MAX(B1680,IFERROR(H1679,B1680)),""),"")</f>
        <v/>
      </c>
      <c r="I1680" s="29">
        <f>IFERROR(IF(AND(ISNUMBER(B1680),ISNUMBER(H1680)),B1680/H1680-1,""),"")</f>
        <v/>
      </c>
      <c r="J1680" s="8">
        <f>IFERROR(IF(ISNUMBER(C1680),MAX(C1680,IFERROR(J1679,C1680)),""),"")</f>
        <v/>
      </c>
      <c r="K1680" s="29">
        <f>IFERROR(IF(AND(ISNUMBER(C1680),ISNUMBER(J1680)),C1680/J1680-1,""),"")</f>
        <v/>
      </c>
      <c r="L1680" s="28">
        <f>IFERROR(IF(AND(ISNUMBER(D1680),ISNUMBER(E1680)),D1680-E1680,""),"")</f>
        <v/>
      </c>
    </row>
    <row r="1681">
      <c r="A1681" s="7">
        <f>IFERROR(Datos!A1681,"")</f>
        <v/>
      </c>
      <c r="B1681" s="8">
        <f>IFERROR(Datos!B1681,"")</f>
        <v/>
      </c>
      <c r="C1681" s="8">
        <f>IFERROR(Datos!C1681,"")</f>
        <v/>
      </c>
      <c r="D1681" s="28">
        <f>IFERROR(IF(AND(ISNUMBER(B1681),ISNUMBER(B1680),B1680&lt;&gt;0),B1681/B1680-1,""),"")</f>
        <v/>
      </c>
      <c r="E1681" s="28">
        <f>IFERROR(IF(AND(ISNUMBER(C1681),ISNUMBER(C1680),C1680&lt;&gt;0),C1681/C1680-1,""),"")</f>
        <v/>
      </c>
      <c r="F1681" s="28">
        <f>IFERROR(D1681-Dashboard!$B$4/252,"")</f>
        <v/>
      </c>
      <c r="G1681" s="28">
        <f>IFERROR(E1681-Dashboard!$B$4/252,"")</f>
        <v/>
      </c>
      <c r="H1681" s="8">
        <f>IFERROR(IF(ISNUMBER(B1681),MAX(B1681,IFERROR(H1680,B1681)),""),"")</f>
        <v/>
      </c>
      <c r="I1681" s="29">
        <f>IFERROR(IF(AND(ISNUMBER(B1681),ISNUMBER(H1681)),B1681/H1681-1,""),"")</f>
        <v/>
      </c>
      <c r="J1681" s="8">
        <f>IFERROR(IF(ISNUMBER(C1681),MAX(C1681,IFERROR(J1680,C1681)),""),"")</f>
        <v/>
      </c>
      <c r="K1681" s="29">
        <f>IFERROR(IF(AND(ISNUMBER(C1681),ISNUMBER(J1681)),C1681/J1681-1,""),"")</f>
        <v/>
      </c>
      <c r="L1681" s="28">
        <f>IFERROR(IF(AND(ISNUMBER(D1681),ISNUMBER(E1681)),D1681-E1681,""),"")</f>
        <v/>
      </c>
    </row>
    <row r="1682">
      <c r="A1682" s="7">
        <f>IFERROR(Datos!A1682,"")</f>
        <v/>
      </c>
      <c r="B1682" s="8">
        <f>IFERROR(Datos!B1682,"")</f>
        <v/>
      </c>
      <c r="C1682" s="8">
        <f>IFERROR(Datos!C1682,"")</f>
        <v/>
      </c>
      <c r="D1682" s="28">
        <f>IFERROR(IF(AND(ISNUMBER(B1682),ISNUMBER(B1681),B1681&lt;&gt;0),B1682/B1681-1,""),"")</f>
        <v/>
      </c>
      <c r="E1682" s="28">
        <f>IFERROR(IF(AND(ISNUMBER(C1682),ISNUMBER(C1681),C1681&lt;&gt;0),C1682/C1681-1,""),"")</f>
        <v/>
      </c>
      <c r="F1682" s="28">
        <f>IFERROR(D1682-Dashboard!$B$4/252,"")</f>
        <v/>
      </c>
      <c r="G1682" s="28">
        <f>IFERROR(E1682-Dashboard!$B$4/252,"")</f>
        <v/>
      </c>
      <c r="H1682" s="8">
        <f>IFERROR(IF(ISNUMBER(B1682),MAX(B1682,IFERROR(H1681,B1682)),""),"")</f>
        <v/>
      </c>
      <c r="I1682" s="29">
        <f>IFERROR(IF(AND(ISNUMBER(B1682),ISNUMBER(H1682)),B1682/H1682-1,""),"")</f>
        <v/>
      </c>
      <c r="J1682" s="8">
        <f>IFERROR(IF(ISNUMBER(C1682),MAX(C1682,IFERROR(J1681,C1682)),""),"")</f>
        <v/>
      </c>
      <c r="K1682" s="29">
        <f>IFERROR(IF(AND(ISNUMBER(C1682),ISNUMBER(J1682)),C1682/J1682-1,""),"")</f>
        <v/>
      </c>
      <c r="L1682" s="28">
        <f>IFERROR(IF(AND(ISNUMBER(D1682),ISNUMBER(E1682)),D1682-E1682,""),"")</f>
        <v/>
      </c>
    </row>
    <row r="1683">
      <c r="A1683" s="7">
        <f>IFERROR(Datos!A1683,"")</f>
        <v/>
      </c>
      <c r="B1683" s="8">
        <f>IFERROR(Datos!B1683,"")</f>
        <v/>
      </c>
      <c r="C1683" s="8">
        <f>IFERROR(Datos!C1683,"")</f>
        <v/>
      </c>
      <c r="D1683" s="28">
        <f>IFERROR(IF(AND(ISNUMBER(B1683),ISNUMBER(B1682),B1682&lt;&gt;0),B1683/B1682-1,""),"")</f>
        <v/>
      </c>
      <c r="E1683" s="28">
        <f>IFERROR(IF(AND(ISNUMBER(C1683),ISNUMBER(C1682),C1682&lt;&gt;0),C1683/C1682-1,""),"")</f>
        <v/>
      </c>
      <c r="F1683" s="28">
        <f>IFERROR(D1683-Dashboard!$B$4/252,"")</f>
        <v/>
      </c>
      <c r="G1683" s="28">
        <f>IFERROR(E1683-Dashboard!$B$4/252,"")</f>
        <v/>
      </c>
      <c r="H1683" s="8">
        <f>IFERROR(IF(ISNUMBER(B1683),MAX(B1683,IFERROR(H1682,B1683)),""),"")</f>
        <v/>
      </c>
      <c r="I1683" s="29">
        <f>IFERROR(IF(AND(ISNUMBER(B1683),ISNUMBER(H1683)),B1683/H1683-1,""),"")</f>
        <v/>
      </c>
      <c r="J1683" s="8">
        <f>IFERROR(IF(ISNUMBER(C1683),MAX(C1683,IFERROR(J1682,C1683)),""),"")</f>
        <v/>
      </c>
      <c r="K1683" s="29">
        <f>IFERROR(IF(AND(ISNUMBER(C1683),ISNUMBER(J1683)),C1683/J1683-1,""),"")</f>
        <v/>
      </c>
      <c r="L1683" s="28">
        <f>IFERROR(IF(AND(ISNUMBER(D1683),ISNUMBER(E1683)),D1683-E1683,""),"")</f>
        <v/>
      </c>
    </row>
    <row r="1684">
      <c r="A1684" s="7">
        <f>IFERROR(Datos!A1684,"")</f>
        <v/>
      </c>
      <c r="B1684" s="8">
        <f>IFERROR(Datos!B1684,"")</f>
        <v/>
      </c>
      <c r="C1684" s="8">
        <f>IFERROR(Datos!C1684,"")</f>
        <v/>
      </c>
      <c r="D1684" s="28">
        <f>IFERROR(IF(AND(ISNUMBER(B1684),ISNUMBER(B1683),B1683&lt;&gt;0),B1684/B1683-1,""),"")</f>
        <v/>
      </c>
      <c r="E1684" s="28">
        <f>IFERROR(IF(AND(ISNUMBER(C1684),ISNUMBER(C1683),C1683&lt;&gt;0),C1684/C1683-1,""),"")</f>
        <v/>
      </c>
      <c r="F1684" s="28">
        <f>IFERROR(D1684-Dashboard!$B$4/252,"")</f>
        <v/>
      </c>
      <c r="G1684" s="28">
        <f>IFERROR(E1684-Dashboard!$B$4/252,"")</f>
        <v/>
      </c>
      <c r="H1684" s="8">
        <f>IFERROR(IF(ISNUMBER(B1684),MAX(B1684,IFERROR(H1683,B1684)),""),"")</f>
        <v/>
      </c>
      <c r="I1684" s="29">
        <f>IFERROR(IF(AND(ISNUMBER(B1684),ISNUMBER(H1684)),B1684/H1684-1,""),"")</f>
        <v/>
      </c>
      <c r="J1684" s="8">
        <f>IFERROR(IF(ISNUMBER(C1684),MAX(C1684,IFERROR(J1683,C1684)),""),"")</f>
        <v/>
      </c>
      <c r="K1684" s="29">
        <f>IFERROR(IF(AND(ISNUMBER(C1684),ISNUMBER(J1684)),C1684/J1684-1,""),"")</f>
        <v/>
      </c>
      <c r="L1684" s="28">
        <f>IFERROR(IF(AND(ISNUMBER(D1684),ISNUMBER(E1684)),D1684-E1684,""),"")</f>
        <v/>
      </c>
    </row>
    <row r="1685">
      <c r="A1685" s="7">
        <f>IFERROR(Datos!A1685,"")</f>
        <v/>
      </c>
      <c r="B1685" s="8">
        <f>IFERROR(Datos!B1685,"")</f>
        <v/>
      </c>
      <c r="C1685" s="8">
        <f>IFERROR(Datos!C1685,"")</f>
        <v/>
      </c>
      <c r="D1685" s="28">
        <f>IFERROR(IF(AND(ISNUMBER(B1685),ISNUMBER(B1684),B1684&lt;&gt;0),B1685/B1684-1,""),"")</f>
        <v/>
      </c>
      <c r="E1685" s="28">
        <f>IFERROR(IF(AND(ISNUMBER(C1685),ISNUMBER(C1684),C1684&lt;&gt;0),C1685/C1684-1,""),"")</f>
        <v/>
      </c>
      <c r="F1685" s="28">
        <f>IFERROR(D1685-Dashboard!$B$4/252,"")</f>
        <v/>
      </c>
      <c r="G1685" s="28">
        <f>IFERROR(E1685-Dashboard!$B$4/252,"")</f>
        <v/>
      </c>
      <c r="H1685" s="8">
        <f>IFERROR(IF(ISNUMBER(B1685),MAX(B1685,IFERROR(H1684,B1685)),""),"")</f>
        <v/>
      </c>
      <c r="I1685" s="29">
        <f>IFERROR(IF(AND(ISNUMBER(B1685),ISNUMBER(H1685)),B1685/H1685-1,""),"")</f>
        <v/>
      </c>
      <c r="J1685" s="8">
        <f>IFERROR(IF(ISNUMBER(C1685),MAX(C1685,IFERROR(J1684,C1685)),""),"")</f>
        <v/>
      </c>
      <c r="K1685" s="29">
        <f>IFERROR(IF(AND(ISNUMBER(C1685),ISNUMBER(J1685)),C1685/J1685-1,""),"")</f>
        <v/>
      </c>
      <c r="L1685" s="28">
        <f>IFERROR(IF(AND(ISNUMBER(D1685),ISNUMBER(E1685)),D1685-E1685,""),"")</f>
        <v/>
      </c>
    </row>
    <row r="1686">
      <c r="A1686" s="7">
        <f>IFERROR(Datos!A1686,"")</f>
        <v/>
      </c>
      <c r="B1686" s="8">
        <f>IFERROR(Datos!B1686,"")</f>
        <v/>
      </c>
      <c r="C1686" s="8">
        <f>IFERROR(Datos!C1686,"")</f>
        <v/>
      </c>
      <c r="D1686" s="28">
        <f>IFERROR(IF(AND(ISNUMBER(B1686),ISNUMBER(B1685),B1685&lt;&gt;0),B1686/B1685-1,""),"")</f>
        <v/>
      </c>
      <c r="E1686" s="28">
        <f>IFERROR(IF(AND(ISNUMBER(C1686),ISNUMBER(C1685),C1685&lt;&gt;0),C1686/C1685-1,""),"")</f>
        <v/>
      </c>
      <c r="F1686" s="28">
        <f>IFERROR(D1686-Dashboard!$B$4/252,"")</f>
        <v/>
      </c>
      <c r="G1686" s="28">
        <f>IFERROR(E1686-Dashboard!$B$4/252,"")</f>
        <v/>
      </c>
      <c r="H1686" s="8">
        <f>IFERROR(IF(ISNUMBER(B1686),MAX(B1686,IFERROR(H1685,B1686)),""),"")</f>
        <v/>
      </c>
      <c r="I1686" s="29">
        <f>IFERROR(IF(AND(ISNUMBER(B1686),ISNUMBER(H1686)),B1686/H1686-1,""),"")</f>
        <v/>
      </c>
      <c r="J1686" s="8">
        <f>IFERROR(IF(ISNUMBER(C1686),MAX(C1686,IFERROR(J1685,C1686)),""),"")</f>
        <v/>
      </c>
      <c r="K1686" s="29">
        <f>IFERROR(IF(AND(ISNUMBER(C1686),ISNUMBER(J1686)),C1686/J1686-1,""),"")</f>
        <v/>
      </c>
      <c r="L1686" s="28">
        <f>IFERROR(IF(AND(ISNUMBER(D1686),ISNUMBER(E1686)),D1686-E1686,""),"")</f>
        <v/>
      </c>
    </row>
    <row r="1687">
      <c r="A1687" s="7">
        <f>IFERROR(Datos!A1687,"")</f>
        <v/>
      </c>
      <c r="B1687" s="8">
        <f>IFERROR(Datos!B1687,"")</f>
        <v/>
      </c>
      <c r="C1687" s="8">
        <f>IFERROR(Datos!C1687,"")</f>
        <v/>
      </c>
      <c r="D1687" s="28">
        <f>IFERROR(IF(AND(ISNUMBER(B1687),ISNUMBER(B1686),B1686&lt;&gt;0),B1687/B1686-1,""),"")</f>
        <v/>
      </c>
      <c r="E1687" s="28">
        <f>IFERROR(IF(AND(ISNUMBER(C1687),ISNUMBER(C1686),C1686&lt;&gt;0),C1687/C1686-1,""),"")</f>
        <v/>
      </c>
      <c r="F1687" s="28">
        <f>IFERROR(D1687-Dashboard!$B$4/252,"")</f>
        <v/>
      </c>
      <c r="G1687" s="28">
        <f>IFERROR(E1687-Dashboard!$B$4/252,"")</f>
        <v/>
      </c>
      <c r="H1687" s="8">
        <f>IFERROR(IF(ISNUMBER(B1687),MAX(B1687,IFERROR(H1686,B1687)),""),"")</f>
        <v/>
      </c>
      <c r="I1687" s="29">
        <f>IFERROR(IF(AND(ISNUMBER(B1687),ISNUMBER(H1687)),B1687/H1687-1,""),"")</f>
        <v/>
      </c>
      <c r="J1687" s="8">
        <f>IFERROR(IF(ISNUMBER(C1687),MAX(C1687,IFERROR(J1686,C1687)),""),"")</f>
        <v/>
      </c>
      <c r="K1687" s="29">
        <f>IFERROR(IF(AND(ISNUMBER(C1687),ISNUMBER(J1687)),C1687/J1687-1,""),"")</f>
        <v/>
      </c>
      <c r="L1687" s="28">
        <f>IFERROR(IF(AND(ISNUMBER(D1687),ISNUMBER(E1687)),D1687-E1687,""),"")</f>
        <v/>
      </c>
    </row>
    <row r="1688">
      <c r="A1688" s="7">
        <f>IFERROR(Datos!A1688,"")</f>
        <v/>
      </c>
      <c r="B1688" s="8">
        <f>IFERROR(Datos!B1688,"")</f>
        <v/>
      </c>
      <c r="C1688" s="8">
        <f>IFERROR(Datos!C1688,"")</f>
        <v/>
      </c>
      <c r="D1688" s="28">
        <f>IFERROR(IF(AND(ISNUMBER(B1688),ISNUMBER(B1687),B1687&lt;&gt;0),B1688/B1687-1,""),"")</f>
        <v/>
      </c>
      <c r="E1688" s="28">
        <f>IFERROR(IF(AND(ISNUMBER(C1688),ISNUMBER(C1687),C1687&lt;&gt;0),C1688/C1687-1,""),"")</f>
        <v/>
      </c>
      <c r="F1688" s="28">
        <f>IFERROR(D1688-Dashboard!$B$4/252,"")</f>
        <v/>
      </c>
      <c r="G1688" s="28">
        <f>IFERROR(E1688-Dashboard!$B$4/252,"")</f>
        <v/>
      </c>
      <c r="H1688" s="8">
        <f>IFERROR(IF(ISNUMBER(B1688),MAX(B1688,IFERROR(H1687,B1688)),""),"")</f>
        <v/>
      </c>
      <c r="I1688" s="29">
        <f>IFERROR(IF(AND(ISNUMBER(B1688),ISNUMBER(H1688)),B1688/H1688-1,""),"")</f>
        <v/>
      </c>
      <c r="J1688" s="8">
        <f>IFERROR(IF(ISNUMBER(C1688),MAX(C1688,IFERROR(J1687,C1688)),""),"")</f>
        <v/>
      </c>
      <c r="K1688" s="29">
        <f>IFERROR(IF(AND(ISNUMBER(C1688),ISNUMBER(J1688)),C1688/J1688-1,""),"")</f>
        <v/>
      </c>
      <c r="L1688" s="28">
        <f>IFERROR(IF(AND(ISNUMBER(D1688),ISNUMBER(E1688)),D1688-E1688,""),"")</f>
        <v/>
      </c>
    </row>
    <row r="1689">
      <c r="A1689" s="7">
        <f>IFERROR(Datos!A1689,"")</f>
        <v/>
      </c>
      <c r="B1689" s="8">
        <f>IFERROR(Datos!B1689,"")</f>
        <v/>
      </c>
      <c r="C1689" s="8">
        <f>IFERROR(Datos!C1689,"")</f>
        <v/>
      </c>
      <c r="D1689" s="28">
        <f>IFERROR(IF(AND(ISNUMBER(B1689),ISNUMBER(B1688),B1688&lt;&gt;0),B1689/B1688-1,""),"")</f>
        <v/>
      </c>
      <c r="E1689" s="28">
        <f>IFERROR(IF(AND(ISNUMBER(C1689),ISNUMBER(C1688),C1688&lt;&gt;0),C1689/C1688-1,""),"")</f>
        <v/>
      </c>
      <c r="F1689" s="28">
        <f>IFERROR(D1689-Dashboard!$B$4/252,"")</f>
        <v/>
      </c>
      <c r="G1689" s="28">
        <f>IFERROR(E1689-Dashboard!$B$4/252,"")</f>
        <v/>
      </c>
      <c r="H1689" s="8">
        <f>IFERROR(IF(ISNUMBER(B1689),MAX(B1689,IFERROR(H1688,B1689)),""),"")</f>
        <v/>
      </c>
      <c r="I1689" s="29">
        <f>IFERROR(IF(AND(ISNUMBER(B1689),ISNUMBER(H1689)),B1689/H1689-1,""),"")</f>
        <v/>
      </c>
      <c r="J1689" s="8">
        <f>IFERROR(IF(ISNUMBER(C1689),MAX(C1689,IFERROR(J1688,C1689)),""),"")</f>
        <v/>
      </c>
      <c r="K1689" s="29">
        <f>IFERROR(IF(AND(ISNUMBER(C1689),ISNUMBER(J1689)),C1689/J1689-1,""),"")</f>
        <v/>
      </c>
      <c r="L1689" s="28">
        <f>IFERROR(IF(AND(ISNUMBER(D1689),ISNUMBER(E1689)),D1689-E1689,""),"")</f>
        <v/>
      </c>
    </row>
    <row r="1690">
      <c r="A1690" s="7">
        <f>IFERROR(Datos!A1690,"")</f>
        <v/>
      </c>
      <c r="B1690" s="8">
        <f>IFERROR(Datos!B1690,"")</f>
        <v/>
      </c>
      <c r="C1690" s="8">
        <f>IFERROR(Datos!C1690,"")</f>
        <v/>
      </c>
      <c r="D1690" s="28">
        <f>IFERROR(IF(AND(ISNUMBER(B1690),ISNUMBER(B1689),B1689&lt;&gt;0),B1690/B1689-1,""),"")</f>
        <v/>
      </c>
      <c r="E1690" s="28">
        <f>IFERROR(IF(AND(ISNUMBER(C1690),ISNUMBER(C1689),C1689&lt;&gt;0),C1690/C1689-1,""),"")</f>
        <v/>
      </c>
      <c r="F1690" s="28">
        <f>IFERROR(D1690-Dashboard!$B$4/252,"")</f>
        <v/>
      </c>
      <c r="G1690" s="28">
        <f>IFERROR(E1690-Dashboard!$B$4/252,"")</f>
        <v/>
      </c>
      <c r="H1690" s="8">
        <f>IFERROR(IF(ISNUMBER(B1690),MAX(B1690,IFERROR(H1689,B1690)),""),"")</f>
        <v/>
      </c>
      <c r="I1690" s="29">
        <f>IFERROR(IF(AND(ISNUMBER(B1690),ISNUMBER(H1690)),B1690/H1690-1,""),"")</f>
        <v/>
      </c>
      <c r="J1690" s="8">
        <f>IFERROR(IF(ISNUMBER(C1690),MAX(C1690,IFERROR(J1689,C1690)),""),"")</f>
        <v/>
      </c>
      <c r="K1690" s="29">
        <f>IFERROR(IF(AND(ISNUMBER(C1690),ISNUMBER(J1690)),C1690/J1690-1,""),"")</f>
        <v/>
      </c>
      <c r="L1690" s="28">
        <f>IFERROR(IF(AND(ISNUMBER(D1690),ISNUMBER(E1690)),D1690-E1690,""),"")</f>
        <v/>
      </c>
    </row>
    <row r="1691">
      <c r="A1691" s="7">
        <f>IFERROR(Datos!A1691,"")</f>
        <v/>
      </c>
      <c r="B1691" s="8">
        <f>IFERROR(Datos!B1691,"")</f>
        <v/>
      </c>
      <c r="C1691" s="8">
        <f>IFERROR(Datos!C1691,"")</f>
        <v/>
      </c>
      <c r="D1691" s="28">
        <f>IFERROR(IF(AND(ISNUMBER(B1691),ISNUMBER(B1690),B1690&lt;&gt;0),B1691/B1690-1,""),"")</f>
        <v/>
      </c>
      <c r="E1691" s="28">
        <f>IFERROR(IF(AND(ISNUMBER(C1691),ISNUMBER(C1690),C1690&lt;&gt;0),C1691/C1690-1,""),"")</f>
        <v/>
      </c>
      <c r="F1691" s="28">
        <f>IFERROR(D1691-Dashboard!$B$4/252,"")</f>
        <v/>
      </c>
      <c r="G1691" s="28">
        <f>IFERROR(E1691-Dashboard!$B$4/252,"")</f>
        <v/>
      </c>
      <c r="H1691" s="8">
        <f>IFERROR(IF(ISNUMBER(B1691),MAX(B1691,IFERROR(H1690,B1691)),""),"")</f>
        <v/>
      </c>
      <c r="I1691" s="29">
        <f>IFERROR(IF(AND(ISNUMBER(B1691),ISNUMBER(H1691)),B1691/H1691-1,""),"")</f>
        <v/>
      </c>
      <c r="J1691" s="8">
        <f>IFERROR(IF(ISNUMBER(C1691),MAX(C1691,IFERROR(J1690,C1691)),""),"")</f>
        <v/>
      </c>
      <c r="K1691" s="29">
        <f>IFERROR(IF(AND(ISNUMBER(C1691),ISNUMBER(J1691)),C1691/J1691-1,""),"")</f>
        <v/>
      </c>
      <c r="L1691" s="28">
        <f>IFERROR(IF(AND(ISNUMBER(D1691),ISNUMBER(E1691)),D1691-E1691,""),"")</f>
        <v/>
      </c>
    </row>
    <row r="1692">
      <c r="A1692" s="7">
        <f>IFERROR(Datos!A1692,"")</f>
        <v/>
      </c>
      <c r="B1692" s="8">
        <f>IFERROR(Datos!B1692,"")</f>
        <v/>
      </c>
      <c r="C1692" s="8">
        <f>IFERROR(Datos!C1692,"")</f>
        <v/>
      </c>
      <c r="D1692" s="28">
        <f>IFERROR(IF(AND(ISNUMBER(B1692),ISNUMBER(B1691),B1691&lt;&gt;0),B1692/B1691-1,""),"")</f>
        <v/>
      </c>
      <c r="E1692" s="28">
        <f>IFERROR(IF(AND(ISNUMBER(C1692),ISNUMBER(C1691),C1691&lt;&gt;0),C1692/C1691-1,""),"")</f>
        <v/>
      </c>
      <c r="F1692" s="28">
        <f>IFERROR(D1692-Dashboard!$B$4/252,"")</f>
        <v/>
      </c>
      <c r="G1692" s="28">
        <f>IFERROR(E1692-Dashboard!$B$4/252,"")</f>
        <v/>
      </c>
      <c r="H1692" s="8">
        <f>IFERROR(IF(ISNUMBER(B1692),MAX(B1692,IFERROR(H1691,B1692)),""),"")</f>
        <v/>
      </c>
      <c r="I1692" s="29">
        <f>IFERROR(IF(AND(ISNUMBER(B1692),ISNUMBER(H1692)),B1692/H1692-1,""),"")</f>
        <v/>
      </c>
      <c r="J1692" s="8">
        <f>IFERROR(IF(ISNUMBER(C1692),MAX(C1692,IFERROR(J1691,C1692)),""),"")</f>
        <v/>
      </c>
      <c r="K1692" s="29">
        <f>IFERROR(IF(AND(ISNUMBER(C1692),ISNUMBER(J1692)),C1692/J1692-1,""),"")</f>
        <v/>
      </c>
      <c r="L1692" s="28">
        <f>IFERROR(IF(AND(ISNUMBER(D1692),ISNUMBER(E1692)),D1692-E1692,""),"")</f>
        <v/>
      </c>
    </row>
    <row r="1693">
      <c r="A1693" s="7">
        <f>IFERROR(Datos!A1693,"")</f>
        <v/>
      </c>
      <c r="B1693" s="8">
        <f>IFERROR(Datos!B1693,"")</f>
        <v/>
      </c>
      <c r="C1693" s="8">
        <f>IFERROR(Datos!C1693,"")</f>
        <v/>
      </c>
      <c r="D1693" s="28">
        <f>IFERROR(IF(AND(ISNUMBER(B1693),ISNUMBER(B1692),B1692&lt;&gt;0),B1693/B1692-1,""),"")</f>
        <v/>
      </c>
      <c r="E1693" s="28">
        <f>IFERROR(IF(AND(ISNUMBER(C1693),ISNUMBER(C1692),C1692&lt;&gt;0),C1693/C1692-1,""),"")</f>
        <v/>
      </c>
      <c r="F1693" s="28">
        <f>IFERROR(D1693-Dashboard!$B$4/252,"")</f>
        <v/>
      </c>
      <c r="G1693" s="28">
        <f>IFERROR(E1693-Dashboard!$B$4/252,"")</f>
        <v/>
      </c>
      <c r="H1693" s="8">
        <f>IFERROR(IF(ISNUMBER(B1693),MAX(B1693,IFERROR(H1692,B1693)),""),"")</f>
        <v/>
      </c>
      <c r="I1693" s="29">
        <f>IFERROR(IF(AND(ISNUMBER(B1693),ISNUMBER(H1693)),B1693/H1693-1,""),"")</f>
        <v/>
      </c>
      <c r="J1693" s="8">
        <f>IFERROR(IF(ISNUMBER(C1693),MAX(C1693,IFERROR(J1692,C1693)),""),"")</f>
        <v/>
      </c>
      <c r="K1693" s="29">
        <f>IFERROR(IF(AND(ISNUMBER(C1693),ISNUMBER(J1693)),C1693/J1693-1,""),"")</f>
        <v/>
      </c>
      <c r="L1693" s="28">
        <f>IFERROR(IF(AND(ISNUMBER(D1693),ISNUMBER(E1693)),D1693-E1693,""),"")</f>
        <v/>
      </c>
    </row>
    <row r="1694">
      <c r="A1694" s="7">
        <f>IFERROR(Datos!A1694,"")</f>
        <v/>
      </c>
      <c r="B1694" s="8">
        <f>IFERROR(Datos!B1694,"")</f>
        <v/>
      </c>
      <c r="C1694" s="8">
        <f>IFERROR(Datos!C1694,"")</f>
        <v/>
      </c>
      <c r="D1694" s="28">
        <f>IFERROR(IF(AND(ISNUMBER(B1694),ISNUMBER(B1693),B1693&lt;&gt;0),B1694/B1693-1,""),"")</f>
        <v/>
      </c>
      <c r="E1694" s="28">
        <f>IFERROR(IF(AND(ISNUMBER(C1694),ISNUMBER(C1693),C1693&lt;&gt;0),C1694/C1693-1,""),"")</f>
        <v/>
      </c>
      <c r="F1694" s="28">
        <f>IFERROR(D1694-Dashboard!$B$4/252,"")</f>
        <v/>
      </c>
      <c r="G1694" s="28">
        <f>IFERROR(E1694-Dashboard!$B$4/252,"")</f>
        <v/>
      </c>
      <c r="H1694" s="8">
        <f>IFERROR(IF(ISNUMBER(B1694),MAX(B1694,IFERROR(H1693,B1694)),""),"")</f>
        <v/>
      </c>
      <c r="I1694" s="29">
        <f>IFERROR(IF(AND(ISNUMBER(B1694),ISNUMBER(H1694)),B1694/H1694-1,""),"")</f>
        <v/>
      </c>
      <c r="J1694" s="8">
        <f>IFERROR(IF(ISNUMBER(C1694),MAX(C1694,IFERROR(J1693,C1694)),""),"")</f>
        <v/>
      </c>
      <c r="K1694" s="29">
        <f>IFERROR(IF(AND(ISNUMBER(C1694),ISNUMBER(J1694)),C1694/J1694-1,""),"")</f>
        <v/>
      </c>
      <c r="L1694" s="28">
        <f>IFERROR(IF(AND(ISNUMBER(D1694),ISNUMBER(E1694)),D1694-E1694,""),"")</f>
        <v/>
      </c>
    </row>
    <row r="1695">
      <c r="A1695" s="7">
        <f>IFERROR(Datos!A1695,"")</f>
        <v/>
      </c>
      <c r="B1695" s="8">
        <f>IFERROR(Datos!B1695,"")</f>
        <v/>
      </c>
      <c r="C1695" s="8">
        <f>IFERROR(Datos!C1695,"")</f>
        <v/>
      </c>
      <c r="D1695" s="28">
        <f>IFERROR(IF(AND(ISNUMBER(B1695),ISNUMBER(B1694),B1694&lt;&gt;0),B1695/B1694-1,""),"")</f>
        <v/>
      </c>
      <c r="E1695" s="28">
        <f>IFERROR(IF(AND(ISNUMBER(C1695),ISNUMBER(C1694),C1694&lt;&gt;0),C1695/C1694-1,""),"")</f>
        <v/>
      </c>
      <c r="F1695" s="28">
        <f>IFERROR(D1695-Dashboard!$B$4/252,"")</f>
        <v/>
      </c>
      <c r="G1695" s="28">
        <f>IFERROR(E1695-Dashboard!$B$4/252,"")</f>
        <v/>
      </c>
      <c r="H1695" s="8">
        <f>IFERROR(IF(ISNUMBER(B1695),MAX(B1695,IFERROR(H1694,B1695)),""),"")</f>
        <v/>
      </c>
      <c r="I1695" s="29">
        <f>IFERROR(IF(AND(ISNUMBER(B1695),ISNUMBER(H1695)),B1695/H1695-1,""),"")</f>
        <v/>
      </c>
      <c r="J1695" s="8">
        <f>IFERROR(IF(ISNUMBER(C1695),MAX(C1695,IFERROR(J1694,C1695)),""),"")</f>
        <v/>
      </c>
      <c r="K1695" s="29">
        <f>IFERROR(IF(AND(ISNUMBER(C1695),ISNUMBER(J1695)),C1695/J1695-1,""),"")</f>
        <v/>
      </c>
      <c r="L1695" s="28">
        <f>IFERROR(IF(AND(ISNUMBER(D1695),ISNUMBER(E1695)),D1695-E1695,""),"")</f>
        <v/>
      </c>
    </row>
    <row r="1696">
      <c r="A1696" s="7">
        <f>IFERROR(Datos!A1696,"")</f>
        <v/>
      </c>
      <c r="B1696" s="8">
        <f>IFERROR(Datos!B1696,"")</f>
        <v/>
      </c>
      <c r="C1696" s="8">
        <f>IFERROR(Datos!C1696,"")</f>
        <v/>
      </c>
      <c r="D1696" s="28">
        <f>IFERROR(IF(AND(ISNUMBER(B1696),ISNUMBER(B1695),B1695&lt;&gt;0),B1696/B1695-1,""),"")</f>
        <v/>
      </c>
      <c r="E1696" s="28">
        <f>IFERROR(IF(AND(ISNUMBER(C1696),ISNUMBER(C1695),C1695&lt;&gt;0),C1696/C1695-1,""),"")</f>
        <v/>
      </c>
      <c r="F1696" s="28">
        <f>IFERROR(D1696-Dashboard!$B$4/252,"")</f>
        <v/>
      </c>
      <c r="G1696" s="28">
        <f>IFERROR(E1696-Dashboard!$B$4/252,"")</f>
        <v/>
      </c>
      <c r="H1696" s="8">
        <f>IFERROR(IF(ISNUMBER(B1696),MAX(B1696,IFERROR(H1695,B1696)),""),"")</f>
        <v/>
      </c>
      <c r="I1696" s="29">
        <f>IFERROR(IF(AND(ISNUMBER(B1696),ISNUMBER(H1696)),B1696/H1696-1,""),"")</f>
        <v/>
      </c>
      <c r="J1696" s="8">
        <f>IFERROR(IF(ISNUMBER(C1696),MAX(C1696,IFERROR(J1695,C1696)),""),"")</f>
        <v/>
      </c>
      <c r="K1696" s="29">
        <f>IFERROR(IF(AND(ISNUMBER(C1696),ISNUMBER(J1696)),C1696/J1696-1,""),"")</f>
        <v/>
      </c>
      <c r="L1696" s="28">
        <f>IFERROR(IF(AND(ISNUMBER(D1696),ISNUMBER(E1696)),D1696-E1696,""),"")</f>
        <v/>
      </c>
    </row>
    <row r="1697">
      <c r="A1697" s="7">
        <f>IFERROR(Datos!A1697,"")</f>
        <v/>
      </c>
      <c r="B1697" s="8">
        <f>IFERROR(Datos!B1697,"")</f>
        <v/>
      </c>
      <c r="C1697" s="8">
        <f>IFERROR(Datos!C1697,"")</f>
        <v/>
      </c>
      <c r="D1697" s="28">
        <f>IFERROR(IF(AND(ISNUMBER(B1697),ISNUMBER(B1696),B1696&lt;&gt;0),B1697/B1696-1,""),"")</f>
        <v/>
      </c>
      <c r="E1697" s="28">
        <f>IFERROR(IF(AND(ISNUMBER(C1697),ISNUMBER(C1696),C1696&lt;&gt;0),C1697/C1696-1,""),"")</f>
        <v/>
      </c>
      <c r="F1697" s="28">
        <f>IFERROR(D1697-Dashboard!$B$4/252,"")</f>
        <v/>
      </c>
      <c r="G1697" s="28">
        <f>IFERROR(E1697-Dashboard!$B$4/252,"")</f>
        <v/>
      </c>
      <c r="H1697" s="8">
        <f>IFERROR(IF(ISNUMBER(B1697),MAX(B1697,IFERROR(H1696,B1697)),""),"")</f>
        <v/>
      </c>
      <c r="I1697" s="29">
        <f>IFERROR(IF(AND(ISNUMBER(B1697),ISNUMBER(H1697)),B1697/H1697-1,""),"")</f>
        <v/>
      </c>
      <c r="J1697" s="8">
        <f>IFERROR(IF(ISNUMBER(C1697),MAX(C1697,IFERROR(J1696,C1697)),""),"")</f>
        <v/>
      </c>
      <c r="K1697" s="29">
        <f>IFERROR(IF(AND(ISNUMBER(C1697),ISNUMBER(J1697)),C1697/J1697-1,""),"")</f>
        <v/>
      </c>
      <c r="L1697" s="28">
        <f>IFERROR(IF(AND(ISNUMBER(D1697),ISNUMBER(E1697)),D1697-E1697,""),"")</f>
        <v/>
      </c>
    </row>
    <row r="1698">
      <c r="A1698" s="7">
        <f>IFERROR(Datos!A1698,"")</f>
        <v/>
      </c>
      <c r="B1698" s="8">
        <f>IFERROR(Datos!B1698,"")</f>
        <v/>
      </c>
      <c r="C1698" s="8">
        <f>IFERROR(Datos!C1698,"")</f>
        <v/>
      </c>
      <c r="D1698" s="28">
        <f>IFERROR(IF(AND(ISNUMBER(B1698),ISNUMBER(B1697),B1697&lt;&gt;0),B1698/B1697-1,""),"")</f>
        <v/>
      </c>
      <c r="E1698" s="28">
        <f>IFERROR(IF(AND(ISNUMBER(C1698),ISNUMBER(C1697),C1697&lt;&gt;0),C1698/C1697-1,""),"")</f>
        <v/>
      </c>
      <c r="F1698" s="28">
        <f>IFERROR(D1698-Dashboard!$B$4/252,"")</f>
        <v/>
      </c>
      <c r="G1698" s="28">
        <f>IFERROR(E1698-Dashboard!$B$4/252,"")</f>
        <v/>
      </c>
      <c r="H1698" s="8">
        <f>IFERROR(IF(ISNUMBER(B1698),MAX(B1698,IFERROR(H1697,B1698)),""),"")</f>
        <v/>
      </c>
      <c r="I1698" s="29">
        <f>IFERROR(IF(AND(ISNUMBER(B1698),ISNUMBER(H1698)),B1698/H1698-1,""),"")</f>
        <v/>
      </c>
      <c r="J1698" s="8">
        <f>IFERROR(IF(ISNUMBER(C1698),MAX(C1698,IFERROR(J1697,C1698)),""),"")</f>
        <v/>
      </c>
      <c r="K1698" s="29">
        <f>IFERROR(IF(AND(ISNUMBER(C1698),ISNUMBER(J1698)),C1698/J1698-1,""),"")</f>
        <v/>
      </c>
      <c r="L1698" s="28">
        <f>IFERROR(IF(AND(ISNUMBER(D1698),ISNUMBER(E1698)),D1698-E1698,""),"")</f>
        <v/>
      </c>
    </row>
    <row r="1699">
      <c r="A1699" s="7">
        <f>IFERROR(Datos!A1699,"")</f>
        <v/>
      </c>
      <c r="B1699" s="8">
        <f>IFERROR(Datos!B1699,"")</f>
        <v/>
      </c>
      <c r="C1699" s="8">
        <f>IFERROR(Datos!C1699,"")</f>
        <v/>
      </c>
      <c r="D1699" s="28">
        <f>IFERROR(IF(AND(ISNUMBER(B1699),ISNUMBER(B1698),B1698&lt;&gt;0),B1699/B1698-1,""),"")</f>
        <v/>
      </c>
      <c r="E1699" s="28">
        <f>IFERROR(IF(AND(ISNUMBER(C1699),ISNUMBER(C1698),C1698&lt;&gt;0),C1699/C1698-1,""),"")</f>
        <v/>
      </c>
      <c r="F1699" s="28">
        <f>IFERROR(D1699-Dashboard!$B$4/252,"")</f>
        <v/>
      </c>
      <c r="G1699" s="28">
        <f>IFERROR(E1699-Dashboard!$B$4/252,"")</f>
        <v/>
      </c>
      <c r="H1699" s="8">
        <f>IFERROR(IF(ISNUMBER(B1699),MAX(B1699,IFERROR(H1698,B1699)),""),"")</f>
        <v/>
      </c>
      <c r="I1699" s="29">
        <f>IFERROR(IF(AND(ISNUMBER(B1699),ISNUMBER(H1699)),B1699/H1699-1,""),"")</f>
        <v/>
      </c>
      <c r="J1699" s="8">
        <f>IFERROR(IF(ISNUMBER(C1699),MAX(C1699,IFERROR(J1698,C1699)),""),"")</f>
        <v/>
      </c>
      <c r="K1699" s="29">
        <f>IFERROR(IF(AND(ISNUMBER(C1699),ISNUMBER(J1699)),C1699/J1699-1,""),"")</f>
        <v/>
      </c>
      <c r="L1699" s="28">
        <f>IFERROR(IF(AND(ISNUMBER(D1699),ISNUMBER(E1699)),D1699-E1699,""),"")</f>
        <v/>
      </c>
    </row>
    <row r="1700">
      <c r="A1700" s="7">
        <f>IFERROR(Datos!A1700,"")</f>
        <v/>
      </c>
      <c r="B1700" s="8">
        <f>IFERROR(Datos!B1700,"")</f>
        <v/>
      </c>
      <c r="C1700" s="8">
        <f>IFERROR(Datos!C1700,"")</f>
        <v/>
      </c>
      <c r="D1700" s="28">
        <f>IFERROR(IF(AND(ISNUMBER(B1700),ISNUMBER(B1699),B1699&lt;&gt;0),B1700/B1699-1,""),"")</f>
        <v/>
      </c>
      <c r="E1700" s="28">
        <f>IFERROR(IF(AND(ISNUMBER(C1700),ISNUMBER(C1699),C1699&lt;&gt;0),C1700/C1699-1,""),"")</f>
        <v/>
      </c>
      <c r="F1700" s="28">
        <f>IFERROR(D1700-Dashboard!$B$4/252,"")</f>
        <v/>
      </c>
      <c r="G1700" s="28">
        <f>IFERROR(E1700-Dashboard!$B$4/252,"")</f>
        <v/>
      </c>
      <c r="H1700" s="8">
        <f>IFERROR(IF(ISNUMBER(B1700),MAX(B1700,IFERROR(H1699,B1700)),""),"")</f>
        <v/>
      </c>
      <c r="I1700" s="29">
        <f>IFERROR(IF(AND(ISNUMBER(B1700),ISNUMBER(H1700)),B1700/H1700-1,""),"")</f>
        <v/>
      </c>
      <c r="J1700" s="8">
        <f>IFERROR(IF(ISNUMBER(C1700),MAX(C1700,IFERROR(J1699,C1700)),""),"")</f>
        <v/>
      </c>
      <c r="K1700" s="29">
        <f>IFERROR(IF(AND(ISNUMBER(C1700),ISNUMBER(J1700)),C1700/J1700-1,""),"")</f>
        <v/>
      </c>
      <c r="L1700" s="28">
        <f>IFERROR(IF(AND(ISNUMBER(D1700),ISNUMBER(E1700)),D1700-E1700,""),"")</f>
        <v/>
      </c>
    </row>
    <row r="1701">
      <c r="A1701" s="7">
        <f>IFERROR(Datos!A1701,"")</f>
        <v/>
      </c>
      <c r="B1701" s="8">
        <f>IFERROR(Datos!B1701,"")</f>
        <v/>
      </c>
      <c r="C1701" s="8">
        <f>IFERROR(Datos!C1701,"")</f>
        <v/>
      </c>
      <c r="D1701" s="28">
        <f>IFERROR(IF(AND(ISNUMBER(B1701),ISNUMBER(B1700),B1700&lt;&gt;0),B1701/B1700-1,""),"")</f>
        <v/>
      </c>
      <c r="E1701" s="28">
        <f>IFERROR(IF(AND(ISNUMBER(C1701),ISNUMBER(C1700),C1700&lt;&gt;0),C1701/C1700-1,""),"")</f>
        <v/>
      </c>
      <c r="F1701" s="28">
        <f>IFERROR(D1701-Dashboard!$B$4/252,"")</f>
        <v/>
      </c>
      <c r="G1701" s="28">
        <f>IFERROR(E1701-Dashboard!$B$4/252,"")</f>
        <v/>
      </c>
      <c r="H1701" s="8">
        <f>IFERROR(IF(ISNUMBER(B1701),MAX(B1701,IFERROR(H1700,B1701)),""),"")</f>
        <v/>
      </c>
      <c r="I1701" s="29">
        <f>IFERROR(IF(AND(ISNUMBER(B1701),ISNUMBER(H1701)),B1701/H1701-1,""),"")</f>
        <v/>
      </c>
      <c r="J1701" s="8">
        <f>IFERROR(IF(ISNUMBER(C1701),MAX(C1701,IFERROR(J1700,C1701)),""),"")</f>
        <v/>
      </c>
      <c r="K1701" s="29">
        <f>IFERROR(IF(AND(ISNUMBER(C1701),ISNUMBER(J1701)),C1701/J1701-1,""),"")</f>
        <v/>
      </c>
      <c r="L1701" s="28">
        <f>IFERROR(IF(AND(ISNUMBER(D1701),ISNUMBER(E1701)),D1701-E1701,""),"")</f>
        <v/>
      </c>
    </row>
    <row r="1702">
      <c r="A1702" s="7">
        <f>IFERROR(Datos!A1702,"")</f>
        <v/>
      </c>
      <c r="B1702" s="8">
        <f>IFERROR(Datos!B1702,"")</f>
        <v/>
      </c>
      <c r="C1702" s="8">
        <f>IFERROR(Datos!C1702,"")</f>
        <v/>
      </c>
      <c r="D1702" s="28">
        <f>IFERROR(IF(AND(ISNUMBER(B1702),ISNUMBER(B1701),B1701&lt;&gt;0),B1702/B1701-1,""),"")</f>
        <v/>
      </c>
      <c r="E1702" s="28">
        <f>IFERROR(IF(AND(ISNUMBER(C1702),ISNUMBER(C1701),C1701&lt;&gt;0),C1702/C1701-1,""),"")</f>
        <v/>
      </c>
      <c r="F1702" s="28">
        <f>IFERROR(D1702-Dashboard!$B$4/252,"")</f>
        <v/>
      </c>
      <c r="G1702" s="28">
        <f>IFERROR(E1702-Dashboard!$B$4/252,"")</f>
        <v/>
      </c>
      <c r="H1702" s="8">
        <f>IFERROR(IF(ISNUMBER(B1702),MAX(B1702,IFERROR(H1701,B1702)),""),"")</f>
        <v/>
      </c>
      <c r="I1702" s="29">
        <f>IFERROR(IF(AND(ISNUMBER(B1702),ISNUMBER(H1702)),B1702/H1702-1,""),"")</f>
        <v/>
      </c>
      <c r="J1702" s="8">
        <f>IFERROR(IF(ISNUMBER(C1702),MAX(C1702,IFERROR(J1701,C1702)),""),"")</f>
        <v/>
      </c>
      <c r="K1702" s="29">
        <f>IFERROR(IF(AND(ISNUMBER(C1702),ISNUMBER(J1702)),C1702/J1702-1,""),"")</f>
        <v/>
      </c>
      <c r="L1702" s="28">
        <f>IFERROR(IF(AND(ISNUMBER(D1702),ISNUMBER(E1702)),D1702-E1702,""),"")</f>
        <v/>
      </c>
    </row>
    <row r="1703">
      <c r="A1703" s="7">
        <f>IFERROR(Datos!A1703,"")</f>
        <v/>
      </c>
      <c r="B1703" s="8">
        <f>IFERROR(Datos!B1703,"")</f>
        <v/>
      </c>
      <c r="C1703" s="8">
        <f>IFERROR(Datos!C1703,"")</f>
        <v/>
      </c>
      <c r="D1703" s="28">
        <f>IFERROR(IF(AND(ISNUMBER(B1703),ISNUMBER(B1702),B1702&lt;&gt;0),B1703/B1702-1,""),"")</f>
        <v/>
      </c>
      <c r="E1703" s="28">
        <f>IFERROR(IF(AND(ISNUMBER(C1703),ISNUMBER(C1702),C1702&lt;&gt;0),C1703/C1702-1,""),"")</f>
        <v/>
      </c>
      <c r="F1703" s="28">
        <f>IFERROR(D1703-Dashboard!$B$4/252,"")</f>
        <v/>
      </c>
      <c r="G1703" s="28">
        <f>IFERROR(E1703-Dashboard!$B$4/252,"")</f>
        <v/>
      </c>
      <c r="H1703" s="8">
        <f>IFERROR(IF(ISNUMBER(B1703),MAX(B1703,IFERROR(H1702,B1703)),""),"")</f>
        <v/>
      </c>
      <c r="I1703" s="29">
        <f>IFERROR(IF(AND(ISNUMBER(B1703),ISNUMBER(H1703)),B1703/H1703-1,""),"")</f>
        <v/>
      </c>
      <c r="J1703" s="8">
        <f>IFERROR(IF(ISNUMBER(C1703),MAX(C1703,IFERROR(J1702,C1703)),""),"")</f>
        <v/>
      </c>
      <c r="K1703" s="29">
        <f>IFERROR(IF(AND(ISNUMBER(C1703),ISNUMBER(J1703)),C1703/J1703-1,""),"")</f>
        <v/>
      </c>
      <c r="L1703" s="28">
        <f>IFERROR(IF(AND(ISNUMBER(D1703),ISNUMBER(E1703)),D1703-E1703,""),"")</f>
        <v/>
      </c>
    </row>
    <row r="1704">
      <c r="A1704" s="7">
        <f>IFERROR(Datos!A1704,"")</f>
        <v/>
      </c>
      <c r="B1704" s="8">
        <f>IFERROR(Datos!B1704,"")</f>
        <v/>
      </c>
      <c r="C1704" s="8">
        <f>IFERROR(Datos!C1704,"")</f>
        <v/>
      </c>
      <c r="D1704" s="28">
        <f>IFERROR(IF(AND(ISNUMBER(B1704),ISNUMBER(B1703),B1703&lt;&gt;0),B1704/B1703-1,""),"")</f>
        <v/>
      </c>
      <c r="E1704" s="28">
        <f>IFERROR(IF(AND(ISNUMBER(C1704),ISNUMBER(C1703),C1703&lt;&gt;0),C1704/C1703-1,""),"")</f>
        <v/>
      </c>
      <c r="F1704" s="28">
        <f>IFERROR(D1704-Dashboard!$B$4/252,"")</f>
        <v/>
      </c>
      <c r="G1704" s="28">
        <f>IFERROR(E1704-Dashboard!$B$4/252,"")</f>
        <v/>
      </c>
      <c r="H1704" s="8">
        <f>IFERROR(IF(ISNUMBER(B1704),MAX(B1704,IFERROR(H1703,B1704)),""),"")</f>
        <v/>
      </c>
      <c r="I1704" s="29">
        <f>IFERROR(IF(AND(ISNUMBER(B1704),ISNUMBER(H1704)),B1704/H1704-1,""),"")</f>
        <v/>
      </c>
      <c r="J1704" s="8">
        <f>IFERROR(IF(ISNUMBER(C1704),MAX(C1704,IFERROR(J1703,C1704)),""),"")</f>
        <v/>
      </c>
      <c r="K1704" s="29">
        <f>IFERROR(IF(AND(ISNUMBER(C1704),ISNUMBER(J1704)),C1704/J1704-1,""),"")</f>
        <v/>
      </c>
      <c r="L1704" s="28">
        <f>IFERROR(IF(AND(ISNUMBER(D1704),ISNUMBER(E1704)),D1704-E1704,""),"")</f>
        <v/>
      </c>
    </row>
    <row r="1705">
      <c r="A1705" s="7">
        <f>IFERROR(Datos!A1705,"")</f>
        <v/>
      </c>
      <c r="B1705" s="8">
        <f>IFERROR(Datos!B1705,"")</f>
        <v/>
      </c>
      <c r="C1705" s="8">
        <f>IFERROR(Datos!C1705,"")</f>
        <v/>
      </c>
      <c r="D1705" s="28">
        <f>IFERROR(IF(AND(ISNUMBER(B1705),ISNUMBER(B1704),B1704&lt;&gt;0),B1705/B1704-1,""),"")</f>
        <v/>
      </c>
      <c r="E1705" s="28">
        <f>IFERROR(IF(AND(ISNUMBER(C1705),ISNUMBER(C1704),C1704&lt;&gt;0),C1705/C1704-1,""),"")</f>
        <v/>
      </c>
      <c r="F1705" s="28">
        <f>IFERROR(D1705-Dashboard!$B$4/252,"")</f>
        <v/>
      </c>
      <c r="G1705" s="28">
        <f>IFERROR(E1705-Dashboard!$B$4/252,"")</f>
        <v/>
      </c>
      <c r="H1705" s="8">
        <f>IFERROR(IF(ISNUMBER(B1705),MAX(B1705,IFERROR(H1704,B1705)),""),"")</f>
        <v/>
      </c>
      <c r="I1705" s="29">
        <f>IFERROR(IF(AND(ISNUMBER(B1705),ISNUMBER(H1705)),B1705/H1705-1,""),"")</f>
        <v/>
      </c>
      <c r="J1705" s="8">
        <f>IFERROR(IF(ISNUMBER(C1705),MAX(C1705,IFERROR(J1704,C1705)),""),"")</f>
        <v/>
      </c>
      <c r="K1705" s="29">
        <f>IFERROR(IF(AND(ISNUMBER(C1705),ISNUMBER(J1705)),C1705/J1705-1,""),"")</f>
        <v/>
      </c>
      <c r="L1705" s="28">
        <f>IFERROR(IF(AND(ISNUMBER(D1705),ISNUMBER(E1705)),D1705-E1705,""),"")</f>
        <v/>
      </c>
    </row>
    <row r="1706">
      <c r="A1706" s="7">
        <f>IFERROR(Datos!A1706,"")</f>
        <v/>
      </c>
      <c r="B1706" s="8">
        <f>IFERROR(Datos!B1706,"")</f>
        <v/>
      </c>
      <c r="C1706" s="8">
        <f>IFERROR(Datos!C1706,"")</f>
        <v/>
      </c>
      <c r="D1706" s="28">
        <f>IFERROR(IF(AND(ISNUMBER(B1706),ISNUMBER(B1705),B1705&lt;&gt;0),B1706/B1705-1,""),"")</f>
        <v/>
      </c>
      <c r="E1706" s="28">
        <f>IFERROR(IF(AND(ISNUMBER(C1706),ISNUMBER(C1705),C1705&lt;&gt;0),C1706/C1705-1,""),"")</f>
        <v/>
      </c>
      <c r="F1706" s="28">
        <f>IFERROR(D1706-Dashboard!$B$4/252,"")</f>
        <v/>
      </c>
      <c r="G1706" s="28">
        <f>IFERROR(E1706-Dashboard!$B$4/252,"")</f>
        <v/>
      </c>
      <c r="H1706" s="8">
        <f>IFERROR(IF(ISNUMBER(B1706),MAX(B1706,IFERROR(H1705,B1706)),""),"")</f>
        <v/>
      </c>
      <c r="I1706" s="29">
        <f>IFERROR(IF(AND(ISNUMBER(B1706),ISNUMBER(H1706)),B1706/H1706-1,""),"")</f>
        <v/>
      </c>
      <c r="J1706" s="8">
        <f>IFERROR(IF(ISNUMBER(C1706),MAX(C1706,IFERROR(J1705,C1706)),""),"")</f>
        <v/>
      </c>
      <c r="K1706" s="29">
        <f>IFERROR(IF(AND(ISNUMBER(C1706),ISNUMBER(J1706)),C1706/J1706-1,""),"")</f>
        <v/>
      </c>
      <c r="L1706" s="28">
        <f>IFERROR(IF(AND(ISNUMBER(D1706),ISNUMBER(E1706)),D1706-E1706,""),"")</f>
        <v/>
      </c>
    </row>
    <row r="1707">
      <c r="A1707" s="7">
        <f>IFERROR(Datos!A1707,"")</f>
        <v/>
      </c>
      <c r="B1707" s="8">
        <f>IFERROR(Datos!B1707,"")</f>
        <v/>
      </c>
      <c r="C1707" s="8">
        <f>IFERROR(Datos!C1707,"")</f>
        <v/>
      </c>
      <c r="D1707" s="28">
        <f>IFERROR(IF(AND(ISNUMBER(B1707),ISNUMBER(B1706),B1706&lt;&gt;0),B1707/B1706-1,""),"")</f>
        <v/>
      </c>
      <c r="E1707" s="28">
        <f>IFERROR(IF(AND(ISNUMBER(C1707),ISNUMBER(C1706),C1706&lt;&gt;0),C1707/C1706-1,""),"")</f>
        <v/>
      </c>
      <c r="F1707" s="28">
        <f>IFERROR(D1707-Dashboard!$B$4/252,"")</f>
        <v/>
      </c>
      <c r="G1707" s="28">
        <f>IFERROR(E1707-Dashboard!$B$4/252,"")</f>
        <v/>
      </c>
      <c r="H1707" s="8">
        <f>IFERROR(IF(ISNUMBER(B1707),MAX(B1707,IFERROR(H1706,B1707)),""),"")</f>
        <v/>
      </c>
      <c r="I1707" s="29">
        <f>IFERROR(IF(AND(ISNUMBER(B1707),ISNUMBER(H1707)),B1707/H1707-1,""),"")</f>
        <v/>
      </c>
      <c r="J1707" s="8">
        <f>IFERROR(IF(ISNUMBER(C1707),MAX(C1707,IFERROR(J1706,C1707)),""),"")</f>
        <v/>
      </c>
      <c r="K1707" s="29">
        <f>IFERROR(IF(AND(ISNUMBER(C1707),ISNUMBER(J1707)),C1707/J1707-1,""),"")</f>
        <v/>
      </c>
      <c r="L1707" s="28">
        <f>IFERROR(IF(AND(ISNUMBER(D1707),ISNUMBER(E1707)),D1707-E1707,""),"")</f>
        <v/>
      </c>
    </row>
    <row r="1708">
      <c r="A1708" s="7">
        <f>IFERROR(Datos!A1708,"")</f>
        <v/>
      </c>
      <c r="B1708" s="8">
        <f>IFERROR(Datos!B1708,"")</f>
        <v/>
      </c>
      <c r="C1708" s="8">
        <f>IFERROR(Datos!C1708,"")</f>
        <v/>
      </c>
      <c r="D1708" s="28">
        <f>IFERROR(IF(AND(ISNUMBER(B1708),ISNUMBER(B1707),B1707&lt;&gt;0),B1708/B1707-1,""),"")</f>
        <v/>
      </c>
      <c r="E1708" s="28">
        <f>IFERROR(IF(AND(ISNUMBER(C1708),ISNUMBER(C1707),C1707&lt;&gt;0),C1708/C1707-1,""),"")</f>
        <v/>
      </c>
      <c r="F1708" s="28">
        <f>IFERROR(D1708-Dashboard!$B$4/252,"")</f>
        <v/>
      </c>
      <c r="G1708" s="28">
        <f>IFERROR(E1708-Dashboard!$B$4/252,"")</f>
        <v/>
      </c>
      <c r="H1708" s="8">
        <f>IFERROR(IF(ISNUMBER(B1708),MAX(B1708,IFERROR(H1707,B1708)),""),"")</f>
        <v/>
      </c>
      <c r="I1708" s="29">
        <f>IFERROR(IF(AND(ISNUMBER(B1708),ISNUMBER(H1708)),B1708/H1708-1,""),"")</f>
        <v/>
      </c>
      <c r="J1708" s="8">
        <f>IFERROR(IF(ISNUMBER(C1708),MAX(C1708,IFERROR(J1707,C1708)),""),"")</f>
        <v/>
      </c>
      <c r="K1708" s="29">
        <f>IFERROR(IF(AND(ISNUMBER(C1708),ISNUMBER(J1708)),C1708/J1708-1,""),"")</f>
        <v/>
      </c>
      <c r="L1708" s="28">
        <f>IFERROR(IF(AND(ISNUMBER(D1708),ISNUMBER(E1708)),D1708-E1708,""),"")</f>
        <v/>
      </c>
    </row>
    <row r="1709">
      <c r="A1709" s="7">
        <f>IFERROR(Datos!A1709,"")</f>
        <v/>
      </c>
      <c r="B1709" s="8">
        <f>IFERROR(Datos!B1709,"")</f>
        <v/>
      </c>
      <c r="C1709" s="8">
        <f>IFERROR(Datos!C1709,"")</f>
        <v/>
      </c>
      <c r="D1709" s="28">
        <f>IFERROR(IF(AND(ISNUMBER(B1709),ISNUMBER(B1708),B1708&lt;&gt;0),B1709/B1708-1,""),"")</f>
        <v/>
      </c>
      <c r="E1709" s="28">
        <f>IFERROR(IF(AND(ISNUMBER(C1709),ISNUMBER(C1708),C1708&lt;&gt;0),C1709/C1708-1,""),"")</f>
        <v/>
      </c>
      <c r="F1709" s="28">
        <f>IFERROR(D1709-Dashboard!$B$4/252,"")</f>
        <v/>
      </c>
      <c r="G1709" s="28">
        <f>IFERROR(E1709-Dashboard!$B$4/252,"")</f>
        <v/>
      </c>
      <c r="H1709" s="8">
        <f>IFERROR(IF(ISNUMBER(B1709),MAX(B1709,IFERROR(H1708,B1709)),""),"")</f>
        <v/>
      </c>
      <c r="I1709" s="29">
        <f>IFERROR(IF(AND(ISNUMBER(B1709),ISNUMBER(H1709)),B1709/H1709-1,""),"")</f>
        <v/>
      </c>
      <c r="J1709" s="8">
        <f>IFERROR(IF(ISNUMBER(C1709),MAX(C1709,IFERROR(J1708,C1709)),""),"")</f>
        <v/>
      </c>
      <c r="K1709" s="29">
        <f>IFERROR(IF(AND(ISNUMBER(C1709),ISNUMBER(J1709)),C1709/J1709-1,""),"")</f>
        <v/>
      </c>
      <c r="L1709" s="28">
        <f>IFERROR(IF(AND(ISNUMBER(D1709),ISNUMBER(E1709)),D1709-E1709,""),"")</f>
        <v/>
      </c>
    </row>
    <row r="1710">
      <c r="A1710" s="7">
        <f>IFERROR(Datos!A1710,"")</f>
        <v/>
      </c>
      <c r="B1710" s="8">
        <f>IFERROR(Datos!B1710,"")</f>
        <v/>
      </c>
      <c r="C1710" s="8">
        <f>IFERROR(Datos!C1710,"")</f>
        <v/>
      </c>
      <c r="D1710" s="28">
        <f>IFERROR(IF(AND(ISNUMBER(B1710),ISNUMBER(B1709),B1709&lt;&gt;0),B1710/B1709-1,""),"")</f>
        <v/>
      </c>
      <c r="E1710" s="28">
        <f>IFERROR(IF(AND(ISNUMBER(C1710),ISNUMBER(C1709),C1709&lt;&gt;0),C1710/C1709-1,""),"")</f>
        <v/>
      </c>
      <c r="F1710" s="28">
        <f>IFERROR(D1710-Dashboard!$B$4/252,"")</f>
        <v/>
      </c>
      <c r="G1710" s="28">
        <f>IFERROR(E1710-Dashboard!$B$4/252,"")</f>
        <v/>
      </c>
      <c r="H1710" s="8">
        <f>IFERROR(IF(ISNUMBER(B1710),MAX(B1710,IFERROR(H1709,B1710)),""),"")</f>
        <v/>
      </c>
      <c r="I1710" s="29">
        <f>IFERROR(IF(AND(ISNUMBER(B1710),ISNUMBER(H1710)),B1710/H1710-1,""),"")</f>
        <v/>
      </c>
      <c r="J1710" s="8">
        <f>IFERROR(IF(ISNUMBER(C1710),MAX(C1710,IFERROR(J1709,C1710)),""),"")</f>
        <v/>
      </c>
      <c r="K1710" s="29">
        <f>IFERROR(IF(AND(ISNUMBER(C1710),ISNUMBER(J1710)),C1710/J1710-1,""),"")</f>
        <v/>
      </c>
      <c r="L1710" s="28">
        <f>IFERROR(IF(AND(ISNUMBER(D1710),ISNUMBER(E1710)),D1710-E1710,""),"")</f>
        <v/>
      </c>
    </row>
    <row r="1711">
      <c r="A1711" s="7">
        <f>IFERROR(Datos!A1711,"")</f>
        <v/>
      </c>
      <c r="B1711" s="8">
        <f>IFERROR(Datos!B1711,"")</f>
        <v/>
      </c>
      <c r="C1711" s="8">
        <f>IFERROR(Datos!C1711,"")</f>
        <v/>
      </c>
      <c r="D1711" s="28">
        <f>IFERROR(IF(AND(ISNUMBER(B1711),ISNUMBER(B1710),B1710&lt;&gt;0),B1711/B1710-1,""),"")</f>
        <v/>
      </c>
      <c r="E1711" s="28">
        <f>IFERROR(IF(AND(ISNUMBER(C1711),ISNUMBER(C1710),C1710&lt;&gt;0),C1711/C1710-1,""),"")</f>
        <v/>
      </c>
      <c r="F1711" s="28">
        <f>IFERROR(D1711-Dashboard!$B$4/252,"")</f>
        <v/>
      </c>
      <c r="G1711" s="28">
        <f>IFERROR(E1711-Dashboard!$B$4/252,"")</f>
        <v/>
      </c>
      <c r="H1711" s="8">
        <f>IFERROR(IF(ISNUMBER(B1711),MAX(B1711,IFERROR(H1710,B1711)),""),"")</f>
        <v/>
      </c>
      <c r="I1711" s="29">
        <f>IFERROR(IF(AND(ISNUMBER(B1711),ISNUMBER(H1711)),B1711/H1711-1,""),"")</f>
        <v/>
      </c>
      <c r="J1711" s="8">
        <f>IFERROR(IF(ISNUMBER(C1711),MAX(C1711,IFERROR(J1710,C1711)),""),"")</f>
        <v/>
      </c>
      <c r="K1711" s="29">
        <f>IFERROR(IF(AND(ISNUMBER(C1711),ISNUMBER(J1711)),C1711/J1711-1,""),"")</f>
        <v/>
      </c>
      <c r="L1711" s="28">
        <f>IFERROR(IF(AND(ISNUMBER(D1711),ISNUMBER(E1711)),D1711-E1711,""),"")</f>
        <v/>
      </c>
    </row>
    <row r="1712">
      <c r="A1712" s="7">
        <f>IFERROR(Datos!A1712,"")</f>
        <v/>
      </c>
      <c r="B1712" s="8">
        <f>IFERROR(Datos!B1712,"")</f>
        <v/>
      </c>
      <c r="C1712" s="8">
        <f>IFERROR(Datos!C1712,"")</f>
        <v/>
      </c>
      <c r="D1712" s="28">
        <f>IFERROR(IF(AND(ISNUMBER(B1712),ISNUMBER(B1711),B1711&lt;&gt;0),B1712/B1711-1,""),"")</f>
        <v/>
      </c>
      <c r="E1712" s="28">
        <f>IFERROR(IF(AND(ISNUMBER(C1712),ISNUMBER(C1711),C1711&lt;&gt;0),C1712/C1711-1,""),"")</f>
        <v/>
      </c>
      <c r="F1712" s="28">
        <f>IFERROR(D1712-Dashboard!$B$4/252,"")</f>
        <v/>
      </c>
      <c r="G1712" s="28">
        <f>IFERROR(E1712-Dashboard!$B$4/252,"")</f>
        <v/>
      </c>
      <c r="H1712" s="8">
        <f>IFERROR(IF(ISNUMBER(B1712),MAX(B1712,IFERROR(H1711,B1712)),""),"")</f>
        <v/>
      </c>
      <c r="I1712" s="29">
        <f>IFERROR(IF(AND(ISNUMBER(B1712),ISNUMBER(H1712)),B1712/H1712-1,""),"")</f>
        <v/>
      </c>
      <c r="J1712" s="8">
        <f>IFERROR(IF(ISNUMBER(C1712),MAX(C1712,IFERROR(J1711,C1712)),""),"")</f>
        <v/>
      </c>
      <c r="K1712" s="29">
        <f>IFERROR(IF(AND(ISNUMBER(C1712),ISNUMBER(J1712)),C1712/J1712-1,""),"")</f>
        <v/>
      </c>
      <c r="L1712" s="28">
        <f>IFERROR(IF(AND(ISNUMBER(D1712),ISNUMBER(E1712)),D1712-E1712,""),"")</f>
        <v/>
      </c>
    </row>
    <row r="1713">
      <c r="A1713" s="7">
        <f>IFERROR(Datos!A1713,"")</f>
        <v/>
      </c>
      <c r="B1713" s="8">
        <f>IFERROR(Datos!B1713,"")</f>
        <v/>
      </c>
      <c r="C1713" s="8">
        <f>IFERROR(Datos!C1713,"")</f>
        <v/>
      </c>
      <c r="D1713" s="28">
        <f>IFERROR(IF(AND(ISNUMBER(B1713),ISNUMBER(B1712),B1712&lt;&gt;0),B1713/B1712-1,""),"")</f>
        <v/>
      </c>
      <c r="E1713" s="28">
        <f>IFERROR(IF(AND(ISNUMBER(C1713),ISNUMBER(C1712),C1712&lt;&gt;0),C1713/C1712-1,""),"")</f>
        <v/>
      </c>
      <c r="F1713" s="28">
        <f>IFERROR(D1713-Dashboard!$B$4/252,"")</f>
        <v/>
      </c>
      <c r="G1713" s="28">
        <f>IFERROR(E1713-Dashboard!$B$4/252,"")</f>
        <v/>
      </c>
      <c r="H1713" s="8">
        <f>IFERROR(IF(ISNUMBER(B1713),MAX(B1713,IFERROR(H1712,B1713)),""),"")</f>
        <v/>
      </c>
      <c r="I1713" s="29">
        <f>IFERROR(IF(AND(ISNUMBER(B1713),ISNUMBER(H1713)),B1713/H1713-1,""),"")</f>
        <v/>
      </c>
      <c r="J1713" s="8">
        <f>IFERROR(IF(ISNUMBER(C1713),MAX(C1713,IFERROR(J1712,C1713)),""),"")</f>
        <v/>
      </c>
      <c r="K1713" s="29">
        <f>IFERROR(IF(AND(ISNUMBER(C1713),ISNUMBER(J1713)),C1713/J1713-1,""),"")</f>
        <v/>
      </c>
      <c r="L1713" s="28">
        <f>IFERROR(IF(AND(ISNUMBER(D1713),ISNUMBER(E1713)),D1713-E1713,""),"")</f>
        <v/>
      </c>
    </row>
    <row r="1714">
      <c r="A1714" s="7">
        <f>IFERROR(Datos!A1714,"")</f>
        <v/>
      </c>
      <c r="B1714" s="8">
        <f>IFERROR(Datos!B1714,"")</f>
        <v/>
      </c>
      <c r="C1714" s="8">
        <f>IFERROR(Datos!C1714,"")</f>
        <v/>
      </c>
      <c r="D1714" s="28">
        <f>IFERROR(IF(AND(ISNUMBER(B1714),ISNUMBER(B1713),B1713&lt;&gt;0),B1714/B1713-1,""),"")</f>
        <v/>
      </c>
      <c r="E1714" s="28">
        <f>IFERROR(IF(AND(ISNUMBER(C1714),ISNUMBER(C1713),C1713&lt;&gt;0),C1714/C1713-1,""),"")</f>
        <v/>
      </c>
      <c r="F1714" s="28">
        <f>IFERROR(D1714-Dashboard!$B$4/252,"")</f>
        <v/>
      </c>
      <c r="G1714" s="28">
        <f>IFERROR(E1714-Dashboard!$B$4/252,"")</f>
        <v/>
      </c>
      <c r="H1714" s="8">
        <f>IFERROR(IF(ISNUMBER(B1714),MAX(B1714,IFERROR(H1713,B1714)),""),"")</f>
        <v/>
      </c>
      <c r="I1714" s="29">
        <f>IFERROR(IF(AND(ISNUMBER(B1714),ISNUMBER(H1714)),B1714/H1714-1,""),"")</f>
        <v/>
      </c>
      <c r="J1714" s="8">
        <f>IFERROR(IF(ISNUMBER(C1714),MAX(C1714,IFERROR(J1713,C1714)),""),"")</f>
        <v/>
      </c>
      <c r="K1714" s="29">
        <f>IFERROR(IF(AND(ISNUMBER(C1714),ISNUMBER(J1714)),C1714/J1714-1,""),"")</f>
        <v/>
      </c>
      <c r="L1714" s="28">
        <f>IFERROR(IF(AND(ISNUMBER(D1714),ISNUMBER(E1714)),D1714-E1714,""),"")</f>
        <v/>
      </c>
    </row>
    <row r="1715">
      <c r="A1715" s="7">
        <f>IFERROR(Datos!A1715,"")</f>
        <v/>
      </c>
      <c r="B1715" s="8">
        <f>IFERROR(Datos!B1715,"")</f>
        <v/>
      </c>
      <c r="C1715" s="8">
        <f>IFERROR(Datos!C1715,"")</f>
        <v/>
      </c>
      <c r="D1715" s="28">
        <f>IFERROR(IF(AND(ISNUMBER(B1715),ISNUMBER(B1714),B1714&lt;&gt;0),B1715/B1714-1,""),"")</f>
        <v/>
      </c>
      <c r="E1715" s="28">
        <f>IFERROR(IF(AND(ISNUMBER(C1715),ISNUMBER(C1714),C1714&lt;&gt;0),C1715/C1714-1,""),"")</f>
        <v/>
      </c>
      <c r="F1715" s="28">
        <f>IFERROR(D1715-Dashboard!$B$4/252,"")</f>
        <v/>
      </c>
      <c r="G1715" s="28">
        <f>IFERROR(E1715-Dashboard!$B$4/252,"")</f>
        <v/>
      </c>
      <c r="H1715" s="8">
        <f>IFERROR(IF(ISNUMBER(B1715),MAX(B1715,IFERROR(H1714,B1715)),""),"")</f>
        <v/>
      </c>
      <c r="I1715" s="29">
        <f>IFERROR(IF(AND(ISNUMBER(B1715),ISNUMBER(H1715)),B1715/H1715-1,""),"")</f>
        <v/>
      </c>
      <c r="J1715" s="8">
        <f>IFERROR(IF(ISNUMBER(C1715),MAX(C1715,IFERROR(J1714,C1715)),""),"")</f>
        <v/>
      </c>
      <c r="K1715" s="29">
        <f>IFERROR(IF(AND(ISNUMBER(C1715),ISNUMBER(J1715)),C1715/J1715-1,""),"")</f>
        <v/>
      </c>
      <c r="L1715" s="28">
        <f>IFERROR(IF(AND(ISNUMBER(D1715),ISNUMBER(E1715)),D1715-E1715,""),"")</f>
        <v/>
      </c>
    </row>
    <row r="1716">
      <c r="A1716" s="7">
        <f>IFERROR(Datos!A1716,"")</f>
        <v/>
      </c>
      <c r="B1716" s="8">
        <f>IFERROR(Datos!B1716,"")</f>
        <v/>
      </c>
      <c r="C1716" s="8">
        <f>IFERROR(Datos!C1716,"")</f>
        <v/>
      </c>
      <c r="D1716" s="28">
        <f>IFERROR(IF(AND(ISNUMBER(B1716),ISNUMBER(B1715),B1715&lt;&gt;0),B1716/B1715-1,""),"")</f>
        <v/>
      </c>
      <c r="E1716" s="28">
        <f>IFERROR(IF(AND(ISNUMBER(C1716),ISNUMBER(C1715),C1715&lt;&gt;0),C1716/C1715-1,""),"")</f>
        <v/>
      </c>
      <c r="F1716" s="28">
        <f>IFERROR(D1716-Dashboard!$B$4/252,"")</f>
        <v/>
      </c>
      <c r="G1716" s="28">
        <f>IFERROR(E1716-Dashboard!$B$4/252,"")</f>
        <v/>
      </c>
      <c r="H1716" s="8">
        <f>IFERROR(IF(ISNUMBER(B1716),MAX(B1716,IFERROR(H1715,B1716)),""),"")</f>
        <v/>
      </c>
      <c r="I1716" s="29">
        <f>IFERROR(IF(AND(ISNUMBER(B1716),ISNUMBER(H1716)),B1716/H1716-1,""),"")</f>
        <v/>
      </c>
      <c r="J1716" s="8">
        <f>IFERROR(IF(ISNUMBER(C1716),MAX(C1716,IFERROR(J1715,C1716)),""),"")</f>
        <v/>
      </c>
      <c r="K1716" s="29">
        <f>IFERROR(IF(AND(ISNUMBER(C1716),ISNUMBER(J1716)),C1716/J1716-1,""),"")</f>
        <v/>
      </c>
      <c r="L1716" s="28">
        <f>IFERROR(IF(AND(ISNUMBER(D1716),ISNUMBER(E1716)),D1716-E1716,""),"")</f>
        <v/>
      </c>
    </row>
    <row r="1717">
      <c r="A1717" s="7">
        <f>IFERROR(Datos!A1717,"")</f>
        <v/>
      </c>
      <c r="B1717" s="8">
        <f>IFERROR(Datos!B1717,"")</f>
        <v/>
      </c>
      <c r="C1717" s="8">
        <f>IFERROR(Datos!C1717,"")</f>
        <v/>
      </c>
      <c r="D1717" s="28">
        <f>IFERROR(IF(AND(ISNUMBER(B1717),ISNUMBER(B1716),B1716&lt;&gt;0),B1717/B1716-1,""),"")</f>
        <v/>
      </c>
      <c r="E1717" s="28">
        <f>IFERROR(IF(AND(ISNUMBER(C1717),ISNUMBER(C1716),C1716&lt;&gt;0),C1717/C1716-1,""),"")</f>
        <v/>
      </c>
      <c r="F1717" s="28">
        <f>IFERROR(D1717-Dashboard!$B$4/252,"")</f>
        <v/>
      </c>
      <c r="G1717" s="28">
        <f>IFERROR(E1717-Dashboard!$B$4/252,"")</f>
        <v/>
      </c>
      <c r="H1717" s="8">
        <f>IFERROR(IF(ISNUMBER(B1717),MAX(B1717,IFERROR(H1716,B1717)),""),"")</f>
        <v/>
      </c>
      <c r="I1717" s="29">
        <f>IFERROR(IF(AND(ISNUMBER(B1717),ISNUMBER(H1717)),B1717/H1717-1,""),"")</f>
        <v/>
      </c>
      <c r="J1717" s="8">
        <f>IFERROR(IF(ISNUMBER(C1717),MAX(C1717,IFERROR(J1716,C1717)),""),"")</f>
        <v/>
      </c>
      <c r="K1717" s="29">
        <f>IFERROR(IF(AND(ISNUMBER(C1717),ISNUMBER(J1717)),C1717/J1717-1,""),"")</f>
        <v/>
      </c>
      <c r="L1717" s="28">
        <f>IFERROR(IF(AND(ISNUMBER(D1717),ISNUMBER(E1717)),D1717-E1717,""),"")</f>
        <v/>
      </c>
    </row>
    <row r="1718">
      <c r="A1718" s="7">
        <f>IFERROR(Datos!A1718,"")</f>
        <v/>
      </c>
      <c r="B1718" s="8">
        <f>IFERROR(Datos!B1718,"")</f>
        <v/>
      </c>
      <c r="C1718" s="8">
        <f>IFERROR(Datos!C1718,"")</f>
        <v/>
      </c>
      <c r="D1718" s="28">
        <f>IFERROR(IF(AND(ISNUMBER(B1718),ISNUMBER(B1717),B1717&lt;&gt;0),B1718/B1717-1,""),"")</f>
        <v/>
      </c>
      <c r="E1718" s="28">
        <f>IFERROR(IF(AND(ISNUMBER(C1718),ISNUMBER(C1717),C1717&lt;&gt;0),C1718/C1717-1,""),"")</f>
        <v/>
      </c>
      <c r="F1718" s="28">
        <f>IFERROR(D1718-Dashboard!$B$4/252,"")</f>
        <v/>
      </c>
      <c r="G1718" s="28">
        <f>IFERROR(E1718-Dashboard!$B$4/252,"")</f>
        <v/>
      </c>
      <c r="H1718" s="8">
        <f>IFERROR(IF(ISNUMBER(B1718),MAX(B1718,IFERROR(H1717,B1718)),""),"")</f>
        <v/>
      </c>
      <c r="I1718" s="29">
        <f>IFERROR(IF(AND(ISNUMBER(B1718),ISNUMBER(H1718)),B1718/H1718-1,""),"")</f>
        <v/>
      </c>
      <c r="J1718" s="8">
        <f>IFERROR(IF(ISNUMBER(C1718),MAX(C1718,IFERROR(J1717,C1718)),""),"")</f>
        <v/>
      </c>
      <c r="K1718" s="29">
        <f>IFERROR(IF(AND(ISNUMBER(C1718),ISNUMBER(J1718)),C1718/J1718-1,""),"")</f>
        <v/>
      </c>
      <c r="L1718" s="28">
        <f>IFERROR(IF(AND(ISNUMBER(D1718),ISNUMBER(E1718)),D1718-E1718,""),"")</f>
        <v/>
      </c>
    </row>
    <row r="1719">
      <c r="A1719" s="7">
        <f>IFERROR(Datos!A1719,"")</f>
        <v/>
      </c>
      <c r="B1719" s="8">
        <f>IFERROR(Datos!B1719,"")</f>
        <v/>
      </c>
      <c r="C1719" s="8">
        <f>IFERROR(Datos!C1719,"")</f>
        <v/>
      </c>
      <c r="D1719" s="28">
        <f>IFERROR(IF(AND(ISNUMBER(B1719),ISNUMBER(B1718),B1718&lt;&gt;0),B1719/B1718-1,""),"")</f>
        <v/>
      </c>
      <c r="E1719" s="28">
        <f>IFERROR(IF(AND(ISNUMBER(C1719),ISNUMBER(C1718),C1718&lt;&gt;0),C1719/C1718-1,""),"")</f>
        <v/>
      </c>
      <c r="F1719" s="28">
        <f>IFERROR(D1719-Dashboard!$B$4/252,"")</f>
        <v/>
      </c>
      <c r="G1719" s="28">
        <f>IFERROR(E1719-Dashboard!$B$4/252,"")</f>
        <v/>
      </c>
      <c r="H1719" s="8">
        <f>IFERROR(IF(ISNUMBER(B1719),MAX(B1719,IFERROR(H1718,B1719)),""),"")</f>
        <v/>
      </c>
      <c r="I1719" s="29">
        <f>IFERROR(IF(AND(ISNUMBER(B1719),ISNUMBER(H1719)),B1719/H1719-1,""),"")</f>
        <v/>
      </c>
      <c r="J1719" s="8">
        <f>IFERROR(IF(ISNUMBER(C1719),MAX(C1719,IFERROR(J1718,C1719)),""),"")</f>
        <v/>
      </c>
      <c r="K1719" s="29">
        <f>IFERROR(IF(AND(ISNUMBER(C1719),ISNUMBER(J1719)),C1719/J1719-1,""),"")</f>
        <v/>
      </c>
      <c r="L1719" s="28">
        <f>IFERROR(IF(AND(ISNUMBER(D1719),ISNUMBER(E1719)),D1719-E1719,""),"")</f>
        <v/>
      </c>
    </row>
    <row r="1720">
      <c r="A1720" s="7">
        <f>IFERROR(Datos!A1720,"")</f>
        <v/>
      </c>
      <c r="B1720" s="8">
        <f>IFERROR(Datos!B1720,"")</f>
        <v/>
      </c>
      <c r="C1720" s="8">
        <f>IFERROR(Datos!C1720,"")</f>
        <v/>
      </c>
      <c r="D1720" s="28">
        <f>IFERROR(IF(AND(ISNUMBER(B1720),ISNUMBER(B1719),B1719&lt;&gt;0),B1720/B1719-1,""),"")</f>
        <v/>
      </c>
      <c r="E1720" s="28">
        <f>IFERROR(IF(AND(ISNUMBER(C1720),ISNUMBER(C1719),C1719&lt;&gt;0),C1720/C1719-1,""),"")</f>
        <v/>
      </c>
      <c r="F1720" s="28">
        <f>IFERROR(D1720-Dashboard!$B$4/252,"")</f>
        <v/>
      </c>
      <c r="G1720" s="28">
        <f>IFERROR(E1720-Dashboard!$B$4/252,"")</f>
        <v/>
      </c>
      <c r="H1720" s="8">
        <f>IFERROR(IF(ISNUMBER(B1720),MAX(B1720,IFERROR(H1719,B1720)),""),"")</f>
        <v/>
      </c>
      <c r="I1720" s="29">
        <f>IFERROR(IF(AND(ISNUMBER(B1720),ISNUMBER(H1720)),B1720/H1720-1,""),"")</f>
        <v/>
      </c>
      <c r="J1720" s="8">
        <f>IFERROR(IF(ISNUMBER(C1720),MAX(C1720,IFERROR(J1719,C1720)),""),"")</f>
        <v/>
      </c>
      <c r="K1720" s="29">
        <f>IFERROR(IF(AND(ISNUMBER(C1720),ISNUMBER(J1720)),C1720/J1720-1,""),"")</f>
        <v/>
      </c>
      <c r="L1720" s="28">
        <f>IFERROR(IF(AND(ISNUMBER(D1720),ISNUMBER(E1720)),D1720-E1720,""),"")</f>
        <v/>
      </c>
    </row>
    <row r="1721">
      <c r="A1721" s="7">
        <f>IFERROR(Datos!A1721,"")</f>
        <v/>
      </c>
      <c r="B1721" s="8">
        <f>IFERROR(Datos!B1721,"")</f>
        <v/>
      </c>
      <c r="C1721" s="8">
        <f>IFERROR(Datos!C1721,"")</f>
        <v/>
      </c>
      <c r="D1721" s="28">
        <f>IFERROR(IF(AND(ISNUMBER(B1721),ISNUMBER(B1720),B1720&lt;&gt;0),B1721/B1720-1,""),"")</f>
        <v/>
      </c>
      <c r="E1721" s="28">
        <f>IFERROR(IF(AND(ISNUMBER(C1721),ISNUMBER(C1720),C1720&lt;&gt;0),C1721/C1720-1,""),"")</f>
        <v/>
      </c>
      <c r="F1721" s="28">
        <f>IFERROR(D1721-Dashboard!$B$4/252,"")</f>
        <v/>
      </c>
      <c r="G1721" s="28">
        <f>IFERROR(E1721-Dashboard!$B$4/252,"")</f>
        <v/>
      </c>
      <c r="H1721" s="8">
        <f>IFERROR(IF(ISNUMBER(B1721),MAX(B1721,IFERROR(H1720,B1721)),""),"")</f>
        <v/>
      </c>
      <c r="I1721" s="29">
        <f>IFERROR(IF(AND(ISNUMBER(B1721),ISNUMBER(H1721)),B1721/H1721-1,""),"")</f>
        <v/>
      </c>
      <c r="J1721" s="8">
        <f>IFERROR(IF(ISNUMBER(C1721),MAX(C1721,IFERROR(J1720,C1721)),""),"")</f>
        <v/>
      </c>
      <c r="K1721" s="29">
        <f>IFERROR(IF(AND(ISNUMBER(C1721),ISNUMBER(J1721)),C1721/J1721-1,""),"")</f>
        <v/>
      </c>
      <c r="L1721" s="28">
        <f>IFERROR(IF(AND(ISNUMBER(D1721),ISNUMBER(E1721)),D1721-E1721,""),"")</f>
        <v/>
      </c>
    </row>
    <row r="1722">
      <c r="A1722" s="7">
        <f>IFERROR(Datos!A1722,"")</f>
        <v/>
      </c>
      <c r="B1722" s="8">
        <f>IFERROR(Datos!B1722,"")</f>
        <v/>
      </c>
      <c r="C1722" s="8">
        <f>IFERROR(Datos!C1722,"")</f>
        <v/>
      </c>
      <c r="D1722" s="28">
        <f>IFERROR(IF(AND(ISNUMBER(B1722),ISNUMBER(B1721),B1721&lt;&gt;0),B1722/B1721-1,""),"")</f>
        <v/>
      </c>
      <c r="E1722" s="28">
        <f>IFERROR(IF(AND(ISNUMBER(C1722),ISNUMBER(C1721),C1721&lt;&gt;0),C1722/C1721-1,""),"")</f>
        <v/>
      </c>
      <c r="F1722" s="28">
        <f>IFERROR(D1722-Dashboard!$B$4/252,"")</f>
        <v/>
      </c>
      <c r="G1722" s="28">
        <f>IFERROR(E1722-Dashboard!$B$4/252,"")</f>
        <v/>
      </c>
      <c r="H1722" s="8">
        <f>IFERROR(IF(ISNUMBER(B1722),MAX(B1722,IFERROR(H1721,B1722)),""),"")</f>
        <v/>
      </c>
      <c r="I1722" s="29">
        <f>IFERROR(IF(AND(ISNUMBER(B1722),ISNUMBER(H1722)),B1722/H1722-1,""),"")</f>
        <v/>
      </c>
      <c r="J1722" s="8">
        <f>IFERROR(IF(ISNUMBER(C1722),MAX(C1722,IFERROR(J1721,C1722)),""),"")</f>
        <v/>
      </c>
      <c r="K1722" s="29">
        <f>IFERROR(IF(AND(ISNUMBER(C1722),ISNUMBER(J1722)),C1722/J1722-1,""),"")</f>
        <v/>
      </c>
      <c r="L1722" s="28">
        <f>IFERROR(IF(AND(ISNUMBER(D1722),ISNUMBER(E1722)),D1722-E1722,""),"")</f>
        <v/>
      </c>
    </row>
    <row r="1723">
      <c r="A1723" s="7">
        <f>IFERROR(Datos!A1723,"")</f>
        <v/>
      </c>
      <c r="B1723" s="8">
        <f>IFERROR(Datos!B1723,"")</f>
        <v/>
      </c>
      <c r="C1723" s="8">
        <f>IFERROR(Datos!C1723,"")</f>
        <v/>
      </c>
      <c r="D1723" s="28">
        <f>IFERROR(IF(AND(ISNUMBER(B1723),ISNUMBER(B1722),B1722&lt;&gt;0),B1723/B1722-1,""),"")</f>
        <v/>
      </c>
      <c r="E1723" s="28">
        <f>IFERROR(IF(AND(ISNUMBER(C1723),ISNUMBER(C1722),C1722&lt;&gt;0),C1723/C1722-1,""),"")</f>
        <v/>
      </c>
      <c r="F1723" s="28">
        <f>IFERROR(D1723-Dashboard!$B$4/252,"")</f>
        <v/>
      </c>
      <c r="G1723" s="28">
        <f>IFERROR(E1723-Dashboard!$B$4/252,"")</f>
        <v/>
      </c>
      <c r="H1723" s="8">
        <f>IFERROR(IF(ISNUMBER(B1723),MAX(B1723,IFERROR(H1722,B1723)),""),"")</f>
        <v/>
      </c>
      <c r="I1723" s="29">
        <f>IFERROR(IF(AND(ISNUMBER(B1723),ISNUMBER(H1723)),B1723/H1723-1,""),"")</f>
        <v/>
      </c>
      <c r="J1723" s="8">
        <f>IFERROR(IF(ISNUMBER(C1723),MAX(C1723,IFERROR(J1722,C1723)),""),"")</f>
        <v/>
      </c>
      <c r="K1723" s="29">
        <f>IFERROR(IF(AND(ISNUMBER(C1723),ISNUMBER(J1723)),C1723/J1723-1,""),"")</f>
        <v/>
      </c>
      <c r="L1723" s="28">
        <f>IFERROR(IF(AND(ISNUMBER(D1723),ISNUMBER(E1723)),D1723-E1723,""),"")</f>
        <v/>
      </c>
    </row>
    <row r="1724">
      <c r="A1724" s="7">
        <f>IFERROR(Datos!A1724,"")</f>
        <v/>
      </c>
      <c r="B1724" s="8">
        <f>IFERROR(Datos!B1724,"")</f>
        <v/>
      </c>
      <c r="C1724" s="8">
        <f>IFERROR(Datos!C1724,"")</f>
        <v/>
      </c>
      <c r="D1724" s="28">
        <f>IFERROR(IF(AND(ISNUMBER(B1724),ISNUMBER(B1723),B1723&lt;&gt;0),B1724/B1723-1,""),"")</f>
        <v/>
      </c>
      <c r="E1724" s="28">
        <f>IFERROR(IF(AND(ISNUMBER(C1724),ISNUMBER(C1723),C1723&lt;&gt;0),C1724/C1723-1,""),"")</f>
        <v/>
      </c>
      <c r="F1724" s="28">
        <f>IFERROR(D1724-Dashboard!$B$4/252,"")</f>
        <v/>
      </c>
      <c r="G1724" s="28">
        <f>IFERROR(E1724-Dashboard!$B$4/252,"")</f>
        <v/>
      </c>
      <c r="H1724" s="8">
        <f>IFERROR(IF(ISNUMBER(B1724),MAX(B1724,IFERROR(H1723,B1724)),""),"")</f>
        <v/>
      </c>
      <c r="I1724" s="29">
        <f>IFERROR(IF(AND(ISNUMBER(B1724),ISNUMBER(H1724)),B1724/H1724-1,""),"")</f>
        <v/>
      </c>
      <c r="J1724" s="8">
        <f>IFERROR(IF(ISNUMBER(C1724),MAX(C1724,IFERROR(J1723,C1724)),""),"")</f>
        <v/>
      </c>
      <c r="K1724" s="29">
        <f>IFERROR(IF(AND(ISNUMBER(C1724),ISNUMBER(J1724)),C1724/J1724-1,""),"")</f>
        <v/>
      </c>
      <c r="L1724" s="28">
        <f>IFERROR(IF(AND(ISNUMBER(D1724),ISNUMBER(E1724)),D1724-E1724,""),"")</f>
        <v/>
      </c>
    </row>
    <row r="1725">
      <c r="A1725" s="7">
        <f>IFERROR(Datos!A1725,"")</f>
        <v/>
      </c>
      <c r="B1725" s="8">
        <f>IFERROR(Datos!B1725,"")</f>
        <v/>
      </c>
      <c r="C1725" s="8">
        <f>IFERROR(Datos!C1725,"")</f>
        <v/>
      </c>
      <c r="D1725" s="28">
        <f>IFERROR(IF(AND(ISNUMBER(B1725),ISNUMBER(B1724),B1724&lt;&gt;0),B1725/B1724-1,""),"")</f>
        <v/>
      </c>
      <c r="E1725" s="28">
        <f>IFERROR(IF(AND(ISNUMBER(C1725),ISNUMBER(C1724),C1724&lt;&gt;0),C1725/C1724-1,""),"")</f>
        <v/>
      </c>
      <c r="F1725" s="28">
        <f>IFERROR(D1725-Dashboard!$B$4/252,"")</f>
        <v/>
      </c>
      <c r="G1725" s="28">
        <f>IFERROR(E1725-Dashboard!$B$4/252,"")</f>
        <v/>
      </c>
      <c r="H1725" s="8">
        <f>IFERROR(IF(ISNUMBER(B1725),MAX(B1725,IFERROR(H1724,B1725)),""),"")</f>
        <v/>
      </c>
      <c r="I1725" s="29">
        <f>IFERROR(IF(AND(ISNUMBER(B1725),ISNUMBER(H1725)),B1725/H1725-1,""),"")</f>
        <v/>
      </c>
      <c r="J1725" s="8">
        <f>IFERROR(IF(ISNUMBER(C1725),MAX(C1725,IFERROR(J1724,C1725)),""),"")</f>
        <v/>
      </c>
      <c r="K1725" s="29">
        <f>IFERROR(IF(AND(ISNUMBER(C1725),ISNUMBER(J1725)),C1725/J1725-1,""),"")</f>
        <v/>
      </c>
      <c r="L1725" s="28">
        <f>IFERROR(IF(AND(ISNUMBER(D1725),ISNUMBER(E1725)),D1725-E1725,""),"")</f>
        <v/>
      </c>
    </row>
    <row r="1726">
      <c r="A1726" s="7">
        <f>IFERROR(Datos!A1726,"")</f>
        <v/>
      </c>
      <c r="B1726" s="8">
        <f>IFERROR(Datos!B1726,"")</f>
        <v/>
      </c>
      <c r="C1726" s="8">
        <f>IFERROR(Datos!C1726,"")</f>
        <v/>
      </c>
      <c r="D1726" s="28">
        <f>IFERROR(IF(AND(ISNUMBER(B1726),ISNUMBER(B1725),B1725&lt;&gt;0),B1726/B1725-1,""),"")</f>
        <v/>
      </c>
      <c r="E1726" s="28">
        <f>IFERROR(IF(AND(ISNUMBER(C1726),ISNUMBER(C1725),C1725&lt;&gt;0),C1726/C1725-1,""),"")</f>
        <v/>
      </c>
      <c r="F1726" s="28">
        <f>IFERROR(D1726-Dashboard!$B$4/252,"")</f>
        <v/>
      </c>
      <c r="G1726" s="28">
        <f>IFERROR(E1726-Dashboard!$B$4/252,"")</f>
        <v/>
      </c>
      <c r="H1726" s="8">
        <f>IFERROR(IF(ISNUMBER(B1726),MAX(B1726,IFERROR(H1725,B1726)),""),"")</f>
        <v/>
      </c>
      <c r="I1726" s="29">
        <f>IFERROR(IF(AND(ISNUMBER(B1726),ISNUMBER(H1726)),B1726/H1726-1,""),"")</f>
        <v/>
      </c>
      <c r="J1726" s="8">
        <f>IFERROR(IF(ISNUMBER(C1726),MAX(C1726,IFERROR(J1725,C1726)),""),"")</f>
        <v/>
      </c>
      <c r="K1726" s="29">
        <f>IFERROR(IF(AND(ISNUMBER(C1726),ISNUMBER(J1726)),C1726/J1726-1,""),"")</f>
        <v/>
      </c>
      <c r="L1726" s="28">
        <f>IFERROR(IF(AND(ISNUMBER(D1726),ISNUMBER(E1726)),D1726-E1726,""),"")</f>
        <v/>
      </c>
    </row>
    <row r="1727">
      <c r="A1727" s="7">
        <f>IFERROR(Datos!A1727,"")</f>
        <v/>
      </c>
      <c r="B1727" s="8">
        <f>IFERROR(Datos!B1727,"")</f>
        <v/>
      </c>
      <c r="C1727" s="8">
        <f>IFERROR(Datos!C1727,"")</f>
        <v/>
      </c>
      <c r="D1727" s="28">
        <f>IFERROR(IF(AND(ISNUMBER(B1727),ISNUMBER(B1726),B1726&lt;&gt;0),B1727/B1726-1,""),"")</f>
        <v/>
      </c>
      <c r="E1727" s="28">
        <f>IFERROR(IF(AND(ISNUMBER(C1727),ISNUMBER(C1726),C1726&lt;&gt;0),C1727/C1726-1,""),"")</f>
        <v/>
      </c>
      <c r="F1727" s="28">
        <f>IFERROR(D1727-Dashboard!$B$4/252,"")</f>
        <v/>
      </c>
      <c r="G1727" s="28">
        <f>IFERROR(E1727-Dashboard!$B$4/252,"")</f>
        <v/>
      </c>
      <c r="H1727" s="8">
        <f>IFERROR(IF(ISNUMBER(B1727),MAX(B1727,IFERROR(H1726,B1727)),""),"")</f>
        <v/>
      </c>
      <c r="I1727" s="29">
        <f>IFERROR(IF(AND(ISNUMBER(B1727),ISNUMBER(H1727)),B1727/H1727-1,""),"")</f>
        <v/>
      </c>
      <c r="J1727" s="8">
        <f>IFERROR(IF(ISNUMBER(C1727),MAX(C1727,IFERROR(J1726,C1727)),""),"")</f>
        <v/>
      </c>
      <c r="K1727" s="29">
        <f>IFERROR(IF(AND(ISNUMBER(C1727),ISNUMBER(J1727)),C1727/J1727-1,""),"")</f>
        <v/>
      </c>
      <c r="L1727" s="28">
        <f>IFERROR(IF(AND(ISNUMBER(D1727),ISNUMBER(E1727)),D1727-E1727,""),"")</f>
        <v/>
      </c>
    </row>
    <row r="1728">
      <c r="A1728" s="7">
        <f>IFERROR(Datos!A1728,"")</f>
        <v/>
      </c>
      <c r="B1728" s="8">
        <f>IFERROR(Datos!B1728,"")</f>
        <v/>
      </c>
      <c r="C1728" s="8">
        <f>IFERROR(Datos!C1728,"")</f>
        <v/>
      </c>
      <c r="D1728" s="28">
        <f>IFERROR(IF(AND(ISNUMBER(B1728),ISNUMBER(B1727),B1727&lt;&gt;0),B1728/B1727-1,""),"")</f>
        <v/>
      </c>
      <c r="E1728" s="28">
        <f>IFERROR(IF(AND(ISNUMBER(C1728),ISNUMBER(C1727),C1727&lt;&gt;0),C1728/C1727-1,""),"")</f>
        <v/>
      </c>
      <c r="F1728" s="28">
        <f>IFERROR(D1728-Dashboard!$B$4/252,"")</f>
        <v/>
      </c>
      <c r="G1728" s="28">
        <f>IFERROR(E1728-Dashboard!$B$4/252,"")</f>
        <v/>
      </c>
      <c r="H1728" s="8">
        <f>IFERROR(IF(ISNUMBER(B1728),MAX(B1728,IFERROR(H1727,B1728)),""),"")</f>
        <v/>
      </c>
      <c r="I1728" s="29">
        <f>IFERROR(IF(AND(ISNUMBER(B1728),ISNUMBER(H1728)),B1728/H1728-1,""),"")</f>
        <v/>
      </c>
      <c r="J1728" s="8">
        <f>IFERROR(IF(ISNUMBER(C1728),MAX(C1728,IFERROR(J1727,C1728)),""),"")</f>
        <v/>
      </c>
      <c r="K1728" s="29">
        <f>IFERROR(IF(AND(ISNUMBER(C1728),ISNUMBER(J1728)),C1728/J1728-1,""),"")</f>
        <v/>
      </c>
      <c r="L1728" s="28">
        <f>IFERROR(IF(AND(ISNUMBER(D1728),ISNUMBER(E1728)),D1728-E1728,""),"")</f>
        <v/>
      </c>
    </row>
    <row r="1729">
      <c r="A1729" s="7">
        <f>IFERROR(Datos!A1729,"")</f>
        <v/>
      </c>
      <c r="B1729" s="8">
        <f>IFERROR(Datos!B1729,"")</f>
        <v/>
      </c>
      <c r="C1729" s="8">
        <f>IFERROR(Datos!C1729,"")</f>
        <v/>
      </c>
      <c r="D1729" s="28">
        <f>IFERROR(IF(AND(ISNUMBER(B1729),ISNUMBER(B1728),B1728&lt;&gt;0),B1729/B1728-1,""),"")</f>
        <v/>
      </c>
      <c r="E1729" s="28">
        <f>IFERROR(IF(AND(ISNUMBER(C1729),ISNUMBER(C1728),C1728&lt;&gt;0),C1729/C1728-1,""),"")</f>
        <v/>
      </c>
      <c r="F1729" s="28">
        <f>IFERROR(D1729-Dashboard!$B$4/252,"")</f>
        <v/>
      </c>
      <c r="G1729" s="28">
        <f>IFERROR(E1729-Dashboard!$B$4/252,"")</f>
        <v/>
      </c>
      <c r="H1729" s="8">
        <f>IFERROR(IF(ISNUMBER(B1729),MAX(B1729,IFERROR(H1728,B1729)),""),"")</f>
        <v/>
      </c>
      <c r="I1729" s="29">
        <f>IFERROR(IF(AND(ISNUMBER(B1729),ISNUMBER(H1729)),B1729/H1729-1,""),"")</f>
        <v/>
      </c>
      <c r="J1729" s="8">
        <f>IFERROR(IF(ISNUMBER(C1729),MAX(C1729,IFERROR(J1728,C1729)),""),"")</f>
        <v/>
      </c>
      <c r="K1729" s="29">
        <f>IFERROR(IF(AND(ISNUMBER(C1729),ISNUMBER(J1729)),C1729/J1729-1,""),"")</f>
        <v/>
      </c>
      <c r="L1729" s="28">
        <f>IFERROR(IF(AND(ISNUMBER(D1729),ISNUMBER(E1729)),D1729-E1729,""),"")</f>
        <v/>
      </c>
    </row>
    <row r="1730">
      <c r="A1730" s="7">
        <f>IFERROR(Datos!A1730,"")</f>
        <v/>
      </c>
      <c r="B1730" s="8">
        <f>IFERROR(Datos!B1730,"")</f>
        <v/>
      </c>
      <c r="C1730" s="8">
        <f>IFERROR(Datos!C1730,"")</f>
        <v/>
      </c>
      <c r="D1730" s="28">
        <f>IFERROR(IF(AND(ISNUMBER(B1730),ISNUMBER(B1729),B1729&lt;&gt;0),B1730/B1729-1,""),"")</f>
        <v/>
      </c>
      <c r="E1730" s="28">
        <f>IFERROR(IF(AND(ISNUMBER(C1730),ISNUMBER(C1729),C1729&lt;&gt;0),C1730/C1729-1,""),"")</f>
        <v/>
      </c>
      <c r="F1730" s="28">
        <f>IFERROR(D1730-Dashboard!$B$4/252,"")</f>
        <v/>
      </c>
      <c r="G1730" s="28">
        <f>IFERROR(E1730-Dashboard!$B$4/252,"")</f>
        <v/>
      </c>
      <c r="H1730" s="8">
        <f>IFERROR(IF(ISNUMBER(B1730),MAX(B1730,IFERROR(H1729,B1730)),""),"")</f>
        <v/>
      </c>
      <c r="I1730" s="29">
        <f>IFERROR(IF(AND(ISNUMBER(B1730),ISNUMBER(H1730)),B1730/H1730-1,""),"")</f>
        <v/>
      </c>
      <c r="J1730" s="8">
        <f>IFERROR(IF(ISNUMBER(C1730),MAX(C1730,IFERROR(J1729,C1730)),""),"")</f>
        <v/>
      </c>
      <c r="K1730" s="29">
        <f>IFERROR(IF(AND(ISNUMBER(C1730),ISNUMBER(J1730)),C1730/J1730-1,""),"")</f>
        <v/>
      </c>
      <c r="L1730" s="28">
        <f>IFERROR(IF(AND(ISNUMBER(D1730),ISNUMBER(E1730)),D1730-E1730,""),"")</f>
        <v/>
      </c>
    </row>
    <row r="1731">
      <c r="A1731" s="7">
        <f>IFERROR(Datos!A1731,"")</f>
        <v/>
      </c>
      <c r="B1731" s="8">
        <f>IFERROR(Datos!B1731,"")</f>
        <v/>
      </c>
      <c r="C1731" s="8">
        <f>IFERROR(Datos!C1731,"")</f>
        <v/>
      </c>
      <c r="D1731" s="28">
        <f>IFERROR(IF(AND(ISNUMBER(B1731),ISNUMBER(B1730),B1730&lt;&gt;0),B1731/B1730-1,""),"")</f>
        <v/>
      </c>
      <c r="E1731" s="28">
        <f>IFERROR(IF(AND(ISNUMBER(C1731),ISNUMBER(C1730),C1730&lt;&gt;0),C1731/C1730-1,""),"")</f>
        <v/>
      </c>
      <c r="F1731" s="28">
        <f>IFERROR(D1731-Dashboard!$B$4/252,"")</f>
        <v/>
      </c>
      <c r="G1731" s="28">
        <f>IFERROR(E1731-Dashboard!$B$4/252,"")</f>
        <v/>
      </c>
      <c r="H1731" s="8">
        <f>IFERROR(IF(ISNUMBER(B1731),MAX(B1731,IFERROR(H1730,B1731)),""),"")</f>
        <v/>
      </c>
      <c r="I1731" s="29">
        <f>IFERROR(IF(AND(ISNUMBER(B1731),ISNUMBER(H1731)),B1731/H1731-1,""),"")</f>
        <v/>
      </c>
      <c r="J1731" s="8">
        <f>IFERROR(IF(ISNUMBER(C1731),MAX(C1731,IFERROR(J1730,C1731)),""),"")</f>
        <v/>
      </c>
      <c r="K1731" s="29">
        <f>IFERROR(IF(AND(ISNUMBER(C1731),ISNUMBER(J1731)),C1731/J1731-1,""),"")</f>
        <v/>
      </c>
      <c r="L1731" s="28">
        <f>IFERROR(IF(AND(ISNUMBER(D1731),ISNUMBER(E1731)),D1731-E1731,""),"")</f>
        <v/>
      </c>
    </row>
    <row r="1732">
      <c r="A1732" s="7">
        <f>IFERROR(Datos!A1732,"")</f>
        <v/>
      </c>
      <c r="B1732" s="8">
        <f>IFERROR(Datos!B1732,"")</f>
        <v/>
      </c>
      <c r="C1732" s="8">
        <f>IFERROR(Datos!C1732,"")</f>
        <v/>
      </c>
      <c r="D1732" s="28">
        <f>IFERROR(IF(AND(ISNUMBER(B1732),ISNUMBER(B1731),B1731&lt;&gt;0),B1732/B1731-1,""),"")</f>
        <v/>
      </c>
      <c r="E1732" s="28">
        <f>IFERROR(IF(AND(ISNUMBER(C1732),ISNUMBER(C1731),C1731&lt;&gt;0),C1732/C1731-1,""),"")</f>
        <v/>
      </c>
      <c r="F1732" s="28">
        <f>IFERROR(D1732-Dashboard!$B$4/252,"")</f>
        <v/>
      </c>
      <c r="G1732" s="28">
        <f>IFERROR(E1732-Dashboard!$B$4/252,"")</f>
        <v/>
      </c>
      <c r="H1732" s="8">
        <f>IFERROR(IF(ISNUMBER(B1732),MAX(B1732,IFERROR(H1731,B1732)),""),"")</f>
        <v/>
      </c>
      <c r="I1732" s="29">
        <f>IFERROR(IF(AND(ISNUMBER(B1732),ISNUMBER(H1732)),B1732/H1732-1,""),"")</f>
        <v/>
      </c>
      <c r="J1732" s="8">
        <f>IFERROR(IF(ISNUMBER(C1732),MAX(C1732,IFERROR(J1731,C1732)),""),"")</f>
        <v/>
      </c>
      <c r="K1732" s="29">
        <f>IFERROR(IF(AND(ISNUMBER(C1732),ISNUMBER(J1732)),C1732/J1732-1,""),"")</f>
        <v/>
      </c>
      <c r="L1732" s="28">
        <f>IFERROR(IF(AND(ISNUMBER(D1732),ISNUMBER(E1732)),D1732-E1732,""),"")</f>
        <v/>
      </c>
    </row>
    <row r="1733">
      <c r="A1733" s="7">
        <f>IFERROR(Datos!A1733,"")</f>
        <v/>
      </c>
      <c r="B1733" s="8">
        <f>IFERROR(Datos!B1733,"")</f>
        <v/>
      </c>
      <c r="C1733" s="8">
        <f>IFERROR(Datos!C1733,"")</f>
        <v/>
      </c>
      <c r="D1733" s="28">
        <f>IFERROR(IF(AND(ISNUMBER(B1733),ISNUMBER(B1732),B1732&lt;&gt;0),B1733/B1732-1,""),"")</f>
        <v/>
      </c>
      <c r="E1733" s="28">
        <f>IFERROR(IF(AND(ISNUMBER(C1733),ISNUMBER(C1732),C1732&lt;&gt;0),C1733/C1732-1,""),"")</f>
        <v/>
      </c>
      <c r="F1733" s="28">
        <f>IFERROR(D1733-Dashboard!$B$4/252,"")</f>
        <v/>
      </c>
      <c r="G1733" s="28">
        <f>IFERROR(E1733-Dashboard!$B$4/252,"")</f>
        <v/>
      </c>
      <c r="H1733" s="8">
        <f>IFERROR(IF(ISNUMBER(B1733),MAX(B1733,IFERROR(H1732,B1733)),""),"")</f>
        <v/>
      </c>
      <c r="I1733" s="29">
        <f>IFERROR(IF(AND(ISNUMBER(B1733),ISNUMBER(H1733)),B1733/H1733-1,""),"")</f>
        <v/>
      </c>
      <c r="J1733" s="8">
        <f>IFERROR(IF(ISNUMBER(C1733),MAX(C1733,IFERROR(J1732,C1733)),""),"")</f>
        <v/>
      </c>
      <c r="K1733" s="29">
        <f>IFERROR(IF(AND(ISNUMBER(C1733),ISNUMBER(J1733)),C1733/J1733-1,""),"")</f>
        <v/>
      </c>
      <c r="L1733" s="28">
        <f>IFERROR(IF(AND(ISNUMBER(D1733),ISNUMBER(E1733)),D1733-E1733,""),"")</f>
        <v/>
      </c>
    </row>
    <row r="1734">
      <c r="A1734" s="7">
        <f>IFERROR(Datos!A1734,"")</f>
        <v/>
      </c>
      <c r="B1734" s="8">
        <f>IFERROR(Datos!B1734,"")</f>
        <v/>
      </c>
      <c r="C1734" s="8">
        <f>IFERROR(Datos!C1734,"")</f>
        <v/>
      </c>
      <c r="D1734" s="28">
        <f>IFERROR(IF(AND(ISNUMBER(B1734),ISNUMBER(B1733),B1733&lt;&gt;0),B1734/B1733-1,""),"")</f>
        <v/>
      </c>
      <c r="E1734" s="28">
        <f>IFERROR(IF(AND(ISNUMBER(C1734),ISNUMBER(C1733),C1733&lt;&gt;0),C1734/C1733-1,""),"")</f>
        <v/>
      </c>
      <c r="F1734" s="28">
        <f>IFERROR(D1734-Dashboard!$B$4/252,"")</f>
        <v/>
      </c>
      <c r="G1734" s="28">
        <f>IFERROR(E1734-Dashboard!$B$4/252,"")</f>
        <v/>
      </c>
      <c r="H1734" s="8">
        <f>IFERROR(IF(ISNUMBER(B1734),MAX(B1734,IFERROR(H1733,B1734)),""),"")</f>
        <v/>
      </c>
      <c r="I1734" s="29">
        <f>IFERROR(IF(AND(ISNUMBER(B1734),ISNUMBER(H1734)),B1734/H1734-1,""),"")</f>
        <v/>
      </c>
      <c r="J1734" s="8">
        <f>IFERROR(IF(ISNUMBER(C1734),MAX(C1734,IFERROR(J1733,C1734)),""),"")</f>
        <v/>
      </c>
      <c r="K1734" s="29">
        <f>IFERROR(IF(AND(ISNUMBER(C1734),ISNUMBER(J1734)),C1734/J1734-1,""),"")</f>
        <v/>
      </c>
      <c r="L1734" s="28">
        <f>IFERROR(IF(AND(ISNUMBER(D1734),ISNUMBER(E1734)),D1734-E1734,""),"")</f>
        <v/>
      </c>
    </row>
    <row r="1735">
      <c r="A1735" s="7">
        <f>IFERROR(Datos!A1735,"")</f>
        <v/>
      </c>
      <c r="B1735" s="8">
        <f>IFERROR(Datos!B1735,"")</f>
        <v/>
      </c>
      <c r="C1735" s="8">
        <f>IFERROR(Datos!C1735,"")</f>
        <v/>
      </c>
      <c r="D1735" s="28">
        <f>IFERROR(IF(AND(ISNUMBER(B1735),ISNUMBER(B1734),B1734&lt;&gt;0),B1735/B1734-1,""),"")</f>
        <v/>
      </c>
      <c r="E1735" s="28">
        <f>IFERROR(IF(AND(ISNUMBER(C1735),ISNUMBER(C1734),C1734&lt;&gt;0),C1735/C1734-1,""),"")</f>
        <v/>
      </c>
      <c r="F1735" s="28">
        <f>IFERROR(D1735-Dashboard!$B$4/252,"")</f>
        <v/>
      </c>
      <c r="G1735" s="28">
        <f>IFERROR(E1735-Dashboard!$B$4/252,"")</f>
        <v/>
      </c>
      <c r="H1735" s="8">
        <f>IFERROR(IF(ISNUMBER(B1735),MAX(B1735,IFERROR(H1734,B1735)),""),"")</f>
        <v/>
      </c>
      <c r="I1735" s="29">
        <f>IFERROR(IF(AND(ISNUMBER(B1735),ISNUMBER(H1735)),B1735/H1735-1,""),"")</f>
        <v/>
      </c>
      <c r="J1735" s="8">
        <f>IFERROR(IF(ISNUMBER(C1735),MAX(C1735,IFERROR(J1734,C1735)),""),"")</f>
        <v/>
      </c>
      <c r="K1735" s="29">
        <f>IFERROR(IF(AND(ISNUMBER(C1735),ISNUMBER(J1735)),C1735/J1735-1,""),"")</f>
        <v/>
      </c>
      <c r="L1735" s="28">
        <f>IFERROR(IF(AND(ISNUMBER(D1735),ISNUMBER(E1735)),D1735-E1735,""),"")</f>
        <v/>
      </c>
    </row>
    <row r="1736">
      <c r="A1736" s="7">
        <f>IFERROR(Datos!A1736,"")</f>
        <v/>
      </c>
      <c r="B1736" s="8">
        <f>IFERROR(Datos!B1736,"")</f>
        <v/>
      </c>
      <c r="C1736" s="8">
        <f>IFERROR(Datos!C1736,"")</f>
        <v/>
      </c>
      <c r="D1736" s="28">
        <f>IFERROR(IF(AND(ISNUMBER(B1736),ISNUMBER(B1735),B1735&lt;&gt;0),B1736/B1735-1,""),"")</f>
        <v/>
      </c>
      <c r="E1736" s="28">
        <f>IFERROR(IF(AND(ISNUMBER(C1736),ISNUMBER(C1735),C1735&lt;&gt;0),C1736/C1735-1,""),"")</f>
        <v/>
      </c>
      <c r="F1736" s="28">
        <f>IFERROR(D1736-Dashboard!$B$4/252,"")</f>
        <v/>
      </c>
      <c r="G1736" s="28">
        <f>IFERROR(E1736-Dashboard!$B$4/252,"")</f>
        <v/>
      </c>
      <c r="H1736" s="8">
        <f>IFERROR(IF(ISNUMBER(B1736),MAX(B1736,IFERROR(H1735,B1736)),""),"")</f>
        <v/>
      </c>
      <c r="I1736" s="29">
        <f>IFERROR(IF(AND(ISNUMBER(B1736),ISNUMBER(H1736)),B1736/H1736-1,""),"")</f>
        <v/>
      </c>
      <c r="J1736" s="8">
        <f>IFERROR(IF(ISNUMBER(C1736),MAX(C1736,IFERROR(J1735,C1736)),""),"")</f>
        <v/>
      </c>
      <c r="K1736" s="29">
        <f>IFERROR(IF(AND(ISNUMBER(C1736),ISNUMBER(J1736)),C1736/J1736-1,""),"")</f>
        <v/>
      </c>
      <c r="L1736" s="28">
        <f>IFERROR(IF(AND(ISNUMBER(D1736),ISNUMBER(E1736)),D1736-E1736,""),"")</f>
        <v/>
      </c>
    </row>
    <row r="1737">
      <c r="A1737" s="7">
        <f>IFERROR(Datos!A1737,"")</f>
        <v/>
      </c>
      <c r="B1737" s="8">
        <f>IFERROR(Datos!B1737,"")</f>
        <v/>
      </c>
      <c r="C1737" s="8">
        <f>IFERROR(Datos!C1737,"")</f>
        <v/>
      </c>
      <c r="D1737" s="28">
        <f>IFERROR(IF(AND(ISNUMBER(B1737),ISNUMBER(B1736),B1736&lt;&gt;0),B1737/B1736-1,""),"")</f>
        <v/>
      </c>
      <c r="E1737" s="28">
        <f>IFERROR(IF(AND(ISNUMBER(C1737),ISNUMBER(C1736),C1736&lt;&gt;0),C1737/C1736-1,""),"")</f>
        <v/>
      </c>
      <c r="F1737" s="28">
        <f>IFERROR(D1737-Dashboard!$B$4/252,"")</f>
        <v/>
      </c>
      <c r="G1737" s="28">
        <f>IFERROR(E1737-Dashboard!$B$4/252,"")</f>
        <v/>
      </c>
      <c r="H1737" s="8">
        <f>IFERROR(IF(ISNUMBER(B1737),MAX(B1737,IFERROR(H1736,B1737)),""),"")</f>
        <v/>
      </c>
      <c r="I1737" s="29">
        <f>IFERROR(IF(AND(ISNUMBER(B1737),ISNUMBER(H1737)),B1737/H1737-1,""),"")</f>
        <v/>
      </c>
      <c r="J1737" s="8">
        <f>IFERROR(IF(ISNUMBER(C1737),MAX(C1737,IFERROR(J1736,C1737)),""),"")</f>
        <v/>
      </c>
      <c r="K1737" s="29">
        <f>IFERROR(IF(AND(ISNUMBER(C1737),ISNUMBER(J1737)),C1737/J1737-1,""),"")</f>
        <v/>
      </c>
      <c r="L1737" s="28">
        <f>IFERROR(IF(AND(ISNUMBER(D1737),ISNUMBER(E1737)),D1737-E1737,""),"")</f>
        <v/>
      </c>
    </row>
    <row r="1738">
      <c r="A1738" s="7">
        <f>IFERROR(Datos!A1738,"")</f>
        <v/>
      </c>
      <c r="B1738" s="8">
        <f>IFERROR(Datos!B1738,"")</f>
        <v/>
      </c>
      <c r="C1738" s="8">
        <f>IFERROR(Datos!C1738,"")</f>
        <v/>
      </c>
      <c r="D1738" s="28">
        <f>IFERROR(IF(AND(ISNUMBER(B1738),ISNUMBER(B1737),B1737&lt;&gt;0),B1738/B1737-1,""),"")</f>
        <v/>
      </c>
      <c r="E1738" s="28">
        <f>IFERROR(IF(AND(ISNUMBER(C1738),ISNUMBER(C1737),C1737&lt;&gt;0),C1738/C1737-1,""),"")</f>
        <v/>
      </c>
      <c r="F1738" s="28">
        <f>IFERROR(D1738-Dashboard!$B$4/252,"")</f>
        <v/>
      </c>
      <c r="G1738" s="28">
        <f>IFERROR(E1738-Dashboard!$B$4/252,"")</f>
        <v/>
      </c>
      <c r="H1738" s="8">
        <f>IFERROR(IF(ISNUMBER(B1738),MAX(B1738,IFERROR(H1737,B1738)),""),"")</f>
        <v/>
      </c>
      <c r="I1738" s="29">
        <f>IFERROR(IF(AND(ISNUMBER(B1738),ISNUMBER(H1738)),B1738/H1738-1,""),"")</f>
        <v/>
      </c>
      <c r="J1738" s="8">
        <f>IFERROR(IF(ISNUMBER(C1738),MAX(C1738,IFERROR(J1737,C1738)),""),"")</f>
        <v/>
      </c>
      <c r="K1738" s="29">
        <f>IFERROR(IF(AND(ISNUMBER(C1738),ISNUMBER(J1738)),C1738/J1738-1,""),"")</f>
        <v/>
      </c>
      <c r="L1738" s="28">
        <f>IFERROR(IF(AND(ISNUMBER(D1738),ISNUMBER(E1738)),D1738-E1738,""),"")</f>
        <v/>
      </c>
    </row>
    <row r="1739">
      <c r="A1739" s="7">
        <f>IFERROR(Datos!A1739,"")</f>
        <v/>
      </c>
      <c r="B1739" s="8">
        <f>IFERROR(Datos!B1739,"")</f>
        <v/>
      </c>
      <c r="C1739" s="8">
        <f>IFERROR(Datos!C1739,"")</f>
        <v/>
      </c>
      <c r="D1739" s="28">
        <f>IFERROR(IF(AND(ISNUMBER(B1739),ISNUMBER(B1738),B1738&lt;&gt;0),B1739/B1738-1,""),"")</f>
        <v/>
      </c>
      <c r="E1739" s="28">
        <f>IFERROR(IF(AND(ISNUMBER(C1739),ISNUMBER(C1738),C1738&lt;&gt;0),C1739/C1738-1,""),"")</f>
        <v/>
      </c>
      <c r="F1739" s="28">
        <f>IFERROR(D1739-Dashboard!$B$4/252,"")</f>
        <v/>
      </c>
      <c r="G1739" s="28">
        <f>IFERROR(E1739-Dashboard!$B$4/252,"")</f>
        <v/>
      </c>
      <c r="H1739" s="8">
        <f>IFERROR(IF(ISNUMBER(B1739),MAX(B1739,IFERROR(H1738,B1739)),""),"")</f>
        <v/>
      </c>
      <c r="I1739" s="29">
        <f>IFERROR(IF(AND(ISNUMBER(B1739),ISNUMBER(H1739)),B1739/H1739-1,""),"")</f>
        <v/>
      </c>
      <c r="J1739" s="8">
        <f>IFERROR(IF(ISNUMBER(C1739),MAX(C1739,IFERROR(J1738,C1739)),""),"")</f>
        <v/>
      </c>
      <c r="K1739" s="29">
        <f>IFERROR(IF(AND(ISNUMBER(C1739),ISNUMBER(J1739)),C1739/J1739-1,""),"")</f>
        <v/>
      </c>
      <c r="L1739" s="28">
        <f>IFERROR(IF(AND(ISNUMBER(D1739),ISNUMBER(E1739)),D1739-E1739,""),"")</f>
        <v/>
      </c>
    </row>
    <row r="1740">
      <c r="A1740" s="7">
        <f>IFERROR(Datos!A1740,"")</f>
        <v/>
      </c>
      <c r="B1740" s="8">
        <f>IFERROR(Datos!B1740,"")</f>
        <v/>
      </c>
      <c r="C1740" s="8">
        <f>IFERROR(Datos!C1740,"")</f>
        <v/>
      </c>
      <c r="D1740" s="28">
        <f>IFERROR(IF(AND(ISNUMBER(B1740),ISNUMBER(B1739),B1739&lt;&gt;0),B1740/B1739-1,""),"")</f>
        <v/>
      </c>
      <c r="E1740" s="28">
        <f>IFERROR(IF(AND(ISNUMBER(C1740),ISNUMBER(C1739),C1739&lt;&gt;0),C1740/C1739-1,""),"")</f>
        <v/>
      </c>
      <c r="F1740" s="28">
        <f>IFERROR(D1740-Dashboard!$B$4/252,"")</f>
        <v/>
      </c>
      <c r="G1740" s="28">
        <f>IFERROR(E1740-Dashboard!$B$4/252,"")</f>
        <v/>
      </c>
      <c r="H1740" s="8">
        <f>IFERROR(IF(ISNUMBER(B1740),MAX(B1740,IFERROR(H1739,B1740)),""),"")</f>
        <v/>
      </c>
      <c r="I1740" s="29">
        <f>IFERROR(IF(AND(ISNUMBER(B1740),ISNUMBER(H1740)),B1740/H1740-1,""),"")</f>
        <v/>
      </c>
      <c r="J1740" s="8">
        <f>IFERROR(IF(ISNUMBER(C1740),MAX(C1740,IFERROR(J1739,C1740)),""),"")</f>
        <v/>
      </c>
      <c r="K1740" s="29">
        <f>IFERROR(IF(AND(ISNUMBER(C1740),ISNUMBER(J1740)),C1740/J1740-1,""),"")</f>
        <v/>
      </c>
      <c r="L1740" s="28">
        <f>IFERROR(IF(AND(ISNUMBER(D1740),ISNUMBER(E1740)),D1740-E1740,""),"")</f>
        <v/>
      </c>
    </row>
    <row r="1741">
      <c r="A1741" s="7">
        <f>IFERROR(Datos!A1741,"")</f>
        <v/>
      </c>
      <c r="B1741" s="8">
        <f>IFERROR(Datos!B1741,"")</f>
        <v/>
      </c>
      <c r="C1741" s="8">
        <f>IFERROR(Datos!C1741,"")</f>
        <v/>
      </c>
      <c r="D1741" s="28">
        <f>IFERROR(IF(AND(ISNUMBER(B1741),ISNUMBER(B1740),B1740&lt;&gt;0),B1741/B1740-1,""),"")</f>
        <v/>
      </c>
      <c r="E1741" s="28">
        <f>IFERROR(IF(AND(ISNUMBER(C1741),ISNUMBER(C1740),C1740&lt;&gt;0),C1741/C1740-1,""),"")</f>
        <v/>
      </c>
      <c r="F1741" s="28">
        <f>IFERROR(D1741-Dashboard!$B$4/252,"")</f>
        <v/>
      </c>
      <c r="G1741" s="28">
        <f>IFERROR(E1741-Dashboard!$B$4/252,"")</f>
        <v/>
      </c>
      <c r="H1741" s="8">
        <f>IFERROR(IF(ISNUMBER(B1741),MAX(B1741,IFERROR(H1740,B1741)),""),"")</f>
        <v/>
      </c>
      <c r="I1741" s="29">
        <f>IFERROR(IF(AND(ISNUMBER(B1741),ISNUMBER(H1741)),B1741/H1741-1,""),"")</f>
        <v/>
      </c>
      <c r="J1741" s="8">
        <f>IFERROR(IF(ISNUMBER(C1741),MAX(C1741,IFERROR(J1740,C1741)),""),"")</f>
        <v/>
      </c>
      <c r="K1741" s="29">
        <f>IFERROR(IF(AND(ISNUMBER(C1741),ISNUMBER(J1741)),C1741/J1741-1,""),"")</f>
        <v/>
      </c>
      <c r="L1741" s="28">
        <f>IFERROR(IF(AND(ISNUMBER(D1741),ISNUMBER(E1741)),D1741-E1741,""),"")</f>
        <v/>
      </c>
    </row>
    <row r="1742">
      <c r="A1742" s="7">
        <f>IFERROR(Datos!A1742,"")</f>
        <v/>
      </c>
      <c r="B1742" s="8">
        <f>IFERROR(Datos!B1742,"")</f>
        <v/>
      </c>
      <c r="C1742" s="8">
        <f>IFERROR(Datos!C1742,"")</f>
        <v/>
      </c>
      <c r="D1742" s="28">
        <f>IFERROR(IF(AND(ISNUMBER(B1742),ISNUMBER(B1741),B1741&lt;&gt;0),B1742/B1741-1,""),"")</f>
        <v/>
      </c>
      <c r="E1742" s="28">
        <f>IFERROR(IF(AND(ISNUMBER(C1742),ISNUMBER(C1741),C1741&lt;&gt;0),C1742/C1741-1,""),"")</f>
        <v/>
      </c>
      <c r="F1742" s="28">
        <f>IFERROR(D1742-Dashboard!$B$4/252,"")</f>
        <v/>
      </c>
      <c r="G1742" s="28">
        <f>IFERROR(E1742-Dashboard!$B$4/252,"")</f>
        <v/>
      </c>
      <c r="H1742" s="8">
        <f>IFERROR(IF(ISNUMBER(B1742),MAX(B1742,IFERROR(H1741,B1742)),""),"")</f>
        <v/>
      </c>
      <c r="I1742" s="29">
        <f>IFERROR(IF(AND(ISNUMBER(B1742),ISNUMBER(H1742)),B1742/H1742-1,""),"")</f>
        <v/>
      </c>
      <c r="J1742" s="8">
        <f>IFERROR(IF(ISNUMBER(C1742),MAX(C1742,IFERROR(J1741,C1742)),""),"")</f>
        <v/>
      </c>
      <c r="K1742" s="29">
        <f>IFERROR(IF(AND(ISNUMBER(C1742),ISNUMBER(J1742)),C1742/J1742-1,""),"")</f>
        <v/>
      </c>
      <c r="L1742" s="28">
        <f>IFERROR(IF(AND(ISNUMBER(D1742),ISNUMBER(E1742)),D1742-E1742,""),"")</f>
        <v/>
      </c>
    </row>
    <row r="1743">
      <c r="A1743" s="7">
        <f>IFERROR(Datos!A1743,"")</f>
        <v/>
      </c>
      <c r="B1743" s="8">
        <f>IFERROR(Datos!B1743,"")</f>
        <v/>
      </c>
      <c r="C1743" s="8">
        <f>IFERROR(Datos!C1743,"")</f>
        <v/>
      </c>
      <c r="D1743" s="28">
        <f>IFERROR(IF(AND(ISNUMBER(B1743),ISNUMBER(B1742),B1742&lt;&gt;0),B1743/B1742-1,""),"")</f>
        <v/>
      </c>
      <c r="E1743" s="28">
        <f>IFERROR(IF(AND(ISNUMBER(C1743),ISNUMBER(C1742),C1742&lt;&gt;0),C1743/C1742-1,""),"")</f>
        <v/>
      </c>
      <c r="F1743" s="28">
        <f>IFERROR(D1743-Dashboard!$B$4/252,"")</f>
        <v/>
      </c>
      <c r="G1743" s="28">
        <f>IFERROR(E1743-Dashboard!$B$4/252,"")</f>
        <v/>
      </c>
      <c r="H1743" s="8">
        <f>IFERROR(IF(ISNUMBER(B1743),MAX(B1743,IFERROR(H1742,B1743)),""),"")</f>
        <v/>
      </c>
      <c r="I1743" s="29">
        <f>IFERROR(IF(AND(ISNUMBER(B1743),ISNUMBER(H1743)),B1743/H1743-1,""),"")</f>
        <v/>
      </c>
      <c r="J1743" s="8">
        <f>IFERROR(IF(ISNUMBER(C1743),MAX(C1743,IFERROR(J1742,C1743)),""),"")</f>
        <v/>
      </c>
      <c r="K1743" s="29">
        <f>IFERROR(IF(AND(ISNUMBER(C1743),ISNUMBER(J1743)),C1743/J1743-1,""),"")</f>
        <v/>
      </c>
      <c r="L1743" s="28">
        <f>IFERROR(IF(AND(ISNUMBER(D1743),ISNUMBER(E1743)),D1743-E1743,""),"")</f>
        <v/>
      </c>
    </row>
    <row r="1744">
      <c r="A1744" s="7">
        <f>IFERROR(Datos!A1744,"")</f>
        <v/>
      </c>
      <c r="B1744" s="8">
        <f>IFERROR(Datos!B1744,"")</f>
        <v/>
      </c>
      <c r="C1744" s="8">
        <f>IFERROR(Datos!C1744,"")</f>
        <v/>
      </c>
      <c r="D1744" s="28">
        <f>IFERROR(IF(AND(ISNUMBER(B1744),ISNUMBER(B1743),B1743&lt;&gt;0),B1744/B1743-1,""),"")</f>
        <v/>
      </c>
      <c r="E1744" s="28">
        <f>IFERROR(IF(AND(ISNUMBER(C1744),ISNUMBER(C1743),C1743&lt;&gt;0),C1744/C1743-1,""),"")</f>
        <v/>
      </c>
      <c r="F1744" s="28">
        <f>IFERROR(D1744-Dashboard!$B$4/252,"")</f>
        <v/>
      </c>
      <c r="G1744" s="28">
        <f>IFERROR(E1744-Dashboard!$B$4/252,"")</f>
        <v/>
      </c>
      <c r="H1744" s="8">
        <f>IFERROR(IF(ISNUMBER(B1744),MAX(B1744,IFERROR(H1743,B1744)),""),"")</f>
        <v/>
      </c>
      <c r="I1744" s="29">
        <f>IFERROR(IF(AND(ISNUMBER(B1744),ISNUMBER(H1744)),B1744/H1744-1,""),"")</f>
        <v/>
      </c>
      <c r="J1744" s="8">
        <f>IFERROR(IF(ISNUMBER(C1744),MAX(C1744,IFERROR(J1743,C1744)),""),"")</f>
        <v/>
      </c>
      <c r="K1744" s="29">
        <f>IFERROR(IF(AND(ISNUMBER(C1744),ISNUMBER(J1744)),C1744/J1744-1,""),"")</f>
        <v/>
      </c>
      <c r="L1744" s="28">
        <f>IFERROR(IF(AND(ISNUMBER(D1744),ISNUMBER(E1744)),D1744-E1744,""),"")</f>
        <v/>
      </c>
    </row>
    <row r="1745">
      <c r="A1745" s="7">
        <f>IFERROR(Datos!A1745,"")</f>
        <v/>
      </c>
      <c r="B1745" s="8">
        <f>IFERROR(Datos!B1745,"")</f>
        <v/>
      </c>
      <c r="C1745" s="8">
        <f>IFERROR(Datos!C1745,"")</f>
        <v/>
      </c>
      <c r="D1745" s="28">
        <f>IFERROR(IF(AND(ISNUMBER(B1745),ISNUMBER(B1744),B1744&lt;&gt;0),B1745/B1744-1,""),"")</f>
        <v/>
      </c>
      <c r="E1745" s="28">
        <f>IFERROR(IF(AND(ISNUMBER(C1745),ISNUMBER(C1744),C1744&lt;&gt;0),C1745/C1744-1,""),"")</f>
        <v/>
      </c>
      <c r="F1745" s="28">
        <f>IFERROR(D1745-Dashboard!$B$4/252,"")</f>
        <v/>
      </c>
      <c r="G1745" s="28">
        <f>IFERROR(E1745-Dashboard!$B$4/252,"")</f>
        <v/>
      </c>
      <c r="H1745" s="8">
        <f>IFERROR(IF(ISNUMBER(B1745),MAX(B1745,IFERROR(H1744,B1745)),""),"")</f>
        <v/>
      </c>
      <c r="I1745" s="29">
        <f>IFERROR(IF(AND(ISNUMBER(B1745),ISNUMBER(H1745)),B1745/H1745-1,""),"")</f>
        <v/>
      </c>
      <c r="J1745" s="8">
        <f>IFERROR(IF(ISNUMBER(C1745),MAX(C1745,IFERROR(J1744,C1745)),""),"")</f>
        <v/>
      </c>
      <c r="K1745" s="29">
        <f>IFERROR(IF(AND(ISNUMBER(C1745),ISNUMBER(J1745)),C1745/J1745-1,""),"")</f>
        <v/>
      </c>
      <c r="L1745" s="28">
        <f>IFERROR(IF(AND(ISNUMBER(D1745),ISNUMBER(E1745)),D1745-E1745,""),"")</f>
        <v/>
      </c>
    </row>
    <row r="1746">
      <c r="A1746" s="7">
        <f>IFERROR(Datos!A1746,"")</f>
        <v/>
      </c>
      <c r="B1746" s="8">
        <f>IFERROR(Datos!B1746,"")</f>
        <v/>
      </c>
      <c r="C1746" s="8">
        <f>IFERROR(Datos!C1746,"")</f>
        <v/>
      </c>
      <c r="D1746" s="28">
        <f>IFERROR(IF(AND(ISNUMBER(B1746),ISNUMBER(B1745),B1745&lt;&gt;0),B1746/B1745-1,""),"")</f>
        <v/>
      </c>
      <c r="E1746" s="28">
        <f>IFERROR(IF(AND(ISNUMBER(C1746),ISNUMBER(C1745),C1745&lt;&gt;0),C1746/C1745-1,""),"")</f>
        <v/>
      </c>
      <c r="F1746" s="28">
        <f>IFERROR(D1746-Dashboard!$B$4/252,"")</f>
        <v/>
      </c>
      <c r="G1746" s="28">
        <f>IFERROR(E1746-Dashboard!$B$4/252,"")</f>
        <v/>
      </c>
      <c r="H1746" s="8">
        <f>IFERROR(IF(ISNUMBER(B1746),MAX(B1746,IFERROR(H1745,B1746)),""),"")</f>
        <v/>
      </c>
      <c r="I1746" s="29">
        <f>IFERROR(IF(AND(ISNUMBER(B1746),ISNUMBER(H1746)),B1746/H1746-1,""),"")</f>
        <v/>
      </c>
      <c r="J1746" s="8">
        <f>IFERROR(IF(ISNUMBER(C1746),MAX(C1746,IFERROR(J1745,C1746)),""),"")</f>
        <v/>
      </c>
      <c r="K1746" s="29">
        <f>IFERROR(IF(AND(ISNUMBER(C1746),ISNUMBER(J1746)),C1746/J1746-1,""),"")</f>
        <v/>
      </c>
      <c r="L1746" s="28">
        <f>IFERROR(IF(AND(ISNUMBER(D1746),ISNUMBER(E1746)),D1746-E1746,""),"")</f>
        <v/>
      </c>
    </row>
    <row r="1747">
      <c r="A1747" s="7">
        <f>IFERROR(Datos!A1747,"")</f>
        <v/>
      </c>
      <c r="B1747" s="8">
        <f>IFERROR(Datos!B1747,"")</f>
        <v/>
      </c>
      <c r="C1747" s="8">
        <f>IFERROR(Datos!C1747,"")</f>
        <v/>
      </c>
      <c r="D1747" s="28">
        <f>IFERROR(IF(AND(ISNUMBER(B1747),ISNUMBER(B1746),B1746&lt;&gt;0),B1747/B1746-1,""),"")</f>
        <v/>
      </c>
      <c r="E1747" s="28">
        <f>IFERROR(IF(AND(ISNUMBER(C1747),ISNUMBER(C1746),C1746&lt;&gt;0),C1747/C1746-1,""),"")</f>
        <v/>
      </c>
      <c r="F1747" s="28">
        <f>IFERROR(D1747-Dashboard!$B$4/252,"")</f>
        <v/>
      </c>
      <c r="G1747" s="28">
        <f>IFERROR(E1747-Dashboard!$B$4/252,"")</f>
        <v/>
      </c>
      <c r="H1747" s="8">
        <f>IFERROR(IF(ISNUMBER(B1747),MAX(B1747,IFERROR(H1746,B1747)),""),"")</f>
        <v/>
      </c>
      <c r="I1747" s="29">
        <f>IFERROR(IF(AND(ISNUMBER(B1747),ISNUMBER(H1747)),B1747/H1747-1,""),"")</f>
        <v/>
      </c>
      <c r="J1747" s="8">
        <f>IFERROR(IF(ISNUMBER(C1747),MAX(C1747,IFERROR(J1746,C1747)),""),"")</f>
        <v/>
      </c>
      <c r="K1747" s="29">
        <f>IFERROR(IF(AND(ISNUMBER(C1747),ISNUMBER(J1747)),C1747/J1747-1,""),"")</f>
        <v/>
      </c>
      <c r="L1747" s="28">
        <f>IFERROR(IF(AND(ISNUMBER(D1747),ISNUMBER(E1747)),D1747-E1747,""),"")</f>
        <v/>
      </c>
    </row>
    <row r="1748">
      <c r="A1748" s="7">
        <f>IFERROR(Datos!A1748,"")</f>
        <v/>
      </c>
      <c r="B1748" s="8">
        <f>IFERROR(Datos!B1748,"")</f>
        <v/>
      </c>
      <c r="C1748" s="8">
        <f>IFERROR(Datos!C1748,"")</f>
        <v/>
      </c>
      <c r="D1748" s="28">
        <f>IFERROR(IF(AND(ISNUMBER(B1748),ISNUMBER(B1747),B1747&lt;&gt;0),B1748/B1747-1,""),"")</f>
        <v/>
      </c>
      <c r="E1748" s="28">
        <f>IFERROR(IF(AND(ISNUMBER(C1748),ISNUMBER(C1747),C1747&lt;&gt;0),C1748/C1747-1,""),"")</f>
        <v/>
      </c>
      <c r="F1748" s="28">
        <f>IFERROR(D1748-Dashboard!$B$4/252,"")</f>
        <v/>
      </c>
      <c r="G1748" s="28">
        <f>IFERROR(E1748-Dashboard!$B$4/252,"")</f>
        <v/>
      </c>
      <c r="H1748" s="8">
        <f>IFERROR(IF(ISNUMBER(B1748),MAX(B1748,IFERROR(H1747,B1748)),""),"")</f>
        <v/>
      </c>
      <c r="I1748" s="29">
        <f>IFERROR(IF(AND(ISNUMBER(B1748),ISNUMBER(H1748)),B1748/H1748-1,""),"")</f>
        <v/>
      </c>
      <c r="J1748" s="8">
        <f>IFERROR(IF(ISNUMBER(C1748),MAX(C1748,IFERROR(J1747,C1748)),""),"")</f>
        <v/>
      </c>
      <c r="K1748" s="29">
        <f>IFERROR(IF(AND(ISNUMBER(C1748),ISNUMBER(J1748)),C1748/J1748-1,""),"")</f>
        <v/>
      </c>
      <c r="L1748" s="28">
        <f>IFERROR(IF(AND(ISNUMBER(D1748),ISNUMBER(E1748)),D1748-E1748,""),"")</f>
        <v/>
      </c>
    </row>
    <row r="1749">
      <c r="A1749" s="7">
        <f>IFERROR(Datos!A1749,"")</f>
        <v/>
      </c>
      <c r="B1749" s="8">
        <f>IFERROR(Datos!B1749,"")</f>
        <v/>
      </c>
      <c r="C1749" s="8">
        <f>IFERROR(Datos!C1749,"")</f>
        <v/>
      </c>
      <c r="D1749" s="28">
        <f>IFERROR(IF(AND(ISNUMBER(B1749),ISNUMBER(B1748),B1748&lt;&gt;0),B1749/B1748-1,""),"")</f>
        <v/>
      </c>
      <c r="E1749" s="28">
        <f>IFERROR(IF(AND(ISNUMBER(C1749),ISNUMBER(C1748),C1748&lt;&gt;0),C1749/C1748-1,""),"")</f>
        <v/>
      </c>
      <c r="F1749" s="28">
        <f>IFERROR(D1749-Dashboard!$B$4/252,"")</f>
        <v/>
      </c>
      <c r="G1749" s="28">
        <f>IFERROR(E1749-Dashboard!$B$4/252,"")</f>
        <v/>
      </c>
      <c r="H1749" s="8">
        <f>IFERROR(IF(ISNUMBER(B1749),MAX(B1749,IFERROR(H1748,B1749)),""),"")</f>
        <v/>
      </c>
      <c r="I1749" s="29">
        <f>IFERROR(IF(AND(ISNUMBER(B1749),ISNUMBER(H1749)),B1749/H1749-1,""),"")</f>
        <v/>
      </c>
      <c r="J1749" s="8">
        <f>IFERROR(IF(ISNUMBER(C1749),MAX(C1749,IFERROR(J1748,C1749)),""),"")</f>
        <v/>
      </c>
      <c r="K1749" s="29">
        <f>IFERROR(IF(AND(ISNUMBER(C1749),ISNUMBER(J1749)),C1749/J1749-1,""),"")</f>
        <v/>
      </c>
      <c r="L1749" s="28">
        <f>IFERROR(IF(AND(ISNUMBER(D1749),ISNUMBER(E1749)),D1749-E1749,""),"")</f>
        <v/>
      </c>
    </row>
    <row r="1750">
      <c r="A1750" s="7">
        <f>IFERROR(Datos!A1750,"")</f>
        <v/>
      </c>
      <c r="B1750" s="8">
        <f>IFERROR(Datos!B1750,"")</f>
        <v/>
      </c>
      <c r="C1750" s="8">
        <f>IFERROR(Datos!C1750,"")</f>
        <v/>
      </c>
      <c r="D1750" s="28">
        <f>IFERROR(IF(AND(ISNUMBER(B1750),ISNUMBER(B1749),B1749&lt;&gt;0),B1750/B1749-1,""),"")</f>
        <v/>
      </c>
      <c r="E1750" s="28">
        <f>IFERROR(IF(AND(ISNUMBER(C1750),ISNUMBER(C1749),C1749&lt;&gt;0),C1750/C1749-1,""),"")</f>
        <v/>
      </c>
      <c r="F1750" s="28">
        <f>IFERROR(D1750-Dashboard!$B$4/252,"")</f>
        <v/>
      </c>
      <c r="G1750" s="28">
        <f>IFERROR(E1750-Dashboard!$B$4/252,"")</f>
        <v/>
      </c>
      <c r="H1750" s="8">
        <f>IFERROR(IF(ISNUMBER(B1750),MAX(B1750,IFERROR(H1749,B1750)),""),"")</f>
        <v/>
      </c>
      <c r="I1750" s="29">
        <f>IFERROR(IF(AND(ISNUMBER(B1750),ISNUMBER(H1750)),B1750/H1750-1,""),"")</f>
        <v/>
      </c>
      <c r="J1750" s="8">
        <f>IFERROR(IF(ISNUMBER(C1750),MAX(C1750,IFERROR(J1749,C1750)),""),"")</f>
        <v/>
      </c>
      <c r="K1750" s="29">
        <f>IFERROR(IF(AND(ISNUMBER(C1750),ISNUMBER(J1750)),C1750/J1750-1,""),"")</f>
        <v/>
      </c>
      <c r="L1750" s="28">
        <f>IFERROR(IF(AND(ISNUMBER(D1750),ISNUMBER(E1750)),D1750-E1750,""),"")</f>
        <v/>
      </c>
    </row>
    <row r="1751">
      <c r="A1751" s="7">
        <f>IFERROR(Datos!A1751,"")</f>
        <v/>
      </c>
      <c r="B1751" s="8">
        <f>IFERROR(Datos!B1751,"")</f>
        <v/>
      </c>
      <c r="C1751" s="8">
        <f>IFERROR(Datos!C1751,"")</f>
        <v/>
      </c>
      <c r="D1751" s="28">
        <f>IFERROR(IF(AND(ISNUMBER(B1751),ISNUMBER(B1750),B1750&lt;&gt;0),B1751/B1750-1,""),"")</f>
        <v/>
      </c>
      <c r="E1751" s="28">
        <f>IFERROR(IF(AND(ISNUMBER(C1751),ISNUMBER(C1750),C1750&lt;&gt;0),C1751/C1750-1,""),"")</f>
        <v/>
      </c>
      <c r="F1751" s="28">
        <f>IFERROR(D1751-Dashboard!$B$4/252,"")</f>
        <v/>
      </c>
      <c r="G1751" s="28">
        <f>IFERROR(E1751-Dashboard!$B$4/252,"")</f>
        <v/>
      </c>
      <c r="H1751" s="8">
        <f>IFERROR(IF(ISNUMBER(B1751),MAX(B1751,IFERROR(H1750,B1751)),""),"")</f>
        <v/>
      </c>
      <c r="I1751" s="29">
        <f>IFERROR(IF(AND(ISNUMBER(B1751),ISNUMBER(H1751)),B1751/H1751-1,""),"")</f>
        <v/>
      </c>
      <c r="J1751" s="8">
        <f>IFERROR(IF(ISNUMBER(C1751),MAX(C1751,IFERROR(J1750,C1751)),""),"")</f>
        <v/>
      </c>
      <c r="K1751" s="29">
        <f>IFERROR(IF(AND(ISNUMBER(C1751),ISNUMBER(J1751)),C1751/J1751-1,""),"")</f>
        <v/>
      </c>
      <c r="L1751" s="28">
        <f>IFERROR(IF(AND(ISNUMBER(D1751),ISNUMBER(E1751)),D1751-E1751,""),"")</f>
        <v/>
      </c>
    </row>
    <row r="1752">
      <c r="A1752" s="7">
        <f>IFERROR(Datos!A1752,"")</f>
        <v/>
      </c>
      <c r="B1752" s="8">
        <f>IFERROR(Datos!B1752,"")</f>
        <v/>
      </c>
      <c r="C1752" s="8">
        <f>IFERROR(Datos!C1752,"")</f>
        <v/>
      </c>
      <c r="D1752" s="28">
        <f>IFERROR(IF(AND(ISNUMBER(B1752),ISNUMBER(B1751),B1751&lt;&gt;0),B1752/B1751-1,""),"")</f>
        <v/>
      </c>
      <c r="E1752" s="28">
        <f>IFERROR(IF(AND(ISNUMBER(C1752),ISNUMBER(C1751),C1751&lt;&gt;0),C1752/C1751-1,""),"")</f>
        <v/>
      </c>
      <c r="F1752" s="28">
        <f>IFERROR(D1752-Dashboard!$B$4/252,"")</f>
        <v/>
      </c>
      <c r="G1752" s="28">
        <f>IFERROR(E1752-Dashboard!$B$4/252,"")</f>
        <v/>
      </c>
      <c r="H1752" s="8">
        <f>IFERROR(IF(ISNUMBER(B1752),MAX(B1752,IFERROR(H1751,B1752)),""),"")</f>
        <v/>
      </c>
      <c r="I1752" s="29">
        <f>IFERROR(IF(AND(ISNUMBER(B1752),ISNUMBER(H1752)),B1752/H1752-1,""),"")</f>
        <v/>
      </c>
      <c r="J1752" s="8">
        <f>IFERROR(IF(ISNUMBER(C1752),MAX(C1752,IFERROR(J1751,C1752)),""),"")</f>
        <v/>
      </c>
      <c r="K1752" s="29">
        <f>IFERROR(IF(AND(ISNUMBER(C1752),ISNUMBER(J1752)),C1752/J1752-1,""),"")</f>
        <v/>
      </c>
      <c r="L1752" s="28">
        <f>IFERROR(IF(AND(ISNUMBER(D1752),ISNUMBER(E1752)),D1752-E1752,""),"")</f>
        <v/>
      </c>
    </row>
    <row r="1753">
      <c r="A1753" s="7">
        <f>IFERROR(Datos!A1753,"")</f>
        <v/>
      </c>
      <c r="B1753" s="8">
        <f>IFERROR(Datos!B1753,"")</f>
        <v/>
      </c>
      <c r="C1753" s="8">
        <f>IFERROR(Datos!C1753,"")</f>
        <v/>
      </c>
      <c r="D1753" s="28">
        <f>IFERROR(IF(AND(ISNUMBER(B1753),ISNUMBER(B1752),B1752&lt;&gt;0),B1753/B1752-1,""),"")</f>
        <v/>
      </c>
      <c r="E1753" s="28">
        <f>IFERROR(IF(AND(ISNUMBER(C1753),ISNUMBER(C1752),C1752&lt;&gt;0),C1753/C1752-1,""),"")</f>
        <v/>
      </c>
      <c r="F1753" s="28">
        <f>IFERROR(D1753-Dashboard!$B$4/252,"")</f>
        <v/>
      </c>
      <c r="G1753" s="28">
        <f>IFERROR(E1753-Dashboard!$B$4/252,"")</f>
        <v/>
      </c>
      <c r="H1753" s="8">
        <f>IFERROR(IF(ISNUMBER(B1753),MAX(B1753,IFERROR(H1752,B1753)),""),"")</f>
        <v/>
      </c>
      <c r="I1753" s="29">
        <f>IFERROR(IF(AND(ISNUMBER(B1753),ISNUMBER(H1753)),B1753/H1753-1,""),"")</f>
        <v/>
      </c>
      <c r="J1753" s="8">
        <f>IFERROR(IF(ISNUMBER(C1753),MAX(C1753,IFERROR(J1752,C1753)),""),"")</f>
        <v/>
      </c>
      <c r="K1753" s="29">
        <f>IFERROR(IF(AND(ISNUMBER(C1753),ISNUMBER(J1753)),C1753/J1753-1,""),"")</f>
        <v/>
      </c>
      <c r="L1753" s="28">
        <f>IFERROR(IF(AND(ISNUMBER(D1753),ISNUMBER(E1753)),D1753-E1753,""),"")</f>
        <v/>
      </c>
    </row>
    <row r="1754">
      <c r="A1754" s="7">
        <f>IFERROR(Datos!A1754,"")</f>
        <v/>
      </c>
      <c r="B1754" s="8">
        <f>IFERROR(Datos!B1754,"")</f>
        <v/>
      </c>
      <c r="C1754" s="8">
        <f>IFERROR(Datos!C1754,"")</f>
        <v/>
      </c>
      <c r="D1754" s="28">
        <f>IFERROR(IF(AND(ISNUMBER(B1754),ISNUMBER(B1753),B1753&lt;&gt;0),B1754/B1753-1,""),"")</f>
        <v/>
      </c>
      <c r="E1754" s="28">
        <f>IFERROR(IF(AND(ISNUMBER(C1754),ISNUMBER(C1753),C1753&lt;&gt;0),C1754/C1753-1,""),"")</f>
        <v/>
      </c>
      <c r="F1754" s="28">
        <f>IFERROR(D1754-Dashboard!$B$4/252,"")</f>
        <v/>
      </c>
      <c r="G1754" s="28">
        <f>IFERROR(E1754-Dashboard!$B$4/252,"")</f>
        <v/>
      </c>
      <c r="H1754" s="8">
        <f>IFERROR(IF(ISNUMBER(B1754),MAX(B1754,IFERROR(H1753,B1754)),""),"")</f>
        <v/>
      </c>
      <c r="I1754" s="29">
        <f>IFERROR(IF(AND(ISNUMBER(B1754),ISNUMBER(H1754)),B1754/H1754-1,""),"")</f>
        <v/>
      </c>
      <c r="J1754" s="8">
        <f>IFERROR(IF(ISNUMBER(C1754),MAX(C1754,IFERROR(J1753,C1754)),""),"")</f>
        <v/>
      </c>
      <c r="K1754" s="29">
        <f>IFERROR(IF(AND(ISNUMBER(C1754),ISNUMBER(J1754)),C1754/J1754-1,""),"")</f>
        <v/>
      </c>
      <c r="L1754" s="28">
        <f>IFERROR(IF(AND(ISNUMBER(D1754),ISNUMBER(E1754)),D1754-E1754,""),"")</f>
        <v/>
      </c>
    </row>
    <row r="1755">
      <c r="A1755" s="7">
        <f>IFERROR(Datos!A1755,"")</f>
        <v/>
      </c>
      <c r="B1755" s="8">
        <f>IFERROR(Datos!B1755,"")</f>
        <v/>
      </c>
      <c r="C1755" s="8">
        <f>IFERROR(Datos!C1755,"")</f>
        <v/>
      </c>
      <c r="D1755" s="28">
        <f>IFERROR(IF(AND(ISNUMBER(B1755),ISNUMBER(B1754),B1754&lt;&gt;0),B1755/B1754-1,""),"")</f>
        <v/>
      </c>
      <c r="E1755" s="28">
        <f>IFERROR(IF(AND(ISNUMBER(C1755),ISNUMBER(C1754),C1754&lt;&gt;0),C1755/C1754-1,""),"")</f>
        <v/>
      </c>
      <c r="F1755" s="28">
        <f>IFERROR(D1755-Dashboard!$B$4/252,"")</f>
        <v/>
      </c>
      <c r="G1755" s="28">
        <f>IFERROR(E1755-Dashboard!$B$4/252,"")</f>
        <v/>
      </c>
      <c r="H1755" s="8">
        <f>IFERROR(IF(ISNUMBER(B1755),MAX(B1755,IFERROR(H1754,B1755)),""),"")</f>
        <v/>
      </c>
      <c r="I1755" s="29">
        <f>IFERROR(IF(AND(ISNUMBER(B1755),ISNUMBER(H1755)),B1755/H1755-1,""),"")</f>
        <v/>
      </c>
      <c r="J1755" s="8">
        <f>IFERROR(IF(ISNUMBER(C1755),MAX(C1755,IFERROR(J1754,C1755)),""),"")</f>
        <v/>
      </c>
      <c r="K1755" s="29">
        <f>IFERROR(IF(AND(ISNUMBER(C1755),ISNUMBER(J1755)),C1755/J1755-1,""),"")</f>
        <v/>
      </c>
      <c r="L1755" s="28">
        <f>IFERROR(IF(AND(ISNUMBER(D1755),ISNUMBER(E1755)),D1755-E1755,""),"")</f>
        <v/>
      </c>
    </row>
    <row r="1756">
      <c r="A1756" s="7">
        <f>IFERROR(Datos!A1756,"")</f>
        <v/>
      </c>
      <c r="B1756" s="8">
        <f>IFERROR(Datos!B1756,"")</f>
        <v/>
      </c>
      <c r="C1756" s="8">
        <f>IFERROR(Datos!C1756,"")</f>
        <v/>
      </c>
      <c r="D1756" s="28">
        <f>IFERROR(IF(AND(ISNUMBER(B1756),ISNUMBER(B1755),B1755&lt;&gt;0),B1756/B1755-1,""),"")</f>
        <v/>
      </c>
      <c r="E1756" s="28">
        <f>IFERROR(IF(AND(ISNUMBER(C1756),ISNUMBER(C1755),C1755&lt;&gt;0),C1756/C1755-1,""),"")</f>
        <v/>
      </c>
      <c r="F1756" s="28">
        <f>IFERROR(D1756-Dashboard!$B$4/252,"")</f>
        <v/>
      </c>
      <c r="G1756" s="28">
        <f>IFERROR(E1756-Dashboard!$B$4/252,"")</f>
        <v/>
      </c>
      <c r="H1756" s="8">
        <f>IFERROR(IF(ISNUMBER(B1756),MAX(B1756,IFERROR(H1755,B1756)),""),"")</f>
        <v/>
      </c>
      <c r="I1756" s="29">
        <f>IFERROR(IF(AND(ISNUMBER(B1756),ISNUMBER(H1756)),B1756/H1756-1,""),"")</f>
        <v/>
      </c>
      <c r="J1756" s="8">
        <f>IFERROR(IF(ISNUMBER(C1756),MAX(C1756,IFERROR(J1755,C1756)),""),"")</f>
        <v/>
      </c>
      <c r="K1756" s="29">
        <f>IFERROR(IF(AND(ISNUMBER(C1756),ISNUMBER(J1756)),C1756/J1756-1,""),"")</f>
        <v/>
      </c>
      <c r="L1756" s="28">
        <f>IFERROR(IF(AND(ISNUMBER(D1756),ISNUMBER(E1756)),D1756-E1756,""),"")</f>
        <v/>
      </c>
    </row>
    <row r="1757">
      <c r="A1757" s="7">
        <f>IFERROR(Datos!A1757,"")</f>
        <v/>
      </c>
      <c r="B1757" s="8">
        <f>IFERROR(Datos!B1757,"")</f>
        <v/>
      </c>
      <c r="C1757" s="8">
        <f>IFERROR(Datos!C1757,"")</f>
        <v/>
      </c>
      <c r="D1757" s="28">
        <f>IFERROR(IF(AND(ISNUMBER(B1757),ISNUMBER(B1756),B1756&lt;&gt;0),B1757/B1756-1,""),"")</f>
        <v/>
      </c>
      <c r="E1757" s="28">
        <f>IFERROR(IF(AND(ISNUMBER(C1757),ISNUMBER(C1756),C1756&lt;&gt;0),C1757/C1756-1,""),"")</f>
        <v/>
      </c>
      <c r="F1757" s="28">
        <f>IFERROR(D1757-Dashboard!$B$4/252,"")</f>
        <v/>
      </c>
      <c r="G1757" s="28">
        <f>IFERROR(E1757-Dashboard!$B$4/252,"")</f>
        <v/>
      </c>
      <c r="H1757" s="8">
        <f>IFERROR(IF(ISNUMBER(B1757),MAX(B1757,IFERROR(H1756,B1757)),""),"")</f>
        <v/>
      </c>
      <c r="I1757" s="29">
        <f>IFERROR(IF(AND(ISNUMBER(B1757),ISNUMBER(H1757)),B1757/H1757-1,""),"")</f>
        <v/>
      </c>
      <c r="J1757" s="8">
        <f>IFERROR(IF(ISNUMBER(C1757),MAX(C1757,IFERROR(J1756,C1757)),""),"")</f>
        <v/>
      </c>
      <c r="K1757" s="29">
        <f>IFERROR(IF(AND(ISNUMBER(C1757),ISNUMBER(J1757)),C1757/J1757-1,""),"")</f>
        <v/>
      </c>
      <c r="L1757" s="28">
        <f>IFERROR(IF(AND(ISNUMBER(D1757),ISNUMBER(E1757)),D1757-E1757,""),"")</f>
        <v/>
      </c>
    </row>
    <row r="1758">
      <c r="A1758" s="7">
        <f>IFERROR(Datos!A1758,"")</f>
        <v/>
      </c>
      <c r="B1758" s="8">
        <f>IFERROR(Datos!B1758,"")</f>
        <v/>
      </c>
      <c r="C1758" s="8">
        <f>IFERROR(Datos!C1758,"")</f>
        <v/>
      </c>
      <c r="D1758" s="28">
        <f>IFERROR(IF(AND(ISNUMBER(B1758),ISNUMBER(B1757),B1757&lt;&gt;0),B1758/B1757-1,""),"")</f>
        <v/>
      </c>
      <c r="E1758" s="28">
        <f>IFERROR(IF(AND(ISNUMBER(C1758),ISNUMBER(C1757),C1757&lt;&gt;0),C1758/C1757-1,""),"")</f>
        <v/>
      </c>
      <c r="F1758" s="28">
        <f>IFERROR(D1758-Dashboard!$B$4/252,"")</f>
        <v/>
      </c>
      <c r="G1758" s="28">
        <f>IFERROR(E1758-Dashboard!$B$4/252,"")</f>
        <v/>
      </c>
      <c r="H1758" s="8">
        <f>IFERROR(IF(ISNUMBER(B1758),MAX(B1758,IFERROR(H1757,B1758)),""),"")</f>
        <v/>
      </c>
      <c r="I1758" s="29">
        <f>IFERROR(IF(AND(ISNUMBER(B1758),ISNUMBER(H1758)),B1758/H1758-1,""),"")</f>
        <v/>
      </c>
      <c r="J1758" s="8">
        <f>IFERROR(IF(ISNUMBER(C1758),MAX(C1758,IFERROR(J1757,C1758)),""),"")</f>
        <v/>
      </c>
      <c r="K1758" s="29">
        <f>IFERROR(IF(AND(ISNUMBER(C1758),ISNUMBER(J1758)),C1758/J1758-1,""),"")</f>
        <v/>
      </c>
      <c r="L1758" s="28">
        <f>IFERROR(IF(AND(ISNUMBER(D1758),ISNUMBER(E1758)),D1758-E1758,""),"")</f>
        <v/>
      </c>
    </row>
    <row r="1759">
      <c r="A1759" s="7">
        <f>IFERROR(Datos!A1759,"")</f>
        <v/>
      </c>
      <c r="B1759" s="8">
        <f>IFERROR(Datos!B1759,"")</f>
        <v/>
      </c>
      <c r="C1759" s="8">
        <f>IFERROR(Datos!C1759,"")</f>
        <v/>
      </c>
      <c r="D1759" s="28">
        <f>IFERROR(IF(AND(ISNUMBER(B1759),ISNUMBER(B1758),B1758&lt;&gt;0),B1759/B1758-1,""),"")</f>
        <v/>
      </c>
      <c r="E1759" s="28">
        <f>IFERROR(IF(AND(ISNUMBER(C1759),ISNUMBER(C1758),C1758&lt;&gt;0),C1759/C1758-1,""),"")</f>
        <v/>
      </c>
      <c r="F1759" s="28">
        <f>IFERROR(D1759-Dashboard!$B$4/252,"")</f>
        <v/>
      </c>
      <c r="G1759" s="28">
        <f>IFERROR(E1759-Dashboard!$B$4/252,"")</f>
        <v/>
      </c>
      <c r="H1759" s="8">
        <f>IFERROR(IF(ISNUMBER(B1759),MAX(B1759,IFERROR(H1758,B1759)),""),"")</f>
        <v/>
      </c>
      <c r="I1759" s="29">
        <f>IFERROR(IF(AND(ISNUMBER(B1759),ISNUMBER(H1759)),B1759/H1759-1,""),"")</f>
        <v/>
      </c>
      <c r="J1759" s="8">
        <f>IFERROR(IF(ISNUMBER(C1759),MAX(C1759,IFERROR(J1758,C1759)),""),"")</f>
        <v/>
      </c>
      <c r="K1759" s="29">
        <f>IFERROR(IF(AND(ISNUMBER(C1759),ISNUMBER(J1759)),C1759/J1759-1,""),"")</f>
        <v/>
      </c>
      <c r="L1759" s="28">
        <f>IFERROR(IF(AND(ISNUMBER(D1759),ISNUMBER(E1759)),D1759-E1759,""),"")</f>
        <v/>
      </c>
    </row>
    <row r="1760">
      <c r="A1760" s="7">
        <f>IFERROR(Datos!A1760,"")</f>
        <v/>
      </c>
      <c r="B1760" s="8">
        <f>IFERROR(Datos!B1760,"")</f>
        <v/>
      </c>
      <c r="C1760" s="8">
        <f>IFERROR(Datos!C1760,"")</f>
        <v/>
      </c>
      <c r="D1760" s="28">
        <f>IFERROR(IF(AND(ISNUMBER(B1760),ISNUMBER(B1759),B1759&lt;&gt;0),B1760/B1759-1,""),"")</f>
        <v/>
      </c>
      <c r="E1760" s="28">
        <f>IFERROR(IF(AND(ISNUMBER(C1760),ISNUMBER(C1759),C1759&lt;&gt;0),C1760/C1759-1,""),"")</f>
        <v/>
      </c>
      <c r="F1760" s="28">
        <f>IFERROR(D1760-Dashboard!$B$4/252,"")</f>
        <v/>
      </c>
      <c r="G1760" s="28">
        <f>IFERROR(E1760-Dashboard!$B$4/252,"")</f>
        <v/>
      </c>
      <c r="H1760" s="8">
        <f>IFERROR(IF(ISNUMBER(B1760),MAX(B1760,IFERROR(H1759,B1760)),""),"")</f>
        <v/>
      </c>
      <c r="I1760" s="29">
        <f>IFERROR(IF(AND(ISNUMBER(B1760),ISNUMBER(H1760)),B1760/H1760-1,""),"")</f>
        <v/>
      </c>
      <c r="J1760" s="8">
        <f>IFERROR(IF(ISNUMBER(C1760),MAX(C1760,IFERROR(J1759,C1760)),""),"")</f>
        <v/>
      </c>
      <c r="K1760" s="29">
        <f>IFERROR(IF(AND(ISNUMBER(C1760),ISNUMBER(J1760)),C1760/J1760-1,""),"")</f>
        <v/>
      </c>
      <c r="L1760" s="28">
        <f>IFERROR(IF(AND(ISNUMBER(D1760),ISNUMBER(E1760)),D1760-E1760,""),"")</f>
        <v/>
      </c>
    </row>
    <row r="1761">
      <c r="A1761" s="7">
        <f>IFERROR(Datos!A1761,"")</f>
        <v/>
      </c>
      <c r="B1761" s="8">
        <f>IFERROR(Datos!B1761,"")</f>
        <v/>
      </c>
      <c r="C1761" s="8">
        <f>IFERROR(Datos!C1761,"")</f>
        <v/>
      </c>
      <c r="D1761" s="28">
        <f>IFERROR(IF(AND(ISNUMBER(B1761),ISNUMBER(B1760),B1760&lt;&gt;0),B1761/B1760-1,""),"")</f>
        <v/>
      </c>
      <c r="E1761" s="28">
        <f>IFERROR(IF(AND(ISNUMBER(C1761),ISNUMBER(C1760),C1760&lt;&gt;0),C1761/C1760-1,""),"")</f>
        <v/>
      </c>
      <c r="F1761" s="28">
        <f>IFERROR(D1761-Dashboard!$B$4/252,"")</f>
        <v/>
      </c>
      <c r="G1761" s="28">
        <f>IFERROR(E1761-Dashboard!$B$4/252,"")</f>
        <v/>
      </c>
      <c r="H1761" s="8">
        <f>IFERROR(IF(ISNUMBER(B1761),MAX(B1761,IFERROR(H1760,B1761)),""),"")</f>
        <v/>
      </c>
      <c r="I1761" s="29">
        <f>IFERROR(IF(AND(ISNUMBER(B1761),ISNUMBER(H1761)),B1761/H1761-1,""),"")</f>
        <v/>
      </c>
      <c r="J1761" s="8">
        <f>IFERROR(IF(ISNUMBER(C1761),MAX(C1761,IFERROR(J1760,C1761)),""),"")</f>
        <v/>
      </c>
      <c r="K1761" s="29">
        <f>IFERROR(IF(AND(ISNUMBER(C1761),ISNUMBER(J1761)),C1761/J1761-1,""),"")</f>
        <v/>
      </c>
      <c r="L1761" s="28">
        <f>IFERROR(IF(AND(ISNUMBER(D1761),ISNUMBER(E1761)),D1761-E1761,""),"")</f>
        <v/>
      </c>
    </row>
    <row r="1762">
      <c r="A1762" s="7">
        <f>IFERROR(Datos!A1762,"")</f>
        <v/>
      </c>
      <c r="B1762" s="8">
        <f>IFERROR(Datos!B1762,"")</f>
        <v/>
      </c>
      <c r="C1762" s="8">
        <f>IFERROR(Datos!C1762,"")</f>
        <v/>
      </c>
      <c r="D1762" s="28">
        <f>IFERROR(IF(AND(ISNUMBER(B1762),ISNUMBER(B1761),B1761&lt;&gt;0),B1762/B1761-1,""),"")</f>
        <v/>
      </c>
      <c r="E1762" s="28">
        <f>IFERROR(IF(AND(ISNUMBER(C1762),ISNUMBER(C1761),C1761&lt;&gt;0),C1762/C1761-1,""),"")</f>
        <v/>
      </c>
      <c r="F1762" s="28">
        <f>IFERROR(D1762-Dashboard!$B$4/252,"")</f>
        <v/>
      </c>
      <c r="G1762" s="28">
        <f>IFERROR(E1762-Dashboard!$B$4/252,"")</f>
        <v/>
      </c>
      <c r="H1762" s="8">
        <f>IFERROR(IF(ISNUMBER(B1762),MAX(B1762,IFERROR(H1761,B1762)),""),"")</f>
        <v/>
      </c>
      <c r="I1762" s="29">
        <f>IFERROR(IF(AND(ISNUMBER(B1762),ISNUMBER(H1762)),B1762/H1762-1,""),"")</f>
        <v/>
      </c>
      <c r="J1762" s="8">
        <f>IFERROR(IF(ISNUMBER(C1762),MAX(C1762,IFERROR(J1761,C1762)),""),"")</f>
        <v/>
      </c>
      <c r="K1762" s="29">
        <f>IFERROR(IF(AND(ISNUMBER(C1762),ISNUMBER(J1762)),C1762/J1762-1,""),"")</f>
        <v/>
      </c>
      <c r="L1762" s="28">
        <f>IFERROR(IF(AND(ISNUMBER(D1762),ISNUMBER(E1762)),D1762-E1762,""),"")</f>
        <v/>
      </c>
    </row>
    <row r="1763">
      <c r="A1763" s="7">
        <f>IFERROR(Datos!A1763,"")</f>
        <v/>
      </c>
      <c r="B1763" s="8">
        <f>IFERROR(Datos!B1763,"")</f>
        <v/>
      </c>
      <c r="C1763" s="8">
        <f>IFERROR(Datos!C1763,"")</f>
        <v/>
      </c>
      <c r="D1763" s="28">
        <f>IFERROR(IF(AND(ISNUMBER(B1763),ISNUMBER(B1762),B1762&lt;&gt;0),B1763/B1762-1,""),"")</f>
        <v/>
      </c>
      <c r="E1763" s="28">
        <f>IFERROR(IF(AND(ISNUMBER(C1763),ISNUMBER(C1762),C1762&lt;&gt;0),C1763/C1762-1,""),"")</f>
        <v/>
      </c>
      <c r="F1763" s="28">
        <f>IFERROR(D1763-Dashboard!$B$4/252,"")</f>
        <v/>
      </c>
      <c r="G1763" s="28">
        <f>IFERROR(E1763-Dashboard!$B$4/252,"")</f>
        <v/>
      </c>
      <c r="H1763" s="8">
        <f>IFERROR(IF(ISNUMBER(B1763),MAX(B1763,IFERROR(H1762,B1763)),""),"")</f>
        <v/>
      </c>
      <c r="I1763" s="29">
        <f>IFERROR(IF(AND(ISNUMBER(B1763),ISNUMBER(H1763)),B1763/H1763-1,""),"")</f>
        <v/>
      </c>
      <c r="J1763" s="8">
        <f>IFERROR(IF(ISNUMBER(C1763),MAX(C1763,IFERROR(J1762,C1763)),""),"")</f>
        <v/>
      </c>
      <c r="K1763" s="29">
        <f>IFERROR(IF(AND(ISNUMBER(C1763),ISNUMBER(J1763)),C1763/J1763-1,""),"")</f>
        <v/>
      </c>
      <c r="L1763" s="28">
        <f>IFERROR(IF(AND(ISNUMBER(D1763),ISNUMBER(E1763)),D1763-E1763,""),"")</f>
        <v/>
      </c>
    </row>
    <row r="1764">
      <c r="A1764" s="7">
        <f>IFERROR(Datos!A1764,"")</f>
        <v/>
      </c>
      <c r="B1764" s="8">
        <f>IFERROR(Datos!B1764,"")</f>
        <v/>
      </c>
      <c r="C1764" s="8">
        <f>IFERROR(Datos!C1764,"")</f>
        <v/>
      </c>
      <c r="D1764" s="28">
        <f>IFERROR(IF(AND(ISNUMBER(B1764),ISNUMBER(B1763),B1763&lt;&gt;0),B1764/B1763-1,""),"")</f>
        <v/>
      </c>
      <c r="E1764" s="28">
        <f>IFERROR(IF(AND(ISNUMBER(C1764),ISNUMBER(C1763),C1763&lt;&gt;0),C1764/C1763-1,""),"")</f>
        <v/>
      </c>
      <c r="F1764" s="28">
        <f>IFERROR(D1764-Dashboard!$B$4/252,"")</f>
        <v/>
      </c>
      <c r="G1764" s="28">
        <f>IFERROR(E1764-Dashboard!$B$4/252,"")</f>
        <v/>
      </c>
      <c r="H1764" s="8">
        <f>IFERROR(IF(ISNUMBER(B1764),MAX(B1764,IFERROR(H1763,B1764)),""),"")</f>
        <v/>
      </c>
      <c r="I1764" s="29">
        <f>IFERROR(IF(AND(ISNUMBER(B1764),ISNUMBER(H1764)),B1764/H1764-1,""),"")</f>
        <v/>
      </c>
      <c r="J1764" s="8">
        <f>IFERROR(IF(ISNUMBER(C1764),MAX(C1764,IFERROR(J1763,C1764)),""),"")</f>
        <v/>
      </c>
      <c r="K1764" s="29">
        <f>IFERROR(IF(AND(ISNUMBER(C1764),ISNUMBER(J1764)),C1764/J1764-1,""),"")</f>
        <v/>
      </c>
      <c r="L1764" s="28">
        <f>IFERROR(IF(AND(ISNUMBER(D1764),ISNUMBER(E1764)),D1764-E1764,""),"")</f>
        <v/>
      </c>
    </row>
    <row r="1765">
      <c r="A1765" s="7">
        <f>IFERROR(Datos!A1765,"")</f>
        <v/>
      </c>
      <c r="B1765" s="8">
        <f>IFERROR(Datos!B1765,"")</f>
        <v/>
      </c>
      <c r="C1765" s="8">
        <f>IFERROR(Datos!C1765,"")</f>
        <v/>
      </c>
      <c r="D1765" s="28">
        <f>IFERROR(IF(AND(ISNUMBER(B1765),ISNUMBER(B1764),B1764&lt;&gt;0),B1765/B1764-1,""),"")</f>
        <v/>
      </c>
      <c r="E1765" s="28">
        <f>IFERROR(IF(AND(ISNUMBER(C1765),ISNUMBER(C1764),C1764&lt;&gt;0),C1765/C1764-1,""),"")</f>
        <v/>
      </c>
      <c r="F1765" s="28">
        <f>IFERROR(D1765-Dashboard!$B$4/252,"")</f>
        <v/>
      </c>
      <c r="G1765" s="28">
        <f>IFERROR(E1765-Dashboard!$B$4/252,"")</f>
        <v/>
      </c>
      <c r="H1765" s="8">
        <f>IFERROR(IF(ISNUMBER(B1765),MAX(B1765,IFERROR(H1764,B1765)),""),"")</f>
        <v/>
      </c>
      <c r="I1765" s="29">
        <f>IFERROR(IF(AND(ISNUMBER(B1765),ISNUMBER(H1765)),B1765/H1765-1,""),"")</f>
        <v/>
      </c>
      <c r="J1765" s="8">
        <f>IFERROR(IF(ISNUMBER(C1765),MAX(C1765,IFERROR(J1764,C1765)),""),"")</f>
        <v/>
      </c>
      <c r="K1765" s="29">
        <f>IFERROR(IF(AND(ISNUMBER(C1765),ISNUMBER(J1765)),C1765/J1765-1,""),"")</f>
        <v/>
      </c>
      <c r="L1765" s="28">
        <f>IFERROR(IF(AND(ISNUMBER(D1765),ISNUMBER(E1765)),D1765-E1765,""),"")</f>
        <v/>
      </c>
    </row>
    <row r="1766">
      <c r="A1766" s="7">
        <f>IFERROR(Datos!A1766,"")</f>
        <v/>
      </c>
      <c r="B1766" s="8">
        <f>IFERROR(Datos!B1766,"")</f>
        <v/>
      </c>
      <c r="C1766" s="8">
        <f>IFERROR(Datos!C1766,"")</f>
        <v/>
      </c>
      <c r="D1766" s="28">
        <f>IFERROR(IF(AND(ISNUMBER(B1766),ISNUMBER(B1765),B1765&lt;&gt;0),B1766/B1765-1,""),"")</f>
        <v/>
      </c>
      <c r="E1766" s="28">
        <f>IFERROR(IF(AND(ISNUMBER(C1766),ISNUMBER(C1765),C1765&lt;&gt;0),C1766/C1765-1,""),"")</f>
        <v/>
      </c>
      <c r="F1766" s="28">
        <f>IFERROR(D1766-Dashboard!$B$4/252,"")</f>
        <v/>
      </c>
      <c r="G1766" s="28">
        <f>IFERROR(E1766-Dashboard!$B$4/252,"")</f>
        <v/>
      </c>
      <c r="H1766" s="8">
        <f>IFERROR(IF(ISNUMBER(B1766),MAX(B1766,IFERROR(H1765,B1766)),""),"")</f>
        <v/>
      </c>
      <c r="I1766" s="29">
        <f>IFERROR(IF(AND(ISNUMBER(B1766),ISNUMBER(H1766)),B1766/H1766-1,""),"")</f>
        <v/>
      </c>
      <c r="J1766" s="8">
        <f>IFERROR(IF(ISNUMBER(C1766),MAX(C1766,IFERROR(J1765,C1766)),""),"")</f>
        <v/>
      </c>
      <c r="K1766" s="29">
        <f>IFERROR(IF(AND(ISNUMBER(C1766),ISNUMBER(J1766)),C1766/J1766-1,""),"")</f>
        <v/>
      </c>
      <c r="L1766" s="28">
        <f>IFERROR(IF(AND(ISNUMBER(D1766),ISNUMBER(E1766)),D1766-E1766,""),"")</f>
        <v/>
      </c>
    </row>
    <row r="1767">
      <c r="A1767" s="7">
        <f>IFERROR(Datos!A1767,"")</f>
        <v/>
      </c>
      <c r="B1767" s="8">
        <f>IFERROR(Datos!B1767,"")</f>
        <v/>
      </c>
      <c r="C1767" s="8">
        <f>IFERROR(Datos!C1767,"")</f>
        <v/>
      </c>
      <c r="D1767" s="28">
        <f>IFERROR(IF(AND(ISNUMBER(B1767),ISNUMBER(B1766),B1766&lt;&gt;0),B1767/B1766-1,""),"")</f>
        <v/>
      </c>
      <c r="E1767" s="28">
        <f>IFERROR(IF(AND(ISNUMBER(C1767),ISNUMBER(C1766),C1766&lt;&gt;0),C1767/C1766-1,""),"")</f>
        <v/>
      </c>
      <c r="F1767" s="28">
        <f>IFERROR(D1767-Dashboard!$B$4/252,"")</f>
        <v/>
      </c>
      <c r="G1767" s="28">
        <f>IFERROR(E1767-Dashboard!$B$4/252,"")</f>
        <v/>
      </c>
      <c r="H1767" s="8">
        <f>IFERROR(IF(ISNUMBER(B1767),MAX(B1767,IFERROR(H1766,B1767)),""),"")</f>
        <v/>
      </c>
      <c r="I1767" s="29">
        <f>IFERROR(IF(AND(ISNUMBER(B1767),ISNUMBER(H1767)),B1767/H1767-1,""),"")</f>
        <v/>
      </c>
      <c r="J1767" s="8">
        <f>IFERROR(IF(ISNUMBER(C1767),MAX(C1767,IFERROR(J1766,C1767)),""),"")</f>
        <v/>
      </c>
      <c r="K1767" s="29">
        <f>IFERROR(IF(AND(ISNUMBER(C1767),ISNUMBER(J1767)),C1767/J1767-1,""),"")</f>
        <v/>
      </c>
      <c r="L1767" s="28">
        <f>IFERROR(IF(AND(ISNUMBER(D1767),ISNUMBER(E1767)),D1767-E1767,""),"")</f>
        <v/>
      </c>
    </row>
    <row r="1768">
      <c r="A1768" s="7">
        <f>IFERROR(Datos!A1768,"")</f>
        <v/>
      </c>
      <c r="B1768" s="8">
        <f>IFERROR(Datos!B1768,"")</f>
        <v/>
      </c>
      <c r="C1768" s="8">
        <f>IFERROR(Datos!C1768,"")</f>
        <v/>
      </c>
      <c r="D1768" s="28">
        <f>IFERROR(IF(AND(ISNUMBER(B1768),ISNUMBER(B1767),B1767&lt;&gt;0),B1768/B1767-1,""),"")</f>
        <v/>
      </c>
      <c r="E1768" s="28">
        <f>IFERROR(IF(AND(ISNUMBER(C1768),ISNUMBER(C1767),C1767&lt;&gt;0),C1768/C1767-1,""),"")</f>
        <v/>
      </c>
      <c r="F1768" s="28">
        <f>IFERROR(D1768-Dashboard!$B$4/252,"")</f>
        <v/>
      </c>
      <c r="G1768" s="28">
        <f>IFERROR(E1768-Dashboard!$B$4/252,"")</f>
        <v/>
      </c>
      <c r="H1768" s="8">
        <f>IFERROR(IF(ISNUMBER(B1768),MAX(B1768,IFERROR(H1767,B1768)),""),"")</f>
        <v/>
      </c>
      <c r="I1768" s="29">
        <f>IFERROR(IF(AND(ISNUMBER(B1768),ISNUMBER(H1768)),B1768/H1768-1,""),"")</f>
        <v/>
      </c>
      <c r="J1768" s="8">
        <f>IFERROR(IF(ISNUMBER(C1768),MAX(C1768,IFERROR(J1767,C1768)),""),"")</f>
        <v/>
      </c>
      <c r="K1768" s="29">
        <f>IFERROR(IF(AND(ISNUMBER(C1768),ISNUMBER(J1768)),C1768/J1768-1,""),"")</f>
        <v/>
      </c>
      <c r="L1768" s="28">
        <f>IFERROR(IF(AND(ISNUMBER(D1768),ISNUMBER(E1768)),D1768-E1768,""),"")</f>
        <v/>
      </c>
    </row>
    <row r="1769">
      <c r="A1769" s="7">
        <f>IFERROR(Datos!A1769,"")</f>
        <v/>
      </c>
      <c r="B1769" s="8">
        <f>IFERROR(Datos!B1769,"")</f>
        <v/>
      </c>
      <c r="C1769" s="8">
        <f>IFERROR(Datos!C1769,"")</f>
        <v/>
      </c>
      <c r="D1769" s="28">
        <f>IFERROR(IF(AND(ISNUMBER(B1769),ISNUMBER(B1768),B1768&lt;&gt;0),B1769/B1768-1,""),"")</f>
        <v/>
      </c>
      <c r="E1769" s="28">
        <f>IFERROR(IF(AND(ISNUMBER(C1769),ISNUMBER(C1768),C1768&lt;&gt;0),C1769/C1768-1,""),"")</f>
        <v/>
      </c>
      <c r="F1769" s="28">
        <f>IFERROR(D1769-Dashboard!$B$4/252,"")</f>
        <v/>
      </c>
      <c r="G1769" s="28">
        <f>IFERROR(E1769-Dashboard!$B$4/252,"")</f>
        <v/>
      </c>
      <c r="H1769" s="8">
        <f>IFERROR(IF(ISNUMBER(B1769),MAX(B1769,IFERROR(H1768,B1769)),""),"")</f>
        <v/>
      </c>
      <c r="I1769" s="29">
        <f>IFERROR(IF(AND(ISNUMBER(B1769),ISNUMBER(H1769)),B1769/H1769-1,""),"")</f>
        <v/>
      </c>
      <c r="J1769" s="8">
        <f>IFERROR(IF(ISNUMBER(C1769),MAX(C1769,IFERROR(J1768,C1769)),""),"")</f>
        <v/>
      </c>
      <c r="K1769" s="29">
        <f>IFERROR(IF(AND(ISNUMBER(C1769),ISNUMBER(J1769)),C1769/J1769-1,""),"")</f>
        <v/>
      </c>
      <c r="L1769" s="28">
        <f>IFERROR(IF(AND(ISNUMBER(D1769),ISNUMBER(E1769)),D1769-E1769,""),"")</f>
        <v/>
      </c>
    </row>
    <row r="1770">
      <c r="A1770" s="7">
        <f>IFERROR(Datos!A1770,"")</f>
        <v/>
      </c>
      <c r="B1770" s="8">
        <f>IFERROR(Datos!B1770,"")</f>
        <v/>
      </c>
      <c r="C1770" s="8">
        <f>IFERROR(Datos!C1770,"")</f>
        <v/>
      </c>
      <c r="D1770" s="28">
        <f>IFERROR(IF(AND(ISNUMBER(B1770),ISNUMBER(B1769),B1769&lt;&gt;0),B1770/B1769-1,""),"")</f>
        <v/>
      </c>
      <c r="E1770" s="28">
        <f>IFERROR(IF(AND(ISNUMBER(C1770),ISNUMBER(C1769),C1769&lt;&gt;0),C1770/C1769-1,""),"")</f>
        <v/>
      </c>
      <c r="F1770" s="28">
        <f>IFERROR(D1770-Dashboard!$B$4/252,"")</f>
        <v/>
      </c>
      <c r="G1770" s="28">
        <f>IFERROR(E1770-Dashboard!$B$4/252,"")</f>
        <v/>
      </c>
      <c r="H1770" s="8">
        <f>IFERROR(IF(ISNUMBER(B1770),MAX(B1770,IFERROR(H1769,B1770)),""),"")</f>
        <v/>
      </c>
      <c r="I1770" s="29">
        <f>IFERROR(IF(AND(ISNUMBER(B1770),ISNUMBER(H1770)),B1770/H1770-1,""),"")</f>
        <v/>
      </c>
      <c r="J1770" s="8">
        <f>IFERROR(IF(ISNUMBER(C1770),MAX(C1770,IFERROR(J1769,C1770)),""),"")</f>
        <v/>
      </c>
      <c r="K1770" s="29">
        <f>IFERROR(IF(AND(ISNUMBER(C1770),ISNUMBER(J1770)),C1770/J1770-1,""),"")</f>
        <v/>
      </c>
      <c r="L1770" s="28">
        <f>IFERROR(IF(AND(ISNUMBER(D1770),ISNUMBER(E1770)),D1770-E1770,""),"")</f>
        <v/>
      </c>
    </row>
    <row r="1771">
      <c r="A1771" s="7">
        <f>IFERROR(Datos!A1771,"")</f>
        <v/>
      </c>
      <c r="B1771" s="8">
        <f>IFERROR(Datos!B1771,"")</f>
        <v/>
      </c>
      <c r="C1771" s="8">
        <f>IFERROR(Datos!C1771,"")</f>
        <v/>
      </c>
      <c r="D1771" s="28">
        <f>IFERROR(IF(AND(ISNUMBER(B1771),ISNUMBER(B1770),B1770&lt;&gt;0),B1771/B1770-1,""),"")</f>
        <v/>
      </c>
      <c r="E1771" s="28">
        <f>IFERROR(IF(AND(ISNUMBER(C1771),ISNUMBER(C1770),C1770&lt;&gt;0),C1771/C1770-1,""),"")</f>
        <v/>
      </c>
      <c r="F1771" s="28">
        <f>IFERROR(D1771-Dashboard!$B$4/252,"")</f>
        <v/>
      </c>
      <c r="G1771" s="28">
        <f>IFERROR(E1771-Dashboard!$B$4/252,"")</f>
        <v/>
      </c>
      <c r="H1771" s="8">
        <f>IFERROR(IF(ISNUMBER(B1771),MAX(B1771,IFERROR(H1770,B1771)),""),"")</f>
        <v/>
      </c>
      <c r="I1771" s="29">
        <f>IFERROR(IF(AND(ISNUMBER(B1771),ISNUMBER(H1771)),B1771/H1771-1,""),"")</f>
        <v/>
      </c>
      <c r="J1771" s="8">
        <f>IFERROR(IF(ISNUMBER(C1771),MAX(C1771,IFERROR(J1770,C1771)),""),"")</f>
        <v/>
      </c>
      <c r="K1771" s="29">
        <f>IFERROR(IF(AND(ISNUMBER(C1771),ISNUMBER(J1771)),C1771/J1771-1,""),"")</f>
        <v/>
      </c>
      <c r="L1771" s="28">
        <f>IFERROR(IF(AND(ISNUMBER(D1771),ISNUMBER(E1771)),D1771-E1771,""),"")</f>
        <v/>
      </c>
    </row>
    <row r="1772">
      <c r="A1772" s="7">
        <f>IFERROR(Datos!A1772,"")</f>
        <v/>
      </c>
      <c r="B1772" s="8">
        <f>IFERROR(Datos!B1772,"")</f>
        <v/>
      </c>
      <c r="C1772" s="8">
        <f>IFERROR(Datos!C1772,"")</f>
        <v/>
      </c>
      <c r="D1772" s="28">
        <f>IFERROR(IF(AND(ISNUMBER(B1772),ISNUMBER(B1771),B1771&lt;&gt;0),B1772/B1771-1,""),"")</f>
        <v/>
      </c>
      <c r="E1772" s="28">
        <f>IFERROR(IF(AND(ISNUMBER(C1772),ISNUMBER(C1771),C1771&lt;&gt;0),C1772/C1771-1,""),"")</f>
        <v/>
      </c>
      <c r="F1772" s="28">
        <f>IFERROR(D1772-Dashboard!$B$4/252,"")</f>
        <v/>
      </c>
      <c r="G1772" s="28">
        <f>IFERROR(E1772-Dashboard!$B$4/252,"")</f>
        <v/>
      </c>
      <c r="H1772" s="8">
        <f>IFERROR(IF(ISNUMBER(B1772),MAX(B1772,IFERROR(H1771,B1772)),""),"")</f>
        <v/>
      </c>
      <c r="I1772" s="29">
        <f>IFERROR(IF(AND(ISNUMBER(B1772),ISNUMBER(H1772)),B1772/H1772-1,""),"")</f>
        <v/>
      </c>
      <c r="J1772" s="8">
        <f>IFERROR(IF(ISNUMBER(C1772),MAX(C1772,IFERROR(J1771,C1772)),""),"")</f>
        <v/>
      </c>
      <c r="K1772" s="29">
        <f>IFERROR(IF(AND(ISNUMBER(C1772),ISNUMBER(J1772)),C1772/J1772-1,""),"")</f>
        <v/>
      </c>
      <c r="L1772" s="28">
        <f>IFERROR(IF(AND(ISNUMBER(D1772),ISNUMBER(E1772)),D1772-E1772,""),"")</f>
        <v/>
      </c>
    </row>
    <row r="1773">
      <c r="A1773" s="7">
        <f>IFERROR(Datos!A1773,"")</f>
        <v/>
      </c>
      <c r="B1773" s="8">
        <f>IFERROR(Datos!B1773,"")</f>
        <v/>
      </c>
      <c r="C1773" s="8">
        <f>IFERROR(Datos!C1773,"")</f>
        <v/>
      </c>
      <c r="D1773" s="28">
        <f>IFERROR(IF(AND(ISNUMBER(B1773),ISNUMBER(B1772),B1772&lt;&gt;0),B1773/B1772-1,""),"")</f>
        <v/>
      </c>
      <c r="E1773" s="28">
        <f>IFERROR(IF(AND(ISNUMBER(C1773),ISNUMBER(C1772),C1772&lt;&gt;0),C1773/C1772-1,""),"")</f>
        <v/>
      </c>
      <c r="F1773" s="28">
        <f>IFERROR(D1773-Dashboard!$B$4/252,"")</f>
        <v/>
      </c>
      <c r="G1773" s="28">
        <f>IFERROR(E1773-Dashboard!$B$4/252,"")</f>
        <v/>
      </c>
      <c r="H1773" s="8">
        <f>IFERROR(IF(ISNUMBER(B1773),MAX(B1773,IFERROR(H1772,B1773)),""),"")</f>
        <v/>
      </c>
      <c r="I1773" s="29">
        <f>IFERROR(IF(AND(ISNUMBER(B1773),ISNUMBER(H1773)),B1773/H1773-1,""),"")</f>
        <v/>
      </c>
      <c r="J1773" s="8">
        <f>IFERROR(IF(ISNUMBER(C1773),MAX(C1773,IFERROR(J1772,C1773)),""),"")</f>
        <v/>
      </c>
      <c r="K1773" s="29">
        <f>IFERROR(IF(AND(ISNUMBER(C1773),ISNUMBER(J1773)),C1773/J1773-1,""),"")</f>
        <v/>
      </c>
      <c r="L1773" s="28">
        <f>IFERROR(IF(AND(ISNUMBER(D1773),ISNUMBER(E1773)),D1773-E1773,""),"")</f>
        <v/>
      </c>
    </row>
    <row r="1774">
      <c r="A1774" s="7">
        <f>IFERROR(Datos!A1774,"")</f>
        <v/>
      </c>
      <c r="B1774" s="8">
        <f>IFERROR(Datos!B1774,"")</f>
        <v/>
      </c>
      <c r="C1774" s="8">
        <f>IFERROR(Datos!C1774,"")</f>
        <v/>
      </c>
      <c r="D1774" s="28">
        <f>IFERROR(IF(AND(ISNUMBER(B1774),ISNUMBER(B1773),B1773&lt;&gt;0),B1774/B1773-1,""),"")</f>
        <v/>
      </c>
      <c r="E1774" s="28">
        <f>IFERROR(IF(AND(ISNUMBER(C1774),ISNUMBER(C1773),C1773&lt;&gt;0),C1774/C1773-1,""),"")</f>
        <v/>
      </c>
      <c r="F1774" s="28">
        <f>IFERROR(D1774-Dashboard!$B$4/252,"")</f>
        <v/>
      </c>
      <c r="G1774" s="28">
        <f>IFERROR(E1774-Dashboard!$B$4/252,"")</f>
        <v/>
      </c>
      <c r="H1774" s="8">
        <f>IFERROR(IF(ISNUMBER(B1774),MAX(B1774,IFERROR(H1773,B1774)),""),"")</f>
        <v/>
      </c>
      <c r="I1774" s="29">
        <f>IFERROR(IF(AND(ISNUMBER(B1774),ISNUMBER(H1774)),B1774/H1774-1,""),"")</f>
        <v/>
      </c>
      <c r="J1774" s="8">
        <f>IFERROR(IF(ISNUMBER(C1774),MAX(C1774,IFERROR(J1773,C1774)),""),"")</f>
        <v/>
      </c>
      <c r="K1774" s="29">
        <f>IFERROR(IF(AND(ISNUMBER(C1774),ISNUMBER(J1774)),C1774/J1774-1,""),"")</f>
        <v/>
      </c>
      <c r="L1774" s="28">
        <f>IFERROR(IF(AND(ISNUMBER(D1774),ISNUMBER(E1774)),D1774-E1774,""),"")</f>
        <v/>
      </c>
    </row>
    <row r="1775">
      <c r="A1775" s="7">
        <f>IFERROR(Datos!A1775,"")</f>
        <v/>
      </c>
      <c r="B1775" s="8">
        <f>IFERROR(Datos!B1775,"")</f>
        <v/>
      </c>
      <c r="C1775" s="8">
        <f>IFERROR(Datos!C1775,"")</f>
        <v/>
      </c>
      <c r="D1775" s="28">
        <f>IFERROR(IF(AND(ISNUMBER(B1775),ISNUMBER(B1774),B1774&lt;&gt;0),B1775/B1774-1,""),"")</f>
        <v/>
      </c>
      <c r="E1775" s="28">
        <f>IFERROR(IF(AND(ISNUMBER(C1775),ISNUMBER(C1774),C1774&lt;&gt;0),C1775/C1774-1,""),"")</f>
        <v/>
      </c>
      <c r="F1775" s="28">
        <f>IFERROR(D1775-Dashboard!$B$4/252,"")</f>
        <v/>
      </c>
      <c r="G1775" s="28">
        <f>IFERROR(E1775-Dashboard!$B$4/252,"")</f>
        <v/>
      </c>
      <c r="H1775" s="8">
        <f>IFERROR(IF(ISNUMBER(B1775),MAX(B1775,IFERROR(H1774,B1775)),""),"")</f>
        <v/>
      </c>
      <c r="I1775" s="29">
        <f>IFERROR(IF(AND(ISNUMBER(B1775),ISNUMBER(H1775)),B1775/H1775-1,""),"")</f>
        <v/>
      </c>
      <c r="J1775" s="8">
        <f>IFERROR(IF(ISNUMBER(C1775),MAX(C1775,IFERROR(J1774,C1775)),""),"")</f>
        <v/>
      </c>
      <c r="K1775" s="29">
        <f>IFERROR(IF(AND(ISNUMBER(C1775),ISNUMBER(J1775)),C1775/J1775-1,""),"")</f>
        <v/>
      </c>
      <c r="L1775" s="28">
        <f>IFERROR(IF(AND(ISNUMBER(D1775),ISNUMBER(E1775)),D1775-E1775,""),"")</f>
        <v/>
      </c>
    </row>
    <row r="1776">
      <c r="A1776" s="7">
        <f>IFERROR(Datos!A1776,"")</f>
        <v/>
      </c>
      <c r="B1776" s="8">
        <f>IFERROR(Datos!B1776,"")</f>
        <v/>
      </c>
      <c r="C1776" s="8">
        <f>IFERROR(Datos!C1776,"")</f>
        <v/>
      </c>
      <c r="D1776" s="28">
        <f>IFERROR(IF(AND(ISNUMBER(B1776),ISNUMBER(B1775),B1775&lt;&gt;0),B1776/B1775-1,""),"")</f>
        <v/>
      </c>
      <c r="E1776" s="28">
        <f>IFERROR(IF(AND(ISNUMBER(C1776),ISNUMBER(C1775),C1775&lt;&gt;0),C1776/C1775-1,""),"")</f>
        <v/>
      </c>
      <c r="F1776" s="28">
        <f>IFERROR(D1776-Dashboard!$B$4/252,"")</f>
        <v/>
      </c>
      <c r="G1776" s="28">
        <f>IFERROR(E1776-Dashboard!$B$4/252,"")</f>
        <v/>
      </c>
      <c r="H1776" s="8">
        <f>IFERROR(IF(ISNUMBER(B1776),MAX(B1776,IFERROR(H1775,B1776)),""),"")</f>
        <v/>
      </c>
      <c r="I1776" s="29">
        <f>IFERROR(IF(AND(ISNUMBER(B1776),ISNUMBER(H1776)),B1776/H1776-1,""),"")</f>
        <v/>
      </c>
      <c r="J1776" s="8">
        <f>IFERROR(IF(ISNUMBER(C1776),MAX(C1776,IFERROR(J1775,C1776)),""),"")</f>
        <v/>
      </c>
      <c r="K1776" s="29">
        <f>IFERROR(IF(AND(ISNUMBER(C1776),ISNUMBER(J1776)),C1776/J1776-1,""),"")</f>
        <v/>
      </c>
      <c r="L1776" s="28">
        <f>IFERROR(IF(AND(ISNUMBER(D1776),ISNUMBER(E1776)),D1776-E1776,""),"")</f>
        <v/>
      </c>
    </row>
    <row r="1777">
      <c r="A1777" s="7">
        <f>IFERROR(Datos!A1777,"")</f>
        <v/>
      </c>
      <c r="B1777" s="8">
        <f>IFERROR(Datos!B1777,"")</f>
        <v/>
      </c>
      <c r="C1777" s="8">
        <f>IFERROR(Datos!C1777,"")</f>
        <v/>
      </c>
      <c r="D1777" s="28">
        <f>IFERROR(IF(AND(ISNUMBER(B1777),ISNUMBER(B1776),B1776&lt;&gt;0),B1777/B1776-1,""),"")</f>
        <v/>
      </c>
      <c r="E1777" s="28">
        <f>IFERROR(IF(AND(ISNUMBER(C1777),ISNUMBER(C1776),C1776&lt;&gt;0),C1777/C1776-1,""),"")</f>
        <v/>
      </c>
      <c r="F1777" s="28">
        <f>IFERROR(D1777-Dashboard!$B$4/252,"")</f>
        <v/>
      </c>
      <c r="G1777" s="28">
        <f>IFERROR(E1777-Dashboard!$B$4/252,"")</f>
        <v/>
      </c>
      <c r="H1777" s="8">
        <f>IFERROR(IF(ISNUMBER(B1777),MAX(B1777,IFERROR(H1776,B1777)),""),"")</f>
        <v/>
      </c>
      <c r="I1777" s="29">
        <f>IFERROR(IF(AND(ISNUMBER(B1777),ISNUMBER(H1777)),B1777/H1777-1,""),"")</f>
        <v/>
      </c>
      <c r="J1777" s="8">
        <f>IFERROR(IF(ISNUMBER(C1777),MAX(C1777,IFERROR(J1776,C1777)),""),"")</f>
        <v/>
      </c>
      <c r="K1777" s="29">
        <f>IFERROR(IF(AND(ISNUMBER(C1777),ISNUMBER(J1777)),C1777/J1777-1,""),"")</f>
        <v/>
      </c>
      <c r="L1777" s="28">
        <f>IFERROR(IF(AND(ISNUMBER(D1777),ISNUMBER(E1777)),D1777-E1777,""),"")</f>
        <v/>
      </c>
    </row>
    <row r="1778">
      <c r="A1778" s="7">
        <f>IFERROR(Datos!A1778,"")</f>
        <v/>
      </c>
      <c r="B1778" s="8">
        <f>IFERROR(Datos!B1778,"")</f>
        <v/>
      </c>
      <c r="C1778" s="8">
        <f>IFERROR(Datos!C1778,"")</f>
        <v/>
      </c>
      <c r="D1778" s="28">
        <f>IFERROR(IF(AND(ISNUMBER(B1778),ISNUMBER(B1777),B1777&lt;&gt;0),B1778/B1777-1,""),"")</f>
        <v/>
      </c>
      <c r="E1778" s="28">
        <f>IFERROR(IF(AND(ISNUMBER(C1778),ISNUMBER(C1777),C1777&lt;&gt;0),C1778/C1777-1,""),"")</f>
        <v/>
      </c>
      <c r="F1778" s="28">
        <f>IFERROR(D1778-Dashboard!$B$4/252,"")</f>
        <v/>
      </c>
      <c r="G1778" s="28">
        <f>IFERROR(E1778-Dashboard!$B$4/252,"")</f>
        <v/>
      </c>
      <c r="H1778" s="8">
        <f>IFERROR(IF(ISNUMBER(B1778),MAX(B1778,IFERROR(H1777,B1778)),""),"")</f>
        <v/>
      </c>
      <c r="I1778" s="29">
        <f>IFERROR(IF(AND(ISNUMBER(B1778),ISNUMBER(H1778)),B1778/H1778-1,""),"")</f>
        <v/>
      </c>
      <c r="J1778" s="8">
        <f>IFERROR(IF(ISNUMBER(C1778),MAX(C1778,IFERROR(J1777,C1778)),""),"")</f>
        <v/>
      </c>
      <c r="K1778" s="29">
        <f>IFERROR(IF(AND(ISNUMBER(C1778),ISNUMBER(J1778)),C1778/J1778-1,""),"")</f>
        <v/>
      </c>
      <c r="L1778" s="28">
        <f>IFERROR(IF(AND(ISNUMBER(D1778),ISNUMBER(E1778)),D1778-E1778,""),"")</f>
        <v/>
      </c>
    </row>
    <row r="1779">
      <c r="A1779" s="7">
        <f>IFERROR(Datos!A1779,"")</f>
        <v/>
      </c>
      <c r="B1779" s="8">
        <f>IFERROR(Datos!B1779,"")</f>
        <v/>
      </c>
      <c r="C1779" s="8">
        <f>IFERROR(Datos!C1779,"")</f>
        <v/>
      </c>
      <c r="D1779" s="28">
        <f>IFERROR(IF(AND(ISNUMBER(B1779),ISNUMBER(B1778),B1778&lt;&gt;0),B1779/B1778-1,""),"")</f>
        <v/>
      </c>
      <c r="E1779" s="28">
        <f>IFERROR(IF(AND(ISNUMBER(C1779),ISNUMBER(C1778),C1778&lt;&gt;0),C1779/C1778-1,""),"")</f>
        <v/>
      </c>
      <c r="F1779" s="28">
        <f>IFERROR(D1779-Dashboard!$B$4/252,"")</f>
        <v/>
      </c>
      <c r="G1779" s="28">
        <f>IFERROR(E1779-Dashboard!$B$4/252,"")</f>
        <v/>
      </c>
      <c r="H1779" s="8">
        <f>IFERROR(IF(ISNUMBER(B1779),MAX(B1779,IFERROR(H1778,B1779)),""),"")</f>
        <v/>
      </c>
      <c r="I1779" s="29">
        <f>IFERROR(IF(AND(ISNUMBER(B1779),ISNUMBER(H1779)),B1779/H1779-1,""),"")</f>
        <v/>
      </c>
      <c r="J1779" s="8">
        <f>IFERROR(IF(ISNUMBER(C1779),MAX(C1779,IFERROR(J1778,C1779)),""),"")</f>
        <v/>
      </c>
      <c r="K1779" s="29">
        <f>IFERROR(IF(AND(ISNUMBER(C1779),ISNUMBER(J1779)),C1779/J1779-1,""),"")</f>
        <v/>
      </c>
      <c r="L1779" s="28">
        <f>IFERROR(IF(AND(ISNUMBER(D1779),ISNUMBER(E1779)),D1779-E1779,""),"")</f>
        <v/>
      </c>
    </row>
    <row r="1780">
      <c r="A1780" s="7">
        <f>IFERROR(Datos!A1780,"")</f>
        <v/>
      </c>
      <c r="B1780" s="8">
        <f>IFERROR(Datos!B1780,"")</f>
        <v/>
      </c>
      <c r="C1780" s="8">
        <f>IFERROR(Datos!C1780,"")</f>
        <v/>
      </c>
      <c r="D1780" s="28">
        <f>IFERROR(IF(AND(ISNUMBER(B1780),ISNUMBER(B1779),B1779&lt;&gt;0),B1780/B1779-1,""),"")</f>
        <v/>
      </c>
      <c r="E1780" s="28">
        <f>IFERROR(IF(AND(ISNUMBER(C1780),ISNUMBER(C1779),C1779&lt;&gt;0),C1780/C1779-1,""),"")</f>
        <v/>
      </c>
      <c r="F1780" s="28">
        <f>IFERROR(D1780-Dashboard!$B$4/252,"")</f>
        <v/>
      </c>
      <c r="G1780" s="28">
        <f>IFERROR(E1780-Dashboard!$B$4/252,"")</f>
        <v/>
      </c>
      <c r="H1780" s="8">
        <f>IFERROR(IF(ISNUMBER(B1780),MAX(B1780,IFERROR(H1779,B1780)),""),"")</f>
        <v/>
      </c>
      <c r="I1780" s="29">
        <f>IFERROR(IF(AND(ISNUMBER(B1780),ISNUMBER(H1780)),B1780/H1780-1,""),"")</f>
        <v/>
      </c>
      <c r="J1780" s="8">
        <f>IFERROR(IF(ISNUMBER(C1780),MAX(C1780,IFERROR(J1779,C1780)),""),"")</f>
        <v/>
      </c>
      <c r="K1780" s="29">
        <f>IFERROR(IF(AND(ISNUMBER(C1780),ISNUMBER(J1780)),C1780/J1780-1,""),"")</f>
        <v/>
      </c>
      <c r="L1780" s="28">
        <f>IFERROR(IF(AND(ISNUMBER(D1780),ISNUMBER(E1780)),D1780-E1780,""),"")</f>
        <v/>
      </c>
    </row>
    <row r="1781">
      <c r="A1781" s="7">
        <f>IFERROR(Datos!A1781,"")</f>
        <v/>
      </c>
      <c r="B1781" s="8">
        <f>IFERROR(Datos!B1781,"")</f>
        <v/>
      </c>
      <c r="C1781" s="8">
        <f>IFERROR(Datos!C1781,"")</f>
        <v/>
      </c>
      <c r="D1781" s="28">
        <f>IFERROR(IF(AND(ISNUMBER(B1781),ISNUMBER(B1780),B1780&lt;&gt;0),B1781/B1780-1,""),"")</f>
        <v/>
      </c>
      <c r="E1781" s="28">
        <f>IFERROR(IF(AND(ISNUMBER(C1781),ISNUMBER(C1780),C1780&lt;&gt;0),C1781/C1780-1,""),"")</f>
        <v/>
      </c>
      <c r="F1781" s="28">
        <f>IFERROR(D1781-Dashboard!$B$4/252,"")</f>
        <v/>
      </c>
      <c r="G1781" s="28">
        <f>IFERROR(E1781-Dashboard!$B$4/252,"")</f>
        <v/>
      </c>
      <c r="H1781" s="8">
        <f>IFERROR(IF(ISNUMBER(B1781),MAX(B1781,IFERROR(H1780,B1781)),""),"")</f>
        <v/>
      </c>
      <c r="I1781" s="29">
        <f>IFERROR(IF(AND(ISNUMBER(B1781),ISNUMBER(H1781)),B1781/H1781-1,""),"")</f>
        <v/>
      </c>
      <c r="J1781" s="8">
        <f>IFERROR(IF(ISNUMBER(C1781),MAX(C1781,IFERROR(J1780,C1781)),""),"")</f>
        <v/>
      </c>
      <c r="K1781" s="29">
        <f>IFERROR(IF(AND(ISNUMBER(C1781),ISNUMBER(J1781)),C1781/J1781-1,""),"")</f>
        <v/>
      </c>
      <c r="L1781" s="28">
        <f>IFERROR(IF(AND(ISNUMBER(D1781),ISNUMBER(E1781)),D1781-E1781,""),"")</f>
        <v/>
      </c>
    </row>
    <row r="1782">
      <c r="A1782" s="7">
        <f>IFERROR(Datos!A1782,"")</f>
        <v/>
      </c>
      <c r="B1782" s="8">
        <f>IFERROR(Datos!B1782,"")</f>
        <v/>
      </c>
      <c r="C1782" s="8">
        <f>IFERROR(Datos!C1782,"")</f>
        <v/>
      </c>
      <c r="D1782" s="28">
        <f>IFERROR(IF(AND(ISNUMBER(B1782),ISNUMBER(B1781),B1781&lt;&gt;0),B1782/B1781-1,""),"")</f>
        <v/>
      </c>
      <c r="E1782" s="28">
        <f>IFERROR(IF(AND(ISNUMBER(C1782),ISNUMBER(C1781),C1781&lt;&gt;0),C1782/C1781-1,""),"")</f>
        <v/>
      </c>
      <c r="F1782" s="28">
        <f>IFERROR(D1782-Dashboard!$B$4/252,"")</f>
        <v/>
      </c>
      <c r="G1782" s="28">
        <f>IFERROR(E1782-Dashboard!$B$4/252,"")</f>
        <v/>
      </c>
      <c r="H1782" s="8">
        <f>IFERROR(IF(ISNUMBER(B1782),MAX(B1782,IFERROR(H1781,B1782)),""),"")</f>
        <v/>
      </c>
      <c r="I1782" s="29">
        <f>IFERROR(IF(AND(ISNUMBER(B1782),ISNUMBER(H1782)),B1782/H1782-1,""),"")</f>
        <v/>
      </c>
      <c r="J1782" s="8">
        <f>IFERROR(IF(ISNUMBER(C1782),MAX(C1782,IFERROR(J1781,C1782)),""),"")</f>
        <v/>
      </c>
      <c r="K1782" s="29">
        <f>IFERROR(IF(AND(ISNUMBER(C1782),ISNUMBER(J1782)),C1782/J1782-1,""),"")</f>
        <v/>
      </c>
      <c r="L1782" s="28">
        <f>IFERROR(IF(AND(ISNUMBER(D1782),ISNUMBER(E1782)),D1782-E1782,""),"")</f>
        <v/>
      </c>
    </row>
    <row r="1783">
      <c r="A1783" s="7">
        <f>IFERROR(Datos!A1783,"")</f>
        <v/>
      </c>
      <c r="B1783" s="8">
        <f>IFERROR(Datos!B1783,"")</f>
        <v/>
      </c>
      <c r="C1783" s="8">
        <f>IFERROR(Datos!C1783,"")</f>
        <v/>
      </c>
      <c r="D1783" s="28">
        <f>IFERROR(IF(AND(ISNUMBER(B1783),ISNUMBER(B1782),B1782&lt;&gt;0),B1783/B1782-1,""),"")</f>
        <v/>
      </c>
      <c r="E1783" s="28">
        <f>IFERROR(IF(AND(ISNUMBER(C1783),ISNUMBER(C1782),C1782&lt;&gt;0),C1783/C1782-1,""),"")</f>
        <v/>
      </c>
      <c r="F1783" s="28">
        <f>IFERROR(D1783-Dashboard!$B$4/252,"")</f>
        <v/>
      </c>
      <c r="G1783" s="28">
        <f>IFERROR(E1783-Dashboard!$B$4/252,"")</f>
        <v/>
      </c>
      <c r="H1783" s="8">
        <f>IFERROR(IF(ISNUMBER(B1783),MAX(B1783,IFERROR(H1782,B1783)),""),"")</f>
        <v/>
      </c>
      <c r="I1783" s="29">
        <f>IFERROR(IF(AND(ISNUMBER(B1783),ISNUMBER(H1783)),B1783/H1783-1,""),"")</f>
        <v/>
      </c>
      <c r="J1783" s="8">
        <f>IFERROR(IF(ISNUMBER(C1783),MAX(C1783,IFERROR(J1782,C1783)),""),"")</f>
        <v/>
      </c>
      <c r="K1783" s="29">
        <f>IFERROR(IF(AND(ISNUMBER(C1783),ISNUMBER(J1783)),C1783/J1783-1,""),"")</f>
        <v/>
      </c>
      <c r="L1783" s="28">
        <f>IFERROR(IF(AND(ISNUMBER(D1783),ISNUMBER(E1783)),D1783-E1783,""),"")</f>
        <v/>
      </c>
    </row>
    <row r="1784">
      <c r="A1784" s="7">
        <f>IFERROR(Datos!A1784,"")</f>
        <v/>
      </c>
      <c r="B1784" s="8">
        <f>IFERROR(Datos!B1784,"")</f>
        <v/>
      </c>
      <c r="C1784" s="8">
        <f>IFERROR(Datos!C1784,"")</f>
        <v/>
      </c>
      <c r="D1784" s="28">
        <f>IFERROR(IF(AND(ISNUMBER(B1784),ISNUMBER(B1783),B1783&lt;&gt;0),B1784/B1783-1,""),"")</f>
        <v/>
      </c>
      <c r="E1784" s="28">
        <f>IFERROR(IF(AND(ISNUMBER(C1784),ISNUMBER(C1783),C1783&lt;&gt;0),C1784/C1783-1,""),"")</f>
        <v/>
      </c>
      <c r="F1784" s="28">
        <f>IFERROR(D1784-Dashboard!$B$4/252,"")</f>
        <v/>
      </c>
      <c r="G1784" s="28">
        <f>IFERROR(E1784-Dashboard!$B$4/252,"")</f>
        <v/>
      </c>
      <c r="H1784" s="8">
        <f>IFERROR(IF(ISNUMBER(B1784),MAX(B1784,IFERROR(H1783,B1784)),""),"")</f>
        <v/>
      </c>
      <c r="I1784" s="29">
        <f>IFERROR(IF(AND(ISNUMBER(B1784),ISNUMBER(H1784)),B1784/H1784-1,""),"")</f>
        <v/>
      </c>
      <c r="J1784" s="8">
        <f>IFERROR(IF(ISNUMBER(C1784),MAX(C1784,IFERROR(J1783,C1784)),""),"")</f>
        <v/>
      </c>
      <c r="K1784" s="29">
        <f>IFERROR(IF(AND(ISNUMBER(C1784),ISNUMBER(J1784)),C1784/J1784-1,""),"")</f>
        <v/>
      </c>
      <c r="L1784" s="28">
        <f>IFERROR(IF(AND(ISNUMBER(D1784),ISNUMBER(E1784)),D1784-E1784,""),"")</f>
        <v/>
      </c>
    </row>
    <row r="1785">
      <c r="A1785" s="7">
        <f>IFERROR(Datos!A1785,"")</f>
        <v/>
      </c>
      <c r="B1785" s="8">
        <f>IFERROR(Datos!B1785,"")</f>
        <v/>
      </c>
      <c r="C1785" s="8">
        <f>IFERROR(Datos!C1785,"")</f>
        <v/>
      </c>
      <c r="D1785" s="28">
        <f>IFERROR(IF(AND(ISNUMBER(B1785),ISNUMBER(B1784),B1784&lt;&gt;0),B1785/B1784-1,""),"")</f>
        <v/>
      </c>
      <c r="E1785" s="28">
        <f>IFERROR(IF(AND(ISNUMBER(C1785),ISNUMBER(C1784),C1784&lt;&gt;0),C1785/C1784-1,""),"")</f>
        <v/>
      </c>
      <c r="F1785" s="28">
        <f>IFERROR(D1785-Dashboard!$B$4/252,"")</f>
        <v/>
      </c>
      <c r="G1785" s="28">
        <f>IFERROR(E1785-Dashboard!$B$4/252,"")</f>
        <v/>
      </c>
      <c r="H1785" s="8">
        <f>IFERROR(IF(ISNUMBER(B1785),MAX(B1785,IFERROR(H1784,B1785)),""),"")</f>
        <v/>
      </c>
      <c r="I1785" s="29">
        <f>IFERROR(IF(AND(ISNUMBER(B1785),ISNUMBER(H1785)),B1785/H1785-1,""),"")</f>
        <v/>
      </c>
      <c r="J1785" s="8">
        <f>IFERROR(IF(ISNUMBER(C1785),MAX(C1785,IFERROR(J1784,C1785)),""),"")</f>
        <v/>
      </c>
      <c r="K1785" s="29">
        <f>IFERROR(IF(AND(ISNUMBER(C1785),ISNUMBER(J1785)),C1785/J1785-1,""),"")</f>
        <v/>
      </c>
      <c r="L1785" s="28">
        <f>IFERROR(IF(AND(ISNUMBER(D1785),ISNUMBER(E1785)),D1785-E1785,""),"")</f>
        <v/>
      </c>
    </row>
    <row r="1786">
      <c r="A1786" s="7">
        <f>IFERROR(Datos!A1786,"")</f>
        <v/>
      </c>
      <c r="B1786" s="8">
        <f>IFERROR(Datos!B1786,"")</f>
        <v/>
      </c>
      <c r="C1786" s="8">
        <f>IFERROR(Datos!C1786,"")</f>
        <v/>
      </c>
      <c r="D1786" s="28">
        <f>IFERROR(IF(AND(ISNUMBER(B1786),ISNUMBER(B1785),B1785&lt;&gt;0),B1786/B1785-1,""),"")</f>
        <v/>
      </c>
      <c r="E1786" s="28">
        <f>IFERROR(IF(AND(ISNUMBER(C1786),ISNUMBER(C1785),C1785&lt;&gt;0),C1786/C1785-1,""),"")</f>
        <v/>
      </c>
      <c r="F1786" s="28">
        <f>IFERROR(D1786-Dashboard!$B$4/252,"")</f>
        <v/>
      </c>
      <c r="G1786" s="28">
        <f>IFERROR(E1786-Dashboard!$B$4/252,"")</f>
        <v/>
      </c>
      <c r="H1786" s="8">
        <f>IFERROR(IF(ISNUMBER(B1786),MAX(B1786,IFERROR(H1785,B1786)),""),"")</f>
        <v/>
      </c>
      <c r="I1786" s="29">
        <f>IFERROR(IF(AND(ISNUMBER(B1786),ISNUMBER(H1786)),B1786/H1786-1,""),"")</f>
        <v/>
      </c>
      <c r="J1786" s="8">
        <f>IFERROR(IF(ISNUMBER(C1786),MAX(C1786,IFERROR(J1785,C1786)),""),"")</f>
        <v/>
      </c>
      <c r="K1786" s="29">
        <f>IFERROR(IF(AND(ISNUMBER(C1786),ISNUMBER(J1786)),C1786/J1786-1,""),"")</f>
        <v/>
      </c>
      <c r="L1786" s="28">
        <f>IFERROR(IF(AND(ISNUMBER(D1786),ISNUMBER(E1786)),D1786-E1786,""),"")</f>
        <v/>
      </c>
    </row>
    <row r="1787">
      <c r="A1787" s="7">
        <f>IFERROR(Datos!A1787,"")</f>
        <v/>
      </c>
      <c r="B1787" s="8">
        <f>IFERROR(Datos!B1787,"")</f>
        <v/>
      </c>
      <c r="C1787" s="8">
        <f>IFERROR(Datos!C1787,"")</f>
        <v/>
      </c>
      <c r="D1787" s="28">
        <f>IFERROR(IF(AND(ISNUMBER(B1787),ISNUMBER(B1786),B1786&lt;&gt;0),B1787/B1786-1,""),"")</f>
        <v/>
      </c>
      <c r="E1787" s="28">
        <f>IFERROR(IF(AND(ISNUMBER(C1787),ISNUMBER(C1786),C1786&lt;&gt;0),C1787/C1786-1,""),"")</f>
        <v/>
      </c>
      <c r="F1787" s="28">
        <f>IFERROR(D1787-Dashboard!$B$4/252,"")</f>
        <v/>
      </c>
      <c r="G1787" s="28">
        <f>IFERROR(E1787-Dashboard!$B$4/252,"")</f>
        <v/>
      </c>
      <c r="H1787" s="8">
        <f>IFERROR(IF(ISNUMBER(B1787),MAX(B1787,IFERROR(H1786,B1787)),""),"")</f>
        <v/>
      </c>
      <c r="I1787" s="29">
        <f>IFERROR(IF(AND(ISNUMBER(B1787),ISNUMBER(H1787)),B1787/H1787-1,""),"")</f>
        <v/>
      </c>
      <c r="J1787" s="8">
        <f>IFERROR(IF(ISNUMBER(C1787),MAX(C1787,IFERROR(J1786,C1787)),""),"")</f>
        <v/>
      </c>
      <c r="K1787" s="29">
        <f>IFERROR(IF(AND(ISNUMBER(C1787),ISNUMBER(J1787)),C1787/J1787-1,""),"")</f>
        <v/>
      </c>
      <c r="L1787" s="28">
        <f>IFERROR(IF(AND(ISNUMBER(D1787),ISNUMBER(E1787)),D1787-E1787,""),"")</f>
        <v/>
      </c>
    </row>
    <row r="1788">
      <c r="A1788" s="7">
        <f>IFERROR(Datos!A1788,"")</f>
        <v/>
      </c>
      <c r="B1788" s="8">
        <f>IFERROR(Datos!B1788,"")</f>
        <v/>
      </c>
      <c r="C1788" s="8">
        <f>IFERROR(Datos!C1788,"")</f>
        <v/>
      </c>
      <c r="D1788" s="28">
        <f>IFERROR(IF(AND(ISNUMBER(B1788),ISNUMBER(B1787),B1787&lt;&gt;0),B1788/B1787-1,""),"")</f>
        <v/>
      </c>
      <c r="E1788" s="28">
        <f>IFERROR(IF(AND(ISNUMBER(C1788),ISNUMBER(C1787),C1787&lt;&gt;0),C1788/C1787-1,""),"")</f>
        <v/>
      </c>
      <c r="F1788" s="28">
        <f>IFERROR(D1788-Dashboard!$B$4/252,"")</f>
        <v/>
      </c>
      <c r="G1788" s="28">
        <f>IFERROR(E1788-Dashboard!$B$4/252,"")</f>
        <v/>
      </c>
      <c r="H1788" s="8">
        <f>IFERROR(IF(ISNUMBER(B1788),MAX(B1788,IFERROR(H1787,B1788)),""),"")</f>
        <v/>
      </c>
      <c r="I1788" s="29">
        <f>IFERROR(IF(AND(ISNUMBER(B1788),ISNUMBER(H1788)),B1788/H1788-1,""),"")</f>
        <v/>
      </c>
      <c r="J1788" s="8">
        <f>IFERROR(IF(ISNUMBER(C1788),MAX(C1788,IFERROR(J1787,C1788)),""),"")</f>
        <v/>
      </c>
      <c r="K1788" s="29">
        <f>IFERROR(IF(AND(ISNUMBER(C1788),ISNUMBER(J1788)),C1788/J1788-1,""),"")</f>
        <v/>
      </c>
      <c r="L1788" s="28">
        <f>IFERROR(IF(AND(ISNUMBER(D1788),ISNUMBER(E1788)),D1788-E1788,""),"")</f>
        <v/>
      </c>
    </row>
    <row r="1789">
      <c r="A1789" s="7">
        <f>IFERROR(Datos!A1789,"")</f>
        <v/>
      </c>
      <c r="B1789" s="8">
        <f>IFERROR(Datos!B1789,"")</f>
        <v/>
      </c>
      <c r="C1789" s="8">
        <f>IFERROR(Datos!C1789,"")</f>
        <v/>
      </c>
      <c r="D1789" s="28">
        <f>IFERROR(IF(AND(ISNUMBER(B1789),ISNUMBER(B1788),B1788&lt;&gt;0),B1789/B1788-1,""),"")</f>
        <v/>
      </c>
      <c r="E1789" s="28">
        <f>IFERROR(IF(AND(ISNUMBER(C1789),ISNUMBER(C1788),C1788&lt;&gt;0),C1789/C1788-1,""),"")</f>
        <v/>
      </c>
      <c r="F1789" s="28">
        <f>IFERROR(D1789-Dashboard!$B$4/252,"")</f>
        <v/>
      </c>
      <c r="G1789" s="28">
        <f>IFERROR(E1789-Dashboard!$B$4/252,"")</f>
        <v/>
      </c>
      <c r="H1789" s="8">
        <f>IFERROR(IF(ISNUMBER(B1789),MAX(B1789,IFERROR(H1788,B1789)),""),"")</f>
        <v/>
      </c>
      <c r="I1789" s="29">
        <f>IFERROR(IF(AND(ISNUMBER(B1789),ISNUMBER(H1789)),B1789/H1789-1,""),"")</f>
        <v/>
      </c>
      <c r="J1789" s="8">
        <f>IFERROR(IF(ISNUMBER(C1789),MAX(C1789,IFERROR(J1788,C1789)),""),"")</f>
        <v/>
      </c>
      <c r="K1789" s="29">
        <f>IFERROR(IF(AND(ISNUMBER(C1789),ISNUMBER(J1789)),C1789/J1789-1,""),"")</f>
        <v/>
      </c>
      <c r="L1789" s="28">
        <f>IFERROR(IF(AND(ISNUMBER(D1789),ISNUMBER(E1789)),D1789-E1789,""),"")</f>
        <v/>
      </c>
    </row>
    <row r="1790">
      <c r="A1790" s="7">
        <f>IFERROR(Datos!A1790,"")</f>
        <v/>
      </c>
      <c r="B1790" s="8">
        <f>IFERROR(Datos!B1790,"")</f>
        <v/>
      </c>
      <c r="C1790" s="8">
        <f>IFERROR(Datos!C1790,"")</f>
        <v/>
      </c>
      <c r="D1790" s="28">
        <f>IFERROR(IF(AND(ISNUMBER(B1790),ISNUMBER(B1789),B1789&lt;&gt;0),B1790/B1789-1,""),"")</f>
        <v/>
      </c>
      <c r="E1790" s="28">
        <f>IFERROR(IF(AND(ISNUMBER(C1790),ISNUMBER(C1789),C1789&lt;&gt;0),C1790/C1789-1,""),"")</f>
        <v/>
      </c>
      <c r="F1790" s="28">
        <f>IFERROR(D1790-Dashboard!$B$4/252,"")</f>
        <v/>
      </c>
      <c r="G1790" s="28">
        <f>IFERROR(E1790-Dashboard!$B$4/252,"")</f>
        <v/>
      </c>
      <c r="H1790" s="8">
        <f>IFERROR(IF(ISNUMBER(B1790),MAX(B1790,IFERROR(H1789,B1790)),""),"")</f>
        <v/>
      </c>
      <c r="I1790" s="29">
        <f>IFERROR(IF(AND(ISNUMBER(B1790),ISNUMBER(H1790)),B1790/H1790-1,""),"")</f>
        <v/>
      </c>
      <c r="J1790" s="8">
        <f>IFERROR(IF(ISNUMBER(C1790),MAX(C1790,IFERROR(J1789,C1790)),""),"")</f>
        <v/>
      </c>
      <c r="K1790" s="29">
        <f>IFERROR(IF(AND(ISNUMBER(C1790),ISNUMBER(J1790)),C1790/J1790-1,""),"")</f>
        <v/>
      </c>
      <c r="L1790" s="28">
        <f>IFERROR(IF(AND(ISNUMBER(D1790),ISNUMBER(E1790)),D1790-E1790,""),"")</f>
        <v/>
      </c>
    </row>
    <row r="1791">
      <c r="A1791" s="7">
        <f>IFERROR(Datos!A1791,"")</f>
        <v/>
      </c>
      <c r="B1791" s="8">
        <f>IFERROR(Datos!B1791,"")</f>
        <v/>
      </c>
      <c r="C1791" s="8">
        <f>IFERROR(Datos!C1791,"")</f>
        <v/>
      </c>
      <c r="D1791" s="28">
        <f>IFERROR(IF(AND(ISNUMBER(B1791),ISNUMBER(B1790),B1790&lt;&gt;0),B1791/B1790-1,""),"")</f>
        <v/>
      </c>
      <c r="E1791" s="28">
        <f>IFERROR(IF(AND(ISNUMBER(C1791),ISNUMBER(C1790),C1790&lt;&gt;0),C1791/C1790-1,""),"")</f>
        <v/>
      </c>
      <c r="F1791" s="28">
        <f>IFERROR(D1791-Dashboard!$B$4/252,"")</f>
        <v/>
      </c>
      <c r="G1791" s="28">
        <f>IFERROR(E1791-Dashboard!$B$4/252,"")</f>
        <v/>
      </c>
      <c r="H1791" s="8">
        <f>IFERROR(IF(ISNUMBER(B1791),MAX(B1791,IFERROR(H1790,B1791)),""),"")</f>
        <v/>
      </c>
      <c r="I1791" s="29">
        <f>IFERROR(IF(AND(ISNUMBER(B1791),ISNUMBER(H1791)),B1791/H1791-1,""),"")</f>
        <v/>
      </c>
      <c r="J1791" s="8">
        <f>IFERROR(IF(ISNUMBER(C1791),MAX(C1791,IFERROR(J1790,C1791)),""),"")</f>
        <v/>
      </c>
      <c r="K1791" s="29">
        <f>IFERROR(IF(AND(ISNUMBER(C1791),ISNUMBER(J1791)),C1791/J1791-1,""),"")</f>
        <v/>
      </c>
      <c r="L1791" s="28">
        <f>IFERROR(IF(AND(ISNUMBER(D1791),ISNUMBER(E1791)),D1791-E1791,""),"")</f>
        <v/>
      </c>
    </row>
    <row r="1792">
      <c r="A1792" s="7">
        <f>IFERROR(Datos!A1792,"")</f>
        <v/>
      </c>
      <c r="B1792" s="8">
        <f>IFERROR(Datos!B1792,"")</f>
        <v/>
      </c>
      <c r="C1792" s="8">
        <f>IFERROR(Datos!C1792,"")</f>
        <v/>
      </c>
      <c r="D1792" s="28">
        <f>IFERROR(IF(AND(ISNUMBER(B1792),ISNUMBER(B1791),B1791&lt;&gt;0),B1792/B1791-1,""),"")</f>
        <v/>
      </c>
      <c r="E1792" s="28">
        <f>IFERROR(IF(AND(ISNUMBER(C1792),ISNUMBER(C1791),C1791&lt;&gt;0),C1792/C1791-1,""),"")</f>
        <v/>
      </c>
      <c r="F1792" s="28">
        <f>IFERROR(D1792-Dashboard!$B$4/252,"")</f>
        <v/>
      </c>
      <c r="G1792" s="28">
        <f>IFERROR(E1792-Dashboard!$B$4/252,"")</f>
        <v/>
      </c>
      <c r="H1792" s="8">
        <f>IFERROR(IF(ISNUMBER(B1792),MAX(B1792,IFERROR(H1791,B1792)),""),"")</f>
        <v/>
      </c>
      <c r="I1792" s="29">
        <f>IFERROR(IF(AND(ISNUMBER(B1792),ISNUMBER(H1792)),B1792/H1792-1,""),"")</f>
        <v/>
      </c>
      <c r="J1792" s="8">
        <f>IFERROR(IF(ISNUMBER(C1792),MAX(C1792,IFERROR(J1791,C1792)),""),"")</f>
        <v/>
      </c>
      <c r="K1792" s="29">
        <f>IFERROR(IF(AND(ISNUMBER(C1792),ISNUMBER(J1792)),C1792/J1792-1,""),"")</f>
        <v/>
      </c>
      <c r="L1792" s="28">
        <f>IFERROR(IF(AND(ISNUMBER(D1792),ISNUMBER(E1792)),D1792-E1792,""),"")</f>
        <v/>
      </c>
    </row>
    <row r="1793">
      <c r="A1793" s="7">
        <f>IFERROR(Datos!A1793,"")</f>
        <v/>
      </c>
      <c r="B1793" s="8">
        <f>IFERROR(Datos!B1793,"")</f>
        <v/>
      </c>
      <c r="C1793" s="8">
        <f>IFERROR(Datos!C1793,"")</f>
        <v/>
      </c>
      <c r="D1793" s="28">
        <f>IFERROR(IF(AND(ISNUMBER(B1793),ISNUMBER(B1792),B1792&lt;&gt;0),B1793/B1792-1,""),"")</f>
        <v/>
      </c>
      <c r="E1793" s="28">
        <f>IFERROR(IF(AND(ISNUMBER(C1793),ISNUMBER(C1792),C1792&lt;&gt;0),C1793/C1792-1,""),"")</f>
        <v/>
      </c>
      <c r="F1793" s="28">
        <f>IFERROR(D1793-Dashboard!$B$4/252,"")</f>
        <v/>
      </c>
      <c r="G1793" s="28">
        <f>IFERROR(E1793-Dashboard!$B$4/252,"")</f>
        <v/>
      </c>
      <c r="H1793" s="8">
        <f>IFERROR(IF(ISNUMBER(B1793),MAX(B1793,IFERROR(H1792,B1793)),""),"")</f>
        <v/>
      </c>
      <c r="I1793" s="29">
        <f>IFERROR(IF(AND(ISNUMBER(B1793),ISNUMBER(H1793)),B1793/H1793-1,""),"")</f>
        <v/>
      </c>
      <c r="J1793" s="8">
        <f>IFERROR(IF(ISNUMBER(C1793),MAX(C1793,IFERROR(J1792,C1793)),""),"")</f>
        <v/>
      </c>
      <c r="K1793" s="29">
        <f>IFERROR(IF(AND(ISNUMBER(C1793),ISNUMBER(J1793)),C1793/J1793-1,""),"")</f>
        <v/>
      </c>
      <c r="L1793" s="28">
        <f>IFERROR(IF(AND(ISNUMBER(D1793),ISNUMBER(E1793)),D1793-E1793,""),"")</f>
        <v/>
      </c>
    </row>
    <row r="1794">
      <c r="A1794" s="7">
        <f>IFERROR(Datos!A1794,"")</f>
        <v/>
      </c>
      <c r="B1794" s="8">
        <f>IFERROR(Datos!B1794,"")</f>
        <v/>
      </c>
      <c r="C1794" s="8">
        <f>IFERROR(Datos!C1794,"")</f>
        <v/>
      </c>
      <c r="D1794" s="28">
        <f>IFERROR(IF(AND(ISNUMBER(B1794),ISNUMBER(B1793),B1793&lt;&gt;0),B1794/B1793-1,""),"")</f>
        <v/>
      </c>
      <c r="E1794" s="28">
        <f>IFERROR(IF(AND(ISNUMBER(C1794),ISNUMBER(C1793),C1793&lt;&gt;0),C1794/C1793-1,""),"")</f>
        <v/>
      </c>
      <c r="F1794" s="28">
        <f>IFERROR(D1794-Dashboard!$B$4/252,"")</f>
        <v/>
      </c>
      <c r="G1794" s="28">
        <f>IFERROR(E1794-Dashboard!$B$4/252,"")</f>
        <v/>
      </c>
      <c r="H1794" s="8">
        <f>IFERROR(IF(ISNUMBER(B1794),MAX(B1794,IFERROR(H1793,B1794)),""),"")</f>
        <v/>
      </c>
      <c r="I1794" s="29">
        <f>IFERROR(IF(AND(ISNUMBER(B1794),ISNUMBER(H1794)),B1794/H1794-1,""),"")</f>
        <v/>
      </c>
      <c r="J1794" s="8">
        <f>IFERROR(IF(ISNUMBER(C1794),MAX(C1794,IFERROR(J1793,C1794)),""),"")</f>
        <v/>
      </c>
      <c r="K1794" s="29">
        <f>IFERROR(IF(AND(ISNUMBER(C1794),ISNUMBER(J1794)),C1794/J1794-1,""),"")</f>
        <v/>
      </c>
      <c r="L1794" s="28">
        <f>IFERROR(IF(AND(ISNUMBER(D1794),ISNUMBER(E1794)),D1794-E1794,""),"")</f>
        <v/>
      </c>
    </row>
    <row r="1795">
      <c r="A1795" s="7">
        <f>IFERROR(Datos!A1795,"")</f>
        <v/>
      </c>
      <c r="B1795" s="8">
        <f>IFERROR(Datos!B1795,"")</f>
        <v/>
      </c>
      <c r="C1795" s="8">
        <f>IFERROR(Datos!C1795,"")</f>
        <v/>
      </c>
      <c r="D1795" s="28">
        <f>IFERROR(IF(AND(ISNUMBER(B1795),ISNUMBER(B1794),B1794&lt;&gt;0),B1795/B1794-1,""),"")</f>
        <v/>
      </c>
      <c r="E1795" s="28">
        <f>IFERROR(IF(AND(ISNUMBER(C1795),ISNUMBER(C1794),C1794&lt;&gt;0),C1795/C1794-1,""),"")</f>
        <v/>
      </c>
      <c r="F1795" s="28">
        <f>IFERROR(D1795-Dashboard!$B$4/252,"")</f>
        <v/>
      </c>
      <c r="G1795" s="28">
        <f>IFERROR(E1795-Dashboard!$B$4/252,"")</f>
        <v/>
      </c>
      <c r="H1795" s="8">
        <f>IFERROR(IF(ISNUMBER(B1795),MAX(B1795,IFERROR(H1794,B1795)),""),"")</f>
        <v/>
      </c>
      <c r="I1795" s="29">
        <f>IFERROR(IF(AND(ISNUMBER(B1795),ISNUMBER(H1795)),B1795/H1795-1,""),"")</f>
        <v/>
      </c>
      <c r="J1795" s="8">
        <f>IFERROR(IF(ISNUMBER(C1795),MAX(C1795,IFERROR(J1794,C1795)),""),"")</f>
        <v/>
      </c>
      <c r="K1795" s="29">
        <f>IFERROR(IF(AND(ISNUMBER(C1795),ISNUMBER(J1795)),C1795/J1795-1,""),"")</f>
        <v/>
      </c>
      <c r="L1795" s="28">
        <f>IFERROR(IF(AND(ISNUMBER(D1795),ISNUMBER(E1795)),D1795-E1795,""),"")</f>
        <v/>
      </c>
    </row>
    <row r="1796">
      <c r="A1796" s="7">
        <f>IFERROR(Datos!A1796,"")</f>
        <v/>
      </c>
      <c r="B1796" s="8">
        <f>IFERROR(Datos!B1796,"")</f>
        <v/>
      </c>
      <c r="C1796" s="8">
        <f>IFERROR(Datos!C1796,"")</f>
        <v/>
      </c>
      <c r="D1796" s="28">
        <f>IFERROR(IF(AND(ISNUMBER(B1796),ISNUMBER(B1795),B1795&lt;&gt;0),B1796/B1795-1,""),"")</f>
        <v/>
      </c>
      <c r="E1796" s="28">
        <f>IFERROR(IF(AND(ISNUMBER(C1796),ISNUMBER(C1795),C1795&lt;&gt;0),C1796/C1795-1,""),"")</f>
        <v/>
      </c>
      <c r="F1796" s="28">
        <f>IFERROR(D1796-Dashboard!$B$4/252,"")</f>
        <v/>
      </c>
      <c r="G1796" s="28">
        <f>IFERROR(E1796-Dashboard!$B$4/252,"")</f>
        <v/>
      </c>
      <c r="H1796" s="8">
        <f>IFERROR(IF(ISNUMBER(B1796),MAX(B1796,IFERROR(H1795,B1796)),""),"")</f>
        <v/>
      </c>
      <c r="I1796" s="29">
        <f>IFERROR(IF(AND(ISNUMBER(B1796),ISNUMBER(H1796)),B1796/H1796-1,""),"")</f>
        <v/>
      </c>
      <c r="J1796" s="8">
        <f>IFERROR(IF(ISNUMBER(C1796),MAX(C1796,IFERROR(J1795,C1796)),""),"")</f>
        <v/>
      </c>
      <c r="K1796" s="29">
        <f>IFERROR(IF(AND(ISNUMBER(C1796),ISNUMBER(J1796)),C1796/J1796-1,""),"")</f>
        <v/>
      </c>
      <c r="L1796" s="28">
        <f>IFERROR(IF(AND(ISNUMBER(D1796),ISNUMBER(E1796)),D1796-E1796,""),"")</f>
        <v/>
      </c>
    </row>
    <row r="1797">
      <c r="A1797" s="7">
        <f>IFERROR(Datos!A1797,"")</f>
        <v/>
      </c>
      <c r="B1797" s="8">
        <f>IFERROR(Datos!B1797,"")</f>
        <v/>
      </c>
      <c r="C1797" s="8">
        <f>IFERROR(Datos!C1797,"")</f>
        <v/>
      </c>
      <c r="D1797" s="28">
        <f>IFERROR(IF(AND(ISNUMBER(B1797),ISNUMBER(B1796),B1796&lt;&gt;0),B1797/B1796-1,""),"")</f>
        <v/>
      </c>
      <c r="E1797" s="28">
        <f>IFERROR(IF(AND(ISNUMBER(C1797),ISNUMBER(C1796),C1796&lt;&gt;0),C1797/C1796-1,""),"")</f>
        <v/>
      </c>
      <c r="F1797" s="28">
        <f>IFERROR(D1797-Dashboard!$B$4/252,"")</f>
        <v/>
      </c>
      <c r="G1797" s="28">
        <f>IFERROR(E1797-Dashboard!$B$4/252,"")</f>
        <v/>
      </c>
      <c r="H1797" s="8">
        <f>IFERROR(IF(ISNUMBER(B1797),MAX(B1797,IFERROR(H1796,B1797)),""),"")</f>
        <v/>
      </c>
      <c r="I1797" s="29">
        <f>IFERROR(IF(AND(ISNUMBER(B1797),ISNUMBER(H1797)),B1797/H1797-1,""),"")</f>
        <v/>
      </c>
      <c r="J1797" s="8">
        <f>IFERROR(IF(ISNUMBER(C1797),MAX(C1797,IFERROR(J1796,C1797)),""),"")</f>
        <v/>
      </c>
      <c r="K1797" s="29">
        <f>IFERROR(IF(AND(ISNUMBER(C1797),ISNUMBER(J1797)),C1797/J1797-1,""),"")</f>
        <v/>
      </c>
      <c r="L1797" s="28">
        <f>IFERROR(IF(AND(ISNUMBER(D1797),ISNUMBER(E1797)),D1797-E1797,""),"")</f>
        <v/>
      </c>
    </row>
    <row r="1798">
      <c r="A1798" s="7">
        <f>IFERROR(Datos!A1798,"")</f>
        <v/>
      </c>
      <c r="B1798" s="8">
        <f>IFERROR(Datos!B1798,"")</f>
        <v/>
      </c>
      <c r="C1798" s="8">
        <f>IFERROR(Datos!C1798,"")</f>
        <v/>
      </c>
      <c r="D1798" s="28">
        <f>IFERROR(IF(AND(ISNUMBER(B1798),ISNUMBER(B1797),B1797&lt;&gt;0),B1798/B1797-1,""),"")</f>
        <v/>
      </c>
      <c r="E1798" s="28">
        <f>IFERROR(IF(AND(ISNUMBER(C1798),ISNUMBER(C1797),C1797&lt;&gt;0),C1798/C1797-1,""),"")</f>
        <v/>
      </c>
      <c r="F1798" s="28">
        <f>IFERROR(D1798-Dashboard!$B$4/252,"")</f>
        <v/>
      </c>
      <c r="G1798" s="28">
        <f>IFERROR(E1798-Dashboard!$B$4/252,"")</f>
        <v/>
      </c>
      <c r="H1798" s="8">
        <f>IFERROR(IF(ISNUMBER(B1798),MAX(B1798,IFERROR(H1797,B1798)),""),"")</f>
        <v/>
      </c>
      <c r="I1798" s="29">
        <f>IFERROR(IF(AND(ISNUMBER(B1798),ISNUMBER(H1798)),B1798/H1798-1,""),"")</f>
        <v/>
      </c>
      <c r="J1798" s="8">
        <f>IFERROR(IF(ISNUMBER(C1798),MAX(C1798,IFERROR(J1797,C1798)),""),"")</f>
        <v/>
      </c>
      <c r="K1798" s="29">
        <f>IFERROR(IF(AND(ISNUMBER(C1798),ISNUMBER(J1798)),C1798/J1798-1,""),"")</f>
        <v/>
      </c>
      <c r="L1798" s="28">
        <f>IFERROR(IF(AND(ISNUMBER(D1798),ISNUMBER(E1798)),D1798-E1798,""),"")</f>
        <v/>
      </c>
    </row>
    <row r="1799">
      <c r="A1799" s="7">
        <f>IFERROR(Datos!A1799,"")</f>
        <v/>
      </c>
      <c r="B1799" s="8">
        <f>IFERROR(Datos!B1799,"")</f>
        <v/>
      </c>
      <c r="C1799" s="8">
        <f>IFERROR(Datos!C1799,"")</f>
        <v/>
      </c>
      <c r="D1799" s="28">
        <f>IFERROR(IF(AND(ISNUMBER(B1799),ISNUMBER(B1798),B1798&lt;&gt;0),B1799/B1798-1,""),"")</f>
        <v/>
      </c>
      <c r="E1799" s="28">
        <f>IFERROR(IF(AND(ISNUMBER(C1799),ISNUMBER(C1798),C1798&lt;&gt;0),C1799/C1798-1,""),"")</f>
        <v/>
      </c>
      <c r="F1799" s="28">
        <f>IFERROR(D1799-Dashboard!$B$4/252,"")</f>
        <v/>
      </c>
      <c r="G1799" s="28">
        <f>IFERROR(E1799-Dashboard!$B$4/252,"")</f>
        <v/>
      </c>
      <c r="H1799" s="8">
        <f>IFERROR(IF(ISNUMBER(B1799),MAX(B1799,IFERROR(H1798,B1799)),""),"")</f>
        <v/>
      </c>
      <c r="I1799" s="29">
        <f>IFERROR(IF(AND(ISNUMBER(B1799),ISNUMBER(H1799)),B1799/H1799-1,""),"")</f>
        <v/>
      </c>
      <c r="J1799" s="8">
        <f>IFERROR(IF(ISNUMBER(C1799),MAX(C1799,IFERROR(J1798,C1799)),""),"")</f>
        <v/>
      </c>
      <c r="K1799" s="29">
        <f>IFERROR(IF(AND(ISNUMBER(C1799),ISNUMBER(J1799)),C1799/J1799-1,""),"")</f>
        <v/>
      </c>
      <c r="L1799" s="28">
        <f>IFERROR(IF(AND(ISNUMBER(D1799),ISNUMBER(E1799)),D1799-E1799,""),"")</f>
        <v/>
      </c>
    </row>
    <row r="1800">
      <c r="A1800" s="7">
        <f>IFERROR(Datos!A1800,"")</f>
        <v/>
      </c>
      <c r="B1800" s="8">
        <f>IFERROR(Datos!B1800,"")</f>
        <v/>
      </c>
      <c r="C1800" s="8">
        <f>IFERROR(Datos!C1800,"")</f>
        <v/>
      </c>
      <c r="D1800" s="28">
        <f>IFERROR(IF(AND(ISNUMBER(B1800),ISNUMBER(B1799),B1799&lt;&gt;0),B1800/B1799-1,""),"")</f>
        <v/>
      </c>
      <c r="E1800" s="28">
        <f>IFERROR(IF(AND(ISNUMBER(C1800),ISNUMBER(C1799),C1799&lt;&gt;0),C1800/C1799-1,""),"")</f>
        <v/>
      </c>
      <c r="F1800" s="28">
        <f>IFERROR(D1800-Dashboard!$B$4/252,"")</f>
        <v/>
      </c>
      <c r="G1800" s="28">
        <f>IFERROR(E1800-Dashboard!$B$4/252,"")</f>
        <v/>
      </c>
      <c r="H1800" s="8">
        <f>IFERROR(IF(ISNUMBER(B1800),MAX(B1800,IFERROR(H1799,B1800)),""),"")</f>
        <v/>
      </c>
      <c r="I1800" s="29">
        <f>IFERROR(IF(AND(ISNUMBER(B1800),ISNUMBER(H1800)),B1800/H1800-1,""),"")</f>
        <v/>
      </c>
      <c r="J1800" s="8">
        <f>IFERROR(IF(ISNUMBER(C1800),MAX(C1800,IFERROR(J1799,C1800)),""),"")</f>
        <v/>
      </c>
      <c r="K1800" s="29">
        <f>IFERROR(IF(AND(ISNUMBER(C1800),ISNUMBER(J1800)),C1800/J1800-1,""),"")</f>
        <v/>
      </c>
      <c r="L1800" s="28">
        <f>IFERROR(IF(AND(ISNUMBER(D1800),ISNUMBER(E1800)),D1800-E1800,""),"")</f>
        <v/>
      </c>
    </row>
    <row r="1801">
      <c r="A1801" s="7">
        <f>IFERROR(Datos!A1801,"")</f>
        <v/>
      </c>
      <c r="B1801" s="8">
        <f>IFERROR(Datos!B1801,"")</f>
        <v/>
      </c>
      <c r="C1801" s="8">
        <f>IFERROR(Datos!C1801,"")</f>
        <v/>
      </c>
      <c r="D1801" s="28">
        <f>IFERROR(IF(AND(ISNUMBER(B1801),ISNUMBER(B1800),B1800&lt;&gt;0),B1801/B1800-1,""),"")</f>
        <v/>
      </c>
      <c r="E1801" s="28">
        <f>IFERROR(IF(AND(ISNUMBER(C1801),ISNUMBER(C1800),C1800&lt;&gt;0),C1801/C1800-1,""),"")</f>
        <v/>
      </c>
      <c r="F1801" s="28">
        <f>IFERROR(D1801-Dashboard!$B$4/252,"")</f>
        <v/>
      </c>
      <c r="G1801" s="28">
        <f>IFERROR(E1801-Dashboard!$B$4/252,"")</f>
        <v/>
      </c>
      <c r="H1801" s="8">
        <f>IFERROR(IF(ISNUMBER(B1801),MAX(B1801,IFERROR(H1800,B1801)),""),"")</f>
        <v/>
      </c>
      <c r="I1801" s="29">
        <f>IFERROR(IF(AND(ISNUMBER(B1801),ISNUMBER(H1801)),B1801/H1801-1,""),"")</f>
        <v/>
      </c>
      <c r="J1801" s="8">
        <f>IFERROR(IF(ISNUMBER(C1801),MAX(C1801,IFERROR(J1800,C1801)),""),"")</f>
        <v/>
      </c>
      <c r="K1801" s="29">
        <f>IFERROR(IF(AND(ISNUMBER(C1801),ISNUMBER(J1801)),C1801/J1801-1,""),"")</f>
        <v/>
      </c>
      <c r="L1801" s="28">
        <f>IFERROR(IF(AND(ISNUMBER(D1801),ISNUMBER(E1801)),D1801-E1801,""),"")</f>
        <v/>
      </c>
    </row>
    <row r="1802">
      <c r="A1802" s="7">
        <f>IFERROR(Datos!A1802,"")</f>
        <v/>
      </c>
      <c r="B1802" s="8">
        <f>IFERROR(Datos!B1802,"")</f>
        <v/>
      </c>
      <c r="C1802" s="8">
        <f>IFERROR(Datos!C1802,"")</f>
        <v/>
      </c>
      <c r="D1802" s="28">
        <f>IFERROR(IF(AND(ISNUMBER(B1802),ISNUMBER(B1801),B1801&lt;&gt;0),B1802/B1801-1,""),"")</f>
        <v/>
      </c>
      <c r="E1802" s="28">
        <f>IFERROR(IF(AND(ISNUMBER(C1802),ISNUMBER(C1801),C1801&lt;&gt;0),C1802/C1801-1,""),"")</f>
        <v/>
      </c>
      <c r="F1802" s="28">
        <f>IFERROR(D1802-Dashboard!$B$4/252,"")</f>
        <v/>
      </c>
      <c r="G1802" s="28">
        <f>IFERROR(E1802-Dashboard!$B$4/252,"")</f>
        <v/>
      </c>
      <c r="H1802" s="8">
        <f>IFERROR(IF(ISNUMBER(B1802),MAX(B1802,IFERROR(H1801,B1802)),""),"")</f>
        <v/>
      </c>
      <c r="I1802" s="29">
        <f>IFERROR(IF(AND(ISNUMBER(B1802),ISNUMBER(H1802)),B1802/H1802-1,""),"")</f>
        <v/>
      </c>
      <c r="J1802" s="8">
        <f>IFERROR(IF(ISNUMBER(C1802),MAX(C1802,IFERROR(J1801,C1802)),""),"")</f>
        <v/>
      </c>
      <c r="K1802" s="29">
        <f>IFERROR(IF(AND(ISNUMBER(C1802),ISNUMBER(J1802)),C1802/J1802-1,""),"")</f>
        <v/>
      </c>
      <c r="L1802" s="28">
        <f>IFERROR(IF(AND(ISNUMBER(D1802),ISNUMBER(E1802)),D1802-E1802,""),"")</f>
        <v/>
      </c>
    </row>
    <row r="1803">
      <c r="A1803" s="7">
        <f>IFERROR(Datos!A1803,"")</f>
        <v/>
      </c>
      <c r="B1803" s="8">
        <f>IFERROR(Datos!B1803,"")</f>
        <v/>
      </c>
      <c r="C1803" s="8">
        <f>IFERROR(Datos!C1803,"")</f>
        <v/>
      </c>
      <c r="D1803" s="28">
        <f>IFERROR(IF(AND(ISNUMBER(B1803),ISNUMBER(B1802),B1802&lt;&gt;0),B1803/B1802-1,""),"")</f>
        <v/>
      </c>
      <c r="E1803" s="28">
        <f>IFERROR(IF(AND(ISNUMBER(C1803),ISNUMBER(C1802),C1802&lt;&gt;0),C1803/C1802-1,""),"")</f>
        <v/>
      </c>
      <c r="F1803" s="28">
        <f>IFERROR(D1803-Dashboard!$B$4/252,"")</f>
        <v/>
      </c>
      <c r="G1803" s="28">
        <f>IFERROR(E1803-Dashboard!$B$4/252,"")</f>
        <v/>
      </c>
      <c r="H1803" s="8">
        <f>IFERROR(IF(ISNUMBER(B1803),MAX(B1803,IFERROR(H1802,B1803)),""),"")</f>
        <v/>
      </c>
      <c r="I1803" s="29">
        <f>IFERROR(IF(AND(ISNUMBER(B1803),ISNUMBER(H1803)),B1803/H1803-1,""),"")</f>
        <v/>
      </c>
      <c r="J1803" s="8">
        <f>IFERROR(IF(ISNUMBER(C1803),MAX(C1803,IFERROR(J1802,C1803)),""),"")</f>
        <v/>
      </c>
      <c r="K1803" s="29">
        <f>IFERROR(IF(AND(ISNUMBER(C1803),ISNUMBER(J1803)),C1803/J1803-1,""),"")</f>
        <v/>
      </c>
      <c r="L1803" s="28">
        <f>IFERROR(IF(AND(ISNUMBER(D1803),ISNUMBER(E1803)),D1803-E1803,""),"")</f>
        <v/>
      </c>
    </row>
    <row r="1804">
      <c r="A1804" s="7">
        <f>IFERROR(Datos!A1804,"")</f>
        <v/>
      </c>
      <c r="B1804" s="8">
        <f>IFERROR(Datos!B1804,"")</f>
        <v/>
      </c>
      <c r="C1804" s="8">
        <f>IFERROR(Datos!C1804,"")</f>
        <v/>
      </c>
      <c r="D1804" s="28">
        <f>IFERROR(IF(AND(ISNUMBER(B1804),ISNUMBER(B1803),B1803&lt;&gt;0),B1804/B1803-1,""),"")</f>
        <v/>
      </c>
      <c r="E1804" s="28">
        <f>IFERROR(IF(AND(ISNUMBER(C1804),ISNUMBER(C1803),C1803&lt;&gt;0),C1804/C1803-1,""),"")</f>
        <v/>
      </c>
      <c r="F1804" s="28">
        <f>IFERROR(D1804-Dashboard!$B$4/252,"")</f>
        <v/>
      </c>
      <c r="G1804" s="28">
        <f>IFERROR(E1804-Dashboard!$B$4/252,"")</f>
        <v/>
      </c>
      <c r="H1804" s="8">
        <f>IFERROR(IF(ISNUMBER(B1804),MAX(B1804,IFERROR(H1803,B1804)),""),"")</f>
        <v/>
      </c>
      <c r="I1804" s="29">
        <f>IFERROR(IF(AND(ISNUMBER(B1804),ISNUMBER(H1804)),B1804/H1804-1,""),"")</f>
        <v/>
      </c>
      <c r="J1804" s="8">
        <f>IFERROR(IF(ISNUMBER(C1804),MAX(C1804,IFERROR(J1803,C1804)),""),"")</f>
        <v/>
      </c>
      <c r="K1804" s="29">
        <f>IFERROR(IF(AND(ISNUMBER(C1804),ISNUMBER(J1804)),C1804/J1804-1,""),"")</f>
        <v/>
      </c>
      <c r="L1804" s="28">
        <f>IFERROR(IF(AND(ISNUMBER(D1804),ISNUMBER(E1804)),D1804-E1804,""),"")</f>
        <v/>
      </c>
    </row>
    <row r="1805">
      <c r="A1805" s="7">
        <f>IFERROR(Datos!A1805,"")</f>
        <v/>
      </c>
      <c r="B1805" s="8">
        <f>IFERROR(Datos!B1805,"")</f>
        <v/>
      </c>
      <c r="C1805" s="8">
        <f>IFERROR(Datos!C1805,"")</f>
        <v/>
      </c>
      <c r="D1805" s="28">
        <f>IFERROR(IF(AND(ISNUMBER(B1805),ISNUMBER(B1804),B1804&lt;&gt;0),B1805/B1804-1,""),"")</f>
        <v/>
      </c>
      <c r="E1805" s="28">
        <f>IFERROR(IF(AND(ISNUMBER(C1805),ISNUMBER(C1804),C1804&lt;&gt;0),C1805/C1804-1,""),"")</f>
        <v/>
      </c>
      <c r="F1805" s="28">
        <f>IFERROR(D1805-Dashboard!$B$4/252,"")</f>
        <v/>
      </c>
      <c r="G1805" s="28">
        <f>IFERROR(E1805-Dashboard!$B$4/252,"")</f>
        <v/>
      </c>
      <c r="H1805" s="8">
        <f>IFERROR(IF(ISNUMBER(B1805),MAX(B1805,IFERROR(H1804,B1805)),""),"")</f>
        <v/>
      </c>
      <c r="I1805" s="29">
        <f>IFERROR(IF(AND(ISNUMBER(B1805),ISNUMBER(H1805)),B1805/H1805-1,""),"")</f>
        <v/>
      </c>
      <c r="J1805" s="8">
        <f>IFERROR(IF(ISNUMBER(C1805),MAX(C1805,IFERROR(J1804,C1805)),""),"")</f>
        <v/>
      </c>
      <c r="K1805" s="29">
        <f>IFERROR(IF(AND(ISNUMBER(C1805),ISNUMBER(J1805)),C1805/J1805-1,""),"")</f>
        <v/>
      </c>
      <c r="L1805" s="28">
        <f>IFERROR(IF(AND(ISNUMBER(D1805),ISNUMBER(E1805)),D1805-E1805,""),"")</f>
        <v/>
      </c>
    </row>
    <row r="1806">
      <c r="A1806" s="7">
        <f>IFERROR(Datos!A1806,"")</f>
        <v/>
      </c>
      <c r="B1806" s="8">
        <f>IFERROR(Datos!B1806,"")</f>
        <v/>
      </c>
      <c r="C1806" s="8">
        <f>IFERROR(Datos!C1806,"")</f>
        <v/>
      </c>
      <c r="D1806" s="28">
        <f>IFERROR(IF(AND(ISNUMBER(B1806),ISNUMBER(B1805),B1805&lt;&gt;0),B1806/B1805-1,""),"")</f>
        <v/>
      </c>
      <c r="E1806" s="28">
        <f>IFERROR(IF(AND(ISNUMBER(C1806),ISNUMBER(C1805),C1805&lt;&gt;0),C1806/C1805-1,""),"")</f>
        <v/>
      </c>
      <c r="F1806" s="28">
        <f>IFERROR(D1806-Dashboard!$B$4/252,"")</f>
        <v/>
      </c>
      <c r="G1806" s="28">
        <f>IFERROR(E1806-Dashboard!$B$4/252,"")</f>
        <v/>
      </c>
      <c r="H1806" s="8">
        <f>IFERROR(IF(ISNUMBER(B1806),MAX(B1806,IFERROR(H1805,B1806)),""),"")</f>
        <v/>
      </c>
      <c r="I1806" s="29">
        <f>IFERROR(IF(AND(ISNUMBER(B1806),ISNUMBER(H1806)),B1806/H1806-1,""),"")</f>
        <v/>
      </c>
      <c r="J1806" s="8">
        <f>IFERROR(IF(ISNUMBER(C1806),MAX(C1806,IFERROR(J1805,C1806)),""),"")</f>
        <v/>
      </c>
      <c r="K1806" s="29">
        <f>IFERROR(IF(AND(ISNUMBER(C1806),ISNUMBER(J1806)),C1806/J1806-1,""),"")</f>
        <v/>
      </c>
      <c r="L1806" s="28">
        <f>IFERROR(IF(AND(ISNUMBER(D1806),ISNUMBER(E1806)),D1806-E1806,""),"")</f>
        <v/>
      </c>
    </row>
    <row r="1807">
      <c r="A1807" s="7">
        <f>IFERROR(Datos!A1807,"")</f>
        <v/>
      </c>
      <c r="B1807" s="8">
        <f>IFERROR(Datos!B1807,"")</f>
        <v/>
      </c>
      <c r="C1807" s="8">
        <f>IFERROR(Datos!C1807,"")</f>
        <v/>
      </c>
      <c r="D1807" s="28">
        <f>IFERROR(IF(AND(ISNUMBER(B1807),ISNUMBER(B1806),B1806&lt;&gt;0),B1807/B1806-1,""),"")</f>
        <v/>
      </c>
      <c r="E1807" s="28">
        <f>IFERROR(IF(AND(ISNUMBER(C1807),ISNUMBER(C1806),C1806&lt;&gt;0),C1807/C1806-1,""),"")</f>
        <v/>
      </c>
      <c r="F1807" s="28">
        <f>IFERROR(D1807-Dashboard!$B$4/252,"")</f>
        <v/>
      </c>
      <c r="G1807" s="28">
        <f>IFERROR(E1807-Dashboard!$B$4/252,"")</f>
        <v/>
      </c>
      <c r="H1807" s="8">
        <f>IFERROR(IF(ISNUMBER(B1807),MAX(B1807,IFERROR(H1806,B1807)),""),"")</f>
        <v/>
      </c>
      <c r="I1807" s="29">
        <f>IFERROR(IF(AND(ISNUMBER(B1807),ISNUMBER(H1807)),B1807/H1807-1,""),"")</f>
        <v/>
      </c>
      <c r="J1807" s="8">
        <f>IFERROR(IF(ISNUMBER(C1807),MAX(C1807,IFERROR(J1806,C1807)),""),"")</f>
        <v/>
      </c>
      <c r="K1807" s="29">
        <f>IFERROR(IF(AND(ISNUMBER(C1807),ISNUMBER(J1807)),C1807/J1807-1,""),"")</f>
        <v/>
      </c>
      <c r="L1807" s="28">
        <f>IFERROR(IF(AND(ISNUMBER(D1807),ISNUMBER(E1807)),D1807-E1807,""),"")</f>
        <v/>
      </c>
    </row>
    <row r="1808">
      <c r="A1808" s="7">
        <f>IFERROR(Datos!A1808,"")</f>
        <v/>
      </c>
      <c r="B1808" s="8">
        <f>IFERROR(Datos!B1808,"")</f>
        <v/>
      </c>
      <c r="C1808" s="8">
        <f>IFERROR(Datos!C1808,"")</f>
        <v/>
      </c>
      <c r="D1808" s="28">
        <f>IFERROR(IF(AND(ISNUMBER(B1808),ISNUMBER(B1807),B1807&lt;&gt;0),B1808/B1807-1,""),"")</f>
        <v/>
      </c>
      <c r="E1808" s="28">
        <f>IFERROR(IF(AND(ISNUMBER(C1808),ISNUMBER(C1807),C1807&lt;&gt;0),C1808/C1807-1,""),"")</f>
        <v/>
      </c>
      <c r="F1808" s="28">
        <f>IFERROR(D1808-Dashboard!$B$4/252,"")</f>
        <v/>
      </c>
      <c r="G1808" s="28">
        <f>IFERROR(E1808-Dashboard!$B$4/252,"")</f>
        <v/>
      </c>
      <c r="H1808" s="8">
        <f>IFERROR(IF(ISNUMBER(B1808),MAX(B1808,IFERROR(H1807,B1808)),""),"")</f>
        <v/>
      </c>
      <c r="I1808" s="29">
        <f>IFERROR(IF(AND(ISNUMBER(B1808),ISNUMBER(H1808)),B1808/H1808-1,""),"")</f>
        <v/>
      </c>
      <c r="J1808" s="8">
        <f>IFERROR(IF(ISNUMBER(C1808),MAX(C1808,IFERROR(J1807,C1808)),""),"")</f>
        <v/>
      </c>
      <c r="K1808" s="29">
        <f>IFERROR(IF(AND(ISNUMBER(C1808),ISNUMBER(J1808)),C1808/J1808-1,""),"")</f>
        <v/>
      </c>
      <c r="L1808" s="28">
        <f>IFERROR(IF(AND(ISNUMBER(D1808),ISNUMBER(E1808)),D1808-E1808,""),"")</f>
        <v/>
      </c>
    </row>
    <row r="1809">
      <c r="A1809" s="7">
        <f>IFERROR(Datos!A1809,"")</f>
        <v/>
      </c>
      <c r="B1809" s="8">
        <f>IFERROR(Datos!B1809,"")</f>
        <v/>
      </c>
      <c r="C1809" s="8">
        <f>IFERROR(Datos!C1809,"")</f>
        <v/>
      </c>
      <c r="D1809" s="28">
        <f>IFERROR(IF(AND(ISNUMBER(B1809),ISNUMBER(B1808),B1808&lt;&gt;0),B1809/B1808-1,""),"")</f>
        <v/>
      </c>
      <c r="E1809" s="28">
        <f>IFERROR(IF(AND(ISNUMBER(C1809),ISNUMBER(C1808),C1808&lt;&gt;0),C1809/C1808-1,""),"")</f>
        <v/>
      </c>
      <c r="F1809" s="28">
        <f>IFERROR(D1809-Dashboard!$B$4/252,"")</f>
        <v/>
      </c>
      <c r="G1809" s="28">
        <f>IFERROR(E1809-Dashboard!$B$4/252,"")</f>
        <v/>
      </c>
      <c r="H1809" s="8">
        <f>IFERROR(IF(ISNUMBER(B1809),MAX(B1809,IFERROR(H1808,B1809)),""),"")</f>
        <v/>
      </c>
      <c r="I1809" s="29">
        <f>IFERROR(IF(AND(ISNUMBER(B1809),ISNUMBER(H1809)),B1809/H1809-1,""),"")</f>
        <v/>
      </c>
      <c r="J1809" s="8">
        <f>IFERROR(IF(ISNUMBER(C1809),MAX(C1809,IFERROR(J1808,C1809)),""),"")</f>
        <v/>
      </c>
      <c r="K1809" s="29">
        <f>IFERROR(IF(AND(ISNUMBER(C1809),ISNUMBER(J1809)),C1809/J1809-1,""),"")</f>
        <v/>
      </c>
      <c r="L1809" s="28">
        <f>IFERROR(IF(AND(ISNUMBER(D1809),ISNUMBER(E1809)),D1809-E1809,""),"")</f>
        <v/>
      </c>
    </row>
    <row r="1810">
      <c r="A1810" s="7">
        <f>IFERROR(Datos!A1810,"")</f>
        <v/>
      </c>
      <c r="B1810" s="8">
        <f>IFERROR(Datos!B1810,"")</f>
        <v/>
      </c>
      <c r="C1810" s="8">
        <f>IFERROR(Datos!C1810,"")</f>
        <v/>
      </c>
      <c r="D1810" s="28">
        <f>IFERROR(IF(AND(ISNUMBER(B1810),ISNUMBER(B1809),B1809&lt;&gt;0),B1810/B1809-1,""),"")</f>
        <v/>
      </c>
      <c r="E1810" s="28">
        <f>IFERROR(IF(AND(ISNUMBER(C1810),ISNUMBER(C1809),C1809&lt;&gt;0),C1810/C1809-1,""),"")</f>
        <v/>
      </c>
      <c r="F1810" s="28">
        <f>IFERROR(D1810-Dashboard!$B$4/252,"")</f>
        <v/>
      </c>
      <c r="G1810" s="28">
        <f>IFERROR(E1810-Dashboard!$B$4/252,"")</f>
        <v/>
      </c>
      <c r="H1810" s="8">
        <f>IFERROR(IF(ISNUMBER(B1810),MAX(B1810,IFERROR(H1809,B1810)),""),"")</f>
        <v/>
      </c>
      <c r="I1810" s="29">
        <f>IFERROR(IF(AND(ISNUMBER(B1810),ISNUMBER(H1810)),B1810/H1810-1,""),"")</f>
        <v/>
      </c>
      <c r="J1810" s="8">
        <f>IFERROR(IF(ISNUMBER(C1810),MAX(C1810,IFERROR(J1809,C1810)),""),"")</f>
        <v/>
      </c>
      <c r="K1810" s="29">
        <f>IFERROR(IF(AND(ISNUMBER(C1810),ISNUMBER(J1810)),C1810/J1810-1,""),"")</f>
        <v/>
      </c>
      <c r="L1810" s="28">
        <f>IFERROR(IF(AND(ISNUMBER(D1810),ISNUMBER(E1810)),D1810-E1810,""),"")</f>
        <v/>
      </c>
    </row>
    <row r="1811">
      <c r="A1811" s="7">
        <f>IFERROR(Datos!A1811,"")</f>
        <v/>
      </c>
      <c r="B1811" s="8">
        <f>IFERROR(Datos!B1811,"")</f>
        <v/>
      </c>
      <c r="C1811" s="8">
        <f>IFERROR(Datos!C1811,"")</f>
        <v/>
      </c>
      <c r="D1811" s="28">
        <f>IFERROR(IF(AND(ISNUMBER(B1811),ISNUMBER(B1810),B1810&lt;&gt;0),B1811/B1810-1,""),"")</f>
        <v/>
      </c>
      <c r="E1811" s="28">
        <f>IFERROR(IF(AND(ISNUMBER(C1811),ISNUMBER(C1810),C1810&lt;&gt;0),C1811/C1810-1,""),"")</f>
        <v/>
      </c>
      <c r="F1811" s="28">
        <f>IFERROR(D1811-Dashboard!$B$4/252,"")</f>
        <v/>
      </c>
      <c r="G1811" s="28">
        <f>IFERROR(E1811-Dashboard!$B$4/252,"")</f>
        <v/>
      </c>
      <c r="H1811" s="8">
        <f>IFERROR(IF(ISNUMBER(B1811),MAX(B1811,IFERROR(H1810,B1811)),""),"")</f>
        <v/>
      </c>
      <c r="I1811" s="29">
        <f>IFERROR(IF(AND(ISNUMBER(B1811),ISNUMBER(H1811)),B1811/H1811-1,""),"")</f>
        <v/>
      </c>
      <c r="J1811" s="8">
        <f>IFERROR(IF(ISNUMBER(C1811),MAX(C1811,IFERROR(J1810,C1811)),""),"")</f>
        <v/>
      </c>
      <c r="K1811" s="29">
        <f>IFERROR(IF(AND(ISNUMBER(C1811),ISNUMBER(J1811)),C1811/J1811-1,""),"")</f>
        <v/>
      </c>
      <c r="L1811" s="28">
        <f>IFERROR(IF(AND(ISNUMBER(D1811),ISNUMBER(E1811)),D1811-E1811,""),"")</f>
        <v/>
      </c>
    </row>
    <row r="1812">
      <c r="A1812" s="7">
        <f>IFERROR(Datos!A1812,"")</f>
        <v/>
      </c>
      <c r="B1812" s="8">
        <f>IFERROR(Datos!B1812,"")</f>
        <v/>
      </c>
      <c r="C1812" s="8">
        <f>IFERROR(Datos!C1812,"")</f>
        <v/>
      </c>
      <c r="D1812" s="28">
        <f>IFERROR(IF(AND(ISNUMBER(B1812),ISNUMBER(B1811),B1811&lt;&gt;0),B1812/B1811-1,""),"")</f>
        <v/>
      </c>
      <c r="E1812" s="28">
        <f>IFERROR(IF(AND(ISNUMBER(C1812),ISNUMBER(C1811),C1811&lt;&gt;0),C1812/C1811-1,""),"")</f>
        <v/>
      </c>
      <c r="F1812" s="28">
        <f>IFERROR(D1812-Dashboard!$B$4/252,"")</f>
        <v/>
      </c>
      <c r="G1812" s="28">
        <f>IFERROR(E1812-Dashboard!$B$4/252,"")</f>
        <v/>
      </c>
      <c r="H1812" s="8">
        <f>IFERROR(IF(ISNUMBER(B1812),MAX(B1812,IFERROR(H1811,B1812)),""),"")</f>
        <v/>
      </c>
      <c r="I1812" s="29">
        <f>IFERROR(IF(AND(ISNUMBER(B1812),ISNUMBER(H1812)),B1812/H1812-1,""),"")</f>
        <v/>
      </c>
      <c r="J1812" s="8">
        <f>IFERROR(IF(ISNUMBER(C1812),MAX(C1812,IFERROR(J1811,C1812)),""),"")</f>
        <v/>
      </c>
      <c r="K1812" s="29">
        <f>IFERROR(IF(AND(ISNUMBER(C1812),ISNUMBER(J1812)),C1812/J1812-1,""),"")</f>
        <v/>
      </c>
      <c r="L1812" s="28">
        <f>IFERROR(IF(AND(ISNUMBER(D1812),ISNUMBER(E1812)),D1812-E1812,""),"")</f>
        <v/>
      </c>
    </row>
    <row r="1813">
      <c r="A1813" s="7">
        <f>IFERROR(Datos!A1813,"")</f>
        <v/>
      </c>
      <c r="B1813" s="8">
        <f>IFERROR(Datos!B1813,"")</f>
        <v/>
      </c>
      <c r="C1813" s="8">
        <f>IFERROR(Datos!C1813,"")</f>
        <v/>
      </c>
      <c r="D1813" s="28">
        <f>IFERROR(IF(AND(ISNUMBER(B1813),ISNUMBER(B1812),B1812&lt;&gt;0),B1813/B1812-1,""),"")</f>
        <v/>
      </c>
      <c r="E1813" s="28">
        <f>IFERROR(IF(AND(ISNUMBER(C1813),ISNUMBER(C1812),C1812&lt;&gt;0),C1813/C1812-1,""),"")</f>
        <v/>
      </c>
      <c r="F1813" s="28">
        <f>IFERROR(D1813-Dashboard!$B$4/252,"")</f>
        <v/>
      </c>
      <c r="G1813" s="28">
        <f>IFERROR(E1813-Dashboard!$B$4/252,"")</f>
        <v/>
      </c>
      <c r="H1813" s="8">
        <f>IFERROR(IF(ISNUMBER(B1813),MAX(B1813,IFERROR(H1812,B1813)),""),"")</f>
        <v/>
      </c>
      <c r="I1813" s="29">
        <f>IFERROR(IF(AND(ISNUMBER(B1813),ISNUMBER(H1813)),B1813/H1813-1,""),"")</f>
        <v/>
      </c>
      <c r="J1813" s="8">
        <f>IFERROR(IF(ISNUMBER(C1813),MAX(C1813,IFERROR(J1812,C1813)),""),"")</f>
        <v/>
      </c>
      <c r="K1813" s="29">
        <f>IFERROR(IF(AND(ISNUMBER(C1813),ISNUMBER(J1813)),C1813/J1813-1,""),"")</f>
        <v/>
      </c>
      <c r="L1813" s="28">
        <f>IFERROR(IF(AND(ISNUMBER(D1813),ISNUMBER(E1813)),D1813-E1813,""),"")</f>
        <v/>
      </c>
    </row>
    <row r="1814">
      <c r="A1814" s="7">
        <f>IFERROR(Datos!A1814,"")</f>
        <v/>
      </c>
      <c r="B1814" s="8">
        <f>IFERROR(Datos!B1814,"")</f>
        <v/>
      </c>
      <c r="C1814" s="8">
        <f>IFERROR(Datos!C1814,"")</f>
        <v/>
      </c>
      <c r="D1814" s="28">
        <f>IFERROR(IF(AND(ISNUMBER(B1814),ISNUMBER(B1813),B1813&lt;&gt;0),B1814/B1813-1,""),"")</f>
        <v/>
      </c>
      <c r="E1814" s="28">
        <f>IFERROR(IF(AND(ISNUMBER(C1814),ISNUMBER(C1813),C1813&lt;&gt;0),C1814/C1813-1,""),"")</f>
        <v/>
      </c>
      <c r="F1814" s="28">
        <f>IFERROR(D1814-Dashboard!$B$4/252,"")</f>
        <v/>
      </c>
      <c r="G1814" s="28">
        <f>IFERROR(E1814-Dashboard!$B$4/252,"")</f>
        <v/>
      </c>
      <c r="H1814" s="8">
        <f>IFERROR(IF(ISNUMBER(B1814),MAX(B1814,IFERROR(H1813,B1814)),""),"")</f>
        <v/>
      </c>
      <c r="I1814" s="29">
        <f>IFERROR(IF(AND(ISNUMBER(B1814),ISNUMBER(H1814)),B1814/H1814-1,""),"")</f>
        <v/>
      </c>
      <c r="J1814" s="8">
        <f>IFERROR(IF(ISNUMBER(C1814),MAX(C1814,IFERROR(J1813,C1814)),""),"")</f>
        <v/>
      </c>
      <c r="K1814" s="29">
        <f>IFERROR(IF(AND(ISNUMBER(C1814),ISNUMBER(J1814)),C1814/J1814-1,""),"")</f>
        <v/>
      </c>
      <c r="L1814" s="28">
        <f>IFERROR(IF(AND(ISNUMBER(D1814),ISNUMBER(E1814)),D1814-E1814,""),"")</f>
        <v/>
      </c>
    </row>
    <row r="1815">
      <c r="A1815" s="7">
        <f>IFERROR(Datos!A1815,"")</f>
        <v/>
      </c>
      <c r="B1815" s="8">
        <f>IFERROR(Datos!B1815,"")</f>
        <v/>
      </c>
      <c r="C1815" s="8">
        <f>IFERROR(Datos!C1815,"")</f>
        <v/>
      </c>
      <c r="D1815" s="28">
        <f>IFERROR(IF(AND(ISNUMBER(B1815),ISNUMBER(B1814),B1814&lt;&gt;0),B1815/B1814-1,""),"")</f>
        <v/>
      </c>
      <c r="E1815" s="28">
        <f>IFERROR(IF(AND(ISNUMBER(C1815),ISNUMBER(C1814),C1814&lt;&gt;0),C1815/C1814-1,""),"")</f>
        <v/>
      </c>
      <c r="F1815" s="28">
        <f>IFERROR(D1815-Dashboard!$B$4/252,"")</f>
        <v/>
      </c>
      <c r="G1815" s="28">
        <f>IFERROR(E1815-Dashboard!$B$4/252,"")</f>
        <v/>
      </c>
      <c r="H1815" s="8">
        <f>IFERROR(IF(ISNUMBER(B1815),MAX(B1815,IFERROR(H1814,B1815)),""),"")</f>
        <v/>
      </c>
      <c r="I1815" s="29">
        <f>IFERROR(IF(AND(ISNUMBER(B1815),ISNUMBER(H1815)),B1815/H1815-1,""),"")</f>
        <v/>
      </c>
      <c r="J1815" s="8">
        <f>IFERROR(IF(ISNUMBER(C1815),MAX(C1815,IFERROR(J1814,C1815)),""),"")</f>
        <v/>
      </c>
      <c r="K1815" s="29">
        <f>IFERROR(IF(AND(ISNUMBER(C1815),ISNUMBER(J1815)),C1815/J1815-1,""),"")</f>
        <v/>
      </c>
      <c r="L1815" s="28">
        <f>IFERROR(IF(AND(ISNUMBER(D1815),ISNUMBER(E1815)),D1815-E1815,""),"")</f>
        <v/>
      </c>
    </row>
    <row r="1816">
      <c r="A1816" s="7">
        <f>IFERROR(Datos!A1816,"")</f>
        <v/>
      </c>
      <c r="B1816" s="8">
        <f>IFERROR(Datos!B1816,"")</f>
        <v/>
      </c>
      <c r="C1816" s="8">
        <f>IFERROR(Datos!C1816,"")</f>
        <v/>
      </c>
      <c r="D1816" s="28">
        <f>IFERROR(IF(AND(ISNUMBER(B1816),ISNUMBER(B1815),B1815&lt;&gt;0),B1816/B1815-1,""),"")</f>
        <v/>
      </c>
      <c r="E1816" s="28">
        <f>IFERROR(IF(AND(ISNUMBER(C1816),ISNUMBER(C1815),C1815&lt;&gt;0),C1816/C1815-1,""),"")</f>
        <v/>
      </c>
      <c r="F1816" s="28">
        <f>IFERROR(D1816-Dashboard!$B$4/252,"")</f>
        <v/>
      </c>
      <c r="G1816" s="28">
        <f>IFERROR(E1816-Dashboard!$B$4/252,"")</f>
        <v/>
      </c>
      <c r="H1816" s="8">
        <f>IFERROR(IF(ISNUMBER(B1816),MAX(B1816,IFERROR(H1815,B1816)),""),"")</f>
        <v/>
      </c>
      <c r="I1816" s="29">
        <f>IFERROR(IF(AND(ISNUMBER(B1816),ISNUMBER(H1816)),B1816/H1816-1,""),"")</f>
        <v/>
      </c>
      <c r="J1816" s="8">
        <f>IFERROR(IF(ISNUMBER(C1816),MAX(C1816,IFERROR(J1815,C1816)),""),"")</f>
        <v/>
      </c>
      <c r="K1816" s="29">
        <f>IFERROR(IF(AND(ISNUMBER(C1816),ISNUMBER(J1816)),C1816/J1816-1,""),"")</f>
        <v/>
      </c>
      <c r="L1816" s="28">
        <f>IFERROR(IF(AND(ISNUMBER(D1816),ISNUMBER(E1816)),D1816-E1816,""),"")</f>
        <v/>
      </c>
    </row>
    <row r="1817">
      <c r="A1817" s="7">
        <f>IFERROR(Datos!A1817,"")</f>
        <v/>
      </c>
      <c r="B1817" s="8">
        <f>IFERROR(Datos!B1817,"")</f>
        <v/>
      </c>
      <c r="C1817" s="8">
        <f>IFERROR(Datos!C1817,"")</f>
        <v/>
      </c>
      <c r="D1817" s="28">
        <f>IFERROR(IF(AND(ISNUMBER(B1817),ISNUMBER(B1816),B1816&lt;&gt;0),B1817/B1816-1,""),"")</f>
        <v/>
      </c>
      <c r="E1817" s="28">
        <f>IFERROR(IF(AND(ISNUMBER(C1817),ISNUMBER(C1816),C1816&lt;&gt;0),C1817/C1816-1,""),"")</f>
        <v/>
      </c>
      <c r="F1817" s="28">
        <f>IFERROR(D1817-Dashboard!$B$4/252,"")</f>
        <v/>
      </c>
      <c r="G1817" s="28">
        <f>IFERROR(E1817-Dashboard!$B$4/252,"")</f>
        <v/>
      </c>
      <c r="H1817" s="8">
        <f>IFERROR(IF(ISNUMBER(B1817),MAX(B1817,IFERROR(H1816,B1817)),""),"")</f>
        <v/>
      </c>
      <c r="I1817" s="29">
        <f>IFERROR(IF(AND(ISNUMBER(B1817),ISNUMBER(H1817)),B1817/H1817-1,""),"")</f>
        <v/>
      </c>
      <c r="J1817" s="8">
        <f>IFERROR(IF(ISNUMBER(C1817),MAX(C1817,IFERROR(J1816,C1817)),""),"")</f>
        <v/>
      </c>
      <c r="K1817" s="29">
        <f>IFERROR(IF(AND(ISNUMBER(C1817),ISNUMBER(J1817)),C1817/J1817-1,""),"")</f>
        <v/>
      </c>
      <c r="L1817" s="28">
        <f>IFERROR(IF(AND(ISNUMBER(D1817),ISNUMBER(E1817)),D1817-E1817,""),"")</f>
        <v/>
      </c>
    </row>
    <row r="1818">
      <c r="A1818" s="7">
        <f>IFERROR(Datos!A1818,"")</f>
        <v/>
      </c>
      <c r="B1818" s="8">
        <f>IFERROR(Datos!B1818,"")</f>
        <v/>
      </c>
      <c r="C1818" s="8">
        <f>IFERROR(Datos!C1818,"")</f>
        <v/>
      </c>
      <c r="D1818" s="28">
        <f>IFERROR(IF(AND(ISNUMBER(B1818),ISNUMBER(B1817),B1817&lt;&gt;0),B1818/B1817-1,""),"")</f>
        <v/>
      </c>
      <c r="E1818" s="28">
        <f>IFERROR(IF(AND(ISNUMBER(C1818),ISNUMBER(C1817),C1817&lt;&gt;0),C1818/C1817-1,""),"")</f>
        <v/>
      </c>
      <c r="F1818" s="28">
        <f>IFERROR(D1818-Dashboard!$B$4/252,"")</f>
        <v/>
      </c>
      <c r="G1818" s="28">
        <f>IFERROR(E1818-Dashboard!$B$4/252,"")</f>
        <v/>
      </c>
      <c r="H1818" s="8">
        <f>IFERROR(IF(ISNUMBER(B1818),MAX(B1818,IFERROR(H1817,B1818)),""),"")</f>
        <v/>
      </c>
      <c r="I1818" s="29">
        <f>IFERROR(IF(AND(ISNUMBER(B1818),ISNUMBER(H1818)),B1818/H1818-1,""),"")</f>
        <v/>
      </c>
      <c r="J1818" s="8">
        <f>IFERROR(IF(ISNUMBER(C1818),MAX(C1818,IFERROR(J1817,C1818)),""),"")</f>
        <v/>
      </c>
      <c r="K1818" s="29">
        <f>IFERROR(IF(AND(ISNUMBER(C1818),ISNUMBER(J1818)),C1818/J1818-1,""),"")</f>
        <v/>
      </c>
      <c r="L1818" s="28">
        <f>IFERROR(IF(AND(ISNUMBER(D1818),ISNUMBER(E1818)),D1818-E1818,""),"")</f>
        <v/>
      </c>
    </row>
    <row r="1819">
      <c r="A1819" s="7">
        <f>IFERROR(Datos!A1819,"")</f>
        <v/>
      </c>
      <c r="B1819" s="8">
        <f>IFERROR(Datos!B1819,"")</f>
        <v/>
      </c>
      <c r="C1819" s="8">
        <f>IFERROR(Datos!C1819,"")</f>
        <v/>
      </c>
      <c r="D1819" s="28">
        <f>IFERROR(IF(AND(ISNUMBER(B1819),ISNUMBER(B1818),B1818&lt;&gt;0),B1819/B1818-1,""),"")</f>
        <v/>
      </c>
      <c r="E1819" s="28">
        <f>IFERROR(IF(AND(ISNUMBER(C1819),ISNUMBER(C1818),C1818&lt;&gt;0),C1819/C1818-1,""),"")</f>
        <v/>
      </c>
      <c r="F1819" s="28">
        <f>IFERROR(D1819-Dashboard!$B$4/252,"")</f>
        <v/>
      </c>
      <c r="G1819" s="28">
        <f>IFERROR(E1819-Dashboard!$B$4/252,"")</f>
        <v/>
      </c>
      <c r="H1819" s="8">
        <f>IFERROR(IF(ISNUMBER(B1819),MAX(B1819,IFERROR(H1818,B1819)),""),"")</f>
        <v/>
      </c>
      <c r="I1819" s="29">
        <f>IFERROR(IF(AND(ISNUMBER(B1819),ISNUMBER(H1819)),B1819/H1819-1,""),"")</f>
        <v/>
      </c>
      <c r="J1819" s="8">
        <f>IFERROR(IF(ISNUMBER(C1819),MAX(C1819,IFERROR(J1818,C1819)),""),"")</f>
        <v/>
      </c>
      <c r="K1819" s="29">
        <f>IFERROR(IF(AND(ISNUMBER(C1819),ISNUMBER(J1819)),C1819/J1819-1,""),"")</f>
        <v/>
      </c>
      <c r="L1819" s="28">
        <f>IFERROR(IF(AND(ISNUMBER(D1819),ISNUMBER(E1819)),D1819-E1819,""),"")</f>
        <v/>
      </c>
    </row>
    <row r="1820">
      <c r="A1820" s="7">
        <f>IFERROR(Datos!A1820,"")</f>
        <v/>
      </c>
      <c r="B1820" s="8">
        <f>IFERROR(Datos!B1820,"")</f>
        <v/>
      </c>
      <c r="C1820" s="8">
        <f>IFERROR(Datos!C1820,"")</f>
        <v/>
      </c>
      <c r="D1820" s="28">
        <f>IFERROR(IF(AND(ISNUMBER(B1820),ISNUMBER(B1819),B1819&lt;&gt;0),B1820/B1819-1,""),"")</f>
        <v/>
      </c>
      <c r="E1820" s="28">
        <f>IFERROR(IF(AND(ISNUMBER(C1820),ISNUMBER(C1819),C1819&lt;&gt;0),C1820/C1819-1,""),"")</f>
        <v/>
      </c>
      <c r="F1820" s="28">
        <f>IFERROR(D1820-Dashboard!$B$4/252,"")</f>
        <v/>
      </c>
      <c r="G1820" s="28">
        <f>IFERROR(E1820-Dashboard!$B$4/252,"")</f>
        <v/>
      </c>
      <c r="H1820" s="8">
        <f>IFERROR(IF(ISNUMBER(B1820),MAX(B1820,IFERROR(H1819,B1820)),""),"")</f>
        <v/>
      </c>
      <c r="I1820" s="29">
        <f>IFERROR(IF(AND(ISNUMBER(B1820),ISNUMBER(H1820)),B1820/H1820-1,""),"")</f>
        <v/>
      </c>
      <c r="J1820" s="8">
        <f>IFERROR(IF(ISNUMBER(C1820),MAX(C1820,IFERROR(J1819,C1820)),""),"")</f>
        <v/>
      </c>
      <c r="K1820" s="29">
        <f>IFERROR(IF(AND(ISNUMBER(C1820),ISNUMBER(J1820)),C1820/J1820-1,""),"")</f>
        <v/>
      </c>
      <c r="L1820" s="28">
        <f>IFERROR(IF(AND(ISNUMBER(D1820),ISNUMBER(E1820)),D1820-E1820,""),"")</f>
        <v/>
      </c>
    </row>
    <row r="1821">
      <c r="A1821" s="7">
        <f>IFERROR(Datos!A1821,"")</f>
        <v/>
      </c>
      <c r="B1821" s="8">
        <f>IFERROR(Datos!B1821,"")</f>
        <v/>
      </c>
      <c r="C1821" s="8">
        <f>IFERROR(Datos!C1821,"")</f>
        <v/>
      </c>
      <c r="D1821" s="28">
        <f>IFERROR(IF(AND(ISNUMBER(B1821),ISNUMBER(B1820),B1820&lt;&gt;0),B1821/B1820-1,""),"")</f>
        <v/>
      </c>
      <c r="E1821" s="28">
        <f>IFERROR(IF(AND(ISNUMBER(C1821),ISNUMBER(C1820),C1820&lt;&gt;0),C1821/C1820-1,""),"")</f>
        <v/>
      </c>
      <c r="F1821" s="28">
        <f>IFERROR(D1821-Dashboard!$B$4/252,"")</f>
        <v/>
      </c>
      <c r="G1821" s="28">
        <f>IFERROR(E1821-Dashboard!$B$4/252,"")</f>
        <v/>
      </c>
      <c r="H1821" s="8">
        <f>IFERROR(IF(ISNUMBER(B1821),MAX(B1821,IFERROR(H1820,B1821)),""),"")</f>
        <v/>
      </c>
      <c r="I1821" s="29">
        <f>IFERROR(IF(AND(ISNUMBER(B1821),ISNUMBER(H1821)),B1821/H1821-1,""),"")</f>
        <v/>
      </c>
      <c r="J1821" s="8">
        <f>IFERROR(IF(ISNUMBER(C1821),MAX(C1821,IFERROR(J1820,C1821)),""),"")</f>
        <v/>
      </c>
      <c r="K1821" s="29">
        <f>IFERROR(IF(AND(ISNUMBER(C1821),ISNUMBER(J1821)),C1821/J1821-1,""),"")</f>
        <v/>
      </c>
      <c r="L1821" s="28">
        <f>IFERROR(IF(AND(ISNUMBER(D1821),ISNUMBER(E1821)),D1821-E1821,""),"")</f>
        <v/>
      </c>
    </row>
    <row r="1822">
      <c r="A1822" s="7">
        <f>IFERROR(Datos!A1822,"")</f>
        <v/>
      </c>
      <c r="B1822" s="8">
        <f>IFERROR(Datos!B1822,"")</f>
        <v/>
      </c>
      <c r="C1822" s="8">
        <f>IFERROR(Datos!C1822,"")</f>
        <v/>
      </c>
      <c r="D1822" s="28">
        <f>IFERROR(IF(AND(ISNUMBER(B1822),ISNUMBER(B1821),B1821&lt;&gt;0),B1822/B1821-1,""),"")</f>
        <v/>
      </c>
      <c r="E1822" s="28">
        <f>IFERROR(IF(AND(ISNUMBER(C1822),ISNUMBER(C1821),C1821&lt;&gt;0),C1822/C1821-1,""),"")</f>
        <v/>
      </c>
      <c r="F1822" s="28">
        <f>IFERROR(D1822-Dashboard!$B$4/252,"")</f>
        <v/>
      </c>
      <c r="G1822" s="28">
        <f>IFERROR(E1822-Dashboard!$B$4/252,"")</f>
        <v/>
      </c>
      <c r="H1822" s="8">
        <f>IFERROR(IF(ISNUMBER(B1822),MAX(B1822,IFERROR(H1821,B1822)),""),"")</f>
        <v/>
      </c>
      <c r="I1822" s="29">
        <f>IFERROR(IF(AND(ISNUMBER(B1822),ISNUMBER(H1822)),B1822/H1822-1,""),"")</f>
        <v/>
      </c>
      <c r="J1822" s="8">
        <f>IFERROR(IF(ISNUMBER(C1822),MAX(C1822,IFERROR(J1821,C1822)),""),"")</f>
        <v/>
      </c>
      <c r="K1822" s="29">
        <f>IFERROR(IF(AND(ISNUMBER(C1822),ISNUMBER(J1822)),C1822/J1822-1,""),"")</f>
        <v/>
      </c>
      <c r="L1822" s="28">
        <f>IFERROR(IF(AND(ISNUMBER(D1822),ISNUMBER(E1822)),D1822-E1822,""),"")</f>
        <v/>
      </c>
    </row>
    <row r="1823">
      <c r="A1823" s="7">
        <f>IFERROR(Datos!A1823,"")</f>
        <v/>
      </c>
      <c r="B1823" s="8">
        <f>IFERROR(Datos!B1823,"")</f>
        <v/>
      </c>
      <c r="C1823" s="8">
        <f>IFERROR(Datos!C1823,"")</f>
        <v/>
      </c>
      <c r="D1823" s="28">
        <f>IFERROR(IF(AND(ISNUMBER(B1823),ISNUMBER(B1822),B1822&lt;&gt;0),B1823/B1822-1,""),"")</f>
        <v/>
      </c>
      <c r="E1823" s="28">
        <f>IFERROR(IF(AND(ISNUMBER(C1823),ISNUMBER(C1822),C1822&lt;&gt;0),C1823/C1822-1,""),"")</f>
        <v/>
      </c>
      <c r="F1823" s="28">
        <f>IFERROR(D1823-Dashboard!$B$4/252,"")</f>
        <v/>
      </c>
      <c r="G1823" s="28">
        <f>IFERROR(E1823-Dashboard!$B$4/252,"")</f>
        <v/>
      </c>
      <c r="H1823" s="8">
        <f>IFERROR(IF(ISNUMBER(B1823),MAX(B1823,IFERROR(H1822,B1823)),""),"")</f>
        <v/>
      </c>
      <c r="I1823" s="29">
        <f>IFERROR(IF(AND(ISNUMBER(B1823),ISNUMBER(H1823)),B1823/H1823-1,""),"")</f>
        <v/>
      </c>
      <c r="J1823" s="8">
        <f>IFERROR(IF(ISNUMBER(C1823),MAX(C1823,IFERROR(J1822,C1823)),""),"")</f>
        <v/>
      </c>
      <c r="K1823" s="29">
        <f>IFERROR(IF(AND(ISNUMBER(C1823),ISNUMBER(J1823)),C1823/J1823-1,""),"")</f>
        <v/>
      </c>
      <c r="L1823" s="28">
        <f>IFERROR(IF(AND(ISNUMBER(D1823),ISNUMBER(E1823)),D1823-E1823,""),"")</f>
        <v/>
      </c>
    </row>
    <row r="1824">
      <c r="A1824" s="7">
        <f>IFERROR(Datos!A1824,"")</f>
        <v/>
      </c>
      <c r="B1824" s="8">
        <f>IFERROR(Datos!B1824,"")</f>
        <v/>
      </c>
      <c r="C1824" s="8">
        <f>IFERROR(Datos!C1824,"")</f>
        <v/>
      </c>
      <c r="D1824" s="28">
        <f>IFERROR(IF(AND(ISNUMBER(B1824),ISNUMBER(B1823),B1823&lt;&gt;0),B1824/B1823-1,""),"")</f>
        <v/>
      </c>
      <c r="E1824" s="28">
        <f>IFERROR(IF(AND(ISNUMBER(C1824),ISNUMBER(C1823),C1823&lt;&gt;0),C1824/C1823-1,""),"")</f>
        <v/>
      </c>
      <c r="F1824" s="28">
        <f>IFERROR(D1824-Dashboard!$B$4/252,"")</f>
        <v/>
      </c>
      <c r="G1824" s="28">
        <f>IFERROR(E1824-Dashboard!$B$4/252,"")</f>
        <v/>
      </c>
      <c r="H1824" s="8">
        <f>IFERROR(IF(ISNUMBER(B1824),MAX(B1824,IFERROR(H1823,B1824)),""),"")</f>
        <v/>
      </c>
      <c r="I1824" s="29">
        <f>IFERROR(IF(AND(ISNUMBER(B1824),ISNUMBER(H1824)),B1824/H1824-1,""),"")</f>
        <v/>
      </c>
      <c r="J1824" s="8">
        <f>IFERROR(IF(ISNUMBER(C1824),MAX(C1824,IFERROR(J1823,C1824)),""),"")</f>
        <v/>
      </c>
      <c r="K1824" s="29">
        <f>IFERROR(IF(AND(ISNUMBER(C1824),ISNUMBER(J1824)),C1824/J1824-1,""),"")</f>
        <v/>
      </c>
      <c r="L1824" s="28">
        <f>IFERROR(IF(AND(ISNUMBER(D1824),ISNUMBER(E1824)),D1824-E1824,""),"")</f>
        <v/>
      </c>
    </row>
    <row r="1825">
      <c r="A1825" s="7">
        <f>IFERROR(Datos!A1825,"")</f>
        <v/>
      </c>
      <c r="B1825" s="8">
        <f>IFERROR(Datos!B1825,"")</f>
        <v/>
      </c>
      <c r="C1825" s="8">
        <f>IFERROR(Datos!C1825,"")</f>
        <v/>
      </c>
      <c r="D1825" s="28">
        <f>IFERROR(IF(AND(ISNUMBER(B1825),ISNUMBER(B1824),B1824&lt;&gt;0),B1825/B1824-1,""),"")</f>
        <v/>
      </c>
      <c r="E1825" s="28">
        <f>IFERROR(IF(AND(ISNUMBER(C1825),ISNUMBER(C1824),C1824&lt;&gt;0),C1825/C1824-1,""),"")</f>
        <v/>
      </c>
      <c r="F1825" s="28">
        <f>IFERROR(D1825-Dashboard!$B$4/252,"")</f>
        <v/>
      </c>
      <c r="G1825" s="28">
        <f>IFERROR(E1825-Dashboard!$B$4/252,"")</f>
        <v/>
      </c>
      <c r="H1825" s="8">
        <f>IFERROR(IF(ISNUMBER(B1825),MAX(B1825,IFERROR(H1824,B1825)),""),"")</f>
        <v/>
      </c>
      <c r="I1825" s="29">
        <f>IFERROR(IF(AND(ISNUMBER(B1825),ISNUMBER(H1825)),B1825/H1825-1,""),"")</f>
        <v/>
      </c>
      <c r="J1825" s="8">
        <f>IFERROR(IF(ISNUMBER(C1825),MAX(C1825,IFERROR(J1824,C1825)),""),"")</f>
        <v/>
      </c>
      <c r="K1825" s="29">
        <f>IFERROR(IF(AND(ISNUMBER(C1825),ISNUMBER(J1825)),C1825/J1825-1,""),"")</f>
        <v/>
      </c>
      <c r="L1825" s="28">
        <f>IFERROR(IF(AND(ISNUMBER(D1825),ISNUMBER(E1825)),D1825-E1825,""),"")</f>
        <v/>
      </c>
    </row>
    <row r="1826">
      <c r="A1826" s="7">
        <f>IFERROR(Datos!A1826,"")</f>
        <v/>
      </c>
      <c r="B1826" s="8">
        <f>IFERROR(Datos!B1826,"")</f>
        <v/>
      </c>
      <c r="C1826" s="8">
        <f>IFERROR(Datos!C1826,"")</f>
        <v/>
      </c>
      <c r="D1826" s="28">
        <f>IFERROR(IF(AND(ISNUMBER(B1826),ISNUMBER(B1825),B1825&lt;&gt;0),B1826/B1825-1,""),"")</f>
        <v/>
      </c>
      <c r="E1826" s="28">
        <f>IFERROR(IF(AND(ISNUMBER(C1826),ISNUMBER(C1825),C1825&lt;&gt;0),C1826/C1825-1,""),"")</f>
        <v/>
      </c>
      <c r="F1826" s="28">
        <f>IFERROR(D1826-Dashboard!$B$4/252,"")</f>
        <v/>
      </c>
      <c r="G1826" s="28">
        <f>IFERROR(E1826-Dashboard!$B$4/252,"")</f>
        <v/>
      </c>
      <c r="H1826" s="8">
        <f>IFERROR(IF(ISNUMBER(B1826),MAX(B1826,IFERROR(H1825,B1826)),""),"")</f>
        <v/>
      </c>
      <c r="I1826" s="29">
        <f>IFERROR(IF(AND(ISNUMBER(B1826),ISNUMBER(H1826)),B1826/H1826-1,""),"")</f>
        <v/>
      </c>
      <c r="J1826" s="8">
        <f>IFERROR(IF(ISNUMBER(C1826),MAX(C1826,IFERROR(J1825,C1826)),""),"")</f>
        <v/>
      </c>
      <c r="K1826" s="29">
        <f>IFERROR(IF(AND(ISNUMBER(C1826),ISNUMBER(J1826)),C1826/J1826-1,""),"")</f>
        <v/>
      </c>
      <c r="L1826" s="28">
        <f>IFERROR(IF(AND(ISNUMBER(D1826),ISNUMBER(E1826)),D1826-E1826,""),"")</f>
        <v/>
      </c>
    </row>
    <row r="1827">
      <c r="A1827" s="7">
        <f>IFERROR(Datos!A1827,"")</f>
        <v/>
      </c>
      <c r="B1827" s="8">
        <f>IFERROR(Datos!B1827,"")</f>
        <v/>
      </c>
      <c r="C1827" s="8">
        <f>IFERROR(Datos!C1827,"")</f>
        <v/>
      </c>
      <c r="D1827" s="28">
        <f>IFERROR(IF(AND(ISNUMBER(B1827),ISNUMBER(B1826),B1826&lt;&gt;0),B1827/B1826-1,""),"")</f>
        <v/>
      </c>
      <c r="E1827" s="28">
        <f>IFERROR(IF(AND(ISNUMBER(C1827),ISNUMBER(C1826),C1826&lt;&gt;0),C1827/C1826-1,""),"")</f>
        <v/>
      </c>
      <c r="F1827" s="28">
        <f>IFERROR(D1827-Dashboard!$B$4/252,"")</f>
        <v/>
      </c>
      <c r="G1827" s="28">
        <f>IFERROR(E1827-Dashboard!$B$4/252,"")</f>
        <v/>
      </c>
      <c r="H1827" s="8">
        <f>IFERROR(IF(ISNUMBER(B1827),MAX(B1827,IFERROR(H1826,B1827)),""),"")</f>
        <v/>
      </c>
      <c r="I1827" s="29">
        <f>IFERROR(IF(AND(ISNUMBER(B1827),ISNUMBER(H1827)),B1827/H1827-1,""),"")</f>
        <v/>
      </c>
      <c r="J1827" s="8">
        <f>IFERROR(IF(ISNUMBER(C1827),MAX(C1827,IFERROR(J1826,C1827)),""),"")</f>
        <v/>
      </c>
      <c r="K1827" s="29">
        <f>IFERROR(IF(AND(ISNUMBER(C1827),ISNUMBER(J1827)),C1827/J1827-1,""),"")</f>
        <v/>
      </c>
      <c r="L1827" s="28">
        <f>IFERROR(IF(AND(ISNUMBER(D1827),ISNUMBER(E1827)),D1827-E1827,""),"")</f>
        <v/>
      </c>
    </row>
    <row r="1828">
      <c r="A1828" s="7">
        <f>IFERROR(Datos!A1828,"")</f>
        <v/>
      </c>
      <c r="B1828" s="8">
        <f>IFERROR(Datos!B1828,"")</f>
        <v/>
      </c>
      <c r="C1828" s="8">
        <f>IFERROR(Datos!C1828,"")</f>
        <v/>
      </c>
      <c r="D1828" s="28">
        <f>IFERROR(IF(AND(ISNUMBER(B1828),ISNUMBER(B1827),B1827&lt;&gt;0),B1828/B1827-1,""),"")</f>
        <v/>
      </c>
      <c r="E1828" s="28">
        <f>IFERROR(IF(AND(ISNUMBER(C1828),ISNUMBER(C1827),C1827&lt;&gt;0),C1828/C1827-1,""),"")</f>
        <v/>
      </c>
      <c r="F1828" s="28">
        <f>IFERROR(D1828-Dashboard!$B$4/252,"")</f>
        <v/>
      </c>
      <c r="G1828" s="28">
        <f>IFERROR(E1828-Dashboard!$B$4/252,"")</f>
        <v/>
      </c>
      <c r="H1828" s="8">
        <f>IFERROR(IF(ISNUMBER(B1828),MAX(B1828,IFERROR(H1827,B1828)),""),"")</f>
        <v/>
      </c>
      <c r="I1828" s="29">
        <f>IFERROR(IF(AND(ISNUMBER(B1828),ISNUMBER(H1828)),B1828/H1828-1,""),"")</f>
        <v/>
      </c>
      <c r="J1828" s="8">
        <f>IFERROR(IF(ISNUMBER(C1828),MAX(C1828,IFERROR(J1827,C1828)),""),"")</f>
        <v/>
      </c>
      <c r="K1828" s="29">
        <f>IFERROR(IF(AND(ISNUMBER(C1828),ISNUMBER(J1828)),C1828/J1828-1,""),"")</f>
        <v/>
      </c>
      <c r="L1828" s="28">
        <f>IFERROR(IF(AND(ISNUMBER(D1828),ISNUMBER(E1828)),D1828-E1828,""),"")</f>
        <v/>
      </c>
    </row>
    <row r="1829">
      <c r="A1829" s="7">
        <f>IFERROR(Datos!A1829,"")</f>
        <v/>
      </c>
      <c r="B1829" s="8">
        <f>IFERROR(Datos!B1829,"")</f>
        <v/>
      </c>
      <c r="C1829" s="8">
        <f>IFERROR(Datos!C1829,"")</f>
        <v/>
      </c>
      <c r="D1829" s="28">
        <f>IFERROR(IF(AND(ISNUMBER(B1829),ISNUMBER(B1828),B1828&lt;&gt;0),B1829/B1828-1,""),"")</f>
        <v/>
      </c>
      <c r="E1829" s="28">
        <f>IFERROR(IF(AND(ISNUMBER(C1829),ISNUMBER(C1828),C1828&lt;&gt;0),C1829/C1828-1,""),"")</f>
        <v/>
      </c>
      <c r="F1829" s="28">
        <f>IFERROR(D1829-Dashboard!$B$4/252,"")</f>
        <v/>
      </c>
      <c r="G1829" s="28">
        <f>IFERROR(E1829-Dashboard!$B$4/252,"")</f>
        <v/>
      </c>
      <c r="H1829" s="8">
        <f>IFERROR(IF(ISNUMBER(B1829),MAX(B1829,IFERROR(H1828,B1829)),""),"")</f>
        <v/>
      </c>
      <c r="I1829" s="29">
        <f>IFERROR(IF(AND(ISNUMBER(B1829),ISNUMBER(H1829)),B1829/H1829-1,""),"")</f>
        <v/>
      </c>
      <c r="J1829" s="8">
        <f>IFERROR(IF(ISNUMBER(C1829),MAX(C1829,IFERROR(J1828,C1829)),""),"")</f>
        <v/>
      </c>
      <c r="K1829" s="29">
        <f>IFERROR(IF(AND(ISNUMBER(C1829),ISNUMBER(J1829)),C1829/J1829-1,""),"")</f>
        <v/>
      </c>
      <c r="L1829" s="28">
        <f>IFERROR(IF(AND(ISNUMBER(D1829),ISNUMBER(E1829)),D1829-E1829,""),"")</f>
        <v/>
      </c>
    </row>
    <row r="1830">
      <c r="A1830" s="7">
        <f>IFERROR(Datos!A1830,"")</f>
        <v/>
      </c>
      <c r="B1830" s="8">
        <f>IFERROR(Datos!B1830,"")</f>
        <v/>
      </c>
      <c r="C1830" s="8">
        <f>IFERROR(Datos!C1830,"")</f>
        <v/>
      </c>
      <c r="D1830" s="28">
        <f>IFERROR(IF(AND(ISNUMBER(B1830),ISNUMBER(B1829),B1829&lt;&gt;0),B1830/B1829-1,""),"")</f>
        <v/>
      </c>
      <c r="E1830" s="28">
        <f>IFERROR(IF(AND(ISNUMBER(C1830),ISNUMBER(C1829),C1829&lt;&gt;0),C1830/C1829-1,""),"")</f>
        <v/>
      </c>
      <c r="F1830" s="28">
        <f>IFERROR(D1830-Dashboard!$B$4/252,"")</f>
        <v/>
      </c>
      <c r="G1830" s="28">
        <f>IFERROR(E1830-Dashboard!$B$4/252,"")</f>
        <v/>
      </c>
      <c r="H1830" s="8">
        <f>IFERROR(IF(ISNUMBER(B1830),MAX(B1830,IFERROR(H1829,B1830)),""),"")</f>
        <v/>
      </c>
      <c r="I1830" s="29">
        <f>IFERROR(IF(AND(ISNUMBER(B1830),ISNUMBER(H1830)),B1830/H1830-1,""),"")</f>
        <v/>
      </c>
      <c r="J1830" s="8">
        <f>IFERROR(IF(ISNUMBER(C1830),MAX(C1830,IFERROR(J1829,C1830)),""),"")</f>
        <v/>
      </c>
      <c r="K1830" s="29">
        <f>IFERROR(IF(AND(ISNUMBER(C1830),ISNUMBER(J1830)),C1830/J1830-1,""),"")</f>
        <v/>
      </c>
      <c r="L1830" s="28">
        <f>IFERROR(IF(AND(ISNUMBER(D1830),ISNUMBER(E1830)),D1830-E1830,""),"")</f>
        <v/>
      </c>
    </row>
    <row r="1831">
      <c r="A1831" s="7">
        <f>IFERROR(Datos!A1831,"")</f>
        <v/>
      </c>
      <c r="B1831" s="8">
        <f>IFERROR(Datos!B1831,"")</f>
        <v/>
      </c>
      <c r="C1831" s="8">
        <f>IFERROR(Datos!C1831,"")</f>
        <v/>
      </c>
      <c r="D1831" s="28">
        <f>IFERROR(IF(AND(ISNUMBER(B1831),ISNUMBER(B1830),B1830&lt;&gt;0),B1831/B1830-1,""),"")</f>
        <v/>
      </c>
      <c r="E1831" s="28">
        <f>IFERROR(IF(AND(ISNUMBER(C1831),ISNUMBER(C1830),C1830&lt;&gt;0),C1831/C1830-1,""),"")</f>
        <v/>
      </c>
      <c r="F1831" s="28">
        <f>IFERROR(D1831-Dashboard!$B$4/252,"")</f>
        <v/>
      </c>
      <c r="G1831" s="28">
        <f>IFERROR(E1831-Dashboard!$B$4/252,"")</f>
        <v/>
      </c>
      <c r="H1831" s="8">
        <f>IFERROR(IF(ISNUMBER(B1831),MAX(B1831,IFERROR(H1830,B1831)),""),"")</f>
        <v/>
      </c>
      <c r="I1831" s="29">
        <f>IFERROR(IF(AND(ISNUMBER(B1831),ISNUMBER(H1831)),B1831/H1831-1,""),"")</f>
        <v/>
      </c>
      <c r="J1831" s="8">
        <f>IFERROR(IF(ISNUMBER(C1831),MAX(C1831,IFERROR(J1830,C1831)),""),"")</f>
        <v/>
      </c>
      <c r="K1831" s="29">
        <f>IFERROR(IF(AND(ISNUMBER(C1831),ISNUMBER(J1831)),C1831/J1831-1,""),"")</f>
        <v/>
      </c>
      <c r="L1831" s="28">
        <f>IFERROR(IF(AND(ISNUMBER(D1831),ISNUMBER(E1831)),D1831-E1831,""),"")</f>
        <v/>
      </c>
    </row>
    <row r="1832">
      <c r="A1832" s="7">
        <f>IFERROR(Datos!A1832,"")</f>
        <v/>
      </c>
      <c r="B1832" s="8">
        <f>IFERROR(Datos!B1832,"")</f>
        <v/>
      </c>
      <c r="C1832" s="8">
        <f>IFERROR(Datos!C1832,"")</f>
        <v/>
      </c>
      <c r="D1832" s="28">
        <f>IFERROR(IF(AND(ISNUMBER(B1832),ISNUMBER(B1831),B1831&lt;&gt;0),B1832/B1831-1,""),"")</f>
        <v/>
      </c>
      <c r="E1832" s="28">
        <f>IFERROR(IF(AND(ISNUMBER(C1832),ISNUMBER(C1831),C1831&lt;&gt;0),C1832/C1831-1,""),"")</f>
        <v/>
      </c>
      <c r="F1832" s="28">
        <f>IFERROR(D1832-Dashboard!$B$4/252,"")</f>
        <v/>
      </c>
      <c r="G1832" s="28">
        <f>IFERROR(E1832-Dashboard!$B$4/252,"")</f>
        <v/>
      </c>
      <c r="H1832" s="8">
        <f>IFERROR(IF(ISNUMBER(B1832),MAX(B1832,IFERROR(H1831,B1832)),""),"")</f>
        <v/>
      </c>
      <c r="I1832" s="29">
        <f>IFERROR(IF(AND(ISNUMBER(B1832),ISNUMBER(H1832)),B1832/H1832-1,""),"")</f>
        <v/>
      </c>
      <c r="J1832" s="8">
        <f>IFERROR(IF(ISNUMBER(C1832),MAX(C1832,IFERROR(J1831,C1832)),""),"")</f>
        <v/>
      </c>
      <c r="K1832" s="29">
        <f>IFERROR(IF(AND(ISNUMBER(C1832),ISNUMBER(J1832)),C1832/J1832-1,""),"")</f>
        <v/>
      </c>
      <c r="L1832" s="28">
        <f>IFERROR(IF(AND(ISNUMBER(D1832),ISNUMBER(E1832)),D1832-E1832,""),"")</f>
        <v/>
      </c>
    </row>
    <row r="1833">
      <c r="A1833" s="7">
        <f>IFERROR(Datos!A1833,"")</f>
        <v/>
      </c>
      <c r="B1833" s="8">
        <f>IFERROR(Datos!B1833,"")</f>
        <v/>
      </c>
      <c r="C1833" s="8">
        <f>IFERROR(Datos!C1833,"")</f>
        <v/>
      </c>
      <c r="D1833" s="28">
        <f>IFERROR(IF(AND(ISNUMBER(B1833),ISNUMBER(B1832),B1832&lt;&gt;0),B1833/B1832-1,""),"")</f>
        <v/>
      </c>
      <c r="E1833" s="28">
        <f>IFERROR(IF(AND(ISNUMBER(C1833),ISNUMBER(C1832),C1832&lt;&gt;0),C1833/C1832-1,""),"")</f>
        <v/>
      </c>
      <c r="F1833" s="28">
        <f>IFERROR(D1833-Dashboard!$B$4/252,"")</f>
        <v/>
      </c>
      <c r="G1833" s="28">
        <f>IFERROR(E1833-Dashboard!$B$4/252,"")</f>
        <v/>
      </c>
      <c r="H1833" s="8">
        <f>IFERROR(IF(ISNUMBER(B1833),MAX(B1833,IFERROR(H1832,B1833)),""),"")</f>
        <v/>
      </c>
      <c r="I1833" s="29">
        <f>IFERROR(IF(AND(ISNUMBER(B1833),ISNUMBER(H1833)),B1833/H1833-1,""),"")</f>
        <v/>
      </c>
      <c r="J1833" s="8">
        <f>IFERROR(IF(ISNUMBER(C1833),MAX(C1833,IFERROR(J1832,C1833)),""),"")</f>
        <v/>
      </c>
      <c r="K1833" s="29">
        <f>IFERROR(IF(AND(ISNUMBER(C1833),ISNUMBER(J1833)),C1833/J1833-1,""),"")</f>
        <v/>
      </c>
      <c r="L1833" s="28">
        <f>IFERROR(IF(AND(ISNUMBER(D1833),ISNUMBER(E1833)),D1833-E1833,""),"")</f>
        <v/>
      </c>
    </row>
    <row r="1834">
      <c r="A1834" s="7">
        <f>IFERROR(Datos!A1834,"")</f>
        <v/>
      </c>
      <c r="B1834" s="8">
        <f>IFERROR(Datos!B1834,"")</f>
        <v/>
      </c>
      <c r="C1834" s="8">
        <f>IFERROR(Datos!C1834,"")</f>
        <v/>
      </c>
      <c r="D1834" s="28">
        <f>IFERROR(IF(AND(ISNUMBER(B1834),ISNUMBER(B1833),B1833&lt;&gt;0),B1834/B1833-1,""),"")</f>
        <v/>
      </c>
      <c r="E1834" s="28">
        <f>IFERROR(IF(AND(ISNUMBER(C1834),ISNUMBER(C1833),C1833&lt;&gt;0),C1834/C1833-1,""),"")</f>
        <v/>
      </c>
      <c r="F1834" s="28">
        <f>IFERROR(D1834-Dashboard!$B$4/252,"")</f>
        <v/>
      </c>
      <c r="G1834" s="28">
        <f>IFERROR(E1834-Dashboard!$B$4/252,"")</f>
        <v/>
      </c>
      <c r="H1834" s="8">
        <f>IFERROR(IF(ISNUMBER(B1834),MAX(B1834,IFERROR(H1833,B1834)),""),"")</f>
        <v/>
      </c>
      <c r="I1834" s="29">
        <f>IFERROR(IF(AND(ISNUMBER(B1834),ISNUMBER(H1834)),B1834/H1834-1,""),"")</f>
        <v/>
      </c>
      <c r="J1834" s="8">
        <f>IFERROR(IF(ISNUMBER(C1834),MAX(C1834,IFERROR(J1833,C1834)),""),"")</f>
        <v/>
      </c>
      <c r="K1834" s="29">
        <f>IFERROR(IF(AND(ISNUMBER(C1834),ISNUMBER(J1834)),C1834/J1834-1,""),"")</f>
        <v/>
      </c>
      <c r="L1834" s="28">
        <f>IFERROR(IF(AND(ISNUMBER(D1834),ISNUMBER(E1834)),D1834-E1834,""),"")</f>
        <v/>
      </c>
    </row>
    <row r="1835">
      <c r="A1835" s="7">
        <f>IFERROR(Datos!A1835,"")</f>
        <v/>
      </c>
      <c r="B1835" s="8">
        <f>IFERROR(Datos!B1835,"")</f>
        <v/>
      </c>
      <c r="C1835" s="8">
        <f>IFERROR(Datos!C1835,"")</f>
        <v/>
      </c>
      <c r="D1835" s="28">
        <f>IFERROR(IF(AND(ISNUMBER(B1835),ISNUMBER(B1834),B1834&lt;&gt;0),B1835/B1834-1,""),"")</f>
        <v/>
      </c>
      <c r="E1835" s="28">
        <f>IFERROR(IF(AND(ISNUMBER(C1835),ISNUMBER(C1834),C1834&lt;&gt;0),C1835/C1834-1,""),"")</f>
        <v/>
      </c>
      <c r="F1835" s="28">
        <f>IFERROR(D1835-Dashboard!$B$4/252,"")</f>
        <v/>
      </c>
      <c r="G1835" s="28">
        <f>IFERROR(E1835-Dashboard!$B$4/252,"")</f>
        <v/>
      </c>
      <c r="H1835" s="8">
        <f>IFERROR(IF(ISNUMBER(B1835),MAX(B1835,IFERROR(H1834,B1835)),""),"")</f>
        <v/>
      </c>
      <c r="I1835" s="29">
        <f>IFERROR(IF(AND(ISNUMBER(B1835),ISNUMBER(H1835)),B1835/H1835-1,""),"")</f>
        <v/>
      </c>
      <c r="J1835" s="8">
        <f>IFERROR(IF(ISNUMBER(C1835),MAX(C1835,IFERROR(J1834,C1835)),""),"")</f>
        <v/>
      </c>
      <c r="K1835" s="29">
        <f>IFERROR(IF(AND(ISNUMBER(C1835),ISNUMBER(J1835)),C1835/J1835-1,""),"")</f>
        <v/>
      </c>
      <c r="L1835" s="28">
        <f>IFERROR(IF(AND(ISNUMBER(D1835),ISNUMBER(E1835)),D1835-E1835,""),"")</f>
        <v/>
      </c>
    </row>
    <row r="1836">
      <c r="A1836" s="7">
        <f>IFERROR(Datos!A1836,"")</f>
        <v/>
      </c>
      <c r="B1836" s="8">
        <f>IFERROR(Datos!B1836,"")</f>
        <v/>
      </c>
      <c r="C1836" s="8">
        <f>IFERROR(Datos!C1836,"")</f>
        <v/>
      </c>
      <c r="D1836" s="28">
        <f>IFERROR(IF(AND(ISNUMBER(B1836),ISNUMBER(B1835),B1835&lt;&gt;0),B1836/B1835-1,""),"")</f>
        <v/>
      </c>
      <c r="E1836" s="28">
        <f>IFERROR(IF(AND(ISNUMBER(C1836),ISNUMBER(C1835),C1835&lt;&gt;0),C1836/C1835-1,""),"")</f>
        <v/>
      </c>
      <c r="F1836" s="28">
        <f>IFERROR(D1836-Dashboard!$B$4/252,"")</f>
        <v/>
      </c>
      <c r="G1836" s="28">
        <f>IFERROR(E1836-Dashboard!$B$4/252,"")</f>
        <v/>
      </c>
      <c r="H1836" s="8">
        <f>IFERROR(IF(ISNUMBER(B1836),MAX(B1836,IFERROR(H1835,B1836)),""),"")</f>
        <v/>
      </c>
      <c r="I1836" s="29">
        <f>IFERROR(IF(AND(ISNUMBER(B1836),ISNUMBER(H1836)),B1836/H1836-1,""),"")</f>
        <v/>
      </c>
      <c r="J1836" s="8">
        <f>IFERROR(IF(ISNUMBER(C1836),MAX(C1836,IFERROR(J1835,C1836)),""),"")</f>
        <v/>
      </c>
      <c r="K1836" s="29">
        <f>IFERROR(IF(AND(ISNUMBER(C1836),ISNUMBER(J1836)),C1836/J1836-1,""),"")</f>
        <v/>
      </c>
      <c r="L1836" s="28">
        <f>IFERROR(IF(AND(ISNUMBER(D1836),ISNUMBER(E1836)),D1836-E1836,""),"")</f>
        <v/>
      </c>
    </row>
    <row r="1837">
      <c r="A1837" s="7">
        <f>IFERROR(Datos!A1837,"")</f>
        <v/>
      </c>
      <c r="B1837" s="8">
        <f>IFERROR(Datos!B1837,"")</f>
        <v/>
      </c>
      <c r="C1837" s="8">
        <f>IFERROR(Datos!C1837,"")</f>
        <v/>
      </c>
      <c r="D1837" s="28">
        <f>IFERROR(IF(AND(ISNUMBER(B1837),ISNUMBER(B1836),B1836&lt;&gt;0),B1837/B1836-1,""),"")</f>
        <v/>
      </c>
      <c r="E1837" s="28">
        <f>IFERROR(IF(AND(ISNUMBER(C1837),ISNUMBER(C1836),C1836&lt;&gt;0),C1837/C1836-1,""),"")</f>
        <v/>
      </c>
      <c r="F1837" s="28">
        <f>IFERROR(D1837-Dashboard!$B$4/252,"")</f>
        <v/>
      </c>
      <c r="G1837" s="28">
        <f>IFERROR(E1837-Dashboard!$B$4/252,"")</f>
        <v/>
      </c>
      <c r="H1837" s="8">
        <f>IFERROR(IF(ISNUMBER(B1837),MAX(B1837,IFERROR(H1836,B1837)),""),"")</f>
        <v/>
      </c>
      <c r="I1837" s="29">
        <f>IFERROR(IF(AND(ISNUMBER(B1837),ISNUMBER(H1837)),B1837/H1837-1,""),"")</f>
        <v/>
      </c>
      <c r="J1837" s="8">
        <f>IFERROR(IF(ISNUMBER(C1837),MAX(C1837,IFERROR(J1836,C1837)),""),"")</f>
        <v/>
      </c>
      <c r="K1837" s="29">
        <f>IFERROR(IF(AND(ISNUMBER(C1837),ISNUMBER(J1837)),C1837/J1837-1,""),"")</f>
        <v/>
      </c>
      <c r="L1837" s="28">
        <f>IFERROR(IF(AND(ISNUMBER(D1837),ISNUMBER(E1837)),D1837-E1837,""),"")</f>
        <v/>
      </c>
    </row>
    <row r="1838">
      <c r="A1838" s="7">
        <f>IFERROR(Datos!A1838,"")</f>
        <v/>
      </c>
      <c r="B1838" s="8">
        <f>IFERROR(Datos!B1838,"")</f>
        <v/>
      </c>
      <c r="C1838" s="8">
        <f>IFERROR(Datos!C1838,"")</f>
        <v/>
      </c>
      <c r="D1838" s="28">
        <f>IFERROR(IF(AND(ISNUMBER(B1838),ISNUMBER(B1837),B1837&lt;&gt;0),B1838/B1837-1,""),"")</f>
        <v/>
      </c>
      <c r="E1838" s="28">
        <f>IFERROR(IF(AND(ISNUMBER(C1838),ISNUMBER(C1837),C1837&lt;&gt;0),C1838/C1837-1,""),"")</f>
        <v/>
      </c>
      <c r="F1838" s="28">
        <f>IFERROR(D1838-Dashboard!$B$4/252,"")</f>
        <v/>
      </c>
      <c r="G1838" s="28">
        <f>IFERROR(E1838-Dashboard!$B$4/252,"")</f>
        <v/>
      </c>
      <c r="H1838" s="8">
        <f>IFERROR(IF(ISNUMBER(B1838),MAX(B1838,IFERROR(H1837,B1838)),""),"")</f>
        <v/>
      </c>
      <c r="I1838" s="29">
        <f>IFERROR(IF(AND(ISNUMBER(B1838),ISNUMBER(H1838)),B1838/H1838-1,""),"")</f>
        <v/>
      </c>
      <c r="J1838" s="8">
        <f>IFERROR(IF(ISNUMBER(C1838),MAX(C1838,IFERROR(J1837,C1838)),""),"")</f>
        <v/>
      </c>
      <c r="K1838" s="29">
        <f>IFERROR(IF(AND(ISNUMBER(C1838),ISNUMBER(J1838)),C1838/J1838-1,""),"")</f>
        <v/>
      </c>
      <c r="L1838" s="28">
        <f>IFERROR(IF(AND(ISNUMBER(D1838),ISNUMBER(E1838)),D1838-E1838,""),"")</f>
        <v/>
      </c>
    </row>
    <row r="1839">
      <c r="A1839" s="7">
        <f>IFERROR(Datos!A1839,"")</f>
        <v/>
      </c>
      <c r="B1839" s="8">
        <f>IFERROR(Datos!B1839,"")</f>
        <v/>
      </c>
      <c r="C1839" s="8">
        <f>IFERROR(Datos!C1839,"")</f>
        <v/>
      </c>
      <c r="D1839" s="28">
        <f>IFERROR(IF(AND(ISNUMBER(B1839),ISNUMBER(B1838),B1838&lt;&gt;0),B1839/B1838-1,""),"")</f>
        <v/>
      </c>
      <c r="E1839" s="28">
        <f>IFERROR(IF(AND(ISNUMBER(C1839),ISNUMBER(C1838),C1838&lt;&gt;0),C1839/C1838-1,""),"")</f>
        <v/>
      </c>
      <c r="F1839" s="28">
        <f>IFERROR(D1839-Dashboard!$B$4/252,"")</f>
        <v/>
      </c>
      <c r="G1839" s="28">
        <f>IFERROR(E1839-Dashboard!$B$4/252,"")</f>
        <v/>
      </c>
      <c r="H1839" s="8">
        <f>IFERROR(IF(ISNUMBER(B1839),MAX(B1839,IFERROR(H1838,B1839)),""),"")</f>
        <v/>
      </c>
      <c r="I1839" s="29">
        <f>IFERROR(IF(AND(ISNUMBER(B1839),ISNUMBER(H1839)),B1839/H1839-1,""),"")</f>
        <v/>
      </c>
      <c r="J1839" s="8">
        <f>IFERROR(IF(ISNUMBER(C1839),MAX(C1839,IFERROR(J1838,C1839)),""),"")</f>
        <v/>
      </c>
      <c r="K1839" s="29">
        <f>IFERROR(IF(AND(ISNUMBER(C1839),ISNUMBER(J1839)),C1839/J1839-1,""),"")</f>
        <v/>
      </c>
      <c r="L1839" s="28">
        <f>IFERROR(IF(AND(ISNUMBER(D1839),ISNUMBER(E1839)),D1839-E1839,""),"")</f>
        <v/>
      </c>
    </row>
    <row r="1840">
      <c r="A1840" s="7">
        <f>IFERROR(Datos!A1840,"")</f>
        <v/>
      </c>
      <c r="B1840" s="8">
        <f>IFERROR(Datos!B1840,"")</f>
        <v/>
      </c>
      <c r="C1840" s="8">
        <f>IFERROR(Datos!C1840,"")</f>
        <v/>
      </c>
      <c r="D1840" s="28">
        <f>IFERROR(IF(AND(ISNUMBER(B1840),ISNUMBER(B1839),B1839&lt;&gt;0),B1840/B1839-1,""),"")</f>
        <v/>
      </c>
      <c r="E1840" s="28">
        <f>IFERROR(IF(AND(ISNUMBER(C1840),ISNUMBER(C1839),C1839&lt;&gt;0),C1840/C1839-1,""),"")</f>
        <v/>
      </c>
      <c r="F1840" s="28">
        <f>IFERROR(D1840-Dashboard!$B$4/252,"")</f>
        <v/>
      </c>
      <c r="G1840" s="28">
        <f>IFERROR(E1840-Dashboard!$B$4/252,"")</f>
        <v/>
      </c>
      <c r="H1840" s="8">
        <f>IFERROR(IF(ISNUMBER(B1840),MAX(B1840,IFERROR(H1839,B1840)),""),"")</f>
        <v/>
      </c>
      <c r="I1840" s="29">
        <f>IFERROR(IF(AND(ISNUMBER(B1840),ISNUMBER(H1840)),B1840/H1840-1,""),"")</f>
        <v/>
      </c>
      <c r="J1840" s="8">
        <f>IFERROR(IF(ISNUMBER(C1840),MAX(C1840,IFERROR(J1839,C1840)),""),"")</f>
        <v/>
      </c>
      <c r="K1840" s="29">
        <f>IFERROR(IF(AND(ISNUMBER(C1840),ISNUMBER(J1840)),C1840/J1840-1,""),"")</f>
        <v/>
      </c>
      <c r="L1840" s="28">
        <f>IFERROR(IF(AND(ISNUMBER(D1840),ISNUMBER(E1840)),D1840-E1840,""),"")</f>
        <v/>
      </c>
    </row>
    <row r="1841">
      <c r="A1841" s="7">
        <f>IFERROR(Datos!A1841,"")</f>
        <v/>
      </c>
      <c r="B1841" s="8">
        <f>IFERROR(Datos!B1841,"")</f>
        <v/>
      </c>
      <c r="C1841" s="8">
        <f>IFERROR(Datos!C1841,"")</f>
        <v/>
      </c>
      <c r="D1841" s="28">
        <f>IFERROR(IF(AND(ISNUMBER(B1841),ISNUMBER(B1840),B1840&lt;&gt;0),B1841/B1840-1,""),"")</f>
        <v/>
      </c>
      <c r="E1841" s="28">
        <f>IFERROR(IF(AND(ISNUMBER(C1841),ISNUMBER(C1840),C1840&lt;&gt;0),C1841/C1840-1,""),"")</f>
        <v/>
      </c>
      <c r="F1841" s="28">
        <f>IFERROR(D1841-Dashboard!$B$4/252,"")</f>
        <v/>
      </c>
      <c r="G1841" s="28">
        <f>IFERROR(E1841-Dashboard!$B$4/252,"")</f>
        <v/>
      </c>
      <c r="H1841" s="8">
        <f>IFERROR(IF(ISNUMBER(B1841),MAX(B1841,IFERROR(H1840,B1841)),""),"")</f>
        <v/>
      </c>
      <c r="I1841" s="29">
        <f>IFERROR(IF(AND(ISNUMBER(B1841),ISNUMBER(H1841)),B1841/H1841-1,""),"")</f>
        <v/>
      </c>
      <c r="J1841" s="8">
        <f>IFERROR(IF(ISNUMBER(C1841),MAX(C1841,IFERROR(J1840,C1841)),""),"")</f>
        <v/>
      </c>
      <c r="K1841" s="29">
        <f>IFERROR(IF(AND(ISNUMBER(C1841),ISNUMBER(J1841)),C1841/J1841-1,""),"")</f>
        <v/>
      </c>
      <c r="L1841" s="28">
        <f>IFERROR(IF(AND(ISNUMBER(D1841),ISNUMBER(E1841)),D1841-E1841,""),"")</f>
        <v/>
      </c>
    </row>
    <row r="1842">
      <c r="A1842" s="7">
        <f>IFERROR(Datos!A1842,"")</f>
        <v/>
      </c>
      <c r="B1842" s="8">
        <f>IFERROR(Datos!B1842,"")</f>
        <v/>
      </c>
      <c r="C1842" s="8">
        <f>IFERROR(Datos!C1842,"")</f>
        <v/>
      </c>
      <c r="D1842" s="28">
        <f>IFERROR(IF(AND(ISNUMBER(B1842),ISNUMBER(B1841),B1841&lt;&gt;0),B1842/B1841-1,""),"")</f>
        <v/>
      </c>
      <c r="E1842" s="28">
        <f>IFERROR(IF(AND(ISNUMBER(C1842),ISNUMBER(C1841),C1841&lt;&gt;0),C1842/C1841-1,""),"")</f>
        <v/>
      </c>
      <c r="F1842" s="28">
        <f>IFERROR(D1842-Dashboard!$B$4/252,"")</f>
        <v/>
      </c>
      <c r="G1842" s="28">
        <f>IFERROR(E1842-Dashboard!$B$4/252,"")</f>
        <v/>
      </c>
      <c r="H1842" s="8">
        <f>IFERROR(IF(ISNUMBER(B1842),MAX(B1842,IFERROR(H1841,B1842)),""),"")</f>
        <v/>
      </c>
      <c r="I1842" s="29">
        <f>IFERROR(IF(AND(ISNUMBER(B1842),ISNUMBER(H1842)),B1842/H1842-1,""),"")</f>
        <v/>
      </c>
      <c r="J1842" s="8">
        <f>IFERROR(IF(ISNUMBER(C1842),MAX(C1842,IFERROR(J1841,C1842)),""),"")</f>
        <v/>
      </c>
      <c r="K1842" s="29">
        <f>IFERROR(IF(AND(ISNUMBER(C1842),ISNUMBER(J1842)),C1842/J1842-1,""),"")</f>
        <v/>
      </c>
      <c r="L1842" s="28">
        <f>IFERROR(IF(AND(ISNUMBER(D1842),ISNUMBER(E1842)),D1842-E1842,""),"")</f>
        <v/>
      </c>
    </row>
    <row r="1843">
      <c r="A1843" s="7">
        <f>IFERROR(Datos!A1843,"")</f>
        <v/>
      </c>
      <c r="B1843" s="8">
        <f>IFERROR(Datos!B1843,"")</f>
        <v/>
      </c>
      <c r="C1843" s="8">
        <f>IFERROR(Datos!C1843,"")</f>
        <v/>
      </c>
      <c r="D1843" s="28">
        <f>IFERROR(IF(AND(ISNUMBER(B1843),ISNUMBER(B1842),B1842&lt;&gt;0),B1843/B1842-1,""),"")</f>
        <v/>
      </c>
      <c r="E1843" s="28">
        <f>IFERROR(IF(AND(ISNUMBER(C1843),ISNUMBER(C1842),C1842&lt;&gt;0),C1843/C1842-1,""),"")</f>
        <v/>
      </c>
      <c r="F1843" s="28">
        <f>IFERROR(D1843-Dashboard!$B$4/252,"")</f>
        <v/>
      </c>
      <c r="G1843" s="28">
        <f>IFERROR(E1843-Dashboard!$B$4/252,"")</f>
        <v/>
      </c>
      <c r="H1843" s="8">
        <f>IFERROR(IF(ISNUMBER(B1843),MAX(B1843,IFERROR(H1842,B1843)),""),"")</f>
        <v/>
      </c>
      <c r="I1843" s="29">
        <f>IFERROR(IF(AND(ISNUMBER(B1843),ISNUMBER(H1843)),B1843/H1843-1,""),"")</f>
        <v/>
      </c>
      <c r="J1843" s="8">
        <f>IFERROR(IF(ISNUMBER(C1843),MAX(C1843,IFERROR(J1842,C1843)),""),"")</f>
        <v/>
      </c>
      <c r="K1843" s="29">
        <f>IFERROR(IF(AND(ISNUMBER(C1843),ISNUMBER(J1843)),C1843/J1843-1,""),"")</f>
        <v/>
      </c>
      <c r="L1843" s="28">
        <f>IFERROR(IF(AND(ISNUMBER(D1843),ISNUMBER(E1843)),D1843-E1843,""),"")</f>
        <v/>
      </c>
    </row>
    <row r="1844">
      <c r="A1844" s="7">
        <f>IFERROR(Datos!A1844,"")</f>
        <v/>
      </c>
      <c r="B1844" s="8">
        <f>IFERROR(Datos!B1844,"")</f>
        <v/>
      </c>
      <c r="C1844" s="8">
        <f>IFERROR(Datos!C1844,"")</f>
        <v/>
      </c>
      <c r="D1844" s="28">
        <f>IFERROR(IF(AND(ISNUMBER(B1844),ISNUMBER(B1843),B1843&lt;&gt;0),B1844/B1843-1,""),"")</f>
        <v/>
      </c>
      <c r="E1844" s="28">
        <f>IFERROR(IF(AND(ISNUMBER(C1844),ISNUMBER(C1843),C1843&lt;&gt;0),C1844/C1843-1,""),"")</f>
        <v/>
      </c>
      <c r="F1844" s="28">
        <f>IFERROR(D1844-Dashboard!$B$4/252,"")</f>
        <v/>
      </c>
      <c r="G1844" s="28">
        <f>IFERROR(E1844-Dashboard!$B$4/252,"")</f>
        <v/>
      </c>
      <c r="H1844" s="8">
        <f>IFERROR(IF(ISNUMBER(B1844),MAX(B1844,IFERROR(H1843,B1844)),""),"")</f>
        <v/>
      </c>
      <c r="I1844" s="29">
        <f>IFERROR(IF(AND(ISNUMBER(B1844),ISNUMBER(H1844)),B1844/H1844-1,""),"")</f>
        <v/>
      </c>
      <c r="J1844" s="8">
        <f>IFERROR(IF(ISNUMBER(C1844),MAX(C1844,IFERROR(J1843,C1844)),""),"")</f>
        <v/>
      </c>
      <c r="K1844" s="29">
        <f>IFERROR(IF(AND(ISNUMBER(C1844),ISNUMBER(J1844)),C1844/J1844-1,""),"")</f>
        <v/>
      </c>
      <c r="L1844" s="28">
        <f>IFERROR(IF(AND(ISNUMBER(D1844),ISNUMBER(E1844)),D1844-E1844,""),"")</f>
        <v/>
      </c>
    </row>
    <row r="1845">
      <c r="A1845" s="7">
        <f>IFERROR(Datos!A1845,"")</f>
        <v/>
      </c>
      <c r="B1845" s="8">
        <f>IFERROR(Datos!B1845,"")</f>
        <v/>
      </c>
      <c r="C1845" s="8">
        <f>IFERROR(Datos!C1845,"")</f>
        <v/>
      </c>
      <c r="D1845" s="28">
        <f>IFERROR(IF(AND(ISNUMBER(B1845),ISNUMBER(B1844),B1844&lt;&gt;0),B1845/B1844-1,""),"")</f>
        <v/>
      </c>
      <c r="E1845" s="28">
        <f>IFERROR(IF(AND(ISNUMBER(C1845),ISNUMBER(C1844),C1844&lt;&gt;0),C1845/C1844-1,""),"")</f>
        <v/>
      </c>
      <c r="F1845" s="28">
        <f>IFERROR(D1845-Dashboard!$B$4/252,"")</f>
        <v/>
      </c>
      <c r="G1845" s="28">
        <f>IFERROR(E1845-Dashboard!$B$4/252,"")</f>
        <v/>
      </c>
      <c r="H1845" s="8">
        <f>IFERROR(IF(ISNUMBER(B1845),MAX(B1845,IFERROR(H1844,B1845)),""),"")</f>
        <v/>
      </c>
      <c r="I1845" s="29">
        <f>IFERROR(IF(AND(ISNUMBER(B1845),ISNUMBER(H1845)),B1845/H1845-1,""),"")</f>
        <v/>
      </c>
      <c r="J1845" s="8">
        <f>IFERROR(IF(ISNUMBER(C1845),MAX(C1845,IFERROR(J1844,C1845)),""),"")</f>
        <v/>
      </c>
      <c r="K1845" s="29">
        <f>IFERROR(IF(AND(ISNUMBER(C1845),ISNUMBER(J1845)),C1845/J1845-1,""),"")</f>
        <v/>
      </c>
      <c r="L1845" s="28">
        <f>IFERROR(IF(AND(ISNUMBER(D1845),ISNUMBER(E1845)),D1845-E1845,""),"")</f>
        <v/>
      </c>
    </row>
    <row r="1846">
      <c r="A1846" s="7">
        <f>IFERROR(Datos!A1846,"")</f>
        <v/>
      </c>
      <c r="B1846" s="8">
        <f>IFERROR(Datos!B1846,"")</f>
        <v/>
      </c>
      <c r="C1846" s="8">
        <f>IFERROR(Datos!C1846,"")</f>
        <v/>
      </c>
      <c r="D1846" s="28">
        <f>IFERROR(IF(AND(ISNUMBER(B1846),ISNUMBER(B1845),B1845&lt;&gt;0),B1846/B1845-1,""),"")</f>
        <v/>
      </c>
      <c r="E1846" s="28">
        <f>IFERROR(IF(AND(ISNUMBER(C1846),ISNUMBER(C1845),C1845&lt;&gt;0),C1846/C1845-1,""),"")</f>
        <v/>
      </c>
      <c r="F1846" s="28">
        <f>IFERROR(D1846-Dashboard!$B$4/252,"")</f>
        <v/>
      </c>
      <c r="G1846" s="28">
        <f>IFERROR(E1846-Dashboard!$B$4/252,"")</f>
        <v/>
      </c>
      <c r="H1846" s="8">
        <f>IFERROR(IF(ISNUMBER(B1846),MAX(B1846,IFERROR(H1845,B1846)),""),"")</f>
        <v/>
      </c>
      <c r="I1846" s="29">
        <f>IFERROR(IF(AND(ISNUMBER(B1846),ISNUMBER(H1846)),B1846/H1846-1,""),"")</f>
        <v/>
      </c>
      <c r="J1846" s="8">
        <f>IFERROR(IF(ISNUMBER(C1846),MAX(C1846,IFERROR(J1845,C1846)),""),"")</f>
        <v/>
      </c>
      <c r="K1846" s="29">
        <f>IFERROR(IF(AND(ISNUMBER(C1846),ISNUMBER(J1846)),C1846/J1846-1,""),"")</f>
        <v/>
      </c>
      <c r="L1846" s="28">
        <f>IFERROR(IF(AND(ISNUMBER(D1846),ISNUMBER(E1846)),D1846-E1846,""),"")</f>
        <v/>
      </c>
    </row>
    <row r="1847">
      <c r="A1847" s="7">
        <f>IFERROR(Datos!A1847,"")</f>
        <v/>
      </c>
      <c r="B1847" s="8">
        <f>IFERROR(Datos!B1847,"")</f>
        <v/>
      </c>
      <c r="C1847" s="8">
        <f>IFERROR(Datos!C1847,"")</f>
        <v/>
      </c>
      <c r="D1847" s="28">
        <f>IFERROR(IF(AND(ISNUMBER(B1847),ISNUMBER(B1846),B1846&lt;&gt;0),B1847/B1846-1,""),"")</f>
        <v/>
      </c>
      <c r="E1847" s="28">
        <f>IFERROR(IF(AND(ISNUMBER(C1847),ISNUMBER(C1846),C1846&lt;&gt;0),C1847/C1846-1,""),"")</f>
        <v/>
      </c>
      <c r="F1847" s="28">
        <f>IFERROR(D1847-Dashboard!$B$4/252,"")</f>
        <v/>
      </c>
      <c r="G1847" s="28">
        <f>IFERROR(E1847-Dashboard!$B$4/252,"")</f>
        <v/>
      </c>
      <c r="H1847" s="8">
        <f>IFERROR(IF(ISNUMBER(B1847),MAX(B1847,IFERROR(H1846,B1847)),""),"")</f>
        <v/>
      </c>
      <c r="I1847" s="29">
        <f>IFERROR(IF(AND(ISNUMBER(B1847),ISNUMBER(H1847)),B1847/H1847-1,""),"")</f>
        <v/>
      </c>
      <c r="J1847" s="8">
        <f>IFERROR(IF(ISNUMBER(C1847),MAX(C1847,IFERROR(J1846,C1847)),""),"")</f>
        <v/>
      </c>
      <c r="K1847" s="29">
        <f>IFERROR(IF(AND(ISNUMBER(C1847),ISNUMBER(J1847)),C1847/J1847-1,""),"")</f>
        <v/>
      </c>
      <c r="L1847" s="28">
        <f>IFERROR(IF(AND(ISNUMBER(D1847),ISNUMBER(E1847)),D1847-E1847,""),"")</f>
        <v/>
      </c>
    </row>
    <row r="1848">
      <c r="A1848" s="7">
        <f>IFERROR(Datos!A1848,"")</f>
        <v/>
      </c>
      <c r="B1848" s="8">
        <f>IFERROR(Datos!B1848,"")</f>
        <v/>
      </c>
      <c r="C1848" s="8">
        <f>IFERROR(Datos!C1848,"")</f>
        <v/>
      </c>
      <c r="D1848" s="28">
        <f>IFERROR(IF(AND(ISNUMBER(B1848),ISNUMBER(B1847),B1847&lt;&gt;0),B1848/B1847-1,""),"")</f>
        <v/>
      </c>
      <c r="E1848" s="28">
        <f>IFERROR(IF(AND(ISNUMBER(C1848),ISNUMBER(C1847),C1847&lt;&gt;0),C1848/C1847-1,""),"")</f>
        <v/>
      </c>
      <c r="F1848" s="28">
        <f>IFERROR(D1848-Dashboard!$B$4/252,"")</f>
        <v/>
      </c>
      <c r="G1848" s="28">
        <f>IFERROR(E1848-Dashboard!$B$4/252,"")</f>
        <v/>
      </c>
      <c r="H1848" s="8">
        <f>IFERROR(IF(ISNUMBER(B1848),MAX(B1848,IFERROR(H1847,B1848)),""),"")</f>
        <v/>
      </c>
      <c r="I1848" s="29">
        <f>IFERROR(IF(AND(ISNUMBER(B1848),ISNUMBER(H1848)),B1848/H1848-1,""),"")</f>
        <v/>
      </c>
      <c r="J1848" s="8">
        <f>IFERROR(IF(ISNUMBER(C1848),MAX(C1848,IFERROR(J1847,C1848)),""),"")</f>
        <v/>
      </c>
      <c r="K1848" s="29">
        <f>IFERROR(IF(AND(ISNUMBER(C1848),ISNUMBER(J1848)),C1848/J1848-1,""),"")</f>
        <v/>
      </c>
      <c r="L1848" s="28">
        <f>IFERROR(IF(AND(ISNUMBER(D1848),ISNUMBER(E1848)),D1848-E1848,""),"")</f>
        <v/>
      </c>
    </row>
    <row r="1849">
      <c r="A1849" s="7">
        <f>IFERROR(Datos!A1849,"")</f>
        <v/>
      </c>
      <c r="B1849" s="8">
        <f>IFERROR(Datos!B1849,"")</f>
        <v/>
      </c>
      <c r="C1849" s="8">
        <f>IFERROR(Datos!C1849,"")</f>
        <v/>
      </c>
      <c r="D1849" s="28">
        <f>IFERROR(IF(AND(ISNUMBER(B1849),ISNUMBER(B1848),B1848&lt;&gt;0),B1849/B1848-1,""),"")</f>
        <v/>
      </c>
      <c r="E1849" s="28">
        <f>IFERROR(IF(AND(ISNUMBER(C1849),ISNUMBER(C1848),C1848&lt;&gt;0),C1849/C1848-1,""),"")</f>
        <v/>
      </c>
      <c r="F1849" s="28">
        <f>IFERROR(D1849-Dashboard!$B$4/252,"")</f>
        <v/>
      </c>
      <c r="G1849" s="28">
        <f>IFERROR(E1849-Dashboard!$B$4/252,"")</f>
        <v/>
      </c>
      <c r="H1849" s="8">
        <f>IFERROR(IF(ISNUMBER(B1849),MAX(B1849,IFERROR(H1848,B1849)),""),"")</f>
        <v/>
      </c>
      <c r="I1849" s="29">
        <f>IFERROR(IF(AND(ISNUMBER(B1849),ISNUMBER(H1849)),B1849/H1849-1,""),"")</f>
        <v/>
      </c>
      <c r="J1849" s="8">
        <f>IFERROR(IF(ISNUMBER(C1849),MAX(C1849,IFERROR(J1848,C1849)),""),"")</f>
        <v/>
      </c>
      <c r="K1849" s="29">
        <f>IFERROR(IF(AND(ISNUMBER(C1849),ISNUMBER(J1849)),C1849/J1849-1,""),"")</f>
        <v/>
      </c>
      <c r="L1849" s="28">
        <f>IFERROR(IF(AND(ISNUMBER(D1849),ISNUMBER(E1849)),D1849-E1849,""),"")</f>
        <v/>
      </c>
    </row>
    <row r="1850">
      <c r="A1850" s="7">
        <f>IFERROR(Datos!A1850,"")</f>
        <v/>
      </c>
      <c r="B1850" s="8">
        <f>IFERROR(Datos!B1850,"")</f>
        <v/>
      </c>
      <c r="C1850" s="8">
        <f>IFERROR(Datos!C1850,"")</f>
        <v/>
      </c>
      <c r="D1850" s="28">
        <f>IFERROR(IF(AND(ISNUMBER(B1850),ISNUMBER(B1849),B1849&lt;&gt;0),B1850/B1849-1,""),"")</f>
        <v/>
      </c>
      <c r="E1850" s="28">
        <f>IFERROR(IF(AND(ISNUMBER(C1850),ISNUMBER(C1849),C1849&lt;&gt;0),C1850/C1849-1,""),"")</f>
        <v/>
      </c>
      <c r="F1850" s="28">
        <f>IFERROR(D1850-Dashboard!$B$4/252,"")</f>
        <v/>
      </c>
      <c r="G1850" s="28">
        <f>IFERROR(E1850-Dashboard!$B$4/252,"")</f>
        <v/>
      </c>
      <c r="H1850" s="8">
        <f>IFERROR(IF(ISNUMBER(B1850),MAX(B1850,IFERROR(H1849,B1850)),""),"")</f>
        <v/>
      </c>
      <c r="I1850" s="29">
        <f>IFERROR(IF(AND(ISNUMBER(B1850),ISNUMBER(H1850)),B1850/H1850-1,""),"")</f>
        <v/>
      </c>
      <c r="J1850" s="8">
        <f>IFERROR(IF(ISNUMBER(C1850),MAX(C1850,IFERROR(J1849,C1850)),""),"")</f>
        <v/>
      </c>
      <c r="K1850" s="29">
        <f>IFERROR(IF(AND(ISNUMBER(C1850),ISNUMBER(J1850)),C1850/J1850-1,""),"")</f>
        <v/>
      </c>
      <c r="L1850" s="28">
        <f>IFERROR(IF(AND(ISNUMBER(D1850),ISNUMBER(E1850)),D1850-E1850,""),"")</f>
        <v/>
      </c>
    </row>
    <row r="1851">
      <c r="A1851" s="7">
        <f>IFERROR(Datos!A1851,"")</f>
        <v/>
      </c>
      <c r="B1851" s="8">
        <f>IFERROR(Datos!B1851,"")</f>
        <v/>
      </c>
      <c r="C1851" s="8">
        <f>IFERROR(Datos!C1851,"")</f>
        <v/>
      </c>
      <c r="D1851" s="28">
        <f>IFERROR(IF(AND(ISNUMBER(B1851),ISNUMBER(B1850),B1850&lt;&gt;0),B1851/B1850-1,""),"")</f>
        <v/>
      </c>
      <c r="E1851" s="28">
        <f>IFERROR(IF(AND(ISNUMBER(C1851),ISNUMBER(C1850),C1850&lt;&gt;0),C1851/C1850-1,""),"")</f>
        <v/>
      </c>
      <c r="F1851" s="28">
        <f>IFERROR(D1851-Dashboard!$B$4/252,"")</f>
        <v/>
      </c>
      <c r="G1851" s="28">
        <f>IFERROR(E1851-Dashboard!$B$4/252,"")</f>
        <v/>
      </c>
      <c r="H1851" s="8">
        <f>IFERROR(IF(ISNUMBER(B1851),MAX(B1851,IFERROR(H1850,B1851)),""),"")</f>
        <v/>
      </c>
      <c r="I1851" s="29">
        <f>IFERROR(IF(AND(ISNUMBER(B1851),ISNUMBER(H1851)),B1851/H1851-1,""),"")</f>
        <v/>
      </c>
      <c r="J1851" s="8">
        <f>IFERROR(IF(ISNUMBER(C1851),MAX(C1851,IFERROR(J1850,C1851)),""),"")</f>
        <v/>
      </c>
      <c r="K1851" s="29">
        <f>IFERROR(IF(AND(ISNUMBER(C1851),ISNUMBER(J1851)),C1851/J1851-1,""),"")</f>
        <v/>
      </c>
      <c r="L1851" s="28">
        <f>IFERROR(IF(AND(ISNUMBER(D1851),ISNUMBER(E1851)),D1851-E1851,""),"")</f>
        <v/>
      </c>
    </row>
    <row r="1852">
      <c r="A1852" s="7">
        <f>IFERROR(Datos!A1852,"")</f>
        <v/>
      </c>
      <c r="B1852" s="8">
        <f>IFERROR(Datos!B1852,"")</f>
        <v/>
      </c>
      <c r="C1852" s="8">
        <f>IFERROR(Datos!C1852,"")</f>
        <v/>
      </c>
      <c r="D1852" s="28">
        <f>IFERROR(IF(AND(ISNUMBER(B1852),ISNUMBER(B1851),B1851&lt;&gt;0),B1852/B1851-1,""),"")</f>
        <v/>
      </c>
      <c r="E1852" s="28">
        <f>IFERROR(IF(AND(ISNUMBER(C1852),ISNUMBER(C1851),C1851&lt;&gt;0),C1852/C1851-1,""),"")</f>
        <v/>
      </c>
      <c r="F1852" s="28">
        <f>IFERROR(D1852-Dashboard!$B$4/252,"")</f>
        <v/>
      </c>
      <c r="G1852" s="28">
        <f>IFERROR(E1852-Dashboard!$B$4/252,"")</f>
        <v/>
      </c>
      <c r="H1852" s="8">
        <f>IFERROR(IF(ISNUMBER(B1852),MAX(B1852,IFERROR(H1851,B1852)),""),"")</f>
        <v/>
      </c>
      <c r="I1852" s="29">
        <f>IFERROR(IF(AND(ISNUMBER(B1852),ISNUMBER(H1852)),B1852/H1852-1,""),"")</f>
        <v/>
      </c>
      <c r="J1852" s="8">
        <f>IFERROR(IF(ISNUMBER(C1852),MAX(C1852,IFERROR(J1851,C1852)),""),"")</f>
        <v/>
      </c>
      <c r="K1852" s="29">
        <f>IFERROR(IF(AND(ISNUMBER(C1852),ISNUMBER(J1852)),C1852/J1852-1,""),"")</f>
        <v/>
      </c>
      <c r="L1852" s="28">
        <f>IFERROR(IF(AND(ISNUMBER(D1852),ISNUMBER(E1852)),D1852-E1852,""),"")</f>
        <v/>
      </c>
    </row>
    <row r="1853">
      <c r="A1853" s="7">
        <f>IFERROR(Datos!A1853,"")</f>
        <v/>
      </c>
      <c r="B1853" s="8">
        <f>IFERROR(Datos!B1853,"")</f>
        <v/>
      </c>
      <c r="C1853" s="8">
        <f>IFERROR(Datos!C1853,"")</f>
        <v/>
      </c>
      <c r="D1853" s="28">
        <f>IFERROR(IF(AND(ISNUMBER(B1853),ISNUMBER(B1852),B1852&lt;&gt;0),B1853/B1852-1,""),"")</f>
        <v/>
      </c>
      <c r="E1853" s="28">
        <f>IFERROR(IF(AND(ISNUMBER(C1853),ISNUMBER(C1852),C1852&lt;&gt;0),C1853/C1852-1,""),"")</f>
        <v/>
      </c>
      <c r="F1853" s="28">
        <f>IFERROR(D1853-Dashboard!$B$4/252,"")</f>
        <v/>
      </c>
      <c r="G1853" s="28">
        <f>IFERROR(E1853-Dashboard!$B$4/252,"")</f>
        <v/>
      </c>
      <c r="H1853" s="8">
        <f>IFERROR(IF(ISNUMBER(B1853),MAX(B1853,IFERROR(H1852,B1853)),""),"")</f>
        <v/>
      </c>
      <c r="I1853" s="29">
        <f>IFERROR(IF(AND(ISNUMBER(B1853),ISNUMBER(H1853)),B1853/H1853-1,""),"")</f>
        <v/>
      </c>
      <c r="J1853" s="8">
        <f>IFERROR(IF(ISNUMBER(C1853),MAX(C1853,IFERROR(J1852,C1853)),""),"")</f>
        <v/>
      </c>
      <c r="K1853" s="29">
        <f>IFERROR(IF(AND(ISNUMBER(C1853),ISNUMBER(J1853)),C1853/J1853-1,""),"")</f>
        <v/>
      </c>
      <c r="L1853" s="28">
        <f>IFERROR(IF(AND(ISNUMBER(D1853),ISNUMBER(E1853)),D1853-E1853,""),"")</f>
        <v/>
      </c>
    </row>
    <row r="1854">
      <c r="A1854" s="7">
        <f>IFERROR(Datos!A1854,"")</f>
        <v/>
      </c>
      <c r="B1854" s="8">
        <f>IFERROR(Datos!B1854,"")</f>
        <v/>
      </c>
      <c r="C1854" s="8">
        <f>IFERROR(Datos!C1854,"")</f>
        <v/>
      </c>
      <c r="D1854" s="28">
        <f>IFERROR(IF(AND(ISNUMBER(B1854),ISNUMBER(B1853),B1853&lt;&gt;0),B1854/B1853-1,""),"")</f>
        <v/>
      </c>
      <c r="E1854" s="28">
        <f>IFERROR(IF(AND(ISNUMBER(C1854),ISNUMBER(C1853),C1853&lt;&gt;0),C1854/C1853-1,""),"")</f>
        <v/>
      </c>
      <c r="F1854" s="28">
        <f>IFERROR(D1854-Dashboard!$B$4/252,"")</f>
        <v/>
      </c>
      <c r="G1854" s="28">
        <f>IFERROR(E1854-Dashboard!$B$4/252,"")</f>
        <v/>
      </c>
      <c r="H1854" s="8">
        <f>IFERROR(IF(ISNUMBER(B1854),MAX(B1854,IFERROR(H1853,B1854)),""),"")</f>
        <v/>
      </c>
      <c r="I1854" s="29">
        <f>IFERROR(IF(AND(ISNUMBER(B1854),ISNUMBER(H1854)),B1854/H1854-1,""),"")</f>
        <v/>
      </c>
      <c r="J1854" s="8">
        <f>IFERROR(IF(ISNUMBER(C1854),MAX(C1854,IFERROR(J1853,C1854)),""),"")</f>
        <v/>
      </c>
      <c r="K1854" s="29">
        <f>IFERROR(IF(AND(ISNUMBER(C1854),ISNUMBER(J1854)),C1854/J1854-1,""),"")</f>
        <v/>
      </c>
      <c r="L1854" s="28">
        <f>IFERROR(IF(AND(ISNUMBER(D1854),ISNUMBER(E1854)),D1854-E1854,""),"")</f>
        <v/>
      </c>
    </row>
    <row r="1855">
      <c r="A1855" s="7">
        <f>IFERROR(Datos!A1855,"")</f>
        <v/>
      </c>
      <c r="B1855" s="8">
        <f>IFERROR(Datos!B1855,"")</f>
        <v/>
      </c>
      <c r="C1855" s="8">
        <f>IFERROR(Datos!C1855,"")</f>
        <v/>
      </c>
      <c r="D1855" s="28">
        <f>IFERROR(IF(AND(ISNUMBER(B1855),ISNUMBER(B1854),B1854&lt;&gt;0),B1855/B1854-1,""),"")</f>
        <v/>
      </c>
      <c r="E1855" s="28">
        <f>IFERROR(IF(AND(ISNUMBER(C1855),ISNUMBER(C1854),C1854&lt;&gt;0),C1855/C1854-1,""),"")</f>
        <v/>
      </c>
      <c r="F1855" s="28">
        <f>IFERROR(D1855-Dashboard!$B$4/252,"")</f>
        <v/>
      </c>
      <c r="G1855" s="28">
        <f>IFERROR(E1855-Dashboard!$B$4/252,"")</f>
        <v/>
      </c>
      <c r="H1855" s="8">
        <f>IFERROR(IF(ISNUMBER(B1855),MAX(B1855,IFERROR(H1854,B1855)),""),"")</f>
        <v/>
      </c>
      <c r="I1855" s="29">
        <f>IFERROR(IF(AND(ISNUMBER(B1855),ISNUMBER(H1855)),B1855/H1855-1,""),"")</f>
        <v/>
      </c>
      <c r="J1855" s="8">
        <f>IFERROR(IF(ISNUMBER(C1855),MAX(C1855,IFERROR(J1854,C1855)),""),"")</f>
        <v/>
      </c>
      <c r="K1855" s="29">
        <f>IFERROR(IF(AND(ISNUMBER(C1855),ISNUMBER(J1855)),C1855/J1855-1,""),"")</f>
        <v/>
      </c>
      <c r="L1855" s="28">
        <f>IFERROR(IF(AND(ISNUMBER(D1855),ISNUMBER(E1855)),D1855-E1855,""),"")</f>
        <v/>
      </c>
    </row>
    <row r="1856">
      <c r="A1856" s="7">
        <f>IFERROR(Datos!A1856,"")</f>
        <v/>
      </c>
      <c r="B1856" s="8">
        <f>IFERROR(Datos!B1856,"")</f>
        <v/>
      </c>
      <c r="C1856" s="8">
        <f>IFERROR(Datos!C1856,"")</f>
        <v/>
      </c>
      <c r="D1856" s="28">
        <f>IFERROR(IF(AND(ISNUMBER(B1856),ISNUMBER(B1855),B1855&lt;&gt;0),B1856/B1855-1,""),"")</f>
        <v/>
      </c>
      <c r="E1856" s="28">
        <f>IFERROR(IF(AND(ISNUMBER(C1856),ISNUMBER(C1855),C1855&lt;&gt;0),C1856/C1855-1,""),"")</f>
        <v/>
      </c>
      <c r="F1856" s="28">
        <f>IFERROR(D1856-Dashboard!$B$4/252,"")</f>
        <v/>
      </c>
      <c r="G1856" s="28">
        <f>IFERROR(E1856-Dashboard!$B$4/252,"")</f>
        <v/>
      </c>
      <c r="H1856" s="8">
        <f>IFERROR(IF(ISNUMBER(B1856),MAX(B1856,IFERROR(H1855,B1856)),""),"")</f>
        <v/>
      </c>
      <c r="I1856" s="29">
        <f>IFERROR(IF(AND(ISNUMBER(B1856),ISNUMBER(H1856)),B1856/H1856-1,""),"")</f>
        <v/>
      </c>
      <c r="J1856" s="8">
        <f>IFERROR(IF(ISNUMBER(C1856),MAX(C1856,IFERROR(J1855,C1856)),""),"")</f>
        <v/>
      </c>
      <c r="K1856" s="29">
        <f>IFERROR(IF(AND(ISNUMBER(C1856),ISNUMBER(J1856)),C1856/J1856-1,""),"")</f>
        <v/>
      </c>
      <c r="L1856" s="28">
        <f>IFERROR(IF(AND(ISNUMBER(D1856),ISNUMBER(E1856)),D1856-E1856,""),"")</f>
        <v/>
      </c>
    </row>
    <row r="1857">
      <c r="A1857" s="7">
        <f>IFERROR(Datos!A1857,"")</f>
        <v/>
      </c>
      <c r="B1857" s="8">
        <f>IFERROR(Datos!B1857,"")</f>
        <v/>
      </c>
      <c r="C1857" s="8">
        <f>IFERROR(Datos!C1857,"")</f>
        <v/>
      </c>
      <c r="D1857" s="28">
        <f>IFERROR(IF(AND(ISNUMBER(B1857),ISNUMBER(B1856),B1856&lt;&gt;0),B1857/B1856-1,""),"")</f>
        <v/>
      </c>
      <c r="E1857" s="28">
        <f>IFERROR(IF(AND(ISNUMBER(C1857),ISNUMBER(C1856),C1856&lt;&gt;0),C1857/C1856-1,""),"")</f>
        <v/>
      </c>
      <c r="F1857" s="28">
        <f>IFERROR(D1857-Dashboard!$B$4/252,"")</f>
        <v/>
      </c>
      <c r="G1857" s="28">
        <f>IFERROR(E1857-Dashboard!$B$4/252,"")</f>
        <v/>
      </c>
      <c r="H1857" s="8">
        <f>IFERROR(IF(ISNUMBER(B1857),MAX(B1857,IFERROR(H1856,B1857)),""),"")</f>
        <v/>
      </c>
      <c r="I1857" s="29">
        <f>IFERROR(IF(AND(ISNUMBER(B1857),ISNUMBER(H1857)),B1857/H1857-1,""),"")</f>
        <v/>
      </c>
      <c r="J1857" s="8">
        <f>IFERROR(IF(ISNUMBER(C1857),MAX(C1857,IFERROR(J1856,C1857)),""),"")</f>
        <v/>
      </c>
      <c r="K1857" s="29">
        <f>IFERROR(IF(AND(ISNUMBER(C1857),ISNUMBER(J1857)),C1857/J1857-1,""),"")</f>
        <v/>
      </c>
      <c r="L1857" s="28">
        <f>IFERROR(IF(AND(ISNUMBER(D1857),ISNUMBER(E1857)),D1857-E1857,""),"")</f>
        <v/>
      </c>
    </row>
    <row r="1858">
      <c r="A1858" s="7">
        <f>IFERROR(Datos!A1858,"")</f>
        <v/>
      </c>
      <c r="B1858" s="8">
        <f>IFERROR(Datos!B1858,"")</f>
        <v/>
      </c>
      <c r="C1858" s="8">
        <f>IFERROR(Datos!C1858,"")</f>
        <v/>
      </c>
      <c r="D1858" s="28">
        <f>IFERROR(IF(AND(ISNUMBER(B1858),ISNUMBER(B1857),B1857&lt;&gt;0),B1858/B1857-1,""),"")</f>
        <v/>
      </c>
      <c r="E1858" s="28">
        <f>IFERROR(IF(AND(ISNUMBER(C1858),ISNUMBER(C1857),C1857&lt;&gt;0),C1858/C1857-1,""),"")</f>
        <v/>
      </c>
      <c r="F1858" s="28">
        <f>IFERROR(D1858-Dashboard!$B$4/252,"")</f>
        <v/>
      </c>
      <c r="G1858" s="28">
        <f>IFERROR(E1858-Dashboard!$B$4/252,"")</f>
        <v/>
      </c>
      <c r="H1858" s="8">
        <f>IFERROR(IF(ISNUMBER(B1858),MAX(B1858,IFERROR(H1857,B1858)),""),"")</f>
        <v/>
      </c>
      <c r="I1858" s="29">
        <f>IFERROR(IF(AND(ISNUMBER(B1858),ISNUMBER(H1858)),B1858/H1858-1,""),"")</f>
        <v/>
      </c>
      <c r="J1858" s="8">
        <f>IFERROR(IF(ISNUMBER(C1858),MAX(C1858,IFERROR(J1857,C1858)),""),"")</f>
        <v/>
      </c>
      <c r="K1858" s="29">
        <f>IFERROR(IF(AND(ISNUMBER(C1858),ISNUMBER(J1858)),C1858/J1858-1,""),"")</f>
        <v/>
      </c>
      <c r="L1858" s="28">
        <f>IFERROR(IF(AND(ISNUMBER(D1858),ISNUMBER(E1858)),D1858-E1858,""),"")</f>
        <v/>
      </c>
    </row>
    <row r="1859">
      <c r="A1859" s="7">
        <f>IFERROR(Datos!A1859,"")</f>
        <v/>
      </c>
      <c r="B1859" s="8">
        <f>IFERROR(Datos!B1859,"")</f>
        <v/>
      </c>
      <c r="C1859" s="8">
        <f>IFERROR(Datos!C1859,"")</f>
        <v/>
      </c>
      <c r="D1859" s="28">
        <f>IFERROR(IF(AND(ISNUMBER(B1859),ISNUMBER(B1858),B1858&lt;&gt;0),B1859/B1858-1,""),"")</f>
        <v/>
      </c>
      <c r="E1859" s="28">
        <f>IFERROR(IF(AND(ISNUMBER(C1859),ISNUMBER(C1858),C1858&lt;&gt;0),C1859/C1858-1,""),"")</f>
        <v/>
      </c>
      <c r="F1859" s="28">
        <f>IFERROR(D1859-Dashboard!$B$4/252,"")</f>
        <v/>
      </c>
      <c r="G1859" s="28">
        <f>IFERROR(E1859-Dashboard!$B$4/252,"")</f>
        <v/>
      </c>
      <c r="H1859" s="8">
        <f>IFERROR(IF(ISNUMBER(B1859),MAX(B1859,IFERROR(H1858,B1859)),""),"")</f>
        <v/>
      </c>
      <c r="I1859" s="29">
        <f>IFERROR(IF(AND(ISNUMBER(B1859),ISNUMBER(H1859)),B1859/H1859-1,""),"")</f>
        <v/>
      </c>
      <c r="J1859" s="8">
        <f>IFERROR(IF(ISNUMBER(C1859),MAX(C1859,IFERROR(J1858,C1859)),""),"")</f>
        <v/>
      </c>
      <c r="K1859" s="29">
        <f>IFERROR(IF(AND(ISNUMBER(C1859),ISNUMBER(J1859)),C1859/J1859-1,""),"")</f>
        <v/>
      </c>
      <c r="L1859" s="28">
        <f>IFERROR(IF(AND(ISNUMBER(D1859),ISNUMBER(E1859)),D1859-E1859,""),"")</f>
        <v/>
      </c>
    </row>
    <row r="1860">
      <c r="A1860" s="7">
        <f>IFERROR(Datos!A1860,"")</f>
        <v/>
      </c>
      <c r="B1860" s="8">
        <f>IFERROR(Datos!B1860,"")</f>
        <v/>
      </c>
      <c r="C1860" s="8">
        <f>IFERROR(Datos!C1860,"")</f>
        <v/>
      </c>
      <c r="D1860" s="28">
        <f>IFERROR(IF(AND(ISNUMBER(B1860),ISNUMBER(B1859),B1859&lt;&gt;0),B1860/B1859-1,""),"")</f>
        <v/>
      </c>
      <c r="E1860" s="28">
        <f>IFERROR(IF(AND(ISNUMBER(C1860),ISNUMBER(C1859),C1859&lt;&gt;0),C1860/C1859-1,""),"")</f>
        <v/>
      </c>
      <c r="F1860" s="28">
        <f>IFERROR(D1860-Dashboard!$B$4/252,"")</f>
        <v/>
      </c>
      <c r="G1860" s="28">
        <f>IFERROR(E1860-Dashboard!$B$4/252,"")</f>
        <v/>
      </c>
      <c r="H1860" s="8">
        <f>IFERROR(IF(ISNUMBER(B1860),MAX(B1860,IFERROR(H1859,B1860)),""),"")</f>
        <v/>
      </c>
      <c r="I1860" s="29">
        <f>IFERROR(IF(AND(ISNUMBER(B1860),ISNUMBER(H1860)),B1860/H1860-1,""),"")</f>
        <v/>
      </c>
      <c r="J1860" s="8">
        <f>IFERROR(IF(ISNUMBER(C1860),MAX(C1860,IFERROR(J1859,C1860)),""),"")</f>
        <v/>
      </c>
      <c r="K1860" s="29">
        <f>IFERROR(IF(AND(ISNUMBER(C1860),ISNUMBER(J1860)),C1860/J1860-1,""),"")</f>
        <v/>
      </c>
      <c r="L1860" s="28">
        <f>IFERROR(IF(AND(ISNUMBER(D1860),ISNUMBER(E1860)),D1860-E1860,""),"")</f>
        <v/>
      </c>
    </row>
    <row r="1861">
      <c r="A1861" s="7">
        <f>IFERROR(Datos!A1861,"")</f>
        <v/>
      </c>
      <c r="B1861" s="8">
        <f>IFERROR(Datos!B1861,"")</f>
        <v/>
      </c>
      <c r="C1861" s="8">
        <f>IFERROR(Datos!C1861,"")</f>
        <v/>
      </c>
      <c r="D1861" s="28">
        <f>IFERROR(IF(AND(ISNUMBER(B1861),ISNUMBER(B1860),B1860&lt;&gt;0),B1861/B1860-1,""),"")</f>
        <v/>
      </c>
      <c r="E1861" s="28">
        <f>IFERROR(IF(AND(ISNUMBER(C1861),ISNUMBER(C1860),C1860&lt;&gt;0),C1861/C1860-1,""),"")</f>
        <v/>
      </c>
      <c r="F1861" s="28">
        <f>IFERROR(D1861-Dashboard!$B$4/252,"")</f>
        <v/>
      </c>
      <c r="G1861" s="28">
        <f>IFERROR(E1861-Dashboard!$B$4/252,"")</f>
        <v/>
      </c>
      <c r="H1861" s="8">
        <f>IFERROR(IF(ISNUMBER(B1861),MAX(B1861,IFERROR(H1860,B1861)),""),"")</f>
        <v/>
      </c>
      <c r="I1861" s="29">
        <f>IFERROR(IF(AND(ISNUMBER(B1861),ISNUMBER(H1861)),B1861/H1861-1,""),"")</f>
        <v/>
      </c>
      <c r="J1861" s="8">
        <f>IFERROR(IF(ISNUMBER(C1861),MAX(C1861,IFERROR(J1860,C1861)),""),"")</f>
        <v/>
      </c>
      <c r="K1861" s="29">
        <f>IFERROR(IF(AND(ISNUMBER(C1861),ISNUMBER(J1861)),C1861/J1861-1,""),"")</f>
        <v/>
      </c>
      <c r="L1861" s="28">
        <f>IFERROR(IF(AND(ISNUMBER(D1861),ISNUMBER(E1861)),D1861-E1861,""),"")</f>
        <v/>
      </c>
    </row>
    <row r="1862">
      <c r="A1862" s="7">
        <f>IFERROR(Datos!A1862,"")</f>
        <v/>
      </c>
      <c r="B1862" s="8">
        <f>IFERROR(Datos!B1862,"")</f>
        <v/>
      </c>
      <c r="C1862" s="8">
        <f>IFERROR(Datos!C1862,"")</f>
        <v/>
      </c>
      <c r="D1862" s="28">
        <f>IFERROR(IF(AND(ISNUMBER(B1862),ISNUMBER(B1861),B1861&lt;&gt;0),B1862/B1861-1,""),"")</f>
        <v/>
      </c>
      <c r="E1862" s="28">
        <f>IFERROR(IF(AND(ISNUMBER(C1862),ISNUMBER(C1861),C1861&lt;&gt;0),C1862/C1861-1,""),"")</f>
        <v/>
      </c>
      <c r="F1862" s="28">
        <f>IFERROR(D1862-Dashboard!$B$4/252,"")</f>
        <v/>
      </c>
      <c r="G1862" s="28">
        <f>IFERROR(E1862-Dashboard!$B$4/252,"")</f>
        <v/>
      </c>
      <c r="H1862" s="8">
        <f>IFERROR(IF(ISNUMBER(B1862),MAX(B1862,IFERROR(H1861,B1862)),""),"")</f>
        <v/>
      </c>
      <c r="I1862" s="29">
        <f>IFERROR(IF(AND(ISNUMBER(B1862),ISNUMBER(H1862)),B1862/H1862-1,""),"")</f>
        <v/>
      </c>
      <c r="J1862" s="8">
        <f>IFERROR(IF(ISNUMBER(C1862),MAX(C1862,IFERROR(J1861,C1862)),""),"")</f>
        <v/>
      </c>
      <c r="K1862" s="29">
        <f>IFERROR(IF(AND(ISNUMBER(C1862),ISNUMBER(J1862)),C1862/J1862-1,""),"")</f>
        <v/>
      </c>
      <c r="L1862" s="28">
        <f>IFERROR(IF(AND(ISNUMBER(D1862),ISNUMBER(E1862)),D1862-E1862,""),"")</f>
        <v/>
      </c>
    </row>
    <row r="1863">
      <c r="A1863" s="7">
        <f>IFERROR(Datos!A1863,"")</f>
        <v/>
      </c>
      <c r="B1863" s="8">
        <f>IFERROR(Datos!B1863,"")</f>
        <v/>
      </c>
      <c r="C1863" s="8">
        <f>IFERROR(Datos!C1863,"")</f>
        <v/>
      </c>
      <c r="D1863" s="28">
        <f>IFERROR(IF(AND(ISNUMBER(B1863),ISNUMBER(B1862),B1862&lt;&gt;0),B1863/B1862-1,""),"")</f>
        <v/>
      </c>
      <c r="E1863" s="28">
        <f>IFERROR(IF(AND(ISNUMBER(C1863),ISNUMBER(C1862),C1862&lt;&gt;0),C1863/C1862-1,""),"")</f>
        <v/>
      </c>
      <c r="F1863" s="28">
        <f>IFERROR(D1863-Dashboard!$B$4/252,"")</f>
        <v/>
      </c>
      <c r="G1863" s="28">
        <f>IFERROR(E1863-Dashboard!$B$4/252,"")</f>
        <v/>
      </c>
      <c r="H1863" s="8">
        <f>IFERROR(IF(ISNUMBER(B1863),MAX(B1863,IFERROR(H1862,B1863)),""),"")</f>
        <v/>
      </c>
      <c r="I1863" s="29">
        <f>IFERROR(IF(AND(ISNUMBER(B1863),ISNUMBER(H1863)),B1863/H1863-1,""),"")</f>
        <v/>
      </c>
      <c r="J1863" s="8">
        <f>IFERROR(IF(ISNUMBER(C1863),MAX(C1863,IFERROR(J1862,C1863)),""),"")</f>
        <v/>
      </c>
      <c r="K1863" s="29">
        <f>IFERROR(IF(AND(ISNUMBER(C1863),ISNUMBER(J1863)),C1863/J1863-1,""),"")</f>
        <v/>
      </c>
      <c r="L1863" s="28">
        <f>IFERROR(IF(AND(ISNUMBER(D1863),ISNUMBER(E1863)),D1863-E1863,""),"")</f>
        <v/>
      </c>
    </row>
    <row r="1864">
      <c r="A1864" s="7">
        <f>IFERROR(Datos!A1864,"")</f>
        <v/>
      </c>
      <c r="B1864" s="8">
        <f>IFERROR(Datos!B1864,"")</f>
        <v/>
      </c>
      <c r="C1864" s="8">
        <f>IFERROR(Datos!C1864,"")</f>
        <v/>
      </c>
      <c r="D1864" s="28">
        <f>IFERROR(IF(AND(ISNUMBER(B1864),ISNUMBER(B1863),B1863&lt;&gt;0),B1864/B1863-1,""),"")</f>
        <v/>
      </c>
      <c r="E1864" s="28">
        <f>IFERROR(IF(AND(ISNUMBER(C1864),ISNUMBER(C1863),C1863&lt;&gt;0),C1864/C1863-1,""),"")</f>
        <v/>
      </c>
      <c r="F1864" s="28">
        <f>IFERROR(D1864-Dashboard!$B$4/252,"")</f>
        <v/>
      </c>
      <c r="G1864" s="28">
        <f>IFERROR(E1864-Dashboard!$B$4/252,"")</f>
        <v/>
      </c>
      <c r="H1864" s="8">
        <f>IFERROR(IF(ISNUMBER(B1864),MAX(B1864,IFERROR(H1863,B1864)),""),"")</f>
        <v/>
      </c>
      <c r="I1864" s="29">
        <f>IFERROR(IF(AND(ISNUMBER(B1864),ISNUMBER(H1864)),B1864/H1864-1,""),"")</f>
        <v/>
      </c>
      <c r="J1864" s="8">
        <f>IFERROR(IF(ISNUMBER(C1864),MAX(C1864,IFERROR(J1863,C1864)),""),"")</f>
        <v/>
      </c>
      <c r="K1864" s="29">
        <f>IFERROR(IF(AND(ISNUMBER(C1864),ISNUMBER(J1864)),C1864/J1864-1,""),"")</f>
        <v/>
      </c>
      <c r="L1864" s="28">
        <f>IFERROR(IF(AND(ISNUMBER(D1864),ISNUMBER(E1864)),D1864-E1864,""),"")</f>
        <v/>
      </c>
    </row>
    <row r="1865">
      <c r="A1865" s="7">
        <f>IFERROR(Datos!A1865,"")</f>
        <v/>
      </c>
      <c r="B1865" s="8">
        <f>IFERROR(Datos!B1865,"")</f>
        <v/>
      </c>
      <c r="C1865" s="8">
        <f>IFERROR(Datos!C1865,"")</f>
        <v/>
      </c>
      <c r="D1865" s="28">
        <f>IFERROR(IF(AND(ISNUMBER(B1865),ISNUMBER(B1864),B1864&lt;&gt;0),B1865/B1864-1,""),"")</f>
        <v/>
      </c>
      <c r="E1865" s="28">
        <f>IFERROR(IF(AND(ISNUMBER(C1865),ISNUMBER(C1864),C1864&lt;&gt;0),C1865/C1864-1,""),"")</f>
        <v/>
      </c>
      <c r="F1865" s="28">
        <f>IFERROR(D1865-Dashboard!$B$4/252,"")</f>
        <v/>
      </c>
      <c r="G1865" s="28">
        <f>IFERROR(E1865-Dashboard!$B$4/252,"")</f>
        <v/>
      </c>
      <c r="H1865" s="8">
        <f>IFERROR(IF(ISNUMBER(B1865),MAX(B1865,IFERROR(H1864,B1865)),""),"")</f>
        <v/>
      </c>
      <c r="I1865" s="29">
        <f>IFERROR(IF(AND(ISNUMBER(B1865),ISNUMBER(H1865)),B1865/H1865-1,""),"")</f>
        <v/>
      </c>
      <c r="J1865" s="8">
        <f>IFERROR(IF(ISNUMBER(C1865),MAX(C1865,IFERROR(J1864,C1865)),""),"")</f>
        <v/>
      </c>
      <c r="K1865" s="29">
        <f>IFERROR(IF(AND(ISNUMBER(C1865),ISNUMBER(J1865)),C1865/J1865-1,""),"")</f>
        <v/>
      </c>
      <c r="L1865" s="28">
        <f>IFERROR(IF(AND(ISNUMBER(D1865),ISNUMBER(E1865)),D1865-E1865,""),"")</f>
        <v/>
      </c>
    </row>
    <row r="1866">
      <c r="A1866" s="7">
        <f>IFERROR(Datos!A1866,"")</f>
        <v/>
      </c>
      <c r="B1866" s="8">
        <f>IFERROR(Datos!B1866,"")</f>
        <v/>
      </c>
      <c r="C1866" s="8">
        <f>IFERROR(Datos!C1866,"")</f>
        <v/>
      </c>
      <c r="D1866" s="28">
        <f>IFERROR(IF(AND(ISNUMBER(B1866),ISNUMBER(B1865),B1865&lt;&gt;0),B1866/B1865-1,""),"")</f>
        <v/>
      </c>
      <c r="E1866" s="28">
        <f>IFERROR(IF(AND(ISNUMBER(C1866),ISNUMBER(C1865),C1865&lt;&gt;0),C1866/C1865-1,""),"")</f>
        <v/>
      </c>
      <c r="F1866" s="28">
        <f>IFERROR(D1866-Dashboard!$B$4/252,"")</f>
        <v/>
      </c>
      <c r="G1866" s="28">
        <f>IFERROR(E1866-Dashboard!$B$4/252,"")</f>
        <v/>
      </c>
      <c r="H1866" s="8">
        <f>IFERROR(IF(ISNUMBER(B1866),MAX(B1866,IFERROR(H1865,B1866)),""),"")</f>
        <v/>
      </c>
      <c r="I1866" s="29">
        <f>IFERROR(IF(AND(ISNUMBER(B1866),ISNUMBER(H1866)),B1866/H1866-1,""),"")</f>
        <v/>
      </c>
      <c r="J1866" s="8">
        <f>IFERROR(IF(ISNUMBER(C1866),MAX(C1866,IFERROR(J1865,C1866)),""),"")</f>
        <v/>
      </c>
      <c r="K1866" s="29">
        <f>IFERROR(IF(AND(ISNUMBER(C1866),ISNUMBER(J1866)),C1866/J1866-1,""),"")</f>
        <v/>
      </c>
      <c r="L1866" s="28">
        <f>IFERROR(IF(AND(ISNUMBER(D1866),ISNUMBER(E1866)),D1866-E1866,""),"")</f>
        <v/>
      </c>
    </row>
    <row r="1867">
      <c r="A1867" s="7">
        <f>IFERROR(Datos!A1867,"")</f>
        <v/>
      </c>
      <c r="B1867" s="8">
        <f>IFERROR(Datos!B1867,"")</f>
        <v/>
      </c>
      <c r="C1867" s="8">
        <f>IFERROR(Datos!C1867,"")</f>
        <v/>
      </c>
      <c r="D1867" s="28">
        <f>IFERROR(IF(AND(ISNUMBER(B1867),ISNUMBER(B1866),B1866&lt;&gt;0),B1867/B1866-1,""),"")</f>
        <v/>
      </c>
      <c r="E1867" s="28">
        <f>IFERROR(IF(AND(ISNUMBER(C1867),ISNUMBER(C1866),C1866&lt;&gt;0),C1867/C1866-1,""),"")</f>
        <v/>
      </c>
      <c r="F1867" s="28">
        <f>IFERROR(D1867-Dashboard!$B$4/252,"")</f>
        <v/>
      </c>
      <c r="G1867" s="28">
        <f>IFERROR(E1867-Dashboard!$B$4/252,"")</f>
        <v/>
      </c>
      <c r="H1867" s="8">
        <f>IFERROR(IF(ISNUMBER(B1867),MAX(B1867,IFERROR(H1866,B1867)),""),"")</f>
        <v/>
      </c>
      <c r="I1867" s="29">
        <f>IFERROR(IF(AND(ISNUMBER(B1867),ISNUMBER(H1867)),B1867/H1867-1,""),"")</f>
        <v/>
      </c>
      <c r="J1867" s="8">
        <f>IFERROR(IF(ISNUMBER(C1867),MAX(C1867,IFERROR(J1866,C1867)),""),"")</f>
        <v/>
      </c>
      <c r="K1867" s="29">
        <f>IFERROR(IF(AND(ISNUMBER(C1867),ISNUMBER(J1867)),C1867/J1867-1,""),"")</f>
        <v/>
      </c>
      <c r="L1867" s="28">
        <f>IFERROR(IF(AND(ISNUMBER(D1867),ISNUMBER(E1867)),D1867-E1867,""),"")</f>
        <v/>
      </c>
    </row>
    <row r="1868">
      <c r="A1868" s="7">
        <f>IFERROR(Datos!A1868,"")</f>
        <v/>
      </c>
      <c r="B1868" s="8">
        <f>IFERROR(Datos!B1868,"")</f>
        <v/>
      </c>
      <c r="C1868" s="8">
        <f>IFERROR(Datos!C1868,"")</f>
        <v/>
      </c>
      <c r="D1868" s="28">
        <f>IFERROR(IF(AND(ISNUMBER(B1868),ISNUMBER(B1867),B1867&lt;&gt;0),B1868/B1867-1,""),"")</f>
        <v/>
      </c>
      <c r="E1868" s="28">
        <f>IFERROR(IF(AND(ISNUMBER(C1868),ISNUMBER(C1867),C1867&lt;&gt;0),C1868/C1867-1,""),"")</f>
        <v/>
      </c>
      <c r="F1868" s="28">
        <f>IFERROR(D1868-Dashboard!$B$4/252,"")</f>
        <v/>
      </c>
      <c r="G1868" s="28">
        <f>IFERROR(E1868-Dashboard!$B$4/252,"")</f>
        <v/>
      </c>
      <c r="H1868" s="8">
        <f>IFERROR(IF(ISNUMBER(B1868),MAX(B1868,IFERROR(H1867,B1868)),""),"")</f>
        <v/>
      </c>
      <c r="I1868" s="29">
        <f>IFERROR(IF(AND(ISNUMBER(B1868),ISNUMBER(H1868)),B1868/H1868-1,""),"")</f>
        <v/>
      </c>
      <c r="J1868" s="8">
        <f>IFERROR(IF(ISNUMBER(C1868),MAX(C1868,IFERROR(J1867,C1868)),""),"")</f>
        <v/>
      </c>
      <c r="K1868" s="29">
        <f>IFERROR(IF(AND(ISNUMBER(C1868),ISNUMBER(J1868)),C1868/J1868-1,""),"")</f>
        <v/>
      </c>
      <c r="L1868" s="28">
        <f>IFERROR(IF(AND(ISNUMBER(D1868),ISNUMBER(E1868)),D1868-E1868,""),"")</f>
        <v/>
      </c>
    </row>
    <row r="1869">
      <c r="A1869" s="7">
        <f>IFERROR(Datos!A1869,"")</f>
        <v/>
      </c>
      <c r="B1869" s="8">
        <f>IFERROR(Datos!B1869,"")</f>
        <v/>
      </c>
      <c r="C1869" s="8">
        <f>IFERROR(Datos!C1869,"")</f>
        <v/>
      </c>
      <c r="D1869" s="28">
        <f>IFERROR(IF(AND(ISNUMBER(B1869),ISNUMBER(B1868),B1868&lt;&gt;0),B1869/B1868-1,""),"")</f>
        <v/>
      </c>
      <c r="E1869" s="28">
        <f>IFERROR(IF(AND(ISNUMBER(C1869),ISNUMBER(C1868),C1868&lt;&gt;0),C1869/C1868-1,""),"")</f>
        <v/>
      </c>
      <c r="F1869" s="28">
        <f>IFERROR(D1869-Dashboard!$B$4/252,"")</f>
        <v/>
      </c>
      <c r="G1869" s="28">
        <f>IFERROR(E1869-Dashboard!$B$4/252,"")</f>
        <v/>
      </c>
      <c r="H1869" s="8">
        <f>IFERROR(IF(ISNUMBER(B1869),MAX(B1869,IFERROR(H1868,B1869)),""),"")</f>
        <v/>
      </c>
      <c r="I1869" s="29">
        <f>IFERROR(IF(AND(ISNUMBER(B1869),ISNUMBER(H1869)),B1869/H1869-1,""),"")</f>
        <v/>
      </c>
      <c r="J1869" s="8">
        <f>IFERROR(IF(ISNUMBER(C1869),MAX(C1869,IFERROR(J1868,C1869)),""),"")</f>
        <v/>
      </c>
      <c r="K1869" s="29">
        <f>IFERROR(IF(AND(ISNUMBER(C1869),ISNUMBER(J1869)),C1869/J1869-1,""),"")</f>
        <v/>
      </c>
      <c r="L1869" s="28">
        <f>IFERROR(IF(AND(ISNUMBER(D1869),ISNUMBER(E1869)),D1869-E1869,""),"")</f>
        <v/>
      </c>
    </row>
    <row r="1870">
      <c r="A1870" s="7">
        <f>IFERROR(Datos!A1870,"")</f>
        <v/>
      </c>
      <c r="B1870" s="8">
        <f>IFERROR(Datos!B1870,"")</f>
        <v/>
      </c>
      <c r="C1870" s="8">
        <f>IFERROR(Datos!C1870,"")</f>
        <v/>
      </c>
      <c r="D1870" s="28">
        <f>IFERROR(IF(AND(ISNUMBER(B1870),ISNUMBER(B1869),B1869&lt;&gt;0),B1870/B1869-1,""),"")</f>
        <v/>
      </c>
      <c r="E1870" s="28">
        <f>IFERROR(IF(AND(ISNUMBER(C1870),ISNUMBER(C1869),C1869&lt;&gt;0),C1870/C1869-1,""),"")</f>
        <v/>
      </c>
      <c r="F1870" s="28">
        <f>IFERROR(D1870-Dashboard!$B$4/252,"")</f>
        <v/>
      </c>
      <c r="G1870" s="28">
        <f>IFERROR(E1870-Dashboard!$B$4/252,"")</f>
        <v/>
      </c>
      <c r="H1870" s="8">
        <f>IFERROR(IF(ISNUMBER(B1870),MAX(B1870,IFERROR(H1869,B1870)),""),"")</f>
        <v/>
      </c>
      <c r="I1870" s="29">
        <f>IFERROR(IF(AND(ISNUMBER(B1870),ISNUMBER(H1870)),B1870/H1870-1,""),"")</f>
        <v/>
      </c>
      <c r="J1870" s="8">
        <f>IFERROR(IF(ISNUMBER(C1870),MAX(C1870,IFERROR(J1869,C1870)),""),"")</f>
        <v/>
      </c>
      <c r="K1870" s="29">
        <f>IFERROR(IF(AND(ISNUMBER(C1870),ISNUMBER(J1870)),C1870/J1870-1,""),"")</f>
        <v/>
      </c>
      <c r="L1870" s="28">
        <f>IFERROR(IF(AND(ISNUMBER(D1870),ISNUMBER(E1870)),D1870-E1870,""),"")</f>
        <v/>
      </c>
    </row>
    <row r="1871">
      <c r="A1871" s="7">
        <f>IFERROR(Datos!A1871,"")</f>
        <v/>
      </c>
      <c r="B1871" s="8">
        <f>IFERROR(Datos!B1871,"")</f>
        <v/>
      </c>
      <c r="C1871" s="8">
        <f>IFERROR(Datos!C1871,"")</f>
        <v/>
      </c>
      <c r="D1871" s="28">
        <f>IFERROR(IF(AND(ISNUMBER(B1871),ISNUMBER(B1870),B1870&lt;&gt;0),B1871/B1870-1,""),"")</f>
        <v/>
      </c>
      <c r="E1871" s="28">
        <f>IFERROR(IF(AND(ISNUMBER(C1871),ISNUMBER(C1870),C1870&lt;&gt;0),C1871/C1870-1,""),"")</f>
        <v/>
      </c>
      <c r="F1871" s="28">
        <f>IFERROR(D1871-Dashboard!$B$4/252,"")</f>
        <v/>
      </c>
      <c r="G1871" s="28">
        <f>IFERROR(E1871-Dashboard!$B$4/252,"")</f>
        <v/>
      </c>
      <c r="H1871" s="8">
        <f>IFERROR(IF(ISNUMBER(B1871),MAX(B1871,IFERROR(H1870,B1871)),""),"")</f>
        <v/>
      </c>
      <c r="I1871" s="29">
        <f>IFERROR(IF(AND(ISNUMBER(B1871),ISNUMBER(H1871)),B1871/H1871-1,""),"")</f>
        <v/>
      </c>
      <c r="J1871" s="8">
        <f>IFERROR(IF(ISNUMBER(C1871),MAX(C1871,IFERROR(J1870,C1871)),""),"")</f>
        <v/>
      </c>
      <c r="K1871" s="29">
        <f>IFERROR(IF(AND(ISNUMBER(C1871),ISNUMBER(J1871)),C1871/J1871-1,""),"")</f>
        <v/>
      </c>
      <c r="L1871" s="28">
        <f>IFERROR(IF(AND(ISNUMBER(D1871),ISNUMBER(E1871)),D1871-E1871,""),"")</f>
        <v/>
      </c>
    </row>
    <row r="1872">
      <c r="A1872" s="7">
        <f>IFERROR(Datos!A1872,"")</f>
        <v/>
      </c>
      <c r="B1872" s="8">
        <f>IFERROR(Datos!B1872,"")</f>
        <v/>
      </c>
      <c r="C1872" s="8">
        <f>IFERROR(Datos!C1872,"")</f>
        <v/>
      </c>
      <c r="D1872" s="28">
        <f>IFERROR(IF(AND(ISNUMBER(B1872),ISNUMBER(B1871),B1871&lt;&gt;0),B1872/B1871-1,""),"")</f>
        <v/>
      </c>
      <c r="E1872" s="28">
        <f>IFERROR(IF(AND(ISNUMBER(C1872),ISNUMBER(C1871),C1871&lt;&gt;0),C1872/C1871-1,""),"")</f>
        <v/>
      </c>
      <c r="F1872" s="28">
        <f>IFERROR(D1872-Dashboard!$B$4/252,"")</f>
        <v/>
      </c>
      <c r="G1872" s="28">
        <f>IFERROR(E1872-Dashboard!$B$4/252,"")</f>
        <v/>
      </c>
      <c r="H1872" s="8">
        <f>IFERROR(IF(ISNUMBER(B1872),MAX(B1872,IFERROR(H1871,B1872)),""),"")</f>
        <v/>
      </c>
      <c r="I1872" s="29">
        <f>IFERROR(IF(AND(ISNUMBER(B1872),ISNUMBER(H1872)),B1872/H1872-1,""),"")</f>
        <v/>
      </c>
      <c r="J1872" s="8">
        <f>IFERROR(IF(ISNUMBER(C1872),MAX(C1872,IFERROR(J1871,C1872)),""),"")</f>
        <v/>
      </c>
      <c r="K1872" s="29">
        <f>IFERROR(IF(AND(ISNUMBER(C1872),ISNUMBER(J1872)),C1872/J1872-1,""),"")</f>
        <v/>
      </c>
      <c r="L1872" s="28">
        <f>IFERROR(IF(AND(ISNUMBER(D1872),ISNUMBER(E1872)),D1872-E1872,""),"")</f>
        <v/>
      </c>
    </row>
    <row r="1873">
      <c r="A1873" s="7">
        <f>IFERROR(Datos!A1873,"")</f>
        <v/>
      </c>
      <c r="B1873" s="8">
        <f>IFERROR(Datos!B1873,"")</f>
        <v/>
      </c>
      <c r="C1873" s="8">
        <f>IFERROR(Datos!C1873,"")</f>
        <v/>
      </c>
      <c r="D1873" s="28">
        <f>IFERROR(IF(AND(ISNUMBER(B1873),ISNUMBER(B1872),B1872&lt;&gt;0),B1873/B1872-1,""),"")</f>
        <v/>
      </c>
      <c r="E1873" s="28">
        <f>IFERROR(IF(AND(ISNUMBER(C1873),ISNUMBER(C1872),C1872&lt;&gt;0),C1873/C1872-1,""),"")</f>
        <v/>
      </c>
      <c r="F1873" s="28">
        <f>IFERROR(D1873-Dashboard!$B$4/252,"")</f>
        <v/>
      </c>
      <c r="G1873" s="28">
        <f>IFERROR(E1873-Dashboard!$B$4/252,"")</f>
        <v/>
      </c>
      <c r="H1873" s="8">
        <f>IFERROR(IF(ISNUMBER(B1873),MAX(B1873,IFERROR(H1872,B1873)),""),"")</f>
        <v/>
      </c>
      <c r="I1873" s="29">
        <f>IFERROR(IF(AND(ISNUMBER(B1873),ISNUMBER(H1873)),B1873/H1873-1,""),"")</f>
        <v/>
      </c>
      <c r="J1873" s="8">
        <f>IFERROR(IF(ISNUMBER(C1873),MAX(C1873,IFERROR(J1872,C1873)),""),"")</f>
        <v/>
      </c>
      <c r="K1873" s="29">
        <f>IFERROR(IF(AND(ISNUMBER(C1873),ISNUMBER(J1873)),C1873/J1873-1,""),"")</f>
        <v/>
      </c>
      <c r="L1873" s="28">
        <f>IFERROR(IF(AND(ISNUMBER(D1873),ISNUMBER(E1873)),D1873-E1873,""),"")</f>
        <v/>
      </c>
    </row>
    <row r="1874">
      <c r="A1874" s="7">
        <f>IFERROR(Datos!A1874,"")</f>
        <v/>
      </c>
      <c r="B1874" s="8">
        <f>IFERROR(Datos!B1874,"")</f>
        <v/>
      </c>
      <c r="C1874" s="8">
        <f>IFERROR(Datos!C1874,"")</f>
        <v/>
      </c>
      <c r="D1874" s="28">
        <f>IFERROR(IF(AND(ISNUMBER(B1874),ISNUMBER(B1873),B1873&lt;&gt;0),B1874/B1873-1,""),"")</f>
        <v/>
      </c>
      <c r="E1874" s="28">
        <f>IFERROR(IF(AND(ISNUMBER(C1874),ISNUMBER(C1873),C1873&lt;&gt;0),C1874/C1873-1,""),"")</f>
        <v/>
      </c>
      <c r="F1874" s="28">
        <f>IFERROR(D1874-Dashboard!$B$4/252,"")</f>
        <v/>
      </c>
      <c r="G1874" s="28">
        <f>IFERROR(E1874-Dashboard!$B$4/252,"")</f>
        <v/>
      </c>
      <c r="H1874" s="8">
        <f>IFERROR(IF(ISNUMBER(B1874),MAX(B1874,IFERROR(H1873,B1874)),""),"")</f>
        <v/>
      </c>
      <c r="I1874" s="29">
        <f>IFERROR(IF(AND(ISNUMBER(B1874),ISNUMBER(H1874)),B1874/H1874-1,""),"")</f>
        <v/>
      </c>
      <c r="J1874" s="8">
        <f>IFERROR(IF(ISNUMBER(C1874),MAX(C1874,IFERROR(J1873,C1874)),""),"")</f>
        <v/>
      </c>
      <c r="K1874" s="29">
        <f>IFERROR(IF(AND(ISNUMBER(C1874),ISNUMBER(J1874)),C1874/J1874-1,""),"")</f>
        <v/>
      </c>
      <c r="L1874" s="28">
        <f>IFERROR(IF(AND(ISNUMBER(D1874),ISNUMBER(E1874)),D1874-E1874,""),"")</f>
        <v/>
      </c>
    </row>
    <row r="1875">
      <c r="A1875" s="7">
        <f>IFERROR(Datos!A1875,"")</f>
        <v/>
      </c>
      <c r="B1875" s="8">
        <f>IFERROR(Datos!B1875,"")</f>
        <v/>
      </c>
      <c r="C1875" s="8">
        <f>IFERROR(Datos!C1875,"")</f>
        <v/>
      </c>
      <c r="D1875" s="28">
        <f>IFERROR(IF(AND(ISNUMBER(B1875),ISNUMBER(B1874),B1874&lt;&gt;0),B1875/B1874-1,""),"")</f>
        <v/>
      </c>
      <c r="E1875" s="28">
        <f>IFERROR(IF(AND(ISNUMBER(C1875),ISNUMBER(C1874),C1874&lt;&gt;0),C1875/C1874-1,""),"")</f>
        <v/>
      </c>
      <c r="F1875" s="28">
        <f>IFERROR(D1875-Dashboard!$B$4/252,"")</f>
        <v/>
      </c>
      <c r="G1875" s="28">
        <f>IFERROR(E1875-Dashboard!$B$4/252,"")</f>
        <v/>
      </c>
      <c r="H1875" s="8">
        <f>IFERROR(IF(ISNUMBER(B1875),MAX(B1875,IFERROR(H1874,B1875)),""),"")</f>
        <v/>
      </c>
      <c r="I1875" s="29">
        <f>IFERROR(IF(AND(ISNUMBER(B1875),ISNUMBER(H1875)),B1875/H1875-1,""),"")</f>
        <v/>
      </c>
      <c r="J1875" s="8">
        <f>IFERROR(IF(ISNUMBER(C1875),MAX(C1875,IFERROR(J1874,C1875)),""),"")</f>
        <v/>
      </c>
      <c r="K1875" s="29">
        <f>IFERROR(IF(AND(ISNUMBER(C1875),ISNUMBER(J1875)),C1875/J1875-1,""),"")</f>
        <v/>
      </c>
      <c r="L1875" s="28">
        <f>IFERROR(IF(AND(ISNUMBER(D1875),ISNUMBER(E1875)),D1875-E1875,""),"")</f>
        <v/>
      </c>
    </row>
    <row r="1876">
      <c r="A1876" s="7">
        <f>IFERROR(Datos!A1876,"")</f>
        <v/>
      </c>
      <c r="B1876" s="8">
        <f>IFERROR(Datos!B1876,"")</f>
        <v/>
      </c>
      <c r="C1876" s="8">
        <f>IFERROR(Datos!C1876,"")</f>
        <v/>
      </c>
      <c r="D1876" s="28">
        <f>IFERROR(IF(AND(ISNUMBER(B1876),ISNUMBER(B1875),B1875&lt;&gt;0),B1876/B1875-1,""),"")</f>
        <v/>
      </c>
      <c r="E1876" s="28">
        <f>IFERROR(IF(AND(ISNUMBER(C1876),ISNUMBER(C1875),C1875&lt;&gt;0),C1876/C1875-1,""),"")</f>
        <v/>
      </c>
      <c r="F1876" s="28">
        <f>IFERROR(D1876-Dashboard!$B$4/252,"")</f>
        <v/>
      </c>
      <c r="G1876" s="28">
        <f>IFERROR(E1876-Dashboard!$B$4/252,"")</f>
        <v/>
      </c>
      <c r="H1876" s="8">
        <f>IFERROR(IF(ISNUMBER(B1876),MAX(B1876,IFERROR(H1875,B1876)),""),"")</f>
        <v/>
      </c>
      <c r="I1876" s="29">
        <f>IFERROR(IF(AND(ISNUMBER(B1876),ISNUMBER(H1876)),B1876/H1876-1,""),"")</f>
        <v/>
      </c>
      <c r="J1876" s="8">
        <f>IFERROR(IF(ISNUMBER(C1876),MAX(C1876,IFERROR(J1875,C1876)),""),"")</f>
        <v/>
      </c>
      <c r="K1876" s="29">
        <f>IFERROR(IF(AND(ISNUMBER(C1876),ISNUMBER(J1876)),C1876/J1876-1,""),"")</f>
        <v/>
      </c>
      <c r="L1876" s="28">
        <f>IFERROR(IF(AND(ISNUMBER(D1876),ISNUMBER(E1876)),D1876-E1876,""),"")</f>
        <v/>
      </c>
    </row>
    <row r="1877">
      <c r="A1877" s="7">
        <f>IFERROR(Datos!A1877,"")</f>
        <v/>
      </c>
      <c r="B1877" s="8">
        <f>IFERROR(Datos!B1877,"")</f>
        <v/>
      </c>
      <c r="C1877" s="8">
        <f>IFERROR(Datos!C1877,"")</f>
        <v/>
      </c>
      <c r="D1877" s="28">
        <f>IFERROR(IF(AND(ISNUMBER(B1877),ISNUMBER(B1876),B1876&lt;&gt;0),B1877/B1876-1,""),"")</f>
        <v/>
      </c>
      <c r="E1877" s="28">
        <f>IFERROR(IF(AND(ISNUMBER(C1877),ISNUMBER(C1876),C1876&lt;&gt;0),C1877/C1876-1,""),"")</f>
        <v/>
      </c>
      <c r="F1877" s="28">
        <f>IFERROR(D1877-Dashboard!$B$4/252,"")</f>
        <v/>
      </c>
      <c r="G1877" s="28">
        <f>IFERROR(E1877-Dashboard!$B$4/252,"")</f>
        <v/>
      </c>
      <c r="H1877" s="8">
        <f>IFERROR(IF(ISNUMBER(B1877),MAX(B1877,IFERROR(H1876,B1877)),""),"")</f>
        <v/>
      </c>
      <c r="I1877" s="29">
        <f>IFERROR(IF(AND(ISNUMBER(B1877),ISNUMBER(H1877)),B1877/H1877-1,""),"")</f>
        <v/>
      </c>
      <c r="J1877" s="8">
        <f>IFERROR(IF(ISNUMBER(C1877),MAX(C1877,IFERROR(J1876,C1877)),""),"")</f>
        <v/>
      </c>
      <c r="K1877" s="29">
        <f>IFERROR(IF(AND(ISNUMBER(C1877),ISNUMBER(J1877)),C1877/J1877-1,""),"")</f>
        <v/>
      </c>
      <c r="L1877" s="28">
        <f>IFERROR(IF(AND(ISNUMBER(D1877),ISNUMBER(E1877)),D1877-E1877,""),"")</f>
        <v/>
      </c>
    </row>
    <row r="1878">
      <c r="A1878" s="7">
        <f>IFERROR(Datos!A1878,"")</f>
        <v/>
      </c>
      <c r="B1878" s="8">
        <f>IFERROR(Datos!B1878,"")</f>
        <v/>
      </c>
      <c r="C1878" s="8">
        <f>IFERROR(Datos!C1878,"")</f>
        <v/>
      </c>
      <c r="D1878" s="28">
        <f>IFERROR(IF(AND(ISNUMBER(B1878),ISNUMBER(B1877),B1877&lt;&gt;0),B1878/B1877-1,""),"")</f>
        <v/>
      </c>
      <c r="E1878" s="28">
        <f>IFERROR(IF(AND(ISNUMBER(C1878),ISNUMBER(C1877),C1877&lt;&gt;0),C1878/C1877-1,""),"")</f>
        <v/>
      </c>
      <c r="F1878" s="28">
        <f>IFERROR(D1878-Dashboard!$B$4/252,"")</f>
        <v/>
      </c>
      <c r="G1878" s="28">
        <f>IFERROR(E1878-Dashboard!$B$4/252,"")</f>
        <v/>
      </c>
      <c r="H1878" s="8">
        <f>IFERROR(IF(ISNUMBER(B1878),MAX(B1878,IFERROR(H1877,B1878)),""),"")</f>
        <v/>
      </c>
      <c r="I1878" s="29">
        <f>IFERROR(IF(AND(ISNUMBER(B1878),ISNUMBER(H1878)),B1878/H1878-1,""),"")</f>
        <v/>
      </c>
      <c r="J1878" s="8">
        <f>IFERROR(IF(ISNUMBER(C1878),MAX(C1878,IFERROR(J1877,C1878)),""),"")</f>
        <v/>
      </c>
      <c r="K1878" s="29">
        <f>IFERROR(IF(AND(ISNUMBER(C1878),ISNUMBER(J1878)),C1878/J1878-1,""),"")</f>
        <v/>
      </c>
      <c r="L1878" s="28">
        <f>IFERROR(IF(AND(ISNUMBER(D1878),ISNUMBER(E1878)),D1878-E1878,""),"")</f>
        <v/>
      </c>
    </row>
    <row r="1879">
      <c r="A1879" s="7">
        <f>IFERROR(Datos!A1879,"")</f>
        <v/>
      </c>
      <c r="B1879" s="8">
        <f>IFERROR(Datos!B1879,"")</f>
        <v/>
      </c>
      <c r="C1879" s="8">
        <f>IFERROR(Datos!C1879,"")</f>
        <v/>
      </c>
      <c r="D1879" s="28">
        <f>IFERROR(IF(AND(ISNUMBER(B1879),ISNUMBER(B1878),B1878&lt;&gt;0),B1879/B1878-1,""),"")</f>
        <v/>
      </c>
      <c r="E1879" s="28">
        <f>IFERROR(IF(AND(ISNUMBER(C1879),ISNUMBER(C1878),C1878&lt;&gt;0),C1879/C1878-1,""),"")</f>
        <v/>
      </c>
      <c r="F1879" s="28">
        <f>IFERROR(D1879-Dashboard!$B$4/252,"")</f>
        <v/>
      </c>
      <c r="G1879" s="28">
        <f>IFERROR(E1879-Dashboard!$B$4/252,"")</f>
        <v/>
      </c>
      <c r="H1879" s="8">
        <f>IFERROR(IF(ISNUMBER(B1879),MAX(B1879,IFERROR(H1878,B1879)),""),"")</f>
        <v/>
      </c>
      <c r="I1879" s="29">
        <f>IFERROR(IF(AND(ISNUMBER(B1879),ISNUMBER(H1879)),B1879/H1879-1,""),"")</f>
        <v/>
      </c>
      <c r="J1879" s="8">
        <f>IFERROR(IF(ISNUMBER(C1879),MAX(C1879,IFERROR(J1878,C1879)),""),"")</f>
        <v/>
      </c>
      <c r="K1879" s="29">
        <f>IFERROR(IF(AND(ISNUMBER(C1879),ISNUMBER(J1879)),C1879/J1879-1,""),"")</f>
        <v/>
      </c>
      <c r="L1879" s="28">
        <f>IFERROR(IF(AND(ISNUMBER(D1879),ISNUMBER(E1879)),D1879-E1879,""),"")</f>
        <v/>
      </c>
    </row>
    <row r="1880">
      <c r="A1880" s="7">
        <f>IFERROR(Datos!A1880,"")</f>
        <v/>
      </c>
      <c r="B1880" s="8">
        <f>IFERROR(Datos!B1880,"")</f>
        <v/>
      </c>
      <c r="C1880" s="8">
        <f>IFERROR(Datos!C1880,"")</f>
        <v/>
      </c>
      <c r="D1880" s="28">
        <f>IFERROR(IF(AND(ISNUMBER(B1880),ISNUMBER(B1879),B1879&lt;&gt;0),B1880/B1879-1,""),"")</f>
        <v/>
      </c>
      <c r="E1880" s="28">
        <f>IFERROR(IF(AND(ISNUMBER(C1880),ISNUMBER(C1879),C1879&lt;&gt;0),C1880/C1879-1,""),"")</f>
        <v/>
      </c>
      <c r="F1880" s="28">
        <f>IFERROR(D1880-Dashboard!$B$4/252,"")</f>
        <v/>
      </c>
      <c r="G1880" s="28">
        <f>IFERROR(E1880-Dashboard!$B$4/252,"")</f>
        <v/>
      </c>
      <c r="H1880" s="8">
        <f>IFERROR(IF(ISNUMBER(B1880),MAX(B1880,IFERROR(H1879,B1880)),""),"")</f>
        <v/>
      </c>
      <c r="I1880" s="29">
        <f>IFERROR(IF(AND(ISNUMBER(B1880),ISNUMBER(H1880)),B1880/H1880-1,""),"")</f>
        <v/>
      </c>
      <c r="J1880" s="8">
        <f>IFERROR(IF(ISNUMBER(C1880),MAX(C1880,IFERROR(J1879,C1880)),""),"")</f>
        <v/>
      </c>
      <c r="K1880" s="29">
        <f>IFERROR(IF(AND(ISNUMBER(C1880),ISNUMBER(J1880)),C1880/J1880-1,""),"")</f>
        <v/>
      </c>
      <c r="L1880" s="28">
        <f>IFERROR(IF(AND(ISNUMBER(D1880),ISNUMBER(E1880)),D1880-E1880,""),"")</f>
        <v/>
      </c>
    </row>
    <row r="1881">
      <c r="A1881" s="7">
        <f>IFERROR(Datos!A1881,"")</f>
        <v/>
      </c>
      <c r="B1881" s="8">
        <f>IFERROR(Datos!B1881,"")</f>
        <v/>
      </c>
      <c r="C1881" s="8">
        <f>IFERROR(Datos!C1881,"")</f>
        <v/>
      </c>
      <c r="D1881" s="28">
        <f>IFERROR(IF(AND(ISNUMBER(B1881),ISNUMBER(B1880),B1880&lt;&gt;0),B1881/B1880-1,""),"")</f>
        <v/>
      </c>
      <c r="E1881" s="28">
        <f>IFERROR(IF(AND(ISNUMBER(C1881),ISNUMBER(C1880),C1880&lt;&gt;0),C1881/C1880-1,""),"")</f>
        <v/>
      </c>
      <c r="F1881" s="28">
        <f>IFERROR(D1881-Dashboard!$B$4/252,"")</f>
        <v/>
      </c>
      <c r="G1881" s="28">
        <f>IFERROR(E1881-Dashboard!$B$4/252,"")</f>
        <v/>
      </c>
      <c r="H1881" s="8">
        <f>IFERROR(IF(ISNUMBER(B1881),MAX(B1881,IFERROR(H1880,B1881)),""),"")</f>
        <v/>
      </c>
      <c r="I1881" s="29">
        <f>IFERROR(IF(AND(ISNUMBER(B1881),ISNUMBER(H1881)),B1881/H1881-1,""),"")</f>
        <v/>
      </c>
      <c r="J1881" s="8">
        <f>IFERROR(IF(ISNUMBER(C1881),MAX(C1881,IFERROR(J1880,C1881)),""),"")</f>
        <v/>
      </c>
      <c r="K1881" s="29">
        <f>IFERROR(IF(AND(ISNUMBER(C1881),ISNUMBER(J1881)),C1881/J1881-1,""),"")</f>
        <v/>
      </c>
      <c r="L1881" s="28">
        <f>IFERROR(IF(AND(ISNUMBER(D1881),ISNUMBER(E1881)),D1881-E1881,""),"")</f>
        <v/>
      </c>
    </row>
    <row r="1882">
      <c r="A1882" s="7">
        <f>IFERROR(Datos!A1882,"")</f>
        <v/>
      </c>
      <c r="B1882" s="8">
        <f>IFERROR(Datos!B1882,"")</f>
        <v/>
      </c>
      <c r="C1882" s="8">
        <f>IFERROR(Datos!C1882,"")</f>
        <v/>
      </c>
      <c r="D1882" s="28">
        <f>IFERROR(IF(AND(ISNUMBER(B1882),ISNUMBER(B1881),B1881&lt;&gt;0),B1882/B1881-1,""),"")</f>
        <v/>
      </c>
      <c r="E1882" s="28">
        <f>IFERROR(IF(AND(ISNUMBER(C1882),ISNUMBER(C1881),C1881&lt;&gt;0),C1882/C1881-1,""),"")</f>
        <v/>
      </c>
      <c r="F1882" s="28">
        <f>IFERROR(D1882-Dashboard!$B$4/252,"")</f>
        <v/>
      </c>
      <c r="G1882" s="28">
        <f>IFERROR(E1882-Dashboard!$B$4/252,"")</f>
        <v/>
      </c>
      <c r="H1882" s="8">
        <f>IFERROR(IF(ISNUMBER(B1882),MAX(B1882,IFERROR(H1881,B1882)),""),"")</f>
        <v/>
      </c>
      <c r="I1882" s="29">
        <f>IFERROR(IF(AND(ISNUMBER(B1882),ISNUMBER(H1882)),B1882/H1882-1,""),"")</f>
        <v/>
      </c>
      <c r="J1882" s="8">
        <f>IFERROR(IF(ISNUMBER(C1882),MAX(C1882,IFERROR(J1881,C1882)),""),"")</f>
        <v/>
      </c>
      <c r="K1882" s="29">
        <f>IFERROR(IF(AND(ISNUMBER(C1882),ISNUMBER(J1882)),C1882/J1882-1,""),"")</f>
        <v/>
      </c>
      <c r="L1882" s="28">
        <f>IFERROR(IF(AND(ISNUMBER(D1882),ISNUMBER(E1882)),D1882-E1882,""),"")</f>
        <v/>
      </c>
    </row>
    <row r="1883">
      <c r="A1883" s="7">
        <f>IFERROR(Datos!A1883,"")</f>
        <v/>
      </c>
      <c r="B1883" s="8">
        <f>IFERROR(Datos!B1883,"")</f>
        <v/>
      </c>
      <c r="C1883" s="8">
        <f>IFERROR(Datos!C1883,"")</f>
        <v/>
      </c>
      <c r="D1883" s="28">
        <f>IFERROR(IF(AND(ISNUMBER(B1883),ISNUMBER(B1882),B1882&lt;&gt;0),B1883/B1882-1,""),"")</f>
        <v/>
      </c>
      <c r="E1883" s="28">
        <f>IFERROR(IF(AND(ISNUMBER(C1883),ISNUMBER(C1882),C1882&lt;&gt;0),C1883/C1882-1,""),"")</f>
        <v/>
      </c>
      <c r="F1883" s="28">
        <f>IFERROR(D1883-Dashboard!$B$4/252,"")</f>
        <v/>
      </c>
      <c r="G1883" s="28">
        <f>IFERROR(E1883-Dashboard!$B$4/252,"")</f>
        <v/>
      </c>
      <c r="H1883" s="8">
        <f>IFERROR(IF(ISNUMBER(B1883),MAX(B1883,IFERROR(H1882,B1883)),""),"")</f>
        <v/>
      </c>
      <c r="I1883" s="29">
        <f>IFERROR(IF(AND(ISNUMBER(B1883),ISNUMBER(H1883)),B1883/H1883-1,""),"")</f>
        <v/>
      </c>
      <c r="J1883" s="8">
        <f>IFERROR(IF(ISNUMBER(C1883),MAX(C1883,IFERROR(J1882,C1883)),""),"")</f>
        <v/>
      </c>
      <c r="K1883" s="29">
        <f>IFERROR(IF(AND(ISNUMBER(C1883),ISNUMBER(J1883)),C1883/J1883-1,""),"")</f>
        <v/>
      </c>
      <c r="L1883" s="28">
        <f>IFERROR(IF(AND(ISNUMBER(D1883),ISNUMBER(E1883)),D1883-E1883,""),"")</f>
        <v/>
      </c>
    </row>
    <row r="1884">
      <c r="A1884" s="7">
        <f>IFERROR(Datos!A1884,"")</f>
        <v/>
      </c>
      <c r="B1884" s="8">
        <f>IFERROR(Datos!B1884,"")</f>
        <v/>
      </c>
      <c r="C1884" s="8">
        <f>IFERROR(Datos!C1884,"")</f>
        <v/>
      </c>
      <c r="D1884" s="28">
        <f>IFERROR(IF(AND(ISNUMBER(B1884),ISNUMBER(B1883),B1883&lt;&gt;0),B1884/B1883-1,""),"")</f>
        <v/>
      </c>
      <c r="E1884" s="28">
        <f>IFERROR(IF(AND(ISNUMBER(C1884),ISNUMBER(C1883),C1883&lt;&gt;0),C1884/C1883-1,""),"")</f>
        <v/>
      </c>
      <c r="F1884" s="28">
        <f>IFERROR(D1884-Dashboard!$B$4/252,"")</f>
        <v/>
      </c>
      <c r="G1884" s="28">
        <f>IFERROR(E1884-Dashboard!$B$4/252,"")</f>
        <v/>
      </c>
      <c r="H1884" s="8">
        <f>IFERROR(IF(ISNUMBER(B1884),MAX(B1884,IFERROR(H1883,B1884)),""),"")</f>
        <v/>
      </c>
      <c r="I1884" s="29">
        <f>IFERROR(IF(AND(ISNUMBER(B1884),ISNUMBER(H1884)),B1884/H1884-1,""),"")</f>
        <v/>
      </c>
      <c r="J1884" s="8">
        <f>IFERROR(IF(ISNUMBER(C1884),MAX(C1884,IFERROR(J1883,C1884)),""),"")</f>
        <v/>
      </c>
      <c r="K1884" s="29">
        <f>IFERROR(IF(AND(ISNUMBER(C1884),ISNUMBER(J1884)),C1884/J1884-1,""),"")</f>
        <v/>
      </c>
      <c r="L1884" s="28">
        <f>IFERROR(IF(AND(ISNUMBER(D1884),ISNUMBER(E1884)),D1884-E1884,""),"")</f>
        <v/>
      </c>
    </row>
    <row r="1885">
      <c r="A1885" s="7">
        <f>IFERROR(Datos!A1885,"")</f>
        <v/>
      </c>
      <c r="B1885" s="8">
        <f>IFERROR(Datos!B1885,"")</f>
        <v/>
      </c>
      <c r="C1885" s="8">
        <f>IFERROR(Datos!C1885,"")</f>
        <v/>
      </c>
      <c r="D1885" s="28">
        <f>IFERROR(IF(AND(ISNUMBER(B1885),ISNUMBER(B1884),B1884&lt;&gt;0),B1885/B1884-1,""),"")</f>
        <v/>
      </c>
      <c r="E1885" s="28">
        <f>IFERROR(IF(AND(ISNUMBER(C1885),ISNUMBER(C1884),C1884&lt;&gt;0),C1885/C1884-1,""),"")</f>
        <v/>
      </c>
      <c r="F1885" s="28">
        <f>IFERROR(D1885-Dashboard!$B$4/252,"")</f>
        <v/>
      </c>
      <c r="G1885" s="28">
        <f>IFERROR(E1885-Dashboard!$B$4/252,"")</f>
        <v/>
      </c>
      <c r="H1885" s="8">
        <f>IFERROR(IF(ISNUMBER(B1885),MAX(B1885,IFERROR(H1884,B1885)),""),"")</f>
        <v/>
      </c>
      <c r="I1885" s="29">
        <f>IFERROR(IF(AND(ISNUMBER(B1885),ISNUMBER(H1885)),B1885/H1885-1,""),"")</f>
        <v/>
      </c>
      <c r="J1885" s="8">
        <f>IFERROR(IF(ISNUMBER(C1885),MAX(C1885,IFERROR(J1884,C1885)),""),"")</f>
        <v/>
      </c>
      <c r="K1885" s="29">
        <f>IFERROR(IF(AND(ISNUMBER(C1885),ISNUMBER(J1885)),C1885/J1885-1,""),"")</f>
        <v/>
      </c>
      <c r="L1885" s="28">
        <f>IFERROR(IF(AND(ISNUMBER(D1885),ISNUMBER(E1885)),D1885-E1885,""),"")</f>
        <v/>
      </c>
    </row>
    <row r="1886">
      <c r="A1886" s="7">
        <f>IFERROR(Datos!A1886,"")</f>
        <v/>
      </c>
      <c r="B1886" s="8">
        <f>IFERROR(Datos!B1886,"")</f>
        <v/>
      </c>
      <c r="C1886" s="8">
        <f>IFERROR(Datos!C1886,"")</f>
        <v/>
      </c>
      <c r="D1886" s="28">
        <f>IFERROR(IF(AND(ISNUMBER(B1886),ISNUMBER(B1885),B1885&lt;&gt;0),B1886/B1885-1,""),"")</f>
        <v/>
      </c>
      <c r="E1886" s="28">
        <f>IFERROR(IF(AND(ISNUMBER(C1886),ISNUMBER(C1885),C1885&lt;&gt;0),C1886/C1885-1,""),"")</f>
        <v/>
      </c>
      <c r="F1886" s="28">
        <f>IFERROR(D1886-Dashboard!$B$4/252,"")</f>
        <v/>
      </c>
      <c r="G1886" s="28">
        <f>IFERROR(E1886-Dashboard!$B$4/252,"")</f>
        <v/>
      </c>
      <c r="H1886" s="8">
        <f>IFERROR(IF(ISNUMBER(B1886),MAX(B1886,IFERROR(H1885,B1886)),""),"")</f>
        <v/>
      </c>
      <c r="I1886" s="29">
        <f>IFERROR(IF(AND(ISNUMBER(B1886),ISNUMBER(H1886)),B1886/H1886-1,""),"")</f>
        <v/>
      </c>
      <c r="J1886" s="8">
        <f>IFERROR(IF(ISNUMBER(C1886),MAX(C1886,IFERROR(J1885,C1886)),""),"")</f>
        <v/>
      </c>
      <c r="K1886" s="29">
        <f>IFERROR(IF(AND(ISNUMBER(C1886),ISNUMBER(J1886)),C1886/J1886-1,""),"")</f>
        <v/>
      </c>
      <c r="L1886" s="28">
        <f>IFERROR(IF(AND(ISNUMBER(D1886),ISNUMBER(E1886)),D1886-E1886,""),"")</f>
        <v/>
      </c>
    </row>
    <row r="1887">
      <c r="A1887" s="7">
        <f>IFERROR(Datos!A1887,"")</f>
        <v/>
      </c>
      <c r="B1887" s="8">
        <f>IFERROR(Datos!B1887,"")</f>
        <v/>
      </c>
      <c r="C1887" s="8">
        <f>IFERROR(Datos!C1887,"")</f>
        <v/>
      </c>
      <c r="D1887" s="28">
        <f>IFERROR(IF(AND(ISNUMBER(B1887),ISNUMBER(B1886),B1886&lt;&gt;0),B1887/B1886-1,""),"")</f>
        <v/>
      </c>
      <c r="E1887" s="28">
        <f>IFERROR(IF(AND(ISNUMBER(C1887),ISNUMBER(C1886),C1886&lt;&gt;0),C1887/C1886-1,""),"")</f>
        <v/>
      </c>
      <c r="F1887" s="28">
        <f>IFERROR(D1887-Dashboard!$B$4/252,"")</f>
        <v/>
      </c>
      <c r="G1887" s="28">
        <f>IFERROR(E1887-Dashboard!$B$4/252,"")</f>
        <v/>
      </c>
      <c r="H1887" s="8">
        <f>IFERROR(IF(ISNUMBER(B1887),MAX(B1887,IFERROR(H1886,B1887)),""),"")</f>
        <v/>
      </c>
      <c r="I1887" s="29">
        <f>IFERROR(IF(AND(ISNUMBER(B1887),ISNUMBER(H1887)),B1887/H1887-1,""),"")</f>
        <v/>
      </c>
      <c r="J1887" s="8">
        <f>IFERROR(IF(ISNUMBER(C1887),MAX(C1887,IFERROR(J1886,C1887)),""),"")</f>
        <v/>
      </c>
      <c r="K1887" s="29">
        <f>IFERROR(IF(AND(ISNUMBER(C1887),ISNUMBER(J1887)),C1887/J1887-1,""),"")</f>
        <v/>
      </c>
      <c r="L1887" s="28">
        <f>IFERROR(IF(AND(ISNUMBER(D1887),ISNUMBER(E1887)),D1887-E1887,""),"")</f>
        <v/>
      </c>
    </row>
    <row r="1888">
      <c r="A1888" s="7">
        <f>IFERROR(Datos!A1888,"")</f>
        <v/>
      </c>
      <c r="B1888" s="8">
        <f>IFERROR(Datos!B1888,"")</f>
        <v/>
      </c>
      <c r="C1888" s="8">
        <f>IFERROR(Datos!C1888,"")</f>
        <v/>
      </c>
      <c r="D1888" s="28">
        <f>IFERROR(IF(AND(ISNUMBER(B1888),ISNUMBER(B1887),B1887&lt;&gt;0),B1888/B1887-1,""),"")</f>
        <v/>
      </c>
      <c r="E1888" s="28">
        <f>IFERROR(IF(AND(ISNUMBER(C1888),ISNUMBER(C1887),C1887&lt;&gt;0),C1888/C1887-1,""),"")</f>
        <v/>
      </c>
      <c r="F1888" s="28">
        <f>IFERROR(D1888-Dashboard!$B$4/252,"")</f>
        <v/>
      </c>
      <c r="G1888" s="28">
        <f>IFERROR(E1888-Dashboard!$B$4/252,"")</f>
        <v/>
      </c>
      <c r="H1888" s="8">
        <f>IFERROR(IF(ISNUMBER(B1888),MAX(B1888,IFERROR(H1887,B1888)),""),"")</f>
        <v/>
      </c>
      <c r="I1888" s="29">
        <f>IFERROR(IF(AND(ISNUMBER(B1888),ISNUMBER(H1888)),B1888/H1888-1,""),"")</f>
        <v/>
      </c>
      <c r="J1888" s="8">
        <f>IFERROR(IF(ISNUMBER(C1888),MAX(C1888,IFERROR(J1887,C1888)),""),"")</f>
        <v/>
      </c>
      <c r="K1888" s="29">
        <f>IFERROR(IF(AND(ISNUMBER(C1888),ISNUMBER(J1888)),C1888/J1888-1,""),"")</f>
        <v/>
      </c>
      <c r="L1888" s="28">
        <f>IFERROR(IF(AND(ISNUMBER(D1888),ISNUMBER(E1888)),D1888-E1888,""),"")</f>
        <v/>
      </c>
    </row>
    <row r="1889">
      <c r="A1889" s="7">
        <f>IFERROR(Datos!A1889,"")</f>
        <v/>
      </c>
      <c r="B1889" s="8">
        <f>IFERROR(Datos!B1889,"")</f>
        <v/>
      </c>
      <c r="C1889" s="8">
        <f>IFERROR(Datos!C1889,"")</f>
        <v/>
      </c>
      <c r="D1889" s="28">
        <f>IFERROR(IF(AND(ISNUMBER(B1889),ISNUMBER(B1888),B1888&lt;&gt;0),B1889/B1888-1,""),"")</f>
        <v/>
      </c>
      <c r="E1889" s="28">
        <f>IFERROR(IF(AND(ISNUMBER(C1889),ISNUMBER(C1888),C1888&lt;&gt;0),C1889/C1888-1,""),"")</f>
        <v/>
      </c>
      <c r="F1889" s="28">
        <f>IFERROR(D1889-Dashboard!$B$4/252,"")</f>
        <v/>
      </c>
      <c r="G1889" s="28">
        <f>IFERROR(E1889-Dashboard!$B$4/252,"")</f>
        <v/>
      </c>
      <c r="H1889" s="8">
        <f>IFERROR(IF(ISNUMBER(B1889),MAX(B1889,IFERROR(H1888,B1889)),""),"")</f>
        <v/>
      </c>
      <c r="I1889" s="29">
        <f>IFERROR(IF(AND(ISNUMBER(B1889),ISNUMBER(H1889)),B1889/H1889-1,""),"")</f>
        <v/>
      </c>
      <c r="J1889" s="8">
        <f>IFERROR(IF(ISNUMBER(C1889),MAX(C1889,IFERROR(J1888,C1889)),""),"")</f>
        <v/>
      </c>
      <c r="K1889" s="29">
        <f>IFERROR(IF(AND(ISNUMBER(C1889),ISNUMBER(J1889)),C1889/J1889-1,""),"")</f>
        <v/>
      </c>
      <c r="L1889" s="28">
        <f>IFERROR(IF(AND(ISNUMBER(D1889),ISNUMBER(E1889)),D1889-E1889,""),"")</f>
        <v/>
      </c>
    </row>
    <row r="1890">
      <c r="A1890" s="7">
        <f>IFERROR(Datos!A1890,"")</f>
        <v/>
      </c>
      <c r="B1890" s="8">
        <f>IFERROR(Datos!B1890,"")</f>
        <v/>
      </c>
      <c r="C1890" s="8">
        <f>IFERROR(Datos!C1890,"")</f>
        <v/>
      </c>
      <c r="D1890" s="28">
        <f>IFERROR(IF(AND(ISNUMBER(B1890),ISNUMBER(B1889),B1889&lt;&gt;0),B1890/B1889-1,""),"")</f>
        <v/>
      </c>
      <c r="E1890" s="28">
        <f>IFERROR(IF(AND(ISNUMBER(C1890),ISNUMBER(C1889),C1889&lt;&gt;0),C1890/C1889-1,""),"")</f>
        <v/>
      </c>
      <c r="F1890" s="28">
        <f>IFERROR(D1890-Dashboard!$B$4/252,"")</f>
        <v/>
      </c>
      <c r="G1890" s="28">
        <f>IFERROR(E1890-Dashboard!$B$4/252,"")</f>
        <v/>
      </c>
      <c r="H1890" s="8">
        <f>IFERROR(IF(ISNUMBER(B1890),MAX(B1890,IFERROR(H1889,B1890)),""),"")</f>
        <v/>
      </c>
      <c r="I1890" s="29">
        <f>IFERROR(IF(AND(ISNUMBER(B1890),ISNUMBER(H1890)),B1890/H1890-1,""),"")</f>
        <v/>
      </c>
      <c r="J1890" s="8">
        <f>IFERROR(IF(ISNUMBER(C1890),MAX(C1890,IFERROR(J1889,C1890)),""),"")</f>
        <v/>
      </c>
      <c r="K1890" s="29">
        <f>IFERROR(IF(AND(ISNUMBER(C1890),ISNUMBER(J1890)),C1890/J1890-1,""),"")</f>
        <v/>
      </c>
      <c r="L1890" s="28">
        <f>IFERROR(IF(AND(ISNUMBER(D1890),ISNUMBER(E1890)),D1890-E1890,""),"")</f>
        <v/>
      </c>
    </row>
    <row r="1891">
      <c r="A1891" s="7">
        <f>IFERROR(Datos!A1891,"")</f>
        <v/>
      </c>
      <c r="B1891" s="8">
        <f>IFERROR(Datos!B1891,"")</f>
        <v/>
      </c>
      <c r="C1891" s="8">
        <f>IFERROR(Datos!C1891,"")</f>
        <v/>
      </c>
      <c r="D1891" s="28">
        <f>IFERROR(IF(AND(ISNUMBER(B1891),ISNUMBER(B1890),B1890&lt;&gt;0),B1891/B1890-1,""),"")</f>
        <v/>
      </c>
      <c r="E1891" s="28">
        <f>IFERROR(IF(AND(ISNUMBER(C1891),ISNUMBER(C1890),C1890&lt;&gt;0),C1891/C1890-1,""),"")</f>
        <v/>
      </c>
      <c r="F1891" s="28">
        <f>IFERROR(D1891-Dashboard!$B$4/252,"")</f>
        <v/>
      </c>
      <c r="G1891" s="28">
        <f>IFERROR(E1891-Dashboard!$B$4/252,"")</f>
        <v/>
      </c>
      <c r="H1891" s="8">
        <f>IFERROR(IF(ISNUMBER(B1891),MAX(B1891,IFERROR(H1890,B1891)),""),"")</f>
        <v/>
      </c>
      <c r="I1891" s="29">
        <f>IFERROR(IF(AND(ISNUMBER(B1891),ISNUMBER(H1891)),B1891/H1891-1,""),"")</f>
        <v/>
      </c>
      <c r="J1891" s="8">
        <f>IFERROR(IF(ISNUMBER(C1891),MAX(C1891,IFERROR(J1890,C1891)),""),"")</f>
        <v/>
      </c>
      <c r="K1891" s="29">
        <f>IFERROR(IF(AND(ISNUMBER(C1891),ISNUMBER(J1891)),C1891/J1891-1,""),"")</f>
        <v/>
      </c>
      <c r="L1891" s="28">
        <f>IFERROR(IF(AND(ISNUMBER(D1891),ISNUMBER(E1891)),D1891-E1891,""),"")</f>
        <v/>
      </c>
    </row>
    <row r="1892">
      <c r="A1892" s="7">
        <f>IFERROR(Datos!A1892,"")</f>
        <v/>
      </c>
      <c r="B1892" s="8">
        <f>IFERROR(Datos!B1892,"")</f>
        <v/>
      </c>
      <c r="C1892" s="8">
        <f>IFERROR(Datos!C1892,"")</f>
        <v/>
      </c>
      <c r="D1892" s="28">
        <f>IFERROR(IF(AND(ISNUMBER(B1892),ISNUMBER(B1891),B1891&lt;&gt;0),B1892/B1891-1,""),"")</f>
        <v/>
      </c>
      <c r="E1892" s="28">
        <f>IFERROR(IF(AND(ISNUMBER(C1892),ISNUMBER(C1891),C1891&lt;&gt;0),C1892/C1891-1,""),"")</f>
        <v/>
      </c>
      <c r="F1892" s="28">
        <f>IFERROR(D1892-Dashboard!$B$4/252,"")</f>
        <v/>
      </c>
      <c r="G1892" s="28">
        <f>IFERROR(E1892-Dashboard!$B$4/252,"")</f>
        <v/>
      </c>
      <c r="H1892" s="8">
        <f>IFERROR(IF(ISNUMBER(B1892),MAX(B1892,IFERROR(H1891,B1892)),""),"")</f>
        <v/>
      </c>
      <c r="I1892" s="29">
        <f>IFERROR(IF(AND(ISNUMBER(B1892),ISNUMBER(H1892)),B1892/H1892-1,""),"")</f>
        <v/>
      </c>
      <c r="J1892" s="8">
        <f>IFERROR(IF(ISNUMBER(C1892),MAX(C1892,IFERROR(J1891,C1892)),""),"")</f>
        <v/>
      </c>
      <c r="K1892" s="29">
        <f>IFERROR(IF(AND(ISNUMBER(C1892),ISNUMBER(J1892)),C1892/J1892-1,""),"")</f>
        <v/>
      </c>
      <c r="L1892" s="28">
        <f>IFERROR(IF(AND(ISNUMBER(D1892),ISNUMBER(E1892)),D1892-E1892,""),"")</f>
        <v/>
      </c>
    </row>
    <row r="1893">
      <c r="A1893" s="7">
        <f>IFERROR(Datos!A1893,"")</f>
        <v/>
      </c>
      <c r="B1893" s="8">
        <f>IFERROR(Datos!B1893,"")</f>
        <v/>
      </c>
      <c r="C1893" s="8">
        <f>IFERROR(Datos!C1893,"")</f>
        <v/>
      </c>
      <c r="D1893" s="28">
        <f>IFERROR(IF(AND(ISNUMBER(B1893),ISNUMBER(B1892),B1892&lt;&gt;0),B1893/B1892-1,""),"")</f>
        <v/>
      </c>
      <c r="E1893" s="28">
        <f>IFERROR(IF(AND(ISNUMBER(C1893),ISNUMBER(C1892),C1892&lt;&gt;0),C1893/C1892-1,""),"")</f>
        <v/>
      </c>
      <c r="F1893" s="28">
        <f>IFERROR(D1893-Dashboard!$B$4/252,"")</f>
        <v/>
      </c>
      <c r="G1893" s="28">
        <f>IFERROR(E1893-Dashboard!$B$4/252,"")</f>
        <v/>
      </c>
      <c r="H1893" s="8">
        <f>IFERROR(IF(ISNUMBER(B1893),MAX(B1893,IFERROR(H1892,B1893)),""),"")</f>
        <v/>
      </c>
      <c r="I1893" s="29">
        <f>IFERROR(IF(AND(ISNUMBER(B1893),ISNUMBER(H1893)),B1893/H1893-1,""),"")</f>
        <v/>
      </c>
      <c r="J1893" s="8">
        <f>IFERROR(IF(ISNUMBER(C1893),MAX(C1893,IFERROR(J1892,C1893)),""),"")</f>
        <v/>
      </c>
      <c r="K1893" s="29">
        <f>IFERROR(IF(AND(ISNUMBER(C1893),ISNUMBER(J1893)),C1893/J1893-1,""),"")</f>
        <v/>
      </c>
      <c r="L1893" s="28">
        <f>IFERROR(IF(AND(ISNUMBER(D1893),ISNUMBER(E1893)),D1893-E1893,""),"")</f>
        <v/>
      </c>
    </row>
    <row r="1894">
      <c r="A1894" s="7">
        <f>IFERROR(Datos!A1894,"")</f>
        <v/>
      </c>
      <c r="B1894" s="8">
        <f>IFERROR(Datos!B1894,"")</f>
        <v/>
      </c>
      <c r="C1894" s="8">
        <f>IFERROR(Datos!C1894,"")</f>
        <v/>
      </c>
      <c r="D1894" s="28">
        <f>IFERROR(IF(AND(ISNUMBER(B1894),ISNUMBER(B1893),B1893&lt;&gt;0),B1894/B1893-1,""),"")</f>
        <v/>
      </c>
      <c r="E1894" s="28">
        <f>IFERROR(IF(AND(ISNUMBER(C1894),ISNUMBER(C1893),C1893&lt;&gt;0),C1894/C1893-1,""),"")</f>
        <v/>
      </c>
      <c r="F1894" s="28">
        <f>IFERROR(D1894-Dashboard!$B$4/252,"")</f>
        <v/>
      </c>
      <c r="G1894" s="28">
        <f>IFERROR(E1894-Dashboard!$B$4/252,"")</f>
        <v/>
      </c>
      <c r="H1894" s="8">
        <f>IFERROR(IF(ISNUMBER(B1894),MAX(B1894,IFERROR(H1893,B1894)),""),"")</f>
        <v/>
      </c>
      <c r="I1894" s="29">
        <f>IFERROR(IF(AND(ISNUMBER(B1894),ISNUMBER(H1894)),B1894/H1894-1,""),"")</f>
        <v/>
      </c>
      <c r="J1894" s="8">
        <f>IFERROR(IF(ISNUMBER(C1894),MAX(C1894,IFERROR(J1893,C1894)),""),"")</f>
        <v/>
      </c>
      <c r="K1894" s="29">
        <f>IFERROR(IF(AND(ISNUMBER(C1894),ISNUMBER(J1894)),C1894/J1894-1,""),"")</f>
        <v/>
      </c>
      <c r="L1894" s="28">
        <f>IFERROR(IF(AND(ISNUMBER(D1894),ISNUMBER(E1894)),D1894-E1894,""),"")</f>
        <v/>
      </c>
    </row>
    <row r="1895">
      <c r="A1895" s="7">
        <f>IFERROR(Datos!A1895,"")</f>
        <v/>
      </c>
      <c r="B1895" s="8">
        <f>IFERROR(Datos!B1895,"")</f>
        <v/>
      </c>
      <c r="C1895" s="8">
        <f>IFERROR(Datos!C1895,"")</f>
        <v/>
      </c>
      <c r="D1895" s="28">
        <f>IFERROR(IF(AND(ISNUMBER(B1895),ISNUMBER(B1894),B1894&lt;&gt;0),B1895/B1894-1,""),"")</f>
        <v/>
      </c>
      <c r="E1895" s="28">
        <f>IFERROR(IF(AND(ISNUMBER(C1895),ISNUMBER(C1894),C1894&lt;&gt;0),C1895/C1894-1,""),"")</f>
        <v/>
      </c>
      <c r="F1895" s="28">
        <f>IFERROR(D1895-Dashboard!$B$4/252,"")</f>
        <v/>
      </c>
      <c r="G1895" s="28">
        <f>IFERROR(E1895-Dashboard!$B$4/252,"")</f>
        <v/>
      </c>
      <c r="H1895" s="8">
        <f>IFERROR(IF(ISNUMBER(B1895),MAX(B1895,IFERROR(H1894,B1895)),""),"")</f>
        <v/>
      </c>
      <c r="I1895" s="29">
        <f>IFERROR(IF(AND(ISNUMBER(B1895),ISNUMBER(H1895)),B1895/H1895-1,""),"")</f>
        <v/>
      </c>
      <c r="J1895" s="8">
        <f>IFERROR(IF(ISNUMBER(C1895),MAX(C1895,IFERROR(J1894,C1895)),""),"")</f>
        <v/>
      </c>
      <c r="K1895" s="29">
        <f>IFERROR(IF(AND(ISNUMBER(C1895),ISNUMBER(J1895)),C1895/J1895-1,""),"")</f>
        <v/>
      </c>
      <c r="L1895" s="28">
        <f>IFERROR(IF(AND(ISNUMBER(D1895),ISNUMBER(E1895)),D1895-E1895,""),"")</f>
        <v/>
      </c>
    </row>
    <row r="1896">
      <c r="A1896" s="7">
        <f>IFERROR(Datos!A1896,"")</f>
        <v/>
      </c>
      <c r="B1896" s="8">
        <f>IFERROR(Datos!B1896,"")</f>
        <v/>
      </c>
      <c r="C1896" s="8">
        <f>IFERROR(Datos!C1896,"")</f>
        <v/>
      </c>
      <c r="D1896" s="28">
        <f>IFERROR(IF(AND(ISNUMBER(B1896),ISNUMBER(B1895),B1895&lt;&gt;0),B1896/B1895-1,""),"")</f>
        <v/>
      </c>
      <c r="E1896" s="28">
        <f>IFERROR(IF(AND(ISNUMBER(C1896),ISNUMBER(C1895),C1895&lt;&gt;0),C1896/C1895-1,""),"")</f>
        <v/>
      </c>
      <c r="F1896" s="28">
        <f>IFERROR(D1896-Dashboard!$B$4/252,"")</f>
        <v/>
      </c>
      <c r="G1896" s="28">
        <f>IFERROR(E1896-Dashboard!$B$4/252,"")</f>
        <v/>
      </c>
      <c r="H1896" s="8">
        <f>IFERROR(IF(ISNUMBER(B1896),MAX(B1896,IFERROR(H1895,B1896)),""),"")</f>
        <v/>
      </c>
      <c r="I1896" s="29">
        <f>IFERROR(IF(AND(ISNUMBER(B1896),ISNUMBER(H1896)),B1896/H1896-1,""),"")</f>
        <v/>
      </c>
      <c r="J1896" s="8">
        <f>IFERROR(IF(ISNUMBER(C1896),MAX(C1896,IFERROR(J1895,C1896)),""),"")</f>
        <v/>
      </c>
      <c r="K1896" s="29">
        <f>IFERROR(IF(AND(ISNUMBER(C1896),ISNUMBER(J1896)),C1896/J1896-1,""),"")</f>
        <v/>
      </c>
      <c r="L1896" s="28">
        <f>IFERROR(IF(AND(ISNUMBER(D1896),ISNUMBER(E1896)),D1896-E1896,""),"")</f>
        <v/>
      </c>
    </row>
    <row r="1897">
      <c r="A1897" s="7">
        <f>IFERROR(Datos!A1897,"")</f>
        <v/>
      </c>
      <c r="B1897" s="8">
        <f>IFERROR(Datos!B1897,"")</f>
        <v/>
      </c>
      <c r="C1897" s="8">
        <f>IFERROR(Datos!C1897,"")</f>
        <v/>
      </c>
      <c r="D1897" s="28">
        <f>IFERROR(IF(AND(ISNUMBER(B1897),ISNUMBER(B1896),B1896&lt;&gt;0),B1897/B1896-1,""),"")</f>
        <v/>
      </c>
      <c r="E1897" s="28">
        <f>IFERROR(IF(AND(ISNUMBER(C1897),ISNUMBER(C1896),C1896&lt;&gt;0),C1897/C1896-1,""),"")</f>
        <v/>
      </c>
      <c r="F1897" s="28">
        <f>IFERROR(D1897-Dashboard!$B$4/252,"")</f>
        <v/>
      </c>
      <c r="G1897" s="28">
        <f>IFERROR(E1897-Dashboard!$B$4/252,"")</f>
        <v/>
      </c>
      <c r="H1897" s="8">
        <f>IFERROR(IF(ISNUMBER(B1897),MAX(B1897,IFERROR(H1896,B1897)),""),"")</f>
        <v/>
      </c>
      <c r="I1897" s="29">
        <f>IFERROR(IF(AND(ISNUMBER(B1897),ISNUMBER(H1897)),B1897/H1897-1,""),"")</f>
        <v/>
      </c>
      <c r="J1897" s="8">
        <f>IFERROR(IF(ISNUMBER(C1897),MAX(C1897,IFERROR(J1896,C1897)),""),"")</f>
        <v/>
      </c>
      <c r="K1897" s="29">
        <f>IFERROR(IF(AND(ISNUMBER(C1897),ISNUMBER(J1897)),C1897/J1897-1,""),"")</f>
        <v/>
      </c>
      <c r="L1897" s="28">
        <f>IFERROR(IF(AND(ISNUMBER(D1897),ISNUMBER(E1897)),D1897-E1897,""),"")</f>
        <v/>
      </c>
    </row>
    <row r="1898">
      <c r="A1898" s="7">
        <f>IFERROR(Datos!A1898,"")</f>
        <v/>
      </c>
      <c r="B1898" s="8">
        <f>IFERROR(Datos!B1898,"")</f>
        <v/>
      </c>
      <c r="C1898" s="8">
        <f>IFERROR(Datos!C1898,"")</f>
        <v/>
      </c>
      <c r="D1898" s="28">
        <f>IFERROR(IF(AND(ISNUMBER(B1898),ISNUMBER(B1897),B1897&lt;&gt;0),B1898/B1897-1,""),"")</f>
        <v/>
      </c>
      <c r="E1898" s="28">
        <f>IFERROR(IF(AND(ISNUMBER(C1898),ISNUMBER(C1897),C1897&lt;&gt;0),C1898/C1897-1,""),"")</f>
        <v/>
      </c>
      <c r="F1898" s="28">
        <f>IFERROR(D1898-Dashboard!$B$4/252,"")</f>
        <v/>
      </c>
      <c r="G1898" s="28">
        <f>IFERROR(E1898-Dashboard!$B$4/252,"")</f>
        <v/>
      </c>
      <c r="H1898" s="8">
        <f>IFERROR(IF(ISNUMBER(B1898),MAX(B1898,IFERROR(H1897,B1898)),""),"")</f>
        <v/>
      </c>
      <c r="I1898" s="29">
        <f>IFERROR(IF(AND(ISNUMBER(B1898),ISNUMBER(H1898)),B1898/H1898-1,""),"")</f>
        <v/>
      </c>
      <c r="J1898" s="8">
        <f>IFERROR(IF(ISNUMBER(C1898),MAX(C1898,IFERROR(J1897,C1898)),""),"")</f>
        <v/>
      </c>
      <c r="K1898" s="29">
        <f>IFERROR(IF(AND(ISNUMBER(C1898),ISNUMBER(J1898)),C1898/J1898-1,""),"")</f>
        <v/>
      </c>
      <c r="L1898" s="28">
        <f>IFERROR(IF(AND(ISNUMBER(D1898),ISNUMBER(E1898)),D1898-E1898,""),"")</f>
        <v/>
      </c>
    </row>
    <row r="1899">
      <c r="A1899" s="7">
        <f>IFERROR(Datos!A1899,"")</f>
        <v/>
      </c>
      <c r="B1899" s="8">
        <f>IFERROR(Datos!B1899,"")</f>
        <v/>
      </c>
      <c r="C1899" s="8">
        <f>IFERROR(Datos!C1899,"")</f>
        <v/>
      </c>
      <c r="D1899" s="28">
        <f>IFERROR(IF(AND(ISNUMBER(B1899),ISNUMBER(B1898),B1898&lt;&gt;0),B1899/B1898-1,""),"")</f>
        <v/>
      </c>
      <c r="E1899" s="28">
        <f>IFERROR(IF(AND(ISNUMBER(C1899),ISNUMBER(C1898),C1898&lt;&gt;0),C1899/C1898-1,""),"")</f>
        <v/>
      </c>
      <c r="F1899" s="28">
        <f>IFERROR(D1899-Dashboard!$B$4/252,"")</f>
        <v/>
      </c>
      <c r="G1899" s="28">
        <f>IFERROR(E1899-Dashboard!$B$4/252,"")</f>
        <v/>
      </c>
      <c r="H1899" s="8">
        <f>IFERROR(IF(ISNUMBER(B1899),MAX(B1899,IFERROR(H1898,B1899)),""),"")</f>
        <v/>
      </c>
      <c r="I1899" s="29">
        <f>IFERROR(IF(AND(ISNUMBER(B1899),ISNUMBER(H1899)),B1899/H1899-1,""),"")</f>
        <v/>
      </c>
      <c r="J1899" s="8">
        <f>IFERROR(IF(ISNUMBER(C1899),MAX(C1899,IFERROR(J1898,C1899)),""),"")</f>
        <v/>
      </c>
      <c r="K1899" s="29">
        <f>IFERROR(IF(AND(ISNUMBER(C1899),ISNUMBER(J1899)),C1899/J1899-1,""),"")</f>
        <v/>
      </c>
      <c r="L1899" s="28">
        <f>IFERROR(IF(AND(ISNUMBER(D1899),ISNUMBER(E1899)),D1899-E1899,""),"")</f>
        <v/>
      </c>
    </row>
    <row r="1900">
      <c r="A1900" s="7">
        <f>IFERROR(Datos!A1900,"")</f>
        <v/>
      </c>
      <c r="B1900" s="8">
        <f>IFERROR(Datos!B1900,"")</f>
        <v/>
      </c>
      <c r="C1900" s="8">
        <f>IFERROR(Datos!C1900,"")</f>
        <v/>
      </c>
      <c r="D1900" s="28">
        <f>IFERROR(IF(AND(ISNUMBER(B1900),ISNUMBER(B1899),B1899&lt;&gt;0),B1900/B1899-1,""),"")</f>
        <v/>
      </c>
      <c r="E1900" s="28">
        <f>IFERROR(IF(AND(ISNUMBER(C1900),ISNUMBER(C1899),C1899&lt;&gt;0),C1900/C1899-1,""),"")</f>
        <v/>
      </c>
      <c r="F1900" s="28">
        <f>IFERROR(D1900-Dashboard!$B$4/252,"")</f>
        <v/>
      </c>
      <c r="G1900" s="28">
        <f>IFERROR(E1900-Dashboard!$B$4/252,"")</f>
        <v/>
      </c>
      <c r="H1900" s="8">
        <f>IFERROR(IF(ISNUMBER(B1900),MAX(B1900,IFERROR(H1899,B1900)),""),"")</f>
        <v/>
      </c>
      <c r="I1900" s="29">
        <f>IFERROR(IF(AND(ISNUMBER(B1900),ISNUMBER(H1900)),B1900/H1900-1,""),"")</f>
        <v/>
      </c>
      <c r="J1900" s="8">
        <f>IFERROR(IF(ISNUMBER(C1900),MAX(C1900,IFERROR(J1899,C1900)),""),"")</f>
        <v/>
      </c>
      <c r="K1900" s="29">
        <f>IFERROR(IF(AND(ISNUMBER(C1900),ISNUMBER(J1900)),C1900/J1900-1,""),"")</f>
        <v/>
      </c>
      <c r="L1900" s="28">
        <f>IFERROR(IF(AND(ISNUMBER(D1900),ISNUMBER(E1900)),D1900-E1900,""),"")</f>
        <v/>
      </c>
    </row>
    <row r="1901">
      <c r="A1901" s="7">
        <f>IFERROR(Datos!A1901,"")</f>
        <v/>
      </c>
      <c r="B1901" s="8">
        <f>IFERROR(Datos!B1901,"")</f>
        <v/>
      </c>
      <c r="C1901" s="8">
        <f>IFERROR(Datos!C1901,"")</f>
        <v/>
      </c>
      <c r="D1901" s="28">
        <f>IFERROR(IF(AND(ISNUMBER(B1901),ISNUMBER(B1900),B1900&lt;&gt;0),B1901/B1900-1,""),"")</f>
        <v/>
      </c>
      <c r="E1901" s="28">
        <f>IFERROR(IF(AND(ISNUMBER(C1901),ISNUMBER(C1900),C1900&lt;&gt;0),C1901/C1900-1,""),"")</f>
        <v/>
      </c>
      <c r="F1901" s="28">
        <f>IFERROR(D1901-Dashboard!$B$4/252,"")</f>
        <v/>
      </c>
      <c r="G1901" s="28">
        <f>IFERROR(E1901-Dashboard!$B$4/252,"")</f>
        <v/>
      </c>
      <c r="H1901" s="8">
        <f>IFERROR(IF(ISNUMBER(B1901),MAX(B1901,IFERROR(H1900,B1901)),""),"")</f>
        <v/>
      </c>
      <c r="I1901" s="29">
        <f>IFERROR(IF(AND(ISNUMBER(B1901),ISNUMBER(H1901)),B1901/H1901-1,""),"")</f>
        <v/>
      </c>
      <c r="J1901" s="8">
        <f>IFERROR(IF(ISNUMBER(C1901),MAX(C1901,IFERROR(J1900,C1901)),""),"")</f>
        <v/>
      </c>
      <c r="K1901" s="29">
        <f>IFERROR(IF(AND(ISNUMBER(C1901),ISNUMBER(J1901)),C1901/J1901-1,""),"")</f>
        <v/>
      </c>
      <c r="L1901" s="28">
        <f>IFERROR(IF(AND(ISNUMBER(D1901),ISNUMBER(E1901)),D1901-E1901,""),"")</f>
        <v/>
      </c>
    </row>
    <row r="1902">
      <c r="A1902" s="7">
        <f>IFERROR(Datos!A1902,"")</f>
        <v/>
      </c>
      <c r="B1902" s="8">
        <f>IFERROR(Datos!B1902,"")</f>
        <v/>
      </c>
      <c r="C1902" s="8">
        <f>IFERROR(Datos!C1902,"")</f>
        <v/>
      </c>
      <c r="D1902" s="28">
        <f>IFERROR(IF(AND(ISNUMBER(B1902),ISNUMBER(B1901),B1901&lt;&gt;0),B1902/B1901-1,""),"")</f>
        <v/>
      </c>
      <c r="E1902" s="28">
        <f>IFERROR(IF(AND(ISNUMBER(C1902),ISNUMBER(C1901),C1901&lt;&gt;0),C1902/C1901-1,""),"")</f>
        <v/>
      </c>
      <c r="F1902" s="28">
        <f>IFERROR(D1902-Dashboard!$B$4/252,"")</f>
        <v/>
      </c>
      <c r="G1902" s="28">
        <f>IFERROR(E1902-Dashboard!$B$4/252,"")</f>
        <v/>
      </c>
      <c r="H1902" s="8">
        <f>IFERROR(IF(ISNUMBER(B1902),MAX(B1902,IFERROR(H1901,B1902)),""),"")</f>
        <v/>
      </c>
      <c r="I1902" s="29">
        <f>IFERROR(IF(AND(ISNUMBER(B1902),ISNUMBER(H1902)),B1902/H1902-1,""),"")</f>
        <v/>
      </c>
      <c r="J1902" s="8">
        <f>IFERROR(IF(ISNUMBER(C1902),MAX(C1902,IFERROR(J1901,C1902)),""),"")</f>
        <v/>
      </c>
      <c r="K1902" s="29">
        <f>IFERROR(IF(AND(ISNUMBER(C1902),ISNUMBER(J1902)),C1902/J1902-1,""),"")</f>
        <v/>
      </c>
      <c r="L1902" s="28">
        <f>IFERROR(IF(AND(ISNUMBER(D1902),ISNUMBER(E1902)),D1902-E1902,""),"")</f>
        <v/>
      </c>
    </row>
    <row r="1903">
      <c r="A1903" s="7">
        <f>IFERROR(Datos!A1903,"")</f>
        <v/>
      </c>
      <c r="B1903" s="8">
        <f>IFERROR(Datos!B1903,"")</f>
        <v/>
      </c>
      <c r="C1903" s="8">
        <f>IFERROR(Datos!C1903,"")</f>
        <v/>
      </c>
      <c r="D1903" s="28">
        <f>IFERROR(IF(AND(ISNUMBER(B1903),ISNUMBER(B1902),B1902&lt;&gt;0),B1903/B1902-1,""),"")</f>
        <v/>
      </c>
      <c r="E1903" s="28">
        <f>IFERROR(IF(AND(ISNUMBER(C1903),ISNUMBER(C1902),C1902&lt;&gt;0),C1903/C1902-1,""),"")</f>
        <v/>
      </c>
      <c r="F1903" s="28">
        <f>IFERROR(D1903-Dashboard!$B$4/252,"")</f>
        <v/>
      </c>
      <c r="G1903" s="28">
        <f>IFERROR(E1903-Dashboard!$B$4/252,"")</f>
        <v/>
      </c>
      <c r="H1903" s="8">
        <f>IFERROR(IF(ISNUMBER(B1903),MAX(B1903,IFERROR(H1902,B1903)),""),"")</f>
        <v/>
      </c>
      <c r="I1903" s="29">
        <f>IFERROR(IF(AND(ISNUMBER(B1903),ISNUMBER(H1903)),B1903/H1903-1,""),"")</f>
        <v/>
      </c>
      <c r="J1903" s="8">
        <f>IFERROR(IF(ISNUMBER(C1903),MAX(C1903,IFERROR(J1902,C1903)),""),"")</f>
        <v/>
      </c>
      <c r="K1903" s="29">
        <f>IFERROR(IF(AND(ISNUMBER(C1903),ISNUMBER(J1903)),C1903/J1903-1,""),"")</f>
        <v/>
      </c>
      <c r="L1903" s="28">
        <f>IFERROR(IF(AND(ISNUMBER(D1903),ISNUMBER(E1903)),D1903-E1903,""),"")</f>
        <v/>
      </c>
    </row>
    <row r="1904">
      <c r="A1904" s="7">
        <f>IFERROR(Datos!A1904,"")</f>
        <v/>
      </c>
      <c r="B1904" s="8">
        <f>IFERROR(Datos!B1904,"")</f>
        <v/>
      </c>
      <c r="C1904" s="8">
        <f>IFERROR(Datos!C1904,"")</f>
        <v/>
      </c>
      <c r="D1904" s="28">
        <f>IFERROR(IF(AND(ISNUMBER(B1904),ISNUMBER(B1903),B1903&lt;&gt;0),B1904/B1903-1,""),"")</f>
        <v/>
      </c>
      <c r="E1904" s="28">
        <f>IFERROR(IF(AND(ISNUMBER(C1904),ISNUMBER(C1903),C1903&lt;&gt;0),C1904/C1903-1,""),"")</f>
        <v/>
      </c>
      <c r="F1904" s="28">
        <f>IFERROR(D1904-Dashboard!$B$4/252,"")</f>
        <v/>
      </c>
      <c r="G1904" s="28">
        <f>IFERROR(E1904-Dashboard!$B$4/252,"")</f>
        <v/>
      </c>
      <c r="H1904" s="8">
        <f>IFERROR(IF(ISNUMBER(B1904),MAX(B1904,IFERROR(H1903,B1904)),""),"")</f>
        <v/>
      </c>
      <c r="I1904" s="29">
        <f>IFERROR(IF(AND(ISNUMBER(B1904),ISNUMBER(H1904)),B1904/H1904-1,""),"")</f>
        <v/>
      </c>
      <c r="J1904" s="8">
        <f>IFERROR(IF(ISNUMBER(C1904),MAX(C1904,IFERROR(J1903,C1904)),""),"")</f>
        <v/>
      </c>
      <c r="K1904" s="29">
        <f>IFERROR(IF(AND(ISNUMBER(C1904),ISNUMBER(J1904)),C1904/J1904-1,""),"")</f>
        <v/>
      </c>
      <c r="L1904" s="28">
        <f>IFERROR(IF(AND(ISNUMBER(D1904),ISNUMBER(E1904)),D1904-E1904,""),"")</f>
        <v/>
      </c>
    </row>
    <row r="1905">
      <c r="A1905" s="7">
        <f>IFERROR(Datos!A1905,"")</f>
        <v/>
      </c>
      <c r="B1905" s="8">
        <f>IFERROR(Datos!B1905,"")</f>
        <v/>
      </c>
      <c r="C1905" s="8">
        <f>IFERROR(Datos!C1905,"")</f>
        <v/>
      </c>
      <c r="D1905" s="28">
        <f>IFERROR(IF(AND(ISNUMBER(B1905),ISNUMBER(B1904),B1904&lt;&gt;0),B1905/B1904-1,""),"")</f>
        <v/>
      </c>
      <c r="E1905" s="28">
        <f>IFERROR(IF(AND(ISNUMBER(C1905),ISNUMBER(C1904),C1904&lt;&gt;0),C1905/C1904-1,""),"")</f>
        <v/>
      </c>
      <c r="F1905" s="28">
        <f>IFERROR(D1905-Dashboard!$B$4/252,"")</f>
        <v/>
      </c>
      <c r="G1905" s="28">
        <f>IFERROR(E1905-Dashboard!$B$4/252,"")</f>
        <v/>
      </c>
      <c r="H1905" s="8">
        <f>IFERROR(IF(ISNUMBER(B1905),MAX(B1905,IFERROR(H1904,B1905)),""),"")</f>
        <v/>
      </c>
      <c r="I1905" s="29">
        <f>IFERROR(IF(AND(ISNUMBER(B1905),ISNUMBER(H1905)),B1905/H1905-1,""),"")</f>
        <v/>
      </c>
      <c r="J1905" s="8">
        <f>IFERROR(IF(ISNUMBER(C1905),MAX(C1905,IFERROR(J1904,C1905)),""),"")</f>
        <v/>
      </c>
      <c r="K1905" s="29">
        <f>IFERROR(IF(AND(ISNUMBER(C1905),ISNUMBER(J1905)),C1905/J1905-1,""),"")</f>
        <v/>
      </c>
      <c r="L1905" s="28">
        <f>IFERROR(IF(AND(ISNUMBER(D1905),ISNUMBER(E1905)),D1905-E1905,""),"")</f>
        <v/>
      </c>
    </row>
    <row r="1906">
      <c r="A1906" s="7">
        <f>IFERROR(Datos!A1906,"")</f>
        <v/>
      </c>
      <c r="B1906" s="8">
        <f>IFERROR(Datos!B1906,"")</f>
        <v/>
      </c>
      <c r="C1906" s="8">
        <f>IFERROR(Datos!C1906,"")</f>
        <v/>
      </c>
      <c r="D1906" s="28">
        <f>IFERROR(IF(AND(ISNUMBER(B1906),ISNUMBER(B1905),B1905&lt;&gt;0),B1906/B1905-1,""),"")</f>
        <v/>
      </c>
      <c r="E1906" s="28">
        <f>IFERROR(IF(AND(ISNUMBER(C1906),ISNUMBER(C1905),C1905&lt;&gt;0),C1906/C1905-1,""),"")</f>
        <v/>
      </c>
      <c r="F1906" s="28">
        <f>IFERROR(D1906-Dashboard!$B$4/252,"")</f>
        <v/>
      </c>
      <c r="G1906" s="28">
        <f>IFERROR(E1906-Dashboard!$B$4/252,"")</f>
        <v/>
      </c>
      <c r="H1906" s="8">
        <f>IFERROR(IF(ISNUMBER(B1906),MAX(B1906,IFERROR(H1905,B1906)),""),"")</f>
        <v/>
      </c>
      <c r="I1906" s="29">
        <f>IFERROR(IF(AND(ISNUMBER(B1906),ISNUMBER(H1906)),B1906/H1906-1,""),"")</f>
        <v/>
      </c>
      <c r="J1906" s="8">
        <f>IFERROR(IF(ISNUMBER(C1906),MAX(C1906,IFERROR(J1905,C1906)),""),"")</f>
        <v/>
      </c>
      <c r="K1906" s="29">
        <f>IFERROR(IF(AND(ISNUMBER(C1906),ISNUMBER(J1906)),C1906/J1906-1,""),"")</f>
        <v/>
      </c>
      <c r="L1906" s="28">
        <f>IFERROR(IF(AND(ISNUMBER(D1906),ISNUMBER(E1906)),D1906-E1906,""),"")</f>
        <v/>
      </c>
    </row>
    <row r="1907">
      <c r="A1907" s="7">
        <f>IFERROR(Datos!A1907,"")</f>
        <v/>
      </c>
      <c r="B1907" s="8">
        <f>IFERROR(Datos!B1907,"")</f>
        <v/>
      </c>
      <c r="C1907" s="8">
        <f>IFERROR(Datos!C1907,"")</f>
        <v/>
      </c>
      <c r="D1907" s="28">
        <f>IFERROR(IF(AND(ISNUMBER(B1907),ISNUMBER(B1906),B1906&lt;&gt;0),B1907/B1906-1,""),"")</f>
        <v/>
      </c>
      <c r="E1907" s="28">
        <f>IFERROR(IF(AND(ISNUMBER(C1907),ISNUMBER(C1906),C1906&lt;&gt;0),C1907/C1906-1,""),"")</f>
        <v/>
      </c>
      <c r="F1907" s="28">
        <f>IFERROR(D1907-Dashboard!$B$4/252,"")</f>
        <v/>
      </c>
      <c r="G1907" s="28">
        <f>IFERROR(E1907-Dashboard!$B$4/252,"")</f>
        <v/>
      </c>
      <c r="H1907" s="8">
        <f>IFERROR(IF(ISNUMBER(B1907),MAX(B1907,IFERROR(H1906,B1907)),""),"")</f>
        <v/>
      </c>
      <c r="I1907" s="29">
        <f>IFERROR(IF(AND(ISNUMBER(B1907),ISNUMBER(H1907)),B1907/H1907-1,""),"")</f>
        <v/>
      </c>
      <c r="J1907" s="8">
        <f>IFERROR(IF(ISNUMBER(C1907),MAX(C1907,IFERROR(J1906,C1907)),""),"")</f>
        <v/>
      </c>
      <c r="K1907" s="29">
        <f>IFERROR(IF(AND(ISNUMBER(C1907),ISNUMBER(J1907)),C1907/J1907-1,""),"")</f>
        <v/>
      </c>
      <c r="L1907" s="28">
        <f>IFERROR(IF(AND(ISNUMBER(D1907),ISNUMBER(E1907)),D1907-E1907,""),"")</f>
        <v/>
      </c>
    </row>
    <row r="1908">
      <c r="A1908" s="7">
        <f>IFERROR(Datos!A1908,"")</f>
        <v/>
      </c>
      <c r="B1908" s="8">
        <f>IFERROR(Datos!B1908,"")</f>
        <v/>
      </c>
      <c r="C1908" s="8">
        <f>IFERROR(Datos!C1908,"")</f>
        <v/>
      </c>
      <c r="D1908" s="28">
        <f>IFERROR(IF(AND(ISNUMBER(B1908),ISNUMBER(B1907),B1907&lt;&gt;0),B1908/B1907-1,""),"")</f>
        <v/>
      </c>
      <c r="E1908" s="28">
        <f>IFERROR(IF(AND(ISNUMBER(C1908),ISNUMBER(C1907),C1907&lt;&gt;0),C1908/C1907-1,""),"")</f>
        <v/>
      </c>
      <c r="F1908" s="28">
        <f>IFERROR(D1908-Dashboard!$B$4/252,"")</f>
        <v/>
      </c>
      <c r="G1908" s="28">
        <f>IFERROR(E1908-Dashboard!$B$4/252,"")</f>
        <v/>
      </c>
      <c r="H1908" s="8">
        <f>IFERROR(IF(ISNUMBER(B1908),MAX(B1908,IFERROR(H1907,B1908)),""),"")</f>
        <v/>
      </c>
      <c r="I1908" s="29">
        <f>IFERROR(IF(AND(ISNUMBER(B1908),ISNUMBER(H1908)),B1908/H1908-1,""),"")</f>
        <v/>
      </c>
      <c r="J1908" s="8">
        <f>IFERROR(IF(ISNUMBER(C1908),MAX(C1908,IFERROR(J1907,C1908)),""),"")</f>
        <v/>
      </c>
      <c r="K1908" s="29">
        <f>IFERROR(IF(AND(ISNUMBER(C1908),ISNUMBER(J1908)),C1908/J1908-1,""),"")</f>
        <v/>
      </c>
      <c r="L1908" s="28">
        <f>IFERROR(IF(AND(ISNUMBER(D1908),ISNUMBER(E1908)),D1908-E1908,""),"")</f>
        <v/>
      </c>
    </row>
    <row r="1909">
      <c r="A1909" s="7">
        <f>IFERROR(Datos!A1909,"")</f>
        <v/>
      </c>
      <c r="B1909" s="8">
        <f>IFERROR(Datos!B1909,"")</f>
        <v/>
      </c>
      <c r="C1909" s="8">
        <f>IFERROR(Datos!C1909,"")</f>
        <v/>
      </c>
      <c r="D1909" s="28">
        <f>IFERROR(IF(AND(ISNUMBER(B1909),ISNUMBER(B1908),B1908&lt;&gt;0),B1909/B1908-1,""),"")</f>
        <v/>
      </c>
      <c r="E1909" s="28">
        <f>IFERROR(IF(AND(ISNUMBER(C1909),ISNUMBER(C1908),C1908&lt;&gt;0),C1909/C1908-1,""),"")</f>
        <v/>
      </c>
      <c r="F1909" s="28">
        <f>IFERROR(D1909-Dashboard!$B$4/252,"")</f>
        <v/>
      </c>
      <c r="G1909" s="28">
        <f>IFERROR(E1909-Dashboard!$B$4/252,"")</f>
        <v/>
      </c>
      <c r="H1909" s="8">
        <f>IFERROR(IF(ISNUMBER(B1909),MAX(B1909,IFERROR(H1908,B1909)),""),"")</f>
        <v/>
      </c>
      <c r="I1909" s="29">
        <f>IFERROR(IF(AND(ISNUMBER(B1909),ISNUMBER(H1909)),B1909/H1909-1,""),"")</f>
        <v/>
      </c>
      <c r="J1909" s="8">
        <f>IFERROR(IF(ISNUMBER(C1909),MAX(C1909,IFERROR(J1908,C1909)),""),"")</f>
        <v/>
      </c>
      <c r="K1909" s="29">
        <f>IFERROR(IF(AND(ISNUMBER(C1909),ISNUMBER(J1909)),C1909/J1909-1,""),"")</f>
        <v/>
      </c>
      <c r="L1909" s="28">
        <f>IFERROR(IF(AND(ISNUMBER(D1909),ISNUMBER(E1909)),D1909-E1909,""),"")</f>
        <v/>
      </c>
    </row>
    <row r="1910">
      <c r="A1910" s="7">
        <f>IFERROR(Datos!A1910,"")</f>
        <v/>
      </c>
      <c r="B1910" s="8">
        <f>IFERROR(Datos!B1910,"")</f>
        <v/>
      </c>
      <c r="C1910" s="8">
        <f>IFERROR(Datos!C1910,"")</f>
        <v/>
      </c>
      <c r="D1910" s="28">
        <f>IFERROR(IF(AND(ISNUMBER(B1910),ISNUMBER(B1909),B1909&lt;&gt;0),B1910/B1909-1,""),"")</f>
        <v/>
      </c>
      <c r="E1910" s="28">
        <f>IFERROR(IF(AND(ISNUMBER(C1910),ISNUMBER(C1909),C1909&lt;&gt;0),C1910/C1909-1,""),"")</f>
        <v/>
      </c>
      <c r="F1910" s="28">
        <f>IFERROR(D1910-Dashboard!$B$4/252,"")</f>
        <v/>
      </c>
      <c r="G1910" s="28">
        <f>IFERROR(E1910-Dashboard!$B$4/252,"")</f>
        <v/>
      </c>
      <c r="H1910" s="8">
        <f>IFERROR(IF(ISNUMBER(B1910),MAX(B1910,IFERROR(H1909,B1910)),""),"")</f>
        <v/>
      </c>
      <c r="I1910" s="29">
        <f>IFERROR(IF(AND(ISNUMBER(B1910),ISNUMBER(H1910)),B1910/H1910-1,""),"")</f>
        <v/>
      </c>
      <c r="J1910" s="8">
        <f>IFERROR(IF(ISNUMBER(C1910),MAX(C1910,IFERROR(J1909,C1910)),""),"")</f>
        <v/>
      </c>
      <c r="K1910" s="29">
        <f>IFERROR(IF(AND(ISNUMBER(C1910),ISNUMBER(J1910)),C1910/J1910-1,""),"")</f>
        <v/>
      </c>
      <c r="L1910" s="28">
        <f>IFERROR(IF(AND(ISNUMBER(D1910),ISNUMBER(E1910)),D1910-E1910,""),"")</f>
        <v/>
      </c>
    </row>
    <row r="1911">
      <c r="A1911" s="7">
        <f>IFERROR(Datos!A1911,"")</f>
        <v/>
      </c>
      <c r="B1911" s="8">
        <f>IFERROR(Datos!B1911,"")</f>
        <v/>
      </c>
      <c r="C1911" s="8">
        <f>IFERROR(Datos!C1911,"")</f>
        <v/>
      </c>
      <c r="D1911" s="28">
        <f>IFERROR(IF(AND(ISNUMBER(B1911),ISNUMBER(B1910),B1910&lt;&gt;0),B1911/B1910-1,""),"")</f>
        <v/>
      </c>
      <c r="E1911" s="28">
        <f>IFERROR(IF(AND(ISNUMBER(C1911),ISNUMBER(C1910),C1910&lt;&gt;0),C1911/C1910-1,""),"")</f>
        <v/>
      </c>
      <c r="F1911" s="28">
        <f>IFERROR(D1911-Dashboard!$B$4/252,"")</f>
        <v/>
      </c>
      <c r="G1911" s="28">
        <f>IFERROR(E1911-Dashboard!$B$4/252,"")</f>
        <v/>
      </c>
      <c r="H1911" s="8">
        <f>IFERROR(IF(ISNUMBER(B1911),MAX(B1911,IFERROR(H1910,B1911)),""),"")</f>
        <v/>
      </c>
      <c r="I1911" s="29">
        <f>IFERROR(IF(AND(ISNUMBER(B1911),ISNUMBER(H1911)),B1911/H1911-1,""),"")</f>
        <v/>
      </c>
      <c r="J1911" s="8">
        <f>IFERROR(IF(ISNUMBER(C1911),MAX(C1911,IFERROR(J1910,C1911)),""),"")</f>
        <v/>
      </c>
      <c r="K1911" s="29">
        <f>IFERROR(IF(AND(ISNUMBER(C1911),ISNUMBER(J1911)),C1911/J1911-1,""),"")</f>
        <v/>
      </c>
      <c r="L1911" s="28">
        <f>IFERROR(IF(AND(ISNUMBER(D1911),ISNUMBER(E1911)),D1911-E1911,""),"")</f>
        <v/>
      </c>
    </row>
    <row r="1912">
      <c r="A1912" s="7">
        <f>IFERROR(Datos!A1912,"")</f>
        <v/>
      </c>
      <c r="B1912" s="8">
        <f>IFERROR(Datos!B1912,"")</f>
        <v/>
      </c>
      <c r="C1912" s="8">
        <f>IFERROR(Datos!C1912,"")</f>
        <v/>
      </c>
      <c r="D1912" s="28">
        <f>IFERROR(IF(AND(ISNUMBER(B1912),ISNUMBER(B1911),B1911&lt;&gt;0),B1912/B1911-1,""),"")</f>
        <v/>
      </c>
      <c r="E1912" s="28">
        <f>IFERROR(IF(AND(ISNUMBER(C1912),ISNUMBER(C1911),C1911&lt;&gt;0),C1912/C1911-1,""),"")</f>
        <v/>
      </c>
      <c r="F1912" s="28">
        <f>IFERROR(D1912-Dashboard!$B$4/252,"")</f>
        <v/>
      </c>
      <c r="G1912" s="28">
        <f>IFERROR(E1912-Dashboard!$B$4/252,"")</f>
        <v/>
      </c>
      <c r="H1912" s="8">
        <f>IFERROR(IF(ISNUMBER(B1912),MAX(B1912,IFERROR(H1911,B1912)),""),"")</f>
        <v/>
      </c>
      <c r="I1912" s="29">
        <f>IFERROR(IF(AND(ISNUMBER(B1912),ISNUMBER(H1912)),B1912/H1912-1,""),"")</f>
        <v/>
      </c>
      <c r="J1912" s="8">
        <f>IFERROR(IF(ISNUMBER(C1912),MAX(C1912,IFERROR(J1911,C1912)),""),"")</f>
        <v/>
      </c>
      <c r="K1912" s="29">
        <f>IFERROR(IF(AND(ISNUMBER(C1912),ISNUMBER(J1912)),C1912/J1912-1,""),"")</f>
        <v/>
      </c>
      <c r="L1912" s="28">
        <f>IFERROR(IF(AND(ISNUMBER(D1912),ISNUMBER(E1912)),D1912-E1912,""),"")</f>
        <v/>
      </c>
    </row>
    <row r="1913">
      <c r="A1913" s="7">
        <f>IFERROR(Datos!A1913,"")</f>
        <v/>
      </c>
      <c r="B1913" s="8">
        <f>IFERROR(Datos!B1913,"")</f>
        <v/>
      </c>
      <c r="C1913" s="8">
        <f>IFERROR(Datos!C1913,"")</f>
        <v/>
      </c>
      <c r="D1913" s="28">
        <f>IFERROR(IF(AND(ISNUMBER(B1913),ISNUMBER(B1912),B1912&lt;&gt;0),B1913/B1912-1,""),"")</f>
        <v/>
      </c>
      <c r="E1913" s="28">
        <f>IFERROR(IF(AND(ISNUMBER(C1913),ISNUMBER(C1912),C1912&lt;&gt;0),C1913/C1912-1,""),"")</f>
        <v/>
      </c>
      <c r="F1913" s="28">
        <f>IFERROR(D1913-Dashboard!$B$4/252,"")</f>
        <v/>
      </c>
      <c r="G1913" s="28">
        <f>IFERROR(E1913-Dashboard!$B$4/252,"")</f>
        <v/>
      </c>
      <c r="H1913" s="8">
        <f>IFERROR(IF(ISNUMBER(B1913),MAX(B1913,IFERROR(H1912,B1913)),""),"")</f>
        <v/>
      </c>
      <c r="I1913" s="29">
        <f>IFERROR(IF(AND(ISNUMBER(B1913),ISNUMBER(H1913)),B1913/H1913-1,""),"")</f>
        <v/>
      </c>
      <c r="J1913" s="8">
        <f>IFERROR(IF(ISNUMBER(C1913),MAX(C1913,IFERROR(J1912,C1913)),""),"")</f>
        <v/>
      </c>
      <c r="K1913" s="29">
        <f>IFERROR(IF(AND(ISNUMBER(C1913),ISNUMBER(J1913)),C1913/J1913-1,""),"")</f>
        <v/>
      </c>
      <c r="L1913" s="28">
        <f>IFERROR(IF(AND(ISNUMBER(D1913),ISNUMBER(E1913)),D1913-E1913,""),"")</f>
        <v/>
      </c>
    </row>
    <row r="1914">
      <c r="A1914" s="7">
        <f>IFERROR(Datos!A1914,"")</f>
        <v/>
      </c>
      <c r="B1914" s="8">
        <f>IFERROR(Datos!B1914,"")</f>
        <v/>
      </c>
      <c r="C1914" s="8">
        <f>IFERROR(Datos!C1914,"")</f>
        <v/>
      </c>
      <c r="D1914" s="28">
        <f>IFERROR(IF(AND(ISNUMBER(B1914),ISNUMBER(B1913),B1913&lt;&gt;0),B1914/B1913-1,""),"")</f>
        <v/>
      </c>
      <c r="E1914" s="28">
        <f>IFERROR(IF(AND(ISNUMBER(C1914),ISNUMBER(C1913),C1913&lt;&gt;0),C1914/C1913-1,""),"")</f>
        <v/>
      </c>
      <c r="F1914" s="28">
        <f>IFERROR(D1914-Dashboard!$B$4/252,"")</f>
        <v/>
      </c>
      <c r="G1914" s="28">
        <f>IFERROR(E1914-Dashboard!$B$4/252,"")</f>
        <v/>
      </c>
      <c r="H1914" s="8">
        <f>IFERROR(IF(ISNUMBER(B1914),MAX(B1914,IFERROR(H1913,B1914)),""),"")</f>
        <v/>
      </c>
      <c r="I1914" s="29">
        <f>IFERROR(IF(AND(ISNUMBER(B1914),ISNUMBER(H1914)),B1914/H1914-1,""),"")</f>
        <v/>
      </c>
      <c r="J1914" s="8">
        <f>IFERROR(IF(ISNUMBER(C1914),MAX(C1914,IFERROR(J1913,C1914)),""),"")</f>
        <v/>
      </c>
      <c r="K1914" s="29">
        <f>IFERROR(IF(AND(ISNUMBER(C1914),ISNUMBER(J1914)),C1914/J1914-1,""),"")</f>
        <v/>
      </c>
      <c r="L1914" s="28">
        <f>IFERROR(IF(AND(ISNUMBER(D1914),ISNUMBER(E1914)),D1914-E1914,""),"")</f>
        <v/>
      </c>
    </row>
    <row r="1915">
      <c r="A1915" s="7">
        <f>IFERROR(Datos!A1915,"")</f>
        <v/>
      </c>
      <c r="B1915" s="8">
        <f>IFERROR(Datos!B1915,"")</f>
        <v/>
      </c>
      <c r="C1915" s="8">
        <f>IFERROR(Datos!C1915,"")</f>
        <v/>
      </c>
      <c r="D1915" s="28">
        <f>IFERROR(IF(AND(ISNUMBER(B1915),ISNUMBER(B1914),B1914&lt;&gt;0),B1915/B1914-1,""),"")</f>
        <v/>
      </c>
      <c r="E1915" s="28">
        <f>IFERROR(IF(AND(ISNUMBER(C1915),ISNUMBER(C1914),C1914&lt;&gt;0),C1915/C1914-1,""),"")</f>
        <v/>
      </c>
      <c r="F1915" s="28">
        <f>IFERROR(D1915-Dashboard!$B$4/252,"")</f>
        <v/>
      </c>
      <c r="G1915" s="28">
        <f>IFERROR(E1915-Dashboard!$B$4/252,"")</f>
        <v/>
      </c>
      <c r="H1915" s="8">
        <f>IFERROR(IF(ISNUMBER(B1915),MAX(B1915,IFERROR(H1914,B1915)),""),"")</f>
        <v/>
      </c>
      <c r="I1915" s="29">
        <f>IFERROR(IF(AND(ISNUMBER(B1915),ISNUMBER(H1915)),B1915/H1915-1,""),"")</f>
        <v/>
      </c>
      <c r="J1915" s="8">
        <f>IFERROR(IF(ISNUMBER(C1915),MAX(C1915,IFERROR(J1914,C1915)),""),"")</f>
        <v/>
      </c>
      <c r="K1915" s="29">
        <f>IFERROR(IF(AND(ISNUMBER(C1915),ISNUMBER(J1915)),C1915/J1915-1,""),"")</f>
        <v/>
      </c>
      <c r="L1915" s="28">
        <f>IFERROR(IF(AND(ISNUMBER(D1915),ISNUMBER(E1915)),D1915-E1915,""),"")</f>
        <v/>
      </c>
    </row>
    <row r="1916">
      <c r="A1916" s="7">
        <f>IFERROR(Datos!A1916,"")</f>
        <v/>
      </c>
      <c r="B1916" s="8">
        <f>IFERROR(Datos!B1916,"")</f>
        <v/>
      </c>
      <c r="C1916" s="8">
        <f>IFERROR(Datos!C1916,"")</f>
        <v/>
      </c>
      <c r="D1916" s="28">
        <f>IFERROR(IF(AND(ISNUMBER(B1916),ISNUMBER(B1915),B1915&lt;&gt;0),B1916/B1915-1,""),"")</f>
        <v/>
      </c>
      <c r="E1916" s="28">
        <f>IFERROR(IF(AND(ISNUMBER(C1916),ISNUMBER(C1915),C1915&lt;&gt;0),C1916/C1915-1,""),"")</f>
        <v/>
      </c>
      <c r="F1916" s="28">
        <f>IFERROR(D1916-Dashboard!$B$4/252,"")</f>
        <v/>
      </c>
      <c r="G1916" s="28">
        <f>IFERROR(E1916-Dashboard!$B$4/252,"")</f>
        <v/>
      </c>
      <c r="H1916" s="8">
        <f>IFERROR(IF(ISNUMBER(B1916),MAX(B1916,IFERROR(H1915,B1916)),""),"")</f>
        <v/>
      </c>
      <c r="I1916" s="29">
        <f>IFERROR(IF(AND(ISNUMBER(B1916),ISNUMBER(H1916)),B1916/H1916-1,""),"")</f>
        <v/>
      </c>
      <c r="J1916" s="8">
        <f>IFERROR(IF(ISNUMBER(C1916),MAX(C1916,IFERROR(J1915,C1916)),""),"")</f>
        <v/>
      </c>
      <c r="K1916" s="29">
        <f>IFERROR(IF(AND(ISNUMBER(C1916),ISNUMBER(J1916)),C1916/J1916-1,""),"")</f>
        <v/>
      </c>
      <c r="L1916" s="28">
        <f>IFERROR(IF(AND(ISNUMBER(D1916),ISNUMBER(E1916)),D1916-E1916,""),"")</f>
        <v/>
      </c>
    </row>
    <row r="1917">
      <c r="A1917" s="7">
        <f>IFERROR(Datos!A1917,"")</f>
        <v/>
      </c>
      <c r="B1917" s="8">
        <f>IFERROR(Datos!B1917,"")</f>
        <v/>
      </c>
      <c r="C1917" s="8">
        <f>IFERROR(Datos!C1917,"")</f>
        <v/>
      </c>
      <c r="D1917" s="28">
        <f>IFERROR(IF(AND(ISNUMBER(B1917),ISNUMBER(B1916),B1916&lt;&gt;0),B1917/B1916-1,""),"")</f>
        <v/>
      </c>
      <c r="E1917" s="28">
        <f>IFERROR(IF(AND(ISNUMBER(C1917),ISNUMBER(C1916),C1916&lt;&gt;0),C1917/C1916-1,""),"")</f>
        <v/>
      </c>
      <c r="F1917" s="28">
        <f>IFERROR(D1917-Dashboard!$B$4/252,"")</f>
        <v/>
      </c>
      <c r="G1917" s="28">
        <f>IFERROR(E1917-Dashboard!$B$4/252,"")</f>
        <v/>
      </c>
      <c r="H1917" s="8">
        <f>IFERROR(IF(ISNUMBER(B1917),MAX(B1917,IFERROR(H1916,B1917)),""),"")</f>
        <v/>
      </c>
      <c r="I1917" s="29">
        <f>IFERROR(IF(AND(ISNUMBER(B1917),ISNUMBER(H1917)),B1917/H1917-1,""),"")</f>
        <v/>
      </c>
      <c r="J1917" s="8">
        <f>IFERROR(IF(ISNUMBER(C1917),MAX(C1917,IFERROR(J1916,C1917)),""),"")</f>
        <v/>
      </c>
      <c r="K1917" s="29">
        <f>IFERROR(IF(AND(ISNUMBER(C1917),ISNUMBER(J1917)),C1917/J1917-1,""),"")</f>
        <v/>
      </c>
      <c r="L1917" s="28">
        <f>IFERROR(IF(AND(ISNUMBER(D1917),ISNUMBER(E1917)),D1917-E1917,""),"")</f>
        <v/>
      </c>
    </row>
    <row r="1918">
      <c r="A1918" s="7">
        <f>IFERROR(Datos!A1918,"")</f>
        <v/>
      </c>
      <c r="B1918" s="8">
        <f>IFERROR(Datos!B1918,"")</f>
        <v/>
      </c>
      <c r="C1918" s="8">
        <f>IFERROR(Datos!C1918,"")</f>
        <v/>
      </c>
      <c r="D1918" s="28">
        <f>IFERROR(IF(AND(ISNUMBER(B1918),ISNUMBER(B1917),B1917&lt;&gt;0),B1918/B1917-1,""),"")</f>
        <v/>
      </c>
      <c r="E1918" s="28">
        <f>IFERROR(IF(AND(ISNUMBER(C1918),ISNUMBER(C1917),C1917&lt;&gt;0),C1918/C1917-1,""),"")</f>
        <v/>
      </c>
      <c r="F1918" s="28">
        <f>IFERROR(D1918-Dashboard!$B$4/252,"")</f>
        <v/>
      </c>
      <c r="G1918" s="28">
        <f>IFERROR(E1918-Dashboard!$B$4/252,"")</f>
        <v/>
      </c>
      <c r="H1918" s="8">
        <f>IFERROR(IF(ISNUMBER(B1918),MAX(B1918,IFERROR(H1917,B1918)),""),"")</f>
        <v/>
      </c>
      <c r="I1918" s="29">
        <f>IFERROR(IF(AND(ISNUMBER(B1918),ISNUMBER(H1918)),B1918/H1918-1,""),"")</f>
        <v/>
      </c>
      <c r="J1918" s="8">
        <f>IFERROR(IF(ISNUMBER(C1918),MAX(C1918,IFERROR(J1917,C1918)),""),"")</f>
        <v/>
      </c>
      <c r="K1918" s="29">
        <f>IFERROR(IF(AND(ISNUMBER(C1918),ISNUMBER(J1918)),C1918/J1918-1,""),"")</f>
        <v/>
      </c>
      <c r="L1918" s="28">
        <f>IFERROR(IF(AND(ISNUMBER(D1918),ISNUMBER(E1918)),D1918-E1918,""),"")</f>
        <v/>
      </c>
    </row>
    <row r="1919">
      <c r="A1919" s="7">
        <f>IFERROR(Datos!A1919,"")</f>
        <v/>
      </c>
      <c r="B1919" s="8">
        <f>IFERROR(Datos!B1919,"")</f>
        <v/>
      </c>
      <c r="C1919" s="8">
        <f>IFERROR(Datos!C1919,"")</f>
        <v/>
      </c>
      <c r="D1919" s="28">
        <f>IFERROR(IF(AND(ISNUMBER(B1919),ISNUMBER(B1918),B1918&lt;&gt;0),B1919/B1918-1,""),"")</f>
        <v/>
      </c>
      <c r="E1919" s="28">
        <f>IFERROR(IF(AND(ISNUMBER(C1919),ISNUMBER(C1918),C1918&lt;&gt;0),C1919/C1918-1,""),"")</f>
        <v/>
      </c>
      <c r="F1919" s="28">
        <f>IFERROR(D1919-Dashboard!$B$4/252,"")</f>
        <v/>
      </c>
      <c r="G1919" s="28">
        <f>IFERROR(E1919-Dashboard!$B$4/252,"")</f>
        <v/>
      </c>
      <c r="H1919" s="8">
        <f>IFERROR(IF(ISNUMBER(B1919),MAX(B1919,IFERROR(H1918,B1919)),""),"")</f>
        <v/>
      </c>
      <c r="I1919" s="29">
        <f>IFERROR(IF(AND(ISNUMBER(B1919),ISNUMBER(H1919)),B1919/H1919-1,""),"")</f>
        <v/>
      </c>
      <c r="J1919" s="8">
        <f>IFERROR(IF(ISNUMBER(C1919),MAX(C1919,IFERROR(J1918,C1919)),""),"")</f>
        <v/>
      </c>
      <c r="K1919" s="29">
        <f>IFERROR(IF(AND(ISNUMBER(C1919),ISNUMBER(J1919)),C1919/J1919-1,""),"")</f>
        <v/>
      </c>
      <c r="L1919" s="28">
        <f>IFERROR(IF(AND(ISNUMBER(D1919),ISNUMBER(E1919)),D1919-E1919,""),"")</f>
        <v/>
      </c>
    </row>
    <row r="1920">
      <c r="A1920" s="7">
        <f>IFERROR(Datos!A1920,"")</f>
        <v/>
      </c>
      <c r="B1920" s="8">
        <f>IFERROR(Datos!B1920,"")</f>
        <v/>
      </c>
      <c r="C1920" s="8">
        <f>IFERROR(Datos!C1920,"")</f>
        <v/>
      </c>
      <c r="D1920" s="28">
        <f>IFERROR(IF(AND(ISNUMBER(B1920),ISNUMBER(B1919),B1919&lt;&gt;0),B1920/B1919-1,""),"")</f>
        <v/>
      </c>
      <c r="E1920" s="28">
        <f>IFERROR(IF(AND(ISNUMBER(C1920),ISNUMBER(C1919),C1919&lt;&gt;0),C1920/C1919-1,""),"")</f>
        <v/>
      </c>
      <c r="F1920" s="28">
        <f>IFERROR(D1920-Dashboard!$B$4/252,"")</f>
        <v/>
      </c>
      <c r="G1920" s="28">
        <f>IFERROR(E1920-Dashboard!$B$4/252,"")</f>
        <v/>
      </c>
      <c r="H1920" s="8">
        <f>IFERROR(IF(ISNUMBER(B1920),MAX(B1920,IFERROR(H1919,B1920)),""),"")</f>
        <v/>
      </c>
      <c r="I1920" s="29">
        <f>IFERROR(IF(AND(ISNUMBER(B1920),ISNUMBER(H1920)),B1920/H1920-1,""),"")</f>
        <v/>
      </c>
      <c r="J1920" s="8">
        <f>IFERROR(IF(ISNUMBER(C1920),MAX(C1920,IFERROR(J1919,C1920)),""),"")</f>
        <v/>
      </c>
      <c r="K1920" s="29">
        <f>IFERROR(IF(AND(ISNUMBER(C1920),ISNUMBER(J1920)),C1920/J1920-1,""),"")</f>
        <v/>
      </c>
      <c r="L1920" s="28">
        <f>IFERROR(IF(AND(ISNUMBER(D1920),ISNUMBER(E1920)),D1920-E1920,""),"")</f>
        <v/>
      </c>
    </row>
    <row r="1921">
      <c r="A1921" s="7">
        <f>IFERROR(Datos!A1921,"")</f>
        <v/>
      </c>
      <c r="B1921" s="8">
        <f>IFERROR(Datos!B1921,"")</f>
        <v/>
      </c>
      <c r="C1921" s="8">
        <f>IFERROR(Datos!C1921,"")</f>
        <v/>
      </c>
      <c r="D1921" s="28">
        <f>IFERROR(IF(AND(ISNUMBER(B1921),ISNUMBER(B1920),B1920&lt;&gt;0),B1921/B1920-1,""),"")</f>
        <v/>
      </c>
      <c r="E1921" s="28">
        <f>IFERROR(IF(AND(ISNUMBER(C1921),ISNUMBER(C1920),C1920&lt;&gt;0),C1921/C1920-1,""),"")</f>
        <v/>
      </c>
      <c r="F1921" s="28">
        <f>IFERROR(D1921-Dashboard!$B$4/252,"")</f>
        <v/>
      </c>
      <c r="G1921" s="28">
        <f>IFERROR(E1921-Dashboard!$B$4/252,"")</f>
        <v/>
      </c>
      <c r="H1921" s="8">
        <f>IFERROR(IF(ISNUMBER(B1921),MAX(B1921,IFERROR(H1920,B1921)),""),"")</f>
        <v/>
      </c>
      <c r="I1921" s="29">
        <f>IFERROR(IF(AND(ISNUMBER(B1921),ISNUMBER(H1921)),B1921/H1921-1,""),"")</f>
        <v/>
      </c>
      <c r="J1921" s="8">
        <f>IFERROR(IF(ISNUMBER(C1921),MAX(C1921,IFERROR(J1920,C1921)),""),"")</f>
        <v/>
      </c>
      <c r="K1921" s="29">
        <f>IFERROR(IF(AND(ISNUMBER(C1921),ISNUMBER(J1921)),C1921/J1921-1,""),"")</f>
        <v/>
      </c>
      <c r="L1921" s="28">
        <f>IFERROR(IF(AND(ISNUMBER(D1921),ISNUMBER(E1921)),D1921-E1921,""),"")</f>
        <v/>
      </c>
    </row>
    <row r="1922">
      <c r="A1922" s="7">
        <f>IFERROR(Datos!A1922,"")</f>
        <v/>
      </c>
      <c r="B1922" s="8">
        <f>IFERROR(Datos!B1922,"")</f>
        <v/>
      </c>
      <c r="C1922" s="8">
        <f>IFERROR(Datos!C1922,"")</f>
        <v/>
      </c>
      <c r="D1922" s="28">
        <f>IFERROR(IF(AND(ISNUMBER(B1922),ISNUMBER(B1921),B1921&lt;&gt;0),B1922/B1921-1,""),"")</f>
        <v/>
      </c>
      <c r="E1922" s="28">
        <f>IFERROR(IF(AND(ISNUMBER(C1922),ISNUMBER(C1921),C1921&lt;&gt;0),C1922/C1921-1,""),"")</f>
        <v/>
      </c>
      <c r="F1922" s="28">
        <f>IFERROR(D1922-Dashboard!$B$4/252,"")</f>
        <v/>
      </c>
      <c r="G1922" s="28">
        <f>IFERROR(E1922-Dashboard!$B$4/252,"")</f>
        <v/>
      </c>
      <c r="H1922" s="8">
        <f>IFERROR(IF(ISNUMBER(B1922),MAX(B1922,IFERROR(H1921,B1922)),""),"")</f>
        <v/>
      </c>
      <c r="I1922" s="29">
        <f>IFERROR(IF(AND(ISNUMBER(B1922),ISNUMBER(H1922)),B1922/H1922-1,""),"")</f>
        <v/>
      </c>
      <c r="J1922" s="8">
        <f>IFERROR(IF(ISNUMBER(C1922),MAX(C1922,IFERROR(J1921,C1922)),""),"")</f>
        <v/>
      </c>
      <c r="K1922" s="29">
        <f>IFERROR(IF(AND(ISNUMBER(C1922),ISNUMBER(J1922)),C1922/J1922-1,""),"")</f>
        <v/>
      </c>
      <c r="L1922" s="28">
        <f>IFERROR(IF(AND(ISNUMBER(D1922),ISNUMBER(E1922)),D1922-E1922,""),"")</f>
        <v/>
      </c>
    </row>
    <row r="1923">
      <c r="A1923" s="7">
        <f>IFERROR(Datos!A1923,"")</f>
        <v/>
      </c>
      <c r="B1923" s="8">
        <f>IFERROR(Datos!B1923,"")</f>
        <v/>
      </c>
      <c r="C1923" s="8">
        <f>IFERROR(Datos!C1923,"")</f>
        <v/>
      </c>
      <c r="D1923" s="28">
        <f>IFERROR(IF(AND(ISNUMBER(B1923),ISNUMBER(B1922),B1922&lt;&gt;0),B1923/B1922-1,""),"")</f>
        <v/>
      </c>
      <c r="E1923" s="28">
        <f>IFERROR(IF(AND(ISNUMBER(C1923),ISNUMBER(C1922),C1922&lt;&gt;0),C1923/C1922-1,""),"")</f>
        <v/>
      </c>
      <c r="F1923" s="28">
        <f>IFERROR(D1923-Dashboard!$B$4/252,"")</f>
        <v/>
      </c>
      <c r="G1923" s="28">
        <f>IFERROR(E1923-Dashboard!$B$4/252,"")</f>
        <v/>
      </c>
      <c r="H1923" s="8">
        <f>IFERROR(IF(ISNUMBER(B1923),MAX(B1923,IFERROR(H1922,B1923)),""),"")</f>
        <v/>
      </c>
      <c r="I1923" s="29">
        <f>IFERROR(IF(AND(ISNUMBER(B1923),ISNUMBER(H1923)),B1923/H1923-1,""),"")</f>
        <v/>
      </c>
      <c r="J1923" s="8">
        <f>IFERROR(IF(ISNUMBER(C1923),MAX(C1923,IFERROR(J1922,C1923)),""),"")</f>
        <v/>
      </c>
      <c r="K1923" s="29">
        <f>IFERROR(IF(AND(ISNUMBER(C1923),ISNUMBER(J1923)),C1923/J1923-1,""),"")</f>
        <v/>
      </c>
      <c r="L1923" s="28">
        <f>IFERROR(IF(AND(ISNUMBER(D1923),ISNUMBER(E1923)),D1923-E1923,""),"")</f>
        <v/>
      </c>
    </row>
    <row r="1924">
      <c r="A1924" s="7">
        <f>IFERROR(Datos!A1924,"")</f>
        <v/>
      </c>
      <c r="B1924" s="8">
        <f>IFERROR(Datos!B1924,"")</f>
        <v/>
      </c>
      <c r="C1924" s="8">
        <f>IFERROR(Datos!C1924,"")</f>
        <v/>
      </c>
      <c r="D1924" s="28">
        <f>IFERROR(IF(AND(ISNUMBER(B1924),ISNUMBER(B1923),B1923&lt;&gt;0),B1924/B1923-1,""),"")</f>
        <v/>
      </c>
      <c r="E1924" s="28">
        <f>IFERROR(IF(AND(ISNUMBER(C1924),ISNUMBER(C1923),C1923&lt;&gt;0),C1924/C1923-1,""),"")</f>
        <v/>
      </c>
      <c r="F1924" s="28">
        <f>IFERROR(D1924-Dashboard!$B$4/252,"")</f>
        <v/>
      </c>
      <c r="G1924" s="28">
        <f>IFERROR(E1924-Dashboard!$B$4/252,"")</f>
        <v/>
      </c>
      <c r="H1924" s="8">
        <f>IFERROR(IF(ISNUMBER(B1924),MAX(B1924,IFERROR(H1923,B1924)),""),"")</f>
        <v/>
      </c>
      <c r="I1924" s="29">
        <f>IFERROR(IF(AND(ISNUMBER(B1924),ISNUMBER(H1924)),B1924/H1924-1,""),"")</f>
        <v/>
      </c>
      <c r="J1924" s="8">
        <f>IFERROR(IF(ISNUMBER(C1924),MAX(C1924,IFERROR(J1923,C1924)),""),"")</f>
        <v/>
      </c>
      <c r="K1924" s="29">
        <f>IFERROR(IF(AND(ISNUMBER(C1924),ISNUMBER(J1924)),C1924/J1924-1,""),"")</f>
        <v/>
      </c>
      <c r="L1924" s="28">
        <f>IFERROR(IF(AND(ISNUMBER(D1924),ISNUMBER(E1924)),D1924-E1924,""),"")</f>
        <v/>
      </c>
    </row>
    <row r="1925">
      <c r="A1925" s="7">
        <f>IFERROR(Datos!A1925,"")</f>
        <v/>
      </c>
      <c r="B1925" s="8">
        <f>IFERROR(Datos!B1925,"")</f>
        <v/>
      </c>
      <c r="C1925" s="8">
        <f>IFERROR(Datos!C1925,"")</f>
        <v/>
      </c>
      <c r="D1925" s="28">
        <f>IFERROR(IF(AND(ISNUMBER(B1925),ISNUMBER(B1924),B1924&lt;&gt;0),B1925/B1924-1,""),"")</f>
        <v/>
      </c>
      <c r="E1925" s="28">
        <f>IFERROR(IF(AND(ISNUMBER(C1925),ISNUMBER(C1924),C1924&lt;&gt;0),C1925/C1924-1,""),"")</f>
        <v/>
      </c>
      <c r="F1925" s="28">
        <f>IFERROR(D1925-Dashboard!$B$4/252,"")</f>
        <v/>
      </c>
      <c r="G1925" s="28">
        <f>IFERROR(E1925-Dashboard!$B$4/252,"")</f>
        <v/>
      </c>
      <c r="H1925" s="8">
        <f>IFERROR(IF(ISNUMBER(B1925),MAX(B1925,IFERROR(H1924,B1925)),""),"")</f>
        <v/>
      </c>
      <c r="I1925" s="29">
        <f>IFERROR(IF(AND(ISNUMBER(B1925),ISNUMBER(H1925)),B1925/H1925-1,""),"")</f>
        <v/>
      </c>
      <c r="J1925" s="8">
        <f>IFERROR(IF(ISNUMBER(C1925),MAX(C1925,IFERROR(J1924,C1925)),""),"")</f>
        <v/>
      </c>
      <c r="K1925" s="29">
        <f>IFERROR(IF(AND(ISNUMBER(C1925),ISNUMBER(J1925)),C1925/J1925-1,""),"")</f>
        <v/>
      </c>
      <c r="L1925" s="28">
        <f>IFERROR(IF(AND(ISNUMBER(D1925),ISNUMBER(E1925)),D1925-E1925,""),"")</f>
        <v/>
      </c>
    </row>
    <row r="1926">
      <c r="A1926" s="7">
        <f>IFERROR(Datos!A1926,"")</f>
        <v/>
      </c>
      <c r="B1926" s="8">
        <f>IFERROR(Datos!B1926,"")</f>
        <v/>
      </c>
      <c r="C1926" s="8">
        <f>IFERROR(Datos!C1926,"")</f>
        <v/>
      </c>
      <c r="D1926" s="28">
        <f>IFERROR(IF(AND(ISNUMBER(B1926),ISNUMBER(B1925),B1925&lt;&gt;0),B1926/B1925-1,""),"")</f>
        <v/>
      </c>
      <c r="E1926" s="28">
        <f>IFERROR(IF(AND(ISNUMBER(C1926),ISNUMBER(C1925),C1925&lt;&gt;0),C1926/C1925-1,""),"")</f>
        <v/>
      </c>
      <c r="F1926" s="28">
        <f>IFERROR(D1926-Dashboard!$B$4/252,"")</f>
        <v/>
      </c>
      <c r="G1926" s="28">
        <f>IFERROR(E1926-Dashboard!$B$4/252,"")</f>
        <v/>
      </c>
      <c r="H1926" s="8">
        <f>IFERROR(IF(ISNUMBER(B1926),MAX(B1926,IFERROR(H1925,B1926)),""),"")</f>
        <v/>
      </c>
      <c r="I1926" s="29">
        <f>IFERROR(IF(AND(ISNUMBER(B1926),ISNUMBER(H1926)),B1926/H1926-1,""),"")</f>
        <v/>
      </c>
      <c r="J1926" s="8">
        <f>IFERROR(IF(ISNUMBER(C1926),MAX(C1926,IFERROR(J1925,C1926)),""),"")</f>
        <v/>
      </c>
      <c r="K1926" s="29">
        <f>IFERROR(IF(AND(ISNUMBER(C1926),ISNUMBER(J1926)),C1926/J1926-1,""),"")</f>
        <v/>
      </c>
      <c r="L1926" s="28">
        <f>IFERROR(IF(AND(ISNUMBER(D1926),ISNUMBER(E1926)),D1926-E1926,""),"")</f>
        <v/>
      </c>
    </row>
    <row r="1927">
      <c r="A1927" s="7">
        <f>IFERROR(Datos!A1927,"")</f>
        <v/>
      </c>
      <c r="B1927" s="8">
        <f>IFERROR(Datos!B1927,"")</f>
        <v/>
      </c>
      <c r="C1927" s="8">
        <f>IFERROR(Datos!C1927,"")</f>
        <v/>
      </c>
      <c r="D1927" s="28">
        <f>IFERROR(IF(AND(ISNUMBER(B1927),ISNUMBER(B1926),B1926&lt;&gt;0),B1927/B1926-1,""),"")</f>
        <v/>
      </c>
      <c r="E1927" s="28">
        <f>IFERROR(IF(AND(ISNUMBER(C1927),ISNUMBER(C1926),C1926&lt;&gt;0),C1927/C1926-1,""),"")</f>
        <v/>
      </c>
      <c r="F1927" s="28">
        <f>IFERROR(D1927-Dashboard!$B$4/252,"")</f>
        <v/>
      </c>
      <c r="G1927" s="28">
        <f>IFERROR(E1927-Dashboard!$B$4/252,"")</f>
        <v/>
      </c>
      <c r="H1927" s="8">
        <f>IFERROR(IF(ISNUMBER(B1927),MAX(B1927,IFERROR(H1926,B1927)),""),"")</f>
        <v/>
      </c>
      <c r="I1927" s="29">
        <f>IFERROR(IF(AND(ISNUMBER(B1927),ISNUMBER(H1927)),B1927/H1927-1,""),"")</f>
        <v/>
      </c>
      <c r="J1927" s="8">
        <f>IFERROR(IF(ISNUMBER(C1927),MAX(C1927,IFERROR(J1926,C1927)),""),"")</f>
        <v/>
      </c>
      <c r="K1927" s="29">
        <f>IFERROR(IF(AND(ISNUMBER(C1927),ISNUMBER(J1927)),C1927/J1927-1,""),"")</f>
        <v/>
      </c>
      <c r="L1927" s="28">
        <f>IFERROR(IF(AND(ISNUMBER(D1927),ISNUMBER(E1927)),D1927-E1927,""),"")</f>
        <v/>
      </c>
    </row>
    <row r="1928">
      <c r="A1928" s="7">
        <f>IFERROR(Datos!A1928,"")</f>
        <v/>
      </c>
      <c r="B1928" s="8">
        <f>IFERROR(Datos!B1928,"")</f>
        <v/>
      </c>
      <c r="C1928" s="8">
        <f>IFERROR(Datos!C1928,"")</f>
        <v/>
      </c>
      <c r="D1928" s="28">
        <f>IFERROR(IF(AND(ISNUMBER(B1928),ISNUMBER(B1927),B1927&lt;&gt;0),B1928/B1927-1,""),"")</f>
        <v/>
      </c>
      <c r="E1928" s="28">
        <f>IFERROR(IF(AND(ISNUMBER(C1928),ISNUMBER(C1927),C1927&lt;&gt;0),C1928/C1927-1,""),"")</f>
        <v/>
      </c>
      <c r="F1928" s="28">
        <f>IFERROR(D1928-Dashboard!$B$4/252,"")</f>
        <v/>
      </c>
      <c r="G1928" s="28">
        <f>IFERROR(E1928-Dashboard!$B$4/252,"")</f>
        <v/>
      </c>
      <c r="H1928" s="8">
        <f>IFERROR(IF(ISNUMBER(B1928),MAX(B1928,IFERROR(H1927,B1928)),""),"")</f>
        <v/>
      </c>
      <c r="I1928" s="29">
        <f>IFERROR(IF(AND(ISNUMBER(B1928),ISNUMBER(H1928)),B1928/H1928-1,""),"")</f>
        <v/>
      </c>
      <c r="J1928" s="8">
        <f>IFERROR(IF(ISNUMBER(C1928),MAX(C1928,IFERROR(J1927,C1928)),""),"")</f>
        <v/>
      </c>
      <c r="K1928" s="29">
        <f>IFERROR(IF(AND(ISNUMBER(C1928),ISNUMBER(J1928)),C1928/J1928-1,""),"")</f>
        <v/>
      </c>
      <c r="L1928" s="28">
        <f>IFERROR(IF(AND(ISNUMBER(D1928),ISNUMBER(E1928)),D1928-E1928,""),"")</f>
        <v/>
      </c>
    </row>
    <row r="1929">
      <c r="A1929" s="7">
        <f>IFERROR(Datos!A1929,"")</f>
        <v/>
      </c>
      <c r="B1929" s="8">
        <f>IFERROR(Datos!B1929,"")</f>
        <v/>
      </c>
      <c r="C1929" s="8">
        <f>IFERROR(Datos!C1929,"")</f>
        <v/>
      </c>
      <c r="D1929" s="28">
        <f>IFERROR(IF(AND(ISNUMBER(B1929),ISNUMBER(B1928),B1928&lt;&gt;0),B1929/B1928-1,""),"")</f>
        <v/>
      </c>
      <c r="E1929" s="28">
        <f>IFERROR(IF(AND(ISNUMBER(C1929),ISNUMBER(C1928),C1928&lt;&gt;0),C1929/C1928-1,""),"")</f>
        <v/>
      </c>
      <c r="F1929" s="28">
        <f>IFERROR(D1929-Dashboard!$B$4/252,"")</f>
        <v/>
      </c>
      <c r="G1929" s="28">
        <f>IFERROR(E1929-Dashboard!$B$4/252,"")</f>
        <v/>
      </c>
      <c r="H1929" s="8">
        <f>IFERROR(IF(ISNUMBER(B1929),MAX(B1929,IFERROR(H1928,B1929)),""),"")</f>
        <v/>
      </c>
      <c r="I1929" s="29">
        <f>IFERROR(IF(AND(ISNUMBER(B1929),ISNUMBER(H1929)),B1929/H1929-1,""),"")</f>
        <v/>
      </c>
      <c r="J1929" s="8">
        <f>IFERROR(IF(ISNUMBER(C1929),MAX(C1929,IFERROR(J1928,C1929)),""),"")</f>
        <v/>
      </c>
      <c r="K1929" s="29">
        <f>IFERROR(IF(AND(ISNUMBER(C1929),ISNUMBER(J1929)),C1929/J1929-1,""),"")</f>
        <v/>
      </c>
      <c r="L1929" s="28">
        <f>IFERROR(IF(AND(ISNUMBER(D1929),ISNUMBER(E1929)),D1929-E1929,""),"")</f>
        <v/>
      </c>
    </row>
    <row r="1930">
      <c r="A1930" s="7">
        <f>IFERROR(Datos!A1930,"")</f>
        <v/>
      </c>
      <c r="B1930" s="8">
        <f>IFERROR(Datos!B1930,"")</f>
        <v/>
      </c>
      <c r="C1930" s="8">
        <f>IFERROR(Datos!C1930,"")</f>
        <v/>
      </c>
      <c r="D1930" s="28">
        <f>IFERROR(IF(AND(ISNUMBER(B1930),ISNUMBER(B1929),B1929&lt;&gt;0),B1930/B1929-1,""),"")</f>
        <v/>
      </c>
      <c r="E1930" s="28">
        <f>IFERROR(IF(AND(ISNUMBER(C1930),ISNUMBER(C1929),C1929&lt;&gt;0),C1930/C1929-1,""),"")</f>
        <v/>
      </c>
      <c r="F1930" s="28">
        <f>IFERROR(D1930-Dashboard!$B$4/252,"")</f>
        <v/>
      </c>
      <c r="G1930" s="28">
        <f>IFERROR(E1930-Dashboard!$B$4/252,"")</f>
        <v/>
      </c>
      <c r="H1930" s="8">
        <f>IFERROR(IF(ISNUMBER(B1930),MAX(B1930,IFERROR(H1929,B1930)),""),"")</f>
        <v/>
      </c>
      <c r="I1930" s="29">
        <f>IFERROR(IF(AND(ISNUMBER(B1930),ISNUMBER(H1930)),B1930/H1930-1,""),"")</f>
        <v/>
      </c>
      <c r="J1930" s="8">
        <f>IFERROR(IF(ISNUMBER(C1930),MAX(C1930,IFERROR(J1929,C1930)),""),"")</f>
        <v/>
      </c>
      <c r="K1930" s="29">
        <f>IFERROR(IF(AND(ISNUMBER(C1930),ISNUMBER(J1930)),C1930/J1930-1,""),"")</f>
        <v/>
      </c>
      <c r="L1930" s="28">
        <f>IFERROR(IF(AND(ISNUMBER(D1930),ISNUMBER(E1930)),D1930-E1930,""),"")</f>
        <v/>
      </c>
    </row>
    <row r="1931">
      <c r="A1931" s="7">
        <f>IFERROR(Datos!A1931,"")</f>
        <v/>
      </c>
      <c r="B1931" s="8">
        <f>IFERROR(Datos!B1931,"")</f>
        <v/>
      </c>
      <c r="C1931" s="8">
        <f>IFERROR(Datos!C1931,"")</f>
        <v/>
      </c>
      <c r="D1931" s="28">
        <f>IFERROR(IF(AND(ISNUMBER(B1931),ISNUMBER(B1930),B1930&lt;&gt;0),B1931/B1930-1,""),"")</f>
        <v/>
      </c>
      <c r="E1931" s="28">
        <f>IFERROR(IF(AND(ISNUMBER(C1931),ISNUMBER(C1930),C1930&lt;&gt;0),C1931/C1930-1,""),"")</f>
        <v/>
      </c>
      <c r="F1931" s="28">
        <f>IFERROR(D1931-Dashboard!$B$4/252,"")</f>
        <v/>
      </c>
      <c r="G1931" s="28">
        <f>IFERROR(E1931-Dashboard!$B$4/252,"")</f>
        <v/>
      </c>
      <c r="H1931" s="8">
        <f>IFERROR(IF(ISNUMBER(B1931),MAX(B1931,IFERROR(H1930,B1931)),""),"")</f>
        <v/>
      </c>
      <c r="I1931" s="29">
        <f>IFERROR(IF(AND(ISNUMBER(B1931),ISNUMBER(H1931)),B1931/H1931-1,""),"")</f>
        <v/>
      </c>
      <c r="J1931" s="8">
        <f>IFERROR(IF(ISNUMBER(C1931),MAX(C1931,IFERROR(J1930,C1931)),""),"")</f>
        <v/>
      </c>
      <c r="K1931" s="29">
        <f>IFERROR(IF(AND(ISNUMBER(C1931),ISNUMBER(J1931)),C1931/J1931-1,""),"")</f>
        <v/>
      </c>
      <c r="L1931" s="28">
        <f>IFERROR(IF(AND(ISNUMBER(D1931),ISNUMBER(E1931)),D1931-E1931,""),"")</f>
        <v/>
      </c>
    </row>
    <row r="1932">
      <c r="A1932" s="7">
        <f>IFERROR(Datos!A1932,"")</f>
        <v/>
      </c>
      <c r="B1932" s="8">
        <f>IFERROR(Datos!B1932,"")</f>
        <v/>
      </c>
      <c r="C1932" s="8">
        <f>IFERROR(Datos!C1932,"")</f>
        <v/>
      </c>
      <c r="D1932" s="28">
        <f>IFERROR(IF(AND(ISNUMBER(B1932),ISNUMBER(B1931),B1931&lt;&gt;0),B1932/B1931-1,""),"")</f>
        <v/>
      </c>
      <c r="E1932" s="28">
        <f>IFERROR(IF(AND(ISNUMBER(C1932),ISNUMBER(C1931),C1931&lt;&gt;0),C1932/C1931-1,""),"")</f>
        <v/>
      </c>
      <c r="F1932" s="28">
        <f>IFERROR(D1932-Dashboard!$B$4/252,"")</f>
        <v/>
      </c>
      <c r="G1932" s="28">
        <f>IFERROR(E1932-Dashboard!$B$4/252,"")</f>
        <v/>
      </c>
      <c r="H1932" s="8">
        <f>IFERROR(IF(ISNUMBER(B1932),MAX(B1932,IFERROR(H1931,B1932)),""),"")</f>
        <v/>
      </c>
      <c r="I1932" s="29">
        <f>IFERROR(IF(AND(ISNUMBER(B1932),ISNUMBER(H1932)),B1932/H1932-1,""),"")</f>
        <v/>
      </c>
      <c r="J1932" s="8">
        <f>IFERROR(IF(ISNUMBER(C1932),MAX(C1932,IFERROR(J1931,C1932)),""),"")</f>
        <v/>
      </c>
      <c r="K1932" s="29">
        <f>IFERROR(IF(AND(ISNUMBER(C1932),ISNUMBER(J1932)),C1932/J1932-1,""),"")</f>
        <v/>
      </c>
      <c r="L1932" s="28">
        <f>IFERROR(IF(AND(ISNUMBER(D1932),ISNUMBER(E1932)),D1932-E1932,""),"")</f>
        <v/>
      </c>
    </row>
    <row r="1933">
      <c r="A1933" s="7">
        <f>IFERROR(Datos!A1933,"")</f>
        <v/>
      </c>
      <c r="B1933" s="8">
        <f>IFERROR(Datos!B1933,"")</f>
        <v/>
      </c>
      <c r="C1933" s="8">
        <f>IFERROR(Datos!C1933,"")</f>
        <v/>
      </c>
      <c r="D1933" s="28">
        <f>IFERROR(IF(AND(ISNUMBER(B1933),ISNUMBER(B1932),B1932&lt;&gt;0),B1933/B1932-1,""),"")</f>
        <v/>
      </c>
      <c r="E1933" s="28">
        <f>IFERROR(IF(AND(ISNUMBER(C1933),ISNUMBER(C1932),C1932&lt;&gt;0),C1933/C1932-1,""),"")</f>
        <v/>
      </c>
      <c r="F1933" s="28">
        <f>IFERROR(D1933-Dashboard!$B$4/252,"")</f>
        <v/>
      </c>
      <c r="G1933" s="28">
        <f>IFERROR(E1933-Dashboard!$B$4/252,"")</f>
        <v/>
      </c>
      <c r="H1933" s="8">
        <f>IFERROR(IF(ISNUMBER(B1933),MAX(B1933,IFERROR(H1932,B1933)),""),"")</f>
        <v/>
      </c>
      <c r="I1933" s="29">
        <f>IFERROR(IF(AND(ISNUMBER(B1933),ISNUMBER(H1933)),B1933/H1933-1,""),"")</f>
        <v/>
      </c>
      <c r="J1933" s="8">
        <f>IFERROR(IF(ISNUMBER(C1933),MAX(C1933,IFERROR(J1932,C1933)),""),"")</f>
        <v/>
      </c>
      <c r="K1933" s="29">
        <f>IFERROR(IF(AND(ISNUMBER(C1933),ISNUMBER(J1933)),C1933/J1933-1,""),"")</f>
        <v/>
      </c>
      <c r="L1933" s="28">
        <f>IFERROR(IF(AND(ISNUMBER(D1933),ISNUMBER(E1933)),D1933-E1933,""),"")</f>
        <v/>
      </c>
    </row>
    <row r="1934">
      <c r="A1934" s="7">
        <f>IFERROR(Datos!A1934,"")</f>
        <v/>
      </c>
      <c r="B1934" s="8">
        <f>IFERROR(Datos!B1934,"")</f>
        <v/>
      </c>
      <c r="C1934" s="8">
        <f>IFERROR(Datos!C1934,"")</f>
        <v/>
      </c>
      <c r="D1934" s="28">
        <f>IFERROR(IF(AND(ISNUMBER(B1934),ISNUMBER(B1933),B1933&lt;&gt;0),B1934/B1933-1,""),"")</f>
        <v/>
      </c>
      <c r="E1934" s="28">
        <f>IFERROR(IF(AND(ISNUMBER(C1934),ISNUMBER(C1933),C1933&lt;&gt;0),C1934/C1933-1,""),"")</f>
        <v/>
      </c>
      <c r="F1934" s="28">
        <f>IFERROR(D1934-Dashboard!$B$4/252,"")</f>
        <v/>
      </c>
      <c r="G1934" s="28">
        <f>IFERROR(E1934-Dashboard!$B$4/252,"")</f>
        <v/>
      </c>
      <c r="H1934" s="8">
        <f>IFERROR(IF(ISNUMBER(B1934),MAX(B1934,IFERROR(H1933,B1934)),""),"")</f>
        <v/>
      </c>
      <c r="I1934" s="29">
        <f>IFERROR(IF(AND(ISNUMBER(B1934),ISNUMBER(H1934)),B1934/H1934-1,""),"")</f>
        <v/>
      </c>
      <c r="J1934" s="8">
        <f>IFERROR(IF(ISNUMBER(C1934),MAX(C1934,IFERROR(J1933,C1934)),""),"")</f>
        <v/>
      </c>
      <c r="K1934" s="29">
        <f>IFERROR(IF(AND(ISNUMBER(C1934),ISNUMBER(J1934)),C1934/J1934-1,""),"")</f>
        <v/>
      </c>
      <c r="L1934" s="28">
        <f>IFERROR(IF(AND(ISNUMBER(D1934),ISNUMBER(E1934)),D1934-E1934,""),"")</f>
        <v/>
      </c>
    </row>
    <row r="1935">
      <c r="A1935" s="7">
        <f>IFERROR(Datos!A1935,"")</f>
        <v/>
      </c>
      <c r="B1935" s="8">
        <f>IFERROR(Datos!B1935,"")</f>
        <v/>
      </c>
      <c r="C1935" s="8">
        <f>IFERROR(Datos!C1935,"")</f>
        <v/>
      </c>
      <c r="D1935" s="28">
        <f>IFERROR(IF(AND(ISNUMBER(B1935),ISNUMBER(B1934),B1934&lt;&gt;0),B1935/B1934-1,""),"")</f>
        <v/>
      </c>
      <c r="E1935" s="28">
        <f>IFERROR(IF(AND(ISNUMBER(C1935),ISNUMBER(C1934),C1934&lt;&gt;0),C1935/C1934-1,""),"")</f>
        <v/>
      </c>
      <c r="F1935" s="28">
        <f>IFERROR(D1935-Dashboard!$B$4/252,"")</f>
        <v/>
      </c>
      <c r="G1935" s="28">
        <f>IFERROR(E1935-Dashboard!$B$4/252,"")</f>
        <v/>
      </c>
      <c r="H1935" s="8">
        <f>IFERROR(IF(ISNUMBER(B1935),MAX(B1935,IFERROR(H1934,B1935)),""),"")</f>
        <v/>
      </c>
      <c r="I1935" s="29">
        <f>IFERROR(IF(AND(ISNUMBER(B1935),ISNUMBER(H1935)),B1935/H1935-1,""),"")</f>
        <v/>
      </c>
      <c r="J1935" s="8">
        <f>IFERROR(IF(ISNUMBER(C1935),MAX(C1935,IFERROR(J1934,C1935)),""),"")</f>
        <v/>
      </c>
      <c r="K1935" s="29">
        <f>IFERROR(IF(AND(ISNUMBER(C1935),ISNUMBER(J1935)),C1935/J1935-1,""),"")</f>
        <v/>
      </c>
      <c r="L1935" s="28">
        <f>IFERROR(IF(AND(ISNUMBER(D1935),ISNUMBER(E1935)),D1935-E1935,""),"")</f>
        <v/>
      </c>
    </row>
    <row r="1936">
      <c r="A1936" s="7">
        <f>IFERROR(Datos!A1936,"")</f>
        <v/>
      </c>
      <c r="B1936" s="8">
        <f>IFERROR(Datos!B1936,"")</f>
        <v/>
      </c>
      <c r="C1936" s="8">
        <f>IFERROR(Datos!C1936,"")</f>
        <v/>
      </c>
      <c r="D1936" s="28">
        <f>IFERROR(IF(AND(ISNUMBER(B1936),ISNUMBER(B1935),B1935&lt;&gt;0),B1936/B1935-1,""),"")</f>
        <v/>
      </c>
      <c r="E1936" s="28">
        <f>IFERROR(IF(AND(ISNUMBER(C1936),ISNUMBER(C1935),C1935&lt;&gt;0),C1936/C1935-1,""),"")</f>
        <v/>
      </c>
      <c r="F1936" s="28">
        <f>IFERROR(D1936-Dashboard!$B$4/252,"")</f>
        <v/>
      </c>
      <c r="G1936" s="28">
        <f>IFERROR(E1936-Dashboard!$B$4/252,"")</f>
        <v/>
      </c>
      <c r="H1936" s="8">
        <f>IFERROR(IF(ISNUMBER(B1936),MAX(B1936,IFERROR(H1935,B1936)),""),"")</f>
        <v/>
      </c>
      <c r="I1936" s="29">
        <f>IFERROR(IF(AND(ISNUMBER(B1936),ISNUMBER(H1936)),B1936/H1936-1,""),"")</f>
        <v/>
      </c>
      <c r="J1936" s="8">
        <f>IFERROR(IF(ISNUMBER(C1936),MAX(C1936,IFERROR(J1935,C1936)),""),"")</f>
        <v/>
      </c>
      <c r="K1936" s="29">
        <f>IFERROR(IF(AND(ISNUMBER(C1936),ISNUMBER(J1936)),C1936/J1936-1,""),"")</f>
        <v/>
      </c>
      <c r="L1936" s="28">
        <f>IFERROR(IF(AND(ISNUMBER(D1936),ISNUMBER(E1936)),D1936-E1936,""),"")</f>
        <v/>
      </c>
    </row>
    <row r="1937">
      <c r="A1937" s="7">
        <f>IFERROR(Datos!A1937,"")</f>
        <v/>
      </c>
      <c r="B1937" s="8">
        <f>IFERROR(Datos!B1937,"")</f>
        <v/>
      </c>
      <c r="C1937" s="8">
        <f>IFERROR(Datos!C1937,"")</f>
        <v/>
      </c>
      <c r="D1937" s="28">
        <f>IFERROR(IF(AND(ISNUMBER(B1937),ISNUMBER(B1936),B1936&lt;&gt;0),B1937/B1936-1,""),"")</f>
        <v/>
      </c>
      <c r="E1937" s="28">
        <f>IFERROR(IF(AND(ISNUMBER(C1937),ISNUMBER(C1936),C1936&lt;&gt;0),C1937/C1936-1,""),"")</f>
        <v/>
      </c>
      <c r="F1937" s="28">
        <f>IFERROR(D1937-Dashboard!$B$4/252,"")</f>
        <v/>
      </c>
      <c r="G1937" s="28">
        <f>IFERROR(E1937-Dashboard!$B$4/252,"")</f>
        <v/>
      </c>
      <c r="H1937" s="8">
        <f>IFERROR(IF(ISNUMBER(B1937),MAX(B1937,IFERROR(H1936,B1937)),""),"")</f>
        <v/>
      </c>
      <c r="I1937" s="29">
        <f>IFERROR(IF(AND(ISNUMBER(B1937),ISNUMBER(H1937)),B1937/H1937-1,""),"")</f>
        <v/>
      </c>
      <c r="J1937" s="8">
        <f>IFERROR(IF(ISNUMBER(C1937),MAX(C1937,IFERROR(J1936,C1937)),""),"")</f>
        <v/>
      </c>
      <c r="K1937" s="29">
        <f>IFERROR(IF(AND(ISNUMBER(C1937),ISNUMBER(J1937)),C1937/J1937-1,""),"")</f>
        <v/>
      </c>
      <c r="L1937" s="28">
        <f>IFERROR(IF(AND(ISNUMBER(D1937),ISNUMBER(E1937)),D1937-E1937,""),"")</f>
        <v/>
      </c>
    </row>
    <row r="1938">
      <c r="A1938" s="7">
        <f>IFERROR(Datos!A1938,"")</f>
        <v/>
      </c>
      <c r="B1938" s="8">
        <f>IFERROR(Datos!B1938,"")</f>
        <v/>
      </c>
      <c r="C1938" s="8">
        <f>IFERROR(Datos!C1938,"")</f>
        <v/>
      </c>
      <c r="D1938" s="28">
        <f>IFERROR(IF(AND(ISNUMBER(B1938),ISNUMBER(B1937),B1937&lt;&gt;0),B1938/B1937-1,""),"")</f>
        <v/>
      </c>
      <c r="E1938" s="28">
        <f>IFERROR(IF(AND(ISNUMBER(C1938),ISNUMBER(C1937),C1937&lt;&gt;0),C1938/C1937-1,""),"")</f>
        <v/>
      </c>
      <c r="F1938" s="28">
        <f>IFERROR(D1938-Dashboard!$B$4/252,"")</f>
        <v/>
      </c>
      <c r="G1938" s="28">
        <f>IFERROR(E1938-Dashboard!$B$4/252,"")</f>
        <v/>
      </c>
      <c r="H1938" s="8">
        <f>IFERROR(IF(ISNUMBER(B1938),MAX(B1938,IFERROR(H1937,B1938)),""),"")</f>
        <v/>
      </c>
      <c r="I1938" s="29">
        <f>IFERROR(IF(AND(ISNUMBER(B1938),ISNUMBER(H1938)),B1938/H1938-1,""),"")</f>
        <v/>
      </c>
      <c r="J1938" s="8">
        <f>IFERROR(IF(ISNUMBER(C1938),MAX(C1938,IFERROR(J1937,C1938)),""),"")</f>
        <v/>
      </c>
      <c r="K1938" s="29">
        <f>IFERROR(IF(AND(ISNUMBER(C1938),ISNUMBER(J1938)),C1938/J1938-1,""),"")</f>
        <v/>
      </c>
      <c r="L1938" s="28">
        <f>IFERROR(IF(AND(ISNUMBER(D1938),ISNUMBER(E1938)),D1938-E1938,""),"")</f>
        <v/>
      </c>
    </row>
    <row r="1939">
      <c r="A1939" s="7">
        <f>IFERROR(Datos!A1939,"")</f>
        <v/>
      </c>
      <c r="B1939" s="8">
        <f>IFERROR(Datos!B1939,"")</f>
        <v/>
      </c>
      <c r="C1939" s="8">
        <f>IFERROR(Datos!C1939,"")</f>
        <v/>
      </c>
      <c r="D1939" s="28">
        <f>IFERROR(IF(AND(ISNUMBER(B1939),ISNUMBER(B1938),B1938&lt;&gt;0),B1939/B1938-1,""),"")</f>
        <v/>
      </c>
      <c r="E1939" s="28">
        <f>IFERROR(IF(AND(ISNUMBER(C1939),ISNUMBER(C1938),C1938&lt;&gt;0),C1939/C1938-1,""),"")</f>
        <v/>
      </c>
      <c r="F1939" s="28">
        <f>IFERROR(D1939-Dashboard!$B$4/252,"")</f>
        <v/>
      </c>
      <c r="G1939" s="28">
        <f>IFERROR(E1939-Dashboard!$B$4/252,"")</f>
        <v/>
      </c>
      <c r="H1939" s="8">
        <f>IFERROR(IF(ISNUMBER(B1939),MAX(B1939,IFERROR(H1938,B1939)),""),"")</f>
        <v/>
      </c>
      <c r="I1939" s="29">
        <f>IFERROR(IF(AND(ISNUMBER(B1939),ISNUMBER(H1939)),B1939/H1939-1,""),"")</f>
        <v/>
      </c>
      <c r="J1939" s="8">
        <f>IFERROR(IF(ISNUMBER(C1939),MAX(C1939,IFERROR(J1938,C1939)),""),"")</f>
        <v/>
      </c>
      <c r="K1939" s="29">
        <f>IFERROR(IF(AND(ISNUMBER(C1939),ISNUMBER(J1939)),C1939/J1939-1,""),"")</f>
        <v/>
      </c>
      <c r="L1939" s="28">
        <f>IFERROR(IF(AND(ISNUMBER(D1939),ISNUMBER(E1939)),D1939-E1939,""),"")</f>
        <v/>
      </c>
    </row>
    <row r="1940">
      <c r="A1940" s="7">
        <f>IFERROR(Datos!A1940,"")</f>
        <v/>
      </c>
      <c r="B1940" s="8">
        <f>IFERROR(Datos!B1940,"")</f>
        <v/>
      </c>
      <c r="C1940" s="8">
        <f>IFERROR(Datos!C1940,"")</f>
        <v/>
      </c>
      <c r="D1940" s="28">
        <f>IFERROR(IF(AND(ISNUMBER(B1940),ISNUMBER(B1939),B1939&lt;&gt;0),B1940/B1939-1,""),"")</f>
        <v/>
      </c>
      <c r="E1940" s="28">
        <f>IFERROR(IF(AND(ISNUMBER(C1940),ISNUMBER(C1939),C1939&lt;&gt;0),C1940/C1939-1,""),"")</f>
        <v/>
      </c>
      <c r="F1940" s="28">
        <f>IFERROR(D1940-Dashboard!$B$4/252,"")</f>
        <v/>
      </c>
      <c r="G1940" s="28">
        <f>IFERROR(E1940-Dashboard!$B$4/252,"")</f>
        <v/>
      </c>
      <c r="H1940" s="8">
        <f>IFERROR(IF(ISNUMBER(B1940),MAX(B1940,IFERROR(H1939,B1940)),""),"")</f>
        <v/>
      </c>
      <c r="I1940" s="29">
        <f>IFERROR(IF(AND(ISNUMBER(B1940),ISNUMBER(H1940)),B1940/H1940-1,""),"")</f>
        <v/>
      </c>
      <c r="J1940" s="8">
        <f>IFERROR(IF(ISNUMBER(C1940),MAX(C1940,IFERROR(J1939,C1940)),""),"")</f>
        <v/>
      </c>
      <c r="K1940" s="29">
        <f>IFERROR(IF(AND(ISNUMBER(C1940),ISNUMBER(J1940)),C1940/J1940-1,""),"")</f>
        <v/>
      </c>
      <c r="L1940" s="28">
        <f>IFERROR(IF(AND(ISNUMBER(D1940),ISNUMBER(E1940)),D1940-E1940,""),"")</f>
        <v/>
      </c>
    </row>
    <row r="1941">
      <c r="A1941" s="7">
        <f>IFERROR(Datos!A1941,"")</f>
        <v/>
      </c>
      <c r="B1941" s="8">
        <f>IFERROR(Datos!B1941,"")</f>
        <v/>
      </c>
      <c r="C1941" s="8">
        <f>IFERROR(Datos!C1941,"")</f>
        <v/>
      </c>
      <c r="D1941" s="28">
        <f>IFERROR(IF(AND(ISNUMBER(B1941),ISNUMBER(B1940),B1940&lt;&gt;0),B1941/B1940-1,""),"")</f>
        <v/>
      </c>
      <c r="E1941" s="28">
        <f>IFERROR(IF(AND(ISNUMBER(C1941),ISNUMBER(C1940),C1940&lt;&gt;0),C1941/C1940-1,""),"")</f>
        <v/>
      </c>
      <c r="F1941" s="28">
        <f>IFERROR(D1941-Dashboard!$B$4/252,"")</f>
        <v/>
      </c>
      <c r="G1941" s="28">
        <f>IFERROR(E1941-Dashboard!$B$4/252,"")</f>
        <v/>
      </c>
      <c r="H1941" s="8">
        <f>IFERROR(IF(ISNUMBER(B1941),MAX(B1941,IFERROR(H1940,B1941)),""),"")</f>
        <v/>
      </c>
      <c r="I1941" s="29">
        <f>IFERROR(IF(AND(ISNUMBER(B1941),ISNUMBER(H1941)),B1941/H1941-1,""),"")</f>
        <v/>
      </c>
      <c r="J1941" s="8">
        <f>IFERROR(IF(ISNUMBER(C1941),MAX(C1941,IFERROR(J1940,C1941)),""),"")</f>
        <v/>
      </c>
      <c r="K1941" s="29">
        <f>IFERROR(IF(AND(ISNUMBER(C1941),ISNUMBER(J1941)),C1941/J1941-1,""),"")</f>
        <v/>
      </c>
      <c r="L1941" s="28">
        <f>IFERROR(IF(AND(ISNUMBER(D1941),ISNUMBER(E1941)),D1941-E1941,""),"")</f>
        <v/>
      </c>
    </row>
    <row r="1942">
      <c r="A1942" s="7">
        <f>IFERROR(Datos!A1942,"")</f>
        <v/>
      </c>
      <c r="B1942" s="8">
        <f>IFERROR(Datos!B1942,"")</f>
        <v/>
      </c>
      <c r="C1942" s="8">
        <f>IFERROR(Datos!C1942,"")</f>
        <v/>
      </c>
      <c r="D1942" s="28">
        <f>IFERROR(IF(AND(ISNUMBER(B1942),ISNUMBER(B1941),B1941&lt;&gt;0),B1942/B1941-1,""),"")</f>
        <v/>
      </c>
      <c r="E1942" s="28">
        <f>IFERROR(IF(AND(ISNUMBER(C1942),ISNUMBER(C1941),C1941&lt;&gt;0),C1942/C1941-1,""),"")</f>
        <v/>
      </c>
      <c r="F1942" s="28">
        <f>IFERROR(D1942-Dashboard!$B$4/252,"")</f>
        <v/>
      </c>
      <c r="G1942" s="28">
        <f>IFERROR(E1942-Dashboard!$B$4/252,"")</f>
        <v/>
      </c>
      <c r="H1942" s="8">
        <f>IFERROR(IF(ISNUMBER(B1942),MAX(B1942,IFERROR(H1941,B1942)),""),"")</f>
        <v/>
      </c>
      <c r="I1942" s="29">
        <f>IFERROR(IF(AND(ISNUMBER(B1942),ISNUMBER(H1942)),B1942/H1942-1,""),"")</f>
        <v/>
      </c>
      <c r="J1942" s="8">
        <f>IFERROR(IF(ISNUMBER(C1942),MAX(C1942,IFERROR(J1941,C1942)),""),"")</f>
        <v/>
      </c>
      <c r="K1942" s="29">
        <f>IFERROR(IF(AND(ISNUMBER(C1942),ISNUMBER(J1942)),C1942/J1942-1,""),"")</f>
        <v/>
      </c>
      <c r="L1942" s="28">
        <f>IFERROR(IF(AND(ISNUMBER(D1942),ISNUMBER(E1942)),D1942-E1942,""),"")</f>
        <v/>
      </c>
    </row>
    <row r="1943">
      <c r="A1943" s="7">
        <f>IFERROR(Datos!A1943,"")</f>
        <v/>
      </c>
      <c r="B1943" s="8">
        <f>IFERROR(Datos!B1943,"")</f>
        <v/>
      </c>
      <c r="C1943" s="8">
        <f>IFERROR(Datos!C1943,"")</f>
        <v/>
      </c>
      <c r="D1943" s="28">
        <f>IFERROR(IF(AND(ISNUMBER(B1943),ISNUMBER(B1942),B1942&lt;&gt;0),B1943/B1942-1,""),"")</f>
        <v/>
      </c>
      <c r="E1943" s="28">
        <f>IFERROR(IF(AND(ISNUMBER(C1943),ISNUMBER(C1942),C1942&lt;&gt;0),C1943/C1942-1,""),"")</f>
        <v/>
      </c>
      <c r="F1943" s="28">
        <f>IFERROR(D1943-Dashboard!$B$4/252,"")</f>
        <v/>
      </c>
      <c r="G1943" s="28">
        <f>IFERROR(E1943-Dashboard!$B$4/252,"")</f>
        <v/>
      </c>
      <c r="H1943" s="8">
        <f>IFERROR(IF(ISNUMBER(B1943),MAX(B1943,IFERROR(H1942,B1943)),""),"")</f>
        <v/>
      </c>
      <c r="I1943" s="29">
        <f>IFERROR(IF(AND(ISNUMBER(B1943),ISNUMBER(H1943)),B1943/H1943-1,""),"")</f>
        <v/>
      </c>
      <c r="J1943" s="8">
        <f>IFERROR(IF(ISNUMBER(C1943),MAX(C1943,IFERROR(J1942,C1943)),""),"")</f>
        <v/>
      </c>
      <c r="K1943" s="29">
        <f>IFERROR(IF(AND(ISNUMBER(C1943),ISNUMBER(J1943)),C1943/J1943-1,""),"")</f>
        <v/>
      </c>
      <c r="L1943" s="28">
        <f>IFERROR(IF(AND(ISNUMBER(D1943),ISNUMBER(E1943)),D1943-E1943,""),"")</f>
        <v/>
      </c>
    </row>
    <row r="1944">
      <c r="A1944" s="7">
        <f>IFERROR(Datos!A1944,"")</f>
        <v/>
      </c>
      <c r="B1944" s="8">
        <f>IFERROR(Datos!B1944,"")</f>
        <v/>
      </c>
      <c r="C1944" s="8">
        <f>IFERROR(Datos!C1944,"")</f>
        <v/>
      </c>
      <c r="D1944" s="28">
        <f>IFERROR(IF(AND(ISNUMBER(B1944),ISNUMBER(B1943),B1943&lt;&gt;0),B1944/B1943-1,""),"")</f>
        <v/>
      </c>
      <c r="E1944" s="28">
        <f>IFERROR(IF(AND(ISNUMBER(C1944),ISNUMBER(C1943),C1943&lt;&gt;0),C1944/C1943-1,""),"")</f>
        <v/>
      </c>
      <c r="F1944" s="28">
        <f>IFERROR(D1944-Dashboard!$B$4/252,"")</f>
        <v/>
      </c>
      <c r="G1944" s="28">
        <f>IFERROR(E1944-Dashboard!$B$4/252,"")</f>
        <v/>
      </c>
      <c r="H1944" s="8">
        <f>IFERROR(IF(ISNUMBER(B1944),MAX(B1944,IFERROR(H1943,B1944)),""),"")</f>
        <v/>
      </c>
      <c r="I1944" s="29">
        <f>IFERROR(IF(AND(ISNUMBER(B1944),ISNUMBER(H1944)),B1944/H1944-1,""),"")</f>
        <v/>
      </c>
      <c r="J1944" s="8">
        <f>IFERROR(IF(ISNUMBER(C1944),MAX(C1944,IFERROR(J1943,C1944)),""),"")</f>
        <v/>
      </c>
      <c r="K1944" s="29">
        <f>IFERROR(IF(AND(ISNUMBER(C1944),ISNUMBER(J1944)),C1944/J1944-1,""),"")</f>
        <v/>
      </c>
      <c r="L1944" s="28">
        <f>IFERROR(IF(AND(ISNUMBER(D1944),ISNUMBER(E1944)),D1944-E1944,""),"")</f>
        <v/>
      </c>
    </row>
    <row r="1945">
      <c r="A1945" s="7">
        <f>IFERROR(Datos!A1945,"")</f>
        <v/>
      </c>
      <c r="B1945" s="8">
        <f>IFERROR(Datos!B1945,"")</f>
        <v/>
      </c>
      <c r="C1945" s="8">
        <f>IFERROR(Datos!C1945,"")</f>
        <v/>
      </c>
      <c r="D1945" s="28">
        <f>IFERROR(IF(AND(ISNUMBER(B1945),ISNUMBER(B1944),B1944&lt;&gt;0),B1945/B1944-1,""),"")</f>
        <v/>
      </c>
      <c r="E1945" s="28">
        <f>IFERROR(IF(AND(ISNUMBER(C1945),ISNUMBER(C1944),C1944&lt;&gt;0),C1945/C1944-1,""),"")</f>
        <v/>
      </c>
      <c r="F1945" s="28">
        <f>IFERROR(D1945-Dashboard!$B$4/252,"")</f>
        <v/>
      </c>
      <c r="G1945" s="28">
        <f>IFERROR(E1945-Dashboard!$B$4/252,"")</f>
        <v/>
      </c>
      <c r="H1945" s="8">
        <f>IFERROR(IF(ISNUMBER(B1945),MAX(B1945,IFERROR(H1944,B1945)),""),"")</f>
        <v/>
      </c>
      <c r="I1945" s="29">
        <f>IFERROR(IF(AND(ISNUMBER(B1945),ISNUMBER(H1945)),B1945/H1945-1,""),"")</f>
        <v/>
      </c>
      <c r="J1945" s="8">
        <f>IFERROR(IF(ISNUMBER(C1945),MAX(C1945,IFERROR(J1944,C1945)),""),"")</f>
        <v/>
      </c>
      <c r="K1945" s="29">
        <f>IFERROR(IF(AND(ISNUMBER(C1945),ISNUMBER(J1945)),C1945/J1945-1,""),"")</f>
        <v/>
      </c>
      <c r="L1945" s="28">
        <f>IFERROR(IF(AND(ISNUMBER(D1945),ISNUMBER(E1945)),D1945-E1945,""),"")</f>
        <v/>
      </c>
    </row>
    <row r="1946">
      <c r="A1946" s="7">
        <f>IFERROR(Datos!A1946,"")</f>
        <v/>
      </c>
      <c r="B1946" s="8">
        <f>IFERROR(Datos!B1946,"")</f>
        <v/>
      </c>
      <c r="C1946" s="8">
        <f>IFERROR(Datos!C1946,"")</f>
        <v/>
      </c>
      <c r="D1946" s="28">
        <f>IFERROR(IF(AND(ISNUMBER(B1946),ISNUMBER(B1945),B1945&lt;&gt;0),B1946/B1945-1,""),"")</f>
        <v/>
      </c>
      <c r="E1946" s="28">
        <f>IFERROR(IF(AND(ISNUMBER(C1946),ISNUMBER(C1945),C1945&lt;&gt;0),C1946/C1945-1,""),"")</f>
        <v/>
      </c>
      <c r="F1946" s="28">
        <f>IFERROR(D1946-Dashboard!$B$4/252,"")</f>
        <v/>
      </c>
      <c r="G1946" s="28">
        <f>IFERROR(E1946-Dashboard!$B$4/252,"")</f>
        <v/>
      </c>
      <c r="H1946" s="8">
        <f>IFERROR(IF(ISNUMBER(B1946),MAX(B1946,IFERROR(H1945,B1946)),""),"")</f>
        <v/>
      </c>
      <c r="I1946" s="29">
        <f>IFERROR(IF(AND(ISNUMBER(B1946),ISNUMBER(H1946)),B1946/H1946-1,""),"")</f>
        <v/>
      </c>
      <c r="J1946" s="8">
        <f>IFERROR(IF(ISNUMBER(C1946),MAX(C1946,IFERROR(J1945,C1946)),""),"")</f>
        <v/>
      </c>
      <c r="K1946" s="29">
        <f>IFERROR(IF(AND(ISNUMBER(C1946),ISNUMBER(J1946)),C1946/J1946-1,""),"")</f>
        <v/>
      </c>
      <c r="L1946" s="28">
        <f>IFERROR(IF(AND(ISNUMBER(D1946),ISNUMBER(E1946)),D1946-E1946,""),"")</f>
        <v/>
      </c>
    </row>
    <row r="1947">
      <c r="A1947" s="7">
        <f>IFERROR(Datos!A1947,"")</f>
        <v/>
      </c>
      <c r="B1947" s="8">
        <f>IFERROR(Datos!B1947,"")</f>
        <v/>
      </c>
      <c r="C1947" s="8">
        <f>IFERROR(Datos!C1947,"")</f>
        <v/>
      </c>
      <c r="D1947" s="28">
        <f>IFERROR(IF(AND(ISNUMBER(B1947),ISNUMBER(B1946),B1946&lt;&gt;0),B1947/B1946-1,""),"")</f>
        <v/>
      </c>
      <c r="E1947" s="28">
        <f>IFERROR(IF(AND(ISNUMBER(C1947),ISNUMBER(C1946),C1946&lt;&gt;0),C1947/C1946-1,""),"")</f>
        <v/>
      </c>
      <c r="F1947" s="28">
        <f>IFERROR(D1947-Dashboard!$B$4/252,"")</f>
        <v/>
      </c>
      <c r="G1947" s="28">
        <f>IFERROR(E1947-Dashboard!$B$4/252,"")</f>
        <v/>
      </c>
      <c r="H1947" s="8">
        <f>IFERROR(IF(ISNUMBER(B1947),MAX(B1947,IFERROR(H1946,B1947)),""),"")</f>
        <v/>
      </c>
      <c r="I1947" s="29">
        <f>IFERROR(IF(AND(ISNUMBER(B1947),ISNUMBER(H1947)),B1947/H1947-1,""),"")</f>
        <v/>
      </c>
      <c r="J1947" s="8">
        <f>IFERROR(IF(ISNUMBER(C1947),MAX(C1947,IFERROR(J1946,C1947)),""),"")</f>
        <v/>
      </c>
      <c r="K1947" s="29">
        <f>IFERROR(IF(AND(ISNUMBER(C1947),ISNUMBER(J1947)),C1947/J1947-1,""),"")</f>
        <v/>
      </c>
      <c r="L1947" s="28">
        <f>IFERROR(IF(AND(ISNUMBER(D1947),ISNUMBER(E1947)),D1947-E1947,""),"")</f>
        <v/>
      </c>
    </row>
    <row r="1948">
      <c r="A1948" s="7">
        <f>IFERROR(Datos!A1948,"")</f>
        <v/>
      </c>
      <c r="B1948" s="8">
        <f>IFERROR(Datos!B1948,"")</f>
        <v/>
      </c>
      <c r="C1948" s="8">
        <f>IFERROR(Datos!C1948,"")</f>
        <v/>
      </c>
      <c r="D1948" s="28">
        <f>IFERROR(IF(AND(ISNUMBER(B1948),ISNUMBER(B1947),B1947&lt;&gt;0),B1948/B1947-1,""),"")</f>
        <v/>
      </c>
      <c r="E1948" s="28">
        <f>IFERROR(IF(AND(ISNUMBER(C1948),ISNUMBER(C1947),C1947&lt;&gt;0),C1948/C1947-1,""),"")</f>
        <v/>
      </c>
      <c r="F1948" s="28">
        <f>IFERROR(D1948-Dashboard!$B$4/252,"")</f>
        <v/>
      </c>
      <c r="G1948" s="28">
        <f>IFERROR(E1948-Dashboard!$B$4/252,"")</f>
        <v/>
      </c>
      <c r="H1948" s="8">
        <f>IFERROR(IF(ISNUMBER(B1948),MAX(B1948,IFERROR(H1947,B1948)),""),"")</f>
        <v/>
      </c>
      <c r="I1948" s="29">
        <f>IFERROR(IF(AND(ISNUMBER(B1948),ISNUMBER(H1948)),B1948/H1948-1,""),"")</f>
        <v/>
      </c>
      <c r="J1948" s="8">
        <f>IFERROR(IF(ISNUMBER(C1948),MAX(C1948,IFERROR(J1947,C1948)),""),"")</f>
        <v/>
      </c>
      <c r="K1948" s="29">
        <f>IFERROR(IF(AND(ISNUMBER(C1948),ISNUMBER(J1948)),C1948/J1948-1,""),"")</f>
        <v/>
      </c>
      <c r="L1948" s="28">
        <f>IFERROR(IF(AND(ISNUMBER(D1948),ISNUMBER(E1948)),D1948-E1948,""),"")</f>
        <v/>
      </c>
    </row>
    <row r="1949">
      <c r="A1949" s="7">
        <f>IFERROR(Datos!A1949,"")</f>
        <v/>
      </c>
      <c r="B1949" s="8">
        <f>IFERROR(Datos!B1949,"")</f>
        <v/>
      </c>
      <c r="C1949" s="8">
        <f>IFERROR(Datos!C1949,"")</f>
        <v/>
      </c>
      <c r="D1949" s="28">
        <f>IFERROR(IF(AND(ISNUMBER(B1949),ISNUMBER(B1948),B1948&lt;&gt;0),B1949/B1948-1,""),"")</f>
        <v/>
      </c>
      <c r="E1949" s="28">
        <f>IFERROR(IF(AND(ISNUMBER(C1949),ISNUMBER(C1948),C1948&lt;&gt;0),C1949/C1948-1,""),"")</f>
        <v/>
      </c>
      <c r="F1949" s="28">
        <f>IFERROR(D1949-Dashboard!$B$4/252,"")</f>
        <v/>
      </c>
      <c r="G1949" s="28">
        <f>IFERROR(E1949-Dashboard!$B$4/252,"")</f>
        <v/>
      </c>
      <c r="H1949" s="8">
        <f>IFERROR(IF(ISNUMBER(B1949),MAX(B1949,IFERROR(H1948,B1949)),""),"")</f>
        <v/>
      </c>
      <c r="I1949" s="29">
        <f>IFERROR(IF(AND(ISNUMBER(B1949),ISNUMBER(H1949)),B1949/H1949-1,""),"")</f>
        <v/>
      </c>
      <c r="J1949" s="8">
        <f>IFERROR(IF(ISNUMBER(C1949),MAX(C1949,IFERROR(J1948,C1949)),""),"")</f>
        <v/>
      </c>
      <c r="K1949" s="29">
        <f>IFERROR(IF(AND(ISNUMBER(C1949),ISNUMBER(J1949)),C1949/J1949-1,""),"")</f>
        <v/>
      </c>
      <c r="L1949" s="28">
        <f>IFERROR(IF(AND(ISNUMBER(D1949),ISNUMBER(E1949)),D1949-E1949,""),"")</f>
        <v/>
      </c>
    </row>
    <row r="1950">
      <c r="A1950" s="7">
        <f>IFERROR(Datos!A1950,"")</f>
        <v/>
      </c>
      <c r="B1950" s="8">
        <f>IFERROR(Datos!B1950,"")</f>
        <v/>
      </c>
      <c r="C1950" s="8">
        <f>IFERROR(Datos!C1950,"")</f>
        <v/>
      </c>
      <c r="D1950" s="28">
        <f>IFERROR(IF(AND(ISNUMBER(B1950),ISNUMBER(B1949),B1949&lt;&gt;0),B1950/B1949-1,""),"")</f>
        <v/>
      </c>
      <c r="E1950" s="28">
        <f>IFERROR(IF(AND(ISNUMBER(C1950),ISNUMBER(C1949),C1949&lt;&gt;0),C1950/C1949-1,""),"")</f>
        <v/>
      </c>
      <c r="F1950" s="28">
        <f>IFERROR(D1950-Dashboard!$B$4/252,"")</f>
        <v/>
      </c>
      <c r="G1950" s="28">
        <f>IFERROR(E1950-Dashboard!$B$4/252,"")</f>
        <v/>
      </c>
      <c r="H1950" s="8">
        <f>IFERROR(IF(ISNUMBER(B1950),MAX(B1950,IFERROR(H1949,B1950)),""),"")</f>
        <v/>
      </c>
      <c r="I1950" s="29">
        <f>IFERROR(IF(AND(ISNUMBER(B1950),ISNUMBER(H1950)),B1950/H1950-1,""),"")</f>
        <v/>
      </c>
      <c r="J1950" s="8">
        <f>IFERROR(IF(ISNUMBER(C1950),MAX(C1950,IFERROR(J1949,C1950)),""),"")</f>
        <v/>
      </c>
      <c r="K1950" s="29">
        <f>IFERROR(IF(AND(ISNUMBER(C1950),ISNUMBER(J1950)),C1950/J1950-1,""),"")</f>
        <v/>
      </c>
      <c r="L1950" s="28">
        <f>IFERROR(IF(AND(ISNUMBER(D1950),ISNUMBER(E1950)),D1950-E1950,""),"")</f>
        <v/>
      </c>
    </row>
    <row r="1951">
      <c r="A1951" s="7">
        <f>IFERROR(Datos!A1951,"")</f>
        <v/>
      </c>
      <c r="B1951" s="8">
        <f>IFERROR(Datos!B1951,"")</f>
        <v/>
      </c>
      <c r="C1951" s="8">
        <f>IFERROR(Datos!C1951,"")</f>
        <v/>
      </c>
      <c r="D1951" s="28">
        <f>IFERROR(IF(AND(ISNUMBER(B1951),ISNUMBER(B1950),B1950&lt;&gt;0),B1951/B1950-1,""),"")</f>
        <v/>
      </c>
      <c r="E1951" s="28">
        <f>IFERROR(IF(AND(ISNUMBER(C1951),ISNUMBER(C1950),C1950&lt;&gt;0),C1951/C1950-1,""),"")</f>
        <v/>
      </c>
      <c r="F1951" s="28">
        <f>IFERROR(D1951-Dashboard!$B$4/252,"")</f>
        <v/>
      </c>
      <c r="G1951" s="28">
        <f>IFERROR(E1951-Dashboard!$B$4/252,"")</f>
        <v/>
      </c>
      <c r="H1951" s="8">
        <f>IFERROR(IF(ISNUMBER(B1951),MAX(B1951,IFERROR(H1950,B1951)),""),"")</f>
        <v/>
      </c>
      <c r="I1951" s="29">
        <f>IFERROR(IF(AND(ISNUMBER(B1951),ISNUMBER(H1951)),B1951/H1951-1,""),"")</f>
        <v/>
      </c>
      <c r="J1951" s="8">
        <f>IFERROR(IF(ISNUMBER(C1951),MAX(C1951,IFERROR(J1950,C1951)),""),"")</f>
        <v/>
      </c>
      <c r="K1951" s="29">
        <f>IFERROR(IF(AND(ISNUMBER(C1951),ISNUMBER(J1951)),C1951/J1951-1,""),"")</f>
        <v/>
      </c>
      <c r="L1951" s="28">
        <f>IFERROR(IF(AND(ISNUMBER(D1951),ISNUMBER(E1951)),D1951-E1951,""),"")</f>
        <v/>
      </c>
    </row>
    <row r="1952">
      <c r="A1952" s="7">
        <f>IFERROR(Datos!A1952,"")</f>
        <v/>
      </c>
      <c r="B1952" s="8">
        <f>IFERROR(Datos!B1952,"")</f>
        <v/>
      </c>
      <c r="C1952" s="8">
        <f>IFERROR(Datos!C1952,"")</f>
        <v/>
      </c>
      <c r="D1952" s="28">
        <f>IFERROR(IF(AND(ISNUMBER(B1952),ISNUMBER(B1951),B1951&lt;&gt;0),B1952/B1951-1,""),"")</f>
        <v/>
      </c>
      <c r="E1952" s="28">
        <f>IFERROR(IF(AND(ISNUMBER(C1952),ISNUMBER(C1951),C1951&lt;&gt;0),C1952/C1951-1,""),"")</f>
        <v/>
      </c>
      <c r="F1952" s="28">
        <f>IFERROR(D1952-Dashboard!$B$4/252,"")</f>
        <v/>
      </c>
      <c r="G1952" s="28">
        <f>IFERROR(E1952-Dashboard!$B$4/252,"")</f>
        <v/>
      </c>
      <c r="H1952" s="8">
        <f>IFERROR(IF(ISNUMBER(B1952),MAX(B1952,IFERROR(H1951,B1952)),""),"")</f>
        <v/>
      </c>
      <c r="I1952" s="29">
        <f>IFERROR(IF(AND(ISNUMBER(B1952),ISNUMBER(H1952)),B1952/H1952-1,""),"")</f>
        <v/>
      </c>
      <c r="J1952" s="8">
        <f>IFERROR(IF(ISNUMBER(C1952),MAX(C1952,IFERROR(J1951,C1952)),""),"")</f>
        <v/>
      </c>
      <c r="K1952" s="29">
        <f>IFERROR(IF(AND(ISNUMBER(C1952),ISNUMBER(J1952)),C1952/J1952-1,""),"")</f>
        <v/>
      </c>
      <c r="L1952" s="28">
        <f>IFERROR(IF(AND(ISNUMBER(D1952),ISNUMBER(E1952)),D1952-E1952,""),"")</f>
        <v/>
      </c>
    </row>
    <row r="1953">
      <c r="A1953" s="7">
        <f>IFERROR(Datos!A1953,"")</f>
        <v/>
      </c>
      <c r="B1953" s="8">
        <f>IFERROR(Datos!B1953,"")</f>
        <v/>
      </c>
      <c r="C1953" s="8">
        <f>IFERROR(Datos!C1953,"")</f>
        <v/>
      </c>
      <c r="D1953" s="28">
        <f>IFERROR(IF(AND(ISNUMBER(B1953),ISNUMBER(B1952),B1952&lt;&gt;0),B1953/B1952-1,""),"")</f>
        <v/>
      </c>
      <c r="E1953" s="28">
        <f>IFERROR(IF(AND(ISNUMBER(C1953),ISNUMBER(C1952),C1952&lt;&gt;0),C1953/C1952-1,""),"")</f>
        <v/>
      </c>
      <c r="F1953" s="28">
        <f>IFERROR(D1953-Dashboard!$B$4/252,"")</f>
        <v/>
      </c>
      <c r="G1953" s="28">
        <f>IFERROR(E1953-Dashboard!$B$4/252,"")</f>
        <v/>
      </c>
      <c r="H1953" s="8">
        <f>IFERROR(IF(ISNUMBER(B1953),MAX(B1953,IFERROR(H1952,B1953)),""),"")</f>
        <v/>
      </c>
      <c r="I1953" s="29">
        <f>IFERROR(IF(AND(ISNUMBER(B1953),ISNUMBER(H1953)),B1953/H1953-1,""),"")</f>
        <v/>
      </c>
      <c r="J1953" s="8">
        <f>IFERROR(IF(ISNUMBER(C1953),MAX(C1953,IFERROR(J1952,C1953)),""),"")</f>
        <v/>
      </c>
      <c r="K1953" s="29">
        <f>IFERROR(IF(AND(ISNUMBER(C1953),ISNUMBER(J1953)),C1953/J1953-1,""),"")</f>
        <v/>
      </c>
      <c r="L1953" s="28">
        <f>IFERROR(IF(AND(ISNUMBER(D1953),ISNUMBER(E1953)),D1953-E1953,""),"")</f>
        <v/>
      </c>
    </row>
    <row r="1954">
      <c r="A1954" s="7">
        <f>IFERROR(Datos!A1954,"")</f>
        <v/>
      </c>
      <c r="B1954" s="8">
        <f>IFERROR(Datos!B1954,"")</f>
        <v/>
      </c>
      <c r="C1954" s="8">
        <f>IFERROR(Datos!C1954,"")</f>
        <v/>
      </c>
      <c r="D1954" s="28">
        <f>IFERROR(IF(AND(ISNUMBER(B1954),ISNUMBER(B1953),B1953&lt;&gt;0),B1954/B1953-1,""),"")</f>
        <v/>
      </c>
      <c r="E1954" s="28">
        <f>IFERROR(IF(AND(ISNUMBER(C1954),ISNUMBER(C1953),C1953&lt;&gt;0),C1954/C1953-1,""),"")</f>
        <v/>
      </c>
      <c r="F1954" s="28">
        <f>IFERROR(D1954-Dashboard!$B$4/252,"")</f>
        <v/>
      </c>
      <c r="G1954" s="28">
        <f>IFERROR(E1954-Dashboard!$B$4/252,"")</f>
        <v/>
      </c>
      <c r="H1954" s="8">
        <f>IFERROR(IF(ISNUMBER(B1954),MAX(B1954,IFERROR(H1953,B1954)),""),"")</f>
        <v/>
      </c>
      <c r="I1954" s="29">
        <f>IFERROR(IF(AND(ISNUMBER(B1954),ISNUMBER(H1954)),B1954/H1954-1,""),"")</f>
        <v/>
      </c>
      <c r="J1954" s="8">
        <f>IFERROR(IF(ISNUMBER(C1954),MAX(C1954,IFERROR(J1953,C1954)),""),"")</f>
        <v/>
      </c>
      <c r="K1954" s="29">
        <f>IFERROR(IF(AND(ISNUMBER(C1954),ISNUMBER(J1954)),C1954/J1954-1,""),"")</f>
        <v/>
      </c>
      <c r="L1954" s="28">
        <f>IFERROR(IF(AND(ISNUMBER(D1954),ISNUMBER(E1954)),D1954-E1954,""),"")</f>
        <v/>
      </c>
    </row>
    <row r="1955">
      <c r="A1955" s="7">
        <f>IFERROR(Datos!A1955,"")</f>
        <v/>
      </c>
      <c r="B1955" s="8">
        <f>IFERROR(Datos!B1955,"")</f>
        <v/>
      </c>
      <c r="C1955" s="8">
        <f>IFERROR(Datos!C1955,"")</f>
        <v/>
      </c>
      <c r="D1955" s="28">
        <f>IFERROR(IF(AND(ISNUMBER(B1955),ISNUMBER(B1954),B1954&lt;&gt;0),B1955/B1954-1,""),"")</f>
        <v/>
      </c>
      <c r="E1955" s="28">
        <f>IFERROR(IF(AND(ISNUMBER(C1955),ISNUMBER(C1954),C1954&lt;&gt;0),C1955/C1954-1,""),"")</f>
        <v/>
      </c>
      <c r="F1955" s="28">
        <f>IFERROR(D1955-Dashboard!$B$4/252,"")</f>
        <v/>
      </c>
      <c r="G1955" s="28">
        <f>IFERROR(E1955-Dashboard!$B$4/252,"")</f>
        <v/>
      </c>
      <c r="H1955" s="8">
        <f>IFERROR(IF(ISNUMBER(B1955),MAX(B1955,IFERROR(H1954,B1955)),""),"")</f>
        <v/>
      </c>
      <c r="I1955" s="29">
        <f>IFERROR(IF(AND(ISNUMBER(B1955),ISNUMBER(H1955)),B1955/H1955-1,""),"")</f>
        <v/>
      </c>
      <c r="J1955" s="8">
        <f>IFERROR(IF(ISNUMBER(C1955),MAX(C1955,IFERROR(J1954,C1955)),""),"")</f>
        <v/>
      </c>
      <c r="K1955" s="29">
        <f>IFERROR(IF(AND(ISNUMBER(C1955),ISNUMBER(J1955)),C1955/J1955-1,""),"")</f>
        <v/>
      </c>
      <c r="L1955" s="28">
        <f>IFERROR(IF(AND(ISNUMBER(D1955),ISNUMBER(E1955)),D1955-E1955,""),"")</f>
        <v/>
      </c>
    </row>
    <row r="1956">
      <c r="A1956" s="7">
        <f>IFERROR(Datos!A1956,"")</f>
        <v/>
      </c>
      <c r="B1956" s="8">
        <f>IFERROR(Datos!B1956,"")</f>
        <v/>
      </c>
      <c r="C1956" s="8">
        <f>IFERROR(Datos!C1956,"")</f>
        <v/>
      </c>
      <c r="D1956" s="28">
        <f>IFERROR(IF(AND(ISNUMBER(B1956),ISNUMBER(B1955),B1955&lt;&gt;0),B1956/B1955-1,""),"")</f>
        <v/>
      </c>
      <c r="E1956" s="28">
        <f>IFERROR(IF(AND(ISNUMBER(C1956),ISNUMBER(C1955),C1955&lt;&gt;0),C1956/C1955-1,""),"")</f>
        <v/>
      </c>
      <c r="F1956" s="28">
        <f>IFERROR(D1956-Dashboard!$B$4/252,"")</f>
        <v/>
      </c>
      <c r="G1956" s="28">
        <f>IFERROR(E1956-Dashboard!$B$4/252,"")</f>
        <v/>
      </c>
      <c r="H1956" s="8">
        <f>IFERROR(IF(ISNUMBER(B1956),MAX(B1956,IFERROR(H1955,B1956)),""),"")</f>
        <v/>
      </c>
      <c r="I1956" s="29">
        <f>IFERROR(IF(AND(ISNUMBER(B1956),ISNUMBER(H1956)),B1956/H1956-1,""),"")</f>
        <v/>
      </c>
      <c r="J1956" s="8">
        <f>IFERROR(IF(ISNUMBER(C1956),MAX(C1956,IFERROR(J1955,C1956)),""),"")</f>
        <v/>
      </c>
      <c r="K1956" s="29">
        <f>IFERROR(IF(AND(ISNUMBER(C1956),ISNUMBER(J1956)),C1956/J1956-1,""),"")</f>
        <v/>
      </c>
      <c r="L1956" s="28">
        <f>IFERROR(IF(AND(ISNUMBER(D1956),ISNUMBER(E1956)),D1956-E1956,""),"")</f>
        <v/>
      </c>
    </row>
    <row r="1957">
      <c r="A1957" s="7">
        <f>IFERROR(Datos!A1957,"")</f>
        <v/>
      </c>
      <c r="B1957" s="8">
        <f>IFERROR(Datos!B1957,"")</f>
        <v/>
      </c>
      <c r="C1957" s="8">
        <f>IFERROR(Datos!C1957,"")</f>
        <v/>
      </c>
      <c r="D1957" s="28">
        <f>IFERROR(IF(AND(ISNUMBER(B1957),ISNUMBER(B1956),B1956&lt;&gt;0),B1957/B1956-1,""),"")</f>
        <v/>
      </c>
      <c r="E1957" s="28">
        <f>IFERROR(IF(AND(ISNUMBER(C1957),ISNUMBER(C1956),C1956&lt;&gt;0),C1957/C1956-1,""),"")</f>
        <v/>
      </c>
      <c r="F1957" s="28">
        <f>IFERROR(D1957-Dashboard!$B$4/252,"")</f>
        <v/>
      </c>
      <c r="G1957" s="28">
        <f>IFERROR(E1957-Dashboard!$B$4/252,"")</f>
        <v/>
      </c>
      <c r="H1957" s="8">
        <f>IFERROR(IF(ISNUMBER(B1957),MAX(B1957,IFERROR(H1956,B1957)),""),"")</f>
        <v/>
      </c>
      <c r="I1957" s="29">
        <f>IFERROR(IF(AND(ISNUMBER(B1957),ISNUMBER(H1957)),B1957/H1957-1,""),"")</f>
        <v/>
      </c>
      <c r="J1957" s="8">
        <f>IFERROR(IF(ISNUMBER(C1957),MAX(C1957,IFERROR(J1956,C1957)),""),"")</f>
        <v/>
      </c>
      <c r="K1957" s="29">
        <f>IFERROR(IF(AND(ISNUMBER(C1957),ISNUMBER(J1957)),C1957/J1957-1,""),"")</f>
        <v/>
      </c>
      <c r="L1957" s="28">
        <f>IFERROR(IF(AND(ISNUMBER(D1957),ISNUMBER(E1957)),D1957-E1957,""),"")</f>
        <v/>
      </c>
    </row>
    <row r="1958">
      <c r="A1958" s="7">
        <f>IFERROR(Datos!A1958,"")</f>
        <v/>
      </c>
      <c r="B1958" s="8">
        <f>IFERROR(Datos!B1958,"")</f>
        <v/>
      </c>
      <c r="C1958" s="8">
        <f>IFERROR(Datos!C1958,"")</f>
        <v/>
      </c>
      <c r="D1958" s="28">
        <f>IFERROR(IF(AND(ISNUMBER(B1958),ISNUMBER(B1957),B1957&lt;&gt;0),B1958/B1957-1,""),"")</f>
        <v/>
      </c>
      <c r="E1958" s="28">
        <f>IFERROR(IF(AND(ISNUMBER(C1958),ISNUMBER(C1957),C1957&lt;&gt;0),C1958/C1957-1,""),"")</f>
        <v/>
      </c>
      <c r="F1958" s="28">
        <f>IFERROR(D1958-Dashboard!$B$4/252,"")</f>
        <v/>
      </c>
      <c r="G1958" s="28">
        <f>IFERROR(E1958-Dashboard!$B$4/252,"")</f>
        <v/>
      </c>
      <c r="H1958" s="8">
        <f>IFERROR(IF(ISNUMBER(B1958),MAX(B1958,IFERROR(H1957,B1958)),""),"")</f>
        <v/>
      </c>
      <c r="I1958" s="29">
        <f>IFERROR(IF(AND(ISNUMBER(B1958),ISNUMBER(H1958)),B1958/H1958-1,""),"")</f>
        <v/>
      </c>
      <c r="J1958" s="8">
        <f>IFERROR(IF(ISNUMBER(C1958),MAX(C1958,IFERROR(J1957,C1958)),""),"")</f>
        <v/>
      </c>
      <c r="K1958" s="29">
        <f>IFERROR(IF(AND(ISNUMBER(C1958),ISNUMBER(J1958)),C1958/J1958-1,""),"")</f>
        <v/>
      </c>
      <c r="L1958" s="28">
        <f>IFERROR(IF(AND(ISNUMBER(D1958),ISNUMBER(E1958)),D1958-E1958,""),"")</f>
        <v/>
      </c>
    </row>
    <row r="1959">
      <c r="A1959" s="7">
        <f>IFERROR(Datos!A1959,"")</f>
        <v/>
      </c>
      <c r="B1959" s="8">
        <f>IFERROR(Datos!B1959,"")</f>
        <v/>
      </c>
      <c r="C1959" s="8">
        <f>IFERROR(Datos!C1959,"")</f>
        <v/>
      </c>
      <c r="D1959" s="28">
        <f>IFERROR(IF(AND(ISNUMBER(B1959),ISNUMBER(B1958),B1958&lt;&gt;0),B1959/B1958-1,""),"")</f>
        <v/>
      </c>
      <c r="E1959" s="28">
        <f>IFERROR(IF(AND(ISNUMBER(C1959),ISNUMBER(C1958),C1958&lt;&gt;0),C1959/C1958-1,""),"")</f>
        <v/>
      </c>
      <c r="F1959" s="28">
        <f>IFERROR(D1959-Dashboard!$B$4/252,"")</f>
        <v/>
      </c>
      <c r="G1959" s="28">
        <f>IFERROR(E1959-Dashboard!$B$4/252,"")</f>
        <v/>
      </c>
      <c r="H1959" s="8">
        <f>IFERROR(IF(ISNUMBER(B1959),MAX(B1959,IFERROR(H1958,B1959)),""),"")</f>
        <v/>
      </c>
      <c r="I1959" s="29">
        <f>IFERROR(IF(AND(ISNUMBER(B1959),ISNUMBER(H1959)),B1959/H1959-1,""),"")</f>
        <v/>
      </c>
      <c r="J1959" s="8">
        <f>IFERROR(IF(ISNUMBER(C1959),MAX(C1959,IFERROR(J1958,C1959)),""),"")</f>
        <v/>
      </c>
      <c r="K1959" s="29">
        <f>IFERROR(IF(AND(ISNUMBER(C1959),ISNUMBER(J1959)),C1959/J1959-1,""),"")</f>
        <v/>
      </c>
      <c r="L1959" s="28">
        <f>IFERROR(IF(AND(ISNUMBER(D1959),ISNUMBER(E1959)),D1959-E1959,""),"")</f>
        <v/>
      </c>
    </row>
    <row r="1960">
      <c r="A1960" s="7">
        <f>IFERROR(Datos!A1960,"")</f>
        <v/>
      </c>
      <c r="B1960" s="8">
        <f>IFERROR(Datos!B1960,"")</f>
        <v/>
      </c>
      <c r="C1960" s="8">
        <f>IFERROR(Datos!C1960,"")</f>
        <v/>
      </c>
      <c r="D1960" s="28">
        <f>IFERROR(IF(AND(ISNUMBER(B1960),ISNUMBER(B1959),B1959&lt;&gt;0),B1960/B1959-1,""),"")</f>
        <v/>
      </c>
      <c r="E1960" s="28">
        <f>IFERROR(IF(AND(ISNUMBER(C1960),ISNUMBER(C1959),C1959&lt;&gt;0),C1960/C1959-1,""),"")</f>
        <v/>
      </c>
      <c r="F1960" s="28">
        <f>IFERROR(D1960-Dashboard!$B$4/252,"")</f>
        <v/>
      </c>
      <c r="G1960" s="28">
        <f>IFERROR(E1960-Dashboard!$B$4/252,"")</f>
        <v/>
      </c>
      <c r="H1960" s="8">
        <f>IFERROR(IF(ISNUMBER(B1960),MAX(B1960,IFERROR(H1959,B1960)),""),"")</f>
        <v/>
      </c>
      <c r="I1960" s="29">
        <f>IFERROR(IF(AND(ISNUMBER(B1960),ISNUMBER(H1960)),B1960/H1960-1,""),"")</f>
        <v/>
      </c>
      <c r="J1960" s="8">
        <f>IFERROR(IF(ISNUMBER(C1960),MAX(C1960,IFERROR(J1959,C1960)),""),"")</f>
        <v/>
      </c>
      <c r="K1960" s="29">
        <f>IFERROR(IF(AND(ISNUMBER(C1960),ISNUMBER(J1960)),C1960/J1960-1,""),"")</f>
        <v/>
      </c>
      <c r="L1960" s="28">
        <f>IFERROR(IF(AND(ISNUMBER(D1960),ISNUMBER(E1960)),D1960-E1960,""),"")</f>
        <v/>
      </c>
    </row>
    <row r="1961">
      <c r="A1961" s="7">
        <f>IFERROR(Datos!A1961,"")</f>
        <v/>
      </c>
      <c r="B1961" s="8">
        <f>IFERROR(Datos!B1961,"")</f>
        <v/>
      </c>
      <c r="C1961" s="8">
        <f>IFERROR(Datos!C1961,"")</f>
        <v/>
      </c>
      <c r="D1961" s="28">
        <f>IFERROR(IF(AND(ISNUMBER(B1961),ISNUMBER(B1960),B1960&lt;&gt;0),B1961/B1960-1,""),"")</f>
        <v/>
      </c>
      <c r="E1961" s="28">
        <f>IFERROR(IF(AND(ISNUMBER(C1961),ISNUMBER(C1960),C1960&lt;&gt;0),C1961/C1960-1,""),"")</f>
        <v/>
      </c>
      <c r="F1961" s="28">
        <f>IFERROR(D1961-Dashboard!$B$4/252,"")</f>
        <v/>
      </c>
      <c r="G1961" s="28">
        <f>IFERROR(E1961-Dashboard!$B$4/252,"")</f>
        <v/>
      </c>
      <c r="H1961" s="8">
        <f>IFERROR(IF(ISNUMBER(B1961),MAX(B1961,IFERROR(H1960,B1961)),""),"")</f>
        <v/>
      </c>
      <c r="I1961" s="29">
        <f>IFERROR(IF(AND(ISNUMBER(B1961),ISNUMBER(H1961)),B1961/H1961-1,""),"")</f>
        <v/>
      </c>
      <c r="J1961" s="8">
        <f>IFERROR(IF(ISNUMBER(C1961),MAX(C1961,IFERROR(J1960,C1961)),""),"")</f>
        <v/>
      </c>
      <c r="K1961" s="29">
        <f>IFERROR(IF(AND(ISNUMBER(C1961),ISNUMBER(J1961)),C1961/J1961-1,""),"")</f>
        <v/>
      </c>
      <c r="L1961" s="28">
        <f>IFERROR(IF(AND(ISNUMBER(D1961),ISNUMBER(E1961)),D1961-E1961,""),"")</f>
        <v/>
      </c>
    </row>
    <row r="1962">
      <c r="A1962" s="7">
        <f>IFERROR(Datos!A1962,"")</f>
        <v/>
      </c>
      <c r="B1962" s="8">
        <f>IFERROR(Datos!B1962,"")</f>
        <v/>
      </c>
      <c r="C1962" s="8">
        <f>IFERROR(Datos!C1962,"")</f>
        <v/>
      </c>
      <c r="D1962" s="28">
        <f>IFERROR(IF(AND(ISNUMBER(B1962),ISNUMBER(B1961),B1961&lt;&gt;0),B1962/B1961-1,""),"")</f>
        <v/>
      </c>
      <c r="E1962" s="28">
        <f>IFERROR(IF(AND(ISNUMBER(C1962),ISNUMBER(C1961),C1961&lt;&gt;0),C1962/C1961-1,""),"")</f>
        <v/>
      </c>
      <c r="F1962" s="28">
        <f>IFERROR(D1962-Dashboard!$B$4/252,"")</f>
        <v/>
      </c>
      <c r="G1962" s="28">
        <f>IFERROR(E1962-Dashboard!$B$4/252,"")</f>
        <v/>
      </c>
      <c r="H1962" s="8">
        <f>IFERROR(IF(ISNUMBER(B1962),MAX(B1962,IFERROR(H1961,B1962)),""),"")</f>
        <v/>
      </c>
      <c r="I1962" s="29">
        <f>IFERROR(IF(AND(ISNUMBER(B1962),ISNUMBER(H1962)),B1962/H1962-1,""),"")</f>
        <v/>
      </c>
      <c r="J1962" s="8">
        <f>IFERROR(IF(ISNUMBER(C1962),MAX(C1962,IFERROR(J1961,C1962)),""),"")</f>
        <v/>
      </c>
      <c r="K1962" s="29">
        <f>IFERROR(IF(AND(ISNUMBER(C1962),ISNUMBER(J1962)),C1962/J1962-1,""),"")</f>
        <v/>
      </c>
      <c r="L1962" s="28">
        <f>IFERROR(IF(AND(ISNUMBER(D1962),ISNUMBER(E1962)),D1962-E1962,""),"")</f>
        <v/>
      </c>
    </row>
    <row r="1963">
      <c r="A1963" s="7">
        <f>IFERROR(Datos!A1963,"")</f>
        <v/>
      </c>
      <c r="B1963" s="8">
        <f>IFERROR(Datos!B1963,"")</f>
        <v/>
      </c>
      <c r="C1963" s="8">
        <f>IFERROR(Datos!C1963,"")</f>
        <v/>
      </c>
      <c r="D1963" s="28">
        <f>IFERROR(IF(AND(ISNUMBER(B1963),ISNUMBER(B1962),B1962&lt;&gt;0),B1963/B1962-1,""),"")</f>
        <v/>
      </c>
      <c r="E1963" s="28">
        <f>IFERROR(IF(AND(ISNUMBER(C1963),ISNUMBER(C1962),C1962&lt;&gt;0),C1963/C1962-1,""),"")</f>
        <v/>
      </c>
      <c r="F1963" s="28">
        <f>IFERROR(D1963-Dashboard!$B$4/252,"")</f>
        <v/>
      </c>
      <c r="G1963" s="28">
        <f>IFERROR(E1963-Dashboard!$B$4/252,"")</f>
        <v/>
      </c>
      <c r="H1963" s="8">
        <f>IFERROR(IF(ISNUMBER(B1963),MAX(B1963,IFERROR(H1962,B1963)),""),"")</f>
        <v/>
      </c>
      <c r="I1963" s="29">
        <f>IFERROR(IF(AND(ISNUMBER(B1963),ISNUMBER(H1963)),B1963/H1963-1,""),"")</f>
        <v/>
      </c>
      <c r="J1963" s="8">
        <f>IFERROR(IF(ISNUMBER(C1963),MAX(C1963,IFERROR(J1962,C1963)),""),"")</f>
        <v/>
      </c>
      <c r="K1963" s="29">
        <f>IFERROR(IF(AND(ISNUMBER(C1963),ISNUMBER(J1963)),C1963/J1963-1,""),"")</f>
        <v/>
      </c>
      <c r="L1963" s="28">
        <f>IFERROR(IF(AND(ISNUMBER(D1963),ISNUMBER(E1963)),D1963-E1963,""),"")</f>
        <v/>
      </c>
    </row>
    <row r="1964">
      <c r="A1964" s="7">
        <f>IFERROR(Datos!A1964,"")</f>
        <v/>
      </c>
      <c r="B1964" s="8">
        <f>IFERROR(Datos!B1964,"")</f>
        <v/>
      </c>
      <c r="C1964" s="8">
        <f>IFERROR(Datos!C1964,"")</f>
        <v/>
      </c>
      <c r="D1964" s="28">
        <f>IFERROR(IF(AND(ISNUMBER(B1964),ISNUMBER(B1963),B1963&lt;&gt;0),B1964/B1963-1,""),"")</f>
        <v/>
      </c>
      <c r="E1964" s="28">
        <f>IFERROR(IF(AND(ISNUMBER(C1964),ISNUMBER(C1963),C1963&lt;&gt;0),C1964/C1963-1,""),"")</f>
        <v/>
      </c>
      <c r="F1964" s="28">
        <f>IFERROR(D1964-Dashboard!$B$4/252,"")</f>
        <v/>
      </c>
      <c r="G1964" s="28">
        <f>IFERROR(E1964-Dashboard!$B$4/252,"")</f>
        <v/>
      </c>
      <c r="H1964" s="8">
        <f>IFERROR(IF(ISNUMBER(B1964),MAX(B1964,IFERROR(H1963,B1964)),""),"")</f>
        <v/>
      </c>
      <c r="I1964" s="29">
        <f>IFERROR(IF(AND(ISNUMBER(B1964),ISNUMBER(H1964)),B1964/H1964-1,""),"")</f>
        <v/>
      </c>
      <c r="J1964" s="8">
        <f>IFERROR(IF(ISNUMBER(C1964),MAX(C1964,IFERROR(J1963,C1964)),""),"")</f>
        <v/>
      </c>
      <c r="K1964" s="29">
        <f>IFERROR(IF(AND(ISNUMBER(C1964),ISNUMBER(J1964)),C1964/J1964-1,""),"")</f>
        <v/>
      </c>
      <c r="L1964" s="28">
        <f>IFERROR(IF(AND(ISNUMBER(D1964),ISNUMBER(E1964)),D1964-E1964,""),"")</f>
        <v/>
      </c>
    </row>
    <row r="1965">
      <c r="A1965" s="7">
        <f>IFERROR(Datos!A1965,"")</f>
        <v/>
      </c>
      <c r="B1965" s="8">
        <f>IFERROR(Datos!B1965,"")</f>
        <v/>
      </c>
      <c r="C1965" s="8">
        <f>IFERROR(Datos!C1965,"")</f>
        <v/>
      </c>
      <c r="D1965" s="28">
        <f>IFERROR(IF(AND(ISNUMBER(B1965),ISNUMBER(B1964),B1964&lt;&gt;0),B1965/B1964-1,""),"")</f>
        <v/>
      </c>
      <c r="E1965" s="28">
        <f>IFERROR(IF(AND(ISNUMBER(C1965),ISNUMBER(C1964),C1964&lt;&gt;0),C1965/C1964-1,""),"")</f>
        <v/>
      </c>
      <c r="F1965" s="28">
        <f>IFERROR(D1965-Dashboard!$B$4/252,"")</f>
        <v/>
      </c>
      <c r="G1965" s="28">
        <f>IFERROR(E1965-Dashboard!$B$4/252,"")</f>
        <v/>
      </c>
      <c r="H1965" s="8">
        <f>IFERROR(IF(ISNUMBER(B1965),MAX(B1965,IFERROR(H1964,B1965)),""),"")</f>
        <v/>
      </c>
      <c r="I1965" s="29">
        <f>IFERROR(IF(AND(ISNUMBER(B1965),ISNUMBER(H1965)),B1965/H1965-1,""),"")</f>
        <v/>
      </c>
      <c r="J1965" s="8">
        <f>IFERROR(IF(ISNUMBER(C1965),MAX(C1965,IFERROR(J1964,C1965)),""),"")</f>
        <v/>
      </c>
      <c r="K1965" s="29">
        <f>IFERROR(IF(AND(ISNUMBER(C1965),ISNUMBER(J1965)),C1965/J1965-1,""),"")</f>
        <v/>
      </c>
      <c r="L1965" s="28">
        <f>IFERROR(IF(AND(ISNUMBER(D1965),ISNUMBER(E1965)),D1965-E1965,""),"")</f>
        <v/>
      </c>
    </row>
    <row r="1966">
      <c r="A1966" s="7">
        <f>IFERROR(Datos!A1966,"")</f>
        <v/>
      </c>
      <c r="B1966" s="8">
        <f>IFERROR(Datos!B1966,"")</f>
        <v/>
      </c>
      <c r="C1966" s="8">
        <f>IFERROR(Datos!C1966,"")</f>
        <v/>
      </c>
      <c r="D1966" s="28">
        <f>IFERROR(IF(AND(ISNUMBER(B1966),ISNUMBER(B1965),B1965&lt;&gt;0),B1966/B1965-1,""),"")</f>
        <v/>
      </c>
      <c r="E1966" s="28">
        <f>IFERROR(IF(AND(ISNUMBER(C1966),ISNUMBER(C1965),C1965&lt;&gt;0),C1966/C1965-1,""),"")</f>
        <v/>
      </c>
      <c r="F1966" s="28">
        <f>IFERROR(D1966-Dashboard!$B$4/252,"")</f>
        <v/>
      </c>
      <c r="G1966" s="28">
        <f>IFERROR(E1966-Dashboard!$B$4/252,"")</f>
        <v/>
      </c>
      <c r="H1966" s="8">
        <f>IFERROR(IF(ISNUMBER(B1966),MAX(B1966,IFERROR(H1965,B1966)),""),"")</f>
        <v/>
      </c>
      <c r="I1966" s="29">
        <f>IFERROR(IF(AND(ISNUMBER(B1966),ISNUMBER(H1966)),B1966/H1966-1,""),"")</f>
        <v/>
      </c>
      <c r="J1966" s="8">
        <f>IFERROR(IF(ISNUMBER(C1966),MAX(C1966,IFERROR(J1965,C1966)),""),"")</f>
        <v/>
      </c>
      <c r="K1966" s="29">
        <f>IFERROR(IF(AND(ISNUMBER(C1966),ISNUMBER(J1966)),C1966/J1966-1,""),"")</f>
        <v/>
      </c>
      <c r="L1966" s="28">
        <f>IFERROR(IF(AND(ISNUMBER(D1966),ISNUMBER(E1966)),D1966-E1966,""),"")</f>
        <v/>
      </c>
    </row>
    <row r="1967">
      <c r="A1967" s="7">
        <f>IFERROR(Datos!A1967,"")</f>
        <v/>
      </c>
      <c r="B1967" s="8">
        <f>IFERROR(Datos!B1967,"")</f>
        <v/>
      </c>
      <c r="C1967" s="8">
        <f>IFERROR(Datos!C1967,"")</f>
        <v/>
      </c>
      <c r="D1967" s="28">
        <f>IFERROR(IF(AND(ISNUMBER(B1967),ISNUMBER(B1966),B1966&lt;&gt;0),B1967/B1966-1,""),"")</f>
        <v/>
      </c>
      <c r="E1967" s="28">
        <f>IFERROR(IF(AND(ISNUMBER(C1967),ISNUMBER(C1966),C1966&lt;&gt;0),C1967/C1966-1,""),"")</f>
        <v/>
      </c>
      <c r="F1967" s="28">
        <f>IFERROR(D1967-Dashboard!$B$4/252,"")</f>
        <v/>
      </c>
      <c r="G1967" s="28">
        <f>IFERROR(E1967-Dashboard!$B$4/252,"")</f>
        <v/>
      </c>
      <c r="H1967" s="8">
        <f>IFERROR(IF(ISNUMBER(B1967),MAX(B1967,IFERROR(H1966,B1967)),""),"")</f>
        <v/>
      </c>
      <c r="I1967" s="29">
        <f>IFERROR(IF(AND(ISNUMBER(B1967),ISNUMBER(H1967)),B1967/H1967-1,""),"")</f>
        <v/>
      </c>
      <c r="J1967" s="8">
        <f>IFERROR(IF(ISNUMBER(C1967),MAX(C1967,IFERROR(J1966,C1967)),""),"")</f>
        <v/>
      </c>
      <c r="K1967" s="29">
        <f>IFERROR(IF(AND(ISNUMBER(C1967),ISNUMBER(J1967)),C1967/J1967-1,""),"")</f>
        <v/>
      </c>
      <c r="L1967" s="28">
        <f>IFERROR(IF(AND(ISNUMBER(D1967),ISNUMBER(E1967)),D1967-E1967,""),"")</f>
        <v/>
      </c>
    </row>
    <row r="1968">
      <c r="A1968" s="7">
        <f>IFERROR(Datos!A1968,"")</f>
        <v/>
      </c>
      <c r="B1968" s="8">
        <f>IFERROR(Datos!B1968,"")</f>
        <v/>
      </c>
      <c r="C1968" s="8">
        <f>IFERROR(Datos!C1968,"")</f>
        <v/>
      </c>
      <c r="D1968" s="28">
        <f>IFERROR(IF(AND(ISNUMBER(B1968),ISNUMBER(B1967),B1967&lt;&gt;0),B1968/B1967-1,""),"")</f>
        <v/>
      </c>
      <c r="E1968" s="28">
        <f>IFERROR(IF(AND(ISNUMBER(C1968),ISNUMBER(C1967),C1967&lt;&gt;0),C1968/C1967-1,""),"")</f>
        <v/>
      </c>
      <c r="F1968" s="28">
        <f>IFERROR(D1968-Dashboard!$B$4/252,"")</f>
        <v/>
      </c>
      <c r="G1968" s="28">
        <f>IFERROR(E1968-Dashboard!$B$4/252,"")</f>
        <v/>
      </c>
      <c r="H1968" s="8">
        <f>IFERROR(IF(ISNUMBER(B1968),MAX(B1968,IFERROR(H1967,B1968)),""),"")</f>
        <v/>
      </c>
      <c r="I1968" s="29">
        <f>IFERROR(IF(AND(ISNUMBER(B1968),ISNUMBER(H1968)),B1968/H1968-1,""),"")</f>
        <v/>
      </c>
      <c r="J1968" s="8">
        <f>IFERROR(IF(ISNUMBER(C1968),MAX(C1968,IFERROR(J1967,C1968)),""),"")</f>
        <v/>
      </c>
      <c r="K1968" s="29">
        <f>IFERROR(IF(AND(ISNUMBER(C1968),ISNUMBER(J1968)),C1968/J1968-1,""),"")</f>
        <v/>
      </c>
      <c r="L1968" s="28">
        <f>IFERROR(IF(AND(ISNUMBER(D1968),ISNUMBER(E1968)),D1968-E1968,""),"")</f>
        <v/>
      </c>
    </row>
    <row r="1969">
      <c r="A1969" s="7">
        <f>IFERROR(Datos!A1969,"")</f>
        <v/>
      </c>
      <c r="B1969" s="8">
        <f>IFERROR(Datos!B1969,"")</f>
        <v/>
      </c>
      <c r="C1969" s="8">
        <f>IFERROR(Datos!C1969,"")</f>
        <v/>
      </c>
      <c r="D1969" s="28">
        <f>IFERROR(IF(AND(ISNUMBER(B1969),ISNUMBER(B1968),B1968&lt;&gt;0),B1969/B1968-1,""),"")</f>
        <v/>
      </c>
      <c r="E1969" s="28">
        <f>IFERROR(IF(AND(ISNUMBER(C1969),ISNUMBER(C1968),C1968&lt;&gt;0),C1969/C1968-1,""),"")</f>
        <v/>
      </c>
      <c r="F1969" s="28">
        <f>IFERROR(D1969-Dashboard!$B$4/252,"")</f>
        <v/>
      </c>
      <c r="G1969" s="28">
        <f>IFERROR(E1969-Dashboard!$B$4/252,"")</f>
        <v/>
      </c>
      <c r="H1969" s="8">
        <f>IFERROR(IF(ISNUMBER(B1969),MAX(B1969,IFERROR(H1968,B1969)),""),"")</f>
        <v/>
      </c>
      <c r="I1969" s="29">
        <f>IFERROR(IF(AND(ISNUMBER(B1969),ISNUMBER(H1969)),B1969/H1969-1,""),"")</f>
        <v/>
      </c>
      <c r="J1969" s="8">
        <f>IFERROR(IF(ISNUMBER(C1969),MAX(C1969,IFERROR(J1968,C1969)),""),"")</f>
        <v/>
      </c>
      <c r="K1969" s="29">
        <f>IFERROR(IF(AND(ISNUMBER(C1969),ISNUMBER(J1969)),C1969/J1969-1,""),"")</f>
        <v/>
      </c>
      <c r="L1969" s="28">
        <f>IFERROR(IF(AND(ISNUMBER(D1969),ISNUMBER(E1969)),D1969-E1969,""),"")</f>
        <v/>
      </c>
    </row>
    <row r="1970">
      <c r="A1970" s="7">
        <f>IFERROR(Datos!A1970,"")</f>
        <v/>
      </c>
      <c r="B1970" s="8">
        <f>IFERROR(Datos!B1970,"")</f>
        <v/>
      </c>
      <c r="C1970" s="8">
        <f>IFERROR(Datos!C1970,"")</f>
        <v/>
      </c>
      <c r="D1970" s="28">
        <f>IFERROR(IF(AND(ISNUMBER(B1970),ISNUMBER(B1969),B1969&lt;&gt;0),B1970/B1969-1,""),"")</f>
        <v/>
      </c>
      <c r="E1970" s="28">
        <f>IFERROR(IF(AND(ISNUMBER(C1970),ISNUMBER(C1969),C1969&lt;&gt;0),C1970/C1969-1,""),"")</f>
        <v/>
      </c>
      <c r="F1970" s="28">
        <f>IFERROR(D1970-Dashboard!$B$4/252,"")</f>
        <v/>
      </c>
      <c r="G1970" s="28">
        <f>IFERROR(E1970-Dashboard!$B$4/252,"")</f>
        <v/>
      </c>
      <c r="H1970" s="8">
        <f>IFERROR(IF(ISNUMBER(B1970),MAX(B1970,IFERROR(H1969,B1970)),""),"")</f>
        <v/>
      </c>
      <c r="I1970" s="29">
        <f>IFERROR(IF(AND(ISNUMBER(B1970),ISNUMBER(H1970)),B1970/H1970-1,""),"")</f>
        <v/>
      </c>
      <c r="J1970" s="8">
        <f>IFERROR(IF(ISNUMBER(C1970),MAX(C1970,IFERROR(J1969,C1970)),""),"")</f>
        <v/>
      </c>
      <c r="K1970" s="29">
        <f>IFERROR(IF(AND(ISNUMBER(C1970),ISNUMBER(J1970)),C1970/J1970-1,""),"")</f>
        <v/>
      </c>
      <c r="L1970" s="28">
        <f>IFERROR(IF(AND(ISNUMBER(D1970),ISNUMBER(E1970)),D1970-E1970,""),"")</f>
        <v/>
      </c>
    </row>
    <row r="1971">
      <c r="A1971" s="7">
        <f>IFERROR(Datos!A1971,"")</f>
        <v/>
      </c>
      <c r="B1971" s="8">
        <f>IFERROR(Datos!B1971,"")</f>
        <v/>
      </c>
      <c r="C1971" s="8">
        <f>IFERROR(Datos!C1971,"")</f>
        <v/>
      </c>
      <c r="D1971" s="28">
        <f>IFERROR(IF(AND(ISNUMBER(B1971),ISNUMBER(B1970),B1970&lt;&gt;0),B1971/B1970-1,""),"")</f>
        <v/>
      </c>
      <c r="E1971" s="28">
        <f>IFERROR(IF(AND(ISNUMBER(C1971),ISNUMBER(C1970),C1970&lt;&gt;0),C1971/C1970-1,""),"")</f>
        <v/>
      </c>
      <c r="F1971" s="28">
        <f>IFERROR(D1971-Dashboard!$B$4/252,"")</f>
        <v/>
      </c>
      <c r="G1971" s="28">
        <f>IFERROR(E1971-Dashboard!$B$4/252,"")</f>
        <v/>
      </c>
      <c r="H1971" s="8">
        <f>IFERROR(IF(ISNUMBER(B1971),MAX(B1971,IFERROR(H1970,B1971)),""),"")</f>
        <v/>
      </c>
      <c r="I1971" s="29">
        <f>IFERROR(IF(AND(ISNUMBER(B1971),ISNUMBER(H1971)),B1971/H1971-1,""),"")</f>
        <v/>
      </c>
      <c r="J1971" s="8">
        <f>IFERROR(IF(ISNUMBER(C1971),MAX(C1971,IFERROR(J1970,C1971)),""),"")</f>
        <v/>
      </c>
      <c r="K1971" s="29">
        <f>IFERROR(IF(AND(ISNUMBER(C1971),ISNUMBER(J1971)),C1971/J1971-1,""),"")</f>
        <v/>
      </c>
      <c r="L1971" s="28">
        <f>IFERROR(IF(AND(ISNUMBER(D1971),ISNUMBER(E1971)),D1971-E1971,""),"")</f>
        <v/>
      </c>
    </row>
    <row r="1972">
      <c r="A1972" s="7">
        <f>IFERROR(Datos!A1972,"")</f>
        <v/>
      </c>
      <c r="B1972" s="8">
        <f>IFERROR(Datos!B1972,"")</f>
        <v/>
      </c>
      <c r="C1972" s="8">
        <f>IFERROR(Datos!C1972,"")</f>
        <v/>
      </c>
      <c r="D1972" s="28">
        <f>IFERROR(IF(AND(ISNUMBER(B1972),ISNUMBER(B1971),B1971&lt;&gt;0),B1972/B1971-1,""),"")</f>
        <v/>
      </c>
      <c r="E1972" s="28">
        <f>IFERROR(IF(AND(ISNUMBER(C1972),ISNUMBER(C1971),C1971&lt;&gt;0),C1972/C1971-1,""),"")</f>
        <v/>
      </c>
      <c r="F1972" s="28">
        <f>IFERROR(D1972-Dashboard!$B$4/252,"")</f>
        <v/>
      </c>
      <c r="G1972" s="28">
        <f>IFERROR(E1972-Dashboard!$B$4/252,"")</f>
        <v/>
      </c>
      <c r="H1972" s="8">
        <f>IFERROR(IF(ISNUMBER(B1972),MAX(B1972,IFERROR(H1971,B1972)),""),"")</f>
        <v/>
      </c>
      <c r="I1972" s="29">
        <f>IFERROR(IF(AND(ISNUMBER(B1972),ISNUMBER(H1972)),B1972/H1972-1,""),"")</f>
        <v/>
      </c>
      <c r="J1972" s="8">
        <f>IFERROR(IF(ISNUMBER(C1972),MAX(C1972,IFERROR(J1971,C1972)),""),"")</f>
        <v/>
      </c>
      <c r="K1972" s="29">
        <f>IFERROR(IF(AND(ISNUMBER(C1972),ISNUMBER(J1972)),C1972/J1972-1,""),"")</f>
        <v/>
      </c>
      <c r="L1972" s="28">
        <f>IFERROR(IF(AND(ISNUMBER(D1972),ISNUMBER(E1972)),D1972-E1972,""),"")</f>
        <v/>
      </c>
    </row>
    <row r="1973">
      <c r="A1973" s="7">
        <f>IFERROR(Datos!A1973,"")</f>
        <v/>
      </c>
      <c r="B1973" s="8">
        <f>IFERROR(Datos!B1973,"")</f>
        <v/>
      </c>
      <c r="C1973" s="8">
        <f>IFERROR(Datos!C1973,"")</f>
        <v/>
      </c>
      <c r="D1973" s="28">
        <f>IFERROR(IF(AND(ISNUMBER(B1973),ISNUMBER(B1972),B1972&lt;&gt;0),B1973/B1972-1,""),"")</f>
        <v/>
      </c>
      <c r="E1973" s="28">
        <f>IFERROR(IF(AND(ISNUMBER(C1973),ISNUMBER(C1972),C1972&lt;&gt;0),C1973/C1972-1,""),"")</f>
        <v/>
      </c>
      <c r="F1973" s="28">
        <f>IFERROR(D1973-Dashboard!$B$4/252,"")</f>
        <v/>
      </c>
      <c r="G1973" s="28">
        <f>IFERROR(E1973-Dashboard!$B$4/252,"")</f>
        <v/>
      </c>
      <c r="H1973" s="8">
        <f>IFERROR(IF(ISNUMBER(B1973),MAX(B1973,IFERROR(H1972,B1973)),""),"")</f>
        <v/>
      </c>
      <c r="I1973" s="29">
        <f>IFERROR(IF(AND(ISNUMBER(B1973),ISNUMBER(H1973)),B1973/H1973-1,""),"")</f>
        <v/>
      </c>
      <c r="J1973" s="8">
        <f>IFERROR(IF(ISNUMBER(C1973),MAX(C1973,IFERROR(J1972,C1973)),""),"")</f>
        <v/>
      </c>
      <c r="K1973" s="29">
        <f>IFERROR(IF(AND(ISNUMBER(C1973),ISNUMBER(J1973)),C1973/J1973-1,""),"")</f>
        <v/>
      </c>
      <c r="L1973" s="28">
        <f>IFERROR(IF(AND(ISNUMBER(D1973),ISNUMBER(E1973)),D1973-E1973,""),"")</f>
        <v/>
      </c>
    </row>
    <row r="1974">
      <c r="A1974" s="7">
        <f>IFERROR(Datos!A1974,"")</f>
        <v/>
      </c>
      <c r="B1974" s="8">
        <f>IFERROR(Datos!B1974,"")</f>
        <v/>
      </c>
      <c r="C1974" s="8">
        <f>IFERROR(Datos!C1974,"")</f>
        <v/>
      </c>
      <c r="D1974" s="28">
        <f>IFERROR(IF(AND(ISNUMBER(B1974),ISNUMBER(B1973),B1973&lt;&gt;0),B1974/B1973-1,""),"")</f>
        <v/>
      </c>
      <c r="E1974" s="28">
        <f>IFERROR(IF(AND(ISNUMBER(C1974),ISNUMBER(C1973),C1973&lt;&gt;0),C1974/C1973-1,""),"")</f>
        <v/>
      </c>
      <c r="F1974" s="28">
        <f>IFERROR(D1974-Dashboard!$B$4/252,"")</f>
        <v/>
      </c>
      <c r="G1974" s="28">
        <f>IFERROR(E1974-Dashboard!$B$4/252,"")</f>
        <v/>
      </c>
      <c r="H1974" s="8">
        <f>IFERROR(IF(ISNUMBER(B1974),MAX(B1974,IFERROR(H1973,B1974)),""),"")</f>
        <v/>
      </c>
      <c r="I1974" s="29">
        <f>IFERROR(IF(AND(ISNUMBER(B1974),ISNUMBER(H1974)),B1974/H1974-1,""),"")</f>
        <v/>
      </c>
      <c r="J1974" s="8">
        <f>IFERROR(IF(ISNUMBER(C1974),MAX(C1974,IFERROR(J1973,C1974)),""),"")</f>
        <v/>
      </c>
      <c r="K1974" s="29">
        <f>IFERROR(IF(AND(ISNUMBER(C1974),ISNUMBER(J1974)),C1974/J1974-1,""),"")</f>
        <v/>
      </c>
      <c r="L1974" s="28">
        <f>IFERROR(IF(AND(ISNUMBER(D1974),ISNUMBER(E1974)),D1974-E1974,""),"")</f>
        <v/>
      </c>
    </row>
    <row r="1975">
      <c r="A1975" s="7">
        <f>IFERROR(Datos!A1975,"")</f>
        <v/>
      </c>
      <c r="B1975" s="8">
        <f>IFERROR(Datos!B1975,"")</f>
        <v/>
      </c>
      <c r="C1975" s="8">
        <f>IFERROR(Datos!C1975,"")</f>
        <v/>
      </c>
      <c r="D1975" s="28">
        <f>IFERROR(IF(AND(ISNUMBER(B1975),ISNUMBER(B1974),B1974&lt;&gt;0),B1975/B1974-1,""),"")</f>
        <v/>
      </c>
      <c r="E1975" s="28">
        <f>IFERROR(IF(AND(ISNUMBER(C1975),ISNUMBER(C1974),C1974&lt;&gt;0),C1975/C1974-1,""),"")</f>
        <v/>
      </c>
      <c r="F1975" s="28">
        <f>IFERROR(D1975-Dashboard!$B$4/252,"")</f>
        <v/>
      </c>
      <c r="G1975" s="28">
        <f>IFERROR(E1975-Dashboard!$B$4/252,"")</f>
        <v/>
      </c>
      <c r="H1975" s="8">
        <f>IFERROR(IF(ISNUMBER(B1975),MAX(B1975,IFERROR(H1974,B1975)),""),"")</f>
        <v/>
      </c>
      <c r="I1975" s="29">
        <f>IFERROR(IF(AND(ISNUMBER(B1975),ISNUMBER(H1975)),B1975/H1975-1,""),"")</f>
        <v/>
      </c>
      <c r="J1975" s="8">
        <f>IFERROR(IF(ISNUMBER(C1975),MAX(C1975,IFERROR(J1974,C1975)),""),"")</f>
        <v/>
      </c>
      <c r="K1975" s="29">
        <f>IFERROR(IF(AND(ISNUMBER(C1975),ISNUMBER(J1975)),C1975/J1975-1,""),"")</f>
        <v/>
      </c>
      <c r="L1975" s="28">
        <f>IFERROR(IF(AND(ISNUMBER(D1975),ISNUMBER(E1975)),D1975-E1975,""),"")</f>
        <v/>
      </c>
    </row>
    <row r="1976">
      <c r="A1976" s="7">
        <f>IFERROR(Datos!A1976,"")</f>
        <v/>
      </c>
      <c r="B1976" s="8">
        <f>IFERROR(Datos!B1976,"")</f>
        <v/>
      </c>
      <c r="C1976" s="8">
        <f>IFERROR(Datos!C1976,"")</f>
        <v/>
      </c>
      <c r="D1976" s="28">
        <f>IFERROR(IF(AND(ISNUMBER(B1976),ISNUMBER(B1975),B1975&lt;&gt;0),B1976/B1975-1,""),"")</f>
        <v/>
      </c>
      <c r="E1976" s="28">
        <f>IFERROR(IF(AND(ISNUMBER(C1976),ISNUMBER(C1975),C1975&lt;&gt;0),C1976/C1975-1,""),"")</f>
        <v/>
      </c>
      <c r="F1976" s="28">
        <f>IFERROR(D1976-Dashboard!$B$4/252,"")</f>
        <v/>
      </c>
      <c r="G1976" s="28">
        <f>IFERROR(E1976-Dashboard!$B$4/252,"")</f>
        <v/>
      </c>
      <c r="H1976" s="8">
        <f>IFERROR(IF(ISNUMBER(B1976),MAX(B1976,IFERROR(H1975,B1976)),""),"")</f>
        <v/>
      </c>
      <c r="I1976" s="29">
        <f>IFERROR(IF(AND(ISNUMBER(B1976),ISNUMBER(H1976)),B1976/H1976-1,""),"")</f>
        <v/>
      </c>
      <c r="J1976" s="8">
        <f>IFERROR(IF(ISNUMBER(C1976),MAX(C1976,IFERROR(J1975,C1976)),""),"")</f>
        <v/>
      </c>
      <c r="K1976" s="29">
        <f>IFERROR(IF(AND(ISNUMBER(C1976),ISNUMBER(J1976)),C1976/J1976-1,""),"")</f>
        <v/>
      </c>
      <c r="L1976" s="28">
        <f>IFERROR(IF(AND(ISNUMBER(D1976),ISNUMBER(E1976)),D1976-E1976,""),"")</f>
        <v/>
      </c>
    </row>
    <row r="1977">
      <c r="A1977" s="7">
        <f>IFERROR(Datos!A1977,"")</f>
        <v/>
      </c>
      <c r="B1977" s="8">
        <f>IFERROR(Datos!B1977,"")</f>
        <v/>
      </c>
      <c r="C1977" s="8">
        <f>IFERROR(Datos!C1977,"")</f>
        <v/>
      </c>
      <c r="D1977" s="28">
        <f>IFERROR(IF(AND(ISNUMBER(B1977),ISNUMBER(B1976),B1976&lt;&gt;0),B1977/B1976-1,""),"")</f>
        <v/>
      </c>
      <c r="E1977" s="28">
        <f>IFERROR(IF(AND(ISNUMBER(C1977),ISNUMBER(C1976),C1976&lt;&gt;0),C1977/C1976-1,""),"")</f>
        <v/>
      </c>
      <c r="F1977" s="28">
        <f>IFERROR(D1977-Dashboard!$B$4/252,"")</f>
        <v/>
      </c>
      <c r="G1977" s="28">
        <f>IFERROR(E1977-Dashboard!$B$4/252,"")</f>
        <v/>
      </c>
      <c r="H1977" s="8">
        <f>IFERROR(IF(ISNUMBER(B1977),MAX(B1977,IFERROR(H1976,B1977)),""),"")</f>
        <v/>
      </c>
      <c r="I1977" s="29">
        <f>IFERROR(IF(AND(ISNUMBER(B1977),ISNUMBER(H1977)),B1977/H1977-1,""),"")</f>
        <v/>
      </c>
      <c r="J1977" s="8">
        <f>IFERROR(IF(ISNUMBER(C1977),MAX(C1977,IFERROR(J1976,C1977)),""),"")</f>
        <v/>
      </c>
      <c r="K1977" s="29">
        <f>IFERROR(IF(AND(ISNUMBER(C1977),ISNUMBER(J1977)),C1977/J1977-1,""),"")</f>
        <v/>
      </c>
      <c r="L1977" s="28">
        <f>IFERROR(IF(AND(ISNUMBER(D1977),ISNUMBER(E1977)),D1977-E1977,""),"")</f>
        <v/>
      </c>
    </row>
    <row r="1978">
      <c r="A1978" s="7">
        <f>IFERROR(Datos!A1978,"")</f>
        <v/>
      </c>
      <c r="B1978" s="8">
        <f>IFERROR(Datos!B1978,"")</f>
        <v/>
      </c>
      <c r="C1978" s="8">
        <f>IFERROR(Datos!C1978,"")</f>
        <v/>
      </c>
      <c r="D1978" s="28">
        <f>IFERROR(IF(AND(ISNUMBER(B1978),ISNUMBER(B1977),B1977&lt;&gt;0),B1978/B1977-1,""),"")</f>
        <v/>
      </c>
      <c r="E1978" s="28">
        <f>IFERROR(IF(AND(ISNUMBER(C1978),ISNUMBER(C1977),C1977&lt;&gt;0),C1978/C1977-1,""),"")</f>
        <v/>
      </c>
      <c r="F1978" s="28">
        <f>IFERROR(D1978-Dashboard!$B$4/252,"")</f>
        <v/>
      </c>
      <c r="G1978" s="28">
        <f>IFERROR(E1978-Dashboard!$B$4/252,"")</f>
        <v/>
      </c>
      <c r="H1978" s="8">
        <f>IFERROR(IF(ISNUMBER(B1978),MAX(B1978,IFERROR(H1977,B1978)),""),"")</f>
        <v/>
      </c>
      <c r="I1978" s="29">
        <f>IFERROR(IF(AND(ISNUMBER(B1978),ISNUMBER(H1978)),B1978/H1978-1,""),"")</f>
        <v/>
      </c>
      <c r="J1978" s="8">
        <f>IFERROR(IF(ISNUMBER(C1978),MAX(C1978,IFERROR(J1977,C1978)),""),"")</f>
        <v/>
      </c>
      <c r="K1978" s="29">
        <f>IFERROR(IF(AND(ISNUMBER(C1978),ISNUMBER(J1978)),C1978/J1978-1,""),"")</f>
        <v/>
      </c>
      <c r="L1978" s="28">
        <f>IFERROR(IF(AND(ISNUMBER(D1978),ISNUMBER(E1978)),D1978-E1978,""),"")</f>
        <v/>
      </c>
    </row>
    <row r="1979">
      <c r="A1979" s="7">
        <f>IFERROR(Datos!A1979,"")</f>
        <v/>
      </c>
      <c r="B1979" s="8">
        <f>IFERROR(Datos!B1979,"")</f>
        <v/>
      </c>
      <c r="C1979" s="8">
        <f>IFERROR(Datos!C1979,"")</f>
        <v/>
      </c>
      <c r="D1979" s="28">
        <f>IFERROR(IF(AND(ISNUMBER(B1979),ISNUMBER(B1978),B1978&lt;&gt;0),B1979/B1978-1,""),"")</f>
        <v/>
      </c>
      <c r="E1979" s="28">
        <f>IFERROR(IF(AND(ISNUMBER(C1979),ISNUMBER(C1978),C1978&lt;&gt;0),C1979/C1978-1,""),"")</f>
        <v/>
      </c>
      <c r="F1979" s="28">
        <f>IFERROR(D1979-Dashboard!$B$4/252,"")</f>
        <v/>
      </c>
      <c r="G1979" s="28">
        <f>IFERROR(E1979-Dashboard!$B$4/252,"")</f>
        <v/>
      </c>
      <c r="H1979" s="8">
        <f>IFERROR(IF(ISNUMBER(B1979),MAX(B1979,IFERROR(H1978,B1979)),""),"")</f>
        <v/>
      </c>
      <c r="I1979" s="29">
        <f>IFERROR(IF(AND(ISNUMBER(B1979),ISNUMBER(H1979)),B1979/H1979-1,""),"")</f>
        <v/>
      </c>
      <c r="J1979" s="8">
        <f>IFERROR(IF(ISNUMBER(C1979),MAX(C1979,IFERROR(J1978,C1979)),""),"")</f>
        <v/>
      </c>
      <c r="K1979" s="29">
        <f>IFERROR(IF(AND(ISNUMBER(C1979),ISNUMBER(J1979)),C1979/J1979-1,""),"")</f>
        <v/>
      </c>
      <c r="L1979" s="28">
        <f>IFERROR(IF(AND(ISNUMBER(D1979),ISNUMBER(E1979)),D1979-E1979,""),"")</f>
        <v/>
      </c>
    </row>
    <row r="1980">
      <c r="A1980" s="7">
        <f>IFERROR(Datos!A1980,"")</f>
        <v/>
      </c>
      <c r="B1980" s="8">
        <f>IFERROR(Datos!B1980,"")</f>
        <v/>
      </c>
      <c r="C1980" s="8">
        <f>IFERROR(Datos!C1980,"")</f>
        <v/>
      </c>
      <c r="D1980" s="28">
        <f>IFERROR(IF(AND(ISNUMBER(B1980),ISNUMBER(B1979),B1979&lt;&gt;0),B1980/B1979-1,""),"")</f>
        <v/>
      </c>
      <c r="E1980" s="28">
        <f>IFERROR(IF(AND(ISNUMBER(C1980),ISNUMBER(C1979),C1979&lt;&gt;0),C1980/C1979-1,""),"")</f>
        <v/>
      </c>
      <c r="F1980" s="28">
        <f>IFERROR(D1980-Dashboard!$B$4/252,"")</f>
        <v/>
      </c>
      <c r="G1980" s="28">
        <f>IFERROR(E1980-Dashboard!$B$4/252,"")</f>
        <v/>
      </c>
      <c r="H1980" s="8">
        <f>IFERROR(IF(ISNUMBER(B1980),MAX(B1980,IFERROR(H1979,B1980)),""),"")</f>
        <v/>
      </c>
      <c r="I1980" s="29">
        <f>IFERROR(IF(AND(ISNUMBER(B1980),ISNUMBER(H1980)),B1980/H1980-1,""),"")</f>
        <v/>
      </c>
      <c r="J1980" s="8">
        <f>IFERROR(IF(ISNUMBER(C1980),MAX(C1980,IFERROR(J1979,C1980)),""),"")</f>
        <v/>
      </c>
      <c r="K1980" s="29">
        <f>IFERROR(IF(AND(ISNUMBER(C1980),ISNUMBER(J1980)),C1980/J1980-1,""),"")</f>
        <v/>
      </c>
      <c r="L1980" s="28">
        <f>IFERROR(IF(AND(ISNUMBER(D1980),ISNUMBER(E1980)),D1980-E1980,""),"")</f>
        <v/>
      </c>
    </row>
    <row r="1981">
      <c r="A1981" s="7">
        <f>IFERROR(Datos!A1981,"")</f>
        <v/>
      </c>
      <c r="B1981" s="8">
        <f>IFERROR(Datos!B1981,"")</f>
        <v/>
      </c>
      <c r="C1981" s="8">
        <f>IFERROR(Datos!C1981,"")</f>
        <v/>
      </c>
      <c r="D1981" s="28">
        <f>IFERROR(IF(AND(ISNUMBER(B1981),ISNUMBER(B1980),B1980&lt;&gt;0),B1981/B1980-1,""),"")</f>
        <v/>
      </c>
      <c r="E1981" s="28">
        <f>IFERROR(IF(AND(ISNUMBER(C1981),ISNUMBER(C1980),C1980&lt;&gt;0),C1981/C1980-1,""),"")</f>
        <v/>
      </c>
      <c r="F1981" s="28">
        <f>IFERROR(D1981-Dashboard!$B$4/252,"")</f>
        <v/>
      </c>
      <c r="G1981" s="28">
        <f>IFERROR(E1981-Dashboard!$B$4/252,"")</f>
        <v/>
      </c>
      <c r="H1981" s="8">
        <f>IFERROR(IF(ISNUMBER(B1981),MAX(B1981,IFERROR(H1980,B1981)),""),"")</f>
        <v/>
      </c>
      <c r="I1981" s="29">
        <f>IFERROR(IF(AND(ISNUMBER(B1981),ISNUMBER(H1981)),B1981/H1981-1,""),"")</f>
        <v/>
      </c>
      <c r="J1981" s="8">
        <f>IFERROR(IF(ISNUMBER(C1981),MAX(C1981,IFERROR(J1980,C1981)),""),"")</f>
        <v/>
      </c>
      <c r="K1981" s="29">
        <f>IFERROR(IF(AND(ISNUMBER(C1981),ISNUMBER(J1981)),C1981/J1981-1,""),"")</f>
        <v/>
      </c>
      <c r="L1981" s="28">
        <f>IFERROR(IF(AND(ISNUMBER(D1981),ISNUMBER(E1981)),D1981-E1981,""),"")</f>
        <v/>
      </c>
    </row>
    <row r="1982">
      <c r="A1982" s="7">
        <f>IFERROR(Datos!A1982,"")</f>
        <v/>
      </c>
      <c r="B1982" s="8">
        <f>IFERROR(Datos!B1982,"")</f>
        <v/>
      </c>
      <c r="C1982" s="8">
        <f>IFERROR(Datos!C1982,"")</f>
        <v/>
      </c>
      <c r="D1982" s="28">
        <f>IFERROR(IF(AND(ISNUMBER(B1982),ISNUMBER(B1981),B1981&lt;&gt;0),B1982/B1981-1,""),"")</f>
        <v/>
      </c>
      <c r="E1982" s="28">
        <f>IFERROR(IF(AND(ISNUMBER(C1982),ISNUMBER(C1981),C1981&lt;&gt;0),C1982/C1981-1,""),"")</f>
        <v/>
      </c>
      <c r="F1982" s="28">
        <f>IFERROR(D1982-Dashboard!$B$4/252,"")</f>
        <v/>
      </c>
      <c r="G1982" s="28">
        <f>IFERROR(E1982-Dashboard!$B$4/252,"")</f>
        <v/>
      </c>
      <c r="H1982" s="8">
        <f>IFERROR(IF(ISNUMBER(B1982),MAX(B1982,IFERROR(H1981,B1982)),""),"")</f>
        <v/>
      </c>
      <c r="I1982" s="29">
        <f>IFERROR(IF(AND(ISNUMBER(B1982),ISNUMBER(H1982)),B1982/H1982-1,""),"")</f>
        <v/>
      </c>
      <c r="J1982" s="8">
        <f>IFERROR(IF(ISNUMBER(C1982),MAX(C1982,IFERROR(J1981,C1982)),""),"")</f>
        <v/>
      </c>
      <c r="K1982" s="29">
        <f>IFERROR(IF(AND(ISNUMBER(C1982),ISNUMBER(J1982)),C1982/J1982-1,""),"")</f>
        <v/>
      </c>
      <c r="L1982" s="28">
        <f>IFERROR(IF(AND(ISNUMBER(D1982),ISNUMBER(E1982)),D1982-E1982,""),"")</f>
        <v/>
      </c>
    </row>
    <row r="1983">
      <c r="A1983" s="7">
        <f>IFERROR(Datos!A1983,"")</f>
        <v/>
      </c>
      <c r="B1983" s="8">
        <f>IFERROR(Datos!B1983,"")</f>
        <v/>
      </c>
      <c r="C1983" s="8">
        <f>IFERROR(Datos!C1983,"")</f>
        <v/>
      </c>
      <c r="D1983" s="28">
        <f>IFERROR(IF(AND(ISNUMBER(B1983),ISNUMBER(B1982),B1982&lt;&gt;0),B1983/B1982-1,""),"")</f>
        <v/>
      </c>
      <c r="E1983" s="28">
        <f>IFERROR(IF(AND(ISNUMBER(C1983),ISNUMBER(C1982),C1982&lt;&gt;0),C1983/C1982-1,""),"")</f>
        <v/>
      </c>
      <c r="F1983" s="28">
        <f>IFERROR(D1983-Dashboard!$B$4/252,"")</f>
        <v/>
      </c>
      <c r="G1983" s="28">
        <f>IFERROR(E1983-Dashboard!$B$4/252,"")</f>
        <v/>
      </c>
      <c r="H1983" s="8">
        <f>IFERROR(IF(ISNUMBER(B1983),MAX(B1983,IFERROR(H1982,B1983)),""),"")</f>
        <v/>
      </c>
      <c r="I1983" s="29">
        <f>IFERROR(IF(AND(ISNUMBER(B1983),ISNUMBER(H1983)),B1983/H1983-1,""),"")</f>
        <v/>
      </c>
      <c r="J1983" s="8">
        <f>IFERROR(IF(ISNUMBER(C1983),MAX(C1983,IFERROR(J1982,C1983)),""),"")</f>
        <v/>
      </c>
      <c r="K1983" s="29">
        <f>IFERROR(IF(AND(ISNUMBER(C1983),ISNUMBER(J1983)),C1983/J1983-1,""),"")</f>
        <v/>
      </c>
      <c r="L1983" s="28">
        <f>IFERROR(IF(AND(ISNUMBER(D1983),ISNUMBER(E1983)),D1983-E1983,""),"")</f>
        <v/>
      </c>
    </row>
    <row r="1984">
      <c r="A1984" s="7">
        <f>IFERROR(Datos!A1984,"")</f>
        <v/>
      </c>
      <c r="B1984" s="8">
        <f>IFERROR(Datos!B1984,"")</f>
        <v/>
      </c>
      <c r="C1984" s="8">
        <f>IFERROR(Datos!C1984,"")</f>
        <v/>
      </c>
      <c r="D1984" s="28">
        <f>IFERROR(IF(AND(ISNUMBER(B1984),ISNUMBER(B1983),B1983&lt;&gt;0),B1984/B1983-1,""),"")</f>
        <v/>
      </c>
      <c r="E1984" s="28">
        <f>IFERROR(IF(AND(ISNUMBER(C1984),ISNUMBER(C1983),C1983&lt;&gt;0),C1984/C1983-1,""),"")</f>
        <v/>
      </c>
      <c r="F1984" s="28">
        <f>IFERROR(D1984-Dashboard!$B$4/252,"")</f>
        <v/>
      </c>
      <c r="G1984" s="28">
        <f>IFERROR(E1984-Dashboard!$B$4/252,"")</f>
        <v/>
      </c>
      <c r="H1984" s="8">
        <f>IFERROR(IF(ISNUMBER(B1984),MAX(B1984,IFERROR(H1983,B1984)),""),"")</f>
        <v/>
      </c>
      <c r="I1984" s="29">
        <f>IFERROR(IF(AND(ISNUMBER(B1984),ISNUMBER(H1984)),B1984/H1984-1,""),"")</f>
        <v/>
      </c>
      <c r="J1984" s="8">
        <f>IFERROR(IF(ISNUMBER(C1984),MAX(C1984,IFERROR(J1983,C1984)),""),"")</f>
        <v/>
      </c>
      <c r="K1984" s="29">
        <f>IFERROR(IF(AND(ISNUMBER(C1984),ISNUMBER(J1984)),C1984/J1984-1,""),"")</f>
        <v/>
      </c>
      <c r="L1984" s="28">
        <f>IFERROR(IF(AND(ISNUMBER(D1984),ISNUMBER(E1984)),D1984-E1984,""),"")</f>
        <v/>
      </c>
    </row>
    <row r="1985">
      <c r="A1985" s="7">
        <f>IFERROR(Datos!A1985,"")</f>
        <v/>
      </c>
      <c r="B1985" s="8">
        <f>IFERROR(Datos!B1985,"")</f>
        <v/>
      </c>
      <c r="C1985" s="8">
        <f>IFERROR(Datos!C1985,"")</f>
        <v/>
      </c>
      <c r="D1985" s="28">
        <f>IFERROR(IF(AND(ISNUMBER(B1985),ISNUMBER(B1984),B1984&lt;&gt;0),B1985/B1984-1,""),"")</f>
        <v/>
      </c>
      <c r="E1985" s="28">
        <f>IFERROR(IF(AND(ISNUMBER(C1985),ISNUMBER(C1984),C1984&lt;&gt;0),C1985/C1984-1,""),"")</f>
        <v/>
      </c>
      <c r="F1985" s="28">
        <f>IFERROR(D1985-Dashboard!$B$4/252,"")</f>
        <v/>
      </c>
      <c r="G1985" s="28">
        <f>IFERROR(E1985-Dashboard!$B$4/252,"")</f>
        <v/>
      </c>
      <c r="H1985" s="8">
        <f>IFERROR(IF(ISNUMBER(B1985),MAX(B1985,IFERROR(H1984,B1985)),""),"")</f>
        <v/>
      </c>
      <c r="I1985" s="29">
        <f>IFERROR(IF(AND(ISNUMBER(B1985),ISNUMBER(H1985)),B1985/H1985-1,""),"")</f>
        <v/>
      </c>
      <c r="J1985" s="8">
        <f>IFERROR(IF(ISNUMBER(C1985),MAX(C1985,IFERROR(J1984,C1985)),""),"")</f>
        <v/>
      </c>
      <c r="K1985" s="29">
        <f>IFERROR(IF(AND(ISNUMBER(C1985),ISNUMBER(J1985)),C1985/J1985-1,""),"")</f>
        <v/>
      </c>
      <c r="L1985" s="28">
        <f>IFERROR(IF(AND(ISNUMBER(D1985),ISNUMBER(E1985)),D1985-E1985,""),"")</f>
        <v/>
      </c>
    </row>
    <row r="1986">
      <c r="A1986" s="7">
        <f>IFERROR(Datos!A1986,"")</f>
        <v/>
      </c>
      <c r="B1986" s="8">
        <f>IFERROR(Datos!B1986,"")</f>
        <v/>
      </c>
      <c r="C1986" s="8">
        <f>IFERROR(Datos!C1986,"")</f>
        <v/>
      </c>
      <c r="D1986" s="28">
        <f>IFERROR(IF(AND(ISNUMBER(B1986),ISNUMBER(B1985),B1985&lt;&gt;0),B1986/B1985-1,""),"")</f>
        <v/>
      </c>
      <c r="E1986" s="28">
        <f>IFERROR(IF(AND(ISNUMBER(C1986),ISNUMBER(C1985),C1985&lt;&gt;0),C1986/C1985-1,""),"")</f>
        <v/>
      </c>
      <c r="F1986" s="28">
        <f>IFERROR(D1986-Dashboard!$B$4/252,"")</f>
        <v/>
      </c>
      <c r="G1986" s="28">
        <f>IFERROR(E1986-Dashboard!$B$4/252,"")</f>
        <v/>
      </c>
      <c r="H1986" s="8">
        <f>IFERROR(IF(ISNUMBER(B1986),MAX(B1986,IFERROR(H1985,B1986)),""),"")</f>
        <v/>
      </c>
      <c r="I1986" s="29">
        <f>IFERROR(IF(AND(ISNUMBER(B1986),ISNUMBER(H1986)),B1986/H1986-1,""),"")</f>
        <v/>
      </c>
      <c r="J1986" s="8">
        <f>IFERROR(IF(ISNUMBER(C1986),MAX(C1986,IFERROR(J1985,C1986)),""),"")</f>
        <v/>
      </c>
      <c r="K1986" s="29">
        <f>IFERROR(IF(AND(ISNUMBER(C1986),ISNUMBER(J1986)),C1986/J1986-1,""),"")</f>
        <v/>
      </c>
      <c r="L1986" s="28">
        <f>IFERROR(IF(AND(ISNUMBER(D1986),ISNUMBER(E1986)),D1986-E1986,""),"")</f>
        <v/>
      </c>
    </row>
    <row r="1987">
      <c r="A1987" s="7">
        <f>IFERROR(Datos!A1987,"")</f>
        <v/>
      </c>
      <c r="B1987" s="8">
        <f>IFERROR(Datos!B1987,"")</f>
        <v/>
      </c>
      <c r="C1987" s="8">
        <f>IFERROR(Datos!C1987,"")</f>
        <v/>
      </c>
      <c r="D1987" s="28">
        <f>IFERROR(IF(AND(ISNUMBER(B1987),ISNUMBER(B1986),B1986&lt;&gt;0),B1987/B1986-1,""),"")</f>
        <v/>
      </c>
      <c r="E1987" s="28">
        <f>IFERROR(IF(AND(ISNUMBER(C1987),ISNUMBER(C1986),C1986&lt;&gt;0),C1987/C1986-1,""),"")</f>
        <v/>
      </c>
      <c r="F1987" s="28">
        <f>IFERROR(D1987-Dashboard!$B$4/252,"")</f>
        <v/>
      </c>
      <c r="G1987" s="28">
        <f>IFERROR(E1987-Dashboard!$B$4/252,"")</f>
        <v/>
      </c>
      <c r="H1987" s="8">
        <f>IFERROR(IF(ISNUMBER(B1987),MAX(B1987,IFERROR(H1986,B1987)),""),"")</f>
        <v/>
      </c>
      <c r="I1987" s="29">
        <f>IFERROR(IF(AND(ISNUMBER(B1987),ISNUMBER(H1987)),B1987/H1987-1,""),"")</f>
        <v/>
      </c>
      <c r="J1987" s="8">
        <f>IFERROR(IF(ISNUMBER(C1987),MAX(C1987,IFERROR(J1986,C1987)),""),"")</f>
        <v/>
      </c>
      <c r="K1987" s="29">
        <f>IFERROR(IF(AND(ISNUMBER(C1987),ISNUMBER(J1987)),C1987/J1987-1,""),"")</f>
        <v/>
      </c>
      <c r="L1987" s="28">
        <f>IFERROR(IF(AND(ISNUMBER(D1987),ISNUMBER(E1987)),D1987-E1987,""),"")</f>
        <v/>
      </c>
    </row>
    <row r="1988">
      <c r="A1988" s="7">
        <f>IFERROR(Datos!A1988,"")</f>
        <v/>
      </c>
      <c r="B1988" s="8">
        <f>IFERROR(Datos!B1988,"")</f>
        <v/>
      </c>
      <c r="C1988" s="8">
        <f>IFERROR(Datos!C1988,"")</f>
        <v/>
      </c>
      <c r="D1988" s="28">
        <f>IFERROR(IF(AND(ISNUMBER(B1988),ISNUMBER(B1987),B1987&lt;&gt;0),B1988/B1987-1,""),"")</f>
        <v/>
      </c>
      <c r="E1988" s="28">
        <f>IFERROR(IF(AND(ISNUMBER(C1988),ISNUMBER(C1987),C1987&lt;&gt;0),C1988/C1987-1,""),"")</f>
        <v/>
      </c>
      <c r="F1988" s="28">
        <f>IFERROR(D1988-Dashboard!$B$4/252,"")</f>
        <v/>
      </c>
      <c r="G1988" s="28">
        <f>IFERROR(E1988-Dashboard!$B$4/252,"")</f>
        <v/>
      </c>
      <c r="H1988" s="8">
        <f>IFERROR(IF(ISNUMBER(B1988),MAX(B1988,IFERROR(H1987,B1988)),""),"")</f>
        <v/>
      </c>
      <c r="I1988" s="29">
        <f>IFERROR(IF(AND(ISNUMBER(B1988),ISNUMBER(H1988)),B1988/H1988-1,""),"")</f>
        <v/>
      </c>
      <c r="J1988" s="8">
        <f>IFERROR(IF(ISNUMBER(C1988),MAX(C1988,IFERROR(J1987,C1988)),""),"")</f>
        <v/>
      </c>
      <c r="K1988" s="29">
        <f>IFERROR(IF(AND(ISNUMBER(C1988),ISNUMBER(J1988)),C1988/J1988-1,""),"")</f>
        <v/>
      </c>
      <c r="L1988" s="28">
        <f>IFERROR(IF(AND(ISNUMBER(D1988),ISNUMBER(E1988)),D1988-E1988,""),"")</f>
        <v/>
      </c>
    </row>
    <row r="1989">
      <c r="A1989" s="7">
        <f>IFERROR(Datos!A1989,"")</f>
        <v/>
      </c>
      <c r="B1989" s="8">
        <f>IFERROR(Datos!B1989,"")</f>
        <v/>
      </c>
      <c r="C1989" s="8">
        <f>IFERROR(Datos!C1989,"")</f>
        <v/>
      </c>
      <c r="D1989" s="28">
        <f>IFERROR(IF(AND(ISNUMBER(B1989),ISNUMBER(B1988),B1988&lt;&gt;0),B1989/B1988-1,""),"")</f>
        <v/>
      </c>
      <c r="E1989" s="28">
        <f>IFERROR(IF(AND(ISNUMBER(C1989),ISNUMBER(C1988),C1988&lt;&gt;0),C1989/C1988-1,""),"")</f>
        <v/>
      </c>
      <c r="F1989" s="28">
        <f>IFERROR(D1989-Dashboard!$B$4/252,"")</f>
        <v/>
      </c>
      <c r="G1989" s="28">
        <f>IFERROR(E1989-Dashboard!$B$4/252,"")</f>
        <v/>
      </c>
      <c r="H1989" s="8">
        <f>IFERROR(IF(ISNUMBER(B1989),MAX(B1989,IFERROR(H1988,B1989)),""),"")</f>
        <v/>
      </c>
      <c r="I1989" s="29">
        <f>IFERROR(IF(AND(ISNUMBER(B1989),ISNUMBER(H1989)),B1989/H1989-1,""),"")</f>
        <v/>
      </c>
      <c r="J1989" s="8">
        <f>IFERROR(IF(ISNUMBER(C1989),MAX(C1989,IFERROR(J1988,C1989)),""),"")</f>
        <v/>
      </c>
      <c r="K1989" s="29">
        <f>IFERROR(IF(AND(ISNUMBER(C1989),ISNUMBER(J1989)),C1989/J1989-1,""),"")</f>
        <v/>
      </c>
      <c r="L1989" s="28">
        <f>IFERROR(IF(AND(ISNUMBER(D1989),ISNUMBER(E1989)),D1989-E1989,""),"")</f>
        <v/>
      </c>
    </row>
    <row r="1990">
      <c r="A1990" s="7">
        <f>IFERROR(Datos!A1990,"")</f>
        <v/>
      </c>
      <c r="B1990" s="8">
        <f>IFERROR(Datos!B1990,"")</f>
        <v/>
      </c>
      <c r="C1990" s="8">
        <f>IFERROR(Datos!C1990,"")</f>
        <v/>
      </c>
      <c r="D1990" s="28">
        <f>IFERROR(IF(AND(ISNUMBER(B1990),ISNUMBER(B1989),B1989&lt;&gt;0),B1990/B1989-1,""),"")</f>
        <v/>
      </c>
      <c r="E1990" s="28">
        <f>IFERROR(IF(AND(ISNUMBER(C1990),ISNUMBER(C1989),C1989&lt;&gt;0),C1990/C1989-1,""),"")</f>
        <v/>
      </c>
      <c r="F1990" s="28">
        <f>IFERROR(D1990-Dashboard!$B$4/252,"")</f>
        <v/>
      </c>
      <c r="G1990" s="28">
        <f>IFERROR(E1990-Dashboard!$B$4/252,"")</f>
        <v/>
      </c>
      <c r="H1990" s="8">
        <f>IFERROR(IF(ISNUMBER(B1990),MAX(B1990,IFERROR(H1989,B1990)),""),"")</f>
        <v/>
      </c>
      <c r="I1990" s="29">
        <f>IFERROR(IF(AND(ISNUMBER(B1990),ISNUMBER(H1990)),B1990/H1990-1,""),"")</f>
        <v/>
      </c>
      <c r="J1990" s="8">
        <f>IFERROR(IF(ISNUMBER(C1990),MAX(C1990,IFERROR(J1989,C1990)),""),"")</f>
        <v/>
      </c>
      <c r="K1990" s="29">
        <f>IFERROR(IF(AND(ISNUMBER(C1990),ISNUMBER(J1990)),C1990/J1990-1,""),"")</f>
        <v/>
      </c>
      <c r="L1990" s="28">
        <f>IFERROR(IF(AND(ISNUMBER(D1990),ISNUMBER(E1990)),D1990-E1990,""),"")</f>
        <v/>
      </c>
    </row>
    <row r="1991">
      <c r="A1991" s="7">
        <f>IFERROR(Datos!A1991,"")</f>
        <v/>
      </c>
      <c r="B1991" s="8">
        <f>IFERROR(Datos!B1991,"")</f>
        <v/>
      </c>
      <c r="C1991" s="8">
        <f>IFERROR(Datos!C1991,"")</f>
        <v/>
      </c>
      <c r="D1991" s="28">
        <f>IFERROR(IF(AND(ISNUMBER(B1991),ISNUMBER(B1990),B1990&lt;&gt;0),B1991/B1990-1,""),"")</f>
        <v/>
      </c>
      <c r="E1991" s="28">
        <f>IFERROR(IF(AND(ISNUMBER(C1991),ISNUMBER(C1990),C1990&lt;&gt;0),C1991/C1990-1,""),"")</f>
        <v/>
      </c>
      <c r="F1991" s="28">
        <f>IFERROR(D1991-Dashboard!$B$4/252,"")</f>
        <v/>
      </c>
      <c r="G1991" s="28">
        <f>IFERROR(E1991-Dashboard!$B$4/252,"")</f>
        <v/>
      </c>
      <c r="H1991" s="8">
        <f>IFERROR(IF(ISNUMBER(B1991),MAX(B1991,IFERROR(H1990,B1991)),""),"")</f>
        <v/>
      </c>
      <c r="I1991" s="29">
        <f>IFERROR(IF(AND(ISNUMBER(B1991),ISNUMBER(H1991)),B1991/H1991-1,""),"")</f>
        <v/>
      </c>
      <c r="J1991" s="8">
        <f>IFERROR(IF(ISNUMBER(C1991),MAX(C1991,IFERROR(J1990,C1991)),""),"")</f>
        <v/>
      </c>
      <c r="K1991" s="29">
        <f>IFERROR(IF(AND(ISNUMBER(C1991),ISNUMBER(J1991)),C1991/J1991-1,""),"")</f>
        <v/>
      </c>
      <c r="L1991" s="28">
        <f>IFERROR(IF(AND(ISNUMBER(D1991),ISNUMBER(E1991)),D1991-E1991,""),"")</f>
        <v/>
      </c>
    </row>
    <row r="1992">
      <c r="A1992" s="7">
        <f>IFERROR(Datos!A1992,"")</f>
        <v/>
      </c>
      <c r="B1992" s="8">
        <f>IFERROR(Datos!B1992,"")</f>
        <v/>
      </c>
      <c r="C1992" s="8">
        <f>IFERROR(Datos!C1992,"")</f>
        <v/>
      </c>
      <c r="D1992" s="28">
        <f>IFERROR(IF(AND(ISNUMBER(B1992),ISNUMBER(B1991),B1991&lt;&gt;0),B1992/B1991-1,""),"")</f>
        <v/>
      </c>
      <c r="E1992" s="28">
        <f>IFERROR(IF(AND(ISNUMBER(C1992),ISNUMBER(C1991),C1991&lt;&gt;0),C1992/C1991-1,""),"")</f>
        <v/>
      </c>
      <c r="F1992" s="28">
        <f>IFERROR(D1992-Dashboard!$B$4/252,"")</f>
        <v/>
      </c>
      <c r="G1992" s="28">
        <f>IFERROR(E1992-Dashboard!$B$4/252,"")</f>
        <v/>
      </c>
      <c r="H1992" s="8">
        <f>IFERROR(IF(ISNUMBER(B1992),MAX(B1992,IFERROR(H1991,B1992)),""),"")</f>
        <v/>
      </c>
      <c r="I1992" s="29">
        <f>IFERROR(IF(AND(ISNUMBER(B1992),ISNUMBER(H1992)),B1992/H1992-1,""),"")</f>
        <v/>
      </c>
      <c r="J1992" s="8">
        <f>IFERROR(IF(ISNUMBER(C1992),MAX(C1992,IFERROR(J1991,C1992)),""),"")</f>
        <v/>
      </c>
      <c r="K1992" s="29">
        <f>IFERROR(IF(AND(ISNUMBER(C1992),ISNUMBER(J1992)),C1992/J1992-1,""),"")</f>
        <v/>
      </c>
      <c r="L1992" s="28">
        <f>IFERROR(IF(AND(ISNUMBER(D1992),ISNUMBER(E1992)),D1992-E1992,""),"")</f>
        <v/>
      </c>
    </row>
    <row r="1993">
      <c r="A1993" s="7">
        <f>IFERROR(Datos!A1993,"")</f>
        <v/>
      </c>
      <c r="B1993" s="8">
        <f>IFERROR(Datos!B1993,"")</f>
        <v/>
      </c>
      <c r="C1993" s="8">
        <f>IFERROR(Datos!C1993,"")</f>
        <v/>
      </c>
      <c r="D1993" s="28">
        <f>IFERROR(IF(AND(ISNUMBER(B1993),ISNUMBER(B1992),B1992&lt;&gt;0),B1993/B1992-1,""),"")</f>
        <v/>
      </c>
      <c r="E1993" s="28">
        <f>IFERROR(IF(AND(ISNUMBER(C1993),ISNUMBER(C1992),C1992&lt;&gt;0),C1993/C1992-1,""),"")</f>
        <v/>
      </c>
      <c r="F1993" s="28">
        <f>IFERROR(D1993-Dashboard!$B$4/252,"")</f>
        <v/>
      </c>
      <c r="G1993" s="28">
        <f>IFERROR(E1993-Dashboard!$B$4/252,"")</f>
        <v/>
      </c>
      <c r="H1993" s="8">
        <f>IFERROR(IF(ISNUMBER(B1993),MAX(B1993,IFERROR(H1992,B1993)),""),"")</f>
        <v/>
      </c>
      <c r="I1993" s="29">
        <f>IFERROR(IF(AND(ISNUMBER(B1993),ISNUMBER(H1993)),B1993/H1993-1,""),"")</f>
        <v/>
      </c>
      <c r="J1993" s="8">
        <f>IFERROR(IF(ISNUMBER(C1993),MAX(C1993,IFERROR(J1992,C1993)),""),"")</f>
        <v/>
      </c>
      <c r="K1993" s="29">
        <f>IFERROR(IF(AND(ISNUMBER(C1993),ISNUMBER(J1993)),C1993/J1993-1,""),"")</f>
        <v/>
      </c>
      <c r="L1993" s="28">
        <f>IFERROR(IF(AND(ISNUMBER(D1993),ISNUMBER(E1993)),D1993-E1993,""),"")</f>
        <v/>
      </c>
    </row>
    <row r="1994">
      <c r="A1994" s="7">
        <f>IFERROR(Datos!A1994,"")</f>
        <v/>
      </c>
      <c r="B1994" s="8">
        <f>IFERROR(Datos!B1994,"")</f>
        <v/>
      </c>
      <c r="C1994" s="8">
        <f>IFERROR(Datos!C1994,"")</f>
        <v/>
      </c>
      <c r="D1994" s="28">
        <f>IFERROR(IF(AND(ISNUMBER(B1994),ISNUMBER(B1993),B1993&lt;&gt;0),B1994/B1993-1,""),"")</f>
        <v/>
      </c>
      <c r="E1994" s="28">
        <f>IFERROR(IF(AND(ISNUMBER(C1994),ISNUMBER(C1993),C1993&lt;&gt;0),C1994/C1993-1,""),"")</f>
        <v/>
      </c>
      <c r="F1994" s="28">
        <f>IFERROR(D1994-Dashboard!$B$4/252,"")</f>
        <v/>
      </c>
      <c r="G1994" s="28">
        <f>IFERROR(E1994-Dashboard!$B$4/252,"")</f>
        <v/>
      </c>
      <c r="H1994" s="8">
        <f>IFERROR(IF(ISNUMBER(B1994),MAX(B1994,IFERROR(H1993,B1994)),""),"")</f>
        <v/>
      </c>
      <c r="I1994" s="29">
        <f>IFERROR(IF(AND(ISNUMBER(B1994),ISNUMBER(H1994)),B1994/H1994-1,""),"")</f>
        <v/>
      </c>
      <c r="J1994" s="8">
        <f>IFERROR(IF(ISNUMBER(C1994),MAX(C1994,IFERROR(J1993,C1994)),""),"")</f>
        <v/>
      </c>
      <c r="K1994" s="29">
        <f>IFERROR(IF(AND(ISNUMBER(C1994),ISNUMBER(J1994)),C1994/J1994-1,""),"")</f>
        <v/>
      </c>
      <c r="L1994" s="28">
        <f>IFERROR(IF(AND(ISNUMBER(D1994),ISNUMBER(E1994)),D1994-E1994,""),"")</f>
        <v/>
      </c>
    </row>
    <row r="1995">
      <c r="A1995" s="7">
        <f>IFERROR(Datos!A1995,"")</f>
        <v/>
      </c>
      <c r="B1995" s="8">
        <f>IFERROR(Datos!B1995,"")</f>
        <v/>
      </c>
      <c r="C1995" s="8">
        <f>IFERROR(Datos!C1995,"")</f>
        <v/>
      </c>
      <c r="D1995" s="28">
        <f>IFERROR(IF(AND(ISNUMBER(B1995),ISNUMBER(B1994),B1994&lt;&gt;0),B1995/B1994-1,""),"")</f>
        <v/>
      </c>
      <c r="E1995" s="28">
        <f>IFERROR(IF(AND(ISNUMBER(C1995),ISNUMBER(C1994),C1994&lt;&gt;0),C1995/C1994-1,""),"")</f>
        <v/>
      </c>
      <c r="F1995" s="28">
        <f>IFERROR(D1995-Dashboard!$B$4/252,"")</f>
        <v/>
      </c>
      <c r="G1995" s="28">
        <f>IFERROR(E1995-Dashboard!$B$4/252,"")</f>
        <v/>
      </c>
      <c r="H1995" s="8">
        <f>IFERROR(IF(ISNUMBER(B1995),MAX(B1995,IFERROR(H1994,B1995)),""),"")</f>
        <v/>
      </c>
      <c r="I1995" s="29">
        <f>IFERROR(IF(AND(ISNUMBER(B1995),ISNUMBER(H1995)),B1995/H1995-1,""),"")</f>
        <v/>
      </c>
      <c r="J1995" s="8">
        <f>IFERROR(IF(ISNUMBER(C1995),MAX(C1995,IFERROR(J1994,C1995)),""),"")</f>
        <v/>
      </c>
      <c r="K1995" s="29">
        <f>IFERROR(IF(AND(ISNUMBER(C1995),ISNUMBER(J1995)),C1995/J1995-1,""),"")</f>
        <v/>
      </c>
      <c r="L1995" s="28">
        <f>IFERROR(IF(AND(ISNUMBER(D1995),ISNUMBER(E1995)),D1995-E1995,""),"")</f>
        <v/>
      </c>
    </row>
    <row r="1996">
      <c r="A1996" s="7">
        <f>IFERROR(Datos!A1996,"")</f>
        <v/>
      </c>
      <c r="B1996" s="8">
        <f>IFERROR(Datos!B1996,"")</f>
        <v/>
      </c>
      <c r="C1996" s="8">
        <f>IFERROR(Datos!C1996,"")</f>
        <v/>
      </c>
      <c r="D1996" s="28">
        <f>IFERROR(IF(AND(ISNUMBER(B1996),ISNUMBER(B1995),B1995&lt;&gt;0),B1996/B1995-1,""),"")</f>
        <v/>
      </c>
      <c r="E1996" s="28">
        <f>IFERROR(IF(AND(ISNUMBER(C1996),ISNUMBER(C1995),C1995&lt;&gt;0),C1996/C1995-1,""),"")</f>
        <v/>
      </c>
      <c r="F1996" s="28">
        <f>IFERROR(D1996-Dashboard!$B$4/252,"")</f>
        <v/>
      </c>
      <c r="G1996" s="28">
        <f>IFERROR(E1996-Dashboard!$B$4/252,"")</f>
        <v/>
      </c>
      <c r="H1996" s="8">
        <f>IFERROR(IF(ISNUMBER(B1996),MAX(B1996,IFERROR(H1995,B1996)),""),"")</f>
        <v/>
      </c>
      <c r="I1996" s="29">
        <f>IFERROR(IF(AND(ISNUMBER(B1996),ISNUMBER(H1996)),B1996/H1996-1,""),"")</f>
        <v/>
      </c>
      <c r="J1996" s="8">
        <f>IFERROR(IF(ISNUMBER(C1996),MAX(C1996,IFERROR(J1995,C1996)),""),"")</f>
        <v/>
      </c>
      <c r="K1996" s="29">
        <f>IFERROR(IF(AND(ISNUMBER(C1996),ISNUMBER(J1996)),C1996/J1996-1,""),"")</f>
        <v/>
      </c>
      <c r="L1996" s="28">
        <f>IFERROR(IF(AND(ISNUMBER(D1996),ISNUMBER(E1996)),D1996-E1996,""),"")</f>
        <v/>
      </c>
    </row>
    <row r="1997">
      <c r="A1997" s="7">
        <f>IFERROR(Datos!A1997,"")</f>
        <v/>
      </c>
      <c r="B1997" s="8">
        <f>IFERROR(Datos!B1997,"")</f>
        <v/>
      </c>
      <c r="C1997" s="8">
        <f>IFERROR(Datos!C1997,"")</f>
        <v/>
      </c>
      <c r="D1997" s="28">
        <f>IFERROR(IF(AND(ISNUMBER(B1997),ISNUMBER(B1996),B1996&lt;&gt;0),B1997/B1996-1,""),"")</f>
        <v/>
      </c>
      <c r="E1997" s="28">
        <f>IFERROR(IF(AND(ISNUMBER(C1997),ISNUMBER(C1996),C1996&lt;&gt;0),C1997/C1996-1,""),"")</f>
        <v/>
      </c>
      <c r="F1997" s="28">
        <f>IFERROR(D1997-Dashboard!$B$4/252,"")</f>
        <v/>
      </c>
      <c r="G1997" s="28">
        <f>IFERROR(E1997-Dashboard!$B$4/252,"")</f>
        <v/>
      </c>
      <c r="H1997" s="8">
        <f>IFERROR(IF(ISNUMBER(B1997),MAX(B1997,IFERROR(H1996,B1997)),""),"")</f>
        <v/>
      </c>
      <c r="I1997" s="29">
        <f>IFERROR(IF(AND(ISNUMBER(B1997),ISNUMBER(H1997)),B1997/H1997-1,""),"")</f>
        <v/>
      </c>
      <c r="J1997" s="8">
        <f>IFERROR(IF(ISNUMBER(C1997),MAX(C1997,IFERROR(J1996,C1997)),""),"")</f>
        <v/>
      </c>
      <c r="K1997" s="29">
        <f>IFERROR(IF(AND(ISNUMBER(C1997),ISNUMBER(J1997)),C1997/J1997-1,""),"")</f>
        <v/>
      </c>
      <c r="L1997" s="28">
        <f>IFERROR(IF(AND(ISNUMBER(D1997),ISNUMBER(E1997)),D1997-E1997,""),"")</f>
        <v/>
      </c>
    </row>
    <row r="1998">
      <c r="A1998" s="7">
        <f>IFERROR(Datos!A1998,"")</f>
        <v/>
      </c>
      <c r="B1998" s="8">
        <f>IFERROR(Datos!B1998,"")</f>
        <v/>
      </c>
      <c r="C1998" s="8">
        <f>IFERROR(Datos!C1998,"")</f>
        <v/>
      </c>
      <c r="D1998" s="28">
        <f>IFERROR(IF(AND(ISNUMBER(B1998),ISNUMBER(B1997),B1997&lt;&gt;0),B1998/B1997-1,""),"")</f>
        <v/>
      </c>
      <c r="E1998" s="28">
        <f>IFERROR(IF(AND(ISNUMBER(C1998),ISNUMBER(C1997),C1997&lt;&gt;0),C1998/C1997-1,""),"")</f>
        <v/>
      </c>
      <c r="F1998" s="28">
        <f>IFERROR(D1998-Dashboard!$B$4/252,"")</f>
        <v/>
      </c>
      <c r="G1998" s="28">
        <f>IFERROR(E1998-Dashboard!$B$4/252,"")</f>
        <v/>
      </c>
      <c r="H1998" s="8">
        <f>IFERROR(IF(ISNUMBER(B1998),MAX(B1998,IFERROR(H1997,B1998)),""),"")</f>
        <v/>
      </c>
      <c r="I1998" s="29">
        <f>IFERROR(IF(AND(ISNUMBER(B1998),ISNUMBER(H1998)),B1998/H1998-1,""),"")</f>
        <v/>
      </c>
      <c r="J1998" s="8">
        <f>IFERROR(IF(ISNUMBER(C1998),MAX(C1998,IFERROR(J1997,C1998)),""),"")</f>
        <v/>
      </c>
      <c r="K1998" s="29">
        <f>IFERROR(IF(AND(ISNUMBER(C1998),ISNUMBER(J1998)),C1998/J1998-1,""),"")</f>
        <v/>
      </c>
      <c r="L1998" s="28">
        <f>IFERROR(IF(AND(ISNUMBER(D1998),ISNUMBER(E1998)),D1998-E1998,""),"")</f>
        <v/>
      </c>
    </row>
    <row r="1999">
      <c r="A1999" s="7">
        <f>IFERROR(Datos!A1999,"")</f>
        <v/>
      </c>
      <c r="B1999" s="8">
        <f>IFERROR(Datos!B1999,"")</f>
        <v/>
      </c>
      <c r="C1999" s="8">
        <f>IFERROR(Datos!C1999,"")</f>
        <v/>
      </c>
      <c r="D1999" s="28">
        <f>IFERROR(IF(AND(ISNUMBER(B1999),ISNUMBER(B1998),B1998&lt;&gt;0),B1999/B1998-1,""),"")</f>
        <v/>
      </c>
      <c r="E1999" s="28">
        <f>IFERROR(IF(AND(ISNUMBER(C1999),ISNUMBER(C1998),C1998&lt;&gt;0),C1999/C1998-1,""),"")</f>
        <v/>
      </c>
      <c r="F1999" s="28">
        <f>IFERROR(D1999-Dashboard!$B$4/252,"")</f>
        <v/>
      </c>
      <c r="G1999" s="28">
        <f>IFERROR(E1999-Dashboard!$B$4/252,"")</f>
        <v/>
      </c>
      <c r="H1999" s="8">
        <f>IFERROR(IF(ISNUMBER(B1999),MAX(B1999,IFERROR(H1998,B1999)),""),"")</f>
        <v/>
      </c>
      <c r="I1999" s="29">
        <f>IFERROR(IF(AND(ISNUMBER(B1999),ISNUMBER(H1999)),B1999/H1999-1,""),"")</f>
        <v/>
      </c>
      <c r="J1999" s="8">
        <f>IFERROR(IF(ISNUMBER(C1999),MAX(C1999,IFERROR(J1998,C1999)),""),"")</f>
        <v/>
      </c>
      <c r="K1999" s="29">
        <f>IFERROR(IF(AND(ISNUMBER(C1999),ISNUMBER(J1999)),C1999/J1999-1,""),"")</f>
        <v/>
      </c>
      <c r="L1999" s="28">
        <f>IFERROR(IF(AND(ISNUMBER(D1999),ISNUMBER(E1999)),D1999-E1999,""),"")</f>
        <v/>
      </c>
    </row>
    <row r="2000">
      <c r="A2000" s="7">
        <f>IFERROR(Datos!A2000,"")</f>
        <v/>
      </c>
      <c r="B2000" s="8">
        <f>IFERROR(Datos!B2000,"")</f>
        <v/>
      </c>
      <c r="C2000" s="8">
        <f>IFERROR(Datos!C2000,"")</f>
        <v/>
      </c>
      <c r="D2000" s="28">
        <f>IFERROR(IF(AND(ISNUMBER(B2000),ISNUMBER(B1999),B1999&lt;&gt;0),B2000/B1999-1,""),"")</f>
        <v/>
      </c>
      <c r="E2000" s="28">
        <f>IFERROR(IF(AND(ISNUMBER(C2000),ISNUMBER(C1999),C1999&lt;&gt;0),C2000/C1999-1,""),"")</f>
        <v/>
      </c>
      <c r="F2000" s="28">
        <f>IFERROR(D2000-Dashboard!$B$4/252,"")</f>
        <v/>
      </c>
      <c r="G2000" s="28">
        <f>IFERROR(E2000-Dashboard!$B$4/252,"")</f>
        <v/>
      </c>
      <c r="H2000" s="8">
        <f>IFERROR(IF(ISNUMBER(B2000),MAX(B2000,IFERROR(H1999,B2000)),""),"")</f>
        <v/>
      </c>
      <c r="I2000" s="29">
        <f>IFERROR(IF(AND(ISNUMBER(B2000),ISNUMBER(H2000)),B2000/H2000-1,""),"")</f>
        <v/>
      </c>
      <c r="J2000" s="8">
        <f>IFERROR(IF(ISNUMBER(C2000),MAX(C2000,IFERROR(J1999,C2000)),""),"")</f>
        <v/>
      </c>
      <c r="K2000" s="29">
        <f>IFERROR(IF(AND(ISNUMBER(C2000),ISNUMBER(J2000)),C2000/J2000-1,""),"")</f>
        <v/>
      </c>
      <c r="L2000" s="28">
        <f>IFERROR(IF(AND(ISNUMBER(D2000),ISNUMBER(E2000)),D2000-E2000,""),"")</f>
        <v/>
      </c>
    </row>
    <row r="2001">
      <c r="A2001" s="7">
        <f>IFERROR(Datos!A2001,"")</f>
        <v/>
      </c>
      <c r="B2001" s="8">
        <f>IFERROR(Datos!B2001,"")</f>
        <v/>
      </c>
      <c r="C2001" s="8">
        <f>IFERROR(Datos!C2001,"")</f>
        <v/>
      </c>
      <c r="D2001" s="28">
        <f>IFERROR(IF(AND(ISNUMBER(B2001),ISNUMBER(B2000),B2000&lt;&gt;0),B2001/B2000-1,""),"")</f>
        <v/>
      </c>
      <c r="E2001" s="28">
        <f>IFERROR(IF(AND(ISNUMBER(C2001),ISNUMBER(C2000),C2000&lt;&gt;0),C2001/C2000-1,""),"")</f>
        <v/>
      </c>
      <c r="F2001" s="28">
        <f>IFERROR(D2001-Dashboard!$B$4/252,"")</f>
        <v/>
      </c>
      <c r="G2001" s="28">
        <f>IFERROR(E2001-Dashboard!$B$4/252,"")</f>
        <v/>
      </c>
      <c r="H2001" s="8">
        <f>IFERROR(IF(ISNUMBER(B2001),MAX(B2001,IFERROR(H2000,B2001)),""),"")</f>
        <v/>
      </c>
      <c r="I2001" s="29">
        <f>IFERROR(IF(AND(ISNUMBER(B2001),ISNUMBER(H2001)),B2001/H2001-1,""),"")</f>
        <v/>
      </c>
      <c r="J2001" s="8">
        <f>IFERROR(IF(ISNUMBER(C2001),MAX(C2001,IFERROR(J2000,C2001)),""),"")</f>
        <v/>
      </c>
      <c r="K2001" s="29">
        <f>IFERROR(IF(AND(ISNUMBER(C2001),ISNUMBER(J2001)),C2001/J2001-1,""),"")</f>
        <v/>
      </c>
      <c r="L2001" s="28">
        <f>IFERROR(IF(AND(ISNUMBER(D2001),ISNUMBER(E2001)),D2001-E2001,""),"")</f>
        <v/>
      </c>
    </row>
    <row r="2002">
      <c r="A2002" s="7">
        <f>IFERROR(Datos!A2002,"")</f>
        <v/>
      </c>
      <c r="B2002" s="8">
        <f>IFERROR(Datos!B2002,"")</f>
        <v/>
      </c>
      <c r="C2002" s="8">
        <f>IFERROR(Datos!C2002,"")</f>
        <v/>
      </c>
      <c r="D2002" s="28">
        <f>IFERROR(IF(AND(ISNUMBER(B2002),ISNUMBER(B2001),B2001&lt;&gt;0),B2002/B2001-1,""),"")</f>
        <v/>
      </c>
      <c r="E2002" s="28">
        <f>IFERROR(IF(AND(ISNUMBER(C2002),ISNUMBER(C2001),C2001&lt;&gt;0),C2002/C2001-1,""),"")</f>
        <v/>
      </c>
      <c r="F2002" s="28">
        <f>IFERROR(D2002-Dashboard!$B$4/252,"")</f>
        <v/>
      </c>
      <c r="G2002" s="28">
        <f>IFERROR(E2002-Dashboard!$B$4/252,"")</f>
        <v/>
      </c>
      <c r="H2002" s="8">
        <f>IFERROR(IF(ISNUMBER(B2002),MAX(B2002,IFERROR(H2001,B2002)),""),"")</f>
        <v/>
      </c>
      <c r="I2002" s="29">
        <f>IFERROR(IF(AND(ISNUMBER(B2002),ISNUMBER(H2002)),B2002/H2002-1,""),"")</f>
        <v/>
      </c>
      <c r="J2002" s="8">
        <f>IFERROR(IF(ISNUMBER(C2002),MAX(C2002,IFERROR(J2001,C2002)),""),"")</f>
        <v/>
      </c>
      <c r="K2002" s="29">
        <f>IFERROR(IF(AND(ISNUMBER(C2002),ISNUMBER(J2002)),C2002/J2002-1,""),"")</f>
        <v/>
      </c>
      <c r="L2002" s="28">
        <f>IFERROR(IF(AND(ISNUMBER(D2002),ISNUMBER(E2002)),D2002-E2002,""),"")</f>
        <v/>
      </c>
    </row>
    <row r="2003">
      <c r="A2003" s="7">
        <f>IFERROR(Datos!A2003,"")</f>
        <v/>
      </c>
      <c r="B2003" s="8">
        <f>IFERROR(Datos!B2003,"")</f>
        <v/>
      </c>
      <c r="C2003" s="8">
        <f>IFERROR(Datos!C2003,"")</f>
        <v/>
      </c>
      <c r="D2003" s="28">
        <f>IFERROR(IF(AND(ISNUMBER(B2003),ISNUMBER(B2002),B2002&lt;&gt;0),B2003/B2002-1,""),"")</f>
        <v/>
      </c>
      <c r="E2003" s="28">
        <f>IFERROR(IF(AND(ISNUMBER(C2003),ISNUMBER(C2002),C2002&lt;&gt;0),C2003/C2002-1,""),"")</f>
        <v/>
      </c>
      <c r="F2003" s="28">
        <f>IFERROR(D2003-Dashboard!$B$4/252,"")</f>
        <v/>
      </c>
      <c r="G2003" s="28">
        <f>IFERROR(E2003-Dashboard!$B$4/252,"")</f>
        <v/>
      </c>
      <c r="H2003" s="8">
        <f>IFERROR(IF(ISNUMBER(B2003),MAX(B2003,IFERROR(H2002,B2003)),""),"")</f>
        <v/>
      </c>
      <c r="I2003" s="29">
        <f>IFERROR(IF(AND(ISNUMBER(B2003),ISNUMBER(H2003)),B2003/H2003-1,""),"")</f>
        <v/>
      </c>
      <c r="J2003" s="8">
        <f>IFERROR(IF(ISNUMBER(C2003),MAX(C2003,IFERROR(J2002,C2003)),""),"")</f>
        <v/>
      </c>
      <c r="K2003" s="29">
        <f>IFERROR(IF(AND(ISNUMBER(C2003),ISNUMBER(J2003)),C2003/J2003-1,""),"")</f>
        <v/>
      </c>
      <c r="L2003" s="28">
        <f>IFERROR(IF(AND(ISNUMBER(D2003),ISNUMBER(E2003)),D2003-E2003,""),"")</f>
        <v/>
      </c>
    </row>
    <row r="2004">
      <c r="A2004" s="7">
        <f>IFERROR(Datos!A2004,"")</f>
        <v/>
      </c>
      <c r="B2004" s="8">
        <f>IFERROR(Datos!B2004,"")</f>
        <v/>
      </c>
      <c r="C2004" s="8">
        <f>IFERROR(Datos!C2004,"")</f>
        <v/>
      </c>
      <c r="D2004" s="28">
        <f>IFERROR(IF(AND(ISNUMBER(B2004),ISNUMBER(B2003),B2003&lt;&gt;0),B2004/B2003-1,""),"")</f>
        <v/>
      </c>
      <c r="E2004" s="28">
        <f>IFERROR(IF(AND(ISNUMBER(C2004),ISNUMBER(C2003),C2003&lt;&gt;0),C2004/C2003-1,""),"")</f>
        <v/>
      </c>
      <c r="F2004" s="28">
        <f>IFERROR(D2004-Dashboard!$B$4/252,"")</f>
        <v/>
      </c>
      <c r="G2004" s="28">
        <f>IFERROR(E2004-Dashboard!$B$4/252,"")</f>
        <v/>
      </c>
      <c r="H2004" s="8">
        <f>IFERROR(IF(ISNUMBER(B2004),MAX(B2004,IFERROR(H2003,B2004)),""),"")</f>
        <v/>
      </c>
      <c r="I2004" s="29">
        <f>IFERROR(IF(AND(ISNUMBER(B2004),ISNUMBER(H2004)),B2004/H2004-1,""),"")</f>
        <v/>
      </c>
      <c r="J2004" s="8">
        <f>IFERROR(IF(ISNUMBER(C2004),MAX(C2004,IFERROR(J2003,C2004)),""),"")</f>
        <v/>
      </c>
      <c r="K2004" s="29">
        <f>IFERROR(IF(AND(ISNUMBER(C2004),ISNUMBER(J2004)),C2004/J2004-1,""),"")</f>
        <v/>
      </c>
      <c r="L2004" s="28">
        <f>IFERROR(IF(AND(ISNUMBER(D2004),ISNUMBER(E2004)),D2004-E2004,""),"")</f>
        <v/>
      </c>
    </row>
    <row r="2005">
      <c r="A2005" s="7">
        <f>IFERROR(Datos!A2005,"")</f>
        <v/>
      </c>
      <c r="B2005" s="8">
        <f>IFERROR(Datos!B2005,"")</f>
        <v/>
      </c>
      <c r="C2005" s="8">
        <f>IFERROR(Datos!C2005,"")</f>
        <v/>
      </c>
      <c r="D2005" s="28">
        <f>IFERROR(IF(AND(ISNUMBER(B2005),ISNUMBER(B2004),B2004&lt;&gt;0),B2005/B2004-1,""),"")</f>
        <v/>
      </c>
      <c r="E2005" s="28">
        <f>IFERROR(IF(AND(ISNUMBER(C2005),ISNUMBER(C2004),C2004&lt;&gt;0),C2005/C2004-1,""),"")</f>
        <v/>
      </c>
      <c r="F2005" s="28">
        <f>IFERROR(D2005-Dashboard!$B$4/252,"")</f>
        <v/>
      </c>
      <c r="G2005" s="28">
        <f>IFERROR(E2005-Dashboard!$B$4/252,"")</f>
        <v/>
      </c>
      <c r="H2005" s="8">
        <f>IFERROR(IF(ISNUMBER(B2005),MAX(B2005,IFERROR(H2004,B2005)),""),"")</f>
        <v/>
      </c>
      <c r="I2005" s="29">
        <f>IFERROR(IF(AND(ISNUMBER(B2005),ISNUMBER(H2005)),B2005/H2005-1,""),"")</f>
        <v/>
      </c>
      <c r="J2005" s="8">
        <f>IFERROR(IF(ISNUMBER(C2005),MAX(C2005,IFERROR(J2004,C2005)),""),"")</f>
        <v/>
      </c>
      <c r="K2005" s="29">
        <f>IFERROR(IF(AND(ISNUMBER(C2005),ISNUMBER(J2005)),C2005/J2005-1,""),"")</f>
        <v/>
      </c>
      <c r="L2005" s="28">
        <f>IFERROR(IF(AND(ISNUMBER(D2005),ISNUMBER(E2005)),D2005-E2005,""),"")</f>
        <v/>
      </c>
    </row>
    <row r="2006">
      <c r="A2006" s="7">
        <f>IFERROR(Datos!A2006,"")</f>
        <v/>
      </c>
      <c r="B2006" s="8">
        <f>IFERROR(Datos!B2006,"")</f>
        <v/>
      </c>
      <c r="C2006" s="8">
        <f>IFERROR(Datos!C2006,"")</f>
        <v/>
      </c>
      <c r="D2006" s="28">
        <f>IFERROR(IF(AND(ISNUMBER(B2006),ISNUMBER(B2005),B2005&lt;&gt;0),B2006/B2005-1,""),"")</f>
        <v/>
      </c>
      <c r="E2006" s="28">
        <f>IFERROR(IF(AND(ISNUMBER(C2006),ISNUMBER(C2005),C2005&lt;&gt;0),C2006/C2005-1,""),"")</f>
        <v/>
      </c>
      <c r="F2006" s="28">
        <f>IFERROR(D2006-Dashboard!$B$4/252,"")</f>
        <v/>
      </c>
      <c r="G2006" s="28">
        <f>IFERROR(E2006-Dashboard!$B$4/252,"")</f>
        <v/>
      </c>
      <c r="H2006" s="8">
        <f>IFERROR(IF(ISNUMBER(B2006),MAX(B2006,IFERROR(H2005,B2006)),""),"")</f>
        <v/>
      </c>
      <c r="I2006" s="29">
        <f>IFERROR(IF(AND(ISNUMBER(B2006),ISNUMBER(H2006)),B2006/H2006-1,""),"")</f>
        <v/>
      </c>
      <c r="J2006" s="8">
        <f>IFERROR(IF(ISNUMBER(C2006),MAX(C2006,IFERROR(J2005,C2006)),""),"")</f>
        <v/>
      </c>
      <c r="K2006" s="29">
        <f>IFERROR(IF(AND(ISNUMBER(C2006),ISNUMBER(J2006)),C2006/J2006-1,""),"")</f>
        <v/>
      </c>
      <c r="L2006" s="28">
        <f>IFERROR(IF(AND(ISNUMBER(D2006),ISNUMBER(E2006)),D2006-E2006,""),"")</f>
        <v/>
      </c>
    </row>
    <row r="2007">
      <c r="A2007" s="7">
        <f>IFERROR(Datos!A2007,"")</f>
        <v/>
      </c>
      <c r="B2007" s="8">
        <f>IFERROR(Datos!B2007,"")</f>
        <v/>
      </c>
      <c r="C2007" s="8">
        <f>IFERROR(Datos!C2007,"")</f>
        <v/>
      </c>
      <c r="D2007" s="28">
        <f>IFERROR(IF(AND(ISNUMBER(B2007),ISNUMBER(B2006),B2006&lt;&gt;0),B2007/B2006-1,""),"")</f>
        <v/>
      </c>
      <c r="E2007" s="28">
        <f>IFERROR(IF(AND(ISNUMBER(C2007),ISNUMBER(C2006),C2006&lt;&gt;0),C2007/C2006-1,""),"")</f>
        <v/>
      </c>
      <c r="F2007" s="28">
        <f>IFERROR(D2007-Dashboard!$B$4/252,"")</f>
        <v/>
      </c>
      <c r="G2007" s="28">
        <f>IFERROR(E2007-Dashboard!$B$4/252,"")</f>
        <v/>
      </c>
      <c r="H2007" s="8">
        <f>IFERROR(IF(ISNUMBER(B2007),MAX(B2007,IFERROR(H2006,B2007)),""),"")</f>
        <v/>
      </c>
      <c r="I2007" s="29">
        <f>IFERROR(IF(AND(ISNUMBER(B2007),ISNUMBER(H2007)),B2007/H2007-1,""),"")</f>
        <v/>
      </c>
      <c r="J2007" s="8">
        <f>IFERROR(IF(ISNUMBER(C2007),MAX(C2007,IFERROR(J2006,C2007)),""),"")</f>
        <v/>
      </c>
      <c r="K2007" s="29">
        <f>IFERROR(IF(AND(ISNUMBER(C2007),ISNUMBER(J2007)),C2007/J2007-1,""),"")</f>
        <v/>
      </c>
      <c r="L2007" s="28">
        <f>IFERROR(IF(AND(ISNUMBER(D2007),ISNUMBER(E2007)),D2007-E2007,""),"")</f>
        <v/>
      </c>
    </row>
    <row r="2008">
      <c r="A2008" s="7">
        <f>IFERROR(Datos!A2008,"")</f>
        <v/>
      </c>
      <c r="B2008" s="8">
        <f>IFERROR(Datos!B2008,"")</f>
        <v/>
      </c>
      <c r="C2008" s="8">
        <f>IFERROR(Datos!C2008,"")</f>
        <v/>
      </c>
      <c r="D2008" s="28">
        <f>IFERROR(IF(AND(ISNUMBER(B2008),ISNUMBER(B2007),B2007&lt;&gt;0),B2008/B2007-1,""),"")</f>
        <v/>
      </c>
      <c r="E2008" s="28">
        <f>IFERROR(IF(AND(ISNUMBER(C2008),ISNUMBER(C2007),C2007&lt;&gt;0),C2008/C2007-1,""),"")</f>
        <v/>
      </c>
      <c r="F2008" s="28">
        <f>IFERROR(D2008-Dashboard!$B$4/252,"")</f>
        <v/>
      </c>
      <c r="G2008" s="28">
        <f>IFERROR(E2008-Dashboard!$B$4/252,"")</f>
        <v/>
      </c>
      <c r="H2008" s="8">
        <f>IFERROR(IF(ISNUMBER(B2008),MAX(B2008,IFERROR(H2007,B2008)),""),"")</f>
        <v/>
      </c>
      <c r="I2008" s="29">
        <f>IFERROR(IF(AND(ISNUMBER(B2008),ISNUMBER(H2008)),B2008/H2008-1,""),"")</f>
        <v/>
      </c>
      <c r="J2008" s="8">
        <f>IFERROR(IF(ISNUMBER(C2008),MAX(C2008,IFERROR(J2007,C2008)),""),"")</f>
        <v/>
      </c>
      <c r="K2008" s="29">
        <f>IFERROR(IF(AND(ISNUMBER(C2008),ISNUMBER(J2008)),C2008/J2008-1,""),"")</f>
        <v/>
      </c>
      <c r="L2008" s="28">
        <f>IFERROR(IF(AND(ISNUMBER(D2008),ISNUMBER(E2008)),D2008-E2008,""),"")</f>
        <v/>
      </c>
    </row>
    <row r="2009">
      <c r="A2009" s="7">
        <f>IFERROR(Datos!A2009,"")</f>
        <v/>
      </c>
      <c r="B2009" s="8">
        <f>IFERROR(Datos!B2009,"")</f>
        <v/>
      </c>
      <c r="C2009" s="8">
        <f>IFERROR(Datos!C2009,"")</f>
        <v/>
      </c>
      <c r="D2009" s="28">
        <f>IFERROR(IF(AND(ISNUMBER(B2009),ISNUMBER(B2008),B2008&lt;&gt;0),B2009/B2008-1,""),"")</f>
        <v/>
      </c>
      <c r="E2009" s="28">
        <f>IFERROR(IF(AND(ISNUMBER(C2009),ISNUMBER(C2008),C2008&lt;&gt;0),C2009/C2008-1,""),"")</f>
        <v/>
      </c>
      <c r="F2009" s="28">
        <f>IFERROR(D2009-Dashboard!$B$4/252,"")</f>
        <v/>
      </c>
      <c r="G2009" s="28">
        <f>IFERROR(E2009-Dashboard!$B$4/252,"")</f>
        <v/>
      </c>
      <c r="H2009" s="8">
        <f>IFERROR(IF(ISNUMBER(B2009),MAX(B2009,IFERROR(H2008,B2009)),""),"")</f>
        <v/>
      </c>
      <c r="I2009" s="29">
        <f>IFERROR(IF(AND(ISNUMBER(B2009),ISNUMBER(H2009)),B2009/H2009-1,""),"")</f>
        <v/>
      </c>
      <c r="J2009" s="8">
        <f>IFERROR(IF(ISNUMBER(C2009),MAX(C2009,IFERROR(J2008,C2009)),""),"")</f>
        <v/>
      </c>
      <c r="K2009" s="29">
        <f>IFERROR(IF(AND(ISNUMBER(C2009),ISNUMBER(J2009)),C2009/J2009-1,""),"")</f>
        <v/>
      </c>
      <c r="L2009" s="28">
        <f>IFERROR(IF(AND(ISNUMBER(D2009),ISNUMBER(E2009)),D2009-E2009,""),"")</f>
        <v/>
      </c>
    </row>
    <row r="2010">
      <c r="A2010" s="7">
        <f>IFERROR(Datos!A2010,"")</f>
        <v/>
      </c>
      <c r="B2010" s="8">
        <f>IFERROR(Datos!B2010,"")</f>
        <v/>
      </c>
      <c r="C2010" s="8">
        <f>IFERROR(Datos!C2010,"")</f>
        <v/>
      </c>
      <c r="D2010" s="28">
        <f>IFERROR(IF(AND(ISNUMBER(B2010),ISNUMBER(B2009),B2009&lt;&gt;0),B2010/B2009-1,""),"")</f>
        <v/>
      </c>
      <c r="E2010" s="28">
        <f>IFERROR(IF(AND(ISNUMBER(C2010),ISNUMBER(C2009),C2009&lt;&gt;0),C2010/C2009-1,""),"")</f>
        <v/>
      </c>
      <c r="F2010" s="28">
        <f>IFERROR(D2010-Dashboard!$B$4/252,"")</f>
        <v/>
      </c>
      <c r="G2010" s="28">
        <f>IFERROR(E2010-Dashboard!$B$4/252,"")</f>
        <v/>
      </c>
      <c r="H2010" s="8">
        <f>IFERROR(IF(ISNUMBER(B2010),MAX(B2010,IFERROR(H2009,B2010)),""),"")</f>
        <v/>
      </c>
      <c r="I2010" s="29">
        <f>IFERROR(IF(AND(ISNUMBER(B2010),ISNUMBER(H2010)),B2010/H2010-1,""),"")</f>
        <v/>
      </c>
      <c r="J2010" s="8">
        <f>IFERROR(IF(ISNUMBER(C2010),MAX(C2010,IFERROR(J2009,C2010)),""),"")</f>
        <v/>
      </c>
      <c r="K2010" s="29">
        <f>IFERROR(IF(AND(ISNUMBER(C2010),ISNUMBER(J2010)),C2010/J2010-1,""),"")</f>
        <v/>
      </c>
      <c r="L2010" s="28">
        <f>IFERROR(IF(AND(ISNUMBER(D2010),ISNUMBER(E2010)),D2010-E2010,""),"")</f>
        <v/>
      </c>
    </row>
    <row r="2011">
      <c r="A2011" s="7">
        <f>IFERROR(Datos!A2011,"")</f>
        <v/>
      </c>
      <c r="B2011" s="8">
        <f>IFERROR(Datos!B2011,"")</f>
        <v/>
      </c>
      <c r="C2011" s="8">
        <f>IFERROR(Datos!C2011,"")</f>
        <v/>
      </c>
      <c r="D2011" s="28">
        <f>IFERROR(IF(AND(ISNUMBER(B2011),ISNUMBER(B2010),B2010&lt;&gt;0),B2011/B2010-1,""),"")</f>
        <v/>
      </c>
      <c r="E2011" s="28">
        <f>IFERROR(IF(AND(ISNUMBER(C2011),ISNUMBER(C2010),C2010&lt;&gt;0),C2011/C2010-1,""),"")</f>
        <v/>
      </c>
      <c r="F2011" s="28">
        <f>IFERROR(D2011-Dashboard!$B$4/252,"")</f>
        <v/>
      </c>
      <c r="G2011" s="28">
        <f>IFERROR(E2011-Dashboard!$B$4/252,"")</f>
        <v/>
      </c>
      <c r="H2011" s="8">
        <f>IFERROR(IF(ISNUMBER(B2011),MAX(B2011,IFERROR(H2010,B2011)),""),"")</f>
        <v/>
      </c>
      <c r="I2011" s="29">
        <f>IFERROR(IF(AND(ISNUMBER(B2011),ISNUMBER(H2011)),B2011/H2011-1,""),"")</f>
        <v/>
      </c>
      <c r="J2011" s="8">
        <f>IFERROR(IF(ISNUMBER(C2011),MAX(C2011,IFERROR(J2010,C2011)),""),"")</f>
        <v/>
      </c>
      <c r="K2011" s="29">
        <f>IFERROR(IF(AND(ISNUMBER(C2011),ISNUMBER(J2011)),C2011/J2011-1,""),"")</f>
        <v/>
      </c>
      <c r="L2011" s="28">
        <f>IFERROR(IF(AND(ISNUMBER(D2011),ISNUMBER(E2011)),D2011-E2011,""),"")</f>
        <v/>
      </c>
    </row>
    <row r="2012">
      <c r="A2012" s="7">
        <f>IFERROR(Datos!A2012,"")</f>
        <v/>
      </c>
      <c r="B2012" s="8">
        <f>IFERROR(Datos!B2012,"")</f>
        <v/>
      </c>
      <c r="C2012" s="8">
        <f>IFERROR(Datos!C2012,"")</f>
        <v/>
      </c>
      <c r="D2012" s="28">
        <f>IFERROR(IF(AND(ISNUMBER(B2012),ISNUMBER(B2011),B2011&lt;&gt;0),B2012/B2011-1,""),"")</f>
        <v/>
      </c>
      <c r="E2012" s="28">
        <f>IFERROR(IF(AND(ISNUMBER(C2012),ISNUMBER(C2011),C2011&lt;&gt;0),C2012/C2011-1,""),"")</f>
        <v/>
      </c>
      <c r="F2012" s="28">
        <f>IFERROR(D2012-Dashboard!$B$4/252,"")</f>
        <v/>
      </c>
      <c r="G2012" s="28">
        <f>IFERROR(E2012-Dashboard!$B$4/252,"")</f>
        <v/>
      </c>
      <c r="H2012" s="8">
        <f>IFERROR(IF(ISNUMBER(B2012),MAX(B2012,IFERROR(H2011,B2012)),""),"")</f>
        <v/>
      </c>
      <c r="I2012" s="29">
        <f>IFERROR(IF(AND(ISNUMBER(B2012),ISNUMBER(H2012)),B2012/H2012-1,""),"")</f>
        <v/>
      </c>
      <c r="J2012" s="8">
        <f>IFERROR(IF(ISNUMBER(C2012),MAX(C2012,IFERROR(J2011,C2012)),""),"")</f>
        <v/>
      </c>
      <c r="K2012" s="29">
        <f>IFERROR(IF(AND(ISNUMBER(C2012),ISNUMBER(J2012)),C2012/J2012-1,""),"")</f>
        <v/>
      </c>
      <c r="L2012" s="28">
        <f>IFERROR(IF(AND(ISNUMBER(D2012),ISNUMBER(E2012)),D2012-E2012,""),"")</f>
        <v/>
      </c>
    </row>
    <row r="2013">
      <c r="A2013" s="7">
        <f>IFERROR(Datos!A2013,"")</f>
        <v/>
      </c>
      <c r="B2013" s="8">
        <f>IFERROR(Datos!B2013,"")</f>
        <v/>
      </c>
      <c r="C2013" s="8">
        <f>IFERROR(Datos!C2013,"")</f>
        <v/>
      </c>
      <c r="D2013" s="28">
        <f>IFERROR(IF(AND(ISNUMBER(B2013),ISNUMBER(B2012),B2012&lt;&gt;0),B2013/B2012-1,""),"")</f>
        <v/>
      </c>
      <c r="E2013" s="28">
        <f>IFERROR(IF(AND(ISNUMBER(C2013),ISNUMBER(C2012),C2012&lt;&gt;0),C2013/C2012-1,""),"")</f>
        <v/>
      </c>
      <c r="F2013" s="28">
        <f>IFERROR(D2013-Dashboard!$B$4/252,"")</f>
        <v/>
      </c>
      <c r="G2013" s="28">
        <f>IFERROR(E2013-Dashboard!$B$4/252,"")</f>
        <v/>
      </c>
      <c r="H2013" s="8">
        <f>IFERROR(IF(ISNUMBER(B2013),MAX(B2013,IFERROR(H2012,B2013)),""),"")</f>
        <v/>
      </c>
      <c r="I2013" s="29">
        <f>IFERROR(IF(AND(ISNUMBER(B2013),ISNUMBER(H2013)),B2013/H2013-1,""),"")</f>
        <v/>
      </c>
      <c r="J2013" s="8">
        <f>IFERROR(IF(ISNUMBER(C2013),MAX(C2013,IFERROR(J2012,C2013)),""),"")</f>
        <v/>
      </c>
      <c r="K2013" s="29">
        <f>IFERROR(IF(AND(ISNUMBER(C2013),ISNUMBER(J2013)),C2013/J2013-1,""),"")</f>
        <v/>
      </c>
      <c r="L2013" s="28">
        <f>IFERROR(IF(AND(ISNUMBER(D2013),ISNUMBER(E2013)),D2013-E2013,""),"")</f>
        <v/>
      </c>
    </row>
    <row r="2014">
      <c r="A2014" s="7">
        <f>IFERROR(Datos!A2014,"")</f>
        <v/>
      </c>
      <c r="B2014" s="8">
        <f>IFERROR(Datos!B2014,"")</f>
        <v/>
      </c>
      <c r="C2014" s="8">
        <f>IFERROR(Datos!C2014,"")</f>
        <v/>
      </c>
      <c r="D2014" s="28">
        <f>IFERROR(IF(AND(ISNUMBER(B2014),ISNUMBER(B2013),B2013&lt;&gt;0),B2014/B2013-1,""),"")</f>
        <v/>
      </c>
      <c r="E2014" s="28">
        <f>IFERROR(IF(AND(ISNUMBER(C2014),ISNUMBER(C2013),C2013&lt;&gt;0),C2014/C2013-1,""),"")</f>
        <v/>
      </c>
      <c r="F2014" s="28">
        <f>IFERROR(D2014-Dashboard!$B$4/252,"")</f>
        <v/>
      </c>
      <c r="G2014" s="28">
        <f>IFERROR(E2014-Dashboard!$B$4/252,"")</f>
        <v/>
      </c>
      <c r="H2014" s="8">
        <f>IFERROR(IF(ISNUMBER(B2014),MAX(B2014,IFERROR(H2013,B2014)),""),"")</f>
        <v/>
      </c>
      <c r="I2014" s="29">
        <f>IFERROR(IF(AND(ISNUMBER(B2014),ISNUMBER(H2014)),B2014/H2014-1,""),"")</f>
        <v/>
      </c>
      <c r="J2014" s="8">
        <f>IFERROR(IF(ISNUMBER(C2014),MAX(C2014,IFERROR(J2013,C2014)),""),"")</f>
        <v/>
      </c>
      <c r="K2014" s="29">
        <f>IFERROR(IF(AND(ISNUMBER(C2014),ISNUMBER(J2014)),C2014/J2014-1,""),"")</f>
        <v/>
      </c>
      <c r="L2014" s="28">
        <f>IFERROR(IF(AND(ISNUMBER(D2014),ISNUMBER(E2014)),D2014-E2014,""),"")</f>
        <v/>
      </c>
    </row>
    <row r="2015">
      <c r="A2015" s="7">
        <f>IFERROR(Datos!A2015,"")</f>
        <v/>
      </c>
      <c r="B2015" s="8">
        <f>IFERROR(Datos!B2015,"")</f>
        <v/>
      </c>
      <c r="C2015" s="8">
        <f>IFERROR(Datos!C2015,"")</f>
        <v/>
      </c>
      <c r="D2015" s="28">
        <f>IFERROR(IF(AND(ISNUMBER(B2015),ISNUMBER(B2014),B2014&lt;&gt;0),B2015/B2014-1,""),"")</f>
        <v/>
      </c>
      <c r="E2015" s="28">
        <f>IFERROR(IF(AND(ISNUMBER(C2015),ISNUMBER(C2014),C2014&lt;&gt;0),C2015/C2014-1,""),"")</f>
        <v/>
      </c>
      <c r="F2015" s="28">
        <f>IFERROR(D2015-Dashboard!$B$4/252,"")</f>
        <v/>
      </c>
      <c r="G2015" s="28">
        <f>IFERROR(E2015-Dashboard!$B$4/252,"")</f>
        <v/>
      </c>
      <c r="H2015" s="8">
        <f>IFERROR(IF(ISNUMBER(B2015),MAX(B2015,IFERROR(H2014,B2015)),""),"")</f>
        <v/>
      </c>
      <c r="I2015" s="29">
        <f>IFERROR(IF(AND(ISNUMBER(B2015),ISNUMBER(H2015)),B2015/H2015-1,""),"")</f>
        <v/>
      </c>
      <c r="J2015" s="8">
        <f>IFERROR(IF(ISNUMBER(C2015),MAX(C2015,IFERROR(J2014,C2015)),""),"")</f>
        <v/>
      </c>
      <c r="K2015" s="29">
        <f>IFERROR(IF(AND(ISNUMBER(C2015),ISNUMBER(J2015)),C2015/J2015-1,""),"")</f>
        <v/>
      </c>
      <c r="L2015" s="28">
        <f>IFERROR(IF(AND(ISNUMBER(D2015),ISNUMBER(E2015)),D2015-E2015,""),"")</f>
        <v/>
      </c>
    </row>
    <row r="2016">
      <c r="A2016" s="7">
        <f>IFERROR(Datos!A2016,"")</f>
        <v/>
      </c>
      <c r="B2016" s="8">
        <f>IFERROR(Datos!B2016,"")</f>
        <v/>
      </c>
      <c r="C2016" s="8">
        <f>IFERROR(Datos!C2016,"")</f>
        <v/>
      </c>
      <c r="D2016" s="28">
        <f>IFERROR(IF(AND(ISNUMBER(B2016),ISNUMBER(B2015),B2015&lt;&gt;0),B2016/B2015-1,""),"")</f>
        <v/>
      </c>
      <c r="E2016" s="28">
        <f>IFERROR(IF(AND(ISNUMBER(C2016),ISNUMBER(C2015),C2015&lt;&gt;0),C2016/C2015-1,""),"")</f>
        <v/>
      </c>
      <c r="F2016" s="28">
        <f>IFERROR(D2016-Dashboard!$B$4/252,"")</f>
        <v/>
      </c>
      <c r="G2016" s="28">
        <f>IFERROR(E2016-Dashboard!$B$4/252,"")</f>
        <v/>
      </c>
      <c r="H2016" s="8">
        <f>IFERROR(IF(ISNUMBER(B2016),MAX(B2016,IFERROR(H2015,B2016)),""),"")</f>
        <v/>
      </c>
      <c r="I2016" s="29">
        <f>IFERROR(IF(AND(ISNUMBER(B2016),ISNUMBER(H2016)),B2016/H2016-1,""),"")</f>
        <v/>
      </c>
      <c r="J2016" s="8">
        <f>IFERROR(IF(ISNUMBER(C2016),MAX(C2016,IFERROR(J2015,C2016)),""),"")</f>
        <v/>
      </c>
      <c r="K2016" s="29">
        <f>IFERROR(IF(AND(ISNUMBER(C2016),ISNUMBER(J2016)),C2016/J2016-1,""),"")</f>
        <v/>
      </c>
      <c r="L2016" s="28">
        <f>IFERROR(IF(AND(ISNUMBER(D2016),ISNUMBER(E2016)),D2016-E2016,""),"")</f>
        <v/>
      </c>
    </row>
    <row r="2017">
      <c r="A2017" s="7">
        <f>IFERROR(Datos!A2017,"")</f>
        <v/>
      </c>
      <c r="B2017" s="8">
        <f>IFERROR(Datos!B2017,"")</f>
        <v/>
      </c>
      <c r="C2017" s="8">
        <f>IFERROR(Datos!C2017,"")</f>
        <v/>
      </c>
      <c r="D2017" s="28">
        <f>IFERROR(IF(AND(ISNUMBER(B2017),ISNUMBER(B2016),B2016&lt;&gt;0),B2017/B2016-1,""),"")</f>
        <v/>
      </c>
      <c r="E2017" s="28">
        <f>IFERROR(IF(AND(ISNUMBER(C2017),ISNUMBER(C2016),C2016&lt;&gt;0),C2017/C2016-1,""),"")</f>
        <v/>
      </c>
      <c r="F2017" s="28">
        <f>IFERROR(D2017-Dashboard!$B$4/252,"")</f>
        <v/>
      </c>
      <c r="G2017" s="28">
        <f>IFERROR(E2017-Dashboard!$B$4/252,"")</f>
        <v/>
      </c>
      <c r="H2017" s="8">
        <f>IFERROR(IF(ISNUMBER(B2017),MAX(B2017,IFERROR(H2016,B2017)),""),"")</f>
        <v/>
      </c>
      <c r="I2017" s="29">
        <f>IFERROR(IF(AND(ISNUMBER(B2017),ISNUMBER(H2017)),B2017/H2017-1,""),"")</f>
        <v/>
      </c>
      <c r="J2017" s="8">
        <f>IFERROR(IF(ISNUMBER(C2017),MAX(C2017,IFERROR(J2016,C2017)),""),"")</f>
        <v/>
      </c>
      <c r="K2017" s="29">
        <f>IFERROR(IF(AND(ISNUMBER(C2017),ISNUMBER(J2017)),C2017/J2017-1,""),"")</f>
        <v/>
      </c>
      <c r="L2017" s="28">
        <f>IFERROR(IF(AND(ISNUMBER(D2017),ISNUMBER(E2017)),D2017-E2017,""),"")</f>
        <v/>
      </c>
    </row>
    <row r="2018">
      <c r="A2018" s="7">
        <f>IFERROR(Datos!A2018,"")</f>
        <v/>
      </c>
      <c r="B2018" s="8">
        <f>IFERROR(Datos!B2018,"")</f>
        <v/>
      </c>
      <c r="C2018" s="8">
        <f>IFERROR(Datos!C2018,"")</f>
        <v/>
      </c>
      <c r="D2018" s="28">
        <f>IFERROR(IF(AND(ISNUMBER(B2018),ISNUMBER(B2017),B2017&lt;&gt;0),B2018/B2017-1,""),"")</f>
        <v/>
      </c>
      <c r="E2018" s="28">
        <f>IFERROR(IF(AND(ISNUMBER(C2018),ISNUMBER(C2017),C2017&lt;&gt;0),C2018/C2017-1,""),"")</f>
        <v/>
      </c>
      <c r="F2018" s="28">
        <f>IFERROR(D2018-Dashboard!$B$4/252,"")</f>
        <v/>
      </c>
      <c r="G2018" s="28">
        <f>IFERROR(E2018-Dashboard!$B$4/252,"")</f>
        <v/>
      </c>
      <c r="H2018" s="8">
        <f>IFERROR(IF(ISNUMBER(B2018),MAX(B2018,IFERROR(H2017,B2018)),""),"")</f>
        <v/>
      </c>
      <c r="I2018" s="29">
        <f>IFERROR(IF(AND(ISNUMBER(B2018),ISNUMBER(H2018)),B2018/H2018-1,""),"")</f>
        <v/>
      </c>
      <c r="J2018" s="8">
        <f>IFERROR(IF(ISNUMBER(C2018),MAX(C2018,IFERROR(J2017,C2018)),""),"")</f>
        <v/>
      </c>
      <c r="K2018" s="29">
        <f>IFERROR(IF(AND(ISNUMBER(C2018),ISNUMBER(J2018)),C2018/J2018-1,""),"")</f>
        <v/>
      </c>
      <c r="L2018" s="28">
        <f>IFERROR(IF(AND(ISNUMBER(D2018),ISNUMBER(E2018)),D2018-E2018,""),"")</f>
        <v/>
      </c>
    </row>
    <row r="2019">
      <c r="A2019" s="7">
        <f>IFERROR(Datos!A2019,"")</f>
        <v/>
      </c>
      <c r="B2019" s="8">
        <f>IFERROR(Datos!B2019,"")</f>
        <v/>
      </c>
      <c r="C2019" s="8">
        <f>IFERROR(Datos!C2019,"")</f>
        <v/>
      </c>
      <c r="D2019" s="28">
        <f>IFERROR(IF(AND(ISNUMBER(B2019),ISNUMBER(B2018),B2018&lt;&gt;0),B2019/B2018-1,""),"")</f>
        <v/>
      </c>
      <c r="E2019" s="28">
        <f>IFERROR(IF(AND(ISNUMBER(C2019),ISNUMBER(C2018),C2018&lt;&gt;0),C2019/C2018-1,""),"")</f>
        <v/>
      </c>
      <c r="F2019" s="28">
        <f>IFERROR(D2019-Dashboard!$B$4/252,"")</f>
        <v/>
      </c>
      <c r="G2019" s="28">
        <f>IFERROR(E2019-Dashboard!$B$4/252,"")</f>
        <v/>
      </c>
      <c r="H2019" s="8">
        <f>IFERROR(IF(ISNUMBER(B2019),MAX(B2019,IFERROR(H2018,B2019)),""),"")</f>
        <v/>
      </c>
      <c r="I2019" s="29">
        <f>IFERROR(IF(AND(ISNUMBER(B2019),ISNUMBER(H2019)),B2019/H2019-1,""),"")</f>
        <v/>
      </c>
      <c r="J2019" s="8">
        <f>IFERROR(IF(ISNUMBER(C2019),MAX(C2019,IFERROR(J2018,C2019)),""),"")</f>
        <v/>
      </c>
      <c r="K2019" s="29">
        <f>IFERROR(IF(AND(ISNUMBER(C2019),ISNUMBER(J2019)),C2019/J2019-1,""),"")</f>
        <v/>
      </c>
      <c r="L2019" s="28">
        <f>IFERROR(IF(AND(ISNUMBER(D2019),ISNUMBER(E2019)),D2019-E2019,""),"")</f>
        <v/>
      </c>
    </row>
    <row r="2020">
      <c r="A2020" s="7">
        <f>IFERROR(Datos!A2020,"")</f>
        <v/>
      </c>
      <c r="B2020" s="8">
        <f>IFERROR(Datos!B2020,"")</f>
        <v/>
      </c>
      <c r="C2020" s="8">
        <f>IFERROR(Datos!C2020,"")</f>
        <v/>
      </c>
      <c r="D2020" s="28">
        <f>IFERROR(IF(AND(ISNUMBER(B2020),ISNUMBER(B2019),B2019&lt;&gt;0),B2020/B2019-1,""),"")</f>
        <v/>
      </c>
      <c r="E2020" s="28">
        <f>IFERROR(IF(AND(ISNUMBER(C2020),ISNUMBER(C2019),C2019&lt;&gt;0),C2020/C2019-1,""),"")</f>
        <v/>
      </c>
      <c r="F2020" s="28">
        <f>IFERROR(D2020-Dashboard!$B$4/252,"")</f>
        <v/>
      </c>
      <c r="G2020" s="28">
        <f>IFERROR(E2020-Dashboard!$B$4/252,"")</f>
        <v/>
      </c>
      <c r="H2020" s="8">
        <f>IFERROR(IF(ISNUMBER(B2020),MAX(B2020,IFERROR(H2019,B2020)),""),"")</f>
        <v/>
      </c>
      <c r="I2020" s="29">
        <f>IFERROR(IF(AND(ISNUMBER(B2020),ISNUMBER(H2020)),B2020/H2020-1,""),"")</f>
        <v/>
      </c>
      <c r="J2020" s="8">
        <f>IFERROR(IF(ISNUMBER(C2020),MAX(C2020,IFERROR(J2019,C2020)),""),"")</f>
        <v/>
      </c>
      <c r="K2020" s="29">
        <f>IFERROR(IF(AND(ISNUMBER(C2020),ISNUMBER(J2020)),C2020/J2020-1,""),"")</f>
        <v/>
      </c>
      <c r="L2020" s="28">
        <f>IFERROR(IF(AND(ISNUMBER(D2020),ISNUMBER(E2020)),D2020-E2020,""),"")</f>
        <v/>
      </c>
    </row>
    <row r="2021">
      <c r="A2021" s="7">
        <f>IFERROR(Datos!A2021,"")</f>
        <v/>
      </c>
      <c r="B2021" s="8">
        <f>IFERROR(Datos!B2021,"")</f>
        <v/>
      </c>
      <c r="C2021" s="8">
        <f>IFERROR(Datos!C2021,"")</f>
        <v/>
      </c>
      <c r="D2021" s="28">
        <f>IFERROR(IF(AND(ISNUMBER(B2021),ISNUMBER(B2020),B2020&lt;&gt;0),B2021/B2020-1,""),"")</f>
        <v/>
      </c>
      <c r="E2021" s="28">
        <f>IFERROR(IF(AND(ISNUMBER(C2021),ISNUMBER(C2020),C2020&lt;&gt;0),C2021/C2020-1,""),"")</f>
        <v/>
      </c>
      <c r="F2021" s="28">
        <f>IFERROR(D2021-Dashboard!$B$4/252,"")</f>
        <v/>
      </c>
      <c r="G2021" s="28">
        <f>IFERROR(E2021-Dashboard!$B$4/252,"")</f>
        <v/>
      </c>
      <c r="H2021" s="8">
        <f>IFERROR(IF(ISNUMBER(B2021),MAX(B2021,IFERROR(H2020,B2021)),""),"")</f>
        <v/>
      </c>
      <c r="I2021" s="29">
        <f>IFERROR(IF(AND(ISNUMBER(B2021),ISNUMBER(H2021)),B2021/H2021-1,""),"")</f>
        <v/>
      </c>
      <c r="J2021" s="8">
        <f>IFERROR(IF(ISNUMBER(C2021),MAX(C2021,IFERROR(J2020,C2021)),""),"")</f>
        <v/>
      </c>
      <c r="K2021" s="29">
        <f>IFERROR(IF(AND(ISNUMBER(C2021),ISNUMBER(J2021)),C2021/J2021-1,""),"")</f>
        <v/>
      </c>
      <c r="L2021" s="28">
        <f>IFERROR(IF(AND(ISNUMBER(D2021),ISNUMBER(E2021)),D2021-E2021,""),"")</f>
        <v/>
      </c>
    </row>
    <row r="2022">
      <c r="A2022" s="7">
        <f>IFERROR(Datos!A2022,"")</f>
        <v/>
      </c>
      <c r="B2022" s="8">
        <f>IFERROR(Datos!B2022,"")</f>
        <v/>
      </c>
      <c r="C2022" s="8">
        <f>IFERROR(Datos!C2022,"")</f>
        <v/>
      </c>
      <c r="D2022" s="28">
        <f>IFERROR(IF(AND(ISNUMBER(B2022),ISNUMBER(B2021),B2021&lt;&gt;0),B2022/B2021-1,""),"")</f>
        <v/>
      </c>
      <c r="E2022" s="28">
        <f>IFERROR(IF(AND(ISNUMBER(C2022),ISNUMBER(C2021),C2021&lt;&gt;0),C2022/C2021-1,""),"")</f>
        <v/>
      </c>
      <c r="F2022" s="28">
        <f>IFERROR(D2022-Dashboard!$B$4/252,"")</f>
        <v/>
      </c>
      <c r="G2022" s="28">
        <f>IFERROR(E2022-Dashboard!$B$4/252,"")</f>
        <v/>
      </c>
      <c r="H2022" s="8">
        <f>IFERROR(IF(ISNUMBER(B2022),MAX(B2022,IFERROR(H2021,B2022)),""),"")</f>
        <v/>
      </c>
      <c r="I2022" s="29">
        <f>IFERROR(IF(AND(ISNUMBER(B2022),ISNUMBER(H2022)),B2022/H2022-1,""),"")</f>
        <v/>
      </c>
      <c r="J2022" s="8">
        <f>IFERROR(IF(ISNUMBER(C2022),MAX(C2022,IFERROR(J2021,C2022)),""),"")</f>
        <v/>
      </c>
      <c r="K2022" s="29">
        <f>IFERROR(IF(AND(ISNUMBER(C2022),ISNUMBER(J2022)),C2022/J2022-1,""),"")</f>
        <v/>
      </c>
      <c r="L2022" s="28">
        <f>IFERROR(IF(AND(ISNUMBER(D2022),ISNUMBER(E2022)),D2022-E2022,""),"")</f>
        <v/>
      </c>
    </row>
    <row r="2023">
      <c r="A2023" s="7">
        <f>IFERROR(Datos!A2023,"")</f>
        <v/>
      </c>
      <c r="B2023" s="8">
        <f>IFERROR(Datos!B2023,"")</f>
        <v/>
      </c>
      <c r="C2023" s="8">
        <f>IFERROR(Datos!C2023,"")</f>
        <v/>
      </c>
      <c r="D2023" s="28">
        <f>IFERROR(IF(AND(ISNUMBER(B2023),ISNUMBER(B2022),B2022&lt;&gt;0),B2023/B2022-1,""),"")</f>
        <v/>
      </c>
      <c r="E2023" s="28">
        <f>IFERROR(IF(AND(ISNUMBER(C2023),ISNUMBER(C2022),C2022&lt;&gt;0),C2023/C2022-1,""),"")</f>
        <v/>
      </c>
      <c r="F2023" s="28">
        <f>IFERROR(D2023-Dashboard!$B$4/252,"")</f>
        <v/>
      </c>
      <c r="G2023" s="28">
        <f>IFERROR(E2023-Dashboard!$B$4/252,"")</f>
        <v/>
      </c>
      <c r="H2023" s="8">
        <f>IFERROR(IF(ISNUMBER(B2023),MAX(B2023,IFERROR(H2022,B2023)),""),"")</f>
        <v/>
      </c>
      <c r="I2023" s="29">
        <f>IFERROR(IF(AND(ISNUMBER(B2023),ISNUMBER(H2023)),B2023/H2023-1,""),"")</f>
        <v/>
      </c>
      <c r="J2023" s="8">
        <f>IFERROR(IF(ISNUMBER(C2023),MAX(C2023,IFERROR(J2022,C2023)),""),"")</f>
        <v/>
      </c>
      <c r="K2023" s="29">
        <f>IFERROR(IF(AND(ISNUMBER(C2023),ISNUMBER(J2023)),C2023/J2023-1,""),"")</f>
        <v/>
      </c>
      <c r="L2023" s="28">
        <f>IFERROR(IF(AND(ISNUMBER(D2023),ISNUMBER(E2023)),D2023-E2023,""),"")</f>
        <v/>
      </c>
    </row>
    <row r="2024">
      <c r="A2024" s="7">
        <f>IFERROR(Datos!A2024,"")</f>
        <v/>
      </c>
      <c r="B2024" s="8">
        <f>IFERROR(Datos!B2024,"")</f>
        <v/>
      </c>
      <c r="C2024" s="8">
        <f>IFERROR(Datos!C2024,"")</f>
        <v/>
      </c>
      <c r="D2024" s="28">
        <f>IFERROR(IF(AND(ISNUMBER(B2024),ISNUMBER(B2023),B2023&lt;&gt;0),B2024/B2023-1,""),"")</f>
        <v/>
      </c>
      <c r="E2024" s="28">
        <f>IFERROR(IF(AND(ISNUMBER(C2024),ISNUMBER(C2023),C2023&lt;&gt;0),C2024/C2023-1,""),"")</f>
        <v/>
      </c>
      <c r="F2024" s="28">
        <f>IFERROR(D2024-Dashboard!$B$4/252,"")</f>
        <v/>
      </c>
      <c r="G2024" s="28">
        <f>IFERROR(E2024-Dashboard!$B$4/252,"")</f>
        <v/>
      </c>
      <c r="H2024" s="8">
        <f>IFERROR(IF(ISNUMBER(B2024),MAX(B2024,IFERROR(H2023,B2024)),""),"")</f>
        <v/>
      </c>
      <c r="I2024" s="29">
        <f>IFERROR(IF(AND(ISNUMBER(B2024),ISNUMBER(H2024)),B2024/H2024-1,""),"")</f>
        <v/>
      </c>
      <c r="J2024" s="8">
        <f>IFERROR(IF(ISNUMBER(C2024),MAX(C2024,IFERROR(J2023,C2024)),""),"")</f>
        <v/>
      </c>
      <c r="K2024" s="29">
        <f>IFERROR(IF(AND(ISNUMBER(C2024),ISNUMBER(J2024)),C2024/J2024-1,""),"")</f>
        <v/>
      </c>
      <c r="L2024" s="28">
        <f>IFERROR(IF(AND(ISNUMBER(D2024),ISNUMBER(E2024)),D2024-E2024,""),"")</f>
        <v/>
      </c>
    </row>
    <row r="2025">
      <c r="A2025" s="7">
        <f>IFERROR(Datos!A2025,"")</f>
        <v/>
      </c>
      <c r="B2025" s="8">
        <f>IFERROR(Datos!B2025,"")</f>
        <v/>
      </c>
      <c r="C2025" s="8">
        <f>IFERROR(Datos!C2025,"")</f>
        <v/>
      </c>
      <c r="D2025" s="28">
        <f>IFERROR(IF(AND(ISNUMBER(B2025),ISNUMBER(B2024),B2024&lt;&gt;0),B2025/B2024-1,""),"")</f>
        <v/>
      </c>
      <c r="E2025" s="28">
        <f>IFERROR(IF(AND(ISNUMBER(C2025),ISNUMBER(C2024),C2024&lt;&gt;0),C2025/C2024-1,""),"")</f>
        <v/>
      </c>
      <c r="F2025" s="28">
        <f>IFERROR(D2025-Dashboard!$B$4/252,"")</f>
        <v/>
      </c>
      <c r="G2025" s="28">
        <f>IFERROR(E2025-Dashboard!$B$4/252,"")</f>
        <v/>
      </c>
      <c r="H2025" s="8">
        <f>IFERROR(IF(ISNUMBER(B2025),MAX(B2025,IFERROR(H2024,B2025)),""),"")</f>
        <v/>
      </c>
      <c r="I2025" s="29">
        <f>IFERROR(IF(AND(ISNUMBER(B2025),ISNUMBER(H2025)),B2025/H2025-1,""),"")</f>
        <v/>
      </c>
      <c r="J2025" s="8">
        <f>IFERROR(IF(ISNUMBER(C2025),MAX(C2025,IFERROR(J2024,C2025)),""),"")</f>
        <v/>
      </c>
      <c r="K2025" s="29">
        <f>IFERROR(IF(AND(ISNUMBER(C2025),ISNUMBER(J2025)),C2025/J2025-1,""),"")</f>
        <v/>
      </c>
      <c r="L2025" s="28">
        <f>IFERROR(IF(AND(ISNUMBER(D2025),ISNUMBER(E2025)),D2025-E2025,""),"")</f>
        <v/>
      </c>
    </row>
    <row r="2026">
      <c r="A2026" s="7">
        <f>IFERROR(Datos!A2026,"")</f>
        <v/>
      </c>
      <c r="B2026" s="8">
        <f>IFERROR(Datos!B2026,"")</f>
        <v/>
      </c>
      <c r="C2026" s="8">
        <f>IFERROR(Datos!C2026,"")</f>
        <v/>
      </c>
      <c r="D2026" s="28">
        <f>IFERROR(IF(AND(ISNUMBER(B2026),ISNUMBER(B2025),B2025&lt;&gt;0),B2026/B2025-1,""),"")</f>
        <v/>
      </c>
      <c r="E2026" s="28">
        <f>IFERROR(IF(AND(ISNUMBER(C2026),ISNUMBER(C2025),C2025&lt;&gt;0),C2026/C2025-1,""),"")</f>
        <v/>
      </c>
      <c r="F2026" s="28">
        <f>IFERROR(D2026-Dashboard!$B$4/252,"")</f>
        <v/>
      </c>
      <c r="G2026" s="28">
        <f>IFERROR(E2026-Dashboard!$B$4/252,"")</f>
        <v/>
      </c>
      <c r="H2026" s="8">
        <f>IFERROR(IF(ISNUMBER(B2026),MAX(B2026,IFERROR(H2025,B2026)),""),"")</f>
        <v/>
      </c>
      <c r="I2026" s="29">
        <f>IFERROR(IF(AND(ISNUMBER(B2026),ISNUMBER(H2026)),B2026/H2026-1,""),"")</f>
        <v/>
      </c>
      <c r="J2026" s="8">
        <f>IFERROR(IF(ISNUMBER(C2026),MAX(C2026,IFERROR(J2025,C2026)),""),"")</f>
        <v/>
      </c>
      <c r="K2026" s="29">
        <f>IFERROR(IF(AND(ISNUMBER(C2026),ISNUMBER(J2026)),C2026/J2026-1,""),"")</f>
        <v/>
      </c>
      <c r="L2026" s="28">
        <f>IFERROR(IF(AND(ISNUMBER(D2026),ISNUMBER(E2026)),D2026-E2026,""),"")</f>
        <v/>
      </c>
    </row>
    <row r="2027">
      <c r="A2027" s="7">
        <f>IFERROR(Datos!A2027,"")</f>
        <v/>
      </c>
      <c r="B2027" s="8">
        <f>IFERROR(Datos!B2027,"")</f>
        <v/>
      </c>
      <c r="C2027" s="8">
        <f>IFERROR(Datos!C2027,"")</f>
        <v/>
      </c>
      <c r="D2027" s="28">
        <f>IFERROR(IF(AND(ISNUMBER(B2027),ISNUMBER(B2026),B2026&lt;&gt;0),B2027/B2026-1,""),"")</f>
        <v/>
      </c>
      <c r="E2027" s="28">
        <f>IFERROR(IF(AND(ISNUMBER(C2027),ISNUMBER(C2026),C2026&lt;&gt;0),C2027/C2026-1,""),"")</f>
        <v/>
      </c>
      <c r="F2027" s="28">
        <f>IFERROR(D2027-Dashboard!$B$4/252,"")</f>
        <v/>
      </c>
      <c r="G2027" s="28">
        <f>IFERROR(E2027-Dashboard!$B$4/252,"")</f>
        <v/>
      </c>
      <c r="H2027" s="8">
        <f>IFERROR(IF(ISNUMBER(B2027),MAX(B2027,IFERROR(H2026,B2027)),""),"")</f>
        <v/>
      </c>
      <c r="I2027" s="29">
        <f>IFERROR(IF(AND(ISNUMBER(B2027),ISNUMBER(H2027)),B2027/H2027-1,""),"")</f>
        <v/>
      </c>
      <c r="J2027" s="8">
        <f>IFERROR(IF(ISNUMBER(C2027),MAX(C2027,IFERROR(J2026,C2027)),""),"")</f>
        <v/>
      </c>
      <c r="K2027" s="29">
        <f>IFERROR(IF(AND(ISNUMBER(C2027),ISNUMBER(J2027)),C2027/J2027-1,""),"")</f>
        <v/>
      </c>
      <c r="L2027" s="28">
        <f>IFERROR(IF(AND(ISNUMBER(D2027),ISNUMBER(E2027)),D2027-E2027,""),"")</f>
        <v/>
      </c>
    </row>
    <row r="2028">
      <c r="A2028" s="7">
        <f>IFERROR(Datos!A2028,"")</f>
        <v/>
      </c>
      <c r="B2028" s="8">
        <f>IFERROR(Datos!B2028,"")</f>
        <v/>
      </c>
      <c r="C2028" s="8">
        <f>IFERROR(Datos!C2028,"")</f>
        <v/>
      </c>
      <c r="D2028" s="28">
        <f>IFERROR(IF(AND(ISNUMBER(B2028),ISNUMBER(B2027),B2027&lt;&gt;0),B2028/B2027-1,""),"")</f>
        <v/>
      </c>
      <c r="E2028" s="28">
        <f>IFERROR(IF(AND(ISNUMBER(C2028),ISNUMBER(C2027),C2027&lt;&gt;0),C2028/C2027-1,""),"")</f>
        <v/>
      </c>
      <c r="F2028" s="28">
        <f>IFERROR(D2028-Dashboard!$B$4/252,"")</f>
        <v/>
      </c>
      <c r="G2028" s="28">
        <f>IFERROR(E2028-Dashboard!$B$4/252,"")</f>
        <v/>
      </c>
      <c r="H2028" s="8">
        <f>IFERROR(IF(ISNUMBER(B2028),MAX(B2028,IFERROR(H2027,B2028)),""),"")</f>
        <v/>
      </c>
      <c r="I2028" s="29">
        <f>IFERROR(IF(AND(ISNUMBER(B2028),ISNUMBER(H2028)),B2028/H2028-1,""),"")</f>
        <v/>
      </c>
      <c r="J2028" s="8">
        <f>IFERROR(IF(ISNUMBER(C2028),MAX(C2028,IFERROR(J2027,C2028)),""),"")</f>
        <v/>
      </c>
      <c r="K2028" s="29">
        <f>IFERROR(IF(AND(ISNUMBER(C2028),ISNUMBER(J2028)),C2028/J2028-1,""),"")</f>
        <v/>
      </c>
      <c r="L2028" s="28">
        <f>IFERROR(IF(AND(ISNUMBER(D2028),ISNUMBER(E2028)),D2028-E2028,""),"")</f>
        <v/>
      </c>
    </row>
    <row r="2029">
      <c r="A2029" s="7">
        <f>IFERROR(Datos!A2029,"")</f>
        <v/>
      </c>
      <c r="B2029" s="8">
        <f>IFERROR(Datos!B2029,"")</f>
        <v/>
      </c>
      <c r="C2029" s="8">
        <f>IFERROR(Datos!C2029,"")</f>
        <v/>
      </c>
      <c r="D2029" s="28">
        <f>IFERROR(IF(AND(ISNUMBER(B2029),ISNUMBER(B2028),B2028&lt;&gt;0),B2029/B2028-1,""),"")</f>
        <v/>
      </c>
      <c r="E2029" s="28">
        <f>IFERROR(IF(AND(ISNUMBER(C2029),ISNUMBER(C2028),C2028&lt;&gt;0),C2029/C2028-1,""),"")</f>
        <v/>
      </c>
      <c r="F2029" s="28">
        <f>IFERROR(D2029-Dashboard!$B$4/252,"")</f>
        <v/>
      </c>
      <c r="G2029" s="28">
        <f>IFERROR(E2029-Dashboard!$B$4/252,"")</f>
        <v/>
      </c>
      <c r="H2029" s="8">
        <f>IFERROR(IF(ISNUMBER(B2029),MAX(B2029,IFERROR(H2028,B2029)),""),"")</f>
        <v/>
      </c>
      <c r="I2029" s="29">
        <f>IFERROR(IF(AND(ISNUMBER(B2029),ISNUMBER(H2029)),B2029/H2029-1,""),"")</f>
        <v/>
      </c>
      <c r="J2029" s="8">
        <f>IFERROR(IF(ISNUMBER(C2029),MAX(C2029,IFERROR(J2028,C2029)),""),"")</f>
        <v/>
      </c>
      <c r="K2029" s="29">
        <f>IFERROR(IF(AND(ISNUMBER(C2029),ISNUMBER(J2029)),C2029/J2029-1,""),"")</f>
        <v/>
      </c>
      <c r="L2029" s="28">
        <f>IFERROR(IF(AND(ISNUMBER(D2029),ISNUMBER(E2029)),D2029-E2029,""),"")</f>
        <v/>
      </c>
    </row>
    <row r="2030">
      <c r="A2030" s="7">
        <f>IFERROR(Datos!A2030,"")</f>
        <v/>
      </c>
      <c r="B2030" s="8">
        <f>IFERROR(Datos!B2030,"")</f>
        <v/>
      </c>
      <c r="C2030" s="8">
        <f>IFERROR(Datos!C2030,"")</f>
        <v/>
      </c>
      <c r="D2030" s="28">
        <f>IFERROR(IF(AND(ISNUMBER(B2030),ISNUMBER(B2029),B2029&lt;&gt;0),B2030/B2029-1,""),"")</f>
        <v/>
      </c>
      <c r="E2030" s="28">
        <f>IFERROR(IF(AND(ISNUMBER(C2030),ISNUMBER(C2029),C2029&lt;&gt;0),C2030/C2029-1,""),"")</f>
        <v/>
      </c>
      <c r="F2030" s="28">
        <f>IFERROR(D2030-Dashboard!$B$4/252,"")</f>
        <v/>
      </c>
      <c r="G2030" s="28">
        <f>IFERROR(E2030-Dashboard!$B$4/252,"")</f>
        <v/>
      </c>
      <c r="H2030" s="8">
        <f>IFERROR(IF(ISNUMBER(B2030),MAX(B2030,IFERROR(H2029,B2030)),""),"")</f>
        <v/>
      </c>
      <c r="I2030" s="29">
        <f>IFERROR(IF(AND(ISNUMBER(B2030),ISNUMBER(H2030)),B2030/H2030-1,""),"")</f>
        <v/>
      </c>
      <c r="J2030" s="8">
        <f>IFERROR(IF(ISNUMBER(C2030),MAX(C2030,IFERROR(J2029,C2030)),""),"")</f>
        <v/>
      </c>
      <c r="K2030" s="29">
        <f>IFERROR(IF(AND(ISNUMBER(C2030),ISNUMBER(J2030)),C2030/J2030-1,""),"")</f>
        <v/>
      </c>
      <c r="L2030" s="28">
        <f>IFERROR(IF(AND(ISNUMBER(D2030),ISNUMBER(E2030)),D2030-E2030,""),"")</f>
        <v/>
      </c>
    </row>
    <row r="2031">
      <c r="A2031" s="7">
        <f>IFERROR(Datos!A2031,"")</f>
        <v/>
      </c>
      <c r="B2031" s="8">
        <f>IFERROR(Datos!B2031,"")</f>
        <v/>
      </c>
      <c r="C2031" s="8">
        <f>IFERROR(Datos!C2031,"")</f>
        <v/>
      </c>
      <c r="D2031" s="28">
        <f>IFERROR(IF(AND(ISNUMBER(B2031),ISNUMBER(B2030),B2030&lt;&gt;0),B2031/B2030-1,""),"")</f>
        <v/>
      </c>
      <c r="E2031" s="28">
        <f>IFERROR(IF(AND(ISNUMBER(C2031),ISNUMBER(C2030),C2030&lt;&gt;0),C2031/C2030-1,""),"")</f>
        <v/>
      </c>
      <c r="F2031" s="28">
        <f>IFERROR(D2031-Dashboard!$B$4/252,"")</f>
        <v/>
      </c>
      <c r="G2031" s="28">
        <f>IFERROR(E2031-Dashboard!$B$4/252,"")</f>
        <v/>
      </c>
      <c r="H2031" s="8">
        <f>IFERROR(IF(ISNUMBER(B2031),MAX(B2031,IFERROR(H2030,B2031)),""),"")</f>
        <v/>
      </c>
      <c r="I2031" s="29">
        <f>IFERROR(IF(AND(ISNUMBER(B2031),ISNUMBER(H2031)),B2031/H2031-1,""),"")</f>
        <v/>
      </c>
      <c r="J2031" s="8">
        <f>IFERROR(IF(ISNUMBER(C2031),MAX(C2031,IFERROR(J2030,C2031)),""),"")</f>
        <v/>
      </c>
      <c r="K2031" s="29">
        <f>IFERROR(IF(AND(ISNUMBER(C2031),ISNUMBER(J2031)),C2031/J2031-1,""),"")</f>
        <v/>
      </c>
      <c r="L2031" s="28">
        <f>IFERROR(IF(AND(ISNUMBER(D2031),ISNUMBER(E2031)),D2031-E2031,""),"")</f>
        <v/>
      </c>
    </row>
    <row r="2032">
      <c r="A2032" s="7">
        <f>IFERROR(Datos!A2032,"")</f>
        <v/>
      </c>
      <c r="B2032" s="8">
        <f>IFERROR(Datos!B2032,"")</f>
        <v/>
      </c>
      <c r="C2032" s="8">
        <f>IFERROR(Datos!C2032,"")</f>
        <v/>
      </c>
      <c r="D2032" s="28">
        <f>IFERROR(IF(AND(ISNUMBER(B2032),ISNUMBER(B2031),B2031&lt;&gt;0),B2032/B2031-1,""),"")</f>
        <v/>
      </c>
      <c r="E2032" s="28">
        <f>IFERROR(IF(AND(ISNUMBER(C2032),ISNUMBER(C2031),C2031&lt;&gt;0),C2032/C2031-1,""),"")</f>
        <v/>
      </c>
      <c r="F2032" s="28">
        <f>IFERROR(D2032-Dashboard!$B$4/252,"")</f>
        <v/>
      </c>
      <c r="G2032" s="28">
        <f>IFERROR(E2032-Dashboard!$B$4/252,"")</f>
        <v/>
      </c>
      <c r="H2032" s="8">
        <f>IFERROR(IF(ISNUMBER(B2032),MAX(B2032,IFERROR(H2031,B2032)),""),"")</f>
        <v/>
      </c>
      <c r="I2032" s="29">
        <f>IFERROR(IF(AND(ISNUMBER(B2032),ISNUMBER(H2032)),B2032/H2032-1,""),"")</f>
        <v/>
      </c>
      <c r="J2032" s="8">
        <f>IFERROR(IF(ISNUMBER(C2032),MAX(C2032,IFERROR(J2031,C2032)),""),"")</f>
        <v/>
      </c>
      <c r="K2032" s="29">
        <f>IFERROR(IF(AND(ISNUMBER(C2032),ISNUMBER(J2032)),C2032/J2032-1,""),"")</f>
        <v/>
      </c>
      <c r="L2032" s="28">
        <f>IFERROR(IF(AND(ISNUMBER(D2032),ISNUMBER(E2032)),D2032-E2032,""),"")</f>
        <v/>
      </c>
    </row>
    <row r="2033">
      <c r="A2033" s="7">
        <f>IFERROR(Datos!A2033,"")</f>
        <v/>
      </c>
      <c r="B2033" s="8">
        <f>IFERROR(Datos!B2033,"")</f>
        <v/>
      </c>
      <c r="C2033" s="8">
        <f>IFERROR(Datos!C2033,"")</f>
        <v/>
      </c>
      <c r="D2033" s="28">
        <f>IFERROR(IF(AND(ISNUMBER(B2033),ISNUMBER(B2032),B2032&lt;&gt;0),B2033/B2032-1,""),"")</f>
        <v/>
      </c>
      <c r="E2033" s="28">
        <f>IFERROR(IF(AND(ISNUMBER(C2033),ISNUMBER(C2032),C2032&lt;&gt;0),C2033/C2032-1,""),"")</f>
        <v/>
      </c>
      <c r="F2033" s="28">
        <f>IFERROR(D2033-Dashboard!$B$4/252,"")</f>
        <v/>
      </c>
      <c r="G2033" s="28">
        <f>IFERROR(E2033-Dashboard!$B$4/252,"")</f>
        <v/>
      </c>
      <c r="H2033" s="8">
        <f>IFERROR(IF(ISNUMBER(B2033),MAX(B2033,IFERROR(H2032,B2033)),""),"")</f>
        <v/>
      </c>
      <c r="I2033" s="29">
        <f>IFERROR(IF(AND(ISNUMBER(B2033),ISNUMBER(H2033)),B2033/H2033-1,""),"")</f>
        <v/>
      </c>
      <c r="J2033" s="8">
        <f>IFERROR(IF(ISNUMBER(C2033),MAX(C2033,IFERROR(J2032,C2033)),""),"")</f>
        <v/>
      </c>
      <c r="K2033" s="29">
        <f>IFERROR(IF(AND(ISNUMBER(C2033),ISNUMBER(J2033)),C2033/J2033-1,""),"")</f>
        <v/>
      </c>
      <c r="L2033" s="28">
        <f>IFERROR(IF(AND(ISNUMBER(D2033),ISNUMBER(E2033)),D2033-E2033,""),"")</f>
        <v/>
      </c>
    </row>
    <row r="2034">
      <c r="A2034" s="7">
        <f>IFERROR(Datos!A2034,"")</f>
        <v/>
      </c>
      <c r="B2034" s="8">
        <f>IFERROR(Datos!B2034,"")</f>
        <v/>
      </c>
      <c r="C2034" s="8">
        <f>IFERROR(Datos!C2034,"")</f>
        <v/>
      </c>
      <c r="D2034" s="28">
        <f>IFERROR(IF(AND(ISNUMBER(B2034),ISNUMBER(B2033),B2033&lt;&gt;0),B2034/B2033-1,""),"")</f>
        <v/>
      </c>
      <c r="E2034" s="28">
        <f>IFERROR(IF(AND(ISNUMBER(C2034),ISNUMBER(C2033),C2033&lt;&gt;0),C2034/C2033-1,""),"")</f>
        <v/>
      </c>
      <c r="F2034" s="28">
        <f>IFERROR(D2034-Dashboard!$B$4/252,"")</f>
        <v/>
      </c>
      <c r="G2034" s="28">
        <f>IFERROR(E2034-Dashboard!$B$4/252,"")</f>
        <v/>
      </c>
      <c r="H2034" s="8">
        <f>IFERROR(IF(ISNUMBER(B2034),MAX(B2034,IFERROR(H2033,B2034)),""),"")</f>
        <v/>
      </c>
      <c r="I2034" s="29">
        <f>IFERROR(IF(AND(ISNUMBER(B2034),ISNUMBER(H2034)),B2034/H2034-1,""),"")</f>
        <v/>
      </c>
      <c r="J2034" s="8">
        <f>IFERROR(IF(ISNUMBER(C2034),MAX(C2034,IFERROR(J2033,C2034)),""),"")</f>
        <v/>
      </c>
      <c r="K2034" s="29">
        <f>IFERROR(IF(AND(ISNUMBER(C2034),ISNUMBER(J2034)),C2034/J2034-1,""),"")</f>
        <v/>
      </c>
      <c r="L2034" s="28">
        <f>IFERROR(IF(AND(ISNUMBER(D2034),ISNUMBER(E2034)),D2034-E2034,""),"")</f>
        <v/>
      </c>
    </row>
    <row r="2035">
      <c r="A2035" s="7">
        <f>IFERROR(Datos!A2035,"")</f>
        <v/>
      </c>
      <c r="B2035" s="8">
        <f>IFERROR(Datos!B2035,"")</f>
        <v/>
      </c>
      <c r="C2035" s="8">
        <f>IFERROR(Datos!C2035,"")</f>
        <v/>
      </c>
      <c r="D2035" s="28">
        <f>IFERROR(IF(AND(ISNUMBER(B2035),ISNUMBER(B2034),B2034&lt;&gt;0),B2035/B2034-1,""),"")</f>
        <v/>
      </c>
      <c r="E2035" s="28">
        <f>IFERROR(IF(AND(ISNUMBER(C2035),ISNUMBER(C2034),C2034&lt;&gt;0),C2035/C2034-1,""),"")</f>
        <v/>
      </c>
      <c r="F2035" s="28">
        <f>IFERROR(D2035-Dashboard!$B$4/252,"")</f>
        <v/>
      </c>
      <c r="G2035" s="28">
        <f>IFERROR(E2035-Dashboard!$B$4/252,"")</f>
        <v/>
      </c>
      <c r="H2035" s="8">
        <f>IFERROR(IF(ISNUMBER(B2035),MAX(B2035,IFERROR(H2034,B2035)),""),"")</f>
        <v/>
      </c>
      <c r="I2035" s="29">
        <f>IFERROR(IF(AND(ISNUMBER(B2035),ISNUMBER(H2035)),B2035/H2035-1,""),"")</f>
        <v/>
      </c>
      <c r="J2035" s="8">
        <f>IFERROR(IF(ISNUMBER(C2035),MAX(C2035,IFERROR(J2034,C2035)),""),"")</f>
        <v/>
      </c>
      <c r="K2035" s="29">
        <f>IFERROR(IF(AND(ISNUMBER(C2035),ISNUMBER(J2035)),C2035/J2035-1,""),"")</f>
        <v/>
      </c>
      <c r="L2035" s="28">
        <f>IFERROR(IF(AND(ISNUMBER(D2035),ISNUMBER(E2035)),D2035-E2035,""),"")</f>
        <v/>
      </c>
    </row>
    <row r="2036">
      <c r="A2036" s="7">
        <f>IFERROR(Datos!A2036,"")</f>
        <v/>
      </c>
      <c r="B2036" s="8">
        <f>IFERROR(Datos!B2036,"")</f>
        <v/>
      </c>
      <c r="C2036" s="8">
        <f>IFERROR(Datos!C2036,"")</f>
        <v/>
      </c>
      <c r="D2036" s="28">
        <f>IFERROR(IF(AND(ISNUMBER(B2036),ISNUMBER(B2035),B2035&lt;&gt;0),B2036/B2035-1,""),"")</f>
        <v/>
      </c>
      <c r="E2036" s="28">
        <f>IFERROR(IF(AND(ISNUMBER(C2036),ISNUMBER(C2035),C2035&lt;&gt;0),C2036/C2035-1,""),"")</f>
        <v/>
      </c>
      <c r="F2036" s="28">
        <f>IFERROR(D2036-Dashboard!$B$4/252,"")</f>
        <v/>
      </c>
      <c r="G2036" s="28">
        <f>IFERROR(E2036-Dashboard!$B$4/252,"")</f>
        <v/>
      </c>
      <c r="H2036" s="8">
        <f>IFERROR(IF(ISNUMBER(B2036),MAX(B2036,IFERROR(H2035,B2036)),""),"")</f>
        <v/>
      </c>
      <c r="I2036" s="29">
        <f>IFERROR(IF(AND(ISNUMBER(B2036),ISNUMBER(H2036)),B2036/H2036-1,""),"")</f>
        <v/>
      </c>
      <c r="J2036" s="8">
        <f>IFERROR(IF(ISNUMBER(C2036),MAX(C2036,IFERROR(J2035,C2036)),""),"")</f>
        <v/>
      </c>
      <c r="K2036" s="29">
        <f>IFERROR(IF(AND(ISNUMBER(C2036),ISNUMBER(J2036)),C2036/J2036-1,""),"")</f>
        <v/>
      </c>
      <c r="L2036" s="28">
        <f>IFERROR(IF(AND(ISNUMBER(D2036),ISNUMBER(E2036)),D2036-E2036,""),"")</f>
        <v/>
      </c>
    </row>
    <row r="2037">
      <c r="A2037" s="7">
        <f>IFERROR(Datos!A2037,"")</f>
        <v/>
      </c>
      <c r="B2037" s="8">
        <f>IFERROR(Datos!B2037,"")</f>
        <v/>
      </c>
      <c r="C2037" s="8">
        <f>IFERROR(Datos!C2037,"")</f>
        <v/>
      </c>
      <c r="D2037" s="28">
        <f>IFERROR(IF(AND(ISNUMBER(B2037),ISNUMBER(B2036),B2036&lt;&gt;0),B2037/B2036-1,""),"")</f>
        <v/>
      </c>
      <c r="E2037" s="28">
        <f>IFERROR(IF(AND(ISNUMBER(C2037),ISNUMBER(C2036),C2036&lt;&gt;0),C2037/C2036-1,""),"")</f>
        <v/>
      </c>
      <c r="F2037" s="28">
        <f>IFERROR(D2037-Dashboard!$B$4/252,"")</f>
        <v/>
      </c>
      <c r="G2037" s="28">
        <f>IFERROR(E2037-Dashboard!$B$4/252,"")</f>
        <v/>
      </c>
      <c r="H2037" s="8">
        <f>IFERROR(IF(ISNUMBER(B2037),MAX(B2037,IFERROR(H2036,B2037)),""),"")</f>
        <v/>
      </c>
      <c r="I2037" s="29">
        <f>IFERROR(IF(AND(ISNUMBER(B2037),ISNUMBER(H2037)),B2037/H2037-1,""),"")</f>
        <v/>
      </c>
      <c r="J2037" s="8">
        <f>IFERROR(IF(ISNUMBER(C2037),MAX(C2037,IFERROR(J2036,C2037)),""),"")</f>
        <v/>
      </c>
      <c r="K2037" s="29">
        <f>IFERROR(IF(AND(ISNUMBER(C2037),ISNUMBER(J2037)),C2037/J2037-1,""),"")</f>
        <v/>
      </c>
      <c r="L2037" s="28">
        <f>IFERROR(IF(AND(ISNUMBER(D2037),ISNUMBER(E2037)),D2037-E2037,""),"")</f>
        <v/>
      </c>
    </row>
    <row r="2038">
      <c r="A2038" s="7">
        <f>IFERROR(Datos!A2038,"")</f>
        <v/>
      </c>
      <c r="B2038" s="8">
        <f>IFERROR(Datos!B2038,"")</f>
        <v/>
      </c>
      <c r="C2038" s="8">
        <f>IFERROR(Datos!C2038,"")</f>
        <v/>
      </c>
      <c r="D2038" s="28">
        <f>IFERROR(IF(AND(ISNUMBER(B2038),ISNUMBER(B2037),B2037&lt;&gt;0),B2038/B2037-1,""),"")</f>
        <v/>
      </c>
      <c r="E2038" s="28">
        <f>IFERROR(IF(AND(ISNUMBER(C2038),ISNUMBER(C2037),C2037&lt;&gt;0),C2038/C2037-1,""),"")</f>
        <v/>
      </c>
      <c r="F2038" s="28">
        <f>IFERROR(D2038-Dashboard!$B$4/252,"")</f>
        <v/>
      </c>
      <c r="G2038" s="28">
        <f>IFERROR(E2038-Dashboard!$B$4/252,"")</f>
        <v/>
      </c>
      <c r="H2038" s="8">
        <f>IFERROR(IF(ISNUMBER(B2038),MAX(B2038,IFERROR(H2037,B2038)),""),"")</f>
        <v/>
      </c>
      <c r="I2038" s="29">
        <f>IFERROR(IF(AND(ISNUMBER(B2038),ISNUMBER(H2038)),B2038/H2038-1,""),"")</f>
        <v/>
      </c>
      <c r="J2038" s="8">
        <f>IFERROR(IF(ISNUMBER(C2038),MAX(C2038,IFERROR(J2037,C2038)),""),"")</f>
        <v/>
      </c>
      <c r="K2038" s="29">
        <f>IFERROR(IF(AND(ISNUMBER(C2038),ISNUMBER(J2038)),C2038/J2038-1,""),"")</f>
        <v/>
      </c>
      <c r="L2038" s="28">
        <f>IFERROR(IF(AND(ISNUMBER(D2038),ISNUMBER(E2038)),D2038-E2038,""),"")</f>
        <v/>
      </c>
    </row>
    <row r="2039">
      <c r="A2039" s="7">
        <f>IFERROR(Datos!A2039,"")</f>
        <v/>
      </c>
      <c r="B2039" s="8">
        <f>IFERROR(Datos!B2039,"")</f>
        <v/>
      </c>
      <c r="C2039" s="8">
        <f>IFERROR(Datos!C2039,"")</f>
        <v/>
      </c>
      <c r="D2039" s="28">
        <f>IFERROR(IF(AND(ISNUMBER(B2039),ISNUMBER(B2038),B2038&lt;&gt;0),B2039/B2038-1,""),"")</f>
        <v/>
      </c>
      <c r="E2039" s="28">
        <f>IFERROR(IF(AND(ISNUMBER(C2039),ISNUMBER(C2038),C2038&lt;&gt;0),C2039/C2038-1,""),"")</f>
        <v/>
      </c>
      <c r="F2039" s="28">
        <f>IFERROR(D2039-Dashboard!$B$4/252,"")</f>
        <v/>
      </c>
      <c r="G2039" s="28">
        <f>IFERROR(E2039-Dashboard!$B$4/252,"")</f>
        <v/>
      </c>
      <c r="H2039" s="8">
        <f>IFERROR(IF(ISNUMBER(B2039),MAX(B2039,IFERROR(H2038,B2039)),""),"")</f>
        <v/>
      </c>
      <c r="I2039" s="29">
        <f>IFERROR(IF(AND(ISNUMBER(B2039),ISNUMBER(H2039)),B2039/H2039-1,""),"")</f>
        <v/>
      </c>
      <c r="J2039" s="8">
        <f>IFERROR(IF(ISNUMBER(C2039),MAX(C2039,IFERROR(J2038,C2039)),""),"")</f>
        <v/>
      </c>
      <c r="K2039" s="29">
        <f>IFERROR(IF(AND(ISNUMBER(C2039),ISNUMBER(J2039)),C2039/J2039-1,""),"")</f>
        <v/>
      </c>
      <c r="L2039" s="28">
        <f>IFERROR(IF(AND(ISNUMBER(D2039),ISNUMBER(E2039)),D2039-E2039,""),"")</f>
        <v/>
      </c>
    </row>
    <row r="2040">
      <c r="A2040" s="7">
        <f>IFERROR(Datos!A2040,"")</f>
        <v/>
      </c>
      <c r="B2040" s="8">
        <f>IFERROR(Datos!B2040,"")</f>
        <v/>
      </c>
      <c r="C2040" s="8">
        <f>IFERROR(Datos!C2040,"")</f>
        <v/>
      </c>
      <c r="D2040" s="28">
        <f>IFERROR(IF(AND(ISNUMBER(B2040),ISNUMBER(B2039),B2039&lt;&gt;0),B2040/B2039-1,""),"")</f>
        <v/>
      </c>
      <c r="E2040" s="28">
        <f>IFERROR(IF(AND(ISNUMBER(C2040),ISNUMBER(C2039),C2039&lt;&gt;0),C2040/C2039-1,""),"")</f>
        <v/>
      </c>
      <c r="F2040" s="28">
        <f>IFERROR(D2040-Dashboard!$B$4/252,"")</f>
        <v/>
      </c>
      <c r="G2040" s="28">
        <f>IFERROR(E2040-Dashboard!$B$4/252,"")</f>
        <v/>
      </c>
      <c r="H2040" s="8">
        <f>IFERROR(IF(ISNUMBER(B2040),MAX(B2040,IFERROR(H2039,B2040)),""),"")</f>
        <v/>
      </c>
      <c r="I2040" s="29">
        <f>IFERROR(IF(AND(ISNUMBER(B2040),ISNUMBER(H2040)),B2040/H2040-1,""),"")</f>
        <v/>
      </c>
      <c r="J2040" s="8">
        <f>IFERROR(IF(ISNUMBER(C2040),MAX(C2040,IFERROR(J2039,C2040)),""),"")</f>
        <v/>
      </c>
      <c r="K2040" s="29">
        <f>IFERROR(IF(AND(ISNUMBER(C2040),ISNUMBER(J2040)),C2040/J2040-1,""),"")</f>
        <v/>
      </c>
      <c r="L2040" s="28">
        <f>IFERROR(IF(AND(ISNUMBER(D2040),ISNUMBER(E2040)),D2040-E2040,""),"")</f>
        <v/>
      </c>
    </row>
    <row r="2041">
      <c r="A2041" s="7">
        <f>IFERROR(Datos!A2041,"")</f>
        <v/>
      </c>
      <c r="B2041" s="8">
        <f>IFERROR(Datos!B2041,"")</f>
        <v/>
      </c>
      <c r="C2041" s="8">
        <f>IFERROR(Datos!C2041,"")</f>
        <v/>
      </c>
      <c r="D2041" s="28">
        <f>IFERROR(IF(AND(ISNUMBER(B2041),ISNUMBER(B2040),B2040&lt;&gt;0),B2041/B2040-1,""),"")</f>
        <v/>
      </c>
      <c r="E2041" s="28">
        <f>IFERROR(IF(AND(ISNUMBER(C2041),ISNUMBER(C2040),C2040&lt;&gt;0),C2041/C2040-1,""),"")</f>
        <v/>
      </c>
      <c r="F2041" s="28">
        <f>IFERROR(D2041-Dashboard!$B$4/252,"")</f>
        <v/>
      </c>
      <c r="G2041" s="28">
        <f>IFERROR(E2041-Dashboard!$B$4/252,"")</f>
        <v/>
      </c>
      <c r="H2041" s="8">
        <f>IFERROR(IF(ISNUMBER(B2041),MAX(B2041,IFERROR(H2040,B2041)),""),"")</f>
        <v/>
      </c>
      <c r="I2041" s="29">
        <f>IFERROR(IF(AND(ISNUMBER(B2041),ISNUMBER(H2041)),B2041/H2041-1,""),"")</f>
        <v/>
      </c>
      <c r="J2041" s="8">
        <f>IFERROR(IF(ISNUMBER(C2041),MAX(C2041,IFERROR(J2040,C2041)),""),"")</f>
        <v/>
      </c>
      <c r="K2041" s="29">
        <f>IFERROR(IF(AND(ISNUMBER(C2041),ISNUMBER(J2041)),C2041/J2041-1,""),"")</f>
        <v/>
      </c>
      <c r="L2041" s="28">
        <f>IFERROR(IF(AND(ISNUMBER(D2041),ISNUMBER(E2041)),D2041-E2041,""),"")</f>
        <v/>
      </c>
    </row>
    <row r="2042">
      <c r="A2042" s="7">
        <f>IFERROR(Datos!A2042,"")</f>
        <v/>
      </c>
      <c r="B2042" s="8">
        <f>IFERROR(Datos!B2042,"")</f>
        <v/>
      </c>
      <c r="C2042" s="8">
        <f>IFERROR(Datos!C2042,"")</f>
        <v/>
      </c>
      <c r="D2042" s="28">
        <f>IFERROR(IF(AND(ISNUMBER(B2042),ISNUMBER(B2041),B2041&lt;&gt;0),B2042/B2041-1,""),"")</f>
        <v/>
      </c>
      <c r="E2042" s="28">
        <f>IFERROR(IF(AND(ISNUMBER(C2042),ISNUMBER(C2041),C2041&lt;&gt;0),C2042/C2041-1,""),"")</f>
        <v/>
      </c>
      <c r="F2042" s="28">
        <f>IFERROR(D2042-Dashboard!$B$4/252,"")</f>
        <v/>
      </c>
      <c r="G2042" s="28">
        <f>IFERROR(E2042-Dashboard!$B$4/252,"")</f>
        <v/>
      </c>
      <c r="H2042" s="8">
        <f>IFERROR(IF(ISNUMBER(B2042),MAX(B2042,IFERROR(H2041,B2042)),""),"")</f>
        <v/>
      </c>
      <c r="I2042" s="29">
        <f>IFERROR(IF(AND(ISNUMBER(B2042),ISNUMBER(H2042)),B2042/H2042-1,""),"")</f>
        <v/>
      </c>
      <c r="J2042" s="8">
        <f>IFERROR(IF(ISNUMBER(C2042),MAX(C2042,IFERROR(J2041,C2042)),""),"")</f>
        <v/>
      </c>
      <c r="K2042" s="29">
        <f>IFERROR(IF(AND(ISNUMBER(C2042),ISNUMBER(J2042)),C2042/J2042-1,""),"")</f>
        <v/>
      </c>
      <c r="L2042" s="28">
        <f>IFERROR(IF(AND(ISNUMBER(D2042),ISNUMBER(E2042)),D2042-E2042,""),"")</f>
        <v/>
      </c>
    </row>
    <row r="2043">
      <c r="A2043" s="7">
        <f>IFERROR(Datos!A2043,"")</f>
        <v/>
      </c>
      <c r="B2043" s="8">
        <f>IFERROR(Datos!B2043,"")</f>
        <v/>
      </c>
      <c r="C2043" s="8">
        <f>IFERROR(Datos!C2043,"")</f>
        <v/>
      </c>
      <c r="D2043" s="28">
        <f>IFERROR(IF(AND(ISNUMBER(B2043),ISNUMBER(B2042),B2042&lt;&gt;0),B2043/B2042-1,""),"")</f>
        <v/>
      </c>
      <c r="E2043" s="28">
        <f>IFERROR(IF(AND(ISNUMBER(C2043),ISNUMBER(C2042),C2042&lt;&gt;0),C2043/C2042-1,""),"")</f>
        <v/>
      </c>
      <c r="F2043" s="28">
        <f>IFERROR(D2043-Dashboard!$B$4/252,"")</f>
        <v/>
      </c>
      <c r="G2043" s="28">
        <f>IFERROR(E2043-Dashboard!$B$4/252,"")</f>
        <v/>
      </c>
      <c r="H2043" s="8">
        <f>IFERROR(IF(ISNUMBER(B2043),MAX(B2043,IFERROR(H2042,B2043)),""),"")</f>
        <v/>
      </c>
      <c r="I2043" s="29">
        <f>IFERROR(IF(AND(ISNUMBER(B2043),ISNUMBER(H2043)),B2043/H2043-1,""),"")</f>
        <v/>
      </c>
      <c r="J2043" s="8">
        <f>IFERROR(IF(ISNUMBER(C2043),MAX(C2043,IFERROR(J2042,C2043)),""),"")</f>
        <v/>
      </c>
      <c r="K2043" s="29">
        <f>IFERROR(IF(AND(ISNUMBER(C2043),ISNUMBER(J2043)),C2043/J2043-1,""),"")</f>
        <v/>
      </c>
      <c r="L2043" s="28">
        <f>IFERROR(IF(AND(ISNUMBER(D2043),ISNUMBER(E2043)),D2043-E2043,""),"")</f>
        <v/>
      </c>
    </row>
    <row r="2044">
      <c r="A2044" s="7">
        <f>IFERROR(Datos!A2044,"")</f>
        <v/>
      </c>
      <c r="B2044" s="8">
        <f>IFERROR(Datos!B2044,"")</f>
        <v/>
      </c>
      <c r="C2044" s="8">
        <f>IFERROR(Datos!C2044,"")</f>
        <v/>
      </c>
      <c r="D2044" s="28">
        <f>IFERROR(IF(AND(ISNUMBER(B2044),ISNUMBER(B2043),B2043&lt;&gt;0),B2044/B2043-1,""),"")</f>
        <v/>
      </c>
      <c r="E2044" s="28">
        <f>IFERROR(IF(AND(ISNUMBER(C2044),ISNUMBER(C2043),C2043&lt;&gt;0),C2044/C2043-1,""),"")</f>
        <v/>
      </c>
      <c r="F2044" s="28">
        <f>IFERROR(D2044-Dashboard!$B$4/252,"")</f>
        <v/>
      </c>
      <c r="G2044" s="28">
        <f>IFERROR(E2044-Dashboard!$B$4/252,"")</f>
        <v/>
      </c>
      <c r="H2044" s="8">
        <f>IFERROR(IF(ISNUMBER(B2044),MAX(B2044,IFERROR(H2043,B2044)),""),"")</f>
        <v/>
      </c>
      <c r="I2044" s="29">
        <f>IFERROR(IF(AND(ISNUMBER(B2044),ISNUMBER(H2044)),B2044/H2044-1,""),"")</f>
        <v/>
      </c>
      <c r="J2044" s="8">
        <f>IFERROR(IF(ISNUMBER(C2044),MAX(C2044,IFERROR(J2043,C2044)),""),"")</f>
        <v/>
      </c>
      <c r="K2044" s="29">
        <f>IFERROR(IF(AND(ISNUMBER(C2044),ISNUMBER(J2044)),C2044/J2044-1,""),"")</f>
        <v/>
      </c>
      <c r="L2044" s="28">
        <f>IFERROR(IF(AND(ISNUMBER(D2044),ISNUMBER(E2044)),D2044-E2044,""),"")</f>
        <v/>
      </c>
    </row>
    <row r="2045">
      <c r="A2045" s="7">
        <f>IFERROR(Datos!A2045,"")</f>
        <v/>
      </c>
      <c r="B2045" s="8">
        <f>IFERROR(Datos!B2045,"")</f>
        <v/>
      </c>
      <c r="C2045" s="8">
        <f>IFERROR(Datos!C2045,"")</f>
        <v/>
      </c>
      <c r="D2045" s="28">
        <f>IFERROR(IF(AND(ISNUMBER(B2045),ISNUMBER(B2044),B2044&lt;&gt;0),B2045/B2044-1,""),"")</f>
        <v/>
      </c>
      <c r="E2045" s="28">
        <f>IFERROR(IF(AND(ISNUMBER(C2045),ISNUMBER(C2044),C2044&lt;&gt;0),C2045/C2044-1,""),"")</f>
        <v/>
      </c>
      <c r="F2045" s="28">
        <f>IFERROR(D2045-Dashboard!$B$4/252,"")</f>
        <v/>
      </c>
      <c r="G2045" s="28">
        <f>IFERROR(E2045-Dashboard!$B$4/252,"")</f>
        <v/>
      </c>
      <c r="H2045" s="8">
        <f>IFERROR(IF(ISNUMBER(B2045),MAX(B2045,IFERROR(H2044,B2045)),""),"")</f>
        <v/>
      </c>
      <c r="I2045" s="29">
        <f>IFERROR(IF(AND(ISNUMBER(B2045),ISNUMBER(H2045)),B2045/H2045-1,""),"")</f>
        <v/>
      </c>
      <c r="J2045" s="8">
        <f>IFERROR(IF(ISNUMBER(C2045),MAX(C2045,IFERROR(J2044,C2045)),""),"")</f>
        <v/>
      </c>
      <c r="K2045" s="29">
        <f>IFERROR(IF(AND(ISNUMBER(C2045),ISNUMBER(J2045)),C2045/J2045-1,""),"")</f>
        <v/>
      </c>
      <c r="L2045" s="28">
        <f>IFERROR(IF(AND(ISNUMBER(D2045),ISNUMBER(E2045)),D2045-E2045,""),"")</f>
        <v/>
      </c>
    </row>
    <row r="2046">
      <c r="A2046" s="7">
        <f>IFERROR(Datos!A2046,"")</f>
        <v/>
      </c>
      <c r="B2046" s="8">
        <f>IFERROR(Datos!B2046,"")</f>
        <v/>
      </c>
      <c r="C2046" s="8">
        <f>IFERROR(Datos!C2046,"")</f>
        <v/>
      </c>
      <c r="D2046" s="28">
        <f>IFERROR(IF(AND(ISNUMBER(B2046),ISNUMBER(B2045),B2045&lt;&gt;0),B2046/B2045-1,""),"")</f>
        <v/>
      </c>
      <c r="E2046" s="28">
        <f>IFERROR(IF(AND(ISNUMBER(C2046),ISNUMBER(C2045),C2045&lt;&gt;0),C2046/C2045-1,""),"")</f>
        <v/>
      </c>
      <c r="F2046" s="28">
        <f>IFERROR(D2046-Dashboard!$B$4/252,"")</f>
        <v/>
      </c>
      <c r="G2046" s="28">
        <f>IFERROR(E2046-Dashboard!$B$4/252,"")</f>
        <v/>
      </c>
      <c r="H2046" s="8">
        <f>IFERROR(IF(ISNUMBER(B2046),MAX(B2046,IFERROR(H2045,B2046)),""),"")</f>
        <v/>
      </c>
      <c r="I2046" s="29">
        <f>IFERROR(IF(AND(ISNUMBER(B2046),ISNUMBER(H2046)),B2046/H2046-1,""),"")</f>
        <v/>
      </c>
      <c r="J2046" s="8">
        <f>IFERROR(IF(ISNUMBER(C2046),MAX(C2046,IFERROR(J2045,C2046)),""),"")</f>
        <v/>
      </c>
      <c r="K2046" s="29">
        <f>IFERROR(IF(AND(ISNUMBER(C2046),ISNUMBER(J2046)),C2046/J2046-1,""),"")</f>
        <v/>
      </c>
      <c r="L2046" s="28">
        <f>IFERROR(IF(AND(ISNUMBER(D2046),ISNUMBER(E2046)),D2046-E2046,""),"")</f>
        <v/>
      </c>
    </row>
    <row r="2047">
      <c r="A2047" s="7">
        <f>IFERROR(Datos!A2047,"")</f>
        <v/>
      </c>
      <c r="B2047" s="8">
        <f>IFERROR(Datos!B2047,"")</f>
        <v/>
      </c>
      <c r="C2047" s="8">
        <f>IFERROR(Datos!C2047,"")</f>
        <v/>
      </c>
      <c r="D2047" s="28">
        <f>IFERROR(IF(AND(ISNUMBER(B2047),ISNUMBER(B2046),B2046&lt;&gt;0),B2047/B2046-1,""),"")</f>
        <v/>
      </c>
      <c r="E2047" s="28">
        <f>IFERROR(IF(AND(ISNUMBER(C2047),ISNUMBER(C2046),C2046&lt;&gt;0),C2047/C2046-1,""),"")</f>
        <v/>
      </c>
      <c r="F2047" s="28">
        <f>IFERROR(D2047-Dashboard!$B$4/252,"")</f>
        <v/>
      </c>
      <c r="G2047" s="28">
        <f>IFERROR(E2047-Dashboard!$B$4/252,"")</f>
        <v/>
      </c>
      <c r="H2047" s="8">
        <f>IFERROR(IF(ISNUMBER(B2047),MAX(B2047,IFERROR(H2046,B2047)),""),"")</f>
        <v/>
      </c>
      <c r="I2047" s="29">
        <f>IFERROR(IF(AND(ISNUMBER(B2047),ISNUMBER(H2047)),B2047/H2047-1,""),"")</f>
        <v/>
      </c>
      <c r="J2047" s="8">
        <f>IFERROR(IF(ISNUMBER(C2047),MAX(C2047,IFERROR(J2046,C2047)),""),"")</f>
        <v/>
      </c>
      <c r="K2047" s="29">
        <f>IFERROR(IF(AND(ISNUMBER(C2047),ISNUMBER(J2047)),C2047/J2047-1,""),"")</f>
        <v/>
      </c>
      <c r="L2047" s="28">
        <f>IFERROR(IF(AND(ISNUMBER(D2047),ISNUMBER(E2047)),D2047-E2047,""),"")</f>
        <v/>
      </c>
    </row>
    <row r="2048">
      <c r="A2048" s="7">
        <f>IFERROR(Datos!A2048,"")</f>
        <v/>
      </c>
      <c r="B2048" s="8">
        <f>IFERROR(Datos!B2048,"")</f>
        <v/>
      </c>
      <c r="C2048" s="8">
        <f>IFERROR(Datos!C2048,"")</f>
        <v/>
      </c>
      <c r="D2048" s="28">
        <f>IFERROR(IF(AND(ISNUMBER(B2048),ISNUMBER(B2047),B2047&lt;&gt;0),B2048/B2047-1,""),"")</f>
        <v/>
      </c>
      <c r="E2048" s="28">
        <f>IFERROR(IF(AND(ISNUMBER(C2048),ISNUMBER(C2047),C2047&lt;&gt;0),C2048/C2047-1,""),"")</f>
        <v/>
      </c>
      <c r="F2048" s="28">
        <f>IFERROR(D2048-Dashboard!$B$4/252,"")</f>
        <v/>
      </c>
      <c r="G2048" s="28">
        <f>IFERROR(E2048-Dashboard!$B$4/252,"")</f>
        <v/>
      </c>
      <c r="H2048" s="8">
        <f>IFERROR(IF(ISNUMBER(B2048),MAX(B2048,IFERROR(H2047,B2048)),""),"")</f>
        <v/>
      </c>
      <c r="I2048" s="29">
        <f>IFERROR(IF(AND(ISNUMBER(B2048),ISNUMBER(H2048)),B2048/H2048-1,""),"")</f>
        <v/>
      </c>
      <c r="J2048" s="8">
        <f>IFERROR(IF(ISNUMBER(C2048),MAX(C2048,IFERROR(J2047,C2048)),""),"")</f>
        <v/>
      </c>
      <c r="K2048" s="29">
        <f>IFERROR(IF(AND(ISNUMBER(C2048),ISNUMBER(J2048)),C2048/J2048-1,""),"")</f>
        <v/>
      </c>
      <c r="L2048" s="28">
        <f>IFERROR(IF(AND(ISNUMBER(D2048),ISNUMBER(E2048)),D2048-E2048,""),"")</f>
        <v/>
      </c>
    </row>
    <row r="2049">
      <c r="A2049" s="7">
        <f>IFERROR(Datos!A2049,"")</f>
        <v/>
      </c>
      <c r="B2049" s="8">
        <f>IFERROR(Datos!B2049,"")</f>
        <v/>
      </c>
      <c r="C2049" s="8">
        <f>IFERROR(Datos!C2049,"")</f>
        <v/>
      </c>
      <c r="D2049" s="28">
        <f>IFERROR(IF(AND(ISNUMBER(B2049),ISNUMBER(B2048),B2048&lt;&gt;0),B2049/B2048-1,""),"")</f>
        <v/>
      </c>
      <c r="E2049" s="28">
        <f>IFERROR(IF(AND(ISNUMBER(C2049),ISNUMBER(C2048),C2048&lt;&gt;0),C2049/C2048-1,""),"")</f>
        <v/>
      </c>
      <c r="F2049" s="28">
        <f>IFERROR(D2049-Dashboard!$B$4/252,"")</f>
        <v/>
      </c>
      <c r="G2049" s="28">
        <f>IFERROR(E2049-Dashboard!$B$4/252,"")</f>
        <v/>
      </c>
      <c r="H2049" s="8">
        <f>IFERROR(IF(ISNUMBER(B2049),MAX(B2049,IFERROR(H2048,B2049)),""),"")</f>
        <v/>
      </c>
      <c r="I2049" s="29">
        <f>IFERROR(IF(AND(ISNUMBER(B2049),ISNUMBER(H2049)),B2049/H2049-1,""),"")</f>
        <v/>
      </c>
      <c r="J2049" s="8">
        <f>IFERROR(IF(ISNUMBER(C2049),MAX(C2049,IFERROR(J2048,C2049)),""),"")</f>
        <v/>
      </c>
      <c r="K2049" s="29">
        <f>IFERROR(IF(AND(ISNUMBER(C2049),ISNUMBER(J2049)),C2049/J2049-1,""),"")</f>
        <v/>
      </c>
      <c r="L2049" s="28">
        <f>IFERROR(IF(AND(ISNUMBER(D2049),ISNUMBER(E2049)),D2049-E2049,""),"")</f>
        <v/>
      </c>
    </row>
    <row r="2050">
      <c r="A2050" s="7">
        <f>IFERROR(Datos!A2050,"")</f>
        <v/>
      </c>
      <c r="B2050" s="8">
        <f>IFERROR(Datos!B2050,"")</f>
        <v/>
      </c>
      <c r="C2050" s="8">
        <f>IFERROR(Datos!C2050,"")</f>
        <v/>
      </c>
      <c r="D2050" s="28">
        <f>IFERROR(IF(AND(ISNUMBER(B2050),ISNUMBER(B2049),B2049&lt;&gt;0),B2050/B2049-1,""),"")</f>
        <v/>
      </c>
      <c r="E2050" s="28">
        <f>IFERROR(IF(AND(ISNUMBER(C2050),ISNUMBER(C2049),C2049&lt;&gt;0),C2050/C2049-1,""),"")</f>
        <v/>
      </c>
      <c r="F2050" s="28">
        <f>IFERROR(D2050-Dashboard!$B$4/252,"")</f>
        <v/>
      </c>
      <c r="G2050" s="28">
        <f>IFERROR(E2050-Dashboard!$B$4/252,"")</f>
        <v/>
      </c>
      <c r="H2050" s="8">
        <f>IFERROR(IF(ISNUMBER(B2050),MAX(B2050,IFERROR(H2049,B2050)),""),"")</f>
        <v/>
      </c>
      <c r="I2050" s="29">
        <f>IFERROR(IF(AND(ISNUMBER(B2050),ISNUMBER(H2050)),B2050/H2050-1,""),"")</f>
        <v/>
      </c>
      <c r="J2050" s="8">
        <f>IFERROR(IF(ISNUMBER(C2050),MAX(C2050,IFERROR(J2049,C2050)),""),"")</f>
        <v/>
      </c>
      <c r="K2050" s="29">
        <f>IFERROR(IF(AND(ISNUMBER(C2050),ISNUMBER(J2050)),C2050/J2050-1,""),"")</f>
        <v/>
      </c>
      <c r="L2050" s="28">
        <f>IFERROR(IF(AND(ISNUMBER(D2050),ISNUMBER(E2050)),D2050-E2050,""),"")</f>
        <v/>
      </c>
    </row>
    <row r="2051">
      <c r="A2051" s="7">
        <f>IFERROR(Datos!A2051,"")</f>
        <v/>
      </c>
      <c r="B2051" s="8">
        <f>IFERROR(Datos!B2051,"")</f>
        <v/>
      </c>
      <c r="C2051" s="8">
        <f>IFERROR(Datos!C2051,"")</f>
        <v/>
      </c>
      <c r="D2051" s="28">
        <f>IFERROR(IF(AND(ISNUMBER(B2051),ISNUMBER(B2050),B2050&lt;&gt;0),B2051/B2050-1,""),"")</f>
        <v/>
      </c>
      <c r="E2051" s="28">
        <f>IFERROR(IF(AND(ISNUMBER(C2051),ISNUMBER(C2050),C2050&lt;&gt;0),C2051/C2050-1,""),"")</f>
        <v/>
      </c>
      <c r="F2051" s="28">
        <f>IFERROR(D2051-Dashboard!$B$4/252,"")</f>
        <v/>
      </c>
      <c r="G2051" s="28">
        <f>IFERROR(E2051-Dashboard!$B$4/252,"")</f>
        <v/>
      </c>
      <c r="H2051" s="8">
        <f>IFERROR(IF(ISNUMBER(B2051),MAX(B2051,IFERROR(H2050,B2051)),""),"")</f>
        <v/>
      </c>
      <c r="I2051" s="29">
        <f>IFERROR(IF(AND(ISNUMBER(B2051),ISNUMBER(H2051)),B2051/H2051-1,""),"")</f>
        <v/>
      </c>
      <c r="J2051" s="8">
        <f>IFERROR(IF(ISNUMBER(C2051),MAX(C2051,IFERROR(J2050,C2051)),""),"")</f>
        <v/>
      </c>
      <c r="K2051" s="29">
        <f>IFERROR(IF(AND(ISNUMBER(C2051),ISNUMBER(J2051)),C2051/J2051-1,""),"")</f>
        <v/>
      </c>
      <c r="L2051" s="28">
        <f>IFERROR(IF(AND(ISNUMBER(D2051),ISNUMBER(E2051)),D2051-E2051,""),"")</f>
        <v/>
      </c>
    </row>
    <row r="2052">
      <c r="A2052" s="7">
        <f>IFERROR(Datos!A2052,"")</f>
        <v/>
      </c>
      <c r="B2052" s="8">
        <f>IFERROR(Datos!B2052,"")</f>
        <v/>
      </c>
      <c r="C2052" s="8">
        <f>IFERROR(Datos!C2052,"")</f>
        <v/>
      </c>
      <c r="D2052" s="28">
        <f>IFERROR(IF(AND(ISNUMBER(B2052),ISNUMBER(B2051),B2051&lt;&gt;0),B2052/B2051-1,""),"")</f>
        <v/>
      </c>
      <c r="E2052" s="28">
        <f>IFERROR(IF(AND(ISNUMBER(C2052),ISNUMBER(C2051),C2051&lt;&gt;0),C2052/C2051-1,""),"")</f>
        <v/>
      </c>
      <c r="F2052" s="28">
        <f>IFERROR(D2052-Dashboard!$B$4/252,"")</f>
        <v/>
      </c>
      <c r="G2052" s="28">
        <f>IFERROR(E2052-Dashboard!$B$4/252,"")</f>
        <v/>
      </c>
      <c r="H2052" s="8">
        <f>IFERROR(IF(ISNUMBER(B2052),MAX(B2052,IFERROR(H2051,B2052)),""),"")</f>
        <v/>
      </c>
      <c r="I2052" s="29">
        <f>IFERROR(IF(AND(ISNUMBER(B2052),ISNUMBER(H2052)),B2052/H2052-1,""),"")</f>
        <v/>
      </c>
      <c r="J2052" s="8">
        <f>IFERROR(IF(ISNUMBER(C2052),MAX(C2052,IFERROR(J2051,C2052)),""),"")</f>
        <v/>
      </c>
      <c r="K2052" s="29">
        <f>IFERROR(IF(AND(ISNUMBER(C2052),ISNUMBER(J2052)),C2052/J2052-1,""),"")</f>
        <v/>
      </c>
      <c r="L2052" s="28">
        <f>IFERROR(IF(AND(ISNUMBER(D2052),ISNUMBER(E2052)),D2052-E2052,""),"")</f>
        <v/>
      </c>
    </row>
    <row r="2053">
      <c r="A2053" s="7">
        <f>IFERROR(Datos!A2053,"")</f>
        <v/>
      </c>
      <c r="B2053" s="8">
        <f>IFERROR(Datos!B2053,"")</f>
        <v/>
      </c>
      <c r="C2053" s="8">
        <f>IFERROR(Datos!C2053,"")</f>
        <v/>
      </c>
      <c r="D2053" s="28">
        <f>IFERROR(IF(AND(ISNUMBER(B2053),ISNUMBER(B2052),B2052&lt;&gt;0),B2053/B2052-1,""),"")</f>
        <v/>
      </c>
      <c r="E2053" s="28">
        <f>IFERROR(IF(AND(ISNUMBER(C2053),ISNUMBER(C2052),C2052&lt;&gt;0),C2053/C2052-1,""),"")</f>
        <v/>
      </c>
      <c r="F2053" s="28">
        <f>IFERROR(D2053-Dashboard!$B$4/252,"")</f>
        <v/>
      </c>
      <c r="G2053" s="28">
        <f>IFERROR(E2053-Dashboard!$B$4/252,"")</f>
        <v/>
      </c>
      <c r="H2053" s="8">
        <f>IFERROR(IF(ISNUMBER(B2053),MAX(B2053,IFERROR(H2052,B2053)),""),"")</f>
        <v/>
      </c>
      <c r="I2053" s="29">
        <f>IFERROR(IF(AND(ISNUMBER(B2053),ISNUMBER(H2053)),B2053/H2053-1,""),"")</f>
        <v/>
      </c>
      <c r="J2053" s="8">
        <f>IFERROR(IF(ISNUMBER(C2053),MAX(C2053,IFERROR(J2052,C2053)),""),"")</f>
        <v/>
      </c>
      <c r="K2053" s="29">
        <f>IFERROR(IF(AND(ISNUMBER(C2053),ISNUMBER(J2053)),C2053/J2053-1,""),"")</f>
        <v/>
      </c>
      <c r="L2053" s="28">
        <f>IFERROR(IF(AND(ISNUMBER(D2053),ISNUMBER(E2053)),D2053-E2053,""),"")</f>
        <v/>
      </c>
    </row>
    <row r="2054">
      <c r="A2054" s="7">
        <f>IFERROR(Datos!A2054,"")</f>
        <v/>
      </c>
      <c r="B2054" s="8">
        <f>IFERROR(Datos!B2054,"")</f>
        <v/>
      </c>
      <c r="C2054" s="8">
        <f>IFERROR(Datos!C2054,"")</f>
        <v/>
      </c>
      <c r="D2054" s="28">
        <f>IFERROR(IF(AND(ISNUMBER(B2054),ISNUMBER(B2053),B2053&lt;&gt;0),B2054/B2053-1,""),"")</f>
        <v/>
      </c>
      <c r="E2054" s="28">
        <f>IFERROR(IF(AND(ISNUMBER(C2054),ISNUMBER(C2053),C2053&lt;&gt;0),C2054/C2053-1,""),"")</f>
        <v/>
      </c>
      <c r="F2054" s="28">
        <f>IFERROR(D2054-Dashboard!$B$4/252,"")</f>
        <v/>
      </c>
      <c r="G2054" s="28">
        <f>IFERROR(E2054-Dashboard!$B$4/252,"")</f>
        <v/>
      </c>
      <c r="H2054" s="8">
        <f>IFERROR(IF(ISNUMBER(B2054),MAX(B2054,IFERROR(H2053,B2054)),""),"")</f>
        <v/>
      </c>
      <c r="I2054" s="29">
        <f>IFERROR(IF(AND(ISNUMBER(B2054),ISNUMBER(H2054)),B2054/H2054-1,""),"")</f>
        <v/>
      </c>
      <c r="J2054" s="8">
        <f>IFERROR(IF(ISNUMBER(C2054),MAX(C2054,IFERROR(J2053,C2054)),""),"")</f>
        <v/>
      </c>
      <c r="K2054" s="29">
        <f>IFERROR(IF(AND(ISNUMBER(C2054),ISNUMBER(J2054)),C2054/J2054-1,""),"")</f>
        <v/>
      </c>
      <c r="L2054" s="28">
        <f>IFERROR(IF(AND(ISNUMBER(D2054),ISNUMBER(E2054)),D2054-E2054,""),"")</f>
        <v/>
      </c>
    </row>
    <row r="2055">
      <c r="A2055" s="7">
        <f>IFERROR(Datos!A2055,"")</f>
        <v/>
      </c>
      <c r="B2055" s="8">
        <f>IFERROR(Datos!B2055,"")</f>
        <v/>
      </c>
      <c r="C2055" s="8">
        <f>IFERROR(Datos!C2055,"")</f>
        <v/>
      </c>
      <c r="D2055" s="28">
        <f>IFERROR(IF(AND(ISNUMBER(B2055),ISNUMBER(B2054),B2054&lt;&gt;0),B2055/B2054-1,""),"")</f>
        <v/>
      </c>
      <c r="E2055" s="28">
        <f>IFERROR(IF(AND(ISNUMBER(C2055),ISNUMBER(C2054),C2054&lt;&gt;0),C2055/C2054-1,""),"")</f>
        <v/>
      </c>
      <c r="F2055" s="28">
        <f>IFERROR(D2055-Dashboard!$B$4/252,"")</f>
        <v/>
      </c>
      <c r="G2055" s="28">
        <f>IFERROR(E2055-Dashboard!$B$4/252,"")</f>
        <v/>
      </c>
      <c r="H2055" s="8">
        <f>IFERROR(IF(ISNUMBER(B2055),MAX(B2055,IFERROR(H2054,B2055)),""),"")</f>
        <v/>
      </c>
      <c r="I2055" s="29">
        <f>IFERROR(IF(AND(ISNUMBER(B2055),ISNUMBER(H2055)),B2055/H2055-1,""),"")</f>
        <v/>
      </c>
      <c r="J2055" s="8">
        <f>IFERROR(IF(ISNUMBER(C2055),MAX(C2055,IFERROR(J2054,C2055)),""),"")</f>
        <v/>
      </c>
      <c r="K2055" s="29">
        <f>IFERROR(IF(AND(ISNUMBER(C2055),ISNUMBER(J2055)),C2055/J2055-1,""),"")</f>
        <v/>
      </c>
      <c r="L2055" s="28">
        <f>IFERROR(IF(AND(ISNUMBER(D2055),ISNUMBER(E2055)),D2055-E2055,""),"")</f>
        <v/>
      </c>
    </row>
    <row r="2056">
      <c r="A2056" s="7">
        <f>IFERROR(Datos!A2056,"")</f>
        <v/>
      </c>
      <c r="B2056" s="8">
        <f>IFERROR(Datos!B2056,"")</f>
        <v/>
      </c>
      <c r="C2056" s="8">
        <f>IFERROR(Datos!C2056,"")</f>
        <v/>
      </c>
      <c r="D2056" s="28">
        <f>IFERROR(IF(AND(ISNUMBER(B2056),ISNUMBER(B2055),B2055&lt;&gt;0),B2056/B2055-1,""),"")</f>
        <v/>
      </c>
      <c r="E2056" s="28">
        <f>IFERROR(IF(AND(ISNUMBER(C2056),ISNUMBER(C2055),C2055&lt;&gt;0),C2056/C2055-1,""),"")</f>
        <v/>
      </c>
      <c r="F2056" s="28">
        <f>IFERROR(D2056-Dashboard!$B$4/252,"")</f>
        <v/>
      </c>
      <c r="G2056" s="28">
        <f>IFERROR(E2056-Dashboard!$B$4/252,"")</f>
        <v/>
      </c>
      <c r="H2056" s="8">
        <f>IFERROR(IF(ISNUMBER(B2056),MAX(B2056,IFERROR(H2055,B2056)),""),"")</f>
        <v/>
      </c>
      <c r="I2056" s="29">
        <f>IFERROR(IF(AND(ISNUMBER(B2056),ISNUMBER(H2056)),B2056/H2056-1,""),"")</f>
        <v/>
      </c>
      <c r="J2056" s="8">
        <f>IFERROR(IF(ISNUMBER(C2056),MAX(C2056,IFERROR(J2055,C2056)),""),"")</f>
        <v/>
      </c>
      <c r="K2056" s="29">
        <f>IFERROR(IF(AND(ISNUMBER(C2056),ISNUMBER(J2056)),C2056/J2056-1,""),"")</f>
        <v/>
      </c>
      <c r="L2056" s="28">
        <f>IFERROR(IF(AND(ISNUMBER(D2056),ISNUMBER(E2056)),D2056-E2056,""),"")</f>
        <v/>
      </c>
    </row>
    <row r="2057">
      <c r="A2057" s="7">
        <f>IFERROR(Datos!A2057,"")</f>
        <v/>
      </c>
      <c r="B2057" s="8">
        <f>IFERROR(Datos!B2057,"")</f>
        <v/>
      </c>
      <c r="C2057" s="8">
        <f>IFERROR(Datos!C2057,"")</f>
        <v/>
      </c>
      <c r="D2057" s="28">
        <f>IFERROR(IF(AND(ISNUMBER(B2057),ISNUMBER(B2056),B2056&lt;&gt;0),B2057/B2056-1,""),"")</f>
        <v/>
      </c>
      <c r="E2057" s="28">
        <f>IFERROR(IF(AND(ISNUMBER(C2057),ISNUMBER(C2056),C2056&lt;&gt;0),C2057/C2056-1,""),"")</f>
        <v/>
      </c>
      <c r="F2057" s="28">
        <f>IFERROR(D2057-Dashboard!$B$4/252,"")</f>
        <v/>
      </c>
      <c r="G2057" s="28">
        <f>IFERROR(E2057-Dashboard!$B$4/252,"")</f>
        <v/>
      </c>
      <c r="H2057" s="8">
        <f>IFERROR(IF(ISNUMBER(B2057),MAX(B2057,IFERROR(H2056,B2057)),""),"")</f>
        <v/>
      </c>
      <c r="I2057" s="29">
        <f>IFERROR(IF(AND(ISNUMBER(B2057),ISNUMBER(H2057)),B2057/H2057-1,""),"")</f>
        <v/>
      </c>
      <c r="J2057" s="8">
        <f>IFERROR(IF(ISNUMBER(C2057),MAX(C2057,IFERROR(J2056,C2057)),""),"")</f>
        <v/>
      </c>
      <c r="K2057" s="29">
        <f>IFERROR(IF(AND(ISNUMBER(C2057),ISNUMBER(J2057)),C2057/J2057-1,""),"")</f>
        <v/>
      </c>
      <c r="L2057" s="28">
        <f>IFERROR(IF(AND(ISNUMBER(D2057),ISNUMBER(E2057)),D2057-E2057,""),"")</f>
        <v/>
      </c>
    </row>
    <row r="2058">
      <c r="A2058" s="7">
        <f>IFERROR(Datos!A2058,"")</f>
        <v/>
      </c>
      <c r="B2058" s="8">
        <f>IFERROR(Datos!B2058,"")</f>
        <v/>
      </c>
      <c r="C2058" s="8">
        <f>IFERROR(Datos!C2058,"")</f>
        <v/>
      </c>
      <c r="D2058" s="28">
        <f>IFERROR(IF(AND(ISNUMBER(B2058),ISNUMBER(B2057),B2057&lt;&gt;0),B2058/B2057-1,""),"")</f>
        <v/>
      </c>
      <c r="E2058" s="28">
        <f>IFERROR(IF(AND(ISNUMBER(C2058),ISNUMBER(C2057),C2057&lt;&gt;0),C2058/C2057-1,""),"")</f>
        <v/>
      </c>
      <c r="F2058" s="28">
        <f>IFERROR(D2058-Dashboard!$B$4/252,"")</f>
        <v/>
      </c>
      <c r="G2058" s="28">
        <f>IFERROR(E2058-Dashboard!$B$4/252,"")</f>
        <v/>
      </c>
      <c r="H2058" s="8">
        <f>IFERROR(IF(ISNUMBER(B2058),MAX(B2058,IFERROR(H2057,B2058)),""),"")</f>
        <v/>
      </c>
      <c r="I2058" s="29">
        <f>IFERROR(IF(AND(ISNUMBER(B2058),ISNUMBER(H2058)),B2058/H2058-1,""),"")</f>
        <v/>
      </c>
      <c r="J2058" s="8">
        <f>IFERROR(IF(ISNUMBER(C2058),MAX(C2058,IFERROR(J2057,C2058)),""),"")</f>
        <v/>
      </c>
      <c r="K2058" s="29">
        <f>IFERROR(IF(AND(ISNUMBER(C2058),ISNUMBER(J2058)),C2058/J2058-1,""),"")</f>
        <v/>
      </c>
      <c r="L2058" s="28">
        <f>IFERROR(IF(AND(ISNUMBER(D2058),ISNUMBER(E2058)),D2058-E2058,""),"")</f>
        <v/>
      </c>
    </row>
    <row r="2059">
      <c r="A2059" s="7">
        <f>IFERROR(Datos!A2059,"")</f>
        <v/>
      </c>
      <c r="B2059" s="8">
        <f>IFERROR(Datos!B2059,"")</f>
        <v/>
      </c>
      <c r="C2059" s="8">
        <f>IFERROR(Datos!C2059,"")</f>
        <v/>
      </c>
      <c r="D2059" s="28">
        <f>IFERROR(IF(AND(ISNUMBER(B2059),ISNUMBER(B2058),B2058&lt;&gt;0),B2059/B2058-1,""),"")</f>
        <v/>
      </c>
      <c r="E2059" s="28">
        <f>IFERROR(IF(AND(ISNUMBER(C2059),ISNUMBER(C2058),C2058&lt;&gt;0),C2059/C2058-1,""),"")</f>
        <v/>
      </c>
      <c r="F2059" s="28">
        <f>IFERROR(D2059-Dashboard!$B$4/252,"")</f>
        <v/>
      </c>
      <c r="G2059" s="28">
        <f>IFERROR(E2059-Dashboard!$B$4/252,"")</f>
        <v/>
      </c>
      <c r="H2059" s="8">
        <f>IFERROR(IF(ISNUMBER(B2059),MAX(B2059,IFERROR(H2058,B2059)),""),"")</f>
        <v/>
      </c>
      <c r="I2059" s="29">
        <f>IFERROR(IF(AND(ISNUMBER(B2059),ISNUMBER(H2059)),B2059/H2059-1,""),"")</f>
        <v/>
      </c>
      <c r="J2059" s="8">
        <f>IFERROR(IF(ISNUMBER(C2059),MAX(C2059,IFERROR(J2058,C2059)),""),"")</f>
        <v/>
      </c>
      <c r="K2059" s="29">
        <f>IFERROR(IF(AND(ISNUMBER(C2059),ISNUMBER(J2059)),C2059/J2059-1,""),"")</f>
        <v/>
      </c>
      <c r="L2059" s="28">
        <f>IFERROR(IF(AND(ISNUMBER(D2059),ISNUMBER(E2059)),D2059-E2059,""),"")</f>
        <v/>
      </c>
    </row>
    <row r="2060">
      <c r="A2060" s="7">
        <f>IFERROR(Datos!A2060,"")</f>
        <v/>
      </c>
      <c r="B2060" s="8">
        <f>IFERROR(Datos!B2060,"")</f>
        <v/>
      </c>
      <c r="C2060" s="8">
        <f>IFERROR(Datos!C2060,"")</f>
        <v/>
      </c>
      <c r="D2060" s="28">
        <f>IFERROR(IF(AND(ISNUMBER(B2060),ISNUMBER(B2059),B2059&lt;&gt;0),B2060/B2059-1,""),"")</f>
        <v/>
      </c>
      <c r="E2060" s="28">
        <f>IFERROR(IF(AND(ISNUMBER(C2060),ISNUMBER(C2059),C2059&lt;&gt;0),C2060/C2059-1,""),"")</f>
        <v/>
      </c>
      <c r="F2060" s="28">
        <f>IFERROR(D2060-Dashboard!$B$4/252,"")</f>
        <v/>
      </c>
      <c r="G2060" s="28">
        <f>IFERROR(E2060-Dashboard!$B$4/252,"")</f>
        <v/>
      </c>
      <c r="H2060" s="8">
        <f>IFERROR(IF(ISNUMBER(B2060),MAX(B2060,IFERROR(H2059,B2060)),""),"")</f>
        <v/>
      </c>
      <c r="I2060" s="29">
        <f>IFERROR(IF(AND(ISNUMBER(B2060),ISNUMBER(H2060)),B2060/H2060-1,""),"")</f>
        <v/>
      </c>
      <c r="J2060" s="8">
        <f>IFERROR(IF(ISNUMBER(C2060),MAX(C2060,IFERROR(J2059,C2060)),""),"")</f>
        <v/>
      </c>
      <c r="K2060" s="29">
        <f>IFERROR(IF(AND(ISNUMBER(C2060),ISNUMBER(J2060)),C2060/J2060-1,""),"")</f>
        <v/>
      </c>
      <c r="L2060" s="28">
        <f>IFERROR(IF(AND(ISNUMBER(D2060),ISNUMBER(E2060)),D2060-E2060,""),"")</f>
        <v/>
      </c>
    </row>
    <row r="2061">
      <c r="A2061" s="7">
        <f>IFERROR(Datos!A2061,"")</f>
        <v/>
      </c>
      <c r="B2061" s="8">
        <f>IFERROR(Datos!B2061,"")</f>
        <v/>
      </c>
      <c r="C2061" s="8">
        <f>IFERROR(Datos!C2061,"")</f>
        <v/>
      </c>
      <c r="D2061" s="28">
        <f>IFERROR(IF(AND(ISNUMBER(B2061),ISNUMBER(B2060),B2060&lt;&gt;0),B2061/B2060-1,""),"")</f>
        <v/>
      </c>
      <c r="E2061" s="28">
        <f>IFERROR(IF(AND(ISNUMBER(C2061),ISNUMBER(C2060),C2060&lt;&gt;0),C2061/C2060-1,""),"")</f>
        <v/>
      </c>
      <c r="F2061" s="28">
        <f>IFERROR(D2061-Dashboard!$B$4/252,"")</f>
        <v/>
      </c>
      <c r="G2061" s="28">
        <f>IFERROR(E2061-Dashboard!$B$4/252,"")</f>
        <v/>
      </c>
      <c r="H2061" s="8">
        <f>IFERROR(IF(ISNUMBER(B2061),MAX(B2061,IFERROR(H2060,B2061)),""),"")</f>
        <v/>
      </c>
      <c r="I2061" s="29">
        <f>IFERROR(IF(AND(ISNUMBER(B2061),ISNUMBER(H2061)),B2061/H2061-1,""),"")</f>
        <v/>
      </c>
      <c r="J2061" s="8">
        <f>IFERROR(IF(ISNUMBER(C2061),MAX(C2061,IFERROR(J2060,C2061)),""),"")</f>
        <v/>
      </c>
      <c r="K2061" s="29">
        <f>IFERROR(IF(AND(ISNUMBER(C2061),ISNUMBER(J2061)),C2061/J2061-1,""),"")</f>
        <v/>
      </c>
      <c r="L2061" s="28">
        <f>IFERROR(IF(AND(ISNUMBER(D2061),ISNUMBER(E2061)),D2061-E2061,""),"")</f>
        <v/>
      </c>
    </row>
    <row r="2062">
      <c r="A2062" s="7">
        <f>IFERROR(Datos!A2062,"")</f>
        <v/>
      </c>
      <c r="B2062" s="8">
        <f>IFERROR(Datos!B2062,"")</f>
        <v/>
      </c>
      <c r="C2062" s="8">
        <f>IFERROR(Datos!C2062,"")</f>
        <v/>
      </c>
      <c r="D2062" s="28">
        <f>IFERROR(IF(AND(ISNUMBER(B2062),ISNUMBER(B2061),B2061&lt;&gt;0),B2062/B2061-1,""),"")</f>
        <v/>
      </c>
      <c r="E2062" s="28">
        <f>IFERROR(IF(AND(ISNUMBER(C2062),ISNUMBER(C2061),C2061&lt;&gt;0),C2062/C2061-1,""),"")</f>
        <v/>
      </c>
      <c r="F2062" s="28">
        <f>IFERROR(D2062-Dashboard!$B$4/252,"")</f>
        <v/>
      </c>
      <c r="G2062" s="28">
        <f>IFERROR(E2062-Dashboard!$B$4/252,"")</f>
        <v/>
      </c>
      <c r="H2062" s="8">
        <f>IFERROR(IF(ISNUMBER(B2062),MAX(B2062,IFERROR(H2061,B2062)),""),"")</f>
        <v/>
      </c>
      <c r="I2062" s="29">
        <f>IFERROR(IF(AND(ISNUMBER(B2062),ISNUMBER(H2062)),B2062/H2062-1,""),"")</f>
        <v/>
      </c>
      <c r="J2062" s="8">
        <f>IFERROR(IF(ISNUMBER(C2062),MAX(C2062,IFERROR(J2061,C2062)),""),"")</f>
        <v/>
      </c>
      <c r="K2062" s="29">
        <f>IFERROR(IF(AND(ISNUMBER(C2062),ISNUMBER(J2062)),C2062/J2062-1,""),"")</f>
        <v/>
      </c>
      <c r="L2062" s="28">
        <f>IFERROR(IF(AND(ISNUMBER(D2062),ISNUMBER(E2062)),D2062-E2062,""),"")</f>
        <v/>
      </c>
    </row>
    <row r="2063">
      <c r="A2063" s="7">
        <f>IFERROR(Datos!A2063,"")</f>
        <v/>
      </c>
      <c r="B2063" s="8">
        <f>IFERROR(Datos!B2063,"")</f>
        <v/>
      </c>
      <c r="C2063" s="8">
        <f>IFERROR(Datos!C2063,"")</f>
        <v/>
      </c>
      <c r="D2063" s="28">
        <f>IFERROR(IF(AND(ISNUMBER(B2063),ISNUMBER(B2062),B2062&lt;&gt;0),B2063/B2062-1,""),"")</f>
        <v/>
      </c>
      <c r="E2063" s="28">
        <f>IFERROR(IF(AND(ISNUMBER(C2063),ISNUMBER(C2062),C2062&lt;&gt;0),C2063/C2062-1,""),"")</f>
        <v/>
      </c>
      <c r="F2063" s="28">
        <f>IFERROR(D2063-Dashboard!$B$4/252,"")</f>
        <v/>
      </c>
      <c r="G2063" s="28">
        <f>IFERROR(E2063-Dashboard!$B$4/252,"")</f>
        <v/>
      </c>
      <c r="H2063" s="8">
        <f>IFERROR(IF(ISNUMBER(B2063),MAX(B2063,IFERROR(H2062,B2063)),""),"")</f>
        <v/>
      </c>
      <c r="I2063" s="29">
        <f>IFERROR(IF(AND(ISNUMBER(B2063),ISNUMBER(H2063)),B2063/H2063-1,""),"")</f>
        <v/>
      </c>
      <c r="J2063" s="8">
        <f>IFERROR(IF(ISNUMBER(C2063),MAX(C2063,IFERROR(J2062,C2063)),""),"")</f>
        <v/>
      </c>
      <c r="K2063" s="29">
        <f>IFERROR(IF(AND(ISNUMBER(C2063),ISNUMBER(J2063)),C2063/J2063-1,""),"")</f>
        <v/>
      </c>
      <c r="L2063" s="28">
        <f>IFERROR(IF(AND(ISNUMBER(D2063),ISNUMBER(E2063)),D2063-E2063,""),"")</f>
        <v/>
      </c>
    </row>
    <row r="2064">
      <c r="A2064" s="7">
        <f>IFERROR(Datos!A2064,"")</f>
        <v/>
      </c>
      <c r="B2064" s="8">
        <f>IFERROR(Datos!B2064,"")</f>
        <v/>
      </c>
      <c r="C2064" s="8">
        <f>IFERROR(Datos!C2064,"")</f>
        <v/>
      </c>
      <c r="D2064" s="28">
        <f>IFERROR(IF(AND(ISNUMBER(B2064),ISNUMBER(B2063),B2063&lt;&gt;0),B2064/B2063-1,""),"")</f>
        <v/>
      </c>
      <c r="E2064" s="28">
        <f>IFERROR(IF(AND(ISNUMBER(C2064),ISNUMBER(C2063),C2063&lt;&gt;0),C2064/C2063-1,""),"")</f>
        <v/>
      </c>
      <c r="F2064" s="28">
        <f>IFERROR(D2064-Dashboard!$B$4/252,"")</f>
        <v/>
      </c>
      <c r="G2064" s="28">
        <f>IFERROR(E2064-Dashboard!$B$4/252,"")</f>
        <v/>
      </c>
      <c r="H2064" s="8">
        <f>IFERROR(IF(ISNUMBER(B2064),MAX(B2064,IFERROR(H2063,B2064)),""),"")</f>
        <v/>
      </c>
      <c r="I2064" s="29">
        <f>IFERROR(IF(AND(ISNUMBER(B2064),ISNUMBER(H2064)),B2064/H2064-1,""),"")</f>
        <v/>
      </c>
      <c r="J2064" s="8">
        <f>IFERROR(IF(ISNUMBER(C2064),MAX(C2064,IFERROR(J2063,C2064)),""),"")</f>
        <v/>
      </c>
      <c r="K2064" s="29">
        <f>IFERROR(IF(AND(ISNUMBER(C2064),ISNUMBER(J2064)),C2064/J2064-1,""),"")</f>
        <v/>
      </c>
      <c r="L2064" s="28">
        <f>IFERROR(IF(AND(ISNUMBER(D2064),ISNUMBER(E2064)),D2064-E2064,""),"")</f>
        <v/>
      </c>
    </row>
    <row r="2065">
      <c r="A2065" s="7">
        <f>IFERROR(Datos!A2065,"")</f>
        <v/>
      </c>
      <c r="B2065" s="8">
        <f>IFERROR(Datos!B2065,"")</f>
        <v/>
      </c>
      <c r="C2065" s="8">
        <f>IFERROR(Datos!C2065,"")</f>
        <v/>
      </c>
      <c r="D2065" s="28">
        <f>IFERROR(IF(AND(ISNUMBER(B2065),ISNUMBER(B2064),B2064&lt;&gt;0),B2065/B2064-1,""),"")</f>
        <v/>
      </c>
      <c r="E2065" s="28">
        <f>IFERROR(IF(AND(ISNUMBER(C2065),ISNUMBER(C2064),C2064&lt;&gt;0),C2065/C2064-1,""),"")</f>
        <v/>
      </c>
      <c r="F2065" s="28">
        <f>IFERROR(D2065-Dashboard!$B$4/252,"")</f>
        <v/>
      </c>
      <c r="G2065" s="28">
        <f>IFERROR(E2065-Dashboard!$B$4/252,"")</f>
        <v/>
      </c>
      <c r="H2065" s="8">
        <f>IFERROR(IF(ISNUMBER(B2065),MAX(B2065,IFERROR(H2064,B2065)),""),"")</f>
        <v/>
      </c>
      <c r="I2065" s="29">
        <f>IFERROR(IF(AND(ISNUMBER(B2065),ISNUMBER(H2065)),B2065/H2065-1,""),"")</f>
        <v/>
      </c>
      <c r="J2065" s="8">
        <f>IFERROR(IF(ISNUMBER(C2065),MAX(C2065,IFERROR(J2064,C2065)),""),"")</f>
        <v/>
      </c>
      <c r="K2065" s="29">
        <f>IFERROR(IF(AND(ISNUMBER(C2065),ISNUMBER(J2065)),C2065/J2065-1,""),"")</f>
        <v/>
      </c>
      <c r="L2065" s="28">
        <f>IFERROR(IF(AND(ISNUMBER(D2065),ISNUMBER(E2065)),D2065-E2065,""),"")</f>
        <v/>
      </c>
    </row>
    <row r="2066">
      <c r="A2066" s="7">
        <f>IFERROR(Datos!A2066,"")</f>
        <v/>
      </c>
      <c r="B2066" s="8">
        <f>IFERROR(Datos!B2066,"")</f>
        <v/>
      </c>
      <c r="C2066" s="8">
        <f>IFERROR(Datos!C2066,"")</f>
        <v/>
      </c>
      <c r="D2066" s="28">
        <f>IFERROR(IF(AND(ISNUMBER(B2066),ISNUMBER(B2065),B2065&lt;&gt;0),B2066/B2065-1,""),"")</f>
        <v/>
      </c>
      <c r="E2066" s="28">
        <f>IFERROR(IF(AND(ISNUMBER(C2066),ISNUMBER(C2065),C2065&lt;&gt;0),C2066/C2065-1,""),"")</f>
        <v/>
      </c>
      <c r="F2066" s="28">
        <f>IFERROR(D2066-Dashboard!$B$4/252,"")</f>
        <v/>
      </c>
      <c r="G2066" s="28">
        <f>IFERROR(E2066-Dashboard!$B$4/252,"")</f>
        <v/>
      </c>
      <c r="H2066" s="8">
        <f>IFERROR(IF(ISNUMBER(B2066),MAX(B2066,IFERROR(H2065,B2066)),""),"")</f>
        <v/>
      </c>
      <c r="I2066" s="29">
        <f>IFERROR(IF(AND(ISNUMBER(B2066),ISNUMBER(H2066)),B2066/H2066-1,""),"")</f>
        <v/>
      </c>
      <c r="J2066" s="8">
        <f>IFERROR(IF(ISNUMBER(C2066),MAX(C2066,IFERROR(J2065,C2066)),""),"")</f>
        <v/>
      </c>
      <c r="K2066" s="29">
        <f>IFERROR(IF(AND(ISNUMBER(C2066),ISNUMBER(J2066)),C2066/J2066-1,""),"")</f>
        <v/>
      </c>
      <c r="L2066" s="28">
        <f>IFERROR(IF(AND(ISNUMBER(D2066),ISNUMBER(E2066)),D2066-E2066,""),"")</f>
        <v/>
      </c>
    </row>
    <row r="2067">
      <c r="A2067" s="7">
        <f>IFERROR(Datos!A2067,"")</f>
        <v/>
      </c>
      <c r="B2067" s="8">
        <f>IFERROR(Datos!B2067,"")</f>
        <v/>
      </c>
      <c r="C2067" s="8">
        <f>IFERROR(Datos!C2067,"")</f>
        <v/>
      </c>
      <c r="D2067" s="28">
        <f>IFERROR(IF(AND(ISNUMBER(B2067),ISNUMBER(B2066),B2066&lt;&gt;0),B2067/B2066-1,""),"")</f>
        <v/>
      </c>
      <c r="E2067" s="28">
        <f>IFERROR(IF(AND(ISNUMBER(C2067),ISNUMBER(C2066),C2066&lt;&gt;0),C2067/C2066-1,""),"")</f>
        <v/>
      </c>
      <c r="F2067" s="28">
        <f>IFERROR(D2067-Dashboard!$B$4/252,"")</f>
        <v/>
      </c>
      <c r="G2067" s="28">
        <f>IFERROR(E2067-Dashboard!$B$4/252,"")</f>
        <v/>
      </c>
      <c r="H2067" s="8">
        <f>IFERROR(IF(ISNUMBER(B2067),MAX(B2067,IFERROR(H2066,B2067)),""),"")</f>
        <v/>
      </c>
      <c r="I2067" s="29">
        <f>IFERROR(IF(AND(ISNUMBER(B2067),ISNUMBER(H2067)),B2067/H2067-1,""),"")</f>
        <v/>
      </c>
      <c r="J2067" s="8">
        <f>IFERROR(IF(ISNUMBER(C2067),MAX(C2067,IFERROR(J2066,C2067)),""),"")</f>
        <v/>
      </c>
      <c r="K2067" s="29">
        <f>IFERROR(IF(AND(ISNUMBER(C2067),ISNUMBER(J2067)),C2067/J2067-1,""),"")</f>
        <v/>
      </c>
      <c r="L2067" s="28">
        <f>IFERROR(IF(AND(ISNUMBER(D2067),ISNUMBER(E2067)),D2067-E2067,""),"")</f>
        <v/>
      </c>
    </row>
    <row r="2068">
      <c r="A2068" s="7">
        <f>IFERROR(Datos!A2068,"")</f>
        <v/>
      </c>
      <c r="B2068" s="8">
        <f>IFERROR(Datos!B2068,"")</f>
        <v/>
      </c>
      <c r="C2068" s="8">
        <f>IFERROR(Datos!C2068,"")</f>
        <v/>
      </c>
      <c r="D2068" s="28">
        <f>IFERROR(IF(AND(ISNUMBER(B2068),ISNUMBER(B2067),B2067&lt;&gt;0),B2068/B2067-1,""),"")</f>
        <v/>
      </c>
      <c r="E2068" s="28">
        <f>IFERROR(IF(AND(ISNUMBER(C2068),ISNUMBER(C2067),C2067&lt;&gt;0),C2068/C2067-1,""),"")</f>
        <v/>
      </c>
      <c r="F2068" s="28">
        <f>IFERROR(D2068-Dashboard!$B$4/252,"")</f>
        <v/>
      </c>
      <c r="G2068" s="28">
        <f>IFERROR(E2068-Dashboard!$B$4/252,"")</f>
        <v/>
      </c>
      <c r="H2068" s="8">
        <f>IFERROR(IF(ISNUMBER(B2068),MAX(B2068,IFERROR(H2067,B2068)),""),"")</f>
        <v/>
      </c>
      <c r="I2068" s="29">
        <f>IFERROR(IF(AND(ISNUMBER(B2068),ISNUMBER(H2068)),B2068/H2068-1,""),"")</f>
        <v/>
      </c>
      <c r="J2068" s="8">
        <f>IFERROR(IF(ISNUMBER(C2068),MAX(C2068,IFERROR(J2067,C2068)),""),"")</f>
        <v/>
      </c>
      <c r="K2068" s="29">
        <f>IFERROR(IF(AND(ISNUMBER(C2068),ISNUMBER(J2068)),C2068/J2068-1,""),"")</f>
        <v/>
      </c>
      <c r="L2068" s="28">
        <f>IFERROR(IF(AND(ISNUMBER(D2068),ISNUMBER(E2068)),D2068-E2068,""),"")</f>
        <v/>
      </c>
    </row>
    <row r="2069">
      <c r="A2069" s="7">
        <f>IFERROR(Datos!A2069,"")</f>
        <v/>
      </c>
      <c r="B2069" s="8">
        <f>IFERROR(Datos!B2069,"")</f>
        <v/>
      </c>
      <c r="C2069" s="8">
        <f>IFERROR(Datos!C2069,"")</f>
        <v/>
      </c>
      <c r="D2069" s="28">
        <f>IFERROR(IF(AND(ISNUMBER(B2069),ISNUMBER(B2068),B2068&lt;&gt;0),B2069/B2068-1,""),"")</f>
        <v/>
      </c>
      <c r="E2069" s="28">
        <f>IFERROR(IF(AND(ISNUMBER(C2069),ISNUMBER(C2068),C2068&lt;&gt;0),C2069/C2068-1,""),"")</f>
        <v/>
      </c>
      <c r="F2069" s="28">
        <f>IFERROR(D2069-Dashboard!$B$4/252,"")</f>
        <v/>
      </c>
      <c r="G2069" s="28">
        <f>IFERROR(E2069-Dashboard!$B$4/252,"")</f>
        <v/>
      </c>
      <c r="H2069" s="8">
        <f>IFERROR(IF(ISNUMBER(B2069),MAX(B2069,IFERROR(H2068,B2069)),""),"")</f>
        <v/>
      </c>
      <c r="I2069" s="29">
        <f>IFERROR(IF(AND(ISNUMBER(B2069),ISNUMBER(H2069)),B2069/H2069-1,""),"")</f>
        <v/>
      </c>
      <c r="J2069" s="8">
        <f>IFERROR(IF(ISNUMBER(C2069),MAX(C2069,IFERROR(J2068,C2069)),""),"")</f>
        <v/>
      </c>
      <c r="K2069" s="29">
        <f>IFERROR(IF(AND(ISNUMBER(C2069),ISNUMBER(J2069)),C2069/J2069-1,""),"")</f>
        <v/>
      </c>
      <c r="L2069" s="28">
        <f>IFERROR(IF(AND(ISNUMBER(D2069),ISNUMBER(E2069)),D2069-E2069,""),"")</f>
        <v/>
      </c>
    </row>
    <row r="2070">
      <c r="A2070" s="7">
        <f>IFERROR(Datos!A2070,"")</f>
        <v/>
      </c>
      <c r="B2070" s="8">
        <f>IFERROR(Datos!B2070,"")</f>
        <v/>
      </c>
      <c r="C2070" s="8">
        <f>IFERROR(Datos!C2070,"")</f>
        <v/>
      </c>
      <c r="D2070" s="28">
        <f>IFERROR(IF(AND(ISNUMBER(B2070),ISNUMBER(B2069),B2069&lt;&gt;0),B2070/B2069-1,""),"")</f>
        <v/>
      </c>
      <c r="E2070" s="28">
        <f>IFERROR(IF(AND(ISNUMBER(C2070),ISNUMBER(C2069),C2069&lt;&gt;0),C2070/C2069-1,""),"")</f>
        <v/>
      </c>
      <c r="F2070" s="28">
        <f>IFERROR(D2070-Dashboard!$B$4/252,"")</f>
        <v/>
      </c>
      <c r="G2070" s="28">
        <f>IFERROR(E2070-Dashboard!$B$4/252,"")</f>
        <v/>
      </c>
      <c r="H2070" s="8">
        <f>IFERROR(IF(ISNUMBER(B2070),MAX(B2070,IFERROR(H2069,B2070)),""),"")</f>
        <v/>
      </c>
      <c r="I2070" s="29">
        <f>IFERROR(IF(AND(ISNUMBER(B2070),ISNUMBER(H2070)),B2070/H2070-1,""),"")</f>
        <v/>
      </c>
      <c r="J2070" s="8">
        <f>IFERROR(IF(ISNUMBER(C2070),MAX(C2070,IFERROR(J2069,C2070)),""),"")</f>
        <v/>
      </c>
      <c r="K2070" s="29">
        <f>IFERROR(IF(AND(ISNUMBER(C2070),ISNUMBER(J2070)),C2070/J2070-1,""),"")</f>
        <v/>
      </c>
      <c r="L2070" s="28">
        <f>IFERROR(IF(AND(ISNUMBER(D2070),ISNUMBER(E2070)),D2070-E2070,""),"")</f>
        <v/>
      </c>
    </row>
    <row r="2071">
      <c r="A2071" s="7">
        <f>IFERROR(Datos!A2071,"")</f>
        <v/>
      </c>
      <c r="B2071" s="8">
        <f>IFERROR(Datos!B2071,"")</f>
        <v/>
      </c>
      <c r="C2071" s="8">
        <f>IFERROR(Datos!C2071,"")</f>
        <v/>
      </c>
      <c r="D2071" s="28">
        <f>IFERROR(IF(AND(ISNUMBER(B2071),ISNUMBER(B2070),B2070&lt;&gt;0),B2071/B2070-1,""),"")</f>
        <v/>
      </c>
      <c r="E2071" s="28">
        <f>IFERROR(IF(AND(ISNUMBER(C2071),ISNUMBER(C2070),C2070&lt;&gt;0),C2071/C2070-1,""),"")</f>
        <v/>
      </c>
      <c r="F2071" s="28">
        <f>IFERROR(D2071-Dashboard!$B$4/252,"")</f>
        <v/>
      </c>
      <c r="G2071" s="28">
        <f>IFERROR(E2071-Dashboard!$B$4/252,"")</f>
        <v/>
      </c>
      <c r="H2071" s="8">
        <f>IFERROR(IF(ISNUMBER(B2071),MAX(B2071,IFERROR(H2070,B2071)),""),"")</f>
        <v/>
      </c>
      <c r="I2071" s="29">
        <f>IFERROR(IF(AND(ISNUMBER(B2071),ISNUMBER(H2071)),B2071/H2071-1,""),"")</f>
        <v/>
      </c>
      <c r="J2071" s="8">
        <f>IFERROR(IF(ISNUMBER(C2071),MAX(C2071,IFERROR(J2070,C2071)),""),"")</f>
        <v/>
      </c>
      <c r="K2071" s="29">
        <f>IFERROR(IF(AND(ISNUMBER(C2071),ISNUMBER(J2071)),C2071/J2071-1,""),"")</f>
        <v/>
      </c>
      <c r="L2071" s="28">
        <f>IFERROR(IF(AND(ISNUMBER(D2071),ISNUMBER(E2071)),D2071-E2071,""),"")</f>
        <v/>
      </c>
    </row>
    <row r="2072">
      <c r="A2072" s="7">
        <f>IFERROR(Datos!A2072,"")</f>
        <v/>
      </c>
      <c r="B2072" s="8">
        <f>IFERROR(Datos!B2072,"")</f>
        <v/>
      </c>
      <c r="C2072" s="8">
        <f>IFERROR(Datos!C2072,"")</f>
        <v/>
      </c>
      <c r="D2072" s="28">
        <f>IFERROR(IF(AND(ISNUMBER(B2072),ISNUMBER(B2071),B2071&lt;&gt;0),B2072/B2071-1,""),"")</f>
        <v/>
      </c>
      <c r="E2072" s="28">
        <f>IFERROR(IF(AND(ISNUMBER(C2072),ISNUMBER(C2071),C2071&lt;&gt;0),C2072/C2071-1,""),"")</f>
        <v/>
      </c>
      <c r="F2072" s="28">
        <f>IFERROR(D2072-Dashboard!$B$4/252,"")</f>
        <v/>
      </c>
      <c r="G2072" s="28">
        <f>IFERROR(E2072-Dashboard!$B$4/252,"")</f>
        <v/>
      </c>
      <c r="H2072" s="8">
        <f>IFERROR(IF(ISNUMBER(B2072),MAX(B2072,IFERROR(H2071,B2072)),""),"")</f>
        <v/>
      </c>
      <c r="I2072" s="29">
        <f>IFERROR(IF(AND(ISNUMBER(B2072),ISNUMBER(H2072)),B2072/H2072-1,""),"")</f>
        <v/>
      </c>
      <c r="J2072" s="8">
        <f>IFERROR(IF(ISNUMBER(C2072),MAX(C2072,IFERROR(J2071,C2072)),""),"")</f>
        <v/>
      </c>
      <c r="K2072" s="29">
        <f>IFERROR(IF(AND(ISNUMBER(C2072),ISNUMBER(J2072)),C2072/J2072-1,""),"")</f>
        <v/>
      </c>
      <c r="L2072" s="28">
        <f>IFERROR(IF(AND(ISNUMBER(D2072),ISNUMBER(E2072)),D2072-E2072,""),"")</f>
        <v/>
      </c>
    </row>
    <row r="2073">
      <c r="A2073" s="7">
        <f>IFERROR(Datos!A2073,"")</f>
        <v/>
      </c>
      <c r="B2073" s="8">
        <f>IFERROR(Datos!B2073,"")</f>
        <v/>
      </c>
      <c r="C2073" s="8">
        <f>IFERROR(Datos!C2073,"")</f>
        <v/>
      </c>
      <c r="D2073" s="28">
        <f>IFERROR(IF(AND(ISNUMBER(B2073),ISNUMBER(B2072),B2072&lt;&gt;0),B2073/B2072-1,""),"")</f>
        <v/>
      </c>
      <c r="E2073" s="28">
        <f>IFERROR(IF(AND(ISNUMBER(C2073),ISNUMBER(C2072),C2072&lt;&gt;0),C2073/C2072-1,""),"")</f>
        <v/>
      </c>
      <c r="F2073" s="28">
        <f>IFERROR(D2073-Dashboard!$B$4/252,"")</f>
        <v/>
      </c>
      <c r="G2073" s="28">
        <f>IFERROR(E2073-Dashboard!$B$4/252,"")</f>
        <v/>
      </c>
      <c r="H2073" s="8">
        <f>IFERROR(IF(ISNUMBER(B2073),MAX(B2073,IFERROR(H2072,B2073)),""),"")</f>
        <v/>
      </c>
      <c r="I2073" s="29">
        <f>IFERROR(IF(AND(ISNUMBER(B2073),ISNUMBER(H2073)),B2073/H2073-1,""),"")</f>
        <v/>
      </c>
      <c r="J2073" s="8">
        <f>IFERROR(IF(ISNUMBER(C2073),MAX(C2073,IFERROR(J2072,C2073)),""),"")</f>
        <v/>
      </c>
      <c r="K2073" s="29">
        <f>IFERROR(IF(AND(ISNUMBER(C2073),ISNUMBER(J2073)),C2073/J2073-1,""),"")</f>
        <v/>
      </c>
      <c r="L2073" s="28">
        <f>IFERROR(IF(AND(ISNUMBER(D2073),ISNUMBER(E2073)),D2073-E2073,""),"")</f>
        <v/>
      </c>
    </row>
    <row r="2074">
      <c r="A2074" s="7">
        <f>IFERROR(Datos!A2074,"")</f>
        <v/>
      </c>
      <c r="B2074" s="8">
        <f>IFERROR(Datos!B2074,"")</f>
        <v/>
      </c>
      <c r="C2074" s="8">
        <f>IFERROR(Datos!C2074,"")</f>
        <v/>
      </c>
      <c r="D2074" s="28">
        <f>IFERROR(IF(AND(ISNUMBER(B2074),ISNUMBER(B2073),B2073&lt;&gt;0),B2074/B2073-1,""),"")</f>
        <v/>
      </c>
      <c r="E2074" s="28">
        <f>IFERROR(IF(AND(ISNUMBER(C2074),ISNUMBER(C2073),C2073&lt;&gt;0),C2074/C2073-1,""),"")</f>
        <v/>
      </c>
      <c r="F2074" s="28">
        <f>IFERROR(D2074-Dashboard!$B$4/252,"")</f>
        <v/>
      </c>
      <c r="G2074" s="28">
        <f>IFERROR(E2074-Dashboard!$B$4/252,"")</f>
        <v/>
      </c>
      <c r="H2074" s="8">
        <f>IFERROR(IF(ISNUMBER(B2074),MAX(B2074,IFERROR(H2073,B2074)),""),"")</f>
        <v/>
      </c>
      <c r="I2074" s="29">
        <f>IFERROR(IF(AND(ISNUMBER(B2074),ISNUMBER(H2074)),B2074/H2074-1,""),"")</f>
        <v/>
      </c>
      <c r="J2074" s="8">
        <f>IFERROR(IF(ISNUMBER(C2074),MAX(C2074,IFERROR(J2073,C2074)),""),"")</f>
        <v/>
      </c>
      <c r="K2074" s="29">
        <f>IFERROR(IF(AND(ISNUMBER(C2074),ISNUMBER(J2074)),C2074/J2074-1,""),"")</f>
        <v/>
      </c>
      <c r="L2074" s="28">
        <f>IFERROR(IF(AND(ISNUMBER(D2074),ISNUMBER(E2074)),D2074-E2074,""),"")</f>
        <v/>
      </c>
    </row>
    <row r="2075">
      <c r="A2075" s="7">
        <f>IFERROR(Datos!A2075,"")</f>
        <v/>
      </c>
      <c r="B2075" s="8">
        <f>IFERROR(Datos!B2075,"")</f>
        <v/>
      </c>
      <c r="C2075" s="8">
        <f>IFERROR(Datos!C2075,"")</f>
        <v/>
      </c>
      <c r="D2075" s="28">
        <f>IFERROR(IF(AND(ISNUMBER(B2075),ISNUMBER(B2074),B2074&lt;&gt;0),B2075/B2074-1,""),"")</f>
        <v/>
      </c>
      <c r="E2075" s="28">
        <f>IFERROR(IF(AND(ISNUMBER(C2075),ISNUMBER(C2074),C2074&lt;&gt;0),C2075/C2074-1,""),"")</f>
        <v/>
      </c>
      <c r="F2075" s="28">
        <f>IFERROR(D2075-Dashboard!$B$4/252,"")</f>
        <v/>
      </c>
      <c r="G2075" s="28">
        <f>IFERROR(E2075-Dashboard!$B$4/252,"")</f>
        <v/>
      </c>
      <c r="H2075" s="8">
        <f>IFERROR(IF(ISNUMBER(B2075),MAX(B2075,IFERROR(H2074,B2075)),""),"")</f>
        <v/>
      </c>
      <c r="I2075" s="29">
        <f>IFERROR(IF(AND(ISNUMBER(B2075),ISNUMBER(H2075)),B2075/H2075-1,""),"")</f>
        <v/>
      </c>
      <c r="J2075" s="8">
        <f>IFERROR(IF(ISNUMBER(C2075),MAX(C2075,IFERROR(J2074,C2075)),""),"")</f>
        <v/>
      </c>
      <c r="K2075" s="29">
        <f>IFERROR(IF(AND(ISNUMBER(C2075),ISNUMBER(J2075)),C2075/J2075-1,""),"")</f>
        <v/>
      </c>
      <c r="L2075" s="28">
        <f>IFERROR(IF(AND(ISNUMBER(D2075),ISNUMBER(E2075)),D2075-E2075,""),"")</f>
        <v/>
      </c>
    </row>
    <row r="2076">
      <c r="A2076" s="7">
        <f>IFERROR(Datos!A2076,"")</f>
        <v/>
      </c>
      <c r="B2076" s="8">
        <f>IFERROR(Datos!B2076,"")</f>
        <v/>
      </c>
      <c r="C2076" s="8">
        <f>IFERROR(Datos!C2076,"")</f>
        <v/>
      </c>
      <c r="D2076" s="28">
        <f>IFERROR(IF(AND(ISNUMBER(B2076),ISNUMBER(B2075),B2075&lt;&gt;0),B2076/B2075-1,""),"")</f>
        <v/>
      </c>
      <c r="E2076" s="28">
        <f>IFERROR(IF(AND(ISNUMBER(C2076),ISNUMBER(C2075),C2075&lt;&gt;0),C2076/C2075-1,""),"")</f>
        <v/>
      </c>
      <c r="F2076" s="28">
        <f>IFERROR(D2076-Dashboard!$B$4/252,"")</f>
        <v/>
      </c>
      <c r="G2076" s="28">
        <f>IFERROR(E2076-Dashboard!$B$4/252,"")</f>
        <v/>
      </c>
      <c r="H2076" s="8">
        <f>IFERROR(IF(ISNUMBER(B2076),MAX(B2076,IFERROR(H2075,B2076)),""),"")</f>
        <v/>
      </c>
      <c r="I2076" s="29">
        <f>IFERROR(IF(AND(ISNUMBER(B2076),ISNUMBER(H2076)),B2076/H2076-1,""),"")</f>
        <v/>
      </c>
      <c r="J2076" s="8">
        <f>IFERROR(IF(ISNUMBER(C2076),MAX(C2076,IFERROR(J2075,C2076)),""),"")</f>
        <v/>
      </c>
      <c r="K2076" s="29">
        <f>IFERROR(IF(AND(ISNUMBER(C2076),ISNUMBER(J2076)),C2076/J2076-1,""),"")</f>
        <v/>
      </c>
      <c r="L2076" s="28">
        <f>IFERROR(IF(AND(ISNUMBER(D2076),ISNUMBER(E2076)),D2076-E2076,""),"")</f>
        <v/>
      </c>
    </row>
    <row r="2077">
      <c r="A2077" s="7">
        <f>IFERROR(Datos!A2077,"")</f>
        <v/>
      </c>
      <c r="B2077" s="8">
        <f>IFERROR(Datos!B2077,"")</f>
        <v/>
      </c>
      <c r="C2077" s="8">
        <f>IFERROR(Datos!C2077,"")</f>
        <v/>
      </c>
      <c r="D2077" s="28">
        <f>IFERROR(IF(AND(ISNUMBER(B2077),ISNUMBER(B2076),B2076&lt;&gt;0),B2077/B2076-1,""),"")</f>
        <v/>
      </c>
      <c r="E2077" s="28">
        <f>IFERROR(IF(AND(ISNUMBER(C2077),ISNUMBER(C2076),C2076&lt;&gt;0),C2077/C2076-1,""),"")</f>
        <v/>
      </c>
      <c r="F2077" s="28">
        <f>IFERROR(D2077-Dashboard!$B$4/252,"")</f>
        <v/>
      </c>
      <c r="G2077" s="28">
        <f>IFERROR(E2077-Dashboard!$B$4/252,"")</f>
        <v/>
      </c>
      <c r="H2077" s="8">
        <f>IFERROR(IF(ISNUMBER(B2077),MAX(B2077,IFERROR(H2076,B2077)),""),"")</f>
        <v/>
      </c>
      <c r="I2077" s="29">
        <f>IFERROR(IF(AND(ISNUMBER(B2077),ISNUMBER(H2077)),B2077/H2077-1,""),"")</f>
        <v/>
      </c>
      <c r="J2077" s="8">
        <f>IFERROR(IF(ISNUMBER(C2077),MAX(C2077,IFERROR(J2076,C2077)),""),"")</f>
        <v/>
      </c>
      <c r="K2077" s="29">
        <f>IFERROR(IF(AND(ISNUMBER(C2077),ISNUMBER(J2077)),C2077/J2077-1,""),"")</f>
        <v/>
      </c>
      <c r="L2077" s="28">
        <f>IFERROR(IF(AND(ISNUMBER(D2077),ISNUMBER(E2077)),D2077-E2077,""),"")</f>
        <v/>
      </c>
    </row>
    <row r="2078">
      <c r="A2078" s="7">
        <f>IFERROR(Datos!A2078,"")</f>
        <v/>
      </c>
      <c r="B2078" s="8">
        <f>IFERROR(Datos!B2078,"")</f>
        <v/>
      </c>
      <c r="C2078" s="8">
        <f>IFERROR(Datos!C2078,"")</f>
        <v/>
      </c>
      <c r="D2078" s="28">
        <f>IFERROR(IF(AND(ISNUMBER(B2078),ISNUMBER(B2077),B2077&lt;&gt;0),B2078/B2077-1,""),"")</f>
        <v/>
      </c>
      <c r="E2078" s="28">
        <f>IFERROR(IF(AND(ISNUMBER(C2078),ISNUMBER(C2077),C2077&lt;&gt;0),C2078/C2077-1,""),"")</f>
        <v/>
      </c>
      <c r="F2078" s="28">
        <f>IFERROR(D2078-Dashboard!$B$4/252,"")</f>
        <v/>
      </c>
      <c r="G2078" s="28">
        <f>IFERROR(E2078-Dashboard!$B$4/252,"")</f>
        <v/>
      </c>
      <c r="H2078" s="8">
        <f>IFERROR(IF(ISNUMBER(B2078),MAX(B2078,IFERROR(H2077,B2078)),""),"")</f>
        <v/>
      </c>
      <c r="I2078" s="29">
        <f>IFERROR(IF(AND(ISNUMBER(B2078),ISNUMBER(H2078)),B2078/H2078-1,""),"")</f>
        <v/>
      </c>
      <c r="J2078" s="8">
        <f>IFERROR(IF(ISNUMBER(C2078),MAX(C2078,IFERROR(J2077,C2078)),""),"")</f>
        <v/>
      </c>
      <c r="K2078" s="29">
        <f>IFERROR(IF(AND(ISNUMBER(C2078),ISNUMBER(J2078)),C2078/J2078-1,""),"")</f>
        <v/>
      </c>
      <c r="L2078" s="28">
        <f>IFERROR(IF(AND(ISNUMBER(D2078),ISNUMBER(E2078)),D2078-E2078,""),"")</f>
        <v/>
      </c>
    </row>
    <row r="2079">
      <c r="A2079" s="7">
        <f>IFERROR(Datos!A2079,"")</f>
        <v/>
      </c>
      <c r="B2079" s="8">
        <f>IFERROR(Datos!B2079,"")</f>
        <v/>
      </c>
      <c r="C2079" s="8">
        <f>IFERROR(Datos!C2079,"")</f>
        <v/>
      </c>
      <c r="D2079" s="28">
        <f>IFERROR(IF(AND(ISNUMBER(B2079),ISNUMBER(B2078),B2078&lt;&gt;0),B2079/B2078-1,""),"")</f>
        <v/>
      </c>
      <c r="E2079" s="28">
        <f>IFERROR(IF(AND(ISNUMBER(C2079),ISNUMBER(C2078),C2078&lt;&gt;0),C2079/C2078-1,""),"")</f>
        <v/>
      </c>
      <c r="F2079" s="28">
        <f>IFERROR(D2079-Dashboard!$B$4/252,"")</f>
        <v/>
      </c>
      <c r="G2079" s="28">
        <f>IFERROR(E2079-Dashboard!$B$4/252,"")</f>
        <v/>
      </c>
      <c r="H2079" s="8">
        <f>IFERROR(IF(ISNUMBER(B2079),MAX(B2079,IFERROR(H2078,B2079)),""),"")</f>
        <v/>
      </c>
      <c r="I2079" s="29">
        <f>IFERROR(IF(AND(ISNUMBER(B2079),ISNUMBER(H2079)),B2079/H2079-1,""),"")</f>
        <v/>
      </c>
      <c r="J2079" s="8">
        <f>IFERROR(IF(ISNUMBER(C2079),MAX(C2079,IFERROR(J2078,C2079)),""),"")</f>
        <v/>
      </c>
      <c r="K2079" s="29">
        <f>IFERROR(IF(AND(ISNUMBER(C2079),ISNUMBER(J2079)),C2079/J2079-1,""),"")</f>
        <v/>
      </c>
      <c r="L2079" s="28">
        <f>IFERROR(IF(AND(ISNUMBER(D2079),ISNUMBER(E2079)),D2079-E2079,""),"")</f>
        <v/>
      </c>
    </row>
    <row r="2080">
      <c r="A2080" s="7">
        <f>IFERROR(Datos!A2080,"")</f>
        <v/>
      </c>
      <c r="B2080" s="8">
        <f>IFERROR(Datos!B2080,"")</f>
        <v/>
      </c>
      <c r="C2080" s="8">
        <f>IFERROR(Datos!C2080,"")</f>
        <v/>
      </c>
      <c r="D2080" s="28">
        <f>IFERROR(IF(AND(ISNUMBER(B2080),ISNUMBER(B2079),B2079&lt;&gt;0),B2080/B2079-1,""),"")</f>
        <v/>
      </c>
      <c r="E2080" s="28">
        <f>IFERROR(IF(AND(ISNUMBER(C2080),ISNUMBER(C2079),C2079&lt;&gt;0),C2080/C2079-1,""),"")</f>
        <v/>
      </c>
      <c r="F2080" s="28">
        <f>IFERROR(D2080-Dashboard!$B$4/252,"")</f>
        <v/>
      </c>
      <c r="G2080" s="28">
        <f>IFERROR(E2080-Dashboard!$B$4/252,"")</f>
        <v/>
      </c>
      <c r="H2080" s="8">
        <f>IFERROR(IF(ISNUMBER(B2080),MAX(B2080,IFERROR(H2079,B2080)),""),"")</f>
        <v/>
      </c>
      <c r="I2080" s="29">
        <f>IFERROR(IF(AND(ISNUMBER(B2080),ISNUMBER(H2080)),B2080/H2080-1,""),"")</f>
        <v/>
      </c>
      <c r="J2080" s="8">
        <f>IFERROR(IF(ISNUMBER(C2080),MAX(C2080,IFERROR(J2079,C2080)),""),"")</f>
        <v/>
      </c>
      <c r="K2080" s="29">
        <f>IFERROR(IF(AND(ISNUMBER(C2080),ISNUMBER(J2080)),C2080/J2080-1,""),"")</f>
        <v/>
      </c>
      <c r="L2080" s="28">
        <f>IFERROR(IF(AND(ISNUMBER(D2080),ISNUMBER(E2080)),D2080-E2080,""),"")</f>
        <v/>
      </c>
    </row>
    <row r="2081">
      <c r="A2081" s="7">
        <f>IFERROR(Datos!A2081,"")</f>
        <v/>
      </c>
      <c r="B2081" s="8">
        <f>IFERROR(Datos!B2081,"")</f>
        <v/>
      </c>
      <c r="C2081" s="8">
        <f>IFERROR(Datos!C2081,"")</f>
        <v/>
      </c>
      <c r="D2081" s="28">
        <f>IFERROR(IF(AND(ISNUMBER(B2081),ISNUMBER(B2080),B2080&lt;&gt;0),B2081/B2080-1,""),"")</f>
        <v/>
      </c>
      <c r="E2081" s="28">
        <f>IFERROR(IF(AND(ISNUMBER(C2081),ISNUMBER(C2080),C2080&lt;&gt;0),C2081/C2080-1,""),"")</f>
        <v/>
      </c>
      <c r="F2081" s="28">
        <f>IFERROR(D2081-Dashboard!$B$4/252,"")</f>
        <v/>
      </c>
      <c r="G2081" s="28">
        <f>IFERROR(E2081-Dashboard!$B$4/252,"")</f>
        <v/>
      </c>
      <c r="H2081" s="8">
        <f>IFERROR(IF(ISNUMBER(B2081),MAX(B2081,IFERROR(H2080,B2081)),""),"")</f>
        <v/>
      </c>
      <c r="I2081" s="29">
        <f>IFERROR(IF(AND(ISNUMBER(B2081),ISNUMBER(H2081)),B2081/H2081-1,""),"")</f>
        <v/>
      </c>
      <c r="J2081" s="8">
        <f>IFERROR(IF(ISNUMBER(C2081),MAX(C2081,IFERROR(J2080,C2081)),""),"")</f>
        <v/>
      </c>
      <c r="K2081" s="29">
        <f>IFERROR(IF(AND(ISNUMBER(C2081),ISNUMBER(J2081)),C2081/J2081-1,""),"")</f>
        <v/>
      </c>
      <c r="L2081" s="28">
        <f>IFERROR(IF(AND(ISNUMBER(D2081),ISNUMBER(E2081)),D2081-E2081,""),"")</f>
        <v/>
      </c>
    </row>
    <row r="2082">
      <c r="A2082" s="7">
        <f>IFERROR(Datos!A2082,"")</f>
        <v/>
      </c>
      <c r="B2082" s="8">
        <f>IFERROR(Datos!B2082,"")</f>
        <v/>
      </c>
      <c r="C2082" s="8">
        <f>IFERROR(Datos!C2082,"")</f>
        <v/>
      </c>
      <c r="D2082" s="28">
        <f>IFERROR(IF(AND(ISNUMBER(B2082),ISNUMBER(B2081),B2081&lt;&gt;0),B2082/B2081-1,""),"")</f>
        <v/>
      </c>
      <c r="E2082" s="28">
        <f>IFERROR(IF(AND(ISNUMBER(C2082),ISNUMBER(C2081),C2081&lt;&gt;0),C2082/C2081-1,""),"")</f>
        <v/>
      </c>
      <c r="F2082" s="28">
        <f>IFERROR(D2082-Dashboard!$B$4/252,"")</f>
        <v/>
      </c>
      <c r="G2082" s="28">
        <f>IFERROR(E2082-Dashboard!$B$4/252,"")</f>
        <v/>
      </c>
      <c r="H2082" s="8">
        <f>IFERROR(IF(ISNUMBER(B2082),MAX(B2082,IFERROR(H2081,B2082)),""),"")</f>
        <v/>
      </c>
      <c r="I2082" s="29">
        <f>IFERROR(IF(AND(ISNUMBER(B2082),ISNUMBER(H2082)),B2082/H2082-1,""),"")</f>
        <v/>
      </c>
      <c r="J2082" s="8">
        <f>IFERROR(IF(ISNUMBER(C2082),MAX(C2082,IFERROR(J2081,C2082)),""),"")</f>
        <v/>
      </c>
      <c r="K2082" s="29">
        <f>IFERROR(IF(AND(ISNUMBER(C2082),ISNUMBER(J2082)),C2082/J2082-1,""),"")</f>
        <v/>
      </c>
      <c r="L2082" s="28">
        <f>IFERROR(IF(AND(ISNUMBER(D2082),ISNUMBER(E2082)),D2082-E2082,""),"")</f>
        <v/>
      </c>
    </row>
    <row r="2083">
      <c r="A2083" s="7">
        <f>IFERROR(Datos!A2083,"")</f>
        <v/>
      </c>
      <c r="B2083" s="8">
        <f>IFERROR(Datos!B2083,"")</f>
        <v/>
      </c>
      <c r="C2083" s="8">
        <f>IFERROR(Datos!C2083,"")</f>
        <v/>
      </c>
      <c r="D2083" s="28">
        <f>IFERROR(IF(AND(ISNUMBER(B2083),ISNUMBER(B2082),B2082&lt;&gt;0),B2083/B2082-1,""),"")</f>
        <v/>
      </c>
      <c r="E2083" s="28">
        <f>IFERROR(IF(AND(ISNUMBER(C2083),ISNUMBER(C2082),C2082&lt;&gt;0),C2083/C2082-1,""),"")</f>
        <v/>
      </c>
      <c r="F2083" s="28">
        <f>IFERROR(D2083-Dashboard!$B$4/252,"")</f>
        <v/>
      </c>
      <c r="G2083" s="28">
        <f>IFERROR(E2083-Dashboard!$B$4/252,"")</f>
        <v/>
      </c>
      <c r="H2083" s="8">
        <f>IFERROR(IF(ISNUMBER(B2083),MAX(B2083,IFERROR(H2082,B2083)),""),"")</f>
        <v/>
      </c>
      <c r="I2083" s="29">
        <f>IFERROR(IF(AND(ISNUMBER(B2083),ISNUMBER(H2083)),B2083/H2083-1,""),"")</f>
        <v/>
      </c>
      <c r="J2083" s="8">
        <f>IFERROR(IF(ISNUMBER(C2083),MAX(C2083,IFERROR(J2082,C2083)),""),"")</f>
        <v/>
      </c>
      <c r="K2083" s="29">
        <f>IFERROR(IF(AND(ISNUMBER(C2083),ISNUMBER(J2083)),C2083/J2083-1,""),"")</f>
        <v/>
      </c>
      <c r="L2083" s="28">
        <f>IFERROR(IF(AND(ISNUMBER(D2083),ISNUMBER(E2083)),D2083-E2083,""),"")</f>
        <v/>
      </c>
    </row>
    <row r="2084">
      <c r="A2084" s="7">
        <f>IFERROR(Datos!A2084,"")</f>
        <v/>
      </c>
      <c r="B2084" s="8">
        <f>IFERROR(Datos!B2084,"")</f>
        <v/>
      </c>
      <c r="C2084" s="8">
        <f>IFERROR(Datos!C2084,"")</f>
        <v/>
      </c>
      <c r="D2084" s="28">
        <f>IFERROR(IF(AND(ISNUMBER(B2084),ISNUMBER(B2083),B2083&lt;&gt;0),B2084/B2083-1,""),"")</f>
        <v/>
      </c>
      <c r="E2084" s="28">
        <f>IFERROR(IF(AND(ISNUMBER(C2084),ISNUMBER(C2083),C2083&lt;&gt;0),C2084/C2083-1,""),"")</f>
        <v/>
      </c>
      <c r="F2084" s="28">
        <f>IFERROR(D2084-Dashboard!$B$4/252,"")</f>
        <v/>
      </c>
      <c r="G2084" s="28">
        <f>IFERROR(E2084-Dashboard!$B$4/252,"")</f>
        <v/>
      </c>
      <c r="H2084" s="8">
        <f>IFERROR(IF(ISNUMBER(B2084),MAX(B2084,IFERROR(H2083,B2084)),""),"")</f>
        <v/>
      </c>
      <c r="I2084" s="29">
        <f>IFERROR(IF(AND(ISNUMBER(B2084),ISNUMBER(H2084)),B2084/H2084-1,""),"")</f>
        <v/>
      </c>
      <c r="J2084" s="8">
        <f>IFERROR(IF(ISNUMBER(C2084),MAX(C2084,IFERROR(J2083,C2084)),""),"")</f>
        <v/>
      </c>
      <c r="K2084" s="29">
        <f>IFERROR(IF(AND(ISNUMBER(C2084),ISNUMBER(J2084)),C2084/J2084-1,""),"")</f>
        <v/>
      </c>
      <c r="L2084" s="28">
        <f>IFERROR(IF(AND(ISNUMBER(D2084),ISNUMBER(E2084)),D2084-E2084,""),"")</f>
        <v/>
      </c>
    </row>
    <row r="2085">
      <c r="A2085" s="7">
        <f>IFERROR(Datos!A2085,"")</f>
        <v/>
      </c>
      <c r="B2085" s="8">
        <f>IFERROR(Datos!B2085,"")</f>
        <v/>
      </c>
      <c r="C2085" s="8">
        <f>IFERROR(Datos!C2085,"")</f>
        <v/>
      </c>
      <c r="D2085" s="28">
        <f>IFERROR(IF(AND(ISNUMBER(B2085),ISNUMBER(B2084),B2084&lt;&gt;0),B2085/B2084-1,""),"")</f>
        <v/>
      </c>
      <c r="E2085" s="28">
        <f>IFERROR(IF(AND(ISNUMBER(C2085),ISNUMBER(C2084),C2084&lt;&gt;0),C2085/C2084-1,""),"")</f>
        <v/>
      </c>
      <c r="F2085" s="28">
        <f>IFERROR(D2085-Dashboard!$B$4/252,"")</f>
        <v/>
      </c>
      <c r="G2085" s="28">
        <f>IFERROR(E2085-Dashboard!$B$4/252,"")</f>
        <v/>
      </c>
      <c r="H2085" s="8">
        <f>IFERROR(IF(ISNUMBER(B2085),MAX(B2085,IFERROR(H2084,B2085)),""),"")</f>
        <v/>
      </c>
      <c r="I2085" s="29">
        <f>IFERROR(IF(AND(ISNUMBER(B2085),ISNUMBER(H2085)),B2085/H2085-1,""),"")</f>
        <v/>
      </c>
      <c r="J2085" s="8">
        <f>IFERROR(IF(ISNUMBER(C2085),MAX(C2085,IFERROR(J2084,C2085)),""),"")</f>
        <v/>
      </c>
      <c r="K2085" s="29">
        <f>IFERROR(IF(AND(ISNUMBER(C2085),ISNUMBER(J2085)),C2085/J2085-1,""),"")</f>
        <v/>
      </c>
      <c r="L2085" s="28">
        <f>IFERROR(IF(AND(ISNUMBER(D2085),ISNUMBER(E2085)),D2085-E2085,""),"")</f>
        <v/>
      </c>
    </row>
    <row r="2086">
      <c r="A2086" s="7">
        <f>IFERROR(Datos!A2086,"")</f>
        <v/>
      </c>
      <c r="B2086" s="8">
        <f>IFERROR(Datos!B2086,"")</f>
        <v/>
      </c>
      <c r="C2086" s="8">
        <f>IFERROR(Datos!C2086,"")</f>
        <v/>
      </c>
      <c r="D2086" s="28">
        <f>IFERROR(IF(AND(ISNUMBER(B2086),ISNUMBER(B2085),B2085&lt;&gt;0),B2086/B2085-1,""),"")</f>
        <v/>
      </c>
      <c r="E2086" s="28">
        <f>IFERROR(IF(AND(ISNUMBER(C2086),ISNUMBER(C2085),C2085&lt;&gt;0),C2086/C2085-1,""),"")</f>
        <v/>
      </c>
      <c r="F2086" s="28">
        <f>IFERROR(D2086-Dashboard!$B$4/252,"")</f>
        <v/>
      </c>
      <c r="G2086" s="28">
        <f>IFERROR(E2086-Dashboard!$B$4/252,"")</f>
        <v/>
      </c>
      <c r="H2086" s="8">
        <f>IFERROR(IF(ISNUMBER(B2086),MAX(B2086,IFERROR(H2085,B2086)),""),"")</f>
        <v/>
      </c>
      <c r="I2086" s="29">
        <f>IFERROR(IF(AND(ISNUMBER(B2086),ISNUMBER(H2086)),B2086/H2086-1,""),"")</f>
        <v/>
      </c>
      <c r="J2086" s="8">
        <f>IFERROR(IF(ISNUMBER(C2086),MAX(C2086,IFERROR(J2085,C2086)),""),"")</f>
        <v/>
      </c>
      <c r="K2086" s="29">
        <f>IFERROR(IF(AND(ISNUMBER(C2086),ISNUMBER(J2086)),C2086/J2086-1,""),"")</f>
        <v/>
      </c>
      <c r="L2086" s="28">
        <f>IFERROR(IF(AND(ISNUMBER(D2086),ISNUMBER(E2086)),D2086-E2086,""),"")</f>
        <v/>
      </c>
    </row>
    <row r="2087">
      <c r="A2087" s="7">
        <f>IFERROR(Datos!A2087,"")</f>
        <v/>
      </c>
      <c r="B2087" s="8">
        <f>IFERROR(Datos!B2087,"")</f>
        <v/>
      </c>
      <c r="C2087" s="8">
        <f>IFERROR(Datos!C2087,"")</f>
        <v/>
      </c>
      <c r="D2087" s="28">
        <f>IFERROR(IF(AND(ISNUMBER(B2087),ISNUMBER(B2086),B2086&lt;&gt;0),B2087/B2086-1,""),"")</f>
        <v/>
      </c>
      <c r="E2087" s="28">
        <f>IFERROR(IF(AND(ISNUMBER(C2087),ISNUMBER(C2086),C2086&lt;&gt;0),C2087/C2086-1,""),"")</f>
        <v/>
      </c>
      <c r="F2087" s="28">
        <f>IFERROR(D2087-Dashboard!$B$4/252,"")</f>
        <v/>
      </c>
      <c r="G2087" s="28">
        <f>IFERROR(E2087-Dashboard!$B$4/252,"")</f>
        <v/>
      </c>
      <c r="H2087" s="8">
        <f>IFERROR(IF(ISNUMBER(B2087),MAX(B2087,IFERROR(H2086,B2087)),""),"")</f>
        <v/>
      </c>
      <c r="I2087" s="29">
        <f>IFERROR(IF(AND(ISNUMBER(B2087),ISNUMBER(H2087)),B2087/H2087-1,""),"")</f>
        <v/>
      </c>
      <c r="J2087" s="8">
        <f>IFERROR(IF(ISNUMBER(C2087),MAX(C2087,IFERROR(J2086,C2087)),""),"")</f>
        <v/>
      </c>
      <c r="K2087" s="29">
        <f>IFERROR(IF(AND(ISNUMBER(C2087),ISNUMBER(J2087)),C2087/J2087-1,""),"")</f>
        <v/>
      </c>
      <c r="L2087" s="28">
        <f>IFERROR(IF(AND(ISNUMBER(D2087),ISNUMBER(E2087)),D2087-E2087,""),"")</f>
        <v/>
      </c>
    </row>
    <row r="2088">
      <c r="A2088" s="7">
        <f>IFERROR(Datos!A2088,"")</f>
        <v/>
      </c>
      <c r="B2088" s="8">
        <f>IFERROR(Datos!B2088,"")</f>
        <v/>
      </c>
      <c r="C2088" s="8">
        <f>IFERROR(Datos!C2088,"")</f>
        <v/>
      </c>
      <c r="D2088" s="28">
        <f>IFERROR(IF(AND(ISNUMBER(B2088),ISNUMBER(B2087),B2087&lt;&gt;0),B2088/B2087-1,""),"")</f>
        <v/>
      </c>
      <c r="E2088" s="28">
        <f>IFERROR(IF(AND(ISNUMBER(C2088),ISNUMBER(C2087),C2087&lt;&gt;0),C2088/C2087-1,""),"")</f>
        <v/>
      </c>
      <c r="F2088" s="28">
        <f>IFERROR(D2088-Dashboard!$B$4/252,"")</f>
        <v/>
      </c>
      <c r="G2088" s="28">
        <f>IFERROR(E2088-Dashboard!$B$4/252,"")</f>
        <v/>
      </c>
      <c r="H2088" s="8">
        <f>IFERROR(IF(ISNUMBER(B2088),MAX(B2088,IFERROR(H2087,B2088)),""),"")</f>
        <v/>
      </c>
      <c r="I2088" s="29">
        <f>IFERROR(IF(AND(ISNUMBER(B2088),ISNUMBER(H2088)),B2088/H2088-1,""),"")</f>
        <v/>
      </c>
      <c r="J2088" s="8">
        <f>IFERROR(IF(ISNUMBER(C2088),MAX(C2088,IFERROR(J2087,C2088)),""),"")</f>
        <v/>
      </c>
      <c r="K2088" s="29">
        <f>IFERROR(IF(AND(ISNUMBER(C2088),ISNUMBER(J2088)),C2088/J2088-1,""),"")</f>
        <v/>
      </c>
      <c r="L2088" s="28">
        <f>IFERROR(IF(AND(ISNUMBER(D2088),ISNUMBER(E2088)),D2088-E2088,""),"")</f>
        <v/>
      </c>
    </row>
    <row r="2089">
      <c r="A2089" s="7">
        <f>IFERROR(Datos!A2089,"")</f>
        <v/>
      </c>
      <c r="B2089" s="8">
        <f>IFERROR(Datos!B2089,"")</f>
        <v/>
      </c>
      <c r="C2089" s="8">
        <f>IFERROR(Datos!C2089,"")</f>
        <v/>
      </c>
      <c r="D2089" s="28">
        <f>IFERROR(IF(AND(ISNUMBER(B2089),ISNUMBER(B2088),B2088&lt;&gt;0),B2089/B2088-1,""),"")</f>
        <v/>
      </c>
      <c r="E2089" s="28">
        <f>IFERROR(IF(AND(ISNUMBER(C2089),ISNUMBER(C2088),C2088&lt;&gt;0),C2089/C2088-1,""),"")</f>
        <v/>
      </c>
      <c r="F2089" s="28">
        <f>IFERROR(D2089-Dashboard!$B$4/252,"")</f>
        <v/>
      </c>
      <c r="G2089" s="28">
        <f>IFERROR(E2089-Dashboard!$B$4/252,"")</f>
        <v/>
      </c>
      <c r="H2089" s="8">
        <f>IFERROR(IF(ISNUMBER(B2089),MAX(B2089,IFERROR(H2088,B2089)),""),"")</f>
        <v/>
      </c>
      <c r="I2089" s="29">
        <f>IFERROR(IF(AND(ISNUMBER(B2089),ISNUMBER(H2089)),B2089/H2089-1,""),"")</f>
        <v/>
      </c>
      <c r="J2089" s="8">
        <f>IFERROR(IF(ISNUMBER(C2089),MAX(C2089,IFERROR(J2088,C2089)),""),"")</f>
        <v/>
      </c>
      <c r="K2089" s="29">
        <f>IFERROR(IF(AND(ISNUMBER(C2089),ISNUMBER(J2089)),C2089/J2089-1,""),"")</f>
        <v/>
      </c>
      <c r="L2089" s="28">
        <f>IFERROR(IF(AND(ISNUMBER(D2089),ISNUMBER(E2089)),D2089-E2089,""),"")</f>
        <v/>
      </c>
    </row>
    <row r="2090">
      <c r="A2090" s="7">
        <f>IFERROR(Datos!A2090,"")</f>
        <v/>
      </c>
      <c r="B2090" s="8">
        <f>IFERROR(Datos!B2090,"")</f>
        <v/>
      </c>
      <c r="C2090" s="8">
        <f>IFERROR(Datos!C2090,"")</f>
        <v/>
      </c>
      <c r="D2090" s="28">
        <f>IFERROR(IF(AND(ISNUMBER(B2090),ISNUMBER(B2089),B2089&lt;&gt;0),B2090/B2089-1,""),"")</f>
        <v/>
      </c>
      <c r="E2090" s="28">
        <f>IFERROR(IF(AND(ISNUMBER(C2090),ISNUMBER(C2089),C2089&lt;&gt;0),C2090/C2089-1,""),"")</f>
        <v/>
      </c>
      <c r="F2090" s="28">
        <f>IFERROR(D2090-Dashboard!$B$4/252,"")</f>
        <v/>
      </c>
      <c r="G2090" s="28">
        <f>IFERROR(E2090-Dashboard!$B$4/252,"")</f>
        <v/>
      </c>
      <c r="H2090" s="8">
        <f>IFERROR(IF(ISNUMBER(B2090),MAX(B2090,IFERROR(H2089,B2090)),""),"")</f>
        <v/>
      </c>
      <c r="I2090" s="29">
        <f>IFERROR(IF(AND(ISNUMBER(B2090),ISNUMBER(H2090)),B2090/H2090-1,""),"")</f>
        <v/>
      </c>
      <c r="J2090" s="8">
        <f>IFERROR(IF(ISNUMBER(C2090),MAX(C2090,IFERROR(J2089,C2090)),""),"")</f>
        <v/>
      </c>
      <c r="K2090" s="29">
        <f>IFERROR(IF(AND(ISNUMBER(C2090),ISNUMBER(J2090)),C2090/J2090-1,""),"")</f>
        <v/>
      </c>
      <c r="L2090" s="28">
        <f>IFERROR(IF(AND(ISNUMBER(D2090),ISNUMBER(E2090)),D2090-E2090,""),"")</f>
        <v/>
      </c>
    </row>
    <row r="2091">
      <c r="A2091" s="7">
        <f>IFERROR(Datos!A2091,"")</f>
        <v/>
      </c>
      <c r="B2091" s="8">
        <f>IFERROR(Datos!B2091,"")</f>
        <v/>
      </c>
      <c r="C2091" s="8">
        <f>IFERROR(Datos!C2091,"")</f>
        <v/>
      </c>
      <c r="D2091" s="28">
        <f>IFERROR(IF(AND(ISNUMBER(B2091),ISNUMBER(B2090),B2090&lt;&gt;0),B2091/B2090-1,""),"")</f>
        <v/>
      </c>
      <c r="E2091" s="28">
        <f>IFERROR(IF(AND(ISNUMBER(C2091),ISNUMBER(C2090),C2090&lt;&gt;0),C2091/C2090-1,""),"")</f>
        <v/>
      </c>
      <c r="F2091" s="28">
        <f>IFERROR(D2091-Dashboard!$B$4/252,"")</f>
        <v/>
      </c>
      <c r="G2091" s="28">
        <f>IFERROR(E2091-Dashboard!$B$4/252,"")</f>
        <v/>
      </c>
      <c r="H2091" s="8">
        <f>IFERROR(IF(ISNUMBER(B2091),MAX(B2091,IFERROR(H2090,B2091)),""),"")</f>
        <v/>
      </c>
      <c r="I2091" s="29">
        <f>IFERROR(IF(AND(ISNUMBER(B2091),ISNUMBER(H2091)),B2091/H2091-1,""),"")</f>
        <v/>
      </c>
      <c r="J2091" s="8">
        <f>IFERROR(IF(ISNUMBER(C2091),MAX(C2091,IFERROR(J2090,C2091)),""),"")</f>
        <v/>
      </c>
      <c r="K2091" s="29">
        <f>IFERROR(IF(AND(ISNUMBER(C2091),ISNUMBER(J2091)),C2091/J2091-1,""),"")</f>
        <v/>
      </c>
      <c r="L2091" s="28">
        <f>IFERROR(IF(AND(ISNUMBER(D2091),ISNUMBER(E2091)),D2091-E2091,""),"")</f>
        <v/>
      </c>
    </row>
    <row r="2092">
      <c r="A2092" s="7">
        <f>IFERROR(Datos!A2092,"")</f>
        <v/>
      </c>
      <c r="B2092" s="8">
        <f>IFERROR(Datos!B2092,"")</f>
        <v/>
      </c>
      <c r="C2092" s="8">
        <f>IFERROR(Datos!C2092,"")</f>
        <v/>
      </c>
      <c r="D2092" s="28">
        <f>IFERROR(IF(AND(ISNUMBER(B2092),ISNUMBER(B2091),B2091&lt;&gt;0),B2092/B2091-1,""),"")</f>
        <v/>
      </c>
      <c r="E2092" s="28">
        <f>IFERROR(IF(AND(ISNUMBER(C2092),ISNUMBER(C2091),C2091&lt;&gt;0),C2092/C2091-1,""),"")</f>
        <v/>
      </c>
      <c r="F2092" s="28">
        <f>IFERROR(D2092-Dashboard!$B$4/252,"")</f>
        <v/>
      </c>
      <c r="G2092" s="28">
        <f>IFERROR(E2092-Dashboard!$B$4/252,"")</f>
        <v/>
      </c>
      <c r="H2092" s="8">
        <f>IFERROR(IF(ISNUMBER(B2092),MAX(B2092,IFERROR(H2091,B2092)),""),"")</f>
        <v/>
      </c>
      <c r="I2092" s="29">
        <f>IFERROR(IF(AND(ISNUMBER(B2092),ISNUMBER(H2092)),B2092/H2092-1,""),"")</f>
        <v/>
      </c>
      <c r="J2092" s="8">
        <f>IFERROR(IF(ISNUMBER(C2092),MAX(C2092,IFERROR(J2091,C2092)),""),"")</f>
        <v/>
      </c>
      <c r="K2092" s="29">
        <f>IFERROR(IF(AND(ISNUMBER(C2092),ISNUMBER(J2092)),C2092/J2092-1,""),"")</f>
        <v/>
      </c>
      <c r="L2092" s="28">
        <f>IFERROR(IF(AND(ISNUMBER(D2092),ISNUMBER(E2092)),D2092-E2092,""),"")</f>
        <v/>
      </c>
    </row>
    <row r="2093">
      <c r="A2093" s="7">
        <f>IFERROR(Datos!A2093,"")</f>
        <v/>
      </c>
      <c r="B2093" s="8">
        <f>IFERROR(Datos!B2093,"")</f>
        <v/>
      </c>
      <c r="C2093" s="8">
        <f>IFERROR(Datos!C2093,"")</f>
        <v/>
      </c>
      <c r="D2093" s="28">
        <f>IFERROR(IF(AND(ISNUMBER(B2093),ISNUMBER(B2092),B2092&lt;&gt;0),B2093/B2092-1,""),"")</f>
        <v/>
      </c>
      <c r="E2093" s="28">
        <f>IFERROR(IF(AND(ISNUMBER(C2093),ISNUMBER(C2092),C2092&lt;&gt;0),C2093/C2092-1,""),"")</f>
        <v/>
      </c>
      <c r="F2093" s="28">
        <f>IFERROR(D2093-Dashboard!$B$4/252,"")</f>
        <v/>
      </c>
      <c r="G2093" s="28">
        <f>IFERROR(E2093-Dashboard!$B$4/252,"")</f>
        <v/>
      </c>
      <c r="H2093" s="8">
        <f>IFERROR(IF(ISNUMBER(B2093),MAX(B2093,IFERROR(H2092,B2093)),""),"")</f>
        <v/>
      </c>
      <c r="I2093" s="29">
        <f>IFERROR(IF(AND(ISNUMBER(B2093),ISNUMBER(H2093)),B2093/H2093-1,""),"")</f>
        <v/>
      </c>
      <c r="J2093" s="8">
        <f>IFERROR(IF(ISNUMBER(C2093),MAX(C2093,IFERROR(J2092,C2093)),""),"")</f>
        <v/>
      </c>
      <c r="K2093" s="29">
        <f>IFERROR(IF(AND(ISNUMBER(C2093),ISNUMBER(J2093)),C2093/J2093-1,""),"")</f>
        <v/>
      </c>
      <c r="L2093" s="28">
        <f>IFERROR(IF(AND(ISNUMBER(D2093),ISNUMBER(E2093)),D2093-E2093,""),"")</f>
        <v/>
      </c>
    </row>
    <row r="2094">
      <c r="A2094" s="7">
        <f>IFERROR(Datos!A2094,"")</f>
        <v/>
      </c>
      <c r="B2094" s="8">
        <f>IFERROR(Datos!B2094,"")</f>
        <v/>
      </c>
      <c r="C2094" s="8">
        <f>IFERROR(Datos!C2094,"")</f>
        <v/>
      </c>
      <c r="D2094" s="28">
        <f>IFERROR(IF(AND(ISNUMBER(B2094),ISNUMBER(B2093),B2093&lt;&gt;0),B2094/B2093-1,""),"")</f>
        <v/>
      </c>
      <c r="E2094" s="28">
        <f>IFERROR(IF(AND(ISNUMBER(C2094),ISNUMBER(C2093),C2093&lt;&gt;0),C2094/C2093-1,""),"")</f>
        <v/>
      </c>
      <c r="F2094" s="28">
        <f>IFERROR(D2094-Dashboard!$B$4/252,"")</f>
        <v/>
      </c>
      <c r="G2094" s="28">
        <f>IFERROR(E2094-Dashboard!$B$4/252,"")</f>
        <v/>
      </c>
      <c r="H2094" s="8">
        <f>IFERROR(IF(ISNUMBER(B2094),MAX(B2094,IFERROR(H2093,B2094)),""),"")</f>
        <v/>
      </c>
      <c r="I2094" s="29">
        <f>IFERROR(IF(AND(ISNUMBER(B2094),ISNUMBER(H2094)),B2094/H2094-1,""),"")</f>
        <v/>
      </c>
      <c r="J2094" s="8">
        <f>IFERROR(IF(ISNUMBER(C2094),MAX(C2094,IFERROR(J2093,C2094)),""),"")</f>
        <v/>
      </c>
      <c r="K2094" s="29">
        <f>IFERROR(IF(AND(ISNUMBER(C2094),ISNUMBER(J2094)),C2094/J2094-1,""),"")</f>
        <v/>
      </c>
      <c r="L2094" s="28">
        <f>IFERROR(IF(AND(ISNUMBER(D2094),ISNUMBER(E2094)),D2094-E2094,""),"")</f>
        <v/>
      </c>
    </row>
    <row r="2095">
      <c r="A2095" s="7">
        <f>IFERROR(Datos!A2095,"")</f>
        <v/>
      </c>
      <c r="B2095" s="8">
        <f>IFERROR(Datos!B2095,"")</f>
        <v/>
      </c>
      <c r="C2095" s="8">
        <f>IFERROR(Datos!C2095,"")</f>
        <v/>
      </c>
      <c r="D2095" s="28">
        <f>IFERROR(IF(AND(ISNUMBER(B2095),ISNUMBER(B2094),B2094&lt;&gt;0),B2095/B2094-1,""),"")</f>
        <v/>
      </c>
      <c r="E2095" s="28">
        <f>IFERROR(IF(AND(ISNUMBER(C2095),ISNUMBER(C2094),C2094&lt;&gt;0),C2095/C2094-1,""),"")</f>
        <v/>
      </c>
      <c r="F2095" s="28">
        <f>IFERROR(D2095-Dashboard!$B$4/252,"")</f>
        <v/>
      </c>
      <c r="G2095" s="28">
        <f>IFERROR(E2095-Dashboard!$B$4/252,"")</f>
        <v/>
      </c>
      <c r="H2095" s="8">
        <f>IFERROR(IF(ISNUMBER(B2095),MAX(B2095,IFERROR(H2094,B2095)),""),"")</f>
        <v/>
      </c>
      <c r="I2095" s="29">
        <f>IFERROR(IF(AND(ISNUMBER(B2095),ISNUMBER(H2095)),B2095/H2095-1,""),"")</f>
        <v/>
      </c>
      <c r="J2095" s="8">
        <f>IFERROR(IF(ISNUMBER(C2095),MAX(C2095,IFERROR(J2094,C2095)),""),"")</f>
        <v/>
      </c>
      <c r="K2095" s="29">
        <f>IFERROR(IF(AND(ISNUMBER(C2095),ISNUMBER(J2095)),C2095/J2095-1,""),"")</f>
        <v/>
      </c>
      <c r="L2095" s="28">
        <f>IFERROR(IF(AND(ISNUMBER(D2095),ISNUMBER(E2095)),D2095-E2095,""),"")</f>
        <v/>
      </c>
    </row>
    <row r="2096">
      <c r="A2096" s="7">
        <f>IFERROR(Datos!A2096,"")</f>
        <v/>
      </c>
      <c r="B2096" s="8">
        <f>IFERROR(Datos!B2096,"")</f>
        <v/>
      </c>
      <c r="C2096" s="8">
        <f>IFERROR(Datos!C2096,"")</f>
        <v/>
      </c>
      <c r="D2096" s="28">
        <f>IFERROR(IF(AND(ISNUMBER(B2096),ISNUMBER(B2095),B2095&lt;&gt;0),B2096/B2095-1,""),"")</f>
        <v/>
      </c>
      <c r="E2096" s="28">
        <f>IFERROR(IF(AND(ISNUMBER(C2096),ISNUMBER(C2095),C2095&lt;&gt;0),C2096/C2095-1,""),"")</f>
        <v/>
      </c>
      <c r="F2096" s="28">
        <f>IFERROR(D2096-Dashboard!$B$4/252,"")</f>
        <v/>
      </c>
      <c r="G2096" s="28">
        <f>IFERROR(E2096-Dashboard!$B$4/252,"")</f>
        <v/>
      </c>
      <c r="H2096" s="8">
        <f>IFERROR(IF(ISNUMBER(B2096),MAX(B2096,IFERROR(H2095,B2096)),""),"")</f>
        <v/>
      </c>
      <c r="I2096" s="29">
        <f>IFERROR(IF(AND(ISNUMBER(B2096),ISNUMBER(H2096)),B2096/H2096-1,""),"")</f>
        <v/>
      </c>
      <c r="J2096" s="8">
        <f>IFERROR(IF(ISNUMBER(C2096),MAX(C2096,IFERROR(J2095,C2096)),""),"")</f>
        <v/>
      </c>
      <c r="K2096" s="29">
        <f>IFERROR(IF(AND(ISNUMBER(C2096),ISNUMBER(J2096)),C2096/J2096-1,""),"")</f>
        <v/>
      </c>
      <c r="L2096" s="28">
        <f>IFERROR(IF(AND(ISNUMBER(D2096),ISNUMBER(E2096)),D2096-E2096,""),"")</f>
        <v/>
      </c>
    </row>
    <row r="2097">
      <c r="A2097" s="7">
        <f>IFERROR(Datos!A2097,"")</f>
        <v/>
      </c>
      <c r="B2097" s="8">
        <f>IFERROR(Datos!B2097,"")</f>
        <v/>
      </c>
      <c r="C2097" s="8">
        <f>IFERROR(Datos!C2097,"")</f>
        <v/>
      </c>
      <c r="D2097" s="28">
        <f>IFERROR(IF(AND(ISNUMBER(B2097),ISNUMBER(B2096),B2096&lt;&gt;0),B2097/B2096-1,""),"")</f>
        <v/>
      </c>
      <c r="E2097" s="28">
        <f>IFERROR(IF(AND(ISNUMBER(C2097),ISNUMBER(C2096),C2096&lt;&gt;0),C2097/C2096-1,""),"")</f>
        <v/>
      </c>
      <c r="F2097" s="28">
        <f>IFERROR(D2097-Dashboard!$B$4/252,"")</f>
        <v/>
      </c>
      <c r="G2097" s="28">
        <f>IFERROR(E2097-Dashboard!$B$4/252,"")</f>
        <v/>
      </c>
      <c r="H2097" s="8">
        <f>IFERROR(IF(ISNUMBER(B2097),MAX(B2097,IFERROR(H2096,B2097)),""),"")</f>
        <v/>
      </c>
      <c r="I2097" s="29">
        <f>IFERROR(IF(AND(ISNUMBER(B2097),ISNUMBER(H2097)),B2097/H2097-1,""),"")</f>
        <v/>
      </c>
      <c r="J2097" s="8">
        <f>IFERROR(IF(ISNUMBER(C2097),MAX(C2097,IFERROR(J2096,C2097)),""),"")</f>
        <v/>
      </c>
      <c r="K2097" s="29">
        <f>IFERROR(IF(AND(ISNUMBER(C2097),ISNUMBER(J2097)),C2097/J2097-1,""),"")</f>
        <v/>
      </c>
      <c r="L2097" s="28">
        <f>IFERROR(IF(AND(ISNUMBER(D2097),ISNUMBER(E2097)),D2097-E2097,""),"")</f>
        <v/>
      </c>
    </row>
    <row r="2098">
      <c r="A2098" s="7">
        <f>IFERROR(Datos!A2098,"")</f>
        <v/>
      </c>
      <c r="B2098" s="8">
        <f>IFERROR(Datos!B2098,"")</f>
        <v/>
      </c>
      <c r="C2098" s="8">
        <f>IFERROR(Datos!C2098,"")</f>
        <v/>
      </c>
      <c r="D2098" s="28">
        <f>IFERROR(IF(AND(ISNUMBER(B2098),ISNUMBER(B2097),B2097&lt;&gt;0),B2098/B2097-1,""),"")</f>
        <v/>
      </c>
      <c r="E2098" s="28">
        <f>IFERROR(IF(AND(ISNUMBER(C2098),ISNUMBER(C2097),C2097&lt;&gt;0),C2098/C2097-1,""),"")</f>
        <v/>
      </c>
      <c r="F2098" s="28">
        <f>IFERROR(D2098-Dashboard!$B$4/252,"")</f>
        <v/>
      </c>
      <c r="G2098" s="28">
        <f>IFERROR(E2098-Dashboard!$B$4/252,"")</f>
        <v/>
      </c>
      <c r="H2098" s="8">
        <f>IFERROR(IF(ISNUMBER(B2098),MAX(B2098,IFERROR(H2097,B2098)),""),"")</f>
        <v/>
      </c>
      <c r="I2098" s="29">
        <f>IFERROR(IF(AND(ISNUMBER(B2098),ISNUMBER(H2098)),B2098/H2098-1,""),"")</f>
        <v/>
      </c>
      <c r="J2098" s="8">
        <f>IFERROR(IF(ISNUMBER(C2098),MAX(C2098,IFERROR(J2097,C2098)),""),"")</f>
        <v/>
      </c>
      <c r="K2098" s="29">
        <f>IFERROR(IF(AND(ISNUMBER(C2098),ISNUMBER(J2098)),C2098/J2098-1,""),"")</f>
        <v/>
      </c>
      <c r="L2098" s="28">
        <f>IFERROR(IF(AND(ISNUMBER(D2098),ISNUMBER(E2098)),D2098-E2098,""),"")</f>
        <v/>
      </c>
    </row>
    <row r="2099">
      <c r="A2099" s="7">
        <f>IFERROR(Datos!A2099,"")</f>
        <v/>
      </c>
      <c r="B2099" s="8">
        <f>IFERROR(Datos!B2099,"")</f>
        <v/>
      </c>
      <c r="C2099" s="8">
        <f>IFERROR(Datos!C2099,"")</f>
        <v/>
      </c>
      <c r="D2099" s="28">
        <f>IFERROR(IF(AND(ISNUMBER(B2099),ISNUMBER(B2098),B2098&lt;&gt;0),B2099/B2098-1,""),"")</f>
        <v/>
      </c>
      <c r="E2099" s="28">
        <f>IFERROR(IF(AND(ISNUMBER(C2099),ISNUMBER(C2098),C2098&lt;&gt;0),C2099/C2098-1,""),"")</f>
        <v/>
      </c>
      <c r="F2099" s="28">
        <f>IFERROR(D2099-Dashboard!$B$4/252,"")</f>
        <v/>
      </c>
      <c r="G2099" s="28">
        <f>IFERROR(E2099-Dashboard!$B$4/252,"")</f>
        <v/>
      </c>
      <c r="H2099" s="8">
        <f>IFERROR(IF(ISNUMBER(B2099),MAX(B2099,IFERROR(H2098,B2099)),""),"")</f>
        <v/>
      </c>
      <c r="I2099" s="29">
        <f>IFERROR(IF(AND(ISNUMBER(B2099),ISNUMBER(H2099)),B2099/H2099-1,""),"")</f>
        <v/>
      </c>
      <c r="J2099" s="8">
        <f>IFERROR(IF(ISNUMBER(C2099),MAX(C2099,IFERROR(J2098,C2099)),""),"")</f>
        <v/>
      </c>
      <c r="K2099" s="29">
        <f>IFERROR(IF(AND(ISNUMBER(C2099),ISNUMBER(J2099)),C2099/J2099-1,""),"")</f>
        <v/>
      </c>
      <c r="L2099" s="28">
        <f>IFERROR(IF(AND(ISNUMBER(D2099),ISNUMBER(E2099)),D2099-E2099,""),"")</f>
        <v/>
      </c>
    </row>
    <row r="2100">
      <c r="A2100" s="7">
        <f>IFERROR(Datos!A2100,"")</f>
        <v/>
      </c>
      <c r="B2100" s="8">
        <f>IFERROR(Datos!B2100,"")</f>
        <v/>
      </c>
      <c r="C2100" s="8">
        <f>IFERROR(Datos!C2100,"")</f>
        <v/>
      </c>
      <c r="D2100" s="28">
        <f>IFERROR(IF(AND(ISNUMBER(B2100),ISNUMBER(B2099),B2099&lt;&gt;0),B2100/B2099-1,""),"")</f>
        <v/>
      </c>
      <c r="E2100" s="28">
        <f>IFERROR(IF(AND(ISNUMBER(C2100),ISNUMBER(C2099),C2099&lt;&gt;0),C2100/C2099-1,""),"")</f>
        <v/>
      </c>
      <c r="F2100" s="28">
        <f>IFERROR(D2100-Dashboard!$B$4/252,"")</f>
        <v/>
      </c>
      <c r="G2100" s="28">
        <f>IFERROR(E2100-Dashboard!$B$4/252,"")</f>
        <v/>
      </c>
      <c r="H2100" s="8">
        <f>IFERROR(IF(ISNUMBER(B2100),MAX(B2100,IFERROR(H2099,B2100)),""),"")</f>
        <v/>
      </c>
      <c r="I2100" s="29">
        <f>IFERROR(IF(AND(ISNUMBER(B2100),ISNUMBER(H2100)),B2100/H2100-1,""),"")</f>
        <v/>
      </c>
      <c r="J2100" s="8">
        <f>IFERROR(IF(ISNUMBER(C2100),MAX(C2100,IFERROR(J2099,C2100)),""),"")</f>
        <v/>
      </c>
      <c r="K2100" s="29">
        <f>IFERROR(IF(AND(ISNUMBER(C2100),ISNUMBER(J2100)),C2100/J2100-1,""),"")</f>
        <v/>
      </c>
      <c r="L2100" s="28">
        <f>IFERROR(IF(AND(ISNUMBER(D2100),ISNUMBER(E2100)),D2100-E2100,""),"")</f>
        <v/>
      </c>
    </row>
    <row r="2101">
      <c r="A2101" s="7">
        <f>IFERROR(Datos!A2101,"")</f>
        <v/>
      </c>
      <c r="B2101" s="8">
        <f>IFERROR(Datos!B2101,"")</f>
        <v/>
      </c>
      <c r="C2101" s="8">
        <f>IFERROR(Datos!C2101,"")</f>
        <v/>
      </c>
      <c r="D2101" s="28">
        <f>IFERROR(IF(AND(ISNUMBER(B2101),ISNUMBER(B2100),B2100&lt;&gt;0),B2101/B2100-1,""),"")</f>
        <v/>
      </c>
      <c r="E2101" s="28">
        <f>IFERROR(IF(AND(ISNUMBER(C2101),ISNUMBER(C2100),C2100&lt;&gt;0),C2101/C2100-1,""),"")</f>
        <v/>
      </c>
      <c r="F2101" s="28">
        <f>IFERROR(D2101-Dashboard!$B$4/252,"")</f>
        <v/>
      </c>
      <c r="G2101" s="28">
        <f>IFERROR(E2101-Dashboard!$B$4/252,"")</f>
        <v/>
      </c>
      <c r="H2101" s="8">
        <f>IFERROR(IF(ISNUMBER(B2101),MAX(B2101,IFERROR(H2100,B2101)),""),"")</f>
        <v/>
      </c>
      <c r="I2101" s="29">
        <f>IFERROR(IF(AND(ISNUMBER(B2101),ISNUMBER(H2101)),B2101/H2101-1,""),"")</f>
        <v/>
      </c>
      <c r="J2101" s="8">
        <f>IFERROR(IF(ISNUMBER(C2101),MAX(C2101,IFERROR(J2100,C2101)),""),"")</f>
        <v/>
      </c>
      <c r="K2101" s="29">
        <f>IFERROR(IF(AND(ISNUMBER(C2101),ISNUMBER(J2101)),C2101/J2101-1,""),"")</f>
        <v/>
      </c>
      <c r="L2101" s="28">
        <f>IFERROR(IF(AND(ISNUMBER(D2101),ISNUMBER(E2101)),D2101-E2101,""),"")</f>
        <v/>
      </c>
    </row>
    <row r="2102">
      <c r="A2102" s="7">
        <f>IFERROR(Datos!A2102,"")</f>
        <v/>
      </c>
      <c r="B2102" s="8">
        <f>IFERROR(Datos!B2102,"")</f>
        <v/>
      </c>
      <c r="C2102" s="8">
        <f>IFERROR(Datos!C2102,"")</f>
        <v/>
      </c>
      <c r="D2102" s="28">
        <f>IFERROR(IF(AND(ISNUMBER(B2102),ISNUMBER(B2101),B2101&lt;&gt;0),B2102/B2101-1,""),"")</f>
        <v/>
      </c>
      <c r="E2102" s="28">
        <f>IFERROR(IF(AND(ISNUMBER(C2102),ISNUMBER(C2101),C2101&lt;&gt;0),C2102/C2101-1,""),"")</f>
        <v/>
      </c>
      <c r="F2102" s="28">
        <f>IFERROR(D2102-Dashboard!$B$4/252,"")</f>
        <v/>
      </c>
      <c r="G2102" s="28">
        <f>IFERROR(E2102-Dashboard!$B$4/252,"")</f>
        <v/>
      </c>
      <c r="H2102" s="8">
        <f>IFERROR(IF(ISNUMBER(B2102),MAX(B2102,IFERROR(H2101,B2102)),""),"")</f>
        <v/>
      </c>
      <c r="I2102" s="29">
        <f>IFERROR(IF(AND(ISNUMBER(B2102),ISNUMBER(H2102)),B2102/H2102-1,""),"")</f>
        <v/>
      </c>
      <c r="J2102" s="8">
        <f>IFERROR(IF(ISNUMBER(C2102),MAX(C2102,IFERROR(J2101,C2102)),""),"")</f>
        <v/>
      </c>
      <c r="K2102" s="29">
        <f>IFERROR(IF(AND(ISNUMBER(C2102),ISNUMBER(J2102)),C2102/J2102-1,""),"")</f>
        <v/>
      </c>
      <c r="L2102" s="28">
        <f>IFERROR(IF(AND(ISNUMBER(D2102),ISNUMBER(E2102)),D2102-E2102,""),"")</f>
        <v/>
      </c>
    </row>
    <row r="2103">
      <c r="A2103" s="7">
        <f>IFERROR(Datos!A2103,"")</f>
        <v/>
      </c>
      <c r="B2103" s="8">
        <f>IFERROR(Datos!B2103,"")</f>
        <v/>
      </c>
      <c r="C2103" s="8">
        <f>IFERROR(Datos!C2103,"")</f>
        <v/>
      </c>
      <c r="D2103" s="28">
        <f>IFERROR(IF(AND(ISNUMBER(B2103),ISNUMBER(B2102),B2102&lt;&gt;0),B2103/B2102-1,""),"")</f>
        <v/>
      </c>
      <c r="E2103" s="28">
        <f>IFERROR(IF(AND(ISNUMBER(C2103),ISNUMBER(C2102),C2102&lt;&gt;0),C2103/C2102-1,""),"")</f>
        <v/>
      </c>
      <c r="F2103" s="28">
        <f>IFERROR(D2103-Dashboard!$B$4/252,"")</f>
        <v/>
      </c>
      <c r="G2103" s="28">
        <f>IFERROR(E2103-Dashboard!$B$4/252,"")</f>
        <v/>
      </c>
      <c r="H2103" s="8">
        <f>IFERROR(IF(ISNUMBER(B2103),MAX(B2103,IFERROR(H2102,B2103)),""),"")</f>
        <v/>
      </c>
      <c r="I2103" s="29">
        <f>IFERROR(IF(AND(ISNUMBER(B2103),ISNUMBER(H2103)),B2103/H2103-1,""),"")</f>
        <v/>
      </c>
      <c r="J2103" s="8">
        <f>IFERROR(IF(ISNUMBER(C2103),MAX(C2103,IFERROR(J2102,C2103)),""),"")</f>
        <v/>
      </c>
      <c r="K2103" s="29">
        <f>IFERROR(IF(AND(ISNUMBER(C2103),ISNUMBER(J2103)),C2103/J2103-1,""),"")</f>
        <v/>
      </c>
      <c r="L2103" s="28">
        <f>IFERROR(IF(AND(ISNUMBER(D2103),ISNUMBER(E2103)),D2103-E2103,""),"")</f>
        <v/>
      </c>
    </row>
    <row r="2104">
      <c r="A2104" s="7">
        <f>IFERROR(Datos!A2104,"")</f>
        <v/>
      </c>
      <c r="B2104" s="8">
        <f>IFERROR(Datos!B2104,"")</f>
        <v/>
      </c>
      <c r="C2104" s="8">
        <f>IFERROR(Datos!C2104,"")</f>
        <v/>
      </c>
      <c r="D2104" s="28">
        <f>IFERROR(IF(AND(ISNUMBER(B2104),ISNUMBER(B2103),B2103&lt;&gt;0),B2104/B2103-1,""),"")</f>
        <v/>
      </c>
      <c r="E2104" s="28">
        <f>IFERROR(IF(AND(ISNUMBER(C2104),ISNUMBER(C2103),C2103&lt;&gt;0),C2104/C2103-1,""),"")</f>
        <v/>
      </c>
      <c r="F2104" s="28">
        <f>IFERROR(D2104-Dashboard!$B$4/252,"")</f>
        <v/>
      </c>
      <c r="G2104" s="28">
        <f>IFERROR(E2104-Dashboard!$B$4/252,"")</f>
        <v/>
      </c>
      <c r="H2104" s="8">
        <f>IFERROR(IF(ISNUMBER(B2104),MAX(B2104,IFERROR(H2103,B2104)),""),"")</f>
        <v/>
      </c>
      <c r="I2104" s="29">
        <f>IFERROR(IF(AND(ISNUMBER(B2104),ISNUMBER(H2104)),B2104/H2104-1,""),"")</f>
        <v/>
      </c>
      <c r="J2104" s="8">
        <f>IFERROR(IF(ISNUMBER(C2104),MAX(C2104,IFERROR(J2103,C2104)),""),"")</f>
        <v/>
      </c>
      <c r="K2104" s="29">
        <f>IFERROR(IF(AND(ISNUMBER(C2104),ISNUMBER(J2104)),C2104/J2104-1,""),"")</f>
        <v/>
      </c>
      <c r="L2104" s="28">
        <f>IFERROR(IF(AND(ISNUMBER(D2104),ISNUMBER(E2104)),D2104-E2104,""),"")</f>
        <v/>
      </c>
    </row>
    <row r="2105">
      <c r="A2105" s="7">
        <f>IFERROR(Datos!A2105,"")</f>
        <v/>
      </c>
      <c r="B2105" s="8">
        <f>IFERROR(Datos!B2105,"")</f>
        <v/>
      </c>
      <c r="C2105" s="8">
        <f>IFERROR(Datos!C2105,"")</f>
        <v/>
      </c>
      <c r="D2105" s="28">
        <f>IFERROR(IF(AND(ISNUMBER(B2105),ISNUMBER(B2104),B2104&lt;&gt;0),B2105/B2104-1,""),"")</f>
        <v/>
      </c>
      <c r="E2105" s="28">
        <f>IFERROR(IF(AND(ISNUMBER(C2105),ISNUMBER(C2104),C2104&lt;&gt;0),C2105/C2104-1,""),"")</f>
        <v/>
      </c>
      <c r="F2105" s="28">
        <f>IFERROR(D2105-Dashboard!$B$4/252,"")</f>
        <v/>
      </c>
      <c r="G2105" s="28">
        <f>IFERROR(E2105-Dashboard!$B$4/252,"")</f>
        <v/>
      </c>
      <c r="H2105" s="8">
        <f>IFERROR(IF(ISNUMBER(B2105),MAX(B2105,IFERROR(H2104,B2105)),""),"")</f>
        <v/>
      </c>
      <c r="I2105" s="29">
        <f>IFERROR(IF(AND(ISNUMBER(B2105),ISNUMBER(H2105)),B2105/H2105-1,""),"")</f>
        <v/>
      </c>
      <c r="J2105" s="8">
        <f>IFERROR(IF(ISNUMBER(C2105),MAX(C2105,IFERROR(J2104,C2105)),""),"")</f>
        <v/>
      </c>
      <c r="K2105" s="29">
        <f>IFERROR(IF(AND(ISNUMBER(C2105),ISNUMBER(J2105)),C2105/J2105-1,""),"")</f>
        <v/>
      </c>
      <c r="L2105" s="28">
        <f>IFERROR(IF(AND(ISNUMBER(D2105),ISNUMBER(E2105)),D2105-E2105,""),"")</f>
        <v/>
      </c>
    </row>
    <row r="2106">
      <c r="A2106" s="7">
        <f>IFERROR(Datos!A2106,"")</f>
        <v/>
      </c>
      <c r="B2106" s="8">
        <f>IFERROR(Datos!B2106,"")</f>
        <v/>
      </c>
      <c r="C2106" s="8">
        <f>IFERROR(Datos!C2106,"")</f>
        <v/>
      </c>
      <c r="D2106" s="28">
        <f>IFERROR(IF(AND(ISNUMBER(B2106),ISNUMBER(B2105),B2105&lt;&gt;0),B2106/B2105-1,""),"")</f>
        <v/>
      </c>
      <c r="E2106" s="28">
        <f>IFERROR(IF(AND(ISNUMBER(C2106),ISNUMBER(C2105),C2105&lt;&gt;0),C2106/C2105-1,""),"")</f>
        <v/>
      </c>
      <c r="F2106" s="28">
        <f>IFERROR(D2106-Dashboard!$B$4/252,"")</f>
        <v/>
      </c>
      <c r="G2106" s="28">
        <f>IFERROR(E2106-Dashboard!$B$4/252,"")</f>
        <v/>
      </c>
      <c r="H2106" s="8">
        <f>IFERROR(IF(ISNUMBER(B2106),MAX(B2106,IFERROR(H2105,B2106)),""),"")</f>
        <v/>
      </c>
      <c r="I2106" s="29">
        <f>IFERROR(IF(AND(ISNUMBER(B2106),ISNUMBER(H2106)),B2106/H2106-1,""),"")</f>
        <v/>
      </c>
      <c r="J2106" s="8">
        <f>IFERROR(IF(ISNUMBER(C2106),MAX(C2106,IFERROR(J2105,C2106)),""),"")</f>
        <v/>
      </c>
      <c r="K2106" s="29">
        <f>IFERROR(IF(AND(ISNUMBER(C2106),ISNUMBER(J2106)),C2106/J2106-1,""),"")</f>
        <v/>
      </c>
      <c r="L2106" s="28">
        <f>IFERROR(IF(AND(ISNUMBER(D2106),ISNUMBER(E2106)),D2106-E2106,""),"")</f>
        <v/>
      </c>
    </row>
    <row r="2107">
      <c r="A2107" s="7">
        <f>IFERROR(Datos!A2107,"")</f>
        <v/>
      </c>
      <c r="B2107" s="8">
        <f>IFERROR(Datos!B2107,"")</f>
        <v/>
      </c>
      <c r="C2107" s="8">
        <f>IFERROR(Datos!C2107,"")</f>
        <v/>
      </c>
      <c r="D2107" s="28">
        <f>IFERROR(IF(AND(ISNUMBER(B2107),ISNUMBER(B2106),B2106&lt;&gt;0),B2107/B2106-1,""),"")</f>
        <v/>
      </c>
      <c r="E2107" s="28">
        <f>IFERROR(IF(AND(ISNUMBER(C2107),ISNUMBER(C2106),C2106&lt;&gt;0),C2107/C2106-1,""),"")</f>
        <v/>
      </c>
      <c r="F2107" s="28">
        <f>IFERROR(D2107-Dashboard!$B$4/252,"")</f>
        <v/>
      </c>
      <c r="G2107" s="28">
        <f>IFERROR(E2107-Dashboard!$B$4/252,"")</f>
        <v/>
      </c>
      <c r="H2107" s="8">
        <f>IFERROR(IF(ISNUMBER(B2107),MAX(B2107,IFERROR(H2106,B2107)),""),"")</f>
        <v/>
      </c>
      <c r="I2107" s="29">
        <f>IFERROR(IF(AND(ISNUMBER(B2107),ISNUMBER(H2107)),B2107/H2107-1,""),"")</f>
        <v/>
      </c>
      <c r="J2107" s="8">
        <f>IFERROR(IF(ISNUMBER(C2107),MAX(C2107,IFERROR(J2106,C2107)),""),"")</f>
        <v/>
      </c>
      <c r="K2107" s="29">
        <f>IFERROR(IF(AND(ISNUMBER(C2107),ISNUMBER(J2107)),C2107/J2107-1,""),"")</f>
        <v/>
      </c>
      <c r="L2107" s="28">
        <f>IFERROR(IF(AND(ISNUMBER(D2107),ISNUMBER(E2107)),D2107-E2107,""),"")</f>
        <v/>
      </c>
    </row>
    <row r="2108">
      <c r="A2108" s="7">
        <f>IFERROR(Datos!A2108,"")</f>
        <v/>
      </c>
      <c r="B2108" s="8">
        <f>IFERROR(Datos!B2108,"")</f>
        <v/>
      </c>
      <c r="C2108" s="8">
        <f>IFERROR(Datos!C2108,"")</f>
        <v/>
      </c>
      <c r="D2108" s="28">
        <f>IFERROR(IF(AND(ISNUMBER(B2108),ISNUMBER(B2107),B2107&lt;&gt;0),B2108/B2107-1,""),"")</f>
        <v/>
      </c>
      <c r="E2108" s="28">
        <f>IFERROR(IF(AND(ISNUMBER(C2108),ISNUMBER(C2107),C2107&lt;&gt;0),C2108/C2107-1,""),"")</f>
        <v/>
      </c>
      <c r="F2108" s="28">
        <f>IFERROR(D2108-Dashboard!$B$4/252,"")</f>
        <v/>
      </c>
      <c r="G2108" s="28">
        <f>IFERROR(E2108-Dashboard!$B$4/252,"")</f>
        <v/>
      </c>
      <c r="H2108" s="8">
        <f>IFERROR(IF(ISNUMBER(B2108),MAX(B2108,IFERROR(H2107,B2108)),""),"")</f>
        <v/>
      </c>
      <c r="I2108" s="29">
        <f>IFERROR(IF(AND(ISNUMBER(B2108),ISNUMBER(H2108)),B2108/H2108-1,""),"")</f>
        <v/>
      </c>
      <c r="J2108" s="8">
        <f>IFERROR(IF(ISNUMBER(C2108),MAX(C2108,IFERROR(J2107,C2108)),""),"")</f>
        <v/>
      </c>
      <c r="K2108" s="29">
        <f>IFERROR(IF(AND(ISNUMBER(C2108),ISNUMBER(J2108)),C2108/J2108-1,""),"")</f>
        <v/>
      </c>
      <c r="L2108" s="28">
        <f>IFERROR(IF(AND(ISNUMBER(D2108),ISNUMBER(E2108)),D2108-E2108,""),"")</f>
        <v/>
      </c>
    </row>
    <row r="2109">
      <c r="A2109" s="7">
        <f>IFERROR(Datos!A2109,"")</f>
        <v/>
      </c>
      <c r="B2109" s="8">
        <f>IFERROR(Datos!B2109,"")</f>
        <v/>
      </c>
      <c r="C2109" s="8">
        <f>IFERROR(Datos!C2109,"")</f>
        <v/>
      </c>
      <c r="D2109" s="28">
        <f>IFERROR(IF(AND(ISNUMBER(B2109),ISNUMBER(B2108),B2108&lt;&gt;0),B2109/B2108-1,""),"")</f>
        <v/>
      </c>
      <c r="E2109" s="28">
        <f>IFERROR(IF(AND(ISNUMBER(C2109),ISNUMBER(C2108),C2108&lt;&gt;0),C2109/C2108-1,""),"")</f>
        <v/>
      </c>
      <c r="F2109" s="28">
        <f>IFERROR(D2109-Dashboard!$B$4/252,"")</f>
        <v/>
      </c>
      <c r="G2109" s="28">
        <f>IFERROR(E2109-Dashboard!$B$4/252,"")</f>
        <v/>
      </c>
      <c r="H2109" s="8">
        <f>IFERROR(IF(ISNUMBER(B2109),MAX(B2109,IFERROR(H2108,B2109)),""),"")</f>
        <v/>
      </c>
      <c r="I2109" s="29">
        <f>IFERROR(IF(AND(ISNUMBER(B2109),ISNUMBER(H2109)),B2109/H2109-1,""),"")</f>
        <v/>
      </c>
      <c r="J2109" s="8">
        <f>IFERROR(IF(ISNUMBER(C2109),MAX(C2109,IFERROR(J2108,C2109)),""),"")</f>
        <v/>
      </c>
      <c r="K2109" s="29">
        <f>IFERROR(IF(AND(ISNUMBER(C2109),ISNUMBER(J2109)),C2109/J2109-1,""),"")</f>
        <v/>
      </c>
      <c r="L2109" s="28">
        <f>IFERROR(IF(AND(ISNUMBER(D2109),ISNUMBER(E2109)),D2109-E2109,""),"")</f>
        <v/>
      </c>
    </row>
    <row r="2110">
      <c r="A2110" s="7">
        <f>IFERROR(Datos!A2110,"")</f>
        <v/>
      </c>
      <c r="B2110" s="8">
        <f>IFERROR(Datos!B2110,"")</f>
        <v/>
      </c>
      <c r="C2110" s="8">
        <f>IFERROR(Datos!C2110,"")</f>
        <v/>
      </c>
      <c r="D2110" s="28">
        <f>IFERROR(IF(AND(ISNUMBER(B2110),ISNUMBER(B2109),B2109&lt;&gt;0),B2110/B2109-1,""),"")</f>
        <v/>
      </c>
      <c r="E2110" s="28">
        <f>IFERROR(IF(AND(ISNUMBER(C2110),ISNUMBER(C2109),C2109&lt;&gt;0),C2110/C2109-1,""),"")</f>
        <v/>
      </c>
      <c r="F2110" s="28">
        <f>IFERROR(D2110-Dashboard!$B$4/252,"")</f>
        <v/>
      </c>
      <c r="G2110" s="28">
        <f>IFERROR(E2110-Dashboard!$B$4/252,"")</f>
        <v/>
      </c>
      <c r="H2110" s="8">
        <f>IFERROR(IF(ISNUMBER(B2110),MAX(B2110,IFERROR(H2109,B2110)),""),"")</f>
        <v/>
      </c>
      <c r="I2110" s="29">
        <f>IFERROR(IF(AND(ISNUMBER(B2110),ISNUMBER(H2110)),B2110/H2110-1,""),"")</f>
        <v/>
      </c>
      <c r="J2110" s="8">
        <f>IFERROR(IF(ISNUMBER(C2110),MAX(C2110,IFERROR(J2109,C2110)),""),"")</f>
        <v/>
      </c>
      <c r="K2110" s="29">
        <f>IFERROR(IF(AND(ISNUMBER(C2110),ISNUMBER(J2110)),C2110/J2110-1,""),"")</f>
        <v/>
      </c>
      <c r="L2110" s="28">
        <f>IFERROR(IF(AND(ISNUMBER(D2110),ISNUMBER(E2110)),D2110-E2110,""),"")</f>
        <v/>
      </c>
    </row>
    <row r="2111">
      <c r="A2111" s="7">
        <f>IFERROR(Datos!A2111,"")</f>
        <v/>
      </c>
      <c r="B2111" s="8">
        <f>IFERROR(Datos!B2111,"")</f>
        <v/>
      </c>
      <c r="C2111" s="8">
        <f>IFERROR(Datos!C2111,"")</f>
        <v/>
      </c>
      <c r="D2111" s="28">
        <f>IFERROR(IF(AND(ISNUMBER(B2111),ISNUMBER(B2110),B2110&lt;&gt;0),B2111/B2110-1,""),"")</f>
        <v/>
      </c>
      <c r="E2111" s="28">
        <f>IFERROR(IF(AND(ISNUMBER(C2111),ISNUMBER(C2110),C2110&lt;&gt;0),C2111/C2110-1,""),"")</f>
        <v/>
      </c>
      <c r="F2111" s="28">
        <f>IFERROR(D2111-Dashboard!$B$4/252,"")</f>
        <v/>
      </c>
      <c r="G2111" s="28">
        <f>IFERROR(E2111-Dashboard!$B$4/252,"")</f>
        <v/>
      </c>
      <c r="H2111" s="8">
        <f>IFERROR(IF(ISNUMBER(B2111),MAX(B2111,IFERROR(H2110,B2111)),""),"")</f>
        <v/>
      </c>
      <c r="I2111" s="29">
        <f>IFERROR(IF(AND(ISNUMBER(B2111),ISNUMBER(H2111)),B2111/H2111-1,""),"")</f>
        <v/>
      </c>
      <c r="J2111" s="8">
        <f>IFERROR(IF(ISNUMBER(C2111),MAX(C2111,IFERROR(J2110,C2111)),""),"")</f>
        <v/>
      </c>
      <c r="K2111" s="29">
        <f>IFERROR(IF(AND(ISNUMBER(C2111),ISNUMBER(J2111)),C2111/J2111-1,""),"")</f>
        <v/>
      </c>
      <c r="L2111" s="28">
        <f>IFERROR(IF(AND(ISNUMBER(D2111),ISNUMBER(E2111)),D2111-E2111,""),"")</f>
        <v/>
      </c>
    </row>
    <row r="2112">
      <c r="A2112" s="7">
        <f>IFERROR(Datos!A2112,"")</f>
        <v/>
      </c>
      <c r="B2112" s="8">
        <f>IFERROR(Datos!B2112,"")</f>
        <v/>
      </c>
      <c r="C2112" s="8">
        <f>IFERROR(Datos!C2112,"")</f>
        <v/>
      </c>
      <c r="D2112" s="28">
        <f>IFERROR(IF(AND(ISNUMBER(B2112),ISNUMBER(B2111),B2111&lt;&gt;0),B2112/B2111-1,""),"")</f>
        <v/>
      </c>
      <c r="E2112" s="28">
        <f>IFERROR(IF(AND(ISNUMBER(C2112),ISNUMBER(C2111),C2111&lt;&gt;0),C2112/C2111-1,""),"")</f>
        <v/>
      </c>
      <c r="F2112" s="28">
        <f>IFERROR(D2112-Dashboard!$B$4/252,"")</f>
        <v/>
      </c>
      <c r="G2112" s="28">
        <f>IFERROR(E2112-Dashboard!$B$4/252,"")</f>
        <v/>
      </c>
      <c r="H2112" s="8">
        <f>IFERROR(IF(ISNUMBER(B2112),MAX(B2112,IFERROR(H2111,B2112)),""),"")</f>
        <v/>
      </c>
      <c r="I2112" s="29">
        <f>IFERROR(IF(AND(ISNUMBER(B2112),ISNUMBER(H2112)),B2112/H2112-1,""),"")</f>
        <v/>
      </c>
      <c r="J2112" s="8">
        <f>IFERROR(IF(ISNUMBER(C2112),MAX(C2112,IFERROR(J2111,C2112)),""),"")</f>
        <v/>
      </c>
      <c r="K2112" s="29">
        <f>IFERROR(IF(AND(ISNUMBER(C2112),ISNUMBER(J2112)),C2112/J2112-1,""),"")</f>
        <v/>
      </c>
      <c r="L2112" s="28">
        <f>IFERROR(IF(AND(ISNUMBER(D2112),ISNUMBER(E2112)),D2112-E2112,""),"")</f>
        <v/>
      </c>
    </row>
    <row r="2113">
      <c r="A2113" s="7">
        <f>IFERROR(Datos!A2113,"")</f>
        <v/>
      </c>
      <c r="B2113" s="8">
        <f>IFERROR(Datos!B2113,"")</f>
        <v/>
      </c>
      <c r="C2113" s="8">
        <f>IFERROR(Datos!C2113,"")</f>
        <v/>
      </c>
      <c r="D2113" s="28">
        <f>IFERROR(IF(AND(ISNUMBER(B2113),ISNUMBER(B2112),B2112&lt;&gt;0),B2113/B2112-1,""),"")</f>
        <v/>
      </c>
      <c r="E2113" s="28">
        <f>IFERROR(IF(AND(ISNUMBER(C2113),ISNUMBER(C2112),C2112&lt;&gt;0),C2113/C2112-1,""),"")</f>
        <v/>
      </c>
      <c r="F2113" s="28">
        <f>IFERROR(D2113-Dashboard!$B$4/252,"")</f>
        <v/>
      </c>
      <c r="G2113" s="28">
        <f>IFERROR(E2113-Dashboard!$B$4/252,"")</f>
        <v/>
      </c>
      <c r="H2113" s="8">
        <f>IFERROR(IF(ISNUMBER(B2113),MAX(B2113,IFERROR(H2112,B2113)),""),"")</f>
        <v/>
      </c>
      <c r="I2113" s="29">
        <f>IFERROR(IF(AND(ISNUMBER(B2113),ISNUMBER(H2113)),B2113/H2113-1,""),"")</f>
        <v/>
      </c>
      <c r="J2113" s="8">
        <f>IFERROR(IF(ISNUMBER(C2113),MAX(C2113,IFERROR(J2112,C2113)),""),"")</f>
        <v/>
      </c>
      <c r="K2113" s="29">
        <f>IFERROR(IF(AND(ISNUMBER(C2113),ISNUMBER(J2113)),C2113/J2113-1,""),"")</f>
        <v/>
      </c>
      <c r="L2113" s="28">
        <f>IFERROR(IF(AND(ISNUMBER(D2113),ISNUMBER(E2113)),D2113-E2113,""),"")</f>
        <v/>
      </c>
    </row>
    <row r="2114">
      <c r="A2114" s="7">
        <f>IFERROR(Datos!A2114,"")</f>
        <v/>
      </c>
      <c r="B2114" s="8">
        <f>IFERROR(Datos!B2114,"")</f>
        <v/>
      </c>
      <c r="C2114" s="8">
        <f>IFERROR(Datos!C2114,"")</f>
        <v/>
      </c>
      <c r="D2114" s="28">
        <f>IFERROR(IF(AND(ISNUMBER(B2114),ISNUMBER(B2113),B2113&lt;&gt;0),B2114/B2113-1,""),"")</f>
        <v/>
      </c>
      <c r="E2114" s="28">
        <f>IFERROR(IF(AND(ISNUMBER(C2114),ISNUMBER(C2113),C2113&lt;&gt;0),C2114/C2113-1,""),"")</f>
        <v/>
      </c>
      <c r="F2114" s="28">
        <f>IFERROR(D2114-Dashboard!$B$4/252,"")</f>
        <v/>
      </c>
      <c r="G2114" s="28">
        <f>IFERROR(E2114-Dashboard!$B$4/252,"")</f>
        <v/>
      </c>
      <c r="H2114" s="8">
        <f>IFERROR(IF(ISNUMBER(B2114),MAX(B2114,IFERROR(H2113,B2114)),""),"")</f>
        <v/>
      </c>
      <c r="I2114" s="29">
        <f>IFERROR(IF(AND(ISNUMBER(B2114),ISNUMBER(H2114)),B2114/H2114-1,""),"")</f>
        <v/>
      </c>
      <c r="J2114" s="8">
        <f>IFERROR(IF(ISNUMBER(C2114),MAX(C2114,IFERROR(J2113,C2114)),""),"")</f>
        <v/>
      </c>
      <c r="K2114" s="29">
        <f>IFERROR(IF(AND(ISNUMBER(C2114),ISNUMBER(J2114)),C2114/J2114-1,""),"")</f>
        <v/>
      </c>
      <c r="L2114" s="28">
        <f>IFERROR(IF(AND(ISNUMBER(D2114),ISNUMBER(E2114)),D2114-E2114,""),"")</f>
        <v/>
      </c>
    </row>
    <row r="2115">
      <c r="A2115" s="7">
        <f>IFERROR(Datos!A2115,"")</f>
        <v/>
      </c>
      <c r="B2115" s="8">
        <f>IFERROR(Datos!B2115,"")</f>
        <v/>
      </c>
      <c r="C2115" s="8">
        <f>IFERROR(Datos!C2115,"")</f>
        <v/>
      </c>
      <c r="D2115" s="28">
        <f>IFERROR(IF(AND(ISNUMBER(B2115),ISNUMBER(B2114),B2114&lt;&gt;0),B2115/B2114-1,""),"")</f>
        <v/>
      </c>
      <c r="E2115" s="28">
        <f>IFERROR(IF(AND(ISNUMBER(C2115),ISNUMBER(C2114),C2114&lt;&gt;0),C2115/C2114-1,""),"")</f>
        <v/>
      </c>
      <c r="F2115" s="28">
        <f>IFERROR(D2115-Dashboard!$B$4/252,"")</f>
        <v/>
      </c>
      <c r="G2115" s="28">
        <f>IFERROR(E2115-Dashboard!$B$4/252,"")</f>
        <v/>
      </c>
      <c r="H2115" s="8">
        <f>IFERROR(IF(ISNUMBER(B2115),MAX(B2115,IFERROR(H2114,B2115)),""),"")</f>
        <v/>
      </c>
      <c r="I2115" s="29">
        <f>IFERROR(IF(AND(ISNUMBER(B2115),ISNUMBER(H2115)),B2115/H2115-1,""),"")</f>
        <v/>
      </c>
      <c r="J2115" s="8">
        <f>IFERROR(IF(ISNUMBER(C2115),MAX(C2115,IFERROR(J2114,C2115)),""),"")</f>
        <v/>
      </c>
      <c r="K2115" s="29">
        <f>IFERROR(IF(AND(ISNUMBER(C2115),ISNUMBER(J2115)),C2115/J2115-1,""),"")</f>
        <v/>
      </c>
      <c r="L2115" s="28">
        <f>IFERROR(IF(AND(ISNUMBER(D2115),ISNUMBER(E2115)),D2115-E2115,""),"")</f>
        <v/>
      </c>
    </row>
    <row r="2116">
      <c r="A2116" s="7">
        <f>IFERROR(Datos!A2116,"")</f>
        <v/>
      </c>
      <c r="B2116" s="8">
        <f>IFERROR(Datos!B2116,"")</f>
        <v/>
      </c>
      <c r="C2116" s="8">
        <f>IFERROR(Datos!C2116,"")</f>
        <v/>
      </c>
      <c r="D2116" s="28">
        <f>IFERROR(IF(AND(ISNUMBER(B2116),ISNUMBER(B2115),B2115&lt;&gt;0),B2116/B2115-1,""),"")</f>
        <v/>
      </c>
      <c r="E2116" s="28">
        <f>IFERROR(IF(AND(ISNUMBER(C2116),ISNUMBER(C2115),C2115&lt;&gt;0),C2116/C2115-1,""),"")</f>
        <v/>
      </c>
      <c r="F2116" s="28">
        <f>IFERROR(D2116-Dashboard!$B$4/252,"")</f>
        <v/>
      </c>
      <c r="G2116" s="28">
        <f>IFERROR(E2116-Dashboard!$B$4/252,"")</f>
        <v/>
      </c>
      <c r="H2116" s="8">
        <f>IFERROR(IF(ISNUMBER(B2116),MAX(B2116,IFERROR(H2115,B2116)),""),"")</f>
        <v/>
      </c>
      <c r="I2116" s="29">
        <f>IFERROR(IF(AND(ISNUMBER(B2116),ISNUMBER(H2116)),B2116/H2116-1,""),"")</f>
        <v/>
      </c>
      <c r="J2116" s="8">
        <f>IFERROR(IF(ISNUMBER(C2116),MAX(C2116,IFERROR(J2115,C2116)),""),"")</f>
        <v/>
      </c>
      <c r="K2116" s="29">
        <f>IFERROR(IF(AND(ISNUMBER(C2116),ISNUMBER(J2116)),C2116/J2116-1,""),"")</f>
        <v/>
      </c>
      <c r="L2116" s="28">
        <f>IFERROR(IF(AND(ISNUMBER(D2116),ISNUMBER(E2116)),D2116-E2116,""),"")</f>
        <v/>
      </c>
    </row>
    <row r="2117">
      <c r="A2117" s="7">
        <f>IFERROR(Datos!A2117,"")</f>
        <v/>
      </c>
      <c r="B2117" s="8">
        <f>IFERROR(Datos!B2117,"")</f>
        <v/>
      </c>
      <c r="C2117" s="8">
        <f>IFERROR(Datos!C2117,"")</f>
        <v/>
      </c>
      <c r="D2117" s="28">
        <f>IFERROR(IF(AND(ISNUMBER(B2117),ISNUMBER(B2116),B2116&lt;&gt;0),B2117/B2116-1,""),"")</f>
        <v/>
      </c>
      <c r="E2117" s="28">
        <f>IFERROR(IF(AND(ISNUMBER(C2117),ISNUMBER(C2116),C2116&lt;&gt;0),C2117/C2116-1,""),"")</f>
        <v/>
      </c>
      <c r="F2117" s="28">
        <f>IFERROR(D2117-Dashboard!$B$4/252,"")</f>
        <v/>
      </c>
      <c r="G2117" s="28">
        <f>IFERROR(E2117-Dashboard!$B$4/252,"")</f>
        <v/>
      </c>
      <c r="H2117" s="8">
        <f>IFERROR(IF(ISNUMBER(B2117),MAX(B2117,IFERROR(H2116,B2117)),""),"")</f>
        <v/>
      </c>
      <c r="I2117" s="29">
        <f>IFERROR(IF(AND(ISNUMBER(B2117),ISNUMBER(H2117)),B2117/H2117-1,""),"")</f>
        <v/>
      </c>
      <c r="J2117" s="8">
        <f>IFERROR(IF(ISNUMBER(C2117),MAX(C2117,IFERROR(J2116,C2117)),""),"")</f>
        <v/>
      </c>
      <c r="K2117" s="29">
        <f>IFERROR(IF(AND(ISNUMBER(C2117),ISNUMBER(J2117)),C2117/J2117-1,""),"")</f>
        <v/>
      </c>
      <c r="L2117" s="28">
        <f>IFERROR(IF(AND(ISNUMBER(D2117),ISNUMBER(E2117)),D2117-E2117,""),"")</f>
        <v/>
      </c>
    </row>
    <row r="2118">
      <c r="A2118" s="7">
        <f>IFERROR(Datos!A2118,"")</f>
        <v/>
      </c>
      <c r="B2118" s="8">
        <f>IFERROR(Datos!B2118,"")</f>
        <v/>
      </c>
      <c r="C2118" s="8">
        <f>IFERROR(Datos!C2118,"")</f>
        <v/>
      </c>
      <c r="D2118" s="28">
        <f>IFERROR(IF(AND(ISNUMBER(B2118),ISNUMBER(B2117),B2117&lt;&gt;0),B2118/B2117-1,""),"")</f>
        <v/>
      </c>
      <c r="E2118" s="28">
        <f>IFERROR(IF(AND(ISNUMBER(C2118),ISNUMBER(C2117),C2117&lt;&gt;0),C2118/C2117-1,""),"")</f>
        <v/>
      </c>
      <c r="F2118" s="28">
        <f>IFERROR(D2118-Dashboard!$B$4/252,"")</f>
        <v/>
      </c>
      <c r="G2118" s="28">
        <f>IFERROR(E2118-Dashboard!$B$4/252,"")</f>
        <v/>
      </c>
      <c r="H2118" s="8">
        <f>IFERROR(IF(ISNUMBER(B2118),MAX(B2118,IFERROR(H2117,B2118)),""),"")</f>
        <v/>
      </c>
      <c r="I2118" s="29">
        <f>IFERROR(IF(AND(ISNUMBER(B2118),ISNUMBER(H2118)),B2118/H2118-1,""),"")</f>
        <v/>
      </c>
      <c r="J2118" s="8">
        <f>IFERROR(IF(ISNUMBER(C2118),MAX(C2118,IFERROR(J2117,C2118)),""),"")</f>
        <v/>
      </c>
      <c r="K2118" s="29">
        <f>IFERROR(IF(AND(ISNUMBER(C2118),ISNUMBER(J2118)),C2118/J2118-1,""),"")</f>
        <v/>
      </c>
      <c r="L2118" s="28">
        <f>IFERROR(IF(AND(ISNUMBER(D2118),ISNUMBER(E2118)),D2118-E2118,""),"")</f>
        <v/>
      </c>
    </row>
    <row r="2119">
      <c r="A2119" s="7">
        <f>IFERROR(Datos!A2119,"")</f>
        <v/>
      </c>
      <c r="B2119" s="8">
        <f>IFERROR(Datos!B2119,"")</f>
        <v/>
      </c>
      <c r="C2119" s="8">
        <f>IFERROR(Datos!C2119,"")</f>
        <v/>
      </c>
      <c r="D2119" s="28">
        <f>IFERROR(IF(AND(ISNUMBER(B2119),ISNUMBER(B2118),B2118&lt;&gt;0),B2119/B2118-1,""),"")</f>
        <v/>
      </c>
      <c r="E2119" s="28">
        <f>IFERROR(IF(AND(ISNUMBER(C2119),ISNUMBER(C2118),C2118&lt;&gt;0),C2119/C2118-1,""),"")</f>
        <v/>
      </c>
      <c r="F2119" s="28">
        <f>IFERROR(D2119-Dashboard!$B$4/252,"")</f>
        <v/>
      </c>
      <c r="G2119" s="28">
        <f>IFERROR(E2119-Dashboard!$B$4/252,"")</f>
        <v/>
      </c>
      <c r="H2119" s="8">
        <f>IFERROR(IF(ISNUMBER(B2119),MAX(B2119,IFERROR(H2118,B2119)),""),"")</f>
        <v/>
      </c>
      <c r="I2119" s="29">
        <f>IFERROR(IF(AND(ISNUMBER(B2119),ISNUMBER(H2119)),B2119/H2119-1,""),"")</f>
        <v/>
      </c>
      <c r="J2119" s="8">
        <f>IFERROR(IF(ISNUMBER(C2119),MAX(C2119,IFERROR(J2118,C2119)),""),"")</f>
        <v/>
      </c>
      <c r="K2119" s="29">
        <f>IFERROR(IF(AND(ISNUMBER(C2119),ISNUMBER(J2119)),C2119/J2119-1,""),"")</f>
        <v/>
      </c>
      <c r="L2119" s="28">
        <f>IFERROR(IF(AND(ISNUMBER(D2119),ISNUMBER(E2119)),D2119-E2119,""),"")</f>
        <v/>
      </c>
    </row>
    <row r="2120">
      <c r="A2120" s="7">
        <f>IFERROR(Datos!A2120,"")</f>
        <v/>
      </c>
      <c r="B2120" s="8">
        <f>IFERROR(Datos!B2120,"")</f>
        <v/>
      </c>
      <c r="C2120" s="8">
        <f>IFERROR(Datos!C2120,"")</f>
        <v/>
      </c>
      <c r="D2120" s="28">
        <f>IFERROR(IF(AND(ISNUMBER(B2120),ISNUMBER(B2119),B2119&lt;&gt;0),B2120/B2119-1,""),"")</f>
        <v/>
      </c>
      <c r="E2120" s="28">
        <f>IFERROR(IF(AND(ISNUMBER(C2120),ISNUMBER(C2119),C2119&lt;&gt;0),C2120/C2119-1,""),"")</f>
        <v/>
      </c>
      <c r="F2120" s="28">
        <f>IFERROR(D2120-Dashboard!$B$4/252,"")</f>
        <v/>
      </c>
      <c r="G2120" s="28">
        <f>IFERROR(E2120-Dashboard!$B$4/252,"")</f>
        <v/>
      </c>
      <c r="H2120" s="8">
        <f>IFERROR(IF(ISNUMBER(B2120),MAX(B2120,IFERROR(H2119,B2120)),""),"")</f>
        <v/>
      </c>
      <c r="I2120" s="29">
        <f>IFERROR(IF(AND(ISNUMBER(B2120),ISNUMBER(H2120)),B2120/H2120-1,""),"")</f>
        <v/>
      </c>
      <c r="J2120" s="8">
        <f>IFERROR(IF(ISNUMBER(C2120),MAX(C2120,IFERROR(J2119,C2120)),""),"")</f>
        <v/>
      </c>
      <c r="K2120" s="29">
        <f>IFERROR(IF(AND(ISNUMBER(C2120),ISNUMBER(J2120)),C2120/J2120-1,""),"")</f>
        <v/>
      </c>
      <c r="L2120" s="28">
        <f>IFERROR(IF(AND(ISNUMBER(D2120),ISNUMBER(E2120)),D2120-E2120,""),"")</f>
        <v/>
      </c>
    </row>
    <row r="2121">
      <c r="A2121" s="7">
        <f>IFERROR(Datos!A2121,"")</f>
        <v/>
      </c>
      <c r="B2121" s="8">
        <f>IFERROR(Datos!B2121,"")</f>
        <v/>
      </c>
      <c r="C2121" s="8">
        <f>IFERROR(Datos!C2121,"")</f>
        <v/>
      </c>
      <c r="D2121" s="28">
        <f>IFERROR(IF(AND(ISNUMBER(B2121),ISNUMBER(B2120),B2120&lt;&gt;0),B2121/B2120-1,""),"")</f>
        <v/>
      </c>
      <c r="E2121" s="28">
        <f>IFERROR(IF(AND(ISNUMBER(C2121),ISNUMBER(C2120),C2120&lt;&gt;0),C2121/C2120-1,""),"")</f>
        <v/>
      </c>
      <c r="F2121" s="28">
        <f>IFERROR(D2121-Dashboard!$B$4/252,"")</f>
        <v/>
      </c>
      <c r="G2121" s="28">
        <f>IFERROR(E2121-Dashboard!$B$4/252,"")</f>
        <v/>
      </c>
      <c r="H2121" s="8">
        <f>IFERROR(IF(ISNUMBER(B2121),MAX(B2121,IFERROR(H2120,B2121)),""),"")</f>
        <v/>
      </c>
      <c r="I2121" s="29">
        <f>IFERROR(IF(AND(ISNUMBER(B2121),ISNUMBER(H2121)),B2121/H2121-1,""),"")</f>
        <v/>
      </c>
      <c r="J2121" s="8">
        <f>IFERROR(IF(ISNUMBER(C2121),MAX(C2121,IFERROR(J2120,C2121)),""),"")</f>
        <v/>
      </c>
      <c r="K2121" s="29">
        <f>IFERROR(IF(AND(ISNUMBER(C2121),ISNUMBER(J2121)),C2121/J2121-1,""),"")</f>
        <v/>
      </c>
      <c r="L2121" s="28">
        <f>IFERROR(IF(AND(ISNUMBER(D2121),ISNUMBER(E2121)),D2121-E2121,""),"")</f>
        <v/>
      </c>
    </row>
    <row r="2122">
      <c r="A2122" s="7">
        <f>IFERROR(Datos!A2122,"")</f>
        <v/>
      </c>
      <c r="B2122" s="8">
        <f>IFERROR(Datos!B2122,"")</f>
        <v/>
      </c>
      <c r="C2122" s="8">
        <f>IFERROR(Datos!C2122,"")</f>
        <v/>
      </c>
      <c r="D2122" s="28">
        <f>IFERROR(IF(AND(ISNUMBER(B2122),ISNUMBER(B2121),B2121&lt;&gt;0),B2122/B2121-1,""),"")</f>
        <v/>
      </c>
      <c r="E2122" s="28">
        <f>IFERROR(IF(AND(ISNUMBER(C2122),ISNUMBER(C2121),C2121&lt;&gt;0),C2122/C2121-1,""),"")</f>
        <v/>
      </c>
      <c r="F2122" s="28">
        <f>IFERROR(D2122-Dashboard!$B$4/252,"")</f>
        <v/>
      </c>
      <c r="G2122" s="28">
        <f>IFERROR(E2122-Dashboard!$B$4/252,"")</f>
        <v/>
      </c>
      <c r="H2122" s="8">
        <f>IFERROR(IF(ISNUMBER(B2122),MAX(B2122,IFERROR(H2121,B2122)),""),"")</f>
        <v/>
      </c>
      <c r="I2122" s="29">
        <f>IFERROR(IF(AND(ISNUMBER(B2122),ISNUMBER(H2122)),B2122/H2122-1,""),"")</f>
        <v/>
      </c>
      <c r="J2122" s="8">
        <f>IFERROR(IF(ISNUMBER(C2122),MAX(C2122,IFERROR(J2121,C2122)),""),"")</f>
        <v/>
      </c>
      <c r="K2122" s="29">
        <f>IFERROR(IF(AND(ISNUMBER(C2122),ISNUMBER(J2122)),C2122/J2122-1,""),"")</f>
        <v/>
      </c>
      <c r="L2122" s="28">
        <f>IFERROR(IF(AND(ISNUMBER(D2122),ISNUMBER(E2122)),D2122-E2122,""),"")</f>
        <v/>
      </c>
    </row>
    <row r="2123">
      <c r="A2123" s="7">
        <f>IFERROR(Datos!A2123,"")</f>
        <v/>
      </c>
      <c r="B2123" s="8">
        <f>IFERROR(Datos!B2123,"")</f>
        <v/>
      </c>
      <c r="C2123" s="8">
        <f>IFERROR(Datos!C2123,"")</f>
        <v/>
      </c>
      <c r="D2123" s="28">
        <f>IFERROR(IF(AND(ISNUMBER(B2123),ISNUMBER(B2122),B2122&lt;&gt;0),B2123/B2122-1,""),"")</f>
        <v/>
      </c>
      <c r="E2123" s="28">
        <f>IFERROR(IF(AND(ISNUMBER(C2123),ISNUMBER(C2122),C2122&lt;&gt;0),C2123/C2122-1,""),"")</f>
        <v/>
      </c>
      <c r="F2123" s="28">
        <f>IFERROR(D2123-Dashboard!$B$4/252,"")</f>
        <v/>
      </c>
      <c r="G2123" s="28">
        <f>IFERROR(E2123-Dashboard!$B$4/252,"")</f>
        <v/>
      </c>
      <c r="H2123" s="8">
        <f>IFERROR(IF(ISNUMBER(B2123),MAX(B2123,IFERROR(H2122,B2123)),""),"")</f>
        <v/>
      </c>
      <c r="I2123" s="29">
        <f>IFERROR(IF(AND(ISNUMBER(B2123),ISNUMBER(H2123)),B2123/H2123-1,""),"")</f>
        <v/>
      </c>
      <c r="J2123" s="8">
        <f>IFERROR(IF(ISNUMBER(C2123),MAX(C2123,IFERROR(J2122,C2123)),""),"")</f>
        <v/>
      </c>
      <c r="K2123" s="29">
        <f>IFERROR(IF(AND(ISNUMBER(C2123),ISNUMBER(J2123)),C2123/J2123-1,""),"")</f>
        <v/>
      </c>
      <c r="L2123" s="28">
        <f>IFERROR(IF(AND(ISNUMBER(D2123),ISNUMBER(E2123)),D2123-E2123,""),"")</f>
        <v/>
      </c>
    </row>
    <row r="2124">
      <c r="A2124" s="7">
        <f>IFERROR(Datos!A2124,"")</f>
        <v/>
      </c>
      <c r="B2124" s="8">
        <f>IFERROR(Datos!B2124,"")</f>
        <v/>
      </c>
      <c r="C2124" s="8">
        <f>IFERROR(Datos!C2124,"")</f>
        <v/>
      </c>
      <c r="D2124" s="28">
        <f>IFERROR(IF(AND(ISNUMBER(B2124),ISNUMBER(B2123),B2123&lt;&gt;0),B2124/B2123-1,""),"")</f>
        <v/>
      </c>
      <c r="E2124" s="28">
        <f>IFERROR(IF(AND(ISNUMBER(C2124),ISNUMBER(C2123),C2123&lt;&gt;0),C2124/C2123-1,""),"")</f>
        <v/>
      </c>
      <c r="F2124" s="28">
        <f>IFERROR(D2124-Dashboard!$B$4/252,"")</f>
        <v/>
      </c>
      <c r="G2124" s="28">
        <f>IFERROR(E2124-Dashboard!$B$4/252,"")</f>
        <v/>
      </c>
      <c r="H2124" s="8">
        <f>IFERROR(IF(ISNUMBER(B2124),MAX(B2124,IFERROR(H2123,B2124)),""),"")</f>
        <v/>
      </c>
      <c r="I2124" s="29">
        <f>IFERROR(IF(AND(ISNUMBER(B2124),ISNUMBER(H2124)),B2124/H2124-1,""),"")</f>
        <v/>
      </c>
      <c r="J2124" s="8">
        <f>IFERROR(IF(ISNUMBER(C2124),MAX(C2124,IFERROR(J2123,C2124)),""),"")</f>
        <v/>
      </c>
      <c r="K2124" s="29">
        <f>IFERROR(IF(AND(ISNUMBER(C2124),ISNUMBER(J2124)),C2124/J2124-1,""),"")</f>
        <v/>
      </c>
      <c r="L2124" s="28">
        <f>IFERROR(IF(AND(ISNUMBER(D2124),ISNUMBER(E2124)),D2124-E2124,""),"")</f>
        <v/>
      </c>
    </row>
    <row r="2125">
      <c r="A2125" s="7">
        <f>IFERROR(Datos!A2125,"")</f>
        <v/>
      </c>
      <c r="B2125" s="8">
        <f>IFERROR(Datos!B2125,"")</f>
        <v/>
      </c>
      <c r="C2125" s="8">
        <f>IFERROR(Datos!C2125,"")</f>
        <v/>
      </c>
      <c r="D2125" s="28">
        <f>IFERROR(IF(AND(ISNUMBER(B2125),ISNUMBER(B2124),B2124&lt;&gt;0),B2125/B2124-1,""),"")</f>
        <v/>
      </c>
      <c r="E2125" s="28">
        <f>IFERROR(IF(AND(ISNUMBER(C2125),ISNUMBER(C2124),C2124&lt;&gt;0),C2125/C2124-1,""),"")</f>
        <v/>
      </c>
      <c r="F2125" s="28">
        <f>IFERROR(D2125-Dashboard!$B$4/252,"")</f>
        <v/>
      </c>
      <c r="G2125" s="28">
        <f>IFERROR(E2125-Dashboard!$B$4/252,"")</f>
        <v/>
      </c>
      <c r="H2125" s="8">
        <f>IFERROR(IF(ISNUMBER(B2125),MAX(B2125,IFERROR(H2124,B2125)),""),"")</f>
        <v/>
      </c>
      <c r="I2125" s="29">
        <f>IFERROR(IF(AND(ISNUMBER(B2125),ISNUMBER(H2125)),B2125/H2125-1,""),"")</f>
        <v/>
      </c>
      <c r="J2125" s="8">
        <f>IFERROR(IF(ISNUMBER(C2125),MAX(C2125,IFERROR(J2124,C2125)),""),"")</f>
        <v/>
      </c>
      <c r="K2125" s="29">
        <f>IFERROR(IF(AND(ISNUMBER(C2125),ISNUMBER(J2125)),C2125/J2125-1,""),"")</f>
        <v/>
      </c>
      <c r="L2125" s="28">
        <f>IFERROR(IF(AND(ISNUMBER(D2125),ISNUMBER(E2125)),D2125-E2125,""),"")</f>
        <v/>
      </c>
    </row>
    <row r="2126">
      <c r="A2126" s="7">
        <f>IFERROR(Datos!A2126,"")</f>
        <v/>
      </c>
      <c r="B2126" s="8">
        <f>IFERROR(Datos!B2126,"")</f>
        <v/>
      </c>
      <c r="C2126" s="8">
        <f>IFERROR(Datos!C2126,"")</f>
        <v/>
      </c>
      <c r="D2126" s="28">
        <f>IFERROR(IF(AND(ISNUMBER(B2126),ISNUMBER(B2125),B2125&lt;&gt;0),B2126/B2125-1,""),"")</f>
        <v/>
      </c>
      <c r="E2126" s="28">
        <f>IFERROR(IF(AND(ISNUMBER(C2126),ISNUMBER(C2125),C2125&lt;&gt;0),C2126/C2125-1,""),"")</f>
        <v/>
      </c>
      <c r="F2126" s="28">
        <f>IFERROR(D2126-Dashboard!$B$4/252,"")</f>
        <v/>
      </c>
      <c r="G2126" s="28">
        <f>IFERROR(E2126-Dashboard!$B$4/252,"")</f>
        <v/>
      </c>
      <c r="H2126" s="8">
        <f>IFERROR(IF(ISNUMBER(B2126),MAX(B2126,IFERROR(H2125,B2126)),""),"")</f>
        <v/>
      </c>
      <c r="I2126" s="29">
        <f>IFERROR(IF(AND(ISNUMBER(B2126),ISNUMBER(H2126)),B2126/H2126-1,""),"")</f>
        <v/>
      </c>
      <c r="J2126" s="8">
        <f>IFERROR(IF(ISNUMBER(C2126),MAX(C2126,IFERROR(J2125,C2126)),""),"")</f>
        <v/>
      </c>
      <c r="K2126" s="29">
        <f>IFERROR(IF(AND(ISNUMBER(C2126),ISNUMBER(J2126)),C2126/J2126-1,""),"")</f>
        <v/>
      </c>
      <c r="L2126" s="28">
        <f>IFERROR(IF(AND(ISNUMBER(D2126),ISNUMBER(E2126)),D2126-E2126,""),"")</f>
        <v/>
      </c>
    </row>
    <row r="2127">
      <c r="A2127" s="7">
        <f>IFERROR(Datos!A2127,"")</f>
        <v/>
      </c>
      <c r="B2127" s="8">
        <f>IFERROR(Datos!B2127,"")</f>
        <v/>
      </c>
      <c r="C2127" s="8">
        <f>IFERROR(Datos!C2127,"")</f>
        <v/>
      </c>
      <c r="D2127" s="28">
        <f>IFERROR(IF(AND(ISNUMBER(B2127),ISNUMBER(B2126),B2126&lt;&gt;0),B2127/B2126-1,""),"")</f>
        <v/>
      </c>
      <c r="E2127" s="28">
        <f>IFERROR(IF(AND(ISNUMBER(C2127),ISNUMBER(C2126),C2126&lt;&gt;0),C2127/C2126-1,""),"")</f>
        <v/>
      </c>
      <c r="F2127" s="28">
        <f>IFERROR(D2127-Dashboard!$B$4/252,"")</f>
        <v/>
      </c>
      <c r="G2127" s="28">
        <f>IFERROR(E2127-Dashboard!$B$4/252,"")</f>
        <v/>
      </c>
      <c r="H2127" s="8">
        <f>IFERROR(IF(ISNUMBER(B2127),MAX(B2127,IFERROR(H2126,B2127)),""),"")</f>
        <v/>
      </c>
      <c r="I2127" s="29">
        <f>IFERROR(IF(AND(ISNUMBER(B2127),ISNUMBER(H2127)),B2127/H2127-1,""),"")</f>
        <v/>
      </c>
      <c r="J2127" s="8">
        <f>IFERROR(IF(ISNUMBER(C2127),MAX(C2127,IFERROR(J2126,C2127)),""),"")</f>
        <v/>
      </c>
      <c r="K2127" s="29">
        <f>IFERROR(IF(AND(ISNUMBER(C2127),ISNUMBER(J2127)),C2127/J2127-1,""),"")</f>
        <v/>
      </c>
      <c r="L2127" s="28">
        <f>IFERROR(IF(AND(ISNUMBER(D2127),ISNUMBER(E2127)),D2127-E2127,""),"")</f>
        <v/>
      </c>
    </row>
    <row r="2128">
      <c r="A2128" s="7">
        <f>IFERROR(Datos!A2128,"")</f>
        <v/>
      </c>
      <c r="B2128" s="8">
        <f>IFERROR(Datos!B2128,"")</f>
        <v/>
      </c>
      <c r="C2128" s="8">
        <f>IFERROR(Datos!C2128,"")</f>
        <v/>
      </c>
      <c r="D2128" s="28">
        <f>IFERROR(IF(AND(ISNUMBER(B2128),ISNUMBER(B2127),B2127&lt;&gt;0),B2128/B2127-1,""),"")</f>
        <v/>
      </c>
      <c r="E2128" s="28">
        <f>IFERROR(IF(AND(ISNUMBER(C2128),ISNUMBER(C2127),C2127&lt;&gt;0),C2128/C2127-1,""),"")</f>
        <v/>
      </c>
      <c r="F2128" s="28">
        <f>IFERROR(D2128-Dashboard!$B$4/252,"")</f>
        <v/>
      </c>
      <c r="G2128" s="28">
        <f>IFERROR(E2128-Dashboard!$B$4/252,"")</f>
        <v/>
      </c>
      <c r="H2128" s="8">
        <f>IFERROR(IF(ISNUMBER(B2128),MAX(B2128,IFERROR(H2127,B2128)),""),"")</f>
        <v/>
      </c>
      <c r="I2128" s="29">
        <f>IFERROR(IF(AND(ISNUMBER(B2128),ISNUMBER(H2128)),B2128/H2128-1,""),"")</f>
        <v/>
      </c>
      <c r="J2128" s="8">
        <f>IFERROR(IF(ISNUMBER(C2128),MAX(C2128,IFERROR(J2127,C2128)),""),"")</f>
        <v/>
      </c>
      <c r="K2128" s="29">
        <f>IFERROR(IF(AND(ISNUMBER(C2128),ISNUMBER(J2128)),C2128/J2128-1,""),"")</f>
        <v/>
      </c>
      <c r="L2128" s="28">
        <f>IFERROR(IF(AND(ISNUMBER(D2128),ISNUMBER(E2128)),D2128-E2128,""),"")</f>
        <v/>
      </c>
    </row>
    <row r="2129">
      <c r="A2129" s="7">
        <f>IFERROR(Datos!A2129,"")</f>
        <v/>
      </c>
      <c r="B2129" s="8">
        <f>IFERROR(Datos!B2129,"")</f>
        <v/>
      </c>
      <c r="C2129" s="8">
        <f>IFERROR(Datos!C2129,"")</f>
        <v/>
      </c>
      <c r="D2129" s="28">
        <f>IFERROR(IF(AND(ISNUMBER(B2129),ISNUMBER(B2128),B2128&lt;&gt;0),B2129/B2128-1,""),"")</f>
        <v/>
      </c>
      <c r="E2129" s="28">
        <f>IFERROR(IF(AND(ISNUMBER(C2129),ISNUMBER(C2128),C2128&lt;&gt;0),C2129/C2128-1,""),"")</f>
        <v/>
      </c>
      <c r="F2129" s="28">
        <f>IFERROR(D2129-Dashboard!$B$4/252,"")</f>
        <v/>
      </c>
      <c r="G2129" s="28">
        <f>IFERROR(E2129-Dashboard!$B$4/252,"")</f>
        <v/>
      </c>
      <c r="H2129" s="8">
        <f>IFERROR(IF(ISNUMBER(B2129),MAX(B2129,IFERROR(H2128,B2129)),""),"")</f>
        <v/>
      </c>
      <c r="I2129" s="29">
        <f>IFERROR(IF(AND(ISNUMBER(B2129),ISNUMBER(H2129)),B2129/H2129-1,""),"")</f>
        <v/>
      </c>
      <c r="J2129" s="8">
        <f>IFERROR(IF(ISNUMBER(C2129),MAX(C2129,IFERROR(J2128,C2129)),""),"")</f>
        <v/>
      </c>
      <c r="K2129" s="29">
        <f>IFERROR(IF(AND(ISNUMBER(C2129),ISNUMBER(J2129)),C2129/J2129-1,""),"")</f>
        <v/>
      </c>
      <c r="L2129" s="28">
        <f>IFERROR(IF(AND(ISNUMBER(D2129),ISNUMBER(E2129)),D2129-E2129,""),"")</f>
        <v/>
      </c>
    </row>
    <row r="2130">
      <c r="A2130" s="7">
        <f>IFERROR(Datos!A2130,"")</f>
        <v/>
      </c>
      <c r="B2130" s="8">
        <f>IFERROR(Datos!B2130,"")</f>
        <v/>
      </c>
      <c r="C2130" s="8">
        <f>IFERROR(Datos!C2130,"")</f>
        <v/>
      </c>
      <c r="D2130" s="28">
        <f>IFERROR(IF(AND(ISNUMBER(B2130),ISNUMBER(B2129),B2129&lt;&gt;0),B2130/B2129-1,""),"")</f>
        <v/>
      </c>
      <c r="E2130" s="28">
        <f>IFERROR(IF(AND(ISNUMBER(C2130),ISNUMBER(C2129),C2129&lt;&gt;0),C2130/C2129-1,""),"")</f>
        <v/>
      </c>
      <c r="F2130" s="28">
        <f>IFERROR(D2130-Dashboard!$B$4/252,"")</f>
        <v/>
      </c>
      <c r="G2130" s="28">
        <f>IFERROR(E2130-Dashboard!$B$4/252,"")</f>
        <v/>
      </c>
      <c r="H2130" s="8">
        <f>IFERROR(IF(ISNUMBER(B2130),MAX(B2130,IFERROR(H2129,B2130)),""),"")</f>
        <v/>
      </c>
      <c r="I2130" s="29">
        <f>IFERROR(IF(AND(ISNUMBER(B2130),ISNUMBER(H2130)),B2130/H2130-1,""),"")</f>
        <v/>
      </c>
      <c r="J2130" s="8">
        <f>IFERROR(IF(ISNUMBER(C2130),MAX(C2130,IFERROR(J2129,C2130)),""),"")</f>
        <v/>
      </c>
      <c r="K2130" s="29">
        <f>IFERROR(IF(AND(ISNUMBER(C2130),ISNUMBER(J2130)),C2130/J2130-1,""),"")</f>
        <v/>
      </c>
      <c r="L2130" s="28">
        <f>IFERROR(IF(AND(ISNUMBER(D2130),ISNUMBER(E2130)),D2130-E2130,""),"")</f>
        <v/>
      </c>
    </row>
    <row r="2131">
      <c r="A2131" s="7">
        <f>IFERROR(Datos!A2131,"")</f>
        <v/>
      </c>
      <c r="B2131" s="8">
        <f>IFERROR(Datos!B2131,"")</f>
        <v/>
      </c>
      <c r="C2131" s="8">
        <f>IFERROR(Datos!C2131,"")</f>
        <v/>
      </c>
      <c r="D2131" s="28">
        <f>IFERROR(IF(AND(ISNUMBER(B2131),ISNUMBER(B2130),B2130&lt;&gt;0),B2131/B2130-1,""),"")</f>
        <v/>
      </c>
      <c r="E2131" s="28">
        <f>IFERROR(IF(AND(ISNUMBER(C2131),ISNUMBER(C2130),C2130&lt;&gt;0),C2131/C2130-1,""),"")</f>
        <v/>
      </c>
      <c r="F2131" s="28">
        <f>IFERROR(D2131-Dashboard!$B$4/252,"")</f>
        <v/>
      </c>
      <c r="G2131" s="28">
        <f>IFERROR(E2131-Dashboard!$B$4/252,"")</f>
        <v/>
      </c>
      <c r="H2131" s="8">
        <f>IFERROR(IF(ISNUMBER(B2131),MAX(B2131,IFERROR(H2130,B2131)),""),"")</f>
        <v/>
      </c>
      <c r="I2131" s="29">
        <f>IFERROR(IF(AND(ISNUMBER(B2131),ISNUMBER(H2131)),B2131/H2131-1,""),"")</f>
        <v/>
      </c>
      <c r="J2131" s="8">
        <f>IFERROR(IF(ISNUMBER(C2131),MAX(C2131,IFERROR(J2130,C2131)),""),"")</f>
        <v/>
      </c>
      <c r="K2131" s="29">
        <f>IFERROR(IF(AND(ISNUMBER(C2131),ISNUMBER(J2131)),C2131/J2131-1,""),"")</f>
        <v/>
      </c>
      <c r="L2131" s="28">
        <f>IFERROR(IF(AND(ISNUMBER(D2131),ISNUMBER(E2131)),D2131-E2131,""),"")</f>
        <v/>
      </c>
    </row>
    <row r="2132">
      <c r="A2132" s="7">
        <f>IFERROR(Datos!A2132,"")</f>
        <v/>
      </c>
      <c r="B2132" s="8">
        <f>IFERROR(Datos!B2132,"")</f>
        <v/>
      </c>
      <c r="C2132" s="8">
        <f>IFERROR(Datos!C2132,"")</f>
        <v/>
      </c>
      <c r="D2132" s="28">
        <f>IFERROR(IF(AND(ISNUMBER(B2132),ISNUMBER(B2131),B2131&lt;&gt;0),B2132/B2131-1,""),"")</f>
        <v/>
      </c>
      <c r="E2132" s="28">
        <f>IFERROR(IF(AND(ISNUMBER(C2132),ISNUMBER(C2131),C2131&lt;&gt;0),C2132/C2131-1,""),"")</f>
        <v/>
      </c>
      <c r="F2132" s="28">
        <f>IFERROR(D2132-Dashboard!$B$4/252,"")</f>
        <v/>
      </c>
      <c r="G2132" s="28">
        <f>IFERROR(E2132-Dashboard!$B$4/252,"")</f>
        <v/>
      </c>
      <c r="H2132" s="8">
        <f>IFERROR(IF(ISNUMBER(B2132),MAX(B2132,IFERROR(H2131,B2132)),""),"")</f>
        <v/>
      </c>
      <c r="I2132" s="29">
        <f>IFERROR(IF(AND(ISNUMBER(B2132),ISNUMBER(H2132)),B2132/H2132-1,""),"")</f>
        <v/>
      </c>
      <c r="J2132" s="8">
        <f>IFERROR(IF(ISNUMBER(C2132),MAX(C2132,IFERROR(J2131,C2132)),""),"")</f>
        <v/>
      </c>
      <c r="K2132" s="29">
        <f>IFERROR(IF(AND(ISNUMBER(C2132),ISNUMBER(J2132)),C2132/J2132-1,""),"")</f>
        <v/>
      </c>
      <c r="L2132" s="28">
        <f>IFERROR(IF(AND(ISNUMBER(D2132),ISNUMBER(E2132)),D2132-E2132,""),"")</f>
        <v/>
      </c>
    </row>
    <row r="2133">
      <c r="A2133" s="7">
        <f>IFERROR(Datos!A2133,"")</f>
        <v/>
      </c>
      <c r="B2133" s="8">
        <f>IFERROR(Datos!B2133,"")</f>
        <v/>
      </c>
      <c r="C2133" s="8">
        <f>IFERROR(Datos!C2133,"")</f>
        <v/>
      </c>
      <c r="D2133" s="28">
        <f>IFERROR(IF(AND(ISNUMBER(B2133),ISNUMBER(B2132),B2132&lt;&gt;0),B2133/B2132-1,""),"")</f>
        <v/>
      </c>
      <c r="E2133" s="28">
        <f>IFERROR(IF(AND(ISNUMBER(C2133),ISNUMBER(C2132),C2132&lt;&gt;0),C2133/C2132-1,""),"")</f>
        <v/>
      </c>
      <c r="F2133" s="28">
        <f>IFERROR(D2133-Dashboard!$B$4/252,"")</f>
        <v/>
      </c>
      <c r="G2133" s="28">
        <f>IFERROR(E2133-Dashboard!$B$4/252,"")</f>
        <v/>
      </c>
      <c r="H2133" s="8">
        <f>IFERROR(IF(ISNUMBER(B2133),MAX(B2133,IFERROR(H2132,B2133)),""),"")</f>
        <v/>
      </c>
      <c r="I2133" s="29">
        <f>IFERROR(IF(AND(ISNUMBER(B2133),ISNUMBER(H2133)),B2133/H2133-1,""),"")</f>
        <v/>
      </c>
      <c r="J2133" s="8">
        <f>IFERROR(IF(ISNUMBER(C2133),MAX(C2133,IFERROR(J2132,C2133)),""),"")</f>
        <v/>
      </c>
      <c r="K2133" s="29">
        <f>IFERROR(IF(AND(ISNUMBER(C2133),ISNUMBER(J2133)),C2133/J2133-1,""),"")</f>
        <v/>
      </c>
      <c r="L2133" s="28">
        <f>IFERROR(IF(AND(ISNUMBER(D2133),ISNUMBER(E2133)),D2133-E2133,""),"")</f>
        <v/>
      </c>
    </row>
    <row r="2134">
      <c r="A2134" s="7">
        <f>IFERROR(Datos!A2134,"")</f>
        <v/>
      </c>
      <c r="B2134" s="8">
        <f>IFERROR(Datos!B2134,"")</f>
        <v/>
      </c>
      <c r="C2134" s="8">
        <f>IFERROR(Datos!C2134,"")</f>
        <v/>
      </c>
      <c r="D2134" s="28">
        <f>IFERROR(IF(AND(ISNUMBER(B2134),ISNUMBER(B2133),B2133&lt;&gt;0),B2134/B2133-1,""),"")</f>
        <v/>
      </c>
      <c r="E2134" s="28">
        <f>IFERROR(IF(AND(ISNUMBER(C2134),ISNUMBER(C2133),C2133&lt;&gt;0),C2134/C2133-1,""),"")</f>
        <v/>
      </c>
      <c r="F2134" s="28">
        <f>IFERROR(D2134-Dashboard!$B$4/252,"")</f>
        <v/>
      </c>
      <c r="G2134" s="28">
        <f>IFERROR(E2134-Dashboard!$B$4/252,"")</f>
        <v/>
      </c>
      <c r="H2134" s="8">
        <f>IFERROR(IF(ISNUMBER(B2134),MAX(B2134,IFERROR(H2133,B2134)),""),"")</f>
        <v/>
      </c>
      <c r="I2134" s="29">
        <f>IFERROR(IF(AND(ISNUMBER(B2134),ISNUMBER(H2134)),B2134/H2134-1,""),"")</f>
        <v/>
      </c>
      <c r="J2134" s="8">
        <f>IFERROR(IF(ISNUMBER(C2134),MAX(C2134,IFERROR(J2133,C2134)),""),"")</f>
        <v/>
      </c>
      <c r="K2134" s="29">
        <f>IFERROR(IF(AND(ISNUMBER(C2134),ISNUMBER(J2134)),C2134/J2134-1,""),"")</f>
        <v/>
      </c>
      <c r="L2134" s="28">
        <f>IFERROR(IF(AND(ISNUMBER(D2134),ISNUMBER(E2134)),D2134-E2134,""),"")</f>
        <v/>
      </c>
    </row>
    <row r="2135">
      <c r="A2135" s="7">
        <f>IFERROR(Datos!A2135,"")</f>
        <v/>
      </c>
      <c r="B2135" s="8">
        <f>IFERROR(Datos!B2135,"")</f>
        <v/>
      </c>
      <c r="C2135" s="8">
        <f>IFERROR(Datos!C2135,"")</f>
        <v/>
      </c>
      <c r="D2135" s="28">
        <f>IFERROR(IF(AND(ISNUMBER(B2135),ISNUMBER(B2134),B2134&lt;&gt;0),B2135/B2134-1,""),"")</f>
        <v/>
      </c>
      <c r="E2135" s="28">
        <f>IFERROR(IF(AND(ISNUMBER(C2135),ISNUMBER(C2134),C2134&lt;&gt;0),C2135/C2134-1,""),"")</f>
        <v/>
      </c>
      <c r="F2135" s="28">
        <f>IFERROR(D2135-Dashboard!$B$4/252,"")</f>
        <v/>
      </c>
      <c r="G2135" s="28">
        <f>IFERROR(E2135-Dashboard!$B$4/252,"")</f>
        <v/>
      </c>
      <c r="H2135" s="8">
        <f>IFERROR(IF(ISNUMBER(B2135),MAX(B2135,IFERROR(H2134,B2135)),""),"")</f>
        <v/>
      </c>
      <c r="I2135" s="29">
        <f>IFERROR(IF(AND(ISNUMBER(B2135),ISNUMBER(H2135)),B2135/H2135-1,""),"")</f>
        <v/>
      </c>
      <c r="J2135" s="8">
        <f>IFERROR(IF(ISNUMBER(C2135),MAX(C2135,IFERROR(J2134,C2135)),""),"")</f>
        <v/>
      </c>
      <c r="K2135" s="29">
        <f>IFERROR(IF(AND(ISNUMBER(C2135),ISNUMBER(J2135)),C2135/J2135-1,""),"")</f>
        <v/>
      </c>
      <c r="L2135" s="28">
        <f>IFERROR(IF(AND(ISNUMBER(D2135),ISNUMBER(E2135)),D2135-E2135,""),"")</f>
        <v/>
      </c>
    </row>
    <row r="2136">
      <c r="A2136" s="7">
        <f>IFERROR(Datos!A2136,"")</f>
        <v/>
      </c>
      <c r="B2136" s="8">
        <f>IFERROR(Datos!B2136,"")</f>
        <v/>
      </c>
      <c r="C2136" s="8">
        <f>IFERROR(Datos!C2136,"")</f>
        <v/>
      </c>
      <c r="D2136" s="28">
        <f>IFERROR(IF(AND(ISNUMBER(B2136),ISNUMBER(B2135),B2135&lt;&gt;0),B2136/B2135-1,""),"")</f>
        <v/>
      </c>
      <c r="E2136" s="28">
        <f>IFERROR(IF(AND(ISNUMBER(C2136),ISNUMBER(C2135),C2135&lt;&gt;0),C2136/C2135-1,""),"")</f>
        <v/>
      </c>
      <c r="F2136" s="28">
        <f>IFERROR(D2136-Dashboard!$B$4/252,"")</f>
        <v/>
      </c>
      <c r="G2136" s="28">
        <f>IFERROR(E2136-Dashboard!$B$4/252,"")</f>
        <v/>
      </c>
      <c r="H2136" s="8">
        <f>IFERROR(IF(ISNUMBER(B2136),MAX(B2136,IFERROR(H2135,B2136)),""),"")</f>
        <v/>
      </c>
      <c r="I2136" s="29">
        <f>IFERROR(IF(AND(ISNUMBER(B2136),ISNUMBER(H2136)),B2136/H2136-1,""),"")</f>
        <v/>
      </c>
      <c r="J2136" s="8">
        <f>IFERROR(IF(ISNUMBER(C2136),MAX(C2136,IFERROR(J2135,C2136)),""),"")</f>
        <v/>
      </c>
      <c r="K2136" s="29">
        <f>IFERROR(IF(AND(ISNUMBER(C2136),ISNUMBER(J2136)),C2136/J2136-1,""),"")</f>
        <v/>
      </c>
      <c r="L2136" s="28">
        <f>IFERROR(IF(AND(ISNUMBER(D2136),ISNUMBER(E2136)),D2136-E2136,""),"")</f>
        <v/>
      </c>
    </row>
    <row r="2137">
      <c r="A2137" s="7">
        <f>IFERROR(Datos!A2137,"")</f>
        <v/>
      </c>
      <c r="B2137" s="8">
        <f>IFERROR(Datos!B2137,"")</f>
        <v/>
      </c>
      <c r="C2137" s="8">
        <f>IFERROR(Datos!C2137,"")</f>
        <v/>
      </c>
      <c r="D2137" s="28">
        <f>IFERROR(IF(AND(ISNUMBER(B2137),ISNUMBER(B2136),B2136&lt;&gt;0),B2137/B2136-1,""),"")</f>
        <v/>
      </c>
      <c r="E2137" s="28">
        <f>IFERROR(IF(AND(ISNUMBER(C2137),ISNUMBER(C2136),C2136&lt;&gt;0),C2137/C2136-1,""),"")</f>
        <v/>
      </c>
      <c r="F2137" s="28">
        <f>IFERROR(D2137-Dashboard!$B$4/252,"")</f>
        <v/>
      </c>
      <c r="G2137" s="28">
        <f>IFERROR(E2137-Dashboard!$B$4/252,"")</f>
        <v/>
      </c>
      <c r="H2137" s="8">
        <f>IFERROR(IF(ISNUMBER(B2137),MAX(B2137,IFERROR(H2136,B2137)),""),"")</f>
        <v/>
      </c>
      <c r="I2137" s="29">
        <f>IFERROR(IF(AND(ISNUMBER(B2137),ISNUMBER(H2137)),B2137/H2137-1,""),"")</f>
        <v/>
      </c>
      <c r="J2137" s="8">
        <f>IFERROR(IF(ISNUMBER(C2137),MAX(C2137,IFERROR(J2136,C2137)),""),"")</f>
        <v/>
      </c>
      <c r="K2137" s="29">
        <f>IFERROR(IF(AND(ISNUMBER(C2137),ISNUMBER(J2137)),C2137/J2137-1,""),"")</f>
        <v/>
      </c>
      <c r="L2137" s="28">
        <f>IFERROR(IF(AND(ISNUMBER(D2137),ISNUMBER(E2137)),D2137-E2137,""),"")</f>
        <v/>
      </c>
    </row>
    <row r="2138">
      <c r="A2138" s="7">
        <f>IFERROR(Datos!A2138,"")</f>
        <v/>
      </c>
      <c r="B2138" s="8">
        <f>IFERROR(Datos!B2138,"")</f>
        <v/>
      </c>
      <c r="C2138" s="8">
        <f>IFERROR(Datos!C2138,"")</f>
        <v/>
      </c>
      <c r="D2138" s="28">
        <f>IFERROR(IF(AND(ISNUMBER(B2138),ISNUMBER(B2137),B2137&lt;&gt;0),B2138/B2137-1,""),"")</f>
        <v/>
      </c>
      <c r="E2138" s="28">
        <f>IFERROR(IF(AND(ISNUMBER(C2138),ISNUMBER(C2137),C2137&lt;&gt;0),C2138/C2137-1,""),"")</f>
        <v/>
      </c>
      <c r="F2138" s="28">
        <f>IFERROR(D2138-Dashboard!$B$4/252,"")</f>
        <v/>
      </c>
      <c r="G2138" s="28">
        <f>IFERROR(E2138-Dashboard!$B$4/252,"")</f>
        <v/>
      </c>
      <c r="H2138" s="8">
        <f>IFERROR(IF(ISNUMBER(B2138),MAX(B2138,IFERROR(H2137,B2138)),""),"")</f>
        <v/>
      </c>
      <c r="I2138" s="29">
        <f>IFERROR(IF(AND(ISNUMBER(B2138),ISNUMBER(H2138)),B2138/H2138-1,""),"")</f>
        <v/>
      </c>
      <c r="J2138" s="8">
        <f>IFERROR(IF(ISNUMBER(C2138),MAX(C2138,IFERROR(J2137,C2138)),""),"")</f>
        <v/>
      </c>
      <c r="K2138" s="29">
        <f>IFERROR(IF(AND(ISNUMBER(C2138),ISNUMBER(J2138)),C2138/J2138-1,""),"")</f>
        <v/>
      </c>
      <c r="L2138" s="28">
        <f>IFERROR(IF(AND(ISNUMBER(D2138),ISNUMBER(E2138)),D2138-E2138,""),"")</f>
        <v/>
      </c>
    </row>
    <row r="2139">
      <c r="A2139" s="7">
        <f>IFERROR(Datos!A2139,"")</f>
        <v/>
      </c>
      <c r="B2139" s="8">
        <f>IFERROR(Datos!B2139,"")</f>
        <v/>
      </c>
      <c r="C2139" s="8">
        <f>IFERROR(Datos!C2139,"")</f>
        <v/>
      </c>
      <c r="D2139" s="28">
        <f>IFERROR(IF(AND(ISNUMBER(B2139),ISNUMBER(B2138),B2138&lt;&gt;0),B2139/B2138-1,""),"")</f>
        <v/>
      </c>
      <c r="E2139" s="28">
        <f>IFERROR(IF(AND(ISNUMBER(C2139),ISNUMBER(C2138),C2138&lt;&gt;0),C2139/C2138-1,""),"")</f>
        <v/>
      </c>
      <c r="F2139" s="28">
        <f>IFERROR(D2139-Dashboard!$B$4/252,"")</f>
        <v/>
      </c>
      <c r="G2139" s="28">
        <f>IFERROR(E2139-Dashboard!$B$4/252,"")</f>
        <v/>
      </c>
      <c r="H2139" s="8">
        <f>IFERROR(IF(ISNUMBER(B2139),MAX(B2139,IFERROR(H2138,B2139)),""),"")</f>
        <v/>
      </c>
      <c r="I2139" s="29">
        <f>IFERROR(IF(AND(ISNUMBER(B2139),ISNUMBER(H2139)),B2139/H2139-1,""),"")</f>
        <v/>
      </c>
      <c r="J2139" s="8">
        <f>IFERROR(IF(ISNUMBER(C2139),MAX(C2139,IFERROR(J2138,C2139)),""),"")</f>
        <v/>
      </c>
      <c r="K2139" s="29">
        <f>IFERROR(IF(AND(ISNUMBER(C2139),ISNUMBER(J2139)),C2139/J2139-1,""),"")</f>
        <v/>
      </c>
      <c r="L2139" s="28">
        <f>IFERROR(IF(AND(ISNUMBER(D2139),ISNUMBER(E2139)),D2139-E2139,""),"")</f>
        <v/>
      </c>
    </row>
    <row r="2140">
      <c r="A2140" s="7">
        <f>IFERROR(Datos!A2140,"")</f>
        <v/>
      </c>
      <c r="B2140" s="8">
        <f>IFERROR(Datos!B2140,"")</f>
        <v/>
      </c>
      <c r="C2140" s="8">
        <f>IFERROR(Datos!C2140,"")</f>
        <v/>
      </c>
      <c r="D2140" s="28">
        <f>IFERROR(IF(AND(ISNUMBER(B2140),ISNUMBER(B2139),B2139&lt;&gt;0),B2140/B2139-1,""),"")</f>
        <v/>
      </c>
      <c r="E2140" s="28">
        <f>IFERROR(IF(AND(ISNUMBER(C2140),ISNUMBER(C2139),C2139&lt;&gt;0),C2140/C2139-1,""),"")</f>
        <v/>
      </c>
      <c r="F2140" s="28">
        <f>IFERROR(D2140-Dashboard!$B$4/252,"")</f>
        <v/>
      </c>
      <c r="G2140" s="28">
        <f>IFERROR(E2140-Dashboard!$B$4/252,"")</f>
        <v/>
      </c>
      <c r="H2140" s="8">
        <f>IFERROR(IF(ISNUMBER(B2140),MAX(B2140,IFERROR(H2139,B2140)),""),"")</f>
        <v/>
      </c>
      <c r="I2140" s="29">
        <f>IFERROR(IF(AND(ISNUMBER(B2140),ISNUMBER(H2140)),B2140/H2140-1,""),"")</f>
        <v/>
      </c>
      <c r="J2140" s="8">
        <f>IFERROR(IF(ISNUMBER(C2140),MAX(C2140,IFERROR(J2139,C2140)),""),"")</f>
        <v/>
      </c>
      <c r="K2140" s="29">
        <f>IFERROR(IF(AND(ISNUMBER(C2140),ISNUMBER(J2140)),C2140/J2140-1,""),"")</f>
        <v/>
      </c>
      <c r="L2140" s="28">
        <f>IFERROR(IF(AND(ISNUMBER(D2140),ISNUMBER(E2140)),D2140-E2140,""),"")</f>
        <v/>
      </c>
    </row>
    <row r="2141">
      <c r="A2141" s="7">
        <f>IFERROR(Datos!A2141,"")</f>
        <v/>
      </c>
      <c r="B2141" s="8">
        <f>IFERROR(Datos!B2141,"")</f>
        <v/>
      </c>
      <c r="C2141" s="8">
        <f>IFERROR(Datos!C2141,"")</f>
        <v/>
      </c>
      <c r="D2141" s="28">
        <f>IFERROR(IF(AND(ISNUMBER(B2141),ISNUMBER(B2140),B2140&lt;&gt;0),B2141/B2140-1,""),"")</f>
        <v/>
      </c>
      <c r="E2141" s="28">
        <f>IFERROR(IF(AND(ISNUMBER(C2141),ISNUMBER(C2140),C2140&lt;&gt;0),C2141/C2140-1,""),"")</f>
        <v/>
      </c>
      <c r="F2141" s="28">
        <f>IFERROR(D2141-Dashboard!$B$4/252,"")</f>
        <v/>
      </c>
      <c r="G2141" s="28">
        <f>IFERROR(E2141-Dashboard!$B$4/252,"")</f>
        <v/>
      </c>
      <c r="H2141" s="8">
        <f>IFERROR(IF(ISNUMBER(B2141),MAX(B2141,IFERROR(H2140,B2141)),""),"")</f>
        <v/>
      </c>
      <c r="I2141" s="29">
        <f>IFERROR(IF(AND(ISNUMBER(B2141),ISNUMBER(H2141)),B2141/H2141-1,""),"")</f>
        <v/>
      </c>
      <c r="J2141" s="8">
        <f>IFERROR(IF(ISNUMBER(C2141),MAX(C2141,IFERROR(J2140,C2141)),""),"")</f>
        <v/>
      </c>
      <c r="K2141" s="29">
        <f>IFERROR(IF(AND(ISNUMBER(C2141),ISNUMBER(J2141)),C2141/J2141-1,""),"")</f>
        <v/>
      </c>
      <c r="L2141" s="28">
        <f>IFERROR(IF(AND(ISNUMBER(D2141),ISNUMBER(E2141)),D2141-E2141,""),"")</f>
        <v/>
      </c>
    </row>
    <row r="2142">
      <c r="A2142" s="7">
        <f>IFERROR(Datos!A2142,"")</f>
        <v/>
      </c>
      <c r="B2142" s="8">
        <f>IFERROR(Datos!B2142,"")</f>
        <v/>
      </c>
      <c r="C2142" s="8">
        <f>IFERROR(Datos!C2142,"")</f>
        <v/>
      </c>
      <c r="D2142" s="28">
        <f>IFERROR(IF(AND(ISNUMBER(B2142),ISNUMBER(B2141),B2141&lt;&gt;0),B2142/B2141-1,""),"")</f>
        <v/>
      </c>
      <c r="E2142" s="28">
        <f>IFERROR(IF(AND(ISNUMBER(C2142),ISNUMBER(C2141),C2141&lt;&gt;0),C2142/C2141-1,""),"")</f>
        <v/>
      </c>
      <c r="F2142" s="28">
        <f>IFERROR(D2142-Dashboard!$B$4/252,"")</f>
        <v/>
      </c>
      <c r="G2142" s="28">
        <f>IFERROR(E2142-Dashboard!$B$4/252,"")</f>
        <v/>
      </c>
      <c r="H2142" s="8">
        <f>IFERROR(IF(ISNUMBER(B2142),MAX(B2142,IFERROR(H2141,B2142)),""),"")</f>
        <v/>
      </c>
      <c r="I2142" s="29">
        <f>IFERROR(IF(AND(ISNUMBER(B2142),ISNUMBER(H2142)),B2142/H2142-1,""),"")</f>
        <v/>
      </c>
      <c r="J2142" s="8">
        <f>IFERROR(IF(ISNUMBER(C2142),MAX(C2142,IFERROR(J2141,C2142)),""),"")</f>
        <v/>
      </c>
      <c r="K2142" s="29">
        <f>IFERROR(IF(AND(ISNUMBER(C2142),ISNUMBER(J2142)),C2142/J2142-1,""),"")</f>
        <v/>
      </c>
      <c r="L2142" s="28">
        <f>IFERROR(IF(AND(ISNUMBER(D2142),ISNUMBER(E2142)),D2142-E2142,""),"")</f>
        <v/>
      </c>
    </row>
    <row r="2143">
      <c r="A2143" s="7">
        <f>IFERROR(Datos!A2143,"")</f>
        <v/>
      </c>
      <c r="B2143" s="8">
        <f>IFERROR(Datos!B2143,"")</f>
        <v/>
      </c>
      <c r="C2143" s="8">
        <f>IFERROR(Datos!C2143,"")</f>
        <v/>
      </c>
      <c r="D2143" s="28">
        <f>IFERROR(IF(AND(ISNUMBER(B2143),ISNUMBER(B2142),B2142&lt;&gt;0),B2143/B2142-1,""),"")</f>
        <v/>
      </c>
      <c r="E2143" s="28">
        <f>IFERROR(IF(AND(ISNUMBER(C2143),ISNUMBER(C2142),C2142&lt;&gt;0),C2143/C2142-1,""),"")</f>
        <v/>
      </c>
      <c r="F2143" s="28">
        <f>IFERROR(D2143-Dashboard!$B$4/252,"")</f>
        <v/>
      </c>
      <c r="G2143" s="28">
        <f>IFERROR(E2143-Dashboard!$B$4/252,"")</f>
        <v/>
      </c>
      <c r="H2143" s="8">
        <f>IFERROR(IF(ISNUMBER(B2143),MAX(B2143,IFERROR(H2142,B2143)),""),"")</f>
        <v/>
      </c>
      <c r="I2143" s="29">
        <f>IFERROR(IF(AND(ISNUMBER(B2143),ISNUMBER(H2143)),B2143/H2143-1,""),"")</f>
        <v/>
      </c>
      <c r="J2143" s="8">
        <f>IFERROR(IF(ISNUMBER(C2143),MAX(C2143,IFERROR(J2142,C2143)),""),"")</f>
        <v/>
      </c>
      <c r="K2143" s="29">
        <f>IFERROR(IF(AND(ISNUMBER(C2143),ISNUMBER(J2143)),C2143/J2143-1,""),"")</f>
        <v/>
      </c>
      <c r="L2143" s="28">
        <f>IFERROR(IF(AND(ISNUMBER(D2143),ISNUMBER(E2143)),D2143-E2143,""),"")</f>
        <v/>
      </c>
    </row>
    <row r="2144">
      <c r="A2144" s="7">
        <f>IFERROR(Datos!A2144,"")</f>
        <v/>
      </c>
      <c r="B2144" s="8">
        <f>IFERROR(Datos!B2144,"")</f>
        <v/>
      </c>
      <c r="C2144" s="8">
        <f>IFERROR(Datos!C2144,"")</f>
        <v/>
      </c>
      <c r="D2144" s="28">
        <f>IFERROR(IF(AND(ISNUMBER(B2144),ISNUMBER(B2143),B2143&lt;&gt;0),B2144/B2143-1,""),"")</f>
        <v/>
      </c>
      <c r="E2144" s="28">
        <f>IFERROR(IF(AND(ISNUMBER(C2144),ISNUMBER(C2143),C2143&lt;&gt;0),C2144/C2143-1,""),"")</f>
        <v/>
      </c>
      <c r="F2144" s="28">
        <f>IFERROR(D2144-Dashboard!$B$4/252,"")</f>
        <v/>
      </c>
      <c r="G2144" s="28">
        <f>IFERROR(E2144-Dashboard!$B$4/252,"")</f>
        <v/>
      </c>
      <c r="H2144" s="8">
        <f>IFERROR(IF(ISNUMBER(B2144),MAX(B2144,IFERROR(H2143,B2144)),""),"")</f>
        <v/>
      </c>
      <c r="I2144" s="29">
        <f>IFERROR(IF(AND(ISNUMBER(B2144),ISNUMBER(H2144)),B2144/H2144-1,""),"")</f>
        <v/>
      </c>
      <c r="J2144" s="8">
        <f>IFERROR(IF(ISNUMBER(C2144),MAX(C2144,IFERROR(J2143,C2144)),""),"")</f>
        <v/>
      </c>
      <c r="K2144" s="29">
        <f>IFERROR(IF(AND(ISNUMBER(C2144),ISNUMBER(J2144)),C2144/J2144-1,""),"")</f>
        <v/>
      </c>
      <c r="L2144" s="28">
        <f>IFERROR(IF(AND(ISNUMBER(D2144),ISNUMBER(E2144)),D2144-E2144,""),"")</f>
        <v/>
      </c>
    </row>
    <row r="2145">
      <c r="A2145" s="7">
        <f>IFERROR(Datos!A2145,"")</f>
        <v/>
      </c>
      <c r="B2145" s="8">
        <f>IFERROR(Datos!B2145,"")</f>
        <v/>
      </c>
      <c r="C2145" s="8">
        <f>IFERROR(Datos!C2145,"")</f>
        <v/>
      </c>
      <c r="D2145" s="28">
        <f>IFERROR(IF(AND(ISNUMBER(B2145),ISNUMBER(B2144),B2144&lt;&gt;0),B2145/B2144-1,""),"")</f>
        <v/>
      </c>
      <c r="E2145" s="28">
        <f>IFERROR(IF(AND(ISNUMBER(C2145),ISNUMBER(C2144),C2144&lt;&gt;0),C2145/C2144-1,""),"")</f>
        <v/>
      </c>
      <c r="F2145" s="28">
        <f>IFERROR(D2145-Dashboard!$B$4/252,"")</f>
        <v/>
      </c>
      <c r="G2145" s="28">
        <f>IFERROR(E2145-Dashboard!$B$4/252,"")</f>
        <v/>
      </c>
      <c r="H2145" s="8">
        <f>IFERROR(IF(ISNUMBER(B2145),MAX(B2145,IFERROR(H2144,B2145)),""),"")</f>
        <v/>
      </c>
      <c r="I2145" s="29">
        <f>IFERROR(IF(AND(ISNUMBER(B2145),ISNUMBER(H2145)),B2145/H2145-1,""),"")</f>
        <v/>
      </c>
      <c r="J2145" s="8">
        <f>IFERROR(IF(ISNUMBER(C2145),MAX(C2145,IFERROR(J2144,C2145)),""),"")</f>
        <v/>
      </c>
      <c r="K2145" s="29">
        <f>IFERROR(IF(AND(ISNUMBER(C2145),ISNUMBER(J2145)),C2145/J2145-1,""),"")</f>
        <v/>
      </c>
      <c r="L2145" s="28">
        <f>IFERROR(IF(AND(ISNUMBER(D2145),ISNUMBER(E2145)),D2145-E2145,""),"")</f>
        <v/>
      </c>
    </row>
    <row r="2146">
      <c r="A2146" s="7">
        <f>IFERROR(Datos!A2146,"")</f>
        <v/>
      </c>
      <c r="B2146" s="8">
        <f>IFERROR(Datos!B2146,"")</f>
        <v/>
      </c>
      <c r="C2146" s="8">
        <f>IFERROR(Datos!C2146,"")</f>
        <v/>
      </c>
      <c r="D2146" s="28">
        <f>IFERROR(IF(AND(ISNUMBER(B2146),ISNUMBER(B2145),B2145&lt;&gt;0),B2146/B2145-1,""),"")</f>
        <v/>
      </c>
      <c r="E2146" s="28">
        <f>IFERROR(IF(AND(ISNUMBER(C2146),ISNUMBER(C2145),C2145&lt;&gt;0),C2146/C2145-1,""),"")</f>
        <v/>
      </c>
      <c r="F2146" s="28">
        <f>IFERROR(D2146-Dashboard!$B$4/252,"")</f>
        <v/>
      </c>
      <c r="G2146" s="28">
        <f>IFERROR(E2146-Dashboard!$B$4/252,"")</f>
        <v/>
      </c>
      <c r="H2146" s="8">
        <f>IFERROR(IF(ISNUMBER(B2146),MAX(B2146,IFERROR(H2145,B2146)),""),"")</f>
        <v/>
      </c>
      <c r="I2146" s="29">
        <f>IFERROR(IF(AND(ISNUMBER(B2146),ISNUMBER(H2146)),B2146/H2146-1,""),"")</f>
        <v/>
      </c>
      <c r="J2146" s="8">
        <f>IFERROR(IF(ISNUMBER(C2146),MAX(C2146,IFERROR(J2145,C2146)),""),"")</f>
        <v/>
      </c>
      <c r="K2146" s="29">
        <f>IFERROR(IF(AND(ISNUMBER(C2146),ISNUMBER(J2146)),C2146/J2146-1,""),"")</f>
        <v/>
      </c>
      <c r="L2146" s="28">
        <f>IFERROR(IF(AND(ISNUMBER(D2146),ISNUMBER(E2146)),D2146-E2146,""),"")</f>
        <v/>
      </c>
    </row>
    <row r="2147">
      <c r="A2147" s="7">
        <f>IFERROR(Datos!A2147,"")</f>
        <v/>
      </c>
      <c r="B2147" s="8">
        <f>IFERROR(Datos!B2147,"")</f>
        <v/>
      </c>
      <c r="C2147" s="8">
        <f>IFERROR(Datos!C2147,"")</f>
        <v/>
      </c>
      <c r="D2147" s="28">
        <f>IFERROR(IF(AND(ISNUMBER(B2147),ISNUMBER(B2146),B2146&lt;&gt;0),B2147/B2146-1,""),"")</f>
        <v/>
      </c>
      <c r="E2147" s="28">
        <f>IFERROR(IF(AND(ISNUMBER(C2147),ISNUMBER(C2146),C2146&lt;&gt;0),C2147/C2146-1,""),"")</f>
        <v/>
      </c>
      <c r="F2147" s="28">
        <f>IFERROR(D2147-Dashboard!$B$4/252,"")</f>
        <v/>
      </c>
      <c r="G2147" s="28">
        <f>IFERROR(E2147-Dashboard!$B$4/252,"")</f>
        <v/>
      </c>
      <c r="H2147" s="8">
        <f>IFERROR(IF(ISNUMBER(B2147),MAX(B2147,IFERROR(H2146,B2147)),""),"")</f>
        <v/>
      </c>
      <c r="I2147" s="29">
        <f>IFERROR(IF(AND(ISNUMBER(B2147),ISNUMBER(H2147)),B2147/H2147-1,""),"")</f>
        <v/>
      </c>
      <c r="J2147" s="8">
        <f>IFERROR(IF(ISNUMBER(C2147),MAX(C2147,IFERROR(J2146,C2147)),""),"")</f>
        <v/>
      </c>
      <c r="K2147" s="29">
        <f>IFERROR(IF(AND(ISNUMBER(C2147),ISNUMBER(J2147)),C2147/J2147-1,""),"")</f>
        <v/>
      </c>
      <c r="L2147" s="28">
        <f>IFERROR(IF(AND(ISNUMBER(D2147),ISNUMBER(E2147)),D2147-E2147,""),"")</f>
        <v/>
      </c>
    </row>
    <row r="2148">
      <c r="A2148" s="7">
        <f>IFERROR(Datos!A2148,"")</f>
        <v/>
      </c>
      <c r="B2148" s="8">
        <f>IFERROR(Datos!B2148,"")</f>
        <v/>
      </c>
      <c r="C2148" s="8">
        <f>IFERROR(Datos!C2148,"")</f>
        <v/>
      </c>
      <c r="D2148" s="28">
        <f>IFERROR(IF(AND(ISNUMBER(B2148),ISNUMBER(B2147),B2147&lt;&gt;0),B2148/B2147-1,""),"")</f>
        <v/>
      </c>
      <c r="E2148" s="28">
        <f>IFERROR(IF(AND(ISNUMBER(C2148),ISNUMBER(C2147),C2147&lt;&gt;0),C2148/C2147-1,""),"")</f>
        <v/>
      </c>
      <c r="F2148" s="28">
        <f>IFERROR(D2148-Dashboard!$B$4/252,"")</f>
        <v/>
      </c>
      <c r="G2148" s="28">
        <f>IFERROR(E2148-Dashboard!$B$4/252,"")</f>
        <v/>
      </c>
      <c r="H2148" s="8">
        <f>IFERROR(IF(ISNUMBER(B2148),MAX(B2148,IFERROR(H2147,B2148)),""),"")</f>
        <v/>
      </c>
      <c r="I2148" s="29">
        <f>IFERROR(IF(AND(ISNUMBER(B2148),ISNUMBER(H2148)),B2148/H2148-1,""),"")</f>
        <v/>
      </c>
      <c r="J2148" s="8">
        <f>IFERROR(IF(ISNUMBER(C2148),MAX(C2148,IFERROR(J2147,C2148)),""),"")</f>
        <v/>
      </c>
      <c r="K2148" s="29">
        <f>IFERROR(IF(AND(ISNUMBER(C2148),ISNUMBER(J2148)),C2148/J2148-1,""),"")</f>
        <v/>
      </c>
      <c r="L2148" s="28">
        <f>IFERROR(IF(AND(ISNUMBER(D2148),ISNUMBER(E2148)),D2148-E2148,""),"")</f>
        <v/>
      </c>
    </row>
    <row r="2149">
      <c r="A2149" s="7">
        <f>IFERROR(Datos!A2149,"")</f>
        <v/>
      </c>
      <c r="B2149" s="8">
        <f>IFERROR(Datos!B2149,"")</f>
        <v/>
      </c>
      <c r="C2149" s="8">
        <f>IFERROR(Datos!C2149,"")</f>
        <v/>
      </c>
      <c r="D2149" s="28">
        <f>IFERROR(IF(AND(ISNUMBER(B2149),ISNUMBER(B2148),B2148&lt;&gt;0),B2149/B2148-1,""),"")</f>
        <v/>
      </c>
      <c r="E2149" s="28">
        <f>IFERROR(IF(AND(ISNUMBER(C2149),ISNUMBER(C2148),C2148&lt;&gt;0),C2149/C2148-1,""),"")</f>
        <v/>
      </c>
      <c r="F2149" s="28">
        <f>IFERROR(D2149-Dashboard!$B$4/252,"")</f>
        <v/>
      </c>
      <c r="G2149" s="28">
        <f>IFERROR(E2149-Dashboard!$B$4/252,"")</f>
        <v/>
      </c>
      <c r="H2149" s="8">
        <f>IFERROR(IF(ISNUMBER(B2149),MAX(B2149,IFERROR(H2148,B2149)),""),"")</f>
        <v/>
      </c>
      <c r="I2149" s="29">
        <f>IFERROR(IF(AND(ISNUMBER(B2149),ISNUMBER(H2149)),B2149/H2149-1,""),"")</f>
        <v/>
      </c>
      <c r="J2149" s="8">
        <f>IFERROR(IF(ISNUMBER(C2149),MAX(C2149,IFERROR(J2148,C2149)),""),"")</f>
        <v/>
      </c>
      <c r="K2149" s="29">
        <f>IFERROR(IF(AND(ISNUMBER(C2149),ISNUMBER(J2149)),C2149/J2149-1,""),"")</f>
        <v/>
      </c>
      <c r="L2149" s="28">
        <f>IFERROR(IF(AND(ISNUMBER(D2149),ISNUMBER(E2149)),D2149-E2149,""),"")</f>
        <v/>
      </c>
    </row>
    <row r="2150">
      <c r="A2150" s="7">
        <f>IFERROR(Datos!A2150,"")</f>
        <v/>
      </c>
      <c r="B2150" s="8">
        <f>IFERROR(Datos!B2150,"")</f>
        <v/>
      </c>
      <c r="C2150" s="8">
        <f>IFERROR(Datos!C2150,"")</f>
        <v/>
      </c>
      <c r="D2150" s="28">
        <f>IFERROR(IF(AND(ISNUMBER(B2150),ISNUMBER(B2149),B2149&lt;&gt;0),B2150/B2149-1,""),"")</f>
        <v/>
      </c>
      <c r="E2150" s="28">
        <f>IFERROR(IF(AND(ISNUMBER(C2150),ISNUMBER(C2149),C2149&lt;&gt;0),C2150/C2149-1,""),"")</f>
        <v/>
      </c>
      <c r="F2150" s="28">
        <f>IFERROR(D2150-Dashboard!$B$4/252,"")</f>
        <v/>
      </c>
      <c r="G2150" s="28">
        <f>IFERROR(E2150-Dashboard!$B$4/252,"")</f>
        <v/>
      </c>
      <c r="H2150" s="8">
        <f>IFERROR(IF(ISNUMBER(B2150),MAX(B2150,IFERROR(H2149,B2150)),""),"")</f>
        <v/>
      </c>
      <c r="I2150" s="29">
        <f>IFERROR(IF(AND(ISNUMBER(B2150),ISNUMBER(H2150)),B2150/H2150-1,""),"")</f>
        <v/>
      </c>
      <c r="J2150" s="8">
        <f>IFERROR(IF(ISNUMBER(C2150),MAX(C2150,IFERROR(J2149,C2150)),""),"")</f>
        <v/>
      </c>
      <c r="K2150" s="29">
        <f>IFERROR(IF(AND(ISNUMBER(C2150),ISNUMBER(J2150)),C2150/J2150-1,""),"")</f>
        <v/>
      </c>
      <c r="L2150" s="28">
        <f>IFERROR(IF(AND(ISNUMBER(D2150),ISNUMBER(E2150)),D2150-E2150,""),"")</f>
        <v/>
      </c>
    </row>
    <row r="2151">
      <c r="A2151" s="7">
        <f>IFERROR(Datos!A2151,"")</f>
        <v/>
      </c>
      <c r="B2151" s="8">
        <f>IFERROR(Datos!B2151,"")</f>
        <v/>
      </c>
      <c r="C2151" s="8">
        <f>IFERROR(Datos!C2151,"")</f>
        <v/>
      </c>
      <c r="D2151" s="28">
        <f>IFERROR(IF(AND(ISNUMBER(B2151),ISNUMBER(B2150),B2150&lt;&gt;0),B2151/B2150-1,""),"")</f>
        <v/>
      </c>
      <c r="E2151" s="28">
        <f>IFERROR(IF(AND(ISNUMBER(C2151),ISNUMBER(C2150),C2150&lt;&gt;0),C2151/C2150-1,""),"")</f>
        <v/>
      </c>
      <c r="F2151" s="28">
        <f>IFERROR(D2151-Dashboard!$B$4/252,"")</f>
        <v/>
      </c>
      <c r="G2151" s="28">
        <f>IFERROR(E2151-Dashboard!$B$4/252,"")</f>
        <v/>
      </c>
      <c r="H2151" s="8">
        <f>IFERROR(IF(ISNUMBER(B2151),MAX(B2151,IFERROR(H2150,B2151)),""),"")</f>
        <v/>
      </c>
      <c r="I2151" s="29">
        <f>IFERROR(IF(AND(ISNUMBER(B2151),ISNUMBER(H2151)),B2151/H2151-1,""),"")</f>
        <v/>
      </c>
      <c r="J2151" s="8">
        <f>IFERROR(IF(ISNUMBER(C2151),MAX(C2151,IFERROR(J2150,C2151)),""),"")</f>
        <v/>
      </c>
      <c r="K2151" s="29">
        <f>IFERROR(IF(AND(ISNUMBER(C2151),ISNUMBER(J2151)),C2151/J2151-1,""),"")</f>
        <v/>
      </c>
      <c r="L2151" s="28">
        <f>IFERROR(IF(AND(ISNUMBER(D2151),ISNUMBER(E2151)),D2151-E2151,""),"")</f>
        <v/>
      </c>
    </row>
    <row r="2152">
      <c r="A2152" s="7">
        <f>IFERROR(Datos!A2152,"")</f>
        <v/>
      </c>
      <c r="B2152" s="8">
        <f>IFERROR(Datos!B2152,"")</f>
        <v/>
      </c>
      <c r="C2152" s="8">
        <f>IFERROR(Datos!C2152,"")</f>
        <v/>
      </c>
      <c r="D2152" s="28">
        <f>IFERROR(IF(AND(ISNUMBER(B2152),ISNUMBER(B2151),B2151&lt;&gt;0),B2152/B2151-1,""),"")</f>
        <v/>
      </c>
      <c r="E2152" s="28">
        <f>IFERROR(IF(AND(ISNUMBER(C2152),ISNUMBER(C2151),C2151&lt;&gt;0),C2152/C2151-1,""),"")</f>
        <v/>
      </c>
      <c r="F2152" s="28">
        <f>IFERROR(D2152-Dashboard!$B$4/252,"")</f>
        <v/>
      </c>
      <c r="G2152" s="28">
        <f>IFERROR(E2152-Dashboard!$B$4/252,"")</f>
        <v/>
      </c>
      <c r="H2152" s="8">
        <f>IFERROR(IF(ISNUMBER(B2152),MAX(B2152,IFERROR(H2151,B2152)),""),"")</f>
        <v/>
      </c>
      <c r="I2152" s="29">
        <f>IFERROR(IF(AND(ISNUMBER(B2152),ISNUMBER(H2152)),B2152/H2152-1,""),"")</f>
        <v/>
      </c>
      <c r="J2152" s="8">
        <f>IFERROR(IF(ISNUMBER(C2152),MAX(C2152,IFERROR(J2151,C2152)),""),"")</f>
        <v/>
      </c>
      <c r="K2152" s="29">
        <f>IFERROR(IF(AND(ISNUMBER(C2152),ISNUMBER(J2152)),C2152/J2152-1,""),"")</f>
        <v/>
      </c>
      <c r="L2152" s="28">
        <f>IFERROR(IF(AND(ISNUMBER(D2152),ISNUMBER(E2152)),D2152-E2152,""),"")</f>
        <v/>
      </c>
    </row>
    <row r="2153">
      <c r="A2153" s="7">
        <f>IFERROR(Datos!A2153,"")</f>
        <v/>
      </c>
      <c r="B2153" s="8">
        <f>IFERROR(Datos!B2153,"")</f>
        <v/>
      </c>
      <c r="C2153" s="8">
        <f>IFERROR(Datos!C2153,"")</f>
        <v/>
      </c>
      <c r="D2153" s="28">
        <f>IFERROR(IF(AND(ISNUMBER(B2153),ISNUMBER(B2152),B2152&lt;&gt;0),B2153/B2152-1,""),"")</f>
        <v/>
      </c>
      <c r="E2153" s="28">
        <f>IFERROR(IF(AND(ISNUMBER(C2153),ISNUMBER(C2152),C2152&lt;&gt;0),C2153/C2152-1,""),"")</f>
        <v/>
      </c>
      <c r="F2153" s="28">
        <f>IFERROR(D2153-Dashboard!$B$4/252,"")</f>
        <v/>
      </c>
      <c r="G2153" s="28">
        <f>IFERROR(E2153-Dashboard!$B$4/252,"")</f>
        <v/>
      </c>
      <c r="H2153" s="8">
        <f>IFERROR(IF(ISNUMBER(B2153),MAX(B2153,IFERROR(H2152,B2153)),""),"")</f>
        <v/>
      </c>
      <c r="I2153" s="29">
        <f>IFERROR(IF(AND(ISNUMBER(B2153),ISNUMBER(H2153)),B2153/H2153-1,""),"")</f>
        <v/>
      </c>
      <c r="J2153" s="8">
        <f>IFERROR(IF(ISNUMBER(C2153),MAX(C2153,IFERROR(J2152,C2153)),""),"")</f>
        <v/>
      </c>
      <c r="K2153" s="29">
        <f>IFERROR(IF(AND(ISNUMBER(C2153),ISNUMBER(J2153)),C2153/J2153-1,""),"")</f>
        <v/>
      </c>
      <c r="L2153" s="28">
        <f>IFERROR(IF(AND(ISNUMBER(D2153),ISNUMBER(E2153)),D2153-E2153,""),"")</f>
        <v/>
      </c>
    </row>
    <row r="2154">
      <c r="A2154" s="7">
        <f>IFERROR(Datos!A2154,"")</f>
        <v/>
      </c>
      <c r="B2154" s="8">
        <f>IFERROR(Datos!B2154,"")</f>
        <v/>
      </c>
      <c r="C2154" s="8">
        <f>IFERROR(Datos!C2154,"")</f>
        <v/>
      </c>
      <c r="D2154" s="28">
        <f>IFERROR(IF(AND(ISNUMBER(B2154),ISNUMBER(B2153),B2153&lt;&gt;0),B2154/B2153-1,""),"")</f>
        <v/>
      </c>
      <c r="E2154" s="28">
        <f>IFERROR(IF(AND(ISNUMBER(C2154),ISNUMBER(C2153),C2153&lt;&gt;0),C2154/C2153-1,""),"")</f>
        <v/>
      </c>
      <c r="F2154" s="28">
        <f>IFERROR(D2154-Dashboard!$B$4/252,"")</f>
        <v/>
      </c>
      <c r="G2154" s="28">
        <f>IFERROR(E2154-Dashboard!$B$4/252,"")</f>
        <v/>
      </c>
      <c r="H2154" s="8">
        <f>IFERROR(IF(ISNUMBER(B2154),MAX(B2154,IFERROR(H2153,B2154)),""),"")</f>
        <v/>
      </c>
      <c r="I2154" s="29">
        <f>IFERROR(IF(AND(ISNUMBER(B2154),ISNUMBER(H2154)),B2154/H2154-1,""),"")</f>
        <v/>
      </c>
      <c r="J2154" s="8">
        <f>IFERROR(IF(ISNUMBER(C2154),MAX(C2154,IFERROR(J2153,C2154)),""),"")</f>
        <v/>
      </c>
      <c r="K2154" s="29">
        <f>IFERROR(IF(AND(ISNUMBER(C2154),ISNUMBER(J2154)),C2154/J2154-1,""),"")</f>
        <v/>
      </c>
      <c r="L2154" s="28">
        <f>IFERROR(IF(AND(ISNUMBER(D2154),ISNUMBER(E2154)),D2154-E2154,""),"")</f>
        <v/>
      </c>
    </row>
    <row r="2155">
      <c r="A2155" s="7">
        <f>IFERROR(Datos!A2155,"")</f>
        <v/>
      </c>
      <c r="B2155" s="8">
        <f>IFERROR(Datos!B2155,"")</f>
        <v/>
      </c>
      <c r="C2155" s="8">
        <f>IFERROR(Datos!C2155,"")</f>
        <v/>
      </c>
      <c r="D2155" s="28">
        <f>IFERROR(IF(AND(ISNUMBER(B2155),ISNUMBER(B2154),B2154&lt;&gt;0),B2155/B2154-1,""),"")</f>
        <v/>
      </c>
      <c r="E2155" s="28">
        <f>IFERROR(IF(AND(ISNUMBER(C2155),ISNUMBER(C2154),C2154&lt;&gt;0),C2155/C2154-1,""),"")</f>
        <v/>
      </c>
      <c r="F2155" s="28">
        <f>IFERROR(D2155-Dashboard!$B$4/252,"")</f>
        <v/>
      </c>
      <c r="G2155" s="28">
        <f>IFERROR(E2155-Dashboard!$B$4/252,"")</f>
        <v/>
      </c>
      <c r="H2155" s="8">
        <f>IFERROR(IF(ISNUMBER(B2155),MAX(B2155,IFERROR(H2154,B2155)),""),"")</f>
        <v/>
      </c>
      <c r="I2155" s="29">
        <f>IFERROR(IF(AND(ISNUMBER(B2155),ISNUMBER(H2155)),B2155/H2155-1,""),"")</f>
        <v/>
      </c>
      <c r="J2155" s="8">
        <f>IFERROR(IF(ISNUMBER(C2155),MAX(C2155,IFERROR(J2154,C2155)),""),"")</f>
        <v/>
      </c>
      <c r="K2155" s="29">
        <f>IFERROR(IF(AND(ISNUMBER(C2155),ISNUMBER(J2155)),C2155/J2155-1,""),"")</f>
        <v/>
      </c>
      <c r="L2155" s="28">
        <f>IFERROR(IF(AND(ISNUMBER(D2155),ISNUMBER(E2155)),D2155-E2155,""),"")</f>
        <v/>
      </c>
    </row>
    <row r="2156">
      <c r="A2156" s="7">
        <f>IFERROR(Datos!A2156,"")</f>
        <v/>
      </c>
      <c r="B2156" s="8">
        <f>IFERROR(Datos!B2156,"")</f>
        <v/>
      </c>
      <c r="C2156" s="8">
        <f>IFERROR(Datos!C2156,"")</f>
        <v/>
      </c>
      <c r="D2156" s="28">
        <f>IFERROR(IF(AND(ISNUMBER(B2156),ISNUMBER(B2155),B2155&lt;&gt;0),B2156/B2155-1,""),"")</f>
        <v/>
      </c>
      <c r="E2156" s="28">
        <f>IFERROR(IF(AND(ISNUMBER(C2156),ISNUMBER(C2155),C2155&lt;&gt;0),C2156/C2155-1,""),"")</f>
        <v/>
      </c>
      <c r="F2156" s="28">
        <f>IFERROR(D2156-Dashboard!$B$4/252,"")</f>
        <v/>
      </c>
      <c r="G2156" s="28">
        <f>IFERROR(E2156-Dashboard!$B$4/252,"")</f>
        <v/>
      </c>
      <c r="H2156" s="8">
        <f>IFERROR(IF(ISNUMBER(B2156),MAX(B2156,IFERROR(H2155,B2156)),""),"")</f>
        <v/>
      </c>
      <c r="I2156" s="29">
        <f>IFERROR(IF(AND(ISNUMBER(B2156),ISNUMBER(H2156)),B2156/H2156-1,""),"")</f>
        <v/>
      </c>
      <c r="J2156" s="8">
        <f>IFERROR(IF(ISNUMBER(C2156),MAX(C2156,IFERROR(J2155,C2156)),""),"")</f>
        <v/>
      </c>
      <c r="K2156" s="29">
        <f>IFERROR(IF(AND(ISNUMBER(C2156),ISNUMBER(J2156)),C2156/J2156-1,""),"")</f>
        <v/>
      </c>
      <c r="L2156" s="28">
        <f>IFERROR(IF(AND(ISNUMBER(D2156),ISNUMBER(E2156)),D2156-E2156,""),"")</f>
        <v/>
      </c>
    </row>
    <row r="2157">
      <c r="A2157" s="7">
        <f>IFERROR(Datos!A2157,"")</f>
        <v/>
      </c>
      <c r="B2157" s="8">
        <f>IFERROR(Datos!B2157,"")</f>
        <v/>
      </c>
      <c r="C2157" s="8">
        <f>IFERROR(Datos!C2157,"")</f>
        <v/>
      </c>
      <c r="D2157" s="28">
        <f>IFERROR(IF(AND(ISNUMBER(B2157),ISNUMBER(B2156),B2156&lt;&gt;0),B2157/B2156-1,""),"")</f>
        <v/>
      </c>
      <c r="E2157" s="28">
        <f>IFERROR(IF(AND(ISNUMBER(C2157),ISNUMBER(C2156),C2156&lt;&gt;0),C2157/C2156-1,""),"")</f>
        <v/>
      </c>
      <c r="F2157" s="28">
        <f>IFERROR(D2157-Dashboard!$B$4/252,"")</f>
        <v/>
      </c>
      <c r="G2157" s="28">
        <f>IFERROR(E2157-Dashboard!$B$4/252,"")</f>
        <v/>
      </c>
      <c r="H2157" s="8">
        <f>IFERROR(IF(ISNUMBER(B2157),MAX(B2157,IFERROR(H2156,B2157)),""),"")</f>
        <v/>
      </c>
      <c r="I2157" s="29">
        <f>IFERROR(IF(AND(ISNUMBER(B2157),ISNUMBER(H2157)),B2157/H2157-1,""),"")</f>
        <v/>
      </c>
      <c r="J2157" s="8">
        <f>IFERROR(IF(ISNUMBER(C2157),MAX(C2157,IFERROR(J2156,C2157)),""),"")</f>
        <v/>
      </c>
      <c r="K2157" s="29">
        <f>IFERROR(IF(AND(ISNUMBER(C2157),ISNUMBER(J2157)),C2157/J2157-1,""),"")</f>
        <v/>
      </c>
      <c r="L2157" s="28">
        <f>IFERROR(IF(AND(ISNUMBER(D2157),ISNUMBER(E2157)),D2157-E2157,""),"")</f>
        <v/>
      </c>
    </row>
    <row r="2158">
      <c r="A2158" s="7">
        <f>IFERROR(Datos!A2158,"")</f>
        <v/>
      </c>
      <c r="B2158" s="8">
        <f>IFERROR(Datos!B2158,"")</f>
        <v/>
      </c>
      <c r="C2158" s="8">
        <f>IFERROR(Datos!C2158,"")</f>
        <v/>
      </c>
      <c r="D2158" s="28">
        <f>IFERROR(IF(AND(ISNUMBER(B2158),ISNUMBER(B2157),B2157&lt;&gt;0),B2158/B2157-1,""),"")</f>
        <v/>
      </c>
      <c r="E2158" s="28">
        <f>IFERROR(IF(AND(ISNUMBER(C2158),ISNUMBER(C2157),C2157&lt;&gt;0),C2158/C2157-1,""),"")</f>
        <v/>
      </c>
      <c r="F2158" s="28">
        <f>IFERROR(D2158-Dashboard!$B$4/252,"")</f>
        <v/>
      </c>
      <c r="G2158" s="28">
        <f>IFERROR(E2158-Dashboard!$B$4/252,"")</f>
        <v/>
      </c>
      <c r="H2158" s="8">
        <f>IFERROR(IF(ISNUMBER(B2158),MAX(B2158,IFERROR(H2157,B2158)),""),"")</f>
        <v/>
      </c>
      <c r="I2158" s="29">
        <f>IFERROR(IF(AND(ISNUMBER(B2158),ISNUMBER(H2158)),B2158/H2158-1,""),"")</f>
        <v/>
      </c>
      <c r="J2158" s="8">
        <f>IFERROR(IF(ISNUMBER(C2158),MAX(C2158,IFERROR(J2157,C2158)),""),"")</f>
        <v/>
      </c>
      <c r="K2158" s="29">
        <f>IFERROR(IF(AND(ISNUMBER(C2158),ISNUMBER(J2158)),C2158/J2158-1,""),"")</f>
        <v/>
      </c>
      <c r="L2158" s="28">
        <f>IFERROR(IF(AND(ISNUMBER(D2158),ISNUMBER(E2158)),D2158-E2158,""),"")</f>
        <v/>
      </c>
    </row>
    <row r="2159">
      <c r="A2159" s="7">
        <f>IFERROR(Datos!A2159,"")</f>
        <v/>
      </c>
      <c r="B2159" s="8">
        <f>IFERROR(Datos!B2159,"")</f>
        <v/>
      </c>
      <c r="C2159" s="8">
        <f>IFERROR(Datos!C2159,"")</f>
        <v/>
      </c>
      <c r="D2159" s="28">
        <f>IFERROR(IF(AND(ISNUMBER(B2159),ISNUMBER(B2158),B2158&lt;&gt;0),B2159/B2158-1,""),"")</f>
        <v/>
      </c>
      <c r="E2159" s="28">
        <f>IFERROR(IF(AND(ISNUMBER(C2159),ISNUMBER(C2158),C2158&lt;&gt;0),C2159/C2158-1,""),"")</f>
        <v/>
      </c>
      <c r="F2159" s="28">
        <f>IFERROR(D2159-Dashboard!$B$4/252,"")</f>
        <v/>
      </c>
      <c r="G2159" s="28">
        <f>IFERROR(E2159-Dashboard!$B$4/252,"")</f>
        <v/>
      </c>
      <c r="H2159" s="8">
        <f>IFERROR(IF(ISNUMBER(B2159),MAX(B2159,IFERROR(H2158,B2159)),""),"")</f>
        <v/>
      </c>
      <c r="I2159" s="29">
        <f>IFERROR(IF(AND(ISNUMBER(B2159),ISNUMBER(H2159)),B2159/H2159-1,""),"")</f>
        <v/>
      </c>
      <c r="J2159" s="8">
        <f>IFERROR(IF(ISNUMBER(C2159),MAX(C2159,IFERROR(J2158,C2159)),""),"")</f>
        <v/>
      </c>
      <c r="K2159" s="29">
        <f>IFERROR(IF(AND(ISNUMBER(C2159),ISNUMBER(J2159)),C2159/J2159-1,""),"")</f>
        <v/>
      </c>
      <c r="L2159" s="28">
        <f>IFERROR(IF(AND(ISNUMBER(D2159),ISNUMBER(E2159)),D2159-E2159,""),"")</f>
        <v/>
      </c>
    </row>
    <row r="2160">
      <c r="A2160" s="7">
        <f>IFERROR(Datos!A2160,"")</f>
        <v/>
      </c>
      <c r="B2160" s="8">
        <f>IFERROR(Datos!B2160,"")</f>
        <v/>
      </c>
      <c r="C2160" s="8">
        <f>IFERROR(Datos!C2160,"")</f>
        <v/>
      </c>
      <c r="D2160" s="28">
        <f>IFERROR(IF(AND(ISNUMBER(B2160),ISNUMBER(B2159),B2159&lt;&gt;0),B2160/B2159-1,""),"")</f>
        <v/>
      </c>
      <c r="E2160" s="28">
        <f>IFERROR(IF(AND(ISNUMBER(C2160),ISNUMBER(C2159),C2159&lt;&gt;0),C2160/C2159-1,""),"")</f>
        <v/>
      </c>
      <c r="F2160" s="28">
        <f>IFERROR(D2160-Dashboard!$B$4/252,"")</f>
        <v/>
      </c>
      <c r="G2160" s="28">
        <f>IFERROR(E2160-Dashboard!$B$4/252,"")</f>
        <v/>
      </c>
      <c r="H2160" s="8">
        <f>IFERROR(IF(ISNUMBER(B2160),MAX(B2160,IFERROR(H2159,B2160)),""),"")</f>
        <v/>
      </c>
      <c r="I2160" s="29">
        <f>IFERROR(IF(AND(ISNUMBER(B2160),ISNUMBER(H2160)),B2160/H2160-1,""),"")</f>
        <v/>
      </c>
      <c r="J2160" s="8">
        <f>IFERROR(IF(ISNUMBER(C2160),MAX(C2160,IFERROR(J2159,C2160)),""),"")</f>
        <v/>
      </c>
      <c r="K2160" s="29">
        <f>IFERROR(IF(AND(ISNUMBER(C2160),ISNUMBER(J2160)),C2160/J2160-1,""),"")</f>
        <v/>
      </c>
      <c r="L2160" s="28">
        <f>IFERROR(IF(AND(ISNUMBER(D2160),ISNUMBER(E2160)),D2160-E2160,""),"")</f>
        <v/>
      </c>
    </row>
    <row r="2161">
      <c r="A2161" s="7">
        <f>IFERROR(Datos!A2161,"")</f>
        <v/>
      </c>
      <c r="B2161" s="8">
        <f>IFERROR(Datos!B2161,"")</f>
        <v/>
      </c>
      <c r="C2161" s="8">
        <f>IFERROR(Datos!C2161,"")</f>
        <v/>
      </c>
      <c r="D2161" s="28">
        <f>IFERROR(IF(AND(ISNUMBER(B2161),ISNUMBER(B2160),B2160&lt;&gt;0),B2161/B2160-1,""),"")</f>
        <v/>
      </c>
      <c r="E2161" s="28">
        <f>IFERROR(IF(AND(ISNUMBER(C2161),ISNUMBER(C2160),C2160&lt;&gt;0),C2161/C2160-1,""),"")</f>
        <v/>
      </c>
      <c r="F2161" s="28">
        <f>IFERROR(D2161-Dashboard!$B$4/252,"")</f>
        <v/>
      </c>
      <c r="G2161" s="28">
        <f>IFERROR(E2161-Dashboard!$B$4/252,"")</f>
        <v/>
      </c>
      <c r="H2161" s="8">
        <f>IFERROR(IF(ISNUMBER(B2161),MAX(B2161,IFERROR(H2160,B2161)),""),"")</f>
        <v/>
      </c>
      <c r="I2161" s="29">
        <f>IFERROR(IF(AND(ISNUMBER(B2161),ISNUMBER(H2161)),B2161/H2161-1,""),"")</f>
        <v/>
      </c>
      <c r="J2161" s="8">
        <f>IFERROR(IF(ISNUMBER(C2161),MAX(C2161,IFERROR(J2160,C2161)),""),"")</f>
        <v/>
      </c>
      <c r="K2161" s="29">
        <f>IFERROR(IF(AND(ISNUMBER(C2161),ISNUMBER(J2161)),C2161/J2161-1,""),"")</f>
        <v/>
      </c>
      <c r="L2161" s="28">
        <f>IFERROR(IF(AND(ISNUMBER(D2161),ISNUMBER(E2161)),D2161-E2161,""),"")</f>
        <v/>
      </c>
    </row>
    <row r="2162">
      <c r="A2162" s="7">
        <f>IFERROR(Datos!A2162,"")</f>
        <v/>
      </c>
      <c r="B2162" s="8">
        <f>IFERROR(Datos!B2162,"")</f>
        <v/>
      </c>
      <c r="C2162" s="8">
        <f>IFERROR(Datos!C2162,"")</f>
        <v/>
      </c>
      <c r="D2162" s="28">
        <f>IFERROR(IF(AND(ISNUMBER(B2162),ISNUMBER(B2161),B2161&lt;&gt;0),B2162/B2161-1,""),"")</f>
        <v/>
      </c>
      <c r="E2162" s="28">
        <f>IFERROR(IF(AND(ISNUMBER(C2162),ISNUMBER(C2161),C2161&lt;&gt;0),C2162/C2161-1,""),"")</f>
        <v/>
      </c>
      <c r="F2162" s="28">
        <f>IFERROR(D2162-Dashboard!$B$4/252,"")</f>
        <v/>
      </c>
      <c r="G2162" s="28">
        <f>IFERROR(E2162-Dashboard!$B$4/252,"")</f>
        <v/>
      </c>
      <c r="H2162" s="8">
        <f>IFERROR(IF(ISNUMBER(B2162),MAX(B2162,IFERROR(H2161,B2162)),""),"")</f>
        <v/>
      </c>
      <c r="I2162" s="29">
        <f>IFERROR(IF(AND(ISNUMBER(B2162),ISNUMBER(H2162)),B2162/H2162-1,""),"")</f>
        <v/>
      </c>
      <c r="J2162" s="8">
        <f>IFERROR(IF(ISNUMBER(C2162),MAX(C2162,IFERROR(J2161,C2162)),""),"")</f>
        <v/>
      </c>
      <c r="K2162" s="29">
        <f>IFERROR(IF(AND(ISNUMBER(C2162),ISNUMBER(J2162)),C2162/J2162-1,""),"")</f>
        <v/>
      </c>
      <c r="L2162" s="28">
        <f>IFERROR(IF(AND(ISNUMBER(D2162),ISNUMBER(E2162)),D2162-E2162,""),"")</f>
        <v/>
      </c>
    </row>
    <row r="2163">
      <c r="A2163" s="7">
        <f>IFERROR(Datos!A2163,"")</f>
        <v/>
      </c>
      <c r="B2163" s="8">
        <f>IFERROR(Datos!B2163,"")</f>
        <v/>
      </c>
      <c r="C2163" s="8">
        <f>IFERROR(Datos!C2163,"")</f>
        <v/>
      </c>
      <c r="D2163" s="28">
        <f>IFERROR(IF(AND(ISNUMBER(B2163),ISNUMBER(B2162),B2162&lt;&gt;0),B2163/B2162-1,""),"")</f>
        <v/>
      </c>
      <c r="E2163" s="28">
        <f>IFERROR(IF(AND(ISNUMBER(C2163),ISNUMBER(C2162),C2162&lt;&gt;0),C2163/C2162-1,""),"")</f>
        <v/>
      </c>
      <c r="F2163" s="28">
        <f>IFERROR(D2163-Dashboard!$B$4/252,"")</f>
        <v/>
      </c>
      <c r="G2163" s="28">
        <f>IFERROR(E2163-Dashboard!$B$4/252,"")</f>
        <v/>
      </c>
      <c r="H2163" s="8">
        <f>IFERROR(IF(ISNUMBER(B2163),MAX(B2163,IFERROR(H2162,B2163)),""),"")</f>
        <v/>
      </c>
      <c r="I2163" s="29">
        <f>IFERROR(IF(AND(ISNUMBER(B2163),ISNUMBER(H2163)),B2163/H2163-1,""),"")</f>
        <v/>
      </c>
      <c r="J2163" s="8">
        <f>IFERROR(IF(ISNUMBER(C2163),MAX(C2163,IFERROR(J2162,C2163)),""),"")</f>
        <v/>
      </c>
      <c r="K2163" s="29">
        <f>IFERROR(IF(AND(ISNUMBER(C2163),ISNUMBER(J2163)),C2163/J2163-1,""),"")</f>
        <v/>
      </c>
      <c r="L2163" s="28">
        <f>IFERROR(IF(AND(ISNUMBER(D2163),ISNUMBER(E2163)),D2163-E2163,""),"")</f>
        <v/>
      </c>
    </row>
    <row r="2164">
      <c r="A2164" s="7">
        <f>IFERROR(Datos!A2164,"")</f>
        <v/>
      </c>
      <c r="B2164" s="8">
        <f>IFERROR(Datos!B2164,"")</f>
        <v/>
      </c>
      <c r="C2164" s="8">
        <f>IFERROR(Datos!C2164,"")</f>
        <v/>
      </c>
      <c r="D2164" s="28">
        <f>IFERROR(IF(AND(ISNUMBER(B2164),ISNUMBER(B2163),B2163&lt;&gt;0),B2164/B2163-1,""),"")</f>
        <v/>
      </c>
      <c r="E2164" s="28">
        <f>IFERROR(IF(AND(ISNUMBER(C2164),ISNUMBER(C2163),C2163&lt;&gt;0),C2164/C2163-1,""),"")</f>
        <v/>
      </c>
      <c r="F2164" s="28">
        <f>IFERROR(D2164-Dashboard!$B$4/252,"")</f>
        <v/>
      </c>
      <c r="G2164" s="28">
        <f>IFERROR(E2164-Dashboard!$B$4/252,"")</f>
        <v/>
      </c>
      <c r="H2164" s="8">
        <f>IFERROR(IF(ISNUMBER(B2164),MAX(B2164,IFERROR(H2163,B2164)),""),"")</f>
        <v/>
      </c>
      <c r="I2164" s="29">
        <f>IFERROR(IF(AND(ISNUMBER(B2164),ISNUMBER(H2164)),B2164/H2164-1,""),"")</f>
        <v/>
      </c>
      <c r="J2164" s="8">
        <f>IFERROR(IF(ISNUMBER(C2164),MAX(C2164,IFERROR(J2163,C2164)),""),"")</f>
        <v/>
      </c>
      <c r="K2164" s="29">
        <f>IFERROR(IF(AND(ISNUMBER(C2164),ISNUMBER(J2164)),C2164/J2164-1,""),"")</f>
        <v/>
      </c>
      <c r="L2164" s="28">
        <f>IFERROR(IF(AND(ISNUMBER(D2164),ISNUMBER(E2164)),D2164-E2164,""),"")</f>
        <v/>
      </c>
    </row>
    <row r="2165">
      <c r="A2165" s="7">
        <f>IFERROR(Datos!A2165,"")</f>
        <v/>
      </c>
      <c r="B2165" s="8">
        <f>IFERROR(Datos!B2165,"")</f>
        <v/>
      </c>
      <c r="C2165" s="8">
        <f>IFERROR(Datos!C2165,"")</f>
        <v/>
      </c>
      <c r="D2165" s="28">
        <f>IFERROR(IF(AND(ISNUMBER(B2165),ISNUMBER(B2164),B2164&lt;&gt;0),B2165/B2164-1,""),"")</f>
        <v/>
      </c>
      <c r="E2165" s="28">
        <f>IFERROR(IF(AND(ISNUMBER(C2165),ISNUMBER(C2164),C2164&lt;&gt;0),C2165/C2164-1,""),"")</f>
        <v/>
      </c>
      <c r="F2165" s="28">
        <f>IFERROR(D2165-Dashboard!$B$4/252,"")</f>
        <v/>
      </c>
      <c r="G2165" s="28">
        <f>IFERROR(E2165-Dashboard!$B$4/252,"")</f>
        <v/>
      </c>
      <c r="H2165" s="8">
        <f>IFERROR(IF(ISNUMBER(B2165),MAX(B2165,IFERROR(H2164,B2165)),""),"")</f>
        <v/>
      </c>
      <c r="I2165" s="29">
        <f>IFERROR(IF(AND(ISNUMBER(B2165),ISNUMBER(H2165)),B2165/H2165-1,""),"")</f>
        <v/>
      </c>
      <c r="J2165" s="8">
        <f>IFERROR(IF(ISNUMBER(C2165),MAX(C2165,IFERROR(J2164,C2165)),""),"")</f>
        <v/>
      </c>
      <c r="K2165" s="29">
        <f>IFERROR(IF(AND(ISNUMBER(C2165),ISNUMBER(J2165)),C2165/J2165-1,""),"")</f>
        <v/>
      </c>
      <c r="L2165" s="28">
        <f>IFERROR(IF(AND(ISNUMBER(D2165),ISNUMBER(E2165)),D2165-E2165,""),"")</f>
        <v/>
      </c>
    </row>
    <row r="2166">
      <c r="A2166" s="7">
        <f>IFERROR(Datos!A2166,"")</f>
        <v/>
      </c>
      <c r="B2166" s="8">
        <f>IFERROR(Datos!B2166,"")</f>
        <v/>
      </c>
      <c r="C2166" s="8">
        <f>IFERROR(Datos!C2166,"")</f>
        <v/>
      </c>
      <c r="D2166" s="28">
        <f>IFERROR(IF(AND(ISNUMBER(B2166),ISNUMBER(B2165),B2165&lt;&gt;0),B2166/B2165-1,""),"")</f>
        <v/>
      </c>
      <c r="E2166" s="28">
        <f>IFERROR(IF(AND(ISNUMBER(C2166),ISNUMBER(C2165),C2165&lt;&gt;0),C2166/C2165-1,""),"")</f>
        <v/>
      </c>
      <c r="F2166" s="28">
        <f>IFERROR(D2166-Dashboard!$B$4/252,"")</f>
        <v/>
      </c>
      <c r="G2166" s="28">
        <f>IFERROR(E2166-Dashboard!$B$4/252,"")</f>
        <v/>
      </c>
      <c r="H2166" s="8">
        <f>IFERROR(IF(ISNUMBER(B2166),MAX(B2166,IFERROR(H2165,B2166)),""),"")</f>
        <v/>
      </c>
      <c r="I2166" s="29">
        <f>IFERROR(IF(AND(ISNUMBER(B2166),ISNUMBER(H2166)),B2166/H2166-1,""),"")</f>
        <v/>
      </c>
      <c r="J2166" s="8">
        <f>IFERROR(IF(ISNUMBER(C2166),MAX(C2166,IFERROR(J2165,C2166)),""),"")</f>
        <v/>
      </c>
      <c r="K2166" s="29">
        <f>IFERROR(IF(AND(ISNUMBER(C2166),ISNUMBER(J2166)),C2166/J2166-1,""),"")</f>
        <v/>
      </c>
      <c r="L2166" s="28">
        <f>IFERROR(IF(AND(ISNUMBER(D2166),ISNUMBER(E2166)),D2166-E2166,""),"")</f>
        <v/>
      </c>
    </row>
    <row r="2167">
      <c r="A2167" s="7">
        <f>IFERROR(Datos!A2167,"")</f>
        <v/>
      </c>
      <c r="B2167" s="8">
        <f>IFERROR(Datos!B2167,"")</f>
        <v/>
      </c>
      <c r="C2167" s="8">
        <f>IFERROR(Datos!C2167,"")</f>
        <v/>
      </c>
      <c r="D2167" s="28">
        <f>IFERROR(IF(AND(ISNUMBER(B2167),ISNUMBER(B2166),B2166&lt;&gt;0),B2167/B2166-1,""),"")</f>
        <v/>
      </c>
      <c r="E2167" s="28">
        <f>IFERROR(IF(AND(ISNUMBER(C2167),ISNUMBER(C2166),C2166&lt;&gt;0),C2167/C2166-1,""),"")</f>
        <v/>
      </c>
      <c r="F2167" s="28">
        <f>IFERROR(D2167-Dashboard!$B$4/252,"")</f>
        <v/>
      </c>
      <c r="G2167" s="28">
        <f>IFERROR(E2167-Dashboard!$B$4/252,"")</f>
        <v/>
      </c>
      <c r="H2167" s="8">
        <f>IFERROR(IF(ISNUMBER(B2167),MAX(B2167,IFERROR(H2166,B2167)),""),"")</f>
        <v/>
      </c>
      <c r="I2167" s="29">
        <f>IFERROR(IF(AND(ISNUMBER(B2167),ISNUMBER(H2167)),B2167/H2167-1,""),"")</f>
        <v/>
      </c>
      <c r="J2167" s="8">
        <f>IFERROR(IF(ISNUMBER(C2167),MAX(C2167,IFERROR(J2166,C2167)),""),"")</f>
        <v/>
      </c>
      <c r="K2167" s="29">
        <f>IFERROR(IF(AND(ISNUMBER(C2167),ISNUMBER(J2167)),C2167/J2167-1,""),"")</f>
        <v/>
      </c>
      <c r="L2167" s="28">
        <f>IFERROR(IF(AND(ISNUMBER(D2167),ISNUMBER(E2167)),D2167-E2167,""),"")</f>
        <v/>
      </c>
    </row>
    <row r="2168">
      <c r="A2168" s="7">
        <f>IFERROR(Datos!A2168,"")</f>
        <v/>
      </c>
      <c r="B2168" s="8">
        <f>IFERROR(Datos!B2168,"")</f>
        <v/>
      </c>
      <c r="C2168" s="8">
        <f>IFERROR(Datos!C2168,"")</f>
        <v/>
      </c>
      <c r="D2168" s="28">
        <f>IFERROR(IF(AND(ISNUMBER(B2168),ISNUMBER(B2167),B2167&lt;&gt;0),B2168/B2167-1,""),"")</f>
        <v/>
      </c>
      <c r="E2168" s="28">
        <f>IFERROR(IF(AND(ISNUMBER(C2168),ISNUMBER(C2167),C2167&lt;&gt;0),C2168/C2167-1,""),"")</f>
        <v/>
      </c>
      <c r="F2168" s="28">
        <f>IFERROR(D2168-Dashboard!$B$4/252,"")</f>
        <v/>
      </c>
      <c r="G2168" s="28">
        <f>IFERROR(E2168-Dashboard!$B$4/252,"")</f>
        <v/>
      </c>
      <c r="H2168" s="8">
        <f>IFERROR(IF(ISNUMBER(B2168),MAX(B2168,IFERROR(H2167,B2168)),""),"")</f>
        <v/>
      </c>
      <c r="I2168" s="29">
        <f>IFERROR(IF(AND(ISNUMBER(B2168),ISNUMBER(H2168)),B2168/H2168-1,""),"")</f>
        <v/>
      </c>
      <c r="J2168" s="8">
        <f>IFERROR(IF(ISNUMBER(C2168),MAX(C2168,IFERROR(J2167,C2168)),""),"")</f>
        <v/>
      </c>
      <c r="K2168" s="29">
        <f>IFERROR(IF(AND(ISNUMBER(C2168),ISNUMBER(J2168)),C2168/J2168-1,""),"")</f>
        <v/>
      </c>
      <c r="L2168" s="28">
        <f>IFERROR(IF(AND(ISNUMBER(D2168),ISNUMBER(E2168)),D2168-E2168,""),"")</f>
        <v/>
      </c>
    </row>
    <row r="2169">
      <c r="A2169" s="7">
        <f>IFERROR(Datos!A2169,"")</f>
        <v/>
      </c>
      <c r="B2169" s="8">
        <f>IFERROR(Datos!B2169,"")</f>
        <v/>
      </c>
      <c r="C2169" s="8">
        <f>IFERROR(Datos!C2169,"")</f>
        <v/>
      </c>
      <c r="D2169" s="28">
        <f>IFERROR(IF(AND(ISNUMBER(B2169),ISNUMBER(B2168),B2168&lt;&gt;0),B2169/B2168-1,""),"")</f>
        <v/>
      </c>
      <c r="E2169" s="28">
        <f>IFERROR(IF(AND(ISNUMBER(C2169),ISNUMBER(C2168),C2168&lt;&gt;0),C2169/C2168-1,""),"")</f>
        <v/>
      </c>
      <c r="F2169" s="28">
        <f>IFERROR(D2169-Dashboard!$B$4/252,"")</f>
        <v/>
      </c>
      <c r="G2169" s="28">
        <f>IFERROR(E2169-Dashboard!$B$4/252,"")</f>
        <v/>
      </c>
      <c r="H2169" s="8">
        <f>IFERROR(IF(ISNUMBER(B2169),MAX(B2169,IFERROR(H2168,B2169)),""),"")</f>
        <v/>
      </c>
      <c r="I2169" s="29">
        <f>IFERROR(IF(AND(ISNUMBER(B2169),ISNUMBER(H2169)),B2169/H2169-1,""),"")</f>
        <v/>
      </c>
      <c r="J2169" s="8">
        <f>IFERROR(IF(ISNUMBER(C2169),MAX(C2169,IFERROR(J2168,C2169)),""),"")</f>
        <v/>
      </c>
      <c r="K2169" s="29">
        <f>IFERROR(IF(AND(ISNUMBER(C2169),ISNUMBER(J2169)),C2169/J2169-1,""),"")</f>
        <v/>
      </c>
      <c r="L2169" s="28">
        <f>IFERROR(IF(AND(ISNUMBER(D2169),ISNUMBER(E2169)),D2169-E2169,""),"")</f>
        <v/>
      </c>
    </row>
    <row r="2170">
      <c r="A2170" s="7">
        <f>IFERROR(Datos!A2170,"")</f>
        <v/>
      </c>
      <c r="B2170" s="8">
        <f>IFERROR(Datos!B2170,"")</f>
        <v/>
      </c>
      <c r="C2170" s="8">
        <f>IFERROR(Datos!C2170,"")</f>
        <v/>
      </c>
      <c r="D2170" s="28">
        <f>IFERROR(IF(AND(ISNUMBER(B2170),ISNUMBER(B2169),B2169&lt;&gt;0),B2170/B2169-1,""),"")</f>
        <v/>
      </c>
      <c r="E2170" s="28">
        <f>IFERROR(IF(AND(ISNUMBER(C2170),ISNUMBER(C2169),C2169&lt;&gt;0),C2170/C2169-1,""),"")</f>
        <v/>
      </c>
      <c r="F2170" s="28">
        <f>IFERROR(D2170-Dashboard!$B$4/252,"")</f>
        <v/>
      </c>
      <c r="G2170" s="28">
        <f>IFERROR(E2170-Dashboard!$B$4/252,"")</f>
        <v/>
      </c>
      <c r="H2170" s="8">
        <f>IFERROR(IF(ISNUMBER(B2170),MAX(B2170,IFERROR(H2169,B2170)),""),"")</f>
        <v/>
      </c>
      <c r="I2170" s="29">
        <f>IFERROR(IF(AND(ISNUMBER(B2170),ISNUMBER(H2170)),B2170/H2170-1,""),"")</f>
        <v/>
      </c>
      <c r="J2170" s="8">
        <f>IFERROR(IF(ISNUMBER(C2170),MAX(C2170,IFERROR(J2169,C2170)),""),"")</f>
        <v/>
      </c>
      <c r="K2170" s="29">
        <f>IFERROR(IF(AND(ISNUMBER(C2170),ISNUMBER(J2170)),C2170/J2170-1,""),"")</f>
        <v/>
      </c>
      <c r="L2170" s="28">
        <f>IFERROR(IF(AND(ISNUMBER(D2170),ISNUMBER(E2170)),D2170-E2170,""),"")</f>
        <v/>
      </c>
    </row>
    <row r="2171">
      <c r="A2171" s="7">
        <f>IFERROR(Datos!A2171,"")</f>
        <v/>
      </c>
      <c r="B2171" s="8">
        <f>IFERROR(Datos!B2171,"")</f>
        <v/>
      </c>
      <c r="C2171" s="8">
        <f>IFERROR(Datos!C2171,"")</f>
        <v/>
      </c>
      <c r="D2171" s="28">
        <f>IFERROR(IF(AND(ISNUMBER(B2171),ISNUMBER(B2170),B2170&lt;&gt;0),B2171/B2170-1,""),"")</f>
        <v/>
      </c>
      <c r="E2171" s="28">
        <f>IFERROR(IF(AND(ISNUMBER(C2171),ISNUMBER(C2170),C2170&lt;&gt;0),C2171/C2170-1,""),"")</f>
        <v/>
      </c>
      <c r="F2171" s="28">
        <f>IFERROR(D2171-Dashboard!$B$4/252,"")</f>
        <v/>
      </c>
      <c r="G2171" s="28">
        <f>IFERROR(E2171-Dashboard!$B$4/252,"")</f>
        <v/>
      </c>
      <c r="H2171" s="8">
        <f>IFERROR(IF(ISNUMBER(B2171),MAX(B2171,IFERROR(H2170,B2171)),""),"")</f>
        <v/>
      </c>
      <c r="I2171" s="29">
        <f>IFERROR(IF(AND(ISNUMBER(B2171),ISNUMBER(H2171)),B2171/H2171-1,""),"")</f>
        <v/>
      </c>
      <c r="J2171" s="8">
        <f>IFERROR(IF(ISNUMBER(C2171),MAX(C2171,IFERROR(J2170,C2171)),""),"")</f>
        <v/>
      </c>
      <c r="K2171" s="29">
        <f>IFERROR(IF(AND(ISNUMBER(C2171),ISNUMBER(J2171)),C2171/J2171-1,""),"")</f>
        <v/>
      </c>
      <c r="L2171" s="28">
        <f>IFERROR(IF(AND(ISNUMBER(D2171),ISNUMBER(E2171)),D2171-E2171,""),"")</f>
        <v/>
      </c>
    </row>
    <row r="2172">
      <c r="A2172" s="7">
        <f>IFERROR(Datos!A2172,"")</f>
        <v/>
      </c>
      <c r="B2172" s="8">
        <f>IFERROR(Datos!B2172,"")</f>
        <v/>
      </c>
      <c r="C2172" s="8">
        <f>IFERROR(Datos!C2172,"")</f>
        <v/>
      </c>
      <c r="D2172" s="28">
        <f>IFERROR(IF(AND(ISNUMBER(B2172),ISNUMBER(B2171),B2171&lt;&gt;0),B2172/B2171-1,""),"")</f>
        <v/>
      </c>
      <c r="E2172" s="28">
        <f>IFERROR(IF(AND(ISNUMBER(C2172),ISNUMBER(C2171),C2171&lt;&gt;0),C2172/C2171-1,""),"")</f>
        <v/>
      </c>
      <c r="F2172" s="28">
        <f>IFERROR(D2172-Dashboard!$B$4/252,"")</f>
        <v/>
      </c>
      <c r="G2172" s="28">
        <f>IFERROR(E2172-Dashboard!$B$4/252,"")</f>
        <v/>
      </c>
      <c r="H2172" s="8">
        <f>IFERROR(IF(ISNUMBER(B2172),MAX(B2172,IFERROR(H2171,B2172)),""),"")</f>
        <v/>
      </c>
      <c r="I2172" s="29">
        <f>IFERROR(IF(AND(ISNUMBER(B2172),ISNUMBER(H2172)),B2172/H2172-1,""),"")</f>
        <v/>
      </c>
      <c r="J2172" s="8">
        <f>IFERROR(IF(ISNUMBER(C2172),MAX(C2172,IFERROR(J2171,C2172)),""),"")</f>
        <v/>
      </c>
      <c r="K2172" s="29">
        <f>IFERROR(IF(AND(ISNUMBER(C2172),ISNUMBER(J2172)),C2172/J2172-1,""),"")</f>
        <v/>
      </c>
      <c r="L2172" s="28">
        <f>IFERROR(IF(AND(ISNUMBER(D2172),ISNUMBER(E2172)),D2172-E2172,""),"")</f>
        <v/>
      </c>
    </row>
    <row r="2173">
      <c r="A2173" s="7">
        <f>IFERROR(Datos!A2173,"")</f>
        <v/>
      </c>
      <c r="B2173" s="8">
        <f>IFERROR(Datos!B2173,"")</f>
        <v/>
      </c>
      <c r="C2173" s="8">
        <f>IFERROR(Datos!C2173,"")</f>
        <v/>
      </c>
      <c r="D2173" s="28">
        <f>IFERROR(IF(AND(ISNUMBER(B2173),ISNUMBER(B2172),B2172&lt;&gt;0),B2173/B2172-1,""),"")</f>
        <v/>
      </c>
      <c r="E2173" s="28">
        <f>IFERROR(IF(AND(ISNUMBER(C2173),ISNUMBER(C2172),C2172&lt;&gt;0),C2173/C2172-1,""),"")</f>
        <v/>
      </c>
      <c r="F2173" s="28">
        <f>IFERROR(D2173-Dashboard!$B$4/252,"")</f>
        <v/>
      </c>
      <c r="G2173" s="28">
        <f>IFERROR(E2173-Dashboard!$B$4/252,"")</f>
        <v/>
      </c>
      <c r="H2173" s="8">
        <f>IFERROR(IF(ISNUMBER(B2173),MAX(B2173,IFERROR(H2172,B2173)),""),"")</f>
        <v/>
      </c>
      <c r="I2173" s="29">
        <f>IFERROR(IF(AND(ISNUMBER(B2173),ISNUMBER(H2173)),B2173/H2173-1,""),"")</f>
        <v/>
      </c>
      <c r="J2173" s="8">
        <f>IFERROR(IF(ISNUMBER(C2173),MAX(C2173,IFERROR(J2172,C2173)),""),"")</f>
        <v/>
      </c>
      <c r="K2173" s="29">
        <f>IFERROR(IF(AND(ISNUMBER(C2173),ISNUMBER(J2173)),C2173/J2173-1,""),"")</f>
        <v/>
      </c>
      <c r="L2173" s="28">
        <f>IFERROR(IF(AND(ISNUMBER(D2173),ISNUMBER(E2173)),D2173-E2173,""),"")</f>
        <v/>
      </c>
    </row>
    <row r="2174">
      <c r="A2174" s="7">
        <f>IFERROR(Datos!A2174,"")</f>
        <v/>
      </c>
      <c r="B2174" s="8">
        <f>IFERROR(Datos!B2174,"")</f>
        <v/>
      </c>
      <c r="C2174" s="8">
        <f>IFERROR(Datos!C2174,"")</f>
        <v/>
      </c>
      <c r="D2174" s="28">
        <f>IFERROR(IF(AND(ISNUMBER(B2174),ISNUMBER(B2173),B2173&lt;&gt;0),B2174/B2173-1,""),"")</f>
        <v/>
      </c>
      <c r="E2174" s="28">
        <f>IFERROR(IF(AND(ISNUMBER(C2174),ISNUMBER(C2173),C2173&lt;&gt;0),C2174/C2173-1,""),"")</f>
        <v/>
      </c>
      <c r="F2174" s="28">
        <f>IFERROR(D2174-Dashboard!$B$4/252,"")</f>
        <v/>
      </c>
      <c r="G2174" s="28">
        <f>IFERROR(E2174-Dashboard!$B$4/252,"")</f>
        <v/>
      </c>
      <c r="H2174" s="8">
        <f>IFERROR(IF(ISNUMBER(B2174),MAX(B2174,IFERROR(H2173,B2174)),""),"")</f>
        <v/>
      </c>
      <c r="I2174" s="29">
        <f>IFERROR(IF(AND(ISNUMBER(B2174),ISNUMBER(H2174)),B2174/H2174-1,""),"")</f>
        <v/>
      </c>
      <c r="J2174" s="8">
        <f>IFERROR(IF(ISNUMBER(C2174),MAX(C2174,IFERROR(J2173,C2174)),""),"")</f>
        <v/>
      </c>
      <c r="K2174" s="29">
        <f>IFERROR(IF(AND(ISNUMBER(C2174),ISNUMBER(J2174)),C2174/J2174-1,""),"")</f>
        <v/>
      </c>
      <c r="L2174" s="28">
        <f>IFERROR(IF(AND(ISNUMBER(D2174),ISNUMBER(E2174)),D2174-E2174,""),"")</f>
        <v/>
      </c>
    </row>
    <row r="2175">
      <c r="A2175" s="7">
        <f>IFERROR(Datos!A2175,"")</f>
        <v/>
      </c>
      <c r="B2175" s="8">
        <f>IFERROR(Datos!B2175,"")</f>
        <v/>
      </c>
      <c r="C2175" s="8">
        <f>IFERROR(Datos!C2175,"")</f>
        <v/>
      </c>
      <c r="D2175" s="28">
        <f>IFERROR(IF(AND(ISNUMBER(B2175),ISNUMBER(B2174),B2174&lt;&gt;0),B2175/B2174-1,""),"")</f>
        <v/>
      </c>
      <c r="E2175" s="28">
        <f>IFERROR(IF(AND(ISNUMBER(C2175),ISNUMBER(C2174),C2174&lt;&gt;0),C2175/C2174-1,""),"")</f>
        <v/>
      </c>
      <c r="F2175" s="28">
        <f>IFERROR(D2175-Dashboard!$B$4/252,"")</f>
        <v/>
      </c>
      <c r="G2175" s="28">
        <f>IFERROR(E2175-Dashboard!$B$4/252,"")</f>
        <v/>
      </c>
      <c r="H2175" s="8">
        <f>IFERROR(IF(ISNUMBER(B2175),MAX(B2175,IFERROR(H2174,B2175)),""),"")</f>
        <v/>
      </c>
      <c r="I2175" s="29">
        <f>IFERROR(IF(AND(ISNUMBER(B2175),ISNUMBER(H2175)),B2175/H2175-1,""),"")</f>
        <v/>
      </c>
      <c r="J2175" s="8">
        <f>IFERROR(IF(ISNUMBER(C2175),MAX(C2175,IFERROR(J2174,C2175)),""),"")</f>
        <v/>
      </c>
      <c r="K2175" s="29">
        <f>IFERROR(IF(AND(ISNUMBER(C2175),ISNUMBER(J2175)),C2175/J2175-1,""),"")</f>
        <v/>
      </c>
      <c r="L2175" s="28">
        <f>IFERROR(IF(AND(ISNUMBER(D2175),ISNUMBER(E2175)),D2175-E2175,""),"")</f>
        <v/>
      </c>
    </row>
    <row r="2176">
      <c r="A2176" s="7">
        <f>IFERROR(Datos!A2176,"")</f>
        <v/>
      </c>
      <c r="B2176" s="8">
        <f>IFERROR(Datos!B2176,"")</f>
        <v/>
      </c>
      <c r="C2176" s="8">
        <f>IFERROR(Datos!C2176,"")</f>
        <v/>
      </c>
      <c r="D2176" s="28">
        <f>IFERROR(IF(AND(ISNUMBER(B2176),ISNUMBER(B2175),B2175&lt;&gt;0),B2176/B2175-1,""),"")</f>
        <v/>
      </c>
      <c r="E2176" s="28">
        <f>IFERROR(IF(AND(ISNUMBER(C2176),ISNUMBER(C2175),C2175&lt;&gt;0),C2176/C2175-1,""),"")</f>
        <v/>
      </c>
      <c r="F2176" s="28">
        <f>IFERROR(D2176-Dashboard!$B$4/252,"")</f>
        <v/>
      </c>
      <c r="G2176" s="28">
        <f>IFERROR(E2176-Dashboard!$B$4/252,"")</f>
        <v/>
      </c>
      <c r="H2176" s="8">
        <f>IFERROR(IF(ISNUMBER(B2176),MAX(B2176,IFERROR(H2175,B2176)),""),"")</f>
        <v/>
      </c>
      <c r="I2176" s="29">
        <f>IFERROR(IF(AND(ISNUMBER(B2176),ISNUMBER(H2176)),B2176/H2176-1,""),"")</f>
        <v/>
      </c>
      <c r="J2176" s="8">
        <f>IFERROR(IF(ISNUMBER(C2176),MAX(C2176,IFERROR(J2175,C2176)),""),"")</f>
        <v/>
      </c>
      <c r="K2176" s="29">
        <f>IFERROR(IF(AND(ISNUMBER(C2176),ISNUMBER(J2176)),C2176/J2176-1,""),"")</f>
        <v/>
      </c>
      <c r="L2176" s="28">
        <f>IFERROR(IF(AND(ISNUMBER(D2176),ISNUMBER(E2176)),D2176-E2176,""),"")</f>
        <v/>
      </c>
    </row>
    <row r="2177">
      <c r="A2177" s="7">
        <f>IFERROR(Datos!A2177,"")</f>
        <v/>
      </c>
      <c r="B2177" s="8">
        <f>IFERROR(Datos!B2177,"")</f>
        <v/>
      </c>
      <c r="C2177" s="8">
        <f>IFERROR(Datos!C2177,"")</f>
        <v/>
      </c>
      <c r="D2177" s="28">
        <f>IFERROR(IF(AND(ISNUMBER(B2177),ISNUMBER(B2176),B2176&lt;&gt;0),B2177/B2176-1,""),"")</f>
        <v/>
      </c>
      <c r="E2177" s="28">
        <f>IFERROR(IF(AND(ISNUMBER(C2177),ISNUMBER(C2176),C2176&lt;&gt;0),C2177/C2176-1,""),"")</f>
        <v/>
      </c>
      <c r="F2177" s="28">
        <f>IFERROR(D2177-Dashboard!$B$4/252,"")</f>
        <v/>
      </c>
      <c r="G2177" s="28">
        <f>IFERROR(E2177-Dashboard!$B$4/252,"")</f>
        <v/>
      </c>
      <c r="H2177" s="8">
        <f>IFERROR(IF(ISNUMBER(B2177),MAX(B2177,IFERROR(H2176,B2177)),""),"")</f>
        <v/>
      </c>
      <c r="I2177" s="29">
        <f>IFERROR(IF(AND(ISNUMBER(B2177),ISNUMBER(H2177)),B2177/H2177-1,""),"")</f>
        <v/>
      </c>
      <c r="J2177" s="8">
        <f>IFERROR(IF(ISNUMBER(C2177),MAX(C2177,IFERROR(J2176,C2177)),""),"")</f>
        <v/>
      </c>
      <c r="K2177" s="29">
        <f>IFERROR(IF(AND(ISNUMBER(C2177),ISNUMBER(J2177)),C2177/J2177-1,""),"")</f>
        <v/>
      </c>
      <c r="L2177" s="28">
        <f>IFERROR(IF(AND(ISNUMBER(D2177),ISNUMBER(E2177)),D2177-E2177,""),"")</f>
        <v/>
      </c>
    </row>
    <row r="2178">
      <c r="A2178" s="7">
        <f>IFERROR(Datos!A2178,"")</f>
        <v/>
      </c>
      <c r="B2178" s="8">
        <f>IFERROR(Datos!B2178,"")</f>
        <v/>
      </c>
      <c r="C2178" s="8">
        <f>IFERROR(Datos!C2178,"")</f>
        <v/>
      </c>
      <c r="D2178" s="28">
        <f>IFERROR(IF(AND(ISNUMBER(B2178),ISNUMBER(B2177),B2177&lt;&gt;0),B2178/B2177-1,""),"")</f>
        <v/>
      </c>
      <c r="E2178" s="28">
        <f>IFERROR(IF(AND(ISNUMBER(C2178),ISNUMBER(C2177),C2177&lt;&gt;0),C2178/C2177-1,""),"")</f>
        <v/>
      </c>
      <c r="F2178" s="28">
        <f>IFERROR(D2178-Dashboard!$B$4/252,"")</f>
        <v/>
      </c>
      <c r="G2178" s="28">
        <f>IFERROR(E2178-Dashboard!$B$4/252,"")</f>
        <v/>
      </c>
      <c r="H2178" s="8">
        <f>IFERROR(IF(ISNUMBER(B2178),MAX(B2178,IFERROR(H2177,B2178)),""),"")</f>
        <v/>
      </c>
      <c r="I2178" s="29">
        <f>IFERROR(IF(AND(ISNUMBER(B2178),ISNUMBER(H2178)),B2178/H2178-1,""),"")</f>
        <v/>
      </c>
      <c r="J2178" s="8">
        <f>IFERROR(IF(ISNUMBER(C2178),MAX(C2178,IFERROR(J2177,C2178)),""),"")</f>
        <v/>
      </c>
      <c r="K2178" s="29">
        <f>IFERROR(IF(AND(ISNUMBER(C2178),ISNUMBER(J2178)),C2178/J2178-1,""),"")</f>
        <v/>
      </c>
      <c r="L2178" s="28">
        <f>IFERROR(IF(AND(ISNUMBER(D2178),ISNUMBER(E2178)),D2178-E2178,""),"")</f>
        <v/>
      </c>
    </row>
    <row r="2179">
      <c r="A2179" s="7">
        <f>IFERROR(Datos!A2179,"")</f>
        <v/>
      </c>
      <c r="B2179" s="8">
        <f>IFERROR(Datos!B2179,"")</f>
        <v/>
      </c>
      <c r="C2179" s="8">
        <f>IFERROR(Datos!C2179,"")</f>
        <v/>
      </c>
      <c r="D2179" s="28">
        <f>IFERROR(IF(AND(ISNUMBER(B2179),ISNUMBER(B2178),B2178&lt;&gt;0),B2179/B2178-1,""),"")</f>
        <v/>
      </c>
      <c r="E2179" s="28">
        <f>IFERROR(IF(AND(ISNUMBER(C2179),ISNUMBER(C2178),C2178&lt;&gt;0),C2179/C2178-1,""),"")</f>
        <v/>
      </c>
      <c r="F2179" s="28">
        <f>IFERROR(D2179-Dashboard!$B$4/252,"")</f>
        <v/>
      </c>
      <c r="G2179" s="28">
        <f>IFERROR(E2179-Dashboard!$B$4/252,"")</f>
        <v/>
      </c>
      <c r="H2179" s="8">
        <f>IFERROR(IF(ISNUMBER(B2179),MAX(B2179,IFERROR(H2178,B2179)),""),"")</f>
        <v/>
      </c>
      <c r="I2179" s="29">
        <f>IFERROR(IF(AND(ISNUMBER(B2179),ISNUMBER(H2179)),B2179/H2179-1,""),"")</f>
        <v/>
      </c>
      <c r="J2179" s="8">
        <f>IFERROR(IF(ISNUMBER(C2179),MAX(C2179,IFERROR(J2178,C2179)),""),"")</f>
        <v/>
      </c>
      <c r="K2179" s="29">
        <f>IFERROR(IF(AND(ISNUMBER(C2179),ISNUMBER(J2179)),C2179/J2179-1,""),"")</f>
        <v/>
      </c>
      <c r="L2179" s="28">
        <f>IFERROR(IF(AND(ISNUMBER(D2179),ISNUMBER(E2179)),D2179-E2179,""),"")</f>
        <v/>
      </c>
    </row>
    <row r="2180">
      <c r="A2180" s="7">
        <f>IFERROR(Datos!A2180,"")</f>
        <v/>
      </c>
      <c r="B2180" s="8">
        <f>IFERROR(Datos!B2180,"")</f>
        <v/>
      </c>
      <c r="C2180" s="8">
        <f>IFERROR(Datos!C2180,"")</f>
        <v/>
      </c>
      <c r="D2180" s="28">
        <f>IFERROR(IF(AND(ISNUMBER(B2180),ISNUMBER(B2179),B2179&lt;&gt;0),B2180/B2179-1,""),"")</f>
        <v/>
      </c>
      <c r="E2180" s="28">
        <f>IFERROR(IF(AND(ISNUMBER(C2180),ISNUMBER(C2179),C2179&lt;&gt;0),C2180/C2179-1,""),"")</f>
        <v/>
      </c>
      <c r="F2180" s="28">
        <f>IFERROR(D2180-Dashboard!$B$4/252,"")</f>
        <v/>
      </c>
      <c r="G2180" s="28">
        <f>IFERROR(E2180-Dashboard!$B$4/252,"")</f>
        <v/>
      </c>
      <c r="H2180" s="8">
        <f>IFERROR(IF(ISNUMBER(B2180),MAX(B2180,IFERROR(H2179,B2180)),""),"")</f>
        <v/>
      </c>
      <c r="I2180" s="29">
        <f>IFERROR(IF(AND(ISNUMBER(B2180),ISNUMBER(H2180)),B2180/H2180-1,""),"")</f>
        <v/>
      </c>
      <c r="J2180" s="8">
        <f>IFERROR(IF(ISNUMBER(C2180),MAX(C2180,IFERROR(J2179,C2180)),""),"")</f>
        <v/>
      </c>
      <c r="K2180" s="29">
        <f>IFERROR(IF(AND(ISNUMBER(C2180),ISNUMBER(J2180)),C2180/J2180-1,""),"")</f>
        <v/>
      </c>
      <c r="L2180" s="28">
        <f>IFERROR(IF(AND(ISNUMBER(D2180),ISNUMBER(E2180)),D2180-E2180,""),"")</f>
        <v/>
      </c>
    </row>
    <row r="2181">
      <c r="A2181" s="7">
        <f>IFERROR(Datos!A2181,"")</f>
        <v/>
      </c>
      <c r="B2181" s="8">
        <f>IFERROR(Datos!B2181,"")</f>
        <v/>
      </c>
      <c r="C2181" s="8">
        <f>IFERROR(Datos!C2181,"")</f>
        <v/>
      </c>
      <c r="D2181" s="28">
        <f>IFERROR(IF(AND(ISNUMBER(B2181),ISNUMBER(B2180),B2180&lt;&gt;0),B2181/B2180-1,""),"")</f>
        <v/>
      </c>
      <c r="E2181" s="28">
        <f>IFERROR(IF(AND(ISNUMBER(C2181),ISNUMBER(C2180),C2180&lt;&gt;0),C2181/C2180-1,""),"")</f>
        <v/>
      </c>
      <c r="F2181" s="28">
        <f>IFERROR(D2181-Dashboard!$B$4/252,"")</f>
        <v/>
      </c>
      <c r="G2181" s="28">
        <f>IFERROR(E2181-Dashboard!$B$4/252,"")</f>
        <v/>
      </c>
      <c r="H2181" s="8">
        <f>IFERROR(IF(ISNUMBER(B2181),MAX(B2181,IFERROR(H2180,B2181)),""),"")</f>
        <v/>
      </c>
      <c r="I2181" s="29">
        <f>IFERROR(IF(AND(ISNUMBER(B2181),ISNUMBER(H2181)),B2181/H2181-1,""),"")</f>
        <v/>
      </c>
      <c r="J2181" s="8">
        <f>IFERROR(IF(ISNUMBER(C2181),MAX(C2181,IFERROR(J2180,C2181)),""),"")</f>
        <v/>
      </c>
      <c r="K2181" s="29">
        <f>IFERROR(IF(AND(ISNUMBER(C2181),ISNUMBER(J2181)),C2181/J2181-1,""),"")</f>
        <v/>
      </c>
      <c r="L2181" s="28">
        <f>IFERROR(IF(AND(ISNUMBER(D2181),ISNUMBER(E2181)),D2181-E2181,""),"")</f>
        <v/>
      </c>
    </row>
    <row r="2182">
      <c r="A2182" s="7">
        <f>IFERROR(Datos!A2182,"")</f>
        <v/>
      </c>
      <c r="B2182" s="8">
        <f>IFERROR(Datos!B2182,"")</f>
        <v/>
      </c>
      <c r="C2182" s="8">
        <f>IFERROR(Datos!C2182,"")</f>
        <v/>
      </c>
      <c r="D2182" s="28">
        <f>IFERROR(IF(AND(ISNUMBER(B2182),ISNUMBER(B2181),B2181&lt;&gt;0),B2182/B2181-1,""),"")</f>
        <v/>
      </c>
      <c r="E2182" s="28">
        <f>IFERROR(IF(AND(ISNUMBER(C2182),ISNUMBER(C2181),C2181&lt;&gt;0),C2182/C2181-1,""),"")</f>
        <v/>
      </c>
      <c r="F2182" s="28">
        <f>IFERROR(D2182-Dashboard!$B$4/252,"")</f>
        <v/>
      </c>
      <c r="G2182" s="28">
        <f>IFERROR(E2182-Dashboard!$B$4/252,"")</f>
        <v/>
      </c>
      <c r="H2182" s="8">
        <f>IFERROR(IF(ISNUMBER(B2182),MAX(B2182,IFERROR(H2181,B2182)),""),"")</f>
        <v/>
      </c>
      <c r="I2182" s="29">
        <f>IFERROR(IF(AND(ISNUMBER(B2182),ISNUMBER(H2182)),B2182/H2182-1,""),"")</f>
        <v/>
      </c>
      <c r="J2182" s="8">
        <f>IFERROR(IF(ISNUMBER(C2182),MAX(C2182,IFERROR(J2181,C2182)),""),"")</f>
        <v/>
      </c>
      <c r="K2182" s="29">
        <f>IFERROR(IF(AND(ISNUMBER(C2182),ISNUMBER(J2182)),C2182/J2182-1,""),"")</f>
        <v/>
      </c>
      <c r="L2182" s="28">
        <f>IFERROR(IF(AND(ISNUMBER(D2182),ISNUMBER(E2182)),D2182-E2182,""),"")</f>
        <v/>
      </c>
    </row>
    <row r="2183">
      <c r="A2183" s="7">
        <f>IFERROR(Datos!A2183,"")</f>
        <v/>
      </c>
      <c r="B2183" s="8">
        <f>IFERROR(Datos!B2183,"")</f>
        <v/>
      </c>
      <c r="C2183" s="8">
        <f>IFERROR(Datos!C2183,"")</f>
        <v/>
      </c>
      <c r="D2183" s="28">
        <f>IFERROR(IF(AND(ISNUMBER(B2183),ISNUMBER(B2182),B2182&lt;&gt;0),B2183/B2182-1,""),"")</f>
        <v/>
      </c>
      <c r="E2183" s="28">
        <f>IFERROR(IF(AND(ISNUMBER(C2183),ISNUMBER(C2182),C2182&lt;&gt;0),C2183/C2182-1,""),"")</f>
        <v/>
      </c>
      <c r="F2183" s="28">
        <f>IFERROR(D2183-Dashboard!$B$4/252,"")</f>
        <v/>
      </c>
      <c r="G2183" s="28">
        <f>IFERROR(E2183-Dashboard!$B$4/252,"")</f>
        <v/>
      </c>
      <c r="H2183" s="8">
        <f>IFERROR(IF(ISNUMBER(B2183),MAX(B2183,IFERROR(H2182,B2183)),""),"")</f>
        <v/>
      </c>
      <c r="I2183" s="29">
        <f>IFERROR(IF(AND(ISNUMBER(B2183),ISNUMBER(H2183)),B2183/H2183-1,""),"")</f>
        <v/>
      </c>
      <c r="J2183" s="8">
        <f>IFERROR(IF(ISNUMBER(C2183),MAX(C2183,IFERROR(J2182,C2183)),""),"")</f>
        <v/>
      </c>
      <c r="K2183" s="29">
        <f>IFERROR(IF(AND(ISNUMBER(C2183),ISNUMBER(J2183)),C2183/J2183-1,""),"")</f>
        <v/>
      </c>
      <c r="L2183" s="28">
        <f>IFERROR(IF(AND(ISNUMBER(D2183),ISNUMBER(E2183)),D2183-E2183,""),"")</f>
        <v/>
      </c>
    </row>
    <row r="2184">
      <c r="A2184" s="7">
        <f>IFERROR(Datos!A2184,"")</f>
        <v/>
      </c>
      <c r="B2184" s="8">
        <f>IFERROR(Datos!B2184,"")</f>
        <v/>
      </c>
      <c r="C2184" s="8">
        <f>IFERROR(Datos!C2184,"")</f>
        <v/>
      </c>
      <c r="D2184" s="28">
        <f>IFERROR(IF(AND(ISNUMBER(B2184),ISNUMBER(B2183),B2183&lt;&gt;0),B2184/B2183-1,""),"")</f>
        <v/>
      </c>
      <c r="E2184" s="28">
        <f>IFERROR(IF(AND(ISNUMBER(C2184),ISNUMBER(C2183),C2183&lt;&gt;0),C2184/C2183-1,""),"")</f>
        <v/>
      </c>
      <c r="F2184" s="28">
        <f>IFERROR(D2184-Dashboard!$B$4/252,"")</f>
        <v/>
      </c>
      <c r="G2184" s="28">
        <f>IFERROR(E2184-Dashboard!$B$4/252,"")</f>
        <v/>
      </c>
      <c r="H2184" s="8">
        <f>IFERROR(IF(ISNUMBER(B2184),MAX(B2184,IFERROR(H2183,B2184)),""),"")</f>
        <v/>
      </c>
      <c r="I2184" s="29">
        <f>IFERROR(IF(AND(ISNUMBER(B2184),ISNUMBER(H2184)),B2184/H2184-1,""),"")</f>
        <v/>
      </c>
      <c r="J2184" s="8">
        <f>IFERROR(IF(ISNUMBER(C2184),MAX(C2184,IFERROR(J2183,C2184)),""),"")</f>
        <v/>
      </c>
      <c r="K2184" s="29">
        <f>IFERROR(IF(AND(ISNUMBER(C2184),ISNUMBER(J2184)),C2184/J2184-1,""),"")</f>
        <v/>
      </c>
      <c r="L2184" s="28">
        <f>IFERROR(IF(AND(ISNUMBER(D2184),ISNUMBER(E2184)),D2184-E2184,""),"")</f>
        <v/>
      </c>
    </row>
    <row r="2185">
      <c r="A2185" s="7">
        <f>IFERROR(Datos!A2185,"")</f>
        <v/>
      </c>
      <c r="B2185" s="8">
        <f>IFERROR(Datos!B2185,"")</f>
        <v/>
      </c>
      <c r="C2185" s="8">
        <f>IFERROR(Datos!C2185,"")</f>
        <v/>
      </c>
      <c r="D2185" s="28">
        <f>IFERROR(IF(AND(ISNUMBER(B2185),ISNUMBER(B2184),B2184&lt;&gt;0),B2185/B2184-1,""),"")</f>
        <v/>
      </c>
      <c r="E2185" s="28">
        <f>IFERROR(IF(AND(ISNUMBER(C2185),ISNUMBER(C2184),C2184&lt;&gt;0),C2185/C2184-1,""),"")</f>
        <v/>
      </c>
      <c r="F2185" s="28">
        <f>IFERROR(D2185-Dashboard!$B$4/252,"")</f>
        <v/>
      </c>
      <c r="G2185" s="28">
        <f>IFERROR(E2185-Dashboard!$B$4/252,"")</f>
        <v/>
      </c>
      <c r="H2185" s="8">
        <f>IFERROR(IF(ISNUMBER(B2185),MAX(B2185,IFERROR(H2184,B2185)),""),"")</f>
        <v/>
      </c>
      <c r="I2185" s="29">
        <f>IFERROR(IF(AND(ISNUMBER(B2185),ISNUMBER(H2185)),B2185/H2185-1,""),"")</f>
        <v/>
      </c>
      <c r="J2185" s="8">
        <f>IFERROR(IF(ISNUMBER(C2185),MAX(C2185,IFERROR(J2184,C2185)),""),"")</f>
        <v/>
      </c>
      <c r="K2185" s="29">
        <f>IFERROR(IF(AND(ISNUMBER(C2185),ISNUMBER(J2185)),C2185/J2185-1,""),"")</f>
        <v/>
      </c>
      <c r="L2185" s="28">
        <f>IFERROR(IF(AND(ISNUMBER(D2185),ISNUMBER(E2185)),D2185-E2185,""),"")</f>
        <v/>
      </c>
    </row>
    <row r="2186">
      <c r="A2186" s="7">
        <f>IFERROR(Datos!A2186,"")</f>
        <v/>
      </c>
      <c r="B2186" s="8">
        <f>IFERROR(Datos!B2186,"")</f>
        <v/>
      </c>
      <c r="C2186" s="8">
        <f>IFERROR(Datos!C2186,"")</f>
        <v/>
      </c>
      <c r="D2186" s="28">
        <f>IFERROR(IF(AND(ISNUMBER(B2186),ISNUMBER(B2185),B2185&lt;&gt;0),B2186/B2185-1,""),"")</f>
        <v/>
      </c>
      <c r="E2186" s="28">
        <f>IFERROR(IF(AND(ISNUMBER(C2186),ISNUMBER(C2185),C2185&lt;&gt;0),C2186/C2185-1,""),"")</f>
        <v/>
      </c>
      <c r="F2186" s="28">
        <f>IFERROR(D2186-Dashboard!$B$4/252,"")</f>
        <v/>
      </c>
      <c r="G2186" s="28">
        <f>IFERROR(E2186-Dashboard!$B$4/252,"")</f>
        <v/>
      </c>
      <c r="H2186" s="8">
        <f>IFERROR(IF(ISNUMBER(B2186),MAX(B2186,IFERROR(H2185,B2186)),""),"")</f>
        <v/>
      </c>
      <c r="I2186" s="29">
        <f>IFERROR(IF(AND(ISNUMBER(B2186),ISNUMBER(H2186)),B2186/H2186-1,""),"")</f>
        <v/>
      </c>
      <c r="J2186" s="8">
        <f>IFERROR(IF(ISNUMBER(C2186),MAX(C2186,IFERROR(J2185,C2186)),""),"")</f>
        <v/>
      </c>
      <c r="K2186" s="29">
        <f>IFERROR(IF(AND(ISNUMBER(C2186),ISNUMBER(J2186)),C2186/J2186-1,""),"")</f>
        <v/>
      </c>
      <c r="L2186" s="28">
        <f>IFERROR(IF(AND(ISNUMBER(D2186),ISNUMBER(E2186)),D2186-E2186,""),"")</f>
        <v/>
      </c>
    </row>
    <row r="2187">
      <c r="A2187" s="7">
        <f>IFERROR(Datos!A2187,"")</f>
        <v/>
      </c>
      <c r="B2187" s="8">
        <f>IFERROR(Datos!B2187,"")</f>
        <v/>
      </c>
      <c r="C2187" s="8">
        <f>IFERROR(Datos!C2187,"")</f>
        <v/>
      </c>
      <c r="D2187" s="28">
        <f>IFERROR(IF(AND(ISNUMBER(B2187),ISNUMBER(B2186),B2186&lt;&gt;0),B2187/B2186-1,""),"")</f>
        <v/>
      </c>
      <c r="E2187" s="28">
        <f>IFERROR(IF(AND(ISNUMBER(C2187),ISNUMBER(C2186),C2186&lt;&gt;0),C2187/C2186-1,""),"")</f>
        <v/>
      </c>
      <c r="F2187" s="28">
        <f>IFERROR(D2187-Dashboard!$B$4/252,"")</f>
        <v/>
      </c>
      <c r="G2187" s="28">
        <f>IFERROR(E2187-Dashboard!$B$4/252,"")</f>
        <v/>
      </c>
      <c r="H2187" s="8">
        <f>IFERROR(IF(ISNUMBER(B2187),MAX(B2187,IFERROR(H2186,B2187)),""),"")</f>
        <v/>
      </c>
      <c r="I2187" s="29">
        <f>IFERROR(IF(AND(ISNUMBER(B2187),ISNUMBER(H2187)),B2187/H2187-1,""),"")</f>
        <v/>
      </c>
      <c r="J2187" s="8">
        <f>IFERROR(IF(ISNUMBER(C2187),MAX(C2187,IFERROR(J2186,C2187)),""),"")</f>
        <v/>
      </c>
      <c r="K2187" s="29">
        <f>IFERROR(IF(AND(ISNUMBER(C2187),ISNUMBER(J2187)),C2187/J2187-1,""),"")</f>
        <v/>
      </c>
      <c r="L2187" s="28">
        <f>IFERROR(IF(AND(ISNUMBER(D2187),ISNUMBER(E2187)),D2187-E2187,""),"")</f>
        <v/>
      </c>
    </row>
    <row r="2188">
      <c r="A2188" s="7">
        <f>IFERROR(Datos!A2188,"")</f>
        <v/>
      </c>
      <c r="B2188" s="8">
        <f>IFERROR(Datos!B2188,"")</f>
        <v/>
      </c>
      <c r="C2188" s="8">
        <f>IFERROR(Datos!C2188,"")</f>
        <v/>
      </c>
      <c r="D2188" s="28">
        <f>IFERROR(IF(AND(ISNUMBER(B2188),ISNUMBER(B2187),B2187&lt;&gt;0),B2188/B2187-1,""),"")</f>
        <v/>
      </c>
      <c r="E2188" s="28">
        <f>IFERROR(IF(AND(ISNUMBER(C2188),ISNUMBER(C2187),C2187&lt;&gt;0),C2188/C2187-1,""),"")</f>
        <v/>
      </c>
      <c r="F2188" s="28">
        <f>IFERROR(D2188-Dashboard!$B$4/252,"")</f>
        <v/>
      </c>
      <c r="G2188" s="28">
        <f>IFERROR(E2188-Dashboard!$B$4/252,"")</f>
        <v/>
      </c>
      <c r="H2188" s="8">
        <f>IFERROR(IF(ISNUMBER(B2188),MAX(B2188,IFERROR(H2187,B2188)),""),"")</f>
        <v/>
      </c>
      <c r="I2188" s="29">
        <f>IFERROR(IF(AND(ISNUMBER(B2188),ISNUMBER(H2188)),B2188/H2188-1,""),"")</f>
        <v/>
      </c>
      <c r="J2188" s="8">
        <f>IFERROR(IF(ISNUMBER(C2188),MAX(C2188,IFERROR(J2187,C2188)),""),"")</f>
        <v/>
      </c>
      <c r="K2188" s="29">
        <f>IFERROR(IF(AND(ISNUMBER(C2188),ISNUMBER(J2188)),C2188/J2188-1,""),"")</f>
        <v/>
      </c>
      <c r="L2188" s="28">
        <f>IFERROR(IF(AND(ISNUMBER(D2188),ISNUMBER(E2188)),D2188-E2188,""),"")</f>
        <v/>
      </c>
    </row>
    <row r="2189">
      <c r="A2189" s="7">
        <f>IFERROR(Datos!A2189,"")</f>
        <v/>
      </c>
      <c r="B2189" s="8">
        <f>IFERROR(Datos!B2189,"")</f>
        <v/>
      </c>
      <c r="C2189" s="8">
        <f>IFERROR(Datos!C2189,"")</f>
        <v/>
      </c>
      <c r="D2189" s="28">
        <f>IFERROR(IF(AND(ISNUMBER(B2189),ISNUMBER(B2188),B2188&lt;&gt;0),B2189/B2188-1,""),"")</f>
        <v/>
      </c>
      <c r="E2189" s="28">
        <f>IFERROR(IF(AND(ISNUMBER(C2189),ISNUMBER(C2188),C2188&lt;&gt;0),C2189/C2188-1,""),"")</f>
        <v/>
      </c>
      <c r="F2189" s="28">
        <f>IFERROR(D2189-Dashboard!$B$4/252,"")</f>
        <v/>
      </c>
      <c r="G2189" s="28">
        <f>IFERROR(E2189-Dashboard!$B$4/252,"")</f>
        <v/>
      </c>
      <c r="H2189" s="8">
        <f>IFERROR(IF(ISNUMBER(B2189),MAX(B2189,IFERROR(H2188,B2189)),""),"")</f>
        <v/>
      </c>
      <c r="I2189" s="29">
        <f>IFERROR(IF(AND(ISNUMBER(B2189),ISNUMBER(H2189)),B2189/H2189-1,""),"")</f>
        <v/>
      </c>
      <c r="J2189" s="8">
        <f>IFERROR(IF(ISNUMBER(C2189),MAX(C2189,IFERROR(J2188,C2189)),""),"")</f>
        <v/>
      </c>
      <c r="K2189" s="29">
        <f>IFERROR(IF(AND(ISNUMBER(C2189),ISNUMBER(J2189)),C2189/J2189-1,""),"")</f>
        <v/>
      </c>
      <c r="L2189" s="28">
        <f>IFERROR(IF(AND(ISNUMBER(D2189),ISNUMBER(E2189)),D2189-E2189,""),"")</f>
        <v/>
      </c>
    </row>
    <row r="2190">
      <c r="A2190" s="7">
        <f>IFERROR(Datos!A2190,"")</f>
        <v/>
      </c>
      <c r="B2190" s="8">
        <f>IFERROR(Datos!B2190,"")</f>
        <v/>
      </c>
      <c r="C2190" s="8">
        <f>IFERROR(Datos!C2190,"")</f>
        <v/>
      </c>
      <c r="D2190" s="28">
        <f>IFERROR(IF(AND(ISNUMBER(B2190),ISNUMBER(B2189),B2189&lt;&gt;0),B2190/B2189-1,""),"")</f>
        <v/>
      </c>
      <c r="E2190" s="28">
        <f>IFERROR(IF(AND(ISNUMBER(C2190),ISNUMBER(C2189),C2189&lt;&gt;0),C2190/C2189-1,""),"")</f>
        <v/>
      </c>
      <c r="F2190" s="28">
        <f>IFERROR(D2190-Dashboard!$B$4/252,"")</f>
        <v/>
      </c>
      <c r="G2190" s="28">
        <f>IFERROR(E2190-Dashboard!$B$4/252,"")</f>
        <v/>
      </c>
      <c r="H2190" s="8">
        <f>IFERROR(IF(ISNUMBER(B2190),MAX(B2190,IFERROR(H2189,B2190)),""),"")</f>
        <v/>
      </c>
      <c r="I2190" s="29">
        <f>IFERROR(IF(AND(ISNUMBER(B2190),ISNUMBER(H2190)),B2190/H2190-1,""),"")</f>
        <v/>
      </c>
      <c r="J2190" s="8">
        <f>IFERROR(IF(ISNUMBER(C2190),MAX(C2190,IFERROR(J2189,C2190)),""),"")</f>
        <v/>
      </c>
      <c r="K2190" s="29">
        <f>IFERROR(IF(AND(ISNUMBER(C2190),ISNUMBER(J2190)),C2190/J2190-1,""),"")</f>
        <v/>
      </c>
      <c r="L2190" s="28">
        <f>IFERROR(IF(AND(ISNUMBER(D2190),ISNUMBER(E2190)),D2190-E2190,""),"")</f>
        <v/>
      </c>
    </row>
    <row r="2191">
      <c r="A2191" s="7">
        <f>IFERROR(Datos!A2191,"")</f>
        <v/>
      </c>
      <c r="B2191" s="8">
        <f>IFERROR(Datos!B2191,"")</f>
        <v/>
      </c>
      <c r="C2191" s="8">
        <f>IFERROR(Datos!C2191,"")</f>
        <v/>
      </c>
      <c r="D2191" s="28">
        <f>IFERROR(IF(AND(ISNUMBER(B2191),ISNUMBER(B2190),B2190&lt;&gt;0),B2191/B2190-1,""),"")</f>
        <v/>
      </c>
      <c r="E2191" s="28">
        <f>IFERROR(IF(AND(ISNUMBER(C2191),ISNUMBER(C2190),C2190&lt;&gt;0),C2191/C2190-1,""),"")</f>
        <v/>
      </c>
      <c r="F2191" s="28">
        <f>IFERROR(D2191-Dashboard!$B$4/252,"")</f>
        <v/>
      </c>
      <c r="G2191" s="28">
        <f>IFERROR(E2191-Dashboard!$B$4/252,"")</f>
        <v/>
      </c>
      <c r="H2191" s="8">
        <f>IFERROR(IF(ISNUMBER(B2191),MAX(B2191,IFERROR(H2190,B2191)),""),"")</f>
        <v/>
      </c>
      <c r="I2191" s="29">
        <f>IFERROR(IF(AND(ISNUMBER(B2191),ISNUMBER(H2191)),B2191/H2191-1,""),"")</f>
        <v/>
      </c>
      <c r="J2191" s="8">
        <f>IFERROR(IF(ISNUMBER(C2191),MAX(C2191,IFERROR(J2190,C2191)),""),"")</f>
        <v/>
      </c>
      <c r="K2191" s="29">
        <f>IFERROR(IF(AND(ISNUMBER(C2191),ISNUMBER(J2191)),C2191/J2191-1,""),"")</f>
        <v/>
      </c>
      <c r="L2191" s="28">
        <f>IFERROR(IF(AND(ISNUMBER(D2191),ISNUMBER(E2191)),D2191-E2191,""),"")</f>
        <v/>
      </c>
    </row>
    <row r="2192">
      <c r="A2192" s="7">
        <f>IFERROR(Datos!A2192,"")</f>
        <v/>
      </c>
      <c r="B2192" s="8">
        <f>IFERROR(Datos!B2192,"")</f>
        <v/>
      </c>
      <c r="C2192" s="8">
        <f>IFERROR(Datos!C2192,"")</f>
        <v/>
      </c>
      <c r="D2192" s="28">
        <f>IFERROR(IF(AND(ISNUMBER(B2192),ISNUMBER(B2191),B2191&lt;&gt;0),B2192/B2191-1,""),"")</f>
        <v/>
      </c>
      <c r="E2192" s="28">
        <f>IFERROR(IF(AND(ISNUMBER(C2192),ISNUMBER(C2191),C2191&lt;&gt;0),C2192/C2191-1,""),"")</f>
        <v/>
      </c>
      <c r="F2192" s="28">
        <f>IFERROR(D2192-Dashboard!$B$4/252,"")</f>
        <v/>
      </c>
      <c r="G2192" s="28">
        <f>IFERROR(E2192-Dashboard!$B$4/252,"")</f>
        <v/>
      </c>
      <c r="H2192" s="8">
        <f>IFERROR(IF(ISNUMBER(B2192),MAX(B2192,IFERROR(H2191,B2192)),""),"")</f>
        <v/>
      </c>
      <c r="I2192" s="29">
        <f>IFERROR(IF(AND(ISNUMBER(B2192),ISNUMBER(H2192)),B2192/H2192-1,""),"")</f>
        <v/>
      </c>
      <c r="J2192" s="8">
        <f>IFERROR(IF(ISNUMBER(C2192),MAX(C2192,IFERROR(J2191,C2192)),""),"")</f>
        <v/>
      </c>
      <c r="K2192" s="29">
        <f>IFERROR(IF(AND(ISNUMBER(C2192),ISNUMBER(J2192)),C2192/J2192-1,""),"")</f>
        <v/>
      </c>
      <c r="L2192" s="28">
        <f>IFERROR(IF(AND(ISNUMBER(D2192),ISNUMBER(E2192)),D2192-E2192,""),"")</f>
        <v/>
      </c>
    </row>
    <row r="2193">
      <c r="A2193" s="7">
        <f>IFERROR(Datos!A2193,"")</f>
        <v/>
      </c>
      <c r="B2193" s="8">
        <f>IFERROR(Datos!B2193,"")</f>
        <v/>
      </c>
      <c r="C2193" s="8">
        <f>IFERROR(Datos!C2193,"")</f>
        <v/>
      </c>
      <c r="D2193" s="28">
        <f>IFERROR(IF(AND(ISNUMBER(B2193),ISNUMBER(B2192),B2192&lt;&gt;0),B2193/B2192-1,""),"")</f>
        <v/>
      </c>
      <c r="E2193" s="28">
        <f>IFERROR(IF(AND(ISNUMBER(C2193),ISNUMBER(C2192),C2192&lt;&gt;0),C2193/C2192-1,""),"")</f>
        <v/>
      </c>
      <c r="F2193" s="28">
        <f>IFERROR(D2193-Dashboard!$B$4/252,"")</f>
        <v/>
      </c>
      <c r="G2193" s="28">
        <f>IFERROR(E2193-Dashboard!$B$4/252,"")</f>
        <v/>
      </c>
      <c r="H2193" s="8">
        <f>IFERROR(IF(ISNUMBER(B2193),MAX(B2193,IFERROR(H2192,B2193)),""),"")</f>
        <v/>
      </c>
      <c r="I2193" s="29">
        <f>IFERROR(IF(AND(ISNUMBER(B2193),ISNUMBER(H2193)),B2193/H2193-1,""),"")</f>
        <v/>
      </c>
      <c r="J2193" s="8">
        <f>IFERROR(IF(ISNUMBER(C2193),MAX(C2193,IFERROR(J2192,C2193)),""),"")</f>
        <v/>
      </c>
      <c r="K2193" s="29">
        <f>IFERROR(IF(AND(ISNUMBER(C2193),ISNUMBER(J2193)),C2193/J2193-1,""),"")</f>
        <v/>
      </c>
      <c r="L2193" s="28">
        <f>IFERROR(IF(AND(ISNUMBER(D2193),ISNUMBER(E2193)),D2193-E2193,""),"")</f>
        <v/>
      </c>
    </row>
    <row r="2194">
      <c r="A2194" s="7">
        <f>IFERROR(Datos!A2194,"")</f>
        <v/>
      </c>
      <c r="B2194" s="8">
        <f>IFERROR(Datos!B2194,"")</f>
        <v/>
      </c>
      <c r="C2194" s="8">
        <f>IFERROR(Datos!C2194,"")</f>
        <v/>
      </c>
      <c r="D2194" s="28">
        <f>IFERROR(IF(AND(ISNUMBER(B2194),ISNUMBER(B2193),B2193&lt;&gt;0),B2194/B2193-1,""),"")</f>
        <v/>
      </c>
      <c r="E2194" s="28">
        <f>IFERROR(IF(AND(ISNUMBER(C2194),ISNUMBER(C2193),C2193&lt;&gt;0),C2194/C2193-1,""),"")</f>
        <v/>
      </c>
      <c r="F2194" s="28">
        <f>IFERROR(D2194-Dashboard!$B$4/252,"")</f>
        <v/>
      </c>
      <c r="G2194" s="28">
        <f>IFERROR(E2194-Dashboard!$B$4/252,"")</f>
        <v/>
      </c>
      <c r="H2194" s="8">
        <f>IFERROR(IF(ISNUMBER(B2194),MAX(B2194,IFERROR(H2193,B2194)),""),"")</f>
        <v/>
      </c>
      <c r="I2194" s="29">
        <f>IFERROR(IF(AND(ISNUMBER(B2194),ISNUMBER(H2194)),B2194/H2194-1,""),"")</f>
        <v/>
      </c>
      <c r="J2194" s="8">
        <f>IFERROR(IF(ISNUMBER(C2194),MAX(C2194,IFERROR(J2193,C2194)),""),"")</f>
        <v/>
      </c>
      <c r="K2194" s="29">
        <f>IFERROR(IF(AND(ISNUMBER(C2194),ISNUMBER(J2194)),C2194/J2194-1,""),"")</f>
        <v/>
      </c>
      <c r="L2194" s="28">
        <f>IFERROR(IF(AND(ISNUMBER(D2194),ISNUMBER(E2194)),D2194-E2194,""),"")</f>
        <v/>
      </c>
    </row>
    <row r="2195">
      <c r="A2195" s="7">
        <f>IFERROR(Datos!A2195,"")</f>
        <v/>
      </c>
      <c r="B2195" s="8">
        <f>IFERROR(Datos!B2195,"")</f>
        <v/>
      </c>
      <c r="C2195" s="8">
        <f>IFERROR(Datos!C2195,"")</f>
        <v/>
      </c>
      <c r="D2195" s="28">
        <f>IFERROR(IF(AND(ISNUMBER(B2195),ISNUMBER(B2194),B2194&lt;&gt;0),B2195/B2194-1,""),"")</f>
        <v/>
      </c>
      <c r="E2195" s="28">
        <f>IFERROR(IF(AND(ISNUMBER(C2195),ISNUMBER(C2194),C2194&lt;&gt;0),C2195/C2194-1,""),"")</f>
        <v/>
      </c>
      <c r="F2195" s="28">
        <f>IFERROR(D2195-Dashboard!$B$4/252,"")</f>
        <v/>
      </c>
      <c r="G2195" s="28">
        <f>IFERROR(E2195-Dashboard!$B$4/252,"")</f>
        <v/>
      </c>
      <c r="H2195" s="8">
        <f>IFERROR(IF(ISNUMBER(B2195),MAX(B2195,IFERROR(H2194,B2195)),""),"")</f>
        <v/>
      </c>
      <c r="I2195" s="29">
        <f>IFERROR(IF(AND(ISNUMBER(B2195),ISNUMBER(H2195)),B2195/H2195-1,""),"")</f>
        <v/>
      </c>
      <c r="J2195" s="8">
        <f>IFERROR(IF(ISNUMBER(C2195),MAX(C2195,IFERROR(J2194,C2195)),""),"")</f>
        <v/>
      </c>
      <c r="K2195" s="29">
        <f>IFERROR(IF(AND(ISNUMBER(C2195),ISNUMBER(J2195)),C2195/J2195-1,""),"")</f>
        <v/>
      </c>
      <c r="L2195" s="28">
        <f>IFERROR(IF(AND(ISNUMBER(D2195),ISNUMBER(E2195)),D2195-E2195,""),"")</f>
        <v/>
      </c>
    </row>
    <row r="2196">
      <c r="A2196" s="7">
        <f>IFERROR(Datos!A2196,"")</f>
        <v/>
      </c>
      <c r="B2196" s="8">
        <f>IFERROR(Datos!B2196,"")</f>
        <v/>
      </c>
      <c r="C2196" s="8">
        <f>IFERROR(Datos!C2196,"")</f>
        <v/>
      </c>
      <c r="D2196" s="28">
        <f>IFERROR(IF(AND(ISNUMBER(B2196),ISNUMBER(B2195),B2195&lt;&gt;0),B2196/B2195-1,""),"")</f>
        <v/>
      </c>
      <c r="E2196" s="28">
        <f>IFERROR(IF(AND(ISNUMBER(C2196),ISNUMBER(C2195),C2195&lt;&gt;0),C2196/C2195-1,""),"")</f>
        <v/>
      </c>
      <c r="F2196" s="28">
        <f>IFERROR(D2196-Dashboard!$B$4/252,"")</f>
        <v/>
      </c>
      <c r="G2196" s="28">
        <f>IFERROR(E2196-Dashboard!$B$4/252,"")</f>
        <v/>
      </c>
      <c r="H2196" s="8">
        <f>IFERROR(IF(ISNUMBER(B2196),MAX(B2196,IFERROR(H2195,B2196)),""),"")</f>
        <v/>
      </c>
      <c r="I2196" s="29">
        <f>IFERROR(IF(AND(ISNUMBER(B2196),ISNUMBER(H2196)),B2196/H2196-1,""),"")</f>
        <v/>
      </c>
      <c r="J2196" s="8">
        <f>IFERROR(IF(ISNUMBER(C2196),MAX(C2196,IFERROR(J2195,C2196)),""),"")</f>
        <v/>
      </c>
      <c r="K2196" s="29">
        <f>IFERROR(IF(AND(ISNUMBER(C2196),ISNUMBER(J2196)),C2196/J2196-1,""),"")</f>
        <v/>
      </c>
      <c r="L2196" s="28">
        <f>IFERROR(IF(AND(ISNUMBER(D2196),ISNUMBER(E2196)),D2196-E2196,""),"")</f>
        <v/>
      </c>
    </row>
    <row r="2197">
      <c r="A2197" s="7">
        <f>IFERROR(Datos!A2197,"")</f>
        <v/>
      </c>
      <c r="B2197" s="8">
        <f>IFERROR(Datos!B2197,"")</f>
        <v/>
      </c>
      <c r="C2197" s="8">
        <f>IFERROR(Datos!C2197,"")</f>
        <v/>
      </c>
      <c r="D2197" s="28">
        <f>IFERROR(IF(AND(ISNUMBER(B2197),ISNUMBER(B2196),B2196&lt;&gt;0),B2197/B2196-1,""),"")</f>
        <v/>
      </c>
      <c r="E2197" s="28">
        <f>IFERROR(IF(AND(ISNUMBER(C2197),ISNUMBER(C2196),C2196&lt;&gt;0),C2197/C2196-1,""),"")</f>
        <v/>
      </c>
      <c r="F2197" s="28">
        <f>IFERROR(D2197-Dashboard!$B$4/252,"")</f>
        <v/>
      </c>
      <c r="G2197" s="28">
        <f>IFERROR(E2197-Dashboard!$B$4/252,"")</f>
        <v/>
      </c>
      <c r="H2197" s="8">
        <f>IFERROR(IF(ISNUMBER(B2197),MAX(B2197,IFERROR(H2196,B2197)),""),"")</f>
        <v/>
      </c>
      <c r="I2197" s="29">
        <f>IFERROR(IF(AND(ISNUMBER(B2197),ISNUMBER(H2197)),B2197/H2197-1,""),"")</f>
        <v/>
      </c>
      <c r="J2197" s="8">
        <f>IFERROR(IF(ISNUMBER(C2197),MAX(C2197,IFERROR(J2196,C2197)),""),"")</f>
        <v/>
      </c>
      <c r="K2197" s="29">
        <f>IFERROR(IF(AND(ISNUMBER(C2197),ISNUMBER(J2197)),C2197/J2197-1,""),"")</f>
        <v/>
      </c>
      <c r="L2197" s="28">
        <f>IFERROR(IF(AND(ISNUMBER(D2197),ISNUMBER(E2197)),D2197-E2197,""),"")</f>
        <v/>
      </c>
    </row>
    <row r="2198">
      <c r="A2198" s="7">
        <f>IFERROR(Datos!A2198,"")</f>
        <v/>
      </c>
      <c r="B2198" s="8">
        <f>IFERROR(Datos!B2198,"")</f>
        <v/>
      </c>
      <c r="C2198" s="8">
        <f>IFERROR(Datos!C2198,"")</f>
        <v/>
      </c>
      <c r="D2198" s="28">
        <f>IFERROR(IF(AND(ISNUMBER(B2198),ISNUMBER(B2197),B2197&lt;&gt;0),B2198/B2197-1,""),"")</f>
        <v/>
      </c>
      <c r="E2198" s="28">
        <f>IFERROR(IF(AND(ISNUMBER(C2198),ISNUMBER(C2197),C2197&lt;&gt;0),C2198/C2197-1,""),"")</f>
        <v/>
      </c>
      <c r="F2198" s="28">
        <f>IFERROR(D2198-Dashboard!$B$4/252,"")</f>
        <v/>
      </c>
      <c r="G2198" s="28">
        <f>IFERROR(E2198-Dashboard!$B$4/252,"")</f>
        <v/>
      </c>
      <c r="H2198" s="8">
        <f>IFERROR(IF(ISNUMBER(B2198),MAX(B2198,IFERROR(H2197,B2198)),""),"")</f>
        <v/>
      </c>
      <c r="I2198" s="29">
        <f>IFERROR(IF(AND(ISNUMBER(B2198),ISNUMBER(H2198)),B2198/H2198-1,""),"")</f>
        <v/>
      </c>
      <c r="J2198" s="8">
        <f>IFERROR(IF(ISNUMBER(C2198),MAX(C2198,IFERROR(J2197,C2198)),""),"")</f>
        <v/>
      </c>
      <c r="K2198" s="29">
        <f>IFERROR(IF(AND(ISNUMBER(C2198),ISNUMBER(J2198)),C2198/J2198-1,""),"")</f>
        <v/>
      </c>
      <c r="L2198" s="28">
        <f>IFERROR(IF(AND(ISNUMBER(D2198),ISNUMBER(E2198)),D2198-E2198,""),"")</f>
        <v/>
      </c>
    </row>
    <row r="2199">
      <c r="A2199" s="7">
        <f>IFERROR(Datos!A2199,"")</f>
        <v/>
      </c>
      <c r="B2199" s="8">
        <f>IFERROR(Datos!B2199,"")</f>
        <v/>
      </c>
      <c r="C2199" s="8">
        <f>IFERROR(Datos!C2199,"")</f>
        <v/>
      </c>
      <c r="D2199" s="28">
        <f>IFERROR(IF(AND(ISNUMBER(B2199),ISNUMBER(B2198),B2198&lt;&gt;0),B2199/B2198-1,""),"")</f>
        <v/>
      </c>
      <c r="E2199" s="28">
        <f>IFERROR(IF(AND(ISNUMBER(C2199),ISNUMBER(C2198),C2198&lt;&gt;0),C2199/C2198-1,""),"")</f>
        <v/>
      </c>
      <c r="F2199" s="28">
        <f>IFERROR(D2199-Dashboard!$B$4/252,"")</f>
        <v/>
      </c>
      <c r="G2199" s="28">
        <f>IFERROR(E2199-Dashboard!$B$4/252,"")</f>
        <v/>
      </c>
      <c r="H2199" s="8">
        <f>IFERROR(IF(ISNUMBER(B2199),MAX(B2199,IFERROR(H2198,B2199)),""),"")</f>
        <v/>
      </c>
      <c r="I2199" s="29">
        <f>IFERROR(IF(AND(ISNUMBER(B2199),ISNUMBER(H2199)),B2199/H2199-1,""),"")</f>
        <v/>
      </c>
      <c r="J2199" s="8">
        <f>IFERROR(IF(ISNUMBER(C2199),MAX(C2199,IFERROR(J2198,C2199)),""),"")</f>
        <v/>
      </c>
      <c r="K2199" s="29">
        <f>IFERROR(IF(AND(ISNUMBER(C2199),ISNUMBER(J2199)),C2199/J2199-1,""),"")</f>
        <v/>
      </c>
      <c r="L2199" s="28">
        <f>IFERROR(IF(AND(ISNUMBER(D2199),ISNUMBER(E2199)),D2199-E2199,""),"")</f>
        <v/>
      </c>
    </row>
    <row r="2200">
      <c r="A2200" s="7">
        <f>IFERROR(Datos!A2200,"")</f>
        <v/>
      </c>
      <c r="B2200" s="8">
        <f>IFERROR(Datos!B2200,"")</f>
        <v/>
      </c>
      <c r="C2200" s="8">
        <f>IFERROR(Datos!C2200,"")</f>
        <v/>
      </c>
      <c r="D2200" s="28">
        <f>IFERROR(IF(AND(ISNUMBER(B2200),ISNUMBER(B2199),B2199&lt;&gt;0),B2200/B2199-1,""),"")</f>
        <v/>
      </c>
      <c r="E2200" s="28">
        <f>IFERROR(IF(AND(ISNUMBER(C2200),ISNUMBER(C2199),C2199&lt;&gt;0),C2200/C2199-1,""),"")</f>
        <v/>
      </c>
      <c r="F2200" s="28">
        <f>IFERROR(D2200-Dashboard!$B$4/252,"")</f>
        <v/>
      </c>
      <c r="G2200" s="28">
        <f>IFERROR(E2200-Dashboard!$B$4/252,"")</f>
        <v/>
      </c>
      <c r="H2200" s="8">
        <f>IFERROR(IF(ISNUMBER(B2200),MAX(B2200,IFERROR(H2199,B2200)),""),"")</f>
        <v/>
      </c>
      <c r="I2200" s="29">
        <f>IFERROR(IF(AND(ISNUMBER(B2200),ISNUMBER(H2200)),B2200/H2200-1,""),"")</f>
        <v/>
      </c>
      <c r="J2200" s="8">
        <f>IFERROR(IF(ISNUMBER(C2200),MAX(C2200,IFERROR(J2199,C2200)),""),"")</f>
        <v/>
      </c>
      <c r="K2200" s="29">
        <f>IFERROR(IF(AND(ISNUMBER(C2200),ISNUMBER(J2200)),C2200/J2200-1,""),"")</f>
        <v/>
      </c>
      <c r="L2200" s="28">
        <f>IFERROR(IF(AND(ISNUMBER(D2200),ISNUMBER(E2200)),D2200-E2200,""),"")</f>
        <v/>
      </c>
    </row>
    <row r="2201">
      <c r="A2201" s="7">
        <f>IFERROR(Datos!A2201,"")</f>
        <v/>
      </c>
      <c r="B2201" s="8">
        <f>IFERROR(Datos!B2201,"")</f>
        <v/>
      </c>
      <c r="C2201" s="8">
        <f>IFERROR(Datos!C2201,"")</f>
        <v/>
      </c>
      <c r="D2201" s="28">
        <f>IFERROR(IF(AND(ISNUMBER(B2201),ISNUMBER(B2200),B2200&lt;&gt;0),B2201/B2200-1,""),"")</f>
        <v/>
      </c>
      <c r="E2201" s="28">
        <f>IFERROR(IF(AND(ISNUMBER(C2201),ISNUMBER(C2200),C2200&lt;&gt;0),C2201/C2200-1,""),"")</f>
        <v/>
      </c>
      <c r="F2201" s="28">
        <f>IFERROR(D2201-Dashboard!$B$4/252,"")</f>
        <v/>
      </c>
      <c r="G2201" s="28">
        <f>IFERROR(E2201-Dashboard!$B$4/252,"")</f>
        <v/>
      </c>
      <c r="H2201" s="8">
        <f>IFERROR(IF(ISNUMBER(B2201),MAX(B2201,IFERROR(H2200,B2201)),""),"")</f>
        <v/>
      </c>
      <c r="I2201" s="29">
        <f>IFERROR(IF(AND(ISNUMBER(B2201),ISNUMBER(H2201)),B2201/H2201-1,""),"")</f>
        <v/>
      </c>
      <c r="J2201" s="8">
        <f>IFERROR(IF(ISNUMBER(C2201),MAX(C2201,IFERROR(J2200,C2201)),""),"")</f>
        <v/>
      </c>
      <c r="K2201" s="29">
        <f>IFERROR(IF(AND(ISNUMBER(C2201),ISNUMBER(J2201)),C2201/J2201-1,""),"")</f>
        <v/>
      </c>
      <c r="L2201" s="28">
        <f>IFERROR(IF(AND(ISNUMBER(D2201),ISNUMBER(E2201)),D2201-E2201,""),"")</f>
        <v/>
      </c>
    </row>
    <row r="2202">
      <c r="A2202" s="7">
        <f>IFERROR(Datos!A2202,"")</f>
        <v/>
      </c>
      <c r="B2202" s="8">
        <f>IFERROR(Datos!B2202,"")</f>
        <v/>
      </c>
      <c r="C2202" s="8">
        <f>IFERROR(Datos!C2202,"")</f>
        <v/>
      </c>
      <c r="D2202" s="28">
        <f>IFERROR(IF(AND(ISNUMBER(B2202),ISNUMBER(B2201),B2201&lt;&gt;0),B2202/B2201-1,""),"")</f>
        <v/>
      </c>
      <c r="E2202" s="28">
        <f>IFERROR(IF(AND(ISNUMBER(C2202),ISNUMBER(C2201),C2201&lt;&gt;0),C2202/C2201-1,""),"")</f>
        <v/>
      </c>
      <c r="F2202" s="28">
        <f>IFERROR(D2202-Dashboard!$B$4/252,"")</f>
        <v/>
      </c>
      <c r="G2202" s="28">
        <f>IFERROR(E2202-Dashboard!$B$4/252,"")</f>
        <v/>
      </c>
      <c r="H2202" s="8">
        <f>IFERROR(IF(ISNUMBER(B2202),MAX(B2202,IFERROR(H2201,B2202)),""),"")</f>
        <v/>
      </c>
      <c r="I2202" s="29">
        <f>IFERROR(IF(AND(ISNUMBER(B2202),ISNUMBER(H2202)),B2202/H2202-1,""),"")</f>
        <v/>
      </c>
      <c r="J2202" s="8">
        <f>IFERROR(IF(ISNUMBER(C2202),MAX(C2202,IFERROR(J2201,C2202)),""),"")</f>
        <v/>
      </c>
      <c r="K2202" s="29">
        <f>IFERROR(IF(AND(ISNUMBER(C2202),ISNUMBER(J2202)),C2202/J2202-1,""),"")</f>
        <v/>
      </c>
      <c r="L2202" s="28">
        <f>IFERROR(IF(AND(ISNUMBER(D2202),ISNUMBER(E2202)),D2202-E2202,""),"")</f>
        <v/>
      </c>
    </row>
    <row r="2203">
      <c r="A2203" s="7">
        <f>IFERROR(Datos!A2203,"")</f>
        <v/>
      </c>
      <c r="B2203" s="8">
        <f>IFERROR(Datos!B2203,"")</f>
        <v/>
      </c>
      <c r="C2203" s="8">
        <f>IFERROR(Datos!C2203,"")</f>
        <v/>
      </c>
      <c r="D2203" s="28">
        <f>IFERROR(IF(AND(ISNUMBER(B2203),ISNUMBER(B2202),B2202&lt;&gt;0),B2203/B2202-1,""),"")</f>
        <v/>
      </c>
      <c r="E2203" s="28">
        <f>IFERROR(IF(AND(ISNUMBER(C2203),ISNUMBER(C2202),C2202&lt;&gt;0),C2203/C2202-1,""),"")</f>
        <v/>
      </c>
      <c r="F2203" s="28">
        <f>IFERROR(D2203-Dashboard!$B$4/252,"")</f>
        <v/>
      </c>
      <c r="G2203" s="28">
        <f>IFERROR(E2203-Dashboard!$B$4/252,"")</f>
        <v/>
      </c>
      <c r="H2203" s="8">
        <f>IFERROR(IF(ISNUMBER(B2203),MAX(B2203,IFERROR(H2202,B2203)),""),"")</f>
        <v/>
      </c>
      <c r="I2203" s="29">
        <f>IFERROR(IF(AND(ISNUMBER(B2203),ISNUMBER(H2203)),B2203/H2203-1,""),"")</f>
        <v/>
      </c>
      <c r="J2203" s="8">
        <f>IFERROR(IF(ISNUMBER(C2203),MAX(C2203,IFERROR(J2202,C2203)),""),"")</f>
        <v/>
      </c>
      <c r="K2203" s="29">
        <f>IFERROR(IF(AND(ISNUMBER(C2203),ISNUMBER(J2203)),C2203/J2203-1,""),"")</f>
        <v/>
      </c>
      <c r="L2203" s="28">
        <f>IFERROR(IF(AND(ISNUMBER(D2203),ISNUMBER(E2203)),D2203-E2203,""),"")</f>
        <v/>
      </c>
    </row>
    <row r="2204">
      <c r="A2204" s="7">
        <f>IFERROR(Datos!A2204,"")</f>
        <v/>
      </c>
      <c r="B2204" s="8">
        <f>IFERROR(Datos!B2204,"")</f>
        <v/>
      </c>
      <c r="C2204" s="8">
        <f>IFERROR(Datos!C2204,"")</f>
        <v/>
      </c>
      <c r="D2204" s="28">
        <f>IFERROR(IF(AND(ISNUMBER(B2204),ISNUMBER(B2203),B2203&lt;&gt;0),B2204/B2203-1,""),"")</f>
        <v/>
      </c>
      <c r="E2204" s="28">
        <f>IFERROR(IF(AND(ISNUMBER(C2204),ISNUMBER(C2203),C2203&lt;&gt;0),C2204/C2203-1,""),"")</f>
        <v/>
      </c>
      <c r="F2204" s="28">
        <f>IFERROR(D2204-Dashboard!$B$4/252,"")</f>
        <v/>
      </c>
      <c r="G2204" s="28">
        <f>IFERROR(E2204-Dashboard!$B$4/252,"")</f>
        <v/>
      </c>
      <c r="H2204" s="8">
        <f>IFERROR(IF(ISNUMBER(B2204),MAX(B2204,IFERROR(H2203,B2204)),""),"")</f>
        <v/>
      </c>
      <c r="I2204" s="29">
        <f>IFERROR(IF(AND(ISNUMBER(B2204),ISNUMBER(H2204)),B2204/H2204-1,""),"")</f>
        <v/>
      </c>
      <c r="J2204" s="8">
        <f>IFERROR(IF(ISNUMBER(C2204),MAX(C2204,IFERROR(J2203,C2204)),""),"")</f>
        <v/>
      </c>
      <c r="K2204" s="29">
        <f>IFERROR(IF(AND(ISNUMBER(C2204),ISNUMBER(J2204)),C2204/J2204-1,""),"")</f>
        <v/>
      </c>
      <c r="L2204" s="28">
        <f>IFERROR(IF(AND(ISNUMBER(D2204),ISNUMBER(E2204)),D2204-E2204,""),"")</f>
        <v/>
      </c>
    </row>
    <row r="2205">
      <c r="A2205" s="7">
        <f>IFERROR(Datos!A2205,"")</f>
        <v/>
      </c>
      <c r="B2205" s="8">
        <f>IFERROR(Datos!B2205,"")</f>
        <v/>
      </c>
      <c r="C2205" s="8">
        <f>IFERROR(Datos!C2205,"")</f>
        <v/>
      </c>
      <c r="D2205" s="28">
        <f>IFERROR(IF(AND(ISNUMBER(B2205),ISNUMBER(B2204),B2204&lt;&gt;0),B2205/B2204-1,""),"")</f>
        <v/>
      </c>
      <c r="E2205" s="28">
        <f>IFERROR(IF(AND(ISNUMBER(C2205),ISNUMBER(C2204),C2204&lt;&gt;0),C2205/C2204-1,""),"")</f>
        <v/>
      </c>
      <c r="F2205" s="28">
        <f>IFERROR(D2205-Dashboard!$B$4/252,"")</f>
        <v/>
      </c>
      <c r="G2205" s="28">
        <f>IFERROR(E2205-Dashboard!$B$4/252,"")</f>
        <v/>
      </c>
      <c r="H2205" s="8">
        <f>IFERROR(IF(ISNUMBER(B2205),MAX(B2205,IFERROR(H2204,B2205)),""),"")</f>
        <v/>
      </c>
      <c r="I2205" s="29">
        <f>IFERROR(IF(AND(ISNUMBER(B2205),ISNUMBER(H2205)),B2205/H2205-1,""),"")</f>
        <v/>
      </c>
      <c r="J2205" s="8">
        <f>IFERROR(IF(ISNUMBER(C2205),MAX(C2205,IFERROR(J2204,C2205)),""),"")</f>
        <v/>
      </c>
      <c r="K2205" s="29">
        <f>IFERROR(IF(AND(ISNUMBER(C2205),ISNUMBER(J2205)),C2205/J2205-1,""),"")</f>
        <v/>
      </c>
      <c r="L2205" s="28">
        <f>IFERROR(IF(AND(ISNUMBER(D2205),ISNUMBER(E2205)),D2205-E2205,""),"")</f>
        <v/>
      </c>
    </row>
    <row r="2206">
      <c r="A2206" s="7">
        <f>IFERROR(Datos!A2206,"")</f>
        <v/>
      </c>
      <c r="B2206" s="8">
        <f>IFERROR(Datos!B2206,"")</f>
        <v/>
      </c>
      <c r="C2206" s="8">
        <f>IFERROR(Datos!C2206,"")</f>
        <v/>
      </c>
      <c r="D2206" s="28">
        <f>IFERROR(IF(AND(ISNUMBER(B2206),ISNUMBER(B2205),B2205&lt;&gt;0),B2206/B2205-1,""),"")</f>
        <v/>
      </c>
      <c r="E2206" s="28">
        <f>IFERROR(IF(AND(ISNUMBER(C2206),ISNUMBER(C2205),C2205&lt;&gt;0),C2206/C2205-1,""),"")</f>
        <v/>
      </c>
      <c r="F2206" s="28">
        <f>IFERROR(D2206-Dashboard!$B$4/252,"")</f>
        <v/>
      </c>
      <c r="G2206" s="28">
        <f>IFERROR(E2206-Dashboard!$B$4/252,"")</f>
        <v/>
      </c>
      <c r="H2206" s="8">
        <f>IFERROR(IF(ISNUMBER(B2206),MAX(B2206,IFERROR(H2205,B2206)),""),"")</f>
        <v/>
      </c>
      <c r="I2206" s="29">
        <f>IFERROR(IF(AND(ISNUMBER(B2206),ISNUMBER(H2206)),B2206/H2206-1,""),"")</f>
        <v/>
      </c>
      <c r="J2206" s="8">
        <f>IFERROR(IF(ISNUMBER(C2206),MAX(C2206,IFERROR(J2205,C2206)),""),"")</f>
        <v/>
      </c>
      <c r="K2206" s="29">
        <f>IFERROR(IF(AND(ISNUMBER(C2206),ISNUMBER(J2206)),C2206/J2206-1,""),"")</f>
        <v/>
      </c>
      <c r="L2206" s="28">
        <f>IFERROR(IF(AND(ISNUMBER(D2206),ISNUMBER(E2206)),D2206-E2206,""),"")</f>
        <v/>
      </c>
    </row>
    <row r="2207">
      <c r="A2207" s="7">
        <f>IFERROR(Datos!A2207,"")</f>
        <v/>
      </c>
      <c r="B2207" s="8">
        <f>IFERROR(Datos!B2207,"")</f>
        <v/>
      </c>
      <c r="C2207" s="8">
        <f>IFERROR(Datos!C2207,"")</f>
        <v/>
      </c>
      <c r="D2207" s="28">
        <f>IFERROR(IF(AND(ISNUMBER(B2207),ISNUMBER(B2206),B2206&lt;&gt;0),B2207/B2206-1,""),"")</f>
        <v/>
      </c>
      <c r="E2207" s="28">
        <f>IFERROR(IF(AND(ISNUMBER(C2207),ISNUMBER(C2206),C2206&lt;&gt;0),C2207/C2206-1,""),"")</f>
        <v/>
      </c>
      <c r="F2207" s="28">
        <f>IFERROR(D2207-Dashboard!$B$4/252,"")</f>
        <v/>
      </c>
      <c r="G2207" s="28">
        <f>IFERROR(E2207-Dashboard!$B$4/252,"")</f>
        <v/>
      </c>
      <c r="H2207" s="8">
        <f>IFERROR(IF(ISNUMBER(B2207),MAX(B2207,IFERROR(H2206,B2207)),""),"")</f>
        <v/>
      </c>
      <c r="I2207" s="29">
        <f>IFERROR(IF(AND(ISNUMBER(B2207),ISNUMBER(H2207)),B2207/H2207-1,""),"")</f>
        <v/>
      </c>
      <c r="J2207" s="8">
        <f>IFERROR(IF(ISNUMBER(C2207),MAX(C2207,IFERROR(J2206,C2207)),""),"")</f>
        <v/>
      </c>
      <c r="K2207" s="29">
        <f>IFERROR(IF(AND(ISNUMBER(C2207),ISNUMBER(J2207)),C2207/J2207-1,""),"")</f>
        <v/>
      </c>
      <c r="L2207" s="28">
        <f>IFERROR(IF(AND(ISNUMBER(D2207),ISNUMBER(E2207)),D2207-E2207,""),"")</f>
        <v/>
      </c>
    </row>
    <row r="2208">
      <c r="A2208" s="7">
        <f>IFERROR(Datos!A2208,"")</f>
        <v/>
      </c>
      <c r="B2208" s="8">
        <f>IFERROR(Datos!B2208,"")</f>
        <v/>
      </c>
      <c r="C2208" s="8">
        <f>IFERROR(Datos!C2208,"")</f>
        <v/>
      </c>
      <c r="D2208" s="28">
        <f>IFERROR(IF(AND(ISNUMBER(B2208),ISNUMBER(B2207),B2207&lt;&gt;0),B2208/B2207-1,""),"")</f>
        <v/>
      </c>
      <c r="E2208" s="28">
        <f>IFERROR(IF(AND(ISNUMBER(C2208),ISNUMBER(C2207),C2207&lt;&gt;0),C2208/C2207-1,""),"")</f>
        <v/>
      </c>
      <c r="F2208" s="28">
        <f>IFERROR(D2208-Dashboard!$B$4/252,"")</f>
        <v/>
      </c>
      <c r="G2208" s="28">
        <f>IFERROR(E2208-Dashboard!$B$4/252,"")</f>
        <v/>
      </c>
      <c r="H2208" s="8">
        <f>IFERROR(IF(ISNUMBER(B2208),MAX(B2208,IFERROR(H2207,B2208)),""),"")</f>
        <v/>
      </c>
      <c r="I2208" s="29">
        <f>IFERROR(IF(AND(ISNUMBER(B2208),ISNUMBER(H2208)),B2208/H2208-1,""),"")</f>
        <v/>
      </c>
      <c r="J2208" s="8">
        <f>IFERROR(IF(ISNUMBER(C2208),MAX(C2208,IFERROR(J2207,C2208)),""),"")</f>
        <v/>
      </c>
      <c r="K2208" s="29">
        <f>IFERROR(IF(AND(ISNUMBER(C2208),ISNUMBER(J2208)),C2208/J2208-1,""),"")</f>
        <v/>
      </c>
      <c r="L2208" s="28">
        <f>IFERROR(IF(AND(ISNUMBER(D2208),ISNUMBER(E2208)),D2208-E2208,""),"")</f>
        <v/>
      </c>
    </row>
    <row r="2209">
      <c r="A2209" s="7">
        <f>IFERROR(Datos!A2209,"")</f>
        <v/>
      </c>
      <c r="B2209" s="8">
        <f>IFERROR(Datos!B2209,"")</f>
        <v/>
      </c>
      <c r="C2209" s="8">
        <f>IFERROR(Datos!C2209,"")</f>
        <v/>
      </c>
      <c r="D2209" s="28">
        <f>IFERROR(IF(AND(ISNUMBER(B2209),ISNUMBER(B2208),B2208&lt;&gt;0),B2209/B2208-1,""),"")</f>
        <v/>
      </c>
      <c r="E2209" s="28">
        <f>IFERROR(IF(AND(ISNUMBER(C2209),ISNUMBER(C2208),C2208&lt;&gt;0),C2209/C2208-1,""),"")</f>
        <v/>
      </c>
      <c r="F2209" s="28">
        <f>IFERROR(D2209-Dashboard!$B$4/252,"")</f>
        <v/>
      </c>
      <c r="G2209" s="28">
        <f>IFERROR(E2209-Dashboard!$B$4/252,"")</f>
        <v/>
      </c>
      <c r="H2209" s="8">
        <f>IFERROR(IF(ISNUMBER(B2209),MAX(B2209,IFERROR(H2208,B2209)),""),"")</f>
        <v/>
      </c>
      <c r="I2209" s="29">
        <f>IFERROR(IF(AND(ISNUMBER(B2209),ISNUMBER(H2209)),B2209/H2209-1,""),"")</f>
        <v/>
      </c>
      <c r="J2209" s="8">
        <f>IFERROR(IF(ISNUMBER(C2209),MAX(C2209,IFERROR(J2208,C2209)),""),"")</f>
        <v/>
      </c>
      <c r="K2209" s="29">
        <f>IFERROR(IF(AND(ISNUMBER(C2209),ISNUMBER(J2209)),C2209/J2209-1,""),"")</f>
        <v/>
      </c>
      <c r="L2209" s="28">
        <f>IFERROR(IF(AND(ISNUMBER(D2209),ISNUMBER(E2209)),D2209-E2209,""),"")</f>
        <v/>
      </c>
    </row>
    <row r="2210">
      <c r="A2210" s="7">
        <f>IFERROR(Datos!A2210,"")</f>
        <v/>
      </c>
      <c r="B2210" s="8">
        <f>IFERROR(Datos!B2210,"")</f>
        <v/>
      </c>
      <c r="C2210" s="8">
        <f>IFERROR(Datos!C2210,"")</f>
        <v/>
      </c>
      <c r="D2210" s="28">
        <f>IFERROR(IF(AND(ISNUMBER(B2210),ISNUMBER(B2209),B2209&lt;&gt;0),B2210/B2209-1,""),"")</f>
        <v/>
      </c>
      <c r="E2210" s="28">
        <f>IFERROR(IF(AND(ISNUMBER(C2210),ISNUMBER(C2209),C2209&lt;&gt;0),C2210/C2209-1,""),"")</f>
        <v/>
      </c>
      <c r="F2210" s="28">
        <f>IFERROR(D2210-Dashboard!$B$4/252,"")</f>
        <v/>
      </c>
      <c r="G2210" s="28">
        <f>IFERROR(E2210-Dashboard!$B$4/252,"")</f>
        <v/>
      </c>
      <c r="H2210" s="8">
        <f>IFERROR(IF(ISNUMBER(B2210),MAX(B2210,IFERROR(H2209,B2210)),""),"")</f>
        <v/>
      </c>
      <c r="I2210" s="29">
        <f>IFERROR(IF(AND(ISNUMBER(B2210),ISNUMBER(H2210)),B2210/H2210-1,""),"")</f>
        <v/>
      </c>
      <c r="J2210" s="8">
        <f>IFERROR(IF(ISNUMBER(C2210),MAX(C2210,IFERROR(J2209,C2210)),""),"")</f>
        <v/>
      </c>
      <c r="K2210" s="29">
        <f>IFERROR(IF(AND(ISNUMBER(C2210),ISNUMBER(J2210)),C2210/J2210-1,""),"")</f>
        <v/>
      </c>
      <c r="L2210" s="28">
        <f>IFERROR(IF(AND(ISNUMBER(D2210),ISNUMBER(E2210)),D2210-E2210,""),"")</f>
        <v/>
      </c>
    </row>
    <row r="2211">
      <c r="A2211" s="7">
        <f>IFERROR(Datos!A2211,"")</f>
        <v/>
      </c>
      <c r="B2211" s="8">
        <f>IFERROR(Datos!B2211,"")</f>
        <v/>
      </c>
      <c r="C2211" s="8">
        <f>IFERROR(Datos!C2211,"")</f>
        <v/>
      </c>
      <c r="D2211" s="28">
        <f>IFERROR(IF(AND(ISNUMBER(B2211),ISNUMBER(B2210),B2210&lt;&gt;0),B2211/B2210-1,""),"")</f>
        <v/>
      </c>
      <c r="E2211" s="28">
        <f>IFERROR(IF(AND(ISNUMBER(C2211),ISNUMBER(C2210),C2210&lt;&gt;0),C2211/C2210-1,""),"")</f>
        <v/>
      </c>
      <c r="F2211" s="28">
        <f>IFERROR(D2211-Dashboard!$B$4/252,"")</f>
        <v/>
      </c>
      <c r="G2211" s="28">
        <f>IFERROR(E2211-Dashboard!$B$4/252,"")</f>
        <v/>
      </c>
      <c r="H2211" s="8">
        <f>IFERROR(IF(ISNUMBER(B2211),MAX(B2211,IFERROR(H2210,B2211)),""),"")</f>
        <v/>
      </c>
      <c r="I2211" s="29">
        <f>IFERROR(IF(AND(ISNUMBER(B2211),ISNUMBER(H2211)),B2211/H2211-1,""),"")</f>
        <v/>
      </c>
      <c r="J2211" s="8">
        <f>IFERROR(IF(ISNUMBER(C2211),MAX(C2211,IFERROR(J2210,C2211)),""),"")</f>
        <v/>
      </c>
      <c r="K2211" s="29">
        <f>IFERROR(IF(AND(ISNUMBER(C2211),ISNUMBER(J2211)),C2211/J2211-1,""),"")</f>
        <v/>
      </c>
      <c r="L2211" s="28">
        <f>IFERROR(IF(AND(ISNUMBER(D2211),ISNUMBER(E2211)),D2211-E2211,""),"")</f>
        <v/>
      </c>
    </row>
    <row r="2212">
      <c r="A2212" s="7">
        <f>IFERROR(Datos!A2212,"")</f>
        <v/>
      </c>
      <c r="B2212" s="8">
        <f>IFERROR(Datos!B2212,"")</f>
        <v/>
      </c>
      <c r="C2212" s="8">
        <f>IFERROR(Datos!C2212,"")</f>
        <v/>
      </c>
      <c r="D2212" s="28">
        <f>IFERROR(IF(AND(ISNUMBER(B2212),ISNUMBER(B2211),B2211&lt;&gt;0),B2212/B2211-1,""),"")</f>
        <v/>
      </c>
      <c r="E2212" s="28">
        <f>IFERROR(IF(AND(ISNUMBER(C2212),ISNUMBER(C2211),C2211&lt;&gt;0),C2212/C2211-1,""),"")</f>
        <v/>
      </c>
      <c r="F2212" s="28">
        <f>IFERROR(D2212-Dashboard!$B$4/252,"")</f>
        <v/>
      </c>
      <c r="G2212" s="28">
        <f>IFERROR(E2212-Dashboard!$B$4/252,"")</f>
        <v/>
      </c>
      <c r="H2212" s="8">
        <f>IFERROR(IF(ISNUMBER(B2212),MAX(B2212,IFERROR(H2211,B2212)),""),"")</f>
        <v/>
      </c>
      <c r="I2212" s="29">
        <f>IFERROR(IF(AND(ISNUMBER(B2212),ISNUMBER(H2212)),B2212/H2212-1,""),"")</f>
        <v/>
      </c>
      <c r="J2212" s="8">
        <f>IFERROR(IF(ISNUMBER(C2212),MAX(C2212,IFERROR(J2211,C2212)),""),"")</f>
        <v/>
      </c>
      <c r="K2212" s="29">
        <f>IFERROR(IF(AND(ISNUMBER(C2212),ISNUMBER(J2212)),C2212/J2212-1,""),"")</f>
        <v/>
      </c>
      <c r="L2212" s="28">
        <f>IFERROR(IF(AND(ISNUMBER(D2212),ISNUMBER(E2212)),D2212-E2212,""),"")</f>
        <v/>
      </c>
    </row>
    <row r="2213">
      <c r="A2213" s="7">
        <f>IFERROR(Datos!A2213,"")</f>
        <v/>
      </c>
      <c r="B2213" s="8">
        <f>IFERROR(Datos!B2213,"")</f>
        <v/>
      </c>
      <c r="C2213" s="8">
        <f>IFERROR(Datos!C2213,"")</f>
        <v/>
      </c>
      <c r="D2213" s="28">
        <f>IFERROR(IF(AND(ISNUMBER(B2213),ISNUMBER(B2212),B2212&lt;&gt;0),B2213/B2212-1,""),"")</f>
        <v/>
      </c>
      <c r="E2213" s="28">
        <f>IFERROR(IF(AND(ISNUMBER(C2213),ISNUMBER(C2212),C2212&lt;&gt;0),C2213/C2212-1,""),"")</f>
        <v/>
      </c>
      <c r="F2213" s="28">
        <f>IFERROR(D2213-Dashboard!$B$4/252,"")</f>
        <v/>
      </c>
      <c r="G2213" s="28">
        <f>IFERROR(E2213-Dashboard!$B$4/252,"")</f>
        <v/>
      </c>
      <c r="H2213" s="8">
        <f>IFERROR(IF(ISNUMBER(B2213),MAX(B2213,IFERROR(H2212,B2213)),""),"")</f>
        <v/>
      </c>
      <c r="I2213" s="29">
        <f>IFERROR(IF(AND(ISNUMBER(B2213),ISNUMBER(H2213)),B2213/H2213-1,""),"")</f>
        <v/>
      </c>
      <c r="J2213" s="8">
        <f>IFERROR(IF(ISNUMBER(C2213),MAX(C2213,IFERROR(J2212,C2213)),""),"")</f>
        <v/>
      </c>
      <c r="K2213" s="29">
        <f>IFERROR(IF(AND(ISNUMBER(C2213),ISNUMBER(J2213)),C2213/J2213-1,""),"")</f>
        <v/>
      </c>
      <c r="L2213" s="28">
        <f>IFERROR(IF(AND(ISNUMBER(D2213),ISNUMBER(E2213)),D2213-E2213,""),"")</f>
        <v/>
      </c>
    </row>
    <row r="2214">
      <c r="A2214" s="7">
        <f>IFERROR(Datos!A2214,"")</f>
        <v/>
      </c>
      <c r="B2214" s="8">
        <f>IFERROR(Datos!B2214,"")</f>
        <v/>
      </c>
      <c r="C2214" s="8">
        <f>IFERROR(Datos!C2214,"")</f>
        <v/>
      </c>
      <c r="D2214" s="28">
        <f>IFERROR(IF(AND(ISNUMBER(B2214),ISNUMBER(B2213),B2213&lt;&gt;0),B2214/B2213-1,""),"")</f>
        <v/>
      </c>
      <c r="E2214" s="28">
        <f>IFERROR(IF(AND(ISNUMBER(C2214),ISNUMBER(C2213),C2213&lt;&gt;0),C2214/C2213-1,""),"")</f>
        <v/>
      </c>
      <c r="F2214" s="28">
        <f>IFERROR(D2214-Dashboard!$B$4/252,"")</f>
        <v/>
      </c>
      <c r="G2214" s="28">
        <f>IFERROR(E2214-Dashboard!$B$4/252,"")</f>
        <v/>
      </c>
      <c r="H2214" s="8">
        <f>IFERROR(IF(ISNUMBER(B2214),MAX(B2214,IFERROR(H2213,B2214)),""),"")</f>
        <v/>
      </c>
      <c r="I2214" s="29">
        <f>IFERROR(IF(AND(ISNUMBER(B2214),ISNUMBER(H2214)),B2214/H2214-1,""),"")</f>
        <v/>
      </c>
      <c r="J2214" s="8">
        <f>IFERROR(IF(ISNUMBER(C2214),MAX(C2214,IFERROR(J2213,C2214)),""),"")</f>
        <v/>
      </c>
      <c r="K2214" s="29">
        <f>IFERROR(IF(AND(ISNUMBER(C2214),ISNUMBER(J2214)),C2214/J2214-1,""),"")</f>
        <v/>
      </c>
      <c r="L2214" s="28">
        <f>IFERROR(IF(AND(ISNUMBER(D2214),ISNUMBER(E2214)),D2214-E2214,""),"")</f>
        <v/>
      </c>
    </row>
    <row r="2215">
      <c r="A2215" s="7">
        <f>IFERROR(Datos!A2215,"")</f>
        <v/>
      </c>
      <c r="B2215" s="8">
        <f>IFERROR(Datos!B2215,"")</f>
        <v/>
      </c>
      <c r="C2215" s="8">
        <f>IFERROR(Datos!C2215,"")</f>
        <v/>
      </c>
      <c r="D2215" s="28">
        <f>IFERROR(IF(AND(ISNUMBER(B2215),ISNUMBER(B2214),B2214&lt;&gt;0),B2215/B2214-1,""),"")</f>
        <v/>
      </c>
      <c r="E2215" s="28">
        <f>IFERROR(IF(AND(ISNUMBER(C2215),ISNUMBER(C2214),C2214&lt;&gt;0),C2215/C2214-1,""),"")</f>
        <v/>
      </c>
      <c r="F2215" s="28">
        <f>IFERROR(D2215-Dashboard!$B$4/252,"")</f>
        <v/>
      </c>
      <c r="G2215" s="28">
        <f>IFERROR(E2215-Dashboard!$B$4/252,"")</f>
        <v/>
      </c>
      <c r="H2215" s="8">
        <f>IFERROR(IF(ISNUMBER(B2215),MAX(B2215,IFERROR(H2214,B2215)),""),"")</f>
        <v/>
      </c>
      <c r="I2215" s="29">
        <f>IFERROR(IF(AND(ISNUMBER(B2215),ISNUMBER(H2215)),B2215/H2215-1,""),"")</f>
        <v/>
      </c>
      <c r="J2215" s="8">
        <f>IFERROR(IF(ISNUMBER(C2215),MAX(C2215,IFERROR(J2214,C2215)),""),"")</f>
        <v/>
      </c>
      <c r="K2215" s="29">
        <f>IFERROR(IF(AND(ISNUMBER(C2215),ISNUMBER(J2215)),C2215/J2215-1,""),"")</f>
        <v/>
      </c>
      <c r="L2215" s="28">
        <f>IFERROR(IF(AND(ISNUMBER(D2215),ISNUMBER(E2215)),D2215-E2215,""),"")</f>
        <v/>
      </c>
    </row>
    <row r="2216">
      <c r="A2216" s="7">
        <f>IFERROR(Datos!A2216,"")</f>
        <v/>
      </c>
      <c r="B2216" s="8">
        <f>IFERROR(Datos!B2216,"")</f>
        <v/>
      </c>
      <c r="C2216" s="8">
        <f>IFERROR(Datos!C2216,"")</f>
        <v/>
      </c>
      <c r="D2216" s="28">
        <f>IFERROR(IF(AND(ISNUMBER(B2216),ISNUMBER(B2215),B2215&lt;&gt;0),B2216/B2215-1,""),"")</f>
        <v/>
      </c>
      <c r="E2216" s="28">
        <f>IFERROR(IF(AND(ISNUMBER(C2216),ISNUMBER(C2215),C2215&lt;&gt;0),C2216/C2215-1,""),"")</f>
        <v/>
      </c>
      <c r="F2216" s="28">
        <f>IFERROR(D2216-Dashboard!$B$4/252,"")</f>
        <v/>
      </c>
      <c r="G2216" s="28">
        <f>IFERROR(E2216-Dashboard!$B$4/252,"")</f>
        <v/>
      </c>
      <c r="H2216" s="8">
        <f>IFERROR(IF(ISNUMBER(B2216),MAX(B2216,IFERROR(H2215,B2216)),""),"")</f>
        <v/>
      </c>
      <c r="I2216" s="29">
        <f>IFERROR(IF(AND(ISNUMBER(B2216),ISNUMBER(H2216)),B2216/H2216-1,""),"")</f>
        <v/>
      </c>
      <c r="J2216" s="8">
        <f>IFERROR(IF(ISNUMBER(C2216),MAX(C2216,IFERROR(J2215,C2216)),""),"")</f>
        <v/>
      </c>
      <c r="K2216" s="29">
        <f>IFERROR(IF(AND(ISNUMBER(C2216),ISNUMBER(J2216)),C2216/J2216-1,""),"")</f>
        <v/>
      </c>
      <c r="L2216" s="28">
        <f>IFERROR(IF(AND(ISNUMBER(D2216),ISNUMBER(E2216)),D2216-E2216,""),"")</f>
        <v/>
      </c>
    </row>
    <row r="2217">
      <c r="A2217" s="7">
        <f>IFERROR(Datos!A2217,"")</f>
        <v/>
      </c>
      <c r="B2217" s="8">
        <f>IFERROR(Datos!B2217,"")</f>
        <v/>
      </c>
      <c r="C2217" s="8">
        <f>IFERROR(Datos!C2217,"")</f>
        <v/>
      </c>
      <c r="D2217" s="28">
        <f>IFERROR(IF(AND(ISNUMBER(B2217),ISNUMBER(B2216),B2216&lt;&gt;0),B2217/B2216-1,""),"")</f>
        <v/>
      </c>
      <c r="E2217" s="28">
        <f>IFERROR(IF(AND(ISNUMBER(C2217),ISNUMBER(C2216),C2216&lt;&gt;0),C2217/C2216-1,""),"")</f>
        <v/>
      </c>
      <c r="F2217" s="28">
        <f>IFERROR(D2217-Dashboard!$B$4/252,"")</f>
        <v/>
      </c>
      <c r="G2217" s="28">
        <f>IFERROR(E2217-Dashboard!$B$4/252,"")</f>
        <v/>
      </c>
      <c r="H2217" s="8">
        <f>IFERROR(IF(ISNUMBER(B2217),MAX(B2217,IFERROR(H2216,B2217)),""),"")</f>
        <v/>
      </c>
      <c r="I2217" s="29">
        <f>IFERROR(IF(AND(ISNUMBER(B2217),ISNUMBER(H2217)),B2217/H2217-1,""),"")</f>
        <v/>
      </c>
      <c r="J2217" s="8">
        <f>IFERROR(IF(ISNUMBER(C2217),MAX(C2217,IFERROR(J2216,C2217)),""),"")</f>
        <v/>
      </c>
      <c r="K2217" s="29">
        <f>IFERROR(IF(AND(ISNUMBER(C2217),ISNUMBER(J2217)),C2217/J2217-1,""),"")</f>
        <v/>
      </c>
      <c r="L2217" s="28">
        <f>IFERROR(IF(AND(ISNUMBER(D2217),ISNUMBER(E2217)),D2217-E2217,""),"")</f>
        <v/>
      </c>
    </row>
    <row r="2218">
      <c r="A2218" s="7">
        <f>IFERROR(Datos!A2218,"")</f>
        <v/>
      </c>
      <c r="B2218" s="8">
        <f>IFERROR(Datos!B2218,"")</f>
        <v/>
      </c>
      <c r="C2218" s="8">
        <f>IFERROR(Datos!C2218,"")</f>
        <v/>
      </c>
      <c r="D2218" s="28">
        <f>IFERROR(IF(AND(ISNUMBER(B2218),ISNUMBER(B2217),B2217&lt;&gt;0),B2218/B2217-1,""),"")</f>
        <v/>
      </c>
      <c r="E2218" s="28">
        <f>IFERROR(IF(AND(ISNUMBER(C2218),ISNUMBER(C2217),C2217&lt;&gt;0),C2218/C2217-1,""),"")</f>
        <v/>
      </c>
      <c r="F2218" s="28">
        <f>IFERROR(D2218-Dashboard!$B$4/252,"")</f>
        <v/>
      </c>
      <c r="G2218" s="28">
        <f>IFERROR(E2218-Dashboard!$B$4/252,"")</f>
        <v/>
      </c>
      <c r="H2218" s="8">
        <f>IFERROR(IF(ISNUMBER(B2218),MAX(B2218,IFERROR(H2217,B2218)),""),"")</f>
        <v/>
      </c>
      <c r="I2218" s="29">
        <f>IFERROR(IF(AND(ISNUMBER(B2218),ISNUMBER(H2218)),B2218/H2218-1,""),"")</f>
        <v/>
      </c>
      <c r="J2218" s="8">
        <f>IFERROR(IF(ISNUMBER(C2218),MAX(C2218,IFERROR(J2217,C2218)),""),"")</f>
        <v/>
      </c>
      <c r="K2218" s="29">
        <f>IFERROR(IF(AND(ISNUMBER(C2218),ISNUMBER(J2218)),C2218/J2218-1,""),"")</f>
        <v/>
      </c>
      <c r="L2218" s="28">
        <f>IFERROR(IF(AND(ISNUMBER(D2218),ISNUMBER(E2218)),D2218-E2218,""),"")</f>
        <v/>
      </c>
    </row>
    <row r="2219">
      <c r="A2219" s="7">
        <f>IFERROR(Datos!A2219,"")</f>
        <v/>
      </c>
      <c r="B2219" s="8">
        <f>IFERROR(Datos!B2219,"")</f>
        <v/>
      </c>
      <c r="C2219" s="8">
        <f>IFERROR(Datos!C2219,"")</f>
        <v/>
      </c>
      <c r="D2219" s="28">
        <f>IFERROR(IF(AND(ISNUMBER(B2219),ISNUMBER(B2218),B2218&lt;&gt;0),B2219/B2218-1,""),"")</f>
        <v/>
      </c>
      <c r="E2219" s="28">
        <f>IFERROR(IF(AND(ISNUMBER(C2219),ISNUMBER(C2218),C2218&lt;&gt;0),C2219/C2218-1,""),"")</f>
        <v/>
      </c>
      <c r="F2219" s="28">
        <f>IFERROR(D2219-Dashboard!$B$4/252,"")</f>
        <v/>
      </c>
      <c r="G2219" s="28">
        <f>IFERROR(E2219-Dashboard!$B$4/252,"")</f>
        <v/>
      </c>
      <c r="H2219" s="8">
        <f>IFERROR(IF(ISNUMBER(B2219),MAX(B2219,IFERROR(H2218,B2219)),""),"")</f>
        <v/>
      </c>
      <c r="I2219" s="29">
        <f>IFERROR(IF(AND(ISNUMBER(B2219),ISNUMBER(H2219)),B2219/H2219-1,""),"")</f>
        <v/>
      </c>
      <c r="J2219" s="8">
        <f>IFERROR(IF(ISNUMBER(C2219),MAX(C2219,IFERROR(J2218,C2219)),""),"")</f>
        <v/>
      </c>
      <c r="K2219" s="29">
        <f>IFERROR(IF(AND(ISNUMBER(C2219),ISNUMBER(J2219)),C2219/J2219-1,""),"")</f>
        <v/>
      </c>
      <c r="L2219" s="28">
        <f>IFERROR(IF(AND(ISNUMBER(D2219),ISNUMBER(E2219)),D2219-E2219,""),"")</f>
        <v/>
      </c>
    </row>
    <row r="2220">
      <c r="A2220" s="7">
        <f>IFERROR(Datos!A2220,"")</f>
        <v/>
      </c>
      <c r="B2220" s="8">
        <f>IFERROR(Datos!B2220,"")</f>
        <v/>
      </c>
      <c r="C2220" s="8">
        <f>IFERROR(Datos!C2220,"")</f>
        <v/>
      </c>
      <c r="D2220" s="28">
        <f>IFERROR(IF(AND(ISNUMBER(B2220),ISNUMBER(B2219),B2219&lt;&gt;0),B2220/B2219-1,""),"")</f>
        <v/>
      </c>
      <c r="E2220" s="28">
        <f>IFERROR(IF(AND(ISNUMBER(C2220),ISNUMBER(C2219),C2219&lt;&gt;0),C2220/C2219-1,""),"")</f>
        <v/>
      </c>
      <c r="F2220" s="28">
        <f>IFERROR(D2220-Dashboard!$B$4/252,"")</f>
        <v/>
      </c>
      <c r="G2220" s="28">
        <f>IFERROR(E2220-Dashboard!$B$4/252,"")</f>
        <v/>
      </c>
      <c r="H2220" s="8">
        <f>IFERROR(IF(ISNUMBER(B2220),MAX(B2220,IFERROR(H2219,B2220)),""),"")</f>
        <v/>
      </c>
      <c r="I2220" s="29">
        <f>IFERROR(IF(AND(ISNUMBER(B2220),ISNUMBER(H2220)),B2220/H2220-1,""),"")</f>
        <v/>
      </c>
      <c r="J2220" s="8">
        <f>IFERROR(IF(ISNUMBER(C2220),MAX(C2220,IFERROR(J2219,C2220)),""),"")</f>
        <v/>
      </c>
      <c r="K2220" s="29">
        <f>IFERROR(IF(AND(ISNUMBER(C2220),ISNUMBER(J2220)),C2220/J2220-1,""),"")</f>
        <v/>
      </c>
      <c r="L2220" s="28">
        <f>IFERROR(IF(AND(ISNUMBER(D2220),ISNUMBER(E2220)),D2220-E2220,""),"")</f>
        <v/>
      </c>
    </row>
    <row r="2221">
      <c r="A2221" s="7">
        <f>IFERROR(Datos!A2221,"")</f>
        <v/>
      </c>
      <c r="B2221" s="8">
        <f>IFERROR(Datos!B2221,"")</f>
        <v/>
      </c>
      <c r="C2221" s="8">
        <f>IFERROR(Datos!C2221,"")</f>
        <v/>
      </c>
      <c r="D2221" s="28">
        <f>IFERROR(IF(AND(ISNUMBER(B2221),ISNUMBER(B2220),B2220&lt;&gt;0),B2221/B2220-1,""),"")</f>
        <v/>
      </c>
      <c r="E2221" s="28">
        <f>IFERROR(IF(AND(ISNUMBER(C2221),ISNUMBER(C2220),C2220&lt;&gt;0),C2221/C2220-1,""),"")</f>
        <v/>
      </c>
      <c r="F2221" s="28">
        <f>IFERROR(D2221-Dashboard!$B$4/252,"")</f>
        <v/>
      </c>
      <c r="G2221" s="28">
        <f>IFERROR(E2221-Dashboard!$B$4/252,"")</f>
        <v/>
      </c>
      <c r="H2221" s="8">
        <f>IFERROR(IF(ISNUMBER(B2221),MAX(B2221,IFERROR(H2220,B2221)),""),"")</f>
        <v/>
      </c>
      <c r="I2221" s="29">
        <f>IFERROR(IF(AND(ISNUMBER(B2221),ISNUMBER(H2221)),B2221/H2221-1,""),"")</f>
        <v/>
      </c>
      <c r="J2221" s="8">
        <f>IFERROR(IF(ISNUMBER(C2221),MAX(C2221,IFERROR(J2220,C2221)),""),"")</f>
        <v/>
      </c>
      <c r="K2221" s="29">
        <f>IFERROR(IF(AND(ISNUMBER(C2221),ISNUMBER(J2221)),C2221/J2221-1,""),"")</f>
        <v/>
      </c>
      <c r="L2221" s="28">
        <f>IFERROR(IF(AND(ISNUMBER(D2221),ISNUMBER(E2221)),D2221-E2221,""),"")</f>
        <v/>
      </c>
    </row>
    <row r="2222">
      <c r="A2222" s="7">
        <f>IFERROR(Datos!A2222,"")</f>
        <v/>
      </c>
      <c r="B2222" s="8">
        <f>IFERROR(Datos!B2222,"")</f>
        <v/>
      </c>
      <c r="C2222" s="8">
        <f>IFERROR(Datos!C2222,"")</f>
        <v/>
      </c>
      <c r="D2222" s="28">
        <f>IFERROR(IF(AND(ISNUMBER(B2222),ISNUMBER(B2221),B2221&lt;&gt;0),B2222/B2221-1,""),"")</f>
        <v/>
      </c>
      <c r="E2222" s="28">
        <f>IFERROR(IF(AND(ISNUMBER(C2222),ISNUMBER(C2221),C2221&lt;&gt;0),C2222/C2221-1,""),"")</f>
        <v/>
      </c>
      <c r="F2222" s="28">
        <f>IFERROR(D2222-Dashboard!$B$4/252,"")</f>
        <v/>
      </c>
      <c r="G2222" s="28">
        <f>IFERROR(E2222-Dashboard!$B$4/252,"")</f>
        <v/>
      </c>
      <c r="H2222" s="8">
        <f>IFERROR(IF(ISNUMBER(B2222),MAX(B2222,IFERROR(H2221,B2222)),""),"")</f>
        <v/>
      </c>
      <c r="I2222" s="29">
        <f>IFERROR(IF(AND(ISNUMBER(B2222),ISNUMBER(H2222)),B2222/H2222-1,""),"")</f>
        <v/>
      </c>
      <c r="J2222" s="8">
        <f>IFERROR(IF(ISNUMBER(C2222),MAX(C2222,IFERROR(J2221,C2222)),""),"")</f>
        <v/>
      </c>
      <c r="K2222" s="29">
        <f>IFERROR(IF(AND(ISNUMBER(C2222),ISNUMBER(J2222)),C2222/J2222-1,""),"")</f>
        <v/>
      </c>
      <c r="L2222" s="28">
        <f>IFERROR(IF(AND(ISNUMBER(D2222),ISNUMBER(E2222)),D2222-E2222,""),"")</f>
        <v/>
      </c>
    </row>
    <row r="2223">
      <c r="A2223" s="7">
        <f>IFERROR(Datos!A2223,"")</f>
        <v/>
      </c>
      <c r="B2223" s="8">
        <f>IFERROR(Datos!B2223,"")</f>
        <v/>
      </c>
      <c r="C2223" s="8">
        <f>IFERROR(Datos!C2223,"")</f>
        <v/>
      </c>
      <c r="D2223" s="28">
        <f>IFERROR(IF(AND(ISNUMBER(B2223),ISNUMBER(B2222),B2222&lt;&gt;0),B2223/B2222-1,""),"")</f>
        <v/>
      </c>
      <c r="E2223" s="28">
        <f>IFERROR(IF(AND(ISNUMBER(C2223),ISNUMBER(C2222),C2222&lt;&gt;0),C2223/C2222-1,""),"")</f>
        <v/>
      </c>
      <c r="F2223" s="28">
        <f>IFERROR(D2223-Dashboard!$B$4/252,"")</f>
        <v/>
      </c>
      <c r="G2223" s="28">
        <f>IFERROR(E2223-Dashboard!$B$4/252,"")</f>
        <v/>
      </c>
      <c r="H2223" s="8">
        <f>IFERROR(IF(ISNUMBER(B2223),MAX(B2223,IFERROR(H2222,B2223)),""),"")</f>
        <v/>
      </c>
      <c r="I2223" s="29">
        <f>IFERROR(IF(AND(ISNUMBER(B2223),ISNUMBER(H2223)),B2223/H2223-1,""),"")</f>
        <v/>
      </c>
      <c r="J2223" s="8">
        <f>IFERROR(IF(ISNUMBER(C2223),MAX(C2223,IFERROR(J2222,C2223)),""),"")</f>
        <v/>
      </c>
      <c r="K2223" s="29">
        <f>IFERROR(IF(AND(ISNUMBER(C2223),ISNUMBER(J2223)),C2223/J2223-1,""),"")</f>
        <v/>
      </c>
      <c r="L2223" s="28">
        <f>IFERROR(IF(AND(ISNUMBER(D2223),ISNUMBER(E2223)),D2223-E2223,""),"")</f>
        <v/>
      </c>
    </row>
    <row r="2224">
      <c r="A2224" s="7">
        <f>IFERROR(Datos!A2224,"")</f>
        <v/>
      </c>
      <c r="B2224" s="8">
        <f>IFERROR(Datos!B2224,"")</f>
        <v/>
      </c>
      <c r="C2224" s="8">
        <f>IFERROR(Datos!C2224,"")</f>
        <v/>
      </c>
      <c r="D2224" s="28">
        <f>IFERROR(IF(AND(ISNUMBER(B2224),ISNUMBER(B2223),B2223&lt;&gt;0),B2224/B2223-1,""),"")</f>
        <v/>
      </c>
      <c r="E2224" s="28">
        <f>IFERROR(IF(AND(ISNUMBER(C2224),ISNUMBER(C2223),C2223&lt;&gt;0),C2224/C2223-1,""),"")</f>
        <v/>
      </c>
      <c r="F2224" s="28">
        <f>IFERROR(D2224-Dashboard!$B$4/252,"")</f>
        <v/>
      </c>
      <c r="G2224" s="28">
        <f>IFERROR(E2224-Dashboard!$B$4/252,"")</f>
        <v/>
      </c>
      <c r="H2224" s="8">
        <f>IFERROR(IF(ISNUMBER(B2224),MAX(B2224,IFERROR(H2223,B2224)),""),"")</f>
        <v/>
      </c>
      <c r="I2224" s="29">
        <f>IFERROR(IF(AND(ISNUMBER(B2224),ISNUMBER(H2224)),B2224/H2224-1,""),"")</f>
        <v/>
      </c>
      <c r="J2224" s="8">
        <f>IFERROR(IF(ISNUMBER(C2224),MAX(C2224,IFERROR(J2223,C2224)),""),"")</f>
        <v/>
      </c>
      <c r="K2224" s="29">
        <f>IFERROR(IF(AND(ISNUMBER(C2224),ISNUMBER(J2224)),C2224/J2224-1,""),"")</f>
        <v/>
      </c>
      <c r="L2224" s="28">
        <f>IFERROR(IF(AND(ISNUMBER(D2224),ISNUMBER(E2224)),D2224-E2224,""),"")</f>
        <v/>
      </c>
    </row>
    <row r="2225">
      <c r="A2225" s="7">
        <f>IFERROR(Datos!A2225,"")</f>
        <v/>
      </c>
      <c r="B2225" s="8">
        <f>IFERROR(Datos!B2225,"")</f>
        <v/>
      </c>
      <c r="C2225" s="8">
        <f>IFERROR(Datos!C2225,"")</f>
        <v/>
      </c>
      <c r="D2225" s="28">
        <f>IFERROR(IF(AND(ISNUMBER(B2225),ISNUMBER(B2224),B2224&lt;&gt;0),B2225/B2224-1,""),"")</f>
        <v/>
      </c>
      <c r="E2225" s="28">
        <f>IFERROR(IF(AND(ISNUMBER(C2225),ISNUMBER(C2224),C2224&lt;&gt;0),C2225/C2224-1,""),"")</f>
        <v/>
      </c>
      <c r="F2225" s="28">
        <f>IFERROR(D2225-Dashboard!$B$4/252,"")</f>
        <v/>
      </c>
      <c r="G2225" s="28">
        <f>IFERROR(E2225-Dashboard!$B$4/252,"")</f>
        <v/>
      </c>
      <c r="H2225" s="8">
        <f>IFERROR(IF(ISNUMBER(B2225),MAX(B2225,IFERROR(H2224,B2225)),""),"")</f>
        <v/>
      </c>
      <c r="I2225" s="29">
        <f>IFERROR(IF(AND(ISNUMBER(B2225),ISNUMBER(H2225)),B2225/H2225-1,""),"")</f>
        <v/>
      </c>
      <c r="J2225" s="8">
        <f>IFERROR(IF(ISNUMBER(C2225),MAX(C2225,IFERROR(J2224,C2225)),""),"")</f>
        <v/>
      </c>
      <c r="K2225" s="29">
        <f>IFERROR(IF(AND(ISNUMBER(C2225),ISNUMBER(J2225)),C2225/J2225-1,""),"")</f>
        <v/>
      </c>
      <c r="L2225" s="28">
        <f>IFERROR(IF(AND(ISNUMBER(D2225),ISNUMBER(E2225)),D2225-E2225,""),"")</f>
        <v/>
      </c>
    </row>
    <row r="2226">
      <c r="A2226" s="7">
        <f>IFERROR(Datos!A2226,"")</f>
        <v/>
      </c>
      <c r="B2226" s="8">
        <f>IFERROR(Datos!B2226,"")</f>
        <v/>
      </c>
      <c r="C2226" s="8">
        <f>IFERROR(Datos!C2226,"")</f>
        <v/>
      </c>
      <c r="D2226" s="28">
        <f>IFERROR(IF(AND(ISNUMBER(B2226),ISNUMBER(B2225),B2225&lt;&gt;0),B2226/B2225-1,""),"")</f>
        <v/>
      </c>
      <c r="E2226" s="28">
        <f>IFERROR(IF(AND(ISNUMBER(C2226),ISNUMBER(C2225),C2225&lt;&gt;0),C2226/C2225-1,""),"")</f>
        <v/>
      </c>
      <c r="F2226" s="28">
        <f>IFERROR(D2226-Dashboard!$B$4/252,"")</f>
        <v/>
      </c>
      <c r="G2226" s="28">
        <f>IFERROR(E2226-Dashboard!$B$4/252,"")</f>
        <v/>
      </c>
      <c r="H2226" s="8">
        <f>IFERROR(IF(ISNUMBER(B2226),MAX(B2226,IFERROR(H2225,B2226)),""),"")</f>
        <v/>
      </c>
      <c r="I2226" s="29">
        <f>IFERROR(IF(AND(ISNUMBER(B2226),ISNUMBER(H2226)),B2226/H2226-1,""),"")</f>
        <v/>
      </c>
      <c r="J2226" s="8">
        <f>IFERROR(IF(ISNUMBER(C2226),MAX(C2226,IFERROR(J2225,C2226)),""),"")</f>
        <v/>
      </c>
      <c r="K2226" s="29">
        <f>IFERROR(IF(AND(ISNUMBER(C2226),ISNUMBER(J2226)),C2226/J2226-1,""),"")</f>
        <v/>
      </c>
      <c r="L2226" s="28">
        <f>IFERROR(IF(AND(ISNUMBER(D2226),ISNUMBER(E2226)),D2226-E2226,""),"")</f>
        <v/>
      </c>
    </row>
    <row r="2227">
      <c r="A2227" s="7">
        <f>IFERROR(Datos!A2227,"")</f>
        <v/>
      </c>
      <c r="B2227" s="8">
        <f>IFERROR(Datos!B2227,"")</f>
        <v/>
      </c>
      <c r="C2227" s="8">
        <f>IFERROR(Datos!C2227,"")</f>
        <v/>
      </c>
      <c r="D2227" s="28">
        <f>IFERROR(IF(AND(ISNUMBER(B2227),ISNUMBER(B2226),B2226&lt;&gt;0),B2227/B2226-1,""),"")</f>
        <v/>
      </c>
      <c r="E2227" s="28">
        <f>IFERROR(IF(AND(ISNUMBER(C2227),ISNUMBER(C2226),C2226&lt;&gt;0),C2227/C2226-1,""),"")</f>
        <v/>
      </c>
      <c r="F2227" s="28">
        <f>IFERROR(D2227-Dashboard!$B$4/252,"")</f>
        <v/>
      </c>
      <c r="G2227" s="28">
        <f>IFERROR(E2227-Dashboard!$B$4/252,"")</f>
        <v/>
      </c>
      <c r="H2227" s="8">
        <f>IFERROR(IF(ISNUMBER(B2227),MAX(B2227,IFERROR(H2226,B2227)),""),"")</f>
        <v/>
      </c>
      <c r="I2227" s="29">
        <f>IFERROR(IF(AND(ISNUMBER(B2227),ISNUMBER(H2227)),B2227/H2227-1,""),"")</f>
        <v/>
      </c>
      <c r="J2227" s="8">
        <f>IFERROR(IF(ISNUMBER(C2227),MAX(C2227,IFERROR(J2226,C2227)),""),"")</f>
        <v/>
      </c>
      <c r="K2227" s="29">
        <f>IFERROR(IF(AND(ISNUMBER(C2227),ISNUMBER(J2227)),C2227/J2227-1,""),"")</f>
        <v/>
      </c>
      <c r="L2227" s="28">
        <f>IFERROR(IF(AND(ISNUMBER(D2227),ISNUMBER(E2227)),D2227-E2227,""),"")</f>
        <v/>
      </c>
    </row>
    <row r="2228">
      <c r="A2228" s="7">
        <f>IFERROR(Datos!A2228,"")</f>
        <v/>
      </c>
      <c r="B2228" s="8">
        <f>IFERROR(Datos!B2228,"")</f>
        <v/>
      </c>
      <c r="C2228" s="8">
        <f>IFERROR(Datos!C2228,"")</f>
        <v/>
      </c>
      <c r="D2228" s="28">
        <f>IFERROR(IF(AND(ISNUMBER(B2228),ISNUMBER(B2227),B2227&lt;&gt;0),B2228/B2227-1,""),"")</f>
        <v/>
      </c>
      <c r="E2228" s="28">
        <f>IFERROR(IF(AND(ISNUMBER(C2228),ISNUMBER(C2227),C2227&lt;&gt;0),C2228/C2227-1,""),"")</f>
        <v/>
      </c>
      <c r="F2228" s="28">
        <f>IFERROR(D2228-Dashboard!$B$4/252,"")</f>
        <v/>
      </c>
      <c r="G2228" s="28">
        <f>IFERROR(E2228-Dashboard!$B$4/252,"")</f>
        <v/>
      </c>
      <c r="H2228" s="8">
        <f>IFERROR(IF(ISNUMBER(B2228),MAX(B2228,IFERROR(H2227,B2228)),""),"")</f>
        <v/>
      </c>
      <c r="I2228" s="29">
        <f>IFERROR(IF(AND(ISNUMBER(B2228),ISNUMBER(H2228)),B2228/H2228-1,""),"")</f>
        <v/>
      </c>
      <c r="J2228" s="8">
        <f>IFERROR(IF(ISNUMBER(C2228),MAX(C2228,IFERROR(J2227,C2228)),""),"")</f>
        <v/>
      </c>
      <c r="K2228" s="29">
        <f>IFERROR(IF(AND(ISNUMBER(C2228),ISNUMBER(J2228)),C2228/J2228-1,""),"")</f>
        <v/>
      </c>
      <c r="L2228" s="28">
        <f>IFERROR(IF(AND(ISNUMBER(D2228),ISNUMBER(E2228)),D2228-E2228,""),"")</f>
        <v/>
      </c>
    </row>
    <row r="2229">
      <c r="A2229" s="7">
        <f>IFERROR(Datos!A2229,"")</f>
        <v/>
      </c>
      <c r="B2229" s="8">
        <f>IFERROR(Datos!B2229,"")</f>
        <v/>
      </c>
      <c r="C2229" s="8">
        <f>IFERROR(Datos!C2229,"")</f>
        <v/>
      </c>
      <c r="D2229" s="28">
        <f>IFERROR(IF(AND(ISNUMBER(B2229),ISNUMBER(B2228),B2228&lt;&gt;0),B2229/B2228-1,""),"")</f>
        <v/>
      </c>
      <c r="E2229" s="28">
        <f>IFERROR(IF(AND(ISNUMBER(C2229),ISNUMBER(C2228),C2228&lt;&gt;0),C2229/C2228-1,""),"")</f>
        <v/>
      </c>
      <c r="F2229" s="28">
        <f>IFERROR(D2229-Dashboard!$B$4/252,"")</f>
        <v/>
      </c>
      <c r="G2229" s="28">
        <f>IFERROR(E2229-Dashboard!$B$4/252,"")</f>
        <v/>
      </c>
      <c r="H2229" s="8">
        <f>IFERROR(IF(ISNUMBER(B2229),MAX(B2229,IFERROR(H2228,B2229)),""),"")</f>
        <v/>
      </c>
      <c r="I2229" s="29">
        <f>IFERROR(IF(AND(ISNUMBER(B2229),ISNUMBER(H2229)),B2229/H2229-1,""),"")</f>
        <v/>
      </c>
      <c r="J2229" s="8">
        <f>IFERROR(IF(ISNUMBER(C2229),MAX(C2229,IFERROR(J2228,C2229)),""),"")</f>
        <v/>
      </c>
      <c r="K2229" s="29">
        <f>IFERROR(IF(AND(ISNUMBER(C2229),ISNUMBER(J2229)),C2229/J2229-1,""),"")</f>
        <v/>
      </c>
      <c r="L2229" s="28">
        <f>IFERROR(IF(AND(ISNUMBER(D2229),ISNUMBER(E2229)),D2229-E2229,""),"")</f>
        <v/>
      </c>
    </row>
    <row r="2230">
      <c r="A2230" s="7">
        <f>IFERROR(Datos!A2230,"")</f>
        <v/>
      </c>
      <c r="B2230" s="8">
        <f>IFERROR(Datos!B2230,"")</f>
        <v/>
      </c>
      <c r="C2230" s="8">
        <f>IFERROR(Datos!C2230,"")</f>
        <v/>
      </c>
      <c r="D2230" s="28">
        <f>IFERROR(IF(AND(ISNUMBER(B2230),ISNUMBER(B2229),B2229&lt;&gt;0),B2230/B2229-1,""),"")</f>
        <v/>
      </c>
      <c r="E2230" s="28">
        <f>IFERROR(IF(AND(ISNUMBER(C2230),ISNUMBER(C2229),C2229&lt;&gt;0),C2230/C2229-1,""),"")</f>
        <v/>
      </c>
      <c r="F2230" s="28">
        <f>IFERROR(D2230-Dashboard!$B$4/252,"")</f>
        <v/>
      </c>
      <c r="G2230" s="28">
        <f>IFERROR(E2230-Dashboard!$B$4/252,"")</f>
        <v/>
      </c>
      <c r="H2230" s="8">
        <f>IFERROR(IF(ISNUMBER(B2230),MAX(B2230,IFERROR(H2229,B2230)),""),"")</f>
        <v/>
      </c>
      <c r="I2230" s="29">
        <f>IFERROR(IF(AND(ISNUMBER(B2230),ISNUMBER(H2230)),B2230/H2230-1,""),"")</f>
        <v/>
      </c>
      <c r="J2230" s="8">
        <f>IFERROR(IF(ISNUMBER(C2230),MAX(C2230,IFERROR(J2229,C2230)),""),"")</f>
        <v/>
      </c>
      <c r="K2230" s="29">
        <f>IFERROR(IF(AND(ISNUMBER(C2230),ISNUMBER(J2230)),C2230/J2230-1,""),"")</f>
        <v/>
      </c>
      <c r="L2230" s="28">
        <f>IFERROR(IF(AND(ISNUMBER(D2230),ISNUMBER(E2230)),D2230-E2230,""),"")</f>
        <v/>
      </c>
    </row>
    <row r="2231">
      <c r="A2231" s="7">
        <f>IFERROR(Datos!A2231,"")</f>
        <v/>
      </c>
      <c r="B2231" s="8">
        <f>IFERROR(Datos!B2231,"")</f>
        <v/>
      </c>
      <c r="C2231" s="8">
        <f>IFERROR(Datos!C2231,"")</f>
        <v/>
      </c>
      <c r="D2231" s="28">
        <f>IFERROR(IF(AND(ISNUMBER(B2231),ISNUMBER(B2230),B2230&lt;&gt;0),B2231/B2230-1,""),"")</f>
        <v/>
      </c>
      <c r="E2231" s="28">
        <f>IFERROR(IF(AND(ISNUMBER(C2231),ISNUMBER(C2230),C2230&lt;&gt;0),C2231/C2230-1,""),"")</f>
        <v/>
      </c>
      <c r="F2231" s="28">
        <f>IFERROR(D2231-Dashboard!$B$4/252,"")</f>
        <v/>
      </c>
      <c r="G2231" s="28">
        <f>IFERROR(E2231-Dashboard!$B$4/252,"")</f>
        <v/>
      </c>
      <c r="H2231" s="8">
        <f>IFERROR(IF(ISNUMBER(B2231),MAX(B2231,IFERROR(H2230,B2231)),""),"")</f>
        <v/>
      </c>
      <c r="I2231" s="29">
        <f>IFERROR(IF(AND(ISNUMBER(B2231),ISNUMBER(H2231)),B2231/H2231-1,""),"")</f>
        <v/>
      </c>
      <c r="J2231" s="8">
        <f>IFERROR(IF(ISNUMBER(C2231),MAX(C2231,IFERROR(J2230,C2231)),""),"")</f>
        <v/>
      </c>
      <c r="K2231" s="29">
        <f>IFERROR(IF(AND(ISNUMBER(C2231),ISNUMBER(J2231)),C2231/J2231-1,""),"")</f>
        <v/>
      </c>
      <c r="L2231" s="28">
        <f>IFERROR(IF(AND(ISNUMBER(D2231),ISNUMBER(E2231)),D2231-E2231,""),"")</f>
        <v/>
      </c>
    </row>
    <row r="2232">
      <c r="A2232" s="7">
        <f>IFERROR(Datos!A2232,"")</f>
        <v/>
      </c>
      <c r="B2232" s="8">
        <f>IFERROR(Datos!B2232,"")</f>
        <v/>
      </c>
      <c r="C2232" s="8">
        <f>IFERROR(Datos!C2232,"")</f>
        <v/>
      </c>
      <c r="D2232" s="28">
        <f>IFERROR(IF(AND(ISNUMBER(B2232),ISNUMBER(B2231),B2231&lt;&gt;0),B2232/B2231-1,""),"")</f>
        <v/>
      </c>
      <c r="E2232" s="28">
        <f>IFERROR(IF(AND(ISNUMBER(C2232),ISNUMBER(C2231),C2231&lt;&gt;0),C2232/C2231-1,""),"")</f>
        <v/>
      </c>
      <c r="F2232" s="28">
        <f>IFERROR(D2232-Dashboard!$B$4/252,"")</f>
        <v/>
      </c>
      <c r="G2232" s="28">
        <f>IFERROR(E2232-Dashboard!$B$4/252,"")</f>
        <v/>
      </c>
      <c r="H2232" s="8">
        <f>IFERROR(IF(ISNUMBER(B2232),MAX(B2232,IFERROR(H2231,B2232)),""),"")</f>
        <v/>
      </c>
      <c r="I2232" s="29">
        <f>IFERROR(IF(AND(ISNUMBER(B2232),ISNUMBER(H2232)),B2232/H2232-1,""),"")</f>
        <v/>
      </c>
      <c r="J2232" s="8">
        <f>IFERROR(IF(ISNUMBER(C2232),MAX(C2232,IFERROR(J2231,C2232)),""),"")</f>
        <v/>
      </c>
      <c r="K2232" s="29">
        <f>IFERROR(IF(AND(ISNUMBER(C2232),ISNUMBER(J2232)),C2232/J2232-1,""),"")</f>
        <v/>
      </c>
      <c r="L2232" s="28">
        <f>IFERROR(IF(AND(ISNUMBER(D2232),ISNUMBER(E2232)),D2232-E2232,""),"")</f>
        <v/>
      </c>
    </row>
    <row r="2233">
      <c r="A2233" s="7">
        <f>IFERROR(Datos!A2233,"")</f>
        <v/>
      </c>
      <c r="B2233" s="8">
        <f>IFERROR(Datos!B2233,"")</f>
        <v/>
      </c>
      <c r="C2233" s="8">
        <f>IFERROR(Datos!C2233,"")</f>
        <v/>
      </c>
      <c r="D2233" s="28">
        <f>IFERROR(IF(AND(ISNUMBER(B2233),ISNUMBER(B2232),B2232&lt;&gt;0),B2233/B2232-1,""),"")</f>
        <v/>
      </c>
      <c r="E2233" s="28">
        <f>IFERROR(IF(AND(ISNUMBER(C2233),ISNUMBER(C2232),C2232&lt;&gt;0),C2233/C2232-1,""),"")</f>
        <v/>
      </c>
      <c r="F2233" s="28">
        <f>IFERROR(D2233-Dashboard!$B$4/252,"")</f>
        <v/>
      </c>
      <c r="G2233" s="28">
        <f>IFERROR(E2233-Dashboard!$B$4/252,"")</f>
        <v/>
      </c>
      <c r="H2233" s="8">
        <f>IFERROR(IF(ISNUMBER(B2233),MAX(B2233,IFERROR(H2232,B2233)),""),"")</f>
        <v/>
      </c>
      <c r="I2233" s="29">
        <f>IFERROR(IF(AND(ISNUMBER(B2233),ISNUMBER(H2233)),B2233/H2233-1,""),"")</f>
        <v/>
      </c>
      <c r="J2233" s="8">
        <f>IFERROR(IF(ISNUMBER(C2233),MAX(C2233,IFERROR(J2232,C2233)),""),"")</f>
        <v/>
      </c>
      <c r="K2233" s="29">
        <f>IFERROR(IF(AND(ISNUMBER(C2233),ISNUMBER(J2233)),C2233/J2233-1,""),"")</f>
        <v/>
      </c>
      <c r="L2233" s="28">
        <f>IFERROR(IF(AND(ISNUMBER(D2233),ISNUMBER(E2233)),D2233-E2233,""),"")</f>
        <v/>
      </c>
    </row>
    <row r="2234">
      <c r="A2234" s="7">
        <f>IFERROR(Datos!A2234,"")</f>
        <v/>
      </c>
      <c r="B2234" s="8">
        <f>IFERROR(Datos!B2234,"")</f>
        <v/>
      </c>
      <c r="C2234" s="8">
        <f>IFERROR(Datos!C2234,"")</f>
        <v/>
      </c>
      <c r="D2234" s="28">
        <f>IFERROR(IF(AND(ISNUMBER(B2234),ISNUMBER(B2233),B2233&lt;&gt;0),B2234/B2233-1,""),"")</f>
        <v/>
      </c>
      <c r="E2234" s="28">
        <f>IFERROR(IF(AND(ISNUMBER(C2234),ISNUMBER(C2233),C2233&lt;&gt;0),C2234/C2233-1,""),"")</f>
        <v/>
      </c>
      <c r="F2234" s="28">
        <f>IFERROR(D2234-Dashboard!$B$4/252,"")</f>
        <v/>
      </c>
      <c r="G2234" s="28">
        <f>IFERROR(E2234-Dashboard!$B$4/252,"")</f>
        <v/>
      </c>
      <c r="H2234" s="8">
        <f>IFERROR(IF(ISNUMBER(B2234),MAX(B2234,IFERROR(H2233,B2234)),""),"")</f>
        <v/>
      </c>
      <c r="I2234" s="29">
        <f>IFERROR(IF(AND(ISNUMBER(B2234),ISNUMBER(H2234)),B2234/H2234-1,""),"")</f>
        <v/>
      </c>
      <c r="J2234" s="8">
        <f>IFERROR(IF(ISNUMBER(C2234),MAX(C2234,IFERROR(J2233,C2234)),""),"")</f>
        <v/>
      </c>
      <c r="K2234" s="29">
        <f>IFERROR(IF(AND(ISNUMBER(C2234),ISNUMBER(J2234)),C2234/J2234-1,""),"")</f>
        <v/>
      </c>
      <c r="L2234" s="28">
        <f>IFERROR(IF(AND(ISNUMBER(D2234),ISNUMBER(E2234)),D2234-E2234,""),"")</f>
        <v/>
      </c>
    </row>
    <row r="2235">
      <c r="A2235" s="7">
        <f>IFERROR(Datos!A2235,"")</f>
        <v/>
      </c>
      <c r="B2235" s="8">
        <f>IFERROR(Datos!B2235,"")</f>
        <v/>
      </c>
      <c r="C2235" s="8">
        <f>IFERROR(Datos!C2235,"")</f>
        <v/>
      </c>
      <c r="D2235" s="28">
        <f>IFERROR(IF(AND(ISNUMBER(B2235),ISNUMBER(B2234),B2234&lt;&gt;0),B2235/B2234-1,""),"")</f>
        <v/>
      </c>
      <c r="E2235" s="28">
        <f>IFERROR(IF(AND(ISNUMBER(C2235),ISNUMBER(C2234),C2234&lt;&gt;0),C2235/C2234-1,""),"")</f>
        <v/>
      </c>
      <c r="F2235" s="28">
        <f>IFERROR(D2235-Dashboard!$B$4/252,"")</f>
        <v/>
      </c>
      <c r="G2235" s="28">
        <f>IFERROR(E2235-Dashboard!$B$4/252,"")</f>
        <v/>
      </c>
      <c r="H2235" s="8">
        <f>IFERROR(IF(ISNUMBER(B2235),MAX(B2235,IFERROR(H2234,B2235)),""),"")</f>
        <v/>
      </c>
      <c r="I2235" s="29">
        <f>IFERROR(IF(AND(ISNUMBER(B2235),ISNUMBER(H2235)),B2235/H2235-1,""),"")</f>
        <v/>
      </c>
      <c r="J2235" s="8">
        <f>IFERROR(IF(ISNUMBER(C2235),MAX(C2235,IFERROR(J2234,C2235)),""),"")</f>
        <v/>
      </c>
      <c r="K2235" s="29">
        <f>IFERROR(IF(AND(ISNUMBER(C2235),ISNUMBER(J2235)),C2235/J2235-1,""),"")</f>
        <v/>
      </c>
      <c r="L2235" s="28">
        <f>IFERROR(IF(AND(ISNUMBER(D2235),ISNUMBER(E2235)),D2235-E2235,""),"")</f>
        <v/>
      </c>
    </row>
    <row r="2236">
      <c r="A2236" s="7">
        <f>IFERROR(Datos!A2236,"")</f>
        <v/>
      </c>
      <c r="B2236" s="8">
        <f>IFERROR(Datos!B2236,"")</f>
        <v/>
      </c>
      <c r="C2236" s="8">
        <f>IFERROR(Datos!C2236,"")</f>
        <v/>
      </c>
      <c r="D2236" s="28">
        <f>IFERROR(IF(AND(ISNUMBER(B2236),ISNUMBER(B2235),B2235&lt;&gt;0),B2236/B2235-1,""),"")</f>
        <v/>
      </c>
      <c r="E2236" s="28">
        <f>IFERROR(IF(AND(ISNUMBER(C2236),ISNUMBER(C2235),C2235&lt;&gt;0),C2236/C2235-1,""),"")</f>
        <v/>
      </c>
      <c r="F2236" s="28">
        <f>IFERROR(D2236-Dashboard!$B$4/252,"")</f>
        <v/>
      </c>
      <c r="G2236" s="28">
        <f>IFERROR(E2236-Dashboard!$B$4/252,"")</f>
        <v/>
      </c>
      <c r="H2236" s="8">
        <f>IFERROR(IF(ISNUMBER(B2236),MAX(B2236,IFERROR(H2235,B2236)),""),"")</f>
        <v/>
      </c>
      <c r="I2236" s="29">
        <f>IFERROR(IF(AND(ISNUMBER(B2236),ISNUMBER(H2236)),B2236/H2236-1,""),"")</f>
        <v/>
      </c>
      <c r="J2236" s="8">
        <f>IFERROR(IF(ISNUMBER(C2236),MAX(C2236,IFERROR(J2235,C2236)),""),"")</f>
        <v/>
      </c>
      <c r="K2236" s="29">
        <f>IFERROR(IF(AND(ISNUMBER(C2236),ISNUMBER(J2236)),C2236/J2236-1,""),"")</f>
        <v/>
      </c>
      <c r="L2236" s="28">
        <f>IFERROR(IF(AND(ISNUMBER(D2236),ISNUMBER(E2236)),D2236-E2236,""),"")</f>
        <v/>
      </c>
    </row>
    <row r="2237">
      <c r="A2237" s="7">
        <f>IFERROR(Datos!A2237,"")</f>
        <v/>
      </c>
      <c r="B2237" s="8">
        <f>IFERROR(Datos!B2237,"")</f>
        <v/>
      </c>
      <c r="C2237" s="8">
        <f>IFERROR(Datos!C2237,"")</f>
        <v/>
      </c>
      <c r="D2237" s="28">
        <f>IFERROR(IF(AND(ISNUMBER(B2237),ISNUMBER(B2236),B2236&lt;&gt;0),B2237/B2236-1,""),"")</f>
        <v/>
      </c>
      <c r="E2237" s="28">
        <f>IFERROR(IF(AND(ISNUMBER(C2237),ISNUMBER(C2236),C2236&lt;&gt;0),C2237/C2236-1,""),"")</f>
        <v/>
      </c>
      <c r="F2237" s="28">
        <f>IFERROR(D2237-Dashboard!$B$4/252,"")</f>
        <v/>
      </c>
      <c r="G2237" s="28">
        <f>IFERROR(E2237-Dashboard!$B$4/252,"")</f>
        <v/>
      </c>
      <c r="H2237" s="8">
        <f>IFERROR(IF(ISNUMBER(B2237),MAX(B2237,IFERROR(H2236,B2237)),""),"")</f>
        <v/>
      </c>
      <c r="I2237" s="29">
        <f>IFERROR(IF(AND(ISNUMBER(B2237),ISNUMBER(H2237)),B2237/H2237-1,""),"")</f>
        <v/>
      </c>
      <c r="J2237" s="8">
        <f>IFERROR(IF(ISNUMBER(C2237),MAX(C2237,IFERROR(J2236,C2237)),""),"")</f>
        <v/>
      </c>
      <c r="K2237" s="29">
        <f>IFERROR(IF(AND(ISNUMBER(C2237),ISNUMBER(J2237)),C2237/J2237-1,""),"")</f>
        <v/>
      </c>
      <c r="L2237" s="28">
        <f>IFERROR(IF(AND(ISNUMBER(D2237),ISNUMBER(E2237)),D2237-E2237,""),"")</f>
        <v/>
      </c>
    </row>
    <row r="2238">
      <c r="A2238" s="7">
        <f>IFERROR(Datos!A2238,"")</f>
        <v/>
      </c>
      <c r="B2238" s="8">
        <f>IFERROR(Datos!B2238,"")</f>
        <v/>
      </c>
      <c r="C2238" s="8">
        <f>IFERROR(Datos!C2238,"")</f>
        <v/>
      </c>
      <c r="D2238" s="28">
        <f>IFERROR(IF(AND(ISNUMBER(B2238),ISNUMBER(B2237),B2237&lt;&gt;0),B2238/B2237-1,""),"")</f>
        <v/>
      </c>
      <c r="E2238" s="28">
        <f>IFERROR(IF(AND(ISNUMBER(C2238),ISNUMBER(C2237),C2237&lt;&gt;0),C2238/C2237-1,""),"")</f>
        <v/>
      </c>
      <c r="F2238" s="28">
        <f>IFERROR(D2238-Dashboard!$B$4/252,"")</f>
        <v/>
      </c>
      <c r="G2238" s="28">
        <f>IFERROR(E2238-Dashboard!$B$4/252,"")</f>
        <v/>
      </c>
      <c r="H2238" s="8">
        <f>IFERROR(IF(ISNUMBER(B2238),MAX(B2238,IFERROR(H2237,B2238)),""),"")</f>
        <v/>
      </c>
      <c r="I2238" s="29">
        <f>IFERROR(IF(AND(ISNUMBER(B2238),ISNUMBER(H2238)),B2238/H2238-1,""),"")</f>
        <v/>
      </c>
      <c r="J2238" s="8">
        <f>IFERROR(IF(ISNUMBER(C2238),MAX(C2238,IFERROR(J2237,C2238)),""),"")</f>
        <v/>
      </c>
      <c r="K2238" s="29">
        <f>IFERROR(IF(AND(ISNUMBER(C2238),ISNUMBER(J2238)),C2238/J2238-1,""),"")</f>
        <v/>
      </c>
      <c r="L2238" s="28">
        <f>IFERROR(IF(AND(ISNUMBER(D2238),ISNUMBER(E2238)),D2238-E2238,""),"")</f>
        <v/>
      </c>
    </row>
    <row r="2239">
      <c r="A2239" s="7">
        <f>IFERROR(Datos!A2239,"")</f>
        <v/>
      </c>
      <c r="B2239" s="8">
        <f>IFERROR(Datos!B2239,"")</f>
        <v/>
      </c>
      <c r="C2239" s="8">
        <f>IFERROR(Datos!C2239,"")</f>
        <v/>
      </c>
      <c r="D2239" s="28">
        <f>IFERROR(IF(AND(ISNUMBER(B2239),ISNUMBER(B2238),B2238&lt;&gt;0),B2239/B2238-1,""),"")</f>
        <v/>
      </c>
      <c r="E2239" s="28">
        <f>IFERROR(IF(AND(ISNUMBER(C2239),ISNUMBER(C2238),C2238&lt;&gt;0),C2239/C2238-1,""),"")</f>
        <v/>
      </c>
      <c r="F2239" s="28">
        <f>IFERROR(D2239-Dashboard!$B$4/252,"")</f>
        <v/>
      </c>
      <c r="G2239" s="28">
        <f>IFERROR(E2239-Dashboard!$B$4/252,"")</f>
        <v/>
      </c>
      <c r="H2239" s="8">
        <f>IFERROR(IF(ISNUMBER(B2239),MAX(B2239,IFERROR(H2238,B2239)),""),"")</f>
        <v/>
      </c>
      <c r="I2239" s="29">
        <f>IFERROR(IF(AND(ISNUMBER(B2239),ISNUMBER(H2239)),B2239/H2239-1,""),"")</f>
        <v/>
      </c>
      <c r="J2239" s="8">
        <f>IFERROR(IF(ISNUMBER(C2239),MAX(C2239,IFERROR(J2238,C2239)),""),"")</f>
        <v/>
      </c>
      <c r="K2239" s="29">
        <f>IFERROR(IF(AND(ISNUMBER(C2239),ISNUMBER(J2239)),C2239/J2239-1,""),"")</f>
        <v/>
      </c>
      <c r="L2239" s="28">
        <f>IFERROR(IF(AND(ISNUMBER(D2239),ISNUMBER(E2239)),D2239-E2239,""),"")</f>
        <v/>
      </c>
    </row>
    <row r="2240">
      <c r="A2240" s="7">
        <f>IFERROR(Datos!A2240,"")</f>
        <v/>
      </c>
      <c r="B2240" s="8">
        <f>IFERROR(Datos!B2240,"")</f>
        <v/>
      </c>
      <c r="C2240" s="8">
        <f>IFERROR(Datos!C2240,"")</f>
        <v/>
      </c>
      <c r="D2240" s="28">
        <f>IFERROR(IF(AND(ISNUMBER(B2240),ISNUMBER(B2239),B2239&lt;&gt;0),B2240/B2239-1,""),"")</f>
        <v/>
      </c>
      <c r="E2240" s="28">
        <f>IFERROR(IF(AND(ISNUMBER(C2240),ISNUMBER(C2239),C2239&lt;&gt;0),C2240/C2239-1,""),"")</f>
        <v/>
      </c>
      <c r="F2240" s="28">
        <f>IFERROR(D2240-Dashboard!$B$4/252,"")</f>
        <v/>
      </c>
      <c r="G2240" s="28">
        <f>IFERROR(E2240-Dashboard!$B$4/252,"")</f>
        <v/>
      </c>
      <c r="H2240" s="8">
        <f>IFERROR(IF(ISNUMBER(B2240),MAX(B2240,IFERROR(H2239,B2240)),""),"")</f>
        <v/>
      </c>
      <c r="I2240" s="29">
        <f>IFERROR(IF(AND(ISNUMBER(B2240),ISNUMBER(H2240)),B2240/H2240-1,""),"")</f>
        <v/>
      </c>
      <c r="J2240" s="8">
        <f>IFERROR(IF(ISNUMBER(C2240),MAX(C2240,IFERROR(J2239,C2240)),""),"")</f>
        <v/>
      </c>
      <c r="K2240" s="29">
        <f>IFERROR(IF(AND(ISNUMBER(C2240),ISNUMBER(J2240)),C2240/J2240-1,""),"")</f>
        <v/>
      </c>
      <c r="L2240" s="28">
        <f>IFERROR(IF(AND(ISNUMBER(D2240),ISNUMBER(E2240)),D2240-E2240,""),"")</f>
        <v/>
      </c>
    </row>
    <row r="2241">
      <c r="A2241" s="7">
        <f>IFERROR(Datos!A2241,"")</f>
        <v/>
      </c>
      <c r="B2241" s="8">
        <f>IFERROR(Datos!B2241,"")</f>
        <v/>
      </c>
      <c r="C2241" s="8">
        <f>IFERROR(Datos!C2241,"")</f>
        <v/>
      </c>
      <c r="D2241" s="28">
        <f>IFERROR(IF(AND(ISNUMBER(B2241),ISNUMBER(B2240),B2240&lt;&gt;0),B2241/B2240-1,""),"")</f>
        <v/>
      </c>
      <c r="E2241" s="28">
        <f>IFERROR(IF(AND(ISNUMBER(C2241),ISNUMBER(C2240),C2240&lt;&gt;0),C2241/C2240-1,""),"")</f>
        <v/>
      </c>
      <c r="F2241" s="28">
        <f>IFERROR(D2241-Dashboard!$B$4/252,"")</f>
        <v/>
      </c>
      <c r="G2241" s="28">
        <f>IFERROR(E2241-Dashboard!$B$4/252,"")</f>
        <v/>
      </c>
      <c r="H2241" s="8">
        <f>IFERROR(IF(ISNUMBER(B2241),MAX(B2241,IFERROR(H2240,B2241)),""),"")</f>
        <v/>
      </c>
      <c r="I2241" s="29">
        <f>IFERROR(IF(AND(ISNUMBER(B2241),ISNUMBER(H2241)),B2241/H2241-1,""),"")</f>
        <v/>
      </c>
      <c r="J2241" s="8">
        <f>IFERROR(IF(ISNUMBER(C2241),MAX(C2241,IFERROR(J2240,C2241)),""),"")</f>
        <v/>
      </c>
      <c r="K2241" s="29">
        <f>IFERROR(IF(AND(ISNUMBER(C2241),ISNUMBER(J2241)),C2241/J2241-1,""),"")</f>
        <v/>
      </c>
      <c r="L2241" s="28">
        <f>IFERROR(IF(AND(ISNUMBER(D2241),ISNUMBER(E2241)),D2241-E2241,""),"")</f>
        <v/>
      </c>
    </row>
    <row r="2242">
      <c r="A2242" s="7">
        <f>IFERROR(Datos!A2242,"")</f>
        <v/>
      </c>
      <c r="B2242" s="8">
        <f>IFERROR(Datos!B2242,"")</f>
        <v/>
      </c>
      <c r="C2242" s="8">
        <f>IFERROR(Datos!C2242,"")</f>
        <v/>
      </c>
      <c r="D2242" s="28">
        <f>IFERROR(IF(AND(ISNUMBER(B2242),ISNUMBER(B2241),B2241&lt;&gt;0),B2242/B2241-1,""),"")</f>
        <v/>
      </c>
      <c r="E2242" s="28">
        <f>IFERROR(IF(AND(ISNUMBER(C2242),ISNUMBER(C2241),C2241&lt;&gt;0),C2242/C2241-1,""),"")</f>
        <v/>
      </c>
      <c r="F2242" s="28">
        <f>IFERROR(D2242-Dashboard!$B$4/252,"")</f>
        <v/>
      </c>
      <c r="G2242" s="28">
        <f>IFERROR(E2242-Dashboard!$B$4/252,"")</f>
        <v/>
      </c>
      <c r="H2242" s="8">
        <f>IFERROR(IF(ISNUMBER(B2242),MAX(B2242,IFERROR(H2241,B2242)),""),"")</f>
        <v/>
      </c>
      <c r="I2242" s="29">
        <f>IFERROR(IF(AND(ISNUMBER(B2242),ISNUMBER(H2242)),B2242/H2242-1,""),"")</f>
        <v/>
      </c>
      <c r="J2242" s="8">
        <f>IFERROR(IF(ISNUMBER(C2242),MAX(C2242,IFERROR(J2241,C2242)),""),"")</f>
        <v/>
      </c>
      <c r="K2242" s="29">
        <f>IFERROR(IF(AND(ISNUMBER(C2242),ISNUMBER(J2242)),C2242/J2242-1,""),"")</f>
        <v/>
      </c>
      <c r="L2242" s="28">
        <f>IFERROR(IF(AND(ISNUMBER(D2242),ISNUMBER(E2242)),D2242-E2242,""),"")</f>
        <v/>
      </c>
    </row>
    <row r="2243">
      <c r="A2243" s="7">
        <f>IFERROR(Datos!A2243,"")</f>
        <v/>
      </c>
      <c r="B2243" s="8">
        <f>IFERROR(Datos!B2243,"")</f>
        <v/>
      </c>
      <c r="C2243" s="8">
        <f>IFERROR(Datos!C2243,"")</f>
        <v/>
      </c>
      <c r="D2243" s="28">
        <f>IFERROR(IF(AND(ISNUMBER(B2243),ISNUMBER(B2242),B2242&lt;&gt;0),B2243/B2242-1,""),"")</f>
        <v/>
      </c>
      <c r="E2243" s="28">
        <f>IFERROR(IF(AND(ISNUMBER(C2243),ISNUMBER(C2242),C2242&lt;&gt;0),C2243/C2242-1,""),"")</f>
        <v/>
      </c>
      <c r="F2243" s="28">
        <f>IFERROR(D2243-Dashboard!$B$4/252,"")</f>
        <v/>
      </c>
      <c r="G2243" s="28">
        <f>IFERROR(E2243-Dashboard!$B$4/252,"")</f>
        <v/>
      </c>
      <c r="H2243" s="8">
        <f>IFERROR(IF(ISNUMBER(B2243),MAX(B2243,IFERROR(H2242,B2243)),""),"")</f>
        <v/>
      </c>
      <c r="I2243" s="29">
        <f>IFERROR(IF(AND(ISNUMBER(B2243),ISNUMBER(H2243)),B2243/H2243-1,""),"")</f>
        <v/>
      </c>
      <c r="J2243" s="8">
        <f>IFERROR(IF(ISNUMBER(C2243),MAX(C2243,IFERROR(J2242,C2243)),""),"")</f>
        <v/>
      </c>
      <c r="K2243" s="29">
        <f>IFERROR(IF(AND(ISNUMBER(C2243),ISNUMBER(J2243)),C2243/J2243-1,""),"")</f>
        <v/>
      </c>
      <c r="L2243" s="28">
        <f>IFERROR(IF(AND(ISNUMBER(D2243),ISNUMBER(E2243)),D2243-E2243,""),"")</f>
        <v/>
      </c>
    </row>
    <row r="2244">
      <c r="A2244" s="7">
        <f>IFERROR(Datos!A2244,"")</f>
        <v/>
      </c>
      <c r="B2244" s="8">
        <f>IFERROR(Datos!B2244,"")</f>
        <v/>
      </c>
      <c r="C2244" s="8">
        <f>IFERROR(Datos!C2244,"")</f>
        <v/>
      </c>
      <c r="D2244" s="28">
        <f>IFERROR(IF(AND(ISNUMBER(B2244),ISNUMBER(B2243),B2243&lt;&gt;0),B2244/B2243-1,""),"")</f>
        <v/>
      </c>
      <c r="E2244" s="28">
        <f>IFERROR(IF(AND(ISNUMBER(C2244),ISNUMBER(C2243),C2243&lt;&gt;0),C2244/C2243-1,""),"")</f>
        <v/>
      </c>
      <c r="F2244" s="28">
        <f>IFERROR(D2244-Dashboard!$B$4/252,"")</f>
        <v/>
      </c>
      <c r="G2244" s="28">
        <f>IFERROR(E2244-Dashboard!$B$4/252,"")</f>
        <v/>
      </c>
      <c r="H2244" s="8">
        <f>IFERROR(IF(ISNUMBER(B2244),MAX(B2244,IFERROR(H2243,B2244)),""),"")</f>
        <v/>
      </c>
      <c r="I2244" s="29">
        <f>IFERROR(IF(AND(ISNUMBER(B2244),ISNUMBER(H2244)),B2244/H2244-1,""),"")</f>
        <v/>
      </c>
      <c r="J2244" s="8">
        <f>IFERROR(IF(ISNUMBER(C2244),MAX(C2244,IFERROR(J2243,C2244)),""),"")</f>
        <v/>
      </c>
      <c r="K2244" s="29">
        <f>IFERROR(IF(AND(ISNUMBER(C2244),ISNUMBER(J2244)),C2244/J2244-1,""),"")</f>
        <v/>
      </c>
      <c r="L2244" s="28">
        <f>IFERROR(IF(AND(ISNUMBER(D2244),ISNUMBER(E2244)),D2244-E2244,""),"")</f>
        <v/>
      </c>
    </row>
    <row r="2245">
      <c r="A2245" s="7">
        <f>IFERROR(Datos!A2245,"")</f>
        <v/>
      </c>
      <c r="B2245" s="8">
        <f>IFERROR(Datos!B2245,"")</f>
        <v/>
      </c>
      <c r="C2245" s="8">
        <f>IFERROR(Datos!C2245,"")</f>
        <v/>
      </c>
      <c r="D2245" s="28">
        <f>IFERROR(IF(AND(ISNUMBER(B2245),ISNUMBER(B2244),B2244&lt;&gt;0),B2245/B2244-1,""),"")</f>
        <v/>
      </c>
      <c r="E2245" s="28">
        <f>IFERROR(IF(AND(ISNUMBER(C2245),ISNUMBER(C2244),C2244&lt;&gt;0),C2245/C2244-1,""),"")</f>
        <v/>
      </c>
      <c r="F2245" s="28">
        <f>IFERROR(D2245-Dashboard!$B$4/252,"")</f>
        <v/>
      </c>
      <c r="G2245" s="28">
        <f>IFERROR(E2245-Dashboard!$B$4/252,"")</f>
        <v/>
      </c>
      <c r="H2245" s="8">
        <f>IFERROR(IF(ISNUMBER(B2245),MAX(B2245,IFERROR(H2244,B2245)),""),"")</f>
        <v/>
      </c>
      <c r="I2245" s="29">
        <f>IFERROR(IF(AND(ISNUMBER(B2245),ISNUMBER(H2245)),B2245/H2245-1,""),"")</f>
        <v/>
      </c>
      <c r="J2245" s="8">
        <f>IFERROR(IF(ISNUMBER(C2245),MAX(C2245,IFERROR(J2244,C2245)),""),"")</f>
        <v/>
      </c>
      <c r="K2245" s="29">
        <f>IFERROR(IF(AND(ISNUMBER(C2245),ISNUMBER(J2245)),C2245/J2245-1,""),"")</f>
        <v/>
      </c>
      <c r="L2245" s="28">
        <f>IFERROR(IF(AND(ISNUMBER(D2245),ISNUMBER(E2245)),D2245-E2245,""),"")</f>
        <v/>
      </c>
    </row>
    <row r="2246">
      <c r="A2246" s="7">
        <f>IFERROR(Datos!A2246,"")</f>
        <v/>
      </c>
      <c r="B2246" s="8">
        <f>IFERROR(Datos!B2246,"")</f>
        <v/>
      </c>
      <c r="C2246" s="8">
        <f>IFERROR(Datos!C2246,"")</f>
        <v/>
      </c>
      <c r="D2246" s="28">
        <f>IFERROR(IF(AND(ISNUMBER(B2246),ISNUMBER(B2245),B2245&lt;&gt;0),B2246/B2245-1,""),"")</f>
        <v/>
      </c>
      <c r="E2246" s="28">
        <f>IFERROR(IF(AND(ISNUMBER(C2246),ISNUMBER(C2245),C2245&lt;&gt;0),C2246/C2245-1,""),"")</f>
        <v/>
      </c>
      <c r="F2246" s="28">
        <f>IFERROR(D2246-Dashboard!$B$4/252,"")</f>
        <v/>
      </c>
      <c r="G2246" s="28">
        <f>IFERROR(E2246-Dashboard!$B$4/252,"")</f>
        <v/>
      </c>
      <c r="H2246" s="8">
        <f>IFERROR(IF(ISNUMBER(B2246),MAX(B2246,IFERROR(H2245,B2246)),""),"")</f>
        <v/>
      </c>
      <c r="I2246" s="29">
        <f>IFERROR(IF(AND(ISNUMBER(B2246),ISNUMBER(H2246)),B2246/H2246-1,""),"")</f>
        <v/>
      </c>
      <c r="J2246" s="8">
        <f>IFERROR(IF(ISNUMBER(C2246),MAX(C2246,IFERROR(J2245,C2246)),""),"")</f>
        <v/>
      </c>
      <c r="K2246" s="29">
        <f>IFERROR(IF(AND(ISNUMBER(C2246),ISNUMBER(J2246)),C2246/J2246-1,""),"")</f>
        <v/>
      </c>
      <c r="L2246" s="28">
        <f>IFERROR(IF(AND(ISNUMBER(D2246),ISNUMBER(E2246)),D2246-E2246,""),"")</f>
        <v/>
      </c>
    </row>
    <row r="2247">
      <c r="A2247" s="7">
        <f>IFERROR(Datos!A2247,"")</f>
        <v/>
      </c>
      <c r="B2247" s="8">
        <f>IFERROR(Datos!B2247,"")</f>
        <v/>
      </c>
      <c r="C2247" s="8">
        <f>IFERROR(Datos!C2247,"")</f>
        <v/>
      </c>
      <c r="D2247" s="28">
        <f>IFERROR(IF(AND(ISNUMBER(B2247),ISNUMBER(B2246),B2246&lt;&gt;0),B2247/B2246-1,""),"")</f>
        <v/>
      </c>
      <c r="E2247" s="28">
        <f>IFERROR(IF(AND(ISNUMBER(C2247),ISNUMBER(C2246),C2246&lt;&gt;0),C2247/C2246-1,""),"")</f>
        <v/>
      </c>
      <c r="F2247" s="28">
        <f>IFERROR(D2247-Dashboard!$B$4/252,"")</f>
        <v/>
      </c>
      <c r="G2247" s="28">
        <f>IFERROR(E2247-Dashboard!$B$4/252,"")</f>
        <v/>
      </c>
      <c r="H2247" s="8">
        <f>IFERROR(IF(ISNUMBER(B2247),MAX(B2247,IFERROR(H2246,B2247)),""),"")</f>
        <v/>
      </c>
      <c r="I2247" s="29">
        <f>IFERROR(IF(AND(ISNUMBER(B2247),ISNUMBER(H2247)),B2247/H2247-1,""),"")</f>
        <v/>
      </c>
      <c r="J2247" s="8">
        <f>IFERROR(IF(ISNUMBER(C2247),MAX(C2247,IFERROR(J2246,C2247)),""),"")</f>
        <v/>
      </c>
      <c r="K2247" s="29">
        <f>IFERROR(IF(AND(ISNUMBER(C2247),ISNUMBER(J2247)),C2247/J2247-1,""),"")</f>
        <v/>
      </c>
      <c r="L2247" s="28">
        <f>IFERROR(IF(AND(ISNUMBER(D2247),ISNUMBER(E2247)),D2247-E2247,""),"")</f>
        <v/>
      </c>
    </row>
    <row r="2248">
      <c r="A2248" s="7">
        <f>IFERROR(Datos!A2248,"")</f>
        <v/>
      </c>
      <c r="B2248" s="8">
        <f>IFERROR(Datos!B2248,"")</f>
        <v/>
      </c>
      <c r="C2248" s="8">
        <f>IFERROR(Datos!C2248,"")</f>
        <v/>
      </c>
      <c r="D2248" s="28">
        <f>IFERROR(IF(AND(ISNUMBER(B2248),ISNUMBER(B2247),B2247&lt;&gt;0),B2248/B2247-1,""),"")</f>
        <v/>
      </c>
      <c r="E2248" s="28">
        <f>IFERROR(IF(AND(ISNUMBER(C2248),ISNUMBER(C2247),C2247&lt;&gt;0),C2248/C2247-1,""),"")</f>
        <v/>
      </c>
      <c r="F2248" s="28">
        <f>IFERROR(D2248-Dashboard!$B$4/252,"")</f>
        <v/>
      </c>
      <c r="G2248" s="28">
        <f>IFERROR(E2248-Dashboard!$B$4/252,"")</f>
        <v/>
      </c>
      <c r="H2248" s="8">
        <f>IFERROR(IF(ISNUMBER(B2248),MAX(B2248,IFERROR(H2247,B2248)),""),"")</f>
        <v/>
      </c>
      <c r="I2248" s="29">
        <f>IFERROR(IF(AND(ISNUMBER(B2248),ISNUMBER(H2248)),B2248/H2248-1,""),"")</f>
        <v/>
      </c>
      <c r="J2248" s="8">
        <f>IFERROR(IF(ISNUMBER(C2248),MAX(C2248,IFERROR(J2247,C2248)),""),"")</f>
        <v/>
      </c>
      <c r="K2248" s="29">
        <f>IFERROR(IF(AND(ISNUMBER(C2248),ISNUMBER(J2248)),C2248/J2248-1,""),"")</f>
        <v/>
      </c>
      <c r="L2248" s="28">
        <f>IFERROR(IF(AND(ISNUMBER(D2248),ISNUMBER(E2248)),D2248-E2248,""),"")</f>
        <v/>
      </c>
    </row>
    <row r="2249">
      <c r="A2249" s="7">
        <f>IFERROR(Datos!A2249,"")</f>
        <v/>
      </c>
      <c r="B2249" s="8">
        <f>IFERROR(Datos!B2249,"")</f>
        <v/>
      </c>
      <c r="C2249" s="8">
        <f>IFERROR(Datos!C2249,"")</f>
        <v/>
      </c>
      <c r="D2249" s="28">
        <f>IFERROR(IF(AND(ISNUMBER(B2249),ISNUMBER(B2248),B2248&lt;&gt;0),B2249/B2248-1,""),"")</f>
        <v/>
      </c>
      <c r="E2249" s="28">
        <f>IFERROR(IF(AND(ISNUMBER(C2249),ISNUMBER(C2248),C2248&lt;&gt;0),C2249/C2248-1,""),"")</f>
        <v/>
      </c>
      <c r="F2249" s="28">
        <f>IFERROR(D2249-Dashboard!$B$4/252,"")</f>
        <v/>
      </c>
      <c r="G2249" s="28">
        <f>IFERROR(E2249-Dashboard!$B$4/252,"")</f>
        <v/>
      </c>
      <c r="H2249" s="8">
        <f>IFERROR(IF(ISNUMBER(B2249),MAX(B2249,IFERROR(H2248,B2249)),""),"")</f>
        <v/>
      </c>
      <c r="I2249" s="29">
        <f>IFERROR(IF(AND(ISNUMBER(B2249),ISNUMBER(H2249)),B2249/H2249-1,""),"")</f>
        <v/>
      </c>
      <c r="J2249" s="8">
        <f>IFERROR(IF(ISNUMBER(C2249),MAX(C2249,IFERROR(J2248,C2249)),""),"")</f>
        <v/>
      </c>
      <c r="K2249" s="29">
        <f>IFERROR(IF(AND(ISNUMBER(C2249),ISNUMBER(J2249)),C2249/J2249-1,""),"")</f>
        <v/>
      </c>
      <c r="L2249" s="28">
        <f>IFERROR(IF(AND(ISNUMBER(D2249),ISNUMBER(E2249)),D2249-E2249,""),"")</f>
        <v/>
      </c>
    </row>
    <row r="2250">
      <c r="A2250" s="7">
        <f>IFERROR(Datos!A2250,"")</f>
        <v/>
      </c>
      <c r="B2250" s="8">
        <f>IFERROR(Datos!B2250,"")</f>
        <v/>
      </c>
      <c r="C2250" s="8">
        <f>IFERROR(Datos!C2250,"")</f>
        <v/>
      </c>
      <c r="D2250" s="28">
        <f>IFERROR(IF(AND(ISNUMBER(B2250),ISNUMBER(B2249),B2249&lt;&gt;0),B2250/B2249-1,""),"")</f>
        <v/>
      </c>
      <c r="E2250" s="28">
        <f>IFERROR(IF(AND(ISNUMBER(C2250),ISNUMBER(C2249),C2249&lt;&gt;0),C2250/C2249-1,""),"")</f>
        <v/>
      </c>
      <c r="F2250" s="28">
        <f>IFERROR(D2250-Dashboard!$B$4/252,"")</f>
        <v/>
      </c>
      <c r="G2250" s="28">
        <f>IFERROR(E2250-Dashboard!$B$4/252,"")</f>
        <v/>
      </c>
      <c r="H2250" s="8">
        <f>IFERROR(IF(ISNUMBER(B2250),MAX(B2250,IFERROR(H2249,B2250)),""),"")</f>
        <v/>
      </c>
      <c r="I2250" s="29">
        <f>IFERROR(IF(AND(ISNUMBER(B2250),ISNUMBER(H2250)),B2250/H2250-1,""),"")</f>
        <v/>
      </c>
      <c r="J2250" s="8">
        <f>IFERROR(IF(ISNUMBER(C2250),MAX(C2250,IFERROR(J2249,C2250)),""),"")</f>
        <v/>
      </c>
      <c r="K2250" s="29">
        <f>IFERROR(IF(AND(ISNUMBER(C2250),ISNUMBER(J2250)),C2250/J2250-1,""),"")</f>
        <v/>
      </c>
      <c r="L2250" s="28">
        <f>IFERROR(IF(AND(ISNUMBER(D2250),ISNUMBER(E2250)),D2250-E2250,""),"")</f>
        <v/>
      </c>
    </row>
    <row r="2251">
      <c r="A2251" s="7">
        <f>IFERROR(Datos!A2251,"")</f>
        <v/>
      </c>
      <c r="B2251" s="8">
        <f>IFERROR(Datos!B2251,"")</f>
        <v/>
      </c>
      <c r="C2251" s="8">
        <f>IFERROR(Datos!C2251,"")</f>
        <v/>
      </c>
      <c r="D2251" s="28">
        <f>IFERROR(IF(AND(ISNUMBER(B2251),ISNUMBER(B2250),B2250&lt;&gt;0),B2251/B2250-1,""),"")</f>
        <v/>
      </c>
      <c r="E2251" s="28">
        <f>IFERROR(IF(AND(ISNUMBER(C2251),ISNUMBER(C2250),C2250&lt;&gt;0),C2251/C2250-1,""),"")</f>
        <v/>
      </c>
      <c r="F2251" s="28">
        <f>IFERROR(D2251-Dashboard!$B$4/252,"")</f>
        <v/>
      </c>
      <c r="G2251" s="28">
        <f>IFERROR(E2251-Dashboard!$B$4/252,"")</f>
        <v/>
      </c>
      <c r="H2251" s="8">
        <f>IFERROR(IF(ISNUMBER(B2251),MAX(B2251,IFERROR(H2250,B2251)),""),"")</f>
        <v/>
      </c>
      <c r="I2251" s="29">
        <f>IFERROR(IF(AND(ISNUMBER(B2251),ISNUMBER(H2251)),B2251/H2251-1,""),"")</f>
        <v/>
      </c>
      <c r="J2251" s="8">
        <f>IFERROR(IF(ISNUMBER(C2251),MAX(C2251,IFERROR(J2250,C2251)),""),"")</f>
        <v/>
      </c>
      <c r="K2251" s="29">
        <f>IFERROR(IF(AND(ISNUMBER(C2251),ISNUMBER(J2251)),C2251/J2251-1,""),"")</f>
        <v/>
      </c>
      <c r="L2251" s="28">
        <f>IFERROR(IF(AND(ISNUMBER(D2251),ISNUMBER(E2251)),D2251-E2251,""),"")</f>
        <v/>
      </c>
    </row>
    <row r="2252">
      <c r="A2252" s="7">
        <f>IFERROR(Datos!A2252,"")</f>
        <v/>
      </c>
      <c r="B2252" s="8">
        <f>IFERROR(Datos!B2252,"")</f>
        <v/>
      </c>
      <c r="C2252" s="8">
        <f>IFERROR(Datos!C2252,"")</f>
        <v/>
      </c>
      <c r="D2252" s="28">
        <f>IFERROR(IF(AND(ISNUMBER(B2252),ISNUMBER(B2251),B2251&lt;&gt;0),B2252/B2251-1,""),"")</f>
        <v/>
      </c>
      <c r="E2252" s="28">
        <f>IFERROR(IF(AND(ISNUMBER(C2252),ISNUMBER(C2251),C2251&lt;&gt;0),C2252/C2251-1,""),"")</f>
        <v/>
      </c>
      <c r="F2252" s="28">
        <f>IFERROR(D2252-Dashboard!$B$4/252,"")</f>
        <v/>
      </c>
      <c r="G2252" s="28">
        <f>IFERROR(E2252-Dashboard!$B$4/252,"")</f>
        <v/>
      </c>
      <c r="H2252" s="8">
        <f>IFERROR(IF(ISNUMBER(B2252),MAX(B2252,IFERROR(H2251,B2252)),""),"")</f>
        <v/>
      </c>
      <c r="I2252" s="29">
        <f>IFERROR(IF(AND(ISNUMBER(B2252),ISNUMBER(H2252)),B2252/H2252-1,""),"")</f>
        <v/>
      </c>
      <c r="J2252" s="8">
        <f>IFERROR(IF(ISNUMBER(C2252),MAX(C2252,IFERROR(J2251,C2252)),""),"")</f>
        <v/>
      </c>
      <c r="K2252" s="29">
        <f>IFERROR(IF(AND(ISNUMBER(C2252),ISNUMBER(J2252)),C2252/J2252-1,""),"")</f>
        <v/>
      </c>
      <c r="L2252" s="28">
        <f>IFERROR(IF(AND(ISNUMBER(D2252),ISNUMBER(E2252)),D2252-E2252,""),"")</f>
        <v/>
      </c>
    </row>
    <row r="2253">
      <c r="A2253" s="7">
        <f>IFERROR(Datos!A2253,"")</f>
        <v/>
      </c>
      <c r="B2253" s="8">
        <f>IFERROR(Datos!B2253,"")</f>
        <v/>
      </c>
      <c r="C2253" s="8">
        <f>IFERROR(Datos!C2253,"")</f>
        <v/>
      </c>
      <c r="D2253" s="28">
        <f>IFERROR(IF(AND(ISNUMBER(B2253),ISNUMBER(B2252),B2252&lt;&gt;0),B2253/B2252-1,""),"")</f>
        <v/>
      </c>
      <c r="E2253" s="28">
        <f>IFERROR(IF(AND(ISNUMBER(C2253),ISNUMBER(C2252),C2252&lt;&gt;0),C2253/C2252-1,""),"")</f>
        <v/>
      </c>
      <c r="F2253" s="28">
        <f>IFERROR(D2253-Dashboard!$B$4/252,"")</f>
        <v/>
      </c>
      <c r="G2253" s="28">
        <f>IFERROR(E2253-Dashboard!$B$4/252,"")</f>
        <v/>
      </c>
      <c r="H2253" s="8">
        <f>IFERROR(IF(ISNUMBER(B2253),MAX(B2253,IFERROR(H2252,B2253)),""),"")</f>
        <v/>
      </c>
      <c r="I2253" s="29">
        <f>IFERROR(IF(AND(ISNUMBER(B2253),ISNUMBER(H2253)),B2253/H2253-1,""),"")</f>
        <v/>
      </c>
      <c r="J2253" s="8">
        <f>IFERROR(IF(ISNUMBER(C2253),MAX(C2253,IFERROR(J2252,C2253)),""),"")</f>
        <v/>
      </c>
      <c r="K2253" s="29">
        <f>IFERROR(IF(AND(ISNUMBER(C2253),ISNUMBER(J2253)),C2253/J2253-1,""),"")</f>
        <v/>
      </c>
      <c r="L2253" s="28">
        <f>IFERROR(IF(AND(ISNUMBER(D2253),ISNUMBER(E2253)),D2253-E2253,""),"")</f>
        <v/>
      </c>
    </row>
    <row r="2254">
      <c r="A2254" s="7">
        <f>IFERROR(Datos!A2254,"")</f>
        <v/>
      </c>
      <c r="B2254" s="8">
        <f>IFERROR(Datos!B2254,"")</f>
        <v/>
      </c>
      <c r="C2254" s="8">
        <f>IFERROR(Datos!C2254,"")</f>
        <v/>
      </c>
      <c r="D2254" s="28">
        <f>IFERROR(IF(AND(ISNUMBER(B2254),ISNUMBER(B2253),B2253&lt;&gt;0),B2254/B2253-1,""),"")</f>
        <v/>
      </c>
      <c r="E2254" s="28">
        <f>IFERROR(IF(AND(ISNUMBER(C2254),ISNUMBER(C2253),C2253&lt;&gt;0),C2254/C2253-1,""),"")</f>
        <v/>
      </c>
      <c r="F2254" s="28">
        <f>IFERROR(D2254-Dashboard!$B$4/252,"")</f>
        <v/>
      </c>
      <c r="G2254" s="28">
        <f>IFERROR(E2254-Dashboard!$B$4/252,"")</f>
        <v/>
      </c>
      <c r="H2254" s="8">
        <f>IFERROR(IF(ISNUMBER(B2254),MAX(B2254,IFERROR(H2253,B2254)),""),"")</f>
        <v/>
      </c>
      <c r="I2254" s="29">
        <f>IFERROR(IF(AND(ISNUMBER(B2254),ISNUMBER(H2254)),B2254/H2254-1,""),"")</f>
        <v/>
      </c>
      <c r="J2254" s="8">
        <f>IFERROR(IF(ISNUMBER(C2254),MAX(C2254,IFERROR(J2253,C2254)),""),"")</f>
        <v/>
      </c>
      <c r="K2254" s="29">
        <f>IFERROR(IF(AND(ISNUMBER(C2254),ISNUMBER(J2254)),C2254/J2254-1,""),"")</f>
        <v/>
      </c>
      <c r="L2254" s="28">
        <f>IFERROR(IF(AND(ISNUMBER(D2254),ISNUMBER(E2254)),D2254-E2254,""),"")</f>
        <v/>
      </c>
    </row>
    <row r="2255">
      <c r="A2255" s="7">
        <f>IFERROR(Datos!A2255,"")</f>
        <v/>
      </c>
      <c r="B2255" s="8">
        <f>IFERROR(Datos!B2255,"")</f>
        <v/>
      </c>
      <c r="C2255" s="8">
        <f>IFERROR(Datos!C2255,"")</f>
        <v/>
      </c>
      <c r="D2255" s="28">
        <f>IFERROR(IF(AND(ISNUMBER(B2255),ISNUMBER(B2254),B2254&lt;&gt;0),B2255/B2254-1,""),"")</f>
        <v/>
      </c>
      <c r="E2255" s="28">
        <f>IFERROR(IF(AND(ISNUMBER(C2255),ISNUMBER(C2254),C2254&lt;&gt;0),C2255/C2254-1,""),"")</f>
        <v/>
      </c>
      <c r="F2255" s="28">
        <f>IFERROR(D2255-Dashboard!$B$4/252,"")</f>
        <v/>
      </c>
      <c r="G2255" s="28">
        <f>IFERROR(E2255-Dashboard!$B$4/252,"")</f>
        <v/>
      </c>
      <c r="H2255" s="8">
        <f>IFERROR(IF(ISNUMBER(B2255),MAX(B2255,IFERROR(H2254,B2255)),""),"")</f>
        <v/>
      </c>
      <c r="I2255" s="29">
        <f>IFERROR(IF(AND(ISNUMBER(B2255),ISNUMBER(H2255)),B2255/H2255-1,""),"")</f>
        <v/>
      </c>
      <c r="J2255" s="8">
        <f>IFERROR(IF(ISNUMBER(C2255),MAX(C2255,IFERROR(J2254,C2255)),""),"")</f>
        <v/>
      </c>
      <c r="K2255" s="29">
        <f>IFERROR(IF(AND(ISNUMBER(C2255),ISNUMBER(J2255)),C2255/J2255-1,""),"")</f>
        <v/>
      </c>
      <c r="L2255" s="28">
        <f>IFERROR(IF(AND(ISNUMBER(D2255),ISNUMBER(E2255)),D2255-E2255,""),"")</f>
        <v/>
      </c>
    </row>
    <row r="2256">
      <c r="A2256" s="7">
        <f>IFERROR(Datos!A2256,"")</f>
        <v/>
      </c>
      <c r="B2256" s="8">
        <f>IFERROR(Datos!B2256,"")</f>
        <v/>
      </c>
      <c r="C2256" s="8">
        <f>IFERROR(Datos!C2256,"")</f>
        <v/>
      </c>
      <c r="D2256" s="28">
        <f>IFERROR(IF(AND(ISNUMBER(B2256),ISNUMBER(B2255),B2255&lt;&gt;0),B2256/B2255-1,""),"")</f>
        <v/>
      </c>
      <c r="E2256" s="28">
        <f>IFERROR(IF(AND(ISNUMBER(C2256),ISNUMBER(C2255),C2255&lt;&gt;0),C2256/C2255-1,""),"")</f>
        <v/>
      </c>
      <c r="F2256" s="28">
        <f>IFERROR(D2256-Dashboard!$B$4/252,"")</f>
        <v/>
      </c>
      <c r="G2256" s="28">
        <f>IFERROR(E2256-Dashboard!$B$4/252,"")</f>
        <v/>
      </c>
      <c r="H2256" s="8">
        <f>IFERROR(IF(ISNUMBER(B2256),MAX(B2256,IFERROR(H2255,B2256)),""),"")</f>
        <v/>
      </c>
      <c r="I2256" s="29">
        <f>IFERROR(IF(AND(ISNUMBER(B2256),ISNUMBER(H2256)),B2256/H2256-1,""),"")</f>
        <v/>
      </c>
      <c r="J2256" s="8">
        <f>IFERROR(IF(ISNUMBER(C2256),MAX(C2256,IFERROR(J2255,C2256)),""),"")</f>
        <v/>
      </c>
      <c r="K2256" s="29">
        <f>IFERROR(IF(AND(ISNUMBER(C2256),ISNUMBER(J2256)),C2256/J2256-1,""),"")</f>
        <v/>
      </c>
      <c r="L2256" s="28">
        <f>IFERROR(IF(AND(ISNUMBER(D2256),ISNUMBER(E2256)),D2256-E2256,""),"")</f>
        <v/>
      </c>
    </row>
    <row r="2257">
      <c r="A2257" s="7">
        <f>IFERROR(Datos!A2257,"")</f>
        <v/>
      </c>
      <c r="B2257" s="8">
        <f>IFERROR(Datos!B2257,"")</f>
        <v/>
      </c>
      <c r="C2257" s="8">
        <f>IFERROR(Datos!C2257,"")</f>
        <v/>
      </c>
      <c r="D2257" s="28">
        <f>IFERROR(IF(AND(ISNUMBER(B2257),ISNUMBER(B2256),B2256&lt;&gt;0),B2257/B2256-1,""),"")</f>
        <v/>
      </c>
      <c r="E2257" s="28">
        <f>IFERROR(IF(AND(ISNUMBER(C2257),ISNUMBER(C2256),C2256&lt;&gt;0),C2257/C2256-1,""),"")</f>
        <v/>
      </c>
      <c r="F2257" s="28">
        <f>IFERROR(D2257-Dashboard!$B$4/252,"")</f>
        <v/>
      </c>
      <c r="G2257" s="28">
        <f>IFERROR(E2257-Dashboard!$B$4/252,"")</f>
        <v/>
      </c>
      <c r="H2257" s="8">
        <f>IFERROR(IF(ISNUMBER(B2257),MAX(B2257,IFERROR(H2256,B2257)),""),"")</f>
        <v/>
      </c>
      <c r="I2257" s="29">
        <f>IFERROR(IF(AND(ISNUMBER(B2257),ISNUMBER(H2257)),B2257/H2257-1,""),"")</f>
        <v/>
      </c>
      <c r="J2257" s="8">
        <f>IFERROR(IF(ISNUMBER(C2257),MAX(C2257,IFERROR(J2256,C2257)),""),"")</f>
        <v/>
      </c>
      <c r="K2257" s="29">
        <f>IFERROR(IF(AND(ISNUMBER(C2257),ISNUMBER(J2257)),C2257/J2257-1,""),"")</f>
        <v/>
      </c>
      <c r="L2257" s="28">
        <f>IFERROR(IF(AND(ISNUMBER(D2257),ISNUMBER(E2257)),D2257-E2257,""),"")</f>
        <v/>
      </c>
    </row>
    <row r="2258">
      <c r="A2258" s="7">
        <f>IFERROR(Datos!A2258,"")</f>
        <v/>
      </c>
      <c r="B2258" s="8">
        <f>IFERROR(Datos!B2258,"")</f>
        <v/>
      </c>
      <c r="C2258" s="8">
        <f>IFERROR(Datos!C2258,"")</f>
        <v/>
      </c>
      <c r="D2258" s="28">
        <f>IFERROR(IF(AND(ISNUMBER(B2258),ISNUMBER(B2257),B2257&lt;&gt;0),B2258/B2257-1,""),"")</f>
        <v/>
      </c>
      <c r="E2258" s="28">
        <f>IFERROR(IF(AND(ISNUMBER(C2258),ISNUMBER(C2257),C2257&lt;&gt;0),C2258/C2257-1,""),"")</f>
        <v/>
      </c>
      <c r="F2258" s="28">
        <f>IFERROR(D2258-Dashboard!$B$4/252,"")</f>
        <v/>
      </c>
      <c r="G2258" s="28">
        <f>IFERROR(E2258-Dashboard!$B$4/252,"")</f>
        <v/>
      </c>
      <c r="H2258" s="8">
        <f>IFERROR(IF(ISNUMBER(B2258),MAX(B2258,IFERROR(H2257,B2258)),""),"")</f>
        <v/>
      </c>
      <c r="I2258" s="29">
        <f>IFERROR(IF(AND(ISNUMBER(B2258),ISNUMBER(H2258)),B2258/H2258-1,""),"")</f>
        <v/>
      </c>
      <c r="J2258" s="8">
        <f>IFERROR(IF(ISNUMBER(C2258),MAX(C2258,IFERROR(J2257,C2258)),""),"")</f>
        <v/>
      </c>
      <c r="K2258" s="29">
        <f>IFERROR(IF(AND(ISNUMBER(C2258),ISNUMBER(J2258)),C2258/J2258-1,""),"")</f>
        <v/>
      </c>
      <c r="L2258" s="28">
        <f>IFERROR(IF(AND(ISNUMBER(D2258),ISNUMBER(E2258)),D2258-E2258,""),"")</f>
        <v/>
      </c>
    </row>
    <row r="2259">
      <c r="A2259" s="7">
        <f>IFERROR(Datos!A2259,"")</f>
        <v/>
      </c>
      <c r="B2259" s="8">
        <f>IFERROR(Datos!B2259,"")</f>
        <v/>
      </c>
      <c r="C2259" s="8">
        <f>IFERROR(Datos!C2259,"")</f>
        <v/>
      </c>
      <c r="D2259" s="28">
        <f>IFERROR(IF(AND(ISNUMBER(B2259),ISNUMBER(B2258),B2258&lt;&gt;0),B2259/B2258-1,""),"")</f>
        <v/>
      </c>
      <c r="E2259" s="28">
        <f>IFERROR(IF(AND(ISNUMBER(C2259),ISNUMBER(C2258),C2258&lt;&gt;0),C2259/C2258-1,""),"")</f>
        <v/>
      </c>
      <c r="F2259" s="28">
        <f>IFERROR(D2259-Dashboard!$B$4/252,"")</f>
        <v/>
      </c>
      <c r="G2259" s="28">
        <f>IFERROR(E2259-Dashboard!$B$4/252,"")</f>
        <v/>
      </c>
      <c r="H2259" s="8">
        <f>IFERROR(IF(ISNUMBER(B2259),MAX(B2259,IFERROR(H2258,B2259)),""),"")</f>
        <v/>
      </c>
      <c r="I2259" s="29">
        <f>IFERROR(IF(AND(ISNUMBER(B2259),ISNUMBER(H2259)),B2259/H2259-1,""),"")</f>
        <v/>
      </c>
      <c r="J2259" s="8">
        <f>IFERROR(IF(ISNUMBER(C2259),MAX(C2259,IFERROR(J2258,C2259)),""),"")</f>
        <v/>
      </c>
      <c r="K2259" s="29">
        <f>IFERROR(IF(AND(ISNUMBER(C2259),ISNUMBER(J2259)),C2259/J2259-1,""),"")</f>
        <v/>
      </c>
      <c r="L2259" s="28">
        <f>IFERROR(IF(AND(ISNUMBER(D2259),ISNUMBER(E2259)),D2259-E2259,""),"")</f>
        <v/>
      </c>
    </row>
    <row r="2260">
      <c r="A2260" s="7">
        <f>IFERROR(Datos!A2260,"")</f>
        <v/>
      </c>
      <c r="B2260" s="8">
        <f>IFERROR(Datos!B2260,"")</f>
        <v/>
      </c>
      <c r="C2260" s="8">
        <f>IFERROR(Datos!C2260,"")</f>
        <v/>
      </c>
      <c r="D2260" s="28">
        <f>IFERROR(IF(AND(ISNUMBER(B2260),ISNUMBER(B2259),B2259&lt;&gt;0),B2260/B2259-1,""),"")</f>
        <v/>
      </c>
      <c r="E2260" s="28">
        <f>IFERROR(IF(AND(ISNUMBER(C2260),ISNUMBER(C2259),C2259&lt;&gt;0),C2260/C2259-1,""),"")</f>
        <v/>
      </c>
      <c r="F2260" s="28">
        <f>IFERROR(D2260-Dashboard!$B$4/252,"")</f>
        <v/>
      </c>
      <c r="G2260" s="28">
        <f>IFERROR(E2260-Dashboard!$B$4/252,"")</f>
        <v/>
      </c>
      <c r="H2260" s="8">
        <f>IFERROR(IF(ISNUMBER(B2260),MAX(B2260,IFERROR(H2259,B2260)),""),"")</f>
        <v/>
      </c>
      <c r="I2260" s="29">
        <f>IFERROR(IF(AND(ISNUMBER(B2260),ISNUMBER(H2260)),B2260/H2260-1,""),"")</f>
        <v/>
      </c>
      <c r="J2260" s="8">
        <f>IFERROR(IF(ISNUMBER(C2260),MAX(C2260,IFERROR(J2259,C2260)),""),"")</f>
        <v/>
      </c>
      <c r="K2260" s="29">
        <f>IFERROR(IF(AND(ISNUMBER(C2260),ISNUMBER(J2260)),C2260/J2260-1,""),"")</f>
        <v/>
      </c>
      <c r="L2260" s="28">
        <f>IFERROR(IF(AND(ISNUMBER(D2260),ISNUMBER(E2260)),D2260-E2260,""),"")</f>
        <v/>
      </c>
    </row>
    <row r="2261">
      <c r="A2261" s="7">
        <f>IFERROR(Datos!A2261,"")</f>
        <v/>
      </c>
      <c r="B2261" s="8">
        <f>IFERROR(Datos!B2261,"")</f>
        <v/>
      </c>
      <c r="C2261" s="8">
        <f>IFERROR(Datos!C2261,"")</f>
        <v/>
      </c>
      <c r="D2261" s="28">
        <f>IFERROR(IF(AND(ISNUMBER(B2261),ISNUMBER(B2260),B2260&lt;&gt;0),B2261/B2260-1,""),"")</f>
        <v/>
      </c>
      <c r="E2261" s="28">
        <f>IFERROR(IF(AND(ISNUMBER(C2261),ISNUMBER(C2260),C2260&lt;&gt;0),C2261/C2260-1,""),"")</f>
        <v/>
      </c>
      <c r="F2261" s="28">
        <f>IFERROR(D2261-Dashboard!$B$4/252,"")</f>
        <v/>
      </c>
      <c r="G2261" s="28">
        <f>IFERROR(E2261-Dashboard!$B$4/252,"")</f>
        <v/>
      </c>
      <c r="H2261" s="8">
        <f>IFERROR(IF(ISNUMBER(B2261),MAX(B2261,IFERROR(H2260,B2261)),""),"")</f>
        <v/>
      </c>
      <c r="I2261" s="29">
        <f>IFERROR(IF(AND(ISNUMBER(B2261),ISNUMBER(H2261)),B2261/H2261-1,""),"")</f>
        <v/>
      </c>
      <c r="J2261" s="8">
        <f>IFERROR(IF(ISNUMBER(C2261),MAX(C2261,IFERROR(J2260,C2261)),""),"")</f>
        <v/>
      </c>
      <c r="K2261" s="29">
        <f>IFERROR(IF(AND(ISNUMBER(C2261),ISNUMBER(J2261)),C2261/J2261-1,""),"")</f>
        <v/>
      </c>
      <c r="L2261" s="28">
        <f>IFERROR(IF(AND(ISNUMBER(D2261),ISNUMBER(E2261)),D2261-E2261,""),"")</f>
        <v/>
      </c>
    </row>
    <row r="2262">
      <c r="A2262" s="7">
        <f>IFERROR(Datos!A2262,"")</f>
        <v/>
      </c>
      <c r="B2262" s="8">
        <f>IFERROR(Datos!B2262,"")</f>
        <v/>
      </c>
      <c r="C2262" s="8">
        <f>IFERROR(Datos!C2262,"")</f>
        <v/>
      </c>
      <c r="D2262" s="28">
        <f>IFERROR(IF(AND(ISNUMBER(B2262),ISNUMBER(B2261),B2261&lt;&gt;0),B2262/B2261-1,""),"")</f>
        <v/>
      </c>
      <c r="E2262" s="28">
        <f>IFERROR(IF(AND(ISNUMBER(C2262),ISNUMBER(C2261),C2261&lt;&gt;0),C2262/C2261-1,""),"")</f>
        <v/>
      </c>
      <c r="F2262" s="28">
        <f>IFERROR(D2262-Dashboard!$B$4/252,"")</f>
        <v/>
      </c>
      <c r="G2262" s="28">
        <f>IFERROR(E2262-Dashboard!$B$4/252,"")</f>
        <v/>
      </c>
      <c r="H2262" s="8">
        <f>IFERROR(IF(ISNUMBER(B2262),MAX(B2262,IFERROR(H2261,B2262)),""),"")</f>
        <v/>
      </c>
      <c r="I2262" s="29">
        <f>IFERROR(IF(AND(ISNUMBER(B2262),ISNUMBER(H2262)),B2262/H2262-1,""),"")</f>
        <v/>
      </c>
      <c r="J2262" s="8">
        <f>IFERROR(IF(ISNUMBER(C2262),MAX(C2262,IFERROR(J2261,C2262)),""),"")</f>
        <v/>
      </c>
      <c r="K2262" s="29">
        <f>IFERROR(IF(AND(ISNUMBER(C2262),ISNUMBER(J2262)),C2262/J2262-1,""),"")</f>
        <v/>
      </c>
      <c r="L2262" s="28">
        <f>IFERROR(IF(AND(ISNUMBER(D2262),ISNUMBER(E2262)),D2262-E2262,""),"")</f>
        <v/>
      </c>
    </row>
    <row r="2263">
      <c r="A2263" s="7">
        <f>IFERROR(Datos!A2263,"")</f>
        <v/>
      </c>
      <c r="B2263" s="8">
        <f>IFERROR(Datos!B2263,"")</f>
        <v/>
      </c>
      <c r="C2263" s="8">
        <f>IFERROR(Datos!C2263,"")</f>
        <v/>
      </c>
      <c r="D2263" s="28">
        <f>IFERROR(IF(AND(ISNUMBER(B2263),ISNUMBER(B2262),B2262&lt;&gt;0),B2263/B2262-1,""),"")</f>
        <v/>
      </c>
      <c r="E2263" s="28">
        <f>IFERROR(IF(AND(ISNUMBER(C2263),ISNUMBER(C2262),C2262&lt;&gt;0),C2263/C2262-1,""),"")</f>
        <v/>
      </c>
      <c r="F2263" s="28">
        <f>IFERROR(D2263-Dashboard!$B$4/252,"")</f>
        <v/>
      </c>
      <c r="G2263" s="28">
        <f>IFERROR(E2263-Dashboard!$B$4/252,"")</f>
        <v/>
      </c>
      <c r="H2263" s="8">
        <f>IFERROR(IF(ISNUMBER(B2263),MAX(B2263,IFERROR(H2262,B2263)),""),"")</f>
        <v/>
      </c>
      <c r="I2263" s="29">
        <f>IFERROR(IF(AND(ISNUMBER(B2263),ISNUMBER(H2263)),B2263/H2263-1,""),"")</f>
        <v/>
      </c>
      <c r="J2263" s="8">
        <f>IFERROR(IF(ISNUMBER(C2263),MAX(C2263,IFERROR(J2262,C2263)),""),"")</f>
        <v/>
      </c>
      <c r="K2263" s="29">
        <f>IFERROR(IF(AND(ISNUMBER(C2263),ISNUMBER(J2263)),C2263/J2263-1,""),"")</f>
        <v/>
      </c>
      <c r="L2263" s="28">
        <f>IFERROR(IF(AND(ISNUMBER(D2263),ISNUMBER(E2263)),D2263-E2263,""),"")</f>
        <v/>
      </c>
    </row>
    <row r="2264">
      <c r="A2264" s="7">
        <f>IFERROR(Datos!A2264,"")</f>
        <v/>
      </c>
      <c r="B2264" s="8">
        <f>IFERROR(Datos!B2264,"")</f>
        <v/>
      </c>
      <c r="C2264" s="8">
        <f>IFERROR(Datos!C2264,"")</f>
        <v/>
      </c>
      <c r="D2264" s="28">
        <f>IFERROR(IF(AND(ISNUMBER(B2264),ISNUMBER(B2263),B2263&lt;&gt;0),B2264/B2263-1,""),"")</f>
        <v/>
      </c>
      <c r="E2264" s="28">
        <f>IFERROR(IF(AND(ISNUMBER(C2264),ISNUMBER(C2263),C2263&lt;&gt;0),C2264/C2263-1,""),"")</f>
        <v/>
      </c>
      <c r="F2264" s="28">
        <f>IFERROR(D2264-Dashboard!$B$4/252,"")</f>
        <v/>
      </c>
      <c r="G2264" s="28">
        <f>IFERROR(E2264-Dashboard!$B$4/252,"")</f>
        <v/>
      </c>
      <c r="H2264" s="8">
        <f>IFERROR(IF(ISNUMBER(B2264),MAX(B2264,IFERROR(H2263,B2264)),""),"")</f>
        <v/>
      </c>
      <c r="I2264" s="29">
        <f>IFERROR(IF(AND(ISNUMBER(B2264),ISNUMBER(H2264)),B2264/H2264-1,""),"")</f>
        <v/>
      </c>
      <c r="J2264" s="8">
        <f>IFERROR(IF(ISNUMBER(C2264),MAX(C2264,IFERROR(J2263,C2264)),""),"")</f>
        <v/>
      </c>
      <c r="K2264" s="29">
        <f>IFERROR(IF(AND(ISNUMBER(C2264),ISNUMBER(J2264)),C2264/J2264-1,""),"")</f>
        <v/>
      </c>
      <c r="L2264" s="28">
        <f>IFERROR(IF(AND(ISNUMBER(D2264),ISNUMBER(E2264)),D2264-E2264,""),"")</f>
        <v/>
      </c>
    </row>
    <row r="2265">
      <c r="A2265" s="7">
        <f>IFERROR(Datos!A2265,"")</f>
        <v/>
      </c>
      <c r="B2265" s="8">
        <f>IFERROR(Datos!B2265,"")</f>
        <v/>
      </c>
      <c r="C2265" s="8">
        <f>IFERROR(Datos!C2265,"")</f>
        <v/>
      </c>
      <c r="D2265" s="28">
        <f>IFERROR(IF(AND(ISNUMBER(B2265),ISNUMBER(B2264),B2264&lt;&gt;0),B2265/B2264-1,""),"")</f>
        <v/>
      </c>
      <c r="E2265" s="28">
        <f>IFERROR(IF(AND(ISNUMBER(C2265),ISNUMBER(C2264),C2264&lt;&gt;0),C2265/C2264-1,""),"")</f>
        <v/>
      </c>
      <c r="F2265" s="28">
        <f>IFERROR(D2265-Dashboard!$B$4/252,"")</f>
        <v/>
      </c>
      <c r="G2265" s="28">
        <f>IFERROR(E2265-Dashboard!$B$4/252,"")</f>
        <v/>
      </c>
      <c r="H2265" s="8">
        <f>IFERROR(IF(ISNUMBER(B2265),MAX(B2265,IFERROR(H2264,B2265)),""),"")</f>
        <v/>
      </c>
      <c r="I2265" s="29">
        <f>IFERROR(IF(AND(ISNUMBER(B2265),ISNUMBER(H2265)),B2265/H2265-1,""),"")</f>
        <v/>
      </c>
      <c r="J2265" s="8">
        <f>IFERROR(IF(ISNUMBER(C2265),MAX(C2265,IFERROR(J2264,C2265)),""),"")</f>
        <v/>
      </c>
      <c r="K2265" s="29">
        <f>IFERROR(IF(AND(ISNUMBER(C2265),ISNUMBER(J2265)),C2265/J2265-1,""),"")</f>
        <v/>
      </c>
      <c r="L2265" s="28">
        <f>IFERROR(IF(AND(ISNUMBER(D2265),ISNUMBER(E2265)),D2265-E2265,""),"")</f>
        <v/>
      </c>
    </row>
    <row r="2266">
      <c r="A2266" s="7">
        <f>IFERROR(Datos!A2266,"")</f>
        <v/>
      </c>
      <c r="B2266" s="8">
        <f>IFERROR(Datos!B2266,"")</f>
        <v/>
      </c>
      <c r="C2266" s="8">
        <f>IFERROR(Datos!C2266,"")</f>
        <v/>
      </c>
      <c r="D2266" s="28">
        <f>IFERROR(IF(AND(ISNUMBER(B2266),ISNUMBER(B2265),B2265&lt;&gt;0),B2266/B2265-1,""),"")</f>
        <v/>
      </c>
      <c r="E2266" s="28">
        <f>IFERROR(IF(AND(ISNUMBER(C2266),ISNUMBER(C2265),C2265&lt;&gt;0),C2266/C2265-1,""),"")</f>
        <v/>
      </c>
      <c r="F2266" s="28">
        <f>IFERROR(D2266-Dashboard!$B$4/252,"")</f>
        <v/>
      </c>
      <c r="G2266" s="28">
        <f>IFERROR(E2266-Dashboard!$B$4/252,"")</f>
        <v/>
      </c>
      <c r="H2266" s="8">
        <f>IFERROR(IF(ISNUMBER(B2266),MAX(B2266,IFERROR(H2265,B2266)),""),"")</f>
        <v/>
      </c>
      <c r="I2266" s="29">
        <f>IFERROR(IF(AND(ISNUMBER(B2266),ISNUMBER(H2266)),B2266/H2266-1,""),"")</f>
        <v/>
      </c>
      <c r="J2266" s="8">
        <f>IFERROR(IF(ISNUMBER(C2266),MAX(C2266,IFERROR(J2265,C2266)),""),"")</f>
        <v/>
      </c>
      <c r="K2266" s="29">
        <f>IFERROR(IF(AND(ISNUMBER(C2266),ISNUMBER(J2266)),C2266/J2266-1,""),"")</f>
        <v/>
      </c>
      <c r="L2266" s="28">
        <f>IFERROR(IF(AND(ISNUMBER(D2266),ISNUMBER(E2266)),D2266-E2266,""),"")</f>
        <v/>
      </c>
    </row>
    <row r="2267">
      <c r="A2267" s="7">
        <f>IFERROR(Datos!A2267,"")</f>
        <v/>
      </c>
      <c r="B2267" s="8">
        <f>IFERROR(Datos!B2267,"")</f>
        <v/>
      </c>
      <c r="C2267" s="8">
        <f>IFERROR(Datos!C2267,"")</f>
        <v/>
      </c>
      <c r="D2267" s="28">
        <f>IFERROR(IF(AND(ISNUMBER(B2267),ISNUMBER(B2266),B2266&lt;&gt;0),B2267/B2266-1,""),"")</f>
        <v/>
      </c>
      <c r="E2267" s="28">
        <f>IFERROR(IF(AND(ISNUMBER(C2267),ISNUMBER(C2266),C2266&lt;&gt;0),C2267/C2266-1,""),"")</f>
        <v/>
      </c>
      <c r="F2267" s="28">
        <f>IFERROR(D2267-Dashboard!$B$4/252,"")</f>
        <v/>
      </c>
      <c r="G2267" s="28">
        <f>IFERROR(E2267-Dashboard!$B$4/252,"")</f>
        <v/>
      </c>
      <c r="H2267" s="8">
        <f>IFERROR(IF(ISNUMBER(B2267),MAX(B2267,IFERROR(H2266,B2267)),""),"")</f>
        <v/>
      </c>
      <c r="I2267" s="29">
        <f>IFERROR(IF(AND(ISNUMBER(B2267),ISNUMBER(H2267)),B2267/H2267-1,""),"")</f>
        <v/>
      </c>
      <c r="J2267" s="8">
        <f>IFERROR(IF(ISNUMBER(C2267),MAX(C2267,IFERROR(J2266,C2267)),""),"")</f>
        <v/>
      </c>
      <c r="K2267" s="29">
        <f>IFERROR(IF(AND(ISNUMBER(C2267),ISNUMBER(J2267)),C2267/J2267-1,""),"")</f>
        <v/>
      </c>
      <c r="L2267" s="28">
        <f>IFERROR(IF(AND(ISNUMBER(D2267),ISNUMBER(E2267)),D2267-E2267,""),"")</f>
        <v/>
      </c>
    </row>
    <row r="2268">
      <c r="A2268" s="7">
        <f>IFERROR(Datos!A2268,"")</f>
        <v/>
      </c>
      <c r="B2268" s="8">
        <f>IFERROR(Datos!B2268,"")</f>
        <v/>
      </c>
      <c r="C2268" s="8">
        <f>IFERROR(Datos!C2268,"")</f>
        <v/>
      </c>
      <c r="D2268" s="28">
        <f>IFERROR(IF(AND(ISNUMBER(B2268),ISNUMBER(B2267),B2267&lt;&gt;0),B2268/B2267-1,""),"")</f>
        <v/>
      </c>
      <c r="E2268" s="28">
        <f>IFERROR(IF(AND(ISNUMBER(C2268),ISNUMBER(C2267),C2267&lt;&gt;0),C2268/C2267-1,""),"")</f>
        <v/>
      </c>
      <c r="F2268" s="28">
        <f>IFERROR(D2268-Dashboard!$B$4/252,"")</f>
        <v/>
      </c>
      <c r="G2268" s="28">
        <f>IFERROR(E2268-Dashboard!$B$4/252,"")</f>
        <v/>
      </c>
      <c r="H2268" s="8">
        <f>IFERROR(IF(ISNUMBER(B2268),MAX(B2268,IFERROR(H2267,B2268)),""),"")</f>
        <v/>
      </c>
      <c r="I2268" s="29">
        <f>IFERROR(IF(AND(ISNUMBER(B2268),ISNUMBER(H2268)),B2268/H2268-1,""),"")</f>
        <v/>
      </c>
      <c r="J2268" s="8">
        <f>IFERROR(IF(ISNUMBER(C2268),MAX(C2268,IFERROR(J2267,C2268)),""),"")</f>
        <v/>
      </c>
      <c r="K2268" s="29">
        <f>IFERROR(IF(AND(ISNUMBER(C2268),ISNUMBER(J2268)),C2268/J2268-1,""),"")</f>
        <v/>
      </c>
      <c r="L2268" s="28">
        <f>IFERROR(IF(AND(ISNUMBER(D2268),ISNUMBER(E2268)),D2268-E2268,""),"")</f>
        <v/>
      </c>
    </row>
    <row r="2269">
      <c r="A2269" s="7">
        <f>IFERROR(Datos!A2269,"")</f>
        <v/>
      </c>
      <c r="B2269" s="8">
        <f>IFERROR(Datos!B2269,"")</f>
        <v/>
      </c>
      <c r="C2269" s="8">
        <f>IFERROR(Datos!C2269,"")</f>
        <v/>
      </c>
      <c r="D2269" s="28">
        <f>IFERROR(IF(AND(ISNUMBER(B2269),ISNUMBER(B2268),B2268&lt;&gt;0),B2269/B2268-1,""),"")</f>
        <v/>
      </c>
      <c r="E2269" s="28">
        <f>IFERROR(IF(AND(ISNUMBER(C2269),ISNUMBER(C2268),C2268&lt;&gt;0),C2269/C2268-1,""),"")</f>
        <v/>
      </c>
      <c r="F2269" s="28">
        <f>IFERROR(D2269-Dashboard!$B$4/252,"")</f>
        <v/>
      </c>
      <c r="G2269" s="28">
        <f>IFERROR(E2269-Dashboard!$B$4/252,"")</f>
        <v/>
      </c>
      <c r="H2269" s="8">
        <f>IFERROR(IF(ISNUMBER(B2269),MAX(B2269,IFERROR(H2268,B2269)),""),"")</f>
        <v/>
      </c>
      <c r="I2269" s="29">
        <f>IFERROR(IF(AND(ISNUMBER(B2269),ISNUMBER(H2269)),B2269/H2269-1,""),"")</f>
        <v/>
      </c>
      <c r="J2269" s="8">
        <f>IFERROR(IF(ISNUMBER(C2269),MAX(C2269,IFERROR(J2268,C2269)),""),"")</f>
        <v/>
      </c>
      <c r="K2269" s="29">
        <f>IFERROR(IF(AND(ISNUMBER(C2269),ISNUMBER(J2269)),C2269/J2269-1,""),"")</f>
        <v/>
      </c>
      <c r="L2269" s="28">
        <f>IFERROR(IF(AND(ISNUMBER(D2269),ISNUMBER(E2269)),D2269-E2269,""),"")</f>
        <v/>
      </c>
    </row>
    <row r="2270">
      <c r="A2270" s="7">
        <f>IFERROR(Datos!A2270,"")</f>
        <v/>
      </c>
      <c r="B2270" s="8">
        <f>IFERROR(Datos!B2270,"")</f>
        <v/>
      </c>
      <c r="C2270" s="8">
        <f>IFERROR(Datos!C2270,"")</f>
        <v/>
      </c>
      <c r="D2270" s="28">
        <f>IFERROR(IF(AND(ISNUMBER(B2270),ISNUMBER(B2269),B2269&lt;&gt;0),B2270/B2269-1,""),"")</f>
        <v/>
      </c>
      <c r="E2270" s="28">
        <f>IFERROR(IF(AND(ISNUMBER(C2270),ISNUMBER(C2269),C2269&lt;&gt;0),C2270/C2269-1,""),"")</f>
        <v/>
      </c>
      <c r="F2270" s="28">
        <f>IFERROR(D2270-Dashboard!$B$4/252,"")</f>
        <v/>
      </c>
      <c r="G2270" s="28">
        <f>IFERROR(E2270-Dashboard!$B$4/252,"")</f>
        <v/>
      </c>
      <c r="H2270" s="8">
        <f>IFERROR(IF(ISNUMBER(B2270),MAX(B2270,IFERROR(H2269,B2270)),""),"")</f>
        <v/>
      </c>
      <c r="I2270" s="29">
        <f>IFERROR(IF(AND(ISNUMBER(B2270),ISNUMBER(H2270)),B2270/H2270-1,""),"")</f>
        <v/>
      </c>
      <c r="J2270" s="8">
        <f>IFERROR(IF(ISNUMBER(C2270),MAX(C2270,IFERROR(J2269,C2270)),""),"")</f>
        <v/>
      </c>
      <c r="K2270" s="29">
        <f>IFERROR(IF(AND(ISNUMBER(C2270),ISNUMBER(J2270)),C2270/J2270-1,""),"")</f>
        <v/>
      </c>
      <c r="L2270" s="28">
        <f>IFERROR(IF(AND(ISNUMBER(D2270),ISNUMBER(E2270)),D2270-E2270,""),"")</f>
        <v/>
      </c>
    </row>
    <row r="2271">
      <c r="A2271" s="7">
        <f>IFERROR(Datos!A2271,"")</f>
        <v/>
      </c>
      <c r="B2271" s="8">
        <f>IFERROR(Datos!B2271,"")</f>
        <v/>
      </c>
      <c r="C2271" s="8">
        <f>IFERROR(Datos!C2271,"")</f>
        <v/>
      </c>
      <c r="D2271" s="28">
        <f>IFERROR(IF(AND(ISNUMBER(B2271),ISNUMBER(B2270),B2270&lt;&gt;0),B2271/B2270-1,""),"")</f>
        <v/>
      </c>
      <c r="E2271" s="28">
        <f>IFERROR(IF(AND(ISNUMBER(C2271),ISNUMBER(C2270),C2270&lt;&gt;0),C2271/C2270-1,""),"")</f>
        <v/>
      </c>
      <c r="F2271" s="28">
        <f>IFERROR(D2271-Dashboard!$B$4/252,"")</f>
        <v/>
      </c>
      <c r="G2271" s="28">
        <f>IFERROR(E2271-Dashboard!$B$4/252,"")</f>
        <v/>
      </c>
      <c r="H2271" s="8">
        <f>IFERROR(IF(ISNUMBER(B2271),MAX(B2271,IFERROR(H2270,B2271)),""),"")</f>
        <v/>
      </c>
      <c r="I2271" s="29">
        <f>IFERROR(IF(AND(ISNUMBER(B2271),ISNUMBER(H2271)),B2271/H2271-1,""),"")</f>
        <v/>
      </c>
      <c r="J2271" s="8">
        <f>IFERROR(IF(ISNUMBER(C2271),MAX(C2271,IFERROR(J2270,C2271)),""),"")</f>
        <v/>
      </c>
      <c r="K2271" s="29">
        <f>IFERROR(IF(AND(ISNUMBER(C2271),ISNUMBER(J2271)),C2271/J2271-1,""),"")</f>
        <v/>
      </c>
      <c r="L2271" s="28">
        <f>IFERROR(IF(AND(ISNUMBER(D2271),ISNUMBER(E2271)),D2271-E2271,""),"")</f>
        <v/>
      </c>
    </row>
    <row r="2272">
      <c r="A2272" s="7">
        <f>IFERROR(Datos!A2272,"")</f>
        <v/>
      </c>
      <c r="B2272" s="8">
        <f>IFERROR(Datos!B2272,"")</f>
        <v/>
      </c>
      <c r="C2272" s="8">
        <f>IFERROR(Datos!C2272,"")</f>
        <v/>
      </c>
      <c r="D2272" s="28">
        <f>IFERROR(IF(AND(ISNUMBER(B2272),ISNUMBER(B2271),B2271&lt;&gt;0),B2272/B2271-1,""),"")</f>
        <v/>
      </c>
      <c r="E2272" s="28">
        <f>IFERROR(IF(AND(ISNUMBER(C2272),ISNUMBER(C2271),C2271&lt;&gt;0),C2272/C2271-1,""),"")</f>
        <v/>
      </c>
      <c r="F2272" s="28">
        <f>IFERROR(D2272-Dashboard!$B$4/252,"")</f>
        <v/>
      </c>
      <c r="G2272" s="28">
        <f>IFERROR(E2272-Dashboard!$B$4/252,"")</f>
        <v/>
      </c>
      <c r="H2272" s="8">
        <f>IFERROR(IF(ISNUMBER(B2272),MAX(B2272,IFERROR(H2271,B2272)),""),"")</f>
        <v/>
      </c>
      <c r="I2272" s="29">
        <f>IFERROR(IF(AND(ISNUMBER(B2272),ISNUMBER(H2272)),B2272/H2272-1,""),"")</f>
        <v/>
      </c>
      <c r="J2272" s="8">
        <f>IFERROR(IF(ISNUMBER(C2272),MAX(C2272,IFERROR(J2271,C2272)),""),"")</f>
        <v/>
      </c>
      <c r="K2272" s="29">
        <f>IFERROR(IF(AND(ISNUMBER(C2272),ISNUMBER(J2272)),C2272/J2272-1,""),"")</f>
        <v/>
      </c>
      <c r="L2272" s="28">
        <f>IFERROR(IF(AND(ISNUMBER(D2272),ISNUMBER(E2272)),D2272-E2272,""),"")</f>
        <v/>
      </c>
    </row>
    <row r="2273">
      <c r="A2273" s="7">
        <f>IFERROR(Datos!A2273,"")</f>
        <v/>
      </c>
      <c r="B2273" s="8">
        <f>IFERROR(Datos!B2273,"")</f>
        <v/>
      </c>
      <c r="C2273" s="8">
        <f>IFERROR(Datos!C2273,"")</f>
        <v/>
      </c>
      <c r="D2273" s="28">
        <f>IFERROR(IF(AND(ISNUMBER(B2273),ISNUMBER(B2272),B2272&lt;&gt;0),B2273/B2272-1,""),"")</f>
        <v/>
      </c>
      <c r="E2273" s="28">
        <f>IFERROR(IF(AND(ISNUMBER(C2273),ISNUMBER(C2272),C2272&lt;&gt;0),C2273/C2272-1,""),"")</f>
        <v/>
      </c>
      <c r="F2273" s="28">
        <f>IFERROR(D2273-Dashboard!$B$4/252,"")</f>
        <v/>
      </c>
      <c r="G2273" s="28">
        <f>IFERROR(E2273-Dashboard!$B$4/252,"")</f>
        <v/>
      </c>
      <c r="H2273" s="8">
        <f>IFERROR(IF(ISNUMBER(B2273),MAX(B2273,IFERROR(H2272,B2273)),""),"")</f>
        <v/>
      </c>
      <c r="I2273" s="29">
        <f>IFERROR(IF(AND(ISNUMBER(B2273),ISNUMBER(H2273)),B2273/H2273-1,""),"")</f>
        <v/>
      </c>
      <c r="J2273" s="8">
        <f>IFERROR(IF(ISNUMBER(C2273),MAX(C2273,IFERROR(J2272,C2273)),""),"")</f>
        <v/>
      </c>
      <c r="K2273" s="29">
        <f>IFERROR(IF(AND(ISNUMBER(C2273),ISNUMBER(J2273)),C2273/J2273-1,""),"")</f>
        <v/>
      </c>
      <c r="L2273" s="28">
        <f>IFERROR(IF(AND(ISNUMBER(D2273),ISNUMBER(E2273)),D2273-E2273,""),"")</f>
        <v/>
      </c>
    </row>
    <row r="2274">
      <c r="A2274" s="7">
        <f>IFERROR(Datos!A2274,"")</f>
        <v/>
      </c>
      <c r="B2274" s="8">
        <f>IFERROR(Datos!B2274,"")</f>
        <v/>
      </c>
      <c r="C2274" s="8">
        <f>IFERROR(Datos!C2274,"")</f>
        <v/>
      </c>
      <c r="D2274" s="28">
        <f>IFERROR(IF(AND(ISNUMBER(B2274),ISNUMBER(B2273),B2273&lt;&gt;0),B2274/B2273-1,""),"")</f>
        <v/>
      </c>
      <c r="E2274" s="28">
        <f>IFERROR(IF(AND(ISNUMBER(C2274),ISNUMBER(C2273),C2273&lt;&gt;0),C2274/C2273-1,""),"")</f>
        <v/>
      </c>
      <c r="F2274" s="28">
        <f>IFERROR(D2274-Dashboard!$B$4/252,"")</f>
        <v/>
      </c>
      <c r="G2274" s="28">
        <f>IFERROR(E2274-Dashboard!$B$4/252,"")</f>
        <v/>
      </c>
      <c r="H2274" s="8">
        <f>IFERROR(IF(ISNUMBER(B2274),MAX(B2274,IFERROR(H2273,B2274)),""),"")</f>
        <v/>
      </c>
      <c r="I2274" s="29">
        <f>IFERROR(IF(AND(ISNUMBER(B2274),ISNUMBER(H2274)),B2274/H2274-1,""),"")</f>
        <v/>
      </c>
      <c r="J2274" s="8">
        <f>IFERROR(IF(ISNUMBER(C2274),MAX(C2274,IFERROR(J2273,C2274)),""),"")</f>
        <v/>
      </c>
      <c r="K2274" s="29">
        <f>IFERROR(IF(AND(ISNUMBER(C2274),ISNUMBER(J2274)),C2274/J2274-1,""),"")</f>
        <v/>
      </c>
      <c r="L2274" s="28">
        <f>IFERROR(IF(AND(ISNUMBER(D2274),ISNUMBER(E2274)),D2274-E2274,""),"")</f>
        <v/>
      </c>
    </row>
    <row r="2275">
      <c r="A2275" s="7">
        <f>IFERROR(Datos!A2275,"")</f>
        <v/>
      </c>
      <c r="B2275" s="8">
        <f>IFERROR(Datos!B2275,"")</f>
        <v/>
      </c>
      <c r="C2275" s="8">
        <f>IFERROR(Datos!C2275,"")</f>
        <v/>
      </c>
      <c r="D2275" s="28">
        <f>IFERROR(IF(AND(ISNUMBER(B2275),ISNUMBER(B2274),B2274&lt;&gt;0),B2275/B2274-1,""),"")</f>
        <v/>
      </c>
      <c r="E2275" s="28">
        <f>IFERROR(IF(AND(ISNUMBER(C2275),ISNUMBER(C2274),C2274&lt;&gt;0),C2275/C2274-1,""),"")</f>
        <v/>
      </c>
      <c r="F2275" s="28">
        <f>IFERROR(D2275-Dashboard!$B$4/252,"")</f>
        <v/>
      </c>
      <c r="G2275" s="28">
        <f>IFERROR(E2275-Dashboard!$B$4/252,"")</f>
        <v/>
      </c>
      <c r="H2275" s="8">
        <f>IFERROR(IF(ISNUMBER(B2275),MAX(B2275,IFERROR(H2274,B2275)),""),"")</f>
        <v/>
      </c>
      <c r="I2275" s="29">
        <f>IFERROR(IF(AND(ISNUMBER(B2275),ISNUMBER(H2275)),B2275/H2275-1,""),"")</f>
        <v/>
      </c>
      <c r="J2275" s="8">
        <f>IFERROR(IF(ISNUMBER(C2275),MAX(C2275,IFERROR(J2274,C2275)),""),"")</f>
        <v/>
      </c>
      <c r="K2275" s="29">
        <f>IFERROR(IF(AND(ISNUMBER(C2275),ISNUMBER(J2275)),C2275/J2275-1,""),"")</f>
        <v/>
      </c>
      <c r="L2275" s="28">
        <f>IFERROR(IF(AND(ISNUMBER(D2275),ISNUMBER(E2275)),D2275-E2275,""),"")</f>
        <v/>
      </c>
    </row>
    <row r="2276">
      <c r="A2276" s="7">
        <f>IFERROR(Datos!A2276,"")</f>
        <v/>
      </c>
      <c r="B2276" s="8">
        <f>IFERROR(Datos!B2276,"")</f>
        <v/>
      </c>
      <c r="C2276" s="8">
        <f>IFERROR(Datos!C2276,"")</f>
        <v/>
      </c>
      <c r="D2276" s="28">
        <f>IFERROR(IF(AND(ISNUMBER(B2276),ISNUMBER(B2275),B2275&lt;&gt;0),B2276/B2275-1,""),"")</f>
        <v/>
      </c>
      <c r="E2276" s="28">
        <f>IFERROR(IF(AND(ISNUMBER(C2276),ISNUMBER(C2275),C2275&lt;&gt;0),C2276/C2275-1,""),"")</f>
        <v/>
      </c>
      <c r="F2276" s="28">
        <f>IFERROR(D2276-Dashboard!$B$4/252,"")</f>
        <v/>
      </c>
      <c r="G2276" s="28">
        <f>IFERROR(E2276-Dashboard!$B$4/252,"")</f>
        <v/>
      </c>
      <c r="H2276" s="8">
        <f>IFERROR(IF(ISNUMBER(B2276),MAX(B2276,IFERROR(H2275,B2276)),""),"")</f>
        <v/>
      </c>
      <c r="I2276" s="29">
        <f>IFERROR(IF(AND(ISNUMBER(B2276),ISNUMBER(H2276)),B2276/H2276-1,""),"")</f>
        <v/>
      </c>
      <c r="J2276" s="8">
        <f>IFERROR(IF(ISNUMBER(C2276),MAX(C2276,IFERROR(J2275,C2276)),""),"")</f>
        <v/>
      </c>
      <c r="K2276" s="29">
        <f>IFERROR(IF(AND(ISNUMBER(C2276),ISNUMBER(J2276)),C2276/J2276-1,""),"")</f>
        <v/>
      </c>
      <c r="L2276" s="28">
        <f>IFERROR(IF(AND(ISNUMBER(D2276),ISNUMBER(E2276)),D2276-E2276,""),"")</f>
        <v/>
      </c>
    </row>
    <row r="2277">
      <c r="A2277" s="7">
        <f>IFERROR(Datos!A2277,"")</f>
        <v/>
      </c>
      <c r="B2277" s="8">
        <f>IFERROR(Datos!B2277,"")</f>
        <v/>
      </c>
      <c r="C2277" s="8">
        <f>IFERROR(Datos!C2277,"")</f>
        <v/>
      </c>
      <c r="D2277" s="28">
        <f>IFERROR(IF(AND(ISNUMBER(B2277),ISNUMBER(B2276),B2276&lt;&gt;0),B2277/B2276-1,""),"")</f>
        <v/>
      </c>
      <c r="E2277" s="28">
        <f>IFERROR(IF(AND(ISNUMBER(C2277),ISNUMBER(C2276),C2276&lt;&gt;0),C2277/C2276-1,""),"")</f>
        <v/>
      </c>
      <c r="F2277" s="28">
        <f>IFERROR(D2277-Dashboard!$B$4/252,"")</f>
        <v/>
      </c>
      <c r="G2277" s="28">
        <f>IFERROR(E2277-Dashboard!$B$4/252,"")</f>
        <v/>
      </c>
      <c r="H2277" s="8">
        <f>IFERROR(IF(ISNUMBER(B2277),MAX(B2277,IFERROR(H2276,B2277)),""),"")</f>
        <v/>
      </c>
      <c r="I2277" s="29">
        <f>IFERROR(IF(AND(ISNUMBER(B2277),ISNUMBER(H2277)),B2277/H2277-1,""),"")</f>
        <v/>
      </c>
      <c r="J2277" s="8">
        <f>IFERROR(IF(ISNUMBER(C2277),MAX(C2277,IFERROR(J2276,C2277)),""),"")</f>
        <v/>
      </c>
      <c r="K2277" s="29">
        <f>IFERROR(IF(AND(ISNUMBER(C2277),ISNUMBER(J2277)),C2277/J2277-1,""),"")</f>
        <v/>
      </c>
      <c r="L2277" s="28">
        <f>IFERROR(IF(AND(ISNUMBER(D2277),ISNUMBER(E2277)),D2277-E2277,""),"")</f>
        <v/>
      </c>
    </row>
    <row r="2278">
      <c r="A2278" s="7">
        <f>IFERROR(Datos!A2278,"")</f>
        <v/>
      </c>
      <c r="B2278" s="8">
        <f>IFERROR(Datos!B2278,"")</f>
        <v/>
      </c>
      <c r="C2278" s="8">
        <f>IFERROR(Datos!C2278,"")</f>
        <v/>
      </c>
      <c r="D2278" s="28">
        <f>IFERROR(IF(AND(ISNUMBER(B2278),ISNUMBER(B2277),B2277&lt;&gt;0),B2278/B2277-1,""),"")</f>
        <v/>
      </c>
      <c r="E2278" s="28">
        <f>IFERROR(IF(AND(ISNUMBER(C2278),ISNUMBER(C2277),C2277&lt;&gt;0),C2278/C2277-1,""),"")</f>
        <v/>
      </c>
      <c r="F2278" s="28">
        <f>IFERROR(D2278-Dashboard!$B$4/252,"")</f>
        <v/>
      </c>
      <c r="G2278" s="28">
        <f>IFERROR(E2278-Dashboard!$B$4/252,"")</f>
        <v/>
      </c>
      <c r="H2278" s="8">
        <f>IFERROR(IF(ISNUMBER(B2278),MAX(B2278,IFERROR(H2277,B2278)),""),"")</f>
        <v/>
      </c>
      <c r="I2278" s="29">
        <f>IFERROR(IF(AND(ISNUMBER(B2278),ISNUMBER(H2278)),B2278/H2278-1,""),"")</f>
        <v/>
      </c>
      <c r="J2278" s="8">
        <f>IFERROR(IF(ISNUMBER(C2278),MAX(C2278,IFERROR(J2277,C2278)),""),"")</f>
        <v/>
      </c>
      <c r="K2278" s="29">
        <f>IFERROR(IF(AND(ISNUMBER(C2278),ISNUMBER(J2278)),C2278/J2278-1,""),"")</f>
        <v/>
      </c>
      <c r="L2278" s="28">
        <f>IFERROR(IF(AND(ISNUMBER(D2278),ISNUMBER(E2278)),D2278-E2278,""),"")</f>
        <v/>
      </c>
    </row>
    <row r="2279">
      <c r="A2279" s="7">
        <f>IFERROR(Datos!A2279,"")</f>
        <v/>
      </c>
      <c r="B2279" s="8">
        <f>IFERROR(Datos!B2279,"")</f>
        <v/>
      </c>
      <c r="C2279" s="8">
        <f>IFERROR(Datos!C2279,"")</f>
        <v/>
      </c>
      <c r="D2279" s="28">
        <f>IFERROR(IF(AND(ISNUMBER(B2279),ISNUMBER(B2278),B2278&lt;&gt;0),B2279/B2278-1,""),"")</f>
        <v/>
      </c>
      <c r="E2279" s="28">
        <f>IFERROR(IF(AND(ISNUMBER(C2279),ISNUMBER(C2278),C2278&lt;&gt;0),C2279/C2278-1,""),"")</f>
        <v/>
      </c>
      <c r="F2279" s="28">
        <f>IFERROR(D2279-Dashboard!$B$4/252,"")</f>
        <v/>
      </c>
      <c r="G2279" s="28">
        <f>IFERROR(E2279-Dashboard!$B$4/252,"")</f>
        <v/>
      </c>
      <c r="H2279" s="8">
        <f>IFERROR(IF(ISNUMBER(B2279),MAX(B2279,IFERROR(H2278,B2279)),""),"")</f>
        <v/>
      </c>
      <c r="I2279" s="29">
        <f>IFERROR(IF(AND(ISNUMBER(B2279),ISNUMBER(H2279)),B2279/H2279-1,""),"")</f>
        <v/>
      </c>
      <c r="J2279" s="8">
        <f>IFERROR(IF(ISNUMBER(C2279),MAX(C2279,IFERROR(J2278,C2279)),""),"")</f>
        <v/>
      </c>
      <c r="K2279" s="29">
        <f>IFERROR(IF(AND(ISNUMBER(C2279),ISNUMBER(J2279)),C2279/J2279-1,""),"")</f>
        <v/>
      </c>
      <c r="L2279" s="28">
        <f>IFERROR(IF(AND(ISNUMBER(D2279),ISNUMBER(E2279)),D2279-E2279,""),"")</f>
        <v/>
      </c>
    </row>
    <row r="2280">
      <c r="A2280" s="7">
        <f>IFERROR(Datos!A2280,"")</f>
        <v/>
      </c>
      <c r="B2280" s="8">
        <f>IFERROR(Datos!B2280,"")</f>
        <v/>
      </c>
      <c r="C2280" s="8">
        <f>IFERROR(Datos!C2280,"")</f>
        <v/>
      </c>
      <c r="D2280" s="28">
        <f>IFERROR(IF(AND(ISNUMBER(B2280),ISNUMBER(B2279),B2279&lt;&gt;0),B2280/B2279-1,""),"")</f>
        <v/>
      </c>
      <c r="E2280" s="28">
        <f>IFERROR(IF(AND(ISNUMBER(C2280),ISNUMBER(C2279),C2279&lt;&gt;0),C2280/C2279-1,""),"")</f>
        <v/>
      </c>
      <c r="F2280" s="28">
        <f>IFERROR(D2280-Dashboard!$B$4/252,"")</f>
        <v/>
      </c>
      <c r="G2280" s="28">
        <f>IFERROR(E2280-Dashboard!$B$4/252,"")</f>
        <v/>
      </c>
      <c r="H2280" s="8">
        <f>IFERROR(IF(ISNUMBER(B2280),MAX(B2280,IFERROR(H2279,B2280)),""),"")</f>
        <v/>
      </c>
      <c r="I2280" s="29">
        <f>IFERROR(IF(AND(ISNUMBER(B2280),ISNUMBER(H2280)),B2280/H2280-1,""),"")</f>
        <v/>
      </c>
      <c r="J2280" s="8">
        <f>IFERROR(IF(ISNUMBER(C2280),MAX(C2280,IFERROR(J2279,C2280)),""),"")</f>
        <v/>
      </c>
      <c r="K2280" s="29">
        <f>IFERROR(IF(AND(ISNUMBER(C2280),ISNUMBER(J2280)),C2280/J2280-1,""),"")</f>
        <v/>
      </c>
      <c r="L2280" s="28">
        <f>IFERROR(IF(AND(ISNUMBER(D2280),ISNUMBER(E2280)),D2280-E2280,""),"")</f>
        <v/>
      </c>
    </row>
    <row r="2281">
      <c r="A2281" s="7">
        <f>IFERROR(Datos!A2281,"")</f>
        <v/>
      </c>
      <c r="B2281" s="8">
        <f>IFERROR(Datos!B2281,"")</f>
        <v/>
      </c>
      <c r="C2281" s="8">
        <f>IFERROR(Datos!C2281,"")</f>
        <v/>
      </c>
      <c r="D2281" s="28">
        <f>IFERROR(IF(AND(ISNUMBER(B2281),ISNUMBER(B2280),B2280&lt;&gt;0),B2281/B2280-1,""),"")</f>
        <v/>
      </c>
      <c r="E2281" s="28">
        <f>IFERROR(IF(AND(ISNUMBER(C2281),ISNUMBER(C2280),C2280&lt;&gt;0),C2281/C2280-1,""),"")</f>
        <v/>
      </c>
      <c r="F2281" s="28">
        <f>IFERROR(D2281-Dashboard!$B$4/252,"")</f>
        <v/>
      </c>
      <c r="G2281" s="28">
        <f>IFERROR(E2281-Dashboard!$B$4/252,"")</f>
        <v/>
      </c>
      <c r="H2281" s="8">
        <f>IFERROR(IF(ISNUMBER(B2281),MAX(B2281,IFERROR(H2280,B2281)),""),"")</f>
        <v/>
      </c>
      <c r="I2281" s="29">
        <f>IFERROR(IF(AND(ISNUMBER(B2281),ISNUMBER(H2281)),B2281/H2281-1,""),"")</f>
        <v/>
      </c>
      <c r="J2281" s="8">
        <f>IFERROR(IF(ISNUMBER(C2281),MAX(C2281,IFERROR(J2280,C2281)),""),"")</f>
        <v/>
      </c>
      <c r="K2281" s="29">
        <f>IFERROR(IF(AND(ISNUMBER(C2281),ISNUMBER(J2281)),C2281/J2281-1,""),"")</f>
        <v/>
      </c>
      <c r="L2281" s="28">
        <f>IFERROR(IF(AND(ISNUMBER(D2281),ISNUMBER(E2281)),D2281-E2281,""),"")</f>
        <v/>
      </c>
    </row>
    <row r="2282">
      <c r="A2282" s="7">
        <f>IFERROR(Datos!A2282,"")</f>
        <v/>
      </c>
      <c r="B2282" s="8">
        <f>IFERROR(Datos!B2282,"")</f>
        <v/>
      </c>
      <c r="C2282" s="8">
        <f>IFERROR(Datos!C2282,"")</f>
        <v/>
      </c>
      <c r="D2282" s="28">
        <f>IFERROR(IF(AND(ISNUMBER(B2282),ISNUMBER(B2281),B2281&lt;&gt;0),B2282/B2281-1,""),"")</f>
        <v/>
      </c>
      <c r="E2282" s="28">
        <f>IFERROR(IF(AND(ISNUMBER(C2282),ISNUMBER(C2281),C2281&lt;&gt;0),C2282/C2281-1,""),"")</f>
        <v/>
      </c>
      <c r="F2282" s="28">
        <f>IFERROR(D2282-Dashboard!$B$4/252,"")</f>
        <v/>
      </c>
      <c r="G2282" s="28">
        <f>IFERROR(E2282-Dashboard!$B$4/252,"")</f>
        <v/>
      </c>
      <c r="H2282" s="8">
        <f>IFERROR(IF(ISNUMBER(B2282),MAX(B2282,IFERROR(H2281,B2282)),""),"")</f>
        <v/>
      </c>
      <c r="I2282" s="29">
        <f>IFERROR(IF(AND(ISNUMBER(B2282),ISNUMBER(H2282)),B2282/H2282-1,""),"")</f>
        <v/>
      </c>
      <c r="J2282" s="8">
        <f>IFERROR(IF(ISNUMBER(C2282),MAX(C2282,IFERROR(J2281,C2282)),""),"")</f>
        <v/>
      </c>
      <c r="K2282" s="29">
        <f>IFERROR(IF(AND(ISNUMBER(C2282),ISNUMBER(J2282)),C2282/J2282-1,""),"")</f>
        <v/>
      </c>
      <c r="L2282" s="28">
        <f>IFERROR(IF(AND(ISNUMBER(D2282),ISNUMBER(E2282)),D2282-E2282,""),"")</f>
        <v/>
      </c>
    </row>
    <row r="2283">
      <c r="A2283" s="7">
        <f>IFERROR(Datos!A2283,"")</f>
        <v/>
      </c>
      <c r="B2283" s="8">
        <f>IFERROR(Datos!B2283,"")</f>
        <v/>
      </c>
      <c r="C2283" s="8">
        <f>IFERROR(Datos!C2283,"")</f>
        <v/>
      </c>
      <c r="D2283" s="28">
        <f>IFERROR(IF(AND(ISNUMBER(B2283),ISNUMBER(B2282),B2282&lt;&gt;0),B2283/B2282-1,""),"")</f>
        <v/>
      </c>
      <c r="E2283" s="28">
        <f>IFERROR(IF(AND(ISNUMBER(C2283),ISNUMBER(C2282),C2282&lt;&gt;0),C2283/C2282-1,""),"")</f>
        <v/>
      </c>
      <c r="F2283" s="28">
        <f>IFERROR(D2283-Dashboard!$B$4/252,"")</f>
        <v/>
      </c>
      <c r="G2283" s="28">
        <f>IFERROR(E2283-Dashboard!$B$4/252,"")</f>
        <v/>
      </c>
      <c r="H2283" s="8">
        <f>IFERROR(IF(ISNUMBER(B2283),MAX(B2283,IFERROR(H2282,B2283)),""),"")</f>
        <v/>
      </c>
      <c r="I2283" s="29">
        <f>IFERROR(IF(AND(ISNUMBER(B2283),ISNUMBER(H2283)),B2283/H2283-1,""),"")</f>
        <v/>
      </c>
      <c r="J2283" s="8">
        <f>IFERROR(IF(ISNUMBER(C2283),MAX(C2283,IFERROR(J2282,C2283)),""),"")</f>
        <v/>
      </c>
      <c r="K2283" s="29">
        <f>IFERROR(IF(AND(ISNUMBER(C2283),ISNUMBER(J2283)),C2283/J2283-1,""),"")</f>
        <v/>
      </c>
      <c r="L2283" s="28">
        <f>IFERROR(IF(AND(ISNUMBER(D2283),ISNUMBER(E2283)),D2283-E2283,""),"")</f>
        <v/>
      </c>
    </row>
    <row r="2284">
      <c r="A2284" s="7">
        <f>IFERROR(Datos!A2284,"")</f>
        <v/>
      </c>
      <c r="B2284" s="8">
        <f>IFERROR(Datos!B2284,"")</f>
        <v/>
      </c>
      <c r="C2284" s="8">
        <f>IFERROR(Datos!C2284,"")</f>
        <v/>
      </c>
      <c r="D2284" s="28">
        <f>IFERROR(IF(AND(ISNUMBER(B2284),ISNUMBER(B2283),B2283&lt;&gt;0),B2284/B2283-1,""),"")</f>
        <v/>
      </c>
      <c r="E2284" s="28">
        <f>IFERROR(IF(AND(ISNUMBER(C2284),ISNUMBER(C2283),C2283&lt;&gt;0),C2284/C2283-1,""),"")</f>
        <v/>
      </c>
      <c r="F2284" s="28">
        <f>IFERROR(D2284-Dashboard!$B$4/252,"")</f>
        <v/>
      </c>
      <c r="G2284" s="28">
        <f>IFERROR(E2284-Dashboard!$B$4/252,"")</f>
        <v/>
      </c>
      <c r="H2284" s="8">
        <f>IFERROR(IF(ISNUMBER(B2284),MAX(B2284,IFERROR(H2283,B2284)),""),"")</f>
        <v/>
      </c>
      <c r="I2284" s="29">
        <f>IFERROR(IF(AND(ISNUMBER(B2284),ISNUMBER(H2284)),B2284/H2284-1,""),"")</f>
        <v/>
      </c>
      <c r="J2284" s="8">
        <f>IFERROR(IF(ISNUMBER(C2284),MAX(C2284,IFERROR(J2283,C2284)),""),"")</f>
        <v/>
      </c>
      <c r="K2284" s="29">
        <f>IFERROR(IF(AND(ISNUMBER(C2284),ISNUMBER(J2284)),C2284/J2284-1,""),"")</f>
        <v/>
      </c>
      <c r="L2284" s="28">
        <f>IFERROR(IF(AND(ISNUMBER(D2284),ISNUMBER(E2284)),D2284-E2284,""),"")</f>
        <v/>
      </c>
    </row>
    <row r="2285">
      <c r="A2285" s="7">
        <f>IFERROR(Datos!A2285,"")</f>
        <v/>
      </c>
      <c r="B2285" s="8">
        <f>IFERROR(Datos!B2285,"")</f>
        <v/>
      </c>
      <c r="C2285" s="8">
        <f>IFERROR(Datos!C2285,"")</f>
        <v/>
      </c>
      <c r="D2285" s="28">
        <f>IFERROR(IF(AND(ISNUMBER(B2285),ISNUMBER(B2284),B2284&lt;&gt;0),B2285/B2284-1,""),"")</f>
        <v/>
      </c>
      <c r="E2285" s="28">
        <f>IFERROR(IF(AND(ISNUMBER(C2285),ISNUMBER(C2284),C2284&lt;&gt;0),C2285/C2284-1,""),"")</f>
        <v/>
      </c>
      <c r="F2285" s="28">
        <f>IFERROR(D2285-Dashboard!$B$4/252,"")</f>
        <v/>
      </c>
      <c r="G2285" s="28">
        <f>IFERROR(E2285-Dashboard!$B$4/252,"")</f>
        <v/>
      </c>
      <c r="H2285" s="8">
        <f>IFERROR(IF(ISNUMBER(B2285),MAX(B2285,IFERROR(H2284,B2285)),""),"")</f>
        <v/>
      </c>
      <c r="I2285" s="29">
        <f>IFERROR(IF(AND(ISNUMBER(B2285),ISNUMBER(H2285)),B2285/H2285-1,""),"")</f>
        <v/>
      </c>
      <c r="J2285" s="8">
        <f>IFERROR(IF(ISNUMBER(C2285),MAX(C2285,IFERROR(J2284,C2285)),""),"")</f>
        <v/>
      </c>
      <c r="K2285" s="29">
        <f>IFERROR(IF(AND(ISNUMBER(C2285),ISNUMBER(J2285)),C2285/J2285-1,""),"")</f>
        <v/>
      </c>
      <c r="L2285" s="28">
        <f>IFERROR(IF(AND(ISNUMBER(D2285),ISNUMBER(E2285)),D2285-E2285,""),"")</f>
        <v/>
      </c>
    </row>
    <row r="2286">
      <c r="A2286" s="7">
        <f>IFERROR(Datos!A2286,"")</f>
        <v/>
      </c>
      <c r="B2286" s="8">
        <f>IFERROR(Datos!B2286,"")</f>
        <v/>
      </c>
      <c r="C2286" s="8">
        <f>IFERROR(Datos!C2286,"")</f>
        <v/>
      </c>
      <c r="D2286" s="28">
        <f>IFERROR(IF(AND(ISNUMBER(B2286),ISNUMBER(B2285),B2285&lt;&gt;0),B2286/B2285-1,""),"")</f>
        <v/>
      </c>
      <c r="E2286" s="28">
        <f>IFERROR(IF(AND(ISNUMBER(C2286),ISNUMBER(C2285),C2285&lt;&gt;0),C2286/C2285-1,""),"")</f>
        <v/>
      </c>
      <c r="F2286" s="28">
        <f>IFERROR(D2286-Dashboard!$B$4/252,"")</f>
        <v/>
      </c>
      <c r="G2286" s="28">
        <f>IFERROR(E2286-Dashboard!$B$4/252,"")</f>
        <v/>
      </c>
      <c r="H2286" s="8">
        <f>IFERROR(IF(ISNUMBER(B2286),MAX(B2286,IFERROR(H2285,B2286)),""),"")</f>
        <v/>
      </c>
      <c r="I2286" s="29">
        <f>IFERROR(IF(AND(ISNUMBER(B2286),ISNUMBER(H2286)),B2286/H2286-1,""),"")</f>
        <v/>
      </c>
      <c r="J2286" s="8">
        <f>IFERROR(IF(ISNUMBER(C2286),MAX(C2286,IFERROR(J2285,C2286)),""),"")</f>
        <v/>
      </c>
      <c r="K2286" s="29">
        <f>IFERROR(IF(AND(ISNUMBER(C2286),ISNUMBER(J2286)),C2286/J2286-1,""),"")</f>
        <v/>
      </c>
      <c r="L2286" s="28">
        <f>IFERROR(IF(AND(ISNUMBER(D2286),ISNUMBER(E2286)),D2286-E2286,""),"")</f>
        <v/>
      </c>
    </row>
    <row r="2287">
      <c r="A2287" s="7">
        <f>IFERROR(Datos!A2287,"")</f>
        <v/>
      </c>
      <c r="B2287" s="8">
        <f>IFERROR(Datos!B2287,"")</f>
        <v/>
      </c>
      <c r="C2287" s="8">
        <f>IFERROR(Datos!C2287,"")</f>
        <v/>
      </c>
      <c r="D2287" s="28">
        <f>IFERROR(IF(AND(ISNUMBER(B2287),ISNUMBER(B2286),B2286&lt;&gt;0),B2287/B2286-1,""),"")</f>
        <v/>
      </c>
      <c r="E2287" s="28">
        <f>IFERROR(IF(AND(ISNUMBER(C2287),ISNUMBER(C2286),C2286&lt;&gt;0),C2287/C2286-1,""),"")</f>
        <v/>
      </c>
      <c r="F2287" s="28">
        <f>IFERROR(D2287-Dashboard!$B$4/252,"")</f>
        <v/>
      </c>
      <c r="G2287" s="28">
        <f>IFERROR(E2287-Dashboard!$B$4/252,"")</f>
        <v/>
      </c>
      <c r="H2287" s="8">
        <f>IFERROR(IF(ISNUMBER(B2287),MAX(B2287,IFERROR(H2286,B2287)),""),"")</f>
        <v/>
      </c>
      <c r="I2287" s="29">
        <f>IFERROR(IF(AND(ISNUMBER(B2287),ISNUMBER(H2287)),B2287/H2287-1,""),"")</f>
        <v/>
      </c>
      <c r="J2287" s="8">
        <f>IFERROR(IF(ISNUMBER(C2287),MAX(C2287,IFERROR(J2286,C2287)),""),"")</f>
        <v/>
      </c>
      <c r="K2287" s="29">
        <f>IFERROR(IF(AND(ISNUMBER(C2287),ISNUMBER(J2287)),C2287/J2287-1,""),"")</f>
        <v/>
      </c>
      <c r="L2287" s="28">
        <f>IFERROR(IF(AND(ISNUMBER(D2287),ISNUMBER(E2287)),D2287-E2287,""),"")</f>
        <v/>
      </c>
    </row>
    <row r="2288">
      <c r="A2288" s="7">
        <f>IFERROR(Datos!A2288,"")</f>
        <v/>
      </c>
      <c r="B2288" s="8">
        <f>IFERROR(Datos!B2288,"")</f>
        <v/>
      </c>
      <c r="C2288" s="8">
        <f>IFERROR(Datos!C2288,"")</f>
        <v/>
      </c>
      <c r="D2288" s="28">
        <f>IFERROR(IF(AND(ISNUMBER(B2288),ISNUMBER(B2287),B2287&lt;&gt;0),B2288/B2287-1,""),"")</f>
        <v/>
      </c>
      <c r="E2288" s="28">
        <f>IFERROR(IF(AND(ISNUMBER(C2288),ISNUMBER(C2287),C2287&lt;&gt;0),C2288/C2287-1,""),"")</f>
        <v/>
      </c>
      <c r="F2288" s="28">
        <f>IFERROR(D2288-Dashboard!$B$4/252,"")</f>
        <v/>
      </c>
      <c r="G2288" s="28">
        <f>IFERROR(E2288-Dashboard!$B$4/252,"")</f>
        <v/>
      </c>
      <c r="H2288" s="8">
        <f>IFERROR(IF(ISNUMBER(B2288),MAX(B2288,IFERROR(H2287,B2288)),""),"")</f>
        <v/>
      </c>
      <c r="I2288" s="29">
        <f>IFERROR(IF(AND(ISNUMBER(B2288),ISNUMBER(H2288)),B2288/H2288-1,""),"")</f>
        <v/>
      </c>
      <c r="J2288" s="8">
        <f>IFERROR(IF(ISNUMBER(C2288),MAX(C2288,IFERROR(J2287,C2288)),""),"")</f>
        <v/>
      </c>
      <c r="K2288" s="29">
        <f>IFERROR(IF(AND(ISNUMBER(C2288),ISNUMBER(J2288)),C2288/J2288-1,""),"")</f>
        <v/>
      </c>
      <c r="L2288" s="28">
        <f>IFERROR(IF(AND(ISNUMBER(D2288),ISNUMBER(E2288)),D2288-E2288,""),"")</f>
        <v/>
      </c>
    </row>
    <row r="2289">
      <c r="A2289" s="7">
        <f>IFERROR(Datos!A2289,"")</f>
        <v/>
      </c>
      <c r="B2289" s="8">
        <f>IFERROR(Datos!B2289,"")</f>
        <v/>
      </c>
      <c r="C2289" s="8">
        <f>IFERROR(Datos!C2289,"")</f>
        <v/>
      </c>
      <c r="D2289" s="28">
        <f>IFERROR(IF(AND(ISNUMBER(B2289),ISNUMBER(B2288),B2288&lt;&gt;0),B2289/B2288-1,""),"")</f>
        <v/>
      </c>
      <c r="E2289" s="28">
        <f>IFERROR(IF(AND(ISNUMBER(C2289),ISNUMBER(C2288),C2288&lt;&gt;0),C2289/C2288-1,""),"")</f>
        <v/>
      </c>
      <c r="F2289" s="28">
        <f>IFERROR(D2289-Dashboard!$B$4/252,"")</f>
        <v/>
      </c>
      <c r="G2289" s="28">
        <f>IFERROR(E2289-Dashboard!$B$4/252,"")</f>
        <v/>
      </c>
      <c r="H2289" s="8">
        <f>IFERROR(IF(ISNUMBER(B2289),MAX(B2289,IFERROR(H2288,B2289)),""),"")</f>
        <v/>
      </c>
      <c r="I2289" s="29">
        <f>IFERROR(IF(AND(ISNUMBER(B2289),ISNUMBER(H2289)),B2289/H2289-1,""),"")</f>
        <v/>
      </c>
      <c r="J2289" s="8">
        <f>IFERROR(IF(ISNUMBER(C2289),MAX(C2289,IFERROR(J2288,C2289)),""),"")</f>
        <v/>
      </c>
      <c r="K2289" s="29">
        <f>IFERROR(IF(AND(ISNUMBER(C2289),ISNUMBER(J2289)),C2289/J2289-1,""),"")</f>
        <v/>
      </c>
      <c r="L2289" s="28">
        <f>IFERROR(IF(AND(ISNUMBER(D2289),ISNUMBER(E2289)),D2289-E2289,""),"")</f>
        <v/>
      </c>
    </row>
    <row r="2290">
      <c r="A2290" s="7">
        <f>IFERROR(Datos!A2290,"")</f>
        <v/>
      </c>
      <c r="B2290" s="8">
        <f>IFERROR(Datos!B2290,"")</f>
        <v/>
      </c>
      <c r="C2290" s="8">
        <f>IFERROR(Datos!C2290,"")</f>
        <v/>
      </c>
      <c r="D2290" s="28">
        <f>IFERROR(IF(AND(ISNUMBER(B2290),ISNUMBER(B2289),B2289&lt;&gt;0),B2290/B2289-1,""),"")</f>
        <v/>
      </c>
      <c r="E2290" s="28">
        <f>IFERROR(IF(AND(ISNUMBER(C2290),ISNUMBER(C2289),C2289&lt;&gt;0),C2290/C2289-1,""),"")</f>
        <v/>
      </c>
      <c r="F2290" s="28">
        <f>IFERROR(D2290-Dashboard!$B$4/252,"")</f>
        <v/>
      </c>
      <c r="G2290" s="28">
        <f>IFERROR(E2290-Dashboard!$B$4/252,"")</f>
        <v/>
      </c>
      <c r="H2290" s="8">
        <f>IFERROR(IF(ISNUMBER(B2290),MAX(B2290,IFERROR(H2289,B2290)),""),"")</f>
        <v/>
      </c>
      <c r="I2290" s="29">
        <f>IFERROR(IF(AND(ISNUMBER(B2290),ISNUMBER(H2290)),B2290/H2290-1,""),"")</f>
        <v/>
      </c>
      <c r="J2290" s="8">
        <f>IFERROR(IF(ISNUMBER(C2290),MAX(C2290,IFERROR(J2289,C2290)),""),"")</f>
        <v/>
      </c>
      <c r="K2290" s="29">
        <f>IFERROR(IF(AND(ISNUMBER(C2290),ISNUMBER(J2290)),C2290/J2290-1,""),"")</f>
        <v/>
      </c>
      <c r="L2290" s="28">
        <f>IFERROR(IF(AND(ISNUMBER(D2290),ISNUMBER(E2290)),D2290-E2290,""),"")</f>
        <v/>
      </c>
    </row>
    <row r="2291">
      <c r="A2291" s="7">
        <f>IFERROR(Datos!A2291,"")</f>
        <v/>
      </c>
      <c r="B2291" s="8">
        <f>IFERROR(Datos!B2291,"")</f>
        <v/>
      </c>
      <c r="C2291" s="8">
        <f>IFERROR(Datos!C2291,"")</f>
        <v/>
      </c>
      <c r="D2291" s="28">
        <f>IFERROR(IF(AND(ISNUMBER(B2291),ISNUMBER(B2290),B2290&lt;&gt;0),B2291/B2290-1,""),"")</f>
        <v/>
      </c>
      <c r="E2291" s="28">
        <f>IFERROR(IF(AND(ISNUMBER(C2291),ISNUMBER(C2290),C2290&lt;&gt;0),C2291/C2290-1,""),"")</f>
        <v/>
      </c>
      <c r="F2291" s="28">
        <f>IFERROR(D2291-Dashboard!$B$4/252,"")</f>
        <v/>
      </c>
      <c r="G2291" s="28">
        <f>IFERROR(E2291-Dashboard!$B$4/252,"")</f>
        <v/>
      </c>
      <c r="H2291" s="8">
        <f>IFERROR(IF(ISNUMBER(B2291),MAX(B2291,IFERROR(H2290,B2291)),""),"")</f>
        <v/>
      </c>
      <c r="I2291" s="29">
        <f>IFERROR(IF(AND(ISNUMBER(B2291),ISNUMBER(H2291)),B2291/H2291-1,""),"")</f>
        <v/>
      </c>
      <c r="J2291" s="8">
        <f>IFERROR(IF(ISNUMBER(C2291),MAX(C2291,IFERROR(J2290,C2291)),""),"")</f>
        <v/>
      </c>
      <c r="K2291" s="29">
        <f>IFERROR(IF(AND(ISNUMBER(C2291),ISNUMBER(J2291)),C2291/J2291-1,""),"")</f>
        <v/>
      </c>
      <c r="L2291" s="28">
        <f>IFERROR(IF(AND(ISNUMBER(D2291),ISNUMBER(E2291)),D2291-E2291,""),"")</f>
        <v/>
      </c>
    </row>
    <row r="2292">
      <c r="A2292" s="7">
        <f>IFERROR(Datos!A2292,"")</f>
        <v/>
      </c>
      <c r="B2292" s="8">
        <f>IFERROR(Datos!B2292,"")</f>
        <v/>
      </c>
      <c r="C2292" s="8">
        <f>IFERROR(Datos!C2292,"")</f>
        <v/>
      </c>
      <c r="D2292" s="28">
        <f>IFERROR(IF(AND(ISNUMBER(B2292),ISNUMBER(B2291),B2291&lt;&gt;0),B2292/B2291-1,""),"")</f>
        <v/>
      </c>
      <c r="E2292" s="28">
        <f>IFERROR(IF(AND(ISNUMBER(C2292),ISNUMBER(C2291),C2291&lt;&gt;0),C2292/C2291-1,""),"")</f>
        <v/>
      </c>
      <c r="F2292" s="28">
        <f>IFERROR(D2292-Dashboard!$B$4/252,"")</f>
        <v/>
      </c>
      <c r="G2292" s="28">
        <f>IFERROR(E2292-Dashboard!$B$4/252,"")</f>
        <v/>
      </c>
      <c r="H2292" s="8">
        <f>IFERROR(IF(ISNUMBER(B2292),MAX(B2292,IFERROR(H2291,B2292)),""),"")</f>
        <v/>
      </c>
      <c r="I2292" s="29">
        <f>IFERROR(IF(AND(ISNUMBER(B2292),ISNUMBER(H2292)),B2292/H2292-1,""),"")</f>
        <v/>
      </c>
      <c r="J2292" s="8">
        <f>IFERROR(IF(ISNUMBER(C2292),MAX(C2292,IFERROR(J2291,C2292)),""),"")</f>
        <v/>
      </c>
      <c r="K2292" s="29">
        <f>IFERROR(IF(AND(ISNUMBER(C2292),ISNUMBER(J2292)),C2292/J2292-1,""),"")</f>
        <v/>
      </c>
      <c r="L2292" s="28">
        <f>IFERROR(IF(AND(ISNUMBER(D2292),ISNUMBER(E2292)),D2292-E2292,""),"")</f>
        <v/>
      </c>
    </row>
    <row r="2293">
      <c r="A2293" s="7">
        <f>IFERROR(Datos!A2293,"")</f>
        <v/>
      </c>
      <c r="B2293" s="8">
        <f>IFERROR(Datos!B2293,"")</f>
        <v/>
      </c>
      <c r="C2293" s="8">
        <f>IFERROR(Datos!C2293,"")</f>
        <v/>
      </c>
      <c r="D2293" s="28">
        <f>IFERROR(IF(AND(ISNUMBER(B2293),ISNUMBER(B2292),B2292&lt;&gt;0),B2293/B2292-1,""),"")</f>
        <v/>
      </c>
      <c r="E2293" s="28">
        <f>IFERROR(IF(AND(ISNUMBER(C2293),ISNUMBER(C2292),C2292&lt;&gt;0),C2293/C2292-1,""),"")</f>
        <v/>
      </c>
      <c r="F2293" s="28">
        <f>IFERROR(D2293-Dashboard!$B$4/252,"")</f>
        <v/>
      </c>
      <c r="G2293" s="28">
        <f>IFERROR(E2293-Dashboard!$B$4/252,"")</f>
        <v/>
      </c>
      <c r="H2293" s="8">
        <f>IFERROR(IF(ISNUMBER(B2293),MAX(B2293,IFERROR(H2292,B2293)),""),"")</f>
        <v/>
      </c>
      <c r="I2293" s="29">
        <f>IFERROR(IF(AND(ISNUMBER(B2293),ISNUMBER(H2293)),B2293/H2293-1,""),"")</f>
        <v/>
      </c>
      <c r="J2293" s="8">
        <f>IFERROR(IF(ISNUMBER(C2293),MAX(C2293,IFERROR(J2292,C2293)),""),"")</f>
        <v/>
      </c>
      <c r="K2293" s="29">
        <f>IFERROR(IF(AND(ISNUMBER(C2293),ISNUMBER(J2293)),C2293/J2293-1,""),"")</f>
        <v/>
      </c>
      <c r="L2293" s="28">
        <f>IFERROR(IF(AND(ISNUMBER(D2293),ISNUMBER(E2293)),D2293-E2293,""),"")</f>
        <v/>
      </c>
    </row>
    <row r="2294">
      <c r="A2294" s="7">
        <f>IFERROR(Datos!A2294,"")</f>
        <v/>
      </c>
      <c r="B2294" s="8">
        <f>IFERROR(Datos!B2294,"")</f>
        <v/>
      </c>
      <c r="C2294" s="8">
        <f>IFERROR(Datos!C2294,"")</f>
        <v/>
      </c>
      <c r="D2294" s="28">
        <f>IFERROR(IF(AND(ISNUMBER(B2294),ISNUMBER(B2293),B2293&lt;&gt;0),B2294/B2293-1,""),"")</f>
        <v/>
      </c>
      <c r="E2294" s="28">
        <f>IFERROR(IF(AND(ISNUMBER(C2294),ISNUMBER(C2293),C2293&lt;&gt;0),C2294/C2293-1,""),"")</f>
        <v/>
      </c>
      <c r="F2294" s="28">
        <f>IFERROR(D2294-Dashboard!$B$4/252,"")</f>
        <v/>
      </c>
      <c r="G2294" s="28">
        <f>IFERROR(E2294-Dashboard!$B$4/252,"")</f>
        <v/>
      </c>
      <c r="H2294" s="8">
        <f>IFERROR(IF(ISNUMBER(B2294),MAX(B2294,IFERROR(H2293,B2294)),""),"")</f>
        <v/>
      </c>
      <c r="I2294" s="29">
        <f>IFERROR(IF(AND(ISNUMBER(B2294),ISNUMBER(H2294)),B2294/H2294-1,""),"")</f>
        <v/>
      </c>
      <c r="J2294" s="8">
        <f>IFERROR(IF(ISNUMBER(C2294),MAX(C2294,IFERROR(J2293,C2294)),""),"")</f>
        <v/>
      </c>
      <c r="K2294" s="29">
        <f>IFERROR(IF(AND(ISNUMBER(C2294),ISNUMBER(J2294)),C2294/J2294-1,""),"")</f>
        <v/>
      </c>
      <c r="L2294" s="28">
        <f>IFERROR(IF(AND(ISNUMBER(D2294),ISNUMBER(E2294)),D2294-E2294,""),"")</f>
        <v/>
      </c>
    </row>
    <row r="2295">
      <c r="A2295" s="7">
        <f>IFERROR(Datos!A2295,"")</f>
        <v/>
      </c>
      <c r="B2295" s="8">
        <f>IFERROR(Datos!B2295,"")</f>
        <v/>
      </c>
      <c r="C2295" s="8">
        <f>IFERROR(Datos!C2295,"")</f>
        <v/>
      </c>
      <c r="D2295" s="28">
        <f>IFERROR(IF(AND(ISNUMBER(B2295),ISNUMBER(B2294),B2294&lt;&gt;0),B2295/B2294-1,""),"")</f>
        <v/>
      </c>
      <c r="E2295" s="28">
        <f>IFERROR(IF(AND(ISNUMBER(C2295),ISNUMBER(C2294),C2294&lt;&gt;0),C2295/C2294-1,""),"")</f>
        <v/>
      </c>
      <c r="F2295" s="28">
        <f>IFERROR(D2295-Dashboard!$B$4/252,"")</f>
        <v/>
      </c>
      <c r="G2295" s="28">
        <f>IFERROR(E2295-Dashboard!$B$4/252,"")</f>
        <v/>
      </c>
      <c r="H2295" s="8">
        <f>IFERROR(IF(ISNUMBER(B2295),MAX(B2295,IFERROR(H2294,B2295)),""),"")</f>
        <v/>
      </c>
      <c r="I2295" s="29">
        <f>IFERROR(IF(AND(ISNUMBER(B2295),ISNUMBER(H2295)),B2295/H2295-1,""),"")</f>
        <v/>
      </c>
      <c r="J2295" s="8">
        <f>IFERROR(IF(ISNUMBER(C2295),MAX(C2295,IFERROR(J2294,C2295)),""),"")</f>
        <v/>
      </c>
      <c r="K2295" s="29">
        <f>IFERROR(IF(AND(ISNUMBER(C2295),ISNUMBER(J2295)),C2295/J2295-1,""),"")</f>
        <v/>
      </c>
      <c r="L2295" s="28">
        <f>IFERROR(IF(AND(ISNUMBER(D2295),ISNUMBER(E2295)),D2295-E2295,""),"")</f>
        <v/>
      </c>
    </row>
    <row r="2296">
      <c r="A2296" s="7">
        <f>IFERROR(Datos!A2296,"")</f>
        <v/>
      </c>
      <c r="B2296" s="8">
        <f>IFERROR(Datos!B2296,"")</f>
        <v/>
      </c>
      <c r="C2296" s="8">
        <f>IFERROR(Datos!C2296,"")</f>
        <v/>
      </c>
      <c r="D2296" s="28">
        <f>IFERROR(IF(AND(ISNUMBER(B2296),ISNUMBER(B2295),B2295&lt;&gt;0),B2296/B2295-1,""),"")</f>
        <v/>
      </c>
      <c r="E2296" s="28">
        <f>IFERROR(IF(AND(ISNUMBER(C2296),ISNUMBER(C2295),C2295&lt;&gt;0),C2296/C2295-1,""),"")</f>
        <v/>
      </c>
      <c r="F2296" s="28">
        <f>IFERROR(D2296-Dashboard!$B$4/252,"")</f>
        <v/>
      </c>
      <c r="G2296" s="28">
        <f>IFERROR(E2296-Dashboard!$B$4/252,"")</f>
        <v/>
      </c>
      <c r="H2296" s="8">
        <f>IFERROR(IF(ISNUMBER(B2296),MAX(B2296,IFERROR(H2295,B2296)),""),"")</f>
        <v/>
      </c>
      <c r="I2296" s="29">
        <f>IFERROR(IF(AND(ISNUMBER(B2296),ISNUMBER(H2296)),B2296/H2296-1,""),"")</f>
        <v/>
      </c>
      <c r="J2296" s="8">
        <f>IFERROR(IF(ISNUMBER(C2296),MAX(C2296,IFERROR(J2295,C2296)),""),"")</f>
        <v/>
      </c>
      <c r="K2296" s="29">
        <f>IFERROR(IF(AND(ISNUMBER(C2296),ISNUMBER(J2296)),C2296/J2296-1,""),"")</f>
        <v/>
      </c>
      <c r="L2296" s="28">
        <f>IFERROR(IF(AND(ISNUMBER(D2296),ISNUMBER(E2296)),D2296-E2296,""),"")</f>
        <v/>
      </c>
    </row>
    <row r="2297">
      <c r="A2297" s="7">
        <f>IFERROR(Datos!A2297,"")</f>
        <v/>
      </c>
      <c r="B2297" s="8">
        <f>IFERROR(Datos!B2297,"")</f>
        <v/>
      </c>
      <c r="C2297" s="8">
        <f>IFERROR(Datos!C2297,"")</f>
        <v/>
      </c>
      <c r="D2297" s="28">
        <f>IFERROR(IF(AND(ISNUMBER(B2297),ISNUMBER(B2296),B2296&lt;&gt;0),B2297/B2296-1,""),"")</f>
        <v/>
      </c>
      <c r="E2297" s="28">
        <f>IFERROR(IF(AND(ISNUMBER(C2297),ISNUMBER(C2296),C2296&lt;&gt;0),C2297/C2296-1,""),"")</f>
        <v/>
      </c>
      <c r="F2297" s="28">
        <f>IFERROR(D2297-Dashboard!$B$4/252,"")</f>
        <v/>
      </c>
      <c r="G2297" s="28">
        <f>IFERROR(E2297-Dashboard!$B$4/252,"")</f>
        <v/>
      </c>
      <c r="H2297" s="8">
        <f>IFERROR(IF(ISNUMBER(B2297),MAX(B2297,IFERROR(H2296,B2297)),""),"")</f>
        <v/>
      </c>
      <c r="I2297" s="29">
        <f>IFERROR(IF(AND(ISNUMBER(B2297),ISNUMBER(H2297)),B2297/H2297-1,""),"")</f>
        <v/>
      </c>
      <c r="J2297" s="8">
        <f>IFERROR(IF(ISNUMBER(C2297),MAX(C2297,IFERROR(J2296,C2297)),""),"")</f>
        <v/>
      </c>
      <c r="K2297" s="29">
        <f>IFERROR(IF(AND(ISNUMBER(C2297),ISNUMBER(J2297)),C2297/J2297-1,""),"")</f>
        <v/>
      </c>
      <c r="L2297" s="28">
        <f>IFERROR(IF(AND(ISNUMBER(D2297),ISNUMBER(E2297)),D2297-E2297,""),"")</f>
        <v/>
      </c>
    </row>
    <row r="2298">
      <c r="A2298" s="7">
        <f>IFERROR(Datos!A2298,"")</f>
        <v/>
      </c>
      <c r="B2298" s="8">
        <f>IFERROR(Datos!B2298,"")</f>
        <v/>
      </c>
      <c r="C2298" s="8">
        <f>IFERROR(Datos!C2298,"")</f>
        <v/>
      </c>
      <c r="D2298" s="28">
        <f>IFERROR(IF(AND(ISNUMBER(B2298),ISNUMBER(B2297),B2297&lt;&gt;0),B2298/B2297-1,""),"")</f>
        <v/>
      </c>
      <c r="E2298" s="28">
        <f>IFERROR(IF(AND(ISNUMBER(C2298),ISNUMBER(C2297),C2297&lt;&gt;0),C2298/C2297-1,""),"")</f>
        <v/>
      </c>
      <c r="F2298" s="28">
        <f>IFERROR(D2298-Dashboard!$B$4/252,"")</f>
        <v/>
      </c>
      <c r="G2298" s="28">
        <f>IFERROR(E2298-Dashboard!$B$4/252,"")</f>
        <v/>
      </c>
      <c r="H2298" s="8">
        <f>IFERROR(IF(ISNUMBER(B2298),MAX(B2298,IFERROR(H2297,B2298)),""),"")</f>
        <v/>
      </c>
      <c r="I2298" s="29">
        <f>IFERROR(IF(AND(ISNUMBER(B2298),ISNUMBER(H2298)),B2298/H2298-1,""),"")</f>
        <v/>
      </c>
      <c r="J2298" s="8">
        <f>IFERROR(IF(ISNUMBER(C2298),MAX(C2298,IFERROR(J2297,C2298)),""),"")</f>
        <v/>
      </c>
      <c r="K2298" s="29">
        <f>IFERROR(IF(AND(ISNUMBER(C2298),ISNUMBER(J2298)),C2298/J2298-1,""),"")</f>
        <v/>
      </c>
      <c r="L2298" s="28">
        <f>IFERROR(IF(AND(ISNUMBER(D2298),ISNUMBER(E2298)),D2298-E2298,""),"")</f>
        <v/>
      </c>
    </row>
    <row r="2299">
      <c r="A2299" s="7">
        <f>IFERROR(Datos!A2299,"")</f>
        <v/>
      </c>
      <c r="B2299" s="8">
        <f>IFERROR(Datos!B2299,"")</f>
        <v/>
      </c>
      <c r="C2299" s="8">
        <f>IFERROR(Datos!C2299,"")</f>
        <v/>
      </c>
      <c r="D2299" s="28">
        <f>IFERROR(IF(AND(ISNUMBER(B2299),ISNUMBER(B2298),B2298&lt;&gt;0),B2299/B2298-1,""),"")</f>
        <v/>
      </c>
      <c r="E2299" s="28">
        <f>IFERROR(IF(AND(ISNUMBER(C2299),ISNUMBER(C2298),C2298&lt;&gt;0),C2299/C2298-1,""),"")</f>
        <v/>
      </c>
      <c r="F2299" s="28">
        <f>IFERROR(D2299-Dashboard!$B$4/252,"")</f>
        <v/>
      </c>
      <c r="G2299" s="28">
        <f>IFERROR(E2299-Dashboard!$B$4/252,"")</f>
        <v/>
      </c>
      <c r="H2299" s="8">
        <f>IFERROR(IF(ISNUMBER(B2299),MAX(B2299,IFERROR(H2298,B2299)),""),"")</f>
        <v/>
      </c>
      <c r="I2299" s="29">
        <f>IFERROR(IF(AND(ISNUMBER(B2299),ISNUMBER(H2299)),B2299/H2299-1,""),"")</f>
        <v/>
      </c>
      <c r="J2299" s="8">
        <f>IFERROR(IF(ISNUMBER(C2299),MAX(C2299,IFERROR(J2298,C2299)),""),"")</f>
        <v/>
      </c>
      <c r="K2299" s="29">
        <f>IFERROR(IF(AND(ISNUMBER(C2299),ISNUMBER(J2299)),C2299/J2299-1,""),"")</f>
        <v/>
      </c>
      <c r="L2299" s="28">
        <f>IFERROR(IF(AND(ISNUMBER(D2299),ISNUMBER(E2299)),D2299-E2299,""),"")</f>
        <v/>
      </c>
    </row>
    <row r="2300">
      <c r="A2300" s="7">
        <f>IFERROR(Datos!A2300,"")</f>
        <v/>
      </c>
      <c r="B2300" s="8">
        <f>IFERROR(Datos!B2300,"")</f>
        <v/>
      </c>
      <c r="C2300" s="8">
        <f>IFERROR(Datos!C2300,"")</f>
        <v/>
      </c>
      <c r="D2300" s="28">
        <f>IFERROR(IF(AND(ISNUMBER(B2300),ISNUMBER(B2299),B2299&lt;&gt;0),B2300/B2299-1,""),"")</f>
        <v/>
      </c>
      <c r="E2300" s="28">
        <f>IFERROR(IF(AND(ISNUMBER(C2300),ISNUMBER(C2299),C2299&lt;&gt;0),C2300/C2299-1,""),"")</f>
        <v/>
      </c>
      <c r="F2300" s="28">
        <f>IFERROR(D2300-Dashboard!$B$4/252,"")</f>
        <v/>
      </c>
      <c r="G2300" s="28">
        <f>IFERROR(E2300-Dashboard!$B$4/252,"")</f>
        <v/>
      </c>
      <c r="H2300" s="8">
        <f>IFERROR(IF(ISNUMBER(B2300),MAX(B2300,IFERROR(H2299,B2300)),""),"")</f>
        <v/>
      </c>
      <c r="I2300" s="29">
        <f>IFERROR(IF(AND(ISNUMBER(B2300),ISNUMBER(H2300)),B2300/H2300-1,""),"")</f>
        <v/>
      </c>
      <c r="J2300" s="8">
        <f>IFERROR(IF(ISNUMBER(C2300),MAX(C2300,IFERROR(J2299,C2300)),""),"")</f>
        <v/>
      </c>
      <c r="K2300" s="29">
        <f>IFERROR(IF(AND(ISNUMBER(C2300),ISNUMBER(J2300)),C2300/J2300-1,""),"")</f>
        <v/>
      </c>
      <c r="L2300" s="28">
        <f>IFERROR(IF(AND(ISNUMBER(D2300),ISNUMBER(E2300)),D2300-E2300,""),"")</f>
        <v/>
      </c>
    </row>
    <row r="2301">
      <c r="A2301" s="7">
        <f>IFERROR(Datos!A2301,"")</f>
        <v/>
      </c>
      <c r="B2301" s="8">
        <f>IFERROR(Datos!B2301,"")</f>
        <v/>
      </c>
      <c r="C2301" s="8">
        <f>IFERROR(Datos!C2301,"")</f>
        <v/>
      </c>
      <c r="D2301" s="28">
        <f>IFERROR(IF(AND(ISNUMBER(B2301),ISNUMBER(B2300),B2300&lt;&gt;0),B2301/B2300-1,""),"")</f>
        <v/>
      </c>
      <c r="E2301" s="28">
        <f>IFERROR(IF(AND(ISNUMBER(C2301),ISNUMBER(C2300),C2300&lt;&gt;0),C2301/C2300-1,""),"")</f>
        <v/>
      </c>
      <c r="F2301" s="28">
        <f>IFERROR(D2301-Dashboard!$B$4/252,"")</f>
        <v/>
      </c>
      <c r="G2301" s="28">
        <f>IFERROR(E2301-Dashboard!$B$4/252,"")</f>
        <v/>
      </c>
      <c r="H2301" s="8">
        <f>IFERROR(IF(ISNUMBER(B2301),MAX(B2301,IFERROR(H2300,B2301)),""),"")</f>
        <v/>
      </c>
      <c r="I2301" s="29">
        <f>IFERROR(IF(AND(ISNUMBER(B2301),ISNUMBER(H2301)),B2301/H2301-1,""),"")</f>
        <v/>
      </c>
      <c r="J2301" s="8">
        <f>IFERROR(IF(ISNUMBER(C2301),MAX(C2301,IFERROR(J2300,C2301)),""),"")</f>
        <v/>
      </c>
      <c r="K2301" s="29">
        <f>IFERROR(IF(AND(ISNUMBER(C2301),ISNUMBER(J2301)),C2301/J2301-1,""),"")</f>
        <v/>
      </c>
      <c r="L2301" s="28">
        <f>IFERROR(IF(AND(ISNUMBER(D2301),ISNUMBER(E2301)),D2301-E2301,""),"")</f>
        <v/>
      </c>
    </row>
    <row r="2302">
      <c r="A2302" s="7">
        <f>IFERROR(Datos!A2302,"")</f>
        <v/>
      </c>
      <c r="B2302" s="8">
        <f>IFERROR(Datos!B2302,"")</f>
        <v/>
      </c>
      <c r="C2302" s="8">
        <f>IFERROR(Datos!C2302,"")</f>
        <v/>
      </c>
      <c r="D2302" s="28">
        <f>IFERROR(IF(AND(ISNUMBER(B2302),ISNUMBER(B2301),B2301&lt;&gt;0),B2302/B2301-1,""),"")</f>
        <v/>
      </c>
      <c r="E2302" s="28">
        <f>IFERROR(IF(AND(ISNUMBER(C2302),ISNUMBER(C2301),C2301&lt;&gt;0),C2302/C2301-1,""),"")</f>
        <v/>
      </c>
      <c r="F2302" s="28">
        <f>IFERROR(D2302-Dashboard!$B$4/252,"")</f>
        <v/>
      </c>
      <c r="G2302" s="28">
        <f>IFERROR(E2302-Dashboard!$B$4/252,"")</f>
        <v/>
      </c>
      <c r="H2302" s="8">
        <f>IFERROR(IF(ISNUMBER(B2302),MAX(B2302,IFERROR(H2301,B2302)),""),"")</f>
        <v/>
      </c>
      <c r="I2302" s="29">
        <f>IFERROR(IF(AND(ISNUMBER(B2302),ISNUMBER(H2302)),B2302/H2302-1,""),"")</f>
        <v/>
      </c>
      <c r="J2302" s="8">
        <f>IFERROR(IF(ISNUMBER(C2302),MAX(C2302,IFERROR(J2301,C2302)),""),"")</f>
        <v/>
      </c>
      <c r="K2302" s="29">
        <f>IFERROR(IF(AND(ISNUMBER(C2302),ISNUMBER(J2302)),C2302/J2302-1,""),"")</f>
        <v/>
      </c>
      <c r="L2302" s="28">
        <f>IFERROR(IF(AND(ISNUMBER(D2302),ISNUMBER(E2302)),D2302-E2302,""),"")</f>
        <v/>
      </c>
    </row>
    <row r="2303">
      <c r="A2303" s="7">
        <f>IFERROR(Datos!A2303,"")</f>
        <v/>
      </c>
      <c r="B2303" s="8">
        <f>IFERROR(Datos!B2303,"")</f>
        <v/>
      </c>
      <c r="C2303" s="8">
        <f>IFERROR(Datos!C2303,"")</f>
        <v/>
      </c>
      <c r="D2303" s="28">
        <f>IFERROR(IF(AND(ISNUMBER(B2303),ISNUMBER(B2302),B2302&lt;&gt;0),B2303/B2302-1,""),"")</f>
        <v/>
      </c>
      <c r="E2303" s="28">
        <f>IFERROR(IF(AND(ISNUMBER(C2303),ISNUMBER(C2302),C2302&lt;&gt;0),C2303/C2302-1,""),"")</f>
        <v/>
      </c>
      <c r="F2303" s="28">
        <f>IFERROR(D2303-Dashboard!$B$4/252,"")</f>
        <v/>
      </c>
      <c r="G2303" s="28">
        <f>IFERROR(E2303-Dashboard!$B$4/252,"")</f>
        <v/>
      </c>
      <c r="H2303" s="8">
        <f>IFERROR(IF(ISNUMBER(B2303),MAX(B2303,IFERROR(H2302,B2303)),""),"")</f>
        <v/>
      </c>
      <c r="I2303" s="29">
        <f>IFERROR(IF(AND(ISNUMBER(B2303),ISNUMBER(H2303)),B2303/H2303-1,""),"")</f>
        <v/>
      </c>
      <c r="J2303" s="8">
        <f>IFERROR(IF(ISNUMBER(C2303),MAX(C2303,IFERROR(J2302,C2303)),""),"")</f>
        <v/>
      </c>
      <c r="K2303" s="29">
        <f>IFERROR(IF(AND(ISNUMBER(C2303),ISNUMBER(J2303)),C2303/J2303-1,""),"")</f>
        <v/>
      </c>
      <c r="L2303" s="28">
        <f>IFERROR(IF(AND(ISNUMBER(D2303),ISNUMBER(E2303)),D2303-E2303,""),"")</f>
        <v/>
      </c>
    </row>
    <row r="2304">
      <c r="A2304" s="7">
        <f>IFERROR(Datos!A2304,"")</f>
        <v/>
      </c>
      <c r="B2304" s="8">
        <f>IFERROR(Datos!B2304,"")</f>
        <v/>
      </c>
      <c r="C2304" s="8">
        <f>IFERROR(Datos!C2304,"")</f>
        <v/>
      </c>
      <c r="D2304" s="28">
        <f>IFERROR(IF(AND(ISNUMBER(B2304),ISNUMBER(B2303),B2303&lt;&gt;0),B2304/B2303-1,""),"")</f>
        <v/>
      </c>
      <c r="E2304" s="28">
        <f>IFERROR(IF(AND(ISNUMBER(C2304),ISNUMBER(C2303),C2303&lt;&gt;0),C2304/C2303-1,""),"")</f>
        <v/>
      </c>
      <c r="F2304" s="28">
        <f>IFERROR(D2304-Dashboard!$B$4/252,"")</f>
        <v/>
      </c>
      <c r="G2304" s="28">
        <f>IFERROR(E2304-Dashboard!$B$4/252,"")</f>
        <v/>
      </c>
      <c r="H2304" s="8">
        <f>IFERROR(IF(ISNUMBER(B2304),MAX(B2304,IFERROR(H2303,B2304)),""),"")</f>
        <v/>
      </c>
      <c r="I2304" s="29">
        <f>IFERROR(IF(AND(ISNUMBER(B2304),ISNUMBER(H2304)),B2304/H2304-1,""),"")</f>
        <v/>
      </c>
      <c r="J2304" s="8">
        <f>IFERROR(IF(ISNUMBER(C2304),MAX(C2304,IFERROR(J2303,C2304)),""),"")</f>
        <v/>
      </c>
      <c r="K2304" s="29">
        <f>IFERROR(IF(AND(ISNUMBER(C2304),ISNUMBER(J2304)),C2304/J2304-1,""),"")</f>
        <v/>
      </c>
      <c r="L2304" s="28">
        <f>IFERROR(IF(AND(ISNUMBER(D2304),ISNUMBER(E2304)),D2304-E2304,""),"")</f>
        <v/>
      </c>
    </row>
    <row r="2305">
      <c r="A2305" s="7">
        <f>IFERROR(Datos!A2305,"")</f>
        <v/>
      </c>
      <c r="B2305" s="8">
        <f>IFERROR(Datos!B2305,"")</f>
        <v/>
      </c>
      <c r="C2305" s="8">
        <f>IFERROR(Datos!C2305,"")</f>
        <v/>
      </c>
      <c r="D2305" s="28">
        <f>IFERROR(IF(AND(ISNUMBER(B2305),ISNUMBER(B2304),B2304&lt;&gt;0),B2305/B2304-1,""),"")</f>
        <v/>
      </c>
      <c r="E2305" s="28">
        <f>IFERROR(IF(AND(ISNUMBER(C2305),ISNUMBER(C2304),C2304&lt;&gt;0),C2305/C2304-1,""),"")</f>
        <v/>
      </c>
      <c r="F2305" s="28">
        <f>IFERROR(D2305-Dashboard!$B$4/252,"")</f>
        <v/>
      </c>
      <c r="G2305" s="28">
        <f>IFERROR(E2305-Dashboard!$B$4/252,"")</f>
        <v/>
      </c>
      <c r="H2305" s="8">
        <f>IFERROR(IF(ISNUMBER(B2305),MAX(B2305,IFERROR(H2304,B2305)),""),"")</f>
        <v/>
      </c>
      <c r="I2305" s="29">
        <f>IFERROR(IF(AND(ISNUMBER(B2305),ISNUMBER(H2305)),B2305/H2305-1,""),"")</f>
        <v/>
      </c>
      <c r="J2305" s="8">
        <f>IFERROR(IF(ISNUMBER(C2305),MAX(C2305,IFERROR(J2304,C2305)),""),"")</f>
        <v/>
      </c>
      <c r="K2305" s="29">
        <f>IFERROR(IF(AND(ISNUMBER(C2305),ISNUMBER(J2305)),C2305/J2305-1,""),"")</f>
        <v/>
      </c>
      <c r="L2305" s="28">
        <f>IFERROR(IF(AND(ISNUMBER(D2305),ISNUMBER(E2305)),D2305-E2305,""),"")</f>
        <v/>
      </c>
    </row>
    <row r="2306">
      <c r="A2306" s="7">
        <f>IFERROR(Datos!A2306,"")</f>
        <v/>
      </c>
      <c r="B2306" s="8">
        <f>IFERROR(Datos!B2306,"")</f>
        <v/>
      </c>
      <c r="C2306" s="8">
        <f>IFERROR(Datos!C2306,"")</f>
        <v/>
      </c>
      <c r="D2306" s="28">
        <f>IFERROR(IF(AND(ISNUMBER(B2306),ISNUMBER(B2305),B2305&lt;&gt;0),B2306/B2305-1,""),"")</f>
        <v/>
      </c>
      <c r="E2306" s="28">
        <f>IFERROR(IF(AND(ISNUMBER(C2306),ISNUMBER(C2305),C2305&lt;&gt;0),C2306/C2305-1,""),"")</f>
        <v/>
      </c>
      <c r="F2306" s="28">
        <f>IFERROR(D2306-Dashboard!$B$4/252,"")</f>
        <v/>
      </c>
      <c r="G2306" s="28">
        <f>IFERROR(E2306-Dashboard!$B$4/252,"")</f>
        <v/>
      </c>
      <c r="H2306" s="8">
        <f>IFERROR(IF(ISNUMBER(B2306),MAX(B2306,IFERROR(H2305,B2306)),""),"")</f>
        <v/>
      </c>
      <c r="I2306" s="29">
        <f>IFERROR(IF(AND(ISNUMBER(B2306),ISNUMBER(H2306)),B2306/H2306-1,""),"")</f>
        <v/>
      </c>
      <c r="J2306" s="8">
        <f>IFERROR(IF(ISNUMBER(C2306),MAX(C2306,IFERROR(J2305,C2306)),""),"")</f>
        <v/>
      </c>
      <c r="K2306" s="29">
        <f>IFERROR(IF(AND(ISNUMBER(C2306),ISNUMBER(J2306)),C2306/J2306-1,""),"")</f>
        <v/>
      </c>
      <c r="L2306" s="28">
        <f>IFERROR(IF(AND(ISNUMBER(D2306),ISNUMBER(E2306)),D2306-E2306,""),"")</f>
        <v/>
      </c>
    </row>
    <row r="2307">
      <c r="A2307" s="7">
        <f>IFERROR(Datos!A2307,"")</f>
        <v/>
      </c>
      <c r="B2307" s="8">
        <f>IFERROR(Datos!B2307,"")</f>
        <v/>
      </c>
      <c r="C2307" s="8">
        <f>IFERROR(Datos!C2307,"")</f>
        <v/>
      </c>
      <c r="D2307" s="28">
        <f>IFERROR(IF(AND(ISNUMBER(B2307),ISNUMBER(B2306),B2306&lt;&gt;0),B2307/B2306-1,""),"")</f>
        <v/>
      </c>
      <c r="E2307" s="28">
        <f>IFERROR(IF(AND(ISNUMBER(C2307),ISNUMBER(C2306),C2306&lt;&gt;0),C2307/C2306-1,""),"")</f>
        <v/>
      </c>
      <c r="F2307" s="28">
        <f>IFERROR(D2307-Dashboard!$B$4/252,"")</f>
        <v/>
      </c>
      <c r="G2307" s="28">
        <f>IFERROR(E2307-Dashboard!$B$4/252,"")</f>
        <v/>
      </c>
      <c r="H2307" s="8">
        <f>IFERROR(IF(ISNUMBER(B2307),MAX(B2307,IFERROR(H2306,B2307)),""),"")</f>
        <v/>
      </c>
      <c r="I2307" s="29">
        <f>IFERROR(IF(AND(ISNUMBER(B2307),ISNUMBER(H2307)),B2307/H2307-1,""),"")</f>
        <v/>
      </c>
      <c r="J2307" s="8">
        <f>IFERROR(IF(ISNUMBER(C2307),MAX(C2307,IFERROR(J2306,C2307)),""),"")</f>
        <v/>
      </c>
      <c r="K2307" s="29">
        <f>IFERROR(IF(AND(ISNUMBER(C2307),ISNUMBER(J2307)),C2307/J2307-1,""),"")</f>
        <v/>
      </c>
      <c r="L2307" s="28">
        <f>IFERROR(IF(AND(ISNUMBER(D2307),ISNUMBER(E2307)),D2307-E2307,""),"")</f>
        <v/>
      </c>
    </row>
    <row r="2308">
      <c r="A2308" s="7">
        <f>IFERROR(Datos!A2308,"")</f>
        <v/>
      </c>
      <c r="B2308" s="8">
        <f>IFERROR(Datos!B2308,"")</f>
        <v/>
      </c>
      <c r="C2308" s="8">
        <f>IFERROR(Datos!C2308,"")</f>
        <v/>
      </c>
      <c r="D2308" s="28">
        <f>IFERROR(IF(AND(ISNUMBER(B2308),ISNUMBER(B2307),B2307&lt;&gt;0),B2308/B2307-1,""),"")</f>
        <v/>
      </c>
      <c r="E2308" s="28">
        <f>IFERROR(IF(AND(ISNUMBER(C2308),ISNUMBER(C2307),C2307&lt;&gt;0),C2308/C2307-1,""),"")</f>
        <v/>
      </c>
      <c r="F2308" s="28">
        <f>IFERROR(D2308-Dashboard!$B$4/252,"")</f>
        <v/>
      </c>
      <c r="G2308" s="28">
        <f>IFERROR(E2308-Dashboard!$B$4/252,"")</f>
        <v/>
      </c>
      <c r="H2308" s="8">
        <f>IFERROR(IF(ISNUMBER(B2308),MAX(B2308,IFERROR(H2307,B2308)),""),"")</f>
        <v/>
      </c>
      <c r="I2308" s="29">
        <f>IFERROR(IF(AND(ISNUMBER(B2308),ISNUMBER(H2308)),B2308/H2308-1,""),"")</f>
        <v/>
      </c>
      <c r="J2308" s="8">
        <f>IFERROR(IF(ISNUMBER(C2308),MAX(C2308,IFERROR(J2307,C2308)),""),"")</f>
        <v/>
      </c>
      <c r="K2308" s="29">
        <f>IFERROR(IF(AND(ISNUMBER(C2308),ISNUMBER(J2308)),C2308/J2308-1,""),"")</f>
        <v/>
      </c>
      <c r="L2308" s="28">
        <f>IFERROR(IF(AND(ISNUMBER(D2308),ISNUMBER(E2308)),D2308-E2308,""),"")</f>
        <v/>
      </c>
    </row>
    <row r="2309">
      <c r="A2309" s="7">
        <f>IFERROR(Datos!A2309,"")</f>
        <v/>
      </c>
      <c r="B2309" s="8">
        <f>IFERROR(Datos!B2309,"")</f>
        <v/>
      </c>
      <c r="C2309" s="8">
        <f>IFERROR(Datos!C2309,"")</f>
        <v/>
      </c>
      <c r="D2309" s="28">
        <f>IFERROR(IF(AND(ISNUMBER(B2309),ISNUMBER(B2308),B2308&lt;&gt;0),B2309/B2308-1,""),"")</f>
        <v/>
      </c>
      <c r="E2309" s="28">
        <f>IFERROR(IF(AND(ISNUMBER(C2309),ISNUMBER(C2308),C2308&lt;&gt;0),C2309/C2308-1,""),"")</f>
        <v/>
      </c>
      <c r="F2309" s="28">
        <f>IFERROR(D2309-Dashboard!$B$4/252,"")</f>
        <v/>
      </c>
      <c r="G2309" s="28">
        <f>IFERROR(E2309-Dashboard!$B$4/252,"")</f>
        <v/>
      </c>
      <c r="H2309" s="8">
        <f>IFERROR(IF(ISNUMBER(B2309),MAX(B2309,IFERROR(H2308,B2309)),""),"")</f>
        <v/>
      </c>
      <c r="I2309" s="29">
        <f>IFERROR(IF(AND(ISNUMBER(B2309),ISNUMBER(H2309)),B2309/H2309-1,""),"")</f>
        <v/>
      </c>
      <c r="J2309" s="8">
        <f>IFERROR(IF(ISNUMBER(C2309),MAX(C2309,IFERROR(J2308,C2309)),""),"")</f>
        <v/>
      </c>
      <c r="K2309" s="29">
        <f>IFERROR(IF(AND(ISNUMBER(C2309),ISNUMBER(J2309)),C2309/J2309-1,""),"")</f>
        <v/>
      </c>
      <c r="L2309" s="28">
        <f>IFERROR(IF(AND(ISNUMBER(D2309),ISNUMBER(E2309)),D2309-E2309,""),"")</f>
        <v/>
      </c>
    </row>
    <row r="2310">
      <c r="A2310" s="7">
        <f>IFERROR(Datos!A2310,"")</f>
        <v/>
      </c>
      <c r="B2310" s="8">
        <f>IFERROR(Datos!B2310,"")</f>
        <v/>
      </c>
      <c r="C2310" s="8">
        <f>IFERROR(Datos!C2310,"")</f>
        <v/>
      </c>
      <c r="D2310" s="28">
        <f>IFERROR(IF(AND(ISNUMBER(B2310),ISNUMBER(B2309),B2309&lt;&gt;0),B2310/B2309-1,""),"")</f>
        <v/>
      </c>
      <c r="E2310" s="28">
        <f>IFERROR(IF(AND(ISNUMBER(C2310),ISNUMBER(C2309),C2309&lt;&gt;0),C2310/C2309-1,""),"")</f>
        <v/>
      </c>
      <c r="F2310" s="28">
        <f>IFERROR(D2310-Dashboard!$B$4/252,"")</f>
        <v/>
      </c>
      <c r="G2310" s="28">
        <f>IFERROR(E2310-Dashboard!$B$4/252,"")</f>
        <v/>
      </c>
      <c r="H2310" s="8">
        <f>IFERROR(IF(ISNUMBER(B2310),MAX(B2310,IFERROR(H2309,B2310)),""),"")</f>
        <v/>
      </c>
      <c r="I2310" s="29">
        <f>IFERROR(IF(AND(ISNUMBER(B2310),ISNUMBER(H2310)),B2310/H2310-1,""),"")</f>
        <v/>
      </c>
      <c r="J2310" s="8">
        <f>IFERROR(IF(ISNUMBER(C2310),MAX(C2310,IFERROR(J2309,C2310)),""),"")</f>
        <v/>
      </c>
      <c r="K2310" s="29">
        <f>IFERROR(IF(AND(ISNUMBER(C2310),ISNUMBER(J2310)),C2310/J2310-1,""),"")</f>
        <v/>
      </c>
      <c r="L2310" s="28">
        <f>IFERROR(IF(AND(ISNUMBER(D2310),ISNUMBER(E2310)),D2310-E2310,""),"")</f>
        <v/>
      </c>
    </row>
    <row r="2311">
      <c r="A2311" s="7">
        <f>IFERROR(Datos!A2311,"")</f>
        <v/>
      </c>
      <c r="B2311" s="8">
        <f>IFERROR(Datos!B2311,"")</f>
        <v/>
      </c>
      <c r="C2311" s="8">
        <f>IFERROR(Datos!C2311,"")</f>
        <v/>
      </c>
      <c r="D2311" s="28">
        <f>IFERROR(IF(AND(ISNUMBER(B2311),ISNUMBER(B2310),B2310&lt;&gt;0),B2311/B2310-1,""),"")</f>
        <v/>
      </c>
      <c r="E2311" s="28">
        <f>IFERROR(IF(AND(ISNUMBER(C2311),ISNUMBER(C2310),C2310&lt;&gt;0),C2311/C2310-1,""),"")</f>
        <v/>
      </c>
      <c r="F2311" s="28">
        <f>IFERROR(D2311-Dashboard!$B$4/252,"")</f>
        <v/>
      </c>
      <c r="G2311" s="28">
        <f>IFERROR(E2311-Dashboard!$B$4/252,"")</f>
        <v/>
      </c>
      <c r="H2311" s="8">
        <f>IFERROR(IF(ISNUMBER(B2311),MAX(B2311,IFERROR(H2310,B2311)),""),"")</f>
        <v/>
      </c>
      <c r="I2311" s="29">
        <f>IFERROR(IF(AND(ISNUMBER(B2311),ISNUMBER(H2311)),B2311/H2311-1,""),"")</f>
        <v/>
      </c>
      <c r="J2311" s="8">
        <f>IFERROR(IF(ISNUMBER(C2311),MAX(C2311,IFERROR(J2310,C2311)),""),"")</f>
        <v/>
      </c>
      <c r="K2311" s="29">
        <f>IFERROR(IF(AND(ISNUMBER(C2311),ISNUMBER(J2311)),C2311/J2311-1,""),"")</f>
        <v/>
      </c>
      <c r="L2311" s="28">
        <f>IFERROR(IF(AND(ISNUMBER(D2311),ISNUMBER(E2311)),D2311-E2311,""),"")</f>
        <v/>
      </c>
    </row>
    <row r="2312">
      <c r="A2312" s="7">
        <f>IFERROR(Datos!A2312,"")</f>
        <v/>
      </c>
      <c r="B2312" s="8">
        <f>IFERROR(Datos!B2312,"")</f>
        <v/>
      </c>
      <c r="C2312" s="8">
        <f>IFERROR(Datos!C2312,"")</f>
        <v/>
      </c>
      <c r="D2312" s="28">
        <f>IFERROR(IF(AND(ISNUMBER(B2312),ISNUMBER(B2311),B2311&lt;&gt;0),B2312/B2311-1,""),"")</f>
        <v/>
      </c>
      <c r="E2312" s="28">
        <f>IFERROR(IF(AND(ISNUMBER(C2312),ISNUMBER(C2311),C2311&lt;&gt;0),C2312/C2311-1,""),"")</f>
        <v/>
      </c>
      <c r="F2312" s="28">
        <f>IFERROR(D2312-Dashboard!$B$4/252,"")</f>
        <v/>
      </c>
      <c r="G2312" s="28">
        <f>IFERROR(E2312-Dashboard!$B$4/252,"")</f>
        <v/>
      </c>
      <c r="H2312" s="8">
        <f>IFERROR(IF(ISNUMBER(B2312),MAX(B2312,IFERROR(H2311,B2312)),""),"")</f>
        <v/>
      </c>
      <c r="I2312" s="29">
        <f>IFERROR(IF(AND(ISNUMBER(B2312),ISNUMBER(H2312)),B2312/H2312-1,""),"")</f>
        <v/>
      </c>
      <c r="J2312" s="8">
        <f>IFERROR(IF(ISNUMBER(C2312),MAX(C2312,IFERROR(J2311,C2312)),""),"")</f>
        <v/>
      </c>
      <c r="K2312" s="29">
        <f>IFERROR(IF(AND(ISNUMBER(C2312),ISNUMBER(J2312)),C2312/J2312-1,""),"")</f>
        <v/>
      </c>
      <c r="L2312" s="28">
        <f>IFERROR(IF(AND(ISNUMBER(D2312),ISNUMBER(E2312)),D2312-E2312,""),"")</f>
        <v/>
      </c>
    </row>
    <row r="2313">
      <c r="A2313" s="7">
        <f>IFERROR(Datos!A2313,"")</f>
        <v/>
      </c>
      <c r="B2313" s="8">
        <f>IFERROR(Datos!B2313,"")</f>
        <v/>
      </c>
      <c r="C2313" s="8">
        <f>IFERROR(Datos!C2313,"")</f>
        <v/>
      </c>
      <c r="D2313" s="28">
        <f>IFERROR(IF(AND(ISNUMBER(B2313),ISNUMBER(B2312),B2312&lt;&gt;0),B2313/B2312-1,""),"")</f>
        <v/>
      </c>
      <c r="E2313" s="28">
        <f>IFERROR(IF(AND(ISNUMBER(C2313),ISNUMBER(C2312),C2312&lt;&gt;0),C2313/C2312-1,""),"")</f>
        <v/>
      </c>
      <c r="F2313" s="28">
        <f>IFERROR(D2313-Dashboard!$B$4/252,"")</f>
        <v/>
      </c>
      <c r="G2313" s="28">
        <f>IFERROR(E2313-Dashboard!$B$4/252,"")</f>
        <v/>
      </c>
      <c r="H2313" s="8">
        <f>IFERROR(IF(ISNUMBER(B2313),MAX(B2313,IFERROR(H2312,B2313)),""),"")</f>
        <v/>
      </c>
      <c r="I2313" s="29">
        <f>IFERROR(IF(AND(ISNUMBER(B2313),ISNUMBER(H2313)),B2313/H2313-1,""),"")</f>
        <v/>
      </c>
      <c r="J2313" s="8">
        <f>IFERROR(IF(ISNUMBER(C2313),MAX(C2313,IFERROR(J2312,C2313)),""),"")</f>
        <v/>
      </c>
      <c r="K2313" s="29">
        <f>IFERROR(IF(AND(ISNUMBER(C2313),ISNUMBER(J2313)),C2313/J2313-1,""),"")</f>
        <v/>
      </c>
      <c r="L2313" s="28">
        <f>IFERROR(IF(AND(ISNUMBER(D2313),ISNUMBER(E2313)),D2313-E2313,""),"")</f>
        <v/>
      </c>
    </row>
    <row r="2314">
      <c r="A2314" s="7">
        <f>IFERROR(Datos!A2314,"")</f>
        <v/>
      </c>
      <c r="B2314" s="8">
        <f>IFERROR(Datos!B2314,"")</f>
        <v/>
      </c>
      <c r="C2314" s="8">
        <f>IFERROR(Datos!C2314,"")</f>
        <v/>
      </c>
      <c r="D2314" s="28">
        <f>IFERROR(IF(AND(ISNUMBER(B2314),ISNUMBER(B2313),B2313&lt;&gt;0),B2314/B2313-1,""),"")</f>
        <v/>
      </c>
      <c r="E2314" s="28">
        <f>IFERROR(IF(AND(ISNUMBER(C2314),ISNUMBER(C2313),C2313&lt;&gt;0),C2314/C2313-1,""),"")</f>
        <v/>
      </c>
      <c r="F2314" s="28">
        <f>IFERROR(D2314-Dashboard!$B$4/252,"")</f>
        <v/>
      </c>
      <c r="G2314" s="28">
        <f>IFERROR(E2314-Dashboard!$B$4/252,"")</f>
        <v/>
      </c>
      <c r="H2314" s="8">
        <f>IFERROR(IF(ISNUMBER(B2314),MAX(B2314,IFERROR(H2313,B2314)),""),"")</f>
        <v/>
      </c>
      <c r="I2314" s="29">
        <f>IFERROR(IF(AND(ISNUMBER(B2314),ISNUMBER(H2314)),B2314/H2314-1,""),"")</f>
        <v/>
      </c>
      <c r="J2314" s="8">
        <f>IFERROR(IF(ISNUMBER(C2314),MAX(C2314,IFERROR(J2313,C2314)),""),"")</f>
        <v/>
      </c>
      <c r="K2314" s="29">
        <f>IFERROR(IF(AND(ISNUMBER(C2314),ISNUMBER(J2314)),C2314/J2314-1,""),"")</f>
        <v/>
      </c>
      <c r="L2314" s="28">
        <f>IFERROR(IF(AND(ISNUMBER(D2314),ISNUMBER(E2314)),D2314-E2314,""),"")</f>
        <v/>
      </c>
    </row>
    <row r="2315">
      <c r="A2315" s="7">
        <f>IFERROR(Datos!A2315,"")</f>
        <v/>
      </c>
      <c r="B2315" s="8">
        <f>IFERROR(Datos!B2315,"")</f>
        <v/>
      </c>
      <c r="C2315" s="8">
        <f>IFERROR(Datos!C2315,"")</f>
        <v/>
      </c>
      <c r="D2315" s="28">
        <f>IFERROR(IF(AND(ISNUMBER(B2315),ISNUMBER(B2314),B2314&lt;&gt;0),B2315/B2314-1,""),"")</f>
        <v/>
      </c>
      <c r="E2315" s="28">
        <f>IFERROR(IF(AND(ISNUMBER(C2315),ISNUMBER(C2314),C2314&lt;&gt;0),C2315/C2314-1,""),"")</f>
        <v/>
      </c>
      <c r="F2315" s="28">
        <f>IFERROR(D2315-Dashboard!$B$4/252,"")</f>
        <v/>
      </c>
      <c r="G2315" s="28">
        <f>IFERROR(E2315-Dashboard!$B$4/252,"")</f>
        <v/>
      </c>
      <c r="H2315" s="8">
        <f>IFERROR(IF(ISNUMBER(B2315),MAX(B2315,IFERROR(H2314,B2315)),""),"")</f>
        <v/>
      </c>
      <c r="I2315" s="29">
        <f>IFERROR(IF(AND(ISNUMBER(B2315),ISNUMBER(H2315)),B2315/H2315-1,""),"")</f>
        <v/>
      </c>
      <c r="J2315" s="8">
        <f>IFERROR(IF(ISNUMBER(C2315),MAX(C2315,IFERROR(J2314,C2315)),""),"")</f>
        <v/>
      </c>
      <c r="K2315" s="29">
        <f>IFERROR(IF(AND(ISNUMBER(C2315),ISNUMBER(J2315)),C2315/J2315-1,""),"")</f>
        <v/>
      </c>
      <c r="L2315" s="28">
        <f>IFERROR(IF(AND(ISNUMBER(D2315),ISNUMBER(E2315)),D2315-E2315,""),"")</f>
        <v/>
      </c>
    </row>
    <row r="2316">
      <c r="A2316" s="7">
        <f>IFERROR(Datos!A2316,"")</f>
        <v/>
      </c>
      <c r="B2316" s="8">
        <f>IFERROR(Datos!B2316,"")</f>
        <v/>
      </c>
      <c r="C2316" s="8">
        <f>IFERROR(Datos!C2316,"")</f>
        <v/>
      </c>
      <c r="D2316" s="28">
        <f>IFERROR(IF(AND(ISNUMBER(B2316),ISNUMBER(B2315),B2315&lt;&gt;0),B2316/B2315-1,""),"")</f>
        <v/>
      </c>
      <c r="E2316" s="28">
        <f>IFERROR(IF(AND(ISNUMBER(C2316),ISNUMBER(C2315),C2315&lt;&gt;0),C2316/C2315-1,""),"")</f>
        <v/>
      </c>
      <c r="F2316" s="28">
        <f>IFERROR(D2316-Dashboard!$B$4/252,"")</f>
        <v/>
      </c>
      <c r="G2316" s="28">
        <f>IFERROR(E2316-Dashboard!$B$4/252,"")</f>
        <v/>
      </c>
      <c r="H2316" s="8">
        <f>IFERROR(IF(ISNUMBER(B2316),MAX(B2316,IFERROR(H2315,B2316)),""),"")</f>
        <v/>
      </c>
      <c r="I2316" s="29">
        <f>IFERROR(IF(AND(ISNUMBER(B2316),ISNUMBER(H2316)),B2316/H2316-1,""),"")</f>
        <v/>
      </c>
      <c r="J2316" s="8">
        <f>IFERROR(IF(ISNUMBER(C2316),MAX(C2316,IFERROR(J2315,C2316)),""),"")</f>
        <v/>
      </c>
      <c r="K2316" s="29">
        <f>IFERROR(IF(AND(ISNUMBER(C2316),ISNUMBER(J2316)),C2316/J2316-1,""),"")</f>
        <v/>
      </c>
      <c r="L2316" s="28">
        <f>IFERROR(IF(AND(ISNUMBER(D2316),ISNUMBER(E2316)),D2316-E2316,""),"")</f>
        <v/>
      </c>
    </row>
    <row r="2317">
      <c r="A2317" s="7">
        <f>IFERROR(Datos!A2317,"")</f>
        <v/>
      </c>
      <c r="B2317" s="8">
        <f>IFERROR(Datos!B2317,"")</f>
        <v/>
      </c>
      <c r="C2317" s="8">
        <f>IFERROR(Datos!C2317,"")</f>
        <v/>
      </c>
      <c r="D2317" s="28">
        <f>IFERROR(IF(AND(ISNUMBER(B2317),ISNUMBER(B2316),B2316&lt;&gt;0),B2317/B2316-1,""),"")</f>
        <v/>
      </c>
      <c r="E2317" s="28">
        <f>IFERROR(IF(AND(ISNUMBER(C2317),ISNUMBER(C2316),C2316&lt;&gt;0),C2317/C2316-1,""),"")</f>
        <v/>
      </c>
      <c r="F2317" s="28">
        <f>IFERROR(D2317-Dashboard!$B$4/252,"")</f>
        <v/>
      </c>
      <c r="G2317" s="28">
        <f>IFERROR(E2317-Dashboard!$B$4/252,"")</f>
        <v/>
      </c>
      <c r="H2317" s="8">
        <f>IFERROR(IF(ISNUMBER(B2317),MAX(B2317,IFERROR(H2316,B2317)),""),"")</f>
        <v/>
      </c>
      <c r="I2317" s="29">
        <f>IFERROR(IF(AND(ISNUMBER(B2317),ISNUMBER(H2317)),B2317/H2317-1,""),"")</f>
        <v/>
      </c>
      <c r="J2317" s="8">
        <f>IFERROR(IF(ISNUMBER(C2317),MAX(C2317,IFERROR(J2316,C2317)),""),"")</f>
        <v/>
      </c>
      <c r="K2317" s="29">
        <f>IFERROR(IF(AND(ISNUMBER(C2317),ISNUMBER(J2317)),C2317/J2317-1,""),"")</f>
        <v/>
      </c>
      <c r="L2317" s="28">
        <f>IFERROR(IF(AND(ISNUMBER(D2317),ISNUMBER(E2317)),D2317-E2317,""),"")</f>
        <v/>
      </c>
    </row>
    <row r="2318">
      <c r="A2318" s="7">
        <f>IFERROR(Datos!A2318,"")</f>
        <v/>
      </c>
      <c r="B2318" s="8">
        <f>IFERROR(Datos!B2318,"")</f>
        <v/>
      </c>
      <c r="C2318" s="8">
        <f>IFERROR(Datos!C2318,"")</f>
        <v/>
      </c>
      <c r="D2318" s="28">
        <f>IFERROR(IF(AND(ISNUMBER(B2318),ISNUMBER(B2317),B2317&lt;&gt;0),B2318/B2317-1,""),"")</f>
        <v/>
      </c>
      <c r="E2318" s="28">
        <f>IFERROR(IF(AND(ISNUMBER(C2318),ISNUMBER(C2317),C2317&lt;&gt;0),C2318/C2317-1,""),"")</f>
        <v/>
      </c>
      <c r="F2318" s="28">
        <f>IFERROR(D2318-Dashboard!$B$4/252,"")</f>
        <v/>
      </c>
      <c r="G2318" s="28">
        <f>IFERROR(E2318-Dashboard!$B$4/252,"")</f>
        <v/>
      </c>
      <c r="H2318" s="8">
        <f>IFERROR(IF(ISNUMBER(B2318),MAX(B2318,IFERROR(H2317,B2318)),""),"")</f>
        <v/>
      </c>
      <c r="I2318" s="29">
        <f>IFERROR(IF(AND(ISNUMBER(B2318),ISNUMBER(H2318)),B2318/H2318-1,""),"")</f>
        <v/>
      </c>
      <c r="J2318" s="8">
        <f>IFERROR(IF(ISNUMBER(C2318),MAX(C2318,IFERROR(J2317,C2318)),""),"")</f>
        <v/>
      </c>
      <c r="K2318" s="29">
        <f>IFERROR(IF(AND(ISNUMBER(C2318),ISNUMBER(J2318)),C2318/J2318-1,""),"")</f>
        <v/>
      </c>
      <c r="L2318" s="28">
        <f>IFERROR(IF(AND(ISNUMBER(D2318),ISNUMBER(E2318)),D2318-E2318,""),"")</f>
        <v/>
      </c>
    </row>
    <row r="2319">
      <c r="A2319" s="7">
        <f>IFERROR(Datos!A2319,"")</f>
        <v/>
      </c>
      <c r="B2319" s="8">
        <f>IFERROR(Datos!B2319,"")</f>
        <v/>
      </c>
      <c r="C2319" s="8">
        <f>IFERROR(Datos!C2319,"")</f>
        <v/>
      </c>
      <c r="D2319" s="28">
        <f>IFERROR(IF(AND(ISNUMBER(B2319),ISNUMBER(B2318),B2318&lt;&gt;0),B2319/B2318-1,""),"")</f>
        <v/>
      </c>
      <c r="E2319" s="28">
        <f>IFERROR(IF(AND(ISNUMBER(C2319),ISNUMBER(C2318),C2318&lt;&gt;0),C2319/C2318-1,""),"")</f>
        <v/>
      </c>
      <c r="F2319" s="28">
        <f>IFERROR(D2319-Dashboard!$B$4/252,"")</f>
        <v/>
      </c>
      <c r="G2319" s="28">
        <f>IFERROR(E2319-Dashboard!$B$4/252,"")</f>
        <v/>
      </c>
      <c r="H2319" s="8">
        <f>IFERROR(IF(ISNUMBER(B2319),MAX(B2319,IFERROR(H2318,B2319)),""),"")</f>
        <v/>
      </c>
      <c r="I2319" s="29">
        <f>IFERROR(IF(AND(ISNUMBER(B2319),ISNUMBER(H2319)),B2319/H2319-1,""),"")</f>
        <v/>
      </c>
      <c r="J2319" s="8">
        <f>IFERROR(IF(ISNUMBER(C2319),MAX(C2319,IFERROR(J2318,C2319)),""),"")</f>
        <v/>
      </c>
      <c r="K2319" s="29">
        <f>IFERROR(IF(AND(ISNUMBER(C2319),ISNUMBER(J2319)),C2319/J2319-1,""),"")</f>
        <v/>
      </c>
      <c r="L2319" s="28">
        <f>IFERROR(IF(AND(ISNUMBER(D2319),ISNUMBER(E2319)),D2319-E2319,""),"")</f>
        <v/>
      </c>
    </row>
    <row r="2320">
      <c r="A2320" s="7">
        <f>IFERROR(Datos!A2320,"")</f>
        <v/>
      </c>
      <c r="B2320" s="8">
        <f>IFERROR(Datos!B2320,"")</f>
        <v/>
      </c>
      <c r="C2320" s="8">
        <f>IFERROR(Datos!C2320,"")</f>
        <v/>
      </c>
      <c r="D2320" s="28">
        <f>IFERROR(IF(AND(ISNUMBER(B2320),ISNUMBER(B2319),B2319&lt;&gt;0),B2320/B2319-1,""),"")</f>
        <v/>
      </c>
      <c r="E2320" s="28">
        <f>IFERROR(IF(AND(ISNUMBER(C2320),ISNUMBER(C2319),C2319&lt;&gt;0),C2320/C2319-1,""),"")</f>
        <v/>
      </c>
      <c r="F2320" s="28">
        <f>IFERROR(D2320-Dashboard!$B$4/252,"")</f>
        <v/>
      </c>
      <c r="G2320" s="28">
        <f>IFERROR(E2320-Dashboard!$B$4/252,"")</f>
        <v/>
      </c>
      <c r="H2320" s="8">
        <f>IFERROR(IF(ISNUMBER(B2320),MAX(B2320,IFERROR(H2319,B2320)),""),"")</f>
        <v/>
      </c>
      <c r="I2320" s="29">
        <f>IFERROR(IF(AND(ISNUMBER(B2320),ISNUMBER(H2320)),B2320/H2320-1,""),"")</f>
        <v/>
      </c>
      <c r="J2320" s="8">
        <f>IFERROR(IF(ISNUMBER(C2320),MAX(C2320,IFERROR(J2319,C2320)),""),"")</f>
        <v/>
      </c>
      <c r="K2320" s="29">
        <f>IFERROR(IF(AND(ISNUMBER(C2320),ISNUMBER(J2320)),C2320/J2320-1,""),"")</f>
        <v/>
      </c>
      <c r="L2320" s="28">
        <f>IFERROR(IF(AND(ISNUMBER(D2320),ISNUMBER(E2320)),D2320-E2320,""),"")</f>
        <v/>
      </c>
    </row>
    <row r="2321">
      <c r="A2321" s="7">
        <f>IFERROR(Datos!A2321,"")</f>
        <v/>
      </c>
      <c r="B2321" s="8">
        <f>IFERROR(Datos!B2321,"")</f>
        <v/>
      </c>
      <c r="C2321" s="8">
        <f>IFERROR(Datos!C2321,"")</f>
        <v/>
      </c>
      <c r="D2321" s="28">
        <f>IFERROR(IF(AND(ISNUMBER(B2321),ISNUMBER(B2320),B2320&lt;&gt;0),B2321/B2320-1,""),"")</f>
        <v/>
      </c>
      <c r="E2321" s="28">
        <f>IFERROR(IF(AND(ISNUMBER(C2321),ISNUMBER(C2320),C2320&lt;&gt;0),C2321/C2320-1,""),"")</f>
        <v/>
      </c>
      <c r="F2321" s="28">
        <f>IFERROR(D2321-Dashboard!$B$4/252,"")</f>
        <v/>
      </c>
      <c r="G2321" s="28">
        <f>IFERROR(E2321-Dashboard!$B$4/252,"")</f>
        <v/>
      </c>
      <c r="H2321" s="8">
        <f>IFERROR(IF(ISNUMBER(B2321),MAX(B2321,IFERROR(H2320,B2321)),""),"")</f>
        <v/>
      </c>
      <c r="I2321" s="29">
        <f>IFERROR(IF(AND(ISNUMBER(B2321),ISNUMBER(H2321)),B2321/H2321-1,""),"")</f>
        <v/>
      </c>
      <c r="J2321" s="8">
        <f>IFERROR(IF(ISNUMBER(C2321),MAX(C2321,IFERROR(J2320,C2321)),""),"")</f>
        <v/>
      </c>
      <c r="K2321" s="29">
        <f>IFERROR(IF(AND(ISNUMBER(C2321),ISNUMBER(J2321)),C2321/J2321-1,""),"")</f>
        <v/>
      </c>
      <c r="L2321" s="28">
        <f>IFERROR(IF(AND(ISNUMBER(D2321),ISNUMBER(E2321)),D2321-E2321,""),"")</f>
        <v/>
      </c>
    </row>
    <row r="2322">
      <c r="A2322" s="7">
        <f>IFERROR(Datos!A2322,"")</f>
        <v/>
      </c>
      <c r="B2322" s="8">
        <f>IFERROR(Datos!B2322,"")</f>
        <v/>
      </c>
      <c r="C2322" s="8">
        <f>IFERROR(Datos!C2322,"")</f>
        <v/>
      </c>
      <c r="D2322" s="28">
        <f>IFERROR(IF(AND(ISNUMBER(B2322),ISNUMBER(B2321),B2321&lt;&gt;0),B2322/B2321-1,""),"")</f>
        <v/>
      </c>
      <c r="E2322" s="28">
        <f>IFERROR(IF(AND(ISNUMBER(C2322),ISNUMBER(C2321),C2321&lt;&gt;0),C2322/C2321-1,""),"")</f>
        <v/>
      </c>
      <c r="F2322" s="28">
        <f>IFERROR(D2322-Dashboard!$B$4/252,"")</f>
        <v/>
      </c>
      <c r="G2322" s="28">
        <f>IFERROR(E2322-Dashboard!$B$4/252,"")</f>
        <v/>
      </c>
      <c r="H2322" s="8">
        <f>IFERROR(IF(ISNUMBER(B2322),MAX(B2322,IFERROR(H2321,B2322)),""),"")</f>
        <v/>
      </c>
      <c r="I2322" s="29">
        <f>IFERROR(IF(AND(ISNUMBER(B2322),ISNUMBER(H2322)),B2322/H2322-1,""),"")</f>
        <v/>
      </c>
      <c r="J2322" s="8">
        <f>IFERROR(IF(ISNUMBER(C2322),MAX(C2322,IFERROR(J2321,C2322)),""),"")</f>
        <v/>
      </c>
      <c r="K2322" s="29">
        <f>IFERROR(IF(AND(ISNUMBER(C2322),ISNUMBER(J2322)),C2322/J2322-1,""),"")</f>
        <v/>
      </c>
      <c r="L2322" s="28">
        <f>IFERROR(IF(AND(ISNUMBER(D2322),ISNUMBER(E2322)),D2322-E2322,""),"")</f>
        <v/>
      </c>
    </row>
    <row r="2323">
      <c r="A2323" s="7">
        <f>IFERROR(Datos!A2323,"")</f>
        <v/>
      </c>
      <c r="B2323" s="8">
        <f>IFERROR(Datos!B2323,"")</f>
        <v/>
      </c>
      <c r="C2323" s="8">
        <f>IFERROR(Datos!C2323,"")</f>
        <v/>
      </c>
      <c r="D2323" s="28">
        <f>IFERROR(IF(AND(ISNUMBER(B2323),ISNUMBER(B2322),B2322&lt;&gt;0),B2323/B2322-1,""),"")</f>
        <v/>
      </c>
      <c r="E2323" s="28">
        <f>IFERROR(IF(AND(ISNUMBER(C2323),ISNUMBER(C2322),C2322&lt;&gt;0),C2323/C2322-1,""),"")</f>
        <v/>
      </c>
      <c r="F2323" s="28">
        <f>IFERROR(D2323-Dashboard!$B$4/252,"")</f>
        <v/>
      </c>
      <c r="G2323" s="28">
        <f>IFERROR(E2323-Dashboard!$B$4/252,"")</f>
        <v/>
      </c>
      <c r="H2323" s="8">
        <f>IFERROR(IF(ISNUMBER(B2323),MAX(B2323,IFERROR(H2322,B2323)),""),"")</f>
        <v/>
      </c>
      <c r="I2323" s="29">
        <f>IFERROR(IF(AND(ISNUMBER(B2323),ISNUMBER(H2323)),B2323/H2323-1,""),"")</f>
        <v/>
      </c>
      <c r="J2323" s="8">
        <f>IFERROR(IF(ISNUMBER(C2323),MAX(C2323,IFERROR(J2322,C2323)),""),"")</f>
        <v/>
      </c>
      <c r="K2323" s="29">
        <f>IFERROR(IF(AND(ISNUMBER(C2323),ISNUMBER(J2323)),C2323/J2323-1,""),"")</f>
        <v/>
      </c>
      <c r="L2323" s="28">
        <f>IFERROR(IF(AND(ISNUMBER(D2323),ISNUMBER(E2323)),D2323-E2323,""),"")</f>
        <v/>
      </c>
    </row>
    <row r="2324">
      <c r="A2324" s="7">
        <f>IFERROR(Datos!A2324,"")</f>
        <v/>
      </c>
      <c r="B2324" s="8">
        <f>IFERROR(Datos!B2324,"")</f>
        <v/>
      </c>
      <c r="C2324" s="8">
        <f>IFERROR(Datos!C2324,"")</f>
        <v/>
      </c>
      <c r="D2324" s="28">
        <f>IFERROR(IF(AND(ISNUMBER(B2324),ISNUMBER(B2323),B2323&lt;&gt;0),B2324/B2323-1,""),"")</f>
        <v/>
      </c>
      <c r="E2324" s="28">
        <f>IFERROR(IF(AND(ISNUMBER(C2324),ISNUMBER(C2323),C2323&lt;&gt;0),C2324/C2323-1,""),"")</f>
        <v/>
      </c>
      <c r="F2324" s="28">
        <f>IFERROR(D2324-Dashboard!$B$4/252,"")</f>
        <v/>
      </c>
      <c r="G2324" s="28">
        <f>IFERROR(E2324-Dashboard!$B$4/252,"")</f>
        <v/>
      </c>
      <c r="H2324" s="8">
        <f>IFERROR(IF(ISNUMBER(B2324),MAX(B2324,IFERROR(H2323,B2324)),""),"")</f>
        <v/>
      </c>
      <c r="I2324" s="29">
        <f>IFERROR(IF(AND(ISNUMBER(B2324),ISNUMBER(H2324)),B2324/H2324-1,""),"")</f>
        <v/>
      </c>
      <c r="J2324" s="8">
        <f>IFERROR(IF(ISNUMBER(C2324),MAX(C2324,IFERROR(J2323,C2324)),""),"")</f>
        <v/>
      </c>
      <c r="K2324" s="29">
        <f>IFERROR(IF(AND(ISNUMBER(C2324),ISNUMBER(J2324)),C2324/J2324-1,""),"")</f>
        <v/>
      </c>
      <c r="L2324" s="28">
        <f>IFERROR(IF(AND(ISNUMBER(D2324),ISNUMBER(E2324)),D2324-E2324,""),"")</f>
        <v/>
      </c>
    </row>
    <row r="2325">
      <c r="A2325" s="7">
        <f>IFERROR(Datos!A2325,"")</f>
        <v/>
      </c>
      <c r="B2325" s="8">
        <f>IFERROR(Datos!B2325,"")</f>
        <v/>
      </c>
      <c r="C2325" s="8">
        <f>IFERROR(Datos!C2325,"")</f>
        <v/>
      </c>
      <c r="D2325" s="28">
        <f>IFERROR(IF(AND(ISNUMBER(B2325),ISNUMBER(B2324),B2324&lt;&gt;0),B2325/B2324-1,""),"")</f>
        <v/>
      </c>
      <c r="E2325" s="28">
        <f>IFERROR(IF(AND(ISNUMBER(C2325),ISNUMBER(C2324),C2324&lt;&gt;0),C2325/C2324-1,""),"")</f>
        <v/>
      </c>
      <c r="F2325" s="28">
        <f>IFERROR(D2325-Dashboard!$B$4/252,"")</f>
        <v/>
      </c>
      <c r="G2325" s="28">
        <f>IFERROR(E2325-Dashboard!$B$4/252,"")</f>
        <v/>
      </c>
      <c r="H2325" s="8">
        <f>IFERROR(IF(ISNUMBER(B2325),MAX(B2325,IFERROR(H2324,B2325)),""),"")</f>
        <v/>
      </c>
      <c r="I2325" s="29">
        <f>IFERROR(IF(AND(ISNUMBER(B2325),ISNUMBER(H2325)),B2325/H2325-1,""),"")</f>
        <v/>
      </c>
      <c r="J2325" s="8">
        <f>IFERROR(IF(ISNUMBER(C2325),MAX(C2325,IFERROR(J2324,C2325)),""),"")</f>
        <v/>
      </c>
      <c r="K2325" s="29">
        <f>IFERROR(IF(AND(ISNUMBER(C2325),ISNUMBER(J2325)),C2325/J2325-1,""),"")</f>
        <v/>
      </c>
      <c r="L2325" s="28">
        <f>IFERROR(IF(AND(ISNUMBER(D2325),ISNUMBER(E2325)),D2325-E2325,""),"")</f>
        <v/>
      </c>
    </row>
    <row r="2326">
      <c r="A2326" s="7">
        <f>IFERROR(Datos!A2326,"")</f>
        <v/>
      </c>
      <c r="B2326" s="8">
        <f>IFERROR(Datos!B2326,"")</f>
        <v/>
      </c>
      <c r="C2326" s="8">
        <f>IFERROR(Datos!C2326,"")</f>
        <v/>
      </c>
      <c r="D2326" s="28">
        <f>IFERROR(IF(AND(ISNUMBER(B2326),ISNUMBER(B2325),B2325&lt;&gt;0),B2326/B2325-1,""),"")</f>
        <v/>
      </c>
      <c r="E2326" s="28">
        <f>IFERROR(IF(AND(ISNUMBER(C2326),ISNUMBER(C2325),C2325&lt;&gt;0),C2326/C2325-1,""),"")</f>
        <v/>
      </c>
      <c r="F2326" s="28">
        <f>IFERROR(D2326-Dashboard!$B$4/252,"")</f>
        <v/>
      </c>
      <c r="G2326" s="28">
        <f>IFERROR(E2326-Dashboard!$B$4/252,"")</f>
        <v/>
      </c>
      <c r="H2326" s="8">
        <f>IFERROR(IF(ISNUMBER(B2326),MAX(B2326,IFERROR(H2325,B2326)),""),"")</f>
        <v/>
      </c>
      <c r="I2326" s="29">
        <f>IFERROR(IF(AND(ISNUMBER(B2326),ISNUMBER(H2326)),B2326/H2326-1,""),"")</f>
        <v/>
      </c>
      <c r="J2326" s="8">
        <f>IFERROR(IF(ISNUMBER(C2326),MAX(C2326,IFERROR(J2325,C2326)),""),"")</f>
        <v/>
      </c>
      <c r="K2326" s="29">
        <f>IFERROR(IF(AND(ISNUMBER(C2326),ISNUMBER(J2326)),C2326/J2326-1,""),"")</f>
        <v/>
      </c>
      <c r="L2326" s="28">
        <f>IFERROR(IF(AND(ISNUMBER(D2326),ISNUMBER(E2326)),D2326-E2326,""),"")</f>
        <v/>
      </c>
    </row>
    <row r="2327">
      <c r="A2327" s="7">
        <f>IFERROR(Datos!A2327,"")</f>
        <v/>
      </c>
      <c r="B2327" s="8">
        <f>IFERROR(Datos!B2327,"")</f>
        <v/>
      </c>
      <c r="C2327" s="8">
        <f>IFERROR(Datos!C2327,"")</f>
        <v/>
      </c>
      <c r="D2327" s="28">
        <f>IFERROR(IF(AND(ISNUMBER(B2327),ISNUMBER(B2326),B2326&lt;&gt;0),B2327/B2326-1,""),"")</f>
        <v/>
      </c>
      <c r="E2327" s="28">
        <f>IFERROR(IF(AND(ISNUMBER(C2327),ISNUMBER(C2326),C2326&lt;&gt;0),C2327/C2326-1,""),"")</f>
        <v/>
      </c>
      <c r="F2327" s="28">
        <f>IFERROR(D2327-Dashboard!$B$4/252,"")</f>
        <v/>
      </c>
      <c r="G2327" s="28">
        <f>IFERROR(E2327-Dashboard!$B$4/252,"")</f>
        <v/>
      </c>
      <c r="H2327" s="8">
        <f>IFERROR(IF(ISNUMBER(B2327),MAX(B2327,IFERROR(H2326,B2327)),""),"")</f>
        <v/>
      </c>
      <c r="I2327" s="29">
        <f>IFERROR(IF(AND(ISNUMBER(B2327),ISNUMBER(H2327)),B2327/H2327-1,""),"")</f>
        <v/>
      </c>
      <c r="J2327" s="8">
        <f>IFERROR(IF(ISNUMBER(C2327),MAX(C2327,IFERROR(J2326,C2327)),""),"")</f>
        <v/>
      </c>
      <c r="K2327" s="29">
        <f>IFERROR(IF(AND(ISNUMBER(C2327),ISNUMBER(J2327)),C2327/J2327-1,""),"")</f>
        <v/>
      </c>
      <c r="L2327" s="28">
        <f>IFERROR(IF(AND(ISNUMBER(D2327),ISNUMBER(E2327)),D2327-E2327,""),"")</f>
        <v/>
      </c>
    </row>
    <row r="2328">
      <c r="A2328" s="7">
        <f>IFERROR(Datos!A2328,"")</f>
        <v/>
      </c>
      <c r="B2328" s="8">
        <f>IFERROR(Datos!B2328,"")</f>
        <v/>
      </c>
      <c r="C2328" s="8">
        <f>IFERROR(Datos!C2328,"")</f>
        <v/>
      </c>
      <c r="D2328" s="28">
        <f>IFERROR(IF(AND(ISNUMBER(B2328),ISNUMBER(B2327),B2327&lt;&gt;0),B2328/B2327-1,""),"")</f>
        <v/>
      </c>
      <c r="E2328" s="28">
        <f>IFERROR(IF(AND(ISNUMBER(C2328),ISNUMBER(C2327),C2327&lt;&gt;0),C2328/C2327-1,""),"")</f>
        <v/>
      </c>
      <c r="F2328" s="28">
        <f>IFERROR(D2328-Dashboard!$B$4/252,"")</f>
        <v/>
      </c>
      <c r="G2328" s="28">
        <f>IFERROR(E2328-Dashboard!$B$4/252,"")</f>
        <v/>
      </c>
      <c r="H2328" s="8">
        <f>IFERROR(IF(ISNUMBER(B2328),MAX(B2328,IFERROR(H2327,B2328)),""),"")</f>
        <v/>
      </c>
      <c r="I2328" s="29">
        <f>IFERROR(IF(AND(ISNUMBER(B2328),ISNUMBER(H2328)),B2328/H2328-1,""),"")</f>
        <v/>
      </c>
      <c r="J2328" s="8">
        <f>IFERROR(IF(ISNUMBER(C2328),MAX(C2328,IFERROR(J2327,C2328)),""),"")</f>
        <v/>
      </c>
      <c r="K2328" s="29">
        <f>IFERROR(IF(AND(ISNUMBER(C2328),ISNUMBER(J2328)),C2328/J2328-1,""),"")</f>
        <v/>
      </c>
      <c r="L2328" s="28">
        <f>IFERROR(IF(AND(ISNUMBER(D2328),ISNUMBER(E2328)),D2328-E2328,""),"")</f>
        <v/>
      </c>
    </row>
    <row r="2329">
      <c r="A2329" s="7">
        <f>IFERROR(Datos!A2329,"")</f>
        <v/>
      </c>
      <c r="B2329" s="8">
        <f>IFERROR(Datos!B2329,"")</f>
        <v/>
      </c>
      <c r="C2329" s="8">
        <f>IFERROR(Datos!C2329,"")</f>
        <v/>
      </c>
      <c r="D2329" s="28">
        <f>IFERROR(IF(AND(ISNUMBER(B2329),ISNUMBER(B2328),B2328&lt;&gt;0),B2329/B2328-1,""),"")</f>
        <v/>
      </c>
      <c r="E2329" s="28">
        <f>IFERROR(IF(AND(ISNUMBER(C2329),ISNUMBER(C2328),C2328&lt;&gt;0),C2329/C2328-1,""),"")</f>
        <v/>
      </c>
      <c r="F2329" s="28">
        <f>IFERROR(D2329-Dashboard!$B$4/252,"")</f>
        <v/>
      </c>
      <c r="G2329" s="28">
        <f>IFERROR(E2329-Dashboard!$B$4/252,"")</f>
        <v/>
      </c>
      <c r="H2329" s="8">
        <f>IFERROR(IF(ISNUMBER(B2329),MAX(B2329,IFERROR(H2328,B2329)),""),"")</f>
        <v/>
      </c>
      <c r="I2329" s="29">
        <f>IFERROR(IF(AND(ISNUMBER(B2329),ISNUMBER(H2329)),B2329/H2329-1,""),"")</f>
        <v/>
      </c>
      <c r="J2329" s="8">
        <f>IFERROR(IF(ISNUMBER(C2329),MAX(C2329,IFERROR(J2328,C2329)),""),"")</f>
        <v/>
      </c>
      <c r="K2329" s="29">
        <f>IFERROR(IF(AND(ISNUMBER(C2329),ISNUMBER(J2329)),C2329/J2329-1,""),"")</f>
        <v/>
      </c>
      <c r="L2329" s="28">
        <f>IFERROR(IF(AND(ISNUMBER(D2329),ISNUMBER(E2329)),D2329-E2329,""),"")</f>
        <v/>
      </c>
    </row>
    <row r="2330">
      <c r="A2330" s="7">
        <f>IFERROR(Datos!A2330,"")</f>
        <v/>
      </c>
      <c r="B2330" s="8">
        <f>IFERROR(Datos!B2330,"")</f>
        <v/>
      </c>
      <c r="C2330" s="8">
        <f>IFERROR(Datos!C2330,"")</f>
        <v/>
      </c>
      <c r="D2330" s="28">
        <f>IFERROR(IF(AND(ISNUMBER(B2330),ISNUMBER(B2329),B2329&lt;&gt;0),B2330/B2329-1,""),"")</f>
        <v/>
      </c>
      <c r="E2330" s="28">
        <f>IFERROR(IF(AND(ISNUMBER(C2330),ISNUMBER(C2329),C2329&lt;&gt;0),C2330/C2329-1,""),"")</f>
        <v/>
      </c>
      <c r="F2330" s="28">
        <f>IFERROR(D2330-Dashboard!$B$4/252,"")</f>
        <v/>
      </c>
      <c r="G2330" s="28">
        <f>IFERROR(E2330-Dashboard!$B$4/252,"")</f>
        <v/>
      </c>
      <c r="H2330" s="8">
        <f>IFERROR(IF(ISNUMBER(B2330),MAX(B2330,IFERROR(H2329,B2330)),""),"")</f>
        <v/>
      </c>
      <c r="I2330" s="29">
        <f>IFERROR(IF(AND(ISNUMBER(B2330),ISNUMBER(H2330)),B2330/H2330-1,""),"")</f>
        <v/>
      </c>
      <c r="J2330" s="8">
        <f>IFERROR(IF(ISNUMBER(C2330),MAX(C2330,IFERROR(J2329,C2330)),""),"")</f>
        <v/>
      </c>
      <c r="K2330" s="29">
        <f>IFERROR(IF(AND(ISNUMBER(C2330),ISNUMBER(J2330)),C2330/J2330-1,""),"")</f>
        <v/>
      </c>
      <c r="L2330" s="28">
        <f>IFERROR(IF(AND(ISNUMBER(D2330),ISNUMBER(E2330)),D2330-E2330,""),"")</f>
        <v/>
      </c>
    </row>
    <row r="2331">
      <c r="A2331" s="7">
        <f>IFERROR(Datos!A2331,"")</f>
        <v/>
      </c>
      <c r="B2331" s="8">
        <f>IFERROR(Datos!B2331,"")</f>
        <v/>
      </c>
      <c r="C2331" s="8">
        <f>IFERROR(Datos!C2331,"")</f>
        <v/>
      </c>
      <c r="D2331" s="28">
        <f>IFERROR(IF(AND(ISNUMBER(B2331),ISNUMBER(B2330),B2330&lt;&gt;0),B2331/B2330-1,""),"")</f>
        <v/>
      </c>
      <c r="E2331" s="28">
        <f>IFERROR(IF(AND(ISNUMBER(C2331),ISNUMBER(C2330),C2330&lt;&gt;0),C2331/C2330-1,""),"")</f>
        <v/>
      </c>
      <c r="F2331" s="28">
        <f>IFERROR(D2331-Dashboard!$B$4/252,"")</f>
        <v/>
      </c>
      <c r="G2331" s="28">
        <f>IFERROR(E2331-Dashboard!$B$4/252,"")</f>
        <v/>
      </c>
      <c r="H2331" s="8">
        <f>IFERROR(IF(ISNUMBER(B2331),MAX(B2331,IFERROR(H2330,B2331)),""),"")</f>
        <v/>
      </c>
      <c r="I2331" s="29">
        <f>IFERROR(IF(AND(ISNUMBER(B2331),ISNUMBER(H2331)),B2331/H2331-1,""),"")</f>
        <v/>
      </c>
      <c r="J2331" s="8">
        <f>IFERROR(IF(ISNUMBER(C2331),MAX(C2331,IFERROR(J2330,C2331)),""),"")</f>
        <v/>
      </c>
      <c r="K2331" s="29">
        <f>IFERROR(IF(AND(ISNUMBER(C2331),ISNUMBER(J2331)),C2331/J2331-1,""),"")</f>
        <v/>
      </c>
      <c r="L2331" s="28">
        <f>IFERROR(IF(AND(ISNUMBER(D2331),ISNUMBER(E2331)),D2331-E2331,""),"")</f>
        <v/>
      </c>
    </row>
    <row r="2332">
      <c r="A2332" s="7">
        <f>IFERROR(Datos!A2332,"")</f>
        <v/>
      </c>
      <c r="B2332" s="8">
        <f>IFERROR(Datos!B2332,"")</f>
        <v/>
      </c>
      <c r="C2332" s="8">
        <f>IFERROR(Datos!C2332,"")</f>
        <v/>
      </c>
      <c r="D2332" s="28">
        <f>IFERROR(IF(AND(ISNUMBER(B2332),ISNUMBER(B2331),B2331&lt;&gt;0),B2332/B2331-1,""),"")</f>
        <v/>
      </c>
      <c r="E2332" s="28">
        <f>IFERROR(IF(AND(ISNUMBER(C2332),ISNUMBER(C2331),C2331&lt;&gt;0),C2332/C2331-1,""),"")</f>
        <v/>
      </c>
      <c r="F2332" s="28">
        <f>IFERROR(D2332-Dashboard!$B$4/252,"")</f>
        <v/>
      </c>
      <c r="G2332" s="28">
        <f>IFERROR(E2332-Dashboard!$B$4/252,"")</f>
        <v/>
      </c>
      <c r="H2332" s="8">
        <f>IFERROR(IF(ISNUMBER(B2332),MAX(B2332,IFERROR(H2331,B2332)),""),"")</f>
        <v/>
      </c>
      <c r="I2332" s="29">
        <f>IFERROR(IF(AND(ISNUMBER(B2332),ISNUMBER(H2332)),B2332/H2332-1,""),"")</f>
        <v/>
      </c>
      <c r="J2332" s="8">
        <f>IFERROR(IF(ISNUMBER(C2332),MAX(C2332,IFERROR(J2331,C2332)),""),"")</f>
        <v/>
      </c>
      <c r="K2332" s="29">
        <f>IFERROR(IF(AND(ISNUMBER(C2332),ISNUMBER(J2332)),C2332/J2332-1,""),"")</f>
        <v/>
      </c>
      <c r="L2332" s="28">
        <f>IFERROR(IF(AND(ISNUMBER(D2332),ISNUMBER(E2332)),D2332-E2332,""),"")</f>
        <v/>
      </c>
    </row>
    <row r="2333">
      <c r="A2333" s="7">
        <f>IFERROR(Datos!A2333,"")</f>
        <v/>
      </c>
      <c r="B2333" s="8">
        <f>IFERROR(Datos!B2333,"")</f>
        <v/>
      </c>
      <c r="C2333" s="8">
        <f>IFERROR(Datos!C2333,"")</f>
        <v/>
      </c>
      <c r="D2333" s="28">
        <f>IFERROR(IF(AND(ISNUMBER(B2333),ISNUMBER(B2332),B2332&lt;&gt;0),B2333/B2332-1,""),"")</f>
        <v/>
      </c>
      <c r="E2333" s="28">
        <f>IFERROR(IF(AND(ISNUMBER(C2333),ISNUMBER(C2332),C2332&lt;&gt;0),C2333/C2332-1,""),"")</f>
        <v/>
      </c>
      <c r="F2333" s="28">
        <f>IFERROR(D2333-Dashboard!$B$4/252,"")</f>
        <v/>
      </c>
      <c r="G2333" s="28">
        <f>IFERROR(E2333-Dashboard!$B$4/252,"")</f>
        <v/>
      </c>
      <c r="H2333" s="8">
        <f>IFERROR(IF(ISNUMBER(B2333),MAX(B2333,IFERROR(H2332,B2333)),""),"")</f>
        <v/>
      </c>
      <c r="I2333" s="29">
        <f>IFERROR(IF(AND(ISNUMBER(B2333),ISNUMBER(H2333)),B2333/H2333-1,""),"")</f>
        <v/>
      </c>
      <c r="J2333" s="8">
        <f>IFERROR(IF(ISNUMBER(C2333),MAX(C2333,IFERROR(J2332,C2333)),""),"")</f>
        <v/>
      </c>
      <c r="K2333" s="29">
        <f>IFERROR(IF(AND(ISNUMBER(C2333),ISNUMBER(J2333)),C2333/J2333-1,""),"")</f>
        <v/>
      </c>
      <c r="L2333" s="28">
        <f>IFERROR(IF(AND(ISNUMBER(D2333),ISNUMBER(E2333)),D2333-E2333,""),"")</f>
        <v/>
      </c>
    </row>
    <row r="2334">
      <c r="A2334" s="7">
        <f>IFERROR(Datos!A2334,"")</f>
        <v/>
      </c>
      <c r="B2334" s="8">
        <f>IFERROR(Datos!B2334,"")</f>
        <v/>
      </c>
      <c r="C2334" s="8">
        <f>IFERROR(Datos!C2334,"")</f>
        <v/>
      </c>
      <c r="D2334" s="28">
        <f>IFERROR(IF(AND(ISNUMBER(B2334),ISNUMBER(B2333),B2333&lt;&gt;0),B2334/B2333-1,""),"")</f>
        <v/>
      </c>
      <c r="E2334" s="28">
        <f>IFERROR(IF(AND(ISNUMBER(C2334),ISNUMBER(C2333),C2333&lt;&gt;0),C2334/C2333-1,""),"")</f>
        <v/>
      </c>
      <c r="F2334" s="28">
        <f>IFERROR(D2334-Dashboard!$B$4/252,"")</f>
        <v/>
      </c>
      <c r="G2334" s="28">
        <f>IFERROR(E2334-Dashboard!$B$4/252,"")</f>
        <v/>
      </c>
      <c r="H2334" s="8">
        <f>IFERROR(IF(ISNUMBER(B2334),MAX(B2334,IFERROR(H2333,B2334)),""),"")</f>
        <v/>
      </c>
      <c r="I2334" s="29">
        <f>IFERROR(IF(AND(ISNUMBER(B2334),ISNUMBER(H2334)),B2334/H2334-1,""),"")</f>
        <v/>
      </c>
      <c r="J2334" s="8">
        <f>IFERROR(IF(ISNUMBER(C2334),MAX(C2334,IFERROR(J2333,C2334)),""),"")</f>
        <v/>
      </c>
      <c r="K2334" s="29">
        <f>IFERROR(IF(AND(ISNUMBER(C2334),ISNUMBER(J2334)),C2334/J2334-1,""),"")</f>
        <v/>
      </c>
      <c r="L2334" s="28">
        <f>IFERROR(IF(AND(ISNUMBER(D2334),ISNUMBER(E2334)),D2334-E2334,""),"")</f>
        <v/>
      </c>
    </row>
    <row r="2335">
      <c r="A2335" s="7">
        <f>IFERROR(Datos!A2335,"")</f>
        <v/>
      </c>
      <c r="B2335" s="8">
        <f>IFERROR(Datos!B2335,"")</f>
        <v/>
      </c>
      <c r="C2335" s="8">
        <f>IFERROR(Datos!C2335,"")</f>
        <v/>
      </c>
      <c r="D2335" s="28">
        <f>IFERROR(IF(AND(ISNUMBER(B2335),ISNUMBER(B2334),B2334&lt;&gt;0),B2335/B2334-1,""),"")</f>
        <v/>
      </c>
      <c r="E2335" s="28">
        <f>IFERROR(IF(AND(ISNUMBER(C2335),ISNUMBER(C2334),C2334&lt;&gt;0),C2335/C2334-1,""),"")</f>
        <v/>
      </c>
      <c r="F2335" s="28">
        <f>IFERROR(D2335-Dashboard!$B$4/252,"")</f>
        <v/>
      </c>
      <c r="G2335" s="28">
        <f>IFERROR(E2335-Dashboard!$B$4/252,"")</f>
        <v/>
      </c>
      <c r="H2335" s="8">
        <f>IFERROR(IF(ISNUMBER(B2335),MAX(B2335,IFERROR(H2334,B2335)),""),"")</f>
        <v/>
      </c>
      <c r="I2335" s="29">
        <f>IFERROR(IF(AND(ISNUMBER(B2335),ISNUMBER(H2335)),B2335/H2335-1,""),"")</f>
        <v/>
      </c>
      <c r="J2335" s="8">
        <f>IFERROR(IF(ISNUMBER(C2335),MAX(C2335,IFERROR(J2334,C2335)),""),"")</f>
        <v/>
      </c>
      <c r="K2335" s="29">
        <f>IFERROR(IF(AND(ISNUMBER(C2335),ISNUMBER(J2335)),C2335/J2335-1,""),"")</f>
        <v/>
      </c>
      <c r="L2335" s="28">
        <f>IFERROR(IF(AND(ISNUMBER(D2335),ISNUMBER(E2335)),D2335-E2335,""),"")</f>
        <v/>
      </c>
    </row>
    <row r="2336">
      <c r="A2336" s="7">
        <f>IFERROR(Datos!A2336,"")</f>
        <v/>
      </c>
      <c r="B2336" s="8">
        <f>IFERROR(Datos!B2336,"")</f>
        <v/>
      </c>
      <c r="C2336" s="8">
        <f>IFERROR(Datos!C2336,"")</f>
        <v/>
      </c>
      <c r="D2336" s="28">
        <f>IFERROR(IF(AND(ISNUMBER(B2336),ISNUMBER(B2335),B2335&lt;&gt;0),B2336/B2335-1,""),"")</f>
        <v/>
      </c>
      <c r="E2336" s="28">
        <f>IFERROR(IF(AND(ISNUMBER(C2336),ISNUMBER(C2335),C2335&lt;&gt;0),C2336/C2335-1,""),"")</f>
        <v/>
      </c>
      <c r="F2336" s="28">
        <f>IFERROR(D2336-Dashboard!$B$4/252,"")</f>
        <v/>
      </c>
      <c r="G2336" s="28">
        <f>IFERROR(E2336-Dashboard!$B$4/252,"")</f>
        <v/>
      </c>
      <c r="H2336" s="8">
        <f>IFERROR(IF(ISNUMBER(B2336),MAX(B2336,IFERROR(H2335,B2336)),""),"")</f>
        <v/>
      </c>
      <c r="I2336" s="29">
        <f>IFERROR(IF(AND(ISNUMBER(B2336),ISNUMBER(H2336)),B2336/H2336-1,""),"")</f>
        <v/>
      </c>
      <c r="J2336" s="8">
        <f>IFERROR(IF(ISNUMBER(C2336),MAX(C2336,IFERROR(J2335,C2336)),""),"")</f>
        <v/>
      </c>
      <c r="K2336" s="29">
        <f>IFERROR(IF(AND(ISNUMBER(C2336),ISNUMBER(J2336)),C2336/J2336-1,""),"")</f>
        <v/>
      </c>
      <c r="L2336" s="28">
        <f>IFERROR(IF(AND(ISNUMBER(D2336),ISNUMBER(E2336)),D2336-E2336,""),"")</f>
        <v/>
      </c>
    </row>
    <row r="2337">
      <c r="A2337" s="7">
        <f>IFERROR(Datos!A2337,"")</f>
        <v/>
      </c>
      <c r="B2337" s="8">
        <f>IFERROR(Datos!B2337,"")</f>
        <v/>
      </c>
      <c r="C2337" s="8">
        <f>IFERROR(Datos!C2337,"")</f>
        <v/>
      </c>
      <c r="D2337" s="28">
        <f>IFERROR(IF(AND(ISNUMBER(B2337),ISNUMBER(B2336),B2336&lt;&gt;0),B2337/B2336-1,""),"")</f>
        <v/>
      </c>
      <c r="E2337" s="28">
        <f>IFERROR(IF(AND(ISNUMBER(C2337),ISNUMBER(C2336),C2336&lt;&gt;0),C2337/C2336-1,""),"")</f>
        <v/>
      </c>
      <c r="F2337" s="28">
        <f>IFERROR(D2337-Dashboard!$B$4/252,"")</f>
        <v/>
      </c>
      <c r="G2337" s="28">
        <f>IFERROR(E2337-Dashboard!$B$4/252,"")</f>
        <v/>
      </c>
      <c r="H2337" s="8">
        <f>IFERROR(IF(ISNUMBER(B2337),MAX(B2337,IFERROR(H2336,B2337)),""),"")</f>
        <v/>
      </c>
      <c r="I2337" s="29">
        <f>IFERROR(IF(AND(ISNUMBER(B2337),ISNUMBER(H2337)),B2337/H2337-1,""),"")</f>
        <v/>
      </c>
      <c r="J2337" s="8">
        <f>IFERROR(IF(ISNUMBER(C2337),MAX(C2337,IFERROR(J2336,C2337)),""),"")</f>
        <v/>
      </c>
      <c r="K2337" s="29">
        <f>IFERROR(IF(AND(ISNUMBER(C2337),ISNUMBER(J2337)),C2337/J2337-1,""),"")</f>
        <v/>
      </c>
      <c r="L2337" s="28">
        <f>IFERROR(IF(AND(ISNUMBER(D2337),ISNUMBER(E2337)),D2337-E2337,""),"")</f>
        <v/>
      </c>
    </row>
    <row r="2338">
      <c r="A2338" s="7">
        <f>IFERROR(Datos!A2338,"")</f>
        <v/>
      </c>
      <c r="B2338" s="8">
        <f>IFERROR(Datos!B2338,"")</f>
        <v/>
      </c>
      <c r="C2338" s="8">
        <f>IFERROR(Datos!C2338,"")</f>
        <v/>
      </c>
      <c r="D2338" s="28">
        <f>IFERROR(IF(AND(ISNUMBER(B2338),ISNUMBER(B2337),B2337&lt;&gt;0),B2338/B2337-1,""),"")</f>
        <v/>
      </c>
      <c r="E2338" s="28">
        <f>IFERROR(IF(AND(ISNUMBER(C2338),ISNUMBER(C2337),C2337&lt;&gt;0),C2338/C2337-1,""),"")</f>
        <v/>
      </c>
      <c r="F2338" s="28">
        <f>IFERROR(D2338-Dashboard!$B$4/252,"")</f>
        <v/>
      </c>
      <c r="G2338" s="28">
        <f>IFERROR(E2338-Dashboard!$B$4/252,"")</f>
        <v/>
      </c>
      <c r="H2338" s="8">
        <f>IFERROR(IF(ISNUMBER(B2338),MAX(B2338,IFERROR(H2337,B2338)),""),"")</f>
        <v/>
      </c>
      <c r="I2338" s="29">
        <f>IFERROR(IF(AND(ISNUMBER(B2338),ISNUMBER(H2338)),B2338/H2338-1,""),"")</f>
        <v/>
      </c>
      <c r="J2338" s="8">
        <f>IFERROR(IF(ISNUMBER(C2338),MAX(C2338,IFERROR(J2337,C2338)),""),"")</f>
        <v/>
      </c>
      <c r="K2338" s="29">
        <f>IFERROR(IF(AND(ISNUMBER(C2338),ISNUMBER(J2338)),C2338/J2338-1,""),"")</f>
        <v/>
      </c>
      <c r="L2338" s="28">
        <f>IFERROR(IF(AND(ISNUMBER(D2338),ISNUMBER(E2338)),D2338-E2338,""),"")</f>
        <v/>
      </c>
    </row>
    <row r="2339">
      <c r="A2339" s="7">
        <f>IFERROR(Datos!A2339,"")</f>
        <v/>
      </c>
      <c r="B2339" s="8">
        <f>IFERROR(Datos!B2339,"")</f>
        <v/>
      </c>
      <c r="C2339" s="8">
        <f>IFERROR(Datos!C2339,"")</f>
        <v/>
      </c>
      <c r="D2339" s="28">
        <f>IFERROR(IF(AND(ISNUMBER(B2339),ISNUMBER(B2338),B2338&lt;&gt;0),B2339/B2338-1,""),"")</f>
        <v/>
      </c>
      <c r="E2339" s="28">
        <f>IFERROR(IF(AND(ISNUMBER(C2339),ISNUMBER(C2338),C2338&lt;&gt;0),C2339/C2338-1,""),"")</f>
        <v/>
      </c>
      <c r="F2339" s="28">
        <f>IFERROR(D2339-Dashboard!$B$4/252,"")</f>
        <v/>
      </c>
      <c r="G2339" s="28">
        <f>IFERROR(E2339-Dashboard!$B$4/252,"")</f>
        <v/>
      </c>
      <c r="H2339" s="8">
        <f>IFERROR(IF(ISNUMBER(B2339),MAX(B2339,IFERROR(H2338,B2339)),""),"")</f>
        <v/>
      </c>
      <c r="I2339" s="29">
        <f>IFERROR(IF(AND(ISNUMBER(B2339),ISNUMBER(H2339)),B2339/H2339-1,""),"")</f>
        <v/>
      </c>
      <c r="J2339" s="8">
        <f>IFERROR(IF(ISNUMBER(C2339),MAX(C2339,IFERROR(J2338,C2339)),""),"")</f>
        <v/>
      </c>
      <c r="K2339" s="29">
        <f>IFERROR(IF(AND(ISNUMBER(C2339),ISNUMBER(J2339)),C2339/J2339-1,""),"")</f>
        <v/>
      </c>
      <c r="L2339" s="28">
        <f>IFERROR(IF(AND(ISNUMBER(D2339),ISNUMBER(E2339)),D2339-E2339,""),"")</f>
        <v/>
      </c>
    </row>
    <row r="2340">
      <c r="A2340" s="7">
        <f>IFERROR(Datos!A2340,"")</f>
        <v/>
      </c>
      <c r="B2340" s="8">
        <f>IFERROR(Datos!B2340,"")</f>
        <v/>
      </c>
      <c r="C2340" s="8">
        <f>IFERROR(Datos!C2340,"")</f>
        <v/>
      </c>
      <c r="D2340" s="28">
        <f>IFERROR(IF(AND(ISNUMBER(B2340),ISNUMBER(B2339),B2339&lt;&gt;0),B2340/B2339-1,""),"")</f>
        <v/>
      </c>
      <c r="E2340" s="28">
        <f>IFERROR(IF(AND(ISNUMBER(C2340),ISNUMBER(C2339),C2339&lt;&gt;0),C2340/C2339-1,""),"")</f>
        <v/>
      </c>
      <c r="F2340" s="28">
        <f>IFERROR(D2340-Dashboard!$B$4/252,"")</f>
        <v/>
      </c>
      <c r="G2340" s="28">
        <f>IFERROR(E2340-Dashboard!$B$4/252,"")</f>
        <v/>
      </c>
      <c r="H2340" s="8">
        <f>IFERROR(IF(ISNUMBER(B2340),MAX(B2340,IFERROR(H2339,B2340)),""),"")</f>
        <v/>
      </c>
      <c r="I2340" s="29">
        <f>IFERROR(IF(AND(ISNUMBER(B2340),ISNUMBER(H2340)),B2340/H2340-1,""),"")</f>
        <v/>
      </c>
      <c r="J2340" s="8">
        <f>IFERROR(IF(ISNUMBER(C2340),MAX(C2340,IFERROR(J2339,C2340)),""),"")</f>
        <v/>
      </c>
      <c r="K2340" s="29">
        <f>IFERROR(IF(AND(ISNUMBER(C2340),ISNUMBER(J2340)),C2340/J2340-1,""),"")</f>
        <v/>
      </c>
      <c r="L2340" s="28">
        <f>IFERROR(IF(AND(ISNUMBER(D2340),ISNUMBER(E2340)),D2340-E2340,""),"")</f>
        <v/>
      </c>
    </row>
    <row r="2341">
      <c r="A2341" s="7">
        <f>IFERROR(Datos!A2341,"")</f>
        <v/>
      </c>
      <c r="B2341" s="8">
        <f>IFERROR(Datos!B2341,"")</f>
        <v/>
      </c>
      <c r="C2341" s="8">
        <f>IFERROR(Datos!C2341,"")</f>
        <v/>
      </c>
      <c r="D2341" s="28">
        <f>IFERROR(IF(AND(ISNUMBER(B2341),ISNUMBER(B2340),B2340&lt;&gt;0),B2341/B2340-1,""),"")</f>
        <v/>
      </c>
      <c r="E2341" s="28">
        <f>IFERROR(IF(AND(ISNUMBER(C2341),ISNUMBER(C2340),C2340&lt;&gt;0),C2341/C2340-1,""),"")</f>
        <v/>
      </c>
      <c r="F2341" s="28">
        <f>IFERROR(D2341-Dashboard!$B$4/252,"")</f>
        <v/>
      </c>
      <c r="G2341" s="28">
        <f>IFERROR(E2341-Dashboard!$B$4/252,"")</f>
        <v/>
      </c>
      <c r="H2341" s="8">
        <f>IFERROR(IF(ISNUMBER(B2341),MAX(B2341,IFERROR(H2340,B2341)),""),"")</f>
        <v/>
      </c>
      <c r="I2341" s="29">
        <f>IFERROR(IF(AND(ISNUMBER(B2341),ISNUMBER(H2341)),B2341/H2341-1,""),"")</f>
        <v/>
      </c>
      <c r="J2341" s="8">
        <f>IFERROR(IF(ISNUMBER(C2341),MAX(C2341,IFERROR(J2340,C2341)),""),"")</f>
        <v/>
      </c>
      <c r="K2341" s="29">
        <f>IFERROR(IF(AND(ISNUMBER(C2341),ISNUMBER(J2341)),C2341/J2341-1,""),"")</f>
        <v/>
      </c>
      <c r="L2341" s="28">
        <f>IFERROR(IF(AND(ISNUMBER(D2341),ISNUMBER(E2341)),D2341-E2341,""),"")</f>
        <v/>
      </c>
    </row>
    <row r="2342">
      <c r="A2342" s="7">
        <f>IFERROR(Datos!A2342,"")</f>
        <v/>
      </c>
      <c r="B2342" s="8">
        <f>IFERROR(Datos!B2342,"")</f>
        <v/>
      </c>
      <c r="C2342" s="8">
        <f>IFERROR(Datos!C2342,"")</f>
        <v/>
      </c>
      <c r="D2342" s="28">
        <f>IFERROR(IF(AND(ISNUMBER(B2342),ISNUMBER(B2341),B2341&lt;&gt;0),B2342/B2341-1,""),"")</f>
        <v/>
      </c>
      <c r="E2342" s="28">
        <f>IFERROR(IF(AND(ISNUMBER(C2342),ISNUMBER(C2341),C2341&lt;&gt;0),C2342/C2341-1,""),"")</f>
        <v/>
      </c>
      <c r="F2342" s="28">
        <f>IFERROR(D2342-Dashboard!$B$4/252,"")</f>
        <v/>
      </c>
      <c r="G2342" s="28">
        <f>IFERROR(E2342-Dashboard!$B$4/252,"")</f>
        <v/>
      </c>
      <c r="H2342" s="8">
        <f>IFERROR(IF(ISNUMBER(B2342),MAX(B2342,IFERROR(H2341,B2342)),""),"")</f>
        <v/>
      </c>
      <c r="I2342" s="29">
        <f>IFERROR(IF(AND(ISNUMBER(B2342),ISNUMBER(H2342)),B2342/H2342-1,""),"")</f>
        <v/>
      </c>
      <c r="J2342" s="8">
        <f>IFERROR(IF(ISNUMBER(C2342),MAX(C2342,IFERROR(J2341,C2342)),""),"")</f>
        <v/>
      </c>
      <c r="K2342" s="29">
        <f>IFERROR(IF(AND(ISNUMBER(C2342),ISNUMBER(J2342)),C2342/J2342-1,""),"")</f>
        <v/>
      </c>
      <c r="L2342" s="28">
        <f>IFERROR(IF(AND(ISNUMBER(D2342),ISNUMBER(E2342)),D2342-E2342,""),"")</f>
        <v/>
      </c>
    </row>
    <row r="2343">
      <c r="A2343" s="7">
        <f>IFERROR(Datos!A2343,"")</f>
        <v/>
      </c>
      <c r="B2343" s="8">
        <f>IFERROR(Datos!B2343,"")</f>
        <v/>
      </c>
      <c r="C2343" s="8">
        <f>IFERROR(Datos!C2343,"")</f>
        <v/>
      </c>
      <c r="D2343" s="28">
        <f>IFERROR(IF(AND(ISNUMBER(B2343),ISNUMBER(B2342),B2342&lt;&gt;0),B2343/B2342-1,""),"")</f>
        <v/>
      </c>
      <c r="E2343" s="28">
        <f>IFERROR(IF(AND(ISNUMBER(C2343),ISNUMBER(C2342),C2342&lt;&gt;0),C2343/C2342-1,""),"")</f>
        <v/>
      </c>
      <c r="F2343" s="28">
        <f>IFERROR(D2343-Dashboard!$B$4/252,"")</f>
        <v/>
      </c>
      <c r="G2343" s="28">
        <f>IFERROR(E2343-Dashboard!$B$4/252,"")</f>
        <v/>
      </c>
      <c r="H2343" s="8">
        <f>IFERROR(IF(ISNUMBER(B2343),MAX(B2343,IFERROR(H2342,B2343)),""),"")</f>
        <v/>
      </c>
      <c r="I2343" s="29">
        <f>IFERROR(IF(AND(ISNUMBER(B2343),ISNUMBER(H2343)),B2343/H2343-1,""),"")</f>
        <v/>
      </c>
      <c r="J2343" s="8">
        <f>IFERROR(IF(ISNUMBER(C2343),MAX(C2343,IFERROR(J2342,C2343)),""),"")</f>
        <v/>
      </c>
      <c r="K2343" s="29">
        <f>IFERROR(IF(AND(ISNUMBER(C2343),ISNUMBER(J2343)),C2343/J2343-1,""),"")</f>
        <v/>
      </c>
      <c r="L2343" s="28">
        <f>IFERROR(IF(AND(ISNUMBER(D2343),ISNUMBER(E2343)),D2343-E2343,""),"")</f>
        <v/>
      </c>
    </row>
    <row r="2344">
      <c r="A2344" s="7">
        <f>IFERROR(Datos!A2344,"")</f>
        <v/>
      </c>
      <c r="B2344" s="8">
        <f>IFERROR(Datos!B2344,"")</f>
        <v/>
      </c>
      <c r="C2344" s="8">
        <f>IFERROR(Datos!C2344,"")</f>
        <v/>
      </c>
      <c r="D2344" s="28">
        <f>IFERROR(IF(AND(ISNUMBER(B2344),ISNUMBER(B2343),B2343&lt;&gt;0),B2344/B2343-1,""),"")</f>
        <v/>
      </c>
      <c r="E2344" s="28">
        <f>IFERROR(IF(AND(ISNUMBER(C2344),ISNUMBER(C2343),C2343&lt;&gt;0),C2344/C2343-1,""),"")</f>
        <v/>
      </c>
      <c r="F2344" s="28">
        <f>IFERROR(D2344-Dashboard!$B$4/252,"")</f>
        <v/>
      </c>
      <c r="G2344" s="28">
        <f>IFERROR(E2344-Dashboard!$B$4/252,"")</f>
        <v/>
      </c>
      <c r="H2344" s="8">
        <f>IFERROR(IF(ISNUMBER(B2344),MAX(B2344,IFERROR(H2343,B2344)),""),"")</f>
        <v/>
      </c>
      <c r="I2344" s="29">
        <f>IFERROR(IF(AND(ISNUMBER(B2344),ISNUMBER(H2344)),B2344/H2344-1,""),"")</f>
        <v/>
      </c>
      <c r="J2344" s="8">
        <f>IFERROR(IF(ISNUMBER(C2344),MAX(C2344,IFERROR(J2343,C2344)),""),"")</f>
        <v/>
      </c>
      <c r="K2344" s="29">
        <f>IFERROR(IF(AND(ISNUMBER(C2344),ISNUMBER(J2344)),C2344/J2344-1,""),"")</f>
        <v/>
      </c>
      <c r="L2344" s="28">
        <f>IFERROR(IF(AND(ISNUMBER(D2344),ISNUMBER(E2344)),D2344-E2344,""),"")</f>
        <v/>
      </c>
    </row>
    <row r="2345">
      <c r="A2345" s="7">
        <f>IFERROR(Datos!A2345,"")</f>
        <v/>
      </c>
      <c r="B2345" s="8">
        <f>IFERROR(Datos!B2345,"")</f>
        <v/>
      </c>
      <c r="C2345" s="8">
        <f>IFERROR(Datos!C2345,"")</f>
        <v/>
      </c>
      <c r="D2345" s="28">
        <f>IFERROR(IF(AND(ISNUMBER(B2345),ISNUMBER(B2344),B2344&lt;&gt;0),B2345/B2344-1,""),"")</f>
        <v/>
      </c>
      <c r="E2345" s="28">
        <f>IFERROR(IF(AND(ISNUMBER(C2345),ISNUMBER(C2344),C2344&lt;&gt;0),C2345/C2344-1,""),"")</f>
        <v/>
      </c>
      <c r="F2345" s="28">
        <f>IFERROR(D2345-Dashboard!$B$4/252,"")</f>
        <v/>
      </c>
      <c r="G2345" s="28">
        <f>IFERROR(E2345-Dashboard!$B$4/252,"")</f>
        <v/>
      </c>
      <c r="H2345" s="8">
        <f>IFERROR(IF(ISNUMBER(B2345),MAX(B2345,IFERROR(H2344,B2345)),""),"")</f>
        <v/>
      </c>
      <c r="I2345" s="29">
        <f>IFERROR(IF(AND(ISNUMBER(B2345),ISNUMBER(H2345)),B2345/H2345-1,""),"")</f>
        <v/>
      </c>
      <c r="J2345" s="8">
        <f>IFERROR(IF(ISNUMBER(C2345),MAX(C2345,IFERROR(J2344,C2345)),""),"")</f>
        <v/>
      </c>
      <c r="K2345" s="29">
        <f>IFERROR(IF(AND(ISNUMBER(C2345),ISNUMBER(J2345)),C2345/J2345-1,""),"")</f>
        <v/>
      </c>
      <c r="L2345" s="28">
        <f>IFERROR(IF(AND(ISNUMBER(D2345),ISNUMBER(E2345)),D2345-E2345,""),"")</f>
        <v/>
      </c>
    </row>
    <row r="2346">
      <c r="A2346" s="7">
        <f>IFERROR(Datos!A2346,"")</f>
        <v/>
      </c>
      <c r="B2346" s="8">
        <f>IFERROR(Datos!B2346,"")</f>
        <v/>
      </c>
      <c r="C2346" s="8">
        <f>IFERROR(Datos!C2346,"")</f>
        <v/>
      </c>
      <c r="D2346" s="28">
        <f>IFERROR(IF(AND(ISNUMBER(B2346),ISNUMBER(B2345),B2345&lt;&gt;0),B2346/B2345-1,""),"")</f>
        <v/>
      </c>
      <c r="E2346" s="28">
        <f>IFERROR(IF(AND(ISNUMBER(C2346),ISNUMBER(C2345),C2345&lt;&gt;0),C2346/C2345-1,""),"")</f>
        <v/>
      </c>
      <c r="F2346" s="28">
        <f>IFERROR(D2346-Dashboard!$B$4/252,"")</f>
        <v/>
      </c>
      <c r="G2346" s="28">
        <f>IFERROR(E2346-Dashboard!$B$4/252,"")</f>
        <v/>
      </c>
      <c r="H2346" s="8">
        <f>IFERROR(IF(ISNUMBER(B2346),MAX(B2346,IFERROR(H2345,B2346)),""),"")</f>
        <v/>
      </c>
      <c r="I2346" s="29">
        <f>IFERROR(IF(AND(ISNUMBER(B2346),ISNUMBER(H2346)),B2346/H2346-1,""),"")</f>
        <v/>
      </c>
      <c r="J2346" s="8">
        <f>IFERROR(IF(ISNUMBER(C2346),MAX(C2346,IFERROR(J2345,C2346)),""),"")</f>
        <v/>
      </c>
      <c r="K2346" s="29">
        <f>IFERROR(IF(AND(ISNUMBER(C2346),ISNUMBER(J2346)),C2346/J2346-1,""),"")</f>
        <v/>
      </c>
      <c r="L2346" s="28">
        <f>IFERROR(IF(AND(ISNUMBER(D2346),ISNUMBER(E2346)),D2346-E2346,""),"")</f>
        <v/>
      </c>
    </row>
    <row r="2347">
      <c r="A2347" s="7">
        <f>IFERROR(Datos!A2347,"")</f>
        <v/>
      </c>
      <c r="B2347" s="8">
        <f>IFERROR(Datos!B2347,"")</f>
        <v/>
      </c>
      <c r="C2347" s="8">
        <f>IFERROR(Datos!C2347,"")</f>
        <v/>
      </c>
      <c r="D2347" s="28">
        <f>IFERROR(IF(AND(ISNUMBER(B2347),ISNUMBER(B2346),B2346&lt;&gt;0),B2347/B2346-1,""),"")</f>
        <v/>
      </c>
      <c r="E2347" s="28">
        <f>IFERROR(IF(AND(ISNUMBER(C2347),ISNUMBER(C2346),C2346&lt;&gt;0),C2347/C2346-1,""),"")</f>
        <v/>
      </c>
      <c r="F2347" s="28">
        <f>IFERROR(D2347-Dashboard!$B$4/252,"")</f>
        <v/>
      </c>
      <c r="G2347" s="28">
        <f>IFERROR(E2347-Dashboard!$B$4/252,"")</f>
        <v/>
      </c>
      <c r="H2347" s="8">
        <f>IFERROR(IF(ISNUMBER(B2347),MAX(B2347,IFERROR(H2346,B2347)),""),"")</f>
        <v/>
      </c>
      <c r="I2347" s="29">
        <f>IFERROR(IF(AND(ISNUMBER(B2347),ISNUMBER(H2347)),B2347/H2347-1,""),"")</f>
        <v/>
      </c>
      <c r="J2347" s="8">
        <f>IFERROR(IF(ISNUMBER(C2347),MAX(C2347,IFERROR(J2346,C2347)),""),"")</f>
        <v/>
      </c>
      <c r="K2347" s="29">
        <f>IFERROR(IF(AND(ISNUMBER(C2347),ISNUMBER(J2347)),C2347/J2347-1,""),"")</f>
        <v/>
      </c>
      <c r="L2347" s="28">
        <f>IFERROR(IF(AND(ISNUMBER(D2347),ISNUMBER(E2347)),D2347-E2347,""),"")</f>
        <v/>
      </c>
    </row>
    <row r="2348">
      <c r="A2348" s="7">
        <f>IFERROR(Datos!A2348,"")</f>
        <v/>
      </c>
      <c r="B2348" s="8">
        <f>IFERROR(Datos!B2348,"")</f>
        <v/>
      </c>
      <c r="C2348" s="8">
        <f>IFERROR(Datos!C2348,"")</f>
        <v/>
      </c>
      <c r="D2348" s="28">
        <f>IFERROR(IF(AND(ISNUMBER(B2348),ISNUMBER(B2347),B2347&lt;&gt;0),B2348/B2347-1,""),"")</f>
        <v/>
      </c>
      <c r="E2348" s="28">
        <f>IFERROR(IF(AND(ISNUMBER(C2348),ISNUMBER(C2347),C2347&lt;&gt;0),C2348/C2347-1,""),"")</f>
        <v/>
      </c>
      <c r="F2348" s="28">
        <f>IFERROR(D2348-Dashboard!$B$4/252,"")</f>
        <v/>
      </c>
      <c r="G2348" s="28">
        <f>IFERROR(E2348-Dashboard!$B$4/252,"")</f>
        <v/>
      </c>
      <c r="H2348" s="8">
        <f>IFERROR(IF(ISNUMBER(B2348),MAX(B2348,IFERROR(H2347,B2348)),""),"")</f>
        <v/>
      </c>
      <c r="I2348" s="29">
        <f>IFERROR(IF(AND(ISNUMBER(B2348),ISNUMBER(H2348)),B2348/H2348-1,""),"")</f>
        <v/>
      </c>
      <c r="J2348" s="8">
        <f>IFERROR(IF(ISNUMBER(C2348),MAX(C2348,IFERROR(J2347,C2348)),""),"")</f>
        <v/>
      </c>
      <c r="K2348" s="29">
        <f>IFERROR(IF(AND(ISNUMBER(C2348),ISNUMBER(J2348)),C2348/J2348-1,""),"")</f>
        <v/>
      </c>
      <c r="L2348" s="28">
        <f>IFERROR(IF(AND(ISNUMBER(D2348),ISNUMBER(E2348)),D2348-E2348,""),"")</f>
        <v/>
      </c>
    </row>
    <row r="2349">
      <c r="A2349" s="7">
        <f>IFERROR(Datos!A2349,"")</f>
        <v/>
      </c>
      <c r="B2349" s="8">
        <f>IFERROR(Datos!B2349,"")</f>
        <v/>
      </c>
      <c r="C2349" s="8">
        <f>IFERROR(Datos!C2349,"")</f>
        <v/>
      </c>
      <c r="D2349" s="28">
        <f>IFERROR(IF(AND(ISNUMBER(B2349),ISNUMBER(B2348),B2348&lt;&gt;0),B2349/B2348-1,""),"")</f>
        <v/>
      </c>
      <c r="E2349" s="28">
        <f>IFERROR(IF(AND(ISNUMBER(C2349),ISNUMBER(C2348),C2348&lt;&gt;0),C2349/C2348-1,""),"")</f>
        <v/>
      </c>
      <c r="F2349" s="28">
        <f>IFERROR(D2349-Dashboard!$B$4/252,"")</f>
        <v/>
      </c>
      <c r="G2349" s="28">
        <f>IFERROR(E2349-Dashboard!$B$4/252,"")</f>
        <v/>
      </c>
      <c r="H2349" s="8">
        <f>IFERROR(IF(ISNUMBER(B2349),MAX(B2349,IFERROR(H2348,B2349)),""),"")</f>
        <v/>
      </c>
      <c r="I2349" s="29">
        <f>IFERROR(IF(AND(ISNUMBER(B2349),ISNUMBER(H2349)),B2349/H2349-1,""),"")</f>
        <v/>
      </c>
      <c r="J2349" s="8">
        <f>IFERROR(IF(ISNUMBER(C2349),MAX(C2349,IFERROR(J2348,C2349)),""),"")</f>
        <v/>
      </c>
      <c r="K2349" s="29">
        <f>IFERROR(IF(AND(ISNUMBER(C2349),ISNUMBER(J2349)),C2349/J2349-1,""),"")</f>
        <v/>
      </c>
      <c r="L2349" s="28">
        <f>IFERROR(IF(AND(ISNUMBER(D2349),ISNUMBER(E2349)),D2349-E2349,""),"")</f>
        <v/>
      </c>
    </row>
    <row r="2350">
      <c r="A2350" s="7">
        <f>IFERROR(Datos!A2350,"")</f>
        <v/>
      </c>
      <c r="B2350" s="8">
        <f>IFERROR(Datos!B2350,"")</f>
        <v/>
      </c>
      <c r="C2350" s="8">
        <f>IFERROR(Datos!C2350,"")</f>
        <v/>
      </c>
      <c r="D2350" s="28">
        <f>IFERROR(IF(AND(ISNUMBER(B2350),ISNUMBER(B2349),B2349&lt;&gt;0),B2350/B2349-1,""),"")</f>
        <v/>
      </c>
      <c r="E2350" s="28">
        <f>IFERROR(IF(AND(ISNUMBER(C2350),ISNUMBER(C2349),C2349&lt;&gt;0),C2350/C2349-1,""),"")</f>
        <v/>
      </c>
      <c r="F2350" s="28">
        <f>IFERROR(D2350-Dashboard!$B$4/252,"")</f>
        <v/>
      </c>
      <c r="G2350" s="28">
        <f>IFERROR(E2350-Dashboard!$B$4/252,"")</f>
        <v/>
      </c>
      <c r="H2350" s="8">
        <f>IFERROR(IF(ISNUMBER(B2350),MAX(B2350,IFERROR(H2349,B2350)),""),"")</f>
        <v/>
      </c>
      <c r="I2350" s="29">
        <f>IFERROR(IF(AND(ISNUMBER(B2350),ISNUMBER(H2350)),B2350/H2350-1,""),"")</f>
        <v/>
      </c>
      <c r="J2350" s="8">
        <f>IFERROR(IF(ISNUMBER(C2350),MAX(C2350,IFERROR(J2349,C2350)),""),"")</f>
        <v/>
      </c>
      <c r="K2350" s="29">
        <f>IFERROR(IF(AND(ISNUMBER(C2350),ISNUMBER(J2350)),C2350/J2350-1,""),"")</f>
        <v/>
      </c>
      <c r="L2350" s="28">
        <f>IFERROR(IF(AND(ISNUMBER(D2350),ISNUMBER(E2350)),D2350-E2350,""),"")</f>
        <v/>
      </c>
    </row>
    <row r="2351">
      <c r="A2351" s="7">
        <f>IFERROR(Datos!A2351,"")</f>
        <v/>
      </c>
      <c r="B2351" s="8">
        <f>IFERROR(Datos!B2351,"")</f>
        <v/>
      </c>
      <c r="C2351" s="8">
        <f>IFERROR(Datos!C2351,"")</f>
        <v/>
      </c>
      <c r="D2351" s="28">
        <f>IFERROR(IF(AND(ISNUMBER(B2351),ISNUMBER(B2350),B2350&lt;&gt;0),B2351/B2350-1,""),"")</f>
        <v/>
      </c>
      <c r="E2351" s="28">
        <f>IFERROR(IF(AND(ISNUMBER(C2351),ISNUMBER(C2350),C2350&lt;&gt;0),C2351/C2350-1,""),"")</f>
        <v/>
      </c>
      <c r="F2351" s="28">
        <f>IFERROR(D2351-Dashboard!$B$4/252,"")</f>
        <v/>
      </c>
      <c r="G2351" s="28">
        <f>IFERROR(E2351-Dashboard!$B$4/252,"")</f>
        <v/>
      </c>
      <c r="H2351" s="8">
        <f>IFERROR(IF(ISNUMBER(B2351),MAX(B2351,IFERROR(H2350,B2351)),""),"")</f>
        <v/>
      </c>
      <c r="I2351" s="29">
        <f>IFERROR(IF(AND(ISNUMBER(B2351),ISNUMBER(H2351)),B2351/H2351-1,""),"")</f>
        <v/>
      </c>
      <c r="J2351" s="8">
        <f>IFERROR(IF(ISNUMBER(C2351),MAX(C2351,IFERROR(J2350,C2351)),""),"")</f>
        <v/>
      </c>
      <c r="K2351" s="29">
        <f>IFERROR(IF(AND(ISNUMBER(C2351),ISNUMBER(J2351)),C2351/J2351-1,""),"")</f>
        <v/>
      </c>
      <c r="L2351" s="28">
        <f>IFERROR(IF(AND(ISNUMBER(D2351),ISNUMBER(E2351)),D2351-E2351,""),"")</f>
        <v/>
      </c>
    </row>
    <row r="2352">
      <c r="A2352" s="7">
        <f>IFERROR(Datos!A2352,"")</f>
        <v/>
      </c>
      <c r="B2352" s="8">
        <f>IFERROR(Datos!B2352,"")</f>
        <v/>
      </c>
      <c r="C2352" s="8">
        <f>IFERROR(Datos!C2352,"")</f>
        <v/>
      </c>
      <c r="D2352" s="28">
        <f>IFERROR(IF(AND(ISNUMBER(B2352),ISNUMBER(B2351),B2351&lt;&gt;0),B2352/B2351-1,""),"")</f>
        <v/>
      </c>
      <c r="E2352" s="28">
        <f>IFERROR(IF(AND(ISNUMBER(C2352),ISNUMBER(C2351),C2351&lt;&gt;0),C2352/C2351-1,""),"")</f>
        <v/>
      </c>
      <c r="F2352" s="28">
        <f>IFERROR(D2352-Dashboard!$B$4/252,"")</f>
        <v/>
      </c>
      <c r="G2352" s="28">
        <f>IFERROR(E2352-Dashboard!$B$4/252,"")</f>
        <v/>
      </c>
      <c r="H2352" s="8">
        <f>IFERROR(IF(ISNUMBER(B2352),MAX(B2352,IFERROR(H2351,B2352)),""),"")</f>
        <v/>
      </c>
      <c r="I2352" s="29">
        <f>IFERROR(IF(AND(ISNUMBER(B2352),ISNUMBER(H2352)),B2352/H2352-1,""),"")</f>
        <v/>
      </c>
      <c r="J2352" s="8">
        <f>IFERROR(IF(ISNUMBER(C2352),MAX(C2352,IFERROR(J2351,C2352)),""),"")</f>
        <v/>
      </c>
      <c r="K2352" s="29">
        <f>IFERROR(IF(AND(ISNUMBER(C2352),ISNUMBER(J2352)),C2352/J2352-1,""),"")</f>
        <v/>
      </c>
      <c r="L2352" s="28">
        <f>IFERROR(IF(AND(ISNUMBER(D2352),ISNUMBER(E2352)),D2352-E2352,""),"")</f>
        <v/>
      </c>
    </row>
    <row r="2353">
      <c r="A2353" s="7">
        <f>IFERROR(Datos!A2353,"")</f>
        <v/>
      </c>
      <c r="B2353" s="8">
        <f>IFERROR(Datos!B2353,"")</f>
        <v/>
      </c>
      <c r="C2353" s="8">
        <f>IFERROR(Datos!C2353,"")</f>
        <v/>
      </c>
      <c r="D2353" s="28">
        <f>IFERROR(IF(AND(ISNUMBER(B2353),ISNUMBER(B2352),B2352&lt;&gt;0),B2353/B2352-1,""),"")</f>
        <v/>
      </c>
      <c r="E2353" s="28">
        <f>IFERROR(IF(AND(ISNUMBER(C2353),ISNUMBER(C2352),C2352&lt;&gt;0),C2353/C2352-1,""),"")</f>
        <v/>
      </c>
      <c r="F2353" s="28">
        <f>IFERROR(D2353-Dashboard!$B$4/252,"")</f>
        <v/>
      </c>
      <c r="G2353" s="28">
        <f>IFERROR(E2353-Dashboard!$B$4/252,"")</f>
        <v/>
      </c>
      <c r="H2353" s="8">
        <f>IFERROR(IF(ISNUMBER(B2353),MAX(B2353,IFERROR(H2352,B2353)),""),"")</f>
        <v/>
      </c>
      <c r="I2353" s="29">
        <f>IFERROR(IF(AND(ISNUMBER(B2353),ISNUMBER(H2353)),B2353/H2353-1,""),"")</f>
        <v/>
      </c>
      <c r="J2353" s="8">
        <f>IFERROR(IF(ISNUMBER(C2353),MAX(C2353,IFERROR(J2352,C2353)),""),"")</f>
        <v/>
      </c>
      <c r="K2353" s="29">
        <f>IFERROR(IF(AND(ISNUMBER(C2353),ISNUMBER(J2353)),C2353/J2353-1,""),"")</f>
        <v/>
      </c>
      <c r="L2353" s="28">
        <f>IFERROR(IF(AND(ISNUMBER(D2353),ISNUMBER(E2353)),D2353-E2353,""),"")</f>
        <v/>
      </c>
    </row>
    <row r="2354">
      <c r="A2354" s="7">
        <f>IFERROR(Datos!A2354,"")</f>
        <v/>
      </c>
      <c r="B2354" s="8">
        <f>IFERROR(Datos!B2354,"")</f>
        <v/>
      </c>
      <c r="C2354" s="8">
        <f>IFERROR(Datos!C2354,"")</f>
        <v/>
      </c>
      <c r="D2354" s="28">
        <f>IFERROR(IF(AND(ISNUMBER(B2354),ISNUMBER(B2353),B2353&lt;&gt;0),B2354/B2353-1,""),"")</f>
        <v/>
      </c>
      <c r="E2354" s="28">
        <f>IFERROR(IF(AND(ISNUMBER(C2354),ISNUMBER(C2353),C2353&lt;&gt;0),C2354/C2353-1,""),"")</f>
        <v/>
      </c>
      <c r="F2354" s="28">
        <f>IFERROR(D2354-Dashboard!$B$4/252,"")</f>
        <v/>
      </c>
      <c r="G2354" s="28">
        <f>IFERROR(E2354-Dashboard!$B$4/252,"")</f>
        <v/>
      </c>
      <c r="H2354" s="8">
        <f>IFERROR(IF(ISNUMBER(B2354),MAX(B2354,IFERROR(H2353,B2354)),""),"")</f>
        <v/>
      </c>
      <c r="I2354" s="29">
        <f>IFERROR(IF(AND(ISNUMBER(B2354),ISNUMBER(H2354)),B2354/H2354-1,""),"")</f>
        <v/>
      </c>
      <c r="J2354" s="8">
        <f>IFERROR(IF(ISNUMBER(C2354),MAX(C2354,IFERROR(J2353,C2354)),""),"")</f>
        <v/>
      </c>
      <c r="K2354" s="29">
        <f>IFERROR(IF(AND(ISNUMBER(C2354),ISNUMBER(J2354)),C2354/J2354-1,""),"")</f>
        <v/>
      </c>
      <c r="L2354" s="28">
        <f>IFERROR(IF(AND(ISNUMBER(D2354),ISNUMBER(E2354)),D2354-E2354,""),"")</f>
        <v/>
      </c>
    </row>
    <row r="2355">
      <c r="A2355" s="7">
        <f>IFERROR(Datos!A2355,"")</f>
        <v/>
      </c>
      <c r="B2355" s="8">
        <f>IFERROR(Datos!B2355,"")</f>
        <v/>
      </c>
      <c r="C2355" s="8">
        <f>IFERROR(Datos!C2355,"")</f>
        <v/>
      </c>
      <c r="D2355" s="28">
        <f>IFERROR(IF(AND(ISNUMBER(B2355),ISNUMBER(B2354),B2354&lt;&gt;0),B2355/B2354-1,""),"")</f>
        <v/>
      </c>
      <c r="E2355" s="28">
        <f>IFERROR(IF(AND(ISNUMBER(C2355),ISNUMBER(C2354),C2354&lt;&gt;0),C2355/C2354-1,""),"")</f>
        <v/>
      </c>
      <c r="F2355" s="28">
        <f>IFERROR(D2355-Dashboard!$B$4/252,"")</f>
        <v/>
      </c>
      <c r="G2355" s="28">
        <f>IFERROR(E2355-Dashboard!$B$4/252,"")</f>
        <v/>
      </c>
      <c r="H2355" s="8">
        <f>IFERROR(IF(ISNUMBER(B2355),MAX(B2355,IFERROR(H2354,B2355)),""),"")</f>
        <v/>
      </c>
      <c r="I2355" s="29">
        <f>IFERROR(IF(AND(ISNUMBER(B2355),ISNUMBER(H2355)),B2355/H2355-1,""),"")</f>
        <v/>
      </c>
      <c r="J2355" s="8">
        <f>IFERROR(IF(ISNUMBER(C2355),MAX(C2355,IFERROR(J2354,C2355)),""),"")</f>
        <v/>
      </c>
      <c r="K2355" s="29">
        <f>IFERROR(IF(AND(ISNUMBER(C2355),ISNUMBER(J2355)),C2355/J2355-1,""),"")</f>
        <v/>
      </c>
      <c r="L2355" s="28">
        <f>IFERROR(IF(AND(ISNUMBER(D2355),ISNUMBER(E2355)),D2355-E2355,""),"")</f>
        <v/>
      </c>
    </row>
    <row r="2356">
      <c r="A2356" s="7">
        <f>IFERROR(Datos!A2356,"")</f>
        <v/>
      </c>
      <c r="B2356" s="8">
        <f>IFERROR(Datos!B2356,"")</f>
        <v/>
      </c>
      <c r="C2356" s="8">
        <f>IFERROR(Datos!C2356,"")</f>
        <v/>
      </c>
      <c r="D2356" s="28">
        <f>IFERROR(IF(AND(ISNUMBER(B2356),ISNUMBER(B2355),B2355&lt;&gt;0),B2356/B2355-1,""),"")</f>
        <v/>
      </c>
      <c r="E2356" s="28">
        <f>IFERROR(IF(AND(ISNUMBER(C2356),ISNUMBER(C2355),C2355&lt;&gt;0),C2356/C2355-1,""),"")</f>
        <v/>
      </c>
      <c r="F2356" s="28">
        <f>IFERROR(D2356-Dashboard!$B$4/252,"")</f>
        <v/>
      </c>
      <c r="G2356" s="28">
        <f>IFERROR(E2356-Dashboard!$B$4/252,"")</f>
        <v/>
      </c>
      <c r="H2356" s="8">
        <f>IFERROR(IF(ISNUMBER(B2356),MAX(B2356,IFERROR(H2355,B2356)),""),"")</f>
        <v/>
      </c>
      <c r="I2356" s="29">
        <f>IFERROR(IF(AND(ISNUMBER(B2356),ISNUMBER(H2356)),B2356/H2356-1,""),"")</f>
        <v/>
      </c>
      <c r="J2356" s="8">
        <f>IFERROR(IF(ISNUMBER(C2356),MAX(C2356,IFERROR(J2355,C2356)),""),"")</f>
        <v/>
      </c>
      <c r="K2356" s="29">
        <f>IFERROR(IF(AND(ISNUMBER(C2356),ISNUMBER(J2356)),C2356/J2356-1,""),"")</f>
        <v/>
      </c>
      <c r="L2356" s="28">
        <f>IFERROR(IF(AND(ISNUMBER(D2356),ISNUMBER(E2356)),D2356-E2356,""),"")</f>
        <v/>
      </c>
    </row>
    <row r="2357">
      <c r="A2357" s="7">
        <f>IFERROR(Datos!A2357,"")</f>
        <v/>
      </c>
      <c r="B2357" s="8">
        <f>IFERROR(Datos!B2357,"")</f>
        <v/>
      </c>
      <c r="C2357" s="8">
        <f>IFERROR(Datos!C2357,"")</f>
        <v/>
      </c>
      <c r="D2357" s="28">
        <f>IFERROR(IF(AND(ISNUMBER(B2357),ISNUMBER(B2356),B2356&lt;&gt;0),B2357/B2356-1,""),"")</f>
        <v/>
      </c>
      <c r="E2357" s="28">
        <f>IFERROR(IF(AND(ISNUMBER(C2357),ISNUMBER(C2356),C2356&lt;&gt;0),C2357/C2356-1,""),"")</f>
        <v/>
      </c>
      <c r="F2357" s="28">
        <f>IFERROR(D2357-Dashboard!$B$4/252,"")</f>
        <v/>
      </c>
      <c r="G2357" s="28">
        <f>IFERROR(E2357-Dashboard!$B$4/252,"")</f>
        <v/>
      </c>
      <c r="H2357" s="8">
        <f>IFERROR(IF(ISNUMBER(B2357),MAX(B2357,IFERROR(H2356,B2357)),""),"")</f>
        <v/>
      </c>
      <c r="I2357" s="29">
        <f>IFERROR(IF(AND(ISNUMBER(B2357),ISNUMBER(H2357)),B2357/H2357-1,""),"")</f>
        <v/>
      </c>
      <c r="J2357" s="8">
        <f>IFERROR(IF(ISNUMBER(C2357),MAX(C2357,IFERROR(J2356,C2357)),""),"")</f>
        <v/>
      </c>
      <c r="K2357" s="29">
        <f>IFERROR(IF(AND(ISNUMBER(C2357),ISNUMBER(J2357)),C2357/J2357-1,""),"")</f>
        <v/>
      </c>
      <c r="L2357" s="28">
        <f>IFERROR(IF(AND(ISNUMBER(D2357),ISNUMBER(E2357)),D2357-E2357,""),"")</f>
        <v/>
      </c>
    </row>
    <row r="2358">
      <c r="A2358" s="7">
        <f>IFERROR(Datos!A2358,"")</f>
        <v/>
      </c>
      <c r="B2358" s="8">
        <f>IFERROR(Datos!B2358,"")</f>
        <v/>
      </c>
      <c r="C2358" s="8">
        <f>IFERROR(Datos!C2358,"")</f>
        <v/>
      </c>
      <c r="D2358" s="28">
        <f>IFERROR(IF(AND(ISNUMBER(B2358),ISNUMBER(B2357),B2357&lt;&gt;0),B2358/B2357-1,""),"")</f>
        <v/>
      </c>
      <c r="E2358" s="28">
        <f>IFERROR(IF(AND(ISNUMBER(C2358),ISNUMBER(C2357),C2357&lt;&gt;0),C2358/C2357-1,""),"")</f>
        <v/>
      </c>
      <c r="F2358" s="28">
        <f>IFERROR(D2358-Dashboard!$B$4/252,"")</f>
        <v/>
      </c>
      <c r="G2358" s="28">
        <f>IFERROR(E2358-Dashboard!$B$4/252,"")</f>
        <v/>
      </c>
      <c r="H2358" s="8">
        <f>IFERROR(IF(ISNUMBER(B2358),MAX(B2358,IFERROR(H2357,B2358)),""),"")</f>
        <v/>
      </c>
      <c r="I2358" s="29">
        <f>IFERROR(IF(AND(ISNUMBER(B2358),ISNUMBER(H2358)),B2358/H2358-1,""),"")</f>
        <v/>
      </c>
      <c r="J2358" s="8">
        <f>IFERROR(IF(ISNUMBER(C2358),MAX(C2358,IFERROR(J2357,C2358)),""),"")</f>
        <v/>
      </c>
      <c r="K2358" s="29">
        <f>IFERROR(IF(AND(ISNUMBER(C2358),ISNUMBER(J2358)),C2358/J2358-1,""),"")</f>
        <v/>
      </c>
      <c r="L2358" s="28">
        <f>IFERROR(IF(AND(ISNUMBER(D2358),ISNUMBER(E2358)),D2358-E2358,""),"")</f>
        <v/>
      </c>
    </row>
    <row r="2359">
      <c r="A2359" s="7">
        <f>IFERROR(Datos!A2359,"")</f>
        <v/>
      </c>
      <c r="B2359" s="8">
        <f>IFERROR(Datos!B2359,"")</f>
        <v/>
      </c>
      <c r="C2359" s="8">
        <f>IFERROR(Datos!C2359,"")</f>
        <v/>
      </c>
      <c r="D2359" s="28">
        <f>IFERROR(IF(AND(ISNUMBER(B2359),ISNUMBER(B2358),B2358&lt;&gt;0),B2359/B2358-1,""),"")</f>
        <v/>
      </c>
      <c r="E2359" s="28">
        <f>IFERROR(IF(AND(ISNUMBER(C2359),ISNUMBER(C2358),C2358&lt;&gt;0),C2359/C2358-1,""),"")</f>
        <v/>
      </c>
      <c r="F2359" s="28">
        <f>IFERROR(D2359-Dashboard!$B$4/252,"")</f>
        <v/>
      </c>
      <c r="G2359" s="28">
        <f>IFERROR(E2359-Dashboard!$B$4/252,"")</f>
        <v/>
      </c>
      <c r="H2359" s="8">
        <f>IFERROR(IF(ISNUMBER(B2359),MAX(B2359,IFERROR(H2358,B2359)),""),"")</f>
        <v/>
      </c>
      <c r="I2359" s="29">
        <f>IFERROR(IF(AND(ISNUMBER(B2359),ISNUMBER(H2359)),B2359/H2359-1,""),"")</f>
        <v/>
      </c>
      <c r="J2359" s="8">
        <f>IFERROR(IF(ISNUMBER(C2359),MAX(C2359,IFERROR(J2358,C2359)),""),"")</f>
        <v/>
      </c>
      <c r="K2359" s="29">
        <f>IFERROR(IF(AND(ISNUMBER(C2359),ISNUMBER(J2359)),C2359/J2359-1,""),"")</f>
        <v/>
      </c>
      <c r="L2359" s="28">
        <f>IFERROR(IF(AND(ISNUMBER(D2359),ISNUMBER(E2359)),D2359-E2359,""),"")</f>
        <v/>
      </c>
    </row>
    <row r="2360">
      <c r="A2360" s="7">
        <f>IFERROR(Datos!A2360,"")</f>
        <v/>
      </c>
      <c r="B2360" s="8">
        <f>IFERROR(Datos!B2360,"")</f>
        <v/>
      </c>
      <c r="C2360" s="8">
        <f>IFERROR(Datos!C2360,"")</f>
        <v/>
      </c>
      <c r="D2360" s="28">
        <f>IFERROR(IF(AND(ISNUMBER(B2360),ISNUMBER(B2359),B2359&lt;&gt;0),B2360/B2359-1,""),"")</f>
        <v/>
      </c>
      <c r="E2360" s="28">
        <f>IFERROR(IF(AND(ISNUMBER(C2360),ISNUMBER(C2359),C2359&lt;&gt;0),C2360/C2359-1,""),"")</f>
        <v/>
      </c>
      <c r="F2360" s="28">
        <f>IFERROR(D2360-Dashboard!$B$4/252,"")</f>
        <v/>
      </c>
      <c r="G2360" s="28">
        <f>IFERROR(E2360-Dashboard!$B$4/252,"")</f>
        <v/>
      </c>
      <c r="H2360" s="8">
        <f>IFERROR(IF(ISNUMBER(B2360),MAX(B2360,IFERROR(H2359,B2360)),""),"")</f>
        <v/>
      </c>
      <c r="I2360" s="29">
        <f>IFERROR(IF(AND(ISNUMBER(B2360),ISNUMBER(H2360)),B2360/H2360-1,""),"")</f>
        <v/>
      </c>
      <c r="J2360" s="8">
        <f>IFERROR(IF(ISNUMBER(C2360),MAX(C2360,IFERROR(J2359,C2360)),""),"")</f>
        <v/>
      </c>
      <c r="K2360" s="29">
        <f>IFERROR(IF(AND(ISNUMBER(C2360),ISNUMBER(J2360)),C2360/J2360-1,""),"")</f>
        <v/>
      </c>
      <c r="L2360" s="28">
        <f>IFERROR(IF(AND(ISNUMBER(D2360),ISNUMBER(E2360)),D2360-E2360,""),"")</f>
        <v/>
      </c>
    </row>
    <row r="2361">
      <c r="A2361" s="7">
        <f>IFERROR(Datos!A2361,"")</f>
        <v/>
      </c>
      <c r="B2361" s="8">
        <f>IFERROR(Datos!B2361,"")</f>
        <v/>
      </c>
      <c r="C2361" s="8">
        <f>IFERROR(Datos!C2361,"")</f>
        <v/>
      </c>
      <c r="D2361" s="28">
        <f>IFERROR(IF(AND(ISNUMBER(B2361),ISNUMBER(B2360),B2360&lt;&gt;0),B2361/B2360-1,""),"")</f>
        <v/>
      </c>
      <c r="E2361" s="28">
        <f>IFERROR(IF(AND(ISNUMBER(C2361),ISNUMBER(C2360),C2360&lt;&gt;0),C2361/C2360-1,""),"")</f>
        <v/>
      </c>
      <c r="F2361" s="28">
        <f>IFERROR(D2361-Dashboard!$B$4/252,"")</f>
        <v/>
      </c>
      <c r="G2361" s="28">
        <f>IFERROR(E2361-Dashboard!$B$4/252,"")</f>
        <v/>
      </c>
      <c r="H2361" s="8">
        <f>IFERROR(IF(ISNUMBER(B2361),MAX(B2361,IFERROR(H2360,B2361)),""),"")</f>
        <v/>
      </c>
      <c r="I2361" s="29">
        <f>IFERROR(IF(AND(ISNUMBER(B2361),ISNUMBER(H2361)),B2361/H2361-1,""),"")</f>
        <v/>
      </c>
      <c r="J2361" s="8">
        <f>IFERROR(IF(ISNUMBER(C2361),MAX(C2361,IFERROR(J2360,C2361)),""),"")</f>
        <v/>
      </c>
      <c r="K2361" s="29">
        <f>IFERROR(IF(AND(ISNUMBER(C2361),ISNUMBER(J2361)),C2361/J2361-1,""),"")</f>
        <v/>
      </c>
      <c r="L2361" s="28">
        <f>IFERROR(IF(AND(ISNUMBER(D2361),ISNUMBER(E2361)),D2361-E2361,""),"")</f>
        <v/>
      </c>
    </row>
    <row r="2362">
      <c r="A2362" s="7">
        <f>IFERROR(Datos!A2362,"")</f>
        <v/>
      </c>
      <c r="B2362" s="8">
        <f>IFERROR(Datos!B2362,"")</f>
        <v/>
      </c>
      <c r="C2362" s="8">
        <f>IFERROR(Datos!C2362,"")</f>
        <v/>
      </c>
      <c r="D2362" s="28">
        <f>IFERROR(IF(AND(ISNUMBER(B2362),ISNUMBER(B2361),B2361&lt;&gt;0),B2362/B2361-1,""),"")</f>
        <v/>
      </c>
      <c r="E2362" s="28">
        <f>IFERROR(IF(AND(ISNUMBER(C2362),ISNUMBER(C2361),C2361&lt;&gt;0),C2362/C2361-1,""),"")</f>
        <v/>
      </c>
      <c r="F2362" s="28">
        <f>IFERROR(D2362-Dashboard!$B$4/252,"")</f>
        <v/>
      </c>
      <c r="G2362" s="28">
        <f>IFERROR(E2362-Dashboard!$B$4/252,"")</f>
        <v/>
      </c>
      <c r="H2362" s="8">
        <f>IFERROR(IF(ISNUMBER(B2362),MAX(B2362,IFERROR(H2361,B2362)),""),"")</f>
        <v/>
      </c>
      <c r="I2362" s="29">
        <f>IFERROR(IF(AND(ISNUMBER(B2362),ISNUMBER(H2362)),B2362/H2362-1,""),"")</f>
        <v/>
      </c>
      <c r="J2362" s="8">
        <f>IFERROR(IF(ISNUMBER(C2362),MAX(C2362,IFERROR(J2361,C2362)),""),"")</f>
        <v/>
      </c>
      <c r="K2362" s="29">
        <f>IFERROR(IF(AND(ISNUMBER(C2362),ISNUMBER(J2362)),C2362/J2362-1,""),"")</f>
        <v/>
      </c>
      <c r="L2362" s="28">
        <f>IFERROR(IF(AND(ISNUMBER(D2362),ISNUMBER(E2362)),D2362-E2362,""),"")</f>
        <v/>
      </c>
    </row>
    <row r="2363">
      <c r="A2363" s="7">
        <f>IFERROR(Datos!A2363,"")</f>
        <v/>
      </c>
      <c r="B2363" s="8">
        <f>IFERROR(Datos!B2363,"")</f>
        <v/>
      </c>
      <c r="C2363" s="8">
        <f>IFERROR(Datos!C2363,"")</f>
        <v/>
      </c>
      <c r="D2363" s="28">
        <f>IFERROR(IF(AND(ISNUMBER(B2363),ISNUMBER(B2362),B2362&lt;&gt;0),B2363/B2362-1,""),"")</f>
        <v/>
      </c>
      <c r="E2363" s="28">
        <f>IFERROR(IF(AND(ISNUMBER(C2363),ISNUMBER(C2362),C2362&lt;&gt;0),C2363/C2362-1,""),"")</f>
        <v/>
      </c>
      <c r="F2363" s="28">
        <f>IFERROR(D2363-Dashboard!$B$4/252,"")</f>
        <v/>
      </c>
      <c r="G2363" s="28">
        <f>IFERROR(E2363-Dashboard!$B$4/252,"")</f>
        <v/>
      </c>
      <c r="H2363" s="8">
        <f>IFERROR(IF(ISNUMBER(B2363),MAX(B2363,IFERROR(H2362,B2363)),""),"")</f>
        <v/>
      </c>
      <c r="I2363" s="29">
        <f>IFERROR(IF(AND(ISNUMBER(B2363),ISNUMBER(H2363)),B2363/H2363-1,""),"")</f>
        <v/>
      </c>
      <c r="J2363" s="8">
        <f>IFERROR(IF(ISNUMBER(C2363),MAX(C2363,IFERROR(J2362,C2363)),""),"")</f>
        <v/>
      </c>
      <c r="K2363" s="29">
        <f>IFERROR(IF(AND(ISNUMBER(C2363),ISNUMBER(J2363)),C2363/J2363-1,""),"")</f>
        <v/>
      </c>
      <c r="L2363" s="28">
        <f>IFERROR(IF(AND(ISNUMBER(D2363),ISNUMBER(E2363)),D2363-E2363,""),"")</f>
        <v/>
      </c>
    </row>
    <row r="2364">
      <c r="A2364" s="7">
        <f>IFERROR(Datos!A2364,"")</f>
        <v/>
      </c>
      <c r="B2364" s="8">
        <f>IFERROR(Datos!B2364,"")</f>
        <v/>
      </c>
      <c r="C2364" s="8">
        <f>IFERROR(Datos!C2364,"")</f>
        <v/>
      </c>
      <c r="D2364" s="28">
        <f>IFERROR(IF(AND(ISNUMBER(B2364),ISNUMBER(B2363),B2363&lt;&gt;0),B2364/B2363-1,""),"")</f>
        <v/>
      </c>
      <c r="E2364" s="28">
        <f>IFERROR(IF(AND(ISNUMBER(C2364),ISNUMBER(C2363),C2363&lt;&gt;0),C2364/C2363-1,""),"")</f>
        <v/>
      </c>
      <c r="F2364" s="28">
        <f>IFERROR(D2364-Dashboard!$B$4/252,"")</f>
        <v/>
      </c>
      <c r="G2364" s="28">
        <f>IFERROR(E2364-Dashboard!$B$4/252,"")</f>
        <v/>
      </c>
      <c r="H2364" s="8">
        <f>IFERROR(IF(ISNUMBER(B2364),MAX(B2364,IFERROR(H2363,B2364)),""),"")</f>
        <v/>
      </c>
      <c r="I2364" s="29">
        <f>IFERROR(IF(AND(ISNUMBER(B2364),ISNUMBER(H2364)),B2364/H2364-1,""),"")</f>
        <v/>
      </c>
      <c r="J2364" s="8">
        <f>IFERROR(IF(ISNUMBER(C2364),MAX(C2364,IFERROR(J2363,C2364)),""),"")</f>
        <v/>
      </c>
      <c r="K2364" s="29">
        <f>IFERROR(IF(AND(ISNUMBER(C2364),ISNUMBER(J2364)),C2364/J2364-1,""),"")</f>
        <v/>
      </c>
      <c r="L2364" s="28">
        <f>IFERROR(IF(AND(ISNUMBER(D2364),ISNUMBER(E2364)),D2364-E2364,""),"")</f>
        <v/>
      </c>
    </row>
    <row r="2365">
      <c r="A2365" s="7">
        <f>IFERROR(Datos!A2365,"")</f>
        <v/>
      </c>
      <c r="B2365" s="8">
        <f>IFERROR(Datos!B2365,"")</f>
        <v/>
      </c>
      <c r="C2365" s="8">
        <f>IFERROR(Datos!C2365,"")</f>
        <v/>
      </c>
      <c r="D2365" s="28">
        <f>IFERROR(IF(AND(ISNUMBER(B2365),ISNUMBER(B2364),B2364&lt;&gt;0),B2365/B2364-1,""),"")</f>
        <v/>
      </c>
      <c r="E2365" s="28">
        <f>IFERROR(IF(AND(ISNUMBER(C2365),ISNUMBER(C2364),C2364&lt;&gt;0),C2365/C2364-1,""),"")</f>
        <v/>
      </c>
      <c r="F2365" s="28">
        <f>IFERROR(D2365-Dashboard!$B$4/252,"")</f>
        <v/>
      </c>
      <c r="G2365" s="28">
        <f>IFERROR(E2365-Dashboard!$B$4/252,"")</f>
        <v/>
      </c>
      <c r="H2365" s="8">
        <f>IFERROR(IF(ISNUMBER(B2365),MAX(B2365,IFERROR(H2364,B2365)),""),"")</f>
        <v/>
      </c>
      <c r="I2365" s="29">
        <f>IFERROR(IF(AND(ISNUMBER(B2365),ISNUMBER(H2365)),B2365/H2365-1,""),"")</f>
        <v/>
      </c>
      <c r="J2365" s="8">
        <f>IFERROR(IF(ISNUMBER(C2365),MAX(C2365,IFERROR(J2364,C2365)),""),"")</f>
        <v/>
      </c>
      <c r="K2365" s="29">
        <f>IFERROR(IF(AND(ISNUMBER(C2365),ISNUMBER(J2365)),C2365/J2365-1,""),"")</f>
        <v/>
      </c>
      <c r="L2365" s="28">
        <f>IFERROR(IF(AND(ISNUMBER(D2365),ISNUMBER(E2365)),D2365-E2365,""),"")</f>
        <v/>
      </c>
    </row>
    <row r="2366">
      <c r="A2366" s="7">
        <f>IFERROR(Datos!A2366,"")</f>
        <v/>
      </c>
      <c r="B2366" s="8">
        <f>IFERROR(Datos!B2366,"")</f>
        <v/>
      </c>
      <c r="C2366" s="8">
        <f>IFERROR(Datos!C2366,"")</f>
        <v/>
      </c>
      <c r="D2366" s="28">
        <f>IFERROR(IF(AND(ISNUMBER(B2366),ISNUMBER(B2365),B2365&lt;&gt;0),B2366/B2365-1,""),"")</f>
        <v/>
      </c>
      <c r="E2366" s="28">
        <f>IFERROR(IF(AND(ISNUMBER(C2366),ISNUMBER(C2365),C2365&lt;&gt;0),C2366/C2365-1,""),"")</f>
        <v/>
      </c>
      <c r="F2366" s="28">
        <f>IFERROR(D2366-Dashboard!$B$4/252,"")</f>
        <v/>
      </c>
      <c r="G2366" s="28">
        <f>IFERROR(E2366-Dashboard!$B$4/252,"")</f>
        <v/>
      </c>
      <c r="H2366" s="8">
        <f>IFERROR(IF(ISNUMBER(B2366),MAX(B2366,IFERROR(H2365,B2366)),""),"")</f>
        <v/>
      </c>
      <c r="I2366" s="29">
        <f>IFERROR(IF(AND(ISNUMBER(B2366),ISNUMBER(H2366)),B2366/H2366-1,""),"")</f>
        <v/>
      </c>
      <c r="J2366" s="8">
        <f>IFERROR(IF(ISNUMBER(C2366),MAX(C2366,IFERROR(J2365,C2366)),""),"")</f>
        <v/>
      </c>
      <c r="K2366" s="29">
        <f>IFERROR(IF(AND(ISNUMBER(C2366),ISNUMBER(J2366)),C2366/J2366-1,""),"")</f>
        <v/>
      </c>
      <c r="L2366" s="28">
        <f>IFERROR(IF(AND(ISNUMBER(D2366),ISNUMBER(E2366)),D2366-E2366,""),"")</f>
        <v/>
      </c>
    </row>
    <row r="2367">
      <c r="A2367" s="7">
        <f>IFERROR(Datos!A2367,"")</f>
        <v/>
      </c>
      <c r="B2367" s="8">
        <f>IFERROR(Datos!B2367,"")</f>
        <v/>
      </c>
      <c r="C2367" s="8">
        <f>IFERROR(Datos!C2367,"")</f>
        <v/>
      </c>
      <c r="D2367" s="28">
        <f>IFERROR(IF(AND(ISNUMBER(B2367),ISNUMBER(B2366),B2366&lt;&gt;0),B2367/B2366-1,""),"")</f>
        <v/>
      </c>
      <c r="E2367" s="28">
        <f>IFERROR(IF(AND(ISNUMBER(C2367),ISNUMBER(C2366),C2366&lt;&gt;0),C2367/C2366-1,""),"")</f>
        <v/>
      </c>
      <c r="F2367" s="28">
        <f>IFERROR(D2367-Dashboard!$B$4/252,"")</f>
        <v/>
      </c>
      <c r="G2367" s="28">
        <f>IFERROR(E2367-Dashboard!$B$4/252,"")</f>
        <v/>
      </c>
      <c r="H2367" s="8">
        <f>IFERROR(IF(ISNUMBER(B2367),MAX(B2367,IFERROR(H2366,B2367)),""),"")</f>
        <v/>
      </c>
      <c r="I2367" s="29">
        <f>IFERROR(IF(AND(ISNUMBER(B2367),ISNUMBER(H2367)),B2367/H2367-1,""),"")</f>
        <v/>
      </c>
      <c r="J2367" s="8">
        <f>IFERROR(IF(ISNUMBER(C2367),MAX(C2367,IFERROR(J2366,C2367)),""),"")</f>
        <v/>
      </c>
      <c r="K2367" s="29">
        <f>IFERROR(IF(AND(ISNUMBER(C2367),ISNUMBER(J2367)),C2367/J2367-1,""),"")</f>
        <v/>
      </c>
      <c r="L2367" s="28">
        <f>IFERROR(IF(AND(ISNUMBER(D2367),ISNUMBER(E2367)),D2367-E2367,""),"")</f>
        <v/>
      </c>
    </row>
    <row r="2368">
      <c r="A2368" s="7">
        <f>IFERROR(Datos!A2368,"")</f>
        <v/>
      </c>
      <c r="B2368" s="8">
        <f>IFERROR(Datos!B2368,"")</f>
        <v/>
      </c>
      <c r="C2368" s="8">
        <f>IFERROR(Datos!C2368,"")</f>
        <v/>
      </c>
      <c r="D2368" s="28">
        <f>IFERROR(IF(AND(ISNUMBER(B2368),ISNUMBER(B2367),B2367&lt;&gt;0),B2368/B2367-1,""),"")</f>
        <v/>
      </c>
      <c r="E2368" s="28">
        <f>IFERROR(IF(AND(ISNUMBER(C2368),ISNUMBER(C2367),C2367&lt;&gt;0),C2368/C2367-1,""),"")</f>
        <v/>
      </c>
      <c r="F2368" s="28">
        <f>IFERROR(D2368-Dashboard!$B$4/252,"")</f>
        <v/>
      </c>
      <c r="G2368" s="28">
        <f>IFERROR(E2368-Dashboard!$B$4/252,"")</f>
        <v/>
      </c>
      <c r="H2368" s="8">
        <f>IFERROR(IF(ISNUMBER(B2368),MAX(B2368,IFERROR(H2367,B2368)),""),"")</f>
        <v/>
      </c>
      <c r="I2368" s="29">
        <f>IFERROR(IF(AND(ISNUMBER(B2368),ISNUMBER(H2368)),B2368/H2368-1,""),"")</f>
        <v/>
      </c>
      <c r="J2368" s="8">
        <f>IFERROR(IF(ISNUMBER(C2368),MAX(C2368,IFERROR(J2367,C2368)),""),"")</f>
        <v/>
      </c>
      <c r="K2368" s="29">
        <f>IFERROR(IF(AND(ISNUMBER(C2368),ISNUMBER(J2368)),C2368/J2368-1,""),"")</f>
        <v/>
      </c>
      <c r="L2368" s="28">
        <f>IFERROR(IF(AND(ISNUMBER(D2368),ISNUMBER(E2368)),D2368-E2368,""),"")</f>
        <v/>
      </c>
    </row>
    <row r="2369">
      <c r="A2369" s="7">
        <f>IFERROR(Datos!A2369,"")</f>
        <v/>
      </c>
      <c r="B2369" s="8">
        <f>IFERROR(Datos!B2369,"")</f>
        <v/>
      </c>
      <c r="C2369" s="8">
        <f>IFERROR(Datos!C2369,"")</f>
        <v/>
      </c>
      <c r="D2369" s="28">
        <f>IFERROR(IF(AND(ISNUMBER(B2369),ISNUMBER(B2368),B2368&lt;&gt;0),B2369/B2368-1,""),"")</f>
        <v/>
      </c>
      <c r="E2369" s="28">
        <f>IFERROR(IF(AND(ISNUMBER(C2369),ISNUMBER(C2368),C2368&lt;&gt;0),C2369/C2368-1,""),"")</f>
        <v/>
      </c>
      <c r="F2369" s="28">
        <f>IFERROR(D2369-Dashboard!$B$4/252,"")</f>
        <v/>
      </c>
      <c r="G2369" s="28">
        <f>IFERROR(E2369-Dashboard!$B$4/252,"")</f>
        <v/>
      </c>
      <c r="H2369" s="8">
        <f>IFERROR(IF(ISNUMBER(B2369),MAX(B2369,IFERROR(H2368,B2369)),""),"")</f>
        <v/>
      </c>
      <c r="I2369" s="29">
        <f>IFERROR(IF(AND(ISNUMBER(B2369),ISNUMBER(H2369)),B2369/H2369-1,""),"")</f>
        <v/>
      </c>
      <c r="J2369" s="8">
        <f>IFERROR(IF(ISNUMBER(C2369),MAX(C2369,IFERROR(J2368,C2369)),""),"")</f>
        <v/>
      </c>
      <c r="K2369" s="29">
        <f>IFERROR(IF(AND(ISNUMBER(C2369),ISNUMBER(J2369)),C2369/J2369-1,""),"")</f>
        <v/>
      </c>
      <c r="L2369" s="28">
        <f>IFERROR(IF(AND(ISNUMBER(D2369),ISNUMBER(E2369)),D2369-E2369,""),"")</f>
        <v/>
      </c>
    </row>
    <row r="2370">
      <c r="A2370" s="7">
        <f>IFERROR(Datos!A2370,"")</f>
        <v/>
      </c>
      <c r="B2370" s="8">
        <f>IFERROR(Datos!B2370,"")</f>
        <v/>
      </c>
      <c r="C2370" s="8">
        <f>IFERROR(Datos!C2370,"")</f>
        <v/>
      </c>
      <c r="D2370" s="28">
        <f>IFERROR(IF(AND(ISNUMBER(B2370),ISNUMBER(B2369),B2369&lt;&gt;0),B2370/B2369-1,""),"")</f>
        <v/>
      </c>
      <c r="E2370" s="28">
        <f>IFERROR(IF(AND(ISNUMBER(C2370),ISNUMBER(C2369),C2369&lt;&gt;0),C2370/C2369-1,""),"")</f>
        <v/>
      </c>
      <c r="F2370" s="28">
        <f>IFERROR(D2370-Dashboard!$B$4/252,"")</f>
        <v/>
      </c>
      <c r="G2370" s="28">
        <f>IFERROR(E2370-Dashboard!$B$4/252,"")</f>
        <v/>
      </c>
      <c r="H2370" s="8">
        <f>IFERROR(IF(ISNUMBER(B2370),MAX(B2370,IFERROR(H2369,B2370)),""),"")</f>
        <v/>
      </c>
      <c r="I2370" s="29">
        <f>IFERROR(IF(AND(ISNUMBER(B2370),ISNUMBER(H2370)),B2370/H2370-1,""),"")</f>
        <v/>
      </c>
      <c r="J2370" s="8">
        <f>IFERROR(IF(ISNUMBER(C2370),MAX(C2370,IFERROR(J2369,C2370)),""),"")</f>
        <v/>
      </c>
      <c r="K2370" s="29">
        <f>IFERROR(IF(AND(ISNUMBER(C2370),ISNUMBER(J2370)),C2370/J2370-1,""),"")</f>
        <v/>
      </c>
      <c r="L2370" s="28">
        <f>IFERROR(IF(AND(ISNUMBER(D2370),ISNUMBER(E2370)),D2370-E2370,""),"")</f>
        <v/>
      </c>
    </row>
    <row r="2371">
      <c r="A2371" s="7">
        <f>IFERROR(Datos!A2371,"")</f>
        <v/>
      </c>
      <c r="B2371" s="8">
        <f>IFERROR(Datos!B2371,"")</f>
        <v/>
      </c>
      <c r="C2371" s="8">
        <f>IFERROR(Datos!C2371,"")</f>
        <v/>
      </c>
      <c r="D2371" s="28">
        <f>IFERROR(IF(AND(ISNUMBER(B2371),ISNUMBER(B2370),B2370&lt;&gt;0),B2371/B2370-1,""),"")</f>
        <v/>
      </c>
      <c r="E2371" s="28">
        <f>IFERROR(IF(AND(ISNUMBER(C2371),ISNUMBER(C2370),C2370&lt;&gt;0),C2371/C2370-1,""),"")</f>
        <v/>
      </c>
      <c r="F2371" s="28">
        <f>IFERROR(D2371-Dashboard!$B$4/252,"")</f>
        <v/>
      </c>
      <c r="G2371" s="28">
        <f>IFERROR(E2371-Dashboard!$B$4/252,"")</f>
        <v/>
      </c>
      <c r="H2371" s="8">
        <f>IFERROR(IF(ISNUMBER(B2371),MAX(B2371,IFERROR(H2370,B2371)),""),"")</f>
        <v/>
      </c>
      <c r="I2371" s="29">
        <f>IFERROR(IF(AND(ISNUMBER(B2371),ISNUMBER(H2371)),B2371/H2371-1,""),"")</f>
        <v/>
      </c>
      <c r="J2371" s="8">
        <f>IFERROR(IF(ISNUMBER(C2371),MAX(C2371,IFERROR(J2370,C2371)),""),"")</f>
        <v/>
      </c>
      <c r="K2371" s="29">
        <f>IFERROR(IF(AND(ISNUMBER(C2371),ISNUMBER(J2371)),C2371/J2371-1,""),"")</f>
        <v/>
      </c>
      <c r="L2371" s="28">
        <f>IFERROR(IF(AND(ISNUMBER(D2371),ISNUMBER(E2371)),D2371-E2371,""),"")</f>
        <v/>
      </c>
    </row>
    <row r="2372">
      <c r="A2372" s="7">
        <f>IFERROR(Datos!A2372,"")</f>
        <v/>
      </c>
      <c r="B2372" s="8">
        <f>IFERROR(Datos!B2372,"")</f>
        <v/>
      </c>
      <c r="C2372" s="8">
        <f>IFERROR(Datos!C2372,"")</f>
        <v/>
      </c>
      <c r="D2372" s="28">
        <f>IFERROR(IF(AND(ISNUMBER(B2372),ISNUMBER(B2371),B2371&lt;&gt;0),B2372/B2371-1,""),"")</f>
        <v/>
      </c>
      <c r="E2372" s="28">
        <f>IFERROR(IF(AND(ISNUMBER(C2372),ISNUMBER(C2371),C2371&lt;&gt;0),C2372/C2371-1,""),"")</f>
        <v/>
      </c>
      <c r="F2372" s="28">
        <f>IFERROR(D2372-Dashboard!$B$4/252,"")</f>
        <v/>
      </c>
      <c r="G2372" s="28">
        <f>IFERROR(E2372-Dashboard!$B$4/252,"")</f>
        <v/>
      </c>
      <c r="H2372" s="8">
        <f>IFERROR(IF(ISNUMBER(B2372),MAX(B2372,IFERROR(H2371,B2372)),""),"")</f>
        <v/>
      </c>
      <c r="I2372" s="29">
        <f>IFERROR(IF(AND(ISNUMBER(B2372),ISNUMBER(H2372)),B2372/H2372-1,""),"")</f>
        <v/>
      </c>
      <c r="J2372" s="8">
        <f>IFERROR(IF(ISNUMBER(C2372),MAX(C2372,IFERROR(J2371,C2372)),""),"")</f>
        <v/>
      </c>
      <c r="K2372" s="29">
        <f>IFERROR(IF(AND(ISNUMBER(C2372),ISNUMBER(J2372)),C2372/J2372-1,""),"")</f>
        <v/>
      </c>
      <c r="L2372" s="28">
        <f>IFERROR(IF(AND(ISNUMBER(D2372),ISNUMBER(E2372)),D2372-E2372,""),"")</f>
        <v/>
      </c>
    </row>
    <row r="2373">
      <c r="A2373" s="7">
        <f>IFERROR(Datos!A2373,"")</f>
        <v/>
      </c>
      <c r="B2373" s="8">
        <f>IFERROR(Datos!B2373,"")</f>
        <v/>
      </c>
      <c r="C2373" s="8">
        <f>IFERROR(Datos!C2373,"")</f>
        <v/>
      </c>
      <c r="D2373" s="28">
        <f>IFERROR(IF(AND(ISNUMBER(B2373),ISNUMBER(B2372),B2372&lt;&gt;0),B2373/B2372-1,""),"")</f>
        <v/>
      </c>
      <c r="E2373" s="28">
        <f>IFERROR(IF(AND(ISNUMBER(C2373),ISNUMBER(C2372),C2372&lt;&gt;0),C2373/C2372-1,""),"")</f>
        <v/>
      </c>
      <c r="F2373" s="28">
        <f>IFERROR(D2373-Dashboard!$B$4/252,"")</f>
        <v/>
      </c>
      <c r="G2373" s="28">
        <f>IFERROR(E2373-Dashboard!$B$4/252,"")</f>
        <v/>
      </c>
      <c r="H2373" s="8">
        <f>IFERROR(IF(ISNUMBER(B2373),MAX(B2373,IFERROR(H2372,B2373)),""),"")</f>
        <v/>
      </c>
      <c r="I2373" s="29">
        <f>IFERROR(IF(AND(ISNUMBER(B2373),ISNUMBER(H2373)),B2373/H2373-1,""),"")</f>
        <v/>
      </c>
      <c r="J2373" s="8">
        <f>IFERROR(IF(ISNUMBER(C2373),MAX(C2373,IFERROR(J2372,C2373)),""),"")</f>
        <v/>
      </c>
      <c r="K2373" s="29">
        <f>IFERROR(IF(AND(ISNUMBER(C2373),ISNUMBER(J2373)),C2373/J2373-1,""),"")</f>
        <v/>
      </c>
      <c r="L2373" s="28">
        <f>IFERROR(IF(AND(ISNUMBER(D2373),ISNUMBER(E2373)),D2373-E2373,""),"")</f>
        <v/>
      </c>
    </row>
    <row r="2374">
      <c r="A2374" s="7">
        <f>IFERROR(Datos!A2374,"")</f>
        <v/>
      </c>
      <c r="B2374" s="8">
        <f>IFERROR(Datos!B2374,"")</f>
        <v/>
      </c>
      <c r="C2374" s="8">
        <f>IFERROR(Datos!C2374,"")</f>
        <v/>
      </c>
      <c r="D2374" s="28">
        <f>IFERROR(IF(AND(ISNUMBER(B2374),ISNUMBER(B2373),B2373&lt;&gt;0),B2374/B2373-1,""),"")</f>
        <v/>
      </c>
      <c r="E2374" s="28">
        <f>IFERROR(IF(AND(ISNUMBER(C2374),ISNUMBER(C2373),C2373&lt;&gt;0),C2374/C2373-1,""),"")</f>
        <v/>
      </c>
      <c r="F2374" s="28">
        <f>IFERROR(D2374-Dashboard!$B$4/252,"")</f>
        <v/>
      </c>
      <c r="G2374" s="28">
        <f>IFERROR(E2374-Dashboard!$B$4/252,"")</f>
        <v/>
      </c>
      <c r="H2374" s="8">
        <f>IFERROR(IF(ISNUMBER(B2374),MAX(B2374,IFERROR(H2373,B2374)),""),"")</f>
        <v/>
      </c>
      <c r="I2374" s="29">
        <f>IFERROR(IF(AND(ISNUMBER(B2374),ISNUMBER(H2374)),B2374/H2374-1,""),"")</f>
        <v/>
      </c>
      <c r="J2374" s="8">
        <f>IFERROR(IF(ISNUMBER(C2374),MAX(C2374,IFERROR(J2373,C2374)),""),"")</f>
        <v/>
      </c>
      <c r="K2374" s="29">
        <f>IFERROR(IF(AND(ISNUMBER(C2374),ISNUMBER(J2374)),C2374/J2374-1,""),"")</f>
        <v/>
      </c>
      <c r="L2374" s="28">
        <f>IFERROR(IF(AND(ISNUMBER(D2374),ISNUMBER(E2374)),D2374-E2374,""),"")</f>
        <v/>
      </c>
    </row>
    <row r="2375">
      <c r="A2375" s="7">
        <f>IFERROR(Datos!A2375,"")</f>
        <v/>
      </c>
      <c r="B2375" s="8">
        <f>IFERROR(Datos!B2375,"")</f>
        <v/>
      </c>
      <c r="C2375" s="8">
        <f>IFERROR(Datos!C2375,"")</f>
        <v/>
      </c>
      <c r="D2375" s="28">
        <f>IFERROR(IF(AND(ISNUMBER(B2375),ISNUMBER(B2374),B2374&lt;&gt;0),B2375/B2374-1,""),"")</f>
        <v/>
      </c>
      <c r="E2375" s="28">
        <f>IFERROR(IF(AND(ISNUMBER(C2375),ISNUMBER(C2374),C2374&lt;&gt;0),C2375/C2374-1,""),"")</f>
        <v/>
      </c>
      <c r="F2375" s="28">
        <f>IFERROR(D2375-Dashboard!$B$4/252,"")</f>
        <v/>
      </c>
      <c r="G2375" s="28">
        <f>IFERROR(E2375-Dashboard!$B$4/252,"")</f>
        <v/>
      </c>
      <c r="H2375" s="8">
        <f>IFERROR(IF(ISNUMBER(B2375),MAX(B2375,IFERROR(H2374,B2375)),""),"")</f>
        <v/>
      </c>
      <c r="I2375" s="29">
        <f>IFERROR(IF(AND(ISNUMBER(B2375),ISNUMBER(H2375)),B2375/H2375-1,""),"")</f>
        <v/>
      </c>
      <c r="J2375" s="8">
        <f>IFERROR(IF(ISNUMBER(C2375),MAX(C2375,IFERROR(J2374,C2375)),""),"")</f>
        <v/>
      </c>
      <c r="K2375" s="29">
        <f>IFERROR(IF(AND(ISNUMBER(C2375),ISNUMBER(J2375)),C2375/J2375-1,""),"")</f>
        <v/>
      </c>
      <c r="L2375" s="28">
        <f>IFERROR(IF(AND(ISNUMBER(D2375),ISNUMBER(E2375)),D2375-E2375,""),"")</f>
        <v/>
      </c>
    </row>
    <row r="2376">
      <c r="A2376" s="7">
        <f>IFERROR(Datos!A2376,"")</f>
        <v/>
      </c>
      <c r="B2376" s="8">
        <f>IFERROR(Datos!B2376,"")</f>
        <v/>
      </c>
      <c r="C2376" s="8">
        <f>IFERROR(Datos!C2376,"")</f>
        <v/>
      </c>
      <c r="D2376" s="28">
        <f>IFERROR(IF(AND(ISNUMBER(B2376),ISNUMBER(B2375),B2375&lt;&gt;0),B2376/B2375-1,""),"")</f>
        <v/>
      </c>
      <c r="E2376" s="28">
        <f>IFERROR(IF(AND(ISNUMBER(C2376),ISNUMBER(C2375),C2375&lt;&gt;0),C2376/C2375-1,""),"")</f>
        <v/>
      </c>
      <c r="F2376" s="28">
        <f>IFERROR(D2376-Dashboard!$B$4/252,"")</f>
        <v/>
      </c>
      <c r="G2376" s="28">
        <f>IFERROR(E2376-Dashboard!$B$4/252,"")</f>
        <v/>
      </c>
      <c r="H2376" s="8">
        <f>IFERROR(IF(ISNUMBER(B2376),MAX(B2376,IFERROR(H2375,B2376)),""),"")</f>
        <v/>
      </c>
      <c r="I2376" s="29">
        <f>IFERROR(IF(AND(ISNUMBER(B2376),ISNUMBER(H2376)),B2376/H2376-1,""),"")</f>
        <v/>
      </c>
      <c r="J2376" s="8">
        <f>IFERROR(IF(ISNUMBER(C2376),MAX(C2376,IFERROR(J2375,C2376)),""),"")</f>
        <v/>
      </c>
      <c r="K2376" s="29">
        <f>IFERROR(IF(AND(ISNUMBER(C2376),ISNUMBER(J2376)),C2376/J2376-1,""),"")</f>
        <v/>
      </c>
      <c r="L2376" s="28">
        <f>IFERROR(IF(AND(ISNUMBER(D2376),ISNUMBER(E2376)),D2376-E2376,""),"")</f>
        <v/>
      </c>
    </row>
    <row r="2377">
      <c r="A2377" s="7">
        <f>IFERROR(Datos!A2377,"")</f>
        <v/>
      </c>
      <c r="B2377" s="8">
        <f>IFERROR(Datos!B2377,"")</f>
        <v/>
      </c>
      <c r="C2377" s="8">
        <f>IFERROR(Datos!C2377,"")</f>
        <v/>
      </c>
      <c r="D2377" s="28">
        <f>IFERROR(IF(AND(ISNUMBER(B2377),ISNUMBER(B2376),B2376&lt;&gt;0),B2377/B2376-1,""),"")</f>
        <v/>
      </c>
      <c r="E2377" s="28">
        <f>IFERROR(IF(AND(ISNUMBER(C2377),ISNUMBER(C2376),C2376&lt;&gt;0),C2377/C2376-1,""),"")</f>
        <v/>
      </c>
      <c r="F2377" s="28">
        <f>IFERROR(D2377-Dashboard!$B$4/252,"")</f>
        <v/>
      </c>
      <c r="G2377" s="28">
        <f>IFERROR(E2377-Dashboard!$B$4/252,"")</f>
        <v/>
      </c>
      <c r="H2377" s="8">
        <f>IFERROR(IF(ISNUMBER(B2377),MAX(B2377,IFERROR(H2376,B2377)),""),"")</f>
        <v/>
      </c>
      <c r="I2377" s="29">
        <f>IFERROR(IF(AND(ISNUMBER(B2377),ISNUMBER(H2377)),B2377/H2377-1,""),"")</f>
        <v/>
      </c>
      <c r="J2377" s="8">
        <f>IFERROR(IF(ISNUMBER(C2377),MAX(C2377,IFERROR(J2376,C2377)),""),"")</f>
        <v/>
      </c>
      <c r="K2377" s="29">
        <f>IFERROR(IF(AND(ISNUMBER(C2377),ISNUMBER(J2377)),C2377/J2377-1,""),"")</f>
        <v/>
      </c>
      <c r="L2377" s="28">
        <f>IFERROR(IF(AND(ISNUMBER(D2377),ISNUMBER(E2377)),D2377-E2377,""),"")</f>
        <v/>
      </c>
    </row>
    <row r="2378">
      <c r="A2378" s="7">
        <f>IFERROR(Datos!A2378,"")</f>
        <v/>
      </c>
      <c r="B2378" s="8">
        <f>IFERROR(Datos!B2378,"")</f>
        <v/>
      </c>
      <c r="C2378" s="8">
        <f>IFERROR(Datos!C2378,"")</f>
        <v/>
      </c>
      <c r="D2378" s="28">
        <f>IFERROR(IF(AND(ISNUMBER(B2378),ISNUMBER(B2377),B2377&lt;&gt;0),B2378/B2377-1,""),"")</f>
        <v/>
      </c>
      <c r="E2378" s="28">
        <f>IFERROR(IF(AND(ISNUMBER(C2378),ISNUMBER(C2377),C2377&lt;&gt;0),C2378/C2377-1,""),"")</f>
        <v/>
      </c>
      <c r="F2378" s="28">
        <f>IFERROR(D2378-Dashboard!$B$4/252,"")</f>
        <v/>
      </c>
      <c r="G2378" s="28">
        <f>IFERROR(E2378-Dashboard!$B$4/252,"")</f>
        <v/>
      </c>
      <c r="H2378" s="8">
        <f>IFERROR(IF(ISNUMBER(B2378),MAX(B2378,IFERROR(H2377,B2378)),""),"")</f>
        <v/>
      </c>
      <c r="I2378" s="29">
        <f>IFERROR(IF(AND(ISNUMBER(B2378),ISNUMBER(H2378)),B2378/H2378-1,""),"")</f>
        <v/>
      </c>
      <c r="J2378" s="8">
        <f>IFERROR(IF(ISNUMBER(C2378),MAX(C2378,IFERROR(J2377,C2378)),""),"")</f>
        <v/>
      </c>
      <c r="K2378" s="29">
        <f>IFERROR(IF(AND(ISNUMBER(C2378),ISNUMBER(J2378)),C2378/J2378-1,""),"")</f>
        <v/>
      </c>
      <c r="L2378" s="28">
        <f>IFERROR(IF(AND(ISNUMBER(D2378),ISNUMBER(E2378)),D2378-E2378,""),"")</f>
        <v/>
      </c>
    </row>
    <row r="2379">
      <c r="A2379" s="7">
        <f>IFERROR(Datos!A2379,"")</f>
        <v/>
      </c>
      <c r="B2379" s="8">
        <f>IFERROR(Datos!B2379,"")</f>
        <v/>
      </c>
      <c r="C2379" s="8">
        <f>IFERROR(Datos!C2379,"")</f>
        <v/>
      </c>
      <c r="D2379" s="28">
        <f>IFERROR(IF(AND(ISNUMBER(B2379),ISNUMBER(B2378),B2378&lt;&gt;0),B2379/B2378-1,""),"")</f>
        <v/>
      </c>
      <c r="E2379" s="28">
        <f>IFERROR(IF(AND(ISNUMBER(C2379),ISNUMBER(C2378),C2378&lt;&gt;0),C2379/C2378-1,""),"")</f>
        <v/>
      </c>
      <c r="F2379" s="28">
        <f>IFERROR(D2379-Dashboard!$B$4/252,"")</f>
        <v/>
      </c>
      <c r="G2379" s="28">
        <f>IFERROR(E2379-Dashboard!$B$4/252,"")</f>
        <v/>
      </c>
      <c r="H2379" s="8">
        <f>IFERROR(IF(ISNUMBER(B2379),MAX(B2379,IFERROR(H2378,B2379)),""),"")</f>
        <v/>
      </c>
      <c r="I2379" s="29">
        <f>IFERROR(IF(AND(ISNUMBER(B2379),ISNUMBER(H2379)),B2379/H2379-1,""),"")</f>
        <v/>
      </c>
      <c r="J2379" s="8">
        <f>IFERROR(IF(ISNUMBER(C2379),MAX(C2379,IFERROR(J2378,C2379)),""),"")</f>
        <v/>
      </c>
      <c r="K2379" s="29">
        <f>IFERROR(IF(AND(ISNUMBER(C2379),ISNUMBER(J2379)),C2379/J2379-1,""),"")</f>
        <v/>
      </c>
      <c r="L2379" s="28">
        <f>IFERROR(IF(AND(ISNUMBER(D2379),ISNUMBER(E2379)),D2379-E2379,""),"")</f>
        <v/>
      </c>
    </row>
    <row r="2380">
      <c r="A2380" s="7">
        <f>IFERROR(Datos!A2380,"")</f>
        <v/>
      </c>
      <c r="B2380" s="8">
        <f>IFERROR(Datos!B2380,"")</f>
        <v/>
      </c>
      <c r="C2380" s="8">
        <f>IFERROR(Datos!C2380,"")</f>
        <v/>
      </c>
      <c r="D2380" s="28">
        <f>IFERROR(IF(AND(ISNUMBER(B2380),ISNUMBER(B2379),B2379&lt;&gt;0),B2380/B2379-1,""),"")</f>
        <v/>
      </c>
      <c r="E2380" s="28">
        <f>IFERROR(IF(AND(ISNUMBER(C2380),ISNUMBER(C2379),C2379&lt;&gt;0),C2380/C2379-1,""),"")</f>
        <v/>
      </c>
      <c r="F2380" s="28">
        <f>IFERROR(D2380-Dashboard!$B$4/252,"")</f>
        <v/>
      </c>
      <c r="G2380" s="28">
        <f>IFERROR(E2380-Dashboard!$B$4/252,"")</f>
        <v/>
      </c>
      <c r="H2380" s="8">
        <f>IFERROR(IF(ISNUMBER(B2380),MAX(B2380,IFERROR(H2379,B2380)),""),"")</f>
        <v/>
      </c>
      <c r="I2380" s="29">
        <f>IFERROR(IF(AND(ISNUMBER(B2380),ISNUMBER(H2380)),B2380/H2380-1,""),"")</f>
        <v/>
      </c>
      <c r="J2380" s="8">
        <f>IFERROR(IF(ISNUMBER(C2380),MAX(C2380,IFERROR(J2379,C2380)),""),"")</f>
        <v/>
      </c>
      <c r="K2380" s="29">
        <f>IFERROR(IF(AND(ISNUMBER(C2380),ISNUMBER(J2380)),C2380/J2380-1,""),"")</f>
        <v/>
      </c>
      <c r="L2380" s="28">
        <f>IFERROR(IF(AND(ISNUMBER(D2380),ISNUMBER(E2380)),D2380-E2380,""),"")</f>
        <v/>
      </c>
    </row>
    <row r="2381">
      <c r="A2381" s="7">
        <f>IFERROR(Datos!A2381,"")</f>
        <v/>
      </c>
      <c r="B2381" s="8">
        <f>IFERROR(Datos!B2381,"")</f>
        <v/>
      </c>
      <c r="C2381" s="8">
        <f>IFERROR(Datos!C2381,"")</f>
        <v/>
      </c>
      <c r="D2381" s="28">
        <f>IFERROR(IF(AND(ISNUMBER(B2381),ISNUMBER(B2380),B2380&lt;&gt;0),B2381/B2380-1,""),"")</f>
        <v/>
      </c>
      <c r="E2381" s="28">
        <f>IFERROR(IF(AND(ISNUMBER(C2381),ISNUMBER(C2380),C2380&lt;&gt;0),C2381/C2380-1,""),"")</f>
        <v/>
      </c>
      <c r="F2381" s="28">
        <f>IFERROR(D2381-Dashboard!$B$4/252,"")</f>
        <v/>
      </c>
      <c r="G2381" s="28">
        <f>IFERROR(E2381-Dashboard!$B$4/252,"")</f>
        <v/>
      </c>
      <c r="H2381" s="8">
        <f>IFERROR(IF(ISNUMBER(B2381),MAX(B2381,IFERROR(H2380,B2381)),""),"")</f>
        <v/>
      </c>
      <c r="I2381" s="29">
        <f>IFERROR(IF(AND(ISNUMBER(B2381),ISNUMBER(H2381)),B2381/H2381-1,""),"")</f>
        <v/>
      </c>
      <c r="J2381" s="8">
        <f>IFERROR(IF(ISNUMBER(C2381),MAX(C2381,IFERROR(J2380,C2381)),""),"")</f>
        <v/>
      </c>
      <c r="K2381" s="29">
        <f>IFERROR(IF(AND(ISNUMBER(C2381),ISNUMBER(J2381)),C2381/J2381-1,""),"")</f>
        <v/>
      </c>
      <c r="L2381" s="28">
        <f>IFERROR(IF(AND(ISNUMBER(D2381),ISNUMBER(E2381)),D2381-E2381,""),"")</f>
        <v/>
      </c>
    </row>
    <row r="2382">
      <c r="A2382" s="7">
        <f>IFERROR(Datos!A2382,"")</f>
        <v/>
      </c>
      <c r="B2382" s="8">
        <f>IFERROR(Datos!B2382,"")</f>
        <v/>
      </c>
      <c r="C2382" s="8">
        <f>IFERROR(Datos!C2382,"")</f>
        <v/>
      </c>
      <c r="D2382" s="28">
        <f>IFERROR(IF(AND(ISNUMBER(B2382),ISNUMBER(B2381),B2381&lt;&gt;0),B2382/B2381-1,""),"")</f>
        <v/>
      </c>
      <c r="E2382" s="28">
        <f>IFERROR(IF(AND(ISNUMBER(C2382),ISNUMBER(C2381),C2381&lt;&gt;0),C2382/C2381-1,""),"")</f>
        <v/>
      </c>
      <c r="F2382" s="28">
        <f>IFERROR(D2382-Dashboard!$B$4/252,"")</f>
        <v/>
      </c>
      <c r="G2382" s="28">
        <f>IFERROR(E2382-Dashboard!$B$4/252,"")</f>
        <v/>
      </c>
      <c r="H2382" s="8">
        <f>IFERROR(IF(ISNUMBER(B2382),MAX(B2382,IFERROR(H2381,B2382)),""),"")</f>
        <v/>
      </c>
      <c r="I2382" s="29">
        <f>IFERROR(IF(AND(ISNUMBER(B2382),ISNUMBER(H2382)),B2382/H2382-1,""),"")</f>
        <v/>
      </c>
      <c r="J2382" s="8">
        <f>IFERROR(IF(ISNUMBER(C2382),MAX(C2382,IFERROR(J2381,C2382)),""),"")</f>
        <v/>
      </c>
      <c r="K2382" s="29">
        <f>IFERROR(IF(AND(ISNUMBER(C2382),ISNUMBER(J2382)),C2382/J2382-1,""),"")</f>
        <v/>
      </c>
      <c r="L2382" s="28">
        <f>IFERROR(IF(AND(ISNUMBER(D2382),ISNUMBER(E2382)),D2382-E2382,""),"")</f>
        <v/>
      </c>
    </row>
    <row r="2383">
      <c r="A2383" s="7">
        <f>IFERROR(Datos!A2383,"")</f>
        <v/>
      </c>
      <c r="B2383" s="8">
        <f>IFERROR(Datos!B2383,"")</f>
        <v/>
      </c>
      <c r="C2383" s="8">
        <f>IFERROR(Datos!C2383,"")</f>
        <v/>
      </c>
      <c r="D2383" s="28">
        <f>IFERROR(IF(AND(ISNUMBER(B2383),ISNUMBER(B2382),B2382&lt;&gt;0),B2383/B2382-1,""),"")</f>
        <v/>
      </c>
      <c r="E2383" s="28">
        <f>IFERROR(IF(AND(ISNUMBER(C2383),ISNUMBER(C2382),C2382&lt;&gt;0),C2383/C2382-1,""),"")</f>
        <v/>
      </c>
      <c r="F2383" s="28">
        <f>IFERROR(D2383-Dashboard!$B$4/252,"")</f>
        <v/>
      </c>
      <c r="G2383" s="28">
        <f>IFERROR(E2383-Dashboard!$B$4/252,"")</f>
        <v/>
      </c>
      <c r="H2383" s="8">
        <f>IFERROR(IF(ISNUMBER(B2383),MAX(B2383,IFERROR(H2382,B2383)),""),"")</f>
        <v/>
      </c>
      <c r="I2383" s="29">
        <f>IFERROR(IF(AND(ISNUMBER(B2383),ISNUMBER(H2383)),B2383/H2383-1,""),"")</f>
        <v/>
      </c>
      <c r="J2383" s="8">
        <f>IFERROR(IF(ISNUMBER(C2383),MAX(C2383,IFERROR(J2382,C2383)),""),"")</f>
        <v/>
      </c>
      <c r="K2383" s="29">
        <f>IFERROR(IF(AND(ISNUMBER(C2383),ISNUMBER(J2383)),C2383/J2383-1,""),"")</f>
        <v/>
      </c>
      <c r="L2383" s="28">
        <f>IFERROR(IF(AND(ISNUMBER(D2383),ISNUMBER(E2383)),D2383-E2383,""),"")</f>
        <v/>
      </c>
    </row>
    <row r="2384">
      <c r="A2384" s="7">
        <f>IFERROR(Datos!A2384,"")</f>
        <v/>
      </c>
      <c r="B2384" s="8">
        <f>IFERROR(Datos!B2384,"")</f>
        <v/>
      </c>
      <c r="C2384" s="8">
        <f>IFERROR(Datos!C2384,"")</f>
        <v/>
      </c>
      <c r="D2384" s="28">
        <f>IFERROR(IF(AND(ISNUMBER(B2384),ISNUMBER(B2383),B2383&lt;&gt;0),B2384/B2383-1,""),"")</f>
        <v/>
      </c>
      <c r="E2384" s="28">
        <f>IFERROR(IF(AND(ISNUMBER(C2384),ISNUMBER(C2383),C2383&lt;&gt;0),C2384/C2383-1,""),"")</f>
        <v/>
      </c>
      <c r="F2384" s="28">
        <f>IFERROR(D2384-Dashboard!$B$4/252,"")</f>
        <v/>
      </c>
      <c r="G2384" s="28">
        <f>IFERROR(E2384-Dashboard!$B$4/252,"")</f>
        <v/>
      </c>
      <c r="H2384" s="8">
        <f>IFERROR(IF(ISNUMBER(B2384),MAX(B2384,IFERROR(H2383,B2384)),""),"")</f>
        <v/>
      </c>
      <c r="I2384" s="29">
        <f>IFERROR(IF(AND(ISNUMBER(B2384),ISNUMBER(H2384)),B2384/H2384-1,""),"")</f>
        <v/>
      </c>
      <c r="J2384" s="8">
        <f>IFERROR(IF(ISNUMBER(C2384),MAX(C2384,IFERROR(J2383,C2384)),""),"")</f>
        <v/>
      </c>
      <c r="K2384" s="29">
        <f>IFERROR(IF(AND(ISNUMBER(C2384),ISNUMBER(J2384)),C2384/J2384-1,""),"")</f>
        <v/>
      </c>
      <c r="L2384" s="28">
        <f>IFERROR(IF(AND(ISNUMBER(D2384),ISNUMBER(E2384)),D2384-E2384,""),"")</f>
        <v/>
      </c>
    </row>
    <row r="2385">
      <c r="A2385" s="7">
        <f>IFERROR(Datos!A2385,"")</f>
        <v/>
      </c>
      <c r="B2385" s="8">
        <f>IFERROR(Datos!B2385,"")</f>
        <v/>
      </c>
      <c r="C2385" s="8">
        <f>IFERROR(Datos!C2385,"")</f>
        <v/>
      </c>
      <c r="D2385" s="28">
        <f>IFERROR(IF(AND(ISNUMBER(B2385),ISNUMBER(B2384),B2384&lt;&gt;0),B2385/B2384-1,""),"")</f>
        <v/>
      </c>
      <c r="E2385" s="28">
        <f>IFERROR(IF(AND(ISNUMBER(C2385),ISNUMBER(C2384),C2384&lt;&gt;0),C2385/C2384-1,""),"")</f>
        <v/>
      </c>
      <c r="F2385" s="28">
        <f>IFERROR(D2385-Dashboard!$B$4/252,"")</f>
        <v/>
      </c>
      <c r="G2385" s="28">
        <f>IFERROR(E2385-Dashboard!$B$4/252,"")</f>
        <v/>
      </c>
      <c r="H2385" s="8">
        <f>IFERROR(IF(ISNUMBER(B2385),MAX(B2385,IFERROR(H2384,B2385)),""),"")</f>
        <v/>
      </c>
      <c r="I2385" s="29">
        <f>IFERROR(IF(AND(ISNUMBER(B2385),ISNUMBER(H2385)),B2385/H2385-1,""),"")</f>
        <v/>
      </c>
      <c r="J2385" s="8">
        <f>IFERROR(IF(ISNUMBER(C2385),MAX(C2385,IFERROR(J2384,C2385)),""),"")</f>
        <v/>
      </c>
      <c r="K2385" s="29">
        <f>IFERROR(IF(AND(ISNUMBER(C2385),ISNUMBER(J2385)),C2385/J2385-1,""),"")</f>
        <v/>
      </c>
      <c r="L2385" s="28">
        <f>IFERROR(IF(AND(ISNUMBER(D2385),ISNUMBER(E2385)),D2385-E2385,""),"")</f>
        <v/>
      </c>
    </row>
    <row r="2386">
      <c r="A2386" s="7">
        <f>IFERROR(Datos!A2386,"")</f>
        <v/>
      </c>
      <c r="B2386" s="8">
        <f>IFERROR(Datos!B2386,"")</f>
        <v/>
      </c>
      <c r="C2386" s="8">
        <f>IFERROR(Datos!C2386,"")</f>
        <v/>
      </c>
      <c r="D2386" s="28">
        <f>IFERROR(IF(AND(ISNUMBER(B2386),ISNUMBER(B2385),B2385&lt;&gt;0),B2386/B2385-1,""),"")</f>
        <v/>
      </c>
      <c r="E2386" s="28">
        <f>IFERROR(IF(AND(ISNUMBER(C2386),ISNUMBER(C2385),C2385&lt;&gt;0),C2386/C2385-1,""),"")</f>
        <v/>
      </c>
      <c r="F2386" s="28">
        <f>IFERROR(D2386-Dashboard!$B$4/252,"")</f>
        <v/>
      </c>
      <c r="G2386" s="28">
        <f>IFERROR(E2386-Dashboard!$B$4/252,"")</f>
        <v/>
      </c>
      <c r="H2386" s="8">
        <f>IFERROR(IF(ISNUMBER(B2386),MAX(B2386,IFERROR(H2385,B2386)),""),"")</f>
        <v/>
      </c>
      <c r="I2386" s="29">
        <f>IFERROR(IF(AND(ISNUMBER(B2386),ISNUMBER(H2386)),B2386/H2386-1,""),"")</f>
        <v/>
      </c>
      <c r="J2386" s="8">
        <f>IFERROR(IF(ISNUMBER(C2386),MAX(C2386,IFERROR(J2385,C2386)),""),"")</f>
        <v/>
      </c>
      <c r="K2386" s="29">
        <f>IFERROR(IF(AND(ISNUMBER(C2386),ISNUMBER(J2386)),C2386/J2386-1,""),"")</f>
        <v/>
      </c>
      <c r="L2386" s="28">
        <f>IFERROR(IF(AND(ISNUMBER(D2386),ISNUMBER(E2386)),D2386-E2386,""),"")</f>
        <v/>
      </c>
    </row>
    <row r="2387">
      <c r="A2387" s="7">
        <f>IFERROR(Datos!A2387,"")</f>
        <v/>
      </c>
      <c r="B2387" s="8">
        <f>IFERROR(Datos!B2387,"")</f>
        <v/>
      </c>
      <c r="C2387" s="8">
        <f>IFERROR(Datos!C2387,"")</f>
        <v/>
      </c>
      <c r="D2387" s="28">
        <f>IFERROR(IF(AND(ISNUMBER(B2387),ISNUMBER(B2386),B2386&lt;&gt;0),B2387/B2386-1,""),"")</f>
        <v/>
      </c>
      <c r="E2387" s="28">
        <f>IFERROR(IF(AND(ISNUMBER(C2387),ISNUMBER(C2386),C2386&lt;&gt;0),C2387/C2386-1,""),"")</f>
        <v/>
      </c>
      <c r="F2387" s="28">
        <f>IFERROR(D2387-Dashboard!$B$4/252,"")</f>
        <v/>
      </c>
      <c r="G2387" s="28">
        <f>IFERROR(E2387-Dashboard!$B$4/252,"")</f>
        <v/>
      </c>
      <c r="H2387" s="8">
        <f>IFERROR(IF(ISNUMBER(B2387),MAX(B2387,IFERROR(H2386,B2387)),""),"")</f>
        <v/>
      </c>
      <c r="I2387" s="29">
        <f>IFERROR(IF(AND(ISNUMBER(B2387),ISNUMBER(H2387)),B2387/H2387-1,""),"")</f>
        <v/>
      </c>
      <c r="J2387" s="8">
        <f>IFERROR(IF(ISNUMBER(C2387),MAX(C2387,IFERROR(J2386,C2387)),""),"")</f>
        <v/>
      </c>
      <c r="K2387" s="29">
        <f>IFERROR(IF(AND(ISNUMBER(C2387),ISNUMBER(J2387)),C2387/J2387-1,""),"")</f>
        <v/>
      </c>
      <c r="L2387" s="28">
        <f>IFERROR(IF(AND(ISNUMBER(D2387),ISNUMBER(E2387)),D2387-E2387,""),"")</f>
        <v/>
      </c>
    </row>
    <row r="2388">
      <c r="A2388" s="7">
        <f>IFERROR(Datos!A2388,"")</f>
        <v/>
      </c>
      <c r="B2388" s="8">
        <f>IFERROR(Datos!B2388,"")</f>
        <v/>
      </c>
      <c r="C2388" s="8">
        <f>IFERROR(Datos!C2388,"")</f>
        <v/>
      </c>
      <c r="D2388" s="28">
        <f>IFERROR(IF(AND(ISNUMBER(B2388),ISNUMBER(B2387),B2387&lt;&gt;0),B2388/B2387-1,""),"")</f>
        <v/>
      </c>
      <c r="E2388" s="28">
        <f>IFERROR(IF(AND(ISNUMBER(C2388),ISNUMBER(C2387),C2387&lt;&gt;0),C2388/C2387-1,""),"")</f>
        <v/>
      </c>
      <c r="F2388" s="28">
        <f>IFERROR(D2388-Dashboard!$B$4/252,"")</f>
        <v/>
      </c>
      <c r="G2388" s="28">
        <f>IFERROR(E2388-Dashboard!$B$4/252,"")</f>
        <v/>
      </c>
      <c r="H2388" s="8">
        <f>IFERROR(IF(ISNUMBER(B2388),MAX(B2388,IFERROR(H2387,B2388)),""),"")</f>
        <v/>
      </c>
      <c r="I2388" s="29">
        <f>IFERROR(IF(AND(ISNUMBER(B2388),ISNUMBER(H2388)),B2388/H2388-1,""),"")</f>
        <v/>
      </c>
      <c r="J2388" s="8">
        <f>IFERROR(IF(ISNUMBER(C2388),MAX(C2388,IFERROR(J2387,C2388)),""),"")</f>
        <v/>
      </c>
      <c r="K2388" s="29">
        <f>IFERROR(IF(AND(ISNUMBER(C2388),ISNUMBER(J2388)),C2388/J2388-1,""),"")</f>
        <v/>
      </c>
      <c r="L2388" s="28">
        <f>IFERROR(IF(AND(ISNUMBER(D2388),ISNUMBER(E2388)),D2388-E2388,""),"")</f>
        <v/>
      </c>
    </row>
    <row r="2389">
      <c r="A2389" s="7">
        <f>IFERROR(Datos!A2389,"")</f>
        <v/>
      </c>
      <c r="B2389" s="8">
        <f>IFERROR(Datos!B2389,"")</f>
        <v/>
      </c>
      <c r="C2389" s="8">
        <f>IFERROR(Datos!C2389,"")</f>
        <v/>
      </c>
      <c r="D2389" s="28">
        <f>IFERROR(IF(AND(ISNUMBER(B2389),ISNUMBER(B2388),B2388&lt;&gt;0),B2389/B2388-1,""),"")</f>
        <v/>
      </c>
      <c r="E2389" s="28">
        <f>IFERROR(IF(AND(ISNUMBER(C2389),ISNUMBER(C2388),C2388&lt;&gt;0),C2389/C2388-1,""),"")</f>
        <v/>
      </c>
      <c r="F2389" s="28">
        <f>IFERROR(D2389-Dashboard!$B$4/252,"")</f>
        <v/>
      </c>
      <c r="G2389" s="28">
        <f>IFERROR(E2389-Dashboard!$B$4/252,"")</f>
        <v/>
      </c>
      <c r="H2389" s="8">
        <f>IFERROR(IF(ISNUMBER(B2389),MAX(B2389,IFERROR(H2388,B2389)),""),"")</f>
        <v/>
      </c>
      <c r="I2389" s="29">
        <f>IFERROR(IF(AND(ISNUMBER(B2389),ISNUMBER(H2389)),B2389/H2389-1,""),"")</f>
        <v/>
      </c>
      <c r="J2389" s="8">
        <f>IFERROR(IF(ISNUMBER(C2389),MAX(C2389,IFERROR(J2388,C2389)),""),"")</f>
        <v/>
      </c>
      <c r="K2389" s="29">
        <f>IFERROR(IF(AND(ISNUMBER(C2389),ISNUMBER(J2389)),C2389/J2389-1,""),"")</f>
        <v/>
      </c>
      <c r="L2389" s="28">
        <f>IFERROR(IF(AND(ISNUMBER(D2389),ISNUMBER(E2389)),D2389-E2389,""),"")</f>
        <v/>
      </c>
    </row>
    <row r="2390">
      <c r="A2390" s="7">
        <f>IFERROR(Datos!A2390,"")</f>
        <v/>
      </c>
      <c r="B2390" s="8">
        <f>IFERROR(Datos!B2390,"")</f>
        <v/>
      </c>
      <c r="C2390" s="8">
        <f>IFERROR(Datos!C2390,"")</f>
        <v/>
      </c>
      <c r="D2390" s="28">
        <f>IFERROR(IF(AND(ISNUMBER(B2390),ISNUMBER(B2389),B2389&lt;&gt;0),B2390/B2389-1,""),"")</f>
        <v/>
      </c>
      <c r="E2390" s="28">
        <f>IFERROR(IF(AND(ISNUMBER(C2390),ISNUMBER(C2389),C2389&lt;&gt;0),C2390/C2389-1,""),"")</f>
        <v/>
      </c>
      <c r="F2390" s="28">
        <f>IFERROR(D2390-Dashboard!$B$4/252,"")</f>
        <v/>
      </c>
      <c r="G2390" s="28">
        <f>IFERROR(E2390-Dashboard!$B$4/252,"")</f>
        <v/>
      </c>
      <c r="H2390" s="8">
        <f>IFERROR(IF(ISNUMBER(B2390),MAX(B2390,IFERROR(H2389,B2390)),""),"")</f>
        <v/>
      </c>
      <c r="I2390" s="29">
        <f>IFERROR(IF(AND(ISNUMBER(B2390),ISNUMBER(H2390)),B2390/H2390-1,""),"")</f>
        <v/>
      </c>
      <c r="J2390" s="8">
        <f>IFERROR(IF(ISNUMBER(C2390),MAX(C2390,IFERROR(J2389,C2390)),""),"")</f>
        <v/>
      </c>
      <c r="K2390" s="29">
        <f>IFERROR(IF(AND(ISNUMBER(C2390),ISNUMBER(J2390)),C2390/J2390-1,""),"")</f>
        <v/>
      </c>
      <c r="L2390" s="28">
        <f>IFERROR(IF(AND(ISNUMBER(D2390),ISNUMBER(E2390)),D2390-E2390,""),"")</f>
        <v/>
      </c>
    </row>
    <row r="2391">
      <c r="A2391" s="7">
        <f>IFERROR(Datos!A2391,"")</f>
        <v/>
      </c>
      <c r="B2391" s="8">
        <f>IFERROR(Datos!B2391,"")</f>
        <v/>
      </c>
      <c r="C2391" s="8">
        <f>IFERROR(Datos!C2391,"")</f>
        <v/>
      </c>
      <c r="D2391" s="28">
        <f>IFERROR(IF(AND(ISNUMBER(B2391),ISNUMBER(B2390),B2390&lt;&gt;0),B2391/B2390-1,""),"")</f>
        <v/>
      </c>
      <c r="E2391" s="28">
        <f>IFERROR(IF(AND(ISNUMBER(C2391),ISNUMBER(C2390),C2390&lt;&gt;0),C2391/C2390-1,""),"")</f>
        <v/>
      </c>
      <c r="F2391" s="28">
        <f>IFERROR(D2391-Dashboard!$B$4/252,"")</f>
        <v/>
      </c>
      <c r="G2391" s="28">
        <f>IFERROR(E2391-Dashboard!$B$4/252,"")</f>
        <v/>
      </c>
      <c r="H2391" s="8">
        <f>IFERROR(IF(ISNUMBER(B2391),MAX(B2391,IFERROR(H2390,B2391)),""),"")</f>
        <v/>
      </c>
      <c r="I2391" s="29">
        <f>IFERROR(IF(AND(ISNUMBER(B2391),ISNUMBER(H2391)),B2391/H2391-1,""),"")</f>
        <v/>
      </c>
      <c r="J2391" s="8">
        <f>IFERROR(IF(ISNUMBER(C2391),MAX(C2391,IFERROR(J2390,C2391)),""),"")</f>
        <v/>
      </c>
      <c r="K2391" s="29">
        <f>IFERROR(IF(AND(ISNUMBER(C2391),ISNUMBER(J2391)),C2391/J2391-1,""),"")</f>
        <v/>
      </c>
      <c r="L2391" s="28">
        <f>IFERROR(IF(AND(ISNUMBER(D2391),ISNUMBER(E2391)),D2391-E2391,""),"")</f>
        <v/>
      </c>
    </row>
    <row r="2392">
      <c r="A2392" s="7">
        <f>IFERROR(Datos!A2392,"")</f>
        <v/>
      </c>
      <c r="B2392" s="8">
        <f>IFERROR(Datos!B2392,"")</f>
        <v/>
      </c>
      <c r="C2392" s="8">
        <f>IFERROR(Datos!C2392,"")</f>
        <v/>
      </c>
      <c r="D2392" s="28">
        <f>IFERROR(IF(AND(ISNUMBER(B2392),ISNUMBER(B2391),B2391&lt;&gt;0),B2392/B2391-1,""),"")</f>
        <v/>
      </c>
      <c r="E2392" s="28">
        <f>IFERROR(IF(AND(ISNUMBER(C2392),ISNUMBER(C2391),C2391&lt;&gt;0),C2392/C2391-1,""),"")</f>
        <v/>
      </c>
      <c r="F2392" s="28">
        <f>IFERROR(D2392-Dashboard!$B$4/252,"")</f>
        <v/>
      </c>
      <c r="G2392" s="28">
        <f>IFERROR(E2392-Dashboard!$B$4/252,"")</f>
        <v/>
      </c>
      <c r="H2392" s="8">
        <f>IFERROR(IF(ISNUMBER(B2392),MAX(B2392,IFERROR(H2391,B2392)),""),"")</f>
        <v/>
      </c>
      <c r="I2392" s="29">
        <f>IFERROR(IF(AND(ISNUMBER(B2392),ISNUMBER(H2392)),B2392/H2392-1,""),"")</f>
        <v/>
      </c>
      <c r="J2392" s="8">
        <f>IFERROR(IF(ISNUMBER(C2392),MAX(C2392,IFERROR(J2391,C2392)),""),"")</f>
        <v/>
      </c>
      <c r="K2392" s="29">
        <f>IFERROR(IF(AND(ISNUMBER(C2392),ISNUMBER(J2392)),C2392/J2392-1,""),"")</f>
        <v/>
      </c>
      <c r="L2392" s="28">
        <f>IFERROR(IF(AND(ISNUMBER(D2392),ISNUMBER(E2392)),D2392-E2392,""),"")</f>
        <v/>
      </c>
    </row>
    <row r="2393">
      <c r="A2393" s="7">
        <f>IFERROR(Datos!A2393,"")</f>
        <v/>
      </c>
      <c r="B2393" s="8">
        <f>IFERROR(Datos!B2393,"")</f>
        <v/>
      </c>
      <c r="C2393" s="8">
        <f>IFERROR(Datos!C2393,"")</f>
        <v/>
      </c>
      <c r="D2393" s="28">
        <f>IFERROR(IF(AND(ISNUMBER(B2393),ISNUMBER(B2392),B2392&lt;&gt;0),B2393/B2392-1,""),"")</f>
        <v/>
      </c>
      <c r="E2393" s="28">
        <f>IFERROR(IF(AND(ISNUMBER(C2393),ISNUMBER(C2392),C2392&lt;&gt;0),C2393/C2392-1,""),"")</f>
        <v/>
      </c>
      <c r="F2393" s="28">
        <f>IFERROR(D2393-Dashboard!$B$4/252,"")</f>
        <v/>
      </c>
      <c r="G2393" s="28">
        <f>IFERROR(E2393-Dashboard!$B$4/252,"")</f>
        <v/>
      </c>
      <c r="H2393" s="8">
        <f>IFERROR(IF(ISNUMBER(B2393),MAX(B2393,IFERROR(H2392,B2393)),""),"")</f>
        <v/>
      </c>
      <c r="I2393" s="29">
        <f>IFERROR(IF(AND(ISNUMBER(B2393),ISNUMBER(H2393)),B2393/H2393-1,""),"")</f>
        <v/>
      </c>
      <c r="J2393" s="8">
        <f>IFERROR(IF(ISNUMBER(C2393),MAX(C2393,IFERROR(J2392,C2393)),""),"")</f>
        <v/>
      </c>
      <c r="K2393" s="29">
        <f>IFERROR(IF(AND(ISNUMBER(C2393),ISNUMBER(J2393)),C2393/J2393-1,""),"")</f>
        <v/>
      </c>
      <c r="L2393" s="28">
        <f>IFERROR(IF(AND(ISNUMBER(D2393),ISNUMBER(E2393)),D2393-E2393,""),"")</f>
        <v/>
      </c>
    </row>
    <row r="2394">
      <c r="A2394" s="7">
        <f>IFERROR(Datos!A2394,"")</f>
        <v/>
      </c>
      <c r="B2394" s="8">
        <f>IFERROR(Datos!B2394,"")</f>
        <v/>
      </c>
      <c r="C2394" s="8">
        <f>IFERROR(Datos!C2394,"")</f>
        <v/>
      </c>
      <c r="D2394" s="28">
        <f>IFERROR(IF(AND(ISNUMBER(B2394),ISNUMBER(B2393),B2393&lt;&gt;0),B2394/B2393-1,""),"")</f>
        <v/>
      </c>
      <c r="E2394" s="28">
        <f>IFERROR(IF(AND(ISNUMBER(C2394),ISNUMBER(C2393),C2393&lt;&gt;0),C2394/C2393-1,""),"")</f>
        <v/>
      </c>
      <c r="F2394" s="28">
        <f>IFERROR(D2394-Dashboard!$B$4/252,"")</f>
        <v/>
      </c>
      <c r="G2394" s="28">
        <f>IFERROR(E2394-Dashboard!$B$4/252,"")</f>
        <v/>
      </c>
      <c r="H2394" s="8">
        <f>IFERROR(IF(ISNUMBER(B2394),MAX(B2394,IFERROR(H2393,B2394)),""),"")</f>
        <v/>
      </c>
      <c r="I2394" s="29">
        <f>IFERROR(IF(AND(ISNUMBER(B2394),ISNUMBER(H2394)),B2394/H2394-1,""),"")</f>
        <v/>
      </c>
      <c r="J2394" s="8">
        <f>IFERROR(IF(ISNUMBER(C2394),MAX(C2394,IFERROR(J2393,C2394)),""),"")</f>
        <v/>
      </c>
      <c r="K2394" s="29">
        <f>IFERROR(IF(AND(ISNUMBER(C2394),ISNUMBER(J2394)),C2394/J2394-1,""),"")</f>
        <v/>
      </c>
      <c r="L2394" s="28">
        <f>IFERROR(IF(AND(ISNUMBER(D2394),ISNUMBER(E2394)),D2394-E2394,""),"")</f>
        <v/>
      </c>
    </row>
    <row r="2395">
      <c r="A2395" s="7">
        <f>IFERROR(Datos!A2395,"")</f>
        <v/>
      </c>
      <c r="B2395" s="8">
        <f>IFERROR(Datos!B2395,"")</f>
        <v/>
      </c>
      <c r="C2395" s="8">
        <f>IFERROR(Datos!C2395,"")</f>
        <v/>
      </c>
      <c r="D2395" s="28">
        <f>IFERROR(IF(AND(ISNUMBER(B2395),ISNUMBER(B2394),B2394&lt;&gt;0),B2395/B2394-1,""),"")</f>
        <v/>
      </c>
      <c r="E2395" s="28">
        <f>IFERROR(IF(AND(ISNUMBER(C2395),ISNUMBER(C2394),C2394&lt;&gt;0),C2395/C2394-1,""),"")</f>
        <v/>
      </c>
      <c r="F2395" s="28">
        <f>IFERROR(D2395-Dashboard!$B$4/252,"")</f>
        <v/>
      </c>
      <c r="G2395" s="28">
        <f>IFERROR(E2395-Dashboard!$B$4/252,"")</f>
        <v/>
      </c>
      <c r="H2395" s="8">
        <f>IFERROR(IF(ISNUMBER(B2395),MAX(B2395,IFERROR(H2394,B2395)),""),"")</f>
        <v/>
      </c>
      <c r="I2395" s="29">
        <f>IFERROR(IF(AND(ISNUMBER(B2395),ISNUMBER(H2395)),B2395/H2395-1,""),"")</f>
        <v/>
      </c>
      <c r="J2395" s="8">
        <f>IFERROR(IF(ISNUMBER(C2395),MAX(C2395,IFERROR(J2394,C2395)),""),"")</f>
        <v/>
      </c>
      <c r="K2395" s="29">
        <f>IFERROR(IF(AND(ISNUMBER(C2395),ISNUMBER(J2395)),C2395/J2395-1,""),"")</f>
        <v/>
      </c>
      <c r="L2395" s="28">
        <f>IFERROR(IF(AND(ISNUMBER(D2395),ISNUMBER(E2395)),D2395-E2395,""),"")</f>
        <v/>
      </c>
    </row>
    <row r="2396">
      <c r="A2396" s="7">
        <f>IFERROR(Datos!A2396,"")</f>
        <v/>
      </c>
      <c r="B2396" s="8">
        <f>IFERROR(Datos!B2396,"")</f>
        <v/>
      </c>
      <c r="C2396" s="8">
        <f>IFERROR(Datos!C2396,"")</f>
        <v/>
      </c>
      <c r="D2396" s="28">
        <f>IFERROR(IF(AND(ISNUMBER(B2396),ISNUMBER(B2395),B2395&lt;&gt;0),B2396/B2395-1,""),"")</f>
        <v/>
      </c>
      <c r="E2396" s="28">
        <f>IFERROR(IF(AND(ISNUMBER(C2396),ISNUMBER(C2395),C2395&lt;&gt;0),C2396/C2395-1,""),"")</f>
        <v/>
      </c>
      <c r="F2396" s="28">
        <f>IFERROR(D2396-Dashboard!$B$4/252,"")</f>
        <v/>
      </c>
      <c r="G2396" s="28">
        <f>IFERROR(E2396-Dashboard!$B$4/252,"")</f>
        <v/>
      </c>
      <c r="H2396" s="8">
        <f>IFERROR(IF(ISNUMBER(B2396),MAX(B2396,IFERROR(H2395,B2396)),""),"")</f>
        <v/>
      </c>
      <c r="I2396" s="29">
        <f>IFERROR(IF(AND(ISNUMBER(B2396),ISNUMBER(H2396)),B2396/H2396-1,""),"")</f>
        <v/>
      </c>
      <c r="J2396" s="8">
        <f>IFERROR(IF(ISNUMBER(C2396),MAX(C2396,IFERROR(J2395,C2396)),""),"")</f>
        <v/>
      </c>
      <c r="K2396" s="29">
        <f>IFERROR(IF(AND(ISNUMBER(C2396),ISNUMBER(J2396)),C2396/J2396-1,""),"")</f>
        <v/>
      </c>
      <c r="L2396" s="28">
        <f>IFERROR(IF(AND(ISNUMBER(D2396),ISNUMBER(E2396)),D2396-E2396,""),"")</f>
        <v/>
      </c>
    </row>
    <row r="2397">
      <c r="A2397" s="7">
        <f>IFERROR(Datos!A2397,"")</f>
        <v/>
      </c>
      <c r="B2397" s="8">
        <f>IFERROR(Datos!B2397,"")</f>
        <v/>
      </c>
      <c r="C2397" s="8">
        <f>IFERROR(Datos!C2397,"")</f>
        <v/>
      </c>
      <c r="D2397" s="28">
        <f>IFERROR(IF(AND(ISNUMBER(B2397),ISNUMBER(B2396),B2396&lt;&gt;0),B2397/B2396-1,""),"")</f>
        <v/>
      </c>
      <c r="E2397" s="28">
        <f>IFERROR(IF(AND(ISNUMBER(C2397),ISNUMBER(C2396),C2396&lt;&gt;0),C2397/C2396-1,""),"")</f>
        <v/>
      </c>
      <c r="F2397" s="28">
        <f>IFERROR(D2397-Dashboard!$B$4/252,"")</f>
        <v/>
      </c>
      <c r="G2397" s="28">
        <f>IFERROR(E2397-Dashboard!$B$4/252,"")</f>
        <v/>
      </c>
      <c r="H2397" s="8">
        <f>IFERROR(IF(ISNUMBER(B2397),MAX(B2397,IFERROR(H2396,B2397)),""),"")</f>
        <v/>
      </c>
      <c r="I2397" s="29">
        <f>IFERROR(IF(AND(ISNUMBER(B2397),ISNUMBER(H2397)),B2397/H2397-1,""),"")</f>
        <v/>
      </c>
      <c r="J2397" s="8">
        <f>IFERROR(IF(ISNUMBER(C2397),MAX(C2397,IFERROR(J2396,C2397)),""),"")</f>
        <v/>
      </c>
      <c r="K2397" s="29">
        <f>IFERROR(IF(AND(ISNUMBER(C2397),ISNUMBER(J2397)),C2397/J2397-1,""),"")</f>
        <v/>
      </c>
      <c r="L2397" s="28">
        <f>IFERROR(IF(AND(ISNUMBER(D2397),ISNUMBER(E2397)),D2397-E2397,""),"")</f>
        <v/>
      </c>
    </row>
    <row r="2398">
      <c r="A2398" s="7">
        <f>IFERROR(Datos!A2398,"")</f>
        <v/>
      </c>
      <c r="B2398" s="8">
        <f>IFERROR(Datos!B2398,"")</f>
        <v/>
      </c>
      <c r="C2398" s="8">
        <f>IFERROR(Datos!C2398,"")</f>
        <v/>
      </c>
      <c r="D2398" s="28">
        <f>IFERROR(IF(AND(ISNUMBER(B2398),ISNUMBER(B2397),B2397&lt;&gt;0),B2398/B2397-1,""),"")</f>
        <v/>
      </c>
      <c r="E2398" s="28">
        <f>IFERROR(IF(AND(ISNUMBER(C2398),ISNUMBER(C2397),C2397&lt;&gt;0),C2398/C2397-1,""),"")</f>
        <v/>
      </c>
      <c r="F2398" s="28">
        <f>IFERROR(D2398-Dashboard!$B$4/252,"")</f>
        <v/>
      </c>
      <c r="G2398" s="28">
        <f>IFERROR(E2398-Dashboard!$B$4/252,"")</f>
        <v/>
      </c>
      <c r="H2398" s="8">
        <f>IFERROR(IF(ISNUMBER(B2398),MAX(B2398,IFERROR(H2397,B2398)),""),"")</f>
        <v/>
      </c>
      <c r="I2398" s="29">
        <f>IFERROR(IF(AND(ISNUMBER(B2398),ISNUMBER(H2398)),B2398/H2398-1,""),"")</f>
        <v/>
      </c>
      <c r="J2398" s="8">
        <f>IFERROR(IF(ISNUMBER(C2398),MAX(C2398,IFERROR(J2397,C2398)),""),"")</f>
        <v/>
      </c>
      <c r="K2398" s="29">
        <f>IFERROR(IF(AND(ISNUMBER(C2398),ISNUMBER(J2398)),C2398/J2398-1,""),"")</f>
        <v/>
      </c>
      <c r="L2398" s="28">
        <f>IFERROR(IF(AND(ISNUMBER(D2398),ISNUMBER(E2398)),D2398-E2398,""),"")</f>
        <v/>
      </c>
    </row>
    <row r="2399">
      <c r="A2399" s="7">
        <f>IFERROR(Datos!A2399,"")</f>
        <v/>
      </c>
      <c r="B2399" s="8">
        <f>IFERROR(Datos!B2399,"")</f>
        <v/>
      </c>
      <c r="C2399" s="8">
        <f>IFERROR(Datos!C2399,"")</f>
        <v/>
      </c>
      <c r="D2399" s="28">
        <f>IFERROR(IF(AND(ISNUMBER(B2399),ISNUMBER(B2398),B2398&lt;&gt;0),B2399/B2398-1,""),"")</f>
        <v/>
      </c>
      <c r="E2399" s="28">
        <f>IFERROR(IF(AND(ISNUMBER(C2399),ISNUMBER(C2398),C2398&lt;&gt;0),C2399/C2398-1,""),"")</f>
        <v/>
      </c>
      <c r="F2399" s="28">
        <f>IFERROR(D2399-Dashboard!$B$4/252,"")</f>
        <v/>
      </c>
      <c r="G2399" s="28">
        <f>IFERROR(E2399-Dashboard!$B$4/252,"")</f>
        <v/>
      </c>
      <c r="H2399" s="8">
        <f>IFERROR(IF(ISNUMBER(B2399),MAX(B2399,IFERROR(H2398,B2399)),""),"")</f>
        <v/>
      </c>
      <c r="I2399" s="29">
        <f>IFERROR(IF(AND(ISNUMBER(B2399),ISNUMBER(H2399)),B2399/H2399-1,""),"")</f>
        <v/>
      </c>
      <c r="J2399" s="8">
        <f>IFERROR(IF(ISNUMBER(C2399),MAX(C2399,IFERROR(J2398,C2399)),""),"")</f>
        <v/>
      </c>
      <c r="K2399" s="29">
        <f>IFERROR(IF(AND(ISNUMBER(C2399),ISNUMBER(J2399)),C2399/J2399-1,""),"")</f>
        <v/>
      </c>
      <c r="L2399" s="28">
        <f>IFERROR(IF(AND(ISNUMBER(D2399),ISNUMBER(E2399)),D2399-E2399,""),"")</f>
        <v/>
      </c>
    </row>
    <row r="2400">
      <c r="A2400" s="7">
        <f>IFERROR(Datos!A2400,"")</f>
        <v/>
      </c>
      <c r="B2400" s="8">
        <f>IFERROR(Datos!B2400,"")</f>
        <v/>
      </c>
      <c r="C2400" s="8">
        <f>IFERROR(Datos!C2400,"")</f>
        <v/>
      </c>
      <c r="D2400" s="28">
        <f>IFERROR(IF(AND(ISNUMBER(B2400),ISNUMBER(B2399),B2399&lt;&gt;0),B2400/B2399-1,""),"")</f>
        <v/>
      </c>
      <c r="E2400" s="28">
        <f>IFERROR(IF(AND(ISNUMBER(C2400),ISNUMBER(C2399),C2399&lt;&gt;0),C2400/C2399-1,""),"")</f>
        <v/>
      </c>
      <c r="F2400" s="28">
        <f>IFERROR(D2400-Dashboard!$B$4/252,"")</f>
        <v/>
      </c>
      <c r="G2400" s="28">
        <f>IFERROR(E2400-Dashboard!$B$4/252,"")</f>
        <v/>
      </c>
      <c r="H2400" s="8">
        <f>IFERROR(IF(ISNUMBER(B2400),MAX(B2400,IFERROR(H2399,B2400)),""),"")</f>
        <v/>
      </c>
      <c r="I2400" s="29">
        <f>IFERROR(IF(AND(ISNUMBER(B2400),ISNUMBER(H2400)),B2400/H2400-1,""),"")</f>
        <v/>
      </c>
      <c r="J2400" s="8">
        <f>IFERROR(IF(ISNUMBER(C2400),MAX(C2400,IFERROR(J2399,C2400)),""),"")</f>
        <v/>
      </c>
      <c r="K2400" s="29">
        <f>IFERROR(IF(AND(ISNUMBER(C2400),ISNUMBER(J2400)),C2400/J2400-1,""),"")</f>
        <v/>
      </c>
      <c r="L2400" s="28">
        <f>IFERROR(IF(AND(ISNUMBER(D2400),ISNUMBER(E2400)),D2400-E2400,""),"")</f>
        <v/>
      </c>
    </row>
    <row r="2401">
      <c r="A2401" s="7">
        <f>IFERROR(Datos!A2401,"")</f>
        <v/>
      </c>
      <c r="B2401" s="8">
        <f>IFERROR(Datos!B2401,"")</f>
        <v/>
      </c>
      <c r="C2401" s="8">
        <f>IFERROR(Datos!C2401,"")</f>
        <v/>
      </c>
      <c r="D2401" s="28">
        <f>IFERROR(IF(AND(ISNUMBER(B2401),ISNUMBER(B2400),B2400&lt;&gt;0),B2401/B2400-1,""),"")</f>
        <v/>
      </c>
      <c r="E2401" s="28">
        <f>IFERROR(IF(AND(ISNUMBER(C2401),ISNUMBER(C2400),C2400&lt;&gt;0),C2401/C2400-1,""),"")</f>
        <v/>
      </c>
      <c r="F2401" s="28">
        <f>IFERROR(D2401-Dashboard!$B$4/252,"")</f>
        <v/>
      </c>
      <c r="G2401" s="28">
        <f>IFERROR(E2401-Dashboard!$B$4/252,"")</f>
        <v/>
      </c>
      <c r="H2401" s="8">
        <f>IFERROR(IF(ISNUMBER(B2401),MAX(B2401,IFERROR(H2400,B2401)),""),"")</f>
        <v/>
      </c>
      <c r="I2401" s="29">
        <f>IFERROR(IF(AND(ISNUMBER(B2401),ISNUMBER(H2401)),B2401/H2401-1,""),"")</f>
        <v/>
      </c>
      <c r="J2401" s="8">
        <f>IFERROR(IF(ISNUMBER(C2401),MAX(C2401,IFERROR(J2400,C2401)),""),"")</f>
        <v/>
      </c>
      <c r="K2401" s="29">
        <f>IFERROR(IF(AND(ISNUMBER(C2401),ISNUMBER(J2401)),C2401/J2401-1,""),"")</f>
        <v/>
      </c>
      <c r="L2401" s="28">
        <f>IFERROR(IF(AND(ISNUMBER(D2401),ISNUMBER(E2401)),D2401-E2401,""),"")</f>
        <v/>
      </c>
    </row>
    <row r="2402">
      <c r="A2402" s="7">
        <f>IFERROR(Datos!A2402,"")</f>
        <v/>
      </c>
      <c r="B2402" s="8">
        <f>IFERROR(Datos!B2402,"")</f>
        <v/>
      </c>
      <c r="C2402" s="8">
        <f>IFERROR(Datos!C2402,"")</f>
        <v/>
      </c>
      <c r="D2402" s="28">
        <f>IFERROR(IF(AND(ISNUMBER(B2402),ISNUMBER(B2401),B2401&lt;&gt;0),B2402/B2401-1,""),"")</f>
        <v/>
      </c>
      <c r="E2402" s="28">
        <f>IFERROR(IF(AND(ISNUMBER(C2402),ISNUMBER(C2401),C2401&lt;&gt;0),C2402/C2401-1,""),"")</f>
        <v/>
      </c>
      <c r="F2402" s="28">
        <f>IFERROR(D2402-Dashboard!$B$4/252,"")</f>
        <v/>
      </c>
      <c r="G2402" s="28">
        <f>IFERROR(E2402-Dashboard!$B$4/252,"")</f>
        <v/>
      </c>
      <c r="H2402" s="8">
        <f>IFERROR(IF(ISNUMBER(B2402),MAX(B2402,IFERROR(H2401,B2402)),""),"")</f>
        <v/>
      </c>
      <c r="I2402" s="29">
        <f>IFERROR(IF(AND(ISNUMBER(B2402),ISNUMBER(H2402)),B2402/H2402-1,""),"")</f>
        <v/>
      </c>
      <c r="J2402" s="8">
        <f>IFERROR(IF(ISNUMBER(C2402),MAX(C2402,IFERROR(J2401,C2402)),""),"")</f>
        <v/>
      </c>
      <c r="K2402" s="29">
        <f>IFERROR(IF(AND(ISNUMBER(C2402),ISNUMBER(J2402)),C2402/J2402-1,""),"")</f>
        <v/>
      </c>
      <c r="L2402" s="28">
        <f>IFERROR(IF(AND(ISNUMBER(D2402),ISNUMBER(E2402)),D2402-E2402,""),"")</f>
        <v/>
      </c>
    </row>
    <row r="2403">
      <c r="A2403" s="7">
        <f>IFERROR(Datos!A2403,"")</f>
        <v/>
      </c>
      <c r="B2403" s="8">
        <f>IFERROR(Datos!B2403,"")</f>
        <v/>
      </c>
      <c r="C2403" s="8">
        <f>IFERROR(Datos!C2403,"")</f>
        <v/>
      </c>
      <c r="D2403" s="28">
        <f>IFERROR(IF(AND(ISNUMBER(B2403),ISNUMBER(B2402),B2402&lt;&gt;0),B2403/B2402-1,""),"")</f>
        <v/>
      </c>
      <c r="E2403" s="28">
        <f>IFERROR(IF(AND(ISNUMBER(C2403),ISNUMBER(C2402),C2402&lt;&gt;0),C2403/C2402-1,""),"")</f>
        <v/>
      </c>
      <c r="F2403" s="28">
        <f>IFERROR(D2403-Dashboard!$B$4/252,"")</f>
        <v/>
      </c>
      <c r="G2403" s="28">
        <f>IFERROR(E2403-Dashboard!$B$4/252,"")</f>
        <v/>
      </c>
      <c r="H2403" s="8">
        <f>IFERROR(IF(ISNUMBER(B2403),MAX(B2403,IFERROR(H2402,B2403)),""),"")</f>
        <v/>
      </c>
      <c r="I2403" s="29">
        <f>IFERROR(IF(AND(ISNUMBER(B2403),ISNUMBER(H2403)),B2403/H2403-1,""),"")</f>
        <v/>
      </c>
      <c r="J2403" s="8">
        <f>IFERROR(IF(ISNUMBER(C2403),MAX(C2403,IFERROR(J2402,C2403)),""),"")</f>
        <v/>
      </c>
      <c r="K2403" s="29">
        <f>IFERROR(IF(AND(ISNUMBER(C2403),ISNUMBER(J2403)),C2403/J2403-1,""),"")</f>
        <v/>
      </c>
      <c r="L2403" s="28">
        <f>IFERROR(IF(AND(ISNUMBER(D2403),ISNUMBER(E2403)),D2403-E2403,""),"")</f>
        <v/>
      </c>
    </row>
    <row r="2404">
      <c r="A2404" s="7">
        <f>IFERROR(Datos!A2404,"")</f>
        <v/>
      </c>
      <c r="B2404" s="8">
        <f>IFERROR(Datos!B2404,"")</f>
        <v/>
      </c>
      <c r="C2404" s="8">
        <f>IFERROR(Datos!C2404,"")</f>
        <v/>
      </c>
      <c r="D2404" s="28">
        <f>IFERROR(IF(AND(ISNUMBER(B2404),ISNUMBER(B2403),B2403&lt;&gt;0),B2404/B2403-1,""),"")</f>
        <v/>
      </c>
      <c r="E2404" s="28">
        <f>IFERROR(IF(AND(ISNUMBER(C2404),ISNUMBER(C2403),C2403&lt;&gt;0),C2404/C2403-1,""),"")</f>
        <v/>
      </c>
      <c r="F2404" s="28">
        <f>IFERROR(D2404-Dashboard!$B$4/252,"")</f>
        <v/>
      </c>
      <c r="G2404" s="28">
        <f>IFERROR(E2404-Dashboard!$B$4/252,"")</f>
        <v/>
      </c>
      <c r="H2404" s="8">
        <f>IFERROR(IF(ISNUMBER(B2404),MAX(B2404,IFERROR(H2403,B2404)),""),"")</f>
        <v/>
      </c>
      <c r="I2404" s="29">
        <f>IFERROR(IF(AND(ISNUMBER(B2404),ISNUMBER(H2404)),B2404/H2404-1,""),"")</f>
        <v/>
      </c>
      <c r="J2404" s="8">
        <f>IFERROR(IF(ISNUMBER(C2404),MAX(C2404,IFERROR(J2403,C2404)),""),"")</f>
        <v/>
      </c>
      <c r="K2404" s="29">
        <f>IFERROR(IF(AND(ISNUMBER(C2404),ISNUMBER(J2404)),C2404/J2404-1,""),"")</f>
        <v/>
      </c>
      <c r="L2404" s="28">
        <f>IFERROR(IF(AND(ISNUMBER(D2404),ISNUMBER(E2404)),D2404-E2404,""),"")</f>
        <v/>
      </c>
    </row>
    <row r="2405">
      <c r="A2405" s="7">
        <f>IFERROR(Datos!A2405,"")</f>
        <v/>
      </c>
      <c r="B2405" s="8">
        <f>IFERROR(Datos!B2405,"")</f>
        <v/>
      </c>
      <c r="C2405" s="8">
        <f>IFERROR(Datos!C2405,"")</f>
        <v/>
      </c>
      <c r="D2405" s="28">
        <f>IFERROR(IF(AND(ISNUMBER(B2405),ISNUMBER(B2404),B2404&lt;&gt;0),B2405/B2404-1,""),"")</f>
        <v/>
      </c>
      <c r="E2405" s="28">
        <f>IFERROR(IF(AND(ISNUMBER(C2405),ISNUMBER(C2404),C2404&lt;&gt;0),C2405/C2404-1,""),"")</f>
        <v/>
      </c>
      <c r="F2405" s="28">
        <f>IFERROR(D2405-Dashboard!$B$4/252,"")</f>
        <v/>
      </c>
      <c r="G2405" s="28">
        <f>IFERROR(E2405-Dashboard!$B$4/252,"")</f>
        <v/>
      </c>
      <c r="H2405" s="8">
        <f>IFERROR(IF(ISNUMBER(B2405),MAX(B2405,IFERROR(H2404,B2405)),""),"")</f>
        <v/>
      </c>
      <c r="I2405" s="29">
        <f>IFERROR(IF(AND(ISNUMBER(B2405),ISNUMBER(H2405)),B2405/H2405-1,""),"")</f>
        <v/>
      </c>
      <c r="J2405" s="8">
        <f>IFERROR(IF(ISNUMBER(C2405),MAX(C2405,IFERROR(J2404,C2405)),""),"")</f>
        <v/>
      </c>
      <c r="K2405" s="29">
        <f>IFERROR(IF(AND(ISNUMBER(C2405),ISNUMBER(J2405)),C2405/J2405-1,""),"")</f>
        <v/>
      </c>
      <c r="L2405" s="28">
        <f>IFERROR(IF(AND(ISNUMBER(D2405),ISNUMBER(E2405)),D2405-E2405,""),"")</f>
        <v/>
      </c>
    </row>
    <row r="2406">
      <c r="A2406" s="7">
        <f>IFERROR(Datos!A2406,"")</f>
        <v/>
      </c>
      <c r="B2406" s="8">
        <f>IFERROR(Datos!B2406,"")</f>
        <v/>
      </c>
      <c r="C2406" s="8">
        <f>IFERROR(Datos!C2406,"")</f>
        <v/>
      </c>
      <c r="D2406" s="28">
        <f>IFERROR(IF(AND(ISNUMBER(B2406),ISNUMBER(B2405),B2405&lt;&gt;0),B2406/B2405-1,""),"")</f>
        <v/>
      </c>
      <c r="E2406" s="28">
        <f>IFERROR(IF(AND(ISNUMBER(C2406),ISNUMBER(C2405),C2405&lt;&gt;0),C2406/C2405-1,""),"")</f>
        <v/>
      </c>
      <c r="F2406" s="28">
        <f>IFERROR(D2406-Dashboard!$B$4/252,"")</f>
        <v/>
      </c>
      <c r="G2406" s="28">
        <f>IFERROR(E2406-Dashboard!$B$4/252,"")</f>
        <v/>
      </c>
      <c r="H2406" s="8">
        <f>IFERROR(IF(ISNUMBER(B2406),MAX(B2406,IFERROR(H2405,B2406)),""),"")</f>
        <v/>
      </c>
      <c r="I2406" s="29">
        <f>IFERROR(IF(AND(ISNUMBER(B2406),ISNUMBER(H2406)),B2406/H2406-1,""),"")</f>
        <v/>
      </c>
      <c r="J2406" s="8">
        <f>IFERROR(IF(ISNUMBER(C2406),MAX(C2406,IFERROR(J2405,C2406)),""),"")</f>
        <v/>
      </c>
      <c r="K2406" s="29">
        <f>IFERROR(IF(AND(ISNUMBER(C2406),ISNUMBER(J2406)),C2406/J2406-1,""),"")</f>
        <v/>
      </c>
      <c r="L2406" s="28">
        <f>IFERROR(IF(AND(ISNUMBER(D2406),ISNUMBER(E2406)),D2406-E2406,""),"")</f>
        <v/>
      </c>
    </row>
    <row r="2407">
      <c r="A2407" s="7">
        <f>IFERROR(Datos!A2407,"")</f>
        <v/>
      </c>
      <c r="B2407" s="8">
        <f>IFERROR(Datos!B2407,"")</f>
        <v/>
      </c>
      <c r="C2407" s="8">
        <f>IFERROR(Datos!C2407,"")</f>
        <v/>
      </c>
      <c r="D2407" s="28">
        <f>IFERROR(IF(AND(ISNUMBER(B2407),ISNUMBER(B2406),B2406&lt;&gt;0),B2407/B2406-1,""),"")</f>
        <v/>
      </c>
      <c r="E2407" s="28">
        <f>IFERROR(IF(AND(ISNUMBER(C2407),ISNUMBER(C2406),C2406&lt;&gt;0),C2407/C2406-1,""),"")</f>
        <v/>
      </c>
      <c r="F2407" s="28">
        <f>IFERROR(D2407-Dashboard!$B$4/252,"")</f>
        <v/>
      </c>
      <c r="G2407" s="28">
        <f>IFERROR(E2407-Dashboard!$B$4/252,"")</f>
        <v/>
      </c>
      <c r="H2407" s="8">
        <f>IFERROR(IF(ISNUMBER(B2407),MAX(B2407,IFERROR(H2406,B2407)),""),"")</f>
        <v/>
      </c>
      <c r="I2407" s="29">
        <f>IFERROR(IF(AND(ISNUMBER(B2407),ISNUMBER(H2407)),B2407/H2407-1,""),"")</f>
        <v/>
      </c>
      <c r="J2407" s="8">
        <f>IFERROR(IF(ISNUMBER(C2407),MAX(C2407,IFERROR(J2406,C2407)),""),"")</f>
        <v/>
      </c>
      <c r="K2407" s="29">
        <f>IFERROR(IF(AND(ISNUMBER(C2407),ISNUMBER(J2407)),C2407/J2407-1,""),"")</f>
        <v/>
      </c>
      <c r="L2407" s="28">
        <f>IFERROR(IF(AND(ISNUMBER(D2407),ISNUMBER(E2407)),D2407-E2407,""),"")</f>
        <v/>
      </c>
    </row>
    <row r="2408">
      <c r="A2408" s="7">
        <f>IFERROR(Datos!A2408,"")</f>
        <v/>
      </c>
      <c r="B2408" s="8">
        <f>IFERROR(Datos!B2408,"")</f>
        <v/>
      </c>
      <c r="C2408" s="8">
        <f>IFERROR(Datos!C2408,"")</f>
        <v/>
      </c>
      <c r="D2408" s="28">
        <f>IFERROR(IF(AND(ISNUMBER(B2408),ISNUMBER(B2407),B2407&lt;&gt;0),B2408/B2407-1,""),"")</f>
        <v/>
      </c>
      <c r="E2408" s="28">
        <f>IFERROR(IF(AND(ISNUMBER(C2408),ISNUMBER(C2407),C2407&lt;&gt;0),C2408/C2407-1,""),"")</f>
        <v/>
      </c>
      <c r="F2408" s="28">
        <f>IFERROR(D2408-Dashboard!$B$4/252,"")</f>
        <v/>
      </c>
      <c r="G2408" s="28">
        <f>IFERROR(E2408-Dashboard!$B$4/252,"")</f>
        <v/>
      </c>
      <c r="H2408" s="8">
        <f>IFERROR(IF(ISNUMBER(B2408),MAX(B2408,IFERROR(H2407,B2408)),""),"")</f>
        <v/>
      </c>
      <c r="I2408" s="29">
        <f>IFERROR(IF(AND(ISNUMBER(B2408),ISNUMBER(H2408)),B2408/H2408-1,""),"")</f>
        <v/>
      </c>
      <c r="J2408" s="8">
        <f>IFERROR(IF(ISNUMBER(C2408),MAX(C2408,IFERROR(J2407,C2408)),""),"")</f>
        <v/>
      </c>
      <c r="K2408" s="29">
        <f>IFERROR(IF(AND(ISNUMBER(C2408),ISNUMBER(J2408)),C2408/J2408-1,""),"")</f>
        <v/>
      </c>
      <c r="L2408" s="28">
        <f>IFERROR(IF(AND(ISNUMBER(D2408),ISNUMBER(E2408)),D2408-E2408,""),"")</f>
        <v/>
      </c>
    </row>
    <row r="2409">
      <c r="A2409" s="7">
        <f>IFERROR(Datos!A2409,"")</f>
        <v/>
      </c>
      <c r="B2409" s="8">
        <f>IFERROR(Datos!B2409,"")</f>
        <v/>
      </c>
      <c r="C2409" s="8">
        <f>IFERROR(Datos!C2409,"")</f>
        <v/>
      </c>
      <c r="D2409" s="28">
        <f>IFERROR(IF(AND(ISNUMBER(B2409),ISNUMBER(B2408),B2408&lt;&gt;0),B2409/B2408-1,""),"")</f>
        <v/>
      </c>
      <c r="E2409" s="28">
        <f>IFERROR(IF(AND(ISNUMBER(C2409),ISNUMBER(C2408),C2408&lt;&gt;0),C2409/C2408-1,""),"")</f>
        <v/>
      </c>
      <c r="F2409" s="28">
        <f>IFERROR(D2409-Dashboard!$B$4/252,"")</f>
        <v/>
      </c>
      <c r="G2409" s="28">
        <f>IFERROR(E2409-Dashboard!$B$4/252,"")</f>
        <v/>
      </c>
      <c r="H2409" s="8">
        <f>IFERROR(IF(ISNUMBER(B2409),MAX(B2409,IFERROR(H2408,B2409)),""),"")</f>
        <v/>
      </c>
      <c r="I2409" s="29">
        <f>IFERROR(IF(AND(ISNUMBER(B2409),ISNUMBER(H2409)),B2409/H2409-1,""),"")</f>
        <v/>
      </c>
      <c r="J2409" s="8">
        <f>IFERROR(IF(ISNUMBER(C2409),MAX(C2409,IFERROR(J2408,C2409)),""),"")</f>
        <v/>
      </c>
      <c r="K2409" s="29">
        <f>IFERROR(IF(AND(ISNUMBER(C2409),ISNUMBER(J2409)),C2409/J2409-1,""),"")</f>
        <v/>
      </c>
      <c r="L2409" s="28">
        <f>IFERROR(IF(AND(ISNUMBER(D2409),ISNUMBER(E2409)),D2409-E2409,""),"")</f>
        <v/>
      </c>
    </row>
    <row r="2410">
      <c r="A2410" s="7">
        <f>IFERROR(Datos!A2410,"")</f>
        <v/>
      </c>
      <c r="B2410" s="8">
        <f>IFERROR(Datos!B2410,"")</f>
        <v/>
      </c>
      <c r="C2410" s="8">
        <f>IFERROR(Datos!C2410,"")</f>
        <v/>
      </c>
      <c r="D2410" s="28">
        <f>IFERROR(IF(AND(ISNUMBER(B2410),ISNUMBER(B2409),B2409&lt;&gt;0),B2410/B2409-1,""),"")</f>
        <v/>
      </c>
      <c r="E2410" s="28">
        <f>IFERROR(IF(AND(ISNUMBER(C2410),ISNUMBER(C2409),C2409&lt;&gt;0),C2410/C2409-1,""),"")</f>
        <v/>
      </c>
      <c r="F2410" s="28">
        <f>IFERROR(D2410-Dashboard!$B$4/252,"")</f>
        <v/>
      </c>
      <c r="G2410" s="28">
        <f>IFERROR(E2410-Dashboard!$B$4/252,"")</f>
        <v/>
      </c>
      <c r="H2410" s="8">
        <f>IFERROR(IF(ISNUMBER(B2410),MAX(B2410,IFERROR(H2409,B2410)),""),"")</f>
        <v/>
      </c>
      <c r="I2410" s="29">
        <f>IFERROR(IF(AND(ISNUMBER(B2410),ISNUMBER(H2410)),B2410/H2410-1,""),"")</f>
        <v/>
      </c>
      <c r="J2410" s="8">
        <f>IFERROR(IF(ISNUMBER(C2410),MAX(C2410,IFERROR(J2409,C2410)),""),"")</f>
        <v/>
      </c>
      <c r="K2410" s="29">
        <f>IFERROR(IF(AND(ISNUMBER(C2410),ISNUMBER(J2410)),C2410/J2410-1,""),"")</f>
        <v/>
      </c>
      <c r="L2410" s="28">
        <f>IFERROR(IF(AND(ISNUMBER(D2410),ISNUMBER(E2410)),D2410-E2410,""),"")</f>
        <v/>
      </c>
    </row>
    <row r="2411">
      <c r="A2411" s="7">
        <f>IFERROR(Datos!A2411,"")</f>
        <v/>
      </c>
      <c r="B2411" s="8">
        <f>IFERROR(Datos!B2411,"")</f>
        <v/>
      </c>
      <c r="C2411" s="8">
        <f>IFERROR(Datos!C2411,"")</f>
        <v/>
      </c>
      <c r="D2411" s="28">
        <f>IFERROR(IF(AND(ISNUMBER(B2411),ISNUMBER(B2410),B2410&lt;&gt;0),B2411/B2410-1,""),"")</f>
        <v/>
      </c>
      <c r="E2411" s="28">
        <f>IFERROR(IF(AND(ISNUMBER(C2411),ISNUMBER(C2410),C2410&lt;&gt;0),C2411/C2410-1,""),"")</f>
        <v/>
      </c>
      <c r="F2411" s="28">
        <f>IFERROR(D2411-Dashboard!$B$4/252,"")</f>
        <v/>
      </c>
      <c r="G2411" s="28">
        <f>IFERROR(E2411-Dashboard!$B$4/252,"")</f>
        <v/>
      </c>
      <c r="H2411" s="8">
        <f>IFERROR(IF(ISNUMBER(B2411),MAX(B2411,IFERROR(H2410,B2411)),""),"")</f>
        <v/>
      </c>
      <c r="I2411" s="29">
        <f>IFERROR(IF(AND(ISNUMBER(B2411),ISNUMBER(H2411)),B2411/H2411-1,""),"")</f>
        <v/>
      </c>
      <c r="J2411" s="8">
        <f>IFERROR(IF(ISNUMBER(C2411),MAX(C2411,IFERROR(J2410,C2411)),""),"")</f>
        <v/>
      </c>
      <c r="K2411" s="29">
        <f>IFERROR(IF(AND(ISNUMBER(C2411),ISNUMBER(J2411)),C2411/J2411-1,""),"")</f>
        <v/>
      </c>
      <c r="L2411" s="28">
        <f>IFERROR(IF(AND(ISNUMBER(D2411),ISNUMBER(E2411)),D2411-E2411,""),"")</f>
        <v/>
      </c>
    </row>
    <row r="2412">
      <c r="A2412" s="7">
        <f>IFERROR(Datos!A2412,"")</f>
        <v/>
      </c>
      <c r="B2412" s="8">
        <f>IFERROR(Datos!B2412,"")</f>
        <v/>
      </c>
      <c r="C2412" s="8">
        <f>IFERROR(Datos!C2412,"")</f>
        <v/>
      </c>
      <c r="D2412" s="28">
        <f>IFERROR(IF(AND(ISNUMBER(B2412),ISNUMBER(B2411),B2411&lt;&gt;0),B2412/B2411-1,""),"")</f>
        <v/>
      </c>
      <c r="E2412" s="28">
        <f>IFERROR(IF(AND(ISNUMBER(C2412),ISNUMBER(C2411),C2411&lt;&gt;0),C2412/C2411-1,""),"")</f>
        <v/>
      </c>
      <c r="F2412" s="28">
        <f>IFERROR(D2412-Dashboard!$B$4/252,"")</f>
        <v/>
      </c>
      <c r="G2412" s="28">
        <f>IFERROR(E2412-Dashboard!$B$4/252,"")</f>
        <v/>
      </c>
      <c r="H2412" s="8">
        <f>IFERROR(IF(ISNUMBER(B2412),MAX(B2412,IFERROR(H2411,B2412)),""),"")</f>
        <v/>
      </c>
      <c r="I2412" s="29">
        <f>IFERROR(IF(AND(ISNUMBER(B2412),ISNUMBER(H2412)),B2412/H2412-1,""),"")</f>
        <v/>
      </c>
      <c r="J2412" s="8">
        <f>IFERROR(IF(ISNUMBER(C2412),MAX(C2412,IFERROR(J2411,C2412)),""),"")</f>
        <v/>
      </c>
      <c r="K2412" s="29">
        <f>IFERROR(IF(AND(ISNUMBER(C2412),ISNUMBER(J2412)),C2412/J2412-1,""),"")</f>
        <v/>
      </c>
      <c r="L2412" s="28">
        <f>IFERROR(IF(AND(ISNUMBER(D2412),ISNUMBER(E2412)),D2412-E2412,""),"")</f>
        <v/>
      </c>
    </row>
    <row r="2413">
      <c r="A2413" s="7">
        <f>IFERROR(Datos!A2413,"")</f>
        <v/>
      </c>
      <c r="B2413" s="8">
        <f>IFERROR(Datos!B2413,"")</f>
        <v/>
      </c>
      <c r="C2413" s="8">
        <f>IFERROR(Datos!C2413,"")</f>
        <v/>
      </c>
      <c r="D2413" s="28">
        <f>IFERROR(IF(AND(ISNUMBER(B2413),ISNUMBER(B2412),B2412&lt;&gt;0),B2413/B2412-1,""),"")</f>
        <v/>
      </c>
      <c r="E2413" s="28">
        <f>IFERROR(IF(AND(ISNUMBER(C2413),ISNUMBER(C2412),C2412&lt;&gt;0),C2413/C2412-1,""),"")</f>
        <v/>
      </c>
      <c r="F2413" s="28">
        <f>IFERROR(D2413-Dashboard!$B$4/252,"")</f>
        <v/>
      </c>
      <c r="G2413" s="28">
        <f>IFERROR(E2413-Dashboard!$B$4/252,"")</f>
        <v/>
      </c>
      <c r="H2413" s="8">
        <f>IFERROR(IF(ISNUMBER(B2413),MAX(B2413,IFERROR(H2412,B2413)),""),"")</f>
        <v/>
      </c>
      <c r="I2413" s="29">
        <f>IFERROR(IF(AND(ISNUMBER(B2413),ISNUMBER(H2413)),B2413/H2413-1,""),"")</f>
        <v/>
      </c>
      <c r="J2413" s="8">
        <f>IFERROR(IF(ISNUMBER(C2413),MAX(C2413,IFERROR(J2412,C2413)),""),"")</f>
        <v/>
      </c>
      <c r="K2413" s="29">
        <f>IFERROR(IF(AND(ISNUMBER(C2413),ISNUMBER(J2413)),C2413/J2413-1,""),"")</f>
        <v/>
      </c>
      <c r="L2413" s="28">
        <f>IFERROR(IF(AND(ISNUMBER(D2413),ISNUMBER(E2413)),D2413-E2413,""),"")</f>
        <v/>
      </c>
    </row>
    <row r="2414">
      <c r="A2414" s="7">
        <f>IFERROR(Datos!A2414,"")</f>
        <v/>
      </c>
      <c r="B2414" s="8">
        <f>IFERROR(Datos!B2414,"")</f>
        <v/>
      </c>
      <c r="C2414" s="8">
        <f>IFERROR(Datos!C2414,"")</f>
        <v/>
      </c>
      <c r="D2414" s="28">
        <f>IFERROR(IF(AND(ISNUMBER(B2414),ISNUMBER(B2413),B2413&lt;&gt;0),B2414/B2413-1,""),"")</f>
        <v/>
      </c>
      <c r="E2414" s="28">
        <f>IFERROR(IF(AND(ISNUMBER(C2414),ISNUMBER(C2413),C2413&lt;&gt;0),C2414/C2413-1,""),"")</f>
        <v/>
      </c>
      <c r="F2414" s="28">
        <f>IFERROR(D2414-Dashboard!$B$4/252,"")</f>
        <v/>
      </c>
      <c r="G2414" s="28">
        <f>IFERROR(E2414-Dashboard!$B$4/252,"")</f>
        <v/>
      </c>
      <c r="H2414" s="8">
        <f>IFERROR(IF(ISNUMBER(B2414),MAX(B2414,IFERROR(H2413,B2414)),""),"")</f>
        <v/>
      </c>
      <c r="I2414" s="29">
        <f>IFERROR(IF(AND(ISNUMBER(B2414),ISNUMBER(H2414)),B2414/H2414-1,""),"")</f>
        <v/>
      </c>
      <c r="J2414" s="8">
        <f>IFERROR(IF(ISNUMBER(C2414),MAX(C2414,IFERROR(J2413,C2414)),""),"")</f>
        <v/>
      </c>
      <c r="K2414" s="29">
        <f>IFERROR(IF(AND(ISNUMBER(C2414),ISNUMBER(J2414)),C2414/J2414-1,""),"")</f>
        <v/>
      </c>
      <c r="L2414" s="28">
        <f>IFERROR(IF(AND(ISNUMBER(D2414),ISNUMBER(E2414)),D2414-E2414,""),"")</f>
        <v/>
      </c>
    </row>
    <row r="2415">
      <c r="A2415" s="7">
        <f>IFERROR(Datos!A2415,"")</f>
        <v/>
      </c>
      <c r="B2415" s="8">
        <f>IFERROR(Datos!B2415,"")</f>
        <v/>
      </c>
      <c r="C2415" s="8">
        <f>IFERROR(Datos!C2415,"")</f>
        <v/>
      </c>
      <c r="D2415" s="28">
        <f>IFERROR(IF(AND(ISNUMBER(B2415),ISNUMBER(B2414),B2414&lt;&gt;0),B2415/B2414-1,""),"")</f>
        <v/>
      </c>
      <c r="E2415" s="28">
        <f>IFERROR(IF(AND(ISNUMBER(C2415),ISNUMBER(C2414),C2414&lt;&gt;0),C2415/C2414-1,""),"")</f>
        <v/>
      </c>
      <c r="F2415" s="28">
        <f>IFERROR(D2415-Dashboard!$B$4/252,"")</f>
        <v/>
      </c>
      <c r="G2415" s="28">
        <f>IFERROR(E2415-Dashboard!$B$4/252,"")</f>
        <v/>
      </c>
      <c r="H2415" s="8">
        <f>IFERROR(IF(ISNUMBER(B2415),MAX(B2415,IFERROR(H2414,B2415)),""),"")</f>
        <v/>
      </c>
      <c r="I2415" s="29">
        <f>IFERROR(IF(AND(ISNUMBER(B2415),ISNUMBER(H2415)),B2415/H2415-1,""),"")</f>
        <v/>
      </c>
      <c r="J2415" s="8">
        <f>IFERROR(IF(ISNUMBER(C2415),MAX(C2415,IFERROR(J2414,C2415)),""),"")</f>
        <v/>
      </c>
      <c r="K2415" s="29">
        <f>IFERROR(IF(AND(ISNUMBER(C2415),ISNUMBER(J2415)),C2415/J2415-1,""),"")</f>
        <v/>
      </c>
      <c r="L2415" s="28">
        <f>IFERROR(IF(AND(ISNUMBER(D2415),ISNUMBER(E2415)),D2415-E2415,""),"")</f>
        <v/>
      </c>
    </row>
    <row r="2416">
      <c r="A2416" s="7">
        <f>IFERROR(Datos!A2416,"")</f>
        <v/>
      </c>
      <c r="B2416" s="8">
        <f>IFERROR(Datos!B2416,"")</f>
        <v/>
      </c>
      <c r="C2416" s="8">
        <f>IFERROR(Datos!C2416,"")</f>
        <v/>
      </c>
      <c r="D2416" s="28">
        <f>IFERROR(IF(AND(ISNUMBER(B2416),ISNUMBER(B2415),B2415&lt;&gt;0),B2416/B2415-1,""),"")</f>
        <v/>
      </c>
      <c r="E2416" s="28">
        <f>IFERROR(IF(AND(ISNUMBER(C2416),ISNUMBER(C2415),C2415&lt;&gt;0),C2416/C2415-1,""),"")</f>
        <v/>
      </c>
      <c r="F2416" s="28">
        <f>IFERROR(D2416-Dashboard!$B$4/252,"")</f>
        <v/>
      </c>
      <c r="G2416" s="28">
        <f>IFERROR(E2416-Dashboard!$B$4/252,"")</f>
        <v/>
      </c>
      <c r="H2416" s="8">
        <f>IFERROR(IF(ISNUMBER(B2416),MAX(B2416,IFERROR(H2415,B2416)),""),"")</f>
        <v/>
      </c>
      <c r="I2416" s="29">
        <f>IFERROR(IF(AND(ISNUMBER(B2416),ISNUMBER(H2416)),B2416/H2416-1,""),"")</f>
        <v/>
      </c>
      <c r="J2416" s="8">
        <f>IFERROR(IF(ISNUMBER(C2416),MAX(C2416,IFERROR(J2415,C2416)),""),"")</f>
        <v/>
      </c>
      <c r="K2416" s="29">
        <f>IFERROR(IF(AND(ISNUMBER(C2416),ISNUMBER(J2416)),C2416/J2416-1,""),"")</f>
        <v/>
      </c>
      <c r="L2416" s="28">
        <f>IFERROR(IF(AND(ISNUMBER(D2416),ISNUMBER(E2416)),D2416-E2416,""),"")</f>
        <v/>
      </c>
    </row>
    <row r="2417">
      <c r="A2417" s="7">
        <f>IFERROR(Datos!A2417,"")</f>
        <v/>
      </c>
      <c r="B2417" s="8">
        <f>IFERROR(Datos!B2417,"")</f>
        <v/>
      </c>
      <c r="C2417" s="8">
        <f>IFERROR(Datos!C2417,"")</f>
        <v/>
      </c>
      <c r="D2417" s="28">
        <f>IFERROR(IF(AND(ISNUMBER(B2417),ISNUMBER(B2416),B2416&lt;&gt;0),B2417/B2416-1,""),"")</f>
        <v/>
      </c>
      <c r="E2417" s="28">
        <f>IFERROR(IF(AND(ISNUMBER(C2417),ISNUMBER(C2416),C2416&lt;&gt;0),C2417/C2416-1,""),"")</f>
        <v/>
      </c>
      <c r="F2417" s="28">
        <f>IFERROR(D2417-Dashboard!$B$4/252,"")</f>
        <v/>
      </c>
      <c r="G2417" s="28">
        <f>IFERROR(E2417-Dashboard!$B$4/252,"")</f>
        <v/>
      </c>
      <c r="H2417" s="8">
        <f>IFERROR(IF(ISNUMBER(B2417),MAX(B2417,IFERROR(H2416,B2417)),""),"")</f>
        <v/>
      </c>
      <c r="I2417" s="29">
        <f>IFERROR(IF(AND(ISNUMBER(B2417),ISNUMBER(H2417)),B2417/H2417-1,""),"")</f>
        <v/>
      </c>
      <c r="J2417" s="8">
        <f>IFERROR(IF(ISNUMBER(C2417),MAX(C2417,IFERROR(J2416,C2417)),""),"")</f>
        <v/>
      </c>
      <c r="K2417" s="29">
        <f>IFERROR(IF(AND(ISNUMBER(C2417),ISNUMBER(J2417)),C2417/J2417-1,""),"")</f>
        <v/>
      </c>
      <c r="L2417" s="28">
        <f>IFERROR(IF(AND(ISNUMBER(D2417),ISNUMBER(E2417)),D2417-E2417,""),"")</f>
        <v/>
      </c>
    </row>
    <row r="2418">
      <c r="A2418" s="7">
        <f>IFERROR(Datos!A2418,"")</f>
        <v/>
      </c>
      <c r="B2418" s="8">
        <f>IFERROR(Datos!B2418,"")</f>
        <v/>
      </c>
      <c r="C2418" s="8">
        <f>IFERROR(Datos!C2418,"")</f>
        <v/>
      </c>
      <c r="D2418" s="28">
        <f>IFERROR(IF(AND(ISNUMBER(B2418),ISNUMBER(B2417),B2417&lt;&gt;0),B2418/B2417-1,""),"")</f>
        <v/>
      </c>
      <c r="E2418" s="28">
        <f>IFERROR(IF(AND(ISNUMBER(C2418),ISNUMBER(C2417),C2417&lt;&gt;0),C2418/C2417-1,""),"")</f>
        <v/>
      </c>
      <c r="F2418" s="28">
        <f>IFERROR(D2418-Dashboard!$B$4/252,"")</f>
        <v/>
      </c>
      <c r="G2418" s="28">
        <f>IFERROR(E2418-Dashboard!$B$4/252,"")</f>
        <v/>
      </c>
      <c r="H2418" s="8">
        <f>IFERROR(IF(ISNUMBER(B2418),MAX(B2418,IFERROR(H2417,B2418)),""),"")</f>
        <v/>
      </c>
      <c r="I2418" s="29">
        <f>IFERROR(IF(AND(ISNUMBER(B2418),ISNUMBER(H2418)),B2418/H2418-1,""),"")</f>
        <v/>
      </c>
      <c r="J2418" s="8">
        <f>IFERROR(IF(ISNUMBER(C2418),MAX(C2418,IFERROR(J2417,C2418)),""),"")</f>
        <v/>
      </c>
      <c r="K2418" s="29">
        <f>IFERROR(IF(AND(ISNUMBER(C2418),ISNUMBER(J2418)),C2418/J2418-1,""),"")</f>
        <v/>
      </c>
      <c r="L2418" s="28">
        <f>IFERROR(IF(AND(ISNUMBER(D2418),ISNUMBER(E2418)),D2418-E2418,""),"")</f>
        <v/>
      </c>
    </row>
    <row r="2419">
      <c r="A2419" s="7">
        <f>IFERROR(Datos!A2419,"")</f>
        <v/>
      </c>
      <c r="B2419" s="8">
        <f>IFERROR(Datos!B2419,"")</f>
        <v/>
      </c>
      <c r="C2419" s="8">
        <f>IFERROR(Datos!C2419,"")</f>
        <v/>
      </c>
      <c r="D2419" s="28">
        <f>IFERROR(IF(AND(ISNUMBER(B2419),ISNUMBER(B2418),B2418&lt;&gt;0),B2419/B2418-1,""),"")</f>
        <v/>
      </c>
      <c r="E2419" s="28">
        <f>IFERROR(IF(AND(ISNUMBER(C2419),ISNUMBER(C2418),C2418&lt;&gt;0),C2419/C2418-1,""),"")</f>
        <v/>
      </c>
      <c r="F2419" s="28">
        <f>IFERROR(D2419-Dashboard!$B$4/252,"")</f>
        <v/>
      </c>
      <c r="G2419" s="28">
        <f>IFERROR(E2419-Dashboard!$B$4/252,"")</f>
        <v/>
      </c>
      <c r="H2419" s="8">
        <f>IFERROR(IF(ISNUMBER(B2419),MAX(B2419,IFERROR(H2418,B2419)),""),"")</f>
        <v/>
      </c>
      <c r="I2419" s="29">
        <f>IFERROR(IF(AND(ISNUMBER(B2419),ISNUMBER(H2419)),B2419/H2419-1,""),"")</f>
        <v/>
      </c>
      <c r="J2419" s="8">
        <f>IFERROR(IF(ISNUMBER(C2419),MAX(C2419,IFERROR(J2418,C2419)),""),"")</f>
        <v/>
      </c>
      <c r="K2419" s="29">
        <f>IFERROR(IF(AND(ISNUMBER(C2419),ISNUMBER(J2419)),C2419/J2419-1,""),"")</f>
        <v/>
      </c>
      <c r="L2419" s="28">
        <f>IFERROR(IF(AND(ISNUMBER(D2419),ISNUMBER(E2419)),D2419-E2419,""),"")</f>
        <v/>
      </c>
    </row>
    <row r="2420">
      <c r="A2420" s="7">
        <f>IFERROR(Datos!A2420,"")</f>
        <v/>
      </c>
      <c r="B2420" s="8">
        <f>IFERROR(Datos!B2420,"")</f>
        <v/>
      </c>
      <c r="C2420" s="8">
        <f>IFERROR(Datos!C2420,"")</f>
        <v/>
      </c>
      <c r="D2420" s="28">
        <f>IFERROR(IF(AND(ISNUMBER(B2420),ISNUMBER(B2419),B2419&lt;&gt;0),B2420/B2419-1,""),"")</f>
        <v/>
      </c>
      <c r="E2420" s="28">
        <f>IFERROR(IF(AND(ISNUMBER(C2420),ISNUMBER(C2419),C2419&lt;&gt;0),C2420/C2419-1,""),"")</f>
        <v/>
      </c>
      <c r="F2420" s="28">
        <f>IFERROR(D2420-Dashboard!$B$4/252,"")</f>
        <v/>
      </c>
      <c r="G2420" s="28">
        <f>IFERROR(E2420-Dashboard!$B$4/252,"")</f>
        <v/>
      </c>
      <c r="H2420" s="8">
        <f>IFERROR(IF(ISNUMBER(B2420),MAX(B2420,IFERROR(H2419,B2420)),""),"")</f>
        <v/>
      </c>
      <c r="I2420" s="29">
        <f>IFERROR(IF(AND(ISNUMBER(B2420),ISNUMBER(H2420)),B2420/H2420-1,""),"")</f>
        <v/>
      </c>
      <c r="J2420" s="8">
        <f>IFERROR(IF(ISNUMBER(C2420),MAX(C2420,IFERROR(J2419,C2420)),""),"")</f>
        <v/>
      </c>
      <c r="K2420" s="29">
        <f>IFERROR(IF(AND(ISNUMBER(C2420),ISNUMBER(J2420)),C2420/J2420-1,""),"")</f>
        <v/>
      </c>
      <c r="L2420" s="28">
        <f>IFERROR(IF(AND(ISNUMBER(D2420),ISNUMBER(E2420)),D2420-E2420,""),"")</f>
        <v/>
      </c>
    </row>
    <row r="2421">
      <c r="A2421" s="7">
        <f>IFERROR(Datos!A2421,"")</f>
        <v/>
      </c>
      <c r="B2421" s="8">
        <f>IFERROR(Datos!B2421,"")</f>
        <v/>
      </c>
      <c r="C2421" s="8">
        <f>IFERROR(Datos!C2421,"")</f>
        <v/>
      </c>
      <c r="D2421" s="28">
        <f>IFERROR(IF(AND(ISNUMBER(B2421),ISNUMBER(B2420),B2420&lt;&gt;0),B2421/B2420-1,""),"")</f>
        <v/>
      </c>
      <c r="E2421" s="28">
        <f>IFERROR(IF(AND(ISNUMBER(C2421),ISNUMBER(C2420),C2420&lt;&gt;0),C2421/C2420-1,""),"")</f>
        <v/>
      </c>
      <c r="F2421" s="28">
        <f>IFERROR(D2421-Dashboard!$B$4/252,"")</f>
        <v/>
      </c>
      <c r="G2421" s="28">
        <f>IFERROR(E2421-Dashboard!$B$4/252,"")</f>
        <v/>
      </c>
      <c r="H2421" s="8">
        <f>IFERROR(IF(ISNUMBER(B2421),MAX(B2421,IFERROR(H2420,B2421)),""),"")</f>
        <v/>
      </c>
      <c r="I2421" s="29">
        <f>IFERROR(IF(AND(ISNUMBER(B2421),ISNUMBER(H2421)),B2421/H2421-1,""),"")</f>
        <v/>
      </c>
      <c r="J2421" s="8">
        <f>IFERROR(IF(ISNUMBER(C2421),MAX(C2421,IFERROR(J2420,C2421)),""),"")</f>
        <v/>
      </c>
      <c r="K2421" s="29">
        <f>IFERROR(IF(AND(ISNUMBER(C2421),ISNUMBER(J2421)),C2421/J2421-1,""),"")</f>
        <v/>
      </c>
      <c r="L2421" s="28">
        <f>IFERROR(IF(AND(ISNUMBER(D2421),ISNUMBER(E2421)),D2421-E2421,""),"")</f>
        <v/>
      </c>
    </row>
    <row r="2422">
      <c r="A2422" s="7">
        <f>IFERROR(Datos!A2422,"")</f>
        <v/>
      </c>
      <c r="B2422" s="8">
        <f>IFERROR(Datos!B2422,"")</f>
        <v/>
      </c>
      <c r="C2422" s="8">
        <f>IFERROR(Datos!C2422,"")</f>
        <v/>
      </c>
      <c r="D2422" s="28">
        <f>IFERROR(IF(AND(ISNUMBER(B2422),ISNUMBER(B2421),B2421&lt;&gt;0),B2422/B2421-1,""),"")</f>
        <v/>
      </c>
      <c r="E2422" s="28">
        <f>IFERROR(IF(AND(ISNUMBER(C2422),ISNUMBER(C2421),C2421&lt;&gt;0),C2422/C2421-1,""),"")</f>
        <v/>
      </c>
      <c r="F2422" s="28">
        <f>IFERROR(D2422-Dashboard!$B$4/252,"")</f>
        <v/>
      </c>
      <c r="G2422" s="28">
        <f>IFERROR(E2422-Dashboard!$B$4/252,"")</f>
        <v/>
      </c>
      <c r="H2422" s="8">
        <f>IFERROR(IF(ISNUMBER(B2422),MAX(B2422,IFERROR(H2421,B2422)),""),"")</f>
        <v/>
      </c>
      <c r="I2422" s="29">
        <f>IFERROR(IF(AND(ISNUMBER(B2422),ISNUMBER(H2422)),B2422/H2422-1,""),"")</f>
        <v/>
      </c>
      <c r="J2422" s="8">
        <f>IFERROR(IF(ISNUMBER(C2422),MAX(C2422,IFERROR(J2421,C2422)),""),"")</f>
        <v/>
      </c>
      <c r="K2422" s="29">
        <f>IFERROR(IF(AND(ISNUMBER(C2422),ISNUMBER(J2422)),C2422/J2422-1,""),"")</f>
        <v/>
      </c>
      <c r="L2422" s="28">
        <f>IFERROR(IF(AND(ISNUMBER(D2422),ISNUMBER(E2422)),D2422-E2422,""),"")</f>
        <v/>
      </c>
    </row>
    <row r="2423">
      <c r="A2423" s="7">
        <f>IFERROR(Datos!A2423,"")</f>
        <v/>
      </c>
      <c r="B2423" s="8">
        <f>IFERROR(Datos!B2423,"")</f>
        <v/>
      </c>
      <c r="C2423" s="8">
        <f>IFERROR(Datos!C2423,"")</f>
        <v/>
      </c>
      <c r="D2423" s="28">
        <f>IFERROR(IF(AND(ISNUMBER(B2423),ISNUMBER(B2422),B2422&lt;&gt;0),B2423/B2422-1,""),"")</f>
        <v/>
      </c>
      <c r="E2423" s="28">
        <f>IFERROR(IF(AND(ISNUMBER(C2423),ISNUMBER(C2422),C2422&lt;&gt;0),C2423/C2422-1,""),"")</f>
        <v/>
      </c>
      <c r="F2423" s="28">
        <f>IFERROR(D2423-Dashboard!$B$4/252,"")</f>
        <v/>
      </c>
      <c r="G2423" s="28">
        <f>IFERROR(E2423-Dashboard!$B$4/252,"")</f>
        <v/>
      </c>
      <c r="H2423" s="8">
        <f>IFERROR(IF(ISNUMBER(B2423),MAX(B2423,IFERROR(H2422,B2423)),""),"")</f>
        <v/>
      </c>
      <c r="I2423" s="29">
        <f>IFERROR(IF(AND(ISNUMBER(B2423),ISNUMBER(H2423)),B2423/H2423-1,""),"")</f>
        <v/>
      </c>
      <c r="J2423" s="8">
        <f>IFERROR(IF(ISNUMBER(C2423),MAX(C2423,IFERROR(J2422,C2423)),""),"")</f>
        <v/>
      </c>
      <c r="K2423" s="29">
        <f>IFERROR(IF(AND(ISNUMBER(C2423),ISNUMBER(J2423)),C2423/J2423-1,""),"")</f>
        <v/>
      </c>
      <c r="L2423" s="28">
        <f>IFERROR(IF(AND(ISNUMBER(D2423),ISNUMBER(E2423)),D2423-E2423,""),"")</f>
        <v/>
      </c>
    </row>
    <row r="2424">
      <c r="A2424" s="7">
        <f>IFERROR(Datos!A2424,"")</f>
        <v/>
      </c>
      <c r="B2424" s="8">
        <f>IFERROR(Datos!B2424,"")</f>
        <v/>
      </c>
      <c r="C2424" s="8">
        <f>IFERROR(Datos!C2424,"")</f>
        <v/>
      </c>
      <c r="D2424" s="28">
        <f>IFERROR(IF(AND(ISNUMBER(B2424),ISNUMBER(B2423),B2423&lt;&gt;0),B2424/B2423-1,""),"")</f>
        <v/>
      </c>
      <c r="E2424" s="28">
        <f>IFERROR(IF(AND(ISNUMBER(C2424),ISNUMBER(C2423),C2423&lt;&gt;0),C2424/C2423-1,""),"")</f>
        <v/>
      </c>
      <c r="F2424" s="28">
        <f>IFERROR(D2424-Dashboard!$B$4/252,"")</f>
        <v/>
      </c>
      <c r="G2424" s="28">
        <f>IFERROR(E2424-Dashboard!$B$4/252,"")</f>
        <v/>
      </c>
      <c r="H2424" s="8">
        <f>IFERROR(IF(ISNUMBER(B2424),MAX(B2424,IFERROR(H2423,B2424)),""),"")</f>
        <v/>
      </c>
      <c r="I2424" s="29">
        <f>IFERROR(IF(AND(ISNUMBER(B2424),ISNUMBER(H2424)),B2424/H2424-1,""),"")</f>
        <v/>
      </c>
      <c r="J2424" s="8">
        <f>IFERROR(IF(ISNUMBER(C2424),MAX(C2424,IFERROR(J2423,C2424)),""),"")</f>
        <v/>
      </c>
      <c r="K2424" s="29">
        <f>IFERROR(IF(AND(ISNUMBER(C2424),ISNUMBER(J2424)),C2424/J2424-1,""),"")</f>
        <v/>
      </c>
      <c r="L2424" s="28">
        <f>IFERROR(IF(AND(ISNUMBER(D2424),ISNUMBER(E2424)),D2424-E2424,""),"")</f>
        <v/>
      </c>
    </row>
    <row r="2425">
      <c r="A2425" s="7">
        <f>IFERROR(Datos!A2425,"")</f>
        <v/>
      </c>
      <c r="B2425" s="8">
        <f>IFERROR(Datos!B2425,"")</f>
        <v/>
      </c>
      <c r="C2425" s="8">
        <f>IFERROR(Datos!C2425,"")</f>
        <v/>
      </c>
      <c r="D2425" s="28">
        <f>IFERROR(IF(AND(ISNUMBER(B2425),ISNUMBER(B2424),B2424&lt;&gt;0),B2425/B2424-1,""),"")</f>
        <v/>
      </c>
      <c r="E2425" s="28">
        <f>IFERROR(IF(AND(ISNUMBER(C2425),ISNUMBER(C2424),C2424&lt;&gt;0),C2425/C2424-1,""),"")</f>
        <v/>
      </c>
      <c r="F2425" s="28">
        <f>IFERROR(D2425-Dashboard!$B$4/252,"")</f>
        <v/>
      </c>
      <c r="G2425" s="28">
        <f>IFERROR(E2425-Dashboard!$B$4/252,"")</f>
        <v/>
      </c>
      <c r="H2425" s="8">
        <f>IFERROR(IF(ISNUMBER(B2425),MAX(B2425,IFERROR(H2424,B2425)),""),"")</f>
        <v/>
      </c>
      <c r="I2425" s="29">
        <f>IFERROR(IF(AND(ISNUMBER(B2425),ISNUMBER(H2425)),B2425/H2425-1,""),"")</f>
        <v/>
      </c>
      <c r="J2425" s="8">
        <f>IFERROR(IF(ISNUMBER(C2425),MAX(C2425,IFERROR(J2424,C2425)),""),"")</f>
        <v/>
      </c>
      <c r="K2425" s="29">
        <f>IFERROR(IF(AND(ISNUMBER(C2425),ISNUMBER(J2425)),C2425/J2425-1,""),"")</f>
        <v/>
      </c>
      <c r="L2425" s="28">
        <f>IFERROR(IF(AND(ISNUMBER(D2425),ISNUMBER(E2425)),D2425-E2425,""),"")</f>
        <v/>
      </c>
    </row>
    <row r="2426">
      <c r="A2426" s="7">
        <f>IFERROR(Datos!A2426,"")</f>
        <v/>
      </c>
      <c r="B2426" s="8">
        <f>IFERROR(Datos!B2426,"")</f>
        <v/>
      </c>
      <c r="C2426" s="8">
        <f>IFERROR(Datos!C2426,"")</f>
        <v/>
      </c>
      <c r="D2426" s="28">
        <f>IFERROR(IF(AND(ISNUMBER(B2426),ISNUMBER(B2425),B2425&lt;&gt;0),B2426/B2425-1,""),"")</f>
        <v/>
      </c>
      <c r="E2426" s="28">
        <f>IFERROR(IF(AND(ISNUMBER(C2426),ISNUMBER(C2425),C2425&lt;&gt;0),C2426/C2425-1,""),"")</f>
        <v/>
      </c>
      <c r="F2426" s="28">
        <f>IFERROR(D2426-Dashboard!$B$4/252,"")</f>
        <v/>
      </c>
      <c r="G2426" s="28">
        <f>IFERROR(E2426-Dashboard!$B$4/252,"")</f>
        <v/>
      </c>
      <c r="H2426" s="8">
        <f>IFERROR(IF(ISNUMBER(B2426),MAX(B2426,IFERROR(H2425,B2426)),""),"")</f>
        <v/>
      </c>
      <c r="I2426" s="29">
        <f>IFERROR(IF(AND(ISNUMBER(B2426),ISNUMBER(H2426)),B2426/H2426-1,""),"")</f>
        <v/>
      </c>
      <c r="J2426" s="8">
        <f>IFERROR(IF(ISNUMBER(C2426),MAX(C2426,IFERROR(J2425,C2426)),""),"")</f>
        <v/>
      </c>
      <c r="K2426" s="29">
        <f>IFERROR(IF(AND(ISNUMBER(C2426),ISNUMBER(J2426)),C2426/J2426-1,""),"")</f>
        <v/>
      </c>
      <c r="L2426" s="28">
        <f>IFERROR(IF(AND(ISNUMBER(D2426),ISNUMBER(E2426)),D2426-E2426,""),"")</f>
        <v/>
      </c>
    </row>
    <row r="2427">
      <c r="A2427" s="7">
        <f>IFERROR(Datos!A2427,"")</f>
        <v/>
      </c>
      <c r="B2427" s="8">
        <f>IFERROR(Datos!B2427,"")</f>
        <v/>
      </c>
      <c r="C2427" s="8">
        <f>IFERROR(Datos!C2427,"")</f>
        <v/>
      </c>
      <c r="D2427" s="28">
        <f>IFERROR(IF(AND(ISNUMBER(B2427),ISNUMBER(B2426),B2426&lt;&gt;0),B2427/B2426-1,""),"")</f>
        <v/>
      </c>
      <c r="E2427" s="28">
        <f>IFERROR(IF(AND(ISNUMBER(C2427),ISNUMBER(C2426),C2426&lt;&gt;0),C2427/C2426-1,""),"")</f>
        <v/>
      </c>
      <c r="F2427" s="28">
        <f>IFERROR(D2427-Dashboard!$B$4/252,"")</f>
        <v/>
      </c>
      <c r="G2427" s="28">
        <f>IFERROR(E2427-Dashboard!$B$4/252,"")</f>
        <v/>
      </c>
      <c r="H2427" s="8">
        <f>IFERROR(IF(ISNUMBER(B2427),MAX(B2427,IFERROR(H2426,B2427)),""),"")</f>
        <v/>
      </c>
      <c r="I2427" s="29">
        <f>IFERROR(IF(AND(ISNUMBER(B2427),ISNUMBER(H2427)),B2427/H2427-1,""),"")</f>
        <v/>
      </c>
      <c r="J2427" s="8">
        <f>IFERROR(IF(ISNUMBER(C2427),MAX(C2427,IFERROR(J2426,C2427)),""),"")</f>
        <v/>
      </c>
      <c r="K2427" s="29">
        <f>IFERROR(IF(AND(ISNUMBER(C2427),ISNUMBER(J2427)),C2427/J2427-1,""),"")</f>
        <v/>
      </c>
      <c r="L2427" s="28">
        <f>IFERROR(IF(AND(ISNUMBER(D2427),ISNUMBER(E2427)),D2427-E2427,""),"")</f>
        <v/>
      </c>
    </row>
    <row r="2428">
      <c r="A2428" s="7">
        <f>IFERROR(Datos!A2428,"")</f>
        <v/>
      </c>
      <c r="B2428" s="8">
        <f>IFERROR(Datos!B2428,"")</f>
        <v/>
      </c>
      <c r="C2428" s="8">
        <f>IFERROR(Datos!C2428,"")</f>
        <v/>
      </c>
      <c r="D2428" s="28">
        <f>IFERROR(IF(AND(ISNUMBER(B2428),ISNUMBER(B2427),B2427&lt;&gt;0),B2428/B2427-1,""),"")</f>
        <v/>
      </c>
      <c r="E2428" s="28">
        <f>IFERROR(IF(AND(ISNUMBER(C2428),ISNUMBER(C2427),C2427&lt;&gt;0),C2428/C2427-1,""),"")</f>
        <v/>
      </c>
      <c r="F2428" s="28">
        <f>IFERROR(D2428-Dashboard!$B$4/252,"")</f>
        <v/>
      </c>
      <c r="G2428" s="28">
        <f>IFERROR(E2428-Dashboard!$B$4/252,"")</f>
        <v/>
      </c>
      <c r="H2428" s="8">
        <f>IFERROR(IF(ISNUMBER(B2428),MAX(B2428,IFERROR(H2427,B2428)),""),"")</f>
        <v/>
      </c>
      <c r="I2428" s="29">
        <f>IFERROR(IF(AND(ISNUMBER(B2428),ISNUMBER(H2428)),B2428/H2428-1,""),"")</f>
        <v/>
      </c>
      <c r="J2428" s="8">
        <f>IFERROR(IF(ISNUMBER(C2428),MAX(C2428,IFERROR(J2427,C2428)),""),"")</f>
        <v/>
      </c>
      <c r="K2428" s="29">
        <f>IFERROR(IF(AND(ISNUMBER(C2428),ISNUMBER(J2428)),C2428/J2428-1,""),"")</f>
        <v/>
      </c>
      <c r="L2428" s="28">
        <f>IFERROR(IF(AND(ISNUMBER(D2428),ISNUMBER(E2428)),D2428-E2428,""),"")</f>
        <v/>
      </c>
    </row>
    <row r="2429">
      <c r="A2429" s="7">
        <f>IFERROR(Datos!A2429,"")</f>
        <v/>
      </c>
      <c r="B2429" s="8">
        <f>IFERROR(Datos!B2429,"")</f>
        <v/>
      </c>
      <c r="C2429" s="8">
        <f>IFERROR(Datos!C2429,"")</f>
        <v/>
      </c>
      <c r="D2429" s="28">
        <f>IFERROR(IF(AND(ISNUMBER(B2429),ISNUMBER(B2428),B2428&lt;&gt;0),B2429/B2428-1,""),"")</f>
        <v/>
      </c>
      <c r="E2429" s="28">
        <f>IFERROR(IF(AND(ISNUMBER(C2429),ISNUMBER(C2428),C2428&lt;&gt;0),C2429/C2428-1,""),"")</f>
        <v/>
      </c>
      <c r="F2429" s="28">
        <f>IFERROR(D2429-Dashboard!$B$4/252,"")</f>
        <v/>
      </c>
      <c r="G2429" s="28">
        <f>IFERROR(E2429-Dashboard!$B$4/252,"")</f>
        <v/>
      </c>
      <c r="H2429" s="8">
        <f>IFERROR(IF(ISNUMBER(B2429),MAX(B2429,IFERROR(H2428,B2429)),""),"")</f>
        <v/>
      </c>
      <c r="I2429" s="29">
        <f>IFERROR(IF(AND(ISNUMBER(B2429),ISNUMBER(H2429)),B2429/H2429-1,""),"")</f>
        <v/>
      </c>
      <c r="J2429" s="8">
        <f>IFERROR(IF(ISNUMBER(C2429),MAX(C2429,IFERROR(J2428,C2429)),""),"")</f>
        <v/>
      </c>
      <c r="K2429" s="29">
        <f>IFERROR(IF(AND(ISNUMBER(C2429),ISNUMBER(J2429)),C2429/J2429-1,""),"")</f>
        <v/>
      </c>
      <c r="L2429" s="28">
        <f>IFERROR(IF(AND(ISNUMBER(D2429),ISNUMBER(E2429)),D2429-E2429,""),"")</f>
        <v/>
      </c>
    </row>
    <row r="2430">
      <c r="A2430" s="7">
        <f>IFERROR(Datos!A2430,"")</f>
        <v/>
      </c>
      <c r="B2430" s="8">
        <f>IFERROR(Datos!B2430,"")</f>
        <v/>
      </c>
      <c r="C2430" s="8">
        <f>IFERROR(Datos!C2430,"")</f>
        <v/>
      </c>
      <c r="D2430" s="28">
        <f>IFERROR(IF(AND(ISNUMBER(B2430),ISNUMBER(B2429),B2429&lt;&gt;0),B2430/B2429-1,""),"")</f>
        <v/>
      </c>
      <c r="E2430" s="28">
        <f>IFERROR(IF(AND(ISNUMBER(C2430),ISNUMBER(C2429),C2429&lt;&gt;0),C2430/C2429-1,""),"")</f>
        <v/>
      </c>
      <c r="F2430" s="28">
        <f>IFERROR(D2430-Dashboard!$B$4/252,"")</f>
        <v/>
      </c>
      <c r="G2430" s="28">
        <f>IFERROR(E2430-Dashboard!$B$4/252,"")</f>
        <v/>
      </c>
      <c r="H2430" s="8">
        <f>IFERROR(IF(ISNUMBER(B2430),MAX(B2430,IFERROR(H2429,B2430)),""),"")</f>
        <v/>
      </c>
      <c r="I2430" s="29">
        <f>IFERROR(IF(AND(ISNUMBER(B2430),ISNUMBER(H2430)),B2430/H2430-1,""),"")</f>
        <v/>
      </c>
      <c r="J2430" s="8">
        <f>IFERROR(IF(ISNUMBER(C2430),MAX(C2430,IFERROR(J2429,C2430)),""),"")</f>
        <v/>
      </c>
      <c r="K2430" s="29">
        <f>IFERROR(IF(AND(ISNUMBER(C2430),ISNUMBER(J2430)),C2430/J2430-1,""),"")</f>
        <v/>
      </c>
      <c r="L2430" s="28">
        <f>IFERROR(IF(AND(ISNUMBER(D2430),ISNUMBER(E2430)),D2430-E2430,""),"")</f>
        <v/>
      </c>
    </row>
    <row r="2431">
      <c r="A2431" s="7">
        <f>IFERROR(Datos!A2431,"")</f>
        <v/>
      </c>
      <c r="B2431" s="8">
        <f>IFERROR(Datos!B2431,"")</f>
        <v/>
      </c>
      <c r="C2431" s="8">
        <f>IFERROR(Datos!C2431,"")</f>
        <v/>
      </c>
      <c r="D2431" s="28">
        <f>IFERROR(IF(AND(ISNUMBER(B2431),ISNUMBER(B2430),B2430&lt;&gt;0),B2431/B2430-1,""),"")</f>
        <v/>
      </c>
      <c r="E2431" s="28">
        <f>IFERROR(IF(AND(ISNUMBER(C2431),ISNUMBER(C2430),C2430&lt;&gt;0),C2431/C2430-1,""),"")</f>
        <v/>
      </c>
      <c r="F2431" s="28">
        <f>IFERROR(D2431-Dashboard!$B$4/252,"")</f>
        <v/>
      </c>
      <c r="G2431" s="28">
        <f>IFERROR(E2431-Dashboard!$B$4/252,"")</f>
        <v/>
      </c>
      <c r="H2431" s="8">
        <f>IFERROR(IF(ISNUMBER(B2431),MAX(B2431,IFERROR(H2430,B2431)),""),"")</f>
        <v/>
      </c>
      <c r="I2431" s="29">
        <f>IFERROR(IF(AND(ISNUMBER(B2431),ISNUMBER(H2431)),B2431/H2431-1,""),"")</f>
        <v/>
      </c>
      <c r="J2431" s="8">
        <f>IFERROR(IF(ISNUMBER(C2431),MAX(C2431,IFERROR(J2430,C2431)),""),"")</f>
        <v/>
      </c>
      <c r="K2431" s="29">
        <f>IFERROR(IF(AND(ISNUMBER(C2431),ISNUMBER(J2431)),C2431/J2431-1,""),"")</f>
        <v/>
      </c>
      <c r="L2431" s="28">
        <f>IFERROR(IF(AND(ISNUMBER(D2431),ISNUMBER(E2431)),D2431-E2431,""),"")</f>
        <v/>
      </c>
    </row>
    <row r="2432">
      <c r="A2432" s="7">
        <f>IFERROR(Datos!A2432,"")</f>
        <v/>
      </c>
      <c r="B2432" s="8">
        <f>IFERROR(Datos!B2432,"")</f>
        <v/>
      </c>
      <c r="C2432" s="8">
        <f>IFERROR(Datos!C2432,"")</f>
        <v/>
      </c>
      <c r="D2432" s="28">
        <f>IFERROR(IF(AND(ISNUMBER(B2432),ISNUMBER(B2431),B2431&lt;&gt;0),B2432/B2431-1,""),"")</f>
        <v/>
      </c>
      <c r="E2432" s="28">
        <f>IFERROR(IF(AND(ISNUMBER(C2432),ISNUMBER(C2431),C2431&lt;&gt;0),C2432/C2431-1,""),"")</f>
        <v/>
      </c>
      <c r="F2432" s="28">
        <f>IFERROR(D2432-Dashboard!$B$4/252,"")</f>
        <v/>
      </c>
      <c r="G2432" s="28">
        <f>IFERROR(E2432-Dashboard!$B$4/252,"")</f>
        <v/>
      </c>
      <c r="H2432" s="8">
        <f>IFERROR(IF(ISNUMBER(B2432),MAX(B2432,IFERROR(H2431,B2432)),""),"")</f>
        <v/>
      </c>
      <c r="I2432" s="29">
        <f>IFERROR(IF(AND(ISNUMBER(B2432),ISNUMBER(H2432)),B2432/H2432-1,""),"")</f>
        <v/>
      </c>
      <c r="J2432" s="8">
        <f>IFERROR(IF(ISNUMBER(C2432),MAX(C2432,IFERROR(J2431,C2432)),""),"")</f>
        <v/>
      </c>
      <c r="K2432" s="29">
        <f>IFERROR(IF(AND(ISNUMBER(C2432),ISNUMBER(J2432)),C2432/J2432-1,""),"")</f>
        <v/>
      </c>
      <c r="L2432" s="28">
        <f>IFERROR(IF(AND(ISNUMBER(D2432),ISNUMBER(E2432)),D2432-E2432,""),"")</f>
        <v/>
      </c>
    </row>
    <row r="2433">
      <c r="A2433" s="7">
        <f>IFERROR(Datos!A2433,"")</f>
        <v/>
      </c>
      <c r="B2433" s="8">
        <f>IFERROR(Datos!B2433,"")</f>
        <v/>
      </c>
      <c r="C2433" s="8">
        <f>IFERROR(Datos!C2433,"")</f>
        <v/>
      </c>
      <c r="D2433" s="28">
        <f>IFERROR(IF(AND(ISNUMBER(B2433),ISNUMBER(B2432),B2432&lt;&gt;0),B2433/B2432-1,""),"")</f>
        <v/>
      </c>
      <c r="E2433" s="28">
        <f>IFERROR(IF(AND(ISNUMBER(C2433),ISNUMBER(C2432),C2432&lt;&gt;0),C2433/C2432-1,""),"")</f>
        <v/>
      </c>
      <c r="F2433" s="28">
        <f>IFERROR(D2433-Dashboard!$B$4/252,"")</f>
        <v/>
      </c>
      <c r="G2433" s="28">
        <f>IFERROR(E2433-Dashboard!$B$4/252,"")</f>
        <v/>
      </c>
      <c r="H2433" s="8">
        <f>IFERROR(IF(ISNUMBER(B2433),MAX(B2433,IFERROR(H2432,B2433)),""),"")</f>
        <v/>
      </c>
      <c r="I2433" s="29">
        <f>IFERROR(IF(AND(ISNUMBER(B2433),ISNUMBER(H2433)),B2433/H2433-1,""),"")</f>
        <v/>
      </c>
      <c r="J2433" s="8">
        <f>IFERROR(IF(ISNUMBER(C2433),MAX(C2433,IFERROR(J2432,C2433)),""),"")</f>
        <v/>
      </c>
      <c r="K2433" s="29">
        <f>IFERROR(IF(AND(ISNUMBER(C2433),ISNUMBER(J2433)),C2433/J2433-1,""),"")</f>
        <v/>
      </c>
      <c r="L2433" s="28">
        <f>IFERROR(IF(AND(ISNUMBER(D2433),ISNUMBER(E2433)),D2433-E2433,""),"")</f>
        <v/>
      </c>
    </row>
    <row r="2434">
      <c r="A2434" s="7">
        <f>IFERROR(Datos!A2434,"")</f>
        <v/>
      </c>
      <c r="B2434" s="8">
        <f>IFERROR(Datos!B2434,"")</f>
        <v/>
      </c>
      <c r="C2434" s="8">
        <f>IFERROR(Datos!C2434,"")</f>
        <v/>
      </c>
      <c r="D2434" s="28">
        <f>IFERROR(IF(AND(ISNUMBER(B2434),ISNUMBER(B2433),B2433&lt;&gt;0),B2434/B2433-1,""),"")</f>
        <v/>
      </c>
      <c r="E2434" s="28">
        <f>IFERROR(IF(AND(ISNUMBER(C2434),ISNUMBER(C2433),C2433&lt;&gt;0),C2434/C2433-1,""),"")</f>
        <v/>
      </c>
      <c r="F2434" s="28">
        <f>IFERROR(D2434-Dashboard!$B$4/252,"")</f>
        <v/>
      </c>
      <c r="G2434" s="28">
        <f>IFERROR(E2434-Dashboard!$B$4/252,"")</f>
        <v/>
      </c>
      <c r="H2434" s="8">
        <f>IFERROR(IF(ISNUMBER(B2434),MAX(B2434,IFERROR(H2433,B2434)),""),"")</f>
        <v/>
      </c>
      <c r="I2434" s="29">
        <f>IFERROR(IF(AND(ISNUMBER(B2434),ISNUMBER(H2434)),B2434/H2434-1,""),"")</f>
        <v/>
      </c>
      <c r="J2434" s="8">
        <f>IFERROR(IF(ISNUMBER(C2434),MAX(C2434,IFERROR(J2433,C2434)),""),"")</f>
        <v/>
      </c>
      <c r="K2434" s="29">
        <f>IFERROR(IF(AND(ISNUMBER(C2434),ISNUMBER(J2434)),C2434/J2434-1,""),"")</f>
        <v/>
      </c>
      <c r="L2434" s="28">
        <f>IFERROR(IF(AND(ISNUMBER(D2434),ISNUMBER(E2434)),D2434-E2434,""),"")</f>
        <v/>
      </c>
    </row>
    <row r="2435">
      <c r="A2435" s="7">
        <f>IFERROR(Datos!A2435,"")</f>
        <v/>
      </c>
      <c r="B2435" s="8">
        <f>IFERROR(Datos!B2435,"")</f>
        <v/>
      </c>
      <c r="C2435" s="8">
        <f>IFERROR(Datos!C2435,"")</f>
        <v/>
      </c>
      <c r="D2435" s="28">
        <f>IFERROR(IF(AND(ISNUMBER(B2435),ISNUMBER(B2434),B2434&lt;&gt;0),B2435/B2434-1,""),"")</f>
        <v/>
      </c>
      <c r="E2435" s="28">
        <f>IFERROR(IF(AND(ISNUMBER(C2435),ISNUMBER(C2434),C2434&lt;&gt;0),C2435/C2434-1,""),"")</f>
        <v/>
      </c>
      <c r="F2435" s="28">
        <f>IFERROR(D2435-Dashboard!$B$4/252,"")</f>
        <v/>
      </c>
      <c r="G2435" s="28">
        <f>IFERROR(E2435-Dashboard!$B$4/252,"")</f>
        <v/>
      </c>
      <c r="H2435" s="8">
        <f>IFERROR(IF(ISNUMBER(B2435),MAX(B2435,IFERROR(H2434,B2435)),""),"")</f>
        <v/>
      </c>
      <c r="I2435" s="29">
        <f>IFERROR(IF(AND(ISNUMBER(B2435),ISNUMBER(H2435)),B2435/H2435-1,""),"")</f>
        <v/>
      </c>
      <c r="J2435" s="8">
        <f>IFERROR(IF(ISNUMBER(C2435),MAX(C2435,IFERROR(J2434,C2435)),""),"")</f>
        <v/>
      </c>
      <c r="K2435" s="29">
        <f>IFERROR(IF(AND(ISNUMBER(C2435),ISNUMBER(J2435)),C2435/J2435-1,""),"")</f>
        <v/>
      </c>
      <c r="L2435" s="28">
        <f>IFERROR(IF(AND(ISNUMBER(D2435),ISNUMBER(E2435)),D2435-E2435,""),"")</f>
        <v/>
      </c>
    </row>
    <row r="2436">
      <c r="A2436" s="7">
        <f>IFERROR(Datos!A2436,"")</f>
        <v/>
      </c>
      <c r="B2436" s="8">
        <f>IFERROR(Datos!B2436,"")</f>
        <v/>
      </c>
      <c r="C2436" s="8">
        <f>IFERROR(Datos!C2436,"")</f>
        <v/>
      </c>
      <c r="D2436" s="28">
        <f>IFERROR(IF(AND(ISNUMBER(B2436),ISNUMBER(B2435),B2435&lt;&gt;0),B2436/B2435-1,""),"")</f>
        <v/>
      </c>
      <c r="E2436" s="28">
        <f>IFERROR(IF(AND(ISNUMBER(C2436),ISNUMBER(C2435),C2435&lt;&gt;0),C2436/C2435-1,""),"")</f>
        <v/>
      </c>
      <c r="F2436" s="28">
        <f>IFERROR(D2436-Dashboard!$B$4/252,"")</f>
        <v/>
      </c>
      <c r="G2436" s="28">
        <f>IFERROR(E2436-Dashboard!$B$4/252,"")</f>
        <v/>
      </c>
      <c r="H2436" s="8">
        <f>IFERROR(IF(ISNUMBER(B2436),MAX(B2436,IFERROR(H2435,B2436)),""),"")</f>
        <v/>
      </c>
      <c r="I2436" s="29">
        <f>IFERROR(IF(AND(ISNUMBER(B2436),ISNUMBER(H2436)),B2436/H2436-1,""),"")</f>
        <v/>
      </c>
      <c r="J2436" s="8">
        <f>IFERROR(IF(ISNUMBER(C2436),MAX(C2436,IFERROR(J2435,C2436)),""),"")</f>
        <v/>
      </c>
      <c r="K2436" s="29">
        <f>IFERROR(IF(AND(ISNUMBER(C2436),ISNUMBER(J2436)),C2436/J2436-1,""),"")</f>
        <v/>
      </c>
      <c r="L2436" s="28">
        <f>IFERROR(IF(AND(ISNUMBER(D2436),ISNUMBER(E2436)),D2436-E2436,""),"")</f>
        <v/>
      </c>
    </row>
    <row r="2437">
      <c r="A2437" s="7">
        <f>IFERROR(Datos!A2437,"")</f>
        <v/>
      </c>
      <c r="B2437" s="8">
        <f>IFERROR(Datos!B2437,"")</f>
        <v/>
      </c>
      <c r="C2437" s="8">
        <f>IFERROR(Datos!C2437,"")</f>
        <v/>
      </c>
      <c r="D2437" s="28">
        <f>IFERROR(IF(AND(ISNUMBER(B2437),ISNUMBER(B2436),B2436&lt;&gt;0),B2437/B2436-1,""),"")</f>
        <v/>
      </c>
      <c r="E2437" s="28">
        <f>IFERROR(IF(AND(ISNUMBER(C2437),ISNUMBER(C2436),C2436&lt;&gt;0),C2437/C2436-1,""),"")</f>
        <v/>
      </c>
      <c r="F2437" s="28">
        <f>IFERROR(D2437-Dashboard!$B$4/252,"")</f>
        <v/>
      </c>
      <c r="G2437" s="28">
        <f>IFERROR(E2437-Dashboard!$B$4/252,"")</f>
        <v/>
      </c>
      <c r="H2437" s="8">
        <f>IFERROR(IF(ISNUMBER(B2437),MAX(B2437,IFERROR(H2436,B2437)),""),"")</f>
        <v/>
      </c>
      <c r="I2437" s="29">
        <f>IFERROR(IF(AND(ISNUMBER(B2437),ISNUMBER(H2437)),B2437/H2437-1,""),"")</f>
        <v/>
      </c>
      <c r="J2437" s="8">
        <f>IFERROR(IF(ISNUMBER(C2437),MAX(C2437,IFERROR(J2436,C2437)),""),"")</f>
        <v/>
      </c>
      <c r="K2437" s="29">
        <f>IFERROR(IF(AND(ISNUMBER(C2437),ISNUMBER(J2437)),C2437/J2437-1,""),"")</f>
        <v/>
      </c>
      <c r="L2437" s="28">
        <f>IFERROR(IF(AND(ISNUMBER(D2437),ISNUMBER(E2437)),D2437-E2437,""),"")</f>
        <v/>
      </c>
    </row>
    <row r="2438">
      <c r="A2438" s="7">
        <f>IFERROR(Datos!A2438,"")</f>
        <v/>
      </c>
      <c r="B2438" s="8">
        <f>IFERROR(Datos!B2438,"")</f>
        <v/>
      </c>
      <c r="C2438" s="8">
        <f>IFERROR(Datos!C2438,"")</f>
        <v/>
      </c>
      <c r="D2438" s="28">
        <f>IFERROR(IF(AND(ISNUMBER(B2438),ISNUMBER(B2437),B2437&lt;&gt;0),B2438/B2437-1,""),"")</f>
        <v/>
      </c>
      <c r="E2438" s="28">
        <f>IFERROR(IF(AND(ISNUMBER(C2438),ISNUMBER(C2437),C2437&lt;&gt;0),C2438/C2437-1,""),"")</f>
        <v/>
      </c>
      <c r="F2438" s="28">
        <f>IFERROR(D2438-Dashboard!$B$4/252,"")</f>
        <v/>
      </c>
      <c r="G2438" s="28">
        <f>IFERROR(E2438-Dashboard!$B$4/252,"")</f>
        <v/>
      </c>
      <c r="H2438" s="8">
        <f>IFERROR(IF(ISNUMBER(B2438),MAX(B2438,IFERROR(H2437,B2438)),""),"")</f>
        <v/>
      </c>
      <c r="I2438" s="29">
        <f>IFERROR(IF(AND(ISNUMBER(B2438),ISNUMBER(H2438)),B2438/H2438-1,""),"")</f>
        <v/>
      </c>
      <c r="J2438" s="8">
        <f>IFERROR(IF(ISNUMBER(C2438),MAX(C2438,IFERROR(J2437,C2438)),""),"")</f>
        <v/>
      </c>
      <c r="K2438" s="29">
        <f>IFERROR(IF(AND(ISNUMBER(C2438),ISNUMBER(J2438)),C2438/J2438-1,""),"")</f>
        <v/>
      </c>
      <c r="L2438" s="28">
        <f>IFERROR(IF(AND(ISNUMBER(D2438),ISNUMBER(E2438)),D2438-E2438,""),"")</f>
        <v/>
      </c>
    </row>
    <row r="2439">
      <c r="A2439" s="7">
        <f>IFERROR(Datos!A2439,"")</f>
        <v/>
      </c>
      <c r="B2439" s="8">
        <f>IFERROR(Datos!B2439,"")</f>
        <v/>
      </c>
      <c r="C2439" s="8">
        <f>IFERROR(Datos!C2439,"")</f>
        <v/>
      </c>
      <c r="D2439" s="28">
        <f>IFERROR(IF(AND(ISNUMBER(B2439),ISNUMBER(B2438),B2438&lt;&gt;0),B2439/B2438-1,""),"")</f>
        <v/>
      </c>
      <c r="E2439" s="28">
        <f>IFERROR(IF(AND(ISNUMBER(C2439),ISNUMBER(C2438),C2438&lt;&gt;0),C2439/C2438-1,""),"")</f>
        <v/>
      </c>
      <c r="F2439" s="28">
        <f>IFERROR(D2439-Dashboard!$B$4/252,"")</f>
        <v/>
      </c>
      <c r="G2439" s="28">
        <f>IFERROR(E2439-Dashboard!$B$4/252,"")</f>
        <v/>
      </c>
      <c r="H2439" s="8">
        <f>IFERROR(IF(ISNUMBER(B2439),MAX(B2439,IFERROR(H2438,B2439)),""),"")</f>
        <v/>
      </c>
      <c r="I2439" s="29">
        <f>IFERROR(IF(AND(ISNUMBER(B2439),ISNUMBER(H2439)),B2439/H2439-1,""),"")</f>
        <v/>
      </c>
      <c r="J2439" s="8">
        <f>IFERROR(IF(ISNUMBER(C2439),MAX(C2439,IFERROR(J2438,C2439)),""),"")</f>
        <v/>
      </c>
      <c r="K2439" s="29">
        <f>IFERROR(IF(AND(ISNUMBER(C2439),ISNUMBER(J2439)),C2439/J2439-1,""),"")</f>
        <v/>
      </c>
      <c r="L2439" s="28">
        <f>IFERROR(IF(AND(ISNUMBER(D2439),ISNUMBER(E2439)),D2439-E2439,""),"")</f>
        <v/>
      </c>
    </row>
    <row r="2440">
      <c r="A2440" s="7">
        <f>IFERROR(Datos!A2440,"")</f>
        <v/>
      </c>
      <c r="B2440" s="8">
        <f>IFERROR(Datos!B2440,"")</f>
        <v/>
      </c>
      <c r="C2440" s="8">
        <f>IFERROR(Datos!C2440,"")</f>
        <v/>
      </c>
      <c r="D2440" s="28">
        <f>IFERROR(IF(AND(ISNUMBER(B2440),ISNUMBER(B2439),B2439&lt;&gt;0),B2440/B2439-1,""),"")</f>
        <v/>
      </c>
      <c r="E2440" s="28">
        <f>IFERROR(IF(AND(ISNUMBER(C2440),ISNUMBER(C2439),C2439&lt;&gt;0),C2440/C2439-1,""),"")</f>
        <v/>
      </c>
      <c r="F2440" s="28">
        <f>IFERROR(D2440-Dashboard!$B$4/252,"")</f>
        <v/>
      </c>
      <c r="G2440" s="28">
        <f>IFERROR(E2440-Dashboard!$B$4/252,"")</f>
        <v/>
      </c>
      <c r="H2440" s="8">
        <f>IFERROR(IF(ISNUMBER(B2440),MAX(B2440,IFERROR(H2439,B2440)),""),"")</f>
        <v/>
      </c>
      <c r="I2440" s="29">
        <f>IFERROR(IF(AND(ISNUMBER(B2440),ISNUMBER(H2440)),B2440/H2440-1,""),"")</f>
        <v/>
      </c>
      <c r="J2440" s="8">
        <f>IFERROR(IF(ISNUMBER(C2440),MAX(C2440,IFERROR(J2439,C2440)),""),"")</f>
        <v/>
      </c>
      <c r="K2440" s="29">
        <f>IFERROR(IF(AND(ISNUMBER(C2440),ISNUMBER(J2440)),C2440/J2440-1,""),"")</f>
        <v/>
      </c>
      <c r="L2440" s="28">
        <f>IFERROR(IF(AND(ISNUMBER(D2440),ISNUMBER(E2440)),D2440-E2440,""),"")</f>
        <v/>
      </c>
    </row>
    <row r="2441">
      <c r="A2441" s="7">
        <f>IFERROR(Datos!A2441,"")</f>
        <v/>
      </c>
      <c r="B2441" s="8">
        <f>IFERROR(Datos!B2441,"")</f>
        <v/>
      </c>
      <c r="C2441" s="8">
        <f>IFERROR(Datos!C2441,"")</f>
        <v/>
      </c>
      <c r="D2441" s="28">
        <f>IFERROR(IF(AND(ISNUMBER(B2441),ISNUMBER(B2440),B2440&lt;&gt;0),B2441/B2440-1,""),"")</f>
        <v/>
      </c>
      <c r="E2441" s="28">
        <f>IFERROR(IF(AND(ISNUMBER(C2441),ISNUMBER(C2440),C2440&lt;&gt;0),C2441/C2440-1,""),"")</f>
        <v/>
      </c>
      <c r="F2441" s="28">
        <f>IFERROR(D2441-Dashboard!$B$4/252,"")</f>
        <v/>
      </c>
      <c r="G2441" s="28">
        <f>IFERROR(E2441-Dashboard!$B$4/252,"")</f>
        <v/>
      </c>
      <c r="H2441" s="8">
        <f>IFERROR(IF(ISNUMBER(B2441),MAX(B2441,IFERROR(H2440,B2441)),""),"")</f>
        <v/>
      </c>
      <c r="I2441" s="29">
        <f>IFERROR(IF(AND(ISNUMBER(B2441),ISNUMBER(H2441)),B2441/H2441-1,""),"")</f>
        <v/>
      </c>
      <c r="J2441" s="8">
        <f>IFERROR(IF(ISNUMBER(C2441),MAX(C2441,IFERROR(J2440,C2441)),""),"")</f>
        <v/>
      </c>
      <c r="K2441" s="29">
        <f>IFERROR(IF(AND(ISNUMBER(C2441),ISNUMBER(J2441)),C2441/J2441-1,""),"")</f>
        <v/>
      </c>
      <c r="L2441" s="28">
        <f>IFERROR(IF(AND(ISNUMBER(D2441),ISNUMBER(E2441)),D2441-E2441,""),"")</f>
        <v/>
      </c>
    </row>
    <row r="2442">
      <c r="A2442" s="7">
        <f>IFERROR(Datos!A2442,"")</f>
        <v/>
      </c>
      <c r="B2442" s="8">
        <f>IFERROR(Datos!B2442,"")</f>
        <v/>
      </c>
      <c r="C2442" s="8">
        <f>IFERROR(Datos!C2442,"")</f>
        <v/>
      </c>
      <c r="D2442" s="28">
        <f>IFERROR(IF(AND(ISNUMBER(B2442),ISNUMBER(B2441),B2441&lt;&gt;0),B2442/B2441-1,""),"")</f>
        <v/>
      </c>
      <c r="E2442" s="28">
        <f>IFERROR(IF(AND(ISNUMBER(C2442),ISNUMBER(C2441),C2441&lt;&gt;0),C2442/C2441-1,""),"")</f>
        <v/>
      </c>
      <c r="F2442" s="28">
        <f>IFERROR(D2442-Dashboard!$B$4/252,"")</f>
        <v/>
      </c>
      <c r="G2442" s="28">
        <f>IFERROR(E2442-Dashboard!$B$4/252,"")</f>
        <v/>
      </c>
      <c r="H2442" s="8">
        <f>IFERROR(IF(ISNUMBER(B2442),MAX(B2442,IFERROR(H2441,B2442)),""),"")</f>
        <v/>
      </c>
      <c r="I2442" s="29">
        <f>IFERROR(IF(AND(ISNUMBER(B2442),ISNUMBER(H2442)),B2442/H2442-1,""),"")</f>
        <v/>
      </c>
      <c r="J2442" s="8">
        <f>IFERROR(IF(ISNUMBER(C2442),MAX(C2442,IFERROR(J2441,C2442)),""),"")</f>
        <v/>
      </c>
      <c r="K2442" s="29">
        <f>IFERROR(IF(AND(ISNUMBER(C2442),ISNUMBER(J2442)),C2442/J2442-1,""),"")</f>
        <v/>
      </c>
      <c r="L2442" s="28">
        <f>IFERROR(IF(AND(ISNUMBER(D2442),ISNUMBER(E2442)),D2442-E2442,""),"")</f>
        <v/>
      </c>
    </row>
    <row r="2443">
      <c r="A2443" s="7">
        <f>IFERROR(Datos!A2443,"")</f>
        <v/>
      </c>
      <c r="B2443" s="8">
        <f>IFERROR(Datos!B2443,"")</f>
        <v/>
      </c>
      <c r="C2443" s="8">
        <f>IFERROR(Datos!C2443,"")</f>
        <v/>
      </c>
      <c r="D2443" s="28">
        <f>IFERROR(IF(AND(ISNUMBER(B2443),ISNUMBER(B2442),B2442&lt;&gt;0),B2443/B2442-1,""),"")</f>
        <v/>
      </c>
      <c r="E2443" s="28">
        <f>IFERROR(IF(AND(ISNUMBER(C2443),ISNUMBER(C2442),C2442&lt;&gt;0),C2443/C2442-1,""),"")</f>
        <v/>
      </c>
      <c r="F2443" s="28">
        <f>IFERROR(D2443-Dashboard!$B$4/252,"")</f>
        <v/>
      </c>
      <c r="G2443" s="28">
        <f>IFERROR(E2443-Dashboard!$B$4/252,"")</f>
        <v/>
      </c>
      <c r="H2443" s="8">
        <f>IFERROR(IF(ISNUMBER(B2443),MAX(B2443,IFERROR(H2442,B2443)),""),"")</f>
        <v/>
      </c>
      <c r="I2443" s="29">
        <f>IFERROR(IF(AND(ISNUMBER(B2443),ISNUMBER(H2443)),B2443/H2443-1,""),"")</f>
        <v/>
      </c>
      <c r="J2443" s="8">
        <f>IFERROR(IF(ISNUMBER(C2443),MAX(C2443,IFERROR(J2442,C2443)),""),"")</f>
        <v/>
      </c>
      <c r="K2443" s="29">
        <f>IFERROR(IF(AND(ISNUMBER(C2443),ISNUMBER(J2443)),C2443/J2443-1,""),"")</f>
        <v/>
      </c>
      <c r="L2443" s="28">
        <f>IFERROR(IF(AND(ISNUMBER(D2443),ISNUMBER(E2443)),D2443-E2443,""),"")</f>
        <v/>
      </c>
    </row>
    <row r="2444">
      <c r="A2444" s="7">
        <f>IFERROR(Datos!A2444,"")</f>
        <v/>
      </c>
      <c r="B2444" s="8">
        <f>IFERROR(Datos!B2444,"")</f>
        <v/>
      </c>
      <c r="C2444" s="8">
        <f>IFERROR(Datos!C2444,"")</f>
        <v/>
      </c>
      <c r="D2444" s="28">
        <f>IFERROR(IF(AND(ISNUMBER(B2444),ISNUMBER(B2443),B2443&lt;&gt;0),B2444/B2443-1,""),"")</f>
        <v/>
      </c>
      <c r="E2444" s="28">
        <f>IFERROR(IF(AND(ISNUMBER(C2444),ISNUMBER(C2443),C2443&lt;&gt;0),C2444/C2443-1,""),"")</f>
        <v/>
      </c>
      <c r="F2444" s="28">
        <f>IFERROR(D2444-Dashboard!$B$4/252,"")</f>
        <v/>
      </c>
      <c r="G2444" s="28">
        <f>IFERROR(E2444-Dashboard!$B$4/252,"")</f>
        <v/>
      </c>
      <c r="H2444" s="8">
        <f>IFERROR(IF(ISNUMBER(B2444),MAX(B2444,IFERROR(H2443,B2444)),""),"")</f>
        <v/>
      </c>
      <c r="I2444" s="29">
        <f>IFERROR(IF(AND(ISNUMBER(B2444),ISNUMBER(H2444)),B2444/H2444-1,""),"")</f>
        <v/>
      </c>
      <c r="J2444" s="8">
        <f>IFERROR(IF(ISNUMBER(C2444),MAX(C2444,IFERROR(J2443,C2444)),""),"")</f>
        <v/>
      </c>
      <c r="K2444" s="29">
        <f>IFERROR(IF(AND(ISNUMBER(C2444),ISNUMBER(J2444)),C2444/J2444-1,""),"")</f>
        <v/>
      </c>
      <c r="L2444" s="28">
        <f>IFERROR(IF(AND(ISNUMBER(D2444),ISNUMBER(E2444)),D2444-E2444,""),"")</f>
        <v/>
      </c>
    </row>
    <row r="2445">
      <c r="A2445" s="7">
        <f>IFERROR(Datos!A2445,"")</f>
        <v/>
      </c>
      <c r="B2445" s="8">
        <f>IFERROR(Datos!B2445,"")</f>
        <v/>
      </c>
      <c r="C2445" s="8">
        <f>IFERROR(Datos!C2445,"")</f>
        <v/>
      </c>
      <c r="D2445" s="28">
        <f>IFERROR(IF(AND(ISNUMBER(B2445),ISNUMBER(B2444),B2444&lt;&gt;0),B2445/B2444-1,""),"")</f>
        <v/>
      </c>
      <c r="E2445" s="28">
        <f>IFERROR(IF(AND(ISNUMBER(C2445),ISNUMBER(C2444),C2444&lt;&gt;0),C2445/C2444-1,""),"")</f>
        <v/>
      </c>
      <c r="F2445" s="28">
        <f>IFERROR(D2445-Dashboard!$B$4/252,"")</f>
        <v/>
      </c>
      <c r="G2445" s="28">
        <f>IFERROR(E2445-Dashboard!$B$4/252,"")</f>
        <v/>
      </c>
      <c r="H2445" s="8">
        <f>IFERROR(IF(ISNUMBER(B2445),MAX(B2445,IFERROR(H2444,B2445)),""),"")</f>
        <v/>
      </c>
      <c r="I2445" s="29">
        <f>IFERROR(IF(AND(ISNUMBER(B2445),ISNUMBER(H2445)),B2445/H2445-1,""),"")</f>
        <v/>
      </c>
      <c r="J2445" s="8">
        <f>IFERROR(IF(ISNUMBER(C2445),MAX(C2445,IFERROR(J2444,C2445)),""),"")</f>
        <v/>
      </c>
      <c r="K2445" s="29">
        <f>IFERROR(IF(AND(ISNUMBER(C2445),ISNUMBER(J2445)),C2445/J2445-1,""),"")</f>
        <v/>
      </c>
      <c r="L2445" s="28">
        <f>IFERROR(IF(AND(ISNUMBER(D2445),ISNUMBER(E2445)),D2445-E2445,""),"")</f>
        <v/>
      </c>
    </row>
    <row r="2446">
      <c r="A2446" s="7">
        <f>IFERROR(Datos!A2446,"")</f>
        <v/>
      </c>
      <c r="B2446" s="8">
        <f>IFERROR(Datos!B2446,"")</f>
        <v/>
      </c>
      <c r="C2446" s="8">
        <f>IFERROR(Datos!C2446,"")</f>
        <v/>
      </c>
      <c r="D2446" s="28">
        <f>IFERROR(IF(AND(ISNUMBER(B2446),ISNUMBER(B2445),B2445&lt;&gt;0),B2446/B2445-1,""),"")</f>
        <v/>
      </c>
      <c r="E2446" s="28">
        <f>IFERROR(IF(AND(ISNUMBER(C2446),ISNUMBER(C2445),C2445&lt;&gt;0),C2446/C2445-1,""),"")</f>
        <v/>
      </c>
      <c r="F2446" s="28">
        <f>IFERROR(D2446-Dashboard!$B$4/252,"")</f>
        <v/>
      </c>
      <c r="G2446" s="28">
        <f>IFERROR(E2446-Dashboard!$B$4/252,"")</f>
        <v/>
      </c>
      <c r="H2446" s="8">
        <f>IFERROR(IF(ISNUMBER(B2446),MAX(B2446,IFERROR(H2445,B2446)),""),"")</f>
        <v/>
      </c>
      <c r="I2446" s="29">
        <f>IFERROR(IF(AND(ISNUMBER(B2446),ISNUMBER(H2446)),B2446/H2446-1,""),"")</f>
        <v/>
      </c>
      <c r="J2446" s="8">
        <f>IFERROR(IF(ISNUMBER(C2446),MAX(C2446,IFERROR(J2445,C2446)),""),"")</f>
        <v/>
      </c>
      <c r="K2446" s="29">
        <f>IFERROR(IF(AND(ISNUMBER(C2446),ISNUMBER(J2446)),C2446/J2446-1,""),"")</f>
        <v/>
      </c>
      <c r="L2446" s="28">
        <f>IFERROR(IF(AND(ISNUMBER(D2446),ISNUMBER(E2446)),D2446-E2446,""),"")</f>
        <v/>
      </c>
    </row>
    <row r="2447">
      <c r="A2447" s="7">
        <f>IFERROR(Datos!A2447,"")</f>
        <v/>
      </c>
      <c r="B2447" s="8">
        <f>IFERROR(Datos!B2447,"")</f>
        <v/>
      </c>
      <c r="C2447" s="8">
        <f>IFERROR(Datos!C2447,"")</f>
        <v/>
      </c>
      <c r="D2447" s="28">
        <f>IFERROR(IF(AND(ISNUMBER(B2447),ISNUMBER(B2446),B2446&lt;&gt;0),B2447/B2446-1,""),"")</f>
        <v/>
      </c>
      <c r="E2447" s="28">
        <f>IFERROR(IF(AND(ISNUMBER(C2447),ISNUMBER(C2446),C2446&lt;&gt;0),C2447/C2446-1,""),"")</f>
        <v/>
      </c>
      <c r="F2447" s="28">
        <f>IFERROR(D2447-Dashboard!$B$4/252,"")</f>
        <v/>
      </c>
      <c r="G2447" s="28">
        <f>IFERROR(E2447-Dashboard!$B$4/252,"")</f>
        <v/>
      </c>
      <c r="H2447" s="8">
        <f>IFERROR(IF(ISNUMBER(B2447),MAX(B2447,IFERROR(H2446,B2447)),""),"")</f>
        <v/>
      </c>
      <c r="I2447" s="29">
        <f>IFERROR(IF(AND(ISNUMBER(B2447),ISNUMBER(H2447)),B2447/H2447-1,""),"")</f>
        <v/>
      </c>
      <c r="J2447" s="8">
        <f>IFERROR(IF(ISNUMBER(C2447),MAX(C2447,IFERROR(J2446,C2447)),""),"")</f>
        <v/>
      </c>
      <c r="K2447" s="29">
        <f>IFERROR(IF(AND(ISNUMBER(C2447),ISNUMBER(J2447)),C2447/J2447-1,""),"")</f>
        <v/>
      </c>
      <c r="L2447" s="28">
        <f>IFERROR(IF(AND(ISNUMBER(D2447),ISNUMBER(E2447)),D2447-E2447,""),"")</f>
        <v/>
      </c>
    </row>
    <row r="2448">
      <c r="A2448" s="7">
        <f>IFERROR(Datos!A2448,"")</f>
        <v/>
      </c>
      <c r="B2448" s="8">
        <f>IFERROR(Datos!B2448,"")</f>
        <v/>
      </c>
      <c r="C2448" s="8">
        <f>IFERROR(Datos!C2448,"")</f>
        <v/>
      </c>
      <c r="D2448" s="28">
        <f>IFERROR(IF(AND(ISNUMBER(B2448),ISNUMBER(B2447),B2447&lt;&gt;0),B2448/B2447-1,""),"")</f>
        <v/>
      </c>
      <c r="E2448" s="28">
        <f>IFERROR(IF(AND(ISNUMBER(C2448),ISNUMBER(C2447),C2447&lt;&gt;0),C2448/C2447-1,""),"")</f>
        <v/>
      </c>
      <c r="F2448" s="28">
        <f>IFERROR(D2448-Dashboard!$B$4/252,"")</f>
        <v/>
      </c>
      <c r="G2448" s="28">
        <f>IFERROR(E2448-Dashboard!$B$4/252,"")</f>
        <v/>
      </c>
      <c r="H2448" s="8">
        <f>IFERROR(IF(ISNUMBER(B2448),MAX(B2448,IFERROR(H2447,B2448)),""),"")</f>
        <v/>
      </c>
      <c r="I2448" s="29">
        <f>IFERROR(IF(AND(ISNUMBER(B2448),ISNUMBER(H2448)),B2448/H2448-1,""),"")</f>
        <v/>
      </c>
      <c r="J2448" s="8">
        <f>IFERROR(IF(ISNUMBER(C2448),MAX(C2448,IFERROR(J2447,C2448)),""),"")</f>
        <v/>
      </c>
      <c r="K2448" s="29">
        <f>IFERROR(IF(AND(ISNUMBER(C2448),ISNUMBER(J2448)),C2448/J2448-1,""),"")</f>
        <v/>
      </c>
      <c r="L2448" s="28">
        <f>IFERROR(IF(AND(ISNUMBER(D2448),ISNUMBER(E2448)),D2448-E2448,""),"")</f>
        <v/>
      </c>
    </row>
    <row r="2449">
      <c r="A2449" s="7">
        <f>IFERROR(Datos!A2449,"")</f>
        <v/>
      </c>
      <c r="B2449" s="8">
        <f>IFERROR(Datos!B2449,"")</f>
        <v/>
      </c>
      <c r="C2449" s="8">
        <f>IFERROR(Datos!C2449,"")</f>
        <v/>
      </c>
      <c r="D2449" s="28">
        <f>IFERROR(IF(AND(ISNUMBER(B2449),ISNUMBER(B2448),B2448&lt;&gt;0),B2449/B2448-1,""),"")</f>
        <v/>
      </c>
      <c r="E2449" s="28">
        <f>IFERROR(IF(AND(ISNUMBER(C2449),ISNUMBER(C2448),C2448&lt;&gt;0),C2449/C2448-1,""),"")</f>
        <v/>
      </c>
      <c r="F2449" s="28">
        <f>IFERROR(D2449-Dashboard!$B$4/252,"")</f>
        <v/>
      </c>
      <c r="G2449" s="28">
        <f>IFERROR(E2449-Dashboard!$B$4/252,"")</f>
        <v/>
      </c>
      <c r="H2449" s="8">
        <f>IFERROR(IF(ISNUMBER(B2449),MAX(B2449,IFERROR(H2448,B2449)),""),"")</f>
        <v/>
      </c>
      <c r="I2449" s="29">
        <f>IFERROR(IF(AND(ISNUMBER(B2449),ISNUMBER(H2449)),B2449/H2449-1,""),"")</f>
        <v/>
      </c>
      <c r="J2449" s="8">
        <f>IFERROR(IF(ISNUMBER(C2449),MAX(C2449,IFERROR(J2448,C2449)),""),"")</f>
        <v/>
      </c>
      <c r="K2449" s="29">
        <f>IFERROR(IF(AND(ISNUMBER(C2449),ISNUMBER(J2449)),C2449/J2449-1,""),"")</f>
        <v/>
      </c>
      <c r="L2449" s="28">
        <f>IFERROR(IF(AND(ISNUMBER(D2449),ISNUMBER(E2449)),D2449-E2449,""),"")</f>
        <v/>
      </c>
    </row>
    <row r="2450">
      <c r="A2450" s="7">
        <f>IFERROR(Datos!A2450,"")</f>
        <v/>
      </c>
      <c r="B2450" s="8">
        <f>IFERROR(Datos!B2450,"")</f>
        <v/>
      </c>
      <c r="C2450" s="8">
        <f>IFERROR(Datos!C2450,"")</f>
        <v/>
      </c>
      <c r="D2450" s="28">
        <f>IFERROR(IF(AND(ISNUMBER(B2450),ISNUMBER(B2449),B2449&lt;&gt;0),B2450/B2449-1,""),"")</f>
        <v/>
      </c>
      <c r="E2450" s="28">
        <f>IFERROR(IF(AND(ISNUMBER(C2450),ISNUMBER(C2449),C2449&lt;&gt;0),C2450/C2449-1,""),"")</f>
        <v/>
      </c>
      <c r="F2450" s="28">
        <f>IFERROR(D2450-Dashboard!$B$4/252,"")</f>
        <v/>
      </c>
      <c r="G2450" s="28">
        <f>IFERROR(E2450-Dashboard!$B$4/252,"")</f>
        <v/>
      </c>
      <c r="H2450" s="8">
        <f>IFERROR(IF(ISNUMBER(B2450),MAX(B2450,IFERROR(H2449,B2450)),""),"")</f>
        <v/>
      </c>
      <c r="I2450" s="29">
        <f>IFERROR(IF(AND(ISNUMBER(B2450),ISNUMBER(H2450)),B2450/H2450-1,""),"")</f>
        <v/>
      </c>
      <c r="J2450" s="8">
        <f>IFERROR(IF(ISNUMBER(C2450),MAX(C2450,IFERROR(J2449,C2450)),""),"")</f>
        <v/>
      </c>
      <c r="K2450" s="29">
        <f>IFERROR(IF(AND(ISNUMBER(C2450),ISNUMBER(J2450)),C2450/J2450-1,""),"")</f>
        <v/>
      </c>
      <c r="L2450" s="28">
        <f>IFERROR(IF(AND(ISNUMBER(D2450),ISNUMBER(E2450)),D2450-E2450,""),"")</f>
        <v/>
      </c>
    </row>
    <row r="2451">
      <c r="A2451" s="7">
        <f>IFERROR(Datos!A2451,"")</f>
        <v/>
      </c>
      <c r="B2451" s="8">
        <f>IFERROR(Datos!B2451,"")</f>
        <v/>
      </c>
      <c r="C2451" s="8">
        <f>IFERROR(Datos!C2451,"")</f>
        <v/>
      </c>
      <c r="D2451" s="28">
        <f>IFERROR(IF(AND(ISNUMBER(B2451),ISNUMBER(B2450),B2450&lt;&gt;0),B2451/B2450-1,""),"")</f>
        <v/>
      </c>
      <c r="E2451" s="28">
        <f>IFERROR(IF(AND(ISNUMBER(C2451),ISNUMBER(C2450),C2450&lt;&gt;0),C2451/C2450-1,""),"")</f>
        <v/>
      </c>
      <c r="F2451" s="28">
        <f>IFERROR(D2451-Dashboard!$B$4/252,"")</f>
        <v/>
      </c>
      <c r="G2451" s="28">
        <f>IFERROR(E2451-Dashboard!$B$4/252,"")</f>
        <v/>
      </c>
      <c r="H2451" s="8">
        <f>IFERROR(IF(ISNUMBER(B2451),MAX(B2451,IFERROR(H2450,B2451)),""),"")</f>
        <v/>
      </c>
      <c r="I2451" s="29">
        <f>IFERROR(IF(AND(ISNUMBER(B2451),ISNUMBER(H2451)),B2451/H2451-1,""),"")</f>
        <v/>
      </c>
      <c r="J2451" s="8">
        <f>IFERROR(IF(ISNUMBER(C2451),MAX(C2451,IFERROR(J2450,C2451)),""),"")</f>
        <v/>
      </c>
      <c r="K2451" s="29">
        <f>IFERROR(IF(AND(ISNUMBER(C2451),ISNUMBER(J2451)),C2451/J2451-1,""),"")</f>
        <v/>
      </c>
      <c r="L2451" s="28">
        <f>IFERROR(IF(AND(ISNUMBER(D2451),ISNUMBER(E2451)),D2451-E2451,""),"")</f>
        <v/>
      </c>
    </row>
    <row r="2452">
      <c r="A2452" s="7">
        <f>IFERROR(Datos!A2452,"")</f>
        <v/>
      </c>
      <c r="B2452" s="8">
        <f>IFERROR(Datos!B2452,"")</f>
        <v/>
      </c>
      <c r="C2452" s="8">
        <f>IFERROR(Datos!C2452,"")</f>
        <v/>
      </c>
      <c r="D2452" s="28">
        <f>IFERROR(IF(AND(ISNUMBER(B2452),ISNUMBER(B2451),B2451&lt;&gt;0),B2452/B2451-1,""),"")</f>
        <v/>
      </c>
      <c r="E2452" s="28">
        <f>IFERROR(IF(AND(ISNUMBER(C2452),ISNUMBER(C2451),C2451&lt;&gt;0),C2452/C2451-1,""),"")</f>
        <v/>
      </c>
      <c r="F2452" s="28">
        <f>IFERROR(D2452-Dashboard!$B$4/252,"")</f>
        <v/>
      </c>
      <c r="G2452" s="28">
        <f>IFERROR(E2452-Dashboard!$B$4/252,"")</f>
        <v/>
      </c>
      <c r="H2452" s="8">
        <f>IFERROR(IF(ISNUMBER(B2452),MAX(B2452,IFERROR(H2451,B2452)),""),"")</f>
        <v/>
      </c>
      <c r="I2452" s="29">
        <f>IFERROR(IF(AND(ISNUMBER(B2452),ISNUMBER(H2452)),B2452/H2452-1,""),"")</f>
        <v/>
      </c>
      <c r="J2452" s="8">
        <f>IFERROR(IF(ISNUMBER(C2452),MAX(C2452,IFERROR(J2451,C2452)),""),"")</f>
        <v/>
      </c>
      <c r="K2452" s="29">
        <f>IFERROR(IF(AND(ISNUMBER(C2452),ISNUMBER(J2452)),C2452/J2452-1,""),"")</f>
        <v/>
      </c>
      <c r="L2452" s="28">
        <f>IFERROR(IF(AND(ISNUMBER(D2452),ISNUMBER(E2452)),D2452-E2452,""),"")</f>
        <v/>
      </c>
    </row>
    <row r="2453">
      <c r="A2453" s="7">
        <f>IFERROR(Datos!A2453,"")</f>
        <v/>
      </c>
      <c r="B2453" s="8">
        <f>IFERROR(Datos!B2453,"")</f>
        <v/>
      </c>
      <c r="C2453" s="8">
        <f>IFERROR(Datos!C2453,"")</f>
        <v/>
      </c>
      <c r="D2453" s="28">
        <f>IFERROR(IF(AND(ISNUMBER(B2453),ISNUMBER(B2452),B2452&lt;&gt;0),B2453/B2452-1,""),"")</f>
        <v/>
      </c>
      <c r="E2453" s="28">
        <f>IFERROR(IF(AND(ISNUMBER(C2453),ISNUMBER(C2452),C2452&lt;&gt;0),C2453/C2452-1,""),"")</f>
        <v/>
      </c>
      <c r="F2453" s="28">
        <f>IFERROR(D2453-Dashboard!$B$4/252,"")</f>
        <v/>
      </c>
      <c r="G2453" s="28">
        <f>IFERROR(E2453-Dashboard!$B$4/252,"")</f>
        <v/>
      </c>
      <c r="H2453" s="8">
        <f>IFERROR(IF(ISNUMBER(B2453),MAX(B2453,IFERROR(H2452,B2453)),""),"")</f>
        <v/>
      </c>
      <c r="I2453" s="29">
        <f>IFERROR(IF(AND(ISNUMBER(B2453),ISNUMBER(H2453)),B2453/H2453-1,""),"")</f>
        <v/>
      </c>
      <c r="J2453" s="8">
        <f>IFERROR(IF(ISNUMBER(C2453),MAX(C2453,IFERROR(J2452,C2453)),""),"")</f>
        <v/>
      </c>
      <c r="K2453" s="29">
        <f>IFERROR(IF(AND(ISNUMBER(C2453),ISNUMBER(J2453)),C2453/J2453-1,""),"")</f>
        <v/>
      </c>
      <c r="L2453" s="28">
        <f>IFERROR(IF(AND(ISNUMBER(D2453),ISNUMBER(E2453)),D2453-E2453,""),"")</f>
        <v/>
      </c>
    </row>
    <row r="2454">
      <c r="A2454" s="7">
        <f>IFERROR(Datos!A2454,"")</f>
        <v/>
      </c>
      <c r="B2454" s="8">
        <f>IFERROR(Datos!B2454,"")</f>
        <v/>
      </c>
      <c r="C2454" s="8">
        <f>IFERROR(Datos!C2454,"")</f>
        <v/>
      </c>
      <c r="D2454" s="28">
        <f>IFERROR(IF(AND(ISNUMBER(B2454),ISNUMBER(B2453),B2453&lt;&gt;0),B2454/B2453-1,""),"")</f>
        <v/>
      </c>
      <c r="E2454" s="28">
        <f>IFERROR(IF(AND(ISNUMBER(C2454),ISNUMBER(C2453),C2453&lt;&gt;0),C2454/C2453-1,""),"")</f>
        <v/>
      </c>
      <c r="F2454" s="28">
        <f>IFERROR(D2454-Dashboard!$B$4/252,"")</f>
        <v/>
      </c>
      <c r="G2454" s="28">
        <f>IFERROR(E2454-Dashboard!$B$4/252,"")</f>
        <v/>
      </c>
      <c r="H2454" s="8">
        <f>IFERROR(IF(ISNUMBER(B2454),MAX(B2454,IFERROR(H2453,B2454)),""),"")</f>
        <v/>
      </c>
      <c r="I2454" s="29">
        <f>IFERROR(IF(AND(ISNUMBER(B2454),ISNUMBER(H2454)),B2454/H2454-1,""),"")</f>
        <v/>
      </c>
      <c r="J2454" s="8">
        <f>IFERROR(IF(ISNUMBER(C2454),MAX(C2454,IFERROR(J2453,C2454)),""),"")</f>
        <v/>
      </c>
      <c r="K2454" s="29">
        <f>IFERROR(IF(AND(ISNUMBER(C2454),ISNUMBER(J2454)),C2454/J2454-1,""),"")</f>
        <v/>
      </c>
      <c r="L2454" s="28">
        <f>IFERROR(IF(AND(ISNUMBER(D2454),ISNUMBER(E2454)),D2454-E2454,""),"")</f>
        <v/>
      </c>
    </row>
    <row r="2455">
      <c r="A2455" s="7">
        <f>IFERROR(Datos!A2455,"")</f>
        <v/>
      </c>
      <c r="B2455" s="8">
        <f>IFERROR(Datos!B2455,"")</f>
        <v/>
      </c>
      <c r="C2455" s="8">
        <f>IFERROR(Datos!C2455,"")</f>
        <v/>
      </c>
      <c r="D2455" s="28">
        <f>IFERROR(IF(AND(ISNUMBER(B2455),ISNUMBER(B2454),B2454&lt;&gt;0),B2455/B2454-1,""),"")</f>
        <v/>
      </c>
      <c r="E2455" s="28">
        <f>IFERROR(IF(AND(ISNUMBER(C2455),ISNUMBER(C2454),C2454&lt;&gt;0),C2455/C2454-1,""),"")</f>
        <v/>
      </c>
      <c r="F2455" s="28">
        <f>IFERROR(D2455-Dashboard!$B$4/252,"")</f>
        <v/>
      </c>
      <c r="G2455" s="28">
        <f>IFERROR(E2455-Dashboard!$B$4/252,"")</f>
        <v/>
      </c>
      <c r="H2455" s="8">
        <f>IFERROR(IF(ISNUMBER(B2455),MAX(B2455,IFERROR(H2454,B2455)),""),"")</f>
        <v/>
      </c>
      <c r="I2455" s="29">
        <f>IFERROR(IF(AND(ISNUMBER(B2455),ISNUMBER(H2455)),B2455/H2455-1,""),"")</f>
        <v/>
      </c>
      <c r="J2455" s="8">
        <f>IFERROR(IF(ISNUMBER(C2455),MAX(C2455,IFERROR(J2454,C2455)),""),"")</f>
        <v/>
      </c>
      <c r="K2455" s="29">
        <f>IFERROR(IF(AND(ISNUMBER(C2455),ISNUMBER(J2455)),C2455/J2455-1,""),"")</f>
        <v/>
      </c>
      <c r="L2455" s="28">
        <f>IFERROR(IF(AND(ISNUMBER(D2455),ISNUMBER(E2455)),D2455-E2455,""),"")</f>
        <v/>
      </c>
    </row>
    <row r="2456">
      <c r="A2456" s="7">
        <f>IFERROR(Datos!A2456,"")</f>
        <v/>
      </c>
      <c r="B2456" s="8">
        <f>IFERROR(Datos!B2456,"")</f>
        <v/>
      </c>
      <c r="C2456" s="8">
        <f>IFERROR(Datos!C2456,"")</f>
        <v/>
      </c>
      <c r="D2456" s="28">
        <f>IFERROR(IF(AND(ISNUMBER(B2456),ISNUMBER(B2455),B2455&lt;&gt;0),B2456/B2455-1,""),"")</f>
        <v/>
      </c>
      <c r="E2456" s="28">
        <f>IFERROR(IF(AND(ISNUMBER(C2456),ISNUMBER(C2455),C2455&lt;&gt;0),C2456/C2455-1,""),"")</f>
        <v/>
      </c>
      <c r="F2456" s="28">
        <f>IFERROR(D2456-Dashboard!$B$4/252,"")</f>
        <v/>
      </c>
      <c r="G2456" s="28">
        <f>IFERROR(E2456-Dashboard!$B$4/252,"")</f>
        <v/>
      </c>
      <c r="H2456" s="8">
        <f>IFERROR(IF(ISNUMBER(B2456),MAX(B2456,IFERROR(H2455,B2456)),""),"")</f>
        <v/>
      </c>
      <c r="I2456" s="29">
        <f>IFERROR(IF(AND(ISNUMBER(B2456),ISNUMBER(H2456)),B2456/H2456-1,""),"")</f>
        <v/>
      </c>
      <c r="J2456" s="8">
        <f>IFERROR(IF(ISNUMBER(C2456),MAX(C2456,IFERROR(J2455,C2456)),""),"")</f>
        <v/>
      </c>
      <c r="K2456" s="29">
        <f>IFERROR(IF(AND(ISNUMBER(C2456),ISNUMBER(J2456)),C2456/J2456-1,""),"")</f>
        <v/>
      </c>
      <c r="L2456" s="28">
        <f>IFERROR(IF(AND(ISNUMBER(D2456),ISNUMBER(E2456)),D2456-E2456,""),"")</f>
        <v/>
      </c>
    </row>
    <row r="2457">
      <c r="A2457" s="7">
        <f>IFERROR(Datos!A2457,"")</f>
        <v/>
      </c>
      <c r="B2457" s="8">
        <f>IFERROR(Datos!B2457,"")</f>
        <v/>
      </c>
      <c r="C2457" s="8">
        <f>IFERROR(Datos!C2457,"")</f>
        <v/>
      </c>
      <c r="D2457" s="28">
        <f>IFERROR(IF(AND(ISNUMBER(B2457),ISNUMBER(B2456),B2456&lt;&gt;0),B2457/B2456-1,""),"")</f>
        <v/>
      </c>
      <c r="E2457" s="28">
        <f>IFERROR(IF(AND(ISNUMBER(C2457),ISNUMBER(C2456),C2456&lt;&gt;0),C2457/C2456-1,""),"")</f>
        <v/>
      </c>
      <c r="F2457" s="28">
        <f>IFERROR(D2457-Dashboard!$B$4/252,"")</f>
        <v/>
      </c>
      <c r="G2457" s="28">
        <f>IFERROR(E2457-Dashboard!$B$4/252,"")</f>
        <v/>
      </c>
      <c r="H2457" s="8">
        <f>IFERROR(IF(ISNUMBER(B2457),MAX(B2457,IFERROR(H2456,B2457)),""),"")</f>
        <v/>
      </c>
      <c r="I2457" s="29">
        <f>IFERROR(IF(AND(ISNUMBER(B2457),ISNUMBER(H2457)),B2457/H2457-1,""),"")</f>
        <v/>
      </c>
      <c r="J2457" s="8">
        <f>IFERROR(IF(ISNUMBER(C2457),MAX(C2457,IFERROR(J2456,C2457)),""),"")</f>
        <v/>
      </c>
      <c r="K2457" s="29">
        <f>IFERROR(IF(AND(ISNUMBER(C2457),ISNUMBER(J2457)),C2457/J2457-1,""),"")</f>
        <v/>
      </c>
      <c r="L2457" s="28">
        <f>IFERROR(IF(AND(ISNUMBER(D2457),ISNUMBER(E2457)),D2457-E2457,""),"")</f>
        <v/>
      </c>
    </row>
    <row r="2458">
      <c r="A2458" s="7">
        <f>IFERROR(Datos!A2458,"")</f>
        <v/>
      </c>
      <c r="B2458" s="8">
        <f>IFERROR(Datos!B2458,"")</f>
        <v/>
      </c>
      <c r="C2458" s="8">
        <f>IFERROR(Datos!C2458,"")</f>
        <v/>
      </c>
      <c r="D2458" s="28">
        <f>IFERROR(IF(AND(ISNUMBER(B2458),ISNUMBER(B2457),B2457&lt;&gt;0),B2458/B2457-1,""),"")</f>
        <v/>
      </c>
      <c r="E2458" s="28">
        <f>IFERROR(IF(AND(ISNUMBER(C2458),ISNUMBER(C2457),C2457&lt;&gt;0),C2458/C2457-1,""),"")</f>
        <v/>
      </c>
      <c r="F2458" s="28">
        <f>IFERROR(D2458-Dashboard!$B$4/252,"")</f>
        <v/>
      </c>
      <c r="G2458" s="28">
        <f>IFERROR(E2458-Dashboard!$B$4/252,"")</f>
        <v/>
      </c>
      <c r="H2458" s="8">
        <f>IFERROR(IF(ISNUMBER(B2458),MAX(B2458,IFERROR(H2457,B2458)),""),"")</f>
        <v/>
      </c>
      <c r="I2458" s="29">
        <f>IFERROR(IF(AND(ISNUMBER(B2458),ISNUMBER(H2458)),B2458/H2458-1,""),"")</f>
        <v/>
      </c>
      <c r="J2458" s="8">
        <f>IFERROR(IF(ISNUMBER(C2458),MAX(C2458,IFERROR(J2457,C2458)),""),"")</f>
        <v/>
      </c>
      <c r="K2458" s="29">
        <f>IFERROR(IF(AND(ISNUMBER(C2458),ISNUMBER(J2458)),C2458/J2458-1,""),"")</f>
        <v/>
      </c>
      <c r="L2458" s="28">
        <f>IFERROR(IF(AND(ISNUMBER(D2458),ISNUMBER(E2458)),D2458-E2458,""),"")</f>
        <v/>
      </c>
    </row>
    <row r="2459">
      <c r="A2459" s="7">
        <f>IFERROR(Datos!A2459,"")</f>
        <v/>
      </c>
      <c r="B2459" s="8">
        <f>IFERROR(Datos!B2459,"")</f>
        <v/>
      </c>
      <c r="C2459" s="8">
        <f>IFERROR(Datos!C2459,"")</f>
        <v/>
      </c>
      <c r="D2459" s="28">
        <f>IFERROR(IF(AND(ISNUMBER(B2459),ISNUMBER(B2458),B2458&lt;&gt;0),B2459/B2458-1,""),"")</f>
        <v/>
      </c>
      <c r="E2459" s="28">
        <f>IFERROR(IF(AND(ISNUMBER(C2459),ISNUMBER(C2458),C2458&lt;&gt;0),C2459/C2458-1,""),"")</f>
        <v/>
      </c>
      <c r="F2459" s="28">
        <f>IFERROR(D2459-Dashboard!$B$4/252,"")</f>
        <v/>
      </c>
      <c r="G2459" s="28">
        <f>IFERROR(E2459-Dashboard!$B$4/252,"")</f>
        <v/>
      </c>
      <c r="H2459" s="8">
        <f>IFERROR(IF(ISNUMBER(B2459),MAX(B2459,IFERROR(H2458,B2459)),""),"")</f>
        <v/>
      </c>
      <c r="I2459" s="29">
        <f>IFERROR(IF(AND(ISNUMBER(B2459),ISNUMBER(H2459)),B2459/H2459-1,""),"")</f>
        <v/>
      </c>
      <c r="J2459" s="8">
        <f>IFERROR(IF(ISNUMBER(C2459),MAX(C2459,IFERROR(J2458,C2459)),""),"")</f>
        <v/>
      </c>
      <c r="K2459" s="29">
        <f>IFERROR(IF(AND(ISNUMBER(C2459),ISNUMBER(J2459)),C2459/J2459-1,""),"")</f>
        <v/>
      </c>
      <c r="L2459" s="28">
        <f>IFERROR(IF(AND(ISNUMBER(D2459),ISNUMBER(E2459)),D2459-E2459,""),"")</f>
        <v/>
      </c>
    </row>
    <row r="2460">
      <c r="A2460" s="7">
        <f>IFERROR(Datos!A2460,"")</f>
        <v/>
      </c>
      <c r="B2460" s="8">
        <f>IFERROR(Datos!B2460,"")</f>
        <v/>
      </c>
      <c r="C2460" s="8">
        <f>IFERROR(Datos!C2460,"")</f>
        <v/>
      </c>
      <c r="D2460" s="28">
        <f>IFERROR(IF(AND(ISNUMBER(B2460),ISNUMBER(B2459),B2459&lt;&gt;0),B2460/B2459-1,""),"")</f>
        <v/>
      </c>
      <c r="E2460" s="28">
        <f>IFERROR(IF(AND(ISNUMBER(C2460),ISNUMBER(C2459),C2459&lt;&gt;0),C2460/C2459-1,""),"")</f>
        <v/>
      </c>
      <c r="F2460" s="28">
        <f>IFERROR(D2460-Dashboard!$B$4/252,"")</f>
        <v/>
      </c>
      <c r="G2460" s="28">
        <f>IFERROR(E2460-Dashboard!$B$4/252,"")</f>
        <v/>
      </c>
      <c r="H2460" s="8">
        <f>IFERROR(IF(ISNUMBER(B2460),MAX(B2460,IFERROR(H2459,B2460)),""),"")</f>
        <v/>
      </c>
      <c r="I2460" s="29">
        <f>IFERROR(IF(AND(ISNUMBER(B2460),ISNUMBER(H2460)),B2460/H2460-1,""),"")</f>
        <v/>
      </c>
      <c r="J2460" s="8">
        <f>IFERROR(IF(ISNUMBER(C2460),MAX(C2460,IFERROR(J2459,C2460)),""),"")</f>
        <v/>
      </c>
      <c r="K2460" s="29">
        <f>IFERROR(IF(AND(ISNUMBER(C2460),ISNUMBER(J2460)),C2460/J2460-1,""),"")</f>
        <v/>
      </c>
      <c r="L2460" s="28">
        <f>IFERROR(IF(AND(ISNUMBER(D2460),ISNUMBER(E2460)),D2460-E2460,""),"")</f>
        <v/>
      </c>
    </row>
    <row r="2461">
      <c r="A2461" s="7">
        <f>IFERROR(Datos!A2461,"")</f>
        <v/>
      </c>
      <c r="B2461" s="8">
        <f>IFERROR(Datos!B2461,"")</f>
        <v/>
      </c>
      <c r="C2461" s="8">
        <f>IFERROR(Datos!C2461,"")</f>
        <v/>
      </c>
      <c r="D2461" s="28">
        <f>IFERROR(IF(AND(ISNUMBER(B2461),ISNUMBER(B2460),B2460&lt;&gt;0),B2461/B2460-1,""),"")</f>
        <v/>
      </c>
      <c r="E2461" s="28">
        <f>IFERROR(IF(AND(ISNUMBER(C2461),ISNUMBER(C2460),C2460&lt;&gt;0),C2461/C2460-1,""),"")</f>
        <v/>
      </c>
      <c r="F2461" s="28">
        <f>IFERROR(D2461-Dashboard!$B$4/252,"")</f>
        <v/>
      </c>
      <c r="G2461" s="28">
        <f>IFERROR(E2461-Dashboard!$B$4/252,"")</f>
        <v/>
      </c>
      <c r="H2461" s="8">
        <f>IFERROR(IF(ISNUMBER(B2461),MAX(B2461,IFERROR(H2460,B2461)),""),"")</f>
        <v/>
      </c>
      <c r="I2461" s="29">
        <f>IFERROR(IF(AND(ISNUMBER(B2461),ISNUMBER(H2461)),B2461/H2461-1,""),"")</f>
        <v/>
      </c>
      <c r="J2461" s="8">
        <f>IFERROR(IF(ISNUMBER(C2461),MAX(C2461,IFERROR(J2460,C2461)),""),"")</f>
        <v/>
      </c>
      <c r="K2461" s="29">
        <f>IFERROR(IF(AND(ISNUMBER(C2461),ISNUMBER(J2461)),C2461/J2461-1,""),"")</f>
        <v/>
      </c>
      <c r="L2461" s="28">
        <f>IFERROR(IF(AND(ISNUMBER(D2461),ISNUMBER(E2461)),D2461-E2461,""),"")</f>
        <v/>
      </c>
    </row>
    <row r="2462">
      <c r="A2462" s="7">
        <f>IFERROR(Datos!A2462,"")</f>
        <v/>
      </c>
      <c r="B2462" s="8">
        <f>IFERROR(Datos!B2462,"")</f>
        <v/>
      </c>
      <c r="C2462" s="8">
        <f>IFERROR(Datos!C2462,"")</f>
        <v/>
      </c>
      <c r="D2462" s="28">
        <f>IFERROR(IF(AND(ISNUMBER(B2462),ISNUMBER(B2461),B2461&lt;&gt;0),B2462/B2461-1,""),"")</f>
        <v/>
      </c>
      <c r="E2462" s="28">
        <f>IFERROR(IF(AND(ISNUMBER(C2462),ISNUMBER(C2461),C2461&lt;&gt;0),C2462/C2461-1,""),"")</f>
        <v/>
      </c>
      <c r="F2462" s="28">
        <f>IFERROR(D2462-Dashboard!$B$4/252,"")</f>
        <v/>
      </c>
      <c r="G2462" s="28">
        <f>IFERROR(E2462-Dashboard!$B$4/252,"")</f>
        <v/>
      </c>
      <c r="H2462" s="8">
        <f>IFERROR(IF(ISNUMBER(B2462),MAX(B2462,IFERROR(H2461,B2462)),""),"")</f>
        <v/>
      </c>
      <c r="I2462" s="29">
        <f>IFERROR(IF(AND(ISNUMBER(B2462),ISNUMBER(H2462)),B2462/H2462-1,""),"")</f>
        <v/>
      </c>
      <c r="J2462" s="8">
        <f>IFERROR(IF(ISNUMBER(C2462),MAX(C2462,IFERROR(J2461,C2462)),""),"")</f>
        <v/>
      </c>
      <c r="K2462" s="29">
        <f>IFERROR(IF(AND(ISNUMBER(C2462),ISNUMBER(J2462)),C2462/J2462-1,""),"")</f>
        <v/>
      </c>
      <c r="L2462" s="28">
        <f>IFERROR(IF(AND(ISNUMBER(D2462),ISNUMBER(E2462)),D2462-E2462,""),"")</f>
        <v/>
      </c>
    </row>
    <row r="2463">
      <c r="A2463" s="7">
        <f>IFERROR(Datos!A2463,"")</f>
        <v/>
      </c>
      <c r="B2463" s="8">
        <f>IFERROR(Datos!B2463,"")</f>
        <v/>
      </c>
      <c r="C2463" s="8">
        <f>IFERROR(Datos!C2463,"")</f>
        <v/>
      </c>
      <c r="D2463" s="28">
        <f>IFERROR(IF(AND(ISNUMBER(B2463),ISNUMBER(B2462),B2462&lt;&gt;0),B2463/B2462-1,""),"")</f>
        <v/>
      </c>
      <c r="E2463" s="28">
        <f>IFERROR(IF(AND(ISNUMBER(C2463),ISNUMBER(C2462),C2462&lt;&gt;0),C2463/C2462-1,""),"")</f>
        <v/>
      </c>
      <c r="F2463" s="28">
        <f>IFERROR(D2463-Dashboard!$B$4/252,"")</f>
        <v/>
      </c>
      <c r="G2463" s="28">
        <f>IFERROR(E2463-Dashboard!$B$4/252,"")</f>
        <v/>
      </c>
      <c r="H2463" s="8">
        <f>IFERROR(IF(ISNUMBER(B2463),MAX(B2463,IFERROR(H2462,B2463)),""),"")</f>
        <v/>
      </c>
      <c r="I2463" s="29">
        <f>IFERROR(IF(AND(ISNUMBER(B2463),ISNUMBER(H2463)),B2463/H2463-1,""),"")</f>
        <v/>
      </c>
      <c r="J2463" s="8">
        <f>IFERROR(IF(ISNUMBER(C2463),MAX(C2463,IFERROR(J2462,C2463)),""),"")</f>
        <v/>
      </c>
      <c r="K2463" s="29">
        <f>IFERROR(IF(AND(ISNUMBER(C2463),ISNUMBER(J2463)),C2463/J2463-1,""),"")</f>
        <v/>
      </c>
      <c r="L2463" s="28">
        <f>IFERROR(IF(AND(ISNUMBER(D2463),ISNUMBER(E2463)),D2463-E2463,""),"")</f>
        <v/>
      </c>
    </row>
    <row r="2464">
      <c r="A2464" s="7">
        <f>IFERROR(Datos!A2464,"")</f>
        <v/>
      </c>
      <c r="B2464" s="8">
        <f>IFERROR(Datos!B2464,"")</f>
        <v/>
      </c>
      <c r="C2464" s="8">
        <f>IFERROR(Datos!C2464,"")</f>
        <v/>
      </c>
      <c r="D2464" s="28">
        <f>IFERROR(IF(AND(ISNUMBER(B2464),ISNUMBER(B2463),B2463&lt;&gt;0),B2464/B2463-1,""),"")</f>
        <v/>
      </c>
      <c r="E2464" s="28">
        <f>IFERROR(IF(AND(ISNUMBER(C2464),ISNUMBER(C2463),C2463&lt;&gt;0),C2464/C2463-1,""),"")</f>
        <v/>
      </c>
      <c r="F2464" s="28">
        <f>IFERROR(D2464-Dashboard!$B$4/252,"")</f>
        <v/>
      </c>
      <c r="G2464" s="28">
        <f>IFERROR(E2464-Dashboard!$B$4/252,"")</f>
        <v/>
      </c>
      <c r="H2464" s="8">
        <f>IFERROR(IF(ISNUMBER(B2464),MAX(B2464,IFERROR(H2463,B2464)),""),"")</f>
        <v/>
      </c>
      <c r="I2464" s="29">
        <f>IFERROR(IF(AND(ISNUMBER(B2464),ISNUMBER(H2464)),B2464/H2464-1,""),"")</f>
        <v/>
      </c>
      <c r="J2464" s="8">
        <f>IFERROR(IF(ISNUMBER(C2464),MAX(C2464,IFERROR(J2463,C2464)),""),"")</f>
        <v/>
      </c>
      <c r="K2464" s="29">
        <f>IFERROR(IF(AND(ISNUMBER(C2464),ISNUMBER(J2464)),C2464/J2464-1,""),"")</f>
        <v/>
      </c>
      <c r="L2464" s="28">
        <f>IFERROR(IF(AND(ISNUMBER(D2464),ISNUMBER(E2464)),D2464-E2464,""),"")</f>
        <v/>
      </c>
    </row>
    <row r="2465">
      <c r="A2465" s="7">
        <f>IFERROR(Datos!A2465,"")</f>
        <v/>
      </c>
      <c r="B2465" s="8">
        <f>IFERROR(Datos!B2465,"")</f>
        <v/>
      </c>
      <c r="C2465" s="8">
        <f>IFERROR(Datos!C2465,"")</f>
        <v/>
      </c>
      <c r="D2465" s="28">
        <f>IFERROR(IF(AND(ISNUMBER(B2465),ISNUMBER(B2464),B2464&lt;&gt;0),B2465/B2464-1,""),"")</f>
        <v/>
      </c>
      <c r="E2465" s="28">
        <f>IFERROR(IF(AND(ISNUMBER(C2465),ISNUMBER(C2464),C2464&lt;&gt;0),C2465/C2464-1,""),"")</f>
        <v/>
      </c>
      <c r="F2465" s="28">
        <f>IFERROR(D2465-Dashboard!$B$4/252,"")</f>
        <v/>
      </c>
      <c r="G2465" s="28">
        <f>IFERROR(E2465-Dashboard!$B$4/252,"")</f>
        <v/>
      </c>
      <c r="H2465" s="8">
        <f>IFERROR(IF(ISNUMBER(B2465),MAX(B2465,IFERROR(H2464,B2465)),""),"")</f>
        <v/>
      </c>
      <c r="I2465" s="29">
        <f>IFERROR(IF(AND(ISNUMBER(B2465),ISNUMBER(H2465)),B2465/H2465-1,""),"")</f>
        <v/>
      </c>
      <c r="J2465" s="8">
        <f>IFERROR(IF(ISNUMBER(C2465),MAX(C2465,IFERROR(J2464,C2465)),""),"")</f>
        <v/>
      </c>
      <c r="K2465" s="29">
        <f>IFERROR(IF(AND(ISNUMBER(C2465),ISNUMBER(J2465)),C2465/J2465-1,""),"")</f>
        <v/>
      </c>
      <c r="L2465" s="28">
        <f>IFERROR(IF(AND(ISNUMBER(D2465),ISNUMBER(E2465)),D2465-E2465,""),"")</f>
        <v/>
      </c>
    </row>
    <row r="2466">
      <c r="A2466" s="7">
        <f>IFERROR(Datos!A2466,"")</f>
        <v/>
      </c>
      <c r="B2466" s="8">
        <f>IFERROR(Datos!B2466,"")</f>
        <v/>
      </c>
      <c r="C2466" s="8">
        <f>IFERROR(Datos!C2466,"")</f>
        <v/>
      </c>
      <c r="D2466" s="28">
        <f>IFERROR(IF(AND(ISNUMBER(B2466),ISNUMBER(B2465),B2465&lt;&gt;0),B2466/B2465-1,""),"")</f>
        <v/>
      </c>
      <c r="E2466" s="28">
        <f>IFERROR(IF(AND(ISNUMBER(C2466),ISNUMBER(C2465),C2465&lt;&gt;0),C2466/C2465-1,""),"")</f>
        <v/>
      </c>
      <c r="F2466" s="28">
        <f>IFERROR(D2466-Dashboard!$B$4/252,"")</f>
        <v/>
      </c>
      <c r="G2466" s="28">
        <f>IFERROR(E2466-Dashboard!$B$4/252,"")</f>
        <v/>
      </c>
      <c r="H2466" s="8">
        <f>IFERROR(IF(ISNUMBER(B2466),MAX(B2466,IFERROR(H2465,B2466)),""),"")</f>
        <v/>
      </c>
      <c r="I2466" s="29">
        <f>IFERROR(IF(AND(ISNUMBER(B2466),ISNUMBER(H2466)),B2466/H2466-1,""),"")</f>
        <v/>
      </c>
      <c r="J2466" s="8">
        <f>IFERROR(IF(ISNUMBER(C2466),MAX(C2466,IFERROR(J2465,C2466)),""),"")</f>
        <v/>
      </c>
      <c r="K2466" s="29">
        <f>IFERROR(IF(AND(ISNUMBER(C2466),ISNUMBER(J2466)),C2466/J2466-1,""),"")</f>
        <v/>
      </c>
      <c r="L2466" s="28">
        <f>IFERROR(IF(AND(ISNUMBER(D2466),ISNUMBER(E2466)),D2466-E2466,""),"")</f>
        <v/>
      </c>
    </row>
    <row r="2467">
      <c r="A2467" s="7">
        <f>IFERROR(Datos!A2467,"")</f>
        <v/>
      </c>
      <c r="B2467" s="8">
        <f>IFERROR(Datos!B2467,"")</f>
        <v/>
      </c>
      <c r="C2467" s="8">
        <f>IFERROR(Datos!C2467,"")</f>
        <v/>
      </c>
      <c r="D2467" s="28">
        <f>IFERROR(IF(AND(ISNUMBER(B2467),ISNUMBER(B2466),B2466&lt;&gt;0),B2467/B2466-1,""),"")</f>
        <v/>
      </c>
      <c r="E2467" s="28">
        <f>IFERROR(IF(AND(ISNUMBER(C2467),ISNUMBER(C2466),C2466&lt;&gt;0),C2467/C2466-1,""),"")</f>
        <v/>
      </c>
      <c r="F2467" s="28">
        <f>IFERROR(D2467-Dashboard!$B$4/252,"")</f>
        <v/>
      </c>
      <c r="G2467" s="28">
        <f>IFERROR(E2467-Dashboard!$B$4/252,"")</f>
        <v/>
      </c>
      <c r="H2467" s="8">
        <f>IFERROR(IF(ISNUMBER(B2467),MAX(B2467,IFERROR(H2466,B2467)),""),"")</f>
        <v/>
      </c>
      <c r="I2467" s="29">
        <f>IFERROR(IF(AND(ISNUMBER(B2467),ISNUMBER(H2467)),B2467/H2467-1,""),"")</f>
        <v/>
      </c>
      <c r="J2467" s="8">
        <f>IFERROR(IF(ISNUMBER(C2467),MAX(C2467,IFERROR(J2466,C2467)),""),"")</f>
        <v/>
      </c>
      <c r="K2467" s="29">
        <f>IFERROR(IF(AND(ISNUMBER(C2467),ISNUMBER(J2467)),C2467/J2467-1,""),"")</f>
        <v/>
      </c>
      <c r="L2467" s="28">
        <f>IFERROR(IF(AND(ISNUMBER(D2467),ISNUMBER(E2467)),D2467-E2467,""),"")</f>
        <v/>
      </c>
    </row>
    <row r="2468">
      <c r="A2468" s="7">
        <f>IFERROR(Datos!A2468,"")</f>
        <v/>
      </c>
      <c r="B2468" s="8">
        <f>IFERROR(Datos!B2468,"")</f>
        <v/>
      </c>
      <c r="C2468" s="8">
        <f>IFERROR(Datos!C2468,"")</f>
        <v/>
      </c>
      <c r="D2468" s="28">
        <f>IFERROR(IF(AND(ISNUMBER(B2468),ISNUMBER(B2467),B2467&lt;&gt;0),B2468/B2467-1,""),"")</f>
        <v/>
      </c>
      <c r="E2468" s="28">
        <f>IFERROR(IF(AND(ISNUMBER(C2468),ISNUMBER(C2467),C2467&lt;&gt;0),C2468/C2467-1,""),"")</f>
        <v/>
      </c>
      <c r="F2468" s="28">
        <f>IFERROR(D2468-Dashboard!$B$4/252,"")</f>
        <v/>
      </c>
      <c r="G2468" s="28">
        <f>IFERROR(E2468-Dashboard!$B$4/252,"")</f>
        <v/>
      </c>
      <c r="H2468" s="8">
        <f>IFERROR(IF(ISNUMBER(B2468),MAX(B2468,IFERROR(H2467,B2468)),""),"")</f>
        <v/>
      </c>
      <c r="I2468" s="29">
        <f>IFERROR(IF(AND(ISNUMBER(B2468),ISNUMBER(H2468)),B2468/H2468-1,""),"")</f>
        <v/>
      </c>
      <c r="J2468" s="8">
        <f>IFERROR(IF(ISNUMBER(C2468),MAX(C2468,IFERROR(J2467,C2468)),""),"")</f>
        <v/>
      </c>
      <c r="K2468" s="29">
        <f>IFERROR(IF(AND(ISNUMBER(C2468),ISNUMBER(J2468)),C2468/J2468-1,""),"")</f>
        <v/>
      </c>
      <c r="L2468" s="28">
        <f>IFERROR(IF(AND(ISNUMBER(D2468),ISNUMBER(E2468)),D2468-E2468,""),"")</f>
        <v/>
      </c>
    </row>
    <row r="2469">
      <c r="A2469" s="7">
        <f>IFERROR(Datos!A2469,"")</f>
        <v/>
      </c>
      <c r="B2469" s="8">
        <f>IFERROR(Datos!B2469,"")</f>
        <v/>
      </c>
      <c r="C2469" s="8">
        <f>IFERROR(Datos!C2469,"")</f>
        <v/>
      </c>
      <c r="D2469" s="28">
        <f>IFERROR(IF(AND(ISNUMBER(B2469),ISNUMBER(B2468),B2468&lt;&gt;0),B2469/B2468-1,""),"")</f>
        <v/>
      </c>
      <c r="E2469" s="28">
        <f>IFERROR(IF(AND(ISNUMBER(C2469),ISNUMBER(C2468),C2468&lt;&gt;0),C2469/C2468-1,""),"")</f>
        <v/>
      </c>
      <c r="F2469" s="28">
        <f>IFERROR(D2469-Dashboard!$B$4/252,"")</f>
        <v/>
      </c>
      <c r="G2469" s="28">
        <f>IFERROR(E2469-Dashboard!$B$4/252,"")</f>
        <v/>
      </c>
      <c r="H2469" s="8">
        <f>IFERROR(IF(ISNUMBER(B2469),MAX(B2469,IFERROR(H2468,B2469)),""),"")</f>
        <v/>
      </c>
      <c r="I2469" s="29">
        <f>IFERROR(IF(AND(ISNUMBER(B2469),ISNUMBER(H2469)),B2469/H2469-1,""),"")</f>
        <v/>
      </c>
      <c r="J2469" s="8">
        <f>IFERROR(IF(ISNUMBER(C2469),MAX(C2469,IFERROR(J2468,C2469)),""),"")</f>
        <v/>
      </c>
      <c r="K2469" s="29">
        <f>IFERROR(IF(AND(ISNUMBER(C2469),ISNUMBER(J2469)),C2469/J2469-1,""),"")</f>
        <v/>
      </c>
      <c r="L2469" s="28">
        <f>IFERROR(IF(AND(ISNUMBER(D2469),ISNUMBER(E2469)),D2469-E2469,""),"")</f>
        <v/>
      </c>
    </row>
    <row r="2470">
      <c r="A2470" s="7">
        <f>IFERROR(Datos!A2470,"")</f>
        <v/>
      </c>
      <c r="B2470" s="8">
        <f>IFERROR(Datos!B2470,"")</f>
        <v/>
      </c>
      <c r="C2470" s="8">
        <f>IFERROR(Datos!C2470,"")</f>
        <v/>
      </c>
      <c r="D2470" s="28">
        <f>IFERROR(IF(AND(ISNUMBER(B2470),ISNUMBER(B2469),B2469&lt;&gt;0),B2470/B2469-1,""),"")</f>
        <v/>
      </c>
      <c r="E2470" s="28">
        <f>IFERROR(IF(AND(ISNUMBER(C2470),ISNUMBER(C2469),C2469&lt;&gt;0),C2470/C2469-1,""),"")</f>
        <v/>
      </c>
      <c r="F2470" s="28">
        <f>IFERROR(D2470-Dashboard!$B$4/252,"")</f>
        <v/>
      </c>
      <c r="G2470" s="28">
        <f>IFERROR(E2470-Dashboard!$B$4/252,"")</f>
        <v/>
      </c>
      <c r="H2470" s="8">
        <f>IFERROR(IF(ISNUMBER(B2470),MAX(B2470,IFERROR(H2469,B2470)),""),"")</f>
        <v/>
      </c>
      <c r="I2470" s="29">
        <f>IFERROR(IF(AND(ISNUMBER(B2470),ISNUMBER(H2470)),B2470/H2470-1,""),"")</f>
        <v/>
      </c>
      <c r="J2470" s="8">
        <f>IFERROR(IF(ISNUMBER(C2470),MAX(C2470,IFERROR(J2469,C2470)),""),"")</f>
        <v/>
      </c>
      <c r="K2470" s="29">
        <f>IFERROR(IF(AND(ISNUMBER(C2470),ISNUMBER(J2470)),C2470/J2470-1,""),"")</f>
        <v/>
      </c>
      <c r="L2470" s="28">
        <f>IFERROR(IF(AND(ISNUMBER(D2470),ISNUMBER(E2470)),D2470-E2470,""),"")</f>
        <v/>
      </c>
    </row>
    <row r="2471">
      <c r="A2471" s="7">
        <f>IFERROR(Datos!A2471,"")</f>
        <v/>
      </c>
      <c r="B2471" s="8">
        <f>IFERROR(Datos!B2471,"")</f>
        <v/>
      </c>
      <c r="C2471" s="8">
        <f>IFERROR(Datos!C2471,"")</f>
        <v/>
      </c>
      <c r="D2471" s="28">
        <f>IFERROR(IF(AND(ISNUMBER(B2471),ISNUMBER(B2470),B2470&lt;&gt;0),B2471/B2470-1,""),"")</f>
        <v/>
      </c>
      <c r="E2471" s="28">
        <f>IFERROR(IF(AND(ISNUMBER(C2471),ISNUMBER(C2470),C2470&lt;&gt;0),C2471/C2470-1,""),"")</f>
        <v/>
      </c>
      <c r="F2471" s="28">
        <f>IFERROR(D2471-Dashboard!$B$4/252,"")</f>
        <v/>
      </c>
      <c r="G2471" s="28">
        <f>IFERROR(E2471-Dashboard!$B$4/252,"")</f>
        <v/>
      </c>
      <c r="H2471" s="8">
        <f>IFERROR(IF(ISNUMBER(B2471),MAX(B2471,IFERROR(H2470,B2471)),""),"")</f>
        <v/>
      </c>
      <c r="I2471" s="29">
        <f>IFERROR(IF(AND(ISNUMBER(B2471),ISNUMBER(H2471)),B2471/H2471-1,""),"")</f>
        <v/>
      </c>
      <c r="J2471" s="8">
        <f>IFERROR(IF(ISNUMBER(C2471),MAX(C2471,IFERROR(J2470,C2471)),""),"")</f>
        <v/>
      </c>
      <c r="K2471" s="29">
        <f>IFERROR(IF(AND(ISNUMBER(C2471),ISNUMBER(J2471)),C2471/J2471-1,""),"")</f>
        <v/>
      </c>
      <c r="L2471" s="28">
        <f>IFERROR(IF(AND(ISNUMBER(D2471),ISNUMBER(E2471)),D2471-E2471,""),"")</f>
        <v/>
      </c>
    </row>
    <row r="2472">
      <c r="A2472" s="7">
        <f>IFERROR(Datos!A2472,"")</f>
        <v/>
      </c>
      <c r="B2472" s="8">
        <f>IFERROR(Datos!B2472,"")</f>
        <v/>
      </c>
      <c r="C2472" s="8">
        <f>IFERROR(Datos!C2472,"")</f>
        <v/>
      </c>
      <c r="D2472" s="28">
        <f>IFERROR(IF(AND(ISNUMBER(B2472),ISNUMBER(B2471),B2471&lt;&gt;0),B2472/B2471-1,""),"")</f>
        <v/>
      </c>
      <c r="E2472" s="28">
        <f>IFERROR(IF(AND(ISNUMBER(C2472),ISNUMBER(C2471),C2471&lt;&gt;0),C2472/C2471-1,""),"")</f>
        <v/>
      </c>
      <c r="F2472" s="28">
        <f>IFERROR(D2472-Dashboard!$B$4/252,"")</f>
        <v/>
      </c>
      <c r="G2472" s="28">
        <f>IFERROR(E2472-Dashboard!$B$4/252,"")</f>
        <v/>
      </c>
      <c r="H2472" s="8">
        <f>IFERROR(IF(ISNUMBER(B2472),MAX(B2472,IFERROR(H2471,B2472)),""),"")</f>
        <v/>
      </c>
      <c r="I2472" s="29">
        <f>IFERROR(IF(AND(ISNUMBER(B2472),ISNUMBER(H2472)),B2472/H2472-1,""),"")</f>
        <v/>
      </c>
      <c r="J2472" s="8">
        <f>IFERROR(IF(ISNUMBER(C2472),MAX(C2472,IFERROR(J2471,C2472)),""),"")</f>
        <v/>
      </c>
      <c r="K2472" s="29">
        <f>IFERROR(IF(AND(ISNUMBER(C2472),ISNUMBER(J2472)),C2472/J2472-1,""),"")</f>
        <v/>
      </c>
      <c r="L2472" s="28">
        <f>IFERROR(IF(AND(ISNUMBER(D2472),ISNUMBER(E2472)),D2472-E2472,""),"")</f>
        <v/>
      </c>
    </row>
    <row r="2473">
      <c r="A2473" s="7">
        <f>IFERROR(Datos!A2473,"")</f>
        <v/>
      </c>
      <c r="B2473" s="8">
        <f>IFERROR(Datos!B2473,"")</f>
        <v/>
      </c>
      <c r="C2473" s="8">
        <f>IFERROR(Datos!C2473,"")</f>
        <v/>
      </c>
      <c r="D2473" s="28">
        <f>IFERROR(IF(AND(ISNUMBER(B2473),ISNUMBER(B2472),B2472&lt;&gt;0),B2473/B2472-1,""),"")</f>
        <v/>
      </c>
      <c r="E2473" s="28">
        <f>IFERROR(IF(AND(ISNUMBER(C2473),ISNUMBER(C2472),C2472&lt;&gt;0),C2473/C2472-1,""),"")</f>
        <v/>
      </c>
      <c r="F2473" s="28">
        <f>IFERROR(D2473-Dashboard!$B$4/252,"")</f>
        <v/>
      </c>
      <c r="G2473" s="28">
        <f>IFERROR(E2473-Dashboard!$B$4/252,"")</f>
        <v/>
      </c>
      <c r="H2473" s="8">
        <f>IFERROR(IF(ISNUMBER(B2473),MAX(B2473,IFERROR(H2472,B2473)),""),"")</f>
        <v/>
      </c>
      <c r="I2473" s="29">
        <f>IFERROR(IF(AND(ISNUMBER(B2473),ISNUMBER(H2473)),B2473/H2473-1,""),"")</f>
        <v/>
      </c>
      <c r="J2473" s="8">
        <f>IFERROR(IF(ISNUMBER(C2473),MAX(C2473,IFERROR(J2472,C2473)),""),"")</f>
        <v/>
      </c>
      <c r="K2473" s="29">
        <f>IFERROR(IF(AND(ISNUMBER(C2473),ISNUMBER(J2473)),C2473/J2473-1,""),"")</f>
        <v/>
      </c>
      <c r="L2473" s="28">
        <f>IFERROR(IF(AND(ISNUMBER(D2473),ISNUMBER(E2473)),D2473-E2473,""),"")</f>
        <v/>
      </c>
    </row>
    <row r="2474">
      <c r="A2474" s="7">
        <f>IFERROR(Datos!A2474,"")</f>
        <v/>
      </c>
      <c r="B2474" s="8">
        <f>IFERROR(Datos!B2474,"")</f>
        <v/>
      </c>
      <c r="C2474" s="8">
        <f>IFERROR(Datos!C2474,"")</f>
        <v/>
      </c>
      <c r="D2474" s="28">
        <f>IFERROR(IF(AND(ISNUMBER(B2474),ISNUMBER(B2473),B2473&lt;&gt;0),B2474/B2473-1,""),"")</f>
        <v/>
      </c>
      <c r="E2474" s="28">
        <f>IFERROR(IF(AND(ISNUMBER(C2474),ISNUMBER(C2473),C2473&lt;&gt;0),C2474/C2473-1,""),"")</f>
        <v/>
      </c>
      <c r="F2474" s="28">
        <f>IFERROR(D2474-Dashboard!$B$4/252,"")</f>
        <v/>
      </c>
      <c r="G2474" s="28">
        <f>IFERROR(E2474-Dashboard!$B$4/252,"")</f>
        <v/>
      </c>
      <c r="H2474" s="8">
        <f>IFERROR(IF(ISNUMBER(B2474),MAX(B2474,IFERROR(H2473,B2474)),""),"")</f>
        <v/>
      </c>
      <c r="I2474" s="29">
        <f>IFERROR(IF(AND(ISNUMBER(B2474),ISNUMBER(H2474)),B2474/H2474-1,""),"")</f>
        <v/>
      </c>
      <c r="J2474" s="8">
        <f>IFERROR(IF(ISNUMBER(C2474),MAX(C2474,IFERROR(J2473,C2474)),""),"")</f>
        <v/>
      </c>
      <c r="K2474" s="29">
        <f>IFERROR(IF(AND(ISNUMBER(C2474),ISNUMBER(J2474)),C2474/J2474-1,""),"")</f>
        <v/>
      </c>
      <c r="L2474" s="28">
        <f>IFERROR(IF(AND(ISNUMBER(D2474),ISNUMBER(E2474)),D2474-E2474,""),"")</f>
        <v/>
      </c>
    </row>
    <row r="2475">
      <c r="A2475" s="7">
        <f>IFERROR(Datos!A2475,"")</f>
        <v/>
      </c>
      <c r="B2475" s="8">
        <f>IFERROR(Datos!B2475,"")</f>
        <v/>
      </c>
      <c r="C2475" s="8">
        <f>IFERROR(Datos!C2475,"")</f>
        <v/>
      </c>
      <c r="D2475" s="28">
        <f>IFERROR(IF(AND(ISNUMBER(B2475),ISNUMBER(B2474),B2474&lt;&gt;0),B2475/B2474-1,""),"")</f>
        <v/>
      </c>
      <c r="E2475" s="28">
        <f>IFERROR(IF(AND(ISNUMBER(C2475),ISNUMBER(C2474),C2474&lt;&gt;0),C2475/C2474-1,""),"")</f>
        <v/>
      </c>
      <c r="F2475" s="28">
        <f>IFERROR(D2475-Dashboard!$B$4/252,"")</f>
        <v/>
      </c>
      <c r="G2475" s="28">
        <f>IFERROR(E2475-Dashboard!$B$4/252,"")</f>
        <v/>
      </c>
      <c r="H2475" s="8">
        <f>IFERROR(IF(ISNUMBER(B2475),MAX(B2475,IFERROR(H2474,B2475)),""),"")</f>
        <v/>
      </c>
      <c r="I2475" s="29">
        <f>IFERROR(IF(AND(ISNUMBER(B2475),ISNUMBER(H2475)),B2475/H2475-1,""),"")</f>
        <v/>
      </c>
      <c r="J2475" s="8">
        <f>IFERROR(IF(ISNUMBER(C2475),MAX(C2475,IFERROR(J2474,C2475)),""),"")</f>
        <v/>
      </c>
      <c r="K2475" s="29">
        <f>IFERROR(IF(AND(ISNUMBER(C2475),ISNUMBER(J2475)),C2475/J2475-1,""),"")</f>
        <v/>
      </c>
      <c r="L2475" s="28">
        <f>IFERROR(IF(AND(ISNUMBER(D2475),ISNUMBER(E2475)),D2475-E2475,""),"")</f>
        <v/>
      </c>
    </row>
    <row r="2476">
      <c r="A2476" s="7">
        <f>IFERROR(Datos!A2476,"")</f>
        <v/>
      </c>
      <c r="B2476" s="8">
        <f>IFERROR(Datos!B2476,"")</f>
        <v/>
      </c>
      <c r="C2476" s="8">
        <f>IFERROR(Datos!C2476,"")</f>
        <v/>
      </c>
      <c r="D2476" s="28">
        <f>IFERROR(IF(AND(ISNUMBER(B2476),ISNUMBER(B2475),B2475&lt;&gt;0),B2476/B2475-1,""),"")</f>
        <v/>
      </c>
      <c r="E2476" s="28">
        <f>IFERROR(IF(AND(ISNUMBER(C2476),ISNUMBER(C2475),C2475&lt;&gt;0),C2476/C2475-1,""),"")</f>
        <v/>
      </c>
      <c r="F2476" s="28">
        <f>IFERROR(D2476-Dashboard!$B$4/252,"")</f>
        <v/>
      </c>
      <c r="G2476" s="28">
        <f>IFERROR(E2476-Dashboard!$B$4/252,"")</f>
        <v/>
      </c>
      <c r="H2476" s="8">
        <f>IFERROR(IF(ISNUMBER(B2476),MAX(B2476,IFERROR(H2475,B2476)),""),"")</f>
        <v/>
      </c>
      <c r="I2476" s="29">
        <f>IFERROR(IF(AND(ISNUMBER(B2476),ISNUMBER(H2476)),B2476/H2476-1,""),"")</f>
        <v/>
      </c>
      <c r="J2476" s="8">
        <f>IFERROR(IF(ISNUMBER(C2476),MAX(C2476,IFERROR(J2475,C2476)),""),"")</f>
        <v/>
      </c>
      <c r="K2476" s="29">
        <f>IFERROR(IF(AND(ISNUMBER(C2476),ISNUMBER(J2476)),C2476/J2476-1,""),"")</f>
        <v/>
      </c>
      <c r="L2476" s="28">
        <f>IFERROR(IF(AND(ISNUMBER(D2476),ISNUMBER(E2476)),D2476-E2476,""),"")</f>
        <v/>
      </c>
    </row>
    <row r="2477">
      <c r="A2477" s="7">
        <f>IFERROR(Datos!A2477,"")</f>
        <v/>
      </c>
      <c r="B2477" s="8">
        <f>IFERROR(Datos!B2477,"")</f>
        <v/>
      </c>
      <c r="C2477" s="8">
        <f>IFERROR(Datos!C2477,"")</f>
        <v/>
      </c>
      <c r="D2477" s="28">
        <f>IFERROR(IF(AND(ISNUMBER(B2477),ISNUMBER(B2476),B2476&lt;&gt;0),B2477/B2476-1,""),"")</f>
        <v/>
      </c>
      <c r="E2477" s="28">
        <f>IFERROR(IF(AND(ISNUMBER(C2477),ISNUMBER(C2476),C2476&lt;&gt;0),C2477/C2476-1,""),"")</f>
        <v/>
      </c>
      <c r="F2477" s="28">
        <f>IFERROR(D2477-Dashboard!$B$4/252,"")</f>
        <v/>
      </c>
      <c r="G2477" s="28">
        <f>IFERROR(E2477-Dashboard!$B$4/252,"")</f>
        <v/>
      </c>
      <c r="H2477" s="8">
        <f>IFERROR(IF(ISNUMBER(B2477),MAX(B2477,IFERROR(H2476,B2477)),""),"")</f>
        <v/>
      </c>
      <c r="I2477" s="29">
        <f>IFERROR(IF(AND(ISNUMBER(B2477),ISNUMBER(H2477)),B2477/H2477-1,""),"")</f>
        <v/>
      </c>
      <c r="J2477" s="8">
        <f>IFERROR(IF(ISNUMBER(C2477),MAX(C2477,IFERROR(J2476,C2477)),""),"")</f>
        <v/>
      </c>
      <c r="K2477" s="29">
        <f>IFERROR(IF(AND(ISNUMBER(C2477),ISNUMBER(J2477)),C2477/J2477-1,""),"")</f>
        <v/>
      </c>
      <c r="L2477" s="28">
        <f>IFERROR(IF(AND(ISNUMBER(D2477),ISNUMBER(E2477)),D2477-E2477,""),"")</f>
        <v/>
      </c>
    </row>
    <row r="2478">
      <c r="A2478" s="7">
        <f>IFERROR(Datos!A2478,"")</f>
        <v/>
      </c>
      <c r="B2478" s="8">
        <f>IFERROR(Datos!B2478,"")</f>
        <v/>
      </c>
      <c r="C2478" s="8">
        <f>IFERROR(Datos!C2478,"")</f>
        <v/>
      </c>
      <c r="D2478" s="28">
        <f>IFERROR(IF(AND(ISNUMBER(B2478),ISNUMBER(B2477),B2477&lt;&gt;0),B2478/B2477-1,""),"")</f>
        <v/>
      </c>
      <c r="E2478" s="28">
        <f>IFERROR(IF(AND(ISNUMBER(C2478),ISNUMBER(C2477),C2477&lt;&gt;0),C2478/C2477-1,""),"")</f>
        <v/>
      </c>
      <c r="F2478" s="28">
        <f>IFERROR(D2478-Dashboard!$B$4/252,"")</f>
        <v/>
      </c>
      <c r="G2478" s="28">
        <f>IFERROR(E2478-Dashboard!$B$4/252,"")</f>
        <v/>
      </c>
      <c r="H2478" s="8">
        <f>IFERROR(IF(ISNUMBER(B2478),MAX(B2478,IFERROR(H2477,B2478)),""),"")</f>
        <v/>
      </c>
      <c r="I2478" s="29">
        <f>IFERROR(IF(AND(ISNUMBER(B2478),ISNUMBER(H2478)),B2478/H2478-1,""),"")</f>
        <v/>
      </c>
      <c r="J2478" s="8">
        <f>IFERROR(IF(ISNUMBER(C2478),MAX(C2478,IFERROR(J2477,C2478)),""),"")</f>
        <v/>
      </c>
      <c r="K2478" s="29">
        <f>IFERROR(IF(AND(ISNUMBER(C2478),ISNUMBER(J2478)),C2478/J2478-1,""),"")</f>
        <v/>
      </c>
      <c r="L2478" s="28">
        <f>IFERROR(IF(AND(ISNUMBER(D2478),ISNUMBER(E2478)),D2478-E2478,""),"")</f>
        <v/>
      </c>
    </row>
    <row r="2479">
      <c r="A2479" s="7">
        <f>IFERROR(Datos!A2479,"")</f>
        <v/>
      </c>
      <c r="B2479" s="8">
        <f>IFERROR(Datos!B2479,"")</f>
        <v/>
      </c>
      <c r="C2479" s="8">
        <f>IFERROR(Datos!C2479,"")</f>
        <v/>
      </c>
      <c r="D2479" s="28">
        <f>IFERROR(IF(AND(ISNUMBER(B2479),ISNUMBER(B2478),B2478&lt;&gt;0),B2479/B2478-1,""),"")</f>
        <v/>
      </c>
      <c r="E2479" s="28">
        <f>IFERROR(IF(AND(ISNUMBER(C2479),ISNUMBER(C2478),C2478&lt;&gt;0),C2479/C2478-1,""),"")</f>
        <v/>
      </c>
      <c r="F2479" s="28">
        <f>IFERROR(D2479-Dashboard!$B$4/252,"")</f>
        <v/>
      </c>
      <c r="G2479" s="28">
        <f>IFERROR(E2479-Dashboard!$B$4/252,"")</f>
        <v/>
      </c>
      <c r="H2479" s="8">
        <f>IFERROR(IF(ISNUMBER(B2479),MAX(B2479,IFERROR(H2478,B2479)),""),"")</f>
        <v/>
      </c>
      <c r="I2479" s="29">
        <f>IFERROR(IF(AND(ISNUMBER(B2479),ISNUMBER(H2479)),B2479/H2479-1,""),"")</f>
        <v/>
      </c>
      <c r="J2479" s="8">
        <f>IFERROR(IF(ISNUMBER(C2479),MAX(C2479,IFERROR(J2478,C2479)),""),"")</f>
        <v/>
      </c>
      <c r="K2479" s="29">
        <f>IFERROR(IF(AND(ISNUMBER(C2479),ISNUMBER(J2479)),C2479/J2479-1,""),"")</f>
        <v/>
      </c>
      <c r="L2479" s="28">
        <f>IFERROR(IF(AND(ISNUMBER(D2479),ISNUMBER(E2479)),D2479-E2479,""),"")</f>
        <v/>
      </c>
    </row>
    <row r="2480">
      <c r="A2480" s="7">
        <f>IFERROR(Datos!A2480,"")</f>
        <v/>
      </c>
      <c r="B2480" s="8">
        <f>IFERROR(Datos!B2480,"")</f>
        <v/>
      </c>
      <c r="C2480" s="8">
        <f>IFERROR(Datos!C2480,"")</f>
        <v/>
      </c>
      <c r="D2480" s="28">
        <f>IFERROR(IF(AND(ISNUMBER(B2480),ISNUMBER(B2479),B2479&lt;&gt;0),B2480/B2479-1,""),"")</f>
        <v/>
      </c>
      <c r="E2480" s="28">
        <f>IFERROR(IF(AND(ISNUMBER(C2480),ISNUMBER(C2479),C2479&lt;&gt;0),C2480/C2479-1,""),"")</f>
        <v/>
      </c>
      <c r="F2480" s="28">
        <f>IFERROR(D2480-Dashboard!$B$4/252,"")</f>
        <v/>
      </c>
      <c r="G2480" s="28">
        <f>IFERROR(E2480-Dashboard!$B$4/252,"")</f>
        <v/>
      </c>
      <c r="H2480" s="8">
        <f>IFERROR(IF(ISNUMBER(B2480),MAX(B2480,IFERROR(H2479,B2480)),""),"")</f>
        <v/>
      </c>
      <c r="I2480" s="29">
        <f>IFERROR(IF(AND(ISNUMBER(B2480),ISNUMBER(H2480)),B2480/H2480-1,""),"")</f>
        <v/>
      </c>
      <c r="J2480" s="8">
        <f>IFERROR(IF(ISNUMBER(C2480),MAX(C2480,IFERROR(J2479,C2480)),""),"")</f>
        <v/>
      </c>
      <c r="K2480" s="29">
        <f>IFERROR(IF(AND(ISNUMBER(C2480),ISNUMBER(J2480)),C2480/J2480-1,""),"")</f>
        <v/>
      </c>
      <c r="L2480" s="28">
        <f>IFERROR(IF(AND(ISNUMBER(D2480),ISNUMBER(E2480)),D2480-E2480,""),"")</f>
        <v/>
      </c>
    </row>
    <row r="2481">
      <c r="A2481" s="7">
        <f>IFERROR(Datos!A2481,"")</f>
        <v/>
      </c>
      <c r="B2481" s="8">
        <f>IFERROR(Datos!B2481,"")</f>
        <v/>
      </c>
      <c r="C2481" s="8">
        <f>IFERROR(Datos!C2481,"")</f>
        <v/>
      </c>
      <c r="D2481" s="28">
        <f>IFERROR(IF(AND(ISNUMBER(B2481),ISNUMBER(B2480),B2480&lt;&gt;0),B2481/B2480-1,""),"")</f>
        <v/>
      </c>
      <c r="E2481" s="28">
        <f>IFERROR(IF(AND(ISNUMBER(C2481),ISNUMBER(C2480),C2480&lt;&gt;0),C2481/C2480-1,""),"")</f>
        <v/>
      </c>
      <c r="F2481" s="28">
        <f>IFERROR(D2481-Dashboard!$B$4/252,"")</f>
        <v/>
      </c>
      <c r="G2481" s="28">
        <f>IFERROR(E2481-Dashboard!$B$4/252,"")</f>
        <v/>
      </c>
      <c r="H2481" s="8">
        <f>IFERROR(IF(ISNUMBER(B2481),MAX(B2481,IFERROR(H2480,B2481)),""),"")</f>
        <v/>
      </c>
      <c r="I2481" s="29">
        <f>IFERROR(IF(AND(ISNUMBER(B2481),ISNUMBER(H2481)),B2481/H2481-1,""),"")</f>
        <v/>
      </c>
      <c r="J2481" s="8">
        <f>IFERROR(IF(ISNUMBER(C2481),MAX(C2481,IFERROR(J2480,C2481)),""),"")</f>
        <v/>
      </c>
      <c r="K2481" s="29">
        <f>IFERROR(IF(AND(ISNUMBER(C2481),ISNUMBER(J2481)),C2481/J2481-1,""),"")</f>
        <v/>
      </c>
      <c r="L2481" s="28">
        <f>IFERROR(IF(AND(ISNUMBER(D2481),ISNUMBER(E2481)),D2481-E2481,""),"")</f>
        <v/>
      </c>
    </row>
    <row r="2482">
      <c r="A2482" s="7">
        <f>IFERROR(Datos!A2482,"")</f>
        <v/>
      </c>
      <c r="B2482" s="8">
        <f>IFERROR(Datos!B2482,"")</f>
        <v/>
      </c>
      <c r="C2482" s="8">
        <f>IFERROR(Datos!C2482,"")</f>
        <v/>
      </c>
      <c r="D2482" s="28">
        <f>IFERROR(IF(AND(ISNUMBER(B2482),ISNUMBER(B2481),B2481&lt;&gt;0),B2482/B2481-1,""),"")</f>
        <v/>
      </c>
      <c r="E2482" s="28">
        <f>IFERROR(IF(AND(ISNUMBER(C2482),ISNUMBER(C2481),C2481&lt;&gt;0),C2482/C2481-1,""),"")</f>
        <v/>
      </c>
      <c r="F2482" s="28">
        <f>IFERROR(D2482-Dashboard!$B$4/252,"")</f>
        <v/>
      </c>
      <c r="G2482" s="28">
        <f>IFERROR(E2482-Dashboard!$B$4/252,"")</f>
        <v/>
      </c>
      <c r="H2482" s="8">
        <f>IFERROR(IF(ISNUMBER(B2482),MAX(B2482,IFERROR(H2481,B2482)),""),"")</f>
        <v/>
      </c>
      <c r="I2482" s="29">
        <f>IFERROR(IF(AND(ISNUMBER(B2482),ISNUMBER(H2482)),B2482/H2482-1,""),"")</f>
        <v/>
      </c>
      <c r="J2482" s="8">
        <f>IFERROR(IF(ISNUMBER(C2482),MAX(C2482,IFERROR(J2481,C2482)),""),"")</f>
        <v/>
      </c>
      <c r="K2482" s="29">
        <f>IFERROR(IF(AND(ISNUMBER(C2482),ISNUMBER(J2482)),C2482/J2482-1,""),"")</f>
        <v/>
      </c>
      <c r="L2482" s="28">
        <f>IFERROR(IF(AND(ISNUMBER(D2482),ISNUMBER(E2482)),D2482-E2482,""),"")</f>
        <v/>
      </c>
    </row>
    <row r="2483">
      <c r="A2483" s="7">
        <f>IFERROR(Datos!A2483,"")</f>
        <v/>
      </c>
      <c r="B2483" s="8">
        <f>IFERROR(Datos!B2483,"")</f>
        <v/>
      </c>
      <c r="C2483" s="8">
        <f>IFERROR(Datos!C2483,"")</f>
        <v/>
      </c>
      <c r="D2483" s="28">
        <f>IFERROR(IF(AND(ISNUMBER(B2483),ISNUMBER(B2482),B2482&lt;&gt;0),B2483/B2482-1,""),"")</f>
        <v/>
      </c>
      <c r="E2483" s="28">
        <f>IFERROR(IF(AND(ISNUMBER(C2483),ISNUMBER(C2482),C2482&lt;&gt;0),C2483/C2482-1,""),"")</f>
        <v/>
      </c>
      <c r="F2483" s="28">
        <f>IFERROR(D2483-Dashboard!$B$4/252,"")</f>
        <v/>
      </c>
      <c r="G2483" s="28">
        <f>IFERROR(E2483-Dashboard!$B$4/252,"")</f>
        <v/>
      </c>
      <c r="H2483" s="8">
        <f>IFERROR(IF(ISNUMBER(B2483),MAX(B2483,IFERROR(H2482,B2483)),""),"")</f>
        <v/>
      </c>
      <c r="I2483" s="29">
        <f>IFERROR(IF(AND(ISNUMBER(B2483),ISNUMBER(H2483)),B2483/H2483-1,""),"")</f>
        <v/>
      </c>
      <c r="J2483" s="8">
        <f>IFERROR(IF(ISNUMBER(C2483),MAX(C2483,IFERROR(J2482,C2483)),""),"")</f>
        <v/>
      </c>
      <c r="K2483" s="29">
        <f>IFERROR(IF(AND(ISNUMBER(C2483),ISNUMBER(J2483)),C2483/J2483-1,""),"")</f>
        <v/>
      </c>
      <c r="L2483" s="28">
        <f>IFERROR(IF(AND(ISNUMBER(D2483),ISNUMBER(E2483)),D2483-E2483,""),"")</f>
        <v/>
      </c>
    </row>
    <row r="2484">
      <c r="A2484" s="7">
        <f>IFERROR(Datos!A2484,"")</f>
        <v/>
      </c>
      <c r="B2484" s="8">
        <f>IFERROR(Datos!B2484,"")</f>
        <v/>
      </c>
      <c r="C2484" s="8">
        <f>IFERROR(Datos!C2484,"")</f>
        <v/>
      </c>
      <c r="D2484" s="28">
        <f>IFERROR(IF(AND(ISNUMBER(B2484),ISNUMBER(B2483),B2483&lt;&gt;0),B2484/B2483-1,""),"")</f>
        <v/>
      </c>
      <c r="E2484" s="28">
        <f>IFERROR(IF(AND(ISNUMBER(C2484),ISNUMBER(C2483),C2483&lt;&gt;0),C2484/C2483-1,""),"")</f>
        <v/>
      </c>
      <c r="F2484" s="28">
        <f>IFERROR(D2484-Dashboard!$B$4/252,"")</f>
        <v/>
      </c>
      <c r="G2484" s="28">
        <f>IFERROR(E2484-Dashboard!$B$4/252,"")</f>
        <v/>
      </c>
      <c r="H2484" s="8">
        <f>IFERROR(IF(ISNUMBER(B2484),MAX(B2484,IFERROR(H2483,B2484)),""),"")</f>
        <v/>
      </c>
      <c r="I2484" s="29">
        <f>IFERROR(IF(AND(ISNUMBER(B2484),ISNUMBER(H2484)),B2484/H2484-1,""),"")</f>
        <v/>
      </c>
      <c r="J2484" s="8">
        <f>IFERROR(IF(ISNUMBER(C2484),MAX(C2484,IFERROR(J2483,C2484)),""),"")</f>
        <v/>
      </c>
      <c r="K2484" s="29">
        <f>IFERROR(IF(AND(ISNUMBER(C2484),ISNUMBER(J2484)),C2484/J2484-1,""),"")</f>
        <v/>
      </c>
      <c r="L2484" s="28">
        <f>IFERROR(IF(AND(ISNUMBER(D2484),ISNUMBER(E2484)),D2484-E2484,""),"")</f>
        <v/>
      </c>
    </row>
    <row r="2485">
      <c r="A2485" s="7">
        <f>IFERROR(Datos!A2485,"")</f>
        <v/>
      </c>
      <c r="B2485" s="8">
        <f>IFERROR(Datos!B2485,"")</f>
        <v/>
      </c>
      <c r="C2485" s="8">
        <f>IFERROR(Datos!C2485,"")</f>
        <v/>
      </c>
      <c r="D2485" s="28">
        <f>IFERROR(IF(AND(ISNUMBER(B2485),ISNUMBER(B2484),B2484&lt;&gt;0),B2485/B2484-1,""),"")</f>
        <v/>
      </c>
      <c r="E2485" s="28">
        <f>IFERROR(IF(AND(ISNUMBER(C2485),ISNUMBER(C2484),C2484&lt;&gt;0),C2485/C2484-1,""),"")</f>
        <v/>
      </c>
      <c r="F2485" s="28">
        <f>IFERROR(D2485-Dashboard!$B$4/252,"")</f>
        <v/>
      </c>
      <c r="G2485" s="28">
        <f>IFERROR(E2485-Dashboard!$B$4/252,"")</f>
        <v/>
      </c>
      <c r="H2485" s="8">
        <f>IFERROR(IF(ISNUMBER(B2485),MAX(B2485,IFERROR(H2484,B2485)),""),"")</f>
        <v/>
      </c>
      <c r="I2485" s="29">
        <f>IFERROR(IF(AND(ISNUMBER(B2485),ISNUMBER(H2485)),B2485/H2485-1,""),"")</f>
        <v/>
      </c>
      <c r="J2485" s="8">
        <f>IFERROR(IF(ISNUMBER(C2485),MAX(C2485,IFERROR(J2484,C2485)),""),"")</f>
        <v/>
      </c>
      <c r="K2485" s="29">
        <f>IFERROR(IF(AND(ISNUMBER(C2485),ISNUMBER(J2485)),C2485/J2485-1,""),"")</f>
        <v/>
      </c>
      <c r="L2485" s="28">
        <f>IFERROR(IF(AND(ISNUMBER(D2485),ISNUMBER(E2485)),D2485-E2485,""),"")</f>
        <v/>
      </c>
    </row>
    <row r="2486">
      <c r="A2486" s="7">
        <f>IFERROR(Datos!A2486,"")</f>
        <v/>
      </c>
      <c r="B2486" s="8">
        <f>IFERROR(Datos!B2486,"")</f>
        <v/>
      </c>
      <c r="C2486" s="8">
        <f>IFERROR(Datos!C2486,"")</f>
        <v/>
      </c>
      <c r="D2486" s="28">
        <f>IFERROR(IF(AND(ISNUMBER(B2486),ISNUMBER(B2485),B2485&lt;&gt;0),B2486/B2485-1,""),"")</f>
        <v/>
      </c>
      <c r="E2486" s="28">
        <f>IFERROR(IF(AND(ISNUMBER(C2486),ISNUMBER(C2485),C2485&lt;&gt;0),C2486/C2485-1,""),"")</f>
        <v/>
      </c>
      <c r="F2486" s="28">
        <f>IFERROR(D2486-Dashboard!$B$4/252,"")</f>
        <v/>
      </c>
      <c r="G2486" s="28">
        <f>IFERROR(E2486-Dashboard!$B$4/252,"")</f>
        <v/>
      </c>
      <c r="H2486" s="8">
        <f>IFERROR(IF(ISNUMBER(B2486),MAX(B2486,IFERROR(H2485,B2486)),""),"")</f>
        <v/>
      </c>
      <c r="I2486" s="29">
        <f>IFERROR(IF(AND(ISNUMBER(B2486),ISNUMBER(H2486)),B2486/H2486-1,""),"")</f>
        <v/>
      </c>
      <c r="J2486" s="8">
        <f>IFERROR(IF(ISNUMBER(C2486),MAX(C2486,IFERROR(J2485,C2486)),""),"")</f>
        <v/>
      </c>
      <c r="K2486" s="29">
        <f>IFERROR(IF(AND(ISNUMBER(C2486),ISNUMBER(J2486)),C2486/J2486-1,""),"")</f>
        <v/>
      </c>
      <c r="L2486" s="28">
        <f>IFERROR(IF(AND(ISNUMBER(D2486),ISNUMBER(E2486)),D2486-E2486,""),"")</f>
        <v/>
      </c>
    </row>
    <row r="2487">
      <c r="A2487" s="7">
        <f>IFERROR(Datos!A2487,"")</f>
        <v/>
      </c>
      <c r="B2487" s="8">
        <f>IFERROR(Datos!B2487,"")</f>
        <v/>
      </c>
      <c r="C2487" s="8">
        <f>IFERROR(Datos!C2487,"")</f>
        <v/>
      </c>
      <c r="D2487" s="28">
        <f>IFERROR(IF(AND(ISNUMBER(B2487),ISNUMBER(B2486),B2486&lt;&gt;0),B2487/B2486-1,""),"")</f>
        <v/>
      </c>
      <c r="E2487" s="28">
        <f>IFERROR(IF(AND(ISNUMBER(C2487),ISNUMBER(C2486),C2486&lt;&gt;0),C2487/C2486-1,""),"")</f>
        <v/>
      </c>
      <c r="F2487" s="28">
        <f>IFERROR(D2487-Dashboard!$B$4/252,"")</f>
        <v/>
      </c>
      <c r="G2487" s="28">
        <f>IFERROR(E2487-Dashboard!$B$4/252,"")</f>
        <v/>
      </c>
      <c r="H2487" s="8">
        <f>IFERROR(IF(ISNUMBER(B2487),MAX(B2487,IFERROR(H2486,B2487)),""),"")</f>
        <v/>
      </c>
      <c r="I2487" s="29">
        <f>IFERROR(IF(AND(ISNUMBER(B2487),ISNUMBER(H2487)),B2487/H2487-1,""),"")</f>
        <v/>
      </c>
      <c r="J2487" s="8">
        <f>IFERROR(IF(ISNUMBER(C2487),MAX(C2487,IFERROR(J2486,C2487)),""),"")</f>
        <v/>
      </c>
      <c r="K2487" s="29">
        <f>IFERROR(IF(AND(ISNUMBER(C2487),ISNUMBER(J2487)),C2487/J2487-1,""),"")</f>
        <v/>
      </c>
      <c r="L2487" s="28">
        <f>IFERROR(IF(AND(ISNUMBER(D2487),ISNUMBER(E2487)),D2487-E2487,""),"")</f>
        <v/>
      </c>
    </row>
    <row r="2488">
      <c r="A2488" s="7">
        <f>IFERROR(Datos!A2488,"")</f>
        <v/>
      </c>
      <c r="B2488" s="8">
        <f>IFERROR(Datos!B2488,"")</f>
        <v/>
      </c>
      <c r="C2488" s="8">
        <f>IFERROR(Datos!C2488,"")</f>
        <v/>
      </c>
      <c r="D2488" s="28">
        <f>IFERROR(IF(AND(ISNUMBER(B2488),ISNUMBER(B2487),B2487&lt;&gt;0),B2488/B2487-1,""),"")</f>
        <v/>
      </c>
      <c r="E2488" s="28">
        <f>IFERROR(IF(AND(ISNUMBER(C2488),ISNUMBER(C2487),C2487&lt;&gt;0),C2488/C2487-1,""),"")</f>
        <v/>
      </c>
      <c r="F2488" s="28">
        <f>IFERROR(D2488-Dashboard!$B$4/252,"")</f>
        <v/>
      </c>
      <c r="G2488" s="28">
        <f>IFERROR(E2488-Dashboard!$B$4/252,"")</f>
        <v/>
      </c>
      <c r="H2488" s="8">
        <f>IFERROR(IF(ISNUMBER(B2488),MAX(B2488,IFERROR(H2487,B2488)),""),"")</f>
        <v/>
      </c>
      <c r="I2488" s="29">
        <f>IFERROR(IF(AND(ISNUMBER(B2488),ISNUMBER(H2488)),B2488/H2488-1,""),"")</f>
        <v/>
      </c>
      <c r="J2488" s="8">
        <f>IFERROR(IF(ISNUMBER(C2488),MAX(C2488,IFERROR(J2487,C2488)),""),"")</f>
        <v/>
      </c>
      <c r="K2488" s="29">
        <f>IFERROR(IF(AND(ISNUMBER(C2488),ISNUMBER(J2488)),C2488/J2488-1,""),"")</f>
        <v/>
      </c>
      <c r="L2488" s="28">
        <f>IFERROR(IF(AND(ISNUMBER(D2488),ISNUMBER(E2488)),D2488-E2488,""),"")</f>
        <v/>
      </c>
    </row>
    <row r="2489">
      <c r="A2489" s="7">
        <f>IFERROR(Datos!A2489,"")</f>
        <v/>
      </c>
      <c r="B2489" s="8">
        <f>IFERROR(Datos!B2489,"")</f>
        <v/>
      </c>
      <c r="C2489" s="8">
        <f>IFERROR(Datos!C2489,"")</f>
        <v/>
      </c>
      <c r="D2489" s="28">
        <f>IFERROR(IF(AND(ISNUMBER(B2489),ISNUMBER(B2488),B2488&lt;&gt;0),B2489/B2488-1,""),"")</f>
        <v/>
      </c>
      <c r="E2489" s="28">
        <f>IFERROR(IF(AND(ISNUMBER(C2489),ISNUMBER(C2488),C2488&lt;&gt;0),C2489/C2488-1,""),"")</f>
        <v/>
      </c>
      <c r="F2489" s="28">
        <f>IFERROR(D2489-Dashboard!$B$4/252,"")</f>
        <v/>
      </c>
      <c r="G2489" s="28">
        <f>IFERROR(E2489-Dashboard!$B$4/252,"")</f>
        <v/>
      </c>
      <c r="H2489" s="8">
        <f>IFERROR(IF(ISNUMBER(B2489),MAX(B2489,IFERROR(H2488,B2489)),""),"")</f>
        <v/>
      </c>
      <c r="I2489" s="29">
        <f>IFERROR(IF(AND(ISNUMBER(B2489),ISNUMBER(H2489)),B2489/H2489-1,""),"")</f>
        <v/>
      </c>
      <c r="J2489" s="8">
        <f>IFERROR(IF(ISNUMBER(C2489),MAX(C2489,IFERROR(J2488,C2489)),""),"")</f>
        <v/>
      </c>
      <c r="K2489" s="29">
        <f>IFERROR(IF(AND(ISNUMBER(C2489),ISNUMBER(J2489)),C2489/J2489-1,""),"")</f>
        <v/>
      </c>
      <c r="L2489" s="28">
        <f>IFERROR(IF(AND(ISNUMBER(D2489),ISNUMBER(E2489)),D2489-E2489,""),"")</f>
        <v/>
      </c>
    </row>
    <row r="2490">
      <c r="A2490" s="7">
        <f>IFERROR(Datos!A2490,"")</f>
        <v/>
      </c>
      <c r="B2490" s="8">
        <f>IFERROR(Datos!B2490,"")</f>
        <v/>
      </c>
      <c r="C2490" s="8">
        <f>IFERROR(Datos!C2490,"")</f>
        <v/>
      </c>
      <c r="D2490" s="28">
        <f>IFERROR(IF(AND(ISNUMBER(B2490),ISNUMBER(B2489),B2489&lt;&gt;0),B2490/B2489-1,""),"")</f>
        <v/>
      </c>
      <c r="E2490" s="28">
        <f>IFERROR(IF(AND(ISNUMBER(C2490),ISNUMBER(C2489),C2489&lt;&gt;0),C2490/C2489-1,""),"")</f>
        <v/>
      </c>
      <c r="F2490" s="28">
        <f>IFERROR(D2490-Dashboard!$B$4/252,"")</f>
        <v/>
      </c>
      <c r="G2490" s="28">
        <f>IFERROR(E2490-Dashboard!$B$4/252,"")</f>
        <v/>
      </c>
      <c r="H2490" s="8">
        <f>IFERROR(IF(ISNUMBER(B2490),MAX(B2490,IFERROR(H2489,B2490)),""),"")</f>
        <v/>
      </c>
      <c r="I2490" s="29">
        <f>IFERROR(IF(AND(ISNUMBER(B2490),ISNUMBER(H2490)),B2490/H2490-1,""),"")</f>
        <v/>
      </c>
      <c r="J2490" s="8">
        <f>IFERROR(IF(ISNUMBER(C2490),MAX(C2490,IFERROR(J2489,C2490)),""),"")</f>
        <v/>
      </c>
      <c r="K2490" s="29">
        <f>IFERROR(IF(AND(ISNUMBER(C2490),ISNUMBER(J2490)),C2490/J2490-1,""),"")</f>
        <v/>
      </c>
      <c r="L2490" s="28">
        <f>IFERROR(IF(AND(ISNUMBER(D2490),ISNUMBER(E2490)),D2490-E2490,""),"")</f>
        <v/>
      </c>
    </row>
    <row r="2491">
      <c r="A2491" s="7">
        <f>IFERROR(Datos!A2491,"")</f>
        <v/>
      </c>
      <c r="B2491" s="8">
        <f>IFERROR(Datos!B2491,"")</f>
        <v/>
      </c>
      <c r="C2491" s="8">
        <f>IFERROR(Datos!C2491,"")</f>
        <v/>
      </c>
      <c r="D2491" s="28">
        <f>IFERROR(IF(AND(ISNUMBER(B2491),ISNUMBER(B2490),B2490&lt;&gt;0),B2491/B2490-1,""),"")</f>
        <v/>
      </c>
      <c r="E2491" s="28">
        <f>IFERROR(IF(AND(ISNUMBER(C2491),ISNUMBER(C2490),C2490&lt;&gt;0),C2491/C2490-1,""),"")</f>
        <v/>
      </c>
      <c r="F2491" s="28">
        <f>IFERROR(D2491-Dashboard!$B$4/252,"")</f>
        <v/>
      </c>
      <c r="G2491" s="28">
        <f>IFERROR(E2491-Dashboard!$B$4/252,"")</f>
        <v/>
      </c>
      <c r="H2491" s="8">
        <f>IFERROR(IF(ISNUMBER(B2491),MAX(B2491,IFERROR(H2490,B2491)),""),"")</f>
        <v/>
      </c>
      <c r="I2491" s="29">
        <f>IFERROR(IF(AND(ISNUMBER(B2491),ISNUMBER(H2491)),B2491/H2491-1,""),"")</f>
        <v/>
      </c>
      <c r="J2491" s="8">
        <f>IFERROR(IF(ISNUMBER(C2491),MAX(C2491,IFERROR(J2490,C2491)),""),"")</f>
        <v/>
      </c>
      <c r="K2491" s="29">
        <f>IFERROR(IF(AND(ISNUMBER(C2491),ISNUMBER(J2491)),C2491/J2491-1,""),"")</f>
        <v/>
      </c>
      <c r="L2491" s="28">
        <f>IFERROR(IF(AND(ISNUMBER(D2491),ISNUMBER(E2491)),D2491-E2491,""),"")</f>
        <v/>
      </c>
    </row>
    <row r="2492">
      <c r="A2492" s="7">
        <f>IFERROR(Datos!A2492,"")</f>
        <v/>
      </c>
      <c r="B2492" s="8">
        <f>IFERROR(Datos!B2492,"")</f>
        <v/>
      </c>
      <c r="C2492" s="8">
        <f>IFERROR(Datos!C2492,"")</f>
        <v/>
      </c>
      <c r="D2492" s="28">
        <f>IFERROR(IF(AND(ISNUMBER(B2492),ISNUMBER(B2491),B2491&lt;&gt;0),B2492/B2491-1,""),"")</f>
        <v/>
      </c>
      <c r="E2492" s="28">
        <f>IFERROR(IF(AND(ISNUMBER(C2492),ISNUMBER(C2491),C2491&lt;&gt;0),C2492/C2491-1,""),"")</f>
        <v/>
      </c>
      <c r="F2492" s="28">
        <f>IFERROR(D2492-Dashboard!$B$4/252,"")</f>
        <v/>
      </c>
      <c r="G2492" s="28">
        <f>IFERROR(E2492-Dashboard!$B$4/252,"")</f>
        <v/>
      </c>
      <c r="H2492" s="8">
        <f>IFERROR(IF(ISNUMBER(B2492),MAX(B2492,IFERROR(H2491,B2492)),""),"")</f>
        <v/>
      </c>
      <c r="I2492" s="29">
        <f>IFERROR(IF(AND(ISNUMBER(B2492),ISNUMBER(H2492)),B2492/H2492-1,""),"")</f>
        <v/>
      </c>
      <c r="J2492" s="8">
        <f>IFERROR(IF(ISNUMBER(C2492),MAX(C2492,IFERROR(J2491,C2492)),""),"")</f>
        <v/>
      </c>
      <c r="K2492" s="29">
        <f>IFERROR(IF(AND(ISNUMBER(C2492),ISNUMBER(J2492)),C2492/J2492-1,""),"")</f>
        <v/>
      </c>
      <c r="L2492" s="28">
        <f>IFERROR(IF(AND(ISNUMBER(D2492),ISNUMBER(E2492)),D2492-E2492,""),"")</f>
        <v/>
      </c>
    </row>
    <row r="2493">
      <c r="A2493" s="7">
        <f>IFERROR(Datos!A2493,"")</f>
        <v/>
      </c>
      <c r="B2493" s="8">
        <f>IFERROR(Datos!B2493,"")</f>
        <v/>
      </c>
      <c r="C2493" s="8">
        <f>IFERROR(Datos!C2493,"")</f>
        <v/>
      </c>
      <c r="D2493" s="28">
        <f>IFERROR(IF(AND(ISNUMBER(B2493),ISNUMBER(B2492),B2492&lt;&gt;0),B2493/B2492-1,""),"")</f>
        <v/>
      </c>
      <c r="E2493" s="28">
        <f>IFERROR(IF(AND(ISNUMBER(C2493),ISNUMBER(C2492),C2492&lt;&gt;0),C2493/C2492-1,""),"")</f>
        <v/>
      </c>
      <c r="F2493" s="28">
        <f>IFERROR(D2493-Dashboard!$B$4/252,"")</f>
        <v/>
      </c>
      <c r="G2493" s="28">
        <f>IFERROR(E2493-Dashboard!$B$4/252,"")</f>
        <v/>
      </c>
      <c r="H2493" s="8">
        <f>IFERROR(IF(ISNUMBER(B2493),MAX(B2493,IFERROR(H2492,B2493)),""),"")</f>
        <v/>
      </c>
      <c r="I2493" s="29">
        <f>IFERROR(IF(AND(ISNUMBER(B2493),ISNUMBER(H2493)),B2493/H2493-1,""),"")</f>
        <v/>
      </c>
      <c r="J2493" s="8">
        <f>IFERROR(IF(ISNUMBER(C2493),MAX(C2493,IFERROR(J2492,C2493)),""),"")</f>
        <v/>
      </c>
      <c r="K2493" s="29">
        <f>IFERROR(IF(AND(ISNUMBER(C2493),ISNUMBER(J2493)),C2493/J2493-1,""),"")</f>
        <v/>
      </c>
      <c r="L2493" s="28">
        <f>IFERROR(IF(AND(ISNUMBER(D2493),ISNUMBER(E2493)),D2493-E2493,""),"")</f>
        <v/>
      </c>
    </row>
    <row r="2494">
      <c r="A2494" s="7">
        <f>IFERROR(Datos!A2494,"")</f>
        <v/>
      </c>
      <c r="B2494" s="8">
        <f>IFERROR(Datos!B2494,"")</f>
        <v/>
      </c>
      <c r="C2494" s="8">
        <f>IFERROR(Datos!C2494,"")</f>
        <v/>
      </c>
      <c r="D2494" s="28">
        <f>IFERROR(IF(AND(ISNUMBER(B2494),ISNUMBER(B2493),B2493&lt;&gt;0),B2494/B2493-1,""),"")</f>
        <v/>
      </c>
      <c r="E2494" s="28">
        <f>IFERROR(IF(AND(ISNUMBER(C2494),ISNUMBER(C2493),C2493&lt;&gt;0),C2494/C2493-1,""),"")</f>
        <v/>
      </c>
      <c r="F2494" s="28">
        <f>IFERROR(D2494-Dashboard!$B$4/252,"")</f>
        <v/>
      </c>
      <c r="G2494" s="28">
        <f>IFERROR(E2494-Dashboard!$B$4/252,"")</f>
        <v/>
      </c>
      <c r="H2494" s="8">
        <f>IFERROR(IF(ISNUMBER(B2494),MAX(B2494,IFERROR(H2493,B2494)),""),"")</f>
        <v/>
      </c>
      <c r="I2494" s="29">
        <f>IFERROR(IF(AND(ISNUMBER(B2494),ISNUMBER(H2494)),B2494/H2494-1,""),"")</f>
        <v/>
      </c>
      <c r="J2494" s="8">
        <f>IFERROR(IF(ISNUMBER(C2494),MAX(C2494,IFERROR(J2493,C2494)),""),"")</f>
        <v/>
      </c>
      <c r="K2494" s="29">
        <f>IFERROR(IF(AND(ISNUMBER(C2494),ISNUMBER(J2494)),C2494/J2494-1,""),"")</f>
        <v/>
      </c>
      <c r="L2494" s="28">
        <f>IFERROR(IF(AND(ISNUMBER(D2494),ISNUMBER(E2494)),D2494-E2494,""),"")</f>
        <v/>
      </c>
    </row>
    <row r="2495">
      <c r="A2495" s="7">
        <f>IFERROR(Datos!A2495,"")</f>
        <v/>
      </c>
      <c r="B2495" s="8">
        <f>IFERROR(Datos!B2495,"")</f>
        <v/>
      </c>
      <c r="C2495" s="8">
        <f>IFERROR(Datos!C2495,"")</f>
        <v/>
      </c>
      <c r="D2495" s="28">
        <f>IFERROR(IF(AND(ISNUMBER(B2495),ISNUMBER(B2494),B2494&lt;&gt;0),B2495/B2494-1,""),"")</f>
        <v/>
      </c>
      <c r="E2495" s="28">
        <f>IFERROR(IF(AND(ISNUMBER(C2495),ISNUMBER(C2494),C2494&lt;&gt;0),C2495/C2494-1,""),"")</f>
        <v/>
      </c>
      <c r="F2495" s="28">
        <f>IFERROR(D2495-Dashboard!$B$4/252,"")</f>
        <v/>
      </c>
      <c r="G2495" s="28">
        <f>IFERROR(E2495-Dashboard!$B$4/252,"")</f>
        <v/>
      </c>
      <c r="H2495" s="8">
        <f>IFERROR(IF(ISNUMBER(B2495),MAX(B2495,IFERROR(H2494,B2495)),""),"")</f>
        <v/>
      </c>
      <c r="I2495" s="29">
        <f>IFERROR(IF(AND(ISNUMBER(B2495),ISNUMBER(H2495)),B2495/H2495-1,""),"")</f>
        <v/>
      </c>
      <c r="J2495" s="8">
        <f>IFERROR(IF(ISNUMBER(C2495),MAX(C2495,IFERROR(J2494,C2495)),""),"")</f>
        <v/>
      </c>
      <c r="K2495" s="29">
        <f>IFERROR(IF(AND(ISNUMBER(C2495),ISNUMBER(J2495)),C2495/J2495-1,""),"")</f>
        <v/>
      </c>
      <c r="L2495" s="28">
        <f>IFERROR(IF(AND(ISNUMBER(D2495),ISNUMBER(E2495)),D2495-E2495,""),"")</f>
        <v/>
      </c>
    </row>
    <row r="2496">
      <c r="A2496" s="7">
        <f>IFERROR(Datos!A2496,"")</f>
        <v/>
      </c>
      <c r="B2496" s="8">
        <f>IFERROR(Datos!B2496,"")</f>
        <v/>
      </c>
      <c r="C2496" s="8">
        <f>IFERROR(Datos!C2496,"")</f>
        <v/>
      </c>
      <c r="D2496" s="28">
        <f>IFERROR(IF(AND(ISNUMBER(B2496),ISNUMBER(B2495),B2495&lt;&gt;0),B2496/B2495-1,""),"")</f>
        <v/>
      </c>
      <c r="E2496" s="28">
        <f>IFERROR(IF(AND(ISNUMBER(C2496),ISNUMBER(C2495),C2495&lt;&gt;0),C2496/C2495-1,""),"")</f>
        <v/>
      </c>
      <c r="F2496" s="28">
        <f>IFERROR(D2496-Dashboard!$B$4/252,"")</f>
        <v/>
      </c>
      <c r="G2496" s="28">
        <f>IFERROR(E2496-Dashboard!$B$4/252,"")</f>
        <v/>
      </c>
      <c r="H2496" s="8">
        <f>IFERROR(IF(ISNUMBER(B2496),MAX(B2496,IFERROR(H2495,B2496)),""),"")</f>
        <v/>
      </c>
      <c r="I2496" s="29">
        <f>IFERROR(IF(AND(ISNUMBER(B2496),ISNUMBER(H2496)),B2496/H2496-1,""),"")</f>
        <v/>
      </c>
      <c r="J2496" s="8">
        <f>IFERROR(IF(ISNUMBER(C2496),MAX(C2496,IFERROR(J2495,C2496)),""),"")</f>
        <v/>
      </c>
      <c r="K2496" s="29">
        <f>IFERROR(IF(AND(ISNUMBER(C2496),ISNUMBER(J2496)),C2496/J2496-1,""),"")</f>
        <v/>
      </c>
      <c r="L2496" s="28">
        <f>IFERROR(IF(AND(ISNUMBER(D2496),ISNUMBER(E2496)),D2496-E2496,""),"")</f>
        <v/>
      </c>
    </row>
    <row r="2497">
      <c r="A2497" s="7">
        <f>IFERROR(Datos!A2497,"")</f>
        <v/>
      </c>
      <c r="B2497" s="8">
        <f>IFERROR(Datos!B2497,"")</f>
        <v/>
      </c>
      <c r="C2497" s="8">
        <f>IFERROR(Datos!C2497,"")</f>
        <v/>
      </c>
      <c r="D2497" s="28">
        <f>IFERROR(IF(AND(ISNUMBER(B2497),ISNUMBER(B2496),B2496&lt;&gt;0),B2497/B2496-1,""),"")</f>
        <v/>
      </c>
      <c r="E2497" s="28">
        <f>IFERROR(IF(AND(ISNUMBER(C2497),ISNUMBER(C2496),C2496&lt;&gt;0),C2497/C2496-1,""),"")</f>
        <v/>
      </c>
      <c r="F2497" s="28">
        <f>IFERROR(D2497-Dashboard!$B$4/252,"")</f>
        <v/>
      </c>
      <c r="G2497" s="28">
        <f>IFERROR(E2497-Dashboard!$B$4/252,"")</f>
        <v/>
      </c>
      <c r="H2497" s="8">
        <f>IFERROR(IF(ISNUMBER(B2497),MAX(B2497,IFERROR(H2496,B2497)),""),"")</f>
        <v/>
      </c>
      <c r="I2497" s="29">
        <f>IFERROR(IF(AND(ISNUMBER(B2497),ISNUMBER(H2497)),B2497/H2497-1,""),"")</f>
        <v/>
      </c>
      <c r="J2497" s="8">
        <f>IFERROR(IF(ISNUMBER(C2497),MAX(C2497,IFERROR(J2496,C2497)),""),"")</f>
        <v/>
      </c>
      <c r="K2497" s="29">
        <f>IFERROR(IF(AND(ISNUMBER(C2497),ISNUMBER(J2497)),C2497/J2497-1,""),"")</f>
        <v/>
      </c>
      <c r="L2497" s="28">
        <f>IFERROR(IF(AND(ISNUMBER(D2497),ISNUMBER(E2497)),D2497-E2497,""),"")</f>
        <v/>
      </c>
    </row>
    <row r="2498">
      <c r="A2498" s="7">
        <f>IFERROR(Datos!A2498,"")</f>
        <v/>
      </c>
      <c r="B2498" s="8">
        <f>IFERROR(Datos!B2498,"")</f>
        <v/>
      </c>
      <c r="C2498" s="8">
        <f>IFERROR(Datos!C2498,"")</f>
        <v/>
      </c>
      <c r="D2498" s="28">
        <f>IFERROR(IF(AND(ISNUMBER(B2498),ISNUMBER(B2497),B2497&lt;&gt;0),B2498/B2497-1,""),"")</f>
        <v/>
      </c>
      <c r="E2498" s="28">
        <f>IFERROR(IF(AND(ISNUMBER(C2498),ISNUMBER(C2497),C2497&lt;&gt;0),C2498/C2497-1,""),"")</f>
        <v/>
      </c>
      <c r="F2498" s="28">
        <f>IFERROR(D2498-Dashboard!$B$4/252,"")</f>
        <v/>
      </c>
      <c r="G2498" s="28">
        <f>IFERROR(E2498-Dashboard!$B$4/252,"")</f>
        <v/>
      </c>
      <c r="H2498" s="8">
        <f>IFERROR(IF(ISNUMBER(B2498),MAX(B2498,IFERROR(H2497,B2498)),""),"")</f>
        <v/>
      </c>
      <c r="I2498" s="29">
        <f>IFERROR(IF(AND(ISNUMBER(B2498),ISNUMBER(H2498)),B2498/H2498-1,""),"")</f>
        <v/>
      </c>
      <c r="J2498" s="8">
        <f>IFERROR(IF(ISNUMBER(C2498),MAX(C2498,IFERROR(J2497,C2498)),""),"")</f>
        <v/>
      </c>
      <c r="K2498" s="29">
        <f>IFERROR(IF(AND(ISNUMBER(C2498),ISNUMBER(J2498)),C2498/J2498-1,""),"")</f>
        <v/>
      </c>
      <c r="L2498" s="28">
        <f>IFERROR(IF(AND(ISNUMBER(D2498),ISNUMBER(E2498)),D2498-E2498,""),"")</f>
        <v/>
      </c>
    </row>
    <row r="2499">
      <c r="A2499" s="7">
        <f>IFERROR(Datos!A2499,"")</f>
        <v/>
      </c>
      <c r="B2499" s="8">
        <f>IFERROR(Datos!B2499,"")</f>
        <v/>
      </c>
      <c r="C2499" s="8">
        <f>IFERROR(Datos!C2499,"")</f>
        <v/>
      </c>
      <c r="D2499" s="28">
        <f>IFERROR(IF(AND(ISNUMBER(B2499),ISNUMBER(B2498),B2498&lt;&gt;0),B2499/B2498-1,""),"")</f>
        <v/>
      </c>
      <c r="E2499" s="28">
        <f>IFERROR(IF(AND(ISNUMBER(C2499),ISNUMBER(C2498),C2498&lt;&gt;0),C2499/C2498-1,""),"")</f>
        <v/>
      </c>
      <c r="F2499" s="28">
        <f>IFERROR(D2499-Dashboard!$B$4/252,"")</f>
        <v/>
      </c>
      <c r="G2499" s="28">
        <f>IFERROR(E2499-Dashboard!$B$4/252,"")</f>
        <v/>
      </c>
      <c r="H2499" s="8">
        <f>IFERROR(IF(ISNUMBER(B2499),MAX(B2499,IFERROR(H2498,B2499)),""),"")</f>
        <v/>
      </c>
      <c r="I2499" s="29">
        <f>IFERROR(IF(AND(ISNUMBER(B2499),ISNUMBER(H2499)),B2499/H2499-1,""),"")</f>
        <v/>
      </c>
      <c r="J2499" s="8">
        <f>IFERROR(IF(ISNUMBER(C2499),MAX(C2499,IFERROR(J2498,C2499)),""),"")</f>
        <v/>
      </c>
      <c r="K2499" s="29">
        <f>IFERROR(IF(AND(ISNUMBER(C2499),ISNUMBER(J2499)),C2499/J2499-1,""),"")</f>
        <v/>
      </c>
      <c r="L2499" s="28">
        <f>IFERROR(IF(AND(ISNUMBER(D2499),ISNUMBER(E2499)),D2499-E2499,""),"")</f>
        <v/>
      </c>
    </row>
    <row r="2500">
      <c r="A2500" s="7">
        <f>IFERROR(Datos!A2500,"")</f>
        <v/>
      </c>
      <c r="B2500" s="8">
        <f>IFERROR(Datos!B2500,"")</f>
        <v/>
      </c>
      <c r="C2500" s="8">
        <f>IFERROR(Datos!C2500,"")</f>
        <v/>
      </c>
      <c r="D2500" s="28">
        <f>IFERROR(IF(AND(ISNUMBER(B2500),ISNUMBER(B2499),B2499&lt;&gt;0),B2500/B2499-1,""),"")</f>
        <v/>
      </c>
      <c r="E2500" s="28">
        <f>IFERROR(IF(AND(ISNUMBER(C2500),ISNUMBER(C2499),C2499&lt;&gt;0),C2500/C2499-1,""),"")</f>
        <v/>
      </c>
      <c r="F2500" s="28">
        <f>IFERROR(D2500-Dashboard!$B$4/252,"")</f>
        <v/>
      </c>
      <c r="G2500" s="28">
        <f>IFERROR(E2500-Dashboard!$B$4/252,"")</f>
        <v/>
      </c>
      <c r="H2500" s="8">
        <f>IFERROR(IF(ISNUMBER(B2500),MAX(B2500,IFERROR(H2499,B2500)),""),"")</f>
        <v/>
      </c>
      <c r="I2500" s="29">
        <f>IFERROR(IF(AND(ISNUMBER(B2500),ISNUMBER(H2500)),B2500/H2500-1,""),"")</f>
        <v/>
      </c>
      <c r="J2500" s="8">
        <f>IFERROR(IF(ISNUMBER(C2500),MAX(C2500,IFERROR(J2499,C2500)),""),"")</f>
        <v/>
      </c>
      <c r="K2500" s="29">
        <f>IFERROR(IF(AND(ISNUMBER(C2500),ISNUMBER(J2500)),C2500/J2500-1,""),"")</f>
        <v/>
      </c>
      <c r="L2500" s="28">
        <f>IFERROR(IF(AND(ISNUMBER(D2500),ISNUMBER(E2500)),D2500-E2500,""),"")</f>
        <v/>
      </c>
    </row>
    <row r="2501">
      <c r="A2501" s="7">
        <f>IFERROR(Datos!A2501,"")</f>
        <v/>
      </c>
      <c r="B2501" s="8">
        <f>IFERROR(Datos!B2501,"")</f>
        <v/>
      </c>
      <c r="C2501" s="8">
        <f>IFERROR(Datos!C2501,"")</f>
        <v/>
      </c>
      <c r="D2501" s="28">
        <f>IFERROR(IF(AND(ISNUMBER(B2501),ISNUMBER(B2500),B2500&lt;&gt;0),B2501/B2500-1,""),"")</f>
        <v/>
      </c>
      <c r="E2501" s="28">
        <f>IFERROR(IF(AND(ISNUMBER(C2501),ISNUMBER(C2500),C2500&lt;&gt;0),C2501/C2500-1,""),"")</f>
        <v/>
      </c>
      <c r="F2501" s="28">
        <f>IFERROR(D2501-Dashboard!$B$4/252,"")</f>
        <v/>
      </c>
      <c r="G2501" s="28">
        <f>IFERROR(E2501-Dashboard!$B$4/252,"")</f>
        <v/>
      </c>
      <c r="H2501" s="8">
        <f>IFERROR(IF(ISNUMBER(B2501),MAX(B2501,IFERROR(H2500,B2501)),""),"")</f>
        <v/>
      </c>
      <c r="I2501" s="29">
        <f>IFERROR(IF(AND(ISNUMBER(B2501),ISNUMBER(H2501)),B2501/H2501-1,""),"")</f>
        <v/>
      </c>
      <c r="J2501" s="8">
        <f>IFERROR(IF(ISNUMBER(C2501),MAX(C2501,IFERROR(J2500,C2501)),""),"")</f>
        <v/>
      </c>
      <c r="K2501" s="29">
        <f>IFERROR(IF(AND(ISNUMBER(C2501),ISNUMBER(J2501)),C2501/J2501-1,""),"")</f>
        <v/>
      </c>
      <c r="L2501" s="28">
        <f>IFERROR(IF(AND(ISNUMBER(D2501),ISNUMBER(E2501)),D2501-E2501,""),"")</f>
        <v/>
      </c>
    </row>
    <row r="2502">
      <c r="A2502" s="7">
        <f>IFERROR(Datos!A2502,"")</f>
        <v/>
      </c>
      <c r="B2502" s="8">
        <f>IFERROR(Datos!B2502,"")</f>
        <v/>
      </c>
      <c r="C2502" s="8">
        <f>IFERROR(Datos!C2502,"")</f>
        <v/>
      </c>
      <c r="D2502" s="28">
        <f>IFERROR(IF(AND(ISNUMBER(B2502),ISNUMBER(B2501),B2501&lt;&gt;0),B2502/B2501-1,""),"")</f>
        <v/>
      </c>
      <c r="E2502" s="28">
        <f>IFERROR(IF(AND(ISNUMBER(C2502),ISNUMBER(C2501),C2501&lt;&gt;0),C2502/C2501-1,""),"")</f>
        <v/>
      </c>
      <c r="F2502" s="28">
        <f>IFERROR(D2502-Dashboard!$B$4/252,"")</f>
        <v/>
      </c>
      <c r="G2502" s="28">
        <f>IFERROR(E2502-Dashboard!$B$4/252,"")</f>
        <v/>
      </c>
      <c r="H2502" s="8">
        <f>IFERROR(IF(ISNUMBER(B2502),MAX(B2502,IFERROR(H2501,B2502)),""),"")</f>
        <v/>
      </c>
      <c r="I2502" s="29">
        <f>IFERROR(IF(AND(ISNUMBER(B2502),ISNUMBER(H2502)),B2502/H2502-1,""),"")</f>
        <v/>
      </c>
      <c r="J2502" s="8">
        <f>IFERROR(IF(ISNUMBER(C2502),MAX(C2502,IFERROR(J2501,C2502)),""),"")</f>
        <v/>
      </c>
      <c r="K2502" s="29">
        <f>IFERROR(IF(AND(ISNUMBER(C2502),ISNUMBER(J2502)),C2502/J2502-1,""),"")</f>
        <v/>
      </c>
      <c r="L2502" s="28">
        <f>IFERROR(IF(AND(ISNUMBER(D2502),ISNUMBER(E2502)),D2502-E2502,""),"")</f>
        <v/>
      </c>
    </row>
    <row r="2503">
      <c r="A2503" s="7">
        <f>IFERROR(Datos!A2503,"")</f>
        <v/>
      </c>
      <c r="B2503" s="8">
        <f>IFERROR(Datos!B2503,"")</f>
        <v/>
      </c>
      <c r="C2503" s="8">
        <f>IFERROR(Datos!C2503,"")</f>
        <v/>
      </c>
      <c r="D2503" s="28">
        <f>IFERROR(IF(AND(ISNUMBER(B2503),ISNUMBER(B2502),B2502&lt;&gt;0),B2503/B2502-1,""),"")</f>
        <v/>
      </c>
      <c r="E2503" s="28">
        <f>IFERROR(IF(AND(ISNUMBER(C2503),ISNUMBER(C2502),C2502&lt;&gt;0),C2503/C2502-1,""),"")</f>
        <v/>
      </c>
      <c r="F2503" s="28">
        <f>IFERROR(D2503-Dashboard!$B$4/252,"")</f>
        <v/>
      </c>
      <c r="G2503" s="28">
        <f>IFERROR(E2503-Dashboard!$B$4/252,"")</f>
        <v/>
      </c>
      <c r="H2503" s="8">
        <f>IFERROR(IF(ISNUMBER(B2503),MAX(B2503,IFERROR(H2502,B2503)),""),"")</f>
        <v/>
      </c>
      <c r="I2503" s="29">
        <f>IFERROR(IF(AND(ISNUMBER(B2503),ISNUMBER(H2503)),B2503/H2503-1,""),"")</f>
        <v/>
      </c>
      <c r="J2503" s="8">
        <f>IFERROR(IF(ISNUMBER(C2503),MAX(C2503,IFERROR(J2502,C2503)),""),"")</f>
        <v/>
      </c>
      <c r="K2503" s="29">
        <f>IFERROR(IF(AND(ISNUMBER(C2503),ISNUMBER(J2503)),C2503/J2503-1,""),"")</f>
        <v/>
      </c>
      <c r="L2503" s="28">
        <f>IFERROR(IF(AND(ISNUMBER(D2503),ISNUMBER(E2503)),D2503-E2503,""),"")</f>
        <v/>
      </c>
    </row>
    <row r="2504">
      <c r="A2504" s="7">
        <f>IFERROR(Datos!A2504,"")</f>
        <v/>
      </c>
      <c r="B2504" s="8">
        <f>IFERROR(Datos!B2504,"")</f>
        <v/>
      </c>
      <c r="C2504" s="8">
        <f>IFERROR(Datos!C2504,"")</f>
        <v/>
      </c>
      <c r="D2504" s="28">
        <f>IFERROR(IF(AND(ISNUMBER(B2504),ISNUMBER(B2503),B2503&lt;&gt;0),B2504/B2503-1,""),"")</f>
        <v/>
      </c>
      <c r="E2504" s="28">
        <f>IFERROR(IF(AND(ISNUMBER(C2504),ISNUMBER(C2503),C2503&lt;&gt;0),C2504/C2503-1,""),"")</f>
        <v/>
      </c>
      <c r="F2504" s="28">
        <f>IFERROR(D2504-Dashboard!$B$4/252,"")</f>
        <v/>
      </c>
      <c r="G2504" s="28">
        <f>IFERROR(E2504-Dashboard!$B$4/252,"")</f>
        <v/>
      </c>
      <c r="H2504" s="8">
        <f>IFERROR(IF(ISNUMBER(B2504),MAX(B2504,IFERROR(H2503,B2504)),""),"")</f>
        <v/>
      </c>
      <c r="I2504" s="29">
        <f>IFERROR(IF(AND(ISNUMBER(B2504),ISNUMBER(H2504)),B2504/H2504-1,""),"")</f>
        <v/>
      </c>
      <c r="J2504" s="8">
        <f>IFERROR(IF(ISNUMBER(C2504),MAX(C2504,IFERROR(J2503,C2504)),""),"")</f>
        <v/>
      </c>
      <c r="K2504" s="29">
        <f>IFERROR(IF(AND(ISNUMBER(C2504),ISNUMBER(J2504)),C2504/J2504-1,""),"")</f>
        <v/>
      </c>
      <c r="L2504" s="28">
        <f>IFERROR(IF(AND(ISNUMBER(D2504),ISNUMBER(E2504)),D2504-E2504,""),"")</f>
        <v/>
      </c>
    </row>
    <row r="2505">
      <c r="A2505" s="7">
        <f>IFERROR(Datos!A2505,"")</f>
        <v/>
      </c>
      <c r="B2505" s="8">
        <f>IFERROR(Datos!B2505,"")</f>
        <v/>
      </c>
      <c r="C2505" s="8">
        <f>IFERROR(Datos!C2505,"")</f>
        <v/>
      </c>
      <c r="D2505" s="28">
        <f>IFERROR(IF(AND(ISNUMBER(B2505),ISNUMBER(B2504),B2504&lt;&gt;0),B2505/B2504-1,""),"")</f>
        <v/>
      </c>
      <c r="E2505" s="28">
        <f>IFERROR(IF(AND(ISNUMBER(C2505),ISNUMBER(C2504),C2504&lt;&gt;0),C2505/C2504-1,""),"")</f>
        <v/>
      </c>
      <c r="F2505" s="28">
        <f>IFERROR(D2505-Dashboard!$B$4/252,"")</f>
        <v/>
      </c>
      <c r="G2505" s="28">
        <f>IFERROR(E2505-Dashboard!$B$4/252,"")</f>
        <v/>
      </c>
      <c r="H2505" s="8">
        <f>IFERROR(IF(ISNUMBER(B2505),MAX(B2505,IFERROR(H2504,B2505)),""),"")</f>
        <v/>
      </c>
      <c r="I2505" s="29">
        <f>IFERROR(IF(AND(ISNUMBER(B2505),ISNUMBER(H2505)),B2505/H2505-1,""),"")</f>
        <v/>
      </c>
      <c r="J2505" s="8">
        <f>IFERROR(IF(ISNUMBER(C2505),MAX(C2505,IFERROR(J2504,C2505)),""),"")</f>
        <v/>
      </c>
      <c r="K2505" s="29">
        <f>IFERROR(IF(AND(ISNUMBER(C2505),ISNUMBER(J2505)),C2505/J2505-1,""),"")</f>
        <v/>
      </c>
      <c r="L2505" s="28">
        <f>IFERROR(IF(AND(ISNUMBER(D2505),ISNUMBER(E2505)),D2505-E2505,""),"")</f>
        <v/>
      </c>
    </row>
    <row r="2506">
      <c r="A2506" s="7">
        <f>IFERROR(Datos!A2506,"")</f>
        <v/>
      </c>
      <c r="B2506" s="8">
        <f>IFERROR(Datos!B2506,"")</f>
        <v/>
      </c>
      <c r="C2506" s="8">
        <f>IFERROR(Datos!C2506,"")</f>
        <v/>
      </c>
      <c r="D2506" s="28">
        <f>IFERROR(IF(AND(ISNUMBER(B2506),ISNUMBER(B2505),B2505&lt;&gt;0),B2506/B2505-1,""),"")</f>
        <v/>
      </c>
      <c r="E2506" s="28">
        <f>IFERROR(IF(AND(ISNUMBER(C2506),ISNUMBER(C2505),C2505&lt;&gt;0),C2506/C2505-1,""),"")</f>
        <v/>
      </c>
      <c r="F2506" s="28">
        <f>IFERROR(D2506-Dashboard!$B$4/252,"")</f>
        <v/>
      </c>
      <c r="G2506" s="28">
        <f>IFERROR(E2506-Dashboard!$B$4/252,"")</f>
        <v/>
      </c>
      <c r="H2506" s="8">
        <f>IFERROR(IF(ISNUMBER(B2506),MAX(B2506,IFERROR(H2505,B2506)),""),"")</f>
        <v/>
      </c>
      <c r="I2506" s="29">
        <f>IFERROR(IF(AND(ISNUMBER(B2506),ISNUMBER(H2506)),B2506/H2506-1,""),"")</f>
        <v/>
      </c>
      <c r="J2506" s="8">
        <f>IFERROR(IF(ISNUMBER(C2506),MAX(C2506,IFERROR(J2505,C2506)),""),"")</f>
        <v/>
      </c>
      <c r="K2506" s="29">
        <f>IFERROR(IF(AND(ISNUMBER(C2506),ISNUMBER(J2506)),C2506/J2506-1,""),"")</f>
        <v/>
      </c>
      <c r="L2506" s="28">
        <f>IFERROR(IF(AND(ISNUMBER(D2506),ISNUMBER(E2506)),D2506-E2506,""),"")</f>
        <v/>
      </c>
    </row>
    <row r="2507">
      <c r="A2507" s="7">
        <f>IFERROR(Datos!A2507,"")</f>
        <v/>
      </c>
      <c r="B2507" s="8">
        <f>IFERROR(Datos!B2507,"")</f>
        <v/>
      </c>
      <c r="C2507" s="8">
        <f>IFERROR(Datos!C2507,"")</f>
        <v/>
      </c>
      <c r="D2507" s="28">
        <f>IFERROR(IF(AND(ISNUMBER(B2507),ISNUMBER(B2506),B2506&lt;&gt;0),B2507/B2506-1,""),"")</f>
        <v/>
      </c>
      <c r="E2507" s="28">
        <f>IFERROR(IF(AND(ISNUMBER(C2507),ISNUMBER(C2506),C2506&lt;&gt;0),C2507/C2506-1,""),"")</f>
        <v/>
      </c>
      <c r="F2507" s="28">
        <f>IFERROR(D2507-Dashboard!$B$4/252,"")</f>
        <v/>
      </c>
      <c r="G2507" s="28">
        <f>IFERROR(E2507-Dashboard!$B$4/252,"")</f>
        <v/>
      </c>
      <c r="H2507" s="8">
        <f>IFERROR(IF(ISNUMBER(B2507),MAX(B2507,IFERROR(H2506,B2507)),""),"")</f>
        <v/>
      </c>
      <c r="I2507" s="29">
        <f>IFERROR(IF(AND(ISNUMBER(B2507),ISNUMBER(H2507)),B2507/H2507-1,""),"")</f>
        <v/>
      </c>
      <c r="J2507" s="8">
        <f>IFERROR(IF(ISNUMBER(C2507),MAX(C2507,IFERROR(J2506,C2507)),""),"")</f>
        <v/>
      </c>
      <c r="K2507" s="29">
        <f>IFERROR(IF(AND(ISNUMBER(C2507),ISNUMBER(J2507)),C2507/J2507-1,""),"")</f>
        <v/>
      </c>
      <c r="L2507" s="28">
        <f>IFERROR(IF(AND(ISNUMBER(D2507),ISNUMBER(E2507)),D2507-E2507,""),"")</f>
        <v/>
      </c>
    </row>
    <row r="2508">
      <c r="A2508" s="7">
        <f>IFERROR(Datos!A2508,"")</f>
        <v/>
      </c>
      <c r="B2508" s="8">
        <f>IFERROR(Datos!B2508,"")</f>
        <v/>
      </c>
      <c r="C2508" s="8">
        <f>IFERROR(Datos!C2508,"")</f>
        <v/>
      </c>
      <c r="D2508" s="28">
        <f>IFERROR(IF(AND(ISNUMBER(B2508),ISNUMBER(B2507),B2507&lt;&gt;0),B2508/B2507-1,""),"")</f>
        <v/>
      </c>
      <c r="E2508" s="28">
        <f>IFERROR(IF(AND(ISNUMBER(C2508),ISNUMBER(C2507),C2507&lt;&gt;0),C2508/C2507-1,""),"")</f>
        <v/>
      </c>
      <c r="F2508" s="28">
        <f>IFERROR(D2508-Dashboard!$B$4/252,"")</f>
        <v/>
      </c>
      <c r="G2508" s="28">
        <f>IFERROR(E2508-Dashboard!$B$4/252,"")</f>
        <v/>
      </c>
      <c r="H2508" s="8">
        <f>IFERROR(IF(ISNUMBER(B2508),MAX(B2508,IFERROR(H2507,B2508)),""),"")</f>
        <v/>
      </c>
      <c r="I2508" s="29">
        <f>IFERROR(IF(AND(ISNUMBER(B2508),ISNUMBER(H2508)),B2508/H2508-1,""),"")</f>
        <v/>
      </c>
      <c r="J2508" s="8">
        <f>IFERROR(IF(ISNUMBER(C2508),MAX(C2508,IFERROR(J2507,C2508)),""),"")</f>
        <v/>
      </c>
      <c r="K2508" s="29">
        <f>IFERROR(IF(AND(ISNUMBER(C2508),ISNUMBER(J2508)),C2508/J2508-1,""),"")</f>
        <v/>
      </c>
      <c r="L2508" s="28">
        <f>IFERROR(IF(AND(ISNUMBER(D2508),ISNUMBER(E2508)),D2508-E2508,""),"")</f>
        <v/>
      </c>
    </row>
    <row r="2509">
      <c r="A2509" s="7">
        <f>IFERROR(Datos!A2509,"")</f>
        <v/>
      </c>
      <c r="B2509" s="8">
        <f>IFERROR(Datos!B2509,"")</f>
        <v/>
      </c>
      <c r="C2509" s="8">
        <f>IFERROR(Datos!C2509,"")</f>
        <v/>
      </c>
      <c r="D2509" s="28">
        <f>IFERROR(IF(AND(ISNUMBER(B2509),ISNUMBER(B2508),B2508&lt;&gt;0),B2509/B2508-1,""),"")</f>
        <v/>
      </c>
      <c r="E2509" s="28">
        <f>IFERROR(IF(AND(ISNUMBER(C2509),ISNUMBER(C2508),C2508&lt;&gt;0),C2509/C2508-1,""),"")</f>
        <v/>
      </c>
      <c r="F2509" s="28">
        <f>IFERROR(D2509-Dashboard!$B$4/252,"")</f>
        <v/>
      </c>
      <c r="G2509" s="28">
        <f>IFERROR(E2509-Dashboard!$B$4/252,"")</f>
        <v/>
      </c>
      <c r="H2509" s="8">
        <f>IFERROR(IF(ISNUMBER(B2509),MAX(B2509,IFERROR(H2508,B2509)),""),"")</f>
        <v/>
      </c>
      <c r="I2509" s="29">
        <f>IFERROR(IF(AND(ISNUMBER(B2509),ISNUMBER(H2509)),B2509/H2509-1,""),"")</f>
        <v/>
      </c>
      <c r="J2509" s="8">
        <f>IFERROR(IF(ISNUMBER(C2509),MAX(C2509,IFERROR(J2508,C2509)),""),"")</f>
        <v/>
      </c>
      <c r="K2509" s="29">
        <f>IFERROR(IF(AND(ISNUMBER(C2509),ISNUMBER(J2509)),C2509/J2509-1,""),"")</f>
        <v/>
      </c>
      <c r="L2509" s="28">
        <f>IFERROR(IF(AND(ISNUMBER(D2509),ISNUMBER(E2509)),D2509-E2509,""),"")</f>
        <v/>
      </c>
    </row>
    <row r="2510">
      <c r="A2510" s="7">
        <f>IFERROR(Datos!A2510,"")</f>
        <v/>
      </c>
      <c r="B2510" s="8">
        <f>IFERROR(Datos!B2510,"")</f>
        <v/>
      </c>
      <c r="C2510" s="8">
        <f>IFERROR(Datos!C2510,"")</f>
        <v/>
      </c>
      <c r="D2510" s="28">
        <f>IFERROR(IF(AND(ISNUMBER(B2510),ISNUMBER(B2509),B2509&lt;&gt;0),B2510/B2509-1,""),"")</f>
        <v/>
      </c>
      <c r="E2510" s="28">
        <f>IFERROR(IF(AND(ISNUMBER(C2510),ISNUMBER(C2509),C2509&lt;&gt;0),C2510/C2509-1,""),"")</f>
        <v/>
      </c>
      <c r="F2510" s="28">
        <f>IFERROR(D2510-Dashboard!$B$4/252,"")</f>
        <v/>
      </c>
      <c r="G2510" s="28">
        <f>IFERROR(E2510-Dashboard!$B$4/252,"")</f>
        <v/>
      </c>
      <c r="H2510" s="8">
        <f>IFERROR(IF(ISNUMBER(B2510),MAX(B2510,IFERROR(H2509,B2510)),""),"")</f>
        <v/>
      </c>
      <c r="I2510" s="29">
        <f>IFERROR(IF(AND(ISNUMBER(B2510),ISNUMBER(H2510)),B2510/H2510-1,""),"")</f>
        <v/>
      </c>
      <c r="J2510" s="8">
        <f>IFERROR(IF(ISNUMBER(C2510),MAX(C2510,IFERROR(J2509,C2510)),""),"")</f>
        <v/>
      </c>
      <c r="K2510" s="29">
        <f>IFERROR(IF(AND(ISNUMBER(C2510),ISNUMBER(J2510)),C2510/J2510-1,""),"")</f>
        <v/>
      </c>
      <c r="L2510" s="28">
        <f>IFERROR(IF(AND(ISNUMBER(D2510),ISNUMBER(E2510)),D2510-E2510,""),"")</f>
        <v/>
      </c>
    </row>
    <row r="2511">
      <c r="A2511" s="7">
        <f>IFERROR(Datos!A2511,"")</f>
        <v/>
      </c>
      <c r="B2511" s="8">
        <f>IFERROR(Datos!B2511,"")</f>
        <v/>
      </c>
      <c r="C2511" s="8">
        <f>IFERROR(Datos!C2511,"")</f>
        <v/>
      </c>
      <c r="D2511" s="28">
        <f>IFERROR(IF(AND(ISNUMBER(B2511),ISNUMBER(B2510),B2510&lt;&gt;0),B2511/B2510-1,""),"")</f>
        <v/>
      </c>
      <c r="E2511" s="28">
        <f>IFERROR(IF(AND(ISNUMBER(C2511),ISNUMBER(C2510),C2510&lt;&gt;0),C2511/C2510-1,""),"")</f>
        <v/>
      </c>
      <c r="F2511" s="28">
        <f>IFERROR(D2511-Dashboard!$B$4/252,"")</f>
        <v/>
      </c>
      <c r="G2511" s="28">
        <f>IFERROR(E2511-Dashboard!$B$4/252,"")</f>
        <v/>
      </c>
      <c r="H2511" s="8">
        <f>IFERROR(IF(ISNUMBER(B2511),MAX(B2511,IFERROR(H2510,B2511)),""),"")</f>
        <v/>
      </c>
      <c r="I2511" s="29">
        <f>IFERROR(IF(AND(ISNUMBER(B2511),ISNUMBER(H2511)),B2511/H2511-1,""),"")</f>
        <v/>
      </c>
      <c r="J2511" s="8">
        <f>IFERROR(IF(ISNUMBER(C2511),MAX(C2511,IFERROR(J2510,C2511)),""),"")</f>
        <v/>
      </c>
      <c r="K2511" s="29">
        <f>IFERROR(IF(AND(ISNUMBER(C2511),ISNUMBER(J2511)),C2511/J2511-1,""),"")</f>
        <v/>
      </c>
      <c r="L2511" s="28">
        <f>IFERROR(IF(AND(ISNUMBER(D2511),ISNUMBER(E2511)),D2511-E2511,""),"")</f>
        <v/>
      </c>
    </row>
    <row r="2512">
      <c r="A2512" s="7">
        <f>IFERROR(Datos!A2512,"")</f>
        <v/>
      </c>
      <c r="B2512" s="8">
        <f>IFERROR(Datos!B2512,"")</f>
        <v/>
      </c>
      <c r="C2512" s="8">
        <f>IFERROR(Datos!C2512,"")</f>
        <v/>
      </c>
      <c r="D2512" s="28">
        <f>IFERROR(IF(AND(ISNUMBER(B2512),ISNUMBER(B2511),B2511&lt;&gt;0),B2512/B2511-1,""),"")</f>
        <v/>
      </c>
      <c r="E2512" s="28">
        <f>IFERROR(IF(AND(ISNUMBER(C2512),ISNUMBER(C2511),C2511&lt;&gt;0),C2512/C2511-1,""),"")</f>
        <v/>
      </c>
      <c r="F2512" s="28">
        <f>IFERROR(D2512-Dashboard!$B$4/252,"")</f>
        <v/>
      </c>
      <c r="G2512" s="28">
        <f>IFERROR(E2512-Dashboard!$B$4/252,"")</f>
        <v/>
      </c>
      <c r="H2512" s="8">
        <f>IFERROR(IF(ISNUMBER(B2512),MAX(B2512,IFERROR(H2511,B2512)),""),"")</f>
        <v/>
      </c>
      <c r="I2512" s="29">
        <f>IFERROR(IF(AND(ISNUMBER(B2512),ISNUMBER(H2512)),B2512/H2512-1,""),"")</f>
        <v/>
      </c>
      <c r="J2512" s="8">
        <f>IFERROR(IF(ISNUMBER(C2512),MAX(C2512,IFERROR(J2511,C2512)),""),"")</f>
        <v/>
      </c>
      <c r="K2512" s="29">
        <f>IFERROR(IF(AND(ISNUMBER(C2512),ISNUMBER(J2512)),C2512/J2512-1,""),"")</f>
        <v/>
      </c>
      <c r="L2512" s="28">
        <f>IFERROR(IF(AND(ISNUMBER(D2512),ISNUMBER(E2512)),D2512-E2512,""),"")</f>
        <v/>
      </c>
    </row>
    <row r="2513">
      <c r="A2513" s="7">
        <f>IFERROR(Datos!A2513,"")</f>
        <v/>
      </c>
      <c r="B2513" s="8">
        <f>IFERROR(Datos!B2513,"")</f>
        <v/>
      </c>
      <c r="C2513" s="8">
        <f>IFERROR(Datos!C2513,"")</f>
        <v/>
      </c>
      <c r="D2513" s="28">
        <f>IFERROR(IF(AND(ISNUMBER(B2513),ISNUMBER(B2512),B2512&lt;&gt;0),B2513/B2512-1,""),"")</f>
        <v/>
      </c>
      <c r="E2513" s="28">
        <f>IFERROR(IF(AND(ISNUMBER(C2513),ISNUMBER(C2512),C2512&lt;&gt;0),C2513/C2512-1,""),"")</f>
        <v/>
      </c>
      <c r="F2513" s="28">
        <f>IFERROR(D2513-Dashboard!$B$4/252,"")</f>
        <v/>
      </c>
      <c r="G2513" s="28">
        <f>IFERROR(E2513-Dashboard!$B$4/252,"")</f>
        <v/>
      </c>
      <c r="H2513" s="8">
        <f>IFERROR(IF(ISNUMBER(B2513),MAX(B2513,IFERROR(H2512,B2513)),""),"")</f>
        <v/>
      </c>
      <c r="I2513" s="29">
        <f>IFERROR(IF(AND(ISNUMBER(B2513),ISNUMBER(H2513)),B2513/H2513-1,""),"")</f>
        <v/>
      </c>
      <c r="J2513" s="8">
        <f>IFERROR(IF(ISNUMBER(C2513),MAX(C2513,IFERROR(J2512,C2513)),""),"")</f>
        <v/>
      </c>
      <c r="K2513" s="29">
        <f>IFERROR(IF(AND(ISNUMBER(C2513),ISNUMBER(J2513)),C2513/J2513-1,""),"")</f>
        <v/>
      </c>
      <c r="L2513" s="28">
        <f>IFERROR(IF(AND(ISNUMBER(D2513),ISNUMBER(E2513)),D2513-E2513,""),"")</f>
        <v/>
      </c>
    </row>
    <row r="2514">
      <c r="A2514" s="7">
        <f>IFERROR(Datos!A2514,"")</f>
        <v/>
      </c>
      <c r="B2514" s="8">
        <f>IFERROR(Datos!B2514,"")</f>
        <v/>
      </c>
      <c r="C2514" s="8">
        <f>IFERROR(Datos!C2514,"")</f>
        <v/>
      </c>
      <c r="D2514" s="28">
        <f>IFERROR(IF(AND(ISNUMBER(B2514),ISNUMBER(B2513),B2513&lt;&gt;0),B2514/B2513-1,""),"")</f>
        <v/>
      </c>
      <c r="E2514" s="28">
        <f>IFERROR(IF(AND(ISNUMBER(C2514),ISNUMBER(C2513),C2513&lt;&gt;0),C2514/C2513-1,""),"")</f>
        <v/>
      </c>
      <c r="F2514" s="28">
        <f>IFERROR(D2514-Dashboard!$B$4/252,"")</f>
        <v/>
      </c>
      <c r="G2514" s="28">
        <f>IFERROR(E2514-Dashboard!$B$4/252,"")</f>
        <v/>
      </c>
      <c r="H2514" s="8">
        <f>IFERROR(IF(ISNUMBER(B2514),MAX(B2514,IFERROR(H2513,B2514)),""),"")</f>
        <v/>
      </c>
      <c r="I2514" s="29">
        <f>IFERROR(IF(AND(ISNUMBER(B2514),ISNUMBER(H2514)),B2514/H2514-1,""),"")</f>
        <v/>
      </c>
      <c r="J2514" s="8">
        <f>IFERROR(IF(ISNUMBER(C2514),MAX(C2514,IFERROR(J2513,C2514)),""),"")</f>
        <v/>
      </c>
      <c r="K2514" s="29">
        <f>IFERROR(IF(AND(ISNUMBER(C2514),ISNUMBER(J2514)),C2514/J2514-1,""),"")</f>
        <v/>
      </c>
      <c r="L2514" s="28">
        <f>IFERROR(IF(AND(ISNUMBER(D2514),ISNUMBER(E2514)),D2514-E2514,""),"")</f>
        <v/>
      </c>
    </row>
    <row r="2515">
      <c r="A2515" s="7">
        <f>IFERROR(Datos!A2515,"")</f>
        <v/>
      </c>
      <c r="B2515" s="8">
        <f>IFERROR(Datos!B2515,"")</f>
        <v/>
      </c>
      <c r="C2515" s="8">
        <f>IFERROR(Datos!C2515,"")</f>
        <v/>
      </c>
      <c r="D2515" s="28">
        <f>IFERROR(IF(AND(ISNUMBER(B2515),ISNUMBER(B2514),B2514&lt;&gt;0),B2515/B2514-1,""),"")</f>
        <v/>
      </c>
      <c r="E2515" s="28">
        <f>IFERROR(IF(AND(ISNUMBER(C2515),ISNUMBER(C2514),C2514&lt;&gt;0),C2515/C2514-1,""),"")</f>
        <v/>
      </c>
      <c r="F2515" s="28">
        <f>IFERROR(D2515-Dashboard!$B$4/252,"")</f>
        <v/>
      </c>
      <c r="G2515" s="28">
        <f>IFERROR(E2515-Dashboard!$B$4/252,"")</f>
        <v/>
      </c>
      <c r="H2515" s="8">
        <f>IFERROR(IF(ISNUMBER(B2515),MAX(B2515,IFERROR(H2514,B2515)),""),"")</f>
        <v/>
      </c>
      <c r="I2515" s="29">
        <f>IFERROR(IF(AND(ISNUMBER(B2515),ISNUMBER(H2515)),B2515/H2515-1,""),"")</f>
        <v/>
      </c>
      <c r="J2515" s="8">
        <f>IFERROR(IF(ISNUMBER(C2515),MAX(C2515,IFERROR(J2514,C2515)),""),"")</f>
        <v/>
      </c>
      <c r="K2515" s="29">
        <f>IFERROR(IF(AND(ISNUMBER(C2515),ISNUMBER(J2515)),C2515/J2515-1,""),"")</f>
        <v/>
      </c>
      <c r="L2515" s="28">
        <f>IFERROR(IF(AND(ISNUMBER(D2515),ISNUMBER(E2515)),D2515-E2515,""),"")</f>
        <v/>
      </c>
    </row>
    <row r="2516">
      <c r="A2516" s="7">
        <f>IFERROR(Datos!A2516,"")</f>
        <v/>
      </c>
      <c r="B2516" s="8">
        <f>IFERROR(Datos!B2516,"")</f>
        <v/>
      </c>
      <c r="C2516" s="8">
        <f>IFERROR(Datos!C2516,"")</f>
        <v/>
      </c>
      <c r="D2516" s="28">
        <f>IFERROR(IF(AND(ISNUMBER(B2516),ISNUMBER(B2515),B2515&lt;&gt;0),B2516/B2515-1,""),"")</f>
        <v/>
      </c>
      <c r="E2516" s="28">
        <f>IFERROR(IF(AND(ISNUMBER(C2516),ISNUMBER(C2515),C2515&lt;&gt;0),C2516/C2515-1,""),"")</f>
        <v/>
      </c>
      <c r="F2516" s="28">
        <f>IFERROR(D2516-Dashboard!$B$4/252,"")</f>
        <v/>
      </c>
      <c r="G2516" s="28">
        <f>IFERROR(E2516-Dashboard!$B$4/252,"")</f>
        <v/>
      </c>
      <c r="H2516" s="8">
        <f>IFERROR(IF(ISNUMBER(B2516),MAX(B2516,IFERROR(H2515,B2516)),""),"")</f>
        <v/>
      </c>
      <c r="I2516" s="29">
        <f>IFERROR(IF(AND(ISNUMBER(B2516),ISNUMBER(H2516)),B2516/H2516-1,""),"")</f>
        <v/>
      </c>
      <c r="J2516" s="8">
        <f>IFERROR(IF(ISNUMBER(C2516),MAX(C2516,IFERROR(J2515,C2516)),""),"")</f>
        <v/>
      </c>
      <c r="K2516" s="29">
        <f>IFERROR(IF(AND(ISNUMBER(C2516),ISNUMBER(J2516)),C2516/J2516-1,""),"")</f>
        <v/>
      </c>
      <c r="L2516" s="28">
        <f>IFERROR(IF(AND(ISNUMBER(D2516),ISNUMBER(E2516)),D2516-E2516,""),"")</f>
        <v/>
      </c>
    </row>
    <row r="2517">
      <c r="A2517" s="7">
        <f>IFERROR(Datos!A2517,"")</f>
        <v/>
      </c>
      <c r="B2517" s="8">
        <f>IFERROR(Datos!B2517,"")</f>
        <v/>
      </c>
      <c r="C2517" s="8">
        <f>IFERROR(Datos!C2517,"")</f>
        <v/>
      </c>
      <c r="D2517" s="28">
        <f>IFERROR(IF(AND(ISNUMBER(B2517),ISNUMBER(B2516),B2516&lt;&gt;0),B2517/B2516-1,""),"")</f>
        <v/>
      </c>
      <c r="E2517" s="28">
        <f>IFERROR(IF(AND(ISNUMBER(C2517),ISNUMBER(C2516),C2516&lt;&gt;0),C2517/C2516-1,""),"")</f>
        <v/>
      </c>
      <c r="F2517" s="28">
        <f>IFERROR(D2517-Dashboard!$B$4/252,"")</f>
        <v/>
      </c>
      <c r="G2517" s="28">
        <f>IFERROR(E2517-Dashboard!$B$4/252,"")</f>
        <v/>
      </c>
      <c r="H2517" s="8">
        <f>IFERROR(IF(ISNUMBER(B2517),MAX(B2517,IFERROR(H2516,B2517)),""),"")</f>
        <v/>
      </c>
      <c r="I2517" s="29">
        <f>IFERROR(IF(AND(ISNUMBER(B2517),ISNUMBER(H2517)),B2517/H2517-1,""),"")</f>
        <v/>
      </c>
      <c r="J2517" s="8">
        <f>IFERROR(IF(ISNUMBER(C2517),MAX(C2517,IFERROR(J2516,C2517)),""),"")</f>
        <v/>
      </c>
      <c r="K2517" s="29">
        <f>IFERROR(IF(AND(ISNUMBER(C2517),ISNUMBER(J2517)),C2517/J2517-1,""),"")</f>
        <v/>
      </c>
      <c r="L2517" s="28">
        <f>IFERROR(IF(AND(ISNUMBER(D2517),ISNUMBER(E2517)),D2517-E2517,""),"")</f>
        <v/>
      </c>
    </row>
    <row r="2518">
      <c r="A2518" s="7">
        <f>IFERROR(Datos!A2518,"")</f>
        <v/>
      </c>
      <c r="B2518" s="8">
        <f>IFERROR(Datos!B2518,"")</f>
        <v/>
      </c>
      <c r="C2518" s="8">
        <f>IFERROR(Datos!C2518,"")</f>
        <v/>
      </c>
      <c r="D2518" s="28">
        <f>IFERROR(IF(AND(ISNUMBER(B2518),ISNUMBER(B2517),B2517&lt;&gt;0),B2518/B2517-1,""),"")</f>
        <v/>
      </c>
      <c r="E2518" s="28">
        <f>IFERROR(IF(AND(ISNUMBER(C2518),ISNUMBER(C2517),C2517&lt;&gt;0),C2518/C2517-1,""),"")</f>
        <v/>
      </c>
      <c r="F2518" s="28">
        <f>IFERROR(D2518-Dashboard!$B$4/252,"")</f>
        <v/>
      </c>
      <c r="G2518" s="28">
        <f>IFERROR(E2518-Dashboard!$B$4/252,"")</f>
        <v/>
      </c>
      <c r="H2518" s="8">
        <f>IFERROR(IF(ISNUMBER(B2518),MAX(B2518,IFERROR(H2517,B2518)),""),"")</f>
        <v/>
      </c>
      <c r="I2518" s="29">
        <f>IFERROR(IF(AND(ISNUMBER(B2518),ISNUMBER(H2518)),B2518/H2518-1,""),"")</f>
        <v/>
      </c>
      <c r="J2518" s="8">
        <f>IFERROR(IF(ISNUMBER(C2518),MAX(C2518,IFERROR(J2517,C2518)),""),"")</f>
        <v/>
      </c>
      <c r="K2518" s="29">
        <f>IFERROR(IF(AND(ISNUMBER(C2518),ISNUMBER(J2518)),C2518/J2518-1,""),"")</f>
        <v/>
      </c>
      <c r="L2518" s="28">
        <f>IFERROR(IF(AND(ISNUMBER(D2518),ISNUMBER(E2518)),D2518-E2518,""),"")</f>
        <v/>
      </c>
    </row>
    <row r="2519">
      <c r="A2519" s="7">
        <f>IFERROR(Datos!A2519,"")</f>
        <v/>
      </c>
      <c r="B2519" s="8">
        <f>IFERROR(Datos!B2519,"")</f>
        <v/>
      </c>
      <c r="C2519" s="8">
        <f>IFERROR(Datos!C2519,"")</f>
        <v/>
      </c>
      <c r="D2519" s="28">
        <f>IFERROR(IF(AND(ISNUMBER(B2519),ISNUMBER(B2518),B2518&lt;&gt;0),B2519/B2518-1,""),"")</f>
        <v/>
      </c>
      <c r="E2519" s="28">
        <f>IFERROR(IF(AND(ISNUMBER(C2519),ISNUMBER(C2518),C2518&lt;&gt;0),C2519/C2518-1,""),"")</f>
        <v/>
      </c>
      <c r="F2519" s="28">
        <f>IFERROR(D2519-Dashboard!$B$4/252,"")</f>
        <v/>
      </c>
      <c r="G2519" s="28">
        <f>IFERROR(E2519-Dashboard!$B$4/252,"")</f>
        <v/>
      </c>
      <c r="H2519" s="8">
        <f>IFERROR(IF(ISNUMBER(B2519),MAX(B2519,IFERROR(H2518,B2519)),""),"")</f>
        <v/>
      </c>
      <c r="I2519" s="29">
        <f>IFERROR(IF(AND(ISNUMBER(B2519),ISNUMBER(H2519)),B2519/H2519-1,""),"")</f>
        <v/>
      </c>
      <c r="J2519" s="8">
        <f>IFERROR(IF(ISNUMBER(C2519),MAX(C2519,IFERROR(J2518,C2519)),""),"")</f>
        <v/>
      </c>
      <c r="K2519" s="29">
        <f>IFERROR(IF(AND(ISNUMBER(C2519),ISNUMBER(J2519)),C2519/J2519-1,""),"")</f>
        <v/>
      </c>
      <c r="L2519" s="28">
        <f>IFERROR(IF(AND(ISNUMBER(D2519),ISNUMBER(E2519)),D2519-E2519,""),"")</f>
        <v/>
      </c>
    </row>
    <row r="2520">
      <c r="A2520" s="7">
        <f>IFERROR(Datos!A2520,"")</f>
        <v/>
      </c>
      <c r="B2520" s="8">
        <f>IFERROR(Datos!B2520,"")</f>
        <v/>
      </c>
      <c r="C2520" s="8">
        <f>IFERROR(Datos!C2520,"")</f>
        <v/>
      </c>
      <c r="D2520" s="28">
        <f>IFERROR(IF(AND(ISNUMBER(B2520),ISNUMBER(B2519),B2519&lt;&gt;0),B2520/B2519-1,""),"")</f>
        <v/>
      </c>
      <c r="E2520" s="28">
        <f>IFERROR(IF(AND(ISNUMBER(C2520),ISNUMBER(C2519),C2519&lt;&gt;0),C2520/C2519-1,""),"")</f>
        <v/>
      </c>
      <c r="F2520" s="28">
        <f>IFERROR(D2520-Dashboard!$B$4/252,"")</f>
        <v/>
      </c>
      <c r="G2520" s="28">
        <f>IFERROR(E2520-Dashboard!$B$4/252,"")</f>
        <v/>
      </c>
      <c r="H2520" s="8">
        <f>IFERROR(IF(ISNUMBER(B2520),MAX(B2520,IFERROR(H2519,B2520)),""),"")</f>
        <v/>
      </c>
      <c r="I2520" s="29">
        <f>IFERROR(IF(AND(ISNUMBER(B2520),ISNUMBER(H2520)),B2520/H2520-1,""),"")</f>
        <v/>
      </c>
      <c r="J2520" s="8">
        <f>IFERROR(IF(ISNUMBER(C2520),MAX(C2520,IFERROR(J2519,C2520)),""),"")</f>
        <v/>
      </c>
      <c r="K2520" s="29">
        <f>IFERROR(IF(AND(ISNUMBER(C2520),ISNUMBER(J2520)),C2520/J2520-1,""),"")</f>
        <v/>
      </c>
      <c r="L2520" s="28">
        <f>IFERROR(IF(AND(ISNUMBER(D2520),ISNUMBER(E2520)),D2520-E2520,""),"")</f>
        <v/>
      </c>
    </row>
    <row r="2521">
      <c r="A2521" s="7">
        <f>IFERROR(Datos!A2521,"")</f>
        <v/>
      </c>
      <c r="B2521" s="8">
        <f>IFERROR(Datos!B2521,"")</f>
        <v/>
      </c>
      <c r="C2521" s="8">
        <f>IFERROR(Datos!C2521,"")</f>
        <v/>
      </c>
      <c r="D2521" s="28">
        <f>IFERROR(IF(AND(ISNUMBER(B2521),ISNUMBER(B2520),B2520&lt;&gt;0),B2521/B2520-1,""),"")</f>
        <v/>
      </c>
      <c r="E2521" s="28">
        <f>IFERROR(IF(AND(ISNUMBER(C2521),ISNUMBER(C2520),C2520&lt;&gt;0),C2521/C2520-1,""),"")</f>
        <v/>
      </c>
      <c r="F2521" s="28">
        <f>IFERROR(D2521-Dashboard!$B$4/252,"")</f>
        <v/>
      </c>
      <c r="G2521" s="28">
        <f>IFERROR(E2521-Dashboard!$B$4/252,"")</f>
        <v/>
      </c>
      <c r="H2521" s="8">
        <f>IFERROR(IF(ISNUMBER(B2521),MAX(B2521,IFERROR(H2520,B2521)),""),"")</f>
        <v/>
      </c>
      <c r="I2521" s="29">
        <f>IFERROR(IF(AND(ISNUMBER(B2521),ISNUMBER(H2521)),B2521/H2521-1,""),"")</f>
        <v/>
      </c>
      <c r="J2521" s="8">
        <f>IFERROR(IF(ISNUMBER(C2521),MAX(C2521,IFERROR(J2520,C2521)),""),"")</f>
        <v/>
      </c>
      <c r="K2521" s="29">
        <f>IFERROR(IF(AND(ISNUMBER(C2521),ISNUMBER(J2521)),C2521/J2521-1,""),"")</f>
        <v/>
      </c>
      <c r="L2521" s="28">
        <f>IFERROR(IF(AND(ISNUMBER(D2521),ISNUMBER(E2521)),D2521-E2521,""),"")</f>
        <v/>
      </c>
    </row>
    <row r="2522">
      <c r="A2522" s="7">
        <f>IFERROR(Datos!A2522,"")</f>
        <v/>
      </c>
      <c r="B2522" s="8">
        <f>IFERROR(Datos!B2522,"")</f>
        <v/>
      </c>
      <c r="C2522" s="8">
        <f>IFERROR(Datos!C2522,"")</f>
        <v/>
      </c>
      <c r="D2522" s="28">
        <f>IFERROR(IF(AND(ISNUMBER(B2522),ISNUMBER(B2521),B2521&lt;&gt;0),B2522/B2521-1,""),"")</f>
        <v/>
      </c>
      <c r="E2522" s="28">
        <f>IFERROR(IF(AND(ISNUMBER(C2522),ISNUMBER(C2521),C2521&lt;&gt;0),C2522/C2521-1,""),"")</f>
        <v/>
      </c>
      <c r="F2522" s="28">
        <f>IFERROR(D2522-Dashboard!$B$4/252,"")</f>
        <v/>
      </c>
      <c r="G2522" s="28">
        <f>IFERROR(E2522-Dashboard!$B$4/252,"")</f>
        <v/>
      </c>
      <c r="H2522" s="8">
        <f>IFERROR(IF(ISNUMBER(B2522),MAX(B2522,IFERROR(H2521,B2522)),""),"")</f>
        <v/>
      </c>
      <c r="I2522" s="29">
        <f>IFERROR(IF(AND(ISNUMBER(B2522),ISNUMBER(H2522)),B2522/H2522-1,""),"")</f>
        <v/>
      </c>
      <c r="J2522" s="8">
        <f>IFERROR(IF(ISNUMBER(C2522),MAX(C2522,IFERROR(J2521,C2522)),""),"")</f>
        <v/>
      </c>
      <c r="K2522" s="29">
        <f>IFERROR(IF(AND(ISNUMBER(C2522),ISNUMBER(J2522)),C2522/J2522-1,""),"")</f>
        <v/>
      </c>
      <c r="L2522" s="28">
        <f>IFERROR(IF(AND(ISNUMBER(D2522),ISNUMBER(E2522)),D2522-E2522,""),"")</f>
        <v/>
      </c>
    </row>
    <row r="2523">
      <c r="A2523" s="7">
        <f>IFERROR(Datos!A2523,"")</f>
        <v/>
      </c>
      <c r="B2523" s="8">
        <f>IFERROR(Datos!B2523,"")</f>
        <v/>
      </c>
      <c r="C2523" s="8">
        <f>IFERROR(Datos!C2523,"")</f>
        <v/>
      </c>
      <c r="D2523" s="28">
        <f>IFERROR(IF(AND(ISNUMBER(B2523),ISNUMBER(B2522),B2522&lt;&gt;0),B2523/B2522-1,""),"")</f>
        <v/>
      </c>
      <c r="E2523" s="28">
        <f>IFERROR(IF(AND(ISNUMBER(C2523),ISNUMBER(C2522),C2522&lt;&gt;0),C2523/C2522-1,""),"")</f>
        <v/>
      </c>
      <c r="F2523" s="28">
        <f>IFERROR(D2523-Dashboard!$B$4/252,"")</f>
        <v/>
      </c>
      <c r="G2523" s="28">
        <f>IFERROR(E2523-Dashboard!$B$4/252,"")</f>
        <v/>
      </c>
      <c r="H2523" s="8">
        <f>IFERROR(IF(ISNUMBER(B2523),MAX(B2523,IFERROR(H2522,B2523)),""),"")</f>
        <v/>
      </c>
      <c r="I2523" s="29">
        <f>IFERROR(IF(AND(ISNUMBER(B2523),ISNUMBER(H2523)),B2523/H2523-1,""),"")</f>
        <v/>
      </c>
      <c r="J2523" s="8">
        <f>IFERROR(IF(ISNUMBER(C2523),MAX(C2523,IFERROR(J2522,C2523)),""),"")</f>
        <v/>
      </c>
      <c r="K2523" s="29">
        <f>IFERROR(IF(AND(ISNUMBER(C2523),ISNUMBER(J2523)),C2523/J2523-1,""),"")</f>
        <v/>
      </c>
      <c r="L2523" s="28">
        <f>IFERROR(IF(AND(ISNUMBER(D2523),ISNUMBER(E2523)),D2523-E2523,""),"")</f>
        <v/>
      </c>
    </row>
    <row r="2524">
      <c r="A2524" s="7">
        <f>IFERROR(Datos!A2524,"")</f>
        <v/>
      </c>
      <c r="B2524" s="8">
        <f>IFERROR(Datos!B2524,"")</f>
        <v/>
      </c>
      <c r="C2524" s="8">
        <f>IFERROR(Datos!C2524,"")</f>
        <v/>
      </c>
      <c r="D2524" s="28">
        <f>IFERROR(IF(AND(ISNUMBER(B2524),ISNUMBER(B2523),B2523&lt;&gt;0),B2524/B2523-1,""),"")</f>
        <v/>
      </c>
      <c r="E2524" s="28">
        <f>IFERROR(IF(AND(ISNUMBER(C2524),ISNUMBER(C2523),C2523&lt;&gt;0),C2524/C2523-1,""),"")</f>
        <v/>
      </c>
      <c r="F2524" s="28">
        <f>IFERROR(D2524-Dashboard!$B$4/252,"")</f>
        <v/>
      </c>
      <c r="G2524" s="28">
        <f>IFERROR(E2524-Dashboard!$B$4/252,"")</f>
        <v/>
      </c>
      <c r="H2524" s="8">
        <f>IFERROR(IF(ISNUMBER(B2524),MAX(B2524,IFERROR(H2523,B2524)),""),"")</f>
        <v/>
      </c>
      <c r="I2524" s="29">
        <f>IFERROR(IF(AND(ISNUMBER(B2524),ISNUMBER(H2524)),B2524/H2524-1,""),"")</f>
        <v/>
      </c>
      <c r="J2524" s="8">
        <f>IFERROR(IF(ISNUMBER(C2524),MAX(C2524,IFERROR(J2523,C2524)),""),"")</f>
        <v/>
      </c>
      <c r="K2524" s="29">
        <f>IFERROR(IF(AND(ISNUMBER(C2524),ISNUMBER(J2524)),C2524/J2524-1,""),"")</f>
        <v/>
      </c>
      <c r="L2524" s="28">
        <f>IFERROR(IF(AND(ISNUMBER(D2524),ISNUMBER(E2524)),D2524-E2524,""),"")</f>
        <v/>
      </c>
    </row>
    <row r="2525">
      <c r="A2525" s="7">
        <f>IFERROR(Datos!A2525,"")</f>
        <v/>
      </c>
      <c r="B2525" s="8">
        <f>IFERROR(Datos!B2525,"")</f>
        <v/>
      </c>
      <c r="C2525" s="8">
        <f>IFERROR(Datos!C2525,"")</f>
        <v/>
      </c>
      <c r="D2525" s="28">
        <f>IFERROR(IF(AND(ISNUMBER(B2525),ISNUMBER(B2524),B2524&lt;&gt;0),B2525/B2524-1,""),"")</f>
        <v/>
      </c>
      <c r="E2525" s="28">
        <f>IFERROR(IF(AND(ISNUMBER(C2525),ISNUMBER(C2524),C2524&lt;&gt;0),C2525/C2524-1,""),"")</f>
        <v/>
      </c>
      <c r="F2525" s="28">
        <f>IFERROR(D2525-Dashboard!$B$4/252,"")</f>
        <v/>
      </c>
      <c r="G2525" s="28">
        <f>IFERROR(E2525-Dashboard!$B$4/252,"")</f>
        <v/>
      </c>
      <c r="H2525" s="8">
        <f>IFERROR(IF(ISNUMBER(B2525),MAX(B2525,IFERROR(H2524,B2525)),""),"")</f>
        <v/>
      </c>
      <c r="I2525" s="29">
        <f>IFERROR(IF(AND(ISNUMBER(B2525),ISNUMBER(H2525)),B2525/H2525-1,""),"")</f>
        <v/>
      </c>
      <c r="J2525" s="8">
        <f>IFERROR(IF(ISNUMBER(C2525),MAX(C2525,IFERROR(J2524,C2525)),""),"")</f>
        <v/>
      </c>
      <c r="K2525" s="29">
        <f>IFERROR(IF(AND(ISNUMBER(C2525),ISNUMBER(J2525)),C2525/J2525-1,""),"")</f>
        <v/>
      </c>
      <c r="L2525" s="28">
        <f>IFERROR(IF(AND(ISNUMBER(D2525),ISNUMBER(E2525)),D2525-E2525,""),"")</f>
        <v/>
      </c>
    </row>
    <row r="2526">
      <c r="A2526" s="7">
        <f>IFERROR(Datos!A2526,"")</f>
        <v/>
      </c>
      <c r="B2526" s="8">
        <f>IFERROR(Datos!B2526,"")</f>
        <v/>
      </c>
      <c r="C2526" s="8">
        <f>IFERROR(Datos!C2526,"")</f>
        <v/>
      </c>
      <c r="D2526" s="28">
        <f>IFERROR(IF(AND(ISNUMBER(B2526),ISNUMBER(B2525),B2525&lt;&gt;0),B2526/B2525-1,""),"")</f>
        <v/>
      </c>
      <c r="E2526" s="28">
        <f>IFERROR(IF(AND(ISNUMBER(C2526),ISNUMBER(C2525),C2525&lt;&gt;0),C2526/C2525-1,""),"")</f>
        <v/>
      </c>
      <c r="F2526" s="28">
        <f>IFERROR(D2526-Dashboard!$B$4/252,"")</f>
        <v/>
      </c>
      <c r="G2526" s="28">
        <f>IFERROR(E2526-Dashboard!$B$4/252,"")</f>
        <v/>
      </c>
      <c r="H2526" s="8">
        <f>IFERROR(IF(ISNUMBER(B2526),MAX(B2526,IFERROR(H2525,B2526)),""),"")</f>
        <v/>
      </c>
      <c r="I2526" s="29">
        <f>IFERROR(IF(AND(ISNUMBER(B2526),ISNUMBER(H2526)),B2526/H2526-1,""),"")</f>
        <v/>
      </c>
      <c r="J2526" s="8">
        <f>IFERROR(IF(ISNUMBER(C2526),MAX(C2526,IFERROR(J2525,C2526)),""),"")</f>
        <v/>
      </c>
      <c r="K2526" s="29">
        <f>IFERROR(IF(AND(ISNUMBER(C2526),ISNUMBER(J2526)),C2526/J2526-1,""),"")</f>
        <v/>
      </c>
      <c r="L2526" s="28">
        <f>IFERROR(IF(AND(ISNUMBER(D2526),ISNUMBER(E2526)),D2526-E2526,""),"")</f>
        <v/>
      </c>
    </row>
    <row r="2527">
      <c r="A2527" s="7">
        <f>IFERROR(Datos!A2527,"")</f>
        <v/>
      </c>
      <c r="B2527" s="8">
        <f>IFERROR(Datos!B2527,"")</f>
        <v/>
      </c>
      <c r="C2527" s="8">
        <f>IFERROR(Datos!C2527,"")</f>
        <v/>
      </c>
      <c r="D2527" s="28">
        <f>IFERROR(IF(AND(ISNUMBER(B2527),ISNUMBER(B2526),B2526&lt;&gt;0),B2527/B2526-1,""),"")</f>
        <v/>
      </c>
      <c r="E2527" s="28">
        <f>IFERROR(IF(AND(ISNUMBER(C2527),ISNUMBER(C2526),C2526&lt;&gt;0),C2527/C2526-1,""),"")</f>
        <v/>
      </c>
      <c r="F2527" s="28">
        <f>IFERROR(D2527-Dashboard!$B$4/252,"")</f>
        <v/>
      </c>
      <c r="G2527" s="28">
        <f>IFERROR(E2527-Dashboard!$B$4/252,"")</f>
        <v/>
      </c>
      <c r="H2527" s="8">
        <f>IFERROR(IF(ISNUMBER(B2527),MAX(B2527,IFERROR(H2526,B2527)),""),"")</f>
        <v/>
      </c>
      <c r="I2527" s="29">
        <f>IFERROR(IF(AND(ISNUMBER(B2527),ISNUMBER(H2527)),B2527/H2527-1,""),"")</f>
        <v/>
      </c>
      <c r="J2527" s="8">
        <f>IFERROR(IF(ISNUMBER(C2527),MAX(C2527,IFERROR(J2526,C2527)),""),"")</f>
        <v/>
      </c>
      <c r="K2527" s="29">
        <f>IFERROR(IF(AND(ISNUMBER(C2527),ISNUMBER(J2527)),C2527/J2527-1,""),"")</f>
        <v/>
      </c>
      <c r="L2527" s="28">
        <f>IFERROR(IF(AND(ISNUMBER(D2527),ISNUMBER(E2527)),D2527-E2527,""),"")</f>
        <v/>
      </c>
    </row>
    <row r="2528">
      <c r="A2528" s="7">
        <f>IFERROR(Datos!A2528,"")</f>
        <v/>
      </c>
      <c r="B2528" s="8">
        <f>IFERROR(Datos!B2528,"")</f>
        <v/>
      </c>
      <c r="C2528" s="8">
        <f>IFERROR(Datos!C2528,"")</f>
        <v/>
      </c>
      <c r="D2528" s="28">
        <f>IFERROR(IF(AND(ISNUMBER(B2528),ISNUMBER(B2527),B2527&lt;&gt;0),B2528/B2527-1,""),"")</f>
        <v/>
      </c>
      <c r="E2528" s="28">
        <f>IFERROR(IF(AND(ISNUMBER(C2528),ISNUMBER(C2527),C2527&lt;&gt;0),C2528/C2527-1,""),"")</f>
        <v/>
      </c>
      <c r="F2528" s="28">
        <f>IFERROR(D2528-Dashboard!$B$4/252,"")</f>
        <v/>
      </c>
      <c r="G2528" s="28">
        <f>IFERROR(E2528-Dashboard!$B$4/252,"")</f>
        <v/>
      </c>
      <c r="H2528" s="8">
        <f>IFERROR(IF(ISNUMBER(B2528),MAX(B2528,IFERROR(H2527,B2528)),""),"")</f>
        <v/>
      </c>
      <c r="I2528" s="29">
        <f>IFERROR(IF(AND(ISNUMBER(B2528),ISNUMBER(H2528)),B2528/H2528-1,""),"")</f>
        <v/>
      </c>
      <c r="J2528" s="8">
        <f>IFERROR(IF(ISNUMBER(C2528),MAX(C2528,IFERROR(J2527,C2528)),""),"")</f>
        <v/>
      </c>
      <c r="K2528" s="29">
        <f>IFERROR(IF(AND(ISNUMBER(C2528),ISNUMBER(J2528)),C2528/J2528-1,""),"")</f>
        <v/>
      </c>
      <c r="L2528" s="28">
        <f>IFERROR(IF(AND(ISNUMBER(D2528),ISNUMBER(E2528)),D2528-E2528,""),"")</f>
        <v/>
      </c>
    </row>
    <row r="2529">
      <c r="A2529" s="7">
        <f>IFERROR(Datos!A2529,"")</f>
        <v/>
      </c>
      <c r="B2529" s="8">
        <f>IFERROR(Datos!B2529,"")</f>
        <v/>
      </c>
      <c r="C2529" s="8">
        <f>IFERROR(Datos!C2529,"")</f>
        <v/>
      </c>
      <c r="D2529" s="28">
        <f>IFERROR(IF(AND(ISNUMBER(B2529),ISNUMBER(B2528),B2528&lt;&gt;0),B2529/B2528-1,""),"")</f>
        <v/>
      </c>
      <c r="E2529" s="28">
        <f>IFERROR(IF(AND(ISNUMBER(C2529),ISNUMBER(C2528),C2528&lt;&gt;0),C2529/C2528-1,""),"")</f>
        <v/>
      </c>
      <c r="F2529" s="28">
        <f>IFERROR(D2529-Dashboard!$B$4/252,"")</f>
        <v/>
      </c>
      <c r="G2529" s="28">
        <f>IFERROR(E2529-Dashboard!$B$4/252,"")</f>
        <v/>
      </c>
      <c r="H2529" s="8">
        <f>IFERROR(IF(ISNUMBER(B2529),MAX(B2529,IFERROR(H2528,B2529)),""),"")</f>
        <v/>
      </c>
      <c r="I2529" s="29">
        <f>IFERROR(IF(AND(ISNUMBER(B2529),ISNUMBER(H2529)),B2529/H2529-1,""),"")</f>
        <v/>
      </c>
      <c r="J2529" s="8">
        <f>IFERROR(IF(ISNUMBER(C2529),MAX(C2529,IFERROR(J2528,C2529)),""),"")</f>
        <v/>
      </c>
      <c r="K2529" s="29">
        <f>IFERROR(IF(AND(ISNUMBER(C2529),ISNUMBER(J2529)),C2529/J2529-1,""),"")</f>
        <v/>
      </c>
      <c r="L2529" s="28">
        <f>IFERROR(IF(AND(ISNUMBER(D2529),ISNUMBER(E2529)),D2529-E2529,""),"")</f>
        <v/>
      </c>
    </row>
    <row r="2530">
      <c r="A2530" s="7">
        <f>IFERROR(Datos!A2530,"")</f>
        <v/>
      </c>
      <c r="B2530" s="8">
        <f>IFERROR(Datos!B2530,"")</f>
        <v/>
      </c>
      <c r="C2530" s="8">
        <f>IFERROR(Datos!C2530,"")</f>
        <v/>
      </c>
      <c r="D2530" s="28">
        <f>IFERROR(IF(AND(ISNUMBER(B2530),ISNUMBER(B2529),B2529&lt;&gt;0),B2530/B2529-1,""),"")</f>
        <v/>
      </c>
      <c r="E2530" s="28">
        <f>IFERROR(IF(AND(ISNUMBER(C2530),ISNUMBER(C2529),C2529&lt;&gt;0),C2530/C2529-1,""),"")</f>
        <v/>
      </c>
      <c r="F2530" s="28">
        <f>IFERROR(D2530-Dashboard!$B$4/252,"")</f>
        <v/>
      </c>
      <c r="G2530" s="28">
        <f>IFERROR(E2530-Dashboard!$B$4/252,"")</f>
        <v/>
      </c>
      <c r="H2530" s="8">
        <f>IFERROR(IF(ISNUMBER(B2530),MAX(B2530,IFERROR(H2529,B2530)),""),"")</f>
        <v/>
      </c>
      <c r="I2530" s="29">
        <f>IFERROR(IF(AND(ISNUMBER(B2530),ISNUMBER(H2530)),B2530/H2530-1,""),"")</f>
        <v/>
      </c>
      <c r="J2530" s="8">
        <f>IFERROR(IF(ISNUMBER(C2530),MAX(C2530,IFERROR(J2529,C2530)),""),"")</f>
        <v/>
      </c>
      <c r="K2530" s="29">
        <f>IFERROR(IF(AND(ISNUMBER(C2530),ISNUMBER(J2530)),C2530/J2530-1,""),"")</f>
        <v/>
      </c>
      <c r="L2530" s="28">
        <f>IFERROR(IF(AND(ISNUMBER(D2530),ISNUMBER(E2530)),D2530-E2530,""),"")</f>
        <v/>
      </c>
    </row>
    <row r="2531">
      <c r="A2531" s="7">
        <f>IFERROR(Datos!A2531,"")</f>
        <v/>
      </c>
      <c r="B2531" s="8">
        <f>IFERROR(Datos!B2531,"")</f>
        <v/>
      </c>
      <c r="C2531" s="8">
        <f>IFERROR(Datos!C2531,"")</f>
        <v/>
      </c>
      <c r="D2531" s="28">
        <f>IFERROR(IF(AND(ISNUMBER(B2531),ISNUMBER(B2530),B2530&lt;&gt;0),B2531/B2530-1,""),"")</f>
        <v/>
      </c>
      <c r="E2531" s="28">
        <f>IFERROR(IF(AND(ISNUMBER(C2531),ISNUMBER(C2530),C2530&lt;&gt;0),C2531/C2530-1,""),"")</f>
        <v/>
      </c>
      <c r="F2531" s="28">
        <f>IFERROR(D2531-Dashboard!$B$4/252,"")</f>
        <v/>
      </c>
      <c r="G2531" s="28">
        <f>IFERROR(E2531-Dashboard!$B$4/252,"")</f>
        <v/>
      </c>
      <c r="H2531" s="8">
        <f>IFERROR(IF(ISNUMBER(B2531),MAX(B2531,IFERROR(H2530,B2531)),""),"")</f>
        <v/>
      </c>
      <c r="I2531" s="29">
        <f>IFERROR(IF(AND(ISNUMBER(B2531),ISNUMBER(H2531)),B2531/H2531-1,""),"")</f>
        <v/>
      </c>
      <c r="J2531" s="8">
        <f>IFERROR(IF(ISNUMBER(C2531),MAX(C2531,IFERROR(J2530,C2531)),""),"")</f>
        <v/>
      </c>
      <c r="K2531" s="29">
        <f>IFERROR(IF(AND(ISNUMBER(C2531),ISNUMBER(J2531)),C2531/J2531-1,""),"")</f>
        <v/>
      </c>
      <c r="L2531" s="28">
        <f>IFERROR(IF(AND(ISNUMBER(D2531),ISNUMBER(E2531)),D2531-E2531,""),"")</f>
        <v/>
      </c>
    </row>
    <row r="2532">
      <c r="A2532" s="7">
        <f>IFERROR(Datos!A2532,"")</f>
        <v/>
      </c>
      <c r="B2532" s="8">
        <f>IFERROR(Datos!B2532,"")</f>
        <v/>
      </c>
      <c r="C2532" s="8">
        <f>IFERROR(Datos!C2532,"")</f>
        <v/>
      </c>
      <c r="D2532" s="28">
        <f>IFERROR(IF(AND(ISNUMBER(B2532),ISNUMBER(B2531),B2531&lt;&gt;0),B2532/B2531-1,""),"")</f>
        <v/>
      </c>
      <c r="E2532" s="28">
        <f>IFERROR(IF(AND(ISNUMBER(C2532),ISNUMBER(C2531),C2531&lt;&gt;0),C2532/C2531-1,""),"")</f>
        <v/>
      </c>
      <c r="F2532" s="28">
        <f>IFERROR(D2532-Dashboard!$B$4/252,"")</f>
        <v/>
      </c>
      <c r="G2532" s="28">
        <f>IFERROR(E2532-Dashboard!$B$4/252,"")</f>
        <v/>
      </c>
      <c r="H2532" s="8">
        <f>IFERROR(IF(ISNUMBER(B2532),MAX(B2532,IFERROR(H2531,B2532)),""),"")</f>
        <v/>
      </c>
      <c r="I2532" s="29">
        <f>IFERROR(IF(AND(ISNUMBER(B2532),ISNUMBER(H2532)),B2532/H2532-1,""),"")</f>
        <v/>
      </c>
      <c r="J2532" s="8">
        <f>IFERROR(IF(ISNUMBER(C2532),MAX(C2532,IFERROR(J2531,C2532)),""),"")</f>
        <v/>
      </c>
      <c r="K2532" s="29">
        <f>IFERROR(IF(AND(ISNUMBER(C2532),ISNUMBER(J2532)),C2532/J2532-1,""),"")</f>
        <v/>
      </c>
      <c r="L2532" s="28">
        <f>IFERROR(IF(AND(ISNUMBER(D2532),ISNUMBER(E2532)),D2532-E2532,""),"")</f>
        <v/>
      </c>
    </row>
    <row r="2533">
      <c r="A2533" s="7">
        <f>IFERROR(Datos!A2533,"")</f>
        <v/>
      </c>
      <c r="B2533" s="8">
        <f>IFERROR(Datos!B2533,"")</f>
        <v/>
      </c>
      <c r="C2533" s="8">
        <f>IFERROR(Datos!C2533,"")</f>
        <v/>
      </c>
      <c r="D2533" s="28">
        <f>IFERROR(IF(AND(ISNUMBER(B2533),ISNUMBER(B2532),B2532&lt;&gt;0),B2533/B2532-1,""),"")</f>
        <v/>
      </c>
      <c r="E2533" s="28">
        <f>IFERROR(IF(AND(ISNUMBER(C2533),ISNUMBER(C2532),C2532&lt;&gt;0),C2533/C2532-1,""),"")</f>
        <v/>
      </c>
      <c r="F2533" s="28">
        <f>IFERROR(D2533-Dashboard!$B$4/252,"")</f>
        <v/>
      </c>
      <c r="G2533" s="28">
        <f>IFERROR(E2533-Dashboard!$B$4/252,"")</f>
        <v/>
      </c>
      <c r="H2533" s="8">
        <f>IFERROR(IF(ISNUMBER(B2533),MAX(B2533,IFERROR(H2532,B2533)),""),"")</f>
        <v/>
      </c>
      <c r="I2533" s="29">
        <f>IFERROR(IF(AND(ISNUMBER(B2533),ISNUMBER(H2533)),B2533/H2533-1,""),"")</f>
        <v/>
      </c>
      <c r="J2533" s="8">
        <f>IFERROR(IF(ISNUMBER(C2533),MAX(C2533,IFERROR(J2532,C2533)),""),"")</f>
        <v/>
      </c>
      <c r="K2533" s="29">
        <f>IFERROR(IF(AND(ISNUMBER(C2533),ISNUMBER(J2533)),C2533/J2533-1,""),"")</f>
        <v/>
      </c>
      <c r="L2533" s="28">
        <f>IFERROR(IF(AND(ISNUMBER(D2533),ISNUMBER(E2533)),D2533-E2533,""),"")</f>
        <v/>
      </c>
    </row>
    <row r="2534">
      <c r="A2534" s="7">
        <f>IFERROR(Datos!A2534,"")</f>
        <v/>
      </c>
      <c r="B2534" s="8">
        <f>IFERROR(Datos!B2534,"")</f>
        <v/>
      </c>
      <c r="C2534" s="8">
        <f>IFERROR(Datos!C2534,"")</f>
        <v/>
      </c>
      <c r="D2534" s="28">
        <f>IFERROR(IF(AND(ISNUMBER(B2534),ISNUMBER(B2533),B2533&lt;&gt;0),B2534/B2533-1,""),"")</f>
        <v/>
      </c>
      <c r="E2534" s="28">
        <f>IFERROR(IF(AND(ISNUMBER(C2534),ISNUMBER(C2533),C2533&lt;&gt;0),C2534/C2533-1,""),"")</f>
        <v/>
      </c>
      <c r="F2534" s="28">
        <f>IFERROR(D2534-Dashboard!$B$4/252,"")</f>
        <v/>
      </c>
      <c r="G2534" s="28">
        <f>IFERROR(E2534-Dashboard!$B$4/252,"")</f>
        <v/>
      </c>
      <c r="H2534" s="8">
        <f>IFERROR(IF(ISNUMBER(B2534),MAX(B2534,IFERROR(H2533,B2534)),""),"")</f>
        <v/>
      </c>
      <c r="I2534" s="29">
        <f>IFERROR(IF(AND(ISNUMBER(B2534),ISNUMBER(H2534)),B2534/H2534-1,""),"")</f>
        <v/>
      </c>
      <c r="J2534" s="8">
        <f>IFERROR(IF(ISNUMBER(C2534),MAX(C2534,IFERROR(J2533,C2534)),""),"")</f>
        <v/>
      </c>
      <c r="K2534" s="29">
        <f>IFERROR(IF(AND(ISNUMBER(C2534),ISNUMBER(J2534)),C2534/J2534-1,""),"")</f>
        <v/>
      </c>
      <c r="L2534" s="28">
        <f>IFERROR(IF(AND(ISNUMBER(D2534),ISNUMBER(E2534)),D2534-E2534,""),"")</f>
        <v/>
      </c>
    </row>
    <row r="2535">
      <c r="A2535" s="7">
        <f>IFERROR(Datos!A2535,"")</f>
        <v/>
      </c>
      <c r="B2535" s="8">
        <f>IFERROR(Datos!B2535,"")</f>
        <v/>
      </c>
      <c r="C2535" s="8">
        <f>IFERROR(Datos!C2535,"")</f>
        <v/>
      </c>
      <c r="D2535" s="28">
        <f>IFERROR(IF(AND(ISNUMBER(B2535),ISNUMBER(B2534),B2534&lt;&gt;0),B2535/B2534-1,""),"")</f>
        <v/>
      </c>
      <c r="E2535" s="28">
        <f>IFERROR(IF(AND(ISNUMBER(C2535),ISNUMBER(C2534),C2534&lt;&gt;0),C2535/C2534-1,""),"")</f>
        <v/>
      </c>
      <c r="F2535" s="28">
        <f>IFERROR(D2535-Dashboard!$B$4/252,"")</f>
        <v/>
      </c>
      <c r="G2535" s="28">
        <f>IFERROR(E2535-Dashboard!$B$4/252,"")</f>
        <v/>
      </c>
      <c r="H2535" s="8">
        <f>IFERROR(IF(ISNUMBER(B2535),MAX(B2535,IFERROR(H2534,B2535)),""),"")</f>
        <v/>
      </c>
      <c r="I2535" s="29">
        <f>IFERROR(IF(AND(ISNUMBER(B2535),ISNUMBER(H2535)),B2535/H2535-1,""),"")</f>
        <v/>
      </c>
      <c r="J2535" s="8">
        <f>IFERROR(IF(ISNUMBER(C2535),MAX(C2535,IFERROR(J2534,C2535)),""),"")</f>
        <v/>
      </c>
      <c r="K2535" s="29">
        <f>IFERROR(IF(AND(ISNUMBER(C2535),ISNUMBER(J2535)),C2535/J2535-1,""),"")</f>
        <v/>
      </c>
      <c r="L2535" s="28">
        <f>IFERROR(IF(AND(ISNUMBER(D2535),ISNUMBER(E2535)),D2535-E2535,""),"")</f>
        <v/>
      </c>
    </row>
    <row r="2536">
      <c r="A2536" s="7">
        <f>IFERROR(Datos!A2536,"")</f>
        <v/>
      </c>
      <c r="B2536" s="8">
        <f>IFERROR(Datos!B2536,"")</f>
        <v/>
      </c>
      <c r="C2536" s="8">
        <f>IFERROR(Datos!C2536,"")</f>
        <v/>
      </c>
      <c r="D2536" s="28">
        <f>IFERROR(IF(AND(ISNUMBER(B2536),ISNUMBER(B2535),B2535&lt;&gt;0),B2536/B2535-1,""),"")</f>
        <v/>
      </c>
      <c r="E2536" s="28">
        <f>IFERROR(IF(AND(ISNUMBER(C2536),ISNUMBER(C2535),C2535&lt;&gt;0),C2536/C2535-1,""),"")</f>
        <v/>
      </c>
      <c r="F2536" s="28">
        <f>IFERROR(D2536-Dashboard!$B$4/252,"")</f>
        <v/>
      </c>
      <c r="G2536" s="28">
        <f>IFERROR(E2536-Dashboard!$B$4/252,"")</f>
        <v/>
      </c>
      <c r="H2536" s="8">
        <f>IFERROR(IF(ISNUMBER(B2536),MAX(B2536,IFERROR(H2535,B2536)),""),"")</f>
        <v/>
      </c>
      <c r="I2536" s="29">
        <f>IFERROR(IF(AND(ISNUMBER(B2536),ISNUMBER(H2536)),B2536/H2536-1,""),"")</f>
        <v/>
      </c>
      <c r="J2536" s="8">
        <f>IFERROR(IF(ISNUMBER(C2536),MAX(C2536,IFERROR(J2535,C2536)),""),"")</f>
        <v/>
      </c>
      <c r="K2536" s="29">
        <f>IFERROR(IF(AND(ISNUMBER(C2536),ISNUMBER(J2536)),C2536/J2536-1,""),"")</f>
        <v/>
      </c>
      <c r="L2536" s="28">
        <f>IFERROR(IF(AND(ISNUMBER(D2536),ISNUMBER(E2536)),D2536-E2536,""),"")</f>
        <v/>
      </c>
    </row>
    <row r="2537">
      <c r="A2537" s="7">
        <f>IFERROR(Datos!A2537,"")</f>
        <v/>
      </c>
      <c r="B2537" s="8">
        <f>IFERROR(Datos!B2537,"")</f>
        <v/>
      </c>
      <c r="C2537" s="8">
        <f>IFERROR(Datos!C2537,"")</f>
        <v/>
      </c>
      <c r="D2537" s="28">
        <f>IFERROR(IF(AND(ISNUMBER(B2537),ISNUMBER(B2536),B2536&lt;&gt;0),B2537/B2536-1,""),"")</f>
        <v/>
      </c>
      <c r="E2537" s="28">
        <f>IFERROR(IF(AND(ISNUMBER(C2537),ISNUMBER(C2536),C2536&lt;&gt;0),C2537/C2536-1,""),"")</f>
        <v/>
      </c>
      <c r="F2537" s="28">
        <f>IFERROR(D2537-Dashboard!$B$4/252,"")</f>
        <v/>
      </c>
      <c r="G2537" s="28">
        <f>IFERROR(E2537-Dashboard!$B$4/252,"")</f>
        <v/>
      </c>
      <c r="H2537" s="8">
        <f>IFERROR(IF(ISNUMBER(B2537),MAX(B2537,IFERROR(H2536,B2537)),""),"")</f>
        <v/>
      </c>
      <c r="I2537" s="29">
        <f>IFERROR(IF(AND(ISNUMBER(B2537),ISNUMBER(H2537)),B2537/H2537-1,""),"")</f>
        <v/>
      </c>
      <c r="J2537" s="8">
        <f>IFERROR(IF(ISNUMBER(C2537),MAX(C2537,IFERROR(J2536,C2537)),""),"")</f>
        <v/>
      </c>
      <c r="K2537" s="29">
        <f>IFERROR(IF(AND(ISNUMBER(C2537),ISNUMBER(J2537)),C2537/J2537-1,""),"")</f>
        <v/>
      </c>
      <c r="L2537" s="28">
        <f>IFERROR(IF(AND(ISNUMBER(D2537),ISNUMBER(E2537)),D2537-E2537,""),"")</f>
        <v/>
      </c>
    </row>
    <row r="2538">
      <c r="A2538" s="7">
        <f>IFERROR(Datos!A2538,"")</f>
        <v/>
      </c>
      <c r="B2538" s="8">
        <f>IFERROR(Datos!B2538,"")</f>
        <v/>
      </c>
      <c r="C2538" s="8">
        <f>IFERROR(Datos!C2538,"")</f>
        <v/>
      </c>
      <c r="D2538" s="28">
        <f>IFERROR(IF(AND(ISNUMBER(B2538),ISNUMBER(B2537),B2537&lt;&gt;0),B2538/B2537-1,""),"")</f>
        <v/>
      </c>
      <c r="E2538" s="28">
        <f>IFERROR(IF(AND(ISNUMBER(C2538),ISNUMBER(C2537),C2537&lt;&gt;0),C2538/C2537-1,""),"")</f>
        <v/>
      </c>
      <c r="F2538" s="28">
        <f>IFERROR(D2538-Dashboard!$B$4/252,"")</f>
        <v/>
      </c>
      <c r="G2538" s="28">
        <f>IFERROR(E2538-Dashboard!$B$4/252,"")</f>
        <v/>
      </c>
      <c r="H2538" s="8">
        <f>IFERROR(IF(ISNUMBER(B2538),MAX(B2538,IFERROR(H2537,B2538)),""),"")</f>
        <v/>
      </c>
      <c r="I2538" s="29">
        <f>IFERROR(IF(AND(ISNUMBER(B2538),ISNUMBER(H2538)),B2538/H2538-1,""),"")</f>
        <v/>
      </c>
      <c r="J2538" s="8">
        <f>IFERROR(IF(ISNUMBER(C2538),MAX(C2538,IFERROR(J2537,C2538)),""),"")</f>
        <v/>
      </c>
      <c r="K2538" s="29">
        <f>IFERROR(IF(AND(ISNUMBER(C2538),ISNUMBER(J2538)),C2538/J2538-1,""),"")</f>
        <v/>
      </c>
      <c r="L2538" s="28">
        <f>IFERROR(IF(AND(ISNUMBER(D2538),ISNUMBER(E2538)),D2538-E2538,""),"")</f>
        <v/>
      </c>
    </row>
    <row r="2539">
      <c r="A2539" s="7">
        <f>IFERROR(Datos!A2539,"")</f>
        <v/>
      </c>
      <c r="B2539" s="8">
        <f>IFERROR(Datos!B2539,"")</f>
        <v/>
      </c>
      <c r="C2539" s="8">
        <f>IFERROR(Datos!C2539,"")</f>
        <v/>
      </c>
      <c r="D2539" s="28">
        <f>IFERROR(IF(AND(ISNUMBER(B2539),ISNUMBER(B2538),B2538&lt;&gt;0),B2539/B2538-1,""),"")</f>
        <v/>
      </c>
      <c r="E2539" s="28">
        <f>IFERROR(IF(AND(ISNUMBER(C2539),ISNUMBER(C2538),C2538&lt;&gt;0),C2539/C2538-1,""),"")</f>
        <v/>
      </c>
      <c r="F2539" s="28">
        <f>IFERROR(D2539-Dashboard!$B$4/252,"")</f>
        <v/>
      </c>
      <c r="G2539" s="28">
        <f>IFERROR(E2539-Dashboard!$B$4/252,"")</f>
        <v/>
      </c>
      <c r="H2539" s="8">
        <f>IFERROR(IF(ISNUMBER(B2539),MAX(B2539,IFERROR(H2538,B2539)),""),"")</f>
        <v/>
      </c>
      <c r="I2539" s="29">
        <f>IFERROR(IF(AND(ISNUMBER(B2539),ISNUMBER(H2539)),B2539/H2539-1,""),"")</f>
        <v/>
      </c>
      <c r="J2539" s="8">
        <f>IFERROR(IF(ISNUMBER(C2539),MAX(C2539,IFERROR(J2538,C2539)),""),"")</f>
        <v/>
      </c>
      <c r="K2539" s="29">
        <f>IFERROR(IF(AND(ISNUMBER(C2539),ISNUMBER(J2539)),C2539/J2539-1,""),"")</f>
        <v/>
      </c>
      <c r="L2539" s="28">
        <f>IFERROR(IF(AND(ISNUMBER(D2539),ISNUMBER(E2539)),D2539-E2539,""),"")</f>
        <v/>
      </c>
    </row>
    <row r="2540">
      <c r="A2540" s="7">
        <f>IFERROR(Datos!A2540,"")</f>
        <v/>
      </c>
      <c r="B2540" s="8">
        <f>IFERROR(Datos!B2540,"")</f>
        <v/>
      </c>
      <c r="C2540" s="8">
        <f>IFERROR(Datos!C2540,"")</f>
        <v/>
      </c>
      <c r="D2540" s="28">
        <f>IFERROR(IF(AND(ISNUMBER(B2540),ISNUMBER(B2539),B2539&lt;&gt;0),B2540/B2539-1,""),"")</f>
        <v/>
      </c>
      <c r="E2540" s="28">
        <f>IFERROR(IF(AND(ISNUMBER(C2540),ISNUMBER(C2539),C2539&lt;&gt;0),C2540/C2539-1,""),"")</f>
        <v/>
      </c>
      <c r="F2540" s="28">
        <f>IFERROR(D2540-Dashboard!$B$4/252,"")</f>
        <v/>
      </c>
      <c r="G2540" s="28">
        <f>IFERROR(E2540-Dashboard!$B$4/252,"")</f>
        <v/>
      </c>
      <c r="H2540" s="8">
        <f>IFERROR(IF(ISNUMBER(B2540),MAX(B2540,IFERROR(H2539,B2540)),""),"")</f>
        <v/>
      </c>
      <c r="I2540" s="29">
        <f>IFERROR(IF(AND(ISNUMBER(B2540),ISNUMBER(H2540)),B2540/H2540-1,""),"")</f>
        <v/>
      </c>
      <c r="J2540" s="8">
        <f>IFERROR(IF(ISNUMBER(C2540),MAX(C2540,IFERROR(J2539,C2540)),""),"")</f>
        <v/>
      </c>
      <c r="K2540" s="29">
        <f>IFERROR(IF(AND(ISNUMBER(C2540),ISNUMBER(J2540)),C2540/J2540-1,""),"")</f>
        <v/>
      </c>
      <c r="L2540" s="28">
        <f>IFERROR(IF(AND(ISNUMBER(D2540),ISNUMBER(E2540)),D2540-E2540,""),"")</f>
        <v/>
      </c>
    </row>
    <row r="2541">
      <c r="A2541" s="7">
        <f>IFERROR(Datos!A2541,"")</f>
        <v/>
      </c>
      <c r="B2541" s="8">
        <f>IFERROR(Datos!B2541,"")</f>
        <v/>
      </c>
      <c r="C2541" s="8">
        <f>IFERROR(Datos!C2541,"")</f>
        <v/>
      </c>
      <c r="D2541" s="28">
        <f>IFERROR(IF(AND(ISNUMBER(B2541),ISNUMBER(B2540),B2540&lt;&gt;0),B2541/B2540-1,""),"")</f>
        <v/>
      </c>
      <c r="E2541" s="28">
        <f>IFERROR(IF(AND(ISNUMBER(C2541),ISNUMBER(C2540),C2540&lt;&gt;0),C2541/C2540-1,""),"")</f>
        <v/>
      </c>
      <c r="F2541" s="28">
        <f>IFERROR(D2541-Dashboard!$B$4/252,"")</f>
        <v/>
      </c>
      <c r="G2541" s="28">
        <f>IFERROR(E2541-Dashboard!$B$4/252,"")</f>
        <v/>
      </c>
      <c r="H2541" s="8">
        <f>IFERROR(IF(ISNUMBER(B2541),MAX(B2541,IFERROR(H2540,B2541)),""),"")</f>
        <v/>
      </c>
      <c r="I2541" s="29">
        <f>IFERROR(IF(AND(ISNUMBER(B2541),ISNUMBER(H2541)),B2541/H2541-1,""),"")</f>
        <v/>
      </c>
      <c r="J2541" s="8">
        <f>IFERROR(IF(ISNUMBER(C2541),MAX(C2541,IFERROR(J2540,C2541)),""),"")</f>
        <v/>
      </c>
      <c r="K2541" s="29">
        <f>IFERROR(IF(AND(ISNUMBER(C2541),ISNUMBER(J2541)),C2541/J2541-1,""),"")</f>
        <v/>
      </c>
      <c r="L2541" s="28">
        <f>IFERROR(IF(AND(ISNUMBER(D2541),ISNUMBER(E2541)),D2541-E2541,""),"")</f>
        <v/>
      </c>
    </row>
    <row r="2542">
      <c r="A2542" s="7">
        <f>IFERROR(Datos!A2542,"")</f>
        <v/>
      </c>
      <c r="B2542" s="8">
        <f>IFERROR(Datos!B2542,"")</f>
        <v/>
      </c>
      <c r="C2542" s="8">
        <f>IFERROR(Datos!C2542,"")</f>
        <v/>
      </c>
      <c r="D2542" s="28">
        <f>IFERROR(IF(AND(ISNUMBER(B2542),ISNUMBER(B2541),B2541&lt;&gt;0),B2542/B2541-1,""),"")</f>
        <v/>
      </c>
      <c r="E2542" s="28">
        <f>IFERROR(IF(AND(ISNUMBER(C2542),ISNUMBER(C2541),C2541&lt;&gt;0),C2542/C2541-1,""),"")</f>
        <v/>
      </c>
      <c r="F2542" s="28">
        <f>IFERROR(D2542-Dashboard!$B$4/252,"")</f>
        <v/>
      </c>
      <c r="G2542" s="28">
        <f>IFERROR(E2542-Dashboard!$B$4/252,"")</f>
        <v/>
      </c>
      <c r="H2542" s="8">
        <f>IFERROR(IF(ISNUMBER(B2542),MAX(B2542,IFERROR(H2541,B2542)),""),"")</f>
        <v/>
      </c>
      <c r="I2542" s="29">
        <f>IFERROR(IF(AND(ISNUMBER(B2542),ISNUMBER(H2542)),B2542/H2542-1,""),"")</f>
        <v/>
      </c>
      <c r="J2542" s="8">
        <f>IFERROR(IF(ISNUMBER(C2542),MAX(C2542,IFERROR(J2541,C2542)),""),"")</f>
        <v/>
      </c>
      <c r="K2542" s="29">
        <f>IFERROR(IF(AND(ISNUMBER(C2542),ISNUMBER(J2542)),C2542/J2542-1,""),"")</f>
        <v/>
      </c>
      <c r="L2542" s="28">
        <f>IFERROR(IF(AND(ISNUMBER(D2542),ISNUMBER(E2542)),D2542-E2542,""),"")</f>
        <v/>
      </c>
    </row>
    <row r="2543">
      <c r="A2543" s="7">
        <f>IFERROR(Datos!A2543,"")</f>
        <v/>
      </c>
      <c r="B2543" s="8">
        <f>IFERROR(Datos!B2543,"")</f>
        <v/>
      </c>
      <c r="C2543" s="8">
        <f>IFERROR(Datos!C2543,"")</f>
        <v/>
      </c>
      <c r="D2543" s="28">
        <f>IFERROR(IF(AND(ISNUMBER(B2543),ISNUMBER(B2542),B2542&lt;&gt;0),B2543/B2542-1,""),"")</f>
        <v/>
      </c>
      <c r="E2543" s="28">
        <f>IFERROR(IF(AND(ISNUMBER(C2543),ISNUMBER(C2542),C2542&lt;&gt;0),C2543/C2542-1,""),"")</f>
        <v/>
      </c>
      <c r="F2543" s="28">
        <f>IFERROR(D2543-Dashboard!$B$4/252,"")</f>
        <v/>
      </c>
      <c r="G2543" s="28">
        <f>IFERROR(E2543-Dashboard!$B$4/252,"")</f>
        <v/>
      </c>
      <c r="H2543" s="8">
        <f>IFERROR(IF(ISNUMBER(B2543),MAX(B2543,IFERROR(H2542,B2543)),""),"")</f>
        <v/>
      </c>
      <c r="I2543" s="29">
        <f>IFERROR(IF(AND(ISNUMBER(B2543),ISNUMBER(H2543)),B2543/H2543-1,""),"")</f>
        <v/>
      </c>
      <c r="J2543" s="8">
        <f>IFERROR(IF(ISNUMBER(C2543),MAX(C2543,IFERROR(J2542,C2543)),""),"")</f>
        <v/>
      </c>
      <c r="K2543" s="29">
        <f>IFERROR(IF(AND(ISNUMBER(C2543),ISNUMBER(J2543)),C2543/J2543-1,""),"")</f>
        <v/>
      </c>
      <c r="L2543" s="28">
        <f>IFERROR(IF(AND(ISNUMBER(D2543),ISNUMBER(E2543)),D2543-E2543,""),"")</f>
        <v/>
      </c>
    </row>
    <row r="2544">
      <c r="A2544" s="7">
        <f>IFERROR(Datos!A2544,"")</f>
        <v/>
      </c>
      <c r="B2544" s="8">
        <f>IFERROR(Datos!B2544,"")</f>
        <v/>
      </c>
      <c r="C2544" s="8">
        <f>IFERROR(Datos!C2544,"")</f>
        <v/>
      </c>
      <c r="D2544" s="28">
        <f>IFERROR(IF(AND(ISNUMBER(B2544),ISNUMBER(B2543),B2543&lt;&gt;0),B2544/B2543-1,""),"")</f>
        <v/>
      </c>
      <c r="E2544" s="28">
        <f>IFERROR(IF(AND(ISNUMBER(C2544),ISNUMBER(C2543),C2543&lt;&gt;0),C2544/C2543-1,""),"")</f>
        <v/>
      </c>
      <c r="F2544" s="28">
        <f>IFERROR(D2544-Dashboard!$B$4/252,"")</f>
        <v/>
      </c>
      <c r="G2544" s="28">
        <f>IFERROR(E2544-Dashboard!$B$4/252,"")</f>
        <v/>
      </c>
      <c r="H2544" s="8">
        <f>IFERROR(IF(ISNUMBER(B2544),MAX(B2544,IFERROR(H2543,B2544)),""),"")</f>
        <v/>
      </c>
      <c r="I2544" s="29">
        <f>IFERROR(IF(AND(ISNUMBER(B2544),ISNUMBER(H2544)),B2544/H2544-1,""),"")</f>
        <v/>
      </c>
      <c r="J2544" s="8">
        <f>IFERROR(IF(ISNUMBER(C2544),MAX(C2544,IFERROR(J2543,C2544)),""),"")</f>
        <v/>
      </c>
      <c r="K2544" s="29">
        <f>IFERROR(IF(AND(ISNUMBER(C2544),ISNUMBER(J2544)),C2544/J2544-1,""),"")</f>
        <v/>
      </c>
      <c r="L2544" s="28">
        <f>IFERROR(IF(AND(ISNUMBER(D2544),ISNUMBER(E2544)),D2544-E2544,""),"")</f>
        <v/>
      </c>
    </row>
    <row r="2545">
      <c r="A2545" s="7">
        <f>IFERROR(Datos!A2545,"")</f>
        <v/>
      </c>
      <c r="B2545" s="8">
        <f>IFERROR(Datos!B2545,"")</f>
        <v/>
      </c>
      <c r="C2545" s="8">
        <f>IFERROR(Datos!C2545,"")</f>
        <v/>
      </c>
      <c r="D2545" s="28">
        <f>IFERROR(IF(AND(ISNUMBER(B2545),ISNUMBER(B2544),B2544&lt;&gt;0),B2545/B2544-1,""),"")</f>
        <v/>
      </c>
      <c r="E2545" s="28">
        <f>IFERROR(IF(AND(ISNUMBER(C2545),ISNUMBER(C2544),C2544&lt;&gt;0),C2545/C2544-1,""),"")</f>
        <v/>
      </c>
      <c r="F2545" s="28">
        <f>IFERROR(D2545-Dashboard!$B$4/252,"")</f>
        <v/>
      </c>
      <c r="G2545" s="28">
        <f>IFERROR(E2545-Dashboard!$B$4/252,"")</f>
        <v/>
      </c>
      <c r="H2545" s="8">
        <f>IFERROR(IF(ISNUMBER(B2545),MAX(B2545,IFERROR(H2544,B2545)),""),"")</f>
        <v/>
      </c>
      <c r="I2545" s="29">
        <f>IFERROR(IF(AND(ISNUMBER(B2545),ISNUMBER(H2545)),B2545/H2545-1,""),"")</f>
        <v/>
      </c>
      <c r="J2545" s="8">
        <f>IFERROR(IF(ISNUMBER(C2545),MAX(C2545,IFERROR(J2544,C2545)),""),"")</f>
        <v/>
      </c>
      <c r="K2545" s="29">
        <f>IFERROR(IF(AND(ISNUMBER(C2545),ISNUMBER(J2545)),C2545/J2545-1,""),"")</f>
        <v/>
      </c>
      <c r="L2545" s="28">
        <f>IFERROR(IF(AND(ISNUMBER(D2545),ISNUMBER(E2545)),D2545-E2545,""),"")</f>
        <v/>
      </c>
    </row>
    <row r="2546">
      <c r="A2546" s="7">
        <f>IFERROR(Datos!A2546,"")</f>
        <v/>
      </c>
      <c r="B2546" s="8">
        <f>IFERROR(Datos!B2546,"")</f>
        <v/>
      </c>
      <c r="C2546" s="8">
        <f>IFERROR(Datos!C2546,"")</f>
        <v/>
      </c>
      <c r="D2546" s="28">
        <f>IFERROR(IF(AND(ISNUMBER(B2546),ISNUMBER(B2545),B2545&lt;&gt;0),B2546/B2545-1,""),"")</f>
        <v/>
      </c>
      <c r="E2546" s="28">
        <f>IFERROR(IF(AND(ISNUMBER(C2546),ISNUMBER(C2545),C2545&lt;&gt;0),C2546/C2545-1,""),"")</f>
        <v/>
      </c>
      <c r="F2546" s="28">
        <f>IFERROR(D2546-Dashboard!$B$4/252,"")</f>
        <v/>
      </c>
      <c r="G2546" s="28">
        <f>IFERROR(E2546-Dashboard!$B$4/252,"")</f>
        <v/>
      </c>
      <c r="H2546" s="8">
        <f>IFERROR(IF(ISNUMBER(B2546),MAX(B2546,IFERROR(H2545,B2546)),""),"")</f>
        <v/>
      </c>
      <c r="I2546" s="29">
        <f>IFERROR(IF(AND(ISNUMBER(B2546),ISNUMBER(H2546)),B2546/H2546-1,""),"")</f>
        <v/>
      </c>
      <c r="J2546" s="8">
        <f>IFERROR(IF(ISNUMBER(C2546),MAX(C2546,IFERROR(J2545,C2546)),""),"")</f>
        <v/>
      </c>
      <c r="K2546" s="29">
        <f>IFERROR(IF(AND(ISNUMBER(C2546),ISNUMBER(J2546)),C2546/J2546-1,""),"")</f>
        <v/>
      </c>
      <c r="L2546" s="28">
        <f>IFERROR(IF(AND(ISNUMBER(D2546),ISNUMBER(E2546)),D2546-E2546,""),"")</f>
        <v/>
      </c>
    </row>
    <row r="2547">
      <c r="A2547" s="7">
        <f>IFERROR(Datos!A2547,"")</f>
        <v/>
      </c>
      <c r="B2547" s="8">
        <f>IFERROR(Datos!B2547,"")</f>
        <v/>
      </c>
      <c r="C2547" s="8">
        <f>IFERROR(Datos!C2547,"")</f>
        <v/>
      </c>
      <c r="D2547" s="28">
        <f>IFERROR(IF(AND(ISNUMBER(B2547),ISNUMBER(B2546),B2546&lt;&gt;0),B2547/B2546-1,""),"")</f>
        <v/>
      </c>
      <c r="E2547" s="28">
        <f>IFERROR(IF(AND(ISNUMBER(C2547),ISNUMBER(C2546),C2546&lt;&gt;0),C2547/C2546-1,""),"")</f>
        <v/>
      </c>
      <c r="F2547" s="28">
        <f>IFERROR(D2547-Dashboard!$B$4/252,"")</f>
        <v/>
      </c>
      <c r="G2547" s="28">
        <f>IFERROR(E2547-Dashboard!$B$4/252,"")</f>
        <v/>
      </c>
      <c r="H2547" s="8">
        <f>IFERROR(IF(ISNUMBER(B2547),MAX(B2547,IFERROR(H2546,B2547)),""),"")</f>
        <v/>
      </c>
      <c r="I2547" s="29">
        <f>IFERROR(IF(AND(ISNUMBER(B2547),ISNUMBER(H2547)),B2547/H2547-1,""),"")</f>
        <v/>
      </c>
      <c r="J2547" s="8">
        <f>IFERROR(IF(ISNUMBER(C2547),MAX(C2547,IFERROR(J2546,C2547)),""),"")</f>
        <v/>
      </c>
      <c r="K2547" s="29">
        <f>IFERROR(IF(AND(ISNUMBER(C2547),ISNUMBER(J2547)),C2547/J2547-1,""),"")</f>
        <v/>
      </c>
      <c r="L2547" s="28">
        <f>IFERROR(IF(AND(ISNUMBER(D2547),ISNUMBER(E2547)),D2547-E2547,""),"")</f>
        <v/>
      </c>
    </row>
    <row r="2548">
      <c r="A2548" s="7">
        <f>IFERROR(Datos!A2548,"")</f>
        <v/>
      </c>
      <c r="B2548" s="8">
        <f>IFERROR(Datos!B2548,"")</f>
        <v/>
      </c>
      <c r="C2548" s="8">
        <f>IFERROR(Datos!C2548,"")</f>
        <v/>
      </c>
      <c r="D2548" s="28">
        <f>IFERROR(IF(AND(ISNUMBER(B2548),ISNUMBER(B2547),B2547&lt;&gt;0),B2548/B2547-1,""),"")</f>
        <v/>
      </c>
      <c r="E2548" s="28">
        <f>IFERROR(IF(AND(ISNUMBER(C2548),ISNUMBER(C2547),C2547&lt;&gt;0),C2548/C2547-1,""),"")</f>
        <v/>
      </c>
      <c r="F2548" s="28">
        <f>IFERROR(D2548-Dashboard!$B$4/252,"")</f>
        <v/>
      </c>
      <c r="G2548" s="28">
        <f>IFERROR(E2548-Dashboard!$B$4/252,"")</f>
        <v/>
      </c>
      <c r="H2548" s="8">
        <f>IFERROR(IF(ISNUMBER(B2548),MAX(B2548,IFERROR(H2547,B2548)),""),"")</f>
        <v/>
      </c>
      <c r="I2548" s="29">
        <f>IFERROR(IF(AND(ISNUMBER(B2548),ISNUMBER(H2548)),B2548/H2548-1,""),"")</f>
        <v/>
      </c>
      <c r="J2548" s="8">
        <f>IFERROR(IF(ISNUMBER(C2548),MAX(C2548,IFERROR(J2547,C2548)),""),"")</f>
        <v/>
      </c>
      <c r="K2548" s="29">
        <f>IFERROR(IF(AND(ISNUMBER(C2548),ISNUMBER(J2548)),C2548/J2548-1,""),"")</f>
        <v/>
      </c>
      <c r="L2548" s="28">
        <f>IFERROR(IF(AND(ISNUMBER(D2548),ISNUMBER(E2548)),D2548-E2548,""),"")</f>
        <v/>
      </c>
    </row>
    <row r="2549">
      <c r="A2549" s="7">
        <f>IFERROR(Datos!A2549,"")</f>
        <v/>
      </c>
      <c r="B2549" s="8">
        <f>IFERROR(Datos!B2549,"")</f>
        <v/>
      </c>
      <c r="C2549" s="8">
        <f>IFERROR(Datos!C2549,"")</f>
        <v/>
      </c>
      <c r="D2549" s="28">
        <f>IFERROR(IF(AND(ISNUMBER(B2549),ISNUMBER(B2548),B2548&lt;&gt;0),B2549/B2548-1,""),"")</f>
        <v/>
      </c>
      <c r="E2549" s="28">
        <f>IFERROR(IF(AND(ISNUMBER(C2549),ISNUMBER(C2548),C2548&lt;&gt;0),C2549/C2548-1,""),"")</f>
        <v/>
      </c>
      <c r="F2549" s="28">
        <f>IFERROR(D2549-Dashboard!$B$4/252,"")</f>
        <v/>
      </c>
      <c r="G2549" s="28">
        <f>IFERROR(E2549-Dashboard!$B$4/252,"")</f>
        <v/>
      </c>
      <c r="H2549" s="8">
        <f>IFERROR(IF(ISNUMBER(B2549),MAX(B2549,IFERROR(H2548,B2549)),""),"")</f>
        <v/>
      </c>
      <c r="I2549" s="29">
        <f>IFERROR(IF(AND(ISNUMBER(B2549),ISNUMBER(H2549)),B2549/H2549-1,""),"")</f>
        <v/>
      </c>
      <c r="J2549" s="8">
        <f>IFERROR(IF(ISNUMBER(C2549),MAX(C2549,IFERROR(J2548,C2549)),""),"")</f>
        <v/>
      </c>
      <c r="K2549" s="29">
        <f>IFERROR(IF(AND(ISNUMBER(C2549),ISNUMBER(J2549)),C2549/J2549-1,""),"")</f>
        <v/>
      </c>
      <c r="L2549" s="28">
        <f>IFERROR(IF(AND(ISNUMBER(D2549),ISNUMBER(E2549)),D2549-E2549,""),"")</f>
        <v/>
      </c>
    </row>
    <row r="2550">
      <c r="A2550" s="7">
        <f>IFERROR(Datos!A2550,"")</f>
        <v/>
      </c>
      <c r="B2550" s="8">
        <f>IFERROR(Datos!B2550,"")</f>
        <v/>
      </c>
      <c r="C2550" s="8">
        <f>IFERROR(Datos!C2550,"")</f>
        <v/>
      </c>
      <c r="D2550" s="28">
        <f>IFERROR(IF(AND(ISNUMBER(B2550),ISNUMBER(B2549),B2549&lt;&gt;0),B2550/B2549-1,""),"")</f>
        <v/>
      </c>
      <c r="E2550" s="28">
        <f>IFERROR(IF(AND(ISNUMBER(C2550),ISNUMBER(C2549),C2549&lt;&gt;0),C2550/C2549-1,""),"")</f>
        <v/>
      </c>
      <c r="F2550" s="28">
        <f>IFERROR(D2550-Dashboard!$B$4/252,"")</f>
        <v/>
      </c>
      <c r="G2550" s="28">
        <f>IFERROR(E2550-Dashboard!$B$4/252,"")</f>
        <v/>
      </c>
      <c r="H2550" s="8">
        <f>IFERROR(IF(ISNUMBER(B2550),MAX(B2550,IFERROR(H2549,B2550)),""),"")</f>
        <v/>
      </c>
      <c r="I2550" s="29">
        <f>IFERROR(IF(AND(ISNUMBER(B2550),ISNUMBER(H2550)),B2550/H2550-1,""),"")</f>
        <v/>
      </c>
      <c r="J2550" s="8">
        <f>IFERROR(IF(ISNUMBER(C2550),MAX(C2550,IFERROR(J2549,C2550)),""),"")</f>
        <v/>
      </c>
      <c r="K2550" s="29">
        <f>IFERROR(IF(AND(ISNUMBER(C2550),ISNUMBER(J2550)),C2550/J2550-1,""),"")</f>
        <v/>
      </c>
      <c r="L2550" s="28">
        <f>IFERROR(IF(AND(ISNUMBER(D2550),ISNUMBER(E2550)),D2550-E2550,""),"")</f>
        <v/>
      </c>
    </row>
    <row r="2551">
      <c r="A2551" s="7">
        <f>IFERROR(Datos!A2551,"")</f>
        <v/>
      </c>
      <c r="B2551" s="8">
        <f>IFERROR(Datos!B2551,"")</f>
        <v/>
      </c>
      <c r="C2551" s="8">
        <f>IFERROR(Datos!C2551,"")</f>
        <v/>
      </c>
      <c r="D2551" s="28">
        <f>IFERROR(IF(AND(ISNUMBER(B2551),ISNUMBER(B2550),B2550&lt;&gt;0),B2551/B2550-1,""),"")</f>
        <v/>
      </c>
      <c r="E2551" s="28">
        <f>IFERROR(IF(AND(ISNUMBER(C2551),ISNUMBER(C2550),C2550&lt;&gt;0),C2551/C2550-1,""),"")</f>
        <v/>
      </c>
      <c r="F2551" s="28">
        <f>IFERROR(D2551-Dashboard!$B$4/252,"")</f>
        <v/>
      </c>
      <c r="G2551" s="28">
        <f>IFERROR(E2551-Dashboard!$B$4/252,"")</f>
        <v/>
      </c>
      <c r="H2551" s="8">
        <f>IFERROR(IF(ISNUMBER(B2551),MAX(B2551,IFERROR(H2550,B2551)),""),"")</f>
        <v/>
      </c>
      <c r="I2551" s="29">
        <f>IFERROR(IF(AND(ISNUMBER(B2551),ISNUMBER(H2551)),B2551/H2551-1,""),"")</f>
        <v/>
      </c>
      <c r="J2551" s="8">
        <f>IFERROR(IF(ISNUMBER(C2551),MAX(C2551,IFERROR(J2550,C2551)),""),"")</f>
        <v/>
      </c>
      <c r="K2551" s="29">
        <f>IFERROR(IF(AND(ISNUMBER(C2551),ISNUMBER(J2551)),C2551/J2551-1,""),"")</f>
        <v/>
      </c>
      <c r="L2551" s="28">
        <f>IFERROR(IF(AND(ISNUMBER(D2551),ISNUMBER(E2551)),D2551-E2551,""),"")</f>
        <v/>
      </c>
    </row>
    <row r="2552">
      <c r="A2552" s="7">
        <f>IFERROR(Datos!A2552,"")</f>
        <v/>
      </c>
      <c r="B2552" s="8">
        <f>IFERROR(Datos!B2552,"")</f>
        <v/>
      </c>
      <c r="C2552" s="8">
        <f>IFERROR(Datos!C2552,"")</f>
        <v/>
      </c>
      <c r="D2552" s="28">
        <f>IFERROR(IF(AND(ISNUMBER(B2552),ISNUMBER(B2551),B2551&lt;&gt;0),B2552/B2551-1,""),"")</f>
        <v/>
      </c>
      <c r="E2552" s="28">
        <f>IFERROR(IF(AND(ISNUMBER(C2552),ISNUMBER(C2551),C2551&lt;&gt;0),C2552/C2551-1,""),"")</f>
        <v/>
      </c>
      <c r="F2552" s="28">
        <f>IFERROR(D2552-Dashboard!$B$4/252,"")</f>
        <v/>
      </c>
      <c r="G2552" s="28">
        <f>IFERROR(E2552-Dashboard!$B$4/252,"")</f>
        <v/>
      </c>
      <c r="H2552" s="8">
        <f>IFERROR(IF(ISNUMBER(B2552),MAX(B2552,IFERROR(H2551,B2552)),""),"")</f>
        <v/>
      </c>
      <c r="I2552" s="29">
        <f>IFERROR(IF(AND(ISNUMBER(B2552),ISNUMBER(H2552)),B2552/H2552-1,""),"")</f>
        <v/>
      </c>
      <c r="J2552" s="8">
        <f>IFERROR(IF(ISNUMBER(C2552),MAX(C2552,IFERROR(J2551,C2552)),""),"")</f>
        <v/>
      </c>
      <c r="K2552" s="29">
        <f>IFERROR(IF(AND(ISNUMBER(C2552),ISNUMBER(J2552)),C2552/J2552-1,""),"")</f>
        <v/>
      </c>
      <c r="L2552" s="28">
        <f>IFERROR(IF(AND(ISNUMBER(D2552),ISNUMBER(E2552)),D2552-E2552,""),"")</f>
        <v/>
      </c>
    </row>
    <row r="2553">
      <c r="A2553" s="7">
        <f>IFERROR(Datos!A2553,"")</f>
        <v/>
      </c>
      <c r="B2553" s="8">
        <f>IFERROR(Datos!B2553,"")</f>
        <v/>
      </c>
      <c r="C2553" s="8">
        <f>IFERROR(Datos!C2553,"")</f>
        <v/>
      </c>
      <c r="D2553" s="28">
        <f>IFERROR(IF(AND(ISNUMBER(B2553),ISNUMBER(B2552),B2552&lt;&gt;0),B2553/B2552-1,""),"")</f>
        <v/>
      </c>
      <c r="E2553" s="28">
        <f>IFERROR(IF(AND(ISNUMBER(C2553),ISNUMBER(C2552),C2552&lt;&gt;0),C2553/C2552-1,""),"")</f>
        <v/>
      </c>
      <c r="F2553" s="28">
        <f>IFERROR(D2553-Dashboard!$B$4/252,"")</f>
        <v/>
      </c>
      <c r="G2553" s="28">
        <f>IFERROR(E2553-Dashboard!$B$4/252,"")</f>
        <v/>
      </c>
      <c r="H2553" s="8">
        <f>IFERROR(IF(ISNUMBER(B2553),MAX(B2553,IFERROR(H2552,B2553)),""),"")</f>
        <v/>
      </c>
      <c r="I2553" s="29">
        <f>IFERROR(IF(AND(ISNUMBER(B2553),ISNUMBER(H2553)),B2553/H2553-1,""),"")</f>
        <v/>
      </c>
      <c r="J2553" s="8">
        <f>IFERROR(IF(ISNUMBER(C2553),MAX(C2553,IFERROR(J2552,C2553)),""),"")</f>
        <v/>
      </c>
      <c r="K2553" s="29">
        <f>IFERROR(IF(AND(ISNUMBER(C2553),ISNUMBER(J2553)),C2553/J2553-1,""),"")</f>
        <v/>
      </c>
      <c r="L2553" s="28">
        <f>IFERROR(IF(AND(ISNUMBER(D2553),ISNUMBER(E2553)),D2553-E2553,""),"")</f>
        <v/>
      </c>
    </row>
    <row r="2554">
      <c r="A2554" s="7">
        <f>IFERROR(Datos!A2554,"")</f>
        <v/>
      </c>
      <c r="B2554" s="8">
        <f>IFERROR(Datos!B2554,"")</f>
        <v/>
      </c>
      <c r="C2554" s="8">
        <f>IFERROR(Datos!C2554,"")</f>
        <v/>
      </c>
      <c r="D2554" s="28">
        <f>IFERROR(IF(AND(ISNUMBER(B2554),ISNUMBER(B2553),B2553&lt;&gt;0),B2554/B2553-1,""),"")</f>
        <v/>
      </c>
      <c r="E2554" s="28">
        <f>IFERROR(IF(AND(ISNUMBER(C2554),ISNUMBER(C2553),C2553&lt;&gt;0),C2554/C2553-1,""),"")</f>
        <v/>
      </c>
      <c r="F2554" s="28">
        <f>IFERROR(D2554-Dashboard!$B$4/252,"")</f>
        <v/>
      </c>
      <c r="G2554" s="28">
        <f>IFERROR(E2554-Dashboard!$B$4/252,"")</f>
        <v/>
      </c>
      <c r="H2554" s="8">
        <f>IFERROR(IF(ISNUMBER(B2554),MAX(B2554,IFERROR(H2553,B2554)),""),"")</f>
        <v/>
      </c>
      <c r="I2554" s="29">
        <f>IFERROR(IF(AND(ISNUMBER(B2554),ISNUMBER(H2554)),B2554/H2554-1,""),"")</f>
        <v/>
      </c>
      <c r="J2554" s="8">
        <f>IFERROR(IF(ISNUMBER(C2554),MAX(C2554,IFERROR(J2553,C2554)),""),"")</f>
        <v/>
      </c>
      <c r="K2554" s="29">
        <f>IFERROR(IF(AND(ISNUMBER(C2554),ISNUMBER(J2554)),C2554/J2554-1,""),"")</f>
        <v/>
      </c>
      <c r="L2554" s="28">
        <f>IFERROR(IF(AND(ISNUMBER(D2554),ISNUMBER(E2554)),D2554-E2554,""),"")</f>
        <v/>
      </c>
    </row>
    <row r="2555">
      <c r="A2555" s="7">
        <f>IFERROR(Datos!A2555,"")</f>
        <v/>
      </c>
      <c r="B2555" s="8">
        <f>IFERROR(Datos!B2555,"")</f>
        <v/>
      </c>
      <c r="C2555" s="8">
        <f>IFERROR(Datos!C2555,"")</f>
        <v/>
      </c>
      <c r="D2555" s="28">
        <f>IFERROR(IF(AND(ISNUMBER(B2555),ISNUMBER(B2554),B2554&lt;&gt;0),B2555/B2554-1,""),"")</f>
        <v/>
      </c>
      <c r="E2555" s="28">
        <f>IFERROR(IF(AND(ISNUMBER(C2555),ISNUMBER(C2554),C2554&lt;&gt;0),C2555/C2554-1,""),"")</f>
        <v/>
      </c>
      <c r="F2555" s="28">
        <f>IFERROR(D2555-Dashboard!$B$4/252,"")</f>
        <v/>
      </c>
      <c r="G2555" s="28">
        <f>IFERROR(E2555-Dashboard!$B$4/252,"")</f>
        <v/>
      </c>
      <c r="H2555" s="8">
        <f>IFERROR(IF(ISNUMBER(B2555),MAX(B2555,IFERROR(H2554,B2555)),""),"")</f>
        <v/>
      </c>
      <c r="I2555" s="29">
        <f>IFERROR(IF(AND(ISNUMBER(B2555),ISNUMBER(H2555)),B2555/H2555-1,""),"")</f>
        <v/>
      </c>
      <c r="J2555" s="8">
        <f>IFERROR(IF(ISNUMBER(C2555),MAX(C2555,IFERROR(J2554,C2555)),""),"")</f>
        <v/>
      </c>
      <c r="K2555" s="29">
        <f>IFERROR(IF(AND(ISNUMBER(C2555),ISNUMBER(J2555)),C2555/J2555-1,""),"")</f>
        <v/>
      </c>
      <c r="L2555" s="28">
        <f>IFERROR(IF(AND(ISNUMBER(D2555),ISNUMBER(E2555)),D2555-E2555,""),"")</f>
        <v/>
      </c>
    </row>
    <row r="2556">
      <c r="A2556" s="7">
        <f>IFERROR(Datos!A2556,"")</f>
        <v/>
      </c>
      <c r="B2556" s="8">
        <f>IFERROR(Datos!B2556,"")</f>
        <v/>
      </c>
      <c r="C2556" s="8">
        <f>IFERROR(Datos!C2556,"")</f>
        <v/>
      </c>
      <c r="D2556" s="28">
        <f>IFERROR(IF(AND(ISNUMBER(B2556),ISNUMBER(B2555),B2555&lt;&gt;0),B2556/B2555-1,""),"")</f>
        <v/>
      </c>
      <c r="E2556" s="28">
        <f>IFERROR(IF(AND(ISNUMBER(C2556),ISNUMBER(C2555),C2555&lt;&gt;0),C2556/C2555-1,""),"")</f>
        <v/>
      </c>
      <c r="F2556" s="28">
        <f>IFERROR(D2556-Dashboard!$B$4/252,"")</f>
        <v/>
      </c>
      <c r="G2556" s="28">
        <f>IFERROR(E2556-Dashboard!$B$4/252,"")</f>
        <v/>
      </c>
      <c r="H2556" s="8">
        <f>IFERROR(IF(ISNUMBER(B2556),MAX(B2556,IFERROR(H2555,B2556)),""),"")</f>
        <v/>
      </c>
      <c r="I2556" s="29">
        <f>IFERROR(IF(AND(ISNUMBER(B2556),ISNUMBER(H2556)),B2556/H2556-1,""),"")</f>
        <v/>
      </c>
      <c r="J2556" s="8">
        <f>IFERROR(IF(ISNUMBER(C2556),MAX(C2556,IFERROR(J2555,C2556)),""),"")</f>
        <v/>
      </c>
      <c r="K2556" s="29">
        <f>IFERROR(IF(AND(ISNUMBER(C2556),ISNUMBER(J2556)),C2556/J2556-1,""),"")</f>
        <v/>
      </c>
      <c r="L2556" s="28">
        <f>IFERROR(IF(AND(ISNUMBER(D2556),ISNUMBER(E2556)),D2556-E2556,""),"")</f>
        <v/>
      </c>
    </row>
    <row r="2557">
      <c r="A2557" s="7">
        <f>IFERROR(Datos!A2557,"")</f>
        <v/>
      </c>
      <c r="B2557" s="8">
        <f>IFERROR(Datos!B2557,"")</f>
        <v/>
      </c>
      <c r="C2557" s="8">
        <f>IFERROR(Datos!C2557,"")</f>
        <v/>
      </c>
      <c r="D2557" s="28">
        <f>IFERROR(IF(AND(ISNUMBER(B2557),ISNUMBER(B2556),B2556&lt;&gt;0),B2557/B2556-1,""),"")</f>
        <v/>
      </c>
      <c r="E2557" s="28">
        <f>IFERROR(IF(AND(ISNUMBER(C2557),ISNUMBER(C2556),C2556&lt;&gt;0),C2557/C2556-1,""),"")</f>
        <v/>
      </c>
      <c r="F2557" s="28">
        <f>IFERROR(D2557-Dashboard!$B$4/252,"")</f>
        <v/>
      </c>
      <c r="G2557" s="28">
        <f>IFERROR(E2557-Dashboard!$B$4/252,"")</f>
        <v/>
      </c>
      <c r="H2557" s="8">
        <f>IFERROR(IF(ISNUMBER(B2557),MAX(B2557,IFERROR(H2556,B2557)),""),"")</f>
        <v/>
      </c>
      <c r="I2557" s="29">
        <f>IFERROR(IF(AND(ISNUMBER(B2557),ISNUMBER(H2557)),B2557/H2557-1,""),"")</f>
        <v/>
      </c>
      <c r="J2557" s="8">
        <f>IFERROR(IF(ISNUMBER(C2557),MAX(C2557,IFERROR(J2556,C2557)),""),"")</f>
        <v/>
      </c>
      <c r="K2557" s="29">
        <f>IFERROR(IF(AND(ISNUMBER(C2557),ISNUMBER(J2557)),C2557/J2557-1,""),"")</f>
        <v/>
      </c>
      <c r="L2557" s="28">
        <f>IFERROR(IF(AND(ISNUMBER(D2557),ISNUMBER(E2557)),D2557-E2557,""),"")</f>
        <v/>
      </c>
    </row>
    <row r="2558">
      <c r="A2558" s="7">
        <f>IFERROR(Datos!A2558,"")</f>
        <v/>
      </c>
      <c r="B2558" s="8">
        <f>IFERROR(Datos!B2558,"")</f>
        <v/>
      </c>
      <c r="C2558" s="8">
        <f>IFERROR(Datos!C2558,"")</f>
        <v/>
      </c>
      <c r="D2558" s="28">
        <f>IFERROR(IF(AND(ISNUMBER(B2558),ISNUMBER(B2557),B2557&lt;&gt;0),B2558/B2557-1,""),"")</f>
        <v/>
      </c>
      <c r="E2558" s="28">
        <f>IFERROR(IF(AND(ISNUMBER(C2558),ISNUMBER(C2557),C2557&lt;&gt;0),C2558/C2557-1,""),"")</f>
        <v/>
      </c>
      <c r="F2558" s="28">
        <f>IFERROR(D2558-Dashboard!$B$4/252,"")</f>
        <v/>
      </c>
      <c r="G2558" s="28">
        <f>IFERROR(E2558-Dashboard!$B$4/252,"")</f>
        <v/>
      </c>
      <c r="H2558" s="8">
        <f>IFERROR(IF(ISNUMBER(B2558),MAX(B2558,IFERROR(H2557,B2558)),""),"")</f>
        <v/>
      </c>
      <c r="I2558" s="29">
        <f>IFERROR(IF(AND(ISNUMBER(B2558),ISNUMBER(H2558)),B2558/H2558-1,""),"")</f>
        <v/>
      </c>
      <c r="J2558" s="8">
        <f>IFERROR(IF(ISNUMBER(C2558),MAX(C2558,IFERROR(J2557,C2558)),""),"")</f>
        <v/>
      </c>
      <c r="K2558" s="29">
        <f>IFERROR(IF(AND(ISNUMBER(C2558),ISNUMBER(J2558)),C2558/J2558-1,""),"")</f>
        <v/>
      </c>
      <c r="L2558" s="28">
        <f>IFERROR(IF(AND(ISNUMBER(D2558),ISNUMBER(E2558)),D2558-E2558,""),"")</f>
        <v/>
      </c>
    </row>
    <row r="2559">
      <c r="A2559" s="7">
        <f>IFERROR(Datos!A2559,"")</f>
        <v/>
      </c>
      <c r="B2559" s="8">
        <f>IFERROR(Datos!B2559,"")</f>
        <v/>
      </c>
      <c r="C2559" s="8">
        <f>IFERROR(Datos!C2559,"")</f>
        <v/>
      </c>
      <c r="D2559" s="28">
        <f>IFERROR(IF(AND(ISNUMBER(B2559),ISNUMBER(B2558),B2558&lt;&gt;0),B2559/B2558-1,""),"")</f>
        <v/>
      </c>
      <c r="E2559" s="28">
        <f>IFERROR(IF(AND(ISNUMBER(C2559),ISNUMBER(C2558),C2558&lt;&gt;0),C2559/C2558-1,""),"")</f>
        <v/>
      </c>
      <c r="F2559" s="28">
        <f>IFERROR(D2559-Dashboard!$B$4/252,"")</f>
        <v/>
      </c>
      <c r="G2559" s="28">
        <f>IFERROR(E2559-Dashboard!$B$4/252,"")</f>
        <v/>
      </c>
      <c r="H2559" s="8">
        <f>IFERROR(IF(ISNUMBER(B2559),MAX(B2559,IFERROR(H2558,B2559)),""),"")</f>
        <v/>
      </c>
      <c r="I2559" s="29">
        <f>IFERROR(IF(AND(ISNUMBER(B2559),ISNUMBER(H2559)),B2559/H2559-1,""),"")</f>
        <v/>
      </c>
      <c r="J2559" s="8">
        <f>IFERROR(IF(ISNUMBER(C2559),MAX(C2559,IFERROR(J2558,C2559)),""),"")</f>
        <v/>
      </c>
      <c r="K2559" s="29">
        <f>IFERROR(IF(AND(ISNUMBER(C2559),ISNUMBER(J2559)),C2559/J2559-1,""),"")</f>
        <v/>
      </c>
      <c r="L2559" s="28">
        <f>IFERROR(IF(AND(ISNUMBER(D2559),ISNUMBER(E2559)),D2559-E2559,""),"")</f>
        <v/>
      </c>
    </row>
    <row r="2560">
      <c r="A2560" s="7">
        <f>IFERROR(Datos!A2560,"")</f>
        <v/>
      </c>
      <c r="B2560" s="8">
        <f>IFERROR(Datos!B2560,"")</f>
        <v/>
      </c>
      <c r="C2560" s="8">
        <f>IFERROR(Datos!C2560,"")</f>
        <v/>
      </c>
      <c r="D2560" s="28">
        <f>IFERROR(IF(AND(ISNUMBER(B2560),ISNUMBER(B2559),B2559&lt;&gt;0),B2560/B2559-1,""),"")</f>
        <v/>
      </c>
      <c r="E2560" s="28">
        <f>IFERROR(IF(AND(ISNUMBER(C2560),ISNUMBER(C2559),C2559&lt;&gt;0),C2560/C2559-1,""),"")</f>
        <v/>
      </c>
      <c r="F2560" s="28">
        <f>IFERROR(D2560-Dashboard!$B$4/252,"")</f>
        <v/>
      </c>
      <c r="G2560" s="28">
        <f>IFERROR(E2560-Dashboard!$B$4/252,"")</f>
        <v/>
      </c>
      <c r="H2560" s="8">
        <f>IFERROR(IF(ISNUMBER(B2560),MAX(B2560,IFERROR(H2559,B2560)),""),"")</f>
        <v/>
      </c>
      <c r="I2560" s="29">
        <f>IFERROR(IF(AND(ISNUMBER(B2560),ISNUMBER(H2560)),B2560/H2560-1,""),"")</f>
        <v/>
      </c>
      <c r="J2560" s="8">
        <f>IFERROR(IF(ISNUMBER(C2560),MAX(C2560,IFERROR(J2559,C2560)),""),"")</f>
        <v/>
      </c>
      <c r="K2560" s="29">
        <f>IFERROR(IF(AND(ISNUMBER(C2560),ISNUMBER(J2560)),C2560/J2560-1,""),"")</f>
        <v/>
      </c>
      <c r="L2560" s="28">
        <f>IFERROR(IF(AND(ISNUMBER(D2560),ISNUMBER(E2560)),D2560-E2560,""),"")</f>
        <v/>
      </c>
    </row>
    <row r="2561">
      <c r="A2561" s="7">
        <f>IFERROR(Datos!A2561,"")</f>
        <v/>
      </c>
      <c r="B2561" s="8">
        <f>IFERROR(Datos!B2561,"")</f>
        <v/>
      </c>
      <c r="C2561" s="8">
        <f>IFERROR(Datos!C2561,"")</f>
        <v/>
      </c>
      <c r="D2561" s="28">
        <f>IFERROR(IF(AND(ISNUMBER(B2561),ISNUMBER(B2560),B2560&lt;&gt;0),B2561/B2560-1,""),"")</f>
        <v/>
      </c>
      <c r="E2561" s="28">
        <f>IFERROR(IF(AND(ISNUMBER(C2561),ISNUMBER(C2560),C2560&lt;&gt;0),C2561/C2560-1,""),"")</f>
        <v/>
      </c>
      <c r="F2561" s="28">
        <f>IFERROR(D2561-Dashboard!$B$4/252,"")</f>
        <v/>
      </c>
      <c r="G2561" s="28">
        <f>IFERROR(E2561-Dashboard!$B$4/252,"")</f>
        <v/>
      </c>
      <c r="H2561" s="8">
        <f>IFERROR(IF(ISNUMBER(B2561),MAX(B2561,IFERROR(H2560,B2561)),""),"")</f>
        <v/>
      </c>
      <c r="I2561" s="29">
        <f>IFERROR(IF(AND(ISNUMBER(B2561),ISNUMBER(H2561)),B2561/H2561-1,""),"")</f>
        <v/>
      </c>
      <c r="J2561" s="8">
        <f>IFERROR(IF(ISNUMBER(C2561),MAX(C2561,IFERROR(J2560,C2561)),""),"")</f>
        <v/>
      </c>
      <c r="K2561" s="29">
        <f>IFERROR(IF(AND(ISNUMBER(C2561),ISNUMBER(J2561)),C2561/J2561-1,""),"")</f>
        <v/>
      </c>
      <c r="L2561" s="28">
        <f>IFERROR(IF(AND(ISNUMBER(D2561),ISNUMBER(E2561)),D2561-E2561,""),"")</f>
        <v/>
      </c>
    </row>
    <row r="2562">
      <c r="A2562" s="7">
        <f>IFERROR(Datos!A2562,"")</f>
        <v/>
      </c>
      <c r="B2562" s="8">
        <f>IFERROR(Datos!B2562,"")</f>
        <v/>
      </c>
      <c r="C2562" s="8">
        <f>IFERROR(Datos!C2562,"")</f>
        <v/>
      </c>
      <c r="D2562" s="28">
        <f>IFERROR(IF(AND(ISNUMBER(B2562),ISNUMBER(B2561),B2561&lt;&gt;0),B2562/B2561-1,""),"")</f>
        <v/>
      </c>
      <c r="E2562" s="28">
        <f>IFERROR(IF(AND(ISNUMBER(C2562),ISNUMBER(C2561),C2561&lt;&gt;0),C2562/C2561-1,""),"")</f>
        <v/>
      </c>
      <c r="F2562" s="28">
        <f>IFERROR(D2562-Dashboard!$B$4/252,"")</f>
        <v/>
      </c>
      <c r="G2562" s="28">
        <f>IFERROR(E2562-Dashboard!$B$4/252,"")</f>
        <v/>
      </c>
      <c r="H2562" s="8">
        <f>IFERROR(IF(ISNUMBER(B2562),MAX(B2562,IFERROR(H2561,B2562)),""),"")</f>
        <v/>
      </c>
      <c r="I2562" s="29">
        <f>IFERROR(IF(AND(ISNUMBER(B2562),ISNUMBER(H2562)),B2562/H2562-1,""),"")</f>
        <v/>
      </c>
      <c r="J2562" s="8">
        <f>IFERROR(IF(ISNUMBER(C2562),MAX(C2562,IFERROR(J2561,C2562)),""),"")</f>
        <v/>
      </c>
      <c r="K2562" s="29">
        <f>IFERROR(IF(AND(ISNUMBER(C2562),ISNUMBER(J2562)),C2562/J2562-1,""),"")</f>
        <v/>
      </c>
      <c r="L2562" s="28">
        <f>IFERROR(IF(AND(ISNUMBER(D2562),ISNUMBER(E2562)),D2562-E2562,""),"")</f>
        <v/>
      </c>
    </row>
    <row r="2563">
      <c r="A2563" s="7">
        <f>IFERROR(Datos!A2563,"")</f>
        <v/>
      </c>
      <c r="B2563" s="8">
        <f>IFERROR(Datos!B2563,"")</f>
        <v/>
      </c>
      <c r="C2563" s="8">
        <f>IFERROR(Datos!C2563,"")</f>
        <v/>
      </c>
      <c r="D2563" s="28">
        <f>IFERROR(IF(AND(ISNUMBER(B2563),ISNUMBER(B2562),B2562&lt;&gt;0),B2563/B2562-1,""),"")</f>
        <v/>
      </c>
      <c r="E2563" s="28">
        <f>IFERROR(IF(AND(ISNUMBER(C2563),ISNUMBER(C2562),C2562&lt;&gt;0),C2563/C2562-1,""),"")</f>
        <v/>
      </c>
      <c r="F2563" s="28">
        <f>IFERROR(D2563-Dashboard!$B$4/252,"")</f>
        <v/>
      </c>
      <c r="G2563" s="28">
        <f>IFERROR(E2563-Dashboard!$B$4/252,"")</f>
        <v/>
      </c>
      <c r="H2563" s="8">
        <f>IFERROR(IF(ISNUMBER(B2563),MAX(B2563,IFERROR(H2562,B2563)),""),"")</f>
        <v/>
      </c>
      <c r="I2563" s="29">
        <f>IFERROR(IF(AND(ISNUMBER(B2563),ISNUMBER(H2563)),B2563/H2563-1,""),"")</f>
        <v/>
      </c>
      <c r="J2563" s="8">
        <f>IFERROR(IF(ISNUMBER(C2563),MAX(C2563,IFERROR(J2562,C2563)),""),"")</f>
        <v/>
      </c>
      <c r="K2563" s="29">
        <f>IFERROR(IF(AND(ISNUMBER(C2563),ISNUMBER(J2563)),C2563/J2563-1,""),"")</f>
        <v/>
      </c>
      <c r="L2563" s="28">
        <f>IFERROR(IF(AND(ISNUMBER(D2563),ISNUMBER(E2563)),D2563-E2563,""),"")</f>
        <v/>
      </c>
    </row>
    <row r="2564">
      <c r="A2564" s="7">
        <f>IFERROR(Datos!A2564,"")</f>
        <v/>
      </c>
      <c r="B2564" s="8">
        <f>IFERROR(Datos!B2564,"")</f>
        <v/>
      </c>
      <c r="C2564" s="8">
        <f>IFERROR(Datos!C2564,"")</f>
        <v/>
      </c>
      <c r="D2564" s="28">
        <f>IFERROR(IF(AND(ISNUMBER(B2564),ISNUMBER(B2563),B2563&lt;&gt;0),B2564/B2563-1,""),"")</f>
        <v/>
      </c>
      <c r="E2564" s="28">
        <f>IFERROR(IF(AND(ISNUMBER(C2564),ISNUMBER(C2563),C2563&lt;&gt;0),C2564/C2563-1,""),"")</f>
        <v/>
      </c>
      <c r="F2564" s="28">
        <f>IFERROR(D2564-Dashboard!$B$4/252,"")</f>
        <v/>
      </c>
      <c r="G2564" s="28">
        <f>IFERROR(E2564-Dashboard!$B$4/252,"")</f>
        <v/>
      </c>
      <c r="H2564" s="8">
        <f>IFERROR(IF(ISNUMBER(B2564),MAX(B2564,IFERROR(H2563,B2564)),""),"")</f>
        <v/>
      </c>
      <c r="I2564" s="29">
        <f>IFERROR(IF(AND(ISNUMBER(B2564),ISNUMBER(H2564)),B2564/H2564-1,""),"")</f>
        <v/>
      </c>
      <c r="J2564" s="8">
        <f>IFERROR(IF(ISNUMBER(C2564),MAX(C2564,IFERROR(J2563,C2564)),""),"")</f>
        <v/>
      </c>
      <c r="K2564" s="29">
        <f>IFERROR(IF(AND(ISNUMBER(C2564),ISNUMBER(J2564)),C2564/J2564-1,""),"")</f>
        <v/>
      </c>
      <c r="L2564" s="28">
        <f>IFERROR(IF(AND(ISNUMBER(D2564),ISNUMBER(E2564)),D2564-E2564,""),"")</f>
        <v/>
      </c>
    </row>
    <row r="2565">
      <c r="A2565" s="7">
        <f>IFERROR(Datos!A2565,"")</f>
        <v/>
      </c>
      <c r="B2565" s="8">
        <f>IFERROR(Datos!B2565,"")</f>
        <v/>
      </c>
      <c r="C2565" s="8">
        <f>IFERROR(Datos!C2565,"")</f>
        <v/>
      </c>
      <c r="D2565" s="28">
        <f>IFERROR(IF(AND(ISNUMBER(B2565),ISNUMBER(B2564),B2564&lt;&gt;0),B2565/B2564-1,""),"")</f>
        <v/>
      </c>
      <c r="E2565" s="28">
        <f>IFERROR(IF(AND(ISNUMBER(C2565),ISNUMBER(C2564),C2564&lt;&gt;0),C2565/C2564-1,""),"")</f>
        <v/>
      </c>
      <c r="F2565" s="28">
        <f>IFERROR(D2565-Dashboard!$B$4/252,"")</f>
        <v/>
      </c>
      <c r="G2565" s="28">
        <f>IFERROR(E2565-Dashboard!$B$4/252,"")</f>
        <v/>
      </c>
      <c r="H2565" s="8">
        <f>IFERROR(IF(ISNUMBER(B2565),MAX(B2565,IFERROR(H2564,B2565)),""),"")</f>
        <v/>
      </c>
      <c r="I2565" s="29">
        <f>IFERROR(IF(AND(ISNUMBER(B2565),ISNUMBER(H2565)),B2565/H2565-1,""),"")</f>
        <v/>
      </c>
      <c r="J2565" s="8">
        <f>IFERROR(IF(ISNUMBER(C2565),MAX(C2565,IFERROR(J2564,C2565)),""),"")</f>
        <v/>
      </c>
      <c r="K2565" s="29">
        <f>IFERROR(IF(AND(ISNUMBER(C2565),ISNUMBER(J2565)),C2565/J2565-1,""),"")</f>
        <v/>
      </c>
      <c r="L2565" s="28">
        <f>IFERROR(IF(AND(ISNUMBER(D2565),ISNUMBER(E2565)),D2565-E2565,""),"")</f>
        <v/>
      </c>
    </row>
    <row r="2566">
      <c r="A2566" s="7">
        <f>IFERROR(Datos!A2566,"")</f>
        <v/>
      </c>
      <c r="B2566" s="8">
        <f>IFERROR(Datos!B2566,"")</f>
        <v/>
      </c>
      <c r="C2566" s="8">
        <f>IFERROR(Datos!C2566,"")</f>
        <v/>
      </c>
      <c r="D2566" s="28">
        <f>IFERROR(IF(AND(ISNUMBER(B2566),ISNUMBER(B2565),B2565&lt;&gt;0),B2566/B2565-1,""),"")</f>
        <v/>
      </c>
      <c r="E2566" s="28">
        <f>IFERROR(IF(AND(ISNUMBER(C2566),ISNUMBER(C2565),C2565&lt;&gt;0),C2566/C2565-1,""),"")</f>
        <v/>
      </c>
      <c r="F2566" s="28">
        <f>IFERROR(D2566-Dashboard!$B$4/252,"")</f>
        <v/>
      </c>
      <c r="G2566" s="28">
        <f>IFERROR(E2566-Dashboard!$B$4/252,"")</f>
        <v/>
      </c>
      <c r="H2566" s="8">
        <f>IFERROR(IF(ISNUMBER(B2566),MAX(B2566,IFERROR(H2565,B2566)),""),"")</f>
        <v/>
      </c>
      <c r="I2566" s="29">
        <f>IFERROR(IF(AND(ISNUMBER(B2566),ISNUMBER(H2566)),B2566/H2566-1,""),"")</f>
        <v/>
      </c>
      <c r="J2566" s="8">
        <f>IFERROR(IF(ISNUMBER(C2566),MAX(C2566,IFERROR(J2565,C2566)),""),"")</f>
        <v/>
      </c>
      <c r="K2566" s="29">
        <f>IFERROR(IF(AND(ISNUMBER(C2566),ISNUMBER(J2566)),C2566/J2566-1,""),"")</f>
        <v/>
      </c>
      <c r="L2566" s="28">
        <f>IFERROR(IF(AND(ISNUMBER(D2566),ISNUMBER(E2566)),D2566-E2566,""),"")</f>
        <v/>
      </c>
    </row>
    <row r="2567">
      <c r="A2567" s="7">
        <f>IFERROR(Datos!A2567,"")</f>
        <v/>
      </c>
      <c r="B2567" s="8">
        <f>IFERROR(Datos!B2567,"")</f>
        <v/>
      </c>
      <c r="C2567" s="8">
        <f>IFERROR(Datos!C2567,"")</f>
        <v/>
      </c>
      <c r="D2567" s="28">
        <f>IFERROR(IF(AND(ISNUMBER(B2567),ISNUMBER(B2566),B2566&lt;&gt;0),B2567/B2566-1,""),"")</f>
        <v/>
      </c>
      <c r="E2567" s="28">
        <f>IFERROR(IF(AND(ISNUMBER(C2567),ISNUMBER(C2566),C2566&lt;&gt;0),C2567/C2566-1,""),"")</f>
        <v/>
      </c>
      <c r="F2567" s="28">
        <f>IFERROR(D2567-Dashboard!$B$4/252,"")</f>
        <v/>
      </c>
      <c r="G2567" s="28">
        <f>IFERROR(E2567-Dashboard!$B$4/252,"")</f>
        <v/>
      </c>
      <c r="H2567" s="8">
        <f>IFERROR(IF(ISNUMBER(B2567),MAX(B2567,IFERROR(H2566,B2567)),""),"")</f>
        <v/>
      </c>
      <c r="I2567" s="29">
        <f>IFERROR(IF(AND(ISNUMBER(B2567),ISNUMBER(H2567)),B2567/H2567-1,""),"")</f>
        <v/>
      </c>
      <c r="J2567" s="8">
        <f>IFERROR(IF(ISNUMBER(C2567),MAX(C2567,IFERROR(J2566,C2567)),""),"")</f>
        <v/>
      </c>
      <c r="K2567" s="29">
        <f>IFERROR(IF(AND(ISNUMBER(C2567),ISNUMBER(J2567)),C2567/J2567-1,""),"")</f>
        <v/>
      </c>
      <c r="L2567" s="28">
        <f>IFERROR(IF(AND(ISNUMBER(D2567),ISNUMBER(E2567)),D2567-E2567,""),"")</f>
        <v/>
      </c>
    </row>
    <row r="2568">
      <c r="A2568" s="7">
        <f>IFERROR(Datos!A2568,"")</f>
        <v/>
      </c>
      <c r="B2568" s="8">
        <f>IFERROR(Datos!B2568,"")</f>
        <v/>
      </c>
      <c r="C2568" s="8">
        <f>IFERROR(Datos!C2568,"")</f>
        <v/>
      </c>
      <c r="D2568" s="28">
        <f>IFERROR(IF(AND(ISNUMBER(B2568),ISNUMBER(B2567),B2567&lt;&gt;0),B2568/B2567-1,""),"")</f>
        <v/>
      </c>
      <c r="E2568" s="28">
        <f>IFERROR(IF(AND(ISNUMBER(C2568),ISNUMBER(C2567),C2567&lt;&gt;0),C2568/C2567-1,""),"")</f>
        <v/>
      </c>
      <c r="F2568" s="28">
        <f>IFERROR(D2568-Dashboard!$B$4/252,"")</f>
        <v/>
      </c>
      <c r="G2568" s="28">
        <f>IFERROR(E2568-Dashboard!$B$4/252,"")</f>
        <v/>
      </c>
      <c r="H2568" s="8">
        <f>IFERROR(IF(ISNUMBER(B2568),MAX(B2568,IFERROR(H2567,B2568)),""),"")</f>
        <v/>
      </c>
      <c r="I2568" s="29">
        <f>IFERROR(IF(AND(ISNUMBER(B2568),ISNUMBER(H2568)),B2568/H2568-1,""),"")</f>
        <v/>
      </c>
      <c r="J2568" s="8">
        <f>IFERROR(IF(ISNUMBER(C2568),MAX(C2568,IFERROR(J2567,C2568)),""),"")</f>
        <v/>
      </c>
      <c r="K2568" s="29">
        <f>IFERROR(IF(AND(ISNUMBER(C2568),ISNUMBER(J2568)),C2568/J2568-1,""),"")</f>
        <v/>
      </c>
      <c r="L2568" s="28">
        <f>IFERROR(IF(AND(ISNUMBER(D2568),ISNUMBER(E2568)),D2568-E2568,""),"")</f>
        <v/>
      </c>
    </row>
    <row r="2569">
      <c r="A2569" s="7">
        <f>IFERROR(Datos!A2569,"")</f>
        <v/>
      </c>
      <c r="B2569" s="8">
        <f>IFERROR(Datos!B2569,"")</f>
        <v/>
      </c>
      <c r="C2569" s="8">
        <f>IFERROR(Datos!C2569,"")</f>
        <v/>
      </c>
      <c r="D2569" s="28">
        <f>IFERROR(IF(AND(ISNUMBER(B2569),ISNUMBER(B2568),B2568&lt;&gt;0),B2569/B2568-1,""),"")</f>
        <v/>
      </c>
      <c r="E2569" s="28">
        <f>IFERROR(IF(AND(ISNUMBER(C2569),ISNUMBER(C2568),C2568&lt;&gt;0),C2569/C2568-1,""),"")</f>
        <v/>
      </c>
      <c r="F2569" s="28">
        <f>IFERROR(D2569-Dashboard!$B$4/252,"")</f>
        <v/>
      </c>
      <c r="G2569" s="28">
        <f>IFERROR(E2569-Dashboard!$B$4/252,"")</f>
        <v/>
      </c>
      <c r="H2569" s="8">
        <f>IFERROR(IF(ISNUMBER(B2569),MAX(B2569,IFERROR(H2568,B2569)),""),"")</f>
        <v/>
      </c>
      <c r="I2569" s="29">
        <f>IFERROR(IF(AND(ISNUMBER(B2569),ISNUMBER(H2569)),B2569/H2569-1,""),"")</f>
        <v/>
      </c>
      <c r="J2569" s="8">
        <f>IFERROR(IF(ISNUMBER(C2569),MAX(C2569,IFERROR(J2568,C2569)),""),"")</f>
        <v/>
      </c>
      <c r="K2569" s="29">
        <f>IFERROR(IF(AND(ISNUMBER(C2569),ISNUMBER(J2569)),C2569/J2569-1,""),"")</f>
        <v/>
      </c>
      <c r="L2569" s="28">
        <f>IFERROR(IF(AND(ISNUMBER(D2569),ISNUMBER(E2569)),D2569-E2569,""),"")</f>
        <v/>
      </c>
    </row>
    <row r="2570">
      <c r="A2570" s="7">
        <f>IFERROR(Datos!A2570,"")</f>
        <v/>
      </c>
      <c r="B2570" s="8">
        <f>IFERROR(Datos!B2570,"")</f>
        <v/>
      </c>
      <c r="C2570" s="8">
        <f>IFERROR(Datos!C2570,"")</f>
        <v/>
      </c>
      <c r="D2570" s="28">
        <f>IFERROR(IF(AND(ISNUMBER(B2570),ISNUMBER(B2569),B2569&lt;&gt;0),B2570/B2569-1,""),"")</f>
        <v/>
      </c>
      <c r="E2570" s="28">
        <f>IFERROR(IF(AND(ISNUMBER(C2570),ISNUMBER(C2569),C2569&lt;&gt;0),C2570/C2569-1,""),"")</f>
        <v/>
      </c>
      <c r="F2570" s="28">
        <f>IFERROR(D2570-Dashboard!$B$4/252,"")</f>
        <v/>
      </c>
      <c r="G2570" s="28">
        <f>IFERROR(E2570-Dashboard!$B$4/252,"")</f>
        <v/>
      </c>
      <c r="H2570" s="8">
        <f>IFERROR(IF(ISNUMBER(B2570),MAX(B2570,IFERROR(H2569,B2570)),""),"")</f>
        <v/>
      </c>
      <c r="I2570" s="29">
        <f>IFERROR(IF(AND(ISNUMBER(B2570),ISNUMBER(H2570)),B2570/H2570-1,""),"")</f>
        <v/>
      </c>
      <c r="J2570" s="8">
        <f>IFERROR(IF(ISNUMBER(C2570),MAX(C2570,IFERROR(J2569,C2570)),""),"")</f>
        <v/>
      </c>
      <c r="K2570" s="29">
        <f>IFERROR(IF(AND(ISNUMBER(C2570),ISNUMBER(J2570)),C2570/J2570-1,""),"")</f>
        <v/>
      </c>
      <c r="L2570" s="28">
        <f>IFERROR(IF(AND(ISNUMBER(D2570),ISNUMBER(E2570)),D2570-E2570,""),"")</f>
        <v/>
      </c>
    </row>
    <row r="2571">
      <c r="A2571" s="7">
        <f>IFERROR(Datos!A2571,"")</f>
        <v/>
      </c>
      <c r="B2571" s="8">
        <f>IFERROR(Datos!B2571,"")</f>
        <v/>
      </c>
      <c r="C2571" s="8">
        <f>IFERROR(Datos!C2571,"")</f>
        <v/>
      </c>
      <c r="D2571" s="28">
        <f>IFERROR(IF(AND(ISNUMBER(B2571),ISNUMBER(B2570),B2570&lt;&gt;0),B2571/B2570-1,""),"")</f>
        <v/>
      </c>
      <c r="E2571" s="28">
        <f>IFERROR(IF(AND(ISNUMBER(C2571),ISNUMBER(C2570),C2570&lt;&gt;0),C2571/C2570-1,""),"")</f>
        <v/>
      </c>
      <c r="F2571" s="28">
        <f>IFERROR(D2571-Dashboard!$B$4/252,"")</f>
        <v/>
      </c>
      <c r="G2571" s="28">
        <f>IFERROR(E2571-Dashboard!$B$4/252,"")</f>
        <v/>
      </c>
      <c r="H2571" s="8">
        <f>IFERROR(IF(ISNUMBER(B2571),MAX(B2571,IFERROR(H2570,B2571)),""),"")</f>
        <v/>
      </c>
      <c r="I2571" s="29">
        <f>IFERROR(IF(AND(ISNUMBER(B2571),ISNUMBER(H2571)),B2571/H2571-1,""),"")</f>
        <v/>
      </c>
      <c r="J2571" s="8">
        <f>IFERROR(IF(ISNUMBER(C2571),MAX(C2571,IFERROR(J2570,C2571)),""),"")</f>
        <v/>
      </c>
      <c r="K2571" s="29">
        <f>IFERROR(IF(AND(ISNUMBER(C2571),ISNUMBER(J2571)),C2571/J2571-1,""),"")</f>
        <v/>
      </c>
      <c r="L2571" s="28">
        <f>IFERROR(IF(AND(ISNUMBER(D2571),ISNUMBER(E2571)),D2571-E2571,""),"")</f>
        <v/>
      </c>
    </row>
    <row r="2572">
      <c r="A2572" s="7">
        <f>IFERROR(Datos!A2572,"")</f>
        <v/>
      </c>
      <c r="B2572" s="8">
        <f>IFERROR(Datos!B2572,"")</f>
        <v/>
      </c>
      <c r="C2572" s="8">
        <f>IFERROR(Datos!C2572,"")</f>
        <v/>
      </c>
      <c r="D2572" s="28">
        <f>IFERROR(IF(AND(ISNUMBER(B2572),ISNUMBER(B2571),B2571&lt;&gt;0),B2572/B2571-1,""),"")</f>
        <v/>
      </c>
      <c r="E2572" s="28">
        <f>IFERROR(IF(AND(ISNUMBER(C2572),ISNUMBER(C2571),C2571&lt;&gt;0),C2572/C2571-1,""),"")</f>
        <v/>
      </c>
      <c r="F2572" s="28">
        <f>IFERROR(D2572-Dashboard!$B$4/252,"")</f>
        <v/>
      </c>
      <c r="G2572" s="28">
        <f>IFERROR(E2572-Dashboard!$B$4/252,"")</f>
        <v/>
      </c>
      <c r="H2572" s="8">
        <f>IFERROR(IF(ISNUMBER(B2572),MAX(B2572,IFERROR(H2571,B2572)),""),"")</f>
        <v/>
      </c>
      <c r="I2572" s="29">
        <f>IFERROR(IF(AND(ISNUMBER(B2572),ISNUMBER(H2572)),B2572/H2572-1,""),"")</f>
        <v/>
      </c>
      <c r="J2572" s="8">
        <f>IFERROR(IF(ISNUMBER(C2572),MAX(C2572,IFERROR(J2571,C2572)),""),"")</f>
        <v/>
      </c>
      <c r="K2572" s="29">
        <f>IFERROR(IF(AND(ISNUMBER(C2572),ISNUMBER(J2572)),C2572/J2572-1,""),"")</f>
        <v/>
      </c>
      <c r="L2572" s="28">
        <f>IFERROR(IF(AND(ISNUMBER(D2572),ISNUMBER(E2572)),D2572-E2572,""),"")</f>
        <v/>
      </c>
    </row>
    <row r="2573">
      <c r="A2573" s="7">
        <f>IFERROR(Datos!A2573,"")</f>
        <v/>
      </c>
      <c r="B2573" s="8">
        <f>IFERROR(Datos!B2573,"")</f>
        <v/>
      </c>
      <c r="C2573" s="8">
        <f>IFERROR(Datos!C2573,"")</f>
        <v/>
      </c>
      <c r="D2573" s="28">
        <f>IFERROR(IF(AND(ISNUMBER(B2573),ISNUMBER(B2572),B2572&lt;&gt;0),B2573/B2572-1,""),"")</f>
        <v/>
      </c>
      <c r="E2573" s="28">
        <f>IFERROR(IF(AND(ISNUMBER(C2573),ISNUMBER(C2572),C2572&lt;&gt;0),C2573/C2572-1,""),"")</f>
        <v/>
      </c>
      <c r="F2573" s="28">
        <f>IFERROR(D2573-Dashboard!$B$4/252,"")</f>
        <v/>
      </c>
      <c r="G2573" s="28">
        <f>IFERROR(E2573-Dashboard!$B$4/252,"")</f>
        <v/>
      </c>
      <c r="H2573" s="8">
        <f>IFERROR(IF(ISNUMBER(B2573),MAX(B2573,IFERROR(H2572,B2573)),""),"")</f>
        <v/>
      </c>
      <c r="I2573" s="29">
        <f>IFERROR(IF(AND(ISNUMBER(B2573),ISNUMBER(H2573)),B2573/H2573-1,""),"")</f>
        <v/>
      </c>
      <c r="J2573" s="8">
        <f>IFERROR(IF(ISNUMBER(C2573),MAX(C2573,IFERROR(J2572,C2573)),""),"")</f>
        <v/>
      </c>
      <c r="K2573" s="29">
        <f>IFERROR(IF(AND(ISNUMBER(C2573),ISNUMBER(J2573)),C2573/J2573-1,""),"")</f>
        <v/>
      </c>
      <c r="L2573" s="28">
        <f>IFERROR(IF(AND(ISNUMBER(D2573),ISNUMBER(E2573)),D2573-E2573,""),"")</f>
        <v/>
      </c>
    </row>
    <row r="2574">
      <c r="A2574" s="7">
        <f>IFERROR(Datos!A2574,"")</f>
        <v/>
      </c>
      <c r="B2574" s="8">
        <f>IFERROR(Datos!B2574,"")</f>
        <v/>
      </c>
      <c r="C2574" s="8">
        <f>IFERROR(Datos!C2574,"")</f>
        <v/>
      </c>
      <c r="D2574" s="28">
        <f>IFERROR(IF(AND(ISNUMBER(B2574),ISNUMBER(B2573),B2573&lt;&gt;0),B2574/B2573-1,""),"")</f>
        <v/>
      </c>
      <c r="E2574" s="28">
        <f>IFERROR(IF(AND(ISNUMBER(C2574),ISNUMBER(C2573),C2573&lt;&gt;0),C2574/C2573-1,""),"")</f>
        <v/>
      </c>
      <c r="F2574" s="28">
        <f>IFERROR(D2574-Dashboard!$B$4/252,"")</f>
        <v/>
      </c>
      <c r="G2574" s="28">
        <f>IFERROR(E2574-Dashboard!$B$4/252,"")</f>
        <v/>
      </c>
      <c r="H2574" s="8">
        <f>IFERROR(IF(ISNUMBER(B2574),MAX(B2574,IFERROR(H2573,B2574)),""),"")</f>
        <v/>
      </c>
      <c r="I2574" s="29">
        <f>IFERROR(IF(AND(ISNUMBER(B2574),ISNUMBER(H2574)),B2574/H2574-1,""),"")</f>
        <v/>
      </c>
      <c r="J2574" s="8">
        <f>IFERROR(IF(ISNUMBER(C2574),MAX(C2574,IFERROR(J2573,C2574)),""),"")</f>
        <v/>
      </c>
      <c r="K2574" s="29">
        <f>IFERROR(IF(AND(ISNUMBER(C2574),ISNUMBER(J2574)),C2574/J2574-1,""),"")</f>
        <v/>
      </c>
      <c r="L2574" s="28">
        <f>IFERROR(IF(AND(ISNUMBER(D2574),ISNUMBER(E2574)),D2574-E2574,""),"")</f>
        <v/>
      </c>
    </row>
    <row r="2575">
      <c r="A2575" s="7">
        <f>IFERROR(Datos!A2575,"")</f>
        <v/>
      </c>
      <c r="B2575" s="8">
        <f>IFERROR(Datos!B2575,"")</f>
        <v/>
      </c>
      <c r="C2575" s="8">
        <f>IFERROR(Datos!C2575,"")</f>
        <v/>
      </c>
      <c r="D2575" s="28">
        <f>IFERROR(IF(AND(ISNUMBER(B2575),ISNUMBER(B2574),B2574&lt;&gt;0),B2575/B2574-1,""),"")</f>
        <v/>
      </c>
      <c r="E2575" s="28">
        <f>IFERROR(IF(AND(ISNUMBER(C2575),ISNUMBER(C2574),C2574&lt;&gt;0),C2575/C2574-1,""),"")</f>
        <v/>
      </c>
      <c r="F2575" s="28">
        <f>IFERROR(D2575-Dashboard!$B$4/252,"")</f>
        <v/>
      </c>
      <c r="G2575" s="28">
        <f>IFERROR(E2575-Dashboard!$B$4/252,"")</f>
        <v/>
      </c>
      <c r="H2575" s="8">
        <f>IFERROR(IF(ISNUMBER(B2575),MAX(B2575,IFERROR(H2574,B2575)),""),"")</f>
        <v/>
      </c>
      <c r="I2575" s="29">
        <f>IFERROR(IF(AND(ISNUMBER(B2575),ISNUMBER(H2575)),B2575/H2575-1,""),"")</f>
        <v/>
      </c>
      <c r="J2575" s="8">
        <f>IFERROR(IF(ISNUMBER(C2575),MAX(C2575,IFERROR(J2574,C2575)),""),"")</f>
        <v/>
      </c>
      <c r="K2575" s="29">
        <f>IFERROR(IF(AND(ISNUMBER(C2575),ISNUMBER(J2575)),C2575/J2575-1,""),"")</f>
        <v/>
      </c>
      <c r="L2575" s="28">
        <f>IFERROR(IF(AND(ISNUMBER(D2575),ISNUMBER(E2575)),D2575-E2575,""),"")</f>
        <v/>
      </c>
    </row>
    <row r="2576">
      <c r="A2576" s="7">
        <f>IFERROR(Datos!A2576,"")</f>
        <v/>
      </c>
      <c r="B2576" s="8">
        <f>IFERROR(Datos!B2576,"")</f>
        <v/>
      </c>
      <c r="C2576" s="8">
        <f>IFERROR(Datos!C2576,"")</f>
        <v/>
      </c>
      <c r="D2576" s="28">
        <f>IFERROR(IF(AND(ISNUMBER(B2576),ISNUMBER(B2575),B2575&lt;&gt;0),B2576/B2575-1,""),"")</f>
        <v/>
      </c>
      <c r="E2576" s="28">
        <f>IFERROR(IF(AND(ISNUMBER(C2576),ISNUMBER(C2575),C2575&lt;&gt;0),C2576/C2575-1,""),"")</f>
        <v/>
      </c>
      <c r="F2576" s="28">
        <f>IFERROR(D2576-Dashboard!$B$4/252,"")</f>
        <v/>
      </c>
      <c r="G2576" s="28">
        <f>IFERROR(E2576-Dashboard!$B$4/252,"")</f>
        <v/>
      </c>
      <c r="H2576" s="8">
        <f>IFERROR(IF(ISNUMBER(B2576),MAX(B2576,IFERROR(H2575,B2576)),""),"")</f>
        <v/>
      </c>
      <c r="I2576" s="29">
        <f>IFERROR(IF(AND(ISNUMBER(B2576),ISNUMBER(H2576)),B2576/H2576-1,""),"")</f>
        <v/>
      </c>
      <c r="J2576" s="8">
        <f>IFERROR(IF(ISNUMBER(C2576),MAX(C2576,IFERROR(J2575,C2576)),""),"")</f>
        <v/>
      </c>
      <c r="K2576" s="29">
        <f>IFERROR(IF(AND(ISNUMBER(C2576),ISNUMBER(J2576)),C2576/J2576-1,""),"")</f>
        <v/>
      </c>
      <c r="L2576" s="28">
        <f>IFERROR(IF(AND(ISNUMBER(D2576),ISNUMBER(E2576)),D2576-E2576,""),"")</f>
        <v/>
      </c>
    </row>
    <row r="2577">
      <c r="A2577" s="7">
        <f>IFERROR(Datos!A2577,"")</f>
        <v/>
      </c>
      <c r="B2577" s="8">
        <f>IFERROR(Datos!B2577,"")</f>
        <v/>
      </c>
      <c r="C2577" s="8">
        <f>IFERROR(Datos!C2577,"")</f>
        <v/>
      </c>
      <c r="D2577" s="28">
        <f>IFERROR(IF(AND(ISNUMBER(B2577),ISNUMBER(B2576),B2576&lt;&gt;0),B2577/B2576-1,""),"")</f>
        <v/>
      </c>
      <c r="E2577" s="28">
        <f>IFERROR(IF(AND(ISNUMBER(C2577),ISNUMBER(C2576),C2576&lt;&gt;0),C2577/C2576-1,""),"")</f>
        <v/>
      </c>
      <c r="F2577" s="28">
        <f>IFERROR(D2577-Dashboard!$B$4/252,"")</f>
        <v/>
      </c>
      <c r="G2577" s="28">
        <f>IFERROR(E2577-Dashboard!$B$4/252,"")</f>
        <v/>
      </c>
      <c r="H2577" s="8">
        <f>IFERROR(IF(ISNUMBER(B2577),MAX(B2577,IFERROR(H2576,B2577)),""),"")</f>
        <v/>
      </c>
      <c r="I2577" s="29">
        <f>IFERROR(IF(AND(ISNUMBER(B2577),ISNUMBER(H2577)),B2577/H2577-1,""),"")</f>
        <v/>
      </c>
      <c r="J2577" s="8">
        <f>IFERROR(IF(ISNUMBER(C2577),MAX(C2577,IFERROR(J2576,C2577)),""),"")</f>
        <v/>
      </c>
      <c r="K2577" s="29">
        <f>IFERROR(IF(AND(ISNUMBER(C2577),ISNUMBER(J2577)),C2577/J2577-1,""),"")</f>
        <v/>
      </c>
      <c r="L2577" s="28">
        <f>IFERROR(IF(AND(ISNUMBER(D2577),ISNUMBER(E2577)),D2577-E2577,""),"")</f>
        <v/>
      </c>
    </row>
    <row r="2578">
      <c r="A2578" s="7">
        <f>IFERROR(Datos!A2578,"")</f>
        <v/>
      </c>
      <c r="B2578" s="8">
        <f>IFERROR(Datos!B2578,"")</f>
        <v/>
      </c>
      <c r="C2578" s="8">
        <f>IFERROR(Datos!C2578,"")</f>
        <v/>
      </c>
      <c r="D2578" s="28">
        <f>IFERROR(IF(AND(ISNUMBER(B2578),ISNUMBER(B2577),B2577&lt;&gt;0),B2578/B2577-1,""),"")</f>
        <v/>
      </c>
      <c r="E2578" s="28">
        <f>IFERROR(IF(AND(ISNUMBER(C2578),ISNUMBER(C2577),C2577&lt;&gt;0),C2578/C2577-1,""),"")</f>
        <v/>
      </c>
      <c r="F2578" s="28">
        <f>IFERROR(D2578-Dashboard!$B$4/252,"")</f>
        <v/>
      </c>
      <c r="G2578" s="28">
        <f>IFERROR(E2578-Dashboard!$B$4/252,"")</f>
        <v/>
      </c>
      <c r="H2578" s="8">
        <f>IFERROR(IF(ISNUMBER(B2578),MAX(B2578,IFERROR(H2577,B2578)),""),"")</f>
        <v/>
      </c>
      <c r="I2578" s="29">
        <f>IFERROR(IF(AND(ISNUMBER(B2578),ISNUMBER(H2578)),B2578/H2578-1,""),"")</f>
        <v/>
      </c>
      <c r="J2578" s="8">
        <f>IFERROR(IF(ISNUMBER(C2578),MAX(C2578,IFERROR(J2577,C2578)),""),"")</f>
        <v/>
      </c>
      <c r="K2578" s="29">
        <f>IFERROR(IF(AND(ISNUMBER(C2578),ISNUMBER(J2578)),C2578/J2578-1,""),"")</f>
        <v/>
      </c>
      <c r="L2578" s="28">
        <f>IFERROR(IF(AND(ISNUMBER(D2578),ISNUMBER(E2578)),D2578-E2578,""),"")</f>
        <v/>
      </c>
    </row>
    <row r="2579">
      <c r="A2579" s="7">
        <f>IFERROR(Datos!A2579,"")</f>
        <v/>
      </c>
      <c r="B2579" s="8">
        <f>IFERROR(Datos!B2579,"")</f>
        <v/>
      </c>
      <c r="C2579" s="8">
        <f>IFERROR(Datos!C2579,"")</f>
        <v/>
      </c>
      <c r="D2579" s="28">
        <f>IFERROR(IF(AND(ISNUMBER(B2579),ISNUMBER(B2578),B2578&lt;&gt;0),B2579/B2578-1,""),"")</f>
        <v/>
      </c>
      <c r="E2579" s="28">
        <f>IFERROR(IF(AND(ISNUMBER(C2579),ISNUMBER(C2578),C2578&lt;&gt;0),C2579/C2578-1,""),"")</f>
        <v/>
      </c>
      <c r="F2579" s="28">
        <f>IFERROR(D2579-Dashboard!$B$4/252,"")</f>
        <v/>
      </c>
      <c r="G2579" s="28">
        <f>IFERROR(E2579-Dashboard!$B$4/252,"")</f>
        <v/>
      </c>
      <c r="H2579" s="8">
        <f>IFERROR(IF(ISNUMBER(B2579),MAX(B2579,IFERROR(H2578,B2579)),""),"")</f>
        <v/>
      </c>
      <c r="I2579" s="29">
        <f>IFERROR(IF(AND(ISNUMBER(B2579),ISNUMBER(H2579)),B2579/H2579-1,""),"")</f>
        <v/>
      </c>
      <c r="J2579" s="8">
        <f>IFERROR(IF(ISNUMBER(C2579),MAX(C2579,IFERROR(J2578,C2579)),""),"")</f>
        <v/>
      </c>
      <c r="K2579" s="29">
        <f>IFERROR(IF(AND(ISNUMBER(C2579),ISNUMBER(J2579)),C2579/J2579-1,""),"")</f>
        <v/>
      </c>
      <c r="L2579" s="28">
        <f>IFERROR(IF(AND(ISNUMBER(D2579),ISNUMBER(E2579)),D2579-E2579,""),"")</f>
        <v/>
      </c>
    </row>
    <row r="2580">
      <c r="A2580" s="7">
        <f>IFERROR(Datos!A2580,"")</f>
        <v/>
      </c>
      <c r="B2580" s="8">
        <f>IFERROR(Datos!B2580,"")</f>
        <v/>
      </c>
      <c r="C2580" s="8">
        <f>IFERROR(Datos!C2580,"")</f>
        <v/>
      </c>
      <c r="D2580" s="28">
        <f>IFERROR(IF(AND(ISNUMBER(B2580),ISNUMBER(B2579),B2579&lt;&gt;0),B2580/B2579-1,""),"")</f>
        <v/>
      </c>
      <c r="E2580" s="28">
        <f>IFERROR(IF(AND(ISNUMBER(C2580),ISNUMBER(C2579),C2579&lt;&gt;0),C2580/C2579-1,""),"")</f>
        <v/>
      </c>
      <c r="F2580" s="28">
        <f>IFERROR(D2580-Dashboard!$B$4/252,"")</f>
        <v/>
      </c>
      <c r="G2580" s="28">
        <f>IFERROR(E2580-Dashboard!$B$4/252,"")</f>
        <v/>
      </c>
      <c r="H2580" s="8">
        <f>IFERROR(IF(ISNUMBER(B2580),MAX(B2580,IFERROR(H2579,B2580)),""),"")</f>
        <v/>
      </c>
      <c r="I2580" s="29">
        <f>IFERROR(IF(AND(ISNUMBER(B2580),ISNUMBER(H2580)),B2580/H2580-1,""),"")</f>
        <v/>
      </c>
      <c r="J2580" s="8">
        <f>IFERROR(IF(ISNUMBER(C2580),MAX(C2580,IFERROR(J2579,C2580)),""),"")</f>
        <v/>
      </c>
      <c r="K2580" s="29">
        <f>IFERROR(IF(AND(ISNUMBER(C2580),ISNUMBER(J2580)),C2580/J2580-1,""),"")</f>
        <v/>
      </c>
      <c r="L2580" s="28">
        <f>IFERROR(IF(AND(ISNUMBER(D2580),ISNUMBER(E2580)),D2580-E2580,""),"")</f>
        <v/>
      </c>
    </row>
    <row r="2581">
      <c r="A2581" s="7">
        <f>IFERROR(Datos!A2581,"")</f>
        <v/>
      </c>
      <c r="B2581" s="8">
        <f>IFERROR(Datos!B2581,"")</f>
        <v/>
      </c>
      <c r="C2581" s="8">
        <f>IFERROR(Datos!C2581,"")</f>
        <v/>
      </c>
      <c r="D2581" s="28">
        <f>IFERROR(IF(AND(ISNUMBER(B2581),ISNUMBER(B2580),B2580&lt;&gt;0),B2581/B2580-1,""),"")</f>
        <v/>
      </c>
      <c r="E2581" s="28">
        <f>IFERROR(IF(AND(ISNUMBER(C2581),ISNUMBER(C2580),C2580&lt;&gt;0),C2581/C2580-1,""),"")</f>
        <v/>
      </c>
      <c r="F2581" s="28">
        <f>IFERROR(D2581-Dashboard!$B$4/252,"")</f>
        <v/>
      </c>
      <c r="G2581" s="28">
        <f>IFERROR(E2581-Dashboard!$B$4/252,"")</f>
        <v/>
      </c>
      <c r="H2581" s="8">
        <f>IFERROR(IF(ISNUMBER(B2581),MAX(B2581,IFERROR(H2580,B2581)),""),"")</f>
        <v/>
      </c>
      <c r="I2581" s="29">
        <f>IFERROR(IF(AND(ISNUMBER(B2581),ISNUMBER(H2581)),B2581/H2581-1,""),"")</f>
        <v/>
      </c>
      <c r="J2581" s="8">
        <f>IFERROR(IF(ISNUMBER(C2581),MAX(C2581,IFERROR(J2580,C2581)),""),"")</f>
        <v/>
      </c>
      <c r="K2581" s="29">
        <f>IFERROR(IF(AND(ISNUMBER(C2581),ISNUMBER(J2581)),C2581/J2581-1,""),"")</f>
        <v/>
      </c>
      <c r="L2581" s="28">
        <f>IFERROR(IF(AND(ISNUMBER(D2581),ISNUMBER(E2581)),D2581-E2581,""),"")</f>
        <v/>
      </c>
    </row>
    <row r="2582">
      <c r="A2582" s="7">
        <f>IFERROR(Datos!A2582,"")</f>
        <v/>
      </c>
      <c r="B2582" s="8">
        <f>IFERROR(Datos!B2582,"")</f>
        <v/>
      </c>
      <c r="C2582" s="8">
        <f>IFERROR(Datos!C2582,"")</f>
        <v/>
      </c>
      <c r="D2582" s="28">
        <f>IFERROR(IF(AND(ISNUMBER(B2582),ISNUMBER(B2581),B2581&lt;&gt;0),B2582/B2581-1,""),"")</f>
        <v/>
      </c>
      <c r="E2582" s="28">
        <f>IFERROR(IF(AND(ISNUMBER(C2582),ISNUMBER(C2581),C2581&lt;&gt;0),C2582/C2581-1,""),"")</f>
        <v/>
      </c>
      <c r="F2582" s="28">
        <f>IFERROR(D2582-Dashboard!$B$4/252,"")</f>
        <v/>
      </c>
      <c r="G2582" s="28">
        <f>IFERROR(E2582-Dashboard!$B$4/252,"")</f>
        <v/>
      </c>
      <c r="H2582" s="8">
        <f>IFERROR(IF(ISNUMBER(B2582),MAX(B2582,IFERROR(H2581,B2582)),""),"")</f>
        <v/>
      </c>
      <c r="I2582" s="29">
        <f>IFERROR(IF(AND(ISNUMBER(B2582),ISNUMBER(H2582)),B2582/H2582-1,""),"")</f>
        <v/>
      </c>
      <c r="J2582" s="8">
        <f>IFERROR(IF(ISNUMBER(C2582),MAX(C2582,IFERROR(J2581,C2582)),""),"")</f>
        <v/>
      </c>
      <c r="K2582" s="29">
        <f>IFERROR(IF(AND(ISNUMBER(C2582),ISNUMBER(J2582)),C2582/J2582-1,""),"")</f>
        <v/>
      </c>
      <c r="L2582" s="28">
        <f>IFERROR(IF(AND(ISNUMBER(D2582),ISNUMBER(E2582)),D2582-E2582,""),"")</f>
        <v/>
      </c>
    </row>
    <row r="2583">
      <c r="A2583" s="7">
        <f>IFERROR(Datos!A2583,"")</f>
        <v/>
      </c>
      <c r="B2583" s="8">
        <f>IFERROR(Datos!B2583,"")</f>
        <v/>
      </c>
      <c r="C2583" s="8">
        <f>IFERROR(Datos!C2583,"")</f>
        <v/>
      </c>
      <c r="D2583" s="28">
        <f>IFERROR(IF(AND(ISNUMBER(B2583),ISNUMBER(B2582),B2582&lt;&gt;0),B2583/B2582-1,""),"")</f>
        <v/>
      </c>
      <c r="E2583" s="28">
        <f>IFERROR(IF(AND(ISNUMBER(C2583),ISNUMBER(C2582),C2582&lt;&gt;0),C2583/C2582-1,""),"")</f>
        <v/>
      </c>
      <c r="F2583" s="28">
        <f>IFERROR(D2583-Dashboard!$B$4/252,"")</f>
        <v/>
      </c>
      <c r="G2583" s="28">
        <f>IFERROR(E2583-Dashboard!$B$4/252,"")</f>
        <v/>
      </c>
      <c r="H2583" s="8">
        <f>IFERROR(IF(ISNUMBER(B2583),MAX(B2583,IFERROR(H2582,B2583)),""),"")</f>
        <v/>
      </c>
      <c r="I2583" s="29">
        <f>IFERROR(IF(AND(ISNUMBER(B2583),ISNUMBER(H2583)),B2583/H2583-1,""),"")</f>
        <v/>
      </c>
      <c r="J2583" s="8">
        <f>IFERROR(IF(ISNUMBER(C2583),MAX(C2583,IFERROR(J2582,C2583)),""),"")</f>
        <v/>
      </c>
      <c r="K2583" s="29">
        <f>IFERROR(IF(AND(ISNUMBER(C2583),ISNUMBER(J2583)),C2583/J2583-1,""),"")</f>
        <v/>
      </c>
      <c r="L2583" s="28">
        <f>IFERROR(IF(AND(ISNUMBER(D2583),ISNUMBER(E2583)),D2583-E2583,""),"")</f>
        <v/>
      </c>
    </row>
    <row r="2584">
      <c r="A2584" s="7">
        <f>IFERROR(Datos!A2584,"")</f>
        <v/>
      </c>
      <c r="B2584" s="8">
        <f>IFERROR(Datos!B2584,"")</f>
        <v/>
      </c>
      <c r="C2584" s="8">
        <f>IFERROR(Datos!C2584,"")</f>
        <v/>
      </c>
      <c r="D2584" s="28">
        <f>IFERROR(IF(AND(ISNUMBER(B2584),ISNUMBER(B2583),B2583&lt;&gt;0),B2584/B2583-1,""),"")</f>
        <v/>
      </c>
      <c r="E2584" s="28">
        <f>IFERROR(IF(AND(ISNUMBER(C2584),ISNUMBER(C2583),C2583&lt;&gt;0),C2584/C2583-1,""),"")</f>
        <v/>
      </c>
      <c r="F2584" s="28">
        <f>IFERROR(D2584-Dashboard!$B$4/252,"")</f>
        <v/>
      </c>
      <c r="G2584" s="28">
        <f>IFERROR(E2584-Dashboard!$B$4/252,"")</f>
        <v/>
      </c>
      <c r="H2584" s="8">
        <f>IFERROR(IF(ISNUMBER(B2584),MAX(B2584,IFERROR(H2583,B2584)),""),"")</f>
        <v/>
      </c>
      <c r="I2584" s="29">
        <f>IFERROR(IF(AND(ISNUMBER(B2584),ISNUMBER(H2584)),B2584/H2584-1,""),"")</f>
        <v/>
      </c>
      <c r="J2584" s="8">
        <f>IFERROR(IF(ISNUMBER(C2584),MAX(C2584,IFERROR(J2583,C2584)),""),"")</f>
        <v/>
      </c>
      <c r="K2584" s="29">
        <f>IFERROR(IF(AND(ISNUMBER(C2584),ISNUMBER(J2584)),C2584/J2584-1,""),"")</f>
        <v/>
      </c>
      <c r="L2584" s="28">
        <f>IFERROR(IF(AND(ISNUMBER(D2584),ISNUMBER(E2584)),D2584-E2584,""),"")</f>
        <v/>
      </c>
    </row>
    <row r="2585">
      <c r="A2585" s="7">
        <f>IFERROR(Datos!A2585,"")</f>
        <v/>
      </c>
      <c r="B2585" s="8">
        <f>IFERROR(Datos!B2585,"")</f>
        <v/>
      </c>
      <c r="C2585" s="8">
        <f>IFERROR(Datos!C2585,"")</f>
        <v/>
      </c>
      <c r="D2585" s="28">
        <f>IFERROR(IF(AND(ISNUMBER(B2585),ISNUMBER(B2584),B2584&lt;&gt;0),B2585/B2584-1,""),"")</f>
        <v/>
      </c>
      <c r="E2585" s="28">
        <f>IFERROR(IF(AND(ISNUMBER(C2585),ISNUMBER(C2584),C2584&lt;&gt;0),C2585/C2584-1,""),"")</f>
        <v/>
      </c>
      <c r="F2585" s="28">
        <f>IFERROR(D2585-Dashboard!$B$4/252,"")</f>
        <v/>
      </c>
      <c r="G2585" s="28">
        <f>IFERROR(E2585-Dashboard!$B$4/252,"")</f>
        <v/>
      </c>
      <c r="H2585" s="8">
        <f>IFERROR(IF(ISNUMBER(B2585),MAX(B2585,IFERROR(H2584,B2585)),""),"")</f>
        <v/>
      </c>
      <c r="I2585" s="29">
        <f>IFERROR(IF(AND(ISNUMBER(B2585),ISNUMBER(H2585)),B2585/H2585-1,""),"")</f>
        <v/>
      </c>
      <c r="J2585" s="8">
        <f>IFERROR(IF(ISNUMBER(C2585),MAX(C2585,IFERROR(J2584,C2585)),""),"")</f>
        <v/>
      </c>
      <c r="K2585" s="29">
        <f>IFERROR(IF(AND(ISNUMBER(C2585),ISNUMBER(J2585)),C2585/J2585-1,""),"")</f>
        <v/>
      </c>
      <c r="L2585" s="28">
        <f>IFERROR(IF(AND(ISNUMBER(D2585),ISNUMBER(E2585)),D2585-E2585,""),"")</f>
        <v/>
      </c>
    </row>
    <row r="2586">
      <c r="A2586" s="7">
        <f>IFERROR(Datos!A2586,"")</f>
        <v/>
      </c>
      <c r="B2586" s="8">
        <f>IFERROR(Datos!B2586,"")</f>
        <v/>
      </c>
      <c r="C2586" s="8">
        <f>IFERROR(Datos!C2586,"")</f>
        <v/>
      </c>
      <c r="D2586" s="28">
        <f>IFERROR(IF(AND(ISNUMBER(B2586),ISNUMBER(B2585),B2585&lt;&gt;0),B2586/B2585-1,""),"")</f>
        <v/>
      </c>
      <c r="E2586" s="28">
        <f>IFERROR(IF(AND(ISNUMBER(C2586),ISNUMBER(C2585),C2585&lt;&gt;0),C2586/C2585-1,""),"")</f>
        <v/>
      </c>
      <c r="F2586" s="28">
        <f>IFERROR(D2586-Dashboard!$B$4/252,"")</f>
        <v/>
      </c>
      <c r="G2586" s="28">
        <f>IFERROR(E2586-Dashboard!$B$4/252,"")</f>
        <v/>
      </c>
      <c r="H2586" s="8">
        <f>IFERROR(IF(ISNUMBER(B2586),MAX(B2586,IFERROR(H2585,B2586)),""),"")</f>
        <v/>
      </c>
      <c r="I2586" s="29">
        <f>IFERROR(IF(AND(ISNUMBER(B2586),ISNUMBER(H2586)),B2586/H2586-1,""),"")</f>
        <v/>
      </c>
      <c r="J2586" s="8">
        <f>IFERROR(IF(ISNUMBER(C2586),MAX(C2586,IFERROR(J2585,C2586)),""),"")</f>
        <v/>
      </c>
      <c r="K2586" s="29">
        <f>IFERROR(IF(AND(ISNUMBER(C2586),ISNUMBER(J2586)),C2586/J2586-1,""),"")</f>
        <v/>
      </c>
      <c r="L2586" s="28">
        <f>IFERROR(IF(AND(ISNUMBER(D2586),ISNUMBER(E2586)),D2586-E2586,""),"")</f>
        <v/>
      </c>
    </row>
    <row r="2587">
      <c r="A2587" s="7">
        <f>IFERROR(Datos!A2587,"")</f>
        <v/>
      </c>
      <c r="B2587" s="8">
        <f>IFERROR(Datos!B2587,"")</f>
        <v/>
      </c>
      <c r="C2587" s="8">
        <f>IFERROR(Datos!C2587,"")</f>
        <v/>
      </c>
      <c r="D2587" s="28">
        <f>IFERROR(IF(AND(ISNUMBER(B2587),ISNUMBER(B2586),B2586&lt;&gt;0),B2587/B2586-1,""),"")</f>
        <v/>
      </c>
      <c r="E2587" s="28">
        <f>IFERROR(IF(AND(ISNUMBER(C2587),ISNUMBER(C2586),C2586&lt;&gt;0),C2587/C2586-1,""),"")</f>
        <v/>
      </c>
      <c r="F2587" s="28">
        <f>IFERROR(D2587-Dashboard!$B$4/252,"")</f>
        <v/>
      </c>
      <c r="G2587" s="28">
        <f>IFERROR(E2587-Dashboard!$B$4/252,"")</f>
        <v/>
      </c>
      <c r="H2587" s="8">
        <f>IFERROR(IF(ISNUMBER(B2587),MAX(B2587,IFERROR(H2586,B2587)),""),"")</f>
        <v/>
      </c>
      <c r="I2587" s="29">
        <f>IFERROR(IF(AND(ISNUMBER(B2587),ISNUMBER(H2587)),B2587/H2587-1,""),"")</f>
        <v/>
      </c>
      <c r="J2587" s="8">
        <f>IFERROR(IF(ISNUMBER(C2587),MAX(C2587,IFERROR(J2586,C2587)),""),"")</f>
        <v/>
      </c>
      <c r="K2587" s="29">
        <f>IFERROR(IF(AND(ISNUMBER(C2587),ISNUMBER(J2587)),C2587/J2587-1,""),"")</f>
        <v/>
      </c>
      <c r="L2587" s="28">
        <f>IFERROR(IF(AND(ISNUMBER(D2587),ISNUMBER(E2587)),D2587-E2587,""),"")</f>
        <v/>
      </c>
    </row>
    <row r="2588">
      <c r="A2588" s="7">
        <f>IFERROR(Datos!A2588,"")</f>
        <v/>
      </c>
      <c r="B2588" s="8">
        <f>IFERROR(Datos!B2588,"")</f>
        <v/>
      </c>
      <c r="C2588" s="8">
        <f>IFERROR(Datos!C2588,"")</f>
        <v/>
      </c>
      <c r="D2588" s="28">
        <f>IFERROR(IF(AND(ISNUMBER(B2588),ISNUMBER(B2587),B2587&lt;&gt;0),B2588/B2587-1,""),"")</f>
        <v/>
      </c>
      <c r="E2588" s="28">
        <f>IFERROR(IF(AND(ISNUMBER(C2588),ISNUMBER(C2587),C2587&lt;&gt;0),C2588/C2587-1,""),"")</f>
        <v/>
      </c>
      <c r="F2588" s="28">
        <f>IFERROR(D2588-Dashboard!$B$4/252,"")</f>
        <v/>
      </c>
      <c r="G2588" s="28">
        <f>IFERROR(E2588-Dashboard!$B$4/252,"")</f>
        <v/>
      </c>
      <c r="H2588" s="8">
        <f>IFERROR(IF(ISNUMBER(B2588),MAX(B2588,IFERROR(H2587,B2588)),""),"")</f>
        <v/>
      </c>
      <c r="I2588" s="29">
        <f>IFERROR(IF(AND(ISNUMBER(B2588),ISNUMBER(H2588)),B2588/H2588-1,""),"")</f>
        <v/>
      </c>
      <c r="J2588" s="8">
        <f>IFERROR(IF(ISNUMBER(C2588),MAX(C2588,IFERROR(J2587,C2588)),""),"")</f>
        <v/>
      </c>
      <c r="K2588" s="29">
        <f>IFERROR(IF(AND(ISNUMBER(C2588),ISNUMBER(J2588)),C2588/J2588-1,""),"")</f>
        <v/>
      </c>
      <c r="L2588" s="28">
        <f>IFERROR(IF(AND(ISNUMBER(D2588),ISNUMBER(E2588)),D2588-E2588,""),"")</f>
        <v/>
      </c>
    </row>
    <row r="2589">
      <c r="A2589" s="7">
        <f>IFERROR(Datos!A2589,"")</f>
        <v/>
      </c>
      <c r="B2589" s="8">
        <f>IFERROR(Datos!B2589,"")</f>
        <v/>
      </c>
      <c r="C2589" s="8">
        <f>IFERROR(Datos!C2589,"")</f>
        <v/>
      </c>
      <c r="D2589" s="28">
        <f>IFERROR(IF(AND(ISNUMBER(B2589),ISNUMBER(B2588),B2588&lt;&gt;0),B2589/B2588-1,""),"")</f>
        <v/>
      </c>
      <c r="E2589" s="28">
        <f>IFERROR(IF(AND(ISNUMBER(C2589),ISNUMBER(C2588),C2588&lt;&gt;0),C2589/C2588-1,""),"")</f>
        <v/>
      </c>
      <c r="F2589" s="28">
        <f>IFERROR(D2589-Dashboard!$B$4/252,"")</f>
        <v/>
      </c>
      <c r="G2589" s="28">
        <f>IFERROR(E2589-Dashboard!$B$4/252,"")</f>
        <v/>
      </c>
      <c r="H2589" s="8">
        <f>IFERROR(IF(ISNUMBER(B2589),MAX(B2589,IFERROR(H2588,B2589)),""),"")</f>
        <v/>
      </c>
      <c r="I2589" s="29">
        <f>IFERROR(IF(AND(ISNUMBER(B2589),ISNUMBER(H2589)),B2589/H2589-1,""),"")</f>
        <v/>
      </c>
      <c r="J2589" s="8">
        <f>IFERROR(IF(ISNUMBER(C2589),MAX(C2589,IFERROR(J2588,C2589)),""),"")</f>
        <v/>
      </c>
      <c r="K2589" s="29">
        <f>IFERROR(IF(AND(ISNUMBER(C2589),ISNUMBER(J2589)),C2589/J2589-1,""),"")</f>
        <v/>
      </c>
      <c r="L2589" s="28">
        <f>IFERROR(IF(AND(ISNUMBER(D2589),ISNUMBER(E2589)),D2589-E2589,""),"")</f>
        <v/>
      </c>
    </row>
    <row r="2590">
      <c r="A2590" s="7">
        <f>IFERROR(Datos!A2590,"")</f>
        <v/>
      </c>
      <c r="B2590" s="8">
        <f>IFERROR(Datos!B2590,"")</f>
        <v/>
      </c>
      <c r="C2590" s="8">
        <f>IFERROR(Datos!C2590,"")</f>
        <v/>
      </c>
      <c r="D2590" s="28">
        <f>IFERROR(IF(AND(ISNUMBER(B2590),ISNUMBER(B2589),B2589&lt;&gt;0),B2590/B2589-1,""),"")</f>
        <v/>
      </c>
      <c r="E2590" s="28">
        <f>IFERROR(IF(AND(ISNUMBER(C2590),ISNUMBER(C2589),C2589&lt;&gt;0),C2590/C2589-1,""),"")</f>
        <v/>
      </c>
      <c r="F2590" s="28">
        <f>IFERROR(D2590-Dashboard!$B$4/252,"")</f>
        <v/>
      </c>
      <c r="G2590" s="28">
        <f>IFERROR(E2590-Dashboard!$B$4/252,"")</f>
        <v/>
      </c>
      <c r="H2590" s="8">
        <f>IFERROR(IF(ISNUMBER(B2590),MAX(B2590,IFERROR(H2589,B2590)),""),"")</f>
        <v/>
      </c>
      <c r="I2590" s="29">
        <f>IFERROR(IF(AND(ISNUMBER(B2590),ISNUMBER(H2590)),B2590/H2590-1,""),"")</f>
        <v/>
      </c>
      <c r="J2590" s="8">
        <f>IFERROR(IF(ISNUMBER(C2590),MAX(C2590,IFERROR(J2589,C2590)),""),"")</f>
        <v/>
      </c>
      <c r="K2590" s="29">
        <f>IFERROR(IF(AND(ISNUMBER(C2590),ISNUMBER(J2590)),C2590/J2590-1,""),"")</f>
        <v/>
      </c>
      <c r="L2590" s="28">
        <f>IFERROR(IF(AND(ISNUMBER(D2590),ISNUMBER(E2590)),D2590-E2590,""),"")</f>
        <v/>
      </c>
    </row>
    <row r="2591">
      <c r="A2591" s="7">
        <f>IFERROR(Datos!A2591,"")</f>
        <v/>
      </c>
      <c r="B2591" s="8">
        <f>IFERROR(Datos!B2591,"")</f>
        <v/>
      </c>
      <c r="C2591" s="8">
        <f>IFERROR(Datos!C2591,"")</f>
        <v/>
      </c>
      <c r="D2591" s="28">
        <f>IFERROR(IF(AND(ISNUMBER(B2591),ISNUMBER(B2590),B2590&lt;&gt;0),B2591/B2590-1,""),"")</f>
        <v/>
      </c>
      <c r="E2591" s="28">
        <f>IFERROR(IF(AND(ISNUMBER(C2591),ISNUMBER(C2590),C2590&lt;&gt;0),C2591/C2590-1,""),"")</f>
        <v/>
      </c>
      <c r="F2591" s="28">
        <f>IFERROR(D2591-Dashboard!$B$4/252,"")</f>
        <v/>
      </c>
      <c r="G2591" s="28">
        <f>IFERROR(E2591-Dashboard!$B$4/252,"")</f>
        <v/>
      </c>
      <c r="H2591" s="8">
        <f>IFERROR(IF(ISNUMBER(B2591),MAX(B2591,IFERROR(H2590,B2591)),""),"")</f>
        <v/>
      </c>
      <c r="I2591" s="29">
        <f>IFERROR(IF(AND(ISNUMBER(B2591),ISNUMBER(H2591)),B2591/H2591-1,""),"")</f>
        <v/>
      </c>
      <c r="J2591" s="8">
        <f>IFERROR(IF(ISNUMBER(C2591),MAX(C2591,IFERROR(J2590,C2591)),""),"")</f>
        <v/>
      </c>
      <c r="K2591" s="29">
        <f>IFERROR(IF(AND(ISNUMBER(C2591),ISNUMBER(J2591)),C2591/J2591-1,""),"")</f>
        <v/>
      </c>
      <c r="L2591" s="28">
        <f>IFERROR(IF(AND(ISNUMBER(D2591),ISNUMBER(E2591)),D2591-E2591,""),"")</f>
        <v/>
      </c>
    </row>
    <row r="2592">
      <c r="A2592" s="7">
        <f>IFERROR(Datos!A2592,"")</f>
        <v/>
      </c>
      <c r="B2592" s="8">
        <f>IFERROR(Datos!B2592,"")</f>
        <v/>
      </c>
      <c r="C2592" s="8">
        <f>IFERROR(Datos!C2592,"")</f>
        <v/>
      </c>
      <c r="D2592" s="28">
        <f>IFERROR(IF(AND(ISNUMBER(B2592),ISNUMBER(B2591),B2591&lt;&gt;0),B2592/B2591-1,""),"")</f>
        <v/>
      </c>
      <c r="E2592" s="28">
        <f>IFERROR(IF(AND(ISNUMBER(C2592),ISNUMBER(C2591),C2591&lt;&gt;0),C2592/C2591-1,""),"")</f>
        <v/>
      </c>
      <c r="F2592" s="28">
        <f>IFERROR(D2592-Dashboard!$B$4/252,"")</f>
        <v/>
      </c>
      <c r="G2592" s="28">
        <f>IFERROR(E2592-Dashboard!$B$4/252,"")</f>
        <v/>
      </c>
      <c r="H2592" s="8">
        <f>IFERROR(IF(ISNUMBER(B2592),MAX(B2592,IFERROR(H2591,B2592)),""),"")</f>
        <v/>
      </c>
      <c r="I2592" s="29">
        <f>IFERROR(IF(AND(ISNUMBER(B2592),ISNUMBER(H2592)),B2592/H2592-1,""),"")</f>
        <v/>
      </c>
      <c r="J2592" s="8">
        <f>IFERROR(IF(ISNUMBER(C2592),MAX(C2592,IFERROR(J2591,C2592)),""),"")</f>
        <v/>
      </c>
      <c r="K2592" s="29">
        <f>IFERROR(IF(AND(ISNUMBER(C2592),ISNUMBER(J2592)),C2592/J2592-1,""),"")</f>
        <v/>
      </c>
      <c r="L2592" s="28">
        <f>IFERROR(IF(AND(ISNUMBER(D2592),ISNUMBER(E2592)),D2592-E2592,""),"")</f>
        <v/>
      </c>
    </row>
    <row r="2593">
      <c r="A2593" s="7">
        <f>IFERROR(Datos!A2593,"")</f>
        <v/>
      </c>
      <c r="B2593" s="8">
        <f>IFERROR(Datos!B2593,"")</f>
        <v/>
      </c>
      <c r="C2593" s="8">
        <f>IFERROR(Datos!C2593,"")</f>
        <v/>
      </c>
      <c r="D2593" s="28">
        <f>IFERROR(IF(AND(ISNUMBER(B2593),ISNUMBER(B2592),B2592&lt;&gt;0),B2593/B2592-1,""),"")</f>
        <v/>
      </c>
      <c r="E2593" s="28">
        <f>IFERROR(IF(AND(ISNUMBER(C2593),ISNUMBER(C2592),C2592&lt;&gt;0),C2593/C2592-1,""),"")</f>
        <v/>
      </c>
      <c r="F2593" s="28">
        <f>IFERROR(D2593-Dashboard!$B$4/252,"")</f>
        <v/>
      </c>
      <c r="G2593" s="28">
        <f>IFERROR(E2593-Dashboard!$B$4/252,"")</f>
        <v/>
      </c>
      <c r="H2593" s="8">
        <f>IFERROR(IF(ISNUMBER(B2593),MAX(B2593,IFERROR(H2592,B2593)),""),"")</f>
        <v/>
      </c>
      <c r="I2593" s="29">
        <f>IFERROR(IF(AND(ISNUMBER(B2593),ISNUMBER(H2593)),B2593/H2593-1,""),"")</f>
        <v/>
      </c>
      <c r="J2593" s="8">
        <f>IFERROR(IF(ISNUMBER(C2593),MAX(C2593,IFERROR(J2592,C2593)),""),"")</f>
        <v/>
      </c>
      <c r="K2593" s="29">
        <f>IFERROR(IF(AND(ISNUMBER(C2593),ISNUMBER(J2593)),C2593/J2593-1,""),"")</f>
        <v/>
      </c>
      <c r="L2593" s="28">
        <f>IFERROR(IF(AND(ISNUMBER(D2593),ISNUMBER(E2593)),D2593-E2593,""),"")</f>
        <v/>
      </c>
    </row>
    <row r="2594">
      <c r="A2594" s="7">
        <f>IFERROR(Datos!A2594,"")</f>
        <v/>
      </c>
      <c r="B2594" s="8">
        <f>IFERROR(Datos!B2594,"")</f>
        <v/>
      </c>
      <c r="C2594" s="8">
        <f>IFERROR(Datos!C2594,"")</f>
        <v/>
      </c>
      <c r="D2594" s="28">
        <f>IFERROR(IF(AND(ISNUMBER(B2594),ISNUMBER(B2593),B2593&lt;&gt;0),B2594/B2593-1,""),"")</f>
        <v/>
      </c>
      <c r="E2594" s="28">
        <f>IFERROR(IF(AND(ISNUMBER(C2594),ISNUMBER(C2593),C2593&lt;&gt;0),C2594/C2593-1,""),"")</f>
        <v/>
      </c>
      <c r="F2594" s="28">
        <f>IFERROR(D2594-Dashboard!$B$4/252,"")</f>
        <v/>
      </c>
      <c r="G2594" s="28">
        <f>IFERROR(E2594-Dashboard!$B$4/252,"")</f>
        <v/>
      </c>
      <c r="H2594" s="8">
        <f>IFERROR(IF(ISNUMBER(B2594),MAX(B2594,IFERROR(H2593,B2594)),""),"")</f>
        <v/>
      </c>
      <c r="I2594" s="29">
        <f>IFERROR(IF(AND(ISNUMBER(B2594),ISNUMBER(H2594)),B2594/H2594-1,""),"")</f>
        <v/>
      </c>
      <c r="J2594" s="8">
        <f>IFERROR(IF(ISNUMBER(C2594),MAX(C2594,IFERROR(J2593,C2594)),""),"")</f>
        <v/>
      </c>
      <c r="K2594" s="29">
        <f>IFERROR(IF(AND(ISNUMBER(C2594),ISNUMBER(J2594)),C2594/J2594-1,""),"")</f>
        <v/>
      </c>
      <c r="L2594" s="28">
        <f>IFERROR(IF(AND(ISNUMBER(D2594),ISNUMBER(E2594)),D2594-E2594,""),"")</f>
        <v/>
      </c>
    </row>
    <row r="2595">
      <c r="A2595" s="7">
        <f>IFERROR(Datos!A2595,"")</f>
        <v/>
      </c>
      <c r="B2595" s="8">
        <f>IFERROR(Datos!B2595,"")</f>
        <v/>
      </c>
      <c r="C2595" s="8">
        <f>IFERROR(Datos!C2595,"")</f>
        <v/>
      </c>
      <c r="D2595" s="28">
        <f>IFERROR(IF(AND(ISNUMBER(B2595),ISNUMBER(B2594),B2594&lt;&gt;0),B2595/B2594-1,""),"")</f>
        <v/>
      </c>
      <c r="E2595" s="28">
        <f>IFERROR(IF(AND(ISNUMBER(C2595),ISNUMBER(C2594),C2594&lt;&gt;0),C2595/C2594-1,""),"")</f>
        <v/>
      </c>
      <c r="F2595" s="28">
        <f>IFERROR(D2595-Dashboard!$B$4/252,"")</f>
        <v/>
      </c>
      <c r="G2595" s="28">
        <f>IFERROR(E2595-Dashboard!$B$4/252,"")</f>
        <v/>
      </c>
      <c r="H2595" s="8">
        <f>IFERROR(IF(ISNUMBER(B2595),MAX(B2595,IFERROR(H2594,B2595)),""),"")</f>
        <v/>
      </c>
      <c r="I2595" s="29">
        <f>IFERROR(IF(AND(ISNUMBER(B2595),ISNUMBER(H2595)),B2595/H2595-1,""),"")</f>
        <v/>
      </c>
      <c r="J2595" s="8">
        <f>IFERROR(IF(ISNUMBER(C2595),MAX(C2595,IFERROR(J2594,C2595)),""),"")</f>
        <v/>
      </c>
      <c r="K2595" s="29">
        <f>IFERROR(IF(AND(ISNUMBER(C2595),ISNUMBER(J2595)),C2595/J2595-1,""),"")</f>
        <v/>
      </c>
      <c r="L2595" s="28">
        <f>IFERROR(IF(AND(ISNUMBER(D2595),ISNUMBER(E2595)),D2595-E2595,""),"")</f>
        <v/>
      </c>
    </row>
    <row r="2596">
      <c r="A2596" s="7">
        <f>IFERROR(Datos!A2596,"")</f>
        <v/>
      </c>
      <c r="B2596" s="8">
        <f>IFERROR(Datos!B2596,"")</f>
        <v/>
      </c>
      <c r="C2596" s="8">
        <f>IFERROR(Datos!C2596,"")</f>
        <v/>
      </c>
      <c r="D2596" s="28">
        <f>IFERROR(IF(AND(ISNUMBER(B2596),ISNUMBER(B2595),B2595&lt;&gt;0),B2596/B2595-1,""),"")</f>
        <v/>
      </c>
      <c r="E2596" s="28">
        <f>IFERROR(IF(AND(ISNUMBER(C2596),ISNUMBER(C2595),C2595&lt;&gt;0),C2596/C2595-1,""),"")</f>
        <v/>
      </c>
      <c r="F2596" s="28">
        <f>IFERROR(D2596-Dashboard!$B$4/252,"")</f>
        <v/>
      </c>
      <c r="G2596" s="28">
        <f>IFERROR(E2596-Dashboard!$B$4/252,"")</f>
        <v/>
      </c>
      <c r="H2596" s="8">
        <f>IFERROR(IF(ISNUMBER(B2596),MAX(B2596,IFERROR(H2595,B2596)),""),"")</f>
        <v/>
      </c>
      <c r="I2596" s="29">
        <f>IFERROR(IF(AND(ISNUMBER(B2596),ISNUMBER(H2596)),B2596/H2596-1,""),"")</f>
        <v/>
      </c>
      <c r="J2596" s="8">
        <f>IFERROR(IF(ISNUMBER(C2596),MAX(C2596,IFERROR(J2595,C2596)),""),"")</f>
        <v/>
      </c>
      <c r="K2596" s="29">
        <f>IFERROR(IF(AND(ISNUMBER(C2596),ISNUMBER(J2596)),C2596/J2596-1,""),"")</f>
        <v/>
      </c>
      <c r="L2596" s="28">
        <f>IFERROR(IF(AND(ISNUMBER(D2596),ISNUMBER(E2596)),D2596-E2596,""),"")</f>
        <v/>
      </c>
    </row>
    <row r="2597">
      <c r="A2597" s="7">
        <f>IFERROR(Datos!A2597,"")</f>
        <v/>
      </c>
      <c r="B2597" s="8">
        <f>IFERROR(Datos!B2597,"")</f>
        <v/>
      </c>
      <c r="C2597" s="8">
        <f>IFERROR(Datos!C2597,"")</f>
        <v/>
      </c>
      <c r="D2597" s="28">
        <f>IFERROR(IF(AND(ISNUMBER(B2597),ISNUMBER(B2596),B2596&lt;&gt;0),B2597/B2596-1,""),"")</f>
        <v/>
      </c>
      <c r="E2597" s="28">
        <f>IFERROR(IF(AND(ISNUMBER(C2597),ISNUMBER(C2596),C2596&lt;&gt;0),C2597/C2596-1,""),"")</f>
        <v/>
      </c>
      <c r="F2597" s="28">
        <f>IFERROR(D2597-Dashboard!$B$4/252,"")</f>
        <v/>
      </c>
      <c r="G2597" s="28">
        <f>IFERROR(E2597-Dashboard!$B$4/252,"")</f>
        <v/>
      </c>
      <c r="H2597" s="8">
        <f>IFERROR(IF(ISNUMBER(B2597),MAX(B2597,IFERROR(H2596,B2597)),""),"")</f>
        <v/>
      </c>
      <c r="I2597" s="29">
        <f>IFERROR(IF(AND(ISNUMBER(B2597),ISNUMBER(H2597)),B2597/H2597-1,""),"")</f>
        <v/>
      </c>
      <c r="J2597" s="8">
        <f>IFERROR(IF(ISNUMBER(C2597),MAX(C2597,IFERROR(J2596,C2597)),""),"")</f>
        <v/>
      </c>
      <c r="K2597" s="29">
        <f>IFERROR(IF(AND(ISNUMBER(C2597),ISNUMBER(J2597)),C2597/J2597-1,""),"")</f>
        <v/>
      </c>
      <c r="L2597" s="28">
        <f>IFERROR(IF(AND(ISNUMBER(D2597),ISNUMBER(E2597)),D2597-E2597,""),"")</f>
        <v/>
      </c>
    </row>
    <row r="2598">
      <c r="A2598" s="7">
        <f>IFERROR(Datos!A2598,"")</f>
        <v/>
      </c>
      <c r="B2598" s="8">
        <f>IFERROR(Datos!B2598,"")</f>
        <v/>
      </c>
      <c r="C2598" s="8">
        <f>IFERROR(Datos!C2598,"")</f>
        <v/>
      </c>
      <c r="D2598" s="28">
        <f>IFERROR(IF(AND(ISNUMBER(B2598),ISNUMBER(B2597),B2597&lt;&gt;0),B2598/B2597-1,""),"")</f>
        <v/>
      </c>
      <c r="E2598" s="28">
        <f>IFERROR(IF(AND(ISNUMBER(C2598),ISNUMBER(C2597),C2597&lt;&gt;0),C2598/C2597-1,""),"")</f>
        <v/>
      </c>
      <c r="F2598" s="28">
        <f>IFERROR(D2598-Dashboard!$B$4/252,"")</f>
        <v/>
      </c>
      <c r="G2598" s="28">
        <f>IFERROR(E2598-Dashboard!$B$4/252,"")</f>
        <v/>
      </c>
      <c r="H2598" s="8">
        <f>IFERROR(IF(ISNUMBER(B2598),MAX(B2598,IFERROR(H2597,B2598)),""),"")</f>
        <v/>
      </c>
      <c r="I2598" s="29">
        <f>IFERROR(IF(AND(ISNUMBER(B2598),ISNUMBER(H2598)),B2598/H2598-1,""),"")</f>
        <v/>
      </c>
      <c r="J2598" s="8">
        <f>IFERROR(IF(ISNUMBER(C2598),MAX(C2598,IFERROR(J2597,C2598)),""),"")</f>
        <v/>
      </c>
      <c r="K2598" s="29">
        <f>IFERROR(IF(AND(ISNUMBER(C2598),ISNUMBER(J2598)),C2598/J2598-1,""),"")</f>
        <v/>
      </c>
      <c r="L2598" s="28">
        <f>IFERROR(IF(AND(ISNUMBER(D2598),ISNUMBER(E2598)),D2598-E2598,""),"")</f>
        <v/>
      </c>
    </row>
    <row r="2599">
      <c r="A2599" s="7">
        <f>IFERROR(Datos!A2599,"")</f>
        <v/>
      </c>
      <c r="B2599" s="8">
        <f>IFERROR(Datos!B2599,"")</f>
        <v/>
      </c>
      <c r="C2599" s="8">
        <f>IFERROR(Datos!C2599,"")</f>
        <v/>
      </c>
      <c r="D2599" s="28">
        <f>IFERROR(IF(AND(ISNUMBER(B2599),ISNUMBER(B2598),B2598&lt;&gt;0),B2599/B2598-1,""),"")</f>
        <v/>
      </c>
      <c r="E2599" s="28">
        <f>IFERROR(IF(AND(ISNUMBER(C2599),ISNUMBER(C2598),C2598&lt;&gt;0),C2599/C2598-1,""),"")</f>
        <v/>
      </c>
      <c r="F2599" s="28">
        <f>IFERROR(D2599-Dashboard!$B$4/252,"")</f>
        <v/>
      </c>
      <c r="G2599" s="28">
        <f>IFERROR(E2599-Dashboard!$B$4/252,"")</f>
        <v/>
      </c>
      <c r="H2599" s="8">
        <f>IFERROR(IF(ISNUMBER(B2599),MAX(B2599,IFERROR(H2598,B2599)),""),"")</f>
        <v/>
      </c>
      <c r="I2599" s="29">
        <f>IFERROR(IF(AND(ISNUMBER(B2599),ISNUMBER(H2599)),B2599/H2599-1,""),"")</f>
        <v/>
      </c>
      <c r="J2599" s="8">
        <f>IFERROR(IF(ISNUMBER(C2599),MAX(C2599,IFERROR(J2598,C2599)),""),"")</f>
        <v/>
      </c>
      <c r="K2599" s="29">
        <f>IFERROR(IF(AND(ISNUMBER(C2599),ISNUMBER(J2599)),C2599/J2599-1,""),"")</f>
        <v/>
      </c>
      <c r="L2599" s="28">
        <f>IFERROR(IF(AND(ISNUMBER(D2599),ISNUMBER(E2599)),D2599-E2599,""),"")</f>
        <v/>
      </c>
    </row>
    <row r="2600">
      <c r="A2600" s="7">
        <f>IFERROR(Datos!A2600,"")</f>
        <v/>
      </c>
      <c r="B2600" s="8">
        <f>IFERROR(Datos!B2600,"")</f>
        <v/>
      </c>
      <c r="C2600" s="8">
        <f>IFERROR(Datos!C2600,"")</f>
        <v/>
      </c>
      <c r="D2600" s="28">
        <f>IFERROR(IF(AND(ISNUMBER(B2600),ISNUMBER(B2599),B2599&lt;&gt;0),B2600/B2599-1,""),"")</f>
        <v/>
      </c>
      <c r="E2600" s="28">
        <f>IFERROR(IF(AND(ISNUMBER(C2600),ISNUMBER(C2599),C2599&lt;&gt;0),C2600/C2599-1,""),"")</f>
        <v/>
      </c>
      <c r="F2600" s="28">
        <f>IFERROR(D2600-Dashboard!$B$4/252,"")</f>
        <v/>
      </c>
      <c r="G2600" s="28">
        <f>IFERROR(E2600-Dashboard!$B$4/252,"")</f>
        <v/>
      </c>
      <c r="H2600" s="8">
        <f>IFERROR(IF(ISNUMBER(B2600),MAX(B2600,IFERROR(H2599,B2600)),""),"")</f>
        <v/>
      </c>
      <c r="I2600" s="29">
        <f>IFERROR(IF(AND(ISNUMBER(B2600),ISNUMBER(H2600)),B2600/H2600-1,""),"")</f>
        <v/>
      </c>
      <c r="J2600" s="8">
        <f>IFERROR(IF(ISNUMBER(C2600),MAX(C2600,IFERROR(J2599,C2600)),""),"")</f>
        <v/>
      </c>
      <c r="K2600" s="29">
        <f>IFERROR(IF(AND(ISNUMBER(C2600),ISNUMBER(J2600)),C2600/J2600-1,""),"")</f>
        <v/>
      </c>
      <c r="L2600" s="28">
        <f>IFERROR(IF(AND(ISNUMBER(D2600),ISNUMBER(E2600)),D2600-E2600,""),"")</f>
        <v/>
      </c>
    </row>
    <row r="2601">
      <c r="A2601" s="7">
        <f>IFERROR(Datos!A2601,"")</f>
        <v/>
      </c>
      <c r="B2601" s="8">
        <f>IFERROR(Datos!B2601,"")</f>
        <v/>
      </c>
      <c r="C2601" s="8">
        <f>IFERROR(Datos!C2601,"")</f>
        <v/>
      </c>
      <c r="D2601" s="28">
        <f>IFERROR(IF(AND(ISNUMBER(B2601),ISNUMBER(B2600),B2600&lt;&gt;0),B2601/B2600-1,""),"")</f>
        <v/>
      </c>
      <c r="E2601" s="28">
        <f>IFERROR(IF(AND(ISNUMBER(C2601),ISNUMBER(C2600),C2600&lt;&gt;0),C2601/C2600-1,""),"")</f>
        <v/>
      </c>
      <c r="F2601" s="28">
        <f>IFERROR(D2601-Dashboard!$B$4/252,"")</f>
        <v/>
      </c>
      <c r="G2601" s="28">
        <f>IFERROR(E2601-Dashboard!$B$4/252,"")</f>
        <v/>
      </c>
      <c r="H2601" s="8">
        <f>IFERROR(IF(ISNUMBER(B2601),MAX(B2601,IFERROR(H2600,B2601)),""),"")</f>
        <v/>
      </c>
      <c r="I2601" s="29">
        <f>IFERROR(IF(AND(ISNUMBER(B2601),ISNUMBER(H2601)),B2601/H2601-1,""),"")</f>
        <v/>
      </c>
      <c r="J2601" s="8">
        <f>IFERROR(IF(ISNUMBER(C2601),MAX(C2601,IFERROR(J2600,C2601)),""),"")</f>
        <v/>
      </c>
      <c r="K2601" s="29">
        <f>IFERROR(IF(AND(ISNUMBER(C2601),ISNUMBER(J2601)),C2601/J2601-1,""),"")</f>
        <v/>
      </c>
      <c r="L2601" s="28">
        <f>IFERROR(IF(AND(ISNUMBER(D2601),ISNUMBER(E2601)),D2601-E2601,""),"")</f>
        <v/>
      </c>
    </row>
    <row r="2602">
      <c r="A2602" s="7">
        <f>IFERROR(Datos!A2602,"")</f>
        <v/>
      </c>
      <c r="B2602" s="8">
        <f>IFERROR(Datos!B2602,"")</f>
        <v/>
      </c>
      <c r="C2602" s="8">
        <f>IFERROR(Datos!C2602,"")</f>
        <v/>
      </c>
      <c r="D2602" s="28">
        <f>IFERROR(IF(AND(ISNUMBER(B2602),ISNUMBER(B2601),B2601&lt;&gt;0),B2602/B2601-1,""),"")</f>
        <v/>
      </c>
      <c r="E2602" s="28">
        <f>IFERROR(IF(AND(ISNUMBER(C2602),ISNUMBER(C2601),C2601&lt;&gt;0),C2602/C2601-1,""),"")</f>
        <v/>
      </c>
      <c r="F2602" s="28">
        <f>IFERROR(D2602-Dashboard!$B$4/252,"")</f>
        <v/>
      </c>
      <c r="G2602" s="28">
        <f>IFERROR(E2602-Dashboard!$B$4/252,"")</f>
        <v/>
      </c>
      <c r="H2602" s="8">
        <f>IFERROR(IF(ISNUMBER(B2602),MAX(B2602,IFERROR(H2601,B2602)),""),"")</f>
        <v/>
      </c>
      <c r="I2602" s="29">
        <f>IFERROR(IF(AND(ISNUMBER(B2602),ISNUMBER(H2602)),B2602/H2602-1,""),"")</f>
        <v/>
      </c>
      <c r="J2602" s="8">
        <f>IFERROR(IF(ISNUMBER(C2602),MAX(C2602,IFERROR(J2601,C2602)),""),"")</f>
        <v/>
      </c>
      <c r="K2602" s="29">
        <f>IFERROR(IF(AND(ISNUMBER(C2602),ISNUMBER(J2602)),C2602/J2602-1,""),"")</f>
        <v/>
      </c>
      <c r="L2602" s="28">
        <f>IFERROR(IF(AND(ISNUMBER(D2602),ISNUMBER(E2602)),D2602-E2602,""),"")</f>
        <v/>
      </c>
    </row>
    <row r="2603">
      <c r="A2603" s="7">
        <f>IFERROR(Datos!A2603,"")</f>
        <v/>
      </c>
      <c r="B2603" s="8">
        <f>IFERROR(Datos!B2603,"")</f>
        <v/>
      </c>
      <c r="C2603" s="8">
        <f>IFERROR(Datos!C2603,"")</f>
        <v/>
      </c>
      <c r="D2603" s="28">
        <f>IFERROR(IF(AND(ISNUMBER(B2603),ISNUMBER(B2602),B2602&lt;&gt;0),B2603/B2602-1,""),"")</f>
        <v/>
      </c>
      <c r="E2603" s="28">
        <f>IFERROR(IF(AND(ISNUMBER(C2603),ISNUMBER(C2602),C2602&lt;&gt;0),C2603/C2602-1,""),"")</f>
        <v/>
      </c>
      <c r="F2603" s="28">
        <f>IFERROR(D2603-Dashboard!$B$4/252,"")</f>
        <v/>
      </c>
      <c r="G2603" s="28">
        <f>IFERROR(E2603-Dashboard!$B$4/252,"")</f>
        <v/>
      </c>
      <c r="H2603" s="8">
        <f>IFERROR(IF(ISNUMBER(B2603),MAX(B2603,IFERROR(H2602,B2603)),""),"")</f>
        <v/>
      </c>
      <c r="I2603" s="29">
        <f>IFERROR(IF(AND(ISNUMBER(B2603),ISNUMBER(H2603)),B2603/H2603-1,""),"")</f>
        <v/>
      </c>
      <c r="J2603" s="8">
        <f>IFERROR(IF(ISNUMBER(C2603),MAX(C2603,IFERROR(J2602,C2603)),""),"")</f>
        <v/>
      </c>
      <c r="K2603" s="29">
        <f>IFERROR(IF(AND(ISNUMBER(C2603),ISNUMBER(J2603)),C2603/J2603-1,""),"")</f>
        <v/>
      </c>
      <c r="L2603" s="28">
        <f>IFERROR(IF(AND(ISNUMBER(D2603),ISNUMBER(E2603)),D2603-E2603,""),"")</f>
        <v/>
      </c>
    </row>
    <row r="2604">
      <c r="A2604" s="7">
        <f>IFERROR(Datos!A2604,"")</f>
        <v/>
      </c>
      <c r="B2604" s="8">
        <f>IFERROR(Datos!B2604,"")</f>
        <v/>
      </c>
      <c r="C2604" s="8">
        <f>IFERROR(Datos!C2604,"")</f>
        <v/>
      </c>
      <c r="D2604" s="28">
        <f>IFERROR(IF(AND(ISNUMBER(B2604),ISNUMBER(B2603),B2603&lt;&gt;0),B2604/B2603-1,""),"")</f>
        <v/>
      </c>
      <c r="E2604" s="28">
        <f>IFERROR(IF(AND(ISNUMBER(C2604),ISNUMBER(C2603),C2603&lt;&gt;0),C2604/C2603-1,""),"")</f>
        <v/>
      </c>
      <c r="F2604" s="28">
        <f>IFERROR(D2604-Dashboard!$B$4/252,"")</f>
        <v/>
      </c>
      <c r="G2604" s="28">
        <f>IFERROR(E2604-Dashboard!$B$4/252,"")</f>
        <v/>
      </c>
      <c r="H2604" s="8">
        <f>IFERROR(IF(ISNUMBER(B2604),MAX(B2604,IFERROR(H2603,B2604)),""),"")</f>
        <v/>
      </c>
      <c r="I2604" s="29">
        <f>IFERROR(IF(AND(ISNUMBER(B2604),ISNUMBER(H2604)),B2604/H2604-1,""),"")</f>
        <v/>
      </c>
      <c r="J2604" s="8">
        <f>IFERROR(IF(ISNUMBER(C2604),MAX(C2604,IFERROR(J2603,C2604)),""),"")</f>
        <v/>
      </c>
      <c r="K2604" s="29">
        <f>IFERROR(IF(AND(ISNUMBER(C2604),ISNUMBER(J2604)),C2604/J2604-1,""),"")</f>
        <v/>
      </c>
      <c r="L2604" s="28">
        <f>IFERROR(IF(AND(ISNUMBER(D2604),ISNUMBER(E2604)),D2604-E2604,""),"")</f>
        <v/>
      </c>
    </row>
    <row r="2605">
      <c r="A2605" s="7">
        <f>IFERROR(Datos!A2605,"")</f>
        <v/>
      </c>
      <c r="B2605" s="8">
        <f>IFERROR(Datos!B2605,"")</f>
        <v/>
      </c>
      <c r="C2605" s="8">
        <f>IFERROR(Datos!C2605,"")</f>
        <v/>
      </c>
      <c r="D2605" s="28">
        <f>IFERROR(IF(AND(ISNUMBER(B2605),ISNUMBER(B2604),B2604&lt;&gt;0),B2605/B2604-1,""),"")</f>
        <v/>
      </c>
      <c r="E2605" s="28">
        <f>IFERROR(IF(AND(ISNUMBER(C2605),ISNUMBER(C2604),C2604&lt;&gt;0),C2605/C2604-1,""),"")</f>
        <v/>
      </c>
      <c r="F2605" s="28">
        <f>IFERROR(D2605-Dashboard!$B$4/252,"")</f>
        <v/>
      </c>
      <c r="G2605" s="28">
        <f>IFERROR(E2605-Dashboard!$B$4/252,"")</f>
        <v/>
      </c>
      <c r="H2605" s="8">
        <f>IFERROR(IF(ISNUMBER(B2605),MAX(B2605,IFERROR(H2604,B2605)),""),"")</f>
        <v/>
      </c>
      <c r="I2605" s="29">
        <f>IFERROR(IF(AND(ISNUMBER(B2605),ISNUMBER(H2605)),B2605/H2605-1,""),"")</f>
        <v/>
      </c>
      <c r="J2605" s="8">
        <f>IFERROR(IF(ISNUMBER(C2605),MAX(C2605,IFERROR(J2604,C2605)),""),"")</f>
        <v/>
      </c>
      <c r="K2605" s="29">
        <f>IFERROR(IF(AND(ISNUMBER(C2605),ISNUMBER(J2605)),C2605/J2605-1,""),"")</f>
        <v/>
      </c>
      <c r="L2605" s="28">
        <f>IFERROR(IF(AND(ISNUMBER(D2605),ISNUMBER(E2605)),D2605-E2605,""),"")</f>
        <v/>
      </c>
    </row>
    <row r="2606">
      <c r="A2606" s="7">
        <f>IFERROR(Datos!A2606,"")</f>
        <v/>
      </c>
      <c r="B2606" s="8">
        <f>IFERROR(Datos!B2606,"")</f>
        <v/>
      </c>
      <c r="C2606" s="8">
        <f>IFERROR(Datos!C2606,"")</f>
        <v/>
      </c>
      <c r="D2606" s="28">
        <f>IFERROR(IF(AND(ISNUMBER(B2606),ISNUMBER(B2605),B2605&lt;&gt;0),B2606/B2605-1,""),"")</f>
        <v/>
      </c>
      <c r="E2606" s="28">
        <f>IFERROR(IF(AND(ISNUMBER(C2606),ISNUMBER(C2605),C2605&lt;&gt;0),C2606/C2605-1,""),"")</f>
        <v/>
      </c>
      <c r="F2606" s="28">
        <f>IFERROR(D2606-Dashboard!$B$4/252,"")</f>
        <v/>
      </c>
      <c r="G2606" s="28">
        <f>IFERROR(E2606-Dashboard!$B$4/252,"")</f>
        <v/>
      </c>
      <c r="H2606" s="8">
        <f>IFERROR(IF(ISNUMBER(B2606),MAX(B2606,IFERROR(H2605,B2606)),""),"")</f>
        <v/>
      </c>
      <c r="I2606" s="29">
        <f>IFERROR(IF(AND(ISNUMBER(B2606),ISNUMBER(H2606)),B2606/H2606-1,""),"")</f>
        <v/>
      </c>
      <c r="J2606" s="8">
        <f>IFERROR(IF(ISNUMBER(C2606),MAX(C2606,IFERROR(J2605,C2606)),""),"")</f>
        <v/>
      </c>
      <c r="K2606" s="29">
        <f>IFERROR(IF(AND(ISNUMBER(C2606),ISNUMBER(J2606)),C2606/J2606-1,""),"")</f>
        <v/>
      </c>
      <c r="L2606" s="28">
        <f>IFERROR(IF(AND(ISNUMBER(D2606),ISNUMBER(E2606)),D2606-E2606,""),"")</f>
        <v/>
      </c>
    </row>
    <row r="2607">
      <c r="A2607" s="7">
        <f>IFERROR(Datos!A2607,"")</f>
        <v/>
      </c>
      <c r="B2607" s="8">
        <f>IFERROR(Datos!B2607,"")</f>
        <v/>
      </c>
      <c r="C2607" s="8">
        <f>IFERROR(Datos!C2607,"")</f>
        <v/>
      </c>
      <c r="D2607" s="28">
        <f>IFERROR(IF(AND(ISNUMBER(B2607),ISNUMBER(B2606),B2606&lt;&gt;0),B2607/B2606-1,""),"")</f>
        <v/>
      </c>
      <c r="E2607" s="28">
        <f>IFERROR(IF(AND(ISNUMBER(C2607),ISNUMBER(C2606),C2606&lt;&gt;0),C2607/C2606-1,""),"")</f>
        <v/>
      </c>
      <c r="F2607" s="28">
        <f>IFERROR(D2607-Dashboard!$B$4/252,"")</f>
        <v/>
      </c>
      <c r="G2607" s="28">
        <f>IFERROR(E2607-Dashboard!$B$4/252,"")</f>
        <v/>
      </c>
      <c r="H2607" s="8">
        <f>IFERROR(IF(ISNUMBER(B2607),MAX(B2607,IFERROR(H2606,B2607)),""),"")</f>
        <v/>
      </c>
      <c r="I2607" s="29">
        <f>IFERROR(IF(AND(ISNUMBER(B2607),ISNUMBER(H2607)),B2607/H2607-1,""),"")</f>
        <v/>
      </c>
      <c r="J2607" s="8">
        <f>IFERROR(IF(ISNUMBER(C2607),MAX(C2607,IFERROR(J2606,C2607)),""),"")</f>
        <v/>
      </c>
      <c r="K2607" s="29">
        <f>IFERROR(IF(AND(ISNUMBER(C2607),ISNUMBER(J2607)),C2607/J2607-1,""),"")</f>
        <v/>
      </c>
      <c r="L2607" s="28">
        <f>IFERROR(IF(AND(ISNUMBER(D2607),ISNUMBER(E2607)),D2607-E2607,""),"")</f>
        <v/>
      </c>
    </row>
    <row r="2608">
      <c r="A2608" s="7">
        <f>IFERROR(Datos!A2608,"")</f>
        <v/>
      </c>
      <c r="B2608" s="8">
        <f>IFERROR(Datos!B2608,"")</f>
        <v/>
      </c>
      <c r="C2608" s="8">
        <f>IFERROR(Datos!C2608,"")</f>
        <v/>
      </c>
      <c r="D2608" s="28">
        <f>IFERROR(IF(AND(ISNUMBER(B2608),ISNUMBER(B2607),B2607&lt;&gt;0),B2608/B2607-1,""),"")</f>
        <v/>
      </c>
      <c r="E2608" s="28">
        <f>IFERROR(IF(AND(ISNUMBER(C2608),ISNUMBER(C2607),C2607&lt;&gt;0),C2608/C2607-1,""),"")</f>
        <v/>
      </c>
      <c r="F2608" s="28">
        <f>IFERROR(D2608-Dashboard!$B$4/252,"")</f>
        <v/>
      </c>
      <c r="G2608" s="28">
        <f>IFERROR(E2608-Dashboard!$B$4/252,"")</f>
        <v/>
      </c>
      <c r="H2608" s="8">
        <f>IFERROR(IF(ISNUMBER(B2608),MAX(B2608,IFERROR(H2607,B2608)),""),"")</f>
        <v/>
      </c>
      <c r="I2608" s="29">
        <f>IFERROR(IF(AND(ISNUMBER(B2608),ISNUMBER(H2608)),B2608/H2608-1,""),"")</f>
        <v/>
      </c>
      <c r="J2608" s="8">
        <f>IFERROR(IF(ISNUMBER(C2608),MAX(C2608,IFERROR(J2607,C2608)),""),"")</f>
        <v/>
      </c>
      <c r="K2608" s="29">
        <f>IFERROR(IF(AND(ISNUMBER(C2608),ISNUMBER(J2608)),C2608/J2608-1,""),"")</f>
        <v/>
      </c>
      <c r="L2608" s="28">
        <f>IFERROR(IF(AND(ISNUMBER(D2608),ISNUMBER(E2608)),D2608-E2608,""),"")</f>
        <v/>
      </c>
    </row>
    <row r="2609">
      <c r="A2609" s="7">
        <f>IFERROR(Datos!A2609,"")</f>
        <v/>
      </c>
      <c r="B2609" s="8">
        <f>IFERROR(Datos!B2609,"")</f>
        <v/>
      </c>
      <c r="C2609" s="8">
        <f>IFERROR(Datos!C2609,"")</f>
        <v/>
      </c>
      <c r="D2609" s="28">
        <f>IFERROR(IF(AND(ISNUMBER(B2609),ISNUMBER(B2608),B2608&lt;&gt;0),B2609/B2608-1,""),"")</f>
        <v/>
      </c>
      <c r="E2609" s="28">
        <f>IFERROR(IF(AND(ISNUMBER(C2609),ISNUMBER(C2608),C2608&lt;&gt;0),C2609/C2608-1,""),"")</f>
        <v/>
      </c>
      <c r="F2609" s="28">
        <f>IFERROR(D2609-Dashboard!$B$4/252,"")</f>
        <v/>
      </c>
      <c r="G2609" s="28">
        <f>IFERROR(E2609-Dashboard!$B$4/252,"")</f>
        <v/>
      </c>
      <c r="H2609" s="8">
        <f>IFERROR(IF(ISNUMBER(B2609),MAX(B2609,IFERROR(H2608,B2609)),""),"")</f>
        <v/>
      </c>
      <c r="I2609" s="29">
        <f>IFERROR(IF(AND(ISNUMBER(B2609),ISNUMBER(H2609)),B2609/H2609-1,""),"")</f>
        <v/>
      </c>
      <c r="J2609" s="8">
        <f>IFERROR(IF(ISNUMBER(C2609),MAX(C2609,IFERROR(J2608,C2609)),""),"")</f>
        <v/>
      </c>
      <c r="K2609" s="29">
        <f>IFERROR(IF(AND(ISNUMBER(C2609),ISNUMBER(J2609)),C2609/J2609-1,""),"")</f>
        <v/>
      </c>
      <c r="L2609" s="28">
        <f>IFERROR(IF(AND(ISNUMBER(D2609),ISNUMBER(E2609)),D2609-E2609,""),"")</f>
        <v/>
      </c>
    </row>
    <row r="2610">
      <c r="A2610" s="7">
        <f>IFERROR(Datos!A2610,"")</f>
        <v/>
      </c>
      <c r="B2610" s="8">
        <f>IFERROR(Datos!B2610,"")</f>
        <v/>
      </c>
      <c r="C2610" s="8">
        <f>IFERROR(Datos!C2610,"")</f>
        <v/>
      </c>
      <c r="D2610" s="28">
        <f>IFERROR(IF(AND(ISNUMBER(B2610),ISNUMBER(B2609),B2609&lt;&gt;0),B2610/B2609-1,""),"")</f>
        <v/>
      </c>
      <c r="E2610" s="28">
        <f>IFERROR(IF(AND(ISNUMBER(C2610),ISNUMBER(C2609),C2609&lt;&gt;0),C2610/C2609-1,""),"")</f>
        <v/>
      </c>
      <c r="F2610" s="28">
        <f>IFERROR(D2610-Dashboard!$B$4/252,"")</f>
        <v/>
      </c>
      <c r="G2610" s="28">
        <f>IFERROR(E2610-Dashboard!$B$4/252,"")</f>
        <v/>
      </c>
      <c r="H2610" s="8">
        <f>IFERROR(IF(ISNUMBER(B2610),MAX(B2610,IFERROR(H2609,B2610)),""),"")</f>
        <v/>
      </c>
      <c r="I2610" s="29">
        <f>IFERROR(IF(AND(ISNUMBER(B2610),ISNUMBER(H2610)),B2610/H2610-1,""),"")</f>
        <v/>
      </c>
      <c r="J2610" s="8">
        <f>IFERROR(IF(ISNUMBER(C2610),MAX(C2610,IFERROR(J2609,C2610)),""),"")</f>
        <v/>
      </c>
      <c r="K2610" s="29">
        <f>IFERROR(IF(AND(ISNUMBER(C2610),ISNUMBER(J2610)),C2610/J2610-1,""),"")</f>
        <v/>
      </c>
      <c r="L2610" s="28">
        <f>IFERROR(IF(AND(ISNUMBER(D2610),ISNUMBER(E2610)),D2610-E2610,""),"")</f>
        <v/>
      </c>
    </row>
    <row r="2611">
      <c r="A2611" s="7">
        <f>IFERROR(Datos!A2611,"")</f>
        <v/>
      </c>
      <c r="B2611" s="8">
        <f>IFERROR(Datos!B2611,"")</f>
        <v/>
      </c>
      <c r="C2611" s="8">
        <f>IFERROR(Datos!C2611,"")</f>
        <v/>
      </c>
      <c r="D2611" s="28">
        <f>IFERROR(IF(AND(ISNUMBER(B2611),ISNUMBER(B2610),B2610&lt;&gt;0),B2611/B2610-1,""),"")</f>
        <v/>
      </c>
      <c r="E2611" s="28">
        <f>IFERROR(IF(AND(ISNUMBER(C2611),ISNUMBER(C2610),C2610&lt;&gt;0),C2611/C2610-1,""),"")</f>
        <v/>
      </c>
      <c r="F2611" s="28">
        <f>IFERROR(D2611-Dashboard!$B$4/252,"")</f>
        <v/>
      </c>
      <c r="G2611" s="28">
        <f>IFERROR(E2611-Dashboard!$B$4/252,"")</f>
        <v/>
      </c>
      <c r="H2611" s="8">
        <f>IFERROR(IF(ISNUMBER(B2611),MAX(B2611,IFERROR(H2610,B2611)),""),"")</f>
        <v/>
      </c>
      <c r="I2611" s="29">
        <f>IFERROR(IF(AND(ISNUMBER(B2611),ISNUMBER(H2611)),B2611/H2611-1,""),"")</f>
        <v/>
      </c>
      <c r="J2611" s="8">
        <f>IFERROR(IF(ISNUMBER(C2611),MAX(C2611,IFERROR(J2610,C2611)),""),"")</f>
        <v/>
      </c>
      <c r="K2611" s="29">
        <f>IFERROR(IF(AND(ISNUMBER(C2611),ISNUMBER(J2611)),C2611/J2611-1,""),"")</f>
        <v/>
      </c>
      <c r="L2611" s="28">
        <f>IFERROR(IF(AND(ISNUMBER(D2611),ISNUMBER(E2611)),D2611-E2611,""),"")</f>
        <v/>
      </c>
    </row>
    <row r="2612">
      <c r="A2612" s="7">
        <f>IFERROR(Datos!A2612,"")</f>
        <v/>
      </c>
      <c r="B2612" s="8">
        <f>IFERROR(Datos!B2612,"")</f>
        <v/>
      </c>
      <c r="C2612" s="8">
        <f>IFERROR(Datos!C2612,"")</f>
        <v/>
      </c>
      <c r="D2612" s="28">
        <f>IFERROR(IF(AND(ISNUMBER(B2612),ISNUMBER(B2611),B2611&lt;&gt;0),B2612/B2611-1,""),"")</f>
        <v/>
      </c>
      <c r="E2612" s="28">
        <f>IFERROR(IF(AND(ISNUMBER(C2612),ISNUMBER(C2611),C2611&lt;&gt;0),C2612/C2611-1,""),"")</f>
        <v/>
      </c>
      <c r="F2612" s="28">
        <f>IFERROR(D2612-Dashboard!$B$4/252,"")</f>
        <v/>
      </c>
      <c r="G2612" s="28">
        <f>IFERROR(E2612-Dashboard!$B$4/252,"")</f>
        <v/>
      </c>
      <c r="H2612" s="8">
        <f>IFERROR(IF(ISNUMBER(B2612),MAX(B2612,IFERROR(H2611,B2612)),""),"")</f>
        <v/>
      </c>
      <c r="I2612" s="29">
        <f>IFERROR(IF(AND(ISNUMBER(B2612),ISNUMBER(H2612)),B2612/H2612-1,""),"")</f>
        <v/>
      </c>
      <c r="J2612" s="8">
        <f>IFERROR(IF(ISNUMBER(C2612),MAX(C2612,IFERROR(J2611,C2612)),""),"")</f>
        <v/>
      </c>
      <c r="K2612" s="29">
        <f>IFERROR(IF(AND(ISNUMBER(C2612),ISNUMBER(J2612)),C2612/J2612-1,""),"")</f>
        <v/>
      </c>
      <c r="L2612" s="28">
        <f>IFERROR(IF(AND(ISNUMBER(D2612),ISNUMBER(E2612)),D2612-E2612,""),"")</f>
        <v/>
      </c>
    </row>
    <row r="2613">
      <c r="A2613" s="7">
        <f>IFERROR(Datos!A2613,"")</f>
        <v/>
      </c>
      <c r="B2613" s="8">
        <f>IFERROR(Datos!B2613,"")</f>
        <v/>
      </c>
      <c r="C2613" s="8">
        <f>IFERROR(Datos!C2613,"")</f>
        <v/>
      </c>
      <c r="D2613" s="28">
        <f>IFERROR(IF(AND(ISNUMBER(B2613),ISNUMBER(B2612),B2612&lt;&gt;0),B2613/B2612-1,""),"")</f>
        <v/>
      </c>
      <c r="E2613" s="28">
        <f>IFERROR(IF(AND(ISNUMBER(C2613),ISNUMBER(C2612),C2612&lt;&gt;0),C2613/C2612-1,""),"")</f>
        <v/>
      </c>
      <c r="F2613" s="28">
        <f>IFERROR(D2613-Dashboard!$B$4/252,"")</f>
        <v/>
      </c>
      <c r="G2613" s="28">
        <f>IFERROR(E2613-Dashboard!$B$4/252,"")</f>
        <v/>
      </c>
      <c r="H2613" s="8">
        <f>IFERROR(IF(ISNUMBER(B2613),MAX(B2613,IFERROR(H2612,B2613)),""),"")</f>
        <v/>
      </c>
      <c r="I2613" s="29">
        <f>IFERROR(IF(AND(ISNUMBER(B2613),ISNUMBER(H2613)),B2613/H2613-1,""),"")</f>
        <v/>
      </c>
      <c r="J2613" s="8">
        <f>IFERROR(IF(ISNUMBER(C2613),MAX(C2613,IFERROR(J2612,C2613)),""),"")</f>
        <v/>
      </c>
      <c r="K2613" s="29">
        <f>IFERROR(IF(AND(ISNUMBER(C2613),ISNUMBER(J2613)),C2613/J2613-1,""),"")</f>
        <v/>
      </c>
      <c r="L2613" s="28">
        <f>IFERROR(IF(AND(ISNUMBER(D2613),ISNUMBER(E2613)),D2613-E2613,""),"")</f>
        <v/>
      </c>
    </row>
    <row r="2614">
      <c r="A2614" s="7">
        <f>IFERROR(Datos!A2614,"")</f>
        <v/>
      </c>
      <c r="B2614" s="8">
        <f>IFERROR(Datos!B2614,"")</f>
        <v/>
      </c>
      <c r="C2614" s="8">
        <f>IFERROR(Datos!C2614,"")</f>
        <v/>
      </c>
      <c r="D2614" s="28">
        <f>IFERROR(IF(AND(ISNUMBER(B2614),ISNUMBER(B2613),B2613&lt;&gt;0),B2614/B2613-1,""),"")</f>
        <v/>
      </c>
      <c r="E2614" s="28">
        <f>IFERROR(IF(AND(ISNUMBER(C2614),ISNUMBER(C2613),C2613&lt;&gt;0),C2614/C2613-1,""),"")</f>
        <v/>
      </c>
      <c r="F2614" s="28">
        <f>IFERROR(D2614-Dashboard!$B$4/252,"")</f>
        <v/>
      </c>
      <c r="G2614" s="28">
        <f>IFERROR(E2614-Dashboard!$B$4/252,"")</f>
        <v/>
      </c>
      <c r="H2614" s="8">
        <f>IFERROR(IF(ISNUMBER(B2614),MAX(B2614,IFERROR(H2613,B2614)),""),"")</f>
        <v/>
      </c>
      <c r="I2614" s="29">
        <f>IFERROR(IF(AND(ISNUMBER(B2614),ISNUMBER(H2614)),B2614/H2614-1,""),"")</f>
        <v/>
      </c>
      <c r="J2614" s="8">
        <f>IFERROR(IF(ISNUMBER(C2614),MAX(C2614,IFERROR(J2613,C2614)),""),"")</f>
        <v/>
      </c>
      <c r="K2614" s="29">
        <f>IFERROR(IF(AND(ISNUMBER(C2614),ISNUMBER(J2614)),C2614/J2614-1,""),"")</f>
        <v/>
      </c>
      <c r="L2614" s="28">
        <f>IFERROR(IF(AND(ISNUMBER(D2614),ISNUMBER(E2614)),D2614-E2614,""),"")</f>
        <v/>
      </c>
    </row>
    <row r="2615">
      <c r="A2615" s="7">
        <f>IFERROR(Datos!A2615,"")</f>
        <v/>
      </c>
      <c r="B2615" s="8">
        <f>IFERROR(Datos!B2615,"")</f>
        <v/>
      </c>
      <c r="C2615" s="8">
        <f>IFERROR(Datos!C2615,"")</f>
        <v/>
      </c>
      <c r="D2615" s="28">
        <f>IFERROR(IF(AND(ISNUMBER(B2615),ISNUMBER(B2614),B2614&lt;&gt;0),B2615/B2614-1,""),"")</f>
        <v/>
      </c>
      <c r="E2615" s="28">
        <f>IFERROR(IF(AND(ISNUMBER(C2615),ISNUMBER(C2614),C2614&lt;&gt;0),C2615/C2614-1,""),"")</f>
        <v/>
      </c>
      <c r="F2615" s="28">
        <f>IFERROR(D2615-Dashboard!$B$4/252,"")</f>
        <v/>
      </c>
      <c r="G2615" s="28">
        <f>IFERROR(E2615-Dashboard!$B$4/252,"")</f>
        <v/>
      </c>
      <c r="H2615" s="8">
        <f>IFERROR(IF(ISNUMBER(B2615),MAX(B2615,IFERROR(H2614,B2615)),""),"")</f>
        <v/>
      </c>
      <c r="I2615" s="29">
        <f>IFERROR(IF(AND(ISNUMBER(B2615),ISNUMBER(H2615)),B2615/H2615-1,""),"")</f>
        <v/>
      </c>
      <c r="J2615" s="8">
        <f>IFERROR(IF(ISNUMBER(C2615),MAX(C2615,IFERROR(J2614,C2615)),""),"")</f>
        <v/>
      </c>
      <c r="K2615" s="29">
        <f>IFERROR(IF(AND(ISNUMBER(C2615),ISNUMBER(J2615)),C2615/J2615-1,""),"")</f>
        <v/>
      </c>
      <c r="L2615" s="28">
        <f>IFERROR(IF(AND(ISNUMBER(D2615),ISNUMBER(E2615)),D2615-E2615,""),"")</f>
        <v/>
      </c>
    </row>
    <row r="2616">
      <c r="A2616" s="7">
        <f>IFERROR(Datos!A2616,"")</f>
        <v/>
      </c>
      <c r="B2616" s="8">
        <f>IFERROR(Datos!B2616,"")</f>
        <v/>
      </c>
      <c r="C2616" s="8">
        <f>IFERROR(Datos!C2616,"")</f>
        <v/>
      </c>
      <c r="D2616" s="28">
        <f>IFERROR(IF(AND(ISNUMBER(B2616),ISNUMBER(B2615),B2615&lt;&gt;0),B2616/B2615-1,""),"")</f>
        <v/>
      </c>
      <c r="E2616" s="28">
        <f>IFERROR(IF(AND(ISNUMBER(C2616),ISNUMBER(C2615),C2615&lt;&gt;0),C2616/C2615-1,""),"")</f>
        <v/>
      </c>
      <c r="F2616" s="28">
        <f>IFERROR(D2616-Dashboard!$B$4/252,"")</f>
        <v/>
      </c>
      <c r="G2616" s="28">
        <f>IFERROR(E2616-Dashboard!$B$4/252,"")</f>
        <v/>
      </c>
      <c r="H2616" s="8">
        <f>IFERROR(IF(ISNUMBER(B2616),MAX(B2616,IFERROR(H2615,B2616)),""),"")</f>
        <v/>
      </c>
      <c r="I2616" s="29">
        <f>IFERROR(IF(AND(ISNUMBER(B2616),ISNUMBER(H2616)),B2616/H2616-1,""),"")</f>
        <v/>
      </c>
      <c r="J2616" s="8">
        <f>IFERROR(IF(ISNUMBER(C2616),MAX(C2616,IFERROR(J2615,C2616)),""),"")</f>
        <v/>
      </c>
      <c r="K2616" s="29">
        <f>IFERROR(IF(AND(ISNUMBER(C2616),ISNUMBER(J2616)),C2616/J2616-1,""),"")</f>
        <v/>
      </c>
      <c r="L2616" s="28">
        <f>IFERROR(IF(AND(ISNUMBER(D2616),ISNUMBER(E2616)),D2616-E2616,""),"")</f>
        <v/>
      </c>
    </row>
    <row r="2617">
      <c r="A2617" s="7">
        <f>IFERROR(Datos!A2617,"")</f>
        <v/>
      </c>
      <c r="B2617" s="8">
        <f>IFERROR(Datos!B2617,"")</f>
        <v/>
      </c>
      <c r="C2617" s="8">
        <f>IFERROR(Datos!C2617,"")</f>
        <v/>
      </c>
      <c r="D2617" s="28">
        <f>IFERROR(IF(AND(ISNUMBER(B2617),ISNUMBER(B2616),B2616&lt;&gt;0),B2617/B2616-1,""),"")</f>
        <v/>
      </c>
      <c r="E2617" s="28">
        <f>IFERROR(IF(AND(ISNUMBER(C2617),ISNUMBER(C2616),C2616&lt;&gt;0),C2617/C2616-1,""),"")</f>
        <v/>
      </c>
      <c r="F2617" s="28">
        <f>IFERROR(D2617-Dashboard!$B$4/252,"")</f>
        <v/>
      </c>
      <c r="G2617" s="28">
        <f>IFERROR(E2617-Dashboard!$B$4/252,"")</f>
        <v/>
      </c>
      <c r="H2617" s="8">
        <f>IFERROR(IF(ISNUMBER(B2617),MAX(B2617,IFERROR(H2616,B2617)),""),"")</f>
        <v/>
      </c>
      <c r="I2617" s="29">
        <f>IFERROR(IF(AND(ISNUMBER(B2617),ISNUMBER(H2617)),B2617/H2617-1,""),"")</f>
        <v/>
      </c>
      <c r="J2617" s="8">
        <f>IFERROR(IF(ISNUMBER(C2617),MAX(C2617,IFERROR(J2616,C2617)),""),"")</f>
        <v/>
      </c>
      <c r="K2617" s="29">
        <f>IFERROR(IF(AND(ISNUMBER(C2617),ISNUMBER(J2617)),C2617/J2617-1,""),"")</f>
        <v/>
      </c>
      <c r="L2617" s="28">
        <f>IFERROR(IF(AND(ISNUMBER(D2617),ISNUMBER(E2617)),D2617-E2617,""),"")</f>
        <v/>
      </c>
    </row>
    <row r="2618">
      <c r="A2618" s="7">
        <f>IFERROR(Datos!A2618,"")</f>
        <v/>
      </c>
      <c r="B2618" s="8">
        <f>IFERROR(Datos!B2618,"")</f>
        <v/>
      </c>
      <c r="C2618" s="8">
        <f>IFERROR(Datos!C2618,"")</f>
        <v/>
      </c>
      <c r="D2618" s="28">
        <f>IFERROR(IF(AND(ISNUMBER(B2618),ISNUMBER(B2617),B2617&lt;&gt;0),B2618/B2617-1,""),"")</f>
        <v/>
      </c>
      <c r="E2618" s="28">
        <f>IFERROR(IF(AND(ISNUMBER(C2618),ISNUMBER(C2617),C2617&lt;&gt;0),C2618/C2617-1,""),"")</f>
        <v/>
      </c>
      <c r="F2618" s="28">
        <f>IFERROR(D2618-Dashboard!$B$4/252,"")</f>
        <v/>
      </c>
      <c r="G2618" s="28">
        <f>IFERROR(E2618-Dashboard!$B$4/252,"")</f>
        <v/>
      </c>
      <c r="H2618" s="8">
        <f>IFERROR(IF(ISNUMBER(B2618),MAX(B2618,IFERROR(H2617,B2618)),""),"")</f>
        <v/>
      </c>
      <c r="I2618" s="29">
        <f>IFERROR(IF(AND(ISNUMBER(B2618),ISNUMBER(H2618)),B2618/H2618-1,""),"")</f>
        <v/>
      </c>
      <c r="J2618" s="8">
        <f>IFERROR(IF(ISNUMBER(C2618),MAX(C2618,IFERROR(J2617,C2618)),""),"")</f>
        <v/>
      </c>
      <c r="K2618" s="29">
        <f>IFERROR(IF(AND(ISNUMBER(C2618),ISNUMBER(J2618)),C2618/J2618-1,""),"")</f>
        <v/>
      </c>
      <c r="L2618" s="28">
        <f>IFERROR(IF(AND(ISNUMBER(D2618),ISNUMBER(E2618)),D2618-E2618,""),"")</f>
        <v/>
      </c>
    </row>
    <row r="2619">
      <c r="A2619" s="7">
        <f>IFERROR(Datos!A2619,"")</f>
        <v/>
      </c>
      <c r="B2619" s="8">
        <f>IFERROR(Datos!B2619,"")</f>
        <v/>
      </c>
      <c r="C2619" s="8">
        <f>IFERROR(Datos!C2619,"")</f>
        <v/>
      </c>
      <c r="D2619" s="28">
        <f>IFERROR(IF(AND(ISNUMBER(B2619),ISNUMBER(B2618),B2618&lt;&gt;0),B2619/B2618-1,""),"")</f>
        <v/>
      </c>
      <c r="E2619" s="28">
        <f>IFERROR(IF(AND(ISNUMBER(C2619),ISNUMBER(C2618),C2618&lt;&gt;0),C2619/C2618-1,""),"")</f>
        <v/>
      </c>
      <c r="F2619" s="28">
        <f>IFERROR(D2619-Dashboard!$B$4/252,"")</f>
        <v/>
      </c>
      <c r="G2619" s="28">
        <f>IFERROR(E2619-Dashboard!$B$4/252,"")</f>
        <v/>
      </c>
      <c r="H2619" s="8">
        <f>IFERROR(IF(ISNUMBER(B2619),MAX(B2619,IFERROR(H2618,B2619)),""),"")</f>
        <v/>
      </c>
      <c r="I2619" s="29">
        <f>IFERROR(IF(AND(ISNUMBER(B2619),ISNUMBER(H2619)),B2619/H2619-1,""),"")</f>
        <v/>
      </c>
      <c r="J2619" s="8">
        <f>IFERROR(IF(ISNUMBER(C2619),MAX(C2619,IFERROR(J2618,C2619)),""),"")</f>
        <v/>
      </c>
      <c r="K2619" s="29">
        <f>IFERROR(IF(AND(ISNUMBER(C2619),ISNUMBER(J2619)),C2619/J2619-1,""),"")</f>
        <v/>
      </c>
      <c r="L2619" s="28">
        <f>IFERROR(IF(AND(ISNUMBER(D2619),ISNUMBER(E2619)),D2619-E2619,""),"")</f>
        <v/>
      </c>
    </row>
    <row r="2620">
      <c r="A2620" s="7">
        <f>IFERROR(Datos!A2620,"")</f>
        <v/>
      </c>
      <c r="B2620" s="8">
        <f>IFERROR(Datos!B2620,"")</f>
        <v/>
      </c>
      <c r="C2620" s="8">
        <f>IFERROR(Datos!C2620,"")</f>
        <v/>
      </c>
      <c r="D2620" s="28">
        <f>IFERROR(IF(AND(ISNUMBER(B2620),ISNUMBER(B2619),B2619&lt;&gt;0),B2620/B2619-1,""),"")</f>
        <v/>
      </c>
      <c r="E2620" s="28">
        <f>IFERROR(IF(AND(ISNUMBER(C2620),ISNUMBER(C2619),C2619&lt;&gt;0),C2620/C2619-1,""),"")</f>
        <v/>
      </c>
      <c r="F2620" s="28">
        <f>IFERROR(D2620-Dashboard!$B$4/252,"")</f>
        <v/>
      </c>
      <c r="G2620" s="28">
        <f>IFERROR(E2620-Dashboard!$B$4/252,"")</f>
        <v/>
      </c>
      <c r="H2620" s="8">
        <f>IFERROR(IF(ISNUMBER(B2620),MAX(B2620,IFERROR(H2619,B2620)),""),"")</f>
        <v/>
      </c>
      <c r="I2620" s="29">
        <f>IFERROR(IF(AND(ISNUMBER(B2620),ISNUMBER(H2620)),B2620/H2620-1,""),"")</f>
        <v/>
      </c>
      <c r="J2620" s="8">
        <f>IFERROR(IF(ISNUMBER(C2620),MAX(C2620,IFERROR(J2619,C2620)),""),"")</f>
        <v/>
      </c>
      <c r="K2620" s="29">
        <f>IFERROR(IF(AND(ISNUMBER(C2620),ISNUMBER(J2620)),C2620/J2620-1,""),"")</f>
        <v/>
      </c>
      <c r="L2620" s="28">
        <f>IFERROR(IF(AND(ISNUMBER(D2620),ISNUMBER(E2620)),D2620-E2620,""),"")</f>
        <v/>
      </c>
    </row>
    <row r="2621">
      <c r="A2621" s="7">
        <f>IFERROR(Datos!A2621,"")</f>
        <v/>
      </c>
      <c r="B2621" s="8">
        <f>IFERROR(Datos!B2621,"")</f>
        <v/>
      </c>
      <c r="C2621" s="8">
        <f>IFERROR(Datos!C2621,"")</f>
        <v/>
      </c>
      <c r="D2621" s="28">
        <f>IFERROR(IF(AND(ISNUMBER(B2621),ISNUMBER(B2620),B2620&lt;&gt;0),B2621/B2620-1,""),"")</f>
        <v/>
      </c>
      <c r="E2621" s="28">
        <f>IFERROR(IF(AND(ISNUMBER(C2621),ISNUMBER(C2620),C2620&lt;&gt;0),C2621/C2620-1,""),"")</f>
        <v/>
      </c>
      <c r="F2621" s="28">
        <f>IFERROR(D2621-Dashboard!$B$4/252,"")</f>
        <v/>
      </c>
      <c r="G2621" s="28">
        <f>IFERROR(E2621-Dashboard!$B$4/252,"")</f>
        <v/>
      </c>
      <c r="H2621" s="8">
        <f>IFERROR(IF(ISNUMBER(B2621),MAX(B2621,IFERROR(H2620,B2621)),""),"")</f>
        <v/>
      </c>
      <c r="I2621" s="29">
        <f>IFERROR(IF(AND(ISNUMBER(B2621),ISNUMBER(H2621)),B2621/H2621-1,""),"")</f>
        <v/>
      </c>
      <c r="J2621" s="8">
        <f>IFERROR(IF(ISNUMBER(C2621),MAX(C2621,IFERROR(J2620,C2621)),""),"")</f>
        <v/>
      </c>
      <c r="K2621" s="29">
        <f>IFERROR(IF(AND(ISNUMBER(C2621),ISNUMBER(J2621)),C2621/J2621-1,""),"")</f>
        <v/>
      </c>
      <c r="L2621" s="28">
        <f>IFERROR(IF(AND(ISNUMBER(D2621),ISNUMBER(E2621)),D2621-E2621,""),"")</f>
        <v/>
      </c>
    </row>
    <row r="2622">
      <c r="A2622" s="7">
        <f>IFERROR(Datos!A2622,"")</f>
        <v/>
      </c>
      <c r="B2622" s="8">
        <f>IFERROR(Datos!B2622,"")</f>
        <v/>
      </c>
      <c r="C2622" s="8">
        <f>IFERROR(Datos!C2622,"")</f>
        <v/>
      </c>
      <c r="D2622" s="28">
        <f>IFERROR(IF(AND(ISNUMBER(B2622),ISNUMBER(B2621),B2621&lt;&gt;0),B2622/B2621-1,""),"")</f>
        <v/>
      </c>
      <c r="E2622" s="28">
        <f>IFERROR(IF(AND(ISNUMBER(C2622),ISNUMBER(C2621),C2621&lt;&gt;0),C2622/C2621-1,""),"")</f>
        <v/>
      </c>
      <c r="F2622" s="28">
        <f>IFERROR(D2622-Dashboard!$B$4/252,"")</f>
        <v/>
      </c>
      <c r="G2622" s="28">
        <f>IFERROR(E2622-Dashboard!$B$4/252,"")</f>
        <v/>
      </c>
      <c r="H2622" s="8">
        <f>IFERROR(IF(ISNUMBER(B2622),MAX(B2622,IFERROR(H2621,B2622)),""),"")</f>
        <v/>
      </c>
      <c r="I2622" s="29">
        <f>IFERROR(IF(AND(ISNUMBER(B2622),ISNUMBER(H2622)),B2622/H2622-1,""),"")</f>
        <v/>
      </c>
      <c r="J2622" s="8">
        <f>IFERROR(IF(ISNUMBER(C2622),MAX(C2622,IFERROR(J2621,C2622)),""),"")</f>
        <v/>
      </c>
      <c r="K2622" s="29">
        <f>IFERROR(IF(AND(ISNUMBER(C2622),ISNUMBER(J2622)),C2622/J2622-1,""),"")</f>
        <v/>
      </c>
      <c r="L2622" s="28">
        <f>IFERROR(IF(AND(ISNUMBER(D2622),ISNUMBER(E2622)),D2622-E2622,""),"")</f>
        <v/>
      </c>
    </row>
    <row r="2623">
      <c r="A2623" s="7">
        <f>IFERROR(Datos!A2623,"")</f>
        <v/>
      </c>
      <c r="B2623" s="8">
        <f>IFERROR(Datos!B2623,"")</f>
        <v/>
      </c>
      <c r="C2623" s="8">
        <f>IFERROR(Datos!C2623,"")</f>
        <v/>
      </c>
      <c r="D2623" s="28">
        <f>IFERROR(IF(AND(ISNUMBER(B2623),ISNUMBER(B2622),B2622&lt;&gt;0),B2623/B2622-1,""),"")</f>
        <v/>
      </c>
      <c r="E2623" s="28">
        <f>IFERROR(IF(AND(ISNUMBER(C2623),ISNUMBER(C2622),C2622&lt;&gt;0),C2623/C2622-1,""),"")</f>
        <v/>
      </c>
      <c r="F2623" s="28">
        <f>IFERROR(D2623-Dashboard!$B$4/252,"")</f>
        <v/>
      </c>
      <c r="G2623" s="28">
        <f>IFERROR(E2623-Dashboard!$B$4/252,"")</f>
        <v/>
      </c>
      <c r="H2623" s="8">
        <f>IFERROR(IF(ISNUMBER(B2623),MAX(B2623,IFERROR(H2622,B2623)),""),"")</f>
        <v/>
      </c>
      <c r="I2623" s="29">
        <f>IFERROR(IF(AND(ISNUMBER(B2623),ISNUMBER(H2623)),B2623/H2623-1,""),"")</f>
        <v/>
      </c>
      <c r="J2623" s="8">
        <f>IFERROR(IF(ISNUMBER(C2623),MAX(C2623,IFERROR(J2622,C2623)),""),"")</f>
        <v/>
      </c>
      <c r="K2623" s="29">
        <f>IFERROR(IF(AND(ISNUMBER(C2623),ISNUMBER(J2623)),C2623/J2623-1,""),"")</f>
        <v/>
      </c>
      <c r="L2623" s="28">
        <f>IFERROR(IF(AND(ISNUMBER(D2623),ISNUMBER(E2623)),D2623-E2623,""),"")</f>
        <v/>
      </c>
    </row>
    <row r="2624">
      <c r="A2624" s="7">
        <f>IFERROR(Datos!A2624,"")</f>
        <v/>
      </c>
      <c r="B2624" s="8">
        <f>IFERROR(Datos!B2624,"")</f>
        <v/>
      </c>
      <c r="C2624" s="8">
        <f>IFERROR(Datos!C2624,"")</f>
        <v/>
      </c>
      <c r="D2624" s="28">
        <f>IFERROR(IF(AND(ISNUMBER(B2624),ISNUMBER(B2623),B2623&lt;&gt;0),B2624/B2623-1,""),"")</f>
        <v/>
      </c>
      <c r="E2624" s="28">
        <f>IFERROR(IF(AND(ISNUMBER(C2624),ISNUMBER(C2623),C2623&lt;&gt;0),C2624/C2623-1,""),"")</f>
        <v/>
      </c>
      <c r="F2624" s="28">
        <f>IFERROR(D2624-Dashboard!$B$4/252,"")</f>
        <v/>
      </c>
      <c r="G2624" s="28">
        <f>IFERROR(E2624-Dashboard!$B$4/252,"")</f>
        <v/>
      </c>
      <c r="H2624" s="8">
        <f>IFERROR(IF(ISNUMBER(B2624),MAX(B2624,IFERROR(H2623,B2624)),""),"")</f>
        <v/>
      </c>
      <c r="I2624" s="29">
        <f>IFERROR(IF(AND(ISNUMBER(B2624),ISNUMBER(H2624)),B2624/H2624-1,""),"")</f>
        <v/>
      </c>
      <c r="J2624" s="8">
        <f>IFERROR(IF(ISNUMBER(C2624),MAX(C2624,IFERROR(J2623,C2624)),""),"")</f>
        <v/>
      </c>
      <c r="K2624" s="29">
        <f>IFERROR(IF(AND(ISNUMBER(C2624),ISNUMBER(J2624)),C2624/J2624-1,""),"")</f>
        <v/>
      </c>
      <c r="L2624" s="28">
        <f>IFERROR(IF(AND(ISNUMBER(D2624),ISNUMBER(E2624)),D2624-E2624,""),"")</f>
        <v/>
      </c>
    </row>
    <row r="2625">
      <c r="A2625" s="7">
        <f>IFERROR(Datos!A2625,"")</f>
        <v/>
      </c>
      <c r="B2625" s="8">
        <f>IFERROR(Datos!B2625,"")</f>
        <v/>
      </c>
      <c r="C2625" s="8">
        <f>IFERROR(Datos!C2625,"")</f>
        <v/>
      </c>
      <c r="D2625" s="28">
        <f>IFERROR(IF(AND(ISNUMBER(B2625),ISNUMBER(B2624),B2624&lt;&gt;0),B2625/B2624-1,""),"")</f>
        <v/>
      </c>
      <c r="E2625" s="28">
        <f>IFERROR(IF(AND(ISNUMBER(C2625),ISNUMBER(C2624),C2624&lt;&gt;0),C2625/C2624-1,""),"")</f>
        <v/>
      </c>
      <c r="F2625" s="28">
        <f>IFERROR(D2625-Dashboard!$B$4/252,"")</f>
        <v/>
      </c>
      <c r="G2625" s="28">
        <f>IFERROR(E2625-Dashboard!$B$4/252,"")</f>
        <v/>
      </c>
      <c r="H2625" s="8">
        <f>IFERROR(IF(ISNUMBER(B2625),MAX(B2625,IFERROR(H2624,B2625)),""),"")</f>
        <v/>
      </c>
      <c r="I2625" s="29">
        <f>IFERROR(IF(AND(ISNUMBER(B2625),ISNUMBER(H2625)),B2625/H2625-1,""),"")</f>
        <v/>
      </c>
      <c r="J2625" s="8">
        <f>IFERROR(IF(ISNUMBER(C2625),MAX(C2625,IFERROR(J2624,C2625)),""),"")</f>
        <v/>
      </c>
      <c r="K2625" s="29">
        <f>IFERROR(IF(AND(ISNUMBER(C2625),ISNUMBER(J2625)),C2625/J2625-1,""),"")</f>
        <v/>
      </c>
      <c r="L2625" s="28">
        <f>IFERROR(IF(AND(ISNUMBER(D2625),ISNUMBER(E2625)),D2625-E2625,""),"")</f>
        <v/>
      </c>
    </row>
    <row r="2626">
      <c r="A2626" s="7">
        <f>IFERROR(Datos!A2626,"")</f>
        <v/>
      </c>
      <c r="B2626" s="8">
        <f>IFERROR(Datos!B2626,"")</f>
        <v/>
      </c>
      <c r="C2626" s="8">
        <f>IFERROR(Datos!C2626,"")</f>
        <v/>
      </c>
      <c r="D2626" s="28">
        <f>IFERROR(IF(AND(ISNUMBER(B2626),ISNUMBER(B2625),B2625&lt;&gt;0),B2626/B2625-1,""),"")</f>
        <v/>
      </c>
      <c r="E2626" s="28">
        <f>IFERROR(IF(AND(ISNUMBER(C2626),ISNUMBER(C2625),C2625&lt;&gt;0),C2626/C2625-1,""),"")</f>
        <v/>
      </c>
      <c r="F2626" s="28">
        <f>IFERROR(D2626-Dashboard!$B$4/252,"")</f>
        <v/>
      </c>
      <c r="G2626" s="28">
        <f>IFERROR(E2626-Dashboard!$B$4/252,"")</f>
        <v/>
      </c>
      <c r="H2626" s="8">
        <f>IFERROR(IF(ISNUMBER(B2626),MAX(B2626,IFERROR(H2625,B2626)),""),"")</f>
        <v/>
      </c>
      <c r="I2626" s="29">
        <f>IFERROR(IF(AND(ISNUMBER(B2626),ISNUMBER(H2626)),B2626/H2626-1,""),"")</f>
        <v/>
      </c>
      <c r="J2626" s="8">
        <f>IFERROR(IF(ISNUMBER(C2626),MAX(C2626,IFERROR(J2625,C2626)),""),"")</f>
        <v/>
      </c>
      <c r="K2626" s="29">
        <f>IFERROR(IF(AND(ISNUMBER(C2626),ISNUMBER(J2626)),C2626/J2626-1,""),"")</f>
        <v/>
      </c>
      <c r="L2626" s="28">
        <f>IFERROR(IF(AND(ISNUMBER(D2626),ISNUMBER(E2626)),D2626-E2626,""),"")</f>
        <v/>
      </c>
    </row>
    <row r="2627">
      <c r="A2627" s="7">
        <f>IFERROR(Datos!A2627,"")</f>
        <v/>
      </c>
      <c r="B2627" s="8">
        <f>IFERROR(Datos!B2627,"")</f>
        <v/>
      </c>
      <c r="C2627" s="8">
        <f>IFERROR(Datos!C2627,"")</f>
        <v/>
      </c>
      <c r="D2627" s="28">
        <f>IFERROR(IF(AND(ISNUMBER(B2627),ISNUMBER(B2626),B2626&lt;&gt;0),B2627/B2626-1,""),"")</f>
        <v/>
      </c>
      <c r="E2627" s="28">
        <f>IFERROR(IF(AND(ISNUMBER(C2627),ISNUMBER(C2626),C2626&lt;&gt;0),C2627/C2626-1,""),"")</f>
        <v/>
      </c>
      <c r="F2627" s="28">
        <f>IFERROR(D2627-Dashboard!$B$4/252,"")</f>
        <v/>
      </c>
      <c r="G2627" s="28">
        <f>IFERROR(E2627-Dashboard!$B$4/252,"")</f>
        <v/>
      </c>
      <c r="H2627" s="8">
        <f>IFERROR(IF(ISNUMBER(B2627),MAX(B2627,IFERROR(H2626,B2627)),""),"")</f>
        <v/>
      </c>
      <c r="I2627" s="29">
        <f>IFERROR(IF(AND(ISNUMBER(B2627),ISNUMBER(H2627)),B2627/H2627-1,""),"")</f>
        <v/>
      </c>
      <c r="J2627" s="8">
        <f>IFERROR(IF(ISNUMBER(C2627),MAX(C2627,IFERROR(J2626,C2627)),""),"")</f>
        <v/>
      </c>
      <c r="K2627" s="29">
        <f>IFERROR(IF(AND(ISNUMBER(C2627),ISNUMBER(J2627)),C2627/J2627-1,""),"")</f>
        <v/>
      </c>
      <c r="L2627" s="28">
        <f>IFERROR(IF(AND(ISNUMBER(D2627),ISNUMBER(E2627)),D2627-E2627,""),"")</f>
        <v/>
      </c>
    </row>
    <row r="2628">
      <c r="A2628" s="7">
        <f>IFERROR(Datos!A2628,"")</f>
        <v/>
      </c>
      <c r="B2628" s="8">
        <f>IFERROR(Datos!B2628,"")</f>
        <v/>
      </c>
      <c r="C2628" s="8">
        <f>IFERROR(Datos!C2628,"")</f>
        <v/>
      </c>
      <c r="D2628" s="28">
        <f>IFERROR(IF(AND(ISNUMBER(B2628),ISNUMBER(B2627),B2627&lt;&gt;0),B2628/B2627-1,""),"")</f>
        <v/>
      </c>
      <c r="E2628" s="28">
        <f>IFERROR(IF(AND(ISNUMBER(C2628),ISNUMBER(C2627),C2627&lt;&gt;0),C2628/C2627-1,""),"")</f>
        <v/>
      </c>
      <c r="F2628" s="28">
        <f>IFERROR(D2628-Dashboard!$B$4/252,"")</f>
        <v/>
      </c>
      <c r="G2628" s="28">
        <f>IFERROR(E2628-Dashboard!$B$4/252,"")</f>
        <v/>
      </c>
      <c r="H2628" s="8">
        <f>IFERROR(IF(ISNUMBER(B2628),MAX(B2628,IFERROR(H2627,B2628)),""),"")</f>
        <v/>
      </c>
      <c r="I2628" s="29">
        <f>IFERROR(IF(AND(ISNUMBER(B2628),ISNUMBER(H2628)),B2628/H2628-1,""),"")</f>
        <v/>
      </c>
      <c r="J2628" s="8">
        <f>IFERROR(IF(ISNUMBER(C2628),MAX(C2628,IFERROR(J2627,C2628)),""),"")</f>
        <v/>
      </c>
      <c r="K2628" s="29">
        <f>IFERROR(IF(AND(ISNUMBER(C2628),ISNUMBER(J2628)),C2628/J2628-1,""),"")</f>
        <v/>
      </c>
      <c r="L2628" s="28">
        <f>IFERROR(IF(AND(ISNUMBER(D2628),ISNUMBER(E2628)),D2628-E2628,""),"")</f>
        <v/>
      </c>
    </row>
    <row r="2629">
      <c r="A2629" s="7">
        <f>IFERROR(Datos!A2629,"")</f>
        <v/>
      </c>
      <c r="B2629" s="8">
        <f>IFERROR(Datos!B2629,"")</f>
        <v/>
      </c>
      <c r="C2629" s="8">
        <f>IFERROR(Datos!C2629,"")</f>
        <v/>
      </c>
      <c r="D2629" s="28">
        <f>IFERROR(IF(AND(ISNUMBER(B2629),ISNUMBER(B2628),B2628&lt;&gt;0),B2629/B2628-1,""),"")</f>
        <v/>
      </c>
      <c r="E2629" s="28">
        <f>IFERROR(IF(AND(ISNUMBER(C2629),ISNUMBER(C2628),C2628&lt;&gt;0),C2629/C2628-1,""),"")</f>
        <v/>
      </c>
      <c r="F2629" s="28">
        <f>IFERROR(D2629-Dashboard!$B$4/252,"")</f>
        <v/>
      </c>
      <c r="G2629" s="28">
        <f>IFERROR(E2629-Dashboard!$B$4/252,"")</f>
        <v/>
      </c>
      <c r="H2629" s="8">
        <f>IFERROR(IF(ISNUMBER(B2629),MAX(B2629,IFERROR(H2628,B2629)),""),"")</f>
        <v/>
      </c>
      <c r="I2629" s="29">
        <f>IFERROR(IF(AND(ISNUMBER(B2629),ISNUMBER(H2629)),B2629/H2629-1,""),"")</f>
        <v/>
      </c>
      <c r="J2629" s="8">
        <f>IFERROR(IF(ISNUMBER(C2629),MAX(C2629,IFERROR(J2628,C2629)),""),"")</f>
        <v/>
      </c>
      <c r="K2629" s="29">
        <f>IFERROR(IF(AND(ISNUMBER(C2629),ISNUMBER(J2629)),C2629/J2629-1,""),"")</f>
        <v/>
      </c>
      <c r="L2629" s="28">
        <f>IFERROR(IF(AND(ISNUMBER(D2629),ISNUMBER(E2629)),D2629-E2629,""),"")</f>
        <v/>
      </c>
    </row>
    <row r="2630">
      <c r="A2630" s="7">
        <f>IFERROR(Datos!A2630,"")</f>
        <v/>
      </c>
      <c r="B2630" s="8">
        <f>IFERROR(Datos!B2630,"")</f>
        <v/>
      </c>
      <c r="C2630" s="8">
        <f>IFERROR(Datos!C2630,"")</f>
        <v/>
      </c>
      <c r="D2630" s="28">
        <f>IFERROR(IF(AND(ISNUMBER(B2630),ISNUMBER(B2629),B2629&lt;&gt;0),B2630/B2629-1,""),"")</f>
        <v/>
      </c>
      <c r="E2630" s="28">
        <f>IFERROR(IF(AND(ISNUMBER(C2630),ISNUMBER(C2629),C2629&lt;&gt;0),C2630/C2629-1,""),"")</f>
        <v/>
      </c>
      <c r="F2630" s="28">
        <f>IFERROR(D2630-Dashboard!$B$4/252,"")</f>
        <v/>
      </c>
      <c r="G2630" s="28">
        <f>IFERROR(E2630-Dashboard!$B$4/252,"")</f>
        <v/>
      </c>
      <c r="H2630" s="8">
        <f>IFERROR(IF(ISNUMBER(B2630),MAX(B2630,IFERROR(H2629,B2630)),""),"")</f>
        <v/>
      </c>
      <c r="I2630" s="29">
        <f>IFERROR(IF(AND(ISNUMBER(B2630),ISNUMBER(H2630)),B2630/H2630-1,""),"")</f>
        <v/>
      </c>
      <c r="J2630" s="8">
        <f>IFERROR(IF(ISNUMBER(C2630),MAX(C2630,IFERROR(J2629,C2630)),""),"")</f>
        <v/>
      </c>
      <c r="K2630" s="29">
        <f>IFERROR(IF(AND(ISNUMBER(C2630),ISNUMBER(J2630)),C2630/J2630-1,""),"")</f>
        <v/>
      </c>
      <c r="L2630" s="28">
        <f>IFERROR(IF(AND(ISNUMBER(D2630),ISNUMBER(E2630)),D2630-E2630,""),"")</f>
        <v/>
      </c>
    </row>
    <row r="2631">
      <c r="A2631" s="7">
        <f>IFERROR(Datos!A2631,"")</f>
        <v/>
      </c>
      <c r="B2631" s="8">
        <f>IFERROR(Datos!B2631,"")</f>
        <v/>
      </c>
      <c r="C2631" s="8">
        <f>IFERROR(Datos!C2631,"")</f>
        <v/>
      </c>
      <c r="D2631" s="28">
        <f>IFERROR(IF(AND(ISNUMBER(B2631),ISNUMBER(B2630),B2630&lt;&gt;0),B2631/B2630-1,""),"")</f>
        <v/>
      </c>
      <c r="E2631" s="28">
        <f>IFERROR(IF(AND(ISNUMBER(C2631),ISNUMBER(C2630),C2630&lt;&gt;0),C2631/C2630-1,""),"")</f>
        <v/>
      </c>
      <c r="F2631" s="28">
        <f>IFERROR(D2631-Dashboard!$B$4/252,"")</f>
        <v/>
      </c>
      <c r="G2631" s="28">
        <f>IFERROR(E2631-Dashboard!$B$4/252,"")</f>
        <v/>
      </c>
      <c r="H2631" s="8">
        <f>IFERROR(IF(ISNUMBER(B2631),MAX(B2631,IFERROR(H2630,B2631)),""),"")</f>
        <v/>
      </c>
      <c r="I2631" s="29">
        <f>IFERROR(IF(AND(ISNUMBER(B2631),ISNUMBER(H2631)),B2631/H2631-1,""),"")</f>
        <v/>
      </c>
      <c r="J2631" s="8">
        <f>IFERROR(IF(ISNUMBER(C2631),MAX(C2631,IFERROR(J2630,C2631)),""),"")</f>
        <v/>
      </c>
      <c r="K2631" s="29">
        <f>IFERROR(IF(AND(ISNUMBER(C2631),ISNUMBER(J2631)),C2631/J2631-1,""),"")</f>
        <v/>
      </c>
      <c r="L2631" s="28">
        <f>IFERROR(IF(AND(ISNUMBER(D2631),ISNUMBER(E2631)),D2631-E2631,""),"")</f>
        <v/>
      </c>
    </row>
    <row r="2632">
      <c r="A2632" s="7">
        <f>IFERROR(Datos!A2632,"")</f>
        <v/>
      </c>
      <c r="B2632" s="8">
        <f>IFERROR(Datos!B2632,"")</f>
        <v/>
      </c>
      <c r="C2632" s="8">
        <f>IFERROR(Datos!C2632,"")</f>
        <v/>
      </c>
      <c r="D2632" s="28">
        <f>IFERROR(IF(AND(ISNUMBER(B2632),ISNUMBER(B2631),B2631&lt;&gt;0),B2632/B2631-1,""),"")</f>
        <v/>
      </c>
      <c r="E2632" s="28">
        <f>IFERROR(IF(AND(ISNUMBER(C2632),ISNUMBER(C2631),C2631&lt;&gt;0),C2632/C2631-1,""),"")</f>
        <v/>
      </c>
      <c r="F2632" s="28">
        <f>IFERROR(D2632-Dashboard!$B$4/252,"")</f>
        <v/>
      </c>
      <c r="G2632" s="28">
        <f>IFERROR(E2632-Dashboard!$B$4/252,"")</f>
        <v/>
      </c>
      <c r="H2632" s="8">
        <f>IFERROR(IF(ISNUMBER(B2632),MAX(B2632,IFERROR(H2631,B2632)),""),"")</f>
        <v/>
      </c>
      <c r="I2632" s="29">
        <f>IFERROR(IF(AND(ISNUMBER(B2632),ISNUMBER(H2632)),B2632/H2632-1,""),"")</f>
        <v/>
      </c>
      <c r="J2632" s="8">
        <f>IFERROR(IF(ISNUMBER(C2632),MAX(C2632,IFERROR(J2631,C2632)),""),"")</f>
        <v/>
      </c>
      <c r="K2632" s="29">
        <f>IFERROR(IF(AND(ISNUMBER(C2632),ISNUMBER(J2632)),C2632/J2632-1,""),"")</f>
        <v/>
      </c>
      <c r="L2632" s="28">
        <f>IFERROR(IF(AND(ISNUMBER(D2632),ISNUMBER(E2632)),D2632-E2632,""),"")</f>
        <v/>
      </c>
    </row>
    <row r="2633">
      <c r="A2633" s="7">
        <f>IFERROR(Datos!A2633,"")</f>
        <v/>
      </c>
      <c r="B2633" s="8">
        <f>IFERROR(Datos!B2633,"")</f>
        <v/>
      </c>
      <c r="C2633" s="8">
        <f>IFERROR(Datos!C2633,"")</f>
        <v/>
      </c>
      <c r="D2633" s="28">
        <f>IFERROR(IF(AND(ISNUMBER(B2633),ISNUMBER(B2632),B2632&lt;&gt;0),B2633/B2632-1,""),"")</f>
        <v/>
      </c>
      <c r="E2633" s="28">
        <f>IFERROR(IF(AND(ISNUMBER(C2633),ISNUMBER(C2632),C2632&lt;&gt;0),C2633/C2632-1,""),"")</f>
        <v/>
      </c>
      <c r="F2633" s="28">
        <f>IFERROR(D2633-Dashboard!$B$4/252,"")</f>
        <v/>
      </c>
      <c r="G2633" s="28">
        <f>IFERROR(E2633-Dashboard!$B$4/252,"")</f>
        <v/>
      </c>
      <c r="H2633" s="8">
        <f>IFERROR(IF(ISNUMBER(B2633),MAX(B2633,IFERROR(H2632,B2633)),""),"")</f>
        <v/>
      </c>
      <c r="I2633" s="29">
        <f>IFERROR(IF(AND(ISNUMBER(B2633),ISNUMBER(H2633)),B2633/H2633-1,""),"")</f>
        <v/>
      </c>
      <c r="J2633" s="8">
        <f>IFERROR(IF(ISNUMBER(C2633),MAX(C2633,IFERROR(J2632,C2633)),""),"")</f>
        <v/>
      </c>
      <c r="K2633" s="29">
        <f>IFERROR(IF(AND(ISNUMBER(C2633),ISNUMBER(J2633)),C2633/J2633-1,""),"")</f>
        <v/>
      </c>
      <c r="L2633" s="28">
        <f>IFERROR(IF(AND(ISNUMBER(D2633),ISNUMBER(E2633)),D2633-E2633,""),"")</f>
        <v/>
      </c>
    </row>
    <row r="2634">
      <c r="A2634" s="7">
        <f>IFERROR(Datos!A2634,"")</f>
        <v/>
      </c>
      <c r="B2634" s="8">
        <f>IFERROR(Datos!B2634,"")</f>
        <v/>
      </c>
      <c r="C2634" s="8">
        <f>IFERROR(Datos!C2634,"")</f>
        <v/>
      </c>
      <c r="D2634" s="28">
        <f>IFERROR(IF(AND(ISNUMBER(B2634),ISNUMBER(B2633),B2633&lt;&gt;0),B2634/B2633-1,""),"")</f>
        <v/>
      </c>
      <c r="E2634" s="28">
        <f>IFERROR(IF(AND(ISNUMBER(C2634),ISNUMBER(C2633),C2633&lt;&gt;0),C2634/C2633-1,""),"")</f>
        <v/>
      </c>
      <c r="F2634" s="28">
        <f>IFERROR(D2634-Dashboard!$B$4/252,"")</f>
        <v/>
      </c>
      <c r="G2634" s="28">
        <f>IFERROR(E2634-Dashboard!$B$4/252,"")</f>
        <v/>
      </c>
      <c r="H2634" s="8">
        <f>IFERROR(IF(ISNUMBER(B2634),MAX(B2634,IFERROR(H2633,B2634)),""),"")</f>
        <v/>
      </c>
      <c r="I2634" s="29">
        <f>IFERROR(IF(AND(ISNUMBER(B2634),ISNUMBER(H2634)),B2634/H2634-1,""),"")</f>
        <v/>
      </c>
      <c r="J2634" s="8">
        <f>IFERROR(IF(ISNUMBER(C2634),MAX(C2634,IFERROR(J2633,C2634)),""),"")</f>
        <v/>
      </c>
      <c r="K2634" s="29">
        <f>IFERROR(IF(AND(ISNUMBER(C2634),ISNUMBER(J2634)),C2634/J2634-1,""),"")</f>
        <v/>
      </c>
      <c r="L2634" s="28">
        <f>IFERROR(IF(AND(ISNUMBER(D2634),ISNUMBER(E2634)),D2634-E2634,""),"")</f>
        <v/>
      </c>
    </row>
    <row r="2635">
      <c r="A2635" s="7">
        <f>IFERROR(Datos!A2635,"")</f>
        <v/>
      </c>
      <c r="B2635" s="8">
        <f>IFERROR(Datos!B2635,"")</f>
        <v/>
      </c>
      <c r="C2635" s="8">
        <f>IFERROR(Datos!C2635,"")</f>
        <v/>
      </c>
      <c r="D2635" s="28">
        <f>IFERROR(IF(AND(ISNUMBER(B2635),ISNUMBER(B2634),B2634&lt;&gt;0),B2635/B2634-1,""),"")</f>
        <v/>
      </c>
      <c r="E2635" s="28">
        <f>IFERROR(IF(AND(ISNUMBER(C2635),ISNUMBER(C2634),C2634&lt;&gt;0),C2635/C2634-1,""),"")</f>
        <v/>
      </c>
      <c r="F2635" s="28">
        <f>IFERROR(D2635-Dashboard!$B$4/252,"")</f>
        <v/>
      </c>
      <c r="G2635" s="28">
        <f>IFERROR(E2635-Dashboard!$B$4/252,"")</f>
        <v/>
      </c>
      <c r="H2635" s="8">
        <f>IFERROR(IF(ISNUMBER(B2635),MAX(B2635,IFERROR(H2634,B2635)),""),"")</f>
        <v/>
      </c>
      <c r="I2635" s="29">
        <f>IFERROR(IF(AND(ISNUMBER(B2635),ISNUMBER(H2635)),B2635/H2635-1,""),"")</f>
        <v/>
      </c>
      <c r="J2635" s="8">
        <f>IFERROR(IF(ISNUMBER(C2635),MAX(C2635,IFERROR(J2634,C2635)),""),"")</f>
        <v/>
      </c>
      <c r="K2635" s="29">
        <f>IFERROR(IF(AND(ISNUMBER(C2635),ISNUMBER(J2635)),C2635/J2635-1,""),"")</f>
        <v/>
      </c>
      <c r="L2635" s="28">
        <f>IFERROR(IF(AND(ISNUMBER(D2635),ISNUMBER(E2635)),D2635-E2635,""),"")</f>
        <v/>
      </c>
    </row>
    <row r="2636">
      <c r="A2636" s="7">
        <f>IFERROR(Datos!A2636,"")</f>
        <v/>
      </c>
      <c r="B2636" s="8">
        <f>IFERROR(Datos!B2636,"")</f>
        <v/>
      </c>
      <c r="C2636" s="8">
        <f>IFERROR(Datos!C2636,"")</f>
        <v/>
      </c>
      <c r="D2636" s="28">
        <f>IFERROR(IF(AND(ISNUMBER(B2636),ISNUMBER(B2635),B2635&lt;&gt;0),B2636/B2635-1,""),"")</f>
        <v/>
      </c>
      <c r="E2636" s="28">
        <f>IFERROR(IF(AND(ISNUMBER(C2636),ISNUMBER(C2635),C2635&lt;&gt;0),C2636/C2635-1,""),"")</f>
        <v/>
      </c>
      <c r="F2636" s="28">
        <f>IFERROR(D2636-Dashboard!$B$4/252,"")</f>
        <v/>
      </c>
      <c r="G2636" s="28">
        <f>IFERROR(E2636-Dashboard!$B$4/252,"")</f>
        <v/>
      </c>
      <c r="H2636" s="8">
        <f>IFERROR(IF(ISNUMBER(B2636),MAX(B2636,IFERROR(H2635,B2636)),""),"")</f>
        <v/>
      </c>
      <c r="I2636" s="29">
        <f>IFERROR(IF(AND(ISNUMBER(B2636),ISNUMBER(H2636)),B2636/H2636-1,""),"")</f>
        <v/>
      </c>
      <c r="J2636" s="8">
        <f>IFERROR(IF(ISNUMBER(C2636),MAX(C2636,IFERROR(J2635,C2636)),""),"")</f>
        <v/>
      </c>
      <c r="K2636" s="29">
        <f>IFERROR(IF(AND(ISNUMBER(C2636),ISNUMBER(J2636)),C2636/J2636-1,""),"")</f>
        <v/>
      </c>
      <c r="L2636" s="28">
        <f>IFERROR(IF(AND(ISNUMBER(D2636),ISNUMBER(E2636)),D2636-E2636,""),"")</f>
        <v/>
      </c>
    </row>
    <row r="2637">
      <c r="A2637" s="7">
        <f>IFERROR(Datos!A2637,"")</f>
        <v/>
      </c>
      <c r="B2637" s="8">
        <f>IFERROR(Datos!B2637,"")</f>
        <v/>
      </c>
      <c r="C2637" s="8">
        <f>IFERROR(Datos!C2637,"")</f>
        <v/>
      </c>
      <c r="D2637" s="28">
        <f>IFERROR(IF(AND(ISNUMBER(B2637),ISNUMBER(B2636),B2636&lt;&gt;0),B2637/B2636-1,""),"")</f>
        <v/>
      </c>
      <c r="E2637" s="28">
        <f>IFERROR(IF(AND(ISNUMBER(C2637),ISNUMBER(C2636),C2636&lt;&gt;0),C2637/C2636-1,""),"")</f>
        <v/>
      </c>
      <c r="F2637" s="28">
        <f>IFERROR(D2637-Dashboard!$B$4/252,"")</f>
        <v/>
      </c>
      <c r="G2637" s="28">
        <f>IFERROR(E2637-Dashboard!$B$4/252,"")</f>
        <v/>
      </c>
      <c r="H2637" s="8">
        <f>IFERROR(IF(ISNUMBER(B2637),MAX(B2637,IFERROR(H2636,B2637)),""),"")</f>
        <v/>
      </c>
      <c r="I2637" s="29">
        <f>IFERROR(IF(AND(ISNUMBER(B2637),ISNUMBER(H2637)),B2637/H2637-1,""),"")</f>
        <v/>
      </c>
      <c r="J2637" s="8">
        <f>IFERROR(IF(ISNUMBER(C2637),MAX(C2637,IFERROR(J2636,C2637)),""),"")</f>
        <v/>
      </c>
      <c r="K2637" s="29">
        <f>IFERROR(IF(AND(ISNUMBER(C2637),ISNUMBER(J2637)),C2637/J2637-1,""),"")</f>
        <v/>
      </c>
      <c r="L2637" s="28">
        <f>IFERROR(IF(AND(ISNUMBER(D2637),ISNUMBER(E2637)),D2637-E2637,""),"")</f>
        <v/>
      </c>
    </row>
    <row r="2638">
      <c r="A2638" s="7">
        <f>IFERROR(Datos!A2638,"")</f>
        <v/>
      </c>
      <c r="B2638" s="8">
        <f>IFERROR(Datos!B2638,"")</f>
        <v/>
      </c>
      <c r="C2638" s="8">
        <f>IFERROR(Datos!C2638,"")</f>
        <v/>
      </c>
      <c r="D2638" s="28">
        <f>IFERROR(IF(AND(ISNUMBER(B2638),ISNUMBER(B2637),B2637&lt;&gt;0),B2638/B2637-1,""),"")</f>
        <v/>
      </c>
      <c r="E2638" s="28">
        <f>IFERROR(IF(AND(ISNUMBER(C2638),ISNUMBER(C2637),C2637&lt;&gt;0),C2638/C2637-1,""),"")</f>
        <v/>
      </c>
      <c r="F2638" s="28">
        <f>IFERROR(D2638-Dashboard!$B$4/252,"")</f>
        <v/>
      </c>
      <c r="G2638" s="28">
        <f>IFERROR(E2638-Dashboard!$B$4/252,"")</f>
        <v/>
      </c>
      <c r="H2638" s="8">
        <f>IFERROR(IF(ISNUMBER(B2638),MAX(B2638,IFERROR(H2637,B2638)),""),"")</f>
        <v/>
      </c>
      <c r="I2638" s="29">
        <f>IFERROR(IF(AND(ISNUMBER(B2638),ISNUMBER(H2638)),B2638/H2638-1,""),"")</f>
        <v/>
      </c>
      <c r="J2638" s="8">
        <f>IFERROR(IF(ISNUMBER(C2638),MAX(C2638,IFERROR(J2637,C2638)),""),"")</f>
        <v/>
      </c>
      <c r="K2638" s="29">
        <f>IFERROR(IF(AND(ISNUMBER(C2638),ISNUMBER(J2638)),C2638/J2638-1,""),"")</f>
        <v/>
      </c>
      <c r="L2638" s="28">
        <f>IFERROR(IF(AND(ISNUMBER(D2638),ISNUMBER(E2638)),D2638-E2638,""),"")</f>
        <v/>
      </c>
    </row>
    <row r="2639">
      <c r="A2639" s="7">
        <f>IFERROR(Datos!A2639,"")</f>
        <v/>
      </c>
      <c r="B2639" s="8">
        <f>IFERROR(Datos!B2639,"")</f>
        <v/>
      </c>
      <c r="C2639" s="8">
        <f>IFERROR(Datos!C2639,"")</f>
        <v/>
      </c>
      <c r="D2639" s="28">
        <f>IFERROR(IF(AND(ISNUMBER(B2639),ISNUMBER(B2638),B2638&lt;&gt;0),B2639/B2638-1,""),"")</f>
        <v/>
      </c>
      <c r="E2639" s="28">
        <f>IFERROR(IF(AND(ISNUMBER(C2639),ISNUMBER(C2638),C2638&lt;&gt;0),C2639/C2638-1,""),"")</f>
        <v/>
      </c>
      <c r="F2639" s="28">
        <f>IFERROR(D2639-Dashboard!$B$4/252,"")</f>
        <v/>
      </c>
      <c r="G2639" s="28">
        <f>IFERROR(E2639-Dashboard!$B$4/252,"")</f>
        <v/>
      </c>
      <c r="H2639" s="8">
        <f>IFERROR(IF(ISNUMBER(B2639),MAX(B2639,IFERROR(H2638,B2639)),""),"")</f>
        <v/>
      </c>
      <c r="I2639" s="29">
        <f>IFERROR(IF(AND(ISNUMBER(B2639),ISNUMBER(H2639)),B2639/H2639-1,""),"")</f>
        <v/>
      </c>
      <c r="J2639" s="8">
        <f>IFERROR(IF(ISNUMBER(C2639),MAX(C2639,IFERROR(J2638,C2639)),""),"")</f>
        <v/>
      </c>
      <c r="K2639" s="29">
        <f>IFERROR(IF(AND(ISNUMBER(C2639),ISNUMBER(J2639)),C2639/J2639-1,""),"")</f>
        <v/>
      </c>
      <c r="L2639" s="28">
        <f>IFERROR(IF(AND(ISNUMBER(D2639),ISNUMBER(E2639)),D2639-E2639,""),"")</f>
        <v/>
      </c>
    </row>
    <row r="2640">
      <c r="A2640" s="7">
        <f>IFERROR(Datos!A2640,"")</f>
        <v/>
      </c>
      <c r="B2640" s="8">
        <f>IFERROR(Datos!B2640,"")</f>
        <v/>
      </c>
      <c r="C2640" s="8">
        <f>IFERROR(Datos!C2640,"")</f>
        <v/>
      </c>
      <c r="D2640" s="28">
        <f>IFERROR(IF(AND(ISNUMBER(B2640),ISNUMBER(B2639),B2639&lt;&gt;0),B2640/B2639-1,""),"")</f>
        <v/>
      </c>
      <c r="E2640" s="28">
        <f>IFERROR(IF(AND(ISNUMBER(C2640),ISNUMBER(C2639),C2639&lt;&gt;0),C2640/C2639-1,""),"")</f>
        <v/>
      </c>
      <c r="F2640" s="28">
        <f>IFERROR(D2640-Dashboard!$B$4/252,"")</f>
        <v/>
      </c>
      <c r="G2640" s="28">
        <f>IFERROR(E2640-Dashboard!$B$4/252,"")</f>
        <v/>
      </c>
      <c r="H2640" s="8">
        <f>IFERROR(IF(ISNUMBER(B2640),MAX(B2640,IFERROR(H2639,B2640)),""),"")</f>
        <v/>
      </c>
      <c r="I2640" s="29">
        <f>IFERROR(IF(AND(ISNUMBER(B2640),ISNUMBER(H2640)),B2640/H2640-1,""),"")</f>
        <v/>
      </c>
      <c r="J2640" s="8">
        <f>IFERROR(IF(ISNUMBER(C2640),MAX(C2640,IFERROR(J2639,C2640)),""),"")</f>
        <v/>
      </c>
      <c r="K2640" s="29">
        <f>IFERROR(IF(AND(ISNUMBER(C2640),ISNUMBER(J2640)),C2640/J2640-1,""),"")</f>
        <v/>
      </c>
      <c r="L2640" s="28">
        <f>IFERROR(IF(AND(ISNUMBER(D2640),ISNUMBER(E2640)),D2640-E2640,""),"")</f>
        <v/>
      </c>
    </row>
    <row r="2641">
      <c r="A2641" s="7">
        <f>IFERROR(Datos!A2641,"")</f>
        <v/>
      </c>
      <c r="B2641" s="8">
        <f>IFERROR(Datos!B2641,"")</f>
        <v/>
      </c>
      <c r="C2641" s="8">
        <f>IFERROR(Datos!C2641,"")</f>
        <v/>
      </c>
      <c r="D2641" s="28">
        <f>IFERROR(IF(AND(ISNUMBER(B2641),ISNUMBER(B2640),B2640&lt;&gt;0),B2641/B2640-1,""),"")</f>
        <v/>
      </c>
      <c r="E2641" s="28">
        <f>IFERROR(IF(AND(ISNUMBER(C2641),ISNUMBER(C2640),C2640&lt;&gt;0),C2641/C2640-1,""),"")</f>
        <v/>
      </c>
      <c r="F2641" s="28">
        <f>IFERROR(D2641-Dashboard!$B$4/252,"")</f>
        <v/>
      </c>
      <c r="G2641" s="28">
        <f>IFERROR(E2641-Dashboard!$B$4/252,"")</f>
        <v/>
      </c>
      <c r="H2641" s="8">
        <f>IFERROR(IF(ISNUMBER(B2641),MAX(B2641,IFERROR(H2640,B2641)),""),"")</f>
        <v/>
      </c>
      <c r="I2641" s="29">
        <f>IFERROR(IF(AND(ISNUMBER(B2641),ISNUMBER(H2641)),B2641/H2641-1,""),"")</f>
        <v/>
      </c>
      <c r="J2641" s="8">
        <f>IFERROR(IF(ISNUMBER(C2641),MAX(C2641,IFERROR(J2640,C2641)),""),"")</f>
        <v/>
      </c>
      <c r="K2641" s="29">
        <f>IFERROR(IF(AND(ISNUMBER(C2641),ISNUMBER(J2641)),C2641/J2641-1,""),"")</f>
        <v/>
      </c>
      <c r="L2641" s="28">
        <f>IFERROR(IF(AND(ISNUMBER(D2641),ISNUMBER(E2641)),D2641-E2641,""),"")</f>
        <v/>
      </c>
    </row>
    <row r="2642">
      <c r="A2642" s="7">
        <f>IFERROR(Datos!A2642,"")</f>
        <v/>
      </c>
      <c r="B2642" s="8">
        <f>IFERROR(Datos!B2642,"")</f>
        <v/>
      </c>
      <c r="C2642" s="8">
        <f>IFERROR(Datos!C2642,"")</f>
        <v/>
      </c>
      <c r="D2642" s="28">
        <f>IFERROR(IF(AND(ISNUMBER(B2642),ISNUMBER(B2641),B2641&lt;&gt;0),B2642/B2641-1,""),"")</f>
        <v/>
      </c>
      <c r="E2642" s="28">
        <f>IFERROR(IF(AND(ISNUMBER(C2642),ISNUMBER(C2641),C2641&lt;&gt;0),C2642/C2641-1,""),"")</f>
        <v/>
      </c>
      <c r="F2642" s="28">
        <f>IFERROR(D2642-Dashboard!$B$4/252,"")</f>
        <v/>
      </c>
      <c r="G2642" s="28">
        <f>IFERROR(E2642-Dashboard!$B$4/252,"")</f>
        <v/>
      </c>
      <c r="H2642" s="8">
        <f>IFERROR(IF(ISNUMBER(B2642),MAX(B2642,IFERROR(H2641,B2642)),""),"")</f>
        <v/>
      </c>
      <c r="I2642" s="29">
        <f>IFERROR(IF(AND(ISNUMBER(B2642),ISNUMBER(H2642)),B2642/H2642-1,""),"")</f>
        <v/>
      </c>
      <c r="J2642" s="8">
        <f>IFERROR(IF(ISNUMBER(C2642),MAX(C2642,IFERROR(J2641,C2642)),""),"")</f>
        <v/>
      </c>
      <c r="K2642" s="29">
        <f>IFERROR(IF(AND(ISNUMBER(C2642),ISNUMBER(J2642)),C2642/J2642-1,""),"")</f>
        <v/>
      </c>
      <c r="L2642" s="28">
        <f>IFERROR(IF(AND(ISNUMBER(D2642),ISNUMBER(E2642)),D2642-E2642,""),"")</f>
        <v/>
      </c>
    </row>
    <row r="2643">
      <c r="A2643" s="7">
        <f>IFERROR(Datos!A2643,"")</f>
        <v/>
      </c>
      <c r="B2643" s="8">
        <f>IFERROR(Datos!B2643,"")</f>
        <v/>
      </c>
      <c r="C2643" s="8">
        <f>IFERROR(Datos!C2643,"")</f>
        <v/>
      </c>
      <c r="D2643" s="28">
        <f>IFERROR(IF(AND(ISNUMBER(B2643),ISNUMBER(B2642),B2642&lt;&gt;0),B2643/B2642-1,""),"")</f>
        <v/>
      </c>
      <c r="E2643" s="28">
        <f>IFERROR(IF(AND(ISNUMBER(C2643),ISNUMBER(C2642),C2642&lt;&gt;0),C2643/C2642-1,""),"")</f>
        <v/>
      </c>
      <c r="F2643" s="28">
        <f>IFERROR(D2643-Dashboard!$B$4/252,"")</f>
        <v/>
      </c>
      <c r="G2643" s="28">
        <f>IFERROR(E2643-Dashboard!$B$4/252,"")</f>
        <v/>
      </c>
      <c r="H2643" s="8">
        <f>IFERROR(IF(ISNUMBER(B2643),MAX(B2643,IFERROR(H2642,B2643)),""),"")</f>
        <v/>
      </c>
      <c r="I2643" s="29">
        <f>IFERROR(IF(AND(ISNUMBER(B2643),ISNUMBER(H2643)),B2643/H2643-1,""),"")</f>
        <v/>
      </c>
      <c r="J2643" s="8">
        <f>IFERROR(IF(ISNUMBER(C2643),MAX(C2643,IFERROR(J2642,C2643)),""),"")</f>
        <v/>
      </c>
      <c r="K2643" s="29">
        <f>IFERROR(IF(AND(ISNUMBER(C2643),ISNUMBER(J2643)),C2643/J2643-1,""),"")</f>
        <v/>
      </c>
      <c r="L2643" s="28">
        <f>IFERROR(IF(AND(ISNUMBER(D2643),ISNUMBER(E2643)),D2643-E2643,""),"")</f>
        <v/>
      </c>
    </row>
    <row r="2644">
      <c r="A2644" s="7">
        <f>IFERROR(Datos!A2644,"")</f>
        <v/>
      </c>
      <c r="B2644" s="8">
        <f>IFERROR(Datos!B2644,"")</f>
        <v/>
      </c>
      <c r="C2644" s="8">
        <f>IFERROR(Datos!C2644,"")</f>
        <v/>
      </c>
      <c r="D2644" s="28">
        <f>IFERROR(IF(AND(ISNUMBER(B2644),ISNUMBER(B2643),B2643&lt;&gt;0),B2644/B2643-1,""),"")</f>
        <v/>
      </c>
      <c r="E2644" s="28">
        <f>IFERROR(IF(AND(ISNUMBER(C2644),ISNUMBER(C2643),C2643&lt;&gt;0),C2644/C2643-1,""),"")</f>
        <v/>
      </c>
      <c r="F2644" s="28">
        <f>IFERROR(D2644-Dashboard!$B$4/252,"")</f>
        <v/>
      </c>
      <c r="G2644" s="28">
        <f>IFERROR(E2644-Dashboard!$B$4/252,"")</f>
        <v/>
      </c>
      <c r="H2644" s="8">
        <f>IFERROR(IF(ISNUMBER(B2644),MAX(B2644,IFERROR(H2643,B2644)),""),"")</f>
        <v/>
      </c>
      <c r="I2644" s="29">
        <f>IFERROR(IF(AND(ISNUMBER(B2644),ISNUMBER(H2644)),B2644/H2644-1,""),"")</f>
        <v/>
      </c>
      <c r="J2644" s="8">
        <f>IFERROR(IF(ISNUMBER(C2644),MAX(C2644,IFERROR(J2643,C2644)),""),"")</f>
        <v/>
      </c>
      <c r="K2644" s="29">
        <f>IFERROR(IF(AND(ISNUMBER(C2644),ISNUMBER(J2644)),C2644/J2644-1,""),"")</f>
        <v/>
      </c>
      <c r="L2644" s="28">
        <f>IFERROR(IF(AND(ISNUMBER(D2644),ISNUMBER(E2644)),D2644-E2644,""),"")</f>
        <v/>
      </c>
    </row>
    <row r="2645">
      <c r="A2645" s="7">
        <f>IFERROR(Datos!A2645,"")</f>
        <v/>
      </c>
      <c r="B2645" s="8">
        <f>IFERROR(Datos!B2645,"")</f>
        <v/>
      </c>
      <c r="C2645" s="8">
        <f>IFERROR(Datos!C2645,"")</f>
        <v/>
      </c>
      <c r="D2645" s="28">
        <f>IFERROR(IF(AND(ISNUMBER(B2645),ISNUMBER(B2644),B2644&lt;&gt;0),B2645/B2644-1,""),"")</f>
        <v/>
      </c>
      <c r="E2645" s="28">
        <f>IFERROR(IF(AND(ISNUMBER(C2645),ISNUMBER(C2644),C2644&lt;&gt;0),C2645/C2644-1,""),"")</f>
        <v/>
      </c>
      <c r="F2645" s="28">
        <f>IFERROR(D2645-Dashboard!$B$4/252,"")</f>
        <v/>
      </c>
      <c r="G2645" s="28">
        <f>IFERROR(E2645-Dashboard!$B$4/252,"")</f>
        <v/>
      </c>
      <c r="H2645" s="8">
        <f>IFERROR(IF(ISNUMBER(B2645),MAX(B2645,IFERROR(H2644,B2645)),""),"")</f>
        <v/>
      </c>
      <c r="I2645" s="29">
        <f>IFERROR(IF(AND(ISNUMBER(B2645),ISNUMBER(H2645)),B2645/H2645-1,""),"")</f>
        <v/>
      </c>
      <c r="J2645" s="8">
        <f>IFERROR(IF(ISNUMBER(C2645),MAX(C2645,IFERROR(J2644,C2645)),""),"")</f>
        <v/>
      </c>
      <c r="K2645" s="29">
        <f>IFERROR(IF(AND(ISNUMBER(C2645),ISNUMBER(J2645)),C2645/J2645-1,""),"")</f>
        <v/>
      </c>
      <c r="L2645" s="28">
        <f>IFERROR(IF(AND(ISNUMBER(D2645),ISNUMBER(E2645)),D2645-E2645,""),"")</f>
        <v/>
      </c>
    </row>
    <row r="2646">
      <c r="A2646" s="7">
        <f>IFERROR(Datos!A2646,"")</f>
        <v/>
      </c>
      <c r="B2646" s="8">
        <f>IFERROR(Datos!B2646,"")</f>
        <v/>
      </c>
      <c r="C2646" s="8">
        <f>IFERROR(Datos!C2646,"")</f>
        <v/>
      </c>
      <c r="D2646" s="28">
        <f>IFERROR(IF(AND(ISNUMBER(B2646),ISNUMBER(B2645),B2645&lt;&gt;0),B2646/B2645-1,""),"")</f>
        <v/>
      </c>
      <c r="E2646" s="28">
        <f>IFERROR(IF(AND(ISNUMBER(C2646),ISNUMBER(C2645),C2645&lt;&gt;0),C2646/C2645-1,""),"")</f>
        <v/>
      </c>
      <c r="F2646" s="28">
        <f>IFERROR(D2646-Dashboard!$B$4/252,"")</f>
        <v/>
      </c>
      <c r="G2646" s="28">
        <f>IFERROR(E2646-Dashboard!$B$4/252,"")</f>
        <v/>
      </c>
      <c r="H2646" s="8">
        <f>IFERROR(IF(ISNUMBER(B2646),MAX(B2646,IFERROR(H2645,B2646)),""),"")</f>
        <v/>
      </c>
      <c r="I2646" s="29">
        <f>IFERROR(IF(AND(ISNUMBER(B2646),ISNUMBER(H2646)),B2646/H2646-1,""),"")</f>
        <v/>
      </c>
      <c r="J2646" s="8">
        <f>IFERROR(IF(ISNUMBER(C2646),MAX(C2646,IFERROR(J2645,C2646)),""),"")</f>
        <v/>
      </c>
      <c r="K2646" s="29">
        <f>IFERROR(IF(AND(ISNUMBER(C2646),ISNUMBER(J2646)),C2646/J2646-1,""),"")</f>
        <v/>
      </c>
      <c r="L2646" s="28">
        <f>IFERROR(IF(AND(ISNUMBER(D2646),ISNUMBER(E2646)),D2646-E2646,""),"")</f>
        <v/>
      </c>
    </row>
    <row r="2647">
      <c r="A2647" s="7">
        <f>IFERROR(Datos!A2647,"")</f>
        <v/>
      </c>
      <c r="B2647" s="8">
        <f>IFERROR(Datos!B2647,"")</f>
        <v/>
      </c>
      <c r="C2647" s="8">
        <f>IFERROR(Datos!C2647,"")</f>
        <v/>
      </c>
      <c r="D2647" s="28">
        <f>IFERROR(IF(AND(ISNUMBER(B2647),ISNUMBER(B2646),B2646&lt;&gt;0),B2647/B2646-1,""),"")</f>
        <v/>
      </c>
      <c r="E2647" s="28">
        <f>IFERROR(IF(AND(ISNUMBER(C2647),ISNUMBER(C2646),C2646&lt;&gt;0),C2647/C2646-1,""),"")</f>
        <v/>
      </c>
      <c r="F2647" s="28">
        <f>IFERROR(D2647-Dashboard!$B$4/252,"")</f>
        <v/>
      </c>
      <c r="G2647" s="28">
        <f>IFERROR(E2647-Dashboard!$B$4/252,"")</f>
        <v/>
      </c>
      <c r="H2647" s="8">
        <f>IFERROR(IF(ISNUMBER(B2647),MAX(B2647,IFERROR(H2646,B2647)),""),"")</f>
        <v/>
      </c>
      <c r="I2647" s="29">
        <f>IFERROR(IF(AND(ISNUMBER(B2647),ISNUMBER(H2647)),B2647/H2647-1,""),"")</f>
        <v/>
      </c>
      <c r="J2647" s="8">
        <f>IFERROR(IF(ISNUMBER(C2647),MAX(C2647,IFERROR(J2646,C2647)),""),"")</f>
        <v/>
      </c>
      <c r="K2647" s="29">
        <f>IFERROR(IF(AND(ISNUMBER(C2647),ISNUMBER(J2647)),C2647/J2647-1,""),"")</f>
        <v/>
      </c>
      <c r="L2647" s="28">
        <f>IFERROR(IF(AND(ISNUMBER(D2647),ISNUMBER(E2647)),D2647-E2647,""),"")</f>
        <v/>
      </c>
    </row>
    <row r="2648">
      <c r="A2648" s="7">
        <f>IFERROR(Datos!A2648,"")</f>
        <v/>
      </c>
      <c r="B2648" s="8">
        <f>IFERROR(Datos!B2648,"")</f>
        <v/>
      </c>
      <c r="C2648" s="8">
        <f>IFERROR(Datos!C2648,"")</f>
        <v/>
      </c>
      <c r="D2648" s="28">
        <f>IFERROR(IF(AND(ISNUMBER(B2648),ISNUMBER(B2647),B2647&lt;&gt;0),B2648/B2647-1,""),"")</f>
        <v/>
      </c>
      <c r="E2648" s="28">
        <f>IFERROR(IF(AND(ISNUMBER(C2648),ISNUMBER(C2647),C2647&lt;&gt;0),C2648/C2647-1,""),"")</f>
        <v/>
      </c>
      <c r="F2648" s="28">
        <f>IFERROR(D2648-Dashboard!$B$4/252,"")</f>
        <v/>
      </c>
      <c r="G2648" s="28">
        <f>IFERROR(E2648-Dashboard!$B$4/252,"")</f>
        <v/>
      </c>
      <c r="H2648" s="8">
        <f>IFERROR(IF(ISNUMBER(B2648),MAX(B2648,IFERROR(H2647,B2648)),""),"")</f>
        <v/>
      </c>
      <c r="I2648" s="29">
        <f>IFERROR(IF(AND(ISNUMBER(B2648),ISNUMBER(H2648)),B2648/H2648-1,""),"")</f>
        <v/>
      </c>
      <c r="J2648" s="8">
        <f>IFERROR(IF(ISNUMBER(C2648),MAX(C2648,IFERROR(J2647,C2648)),""),"")</f>
        <v/>
      </c>
      <c r="K2648" s="29">
        <f>IFERROR(IF(AND(ISNUMBER(C2648),ISNUMBER(J2648)),C2648/J2648-1,""),"")</f>
        <v/>
      </c>
      <c r="L2648" s="28">
        <f>IFERROR(IF(AND(ISNUMBER(D2648),ISNUMBER(E2648)),D2648-E2648,""),"")</f>
        <v/>
      </c>
    </row>
    <row r="2649">
      <c r="A2649" s="7">
        <f>IFERROR(Datos!A2649,"")</f>
        <v/>
      </c>
      <c r="B2649" s="8">
        <f>IFERROR(Datos!B2649,"")</f>
        <v/>
      </c>
      <c r="C2649" s="8">
        <f>IFERROR(Datos!C2649,"")</f>
        <v/>
      </c>
      <c r="D2649" s="28">
        <f>IFERROR(IF(AND(ISNUMBER(B2649),ISNUMBER(B2648),B2648&lt;&gt;0),B2649/B2648-1,""),"")</f>
        <v/>
      </c>
      <c r="E2649" s="28">
        <f>IFERROR(IF(AND(ISNUMBER(C2649),ISNUMBER(C2648),C2648&lt;&gt;0),C2649/C2648-1,""),"")</f>
        <v/>
      </c>
      <c r="F2649" s="28">
        <f>IFERROR(D2649-Dashboard!$B$4/252,"")</f>
        <v/>
      </c>
      <c r="G2649" s="28">
        <f>IFERROR(E2649-Dashboard!$B$4/252,"")</f>
        <v/>
      </c>
      <c r="H2649" s="8">
        <f>IFERROR(IF(ISNUMBER(B2649),MAX(B2649,IFERROR(H2648,B2649)),""),"")</f>
        <v/>
      </c>
      <c r="I2649" s="29">
        <f>IFERROR(IF(AND(ISNUMBER(B2649),ISNUMBER(H2649)),B2649/H2649-1,""),"")</f>
        <v/>
      </c>
      <c r="J2649" s="8">
        <f>IFERROR(IF(ISNUMBER(C2649),MAX(C2649,IFERROR(J2648,C2649)),""),"")</f>
        <v/>
      </c>
      <c r="K2649" s="29">
        <f>IFERROR(IF(AND(ISNUMBER(C2649),ISNUMBER(J2649)),C2649/J2649-1,""),"")</f>
        <v/>
      </c>
      <c r="L2649" s="28">
        <f>IFERROR(IF(AND(ISNUMBER(D2649),ISNUMBER(E2649)),D2649-E2649,""),"")</f>
        <v/>
      </c>
    </row>
    <row r="2650">
      <c r="A2650" s="7">
        <f>IFERROR(Datos!A2650,"")</f>
        <v/>
      </c>
      <c r="B2650" s="8">
        <f>IFERROR(Datos!B2650,"")</f>
        <v/>
      </c>
      <c r="C2650" s="8">
        <f>IFERROR(Datos!C2650,"")</f>
        <v/>
      </c>
      <c r="D2650" s="28">
        <f>IFERROR(IF(AND(ISNUMBER(B2650),ISNUMBER(B2649),B2649&lt;&gt;0),B2650/B2649-1,""),"")</f>
        <v/>
      </c>
      <c r="E2650" s="28">
        <f>IFERROR(IF(AND(ISNUMBER(C2650),ISNUMBER(C2649),C2649&lt;&gt;0),C2650/C2649-1,""),"")</f>
        <v/>
      </c>
      <c r="F2650" s="28">
        <f>IFERROR(D2650-Dashboard!$B$4/252,"")</f>
        <v/>
      </c>
      <c r="G2650" s="28">
        <f>IFERROR(E2650-Dashboard!$B$4/252,"")</f>
        <v/>
      </c>
      <c r="H2650" s="8">
        <f>IFERROR(IF(ISNUMBER(B2650),MAX(B2650,IFERROR(H2649,B2650)),""),"")</f>
        <v/>
      </c>
      <c r="I2650" s="29">
        <f>IFERROR(IF(AND(ISNUMBER(B2650),ISNUMBER(H2650)),B2650/H2650-1,""),"")</f>
        <v/>
      </c>
      <c r="J2650" s="8">
        <f>IFERROR(IF(ISNUMBER(C2650),MAX(C2650,IFERROR(J2649,C2650)),""),"")</f>
        <v/>
      </c>
      <c r="K2650" s="29">
        <f>IFERROR(IF(AND(ISNUMBER(C2650),ISNUMBER(J2650)),C2650/J2650-1,""),"")</f>
        <v/>
      </c>
      <c r="L2650" s="28">
        <f>IFERROR(IF(AND(ISNUMBER(D2650),ISNUMBER(E2650)),D2650-E2650,""),"")</f>
        <v/>
      </c>
    </row>
    <row r="2651">
      <c r="A2651" s="7">
        <f>IFERROR(Datos!A2651,"")</f>
        <v/>
      </c>
      <c r="B2651" s="8">
        <f>IFERROR(Datos!B2651,"")</f>
        <v/>
      </c>
      <c r="C2651" s="8">
        <f>IFERROR(Datos!C2651,"")</f>
        <v/>
      </c>
      <c r="D2651" s="28">
        <f>IFERROR(IF(AND(ISNUMBER(B2651),ISNUMBER(B2650),B2650&lt;&gt;0),B2651/B2650-1,""),"")</f>
        <v/>
      </c>
      <c r="E2651" s="28">
        <f>IFERROR(IF(AND(ISNUMBER(C2651),ISNUMBER(C2650),C2650&lt;&gt;0),C2651/C2650-1,""),"")</f>
        <v/>
      </c>
      <c r="F2651" s="28">
        <f>IFERROR(D2651-Dashboard!$B$4/252,"")</f>
        <v/>
      </c>
      <c r="G2651" s="28">
        <f>IFERROR(E2651-Dashboard!$B$4/252,"")</f>
        <v/>
      </c>
      <c r="H2651" s="8">
        <f>IFERROR(IF(ISNUMBER(B2651),MAX(B2651,IFERROR(H2650,B2651)),""),"")</f>
        <v/>
      </c>
      <c r="I2651" s="29">
        <f>IFERROR(IF(AND(ISNUMBER(B2651),ISNUMBER(H2651)),B2651/H2651-1,""),"")</f>
        <v/>
      </c>
      <c r="J2651" s="8">
        <f>IFERROR(IF(ISNUMBER(C2651),MAX(C2651,IFERROR(J2650,C2651)),""),"")</f>
        <v/>
      </c>
      <c r="K2651" s="29">
        <f>IFERROR(IF(AND(ISNUMBER(C2651),ISNUMBER(J2651)),C2651/J2651-1,""),"")</f>
        <v/>
      </c>
      <c r="L2651" s="28">
        <f>IFERROR(IF(AND(ISNUMBER(D2651),ISNUMBER(E2651)),D2651-E2651,""),"")</f>
        <v/>
      </c>
    </row>
    <row r="2652">
      <c r="A2652" s="7">
        <f>IFERROR(Datos!A2652,"")</f>
        <v/>
      </c>
      <c r="B2652" s="8">
        <f>IFERROR(Datos!B2652,"")</f>
        <v/>
      </c>
      <c r="C2652" s="8">
        <f>IFERROR(Datos!C2652,"")</f>
        <v/>
      </c>
      <c r="D2652" s="28">
        <f>IFERROR(IF(AND(ISNUMBER(B2652),ISNUMBER(B2651),B2651&lt;&gt;0),B2652/B2651-1,""),"")</f>
        <v/>
      </c>
      <c r="E2652" s="28">
        <f>IFERROR(IF(AND(ISNUMBER(C2652),ISNUMBER(C2651),C2651&lt;&gt;0),C2652/C2651-1,""),"")</f>
        <v/>
      </c>
      <c r="F2652" s="28">
        <f>IFERROR(D2652-Dashboard!$B$4/252,"")</f>
        <v/>
      </c>
      <c r="G2652" s="28">
        <f>IFERROR(E2652-Dashboard!$B$4/252,"")</f>
        <v/>
      </c>
      <c r="H2652" s="8">
        <f>IFERROR(IF(ISNUMBER(B2652),MAX(B2652,IFERROR(H2651,B2652)),""),"")</f>
        <v/>
      </c>
      <c r="I2652" s="29">
        <f>IFERROR(IF(AND(ISNUMBER(B2652),ISNUMBER(H2652)),B2652/H2652-1,""),"")</f>
        <v/>
      </c>
      <c r="J2652" s="8">
        <f>IFERROR(IF(ISNUMBER(C2652),MAX(C2652,IFERROR(J2651,C2652)),""),"")</f>
        <v/>
      </c>
      <c r="K2652" s="29">
        <f>IFERROR(IF(AND(ISNUMBER(C2652),ISNUMBER(J2652)),C2652/J2652-1,""),"")</f>
        <v/>
      </c>
      <c r="L2652" s="28">
        <f>IFERROR(IF(AND(ISNUMBER(D2652),ISNUMBER(E2652)),D2652-E2652,""),"")</f>
        <v/>
      </c>
    </row>
    <row r="2653">
      <c r="A2653" s="7">
        <f>IFERROR(Datos!A2653,"")</f>
        <v/>
      </c>
      <c r="B2653" s="8">
        <f>IFERROR(Datos!B2653,"")</f>
        <v/>
      </c>
      <c r="C2653" s="8">
        <f>IFERROR(Datos!C2653,"")</f>
        <v/>
      </c>
      <c r="D2653" s="28">
        <f>IFERROR(IF(AND(ISNUMBER(B2653),ISNUMBER(B2652),B2652&lt;&gt;0),B2653/B2652-1,""),"")</f>
        <v/>
      </c>
      <c r="E2653" s="28">
        <f>IFERROR(IF(AND(ISNUMBER(C2653),ISNUMBER(C2652),C2652&lt;&gt;0),C2653/C2652-1,""),"")</f>
        <v/>
      </c>
      <c r="F2653" s="28">
        <f>IFERROR(D2653-Dashboard!$B$4/252,"")</f>
        <v/>
      </c>
      <c r="G2653" s="28">
        <f>IFERROR(E2653-Dashboard!$B$4/252,"")</f>
        <v/>
      </c>
      <c r="H2653" s="8">
        <f>IFERROR(IF(ISNUMBER(B2653),MAX(B2653,IFERROR(H2652,B2653)),""),"")</f>
        <v/>
      </c>
      <c r="I2653" s="29">
        <f>IFERROR(IF(AND(ISNUMBER(B2653),ISNUMBER(H2653)),B2653/H2653-1,""),"")</f>
        <v/>
      </c>
      <c r="J2653" s="8">
        <f>IFERROR(IF(ISNUMBER(C2653),MAX(C2653,IFERROR(J2652,C2653)),""),"")</f>
        <v/>
      </c>
      <c r="K2653" s="29">
        <f>IFERROR(IF(AND(ISNUMBER(C2653),ISNUMBER(J2653)),C2653/J2653-1,""),"")</f>
        <v/>
      </c>
      <c r="L2653" s="28">
        <f>IFERROR(IF(AND(ISNUMBER(D2653),ISNUMBER(E2653)),D2653-E2653,""),"")</f>
        <v/>
      </c>
    </row>
    <row r="2654">
      <c r="A2654" s="7">
        <f>IFERROR(Datos!A2654,"")</f>
        <v/>
      </c>
      <c r="B2654" s="8">
        <f>IFERROR(Datos!B2654,"")</f>
        <v/>
      </c>
      <c r="C2654" s="8">
        <f>IFERROR(Datos!C2654,"")</f>
        <v/>
      </c>
      <c r="D2654" s="28">
        <f>IFERROR(IF(AND(ISNUMBER(B2654),ISNUMBER(B2653),B2653&lt;&gt;0),B2654/B2653-1,""),"")</f>
        <v/>
      </c>
      <c r="E2654" s="28">
        <f>IFERROR(IF(AND(ISNUMBER(C2654),ISNUMBER(C2653),C2653&lt;&gt;0),C2654/C2653-1,""),"")</f>
        <v/>
      </c>
      <c r="F2654" s="28">
        <f>IFERROR(D2654-Dashboard!$B$4/252,"")</f>
        <v/>
      </c>
      <c r="G2654" s="28">
        <f>IFERROR(E2654-Dashboard!$B$4/252,"")</f>
        <v/>
      </c>
      <c r="H2654" s="8">
        <f>IFERROR(IF(ISNUMBER(B2654),MAX(B2654,IFERROR(H2653,B2654)),""),"")</f>
        <v/>
      </c>
      <c r="I2654" s="29">
        <f>IFERROR(IF(AND(ISNUMBER(B2654),ISNUMBER(H2654)),B2654/H2654-1,""),"")</f>
        <v/>
      </c>
      <c r="J2654" s="8">
        <f>IFERROR(IF(ISNUMBER(C2654),MAX(C2654,IFERROR(J2653,C2654)),""),"")</f>
        <v/>
      </c>
      <c r="K2654" s="29">
        <f>IFERROR(IF(AND(ISNUMBER(C2654),ISNUMBER(J2654)),C2654/J2654-1,""),"")</f>
        <v/>
      </c>
      <c r="L2654" s="28">
        <f>IFERROR(IF(AND(ISNUMBER(D2654),ISNUMBER(E2654)),D2654-E2654,""),"")</f>
        <v/>
      </c>
    </row>
    <row r="2655">
      <c r="A2655" s="7">
        <f>IFERROR(Datos!A2655,"")</f>
        <v/>
      </c>
      <c r="B2655" s="8">
        <f>IFERROR(Datos!B2655,"")</f>
        <v/>
      </c>
      <c r="C2655" s="8">
        <f>IFERROR(Datos!C2655,"")</f>
        <v/>
      </c>
      <c r="D2655" s="28">
        <f>IFERROR(IF(AND(ISNUMBER(B2655),ISNUMBER(B2654),B2654&lt;&gt;0),B2655/B2654-1,""),"")</f>
        <v/>
      </c>
      <c r="E2655" s="28">
        <f>IFERROR(IF(AND(ISNUMBER(C2655),ISNUMBER(C2654),C2654&lt;&gt;0),C2655/C2654-1,""),"")</f>
        <v/>
      </c>
      <c r="F2655" s="28">
        <f>IFERROR(D2655-Dashboard!$B$4/252,"")</f>
        <v/>
      </c>
      <c r="G2655" s="28">
        <f>IFERROR(E2655-Dashboard!$B$4/252,"")</f>
        <v/>
      </c>
      <c r="H2655" s="8">
        <f>IFERROR(IF(ISNUMBER(B2655),MAX(B2655,IFERROR(H2654,B2655)),""),"")</f>
        <v/>
      </c>
      <c r="I2655" s="29">
        <f>IFERROR(IF(AND(ISNUMBER(B2655),ISNUMBER(H2655)),B2655/H2655-1,""),"")</f>
        <v/>
      </c>
      <c r="J2655" s="8">
        <f>IFERROR(IF(ISNUMBER(C2655),MAX(C2655,IFERROR(J2654,C2655)),""),"")</f>
        <v/>
      </c>
      <c r="K2655" s="29">
        <f>IFERROR(IF(AND(ISNUMBER(C2655),ISNUMBER(J2655)),C2655/J2655-1,""),"")</f>
        <v/>
      </c>
      <c r="L2655" s="28">
        <f>IFERROR(IF(AND(ISNUMBER(D2655),ISNUMBER(E2655)),D2655-E2655,""),"")</f>
        <v/>
      </c>
    </row>
    <row r="2656">
      <c r="A2656" s="7">
        <f>IFERROR(Datos!A2656,"")</f>
        <v/>
      </c>
      <c r="B2656" s="8">
        <f>IFERROR(Datos!B2656,"")</f>
        <v/>
      </c>
      <c r="C2656" s="8">
        <f>IFERROR(Datos!C2656,"")</f>
        <v/>
      </c>
      <c r="D2656" s="28">
        <f>IFERROR(IF(AND(ISNUMBER(B2656),ISNUMBER(B2655),B2655&lt;&gt;0),B2656/B2655-1,""),"")</f>
        <v/>
      </c>
      <c r="E2656" s="28">
        <f>IFERROR(IF(AND(ISNUMBER(C2656),ISNUMBER(C2655),C2655&lt;&gt;0),C2656/C2655-1,""),"")</f>
        <v/>
      </c>
      <c r="F2656" s="28">
        <f>IFERROR(D2656-Dashboard!$B$4/252,"")</f>
        <v/>
      </c>
      <c r="G2656" s="28">
        <f>IFERROR(E2656-Dashboard!$B$4/252,"")</f>
        <v/>
      </c>
      <c r="H2656" s="8">
        <f>IFERROR(IF(ISNUMBER(B2656),MAX(B2656,IFERROR(H2655,B2656)),""),"")</f>
        <v/>
      </c>
      <c r="I2656" s="29">
        <f>IFERROR(IF(AND(ISNUMBER(B2656),ISNUMBER(H2656)),B2656/H2656-1,""),"")</f>
        <v/>
      </c>
      <c r="J2656" s="8">
        <f>IFERROR(IF(ISNUMBER(C2656),MAX(C2656,IFERROR(J2655,C2656)),""),"")</f>
        <v/>
      </c>
      <c r="K2656" s="29">
        <f>IFERROR(IF(AND(ISNUMBER(C2656),ISNUMBER(J2656)),C2656/J2656-1,""),"")</f>
        <v/>
      </c>
      <c r="L2656" s="28">
        <f>IFERROR(IF(AND(ISNUMBER(D2656),ISNUMBER(E2656)),D2656-E2656,""),"")</f>
        <v/>
      </c>
    </row>
    <row r="2657">
      <c r="A2657" s="7">
        <f>IFERROR(Datos!A2657,"")</f>
        <v/>
      </c>
      <c r="B2657" s="8">
        <f>IFERROR(Datos!B2657,"")</f>
        <v/>
      </c>
      <c r="C2657" s="8">
        <f>IFERROR(Datos!C2657,"")</f>
        <v/>
      </c>
      <c r="D2657" s="28">
        <f>IFERROR(IF(AND(ISNUMBER(B2657),ISNUMBER(B2656),B2656&lt;&gt;0),B2657/B2656-1,""),"")</f>
        <v/>
      </c>
      <c r="E2657" s="28">
        <f>IFERROR(IF(AND(ISNUMBER(C2657),ISNUMBER(C2656),C2656&lt;&gt;0),C2657/C2656-1,""),"")</f>
        <v/>
      </c>
      <c r="F2657" s="28">
        <f>IFERROR(D2657-Dashboard!$B$4/252,"")</f>
        <v/>
      </c>
      <c r="G2657" s="28">
        <f>IFERROR(E2657-Dashboard!$B$4/252,"")</f>
        <v/>
      </c>
      <c r="H2657" s="8">
        <f>IFERROR(IF(ISNUMBER(B2657),MAX(B2657,IFERROR(H2656,B2657)),""),"")</f>
        <v/>
      </c>
      <c r="I2657" s="29">
        <f>IFERROR(IF(AND(ISNUMBER(B2657),ISNUMBER(H2657)),B2657/H2657-1,""),"")</f>
        <v/>
      </c>
      <c r="J2657" s="8">
        <f>IFERROR(IF(ISNUMBER(C2657),MAX(C2657,IFERROR(J2656,C2657)),""),"")</f>
        <v/>
      </c>
      <c r="K2657" s="29">
        <f>IFERROR(IF(AND(ISNUMBER(C2657),ISNUMBER(J2657)),C2657/J2657-1,""),"")</f>
        <v/>
      </c>
      <c r="L2657" s="28">
        <f>IFERROR(IF(AND(ISNUMBER(D2657),ISNUMBER(E2657)),D2657-E2657,""),"")</f>
        <v/>
      </c>
    </row>
    <row r="2658">
      <c r="A2658" s="7">
        <f>IFERROR(Datos!A2658,"")</f>
        <v/>
      </c>
      <c r="B2658" s="8">
        <f>IFERROR(Datos!B2658,"")</f>
        <v/>
      </c>
      <c r="C2658" s="8">
        <f>IFERROR(Datos!C2658,"")</f>
        <v/>
      </c>
      <c r="D2658" s="28">
        <f>IFERROR(IF(AND(ISNUMBER(B2658),ISNUMBER(B2657),B2657&lt;&gt;0),B2658/B2657-1,""),"")</f>
        <v/>
      </c>
      <c r="E2658" s="28">
        <f>IFERROR(IF(AND(ISNUMBER(C2658),ISNUMBER(C2657),C2657&lt;&gt;0),C2658/C2657-1,""),"")</f>
        <v/>
      </c>
      <c r="F2658" s="28">
        <f>IFERROR(D2658-Dashboard!$B$4/252,"")</f>
        <v/>
      </c>
      <c r="G2658" s="28">
        <f>IFERROR(E2658-Dashboard!$B$4/252,"")</f>
        <v/>
      </c>
      <c r="H2658" s="8">
        <f>IFERROR(IF(ISNUMBER(B2658),MAX(B2658,IFERROR(H2657,B2658)),""),"")</f>
        <v/>
      </c>
      <c r="I2658" s="29">
        <f>IFERROR(IF(AND(ISNUMBER(B2658),ISNUMBER(H2658)),B2658/H2658-1,""),"")</f>
        <v/>
      </c>
      <c r="J2658" s="8">
        <f>IFERROR(IF(ISNUMBER(C2658),MAX(C2658,IFERROR(J2657,C2658)),""),"")</f>
        <v/>
      </c>
      <c r="K2658" s="29">
        <f>IFERROR(IF(AND(ISNUMBER(C2658),ISNUMBER(J2658)),C2658/J2658-1,""),"")</f>
        <v/>
      </c>
      <c r="L2658" s="28">
        <f>IFERROR(IF(AND(ISNUMBER(D2658),ISNUMBER(E2658)),D2658-E2658,""),"")</f>
        <v/>
      </c>
    </row>
    <row r="2659">
      <c r="A2659" s="7">
        <f>IFERROR(Datos!A2659,"")</f>
        <v/>
      </c>
      <c r="B2659" s="8">
        <f>IFERROR(Datos!B2659,"")</f>
        <v/>
      </c>
      <c r="C2659" s="8">
        <f>IFERROR(Datos!C2659,"")</f>
        <v/>
      </c>
      <c r="D2659" s="28">
        <f>IFERROR(IF(AND(ISNUMBER(B2659),ISNUMBER(B2658),B2658&lt;&gt;0),B2659/B2658-1,""),"")</f>
        <v/>
      </c>
      <c r="E2659" s="28">
        <f>IFERROR(IF(AND(ISNUMBER(C2659),ISNUMBER(C2658),C2658&lt;&gt;0),C2659/C2658-1,""),"")</f>
        <v/>
      </c>
      <c r="F2659" s="28">
        <f>IFERROR(D2659-Dashboard!$B$4/252,"")</f>
        <v/>
      </c>
      <c r="G2659" s="28">
        <f>IFERROR(E2659-Dashboard!$B$4/252,"")</f>
        <v/>
      </c>
      <c r="H2659" s="8">
        <f>IFERROR(IF(ISNUMBER(B2659),MAX(B2659,IFERROR(H2658,B2659)),""),"")</f>
        <v/>
      </c>
      <c r="I2659" s="29">
        <f>IFERROR(IF(AND(ISNUMBER(B2659),ISNUMBER(H2659)),B2659/H2659-1,""),"")</f>
        <v/>
      </c>
      <c r="J2659" s="8">
        <f>IFERROR(IF(ISNUMBER(C2659),MAX(C2659,IFERROR(J2658,C2659)),""),"")</f>
        <v/>
      </c>
      <c r="K2659" s="29">
        <f>IFERROR(IF(AND(ISNUMBER(C2659),ISNUMBER(J2659)),C2659/J2659-1,""),"")</f>
        <v/>
      </c>
      <c r="L2659" s="28">
        <f>IFERROR(IF(AND(ISNUMBER(D2659),ISNUMBER(E2659)),D2659-E2659,""),"")</f>
        <v/>
      </c>
    </row>
    <row r="2660">
      <c r="A2660" s="7">
        <f>IFERROR(Datos!A2660,"")</f>
        <v/>
      </c>
      <c r="B2660" s="8">
        <f>IFERROR(Datos!B2660,"")</f>
        <v/>
      </c>
      <c r="C2660" s="8">
        <f>IFERROR(Datos!C2660,"")</f>
        <v/>
      </c>
      <c r="D2660" s="28">
        <f>IFERROR(IF(AND(ISNUMBER(B2660),ISNUMBER(B2659),B2659&lt;&gt;0),B2660/B2659-1,""),"")</f>
        <v/>
      </c>
      <c r="E2660" s="28">
        <f>IFERROR(IF(AND(ISNUMBER(C2660),ISNUMBER(C2659),C2659&lt;&gt;0),C2660/C2659-1,""),"")</f>
        <v/>
      </c>
      <c r="F2660" s="28">
        <f>IFERROR(D2660-Dashboard!$B$4/252,"")</f>
        <v/>
      </c>
      <c r="G2660" s="28">
        <f>IFERROR(E2660-Dashboard!$B$4/252,"")</f>
        <v/>
      </c>
      <c r="H2660" s="8">
        <f>IFERROR(IF(ISNUMBER(B2660),MAX(B2660,IFERROR(H2659,B2660)),""),"")</f>
        <v/>
      </c>
      <c r="I2660" s="29">
        <f>IFERROR(IF(AND(ISNUMBER(B2660),ISNUMBER(H2660)),B2660/H2660-1,""),"")</f>
        <v/>
      </c>
      <c r="J2660" s="8">
        <f>IFERROR(IF(ISNUMBER(C2660),MAX(C2660,IFERROR(J2659,C2660)),""),"")</f>
        <v/>
      </c>
      <c r="K2660" s="29">
        <f>IFERROR(IF(AND(ISNUMBER(C2660),ISNUMBER(J2660)),C2660/J2660-1,""),"")</f>
        <v/>
      </c>
      <c r="L2660" s="28">
        <f>IFERROR(IF(AND(ISNUMBER(D2660),ISNUMBER(E2660)),D2660-E2660,""),"")</f>
        <v/>
      </c>
    </row>
    <row r="2661">
      <c r="A2661" s="7">
        <f>IFERROR(Datos!A2661,"")</f>
        <v/>
      </c>
      <c r="B2661" s="8">
        <f>IFERROR(Datos!B2661,"")</f>
        <v/>
      </c>
      <c r="C2661" s="8">
        <f>IFERROR(Datos!C2661,"")</f>
        <v/>
      </c>
      <c r="D2661" s="28">
        <f>IFERROR(IF(AND(ISNUMBER(B2661),ISNUMBER(B2660),B2660&lt;&gt;0),B2661/B2660-1,""),"")</f>
        <v/>
      </c>
      <c r="E2661" s="28">
        <f>IFERROR(IF(AND(ISNUMBER(C2661),ISNUMBER(C2660),C2660&lt;&gt;0),C2661/C2660-1,""),"")</f>
        <v/>
      </c>
      <c r="F2661" s="28">
        <f>IFERROR(D2661-Dashboard!$B$4/252,"")</f>
        <v/>
      </c>
      <c r="G2661" s="28">
        <f>IFERROR(E2661-Dashboard!$B$4/252,"")</f>
        <v/>
      </c>
      <c r="H2661" s="8">
        <f>IFERROR(IF(ISNUMBER(B2661),MAX(B2661,IFERROR(H2660,B2661)),""),"")</f>
        <v/>
      </c>
      <c r="I2661" s="29">
        <f>IFERROR(IF(AND(ISNUMBER(B2661),ISNUMBER(H2661)),B2661/H2661-1,""),"")</f>
        <v/>
      </c>
      <c r="J2661" s="8">
        <f>IFERROR(IF(ISNUMBER(C2661),MAX(C2661,IFERROR(J2660,C2661)),""),"")</f>
        <v/>
      </c>
      <c r="K2661" s="29">
        <f>IFERROR(IF(AND(ISNUMBER(C2661),ISNUMBER(J2661)),C2661/J2661-1,""),"")</f>
        <v/>
      </c>
      <c r="L2661" s="28">
        <f>IFERROR(IF(AND(ISNUMBER(D2661),ISNUMBER(E2661)),D2661-E2661,""),"")</f>
        <v/>
      </c>
    </row>
    <row r="2662">
      <c r="A2662" s="7">
        <f>IFERROR(Datos!A2662,"")</f>
        <v/>
      </c>
      <c r="B2662" s="8">
        <f>IFERROR(Datos!B2662,"")</f>
        <v/>
      </c>
      <c r="C2662" s="8">
        <f>IFERROR(Datos!C2662,"")</f>
        <v/>
      </c>
      <c r="D2662" s="28">
        <f>IFERROR(IF(AND(ISNUMBER(B2662),ISNUMBER(B2661),B2661&lt;&gt;0),B2662/B2661-1,""),"")</f>
        <v/>
      </c>
      <c r="E2662" s="28">
        <f>IFERROR(IF(AND(ISNUMBER(C2662),ISNUMBER(C2661),C2661&lt;&gt;0),C2662/C2661-1,""),"")</f>
        <v/>
      </c>
      <c r="F2662" s="28">
        <f>IFERROR(D2662-Dashboard!$B$4/252,"")</f>
        <v/>
      </c>
      <c r="G2662" s="28">
        <f>IFERROR(E2662-Dashboard!$B$4/252,"")</f>
        <v/>
      </c>
      <c r="H2662" s="8">
        <f>IFERROR(IF(ISNUMBER(B2662),MAX(B2662,IFERROR(H2661,B2662)),""),"")</f>
        <v/>
      </c>
      <c r="I2662" s="29">
        <f>IFERROR(IF(AND(ISNUMBER(B2662),ISNUMBER(H2662)),B2662/H2662-1,""),"")</f>
        <v/>
      </c>
      <c r="J2662" s="8">
        <f>IFERROR(IF(ISNUMBER(C2662),MAX(C2662,IFERROR(J2661,C2662)),""),"")</f>
        <v/>
      </c>
      <c r="K2662" s="29">
        <f>IFERROR(IF(AND(ISNUMBER(C2662),ISNUMBER(J2662)),C2662/J2662-1,""),"")</f>
        <v/>
      </c>
      <c r="L2662" s="28">
        <f>IFERROR(IF(AND(ISNUMBER(D2662),ISNUMBER(E2662)),D2662-E2662,""),"")</f>
        <v/>
      </c>
    </row>
    <row r="2663">
      <c r="A2663" s="7">
        <f>IFERROR(Datos!A2663,"")</f>
        <v/>
      </c>
      <c r="B2663" s="8">
        <f>IFERROR(Datos!B2663,"")</f>
        <v/>
      </c>
      <c r="C2663" s="8">
        <f>IFERROR(Datos!C2663,"")</f>
        <v/>
      </c>
      <c r="D2663" s="28">
        <f>IFERROR(IF(AND(ISNUMBER(B2663),ISNUMBER(B2662),B2662&lt;&gt;0),B2663/B2662-1,""),"")</f>
        <v/>
      </c>
      <c r="E2663" s="28">
        <f>IFERROR(IF(AND(ISNUMBER(C2663),ISNUMBER(C2662),C2662&lt;&gt;0),C2663/C2662-1,""),"")</f>
        <v/>
      </c>
      <c r="F2663" s="28">
        <f>IFERROR(D2663-Dashboard!$B$4/252,"")</f>
        <v/>
      </c>
      <c r="G2663" s="28">
        <f>IFERROR(E2663-Dashboard!$B$4/252,"")</f>
        <v/>
      </c>
      <c r="H2663" s="8">
        <f>IFERROR(IF(ISNUMBER(B2663),MAX(B2663,IFERROR(H2662,B2663)),""),"")</f>
        <v/>
      </c>
      <c r="I2663" s="29">
        <f>IFERROR(IF(AND(ISNUMBER(B2663),ISNUMBER(H2663)),B2663/H2663-1,""),"")</f>
        <v/>
      </c>
      <c r="J2663" s="8">
        <f>IFERROR(IF(ISNUMBER(C2663),MAX(C2663,IFERROR(J2662,C2663)),""),"")</f>
        <v/>
      </c>
      <c r="K2663" s="29">
        <f>IFERROR(IF(AND(ISNUMBER(C2663),ISNUMBER(J2663)),C2663/J2663-1,""),"")</f>
        <v/>
      </c>
      <c r="L2663" s="28">
        <f>IFERROR(IF(AND(ISNUMBER(D2663),ISNUMBER(E2663)),D2663-E2663,""),"")</f>
        <v/>
      </c>
    </row>
    <row r="2664">
      <c r="A2664" s="7">
        <f>IFERROR(Datos!A2664,"")</f>
        <v/>
      </c>
      <c r="B2664" s="8">
        <f>IFERROR(Datos!B2664,"")</f>
        <v/>
      </c>
      <c r="C2664" s="8">
        <f>IFERROR(Datos!C2664,"")</f>
        <v/>
      </c>
      <c r="D2664" s="28">
        <f>IFERROR(IF(AND(ISNUMBER(B2664),ISNUMBER(B2663),B2663&lt;&gt;0),B2664/B2663-1,""),"")</f>
        <v/>
      </c>
      <c r="E2664" s="28">
        <f>IFERROR(IF(AND(ISNUMBER(C2664),ISNUMBER(C2663),C2663&lt;&gt;0),C2664/C2663-1,""),"")</f>
        <v/>
      </c>
      <c r="F2664" s="28">
        <f>IFERROR(D2664-Dashboard!$B$4/252,"")</f>
        <v/>
      </c>
      <c r="G2664" s="28">
        <f>IFERROR(E2664-Dashboard!$B$4/252,"")</f>
        <v/>
      </c>
      <c r="H2664" s="8">
        <f>IFERROR(IF(ISNUMBER(B2664),MAX(B2664,IFERROR(H2663,B2664)),""),"")</f>
        <v/>
      </c>
      <c r="I2664" s="29">
        <f>IFERROR(IF(AND(ISNUMBER(B2664),ISNUMBER(H2664)),B2664/H2664-1,""),"")</f>
        <v/>
      </c>
      <c r="J2664" s="8">
        <f>IFERROR(IF(ISNUMBER(C2664),MAX(C2664,IFERROR(J2663,C2664)),""),"")</f>
        <v/>
      </c>
      <c r="K2664" s="29">
        <f>IFERROR(IF(AND(ISNUMBER(C2664),ISNUMBER(J2664)),C2664/J2664-1,""),"")</f>
        <v/>
      </c>
      <c r="L2664" s="28">
        <f>IFERROR(IF(AND(ISNUMBER(D2664),ISNUMBER(E2664)),D2664-E2664,""),"")</f>
        <v/>
      </c>
    </row>
    <row r="2665">
      <c r="A2665" s="7">
        <f>IFERROR(Datos!A2665,"")</f>
        <v/>
      </c>
      <c r="B2665" s="8">
        <f>IFERROR(Datos!B2665,"")</f>
        <v/>
      </c>
      <c r="C2665" s="8">
        <f>IFERROR(Datos!C2665,"")</f>
        <v/>
      </c>
      <c r="D2665" s="28">
        <f>IFERROR(IF(AND(ISNUMBER(B2665),ISNUMBER(B2664),B2664&lt;&gt;0),B2665/B2664-1,""),"")</f>
        <v/>
      </c>
      <c r="E2665" s="28">
        <f>IFERROR(IF(AND(ISNUMBER(C2665),ISNUMBER(C2664),C2664&lt;&gt;0),C2665/C2664-1,""),"")</f>
        <v/>
      </c>
      <c r="F2665" s="28">
        <f>IFERROR(D2665-Dashboard!$B$4/252,"")</f>
        <v/>
      </c>
      <c r="G2665" s="28">
        <f>IFERROR(E2665-Dashboard!$B$4/252,"")</f>
        <v/>
      </c>
      <c r="H2665" s="8">
        <f>IFERROR(IF(ISNUMBER(B2665),MAX(B2665,IFERROR(H2664,B2665)),""),"")</f>
        <v/>
      </c>
      <c r="I2665" s="29">
        <f>IFERROR(IF(AND(ISNUMBER(B2665),ISNUMBER(H2665)),B2665/H2665-1,""),"")</f>
        <v/>
      </c>
      <c r="J2665" s="8">
        <f>IFERROR(IF(ISNUMBER(C2665),MAX(C2665,IFERROR(J2664,C2665)),""),"")</f>
        <v/>
      </c>
      <c r="K2665" s="29">
        <f>IFERROR(IF(AND(ISNUMBER(C2665),ISNUMBER(J2665)),C2665/J2665-1,""),"")</f>
        <v/>
      </c>
      <c r="L2665" s="28">
        <f>IFERROR(IF(AND(ISNUMBER(D2665),ISNUMBER(E2665)),D2665-E2665,""),"")</f>
        <v/>
      </c>
    </row>
    <row r="2666">
      <c r="A2666" s="7">
        <f>IFERROR(Datos!A2666,"")</f>
        <v/>
      </c>
      <c r="B2666" s="8">
        <f>IFERROR(Datos!B2666,"")</f>
        <v/>
      </c>
      <c r="C2666" s="8">
        <f>IFERROR(Datos!C2666,"")</f>
        <v/>
      </c>
      <c r="D2666" s="28">
        <f>IFERROR(IF(AND(ISNUMBER(B2666),ISNUMBER(B2665),B2665&lt;&gt;0),B2666/B2665-1,""),"")</f>
        <v/>
      </c>
      <c r="E2666" s="28">
        <f>IFERROR(IF(AND(ISNUMBER(C2666),ISNUMBER(C2665),C2665&lt;&gt;0),C2666/C2665-1,""),"")</f>
        <v/>
      </c>
      <c r="F2666" s="28">
        <f>IFERROR(D2666-Dashboard!$B$4/252,"")</f>
        <v/>
      </c>
      <c r="G2666" s="28">
        <f>IFERROR(E2666-Dashboard!$B$4/252,"")</f>
        <v/>
      </c>
      <c r="H2666" s="8">
        <f>IFERROR(IF(ISNUMBER(B2666),MAX(B2666,IFERROR(H2665,B2666)),""),"")</f>
        <v/>
      </c>
      <c r="I2666" s="29">
        <f>IFERROR(IF(AND(ISNUMBER(B2666),ISNUMBER(H2666)),B2666/H2666-1,""),"")</f>
        <v/>
      </c>
      <c r="J2666" s="8">
        <f>IFERROR(IF(ISNUMBER(C2666),MAX(C2666,IFERROR(J2665,C2666)),""),"")</f>
        <v/>
      </c>
      <c r="K2666" s="29">
        <f>IFERROR(IF(AND(ISNUMBER(C2666),ISNUMBER(J2666)),C2666/J2666-1,""),"")</f>
        <v/>
      </c>
      <c r="L2666" s="28">
        <f>IFERROR(IF(AND(ISNUMBER(D2666),ISNUMBER(E2666)),D2666-E2666,""),"")</f>
        <v/>
      </c>
    </row>
    <row r="2667">
      <c r="A2667" s="7">
        <f>IFERROR(Datos!A2667,"")</f>
        <v/>
      </c>
      <c r="B2667" s="8">
        <f>IFERROR(Datos!B2667,"")</f>
        <v/>
      </c>
      <c r="C2667" s="8">
        <f>IFERROR(Datos!C2667,"")</f>
        <v/>
      </c>
      <c r="D2667" s="28">
        <f>IFERROR(IF(AND(ISNUMBER(B2667),ISNUMBER(B2666),B2666&lt;&gt;0),B2667/B2666-1,""),"")</f>
        <v/>
      </c>
      <c r="E2667" s="28">
        <f>IFERROR(IF(AND(ISNUMBER(C2667),ISNUMBER(C2666),C2666&lt;&gt;0),C2667/C2666-1,""),"")</f>
        <v/>
      </c>
      <c r="F2667" s="28">
        <f>IFERROR(D2667-Dashboard!$B$4/252,"")</f>
        <v/>
      </c>
      <c r="G2667" s="28">
        <f>IFERROR(E2667-Dashboard!$B$4/252,"")</f>
        <v/>
      </c>
      <c r="H2667" s="8">
        <f>IFERROR(IF(ISNUMBER(B2667),MAX(B2667,IFERROR(H2666,B2667)),""),"")</f>
        <v/>
      </c>
      <c r="I2667" s="29">
        <f>IFERROR(IF(AND(ISNUMBER(B2667),ISNUMBER(H2667)),B2667/H2667-1,""),"")</f>
        <v/>
      </c>
      <c r="J2667" s="8">
        <f>IFERROR(IF(ISNUMBER(C2667),MAX(C2667,IFERROR(J2666,C2667)),""),"")</f>
        <v/>
      </c>
      <c r="K2667" s="29">
        <f>IFERROR(IF(AND(ISNUMBER(C2667),ISNUMBER(J2667)),C2667/J2667-1,""),"")</f>
        <v/>
      </c>
      <c r="L2667" s="28">
        <f>IFERROR(IF(AND(ISNUMBER(D2667),ISNUMBER(E2667)),D2667-E2667,""),"")</f>
        <v/>
      </c>
    </row>
    <row r="2668">
      <c r="A2668" s="7">
        <f>IFERROR(Datos!A2668,"")</f>
        <v/>
      </c>
      <c r="B2668" s="8">
        <f>IFERROR(Datos!B2668,"")</f>
        <v/>
      </c>
      <c r="C2668" s="8">
        <f>IFERROR(Datos!C2668,"")</f>
        <v/>
      </c>
      <c r="D2668" s="28">
        <f>IFERROR(IF(AND(ISNUMBER(B2668),ISNUMBER(B2667),B2667&lt;&gt;0),B2668/B2667-1,""),"")</f>
        <v/>
      </c>
      <c r="E2668" s="28">
        <f>IFERROR(IF(AND(ISNUMBER(C2668),ISNUMBER(C2667),C2667&lt;&gt;0),C2668/C2667-1,""),"")</f>
        <v/>
      </c>
      <c r="F2668" s="28">
        <f>IFERROR(D2668-Dashboard!$B$4/252,"")</f>
        <v/>
      </c>
      <c r="G2668" s="28">
        <f>IFERROR(E2668-Dashboard!$B$4/252,"")</f>
        <v/>
      </c>
      <c r="H2668" s="8">
        <f>IFERROR(IF(ISNUMBER(B2668),MAX(B2668,IFERROR(H2667,B2668)),""),"")</f>
        <v/>
      </c>
      <c r="I2668" s="29">
        <f>IFERROR(IF(AND(ISNUMBER(B2668),ISNUMBER(H2668)),B2668/H2668-1,""),"")</f>
        <v/>
      </c>
      <c r="J2668" s="8">
        <f>IFERROR(IF(ISNUMBER(C2668),MAX(C2668,IFERROR(J2667,C2668)),""),"")</f>
        <v/>
      </c>
      <c r="K2668" s="29">
        <f>IFERROR(IF(AND(ISNUMBER(C2668),ISNUMBER(J2668)),C2668/J2668-1,""),"")</f>
        <v/>
      </c>
      <c r="L2668" s="28">
        <f>IFERROR(IF(AND(ISNUMBER(D2668),ISNUMBER(E2668)),D2668-E2668,""),"")</f>
        <v/>
      </c>
    </row>
    <row r="2669">
      <c r="A2669" s="7">
        <f>IFERROR(Datos!A2669,"")</f>
        <v/>
      </c>
      <c r="B2669" s="8">
        <f>IFERROR(Datos!B2669,"")</f>
        <v/>
      </c>
      <c r="C2669" s="8">
        <f>IFERROR(Datos!C2669,"")</f>
        <v/>
      </c>
      <c r="D2669" s="28">
        <f>IFERROR(IF(AND(ISNUMBER(B2669),ISNUMBER(B2668),B2668&lt;&gt;0),B2669/B2668-1,""),"")</f>
        <v/>
      </c>
      <c r="E2669" s="28">
        <f>IFERROR(IF(AND(ISNUMBER(C2669),ISNUMBER(C2668),C2668&lt;&gt;0),C2669/C2668-1,""),"")</f>
        <v/>
      </c>
      <c r="F2669" s="28">
        <f>IFERROR(D2669-Dashboard!$B$4/252,"")</f>
        <v/>
      </c>
      <c r="G2669" s="28">
        <f>IFERROR(E2669-Dashboard!$B$4/252,"")</f>
        <v/>
      </c>
      <c r="H2669" s="8">
        <f>IFERROR(IF(ISNUMBER(B2669),MAX(B2669,IFERROR(H2668,B2669)),""),"")</f>
        <v/>
      </c>
      <c r="I2669" s="29">
        <f>IFERROR(IF(AND(ISNUMBER(B2669),ISNUMBER(H2669)),B2669/H2669-1,""),"")</f>
        <v/>
      </c>
      <c r="J2669" s="8">
        <f>IFERROR(IF(ISNUMBER(C2669),MAX(C2669,IFERROR(J2668,C2669)),""),"")</f>
        <v/>
      </c>
      <c r="K2669" s="29">
        <f>IFERROR(IF(AND(ISNUMBER(C2669),ISNUMBER(J2669)),C2669/J2669-1,""),"")</f>
        <v/>
      </c>
      <c r="L2669" s="28">
        <f>IFERROR(IF(AND(ISNUMBER(D2669),ISNUMBER(E2669)),D2669-E2669,""),"")</f>
        <v/>
      </c>
    </row>
    <row r="2670">
      <c r="A2670" s="7">
        <f>IFERROR(Datos!A2670,"")</f>
        <v/>
      </c>
      <c r="B2670" s="8">
        <f>IFERROR(Datos!B2670,"")</f>
        <v/>
      </c>
      <c r="C2670" s="8">
        <f>IFERROR(Datos!C2670,"")</f>
        <v/>
      </c>
      <c r="D2670" s="28">
        <f>IFERROR(IF(AND(ISNUMBER(B2670),ISNUMBER(B2669),B2669&lt;&gt;0),B2670/B2669-1,""),"")</f>
        <v/>
      </c>
      <c r="E2670" s="28">
        <f>IFERROR(IF(AND(ISNUMBER(C2670),ISNUMBER(C2669),C2669&lt;&gt;0),C2670/C2669-1,""),"")</f>
        <v/>
      </c>
      <c r="F2670" s="28">
        <f>IFERROR(D2670-Dashboard!$B$4/252,"")</f>
        <v/>
      </c>
      <c r="G2670" s="28">
        <f>IFERROR(E2670-Dashboard!$B$4/252,"")</f>
        <v/>
      </c>
      <c r="H2670" s="8">
        <f>IFERROR(IF(ISNUMBER(B2670),MAX(B2670,IFERROR(H2669,B2670)),""),"")</f>
        <v/>
      </c>
      <c r="I2670" s="29">
        <f>IFERROR(IF(AND(ISNUMBER(B2670),ISNUMBER(H2670)),B2670/H2670-1,""),"")</f>
        <v/>
      </c>
      <c r="J2670" s="8">
        <f>IFERROR(IF(ISNUMBER(C2670),MAX(C2670,IFERROR(J2669,C2670)),""),"")</f>
        <v/>
      </c>
      <c r="K2670" s="29">
        <f>IFERROR(IF(AND(ISNUMBER(C2670),ISNUMBER(J2670)),C2670/J2670-1,""),"")</f>
        <v/>
      </c>
      <c r="L2670" s="28">
        <f>IFERROR(IF(AND(ISNUMBER(D2670),ISNUMBER(E2670)),D2670-E2670,""),"")</f>
        <v/>
      </c>
    </row>
    <row r="2671">
      <c r="A2671" s="7">
        <f>IFERROR(Datos!A2671,"")</f>
        <v/>
      </c>
      <c r="B2671" s="8">
        <f>IFERROR(Datos!B2671,"")</f>
        <v/>
      </c>
      <c r="C2671" s="8">
        <f>IFERROR(Datos!C2671,"")</f>
        <v/>
      </c>
      <c r="D2671" s="28">
        <f>IFERROR(IF(AND(ISNUMBER(B2671),ISNUMBER(B2670),B2670&lt;&gt;0),B2671/B2670-1,""),"")</f>
        <v/>
      </c>
      <c r="E2671" s="28">
        <f>IFERROR(IF(AND(ISNUMBER(C2671),ISNUMBER(C2670),C2670&lt;&gt;0),C2671/C2670-1,""),"")</f>
        <v/>
      </c>
      <c r="F2671" s="28">
        <f>IFERROR(D2671-Dashboard!$B$4/252,"")</f>
        <v/>
      </c>
      <c r="G2671" s="28">
        <f>IFERROR(E2671-Dashboard!$B$4/252,"")</f>
        <v/>
      </c>
      <c r="H2671" s="8">
        <f>IFERROR(IF(ISNUMBER(B2671),MAX(B2671,IFERROR(H2670,B2671)),""),"")</f>
        <v/>
      </c>
      <c r="I2671" s="29">
        <f>IFERROR(IF(AND(ISNUMBER(B2671),ISNUMBER(H2671)),B2671/H2671-1,""),"")</f>
        <v/>
      </c>
      <c r="J2671" s="8">
        <f>IFERROR(IF(ISNUMBER(C2671),MAX(C2671,IFERROR(J2670,C2671)),""),"")</f>
        <v/>
      </c>
      <c r="K2671" s="29">
        <f>IFERROR(IF(AND(ISNUMBER(C2671),ISNUMBER(J2671)),C2671/J2671-1,""),"")</f>
        <v/>
      </c>
      <c r="L2671" s="28">
        <f>IFERROR(IF(AND(ISNUMBER(D2671),ISNUMBER(E2671)),D2671-E2671,""),"")</f>
        <v/>
      </c>
    </row>
    <row r="2672">
      <c r="A2672" s="7">
        <f>IFERROR(Datos!A2672,"")</f>
        <v/>
      </c>
      <c r="B2672" s="8">
        <f>IFERROR(Datos!B2672,"")</f>
        <v/>
      </c>
      <c r="C2672" s="8">
        <f>IFERROR(Datos!C2672,"")</f>
        <v/>
      </c>
      <c r="D2672" s="28">
        <f>IFERROR(IF(AND(ISNUMBER(B2672),ISNUMBER(B2671),B2671&lt;&gt;0),B2672/B2671-1,""),"")</f>
        <v/>
      </c>
      <c r="E2672" s="28">
        <f>IFERROR(IF(AND(ISNUMBER(C2672),ISNUMBER(C2671),C2671&lt;&gt;0),C2672/C2671-1,""),"")</f>
        <v/>
      </c>
      <c r="F2672" s="28">
        <f>IFERROR(D2672-Dashboard!$B$4/252,"")</f>
        <v/>
      </c>
      <c r="G2672" s="28">
        <f>IFERROR(E2672-Dashboard!$B$4/252,"")</f>
        <v/>
      </c>
      <c r="H2672" s="8">
        <f>IFERROR(IF(ISNUMBER(B2672),MAX(B2672,IFERROR(H2671,B2672)),""),"")</f>
        <v/>
      </c>
      <c r="I2672" s="29">
        <f>IFERROR(IF(AND(ISNUMBER(B2672),ISNUMBER(H2672)),B2672/H2672-1,""),"")</f>
        <v/>
      </c>
      <c r="J2672" s="8">
        <f>IFERROR(IF(ISNUMBER(C2672),MAX(C2672,IFERROR(J2671,C2672)),""),"")</f>
        <v/>
      </c>
      <c r="K2672" s="29">
        <f>IFERROR(IF(AND(ISNUMBER(C2672),ISNUMBER(J2672)),C2672/J2672-1,""),"")</f>
        <v/>
      </c>
      <c r="L2672" s="28">
        <f>IFERROR(IF(AND(ISNUMBER(D2672),ISNUMBER(E2672)),D2672-E2672,""),"")</f>
        <v/>
      </c>
    </row>
    <row r="2673">
      <c r="A2673" s="7">
        <f>IFERROR(Datos!A2673,"")</f>
        <v/>
      </c>
      <c r="B2673" s="8">
        <f>IFERROR(Datos!B2673,"")</f>
        <v/>
      </c>
      <c r="C2673" s="8">
        <f>IFERROR(Datos!C2673,"")</f>
        <v/>
      </c>
      <c r="D2673" s="28">
        <f>IFERROR(IF(AND(ISNUMBER(B2673),ISNUMBER(B2672),B2672&lt;&gt;0),B2673/B2672-1,""),"")</f>
        <v/>
      </c>
      <c r="E2673" s="28">
        <f>IFERROR(IF(AND(ISNUMBER(C2673),ISNUMBER(C2672),C2672&lt;&gt;0),C2673/C2672-1,""),"")</f>
        <v/>
      </c>
      <c r="F2673" s="28">
        <f>IFERROR(D2673-Dashboard!$B$4/252,"")</f>
        <v/>
      </c>
      <c r="G2673" s="28">
        <f>IFERROR(E2673-Dashboard!$B$4/252,"")</f>
        <v/>
      </c>
      <c r="H2673" s="8">
        <f>IFERROR(IF(ISNUMBER(B2673),MAX(B2673,IFERROR(H2672,B2673)),""),"")</f>
        <v/>
      </c>
      <c r="I2673" s="29">
        <f>IFERROR(IF(AND(ISNUMBER(B2673),ISNUMBER(H2673)),B2673/H2673-1,""),"")</f>
        <v/>
      </c>
      <c r="J2673" s="8">
        <f>IFERROR(IF(ISNUMBER(C2673),MAX(C2673,IFERROR(J2672,C2673)),""),"")</f>
        <v/>
      </c>
      <c r="K2673" s="29">
        <f>IFERROR(IF(AND(ISNUMBER(C2673),ISNUMBER(J2673)),C2673/J2673-1,""),"")</f>
        <v/>
      </c>
      <c r="L2673" s="28">
        <f>IFERROR(IF(AND(ISNUMBER(D2673),ISNUMBER(E2673)),D2673-E2673,""),"")</f>
        <v/>
      </c>
    </row>
    <row r="2674">
      <c r="A2674" s="7">
        <f>IFERROR(Datos!A2674,"")</f>
        <v/>
      </c>
      <c r="B2674" s="8">
        <f>IFERROR(Datos!B2674,"")</f>
        <v/>
      </c>
      <c r="C2674" s="8">
        <f>IFERROR(Datos!C2674,"")</f>
        <v/>
      </c>
      <c r="D2674" s="28">
        <f>IFERROR(IF(AND(ISNUMBER(B2674),ISNUMBER(B2673),B2673&lt;&gt;0),B2674/B2673-1,""),"")</f>
        <v/>
      </c>
      <c r="E2674" s="28">
        <f>IFERROR(IF(AND(ISNUMBER(C2674),ISNUMBER(C2673),C2673&lt;&gt;0),C2674/C2673-1,""),"")</f>
        <v/>
      </c>
      <c r="F2674" s="28">
        <f>IFERROR(D2674-Dashboard!$B$4/252,"")</f>
        <v/>
      </c>
      <c r="G2674" s="28">
        <f>IFERROR(E2674-Dashboard!$B$4/252,"")</f>
        <v/>
      </c>
      <c r="H2674" s="8">
        <f>IFERROR(IF(ISNUMBER(B2674),MAX(B2674,IFERROR(H2673,B2674)),""),"")</f>
        <v/>
      </c>
      <c r="I2674" s="29">
        <f>IFERROR(IF(AND(ISNUMBER(B2674),ISNUMBER(H2674)),B2674/H2674-1,""),"")</f>
        <v/>
      </c>
      <c r="J2674" s="8">
        <f>IFERROR(IF(ISNUMBER(C2674),MAX(C2674,IFERROR(J2673,C2674)),""),"")</f>
        <v/>
      </c>
      <c r="K2674" s="29">
        <f>IFERROR(IF(AND(ISNUMBER(C2674),ISNUMBER(J2674)),C2674/J2674-1,""),"")</f>
        <v/>
      </c>
      <c r="L2674" s="28">
        <f>IFERROR(IF(AND(ISNUMBER(D2674),ISNUMBER(E2674)),D2674-E2674,""),"")</f>
        <v/>
      </c>
    </row>
    <row r="2675">
      <c r="A2675" s="7">
        <f>IFERROR(Datos!A2675,"")</f>
        <v/>
      </c>
      <c r="B2675" s="8">
        <f>IFERROR(Datos!B2675,"")</f>
        <v/>
      </c>
      <c r="C2675" s="8">
        <f>IFERROR(Datos!C2675,"")</f>
        <v/>
      </c>
      <c r="D2675" s="28">
        <f>IFERROR(IF(AND(ISNUMBER(B2675),ISNUMBER(B2674),B2674&lt;&gt;0),B2675/B2674-1,""),"")</f>
        <v/>
      </c>
      <c r="E2675" s="28">
        <f>IFERROR(IF(AND(ISNUMBER(C2675),ISNUMBER(C2674),C2674&lt;&gt;0),C2675/C2674-1,""),"")</f>
        <v/>
      </c>
      <c r="F2675" s="28">
        <f>IFERROR(D2675-Dashboard!$B$4/252,"")</f>
        <v/>
      </c>
      <c r="G2675" s="28">
        <f>IFERROR(E2675-Dashboard!$B$4/252,"")</f>
        <v/>
      </c>
      <c r="H2675" s="8">
        <f>IFERROR(IF(ISNUMBER(B2675),MAX(B2675,IFERROR(H2674,B2675)),""),"")</f>
        <v/>
      </c>
      <c r="I2675" s="29">
        <f>IFERROR(IF(AND(ISNUMBER(B2675),ISNUMBER(H2675)),B2675/H2675-1,""),"")</f>
        <v/>
      </c>
      <c r="J2675" s="8">
        <f>IFERROR(IF(ISNUMBER(C2675),MAX(C2675,IFERROR(J2674,C2675)),""),"")</f>
        <v/>
      </c>
      <c r="K2675" s="29">
        <f>IFERROR(IF(AND(ISNUMBER(C2675),ISNUMBER(J2675)),C2675/J2675-1,""),"")</f>
        <v/>
      </c>
      <c r="L2675" s="28">
        <f>IFERROR(IF(AND(ISNUMBER(D2675),ISNUMBER(E2675)),D2675-E2675,""),"")</f>
        <v/>
      </c>
    </row>
    <row r="2676">
      <c r="A2676" s="7">
        <f>IFERROR(Datos!A2676,"")</f>
        <v/>
      </c>
      <c r="B2676" s="8">
        <f>IFERROR(Datos!B2676,"")</f>
        <v/>
      </c>
      <c r="C2676" s="8">
        <f>IFERROR(Datos!C2676,"")</f>
        <v/>
      </c>
      <c r="D2676" s="28">
        <f>IFERROR(IF(AND(ISNUMBER(B2676),ISNUMBER(B2675),B2675&lt;&gt;0),B2676/B2675-1,""),"")</f>
        <v/>
      </c>
      <c r="E2676" s="28">
        <f>IFERROR(IF(AND(ISNUMBER(C2676),ISNUMBER(C2675),C2675&lt;&gt;0),C2676/C2675-1,""),"")</f>
        <v/>
      </c>
      <c r="F2676" s="28">
        <f>IFERROR(D2676-Dashboard!$B$4/252,"")</f>
        <v/>
      </c>
      <c r="G2676" s="28">
        <f>IFERROR(E2676-Dashboard!$B$4/252,"")</f>
        <v/>
      </c>
      <c r="H2676" s="8">
        <f>IFERROR(IF(ISNUMBER(B2676),MAX(B2676,IFERROR(H2675,B2676)),""),"")</f>
        <v/>
      </c>
      <c r="I2676" s="29">
        <f>IFERROR(IF(AND(ISNUMBER(B2676),ISNUMBER(H2676)),B2676/H2676-1,""),"")</f>
        <v/>
      </c>
      <c r="J2676" s="8">
        <f>IFERROR(IF(ISNUMBER(C2676),MAX(C2676,IFERROR(J2675,C2676)),""),"")</f>
        <v/>
      </c>
      <c r="K2676" s="29">
        <f>IFERROR(IF(AND(ISNUMBER(C2676),ISNUMBER(J2676)),C2676/J2676-1,""),"")</f>
        <v/>
      </c>
      <c r="L2676" s="28">
        <f>IFERROR(IF(AND(ISNUMBER(D2676),ISNUMBER(E2676)),D2676-E2676,""),"")</f>
        <v/>
      </c>
    </row>
    <row r="2677">
      <c r="A2677" s="7">
        <f>IFERROR(Datos!A2677,"")</f>
        <v/>
      </c>
      <c r="B2677" s="8">
        <f>IFERROR(Datos!B2677,"")</f>
        <v/>
      </c>
      <c r="C2677" s="8">
        <f>IFERROR(Datos!C2677,"")</f>
        <v/>
      </c>
      <c r="D2677" s="28">
        <f>IFERROR(IF(AND(ISNUMBER(B2677),ISNUMBER(B2676),B2676&lt;&gt;0),B2677/B2676-1,""),"")</f>
        <v/>
      </c>
      <c r="E2677" s="28">
        <f>IFERROR(IF(AND(ISNUMBER(C2677),ISNUMBER(C2676),C2676&lt;&gt;0),C2677/C2676-1,""),"")</f>
        <v/>
      </c>
      <c r="F2677" s="28">
        <f>IFERROR(D2677-Dashboard!$B$4/252,"")</f>
        <v/>
      </c>
      <c r="G2677" s="28">
        <f>IFERROR(E2677-Dashboard!$B$4/252,"")</f>
        <v/>
      </c>
      <c r="H2677" s="8">
        <f>IFERROR(IF(ISNUMBER(B2677),MAX(B2677,IFERROR(H2676,B2677)),""),"")</f>
        <v/>
      </c>
      <c r="I2677" s="29">
        <f>IFERROR(IF(AND(ISNUMBER(B2677),ISNUMBER(H2677)),B2677/H2677-1,""),"")</f>
        <v/>
      </c>
      <c r="J2677" s="8">
        <f>IFERROR(IF(ISNUMBER(C2677),MAX(C2677,IFERROR(J2676,C2677)),""),"")</f>
        <v/>
      </c>
      <c r="K2677" s="29">
        <f>IFERROR(IF(AND(ISNUMBER(C2677),ISNUMBER(J2677)),C2677/J2677-1,""),"")</f>
        <v/>
      </c>
      <c r="L2677" s="28">
        <f>IFERROR(IF(AND(ISNUMBER(D2677),ISNUMBER(E2677)),D2677-E2677,""),"")</f>
        <v/>
      </c>
    </row>
    <row r="2678">
      <c r="A2678" s="7">
        <f>IFERROR(Datos!A2678,"")</f>
        <v/>
      </c>
      <c r="B2678" s="8">
        <f>IFERROR(Datos!B2678,"")</f>
        <v/>
      </c>
      <c r="C2678" s="8">
        <f>IFERROR(Datos!C2678,"")</f>
        <v/>
      </c>
      <c r="D2678" s="28">
        <f>IFERROR(IF(AND(ISNUMBER(B2678),ISNUMBER(B2677),B2677&lt;&gt;0),B2678/B2677-1,""),"")</f>
        <v/>
      </c>
      <c r="E2678" s="28">
        <f>IFERROR(IF(AND(ISNUMBER(C2678),ISNUMBER(C2677),C2677&lt;&gt;0),C2678/C2677-1,""),"")</f>
        <v/>
      </c>
      <c r="F2678" s="28">
        <f>IFERROR(D2678-Dashboard!$B$4/252,"")</f>
        <v/>
      </c>
      <c r="G2678" s="28">
        <f>IFERROR(E2678-Dashboard!$B$4/252,"")</f>
        <v/>
      </c>
      <c r="H2678" s="8">
        <f>IFERROR(IF(ISNUMBER(B2678),MAX(B2678,IFERROR(H2677,B2678)),""),"")</f>
        <v/>
      </c>
      <c r="I2678" s="29">
        <f>IFERROR(IF(AND(ISNUMBER(B2678),ISNUMBER(H2678)),B2678/H2678-1,""),"")</f>
        <v/>
      </c>
      <c r="J2678" s="8">
        <f>IFERROR(IF(ISNUMBER(C2678),MAX(C2678,IFERROR(J2677,C2678)),""),"")</f>
        <v/>
      </c>
      <c r="K2678" s="29">
        <f>IFERROR(IF(AND(ISNUMBER(C2678),ISNUMBER(J2678)),C2678/J2678-1,""),"")</f>
        <v/>
      </c>
      <c r="L2678" s="28">
        <f>IFERROR(IF(AND(ISNUMBER(D2678),ISNUMBER(E2678)),D2678-E2678,""),"")</f>
        <v/>
      </c>
    </row>
    <row r="2679">
      <c r="A2679" s="7">
        <f>IFERROR(Datos!A2679,"")</f>
        <v/>
      </c>
      <c r="B2679" s="8">
        <f>IFERROR(Datos!B2679,"")</f>
        <v/>
      </c>
      <c r="C2679" s="8">
        <f>IFERROR(Datos!C2679,"")</f>
        <v/>
      </c>
      <c r="D2679" s="28">
        <f>IFERROR(IF(AND(ISNUMBER(B2679),ISNUMBER(B2678),B2678&lt;&gt;0),B2679/B2678-1,""),"")</f>
        <v/>
      </c>
      <c r="E2679" s="28">
        <f>IFERROR(IF(AND(ISNUMBER(C2679),ISNUMBER(C2678),C2678&lt;&gt;0),C2679/C2678-1,""),"")</f>
        <v/>
      </c>
      <c r="F2679" s="28">
        <f>IFERROR(D2679-Dashboard!$B$4/252,"")</f>
        <v/>
      </c>
      <c r="G2679" s="28">
        <f>IFERROR(E2679-Dashboard!$B$4/252,"")</f>
        <v/>
      </c>
      <c r="H2679" s="8">
        <f>IFERROR(IF(ISNUMBER(B2679),MAX(B2679,IFERROR(H2678,B2679)),""),"")</f>
        <v/>
      </c>
      <c r="I2679" s="29">
        <f>IFERROR(IF(AND(ISNUMBER(B2679),ISNUMBER(H2679)),B2679/H2679-1,""),"")</f>
        <v/>
      </c>
      <c r="J2679" s="8">
        <f>IFERROR(IF(ISNUMBER(C2679),MAX(C2679,IFERROR(J2678,C2679)),""),"")</f>
        <v/>
      </c>
      <c r="K2679" s="29">
        <f>IFERROR(IF(AND(ISNUMBER(C2679),ISNUMBER(J2679)),C2679/J2679-1,""),"")</f>
        <v/>
      </c>
      <c r="L2679" s="28">
        <f>IFERROR(IF(AND(ISNUMBER(D2679),ISNUMBER(E2679)),D2679-E2679,""),"")</f>
        <v/>
      </c>
    </row>
    <row r="2680">
      <c r="A2680" s="7">
        <f>IFERROR(Datos!A2680,"")</f>
        <v/>
      </c>
      <c r="B2680" s="8">
        <f>IFERROR(Datos!B2680,"")</f>
        <v/>
      </c>
      <c r="C2680" s="8">
        <f>IFERROR(Datos!C2680,"")</f>
        <v/>
      </c>
      <c r="D2680" s="28">
        <f>IFERROR(IF(AND(ISNUMBER(B2680),ISNUMBER(B2679),B2679&lt;&gt;0),B2680/B2679-1,""),"")</f>
        <v/>
      </c>
      <c r="E2680" s="28">
        <f>IFERROR(IF(AND(ISNUMBER(C2680),ISNUMBER(C2679),C2679&lt;&gt;0),C2680/C2679-1,""),"")</f>
        <v/>
      </c>
      <c r="F2680" s="28">
        <f>IFERROR(D2680-Dashboard!$B$4/252,"")</f>
        <v/>
      </c>
      <c r="G2680" s="28">
        <f>IFERROR(E2680-Dashboard!$B$4/252,"")</f>
        <v/>
      </c>
      <c r="H2680" s="8">
        <f>IFERROR(IF(ISNUMBER(B2680),MAX(B2680,IFERROR(H2679,B2680)),""),"")</f>
        <v/>
      </c>
      <c r="I2680" s="29">
        <f>IFERROR(IF(AND(ISNUMBER(B2680),ISNUMBER(H2680)),B2680/H2680-1,""),"")</f>
        <v/>
      </c>
      <c r="J2680" s="8">
        <f>IFERROR(IF(ISNUMBER(C2680),MAX(C2680,IFERROR(J2679,C2680)),""),"")</f>
        <v/>
      </c>
      <c r="K2680" s="29">
        <f>IFERROR(IF(AND(ISNUMBER(C2680),ISNUMBER(J2680)),C2680/J2680-1,""),"")</f>
        <v/>
      </c>
      <c r="L2680" s="28">
        <f>IFERROR(IF(AND(ISNUMBER(D2680),ISNUMBER(E2680)),D2680-E2680,""),"")</f>
        <v/>
      </c>
    </row>
    <row r="2681">
      <c r="A2681" s="7">
        <f>IFERROR(Datos!A2681,"")</f>
        <v/>
      </c>
      <c r="B2681" s="8">
        <f>IFERROR(Datos!B2681,"")</f>
        <v/>
      </c>
      <c r="C2681" s="8">
        <f>IFERROR(Datos!C2681,"")</f>
        <v/>
      </c>
      <c r="D2681" s="28">
        <f>IFERROR(IF(AND(ISNUMBER(B2681),ISNUMBER(B2680),B2680&lt;&gt;0),B2681/B2680-1,""),"")</f>
        <v/>
      </c>
      <c r="E2681" s="28">
        <f>IFERROR(IF(AND(ISNUMBER(C2681),ISNUMBER(C2680),C2680&lt;&gt;0),C2681/C2680-1,""),"")</f>
        <v/>
      </c>
      <c r="F2681" s="28">
        <f>IFERROR(D2681-Dashboard!$B$4/252,"")</f>
        <v/>
      </c>
      <c r="G2681" s="28">
        <f>IFERROR(E2681-Dashboard!$B$4/252,"")</f>
        <v/>
      </c>
      <c r="H2681" s="8">
        <f>IFERROR(IF(ISNUMBER(B2681),MAX(B2681,IFERROR(H2680,B2681)),""),"")</f>
        <v/>
      </c>
      <c r="I2681" s="29">
        <f>IFERROR(IF(AND(ISNUMBER(B2681),ISNUMBER(H2681)),B2681/H2681-1,""),"")</f>
        <v/>
      </c>
      <c r="J2681" s="8">
        <f>IFERROR(IF(ISNUMBER(C2681),MAX(C2681,IFERROR(J2680,C2681)),""),"")</f>
        <v/>
      </c>
      <c r="K2681" s="29">
        <f>IFERROR(IF(AND(ISNUMBER(C2681),ISNUMBER(J2681)),C2681/J2681-1,""),"")</f>
        <v/>
      </c>
      <c r="L2681" s="28">
        <f>IFERROR(IF(AND(ISNUMBER(D2681),ISNUMBER(E2681)),D2681-E2681,""),"")</f>
        <v/>
      </c>
    </row>
    <row r="2682">
      <c r="A2682" s="7">
        <f>IFERROR(Datos!A2682,"")</f>
        <v/>
      </c>
      <c r="B2682" s="8">
        <f>IFERROR(Datos!B2682,"")</f>
        <v/>
      </c>
      <c r="C2682" s="8">
        <f>IFERROR(Datos!C2682,"")</f>
        <v/>
      </c>
      <c r="D2682" s="28">
        <f>IFERROR(IF(AND(ISNUMBER(B2682),ISNUMBER(B2681),B2681&lt;&gt;0),B2682/B2681-1,""),"")</f>
        <v/>
      </c>
      <c r="E2682" s="28">
        <f>IFERROR(IF(AND(ISNUMBER(C2682),ISNUMBER(C2681),C2681&lt;&gt;0),C2682/C2681-1,""),"")</f>
        <v/>
      </c>
      <c r="F2682" s="28">
        <f>IFERROR(D2682-Dashboard!$B$4/252,"")</f>
        <v/>
      </c>
      <c r="G2682" s="28">
        <f>IFERROR(E2682-Dashboard!$B$4/252,"")</f>
        <v/>
      </c>
      <c r="H2682" s="8">
        <f>IFERROR(IF(ISNUMBER(B2682),MAX(B2682,IFERROR(H2681,B2682)),""),"")</f>
        <v/>
      </c>
      <c r="I2682" s="29">
        <f>IFERROR(IF(AND(ISNUMBER(B2682),ISNUMBER(H2682)),B2682/H2682-1,""),"")</f>
        <v/>
      </c>
      <c r="J2682" s="8">
        <f>IFERROR(IF(ISNUMBER(C2682),MAX(C2682,IFERROR(J2681,C2682)),""),"")</f>
        <v/>
      </c>
      <c r="K2682" s="29">
        <f>IFERROR(IF(AND(ISNUMBER(C2682),ISNUMBER(J2682)),C2682/J2682-1,""),"")</f>
        <v/>
      </c>
      <c r="L2682" s="28">
        <f>IFERROR(IF(AND(ISNUMBER(D2682),ISNUMBER(E2682)),D2682-E2682,""),"")</f>
        <v/>
      </c>
    </row>
    <row r="2683">
      <c r="A2683" s="7">
        <f>IFERROR(Datos!A2683,"")</f>
        <v/>
      </c>
      <c r="B2683" s="8">
        <f>IFERROR(Datos!B2683,"")</f>
        <v/>
      </c>
      <c r="C2683" s="8">
        <f>IFERROR(Datos!C2683,"")</f>
        <v/>
      </c>
      <c r="D2683" s="28">
        <f>IFERROR(IF(AND(ISNUMBER(B2683),ISNUMBER(B2682),B2682&lt;&gt;0),B2683/B2682-1,""),"")</f>
        <v/>
      </c>
      <c r="E2683" s="28">
        <f>IFERROR(IF(AND(ISNUMBER(C2683),ISNUMBER(C2682),C2682&lt;&gt;0),C2683/C2682-1,""),"")</f>
        <v/>
      </c>
      <c r="F2683" s="28">
        <f>IFERROR(D2683-Dashboard!$B$4/252,"")</f>
        <v/>
      </c>
      <c r="G2683" s="28">
        <f>IFERROR(E2683-Dashboard!$B$4/252,"")</f>
        <v/>
      </c>
      <c r="H2683" s="8">
        <f>IFERROR(IF(ISNUMBER(B2683),MAX(B2683,IFERROR(H2682,B2683)),""),"")</f>
        <v/>
      </c>
      <c r="I2683" s="29">
        <f>IFERROR(IF(AND(ISNUMBER(B2683),ISNUMBER(H2683)),B2683/H2683-1,""),"")</f>
        <v/>
      </c>
      <c r="J2683" s="8">
        <f>IFERROR(IF(ISNUMBER(C2683),MAX(C2683,IFERROR(J2682,C2683)),""),"")</f>
        <v/>
      </c>
      <c r="K2683" s="29">
        <f>IFERROR(IF(AND(ISNUMBER(C2683),ISNUMBER(J2683)),C2683/J2683-1,""),"")</f>
        <v/>
      </c>
      <c r="L2683" s="28">
        <f>IFERROR(IF(AND(ISNUMBER(D2683),ISNUMBER(E2683)),D2683-E2683,""),"")</f>
        <v/>
      </c>
    </row>
    <row r="2684">
      <c r="A2684" s="7">
        <f>IFERROR(Datos!A2684,"")</f>
        <v/>
      </c>
      <c r="B2684" s="8">
        <f>IFERROR(Datos!B2684,"")</f>
        <v/>
      </c>
      <c r="C2684" s="8">
        <f>IFERROR(Datos!C2684,"")</f>
        <v/>
      </c>
      <c r="D2684" s="28">
        <f>IFERROR(IF(AND(ISNUMBER(B2684),ISNUMBER(B2683),B2683&lt;&gt;0),B2684/B2683-1,""),"")</f>
        <v/>
      </c>
      <c r="E2684" s="28">
        <f>IFERROR(IF(AND(ISNUMBER(C2684),ISNUMBER(C2683),C2683&lt;&gt;0),C2684/C2683-1,""),"")</f>
        <v/>
      </c>
      <c r="F2684" s="28">
        <f>IFERROR(D2684-Dashboard!$B$4/252,"")</f>
        <v/>
      </c>
      <c r="G2684" s="28">
        <f>IFERROR(E2684-Dashboard!$B$4/252,"")</f>
        <v/>
      </c>
      <c r="H2684" s="8">
        <f>IFERROR(IF(ISNUMBER(B2684),MAX(B2684,IFERROR(H2683,B2684)),""),"")</f>
        <v/>
      </c>
      <c r="I2684" s="29">
        <f>IFERROR(IF(AND(ISNUMBER(B2684),ISNUMBER(H2684)),B2684/H2684-1,""),"")</f>
        <v/>
      </c>
      <c r="J2684" s="8">
        <f>IFERROR(IF(ISNUMBER(C2684),MAX(C2684,IFERROR(J2683,C2684)),""),"")</f>
        <v/>
      </c>
      <c r="K2684" s="29">
        <f>IFERROR(IF(AND(ISNUMBER(C2684),ISNUMBER(J2684)),C2684/J2684-1,""),"")</f>
        <v/>
      </c>
      <c r="L2684" s="28">
        <f>IFERROR(IF(AND(ISNUMBER(D2684),ISNUMBER(E2684)),D2684-E2684,""),"")</f>
        <v/>
      </c>
    </row>
    <row r="2685">
      <c r="A2685" s="7">
        <f>IFERROR(Datos!A2685,"")</f>
        <v/>
      </c>
      <c r="B2685" s="8">
        <f>IFERROR(Datos!B2685,"")</f>
        <v/>
      </c>
      <c r="C2685" s="8">
        <f>IFERROR(Datos!C2685,"")</f>
        <v/>
      </c>
      <c r="D2685" s="28">
        <f>IFERROR(IF(AND(ISNUMBER(B2685),ISNUMBER(B2684),B2684&lt;&gt;0),B2685/B2684-1,""),"")</f>
        <v/>
      </c>
      <c r="E2685" s="28">
        <f>IFERROR(IF(AND(ISNUMBER(C2685),ISNUMBER(C2684),C2684&lt;&gt;0),C2685/C2684-1,""),"")</f>
        <v/>
      </c>
      <c r="F2685" s="28">
        <f>IFERROR(D2685-Dashboard!$B$4/252,"")</f>
        <v/>
      </c>
      <c r="G2685" s="28">
        <f>IFERROR(E2685-Dashboard!$B$4/252,"")</f>
        <v/>
      </c>
      <c r="H2685" s="8">
        <f>IFERROR(IF(ISNUMBER(B2685),MAX(B2685,IFERROR(H2684,B2685)),""),"")</f>
        <v/>
      </c>
      <c r="I2685" s="29">
        <f>IFERROR(IF(AND(ISNUMBER(B2685),ISNUMBER(H2685)),B2685/H2685-1,""),"")</f>
        <v/>
      </c>
      <c r="J2685" s="8">
        <f>IFERROR(IF(ISNUMBER(C2685),MAX(C2685,IFERROR(J2684,C2685)),""),"")</f>
        <v/>
      </c>
      <c r="K2685" s="29">
        <f>IFERROR(IF(AND(ISNUMBER(C2685),ISNUMBER(J2685)),C2685/J2685-1,""),"")</f>
        <v/>
      </c>
      <c r="L2685" s="28">
        <f>IFERROR(IF(AND(ISNUMBER(D2685),ISNUMBER(E2685)),D2685-E2685,""),"")</f>
        <v/>
      </c>
    </row>
    <row r="2686">
      <c r="A2686" s="7">
        <f>IFERROR(Datos!A2686,"")</f>
        <v/>
      </c>
      <c r="B2686" s="8">
        <f>IFERROR(Datos!B2686,"")</f>
        <v/>
      </c>
      <c r="C2686" s="8">
        <f>IFERROR(Datos!C2686,"")</f>
        <v/>
      </c>
      <c r="D2686" s="28">
        <f>IFERROR(IF(AND(ISNUMBER(B2686),ISNUMBER(B2685),B2685&lt;&gt;0),B2686/B2685-1,""),"")</f>
        <v/>
      </c>
      <c r="E2686" s="28">
        <f>IFERROR(IF(AND(ISNUMBER(C2686),ISNUMBER(C2685),C2685&lt;&gt;0),C2686/C2685-1,""),"")</f>
        <v/>
      </c>
      <c r="F2686" s="28">
        <f>IFERROR(D2686-Dashboard!$B$4/252,"")</f>
        <v/>
      </c>
      <c r="G2686" s="28">
        <f>IFERROR(E2686-Dashboard!$B$4/252,"")</f>
        <v/>
      </c>
      <c r="H2686" s="8">
        <f>IFERROR(IF(ISNUMBER(B2686),MAX(B2686,IFERROR(H2685,B2686)),""),"")</f>
        <v/>
      </c>
      <c r="I2686" s="29">
        <f>IFERROR(IF(AND(ISNUMBER(B2686),ISNUMBER(H2686)),B2686/H2686-1,""),"")</f>
        <v/>
      </c>
      <c r="J2686" s="8">
        <f>IFERROR(IF(ISNUMBER(C2686),MAX(C2686,IFERROR(J2685,C2686)),""),"")</f>
        <v/>
      </c>
      <c r="K2686" s="29">
        <f>IFERROR(IF(AND(ISNUMBER(C2686),ISNUMBER(J2686)),C2686/J2686-1,""),"")</f>
        <v/>
      </c>
      <c r="L2686" s="28">
        <f>IFERROR(IF(AND(ISNUMBER(D2686),ISNUMBER(E2686)),D2686-E2686,""),"")</f>
        <v/>
      </c>
    </row>
    <row r="2687">
      <c r="A2687" s="7">
        <f>IFERROR(Datos!A2687,"")</f>
        <v/>
      </c>
      <c r="B2687" s="8">
        <f>IFERROR(Datos!B2687,"")</f>
        <v/>
      </c>
      <c r="C2687" s="8">
        <f>IFERROR(Datos!C2687,"")</f>
        <v/>
      </c>
      <c r="D2687" s="28">
        <f>IFERROR(IF(AND(ISNUMBER(B2687),ISNUMBER(B2686),B2686&lt;&gt;0),B2687/B2686-1,""),"")</f>
        <v/>
      </c>
      <c r="E2687" s="28">
        <f>IFERROR(IF(AND(ISNUMBER(C2687),ISNUMBER(C2686),C2686&lt;&gt;0),C2687/C2686-1,""),"")</f>
        <v/>
      </c>
      <c r="F2687" s="28">
        <f>IFERROR(D2687-Dashboard!$B$4/252,"")</f>
        <v/>
      </c>
      <c r="G2687" s="28">
        <f>IFERROR(E2687-Dashboard!$B$4/252,"")</f>
        <v/>
      </c>
      <c r="H2687" s="8">
        <f>IFERROR(IF(ISNUMBER(B2687),MAX(B2687,IFERROR(H2686,B2687)),""),"")</f>
        <v/>
      </c>
      <c r="I2687" s="29">
        <f>IFERROR(IF(AND(ISNUMBER(B2687),ISNUMBER(H2687)),B2687/H2687-1,""),"")</f>
        <v/>
      </c>
      <c r="J2687" s="8">
        <f>IFERROR(IF(ISNUMBER(C2687),MAX(C2687,IFERROR(J2686,C2687)),""),"")</f>
        <v/>
      </c>
      <c r="K2687" s="29">
        <f>IFERROR(IF(AND(ISNUMBER(C2687),ISNUMBER(J2687)),C2687/J2687-1,""),"")</f>
        <v/>
      </c>
      <c r="L2687" s="28">
        <f>IFERROR(IF(AND(ISNUMBER(D2687),ISNUMBER(E2687)),D2687-E2687,""),"")</f>
        <v/>
      </c>
    </row>
    <row r="2688">
      <c r="A2688" s="7">
        <f>IFERROR(Datos!A2688,"")</f>
        <v/>
      </c>
      <c r="B2688" s="8">
        <f>IFERROR(Datos!B2688,"")</f>
        <v/>
      </c>
      <c r="C2688" s="8">
        <f>IFERROR(Datos!C2688,"")</f>
        <v/>
      </c>
      <c r="D2688" s="28">
        <f>IFERROR(IF(AND(ISNUMBER(B2688),ISNUMBER(B2687),B2687&lt;&gt;0),B2688/B2687-1,""),"")</f>
        <v/>
      </c>
      <c r="E2688" s="28">
        <f>IFERROR(IF(AND(ISNUMBER(C2688),ISNUMBER(C2687),C2687&lt;&gt;0),C2688/C2687-1,""),"")</f>
        <v/>
      </c>
      <c r="F2688" s="28">
        <f>IFERROR(D2688-Dashboard!$B$4/252,"")</f>
        <v/>
      </c>
      <c r="G2688" s="28">
        <f>IFERROR(E2688-Dashboard!$B$4/252,"")</f>
        <v/>
      </c>
      <c r="H2688" s="8">
        <f>IFERROR(IF(ISNUMBER(B2688),MAX(B2688,IFERROR(H2687,B2688)),""),"")</f>
        <v/>
      </c>
      <c r="I2688" s="29">
        <f>IFERROR(IF(AND(ISNUMBER(B2688),ISNUMBER(H2688)),B2688/H2688-1,""),"")</f>
        <v/>
      </c>
      <c r="J2688" s="8">
        <f>IFERROR(IF(ISNUMBER(C2688),MAX(C2688,IFERROR(J2687,C2688)),""),"")</f>
        <v/>
      </c>
      <c r="K2688" s="29">
        <f>IFERROR(IF(AND(ISNUMBER(C2688),ISNUMBER(J2688)),C2688/J2688-1,""),"")</f>
        <v/>
      </c>
      <c r="L2688" s="28">
        <f>IFERROR(IF(AND(ISNUMBER(D2688),ISNUMBER(E2688)),D2688-E2688,""),"")</f>
        <v/>
      </c>
    </row>
    <row r="2689">
      <c r="A2689" s="7">
        <f>IFERROR(Datos!A2689,"")</f>
        <v/>
      </c>
      <c r="B2689" s="8">
        <f>IFERROR(Datos!B2689,"")</f>
        <v/>
      </c>
      <c r="C2689" s="8">
        <f>IFERROR(Datos!C2689,"")</f>
        <v/>
      </c>
      <c r="D2689" s="28">
        <f>IFERROR(IF(AND(ISNUMBER(B2689),ISNUMBER(B2688),B2688&lt;&gt;0),B2689/B2688-1,""),"")</f>
        <v/>
      </c>
      <c r="E2689" s="28">
        <f>IFERROR(IF(AND(ISNUMBER(C2689),ISNUMBER(C2688),C2688&lt;&gt;0),C2689/C2688-1,""),"")</f>
        <v/>
      </c>
      <c r="F2689" s="28">
        <f>IFERROR(D2689-Dashboard!$B$4/252,"")</f>
        <v/>
      </c>
      <c r="G2689" s="28">
        <f>IFERROR(E2689-Dashboard!$B$4/252,"")</f>
        <v/>
      </c>
      <c r="H2689" s="8">
        <f>IFERROR(IF(ISNUMBER(B2689),MAX(B2689,IFERROR(H2688,B2689)),""),"")</f>
        <v/>
      </c>
      <c r="I2689" s="29">
        <f>IFERROR(IF(AND(ISNUMBER(B2689),ISNUMBER(H2689)),B2689/H2689-1,""),"")</f>
        <v/>
      </c>
      <c r="J2689" s="8">
        <f>IFERROR(IF(ISNUMBER(C2689),MAX(C2689,IFERROR(J2688,C2689)),""),"")</f>
        <v/>
      </c>
      <c r="K2689" s="29">
        <f>IFERROR(IF(AND(ISNUMBER(C2689),ISNUMBER(J2689)),C2689/J2689-1,""),"")</f>
        <v/>
      </c>
      <c r="L2689" s="28">
        <f>IFERROR(IF(AND(ISNUMBER(D2689),ISNUMBER(E2689)),D2689-E2689,""),"")</f>
        <v/>
      </c>
    </row>
    <row r="2690">
      <c r="A2690" s="7">
        <f>IFERROR(Datos!A2690,"")</f>
        <v/>
      </c>
      <c r="B2690" s="8">
        <f>IFERROR(Datos!B2690,"")</f>
        <v/>
      </c>
      <c r="C2690" s="8">
        <f>IFERROR(Datos!C2690,"")</f>
        <v/>
      </c>
      <c r="D2690" s="28">
        <f>IFERROR(IF(AND(ISNUMBER(B2690),ISNUMBER(B2689),B2689&lt;&gt;0),B2690/B2689-1,""),"")</f>
        <v/>
      </c>
      <c r="E2690" s="28">
        <f>IFERROR(IF(AND(ISNUMBER(C2690),ISNUMBER(C2689),C2689&lt;&gt;0),C2690/C2689-1,""),"")</f>
        <v/>
      </c>
      <c r="F2690" s="28">
        <f>IFERROR(D2690-Dashboard!$B$4/252,"")</f>
        <v/>
      </c>
      <c r="G2690" s="28">
        <f>IFERROR(E2690-Dashboard!$B$4/252,"")</f>
        <v/>
      </c>
      <c r="H2690" s="8">
        <f>IFERROR(IF(ISNUMBER(B2690),MAX(B2690,IFERROR(H2689,B2690)),""),"")</f>
        <v/>
      </c>
      <c r="I2690" s="29">
        <f>IFERROR(IF(AND(ISNUMBER(B2690),ISNUMBER(H2690)),B2690/H2690-1,""),"")</f>
        <v/>
      </c>
      <c r="J2690" s="8">
        <f>IFERROR(IF(ISNUMBER(C2690),MAX(C2690,IFERROR(J2689,C2690)),""),"")</f>
        <v/>
      </c>
      <c r="K2690" s="29">
        <f>IFERROR(IF(AND(ISNUMBER(C2690),ISNUMBER(J2690)),C2690/J2690-1,""),"")</f>
        <v/>
      </c>
      <c r="L2690" s="28">
        <f>IFERROR(IF(AND(ISNUMBER(D2690),ISNUMBER(E2690)),D2690-E2690,""),"")</f>
        <v/>
      </c>
    </row>
    <row r="2691">
      <c r="A2691" s="7">
        <f>IFERROR(Datos!A2691,"")</f>
        <v/>
      </c>
      <c r="B2691" s="8">
        <f>IFERROR(Datos!B2691,"")</f>
        <v/>
      </c>
      <c r="C2691" s="8">
        <f>IFERROR(Datos!C2691,"")</f>
        <v/>
      </c>
      <c r="D2691" s="28">
        <f>IFERROR(IF(AND(ISNUMBER(B2691),ISNUMBER(B2690),B2690&lt;&gt;0),B2691/B2690-1,""),"")</f>
        <v/>
      </c>
      <c r="E2691" s="28">
        <f>IFERROR(IF(AND(ISNUMBER(C2691),ISNUMBER(C2690),C2690&lt;&gt;0),C2691/C2690-1,""),"")</f>
        <v/>
      </c>
      <c r="F2691" s="28">
        <f>IFERROR(D2691-Dashboard!$B$4/252,"")</f>
        <v/>
      </c>
      <c r="G2691" s="28">
        <f>IFERROR(E2691-Dashboard!$B$4/252,"")</f>
        <v/>
      </c>
      <c r="H2691" s="8">
        <f>IFERROR(IF(ISNUMBER(B2691),MAX(B2691,IFERROR(H2690,B2691)),""),"")</f>
        <v/>
      </c>
      <c r="I2691" s="29">
        <f>IFERROR(IF(AND(ISNUMBER(B2691),ISNUMBER(H2691)),B2691/H2691-1,""),"")</f>
        <v/>
      </c>
      <c r="J2691" s="8">
        <f>IFERROR(IF(ISNUMBER(C2691),MAX(C2691,IFERROR(J2690,C2691)),""),"")</f>
        <v/>
      </c>
      <c r="K2691" s="29">
        <f>IFERROR(IF(AND(ISNUMBER(C2691),ISNUMBER(J2691)),C2691/J2691-1,""),"")</f>
        <v/>
      </c>
      <c r="L2691" s="28">
        <f>IFERROR(IF(AND(ISNUMBER(D2691),ISNUMBER(E2691)),D2691-E2691,""),"")</f>
        <v/>
      </c>
    </row>
    <row r="2692">
      <c r="A2692" s="7">
        <f>IFERROR(Datos!A2692,"")</f>
        <v/>
      </c>
      <c r="B2692" s="8">
        <f>IFERROR(Datos!B2692,"")</f>
        <v/>
      </c>
      <c r="C2692" s="8">
        <f>IFERROR(Datos!C2692,"")</f>
        <v/>
      </c>
      <c r="D2692" s="28">
        <f>IFERROR(IF(AND(ISNUMBER(B2692),ISNUMBER(B2691),B2691&lt;&gt;0),B2692/B2691-1,""),"")</f>
        <v/>
      </c>
      <c r="E2692" s="28">
        <f>IFERROR(IF(AND(ISNUMBER(C2692),ISNUMBER(C2691),C2691&lt;&gt;0),C2692/C2691-1,""),"")</f>
        <v/>
      </c>
      <c r="F2692" s="28">
        <f>IFERROR(D2692-Dashboard!$B$4/252,"")</f>
        <v/>
      </c>
      <c r="G2692" s="28">
        <f>IFERROR(E2692-Dashboard!$B$4/252,"")</f>
        <v/>
      </c>
      <c r="H2692" s="8">
        <f>IFERROR(IF(ISNUMBER(B2692),MAX(B2692,IFERROR(H2691,B2692)),""),"")</f>
        <v/>
      </c>
      <c r="I2692" s="29">
        <f>IFERROR(IF(AND(ISNUMBER(B2692),ISNUMBER(H2692)),B2692/H2692-1,""),"")</f>
        <v/>
      </c>
      <c r="J2692" s="8">
        <f>IFERROR(IF(ISNUMBER(C2692),MAX(C2692,IFERROR(J2691,C2692)),""),"")</f>
        <v/>
      </c>
      <c r="K2692" s="29">
        <f>IFERROR(IF(AND(ISNUMBER(C2692),ISNUMBER(J2692)),C2692/J2692-1,""),"")</f>
        <v/>
      </c>
      <c r="L2692" s="28">
        <f>IFERROR(IF(AND(ISNUMBER(D2692),ISNUMBER(E2692)),D2692-E2692,""),"")</f>
        <v/>
      </c>
    </row>
    <row r="2693">
      <c r="A2693" s="7">
        <f>IFERROR(Datos!A2693,"")</f>
        <v/>
      </c>
      <c r="B2693" s="8">
        <f>IFERROR(Datos!B2693,"")</f>
        <v/>
      </c>
      <c r="C2693" s="8">
        <f>IFERROR(Datos!C2693,"")</f>
        <v/>
      </c>
      <c r="D2693" s="28">
        <f>IFERROR(IF(AND(ISNUMBER(B2693),ISNUMBER(B2692),B2692&lt;&gt;0),B2693/B2692-1,""),"")</f>
        <v/>
      </c>
      <c r="E2693" s="28">
        <f>IFERROR(IF(AND(ISNUMBER(C2693),ISNUMBER(C2692),C2692&lt;&gt;0),C2693/C2692-1,""),"")</f>
        <v/>
      </c>
      <c r="F2693" s="28">
        <f>IFERROR(D2693-Dashboard!$B$4/252,"")</f>
        <v/>
      </c>
      <c r="G2693" s="28">
        <f>IFERROR(E2693-Dashboard!$B$4/252,"")</f>
        <v/>
      </c>
      <c r="H2693" s="8">
        <f>IFERROR(IF(ISNUMBER(B2693),MAX(B2693,IFERROR(H2692,B2693)),""),"")</f>
        <v/>
      </c>
      <c r="I2693" s="29">
        <f>IFERROR(IF(AND(ISNUMBER(B2693),ISNUMBER(H2693)),B2693/H2693-1,""),"")</f>
        <v/>
      </c>
      <c r="J2693" s="8">
        <f>IFERROR(IF(ISNUMBER(C2693),MAX(C2693,IFERROR(J2692,C2693)),""),"")</f>
        <v/>
      </c>
      <c r="K2693" s="29">
        <f>IFERROR(IF(AND(ISNUMBER(C2693),ISNUMBER(J2693)),C2693/J2693-1,""),"")</f>
        <v/>
      </c>
      <c r="L2693" s="28">
        <f>IFERROR(IF(AND(ISNUMBER(D2693),ISNUMBER(E2693)),D2693-E2693,""),"")</f>
        <v/>
      </c>
    </row>
    <row r="2694">
      <c r="A2694" s="7">
        <f>IFERROR(Datos!A2694,"")</f>
        <v/>
      </c>
      <c r="B2694" s="8">
        <f>IFERROR(Datos!B2694,"")</f>
        <v/>
      </c>
      <c r="C2694" s="8">
        <f>IFERROR(Datos!C2694,"")</f>
        <v/>
      </c>
      <c r="D2694" s="28">
        <f>IFERROR(IF(AND(ISNUMBER(B2694),ISNUMBER(B2693),B2693&lt;&gt;0),B2694/B2693-1,""),"")</f>
        <v/>
      </c>
      <c r="E2694" s="28">
        <f>IFERROR(IF(AND(ISNUMBER(C2694),ISNUMBER(C2693),C2693&lt;&gt;0),C2694/C2693-1,""),"")</f>
        <v/>
      </c>
      <c r="F2694" s="28">
        <f>IFERROR(D2694-Dashboard!$B$4/252,"")</f>
        <v/>
      </c>
      <c r="G2694" s="28">
        <f>IFERROR(E2694-Dashboard!$B$4/252,"")</f>
        <v/>
      </c>
      <c r="H2694" s="8">
        <f>IFERROR(IF(ISNUMBER(B2694),MAX(B2694,IFERROR(H2693,B2694)),""),"")</f>
        <v/>
      </c>
      <c r="I2694" s="29">
        <f>IFERROR(IF(AND(ISNUMBER(B2694),ISNUMBER(H2694)),B2694/H2694-1,""),"")</f>
        <v/>
      </c>
      <c r="J2694" s="8">
        <f>IFERROR(IF(ISNUMBER(C2694),MAX(C2694,IFERROR(J2693,C2694)),""),"")</f>
        <v/>
      </c>
      <c r="K2694" s="29">
        <f>IFERROR(IF(AND(ISNUMBER(C2694),ISNUMBER(J2694)),C2694/J2694-1,""),"")</f>
        <v/>
      </c>
      <c r="L2694" s="28">
        <f>IFERROR(IF(AND(ISNUMBER(D2694),ISNUMBER(E2694)),D2694-E2694,""),"")</f>
        <v/>
      </c>
    </row>
    <row r="2695">
      <c r="A2695" s="7">
        <f>IFERROR(Datos!A2695,"")</f>
        <v/>
      </c>
      <c r="B2695" s="8">
        <f>IFERROR(Datos!B2695,"")</f>
        <v/>
      </c>
      <c r="C2695" s="8">
        <f>IFERROR(Datos!C2695,"")</f>
        <v/>
      </c>
      <c r="D2695" s="28">
        <f>IFERROR(IF(AND(ISNUMBER(B2695),ISNUMBER(B2694),B2694&lt;&gt;0),B2695/B2694-1,""),"")</f>
        <v/>
      </c>
      <c r="E2695" s="28">
        <f>IFERROR(IF(AND(ISNUMBER(C2695),ISNUMBER(C2694),C2694&lt;&gt;0),C2695/C2694-1,""),"")</f>
        <v/>
      </c>
      <c r="F2695" s="28">
        <f>IFERROR(D2695-Dashboard!$B$4/252,"")</f>
        <v/>
      </c>
      <c r="G2695" s="28">
        <f>IFERROR(E2695-Dashboard!$B$4/252,"")</f>
        <v/>
      </c>
      <c r="H2695" s="8">
        <f>IFERROR(IF(ISNUMBER(B2695),MAX(B2695,IFERROR(H2694,B2695)),""),"")</f>
        <v/>
      </c>
      <c r="I2695" s="29">
        <f>IFERROR(IF(AND(ISNUMBER(B2695),ISNUMBER(H2695)),B2695/H2695-1,""),"")</f>
        <v/>
      </c>
      <c r="J2695" s="8">
        <f>IFERROR(IF(ISNUMBER(C2695),MAX(C2695,IFERROR(J2694,C2695)),""),"")</f>
        <v/>
      </c>
      <c r="K2695" s="29">
        <f>IFERROR(IF(AND(ISNUMBER(C2695),ISNUMBER(J2695)),C2695/J2695-1,""),"")</f>
        <v/>
      </c>
      <c r="L2695" s="28">
        <f>IFERROR(IF(AND(ISNUMBER(D2695),ISNUMBER(E2695)),D2695-E2695,""),"")</f>
        <v/>
      </c>
    </row>
    <row r="2696">
      <c r="A2696" s="7">
        <f>IFERROR(Datos!A2696,"")</f>
        <v/>
      </c>
      <c r="B2696" s="8">
        <f>IFERROR(Datos!B2696,"")</f>
        <v/>
      </c>
      <c r="C2696" s="8">
        <f>IFERROR(Datos!C2696,"")</f>
        <v/>
      </c>
      <c r="D2696" s="28">
        <f>IFERROR(IF(AND(ISNUMBER(B2696),ISNUMBER(B2695),B2695&lt;&gt;0),B2696/B2695-1,""),"")</f>
        <v/>
      </c>
      <c r="E2696" s="28">
        <f>IFERROR(IF(AND(ISNUMBER(C2696),ISNUMBER(C2695),C2695&lt;&gt;0),C2696/C2695-1,""),"")</f>
        <v/>
      </c>
      <c r="F2696" s="28">
        <f>IFERROR(D2696-Dashboard!$B$4/252,"")</f>
        <v/>
      </c>
      <c r="G2696" s="28">
        <f>IFERROR(E2696-Dashboard!$B$4/252,"")</f>
        <v/>
      </c>
      <c r="H2696" s="8">
        <f>IFERROR(IF(ISNUMBER(B2696),MAX(B2696,IFERROR(H2695,B2696)),""),"")</f>
        <v/>
      </c>
      <c r="I2696" s="29">
        <f>IFERROR(IF(AND(ISNUMBER(B2696),ISNUMBER(H2696)),B2696/H2696-1,""),"")</f>
        <v/>
      </c>
      <c r="J2696" s="8">
        <f>IFERROR(IF(ISNUMBER(C2696),MAX(C2696,IFERROR(J2695,C2696)),""),"")</f>
        <v/>
      </c>
      <c r="K2696" s="29">
        <f>IFERROR(IF(AND(ISNUMBER(C2696),ISNUMBER(J2696)),C2696/J2696-1,""),"")</f>
        <v/>
      </c>
      <c r="L2696" s="28">
        <f>IFERROR(IF(AND(ISNUMBER(D2696),ISNUMBER(E2696)),D2696-E2696,""),"")</f>
        <v/>
      </c>
    </row>
    <row r="2697">
      <c r="A2697" s="7">
        <f>IFERROR(Datos!A2697,"")</f>
        <v/>
      </c>
      <c r="B2697" s="8">
        <f>IFERROR(Datos!B2697,"")</f>
        <v/>
      </c>
      <c r="C2697" s="8">
        <f>IFERROR(Datos!C2697,"")</f>
        <v/>
      </c>
      <c r="D2697" s="28">
        <f>IFERROR(IF(AND(ISNUMBER(B2697),ISNUMBER(B2696),B2696&lt;&gt;0),B2697/B2696-1,""),"")</f>
        <v/>
      </c>
      <c r="E2697" s="28">
        <f>IFERROR(IF(AND(ISNUMBER(C2697),ISNUMBER(C2696),C2696&lt;&gt;0),C2697/C2696-1,""),"")</f>
        <v/>
      </c>
      <c r="F2697" s="28">
        <f>IFERROR(D2697-Dashboard!$B$4/252,"")</f>
        <v/>
      </c>
      <c r="G2697" s="28">
        <f>IFERROR(E2697-Dashboard!$B$4/252,"")</f>
        <v/>
      </c>
      <c r="H2697" s="8">
        <f>IFERROR(IF(ISNUMBER(B2697),MAX(B2697,IFERROR(H2696,B2697)),""),"")</f>
        <v/>
      </c>
      <c r="I2697" s="29">
        <f>IFERROR(IF(AND(ISNUMBER(B2697),ISNUMBER(H2697)),B2697/H2697-1,""),"")</f>
        <v/>
      </c>
      <c r="J2697" s="8">
        <f>IFERROR(IF(ISNUMBER(C2697),MAX(C2697,IFERROR(J2696,C2697)),""),"")</f>
        <v/>
      </c>
      <c r="K2697" s="29">
        <f>IFERROR(IF(AND(ISNUMBER(C2697),ISNUMBER(J2697)),C2697/J2697-1,""),"")</f>
        <v/>
      </c>
      <c r="L2697" s="28">
        <f>IFERROR(IF(AND(ISNUMBER(D2697),ISNUMBER(E2697)),D2697-E2697,""),"")</f>
        <v/>
      </c>
    </row>
    <row r="2698">
      <c r="A2698" s="7">
        <f>IFERROR(Datos!A2698,"")</f>
        <v/>
      </c>
      <c r="B2698" s="8">
        <f>IFERROR(Datos!B2698,"")</f>
        <v/>
      </c>
      <c r="C2698" s="8">
        <f>IFERROR(Datos!C2698,"")</f>
        <v/>
      </c>
      <c r="D2698" s="28">
        <f>IFERROR(IF(AND(ISNUMBER(B2698),ISNUMBER(B2697),B2697&lt;&gt;0),B2698/B2697-1,""),"")</f>
        <v/>
      </c>
      <c r="E2698" s="28">
        <f>IFERROR(IF(AND(ISNUMBER(C2698),ISNUMBER(C2697),C2697&lt;&gt;0),C2698/C2697-1,""),"")</f>
        <v/>
      </c>
      <c r="F2698" s="28">
        <f>IFERROR(D2698-Dashboard!$B$4/252,"")</f>
        <v/>
      </c>
      <c r="G2698" s="28">
        <f>IFERROR(E2698-Dashboard!$B$4/252,"")</f>
        <v/>
      </c>
      <c r="H2698" s="8">
        <f>IFERROR(IF(ISNUMBER(B2698),MAX(B2698,IFERROR(H2697,B2698)),""),"")</f>
        <v/>
      </c>
      <c r="I2698" s="29">
        <f>IFERROR(IF(AND(ISNUMBER(B2698),ISNUMBER(H2698)),B2698/H2698-1,""),"")</f>
        <v/>
      </c>
      <c r="J2698" s="8">
        <f>IFERROR(IF(ISNUMBER(C2698),MAX(C2698,IFERROR(J2697,C2698)),""),"")</f>
        <v/>
      </c>
      <c r="K2698" s="29">
        <f>IFERROR(IF(AND(ISNUMBER(C2698),ISNUMBER(J2698)),C2698/J2698-1,""),"")</f>
        <v/>
      </c>
      <c r="L2698" s="28">
        <f>IFERROR(IF(AND(ISNUMBER(D2698),ISNUMBER(E2698)),D2698-E2698,""),"")</f>
        <v/>
      </c>
    </row>
    <row r="2699">
      <c r="A2699" s="7">
        <f>IFERROR(Datos!A2699,"")</f>
        <v/>
      </c>
      <c r="B2699" s="8">
        <f>IFERROR(Datos!B2699,"")</f>
        <v/>
      </c>
      <c r="C2699" s="8">
        <f>IFERROR(Datos!C2699,"")</f>
        <v/>
      </c>
      <c r="D2699" s="28">
        <f>IFERROR(IF(AND(ISNUMBER(B2699),ISNUMBER(B2698),B2698&lt;&gt;0),B2699/B2698-1,""),"")</f>
        <v/>
      </c>
      <c r="E2699" s="28">
        <f>IFERROR(IF(AND(ISNUMBER(C2699),ISNUMBER(C2698),C2698&lt;&gt;0),C2699/C2698-1,""),"")</f>
        <v/>
      </c>
      <c r="F2699" s="28">
        <f>IFERROR(D2699-Dashboard!$B$4/252,"")</f>
        <v/>
      </c>
      <c r="G2699" s="28">
        <f>IFERROR(E2699-Dashboard!$B$4/252,"")</f>
        <v/>
      </c>
      <c r="H2699" s="8">
        <f>IFERROR(IF(ISNUMBER(B2699),MAX(B2699,IFERROR(H2698,B2699)),""),"")</f>
        <v/>
      </c>
      <c r="I2699" s="29">
        <f>IFERROR(IF(AND(ISNUMBER(B2699),ISNUMBER(H2699)),B2699/H2699-1,""),"")</f>
        <v/>
      </c>
      <c r="J2699" s="8">
        <f>IFERROR(IF(ISNUMBER(C2699),MAX(C2699,IFERROR(J2698,C2699)),""),"")</f>
        <v/>
      </c>
      <c r="K2699" s="29">
        <f>IFERROR(IF(AND(ISNUMBER(C2699),ISNUMBER(J2699)),C2699/J2699-1,""),"")</f>
        <v/>
      </c>
      <c r="L2699" s="28">
        <f>IFERROR(IF(AND(ISNUMBER(D2699),ISNUMBER(E2699)),D2699-E2699,""),"")</f>
        <v/>
      </c>
    </row>
    <row r="2700">
      <c r="A2700" s="7">
        <f>IFERROR(Datos!A2700,"")</f>
        <v/>
      </c>
      <c r="B2700" s="8">
        <f>IFERROR(Datos!B2700,"")</f>
        <v/>
      </c>
      <c r="C2700" s="8">
        <f>IFERROR(Datos!C2700,"")</f>
        <v/>
      </c>
      <c r="D2700" s="28">
        <f>IFERROR(IF(AND(ISNUMBER(B2700),ISNUMBER(B2699),B2699&lt;&gt;0),B2700/B2699-1,""),"")</f>
        <v/>
      </c>
      <c r="E2700" s="28">
        <f>IFERROR(IF(AND(ISNUMBER(C2700),ISNUMBER(C2699),C2699&lt;&gt;0),C2700/C2699-1,""),"")</f>
        <v/>
      </c>
      <c r="F2700" s="28">
        <f>IFERROR(D2700-Dashboard!$B$4/252,"")</f>
        <v/>
      </c>
      <c r="G2700" s="28">
        <f>IFERROR(E2700-Dashboard!$B$4/252,"")</f>
        <v/>
      </c>
      <c r="H2700" s="8">
        <f>IFERROR(IF(ISNUMBER(B2700),MAX(B2700,IFERROR(H2699,B2700)),""),"")</f>
        <v/>
      </c>
      <c r="I2700" s="29">
        <f>IFERROR(IF(AND(ISNUMBER(B2700),ISNUMBER(H2700)),B2700/H2700-1,""),"")</f>
        <v/>
      </c>
      <c r="J2700" s="8">
        <f>IFERROR(IF(ISNUMBER(C2700),MAX(C2700,IFERROR(J2699,C2700)),""),"")</f>
        <v/>
      </c>
      <c r="K2700" s="29">
        <f>IFERROR(IF(AND(ISNUMBER(C2700),ISNUMBER(J2700)),C2700/J2700-1,""),"")</f>
        <v/>
      </c>
      <c r="L2700" s="28">
        <f>IFERROR(IF(AND(ISNUMBER(D2700),ISNUMBER(E2700)),D2700-E2700,""),"")</f>
        <v/>
      </c>
    </row>
    <row r="2701">
      <c r="A2701" s="7">
        <f>IFERROR(Datos!A2701,"")</f>
        <v/>
      </c>
      <c r="B2701" s="8">
        <f>IFERROR(Datos!B2701,"")</f>
        <v/>
      </c>
      <c r="C2701" s="8">
        <f>IFERROR(Datos!C2701,"")</f>
        <v/>
      </c>
      <c r="D2701" s="28">
        <f>IFERROR(IF(AND(ISNUMBER(B2701),ISNUMBER(B2700),B2700&lt;&gt;0),B2701/B2700-1,""),"")</f>
        <v/>
      </c>
      <c r="E2701" s="28">
        <f>IFERROR(IF(AND(ISNUMBER(C2701),ISNUMBER(C2700),C2700&lt;&gt;0),C2701/C2700-1,""),"")</f>
        <v/>
      </c>
      <c r="F2701" s="28">
        <f>IFERROR(D2701-Dashboard!$B$4/252,"")</f>
        <v/>
      </c>
      <c r="G2701" s="28">
        <f>IFERROR(E2701-Dashboard!$B$4/252,"")</f>
        <v/>
      </c>
      <c r="H2701" s="8">
        <f>IFERROR(IF(ISNUMBER(B2701),MAX(B2701,IFERROR(H2700,B2701)),""),"")</f>
        <v/>
      </c>
      <c r="I2701" s="29">
        <f>IFERROR(IF(AND(ISNUMBER(B2701),ISNUMBER(H2701)),B2701/H2701-1,""),"")</f>
        <v/>
      </c>
      <c r="J2701" s="8">
        <f>IFERROR(IF(ISNUMBER(C2701),MAX(C2701,IFERROR(J2700,C2701)),""),"")</f>
        <v/>
      </c>
      <c r="K2701" s="29">
        <f>IFERROR(IF(AND(ISNUMBER(C2701),ISNUMBER(J2701)),C2701/J2701-1,""),"")</f>
        <v/>
      </c>
      <c r="L2701" s="28">
        <f>IFERROR(IF(AND(ISNUMBER(D2701),ISNUMBER(E2701)),D2701-E2701,""),"")</f>
        <v/>
      </c>
    </row>
    <row r="2702">
      <c r="A2702" s="7">
        <f>IFERROR(Datos!A2702,"")</f>
        <v/>
      </c>
      <c r="B2702" s="8">
        <f>IFERROR(Datos!B2702,"")</f>
        <v/>
      </c>
      <c r="C2702" s="8">
        <f>IFERROR(Datos!C2702,"")</f>
        <v/>
      </c>
      <c r="D2702" s="28">
        <f>IFERROR(IF(AND(ISNUMBER(B2702),ISNUMBER(B2701),B2701&lt;&gt;0),B2702/B2701-1,""),"")</f>
        <v/>
      </c>
      <c r="E2702" s="28">
        <f>IFERROR(IF(AND(ISNUMBER(C2702),ISNUMBER(C2701),C2701&lt;&gt;0),C2702/C2701-1,""),"")</f>
        <v/>
      </c>
      <c r="F2702" s="28">
        <f>IFERROR(D2702-Dashboard!$B$4/252,"")</f>
        <v/>
      </c>
      <c r="G2702" s="28">
        <f>IFERROR(E2702-Dashboard!$B$4/252,"")</f>
        <v/>
      </c>
      <c r="H2702" s="8">
        <f>IFERROR(IF(ISNUMBER(B2702),MAX(B2702,IFERROR(H2701,B2702)),""),"")</f>
        <v/>
      </c>
      <c r="I2702" s="29">
        <f>IFERROR(IF(AND(ISNUMBER(B2702),ISNUMBER(H2702)),B2702/H2702-1,""),"")</f>
        <v/>
      </c>
      <c r="J2702" s="8">
        <f>IFERROR(IF(ISNUMBER(C2702),MAX(C2702,IFERROR(J2701,C2702)),""),"")</f>
        <v/>
      </c>
      <c r="K2702" s="29">
        <f>IFERROR(IF(AND(ISNUMBER(C2702),ISNUMBER(J2702)),C2702/J2702-1,""),"")</f>
        <v/>
      </c>
      <c r="L2702" s="28">
        <f>IFERROR(IF(AND(ISNUMBER(D2702),ISNUMBER(E2702)),D2702-E2702,""),"")</f>
        <v/>
      </c>
    </row>
    <row r="2703">
      <c r="A2703" s="7">
        <f>IFERROR(Datos!A2703,"")</f>
        <v/>
      </c>
      <c r="B2703" s="8">
        <f>IFERROR(Datos!B2703,"")</f>
        <v/>
      </c>
      <c r="C2703" s="8">
        <f>IFERROR(Datos!C2703,"")</f>
        <v/>
      </c>
      <c r="D2703" s="28">
        <f>IFERROR(IF(AND(ISNUMBER(B2703),ISNUMBER(B2702),B2702&lt;&gt;0),B2703/B2702-1,""),"")</f>
        <v/>
      </c>
      <c r="E2703" s="28">
        <f>IFERROR(IF(AND(ISNUMBER(C2703),ISNUMBER(C2702),C2702&lt;&gt;0),C2703/C2702-1,""),"")</f>
        <v/>
      </c>
      <c r="F2703" s="28">
        <f>IFERROR(D2703-Dashboard!$B$4/252,"")</f>
        <v/>
      </c>
      <c r="G2703" s="28">
        <f>IFERROR(E2703-Dashboard!$B$4/252,"")</f>
        <v/>
      </c>
      <c r="H2703" s="8">
        <f>IFERROR(IF(ISNUMBER(B2703),MAX(B2703,IFERROR(H2702,B2703)),""),"")</f>
        <v/>
      </c>
      <c r="I2703" s="29">
        <f>IFERROR(IF(AND(ISNUMBER(B2703),ISNUMBER(H2703)),B2703/H2703-1,""),"")</f>
        <v/>
      </c>
      <c r="J2703" s="8">
        <f>IFERROR(IF(ISNUMBER(C2703),MAX(C2703,IFERROR(J2702,C2703)),""),"")</f>
        <v/>
      </c>
      <c r="K2703" s="29">
        <f>IFERROR(IF(AND(ISNUMBER(C2703),ISNUMBER(J2703)),C2703/J2703-1,""),"")</f>
        <v/>
      </c>
      <c r="L2703" s="28">
        <f>IFERROR(IF(AND(ISNUMBER(D2703),ISNUMBER(E2703)),D2703-E2703,""),"")</f>
        <v/>
      </c>
    </row>
    <row r="2704">
      <c r="A2704" s="7">
        <f>IFERROR(Datos!A2704,"")</f>
        <v/>
      </c>
      <c r="B2704" s="8">
        <f>IFERROR(Datos!B2704,"")</f>
        <v/>
      </c>
      <c r="C2704" s="8">
        <f>IFERROR(Datos!C2704,"")</f>
        <v/>
      </c>
      <c r="D2704" s="28">
        <f>IFERROR(IF(AND(ISNUMBER(B2704),ISNUMBER(B2703),B2703&lt;&gt;0),B2704/B2703-1,""),"")</f>
        <v/>
      </c>
      <c r="E2704" s="28">
        <f>IFERROR(IF(AND(ISNUMBER(C2704),ISNUMBER(C2703),C2703&lt;&gt;0),C2704/C2703-1,""),"")</f>
        <v/>
      </c>
      <c r="F2704" s="28">
        <f>IFERROR(D2704-Dashboard!$B$4/252,"")</f>
        <v/>
      </c>
      <c r="G2704" s="28">
        <f>IFERROR(E2704-Dashboard!$B$4/252,"")</f>
        <v/>
      </c>
      <c r="H2704" s="8">
        <f>IFERROR(IF(ISNUMBER(B2704),MAX(B2704,IFERROR(H2703,B2704)),""),"")</f>
        <v/>
      </c>
      <c r="I2704" s="29">
        <f>IFERROR(IF(AND(ISNUMBER(B2704),ISNUMBER(H2704)),B2704/H2704-1,""),"")</f>
        <v/>
      </c>
      <c r="J2704" s="8">
        <f>IFERROR(IF(ISNUMBER(C2704),MAX(C2704,IFERROR(J2703,C2704)),""),"")</f>
        <v/>
      </c>
      <c r="K2704" s="29">
        <f>IFERROR(IF(AND(ISNUMBER(C2704),ISNUMBER(J2704)),C2704/J2704-1,""),"")</f>
        <v/>
      </c>
      <c r="L2704" s="28">
        <f>IFERROR(IF(AND(ISNUMBER(D2704),ISNUMBER(E2704)),D2704-E2704,""),"")</f>
        <v/>
      </c>
    </row>
    <row r="2705">
      <c r="A2705" s="7">
        <f>IFERROR(Datos!A2705,"")</f>
        <v/>
      </c>
      <c r="B2705" s="8">
        <f>IFERROR(Datos!B2705,"")</f>
        <v/>
      </c>
      <c r="C2705" s="8">
        <f>IFERROR(Datos!C2705,"")</f>
        <v/>
      </c>
      <c r="D2705" s="28">
        <f>IFERROR(IF(AND(ISNUMBER(B2705),ISNUMBER(B2704),B2704&lt;&gt;0),B2705/B2704-1,""),"")</f>
        <v/>
      </c>
      <c r="E2705" s="28">
        <f>IFERROR(IF(AND(ISNUMBER(C2705),ISNUMBER(C2704),C2704&lt;&gt;0),C2705/C2704-1,""),"")</f>
        <v/>
      </c>
      <c r="F2705" s="28">
        <f>IFERROR(D2705-Dashboard!$B$4/252,"")</f>
        <v/>
      </c>
      <c r="G2705" s="28">
        <f>IFERROR(E2705-Dashboard!$B$4/252,"")</f>
        <v/>
      </c>
      <c r="H2705" s="8">
        <f>IFERROR(IF(ISNUMBER(B2705),MAX(B2705,IFERROR(H2704,B2705)),""),"")</f>
        <v/>
      </c>
      <c r="I2705" s="29">
        <f>IFERROR(IF(AND(ISNUMBER(B2705),ISNUMBER(H2705)),B2705/H2705-1,""),"")</f>
        <v/>
      </c>
      <c r="J2705" s="8">
        <f>IFERROR(IF(ISNUMBER(C2705),MAX(C2705,IFERROR(J2704,C2705)),""),"")</f>
        <v/>
      </c>
      <c r="K2705" s="29">
        <f>IFERROR(IF(AND(ISNUMBER(C2705),ISNUMBER(J2705)),C2705/J2705-1,""),"")</f>
        <v/>
      </c>
      <c r="L2705" s="28">
        <f>IFERROR(IF(AND(ISNUMBER(D2705),ISNUMBER(E2705)),D2705-E2705,""),"")</f>
        <v/>
      </c>
    </row>
    <row r="2706">
      <c r="A2706" s="7">
        <f>IFERROR(Datos!A2706,"")</f>
        <v/>
      </c>
      <c r="B2706" s="8">
        <f>IFERROR(Datos!B2706,"")</f>
        <v/>
      </c>
      <c r="C2706" s="8">
        <f>IFERROR(Datos!C2706,"")</f>
        <v/>
      </c>
      <c r="D2706" s="28">
        <f>IFERROR(IF(AND(ISNUMBER(B2706),ISNUMBER(B2705),B2705&lt;&gt;0),B2706/B2705-1,""),"")</f>
        <v/>
      </c>
      <c r="E2706" s="28">
        <f>IFERROR(IF(AND(ISNUMBER(C2706),ISNUMBER(C2705),C2705&lt;&gt;0),C2706/C2705-1,""),"")</f>
        <v/>
      </c>
      <c r="F2706" s="28">
        <f>IFERROR(D2706-Dashboard!$B$4/252,"")</f>
        <v/>
      </c>
      <c r="G2706" s="28">
        <f>IFERROR(E2706-Dashboard!$B$4/252,"")</f>
        <v/>
      </c>
      <c r="H2706" s="8">
        <f>IFERROR(IF(ISNUMBER(B2706),MAX(B2706,IFERROR(H2705,B2706)),""),"")</f>
        <v/>
      </c>
      <c r="I2706" s="29">
        <f>IFERROR(IF(AND(ISNUMBER(B2706),ISNUMBER(H2706)),B2706/H2706-1,""),"")</f>
        <v/>
      </c>
      <c r="J2706" s="8">
        <f>IFERROR(IF(ISNUMBER(C2706),MAX(C2706,IFERROR(J2705,C2706)),""),"")</f>
        <v/>
      </c>
      <c r="K2706" s="29">
        <f>IFERROR(IF(AND(ISNUMBER(C2706),ISNUMBER(J2706)),C2706/J2706-1,""),"")</f>
        <v/>
      </c>
      <c r="L2706" s="28">
        <f>IFERROR(IF(AND(ISNUMBER(D2706),ISNUMBER(E2706)),D2706-E2706,""),"")</f>
        <v/>
      </c>
    </row>
    <row r="2707">
      <c r="A2707" s="7">
        <f>IFERROR(Datos!A2707,"")</f>
        <v/>
      </c>
      <c r="B2707" s="8">
        <f>IFERROR(Datos!B2707,"")</f>
        <v/>
      </c>
      <c r="C2707" s="8">
        <f>IFERROR(Datos!C2707,"")</f>
        <v/>
      </c>
      <c r="D2707" s="28">
        <f>IFERROR(IF(AND(ISNUMBER(B2707),ISNUMBER(B2706),B2706&lt;&gt;0),B2707/B2706-1,""),"")</f>
        <v/>
      </c>
      <c r="E2707" s="28">
        <f>IFERROR(IF(AND(ISNUMBER(C2707),ISNUMBER(C2706),C2706&lt;&gt;0),C2707/C2706-1,""),"")</f>
        <v/>
      </c>
      <c r="F2707" s="28">
        <f>IFERROR(D2707-Dashboard!$B$4/252,"")</f>
        <v/>
      </c>
      <c r="G2707" s="28">
        <f>IFERROR(E2707-Dashboard!$B$4/252,"")</f>
        <v/>
      </c>
      <c r="H2707" s="8">
        <f>IFERROR(IF(ISNUMBER(B2707),MAX(B2707,IFERROR(H2706,B2707)),""),"")</f>
        <v/>
      </c>
      <c r="I2707" s="29">
        <f>IFERROR(IF(AND(ISNUMBER(B2707),ISNUMBER(H2707)),B2707/H2707-1,""),"")</f>
        <v/>
      </c>
      <c r="J2707" s="8">
        <f>IFERROR(IF(ISNUMBER(C2707),MAX(C2707,IFERROR(J2706,C2707)),""),"")</f>
        <v/>
      </c>
      <c r="K2707" s="29">
        <f>IFERROR(IF(AND(ISNUMBER(C2707),ISNUMBER(J2707)),C2707/J2707-1,""),"")</f>
        <v/>
      </c>
      <c r="L2707" s="28">
        <f>IFERROR(IF(AND(ISNUMBER(D2707),ISNUMBER(E2707)),D2707-E2707,""),"")</f>
        <v/>
      </c>
    </row>
    <row r="2708">
      <c r="A2708" s="7">
        <f>IFERROR(Datos!A2708,"")</f>
        <v/>
      </c>
      <c r="B2708" s="8">
        <f>IFERROR(Datos!B2708,"")</f>
        <v/>
      </c>
      <c r="C2708" s="8">
        <f>IFERROR(Datos!C2708,"")</f>
        <v/>
      </c>
      <c r="D2708" s="28">
        <f>IFERROR(IF(AND(ISNUMBER(B2708),ISNUMBER(B2707),B2707&lt;&gt;0),B2708/B2707-1,""),"")</f>
        <v/>
      </c>
      <c r="E2708" s="28">
        <f>IFERROR(IF(AND(ISNUMBER(C2708),ISNUMBER(C2707),C2707&lt;&gt;0),C2708/C2707-1,""),"")</f>
        <v/>
      </c>
      <c r="F2708" s="28">
        <f>IFERROR(D2708-Dashboard!$B$4/252,"")</f>
        <v/>
      </c>
      <c r="G2708" s="28">
        <f>IFERROR(E2708-Dashboard!$B$4/252,"")</f>
        <v/>
      </c>
      <c r="H2708" s="8">
        <f>IFERROR(IF(ISNUMBER(B2708),MAX(B2708,IFERROR(H2707,B2708)),""),"")</f>
        <v/>
      </c>
      <c r="I2708" s="29">
        <f>IFERROR(IF(AND(ISNUMBER(B2708),ISNUMBER(H2708)),B2708/H2708-1,""),"")</f>
        <v/>
      </c>
      <c r="J2708" s="8">
        <f>IFERROR(IF(ISNUMBER(C2708),MAX(C2708,IFERROR(J2707,C2708)),""),"")</f>
        <v/>
      </c>
      <c r="K2708" s="29">
        <f>IFERROR(IF(AND(ISNUMBER(C2708),ISNUMBER(J2708)),C2708/J2708-1,""),"")</f>
        <v/>
      </c>
      <c r="L2708" s="28">
        <f>IFERROR(IF(AND(ISNUMBER(D2708),ISNUMBER(E2708)),D2708-E2708,""),"")</f>
        <v/>
      </c>
    </row>
    <row r="2709">
      <c r="A2709" s="7">
        <f>IFERROR(Datos!A2709,"")</f>
        <v/>
      </c>
      <c r="B2709" s="8">
        <f>IFERROR(Datos!B2709,"")</f>
        <v/>
      </c>
      <c r="C2709" s="8">
        <f>IFERROR(Datos!C2709,"")</f>
        <v/>
      </c>
      <c r="D2709" s="28">
        <f>IFERROR(IF(AND(ISNUMBER(B2709),ISNUMBER(B2708),B2708&lt;&gt;0),B2709/B2708-1,""),"")</f>
        <v/>
      </c>
      <c r="E2709" s="28">
        <f>IFERROR(IF(AND(ISNUMBER(C2709),ISNUMBER(C2708),C2708&lt;&gt;0),C2709/C2708-1,""),"")</f>
        <v/>
      </c>
      <c r="F2709" s="28">
        <f>IFERROR(D2709-Dashboard!$B$4/252,"")</f>
        <v/>
      </c>
      <c r="G2709" s="28">
        <f>IFERROR(E2709-Dashboard!$B$4/252,"")</f>
        <v/>
      </c>
      <c r="H2709" s="8">
        <f>IFERROR(IF(ISNUMBER(B2709),MAX(B2709,IFERROR(H2708,B2709)),""),"")</f>
        <v/>
      </c>
      <c r="I2709" s="29">
        <f>IFERROR(IF(AND(ISNUMBER(B2709),ISNUMBER(H2709)),B2709/H2709-1,""),"")</f>
        <v/>
      </c>
      <c r="J2709" s="8">
        <f>IFERROR(IF(ISNUMBER(C2709),MAX(C2709,IFERROR(J2708,C2709)),""),"")</f>
        <v/>
      </c>
      <c r="K2709" s="29">
        <f>IFERROR(IF(AND(ISNUMBER(C2709),ISNUMBER(J2709)),C2709/J2709-1,""),"")</f>
        <v/>
      </c>
      <c r="L2709" s="28">
        <f>IFERROR(IF(AND(ISNUMBER(D2709),ISNUMBER(E2709)),D2709-E2709,""),"")</f>
        <v/>
      </c>
    </row>
    <row r="2710">
      <c r="A2710" s="7">
        <f>IFERROR(Datos!A2710,"")</f>
        <v/>
      </c>
      <c r="B2710" s="8">
        <f>IFERROR(Datos!B2710,"")</f>
        <v/>
      </c>
      <c r="C2710" s="8">
        <f>IFERROR(Datos!C2710,"")</f>
        <v/>
      </c>
      <c r="D2710" s="28">
        <f>IFERROR(IF(AND(ISNUMBER(B2710),ISNUMBER(B2709),B2709&lt;&gt;0),B2710/B2709-1,""),"")</f>
        <v/>
      </c>
      <c r="E2710" s="28">
        <f>IFERROR(IF(AND(ISNUMBER(C2710),ISNUMBER(C2709),C2709&lt;&gt;0),C2710/C2709-1,""),"")</f>
        <v/>
      </c>
      <c r="F2710" s="28">
        <f>IFERROR(D2710-Dashboard!$B$4/252,"")</f>
        <v/>
      </c>
      <c r="G2710" s="28">
        <f>IFERROR(E2710-Dashboard!$B$4/252,"")</f>
        <v/>
      </c>
      <c r="H2710" s="8">
        <f>IFERROR(IF(ISNUMBER(B2710),MAX(B2710,IFERROR(H2709,B2710)),""),"")</f>
        <v/>
      </c>
      <c r="I2710" s="29">
        <f>IFERROR(IF(AND(ISNUMBER(B2710),ISNUMBER(H2710)),B2710/H2710-1,""),"")</f>
        <v/>
      </c>
      <c r="J2710" s="8">
        <f>IFERROR(IF(ISNUMBER(C2710),MAX(C2710,IFERROR(J2709,C2710)),""),"")</f>
        <v/>
      </c>
      <c r="K2710" s="29">
        <f>IFERROR(IF(AND(ISNUMBER(C2710),ISNUMBER(J2710)),C2710/J2710-1,""),"")</f>
        <v/>
      </c>
      <c r="L2710" s="28">
        <f>IFERROR(IF(AND(ISNUMBER(D2710),ISNUMBER(E2710)),D2710-E2710,""),"")</f>
        <v/>
      </c>
    </row>
    <row r="2711">
      <c r="A2711" s="7">
        <f>IFERROR(Datos!A2711,"")</f>
        <v/>
      </c>
      <c r="B2711" s="8">
        <f>IFERROR(Datos!B2711,"")</f>
        <v/>
      </c>
      <c r="C2711" s="8">
        <f>IFERROR(Datos!C2711,"")</f>
        <v/>
      </c>
      <c r="D2711" s="28">
        <f>IFERROR(IF(AND(ISNUMBER(B2711),ISNUMBER(B2710),B2710&lt;&gt;0),B2711/B2710-1,""),"")</f>
        <v/>
      </c>
      <c r="E2711" s="28">
        <f>IFERROR(IF(AND(ISNUMBER(C2711),ISNUMBER(C2710),C2710&lt;&gt;0),C2711/C2710-1,""),"")</f>
        <v/>
      </c>
      <c r="F2711" s="28">
        <f>IFERROR(D2711-Dashboard!$B$4/252,"")</f>
        <v/>
      </c>
      <c r="G2711" s="28">
        <f>IFERROR(E2711-Dashboard!$B$4/252,"")</f>
        <v/>
      </c>
      <c r="H2711" s="8">
        <f>IFERROR(IF(ISNUMBER(B2711),MAX(B2711,IFERROR(H2710,B2711)),""),"")</f>
        <v/>
      </c>
      <c r="I2711" s="29">
        <f>IFERROR(IF(AND(ISNUMBER(B2711),ISNUMBER(H2711)),B2711/H2711-1,""),"")</f>
        <v/>
      </c>
      <c r="J2711" s="8">
        <f>IFERROR(IF(ISNUMBER(C2711),MAX(C2711,IFERROR(J2710,C2711)),""),"")</f>
        <v/>
      </c>
      <c r="K2711" s="29">
        <f>IFERROR(IF(AND(ISNUMBER(C2711),ISNUMBER(J2711)),C2711/J2711-1,""),"")</f>
        <v/>
      </c>
      <c r="L2711" s="28">
        <f>IFERROR(IF(AND(ISNUMBER(D2711),ISNUMBER(E2711)),D2711-E2711,""),"")</f>
        <v/>
      </c>
    </row>
    <row r="2712">
      <c r="A2712" s="7">
        <f>IFERROR(Datos!A2712,"")</f>
        <v/>
      </c>
      <c r="B2712" s="8">
        <f>IFERROR(Datos!B2712,"")</f>
        <v/>
      </c>
      <c r="C2712" s="8">
        <f>IFERROR(Datos!C2712,"")</f>
        <v/>
      </c>
      <c r="D2712" s="28">
        <f>IFERROR(IF(AND(ISNUMBER(B2712),ISNUMBER(B2711),B2711&lt;&gt;0),B2712/B2711-1,""),"")</f>
        <v/>
      </c>
      <c r="E2712" s="28">
        <f>IFERROR(IF(AND(ISNUMBER(C2712),ISNUMBER(C2711),C2711&lt;&gt;0),C2712/C2711-1,""),"")</f>
        <v/>
      </c>
      <c r="F2712" s="28">
        <f>IFERROR(D2712-Dashboard!$B$4/252,"")</f>
        <v/>
      </c>
      <c r="G2712" s="28">
        <f>IFERROR(E2712-Dashboard!$B$4/252,"")</f>
        <v/>
      </c>
      <c r="H2712" s="8">
        <f>IFERROR(IF(ISNUMBER(B2712),MAX(B2712,IFERROR(H2711,B2712)),""),"")</f>
        <v/>
      </c>
      <c r="I2712" s="29">
        <f>IFERROR(IF(AND(ISNUMBER(B2712),ISNUMBER(H2712)),B2712/H2712-1,""),"")</f>
        <v/>
      </c>
      <c r="J2712" s="8">
        <f>IFERROR(IF(ISNUMBER(C2712),MAX(C2712,IFERROR(J2711,C2712)),""),"")</f>
        <v/>
      </c>
      <c r="K2712" s="29">
        <f>IFERROR(IF(AND(ISNUMBER(C2712),ISNUMBER(J2712)),C2712/J2712-1,""),"")</f>
        <v/>
      </c>
      <c r="L2712" s="28">
        <f>IFERROR(IF(AND(ISNUMBER(D2712),ISNUMBER(E2712)),D2712-E2712,""),"")</f>
        <v/>
      </c>
    </row>
    <row r="2713">
      <c r="A2713" s="7">
        <f>IFERROR(Datos!A2713,"")</f>
        <v/>
      </c>
      <c r="B2713" s="8">
        <f>IFERROR(Datos!B2713,"")</f>
        <v/>
      </c>
      <c r="C2713" s="8">
        <f>IFERROR(Datos!C2713,"")</f>
        <v/>
      </c>
      <c r="D2713" s="28">
        <f>IFERROR(IF(AND(ISNUMBER(B2713),ISNUMBER(B2712),B2712&lt;&gt;0),B2713/B2712-1,""),"")</f>
        <v/>
      </c>
      <c r="E2713" s="28">
        <f>IFERROR(IF(AND(ISNUMBER(C2713),ISNUMBER(C2712),C2712&lt;&gt;0),C2713/C2712-1,""),"")</f>
        <v/>
      </c>
      <c r="F2713" s="28">
        <f>IFERROR(D2713-Dashboard!$B$4/252,"")</f>
        <v/>
      </c>
      <c r="G2713" s="28">
        <f>IFERROR(E2713-Dashboard!$B$4/252,"")</f>
        <v/>
      </c>
      <c r="H2713" s="8">
        <f>IFERROR(IF(ISNUMBER(B2713),MAX(B2713,IFERROR(H2712,B2713)),""),"")</f>
        <v/>
      </c>
      <c r="I2713" s="29">
        <f>IFERROR(IF(AND(ISNUMBER(B2713),ISNUMBER(H2713)),B2713/H2713-1,""),"")</f>
        <v/>
      </c>
      <c r="J2713" s="8">
        <f>IFERROR(IF(ISNUMBER(C2713),MAX(C2713,IFERROR(J2712,C2713)),""),"")</f>
        <v/>
      </c>
      <c r="K2713" s="29">
        <f>IFERROR(IF(AND(ISNUMBER(C2713),ISNUMBER(J2713)),C2713/J2713-1,""),"")</f>
        <v/>
      </c>
      <c r="L2713" s="28">
        <f>IFERROR(IF(AND(ISNUMBER(D2713),ISNUMBER(E2713)),D2713-E2713,""),"")</f>
        <v/>
      </c>
    </row>
    <row r="2714">
      <c r="A2714" s="7">
        <f>IFERROR(Datos!A2714,"")</f>
        <v/>
      </c>
      <c r="B2714" s="8">
        <f>IFERROR(Datos!B2714,"")</f>
        <v/>
      </c>
      <c r="C2714" s="8">
        <f>IFERROR(Datos!C2714,"")</f>
        <v/>
      </c>
      <c r="D2714" s="28">
        <f>IFERROR(IF(AND(ISNUMBER(B2714),ISNUMBER(B2713),B2713&lt;&gt;0),B2714/B2713-1,""),"")</f>
        <v/>
      </c>
      <c r="E2714" s="28">
        <f>IFERROR(IF(AND(ISNUMBER(C2714),ISNUMBER(C2713),C2713&lt;&gt;0),C2714/C2713-1,""),"")</f>
        <v/>
      </c>
      <c r="F2714" s="28">
        <f>IFERROR(D2714-Dashboard!$B$4/252,"")</f>
        <v/>
      </c>
      <c r="G2714" s="28">
        <f>IFERROR(E2714-Dashboard!$B$4/252,"")</f>
        <v/>
      </c>
      <c r="H2714" s="8">
        <f>IFERROR(IF(ISNUMBER(B2714),MAX(B2714,IFERROR(H2713,B2714)),""),"")</f>
        <v/>
      </c>
      <c r="I2714" s="29">
        <f>IFERROR(IF(AND(ISNUMBER(B2714),ISNUMBER(H2714)),B2714/H2714-1,""),"")</f>
        <v/>
      </c>
      <c r="J2714" s="8">
        <f>IFERROR(IF(ISNUMBER(C2714),MAX(C2714,IFERROR(J2713,C2714)),""),"")</f>
        <v/>
      </c>
      <c r="K2714" s="29">
        <f>IFERROR(IF(AND(ISNUMBER(C2714),ISNUMBER(J2714)),C2714/J2714-1,""),"")</f>
        <v/>
      </c>
      <c r="L2714" s="28">
        <f>IFERROR(IF(AND(ISNUMBER(D2714),ISNUMBER(E2714)),D2714-E2714,""),"")</f>
        <v/>
      </c>
    </row>
    <row r="2715">
      <c r="A2715" s="7">
        <f>IFERROR(Datos!A2715,"")</f>
        <v/>
      </c>
      <c r="B2715" s="8">
        <f>IFERROR(Datos!B2715,"")</f>
        <v/>
      </c>
      <c r="C2715" s="8">
        <f>IFERROR(Datos!C2715,"")</f>
        <v/>
      </c>
      <c r="D2715" s="28">
        <f>IFERROR(IF(AND(ISNUMBER(B2715),ISNUMBER(B2714),B2714&lt;&gt;0),B2715/B2714-1,""),"")</f>
        <v/>
      </c>
      <c r="E2715" s="28">
        <f>IFERROR(IF(AND(ISNUMBER(C2715),ISNUMBER(C2714),C2714&lt;&gt;0),C2715/C2714-1,""),"")</f>
        <v/>
      </c>
      <c r="F2715" s="28">
        <f>IFERROR(D2715-Dashboard!$B$4/252,"")</f>
        <v/>
      </c>
      <c r="G2715" s="28">
        <f>IFERROR(E2715-Dashboard!$B$4/252,"")</f>
        <v/>
      </c>
      <c r="H2715" s="8">
        <f>IFERROR(IF(ISNUMBER(B2715),MAX(B2715,IFERROR(H2714,B2715)),""),"")</f>
        <v/>
      </c>
      <c r="I2715" s="29">
        <f>IFERROR(IF(AND(ISNUMBER(B2715),ISNUMBER(H2715)),B2715/H2715-1,""),"")</f>
        <v/>
      </c>
      <c r="J2715" s="8">
        <f>IFERROR(IF(ISNUMBER(C2715),MAX(C2715,IFERROR(J2714,C2715)),""),"")</f>
        <v/>
      </c>
      <c r="K2715" s="29">
        <f>IFERROR(IF(AND(ISNUMBER(C2715),ISNUMBER(J2715)),C2715/J2715-1,""),"")</f>
        <v/>
      </c>
      <c r="L2715" s="28">
        <f>IFERROR(IF(AND(ISNUMBER(D2715),ISNUMBER(E2715)),D2715-E2715,""),"")</f>
        <v/>
      </c>
    </row>
    <row r="2716">
      <c r="A2716" s="7">
        <f>IFERROR(Datos!A2716,"")</f>
        <v/>
      </c>
      <c r="B2716" s="8">
        <f>IFERROR(Datos!B2716,"")</f>
        <v/>
      </c>
      <c r="C2716" s="8">
        <f>IFERROR(Datos!C2716,"")</f>
        <v/>
      </c>
      <c r="D2716" s="28">
        <f>IFERROR(IF(AND(ISNUMBER(B2716),ISNUMBER(B2715),B2715&lt;&gt;0),B2716/B2715-1,""),"")</f>
        <v/>
      </c>
      <c r="E2716" s="28">
        <f>IFERROR(IF(AND(ISNUMBER(C2716),ISNUMBER(C2715),C2715&lt;&gt;0),C2716/C2715-1,""),"")</f>
        <v/>
      </c>
      <c r="F2716" s="28">
        <f>IFERROR(D2716-Dashboard!$B$4/252,"")</f>
        <v/>
      </c>
      <c r="G2716" s="28">
        <f>IFERROR(E2716-Dashboard!$B$4/252,"")</f>
        <v/>
      </c>
      <c r="H2716" s="8">
        <f>IFERROR(IF(ISNUMBER(B2716),MAX(B2716,IFERROR(H2715,B2716)),""),"")</f>
        <v/>
      </c>
      <c r="I2716" s="29">
        <f>IFERROR(IF(AND(ISNUMBER(B2716),ISNUMBER(H2716)),B2716/H2716-1,""),"")</f>
        <v/>
      </c>
      <c r="J2716" s="8">
        <f>IFERROR(IF(ISNUMBER(C2716),MAX(C2716,IFERROR(J2715,C2716)),""),"")</f>
        <v/>
      </c>
      <c r="K2716" s="29">
        <f>IFERROR(IF(AND(ISNUMBER(C2716),ISNUMBER(J2716)),C2716/J2716-1,""),"")</f>
        <v/>
      </c>
      <c r="L2716" s="28">
        <f>IFERROR(IF(AND(ISNUMBER(D2716),ISNUMBER(E2716)),D2716-E2716,""),"")</f>
        <v/>
      </c>
    </row>
    <row r="2717">
      <c r="A2717" s="7">
        <f>IFERROR(Datos!A2717,"")</f>
        <v/>
      </c>
      <c r="B2717" s="8">
        <f>IFERROR(Datos!B2717,"")</f>
        <v/>
      </c>
      <c r="C2717" s="8">
        <f>IFERROR(Datos!C2717,"")</f>
        <v/>
      </c>
      <c r="D2717" s="28">
        <f>IFERROR(IF(AND(ISNUMBER(B2717),ISNUMBER(B2716),B2716&lt;&gt;0),B2717/B2716-1,""),"")</f>
        <v/>
      </c>
      <c r="E2717" s="28">
        <f>IFERROR(IF(AND(ISNUMBER(C2717),ISNUMBER(C2716),C2716&lt;&gt;0),C2717/C2716-1,""),"")</f>
        <v/>
      </c>
      <c r="F2717" s="28">
        <f>IFERROR(D2717-Dashboard!$B$4/252,"")</f>
        <v/>
      </c>
      <c r="G2717" s="28">
        <f>IFERROR(E2717-Dashboard!$B$4/252,"")</f>
        <v/>
      </c>
      <c r="H2717" s="8">
        <f>IFERROR(IF(ISNUMBER(B2717),MAX(B2717,IFERROR(H2716,B2717)),""),"")</f>
        <v/>
      </c>
      <c r="I2717" s="29">
        <f>IFERROR(IF(AND(ISNUMBER(B2717),ISNUMBER(H2717)),B2717/H2717-1,""),"")</f>
        <v/>
      </c>
      <c r="J2717" s="8">
        <f>IFERROR(IF(ISNUMBER(C2717),MAX(C2717,IFERROR(J2716,C2717)),""),"")</f>
        <v/>
      </c>
      <c r="K2717" s="29">
        <f>IFERROR(IF(AND(ISNUMBER(C2717),ISNUMBER(J2717)),C2717/J2717-1,""),"")</f>
        <v/>
      </c>
      <c r="L2717" s="28">
        <f>IFERROR(IF(AND(ISNUMBER(D2717),ISNUMBER(E2717)),D2717-E2717,""),"")</f>
        <v/>
      </c>
    </row>
    <row r="2718">
      <c r="A2718" s="7">
        <f>IFERROR(Datos!A2718,"")</f>
        <v/>
      </c>
      <c r="B2718" s="8">
        <f>IFERROR(Datos!B2718,"")</f>
        <v/>
      </c>
      <c r="C2718" s="8">
        <f>IFERROR(Datos!C2718,"")</f>
        <v/>
      </c>
      <c r="D2718" s="28">
        <f>IFERROR(IF(AND(ISNUMBER(B2718),ISNUMBER(B2717),B2717&lt;&gt;0),B2718/B2717-1,""),"")</f>
        <v/>
      </c>
      <c r="E2718" s="28">
        <f>IFERROR(IF(AND(ISNUMBER(C2718),ISNUMBER(C2717),C2717&lt;&gt;0),C2718/C2717-1,""),"")</f>
        <v/>
      </c>
      <c r="F2718" s="28">
        <f>IFERROR(D2718-Dashboard!$B$4/252,"")</f>
        <v/>
      </c>
      <c r="G2718" s="28">
        <f>IFERROR(E2718-Dashboard!$B$4/252,"")</f>
        <v/>
      </c>
      <c r="H2718" s="8">
        <f>IFERROR(IF(ISNUMBER(B2718),MAX(B2718,IFERROR(H2717,B2718)),""),"")</f>
        <v/>
      </c>
      <c r="I2718" s="29">
        <f>IFERROR(IF(AND(ISNUMBER(B2718),ISNUMBER(H2718)),B2718/H2718-1,""),"")</f>
        <v/>
      </c>
      <c r="J2718" s="8">
        <f>IFERROR(IF(ISNUMBER(C2718),MAX(C2718,IFERROR(J2717,C2718)),""),"")</f>
        <v/>
      </c>
      <c r="K2718" s="29">
        <f>IFERROR(IF(AND(ISNUMBER(C2718),ISNUMBER(J2718)),C2718/J2718-1,""),"")</f>
        <v/>
      </c>
      <c r="L2718" s="28">
        <f>IFERROR(IF(AND(ISNUMBER(D2718),ISNUMBER(E2718)),D2718-E2718,""),"")</f>
        <v/>
      </c>
    </row>
    <row r="2719">
      <c r="A2719" s="7">
        <f>IFERROR(Datos!A2719,"")</f>
        <v/>
      </c>
      <c r="B2719" s="8">
        <f>IFERROR(Datos!B2719,"")</f>
        <v/>
      </c>
      <c r="C2719" s="8">
        <f>IFERROR(Datos!C2719,"")</f>
        <v/>
      </c>
      <c r="D2719" s="28">
        <f>IFERROR(IF(AND(ISNUMBER(B2719),ISNUMBER(B2718),B2718&lt;&gt;0),B2719/B2718-1,""),"")</f>
        <v/>
      </c>
      <c r="E2719" s="28">
        <f>IFERROR(IF(AND(ISNUMBER(C2719),ISNUMBER(C2718),C2718&lt;&gt;0),C2719/C2718-1,""),"")</f>
        <v/>
      </c>
      <c r="F2719" s="28">
        <f>IFERROR(D2719-Dashboard!$B$4/252,"")</f>
        <v/>
      </c>
      <c r="G2719" s="28">
        <f>IFERROR(E2719-Dashboard!$B$4/252,"")</f>
        <v/>
      </c>
      <c r="H2719" s="8">
        <f>IFERROR(IF(ISNUMBER(B2719),MAX(B2719,IFERROR(H2718,B2719)),""),"")</f>
        <v/>
      </c>
      <c r="I2719" s="29">
        <f>IFERROR(IF(AND(ISNUMBER(B2719),ISNUMBER(H2719)),B2719/H2719-1,""),"")</f>
        <v/>
      </c>
      <c r="J2719" s="8">
        <f>IFERROR(IF(ISNUMBER(C2719),MAX(C2719,IFERROR(J2718,C2719)),""),"")</f>
        <v/>
      </c>
      <c r="K2719" s="29">
        <f>IFERROR(IF(AND(ISNUMBER(C2719),ISNUMBER(J2719)),C2719/J2719-1,""),"")</f>
        <v/>
      </c>
      <c r="L2719" s="28">
        <f>IFERROR(IF(AND(ISNUMBER(D2719),ISNUMBER(E2719)),D2719-E2719,""),"")</f>
        <v/>
      </c>
    </row>
    <row r="2720">
      <c r="A2720" s="7">
        <f>IFERROR(Datos!A2720,"")</f>
        <v/>
      </c>
      <c r="B2720" s="8">
        <f>IFERROR(Datos!B2720,"")</f>
        <v/>
      </c>
      <c r="C2720" s="8">
        <f>IFERROR(Datos!C2720,"")</f>
        <v/>
      </c>
      <c r="D2720" s="28">
        <f>IFERROR(IF(AND(ISNUMBER(B2720),ISNUMBER(B2719),B2719&lt;&gt;0),B2720/B2719-1,""),"")</f>
        <v/>
      </c>
      <c r="E2720" s="28">
        <f>IFERROR(IF(AND(ISNUMBER(C2720),ISNUMBER(C2719),C2719&lt;&gt;0),C2720/C2719-1,""),"")</f>
        <v/>
      </c>
      <c r="F2720" s="28">
        <f>IFERROR(D2720-Dashboard!$B$4/252,"")</f>
        <v/>
      </c>
      <c r="G2720" s="28">
        <f>IFERROR(E2720-Dashboard!$B$4/252,"")</f>
        <v/>
      </c>
      <c r="H2720" s="8">
        <f>IFERROR(IF(ISNUMBER(B2720),MAX(B2720,IFERROR(H2719,B2720)),""),"")</f>
        <v/>
      </c>
      <c r="I2720" s="29">
        <f>IFERROR(IF(AND(ISNUMBER(B2720),ISNUMBER(H2720)),B2720/H2720-1,""),"")</f>
        <v/>
      </c>
      <c r="J2720" s="8">
        <f>IFERROR(IF(ISNUMBER(C2720),MAX(C2720,IFERROR(J2719,C2720)),""),"")</f>
        <v/>
      </c>
      <c r="K2720" s="29">
        <f>IFERROR(IF(AND(ISNUMBER(C2720),ISNUMBER(J2720)),C2720/J2720-1,""),"")</f>
        <v/>
      </c>
      <c r="L2720" s="28">
        <f>IFERROR(IF(AND(ISNUMBER(D2720),ISNUMBER(E2720)),D2720-E2720,""),"")</f>
        <v/>
      </c>
    </row>
    <row r="2721">
      <c r="A2721" s="7">
        <f>IFERROR(Datos!A2721,"")</f>
        <v/>
      </c>
      <c r="B2721" s="8">
        <f>IFERROR(Datos!B2721,"")</f>
        <v/>
      </c>
      <c r="C2721" s="8">
        <f>IFERROR(Datos!C2721,"")</f>
        <v/>
      </c>
      <c r="D2721" s="28">
        <f>IFERROR(IF(AND(ISNUMBER(B2721),ISNUMBER(B2720),B2720&lt;&gt;0),B2721/B2720-1,""),"")</f>
        <v/>
      </c>
      <c r="E2721" s="28">
        <f>IFERROR(IF(AND(ISNUMBER(C2721),ISNUMBER(C2720),C2720&lt;&gt;0),C2721/C2720-1,""),"")</f>
        <v/>
      </c>
      <c r="F2721" s="28">
        <f>IFERROR(D2721-Dashboard!$B$4/252,"")</f>
        <v/>
      </c>
      <c r="G2721" s="28">
        <f>IFERROR(E2721-Dashboard!$B$4/252,"")</f>
        <v/>
      </c>
      <c r="H2721" s="8">
        <f>IFERROR(IF(ISNUMBER(B2721),MAX(B2721,IFERROR(H2720,B2721)),""),"")</f>
        <v/>
      </c>
      <c r="I2721" s="29">
        <f>IFERROR(IF(AND(ISNUMBER(B2721),ISNUMBER(H2721)),B2721/H2721-1,""),"")</f>
        <v/>
      </c>
      <c r="J2721" s="8">
        <f>IFERROR(IF(ISNUMBER(C2721),MAX(C2721,IFERROR(J2720,C2721)),""),"")</f>
        <v/>
      </c>
      <c r="K2721" s="29">
        <f>IFERROR(IF(AND(ISNUMBER(C2721),ISNUMBER(J2721)),C2721/J2721-1,""),"")</f>
        <v/>
      </c>
      <c r="L2721" s="28">
        <f>IFERROR(IF(AND(ISNUMBER(D2721),ISNUMBER(E2721)),D2721-E2721,""),"")</f>
        <v/>
      </c>
    </row>
    <row r="2722">
      <c r="A2722" s="7">
        <f>IFERROR(Datos!A2722,"")</f>
        <v/>
      </c>
      <c r="B2722" s="8">
        <f>IFERROR(Datos!B2722,"")</f>
        <v/>
      </c>
      <c r="C2722" s="8">
        <f>IFERROR(Datos!C2722,"")</f>
        <v/>
      </c>
      <c r="D2722" s="28">
        <f>IFERROR(IF(AND(ISNUMBER(B2722),ISNUMBER(B2721),B2721&lt;&gt;0),B2722/B2721-1,""),"")</f>
        <v/>
      </c>
      <c r="E2722" s="28">
        <f>IFERROR(IF(AND(ISNUMBER(C2722),ISNUMBER(C2721),C2721&lt;&gt;0),C2722/C2721-1,""),"")</f>
        <v/>
      </c>
      <c r="F2722" s="28">
        <f>IFERROR(D2722-Dashboard!$B$4/252,"")</f>
        <v/>
      </c>
      <c r="G2722" s="28">
        <f>IFERROR(E2722-Dashboard!$B$4/252,"")</f>
        <v/>
      </c>
      <c r="H2722" s="8">
        <f>IFERROR(IF(ISNUMBER(B2722),MAX(B2722,IFERROR(H2721,B2722)),""),"")</f>
        <v/>
      </c>
      <c r="I2722" s="29">
        <f>IFERROR(IF(AND(ISNUMBER(B2722),ISNUMBER(H2722)),B2722/H2722-1,""),"")</f>
        <v/>
      </c>
      <c r="J2722" s="8">
        <f>IFERROR(IF(ISNUMBER(C2722),MAX(C2722,IFERROR(J2721,C2722)),""),"")</f>
        <v/>
      </c>
      <c r="K2722" s="29">
        <f>IFERROR(IF(AND(ISNUMBER(C2722),ISNUMBER(J2722)),C2722/J2722-1,""),"")</f>
        <v/>
      </c>
      <c r="L2722" s="28">
        <f>IFERROR(IF(AND(ISNUMBER(D2722),ISNUMBER(E2722)),D2722-E2722,""),"")</f>
        <v/>
      </c>
    </row>
    <row r="2723">
      <c r="A2723" s="7">
        <f>IFERROR(Datos!A2723,"")</f>
        <v/>
      </c>
      <c r="B2723" s="8">
        <f>IFERROR(Datos!B2723,"")</f>
        <v/>
      </c>
      <c r="C2723" s="8">
        <f>IFERROR(Datos!C2723,"")</f>
        <v/>
      </c>
      <c r="D2723" s="28">
        <f>IFERROR(IF(AND(ISNUMBER(B2723),ISNUMBER(B2722),B2722&lt;&gt;0),B2723/B2722-1,""),"")</f>
        <v/>
      </c>
      <c r="E2723" s="28">
        <f>IFERROR(IF(AND(ISNUMBER(C2723),ISNUMBER(C2722),C2722&lt;&gt;0),C2723/C2722-1,""),"")</f>
        <v/>
      </c>
      <c r="F2723" s="28">
        <f>IFERROR(D2723-Dashboard!$B$4/252,"")</f>
        <v/>
      </c>
      <c r="G2723" s="28">
        <f>IFERROR(E2723-Dashboard!$B$4/252,"")</f>
        <v/>
      </c>
      <c r="H2723" s="8">
        <f>IFERROR(IF(ISNUMBER(B2723),MAX(B2723,IFERROR(H2722,B2723)),""),"")</f>
        <v/>
      </c>
      <c r="I2723" s="29">
        <f>IFERROR(IF(AND(ISNUMBER(B2723),ISNUMBER(H2723)),B2723/H2723-1,""),"")</f>
        <v/>
      </c>
      <c r="J2723" s="8">
        <f>IFERROR(IF(ISNUMBER(C2723),MAX(C2723,IFERROR(J2722,C2723)),""),"")</f>
        <v/>
      </c>
      <c r="K2723" s="29">
        <f>IFERROR(IF(AND(ISNUMBER(C2723),ISNUMBER(J2723)),C2723/J2723-1,""),"")</f>
        <v/>
      </c>
      <c r="L2723" s="28">
        <f>IFERROR(IF(AND(ISNUMBER(D2723),ISNUMBER(E2723)),D2723-E2723,""),"")</f>
        <v/>
      </c>
    </row>
    <row r="2724">
      <c r="A2724" s="7">
        <f>IFERROR(Datos!A2724,"")</f>
        <v/>
      </c>
      <c r="B2724" s="8">
        <f>IFERROR(Datos!B2724,"")</f>
        <v/>
      </c>
      <c r="C2724" s="8">
        <f>IFERROR(Datos!C2724,"")</f>
        <v/>
      </c>
      <c r="D2724" s="28">
        <f>IFERROR(IF(AND(ISNUMBER(B2724),ISNUMBER(B2723),B2723&lt;&gt;0),B2724/B2723-1,""),"")</f>
        <v/>
      </c>
      <c r="E2724" s="28">
        <f>IFERROR(IF(AND(ISNUMBER(C2724),ISNUMBER(C2723),C2723&lt;&gt;0),C2724/C2723-1,""),"")</f>
        <v/>
      </c>
      <c r="F2724" s="28">
        <f>IFERROR(D2724-Dashboard!$B$4/252,"")</f>
        <v/>
      </c>
      <c r="G2724" s="28">
        <f>IFERROR(E2724-Dashboard!$B$4/252,"")</f>
        <v/>
      </c>
      <c r="H2724" s="8">
        <f>IFERROR(IF(ISNUMBER(B2724),MAX(B2724,IFERROR(H2723,B2724)),""),"")</f>
        <v/>
      </c>
      <c r="I2724" s="29">
        <f>IFERROR(IF(AND(ISNUMBER(B2724),ISNUMBER(H2724)),B2724/H2724-1,""),"")</f>
        <v/>
      </c>
      <c r="J2724" s="8">
        <f>IFERROR(IF(ISNUMBER(C2724),MAX(C2724,IFERROR(J2723,C2724)),""),"")</f>
        <v/>
      </c>
      <c r="K2724" s="29">
        <f>IFERROR(IF(AND(ISNUMBER(C2724),ISNUMBER(J2724)),C2724/J2724-1,""),"")</f>
        <v/>
      </c>
      <c r="L2724" s="28">
        <f>IFERROR(IF(AND(ISNUMBER(D2724),ISNUMBER(E2724)),D2724-E2724,""),"")</f>
        <v/>
      </c>
    </row>
    <row r="2725">
      <c r="A2725" s="7">
        <f>IFERROR(Datos!A2725,"")</f>
        <v/>
      </c>
      <c r="B2725" s="8">
        <f>IFERROR(Datos!B2725,"")</f>
        <v/>
      </c>
      <c r="C2725" s="8">
        <f>IFERROR(Datos!C2725,"")</f>
        <v/>
      </c>
      <c r="D2725" s="28">
        <f>IFERROR(IF(AND(ISNUMBER(B2725),ISNUMBER(B2724),B2724&lt;&gt;0),B2725/B2724-1,""),"")</f>
        <v/>
      </c>
      <c r="E2725" s="28">
        <f>IFERROR(IF(AND(ISNUMBER(C2725),ISNUMBER(C2724),C2724&lt;&gt;0),C2725/C2724-1,""),"")</f>
        <v/>
      </c>
      <c r="F2725" s="28">
        <f>IFERROR(D2725-Dashboard!$B$4/252,"")</f>
        <v/>
      </c>
      <c r="G2725" s="28">
        <f>IFERROR(E2725-Dashboard!$B$4/252,"")</f>
        <v/>
      </c>
      <c r="H2725" s="8">
        <f>IFERROR(IF(ISNUMBER(B2725),MAX(B2725,IFERROR(H2724,B2725)),""),"")</f>
        <v/>
      </c>
      <c r="I2725" s="29">
        <f>IFERROR(IF(AND(ISNUMBER(B2725),ISNUMBER(H2725)),B2725/H2725-1,""),"")</f>
        <v/>
      </c>
      <c r="J2725" s="8">
        <f>IFERROR(IF(ISNUMBER(C2725),MAX(C2725,IFERROR(J2724,C2725)),""),"")</f>
        <v/>
      </c>
      <c r="K2725" s="29">
        <f>IFERROR(IF(AND(ISNUMBER(C2725),ISNUMBER(J2725)),C2725/J2725-1,""),"")</f>
        <v/>
      </c>
      <c r="L2725" s="28">
        <f>IFERROR(IF(AND(ISNUMBER(D2725),ISNUMBER(E2725)),D2725-E2725,""),"")</f>
        <v/>
      </c>
    </row>
    <row r="2726">
      <c r="A2726" s="7">
        <f>IFERROR(Datos!A2726,"")</f>
        <v/>
      </c>
      <c r="B2726" s="8">
        <f>IFERROR(Datos!B2726,"")</f>
        <v/>
      </c>
      <c r="C2726" s="8">
        <f>IFERROR(Datos!C2726,"")</f>
        <v/>
      </c>
      <c r="D2726" s="28">
        <f>IFERROR(IF(AND(ISNUMBER(B2726),ISNUMBER(B2725),B2725&lt;&gt;0),B2726/B2725-1,""),"")</f>
        <v/>
      </c>
      <c r="E2726" s="28">
        <f>IFERROR(IF(AND(ISNUMBER(C2726),ISNUMBER(C2725),C2725&lt;&gt;0),C2726/C2725-1,""),"")</f>
        <v/>
      </c>
      <c r="F2726" s="28">
        <f>IFERROR(D2726-Dashboard!$B$4/252,"")</f>
        <v/>
      </c>
      <c r="G2726" s="28">
        <f>IFERROR(E2726-Dashboard!$B$4/252,"")</f>
        <v/>
      </c>
      <c r="H2726" s="8">
        <f>IFERROR(IF(ISNUMBER(B2726),MAX(B2726,IFERROR(H2725,B2726)),""),"")</f>
        <v/>
      </c>
      <c r="I2726" s="29">
        <f>IFERROR(IF(AND(ISNUMBER(B2726),ISNUMBER(H2726)),B2726/H2726-1,""),"")</f>
        <v/>
      </c>
      <c r="J2726" s="8">
        <f>IFERROR(IF(ISNUMBER(C2726),MAX(C2726,IFERROR(J2725,C2726)),""),"")</f>
        <v/>
      </c>
      <c r="K2726" s="29">
        <f>IFERROR(IF(AND(ISNUMBER(C2726),ISNUMBER(J2726)),C2726/J2726-1,""),"")</f>
        <v/>
      </c>
      <c r="L2726" s="28">
        <f>IFERROR(IF(AND(ISNUMBER(D2726),ISNUMBER(E2726)),D2726-E2726,""),"")</f>
        <v/>
      </c>
    </row>
    <row r="2727">
      <c r="A2727" s="7">
        <f>IFERROR(Datos!A2727,"")</f>
        <v/>
      </c>
      <c r="B2727" s="8">
        <f>IFERROR(Datos!B2727,"")</f>
        <v/>
      </c>
      <c r="C2727" s="8">
        <f>IFERROR(Datos!C2727,"")</f>
        <v/>
      </c>
      <c r="D2727" s="28">
        <f>IFERROR(IF(AND(ISNUMBER(B2727),ISNUMBER(B2726),B2726&lt;&gt;0),B2727/B2726-1,""),"")</f>
        <v/>
      </c>
      <c r="E2727" s="28">
        <f>IFERROR(IF(AND(ISNUMBER(C2727),ISNUMBER(C2726),C2726&lt;&gt;0),C2727/C2726-1,""),"")</f>
        <v/>
      </c>
      <c r="F2727" s="28">
        <f>IFERROR(D2727-Dashboard!$B$4/252,"")</f>
        <v/>
      </c>
      <c r="G2727" s="28">
        <f>IFERROR(E2727-Dashboard!$B$4/252,"")</f>
        <v/>
      </c>
      <c r="H2727" s="8">
        <f>IFERROR(IF(ISNUMBER(B2727),MAX(B2727,IFERROR(H2726,B2727)),""),"")</f>
        <v/>
      </c>
      <c r="I2727" s="29">
        <f>IFERROR(IF(AND(ISNUMBER(B2727),ISNUMBER(H2727)),B2727/H2727-1,""),"")</f>
        <v/>
      </c>
      <c r="J2727" s="8">
        <f>IFERROR(IF(ISNUMBER(C2727),MAX(C2727,IFERROR(J2726,C2727)),""),"")</f>
        <v/>
      </c>
      <c r="K2727" s="29">
        <f>IFERROR(IF(AND(ISNUMBER(C2727),ISNUMBER(J2727)),C2727/J2727-1,""),"")</f>
        <v/>
      </c>
      <c r="L2727" s="28">
        <f>IFERROR(IF(AND(ISNUMBER(D2727),ISNUMBER(E2727)),D2727-E2727,""),"")</f>
        <v/>
      </c>
    </row>
    <row r="2728">
      <c r="A2728" s="7">
        <f>IFERROR(Datos!A2728,"")</f>
        <v/>
      </c>
      <c r="B2728" s="8">
        <f>IFERROR(Datos!B2728,"")</f>
        <v/>
      </c>
      <c r="C2728" s="8">
        <f>IFERROR(Datos!C2728,"")</f>
        <v/>
      </c>
      <c r="D2728" s="28">
        <f>IFERROR(IF(AND(ISNUMBER(B2728),ISNUMBER(B2727),B2727&lt;&gt;0),B2728/B2727-1,""),"")</f>
        <v/>
      </c>
      <c r="E2728" s="28">
        <f>IFERROR(IF(AND(ISNUMBER(C2728),ISNUMBER(C2727),C2727&lt;&gt;0),C2728/C2727-1,""),"")</f>
        <v/>
      </c>
      <c r="F2728" s="28">
        <f>IFERROR(D2728-Dashboard!$B$4/252,"")</f>
        <v/>
      </c>
      <c r="G2728" s="28">
        <f>IFERROR(E2728-Dashboard!$B$4/252,"")</f>
        <v/>
      </c>
      <c r="H2728" s="8">
        <f>IFERROR(IF(ISNUMBER(B2728),MAX(B2728,IFERROR(H2727,B2728)),""),"")</f>
        <v/>
      </c>
      <c r="I2728" s="29">
        <f>IFERROR(IF(AND(ISNUMBER(B2728),ISNUMBER(H2728)),B2728/H2728-1,""),"")</f>
        <v/>
      </c>
      <c r="J2728" s="8">
        <f>IFERROR(IF(ISNUMBER(C2728),MAX(C2728,IFERROR(J2727,C2728)),""),"")</f>
        <v/>
      </c>
      <c r="K2728" s="29">
        <f>IFERROR(IF(AND(ISNUMBER(C2728),ISNUMBER(J2728)),C2728/J2728-1,""),"")</f>
        <v/>
      </c>
      <c r="L2728" s="28">
        <f>IFERROR(IF(AND(ISNUMBER(D2728),ISNUMBER(E2728)),D2728-E2728,""),"")</f>
        <v/>
      </c>
    </row>
    <row r="2729">
      <c r="A2729" s="7">
        <f>IFERROR(Datos!A2729,"")</f>
        <v/>
      </c>
      <c r="B2729" s="8">
        <f>IFERROR(Datos!B2729,"")</f>
        <v/>
      </c>
      <c r="C2729" s="8">
        <f>IFERROR(Datos!C2729,"")</f>
        <v/>
      </c>
      <c r="D2729" s="28">
        <f>IFERROR(IF(AND(ISNUMBER(B2729),ISNUMBER(B2728),B2728&lt;&gt;0),B2729/B2728-1,""),"")</f>
        <v/>
      </c>
      <c r="E2729" s="28">
        <f>IFERROR(IF(AND(ISNUMBER(C2729),ISNUMBER(C2728),C2728&lt;&gt;0),C2729/C2728-1,""),"")</f>
        <v/>
      </c>
      <c r="F2729" s="28">
        <f>IFERROR(D2729-Dashboard!$B$4/252,"")</f>
        <v/>
      </c>
      <c r="G2729" s="28">
        <f>IFERROR(E2729-Dashboard!$B$4/252,"")</f>
        <v/>
      </c>
      <c r="H2729" s="8">
        <f>IFERROR(IF(ISNUMBER(B2729),MAX(B2729,IFERROR(H2728,B2729)),""),"")</f>
        <v/>
      </c>
      <c r="I2729" s="29">
        <f>IFERROR(IF(AND(ISNUMBER(B2729),ISNUMBER(H2729)),B2729/H2729-1,""),"")</f>
        <v/>
      </c>
      <c r="J2729" s="8">
        <f>IFERROR(IF(ISNUMBER(C2729),MAX(C2729,IFERROR(J2728,C2729)),""),"")</f>
        <v/>
      </c>
      <c r="K2729" s="29">
        <f>IFERROR(IF(AND(ISNUMBER(C2729),ISNUMBER(J2729)),C2729/J2729-1,""),"")</f>
        <v/>
      </c>
      <c r="L2729" s="28">
        <f>IFERROR(IF(AND(ISNUMBER(D2729),ISNUMBER(E2729)),D2729-E2729,""),"")</f>
        <v/>
      </c>
    </row>
    <row r="2730">
      <c r="A2730" s="7">
        <f>IFERROR(Datos!A2730,"")</f>
        <v/>
      </c>
      <c r="B2730" s="8">
        <f>IFERROR(Datos!B2730,"")</f>
        <v/>
      </c>
      <c r="C2730" s="8">
        <f>IFERROR(Datos!C2730,"")</f>
        <v/>
      </c>
      <c r="D2730" s="28">
        <f>IFERROR(IF(AND(ISNUMBER(B2730),ISNUMBER(B2729),B2729&lt;&gt;0),B2730/B2729-1,""),"")</f>
        <v/>
      </c>
      <c r="E2730" s="28">
        <f>IFERROR(IF(AND(ISNUMBER(C2730),ISNUMBER(C2729),C2729&lt;&gt;0),C2730/C2729-1,""),"")</f>
        <v/>
      </c>
      <c r="F2730" s="28">
        <f>IFERROR(D2730-Dashboard!$B$4/252,"")</f>
        <v/>
      </c>
      <c r="G2730" s="28">
        <f>IFERROR(E2730-Dashboard!$B$4/252,"")</f>
        <v/>
      </c>
      <c r="H2730" s="8">
        <f>IFERROR(IF(ISNUMBER(B2730),MAX(B2730,IFERROR(H2729,B2730)),""),"")</f>
        <v/>
      </c>
      <c r="I2730" s="29">
        <f>IFERROR(IF(AND(ISNUMBER(B2730),ISNUMBER(H2730)),B2730/H2730-1,""),"")</f>
        <v/>
      </c>
      <c r="J2730" s="8">
        <f>IFERROR(IF(ISNUMBER(C2730),MAX(C2730,IFERROR(J2729,C2730)),""),"")</f>
        <v/>
      </c>
      <c r="K2730" s="29">
        <f>IFERROR(IF(AND(ISNUMBER(C2730),ISNUMBER(J2730)),C2730/J2730-1,""),"")</f>
        <v/>
      </c>
      <c r="L2730" s="28">
        <f>IFERROR(IF(AND(ISNUMBER(D2730),ISNUMBER(E2730)),D2730-E2730,""),"")</f>
        <v/>
      </c>
    </row>
    <row r="2731">
      <c r="A2731" s="7">
        <f>IFERROR(Datos!A2731,"")</f>
        <v/>
      </c>
      <c r="B2731" s="8">
        <f>IFERROR(Datos!B2731,"")</f>
        <v/>
      </c>
      <c r="C2731" s="8">
        <f>IFERROR(Datos!C2731,"")</f>
        <v/>
      </c>
      <c r="D2731" s="28">
        <f>IFERROR(IF(AND(ISNUMBER(B2731),ISNUMBER(B2730),B2730&lt;&gt;0),B2731/B2730-1,""),"")</f>
        <v/>
      </c>
      <c r="E2731" s="28">
        <f>IFERROR(IF(AND(ISNUMBER(C2731),ISNUMBER(C2730),C2730&lt;&gt;0),C2731/C2730-1,""),"")</f>
        <v/>
      </c>
      <c r="F2731" s="28">
        <f>IFERROR(D2731-Dashboard!$B$4/252,"")</f>
        <v/>
      </c>
      <c r="G2731" s="28">
        <f>IFERROR(E2731-Dashboard!$B$4/252,"")</f>
        <v/>
      </c>
      <c r="H2731" s="8">
        <f>IFERROR(IF(ISNUMBER(B2731),MAX(B2731,IFERROR(H2730,B2731)),""),"")</f>
        <v/>
      </c>
      <c r="I2731" s="29">
        <f>IFERROR(IF(AND(ISNUMBER(B2731),ISNUMBER(H2731)),B2731/H2731-1,""),"")</f>
        <v/>
      </c>
      <c r="J2731" s="8">
        <f>IFERROR(IF(ISNUMBER(C2731),MAX(C2731,IFERROR(J2730,C2731)),""),"")</f>
        <v/>
      </c>
      <c r="K2731" s="29">
        <f>IFERROR(IF(AND(ISNUMBER(C2731),ISNUMBER(J2731)),C2731/J2731-1,""),"")</f>
        <v/>
      </c>
      <c r="L2731" s="28">
        <f>IFERROR(IF(AND(ISNUMBER(D2731),ISNUMBER(E2731)),D2731-E2731,""),"")</f>
        <v/>
      </c>
    </row>
    <row r="2732">
      <c r="A2732" s="7">
        <f>IFERROR(Datos!A2732,"")</f>
        <v/>
      </c>
      <c r="B2732" s="8">
        <f>IFERROR(Datos!B2732,"")</f>
        <v/>
      </c>
      <c r="C2732" s="8">
        <f>IFERROR(Datos!C2732,"")</f>
        <v/>
      </c>
      <c r="D2732" s="28">
        <f>IFERROR(IF(AND(ISNUMBER(B2732),ISNUMBER(B2731),B2731&lt;&gt;0),B2732/B2731-1,""),"")</f>
        <v/>
      </c>
      <c r="E2732" s="28">
        <f>IFERROR(IF(AND(ISNUMBER(C2732),ISNUMBER(C2731),C2731&lt;&gt;0),C2732/C2731-1,""),"")</f>
        <v/>
      </c>
      <c r="F2732" s="28">
        <f>IFERROR(D2732-Dashboard!$B$4/252,"")</f>
        <v/>
      </c>
      <c r="G2732" s="28">
        <f>IFERROR(E2732-Dashboard!$B$4/252,"")</f>
        <v/>
      </c>
      <c r="H2732" s="8">
        <f>IFERROR(IF(ISNUMBER(B2732),MAX(B2732,IFERROR(H2731,B2732)),""),"")</f>
        <v/>
      </c>
      <c r="I2732" s="29">
        <f>IFERROR(IF(AND(ISNUMBER(B2732),ISNUMBER(H2732)),B2732/H2732-1,""),"")</f>
        <v/>
      </c>
      <c r="J2732" s="8">
        <f>IFERROR(IF(ISNUMBER(C2732),MAX(C2732,IFERROR(J2731,C2732)),""),"")</f>
        <v/>
      </c>
      <c r="K2732" s="29">
        <f>IFERROR(IF(AND(ISNUMBER(C2732),ISNUMBER(J2732)),C2732/J2732-1,""),"")</f>
        <v/>
      </c>
      <c r="L2732" s="28">
        <f>IFERROR(IF(AND(ISNUMBER(D2732),ISNUMBER(E2732)),D2732-E2732,""),"")</f>
        <v/>
      </c>
    </row>
    <row r="2733">
      <c r="A2733" s="7">
        <f>IFERROR(Datos!A2733,"")</f>
        <v/>
      </c>
      <c r="B2733" s="8">
        <f>IFERROR(Datos!B2733,"")</f>
        <v/>
      </c>
      <c r="C2733" s="8">
        <f>IFERROR(Datos!C2733,"")</f>
        <v/>
      </c>
      <c r="D2733" s="28">
        <f>IFERROR(IF(AND(ISNUMBER(B2733),ISNUMBER(B2732),B2732&lt;&gt;0),B2733/B2732-1,""),"")</f>
        <v/>
      </c>
      <c r="E2733" s="28">
        <f>IFERROR(IF(AND(ISNUMBER(C2733),ISNUMBER(C2732),C2732&lt;&gt;0),C2733/C2732-1,""),"")</f>
        <v/>
      </c>
      <c r="F2733" s="28">
        <f>IFERROR(D2733-Dashboard!$B$4/252,"")</f>
        <v/>
      </c>
      <c r="G2733" s="28">
        <f>IFERROR(E2733-Dashboard!$B$4/252,"")</f>
        <v/>
      </c>
      <c r="H2733" s="8">
        <f>IFERROR(IF(ISNUMBER(B2733),MAX(B2733,IFERROR(H2732,B2733)),""),"")</f>
        <v/>
      </c>
      <c r="I2733" s="29">
        <f>IFERROR(IF(AND(ISNUMBER(B2733),ISNUMBER(H2733)),B2733/H2733-1,""),"")</f>
        <v/>
      </c>
      <c r="J2733" s="8">
        <f>IFERROR(IF(ISNUMBER(C2733),MAX(C2733,IFERROR(J2732,C2733)),""),"")</f>
        <v/>
      </c>
      <c r="K2733" s="29">
        <f>IFERROR(IF(AND(ISNUMBER(C2733),ISNUMBER(J2733)),C2733/J2733-1,""),"")</f>
        <v/>
      </c>
      <c r="L2733" s="28">
        <f>IFERROR(IF(AND(ISNUMBER(D2733),ISNUMBER(E2733)),D2733-E2733,""),"")</f>
        <v/>
      </c>
    </row>
    <row r="2734">
      <c r="A2734" s="7">
        <f>IFERROR(Datos!A2734,"")</f>
        <v/>
      </c>
      <c r="B2734" s="8">
        <f>IFERROR(Datos!B2734,"")</f>
        <v/>
      </c>
      <c r="C2734" s="8">
        <f>IFERROR(Datos!C2734,"")</f>
        <v/>
      </c>
      <c r="D2734" s="28">
        <f>IFERROR(IF(AND(ISNUMBER(B2734),ISNUMBER(B2733),B2733&lt;&gt;0),B2734/B2733-1,""),"")</f>
        <v/>
      </c>
      <c r="E2734" s="28">
        <f>IFERROR(IF(AND(ISNUMBER(C2734),ISNUMBER(C2733),C2733&lt;&gt;0),C2734/C2733-1,""),"")</f>
        <v/>
      </c>
      <c r="F2734" s="28">
        <f>IFERROR(D2734-Dashboard!$B$4/252,"")</f>
        <v/>
      </c>
      <c r="G2734" s="28">
        <f>IFERROR(E2734-Dashboard!$B$4/252,"")</f>
        <v/>
      </c>
      <c r="H2734" s="8">
        <f>IFERROR(IF(ISNUMBER(B2734),MAX(B2734,IFERROR(H2733,B2734)),""),"")</f>
        <v/>
      </c>
      <c r="I2734" s="29">
        <f>IFERROR(IF(AND(ISNUMBER(B2734),ISNUMBER(H2734)),B2734/H2734-1,""),"")</f>
        <v/>
      </c>
      <c r="J2734" s="8">
        <f>IFERROR(IF(ISNUMBER(C2734),MAX(C2734,IFERROR(J2733,C2734)),""),"")</f>
        <v/>
      </c>
      <c r="K2734" s="29">
        <f>IFERROR(IF(AND(ISNUMBER(C2734),ISNUMBER(J2734)),C2734/J2734-1,""),"")</f>
        <v/>
      </c>
      <c r="L2734" s="28">
        <f>IFERROR(IF(AND(ISNUMBER(D2734),ISNUMBER(E2734)),D2734-E2734,""),"")</f>
        <v/>
      </c>
    </row>
    <row r="2735">
      <c r="A2735" s="7">
        <f>IFERROR(Datos!A2735,"")</f>
        <v/>
      </c>
      <c r="B2735" s="8">
        <f>IFERROR(Datos!B2735,"")</f>
        <v/>
      </c>
      <c r="C2735" s="8">
        <f>IFERROR(Datos!C2735,"")</f>
        <v/>
      </c>
      <c r="D2735" s="28">
        <f>IFERROR(IF(AND(ISNUMBER(B2735),ISNUMBER(B2734),B2734&lt;&gt;0),B2735/B2734-1,""),"")</f>
        <v/>
      </c>
      <c r="E2735" s="28">
        <f>IFERROR(IF(AND(ISNUMBER(C2735),ISNUMBER(C2734),C2734&lt;&gt;0),C2735/C2734-1,""),"")</f>
        <v/>
      </c>
      <c r="F2735" s="28">
        <f>IFERROR(D2735-Dashboard!$B$4/252,"")</f>
        <v/>
      </c>
      <c r="G2735" s="28">
        <f>IFERROR(E2735-Dashboard!$B$4/252,"")</f>
        <v/>
      </c>
      <c r="H2735" s="8">
        <f>IFERROR(IF(ISNUMBER(B2735),MAX(B2735,IFERROR(H2734,B2735)),""),"")</f>
        <v/>
      </c>
      <c r="I2735" s="29">
        <f>IFERROR(IF(AND(ISNUMBER(B2735),ISNUMBER(H2735)),B2735/H2735-1,""),"")</f>
        <v/>
      </c>
      <c r="J2735" s="8">
        <f>IFERROR(IF(ISNUMBER(C2735),MAX(C2735,IFERROR(J2734,C2735)),""),"")</f>
        <v/>
      </c>
      <c r="K2735" s="29">
        <f>IFERROR(IF(AND(ISNUMBER(C2735),ISNUMBER(J2735)),C2735/J2735-1,""),"")</f>
        <v/>
      </c>
      <c r="L2735" s="28">
        <f>IFERROR(IF(AND(ISNUMBER(D2735),ISNUMBER(E2735)),D2735-E2735,""),"")</f>
        <v/>
      </c>
    </row>
    <row r="2736">
      <c r="A2736" s="7">
        <f>IFERROR(Datos!A2736,"")</f>
        <v/>
      </c>
      <c r="B2736" s="8">
        <f>IFERROR(Datos!B2736,"")</f>
        <v/>
      </c>
      <c r="C2736" s="8">
        <f>IFERROR(Datos!C2736,"")</f>
        <v/>
      </c>
      <c r="D2736" s="28">
        <f>IFERROR(IF(AND(ISNUMBER(B2736),ISNUMBER(B2735),B2735&lt;&gt;0),B2736/B2735-1,""),"")</f>
        <v/>
      </c>
      <c r="E2736" s="28">
        <f>IFERROR(IF(AND(ISNUMBER(C2736),ISNUMBER(C2735),C2735&lt;&gt;0),C2736/C2735-1,""),"")</f>
        <v/>
      </c>
      <c r="F2736" s="28">
        <f>IFERROR(D2736-Dashboard!$B$4/252,"")</f>
        <v/>
      </c>
      <c r="G2736" s="28">
        <f>IFERROR(E2736-Dashboard!$B$4/252,"")</f>
        <v/>
      </c>
      <c r="H2736" s="8">
        <f>IFERROR(IF(ISNUMBER(B2736),MAX(B2736,IFERROR(H2735,B2736)),""),"")</f>
        <v/>
      </c>
      <c r="I2736" s="29">
        <f>IFERROR(IF(AND(ISNUMBER(B2736),ISNUMBER(H2736)),B2736/H2736-1,""),"")</f>
        <v/>
      </c>
      <c r="J2736" s="8">
        <f>IFERROR(IF(ISNUMBER(C2736),MAX(C2736,IFERROR(J2735,C2736)),""),"")</f>
        <v/>
      </c>
      <c r="K2736" s="29">
        <f>IFERROR(IF(AND(ISNUMBER(C2736),ISNUMBER(J2736)),C2736/J2736-1,""),"")</f>
        <v/>
      </c>
      <c r="L2736" s="28">
        <f>IFERROR(IF(AND(ISNUMBER(D2736),ISNUMBER(E2736)),D2736-E2736,""),"")</f>
        <v/>
      </c>
    </row>
    <row r="2737">
      <c r="A2737" s="7">
        <f>IFERROR(Datos!A2737,"")</f>
        <v/>
      </c>
      <c r="B2737" s="8">
        <f>IFERROR(Datos!B2737,"")</f>
        <v/>
      </c>
      <c r="C2737" s="8">
        <f>IFERROR(Datos!C2737,"")</f>
        <v/>
      </c>
      <c r="D2737" s="28">
        <f>IFERROR(IF(AND(ISNUMBER(B2737),ISNUMBER(B2736),B2736&lt;&gt;0),B2737/B2736-1,""),"")</f>
        <v/>
      </c>
      <c r="E2737" s="28">
        <f>IFERROR(IF(AND(ISNUMBER(C2737),ISNUMBER(C2736),C2736&lt;&gt;0),C2737/C2736-1,""),"")</f>
        <v/>
      </c>
      <c r="F2737" s="28">
        <f>IFERROR(D2737-Dashboard!$B$4/252,"")</f>
        <v/>
      </c>
      <c r="G2737" s="28">
        <f>IFERROR(E2737-Dashboard!$B$4/252,"")</f>
        <v/>
      </c>
      <c r="H2737" s="8">
        <f>IFERROR(IF(ISNUMBER(B2737),MAX(B2737,IFERROR(H2736,B2737)),""),"")</f>
        <v/>
      </c>
      <c r="I2737" s="29">
        <f>IFERROR(IF(AND(ISNUMBER(B2737),ISNUMBER(H2737)),B2737/H2737-1,""),"")</f>
        <v/>
      </c>
      <c r="J2737" s="8">
        <f>IFERROR(IF(ISNUMBER(C2737),MAX(C2737,IFERROR(J2736,C2737)),""),"")</f>
        <v/>
      </c>
      <c r="K2737" s="29">
        <f>IFERROR(IF(AND(ISNUMBER(C2737),ISNUMBER(J2737)),C2737/J2737-1,""),"")</f>
        <v/>
      </c>
      <c r="L2737" s="28">
        <f>IFERROR(IF(AND(ISNUMBER(D2737),ISNUMBER(E2737)),D2737-E2737,""),"")</f>
        <v/>
      </c>
    </row>
    <row r="2738">
      <c r="A2738" s="7">
        <f>IFERROR(Datos!A2738,"")</f>
        <v/>
      </c>
      <c r="B2738" s="8">
        <f>IFERROR(Datos!B2738,"")</f>
        <v/>
      </c>
      <c r="C2738" s="8">
        <f>IFERROR(Datos!C2738,"")</f>
        <v/>
      </c>
      <c r="D2738" s="28">
        <f>IFERROR(IF(AND(ISNUMBER(B2738),ISNUMBER(B2737),B2737&lt;&gt;0),B2738/B2737-1,""),"")</f>
        <v/>
      </c>
      <c r="E2738" s="28">
        <f>IFERROR(IF(AND(ISNUMBER(C2738),ISNUMBER(C2737),C2737&lt;&gt;0),C2738/C2737-1,""),"")</f>
        <v/>
      </c>
      <c r="F2738" s="28">
        <f>IFERROR(D2738-Dashboard!$B$4/252,"")</f>
        <v/>
      </c>
      <c r="G2738" s="28">
        <f>IFERROR(E2738-Dashboard!$B$4/252,"")</f>
        <v/>
      </c>
      <c r="H2738" s="8">
        <f>IFERROR(IF(ISNUMBER(B2738),MAX(B2738,IFERROR(H2737,B2738)),""),"")</f>
        <v/>
      </c>
      <c r="I2738" s="29">
        <f>IFERROR(IF(AND(ISNUMBER(B2738),ISNUMBER(H2738)),B2738/H2738-1,""),"")</f>
        <v/>
      </c>
      <c r="J2738" s="8">
        <f>IFERROR(IF(ISNUMBER(C2738),MAX(C2738,IFERROR(J2737,C2738)),""),"")</f>
        <v/>
      </c>
      <c r="K2738" s="29">
        <f>IFERROR(IF(AND(ISNUMBER(C2738),ISNUMBER(J2738)),C2738/J2738-1,""),"")</f>
        <v/>
      </c>
      <c r="L2738" s="28">
        <f>IFERROR(IF(AND(ISNUMBER(D2738),ISNUMBER(E2738)),D2738-E2738,""),"")</f>
        <v/>
      </c>
    </row>
    <row r="2739">
      <c r="A2739" s="7">
        <f>IFERROR(Datos!A2739,"")</f>
        <v/>
      </c>
      <c r="B2739" s="8">
        <f>IFERROR(Datos!B2739,"")</f>
        <v/>
      </c>
      <c r="C2739" s="8">
        <f>IFERROR(Datos!C2739,"")</f>
        <v/>
      </c>
      <c r="D2739" s="28">
        <f>IFERROR(IF(AND(ISNUMBER(B2739),ISNUMBER(B2738),B2738&lt;&gt;0),B2739/B2738-1,""),"")</f>
        <v/>
      </c>
      <c r="E2739" s="28">
        <f>IFERROR(IF(AND(ISNUMBER(C2739),ISNUMBER(C2738),C2738&lt;&gt;0),C2739/C2738-1,""),"")</f>
        <v/>
      </c>
      <c r="F2739" s="28">
        <f>IFERROR(D2739-Dashboard!$B$4/252,"")</f>
        <v/>
      </c>
      <c r="G2739" s="28">
        <f>IFERROR(E2739-Dashboard!$B$4/252,"")</f>
        <v/>
      </c>
      <c r="H2739" s="8">
        <f>IFERROR(IF(ISNUMBER(B2739),MAX(B2739,IFERROR(H2738,B2739)),""),"")</f>
        <v/>
      </c>
      <c r="I2739" s="29">
        <f>IFERROR(IF(AND(ISNUMBER(B2739),ISNUMBER(H2739)),B2739/H2739-1,""),"")</f>
        <v/>
      </c>
      <c r="J2739" s="8">
        <f>IFERROR(IF(ISNUMBER(C2739),MAX(C2739,IFERROR(J2738,C2739)),""),"")</f>
        <v/>
      </c>
      <c r="K2739" s="29">
        <f>IFERROR(IF(AND(ISNUMBER(C2739),ISNUMBER(J2739)),C2739/J2739-1,""),"")</f>
        <v/>
      </c>
      <c r="L2739" s="28">
        <f>IFERROR(IF(AND(ISNUMBER(D2739),ISNUMBER(E2739)),D2739-E2739,""),"")</f>
        <v/>
      </c>
    </row>
    <row r="2740">
      <c r="A2740" s="7">
        <f>IFERROR(Datos!A2740,"")</f>
        <v/>
      </c>
      <c r="B2740" s="8">
        <f>IFERROR(Datos!B2740,"")</f>
        <v/>
      </c>
      <c r="C2740" s="8">
        <f>IFERROR(Datos!C2740,"")</f>
        <v/>
      </c>
      <c r="D2740" s="28">
        <f>IFERROR(IF(AND(ISNUMBER(B2740),ISNUMBER(B2739),B2739&lt;&gt;0),B2740/B2739-1,""),"")</f>
        <v/>
      </c>
      <c r="E2740" s="28">
        <f>IFERROR(IF(AND(ISNUMBER(C2740),ISNUMBER(C2739),C2739&lt;&gt;0),C2740/C2739-1,""),"")</f>
        <v/>
      </c>
      <c r="F2740" s="28">
        <f>IFERROR(D2740-Dashboard!$B$4/252,"")</f>
        <v/>
      </c>
      <c r="G2740" s="28">
        <f>IFERROR(E2740-Dashboard!$B$4/252,"")</f>
        <v/>
      </c>
      <c r="H2740" s="8">
        <f>IFERROR(IF(ISNUMBER(B2740),MAX(B2740,IFERROR(H2739,B2740)),""),"")</f>
        <v/>
      </c>
      <c r="I2740" s="29">
        <f>IFERROR(IF(AND(ISNUMBER(B2740),ISNUMBER(H2740)),B2740/H2740-1,""),"")</f>
        <v/>
      </c>
      <c r="J2740" s="8">
        <f>IFERROR(IF(ISNUMBER(C2740),MAX(C2740,IFERROR(J2739,C2740)),""),"")</f>
        <v/>
      </c>
      <c r="K2740" s="29">
        <f>IFERROR(IF(AND(ISNUMBER(C2740),ISNUMBER(J2740)),C2740/J2740-1,""),"")</f>
        <v/>
      </c>
      <c r="L2740" s="28">
        <f>IFERROR(IF(AND(ISNUMBER(D2740),ISNUMBER(E2740)),D2740-E2740,""),"")</f>
        <v/>
      </c>
    </row>
    <row r="2741">
      <c r="A2741" s="7">
        <f>IFERROR(Datos!A2741,"")</f>
        <v/>
      </c>
      <c r="B2741" s="8">
        <f>IFERROR(Datos!B2741,"")</f>
        <v/>
      </c>
      <c r="C2741" s="8">
        <f>IFERROR(Datos!C2741,"")</f>
        <v/>
      </c>
      <c r="D2741" s="28">
        <f>IFERROR(IF(AND(ISNUMBER(B2741),ISNUMBER(B2740),B2740&lt;&gt;0),B2741/B2740-1,""),"")</f>
        <v/>
      </c>
      <c r="E2741" s="28">
        <f>IFERROR(IF(AND(ISNUMBER(C2741),ISNUMBER(C2740),C2740&lt;&gt;0),C2741/C2740-1,""),"")</f>
        <v/>
      </c>
      <c r="F2741" s="28">
        <f>IFERROR(D2741-Dashboard!$B$4/252,"")</f>
        <v/>
      </c>
      <c r="G2741" s="28">
        <f>IFERROR(E2741-Dashboard!$B$4/252,"")</f>
        <v/>
      </c>
      <c r="H2741" s="8">
        <f>IFERROR(IF(ISNUMBER(B2741),MAX(B2741,IFERROR(H2740,B2741)),""),"")</f>
        <v/>
      </c>
      <c r="I2741" s="29">
        <f>IFERROR(IF(AND(ISNUMBER(B2741),ISNUMBER(H2741)),B2741/H2741-1,""),"")</f>
        <v/>
      </c>
      <c r="J2741" s="8">
        <f>IFERROR(IF(ISNUMBER(C2741),MAX(C2741,IFERROR(J2740,C2741)),""),"")</f>
        <v/>
      </c>
      <c r="K2741" s="29">
        <f>IFERROR(IF(AND(ISNUMBER(C2741),ISNUMBER(J2741)),C2741/J2741-1,""),"")</f>
        <v/>
      </c>
      <c r="L2741" s="28">
        <f>IFERROR(IF(AND(ISNUMBER(D2741),ISNUMBER(E2741)),D2741-E2741,""),"")</f>
        <v/>
      </c>
    </row>
    <row r="2742">
      <c r="A2742" s="7">
        <f>IFERROR(Datos!A2742,"")</f>
        <v/>
      </c>
      <c r="B2742" s="8">
        <f>IFERROR(Datos!B2742,"")</f>
        <v/>
      </c>
      <c r="C2742" s="8">
        <f>IFERROR(Datos!C2742,"")</f>
        <v/>
      </c>
      <c r="D2742" s="28">
        <f>IFERROR(IF(AND(ISNUMBER(B2742),ISNUMBER(B2741),B2741&lt;&gt;0),B2742/B2741-1,""),"")</f>
        <v/>
      </c>
      <c r="E2742" s="28">
        <f>IFERROR(IF(AND(ISNUMBER(C2742),ISNUMBER(C2741),C2741&lt;&gt;0),C2742/C2741-1,""),"")</f>
        <v/>
      </c>
      <c r="F2742" s="28">
        <f>IFERROR(D2742-Dashboard!$B$4/252,"")</f>
        <v/>
      </c>
      <c r="G2742" s="28">
        <f>IFERROR(E2742-Dashboard!$B$4/252,"")</f>
        <v/>
      </c>
      <c r="H2742" s="8">
        <f>IFERROR(IF(ISNUMBER(B2742),MAX(B2742,IFERROR(H2741,B2742)),""),"")</f>
        <v/>
      </c>
      <c r="I2742" s="29">
        <f>IFERROR(IF(AND(ISNUMBER(B2742),ISNUMBER(H2742)),B2742/H2742-1,""),"")</f>
        <v/>
      </c>
      <c r="J2742" s="8">
        <f>IFERROR(IF(ISNUMBER(C2742),MAX(C2742,IFERROR(J2741,C2742)),""),"")</f>
        <v/>
      </c>
      <c r="K2742" s="29">
        <f>IFERROR(IF(AND(ISNUMBER(C2742),ISNUMBER(J2742)),C2742/J2742-1,""),"")</f>
        <v/>
      </c>
      <c r="L2742" s="28">
        <f>IFERROR(IF(AND(ISNUMBER(D2742),ISNUMBER(E2742)),D2742-E2742,""),"")</f>
        <v/>
      </c>
    </row>
    <row r="2743">
      <c r="A2743" s="7">
        <f>IFERROR(Datos!A2743,"")</f>
        <v/>
      </c>
      <c r="B2743" s="8">
        <f>IFERROR(Datos!B2743,"")</f>
        <v/>
      </c>
      <c r="C2743" s="8">
        <f>IFERROR(Datos!C2743,"")</f>
        <v/>
      </c>
      <c r="D2743" s="28">
        <f>IFERROR(IF(AND(ISNUMBER(B2743),ISNUMBER(B2742),B2742&lt;&gt;0),B2743/B2742-1,""),"")</f>
        <v/>
      </c>
      <c r="E2743" s="28">
        <f>IFERROR(IF(AND(ISNUMBER(C2743),ISNUMBER(C2742),C2742&lt;&gt;0),C2743/C2742-1,""),"")</f>
        <v/>
      </c>
      <c r="F2743" s="28">
        <f>IFERROR(D2743-Dashboard!$B$4/252,"")</f>
        <v/>
      </c>
      <c r="G2743" s="28">
        <f>IFERROR(E2743-Dashboard!$B$4/252,"")</f>
        <v/>
      </c>
      <c r="H2743" s="8">
        <f>IFERROR(IF(ISNUMBER(B2743),MAX(B2743,IFERROR(H2742,B2743)),""),"")</f>
        <v/>
      </c>
      <c r="I2743" s="29">
        <f>IFERROR(IF(AND(ISNUMBER(B2743),ISNUMBER(H2743)),B2743/H2743-1,""),"")</f>
        <v/>
      </c>
      <c r="J2743" s="8">
        <f>IFERROR(IF(ISNUMBER(C2743),MAX(C2743,IFERROR(J2742,C2743)),""),"")</f>
        <v/>
      </c>
      <c r="K2743" s="29">
        <f>IFERROR(IF(AND(ISNUMBER(C2743),ISNUMBER(J2743)),C2743/J2743-1,""),"")</f>
        <v/>
      </c>
      <c r="L2743" s="28">
        <f>IFERROR(IF(AND(ISNUMBER(D2743),ISNUMBER(E2743)),D2743-E2743,""),"")</f>
        <v/>
      </c>
    </row>
    <row r="2744">
      <c r="A2744" s="7">
        <f>IFERROR(Datos!A2744,"")</f>
        <v/>
      </c>
      <c r="B2744" s="8">
        <f>IFERROR(Datos!B2744,"")</f>
        <v/>
      </c>
      <c r="C2744" s="8">
        <f>IFERROR(Datos!C2744,"")</f>
        <v/>
      </c>
      <c r="D2744" s="28">
        <f>IFERROR(IF(AND(ISNUMBER(B2744),ISNUMBER(B2743),B2743&lt;&gt;0),B2744/B2743-1,""),"")</f>
        <v/>
      </c>
      <c r="E2744" s="28">
        <f>IFERROR(IF(AND(ISNUMBER(C2744),ISNUMBER(C2743),C2743&lt;&gt;0),C2744/C2743-1,""),"")</f>
        <v/>
      </c>
      <c r="F2744" s="28">
        <f>IFERROR(D2744-Dashboard!$B$4/252,"")</f>
        <v/>
      </c>
      <c r="G2744" s="28">
        <f>IFERROR(E2744-Dashboard!$B$4/252,"")</f>
        <v/>
      </c>
      <c r="H2744" s="8">
        <f>IFERROR(IF(ISNUMBER(B2744),MAX(B2744,IFERROR(H2743,B2744)),""),"")</f>
        <v/>
      </c>
      <c r="I2744" s="29">
        <f>IFERROR(IF(AND(ISNUMBER(B2744),ISNUMBER(H2744)),B2744/H2744-1,""),"")</f>
        <v/>
      </c>
      <c r="J2744" s="8">
        <f>IFERROR(IF(ISNUMBER(C2744),MAX(C2744,IFERROR(J2743,C2744)),""),"")</f>
        <v/>
      </c>
      <c r="K2744" s="29">
        <f>IFERROR(IF(AND(ISNUMBER(C2744),ISNUMBER(J2744)),C2744/J2744-1,""),"")</f>
        <v/>
      </c>
      <c r="L2744" s="28">
        <f>IFERROR(IF(AND(ISNUMBER(D2744),ISNUMBER(E2744)),D2744-E2744,""),"")</f>
        <v/>
      </c>
    </row>
    <row r="2745">
      <c r="A2745" s="7">
        <f>IFERROR(Datos!A2745,"")</f>
        <v/>
      </c>
      <c r="B2745" s="8">
        <f>IFERROR(Datos!B2745,"")</f>
        <v/>
      </c>
      <c r="C2745" s="8">
        <f>IFERROR(Datos!C2745,"")</f>
        <v/>
      </c>
      <c r="D2745" s="28">
        <f>IFERROR(IF(AND(ISNUMBER(B2745),ISNUMBER(B2744),B2744&lt;&gt;0),B2745/B2744-1,""),"")</f>
        <v/>
      </c>
      <c r="E2745" s="28">
        <f>IFERROR(IF(AND(ISNUMBER(C2745),ISNUMBER(C2744),C2744&lt;&gt;0),C2745/C2744-1,""),"")</f>
        <v/>
      </c>
      <c r="F2745" s="28">
        <f>IFERROR(D2745-Dashboard!$B$4/252,"")</f>
        <v/>
      </c>
      <c r="G2745" s="28">
        <f>IFERROR(E2745-Dashboard!$B$4/252,"")</f>
        <v/>
      </c>
      <c r="H2745" s="8">
        <f>IFERROR(IF(ISNUMBER(B2745),MAX(B2745,IFERROR(H2744,B2745)),""),"")</f>
        <v/>
      </c>
      <c r="I2745" s="29">
        <f>IFERROR(IF(AND(ISNUMBER(B2745),ISNUMBER(H2745)),B2745/H2745-1,""),"")</f>
        <v/>
      </c>
      <c r="J2745" s="8">
        <f>IFERROR(IF(ISNUMBER(C2745),MAX(C2745,IFERROR(J2744,C2745)),""),"")</f>
        <v/>
      </c>
      <c r="K2745" s="29">
        <f>IFERROR(IF(AND(ISNUMBER(C2745),ISNUMBER(J2745)),C2745/J2745-1,""),"")</f>
        <v/>
      </c>
      <c r="L2745" s="28">
        <f>IFERROR(IF(AND(ISNUMBER(D2745),ISNUMBER(E2745)),D2745-E2745,""),"")</f>
        <v/>
      </c>
    </row>
    <row r="2746">
      <c r="A2746" s="7">
        <f>IFERROR(Datos!A2746,"")</f>
        <v/>
      </c>
      <c r="B2746" s="8">
        <f>IFERROR(Datos!B2746,"")</f>
        <v/>
      </c>
      <c r="C2746" s="8">
        <f>IFERROR(Datos!C2746,"")</f>
        <v/>
      </c>
      <c r="D2746" s="28">
        <f>IFERROR(IF(AND(ISNUMBER(B2746),ISNUMBER(B2745),B2745&lt;&gt;0),B2746/B2745-1,""),"")</f>
        <v/>
      </c>
      <c r="E2746" s="28">
        <f>IFERROR(IF(AND(ISNUMBER(C2746),ISNUMBER(C2745),C2745&lt;&gt;0),C2746/C2745-1,""),"")</f>
        <v/>
      </c>
      <c r="F2746" s="28">
        <f>IFERROR(D2746-Dashboard!$B$4/252,"")</f>
        <v/>
      </c>
      <c r="G2746" s="28">
        <f>IFERROR(E2746-Dashboard!$B$4/252,"")</f>
        <v/>
      </c>
      <c r="H2746" s="8">
        <f>IFERROR(IF(ISNUMBER(B2746),MAX(B2746,IFERROR(H2745,B2746)),""),"")</f>
        <v/>
      </c>
      <c r="I2746" s="29">
        <f>IFERROR(IF(AND(ISNUMBER(B2746),ISNUMBER(H2746)),B2746/H2746-1,""),"")</f>
        <v/>
      </c>
      <c r="J2746" s="8">
        <f>IFERROR(IF(ISNUMBER(C2746),MAX(C2746,IFERROR(J2745,C2746)),""),"")</f>
        <v/>
      </c>
      <c r="K2746" s="29">
        <f>IFERROR(IF(AND(ISNUMBER(C2746),ISNUMBER(J2746)),C2746/J2746-1,""),"")</f>
        <v/>
      </c>
      <c r="L2746" s="28">
        <f>IFERROR(IF(AND(ISNUMBER(D2746),ISNUMBER(E2746)),D2746-E2746,""),"")</f>
        <v/>
      </c>
    </row>
    <row r="2747">
      <c r="A2747" s="7">
        <f>IFERROR(Datos!A2747,"")</f>
        <v/>
      </c>
      <c r="B2747" s="8">
        <f>IFERROR(Datos!B2747,"")</f>
        <v/>
      </c>
      <c r="C2747" s="8">
        <f>IFERROR(Datos!C2747,"")</f>
        <v/>
      </c>
      <c r="D2747" s="28">
        <f>IFERROR(IF(AND(ISNUMBER(B2747),ISNUMBER(B2746),B2746&lt;&gt;0),B2747/B2746-1,""),"")</f>
        <v/>
      </c>
      <c r="E2747" s="28">
        <f>IFERROR(IF(AND(ISNUMBER(C2747),ISNUMBER(C2746),C2746&lt;&gt;0),C2747/C2746-1,""),"")</f>
        <v/>
      </c>
      <c r="F2747" s="28">
        <f>IFERROR(D2747-Dashboard!$B$4/252,"")</f>
        <v/>
      </c>
      <c r="G2747" s="28">
        <f>IFERROR(E2747-Dashboard!$B$4/252,"")</f>
        <v/>
      </c>
      <c r="H2747" s="8">
        <f>IFERROR(IF(ISNUMBER(B2747),MAX(B2747,IFERROR(H2746,B2747)),""),"")</f>
        <v/>
      </c>
      <c r="I2747" s="29">
        <f>IFERROR(IF(AND(ISNUMBER(B2747),ISNUMBER(H2747)),B2747/H2747-1,""),"")</f>
        <v/>
      </c>
      <c r="J2747" s="8">
        <f>IFERROR(IF(ISNUMBER(C2747),MAX(C2747,IFERROR(J2746,C2747)),""),"")</f>
        <v/>
      </c>
      <c r="K2747" s="29">
        <f>IFERROR(IF(AND(ISNUMBER(C2747),ISNUMBER(J2747)),C2747/J2747-1,""),"")</f>
        <v/>
      </c>
      <c r="L2747" s="28">
        <f>IFERROR(IF(AND(ISNUMBER(D2747),ISNUMBER(E2747)),D2747-E2747,""),"")</f>
        <v/>
      </c>
    </row>
    <row r="2748">
      <c r="A2748" s="7">
        <f>IFERROR(Datos!A2748,"")</f>
        <v/>
      </c>
      <c r="B2748" s="8">
        <f>IFERROR(Datos!B2748,"")</f>
        <v/>
      </c>
      <c r="C2748" s="8">
        <f>IFERROR(Datos!C2748,"")</f>
        <v/>
      </c>
      <c r="D2748" s="28">
        <f>IFERROR(IF(AND(ISNUMBER(B2748),ISNUMBER(B2747),B2747&lt;&gt;0),B2748/B2747-1,""),"")</f>
        <v/>
      </c>
      <c r="E2748" s="28">
        <f>IFERROR(IF(AND(ISNUMBER(C2748),ISNUMBER(C2747),C2747&lt;&gt;0),C2748/C2747-1,""),"")</f>
        <v/>
      </c>
      <c r="F2748" s="28">
        <f>IFERROR(D2748-Dashboard!$B$4/252,"")</f>
        <v/>
      </c>
      <c r="G2748" s="28">
        <f>IFERROR(E2748-Dashboard!$B$4/252,"")</f>
        <v/>
      </c>
      <c r="H2748" s="8">
        <f>IFERROR(IF(ISNUMBER(B2748),MAX(B2748,IFERROR(H2747,B2748)),""),"")</f>
        <v/>
      </c>
      <c r="I2748" s="29">
        <f>IFERROR(IF(AND(ISNUMBER(B2748),ISNUMBER(H2748)),B2748/H2748-1,""),"")</f>
        <v/>
      </c>
      <c r="J2748" s="8">
        <f>IFERROR(IF(ISNUMBER(C2748),MAX(C2748,IFERROR(J2747,C2748)),""),"")</f>
        <v/>
      </c>
      <c r="K2748" s="29">
        <f>IFERROR(IF(AND(ISNUMBER(C2748),ISNUMBER(J2748)),C2748/J2748-1,""),"")</f>
        <v/>
      </c>
      <c r="L2748" s="28">
        <f>IFERROR(IF(AND(ISNUMBER(D2748),ISNUMBER(E2748)),D2748-E2748,""),"")</f>
        <v/>
      </c>
    </row>
    <row r="2749">
      <c r="A2749" s="7">
        <f>IFERROR(Datos!A2749,"")</f>
        <v/>
      </c>
      <c r="B2749" s="8">
        <f>IFERROR(Datos!B2749,"")</f>
        <v/>
      </c>
      <c r="C2749" s="8">
        <f>IFERROR(Datos!C2749,"")</f>
        <v/>
      </c>
      <c r="D2749" s="28">
        <f>IFERROR(IF(AND(ISNUMBER(B2749),ISNUMBER(B2748),B2748&lt;&gt;0),B2749/B2748-1,""),"")</f>
        <v/>
      </c>
      <c r="E2749" s="28">
        <f>IFERROR(IF(AND(ISNUMBER(C2749),ISNUMBER(C2748),C2748&lt;&gt;0),C2749/C2748-1,""),"")</f>
        <v/>
      </c>
      <c r="F2749" s="28">
        <f>IFERROR(D2749-Dashboard!$B$4/252,"")</f>
        <v/>
      </c>
      <c r="G2749" s="28">
        <f>IFERROR(E2749-Dashboard!$B$4/252,"")</f>
        <v/>
      </c>
      <c r="H2749" s="8">
        <f>IFERROR(IF(ISNUMBER(B2749),MAX(B2749,IFERROR(H2748,B2749)),""),"")</f>
        <v/>
      </c>
      <c r="I2749" s="29">
        <f>IFERROR(IF(AND(ISNUMBER(B2749),ISNUMBER(H2749)),B2749/H2749-1,""),"")</f>
        <v/>
      </c>
      <c r="J2749" s="8">
        <f>IFERROR(IF(ISNUMBER(C2749),MAX(C2749,IFERROR(J2748,C2749)),""),"")</f>
        <v/>
      </c>
      <c r="K2749" s="29">
        <f>IFERROR(IF(AND(ISNUMBER(C2749),ISNUMBER(J2749)),C2749/J2749-1,""),"")</f>
        <v/>
      </c>
      <c r="L2749" s="28">
        <f>IFERROR(IF(AND(ISNUMBER(D2749),ISNUMBER(E2749)),D2749-E2749,""),"")</f>
        <v/>
      </c>
    </row>
    <row r="2750">
      <c r="A2750" s="7">
        <f>IFERROR(Datos!A2750,"")</f>
        <v/>
      </c>
      <c r="B2750" s="8">
        <f>IFERROR(Datos!B2750,"")</f>
        <v/>
      </c>
      <c r="C2750" s="8">
        <f>IFERROR(Datos!C2750,"")</f>
        <v/>
      </c>
      <c r="D2750" s="28">
        <f>IFERROR(IF(AND(ISNUMBER(B2750),ISNUMBER(B2749),B2749&lt;&gt;0),B2750/B2749-1,""),"")</f>
        <v/>
      </c>
      <c r="E2750" s="28">
        <f>IFERROR(IF(AND(ISNUMBER(C2750),ISNUMBER(C2749),C2749&lt;&gt;0),C2750/C2749-1,""),"")</f>
        <v/>
      </c>
      <c r="F2750" s="28">
        <f>IFERROR(D2750-Dashboard!$B$4/252,"")</f>
        <v/>
      </c>
      <c r="G2750" s="28">
        <f>IFERROR(E2750-Dashboard!$B$4/252,"")</f>
        <v/>
      </c>
      <c r="H2750" s="8">
        <f>IFERROR(IF(ISNUMBER(B2750),MAX(B2750,IFERROR(H2749,B2750)),""),"")</f>
        <v/>
      </c>
      <c r="I2750" s="29">
        <f>IFERROR(IF(AND(ISNUMBER(B2750),ISNUMBER(H2750)),B2750/H2750-1,""),"")</f>
        <v/>
      </c>
      <c r="J2750" s="8">
        <f>IFERROR(IF(ISNUMBER(C2750),MAX(C2750,IFERROR(J2749,C2750)),""),"")</f>
        <v/>
      </c>
      <c r="K2750" s="29">
        <f>IFERROR(IF(AND(ISNUMBER(C2750),ISNUMBER(J2750)),C2750/J2750-1,""),"")</f>
        <v/>
      </c>
      <c r="L2750" s="28">
        <f>IFERROR(IF(AND(ISNUMBER(D2750),ISNUMBER(E2750)),D2750-E2750,""),"")</f>
        <v/>
      </c>
    </row>
    <row r="2751">
      <c r="A2751" s="7">
        <f>IFERROR(Datos!A2751,"")</f>
        <v/>
      </c>
      <c r="B2751" s="8">
        <f>IFERROR(Datos!B2751,"")</f>
        <v/>
      </c>
      <c r="C2751" s="8">
        <f>IFERROR(Datos!C2751,"")</f>
        <v/>
      </c>
      <c r="D2751" s="28">
        <f>IFERROR(IF(AND(ISNUMBER(B2751),ISNUMBER(B2750),B2750&lt;&gt;0),B2751/B2750-1,""),"")</f>
        <v/>
      </c>
      <c r="E2751" s="28">
        <f>IFERROR(IF(AND(ISNUMBER(C2751),ISNUMBER(C2750),C2750&lt;&gt;0),C2751/C2750-1,""),"")</f>
        <v/>
      </c>
      <c r="F2751" s="28">
        <f>IFERROR(D2751-Dashboard!$B$4/252,"")</f>
        <v/>
      </c>
      <c r="G2751" s="28">
        <f>IFERROR(E2751-Dashboard!$B$4/252,"")</f>
        <v/>
      </c>
      <c r="H2751" s="8">
        <f>IFERROR(IF(ISNUMBER(B2751),MAX(B2751,IFERROR(H2750,B2751)),""),"")</f>
        <v/>
      </c>
      <c r="I2751" s="29">
        <f>IFERROR(IF(AND(ISNUMBER(B2751),ISNUMBER(H2751)),B2751/H2751-1,""),"")</f>
        <v/>
      </c>
      <c r="J2751" s="8">
        <f>IFERROR(IF(ISNUMBER(C2751),MAX(C2751,IFERROR(J2750,C2751)),""),"")</f>
        <v/>
      </c>
      <c r="K2751" s="29">
        <f>IFERROR(IF(AND(ISNUMBER(C2751),ISNUMBER(J2751)),C2751/J2751-1,""),"")</f>
        <v/>
      </c>
      <c r="L2751" s="28">
        <f>IFERROR(IF(AND(ISNUMBER(D2751),ISNUMBER(E2751)),D2751-E2751,""),"")</f>
        <v/>
      </c>
    </row>
    <row r="2752">
      <c r="A2752" s="7">
        <f>IFERROR(Datos!A2752,"")</f>
        <v/>
      </c>
      <c r="B2752" s="8">
        <f>IFERROR(Datos!B2752,"")</f>
        <v/>
      </c>
      <c r="C2752" s="8">
        <f>IFERROR(Datos!C2752,"")</f>
        <v/>
      </c>
      <c r="D2752" s="28">
        <f>IFERROR(IF(AND(ISNUMBER(B2752),ISNUMBER(B2751),B2751&lt;&gt;0),B2752/B2751-1,""),"")</f>
        <v/>
      </c>
      <c r="E2752" s="28">
        <f>IFERROR(IF(AND(ISNUMBER(C2752),ISNUMBER(C2751),C2751&lt;&gt;0),C2752/C2751-1,""),"")</f>
        <v/>
      </c>
      <c r="F2752" s="28">
        <f>IFERROR(D2752-Dashboard!$B$4/252,"")</f>
        <v/>
      </c>
      <c r="G2752" s="28">
        <f>IFERROR(E2752-Dashboard!$B$4/252,"")</f>
        <v/>
      </c>
      <c r="H2752" s="8">
        <f>IFERROR(IF(ISNUMBER(B2752),MAX(B2752,IFERROR(H2751,B2752)),""),"")</f>
        <v/>
      </c>
      <c r="I2752" s="29">
        <f>IFERROR(IF(AND(ISNUMBER(B2752),ISNUMBER(H2752)),B2752/H2752-1,""),"")</f>
        <v/>
      </c>
      <c r="J2752" s="8">
        <f>IFERROR(IF(ISNUMBER(C2752),MAX(C2752,IFERROR(J2751,C2752)),""),"")</f>
        <v/>
      </c>
      <c r="K2752" s="29">
        <f>IFERROR(IF(AND(ISNUMBER(C2752),ISNUMBER(J2752)),C2752/J2752-1,""),"")</f>
        <v/>
      </c>
      <c r="L2752" s="28">
        <f>IFERROR(IF(AND(ISNUMBER(D2752),ISNUMBER(E2752)),D2752-E2752,""),"")</f>
        <v/>
      </c>
    </row>
    <row r="2753">
      <c r="A2753" s="7">
        <f>IFERROR(Datos!A2753,"")</f>
        <v/>
      </c>
      <c r="B2753" s="8">
        <f>IFERROR(Datos!B2753,"")</f>
        <v/>
      </c>
      <c r="C2753" s="8">
        <f>IFERROR(Datos!C2753,"")</f>
        <v/>
      </c>
      <c r="D2753" s="28">
        <f>IFERROR(IF(AND(ISNUMBER(B2753),ISNUMBER(B2752),B2752&lt;&gt;0),B2753/B2752-1,""),"")</f>
        <v/>
      </c>
      <c r="E2753" s="28">
        <f>IFERROR(IF(AND(ISNUMBER(C2753),ISNUMBER(C2752),C2752&lt;&gt;0),C2753/C2752-1,""),"")</f>
        <v/>
      </c>
      <c r="F2753" s="28">
        <f>IFERROR(D2753-Dashboard!$B$4/252,"")</f>
        <v/>
      </c>
      <c r="G2753" s="28">
        <f>IFERROR(E2753-Dashboard!$B$4/252,"")</f>
        <v/>
      </c>
      <c r="H2753" s="8">
        <f>IFERROR(IF(ISNUMBER(B2753),MAX(B2753,IFERROR(H2752,B2753)),""),"")</f>
        <v/>
      </c>
      <c r="I2753" s="29">
        <f>IFERROR(IF(AND(ISNUMBER(B2753),ISNUMBER(H2753)),B2753/H2753-1,""),"")</f>
        <v/>
      </c>
      <c r="J2753" s="8">
        <f>IFERROR(IF(ISNUMBER(C2753),MAX(C2753,IFERROR(J2752,C2753)),""),"")</f>
        <v/>
      </c>
      <c r="K2753" s="29">
        <f>IFERROR(IF(AND(ISNUMBER(C2753),ISNUMBER(J2753)),C2753/J2753-1,""),"")</f>
        <v/>
      </c>
      <c r="L2753" s="28">
        <f>IFERROR(IF(AND(ISNUMBER(D2753),ISNUMBER(E2753)),D2753-E2753,""),"")</f>
        <v/>
      </c>
    </row>
    <row r="2754">
      <c r="A2754" s="7">
        <f>IFERROR(Datos!A2754,"")</f>
        <v/>
      </c>
      <c r="B2754" s="8">
        <f>IFERROR(Datos!B2754,"")</f>
        <v/>
      </c>
      <c r="C2754" s="8">
        <f>IFERROR(Datos!C2754,"")</f>
        <v/>
      </c>
      <c r="D2754" s="28">
        <f>IFERROR(IF(AND(ISNUMBER(B2754),ISNUMBER(B2753),B2753&lt;&gt;0),B2754/B2753-1,""),"")</f>
        <v/>
      </c>
      <c r="E2754" s="28">
        <f>IFERROR(IF(AND(ISNUMBER(C2754),ISNUMBER(C2753),C2753&lt;&gt;0),C2754/C2753-1,""),"")</f>
        <v/>
      </c>
      <c r="F2754" s="28">
        <f>IFERROR(D2754-Dashboard!$B$4/252,"")</f>
        <v/>
      </c>
      <c r="G2754" s="28">
        <f>IFERROR(E2754-Dashboard!$B$4/252,"")</f>
        <v/>
      </c>
      <c r="H2754" s="8">
        <f>IFERROR(IF(ISNUMBER(B2754),MAX(B2754,IFERROR(H2753,B2754)),""),"")</f>
        <v/>
      </c>
      <c r="I2754" s="29">
        <f>IFERROR(IF(AND(ISNUMBER(B2754),ISNUMBER(H2754)),B2754/H2754-1,""),"")</f>
        <v/>
      </c>
      <c r="J2754" s="8">
        <f>IFERROR(IF(ISNUMBER(C2754),MAX(C2754,IFERROR(J2753,C2754)),""),"")</f>
        <v/>
      </c>
      <c r="K2754" s="29">
        <f>IFERROR(IF(AND(ISNUMBER(C2754),ISNUMBER(J2754)),C2754/J2754-1,""),"")</f>
        <v/>
      </c>
      <c r="L2754" s="28">
        <f>IFERROR(IF(AND(ISNUMBER(D2754),ISNUMBER(E2754)),D2754-E2754,""),"")</f>
        <v/>
      </c>
    </row>
    <row r="2755">
      <c r="A2755" s="7">
        <f>IFERROR(Datos!A2755,"")</f>
        <v/>
      </c>
      <c r="B2755" s="8">
        <f>IFERROR(Datos!B2755,"")</f>
        <v/>
      </c>
      <c r="C2755" s="8">
        <f>IFERROR(Datos!C2755,"")</f>
        <v/>
      </c>
      <c r="D2755" s="28">
        <f>IFERROR(IF(AND(ISNUMBER(B2755),ISNUMBER(B2754),B2754&lt;&gt;0),B2755/B2754-1,""),"")</f>
        <v/>
      </c>
      <c r="E2755" s="28">
        <f>IFERROR(IF(AND(ISNUMBER(C2755),ISNUMBER(C2754),C2754&lt;&gt;0),C2755/C2754-1,""),"")</f>
        <v/>
      </c>
      <c r="F2755" s="28">
        <f>IFERROR(D2755-Dashboard!$B$4/252,"")</f>
        <v/>
      </c>
      <c r="G2755" s="28">
        <f>IFERROR(E2755-Dashboard!$B$4/252,"")</f>
        <v/>
      </c>
      <c r="H2755" s="8">
        <f>IFERROR(IF(ISNUMBER(B2755),MAX(B2755,IFERROR(H2754,B2755)),""),"")</f>
        <v/>
      </c>
      <c r="I2755" s="29">
        <f>IFERROR(IF(AND(ISNUMBER(B2755),ISNUMBER(H2755)),B2755/H2755-1,""),"")</f>
        <v/>
      </c>
      <c r="J2755" s="8">
        <f>IFERROR(IF(ISNUMBER(C2755),MAX(C2755,IFERROR(J2754,C2755)),""),"")</f>
        <v/>
      </c>
      <c r="K2755" s="29">
        <f>IFERROR(IF(AND(ISNUMBER(C2755),ISNUMBER(J2755)),C2755/J2755-1,""),"")</f>
        <v/>
      </c>
      <c r="L2755" s="28">
        <f>IFERROR(IF(AND(ISNUMBER(D2755),ISNUMBER(E2755)),D2755-E2755,""),"")</f>
        <v/>
      </c>
    </row>
    <row r="2756">
      <c r="A2756" s="7">
        <f>IFERROR(Datos!A2756,"")</f>
        <v/>
      </c>
      <c r="B2756" s="8">
        <f>IFERROR(Datos!B2756,"")</f>
        <v/>
      </c>
      <c r="C2756" s="8">
        <f>IFERROR(Datos!C2756,"")</f>
        <v/>
      </c>
      <c r="D2756" s="28">
        <f>IFERROR(IF(AND(ISNUMBER(B2756),ISNUMBER(B2755),B2755&lt;&gt;0),B2756/B2755-1,""),"")</f>
        <v/>
      </c>
      <c r="E2756" s="28">
        <f>IFERROR(IF(AND(ISNUMBER(C2756),ISNUMBER(C2755),C2755&lt;&gt;0),C2756/C2755-1,""),"")</f>
        <v/>
      </c>
      <c r="F2756" s="28">
        <f>IFERROR(D2756-Dashboard!$B$4/252,"")</f>
        <v/>
      </c>
      <c r="G2756" s="28">
        <f>IFERROR(E2756-Dashboard!$B$4/252,"")</f>
        <v/>
      </c>
      <c r="H2756" s="8">
        <f>IFERROR(IF(ISNUMBER(B2756),MAX(B2756,IFERROR(H2755,B2756)),""),"")</f>
        <v/>
      </c>
      <c r="I2756" s="29">
        <f>IFERROR(IF(AND(ISNUMBER(B2756),ISNUMBER(H2756)),B2756/H2756-1,""),"")</f>
        <v/>
      </c>
      <c r="J2756" s="8">
        <f>IFERROR(IF(ISNUMBER(C2756),MAX(C2756,IFERROR(J2755,C2756)),""),"")</f>
        <v/>
      </c>
      <c r="K2756" s="29">
        <f>IFERROR(IF(AND(ISNUMBER(C2756),ISNUMBER(J2756)),C2756/J2756-1,""),"")</f>
        <v/>
      </c>
      <c r="L2756" s="28">
        <f>IFERROR(IF(AND(ISNUMBER(D2756),ISNUMBER(E2756)),D2756-E2756,""),"")</f>
        <v/>
      </c>
    </row>
    <row r="2757">
      <c r="A2757" s="7">
        <f>IFERROR(Datos!A2757,"")</f>
        <v/>
      </c>
      <c r="B2757" s="8">
        <f>IFERROR(Datos!B2757,"")</f>
        <v/>
      </c>
      <c r="C2757" s="8">
        <f>IFERROR(Datos!C2757,"")</f>
        <v/>
      </c>
      <c r="D2757" s="28">
        <f>IFERROR(IF(AND(ISNUMBER(B2757),ISNUMBER(B2756),B2756&lt;&gt;0),B2757/B2756-1,""),"")</f>
        <v/>
      </c>
      <c r="E2757" s="28">
        <f>IFERROR(IF(AND(ISNUMBER(C2757),ISNUMBER(C2756),C2756&lt;&gt;0),C2757/C2756-1,""),"")</f>
        <v/>
      </c>
      <c r="F2757" s="28">
        <f>IFERROR(D2757-Dashboard!$B$4/252,"")</f>
        <v/>
      </c>
      <c r="G2757" s="28">
        <f>IFERROR(E2757-Dashboard!$B$4/252,"")</f>
        <v/>
      </c>
      <c r="H2757" s="8">
        <f>IFERROR(IF(ISNUMBER(B2757),MAX(B2757,IFERROR(H2756,B2757)),""),"")</f>
        <v/>
      </c>
      <c r="I2757" s="29">
        <f>IFERROR(IF(AND(ISNUMBER(B2757),ISNUMBER(H2757)),B2757/H2757-1,""),"")</f>
        <v/>
      </c>
      <c r="J2757" s="8">
        <f>IFERROR(IF(ISNUMBER(C2757),MAX(C2757,IFERROR(J2756,C2757)),""),"")</f>
        <v/>
      </c>
      <c r="K2757" s="29">
        <f>IFERROR(IF(AND(ISNUMBER(C2757),ISNUMBER(J2757)),C2757/J2757-1,""),"")</f>
        <v/>
      </c>
      <c r="L2757" s="28">
        <f>IFERROR(IF(AND(ISNUMBER(D2757),ISNUMBER(E2757)),D2757-E2757,""),"")</f>
        <v/>
      </c>
    </row>
    <row r="2758">
      <c r="A2758" s="7">
        <f>IFERROR(Datos!A2758,"")</f>
        <v/>
      </c>
      <c r="B2758" s="8">
        <f>IFERROR(Datos!B2758,"")</f>
        <v/>
      </c>
      <c r="C2758" s="8">
        <f>IFERROR(Datos!C2758,"")</f>
        <v/>
      </c>
      <c r="D2758" s="28">
        <f>IFERROR(IF(AND(ISNUMBER(B2758),ISNUMBER(B2757),B2757&lt;&gt;0),B2758/B2757-1,""),"")</f>
        <v/>
      </c>
      <c r="E2758" s="28">
        <f>IFERROR(IF(AND(ISNUMBER(C2758),ISNUMBER(C2757),C2757&lt;&gt;0),C2758/C2757-1,""),"")</f>
        <v/>
      </c>
      <c r="F2758" s="28">
        <f>IFERROR(D2758-Dashboard!$B$4/252,"")</f>
        <v/>
      </c>
      <c r="G2758" s="28">
        <f>IFERROR(E2758-Dashboard!$B$4/252,"")</f>
        <v/>
      </c>
      <c r="H2758" s="8">
        <f>IFERROR(IF(ISNUMBER(B2758),MAX(B2758,IFERROR(H2757,B2758)),""),"")</f>
        <v/>
      </c>
      <c r="I2758" s="29">
        <f>IFERROR(IF(AND(ISNUMBER(B2758),ISNUMBER(H2758)),B2758/H2758-1,""),"")</f>
        <v/>
      </c>
      <c r="J2758" s="8">
        <f>IFERROR(IF(ISNUMBER(C2758),MAX(C2758,IFERROR(J2757,C2758)),""),"")</f>
        <v/>
      </c>
      <c r="K2758" s="29">
        <f>IFERROR(IF(AND(ISNUMBER(C2758),ISNUMBER(J2758)),C2758/J2758-1,""),"")</f>
        <v/>
      </c>
      <c r="L2758" s="28">
        <f>IFERROR(IF(AND(ISNUMBER(D2758),ISNUMBER(E2758)),D2758-E2758,""),"")</f>
        <v/>
      </c>
    </row>
    <row r="2759">
      <c r="A2759" s="7">
        <f>IFERROR(Datos!A2759,"")</f>
        <v/>
      </c>
      <c r="B2759" s="8">
        <f>IFERROR(Datos!B2759,"")</f>
        <v/>
      </c>
      <c r="C2759" s="8">
        <f>IFERROR(Datos!C2759,"")</f>
        <v/>
      </c>
      <c r="D2759" s="28">
        <f>IFERROR(IF(AND(ISNUMBER(B2759),ISNUMBER(B2758),B2758&lt;&gt;0),B2759/B2758-1,""),"")</f>
        <v/>
      </c>
      <c r="E2759" s="28">
        <f>IFERROR(IF(AND(ISNUMBER(C2759),ISNUMBER(C2758),C2758&lt;&gt;0),C2759/C2758-1,""),"")</f>
        <v/>
      </c>
      <c r="F2759" s="28">
        <f>IFERROR(D2759-Dashboard!$B$4/252,"")</f>
        <v/>
      </c>
      <c r="G2759" s="28">
        <f>IFERROR(E2759-Dashboard!$B$4/252,"")</f>
        <v/>
      </c>
      <c r="H2759" s="8">
        <f>IFERROR(IF(ISNUMBER(B2759),MAX(B2759,IFERROR(H2758,B2759)),""),"")</f>
        <v/>
      </c>
      <c r="I2759" s="29">
        <f>IFERROR(IF(AND(ISNUMBER(B2759),ISNUMBER(H2759)),B2759/H2759-1,""),"")</f>
        <v/>
      </c>
      <c r="J2759" s="8">
        <f>IFERROR(IF(ISNUMBER(C2759),MAX(C2759,IFERROR(J2758,C2759)),""),"")</f>
        <v/>
      </c>
      <c r="K2759" s="29">
        <f>IFERROR(IF(AND(ISNUMBER(C2759),ISNUMBER(J2759)),C2759/J2759-1,""),"")</f>
        <v/>
      </c>
      <c r="L2759" s="28">
        <f>IFERROR(IF(AND(ISNUMBER(D2759),ISNUMBER(E2759)),D2759-E2759,""),"")</f>
        <v/>
      </c>
    </row>
    <row r="2760">
      <c r="A2760" s="7">
        <f>IFERROR(Datos!A2760,"")</f>
        <v/>
      </c>
      <c r="B2760" s="8">
        <f>IFERROR(Datos!B2760,"")</f>
        <v/>
      </c>
      <c r="C2760" s="8">
        <f>IFERROR(Datos!C2760,"")</f>
        <v/>
      </c>
      <c r="D2760" s="28">
        <f>IFERROR(IF(AND(ISNUMBER(B2760),ISNUMBER(B2759),B2759&lt;&gt;0),B2760/B2759-1,""),"")</f>
        <v/>
      </c>
      <c r="E2760" s="28">
        <f>IFERROR(IF(AND(ISNUMBER(C2760),ISNUMBER(C2759),C2759&lt;&gt;0),C2760/C2759-1,""),"")</f>
        <v/>
      </c>
      <c r="F2760" s="28">
        <f>IFERROR(D2760-Dashboard!$B$4/252,"")</f>
        <v/>
      </c>
      <c r="G2760" s="28">
        <f>IFERROR(E2760-Dashboard!$B$4/252,"")</f>
        <v/>
      </c>
      <c r="H2760" s="8">
        <f>IFERROR(IF(ISNUMBER(B2760),MAX(B2760,IFERROR(H2759,B2760)),""),"")</f>
        <v/>
      </c>
      <c r="I2760" s="29">
        <f>IFERROR(IF(AND(ISNUMBER(B2760),ISNUMBER(H2760)),B2760/H2760-1,""),"")</f>
        <v/>
      </c>
      <c r="J2760" s="8">
        <f>IFERROR(IF(ISNUMBER(C2760),MAX(C2760,IFERROR(J2759,C2760)),""),"")</f>
        <v/>
      </c>
      <c r="K2760" s="29">
        <f>IFERROR(IF(AND(ISNUMBER(C2760),ISNUMBER(J2760)),C2760/J2760-1,""),"")</f>
        <v/>
      </c>
      <c r="L2760" s="28">
        <f>IFERROR(IF(AND(ISNUMBER(D2760),ISNUMBER(E2760)),D2760-E2760,""),"")</f>
        <v/>
      </c>
    </row>
    <row r="2761">
      <c r="A2761" s="7">
        <f>IFERROR(Datos!A2761,"")</f>
        <v/>
      </c>
      <c r="B2761" s="8">
        <f>IFERROR(Datos!B2761,"")</f>
        <v/>
      </c>
      <c r="C2761" s="8">
        <f>IFERROR(Datos!C2761,"")</f>
        <v/>
      </c>
      <c r="D2761" s="28">
        <f>IFERROR(IF(AND(ISNUMBER(B2761),ISNUMBER(B2760),B2760&lt;&gt;0),B2761/B2760-1,""),"")</f>
        <v/>
      </c>
      <c r="E2761" s="28">
        <f>IFERROR(IF(AND(ISNUMBER(C2761),ISNUMBER(C2760),C2760&lt;&gt;0),C2761/C2760-1,""),"")</f>
        <v/>
      </c>
      <c r="F2761" s="28">
        <f>IFERROR(D2761-Dashboard!$B$4/252,"")</f>
        <v/>
      </c>
      <c r="G2761" s="28">
        <f>IFERROR(E2761-Dashboard!$B$4/252,"")</f>
        <v/>
      </c>
      <c r="H2761" s="8">
        <f>IFERROR(IF(ISNUMBER(B2761),MAX(B2761,IFERROR(H2760,B2761)),""),"")</f>
        <v/>
      </c>
      <c r="I2761" s="29">
        <f>IFERROR(IF(AND(ISNUMBER(B2761),ISNUMBER(H2761)),B2761/H2761-1,""),"")</f>
        <v/>
      </c>
      <c r="J2761" s="8">
        <f>IFERROR(IF(ISNUMBER(C2761),MAX(C2761,IFERROR(J2760,C2761)),""),"")</f>
        <v/>
      </c>
      <c r="K2761" s="29">
        <f>IFERROR(IF(AND(ISNUMBER(C2761),ISNUMBER(J2761)),C2761/J2761-1,""),"")</f>
        <v/>
      </c>
      <c r="L2761" s="28">
        <f>IFERROR(IF(AND(ISNUMBER(D2761),ISNUMBER(E2761)),D2761-E2761,""),"")</f>
        <v/>
      </c>
    </row>
    <row r="2762">
      <c r="A2762" s="7">
        <f>IFERROR(Datos!A2762,"")</f>
        <v/>
      </c>
      <c r="B2762" s="8">
        <f>IFERROR(Datos!B2762,"")</f>
        <v/>
      </c>
      <c r="C2762" s="8">
        <f>IFERROR(Datos!C2762,"")</f>
        <v/>
      </c>
      <c r="D2762" s="28">
        <f>IFERROR(IF(AND(ISNUMBER(B2762),ISNUMBER(B2761),B2761&lt;&gt;0),B2762/B2761-1,""),"")</f>
        <v/>
      </c>
      <c r="E2762" s="28">
        <f>IFERROR(IF(AND(ISNUMBER(C2762),ISNUMBER(C2761),C2761&lt;&gt;0),C2762/C2761-1,""),"")</f>
        <v/>
      </c>
      <c r="F2762" s="28">
        <f>IFERROR(D2762-Dashboard!$B$4/252,"")</f>
        <v/>
      </c>
      <c r="G2762" s="28">
        <f>IFERROR(E2762-Dashboard!$B$4/252,"")</f>
        <v/>
      </c>
      <c r="H2762" s="8">
        <f>IFERROR(IF(ISNUMBER(B2762),MAX(B2762,IFERROR(H2761,B2762)),""),"")</f>
        <v/>
      </c>
      <c r="I2762" s="29">
        <f>IFERROR(IF(AND(ISNUMBER(B2762),ISNUMBER(H2762)),B2762/H2762-1,""),"")</f>
        <v/>
      </c>
      <c r="J2762" s="8">
        <f>IFERROR(IF(ISNUMBER(C2762),MAX(C2762,IFERROR(J2761,C2762)),""),"")</f>
        <v/>
      </c>
      <c r="K2762" s="29">
        <f>IFERROR(IF(AND(ISNUMBER(C2762),ISNUMBER(J2762)),C2762/J2762-1,""),"")</f>
        <v/>
      </c>
      <c r="L2762" s="28">
        <f>IFERROR(IF(AND(ISNUMBER(D2762),ISNUMBER(E2762)),D2762-E2762,""),"")</f>
        <v/>
      </c>
    </row>
    <row r="2763">
      <c r="A2763" s="7">
        <f>IFERROR(Datos!A2763,"")</f>
        <v/>
      </c>
      <c r="B2763" s="8">
        <f>IFERROR(Datos!B2763,"")</f>
        <v/>
      </c>
      <c r="C2763" s="8">
        <f>IFERROR(Datos!C2763,"")</f>
        <v/>
      </c>
      <c r="D2763" s="28">
        <f>IFERROR(IF(AND(ISNUMBER(B2763),ISNUMBER(B2762),B2762&lt;&gt;0),B2763/B2762-1,""),"")</f>
        <v/>
      </c>
      <c r="E2763" s="28">
        <f>IFERROR(IF(AND(ISNUMBER(C2763),ISNUMBER(C2762),C2762&lt;&gt;0),C2763/C2762-1,""),"")</f>
        <v/>
      </c>
      <c r="F2763" s="28">
        <f>IFERROR(D2763-Dashboard!$B$4/252,"")</f>
        <v/>
      </c>
      <c r="G2763" s="28">
        <f>IFERROR(E2763-Dashboard!$B$4/252,"")</f>
        <v/>
      </c>
      <c r="H2763" s="8">
        <f>IFERROR(IF(ISNUMBER(B2763),MAX(B2763,IFERROR(H2762,B2763)),""),"")</f>
        <v/>
      </c>
      <c r="I2763" s="29">
        <f>IFERROR(IF(AND(ISNUMBER(B2763),ISNUMBER(H2763)),B2763/H2763-1,""),"")</f>
        <v/>
      </c>
      <c r="J2763" s="8">
        <f>IFERROR(IF(ISNUMBER(C2763),MAX(C2763,IFERROR(J2762,C2763)),""),"")</f>
        <v/>
      </c>
      <c r="K2763" s="29">
        <f>IFERROR(IF(AND(ISNUMBER(C2763),ISNUMBER(J2763)),C2763/J2763-1,""),"")</f>
        <v/>
      </c>
      <c r="L2763" s="28">
        <f>IFERROR(IF(AND(ISNUMBER(D2763),ISNUMBER(E2763)),D2763-E2763,""),"")</f>
        <v/>
      </c>
    </row>
    <row r="2764">
      <c r="A2764" s="7">
        <f>IFERROR(Datos!A2764,"")</f>
        <v/>
      </c>
      <c r="B2764" s="8">
        <f>IFERROR(Datos!B2764,"")</f>
        <v/>
      </c>
      <c r="C2764" s="8">
        <f>IFERROR(Datos!C2764,"")</f>
        <v/>
      </c>
      <c r="D2764" s="28">
        <f>IFERROR(IF(AND(ISNUMBER(B2764),ISNUMBER(B2763),B2763&lt;&gt;0),B2764/B2763-1,""),"")</f>
        <v/>
      </c>
      <c r="E2764" s="28">
        <f>IFERROR(IF(AND(ISNUMBER(C2764),ISNUMBER(C2763),C2763&lt;&gt;0),C2764/C2763-1,""),"")</f>
        <v/>
      </c>
      <c r="F2764" s="28">
        <f>IFERROR(D2764-Dashboard!$B$4/252,"")</f>
        <v/>
      </c>
      <c r="G2764" s="28">
        <f>IFERROR(E2764-Dashboard!$B$4/252,"")</f>
        <v/>
      </c>
      <c r="H2764" s="8">
        <f>IFERROR(IF(ISNUMBER(B2764),MAX(B2764,IFERROR(H2763,B2764)),""),"")</f>
        <v/>
      </c>
      <c r="I2764" s="29">
        <f>IFERROR(IF(AND(ISNUMBER(B2764),ISNUMBER(H2764)),B2764/H2764-1,""),"")</f>
        <v/>
      </c>
      <c r="J2764" s="8">
        <f>IFERROR(IF(ISNUMBER(C2764),MAX(C2764,IFERROR(J2763,C2764)),""),"")</f>
        <v/>
      </c>
      <c r="K2764" s="29">
        <f>IFERROR(IF(AND(ISNUMBER(C2764),ISNUMBER(J2764)),C2764/J2764-1,""),"")</f>
        <v/>
      </c>
      <c r="L2764" s="28">
        <f>IFERROR(IF(AND(ISNUMBER(D2764),ISNUMBER(E2764)),D2764-E2764,""),"")</f>
        <v/>
      </c>
    </row>
    <row r="2765">
      <c r="A2765" s="7">
        <f>IFERROR(Datos!A2765,"")</f>
        <v/>
      </c>
      <c r="B2765" s="8">
        <f>IFERROR(Datos!B2765,"")</f>
        <v/>
      </c>
      <c r="C2765" s="8">
        <f>IFERROR(Datos!C2765,"")</f>
        <v/>
      </c>
      <c r="D2765" s="28">
        <f>IFERROR(IF(AND(ISNUMBER(B2765),ISNUMBER(B2764),B2764&lt;&gt;0),B2765/B2764-1,""),"")</f>
        <v/>
      </c>
      <c r="E2765" s="28">
        <f>IFERROR(IF(AND(ISNUMBER(C2765),ISNUMBER(C2764),C2764&lt;&gt;0),C2765/C2764-1,""),"")</f>
        <v/>
      </c>
      <c r="F2765" s="28">
        <f>IFERROR(D2765-Dashboard!$B$4/252,"")</f>
        <v/>
      </c>
      <c r="G2765" s="28">
        <f>IFERROR(E2765-Dashboard!$B$4/252,"")</f>
        <v/>
      </c>
      <c r="H2765" s="8">
        <f>IFERROR(IF(ISNUMBER(B2765),MAX(B2765,IFERROR(H2764,B2765)),""),"")</f>
        <v/>
      </c>
      <c r="I2765" s="29">
        <f>IFERROR(IF(AND(ISNUMBER(B2765),ISNUMBER(H2765)),B2765/H2765-1,""),"")</f>
        <v/>
      </c>
      <c r="J2765" s="8">
        <f>IFERROR(IF(ISNUMBER(C2765),MAX(C2765,IFERROR(J2764,C2765)),""),"")</f>
        <v/>
      </c>
      <c r="K2765" s="29">
        <f>IFERROR(IF(AND(ISNUMBER(C2765),ISNUMBER(J2765)),C2765/J2765-1,""),"")</f>
        <v/>
      </c>
      <c r="L2765" s="28">
        <f>IFERROR(IF(AND(ISNUMBER(D2765),ISNUMBER(E2765)),D2765-E2765,""),"")</f>
        <v/>
      </c>
    </row>
    <row r="2766">
      <c r="A2766" s="7">
        <f>IFERROR(Datos!A2766,"")</f>
        <v/>
      </c>
      <c r="B2766" s="8">
        <f>IFERROR(Datos!B2766,"")</f>
        <v/>
      </c>
      <c r="C2766" s="8">
        <f>IFERROR(Datos!C2766,"")</f>
        <v/>
      </c>
      <c r="D2766" s="28">
        <f>IFERROR(IF(AND(ISNUMBER(B2766),ISNUMBER(B2765),B2765&lt;&gt;0),B2766/B2765-1,""),"")</f>
        <v/>
      </c>
      <c r="E2766" s="28">
        <f>IFERROR(IF(AND(ISNUMBER(C2766),ISNUMBER(C2765),C2765&lt;&gt;0),C2766/C2765-1,""),"")</f>
        <v/>
      </c>
      <c r="F2766" s="28">
        <f>IFERROR(D2766-Dashboard!$B$4/252,"")</f>
        <v/>
      </c>
      <c r="G2766" s="28">
        <f>IFERROR(E2766-Dashboard!$B$4/252,"")</f>
        <v/>
      </c>
      <c r="H2766" s="8">
        <f>IFERROR(IF(ISNUMBER(B2766),MAX(B2766,IFERROR(H2765,B2766)),""),"")</f>
        <v/>
      </c>
      <c r="I2766" s="29">
        <f>IFERROR(IF(AND(ISNUMBER(B2766),ISNUMBER(H2766)),B2766/H2766-1,""),"")</f>
        <v/>
      </c>
      <c r="J2766" s="8">
        <f>IFERROR(IF(ISNUMBER(C2766),MAX(C2766,IFERROR(J2765,C2766)),""),"")</f>
        <v/>
      </c>
      <c r="K2766" s="29">
        <f>IFERROR(IF(AND(ISNUMBER(C2766),ISNUMBER(J2766)),C2766/J2766-1,""),"")</f>
        <v/>
      </c>
      <c r="L2766" s="28">
        <f>IFERROR(IF(AND(ISNUMBER(D2766),ISNUMBER(E2766)),D2766-E2766,""),"")</f>
        <v/>
      </c>
    </row>
    <row r="2767">
      <c r="A2767" s="7">
        <f>IFERROR(Datos!A2767,"")</f>
        <v/>
      </c>
      <c r="B2767" s="8">
        <f>IFERROR(Datos!B2767,"")</f>
        <v/>
      </c>
      <c r="C2767" s="8">
        <f>IFERROR(Datos!C2767,"")</f>
        <v/>
      </c>
      <c r="D2767" s="28">
        <f>IFERROR(IF(AND(ISNUMBER(B2767),ISNUMBER(B2766),B2766&lt;&gt;0),B2767/B2766-1,""),"")</f>
        <v/>
      </c>
      <c r="E2767" s="28">
        <f>IFERROR(IF(AND(ISNUMBER(C2767),ISNUMBER(C2766),C2766&lt;&gt;0),C2767/C2766-1,""),"")</f>
        <v/>
      </c>
      <c r="F2767" s="28">
        <f>IFERROR(D2767-Dashboard!$B$4/252,"")</f>
        <v/>
      </c>
      <c r="G2767" s="28">
        <f>IFERROR(E2767-Dashboard!$B$4/252,"")</f>
        <v/>
      </c>
      <c r="H2767" s="8">
        <f>IFERROR(IF(ISNUMBER(B2767),MAX(B2767,IFERROR(H2766,B2767)),""),"")</f>
        <v/>
      </c>
      <c r="I2767" s="29">
        <f>IFERROR(IF(AND(ISNUMBER(B2767),ISNUMBER(H2767)),B2767/H2767-1,""),"")</f>
        <v/>
      </c>
      <c r="J2767" s="8">
        <f>IFERROR(IF(ISNUMBER(C2767),MAX(C2767,IFERROR(J2766,C2767)),""),"")</f>
        <v/>
      </c>
      <c r="K2767" s="29">
        <f>IFERROR(IF(AND(ISNUMBER(C2767),ISNUMBER(J2767)),C2767/J2767-1,""),"")</f>
        <v/>
      </c>
      <c r="L2767" s="28">
        <f>IFERROR(IF(AND(ISNUMBER(D2767),ISNUMBER(E2767)),D2767-E2767,""),"")</f>
        <v/>
      </c>
    </row>
    <row r="2768">
      <c r="A2768" s="7">
        <f>IFERROR(Datos!A2768,"")</f>
        <v/>
      </c>
      <c r="B2768" s="8">
        <f>IFERROR(Datos!B2768,"")</f>
        <v/>
      </c>
      <c r="C2768" s="8">
        <f>IFERROR(Datos!C2768,"")</f>
        <v/>
      </c>
      <c r="D2768" s="28">
        <f>IFERROR(IF(AND(ISNUMBER(B2768),ISNUMBER(B2767),B2767&lt;&gt;0),B2768/B2767-1,""),"")</f>
        <v/>
      </c>
      <c r="E2768" s="28">
        <f>IFERROR(IF(AND(ISNUMBER(C2768),ISNUMBER(C2767),C2767&lt;&gt;0),C2768/C2767-1,""),"")</f>
        <v/>
      </c>
      <c r="F2768" s="28">
        <f>IFERROR(D2768-Dashboard!$B$4/252,"")</f>
        <v/>
      </c>
      <c r="G2768" s="28">
        <f>IFERROR(E2768-Dashboard!$B$4/252,"")</f>
        <v/>
      </c>
      <c r="H2768" s="8">
        <f>IFERROR(IF(ISNUMBER(B2768),MAX(B2768,IFERROR(H2767,B2768)),""),"")</f>
        <v/>
      </c>
      <c r="I2768" s="29">
        <f>IFERROR(IF(AND(ISNUMBER(B2768),ISNUMBER(H2768)),B2768/H2768-1,""),"")</f>
        <v/>
      </c>
      <c r="J2768" s="8">
        <f>IFERROR(IF(ISNUMBER(C2768),MAX(C2768,IFERROR(J2767,C2768)),""),"")</f>
        <v/>
      </c>
      <c r="K2768" s="29">
        <f>IFERROR(IF(AND(ISNUMBER(C2768),ISNUMBER(J2768)),C2768/J2768-1,""),"")</f>
        <v/>
      </c>
      <c r="L2768" s="28">
        <f>IFERROR(IF(AND(ISNUMBER(D2768),ISNUMBER(E2768)),D2768-E2768,""),"")</f>
        <v/>
      </c>
    </row>
    <row r="2769">
      <c r="A2769" s="7">
        <f>IFERROR(Datos!A2769,"")</f>
        <v/>
      </c>
      <c r="B2769" s="8">
        <f>IFERROR(Datos!B2769,"")</f>
        <v/>
      </c>
      <c r="C2769" s="8">
        <f>IFERROR(Datos!C2769,"")</f>
        <v/>
      </c>
      <c r="D2769" s="28">
        <f>IFERROR(IF(AND(ISNUMBER(B2769),ISNUMBER(B2768),B2768&lt;&gt;0),B2769/B2768-1,""),"")</f>
        <v/>
      </c>
      <c r="E2769" s="28">
        <f>IFERROR(IF(AND(ISNUMBER(C2769),ISNUMBER(C2768),C2768&lt;&gt;0),C2769/C2768-1,""),"")</f>
        <v/>
      </c>
      <c r="F2769" s="28">
        <f>IFERROR(D2769-Dashboard!$B$4/252,"")</f>
        <v/>
      </c>
      <c r="G2769" s="28">
        <f>IFERROR(E2769-Dashboard!$B$4/252,"")</f>
        <v/>
      </c>
      <c r="H2769" s="8">
        <f>IFERROR(IF(ISNUMBER(B2769),MAX(B2769,IFERROR(H2768,B2769)),""),"")</f>
        <v/>
      </c>
      <c r="I2769" s="29">
        <f>IFERROR(IF(AND(ISNUMBER(B2769),ISNUMBER(H2769)),B2769/H2769-1,""),"")</f>
        <v/>
      </c>
      <c r="J2769" s="8">
        <f>IFERROR(IF(ISNUMBER(C2769),MAX(C2769,IFERROR(J2768,C2769)),""),"")</f>
        <v/>
      </c>
      <c r="K2769" s="29">
        <f>IFERROR(IF(AND(ISNUMBER(C2769),ISNUMBER(J2769)),C2769/J2769-1,""),"")</f>
        <v/>
      </c>
      <c r="L2769" s="28">
        <f>IFERROR(IF(AND(ISNUMBER(D2769),ISNUMBER(E2769)),D2769-E2769,""),"")</f>
        <v/>
      </c>
    </row>
    <row r="2770">
      <c r="A2770" s="7">
        <f>IFERROR(Datos!A2770,"")</f>
        <v/>
      </c>
      <c r="B2770" s="8">
        <f>IFERROR(Datos!B2770,"")</f>
        <v/>
      </c>
      <c r="C2770" s="8">
        <f>IFERROR(Datos!C2770,"")</f>
        <v/>
      </c>
      <c r="D2770" s="28">
        <f>IFERROR(IF(AND(ISNUMBER(B2770),ISNUMBER(B2769),B2769&lt;&gt;0),B2770/B2769-1,""),"")</f>
        <v/>
      </c>
      <c r="E2770" s="28">
        <f>IFERROR(IF(AND(ISNUMBER(C2770),ISNUMBER(C2769),C2769&lt;&gt;0),C2770/C2769-1,""),"")</f>
        <v/>
      </c>
      <c r="F2770" s="28">
        <f>IFERROR(D2770-Dashboard!$B$4/252,"")</f>
        <v/>
      </c>
      <c r="G2770" s="28">
        <f>IFERROR(E2770-Dashboard!$B$4/252,"")</f>
        <v/>
      </c>
      <c r="H2770" s="8">
        <f>IFERROR(IF(ISNUMBER(B2770),MAX(B2770,IFERROR(H2769,B2770)),""),"")</f>
        <v/>
      </c>
      <c r="I2770" s="29">
        <f>IFERROR(IF(AND(ISNUMBER(B2770),ISNUMBER(H2770)),B2770/H2770-1,""),"")</f>
        <v/>
      </c>
      <c r="J2770" s="8">
        <f>IFERROR(IF(ISNUMBER(C2770),MAX(C2770,IFERROR(J2769,C2770)),""),"")</f>
        <v/>
      </c>
      <c r="K2770" s="29">
        <f>IFERROR(IF(AND(ISNUMBER(C2770),ISNUMBER(J2770)),C2770/J2770-1,""),"")</f>
        <v/>
      </c>
      <c r="L2770" s="28">
        <f>IFERROR(IF(AND(ISNUMBER(D2770),ISNUMBER(E2770)),D2770-E2770,""),"")</f>
        <v/>
      </c>
    </row>
    <row r="2771">
      <c r="A2771" s="7">
        <f>IFERROR(Datos!A2771,"")</f>
        <v/>
      </c>
      <c r="B2771" s="8">
        <f>IFERROR(Datos!B2771,"")</f>
        <v/>
      </c>
      <c r="C2771" s="8">
        <f>IFERROR(Datos!C2771,"")</f>
        <v/>
      </c>
      <c r="D2771" s="28">
        <f>IFERROR(IF(AND(ISNUMBER(B2771),ISNUMBER(B2770),B2770&lt;&gt;0),B2771/B2770-1,""),"")</f>
        <v/>
      </c>
      <c r="E2771" s="28">
        <f>IFERROR(IF(AND(ISNUMBER(C2771),ISNUMBER(C2770),C2770&lt;&gt;0),C2771/C2770-1,""),"")</f>
        <v/>
      </c>
      <c r="F2771" s="28">
        <f>IFERROR(D2771-Dashboard!$B$4/252,"")</f>
        <v/>
      </c>
      <c r="G2771" s="28">
        <f>IFERROR(E2771-Dashboard!$B$4/252,"")</f>
        <v/>
      </c>
      <c r="H2771" s="8">
        <f>IFERROR(IF(ISNUMBER(B2771),MAX(B2771,IFERROR(H2770,B2771)),""),"")</f>
        <v/>
      </c>
      <c r="I2771" s="29">
        <f>IFERROR(IF(AND(ISNUMBER(B2771),ISNUMBER(H2771)),B2771/H2771-1,""),"")</f>
        <v/>
      </c>
      <c r="J2771" s="8">
        <f>IFERROR(IF(ISNUMBER(C2771),MAX(C2771,IFERROR(J2770,C2771)),""),"")</f>
        <v/>
      </c>
      <c r="K2771" s="29">
        <f>IFERROR(IF(AND(ISNUMBER(C2771),ISNUMBER(J2771)),C2771/J2771-1,""),"")</f>
        <v/>
      </c>
      <c r="L2771" s="28">
        <f>IFERROR(IF(AND(ISNUMBER(D2771),ISNUMBER(E2771)),D2771-E2771,""),"")</f>
        <v/>
      </c>
    </row>
    <row r="2772">
      <c r="A2772" s="7">
        <f>IFERROR(Datos!A2772,"")</f>
        <v/>
      </c>
      <c r="B2772" s="8">
        <f>IFERROR(Datos!B2772,"")</f>
        <v/>
      </c>
      <c r="C2772" s="8">
        <f>IFERROR(Datos!C2772,"")</f>
        <v/>
      </c>
      <c r="D2772" s="28">
        <f>IFERROR(IF(AND(ISNUMBER(B2772),ISNUMBER(B2771),B2771&lt;&gt;0),B2772/B2771-1,""),"")</f>
        <v/>
      </c>
      <c r="E2772" s="28">
        <f>IFERROR(IF(AND(ISNUMBER(C2772),ISNUMBER(C2771),C2771&lt;&gt;0),C2772/C2771-1,""),"")</f>
        <v/>
      </c>
      <c r="F2772" s="28">
        <f>IFERROR(D2772-Dashboard!$B$4/252,"")</f>
        <v/>
      </c>
      <c r="G2772" s="28">
        <f>IFERROR(E2772-Dashboard!$B$4/252,"")</f>
        <v/>
      </c>
      <c r="H2772" s="8">
        <f>IFERROR(IF(ISNUMBER(B2772),MAX(B2772,IFERROR(H2771,B2772)),""),"")</f>
        <v/>
      </c>
      <c r="I2772" s="29">
        <f>IFERROR(IF(AND(ISNUMBER(B2772),ISNUMBER(H2772)),B2772/H2772-1,""),"")</f>
        <v/>
      </c>
      <c r="J2772" s="8">
        <f>IFERROR(IF(ISNUMBER(C2772),MAX(C2772,IFERROR(J2771,C2772)),""),"")</f>
        <v/>
      </c>
      <c r="K2772" s="29">
        <f>IFERROR(IF(AND(ISNUMBER(C2772),ISNUMBER(J2772)),C2772/J2772-1,""),"")</f>
        <v/>
      </c>
      <c r="L2772" s="28">
        <f>IFERROR(IF(AND(ISNUMBER(D2772),ISNUMBER(E2772)),D2772-E2772,""),"")</f>
        <v/>
      </c>
    </row>
    <row r="2773">
      <c r="A2773" s="7">
        <f>IFERROR(Datos!A2773,"")</f>
        <v/>
      </c>
      <c r="B2773" s="8">
        <f>IFERROR(Datos!B2773,"")</f>
        <v/>
      </c>
      <c r="C2773" s="8">
        <f>IFERROR(Datos!C2773,"")</f>
        <v/>
      </c>
      <c r="D2773" s="28">
        <f>IFERROR(IF(AND(ISNUMBER(B2773),ISNUMBER(B2772),B2772&lt;&gt;0),B2773/B2772-1,""),"")</f>
        <v/>
      </c>
      <c r="E2773" s="28">
        <f>IFERROR(IF(AND(ISNUMBER(C2773),ISNUMBER(C2772),C2772&lt;&gt;0),C2773/C2772-1,""),"")</f>
        <v/>
      </c>
      <c r="F2773" s="28">
        <f>IFERROR(D2773-Dashboard!$B$4/252,"")</f>
        <v/>
      </c>
      <c r="G2773" s="28">
        <f>IFERROR(E2773-Dashboard!$B$4/252,"")</f>
        <v/>
      </c>
      <c r="H2773" s="8">
        <f>IFERROR(IF(ISNUMBER(B2773),MAX(B2773,IFERROR(H2772,B2773)),""),"")</f>
        <v/>
      </c>
      <c r="I2773" s="29">
        <f>IFERROR(IF(AND(ISNUMBER(B2773),ISNUMBER(H2773)),B2773/H2773-1,""),"")</f>
        <v/>
      </c>
      <c r="J2773" s="8">
        <f>IFERROR(IF(ISNUMBER(C2773),MAX(C2773,IFERROR(J2772,C2773)),""),"")</f>
        <v/>
      </c>
      <c r="K2773" s="29">
        <f>IFERROR(IF(AND(ISNUMBER(C2773),ISNUMBER(J2773)),C2773/J2773-1,""),"")</f>
        <v/>
      </c>
      <c r="L2773" s="28">
        <f>IFERROR(IF(AND(ISNUMBER(D2773),ISNUMBER(E2773)),D2773-E2773,""),"")</f>
        <v/>
      </c>
    </row>
    <row r="2774">
      <c r="A2774" s="7">
        <f>IFERROR(Datos!A2774,"")</f>
        <v/>
      </c>
      <c r="B2774" s="8">
        <f>IFERROR(Datos!B2774,"")</f>
        <v/>
      </c>
      <c r="C2774" s="8">
        <f>IFERROR(Datos!C2774,"")</f>
        <v/>
      </c>
      <c r="D2774" s="28">
        <f>IFERROR(IF(AND(ISNUMBER(B2774),ISNUMBER(B2773),B2773&lt;&gt;0),B2774/B2773-1,""),"")</f>
        <v/>
      </c>
      <c r="E2774" s="28">
        <f>IFERROR(IF(AND(ISNUMBER(C2774),ISNUMBER(C2773),C2773&lt;&gt;0),C2774/C2773-1,""),"")</f>
        <v/>
      </c>
      <c r="F2774" s="28">
        <f>IFERROR(D2774-Dashboard!$B$4/252,"")</f>
        <v/>
      </c>
      <c r="G2774" s="28">
        <f>IFERROR(E2774-Dashboard!$B$4/252,"")</f>
        <v/>
      </c>
      <c r="H2774" s="8">
        <f>IFERROR(IF(ISNUMBER(B2774),MAX(B2774,IFERROR(H2773,B2774)),""),"")</f>
        <v/>
      </c>
      <c r="I2774" s="29">
        <f>IFERROR(IF(AND(ISNUMBER(B2774),ISNUMBER(H2774)),B2774/H2774-1,""),"")</f>
        <v/>
      </c>
      <c r="J2774" s="8">
        <f>IFERROR(IF(ISNUMBER(C2774),MAX(C2774,IFERROR(J2773,C2774)),""),"")</f>
        <v/>
      </c>
      <c r="K2774" s="29">
        <f>IFERROR(IF(AND(ISNUMBER(C2774),ISNUMBER(J2774)),C2774/J2774-1,""),"")</f>
        <v/>
      </c>
      <c r="L2774" s="28">
        <f>IFERROR(IF(AND(ISNUMBER(D2774),ISNUMBER(E2774)),D2774-E2774,""),"")</f>
        <v/>
      </c>
    </row>
    <row r="2775">
      <c r="A2775" s="7">
        <f>IFERROR(Datos!A2775,"")</f>
        <v/>
      </c>
      <c r="B2775" s="8">
        <f>IFERROR(Datos!B2775,"")</f>
        <v/>
      </c>
      <c r="C2775" s="8">
        <f>IFERROR(Datos!C2775,"")</f>
        <v/>
      </c>
      <c r="D2775" s="28">
        <f>IFERROR(IF(AND(ISNUMBER(B2775),ISNUMBER(B2774),B2774&lt;&gt;0),B2775/B2774-1,""),"")</f>
        <v/>
      </c>
      <c r="E2775" s="28">
        <f>IFERROR(IF(AND(ISNUMBER(C2775),ISNUMBER(C2774),C2774&lt;&gt;0),C2775/C2774-1,""),"")</f>
        <v/>
      </c>
      <c r="F2775" s="28">
        <f>IFERROR(D2775-Dashboard!$B$4/252,"")</f>
        <v/>
      </c>
      <c r="G2775" s="28">
        <f>IFERROR(E2775-Dashboard!$B$4/252,"")</f>
        <v/>
      </c>
      <c r="H2775" s="8">
        <f>IFERROR(IF(ISNUMBER(B2775),MAX(B2775,IFERROR(H2774,B2775)),""),"")</f>
        <v/>
      </c>
      <c r="I2775" s="29">
        <f>IFERROR(IF(AND(ISNUMBER(B2775),ISNUMBER(H2775)),B2775/H2775-1,""),"")</f>
        <v/>
      </c>
      <c r="J2775" s="8">
        <f>IFERROR(IF(ISNUMBER(C2775),MAX(C2775,IFERROR(J2774,C2775)),""),"")</f>
        <v/>
      </c>
      <c r="K2775" s="29">
        <f>IFERROR(IF(AND(ISNUMBER(C2775),ISNUMBER(J2775)),C2775/J2775-1,""),"")</f>
        <v/>
      </c>
      <c r="L2775" s="28">
        <f>IFERROR(IF(AND(ISNUMBER(D2775),ISNUMBER(E2775)),D2775-E2775,""),"")</f>
        <v/>
      </c>
    </row>
    <row r="2776">
      <c r="A2776" s="7">
        <f>IFERROR(Datos!A2776,"")</f>
        <v/>
      </c>
      <c r="B2776" s="8">
        <f>IFERROR(Datos!B2776,"")</f>
        <v/>
      </c>
      <c r="C2776" s="8">
        <f>IFERROR(Datos!C2776,"")</f>
        <v/>
      </c>
      <c r="D2776" s="28">
        <f>IFERROR(IF(AND(ISNUMBER(B2776),ISNUMBER(B2775),B2775&lt;&gt;0),B2776/B2775-1,""),"")</f>
        <v/>
      </c>
      <c r="E2776" s="28">
        <f>IFERROR(IF(AND(ISNUMBER(C2776),ISNUMBER(C2775),C2775&lt;&gt;0),C2776/C2775-1,""),"")</f>
        <v/>
      </c>
      <c r="F2776" s="28">
        <f>IFERROR(D2776-Dashboard!$B$4/252,"")</f>
        <v/>
      </c>
      <c r="G2776" s="28">
        <f>IFERROR(E2776-Dashboard!$B$4/252,"")</f>
        <v/>
      </c>
      <c r="H2776" s="8">
        <f>IFERROR(IF(ISNUMBER(B2776),MAX(B2776,IFERROR(H2775,B2776)),""),"")</f>
        <v/>
      </c>
      <c r="I2776" s="29">
        <f>IFERROR(IF(AND(ISNUMBER(B2776),ISNUMBER(H2776)),B2776/H2776-1,""),"")</f>
        <v/>
      </c>
      <c r="J2776" s="8">
        <f>IFERROR(IF(ISNUMBER(C2776),MAX(C2776,IFERROR(J2775,C2776)),""),"")</f>
        <v/>
      </c>
      <c r="K2776" s="29">
        <f>IFERROR(IF(AND(ISNUMBER(C2776),ISNUMBER(J2776)),C2776/J2776-1,""),"")</f>
        <v/>
      </c>
      <c r="L2776" s="28">
        <f>IFERROR(IF(AND(ISNUMBER(D2776),ISNUMBER(E2776)),D2776-E2776,""),"")</f>
        <v/>
      </c>
    </row>
    <row r="2777">
      <c r="A2777" s="7">
        <f>IFERROR(Datos!A2777,"")</f>
        <v/>
      </c>
      <c r="B2777" s="8">
        <f>IFERROR(Datos!B2777,"")</f>
        <v/>
      </c>
      <c r="C2777" s="8">
        <f>IFERROR(Datos!C2777,"")</f>
        <v/>
      </c>
      <c r="D2777" s="28">
        <f>IFERROR(IF(AND(ISNUMBER(B2777),ISNUMBER(B2776),B2776&lt;&gt;0),B2777/B2776-1,""),"")</f>
        <v/>
      </c>
      <c r="E2777" s="28">
        <f>IFERROR(IF(AND(ISNUMBER(C2777),ISNUMBER(C2776),C2776&lt;&gt;0),C2777/C2776-1,""),"")</f>
        <v/>
      </c>
      <c r="F2777" s="28">
        <f>IFERROR(D2777-Dashboard!$B$4/252,"")</f>
        <v/>
      </c>
      <c r="G2777" s="28">
        <f>IFERROR(E2777-Dashboard!$B$4/252,"")</f>
        <v/>
      </c>
      <c r="H2777" s="8">
        <f>IFERROR(IF(ISNUMBER(B2777),MAX(B2777,IFERROR(H2776,B2777)),""),"")</f>
        <v/>
      </c>
      <c r="I2777" s="29">
        <f>IFERROR(IF(AND(ISNUMBER(B2777),ISNUMBER(H2777)),B2777/H2777-1,""),"")</f>
        <v/>
      </c>
      <c r="J2777" s="8">
        <f>IFERROR(IF(ISNUMBER(C2777),MAX(C2777,IFERROR(J2776,C2777)),""),"")</f>
        <v/>
      </c>
      <c r="K2777" s="29">
        <f>IFERROR(IF(AND(ISNUMBER(C2777),ISNUMBER(J2777)),C2777/J2777-1,""),"")</f>
        <v/>
      </c>
      <c r="L2777" s="28">
        <f>IFERROR(IF(AND(ISNUMBER(D2777),ISNUMBER(E2777)),D2777-E2777,""),"")</f>
        <v/>
      </c>
    </row>
    <row r="2778">
      <c r="A2778" s="7">
        <f>IFERROR(Datos!A2778,"")</f>
        <v/>
      </c>
      <c r="B2778" s="8">
        <f>IFERROR(Datos!B2778,"")</f>
        <v/>
      </c>
      <c r="C2778" s="8">
        <f>IFERROR(Datos!C2778,"")</f>
        <v/>
      </c>
      <c r="D2778" s="28">
        <f>IFERROR(IF(AND(ISNUMBER(B2778),ISNUMBER(B2777),B2777&lt;&gt;0),B2778/B2777-1,""),"")</f>
        <v/>
      </c>
      <c r="E2778" s="28">
        <f>IFERROR(IF(AND(ISNUMBER(C2778),ISNUMBER(C2777),C2777&lt;&gt;0),C2778/C2777-1,""),"")</f>
        <v/>
      </c>
      <c r="F2778" s="28">
        <f>IFERROR(D2778-Dashboard!$B$4/252,"")</f>
        <v/>
      </c>
      <c r="G2778" s="28">
        <f>IFERROR(E2778-Dashboard!$B$4/252,"")</f>
        <v/>
      </c>
      <c r="H2778" s="8">
        <f>IFERROR(IF(ISNUMBER(B2778),MAX(B2778,IFERROR(H2777,B2778)),""),"")</f>
        <v/>
      </c>
      <c r="I2778" s="29">
        <f>IFERROR(IF(AND(ISNUMBER(B2778),ISNUMBER(H2778)),B2778/H2778-1,""),"")</f>
        <v/>
      </c>
      <c r="J2778" s="8">
        <f>IFERROR(IF(ISNUMBER(C2778),MAX(C2778,IFERROR(J2777,C2778)),""),"")</f>
        <v/>
      </c>
      <c r="K2778" s="29">
        <f>IFERROR(IF(AND(ISNUMBER(C2778),ISNUMBER(J2778)),C2778/J2778-1,""),"")</f>
        <v/>
      </c>
      <c r="L2778" s="28">
        <f>IFERROR(IF(AND(ISNUMBER(D2778),ISNUMBER(E2778)),D2778-E2778,""),"")</f>
        <v/>
      </c>
    </row>
    <row r="2779">
      <c r="A2779" s="7">
        <f>IFERROR(Datos!A2779,"")</f>
        <v/>
      </c>
      <c r="B2779" s="8">
        <f>IFERROR(Datos!B2779,"")</f>
        <v/>
      </c>
      <c r="C2779" s="8">
        <f>IFERROR(Datos!C2779,"")</f>
        <v/>
      </c>
      <c r="D2779" s="28">
        <f>IFERROR(IF(AND(ISNUMBER(B2779),ISNUMBER(B2778),B2778&lt;&gt;0),B2779/B2778-1,""),"")</f>
        <v/>
      </c>
      <c r="E2779" s="28">
        <f>IFERROR(IF(AND(ISNUMBER(C2779),ISNUMBER(C2778),C2778&lt;&gt;0),C2779/C2778-1,""),"")</f>
        <v/>
      </c>
      <c r="F2779" s="28">
        <f>IFERROR(D2779-Dashboard!$B$4/252,"")</f>
        <v/>
      </c>
      <c r="G2779" s="28">
        <f>IFERROR(E2779-Dashboard!$B$4/252,"")</f>
        <v/>
      </c>
      <c r="H2779" s="8">
        <f>IFERROR(IF(ISNUMBER(B2779),MAX(B2779,IFERROR(H2778,B2779)),""),"")</f>
        <v/>
      </c>
      <c r="I2779" s="29">
        <f>IFERROR(IF(AND(ISNUMBER(B2779),ISNUMBER(H2779)),B2779/H2779-1,""),"")</f>
        <v/>
      </c>
      <c r="J2779" s="8">
        <f>IFERROR(IF(ISNUMBER(C2779),MAX(C2779,IFERROR(J2778,C2779)),""),"")</f>
        <v/>
      </c>
      <c r="K2779" s="29">
        <f>IFERROR(IF(AND(ISNUMBER(C2779),ISNUMBER(J2779)),C2779/J2779-1,""),"")</f>
        <v/>
      </c>
      <c r="L2779" s="28">
        <f>IFERROR(IF(AND(ISNUMBER(D2779),ISNUMBER(E2779)),D2779-E2779,""),"")</f>
        <v/>
      </c>
    </row>
    <row r="2780">
      <c r="A2780" s="7">
        <f>IFERROR(Datos!A2780,"")</f>
        <v/>
      </c>
      <c r="B2780" s="8">
        <f>IFERROR(Datos!B2780,"")</f>
        <v/>
      </c>
      <c r="C2780" s="8">
        <f>IFERROR(Datos!C2780,"")</f>
        <v/>
      </c>
      <c r="D2780" s="28">
        <f>IFERROR(IF(AND(ISNUMBER(B2780),ISNUMBER(B2779),B2779&lt;&gt;0),B2780/B2779-1,""),"")</f>
        <v/>
      </c>
      <c r="E2780" s="28">
        <f>IFERROR(IF(AND(ISNUMBER(C2780),ISNUMBER(C2779),C2779&lt;&gt;0),C2780/C2779-1,""),"")</f>
        <v/>
      </c>
      <c r="F2780" s="28">
        <f>IFERROR(D2780-Dashboard!$B$4/252,"")</f>
        <v/>
      </c>
      <c r="G2780" s="28">
        <f>IFERROR(E2780-Dashboard!$B$4/252,"")</f>
        <v/>
      </c>
      <c r="H2780" s="8">
        <f>IFERROR(IF(ISNUMBER(B2780),MAX(B2780,IFERROR(H2779,B2780)),""),"")</f>
        <v/>
      </c>
      <c r="I2780" s="29">
        <f>IFERROR(IF(AND(ISNUMBER(B2780),ISNUMBER(H2780)),B2780/H2780-1,""),"")</f>
        <v/>
      </c>
      <c r="J2780" s="8">
        <f>IFERROR(IF(ISNUMBER(C2780),MAX(C2780,IFERROR(J2779,C2780)),""),"")</f>
        <v/>
      </c>
      <c r="K2780" s="29">
        <f>IFERROR(IF(AND(ISNUMBER(C2780),ISNUMBER(J2780)),C2780/J2780-1,""),"")</f>
        <v/>
      </c>
      <c r="L2780" s="28">
        <f>IFERROR(IF(AND(ISNUMBER(D2780),ISNUMBER(E2780)),D2780-E2780,""),"")</f>
        <v/>
      </c>
    </row>
    <row r="2781">
      <c r="A2781" s="7">
        <f>IFERROR(Datos!A2781,"")</f>
        <v/>
      </c>
      <c r="B2781" s="8">
        <f>IFERROR(Datos!B2781,"")</f>
        <v/>
      </c>
      <c r="C2781" s="8">
        <f>IFERROR(Datos!C2781,"")</f>
        <v/>
      </c>
      <c r="D2781" s="28">
        <f>IFERROR(IF(AND(ISNUMBER(B2781),ISNUMBER(B2780),B2780&lt;&gt;0),B2781/B2780-1,""),"")</f>
        <v/>
      </c>
      <c r="E2781" s="28">
        <f>IFERROR(IF(AND(ISNUMBER(C2781),ISNUMBER(C2780),C2780&lt;&gt;0),C2781/C2780-1,""),"")</f>
        <v/>
      </c>
      <c r="F2781" s="28">
        <f>IFERROR(D2781-Dashboard!$B$4/252,"")</f>
        <v/>
      </c>
      <c r="G2781" s="28">
        <f>IFERROR(E2781-Dashboard!$B$4/252,"")</f>
        <v/>
      </c>
      <c r="H2781" s="8">
        <f>IFERROR(IF(ISNUMBER(B2781),MAX(B2781,IFERROR(H2780,B2781)),""),"")</f>
        <v/>
      </c>
      <c r="I2781" s="29">
        <f>IFERROR(IF(AND(ISNUMBER(B2781),ISNUMBER(H2781)),B2781/H2781-1,""),"")</f>
        <v/>
      </c>
      <c r="J2781" s="8">
        <f>IFERROR(IF(ISNUMBER(C2781),MAX(C2781,IFERROR(J2780,C2781)),""),"")</f>
        <v/>
      </c>
      <c r="K2781" s="29">
        <f>IFERROR(IF(AND(ISNUMBER(C2781),ISNUMBER(J2781)),C2781/J2781-1,""),"")</f>
        <v/>
      </c>
      <c r="L2781" s="28">
        <f>IFERROR(IF(AND(ISNUMBER(D2781),ISNUMBER(E2781)),D2781-E2781,""),"")</f>
        <v/>
      </c>
    </row>
    <row r="2782">
      <c r="A2782" s="7">
        <f>IFERROR(Datos!A2782,"")</f>
        <v/>
      </c>
      <c r="B2782" s="8">
        <f>IFERROR(Datos!B2782,"")</f>
        <v/>
      </c>
      <c r="C2782" s="8">
        <f>IFERROR(Datos!C2782,"")</f>
        <v/>
      </c>
      <c r="D2782" s="28">
        <f>IFERROR(IF(AND(ISNUMBER(B2782),ISNUMBER(B2781),B2781&lt;&gt;0),B2782/B2781-1,""),"")</f>
        <v/>
      </c>
      <c r="E2782" s="28">
        <f>IFERROR(IF(AND(ISNUMBER(C2782),ISNUMBER(C2781),C2781&lt;&gt;0),C2782/C2781-1,""),"")</f>
        <v/>
      </c>
      <c r="F2782" s="28">
        <f>IFERROR(D2782-Dashboard!$B$4/252,"")</f>
        <v/>
      </c>
      <c r="G2782" s="28">
        <f>IFERROR(E2782-Dashboard!$B$4/252,"")</f>
        <v/>
      </c>
      <c r="H2782" s="8">
        <f>IFERROR(IF(ISNUMBER(B2782),MAX(B2782,IFERROR(H2781,B2782)),""),"")</f>
        <v/>
      </c>
      <c r="I2782" s="29">
        <f>IFERROR(IF(AND(ISNUMBER(B2782),ISNUMBER(H2782)),B2782/H2782-1,""),"")</f>
        <v/>
      </c>
      <c r="J2782" s="8">
        <f>IFERROR(IF(ISNUMBER(C2782),MAX(C2782,IFERROR(J2781,C2782)),""),"")</f>
        <v/>
      </c>
      <c r="K2782" s="29">
        <f>IFERROR(IF(AND(ISNUMBER(C2782),ISNUMBER(J2782)),C2782/J2782-1,""),"")</f>
        <v/>
      </c>
      <c r="L2782" s="28">
        <f>IFERROR(IF(AND(ISNUMBER(D2782),ISNUMBER(E2782)),D2782-E2782,""),"")</f>
        <v/>
      </c>
    </row>
    <row r="2783">
      <c r="A2783" s="7">
        <f>IFERROR(Datos!A2783,"")</f>
        <v/>
      </c>
      <c r="B2783" s="8">
        <f>IFERROR(Datos!B2783,"")</f>
        <v/>
      </c>
      <c r="C2783" s="8">
        <f>IFERROR(Datos!C2783,"")</f>
        <v/>
      </c>
      <c r="D2783" s="28">
        <f>IFERROR(IF(AND(ISNUMBER(B2783),ISNUMBER(B2782),B2782&lt;&gt;0),B2783/B2782-1,""),"")</f>
        <v/>
      </c>
      <c r="E2783" s="28">
        <f>IFERROR(IF(AND(ISNUMBER(C2783),ISNUMBER(C2782),C2782&lt;&gt;0),C2783/C2782-1,""),"")</f>
        <v/>
      </c>
      <c r="F2783" s="28">
        <f>IFERROR(D2783-Dashboard!$B$4/252,"")</f>
        <v/>
      </c>
      <c r="G2783" s="28">
        <f>IFERROR(E2783-Dashboard!$B$4/252,"")</f>
        <v/>
      </c>
      <c r="H2783" s="8">
        <f>IFERROR(IF(ISNUMBER(B2783),MAX(B2783,IFERROR(H2782,B2783)),""),"")</f>
        <v/>
      </c>
      <c r="I2783" s="29">
        <f>IFERROR(IF(AND(ISNUMBER(B2783),ISNUMBER(H2783)),B2783/H2783-1,""),"")</f>
        <v/>
      </c>
      <c r="J2783" s="8">
        <f>IFERROR(IF(ISNUMBER(C2783),MAX(C2783,IFERROR(J2782,C2783)),""),"")</f>
        <v/>
      </c>
      <c r="K2783" s="29">
        <f>IFERROR(IF(AND(ISNUMBER(C2783),ISNUMBER(J2783)),C2783/J2783-1,""),"")</f>
        <v/>
      </c>
      <c r="L2783" s="28">
        <f>IFERROR(IF(AND(ISNUMBER(D2783),ISNUMBER(E2783)),D2783-E2783,""),"")</f>
        <v/>
      </c>
    </row>
    <row r="2784">
      <c r="A2784" s="7">
        <f>IFERROR(Datos!A2784,"")</f>
        <v/>
      </c>
      <c r="B2784" s="8">
        <f>IFERROR(Datos!B2784,"")</f>
        <v/>
      </c>
      <c r="C2784" s="8">
        <f>IFERROR(Datos!C2784,"")</f>
        <v/>
      </c>
      <c r="D2784" s="28">
        <f>IFERROR(IF(AND(ISNUMBER(B2784),ISNUMBER(B2783),B2783&lt;&gt;0),B2784/B2783-1,""),"")</f>
        <v/>
      </c>
      <c r="E2784" s="28">
        <f>IFERROR(IF(AND(ISNUMBER(C2784),ISNUMBER(C2783),C2783&lt;&gt;0),C2784/C2783-1,""),"")</f>
        <v/>
      </c>
      <c r="F2784" s="28">
        <f>IFERROR(D2784-Dashboard!$B$4/252,"")</f>
        <v/>
      </c>
      <c r="G2784" s="28">
        <f>IFERROR(E2784-Dashboard!$B$4/252,"")</f>
        <v/>
      </c>
      <c r="H2784" s="8">
        <f>IFERROR(IF(ISNUMBER(B2784),MAX(B2784,IFERROR(H2783,B2784)),""),"")</f>
        <v/>
      </c>
      <c r="I2784" s="29">
        <f>IFERROR(IF(AND(ISNUMBER(B2784),ISNUMBER(H2784)),B2784/H2784-1,""),"")</f>
        <v/>
      </c>
      <c r="J2784" s="8">
        <f>IFERROR(IF(ISNUMBER(C2784),MAX(C2784,IFERROR(J2783,C2784)),""),"")</f>
        <v/>
      </c>
      <c r="K2784" s="29">
        <f>IFERROR(IF(AND(ISNUMBER(C2784),ISNUMBER(J2784)),C2784/J2784-1,""),"")</f>
        <v/>
      </c>
      <c r="L2784" s="28">
        <f>IFERROR(IF(AND(ISNUMBER(D2784),ISNUMBER(E2784)),D2784-E2784,""),"")</f>
        <v/>
      </c>
    </row>
    <row r="2785">
      <c r="A2785" s="7">
        <f>IFERROR(Datos!A2785,"")</f>
        <v/>
      </c>
      <c r="B2785" s="8">
        <f>IFERROR(Datos!B2785,"")</f>
        <v/>
      </c>
      <c r="C2785" s="8">
        <f>IFERROR(Datos!C2785,"")</f>
        <v/>
      </c>
      <c r="D2785" s="28">
        <f>IFERROR(IF(AND(ISNUMBER(B2785),ISNUMBER(B2784),B2784&lt;&gt;0),B2785/B2784-1,""),"")</f>
        <v/>
      </c>
      <c r="E2785" s="28">
        <f>IFERROR(IF(AND(ISNUMBER(C2785),ISNUMBER(C2784),C2784&lt;&gt;0),C2785/C2784-1,""),"")</f>
        <v/>
      </c>
      <c r="F2785" s="28">
        <f>IFERROR(D2785-Dashboard!$B$4/252,"")</f>
        <v/>
      </c>
      <c r="G2785" s="28">
        <f>IFERROR(E2785-Dashboard!$B$4/252,"")</f>
        <v/>
      </c>
      <c r="H2785" s="8">
        <f>IFERROR(IF(ISNUMBER(B2785),MAX(B2785,IFERROR(H2784,B2785)),""),"")</f>
        <v/>
      </c>
      <c r="I2785" s="29">
        <f>IFERROR(IF(AND(ISNUMBER(B2785),ISNUMBER(H2785)),B2785/H2785-1,""),"")</f>
        <v/>
      </c>
      <c r="J2785" s="8">
        <f>IFERROR(IF(ISNUMBER(C2785),MAX(C2785,IFERROR(J2784,C2785)),""),"")</f>
        <v/>
      </c>
      <c r="K2785" s="29">
        <f>IFERROR(IF(AND(ISNUMBER(C2785),ISNUMBER(J2785)),C2785/J2785-1,""),"")</f>
        <v/>
      </c>
      <c r="L2785" s="28">
        <f>IFERROR(IF(AND(ISNUMBER(D2785),ISNUMBER(E2785)),D2785-E2785,""),"")</f>
        <v/>
      </c>
    </row>
    <row r="2786">
      <c r="A2786" s="7">
        <f>IFERROR(Datos!A2786,"")</f>
        <v/>
      </c>
      <c r="B2786" s="8">
        <f>IFERROR(Datos!B2786,"")</f>
        <v/>
      </c>
      <c r="C2786" s="8">
        <f>IFERROR(Datos!C2786,"")</f>
        <v/>
      </c>
      <c r="D2786" s="28">
        <f>IFERROR(IF(AND(ISNUMBER(B2786),ISNUMBER(B2785),B2785&lt;&gt;0),B2786/B2785-1,""),"")</f>
        <v/>
      </c>
      <c r="E2786" s="28">
        <f>IFERROR(IF(AND(ISNUMBER(C2786),ISNUMBER(C2785),C2785&lt;&gt;0),C2786/C2785-1,""),"")</f>
        <v/>
      </c>
      <c r="F2786" s="28">
        <f>IFERROR(D2786-Dashboard!$B$4/252,"")</f>
        <v/>
      </c>
      <c r="G2786" s="28">
        <f>IFERROR(E2786-Dashboard!$B$4/252,"")</f>
        <v/>
      </c>
      <c r="H2786" s="8">
        <f>IFERROR(IF(ISNUMBER(B2786),MAX(B2786,IFERROR(H2785,B2786)),""),"")</f>
        <v/>
      </c>
      <c r="I2786" s="29">
        <f>IFERROR(IF(AND(ISNUMBER(B2786),ISNUMBER(H2786)),B2786/H2786-1,""),"")</f>
        <v/>
      </c>
      <c r="J2786" s="8">
        <f>IFERROR(IF(ISNUMBER(C2786),MAX(C2786,IFERROR(J2785,C2786)),""),"")</f>
        <v/>
      </c>
      <c r="K2786" s="29">
        <f>IFERROR(IF(AND(ISNUMBER(C2786),ISNUMBER(J2786)),C2786/J2786-1,""),"")</f>
        <v/>
      </c>
      <c r="L2786" s="28">
        <f>IFERROR(IF(AND(ISNUMBER(D2786),ISNUMBER(E2786)),D2786-E2786,""),"")</f>
        <v/>
      </c>
    </row>
    <row r="2787">
      <c r="A2787" s="7">
        <f>IFERROR(Datos!A2787,"")</f>
        <v/>
      </c>
      <c r="B2787" s="8">
        <f>IFERROR(Datos!B2787,"")</f>
        <v/>
      </c>
      <c r="C2787" s="8">
        <f>IFERROR(Datos!C2787,"")</f>
        <v/>
      </c>
      <c r="D2787" s="28">
        <f>IFERROR(IF(AND(ISNUMBER(B2787),ISNUMBER(B2786),B2786&lt;&gt;0),B2787/B2786-1,""),"")</f>
        <v/>
      </c>
      <c r="E2787" s="28">
        <f>IFERROR(IF(AND(ISNUMBER(C2787),ISNUMBER(C2786),C2786&lt;&gt;0),C2787/C2786-1,""),"")</f>
        <v/>
      </c>
      <c r="F2787" s="28">
        <f>IFERROR(D2787-Dashboard!$B$4/252,"")</f>
        <v/>
      </c>
      <c r="G2787" s="28">
        <f>IFERROR(E2787-Dashboard!$B$4/252,"")</f>
        <v/>
      </c>
      <c r="H2787" s="8">
        <f>IFERROR(IF(ISNUMBER(B2787),MAX(B2787,IFERROR(H2786,B2787)),""),"")</f>
        <v/>
      </c>
      <c r="I2787" s="29">
        <f>IFERROR(IF(AND(ISNUMBER(B2787),ISNUMBER(H2787)),B2787/H2787-1,""),"")</f>
        <v/>
      </c>
      <c r="J2787" s="8">
        <f>IFERROR(IF(ISNUMBER(C2787),MAX(C2787,IFERROR(J2786,C2787)),""),"")</f>
        <v/>
      </c>
      <c r="K2787" s="29">
        <f>IFERROR(IF(AND(ISNUMBER(C2787),ISNUMBER(J2787)),C2787/J2787-1,""),"")</f>
        <v/>
      </c>
      <c r="L2787" s="28">
        <f>IFERROR(IF(AND(ISNUMBER(D2787),ISNUMBER(E2787)),D2787-E2787,""),"")</f>
        <v/>
      </c>
    </row>
    <row r="2788">
      <c r="A2788" s="7">
        <f>IFERROR(Datos!A2788,"")</f>
        <v/>
      </c>
      <c r="B2788" s="8">
        <f>IFERROR(Datos!B2788,"")</f>
        <v/>
      </c>
      <c r="C2788" s="8">
        <f>IFERROR(Datos!C2788,"")</f>
        <v/>
      </c>
      <c r="D2788" s="28">
        <f>IFERROR(IF(AND(ISNUMBER(B2788),ISNUMBER(B2787),B2787&lt;&gt;0),B2788/B2787-1,""),"")</f>
        <v/>
      </c>
      <c r="E2788" s="28">
        <f>IFERROR(IF(AND(ISNUMBER(C2788),ISNUMBER(C2787),C2787&lt;&gt;0),C2788/C2787-1,""),"")</f>
        <v/>
      </c>
      <c r="F2788" s="28">
        <f>IFERROR(D2788-Dashboard!$B$4/252,"")</f>
        <v/>
      </c>
      <c r="G2788" s="28">
        <f>IFERROR(E2788-Dashboard!$B$4/252,"")</f>
        <v/>
      </c>
      <c r="H2788" s="8">
        <f>IFERROR(IF(ISNUMBER(B2788),MAX(B2788,IFERROR(H2787,B2788)),""),"")</f>
        <v/>
      </c>
      <c r="I2788" s="29">
        <f>IFERROR(IF(AND(ISNUMBER(B2788),ISNUMBER(H2788)),B2788/H2788-1,""),"")</f>
        <v/>
      </c>
      <c r="J2788" s="8">
        <f>IFERROR(IF(ISNUMBER(C2788),MAX(C2788,IFERROR(J2787,C2788)),""),"")</f>
        <v/>
      </c>
      <c r="K2788" s="29">
        <f>IFERROR(IF(AND(ISNUMBER(C2788),ISNUMBER(J2788)),C2788/J2788-1,""),"")</f>
        <v/>
      </c>
      <c r="L2788" s="28">
        <f>IFERROR(IF(AND(ISNUMBER(D2788),ISNUMBER(E2788)),D2788-E2788,""),"")</f>
        <v/>
      </c>
    </row>
    <row r="2789">
      <c r="A2789" s="7">
        <f>IFERROR(Datos!A2789,"")</f>
        <v/>
      </c>
      <c r="B2789" s="8">
        <f>IFERROR(Datos!B2789,"")</f>
        <v/>
      </c>
      <c r="C2789" s="8">
        <f>IFERROR(Datos!C2789,"")</f>
        <v/>
      </c>
      <c r="D2789" s="28">
        <f>IFERROR(IF(AND(ISNUMBER(B2789),ISNUMBER(B2788),B2788&lt;&gt;0),B2789/B2788-1,""),"")</f>
        <v/>
      </c>
      <c r="E2789" s="28">
        <f>IFERROR(IF(AND(ISNUMBER(C2789),ISNUMBER(C2788),C2788&lt;&gt;0),C2789/C2788-1,""),"")</f>
        <v/>
      </c>
      <c r="F2789" s="28">
        <f>IFERROR(D2789-Dashboard!$B$4/252,"")</f>
        <v/>
      </c>
      <c r="G2789" s="28">
        <f>IFERROR(E2789-Dashboard!$B$4/252,"")</f>
        <v/>
      </c>
      <c r="H2789" s="8">
        <f>IFERROR(IF(ISNUMBER(B2789),MAX(B2789,IFERROR(H2788,B2789)),""),"")</f>
        <v/>
      </c>
      <c r="I2789" s="29">
        <f>IFERROR(IF(AND(ISNUMBER(B2789),ISNUMBER(H2789)),B2789/H2789-1,""),"")</f>
        <v/>
      </c>
      <c r="J2789" s="8">
        <f>IFERROR(IF(ISNUMBER(C2789),MAX(C2789,IFERROR(J2788,C2789)),""),"")</f>
        <v/>
      </c>
      <c r="K2789" s="29">
        <f>IFERROR(IF(AND(ISNUMBER(C2789),ISNUMBER(J2789)),C2789/J2789-1,""),"")</f>
        <v/>
      </c>
      <c r="L2789" s="28">
        <f>IFERROR(IF(AND(ISNUMBER(D2789),ISNUMBER(E2789)),D2789-E2789,""),"")</f>
        <v/>
      </c>
    </row>
    <row r="2790">
      <c r="A2790" s="7">
        <f>IFERROR(Datos!A2790,"")</f>
        <v/>
      </c>
      <c r="B2790" s="8">
        <f>IFERROR(Datos!B2790,"")</f>
        <v/>
      </c>
      <c r="C2790" s="8">
        <f>IFERROR(Datos!C2790,"")</f>
        <v/>
      </c>
      <c r="D2790" s="28">
        <f>IFERROR(IF(AND(ISNUMBER(B2790),ISNUMBER(B2789),B2789&lt;&gt;0),B2790/B2789-1,""),"")</f>
        <v/>
      </c>
      <c r="E2790" s="28">
        <f>IFERROR(IF(AND(ISNUMBER(C2790),ISNUMBER(C2789),C2789&lt;&gt;0),C2790/C2789-1,""),"")</f>
        <v/>
      </c>
      <c r="F2790" s="28">
        <f>IFERROR(D2790-Dashboard!$B$4/252,"")</f>
        <v/>
      </c>
      <c r="G2790" s="28">
        <f>IFERROR(E2790-Dashboard!$B$4/252,"")</f>
        <v/>
      </c>
      <c r="H2790" s="8">
        <f>IFERROR(IF(ISNUMBER(B2790),MAX(B2790,IFERROR(H2789,B2790)),""),"")</f>
        <v/>
      </c>
      <c r="I2790" s="29">
        <f>IFERROR(IF(AND(ISNUMBER(B2790),ISNUMBER(H2790)),B2790/H2790-1,""),"")</f>
        <v/>
      </c>
      <c r="J2790" s="8">
        <f>IFERROR(IF(ISNUMBER(C2790),MAX(C2790,IFERROR(J2789,C2790)),""),"")</f>
        <v/>
      </c>
      <c r="K2790" s="29">
        <f>IFERROR(IF(AND(ISNUMBER(C2790),ISNUMBER(J2790)),C2790/J2790-1,""),"")</f>
        <v/>
      </c>
      <c r="L2790" s="28">
        <f>IFERROR(IF(AND(ISNUMBER(D2790),ISNUMBER(E2790)),D2790-E2790,""),"")</f>
        <v/>
      </c>
    </row>
    <row r="2791">
      <c r="A2791" s="7">
        <f>IFERROR(Datos!A2791,"")</f>
        <v/>
      </c>
      <c r="B2791" s="8">
        <f>IFERROR(Datos!B2791,"")</f>
        <v/>
      </c>
      <c r="C2791" s="8">
        <f>IFERROR(Datos!C2791,"")</f>
        <v/>
      </c>
      <c r="D2791" s="28">
        <f>IFERROR(IF(AND(ISNUMBER(B2791),ISNUMBER(B2790),B2790&lt;&gt;0),B2791/B2790-1,""),"")</f>
        <v/>
      </c>
      <c r="E2791" s="28">
        <f>IFERROR(IF(AND(ISNUMBER(C2791),ISNUMBER(C2790),C2790&lt;&gt;0),C2791/C2790-1,""),"")</f>
        <v/>
      </c>
      <c r="F2791" s="28">
        <f>IFERROR(D2791-Dashboard!$B$4/252,"")</f>
        <v/>
      </c>
      <c r="G2791" s="28">
        <f>IFERROR(E2791-Dashboard!$B$4/252,"")</f>
        <v/>
      </c>
      <c r="H2791" s="8">
        <f>IFERROR(IF(ISNUMBER(B2791),MAX(B2791,IFERROR(H2790,B2791)),""),"")</f>
        <v/>
      </c>
      <c r="I2791" s="29">
        <f>IFERROR(IF(AND(ISNUMBER(B2791),ISNUMBER(H2791)),B2791/H2791-1,""),"")</f>
        <v/>
      </c>
      <c r="J2791" s="8">
        <f>IFERROR(IF(ISNUMBER(C2791),MAX(C2791,IFERROR(J2790,C2791)),""),"")</f>
        <v/>
      </c>
      <c r="K2791" s="29">
        <f>IFERROR(IF(AND(ISNUMBER(C2791),ISNUMBER(J2791)),C2791/J2791-1,""),"")</f>
        <v/>
      </c>
      <c r="L2791" s="28">
        <f>IFERROR(IF(AND(ISNUMBER(D2791),ISNUMBER(E2791)),D2791-E2791,""),"")</f>
        <v/>
      </c>
    </row>
    <row r="2792">
      <c r="A2792" s="7">
        <f>IFERROR(Datos!A2792,"")</f>
        <v/>
      </c>
      <c r="B2792" s="8">
        <f>IFERROR(Datos!B2792,"")</f>
        <v/>
      </c>
      <c r="C2792" s="8">
        <f>IFERROR(Datos!C2792,"")</f>
        <v/>
      </c>
      <c r="D2792" s="28">
        <f>IFERROR(IF(AND(ISNUMBER(B2792),ISNUMBER(B2791),B2791&lt;&gt;0),B2792/B2791-1,""),"")</f>
        <v/>
      </c>
      <c r="E2792" s="28">
        <f>IFERROR(IF(AND(ISNUMBER(C2792),ISNUMBER(C2791),C2791&lt;&gt;0),C2792/C2791-1,""),"")</f>
        <v/>
      </c>
      <c r="F2792" s="28">
        <f>IFERROR(D2792-Dashboard!$B$4/252,"")</f>
        <v/>
      </c>
      <c r="G2792" s="28">
        <f>IFERROR(E2792-Dashboard!$B$4/252,"")</f>
        <v/>
      </c>
      <c r="H2792" s="8">
        <f>IFERROR(IF(ISNUMBER(B2792),MAX(B2792,IFERROR(H2791,B2792)),""),"")</f>
        <v/>
      </c>
      <c r="I2792" s="29">
        <f>IFERROR(IF(AND(ISNUMBER(B2792),ISNUMBER(H2792)),B2792/H2792-1,""),"")</f>
        <v/>
      </c>
      <c r="J2792" s="8">
        <f>IFERROR(IF(ISNUMBER(C2792),MAX(C2792,IFERROR(J2791,C2792)),""),"")</f>
        <v/>
      </c>
      <c r="K2792" s="29">
        <f>IFERROR(IF(AND(ISNUMBER(C2792),ISNUMBER(J2792)),C2792/J2792-1,""),"")</f>
        <v/>
      </c>
      <c r="L2792" s="28">
        <f>IFERROR(IF(AND(ISNUMBER(D2792),ISNUMBER(E2792)),D2792-E2792,""),"")</f>
        <v/>
      </c>
    </row>
    <row r="2793">
      <c r="A2793" s="7">
        <f>IFERROR(Datos!A2793,"")</f>
        <v/>
      </c>
      <c r="B2793" s="8">
        <f>IFERROR(Datos!B2793,"")</f>
        <v/>
      </c>
      <c r="C2793" s="8">
        <f>IFERROR(Datos!C2793,"")</f>
        <v/>
      </c>
      <c r="D2793" s="28">
        <f>IFERROR(IF(AND(ISNUMBER(B2793),ISNUMBER(B2792),B2792&lt;&gt;0),B2793/B2792-1,""),"")</f>
        <v/>
      </c>
      <c r="E2793" s="28">
        <f>IFERROR(IF(AND(ISNUMBER(C2793),ISNUMBER(C2792),C2792&lt;&gt;0),C2793/C2792-1,""),"")</f>
        <v/>
      </c>
      <c r="F2793" s="28">
        <f>IFERROR(D2793-Dashboard!$B$4/252,"")</f>
        <v/>
      </c>
      <c r="G2793" s="28">
        <f>IFERROR(E2793-Dashboard!$B$4/252,"")</f>
        <v/>
      </c>
      <c r="H2793" s="8">
        <f>IFERROR(IF(ISNUMBER(B2793),MAX(B2793,IFERROR(H2792,B2793)),""),"")</f>
        <v/>
      </c>
      <c r="I2793" s="29">
        <f>IFERROR(IF(AND(ISNUMBER(B2793),ISNUMBER(H2793)),B2793/H2793-1,""),"")</f>
        <v/>
      </c>
      <c r="J2793" s="8">
        <f>IFERROR(IF(ISNUMBER(C2793),MAX(C2793,IFERROR(J2792,C2793)),""),"")</f>
        <v/>
      </c>
      <c r="K2793" s="29">
        <f>IFERROR(IF(AND(ISNUMBER(C2793),ISNUMBER(J2793)),C2793/J2793-1,""),"")</f>
        <v/>
      </c>
      <c r="L2793" s="28">
        <f>IFERROR(IF(AND(ISNUMBER(D2793),ISNUMBER(E2793)),D2793-E2793,""),"")</f>
        <v/>
      </c>
    </row>
    <row r="2794">
      <c r="A2794" s="7">
        <f>IFERROR(Datos!A2794,"")</f>
        <v/>
      </c>
      <c r="B2794" s="8">
        <f>IFERROR(Datos!B2794,"")</f>
        <v/>
      </c>
      <c r="C2794" s="8">
        <f>IFERROR(Datos!C2794,"")</f>
        <v/>
      </c>
      <c r="D2794" s="28">
        <f>IFERROR(IF(AND(ISNUMBER(B2794),ISNUMBER(B2793),B2793&lt;&gt;0),B2794/B2793-1,""),"")</f>
        <v/>
      </c>
      <c r="E2794" s="28">
        <f>IFERROR(IF(AND(ISNUMBER(C2794),ISNUMBER(C2793),C2793&lt;&gt;0),C2794/C2793-1,""),"")</f>
        <v/>
      </c>
      <c r="F2794" s="28">
        <f>IFERROR(D2794-Dashboard!$B$4/252,"")</f>
        <v/>
      </c>
      <c r="G2794" s="28">
        <f>IFERROR(E2794-Dashboard!$B$4/252,"")</f>
        <v/>
      </c>
      <c r="H2794" s="8">
        <f>IFERROR(IF(ISNUMBER(B2794),MAX(B2794,IFERROR(H2793,B2794)),""),"")</f>
        <v/>
      </c>
      <c r="I2794" s="29">
        <f>IFERROR(IF(AND(ISNUMBER(B2794),ISNUMBER(H2794)),B2794/H2794-1,""),"")</f>
        <v/>
      </c>
      <c r="J2794" s="8">
        <f>IFERROR(IF(ISNUMBER(C2794),MAX(C2794,IFERROR(J2793,C2794)),""),"")</f>
        <v/>
      </c>
      <c r="K2794" s="29">
        <f>IFERROR(IF(AND(ISNUMBER(C2794),ISNUMBER(J2794)),C2794/J2794-1,""),"")</f>
        <v/>
      </c>
      <c r="L2794" s="28">
        <f>IFERROR(IF(AND(ISNUMBER(D2794),ISNUMBER(E2794)),D2794-E2794,""),"")</f>
        <v/>
      </c>
    </row>
    <row r="2795">
      <c r="A2795" s="7">
        <f>IFERROR(Datos!A2795,"")</f>
        <v/>
      </c>
      <c r="B2795" s="8">
        <f>IFERROR(Datos!B2795,"")</f>
        <v/>
      </c>
      <c r="C2795" s="8">
        <f>IFERROR(Datos!C2795,"")</f>
        <v/>
      </c>
      <c r="D2795" s="28">
        <f>IFERROR(IF(AND(ISNUMBER(B2795),ISNUMBER(B2794),B2794&lt;&gt;0),B2795/B2794-1,""),"")</f>
        <v/>
      </c>
      <c r="E2795" s="28">
        <f>IFERROR(IF(AND(ISNUMBER(C2795),ISNUMBER(C2794),C2794&lt;&gt;0),C2795/C2794-1,""),"")</f>
        <v/>
      </c>
      <c r="F2795" s="28">
        <f>IFERROR(D2795-Dashboard!$B$4/252,"")</f>
        <v/>
      </c>
      <c r="G2795" s="28">
        <f>IFERROR(E2795-Dashboard!$B$4/252,"")</f>
        <v/>
      </c>
      <c r="H2795" s="8">
        <f>IFERROR(IF(ISNUMBER(B2795),MAX(B2795,IFERROR(H2794,B2795)),""),"")</f>
        <v/>
      </c>
      <c r="I2795" s="29">
        <f>IFERROR(IF(AND(ISNUMBER(B2795),ISNUMBER(H2795)),B2795/H2795-1,""),"")</f>
        <v/>
      </c>
      <c r="J2795" s="8">
        <f>IFERROR(IF(ISNUMBER(C2795),MAX(C2795,IFERROR(J2794,C2795)),""),"")</f>
        <v/>
      </c>
      <c r="K2795" s="29">
        <f>IFERROR(IF(AND(ISNUMBER(C2795),ISNUMBER(J2795)),C2795/J2795-1,""),"")</f>
        <v/>
      </c>
      <c r="L2795" s="28">
        <f>IFERROR(IF(AND(ISNUMBER(D2795),ISNUMBER(E2795)),D2795-E2795,""),"")</f>
        <v/>
      </c>
    </row>
    <row r="2796">
      <c r="A2796" s="7">
        <f>IFERROR(Datos!A2796,"")</f>
        <v/>
      </c>
      <c r="B2796" s="8">
        <f>IFERROR(Datos!B2796,"")</f>
        <v/>
      </c>
      <c r="C2796" s="8">
        <f>IFERROR(Datos!C2796,"")</f>
        <v/>
      </c>
      <c r="D2796" s="28">
        <f>IFERROR(IF(AND(ISNUMBER(B2796),ISNUMBER(B2795),B2795&lt;&gt;0),B2796/B2795-1,""),"")</f>
        <v/>
      </c>
      <c r="E2796" s="28">
        <f>IFERROR(IF(AND(ISNUMBER(C2796),ISNUMBER(C2795),C2795&lt;&gt;0),C2796/C2795-1,""),"")</f>
        <v/>
      </c>
      <c r="F2796" s="28">
        <f>IFERROR(D2796-Dashboard!$B$4/252,"")</f>
        <v/>
      </c>
      <c r="G2796" s="28">
        <f>IFERROR(E2796-Dashboard!$B$4/252,"")</f>
        <v/>
      </c>
      <c r="H2796" s="8">
        <f>IFERROR(IF(ISNUMBER(B2796),MAX(B2796,IFERROR(H2795,B2796)),""),"")</f>
        <v/>
      </c>
      <c r="I2796" s="29">
        <f>IFERROR(IF(AND(ISNUMBER(B2796),ISNUMBER(H2796)),B2796/H2796-1,""),"")</f>
        <v/>
      </c>
      <c r="J2796" s="8">
        <f>IFERROR(IF(ISNUMBER(C2796),MAX(C2796,IFERROR(J2795,C2796)),""),"")</f>
        <v/>
      </c>
      <c r="K2796" s="29">
        <f>IFERROR(IF(AND(ISNUMBER(C2796),ISNUMBER(J2796)),C2796/J2796-1,""),"")</f>
        <v/>
      </c>
      <c r="L2796" s="28">
        <f>IFERROR(IF(AND(ISNUMBER(D2796),ISNUMBER(E2796)),D2796-E2796,""),"")</f>
        <v/>
      </c>
    </row>
    <row r="2797">
      <c r="A2797" s="7">
        <f>IFERROR(Datos!A2797,"")</f>
        <v/>
      </c>
      <c r="B2797" s="8">
        <f>IFERROR(Datos!B2797,"")</f>
        <v/>
      </c>
      <c r="C2797" s="8">
        <f>IFERROR(Datos!C2797,"")</f>
        <v/>
      </c>
      <c r="D2797" s="28">
        <f>IFERROR(IF(AND(ISNUMBER(B2797),ISNUMBER(B2796),B2796&lt;&gt;0),B2797/B2796-1,""),"")</f>
        <v/>
      </c>
      <c r="E2797" s="28">
        <f>IFERROR(IF(AND(ISNUMBER(C2797),ISNUMBER(C2796),C2796&lt;&gt;0),C2797/C2796-1,""),"")</f>
        <v/>
      </c>
      <c r="F2797" s="28">
        <f>IFERROR(D2797-Dashboard!$B$4/252,"")</f>
        <v/>
      </c>
      <c r="G2797" s="28">
        <f>IFERROR(E2797-Dashboard!$B$4/252,"")</f>
        <v/>
      </c>
      <c r="H2797" s="8">
        <f>IFERROR(IF(ISNUMBER(B2797),MAX(B2797,IFERROR(H2796,B2797)),""),"")</f>
        <v/>
      </c>
      <c r="I2797" s="29">
        <f>IFERROR(IF(AND(ISNUMBER(B2797),ISNUMBER(H2797)),B2797/H2797-1,""),"")</f>
        <v/>
      </c>
      <c r="J2797" s="8">
        <f>IFERROR(IF(ISNUMBER(C2797),MAX(C2797,IFERROR(J2796,C2797)),""),"")</f>
        <v/>
      </c>
      <c r="K2797" s="29">
        <f>IFERROR(IF(AND(ISNUMBER(C2797),ISNUMBER(J2797)),C2797/J2797-1,""),"")</f>
        <v/>
      </c>
      <c r="L2797" s="28">
        <f>IFERROR(IF(AND(ISNUMBER(D2797),ISNUMBER(E2797)),D2797-E2797,""),"")</f>
        <v/>
      </c>
    </row>
    <row r="2798">
      <c r="A2798" s="7">
        <f>IFERROR(Datos!A2798,"")</f>
        <v/>
      </c>
      <c r="B2798" s="8">
        <f>IFERROR(Datos!B2798,"")</f>
        <v/>
      </c>
      <c r="C2798" s="8">
        <f>IFERROR(Datos!C2798,"")</f>
        <v/>
      </c>
      <c r="D2798" s="28">
        <f>IFERROR(IF(AND(ISNUMBER(B2798),ISNUMBER(B2797),B2797&lt;&gt;0),B2798/B2797-1,""),"")</f>
        <v/>
      </c>
      <c r="E2798" s="28">
        <f>IFERROR(IF(AND(ISNUMBER(C2798),ISNUMBER(C2797),C2797&lt;&gt;0),C2798/C2797-1,""),"")</f>
        <v/>
      </c>
      <c r="F2798" s="28">
        <f>IFERROR(D2798-Dashboard!$B$4/252,"")</f>
        <v/>
      </c>
      <c r="G2798" s="28">
        <f>IFERROR(E2798-Dashboard!$B$4/252,"")</f>
        <v/>
      </c>
      <c r="H2798" s="8">
        <f>IFERROR(IF(ISNUMBER(B2798),MAX(B2798,IFERROR(H2797,B2798)),""),"")</f>
        <v/>
      </c>
      <c r="I2798" s="29">
        <f>IFERROR(IF(AND(ISNUMBER(B2798),ISNUMBER(H2798)),B2798/H2798-1,""),"")</f>
        <v/>
      </c>
      <c r="J2798" s="8">
        <f>IFERROR(IF(ISNUMBER(C2798),MAX(C2798,IFERROR(J2797,C2798)),""),"")</f>
        <v/>
      </c>
      <c r="K2798" s="29">
        <f>IFERROR(IF(AND(ISNUMBER(C2798),ISNUMBER(J2798)),C2798/J2798-1,""),"")</f>
        <v/>
      </c>
      <c r="L2798" s="28">
        <f>IFERROR(IF(AND(ISNUMBER(D2798),ISNUMBER(E2798)),D2798-E2798,""),"")</f>
        <v/>
      </c>
    </row>
    <row r="2799">
      <c r="A2799" s="7">
        <f>IFERROR(Datos!A2799,"")</f>
        <v/>
      </c>
      <c r="B2799" s="8">
        <f>IFERROR(Datos!B2799,"")</f>
        <v/>
      </c>
      <c r="C2799" s="8">
        <f>IFERROR(Datos!C2799,"")</f>
        <v/>
      </c>
      <c r="D2799" s="28">
        <f>IFERROR(IF(AND(ISNUMBER(B2799),ISNUMBER(B2798),B2798&lt;&gt;0),B2799/B2798-1,""),"")</f>
        <v/>
      </c>
      <c r="E2799" s="28">
        <f>IFERROR(IF(AND(ISNUMBER(C2799),ISNUMBER(C2798),C2798&lt;&gt;0),C2799/C2798-1,""),"")</f>
        <v/>
      </c>
      <c r="F2799" s="28">
        <f>IFERROR(D2799-Dashboard!$B$4/252,"")</f>
        <v/>
      </c>
      <c r="G2799" s="28">
        <f>IFERROR(E2799-Dashboard!$B$4/252,"")</f>
        <v/>
      </c>
      <c r="H2799" s="8">
        <f>IFERROR(IF(ISNUMBER(B2799),MAX(B2799,IFERROR(H2798,B2799)),""),"")</f>
        <v/>
      </c>
      <c r="I2799" s="29">
        <f>IFERROR(IF(AND(ISNUMBER(B2799),ISNUMBER(H2799)),B2799/H2799-1,""),"")</f>
        <v/>
      </c>
      <c r="J2799" s="8">
        <f>IFERROR(IF(ISNUMBER(C2799),MAX(C2799,IFERROR(J2798,C2799)),""),"")</f>
        <v/>
      </c>
      <c r="K2799" s="29">
        <f>IFERROR(IF(AND(ISNUMBER(C2799),ISNUMBER(J2799)),C2799/J2799-1,""),"")</f>
        <v/>
      </c>
      <c r="L2799" s="28">
        <f>IFERROR(IF(AND(ISNUMBER(D2799),ISNUMBER(E2799)),D2799-E2799,""),"")</f>
        <v/>
      </c>
    </row>
    <row r="2800">
      <c r="A2800" s="7">
        <f>IFERROR(Datos!A2800,"")</f>
        <v/>
      </c>
      <c r="B2800" s="8">
        <f>IFERROR(Datos!B2800,"")</f>
        <v/>
      </c>
      <c r="C2800" s="8">
        <f>IFERROR(Datos!C2800,"")</f>
        <v/>
      </c>
      <c r="D2800" s="28">
        <f>IFERROR(IF(AND(ISNUMBER(B2800),ISNUMBER(B2799),B2799&lt;&gt;0),B2800/B2799-1,""),"")</f>
        <v/>
      </c>
      <c r="E2800" s="28">
        <f>IFERROR(IF(AND(ISNUMBER(C2800),ISNUMBER(C2799),C2799&lt;&gt;0),C2800/C2799-1,""),"")</f>
        <v/>
      </c>
      <c r="F2800" s="28">
        <f>IFERROR(D2800-Dashboard!$B$4/252,"")</f>
        <v/>
      </c>
      <c r="G2800" s="28">
        <f>IFERROR(E2800-Dashboard!$B$4/252,"")</f>
        <v/>
      </c>
      <c r="H2800" s="8">
        <f>IFERROR(IF(ISNUMBER(B2800),MAX(B2800,IFERROR(H2799,B2800)),""),"")</f>
        <v/>
      </c>
      <c r="I2800" s="29">
        <f>IFERROR(IF(AND(ISNUMBER(B2800),ISNUMBER(H2800)),B2800/H2800-1,""),"")</f>
        <v/>
      </c>
      <c r="J2800" s="8">
        <f>IFERROR(IF(ISNUMBER(C2800),MAX(C2800,IFERROR(J2799,C2800)),""),"")</f>
        <v/>
      </c>
      <c r="K2800" s="29">
        <f>IFERROR(IF(AND(ISNUMBER(C2800),ISNUMBER(J2800)),C2800/J2800-1,""),"")</f>
        <v/>
      </c>
      <c r="L2800" s="28">
        <f>IFERROR(IF(AND(ISNUMBER(D2800),ISNUMBER(E2800)),D2800-E2800,""),"")</f>
        <v/>
      </c>
    </row>
    <row r="2801">
      <c r="A2801" s="7">
        <f>IFERROR(Datos!A2801,"")</f>
        <v/>
      </c>
      <c r="B2801" s="8">
        <f>IFERROR(Datos!B2801,"")</f>
        <v/>
      </c>
      <c r="C2801" s="8">
        <f>IFERROR(Datos!C2801,"")</f>
        <v/>
      </c>
      <c r="D2801" s="28">
        <f>IFERROR(IF(AND(ISNUMBER(B2801),ISNUMBER(B2800),B2800&lt;&gt;0),B2801/B2800-1,""),"")</f>
        <v/>
      </c>
      <c r="E2801" s="28">
        <f>IFERROR(IF(AND(ISNUMBER(C2801),ISNUMBER(C2800),C2800&lt;&gt;0),C2801/C2800-1,""),"")</f>
        <v/>
      </c>
      <c r="F2801" s="28">
        <f>IFERROR(D2801-Dashboard!$B$4/252,"")</f>
        <v/>
      </c>
      <c r="G2801" s="28">
        <f>IFERROR(E2801-Dashboard!$B$4/252,"")</f>
        <v/>
      </c>
      <c r="H2801" s="8">
        <f>IFERROR(IF(ISNUMBER(B2801),MAX(B2801,IFERROR(H2800,B2801)),""),"")</f>
        <v/>
      </c>
      <c r="I2801" s="29">
        <f>IFERROR(IF(AND(ISNUMBER(B2801),ISNUMBER(H2801)),B2801/H2801-1,""),"")</f>
        <v/>
      </c>
      <c r="J2801" s="8">
        <f>IFERROR(IF(ISNUMBER(C2801),MAX(C2801,IFERROR(J2800,C2801)),""),"")</f>
        <v/>
      </c>
      <c r="K2801" s="29">
        <f>IFERROR(IF(AND(ISNUMBER(C2801),ISNUMBER(J2801)),C2801/J2801-1,""),"")</f>
        <v/>
      </c>
      <c r="L2801" s="28">
        <f>IFERROR(IF(AND(ISNUMBER(D2801),ISNUMBER(E2801)),D2801-E2801,""),"")</f>
        <v/>
      </c>
    </row>
    <row r="2802">
      <c r="A2802" s="7">
        <f>IFERROR(Datos!A2802,"")</f>
        <v/>
      </c>
      <c r="B2802" s="8">
        <f>IFERROR(Datos!B2802,"")</f>
        <v/>
      </c>
      <c r="C2802" s="8">
        <f>IFERROR(Datos!C2802,"")</f>
        <v/>
      </c>
      <c r="D2802" s="28">
        <f>IFERROR(IF(AND(ISNUMBER(B2802),ISNUMBER(B2801),B2801&lt;&gt;0),B2802/B2801-1,""),"")</f>
        <v/>
      </c>
      <c r="E2802" s="28">
        <f>IFERROR(IF(AND(ISNUMBER(C2802),ISNUMBER(C2801),C2801&lt;&gt;0),C2802/C2801-1,""),"")</f>
        <v/>
      </c>
      <c r="F2802" s="28">
        <f>IFERROR(D2802-Dashboard!$B$4/252,"")</f>
        <v/>
      </c>
      <c r="G2802" s="28">
        <f>IFERROR(E2802-Dashboard!$B$4/252,"")</f>
        <v/>
      </c>
      <c r="H2802" s="8">
        <f>IFERROR(IF(ISNUMBER(B2802),MAX(B2802,IFERROR(H2801,B2802)),""),"")</f>
        <v/>
      </c>
      <c r="I2802" s="29">
        <f>IFERROR(IF(AND(ISNUMBER(B2802),ISNUMBER(H2802)),B2802/H2802-1,""),"")</f>
        <v/>
      </c>
      <c r="J2802" s="8">
        <f>IFERROR(IF(ISNUMBER(C2802),MAX(C2802,IFERROR(J2801,C2802)),""),"")</f>
        <v/>
      </c>
      <c r="K2802" s="29">
        <f>IFERROR(IF(AND(ISNUMBER(C2802),ISNUMBER(J2802)),C2802/J2802-1,""),"")</f>
        <v/>
      </c>
      <c r="L2802" s="28">
        <f>IFERROR(IF(AND(ISNUMBER(D2802),ISNUMBER(E2802)),D2802-E2802,""),"")</f>
        <v/>
      </c>
    </row>
    <row r="2803">
      <c r="A2803" s="7">
        <f>IFERROR(Datos!A2803,"")</f>
        <v/>
      </c>
      <c r="B2803" s="8">
        <f>IFERROR(Datos!B2803,"")</f>
        <v/>
      </c>
      <c r="C2803" s="8">
        <f>IFERROR(Datos!C2803,"")</f>
        <v/>
      </c>
      <c r="D2803" s="28">
        <f>IFERROR(IF(AND(ISNUMBER(B2803),ISNUMBER(B2802),B2802&lt;&gt;0),B2803/B2802-1,""),"")</f>
        <v/>
      </c>
      <c r="E2803" s="28">
        <f>IFERROR(IF(AND(ISNUMBER(C2803),ISNUMBER(C2802),C2802&lt;&gt;0),C2803/C2802-1,""),"")</f>
        <v/>
      </c>
      <c r="F2803" s="28">
        <f>IFERROR(D2803-Dashboard!$B$4/252,"")</f>
        <v/>
      </c>
      <c r="G2803" s="28">
        <f>IFERROR(E2803-Dashboard!$B$4/252,"")</f>
        <v/>
      </c>
      <c r="H2803" s="8">
        <f>IFERROR(IF(ISNUMBER(B2803),MAX(B2803,IFERROR(H2802,B2803)),""),"")</f>
        <v/>
      </c>
      <c r="I2803" s="29">
        <f>IFERROR(IF(AND(ISNUMBER(B2803),ISNUMBER(H2803)),B2803/H2803-1,""),"")</f>
        <v/>
      </c>
      <c r="J2803" s="8">
        <f>IFERROR(IF(ISNUMBER(C2803),MAX(C2803,IFERROR(J2802,C2803)),""),"")</f>
        <v/>
      </c>
      <c r="K2803" s="29">
        <f>IFERROR(IF(AND(ISNUMBER(C2803),ISNUMBER(J2803)),C2803/J2803-1,""),"")</f>
        <v/>
      </c>
      <c r="L2803" s="28">
        <f>IFERROR(IF(AND(ISNUMBER(D2803),ISNUMBER(E2803)),D2803-E2803,""),"")</f>
        <v/>
      </c>
    </row>
    <row r="2804">
      <c r="A2804" s="7">
        <f>IFERROR(Datos!A2804,"")</f>
        <v/>
      </c>
      <c r="B2804" s="8">
        <f>IFERROR(Datos!B2804,"")</f>
        <v/>
      </c>
      <c r="C2804" s="8">
        <f>IFERROR(Datos!C2804,"")</f>
        <v/>
      </c>
      <c r="D2804" s="28">
        <f>IFERROR(IF(AND(ISNUMBER(B2804),ISNUMBER(B2803),B2803&lt;&gt;0),B2804/B2803-1,""),"")</f>
        <v/>
      </c>
      <c r="E2804" s="28">
        <f>IFERROR(IF(AND(ISNUMBER(C2804),ISNUMBER(C2803),C2803&lt;&gt;0),C2804/C2803-1,""),"")</f>
        <v/>
      </c>
      <c r="F2804" s="28">
        <f>IFERROR(D2804-Dashboard!$B$4/252,"")</f>
        <v/>
      </c>
      <c r="G2804" s="28">
        <f>IFERROR(E2804-Dashboard!$B$4/252,"")</f>
        <v/>
      </c>
      <c r="H2804" s="8">
        <f>IFERROR(IF(ISNUMBER(B2804),MAX(B2804,IFERROR(H2803,B2804)),""),"")</f>
        <v/>
      </c>
      <c r="I2804" s="29">
        <f>IFERROR(IF(AND(ISNUMBER(B2804),ISNUMBER(H2804)),B2804/H2804-1,""),"")</f>
        <v/>
      </c>
      <c r="J2804" s="8">
        <f>IFERROR(IF(ISNUMBER(C2804),MAX(C2804,IFERROR(J2803,C2804)),""),"")</f>
        <v/>
      </c>
      <c r="K2804" s="29">
        <f>IFERROR(IF(AND(ISNUMBER(C2804),ISNUMBER(J2804)),C2804/J2804-1,""),"")</f>
        <v/>
      </c>
      <c r="L2804" s="28">
        <f>IFERROR(IF(AND(ISNUMBER(D2804),ISNUMBER(E2804)),D2804-E2804,""),"")</f>
        <v/>
      </c>
    </row>
    <row r="2805">
      <c r="A2805" s="7">
        <f>IFERROR(Datos!A2805,"")</f>
        <v/>
      </c>
      <c r="B2805" s="8">
        <f>IFERROR(Datos!B2805,"")</f>
        <v/>
      </c>
      <c r="C2805" s="8">
        <f>IFERROR(Datos!C2805,"")</f>
        <v/>
      </c>
      <c r="D2805" s="28">
        <f>IFERROR(IF(AND(ISNUMBER(B2805),ISNUMBER(B2804),B2804&lt;&gt;0),B2805/B2804-1,""),"")</f>
        <v/>
      </c>
      <c r="E2805" s="28">
        <f>IFERROR(IF(AND(ISNUMBER(C2805),ISNUMBER(C2804),C2804&lt;&gt;0),C2805/C2804-1,""),"")</f>
        <v/>
      </c>
      <c r="F2805" s="28">
        <f>IFERROR(D2805-Dashboard!$B$4/252,"")</f>
        <v/>
      </c>
      <c r="G2805" s="28">
        <f>IFERROR(E2805-Dashboard!$B$4/252,"")</f>
        <v/>
      </c>
      <c r="H2805" s="8">
        <f>IFERROR(IF(ISNUMBER(B2805),MAX(B2805,IFERROR(H2804,B2805)),""),"")</f>
        <v/>
      </c>
      <c r="I2805" s="29">
        <f>IFERROR(IF(AND(ISNUMBER(B2805),ISNUMBER(H2805)),B2805/H2805-1,""),"")</f>
        <v/>
      </c>
      <c r="J2805" s="8">
        <f>IFERROR(IF(ISNUMBER(C2805),MAX(C2805,IFERROR(J2804,C2805)),""),"")</f>
        <v/>
      </c>
      <c r="K2805" s="29">
        <f>IFERROR(IF(AND(ISNUMBER(C2805),ISNUMBER(J2805)),C2805/J2805-1,""),"")</f>
        <v/>
      </c>
      <c r="L2805" s="28">
        <f>IFERROR(IF(AND(ISNUMBER(D2805),ISNUMBER(E2805)),D2805-E2805,""),"")</f>
        <v/>
      </c>
    </row>
    <row r="2806">
      <c r="A2806" s="7">
        <f>IFERROR(Datos!A2806,"")</f>
        <v/>
      </c>
      <c r="B2806" s="8">
        <f>IFERROR(Datos!B2806,"")</f>
        <v/>
      </c>
      <c r="C2806" s="8">
        <f>IFERROR(Datos!C2806,"")</f>
        <v/>
      </c>
      <c r="D2806" s="28">
        <f>IFERROR(IF(AND(ISNUMBER(B2806),ISNUMBER(B2805),B2805&lt;&gt;0),B2806/B2805-1,""),"")</f>
        <v/>
      </c>
      <c r="E2806" s="28">
        <f>IFERROR(IF(AND(ISNUMBER(C2806),ISNUMBER(C2805),C2805&lt;&gt;0),C2806/C2805-1,""),"")</f>
        <v/>
      </c>
      <c r="F2806" s="28">
        <f>IFERROR(D2806-Dashboard!$B$4/252,"")</f>
        <v/>
      </c>
      <c r="G2806" s="28">
        <f>IFERROR(E2806-Dashboard!$B$4/252,"")</f>
        <v/>
      </c>
      <c r="H2806" s="8">
        <f>IFERROR(IF(ISNUMBER(B2806),MAX(B2806,IFERROR(H2805,B2806)),""),"")</f>
        <v/>
      </c>
      <c r="I2806" s="29">
        <f>IFERROR(IF(AND(ISNUMBER(B2806),ISNUMBER(H2806)),B2806/H2806-1,""),"")</f>
        <v/>
      </c>
      <c r="J2806" s="8">
        <f>IFERROR(IF(ISNUMBER(C2806),MAX(C2806,IFERROR(J2805,C2806)),""),"")</f>
        <v/>
      </c>
      <c r="K2806" s="29">
        <f>IFERROR(IF(AND(ISNUMBER(C2806),ISNUMBER(J2806)),C2806/J2806-1,""),"")</f>
        <v/>
      </c>
      <c r="L2806" s="28">
        <f>IFERROR(IF(AND(ISNUMBER(D2806),ISNUMBER(E2806)),D2806-E2806,""),"")</f>
        <v/>
      </c>
    </row>
    <row r="2807">
      <c r="A2807" s="7">
        <f>IFERROR(Datos!A2807,"")</f>
        <v/>
      </c>
      <c r="B2807" s="8">
        <f>IFERROR(Datos!B2807,"")</f>
        <v/>
      </c>
      <c r="C2807" s="8">
        <f>IFERROR(Datos!C2807,"")</f>
        <v/>
      </c>
      <c r="D2807" s="28">
        <f>IFERROR(IF(AND(ISNUMBER(B2807),ISNUMBER(B2806),B2806&lt;&gt;0),B2807/B2806-1,""),"")</f>
        <v/>
      </c>
      <c r="E2807" s="28">
        <f>IFERROR(IF(AND(ISNUMBER(C2807),ISNUMBER(C2806),C2806&lt;&gt;0),C2807/C2806-1,""),"")</f>
        <v/>
      </c>
      <c r="F2807" s="28">
        <f>IFERROR(D2807-Dashboard!$B$4/252,"")</f>
        <v/>
      </c>
      <c r="G2807" s="28">
        <f>IFERROR(E2807-Dashboard!$B$4/252,"")</f>
        <v/>
      </c>
      <c r="H2807" s="8">
        <f>IFERROR(IF(ISNUMBER(B2807),MAX(B2807,IFERROR(H2806,B2807)),""),"")</f>
        <v/>
      </c>
      <c r="I2807" s="29">
        <f>IFERROR(IF(AND(ISNUMBER(B2807),ISNUMBER(H2807)),B2807/H2807-1,""),"")</f>
        <v/>
      </c>
      <c r="J2807" s="8">
        <f>IFERROR(IF(ISNUMBER(C2807),MAX(C2807,IFERROR(J2806,C2807)),""),"")</f>
        <v/>
      </c>
      <c r="K2807" s="29">
        <f>IFERROR(IF(AND(ISNUMBER(C2807),ISNUMBER(J2807)),C2807/J2807-1,""),"")</f>
        <v/>
      </c>
      <c r="L2807" s="28">
        <f>IFERROR(IF(AND(ISNUMBER(D2807),ISNUMBER(E2807)),D2807-E2807,""),"")</f>
        <v/>
      </c>
    </row>
    <row r="2808">
      <c r="A2808" s="7">
        <f>IFERROR(Datos!A2808,"")</f>
        <v/>
      </c>
      <c r="B2808" s="8">
        <f>IFERROR(Datos!B2808,"")</f>
        <v/>
      </c>
      <c r="C2808" s="8">
        <f>IFERROR(Datos!C2808,"")</f>
        <v/>
      </c>
      <c r="D2808" s="28">
        <f>IFERROR(IF(AND(ISNUMBER(B2808),ISNUMBER(B2807),B2807&lt;&gt;0),B2808/B2807-1,""),"")</f>
        <v/>
      </c>
      <c r="E2808" s="28">
        <f>IFERROR(IF(AND(ISNUMBER(C2808),ISNUMBER(C2807),C2807&lt;&gt;0),C2808/C2807-1,""),"")</f>
        <v/>
      </c>
      <c r="F2808" s="28">
        <f>IFERROR(D2808-Dashboard!$B$4/252,"")</f>
        <v/>
      </c>
      <c r="G2808" s="28">
        <f>IFERROR(E2808-Dashboard!$B$4/252,"")</f>
        <v/>
      </c>
      <c r="H2808" s="8">
        <f>IFERROR(IF(ISNUMBER(B2808),MAX(B2808,IFERROR(H2807,B2808)),""),"")</f>
        <v/>
      </c>
      <c r="I2808" s="29">
        <f>IFERROR(IF(AND(ISNUMBER(B2808),ISNUMBER(H2808)),B2808/H2808-1,""),"")</f>
        <v/>
      </c>
      <c r="J2808" s="8">
        <f>IFERROR(IF(ISNUMBER(C2808),MAX(C2808,IFERROR(J2807,C2808)),""),"")</f>
        <v/>
      </c>
      <c r="K2808" s="29">
        <f>IFERROR(IF(AND(ISNUMBER(C2808),ISNUMBER(J2808)),C2808/J2808-1,""),"")</f>
        <v/>
      </c>
      <c r="L2808" s="28">
        <f>IFERROR(IF(AND(ISNUMBER(D2808),ISNUMBER(E2808)),D2808-E2808,""),"")</f>
        <v/>
      </c>
    </row>
    <row r="2809">
      <c r="A2809" s="7">
        <f>IFERROR(Datos!A2809,"")</f>
        <v/>
      </c>
      <c r="B2809" s="8">
        <f>IFERROR(Datos!B2809,"")</f>
        <v/>
      </c>
      <c r="C2809" s="8">
        <f>IFERROR(Datos!C2809,"")</f>
        <v/>
      </c>
      <c r="D2809" s="28">
        <f>IFERROR(IF(AND(ISNUMBER(B2809),ISNUMBER(B2808),B2808&lt;&gt;0),B2809/B2808-1,""),"")</f>
        <v/>
      </c>
      <c r="E2809" s="28">
        <f>IFERROR(IF(AND(ISNUMBER(C2809),ISNUMBER(C2808),C2808&lt;&gt;0),C2809/C2808-1,""),"")</f>
        <v/>
      </c>
      <c r="F2809" s="28">
        <f>IFERROR(D2809-Dashboard!$B$4/252,"")</f>
        <v/>
      </c>
      <c r="G2809" s="28">
        <f>IFERROR(E2809-Dashboard!$B$4/252,"")</f>
        <v/>
      </c>
      <c r="H2809" s="8">
        <f>IFERROR(IF(ISNUMBER(B2809),MAX(B2809,IFERROR(H2808,B2809)),""),"")</f>
        <v/>
      </c>
      <c r="I2809" s="29">
        <f>IFERROR(IF(AND(ISNUMBER(B2809),ISNUMBER(H2809)),B2809/H2809-1,""),"")</f>
        <v/>
      </c>
      <c r="J2809" s="8">
        <f>IFERROR(IF(ISNUMBER(C2809),MAX(C2809,IFERROR(J2808,C2809)),""),"")</f>
        <v/>
      </c>
      <c r="K2809" s="29">
        <f>IFERROR(IF(AND(ISNUMBER(C2809),ISNUMBER(J2809)),C2809/J2809-1,""),"")</f>
        <v/>
      </c>
      <c r="L2809" s="28">
        <f>IFERROR(IF(AND(ISNUMBER(D2809),ISNUMBER(E2809)),D2809-E2809,""),"")</f>
        <v/>
      </c>
    </row>
    <row r="2810">
      <c r="A2810" s="7">
        <f>IFERROR(Datos!A2810,"")</f>
        <v/>
      </c>
      <c r="B2810" s="8">
        <f>IFERROR(Datos!B2810,"")</f>
        <v/>
      </c>
      <c r="C2810" s="8">
        <f>IFERROR(Datos!C2810,"")</f>
        <v/>
      </c>
      <c r="D2810" s="28">
        <f>IFERROR(IF(AND(ISNUMBER(B2810),ISNUMBER(B2809),B2809&lt;&gt;0),B2810/B2809-1,""),"")</f>
        <v/>
      </c>
      <c r="E2810" s="28">
        <f>IFERROR(IF(AND(ISNUMBER(C2810),ISNUMBER(C2809),C2809&lt;&gt;0),C2810/C2809-1,""),"")</f>
        <v/>
      </c>
      <c r="F2810" s="28">
        <f>IFERROR(D2810-Dashboard!$B$4/252,"")</f>
        <v/>
      </c>
      <c r="G2810" s="28">
        <f>IFERROR(E2810-Dashboard!$B$4/252,"")</f>
        <v/>
      </c>
      <c r="H2810" s="8">
        <f>IFERROR(IF(ISNUMBER(B2810),MAX(B2810,IFERROR(H2809,B2810)),""),"")</f>
        <v/>
      </c>
      <c r="I2810" s="29">
        <f>IFERROR(IF(AND(ISNUMBER(B2810),ISNUMBER(H2810)),B2810/H2810-1,""),"")</f>
        <v/>
      </c>
      <c r="J2810" s="8">
        <f>IFERROR(IF(ISNUMBER(C2810),MAX(C2810,IFERROR(J2809,C2810)),""),"")</f>
        <v/>
      </c>
      <c r="K2810" s="29">
        <f>IFERROR(IF(AND(ISNUMBER(C2810),ISNUMBER(J2810)),C2810/J2810-1,""),"")</f>
        <v/>
      </c>
      <c r="L2810" s="28">
        <f>IFERROR(IF(AND(ISNUMBER(D2810),ISNUMBER(E2810)),D2810-E2810,""),"")</f>
        <v/>
      </c>
    </row>
    <row r="2811">
      <c r="A2811" s="7">
        <f>IFERROR(Datos!A2811,"")</f>
        <v/>
      </c>
      <c r="B2811" s="8">
        <f>IFERROR(Datos!B2811,"")</f>
        <v/>
      </c>
      <c r="C2811" s="8">
        <f>IFERROR(Datos!C2811,"")</f>
        <v/>
      </c>
      <c r="D2811" s="28">
        <f>IFERROR(IF(AND(ISNUMBER(B2811),ISNUMBER(B2810),B2810&lt;&gt;0),B2811/B2810-1,""),"")</f>
        <v/>
      </c>
      <c r="E2811" s="28">
        <f>IFERROR(IF(AND(ISNUMBER(C2811),ISNUMBER(C2810),C2810&lt;&gt;0),C2811/C2810-1,""),"")</f>
        <v/>
      </c>
      <c r="F2811" s="28">
        <f>IFERROR(D2811-Dashboard!$B$4/252,"")</f>
        <v/>
      </c>
      <c r="G2811" s="28">
        <f>IFERROR(E2811-Dashboard!$B$4/252,"")</f>
        <v/>
      </c>
      <c r="H2811" s="8">
        <f>IFERROR(IF(ISNUMBER(B2811),MAX(B2811,IFERROR(H2810,B2811)),""),"")</f>
        <v/>
      </c>
      <c r="I2811" s="29">
        <f>IFERROR(IF(AND(ISNUMBER(B2811),ISNUMBER(H2811)),B2811/H2811-1,""),"")</f>
        <v/>
      </c>
      <c r="J2811" s="8">
        <f>IFERROR(IF(ISNUMBER(C2811),MAX(C2811,IFERROR(J2810,C2811)),""),"")</f>
        <v/>
      </c>
      <c r="K2811" s="29">
        <f>IFERROR(IF(AND(ISNUMBER(C2811),ISNUMBER(J2811)),C2811/J2811-1,""),"")</f>
        <v/>
      </c>
      <c r="L2811" s="28">
        <f>IFERROR(IF(AND(ISNUMBER(D2811),ISNUMBER(E2811)),D2811-E2811,""),"")</f>
        <v/>
      </c>
    </row>
    <row r="2812">
      <c r="A2812" s="7">
        <f>IFERROR(Datos!A2812,"")</f>
        <v/>
      </c>
      <c r="B2812" s="8">
        <f>IFERROR(Datos!B2812,"")</f>
        <v/>
      </c>
      <c r="C2812" s="8">
        <f>IFERROR(Datos!C2812,"")</f>
        <v/>
      </c>
      <c r="D2812" s="28">
        <f>IFERROR(IF(AND(ISNUMBER(B2812),ISNUMBER(B2811),B2811&lt;&gt;0),B2812/B2811-1,""),"")</f>
        <v/>
      </c>
      <c r="E2812" s="28">
        <f>IFERROR(IF(AND(ISNUMBER(C2812),ISNUMBER(C2811),C2811&lt;&gt;0),C2812/C2811-1,""),"")</f>
        <v/>
      </c>
      <c r="F2812" s="28">
        <f>IFERROR(D2812-Dashboard!$B$4/252,"")</f>
        <v/>
      </c>
      <c r="G2812" s="28">
        <f>IFERROR(E2812-Dashboard!$B$4/252,"")</f>
        <v/>
      </c>
      <c r="H2812" s="8">
        <f>IFERROR(IF(ISNUMBER(B2812),MAX(B2812,IFERROR(H2811,B2812)),""),"")</f>
        <v/>
      </c>
      <c r="I2812" s="29">
        <f>IFERROR(IF(AND(ISNUMBER(B2812),ISNUMBER(H2812)),B2812/H2812-1,""),"")</f>
        <v/>
      </c>
      <c r="J2812" s="8">
        <f>IFERROR(IF(ISNUMBER(C2812),MAX(C2812,IFERROR(J2811,C2812)),""),"")</f>
        <v/>
      </c>
      <c r="K2812" s="29">
        <f>IFERROR(IF(AND(ISNUMBER(C2812),ISNUMBER(J2812)),C2812/J2812-1,""),"")</f>
        <v/>
      </c>
      <c r="L2812" s="28">
        <f>IFERROR(IF(AND(ISNUMBER(D2812),ISNUMBER(E2812)),D2812-E2812,""),"")</f>
        <v/>
      </c>
    </row>
    <row r="2813">
      <c r="A2813" s="7">
        <f>IFERROR(Datos!A2813,"")</f>
        <v/>
      </c>
      <c r="B2813" s="8">
        <f>IFERROR(Datos!B2813,"")</f>
        <v/>
      </c>
      <c r="C2813" s="8">
        <f>IFERROR(Datos!C2813,"")</f>
        <v/>
      </c>
      <c r="D2813" s="28">
        <f>IFERROR(IF(AND(ISNUMBER(B2813),ISNUMBER(B2812),B2812&lt;&gt;0),B2813/B2812-1,""),"")</f>
        <v/>
      </c>
      <c r="E2813" s="28">
        <f>IFERROR(IF(AND(ISNUMBER(C2813),ISNUMBER(C2812),C2812&lt;&gt;0),C2813/C2812-1,""),"")</f>
        <v/>
      </c>
      <c r="F2813" s="28">
        <f>IFERROR(D2813-Dashboard!$B$4/252,"")</f>
        <v/>
      </c>
      <c r="G2813" s="28">
        <f>IFERROR(E2813-Dashboard!$B$4/252,"")</f>
        <v/>
      </c>
      <c r="H2813" s="8">
        <f>IFERROR(IF(ISNUMBER(B2813),MAX(B2813,IFERROR(H2812,B2813)),""),"")</f>
        <v/>
      </c>
      <c r="I2813" s="29">
        <f>IFERROR(IF(AND(ISNUMBER(B2813),ISNUMBER(H2813)),B2813/H2813-1,""),"")</f>
        <v/>
      </c>
      <c r="J2813" s="8">
        <f>IFERROR(IF(ISNUMBER(C2813),MAX(C2813,IFERROR(J2812,C2813)),""),"")</f>
        <v/>
      </c>
      <c r="K2813" s="29">
        <f>IFERROR(IF(AND(ISNUMBER(C2813),ISNUMBER(J2813)),C2813/J2813-1,""),"")</f>
        <v/>
      </c>
      <c r="L2813" s="28">
        <f>IFERROR(IF(AND(ISNUMBER(D2813),ISNUMBER(E2813)),D2813-E2813,""),"")</f>
        <v/>
      </c>
    </row>
    <row r="2814">
      <c r="A2814" s="7">
        <f>IFERROR(Datos!A2814,"")</f>
        <v/>
      </c>
      <c r="B2814" s="8">
        <f>IFERROR(Datos!B2814,"")</f>
        <v/>
      </c>
      <c r="C2814" s="8">
        <f>IFERROR(Datos!C2814,"")</f>
        <v/>
      </c>
      <c r="D2814" s="28">
        <f>IFERROR(IF(AND(ISNUMBER(B2814),ISNUMBER(B2813),B2813&lt;&gt;0),B2814/B2813-1,""),"")</f>
        <v/>
      </c>
      <c r="E2814" s="28">
        <f>IFERROR(IF(AND(ISNUMBER(C2814),ISNUMBER(C2813),C2813&lt;&gt;0),C2814/C2813-1,""),"")</f>
        <v/>
      </c>
      <c r="F2814" s="28">
        <f>IFERROR(D2814-Dashboard!$B$4/252,"")</f>
        <v/>
      </c>
      <c r="G2814" s="28">
        <f>IFERROR(E2814-Dashboard!$B$4/252,"")</f>
        <v/>
      </c>
      <c r="H2814" s="8">
        <f>IFERROR(IF(ISNUMBER(B2814),MAX(B2814,IFERROR(H2813,B2814)),""),"")</f>
        <v/>
      </c>
      <c r="I2814" s="29">
        <f>IFERROR(IF(AND(ISNUMBER(B2814),ISNUMBER(H2814)),B2814/H2814-1,""),"")</f>
        <v/>
      </c>
      <c r="J2814" s="8">
        <f>IFERROR(IF(ISNUMBER(C2814),MAX(C2814,IFERROR(J2813,C2814)),""),"")</f>
        <v/>
      </c>
      <c r="K2814" s="29">
        <f>IFERROR(IF(AND(ISNUMBER(C2814),ISNUMBER(J2814)),C2814/J2814-1,""),"")</f>
        <v/>
      </c>
      <c r="L2814" s="28">
        <f>IFERROR(IF(AND(ISNUMBER(D2814),ISNUMBER(E2814)),D2814-E2814,""),"")</f>
        <v/>
      </c>
    </row>
    <row r="2815">
      <c r="A2815" s="7">
        <f>IFERROR(Datos!A2815,"")</f>
        <v/>
      </c>
      <c r="B2815" s="8">
        <f>IFERROR(Datos!B2815,"")</f>
        <v/>
      </c>
      <c r="C2815" s="8">
        <f>IFERROR(Datos!C2815,"")</f>
        <v/>
      </c>
      <c r="D2815" s="28">
        <f>IFERROR(IF(AND(ISNUMBER(B2815),ISNUMBER(B2814),B2814&lt;&gt;0),B2815/B2814-1,""),"")</f>
        <v/>
      </c>
      <c r="E2815" s="28">
        <f>IFERROR(IF(AND(ISNUMBER(C2815),ISNUMBER(C2814),C2814&lt;&gt;0),C2815/C2814-1,""),"")</f>
        <v/>
      </c>
      <c r="F2815" s="28">
        <f>IFERROR(D2815-Dashboard!$B$4/252,"")</f>
        <v/>
      </c>
      <c r="G2815" s="28">
        <f>IFERROR(E2815-Dashboard!$B$4/252,"")</f>
        <v/>
      </c>
      <c r="H2815" s="8">
        <f>IFERROR(IF(ISNUMBER(B2815),MAX(B2815,IFERROR(H2814,B2815)),""),"")</f>
        <v/>
      </c>
      <c r="I2815" s="29">
        <f>IFERROR(IF(AND(ISNUMBER(B2815),ISNUMBER(H2815)),B2815/H2815-1,""),"")</f>
        <v/>
      </c>
      <c r="J2815" s="8">
        <f>IFERROR(IF(ISNUMBER(C2815),MAX(C2815,IFERROR(J2814,C2815)),""),"")</f>
        <v/>
      </c>
      <c r="K2815" s="29">
        <f>IFERROR(IF(AND(ISNUMBER(C2815),ISNUMBER(J2815)),C2815/J2815-1,""),"")</f>
        <v/>
      </c>
      <c r="L2815" s="28">
        <f>IFERROR(IF(AND(ISNUMBER(D2815),ISNUMBER(E2815)),D2815-E2815,""),"")</f>
        <v/>
      </c>
    </row>
    <row r="2816">
      <c r="A2816" s="7">
        <f>IFERROR(Datos!A2816,"")</f>
        <v/>
      </c>
      <c r="B2816" s="8">
        <f>IFERROR(Datos!B2816,"")</f>
        <v/>
      </c>
      <c r="C2816" s="8">
        <f>IFERROR(Datos!C2816,"")</f>
        <v/>
      </c>
      <c r="D2816" s="28">
        <f>IFERROR(IF(AND(ISNUMBER(B2816),ISNUMBER(B2815),B2815&lt;&gt;0),B2816/B2815-1,""),"")</f>
        <v/>
      </c>
      <c r="E2816" s="28">
        <f>IFERROR(IF(AND(ISNUMBER(C2816),ISNUMBER(C2815),C2815&lt;&gt;0),C2816/C2815-1,""),"")</f>
        <v/>
      </c>
      <c r="F2816" s="28">
        <f>IFERROR(D2816-Dashboard!$B$4/252,"")</f>
        <v/>
      </c>
      <c r="G2816" s="28">
        <f>IFERROR(E2816-Dashboard!$B$4/252,"")</f>
        <v/>
      </c>
      <c r="H2816" s="8">
        <f>IFERROR(IF(ISNUMBER(B2816),MAX(B2816,IFERROR(H2815,B2816)),""),"")</f>
        <v/>
      </c>
      <c r="I2816" s="29">
        <f>IFERROR(IF(AND(ISNUMBER(B2816),ISNUMBER(H2816)),B2816/H2816-1,""),"")</f>
        <v/>
      </c>
      <c r="J2816" s="8">
        <f>IFERROR(IF(ISNUMBER(C2816),MAX(C2816,IFERROR(J2815,C2816)),""),"")</f>
        <v/>
      </c>
      <c r="K2816" s="29">
        <f>IFERROR(IF(AND(ISNUMBER(C2816),ISNUMBER(J2816)),C2816/J2816-1,""),"")</f>
        <v/>
      </c>
      <c r="L2816" s="28">
        <f>IFERROR(IF(AND(ISNUMBER(D2816),ISNUMBER(E2816)),D2816-E2816,""),"")</f>
        <v/>
      </c>
    </row>
    <row r="2817">
      <c r="A2817" s="7">
        <f>IFERROR(Datos!A2817,"")</f>
        <v/>
      </c>
      <c r="B2817" s="8">
        <f>IFERROR(Datos!B2817,"")</f>
        <v/>
      </c>
      <c r="C2817" s="8">
        <f>IFERROR(Datos!C2817,"")</f>
        <v/>
      </c>
      <c r="D2817" s="28">
        <f>IFERROR(IF(AND(ISNUMBER(B2817),ISNUMBER(B2816),B2816&lt;&gt;0),B2817/B2816-1,""),"")</f>
        <v/>
      </c>
      <c r="E2817" s="28">
        <f>IFERROR(IF(AND(ISNUMBER(C2817),ISNUMBER(C2816),C2816&lt;&gt;0),C2817/C2816-1,""),"")</f>
        <v/>
      </c>
      <c r="F2817" s="28">
        <f>IFERROR(D2817-Dashboard!$B$4/252,"")</f>
        <v/>
      </c>
      <c r="G2817" s="28">
        <f>IFERROR(E2817-Dashboard!$B$4/252,"")</f>
        <v/>
      </c>
      <c r="H2817" s="8">
        <f>IFERROR(IF(ISNUMBER(B2817),MAX(B2817,IFERROR(H2816,B2817)),""),"")</f>
        <v/>
      </c>
      <c r="I2817" s="29">
        <f>IFERROR(IF(AND(ISNUMBER(B2817),ISNUMBER(H2817)),B2817/H2817-1,""),"")</f>
        <v/>
      </c>
      <c r="J2817" s="8">
        <f>IFERROR(IF(ISNUMBER(C2817),MAX(C2817,IFERROR(J2816,C2817)),""),"")</f>
        <v/>
      </c>
      <c r="K2817" s="29">
        <f>IFERROR(IF(AND(ISNUMBER(C2817),ISNUMBER(J2817)),C2817/J2817-1,""),"")</f>
        <v/>
      </c>
      <c r="L2817" s="28">
        <f>IFERROR(IF(AND(ISNUMBER(D2817),ISNUMBER(E2817)),D2817-E2817,""),"")</f>
        <v/>
      </c>
    </row>
    <row r="2818">
      <c r="A2818" s="7">
        <f>IFERROR(Datos!A2818,"")</f>
        <v/>
      </c>
      <c r="B2818" s="8">
        <f>IFERROR(Datos!B2818,"")</f>
        <v/>
      </c>
      <c r="C2818" s="8">
        <f>IFERROR(Datos!C2818,"")</f>
        <v/>
      </c>
      <c r="D2818" s="28">
        <f>IFERROR(IF(AND(ISNUMBER(B2818),ISNUMBER(B2817),B2817&lt;&gt;0),B2818/B2817-1,""),"")</f>
        <v/>
      </c>
      <c r="E2818" s="28">
        <f>IFERROR(IF(AND(ISNUMBER(C2818),ISNUMBER(C2817),C2817&lt;&gt;0),C2818/C2817-1,""),"")</f>
        <v/>
      </c>
      <c r="F2818" s="28">
        <f>IFERROR(D2818-Dashboard!$B$4/252,"")</f>
        <v/>
      </c>
      <c r="G2818" s="28">
        <f>IFERROR(E2818-Dashboard!$B$4/252,"")</f>
        <v/>
      </c>
      <c r="H2818" s="8">
        <f>IFERROR(IF(ISNUMBER(B2818),MAX(B2818,IFERROR(H2817,B2818)),""),"")</f>
        <v/>
      </c>
      <c r="I2818" s="29">
        <f>IFERROR(IF(AND(ISNUMBER(B2818),ISNUMBER(H2818)),B2818/H2818-1,""),"")</f>
        <v/>
      </c>
      <c r="J2818" s="8">
        <f>IFERROR(IF(ISNUMBER(C2818),MAX(C2818,IFERROR(J2817,C2818)),""),"")</f>
        <v/>
      </c>
      <c r="K2818" s="29">
        <f>IFERROR(IF(AND(ISNUMBER(C2818),ISNUMBER(J2818)),C2818/J2818-1,""),"")</f>
        <v/>
      </c>
      <c r="L2818" s="28">
        <f>IFERROR(IF(AND(ISNUMBER(D2818),ISNUMBER(E2818)),D2818-E2818,""),"")</f>
        <v/>
      </c>
    </row>
    <row r="2819">
      <c r="A2819" s="7">
        <f>IFERROR(Datos!A2819,"")</f>
        <v/>
      </c>
      <c r="B2819" s="8">
        <f>IFERROR(Datos!B2819,"")</f>
        <v/>
      </c>
      <c r="C2819" s="8">
        <f>IFERROR(Datos!C2819,"")</f>
        <v/>
      </c>
      <c r="D2819" s="28">
        <f>IFERROR(IF(AND(ISNUMBER(B2819),ISNUMBER(B2818),B2818&lt;&gt;0),B2819/B2818-1,""),"")</f>
        <v/>
      </c>
      <c r="E2819" s="28">
        <f>IFERROR(IF(AND(ISNUMBER(C2819),ISNUMBER(C2818),C2818&lt;&gt;0),C2819/C2818-1,""),"")</f>
        <v/>
      </c>
      <c r="F2819" s="28">
        <f>IFERROR(D2819-Dashboard!$B$4/252,"")</f>
        <v/>
      </c>
      <c r="G2819" s="28">
        <f>IFERROR(E2819-Dashboard!$B$4/252,"")</f>
        <v/>
      </c>
      <c r="H2819" s="8">
        <f>IFERROR(IF(ISNUMBER(B2819),MAX(B2819,IFERROR(H2818,B2819)),""),"")</f>
        <v/>
      </c>
      <c r="I2819" s="29">
        <f>IFERROR(IF(AND(ISNUMBER(B2819),ISNUMBER(H2819)),B2819/H2819-1,""),"")</f>
        <v/>
      </c>
      <c r="J2819" s="8">
        <f>IFERROR(IF(ISNUMBER(C2819),MAX(C2819,IFERROR(J2818,C2819)),""),"")</f>
        <v/>
      </c>
      <c r="K2819" s="29">
        <f>IFERROR(IF(AND(ISNUMBER(C2819),ISNUMBER(J2819)),C2819/J2819-1,""),"")</f>
        <v/>
      </c>
      <c r="L2819" s="28">
        <f>IFERROR(IF(AND(ISNUMBER(D2819),ISNUMBER(E2819)),D2819-E2819,""),"")</f>
        <v/>
      </c>
    </row>
    <row r="2820">
      <c r="A2820" s="7">
        <f>IFERROR(Datos!A2820,"")</f>
        <v/>
      </c>
      <c r="B2820" s="8">
        <f>IFERROR(Datos!B2820,"")</f>
        <v/>
      </c>
      <c r="C2820" s="8">
        <f>IFERROR(Datos!C2820,"")</f>
        <v/>
      </c>
      <c r="D2820" s="28">
        <f>IFERROR(IF(AND(ISNUMBER(B2820),ISNUMBER(B2819),B2819&lt;&gt;0),B2820/B2819-1,""),"")</f>
        <v/>
      </c>
      <c r="E2820" s="28">
        <f>IFERROR(IF(AND(ISNUMBER(C2820),ISNUMBER(C2819),C2819&lt;&gt;0),C2820/C2819-1,""),"")</f>
        <v/>
      </c>
      <c r="F2820" s="28">
        <f>IFERROR(D2820-Dashboard!$B$4/252,"")</f>
        <v/>
      </c>
      <c r="G2820" s="28">
        <f>IFERROR(E2820-Dashboard!$B$4/252,"")</f>
        <v/>
      </c>
      <c r="H2820" s="8">
        <f>IFERROR(IF(ISNUMBER(B2820),MAX(B2820,IFERROR(H2819,B2820)),""),"")</f>
        <v/>
      </c>
      <c r="I2820" s="29">
        <f>IFERROR(IF(AND(ISNUMBER(B2820),ISNUMBER(H2820)),B2820/H2820-1,""),"")</f>
        <v/>
      </c>
      <c r="J2820" s="8">
        <f>IFERROR(IF(ISNUMBER(C2820),MAX(C2820,IFERROR(J2819,C2820)),""),"")</f>
        <v/>
      </c>
      <c r="K2820" s="29">
        <f>IFERROR(IF(AND(ISNUMBER(C2820),ISNUMBER(J2820)),C2820/J2820-1,""),"")</f>
        <v/>
      </c>
      <c r="L2820" s="28">
        <f>IFERROR(IF(AND(ISNUMBER(D2820),ISNUMBER(E2820)),D2820-E2820,""),"")</f>
        <v/>
      </c>
    </row>
    <row r="2821">
      <c r="A2821" s="7">
        <f>IFERROR(Datos!A2821,"")</f>
        <v/>
      </c>
      <c r="B2821" s="8">
        <f>IFERROR(Datos!B2821,"")</f>
        <v/>
      </c>
      <c r="C2821" s="8">
        <f>IFERROR(Datos!C2821,"")</f>
        <v/>
      </c>
      <c r="D2821" s="28">
        <f>IFERROR(IF(AND(ISNUMBER(B2821),ISNUMBER(B2820),B2820&lt;&gt;0),B2821/B2820-1,""),"")</f>
        <v/>
      </c>
      <c r="E2821" s="28">
        <f>IFERROR(IF(AND(ISNUMBER(C2821),ISNUMBER(C2820),C2820&lt;&gt;0),C2821/C2820-1,""),"")</f>
        <v/>
      </c>
      <c r="F2821" s="28">
        <f>IFERROR(D2821-Dashboard!$B$4/252,"")</f>
        <v/>
      </c>
      <c r="G2821" s="28">
        <f>IFERROR(E2821-Dashboard!$B$4/252,"")</f>
        <v/>
      </c>
      <c r="H2821" s="8">
        <f>IFERROR(IF(ISNUMBER(B2821),MAX(B2821,IFERROR(H2820,B2821)),""),"")</f>
        <v/>
      </c>
      <c r="I2821" s="29">
        <f>IFERROR(IF(AND(ISNUMBER(B2821),ISNUMBER(H2821)),B2821/H2821-1,""),"")</f>
        <v/>
      </c>
      <c r="J2821" s="8">
        <f>IFERROR(IF(ISNUMBER(C2821),MAX(C2821,IFERROR(J2820,C2821)),""),"")</f>
        <v/>
      </c>
      <c r="K2821" s="29">
        <f>IFERROR(IF(AND(ISNUMBER(C2821),ISNUMBER(J2821)),C2821/J2821-1,""),"")</f>
        <v/>
      </c>
      <c r="L2821" s="28">
        <f>IFERROR(IF(AND(ISNUMBER(D2821),ISNUMBER(E2821)),D2821-E2821,""),"")</f>
        <v/>
      </c>
    </row>
    <row r="2822">
      <c r="A2822" s="7">
        <f>IFERROR(Datos!A2822,"")</f>
        <v/>
      </c>
      <c r="B2822" s="8">
        <f>IFERROR(Datos!B2822,"")</f>
        <v/>
      </c>
      <c r="C2822" s="8">
        <f>IFERROR(Datos!C2822,"")</f>
        <v/>
      </c>
      <c r="D2822" s="28">
        <f>IFERROR(IF(AND(ISNUMBER(B2822),ISNUMBER(B2821),B2821&lt;&gt;0),B2822/B2821-1,""),"")</f>
        <v/>
      </c>
      <c r="E2822" s="28">
        <f>IFERROR(IF(AND(ISNUMBER(C2822),ISNUMBER(C2821),C2821&lt;&gt;0),C2822/C2821-1,""),"")</f>
        <v/>
      </c>
      <c r="F2822" s="28">
        <f>IFERROR(D2822-Dashboard!$B$4/252,"")</f>
        <v/>
      </c>
      <c r="G2822" s="28">
        <f>IFERROR(E2822-Dashboard!$B$4/252,"")</f>
        <v/>
      </c>
      <c r="H2822" s="8">
        <f>IFERROR(IF(ISNUMBER(B2822),MAX(B2822,IFERROR(H2821,B2822)),""),"")</f>
        <v/>
      </c>
      <c r="I2822" s="29">
        <f>IFERROR(IF(AND(ISNUMBER(B2822),ISNUMBER(H2822)),B2822/H2822-1,""),"")</f>
        <v/>
      </c>
      <c r="J2822" s="8">
        <f>IFERROR(IF(ISNUMBER(C2822),MAX(C2822,IFERROR(J2821,C2822)),""),"")</f>
        <v/>
      </c>
      <c r="K2822" s="29">
        <f>IFERROR(IF(AND(ISNUMBER(C2822),ISNUMBER(J2822)),C2822/J2822-1,""),"")</f>
        <v/>
      </c>
      <c r="L2822" s="28">
        <f>IFERROR(IF(AND(ISNUMBER(D2822),ISNUMBER(E2822)),D2822-E2822,""),"")</f>
        <v/>
      </c>
    </row>
    <row r="2823">
      <c r="A2823" s="7">
        <f>IFERROR(Datos!A2823,"")</f>
        <v/>
      </c>
      <c r="B2823" s="8">
        <f>IFERROR(Datos!B2823,"")</f>
        <v/>
      </c>
      <c r="C2823" s="8">
        <f>IFERROR(Datos!C2823,"")</f>
        <v/>
      </c>
      <c r="D2823" s="28">
        <f>IFERROR(IF(AND(ISNUMBER(B2823),ISNUMBER(B2822),B2822&lt;&gt;0),B2823/B2822-1,""),"")</f>
        <v/>
      </c>
      <c r="E2823" s="28">
        <f>IFERROR(IF(AND(ISNUMBER(C2823),ISNUMBER(C2822),C2822&lt;&gt;0),C2823/C2822-1,""),"")</f>
        <v/>
      </c>
      <c r="F2823" s="28">
        <f>IFERROR(D2823-Dashboard!$B$4/252,"")</f>
        <v/>
      </c>
      <c r="G2823" s="28">
        <f>IFERROR(E2823-Dashboard!$B$4/252,"")</f>
        <v/>
      </c>
      <c r="H2823" s="8">
        <f>IFERROR(IF(ISNUMBER(B2823),MAX(B2823,IFERROR(H2822,B2823)),""),"")</f>
        <v/>
      </c>
      <c r="I2823" s="29">
        <f>IFERROR(IF(AND(ISNUMBER(B2823),ISNUMBER(H2823)),B2823/H2823-1,""),"")</f>
        <v/>
      </c>
      <c r="J2823" s="8">
        <f>IFERROR(IF(ISNUMBER(C2823),MAX(C2823,IFERROR(J2822,C2823)),""),"")</f>
        <v/>
      </c>
      <c r="K2823" s="29">
        <f>IFERROR(IF(AND(ISNUMBER(C2823),ISNUMBER(J2823)),C2823/J2823-1,""),"")</f>
        <v/>
      </c>
      <c r="L2823" s="28">
        <f>IFERROR(IF(AND(ISNUMBER(D2823),ISNUMBER(E2823)),D2823-E2823,""),"")</f>
        <v/>
      </c>
    </row>
    <row r="2824">
      <c r="A2824" s="7">
        <f>IFERROR(Datos!A2824,"")</f>
        <v/>
      </c>
      <c r="B2824" s="8">
        <f>IFERROR(Datos!B2824,"")</f>
        <v/>
      </c>
      <c r="C2824" s="8">
        <f>IFERROR(Datos!C2824,"")</f>
        <v/>
      </c>
      <c r="D2824" s="28">
        <f>IFERROR(IF(AND(ISNUMBER(B2824),ISNUMBER(B2823),B2823&lt;&gt;0),B2824/B2823-1,""),"")</f>
        <v/>
      </c>
      <c r="E2824" s="28">
        <f>IFERROR(IF(AND(ISNUMBER(C2824),ISNUMBER(C2823),C2823&lt;&gt;0),C2824/C2823-1,""),"")</f>
        <v/>
      </c>
      <c r="F2824" s="28">
        <f>IFERROR(D2824-Dashboard!$B$4/252,"")</f>
        <v/>
      </c>
      <c r="G2824" s="28">
        <f>IFERROR(E2824-Dashboard!$B$4/252,"")</f>
        <v/>
      </c>
      <c r="H2824" s="8">
        <f>IFERROR(IF(ISNUMBER(B2824),MAX(B2824,IFERROR(H2823,B2824)),""),"")</f>
        <v/>
      </c>
      <c r="I2824" s="29">
        <f>IFERROR(IF(AND(ISNUMBER(B2824),ISNUMBER(H2824)),B2824/H2824-1,""),"")</f>
        <v/>
      </c>
      <c r="J2824" s="8">
        <f>IFERROR(IF(ISNUMBER(C2824),MAX(C2824,IFERROR(J2823,C2824)),""),"")</f>
        <v/>
      </c>
      <c r="K2824" s="29">
        <f>IFERROR(IF(AND(ISNUMBER(C2824),ISNUMBER(J2824)),C2824/J2824-1,""),"")</f>
        <v/>
      </c>
      <c r="L2824" s="28">
        <f>IFERROR(IF(AND(ISNUMBER(D2824),ISNUMBER(E2824)),D2824-E2824,""),"")</f>
        <v/>
      </c>
    </row>
    <row r="2825">
      <c r="A2825" s="7">
        <f>IFERROR(Datos!A2825,"")</f>
        <v/>
      </c>
      <c r="B2825" s="8">
        <f>IFERROR(Datos!B2825,"")</f>
        <v/>
      </c>
      <c r="C2825" s="8">
        <f>IFERROR(Datos!C2825,"")</f>
        <v/>
      </c>
      <c r="D2825" s="28">
        <f>IFERROR(IF(AND(ISNUMBER(B2825),ISNUMBER(B2824),B2824&lt;&gt;0),B2825/B2824-1,""),"")</f>
        <v/>
      </c>
      <c r="E2825" s="28">
        <f>IFERROR(IF(AND(ISNUMBER(C2825),ISNUMBER(C2824),C2824&lt;&gt;0),C2825/C2824-1,""),"")</f>
        <v/>
      </c>
      <c r="F2825" s="28">
        <f>IFERROR(D2825-Dashboard!$B$4/252,"")</f>
        <v/>
      </c>
      <c r="G2825" s="28">
        <f>IFERROR(E2825-Dashboard!$B$4/252,"")</f>
        <v/>
      </c>
      <c r="H2825" s="8">
        <f>IFERROR(IF(ISNUMBER(B2825),MAX(B2825,IFERROR(H2824,B2825)),""),"")</f>
        <v/>
      </c>
      <c r="I2825" s="29">
        <f>IFERROR(IF(AND(ISNUMBER(B2825),ISNUMBER(H2825)),B2825/H2825-1,""),"")</f>
        <v/>
      </c>
      <c r="J2825" s="8">
        <f>IFERROR(IF(ISNUMBER(C2825),MAX(C2825,IFERROR(J2824,C2825)),""),"")</f>
        <v/>
      </c>
      <c r="K2825" s="29">
        <f>IFERROR(IF(AND(ISNUMBER(C2825),ISNUMBER(J2825)),C2825/J2825-1,""),"")</f>
        <v/>
      </c>
      <c r="L2825" s="28">
        <f>IFERROR(IF(AND(ISNUMBER(D2825),ISNUMBER(E2825)),D2825-E2825,""),"")</f>
        <v/>
      </c>
    </row>
    <row r="2826">
      <c r="A2826" s="7">
        <f>IFERROR(Datos!A2826,"")</f>
        <v/>
      </c>
      <c r="B2826" s="8">
        <f>IFERROR(Datos!B2826,"")</f>
        <v/>
      </c>
      <c r="C2826" s="8">
        <f>IFERROR(Datos!C2826,"")</f>
        <v/>
      </c>
      <c r="D2826" s="28">
        <f>IFERROR(IF(AND(ISNUMBER(B2826),ISNUMBER(B2825),B2825&lt;&gt;0),B2826/B2825-1,""),"")</f>
        <v/>
      </c>
      <c r="E2826" s="28">
        <f>IFERROR(IF(AND(ISNUMBER(C2826),ISNUMBER(C2825),C2825&lt;&gt;0),C2826/C2825-1,""),"")</f>
        <v/>
      </c>
      <c r="F2826" s="28">
        <f>IFERROR(D2826-Dashboard!$B$4/252,"")</f>
        <v/>
      </c>
      <c r="G2826" s="28">
        <f>IFERROR(E2826-Dashboard!$B$4/252,"")</f>
        <v/>
      </c>
      <c r="H2826" s="8">
        <f>IFERROR(IF(ISNUMBER(B2826),MAX(B2826,IFERROR(H2825,B2826)),""),"")</f>
        <v/>
      </c>
      <c r="I2826" s="29">
        <f>IFERROR(IF(AND(ISNUMBER(B2826),ISNUMBER(H2826)),B2826/H2826-1,""),"")</f>
        <v/>
      </c>
      <c r="J2826" s="8">
        <f>IFERROR(IF(ISNUMBER(C2826),MAX(C2826,IFERROR(J2825,C2826)),""),"")</f>
        <v/>
      </c>
      <c r="K2826" s="29">
        <f>IFERROR(IF(AND(ISNUMBER(C2826),ISNUMBER(J2826)),C2826/J2826-1,""),"")</f>
        <v/>
      </c>
      <c r="L2826" s="28">
        <f>IFERROR(IF(AND(ISNUMBER(D2826),ISNUMBER(E2826)),D2826-E2826,""),"")</f>
        <v/>
      </c>
    </row>
    <row r="2827">
      <c r="A2827" s="7">
        <f>IFERROR(Datos!A2827,"")</f>
        <v/>
      </c>
      <c r="B2827" s="8">
        <f>IFERROR(Datos!B2827,"")</f>
        <v/>
      </c>
      <c r="C2827" s="8">
        <f>IFERROR(Datos!C2827,"")</f>
        <v/>
      </c>
      <c r="D2827" s="28">
        <f>IFERROR(IF(AND(ISNUMBER(B2827),ISNUMBER(B2826),B2826&lt;&gt;0),B2827/B2826-1,""),"")</f>
        <v/>
      </c>
      <c r="E2827" s="28">
        <f>IFERROR(IF(AND(ISNUMBER(C2827),ISNUMBER(C2826),C2826&lt;&gt;0),C2827/C2826-1,""),"")</f>
        <v/>
      </c>
      <c r="F2827" s="28">
        <f>IFERROR(D2827-Dashboard!$B$4/252,"")</f>
        <v/>
      </c>
      <c r="G2827" s="28">
        <f>IFERROR(E2827-Dashboard!$B$4/252,"")</f>
        <v/>
      </c>
      <c r="H2827" s="8">
        <f>IFERROR(IF(ISNUMBER(B2827),MAX(B2827,IFERROR(H2826,B2827)),""),"")</f>
        <v/>
      </c>
      <c r="I2827" s="29">
        <f>IFERROR(IF(AND(ISNUMBER(B2827),ISNUMBER(H2827)),B2827/H2827-1,""),"")</f>
        <v/>
      </c>
      <c r="J2827" s="8">
        <f>IFERROR(IF(ISNUMBER(C2827),MAX(C2827,IFERROR(J2826,C2827)),""),"")</f>
        <v/>
      </c>
      <c r="K2827" s="29">
        <f>IFERROR(IF(AND(ISNUMBER(C2827),ISNUMBER(J2827)),C2827/J2827-1,""),"")</f>
        <v/>
      </c>
      <c r="L2827" s="28">
        <f>IFERROR(IF(AND(ISNUMBER(D2827),ISNUMBER(E2827)),D2827-E2827,""),"")</f>
        <v/>
      </c>
    </row>
    <row r="2828">
      <c r="A2828" s="7">
        <f>IFERROR(Datos!A2828,"")</f>
        <v/>
      </c>
      <c r="B2828" s="8">
        <f>IFERROR(Datos!B2828,"")</f>
        <v/>
      </c>
      <c r="C2828" s="8">
        <f>IFERROR(Datos!C2828,"")</f>
        <v/>
      </c>
      <c r="D2828" s="28">
        <f>IFERROR(IF(AND(ISNUMBER(B2828),ISNUMBER(B2827),B2827&lt;&gt;0),B2828/B2827-1,""),"")</f>
        <v/>
      </c>
      <c r="E2828" s="28">
        <f>IFERROR(IF(AND(ISNUMBER(C2828),ISNUMBER(C2827),C2827&lt;&gt;0),C2828/C2827-1,""),"")</f>
        <v/>
      </c>
      <c r="F2828" s="28">
        <f>IFERROR(D2828-Dashboard!$B$4/252,"")</f>
        <v/>
      </c>
      <c r="G2828" s="28">
        <f>IFERROR(E2828-Dashboard!$B$4/252,"")</f>
        <v/>
      </c>
      <c r="H2828" s="8">
        <f>IFERROR(IF(ISNUMBER(B2828),MAX(B2828,IFERROR(H2827,B2828)),""),"")</f>
        <v/>
      </c>
      <c r="I2828" s="29">
        <f>IFERROR(IF(AND(ISNUMBER(B2828),ISNUMBER(H2828)),B2828/H2828-1,""),"")</f>
        <v/>
      </c>
      <c r="J2828" s="8">
        <f>IFERROR(IF(ISNUMBER(C2828),MAX(C2828,IFERROR(J2827,C2828)),""),"")</f>
        <v/>
      </c>
      <c r="K2828" s="29">
        <f>IFERROR(IF(AND(ISNUMBER(C2828),ISNUMBER(J2828)),C2828/J2828-1,""),"")</f>
        <v/>
      </c>
      <c r="L2828" s="28">
        <f>IFERROR(IF(AND(ISNUMBER(D2828),ISNUMBER(E2828)),D2828-E2828,""),"")</f>
        <v/>
      </c>
    </row>
    <row r="2829">
      <c r="A2829" s="7">
        <f>IFERROR(Datos!A2829,"")</f>
        <v/>
      </c>
      <c r="B2829" s="8">
        <f>IFERROR(Datos!B2829,"")</f>
        <v/>
      </c>
      <c r="C2829" s="8">
        <f>IFERROR(Datos!C2829,"")</f>
        <v/>
      </c>
      <c r="D2829" s="28">
        <f>IFERROR(IF(AND(ISNUMBER(B2829),ISNUMBER(B2828),B2828&lt;&gt;0),B2829/B2828-1,""),"")</f>
        <v/>
      </c>
      <c r="E2829" s="28">
        <f>IFERROR(IF(AND(ISNUMBER(C2829),ISNUMBER(C2828),C2828&lt;&gt;0),C2829/C2828-1,""),"")</f>
        <v/>
      </c>
      <c r="F2829" s="28">
        <f>IFERROR(D2829-Dashboard!$B$4/252,"")</f>
        <v/>
      </c>
      <c r="G2829" s="28">
        <f>IFERROR(E2829-Dashboard!$B$4/252,"")</f>
        <v/>
      </c>
      <c r="H2829" s="8">
        <f>IFERROR(IF(ISNUMBER(B2829),MAX(B2829,IFERROR(H2828,B2829)),""),"")</f>
        <v/>
      </c>
      <c r="I2829" s="29">
        <f>IFERROR(IF(AND(ISNUMBER(B2829),ISNUMBER(H2829)),B2829/H2829-1,""),"")</f>
        <v/>
      </c>
      <c r="J2829" s="8">
        <f>IFERROR(IF(ISNUMBER(C2829),MAX(C2829,IFERROR(J2828,C2829)),""),"")</f>
        <v/>
      </c>
      <c r="K2829" s="29">
        <f>IFERROR(IF(AND(ISNUMBER(C2829),ISNUMBER(J2829)),C2829/J2829-1,""),"")</f>
        <v/>
      </c>
      <c r="L2829" s="28">
        <f>IFERROR(IF(AND(ISNUMBER(D2829),ISNUMBER(E2829)),D2829-E2829,""),"")</f>
        <v/>
      </c>
    </row>
    <row r="2830">
      <c r="A2830" s="7">
        <f>IFERROR(Datos!A2830,"")</f>
        <v/>
      </c>
      <c r="B2830" s="8">
        <f>IFERROR(Datos!B2830,"")</f>
        <v/>
      </c>
      <c r="C2830" s="8">
        <f>IFERROR(Datos!C2830,"")</f>
        <v/>
      </c>
      <c r="D2830" s="28">
        <f>IFERROR(IF(AND(ISNUMBER(B2830),ISNUMBER(B2829),B2829&lt;&gt;0),B2830/B2829-1,""),"")</f>
        <v/>
      </c>
      <c r="E2830" s="28">
        <f>IFERROR(IF(AND(ISNUMBER(C2830),ISNUMBER(C2829),C2829&lt;&gt;0),C2830/C2829-1,""),"")</f>
        <v/>
      </c>
      <c r="F2830" s="28">
        <f>IFERROR(D2830-Dashboard!$B$4/252,"")</f>
        <v/>
      </c>
      <c r="G2830" s="28">
        <f>IFERROR(E2830-Dashboard!$B$4/252,"")</f>
        <v/>
      </c>
      <c r="H2830" s="8">
        <f>IFERROR(IF(ISNUMBER(B2830),MAX(B2830,IFERROR(H2829,B2830)),""),"")</f>
        <v/>
      </c>
      <c r="I2830" s="29">
        <f>IFERROR(IF(AND(ISNUMBER(B2830),ISNUMBER(H2830)),B2830/H2830-1,""),"")</f>
        <v/>
      </c>
      <c r="J2830" s="8">
        <f>IFERROR(IF(ISNUMBER(C2830),MAX(C2830,IFERROR(J2829,C2830)),""),"")</f>
        <v/>
      </c>
      <c r="K2830" s="29">
        <f>IFERROR(IF(AND(ISNUMBER(C2830),ISNUMBER(J2830)),C2830/J2830-1,""),"")</f>
        <v/>
      </c>
      <c r="L2830" s="28">
        <f>IFERROR(IF(AND(ISNUMBER(D2830),ISNUMBER(E2830)),D2830-E2830,""),"")</f>
        <v/>
      </c>
    </row>
    <row r="2831">
      <c r="A2831" s="7">
        <f>IFERROR(Datos!A2831,"")</f>
        <v/>
      </c>
      <c r="B2831" s="8">
        <f>IFERROR(Datos!B2831,"")</f>
        <v/>
      </c>
      <c r="C2831" s="8">
        <f>IFERROR(Datos!C2831,"")</f>
        <v/>
      </c>
      <c r="D2831" s="28">
        <f>IFERROR(IF(AND(ISNUMBER(B2831),ISNUMBER(B2830),B2830&lt;&gt;0),B2831/B2830-1,""),"")</f>
        <v/>
      </c>
      <c r="E2831" s="28">
        <f>IFERROR(IF(AND(ISNUMBER(C2831),ISNUMBER(C2830),C2830&lt;&gt;0),C2831/C2830-1,""),"")</f>
        <v/>
      </c>
      <c r="F2831" s="28">
        <f>IFERROR(D2831-Dashboard!$B$4/252,"")</f>
        <v/>
      </c>
      <c r="G2831" s="28">
        <f>IFERROR(E2831-Dashboard!$B$4/252,"")</f>
        <v/>
      </c>
      <c r="H2831" s="8">
        <f>IFERROR(IF(ISNUMBER(B2831),MAX(B2831,IFERROR(H2830,B2831)),""),"")</f>
        <v/>
      </c>
      <c r="I2831" s="29">
        <f>IFERROR(IF(AND(ISNUMBER(B2831),ISNUMBER(H2831)),B2831/H2831-1,""),"")</f>
        <v/>
      </c>
      <c r="J2831" s="8">
        <f>IFERROR(IF(ISNUMBER(C2831),MAX(C2831,IFERROR(J2830,C2831)),""),"")</f>
        <v/>
      </c>
      <c r="K2831" s="29">
        <f>IFERROR(IF(AND(ISNUMBER(C2831),ISNUMBER(J2831)),C2831/J2831-1,""),"")</f>
        <v/>
      </c>
      <c r="L2831" s="28">
        <f>IFERROR(IF(AND(ISNUMBER(D2831),ISNUMBER(E2831)),D2831-E2831,""),"")</f>
        <v/>
      </c>
    </row>
    <row r="2832">
      <c r="A2832" s="7">
        <f>IFERROR(Datos!A2832,"")</f>
        <v/>
      </c>
      <c r="B2832" s="8">
        <f>IFERROR(Datos!B2832,"")</f>
        <v/>
      </c>
      <c r="C2832" s="8">
        <f>IFERROR(Datos!C2832,"")</f>
        <v/>
      </c>
      <c r="D2832" s="28">
        <f>IFERROR(IF(AND(ISNUMBER(B2832),ISNUMBER(B2831),B2831&lt;&gt;0),B2832/B2831-1,""),"")</f>
        <v/>
      </c>
      <c r="E2832" s="28">
        <f>IFERROR(IF(AND(ISNUMBER(C2832),ISNUMBER(C2831),C2831&lt;&gt;0),C2832/C2831-1,""),"")</f>
        <v/>
      </c>
      <c r="F2832" s="28">
        <f>IFERROR(D2832-Dashboard!$B$4/252,"")</f>
        <v/>
      </c>
      <c r="G2832" s="28">
        <f>IFERROR(E2832-Dashboard!$B$4/252,"")</f>
        <v/>
      </c>
      <c r="H2832" s="8">
        <f>IFERROR(IF(ISNUMBER(B2832),MAX(B2832,IFERROR(H2831,B2832)),""),"")</f>
        <v/>
      </c>
      <c r="I2832" s="29">
        <f>IFERROR(IF(AND(ISNUMBER(B2832),ISNUMBER(H2832)),B2832/H2832-1,""),"")</f>
        <v/>
      </c>
      <c r="J2832" s="8">
        <f>IFERROR(IF(ISNUMBER(C2832),MAX(C2832,IFERROR(J2831,C2832)),""),"")</f>
        <v/>
      </c>
      <c r="K2832" s="29">
        <f>IFERROR(IF(AND(ISNUMBER(C2832),ISNUMBER(J2832)),C2832/J2832-1,""),"")</f>
        <v/>
      </c>
      <c r="L2832" s="28">
        <f>IFERROR(IF(AND(ISNUMBER(D2832),ISNUMBER(E2832)),D2832-E2832,""),"")</f>
        <v/>
      </c>
    </row>
    <row r="2833">
      <c r="A2833" s="7">
        <f>IFERROR(Datos!A2833,"")</f>
        <v/>
      </c>
      <c r="B2833" s="8">
        <f>IFERROR(Datos!B2833,"")</f>
        <v/>
      </c>
      <c r="C2833" s="8">
        <f>IFERROR(Datos!C2833,"")</f>
        <v/>
      </c>
      <c r="D2833" s="28">
        <f>IFERROR(IF(AND(ISNUMBER(B2833),ISNUMBER(B2832),B2832&lt;&gt;0),B2833/B2832-1,""),"")</f>
        <v/>
      </c>
      <c r="E2833" s="28">
        <f>IFERROR(IF(AND(ISNUMBER(C2833),ISNUMBER(C2832),C2832&lt;&gt;0),C2833/C2832-1,""),"")</f>
        <v/>
      </c>
      <c r="F2833" s="28">
        <f>IFERROR(D2833-Dashboard!$B$4/252,"")</f>
        <v/>
      </c>
      <c r="G2833" s="28">
        <f>IFERROR(E2833-Dashboard!$B$4/252,"")</f>
        <v/>
      </c>
      <c r="H2833" s="8">
        <f>IFERROR(IF(ISNUMBER(B2833),MAX(B2833,IFERROR(H2832,B2833)),""),"")</f>
        <v/>
      </c>
      <c r="I2833" s="29">
        <f>IFERROR(IF(AND(ISNUMBER(B2833),ISNUMBER(H2833)),B2833/H2833-1,""),"")</f>
        <v/>
      </c>
      <c r="J2833" s="8">
        <f>IFERROR(IF(ISNUMBER(C2833),MAX(C2833,IFERROR(J2832,C2833)),""),"")</f>
        <v/>
      </c>
      <c r="K2833" s="29">
        <f>IFERROR(IF(AND(ISNUMBER(C2833),ISNUMBER(J2833)),C2833/J2833-1,""),"")</f>
        <v/>
      </c>
      <c r="L2833" s="28">
        <f>IFERROR(IF(AND(ISNUMBER(D2833),ISNUMBER(E2833)),D2833-E2833,""),"")</f>
        <v/>
      </c>
    </row>
    <row r="2834">
      <c r="A2834" s="7">
        <f>IFERROR(Datos!A2834,"")</f>
        <v/>
      </c>
      <c r="B2834" s="8">
        <f>IFERROR(Datos!B2834,"")</f>
        <v/>
      </c>
      <c r="C2834" s="8">
        <f>IFERROR(Datos!C2834,"")</f>
        <v/>
      </c>
      <c r="D2834" s="28">
        <f>IFERROR(IF(AND(ISNUMBER(B2834),ISNUMBER(B2833),B2833&lt;&gt;0),B2834/B2833-1,""),"")</f>
        <v/>
      </c>
      <c r="E2834" s="28">
        <f>IFERROR(IF(AND(ISNUMBER(C2834),ISNUMBER(C2833),C2833&lt;&gt;0),C2834/C2833-1,""),"")</f>
        <v/>
      </c>
      <c r="F2834" s="28">
        <f>IFERROR(D2834-Dashboard!$B$4/252,"")</f>
        <v/>
      </c>
      <c r="G2834" s="28">
        <f>IFERROR(E2834-Dashboard!$B$4/252,"")</f>
        <v/>
      </c>
      <c r="H2834" s="8">
        <f>IFERROR(IF(ISNUMBER(B2834),MAX(B2834,IFERROR(H2833,B2834)),""),"")</f>
        <v/>
      </c>
      <c r="I2834" s="29">
        <f>IFERROR(IF(AND(ISNUMBER(B2834),ISNUMBER(H2834)),B2834/H2834-1,""),"")</f>
        <v/>
      </c>
      <c r="J2834" s="8">
        <f>IFERROR(IF(ISNUMBER(C2834),MAX(C2834,IFERROR(J2833,C2834)),""),"")</f>
        <v/>
      </c>
      <c r="K2834" s="29">
        <f>IFERROR(IF(AND(ISNUMBER(C2834),ISNUMBER(J2834)),C2834/J2834-1,""),"")</f>
        <v/>
      </c>
      <c r="L2834" s="28">
        <f>IFERROR(IF(AND(ISNUMBER(D2834),ISNUMBER(E2834)),D2834-E2834,""),"")</f>
        <v/>
      </c>
    </row>
    <row r="2835">
      <c r="A2835" s="7">
        <f>IFERROR(Datos!A2835,"")</f>
        <v/>
      </c>
      <c r="B2835" s="8">
        <f>IFERROR(Datos!B2835,"")</f>
        <v/>
      </c>
      <c r="C2835" s="8">
        <f>IFERROR(Datos!C2835,"")</f>
        <v/>
      </c>
      <c r="D2835" s="28">
        <f>IFERROR(IF(AND(ISNUMBER(B2835),ISNUMBER(B2834),B2834&lt;&gt;0),B2835/B2834-1,""),"")</f>
        <v/>
      </c>
      <c r="E2835" s="28">
        <f>IFERROR(IF(AND(ISNUMBER(C2835),ISNUMBER(C2834),C2834&lt;&gt;0),C2835/C2834-1,""),"")</f>
        <v/>
      </c>
      <c r="F2835" s="28">
        <f>IFERROR(D2835-Dashboard!$B$4/252,"")</f>
        <v/>
      </c>
      <c r="G2835" s="28">
        <f>IFERROR(E2835-Dashboard!$B$4/252,"")</f>
        <v/>
      </c>
      <c r="H2835" s="8">
        <f>IFERROR(IF(ISNUMBER(B2835),MAX(B2835,IFERROR(H2834,B2835)),""),"")</f>
        <v/>
      </c>
      <c r="I2835" s="29">
        <f>IFERROR(IF(AND(ISNUMBER(B2835),ISNUMBER(H2835)),B2835/H2835-1,""),"")</f>
        <v/>
      </c>
      <c r="J2835" s="8">
        <f>IFERROR(IF(ISNUMBER(C2835),MAX(C2835,IFERROR(J2834,C2835)),""),"")</f>
        <v/>
      </c>
      <c r="K2835" s="29">
        <f>IFERROR(IF(AND(ISNUMBER(C2835),ISNUMBER(J2835)),C2835/J2835-1,""),"")</f>
        <v/>
      </c>
      <c r="L2835" s="28">
        <f>IFERROR(IF(AND(ISNUMBER(D2835),ISNUMBER(E2835)),D2835-E2835,""),"")</f>
        <v/>
      </c>
    </row>
    <row r="2836">
      <c r="A2836" s="7">
        <f>IFERROR(Datos!A2836,"")</f>
        <v/>
      </c>
      <c r="B2836" s="8">
        <f>IFERROR(Datos!B2836,"")</f>
        <v/>
      </c>
      <c r="C2836" s="8">
        <f>IFERROR(Datos!C2836,"")</f>
        <v/>
      </c>
      <c r="D2836" s="28">
        <f>IFERROR(IF(AND(ISNUMBER(B2836),ISNUMBER(B2835),B2835&lt;&gt;0),B2836/B2835-1,""),"")</f>
        <v/>
      </c>
      <c r="E2836" s="28">
        <f>IFERROR(IF(AND(ISNUMBER(C2836),ISNUMBER(C2835),C2835&lt;&gt;0),C2836/C2835-1,""),"")</f>
        <v/>
      </c>
      <c r="F2836" s="28">
        <f>IFERROR(D2836-Dashboard!$B$4/252,"")</f>
        <v/>
      </c>
      <c r="G2836" s="28">
        <f>IFERROR(E2836-Dashboard!$B$4/252,"")</f>
        <v/>
      </c>
      <c r="H2836" s="8">
        <f>IFERROR(IF(ISNUMBER(B2836),MAX(B2836,IFERROR(H2835,B2836)),""),"")</f>
        <v/>
      </c>
      <c r="I2836" s="29">
        <f>IFERROR(IF(AND(ISNUMBER(B2836),ISNUMBER(H2836)),B2836/H2836-1,""),"")</f>
        <v/>
      </c>
      <c r="J2836" s="8">
        <f>IFERROR(IF(ISNUMBER(C2836),MAX(C2836,IFERROR(J2835,C2836)),""),"")</f>
        <v/>
      </c>
      <c r="K2836" s="29">
        <f>IFERROR(IF(AND(ISNUMBER(C2836),ISNUMBER(J2836)),C2836/J2836-1,""),"")</f>
        <v/>
      </c>
      <c r="L2836" s="28">
        <f>IFERROR(IF(AND(ISNUMBER(D2836),ISNUMBER(E2836)),D2836-E2836,""),"")</f>
        <v/>
      </c>
    </row>
    <row r="2837">
      <c r="A2837" s="7">
        <f>IFERROR(Datos!A2837,"")</f>
        <v/>
      </c>
      <c r="B2837" s="8">
        <f>IFERROR(Datos!B2837,"")</f>
        <v/>
      </c>
      <c r="C2837" s="8">
        <f>IFERROR(Datos!C2837,"")</f>
        <v/>
      </c>
      <c r="D2837" s="28">
        <f>IFERROR(IF(AND(ISNUMBER(B2837),ISNUMBER(B2836),B2836&lt;&gt;0),B2837/B2836-1,""),"")</f>
        <v/>
      </c>
      <c r="E2837" s="28">
        <f>IFERROR(IF(AND(ISNUMBER(C2837),ISNUMBER(C2836),C2836&lt;&gt;0),C2837/C2836-1,""),"")</f>
        <v/>
      </c>
      <c r="F2837" s="28">
        <f>IFERROR(D2837-Dashboard!$B$4/252,"")</f>
        <v/>
      </c>
      <c r="G2837" s="28">
        <f>IFERROR(E2837-Dashboard!$B$4/252,"")</f>
        <v/>
      </c>
      <c r="H2837" s="8">
        <f>IFERROR(IF(ISNUMBER(B2837),MAX(B2837,IFERROR(H2836,B2837)),""),"")</f>
        <v/>
      </c>
      <c r="I2837" s="29">
        <f>IFERROR(IF(AND(ISNUMBER(B2837),ISNUMBER(H2837)),B2837/H2837-1,""),"")</f>
        <v/>
      </c>
      <c r="J2837" s="8">
        <f>IFERROR(IF(ISNUMBER(C2837),MAX(C2837,IFERROR(J2836,C2837)),""),"")</f>
        <v/>
      </c>
      <c r="K2837" s="29">
        <f>IFERROR(IF(AND(ISNUMBER(C2837),ISNUMBER(J2837)),C2837/J2837-1,""),"")</f>
        <v/>
      </c>
      <c r="L2837" s="28">
        <f>IFERROR(IF(AND(ISNUMBER(D2837),ISNUMBER(E2837)),D2837-E2837,""),"")</f>
        <v/>
      </c>
    </row>
    <row r="2838">
      <c r="A2838" s="7">
        <f>IFERROR(Datos!A2838,"")</f>
        <v/>
      </c>
      <c r="B2838" s="8">
        <f>IFERROR(Datos!B2838,"")</f>
        <v/>
      </c>
      <c r="C2838" s="8">
        <f>IFERROR(Datos!C2838,"")</f>
        <v/>
      </c>
      <c r="D2838" s="28">
        <f>IFERROR(IF(AND(ISNUMBER(B2838),ISNUMBER(B2837),B2837&lt;&gt;0),B2838/B2837-1,""),"")</f>
        <v/>
      </c>
      <c r="E2838" s="28">
        <f>IFERROR(IF(AND(ISNUMBER(C2838),ISNUMBER(C2837),C2837&lt;&gt;0),C2838/C2837-1,""),"")</f>
        <v/>
      </c>
      <c r="F2838" s="28">
        <f>IFERROR(D2838-Dashboard!$B$4/252,"")</f>
        <v/>
      </c>
      <c r="G2838" s="28">
        <f>IFERROR(E2838-Dashboard!$B$4/252,"")</f>
        <v/>
      </c>
      <c r="H2838" s="8">
        <f>IFERROR(IF(ISNUMBER(B2838),MAX(B2838,IFERROR(H2837,B2838)),""),"")</f>
        <v/>
      </c>
      <c r="I2838" s="29">
        <f>IFERROR(IF(AND(ISNUMBER(B2838),ISNUMBER(H2838)),B2838/H2838-1,""),"")</f>
        <v/>
      </c>
      <c r="J2838" s="8">
        <f>IFERROR(IF(ISNUMBER(C2838),MAX(C2838,IFERROR(J2837,C2838)),""),"")</f>
        <v/>
      </c>
      <c r="K2838" s="29">
        <f>IFERROR(IF(AND(ISNUMBER(C2838),ISNUMBER(J2838)),C2838/J2838-1,""),"")</f>
        <v/>
      </c>
      <c r="L2838" s="28">
        <f>IFERROR(IF(AND(ISNUMBER(D2838),ISNUMBER(E2838)),D2838-E2838,""),"")</f>
        <v/>
      </c>
    </row>
    <row r="2839">
      <c r="A2839" s="7">
        <f>IFERROR(Datos!A2839,"")</f>
        <v/>
      </c>
      <c r="B2839" s="8">
        <f>IFERROR(Datos!B2839,"")</f>
        <v/>
      </c>
      <c r="C2839" s="8">
        <f>IFERROR(Datos!C2839,"")</f>
        <v/>
      </c>
      <c r="D2839" s="28">
        <f>IFERROR(IF(AND(ISNUMBER(B2839),ISNUMBER(B2838),B2838&lt;&gt;0),B2839/B2838-1,""),"")</f>
        <v/>
      </c>
      <c r="E2839" s="28">
        <f>IFERROR(IF(AND(ISNUMBER(C2839),ISNUMBER(C2838),C2838&lt;&gt;0),C2839/C2838-1,""),"")</f>
        <v/>
      </c>
      <c r="F2839" s="28">
        <f>IFERROR(D2839-Dashboard!$B$4/252,"")</f>
        <v/>
      </c>
      <c r="G2839" s="28">
        <f>IFERROR(E2839-Dashboard!$B$4/252,"")</f>
        <v/>
      </c>
      <c r="H2839" s="8">
        <f>IFERROR(IF(ISNUMBER(B2839),MAX(B2839,IFERROR(H2838,B2839)),""),"")</f>
        <v/>
      </c>
      <c r="I2839" s="29">
        <f>IFERROR(IF(AND(ISNUMBER(B2839),ISNUMBER(H2839)),B2839/H2839-1,""),"")</f>
        <v/>
      </c>
      <c r="J2839" s="8">
        <f>IFERROR(IF(ISNUMBER(C2839),MAX(C2839,IFERROR(J2838,C2839)),""),"")</f>
        <v/>
      </c>
      <c r="K2839" s="29">
        <f>IFERROR(IF(AND(ISNUMBER(C2839),ISNUMBER(J2839)),C2839/J2839-1,""),"")</f>
        <v/>
      </c>
      <c r="L2839" s="28">
        <f>IFERROR(IF(AND(ISNUMBER(D2839),ISNUMBER(E2839)),D2839-E2839,""),"")</f>
        <v/>
      </c>
    </row>
    <row r="2840">
      <c r="A2840" s="7">
        <f>IFERROR(Datos!A2840,"")</f>
        <v/>
      </c>
      <c r="B2840" s="8">
        <f>IFERROR(Datos!B2840,"")</f>
        <v/>
      </c>
      <c r="C2840" s="8">
        <f>IFERROR(Datos!C2840,"")</f>
        <v/>
      </c>
      <c r="D2840" s="28">
        <f>IFERROR(IF(AND(ISNUMBER(B2840),ISNUMBER(B2839),B2839&lt;&gt;0),B2840/B2839-1,""),"")</f>
        <v/>
      </c>
      <c r="E2840" s="28">
        <f>IFERROR(IF(AND(ISNUMBER(C2840),ISNUMBER(C2839),C2839&lt;&gt;0),C2840/C2839-1,""),"")</f>
        <v/>
      </c>
      <c r="F2840" s="28">
        <f>IFERROR(D2840-Dashboard!$B$4/252,"")</f>
        <v/>
      </c>
      <c r="G2840" s="28">
        <f>IFERROR(E2840-Dashboard!$B$4/252,"")</f>
        <v/>
      </c>
      <c r="H2840" s="8">
        <f>IFERROR(IF(ISNUMBER(B2840),MAX(B2840,IFERROR(H2839,B2840)),""),"")</f>
        <v/>
      </c>
      <c r="I2840" s="29">
        <f>IFERROR(IF(AND(ISNUMBER(B2840),ISNUMBER(H2840)),B2840/H2840-1,""),"")</f>
        <v/>
      </c>
      <c r="J2840" s="8">
        <f>IFERROR(IF(ISNUMBER(C2840),MAX(C2840,IFERROR(J2839,C2840)),""),"")</f>
        <v/>
      </c>
      <c r="K2840" s="29">
        <f>IFERROR(IF(AND(ISNUMBER(C2840),ISNUMBER(J2840)),C2840/J2840-1,""),"")</f>
        <v/>
      </c>
      <c r="L2840" s="28">
        <f>IFERROR(IF(AND(ISNUMBER(D2840),ISNUMBER(E2840)),D2840-E2840,""),"")</f>
        <v/>
      </c>
    </row>
    <row r="2841">
      <c r="A2841" s="7">
        <f>IFERROR(Datos!A2841,"")</f>
        <v/>
      </c>
      <c r="B2841" s="8">
        <f>IFERROR(Datos!B2841,"")</f>
        <v/>
      </c>
      <c r="C2841" s="8">
        <f>IFERROR(Datos!C2841,"")</f>
        <v/>
      </c>
      <c r="D2841" s="28">
        <f>IFERROR(IF(AND(ISNUMBER(B2841),ISNUMBER(B2840),B2840&lt;&gt;0),B2841/B2840-1,""),"")</f>
        <v/>
      </c>
      <c r="E2841" s="28">
        <f>IFERROR(IF(AND(ISNUMBER(C2841),ISNUMBER(C2840),C2840&lt;&gt;0),C2841/C2840-1,""),"")</f>
        <v/>
      </c>
      <c r="F2841" s="28">
        <f>IFERROR(D2841-Dashboard!$B$4/252,"")</f>
        <v/>
      </c>
      <c r="G2841" s="28">
        <f>IFERROR(E2841-Dashboard!$B$4/252,"")</f>
        <v/>
      </c>
      <c r="H2841" s="8">
        <f>IFERROR(IF(ISNUMBER(B2841),MAX(B2841,IFERROR(H2840,B2841)),""),"")</f>
        <v/>
      </c>
      <c r="I2841" s="29">
        <f>IFERROR(IF(AND(ISNUMBER(B2841),ISNUMBER(H2841)),B2841/H2841-1,""),"")</f>
        <v/>
      </c>
      <c r="J2841" s="8">
        <f>IFERROR(IF(ISNUMBER(C2841),MAX(C2841,IFERROR(J2840,C2841)),""),"")</f>
        <v/>
      </c>
      <c r="K2841" s="29">
        <f>IFERROR(IF(AND(ISNUMBER(C2841),ISNUMBER(J2841)),C2841/J2841-1,""),"")</f>
        <v/>
      </c>
      <c r="L2841" s="28">
        <f>IFERROR(IF(AND(ISNUMBER(D2841),ISNUMBER(E2841)),D2841-E2841,""),"")</f>
        <v/>
      </c>
    </row>
    <row r="2842">
      <c r="A2842" s="7">
        <f>IFERROR(Datos!A2842,"")</f>
        <v/>
      </c>
      <c r="B2842" s="8">
        <f>IFERROR(Datos!B2842,"")</f>
        <v/>
      </c>
      <c r="C2842" s="8">
        <f>IFERROR(Datos!C2842,"")</f>
        <v/>
      </c>
      <c r="D2842" s="28">
        <f>IFERROR(IF(AND(ISNUMBER(B2842),ISNUMBER(B2841),B2841&lt;&gt;0),B2842/B2841-1,""),"")</f>
        <v/>
      </c>
      <c r="E2842" s="28">
        <f>IFERROR(IF(AND(ISNUMBER(C2842),ISNUMBER(C2841),C2841&lt;&gt;0),C2842/C2841-1,""),"")</f>
        <v/>
      </c>
      <c r="F2842" s="28">
        <f>IFERROR(D2842-Dashboard!$B$4/252,"")</f>
        <v/>
      </c>
      <c r="G2842" s="28">
        <f>IFERROR(E2842-Dashboard!$B$4/252,"")</f>
        <v/>
      </c>
      <c r="H2842" s="8">
        <f>IFERROR(IF(ISNUMBER(B2842),MAX(B2842,IFERROR(H2841,B2842)),""),"")</f>
        <v/>
      </c>
      <c r="I2842" s="29">
        <f>IFERROR(IF(AND(ISNUMBER(B2842),ISNUMBER(H2842)),B2842/H2842-1,""),"")</f>
        <v/>
      </c>
      <c r="J2842" s="8">
        <f>IFERROR(IF(ISNUMBER(C2842),MAX(C2842,IFERROR(J2841,C2842)),""),"")</f>
        <v/>
      </c>
      <c r="K2842" s="29">
        <f>IFERROR(IF(AND(ISNUMBER(C2842),ISNUMBER(J2842)),C2842/J2842-1,""),"")</f>
        <v/>
      </c>
      <c r="L2842" s="28">
        <f>IFERROR(IF(AND(ISNUMBER(D2842),ISNUMBER(E2842)),D2842-E2842,""),"")</f>
        <v/>
      </c>
    </row>
    <row r="2843">
      <c r="A2843" s="7">
        <f>IFERROR(Datos!A2843,"")</f>
        <v/>
      </c>
      <c r="B2843" s="8">
        <f>IFERROR(Datos!B2843,"")</f>
        <v/>
      </c>
      <c r="C2843" s="8">
        <f>IFERROR(Datos!C2843,"")</f>
        <v/>
      </c>
      <c r="D2843" s="28">
        <f>IFERROR(IF(AND(ISNUMBER(B2843),ISNUMBER(B2842),B2842&lt;&gt;0),B2843/B2842-1,""),"")</f>
        <v/>
      </c>
      <c r="E2843" s="28">
        <f>IFERROR(IF(AND(ISNUMBER(C2843),ISNUMBER(C2842),C2842&lt;&gt;0),C2843/C2842-1,""),"")</f>
        <v/>
      </c>
      <c r="F2843" s="28">
        <f>IFERROR(D2843-Dashboard!$B$4/252,"")</f>
        <v/>
      </c>
      <c r="G2843" s="28">
        <f>IFERROR(E2843-Dashboard!$B$4/252,"")</f>
        <v/>
      </c>
      <c r="H2843" s="8">
        <f>IFERROR(IF(ISNUMBER(B2843),MAX(B2843,IFERROR(H2842,B2843)),""),"")</f>
        <v/>
      </c>
      <c r="I2843" s="29">
        <f>IFERROR(IF(AND(ISNUMBER(B2843),ISNUMBER(H2843)),B2843/H2843-1,""),"")</f>
        <v/>
      </c>
      <c r="J2843" s="8">
        <f>IFERROR(IF(ISNUMBER(C2843),MAX(C2843,IFERROR(J2842,C2843)),""),"")</f>
        <v/>
      </c>
      <c r="K2843" s="29">
        <f>IFERROR(IF(AND(ISNUMBER(C2843),ISNUMBER(J2843)),C2843/J2843-1,""),"")</f>
        <v/>
      </c>
      <c r="L2843" s="28">
        <f>IFERROR(IF(AND(ISNUMBER(D2843),ISNUMBER(E2843)),D2843-E2843,""),"")</f>
        <v/>
      </c>
    </row>
    <row r="2844">
      <c r="A2844" s="7">
        <f>IFERROR(Datos!A2844,"")</f>
        <v/>
      </c>
      <c r="B2844" s="8">
        <f>IFERROR(Datos!B2844,"")</f>
        <v/>
      </c>
      <c r="C2844" s="8">
        <f>IFERROR(Datos!C2844,"")</f>
        <v/>
      </c>
      <c r="D2844" s="28">
        <f>IFERROR(IF(AND(ISNUMBER(B2844),ISNUMBER(B2843),B2843&lt;&gt;0),B2844/B2843-1,""),"")</f>
        <v/>
      </c>
      <c r="E2844" s="28">
        <f>IFERROR(IF(AND(ISNUMBER(C2844),ISNUMBER(C2843),C2843&lt;&gt;0),C2844/C2843-1,""),"")</f>
        <v/>
      </c>
      <c r="F2844" s="28">
        <f>IFERROR(D2844-Dashboard!$B$4/252,"")</f>
        <v/>
      </c>
      <c r="G2844" s="28">
        <f>IFERROR(E2844-Dashboard!$B$4/252,"")</f>
        <v/>
      </c>
      <c r="H2844" s="8">
        <f>IFERROR(IF(ISNUMBER(B2844),MAX(B2844,IFERROR(H2843,B2844)),""),"")</f>
        <v/>
      </c>
      <c r="I2844" s="29">
        <f>IFERROR(IF(AND(ISNUMBER(B2844),ISNUMBER(H2844)),B2844/H2844-1,""),"")</f>
        <v/>
      </c>
      <c r="J2844" s="8">
        <f>IFERROR(IF(ISNUMBER(C2844),MAX(C2844,IFERROR(J2843,C2844)),""),"")</f>
        <v/>
      </c>
      <c r="K2844" s="29">
        <f>IFERROR(IF(AND(ISNUMBER(C2844),ISNUMBER(J2844)),C2844/J2844-1,""),"")</f>
        <v/>
      </c>
      <c r="L2844" s="28">
        <f>IFERROR(IF(AND(ISNUMBER(D2844),ISNUMBER(E2844)),D2844-E2844,""),"")</f>
        <v/>
      </c>
    </row>
    <row r="2845">
      <c r="A2845" s="7">
        <f>IFERROR(Datos!A2845,"")</f>
        <v/>
      </c>
      <c r="B2845" s="8">
        <f>IFERROR(Datos!B2845,"")</f>
        <v/>
      </c>
      <c r="C2845" s="8">
        <f>IFERROR(Datos!C2845,"")</f>
        <v/>
      </c>
      <c r="D2845" s="28">
        <f>IFERROR(IF(AND(ISNUMBER(B2845),ISNUMBER(B2844),B2844&lt;&gt;0),B2845/B2844-1,""),"")</f>
        <v/>
      </c>
      <c r="E2845" s="28">
        <f>IFERROR(IF(AND(ISNUMBER(C2845),ISNUMBER(C2844),C2844&lt;&gt;0),C2845/C2844-1,""),"")</f>
        <v/>
      </c>
      <c r="F2845" s="28">
        <f>IFERROR(D2845-Dashboard!$B$4/252,"")</f>
        <v/>
      </c>
      <c r="G2845" s="28">
        <f>IFERROR(E2845-Dashboard!$B$4/252,"")</f>
        <v/>
      </c>
      <c r="H2845" s="8">
        <f>IFERROR(IF(ISNUMBER(B2845),MAX(B2845,IFERROR(H2844,B2845)),""),"")</f>
        <v/>
      </c>
      <c r="I2845" s="29">
        <f>IFERROR(IF(AND(ISNUMBER(B2845),ISNUMBER(H2845)),B2845/H2845-1,""),"")</f>
        <v/>
      </c>
      <c r="J2845" s="8">
        <f>IFERROR(IF(ISNUMBER(C2845),MAX(C2845,IFERROR(J2844,C2845)),""),"")</f>
        <v/>
      </c>
      <c r="K2845" s="29">
        <f>IFERROR(IF(AND(ISNUMBER(C2845),ISNUMBER(J2845)),C2845/J2845-1,""),"")</f>
        <v/>
      </c>
      <c r="L2845" s="28">
        <f>IFERROR(IF(AND(ISNUMBER(D2845),ISNUMBER(E2845)),D2845-E2845,""),"")</f>
        <v/>
      </c>
    </row>
    <row r="2846">
      <c r="A2846" s="7">
        <f>IFERROR(Datos!A2846,"")</f>
        <v/>
      </c>
      <c r="B2846" s="8">
        <f>IFERROR(Datos!B2846,"")</f>
        <v/>
      </c>
      <c r="C2846" s="8">
        <f>IFERROR(Datos!C2846,"")</f>
        <v/>
      </c>
      <c r="D2846" s="28">
        <f>IFERROR(IF(AND(ISNUMBER(B2846),ISNUMBER(B2845),B2845&lt;&gt;0),B2846/B2845-1,""),"")</f>
        <v/>
      </c>
      <c r="E2846" s="28">
        <f>IFERROR(IF(AND(ISNUMBER(C2846),ISNUMBER(C2845),C2845&lt;&gt;0),C2846/C2845-1,""),"")</f>
        <v/>
      </c>
      <c r="F2846" s="28">
        <f>IFERROR(D2846-Dashboard!$B$4/252,"")</f>
        <v/>
      </c>
      <c r="G2846" s="28">
        <f>IFERROR(E2846-Dashboard!$B$4/252,"")</f>
        <v/>
      </c>
      <c r="H2846" s="8">
        <f>IFERROR(IF(ISNUMBER(B2846),MAX(B2846,IFERROR(H2845,B2846)),""),"")</f>
        <v/>
      </c>
      <c r="I2846" s="29">
        <f>IFERROR(IF(AND(ISNUMBER(B2846),ISNUMBER(H2846)),B2846/H2846-1,""),"")</f>
        <v/>
      </c>
      <c r="J2846" s="8">
        <f>IFERROR(IF(ISNUMBER(C2846),MAX(C2846,IFERROR(J2845,C2846)),""),"")</f>
        <v/>
      </c>
      <c r="K2846" s="29">
        <f>IFERROR(IF(AND(ISNUMBER(C2846),ISNUMBER(J2846)),C2846/J2846-1,""),"")</f>
        <v/>
      </c>
      <c r="L2846" s="28">
        <f>IFERROR(IF(AND(ISNUMBER(D2846),ISNUMBER(E2846)),D2846-E2846,""),"")</f>
        <v/>
      </c>
    </row>
    <row r="2847">
      <c r="A2847" s="7">
        <f>IFERROR(Datos!A2847,"")</f>
        <v/>
      </c>
      <c r="B2847" s="8">
        <f>IFERROR(Datos!B2847,"")</f>
        <v/>
      </c>
      <c r="C2847" s="8">
        <f>IFERROR(Datos!C2847,"")</f>
        <v/>
      </c>
      <c r="D2847" s="28">
        <f>IFERROR(IF(AND(ISNUMBER(B2847),ISNUMBER(B2846),B2846&lt;&gt;0),B2847/B2846-1,""),"")</f>
        <v/>
      </c>
      <c r="E2847" s="28">
        <f>IFERROR(IF(AND(ISNUMBER(C2847),ISNUMBER(C2846),C2846&lt;&gt;0),C2847/C2846-1,""),"")</f>
        <v/>
      </c>
      <c r="F2847" s="28">
        <f>IFERROR(D2847-Dashboard!$B$4/252,"")</f>
        <v/>
      </c>
      <c r="G2847" s="28">
        <f>IFERROR(E2847-Dashboard!$B$4/252,"")</f>
        <v/>
      </c>
      <c r="H2847" s="8">
        <f>IFERROR(IF(ISNUMBER(B2847),MAX(B2847,IFERROR(H2846,B2847)),""),"")</f>
        <v/>
      </c>
      <c r="I2847" s="29">
        <f>IFERROR(IF(AND(ISNUMBER(B2847),ISNUMBER(H2847)),B2847/H2847-1,""),"")</f>
        <v/>
      </c>
      <c r="J2847" s="8">
        <f>IFERROR(IF(ISNUMBER(C2847),MAX(C2847,IFERROR(J2846,C2847)),""),"")</f>
        <v/>
      </c>
      <c r="K2847" s="29">
        <f>IFERROR(IF(AND(ISNUMBER(C2847),ISNUMBER(J2847)),C2847/J2847-1,""),"")</f>
        <v/>
      </c>
      <c r="L2847" s="28">
        <f>IFERROR(IF(AND(ISNUMBER(D2847),ISNUMBER(E2847)),D2847-E2847,""),"")</f>
        <v/>
      </c>
    </row>
    <row r="2848">
      <c r="A2848" s="7">
        <f>IFERROR(Datos!A2848,"")</f>
        <v/>
      </c>
      <c r="B2848" s="8">
        <f>IFERROR(Datos!B2848,"")</f>
        <v/>
      </c>
      <c r="C2848" s="8">
        <f>IFERROR(Datos!C2848,"")</f>
        <v/>
      </c>
      <c r="D2848" s="28">
        <f>IFERROR(IF(AND(ISNUMBER(B2848),ISNUMBER(B2847),B2847&lt;&gt;0),B2848/B2847-1,""),"")</f>
        <v/>
      </c>
      <c r="E2848" s="28">
        <f>IFERROR(IF(AND(ISNUMBER(C2848),ISNUMBER(C2847),C2847&lt;&gt;0),C2848/C2847-1,""),"")</f>
        <v/>
      </c>
      <c r="F2848" s="28">
        <f>IFERROR(D2848-Dashboard!$B$4/252,"")</f>
        <v/>
      </c>
      <c r="G2848" s="28">
        <f>IFERROR(E2848-Dashboard!$B$4/252,"")</f>
        <v/>
      </c>
      <c r="H2848" s="8">
        <f>IFERROR(IF(ISNUMBER(B2848),MAX(B2848,IFERROR(H2847,B2848)),""),"")</f>
        <v/>
      </c>
      <c r="I2848" s="29">
        <f>IFERROR(IF(AND(ISNUMBER(B2848),ISNUMBER(H2848)),B2848/H2848-1,""),"")</f>
        <v/>
      </c>
      <c r="J2848" s="8">
        <f>IFERROR(IF(ISNUMBER(C2848),MAX(C2848,IFERROR(J2847,C2848)),""),"")</f>
        <v/>
      </c>
      <c r="K2848" s="29">
        <f>IFERROR(IF(AND(ISNUMBER(C2848),ISNUMBER(J2848)),C2848/J2848-1,""),"")</f>
        <v/>
      </c>
      <c r="L2848" s="28">
        <f>IFERROR(IF(AND(ISNUMBER(D2848),ISNUMBER(E2848)),D2848-E2848,""),"")</f>
        <v/>
      </c>
    </row>
    <row r="2849">
      <c r="A2849" s="7">
        <f>IFERROR(Datos!A2849,"")</f>
        <v/>
      </c>
      <c r="B2849" s="8">
        <f>IFERROR(Datos!B2849,"")</f>
        <v/>
      </c>
      <c r="C2849" s="8">
        <f>IFERROR(Datos!C2849,"")</f>
        <v/>
      </c>
      <c r="D2849" s="28">
        <f>IFERROR(IF(AND(ISNUMBER(B2849),ISNUMBER(B2848),B2848&lt;&gt;0),B2849/B2848-1,""),"")</f>
        <v/>
      </c>
      <c r="E2849" s="28">
        <f>IFERROR(IF(AND(ISNUMBER(C2849),ISNUMBER(C2848),C2848&lt;&gt;0),C2849/C2848-1,""),"")</f>
        <v/>
      </c>
      <c r="F2849" s="28">
        <f>IFERROR(D2849-Dashboard!$B$4/252,"")</f>
        <v/>
      </c>
      <c r="G2849" s="28">
        <f>IFERROR(E2849-Dashboard!$B$4/252,"")</f>
        <v/>
      </c>
      <c r="H2849" s="8">
        <f>IFERROR(IF(ISNUMBER(B2849),MAX(B2849,IFERROR(H2848,B2849)),""),"")</f>
        <v/>
      </c>
      <c r="I2849" s="29">
        <f>IFERROR(IF(AND(ISNUMBER(B2849),ISNUMBER(H2849)),B2849/H2849-1,""),"")</f>
        <v/>
      </c>
      <c r="J2849" s="8">
        <f>IFERROR(IF(ISNUMBER(C2849),MAX(C2849,IFERROR(J2848,C2849)),""),"")</f>
        <v/>
      </c>
      <c r="K2849" s="29">
        <f>IFERROR(IF(AND(ISNUMBER(C2849),ISNUMBER(J2849)),C2849/J2849-1,""),"")</f>
        <v/>
      </c>
      <c r="L2849" s="28">
        <f>IFERROR(IF(AND(ISNUMBER(D2849),ISNUMBER(E2849)),D2849-E2849,""),"")</f>
        <v/>
      </c>
    </row>
    <row r="2850">
      <c r="A2850" s="7">
        <f>IFERROR(Datos!A2850,"")</f>
        <v/>
      </c>
      <c r="B2850" s="8">
        <f>IFERROR(Datos!B2850,"")</f>
        <v/>
      </c>
      <c r="C2850" s="8">
        <f>IFERROR(Datos!C2850,"")</f>
        <v/>
      </c>
      <c r="D2850" s="28">
        <f>IFERROR(IF(AND(ISNUMBER(B2850),ISNUMBER(B2849),B2849&lt;&gt;0),B2850/B2849-1,""),"")</f>
        <v/>
      </c>
      <c r="E2850" s="28">
        <f>IFERROR(IF(AND(ISNUMBER(C2850),ISNUMBER(C2849),C2849&lt;&gt;0),C2850/C2849-1,""),"")</f>
        <v/>
      </c>
      <c r="F2850" s="28">
        <f>IFERROR(D2850-Dashboard!$B$4/252,"")</f>
        <v/>
      </c>
      <c r="G2850" s="28">
        <f>IFERROR(E2850-Dashboard!$B$4/252,"")</f>
        <v/>
      </c>
      <c r="H2850" s="8">
        <f>IFERROR(IF(ISNUMBER(B2850),MAX(B2850,IFERROR(H2849,B2850)),""),"")</f>
        <v/>
      </c>
      <c r="I2850" s="29">
        <f>IFERROR(IF(AND(ISNUMBER(B2850),ISNUMBER(H2850)),B2850/H2850-1,""),"")</f>
        <v/>
      </c>
      <c r="J2850" s="8">
        <f>IFERROR(IF(ISNUMBER(C2850),MAX(C2850,IFERROR(J2849,C2850)),""),"")</f>
        <v/>
      </c>
      <c r="K2850" s="29">
        <f>IFERROR(IF(AND(ISNUMBER(C2850),ISNUMBER(J2850)),C2850/J2850-1,""),"")</f>
        <v/>
      </c>
      <c r="L2850" s="28">
        <f>IFERROR(IF(AND(ISNUMBER(D2850),ISNUMBER(E2850)),D2850-E2850,""),"")</f>
        <v/>
      </c>
    </row>
    <row r="2851">
      <c r="A2851" s="7">
        <f>IFERROR(Datos!A2851,"")</f>
        <v/>
      </c>
      <c r="B2851" s="8">
        <f>IFERROR(Datos!B2851,"")</f>
        <v/>
      </c>
      <c r="C2851" s="8">
        <f>IFERROR(Datos!C2851,"")</f>
        <v/>
      </c>
      <c r="D2851" s="28">
        <f>IFERROR(IF(AND(ISNUMBER(B2851),ISNUMBER(B2850),B2850&lt;&gt;0),B2851/B2850-1,""),"")</f>
        <v/>
      </c>
      <c r="E2851" s="28">
        <f>IFERROR(IF(AND(ISNUMBER(C2851),ISNUMBER(C2850),C2850&lt;&gt;0),C2851/C2850-1,""),"")</f>
        <v/>
      </c>
      <c r="F2851" s="28">
        <f>IFERROR(D2851-Dashboard!$B$4/252,"")</f>
        <v/>
      </c>
      <c r="G2851" s="28">
        <f>IFERROR(E2851-Dashboard!$B$4/252,"")</f>
        <v/>
      </c>
      <c r="H2851" s="8">
        <f>IFERROR(IF(ISNUMBER(B2851),MAX(B2851,IFERROR(H2850,B2851)),""),"")</f>
        <v/>
      </c>
      <c r="I2851" s="29">
        <f>IFERROR(IF(AND(ISNUMBER(B2851),ISNUMBER(H2851)),B2851/H2851-1,""),"")</f>
        <v/>
      </c>
      <c r="J2851" s="8">
        <f>IFERROR(IF(ISNUMBER(C2851),MAX(C2851,IFERROR(J2850,C2851)),""),"")</f>
        <v/>
      </c>
      <c r="K2851" s="29">
        <f>IFERROR(IF(AND(ISNUMBER(C2851),ISNUMBER(J2851)),C2851/J2851-1,""),"")</f>
        <v/>
      </c>
      <c r="L2851" s="28">
        <f>IFERROR(IF(AND(ISNUMBER(D2851),ISNUMBER(E2851)),D2851-E2851,""),"")</f>
        <v/>
      </c>
    </row>
    <row r="2852">
      <c r="A2852" s="7">
        <f>IFERROR(Datos!A2852,"")</f>
        <v/>
      </c>
      <c r="B2852" s="8">
        <f>IFERROR(Datos!B2852,"")</f>
        <v/>
      </c>
      <c r="C2852" s="8">
        <f>IFERROR(Datos!C2852,"")</f>
        <v/>
      </c>
      <c r="D2852" s="28">
        <f>IFERROR(IF(AND(ISNUMBER(B2852),ISNUMBER(B2851),B2851&lt;&gt;0),B2852/B2851-1,""),"")</f>
        <v/>
      </c>
      <c r="E2852" s="28">
        <f>IFERROR(IF(AND(ISNUMBER(C2852),ISNUMBER(C2851),C2851&lt;&gt;0),C2852/C2851-1,""),"")</f>
        <v/>
      </c>
      <c r="F2852" s="28">
        <f>IFERROR(D2852-Dashboard!$B$4/252,"")</f>
        <v/>
      </c>
      <c r="G2852" s="28">
        <f>IFERROR(E2852-Dashboard!$B$4/252,"")</f>
        <v/>
      </c>
      <c r="H2852" s="8">
        <f>IFERROR(IF(ISNUMBER(B2852),MAX(B2852,IFERROR(H2851,B2852)),""),"")</f>
        <v/>
      </c>
      <c r="I2852" s="29">
        <f>IFERROR(IF(AND(ISNUMBER(B2852),ISNUMBER(H2852)),B2852/H2852-1,""),"")</f>
        <v/>
      </c>
      <c r="J2852" s="8">
        <f>IFERROR(IF(ISNUMBER(C2852),MAX(C2852,IFERROR(J2851,C2852)),""),"")</f>
        <v/>
      </c>
      <c r="K2852" s="29">
        <f>IFERROR(IF(AND(ISNUMBER(C2852),ISNUMBER(J2852)),C2852/J2852-1,""),"")</f>
        <v/>
      </c>
      <c r="L2852" s="28">
        <f>IFERROR(IF(AND(ISNUMBER(D2852),ISNUMBER(E2852)),D2852-E2852,""),"")</f>
        <v/>
      </c>
    </row>
    <row r="2853">
      <c r="A2853" s="7">
        <f>IFERROR(Datos!A2853,"")</f>
        <v/>
      </c>
      <c r="B2853" s="8">
        <f>IFERROR(Datos!B2853,"")</f>
        <v/>
      </c>
      <c r="C2853" s="8">
        <f>IFERROR(Datos!C2853,"")</f>
        <v/>
      </c>
      <c r="D2853" s="28">
        <f>IFERROR(IF(AND(ISNUMBER(B2853),ISNUMBER(B2852),B2852&lt;&gt;0),B2853/B2852-1,""),"")</f>
        <v/>
      </c>
      <c r="E2853" s="28">
        <f>IFERROR(IF(AND(ISNUMBER(C2853),ISNUMBER(C2852),C2852&lt;&gt;0),C2853/C2852-1,""),"")</f>
        <v/>
      </c>
      <c r="F2853" s="28">
        <f>IFERROR(D2853-Dashboard!$B$4/252,"")</f>
        <v/>
      </c>
      <c r="G2853" s="28">
        <f>IFERROR(E2853-Dashboard!$B$4/252,"")</f>
        <v/>
      </c>
      <c r="H2853" s="8">
        <f>IFERROR(IF(ISNUMBER(B2853),MAX(B2853,IFERROR(H2852,B2853)),""),"")</f>
        <v/>
      </c>
      <c r="I2853" s="29">
        <f>IFERROR(IF(AND(ISNUMBER(B2853),ISNUMBER(H2853)),B2853/H2853-1,""),"")</f>
        <v/>
      </c>
      <c r="J2853" s="8">
        <f>IFERROR(IF(ISNUMBER(C2853),MAX(C2853,IFERROR(J2852,C2853)),""),"")</f>
        <v/>
      </c>
      <c r="K2853" s="29">
        <f>IFERROR(IF(AND(ISNUMBER(C2853),ISNUMBER(J2853)),C2853/J2853-1,""),"")</f>
        <v/>
      </c>
      <c r="L2853" s="28">
        <f>IFERROR(IF(AND(ISNUMBER(D2853),ISNUMBER(E2853)),D2853-E2853,""),"")</f>
        <v/>
      </c>
    </row>
    <row r="2854">
      <c r="A2854" s="7">
        <f>IFERROR(Datos!A2854,"")</f>
        <v/>
      </c>
      <c r="B2854" s="8">
        <f>IFERROR(Datos!B2854,"")</f>
        <v/>
      </c>
      <c r="C2854" s="8">
        <f>IFERROR(Datos!C2854,"")</f>
        <v/>
      </c>
      <c r="D2854" s="28">
        <f>IFERROR(IF(AND(ISNUMBER(B2854),ISNUMBER(B2853),B2853&lt;&gt;0),B2854/B2853-1,""),"")</f>
        <v/>
      </c>
      <c r="E2854" s="28">
        <f>IFERROR(IF(AND(ISNUMBER(C2854),ISNUMBER(C2853),C2853&lt;&gt;0),C2854/C2853-1,""),"")</f>
        <v/>
      </c>
      <c r="F2854" s="28">
        <f>IFERROR(D2854-Dashboard!$B$4/252,"")</f>
        <v/>
      </c>
      <c r="G2854" s="28">
        <f>IFERROR(E2854-Dashboard!$B$4/252,"")</f>
        <v/>
      </c>
      <c r="H2854" s="8">
        <f>IFERROR(IF(ISNUMBER(B2854),MAX(B2854,IFERROR(H2853,B2854)),""),"")</f>
        <v/>
      </c>
      <c r="I2854" s="29">
        <f>IFERROR(IF(AND(ISNUMBER(B2854),ISNUMBER(H2854)),B2854/H2854-1,""),"")</f>
        <v/>
      </c>
      <c r="J2854" s="8">
        <f>IFERROR(IF(ISNUMBER(C2854),MAX(C2854,IFERROR(J2853,C2854)),""),"")</f>
        <v/>
      </c>
      <c r="K2854" s="29">
        <f>IFERROR(IF(AND(ISNUMBER(C2854),ISNUMBER(J2854)),C2854/J2854-1,""),"")</f>
        <v/>
      </c>
      <c r="L2854" s="28">
        <f>IFERROR(IF(AND(ISNUMBER(D2854),ISNUMBER(E2854)),D2854-E2854,""),"")</f>
        <v/>
      </c>
    </row>
    <row r="2855">
      <c r="A2855" s="7">
        <f>IFERROR(Datos!A2855,"")</f>
        <v/>
      </c>
      <c r="B2855" s="8">
        <f>IFERROR(Datos!B2855,"")</f>
        <v/>
      </c>
      <c r="C2855" s="8">
        <f>IFERROR(Datos!C2855,"")</f>
        <v/>
      </c>
      <c r="D2855" s="28">
        <f>IFERROR(IF(AND(ISNUMBER(B2855),ISNUMBER(B2854),B2854&lt;&gt;0),B2855/B2854-1,""),"")</f>
        <v/>
      </c>
      <c r="E2855" s="28">
        <f>IFERROR(IF(AND(ISNUMBER(C2855),ISNUMBER(C2854),C2854&lt;&gt;0),C2855/C2854-1,""),"")</f>
        <v/>
      </c>
      <c r="F2855" s="28">
        <f>IFERROR(D2855-Dashboard!$B$4/252,"")</f>
        <v/>
      </c>
      <c r="G2855" s="28">
        <f>IFERROR(E2855-Dashboard!$B$4/252,"")</f>
        <v/>
      </c>
      <c r="H2855" s="8">
        <f>IFERROR(IF(ISNUMBER(B2855),MAX(B2855,IFERROR(H2854,B2855)),""),"")</f>
        <v/>
      </c>
      <c r="I2855" s="29">
        <f>IFERROR(IF(AND(ISNUMBER(B2855),ISNUMBER(H2855)),B2855/H2855-1,""),"")</f>
        <v/>
      </c>
      <c r="J2855" s="8">
        <f>IFERROR(IF(ISNUMBER(C2855),MAX(C2855,IFERROR(J2854,C2855)),""),"")</f>
        <v/>
      </c>
      <c r="K2855" s="29">
        <f>IFERROR(IF(AND(ISNUMBER(C2855),ISNUMBER(J2855)),C2855/J2855-1,""),"")</f>
        <v/>
      </c>
      <c r="L2855" s="28">
        <f>IFERROR(IF(AND(ISNUMBER(D2855),ISNUMBER(E2855)),D2855-E2855,""),"")</f>
        <v/>
      </c>
    </row>
    <row r="2856">
      <c r="A2856" s="7">
        <f>IFERROR(Datos!A2856,"")</f>
        <v/>
      </c>
      <c r="B2856" s="8">
        <f>IFERROR(Datos!B2856,"")</f>
        <v/>
      </c>
      <c r="C2856" s="8">
        <f>IFERROR(Datos!C2856,"")</f>
        <v/>
      </c>
      <c r="D2856" s="28">
        <f>IFERROR(IF(AND(ISNUMBER(B2856),ISNUMBER(B2855),B2855&lt;&gt;0),B2856/B2855-1,""),"")</f>
        <v/>
      </c>
      <c r="E2856" s="28">
        <f>IFERROR(IF(AND(ISNUMBER(C2856),ISNUMBER(C2855),C2855&lt;&gt;0),C2856/C2855-1,""),"")</f>
        <v/>
      </c>
      <c r="F2856" s="28">
        <f>IFERROR(D2856-Dashboard!$B$4/252,"")</f>
        <v/>
      </c>
      <c r="G2856" s="28">
        <f>IFERROR(E2856-Dashboard!$B$4/252,"")</f>
        <v/>
      </c>
      <c r="H2856" s="8">
        <f>IFERROR(IF(ISNUMBER(B2856),MAX(B2856,IFERROR(H2855,B2856)),""),"")</f>
        <v/>
      </c>
      <c r="I2856" s="29">
        <f>IFERROR(IF(AND(ISNUMBER(B2856),ISNUMBER(H2856)),B2856/H2856-1,""),"")</f>
        <v/>
      </c>
      <c r="J2856" s="8">
        <f>IFERROR(IF(ISNUMBER(C2856),MAX(C2856,IFERROR(J2855,C2856)),""),"")</f>
        <v/>
      </c>
      <c r="K2856" s="29">
        <f>IFERROR(IF(AND(ISNUMBER(C2856),ISNUMBER(J2856)),C2856/J2856-1,""),"")</f>
        <v/>
      </c>
      <c r="L2856" s="28">
        <f>IFERROR(IF(AND(ISNUMBER(D2856),ISNUMBER(E2856)),D2856-E2856,""),"")</f>
        <v/>
      </c>
    </row>
    <row r="2857">
      <c r="A2857" s="7">
        <f>IFERROR(Datos!A2857,"")</f>
        <v/>
      </c>
      <c r="B2857" s="8">
        <f>IFERROR(Datos!B2857,"")</f>
        <v/>
      </c>
      <c r="C2857" s="8">
        <f>IFERROR(Datos!C2857,"")</f>
        <v/>
      </c>
      <c r="D2857" s="28">
        <f>IFERROR(IF(AND(ISNUMBER(B2857),ISNUMBER(B2856),B2856&lt;&gt;0),B2857/B2856-1,""),"")</f>
        <v/>
      </c>
      <c r="E2857" s="28">
        <f>IFERROR(IF(AND(ISNUMBER(C2857),ISNUMBER(C2856),C2856&lt;&gt;0),C2857/C2856-1,""),"")</f>
        <v/>
      </c>
      <c r="F2857" s="28">
        <f>IFERROR(D2857-Dashboard!$B$4/252,"")</f>
        <v/>
      </c>
      <c r="G2857" s="28">
        <f>IFERROR(E2857-Dashboard!$B$4/252,"")</f>
        <v/>
      </c>
      <c r="H2857" s="8">
        <f>IFERROR(IF(ISNUMBER(B2857),MAX(B2857,IFERROR(H2856,B2857)),""),"")</f>
        <v/>
      </c>
      <c r="I2857" s="29">
        <f>IFERROR(IF(AND(ISNUMBER(B2857),ISNUMBER(H2857)),B2857/H2857-1,""),"")</f>
        <v/>
      </c>
      <c r="J2857" s="8">
        <f>IFERROR(IF(ISNUMBER(C2857),MAX(C2857,IFERROR(J2856,C2857)),""),"")</f>
        <v/>
      </c>
      <c r="K2857" s="29">
        <f>IFERROR(IF(AND(ISNUMBER(C2857),ISNUMBER(J2857)),C2857/J2857-1,""),"")</f>
        <v/>
      </c>
      <c r="L2857" s="28">
        <f>IFERROR(IF(AND(ISNUMBER(D2857),ISNUMBER(E2857)),D2857-E2857,""),"")</f>
        <v/>
      </c>
    </row>
    <row r="2858">
      <c r="A2858" s="7">
        <f>IFERROR(Datos!A2858,"")</f>
        <v/>
      </c>
      <c r="B2858" s="8">
        <f>IFERROR(Datos!B2858,"")</f>
        <v/>
      </c>
      <c r="C2858" s="8">
        <f>IFERROR(Datos!C2858,"")</f>
        <v/>
      </c>
      <c r="D2858" s="28">
        <f>IFERROR(IF(AND(ISNUMBER(B2858),ISNUMBER(B2857),B2857&lt;&gt;0),B2858/B2857-1,""),"")</f>
        <v/>
      </c>
      <c r="E2858" s="28">
        <f>IFERROR(IF(AND(ISNUMBER(C2858),ISNUMBER(C2857),C2857&lt;&gt;0),C2858/C2857-1,""),"")</f>
        <v/>
      </c>
      <c r="F2858" s="28">
        <f>IFERROR(D2858-Dashboard!$B$4/252,"")</f>
        <v/>
      </c>
      <c r="G2858" s="28">
        <f>IFERROR(E2858-Dashboard!$B$4/252,"")</f>
        <v/>
      </c>
      <c r="H2858" s="8">
        <f>IFERROR(IF(ISNUMBER(B2858),MAX(B2858,IFERROR(H2857,B2858)),""),"")</f>
        <v/>
      </c>
      <c r="I2858" s="29">
        <f>IFERROR(IF(AND(ISNUMBER(B2858),ISNUMBER(H2858)),B2858/H2858-1,""),"")</f>
        <v/>
      </c>
      <c r="J2858" s="8">
        <f>IFERROR(IF(ISNUMBER(C2858),MAX(C2858,IFERROR(J2857,C2858)),""),"")</f>
        <v/>
      </c>
      <c r="K2858" s="29">
        <f>IFERROR(IF(AND(ISNUMBER(C2858),ISNUMBER(J2858)),C2858/J2858-1,""),"")</f>
        <v/>
      </c>
      <c r="L2858" s="28">
        <f>IFERROR(IF(AND(ISNUMBER(D2858),ISNUMBER(E2858)),D2858-E2858,""),"")</f>
        <v/>
      </c>
    </row>
    <row r="2859">
      <c r="A2859" s="7">
        <f>IFERROR(Datos!A2859,"")</f>
        <v/>
      </c>
      <c r="B2859" s="8">
        <f>IFERROR(Datos!B2859,"")</f>
        <v/>
      </c>
      <c r="C2859" s="8">
        <f>IFERROR(Datos!C2859,"")</f>
        <v/>
      </c>
      <c r="D2859" s="28">
        <f>IFERROR(IF(AND(ISNUMBER(B2859),ISNUMBER(B2858),B2858&lt;&gt;0),B2859/B2858-1,""),"")</f>
        <v/>
      </c>
      <c r="E2859" s="28">
        <f>IFERROR(IF(AND(ISNUMBER(C2859),ISNUMBER(C2858),C2858&lt;&gt;0),C2859/C2858-1,""),"")</f>
        <v/>
      </c>
      <c r="F2859" s="28">
        <f>IFERROR(D2859-Dashboard!$B$4/252,"")</f>
        <v/>
      </c>
      <c r="G2859" s="28">
        <f>IFERROR(E2859-Dashboard!$B$4/252,"")</f>
        <v/>
      </c>
      <c r="H2859" s="8">
        <f>IFERROR(IF(ISNUMBER(B2859),MAX(B2859,IFERROR(H2858,B2859)),""),"")</f>
        <v/>
      </c>
      <c r="I2859" s="29">
        <f>IFERROR(IF(AND(ISNUMBER(B2859),ISNUMBER(H2859)),B2859/H2859-1,""),"")</f>
        <v/>
      </c>
      <c r="J2859" s="8">
        <f>IFERROR(IF(ISNUMBER(C2859),MAX(C2859,IFERROR(J2858,C2859)),""),"")</f>
        <v/>
      </c>
      <c r="K2859" s="29">
        <f>IFERROR(IF(AND(ISNUMBER(C2859),ISNUMBER(J2859)),C2859/J2859-1,""),"")</f>
        <v/>
      </c>
      <c r="L2859" s="28">
        <f>IFERROR(IF(AND(ISNUMBER(D2859),ISNUMBER(E2859)),D2859-E2859,""),"")</f>
        <v/>
      </c>
    </row>
    <row r="2860">
      <c r="A2860" s="7">
        <f>IFERROR(Datos!A2860,"")</f>
        <v/>
      </c>
      <c r="B2860" s="8">
        <f>IFERROR(Datos!B2860,"")</f>
        <v/>
      </c>
      <c r="C2860" s="8">
        <f>IFERROR(Datos!C2860,"")</f>
        <v/>
      </c>
      <c r="D2860" s="28">
        <f>IFERROR(IF(AND(ISNUMBER(B2860),ISNUMBER(B2859),B2859&lt;&gt;0),B2860/B2859-1,""),"")</f>
        <v/>
      </c>
      <c r="E2860" s="28">
        <f>IFERROR(IF(AND(ISNUMBER(C2860),ISNUMBER(C2859),C2859&lt;&gt;0),C2860/C2859-1,""),"")</f>
        <v/>
      </c>
      <c r="F2860" s="28">
        <f>IFERROR(D2860-Dashboard!$B$4/252,"")</f>
        <v/>
      </c>
      <c r="G2860" s="28">
        <f>IFERROR(E2860-Dashboard!$B$4/252,"")</f>
        <v/>
      </c>
      <c r="H2860" s="8">
        <f>IFERROR(IF(ISNUMBER(B2860),MAX(B2860,IFERROR(H2859,B2860)),""),"")</f>
        <v/>
      </c>
      <c r="I2860" s="29">
        <f>IFERROR(IF(AND(ISNUMBER(B2860),ISNUMBER(H2860)),B2860/H2860-1,""),"")</f>
        <v/>
      </c>
      <c r="J2860" s="8">
        <f>IFERROR(IF(ISNUMBER(C2860),MAX(C2860,IFERROR(J2859,C2860)),""),"")</f>
        <v/>
      </c>
      <c r="K2860" s="29">
        <f>IFERROR(IF(AND(ISNUMBER(C2860),ISNUMBER(J2860)),C2860/J2860-1,""),"")</f>
        <v/>
      </c>
      <c r="L2860" s="28">
        <f>IFERROR(IF(AND(ISNUMBER(D2860),ISNUMBER(E2860)),D2860-E2860,""),"")</f>
        <v/>
      </c>
    </row>
    <row r="2861">
      <c r="A2861" s="7">
        <f>IFERROR(Datos!A2861,"")</f>
        <v/>
      </c>
      <c r="B2861" s="8">
        <f>IFERROR(Datos!B2861,"")</f>
        <v/>
      </c>
      <c r="C2861" s="8">
        <f>IFERROR(Datos!C2861,"")</f>
        <v/>
      </c>
      <c r="D2861" s="28">
        <f>IFERROR(IF(AND(ISNUMBER(B2861),ISNUMBER(B2860),B2860&lt;&gt;0),B2861/B2860-1,""),"")</f>
        <v/>
      </c>
      <c r="E2861" s="28">
        <f>IFERROR(IF(AND(ISNUMBER(C2861),ISNUMBER(C2860),C2860&lt;&gt;0),C2861/C2860-1,""),"")</f>
        <v/>
      </c>
      <c r="F2861" s="28">
        <f>IFERROR(D2861-Dashboard!$B$4/252,"")</f>
        <v/>
      </c>
      <c r="G2861" s="28">
        <f>IFERROR(E2861-Dashboard!$B$4/252,"")</f>
        <v/>
      </c>
      <c r="H2861" s="8">
        <f>IFERROR(IF(ISNUMBER(B2861),MAX(B2861,IFERROR(H2860,B2861)),""),"")</f>
        <v/>
      </c>
      <c r="I2861" s="29">
        <f>IFERROR(IF(AND(ISNUMBER(B2861),ISNUMBER(H2861)),B2861/H2861-1,""),"")</f>
        <v/>
      </c>
      <c r="J2861" s="8">
        <f>IFERROR(IF(ISNUMBER(C2861),MAX(C2861,IFERROR(J2860,C2861)),""),"")</f>
        <v/>
      </c>
      <c r="K2861" s="29">
        <f>IFERROR(IF(AND(ISNUMBER(C2861),ISNUMBER(J2861)),C2861/J2861-1,""),"")</f>
        <v/>
      </c>
      <c r="L2861" s="28">
        <f>IFERROR(IF(AND(ISNUMBER(D2861),ISNUMBER(E2861)),D2861-E2861,""),"")</f>
        <v/>
      </c>
    </row>
    <row r="2862">
      <c r="A2862" s="7">
        <f>IFERROR(Datos!A2862,"")</f>
        <v/>
      </c>
      <c r="B2862" s="8">
        <f>IFERROR(Datos!B2862,"")</f>
        <v/>
      </c>
      <c r="C2862" s="8">
        <f>IFERROR(Datos!C2862,"")</f>
        <v/>
      </c>
      <c r="D2862" s="28">
        <f>IFERROR(IF(AND(ISNUMBER(B2862),ISNUMBER(B2861),B2861&lt;&gt;0),B2862/B2861-1,""),"")</f>
        <v/>
      </c>
      <c r="E2862" s="28">
        <f>IFERROR(IF(AND(ISNUMBER(C2862),ISNUMBER(C2861),C2861&lt;&gt;0),C2862/C2861-1,""),"")</f>
        <v/>
      </c>
      <c r="F2862" s="28">
        <f>IFERROR(D2862-Dashboard!$B$4/252,"")</f>
        <v/>
      </c>
      <c r="G2862" s="28">
        <f>IFERROR(E2862-Dashboard!$B$4/252,"")</f>
        <v/>
      </c>
      <c r="H2862" s="8">
        <f>IFERROR(IF(ISNUMBER(B2862),MAX(B2862,IFERROR(H2861,B2862)),""),"")</f>
        <v/>
      </c>
      <c r="I2862" s="29">
        <f>IFERROR(IF(AND(ISNUMBER(B2862),ISNUMBER(H2862)),B2862/H2862-1,""),"")</f>
        <v/>
      </c>
      <c r="J2862" s="8">
        <f>IFERROR(IF(ISNUMBER(C2862),MAX(C2862,IFERROR(J2861,C2862)),""),"")</f>
        <v/>
      </c>
      <c r="K2862" s="29">
        <f>IFERROR(IF(AND(ISNUMBER(C2862),ISNUMBER(J2862)),C2862/J2862-1,""),"")</f>
        <v/>
      </c>
      <c r="L2862" s="28">
        <f>IFERROR(IF(AND(ISNUMBER(D2862),ISNUMBER(E2862)),D2862-E2862,""),"")</f>
        <v/>
      </c>
    </row>
    <row r="2863">
      <c r="A2863" s="7">
        <f>IFERROR(Datos!A2863,"")</f>
        <v/>
      </c>
      <c r="B2863" s="8">
        <f>IFERROR(Datos!B2863,"")</f>
        <v/>
      </c>
      <c r="C2863" s="8">
        <f>IFERROR(Datos!C2863,"")</f>
        <v/>
      </c>
      <c r="D2863" s="28">
        <f>IFERROR(IF(AND(ISNUMBER(B2863),ISNUMBER(B2862),B2862&lt;&gt;0),B2863/B2862-1,""),"")</f>
        <v/>
      </c>
      <c r="E2863" s="28">
        <f>IFERROR(IF(AND(ISNUMBER(C2863),ISNUMBER(C2862),C2862&lt;&gt;0),C2863/C2862-1,""),"")</f>
        <v/>
      </c>
      <c r="F2863" s="28">
        <f>IFERROR(D2863-Dashboard!$B$4/252,"")</f>
        <v/>
      </c>
      <c r="G2863" s="28">
        <f>IFERROR(E2863-Dashboard!$B$4/252,"")</f>
        <v/>
      </c>
      <c r="H2863" s="8">
        <f>IFERROR(IF(ISNUMBER(B2863),MAX(B2863,IFERROR(H2862,B2863)),""),"")</f>
        <v/>
      </c>
      <c r="I2863" s="29">
        <f>IFERROR(IF(AND(ISNUMBER(B2863),ISNUMBER(H2863)),B2863/H2863-1,""),"")</f>
        <v/>
      </c>
      <c r="J2863" s="8">
        <f>IFERROR(IF(ISNUMBER(C2863),MAX(C2863,IFERROR(J2862,C2863)),""),"")</f>
        <v/>
      </c>
      <c r="K2863" s="29">
        <f>IFERROR(IF(AND(ISNUMBER(C2863),ISNUMBER(J2863)),C2863/J2863-1,""),"")</f>
        <v/>
      </c>
      <c r="L2863" s="28">
        <f>IFERROR(IF(AND(ISNUMBER(D2863),ISNUMBER(E2863)),D2863-E2863,""),"")</f>
        <v/>
      </c>
    </row>
    <row r="2864">
      <c r="A2864" s="7">
        <f>IFERROR(Datos!A2864,"")</f>
        <v/>
      </c>
      <c r="B2864" s="8">
        <f>IFERROR(Datos!B2864,"")</f>
        <v/>
      </c>
      <c r="C2864" s="8">
        <f>IFERROR(Datos!C2864,"")</f>
        <v/>
      </c>
      <c r="D2864" s="28">
        <f>IFERROR(IF(AND(ISNUMBER(B2864),ISNUMBER(B2863),B2863&lt;&gt;0),B2864/B2863-1,""),"")</f>
        <v/>
      </c>
      <c r="E2864" s="28">
        <f>IFERROR(IF(AND(ISNUMBER(C2864),ISNUMBER(C2863),C2863&lt;&gt;0),C2864/C2863-1,""),"")</f>
        <v/>
      </c>
      <c r="F2864" s="28">
        <f>IFERROR(D2864-Dashboard!$B$4/252,"")</f>
        <v/>
      </c>
      <c r="G2864" s="28">
        <f>IFERROR(E2864-Dashboard!$B$4/252,"")</f>
        <v/>
      </c>
      <c r="H2864" s="8">
        <f>IFERROR(IF(ISNUMBER(B2864),MAX(B2864,IFERROR(H2863,B2864)),""),"")</f>
        <v/>
      </c>
      <c r="I2864" s="29">
        <f>IFERROR(IF(AND(ISNUMBER(B2864),ISNUMBER(H2864)),B2864/H2864-1,""),"")</f>
        <v/>
      </c>
      <c r="J2864" s="8">
        <f>IFERROR(IF(ISNUMBER(C2864),MAX(C2864,IFERROR(J2863,C2864)),""),"")</f>
        <v/>
      </c>
      <c r="K2864" s="29">
        <f>IFERROR(IF(AND(ISNUMBER(C2864),ISNUMBER(J2864)),C2864/J2864-1,""),"")</f>
        <v/>
      </c>
      <c r="L2864" s="28">
        <f>IFERROR(IF(AND(ISNUMBER(D2864),ISNUMBER(E2864)),D2864-E2864,""),"")</f>
        <v/>
      </c>
    </row>
    <row r="2865">
      <c r="A2865" s="7">
        <f>IFERROR(Datos!A2865,"")</f>
        <v/>
      </c>
      <c r="B2865" s="8">
        <f>IFERROR(Datos!B2865,"")</f>
        <v/>
      </c>
      <c r="C2865" s="8">
        <f>IFERROR(Datos!C2865,"")</f>
        <v/>
      </c>
      <c r="D2865" s="28">
        <f>IFERROR(IF(AND(ISNUMBER(B2865),ISNUMBER(B2864),B2864&lt;&gt;0),B2865/B2864-1,""),"")</f>
        <v/>
      </c>
      <c r="E2865" s="28">
        <f>IFERROR(IF(AND(ISNUMBER(C2865),ISNUMBER(C2864),C2864&lt;&gt;0),C2865/C2864-1,""),"")</f>
        <v/>
      </c>
      <c r="F2865" s="28">
        <f>IFERROR(D2865-Dashboard!$B$4/252,"")</f>
        <v/>
      </c>
      <c r="G2865" s="28">
        <f>IFERROR(E2865-Dashboard!$B$4/252,"")</f>
        <v/>
      </c>
      <c r="H2865" s="8">
        <f>IFERROR(IF(ISNUMBER(B2865),MAX(B2865,IFERROR(H2864,B2865)),""),"")</f>
        <v/>
      </c>
      <c r="I2865" s="29">
        <f>IFERROR(IF(AND(ISNUMBER(B2865),ISNUMBER(H2865)),B2865/H2865-1,""),"")</f>
        <v/>
      </c>
      <c r="J2865" s="8">
        <f>IFERROR(IF(ISNUMBER(C2865),MAX(C2865,IFERROR(J2864,C2865)),""),"")</f>
        <v/>
      </c>
      <c r="K2865" s="29">
        <f>IFERROR(IF(AND(ISNUMBER(C2865),ISNUMBER(J2865)),C2865/J2865-1,""),"")</f>
        <v/>
      </c>
      <c r="L2865" s="28">
        <f>IFERROR(IF(AND(ISNUMBER(D2865),ISNUMBER(E2865)),D2865-E2865,""),"")</f>
        <v/>
      </c>
    </row>
    <row r="2866">
      <c r="A2866" s="7">
        <f>IFERROR(Datos!A2866,"")</f>
        <v/>
      </c>
      <c r="B2866" s="8">
        <f>IFERROR(Datos!B2866,"")</f>
        <v/>
      </c>
      <c r="C2866" s="8">
        <f>IFERROR(Datos!C2866,"")</f>
        <v/>
      </c>
      <c r="D2866" s="28">
        <f>IFERROR(IF(AND(ISNUMBER(B2866),ISNUMBER(B2865),B2865&lt;&gt;0),B2866/B2865-1,""),"")</f>
        <v/>
      </c>
      <c r="E2866" s="28">
        <f>IFERROR(IF(AND(ISNUMBER(C2866),ISNUMBER(C2865),C2865&lt;&gt;0),C2866/C2865-1,""),"")</f>
        <v/>
      </c>
      <c r="F2866" s="28">
        <f>IFERROR(D2866-Dashboard!$B$4/252,"")</f>
        <v/>
      </c>
      <c r="G2866" s="28">
        <f>IFERROR(E2866-Dashboard!$B$4/252,"")</f>
        <v/>
      </c>
      <c r="H2866" s="8">
        <f>IFERROR(IF(ISNUMBER(B2866),MAX(B2866,IFERROR(H2865,B2866)),""),"")</f>
        <v/>
      </c>
      <c r="I2866" s="29">
        <f>IFERROR(IF(AND(ISNUMBER(B2866),ISNUMBER(H2866)),B2866/H2866-1,""),"")</f>
        <v/>
      </c>
      <c r="J2866" s="8">
        <f>IFERROR(IF(ISNUMBER(C2866),MAX(C2866,IFERROR(J2865,C2866)),""),"")</f>
        <v/>
      </c>
      <c r="K2866" s="29">
        <f>IFERROR(IF(AND(ISNUMBER(C2866),ISNUMBER(J2866)),C2866/J2866-1,""),"")</f>
        <v/>
      </c>
      <c r="L2866" s="28">
        <f>IFERROR(IF(AND(ISNUMBER(D2866),ISNUMBER(E2866)),D2866-E2866,""),"")</f>
        <v/>
      </c>
    </row>
    <row r="2867">
      <c r="A2867" s="7">
        <f>IFERROR(Datos!A2867,"")</f>
        <v/>
      </c>
      <c r="B2867" s="8">
        <f>IFERROR(Datos!B2867,"")</f>
        <v/>
      </c>
      <c r="C2867" s="8">
        <f>IFERROR(Datos!C2867,"")</f>
        <v/>
      </c>
      <c r="D2867" s="28">
        <f>IFERROR(IF(AND(ISNUMBER(B2867),ISNUMBER(B2866),B2866&lt;&gt;0),B2867/B2866-1,""),"")</f>
        <v/>
      </c>
      <c r="E2867" s="28">
        <f>IFERROR(IF(AND(ISNUMBER(C2867),ISNUMBER(C2866),C2866&lt;&gt;0),C2867/C2866-1,""),"")</f>
        <v/>
      </c>
      <c r="F2867" s="28">
        <f>IFERROR(D2867-Dashboard!$B$4/252,"")</f>
        <v/>
      </c>
      <c r="G2867" s="28">
        <f>IFERROR(E2867-Dashboard!$B$4/252,"")</f>
        <v/>
      </c>
      <c r="H2867" s="8">
        <f>IFERROR(IF(ISNUMBER(B2867),MAX(B2867,IFERROR(H2866,B2867)),""),"")</f>
        <v/>
      </c>
      <c r="I2867" s="29">
        <f>IFERROR(IF(AND(ISNUMBER(B2867),ISNUMBER(H2867)),B2867/H2867-1,""),"")</f>
        <v/>
      </c>
      <c r="J2867" s="8">
        <f>IFERROR(IF(ISNUMBER(C2867),MAX(C2867,IFERROR(J2866,C2867)),""),"")</f>
        <v/>
      </c>
      <c r="K2867" s="29">
        <f>IFERROR(IF(AND(ISNUMBER(C2867),ISNUMBER(J2867)),C2867/J2867-1,""),"")</f>
        <v/>
      </c>
      <c r="L2867" s="28">
        <f>IFERROR(IF(AND(ISNUMBER(D2867),ISNUMBER(E2867)),D2867-E2867,""),"")</f>
        <v/>
      </c>
    </row>
    <row r="2868">
      <c r="A2868" s="7">
        <f>IFERROR(Datos!A2868,"")</f>
        <v/>
      </c>
      <c r="B2868" s="8">
        <f>IFERROR(Datos!B2868,"")</f>
        <v/>
      </c>
      <c r="C2868" s="8">
        <f>IFERROR(Datos!C2868,"")</f>
        <v/>
      </c>
      <c r="D2868" s="28">
        <f>IFERROR(IF(AND(ISNUMBER(B2868),ISNUMBER(B2867),B2867&lt;&gt;0),B2868/B2867-1,""),"")</f>
        <v/>
      </c>
      <c r="E2868" s="28">
        <f>IFERROR(IF(AND(ISNUMBER(C2868),ISNUMBER(C2867),C2867&lt;&gt;0),C2868/C2867-1,""),"")</f>
        <v/>
      </c>
      <c r="F2868" s="28">
        <f>IFERROR(D2868-Dashboard!$B$4/252,"")</f>
        <v/>
      </c>
      <c r="G2868" s="28">
        <f>IFERROR(E2868-Dashboard!$B$4/252,"")</f>
        <v/>
      </c>
      <c r="H2868" s="8">
        <f>IFERROR(IF(ISNUMBER(B2868),MAX(B2868,IFERROR(H2867,B2868)),""),"")</f>
        <v/>
      </c>
      <c r="I2868" s="29">
        <f>IFERROR(IF(AND(ISNUMBER(B2868),ISNUMBER(H2868)),B2868/H2868-1,""),"")</f>
        <v/>
      </c>
      <c r="J2868" s="8">
        <f>IFERROR(IF(ISNUMBER(C2868),MAX(C2868,IFERROR(J2867,C2868)),""),"")</f>
        <v/>
      </c>
      <c r="K2868" s="29">
        <f>IFERROR(IF(AND(ISNUMBER(C2868),ISNUMBER(J2868)),C2868/J2868-1,""),"")</f>
        <v/>
      </c>
      <c r="L2868" s="28">
        <f>IFERROR(IF(AND(ISNUMBER(D2868),ISNUMBER(E2868)),D2868-E2868,""),"")</f>
        <v/>
      </c>
    </row>
    <row r="2869">
      <c r="A2869" s="7">
        <f>IFERROR(Datos!A2869,"")</f>
        <v/>
      </c>
      <c r="B2869" s="8">
        <f>IFERROR(Datos!B2869,"")</f>
        <v/>
      </c>
      <c r="C2869" s="8">
        <f>IFERROR(Datos!C2869,"")</f>
        <v/>
      </c>
      <c r="D2869" s="28">
        <f>IFERROR(IF(AND(ISNUMBER(B2869),ISNUMBER(B2868),B2868&lt;&gt;0),B2869/B2868-1,""),"")</f>
        <v/>
      </c>
      <c r="E2869" s="28">
        <f>IFERROR(IF(AND(ISNUMBER(C2869),ISNUMBER(C2868),C2868&lt;&gt;0),C2869/C2868-1,""),"")</f>
        <v/>
      </c>
      <c r="F2869" s="28">
        <f>IFERROR(D2869-Dashboard!$B$4/252,"")</f>
        <v/>
      </c>
      <c r="G2869" s="28">
        <f>IFERROR(E2869-Dashboard!$B$4/252,"")</f>
        <v/>
      </c>
      <c r="H2869" s="8">
        <f>IFERROR(IF(ISNUMBER(B2869),MAX(B2869,IFERROR(H2868,B2869)),""),"")</f>
        <v/>
      </c>
      <c r="I2869" s="29">
        <f>IFERROR(IF(AND(ISNUMBER(B2869),ISNUMBER(H2869)),B2869/H2869-1,""),"")</f>
        <v/>
      </c>
      <c r="J2869" s="8">
        <f>IFERROR(IF(ISNUMBER(C2869),MAX(C2869,IFERROR(J2868,C2869)),""),"")</f>
        <v/>
      </c>
      <c r="K2869" s="29">
        <f>IFERROR(IF(AND(ISNUMBER(C2869),ISNUMBER(J2869)),C2869/J2869-1,""),"")</f>
        <v/>
      </c>
      <c r="L2869" s="28">
        <f>IFERROR(IF(AND(ISNUMBER(D2869),ISNUMBER(E2869)),D2869-E2869,""),"")</f>
        <v/>
      </c>
    </row>
    <row r="2870">
      <c r="A2870" s="7">
        <f>IFERROR(Datos!A2870,"")</f>
        <v/>
      </c>
      <c r="B2870" s="8">
        <f>IFERROR(Datos!B2870,"")</f>
        <v/>
      </c>
      <c r="C2870" s="8">
        <f>IFERROR(Datos!C2870,"")</f>
        <v/>
      </c>
      <c r="D2870" s="28">
        <f>IFERROR(IF(AND(ISNUMBER(B2870),ISNUMBER(B2869),B2869&lt;&gt;0),B2870/B2869-1,""),"")</f>
        <v/>
      </c>
      <c r="E2870" s="28">
        <f>IFERROR(IF(AND(ISNUMBER(C2870),ISNUMBER(C2869),C2869&lt;&gt;0),C2870/C2869-1,""),"")</f>
        <v/>
      </c>
      <c r="F2870" s="28">
        <f>IFERROR(D2870-Dashboard!$B$4/252,"")</f>
        <v/>
      </c>
      <c r="G2870" s="28">
        <f>IFERROR(E2870-Dashboard!$B$4/252,"")</f>
        <v/>
      </c>
      <c r="H2870" s="8">
        <f>IFERROR(IF(ISNUMBER(B2870),MAX(B2870,IFERROR(H2869,B2870)),""),"")</f>
        <v/>
      </c>
      <c r="I2870" s="29">
        <f>IFERROR(IF(AND(ISNUMBER(B2870),ISNUMBER(H2870)),B2870/H2870-1,""),"")</f>
        <v/>
      </c>
      <c r="J2870" s="8">
        <f>IFERROR(IF(ISNUMBER(C2870),MAX(C2870,IFERROR(J2869,C2870)),""),"")</f>
        <v/>
      </c>
      <c r="K2870" s="29">
        <f>IFERROR(IF(AND(ISNUMBER(C2870),ISNUMBER(J2870)),C2870/J2870-1,""),"")</f>
        <v/>
      </c>
      <c r="L2870" s="28">
        <f>IFERROR(IF(AND(ISNUMBER(D2870),ISNUMBER(E2870)),D2870-E2870,""),"")</f>
        <v/>
      </c>
    </row>
    <row r="2871">
      <c r="A2871" s="7">
        <f>IFERROR(Datos!A2871,"")</f>
        <v/>
      </c>
      <c r="B2871" s="8">
        <f>IFERROR(Datos!B2871,"")</f>
        <v/>
      </c>
      <c r="C2871" s="8">
        <f>IFERROR(Datos!C2871,"")</f>
        <v/>
      </c>
      <c r="D2871" s="28">
        <f>IFERROR(IF(AND(ISNUMBER(B2871),ISNUMBER(B2870),B2870&lt;&gt;0),B2871/B2870-1,""),"")</f>
        <v/>
      </c>
      <c r="E2871" s="28">
        <f>IFERROR(IF(AND(ISNUMBER(C2871),ISNUMBER(C2870),C2870&lt;&gt;0),C2871/C2870-1,""),"")</f>
        <v/>
      </c>
      <c r="F2871" s="28">
        <f>IFERROR(D2871-Dashboard!$B$4/252,"")</f>
        <v/>
      </c>
      <c r="G2871" s="28">
        <f>IFERROR(E2871-Dashboard!$B$4/252,"")</f>
        <v/>
      </c>
      <c r="H2871" s="8">
        <f>IFERROR(IF(ISNUMBER(B2871),MAX(B2871,IFERROR(H2870,B2871)),""),"")</f>
        <v/>
      </c>
      <c r="I2871" s="29">
        <f>IFERROR(IF(AND(ISNUMBER(B2871),ISNUMBER(H2871)),B2871/H2871-1,""),"")</f>
        <v/>
      </c>
      <c r="J2871" s="8">
        <f>IFERROR(IF(ISNUMBER(C2871),MAX(C2871,IFERROR(J2870,C2871)),""),"")</f>
        <v/>
      </c>
      <c r="K2871" s="29">
        <f>IFERROR(IF(AND(ISNUMBER(C2871),ISNUMBER(J2871)),C2871/J2871-1,""),"")</f>
        <v/>
      </c>
      <c r="L2871" s="28">
        <f>IFERROR(IF(AND(ISNUMBER(D2871),ISNUMBER(E2871)),D2871-E2871,""),"")</f>
        <v/>
      </c>
    </row>
    <row r="2872">
      <c r="A2872" s="7">
        <f>IFERROR(Datos!A2872,"")</f>
        <v/>
      </c>
      <c r="B2872" s="8">
        <f>IFERROR(Datos!B2872,"")</f>
        <v/>
      </c>
      <c r="C2872" s="8">
        <f>IFERROR(Datos!C2872,"")</f>
        <v/>
      </c>
      <c r="D2872" s="28">
        <f>IFERROR(IF(AND(ISNUMBER(B2872),ISNUMBER(B2871),B2871&lt;&gt;0),B2872/B2871-1,""),"")</f>
        <v/>
      </c>
      <c r="E2872" s="28">
        <f>IFERROR(IF(AND(ISNUMBER(C2872),ISNUMBER(C2871),C2871&lt;&gt;0),C2872/C2871-1,""),"")</f>
        <v/>
      </c>
      <c r="F2872" s="28">
        <f>IFERROR(D2872-Dashboard!$B$4/252,"")</f>
        <v/>
      </c>
      <c r="G2872" s="28">
        <f>IFERROR(E2872-Dashboard!$B$4/252,"")</f>
        <v/>
      </c>
      <c r="H2872" s="8">
        <f>IFERROR(IF(ISNUMBER(B2872),MAX(B2872,IFERROR(H2871,B2872)),""),"")</f>
        <v/>
      </c>
      <c r="I2872" s="29">
        <f>IFERROR(IF(AND(ISNUMBER(B2872),ISNUMBER(H2872)),B2872/H2872-1,""),"")</f>
        <v/>
      </c>
      <c r="J2872" s="8">
        <f>IFERROR(IF(ISNUMBER(C2872),MAX(C2872,IFERROR(J2871,C2872)),""),"")</f>
        <v/>
      </c>
      <c r="K2872" s="29">
        <f>IFERROR(IF(AND(ISNUMBER(C2872),ISNUMBER(J2872)),C2872/J2872-1,""),"")</f>
        <v/>
      </c>
      <c r="L2872" s="28">
        <f>IFERROR(IF(AND(ISNUMBER(D2872),ISNUMBER(E2872)),D2872-E2872,""),"")</f>
        <v/>
      </c>
    </row>
    <row r="2873">
      <c r="A2873" s="7">
        <f>IFERROR(Datos!A2873,"")</f>
        <v/>
      </c>
      <c r="B2873" s="8">
        <f>IFERROR(Datos!B2873,"")</f>
        <v/>
      </c>
      <c r="C2873" s="8">
        <f>IFERROR(Datos!C2873,"")</f>
        <v/>
      </c>
      <c r="D2873" s="28">
        <f>IFERROR(IF(AND(ISNUMBER(B2873),ISNUMBER(B2872),B2872&lt;&gt;0),B2873/B2872-1,""),"")</f>
        <v/>
      </c>
      <c r="E2873" s="28">
        <f>IFERROR(IF(AND(ISNUMBER(C2873),ISNUMBER(C2872),C2872&lt;&gt;0),C2873/C2872-1,""),"")</f>
        <v/>
      </c>
      <c r="F2873" s="28">
        <f>IFERROR(D2873-Dashboard!$B$4/252,"")</f>
        <v/>
      </c>
      <c r="G2873" s="28">
        <f>IFERROR(E2873-Dashboard!$B$4/252,"")</f>
        <v/>
      </c>
      <c r="H2873" s="8">
        <f>IFERROR(IF(ISNUMBER(B2873),MAX(B2873,IFERROR(H2872,B2873)),""),"")</f>
        <v/>
      </c>
      <c r="I2873" s="29">
        <f>IFERROR(IF(AND(ISNUMBER(B2873),ISNUMBER(H2873)),B2873/H2873-1,""),"")</f>
        <v/>
      </c>
      <c r="J2873" s="8">
        <f>IFERROR(IF(ISNUMBER(C2873),MAX(C2873,IFERROR(J2872,C2873)),""),"")</f>
        <v/>
      </c>
      <c r="K2873" s="29">
        <f>IFERROR(IF(AND(ISNUMBER(C2873),ISNUMBER(J2873)),C2873/J2873-1,""),"")</f>
        <v/>
      </c>
      <c r="L2873" s="28">
        <f>IFERROR(IF(AND(ISNUMBER(D2873),ISNUMBER(E2873)),D2873-E2873,""),"")</f>
        <v/>
      </c>
    </row>
    <row r="2874">
      <c r="A2874" s="7">
        <f>IFERROR(Datos!A2874,"")</f>
        <v/>
      </c>
      <c r="B2874" s="8">
        <f>IFERROR(Datos!B2874,"")</f>
        <v/>
      </c>
      <c r="C2874" s="8">
        <f>IFERROR(Datos!C2874,"")</f>
        <v/>
      </c>
      <c r="D2874" s="28">
        <f>IFERROR(IF(AND(ISNUMBER(B2874),ISNUMBER(B2873),B2873&lt;&gt;0),B2874/B2873-1,""),"")</f>
        <v/>
      </c>
      <c r="E2874" s="28">
        <f>IFERROR(IF(AND(ISNUMBER(C2874),ISNUMBER(C2873),C2873&lt;&gt;0),C2874/C2873-1,""),"")</f>
        <v/>
      </c>
      <c r="F2874" s="28">
        <f>IFERROR(D2874-Dashboard!$B$4/252,"")</f>
        <v/>
      </c>
      <c r="G2874" s="28">
        <f>IFERROR(E2874-Dashboard!$B$4/252,"")</f>
        <v/>
      </c>
      <c r="H2874" s="8">
        <f>IFERROR(IF(ISNUMBER(B2874),MAX(B2874,IFERROR(H2873,B2874)),""),"")</f>
        <v/>
      </c>
      <c r="I2874" s="29">
        <f>IFERROR(IF(AND(ISNUMBER(B2874),ISNUMBER(H2874)),B2874/H2874-1,""),"")</f>
        <v/>
      </c>
      <c r="J2874" s="8">
        <f>IFERROR(IF(ISNUMBER(C2874),MAX(C2874,IFERROR(J2873,C2874)),""),"")</f>
        <v/>
      </c>
      <c r="K2874" s="29">
        <f>IFERROR(IF(AND(ISNUMBER(C2874),ISNUMBER(J2874)),C2874/J2874-1,""),"")</f>
        <v/>
      </c>
      <c r="L2874" s="28">
        <f>IFERROR(IF(AND(ISNUMBER(D2874),ISNUMBER(E2874)),D2874-E2874,""),"")</f>
        <v/>
      </c>
    </row>
    <row r="2875">
      <c r="A2875" s="7">
        <f>IFERROR(Datos!A2875,"")</f>
        <v/>
      </c>
      <c r="B2875" s="8">
        <f>IFERROR(Datos!B2875,"")</f>
        <v/>
      </c>
      <c r="C2875" s="8">
        <f>IFERROR(Datos!C2875,"")</f>
        <v/>
      </c>
      <c r="D2875" s="28">
        <f>IFERROR(IF(AND(ISNUMBER(B2875),ISNUMBER(B2874),B2874&lt;&gt;0),B2875/B2874-1,""),"")</f>
        <v/>
      </c>
      <c r="E2875" s="28">
        <f>IFERROR(IF(AND(ISNUMBER(C2875),ISNUMBER(C2874),C2874&lt;&gt;0),C2875/C2874-1,""),"")</f>
        <v/>
      </c>
      <c r="F2875" s="28">
        <f>IFERROR(D2875-Dashboard!$B$4/252,"")</f>
        <v/>
      </c>
      <c r="G2875" s="28">
        <f>IFERROR(E2875-Dashboard!$B$4/252,"")</f>
        <v/>
      </c>
      <c r="H2875" s="8">
        <f>IFERROR(IF(ISNUMBER(B2875),MAX(B2875,IFERROR(H2874,B2875)),""),"")</f>
        <v/>
      </c>
      <c r="I2875" s="29">
        <f>IFERROR(IF(AND(ISNUMBER(B2875),ISNUMBER(H2875)),B2875/H2875-1,""),"")</f>
        <v/>
      </c>
      <c r="J2875" s="8">
        <f>IFERROR(IF(ISNUMBER(C2875),MAX(C2875,IFERROR(J2874,C2875)),""),"")</f>
        <v/>
      </c>
      <c r="K2875" s="29">
        <f>IFERROR(IF(AND(ISNUMBER(C2875),ISNUMBER(J2875)),C2875/J2875-1,""),"")</f>
        <v/>
      </c>
      <c r="L2875" s="28">
        <f>IFERROR(IF(AND(ISNUMBER(D2875),ISNUMBER(E2875)),D2875-E2875,""),"")</f>
        <v/>
      </c>
    </row>
    <row r="2876">
      <c r="A2876" s="7">
        <f>IFERROR(Datos!A2876,"")</f>
        <v/>
      </c>
      <c r="B2876" s="8">
        <f>IFERROR(Datos!B2876,"")</f>
        <v/>
      </c>
      <c r="C2876" s="8">
        <f>IFERROR(Datos!C2876,"")</f>
        <v/>
      </c>
      <c r="D2876" s="28">
        <f>IFERROR(IF(AND(ISNUMBER(B2876),ISNUMBER(B2875),B2875&lt;&gt;0),B2876/B2875-1,""),"")</f>
        <v/>
      </c>
      <c r="E2876" s="28">
        <f>IFERROR(IF(AND(ISNUMBER(C2876),ISNUMBER(C2875),C2875&lt;&gt;0),C2876/C2875-1,""),"")</f>
        <v/>
      </c>
      <c r="F2876" s="28">
        <f>IFERROR(D2876-Dashboard!$B$4/252,"")</f>
        <v/>
      </c>
      <c r="G2876" s="28">
        <f>IFERROR(E2876-Dashboard!$B$4/252,"")</f>
        <v/>
      </c>
      <c r="H2876" s="8">
        <f>IFERROR(IF(ISNUMBER(B2876),MAX(B2876,IFERROR(H2875,B2876)),""),"")</f>
        <v/>
      </c>
      <c r="I2876" s="29">
        <f>IFERROR(IF(AND(ISNUMBER(B2876),ISNUMBER(H2876)),B2876/H2876-1,""),"")</f>
        <v/>
      </c>
      <c r="J2876" s="8">
        <f>IFERROR(IF(ISNUMBER(C2876),MAX(C2876,IFERROR(J2875,C2876)),""),"")</f>
        <v/>
      </c>
      <c r="K2876" s="29">
        <f>IFERROR(IF(AND(ISNUMBER(C2876),ISNUMBER(J2876)),C2876/J2876-1,""),"")</f>
        <v/>
      </c>
      <c r="L2876" s="28">
        <f>IFERROR(IF(AND(ISNUMBER(D2876),ISNUMBER(E2876)),D2876-E2876,""),"")</f>
        <v/>
      </c>
    </row>
    <row r="2877">
      <c r="A2877" s="7">
        <f>IFERROR(Datos!A2877,"")</f>
        <v/>
      </c>
      <c r="B2877" s="8">
        <f>IFERROR(Datos!B2877,"")</f>
        <v/>
      </c>
      <c r="C2877" s="8">
        <f>IFERROR(Datos!C2877,"")</f>
        <v/>
      </c>
      <c r="D2877" s="28">
        <f>IFERROR(IF(AND(ISNUMBER(B2877),ISNUMBER(B2876),B2876&lt;&gt;0),B2877/B2876-1,""),"")</f>
        <v/>
      </c>
      <c r="E2877" s="28">
        <f>IFERROR(IF(AND(ISNUMBER(C2877),ISNUMBER(C2876),C2876&lt;&gt;0),C2877/C2876-1,""),"")</f>
        <v/>
      </c>
      <c r="F2877" s="28">
        <f>IFERROR(D2877-Dashboard!$B$4/252,"")</f>
        <v/>
      </c>
      <c r="G2877" s="28">
        <f>IFERROR(E2877-Dashboard!$B$4/252,"")</f>
        <v/>
      </c>
      <c r="H2877" s="8">
        <f>IFERROR(IF(ISNUMBER(B2877),MAX(B2877,IFERROR(H2876,B2877)),""),"")</f>
        <v/>
      </c>
      <c r="I2877" s="29">
        <f>IFERROR(IF(AND(ISNUMBER(B2877),ISNUMBER(H2877)),B2877/H2877-1,""),"")</f>
        <v/>
      </c>
      <c r="J2877" s="8">
        <f>IFERROR(IF(ISNUMBER(C2877),MAX(C2877,IFERROR(J2876,C2877)),""),"")</f>
        <v/>
      </c>
      <c r="K2877" s="29">
        <f>IFERROR(IF(AND(ISNUMBER(C2877),ISNUMBER(J2877)),C2877/J2877-1,""),"")</f>
        <v/>
      </c>
      <c r="L2877" s="28">
        <f>IFERROR(IF(AND(ISNUMBER(D2877),ISNUMBER(E2877)),D2877-E2877,""),"")</f>
        <v/>
      </c>
    </row>
    <row r="2878">
      <c r="A2878" s="7">
        <f>IFERROR(Datos!A2878,"")</f>
        <v/>
      </c>
      <c r="B2878" s="8">
        <f>IFERROR(Datos!B2878,"")</f>
        <v/>
      </c>
      <c r="C2878" s="8">
        <f>IFERROR(Datos!C2878,"")</f>
        <v/>
      </c>
      <c r="D2878" s="28">
        <f>IFERROR(IF(AND(ISNUMBER(B2878),ISNUMBER(B2877),B2877&lt;&gt;0),B2878/B2877-1,""),"")</f>
        <v/>
      </c>
      <c r="E2878" s="28">
        <f>IFERROR(IF(AND(ISNUMBER(C2878),ISNUMBER(C2877),C2877&lt;&gt;0),C2878/C2877-1,""),"")</f>
        <v/>
      </c>
      <c r="F2878" s="28">
        <f>IFERROR(D2878-Dashboard!$B$4/252,"")</f>
        <v/>
      </c>
      <c r="G2878" s="28">
        <f>IFERROR(E2878-Dashboard!$B$4/252,"")</f>
        <v/>
      </c>
      <c r="H2878" s="8">
        <f>IFERROR(IF(ISNUMBER(B2878),MAX(B2878,IFERROR(H2877,B2878)),""),"")</f>
        <v/>
      </c>
      <c r="I2878" s="29">
        <f>IFERROR(IF(AND(ISNUMBER(B2878),ISNUMBER(H2878)),B2878/H2878-1,""),"")</f>
        <v/>
      </c>
      <c r="J2878" s="8">
        <f>IFERROR(IF(ISNUMBER(C2878),MAX(C2878,IFERROR(J2877,C2878)),""),"")</f>
        <v/>
      </c>
      <c r="K2878" s="29">
        <f>IFERROR(IF(AND(ISNUMBER(C2878),ISNUMBER(J2878)),C2878/J2878-1,""),"")</f>
        <v/>
      </c>
      <c r="L2878" s="28">
        <f>IFERROR(IF(AND(ISNUMBER(D2878),ISNUMBER(E2878)),D2878-E2878,""),"")</f>
        <v/>
      </c>
    </row>
    <row r="2879">
      <c r="A2879" s="7">
        <f>IFERROR(Datos!A2879,"")</f>
        <v/>
      </c>
      <c r="B2879" s="8">
        <f>IFERROR(Datos!B2879,"")</f>
        <v/>
      </c>
      <c r="C2879" s="8">
        <f>IFERROR(Datos!C2879,"")</f>
        <v/>
      </c>
      <c r="D2879" s="28">
        <f>IFERROR(IF(AND(ISNUMBER(B2879),ISNUMBER(B2878),B2878&lt;&gt;0),B2879/B2878-1,""),"")</f>
        <v/>
      </c>
      <c r="E2879" s="28">
        <f>IFERROR(IF(AND(ISNUMBER(C2879),ISNUMBER(C2878),C2878&lt;&gt;0),C2879/C2878-1,""),"")</f>
        <v/>
      </c>
      <c r="F2879" s="28">
        <f>IFERROR(D2879-Dashboard!$B$4/252,"")</f>
        <v/>
      </c>
      <c r="G2879" s="28">
        <f>IFERROR(E2879-Dashboard!$B$4/252,"")</f>
        <v/>
      </c>
      <c r="H2879" s="8">
        <f>IFERROR(IF(ISNUMBER(B2879),MAX(B2879,IFERROR(H2878,B2879)),""),"")</f>
        <v/>
      </c>
      <c r="I2879" s="29">
        <f>IFERROR(IF(AND(ISNUMBER(B2879),ISNUMBER(H2879)),B2879/H2879-1,""),"")</f>
        <v/>
      </c>
      <c r="J2879" s="8">
        <f>IFERROR(IF(ISNUMBER(C2879),MAX(C2879,IFERROR(J2878,C2879)),""),"")</f>
        <v/>
      </c>
      <c r="K2879" s="29">
        <f>IFERROR(IF(AND(ISNUMBER(C2879),ISNUMBER(J2879)),C2879/J2879-1,""),"")</f>
        <v/>
      </c>
      <c r="L2879" s="28">
        <f>IFERROR(IF(AND(ISNUMBER(D2879),ISNUMBER(E2879)),D2879-E2879,""),"")</f>
        <v/>
      </c>
    </row>
    <row r="2880">
      <c r="A2880" s="7">
        <f>IFERROR(Datos!A2880,"")</f>
        <v/>
      </c>
      <c r="B2880" s="8">
        <f>IFERROR(Datos!B2880,"")</f>
        <v/>
      </c>
      <c r="C2880" s="8">
        <f>IFERROR(Datos!C2880,"")</f>
        <v/>
      </c>
      <c r="D2880" s="28">
        <f>IFERROR(IF(AND(ISNUMBER(B2880),ISNUMBER(B2879),B2879&lt;&gt;0),B2880/B2879-1,""),"")</f>
        <v/>
      </c>
      <c r="E2880" s="28">
        <f>IFERROR(IF(AND(ISNUMBER(C2880),ISNUMBER(C2879),C2879&lt;&gt;0),C2880/C2879-1,""),"")</f>
        <v/>
      </c>
      <c r="F2880" s="28">
        <f>IFERROR(D2880-Dashboard!$B$4/252,"")</f>
        <v/>
      </c>
      <c r="G2880" s="28">
        <f>IFERROR(E2880-Dashboard!$B$4/252,"")</f>
        <v/>
      </c>
      <c r="H2880" s="8">
        <f>IFERROR(IF(ISNUMBER(B2880),MAX(B2880,IFERROR(H2879,B2880)),""),"")</f>
        <v/>
      </c>
      <c r="I2880" s="29">
        <f>IFERROR(IF(AND(ISNUMBER(B2880),ISNUMBER(H2880)),B2880/H2880-1,""),"")</f>
        <v/>
      </c>
      <c r="J2880" s="8">
        <f>IFERROR(IF(ISNUMBER(C2880),MAX(C2880,IFERROR(J2879,C2880)),""),"")</f>
        <v/>
      </c>
      <c r="K2880" s="29">
        <f>IFERROR(IF(AND(ISNUMBER(C2880),ISNUMBER(J2880)),C2880/J2880-1,""),"")</f>
        <v/>
      </c>
      <c r="L2880" s="28">
        <f>IFERROR(IF(AND(ISNUMBER(D2880),ISNUMBER(E2880)),D2880-E2880,""),"")</f>
        <v/>
      </c>
    </row>
    <row r="2881">
      <c r="A2881" s="7">
        <f>IFERROR(Datos!A2881,"")</f>
        <v/>
      </c>
      <c r="B2881" s="8">
        <f>IFERROR(Datos!B2881,"")</f>
        <v/>
      </c>
      <c r="C2881" s="8">
        <f>IFERROR(Datos!C2881,"")</f>
        <v/>
      </c>
      <c r="D2881" s="28">
        <f>IFERROR(IF(AND(ISNUMBER(B2881),ISNUMBER(B2880),B2880&lt;&gt;0),B2881/B2880-1,""),"")</f>
        <v/>
      </c>
      <c r="E2881" s="28">
        <f>IFERROR(IF(AND(ISNUMBER(C2881),ISNUMBER(C2880),C2880&lt;&gt;0),C2881/C2880-1,""),"")</f>
        <v/>
      </c>
      <c r="F2881" s="28">
        <f>IFERROR(D2881-Dashboard!$B$4/252,"")</f>
        <v/>
      </c>
      <c r="G2881" s="28">
        <f>IFERROR(E2881-Dashboard!$B$4/252,"")</f>
        <v/>
      </c>
      <c r="H2881" s="8">
        <f>IFERROR(IF(ISNUMBER(B2881),MAX(B2881,IFERROR(H2880,B2881)),""),"")</f>
        <v/>
      </c>
      <c r="I2881" s="29">
        <f>IFERROR(IF(AND(ISNUMBER(B2881),ISNUMBER(H2881)),B2881/H2881-1,""),"")</f>
        <v/>
      </c>
      <c r="J2881" s="8">
        <f>IFERROR(IF(ISNUMBER(C2881),MAX(C2881,IFERROR(J2880,C2881)),""),"")</f>
        <v/>
      </c>
      <c r="K2881" s="29">
        <f>IFERROR(IF(AND(ISNUMBER(C2881),ISNUMBER(J2881)),C2881/J2881-1,""),"")</f>
        <v/>
      </c>
      <c r="L2881" s="28">
        <f>IFERROR(IF(AND(ISNUMBER(D2881),ISNUMBER(E2881)),D2881-E2881,""),"")</f>
        <v/>
      </c>
    </row>
    <row r="2882">
      <c r="A2882" s="7">
        <f>IFERROR(Datos!A2882,"")</f>
        <v/>
      </c>
      <c r="B2882" s="8">
        <f>IFERROR(Datos!B2882,"")</f>
        <v/>
      </c>
      <c r="C2882" s="8">
        <f>IFERROR(Datos!C2882,"")</f>
        <v/>
      </c>
      <c r="D2882" s="28">
        <f>IFERROR(IF(AND(ISNUMBER(B2882),ISNUMBER(B2881),B2881&lt;&gt;0),B2882/B2881-1,""),"")</f>
        <v/>
      </c>
      <c r="E2882" s="28">
        <f>IFERROR(IF(AND(ISNUMBER(C2882),ISNUMBER(C2881),C2881&lt;&gt;0),C2882/C2881-1,""),"")</f>
        <v/>
      </c>
      <c r="F2882" s="28">
        <f>IFERROR(D2882-Dashboard!$B$4/252,"")</f>
        <v/>
      </c>
      <c r="G2882" s="28">
        <f>IFERROR(E2882-Dashboard!$B$4/252,"")</f>
        <v/>
      </c>
      <c r="H2882" s="8">
        <f>IFERROR(IF(ISNUMBER(B2882),MAX(B2882,IFERROR(H2881,B2882)),""),"")</f>
        <v/>
      </c>
      <c r="I2882" s="29">
        <f>IFERROR(IF(AND(ISNUMBER(B2882),ISNUMBER(H2882)),B2882/H2882-1,""),"")</f>
        <v/>
      </c>
      <c r="J2882" s="8">
        <f>IFERROR(IF(ISNUMBER(C2882),MAX(C2882,IFERROR(J2881,C2882)),""),"")</f>
        <v/>
      </c>
      <c r="K2882" s="29">
        <f>IFERROR(IF(AND(ISNUMBER(C2882),ISNUMBER(J2882)),C2882/J2882-1,""),"")</f>
        <v/>
      </c>
      <c r="L2882" s="28">
        <f>IFERROR(IF(AND(ISNUMBER(D2882),ISNUMBER(E2882)),D2882-E2882,""),"")</f>
        <v/>
      </c>
    </row>
    <row r="2883">
      <c r="A2883" s="7">
        <f>IFERROR(Datos!A2883,"")</f>
        <v/>
      </c>
      <c r="B2883" s="8">
        <f>IFERROR(Datos!B2883,"")</f>
        <v/>
      </c>
      <c r="C2883" s="8">
        <f>IFERROR(Datos!C2883,"")</f>
        <v/>
      </c>
      <c r="D2883" s="28">
        <f>IFERROR(IF(AND(ISNUMBER(B2883),ISNUMBER(B2882),B2882&lt;&gt;0),B2883/B2882-1,""),"")</f>
        <v/>
      </c>
      <c r="E2883" s="28">
        <f>IFERROR(IF(AND(ISNUMBER(C2883),ISNUMBER(C2882),C2882&lt;&gt;0),C2883/C2882-1,""),"")</f>
        <v/>
      </c>
      <c r="F2883" s="28">
        <f>IFERROR(D2883-Dashboard!$B$4/252,"")</f>
        <v/>
      </c>
      <c r="G2883" s="28">
        <f>IFERROR(E2883-Dashboard!$B$4/252,"")</f>
        <v/>
      </c>
      <c r="H2883" s="8">
        <f>IFERROR(IF(ISNUMBER(B2883),MAX(B2883,IFERROR(H2882,B2883)),""),"")</f>
        <v/>
      </c>
      <c r="I2883" s="29">
        <f>IFERROR(IF(AND(ISNUMBER(B2883),ISNUMBER(H2883)),B2883/H2883-1,""),"")</f>
        <v/>
      </c>
      <c r="J2883" s="8">
        <f>IFERROR(IF(ISNUMBER(C2883),MAX(C2883,IFERROR(J2882,C2883)),""),"")</f>
        <v/>
      </c>
      <c r="K2883" s="29">
        <f>IFERROR(IF(AND(ISNUMBER(C2883),ISNUMBER(J2883)),C2883/J2883-1,""),"")</f>
        <v/>
      </c>
      <c r="L2883" s="28">
        <f>IFERROR(IF(AND(ISNUMBER(D2883),ISNUMBER(E2883)),D2883-E2883,""),"")</f>
        <v/>
      </c>
    </row>
    <row r="2884">
      <c r="A2884" s="7">
        <f>IFERROR(Datos!A2884,"")</f>
        <v/>
      </c>
      <c r="B2884" s="8">
        <f>IFERROR(Datos!B2884,"")</f>
        <v/>
      </c>
      <c r="C2884" s="8">
        <f>IFERROR(Datos!C2884,"")</f>
        <v/>
      </c>
      <c r="D2884" s="28">
        <f>IFERROR(IF(AND(ISNUMBER(B2884),ISNUMBER(B2883),B2883&lt;&gt;0),B2884/B2883-1,""),"")</f>
        <v/>
      </c>
      <c r="E2884" s="28">
        <f>IFERROR(IF(AND(ISNUMBER(C2884),ISNUMBER(C2883),C2883&lt;&gt;0),C2884/C2883-1,""),"")</f>
        <v/>
      </c>
      <c r="F2884" s="28">
        <f>IFERROR(D2884-Dashboard!$B$4/252,"")</f>
        <v/>
      </c>
      <c r="G2884" s="28">
        <f>IFERROR(E2884-Dashboard!$B$4/252,"")</f>
        <v/>
      </c>
      <c r="H2884" s="8">
        <f>IFERROR(IF(ISNUMBER(B2884),MAX(B2884,IFERROR(H2883,B2884)),""),"")</f>
        <v/>
      </c>
      <c r="I2884" s="29">
        <f>IFERROR(IF(AND(ISNUMBER(B2884),ISNUMBER(H2884)),B2884/H2884-1,""),"")</f>
        <v/>
      </c>
      <c r="J2884" s="8">
        <f>IFERROR(IF(ISNUMBER(C2884),MAX(C2884,IFERROR(J2883,C2884)),""),"")</f>
        <v/>
      </c>
      <c r="K2884" s="29">
        <f>IFERROR(IF(AND(ISNUMBER(C2884),ISNUMBER(J2884)),C2884/J2884-1,""),"")</f>
        <v/>
      </c>
      <c r="L2884" s="28">
        <f>IFERROR(IF(AND(ISNUMBER(D2884),ISNUMBER(E2884)),D2884-E2884,""),"")</f>
        <v/>
      </c>
    </row>
    <row r="2885">
      <c r="A2885" s="7">
        <f>IFERROR(Datos!A2885,"")</f>
        <v/>
      </c>
      <c r="B2885" s="8">
        <f>IFERROR(Datos!B2885,"")</f>
        <v/>
      </c>
      <c r="C2885" s="8">
        <f>IFERROR(Datos!C2885,"")</f>
        <v/>
      </c>
      <c r="D2885" s="28">
        <f>IFERROR(IF(AND(ISNUMBER(B2885),ISNUMBER(B2884),B2884&lt;&gt;0),B2885/B2884-1,""),"")</f>
        <v/>
      </c>
      <c r="E2885" s="28">
        <f>IFERROR(IF(AND(ISNUMBER(C2885),ISNUMBER(C2884),C2884&lt;&gt;0),C2885/C2884-1,""),"")</f>
        <v/>
      </c>
      <c r="F2885" s="28">
        <f>IFERROR(D2885-Dashboard!$B$4/252,"")</f>
        <v/>
      </c>
      <c r="G2885" s="28">
        <f>IFERROR(E2885-Dashboard!$B$4/252,"")</f>
        <v/>
      </c>
      <c r="H2885" s="8">
        <f>IFERROR(IF(ISNUMBER(B2885),MAX(B2885,IFERROR(H2884,B2885)),""),"")</f>
        <v/>
      </c>
      <c r="I2885" s="29">
        <f>IFERROR(IF(AND(ISNUMBER(B2885),ISNUMBER(H2885)),B2885/H2885-1,""),"")</f>
        <v/>
      </c>
      <c r="J2885" s="8">
        <f>IFERROR(IF(ISNUMBER(C2885),MAX(C2885,IFERROR(J2884,C2885)),""),"")</f>
        <v/>
      </c>
      <c r="K2885" s="29">
        <f>IFERROR(IF(AND(ISNUMBER(C2885),ISNUMBER(J2885)),C2885/J2885-1,""),"")</f>
        <v/>
      </c>
      <c r="L2885" s="28">
        <f>IFERROR(IF(AND(ISNUMBER(D2885),ISNUMBER(E2885)),D2885-E2885,""),"")</f>
        <v/>
      </c>
    </row>
    <row r="2886">
      <c r="A2886" s="7">
        <f>IFERROR(Datos!A2886,"")</f>
        <v/>
      </c>
      <c r="B2886" s="8">
        <f>IFERROR(Datos!B2886,"")</f>
        <v/>
      </c>
      <c r="C2886" s="8">
        <f>IFERROR(Datos!C2886,"")</f>
        <v/>
      </c>
      <c r="D2886" s="28">
        <f>IFERROR(IF(AND(ISNUMBER(B2886),ISNUMBER(B2885),B2885&lt;&gt;0),B2886/B2885-1,""),"")</f>
        <v/>
      </c>
      <c r="E2886" s="28">
        <f>IFERROR(IF(AND(ISNUMBER(C2886),ISNUMBER(C2885),C2885&lt;&gt;0),C2886/C2885-1,""),"")</f>
        <v/>
      </c>
      <c r="F2886" s="28">
        <f>IFERROR(D2886-Dashboard!$B$4/252,"")</f>
        <v/>
      </c>
      <c r="G2886" s="28">
        <f>IFERROR(E2886-Dashboard!$B$4/252,"")</f>
        <v/>
      </c>
      <c r="H2886" s="8">
        <f>IFERROR(IF(ISNUMBER(B2886),MAX(B2886,IFERROR(H2885,B2886)),""),"")</f>
        <v/>
      </c>
      <c r="I2886" s="29">
        <f>IFERROR(IF(AND(ISNUMBER(B2886),ISNUMBER(H2886)),B2886/H2886-1,""),"")</f>
        <v/>
      </c>
      <c r="J2886" s="8">
        <f>IFERROR(IF(ISNUMBER(C2886),MAX(C2886,IFERROR(J2885,C2886)),""),"")</f>
        <v/>
      </c>
      <c r="K2886" s="29">
        <f>IFERROR(IF(AND(ISNUMBER(C2886),ISNUMBER(J2886)),C2886/J2886-1,""),"")</f>
        <v/>
      </c>
      <c r="L2886" s="28">
        <f>IFERROR(IF(AND(ISNUMBER(D2886),ISNUMBER(E2886)),D2886-E2886,""),"")</f>
        <v/>
      </c>
    </row>
    <row r="2887">
      <c r="A2887" s="7">
        <f>IFERROR(Datos!A2887,"")</f>
        <v/>
      </c>
      <c r="B2887" s="8">
        <f>IFERROR(Datos!B2887,"")</f>
        <v/>
      </c>
      <c r="C2887" s="8">
        <f>IFERROR(Datos!C2887,"")</f>
        <v/>
      </c>
      <c r="D2887" s="28">
        <f>IFERROR(IF(AND(ISNUMBER(B2887),ISNUMBER(B2886),B2886&lt;&gt;0),B2887/B2886-1,""),"")</f>
        <v/>
      </c>
      <c r="E2887" s="28">
        <f>IFERROR(IF(AND(ISNUMBER(C2887),ISNUMBER(C2886),C2886&lt;&gt;0),C2887/C2886-1,""),"")</f>
        <v/>
      </c>
      <c r="F2887" s="28">
        <f>IFERROR(D2887-Dashboard!$B$4/252,"")</f>
        <v/>
      </c>
      <c r="G2887" s="28">
        <f>IFERROR(E2887-Dashboard!$B$4/252,"")</f>
        <v/>
      </c>
      <c r="H2887" s="8">
        <f>IFERROR(IF(ISNUMBER(B2887),MAX(B2887,IFERROR(H2886,B2887)),""),"")</f>
        <v/>
      </c>
      <c r="I2887" s="29">
        <f>IFERROR(IF(AND(ISNUMBER(B2887),ISNUMBER(H2887)),B2887/H2887-1,""),"")</f>
        <v/>
      </c>
      <c r="J2887" s="8">
        <f>IFERROR(IF(ISNUMBER(C2887),MAX(C2887,IFERROR(J2886,C2887)),""),"")</f>
        <v/>
      </c>
      <c r="K2887" s="29">
        <f>IFERROR(IF(AND(ISNUMBER(C2887),ISNUMBER(J2887)),C2887/J2887-1,""),"")</f>
        <v/>
      </c>
      <c r="L2887" s="28">
        <f>IFERROR(IF(AND(ISNUMBER(D2887),ISNUMBER(E2887)),D2887-E2887,""),"")</f>
        <v/>
      </c>
    </row>
    <row r="2888">
      <c r="A2888" s="7">
        <f>IFERROR(Datos!A2888,"")</f>
        <v/>
      </c>
      <c r="B2888" s="8">
        <f>IFERROR(Datos!B2888,"")</f>
        <v/>
      </c>
      <c r="C2888" s="8">
        <f>IFERROR(Datos!C2888,"")</f>
        <v/>
      </c>
      <c r="D2888" s="28">
        <f>IFERROR(IF(AND(ISNUMBER(B2888),ISNUMBER(B2887),B2887&lt;&gt;0),B2888/B2887-1,""),"")</f>
        <v/>
      </c>
      <c r="E2888" s="28">
        <f>IFERROR(IF(AND(ISNUMBER(C2888),ISNUMBER(C2887),C2887&lt;&gt;0),C2888/C2887-1,""),"")</f>
        <v/>
      </c>
      <c r="F2888" s="28">
        <f>IFERROR(D2888-Dashboard!$B$4/252,"")</f>
        <v/>
      </c>
      <c r="G2888" s="28">
        <f>IFERROR(E2888-Dashboard!$B$4/252,"")</f>
        <v/>
      </c>
      <c r="H2888" s="8">
        <f>IFERROR(IF(ISNUMBER(B2888),MAX(B2888,IFERROR(H2887,B2888)),""),"")</f>
        <v/>
      </c>
      <c r="I2888" s="29">
        <f>IFERROR(IF(AND(ISNUMBER(B2888),ISNUMBER(H2888)),B2888/H2888-1,""),"")</f>
        <v/>
      </c>
      <c r="J2888" s="8">
        <f>IFERROR(IF(ISNUMBER(C2888),MAX(C2888,IFERROR(J2887,C2888)),""),"")</f>
        <v/>
      </c>
      <c r="K2888" s="29">
        <f>IFERROR(IF(AND(ISNUMBER(C2888),ISNUMBER(J2888)),C2888/J2888-1,""),"")</f>
        <v/>
      </c>
      <c r="L2888" s="28">
        <f>IFERROR(IF(AND(ISNUMBER(D2888),ISNUMBER(E2888)),D2888-E2888,""),"")</f>
        <v/>
      </c>
    </row>
    <row r="2889">
      <c r="A2889" s="7">
        <f>IFERROR(Datos!A2889,"")</f>
        <v/>
      </c>
      <c r="B2889" s="8">
        <f>IFERROR(Datos!B2889,"")</f>
        <v/>
      </c>
      <c r="C2889" s="8">
        <f>IFERROR(Datos!C2889,"")</f>
        <v/>
      </c>
      <c r="D2889" s="28">
        <f>IFERROR(IF(AND(ISNUMBER(B2889),ISNUMBER(B2888),B2888&lt;&gt;0),B2889/B2888-1,""),"")</f>
        <v/>
      </c>
      <c r="E2889" s="28">
        <f>IFERROR(IF(AND(ISNUMBER(C2889),ISNUMBER(C2888),C2888&lt;&gt;0),C2889/C2888-1,""),"")</f>
        <v/>
      </c>
      <c r="F2889" s="28">
        <f>IFERROR(D2889-Dashboard!$B$4/252,"")</f>
        <v/>
      </c>
      <c r="G2889" s="28">
        <f>IFERROR(E2889-Dashboard!$B$4/252,"")</f>
        <v/>
      </c>
      <c r="H2889" s="8">
        <f>IFERROR(IF(ISNUMBER(B2889),MAX(B2889,IFERROR(H2888,B2889)),""),"")</f>
        <v/>
      </c>
      <c r="I2889" s="29">
        <f>IFERROR(IF(AND(ISNUMBER(B2889),ISNUMBER(H2889)),B2889/H2889-1,""),"")</f>
        <v/>
      </c>
      <c r="J2889" s="8">
        <f>IFERROR(IF(ISNUMBER(C2889),MAX(C2889,IFERROR(J2888,C2889)),""),"")</f>
        <v/>
      </c>
      <c r="K2889" s="29">
        <f>IFERROR(IF(AND(ISNUMBER(C2889),ISNUMBER(J2889)),C2889/J2889-1,""),"")</f>
        <v/>
      </c>
      <c r="L2889" s="28">
        <f>IFERROR(IF(AND(ISNUMBER(D2889),ISNUMBER(E2889)),D2889-E2889,""),"")</f>
        <v/>
      </c>
    </row>
    <row r="2890">
      <c r="A2890" s="7">
        <f>IFERROR(Datos!A2890,"")</f>
        <v/>
      </c>
      <c r="B2890" s="8">
        <f>IFERROR(Datos!B2890,"")</f>
        <v/>
      </c>
      <c r="C2890" s="8">
        <f>IFERROR(Datos!C2890,"")</f>
        <v/>
      </c>
      <c r="D2890" s="28">
        <f>IFERROR(IF(AND(ISNUMBER(B2890),ISNUMBER(B2889),B2889&lt;&gt;0),B2890/B2889-1,""),"")</f>
        <v/>
      </c>
      <c r="E2890" s="28">
        <f>IFERROR(IF(AND(ISNUMBER(C2890),ISNUMBER(C2889),C2889&lt;&gt;0),C2890/C2889-1,""),"")</f>
        <v/>
      </c>
      <c r="F2890" s="28">
        <f>IFERROR(D2890-Dashboard!$B$4/252,"")</f>
        <v/>
      </c>
      <c r="G2890" s="28">
        <f>IFERROR(E2890-Dashboard!$B$4/252,"")</f>
        <v/>
      </c>
      <c r="H2890" s="8">
        <f>IFERROR(IF(ISNUMBER(B2890),MAX(B2890,IFERROR(H2889,B2890)),""),"")</f>
        <v/>
      </c>
      <c r="I2890" s="29">
        <f>IFERROR(IF(AND(ISNUMBER(B2890),ISNUMBER(H2890)),B2890/H2890-1,""),"")</f>
        <v/>
      </c>
      <c r="J2890" s="8">
        <f>IFERROR(IF(ISNUMBER(C2890),MAX(C2890,IFERROR(J2889,C2890)),""),"")</f>
        <v/>
      </c>
      <c r="K2890" s="29">
        <f>IFERROR(IF(AND(ISNUMBER(C2890),ISNUMBER(J2890)),C2890/J2890-1,""),"")</f>
        <v/>
      </c>
      <c r="L2890" s="28">
        <f>IFERROR(IF(AND(ISNUMBER(D2890),ISNUMBER(E2890)),D2890-E2890,""),"")</f>
        <v/>
      </c>
    </row>
    <row r="2891">
      <c r="A2891" s="7">
        <f>IFERROR(Datos!A2891,"")</f>
        <v/>
      </c>
      <c r="B2891" s="8">
        <f>IFERROR(Datos!B2891,"")</f>
        <v/>
      </c>
      <c r="C2891" s="8">
        <f>IFERROR(Datos!C2891,"")</f>
        <v/>
      </c>
      <c r="D2891" s="28">
        <f>IFERROR(IF(AND(ISNUMBER(B2891),ISNUMBER(B2890),B2890&lt;&gt;0),B2891/B2890-1,""),"")</f>
        <v/>
      </c>
      <c r="E2891" s="28">
        <f>IFERROR(IF(AND(ISNUMBER(C2891),ISNUMBER(C2890),C2890&lt;&gt;0),C2891/C2890-1,""),"")</f>
        <v/>
      </c>
      <c r="F2891" s="28">
        <f>IFERROR(D2891-Dashboard!$B$4/252,"")</f>
        <v/>
      </c>
      <c r="G2891" s="28">
        <f>IFERROR(E2891-Dashboard!$B$4/252,"")</f>
        <v/>
      </c>
      <c r="H2891" s="8">
        <f>IFERROR(IF(ISNUMBER(B2891),MAX(B2891,IFERROR(H2890,B2891)),""),"")</f>
        <v/>
      </c>
      <c r="I2891" s="29">
        <f>IFERROR(IF(AND(ISNUMBER(B2891),ISNUMBER(H2891)),B2891/H2891-1,""),"")</f>
        <v/>
      </c>
      <c r="J2891" s="8">
        <f>IFERROR(IF(ISNUMBER(C2891),MAX(C2891,IFERROR(J2890,C2891)),""),"")</f>
        <v/>
      </c>
      <c r="K2891" s="29">
        <f>IFERROR(IF(AND(ISNUMBER(C2891),ISNUMBER(J2891)),C2891/J2891-1,""),"")</f>
        <v/>
      </c>
      <c r="L2891" s="28">
        <f>IFERROR(IF(AND(ISNUMBER(D2891),ISNUMBER(E2891)),D2891-E2891,""),"")</f>
        <v/>
      </c>
    </row>
    <row r="2892">
      <c r="A2892" s="7">
        <f>IFERROR(Datos!A2892,"")</f>
        <v/>
      </c>
      <c r="B2892" s="8">
        <f>IFERROR(Datos!B2892,"")</f>
        <v/>
      </c>
      <c r="C2892" s="8">
        <f>IFERROR(Datos!C2892,"")</f>
        <v/>
      </c>
      <c r="D2892" s="28">
        <f>IFERROR(IF(AND(ISNUMBER(B2892),ISNUMBER(B2891),B2891&lt;&gt;0),B2892/B2891-1,""),"")</f>
        <v/>
      </c>
      <c r="E2892" s="28">
        <f>IFERROR(IF(AND(ISNUMBER(C2892),ISNUMBER(C2891),C2891&lt;&gt;0),C2892/C2891-1,""),"")</f>
        <v/>
      </c>
      <c r="F2892" s="28">
        <f>IFERROR(D2892-Dashboard!$B$4/252,"")</f>
        <v/>
      </c>
      <c r="G2892" s="28">
        <f>IFERROR(E2892-Dashboard!$B$4/252,"")</f>
        <v/>
      </c>
      <c r="H2892" s="8">
        <f>IFERROR(IF(ISNUMBER(B2892),MAX(B2892,IFERROR(H2891,B2892)),""),"")</f>
        <v/>
      </c>
      <c r="I2892" s="29">
        <f>IFERROR(IF(AND(ISNUMBER(B2892),ISNUMBER(H2892)),B2892/H2892-1,""),"")</f>
        <v/>
      </c>
      <c r="J2892" s="8">
        <f>IFERROR(IF(ISNUMBER(C2892),MAX(C2892,IFERROR(J2891,C2892)),""),"")</f>
        <v/>
      </c>
      <c r="K2892" s="29">
        <f>IFERROR(IF(AND(ISNUMBER(C2892),ISNUMBER(J2892)),C2892/J2892-1,""),"")</f>
        <v/>
      </c>
      <c r="L2892" s="28">
        <f>IFERROR(IF(AND(ISNUMBER(D2892),ISNUMBER(E2892)),D2892-E2892,""),"")</f>
        <v/>
      </c>
    </row>
    <row r="2893">
      <c r="A2893" s="7">
        <f>IFERROR(Datos!A2893,"")</f>
        <v/>
      </c>
      <c r="B2893" s="8">
        <f>IFERROR(Datos!B2893,"")</f>
        <v/>
      </c>
      <c r="C2893" s="8">
        <f>IFERROR(Datos!C2893,"")</f>
        <v/>
      </c>
      <c r="D2893" s="28">
        <f>IFERROR(IF(AND(ISNUMBER(B2893),ISNUMBER(B2892),B2892&lt;&gt;0),B2893/B2892-1,""),"")</f>
        <v/>
      </c>
      <c r="E2893" s="28">
        <f>IFERROR(IF(AND(ISNUMBER(C2893),ISNUMBER(C2892),C2892&lt;&gt;0),C2893/C2892-1,""),"")</f>
        <v/>
      </c>
      <c r="F2893" s="28">
        <f>IFERROR(D2893-Dashboard!$B$4/252,"")</f>
        <v/>
      </c>
      <c r="G2893" s="28">
        <f>IFERROR(E2893-Dashboard!$B$4/252,"")</f>
        <v/>
      </c>
      <c r="H2893" s="8">
        <f>IFERROR(IF(ISNUMBER(B2893),MAX(B2893,IFERROR(H2892,B2893)),""),"")</f>
        <v/>
      </c>
      <c r="I2893" s="29">
        <f>IFERROR(IF(AND(ISNUMBER(B2893),ISNUMBER(H2893)),B2893/H2893-1,""),"")</f>
        <v/>
      </c>
      <c r="J2893" s="8">
        <f>IFERROR(IF(ISNUMBER(C2893),MAX(C2893,IFERROR(J2892,C2893)),""),"")</f>
        <v/>
      </c>
      <c r="K2893" s="29">
        <f>IFERROR(IF(AND(ISNUMBER(C2893),ISNUMBER(J2893)),C2893/J2893-1,""),"")</f>
        <v/>
      </c>
      <c r="L2893" s="28">
        <f>IFERROR(IF(AND(ISNUMBER(D2893),ISNUMBER(E2893)),D2893-E2893,""),"")</f>
        <v/>
      </c>
    </row>
    <row r="2894">
      <c r="A2894" s="7">
        <f>IFERROR(Datos!A2894,"")</f>
        <v/>
      </c>
      <c r="B2894" s="8">
        <f>IFERROR(Datos!B2894,"")</f>
        <v/>
      </c>
      <c r="C2894" s="8">
        <f>IFERROR(Datos!C2894,"")</f>
        <v/>
      </c>
      <c r="D2894" s="28">
        <f>IFERROR(IF(AND(ISNUMBER(B2894),ISNUMBER(B2893),B2893&lt;&gt;0),B2894/B2893-1,""),"")</f>
        <v/>
      </c>
      <c r="E2894" s="28">
        <f>IFERROR(IF(AND(ISNUMBER(C2894),ISNUMBER(C2893),C2893&lt;&gt;0),C2894/C2893-1,""),"")</f>
        <v/>
      </c>
      <c r="F2894" s="28">
        <f>IFERROR(D2894-Dashboard!$B$4/252,"")</f>
        <v/>
      </c>
      <c r="G2894" s="28">
        <f>IFERROR(E2894-Dashboard!$B$4/252,"")</f>
        <v/>
      </c>
      <c r="H2894" s="8">
        <f>IFERROR(IF(ISNUMBER(B2894),MAX(B2894,IFERROR(H2893,B2894)),""),"")</f>
        <v/>
      </c>
      <c r="I2894" s="29">
        <f>IFERROR(IF(AND(ISNUMBER(B2894),ISNUMBER(H2894)),B2894/H2894-1,""),"")</f>
        <v/>
      </c>
      <c r="J2894" s="8">
        <f>IFERROR(IF(ISNUMBER(C2894),MAX(C2894,IFERROR(J2893,C2894)),""),"")</f>
        <v/>
      </c>
      <c r="K2894" s="29">
        <f>IFERROR(IF(AND(ISNUMBER(C2894),ISNUMBER(J2894)),C2894/J2894-1,""),"")</f>
        <v/>
      </c>
      <c r="L2894" s="28">
        <f>IFERROR(IF(AND(ISNUMBER(D2894),ISNUMBER(E2894)),D2894-E2894,""),"")</f>
        <v/>
      </c>
    </row>
    <row r="2895">
      <c r="A2895" s="7">
        <f>IFERROR(Datos!A2895,"")</f>
        <v/>
      </c>
      <c r="B2895" s="8">
        <f>IFERROR(Datos!B2895,"")</f>
        <v/>
      </c>
      <c r="C2895" s="8">
        <f>IFERROR(Datos!C2895,"")</f>
        <v/>
      </c>
      <c r="D2895" s="28">
        <f>IFERROR(IF(AND(ISNUMBER(B2895),ISNUMBER(B2894),B2894&lt;&gt;0),B2895/B2894-1,""),"")</f>
        <v/>
      </c>
      <c r="E2895" s="28">
        <f>IFERROR(IF(AND(ISNUMBER(C2895),ISNUMBER(C2894),C2894&lt;&gt;0),C2895/C2894-1,""),"")</f>
        <v/>
      </c>
      <c r="F2895" s="28">
        <f>IFERROR(D2895-Dashboard!$B$4/252,"")</f>
        <v/>
      </c>
      <c r="G2895" s="28">
        <f>IFERROR(E2895-Dashboard!$B$4/252,"")</f>
        <v/>
      </c>
      <c r="H2895" s="8">
        <f>IFERROR(IF(ISNUMBER(B2895),MAX(B2895,IFERROR(H2894,B2895)),""),"")</f>
        <v/>
      </c>
      <c r="I2895" s="29">
        <f>IFERROR(IF(AND(ISNUMBER(B2895),ISNUMBER(H2895)),B2895/H2895-1,""),"")</f>
        <v/>
      </c>
      <c r="J2895" s="8">
        <f>IFERROR(IF(ISNUMBER(C2895),MAX(C2895,IFERROR(J2894,C2895)),""),"")</f>
        <v/>
      </c>
      <c r="K2895" s="29">
        <f>IFERROR(IF(AND(ISNUMBER(C2895),ISNUMBER(J2895)),C2895/J2895-1,""),"")</f>
        <v/>
      </c>
      <c r="L2895" s="28">
        <f>IFERROR(IF(AND(ISNUMBER(D2895),ISNUMBER(E2895)),D2895-E2895,""),"")</f>
        <v/>
      </c>
    </row>
    <row r="2896">
      <c r="A2896" s="7">
        <f>IFERROR(Datos!A2896,"")</f>
        <v/>
      </c>
      <c r="B2896" s="8">
        <f>IFERROR(Datos!B2896,"")</f>
        <v/>
      </c>
      <c r="C2896" s="8">
        <f>IFERROR(Datos!C2896,"")</f>
        <v/>
      </c>
      <c r="D2896" s="28">
        <f>IFERROR(IF(AND(ISNUMBER(B2896),ISNUMBER(B2895),B2895&lt;&gt;0),B2896/B2895-1,""),"")</f>
        <v/>
      </c>
      <c r="E2896" s="28">
        <f>IFERROR(IF(AND(ISNUMBER(C2896),ISNUMBER(C2895),C2895&lt;&gt;0),C2896/C2895-1,""),"")</f>
        <v/>
      </c>
      <c r="F2896" s="28">
        <f>IFERROR(D2896-Dashboard!$B$4/252,"")</f>
        <v/>
      </c>
      <c r="G2896" s="28">
        <f>IFERROR(E2896-Dashboard!$B$4/252,"")</f>
        <v/>
      </c>
      <c r="H2896" s="8">
        <f>IFERROR(IF(ISNUMBER(B2896),MAX(B2896,IFERROR(H2895,B2896)),""),"")</f>
        <v/>
      </c>
      <c r="I2896" s="29">
        <f>IFERROR(IF(AND(ISNUMBER(B2896),ISNUMBER(H2896)),B2896/H2896-1,""),"")</f>
        <v/>
      </c>
      <c r="J2896" s="8">
        <f>IFERROR(IF(ISNUMBER(C2896),MAX(C2896,IFERROR(J2895,C2896)),""),"")</f>
        <v/>
      </c>
      <c r="K2896" s="29">
        <f>IFERROR(IF(AND(ISNUMBER(C2896),ISNUMBER(J2896)),C2896/J2896-1,""),"")</f>
        <v/>
      </c>
      <c r="L2896" s="28">
        <f>IFERROR(IF(AND(ISNUMBER(D2896),ISNUMBER(E2896)),D2896-E2896,""),"")</f>
        <v/>
      </c>
    </row>
    <row r="2897">
      <c r="A2897" s="7">
        <f>IFERROR(Datos!A2897,"")</f>
        <v/>
      </c>
      <c r="B2897" s="8">
        <f>IFERROR(Datos!B2897,"")</f>
        <v/>
      </c>
      <c r="C2897" s="8">
        <f>IFERROR(Datos!C2897,"")</f>
        <v/>
      </c>
      <c r="D2897" s="28">
        <f>IFERROR(IF(AND(ISNUMBER(B2897),ISNUMBER(B2896),B2896&lt;&gt;0),B2897/B2896-1,""),"")</f>
        <v/>
      </c>
      <c r="E2897" s="28">
        <f>IFERROR(IF(AND(ISNUMBER(C2897),ISNUMBER(C2896),C2896&lt;&gt;0),C2897/C2896-1,""),"")</f>
        <v/>
      </c>
      <c r="F2897" s="28">
        <f>IFERROR(D2897-Dashboard!$B$4/252,"")</f>
        <v/>
      </c>
      <c r="G2897" s="28">
        <f>IFERROR(E2897-Dashboard!$B$4/252,"")</f>
        <v/>
      </c>
      <c r="H2897" s="8">
        <f>IFERROR(IF(ISNUMBER(B2897),MAX(B2897,IFERROR(H2896,B2897)),""),"")</f>
        <v/>
      </c>
      <c r="I2897" s="29">
        <f>IFERROR(IF(AND(ISNUMBER(B2897),ISNUMBER(H2897)),B2897/H2897-1,""),"")</f>
        <v/>
      </c>
      <c r="J2897" s="8">
        <f>IFERROR(IF(ISNUMBER(C2897),MAX(C2897,IFERROR(J2896,C2897)),""),"")</f>
        <v/>
      </c>
      <c r="K2897" s="29">
        <f>IFERROR(IF(AND(ISNUMBER(C2897),ISNUMBER(J2897)),C2897/J2897-1,""),"")</f>
        <v/>
      </c>
      <c r="L2897" s="28">
        <f>IFERROR(IF(AND(ISNUMBER(D2897),ISNUMBER(E2897)),D2897-E2897,""),"")</f>
        <v/>
      </c>
    </row>
    <row r="2898">
      <c r="A2898" s="7">
        <f>IFERROR(Datos!A2898,"")</f>
        <v/>
      </c>
      <c r="B2898" s="8">
        <f>IFERROR(Datos!B2898,"")</f>
        <v/>
      </c>
      <c r="C2898" s="8">
        <f>IFERROR(Datos!C2898,"")</f>
        <v/>
      </c>
      <c r="D2898" s="28">
        <f>IFERROR(IF(AND(ISNUMBER(B2898),ISNUMBER(B2897),B2897&lt;&gt;0),B2898/B2897-1,""),"")</f>
        <v/>
      </c>
      <c r="E2898" s="28">
        <f>IFERROR(IF(AND(ISNUMBER(C2898),ISNUMBER(C2897),C2897&lt;&gt;0),C2898/C2897-1,""),"")</f>
        <v/>
      </c>
      <c r="F2898" s="28">
        <f>IFERROR(D2898-Dashboard!$B$4/252,"")</f>
        <v/>
      </c>
      <c r="G2898" s="28">
        <f>IFERROR(E2898-Dashboard!$B$4/252,"")</f>
        <v/>
      </c>
      <c r="H2898" s="8">
        <f>IFERROR(IF(ISNUMBER(B2898),MAX(B2898,IFERROR(H2897,B2898)),""),"")</f>
        <v/>
      </c>
      <c r="I2898" s="29">
        <f>IFERROR(IF(AND(ISNUMBER(B2898),ISNUMBER(H2898)),B2898/H2898-1,""),"")</f>
        <v/>
      </c>
      <c r="J2898" s="8">
        <f>IFERROR(IF(ISNUMBER(C2898),MAX(C2898,IFERROR(J2897,C2898)),""),"")</f>
        <v/>
      </c>
      <c r="K2898" s="29">
        <f>IFERROR(IF(AND(ISNUMBER(C2898),ISNUMBER(J2898)),C2898/J2898-1,""),"")</f>
        <v/>
      </c>
      <c r="L2898" s="28">
        <f>IFERROR(IF(AND(ISNUMBER(D2898),ISNUMBER(E2898)),D2898-E2898,""),"")</f>
        <v/>
      </c>
    </row>
    <row r="2899">
      <c r="A2899" s="7">
        <f>IFERROR(Datos!A2899,"")</f>
        <v/>
      </c>
      <c r="B2899" s="8">
        <f>IFERROR(Datos!B2899,"")</f>
        <v/>
      </c>
      <c r="C2899" s="8">
        <f>IFERROR(Datos!C2899,"")</f>
        <v/>
      </c>
      <c r="D2899" s="28">
        <f>IFERROR(IF(AND(ISNUMBER(B2899),ISNUMBER(B2898),B2898&lt;&gt;0),B2899/B2898-1,""),"")</f>
        <v/>
      </c>
      <c r="E2899" s="28">
        <f>IFERROR(IF(AND(ISNUMBER(C2899),ISNUMBER(C2898),C2898&lt;&gt;0),C2899/C2898-1,""),"")</f>
        <v/>
      </c>
      <c r="F2899" s="28">
        <f>IFERROR(D2899-Dashboard!$B$4/252,"")</f>
        <v/>
      </c>
      <c r="G2899" s="28">
        <f>IFERROR(E2899-Dashboard!$B$4/252,"")</f>
        <v/>
      </c>
      <c r="H2899" s="8">
        <f>IFERROR(IF(ISNUMBER(B2899),MAX(B2899,IFERROR(H2898,B2899)),""),"")</f>
        <v/>
      </c>
      <c r="I2899" s="29">
        <f>IFERROR(IF(AND(ISNUMBER(B2899),ISNUMBER(H2899)),B2899/H2899-1,""),"")</f>
        <v/>
      </c>
      <c r="J2899" s="8">
        <f>IFERROR(IF(ISNUMBER(C2899),MAX(C2899,IFERROR(J2898,C2899)),""),"")</f>
        <v/>
      </c>
      <c r="K2899" s="29">
        <f>IFERROR(IF(AND(ISNUMBER(C2899),ISNUMBER(J2899)),C2899/J2899-1,""),"")</f>
        <v/>
      </c>
      <c r="L2899" s="28">
        <f>IFERROR(IF(AND(ISNUMBER(D2899),ISNUMBER(E2899)),D2899-E2899,""),"")</f>
        <v/>
      </c>
    </row>
    <row r="2900">
      <c r="A2900" s="7">
        <f>IFERROR(Datos!A2900,"")</f>
        <v/>
      </c>
      <c r="B2900" s="8">
        <f>IFERROR(Datos!B2900,"")</f>
        <v/>
      </c>
      <c r="C2900" s="8">
        <f>IFERROR(Datos!C2900,"")</f>
        <v/>
      </c>
      <c r="D2900" s="28">
        <f>IFERROR(IF(AND(ISNUMBER(B2900),ISNUMBER(B2899),B2899&lt;&gt;0),B2900/B2899-1,""),"")</f>
        <v/>
      </c>
      <c r="E2900" s="28">
        <f>IFERROR(IF(AND(ISNUMBER(C2900),ISNUMBER(C2899),C2899&lt;&gt;0),C2900/C2899-1,""),"")</f>
        <v/>
      </c>
      <c r="F2900" s="28">
        <f>IFERROR(D2900-Dashboard!$B$4/252,"")</f>
        <v/>
      </c>
      <c r="G2900" s="28">
        <f>IFERROR(E2900-Dashboard!$B$4/252,"")</f>
        <v/>
      </c>
      <c r="H2900" s="8">
        <f>IFERROR(IF(ISNUMBER(B2900),MAX(B2900,IFERROR(H2899,B2900)),""),"")</f>
        <v/>
      </c>
      <c r="I2900" s="29">
        <f>IFERROR(IF(AND(ISNUMBER(B2900),ISNUMBER(H2900)),B2900/H2900-1,""),"")</f>
        <v/>
      </c>
      <c r="J2900" s="8">
        <f>IFERROR(IF(ISNUMBER(C2900),MAX(C2900,IFERROR(J2899,C2900)),""),"")</f>
        <v/>
      </c>
      <c r="K2900" s="29">
        <f>IFERROR(IF(AND(ISNUMBER(C2900),ISNUMBER(J2900)),C2900/J2900-1,""),"")</f>
        <v/>
      </c>
      <c r="L2900" s="28">
        <f>IFERROR(IF(AND(ISNUMBER(D2900),ISNUMBER(E2900)),D2900-E2900,""),"")</f>
        <v/>
      </c>
    </row>
    <row r="2901">
      <c r="A2901" s="7">
        <f>IFERROR(Datos!A2901,"")</f>
        <v/>
      </c>
      <c r="B2901" s="8">
        <f>IFERROR(Datos!B2901,"")</f>
        <v/>
      </c>
      <c r="C2901" s="8">
        <f>IFERROR(Datos!C2901,"")</f>
        <v/>
      </c>
      <c r="D2901" s="28">
        <f>IFERROR(IF(AND(ISNUMBER(B2901),ISNUMBER(B2900),B2900&lt;&gt;0),B2901/B2900-1,""),"")</f>
        <v/>
      </c>
      <c r="E2901" s="28">
        <f>IFERROR(IF(AND(ISNUMBER(C2901),ISNUMBER(C2900),C2900&lt;&gt;0),C2901/C2900-1,""),"")</f>
        <v/>
      </c>
      <c r="F2901" s="28">
        <f>IFERROR(D2901-Dashboard!$B$4/252,"")</f>
        <v/>
      </c>
      <c r="G2901" s="28">
        <f>IFERROR(E2901-Dashboard!$B$4/252,"")</f>
        <v/>
      </c>
      <c r="H2901" s="8">
        <f>IFERROR(IF(ISNUMBER(B2901),MAX(B2901,IFERROR(H2900,B2901)),""),"")</f>
        <v/>
      </c>
      <c r="I2901" s="29">
        <f>IFERROR(IF(AND(ISNUMBER(B2901),ISNUMBER(H2901)),B2901/H2901-1,""),"")</f>
        <v/>
      </c>
      <c r="J2901" s="8">
        <f>IFERROR(IF(ISNUMBER(C2901),MAX(C2901,IFERROR(J2900,C2901)),""),"")</f>
        <v/>
      </c>
      <c r="K2901" s="29">
        <f>IFERROR(IF(AND(ISNUMBER(C2901),ISNUMBER(J2901)),C2901/J2901-1,""),"")</f>
        <v/>
      </c>
      <c r="L2901" s="28">
        <f>IFERROR(IF(AND(ISNUMBER(D2901),ISNUMBER(E2901)),D2901-E2901,""),"")</f>
        <v/>
      </c>
    </row>
    <row r="2902">
      <c r="A2902" s="7">
        <f>IFERROR(Datos!A2902,"")</f>
        <v/>
      </c>
      <c r="B2902" s="8">
        <f>IFERROR(Datos!B2902,"")</f>
        <v/>
      </c>
      <c r="C2902" s="8">
        <f>IFERROR(Datos!C2902,"")</f>
        <v/>
      </c>
      <c r="D2902" s="28">
        <f>IFERROR(IF(AND(ISNUMBER(B2902),ISNUMBER(B2901),B2901&lt;&gt;0),B2902/B2901-1,""),"")</f>
        <v/>
      </c>
      <c r="E2902" s="28">
        <f>IFERROR(IF(AND(ISNUMBER(C2902),ISNUMBER(C2901),C2901&lt;&gt;0),C2902/C2901-1,""),"")</f>
        <v/>
      </c>
      <c r="F2902" s="28">
        <f>IFERROR(D2902-Dashboard!$B$4/252,"")</f>
        <v/>
      </c>
      <c r="G2902" s="28">
        <f>IFERROR(E2902-Dashboard!$B$4/252,"")</f>
        <v/>
      </c>
      <c r="H2902" s="8">
        <f>IFERROR(IF(ISNUMBER(B2902),MAX(B2902,IFERROR(H2901,B2902)),""),"")</f>
        <v/>
      </c>
      <c r="I2902" s="29">
        <f>IFERROR(IF(AND(ISNUMBER(B2902),ISNUMBER(H2902)),B2902/H2902-1,""),"")</f>
        <v/>
      </c>
      <c r="J2902" s="8">
        <f>IFERROR(IF(ISNUMBER(C2902),MAX(C2902,IFERROR(J2901,C2902)),""),"")</f>
        <v/>
      </c>
      <c r="K2902" s="29">
        <f>IFERROR(IF(AND(ISNUMBER(C2902),ISNUMBER(J2902)),C2902/J2902-1,""),"")</f>
        <v/>
      </c>
      <c r="L2902" s="28">
        <f>IFERROR(IF(AND(ISNUMBER(D2902),ISNUMBER(E2902)),D2902-E2902,""),"")</f>
        <v/>
      </c>
    </row>
    <row r="2903">
      <c r="A2903" s="7">
        <f>IFERROR(Datos!A2903,"")</f>
        <v/>
      </c>
      <c r="B2903" s="8">
        <f>IFERROR(Datos!B2903,"")</f>
        <v/>
      </c>
      <c r="C2903" s="8">
        <f>IFERROR(Datos!C2903,"")</f>
        <v/>
      </c>
      <c r="D2903" s="28">
        <f>IFERROR(IF(AND(ISNUMBER(B2903),ISNUMBER(B2902),B2902&lt;&gt;0),B2903/B2902-1,""),"")</f>
        <v/>
      </c>
      <c r="E2903" s="28">
        <f>IFERROR(IF(AND(ISNUMBER(C2903),ISNUMBER(C2902),C2902&lt;&gt;0),C2903/C2902-1,""),"")</f>
        <v/>
      </c>
      <c r="F2903" s="28">
        <f>IFERROR(D2903-Dashboard!$B$4/252,"")</f>
        <v/>
      </c>
      <c r="G2903" s="28">
        <f>IFERROR(E2903-Dashboard!$B$4/252,"")</f>
        <v/>
      </c>
      <c r="H2903" s="8">
        <f>IFERROR(IF(ISNUMBER(B2903),MAX(B2903,IFERROR(H2902,B2903)),""),"")</f>
        <v/>
      </c>
      <c r="I2903" s="29">
        <f>IFERROR(IF(AND(ISNUMBER(B2903),ISNUMBER(H2903)),B2903/H2903-1,""),"")</f>
        <v/>
      </c>
      <c r="J2903" s="8">
        <f>IFERROR(IF(ISNUMBER(C2903),MAX(C2903,IFERROR(J2902,C2903)),""),"")</f>
        <v/>
      </c>
      <c r="K2903" s="29">
        <f>IFERROR(IF(AND(ISNUMBER(C2903),ISNUMBER(J2903)),C2903/J2903-1,""),"")</f>
        <v/>
      </c>
      <c r="L2903" s="28">
        <f>IFERROR(IF(AND(ISNUMBER(D2903),ISNUMBER(E2903)),D2903-E2903,""),"")</f>
        <v/>
      </c>
    </row>
    <row r="2904">
      <c r="A2904" s="7">
        <f>IFERROR(Datos!A2904,"")</f>
        <v/>
      </c>
      <c r="B2904" s="8">
        <f>IFERROR(Datos!B2904,"")</f>
        <v/>
      </c>
      <c r="C2904" s="8">
        <f>IFERROR(Datos!C2904,"")</f>
        <v/>
      </c>
      <c r="D2904" s="28">
        <f>IFERROR(IF(AND(ISNUMBER(B2904),ISNUMBER(B2903),B2903&lt;&gt;0),B2904/B2903-1,""),"")</f>
        <v/>
      </c>
      <c r="E2904" s="28">
        <f>IFERROR(IF(AND(ISNUMBER(C2904),ISNUMBER(C2903),C2903&lt;&gt;0),C2904/C2903-1,""),"")</f>
        <v/>
      </c>
      <c r="F2904" s="28">
        <f>IFERROR(D2904-Dashboard!$B$4/252,"")</f>
        <v/>
      </c>
      <c r="G2904" s="28">
        <f>IFERROR(E2904-Dashboard!$B$4/252,"")</f>
        <v/>
      </c>
      <c r="H2904" s="8">
        <f>IFERROR(IF(ISNUMBER(B2904),MAX(B2904,IFERROR(H2903,B2904)),""),"")</f>
        <v/>
      </c>
      <c r="I2904" s="29">
        <f>IFERROR(IF(AND(ISNUMBER(B2904),ISNUMBER(H2904)),B2904/H2904-1,""),"")</f>
        <v/>
      </c>
      <c r="J2904" s="8">
        <f>IFERROR(IF(ISNUMBER(C2904),MAX(C2904,IFERROR(J2903,C2904)),""),"")</f>
        <v/>
      </c>
      <c r="K2904" s="29">
        <f>IFERROR(IF(AND(ISNUMBER(C2904),ISNUMBER(J2904)),C2904/J2904-1,""),"")</f>
        <v/>
      </c>
      <c r="L2904" s="28">
        <f>IFERROR(IF(AND(ISNUMBER(D2904),ISNUMBER(E2904)),D2904-E2904,""),"")</f>
        <v/>
      </c>
    </row>
    <row r="2905">
      <c r="A2905" s="7">
        <f>IFERROR(Datos!A2905,"")</f>
        <v/>
      </c>
      <c r="B2905" s="8">
        <f>IFERROR(Datos!B2905,"")</f>
        <v/>
      </c>
      <c r="C2905" s="8">
        <f>IFERROR(Datos!C2905,"")</f>
        <v/>
      </c>
      <c r="D2905" s="28">
        <f>IFERROR(IF(AND(ISNUMBER(B2905),ISNUMBER(B2904),B2904&lt;&gt;0),B2905/B2904-1,""),"")</f>
        <v/>
      </c>
      <c r="E2905" s="28">
        <f>IFERROR(IF(AND(ISNUMBER(C2905),ISNUMBER(C2904),C2904&lt;&gt;0),C2905/C2904-1,""),"")</f>
        <v/>
      </c>
      <c r="F2905" s="28">
        <f>IFERROR(D2905-Dashboard!$B$4/252,"")</f>
        <v/>
      </c>
      <c r="G2905" s="28">
        <f>IFERROR(E2905-Dashboard!$B$4/252,"")</f>
        <v/>
      </c>
      <c r="H2905" s="8">
        <f>IFERROR(IF(ISNUMBER(B2905),MAX(B2905,IFERROR(H2904,B2905)),""),"")</f>
        <v/>
      </c>
      <c r="I2905" s="29">
        <f>IFERROR(IF(AND(ISNUMBER(B2905),ISNUMBER(H2905)),B2905/H2905-1,""),"")</f>
        <v/>
      </c>
      <c r="J2905" s="8">
        <f>IFERROR(IF(ISNUMBER(C2905),MAX(C2905,IFERROR(J2904,C2905)),""),"")</f>
        <v/>
      </c>
      <c r="K2905" s="29">
        <f>IFERROR(IF(AND(ISNUMBER(C2905),ISNUMBER(J2905)),C2905/J2905-1,""),"")</f>
        <v/>
      </c>
      <c r="L2905" s="28">
        <f>IFERROR(IF(AND(ISNUMBER(D2905),ISNUMBER(E2905)),D2905-E2905,""),"")</f>
        <v/>
      </c>
    </row>
    <row r="2906">
      <c r="A2906" s="7">
        <f>IFERROR(Datos!A2906,"")</f>
        <v/>
      </c>
      <c r="B2906" s="8">
        <f>IFERROR(Datos!B2906,"")</f>
        <v/>
      </c>
      <c r="C2906" s="8">
        <f>IFERROR(Datos!C2906,"")</f>
        <v/>
      </c>
      <c r="D2906" s="28">
        <f>IFERROR(IF(AND(ISNUMBER(B2906),ISNUMBER(B2905),B2905&lt;&gt;0),B2906/B2905-1,""),"")</f>
        <v/>
      </c>
      <c r="E2906" s="28">
        <f>IFERROR(IF(AND(ISNUMBER(C2906),ISNUMBER(C2905),C2905&lt;&gt;0),C2906/C2905-1,""),"")</f>
        <v/>
      </c>
      <c r="F2906" s="28">
        <f>IFERROR(D2906-Dashboard!$B$4/252,"")</f>
        <v/>
      </c>
      <c r="G2906" s="28">
        <f>IFERROR(E2906-Dashboard!$B$4/252,"")</f>
        <v/>
      </c>
      <c r="H2906" s="8">
        <f>IFERROR(IF(ISNUMBER(B2906),MAX(B2906,IFERROR(H2905,B2906)),""),"")</f>
        <v/>
      </c>
      <c r="I2906" s="29">
        <f>IFERROR(IF(AND(ISNUMBER(B2906),ISNUMBER(H2906)),B2906/H2906-1,""),"")</f>
        <v/>
      </c>
      <c r="J2906" s="8">
        <f>IFERROR(IF(ISNUMBER(C2906),MAX(C2906,IFERROR(J2905,C2906)),""),"")</f>
        <v/>
      </c>
      <c r="K2906" s="29">
        <f>IFERROR(IF(AND(ISNUMBER(C2906),ISNUMBER(J2906)),C2906/J2906-1,""),"")</f>
        <v/>
      </c>
      <c r="L2906" s="28">
        <f>IFERROR(IF(AND(ISNUMBER(D2906),ISNUMBER(E2906)),D2906-E2906,""),"")</f>
        <v/>
      </c>
    </row>
    <row r="2907">
      <c r="A2907" s="7">
        <f>IFERROR(Datos!A2907,"")</f>
        <v/>
      </c>
      <c r="B2907" s="8">
        <f>IFERROR(Datos!B2907,"")</f>
        <v/>
      </c>
      <c r="C2907" s="8">
        <f>IFERROR(Datos!C2907,"")</f>
        <v/>
      </c>
      <c r="D2907" s="28">
        <f>IFERROR(IF(AND(ISNUMBER(B2907),ISNUMBER(B2906),B2906&lt;&gt;0),B2907/B2906-1,""),"")</f>
        <v/>
      </c>
      <c r="E2907" s="28">
        <f>IFERROR(IF(AND(ISNUMBER(C2907),ISNUMBER(C2906),C2906&lt;&gt;0),C2907/C2906-1,""),"")</f>
        <v/>
      </c>
      <c r="F2907" s="28">
        <f>IFERROR(D2907-Dashboard!$B$4/252,"")</f>
        <v/>
      </c>
      <c r="G2907" s="28">
        <f>IFERROR(E2907-Dashboard!$B$4/252,"")</f>
        <v/>
      </c>
      <c r="H2907" s="8">
        <f>IFERROR(IF(ISNUMBER(B2907),MAX(B2907,IFERROR(H2906,B2907)),""),"")</f>
        <v/>
      </c>
      <c r="I2907" s="29">
        <f>IFERROR(IF(AND(ISNUMBER(B2907),ISNUMBER(H2907)),B2907/H2907-1,""),"")</f>
        <v/>
      </c>
      <c r="J2907" s="8">
        <f>IFERROR(IF(ISNUMBER(C2907),MAX(C2907,IFERROR(J2906,C2907)),""),"")</f>
        <v/>
      </c>
      <c r="K2907" s="29">
        <f>IFERROR(IF(AND(ISNUMBER(C2907),ISNUMBER(J2907)),C2907/J2907-1,""),"")</f>
        <v/>
      </c>
      <c r="L2907" s="28">
        <f>IFERROR(IF(AND(ISNUMBER(D2907),ISNUMBER(E2907)),D2907-E2907,""),"")</f>
        <v/>
      </c>
    </row>
    <row r="2908">
      <c r="A2908" s="7">
        <f>IFERROR(Datos!A2908,"")</f>
        <v/>
      </c>
      <c r="B2908" s="8">
        <f>IFERROR(Datos!B2908,"")</f>
        <v/>
      </c>
      <c r="C2908" s="8">
        <f>IFERROR(Datos!C2908,"")</f>
        <v/>
      </c>
      <c r="D2908" s="28">
        <f>IFERROR(IF(AND(ISNUMBER(B2908),ISNUMBER(B2907),B2907&lt;&gt;0),B2908/B2907-1,""),"")</f>
        <v/>
      </c>
      <c r="E2908" s="28">
        <f>IFERROR(IF(AND(ISNUMBER(C2908),ISNUMBER(C2907),C2907&lt;&gt;0),C2908/C2907-1,""),"")</f>
        <v/>
      </c>
      <c r="F2908" s="28">
        <f>IFERROR(D2908-Dashboard!$B$4/252,"")</f>
        <v/>
      </c>
      <c r="G2908" s="28">
        <f>IFERROR(E2908-Dashboard!$B$4/252,"")</f>
        <v/>
      </c>
      <c r="H2908" s="8">
        <f>IFERROR(IF(ISNUMBER(B2908),MAX(B2908,IFERROR(H2907,B2908)),""),"")</f>
        <v/>
      </c>
      <c r="I2908" s="29">
        <f>IFERROR(IF(AND(ISNUMBER(B2908),ISNUMBER(H2908)),B2908/H2908-1,""),"")</f>
        <v/>
      </c>
      <c r="J2908" s="8">
        <f>IFERROR(IF(ISNUMBER(C2908),MAX(C2908,IFERROR(J2907,C2908)),""),"")</f>
        <v/>
      </c>
      <c r="K2908" s="29">
        <f>IFERROR(IF(AND(ISNUMBER(C2908),ISNUMBER(J2908)),C2908/J2908-1,""),"")</f>
        <v/>
      </c>
      <c r="L2908" s="28">
        <f>IFERROR(IF(AND(ISNUMBER(D2908),ISNUMBER(E2908)),D2908-E2908,""),"")</f>
        <v/>
      </c>
    </row>
    <row r="2909">
      <c r="A2909" s="7">
        <f>IFERROR(Datos!A2909,"")</f>
        <v/>
      </c>
      <c r="B2909" s="8">
        <f>IFERROR(Datos!B2909,"")</f>
        <v/>
      </c>
      <c r="C2909" s="8">
        <f>IFERROR(Datos!C2909,"")</f>
        <v/>
      </c>
      <c r="D2909" s="28">
        <f>IFERROR(IF(AND(ISNUMBER(B2909),ISNUMBER(B2908),B2908&lt;&gt;0),B2909/B2908-1,""),"")</f>
        <v/>
      </c>
      <c r="E2909" s="28">
        <f>IFERROR(IF(AND(ISNUMBER(C2909),ISNUMBER(C2908),C2908&lt;&gt;0),C2909/C2908-1,""),"")</f>
        <v/>
      </c>
      <c r="F2909" s="28">
        <f>IFERROR(D2909-Dashboard!$B$4/252,"")</f>
        <v/>
      </c>
      <c r="G2909" s="28">
        <f>IFERROR(E2909-Dashboard!$B$4/252,"")</f>
        <v/>
      </c>
      <c r="H2909" s="8">
        <f>IFERROR(IF(ISNUMBER(B2909),MAX(B2909,IFERROR(H2908,B2909)),""),"")</f>
        <v/>
      </c>
      <c r="I2909" s="29">
        <f>IFERROR(IF(AND(ISNUMBER(B2909),ISNUMBER(H2909)),B2909/H2909-1,""),"")</f>
        <v/>
      </c>
      <c r="J2909" s="8">
        <f>IFERROR(IF(ISNUMBER(C2909),MAX(C2909,IFERROR(J2908,C2909)),""),"")</f>
        <v/>
      </c>
      <c r="K2909" s="29">
        <f>IFERROR(IF(AND(ISNUMBER(C2909),ISNUMBER(J2909)),C2909/J2909-1,""),"")</f>
        <v/>
      </c>
      <c r="L2909" s="28">
        <f>IFERROR(IF(AND(ISNUMBER(D2909),ISNUMBER(E2909)),D2909-E2909,""),"")</f>
        <v/>
      </c>
    </row>
    <row r="2910">
      <c r="A2910" s="7">
        <f>IFERROR(Datos!A2910,"")</f>
        <v/>
      </c>
      <c r="B2910" s="8">
        <f>IFERROR(Datos!B2910,"")</f>
        <v/>
      </c>
      <c r="C2910" s="8">
        <f>IFERROR(Datos!C2910,"")</f>
        <v/>
      </c>
      <c r="D2910" s="28">
        <f>IFERROR(IF(AND(ISNUMBER(B2910),ISNUMBER(B2909),B2909&lt;&gt;0),B2910/B2909-1,""),"")</f>
        <v/>
      </c>
      <c r="E2910" s="28">
        <f>IFERROR(IF(AND(ISNUMBER(C2910),ISNUMBER(C2909),C2909&lt;&gt;0),C2910/C2909-1,""),"")</f>
        <v/>
      </c>
      <c r="F2910" s="28">
        <f>IFERROR(D2910-Dashboard!$B$4/252,"")</f>
        <v/>
      </c>
      <c r="G2910" s="28">
        <f>IFERROR(E2910-Dashboard!$B$4/252,"")</f>
        <v/>
      </c>
      <c r="H2910" s="8">
        <f>IFERROR(IF(ISNUMBER(B2910),MAX(B2910,IFERROR(H2909,B2910)),""),"")</f>
        <v/>
      </c>
      <c r="I2910" s="29">
        <f>IFERROR(IF(AND(ISNUMBER(B2910),ISNUMBER(H2910)),B2910/H2910-1,""),"")</f>
        <v/>
      </c>
      <c r="J2910" s="8">
        <f>IFERROR(IF(ISNUMBER(C2910),MAX(C2910,IFERROR(J2909,C2910)),""),"")</f>
        <v/>
      </c>
      <c r="K2910" s="29">
        <f>IFERROR(IF(AND(ISNUMBER(C2910),ISNUMBER(J2910)),C2910/J2910-1,""),"")</f>
        <v/>
      </c>
      <c r="L2910" s="28">
        <f>IFERROR(IF(AND(ISNUMBER(D2910),ISNUMBER(E2910)),D2910-E2910,""),"")</f>
        <v/>
      </c>
    </row>
    <row r="2911">
      <c r="A2911" s="7">
        <f>IFERROR(Datos!A2911,"")</f>
        <v/>
      </c>
      <c r="B2911" s="8">
        <f>IFERROR(Datos!B2911,"")</f>
        <v/>
      </c>
      <c r="C2911" s="8">
        <f>IFERROR(Datos!C2911,"")</f>
        <v/>
      </c>
      <c r="D2911" s="28">
        <f>IFERROR(IF(AND(ISNUMBER(B2911),ISNUMBER(B2910),B2910&lt;&gt;0),B2911/B2910-1,""),"")</f>
        <v/>
      </c>
      <c r="E2911" s="28">
        <f>IFERROR(IF(AND(ISNUMBER(C2911),ISNUMBER(C2910),C2910&lt;&gt;0),C2911/C2910-1,""),"")</f>
        <v/>
      </c>
      <c r="F2911" s="28">
        <f>IFERROR(D2911-Dashboard!$B$4/252,"")</f>
        <v/>
      </c>
      <c r="G2911" s="28">
        <f>IFERROR(E2911-Dashboard!$B$4/252,"")</f>
        <v/>
      </c>
      <c r="H2911" s="8">
        <f>IFERROR(IF(ISNUMBER(B2911),MAX(B2911,IFERROR(H2910,B2911)),""),"")</f>
        <v/>
      </c>
      <c r="I2911" s="29">
        <f>IFERROR(IF(AND(ISNUMBER(B2911),ISNUMBER(H2911)),B2911/H2911-1,""),"")</f>
        <v/>
      </c>
      <c r="J2911" s="8">
        <f>IFERROR(IF(ISNUMBER(C2911),MAX(C2911,IFERROR(J2910,C2911)),""),"")</f>
        <v/>
      </c>
      <c r="K2911" s="29">
        <f>IFERROR(IF(AND(ISNUMBER(C2911),ISNUMBER(J2911)),C2911/J2911-1,""),"")</f>
        <v/>
      </c>
      <c r="L2911" s="28">
        <f>IFERROR(IF(AND(ISNUMBER(D2911),ISNUMBER(E2911)),D2911-E2911,""),"")</f>
        <v/>
      </c>
    </row>
    <row r="2912">
      <c r="A2912" s="7">
        <f>IFERROR(Datos!A2912,"")</f>
        <v/>
      </c>
      <c r="B2912" s="8">
        <f>IFERROR(Datos!B2912,"")</f>
        <v/>
      </c>
      <c r="C2912" s="8">
        <f>IFERROR(Datos!C2912,"")</f>
        <v/>
      </c>
      <c r="D2912" s="28">
        <f>IFERROR(IF(AND(ISNUMBER(B2912),ISNUMBER(B2911),B2911&lt;&gt;0),B2912/B2911-1,""),"")</f>
        <v/>
      </c>
      <c r="E2912" s="28">
        <f>IFERROR(IF(AND(ISNUMBER(C2912),ISNUMBER(C2911),C2911&lt;&gt;0),C2912/C2911-1,""),"")</f>
        <v/>
      </c>
      <c r="F2912" s="28">
        <f>IFERROR(D2912-Dashboard!$B$4/252,"")</f>
        <v/>
      </c>
      <c r="G2912" s="28">
        <f>IFERROR(E2912-Dashboard!$B$4/252,"")</f>
        <v/>
      </c>
      <c r="H2912" s="8">
        <f>IFERROR(IF(ISNUMBER(B2912),MAX(B2912,IFERROR(H2911,B2912)),""),"")</f>
        <v/>
      </c>
      <c r="I2912" s="29">
        <f>IFERROR(IF(AND(ISNUMBER(B2912),ISNUMBER(H2912)),B2912/H2912-1,""),"")</f>
        <v/>
      </c>
      <c r="J2912" s="8">
        <f>IFERROR(IF(ISNUMBER(C2912),MAX(C2912,IFERROR(J2911,C2912)),""),"")</f>
        <v/>
      </c>
      <c r="K2912" s="29">
        <f>IFERROR(IF(AND(ISNUMBER(C2912),ISNUMBER(J2912)),C2912/J2912-1,""),"")</f>
        <v/>
      </c>
      <c r="L2912" s="28">
        <f>IFERROR(IF(AND(ISNUMBER(D2912),ISNUMBER(E2912)),D2912-E2912,""),"")</f>
        <v/>
      </c>
    </row>
    <row r="2913">
      <c r="A2913" s="7">
        <f>IFERROR(Datos!A2913,"")</f>
        <v/>
      </c>
      <c r="B2913" s="8">
        <f>IFERROR(Datos!B2913,"")</f>
        <v/>
      </c>
      <c r="C2913" s="8">
        <f>IFERROR(Datos!C2913,"")</f>
        <v/>
      </c>
      <c r="D2913" s="28">
        <f>IFERROR(IF(AND(ISNUMBER(B2913),ISNUMBER(B2912),B2912&lt;&gt;0),B2913/B2912-1,""),"")</f>
        <v/>
      </c>
      <c r="E2913" s="28">
        <f>IFERROR(IF(AND(ISNUMBER(C2913),ISNUMBER(C2912),C2912&lt;&gt;0),C2913/C2912-1,""),"")</f>
        <v/>
      </c>
      <c r="F2913" s="28">
        <f>IFERROR(D2913-Dashboard!$B$4/252,"")</f>
        <v/>
      </c>
      <c r="G2913" s="28">
        <f>IFERROR(E2913-Dashboard!$B$4/252,"")</f>
        <v/>
      </c>
      <c r="H2913" s="8">
        <f>IFERROR(IF(ISNUMBER(B2913),MAX(B2913,IFERROR(H2912,B2913)),""),"")</f>
        <v/>
      </c>
      <c r="I2913" s="29">
        <f>IFERROR(IF(AND(ISNUMBER(B2913),ISNUMBER(H2913)),B2913/H2913-1,""),"")</f>
        <v/>
      </c>
      <c r="J2913" s="8">
        <f>IFERROR(IF(ISNUMBER(C2913),MAX(C2913,IFERROR(J2912,C2913)),""),"")</f>
        <v/>
      </c>
      <c r="K2913" s="29">
        <f>IFERROR(IF(AND(ISNUMBER(C2913),ISNUMBER(J2913)),C2913/J2913-1,""),"")</f>
        <v/>
      </c>
      <c r="L2913" s="28">
        <f>IFERROR(IF(AND(ISNUMBER(D2913),ISNUMBER(E2913)),D2913-E2913,""),"")</f>
        <v/>
      </c>
    </row>
    <row r="2914">
      <c r="A2914" s="7">
        <f>IFERROR(Datos!A2914,"")</f>
        <v/>
      </c>
      <c r="B2914" s="8">
        <f>IFERROR(Datos!B2914,"")</f>
        <v/>
      </c>
      <c r="C2914" s="8">
        <f>IFERROR(Datos!C2914,"")</f>
        <v/>
      </c>
      <c r="D2914" s="28">
        <f>IFERROR(IF(AND(ISNUMBER(B2914),ISNUMBER(B2913),B2913&lt;&gt;0),B2914/B2913-1,""),"")</f>
        <v/>
      </c>
      <c r="E2914" s="28">
        <f>IFERROR(IF(AND(ISNUMBER(C2914),ISNUMBER(C2913),C2913&lt;&gt;0),C2914/C2913-1,""),"")</f>
        <v/>
      </c>
      <c r="F2914" s="28">
        <f>IFERROR(D2914-Dashboard!$B$4/252,"")</f>
        <v/>
      </c>
      <c r="G2914" s="28">
        <f>IFERROR(E2914-Dashboard!$B$4/252,"")</f>
        <v/>
      </c>
      <c r="H2914" s="8">
        <f>IFERROR(IF(ISNUMBER(B2914),MAX(B2914,IFERROR(H2913,B2914)),""),"")</f>
        <v/>
      </c>
      <c r="I2914" s="29">
        <f>IFERROR(IF(AND(ISNUMBER(B2914),ISNUMBER(H2914)),B2914/H2914-1,""),"")</f>
        <v/>
      </c>
      <c r="J2914" s="8">
        <f>IFERROR(IF(ISNUMBER(C2914),MAX(C2914,IFERROR(J2913,C2914)),""),"")</f>
        <v/>
      </c>
      <c r="K2914" s="29">
        <f>IFERROR(IF(AND(ISNUMBER(C2914),ISNUMBER(J2914)),C2914/J2914-1,""),"")</f>
        <v/>
      </c>
      <c r="L2914" s="28">
        <f>IFERROR(IF(AND(ISNUMBER(D2914),ISNUMBER(E2914)),D2914-E2914,""),"")</f>
        <v/>
      </c>
    </row>
    <row r="2915">
      <c r="A2915" s="7">
        <f>IFERROR(Datos!A2915,"")</f>
        <v/>
      </c>
      <c r="B2915" s="8">
        <f>IFERROR(Datos!B2915,"")</f>
        <v/>
      </c>
      <c r="C2915" s="8">
        <f>IFERROR(Datos!C2915,"")</f>
        <v/>
      </c>
      <c r="D2915" s="28">
        <f>IFERROR(IF(AND(ISNUMBER(B2915),ISNUMBER(B2914),B2914&lt;&gt;0),B2915/B2914-1,""),"")</f>
        <v/>
      </c>
      <c r="E2915" s="28">
        <f>IFERROR(IF(AND(ISNUMBER(C2915),ISNUMBER(C2914),C2914&lt;&gt;0),C2915/C2914-1,""),"")</f>
        <v/>
      </c>
      <c r="F2915" s="28">
        <f>IFERROR(D2915-Dashboard!$B$4/252,"")</f>
        <v/>
      </c>
      <c r="G2915" s="28">
        <f>IFERROR(E2915-Dashboard!$B$4/252,"")</f>
        <v/>
      </c>
      <c r="H2915" s="8">
        <f>IFERROR(IF(ISNUMBER(B2915),MAX(B2915,IFERROR(H2914,B2915)),""),"")</f>
        <v/>
      </c>
      <c r="I2915" s="29">
        <f>IFERROR(IF(AND(ISNUMBER(B2915),ISNUMBER(H2915)),B2915/H2915-1,""),"")</f>
        <v/>
      </c>
      <c r="J2915" s="8">
        <f>IFERROR(IF(ISNUMBER(C2915),MAX(C2915,IFERROR(J2914,C2915)),""),"")</f>
        <v/>
      </c>
      <c r="K2915" s="29">
        <f>IFERROR(IF(AND(ISNUMBER(C2915),ISNUMBER(J2915)),C2915/J2915-1,""),"")</f>
        <v/>
      </c>
      <c r="L2915" s="28">
        <f>IFERROR(IF(AND(ISNUMBER(D2915),ISNUMBER(E2915)),D2915-E2915,""),"")</f>
        <v/>
      </c>
    </row>
    <row r="2916">
      <c r="A2916" s="7">
        <f>IFERROR(Datos!A2916,"")</f>
        <v/>
      </c>
      <c r="B2916" s="8">
        <f>IFERROR(Datos!B2916,"")</f>
        <v/>
      </c>
      <c r="C2916" s="8">
        <f>IFERROR(Datos!C2916,"")</f>
        <v/>
      </c>
      <c r="D2916" s="28">
        <f>IFERROR(IF(AND(ISNUMBER(B2916),ISNUMBER(B2915),B2915&lt;&gt;0),B2916/B2915-1,""),"")</f>
        <v/>
      </c>
      <c r="E2916" s="28">
        <f>IFERROR(IF(AND(ISNUMBER(C2916),ISNUMBER(C2915),C2915&lt;&gt;0),C2916/C2915-1,""),"")</f>
        <v/>
      </c>
      <c r="F2916" s="28">
        <f>IFERROR(D2916-Dashboard!$B$4/252,"")</f>
        <v/>
      </c>
      <c r="G2916" s="28">
        <f>IFERROR(E2916-Dashboard!$B$4/252,"")</f>
        <v/>
      </c>
      <c r="H2916" s="8">
        <f>IFERROR(IF(ISNUMBER(B2916),MAX(B2916,IFERROR(H2915,B2916)),""),"")</f>
        <v/>
      </c>
      <c r="I2916" s="29">
        <f>IFERROR(IF(AND(ISNUMBER(B2916),ISNUMBER(H2916)),B2916/H2916-1,""),"")</f>
        <v/>
      </c>
      <c r="J2916" s="8">
        <f>IFERROR(IF(ISNUMBER(C2916),MAX(C2916,IFERROR(J2915,C2916)),""),"")</f>
        <v/>
      </c>
      <c r="K2916" s="29">
        <f>IFERROR(IF(AND(ISNUMBER(C2916),ISNUMBER(J2916)),C2916/J2916-1,""),"")</f>
        <v/>
      </c>
      <c r="L2916" s="28">
        <f>IFERROR(IF(AND(ISNUMBER(D2916),ISNUMBER(E2916)),D2916-E2916,""),"")</f>
        <v/>
      </c>
    </row>
    <row r="2917">
      <c r="A2917" s="7">
        <f>IFERROR(Datos!A2917,"")</f>
        <v/>
      </c>
      <c r="B2917" s="8">
        <f>IFERROR(Datos!B2917,"")</f>
        <v/>
      </c>
      <c r="C2917" s="8">
        <f>IFERROR(Datos!C2917,"")</f>
        <v/>
      </c>
      <c r="D2917" s="28">
        <f>IFERROR(IF(AND(ISNUMBER(B2917),ISNUMBER(B2916),B2916&lt;&gt;0),B2917/B2916-1,""),"")</f>
        <v/>
      </c>
      <c r="E2917" s="28">
        <f>IFERROR(IF(AND(ISNUMBER(C2917),ISNUMBER(C2916),C2916&lt;&gt;0),C2917/C2916-1,""),"")</f>
        <v/>
      </c>
      <c r="F2917" s="28">
        <f>IFERROR(D2917-Dashboard!$B$4/252,"")</f>
        <v/>
      </c>
      <c r="G2917" s="28">
        <f>IFERROR(E2917-Dashboard!$B$4/252,"")</f>
        <v/>
      </c>
      <c r="H2917" s="8">
        <f>IFERROR(IF(ISNUMBER(B2917),MAX(B2917,IFERROR(H2916,B2917)),""),"")</f>
        <v/>
      </c>
      <c r="I2917" s="29">
        <f>IFERROR(IF(AND(ISNUMBER(B2917),ISNUMBER(H2917)),B2917/H2917-1,""),"")</f>
        <v/>
      </c>
      <c r="J2917" s="8">
        <f>IFERROR(IF(ISNUMBER(C2917),MAX(C2917,IFERROR(J2916,C2917)),""),"")</f>
        <v/>
      </c>
      <c r="K2917" s="29">
        <f>IFERROR(IF(AND(ISNUMBER(C2917),ISNUMBER(J2917)),C2917/J2917-1,""),"")</f>
        <v/>
      </c>
      <c r="L2917" s="28">
        <f>IFERROR(IF(AND(ISNUMBER(D2917),ISNUMBER(E2917)),D2917-E2917,""),"")</f>
        <v/>
      </c>
    </row>
    <row r="2918">
      <c r="A2918" s="7">
        <f>IFERROR(Datos!A2918,"")</f>
        <v/>
      </c>
      <c r="B2918" s="8">
        <f>IFERROR(Datos!B2918,"")</f>
        <v/>
      </c>
      <c r="C2918" s="8">
        <f>IFERROR(Datos!C2918,"")</f>
        <v/>
      </c>
      <c r="D2918" s="28">
        <f>IFERROR(IF(AND(ISNUMBER(B2918),ISNUMBER(B2917),B2917&lt;&gt;0),B2918/B2917-1,""),"")</f>
        <v/>
      </c>
      <c r="E2918" s="28">
        <f>IFERROR(IF(AND(ISNUMBER(C2918),ISNUMBER(C2917),C2917&lt;&gt;0),C2918/C2917-1,""),"")</f>
        <v/>
      </c>
      <c r="F2918" s="28">
        <f>IFERROR(D2918-Dashboard!$B$4/252,"")</f>
        <v/>
      </c>
      <c r="G2918" s="28">
        <f>IFERROR(E2918-Dashboard!$B$4/252,"")</f>
        <v/>
      </c>
      <c r="H2918" s="8">
        <f>IFERROR(IF(ISNUMBER(B2918),MAX(B2918,IFERROR(H2917,B2918)),""),"")</f>
        <v/>
      </c>
      <c r="I2918" s="29">
        <f>IFERROR(IF(AND(ISNUMBER(B2918),ISNUMBER(H2918)),B2918/H2918-1,""),"")</f>
        <v/>
      </c>
      <c r="J2918" s="8">
        <f>IFERROR(IF(ISNUMBER(C2918),MAX(C2918,IFERROR(J2917,C2918)),""),"")</f>
        <v/>
      </c>
      <c r="K2918" s="29">
        <f>IFERROR(IF(AND(ISNUMBER(C2918),ISNUMBER(J2918)),C2918/J2918-1,""),"")</f>
        <v/>
      </c>
      <c r="L2918" s="28">
        <f>IFERROR(IF(AND(ISNUMBER(D2918),ISNUMBER(E2918)),D2918-E2918,""),"")</f>
        <v/>
      </c>
    </row>
    <row r="2919">
      <c r="A2919" s="7">
        <f>IFERROR(Datos!A2919,"")</f>
        <v/>
      </c>
      <c r="B2919" s="8">
        <f>IFERROR(Datos!B2919,"")</f>
        <v/>
      </c>
      <c r="C2919" s="8">
        <f>IFERROR(Datos!C2919,"")</f>
        <v/>
      </c>
      <c r="D2919" s="28">
        <f>IFERROR(IF(AND(ISNUMBER(B2919),ISNUMBER(B2918),B2918&lt;&gt;0),B2919/B2918-1,""),"")</f>
        <v/>
      </c>
      <c r="E2919" s="28">
        <f>IFERROR(IF(AND(ISNUMBER(C2919),ISNUMBER(C2918),C2918&lt;&gt;0),C2919/C2918-1,""),"")</f>
        <v/>
      </c>
      <c r="F2919" s="28">
        <f>IFERROR(D2919-Dashboard!$B$4/252,"")</f>
        <v/>
      </c>
      <c r="G2919" s="28">
        <f>IFERROR(E2919-Dashboard!$B$4/252,"")</f>
        <v/>
      </c>
      <c r="H2919" s="8">
        <f>IFERROR(IF(ISNUMBER(B2919),MAX(B2919,IFERROR(H2918,B2919)),""),"")</f>
        <v/>
      </c>
      <c r="I2919" s="29">
        <f>IFERROR(IF(AND(ISNUMBER(B2919),ISNUMBER(H2919)),B2919/H2919-1,""),"")</f>
        <v/>
      </c>
      <c r="J2919" s="8">
        <f>IFERROR(IF(ISNUMBER(C2919),MAX(C2919,IFERROR(J2918,C2919)),""),"")</f>
        <v/>
      </c>
      <c r="K2919" s="29">
        <f>IFERROR(IF(AND(ISNUMBER(C2919),ISNUMBER(J2919)),C2919/J2919-1,""),"")</f>
        <v/>
      </c>
      <c r="L2919" s="28">
        <f>IFERROR(IF(AND(ISNUMBER(D2919),ISNUMBER(E2919)),D2919-E2919,""),"")</f>
        <v/>
      </c>
    </row>
    <row r="2920">
      <c r="A2920" s="7">
        <f>IFERROR(Datos!A2920,"")</f>
        <v/>
      </c>
      <c r="B2920" s="8">
        <f>IFERROR(Datos!B2920,"")</f>
        <v/>
      </c>
      <c r="C2920" s="8">
        <f>IFERROR(Datos!C2920,"")</f>
        <v/>
      </c>
      <c r="D2920" s="28">
        <f>IFERROR(IF(AND(ISNUMBER(B2920),ISNUMBER(B2919),B2919&lt;&gt;0),B2920/B2919-1,""),"")</f>
        <v/>
      </c>
      <c r="E2920" s="28">
        <f>IFERROR(IF(AND(ISNUMBER(C2920),ISNUMBER(C2919),C2919&lt;&gt;0),C2920/C2919-1,""),"")</f>
        <v/>
      </c>
      <c r="F2920" s="28">
        <f>IFERROR(D2920-Dashboard!$B$4/252,"")</f>
        <v/>
      </c>
      <c r="G2920" s="28">
        <f>IFERROR(E2920-Dashboard!$B$4/252,"")</f>
        <v/>
      </c>
      <c r="H2920" s="8">
        <f>IFERROR(IF(ISNUMBER(B2920),MAX(B2920,IFERROR(H2919,B2920)),""),"")</f>
        <v/>
      </c>
      <c r="I2920" s="29">
        <f>IFERROR(IF(AND(ISNUMBER(B2920),ISNUMBER(H2920)),B2920/H2920-1,""),"")</f>
        <v/>
      </c>
      <c r="J2920" s="8">
        <f>IFERROR(IF(ISNUMBER(C2920),MAX(C2920,IFERROR(J2919,C2920)),""),"")</f>
        <v/>
      </c>
      <c r="K2920" s="29">
        <f>IFERROR(IF(AND(ISNUMBER(C2920),ISNUMBER(J2920)),C2920/J2920-1,""),"")</f>
        <v/>
      </c>
      <c r="L2920" s="28">
        <f>IFERROR(IF(AND(ISNUMBER(D2920),ISNUMBER(E2920)),D2920-E2920,""),"")</f>
        <v/>
      </c>
    </row>
    <row r="2921">
      <c r="A2921" s="7">
        <f>IFERROR(Datos!A2921,"")</f>
        <v/>
      </c>
      <c r="B2921" s="8">
        <f>IFERROR(Datos!B2921,"")</f>
        <v/>
      </c>
      <c r="C2921" s="8">
        <f>IFERROR(Datos!C2921,"")</f>
        <v/>
      </c>
      <c r="D2921" s="28">
        <f>IFERROR(IF(AND(ISNUMBER(B2921),ISNUMBER(B2920),B2920&lt;&gt;0),B2921/B2920-1,""),"")</f>
        <v/>
      </c>
      <c r="E2921" s="28">
        <f>IFERROR(IF(AND(ISNUMBER(C2921),ISNUMBER(C2920),C2920&lt;&gt;0),C2921/C2920-1,""),"")</f>
        <v/>
      </c>
      <c r="F2921" s="28">
        <f>IFERROR(D2921-Dashboard!$B$4/252,"")</f>
        <v/>
      </c>
      <c r="G2921" s="28">
        <f>IFERROR(E2921-Dashboard!$B$4/252,"")</f>
        <v/>
      </c>
      <c r="H2921" s="8">
        <f>IFERROR(IF(ISNUMBER(B2921),MAX(B2921,IFERROR(H2920,B2921)),""),"")</f>
        <v/>
      </c>
      <c r="I2921" s="29">
        <f>IFERROR(IF(AND(ISNUMBER(B2921),ISNUMBER(H2921)),B2921/H2921-1,""),"")</f>
        <v/>
      </c>
      <c r="J2921" s="8">
        <f>IFERROR(IF(ISNUMBER(C2921),MAX(C2921,IFERROR(J2920,C2921)),""),"")</f>
        <v/>
      </c>
      <c r="K2921" s="29">
        <f>IFERROR(IF(AND(ISNUMBER(C2921),ISNUMBER(J2921)),C2921/J2921-1,""),"")</f>
        <v/>
      </c>
      <c r="L2921" s="28">
        <f>IFERROR(IF(AND(ISNUMBER(D2921),ISNUMBER(E2921)),D2921-E2921,""),"")</f>
        <v/>
      </c>
    </row>
    <row r="2922">
      <c r="A2922" s="7">
        <f>IFERROR(Datos!A2922,"")</f>
        <v/>
      </c>
      <c r="B2922" s="8">
        <f>IFERROR(Datos!B2922,"")</f>
        <v/>
      </c>
      <c r="C2922" s="8">
        <f>IFERROR(Datos!C2922,"")</f>
        <v/>
      </c>
      <c r="D2922" s="28">
        <f>IFERROR(IF(AND(ISNUMBER(B2922),ISNUMBER(B2921),B2921&lt;&gt;0),B2922/B2921-1,""),"")</f>
        <v/>
      </c>
      <c r="E2922" s="28">
        <f>IFERROR(IF(AND(ISNUMBER(C2922),ISNUMBER(C2921),C2921&lt;&gt;0),C2922/C2921-1,""),"")</f>
        <v/>
      </c>
      <c r="F2922" s="28">
        <f>IFERROR(D2922-Dashboard!$B$4/252,"")</f>
        <v/>
      </c>
      <c r="G2922" s="28">
        <f>IFERROR(E2922-Dashboard!$B$4/252,"")</f>
        <v/>
      </c>
      <c r="H2922" s="8">
        <f>IFERROR(IF(ISNUMBER(B2922),MAX(B2922,IFERROR(H2921,B2922)),""),"")</f>
        <v/>
      </c>
      <c r="I2922" s="29">
        <f>IFERROR(IF(AND(ISNUMBER(B2922),ISNUMBER(H2922)),B2922/H2922-1,""),"")</f>
        <v/>
      </c>
      <c r="J2922" s="8">
        <f>IFERROR(IF(ISNUMBER(C2922),MAX(C2922,IFERROR(J2921,C2922)),""),"")</f>
        <v/>
      </c>
      <c r="K2922" s="29">
        <f>IFERROR(IF(AND(ISNUMBER(C2922),ISNUMBER(J2922)),C2922/J2922-1,""),"")</f>
        <v/>
      </c>
      <c r="L2922" s="28">
        <f>IFERROR(IF(AND(ISNUMBER(D2922),ISNUMBER(E2922)),D2922-E2922,""),"")</f>
        <v/>
      </c>
    </row>
    <row r="2923">
      <c r="A2923" s="7">
        <f>IFERROR(Datos!A2923,"")</f>
        <v/>
      </c>
      <c r="B2923" s="8">
        <f>IFERROR(Datos!B2923,"")</f>
        <v/>
      </c>
      <c r="C2923" s="8">
        <f>IFERROR(Datos!C2923,"")</f>
        <v/>
      </c>
      <c r="D2923" s="28">
        <f>IFERROR(IF(AND(ISNUMBER(B2923),ISNUMBER(B2922),B2922&lt;&gt;0),B2923/B2922-1,""),"")</f>
        <v/>
      </c>
      <c r="E2923" s="28">
        <f>IFERROR(IF(AND(ISNUMBER(C2923),ISNUMBER(C2922),C2922&lt;&gt;0),C2923/C2922-1,""),"")</f>
        <v/>
      </c>
      <c r="F2923" s="28">
        <f>IFERROR(D2923-Dashboard!$B$4/252,"")</f>
        <v/>
      </c>
      <c r="G2923" s="28">
        <f>IFERROR(E2923-Dashboard!$B$4/252,"")</f>
        <v/>
      </c>
      <c r="H2923" s="8">
        <f>IFERROR(IF(ISNUMBER(B2923),MAX(B2923,IFERROR(H2922,B2923)),""),"")</f>
        <v/>
      </c>
      <c r="I2923" s="29">
        <f>IFERROR(IF(AND(ISNUMBER(B2923),ISNUMBER(H2923)),B2923/H2923-1,""),"")</f>
        <v/>
      </c>
      <c r="J2923" s="8">
        <f>IFERROR(IF(ISNUMBER(C2923),MAX(C2923,IFERROR(J2922,C2923)),""),"")</f>
        <v/>
      </c>
      <c r="K2923" s="29">
        <f>IFERROR(IF(AND(ISNUMBER(C2923),ISNUMBER(J2923)),C2923/J2923-1,""),"")</f>
        <v/>
      </c>
      <c r="L2923" s="28">
        <f>IFERROR(IF(AND(ISNUMBER(D2923),ISNUMBER(E2923)),D2923-E2923,""),"")</f>
        <v/>
      </c>
    </row>
    <row r="2924">
      <c r="A2924" s="7">
        <f>IFERROR(Datos!A2924,"")</f>
        <v/>
      </c>
      <c r="B2924" s="8">
        <f>IFERROR(Datos!B2924,"")</f>
        <v/>
      </c>
      <c r="C2924" s="8">
        <f>IFERROR(Datos!C2924,"")</f>
        <v/>
      </c>
      <c r="D2924" s="28">
        <f>IFERROR(IF(AND(ISNUMBER(B2924),ISNUMBER(B2923),B2923&lt;&gt;0),B2924/B2923-1,""),"")</f>
        <v/>
      </c>
      <c r="E2924" s="28">
        <f>IFERROR(IF(AND(ISNUMBER(C2924),ISNUMBER(C2923),C2923&lt;&gt;0),C2924/C2923-1,""),"")</f>
        <v/>
      </c>
      <c r="F2924" s="28">
        <f>IFERROR(D2924-Dashboard!$B$4/252,"")</f>
        <v/>
      </c>
      <c r="G2924" s="28">
        <f>IFERROR(E2924-Dashboard!$B$4/252,"")</f>
        <v/>
      </c>
      <c r="H2924" s="8">
        <f>IFERROR(IF(ISNUMBER(B2924),MAX(B2924,IFERROR(H2923,B2924)),""),"")</f>
        <v/>
      </c>
      <c r="I2924" s="29">
        <f>IFERROR(IF(AND(ISNUMBER(B2924),ISNUMBER(H2924)),B2924/H2924-1,""),"")</f>
        <v/>
      </c>
      <c r="J2924" s="8">
        <f>IFERROR(IF(ISNUMBER(C2924),MAX(C2924,IFERROR(J2923,C2924)),""),"")</f>
        <v/>
      </c>
      <c r="K2924" s="29">
        <f>IFERROR(IF(AND(ISNUMBER(C2924),ISNUMBER(J2924)),C2924/J2924-1,""),"")</f>
        <v/>
      </c>
      <c r="L2924" s="28">
        <f>IFERROR(IF(AND(ISNUMBER(D2924),ISNUMBER(E2924)),D2924-E2924,""),"")</f>
        <v/>
      </c>
    </row>
    <row r="2925">
      <c r="A2925" s="7">
        <f>IFERROR(Datos!A2925,"")</f>
        <v/>
      </c>
      <c r="B2925" s="8">
        <f>IFERROR(Datos!B2925,"")</f>
        <v/>
      </c>
      <c r="C2925" s="8">
        <f>IFERROR(Datos!C2925,"")</f>
        <v/>
      </c>
      <c r="D2925" s="28">
        <f>IFERROR(IF(AND(ISNUMBER(B2925),ISNUMBER(B2924),B2924&lt;&gt;0),B2925/B2924-1,""),"")</f>
        <v/>
      </c>
      <c r="E2925" s="28">
        <f>IFERROR(IF(AND(ISNUMBER(C2925),ISNUMBER(C2924),C2924&lt;&gt;0),C2925/C2924-1,""),"")</f>
        <v/>
      </c>
      <c r="F2925" s="28">
        <f>IFERROR(D2925-Dashboard!$B$4/252,"")</f>
        <v/>
      </c>
      <c r="G2925" s="28">
        <f>IFERROR(E2925-Dashboard!$B$4/252,"")</f>
        <v/>
      </c>
      <c r="H2925" s="8">
        <f>IFERROR(IF(ISNUMBER(B2925),MAX(B2925,IFERROR(H2924,B2925)),""),"")</f>
        <v/>
      </c>
      <c r="I2925" s="29">
        <f>IFERROR(IF(AND(ISNUMBER(B2925),ISNUMBER(H2925)),B2925/H2925-1,""),"")</f>
        <v/>
      </c>
      <c r="J2925" s="8">
        <f>IFERROR(IF(ISNUMBER(C2925),MAX(C2925,IFERROR(J2924,C2925)),""),"")</f>
        <v/>
      </c>
      <c r="K2925" s="29">
        <f>IFERROR(IF(AND(ISNUMBER(C2925),ISNUMBER(J2925)),C2925/J2925-1,""),"")</f>
        <v/>
      </c>
      <c r="L2925" s="28">
        <f>IFERROR(IF(AND(ISNUMBER(D2925),ISNUMBER(E2925)),D2925-E2925,""),"")</f>
        <v/>
      </c>
    </row>
    <row r="2926">
      <c r="A2926" s="7">
        <f>IFERROR(Datos!A2926,"")</f>
        <v/>
      </c>
      <c r="B2926" s="8">
        <f>IFERROR(Datos!B2926,"")</f>
        <v/>
      </c>
      <c r="C2926" s="8">
        <f>IFERROR(Datos!C2926,"")</f>
        <v/>
      </c>
      <c r="D2926" s="28">
        <f>IFERROR(IF(AND(ISNUMBER(B2926),ISNUMBER(B2925),B2925&lt;&gt;0),B2926/B2925-1,""),"")</f>
        <v/>
      </c>
      <c r="E2926" s="28">
        <f>IFERROR(IF(AND(ISNUMBER(C2926),ISNUMBER(C2925),C2925&lt;&gt;0),C2926/C2925-1,""),"")</f>
        <v/>
      </c>
      <c r="F2926" s="28">
        <f>IFERROR(D2926-Dashboard!$B$4/252,"")</f>
        <v/>
      </c>
      <c r="G2926" s="28">
        <f>IFERROR(E2926-Dashboard!$B$4/252,"")</f>
        <v/>
      </c>
      <c r="H2926" s="8">
        <f>IFERROR(IF(ISNUMBER(B2926),MAX(B2926,IFERROR(H2925,B2926)),""),"")</f>
        <v/>
      </c>
      <c r="I2926" s="29">
        <f>IFERROR(IF(AND(ISNUMBER(B2926),ISNUMBER(H2926)),B2926/H2926-1,""),"")</f>
        <v/>
      </c>
      <c r="J2926" s="8">
        <f>IFERROR(IF(ISNUMBER(C2926),MAX(C2926,IFERROR(J2925,C2926)),""),"")</f>
        <v/>
      </c>
      <c r="K2926" s="29">
        <f>IFERROR(IF(AND(ISNUMBER(C2926),ISNUMBER(J2926)),C2926/J2926-1,""),"")</f>
        <v/>
      </c>
      <c r="L2926" s="28">
        <f>IFERROR(IF(AND(ISNUMBER(D2926),ISNUMBER(E2926)),D2926-E2926,""),"")</f>
        <v/>
      </c>
    </row>
    <row r="2927">
      <c r="A2927" s="7">
        <f>IFERROR(Datos!A2927,"")</f>
        <v/>
      </c>
      <c r="B2927" s="8">
        <f>IFERROR(Datos!B2927,"")</f>
        <v/>
      </c>
      <c r="C2927" s="8">
        <f>IFERROR(Datos!C2927,"")</f>
        <v/>
      </c>
      <c r="D2927" s="28">
        <f>IFERROR(IF(AND(ISNUMBER(B2927),ISNUMBER(B2926),B2926&lt;&gt;0),B2927/B2926-1,""),"")</f>
        <v/>
      </c>
      <c r="E2927" s="28">
        <f>IFERROR(IF(AND(ISNUMBER(C2927),ISNUMBER(C2926),C2926&lt;&gt;0),C2927/C2926-1,""),"")</f>
        <v/>
      </c>
      <c r="F2927" s="28">
        <f>IFERROR(D2927-Dashboard!$B$4/252,"")</f>
        <v/>
      </c>
      <c r="G2927" s="28">
        <f>IFERROR(E2927-Dashboard!$B$4/252,"")</f>
        <v/>
      </c>
      <c r="H2927" s="8">
        <f>IFERROR(IF(ISNUMBER(B2927),MAX(B2927,IFERROR(H2926,B2927)),""),"")</f>
        <v/>
      </c>
      <c r="I2927" s="29">
        <f>IFERROR(IF(AND(ISNUMBER(B2927),ISNUMBER(H2927)),B2927/H2927-1,""),"")</f>
        <v/>
      </c>
      <c r="J2927" s="8">
        <f>IFERROR(IF(ISNUMBER(C2927),MAX(C2927,IFERROR(J2926,C2927)),""),"")</f>
        <v/>
      </c>
      <c r="K2927" s="29">
        <f>IFERROR(IF(AND(ISNUMBER(C2927),ISNUMBER(J2927)),C2927/J2927-1,""),"")</f>
        <v/>
      </c>
      <c r="L2927" s="28">
        <f>IFERROR(IF(AND(ISNUMBER(D2927),ISNUMBER(E2927)),D2927-E2927,""),"")</f>
        <v/>
      </c>
    </row>
    <row r="2928">
      <c r="A2928" s="7">
        <f>IFERROR(Datos!A2928,"")</f>
        <v/>
      </c>
      <c r="B2928" s="8">
        <f>IFERROR(Datos!B2928,"")</f>
        <v/>
      </c>
      <c r="C2928" s="8">
        <f>IFERROR(Datos!C2928,"")</f>
        <v/>
      </c>
      <c r="D2928" s="28">
        <f>IFERROR(IF(AND(ISNUMBER(B2928),ISNUMBER(B2927),B2927&lt;&gt;0),B2928/B2927-1,""),"")</f>
        <v/>
      </c>
      <c r="E2928" s="28">
        <f>IFERROR(IF(AND(ISNUMBER(C2928),ISNUMBER(C2927),C2927&lt;&gt;0),C2928/C2927-1,""),"")</f>
        <v/>
      </c>
      <c r="F2928" s="28">
        <f>IFERROR(D2928-Dashboard!$B$4/252,"")</f>
        <v/>
      </c>
      <c r="G2928" s="28">
        <f>IFERROR(E2928-Dashboard!$B$4/252,"")</f>
        <v/>
      </c>
      <c r="H2928" s="8">
        <f>IFERROR(IF(ISNUMBER(B2928),MAX(B2928,IFERROR(H2927,B2928)),""),"")</f>
        <v/>
      </c>
      <c r="I2928" s="29">
        <f>IFERROR(IF(AND(ISNUMBER(B2928),ISNUMBER(H2928)),B2928/H2928-1,""),"")</f>
        <v/>
      </c>
      <c r="J2928" s="8">
        <f>IFERROR(IF(ISNUMBER(C2928),MAX(C2928,IFERROR(J2927,C2928)),""),"")</f>
        <v/>
      </c>
      <c r="K2928" s="29">
        <f>IFERROR(IF(AND(ISNUMBER(C2928),ISNUMBER(J2928)),C2928/J2928-1,""),"")</f>
        <v/>
      </c>
      <c r="L2928" s="28">
        <f>IFERROR(IF(AND(ISNUMBER(D2928),ISNUMBER(E2928)),D2928-E2928,""),"")</f>
        <v/>
      </c>
    </row>
    <row r="2929">
      <c r="A2929" s="7">
        <f>IFERROR(Datos!A2929,"")</f>
        <v/>
      </c>
      <c r="B2929" s="8">
        <f>IFERROR(Datos!B2929,"")</f>
        <v/>
      </c>
      <c r="C2929" s="8">
        <f>IFERROR(Datos!C2929,"")</f>
        <v/>
      </c>
      <c r="D2929" s="28">
        <f>IFERROR(IF(AND(ISNUMBER(B2929),ISNUMBER(B2928),B2928&lt;&gt;0),B2929/B2928-1,""),"")</f>
        <v/>
      </c>
      <c r="E2929" s="28">
        <f>IFERROR(IF(AND(ISNUMBER(C2929),ISNUMBER(C2928),C2928&lt;&gt;0),C2929/C2928-1,""),"")</f>
        <v/>
      </c>
      <c r="F2929" s="28">
        <f>IFERROR(D2929-Dashboard!$B$4/252,"")</f>
        <v/>
      </c>
      <c r="G2929" s="28">
        <f>IFERROR(E2929-Dashboard!$B$4/252,"")</f>
        <v/>
      </c>
      <c r="H2929" s="8">
        <f>IFERROR(IF(ISNUMBER(B2929),MAX(B2929,IFERROR(H2928,B2929)),""),"")</f>
        <v/>
      </c>
      <c r="I2929" s="29">
        <f>IFERROR(IF(AND(ISNUMBER(B2929),ISNUMBER(H2929)),B2929/H2929-1,""),"")</f>
        <v/>
      </c>
      <c r="J2929" s="8">
        <f>IFERROR(IF(ISNUMBER(C2929),MAX(C2929,IFERROR(J2928,C2929)),""),"")</f>
        <v/>
      </c>
      <c r="K2929" s="29">
        <f>IFERROR(IF(AND(ISNUMBER(C2929),ISNUMBER(J2929)),C2929/J2929-1,""),"")</f>
        <v/>
      </c>
      <c r="L2929" s="28">
        <f>IFERROR(IF(AND(ISNUMBER(D2929),ISNUMBER(E2929)),D2929-E2929,""),"")</f>
        <v/>
      </c>
    </row>
    <row r="2930">
      <c r="A2930" s="7">
        <f>IFERROR(Datos!A2930,"")</f>
        <v/>
      </c>
      <c r="B2930" s="8">
        <f>IFERROR(Datos!B2930,"")</f>
        <v/>
      </c>
      <c r="C2930" s="8">
        <f>IFERROR(Datos!C2930,"")</f>
        <v/>
      </c>
      <c r="D2930" s="28">
        <f>IFERROR(IF(AND(ISNUMBER(B2930),ISNUMBER(B2929),B2929&lt;&gt;0),B2930/B2929-1,""),"")</f>
        <v/>
      </c>
      <c r="E2930" s="28">
        <f>IFERROR(IF(AND(ISNUMBER(C2930),ISNUMBER(C2929),C2929&lt;&gt;0),C2930/C2929-1,""),"")</f>
        <v/>
      </c>
      <c r="F2930" s="28">
        <f>IFERROR(D2930-Dashboard!$B$4/252,"")</f>
        <v/>
      </c>
      <c r="G2930" s="28">
        <f>IFERROR(E2930-Dashboard!$B$4/252,"")</f>
        <v/>
      </c>
      <c r="H2930" s="8">
        <f>IFERROR(IF(ISNUMBER(B2930),MAX(B2930,IFERROR(H2929,B2930)),""),"")</f>
        <v/>
      </c>
      <c r="I2930" s="29">
        <f>IFERROR(IF(AND(ISNUMBER(B2930),ISNUMBER(H2930)),B2930/H2930-1,""),"")</f>
        <v/>
      </c>
      <c r="J2930" s="8">
        <f>IFERROR(IF(ISNUMBER(C2930),MAX(C2930,IFERROR(J2929,C2930)),""),"")</f>
        <v/>
      </c>
      <c r="K2930" s="29">
        <f>IFERROR(IF(AND(ISNUMBER(C2930),ISNUMBER(J2930)),C2930/J2930-1,""),"")</f>
        <v/>
      </c>
      <c r="L2930" s="28">
        <f>IFERROR(IF(AND(ISNUMBER(D2930),ISNUMBER(E2930)),D2930-E2930,""),"")</f>
        <v/>
      </c>
    </row>
    <row r="2931">
      <c r="A2931" s="7">
        <f>IFERROR(Datos!A2931,"")</f>
        <v/>
      </c>
      <c r="B2931" s="8">
        <f>IFERROR(Datos!B2931,"")</f>
        <v/>
      </c>
      <c r="C2931" s="8">
        <f>IFERROR(Datos!C2931,"")</f>
        <v/>
      </c>
      <c r="D2931" s="28">
        <f>IFERROR(IF(AND(ISNUMBER(B2931),ISNUMBER(B2930),B2930&lt;&gt;0),B2931/B2930-1,""),"")</f>
        <v/>
      </c>
      <c r="E2931" s="28">
        <f>IFERROR(IF(AND(ISNUMBER(C2931),ISNUMBER(C2930),C2930&lt;&gt;0),C2931/C2930-1,""),"")</f>
        <v/>
      </c>
      <c r="F2931" s="28">
        <f>IFERROR(D2931-Dashboard!$B$4/252,"")</f>
        <v/>
      </c>
      <c r="G2931" s="28">
        <f>IFERROR(E2931-Dashboard!$B$4/252,"")</f>
        <v/>
      </c>
      <c r="H2931" s="8">
        <f>IFERROR(IF(ISNUMBER(B2931),MAX(B2931,IFERROR(H2930,B2931)),""),"")</f>
        <v/>
      </c>
      <c r="I2931" s="29">
        <f>IFERROR(IF(AND(ISNUMBER(B2931),ISNUMBER(H2931)),B2931/H2931-1,""),"")</f>
        <v/>
      </c>
      <c r="J2931" s="8">
        <f>IFERROR(IF(ISNUMBER(C2931),MAX(C2931,IFERROR(J2930,C2931)),""),"")</f>
        <v/>
      </c>
      <c r="K2931" s="29">
        <f>IFERROR(IF(AND(ISNUMBER(C2931),ISNUMBER(J2931)),C2931/J2931-1,""),"")</f>
        <v/>
      </c>
      <c r="L2931" s="28">
        <f>IFERROR(IF(AND(ISNUMBER(D2931),ISNUMBER(E2931)),D2931-E2931,""),"")</f>
        <v/>
      </c>
    </row>
    <row r="2932">
      <c r="A2932" s="7">
        <f>IFERROR(Datos!A2932,"")</f>
        <v/>
      </c>
      <c r="B2932" s="8">
        <f>IFERROR(Datos!B2932,"")</f>
        <v/>
      </c>
      <c r="C2932" s="8">
        <f>IFERROR(Datos!C2932,"")</f>
        <v/>
      </c>
      <c r="D2932" s="28">
        <f>IFERROR(IF(AND(ISNUMBER(B2932),ISNUMBER(B2931),B2931&lt;&gt;0),B2932/B2931-1,""),"")</f>
        <v/>
      </c>
      <c r="E2932" s="28">
        <f>IFERROR(IF(AND(ISNUMBER(C2932),ISNUMBER(C2931),C2931&lt;&gt;0),C2932/C2931-1,""),"")</f>
        <v/>
      </c>
      <c r="F2932" s="28">
        <f>IFERROR(D2932-Dashboard!$B$4/252,"")</f>
        <v/>
      </c>
      <c r="G2932" s="28">
        <f>IFERROR(E2932-Dashboard!$B$4/252,"")</f>
        <v/>
      </c>
      <c r="H2932" s="8">
        <f>IFERROR(IF(ISNUMBER(B2932),MAX(B2932,IFERROR(H2931,B2932)),""),"")</f>
        <v/>
      </c>
      <c r="I2932" s="29">
        <f>IFERROR(IF(AND(ISNUMBER(B2932),ISNUMBER(H2932)),B2932/H2932-1,""),"")</f>
        <v/>
      </c>
      <c r="J2932" s="8">
        <f>IFERROR(IF(ISNUMBER(C2932),MAX(C2932,IFERROR(J2931,C2932)),""),"")</f>
        <v/>
      </c>
      <c r="K2932" s="29">
        <f>IFERROR(IF(AND(ISNUMBER(C2932),ISNUMBER(J2932)),C2932/J2932-1,""),"")</f>
        <v/>
      </c>
      <c r="L2932" s="28">
        <f>IFERROR(IF(AND(ISNUMBER(D2932),ISNUMBER(E2932)),D2932-E2932,""),"")</f>
        <v/>
      </c>
    </row>
    <row r="2933">
      <c r="A2933" s="7">
        <f>IFERROR(Datos!A2933,"")</f>
        <v/>
      </c>
      <c r="B2933" s="8">
        <f>IFERROR(Datos!B2933,"")</f>
        <v/>
      </c>
      <c r="C2933" s="8">
        <f>IFERROR(Datos!C2933,"")</f>
        <v/>
      </c>
      <c r="D2933" s="28">
        <f>IFERROR(IF(AND(ISNUMBER(B2933),ISNUMBER(B2932),B2932&lt;&gt;0),B2933/B2932-1,""),"")</f>
        <v/>
      </c>
      <c r="E2933" s="28">
        <f>IFERROR(IF(AND(ISNUMBER(C2933),ISNUMBER(C2932),C2932&lt;&gt;0),C2933/C2932-1,""),"")</f>
        <v/>
      </c>
      <c r="F2933" s="28">
        <f>IFERROR(D2933-Dashboard!$B$4/252,"")</f>
        <v/>
      </c>
      <c r="G2933" s="28">
        <f>IFERROR(E2933-Dashboard!$B$4/252,"")</f>
        <v/>
      </c>
      <c r="H2933" s="8">
        <f>IFERROR(IF(ISNUMBER(B2933),MAX(B2933,IFERROR(H2932,B2933)),""),"")</f>
        <v/>
      </c>
      <c r="I2933" s="29">
        <f>IFERROR(IF(AND(ISNUMBER(B2933),ISNUMBER(H2933)),B2933/H2933-1,""),"")</f>
        <v/>
      </c>
      <c r="J2933" s="8">
        <f>IFERROR(IF(ISNUMBER(C2933),MAX(C2933,IFERROR(J2932,C2933)),""),"")</f>
        <v/>
      </c>
      <c r="K2933" s="29">
        <f>IFERROR(IF(AND(ISNUMBER(C2933),ISNUMBER(J2933)),C2933/J2933-1,""),"")</f>
        <v/>
      </c>
      <c r="L2933" s="28">
        <f>IFERROR(IF(AND(ISNUMBER(D2933),ISNUMBER(E2933)),D2933-E2933,""),"")</f>
        <v/>
      </c>
    </row>
    <row r="2934">
      <c r="A2934" s="7">
        <f>IFERROR(Datos!A2934,"")</f>
        <v/>
      </c>
      <c r="B2934" s="8">
        <f>IFERROR(Datos!B2934,"")</f>
        <v/>
      </c>
      <c r="C2934" s="8">
        <f>IFERROR(Datos!C2934,"")</f>
        <v/>
      </c>
      <c r="D2934" s="28">
        <f>IFERROR(IF(AND(ISNUMBER(B2934),ISNUMBER(B2933),B2933&lt;&gt;0),B2934/B2933-1,""),"")</f>
        <v/>
      </c>
      <c r="E2934" s="28">
        <f>IFERROR(IF(AND(ISNUMBER(C2934),ISNUMBER(C2933),C2933&lt;&gt;0),C2934/C2933-1,""),"")</f>
        <v/>
      </c>
      <c r="F2934" s="28">
        <f>IFERROR(D2934-Dashboard!$B$4/252,"")</f>
        <v/>
      </c>
      <c r="G2934" s="28">
        <f>IFERROR(E2934-Dashboard!$B$4/252,"")</f>
        <v/>
      </c>
      <c r="H2934" s="8">
        <f>IFERROR(IF(ISNUMBER(B2934),MAX(B2934,IFERROR(H2933,B2934)),""),"")</f>
        <v/>
      </c>
      <c r="I2934" s="29">
        <f>IFERROR(IF(AND(ISNUMBER(B2934),ISNUMBER(H2934)),B2934/H2934-1,""),"")</f>
        <v/>
      </c>
      <c r="J2934" s="8">
        <f>IFERROR(IF(ISNUMBER(C2934),MAX(C2934,IFERROR(J2933,C2934)),""),"")</f>
        <v/>
      </c>
      <c r="K2934" s="29">
        <f>IFERROR(IF(AND(ISNUMBER(C2934),ISNUMBER(J2934)),C2934/J2934-1,""),"")</f>
        <v/>
      </c>
      <c r="L2934" s="28">
        <f>IFERROR(IF(AND(ISNUMBER(D2934),ISNUMBER(E2934)),D2934-E2934,""),"")</f>
        <v/>
      </c>
    </row>
    <row r="2935">
      <c r="A2935" s="7">
        <f>IFERROR(Datos!A2935,"")</f>
        <v/>
      </c>
      <c r="B2935" s="8">
        <f>IFERROR(Datos!B2935,"")</f>
        <v/>
      </c>
      <c r="C2935" s="8">
        <f>IFERROR(Datos!C2935,"")</f>
        <v/>
      </c>
      <c r="D2935" s="28">
        <f>IFERROR(IF(AND(ISNUMBER(B2935),ISNUMBER(B2934),B2934&lt;&gt;0),B2935/B2934-1,""),"")</f>
        <v/>
      </c>
      <c r="E2935" s="28">
        <f>IFERROR(IF(AND(ISNUMBER(C2935),ISNUMBER(C2934),C2934&lt;&gt;0),C2935/C2934-1,""),"")</f>
        <v/>
      </c>
      <c r="F2935" s="28">
        <f>IFERROR(D2935-Dashboard!$B$4/252,"")</f>
        <v/>
      </c>
      <c r="G2935" s="28">
        <f>IFERROR(E2935-Dashboard!$B$4/252,"")</f>
        <v/>
      </c>
      <c r="H2935" s="8">
        <f>IFERROR(IF(ISNUMBER(B2935),MAX(B2935,IFERROR(H2934,B2935)),""),"")</f>
        <v/>
      </c>
      <c r="I2935" s="29">
        <f>IFERROR(IF(AND(ISNUMBER(B2935),ISNUMBER(H2935)),B2935/H2935-1,""),"")</f>
        <v/>
      </c>
      <c r="J2935" s="8">
        <f>IFERROR(IF(ISNUMBER(C2935),MAX(C2935,IFERROR(J2934,C2935)),""),"")</f>
        <v/>
      </c>
      <c r="K2935" s="29">
        <f>IFERROR(IF(AND(ISNUMBER(C2935),ISNUMBER(J2935)),C2935/J2935-1,""),"")</f>
        <v/>
      </c>
      <c r="L2935" s="28">
        <f>IFERROR(IF(AND(ISNUMBER(D2935),ISNUMBER(E2935)),D2935-E2935,""),"")</f>
        <v/>
      </c>
    </row>
    <row r="2936">
      <c r="A2936" s="7">
        <f>IFERROR(Datos!A2936,"")</f>
        <v/>
      </c>
      <c r="B2936" s="8">
        <f>IFERROR(Datos!B2936,"")</f>
        <v/>
      </c>
      <c r="C2936" s="8">
        <f>IFERROR(Datos!C2936,"")</f>
        <v/>
      </c>
      <c r="D2936" s="28">
        <f>IFERROR(IF(AND(ISNUMBER(B2936),ISNUMBER(B2935),B2935&lt;&gt;0),B2936/B2935-1,""),"")</f>
        <v/>
      </c>
      <c r="E2936" s="28">
        <f>IFERROR(IF(AND(ISNUMBER(C2936),ISNUMBER(C2935),C2935&lt;&gt;0),C2936/C2935-1,""),"")</f>
        <v/>
      </c>
      <c r="F2936" s="28">
        <f>IFERROR(D2936-Dashboard!$B$4/252,"")</f>
        <v/>
      </c>
      <c r="G2936" s="28">
        <f>IFERROR(E2936-Dashboard!$B$4/252,"")</f>
        <v/>
      </c>
      <c r="H2936" s="8">
        <f>IFERROR(IF(ISNUMBER(B2936),MAX(B2936,IFERROR(H2935,B2936)),""),"")</f>
        <v/>
      </c>
      <c r="I2936" s="29">
        <f>IFERROR(IF(AND(ISNUMBER(B2936),ISNUMBER(H2936)),B2936/H2936-1,""),"")</f>
        <v/>
      </c>
      <c r="J2936" s="8">
        <f>IFERROR(IF(ISNUMBER(C2936),MAX(C2936,IFERROR(J2935,C2936)),""),"")</f>
        <v/>
      </c>
      <c r="K2936" s="29">
        <f>IFERROR(IF(AND(ISNUMBER(C2936),ISNUMBER(J2936)),C2936/J2936-1,""),"")</f>
        <v/>
      </c>
      <c r="L2936" s="28">
        <f>IFERROR(IF(AND(ISNUMBER(D2936),ISNUMBER(E2936)),D2936-E2936,""),"")</f>
        <v/>
      </c>
    </row>
    <row r="2937">
      <c r="A2937" s="7">
        <f>IFERROR(Datos!A2937,"")</f>
        <v/>
      </c>
      <c r="B2937" s="8">
        <f>IFERROR(Datos!B2937,"")</f>
        <v/>
      </c>
      <c r="C2937" s="8">
        <f>IFERROR(Datos!C2937,"")</f>
        <v/>
      </c>
      <c r="D2937" s="28">
        <f>IFERROR(IF(AND(ISNUMBER(B2937),ISNUMBER(B2936),B2936&lt;&gt;0),B2937/B2936-1,""),"")</f>
        <v/>
      </c>
      <c r="E2937" s="28">
        <f>IFERROR(IF(AND(ISNUMBER(C2937),ISNUMBER(C2936),C2936&lt;&gt;0),C2937/C2936-1,""),"")</f>
        <v/>
      </c>
      <c r="F2937" s="28">
        <f>IFERROR(D2937-Dashboard!$B$4/252,"")</f>
        <v/>
      </c>
      <c r="G2937" s="28">
        <f>IFERROR(E2937-Dashboard!$B$4/252,"")</f>
        <v/>
      </c>
      <c r="H2937" s="8">
        <f>IFERROR(IF(ISNUMBER(B2937),MAX(B2937,IFERROR(H2936,B2937)),""),"")</f>
        <v/>
      </c>
      <c r="I2937" s="29">
        <f>IFERROR(IF(AND(ISNUMBER(B2937),ISNUMBER(H2937)),B2937/H2937-1,""),"")</f>
        <v/>
      </c>
      <c r="J2937" s="8">
        <f>IFERROR(IF(ISNUMBER(C2937),MAX(C2937,IFERROR(J2936,C2937)),""),"")</f>
        <v/>
      </c>
      <c r="K2937" s="29">
        <f>IFERROR(IF(AND(ISNUMBER(C2937),ISNUMBER(J2937)),C2937/J2937-1,""),"")</f>
        <v/>
      </c>
      <c r="L2937" s="28">
        <f>IFERROR(IF(AND(ISNUMBER(D2937),ISNUMBER(E2937)),D2937-E2937,""),"")</f>
        <v/>
      </c>
    </row>
    <row r="2938">
      <c r="A2938" s="7">
        <f>IFERROR(Datos!A2938,"")</f>
        <v/>
      </c>
      <c r="B2938" s="8">
        <f>IFERROR(Datos!B2938,"")</f>
        <v/>
      </c>
      <c r="C2938" s="8">
        <f>IFERROR(Datos!C2938,"")</f>
        <v/>
      </c>
      <c r="D2938" s="28">
        <f>IFERROR(IF(AND(ISNUMBER(B2938),ISNUMBER(B2937),B2937&lt;&gt;0),B2938/B2937-1,""),"")</f>
        <v/>
      </c>
      <c r="E2938" s="28">
        <f>IFERROR(IF(AND(ISNUMBER(C2938),ISNUMBER(C2937),C2937&lt;&gt;0),C2938/C2937-1,""),"")</f>
        <v/>
      </c>
      <c r="F2938" s="28">
        <f>IFERROR(D2938-Dashboard!$B$4/252,"")</f>
        <v/>
      </c>
      <c r="G2938" s="28">
        <f>IFERROR(E2938-Dashboard!$B$4/252,"")</f>
        <v/>
      </c>
      <c r="H2938" s="8">
        <f>IFERROR(IF(ISNUMBER(B2938),MAX(B2938,IFERROR(H2937,B2938)),""),"")</f>
        <v/>
      </c>
      <c r="I2938" s="29">
        <f>IFERROR(IF(AND(ISNUMBER(B2938),ISNUMBER(H2938)),B2938/H2938-1,""),"")</f>
        <v/>
      </c>
      <c r="J2938" s="8">
        <f>IFERROR(IF(ISNUMBER(C2938),MAX(C2938,IFERROR(J2937,C2938)),""),"")</f>
        <v/>
      </c>
      <c r="K2938" s="29">
        <f>IFERROR(IF(AND(ISNUMBER(C2938),ISNUMBER(J2938)),C2938/J2938-1,""),"")</f>
        <v/>
      </c>
      <c r="L2938" s="28">
        <f>IFERROR(IF(AND(ISNUMBER(D2938),ISNUMBER(E2938)),D2938-E2938,""),"")</f>
        <v/>
      </c>
    </row>
    <row r="2939">
      <c r="A2939" s="7">
        <f>IFERROR(Datos!A2939,"")</f>
        <v/>
      </c>
      <c r="B2939" s="8">
        <f>IFERROR(Datos!B2939,"")</f>
        <v/>
      </c>
      <c r="C2939" s="8">
        <f>IFERROR(Datos!C2939,"")</f>
        <v/>
      </c>
      <c r="D2939" s="28">
        <f>IFERROR(IF(AND(ISNUMBER(B2939),ISNUMBER(B2938),B2938&lt;&gt;0),B2939/B2938-1,""),"")</f>
        <v/>
      </c>
      <c r="E2939" s="28">
        <f>IFERROR(IF(AND(ISNUMBER(C2939),ISNUMBER(C2938),C2938&lt;&gt;0),C2939/C2938-1,""),"")</f>
        <v/>
      </c>
      <c r="F2939" s="28">
        <f>IFERROR(D2939-Dashboard!$B$4/252,"")</f>
        <v/>
      </c>
      <c r="G2939" s="28">
        <f>IFERROR(E2939-Dashboard!$B$4/252,"")</f>
        <v/>
      </c>
      <c r="H2939" s="8">
        <f>IFERROR(IF(ISNUMBER(B2939),MAX(B2939,IFERROR(H2938,B2939)),""),"")</f>
        <v/>
      </c>
      <c r="I2939" s="29">
        <f>IFERROR(IF(AND(ISNUMBER(B2939),ISNUMBER(H2939)),B2939/H2939-1,""),"")</f>
        <v/>
      </c>
      <c r="J2939" s="8">
        <f>IFERROR(IF(ISNUMBER(C2939),MAX(C2939,IFERROR(J2938,C2939)),""),"")</f>
        <v/>
      </c>
      <c r="K2939" s="29">
        <f>IFERROR(IF(AND(ISNUMBER(C2939),ISNUMBER(J2939)),C2939/J2939-1,""),"")</f>
        <v/>
      </c>
      <c r="L2939" s="28">
        <f>IFERROR(IF(AND(ISNUMBER(D2939),ISNUMBER(E2939)),D2939-E2939,""),"")</f>
        <v/>
      </c>
    </row>
    <row r="2940">
      <c r="A2940" s="7">
        <f>IFERROR(Datos!A2940,"")</f>
        <v/>
      </c>
      <c r="B2940" s="8">
        <f>IFERROR(Datos!B2940,"")</f>
        <v/>
      </c>
      <c r="C2940" s="8">
        <f>IFERROR(Datos!C2940,"")</f>
        <v/>
      </c>
      <c r="D2940" s="28">
        <f>IFERROR(IF(AND(ISNUMBER(B2940),ISNUMBER(B2939),B2939&lt;&gt;0),B2940/B2939-1,""),"")</f>
        <v/>
      </c>
      <c r="E2940" s="28">
        <f>IFERROR(IF(AND(ISNUMBER(C2940),ISNUMBER(C2939),C2939&lt;&gt;0),C2940/C2939-1,""),"")</f>
        <v/>
      </c>
      <c r="F2940" s="28">
        <f>IFERROR(D2940-Dashboard!$B$4/252,"")</f>
        <v/>
      </c>
      <c r="G2940" s="28">
        <f>IFERROR(E2940-Dashboard!$B$4/252,"")</f>
        <v/>
      </c>
      <c r="H2940" s="8">
        <f>IFERROR(IF(ISNUMBER(B2940),MAX(B2940,IFERROR(H2939,B2940)),""),"")</f>
        <v/>
      </c>
      <c r="I2940" s="29">
        <f>IFERROR(IF(AND(ISNUMBER(B2940),ISNUMBER(H2940)),B2940/H2940-1,""),"")</f>
        <v/>
      </c>
      <c r="J2940" s="8">
        <f>IFERROR(IF(ISNUMBER(C2940),MAX(C2940,IFERROR(J2939,C2940)),""),"")</f>
        <v/>
      </c>
      <c r="K2940" s="29">
        <f>IFERROR(IF(AND(ISNUMBER(C2940),ISNUMBER(J2940)),C2940/J2940-1,""),"")</f>
        <v/>
      </c>
      <c r="L2940" s="28">
        <f>IFERROR(IF(AND(ISNUMBER(D2940),ISNUMBER(E2940)),D2940-E2940,""),"")</f>
        <v/>
      </c>
    </row>
    <row r="2941">
      <c r="A2941" s="7">
        <f>IFERROR(Datos!A2941,"")</f>
        <v/>
      </c>
      <c r="B2941" s="8">
        <f>IFERROR(Datos!B2941,"")</f>
        <v/>
      </c>
      <c r="C2941" s="8">
        <f>IFERROR(Datos!C2941,"")</f>
        <v/>
      </c>
      <c r="D2941" s="28">
        <f>IFERROR(IF(AND(ISNUMBER(B2941),ISNUMBER(B2940),B2940&lt;&gt;0),B2941/B2940-1,""),"")</f>
        <v/>
      </c>
      <c r="E2941" s="28">
        <f>IFERROR(IF(AND(ISNUMBER(C2941),ISNUMBER(C2940),C2940&lt;&gt;0),C2941/C2940-1,""),"")</f>
        <v/>
      </c>
      <c r="F2941" s="28">
        <f>IFERROR(D2941-Dashboard!$B$4/252,"")</f>
        <v/>
      </c>
      <c r="G2941" s="28">
        <f>IFERROR(E2941-Dashboard!$B$4/252,"")</f>
        <v/>
      </c>
      <c r="H2941" s="8">
        <f>IFERROR(IF(ISNUMBER(B2941),MAX(B2941,IFERROR(H2940,B2941)),""),"")</f>
        <v/>
      </c>
      <c r="I2941" s="29">
        <f>IFERROR(IF(AND(ISNUMBER(B2941),ISNUMBER(H2941)),B2941/H2941-1,""),"")</f>
        <v/>
      </c>
      <c r="J2941" s="8">
        <f>IFERROR(IF(ISNUMBER(C2941),MAX(C2941,IFERROR(J2940,C2941)),""),"")</f>
        <v/>
      </c>
      <c r="K2941" s="29">
        <f>IFERROR(IF(AND(ISNUMBER(C2941),ISNUMBER(J2941)),C2941/J2941-1,""),"")</f>
        <v/>
      </c>
      <c r="L2941" s="28">
        <f>IFERROR(IF(AND(ISNUMBER(D2941),ISNUMBER(E2941)),D2941-E2941,""),"")</f>
        <v/>
      </c>
    </row>
    <row r="2942">
      <c r="A2942" s="7">
        <f>IFERROR(Datos!A2942,"")</f>
        <v/>
      </c>
      <c r="B2942" s="8">
        <f>IFERROR(Datos!B2942,"")</f>
        <v/>
      </c>
      <c r="C2942" s="8">
        <f>IFERROR(Datos!C2942,"")</f>
        <v/>
      </c>
      <c r="D2942" s="28">
        <f>IFERROR(IF(AND(ISNUMBER(B2942),ISNUMBER(B2941),B2941&lt;&gt;0),B2942/B2941-1,""),"")</f>
        <v/>
      </c>
      <c r="E2942" s="28">
        <f>IFERROR(IF(AND(ISNUMBER(C2942),ISNUMBER(C2941),C2941&lt;&gt;0),C2942/C2941-1,""),"")</f>
        <v/>
      </c>
      <c r="F2942" s="28">
        <f>IFERROR(D2942-Dashboard!$B$4/252,"")</f>
        <v/>
      </c>
      <c r="G2942" s="28">
        <f>IFERROR(E2942-Dashboard!$B$4/252,"")</f>
        <v/>
      </c>
      <c r="H2942" s="8">
        <f>IFERROR(IF(ISNUMBER(B2942),MAX(B2942,IFERROR(H2941,B2942)),""),"")</f>
        <v/>
      </c>
      <c r="I2942" s="29">
        <f>IFERROR(IF(AND(ISNUMBER(B2942),ISNUMBER(H2942)),B2942/H2942-1,""),"")</f>
        <v/>
      </c>
      <c r="J2942" s="8">
        <f>IFERROR(IF(ISNUMBER(C2942),MAX(C2942,IFERROR(J2941,C2942)),""),"")</f>
        <v/>
      </c>
      <c r="K2942" s="29">
        <f>IFERROR(IF(AND(ISNUMBER(C2942),ISNUMBER(J2942)),C2942/J2942-1,""),"")</f>
        <v/>
      </c>
      <c r="L2942" s="28">
        <f>IFERROR(IF(AND(ISNUMBER(D2942),ISNUMBER(E2942)),D2942-E2942,""),"")</f>
        <v/>
      </c>
    </row>
    <row r="2943">
      <c r="A2943" s="7">
        <f>IFERROR(Datos!A2943,"")</f>
        <v/>
      </c>
      <c r="B2943" s="8">
        <f>IFERROR(Datos!B2943,"")</f>
        <v/>
      </c>
      <c r="C2943" s="8">
        <f>IFERROR(Datos!C2943,"")</f>
        <v/>
      </c>
      <c r="D2943" s="28">
        <f>IFERROR(IF(AND(ISNUMBER(B2943),ISNUMBER(B2942),B2942&lt;&gt;0),B2943/B2942-1,""),"")</f>
        <v/>
      </c>
      <c r="E2943" s="28">
        <f>IFERROR(IF(AND(ISNUMBER(C2943),ISNUMBER(C2942),C2942&lt;&gt;0),C2943/C2942-1,""),"")</f>
        <v/>
      </c>
      <c r="F2943" s="28">
        <f>IFERROR(D2943-Dashboard!$B$4/252,"")</f>
        <v/>
      </c>
      <c r="G2943" s="28">
        <f>IFERROR(E2943-Dashboard!$B$4/252,"")</f>
        <v/>
      </c>
      <c r="H2943" s="8">
        <f>IFERROR(IF(ISNUMBER(B2943),MAX(B2943,IFERROR(H2942,B2943)),""),"")</f>
        <v/>
      </c>
      <c r="I2943" s="29">
        <f>IFERROR(IF(AND(ISNUMBER(B2943),ISNUMBER(H2943)),B2943/H2943-1,""),"")</f>
        <v/>
      </c>
      <c r="J2943" s="8">
        <f>IFERROR(IF(ISNUMBER(C2943),MAX(C2943,IFERROR(J2942,C2943)),""),"")</f>
        <v/>
      </c>
      <c r="K2943" s="29">
        <f>IFERROR(IF(AND(ISNUMBER(C2943),ISNUMBER(J2943)),C2943/J2943-1,""),"")</f>
        <v/>
      </c>
      <c r="L2943" s="28">
        <f>IFERROR(IF(AND(ISNUMBER(D2943),ISNUMBER(E2943)),D2943-E2943,""),"")</f>
        <v/>
      </c>
    </row>
    <row r="2944">
      <c r="A2944" s="7">
        <f>IFERROR(Datos!A2944,"")</f>
        <v/>
      </c>
      <c r="B2944" s="8">
        <f>IFERROR(Datos!B2944,"")</f>
        <v/>
      </c>
      <c r="C2944" s="8">
        <f>IFERROR(Datos!C2944,"")</f>
        <v/>
      </c>
      <c r="D2944" s="28">
        <f>IFERROR(IF(AND(ISNUMBER(B2944),ISNUMBER(B2943),B2943&lt;&gt;0),B2944/B2943-1,""),"")</f>
        <v/>
      </c>
      <c r="E2944" s="28">
        <f>IFERROR(IF(AND(ISNUMBER(C2944),ISNUMBER(C2943),C2943&lt;&gt;0),C2944/C2943-1,""),"")</f>
        <v/>
      </c>
      <c r="F2944" s="28">
        <f>IFERROR(D2944-Dashboard!$B$4/252,"")</f>
        <v/>
      </c>
      <c r="G2944" s="28">
        <f>IFERROR(E2944-Dashboard!$B$4/252,"")</f>
        <v/>
      </c>
      <c r="H2944" s="8">
        <f>IFERROR(IF(ISNUMBER(B2944),MAX(B2944,IFERROR(H2943,B2944)),""),"")</f>
        <v/>
      </c>
      <c r="I2944" s="29">
        <f>IFERROR(IF(AND(ISNUMBER(B2944),ISNUMBER(H2944)),B2944/H2944-1,""),"")</f>
        <v/>
      </c>
      <c r="J2944" s="8">
        <f>IFERROR(IF(ISNUMBER(C2944),MAX(C2944,IFERROR(J2943,C2944)),""),"")</f>
        <v/>
      </c>
      <c r="K2944" s="29">
        <f>IFERROR(IF(AND(ISNUMBER(C2944),ISNUMBER(J2944)),C2944/J2944-1,""),"")</f>
        <v/>
      </c>
      <c r="L2944" s="28">
        <f>IFERROR(IF(AND(ISNUMBER(D2944),ISNUMBER(E2944)),D2944-E2944,""),"")</f>
        <v/>
      </c>
    </row>
    <row r="2945">
      <c r="A2945" s="7">
        <f>IFERROR(Datos!A2945,"")</f>
        <v/>
      </c>
      <c r="B2945" s="8">
        <f>IFERROR(Datos!B2945,"")</f>
        <v/>
      </c>
      <c r="C2945" s="8">
        <f>IFERROR(Datos!C2945,"")</f>
        <v/>
      </c>
      <c r="D2945" s="28">
        <f>IFERROR(IF(AND(ISNUMBER(B2945),ISNUMBER(B2944),B2944&lt;&gt;0),B2945/B2944-1,""),"")</f>
        <v/>
      </c>
      <c r="E2945" s="28">
        <f>IFERROR(IF(AND(ISNUMBER(C2945),ISNUMBER(C2944),C2944&lt;&gt;0),C2945/C2944-1,""),"")</f>
        <v/>
      </c>
      <c r="F2945" s="28">
        <f>IFERROR(D2945-Dashboard!$B$4/252,"")</f>
        <v/>
      </c>
      <c r="G2945" s="28">
        <f>IFERROR(E2945-Dashboard!$B$4/252,"")</f>
        <v/>
      </c>
      <c r="H2945" s="8">
        <f>IFERROR(IF(ISNUMBER(B2945),MAX(B2945,IFERROR(H2944,B2945)),""),"")</f>
        <v/>
      </c>
      <c r="I2945" s="29">
        <f>IFERROR(IF(AND(ISNUMBER(B2945),ISNUMBER(H2945)),B2945/H2945-1,""),"")</f>
        <v/>
      </c>
      <c r="J2945" s="8">
        <f>IFERROR(IF(ISNUMBER(C2945),MAX(C2945,IFERROR(J2944,C2945)),""),"")</f>
        <v/>
      </c>
      <c r="K2945" s="29">
        <f>IFERROR(IF(AND(ISNUMBER(C2945),ISNUMBER(J2945)),C2945/J2945-1,""),"")</f>
        <v/>
      </c>
      <c r="L2945" s="28">
        <f>IFERROR(IF(AND(ISNUMBER(D2945),ISNUMBER(E2945)),D2945-E2945,""),"")</f>
        <v/>
      </c>
    </row>
    <row r="2946">
      <c r="A2946" s="7">
        <f>IFERROR(Datos!A2946,"")</f>
        <v/>
      </c>
      <c r="B2946" s="8">
        <f>IFERROR(Datos!B2946,"")</f>
        <v/>
      </c>
      <c r="C2946" s="8">
        <f>IFERROR(Datos!C2946,"")</f>
        <v/>
      </c>
      <c r="D2946" s="28">
        <f>IFERROR(IF(AND(ISNUMBER(B2946),ISNUMBER(B2945),B2945&lt;&gt;0),B2946/B2945-1,""),"")</f>
        <v/>
      </c>
      <c r="E2946" s="28">
        <f>IFERROR(IF(AND(ISNUMBER(C2946),ISNUMBER(C2945),C2945&lt;&gt;0),C2946/C2945-1,""),"")</f>
        <v/>
      </c>
      <c r="F2946" s="28">
        <f>IFERROR(D2946-Dashboard!$B$4/252,"")</f>
        <v/>
      </c>
      <c r="G2946" s="28">
        <f>IFERROR(E2946-Dashboard!$B$4/252,"")</f>
        <v/>
      </c>
      <c r="H2946" s="8">
        <f>IFERROR(IF(ISNUMBER(B2946),MAX(B2946,IFERROR(H2945,B2946)),""),"")</f>
        <v/>
      </c>
      <c r="I2946" s="29">
        <f>IFERROR(IF(AND(ISNUMBER(B2946),ISNUMBER(H2946)),B2946/H2946-1,""),"")</f>
        <v/>
      </c>
      <c r="J2946" s="8">
        <f>IFERROR(IF(ISNUMBER(C2946),MAX(C2946,IFERROR(J2945,C2946)),""),"")</f>
        <v/>
      </c>
      <c r="K2946" s="29">
        <f>IFERROR(IF(AND(ISNUMBER(C2946),ISNUMBER(J2946)),C2946/J2946-1,""),"")</f>
        <v/>
      </c>
      <c r="L2946" s="28">
        <f>IFERROR(IF(AND(ISNUMBER(D2946),ISNUMBER(E2946)),D2946-E2946,""),"")</f>
        <v/>
      </c>
    </row>
    <row r="2947">
      <c r="A2947" s="7">
        <f>IFERROR(Datos!A2947,"")</f>
        <v/>
      </c>
      <c r="B2947" s="8">
        <f>IFERROR(Datos!B2947,"")</f>
        <v/>
      </c>
      <c r="C2947" s="8">
        <f>IFERROR(Datos!C2947,"")</f>
        <v/>
      </c>
      <c r="D2947" s="28">
        <f>IFERROR(IF(AND(ISNUMBER(B2947),ISNUMBER(B2946),B2946&lt;&gt;0),B2947/B2946-1,""),"")</f>
        <v/>
      </c>
      <c r="E2947" s="28">
        <f>IFERROR(IF(AND(ISNUMBER(C2947),ISNUMBER(C2946),C2946&lt;&gt;0),C2947/C2946-1,""),"")</f>
        <v/>
      </c>
      <c r="F2947" s="28">
        <f>IFERROR(D2947-Dashboard!$B$4/252,"")</f>
        <v/>
      </c>
      <c r="G2947" s="28">
        <f>IFERROR(E2947-Dashboard!$B$4/252,"")</f>
        <v/>
      </c>
      <c r="H2947" s="8">
        <f>IFERROR(IF(ISNUMBER(B2947),MAX(B2947,IFERROR(H2946,B2947)),""),"")</f>
        <v/>
      </c>
      <c r="I2947" s="29">
        <f>IFERROR(IF(AND(ISNUMBER(B2947),ISNUMBER(H2947)),B2947/H2947-1,""),"")</f>
        <v/>
      </c>
      <c r="J2947" s="8">
        <f>IFERROR(IF(ISNUMBER(C2947),MAX(C2947,IFERROR(J2946,C2947)),""),"")</f>
        <v/>
      </c>
      <c r="K2947" s="29">
        <f>IFERROR(IF(AND(ISNUMBER(C2947),ISNUMBER(J2947)),C2947/J2947-1,""),"")</f>
        <v/>
      </c>
      <c r="L2947" s="28">
        <f>IFERROR(IF(AND(ISNUMBER(D2947),ISNUMBER(E2947)),D2947-E2947,""),"")</f>
        <v/>
      </c>
    </row>
    <row r="2948">
      <c r="A2948" s="7">
        <f>IFERROR(Datos!A2948,"")</f>
        <v/>
      </c>
      <c r="B2948" s="8">
        <f>IFERROR(Datos!B2948,"")</f>
        <v/>
      </c>
      <c r="C2948" s="8">
        <f>IFERROR(Datos!C2948,"")</f>
        <v/>
      </c>
      <c r="D2948" s="28">
        <f>IFERROR(IF(AND(ISNUMBER(B2948),ISNUMBER(B2947),B2947&lt;&gt;0),B2948/B2947-1,""),"")</f>
        <v/>
      </c>
      <c r="E2948" s="28">
        <f>IFERROR(IF(AND(ISNUMBER(C2948),ISNUMBER(C2947),C2947&lt;&gt;0),C2948/C2947-1,""),"")</f>
        <v/>
      </c>
      <c r="F2948" s="28">
        <f>IFERROR(D2948-Dashboard!$B$4/252,"")</f>
        <v/>
      </c>
      <c r="G2948" s="28">
        <f>IFERROR(E2948-Dashboard!$B$4/252,"")</f>
        <v/>
      </c>
      <c r="H2948" s="8">
        <f>IFERROR(IF(ISNUMBER(B2948),MAX(B2948,IFERROR(H2947,B2948)),""),"")</f>
        <v/>
      </c>
      <c r="I2948" s="29">
        <f>IFERROR(IF(AND(ISNUMBER(B2948),ISNUMBER(H2948)),B2948/H2948-1,""),"")</f>
        <v/>
      </c>
      <c r="J2948" s="8">
        <f>IFERROR(IF(ISNUMBER(C2948),MAX(C2948,IFERROR(J2947,C2948)),""),"")</f>
        <v/>
      </c>
      <c r="K2948" s="29">
        <f>IFERROR(IF(AND(ISNUMBER(C2948),ISNUMBER(J2948)),C2948/J2948-1,""),"")</f>
        <v/>
      </c>
      <c r="L2948" s="28">
        <f>IFERROR(IF(AND(ISNUMBER(D2948),ISNUMBER(E2948)),D2948-E2948,""),"")</f>
        <v/>
      </c>
    </row>
    <row r="2949">
      <c r="A2949" s="7">
        <f>IFERROR(Datos!A2949,"")</f>
        <v/>
      </c>
      <c r="B2949" s="8">
        <f>IFERROR(Datos!B2949,"")</f>
        <v/>
      </c>
      <c r="C2949" s="8">
        <f>IFERROR(Datos!C2949,"")</f>
        <v/>
      </c>
      <c r="D2949" s="28">
        <f>IFERROR(IF(AND(ISNUMBER(B2949),ISNUMBER(B2948),B2948&lt;&gt;0),B2949/B2948-1,""),"")</f>
        <v/>
      </c>
      <c r="E2949" s="28">
        <f>IFERROR(IF(AND(ISNUMBER(C2949),ISNUMBER(C2948),C2948&lt;&gt;0),C2949/C2948-1,""),"")</f>
        <v/>
      </c>
      <c r="F2949" s="28">
        <f>IFERROR(D2949-Dashboard!$B$4/252,"")</f>
        <v/>
      </c>
      <c r="G2949" s="28">
        <f>IFERROR(E2949-Dashboard!$B$4/252,"")</f>
        <v/>
      </c>
      <c r="H2949" s="8">
        <f>IFERROR(IF(ISNUMBER(B2949),MAX(B2949,IFERROR(H2948,B2949)),""),"")</f>
        <v/>
      </c>
      <c r="I2949" s="29">
        <f>IFERROR(IF(AND(ISNUMBER(B2949),ISNUMBER(H2949)),B2949/H2949-1,""),"")</f>
        <v/>
      </c>
      <c r="J2949" s="8">
        <f>IFERROR(IF(ISNUMBER(C2949),MAX(C2949,IFERROR(J2948,C2949)),""),"")</f>
        <v/>
      </c>
      <c r="K2949" s="29">
        <f>IFERROR(IF(AND(ISNUMBER(C2949),ISNUMBER(J2949)),C2949/J2949-1,""),"")</f>
        <v/>
      </c>
      <c r="L2949" s="28">
        <f>IFERROR(IF(AND(ISNUMBER(D2949),ISNUMBER(E2949)),D2949-E2949,""),"")</f>
        <v/>
      </c>
    </row>
    <row r="2950">
      <c r="A2950" s="7">
        <f>IFERROR(Datos!A2950,"")</f>
        <v/>
      </c>
      <c r="B2950" s="8">
        <f>IFERROR(Datos!B2950,"")</f>
        <v/>
      </c>
      <c r="C2950" s="8">
        <f>IFERROR(Datos!C2950,"")</f>
        <v/>
      </c>
      <c r="D2950" s="28">
        <f>IFERROR(IF(AND(ISNUMBER(B2950),ISNUMBER(B2949),B2949&lt;&gt;0),B2950/B2949-1,""),"")</f>
        <v/>
      </c>
      <c r="E2950" s="28">
        <f>IFERROR(IF(AND(ISNUMBER(C2950),ISNUMBER(C2949),C2949&lt;&gt;0),C2950/C2949-1,""),"")</f>
        <v/>
      </c>
      <c r="F2950" s="28">
        <f>IFERROR(D2950-Dashboard!$B$4/252,"")</f>
        <v/>
      </c>
      <c r="G2950" s="28">
        <f>IFERROR(E2950-Dashboard!$B$4/252,"")</f>
        <v/>
      </c>
      <c r="H2950" s="8">
        <f>IFERROR(IF(ISNUMBER(B2950),MAX(B2950,IFERROR(H2949,B2950)),""),"")</f>
        <v/>
      </c>
      <c r="I2950" s="29">
        <f>IFERROR(IF(AND(ISNUMBER(B2950),ISNUMBER(H2950)),B2950/H2950-1,""),"")</f>
        <v/>
      </c>
      <c r="J2950" s="8">
        <f>IFERROR(IF(ISNUMBER(C2950),MAX(C2950,IFERROR(J2949,C2950)),""),"")</f>
        <v/>
      </c>
      <c r="K2950" s="29">
        <f>IFERROR(IF(AND(ISNUMBER(C2950),ISNUMBER(J2950)),C2950/J2950-1,""),"")</f>
        <v/>
      </c>
      <c r="L2950" s="28">
        <f>IFERROR(IF(AND(ISNUMBER(D2950),ISNUMBER(E2950)),D2950-E2950,""),"")</f>
        <v/>
      </c>
    </row>
    <row r="2951">
      <c r="A2951" s="7">
        <f>IFERROR(Datos!A2951,"")</f>
        <v/>
      </c>
      <c r="B2951" s="8">
        <f>IFERROR(Datos!B2951,"")</f>
        <v/>
      </c>
      <c r="C2951" s="8">
        <f>IFERROR(Datos!C2951,"")</f>
        <v/>
      </c>
      <c r="D2951" s="28">
        <f>IFERROR(IF(AND(ISNUMBER(B2951),ISNUMBER(B2950),B2950&lt;&gt;0),B2951/B2950-1,""),"")</f>
        <v/>
      </c>
      <c r="E2951" s="28">
        <f>IFERROR(IF(AND(ISNUMBER(C2951),ISNUMBER(C2950),C2950&lt;&gt;0),C2951/C2950-1,""),"")</f>
        <v/>
      </c>
      <c r="F2951" s="28">
        <f>IFERROR(D2951-Dashboard!$B$4/252,"")</f>
        <v/>
      </c>
      <c r="G2951" s="28">
        <f>IFERROR(E2951-Dashboard!$B$4/252,"")</f>
        <v/>
      </c>
      <c r="H2951" s="8">
        <f>IFERROR(IF(ISNUMBER(B2951),MAX(B2951,IFERROR(H2950,B2951)),""),"")</f>
        <v/>
      </c>
      <c r="I2951" s="29">
        <f>IFERROR(IF(AND(ISNUMBER(B2951),ISNUMBER(H2951)),B2951/H2951-1,""),"")</f>
        <v/>
      </c>
      <c r="J2951" s="8">
        <f>IFERROR(IF(ISNUMBER(C2951),MAX(C2951,IFERROR(J2950,C2951)),""),"")</f>
        <v/>
      </c>
      <c r="K2951" s="29">
        <f>IFERROR(IF(AND(ISNUMBER(C2951),ISNUMBER(J2951)),C2951/J2951-1,""),"")</f>
        <v/>
      </c>
      <c r="L2951" s="28">
        <f>IFERROR(IF(AND(ISNUMBER(D2951),ISNUMBER(E2951)),D2951-E2951,""),"")</f>
        <v/>
      </c>
    </row>
    <row r="2952">
      <c r="A2952" s="7">
        <f>IFERROR(Datos!A2952,"")</f>
        <v/>
      </c>
      <c r="B2952" s="8">
        <f>IFERROR(Datos!B2952,"")</f>
        <v/>
      </c>
      <c r="C2952" s="8">
        <f>IFERROR(Datos!C2952,"")</f>
        <v/>
      </c>
      <c r="D2952" s="28">
        <f>IFERROR(IF(AND(ISNUMBER(B2952),ISNUMBER(B2951),B2951&lt;&gt;0),B2952/B2951-1,""),"")</f>
        <v/>
      </c>
      <c r="E2952" s="28">
        <f>IFERROR(IF(AND(ISNUMBER(C2952),ISNUMBER(C2951),C2951&lt;&gt;0),C2952/C2951-1,""),"")</f>
        <v/>
      </c>
      <c r="F2952" s="28">
        <f>IFERROR(D2952-Dashboard!$B$4/252,"")</f>
        <v/>
      </c>
      <c r="G2952" s="28">
        <f>IFERROR(E2952-Dashboard!$B$4/252,"")</f>
        <v/>
      </c>
      <c r="H2952" s="8">
        <f>IFERROR(IF(ISNUMBER(B2952),MAX(B2952,IFERROR(H2951,B2952)),""),"")</f>
        <v/>
      </c>
      <c r="I2952" s="29">
        <f>IFERROR(IF(AND(ISNUMBER(B2952),ISNUMBER(H2952)),B2952/H2952-1,""),"")</f>
        <v/>
      </c>
      <c r="J2952" s="8">
        <f>IFERROR(IF(ISNUMBER(C2952),MAX(C2952,IFERROR(J2951,C2952)),""),"")</f>
        <v/>
      </c>
      <c r="K2952" s="29">
        <f>IFERROR(IF(AND(ISNUMBER(C2952),ISNUMBER(J2952)),C2952/J2952-1,""),"")</f>
        <v/>
      </c>
      <c r="L2952" s="28">
        <f>IFERROR(IF(AND(ISNUMBER(D2952),ISNUMBER(E2952)),D2952-E2952,""),"")</f>
        <v/>
      </c>
    </row>
    <row r="2953">
      <c r="A2953" s="7">
        <f>IFERROR(Datos!A2953,"")</f>
        <v/>
      </c>
      <c r="B2953" s="8">
        <f>IFERROR(Datos!B2953,"")</f>
        <v/>
      </c>
      <c r="C2953" s="8">
        <f>IFERROR(Datos!C2953,"")</f>
        <v/>
      </c>
      <c r="D2953" s="28">
        <f>IFERROR(IF(AND(ISNUMBER(B2953),ISNUMBER(B2952),B2952&lt;&gt;0),B2953/B2952-1,""),"")</f>
        <v/>
      </c>
      <c r="E2953" s="28">
        <f>IFERROR(IF(AND(ISNUMBER(C2953),ISNUMBER(C2952),C2952&lt;&gt;0),C2953/C2952-1,""),"")</f>
        <v/>
      </c>
      <c r="F2953" s="28">
        <f>IFERROR(D2953-Dashboard!$B$4/252,"")</f>
        <v/>
      </c>
      <c r="G2953" s="28">
        <f>IFERROR(E2953-Dashboard!$B$4/252,"")</f>
        <v/>
      </c>
      <c r="H2953" s="8">
        <f>IFERROR(IF(ISNUMBER(B2953),MAX(B2953,IFERROR(H2952,B2953)),""),"")</f>
        <v/>
      </c>
      <c r="I2953" s="29">
        <f>IFERROR(IF(AND(ISNUMBER(B2953),ISNUMBER(H2953)),B2953/H2953-1,""),"")</f>
        <v/>
      </c>
      <c r="J2953" s="8">
        <f>IFERROR(IF(ISNUMBER(C2953),MAX(C2953,IFERROR(J2952,C2953)),""),"")</f>
        <v/>
      </c>
      <c r="K2953" s="29">
        <f>IFERROR(IF(AND(ISNUMBER(C2953),ISNUMBER(J2953)),C2953/J2953-1,""),"")</f>
        <v/>
      </c>
      <c r="L2953" s="28">
        <f>IFERROR(IF(AND(ISNUMBER(D2953),ISNUMBER(E2953)),D2953-E2953,""),"")</f>
        <v/>
      </c>
    </row>
    <row r="2954">
      <c r="A2954" s="7">
        <f>IFERROR(Datos!A2954,"")</f>
        <v/>
      </c>
      <c r="B2954" s="8">
        <f>IFERROR(Datos!B2954,"")</f>
        <v/>
      </c>
      <c r="C2954" s="8">
        <f>IFERROR(Datos!C2954,"")</f>
        <v/>
      </c>
      <c r="D2954" s="28">
        <f>IFERROR(IF(AND(ISNUMBER(B2954),ISNUMBER(B2953),B2953&lt;&gt;0),B2954/B2953-1,""),"")</f>
        <v/>
      </c>
      <c r="E2954" s="28">
        <f>IFERROR(IF(AND(ISNUMBER(C2954),ISNUMBER(C2953),C2953&lt;&gt;0),C2954/C2953-1,""),"")</f>
        <v/>
      </c>
      <c r="F2954" s="28">
        <f>IFERROR(D2954-Dashboard!$B$4/252,"")</f>
        <v/>
      </c>
      <c r="G2954" s="28">
        <f>IFERROR(E2954-Dashboard!$B$4/252,"")</f>
        <v/>
      </c>
      <c r="H2954" s="8">
        <f>IFERROR(IF(ISNUMBER(B2954),MAX(B2954,IFERROR(H2953,B2954)),""),"")</f>
        <v/>
      </c>
      <c r="I2954" s="29">
        <f>IFERROR(IF(AND(ISNUMBER(B2954),ISNUMBER(H2954)),B2954/H2954-1,""),"")</f>
        <v/>
      </c>
      <c r="J2954" s="8">
        <f>IFERROR(IF(ISNUMBER(C2954),MAX(C2954,IFERROR(J2953,C2954)),""),"")</f>
        <v/>
      </c>
      <c r="K2954" s="29">
        <f>IFERROR(IF(AND(ISNUMBER(C2954),ISNUMBER(J2954)),C2954/J2954-1,""),"")</f>
        <v/>
      </c>
      <c r="L2954" s="28">
        <f>IFERROR(IF(AND(ISNUMBER(D2954),ISNUMBER(E2954)),D2954-E2954,""),"")</f>
        <v/>
      </c>
    </row>
    <row r="2955">
      <c r="A2955" s="7">
        <f>IFERROR(Datos!A2955,"")</f>
        <v/>
      </c>
      <c r="B2955" s="8">
        <f>IFERROR(Datos!B2955,"")</f>
        <v/>
      </c>
      <c r="C2955" s="8">
        <f>IFERROR(Datos!C2955,"")</f>
        <v/>
      </c>
      <c r="D2955" s="28">
        <f>IFERROR(IF(AND(ISNUMBER(B2955),ISNUMBER(B2954),B2954&lt;&gt;0),B2955/B2954-1,""),"")</f>
        <v/>
      </c>
      <c r="E2955" s="28">
        <f>IFERROR(IF(AND(ISNUMBER(C2955),ISNUMBER(C2954),C2954&lt;&gt;0),C2955/C2954-1,""),"")</f>
        <v/>
      </c>
      <c r="F2955" s="28">
        <f>IFERROR(D2955-Dashboard!$B$4/252,"")</f>
        <v/>
      </c>
      <c r="G2955" s="28">
        <f>IFERROR(E2955-Dashboard!$B$4/252,"")</f>
        <v/>
      </c>
      <c r="H2955" s="8">
        <f>IFERROR(IF(ISNUMBER(B2955),MAX(B2955,IFERROR(H2954,B2955)),""),"")</f>
        <v/>
      </c>
      <c r="I2955" s="29">
        <f>IFERROR(IF(AND(ISNUMBER(B2955),ISNUMBER(H2955)),B2955/H2955-1,""),"")</f>
        <v/>
      </c>
      <c r="J2955" s="8">
        <f>IFERROR(IF(ISNUMBER(C2955),MAX(C2955,IFERROR(J2954,C2955)),""),"")</f>
        <v/>
      </c>
      <c r="K2955" s="29">
        <f>IFERROR(IF(AND(ISNUMBER(C2955),ISNUMBER(J2955)),C2955/J2955-1,""),"")</f>
        <v/>
      </c>
      <c r="L2955" s="28">
        <f>IFERROR(IF(AND(ISNUMBER(D2955),ISNUMBER(E2955)),D2955-E2955,""),"")</f>
        <v/>
      </c>
    </row>
    <row r="2956">
      <c r="A2956" s="7">
        <f>IFERROR(Datos!A2956,"")</f>
        <v/>
      </c>
      <c r="B2956" s="8">
        <f>IFERROR(Datos!B2956,"")</f>
        <v/>
      </c>
      <c r="C2956" s="8">
        <f>IFERROR(Datos!C2956,"")</f>
        <v/>
      </c>
      <c r="D2956" s="28">
        <f>IFERROR(IF(AND(ISNUMBER(B2956),ISNUMBER(B2955),B2955&lt;&gt;0),B2956/B2955-1,""),"")</f>
        <v/>
      </c>
      <c r="E2956" s="28">
        <f>IFERROR(IF(AND(ISNUMBER(C2956),ISNUMBER(C2955),C2955&lt;&gt;0),C2956/C2955-1,""),"")</f>
        <v/>
      </c>
      <c r="F2956" s="28">
        <f>IFERROR(D2956-Dashboard!$B$4/252,"")</f>
        <v/>
      </c>
      <c r="G2956" s="28">
        <f>IFERROR(E2956-Dashboard!$B$4/252,"")</f>
        <v/>
      </c>
      <c r="H2956" s="8">
        <f>IFERROR(IF(ISNUMBER(B2956),MAX(B2956,IFERROR(H2955,B2956)),""),"")</f>
        <v/>
      </c>
      <c r="I2956" s="29">
        <f>IFERROR(IF(AND(ISNUMBER(B2956),ISNUMBER(H2956)),B2956/H2956-1,""),"")</f>
        <v/>
      </c>
      <c r="J2956" s="8">
        <f>IFERROR(IF(ISNUMBER(C2956),MAX(C2956,IFERROR(J2955,C2956)),""),"")</f>
        <v/>
      </c>
      <c r="K2956" s="29">
        <f>IFERROR(IF(AND(ISNUMBER(C2956),ISNUMBER(J2956)),C2956/J2956-1,""),"")</f>
        <v/>
      </c>
      <c r="L2956" s="28">
        <f>IFERROR(IF(AND(ISNUMBER(D2956),ISNUMBER(E2956)),D2956-E2956,""),"")</f>
        <v/>
      </c>
    </row>
    <row r="2957">
      <c r="A2957" s="7">
        <f>IFERROR(Datos!A2957,"")</f>
        <v/>
      </c>
      <c r="B2957" s="8">
        <f>IFERROR(Datos!B2957,"")</f>
        <v/>
      </c>
      <c r="C2957" s="8">
        <f>IFERROR(Datos!C2957,"")</f>
        <v/>
      </c>
      <c r="D2957" s="28">
        <f>IFERROR(IF(AND(ISNUMBER(B2957),ISNUMBER(B2956),B2956&lt;&gt;0),B2957/B2956-1,""),"")</f>
        <v/>
      </c>
      <c r="E2957" s="28">
        <f>IFERROR(IF(AND(ISNUMBER(C2957),ISNUMBER(C2956),C2956&lt;&gt;0),C2957/C2956-1,""),"")</f>
        <v/>
      </c>
      <c r="F2957" s="28">
        <f>IFERROR(D2957-Dashboard!$B$4/252,"")</f>
        <v/>
      </c>
      <c r="G2957" s="28">
        <f>IFERROR(E2957-Dashboard!$B$4/252,"")</f>
        <v/>
      </c>
      <c r="H2957" s="8">
        <f>IFERROR(IF(ISNUMBER(B2957),MAX(B2957,IFERROR(H2956,B2957)),""),"")</f>
        <v/>
      </c>
      <c r="I2957" s="29">
        <f>IFERROR(IF(AND(ISNUMBER(B2957),ISNUMBER(H2957)),B2957/H2957-1,""),"")</f>
        <v/>
      </c>
      <c r="J2957" s="8">
        <f>IFERROR(IF(ISNUMBER(C2957),MAX(C2957,IFERROR(J2956,C2957)),""),"")</f>
        <v/>
      </c>
      <c r="K2957" s="29">
        <f>IFERROR(IF(AND(ISNUMBER(C2957),ISNUMBER(J2957)),C2957/J2957-1,""),"")</f>
        <v/>
      </c>
      <c r="L2957" s="28">
        <f>IFERROR(IF(AND(ISNUMBER(D2957),ISNUMBER(E2957)),D2957-E2957,""),"")</f>
        <v/>
      </c>
    </row>
    <row r="2958">
      <c r="A2958" s="7">
        <f>IFERROR(Datos!A2958,"")</f>
        <v/>
      </c>
      <c r="B2958" s="8">
        <f>IFERROR(Datos!B2958,"")</f>
        <v/>
      </c>
      <c r="C2958" s="8">
        <f>IFERROR(Datos!C2958,"")</f>
        <v/>
      </c>
      <c r="D2958" s="28">
        <f>IFERROR(IF(AND(ISNUMBER(B2958),ISNUMBER(B2957),B2957&lt;&gt;0),B2958/B2957-1,""),"")</f>
        <v/>
      </c>
      <c r="E2958" s="28">
        <f>IFERROR(IF(AND(ISNUMBER(C2958),ISNUMBER(C2957),C2957&lt;&gt;0),C2958/C2957-1,""),"")</f>
        <v/>
      </c>
      <c r="F2958" s="28">
        <f>IFERROR(D2958-Dashboard!$B$4/252,"")</f>
        <v/>
      </c>
      <c r="G2958" s="28">
        <f>IFERROR(E2958-Dashboard!$B$4/252,"")</f>
        <v/>
      </c>
      <c r="H2958" s="8">
        <f>IFERROR(IF(ISNUMBER(B2958),MAX(B2958,IFERROR(H2957,B2958)),""),"")</f>
        <v/>
      </c>
      <c r="I2958" s="29">
        <f>IFERROR(IF(AND(ISNUMBER(B2958),ISNUMBER(H2958)),B2958/H2958-1,""),"")</f>
        <v/>
      </c>
      <c r="J2958" s="8">
        <f>IFERROR(IF(ISNUMBER(C2958),MAX(C2958,IFERROR(J2957,C2958)),""),"")</f>
        <v/>
      </c>
      <c r="K2958" s="29">
        <f>IFERROR(IF(AND(ISNUMBER(C2958),ISNUMBER(J2958)),C2958/J2958-1,""),"")</f>
        <v/>
      </c>
      <c r="L2958" s="28">
        <f>IFERROR(IF(AND(ISNUMBER(D2958),ISNUMBER(E2958)),D2958-E2958,""),"")</f>
        <v/>
      </c>
    </row>
    <row r="2959">
      <c r="A2959" s="7">
        <f>IFERROR(Datos!A2959,"")</f>
        <v/>
      </c>
      <c r="B2959" s="8">
        <f>IFERROR(Datos!B2959,"")</f>
        <v/>
      </c>
      <c r="C2959" s="8">
        <f>IFERROR(Datos!C2959,"")</f>
        <v/>
      </c>
      <c r="D2959" s="28">
        <f>IFERROR(IF(AND(ISNUMBER(B2959),ISNUMBER(B2958),B2958&lt;&gt;0),B2959/B2958-1,""),"")</f>
        <v/>
      </c>
      <c r="E2959" s="28">
        <f>IFERROR(IF(AND(ISNUMBER(C2959),ISNUMBER(C2958),C2958&lt;&gt;0),C2959/C2958-1,""),"")</f>
        <v/>
      </c>
      <c r="F2959" s="28">
        <f>IFERROR(D2959-Dashboard!$B$4/252,"")</f>
        <v/>
      </c>
      <c r="G2959" s="28">
        <f>IFERROR(E2959-Dashboard!$B$4/252,"")</f>
        <v/>
      </c>
      <c r="H2959" s="8">
        <f>IFERROR(IF(ISNUMBER(B2959),MAX(B2959,IFERROR(H2958,B2959)),""),"")</f>
        <v/>
      </c>
      <c r="I2959" s="29">
        <f>IFERROR(IF(AND(ISNUMBER(B2959),ISNUMBER(H2959)),B2959/H2959-1,""),"")</f>
        <v/>
      </c>
      <c r="J2959" s="8">
        <f>IFERROR(IF(ISNUMBER(C2959),MAX(C2959,IFERROR(J2958,C2959)),""),"")</f>
        <v/>
      </c>
      <c r="K2959" s="29">
        <f>IFERROR(IF(AND(ISNUMBER(C2959),ISNUMBER(J2959)),C2959/J2959-1,""),"")</f>
        <v/>
      </c>
      <c r="L2959" s="28">
        <f>IFERROR(IF(AND(ISNUMBER(D2959),ISNUMBER(E2959)),D2959-E2959,""),"")</f>
        <v/>
      </c>
    </row>
    <row r="2960">
      <c r="A2960" s="7">
        <f>IFERROR(Datos!A2960,"")</f>
        <v/>
      </c>
      <c r="B2960" s="8">
        <f>IFERROR(Datos!B2960,"")</f>
        <v/>
      </c>
      <c r="C2960" s="8">
        <f>IFERROR(Datos!C2960,"")</f>
        <v/>
      </c>
      <c r="D2960" s="28">
        <f>IFERROR(IF(AND(ISNUMBER(B2960),ISNUMBER(B2959),B2959&lt;&gt;0),B2960/B2959-1,""),"")</f>
        <v/>
      </c>
      <c r="E2960" s="28">
        <f>IFERROR(IF(AND(ISNUMBER(C2960),ISNUMBER(C2959),C2959&lt;&gt;0),C2960/C2959-1,""),"")</f>
        <v/>
      </c>
      <c r="F2960" s="28">
        <f>IFERROR(D2960-Dashboard!$B$4/252,"")</f>
        <v/>
      </c>
      <c r="G2960" s="28">
        <f>IFERROR(E2960-Dashboard!$B$4/252,"")</f>
        <v/>
      </c>
      <c r="H2960" s="8">
        <f>IFERROR(IF(ISNUMBER(B2960),MAX(B2960,IFERROR(H2959,B2960)),""),"")</f>
        <v/>
      </c>
      <c r="I2960" s="29">
        <f>IFERROR(IF(AND(ISNUMBER(B2960),ISNUMBER(H2960)),B2960/H2960-1,""),"")</f>
        <v/>
      </c>
      <c r="J2960" s="8">
        <f>IFERROR(IF(ISNUMBER(C2960),MAX(C2960,IFERROR(J2959,C2960)),""),"")</f>
        <v/>
      </c>
      <c r="K2960" s="29">
        <f>IFERROR(IF(AND(ISNUMBER(C2960),ISNUMBER(J2960)),C2960/J2960-1,""),"")</f>
        <v/>
      </c>
      <c r="L2960" s="28">
        <f>IFERROR(IF(AND(ISNUMBER(D2960),ISNUMBER(E2960)),D2960-E2960,""),"")</f>
        <v/>
      </c>
    </row>
    <row r="2961">
      <c r="A2961" s="7">
        <f>IFERROR(Datos!A2961,"")</f>
        <v/>
      </c>
      <c r="B2961" s="8">
        <f>IFERROR(Datos!B2961,"")</f>
        <v/>
      </c>
      <c r="C2961" s="8">
        <f>IFERROR(Datos!C2961,"")</f>
        <v/>
      </c>
      <c r="D2961" s="28">
        <f>IFERROR(IF(AND(ISNUMBER(B2961),ISNUMBER(B2960),B2960&lt;&gt;0),B2961/B2960-1,""),"")</f>
        <v/>
      </c>
      <c r="E2961" s="28">
        <f>IFERROR(IF(AND(ISNUMBER(C2961),ISNUMBER(C2960),C2960&lt;&gt;0),C2961/C2960-1,""),"")</f>
        <v/>
      </c>
      <c r="F2961" s="28">
        <f>IFERROR(D2961-Dashboard!$B$4/252,"")</f>
        <v/>
      </c>
      <c r="G2961" s="28">
        <f>IFERROR(E2961-Dashboard!$B$4/252,"")</f>
        <v/>
      </c>
      <c r="H2961" s="8">
        <f>IFERROR(IF(ISNUMBER(B2961),MAX(B2961,IFERROR(H2960,B2961)),""),"")</f>
        <v/>
      </c>
      <c r="I2961" s="29">
        <f>IFERROR(IF(AND(ISNUMBER(B2961),ISNUMBER(H2961)),B2961/H2961-1,""),"")</f>
        <v/>
      </c>
      <c r="J2961" s="8">
        <f>IFERROR(IF(ISNUMBER(C2961),MAX(C2961,IFERROR(J2960,C2961)),""),"")</f>
        <v/>
      </c>
      <c r="K2961" s="29">
        <f>IFERROR(IF(AND(ISNUMBER(C2961),ISNUMBER(J2961)),C2961/J2961-1,""),"")</f>
        <v/>
      </c>
      <c r="L2961" s="28">
        <f>IFERROR(IF(AND(ISNUMBER(D2961),ISNUMBER(E2961)),D2961-E2961,""),"")</f>
        <v/>
      </c>
    </row>
    <row r="2962">
      <c r="A2962" s="7">
        <f>IFERROR(Datos!A2962,"")</f>
        <v/>
      </c>
      <c r="B2962" s="8">
        <f>IFERROR(Datos!B2962,"")</f>
        <v/>
      </c>
      <c r="C2962" s="8">
        <f>IFERROR(Datos!C2962,"")</f>
        <v/>
      </c>
      <c r="D2962" s="28">
        <f>IFERROR(IF(AND(ISNUMBER(B2962),ISNUMBER(B2961),B2961&lt;&gt;0),B2962/B2961-1,""),"")</f>
        <v/>
      </c>
      <c r="E2962" s="28">
        <f>IFERROR(IF(AND(ISNUMBER(C2962),ISNUMBER(C2961),C2961&lt;&gt;0),C2962/C2961-1,""),"")</f>
        <v/>
      </c>
      <c r="F2962" s="28">
        <f>IFERROR(D2962-Dashboard!$B$4/252,"")</f>
        <v/>
      </c>
      <c r="G2962" s="28">
        <f>IFERROR(E2962-Dashboard!$B$4/252,"")</f>
        <v/>
      </c>
      <c r="H2962" s="8">
        <f>IFERROR(IF(ISNUMBER(B2962),MAX(B2962,IFERROR(H2961,B2962)),""),"")</f>
        <v/>
      </c>
      <c r="I2962" s="29">
        <f>IFERROR(IF(AND(ISNUMBER(B2962),ISNUMBER(H2962)),B2962/H2962-1,""),"")</f>
        <v/>
      </c>
      <c r="J2962" s="8">
        <f>IFERROR(IF(ISNUMBER(C2962),MAX(C2962,IFERROR(J2961,C2962)),""),"")</f>
        <v/>
      </c>
      <c r="K2962" s="29">
        <f>IFERROR(IF(AND(ISNUMBER(C2962),ISNUMBER(J2962)),C2962/J2962-1,""),"")</f>
        <v/>
      </c>
      <c r="L2962" s="28">
        <f>IFERROR(IF(AND(ISNUMBER(D2962),ISNUMBER(E2962)),D2962-E2962,""),"")</f>
        <v/>
      </c>
    </row>
    <row r="2963">
      <c r="A2963" s="7">
        <f>IFERROR(Datos!A2963,"")</f>
        <v/>
      </c>
      <c r="B2963" s="8">
        <f>IFERROR(Datos!B2963,"")</f>
        <v/>
      </c>
      <c r="C2963" s="8">
        <f>IFERROR(Datos!C2963,"")</f>
        <v/>
      </c>
      <c r="D2963" s="28">
        <f>IFERROR(IF(AND(ISNUMBER(B2963),ISNUMBER(B2962),B2962&lt;&gt;0),B2963/B2962-1,""),"")</f>
        <v/>
      </c>
      <c r="E2963" s="28">
        <f>IFERROR(IF(AND(ISNUMBER(C2963),ISNUMBER(C2962),C2962&lt;&gt;0),C2963/C2962-1,""),"")</f>
        <v/>
      </c>
      <c r="F2963" s="28">
        <f>IFERROR(D2963-Dashboard!$B$4/252,"")</f>
        <v/>
      </c>
      <c r="G2963" s="28">
        <f>IFERROR(E2963-Dashboard!$B$4/252,"")</f>
        <v/>
      </c>
      <c r="H2963" s="8">
        <f>IFERROR(IF(ISNUMBER(B2963),MAX(B2963,IFERROR(H2962,B2963)),""),"")</f>
        <v/>
      </c>
      <c r="I2963" s="29">
        <f>IFERROR(IF(AND(ISNUMBER(B2963),ISNUMBER(H2963)),B2963/H2963-1,""),"")</f>
        <v/>
      </c>
      <c r="J2963" s="8">
        <f>IFERROR(IF(ISNUMBER(C2963),MAX(C2963,IFERROR(J2962,C2963)),""),"")</f>
        <v/>
      </c>
      <c r="K2963" s="29">
        <f>IFERROR(IF(AND(ISNUMBER(C2963),ISNUMBER(J2963)),C2963/J2963-1,""),"")</f>
        <v/>
      </c>
      <c r="L2963" s="28">
        <f>IFERROR(IF(AND(ISNUMBER(D2963),ISNUMBER(E2963)),D2963-E2963,""),"")</f>
        <v/>
      </c>
    </row>
    <row r="2964">
      <c r="A2964" s="7">
        <f>IFERROR(Datos!A2964,"")</f>
        <v/>
      </c>
      <c r="B2964" s="8">
        <f>IFERROR(Datos!B2964,"")</f>
        <v/>
      </c>
      <c r="C2964" s="8">
        <f>IFERROR(Datos!C2964,"")</f>
        <v/>
      </c>
      <c r="D2964" s="28">
        <f>IFERROR(IF(AND(ISNUMBER(B2964),ISNUMBER(B2963),B2963&lt;&gt;0),B2964/B2963-1,""),"")</f>
        <v/>
      </c>
      <c r="E2964" s="28">
        <f>IFERROR(IF(AND(ISNUMBER(C2964),ISNUMBER(C2963),C2963&lt;&gt;0),C2964/C2963-1,""),"")</f>
        <v/>
      </c>
      <c r="F2964" s="28">
        <f>IFERROR(D2964-Dashboard!$B$4/252,"")</f>
        <v/>
      </c>
      <c r="G2964" s="28">
        <f>IFERROR(E2964-Dashboard!$B$4/252,"")</f>
        <v/>
      </c>
      <c r="H2964" s="8">
        <f>IFERROR(IF(ISNUMBER(B2964),MAX(B2964,IFERROR(H2963,B2964)),""),"")</f>
        <v/>
      </c>
      <c r="I2964" s="29">
        <f>IFERROR(IF(AND(ISNUMBER(B2964),ISNUMBER(H2964)),B2964/H2964-1,""),"")</f>
        <v/>
      </c>
      <c r="J2964" s="8">
        <f>IFERROR(IF(ISNUMBER(C2964),MAX(C2964,IFERROR(J2963,C2964)),""),"")</f>
        <v/>
      </c>
      <c r="K2964" s="29">
        <f>IFERROR(IF(AND(ISNUMBER(C2964),ISNUMBER(J2964)),C2964/J2964-1,""),"")</f>
        <v/>
      </c>
      <c r="L2964" s="28">
        <f>IFERROR(IF(AND(ISNUMBER(D2964),ISNUMBER(E2964)),D2964-E2964,""),"")</f>
        <v/>
      </c>
    </row>
    <row r="2965">
      <c r="A2965" s="7">
        <f>IFERROR(Datos!A2965,"")</f>
        <v/>
      </c>
      <c r="B2965" s="8">
        <f>IFERROR(Datos!B2965,"")</f>
        <v/>
      </c>
      <c r="C2965" s="8">
        <f>IFERROR(Datos!C2965,"")</f>
        <v/>
      </c>
      <c r="D2965" s="28">
        <f>IFERROR(IF(AND(ISNUMBER(B2965),ISNUMBER(B2964),B2964&lt;&gt;0),B2965/B2964-1,""),"")</f>
        <v/>
      </c>
      <c r="E2965" s="28">
        <f>IFERROR(IF(AND(ISNUMBER(C2965),ISNUMBER(C2964),C2964&lt;&gt;0),C2965/C2964-1,""),"")</f>
        <v/>
      </c>
      <c r="F2965" s="28">
        <f>IFERROR(D2965-Dashboard!$B$4/252,"")</f>
        <v/>
      </c>
      <c r="G2965" s="28">
        <f>IFERROR(E2965-Dashboard!$B$4/252,"")</f>
        <v/>
      </c>
      <c r="H2965" s="8">
        <f>IFERROR(IF(ISNUMBER(B2965),MAX(B2965,IFERROR(H2964,B2965)),""),"")</f>
        <v/>
      </c>
      <c r="I2965" s="29">
        <f>IFERROR(IF(AND(ISNUMBER(B2965),ISNUMBER(H2965)),B2965/H2965-1,""),"")</f>
        <v/>
      </c>
      <c r="J2965" s="8">
        <f>IFERROR(IF(ISNUMBER(C2965),MAX(C2965,IFERROR(J2964,C2965)),""),"")</f>
        <v/>
      </c>
      <c r="K2965" s="29">
        <f>IFERROR(IF(AND(ISNUMBER(C2965),ISNUMBER(J2965)),C2965/J2965-1,""),"")</f>
        <v/>
      </c>
      <c r="L2965" s="28">
        <f>IFERROR(IF(AND(ISNUMBER(D2965),ISNUMBER(E2965)),D2965-E2965,""),"")</f>
        <v/>
      </c>
    </row>
    <row r="2966">
      <c r="A2966" s="7">
        <f>IFERROR(Datos!A2966,"")</f>
        <v/>
      </c>
      <c r="B2966" s="8">
        <f>IFERROR(Datos!B2966,"")</f>
        <v/>
      </c>
      <c r="C2966" s="8">
        <f>IFERROR(Datos!C2966,"")</f>
        <v/>
      </c>
      <c r="D2966" s="28">
        <f>IFERROR(IF(AND(ISNUMBER(B2966),ISNUMBER(B2965),B2965&lt;&gt;0),B2966/B2965-1,""),"")</f>
        <v/>
      </c>
      <c r="E2966" s="28">
        <f>IFERROR(IF(AND(ISNUMBER(C2966),ISNUMBER(C2965),C2965&lt;&gt;0),C2966/C2965-1,""),"")</f>
        <v/>
      </c>
      <c r="F2966" s="28">
        <f>IFERROR(D2966-Dashboard!$B$4/252,"")</f>
        <v/>
      </c>
      <c r="G2966" s="28">
        <f>IFERROR(E2966-Dashboard!$B$4/252,"")</f>
        <v/>
      </c>
      <c r="H2966" s="8">
        <f>IFERROR(IF(ISNUMBER(B2966),MAX(B2966,IFERROR(H2965,B2966)),""),"")</f>
        <v/>
      </c>
      <c r="I2966" s="29">
        <f>IFERROR(IF(AND(ISNUMBER(B2966),ISNUMBER(H2966)),B2966/H2966-1,""),"")</f>
        <v/>
      </c>
      <c r="J2966" s="8">
        <f>IFERROR(IF(ISNUMBER(C2966),MAX(C2966,IFERROR(J2965,C2966)),""),"")</f>
        <v/>
      </c>
      <c r="K2966" s="29">
        <f>IFERROR(IF(AND(ISNUMBER(C2966),ISNUMBER(J2966)),C2966/J2966-1,""),"")</f>
        <v/>
      </c>
      <c r="L2966" s="28">
        <f>IFERROR(IF(AND(ISNUMBER(D2966),ISNUMBER(E2966)),D2966-E2966,""),"")</f>
        <v/>
      </c>
    </row>
    <row r="2967">
      <c r="A2967" s="7">
        <f>IFERROR(Datos!A2967,"")</f>
        <v/>
      </c>
      <c r="B2967" s="8">
        <f>IFERROR(Datos!B2967,"")</f>
        <v/>
      </c>
      <c r="C2967" s="8">
        <f>IFERROR(Datos!C2967,"")</f>
        <v/>
      </c>
      <c r="D2967" s="28">
        <f>IFERROR(IF(AND(ISNUMBER(B2967),ISNUMBER(B2966),B2966&lt;&gt;0),B2967/B2966-1,""),"")</f>
        <v/>
      </c>
      <c r="E2967" s="28">
        <f>IFERROR(IF(AND(ISNUMBER(C2967),ISNUMBER(C2966),C2966&lt;&gt;0),C2967/C2966-1,""),"")</f>
        <v/>
      </c>
      <c r="F2967" s="28">
        <f>IFERROR(D2967-Dashboard!$B$4/252,"")</f>
        <v/>
      </c>
      <c r="G2967" s="28">
        <f>IFERROR(E2967-Dashboard!$B$4/252,"")</f>
        <v/>
      </c>
      <c r="H2967" s="8">
        <f>IFERROR(IF(ISNUMBER(B2967),MAX(B2967,IFERROR(H2966,B2967)),""),"")</f>
        <v/>
      </c>
      <c r="I2967" s="29">
        <f>IFERROR(IF(AND(ISNUMBER(B2967),ISNUMBER(H2967)),B2967/H2967-1,""),"")</f>
        <v/>
      </c>
      <c r="J2967" s="8">
        <f>IFERROR(IF(ISNUMBER(C2967),MAX(C2967,IFERROR(J2966,C2967)),""),"")</f>
        <v/>
      </c>
      <c r="K2967" s="29">
        <f>IFERROR(IF(AND(ISNUMBER(C2967),ISNUMBER(J2967)),C2967/J2967-1,""),"")</f>
        <v/>
      </c>
      <c r="L2967" s="28">
        <f>IFERROR(IF(AND(ISNUMBER(D2967),ISNUMBER(E2967)),D2967-E2967,""),"")</f>
        <v/>
      </c>
    </row>
    <row r="2968">
      <c r="A2968" s="7">
        <f>IFERROR(Datos!A2968,"")</f>
        <v/>
      </c>
      <c r="B2968" s="8">
        <f>IFERROR(Datos!B2968,"")</f>
        <v/>
      </c>
      <c r="C2968" s="8">
        <f>IFERROR(Datos!C2968,"")</f>
        <v/>
      </c>
      <c r="D2968" s="28">
        <f>IFERROR(IF(AND(ISNUMBER(B2968),ISNUMBER(B2967),B2967&lt;&gt;0),B2968/B2967-1,""),"")</f>
        <v/>
      </c>
      <c r="E2968" s="28">
        <f>IFERROR(IF(AND(ISNUMBER(C2968),ISNUMBER(C2967),C2967&lt;&gt;0),C2968/C2967-1,""),"")</f>
        <v/>
      </c>
      <c r="F2968" s="28">
        <f>IFERROR(D2968-Dashboard!$B$4/252,"")</f>
        <v/>
      </c>
      <c r="G2968" s="28">
        <f>IFERROR(E2968-Dashboard!$B$4/252,"")</f>
        <v/>
      </c>
      <c r="H2968" s="8">
        <f>IFERROR(IF(ISNUMBER(B2968),MAX(B2968,IFERROR(H2967,B2968)),""),"")</f>
        <v/>
      </c>
      <c r="I2968" s="29">
        <f>IFERROR(IF(AND(ISNUMBER(B2968),ISNUMBER(H2968)),B2968/H2968-1,""),"")</f>
        <v/>
      </c>
      <c r="J2968" s="8">
        <f>IFERROR(IF(ISNUMBER(C2968),MAX(C2968,IFERROR(J2967,C2968)),""),"")</f>
        <v/>
      </c>
      <c r="K2968" s="29">
        <f>IFERROR(IF(AND(ISNUMBER(C2968),ISNUMBER(J2968)),C2968/J2968-1,""),"")</f>
        <v/>
      </c>
      <c r="L2968" s="28">
        <f>IFERROR(IF(AND(ISNUMBER(D2968),ISNUMBER(E2968)),D2968-E2968,""),"")</f>
        <v/>
      </c>
    </row>
    <row r="2969">
      <c r="A2969" s="7">
        <f>IFERROR(Datos!A2969,"")</f>
        <v/>
      </c>
      <c r="B2969" s="8">
        <f>IFERROR(Datos!B2969,"")</f>
        <v/>
      </c>
      <c r="C2969" s="8">
        <f>IFERROR(Datos!C2969,"")</f>
        <v/>
      </c>
      <c r="D2969" s="28">
        <f>IFERROR(IF(AND(ISNUMBER(B2969),ISNUMBER(B2968),B2968&lt;&gt;0),B2969/B2968-1,""),"")</f>
        <v/>
      </c>
      <c r="E2969" s="28">
        <f>IFERROR(IF(AND(ISNUMBER(C2969),ISNUMBER(C2968),C2968&lt;&gt;0),C2969/C2968-1,""),"")</f>
        <v/>
      </c>
      <c r="F2969" s="28">
        <f>IFERROR(D2969-Dashboard!$B$4/252,"")</f>
        <v/>
      </c>
      <c r="G2969" s="28">
        <f>IFERROR(E2969-Dashboard!$B$4/252,"")</f>
        <v/>
      </c>
      <c r="H2969" s="8">
        <f>IFERROR(IF(ISNUMBER(B2969),MAX(B2969,IFERROR(H2968,B2969)),""),"")</f>
        <v/>
      </c>
      <c r="I2969" s="29">
        <f>IFERROR(IF(AND(ISNUMBER(B2969),ISNUMBER(H2969)),B2969/H2969-1,""),"")</f>
        <v/>
      </c>
      <c r="J2969" s="8">
        <f>IFERROR(IF(ISNUMBER(C2969),MAX(C2969,IFERROR(J2968,C2969)),""),"")</f>
        <v/>
      </c>
      <c r="K2969" s="29">
        <f>IFERROR(IF(AND(ISNUMBER(C2969),ISNUMBER(J2969)),C2969/J2969-1,""),"")</f>
        <v/>
      </c>
      <c r="L2969" s="28">
        <f>IFERROR(IF(AND(ISNUMBER(D2969),ISNUMBER(E2969)),D2969-E2969,""),"")</f>
        <v/>
      </c>
    </row>
    <row r="2970">
      <c r="A2970" s="7">
        <f>IFERROR(Datos!A2970,"")</f>
        <v/>
      </c>
      <c r="B2970" s="8">
        <f>IFERROR(Datos!B2970,"")</f>
        <v/>
      </c>
      <c r="C2970" s="8">
        <f>IFERROR(Datos!C2970,"")</f>
        <v/>
      </c>
      <c r="D2970" s="28">
        <f>IFERROR(IF(AND(ISNUMBER(B2970),ISNUMBER(B2969),B2969&lt;&gt;0),B2970/B2969-1,""),"")</f>
        <v/>
      </c>
      <c r="E2970" s="28">
        <f>IFERROR(IF(AND(ISNUMBER(C2970),ISNUMBER(C2969),C2969&lt;&gt;0),C2970/C2969-1,""),"")</f>
        <v/>
      </c>
      <c r="F2970" s="28">
        <f>IFERROR(D2970-Dashboard!$B$4/252,"")</f>
        <v/>
      </c>
      <c r="G2970" s="28">
        <f>IFERROR(E2970-Dashboard!$B$4/252,"")</f>
        <v/>
      </c>
      <c r="H2970" s="8">
        <f>IFERROR(IF(ISNUMBER(B2970),MAX(B2970,IFERROR(H2969,B2970)),""),"")</f>
        <v/>
      </c>
      <c r="I2970" s="29">
        <f>IFERROR(IF(AND(ISNUMBER(B2970),ISNUMBER(H2970)),B2970/H2970-1,""),"")</f>
        <v/>
      </c>
      <c r="J2970" s="8">
        <f>IFERROR(IF(ISNUMBER(C2970),MAX(C2970,IFERROR(J2969,C2970)),""),"")</f>
        <v/>
      </c>
      <c r="K2970" s="29">
        <f>IFERROR(IF(AND(ISNUMBER(C2970),ISNUMBER(J2970)),C2970/J2970-1,""),"")</f>
        <v/>
      </c>
      <c r="L2970" s="28">
        <f>IFERROR(IF(AND(ISNUMBER(D2970),ISNUMBER(E2970)),D2970-E2970,""),"")</f>
        <v/>
      </c>
    </row>
    <row r="2971">
      <c r="A2971" s="7">
        <f>IFERROR(Datos!A2971,"")</f>
        <v/>
      </c>
      <c r="B2971" s="8">
        <f>IFERROR(Datos!B2971,"")</f>
        <v/>
      </c>
      <c r="C2971" s="8">
        <f>IFERROR(Datos!C2971,"")</f>
        <v/>
      </c>
      <c r="D2971" s="28">
        <f>IFERROR(IF(AND(ISNUMBER(B2971),ISNUMBER(B2970),B2970&lt;&gt;0),B2971/B2970-1,""),"")</f>
        <v/>
      </c>
      <c r="E2971" s="28">
        <f>IFERROR(IF(AND(ISNUMBER(C2971),ISNUMBER(C2970),C2970&lt;&gt;0),C2971/C2970-1,""),"")</f>
        <v/>
      </c>
      <c r="F2971" s="28">
        <f>IFERROR(D2971-Dashboard!$B$4/252,"")</f>
        <v/>
      </c>
      <c r="G2971" s="28">
        <f>IFERROR(E2971-Dashboard!$B$4/252,"")</f>
        <v/>
      </c>
      <c r="H2971" s="8">
        <f>IFERROR(IF(ISNUMBER(B2971),MAX(B2971,IFERROR(H2970,B2971)),""),"")</f>
        <v/>
      </c>
      <c r="I2971" s="29">
        <f>IFERROR(IF(AND(ISNUMBER(B2971),ISNUMBER(H2971)),B2971/H2971-1,""),"")</f>
        <v/>
      </c>
      <c r="J2971" s="8">
        <f>IFERROR(IF(ISNUMBER(C2971),MAX(C2971,IFERROR(J2970,C2971)),""),"")</f>
        <v/>
      </c>
      <c r="K2971" s="29">
        <f>IFERROR(IF(AND(ISNUMBER(C2971),ISNUMBER(J2971)),C2971/J2971-1,""),"")</f>
        <v/>
      </c>
      <c r="L2971" s="28">
        <f>IFERROR(IF(AND(ISNUMBER(D2971),ISNUMBER(E2971)),D2971-E2971,""),"")</f>
        <v/>
      </c>
    </row>
    <row r="2972">
      <c r="A2972" s="7">
        <f>IFERROR(Datos!A2972,"")</f>
        <v/>
      </c>
      <c r="B2972" s="8">
        <f>IFERROR(Datos!B2972,"")</f>
        <v/>
      </c>
      <c r="C2972" s="8">
        <f>IFERROR(Datos!C2972,"")</f>
        <v/>
      </c>
      <c r="D2972" s="28">
        <f>IFERROR(IF(AND(ISNUMBER(B2972),ISNUMBER(B2971),B2971&lt;&gt;0),B2972/B2971-1,""),"")</f>
        <v/>
      </c>
      <c r="E2972" s="28">
        <f>IFERROR(IF(AND(ISNUMBER(C2972),ISNUMBER(C2971),C2971&lt;&gt;0),C2972/C2971-1,""),"")</f>
        <v/>
      </c>
      <c r="F2972" s="28">
        <f>IFERROR(D2972-Dashboard!$B$4/252,"")</f>
        <v/>
      </c>
      <c r="G2972" s="28">
        <f>IFERROR(E2972-Dashboard!$B$4/252,"")</f>
        <v/>
      </c>
      <c r="H2972" s="8">
        <f>IFERROR(IF(ISNUMBER(B2972),MAX(B2972,IFERROR(H2971,B2972)),""),"")</f>
        <v/>
      </c>
      <c r="I2972" s="29">
        <f>IFERROR(IF(AND(ISNUMBER(B2972),ISNUMBER(H2972)),B2972/H2972-1,""),"")</f>
        <v/>
      </c>
      <c r="J2972" s="8">
        <f>IFERROR(IF(ISNUMBER(C2972),MAX(C2972,IFERROR(J2971,C2972)),""),"")</f>
        <v/>
      </c>
      <c r="K2972" s="29">
        <f>IFERROR(IF(AND(ISNUMBER(C2972),ISNUMBER(J2972)),C2972/J2972-1,""),"")</f>
        <v/>
      </c>
      <c r="L2972" s="28">
        <f>IFERROR(IF(AND(ISNUMBER(D2972),ISNUMBER(E2972)),D2972-E2972,""),"")</f>
        <v/>
      </c>
    </row>
    <row r="2973">
      <c r="A2973" s="7">
        <f>IFERROR(Datos!A2973,"")</f>
        <v/>
      </c>
      <c r="B2973" s="8">
        <f>IFERROR(Datos!B2973,"")</f>
        <v/>
      </c>
      <c r="C2973" s="8">
        <f>IFERROR(Datos!C2973,"")</f>
        <v/>
      </c>
      <c r="D2973" s="28">
        <f>IFERROR(IF(AND(ISNUMBER(B2973),ISNUMBER(B2972),B2972&lt;&gt;0),B2973/B2972-1,""),"")</f>
        <v/>
      </c>
      <c r="E2973" s="28">
        <f>IFERROR(IF(AND(ISNUMBER(C2973),ISNUMBER(C2972),C2972&lt;&gt;0),C2973/C2972-1,""),"")</f>
        <v/>
      </c>
      <c r="F2973" s="28">
        <f>IFERROR(D2973-Dashboard!$B$4/252,"")</f>
        <v/>
      </c>
      <c r="G2973" s="28">
        <f>IFERROR(E2973-Dashboard!$B$4/252,"")</f>
        <v/>
      </c>
      <c r="H2973" s="8">
        <f>IFERROR(IF(ISNUMBER(B2973),MAX(B2973,IFERROR(H2972,B2973)),""),"")</f>
        <v/>
      </c>
      <c r="I2973" s="29">
        <f>IFERROR(IF(AND(ISNUMBER(B2973),ISNUMBER(H2973)),B2973/H2973-1,""),"")</f>
        <v/>
      </c>
      <c r="J2973" s="8">
        <f>IFERROR(IF(ISNUMBER(C2973),MAX(C2973,IFERROR(J2972,C2973)),""),"")</f>
        <v/>
      </c>
      <c r="K2973" s="29">
        <f>IFERROR(IF(AND(ISNUMBER(C2973),ISNUMBER(J2973)),C2973/J2973-1,""),"")</f>
        <v/>
      </c>
      <c r="L2973" s="28">
        <f>IFERROR(IF(AND(ISNUMBER(D2973),ISNUMBER(E2973)),D2973-E2973,""),"")</f>
        <v/>
      </c>
    </row>
    <row r="2974">
      <c r="A2974" s="7">
        <f>IFERROR(Datos!A2974,"")</f>
        <v/>
      </c>
      <c r="B2974" s="8">
        <f>IFERROR(Datos!B2974,"")</f>
        <v/>
      </c>
      <c r="C2974" s="8">
        <f>IFERROR(Datos!C2974,"")</f>
        <v/>
      </c>
      <c r="D2974" s="28">
        <f>IFERROR(IF(AND(ISNUMBER(B2974),ISNUMBER(B2973),B2973&lt;&gt;0),B2974/B2973-1,""),"")</f>
        <v/>
      </c>
      <c r="E2974" s="28">
        <f>IFERROR(IF(AND(ISNUMBER(C2974),ISNUMBER(C2973),C2973&lt;&gt;0),C2974/C2973-1,""),"")</f>
        <v/>
      </c>
      <c r="F2974" s="28">
        <f>IFERROR(D2974-Dashboard!$B$4/252,"")</f>
        <v/>
      </c>
      <c r="G2974" s="28">
        <f>IFERROR(E2974-Dashboard!$B$4/252,"")</f>
        <v/>
      </c>
      <c r="H2974" s="8">
        <f>IFERROR(IF(ISNUMBER(B2974),MAX(B2974,IFERROR(H2973,B2974)),""),"")</f>
        <v/>
      </c>
      <c r="I2974" s="29">
        <f>IFERROR(IF(AND(ISNUMBER(B2974),ISNUMBER(H2974)),B2974/H2974-1,""),"")</f>
        <v/>
      </c>
      <c r="J2974" s="8">
        <f>IFERROR(IF(ISNUMBER(C2974),MAX(C2974,IFERROR(J2973,C2974)),""),"")</f>
        <v/>
      </c>
      <c r="K2974" s="29">
        <f>IFERROR(IF(AND(ISNUMBER(C2974),ISNUMBER(J2974)),C2974/J2974-1,""),"")</f>
        <v/>
      </c>
      <c r="L2974" s="28">
        <f>IFERROR(IF(AND(ISNUMBER(D2974),ISNUMBER(E2974)),D2974-E2974,""),"")</f>
        <v/>
      </c>
    </row>
    <row r="2975">
      <c r="A2975" s="7">
        <f>IFERROR(Datos!A2975,"")</f>
        <v/>
      </c>
      <c r="B2975" s="8">
        <f>IFERROR(Datos!B2975,"")</f>
        <v/>
      </c>
      <c r="C2975" s="8">
        <f>IFERROR(Datos!C2975,"")</f>
        <v/>
      </c>
      <c r="D2975" s="28">
        <f>IFERROR(IF(AND(ISNUMBER(B2975),ISNUMBER(B2974),B2974&lt;&gt;0),B2975/B2974-1,""),"")</f>
        <v/>
      </c>
      <c r="E2975" s="28">
        <f>IFERROR(IF(AND(ISNUMBER(C2975),ISNUMBER(C2974),C2974&lt;&gt;0),C2975/C2974-1,""),"")</f>
        <v/>
      </c>
      <c r="F2975" s="28">
        <f>IFERROR(D2975-Dashboard!$B$4/252,"")</f>
        <v/>
      </c>
      <c r="G2975" s="28">
        <f>IFERROR(E2975-Dashboard!$B$4/252,"")</f>
        <v/>
      </c>
      <c r="H2975" s="8">
        <f>IFERROR(IF(ISNUMBER(B2975),MAX(B2975,IFERROR(H2974,B2975)),""),"")</f>
        <v/>
      </c>
      <c r="I2975" s="29">
        <f>IFERROR(IF(AND(ISNUMBER(B2975),ISNUMBER(H2975)),B2975/H2975-1,""),"")</f>
        <v/>
      </c>
      <c r="J2975" s="8">
        <f>IFERROR(IF(ISNUMBER(C2975),MAX(C2975,IFERROR(J2974,C2975)),""),"")</f>
        <v/>
      </c>
      <c r="K2975" s="29">
        <f>IFERROR(IF(AND(ISNUMBER(C2975),ISNUMBER(J2975)),C2975/J2975-1,""),"")</f>
        <v/>
      </c>
      <c r="L2975" s="28">
        <f>IFERROR(IF(AND(ISNUMBER(D2975),ISNUMBER(E2975)),D2975-E2975,""),"")</f>
        <v/>
      </c>
    </row>
    <row r="2976">
      <c r="A2976" s="7">
        <f>IFERROR(Datos!A2976,"")</f>
        <v/>
      </c>
      <c r="B2976" s="8">
        <f>IFERROR(Datos!B2976,"")</f>
        <v/>
      </c>
      <c r="C2976" s="8">
        <f>IFERROR(Datos!C2976,"")</f>
        <v/>
      </c>
      <c r="D2976" s="28">
        <f>IFERROR(IF(AND(ISNUMBER(B2976),ISNUMBER(B2975),B2975&lt;&gt;0),B2976/B2975-1,""),"")</f>
        <v/>
      </c>
      <c r="E2976" s="28">
        <f>IFERROR(IF(AND(ISNUMBER(C2976),ISNUMBER(C2975),C2975&lt;&gt;0),C2976/C2975-1,""),"")</f>
        <v/>
      </c>
      <c r="F2976" s="28">
        <f>IFERROR(D2976-Dashboard!$B$4/252,"")</f>
        <v/>
      </c>
      <c r="G2976" s="28">
        <f>IFERROR(E2976-Dashboard!$B$4/252,"")</f>
        <v/>
      </c>
      <c r="H2976" s="8">
        <f>IFERROR(IF(ISNUMBER(B2976),MAX(B2976,IFERROR(H2975,B2976)),""),"")</f>
        <v/>
      </c>
      <c r="I2976" s="29">
        <f>IFERROR(IF(AND(ISNUMBER(B2976),ISNUMBER(H2976)),B2976/H2976-1,""),"")</f>
        <v/>
      </c>
      <c r="J2976" s="8">
        <f>IFERROR(IF(ISNUMBER(C2976),MAX(C2976,IFERROR(J2975,C2976)),""),"")</f>
        <v/>
      </c>
      <c r="K2976" s="29">
        <f>IFERROR(IF(AND(ISNUMBER(C2976),ISNUMBER(J2976)),C2976/J2976-1,""),"")</f>
        <v/>
      </c>
      <c r="L2976" s="28">
        <f>IFERROR(IF(AND(ISNUMBER(D2976),ISNUMBER(E2976)),D2976-E2976,""),"")</f>
        <v/>
      </c>
    </row>
    <row r="2977">
      <c r="A2977" s="7">
        <f>IFERROR(Datos!A2977,"")</f>
        <v/>
      </c>
      <c r="B2977" s="8">
        <f>IFERROR(Datos!B2977,"")</f>
        <v/>
      </c>
      <c r="C2977" s="8">
        <f>IFERROR(Datos!C2977,"")</f>
        <v/>
      </c>
      <c r="D2977" s="28">
        <f>IFERROR(IF(AND(ISNUMBER(B2977),ISNUMBER(B2976),B2976&lt;&gt;0),B2977/B2976-1,""),"")</f>
        <v/>
      </c>
      <c r="E2977" s="28">
        <f>IFERROR(IF(AND(ISNUMBER(C2977),ISNUMBER(C2976),C2976&lt;&gt;0),C2977/C2976-1,""),"")</f>
        <v/>
      </c>
      <c r="F2977" s="28">
        <f>IFERROR(D2977-Dashboard!$B$4/252,"")</f>
        <v/>
      </c>
      <c r="G2977" s="28">
        <f>IFERROR(E2977-Dashboard!$B$4/252,"")</f>
        <v/>
      </c>
      <c r="H2977" s="8">
        <f>IFERROR(IF(ISNUMBER(B2977),MAX(B2977,IFERROR(H2976,B2977)),""),"")</f>
        <v/>
      </c>
      <c r="I2977" s="29">
        <f>IFERROR(IF(AND(ISNUMBER(B2977),ISNUMBER(H2977)),B2977/H2977-1,""),"")</f>
        <v/>
      </c>
      <c r="J2977" s="8">
        <f>IFERROR(IF(ISNUMBER(C2977),MAX(C2977,IFERROR(J2976,C2977)),""),"")</f>
        <v/>
      </c>
      <c r="K2977" s="29">
        <f>IFERROR(IF(AND(ISNUMBER(C2977),ISNUMBER(J2977)),C2977/J2977-1,""),"")</f>
        <v/>
      </c>
      <c r="L2977" s="28">
        <f>IFERROR(IF(AND(ISNUMBER(D2977),ISNUMBER(E2977)),D2977-E2977,""),"")</f>
        <v/>
      </c>
    </row>
    <row r="2978">
      <c r="A2978" s="7">
        <f>IFERROR(Datos!A2978,"")</f>
        <v/>
      </c>
      <c r="B2978" s="8">
        <f>IFERROR(Datos!B2978,"")</f>
        <v/>
      </c>
      <c r="C2978" s="8">
        <f>IFERROR(Datos!C2978,"")</f>
        <v/>
      </c>
      <c r="D2978" s="28">
        <f>IFERROR(IF(AND(ISNUMBER(B2978),ISNUMBER(B2977),B2977&lt;&gt;0),B2978/B2977-1,""),"")</f>
        <v/>
      </c>
      <c r="E2978" s="28">
        <f>IFERROR(IF(AND(ISNUMBER(C2978),ISNUMBER(C2977),C2977&lt;&gt;0),C2978/C2977-1,""),"")</f>
        <v/>
      </c>
      <c r="F2978" s="28">
        <f>IFERROR(D2978-Dashboard!$B$4/252,"")</f>
        <v/>
      </c>
      <c r="G2978" s="28">
        <f>IFERROR(E2978-Dashboard!$B$4/252,"")</f>
        <v/>
      </c>
      <c r="H2978" s="8">
        <f>IFERROR(IF(ISNUMBER(B2978),MAX(B2978,IFERROR(H2977,B2978)),""),"")</f>
        <v/>
      </c>
      <c r="I2978" s="29">
        <f>IFERROR(IF(AND(ISNUMBER(B2978),ISNUMBER(H2978)),B2978/H2978-1,""),"")</f>
        <v/>
      </c>
      <c r="J2978" s="8">
        <f>IFERROR(IF(ISNUMBER(C2978),MAX(C2978,IFERROR(J2977,C2978)),""),"")</f>
        <v/>
      </c>
      <c r="K2978" s="29">
        <f>IFERROR(IF(AND(ISNUMBER(C2978),ISNUMBER(J2978)),C2978/J2978-1,""),"")</f>
        <v/>
      </c>
      <c r="L2978" s="28">
        <f>IFERROR(IF(AND(ISNUMBER(D2978),ISNUMBER(E2978)),D2978-E2978,""),"")</f>
        <v/>
      </c>
    </row>
    <row r="2979">
      <c r="A2979" s="7">
        <f>IFERROR(Datos!A2979,"")</f>
        <v/>
      </c>
      <c r="B2979" s="8">
        <f>IFERROR(Datos!B2979,"")</f>
        <v/>
      </c>
      <c r="C2979" s="8">
        <f>IFERROR(Datos!C2979,"")</f>
        <v/>
      </c>
      <c r="D2979" s="28">
        <f>IFERROR(IF(AND(ISNUMBER(B2979),ISNUMBER(B2978),B2978&lt;&gt;0),B2979/B2978-1,""),"")</f>
        <v/>
      </c>
      <c r="E2979" s="28">
        <f>IFERROR(IF(AND(ISNUMBER(C2979),ISNUMBER(C2978),C2978&lt;&gt;0),C2979/C2978-1,""),"")</f>
        <v/>
      </c>
      <c r="F2979" s="28">
        <f>IFERROR(D2979-Dashboard!$B$4/252,"")</f>
        <v/>
      </c>
      <c r="G2979" s="28">
        <f>IFERROR(E2979-Dashboard!$B$4/252,"")</f>
        <v/>
      </c>
      <c r="H2979" s="8">
        <f>IFERROR(IF(ISNUMBER(B2979),MAX(B2979,IFERROR(H2978,B2979)),""),"")</f>
        <v/>
      </c>
      <c r="I2979" s="29">
        <f>IFERROR(IF(AND(ISNUMBER(B2979),ISNUMBER(H2979)),B2979/H2979-1,""),"")</f>
        <v/>
      </c>
      <c r="J2979" s="8">
        <f>IFERROR(IF(ISNUMBER(C2979),MAX(C2979,IFERROR(J2978,C2979)),""),"")</f>
        <v/>
      </c>
      <c r="K2979" s="29">
        <f>IFERROR(IF(AND(ISNUMBER(C2979),ISNUMBER(J2979)),C2979/J2979-1,""),"")</f>
        <v/>
      </c>
      <c r="L2979" s="28">
        <f>IFERROR(IF(AND(ISNUMBER(D2979),ISNUMBER(E2979)),D2979-E2979,""),"")</f>
        <v/>
      </c>
    </row>
    <row r="2980">
      <c r="A2980" s="7">
        <f>IFERROR(Datos!A2980,"")</f>
        <v/>
      </c>
      <c r="B2980" s="8">
        <f>IFERROR(Datos!B2980,"")</f>
        <v/>
      </c>
      <c r="C2980" s="8">
        <f>IFERROR(Datos!C2980,"")</f>
        <v/>
      </c>
      <c r="D2980" s="28">
        <f>IFERROR(IF(AND(ISNUMBER(B2980),ISNUMBER(B2979),B2979&lt;&gt;0),B2980/B2979-1,""),"")</f>
        <v/>
      </c>
      <c r="E2980" s="28">
        <f>IFERROR(IF(AND(ISNUMBER(C2980),ISNUMBER(C2979),C2979&lt;&gt;0),C2980/C2979-1,""),"")</f>
        <v/>
      </c>
      <c r="F2980" s="28">
        <f>IFERROR(D2980-Dashboard!$B$4/252,"")</f>
        <v/>
      </c>
      <c r="G2980" s="28">
        <f>IFERROR(E2980-Dashboard!$B$4/252,"")</f>
        <v/>
      </c>
      <c r="H2980" s="8">
        <f>IFERROR(IF(ISNUMBER(B2980),MAX(B2980,IFERROR(H2979,B2980)),""),"")</f>
        <v/>
      </c>
      <c r="I2980" s="29">
        <f>IFERROR(IF(AND(ISNUMBER(B2980),ISNUMBER(H2980)),B2980/H2980-1,""),"")</f>
        <v/>
      </c>
      <c r="J2980" s="8">
        <f>IFERROR(IF(ISNUMBER(C2980),MAX(C2980,IFERROR(J2979,C2980)),""),"")</f>
        <v/>
      </c>
      <c r="K2980" s="29">
        <f>IFERROR(IF(AND(ISNUMBER(C2980),ISNUMBER(J2980)),C2980/J2980-1,""),"")</f>
        <v/>
      </c>
      <c r="L2980" s="28">
        <f>IFERROR(IF(AND(ISNUMBER(D2980),ISNUMBER(E2980)),D2980-E2980,""),"")</f>
        <v/>
      </c>
    </row>
    <row r="2981">
      <c r="A2981" s="7">
        <f>IFERROR(Datos!A2981,"")</f>
        <v/>
      </c>
      <c r="B2981" s="8">
        <f>IFERROR(Datos!B2981,"")</f>
        <v/>
      </c>
      <c r="C2981" s="8">
        <f>IFERROR(Datos!C2981,"")</f>
        <v/>
      </c>
      <c r="D2981" s="28">
        <f>IFERROR(IF(AND(ISNUMBER(B2981),ISNUMBER(B2980),B2980&lt;&gt;0),B2981/B2980-1,""),"")</f>
        <v/>
      </c>
      <c r="E2981" s="28">
        <f>IFERROR(IF(AND(ISNUMBER(C2981),ISNUMBER(C2980),C2980&lt;&gt;0),C2981/C2980-1,""),"")</f>
        <v/>
      </c>
      <c r="F2981" s="28">
        <f>IFERROR(D2981-Dashboard!$B$4/252,"")</f>
        <v/>
      </c>
      <c r="G2981" s="28">
        <f>IFERROR(E2981-Dashboard!$B$4/252,"")</f>
        <v/>
      </c>
      <c r="H2981" s="8">
        <f>IFERROR(IF(ISNUMBER(B2981),MAX(B2981,IFERROR(H2980,B2981)),""),"")</f>
        <v/>
      </c>
      <c r="I2981" s="29">
        <f>IFERROR(IF(AND(ISNUMBER(B2981),ISNUMBER(H2981)),B2981/H2981-1,""),"")</f>
        <v/>
      </c>
      <c r="J2981" s="8">
        <f>IFERROR(IF(ISNUMBER(C2981),MAX(C2981,IFERROR(J2980,C2981)),""),"")</f>
        <v/>
      </c>
      <c r="K2981" s="29">
        <f>IFERROR(IF(AND(ISNUMBER(C2981),ISNUMBER(J2981)),C2981/J2981-1,""),"")</f>
        <v/>
      </c>
      <c r="L2981" s="28">
        <f>IFERROR(IF(AND(ISNUMBER(D2981),ISNUMBER(E2981)),D2981-E2981,""),"")</f>
        <v/>
      </c>
    </row>
    <row r="2982">
      <c r="A2982" s="7">
        <f>IFERROR(Datos!A2982,"")</f>
        <v/>
      </c>
      <c r="B2982" s="8">
        <f>IFERROR(Datos!B2982,"")</f>
        <v/>
      </c>
      <c r="C2982" s="8">
        <f>IFERROR(Datos!C2982,"")</f>
        <v/>
      </c>
      <c r="D2982" s="28">
        <f>IFERROR(IF(AND(ISNUMBER(B2982),ISNUMBER(B2981),B2981&lt;&gt;0),B2982/B2981-1,""),"")</f>
        <v/>
      </c>
      <c r="E2982" s="28">
        <f>IFERROR(IF(AND(ISNUMBER(C2982),ISNUMBER(C2981),C2981&lt;&gt;0),C2982/C2981-1,""),"")</f>
        <v/>
      </c>
      <c r="F2982" s="28">
        <f>IFERROR(D2982-Dashboard!$B$4/252,"")</f>
        <v/>
      </c>
      <c r="G2982" s="28">
        <f>IFERROR(E2982-Dashboard!$B$4/252,"")</f>
        <v/>
      </c>
      <c r="H2982" s="8">
        <f>IFERROR(IF(ISNUMBER(B2982),MAX(B2982,IFERROR(H2981,B2982)),""),"")</f>
        <v/>
      </c>
      <c r="I2982" s="29">
        <f>IFERROR(IF(AND(ISNUMBER(B2982),ISNUMBER(H2982)),B2982/H2982-1,""),"")</f>
        <v/>
      </c>
      <c r="J2982" s="8">
        <f>IFERROR(IF(ISNUMBER(C2982),MAX(C2982,IFERROR(J2981,C2982)),""),"")</f>
        <v/>
      </c>
      <c r="K2982" s="29">
        <f>IFERROR(IF(AND(ISNUMBER(C2982),ISNUMBER(J2982)),C2982/J2982-1,""),"")</f>
        <v/>
      </c>
      <c r="L2982" s="28">
        <f>IFERROR(IF(AND(ISNUMBER(D2982),ISNUMBER(E2982)),D2982-E2982,""),"")</f>
        <v/>
      </c>
    </row>
    <row r="2983">
      <c r="A2983" s="7">
        <f>IFERROR(Datos!A2983,"")</f>
        <v/>
      </c>
      <c r="B2983" s="8">
        <f>IFERROR(Datos!B2983,"")</f>
        <v/>
      </c>
      <c r="C2983" s="8">
        <f>IFERROR(Datos!C2983,"")</f>
        <v/>
      </c>
      <c r="D2983" s="28">
        <f>IFERROR(IF(AND(ISNUMBER(B2983),ISNUMBER(B2982),B2982&lt;&gt;0),B2983/B2982-1,""),"")</f>
        <v/>
      </c>
      <c r="E2983" s="28">
        <f>IFERROR(IF(AND(ISNUMBER(C2983),ISNUMBER(C2982),C2982&lt;&gt;0),C2983/C2982-1,""),"")</f>
        <v/>
      </c>
      <c r="F2983" s="28">
        <f>IFERROR(D2983-Dashboard!$B$4/252,"")</f>
        <v/>
      </c>
      <c r="G2983" s="28">
        <f>IFERROR(E2983-Dashboard!$B$4/252,"")</f>
        <v/>
      </c>
      <c r="H2983" s="8">
        <f>IFERROR(IF(ISNUMBER(B2983),MAX(B2983,IFERROR(H2982,B2983)),""),"")</f>
        <v/>
      </c>
      <c r="I2983" s="29">
        <f>IFERROR(IF(AND(ISNUMBER(B2983),ISNUMBER(H2983)),B2983/H2983-1,""),"")</f>
        <v/>
      </c>
      <c r="J2983" s="8">
        <f>IFERROR(IF(ISNUMBER(C2983),MAX(C2983,IFERROR(J2982,C2983)),""),"")</f>
        <v/>
      </c>
      <c r="K2983" s="29">
        <f>IFERROR(IF(AND(ISNUMBER(C2983),ISNUMBER(J2983)),C2983/J2983-1,""),"")</f>
        <v/>
      </c>
      <c r="L2983" s="28">
        <f>IFERROR(IF(AND(ISNUMBER(D2983),ISNUMBER(E2983)),D2983-E2983,""),"")</f>
        <v/>
      </c>
    </row>
    <row r="2984">
      <c r="A2984" s="7">
        <f>IFERROR(Datos!A2984,"")</f>
        <v/>
      </c>
      <c r="B2984" s="8">
        <f>IFERROR(Datos!B2984,"")</f>
        <v/>
      </c>
      <c r="C2984" s="8">
        <f>IFERROR(Datos!C2984,"")</f>
        <v/>
      </c>
      <c r="D2984" s="28">
        <f>IFERROR(IF(AND(ISNUMBER(B2984),ISNUMBER(B2983),B2983&lt;&gt;0),B2984/B2983-1,""),"")</f>
        <v/>
      </c>
      <c r="E2984" s="28">
        <f>IFERROR(IF(AND(ISNUMBER(C2984),ISNUMBER(C2983),C2983&lt;&gt;0),C2984/C2983-1,""),"")</f>
        <v/>
      </c>
      <c r="F2984" s="28">
        <f>IFERROR(D2984-Dashboard!$B$4/252,"")</f>
        <v/>
      </c>
      <c r="G2984" s="28">
        <f>IFERROR(E2984-Dashboard!$B$4/252,"")</f>
        <v/>
      </c>
      <c r="H2984" s="8">
        <f>IFERROR(IF(ISNUMBER(B2984),MAX(B2984,IFERROR(H2983,B2984)),""),"")</f>
        <v/>
      </c>
      <c r="I2984" s="29">
        <f>IFERROR(IF(AND(ISNUMBER(B2984),ISNUMBER(H2984)),B2984/H2984-1,""),"")</f>
        <v/>
      </c>
      <c r="J2984" s="8">
        <f>IFERROR(IF(ISNUMBER(C2984),MAX(C2984,IFERROR(J2983,C2984)),""),"")</f>
        <v/>
      </c>
      <c r="K2984" s="29">
        <f>IFERROR(IF(AND(ISNUMBER(C2984),ISNUMBER(J2984)),C2984/J2984-1,""),"")</f>
        <v/>
      </c>
      <c r="L2984" s="28">
        <f>IFERROR(IF(AND(ISNUMBER(D2984),ISNUMBER(E2984)),D2984-E2984,""),"")</f>
        <v/>
      </c>
    </row>
    <row r="2985">
      <c r="A2985" s="7">
        <f>IFERROR(Datos!A2985,"")</f>
        <v/>
      </c>
      <c r="B2985" s="8">
        <f>IFERROR(Datos!B2985,"")</f>
        <v/>
      </c>
      <c r="C2985" s="8">
        <f>IFERROR(Datos!C2985,"")</f>
        <v/>
      </c>
      <c r="D2985" s="28">
        <f>IFERROR(IF(AND(ISNUMBER(B2985),ISNUMBER(B2984),B2984&lt;&gt;0),B2985/B2984-1,""),"")</f>
        <v/>
      </c>
      <c r="E2985" s="28">
        <f>IFERROR(IF(AND(ISNUMBER(C2985),ISNUMBER(C2984),C2984&lt;&gt;0),C2985/C2984-1,""),"")</f>
        <v/>
      </c>
      <c r="F2985" s="28">
        <f>IFERROR(D2985-Dashboard!$B$4/252,"")</f>
        <v/>
      </c>
      <c r="G2985" s="28">
        <f>IFERROR(E2985-Dashboard!$B$4/252,"")</f>
        <v/>
      </c>
      <c r="H2985" s="8">
        <f>IFERROR(IF(ISNUMBER(B2985),MAX(B2985,IFERROR(H2984,B2985)),""),"")</f>
        <v/>
      </c>
      <c r="I2985" s="29">
        <f>IFERROR(IF(AND(ISNUMBER(B2985),ISNUMBER(H2985)),B2985/H2985-1,""),"")</f>
        <v/>
      </c>
      <c r="J2985" s="8">
        <f>IFERROR(IF(ISNUMBER(C2985),MAX(C2985,IFERROR(J2984,C2985)),""),"")</f>
        <v/>
      </c>
      <c r="K2985" s="29">
        <f>IFERROR(IF(AND(ISNUMBER(C2985),ISNUMBER(J2985)),C2985/J2985-1,""),"")</f>
        <v/>
      </c>
      <c r="L2985" s="28">
        <f>IFERROR(IF(AND(ISNUMBER(D2985),ISNUMBER(E2985)),D2985-E2985,""),"")</f>
        <v/>
      </c>
    </row>
    <row r="2986">
      <c r="A2986" s="7">
        <f>IFERROR(Datos!A2986,"")</f>
        <v/>
      </c>
      <c r="B2986" s="8">
        <f>IFERROR(Datos!B2986,"")</f>
        <v/>
      </c>
      <c r="C2986" s="8">
        <f>IFERROR(Datos!C2986,"")</f>
        <v/>
      </c>
      <c r="D2986" s="28">
        <f>IFERROR(IF(AND(ISNUMBER(B2986),ISNUMBER(B2985),B2985&lt;&gt;0),B2986/B2985-1,""),"")</f>
        <v/>
      </c>
      <c r="E2986" s="28">
        <f>IFERROR(IF(AND(ISNUMBER(C2986),ISNUMBER(C2985),C2985&lt;&gt;0),C2986/C2985-1,""),"")</f>
        <v/>
      </c>
      <c r="F2986" s="28">
        <f>IFERROR(D2986-Dashboard!$B$4/252,"")</f>
        <v/>
      </c>
      <c r="G2986" s="28">
        <f>IFERROR(E2986-Dashboard!$B$4/252,"")</f>
        <v/>
      </c>
      <c r="H2986" s="8">
        <f>IFERROR(IF(ISNUMBER(B2986),MAX(B2986,IFERROR(H2985,B2986)),""),"")</f>
        <v/>
      </c>
      <c r="I2986" s="29">
        <f>IFERROR(IF(AND(ISNUMBER(B2986),ISNUMBER(H2986)),B2986/H2986-1,""),"")</f>
        <v/>
      </c>
      <c r="J2986" s="8">
        <f>IFERROR(IF(ISNUMBER(C2986),MAX(C2986,IFERROR(J2985,C2986)),""),"")</f>
        <v/>
      </c>
      <c r="K2986" s="29">
        <f>IFERROR(IF(AND(ISNUMBER(C2986),ISNUMBER(J2986)),C2986/J2986-1,""),"")</f>
        <v/>
      </c>
      <c r="L2986" s="28">
        <f>IFERROR(IF(AND(ISNUMBER(D2986),ISNUMBER(E2986)),D2986-E2986,""),"")</f>
        <v/>
      </c>
    </row>
    <row r="2987">
      <c r="A2987" s="7">
        <f>IFERROR(Datos!A2987,"")</f>
        <v/>
      </c>
      <c r="B2987" s="8">
        <f>IFERROR(Datos!B2987,"")</f>
        <v/>
      </c>
      <c r="C2987" s="8">
        <f>IFERROR(Datos!C2987,"")</f>
        <v/>
      </c>
      <c r="D2987" s="28">
        <f>IFERROR(IF(AND(ISNUMBER(B2987),ISNUMBER(B2986),B2986&lt;&gt;0),B2987/B2986-1,""),"")</f>
        <v/>
      </c>
      <c r="E2987" s="28">
        <f>IFERROR(IF(AND(ISNUMBER(C2987),ISNUMBER(C2986),C2986&lt;&gt;0),C2987/C2986-1,""),"")</f>
        <v/>
      </c>
      <c r="F2987" s="28">
        <f>IFERROR(D2987-Dashboard!$B$4/252,"")</f>
        <v/>
      </c>
      <c r="G2987" s="28">
        <f>IFERROR(E2987-Dashboard!$B$4/252,"")</f>
        <v/>
      </c>
      <c r="H2987" s="8">
        <f>IFERROR(IF(ISNUMBER(B2987),MAX(B2987,IFERROR(H2986,B2987)),""),"")</f>
        <v/>
      </c>
      <c r="I2987" s="29">
        <f>IFERROR(IF(AND(ISNUMBER(B2987),ISNUMBER(H2987)),B2987/H2987-1,""),"")</f>
        <v/>
      </c>
      <c r="J2987" s="8">
        <f>IFERROR(IF(ISNUMBER(C2987),MAX(C2987,IFERROR(J2986,C2987)),""),"")</f>
        <v/>
      </c>
      <c r="K2987" s="29">
        <f>IFERROR(IF(AND(ISNUMBER(C2987),ISNUMBER(J2987)),C2987/J2987-1,""),"")</f>
        <v/>
      </c>
      <c r="L2987" s="28">
        <f>IFERROR(IF(AND(ISNUMBER(D2987),ISNUMBER(E2987)),D2987-E2987,""),"")</f>
        <v/>
      </c>
    </row>
    <row r="2988">
      <c r="A2988" s="7">
        <f>IFERROR(Datos!A2988,"")</f>
        <v/>
      </c>
      <c r="B2988" s="8">
        <f>IFERROR(Datos!B2988,"")</f>
        <v/>
      </c>
      <c r="C2988" s="8">
        <f>IFERROR(Datos!C2988,"")</f>
        <v/>
      </c>
      <c r="D2988" s="28">
        <f>IFERROR(IF(AND(ISNUMBER(B2988),ISNUMBER(B2987),B2987&lt;&gt;0),B2988/B2987-1,""),"")</f>
        <v/>
      </c>
      <c r="E2988" s="28">
        <f>IFERROR(IF(AND(ISNUMBER(C2988),ISNUMBER(C2987),C2987&lt;&gt;0),C2988/C2987-1,""),"")</f>
        <v/>
      </c>
      <c r="F2988" s="28">
        <f>IFERROR(D2988-Dashboard!$B$4/252,"")</f>
        <v/>
      </c>
      <c r="G2988" s="28">
        <f>IFERROR(E2988-Dashboard!$B$4/252,"")</f>
        <v/>
      </c>
      <c r="H2988" s="8">
        <f>IFERROR(IF(ISNUMBER(B2988),MAX(B2988,IFERROR(H2987,B2988)),""),"")</f>
        <v/>
      </c>
      <c r="I2988" s="29">
        <f>IFERROR(IF(AND(ISNUMBER(B2988),ISNUMBER(H2988)),B2988/H2988-1,""),"")</f>
        <v/>
      </c>
      <c r="J2988" s="8">
        <f>IFERROR(IF(ISNUMBER(C2988),MAX(C2988,IFERROR(J2987,C2988)),""),"")</f>
        <v/>
      </c>
      <c r="K2988" s="29">
        <f>IFERROR(IF(AND(ISNUMBER(C2988),ISNUMBER(J2988)),C2988/J2988-1,""),"")</f>
        <v/>
      </c>
      <c r="L2988" s="28">
        <f>IFERROR(IF(AND(ISNUMBER(D2988),ISNUMBER(E2988)),D2988-E2988,""),"")</f>
        <v/>
      </c>
    </row>
    <row r="2989">
      <c r="A2989" s="7">
        <f>IFERROR(Datos!A2989,"")</f>
        <v/>
      </c>
      <c r="B2989" s="8">
        <f>IFERROR(Datos!B2989,"")</f>
        <v/>
      </c>
      <c r="C2989" s="8">
        <f>IFERROR(Datos!C2989,"")</f>
        <v/>
      </c>
      <c r="D2989" s="28">
        <f>IFERROR(IF(AND(ISNUMBER(B2989),ISNUMBER(B2988),B2988&lt;&gt;0),B2989/B2988-1,""),"")</f>
        <v/>
      </c>
      <c r="E2989" s="28">
        <f>IFERROR(IF(AND(ISNUMBER(C2989),ISNUMBER(C2988),C2988&lt;&gt;0),C2989/C2988-1,""),"")</f>
        <v/>
      </c>
      <c r="F2989" s="28">
        <f>IFERROR(D2989-Dashboard!$B$4/252,"")</f>
        <v/>
      </c>
      <c r="G2989" s="28">
        <f>IFERROR(E2989-Dashboard!$B$4/252,"")</f>
        <v/>
      </c>
      <c r="H2989" s="8">
        <f>IFERROR(IF(ISNUMBER(B2989),MAX(B2989,IFERROR(H2988,B2989)),""),"")</f>
        <v/>
      </c>
      <c r="I2989" s="29">
        <f>IFERROR(IF(AND(ISNUMBER(B2989),ISNUMBER(H2989)),B2989/H2989-1,""),"")</f>
        <v/>
      </c>
      <c r="J2989" s="8">
        <f>IFERROR(IF(ISNUMBER(C2989),MAX(C2989,IFERROR(J2988,C2989)),""),"")</f>
        <v/>
      </c>
      <c r="K2989" s="29">
        <f>IFERROR(IF(AND(ISNUMBER(C2989),ISNUMBER(J2989)),C2989/J2989-1,""),"")</f>
        <v/>
      </c>
      <c r="L2989" s="28">
        <f>IFERROR(IF(AND(ISNUMBER(D2989),ISNUMBER(E2989)),D2989-E2989,""),"")</f>
        <v/>
      </c>
    </row>
    <row r="2990">
      <c r="A2990" s="7">
        <f>IFERROR(Datos!A2990,"")</f>
        <v/>
      </c>
      <c r="B2990" s="8">
        <f>IFERROR(Datos!B2990,"")</f>
        <v/>
      </c>
      <c r="C2990" s="8">
        <f>IFERROR(Datos!C2990,"")</f>
        <v/>
      </c>
      <c r="D2990" s="28">
        <f>IFERROR(IF(AND(ISNUMBER(B2990),ISNUMBER(B2989),B2989&lt;&gt;0),B2990/B2989-1,""),"")</f>
        <v/>
      </c>
      <c r="E2990" s="28">
        <f>IFERROR(IF(AND(ISNUMBER(C2990),ISNUMBER(C2989),C2989&lt;&gt;0),C2990/C2989-1,""),"")</f>
        <v/>
      </c>
      <c r="F2990" s="28">
        <f>IFERROR(D2990-Dashboard!$B$4/252,"")</f>
        <v/>
      </c>
      <c r="G2990" s="28">
        <f>IFERROR(E2990-Dashboard!$B$4/252,"")</f>
        <v/>
      </c>
      <c r="H2990" s="8">
        <f>IFERROR(IF(ISNUMBER(B2990),MAX(B2990,IFERROR(H2989,B2990)),""),"")</f>
        <v/>
      </c>
      <c r="I2990" s="29">
        <f>IFERROR(IF(AND(ISNUMBER(B2990),ISNUMBER(H2990)),B2990/H2990-1,""),"")</f>
        <v/>
      </c>
      <c r="J2990" s="8">
        <f>IFERROR(IF(ISNUMBER(C2990),MAX(C2990,IFERROR(J2989,C2990)),""),"")</f>
        <v/>
      </c>
      <c r="K2990" s="29">
        <f>IFERROR(IF(AND(ISNUMBER(C2990),ISNUMBER(J2990)),C2990/J2990-1,""),"")</f>
        <v/>
      </c>
      <c r="L2990" s="28">
        <f>IFERROR(IF(AND(ISNUMBER(D2990),ISNUMBER(E2990)),D2990-E2990,""),"")</f>
        <v/>
      </c>
    </row>
    <row r="2991">
      <c r="A2991" s="7">
        <f>IFERROR(Datos!A2991,"")</f>
        <v/>
      </c>
      <c r="B2991" s="8">
        <f>IFERROR(Datos!B2991,"")</f>
        <v/>
      </c>
      <c r="C2991" s="8">
        <f>IFERROR(Datos!C2991,"")</f>
        <v/>
      </c>
      <c r="D2991" s="28">
        <f>IFERROR(IF(AND(ISNUMBER(B2991),ISNUMBER(B2990),B2990&lt;&gt;0),B2991/B2990-1,""),"")</f>
        <v/>
      </c>
      <c r="E2991" s="28">
        <f>IFERROR(IF(AND(ISNUMBER(C2991),ISNUMBER(C2990),C2990&lt;&gt;0),C2991/C2990-1,""),"")</f>
        <v/>
      </c>
      <c r="F2991" s="28">
        <f>IFERROR(D2991-Dashboard!$B$4/252,"")</f>
        <v/>
      </c>
      <c r="G2991" s="28">
        <f>IFERROR(E2991-Dashboard!$B$4/252,"")</f>
        <v/>
      </c>
      <c r="H2991" s="8">
        <f>IFERROR(IF(ISNUMBER(B2991),MAX(B2991,IFERROR(H2990,B2991)),""),"")</f>
        <v/>
      </c>
      <c r="I2991" s="29">
        <f>IFERROR(IF(AND(ISNUMBER(B2991),ISNUMBER(H2991)),B2991/H2991-1,""),"")</f>
        <v/>
      </c>
      <c r="J2991" s="8">
        <f>IFERROR(IF(ISNUMBER(C2991),MAX(C2991,IFERROR(J2990,C2991)),""),"")</f>
        <v/>
      </c>
      <c r="K2991" s="29">
        <f>IFERROR(IF(AND(ISNUMBER(C2991),ISNUMBER(J2991)),C2991/J2991-1,""),"")</f>
        <v/>
      </c>
      <c r="L2991" s="28">
        <f>IFERROR(IF(AND(ISNUMBER(D2991),ISNUMBER(E2991)),D2991-E2991,""),"")</f>
        <v/>
      </c>
    </row>
    <row r="2992">
      <c r="A2992" s="7">
        <f>IFERROR(Datos!A2992,"")</f>
        <v/>
      </c>
      <c r="B2992" s="8">
        <f>IFERROR(Datos!B2992,"")</f>
        <v/>
      </c>
      <c r="C2992" s="8">
        <f>IFERROR(Datos!C2992,"")</f>
        <v/>
      </c>
      <c r="D2992" s="28">
        <f>IFERROR(IF(AND(ISNUMBER(B2992),ISNUMBER(B2991),B2991&lt;&gt;0),B2992/B2991-1,""),"")</f>
        <v/>
      </c>
      <c r="E2992" s="28">
        <f>IFERROR(IF(AND(ISNUMBER(C2992),ISNUMBER(C2991),C2991&lt;&gt;0),C2992/C2991-1,""),"")</f>
        <v/>
      </c>
      <c r="F2992" s="28">
        <f>IFERROR(D2992-Dashboard!$B$4/252,"")</f>
        <v/>
      </c>
      <c r="G2992" s="28">
        <f>IFERROR(E2992-Dashboard!$B$4/252,"")</f>
        <v/>
      </c>
      <c r="H2992" s="8">
        <f>IFERROR(IF(ISNUMBER(B2992),MAX(B2992,IFERROR(H2991,B2992)),""),"")</f>
        <v/>
      </c>
      <c r="I2992" s="29">
        <f>IFERROR(IF(AND(ISNUMBER(B2992),ISNUMBER(H2992)),B2992/H2992-1,""),"")</f>
        <v/>
      </c>
      <c r="J2992" s="8">
        <f>IFERROR(IF(ISNUMBER(C2992),MAX(C2992,IFERROR(J2991,C2992)),""),"")</f>
        <v/>
      </c>
      <c r="K2992" s="29">
        <f>IFERROR(IF(AND(ISNUMBER(C2992),ISNUMBER(J2992)),C2992/J2992-1,""),"")</f>
        <v/>
      </c>
      <c r="L2992" s="28">
        <f>IFERROR(IF(AND(ISNUMBER(D2992),ISNUMBER(E2992)),D2992-E2992,""),"")</f>
        <v/>
      </c>
    </row>
    <row r="2993">
      <c r="A2993" s="7">
        <f>IFERROR(Datos!A2993,"")</f>
        <v/>
      </c>
      <c r="B2993" s="8">
        <f>IFERROR(Datos!B2993,"")</f>
        <v/>
      </c>
      <c r="C2993" s="8">
        <f>IFERROR(Datos!C2993,"")</f>
        <v/>
      </c>
      <c r="D2993" s="28">
        <f>IFERROR(IF(AND(ISNUMBER(B2993),ISNUMBER(B2992),B2992&lt;&gt;0),B2993/B2992-1,""),"")</f>
        <v/>
      </c>
      <c r="E2993" s="28">
        <f>IFERROR(IF(AND(ISNUMBER(C2993),ISNUMBER(C2992),C2992&lt;&gt;0),C2993/C2992-1,""),"")</f>
        <v/>
      </c>
      <c r="F2993" s="28">
        <f>IFERROR(D2993-Dashboard!$B$4/252,"")</f>
        <v/>
      </c>
      <c r="G2993" s="28">
        <f>IFERROR(E2993-Dashboard!$B$4/252,"")</f>
        <v/>
      </c>
      <c r="H2993" s="8">
        <f>IFERROR(IF(ISNUMBER(B2993),MAX(B2993,IFERROR(H2992,B2993)),""),"")</f>
        <v/>
      </c>
      <c r="I2993" s="29">
        <f>IFERROR(IF(AND(ISNUMBER(B2993),ISNUMBER(H2993)),B2993/H2993-1,""),"")</f>
        <v/>
      </c>
      <c r="J2993" s="8">
        <f>IFERROR(IF(ISNUMBER(C2993),MAX(C2993,IFERROR(J2992,C2993)),""),"")</f>
        <v/>
      </c>
      <c r="K2993" s="29">
        <f>IFERROR(IF(AND(ISNUMBER(C2993),ISNUMBER(J2993)),C2993/J2993-1,""),"")</f>
        <v/>
      </c>
      <c r="L2993" s="28">
        <f>IFERROR(IF(AND(ISNUMBER(D2993),ISNUMBER(E2993)),D2993-E2993,""),"")</f>
        <v/>
      </c>
    </row>
    <row r="2994">
      <c r="A2994" s="7">
        <f>IFERROR(Datos!A2994,"")</f>
        <v/>
      </c>
      <c r="B2994" s="8">
        <f>IFERROR(Datos!B2994,"")</f>
        <v/>
      </c>
      <c r="C2994" s="8">
        <f>IFERROR(Datos!C2994,"")</f>
        <v/>
      </c>
      <c r="D2994" s="28">
        <f>IFERROR(IF(AND(ISNUMBER(B2994),ISNUMBER(B2993),B2993&lt;&gt;0),B2994/B2993-1,""),"")</f>
        <v/>
      </c>
      <c r="E2994" s="28">
        <f>IFERROR(IF(AND(ISNUMBER(C2994),ISNUMBER(C2993),C2993&lt;&gt;0),C2994/C2993-1,""),"")</f>
        <v/>
      </c>
      <c r="F2994" s="28">
        <f>IFERROR(D2994-Dashboard!$B$4/252,"")</f>
        <v/>
      </c>
      <c r="G2994" s="28">
        <f>IFERROR(E2994-Dashboard!$B$4/252,"")</f>
        <v/>
      </c>
      <c r="H2994" s="8">
        <f>IFERROR(IF(ISNUMBER(B2994),MAX(B2994,IFERROR(H2993,B2994)),""),"")</f>
        <v/>
      </c>
      <c r="I2994" s="29">
        <f>IFERROR(IF(AND(ISNUMBER(B2994),ISNUMBER(H2994)),B2994/H2994-1,""),"")</f>
        <v/>
      </c>
      <c r="J2994" s="8">
        <f>IFERROR(IF(ISNUMBER(C2994),MAX(C2994,IFERROR(J2993,C2994)),""),"")</f>
        <v/>
      </c>
      <c r="K2994" s="29">
        <f>IFERROR(IF(AND(ISNUMBER(C2994),ISNUMBER(J2994)),C2994/J2994-1,""),"")</f>
        <v/>
      </c>
      <c r="L2994" s="28">
        <f>IFERROR(IF(AND(ISNUMBER(D2994),ISNUMBER(E2994)),D2994-E2994,""),"")</f>
        <v/>
      </c>
    </row>
    <row r="2995">
      <c r="A2995" s="7">
        <f>IFERROR(Datos!A2995,"")</f>
        <v/>
      </c>
      <c r="B2995" s="8">
        <f>IFERROR(Datos!B2995,"")</f>
        <v/>
      </c>
      <c r="C2995" s="8">
        <f>IFERROR(Datos!C2995,"")</f>
        <v/>
      </c>
      <c r="D2995" s="28">
        <f>IFERROR(IF(AND(ISNUMBER(B2995),ISNUMBER(B2994),B2994&lt;&gt;0),B2995/B2994-1,""),"")</f>
        <v/>
      </c>
      <c r="E2995" s="28">
        <f>IFERROR(IF(AND(ISNUMBER(C2995),ISNUMBER(C2994),C2994&lt;&gt;0),C2995/C2994-1,""),"")</f>
        <v/>
      </c>
      <c r="F2995" s="28">
        <f>IFERROR(D2995-Dashboard!$B$4/252,"")</f>
        <v/>
      </c>
      <c r="G2995" s="28">
        <f>IFERROR(E2995-Dashboard!$B$4/252,"")</f>
        <v/>
      </c>
      <c r="H2995" s="8">
        <f>IFERROR(IF(ISNUMBER(B2995),MAX(B2995,IFERROR(H2994,B2995)),""),"")</f>
        <v/>
      </c>
      <c r="I2995" s="29">
        <f>IFERROR(IF(AND(ISNUMBER(B2995),ISNUMBER(H2995)),B2995/H2995-1,""),"")</f>
        <v/>
      </c>
      <c r="J2995" s="8">
        <f>IFERROR(IF(ISNUMBER(C2995),MAX(C2995,IFERROR(J2994,C2995)),""),"")</f>
        <v/>
      </c>
      <c r="K2995" s="29">
        <f>IFERROR(IF(AND(ISNUMBER(C2995),ISNUMBER(J2995)),C2995/J2995-1,""),"")</f>
        <v/>
      </c>
      <c r="L2995" s="28">
        <f>IFERROR(IF(AND(ISNUMBER(D2995),ISNUMBER(E2995)),D2995-E2995,""),"")</f>
        <v/>
      </c>
    </row>
    <row r="2996">
      <c r="A2996" s="7">
        <f>IFERROR(Datos!A2996,"")</f>
        <v/>
      </c>
      <c r="B2996" s="8">
        <f>IFERROR(Datos!B2996,"")</f>
        <v/>
      </c>
      <c r="C2996" s="8">
        <f>IFERROR(Datos!C2996,"")</f>
        <v/>
      </c>
      <c r="D2996" s="28">
        <f>IFERROR(IF(AND(ISNUMBER(B2996),ISNUMBER(B2995),B2995&lt;&gt;0),B2996/B2995-1,""),"")</f>
        <v/>
      </c>
      <c r="E2996" s="28">
        <f>IFERROR(IF(AND(ISNUMBER(C2996),ISNUMBER(C2995),C2995&lt;&gt;0),C2996/C2995-1,""),"")</f>
        <v/>
      </c>
      <c r="F2996" s="28">
        <f>IFERROR(D2996-Dashboard!$B$4/252,"")</f>
        <v/>
      </c>
      <c r="G2996" s="28">
        <f>IFERROR(E2996-Dashboard!$B$4/252,"")</f>
        <v/>
      </c>
      <c r="H2996" s="8">
        <f>IFERROR(IF(ISNUMBER(B2996),MAX(B2996,IFERROR(H2995,B2996)),""),"")</f>
        <v/>
      </c>
      <c r="I2996" s="29">
        <f>IFERROR(IF(AND(ISNUMBER(B2996),ISNUMBER(H2996)),B2996/H2996-1,""),"")</f>
        <v/>
      </c>
      <c r="J2996" s="8">
        <f>IFERROR(IF(ISNUMBER(C2996),MAX(C2996,IFERROR(J2995,C2996)),""),"")</f>
        <v/>
      </c>
      <c r="K2996" s="29">
        <f>IFERROR(IF(AND(ISNUMBER(C2996),ISNUMBER(J2996)),C2996/J2996-1,""),"")</f>
        <v/>
      </c>
      <c r="L2996" s="28">
        <f>IFERROR(IF(AND(ISNUMBER(D2996),ISNUMBER(E2996)),D2996-E2996,""),"")</f>
        <v/>
      </c>
    </row>
    <row r="2997">
      <c r="A2997" s="7">
        <f>IFERROR(Datos!A2997,"")</f>
        <v/>
      </c>
      <c r="B2997" s="8">
        <f>IFERROR(Datos!B2997,"")</f>
        <v/>
      </c>
      <c r="C2997" s="8">
        <f>IFERROR(Datos!C2997,"")</f>
        <v/>
      </c>
      <c r="D2997" s="28">
        <f>IFERROR(IF(AND(ISNUMBER(B2997),ISNUMBER(B2996),B2996&lt;&gt;0),B2997/B2996-1,""),"")</f>
        <v/>
      </c>
      <c r="E2997" s="28">
        <f>IFERROR(IF(AND(ISNUMBER(C2997),ISNUMBER(C2996),C2996&lt;&gt;0),C2997/C2996-1,""),"")</f>
        <v/>
      </c>
      <c r="F2997" s="28">
        <f>IFERROR(D2997-Dashboard!$B$4/252,"")</f>
        <v/>
      </c>
      <c r="G2997" s="28">
        <f>IFERROR(E2997-Dashboard!$B$4/252,"")</f>
        <v/>
      </c>
      <c r="H2997" s="8">
        <f>IFERROR(IF(ISNUMBER(B2997),MAX(B2997,IFERROR(H2996,B2997)),""),"")</f>
        <v/>
      </c>
      <c r="I2997" s="29">
        <f>IFERROR(IF(AND(ISNUMBER(B2997),ISNUMBER(H2997)),B2997/H2997-1,""),"")</f>
        <v/>
      </c>
      <c r="J2997" s="8">
        <f>IFERROR(IF(ISNUMBER(C2997),MAX(C2997,IFERROR(J2996,C2997)),""),"")</f>
        <v/>
      </c>
      <c r="K2997" s="29">
        <f>IFERROR(IF(AND(ISNUMBER(C2997),ISNUMBER(J2997)),C2997/J2997-1,""),"")</f>
        <v/>
      </c>
      <c r="L2997" s="28">
        <f>IFERROR(IF(AND(ISNUMBER(D2997),ISNUMBER(E2997)),D2997-E2997,""),"")</f>
        <v/>
      </c>
    </row>
    <row r="2998">
      <c r="A2998" s="7">
        <f>IFERROR(Datos!A2998,"")</f>
        <v/>
      </c>
      <c r="B2998" s="8">
        <f>IFERROR(Datos!B2998,"")</f>
        <v/>
      </c>
      <c r="C2998" s="8">
        <f>IFERROR(Datos!C2998,"")</f>
        <v/>
      </c>
      <c r="D2998" s="28">
        <f>IFERROR(IF(AND(ISNUMBER(B2998),ISNUMBER(B2997),B2997&lt;&gt;0),B2998/B2997-1,""),"")</f>
        <v/>
      </c>
      <c r="E2998" s="28">
        <f>IFERROR(IF(AND(ISNUMBER(C2998),ISNUMBER(C2997),C2997&lt;&gt;0),C2998/C2997-1,""),"")</f>
        <v/>
      </c>
      <c r="F2998" s="28">
        <f>IFERROR(D2998-Dashboard!$B$4/252,"")</f>
        <v/>
      </c>
      <c r="G2998" s="28">
        <f>IFERROR(E2998-Dashboard!$B$4/252,"")</f>
        <v/>
      </c>
      <c r="H2998" s="8">
        <f>IFERROR(IF(ISNUMBER(B2998),MAX(B2998,IFERROR(H2997,B2998)),""),"")</f>
        <v/>
      </c>
      <c r="I2998" s="29">
        <f>IFERROR(IF(AND(ISNUMBER(B2998),ISNUMBER(H2998)),B2998/H2998-1,""),"")</f>
        <v/>
      </c>
      <c r="J2998" s="8">
        <f>IFERROR(IF(ISNUMBER(C2998),MAX(C2998,IFERROR(J2997,C2998)),""),"")</f>
        <v/>
      </c>
      <c r="K2998" s="29">
        <f>IFERROR(IF(AND(ISNUMBER(C2998),ISNUMBER(J2998)),C2998/J2998-1,""),"")</f>
        <v/>
      </c>
      <c r="L2998" s="28">
        <f>IFERROR(IF(AND(ISNUMBER(D2998),ISNUMBER(E2998)),D2998-E2998,""),"")</f>
        <v/>
      </c>
    </row>
    <row r="2999">
      <c r="A2999" s="7">
        <f>IFERROR(Datos!A2999,"")</f>
        <v/>
      </c>
      <c r="B2999" s="8">
        <f>IFERROR(Datos!B2999,"")</f>
        <v/>
      </c>
      <c r="C2999" s="8">
        <f>IFERROR(Datos!C2999,"")</f>
        <v/>
      </c>
      <c r="D2999" s="28">
        <f>IFERROR(IF(AND(ISNUMBER(B2999),ISNUMBER(B2998),B2998&lt;&gt;0),B2999/B2998-1,""),"")</f>
        <v/>
      </c>
      <c r="E2999" s="28">
        <f>IFERROR(IF(AND(ISNUMBER(C2999),ISNUMBER(C2998),C2998&lt;&gt;0),C2999/C2998-1,""),"")</f>
        <v/>
      </c>
      <c r="F2999" s="28">
        <f>IFERROR(D2999-Dashboard!$B$4/252,"")</f>
        <v/>
      </c>
      <c r="G2999" s="28">
        <f>IFERROR(E2999-Dashboard!$B$4/252,"")</f>
        <v/>
      </c>
      <c r="H2999" s="8">
        <f>IFERROR(IF(ISNUMBER(B2999),MAX(B2999,IFERROR(H2998,B2999)),""),"")</f>
        <v/>
      </c>
      <c r="I2999" s="29">
        <f>IFERROR(IF(AND(ISNUMBER(B2999),ISNUMBER(H2999)),B2999/H2999-1,""),"")</f>
        <v/>
      </c>
      <c r="J2999" s="8">
        <f>IFERROR(IF(ISNUMBER(C2999),MAX(C2999,IFERROR(J2998,C2999)),""),"")</f>
        <v/>
      </c>
      <c r="K2999" s="29">
        <f>IFERROR(IF(AND(ISNUMBER(C2999),ISNUMBER(J2999)),C2999/J2999-1,""),"")</f>
        <v/>
      </c>
      <c r="L2999" s="28">
        <f>IFERROR(IF(AND(ISNUMBER(D2999),ISNUMBER(E2999)),D2999-E2999,""),"")</f>
        <v/>
      </c>
    </row>
    <row r="3000">
      <c r="A3000" s="7">
        <f>IFERROR(Datos!A3000,"")</f>
        <v/>
      </c>
      <c r="B3000" s="8">
        <f>IFERROR(Datos!B3000,"")</f>
        <v/>
      </c>
      <c r="C3000" s="8">
        <f>IFERROR(Datos!C3000,"")</f>
        <v/>
      </c>
      <c r="D3000" s="28">
        <f>IFERROR(IF(AND(ISNUMBER(B3000),ISNUMBER(B2999),B2999&lt;&gt;0),B3000/B2999-1,""),"")</f>
        <v/>
      </c>
      <c r="E3000" s="28">
        <f>IFERROR(IF(AND(ISNUMBER(C3000),ISNUMBER(C2999),C2999&lt;&gt;0),C3000/C2999-1,""),"")</f>
        <v/>
      </c>
      <c r="F3000" s="28">
        <f>IFERROR(D3000-Dashboard!$B$4/252,"")</f>
        <v/>
      </c>
      <c r="G3000" s="28">
        <f>IFERROR(E3000-Dashboard!$B$4/252,"")</f>
        <v/>
      </c>
      <c r="H3000" s="8">
        <f>IFERROR(IF(ISNUMBER(B3000),MAX(B3000,IFERROR(H2999,B3000)),""),"")</f>
        <v/>
      </c>
      <c r="I3000" s="29">
        <f>IFERROR(IF(AND(ISNUMBER(B3000),ISNUMBER(H3000)),B3000/H3000-1,""),"")</f>
        <v/>
      </c>
      <c r="J3000" s="8">
        <f>IFERROR(IF(ISNUMBER(C3000),MAX(C3000,IFERROR(J2999,C3000)),""),"")</f>
        <v/>
      </c>
      <c r="K3000" s="29">
        <f>IFERROR(IF(AND(ISNUMBER(C3000),ISNUMBER(J3000)),C3000/J3000-1,""),"")</f>
        <v/>
      </c>
      <c r="L3000" s="28">
        <f>IFERROR(IF(AND(ISNUMBER(D3000),ISNUMBER(E3000)),D3000-E3000,""),"")</f>
        <v/>
      </c>
    </row>
    <row r="3001">
      <c r="A3001" s="7">
        <f>IFERROR(Datos!A3001,"")</f>
        <v/>
      </c>
      <c r="B3001" s="8">
        <f>IFERROR(Datos!B3001,"")</f>
        <v/>
      </c>
      <c r="C3001" s="8">
        <f>IFERROR(Datos!C3001,"")</f>
        <v/>
      </c>
      <c r="D3001" s="28">
        <f>IFERROR(IF(AND(ISNUMBER(B3001),ISNUMBER(B3000),B3000&lt;&gt;0),B3001/B3000-1,""),"")</f>
        <v/>
      </c>
      <c r="E3001" s="28">
        <f>IFERROR(IF(AND(ISNUMBER(C3001),ISNUMBER(C3000),C3000&lt;&gt;0),C3001/C3000-1,""),"")</f>
        <v/>
      </c>
      <c r="F3001" s="28">
        <f>IFERROR(D3001-Dashboard!$B$4/252,"")</f>
        <v/>
      </c>
      <c r="G3001" s="28">
        <f>IFERROR(E3001-Dashboard!$B$4/252,"")</f>
        <v/>
      </c>
      <c r="H3001" s="8">
        <f>IFERROR(IF(ISNUMBER(B3001),MAX(B3001,IFERROR(H3000,B3001)),""),"")</f>
        <v/>
      </c>
      <c r="I3001" s="29">
        <f>IFERROR(IF(AND(ISNUMBER(B3001),ISNUMBER(H3001)),B3001/H3001-1,""),"")</f>
        <v/>
      </c>
      <c r="J3001" s="8">
        <f>IFERROR(IF(ISNUMBER(C3001),MAX(C3001,IFERROR(J3000,C3001)),""),"")</f>
        <v/>
      </c>
      <c r="K3001" s="29">
        <f>IFERROR(IF(AND(ISNUMBER(C3001),ISNUMBER(J3001)),C3001/J3001-1,""),"")</f>
        <v/>
      </c>
      <c r="L3001" s="28">
        <f>IFERROR(IF(AND(ISNUMBER(D3001),ISNUMBER(E3001)),D3001-E3001,""),"")</f>
        <v/>
      </c>
    </row>
    <row r="3002">
      <c r="A3002" s="7">
        <f>IFERROR(Datos!A3002,"")</f>
        <v/>
      </c>
      <c r="B3002" s="8">
        <f>IFERROR(Datos!B3002,"")</f>
        <v/>
      </c>
      <c r="C3002" s="8">
        <f>IFERROR(Datos!C3002,"")</f>
        <v/>
      </c>
      <c r="D3002" s="28">
        <f>IFERROR(IF(AND(ISNUMBER(B3002),ISNUMBER(B3001),B3001&lt;&gt;0),B3002/B3001-1,""),"")</f>
        <v/>
      </c>
      <c r="E3002" s="28">
        <f>IFERROR(IF(AND(ISNUMBER(C3002),ISNUMBER(C3001),C3001&lt;&gt;0),C3002/C3001-1,""),"")</f>
        <v/>
      </c>
      <c r="F3002" s="28">
        <f>IFERROR(D3002-Dashboard!$B$4/252,"")</f>
        <v/>
      </c>
      <c r="G3002" s="28">
        <f>IFERROR(E3002-Dashboard!$B$4/252,"")</f>
        <v/>
      </c>
      <c r="H3002" s="8">
        <f>IFERROR(IF(ISNUMBER(B3002),MAX(B3002,IFERROR(H3001,B3002)),""),"")</f>
        <v/>
      </c>
      <c r="I3002" s="29">
        <f>IFERROR(IF(AND(ISNUMBER(B3002),ISNUMBER(H3002)),B3002/H3002-1,""),"")</f>
        <v/>
      </c>
      <c r="J3002" s="8">
        <f>IFERROR(IF(ISNUMBER(C3002),MAX(C3002,IFERROR(J3001,C3002)),""),"")</f>
        <v/>
      </c>
      <c r="K3002" s="29">
        <f>IFERROR(IF(AND(ISNUMBER(C3002),ISNUMBER(J3002)),C3002/J3002-1,""),"")</f>
        <v/>
      </c>
      <c r="L3002" s="28">
        <f>IFERROR(IF(AND(ISNUMBER(D3002),ISNUMBER(E3002)),D3002-E3002,""),"")</f>
        <v/>
      </c>
    </row>
    <row r="3003">
      <c r="A3003" s="7">
        <f>IFERROR(Datos!A3003,"")</f>
        <v/>
      </c>
      <c r="B3003" s="8">
        <f>IFERROR(Datos!B3003,"")</f>
        <v/>
      </c>
      <c r="C3003" s="8">
        <f>IFERROR(Datos!C3003,"")</f>
        <v/>
      </c>
      <c r="D3003" s="28">
        <f>IFERROR(IF(AND(ISNUMBER(B3003),ISNUMBER(B3002),B3002&lt;&gt;0),B3003/B3002-1,""),"")</f>
        <v/>
      </c>
      <c r="E3003" s="28">
        <f>IFERROR(IF(AND(ISNUMBER(C3003),ISNUMBER(C3002),C3002&lt;&gt;0),C3003/C3002-1,""),"")</f>
        <v/>
      </c>
      <c r="F3003" s="28">
        <f>IFERROR(D3003-Dashboard!$B$4/252,"")</f>
        <v/>
      </c>
      <c r="G3003" s="28">
        <f>IFERROR(E3003-Dashboard!$B$4/252,"")</f>
        <v/>
      </c>
      <c r="H3003" s="8">
        <f>IFERROR(IF(ISNUMBER(B3003),MAX(B3003,IFERROR(H3002,B3003)),""),"")</f>
        <v/>
      </c>
      <c r="I3003" s="29">
        <f>IFERROR(IF(AND(ISNUMBER(B3003),ISNUMBER(H3003)),B3003/H3003-1,""),"")</f>
        <v/>
      </c>
      <c r="J3003" s="8">
        <f>IFERROR(IF(ISNUMBER(C3003),MAX(C3003,IFERROR(J3002,C3003)),""),"")</f>
        <v/>
      </c>
      <c r="K3003" s="29">
        <f>IFERROR(IF(AND(ISNUMBER(C3003),ISNUMBER(J3003)),C3003/J3003-1,""),"")</f>
        <v/>
      </c>
      <c r="L3003" s="28">
        <f>IFERROR(IF(AND(ISNUMBER(D3003),ISNUMBER(E3003)),D3003-E3003,""),"")</f>
        <v/>
      </c>
    </row>
    <row r="3004">
      <c r="A3004" s="7">
        <f>IFERROR(Datos!A3004,"")</f>
        <v/>
      </c>
      <c r="B3004" s="8">
        <f>IFERROR(Datos!B3004,"")</f>
        <v/>
      </c>
      <c r="C3004" s="8">
        <f>IFERROR(Datos!C3004,"")</f>
        <v/>
      </c>
      <c r="D3004" s="28">
        <f>IFERROR(IF(AND(ISNUMBER(B3004),ISNUMBER(B3003),B3003&lt;&gt;0),B3004/B3003-1,""),"")</f>
        <v/>
      </c>
      <c r="E3004" s="28">
        <f>IFERROR(IF(AND(ISNUMBER(C3004),ISNUMBER(C3003),C3003&lt;&gt;0),C3004/C3003-1,""),"")</f>
        <v/>
      </c>
      <c r="F3004" s="28">
        <f>IFERROR(D3004-Dashboard!$B$4/252,"")</f>
        <v/>
      </c>
      <c r="G3004" s="28">
        <f>IFERROR(E3004-Dashboard!$B$4/252,"")</f>
        <v/>
      </c>
      <c r="H3004" s="8">
        <f>IFERROR(IF(ISNUMBER(B3004),MAX(B3004,IFERROR(H3003,B3004)),""),"")</f>
        <v/>
      </c>
      <c r="I3004" s="29">
        <f>IFERROR(IF(AND(ISNUMBER(B3004),ISNUMBER(H3004)),B3004/H3004-1,""),"")</f>
        <v/>
      </c>
      <c r="J3004" s="8">
        <f>IFERROR(IF(ISNUMBER(C3004),MAX(C3004,IFERROR(J3003,C3004)),""),"")</f>
        <v/>
      </c>
      <c r="K3004" s="29">
        <f>IFERROR(IF(AND(ISNUMBER(C3004),ISNUMBER(J3004)),C3004/J3004-1,""),"")</f>
        <v/>
      </c>
      <c r="L3004" s="28">
        <f>IFERROR(IF(AND(ISNUMBER(D3004),ISNUMBER(E3004)),D3004-E3004,""),"")</f>
        <v/>
      </c>
    </row>
    <row r="3005">
      <c r="A3005" s="7">
        <f>IFERROR(Datos!A3005,"")</f>
        <v/>
      </c>
      <c r="B3005" s="8">
        <f>IFERROR(Datos!B3005,"")</f>
        <v/>
      </c>
      <c r="C3005" s="8">
        <f>IFERROR(Datos!C3005,"")</f>
        <v/>
      </c>
      <c r="D3005" s="28">
        <f>IFERROR(IF(AND(ISNUMBER(B3005),ISNUMBER(B3004),B3004&lt;&gt;0),B3005/B3004-1,""),"")</f>
        <v/>
      </c>
      <c r="E3005" s="28">
        <f>IFERROR(IF(AND(ISNUMBER(C3005),ISNUMBER(C3004),C3004&lt;&gt;0),C3005/C3004-1,""),"")</f>
        <v/>
      </c>
      <c r="F3005" s="28">
        <f>IFERROR(D3005-Dashboard!$B$4/252,"")</f>
        <v/>
      </c>
      <c r="G3005" s="28">
        <f>IFERROR(E3005-Dashboard!$B$4/252,"")</f>
        <v/>
      </c>
      <c r="H3005" s="8">
        <f>IFERROR(IF(ISNUMBER(B3005),MAX(B3005,IFERROR(H3004,B3005)),""),"")</f>
        <v/>
      </c>
      <c r="I3005" s="29">
        <f>IFERROR(IF(AND(ISNUMBER(B3005),ISNUMBER(H3005)),B3005/H3005-1,""),"")</f>
        <v/>
      </c>
      <c r="J3005" s="8">
        <f>IFERROR(IF(ISNUMBER(C3005),MAX(C3005,IFERROR(J3004,C3005)),""),"")</f>
        <v/>
      </c>
      <c r="K3005" s="29">
        <f>IFERROR(IF(AND(ISNUMBER(C3005),ISNUMBER(J3005)),C3005/J3005-1,""),"")</f>
        <v/>
      </c>
      <c r="L3005" s="28">
        <f>IFERROR(IF(AND(ISNUMBER(D3005),ISNUMBER(E3005)),D3005-E3005,""),"")</f>
        <v/>
      </c>
    </row>
    <row r="3006">
      <c r="A3006" s="7">
        <f>IFERROR(Datos!A3006,"")</f>
        <v/>
      </c>
      <c r="B3006" s="8">
        <f>IFERROR(Datos!B3006,"")</f>
        <v/>
      </c>
      <c r="C3006" s="8">
        <f>IFERROR(Datos!C3006,"")</f>
        <v/>
      </c>
      <c r="D3006" s="28">
        <f>IFERROR(IF(AND(ISNUMBER(B3006),ISNUMBER(B3005),B3005&lt;&gt;0),B3006/B3005-1,""),"")</f>
        <v/>
      </c>
      <c r="E3006" s="28">
        <f>IFERROR(IF(AND(ISNUMBER(C3006),ISNUMBER(C3005),C3005&lt;&gt;0),C3006/C3005-1,""),"")</f>
        <v/>
      </c>
      <c r="F3006" s="28">
        <f>IFERROR(D3006-Dashboard!$B$4/252,"")</f>
        <v/>
      </c>
      <c r="G3006" s="28">
        <f>IFERROR(E3006-Dashboard!$B$4/252,"")</f>
        <v/>
      </c>
      <c r="H3006" s="8">
        <f>IFERROR(IF(ISNUMBER(B3006),MAX(B3006,IFERROR(H3005,B3006)),""),"")</f>
        <v/>
      </c>
      <c r="I3006" s="29">
        <f>IFERROR(IF(AND(ISNUMBER(B3006),ISNUMBER(H3006)),B3006/H3006-1,""),"")</f>
        <v/>
      </c>
      <c r="J3006" s="8">
        <f>IFERROR(IF(ISNUMBER(C3006),MAX(C3006,IFERROR(J3005,C3006)),""),"")</f>
        <v/>
      </c>
      <c r="K3006" s="29">
        <f>IFERROR(IF(AND(ISNUMBER(C3006),ISNUMBER(J3006)),C3006/J3006-1,""),"")</f>
        <v/>
      </c>
      <c r="L3006" s="28">
        <f>IFERROR(IF(AND(ISNUMBER(D3006),ISNUMBER(E3006)),D3006-E3006,""),"")</f>
        <v/>
      </c>
    </row>
    <row r="3007">
      <c r="A3007" s="7">
        <f>IFERROR(Datos!A3007,"")</f>
        <v/>
      </c>
      <c r="B3007" s="8">
        <f>IFERROR(Datos!B3007,"")</f>
        <v/>
      </c>
      <c r="C3007" s="8">
        <f>IFERROR(Datos!C3007,"")</f>
        <v/>
      </c>
      <c r="D3007" s="28">
        <f>IFERROR(IF(AND(ISNUMBER(B3007),ISNUMBER(B3006),B3006&lt;&gt;0),B3007/B3006-1,""),"")</f>
        <v/>
      </c>
      <c r="E3007" s="28">
        <f>IFERROR(IF(AND(ISNUMBER(C3007),ISNUMBER(C3006),C3006&lt;&gt;0),C3007/C3006-1,""),"")</f>
        <v/>
      </c>
      <c r="F3007" s="28">
        <f>IFERROR(D3007-Dashboard!$B$4/252,"")</f>
        <v/>
      </c>
      <c r="G3007" s="28">
        <f>IFERROR(E3007-Dashboard!$B$4/252,"")</f>
        <v/>
      </c>
      <c r="H3007" s="8">
        <f>IFERROR(IF(ISNUMBER(B3007),MAX(B3007,IFERROR(H3006,B3007)),""),"")</f>
        <v/>
      </c>
      <c r="I3007" s="29">
        <f>IFERROR(IF(AND(ISNUMBER(B3007),ISNUMBER(H3007)),B3007/H3007-1,""),"")</f>
        <v/>
      </c>
      <c r="J3007" s="8">
        <f>IFERROR(IF(ISNUMBER(C3007),MAX(C3007,IFERROR(J3006,C3007)),""),"")</f>
        <v/>
      </c>
      <c r="K3007" s="29">
        <f>IFERROR(IF(AND(ISNUMBER(C3007),ISNUMBER(J3007)),C3007/J3007-1,""),"")</f>
        <v/>
      </c>
      <c r="L3007" s="28">
        <f>IFERROR(IF(AND(ISNUMBER(D3007),ISNUMBER(E3007)),D3007-E3007,""),"")</f>
        <v/>
      </c>
    </row>
    <row r="3008">
      <c r="A3008" s="7">
        <f>IFERROR(Datos!A3008,"")</f>
        <v/>
      </c>
      <c r="B3008" s="8">
        <f>IFERROR(Datos!B3008,"")</f>
        <v/>
      </c>
      <c r="C3008" s="8">
        <f>IFERROR(Datos!C3008,"")</f>
        <v/>
      </c>
      <c r="D3008" s="28">
        <f>IFERROR(IF(AND(ISNUMBER(B3008),ISNUMBER(B3007),B3007&lt;&gt;0),B3008/B3007-1,""),"")</f>
        <v/>
      </c>
      <c r="E3008" s="28">
        <f>IFERROR(IF(AND(ISNUMBER(C3008),ISNUMBER(C3007),C3007&lt;&gt;0),C3008/C3007-1,""),"")</f>
        <v/>
      </c>
      <c r="F3008" s="28">
        <f>IFERROR(D3008-Dashboard!$B$4/252,"")</f>
        <v/>
      </c>
      <c r="G3008" s="28">
        <f>IFERROR(E3008-Dashboard!$B$4/252,"")</f>
        <v/>
      </c>
      <c r="H3008" s="8">
        <f>IFERROR(IF(ISNUMBER(B3008),MAX(B3008,IFERROR(H3007,B3008)),""),"")</f>
        <v/>
      </c>
      <c r="I3008" s="29">
        <f>IFERROR(IF(AND(ISNUMBER(B3008),ISNUMBER(H3008)),B3008/H3008-1,""),"")</f>
        <v/>
      </c>
      <c r="J3008" s="8">
        <f>IFERROR(IF(ISNUMBER(C3008),MAX(C3008,IFERROR(J3007,C3008)),""),"")</f>
        <v/>
      </c>
      <c r="K3008" s="29">
        <f>IFERROR(IF(AND(ISNUMBER(C3008),ISNUMBER(J3008)),C3008/J3008-1,""),"")</f>
        <v/>
      </c>
      <c r="L3008" s="28">
        <f>IFERROR(IF(AND(ISNUMBER(D3008),ISNUMBER(E3008)),D3008-E3008,""),"")</f>
        <v/>
      </c>
    </row>
    <row r="3009">
      <c r="A3009" s="7">
        <f>IFERROR(Datos!A3009,"")</f>
        <v/>
      </c>
      <c r="B3009" s="8">
        <f>IFERROR(Datos!B3009,"")</f>
        <v/>
      </c>
      <c r="C3009" s="8">
        <f>IFERROR(Datos!C3009,"")</f>
        <v/>
      </c>
      <c r="D3009" s="28">
        <f>IFERROR(IF(AND(ISNUMBER(B3009),ISNUMBER(B3008),B3008&lt;&gt;0),B3009/B3008-1,""),"")</f>
        <v/>
      </c>
      <c r="E3009" s="28">
        <f>IFERROR(IF(AND(ISNUMBER(C3009),ISNUMBER(C3008),C3008&lt;&gt;0),C3009/C3008-1,""),"")</f>
        <v/>
      </c>
      <c r="F3009" s="28">
        <f>IFERROR(D3009-Dashboard!$B$4/252,"")</f>
        <v/>
      </c>
      <c r="G3009" s="28">
        <f>IFERROR(E3009-Dashboard!$B$4/252,"")</f>
        <v/>
      </c>
      <c r="H3009" s="8">
        <f>IFERROR(IF(ISNUMBER(B3009),MAX(B3009,IFERROR(H3008,B3009)),""),"")</f>
        <v/>
      </c>
      <c r="I3009" s="29">
        <f>IFERROR(IF(AND(ISNUMBER(B3009),ISNUMBER(H3009)),B3009/H3009-1,""),"")</f>
        <v/>
      </c>
      <c r="J3009" s="8">
        <f>IFERROR(IF(ISNUMBER(C3009),MAX(C3009,IFERROR(J3008,C3009)),""),"")</f>
        <v/>
      </c>
      <c r="K3009" s="29">
        <f>IFERROR(IF(AND(ISNUMBER(C3009),ISNUMBER(J3009)),C3009/J3009-1,""),"")</f>
        <v/>
      </c>
      <c r="L3009" s="28">
        <f>IFERROR(IF(AND(ISNUMBER(D3009),ISNUMBER(E3009)),D3009-E3009,""),"")</f>
        <v/>
      </c>
    </row>
    <row r="3010">
      <c r="A3010" s="7">
        <f>IFERROR(Datos!A3010,"")</f>
        <v/>
      </c>
      <c r="B3010" s="8">
        <f>IFERROR(Datos!B3010,"")</f>
        <v/>
      </c>
      <c r="C3010" s="8">
        <f>IFERROR(Datos!C3010,"")</f>
        <v/>
      </c>
      <c r="D3010" s="28">
        <f>IFERROR(IF(AND(ISNUMBER(B3010),ISNUMBER(B3009),B3009&lt;&gt;0),B3010/B3009-1,""),"")</f>
        <v/>
      </c>
      <c r="E3010" s="28">
        <f>IFERROR(IF(AND(ISNUMBER(C3010),ISNUMBER(C3009),C3009&lt;&gt;0),C3010/C3009-1,""),"")</f>
        <v/>
      </c>
      <c r="F3010" s="28">
        <f>IFERROR(D3010-Dashboard!$B$4/252,"")</f>
        <v/>
      </c>
      <c r="G3010" s="28">
        <f>IFERROR(E3010-Dashboard!$B$4/252,"")</f>
        <v/>
      </c>
      <c r="H3010" s="8">
        <f>IFERROR(IF(ISNUMBER(B3010),MAX(B3010,IFERROR(H3009,B3010)),""),"")</f>
        <v/>
      </c>
      <c r="I3010" s="29">
        <f>IFERROR(IF(AND(ISNUMBER(B3010),ISNUMBER(H3010)),B3010/H3010-1,""),"")</f>
        <v/>
      </c>
      <c r="J3010" s="8">
        <f>IFERROR(IF(ISNUMBER(C3010),MAX(C3010,IFERROR(J3009,C3010)),""),"")</f>
        <v/>
      </c>
      <c r="K3010" s="29">
        <f>IFERROR(IF(AND(ISNUMBER(C3010),ISNUMBER(J3010)),C3010/J3010-1,""),"")</f>
        <v/>
      </c>
      <c r="L3010" s="28">
        <f>IFERROR(IF(AND(ISNUMBER(D3010),ISNUMBER(E3010)),D3010-E3010,""),"")</f>
        <v/>
      </c>
    </row>
    <row r="3011">
      <c r="A3011" s="7">
        <f>IFERROR(Datos!A3011,"")</f>
        <v/>
      </c>
      <c r="B3011" s="8">
        <f>IFERROR(Datos!B3011,"")</f>
        <v/>
      </c>
      <c r="C3011" s="8">
        <f>IFERROR(Datos!C3011,"")</f>
        <v/>
      </c>
      <c r="D3011" s="28">
        <f>IFERROR(IF(AND(ISNUMBER(B3011),ISNUMBER(B3010),B3010&lt;&gt;0),B3011/B3010-1,""),"")</f>
        <v/>
      </c>
      <c r="E3011" s="28">
        <f>IFERROR(IF(AND(ISNUMBER(C3011),ISNUMBER(C3010),C3010&lt;&gt;0),C3011/C3010-1,""),"")</f>
        <v/>
      </c>
      <c r="F3011" s="28">
        <f>IFERROR(D3011-Dashboard!$B$4/252,"")</f>
        <v/>
      </c>
      <c r="G3011" s="28">
        <f>IFERROR(E3011-Dashboard!$B$4/252,"")</f>
        <v/>
      </c>
      <c r="H3011" s="8">
        <f>IFERROR(IF(ISNUMBER(B3011),MAX(B3011,IFERROR(H3010,B3011)),""),"")</f>
        <v/>
      </c>
      <c r="I3011" s="29">
        <f>IFERROR(IF(AND(ISNUMBER(B3011),ISNUMBER(H3011)),B3011/H3011-1,""),"")</f>
        <v/>
      </c>
      <c r="J3011" s="8">
        <f>IFERROR(IF(ISNUMBER(C3011),MAX(C3011,IFERROR(J3010,C3011)),""),"")</f>
        <v/>
      </c>
      <c r="K3011" s="29">
        <f>IFERROR(IF(AND(ISNUMBER(C3011),ISNUMBER(J3011)),C3011/J3011-1,""),"")</f>
        <v/>
      </c>
      <c r="L3011" s="28">
        <f>IFERROR(IF(AND(ISNUMBER(D3011),ISNUMBER(E3011)),D3011-E3011,""),"")</f>
        <v/>
      </c>
    </row>
    <row r="3012">
      <c r="A3012" s="7">
        <f>IFERROR(Datos!A3012,"")</f>
        <v/>
      </c>
      <c r="B3012" s="8">
        <f>IFERROR(Datos!B3012,"")</f>
        <v/>
      </c>
      <c r="C3012" s="8">
        <f>IFERROR(Datos!C3012,"")</f>
        <v/>
      </c>
      <c r="D3012" s="28">
        <f>IFERROR(IF(AND(ISNUMBER(B3012),ISNUMBER(B3011),B3011&lt;&gt;0),B3012/B3011-1,""),"")</f>
        <v/>
      </c>
      <c r="E3012" s="28">
        <f>IFERROR(IF(AND(ISNUMBER(C3012),ISNUMBER(C3011),C3011&lt;&gt;0),C3012/C3011-1,""),"")</f>
        <v/>
      </c>
      <c r="F3012" s="28">
        <f>IFERROR(D3012-Dashboard!$B$4/252,"")</f>
        <v/>
      </c>
      <c r="G3012" s="28">
        <f>IFERROR(E3012-Dashboard!$B$4/252,"")</f>
        <v/>
      </c>
      <c r="H3012" s="8">
        <f>IFERROR(IF(ISNUMBER(B3012),MAX(B3012,IFERROR(H3011,B3012)),""),"")</f>
        <v/>
      </c>
      <c r="I3012" s="29">
        <f>IFERROR(IF(AND(ISNUMBER(B3012),ISNUMBER(H3012)),B3012/H3012-1,""),"")</f>
        <v/>
      </c>
      <c r="J3012" s="8">
        <f>IFERROR(IF(ISNUMBER(C3012),MAX(C3012,IFERROR(J3011,C3012)),""),"")</f>
        <v/>
      </c>
      <c r="K3012" s="29">
        <f>IFERROR(IF(AND(ISNUMBER(C3012),ISNUMBER(J3012)),C3012/J3012-1,""),"")</f>
        <v/>
      </c>
      <c r="L3012" s="28">
        <f>IFERROR(IF(AND(ISNUMBER(D3012),ISNUMBER(E3012)),D3012-E3012,""),"")</f>
        <v/>
      </c>
    </row>
    <row r="3013">
      <c r="A3013" s="7">
        <f>IFERROR(Datos!A3013,"")</f>
        <v/>
      </c>
      <c r="B3013" s="8">
        <f>IFERROR(Datos!B3013,"")</f>
        <v/>
      </c>
      <c r="C3013" s="8">
        <f>IFERROR(Datos!C3013,"")</f>
        <v/>
      </c>
      <c r="D3013" s="28">
        <f>IFERROR(IF(AND(ISNUMBER(B3013),ISNUMBER(B3012),B3012&lt;&gt;0),B3013/B3012-1,""),"")</f>
        <v/>
      </c>
      <c r="E3013" s="28">
        <f>IFERROR(IF(AND(ISNUMBER(C3013),ISNUMBER(C3012),C3012&lt;&gt;0),C3013/C3012-1,""),"")</f>
        <v/>
      </c>
      <c r="F3013" s="28">
        <f>IFERROR(D3013-Dashboard!$B$4/252,"")</f>
        <v/>
      </c>
      <c r="G3013" s="28">
        <f>IFERROR(E3013-Dashboard!$B$4/252,"")</f>
        <v/>
      </c>
      <c r="H3013" s="8">
        <f>IFERROR(IF(ISNUMBER(B3013),MAX(B3013,IFERROR(H3012,B3013)),""),"")</f>
        <v/>
      </c>
      <c r="I3013" s="29">
        <f>IFERROR(IF(AND(ISNUMBER(B3013),ISNUMBER(H3013)),B3013/H3013-1,""),"")</f>
        <v/>
      </c>
      <c r="J3013" s="8">
        <f>IFERROR(IF(ISNUMBER(C3013),MAX(C3013,IFERROR(J3012,C3013)),""),"")</f>
        <v/>
      </c>
      <c r="K3013" s="29">
        <f>IFERROR(IF(AND(ISNUMBER(C3013),ISNUMBER(J3013)),C3013/J3013-1,""),"")</f>
        <v/>
      </c>
      <c r="L3013" s="28">
        <f>IFERROR(IF(AND(ISNUMBER(D3013),ISNUMBER(E3013)),D3013-E3013,""),"")</f>
        <v/>
      </c>
    </row>
    <row r="3014">
      <c r="A3014" s="7">
        <f>IFERROR(Datos!A3014,"")</f>
        <v/>
      </c>
      <c r="B3014" s="8">
        <f>IFERROR(Datos!B3014,"")</f>
        <v/>
      </c>
      <c r="C3014" s="8">
        <f>IFERROR(Datos!C3014,"")</f>
        <v/>
      </c>
      <c r="D3014" s="28">
        <f>IFERROR(IF(AND(ISNUMBER(B3014),ISNUMBER(B3013),B3013&lt;&gt;0),B3014/B3013-1,""),"")</f>
        <v/>
      </c>
      <c r="E3014" s="28">
        <f>IFERROR(IF(AND(ISNUMBER(C3014),ISNUMBER(C3013),C3013&lt;&gt;0),C3014/C3013-1,""),"")</f>
        <v/>
      </c>
      <c r="F3014" s="28">
        <f>IFERROR(D3014-Dashboard!$B$4/252,"")</f>
        <v/>
      </c>
      <c r="G3014" s="28">
        <f>IFERROR(E3014-Dashboard!$B$4/252,"")</f>
        <v/>
      </c>
      <c r="H3014" s="8">
        <f>IFERROR(IF(ISNUMBER(B3014),MAX(B3014,IFERROR(H3013,B3014)),""),"")</f>
        <v/>
      </c>
      <c r="I3014" s="29">
        <f>IFERROR(IF(AND(ISNUMBER(B3014),ISNUMBER(H3014)),B3014/H3014-1,""),"")</f>
        <v/>
      </c>
      <c r="J3014" s="8">
        <f>IFERROR(IF(ISNUMBER(C3014),MAX(C3014,IFERROR(J3013,C3014)),""),"")</f>
        <v/>
      </c>
      <c r="K3014" s="29">
        <f>IFERROR(IF(AND(ISNUMBER(C3014),ISNUMBER(J3014)),C3014/J3014-1,""),"")</f>
        <v/>
      </c>
      <c r="L3014" s="28">
        <f>IFERROR(IF(AND(ISNUMBER(D3014),ISNUMBER(E3014)),D3014-E3014,""),"")</f>
        <v/>
      </c>
    </row>
    <row r="3015">
      <c r="A3015" s="7">
        <f>IFERROR(Datos!A3015,"")</f>
        <v/>
      </c>
      <c r="B3015" s="8">
        <f>IFERROR(Datos!B3015,"")</f>
        <v/>
      </c>
      <c r="C3015" s="8">
        <f>IFERROR(Datos!C3015,"")</f>
        <v/>
      </c>
      <c r="D3015" s="28">
        <f>IFERROR(IF(AND(ISNUMBER(B3015),ISNUMBER(B3014),B3014&lt;&gt;0),B3015/B3014-1,""),"")</f>
        <v/>
      </c>
      <c r="E3015" s="28">
        <f>IFERROR(IF(AND(ISNUMBER(C3015),ISNUMBER(C3014),C3014&lt;&gt;0),C3015/C3014-1,""),"")</f>
        <v/>
      </c>
      <c r="F3015" s="28">
        <f>IFERROR(D3015-Dashboard!$B$4/252,"")</f>
        <v/>
      </c>
      <c r="G3015" s="28">
        <f>IFERROR(E3015-Dashboard!$B$4/252,"")</f>
        <v/>
      </c>
      <c r="H3015" s="8">
        <f>IFERROR(IF(ISNUMBER(B3015),MAX(B3015,IFERROR(H3014,B3015)),""),"")</f>
        <v/>
      </c>
      <c r="I3015" s="29">
        <f>IFERROR(IF(AND(ISNUMBER(B3015),ISNUMBER(H3015)),B3015/H3015-1,""),"")</f>
        <v/>
      </c>
      <c r="J3015" s="8">
        <f>IFERROR(IF(ISNUMBER(C3015),MAX(C3015,IFERROR(J3014,C3015)),""),"")</f>
        <v/>
      </c>
      <c r="K3015" s="29">
        <f>IFERROR(IF(AND(ISNUMBER(C3015),ISNUMBER(J3015)),C3015/J3015-1,""),"")</f>
        <v/>
      </c>
      <c r="L3015" s="28">
        <f>IFERROR(IF(AND(ISNUMBER(D3015),ISNUMBER(E3015)),D3015-E3015,""),"")</f>
        <v/>
      </c>
    </row>
    <row r="3016">
      <c r="A3016" s="7">
        <f>IFERROR(Datos!A3016,"")</f>
        <v/>
      </c>
      <c r="B3016" s="8">
        <f>IFERROR(Datos!B3016,"")</f>
        <v/>
      </c>
      <c r="C3016" s="8">
        <f>IFERROR(Datos!C3016,"")</f>
        <v/>
      </c>
      <c r="D3016" s="28">
        <f>IFERROR(IF(AND(ISNUMBER(B3016),ISNUMBER(B3015),B3015&lt;&gt;0),B3016/B3015-1,""),"")</f>
        <v/>
      </c>
      <c r="E3016" s="28">
        <f>IFERROR(IF(AND(ISNUMBER(C3016),ISNUMBER(C3015),C3015&lt;&gt;0),C3016/C3015-1,""),"")</f>
        <v/>
      </c>
      <c r="F3016" s="28">
        <f>IFERROR(D3016-Dashboard!$B$4/252,"")</f>
        <v/>
      </c>
      <c r="G3016" s="28">
        <f>IFERROR(E3016-Dashboard!$B$4/252,"")</f>
        <v/>
      </c>
      <c r="H3016" s="8">
        <f>IFERROR(IF(ISNUMBER(B3016),MAX(B3016,IFERROR(H3015,B3016)),""),"")</f>
        <v/>
      </c>
      <c r="I3016" s="29">
        <f>IFERROR(IF(AND(ISNUMBER(B3016),ISNUMBER(H3016)),B3016/H3016-1,""),"")</f>
        <v/>
      </c>
      <c r="J3016" s="8">
        <f>IFERROR(IF(ISNUMBER(C3016),MAX(C3016,IFERROR(J3015,C3016)),""),"")</f>
        <v/>
      </c>
      <c r="K3016" s="29">
        <f>IFERROR(IF(AND(ISNUMBER(C3016),ISNUMBER(J3016)),C3016/J3016-1,""),"")</f>
        <v/>
      </c>
      <c r="L3016" s="28">
        <f>IFERROR(IF(AND(ISNUMBER(D3016),ISNUMBER(E3016)),D3016-E3016,""),"")</f>
        <v/>
      </c>
    </row>
    <row r="3017">
      <c r="A3017" s="7">
        <f>IFERROR(Datos!A3017,"")</f>
        <v/>
      </c>
      <c r="B3017" s="8">
        <f>IFERROR(Datos!B3017,"")</f>
        <v/>
      </c>
      <c r="C3017" s="8">
        <f>IFERROR(Datos!C3017,"")</f>
        <v/>
      </c>
      <c r="D3017" s="28">
        <f>IFERROR(IF(AND(ISNUMBER(B3017),ISNUMBER(B3016),B3016&lt;&gt;0),B3017/B3016-1,""),"")</f>
        <v/>
      </c>
      <c r="E3017" s="28">
        <f>IFERROR(IF(AND(ISNUMBER(C3017),ISNUMBER(C3016),C3016&lt;&gt;0),C3017/C3016-1,""),"")</f>
        <v/>
      </c>
      <c r="F3017" s="28">
        <f>IFERROR(D3017-Dashboard!$B$4/252,"")</f>
        <v/>
      </c>
      <c r="G3017" s="28">
        <f>IFERROR(E3017-Dashboard!$B$4/252,"")</f>
        <v/>
      </c>
      <c r="H3017" s="8">
        <f>IFERROR(IF(ISNUMBER(B3017),MAX(B3017,IFERROR(H3016,B3017)),""),"")</f>
        <v/>
      </c>
      <c r="I3017" s="29">
        <f>IFERROR(IF(AND(ISNUMBER(B3017),ISNUMBER(H3017)),B3017/H3017-1,""),"")</f>
        <v/>
      </c>
      <c r="J3017" s="8">
        <f>IFERROR(IF(ISNUMBER(C3017),MAX(C3017,IFERROR(J3016,C3017)),""),"")</f>
        <v/>
      </c>
      <c r="K3017" s="29">
        <f>IFERROR(IF(AND(ISNUMBER(C3017),ISNUMBER(J3017)),C3017/J3017-1,""),"")</f>
        <v/>
      </c>
      <c r="L3017" s="28">
        <f>IFERROR(IF(AND(ISNUMBER(D3017),ISNUMBER(E3017)),D3017-E3017,""),"")</f>
        <v/>
      </c>
    </row>
    <row r="3018">
      <c r="A3018" s="7">
        <f>IFERROR(Datos!A3018,"")</f>
        <v/>
      </c>
      <c r="B3018" s="8">
        <f>IFERROR(Datos!B3018,"")</f>
        <v/>
      </c>
      <c r="C3018" s="8">
        <f>IFERROR(Datos!C3018,"")</f>
        <v/>
      </c>
      <c r="D3018" s="28">
        <f>IFERROR(IF(AND(ISNUMBER(B3018),ISNUMBER(B3017),B3017&lt;&gt;0),B3018/B3017-1,""),"")</f>
        <v/>
      </c>
      <c r="E3018" s="28">
        <f>IFERROR(IF(AND(ISNUMBER(C3018),ISNUMBER(C3017),C3017&lt;&gt;0),C3018/C3017-1,""),"")</f>
        <v/>
      </c>
      <c r="F3018" s="28">
        <f>IFERROR(D3018-Dashboard!$B$4/252,"")</f>
        <v/>
      </c>
      <c r="G3018" s="28">
        <f>IFERROR(E3018-Dashboard!$B$4/252,"")</f>
        <v/>
      </c>
      <c r="H3018" s="8">
        <f>IFERROR(IF(ISNUMBER(B3018),MAX(B3018,IFERROR(H3017,B3018)),""),"")</f>
        <v/>
      </c>
      <c r="I3018" s="29">
        <f>IFERROR(IF(AND(ISNUMBER(B3018),ISNUMBER(H3018)),B3018/H3018-1,""),"")</f>
        <v/>
      </c>
      <c r="J3018" s="8">
        <f>IFERROR(IF(ISNUMBER(C3018),MAX(C3018,IFERROR(J3017,C3018)),""),"")</f>
        <v/>
      </c>
      <c r="K3018" s="29">
        <f>IFERROR(IF(AND(ISNUMBER(C3018),ISNUMBER(J3018)),C3018/J3018-1,""),"")</f>
        <v/>
      </c>
      <c r="L3018" s="28">
        <f>IFERROR(IF(AND(ISNUMBER(D3018),ISNUMBER(E3018)),D3018-E3018,""),"")</f>
        <v/>
      </c>
    </row>
    <row r="3019">
      <c r="A3019" s="7">
        <f>IFERROR(Datos!A3019,"")</f>
        <v/>
      </c>
      <c r="B3019" s="8">
        <f>IFERROR(Datos!B3019,"")</f>
        <v/>
      </c>
      <c r="C3019" s="8">
        <f>IFERROR(Datos!C3019,"")</f>
        <v/>
      </c>
      <c r="D3019" s="28">
        <f>IFERROR(IF(AND(ISNUMBER(B3019),ISNUMBER(B3018),B3018&lt;&gt;0),B3019/B3018-1,""),"")</f>
        <v/>
      </c>
      <c r="E3019" s="28">
        <f>IFERROR(IF(AND(ISNUMBER(C3019),ISNUMBER(C3018),C3018&lt;&gt;0),C3019/C3018-1,""),"")</f>
        <v/>
      </c>
      <c r="F3019" s="28">
        <f>IFERROR(D3019-Dashboard!$B$4/252,"")</f>
        <v/>
      </c>
      <c r="G3019" s="28">
        <f>IFERROR(E3019-Dashboard!$B$4/252,"")</f>
        <v/>
      </c>
      <c r="H3019" s="8">
        <f>IFERROR(IF(ISNUMBER(B3019),MAX(B3019,IFERROR(H3018,B3019)),""),"")</f>
        <v/>
      </c>
      <c r="I3019" s="29">
        <f>IFERROR(IF(AND(ISNUMBER(B3019),ISNUMBER(H3019)),B3019/H3019-1,""),"")</f>
        <v/>
      </c>
      <c r="J3019" s="8">
        <f>IFERROR(IF(ISNUMBER(C3019),MAX(C3019,IFERROR(J3018,C3019)),""),"")</f>
        <v/>
      </c>
      <c r="K3019" s="29">
        <f>IFERROR(IF(AND(ISNUMBER(C3019),ISNUMBER(J3019)),C3019/J3019-1,""),"")</f>
        <v/>
      </c>
      <c r="L3019" s="28">
        <f>IFERROR(IF(AND(ISNUMBER(D3019),ISNUMBER(E3019)),D3019-E3019,""),"")</f>
        <v/>
      </c>
    </row>
    <row r="3020">
      <c r="A3020" s="7">
        <f>IFERROR(Datos!A3020,"")</f>
        <v/>
      </c>
      <c r="B3020" s="8">
        <f>IFERROR(Datos!B3020,"")</f>
        <v/>
      </c>
      <c r="C3020" s="8">
        <f>IFERROR(Datos!C3020,"")</f>
        <v/>
      </c>
      <c r="D3020" s="28">
        <f>IFERROR(IF(AND(ISNUMBER(B3020),ISNUMBER(B3019),B3019&lt;&gt;0),B3020/B3019-1,""),"")</f>
        <v/>
      </c>
      <c r="E3020" s="28">
        <f>IFERROR(IF(AND(ISNUMBER(C3020),ISNUMBER(C3019),C3019&lt;&gt;0),C3020/C3019-1,""),"")</f>
        <v/>
      </c>
      <c r="F3020" s="28">
        <f>IFERROR(D3020-Dashboard!$B$4/252,"")</f>
        <v/>
      </c>
      <c r="G3020" s="28">
        <f>IFERROR(E3020-Dashboard!$B$4/252,"")</f>
        <v/>
      </c>
      <c r="H3020" s="8">
        <f>IFERROR(IF(ISNUMBER(B3020),MAX(B3020,IFERROR(H3019,B3020)),""),"")</f>
        <v/>
      </c>
      <c r="I3020" s="29">
        <f>IFERROR(IF(AND(ISNUMBER(B3020),ISNUMBER(H3020)),B3020/H3020-1,""),"")</f>
        <v/>
      </c>
      <c r="J3020" s="8">
        <f>IFERROR(IF(ISNUMBER(C3020),MAX(C3020,IFERROR(J3019,C3020)),""),"")</f>
        <v/>
      </c>
      <c r="K3020" s="29">
        <f>IFERROR(IF(AND(ISNUMBER(C3020),ISNUMBER(J3020)),C3020/J3020-1,""),"")</f>
        <v/>
      </c>
      <c r="L3020" s="28">
        <f>IFERROR(IF(AND(ISNUMBER(D3020),ISNUMBER(E3020)),D3020-E3020,""),"")</f>
        <v/>
      </c>
    </row>
    <row r="3021">
      <c r="A3021" s="7">
        <f>IFERROR(Datos!A3021,"")</f>
        <v/>
      </c>
      <c r="B3021" s="8">
        <f>IFERROR(Datos!B3021,"")</f>
        <v/>
      </c>
      <c r="C3021" s="8">
        <f>IFERROR(Datos!C3021,"")</f>
        <v/>
      </c>
      <c r="D3021" s="28">
        <f>IFERROR(IF(AND(ISNUMBER(B3021),ISNUMBER(B3020),B3020&lt;&gt;0),B3021/B3020-1,""),"")</f>
        <v/>
      </c>
      <c r="E3021" s="28">
        <f>IFERROR(IF(AND(ISNUMBER(C3021),ISNUMBER(C3020),C3020&lt;&gt;0),C3021/C3020-1,""),"")</f>
        <v/>
      </c>
      <c r="F3021" s="28">
        <f>IFERROR(D3021-Dashboard!$B$4/252,"")</f>
        <v/>
      </c>
      <c r="G3021" s="28">
        <f>IFERROR(E3021-Dashboard!$B$4/252,"")</f>
        <v/>
      </c>
      <c r="H3021" s="8">
        <f>IFERROR(IF(ISNUMBER(B3021),MAX(B3021,IFERROR(H3020,B3021)),""),"")</f>
        <v/>
      </c>
      <c r="I3021" s="29">
        <f>IFERROR(IF(AND(ISNUMBER(B3021),ISNUMBER(H3021)),B3021/H3021-1,""),"")</f>
        <v/>
      </c>
      <c r="J3021" s="8">
        <f>IFERROR(IF(ISNUMBER(C3021),MAX(C3021,IFERROR(J3020,C3021)),""),"")</f>
        <v/>
      </c>
      <c r="K3021" s="29">
        <f>IFERROR(IF(AND(ISNUMBER(C3021),ISNUMBER(J3021)),C3021/J3021-1,""),"")</f>
        <v/>
      </c>
      <c r="L3021" s="28">
        <f>IFERROR(IF(AND(ISNUMBER(D3021),ISNUMBER(E3021)),D3021-E3021,""),"")</f>
        <v/>
      </c>
    </row>
    <row r="3022">
      <c r="A3022" s="7">
        <f>IFERROR(Datos!A3022,"")</f>
        <v/>
      </c>
      <c r="B3022" s="8">
        <f>IFERROR(Datos!B3022,"")</f>
        <v/>
      </c>
      <c r="C3022" s="8">
        <f>IFERROR(Datos!C3022,"")</f>
        <v/>
      </c>
      <c r="D3022" s="28">
        <f>IFERROR(IF(AND(ISNUMBER(B3022),ISNUMBER(B3021),B3021&lt;&gt;0),B3022/B3021-1,""),"")</f>
        <v/>
      </c>
      <c r="E3022" s="28">
        <f>IFERROR(IF(AND(ISNUMBER(C3022),ISNUMBER(C3021),C3021&lt;&gt;0),C3022/C3021-1,""),"")</f>
        <v/>
      </c>
      <c r="F3022" s="28">
        <f>IFERROR(D3022-Dashboard!$B$4/252,"")</f>
        <v/>
      </c>
      <c r="G3022" s="28">
        <f>IFERROR(E3022-Dashboard!$B$4/252,"")</f>
        <v/>
      </c>
      <c r="H3022" s="8">
        <f>IFERROR(IF(ISNUMBER(B3022),MAX(B3022,IFERROR(H3021,B3022)),""),"")</f>
        <v/>
      </c>
      <c r="I3022" s="29">
        <f>IFERROR(IF(AND(ISNUMBER(B3022),ISNUMBER(H3022)),B3022/H3022-1,""),"")</f>
        <v/>
      </c>
      <c r="J3022" s="8">
        <f>IFERROR(IF(ISNUMBER(C3022),MAX(C3022,IFERROR(J3021,C3022)),""),"")</f>
        <v/>
      </c>
      <c r="K3022" s="29">
        <f>IFERROR(IF(AND(ISNUMBER(C3022),ISNUMBER(J3022)),C3022/J3022-1,""),"")</f>
        <v/>
      </c>
      <c r="L3022" s="28">
        <f>IFERROR(IF(AND(ISNUMBER(D3022),ISNUMBER(E3022)),D3022-E3022,""),"")</f>
        <v/>
      </c>
    </row>
    <row r="3023">
      <c r="A3023" s="7">
        <f>IFERROR(Datos!A3023,"")</f>
        <v/>
      </c>
      <c r="B3023" s="8">
        <f>IFERROR(Datos!B3023,"")</f>
        <v/>
      </c>
      <c r="C3023" s="8">
        <f>IFERROR(Datos!C3023,"")</f>
        <v/>
      </c>
      <c r="D3023" s="28">
        <f>IFERROR(IF(AND(ISNUMBER(B3023),ISNUMBER(B3022),B3022&lt;&gt;0),B3023/B3022-1,""),"")</f>
        <v/>
      </c>
      <c r="E3023" s="28">
        <f>IFERROR(IF(AND(ISNUMBER(C3023),ISNUMBER(C3022),C3022&lt;&gt;0),C3023/C3022-1,""),"")</f>
        <v/>
      </c>
      <c r="F3023" s="28">
        <f>IFERROR(D3023-Dashboard!$B$4/252,"")</f>
        <v/>
      </c>
      <c r="G3023" s="28">
        <f>IFERROR(E3023-Dashboard!$B$4/252,"")</f>
        <v/>
      </c>
      <c r="H3023" s="8">
        <f>IFERROR(IF(ISNUMBER(B3023),MAX(B3023,IFERROR(H3022,B3023)),""),"")</f>
        <v/>
      </c>
      <c r="I3023" s="29">
        <f>IFERROR(IF(AND(ISNUMBER(B3023),ISNUMBER(H3023)),B3023/H3023-1,""),"")</f>
        <v/>
      </c>
      <c r="J3023" s="8">
        <f>IFERROR(IF(ISNUMBER(C3023),MAX(C3023,IFERROR(J3022,C3023)),""),"")</f>
        <v/>
      </c>
      <c r="K3023" s="29">
        <f>IFERROR(IF(AND(ISNUMBER(C3023),ISNUMBER(J3023)),C3023/J3023-1,""),"")</f>
        <v/>
      </c>
      <c r="L3023" s="28">
        <f>IFERROR(IF(AND(ISNUMBER(D3023),ISNUMBER(E3023)),D3023-E3023,""),"")</f>
        <v/>
      </c>
    </row>
    <row r="3024">
      <c r="A3024" s="7">
        <f>IFERROR(Datos!A3024,"")</f>
        <v/>
      </c>
      <c r="B3024" s="8">
        <f>IFERROR(Datos!B3024,"")</f>
        <v/>
      </c>
      <c r="C3024" s="8">
        <f>IFERROR(Datos!C3024,"")</f>
        <v/>
      </c>
      <c r="D3024" s="28">
        <f>IFERROR(IF(AND(ISNUMBER(B3024),ISNUMBER(B3023),B3023&lt;&gt;0),B3024/B3023-1,""),"")</f>
        <v/>
      </c>
      <c r="E3024" s="28">
        <f>IFERROR(IF(AND(ISNUMBER(C3024),ISNUMBER(C3023),C3023&lt;&gt;0),C3024/C3023-1,""),"")</f>
        <v/>
      </c>
      <c r="F3024" s="28">
        <f>IFERROR(D3024-Dashboard!$B$4/252,"")</f>
        <v/>
      </c>
      <c r="G3024" s="28">
        <f>IFERROR(E3024-Dashboard!$B$4/252,"")</f>
        <v/>
      </c>
      <c r="H3024" s="8">
        <f>IFERROR(IF(ISNUMBER(B3024),MAX(B3024,IFERROR(H3023,B3024)),""),"")</f>
        <v/>
      </c>
      <c r="I3024" s="29">
        <f>IFERROR(IF(AND(ISNUMBER(B3024),ISNUMBER(H3024)),B3024/H3024-1,""),"")</f>
        <v/>
      </c>
      <c r="J3024" s="8">
        <f>IFERROR(IF(ISNUMBER(C3024),MAX(C3024,IFERROR(J3023,C3024)),""),"")</f>
        <v/>
      </c>
      <c r="K3024" s="29">
        <f>IFERROR(IF(AND(ISNUMBER(C3024),ISNUMBER(J3024)),C3024/J3024-1,""),"")</f>
        <v/>
      </c>
      <c r="L3024" s="28">
        <f>IFERROR(IF(AND(ISNUMBER(D3024),ISNUMBER(E3024)),D3024-E3024,""),"")</f>
        <v/>
      </c>
    </row>
    <row r="3025">
      <c r="A3025" s="7">
        <f>IFERROR(Datos!A3025,"")</f>
        <v/>
      </c>
      <c r="B3025" s="8">
        <f>IFERROR(Datos!B3025,"")</f>
        <v/>
      </c>
      <c r="C3025" s="8">
        <f>IFERROR(Datos!C3025,"")</f>
        <v/>
      </c>
      <c r="D3025" s="28">
        <f>IFERROR(IF(AND(ISNUMBER(B3025),ISNUMBER(B3024),B3024&lt;&gt;0),B3025/B3024-1,""),"")</f>
        <v/>
      </c>
      <c r="E3025" s="28">
        <f>IFERROR(IF(AND(ISNUMBER(C3025),ISNUMBER(C3024),C3024&lt;&gt;0),C3025/C3024-1,""),"")</f>
        <v/>
      </c>
      <c r="F3025" s="28">
        <f>IFERROR(D3025-Dashboard!$B$4/252,"")</f>
        <v/>
      </c>
      <c r="G3025" s="28">
        <f>IFERROR(E3025-Dashboard!$B$4/252,"")</f>
        <v/>
      </c>
      <c r="H3025" s="8">
        <f>IFERROR(IF(ISNUMBER(B3025),MAX(B3025,IFERROR(H3024,B3025)),""),"")</f>
        <v/>
      </c>
      <c r="I3025" s="29">
        <f>IFERROR(IF(AND(ISNUMBER(B3025),ISNUMBER(H3025)),B3025/H3025-1,""),"")</f>
        <v/>
      </c>
      <c r="J3025" s="8">
        <f>IFERROR(IF(ISNUMBER(C3025),MAX(C3025,IFERROR(J3024,C3025)),""),"")</f>
        <v/>
      </c>
      <c r="K3025" s="29">
        <f>IFERROR(IF(AND(ISNUMBER(C3025),ISNUMBER(J3025)),C3025/J3025-1,""),"")</f>
        <v/>
      </c>
      <c r="L3025" s="28">
        <f>IFERROR(IF(AND(ISNUMBER(D3025),ISNUMBER(E3025)),D3025-E3025,""),"")</f>
        <v/>
      </c>
    </row>
    <row r="3026">
      <c r="A3026" s="7">
        <f>IFERROR(Datos!A3026,"")</f>
        <v/>
      </c>
      <c r="B3026" s="8">
        <f>IFERROR(Datos!B3026,"")</f>
        <v/>
      </c>
      <c r="C3026" s="8">
        <f>IFERROR(Datos!C3026,"")</f>
        <v/>
      </c>
      <c r="D3026" s="28">
        <f>IFERROR(IF(AND(ISNUMBER(B3026),ISNUMBER(B3025),B3025&lt;&gt;0),B3026/B3025-1,""),"")</f>
        <v/>
      </c>
      <c r="E3026" s="28">
        <f>IFERROR(IF(AND(ISNUMBER(C3026),ISNUMBER(C3025),C3025&lt;&gt;0),C3026/C3025-1,""),"")</f>
        <v/>
      </c>
      <c r="F3026" s="28">
        <f>IFERROR(D3026-Dashboard!$B$4/252,"")</f>
        <v/>
      </c>
      <c r="G3026" s="28">
        <f>IFERROR(E3026-Dashboard!$B$4/252,"")</f>
        <v/>
      </c>
      <c r="H3026" s="8">
        <f>IFERROR(IF(ISNUMBER(B3026),MAX(B3026,IFERROR(H3025,B3026)),""),"")</f>
        <v/>
      </c>
      <c r="I3026" s="29">
        <f>IFERROR(IF(AND(ISNUMBER(B3026),ISNUMBER(H3026)),B3026/H3026-1,""),"")</f>
        <v/>
      </c>
      <c r="J3026" s="8">
        <f>IFERROR(IF(ISNUMBER(C3026),MAX(C3026,IFERROR(J3025,C3026)),""),"")</f>
        <v/>
      </c>
      <c r="K3026" s="29">
        <f>IFERROR(IF(AND(ISNUMBER(C3026),ISNUMBER(J3026)),C3026/J3026-1,""),"")</f>
        <v/>
      </c>
      <c r="L3026" s="28">
        <f>IFERROR(IF(AND(ISNUMBER(D3026),ISNUMBER(E3026)),D3026-E3026,""),"")</f>
        <v/>
      </c>
    </row>
    <row r="3027">
      <c r="A3027" s="7">
        <f>IFERROR(Datos!A3027,"")</f>
        <v/>
      </c>
      <c r="B3027" s="8">
        <f>IFERROR(Datos!B3027,"")</f>
        <v/>
      </c>
      <c r="C3027" s="8">
        <f>IFERROR(Datos!C3027,"")</f>
        <v/>
      </c>
      <c r="D3027" s="28">
        <f>IFERROR(IF(AND(ISNUMBER(B3027),ISNUMBER(B3026),B3026&lt;&gt;0),B3027/B3026-1,""),"")</f>
        <v/>
      </c>
      <c r="E3027" s="28">
        <f>IFERROR(IF(AND(ISNUMBER(C3027),ISNUMBER(C3026),C3026&lt;&gt;0),C3027/C3026-1,""),"")</f>
        <v/>
      </c>
      <c r="F3027" s="28">
        <f>IFERROR(D3027-Dashboard!$B$4/252,"")</f>
        <v/>
      </c>
      <c r="G3027" s="28">
        <f>IFERROR(E3027-Dashboard!$B$4/252,"")</f>
        <v/>
      </c>
      <c r="H3027" s="8">
        <f>IFERROR(IF(ISNUMBER(B3027),MAX(B3027,IFERROR(H3026,B3027)),""),"")</f>
        <v/>
      </c>
      <c r="I3027" s="29">
        <f>IFERROR(IF(AND(ISNUMBER(B3027),ISNUMBER(H3027)),B3027/H3027-1,""),"")</f>
        <v/>
      </c>
      <c r="J3027" s="8">
        <f>IFERROR(IF(ISNUMBER(C3027),MAX(C3027,IFERROR(J3026,C3027)),""),"")</f>
        <v/>
      </c>
      <c r="K3027" s="29">
        <f>IFERROR(IF(AND(ISNUMBER(C3027),ISNUMBER(J3027)),C3027/J3027-1,""),"")</f>
        <v/>
      </c>
      <c r="L3027" s="28">
        <f>IFERROR(IF(AND(ISNUMBER(D3027),ISNUMBER(E3027)),D3027-E3027,""),"")</f>
        <v/>
      </c>
    </row>
    <row r="3028">
      <c r="A3028" s="7">
        <f>IFERROR(Datos!A3028,"")</f>
        <v/>
      </c>
      <c r="B3028" s="8">
        <f>IFERROR(Datos!B3028,"")</f>
        <v/>
      </c>
      <c r="C3028" s="8">
        <f>IFERROR(Datos!C3028,"")</f>
        <v/>
      </c>
      <c r="D3028" s="28">
        <f>IFERROR(IF(AND(ISNUMBER(B3028),ISNUMBER(B3027),B3027&lt;&gt;0),B3028/B3027-1,""),"")</f>
        <v/>
      </c>
      <c r="E3028" s="28">
        <f>IFERROR(IF(AND(ISNUMBER(C3028),ISNUMBER(C3027),C3027&lt;&gt;0),C3028/C3027-1,""),"")</f>
        <v/>
      </c>
      <c r="F3028" s="28">
        <f>IFERROR(D3028-Dashboard!$B$4/252,"")</f>
        <v/>
      </c>
      <c r="G3028" s="28">
        <f>IFERROR(E3028-Dashboard!$B$4/252,"")</f>
        <v/>
      </c>
      <c r="H3028" s="8">
        <f>IFERROR(IF(ISNUMBER(B3028),MAX(B3028,IFERROR(H3027,B3028)),""),"")</f>
        <v/>
      </c>
      <c r="I3028" s="29">
        <f>IFERROR(IF(AND(ISNUMBER(B3028),ISNUMBER(H3028)),B3028/H3028-1,""),"")</f>
        <v/>
      </c>
      <c r="J3028" s="8">
        <f>IFERROR(IF(ISNUMBER(C3028),MAX(C3028,IFERROR(J3027,C3028)),""),"")</f>
        <v/>
      </c>
      <c r="K3028" s="29">
        <f>IFERROR(IF(AND(ISNUMBER(C3028),ISNUMBER(J3028)),C3028/J3028-1,""),"")</f>
        <v/>
      </c>
      <c r="L3028" s="28">
        <f>IFERROR(IF(AND(ISNUMBER(D3028),ISNUMBER(E3028)),D3028-E3028,""),"")</f>
        <v/>
      </c>
    </row>
    <row r="3029">
      <c r="A3029" s="7">
        <f>IFERROR(Datos!A3029,"")</f>
        <v/>
      </c>
      <c r="B3029" s="8">
        <f>IFERROR(Datos!B3029,"")</f>
        <v/>
      </c>
      <c r="C3029" s="8">
        <f>IFERROR(Datos!C3029,"")</f>
        <v/>
      </c>
      <c r="D3029" s="28">
        <f>IFERROR(IF(AND(ISNUMBER(B3029),ISNUMBER(B3028),B3028&lt;&gt;0),B3029/B3028-1,""),"")</f>
        <v/>
      </c>
      <c r="E3029" s="28">
        <f>IFERROR(IF(AND(ISNUMBER(C3029),ISNUMBER(C3028),C3028&lt;&gt;0),C3029/C3028-1,""),"")</f>
        <v/>
      </c>
      <c r="F3029" s="28">
        <f>IFERROR(D3029-Dashboard!$B$4/252,"")</f>
        <v/>
      </c>
      <c r="G3029" s="28">
        <f>IFERROR(E3029-Dashboard!$B$4/252,"")</f>
        <v/>
      </c>
      <c r="H3029" s="8">
        <f>IFERROR(IF(ISNUMBER(B3029),MAX(B3029,IFERROR(H3028,B3029)),""),"")</f>
        <v/>
      </c>
      <c r="I3029" s="29">
        <f>IFERROR(IF(AND(ISNUMBER(B3029),ISNUMBER(H3029)),B3029/H3029-1,""),"")</f>
        <v/>
      </c>
      <c r="J3029" s="8">
        <f>IFERROR(IF(ISNUMBER(C3029),MAX(C3029,IFERROR(J3028,C3029)),""),"")</f>
        <v/>
      </c>
      <c r="K3029" s="29">
        <f>IFERROR(IF(AND(ISNUMBER(C3029),ISNUMBER(J3029)),C3029/J3029-1,""),"")</f>
        <v/>
      </c>
      <c r="L3029" s="28">
        <f>IFERROR(IF(AND(ISNUMBER(D3029),ISNUMBER(E3029)),D3029-E3029,""),"")</f>
        <v/>
      </c>
    </row>
    <row r="3030">
      <c r="A3030" s="7">
        <f>IFERROR(Datos!A3030,"")</f>
        <v/>
      </c>
      <c r="B3030" s="8">
        <f>IFERROR(Datos!B3030,"")</f>
        <v/>
      </c>
      <c r="C3030" s="8">
        <f>IFERROR(Datos!C3030,"")</f>
        <v/>
      </c>
      <c r="D3030" s="28">
        <f>IFERROR(IF(AND(ISNUMBER(B3030),ISNUMBER(B3029),B3029&lt;&gt;0),B3030/B3029-1,""),"")</f>
        <v/>
      </c>
      <c r="E3030" s="28">
        <f>IFERROR(IF(AND(ISNUMBER(C3030),ISNUMBER(C3029),C3029&lt;&gt;0),C3030/C3029-1,""),"")</f>
        <v/>
      </c>
      <c r="F3030" s="28">
        <f>IFERROR(D3030-Dashboard!$B$4/252,"")</f>
        <v/>
      </c>
      <c r="G3030" s="28">
        <f>IFERROR(E3030-Dashboard!$B$4/252,"")</f>
        <v/>
      </c>
      <c r="H3030" s="8">
        <f>IFERROR(IF(ISNUMBER(B3030),MAX(B3030,IFERROR(H3029,B3030)),""),"")</f>
        <v/>
      </c>
      <c r="I3030" s="29">
        <f>IFERROR(IF(AND(ISNUMBER(B3030),ISNUMBER(H3030)),B3030/H3030-1,""),"")</f>
        <v/>
      </c>
      <c r="J3030" s="8">
        <f>IFERROR(IF(ISNUMBER(C3030),MAX(C3030,IFERROR(J3029,C3030)),""),"")</f>
        <v/>
      </c>
      <c r="K3030" s="29">
        <f>IFERROR(IF(AND(ISNUMBER(C3030),ISNUMBER(J3030)),C3030/J3030-1,""),"")</f>
        <v/>
      </c>
      <c r="L3030" s="28">
        <f>IFERROR(IF(AND(ISNUMBER(D3030),ISNUMBER(E3030)),D3030-E3030,""),"")</f>
        <v/>
      </c>
    </row>
    <row r="3031">
      <c r="A3031" s="7">
        <f>IFERROR(Datos!A3031,"")</f>
        <v/>
      </c>
      <c r="B3031" s="8">
        <f>IFERROR(Datos!B3031,"")</f>
        <v/>
      </c>
      <c r="C3031" s="8">
        <f>IFERROR(Datos!C3031,"")</f>
        <v/>
      </c>
      <c r="D3031" s="28">
        <f>IFERROR(IF(AND(ISNUMBER(B3031),ISNUMBER(B3030),B3030&lt;&gt;0),B3031/B3030-1,""),"")</f>
        <v/>
      </c>
      <c r="E3031" s="28">
        <f>IFERROR(IF(AND(ISNUMBER(C3031),ISNUMBER(C3030),C3030&lt;&gt;0),C3031/C3030-1,""),"")</f>
        <v/>
      </c>
      <c r="F3031" s="28">
        <f>IFERROR(D3031-Dashboard!$B$4/252,"")</f>
        <v/>
      </c>
      <c r="G3031" s="28">
        <f>IFERROR(E3031-Dashboard!$B$4/252,"")</f>
        <v/>
      </c>
      <c r="H3031" s="8">
        <f>IFERROR(IF(ISNUMBER(B3031),MAX(B3031,IFERROR(H3030,B3031)),""),"")</f>
        <v/>
      </c>
      <c r="I3031" s="29">
        <f>IFERROR(IF(AND(ISNUMBER(B3031),ISNUMBER(H3031)),B3031/H3031-1,""),"")</f>
        <v/>
      </c>
      <c r="J3031" s="8">
        <f>IFERROR(IF(ISNUMBER(C3031),MAX(C3031,IFERROR(J3030,C3031)),""),"")</f>
        <v/>
      </c>
      <c r="K3031" s="29">
        <f>IFERROR(IF(AND(ISNUMBER(C3031),ISNUMBER(J3031)),C3031/J3031-1,""),"")</f>
        <v/>
      </c>
      <c r="L3031" s="28">
        <f>IFERROR(IF(AND(ISNUMBER(D3031),ISNUMBER(E3031)),D3031-E3031,""),"")</f>
        <v/>
      </c>
    </row>
    <row r="3032">
      <c r="A3032" s="7">
        <f>IFERROR(Datos!A3032,"")</f>
        <v/>
      </c>
      <c r="B3032" s="8">
        <f>IFERROR(Datos!B3032,"")</f>
        <v/>
      </c>
      <c r="C3032" s="8">
        <f>IFERROR(Datos!C3032,"")</f>
        <v/>
      </c>
      <c r="D3032" s="28">
        <f>IFERROR(IF(AND(ISNUMBER(B3032),ISNUMBER(B3031),B3031&lt;&gt;0),B3032/B3031-1,""),"")</f>
        <v/>
      </c>
      <c r="E3032" s="28">
        <f>IFERROR(IF(AND(ISNUMBER(C3032),ISNUMBER(C3031),C3031&lt;&gt;0),C3032/C3031-1,""),"")</f>
        <v/>
      </c>
      <c r="F3032" s="28">
        <f>IFERROR(D3032-Dashboard!$B$4/252,"")</f>
        <v/>
      </c>
      <c r="G3032" s="28">
        <f>IFERROR(E3032-Dashboard!$B$4/252,"")</f>
        <v/>
      </c>
      <c r="H3032" s="8">
        <f>IFERROR(IF(ISNUMBER(B3032),MAX(B3032,IFERROR(H3031,B3032)),""),"")</f>
        <v/>
      </c>
      <c r="I3032" s="29">
        <f>IFERROR(IF(AND(ISNUMBER(B3032),ISNUMBER(H3032)),B3032/H3032-1,""),"")</f>
        <v/>
      </c>
      <c r="J3032" s="8">
        <f>IFERROR(IF(ISNUMBER(C3032),MAX(C3032,IFERROR(J3031,C3032)),""),"")</f>
        <v/>
      </c>
      <c r="K3032" s="29">
        <f>IFERROR(IF(AND(ISNUMBER(C3032),ISNUMBER(J3032)),C3032/J3032-1,""),"")</f>
        <v/>
      </c>
      <c r="L3032" s="28">
        <f>IFERROR(IF(AND(ISNUMBER(D3032),ISNUMBER(E3032)),D3032-E3032,""),"")</f>
        <v/>
      </c>
    </row>
    <row r="3033">
      <c r="A3033" s="7">
        <f>IFERROR(Datos!A3033,"")</f>
        <v/>
      </c>
      <c r="B3033" s="8">
        <f>IFERROR(Datos!B3033,"")</f>
        <v/>
      </c>
      <c r="C3033" s="8">
        <f>IFERROR(Datos!C3033,"")</f>
        <v/>
      </c>
      <c r="D3033" s="28">
        <f>IFERROR(IF(AND(ISNUMBER(B3033),ISNUMBER(B3032),B3032&lt;&gt;0),B3033/B3032-1,""),"")</f>
        <v/>
      </c>
      <c r="E3033" s="28">
        <f>IFERROR(IF(AND(ISNUMBER(C3033),ISNUMBER(C3032),C3032&lt;&gt;0),C3033/C3032-1,""),"")</f>
        <v/>
      </c>
      <c r="F3033" s="28">
        <f>IFERROR(D3033-Dashboard!$B$4/252,"")</f>
        <v/>
      </c>
      <c r="G3033" s="28">
        <f>IFERROR(E3033-Dashboard!$B$4/252,"")</f>
        <v/>
      </c>
      <c r="H3033" s="8">
        <f>IFERROR(IF(ISNUMBER(B3033),MAX(B3033,IFERROR(H3032,B3033)),""),"")</f>
        <v/>
      </c>
      <c r="I3033" s="29">
        <f>IFERROR(IF(AND(ISNUMBER(B3033),ISNUMBER(H3033)),B3033/H3033-1,""),"")</f>
        <v/>
      </c>
      <c r="J3033" s="8">
        <f>IFERROR(IF(ISNUMBER(C3033),MAX(C3033,IFERROR(J3032,C3033)),""),"")</f>
        <v/>
      </c>
      <c r="K3033" s="29">
        <f>IFERROR(IF(AND(ISNUMBER(C3033),ISNUMBER(J3033)),C3033/J3033-1,""),"")</f>
        <v/>
      </c>
      <c r="L3033" s="28">
        <f>IFERROR(IF(AND(ISNUMBER(D3033),ISNUMBER(E3033)),D3033-E3033,""),"")</f>
        <v/>
      </c>
    </row>
    <row r="3034">
      <c r="A3034" s="7">
        <f>IFERROR(Datos!A3034,"")</f>
        <v/>
      </c>
      <c r="B3034" s="8">
        <f>IFERROR(Datos!B3034,"")</f>
        <v/>
      </c>
      <c r="C3034" s="8">
        <f>IFERROR(Datos!C3034,"")</f>
        <v/>
      </c>
      <c r="D3034" s="28">
        <f>IFERROR(IF(AND(ISNUMBER(B3034),ISNUMBER(B3033),B3033&lt;&gt;0),B3034/B3033-1,""),"")</f>
        <v/>
      </c>
      <c r="E3034" s="28">
        <f>IFERROR(IF(AND(ISNUMBER(C3034),ISNUMBER(C3033),C3033&lt;&gt;0),C3034/C3033-1,""),"")</f>
        <v/>
      </c>
      <c r="F3034" s="28">
        <f>IFERROR(D3034-Dashboard!$B$4/252,"")</f>
        <v/>
      </c>
      <c r="G3034" s="28">
        <f>IFERROR(E3034-Dashboard!$B$4/252,"")</f>
        <v/>
      </c>
      <c r="H3034" s="8">
        <f>IFERROR(IF(ISNUMBER(B3034),MAX(B3034,IFERROR(H3033,B3034)),""),"")</f>
        <v/>
      </c>
      <c r="I3034" s="29">
        <f>IFERROR(IF(AND(ISNUMBER(B3034),ISNUMBER(H3034)),B3034/H3034-1,""),"")</f>
        <v/>
      </c>
      <c r="J3034" s="8">
        <f>IFERROR(IF(ISNUMBER(C3034),MAX(C3034,IFERROR(J3033,C3034)),""),"")</f>
        <v/>
      </c>
      <c r="K3034" s="29">
        <f>IFERROR(IF(AND(ISNUMBER(C3034),ISNUMBER(J3034)),C3034/J3034-1,""),"")</f>
        <v/>
      </c>
      <c r="L3034" s="28">
        <f>IFERROR(IF(AND(ISNUMBER(D3034),ISNUMBER(E3034)),D3034-E3034,""),"")</f>
        <v/>
      </c>
    </row>
    <row r="3035">
      <c r="A3035" s="7">
        <f>IFERROR(Datos!A3035,"")</f>
        <v/>
      </c>
      <c r="B3035" s="8">
        <f>IFERROR(Datos!B3035,"")</f>
        <v/>
      </c>
      <c r="C3035" s="8">
        <f>IFERROR(Datos!C3035,"")</f>
        <v/>
      </c>
      <c r="D3035" s="28">
        <f>IFERROR(IF(AND(ISNUMBER(B3035),ISNUMBER(B3034),B3034&lt;&gt;0),B3035/B3034-1,""),"")</f>
        <v/>
      </c>
      <c r="E3035" s="28">
        <f>IFERROR(IF(AND(ISNUMBER(C3035),ISNUMBER(C3034),C3034&lt;&gt;0),C3035/C3034-1,""),"")</f>
        <v/>
      </c>
      <c r="F3035" s="28">
        <f>IFERROR(D3035-Dashboard!$B$4/252,"")</f>
        <v/>
      </c>
      <c r="G3035" s="28">
        <f>IFERROR(E3035-Dashboard!$B$4/252,"")</f>
        <v/>
      </c>
      <c r="H3035" s="8">
        <f>IFERROR(IF(ISNUMBER(B3035),MAX(B3035,IFERROR(H3034,B3035)),""),"")</f>
        <v/>
      </c>
      <c r="I3035" s="29">
        <f>IFERROR(IF(AND(ISNUMBER(B3035),ISNUMBER(H3035)),B3035/H3035-1,""),"")</f>
        <v/>
      </c>
      <c r="J3035" s="8">
        <f>IFERROR(IF(ISNUMBER(C3035),MAX(C3035,IFERROR(J3034,C3035)),""),"")</f>
        <v/>
      </c>
      <c r="K3035" s="29">
        <f>IFERROR(IF(AND(ISNUMBER(C3035),ISNUMBER(J3035)),C3035/J3035-1,""),"")</f>
        <v/>
      </c>
      <c r="L3035" s="28">
        <f>IFERROR(IF(AND(ISNUMBER(D3035),ISNUMBER(E3035)),D3035-E3035,""),"")</f>
        <v/>
      </c>
    </row>
    <row r="3036">
      <c r="A3036" s="7">
        <f>IFERROR(Datos!A3036,"")</f>
        <v/>
      </c>
      <c r="B3036" s="8">
        <f>IFERROR(Datos!B3036,"")</f>
        <v/>
      </c>
      <c r="C3036" s="8">
        <f>IFERROR(Datos!C3036,"")</f>
        <v/>
      </c>
      <c r="D3036" s="28">
        <f>IFERROR(IF(AND(ISNUMBER(B3036),ISNUMBER(B3035),B3035&lt;&gt;0),B3036/B3035-1,""),"")</f>
        <v/>
      </c>
      <c r="E3036" s="28">
        <f>IFERROR(IF(AND(ISNUMBER(C3036),ISNUMBER(C3035),C3035&lt;&gt;0),C3036/C3035-1,""),"")</f>
        <v/>
      </c>
      <c r="F3036" s="28">
        <f>IFERROR(D3036-Dashboard!$B$4/252,"")</f>
        <v/>
      </c>
      <c r="G3036" s="28">
        <f>IFERROR(E3036-Dashboard!$B$4/252,"")</f>
        <v/>
      </c>
      <c r="H3036" s="8">
        <f>IFERROR(IF(ISNUMBER(B3036),MAX(B3036,IFERROR(H3035,B3036)),""),"")</f>
        <v/>
      </c>
      <c r="I3036" s="29">
        <f>IFERROR(IF(AND(ISNUMBER(B3036),ISNUMBER(H3036)),B3036/H3036-1,""),"")</f>
        <v/>
      </c>
      <c r="J3036" s="8">
        <f>IFERROR(IF(ISNUMBER(C3036),MAX(C3036,IFERROR(J3035,C3036)),""),"")</f>
        <v/>
      </c>
      <c r="K3036" s="29">
        <f>IFERROR(IF(AND(ISNUMBER(C3036),ISNUMBER(J3036)),C3036/J3036-1,""),"")</f>
        <v/>
      </c>
      <c r="L3036" s="28">
        <f>IFERROR(IF(AND(ISNUMBER(D3036),ISNUMBER(E3036)),D3036-E3036,""),"")</f>
        <v/>
      </c>
    </row>
    <row r="3037">
      <c r="A3037" s="7">
        <f>IFERROR(Datos!A3037,"")</f>
        <v/>
      </c>
      <c r="B3037" s="8">
        <f>IFERROR(Datos!B3037,"")</f>
        <v/>
      </c>
      <c r="C3037" s="8">
        <f>IFERROR(Datos!C3037,"")</f>
        <v/>
      </c>
      <c r="D3037" s="28">
        <f>IFERROR(IF(AND(ISNUMBER(B3037),ISNUMBER(B3036),B3036&lt;&gt;0),B3037/B3036-1,""),"")</f>
        <v/>
      </c>
      <c r="E3037" s="28">
        <f>IFERROR(IF(AND(ISNUMBER(C3037),ISNUMBER(C3036),C3036&lt;&gt;0),C3037/C3036-1,""),"")</f>
        <v/>
      </c>
      <c r="F3037" s="28">
        <f>IFERROR(D3037-Dashboard!$B$4/252,"")</f>
        <v/>
      </c>
      <c r="G3037" s="28">
        <f>IFERROR(E3037-Dashboard!$B$4/252,"")</f>
        <v/>
      </c>
      <c r="H3037" s="8">
        <f>IFERROR(IF(ISNUMBER(B3037),MAX(B3037,IFERROR(H3036,B3037)),""),"")</f>
        <v/>
      </c>
      <c r="I3037" s="29">
        <f>IFERROR(IF(AND(ISNUMBER(B3037),ISNUMBER(H3037)),B3037/H3037-1,""),"")</f>
        <v/>
      </c>
      <c r="J3037" s="8">
        <f>IFERROR(IF(ISNUMBER(C3037),MAX(C3037,IFERROR(J3036,C3037)),""),"")</f>
        <v/>
      </c>
      <c r="K3037" s="29">
        <f>IFERROR(IF(AND(ISNUMBER(C3037),ISNUMBER(J3037)),C3037/J3037-1,""),"")</f>
        <v/>
      </c>
      <c r="L3037" s="28">
        <f>IFERROR(IF(AND(ISNUMBER(D3037),ISNUMBER(E3037)),D3037-E3037,""),"")</f>
        <v/>
      </c>
    </row>
    <row r="3038">
      <c r="A3038" s="7">
        <f>IFERROR(Datos!A3038,"")</f>
        <v/>
      </c>
      <c r="B3038" s="8">
        <f>IFERROR(Datos!B3038,"")</f>
        <v/>
      </c>
      <c r="C3038" s="8">
        <f>IFERROR(Datos!C3038,"")</f>
        <v/>
      </c>
      <c r="D3038" s="28">
        <f>IFERROR(IF(AND(ISNUMBER(B3038),ISNUMBER(B3037),B3037&lt;&gt;0),B3038/B3037-1,""),"")</f>
        <v/>
      </c>
      <c r="E3038" s="28">
        <f>IFERROR(IF(AND(ISNUMBER(C3038),ISNUMBER(C3037),C3037&lt;&gt;0),C3038/C3037-1,""),"")</f>
        <v/>
      </c>
      <c r="F3038" s="28">
        <f>IFERROR(D3038-Dashboard!$B$4/252,"")</f>
        <v/>
      </c>
      <c r="G3038" s="28">
        <f>IFERROR(E3038-Dashboard!$B$4/252,"")</f>
        <v/>
      </c>
      <c r="H3038" s="8">
        <f>IFERROR(IF(ISNUMBER(B3038),MAX(B3038,IFERROR(H3037,B3038)),""),"")</f>
        <v/>
      </c>
      <c r="I3038" s="29">
        <f>IFERROR(IF(AND(ISNUMBER(B3038),ISNUMBER(H3038)),B3038/H3038-1,""),"")</f>
        <v/>
      </c>
      <c r="J3038" s="8">
        <f>IFERROR(IF(ISNUMBER(C3038),MAX(C3038,IFERROR(J3037,C3038)),""),"")</f>
        <v/>
      </c>
      <c r="K3038" s="29">
        <f>IFERROR(IF(AND(ISNUMBER(C3038),ISNUMBER(J3038)),C3038/J3038-1,""),"")</f>
        <v/>
      </c>
      <c r="L3038" s="28">
        <f>IFERROR(IF(AND(ISNUMBER(D3038),ISNUMBER(E3038)),D3038-E3038,""),"")</f>
        <v/>
      </c>
    </row>
    <row r="3039">
      <c r="A3039" s="7">
        <f>IFERROR(Datos!A3039,"")</f>
        <v/>
      </c>
      <c r="B3039" s="8">
        <f>IFERROR(Datos!B3039,"")</f>
        <v/>
      </c>
      <c r="C3039" s="8">
        <f>IFERROR(Datos!C3039,"")</f>
        <v/>
      </c>
      <c r="D3039" s="28">
        <f>IFERROR(IF(AND(ISNUMBER(B3039),ISNUMBER(B3038),B3038&lt;&gt;0),B3039/B3038-1,""),"")</f>
        <v/>
      </c>
      <c r="E3039" s="28">
        <f>IFERROR(IF(AND(ISNUMBER(C3039),ISNUMBER(C3038),C3038&lt;&gt;0),C3039/C3038-1,""),"")</f>
        <v/>
      </c>
      <c r="F3039" s="28">
        <f>IFERROR(D3039-Dashboard!$B$4/252,"")</f>
        <v/>
      </c>
      <c r="G3039" s="28">
        <f>IFERROR(E3039-Dashboard!$B$4/252,"")</f>
        <v/>
      </c>
      <c r="H3039" s="8">
        <f>IFERROR(IF(ISNUMBER(B3039),MAX(B3039,IFERROR(H3038,B3039)),""),"")</f>
        <v/>
      </c>
      <c r="I3039" s="29">
        <f>IFERROR(IF(AND(ISNUMBER(B3039),ISNUMBER(H3039)),B3039/H3039-1,""),"")</f>
        <v/>
      </c>
      <c r="J3039" s="8">
        <f>IFERROR(IF(ISNUMBER(C3039),MAX(C3039,IFERROR(J3038,C3039)),""),"")</f>
        <v/>
      </c>
      <c r="K3039" s="29">
        <f>IFERROR(IF(AND(ISNUMBER(C3039),ISNUMBER(J3039)),C3039/J3039-1,""),"")</f>
        <v/>
      </c>
      <c r="L3039" s="28">
        <f>IFERROR(IF(AND(ISNUMBER(D3039),ISNUMBER(E3039)),D3039-E3039,""),"")</f>
        <v/>
      </c>
    </row>
    <row r="3040">
      <c r="A3040" s="7">
        <f>IFERROR(Datos!A3040,"")</f>
        <v/>
      </c>
      <c r="B3040" s="8">
        <f>IFERROR(Datos!B3040,"")</f>
        <v/>
      </c>
      <c r="C3040" s="8">
        <f>IFERROR(Datos!C3040,"")</f>
        <v/>
      </c>
      <c r="D3040" s="28">
        <f>IFERROR(IF(AND(ISNUMBER(B3040),ISNUMBER(B3039),B3039&lt;&gt;0),B3040/B3039-1,""),"")</f>
        <v/>
      </c>
      <c r="E3040" s="28">
        <f>IFERROR(IF(AND(ISNUMBER(C3040),ISNUMBER(C3039),C3039&lt;&gt;0),C3040/C3039-1,""),"")</f>
        <v/>
      </c>
      <c r="F3040" s="28">
        <f>IFERROR(D3040-Dashboard!$B$4/252,"")</f>
        <v/>
      </c>
      <c r="G3040" s="28">
        <f>IFERROR(E3040-Dashboard!$B$4/252,"")</f>
        <v/>
      </c>
      <c r="H3040" s="8">
        <f>IFERROR(IF(ISNUMBER(B3040),MAX(B3040,IFERROR(H3039,B3040)),""),"")</f>
        <v/>
      </c>
      <c r="I3040" s="29">
        <f>IFERROR(IF(AND(ISNUMBER(B3040),ISNUMBER(H3040)),B3040/H3040-1,""),"")</f>
        <v/>
      </c>
      <c r="J3040" s="8">
        <f>IFERROR(IF(ISNUMBER(C3040),MAX(C3040,IFERROR(J3039,C3040)),""),"")</f>
        <v/>
      </c>
      <c r="K3040" s="29">
        <f>IFERROR(IF(AND(ISNUMBER(C3040),ISNUMBER(J3040)),C3040/J3040-1,""),"")</f>
        <v/>
      </c>
      <c r="L3040" s="28">
        <f>IFERROR(IF(AND(ISNUMBER(D3040),ISNUMBER(E3040)),D3040-E3040,""),"")</f>
        <v/>
      </c>
    </row>
    <row r="3041">
      <c r="A3041" s="7">
        <f>IFERROR(Datos!A3041,"")</f>
        <v/>
      </c>
      <c r="B3041" s="8">
        <f>IFERROR(Datos!B3041,"")</f>
        <v/>
      </c>
      <c r="C3041" s="8">
        <f>IFERROR(Datos!C3041,"")</f>
        <v/>
      </c>
      <c r="D3041" s="28">
        <f>IFERROR(IF(AND(ISNUMBER(B3041),ISNUMBER(B3040),B3040&lt;&gt;0),B3041/B3040-1,""),"")</f>
        <v/>
      </c>
      <c r="E3041" s="28">
        <f>IFERROR(IF(AND(ISNUMBER(C3041),ISNUMBER(C3040),C3040&lt;&gt;0),C3041/C3040-1,""),"")</f>
        <v/>
      </c>
      <c r="F3041" s="28">
        <f>IFERROR(D3041-Dashboard!$B$4/252,"")</f>
        <v/>
      </c>
      <c r="G3041" s="28">
        <f>IFERROR(E3041-Dashboard!$B$4/252,"")</f>
        <v/>
      </c>
      <c r="H3041" s="8">
        <f>IFERROR(IF(ISNUMBER(B3041),MAX(B3041,IFERROR(H3040,B3041)),""),"")</f>
        <v/>
      </c>
      <c r="I3041" s="29">
        <f>IFERROR(IF(AND(ISNUMBER(B3041),ISNUMBER(H3041)),B3041/H3041-1,""),"")</f>
        <v/>
      </c>
      <c r="J3041" s="8">
        <f>IFERROR(IF(ISNUMBER(C3041),MAX(C3041,IFERROR(J3040,C3041)),""),"")</f>
        <v/>
      </c>
      <c r="K3041" s="29">
        <f>IFERROR(IF(AND(ISNUMBER(C3041),ISNUMBER(J3041)),C3041/J3041-1,""),"")</f>
        <v/>
      </c>
      <c r="L3041" s="28">
        <f>IFERROR(IF(AND(ISNUMBER(D3041),ISNUMBER(E3041)),D3041-E3041,""),"")</f>
        <v/>
      </c>
    </row>
    <row r="3042">
      <c r="A3042" s="7">
        <f>IFERROR(Datos!A3042,"")</f>
        <v/>
      </c>
      <c r="B3042" s="8">
        <f>IFERROR(Datos!B3042,"")</f>
        <v/>
      </c>
      <c r="C3042" s="8">
        <f>IFERROR(Datos!C3042,"")</f>
        <v/>
      </c>
      <c r="D3042" s="28">
        <f>IFERROR(IF(AND(ISNUMBER(B3042),ISNUMBER(B3041),B3041&lt;&gt;0),B3042/B3041-1,""),"")</f>
        <v/>
      </c>
      <c r="E3042" s="28">
        <f>IFERROR(IF(AND(ISNUMBER(C3042),ISNUMBER(C3041),C3041&lt;&gt;0),C3042/C3041-1,""),"")</f>
        <v/>
      </c>
      <c r="F3042" s="28">
        <f>IFERROR(D3042-Dashboard!$B$4/252,"")</f>
        <v/>
      </c>
      <c r="G3042" s="28">
        <f>IFERROR(E3042-Dashboard!$B$4/252,"")</f>
        <v/>
      </c>
      <c r="H3042" s="8">
        <f>IFERROR(IF(ISNUMBER(B3042),MAX(B3042,IFERROR(H3041,B3042)),""),"")</f>
        <v/>
      </c>
      <c r="I3042" s="29">
        <f>IFERROR(IF(AND(ISNUMBER(B3042),ISNUMBER(H3042)),B3042/H3042-1,""),"")</f>
        <v/>
      </c>
      <c r="J3042" s="8">
        <f>IFERROR(IF(ISNUMBER(C3042),MAX(C3042,IFERROR(J3041,C3042)),""),"")</f>
        <v/>
      </c>
      <c r="K3042" s="29">
        <f>IFERROR(IF(AND(ISNUMBER(C3042),ISNUMBER(J3042)),C3042/J3042-1,""),"")</f>
        <v/>
      </c>
      <c r="L3042" s="28">
        <f>IFERROR(IF(AND(ISNUMBER(D3042),ISNUMBER(E3042)),D3042-E3042,""),"")</f>
        <v/>
      </c>
    </row>
    <row r="3043">
      <c r="A3043" s="7">
        <f>IFERROR(Datos!A3043,"")</f>
        <v/>
      </c>
      <c r="B3043" s="8">
        <f>IFERROR(Datos!B3043,"")</f>
        <v/>
      </c>
      <c r="C3043" s="8">
        <f>IFERROR(Datos!C3043,"")</f>
        <v/>
      </c>
      <c r="D3043" s="28">
        <f>IFERROR(IF(AND(ISNUMBER(B3043),ISNUMBER(B3042),B3042&lt;&gt;0),B3043/B3042-1,""),"")</f>
        <v/>
      </c>
      <c r="E3043" s="28">
        <f>IFERROR(IF(AND(ISNUMBER(C3043),ISNUMBER(C3042),C3042&lt;&gt;0),C3043/C3042-1,""),"")</f>
        <v/>
      </c>
      <c r="F3043" s="28">
        <f>IFERROR(D3043-Dashboard!$B$4/252,"")</f>
        <v/>
      </c>
      <c r="G3043" s="28">
        <f>IFERROR(E3043-Dashboard!$B$4/252,"")</f>
        <v/>
      </c>
      <c r="H3043" s="8">
        <f>IFERROR(IF(ISNUMBER(B3043),MAX(B3043,IFERROR(H3042,B3043)),""),"")</f>
        <v/>
      </c>
      <c r="I3043" s="29">
        <f>IFERROR(IF(AND(ISNUMBER(B3043),ISNUMBER(H3043)),B3043/H3043-1,""),"")</f>
        <v/>
      </c>
      <c r="J3043" s="8">
        <f>IFERROR(IF(ISNUMBER(C3043),MAX(C3043,IFERROR(J3042,C3043)),""),"")</f>
        <v/>
      </c>
      <c r="K3043" s="29">
        <f>IFERROR(IF(AND(ISNUMBER(C3043),ISNUMBER(J3043)),C3043/J3043-1,""),"")</f>
        <v/>
      </c>
      <c r="L3043" s="28">
        <f>IFERROR(IF(AND(ISNUMBER(D3043),ISNUMBER(E3043)),D3043-E3043,""),"")</f>
        <v/>
      </c>
    </row>
    <row r="3044">
      <c r="A3044" s="7">
        <f>IFERROR(Datos!A3044,"")</f>
        <v/>
      </c>
      <c r="B3044" s="8">
        <f>IFERROR(Datos!B3044,"")</f>
        <v/>
      </c>
      <c r="C3044" s="8">
        <f>IFERROR(Datos!C3044,"")</f>
        <v/>
      </c>
      <c r="D3044" s="28">
        <f>IFERROR(IF(AND(ISNUMBER(B3044),ISNUMBER(B3043),B3043&lt;&gt;0),B3044/B3043-1,""),"")</f>
        <v/>
      </c>
      <c r="E3044" s="28">
        <f>IFERROR(IF(AND(ISNUMBER(C3044),ISNUMBER(C3043),C3043&lt;&gt;0),C3044/C3043-1,""),"")</f>
        <v/>
      </c>
      <c r="F3044" s="28">
        <f>IFERROR(D3044-Dashboard!$B$4/252,"")</f>
        <v/>
      </c>
      <c r="G3044" s="28">
        <f>IFERROR(E3044-Dashboard!$B$4/252,"")</f>
        <v/>
      </c>
      <c r="H3044" s="8">
        <f>IFERROR(IF(ISNUMBER(B3044),MAX(B3044,IFERROR(H3043,B3044)),""),"")</f>
        <v/>
      </c>
      <c r="I3044" s="29">
        <f>IFERROR(IF(AND(ISNUMBER(B3044),ISNUMBER(H3044)),B3044/H3044-1,""),"")</f>
        <v/>
      </c>
      <c r="J3044" s="8">
        <f>IFERROR(IF(ISNUMBER(C3044),MAX(C3044,IFERROR(J3043,C3044)),""),"")</f>
        <v/>
      </c>
      <c r="K3044" s="29">
        <f>IFERROR(IF(AND(ISNUMBER(C3044),ISNUMBER(J3044)),C3044/J3044-1,""),"")</f>
        <v/>
      </c>
      <c r="L3044" s="28">
        <f>IFERROR(IF(AND(ISNUMBER(D3044),ISNUMBER(E3044)),D3044-E3044,""),"")</f>
        <v/>
      </c>
    </row>
    <row r="3045">
      <c r="A3045" s="7">
        <f>IFERROR(Datos!A3045,"")</f>
        <v/>
      </c>
      <c r="B3045" s="8">
        <f>IFERROR(Datos!B3045,"")</f>
        <v/>
      </c>
      <c r="C3045" s="8">
        <f>IFERROR(Datos!C3045,"")</f>
        <v/>
      </c>
      <c r="D3045" s="28">
        <f>IFERROR(IF(AND(ISNUMBER(B3045),ISNUMBER(B3044),B3044&lt;&gt;0),B3045/B3044-1,""),"")</f>
        <v/>
      </c>
      <c r="E3045" s="28">
        <f>IFERROR(IF(AND(ISNUMBER(C3045),ISNUMBER(C3044),C3044&lt;&gt;0),C3045/C3044-1,""),"")</f>
        <v/>
      </c>
      <c r="F3045" s="28">
        <f>IFERROR(D3045-Dashboard!$B$4/252,"")</f>
        <v/>
      </c>
      <c r="G3045" s="28">
        <f>IFERROR(E3045-Dashboard!$B$4/252,"")</f>
        <v/>
      </c>
      <c r="H3045" s="8">
        <f>IFERROR(IF(ISNUMBER(B3045),MAX(B3045,IFERROR(H3044,B3045)),""),"")</f>
        <v/>
      </c>
      <c r="I3045" s="29">
        <f>IFERROR(IF(AND(ISNUMBER(B3045),ISNUMBER(H3045)),B3045/H3045-1,""),"")</f>
        <v/>
      </c>
      <c r="J3045" s="8">
        <f>IFERROR(IF(ISNUMBER(C3045),MAX(C3045,IFERROR(J3044,C3045)),""),"")</f>
        <v/>
      </c>
      <c r="K3045" s="29">
        <f>IFERROR(IF(AND(ISNUMBER(C3045),ISNUMBER(J3045)),C3045/J3045-1,""),"")</f>
        <v/>
      </c>
      <c r="L3045" s="28">
        <f>IFERROR(IF(AND(ISNUMBER(D3045),ISNUMBER(E3045)),D3045-E3045,""),"")</f>
        <v/>
      </c>
    </row>
    <row r="3046">
      <c r="A3046" s="7">
        <f>IFERROR(Datos!A3046,"")</f>
        <v/>
      </c>
      <c r="B3046" s="8">
        <f>IFERROR(Datos!B3046,"")</f>
        <v/>
      </c>
      <c r="C3046" s="8">
        <f>IFERROR(Datos!C3046,"")</f>
        <v/>
      </c>
      <c r="D3046" s="28">
        <f>IFERROR(IF(AND(ISNUMBER(B3046),ISNUMBER(B3045),B3045&lt;&gt;0),B3046/B3045-1,""),"")</f>
        <v/>
      </c>
      <c r="E3046" s="28">
        <f>IFERROR(IF(AND(ISNUMBER(C3046),ISNUMBER(C3045),C3045&lt;&gt;0),C3046/C3045-1,""),"")</f>
        <v/>
      </c>
      <c r="F3046" s="28">
        <f>IFERROR(D3046-Dashboard!$B$4/252,"")</f>
        <v/>
      </c>
      <c r="G3046" s="28">
        <f>IFERROR(E3046-Dashboard!$B$4/252,"")</f>
        <v/>
      </c>
      <c r="H3046" s="8">
        <f>IFERROR(IF(ISNUMBER(B3046),MAX(B3046,IFERROR(H3045,B3046)),""),"")</f>
        <v/>
      </c>
      <c r="I3046" s="29">
        <f>IFERROR(IF(AND(ISNUMBER(B3046),ISNUMBER(H3046)),B3046/H3046-1,""),"")</f>
        <v/>
      </c>
      <c r="J3046" s="8">
        <f>IFERROR(IF(ISNUMBER(C3046),MAX(C3046,IFERROR(J3045,C3046)),""),"")</f>
        <v/>
      </c>
      <c r="K3046" s="29">
        <f>IFERROR(IF(AND(ISNUMBER(C3046),ISNUMBER(J3046)),C3046/J3046-1,""),"")</f>
        <v/>
      </c>
      <c r="L3046" s="28">
        <f>IFERROR(IF(AND(ISNUMBER(D3046),ISNUMBER(E3046)),D3046-E3046,""),"")</f>
        <v/>
      </c>
    </row>
    <row r="3047">
      <c r="A3047" s="7">
        <f>IFERROR(Datos!A3047,"")</f>
        <v/>
      </c>
      <c r="B3047" s="8">
        <f>IFERROR(Datos!B3047,"")</f>
        <v/>
      </c>
      <c r="C3047" s="8">
        <f>IFERROR(Datos!C3047,"")</f>
        <v/>
      </c>
      <c r="D3047" s="28">
        <f>IFERROR(IF(AND(ISNUMBER(B3047),ISNUMBER(B3046),B3046&lt;&gt;0),B3047/B3046-1,""),"")</f>
        <v/>
      </c>
      <c r="E3047" s="28">
        <f>IFERROR(IF(AND(ISNUMBER(C3047),ISNUMBER(C3046),C3046&lt;&gt;0),C3047/C3046-1,""),"")</f>
        <v/>
      </c>
      <c r="F3047" s="28">
        <f>IFERROR(D3047-Dashboard!$B$4/252,"")</f>
        <v/>
      </c>
      <c r="G3047" s="28">
        <f>IFERROR(E3047-Dashboard!$B$4/252,"")</f>
        <v/>
      </c>
      <c r="H3047" s="8">
        <f>IFERROR(IF(ISNUMBER(B3047),MAX(B3047,IFERROR(H3046,B3047)),""),"")</f>
        <v/>
      </c>
      <c r="I3047" s="29">
        <f>IFERROR(IF(AND(ISNUMBER(B3047),ISNUMBER(H3047)),B3047/H3047-1,""),"")</f>
        <v/>
      </c>
      <c r="J3047" s="8">
        <f>IFERROR(IF(ISNUMBER(C3047),MAX(C3047,IFERROR(J3046,C3047)),""),"")</f>
        <v/>
      </c>
      <c r="K3047" s="29">
        <f>IFERROR(IF(AND(ISNUMBER(C3047),ISNUMBER(J3047)),C3047/J3047-1,""),"")</f>
        <v/>
      </c>
      <c r="L3047" s="28">
        <f>IFERROR(IF(AND(ISNUMBER(D3047),ISNUMBER(E3047)),D3047-E3047,""),"")</f>
        <v/>
      </c>
    </row>
    <row r="3048">
      <c r="A3048" s="7">
        <f>IFERROR(Datos!A3048,"")</f>
        <v/>
      </c>
      <c r="B3048" s="8">
        <f>IFERROR(Datos!B3048,"")</f>
        <v/>
      </c>
      <c r="C3048" s="8">
        <f>IFERROR(Datos!C3048,"")</f>
        <v/>
      </c>
      <c r="D3048" s="28">
        <f>IFERROR(IF(AND(ISNUMBER(B3048),ISNUMBER(B3047),B3047&lt;&gt;0),B3048/B3047-1,""),"")</f>
        <v/>
      </c>
      <c r="E3048" s="28">
        <f>IFERROR(IF(AND(ISNUMBER(C3048),ISNUMBER(C3047),C3047&lt;&gt;0),C3048/C3047-1,""),"")</f>
        <v/>
      </c>
      <c r="F3048" s="28">
        <f>IFERROR(D3048-Dashboard!$B$4/252,"")</f>
        <v/>
      </c>
      <c r="G3048" s="28">
        <f>IFERROR(E3048-Dashboard!$B$4/252,"")</f>
        <v/>
      </c>
      <c r="H3048" s="8">
        <f>IFERROR(IF(ISNUMBER(B3048),MAX(B3048,IFERROR(H3047,B3048)),""),"")</f>
        <v/>
      </c>
      <c r="I3048" s="29">
        <f>IFERROR(IF(AND(ISNUMBER(B3048),ISNUMBER(H3048)),B3048/H3048-1,""),"")</f>
        <v/>
      </c>
      <c r="J3048" s="8">
        <f>IFERROR(IF(ISNUMBER(C3048),MAX(C3048,IFERROR(J3047,C3048)),""),"")</f>
        <v/>
      </c>
      <c r="K3048" s="29">
        <f>IFERROR(IF(AND(ISNUMBER(C3048),ISNUMBER(J3048)),C3048/J3048-1,""),"")</f>
        <v/>
      </c>
      <c r="L3048" s="28">
        <f>IFERROR(IF(AND(ISNUMBER(D3048),ISNUMBER(E3048)),D3048-E3048,""),"")</f>
        <v/>
      </c>
    </row>
    <row r="3049">
      <c r="A3049" s="7">
        <f>IFERROR(Datos!A3049,"")</f>
        <v/>
      </c>
      <c r="B3049" s="8">
        <f>IFERROR(Datos!B3049,"")</f>
        <v/>
      </c>
      <c r="C3049" s="8">
        <f>IFERROR(Datos!C3049,"")</f>
        <v/>
      </c>
      <c r="D3049" s="28">
        <f>IFERROR(IF(AND(ISNUMBER(B3049),ISNUMBER(B3048),B3048&lt;&gt;0),B3049/B3048-1,""),"")</f>
        <v/>
      </c>
      <c r="E3049" s="28">
        <f>IFERROR(IF(AND(ISNUMBER(C3049),ISNUMBER(C3048),C3048&lt;&gt;0),C3049/C3048-1,""),"")</f>
        <v/>
      </c>
      <c r="F3049" s="28">
        <f>IFERROR(D3049-Dashboard!$B$4/252,"")</f>
        <v/>
      </c>
      <c r="G3049" s="28">
        <f>IFERROR(E3049-Dashboard!$B$4/252,"")</f>
        <v/>
      </c>
      <c r="H3049" s="8">
        <f>IFERROR(IF(ISNUMBER(B3049),MAX(B3049,IFERROR(H3048,B3049)),""),"")</f>
        <v/>
      </c>
      <c r="I3049" s="29">
        <f>IFERROR(IF(AND(ISNUMBER(B3049),ISNUMBER(H3049)),B3049/H3049-1,""),"")</f>
        <v/>
      </c>
      <c r="J3049" s="8">
        <f>IFERROR(IF(ISNUMBER(C3049),MAX(C3049,IFERROR(J3048,C3049)),""),"")</f>
        <v/>
      </c>
      <c r="K3049" s="29">
        <f>IFERROR(IF(AND(ISNUMBER(C3049),ISNUMBER(J3049)),C3049/J3049-1,""),"")</f>
        <v/>
      </c>
      <c r="L3049" s="28">
        <f>IFERROR(IF(AND(ISNUMBER(D3049),ISNUMBER(E3049)),D3049-E3049,""),"")</f>
        <v/>
      </c>
    </row>
    <row r="3050">
      <c r="A3050" s="7">
        <f>IFERROR(Datos!A3050,"")</f>
        <v/>
      </c>
      <c r="B3050" s="8">
        <f>IFERROR(Datos!B3050,"")</f>
        <v/>
      </c>
      <c r="C3050" s="8">
        <f>IFERROR(Datos!C3050,"")</f>
        <v/>
      </c>
      <c r="D3050" s="28">
        <f>IFERROR(IF(AND(ISNUMBER(B3050),ISNUMBER(B3049),B3049&lt;&gt;0),B3050/B3049-1,""),"")</f>
        <v/>
      </c>
      <c r="E3050" s="28">
        <f>IFERROR(IF(AND(ISNUMBER(C3050),ISNUMBER(C3049),C3049&lt;&gt;0),C3050/C3049-1,""),"")</f>
        <v/>
      </c>
      <c r="F3050" s="28">
        <f>IFERROR(D3050-Dashboard!$B$4/252,"")</f>
        <v/>
      </c>
      <c r="G3050" s="28">
        <f>IFERROR(E3050-Dashboard!$B$4/252,"")</f>
        <v/>
      </c>
      <c r="H3050" s="8">
        <f>IFERROR(IF(ISNUMBER(B3050),MAX(B3050,IFERROR(H3049,B3050)),""),"")</f>
        <v/>
      </c>
      <c r="I3050" s="29">
        <f>IFERROR(IF(AND(ISNUMBER(B3050),ISNUMBER(H3050)),B3050/H3050-1,""),"")</f>
        <v/>
      </c>
      <c r="J3050" s="8">
        <f>IFERROR(IF(ISNUMBER(C3050),MAX(C3050,IFERROR(J3049,C3050)),""),"")</f>
        <v/>
      </c>
      <c r="K3050" s="29">
        <f>IFERROR(IF(AND(ISNUMBER(C3050),ISNUMBER(J3050)),C3050/J3050-1,""),"")</f>
        <v/>
      </c>
      <c r="L3050" s="28">
        <f>IFERROR(IF(AND(ISNUMBER(D3050),ISNUMBER(E3050)),D3050-E3050,""),"")</f>
        <v/>
      </c>
    </row>
    <row r="3051">
      <c r="A3051" s="7">
        <f>IFERROR(Datos!A3051,"")</f>
        <v/>
      </c>
      <c r="B3051" s="8">
        <f>IFERROR(Datos!B3051,"")</f>
        <v/>
      </c>
      <c r="C3051" s="8">
        <f>IFERROR(Datos!C3051,"")</f>
        <v/>
      </c>
      <c r="D3051" s="28">
        <f>IFERROR(IF(AND(ISNUMBER(B3051),ISNUMBER(B3050),B3050&lt;&gt;0),B3051/B3050-1,""),"")</f>
        <v/>
      </c>
      <c r="E3051" s="28">
        <f>IFERROR(IF(AND(ISNUMBER(C3051),ISNUMBER(C3050),C3050&lt;&gt;0),C3051/C3050-1,""),"")</f>
        <v/>
      </c>
      <c r="F3051" s="28">
        <f>IFERROR(D3051-Dashboard!$B$4/252,"")</f>
        <v/>
      </c>
      <c r="G3051" s="28">
        <f>IFERROR(E3051-Dashboard!$B$4/252,"")</f>
        <v/>
      </c>
      <c r="H3051" s="8">
        <f>IFERROR(IF(ISNUMBER(B3051),MAX(B3051,IFERROR(H3050,B3051)),""),"")</f>
        <v/>
      </c>
      <c r="I3051" s="29">
        <f>IFERROR(IF(AND(ISNUMBER(B3051),ISNUMBER(H3051)),B3051/H3051-1,""),"")</f>
        <v/>
      </c>
      <c r="J3051" s="8">
        <f>IFERROR(IF(ISNUMBER(C3051),MAX(C3051,IFERROR(J3050,C3051)),""),"")</f>
        <v/>
      </c>
      <c r="K3051" s="29">
        <f>IFERROR(IF(AND(ISNUMBER(C3051),ISNUMBER(J3051)),C3051/J3051-1,""),"")</f>
        <v/>
      </c>
      <c r="L3051" s="28">
        <f>IFERROR(IF(AND(ISNUMBER(D3051),ISNUMBER(E3051)),D3051-E3051,""),"")</f>
        <v/>
      </c>
    </row>
    <row r="3052">
      <c r="A3052" s="7">
        <f>IFERROR(Datos!A3052,"")</f>
        <v/>
      </c>
      <c r="B3052" s="8">
        <f>IFERROR(Datos!B3052,"")</f>
        <v/>
      </c>
      <c r="C3052" s="8">
        <f>IFERROR(Datos!C3052,"")</f>
        <v/>
      </c>
      <c r="D3052" s="28">
        <f>IFERROR(IF(AND(ISNUMBER(B3052),ISNUMBER(B3051),B3051&lt;&gt;0),B3052/B3051-1,""),"")</f>
        <v/>
      </c>
      <c r="E3052" s="28">
        <f>IFERROR(IF(AND(ISNUMBER(C3052),ISNUMBER(C3051),C3051&lt;&gt;0),C3052/C3051-1,""),"")</f>
        <v/>
      </c>
      <c r="F3052" s="28">
        <f>IFERROR(D3052-Dashboard!$B$4/252,"")</f>
        <v/>
      </c>
      <c r="G3052" s="28">
        <f>IFERROR(E3052-Dashboard!$B$4/252,"")</f>
        <v/>
      </c>
      <c r="H3052" s="8">
        <f>IFERROR(IF(ISNUMBER(B3052),MAX(B3052,IFERROR(H3051,B3052)),""),"")</f>
        <v/>
      </c>
      <c r="I3052" s="29">
        <f>IFERROR(IF(AND(ISNUMBER(B3052),ISNUMBER(H3052)),B3052/H3052-1,""),"")</f>
        <v/>
      </c>
      <c r="J3052" s="8">
        <f>IFERROR(IF(ISNUMBER(C3052),MAX(C3052,IFERROR(J3051,C3052)),""),"")</f>
        <v/>
      </c>
      <c r="K3052" s="29">
        <f>IFERROR(IF(AND(ISNUMBER(C3052),ISNUMBER(J3052)),C3052/J3052-1,""),"")</f>
        <v/>
      </c>
      <c r="L3052" s="28">
        <f>IFERROR(IF(AND(ISNUMBER(D3052),ISNUMBER(E3052)),D3052-E3052,""),"")</f>
        <v/>
      </c>
    </row>
    <row r="3053">
      <c r="A3053" s="7">
        <f>IFERROR(Datos!A3053,"")</f>
        <v/>
      </c>
      <c r="B3053" s="8">
        <f>IFERROR(Datos!B3053,"")</f>
        <v/>
      </c>
      <c r="C3053" s="8">
        <f>IFERROR(Datos!C3053,"")</f>
        <v/>
      </c>
      <c r="D3053" s="28">
        <f>IFERROR(IF(AND(ISNUMBER(B3053),ISNUMBER(B3052),B3052&lt;&gt;0),B3053/B3052-1,""),"")</f>
        <v/>
      </c>
      <c r="E3053" s="28">
        <f>IFERROR(IF(AND(ISNUMBER(C3053),ISNUMBER(C3052),C3052&lt;&gt;0),C3053/C3052-1,""),"")</f>
        <v/>
      </c>
      <c r="F3053" s="28">
        <f>IFERROR(D3053-Dashboard!$B$4/252,"")</f>
        <v/>
      </c>
      <c r="G3053" s="28">
        <f>IFERROR(E3053-Dashboard!$B$4/252,"")</f>
        <v/>
      </c>
      <c r="H3053" s="8">
        <f>IFERROR(IF(ISNUMBER(B3053),MAX(B3053,IFERROR(H3052,B3053)),""),"")</f>
        <v/>
      </c>
      <c r="I3053" s="29">
        <f>IFERROR(IF(AND(ISNUMBER(B3053),ISNUMBER(H3053)),B3053/H3053-1,""),"")</f>
        <v/>
      </c>
      <c r="J3053" s="8">
        <f>IFERROR(IF(ISNUMBER(C3053),MAX(C3053,IFERROR(J3052,C3053)),""),"")</f>
        <v/>
      </c>
      <c r="K3053" s="29">
        <f>IFERROR(IF(AND(ISNUMBER(C3053),ISNUMBER(J3053)),C3053/J3053-1,""),"")</f>
        <v/>
      </c>
      <c r="L3053" s="28">
        <f>IFERROR(IF(AND(ISNUMBER(D3053),ISNUMBER(E3053)),D3053-E3053,""),"")</f>
        <v/>
      </c>
    </row>
    <row r="3054">
      <c r="A3054" s="7">
        <f>IFERROR(Datos!A3054,"")</f>
        <v/>
      </c>
      <c r="B3054" s="8">
        <f>IFERROR(Datos!B3054,"")</f>
        <v/>
      </c>
      <c r="C3054" s="8">
        <f>IFERROR(Datos!C3054,"")</f>
        <v/>
      </c>
      <c r="D3054" s="28">
        <f>IFERROR(IF(AND(ISNUMBER(B3054),ISNUMBER(B3053),B3053&lt;&gt;0),B3054/B3053-1,""),"")</f>
        <v/>
      </c>
      <c r="E3054" s="28">
        <f>IFERROR(IF(AND(ISNUMBER(C3054),ISNUMBER(C3053),C3053&lt;&gt;0),C3054/C3053-1,""),"")</f>
        <v/>
      </c>
      <c r="F3054" s="28">
        <f>IFERROR(D3054-Dashboard!$B$4/252,"")</f>
        <v/>
      </c>
      <c r="G3054" s="28">
        <f>IFERROR(E3054-Dashboard!$B$4/252,"")</f>
        <v/>
      </c>
      <c r="H3054" s="8">
        <f>IFERROR(IF(ISNUMBER(B3054),MAX(B3054,IFERROR(H3053,B3054)),""),"")</f>
        <v/>
      </c>
      <c r="I3054" s="29">
        <f>IFERROR(IF(AND(ISNUMBER(B3054),ISNUMBER(H3054)),B3054/H3054-1,""),"")</f>
        <v/>
      </c>
      <c r="J3054" s="8">
        <f>IFERROR(IF(ISNUMBER(C3054),MAX(C3054,IFERROR(J3053,C3054)),""),"")</f>
        <v/>
      </c>
      <c r="K3054" s="29">
        <f>IFERROR(IF(AND(ISNUMBER(C3054),ISNUMBER(J3054)),C3054/J3054-1,""),"")</f>
        <v/>
      </c>
      <c r="L3054" s="28">
        <f>IFERROR(IF(AND(ISNUMBER(D3054),ISNUMBER(E3054)),D3054-E3054,""),"")</f>
        <v/>
      </c>
    </row>
    <row r="3055">
      <c r="A3055" s="7">
        <f>IFERROR(Datos!A3055,"")</f>
        <v/>
      </c>
      <c r="B3055" s="8">
        <f>IFERROR(Datos!B3055,"")</f>
        <v/>
      </c>
      <c r="C3055" s="8">
        <f>IFERROR(Datos!C3055,"")</f>
        <v/>
      </c>
      <c r="D3055" s="28">
        <f>IFERROR(IF(AND(ISNUMBER(B3055),ISNUMBER(B3054),B3054&lt;&gt;0),B3055/B3054-1,""),"")</f>
        <v/>
      </c>
      <c r="E3055" s="28">
        <f>IFERROR(IF(AND(ISNUMBER(C3055),ISNUMBER(C3054),C3054&lt;&gt;0),C3055/C3054-1,""),"")</f>
        <v/>
      </c>
      <c r="F3055" s="28">
        <f>IFERROR(D3055-Dashboard!$B$4/252,"")</f>
        <v/>
      </c>
      <c r="G3055" s="28">
        <f>IFERROR(E3055-Dashboard!$B$4/252,"")</f>
        <v/>
      </c>
      <c r="H3055" s="8">
        <f>IFERROR(IF(ISNUMBER(B3055),MAX(B3055,IFERROR(H3054,B3055)),""),"")</f>
        <v/>
      </c>
      <c r="I3055" s="29">
        <f>IFERROR(IF(AND(ISNUMBER(B3055),ISNUMBER(H3055)),B3055/H3055-1,""),"")</f>
        <v/>
      </c>
      <c r="J3055" s="8">
        <f>IFERROR(IF(ISNUMBER(C3055),MAX(C3055,IFERROR(J3054,C3055)),""),"")</f>
        <v/>
      </c>
      <c r="K3055" s="29">
        <f>IFERROR(IF(AND(ISNUMBER(C3055),ISNUMBER(J3055)),C3055/J3055-1,""),"")</f>
        <v/>
      </c>
      <c r="L3055" s="28">
        <f>IFERROR(IF(AND(ISNUMBER(D3055),ISNUMBER(E3055)),D3055-E3055,""),"")</f>
        <v/>
      </c>
    </row>
    <row r="3056">
      <c r="A3056" s="7">
        <f>IFERROR(Datos!A3056,"")</f>
        <v/>
      </c>
      <c r="B3056" s="8">
        <f>IFERROR(Datos!B3056,"")</f>
        <v/>
      </c>
      <c r="C3056" s="8">
        <f>IFERROR(Datos!C3056,"")</f>
        <v/>
      </c>
      <c r="D3056" s="28">
        <f>IFERROR(IF(AND(ISNUMBER(B3056),ISNUMBER(B3055),B3055&lt;&gt;0),B3056/B3055-1,""),"")</f>
        <v/>
      </c>
      <c r="E3056" s="28">
        <f>IFERROR(IF(AND(ISNUMBER(C3056),ISNUMBER(C3055),C3055&lt;&gt;0),C3056/C3055-1,""),"")</f>
        <v/>
      </c>
      <c r="F3056" s="28">
        <f>IFERROR(D3056-Dashboard!$B$4/252,"")</f>
        <v/>
      </c>
      <c r="G3056" s="28">
        <f>IFERROR(E3056-Dashboard!$B$4/252,"")</f>
        <v/>
      </c>
      <c r="H3056" s="8">
        <f>IFERROR(IF(ISNUMBER(B3056),MAX(B3056,IFERROR(H3055,B3056)),""),"")</f>
        <v/>
      </c>
      <c r="I3056" s="29">
        <f>IFERROR(IF(AND(ISNUMBER(B3056),ISNUMBER(H3056)),B3056/H3056-1,""),"")</f>
        <v/>
      </c>
      <c r="J3056" s="8">
        <f>IFERROR(IF(ISNUMBER(C3056),MAX(C3056,IFERROR(J3055,C3056)),""),"")</f>
        <v/>
      </c>
      <c r="K3056" s="29">
        <f>IFERROR(IF(AND(ISNUMBER(C3056),ISNUMBER(J3056)),C3056/J3056-1,""),"")</f>
        <v/>
      </c>
      <c r="L3056" s="28">
        <f>IFERROR(IF(AND(ISNUMBER(D3056),ISNUMBER(E3056)),D3056-E3056,""),"")</f>
        <v/>
      </c>
    </row>
    <row r="3057">
      <c r="A3057" s="7">
        <f>IFERROR(Datos!A3057,"")</f>
        <v/>
      </c>
      <c r="B3057" s="8">
        <f>IFERROR(Datos!B3057,"")</f>
        <v/>
      </c>
      <c r="C3057" s="8">
        <f>IFERROR(Datos!C3057,"")</f>
        <v/>
      </c>
      <c r="D3057" s="28">
        <f>IFERROR(IF(AND(ISNUMBER(B3057),ISNUMBER(B3056),B3056&lt;&gt;0),B3057/B3056-1,""),"")</f>
        <v/>
      </c>
      <c r="E3057" s="28">
        <f>IFERROR(IF(AND(ISNUMBER(C3057),ISNUMBER(C3056),C3056&lt;&gt;0),C3057/C3056-1,""),"")</f>
        <v/>
      </c>
      <c r="F3057" s="28">
        <f>IFERROR(D3057-Dashboard!$B$4/252,"")</f>
        <v/>
      </c>
      <c r="G3057" s="28">
        <f>IFERROR(E3057-Dashboard!$B$4/252,"")</f>
        <v/>
      </c>
      <c r="H3057" s="8">
        <f>IFERROR(IF(ISNUMBER(B3057),MAX(B3057,IFERROR(H3056,B3057)),""),"")</f>
        <v/>
      </c>
      <c r="I3057" s="29">
        <f>IFERROR(IF(AND(ISNUMBER(B3057),ISNUMBER(H3057)),B3057/H3057-1,""),"")</f>
        <v/>
      </c>
      <c r="J3057" s="8">
        <f>IFERROR(IF(ISNUMBER(C3057),MAX(C3057,IFERROR(J3056,C3057)),""),"")</f>
        <v/>
      </c>
      <c r="K3057" s="29">
        <f>IFERROR(IF(AND(ISNUMBER(C3057),ISNUMBER(J3057)),C3057/J3057-1,""),"")</f>
        <v/>
      </c>
      <c r="L3057" s="28">
        <f>IFERROR(IF(AND(ISNUMBER(D3057),ISNUMBER(E3057)),D3057-E3057,""),"")</f>
        <v/>
      </c>
    </row>
    <row r="3058">
      <c r="A3058" s="7">
        <f>IFERROR(Datos!A3058,"")</f>
        <v/>
      </c>
      <c r="B3058" s="8">
        <f>IFERROR(Datos!B3058,"")</f>
        <v/>
      </c>
      <c r="C3058" s="8">
        <f>IFERROR(Datos!C3058,"")</f>
        <v/>
      </c>
      <c r="D3058" s="28">
        <f>IFERROR(IF(AND(ISNUMBER(B3058),ISNUMBER(B3057),B3057&lt;&gt;0),B3058/B3057-1,""),"")</f>
        <v/>
      </c>
      <c r="E3058" s="28">
        <f>IFERROR(IF(AND(ISNUMBER(C3058),ISNUMBER(C3057),C3057&lt;&gt;0),C3058/C3057-1,""),"")</f>
        <v/>
      </c>
      <c r="F3058" s="28">
        <f>IFERROR(D3058-Dashboard!$B$4/252,"")</f>
        <v/>
      </c>
      <c r="G3058" s="28">
        <f>IFERROR(E3058-Dashboard!$B$4/252,"")</f>
        <v/>
      </c>
      <c r="H3058" s="8">
        <f>IFERROR(IF(ISNUMBER(B3058),MAX(B3058,IFERROR(H3057,B3058)),""),"")</f>
        <v/>
      </c>
      <c r="I3058" s="29">
        <f>IFERROR(IF(AND(ISNUMBER(B3058),ISNUMBER(H3058)),B3058/H3058-1,""),"")</f>
        <v/>
      </c>
      <c r="J3058" s="8">
        <f>IFERROR(IF(ISNUMBER(C3058),MAX(C3058,IFERROR(J3057,C3058)),""),"")</f>
        <v/>
      </c>
      <c r="K3058" s="29">
        <f>IFERROR(IF(AND(ISNUMBER(C3058),ISNUMBER(J3058)),C3058/J3058-1,""),"")</f>
        <v/>
      </c>
      <c r="L3058" s="28">
        <f>IFERROR(IF(AND(ISNUMBER(D3058),ISNUMBER(E3058)),D3058-E3058,""),"")</f>
        <v/>
      </c>
    </row>
    <row r="3059">
      <c r="A3059" s="7">
        <f>IFERROR(Datos!A3059,"")</f>
        <v/>
      </c>
      <c r="B3059" s="8">
        <f>IFERROR(Datos!B3059,"")</f>
        <v/>
      </c>
      <c r="C3059" s="8">
        <f>IFERROR(Datos!C3059,"")</f>
        <v/>
      </c>
      <c r="D3059" s="28">
        <f>IFERROR(IF(AND(ISNUMBER(B3059),ISNUMBER(B3058),B3058&lt;&gt;0),B3059/B3058-1,""),"")</f>
        <v/>
      </c>
      <c r="E3059" s="28">
        <f>IFERROR(IF(AND(ISNUMBER(C3059),ISNUMBER(C3058),C3058&lt;&gt;0),C3059/C3058-1,""),"")</f>
        <v/>
      </c>
      <c r="F3059" s="28">
        <f>IFERROR(D3059-Dashboard!$B$4/252,"")</f>
        <v/>
      </c>
      <c r="G3059" s="28">
        <f>IFERROR(E3059-Dashboard!$B$4/252,"")</f>
        <v/>
      </c>
      <c r="H3059" s="8">
        <f>IFERROR(IF(ISNUMBER(B3059),MAX(B3059,IFERROR(H3058,B3059)),""),"")</f>
        <v/>
      </c>
      <c r="I3059" s="29">
        <f>IFERROR(IF(AND(ISNUMBER(B3059),ISNUMBER(H3059)),B3059/H3059-1,""),"")</f>
        <v/>
      </c>
      <c r="J3059" s="8">
        <f>IFERROR(IF(ISNUMBER(C3059),MAX(C3059,IFERROR(J3058,C3059)),""),"")</f>
        <v/>
      </c>
      <c r="K3059" s="29">
        <f>IFERROR(IF(AND(ISNUMBER(C3059),ISNUMBER(J3059)),C3059/J3059-1,""),"")</f>
        <v/>
      </c>
      <c r="L3059" s="28">
        <f>IFERROR(IF(AND(ISNUMBER(D3059),ISNUMBER(E3059)),D3059-E3059,""),"")</f>
        <v/>
      </c>
    </row>
    <row r="3060">
      <c r="A3060" s="7">
        <f>IFERROR(Datos!A3060,"")</f>
        <v/>
      </c>
      <c r="B3060" s="8">
        <f>IFERROR(Datos!B3060,"")</f>
        <v/>
      </c>
      <c r="C3060" s="8">
        <f>IFERROR(Datos!C3060,"")</f>
        <v/>
      </c>
      <c r="D3060" s="28">
        <f>IFERROR(IF(AND(ISNUMBER(B3060),ISNUMBER(B3059),B3059&lt;&gt;0),B3060/B3059-1,""),"")</f>
        <v/>
      </c>
      <c r="E3060" s="28">
        <f>IFERROR(IF(AND(ISNUMBER(C3060),ISNUMBER(C3059),C3059&lt;&gt;0),C3060/C3059-1,""),"")</f>
        <v/>
      </c>
      <c r="F3060" s="28">
        <f>IFERROR(D3060-Dashboard!$B$4/252,"")</f>
        <v/>
      </c>
      <c r="G3060" s="28">
        <f>IFERROR(E3060-Dashboard!$B$4/252,"")</f>
        <v/>
      </c>
      <c r="H3060" s="8">
        <f>IFERROR(IF(ISNUMBER(B3060),MAX(B3060,IFERROR(H3059,B3060)),""),"")</f>
        <v/>
      </c>
      <c r="I3060" s="29">
        <f>IFERROR(IF(AND(ISNUMBER(B3060),ISNUMBER(H3060)),B3060/H3060-1,""),"")</f>
        <v/>
      </c>
      <c r="J3060" s="8">
        <f>IFERROR(IF(ISNUMBER(C3060),MAX(C3060,IFERROR(J3059,C3060)),""),"")</f>
        <v/>
      </c>
      <c r="K3060" s="29">
        <f>IFERROR(IF(AND(ISNUMBER(C3060),ISNUMBER(J3060)),C3060/J3060-1,""),"")</f>
        <v/>
      </c>
      <c r="L3060" s="28">
        <f>IFERROR(IF(AND(ISNUMBER(D3060),ISNUMBER(E3060)),D3060-E3060,""),"")</f>
        <v/>
      </c>
    </row>
    <row r="3061">
      <c r="A3061" s="7">
        <f>IFERROR(Datos!A3061,"")</f>
        <v/>
      </c>
      <c r="B3061" s="8">
        <f>IFERROR(Datos!B3061,"")</f>
        <v/>
      </c>
      <c r="C3061" s="8">
        <f>IFERROR(Datos!C3061,"")</f>
        <v/>
      </c>
      <c r="D3061" s="28">
        <f>IFERROR(IF(AND(ISNUMBER(B3061),ISNUMBER(B3060),B3060&lt;&gt;0),B3061/B3060-1,""),"")</f>
        <v/>
      </c>
      <c r="E3061" s="28">
        <f>IFERROR(IF(AND(ISNUMBER(C3061),ISNUMBER(C3060),C3060&lt;&gt;0),C3061/C3060-1,""),"")</f>
        <v/>
      </c>
      <c r="F3061" s="28">
        <f>IFERROR(D3061-Dashboard!$B$4/252,"")</f>
        <v/>
      </c>
      <c r="G3061" s="28">
        <f>IFERROR(E3061-Dashboard!$B$4/252,"")</f>
        <v/>
      </c>
      <c r="H3061" s="8">
        <f>IFERROR(IF(ISNUMBER(B3061),MAX(B3061,IFERROR(H3060,B3061)),""),"")</f>
        <v/>
      </c>
      <c r="I3061" s="29">
        <f>IFERROR(IF(AND(ISNUMBER(B3061),ISNUMBER(H3061)),B3061/H3061-1,""),"")</f>
        <v/>
      </c>
      <c r="J3061" s="8">
        <f>IFERROR(IF(ISNUMBER(C3061),MAX(C3061,IFERROR(J3060,C3061)),""),"")</f>
        <v/>
      </c>
      <c r="K3061" s="29">
        <f>IFERROR(IF(AND(ISNUMBER(C3061),ISNUMBER(J3061)),C3061/J3061-1,""),"")</f>
        <v/>
      </c>
      <c r="L3061" s="28">
        <f>IFERROR(IF(AND(ISNUMBER(D3061),ISNUMBER(E3061)),D3061-E3061,""),"")</f>
        <v/>
      </c>
    </row>
    <row r="3062">
      <c r="A3062" s="7">
        <f>IFERROR(Datos!A3062,"")</f>
        <v/>
      </c>
      <c r="B3062" s="8">
        <f>IFERROR(Datos!B3062,"")</f>
        <v/>
      </c>
      <c r="C3062" s="8">
        <f>IFERROR(Datos!C3062,"")</f>
        <v/>
      </c>
      <c r="D3062" s="28">
        <f>IFERROR(IF(AND(ISNUMBER(B3062),ISNUMBER(B3061),B3061&lt;&gt;0),B3062/B3061-1,""),"")</f>
        <v/>
      </c>
      <c r="E3062" s="28">
        <f>IFERROR(IF(AND(ISNUMBER(C3062),ISNUMBER(C3061),C3061&lt;&gt;0),C3062/C3061-1,""),"")</f>
        <v/>
      </c>
      <c r="F3062" s="28">
        <f>IFERROR(D3062-Dashboard!$B$4/252,"")</f>
        <v/>
      </c>
      <c r="G3062" s="28">
        <f>IFERROR(E3062-Dashboard!$B$4/252,"")</f>
        <v/>
      </c>
      <c r="H3062" s="8">
        <f>IFERROR(IF(ISNUMBER(B3062),MAX(B3062,IFERROR(H3061,B3062)),""),"")</f>
        <v/>
      </c>
      <c r="I3062" s="29">
        <f>IFERROR(IF(AND(ISNUMBER(B3062),ISNUMBER(H3062)),B3062/H3062-1,""),"")</f>
        <v/>
      </c>
      <c r="J3062" s="8">
        <f>IFERROR(IF(ISNUMBER(C3062),MAX(C3062,IFERROR(J3061,C3062)),""),"")</f>
        <v/>
      </c>
      <c r="K3062" s="29">
        <f>IFERROR(IF(AND(ISNUMBER(C3062),ISNUMBER(J3062)),C3062/J3062-1,""),"")</f>
        <v/>
      </c>
      <c r="L3062" s="28">
        <f>IFERROR(IF(AND(ISNUMBER(D3062),ISNUMBER(E3062)),D3062-E3062,""),"")</f>
        <v/>
      </c>
    </row>
    <row r="3063">
      <c r="A3063" s="7">
        <f>IFERROR(Datos!A3063,"")</f>
        <v/>
      </c>
      <c r="B3063" s="8">
        <f>IFERROR(Datos!B3063,"")</f>
        <v/>
      </c>
      <c r="C3063" s="8">
        <f>IFERROR(Datos!C3063,"")</f>
        <v/>
      </c>
      <c r="D3063" s="28">
        <f>IFERROR(IF(AND(ISNUMBER(B3063),ISNUMBER(B3062),B3062&lt;&gt;0),B3063/B3062-1,""),"")</f>
        <v/>
      </c>
      <c r="E3063" s="28">
        <f>IFERROR(IF(AND(ISNUMBER(C3063),ISNUMBER(C3062),C3062&lt;&gt;0),C3063/C3062-1,""),"")</f>
        <v/>
      </c>
      <c r="F3063" s="28">
        <f>IFERROR(D3063-Dashboard!$B$4/252,"")</f>
        <v/>
      </c>
      <c r="G3063" s="28">
        <f>IFERROR(E3063-Dashboard!$B$4/252,"")</f>
        <v/>
      </c>
      <c r="H3063" s="8">
        <f>IFERROR(IF(ISNUMBER(B3063),MAX(B3063,IFERROR(H3062,B3063)),""),"")</f>
        <v/>
      </c>
      <c r="I3063" s="29">
        <f>IFERROR(IF(AND(ISNUMBER(B3063),ISNUMBER(H3063)),B3063/H3063-1,""),"")</f>
        <v/>
      </c>
      <c r="J3063" s="8">
        <f>IFERROR(IF(ISNUMBER(C3063),MAX(C3063,IFERROR(J3062,C3063)),""),"")</f>
        <v/>
      </c>
      <c r="K3063" s="29">
        <f>IFERROR(IF(AND(ISNUMBER(C3063),ISNUMBER(J3063)),C3063/J3063-1,""),"")</f>
        <v/>
      </c>
      <c r="L3063" s="28">
        <f>IFERROR(IF(AND(ISNUMBER(D3063),ISNUMBER(E3063)),D3063-E3063,""),"")</f>
        <v/>
      </c>
    </row>
    <row r="3064">
      <c r="A3064" s="7">
        <f>IFERROR(Datos!A3064,"")</f>
        <v/>
      </c>
      <c r="B3064" s="8">
        <f>IFERROR(Datos!B3064,"")</f>
        <v/>
      </c>
      <c r="C3064" s="8">
        <f>IFERROR(Datos!C3064,"")</f>
        <v/>
      </c>
      <c r="D3064" s="28">
        <f>IFERROR(IF(AND(ISNUMBER(B3064),ISNUMBER(B3063),B3063&lt;&gt;0),B3064/B3063-1,""),"")</f>
        <v/>
      </c>
      <c r="E3064" s="28">
        <f>IFERROR(IF(AND(ISNUMBER(C3064),ISNUMBER(C3063),C3063&lt;&gt;0),C3064/C3063-1,""),"")</f>
        <v/>
      </c>
      <c r="F3064" s="28">
        <f>IFERROR(D3064-Dashboard!$B$4/252,"")</f>
        <v/>
      </c>
      <c r="G3064" s="28">
        <f>IFERROR(E3064-Dashboard!$B$4/252,"")</f>
        <v/>
      </c>
      <c r="H3064" s="8">
        <f>IFERROR(IF(ISNUMBER(B3064),MAX(B3064,IFERROR(H3063,B3064)),""),"")</f>
        <v/>
      </c>
      <c r="I3064" s="29">
        <f>IFERROR(IF(AND(ISNUMBER(B3064),ISNUMBER(H3064)),B3064/H3064-1,""),"")</f>
        <v/>
      </c>
      <c r="J3064" s="8">
        <f>IFERROR(IF(ISNUMBER(C3064),MAX(C3064,IFERROR(J3063,C3064)),""),"")</f>
        <v/>
      </c>
      <c r="K3064" s="29">
        <f>IFERROR(IF(AND(ISNUMBER(C3064),ISNUMBER(J3064)),C3064/J3064-1,""),"")</f>
        <v/>
      </c>
      <c r="L3064" s="28">
        <f>IFERROR(IF(AND(ISNUMBER(D3064),ISNUMBER(E3064)),D3064-E3064,""),"")</f>
        <v/>
      </c>
    </row>
    <row r="3065">
      <c r="A3065" s="7">
        <f>IFERROR(Datos!A3065,"")</f>
        <v/>
      </c>
      <c r="B3065" s="8">
        <f>IFERROR(Datos!B3065,"")</f>
        <v/>
      </c>
      <c r="C3065" s="8">
        <f>IFERROR(Datos!C3065,"")</f>
        <v/>
      </c>
      <c r="D3065" s="28">
        <f>IFERROR(IF(AND(ISNUMBER(B3065),ISNUMBER(B3064),B3064&lt;&gt;0),B3065/B3064-1,""),"")</f>
        <v/>
      </c>
      <c r="E3065" s="28">
        <f>IFERROR(IF(AND(ISNUMBER(C3065),ISNUMBER(C3064),C3064&lt;&gt;0),C3065/C3064-1,""),"")</f>
        <v/>
      </c>
      <c r="F3065" s="28">
        <f>IFERROR(D3065-Dashboard!$B$4/252,"")</f>
        <v/>
      </c>
      <c r="G3065" s="28">
        <f>IFERROR(E3065-Dashboard!$B$4/252,"")</f>
        <v/>
      </c>
      <c r="H3065" s="8">
        <f>IFERROR(IF(ISNUMBER(B3065),MAX(B3065,IFERROR(H3064,B3065)),""),"")</f>
        <v/>
      </c>
      <c r="I3065" s="29">
        <f>IFERROR(IF(AND(ISNUMBER(B3065),ISNUMBER(H3065)),B3065/H3065-1,""),"")</f>
        <v/>
      </c>
      <c r="J3065" s="8">
        <f>IFERROR(IF(ISNUMBER(C3065),MAX(C3065,IFERROR(J3064,C3065)),""),"")</f>
        <v/>
      </c>
      <c r="K3065" s="29">
        <f>IFERROR(IF(AND(ISNUMBER(C3065),ISNUMBER(J3065)),C3065/J3065-1,""),"")</f>
        <v/>
      </c>
      <c r="L3065" s="28">
        <f>IFERROR(IF(AND(ISNUMBER(D3065),ISNUMBER(E3065)),D3065-E3065,""),"")</f>
        <v/>
      </c>
    </row>
    <row r="3066">
      <c r="A3066" s="7">
        <f>IFERROR(Datos!A3066,"")</f>
        <v/>
      </c>
      <c r="B3066" s="8">
        <f>IFERROR(Datos!B3066,"")</f>
        <v/>
      </c>
      <c r="C3066" s="8">
        <f>IFERROR(Datos!C3066,"")</f>
        <v/>
      </c>
      <c r="D3066" s="28">
        <f>IFERROR(IF(AND(ISNUMBER(B3066),ISNUMBER(B3065),B3065&lt;&gt;0),B3066/B3065-1,""),"")</f>
        <v/>
      </c>
      <c r="E3066" s="28">
        <f>IFERROR(IF(AND(ISNUMBER(C3066),ISNUMBER(C3065),C3065&lt;&gt;0),C3066/C3065-1,""),"")</f>
        <v/>
      </c>
      <c r="F3066" s="28">
        <f>IFERROR(D3066-Dashboard!$B$4/252,"")</f>
        <v/>
      </c>
      <c r="G3066" s="28">
        <f>IFERROR(E3066-Dashboard!$B$4/252,"")</f>
        <v/>
      </c>
      <c r="H3066" s="8">
        <f>IFERROR(IF(ISNUMBER(B3066),MAX(B3066,IFERROR(H3065,B3066)),""),"")</f>
        <v/>
      </c>
      <c r="I3066" s="29">
        <f>IFERROR(IF(AND(ISNUMBER(B3066),ISNUMBER(H3066)),B3066/H3066-1,""),"")</f>
        <v/>
      </c>
      <c r="J3066" s="8">
        <f>IFERROR(IF(ISNUMBER(C3066),MAX(C3066,IFERROR(J3065,C3066)),""),"")</f>
        <v/>
      </c>
      <c r="K3066" s="29">
        <f>IFERROR(IF(AND(ISNUMBER(C3066),ISNUMBER(J3066)),C3066/J3066-1,""),"")</f>
        <v/>
      </c>
      <c r="L3066" s="28">
        <f>IFERROR(IF(AND(ISNUMBER(D3066),ISNUMBER(E3066)),D3066-E3066,""),"")</f>
        <v/>
      </c>
    </row>
    <row r="3067">
      <c r="A3067" s="7">
        <f>IFERROR(Datos!A3067,"")</f>
        <v/>
      </c>
      <c r="B3067" s="8">
        <f>IFERROR(Datos!B3067,"")</f>
        <v/>
      </c>
      <c r="C3067" s="8">
        <f>IFERROR(Datos!C3067,"")</f>
        <v/>
      </c>
      <c r="D3067" s="28">
        <f>IFERROR(IF(AND(ISNUMBER(B3067),ISNUMBER(B3066),B3066&lt;&gt;0),B3067/B3066-1,""),"")</f>
        <v/>
      </c>
      <c r="E3067" s="28">
        <f>IFERROR(IF(AND(ISNUMBER(C3067),ISNUMBER(C3066),C3066&lt;&gt;0),C3067/C3066-1,""),"")</f>
        <v/>
      </c>
      <c r="F3067" s="28">
        <f>IFERROR(D3067-Dashboard!$B$4/252,"")</f>
        <v/>
      </c>
      <c r="G3067" s="28">
        <f>IFERROR(E3067-Dashboard!$B$4/252,"")</f>
        <v/>
      </c>
      <c r="H3067" s="8">
        <f>IFERROR(IF(ISNUMBER(B3067),MAX(B3067,IFERROR(H3066,B3067)),""),"")</f>
        <v/>
      </c>
      <c r="I3067" s="29">
        <f>IFERROR(IF(AND(ISNUMBER(B3067),ISNUMBER(H3067)),B3067/H3067-1,""),"")</f>
        <v/>
      </c>
      <c r="J3067" s="8">
        <f>IFERROR(IF(ISNUMBER(C3067),MAX(C3067,IFERROR(J3066,C3067)),""),"")</f>
        <v/>
      </c>
      <c r="K3067" s="29">
        <f>IFERROR(IF(AND(ISNUMBER(C3067),ISNUMBER(J3067)),C3067/J3067-1,""),"")</f>
        <v/>
      </c>
      <c r="L3067" s="28">
        <f>IFERROR(IF(AND(ISNUMBER(D3067),ISNUMBER(E3067)),D3067-E3067,""),"")</f>
        <v/>
      </c>
    </row>
    <row r="3068">
      <c r="A3068" s="7">
        <f>IFERROR(Datos!A3068,"")</f>
        <v/>
      </c>
      <c r="B3068" s="8">
        <f>IFERROR(Datos!B3068,"")</f>
        <v/>
      </c>
      <c r="C3068" s="8">
        <f>IFERROR(Datos!C3068,"")</f>
        <v/>
      </c>
      <c r="D3068" s="28">
        <f>IFERROR(IF(AND(ISNUMBER(B3068),ISNUMBER(B3067),B3067&lt;&gt;0),B3068/B3067-1,""),"")</f>
        <v/>
      </c>
      <c r="E3068" s="28">
        <f>IFERROR(IF(AND(ISNUMBER(C3068),ISNUMBER(C3067),C3067&lt;&gt;0),C3068/C3067-1,""),"")</f>
        <v/>
      </c>
      <c r="F3068" s="28">
        <f>IFERROR(D3068-Dashboard!$B$4/252,"")</f>
        <v/>
      </c>
      <c r="G3068" s="28">
        <f>IFERROR(E3068-Dashboard!$B$4/252,"")</f>
        <v/>
      </c>
      <c r="H3068" s="8">
        <f>IFERROR(IF(ISNUMBER(B3068),MAX(B3068,IFERROR(H3067,B3068)),""),"")</f>
        <v/>
      </c>
      <c r="I3068" s="29">
        <f>IFERROR(IF(AND(ISNUMBER(B3068),ISNUMBER(H3068)),B3068/H3068-1,""),"")</f>
        <v/>
      </c>
      <c r="J3068" s="8">
        <f>IFERROR(IF(ISNUMBER(C3068),MAX(C3068,IFERROR(J3067,C3068)),""),"")</f>
        <v/>
      </c>
      <c r="K3068" s="29">
        <f>IFERROR(IF(AND(ISNUMBER(C3068),ISNUMBER(J3068)),C3068/J3068-1,""),"")</f>
        <v/>
      </c>
      <c r="L3068" s="28">
        <f>IFERROR(IF(AND(ISNUMBER(D3068),ISNUMBER(E3068)),D3068-E3068,""),"")</f>
        <v/>
      </c>
    </row>
    <row r="3069">
      <c r="A3069" s="7">
        <f>IFERROR(Datos!A3069,"")</f>
        <v/>
      </c>
      <c r="B3069" s="8">
        <f>IFERROR(Datos!B3069,"")</f>
        <v/>
      </c>
      <c r="C3069" s="8">
        <f>IFERROR(Datos!C3069,"")</f>
        <v/>
      </c>
      <c r="D3069" s="28">
        <f>IFERROR(IF(AND(ISNUMBER(B3069),ISNUMBER(B3068),B3068&lt;&gt;0),B3069/B3068-1,""),"")</f>
        <v/>
      </c>
      <c r="E3069" s="28">
        <f>IFERROR(IF(AND(ISNUMBER(C3069),ISNUMBER(C3068),C3068&lt;&gt;0),C3069/C3068-1,""),"")</f>
        <v/>
      </c>
      <c r="F3069" s="28">
        <f>IFERROR(D3069-Dashboard!$B$4/252,"")</f>
        <v/>
      </c>
      <c r="G3069" s="28">
        <f>IFERROR(E3069-Dashboard!$B$4/252,"")</f>
        <v/>
      </c>
      <c r="H3069" s="8">
        <f>IFERROR(IF(ISNUMBER(B3069),MAX(B3069,IFERROR(H3068,B3069)),""),"")</f>
        <v/>
      </c>
      <c r="I3069" s="29">
        <f>IFERROR(IF(AND(ISNUMBER(B3069),ISNUMBER(H3069)),B3069/H3069-1,""),"")</f>
        <v/>
      </c>
      <c r="J3069" s="8">
        <f>IFERROR(IF(ISNUMBER(C3069),MAX(C3069,IFERROR(J3068,C3069)),""),"")</f>
        <v/>
      </c>
      <c r="K3069" s="29">
        <f>IFERROR(IF(AND(ISNUMBER(C3069),ISNUMBER(J3069)),C3069/J3069-1,""),"")</f>
        <v/>
      </c>
      <c r="L3069" s="28">
        <f>IFERROR(IF(AND(ISNUMBER(D3069),ISNUMBER(E3069)),D3069-E3069,""),"")</f>
        <v/>
      </c>
    </row>
    <row r="3070">
      <c r="A3070" s="7">
        <f>IFERROR(Datos!A3070,"")</f>
        <v/>
      </c>
      <c r="B3070" s="8">
        <f>IFERROR(Datos!B3070,"")</f>
        <v/>
      </c>
      <c r="C3070" s="8">
        <f>IFERROR(Datos!C3070,"")</f>
        <v/>
      </c>
      <c r="D3070" s="28">
        <f>IFERROR(IF(AND(ISNUMBER(B3070),ISNUMBER(B3069),B3069&lt;&gt;0),B3070/B3069-1,""),"")</f>
        <v/>
      </c>
      <c r="E3070" s="28">
        <f>IFERROR(IF(AND(ISNUMBER(C3070),ISNUMBER(C3069),C3069&lt;&gt;0),C3070/C3069-1,""),"")</f>
        <v/>
      </c>
      <c r="F3070" s="28">
        <f>IFERROR(D3070-Dashboard!$B$4/252,"")</f>
        <v/>
      </c>
      <c r="G3070" s="28">
        <f>IFERROR(E3070-Dashboard!$B$4/252,"")</f>
        <v/>
      </c>
      <c r="H3070" s="8">
        <f>IFERROR(IF(ISNUMBER(B3070),MAX(B3070,IFERROR(H3069,B3070)),""),"")</f>
        <v/>
      </c>
      <c r="I3070" s="29">
        <f>IFERROR(IF(AND(ISNUMBER(B3070),ISNUMBER(H3070)),B3070/H3070-1,""),"")</f>
        <v/>
      </c>
      <c r="J3070" s="8">
        <f>IFERROR(IF(ISNUMBER(C3070),MAX(C3070,IFERROR(J3069,C3070)),""),"")</f>
        <v/>
      </c>
      <c r="K3070" s="29">
        <f>IFERROR(IF(AND(ISNUMBER(C3070),ISNUMBER(J3070)),C3070/J3070-1,""),"")</f>
        <v/>
      </c>
      <c r="L3070" s="28">
        <f>IFERROR(IF(AND(ISNUMBER(D3070),ISNUMBER(E3070)),D3070-E3070,""),"")</f>
        <v/>
      </c>
    </row>
    <row r="3071">
      <c r="A3071" s="7">
        <f>IFERROR(Datos!A3071,"")</f>
        <v/>
      </c>
      <c r="B3071" s="8">
        <f>IFERROR(Datos!B3071,"")</f>
        <v/>
      </c>
      <c r="C3071" s="8">
        <f>IFERROR(Datos!C3071,"")</f>
        <v/>
      </c>
      <c r="D3071" s="28">
        <f>IFERROR(IF(AND(ISNUMBER(B3071),ISNUMBER(B3070),B3070&lt;&gt;0),B3071/B3070-1,""),"")</f>
        <v/>
      </c>
      <c r="E3071" s="28">
        <f>IFERROR(IF(AND(ISNUMBER(C3071),ISNUMBER(C3070),C3070&lt;&gt;0),C3071/C3070-1,""),"")</f>
        <v/>
      </c>
      <c r="F3071" s="28">
        <f>IFERROR(D3071-Dashboard!$B$4/252,"")</f>
        <v/>
      </c>
      <c r="G3071" s="28">
        <f>IFERROR(E3071-Dashboard!$B$4/252,"")</f>
        <v/>
      </c>
      <c r="H3071" s="8">
        <f>IFERROR(IF(ISNUMBER(B3071),MAX(B3071,IFERROR(H3070,B3071)),""),"")</f>
        <v/>
      </c>
      <c r="I3071" s="29">
        <f>IFERROR(IF(AND(ISNUMBER(B3071),ISNUMBER(H3071)),B3071/H3071-1,""),"")</f>
        <v/>
      </c>
      <c r="J3071" s="8">
        <f>IFERROR(IF(ISNUMBER(C3071),MAX(C3071,IFERROR(J3070,C3071)),""),"")</f>
        <v/>
      </c>
      <c r="K3071" s="29">
        <f>IFERROR(IF(AND(ISNUMBER(C3071),ISNUMBER(J3071)),C3071/J3071-1,""),"")</f>
        <v/>
      </c>
      <c r="L3071" s="28">
        <f>IFERROR(IF(AND(ISNUMBER(D3071),ISNUMBER(E3071)),D3071-E3071,""),"")</f>
        <v/>
      </c>
    </row>
    <row r="3072">
      <c r="A3072" s="7">
        <f>IFERROR(Datos!A3072,"")</f>
        <v/>
      </c>
      <c r="B3072" s="8">
        <f>IFERROR(Datos!B3072,"")</f>
        <v/>
      </c>
      <c r="C3072" s="8">
        <f>IFERROR(Datos!C3072,"")</f>
        <v/>
      </c>
      <c r="D3072" s="28">
        <f>IFERROR(IF(AND(ISNUMBER(B3072),ISNUMBER(B3071),B3071&lt;&gt;0),B3072/B3071-1,""),"")</f>
        <v/>
      </c>
      <c r="E3072" s="28">
        <f>IFERROR(IF(AND(ISNUMBER(C3072),ISNUMBER(C3071),C3071&lt;&gt;0),C3072/C3071-1,""),"")</f>
        <v/>
      </c>
      <c r="F3072" s="28">
        <f>IFERROR(D3072-Dashboard!$B$4/252,"")</f>
        <v/>
      </c>
      <c r="G3072" s="28">
        <f>IFERROR(E3072-Dashboard!$B$4/252,"")</f>
        <v/>
      </c>
      <c r="H3072" s="8">
        <f>IFERROR(IF(ISNUMBER(B3072),MAX(B3072,IFERROR(H3071,B3072)),""),"")</f>
        <v/>
      </c>
      <c r="I3072" s="29">
        <f>IFERROR(IF(AND(ISNUMBER(B3072),ISNUMBER(H3072)),B3072/H3072-1,""),"")</f>
        <v/>
      </c>
      <c r="J3072" s="8">
        <f>IFERROR(IF(ISNUMBER(C3072),MAX(C3072,IFERROR(J3071,C3072)),""),"")</f>
        <v/>
      </c>
      <c r="K3072" s="29">
        <f>IFERROR(IF(AND(ISNUMBER(C3072),ISNUMBER(J3072)),C3072/J3072-1,""),"")</f>
        <v/>
      </c>
      <c r="L3072" s="28">
        <f>IFERROR(IF(AND(ISNUMBER(D3072),ISNUMBER(E3072)),D3072-E3072,""),"")</f>
        <v/>
      </c>
    </row>
    <row r="3073">
      <c r="A3073" s="7">
        <f>IFERROR(Datos!A3073,"")</f>
        <v/>
      </c>
      <c r="B3073" s="8">
        <f>IFERROR(Datos!B3073,"")</f>
        <v/>
      </c>
      <c r="C3073" s="8">
        <f>IFERROR(Datos!C3073,"")</f>
        <v/>
      </c>
      <c r="D3073" s="28">
        <f>IFERROR(IF(AND(ISNUMBER(B3073),ISNUMBER(B3072),B3072&lt;&gt;0),B3073/B3072-1,""),"")</f>
        <v/>
      </c>
      <c r="E3073" s="28">
        <f>IFERROR(IF(AND(ISNUMBER(C3073),ISNUMBER(C3072),C3072&lt;&gt;0),C3073/C3072-1,""),"")</f>
        <v/>
      </c>
      <c r="F3073" s="28">
        <f>IFERROR(D3073-Dashboard!$B$4/252,"")</f>
        <v/>
      </c>
      <c r="G3073" s="28">
        <f>IFERROR(E3073-Dashboard!$B$4/252,"")</f>
        <v/>
      </c>
      <c r="H3073" s="8">
        <f>IFERROR(IF(ISNUMBER(B3073),MAX(B3073,IFERROR(H3072,B3073)),""),"")</f>
        <v/>
      </c>
      <c r="I3073" s="29">
        <f>IFERROR(IF(AND(ISNUMBER(B3073),ISNUMBER(H3073)),B3073/H3073-1,""),"")</f>
        <v/>
      </c>
      <c r="J3073" s="8">
        <f>IFERROR(IF(ISNUMBER(C3073),MAX(C3073,IFERROR(J3072,C3073)),""),"")</f>
        <v/>
      </c>
      <c r="K3073" s="29">
        <f>IFERROR(IF(AND(ISNUMBER(C3073),ISNUMBER(J3073)),C3073/J3073-1,""),"")</f>
        <v/>
      </c>
      <c r="L3073" s="28">
        <f>IFERROR(IF(AND(ISNUMBER(D3073),ISNUMBER(E3073)),D3073-E3073,""),"")</f>
        <v/>
      </c>
    </row>
    <row r="3074">
      <c r="A3074" s="7">
        <f>IFERROR(Datos!A3074,"")</f>
        <v/>
      </c>
      <c r="B3074" s="8">
        <f>IFERROR(Datos!B3074,"")</f>
        <v/>
      </c>
      <c r="C3074" s="8">
        <f>IFERROR(Datos!C3074,"")</f>
        <v/>
      </c>
      <c r="D3074" s="28">
        <f>IFERROR(IF(AND(ISNUMBER(B3074),ISNUMBER(B3073),B3073&lt;&gt;0),B3074/B3073-1,""),"")</f>
        <v/>
      </c>
      <c r="E3074" s="28">
        <f>IFERROR(IF(AND(ISNUMBER(C3074),ISNUMBER(C3073),C3073&lt;&gt;0),C3074/C3073-1,""),"")</f>
        <v/>
      </c>
      <c r="F3074" s="28">
        <f>IFERROR(D3074-Dashboard!$B$4/252,"")</f>
        <v/>
      </c>
      <c r="G3074" s="28">
        <f>IFERROR(E3074-Dashboard!$B$4/252,"")</f>
        <v/>
      </c>
      <c r="H3074" s="8">
        <f>IFERROR(IF(ISNUMBER(B3074),MAX(B3074,IFERROR(H3073,B3074)),""),"")</f>
        <v/>
      </c>
      <c r="I3074" s="29">
        <f>IFERROR(IF(AND(ISNUMBER(B3074),ISNUMBER(H3074)),B3074/H3074-1,""),"")</f>
        <v/>
      </c>
      <c r="J3074" s="8">
        <f>IFERROR(IF(ISNUMBER(C3074),MAX(C3074,IFERROR(J3073,C3074)),""),"")</f>
        <v/>
      </c>
      <c r="K3074" s="29">
        <f>IFERROR(IF(AND(ISNUMBER(C3074),ISNUMBER(J3074)),C3074/J3074-1,""),"")</f>
        <v/>
      </c>
      <c r="L3074" s="28">
        <f>IFERROR(IF(AND(ISNUMBER(D3074),ISNUMBER(E3074)),D3074-E3074,""),"")</f>
        <v/>
      </c>
    </row>
    <row r="3075">
      <c r="A3075" s="7">
        <f>IFERROR(Datos!A3075,"")</f>
        <v/>
      </c>
      <c r="B3075" s="8">
        <f>IFERROR(Datos!B3075,"")</f>
        <v/>
      </c>
      <c r="C3075" s="8">
        <f>IFERROR(Datos!C3075,"")</f>
        <v/>
      </c>
      <c r="D3075" s="28">
        <f>IFERROR(IF(AND(ISNUMBER(B3075),ISNUMBER(B3074),B3074&lt;&gt;0),B3075/B3074-1,""),"")</f>
        <v/>
      </c>
      <c r="E3075" s="28">
        <f>IFERROR(IF(AND(ISNUMBER(C3075),ISNUMBER(C3074),C3074&lt;&gt;0),C3075/C3074-1,""),"")</f>
        <v/>
      </c>
      <c r="F3075" s="28">
        <f>IFERROR(D3075-Dashboard!$B$4/252,"")</f>
        <v/>
      </c>
      <c r="G3075" s="28">
        <f>IFERROR(E3075-Dashboard!$B$4/252,"")</f>
        <v/>
      </c>
      <c r="H3075" s="8">
        <f>IFERROR(IF(ISNUMBER(B3075),MAX(B3075,IFERROR(H3074,B3075)),""),"")</f>
        <v/>
      </c>
      <c r="I3075" s="29">
        <f>IFERROR(IF(AND(ISNUMBER(B3075),ISNUMBER(H3075)),B3075/H3075-1,""),"")</f>
        <v/>
      </c>
      <c r="J3075" s="8">
        <f>IFERROR(IF(ISNUMBER(C3075),MAX(C3075,IFERROR(J3074,C3075)),""),"")</f>
        <v/>
      </c>
      <c r="K3075" s="29">
        <f>IFERROR(IF(AND(ISNUMBER(C3075),ISNUMBER(J3075)),C3075/J3075-1,""),"")</f>
        <v/>
      </c>
      <c r="L3075" s="28">
        <f>IFERROR(IF(AND(ISNUMBER(D3075),ISNUMBER(E3075)),D3075-E3075,""),"")</f>
        <v/>
      </c>
    </row>
    <row r="3076">
      <c r="A3076" s="7">
        <f>IFERROR(Datos!A3076,"")</f>
        <v/>
      </c>
      <c r="B3076" s="8">
        <f>IFERROR(Datos!B3076,"")</f>
        <v/>
      </c>
      <c r="C3076" s="8">
        <f>IFERROR(Datos!C3076,"")</f>
        <v/>
      </c>
      <c r="D3076" s="28">
        <f>IFERROR(IF(AND(ISNUMBER(B3076),ISNUMBER(B3075),B3075&lt;&gt;0),B3076/B3075-1,""),"")</f>
        <v/>
      </c>
      <c r="E3076" s="28">
        <f>IFERROR(IF(AND(ISNUMBER(C3076),ISNUMBER(C3075),C3075&lt;&gt;0),C3076/C3075-1,""),"")</f>
        <v/>
      </c>
      <c r="F3076" s="28">
        <f>IFERROR(D3076-Dashboard!$B$4/252,"")</f>
        <v/>
      </c>
      <c r="G3076" s="28">
        <f>IFERROR(E3076-Dashboard!$B$4/252,"")</f>
        <v/>
      </c>
      <c r="H3076" s="8">
        <f>IFERROR(IF(ISNUMBER(B3076),MAX(B3076,IFERROR(H3075,B3076)),""),"")</f>
        <v/>
      </c>
      <c r="I3076" s="29">
        <f>IFERROR(IF(AND(ISNUMBER(B3076),ISNUMBER(H3076)),B3076/H3076-1,""),"")</f>
        <v/>
      </c>
      <c r="J3076" s="8">
        <f>IFERROR(IF(ISNUMBER(C3076),MAX(C3076,IFERROR(J3075,C3076)),""),"")</f>
        <v/>
      </c>
      <c r="K3076" s="29">
        <f>IFERROR(IF(AND(ISNUMBER(C3076),ISNUMBER(J3076)),C3076/J3076-1,""),"")</f>
        <v/>
      </c>
      <c r="L3076" s="28">
        <f>IFERROR(IF(AND(ISNUMBER(D3076),ISNUMBER(E3076)),D3076-E3076,""),"")</f>
        <v/>
      </c>
    </row>
    <row r="3077">
      <c r="A3077" s="7">
        <f>IFERROR(Datos!A3077,"")</f>
        <v/>
      </c>
      <c r="B3077" s="8">
        <f>IFERROR(Datos!B3077,"")</f>
        <v/>
      </c>
      <c r="C3077" s="8">
        <f>IFERROR(Datos!C3077,"")</f>
        <v/>
      </c>
      <c r="D3077" s="28">
        <f>IFERROR(IF(AND(ISNUMBER(B3077),ISNUMBER(B3076),B3076&lt;&gt;0),B3077/B3076-1,""),"")</f>
        <v/>
      </c>
      <c r="E3077" s="28">
        <f>IFERROR(IF(AND(ISNUMBER(C3077),ISNUMBER(C3076),C3076&lt;&gt;0),C3077/C3076-1,""),"")</f>
        <v/>
      </c>
      <c r="F3077" s="28">
        <f>IFERROR(D3077-Dashboard!$B$4/252,"")</f>
        <v/>
      </c>
      <c r="G3077" s="28">
        <f>IFERROR(E3077-Dashboard!$B$4/252,"")</f>
        <v/>
      </c>
      <c r="H3077" s="8">
        <f>IFERROR(IF(ISNUMBER(B3077),MAX(B3077,IFERROR(H3076,B3077)),""),"")</f>
        <v/>
      </c>
      <c r="I3077" s="29">
        <f>IFERROR(IF(AND(ISNUMBER(B3077),ISNUMBER(H3077)),B3077/H3077-1,""),"")</f>
        <v/>
      </c>
      <c r="J3077" s="8">
        <f>IFERROR(IF(ISNUMBER(C3077),MAX(C3077,IFERROR(J3076,C3077)),""),"")</f>
        <v/>
      </c>
      <c r="K3077" s="29">
        <f>IFERROR(IF(AND(ISNUMBER(C3077),ISNUMBER(J3077)),C3077/J3077-1,""),"")</f>
        <v/>
      </c>
      <c r="L3077" s="28">
        <f>IFERROR(IF(AND(ISNUMBER(D3077),ISNUMBER(E3077)),D3077-E3077,""),"")</f>
        <v/>
      </c>
    </row>
    <row r="3078">
      <c r="A3078" s="7">
        <f>IFERROR(Datos!A3078,"")</f>
        <v/>
      </c>
      <c r="B3078" s="8">
        <f>IFERROR(Datos!B3078,"")</f>
        <v/>
      </c>
      <c r="C3078" s="8">
        <f>IFERROR(Datos!C3078,"")</f>
        <v/>
      </c>
      <c r="D3078" s="28">
        <f>IFERROR(IF(AND(ISNUMBER(B3078),ISNUMBER(B3077),B3077&lt;&gt;0),B3078/B3077-1,""),"")</f>
        <v/>
      </c>
      <c r="E3078" s="28">
        <f>IFERROR(IF(AND(ISNUMBER(C3078),ISNUMBER(C3077),C3077&lt;&gt;0),C3078/C3077-1,""),"")</f>
        <v/>
      </c>
      <c r="F3078" s="28">
        <f>IFERROR(D3078-Dashboard!$B$4/252,"")</f>
        <v/>
      </c>
      <c r="G3078" s="28">
        <f>IFERROR(E3078-Dashboard!$B$4/252,"")</f>
        <v/>
      </c>
      <c r="H3078" s="8">
        <f>IFERROR(IF(ISNUMBER(B3078),MAX(B3078,IFERROR(H3077,B3078)),""),"")</f>
        <v/>
      </c>
      <c r="I3078" s="29">
        <f>IFERROR(IF(AND(ISNUMBER(B3078),ISNUMBER(H3078)),B3078/H3078-1,""),"")</f>
        <v/>
      </c>
      <c r="J3078" s="8">
        <f>IFERROR(IF(ISNUMBER(C3078),MAX(C3078,IFERROR(J3077,C3078)),""),"")</f>
        <v/>
      </c>
      <c r="K3078" s="29">
        <f>IFERROR(IF(AND(ISNUMBER(C3078),ISNUMBER(J3078)),C3078/J3078-1,""),"")</f>
        <v/>
      </c>
      <c r="L3078" s="28">
        <f>IFERROR(IF(AND(ISNUMBER(D3078),ISNUMBER(E3078)),D3078-E3078,""),"")</f>
        <v/>
      </c>
    </row>
    <row r="3079">
      <c r="A3079" s="7">
        <f>IFERROR(Datos!A3079,"")</f>
        <v/>
      </c>
      <c r="B3079" s="8">
        <f>IFERROR(Datos!B3079,"")</f>
        <v/>
      </c>
      <c r="C3079" s="8">
        <f>IFERROR(Datos!C3079,"")</f>
        <v/>
      </c>
      <c r="D3079" s="28">
        <f>IFERROR(IF(AND(ISNUMBER(B3079),ISNUMBER(B3078),B3078&lt;&gt;0),B3079/B3078-1,""),"")</f>
        <v/>
      </c>
      <c r="E3079" s="28">
        <f>IFERROR(IF(AND(ISNUMBER(C3079),ISNUMBER(C3078),C3078&lt;&gt;0),C3079/C3078-1,""),"")</f>
        <v/>
      </c>
      <c r="F3079" s="28">
        <f>IFERROR(D3079-Dashboard!$B$4/252,"")</f>
        <v/>
      </c>
      <c r="G3079" s="28">
        <f>IFERROR(E3079-Dashboard!$B$4/252,"")</f>
        <v/>
      </c>
      <c r="H3079" s="8">
        <f>IFERROR(IF(ISNUMBER(B3079),MAX(B3079,IFERROR(H3078,B3079)),""),"")</f>
        <v/>
      </c>
      <c r="I3079" s="29">
        <f>IFERROR(IF(AND(ISNUMBER(B3079),ISNUMBER(H3079)),B3079/H3079-1,""),"")</f>
        <v/>
      </c>
      <c r="J3079" s="8">
        <f>IFERROR(IF(ISNUMBER(C3079),MAX(C3079,IFERROR(J3078,C3079)),""),"")</f>
        <v/>
      </c>
      <c r="K3079" s="29">
        <f>IFERROR(IF(AND(ISNUMBER(C3079),ISNUMBER(J3079)),C3079/J3079-1,""),"")</f>
        <v/>
      </c>
      <c r="L3079" s="28">
        <f>IFERROR(IF(AND(ISNUMBER(D3079),ISNUMBER(E3079)),D3079-E3079,""),"")</f>
        <v/>
      </c>
    </row>
    <row r="3080">
      <c r="A3080" s="7">
        <f>IFERROR(Datos!A3080,"")</f>
        <v/>
      </c>
      <c r="B3080" s="8">
        <f>IFERROR(Datos!B3080,"")</f>
        <v/>
      </c>
      <c r="C3080" s="8">
        <f>IFERROR(Datos!C3080,"")</f>
        <v/>
      </c>
      <c r="D3080" s="28">
        <f>IFERROR(IF(AND(ISNUMBER(B3080),ISNUMBER(B3079),B3079&lt;&gt;0),B3080/B3079-1,""),"")</f>
        <v/>
      </c>
      <c r="E3080" s="28">
        <f>IFERROR(IF(AND(ISNUMBER(C3080),ISNUMBER(C3079),C3079&lt;&gt;0),C3080/C3079-1,""),"")</f>
        <v/>
      </c>
      <c r="F3080" s="28">
        <f>IFERROR(D3080-Dashboard!$B$4/252,"")</f>
        <v/>
      </c>
      <c r="G3080" s="28">
        <f>IFERROR(E3080-Dashboard!$B$4/252,"")</f>
        <v/>
      </c>
      <c r="H3080" s="8">
        <f>IFERROR(IF(ISNUMBER(B3080),MAX(B3080,IFERROR(H3079,B3080)),""),"")</f>
        <v/>
      </c>
      <c r="I3080" s="29">
        <f>IFERROR(IF(AND(ISNUMBER(B3080),ISNUMBER(H3080)),B3080/H3080-1,""),"")</f>
        <v/>
      </c>
      <c r="J3080" s="8">
        <f>IFERROR(IF(ISNUMBER(C3080),MAX(C3080,IFERROR(J3079,C3080)),""),"")</f>
        <v/>
      </c>
      <c r="K3080" s="29">
        <f>IFERROR(IF(AND(ISNUMBER(C3080),ISNUMBER(J3080)),C3080/J3080-1,""),"")</f>
        <v/>
      </c>
      <c r="L3080" s="28">
        <f>IFERROR(IF(AND(ISNUMBER(D3080),ISNUMBER(E3080)),D3080-E3080,""),"")</f>
        <v/>
      </c>
    </row>
    <row r="3081">
      <c r="A3081" s="7">
        <f>IFERROR(Datos!A3081,"")</f>
        <v/>
      </c>
      <c r="B3081" s="8">
        <f>IFERROR(Datos!B3081,"")</f>
        <v/>
      </c>
      <c r="C3081" s="8">
        <f>IFERROR(Datos!C3081,"")</f>
        <v/>
      </c>
      <c r="D3081" s="28">
        <f>IFERROR(IF(AND(ISNUMBER(B3081),ISNUMBER(B3080),B3080&lt;&gt;0),B3081/B3080-1,""),"")</f>
        <v/>
      </c>
      <c r="E3081" s="28">
        <f>IFERROR(IF(AND(ISNUMBER(C3081),ISNUMBER(C3080),C3080&lt;&gt;0),C3081/C3080-1,""),"")</f>
        <v/>
      </c>
      <c r="F3081" s="28">
        <f>IFERROR(D3081-Dashboard!$B$4/252,"")</f>
        <v/>
      </c>
      <c r="G3081" s="28">
        <f>IFERROR(E3081-Dashboard!$B$4/252,"")</f>
        <v/>
      </c>
      <c r="H3081" s="8">
        <f>IFERROR(IF(ISNUMBER(B3081),MAX(B3081,IFERROR(H3080,B3081)),""),"")</f>
        <v/>
      </c>
      <c r="I3081" s="29">
        <f>IFERROR(IF(AND(ISNUMBER(B3081),ISNUMBER(H3081)),B3081/H3081-1,""),"")</f>
        <v/>
      </c>
      <c r="J3081" s="8">
        <f>IFERROR(IF(ISNUMBER(C3081),MAX(C3081,IFERROR(J3080,C3081)),""),"")</f>
        <v/>
      </c>
      <c r="K3081" s="29">
        <f>IFERROR(IF(AND(ISNUMBER(C3081),ISNUMBER(J3081)),C3081/J3081-1,""),"")</f>
        <v/>
      </c>
      <c r="L3081" s="28">
        <f>IFERROR(IF(AND(ISNUMBER(D3081),ISNUMBER(E3081)),D3081-E3081,""),"")</f>
        <v/>
      </c>
    </row>
    <row r="3082">
      <c r="A3082" s="7">
        <f>IFERROR(Datos!A3082,"")</f>
        <v/>
      </c>
      <c r="B3082" s="8">
        <f>IFERROR(Datos!B3082,"")</f>
        <v/>
      </c>
      <c r="C3082" s="8">
        <f>IFERROR(Datos!C3082,"")</f>
        <v/>
      </c>
      <c r="D3082" s="28">
        <f>IFERROR(IF(AND(ISNUMBER(B3082),ISNUMBER(B3081),B3081&lt;&gt;0),B3082/B3081-1,""),"")</f>
        <v/>
      </c>
      <c r="E3082" s="28">
        <f>IFERROR(IF(AND(ISNUMBER(C3082),ISNUMBER(C3081),C3081&lt;&gt;0),C3082/C3081-1,""),"")</f>
        <v/>
      </c>
      <c r="F3082" s="28">
        <f>IFERROR(D3082-Dashboard!$B$4/252,"")</f>
        <v/>
      </c>
      <c r="G3082" s="28">
        <f>IFERROR(E3082-Dashboard!$B$4/252,"")</f>
        <v/>
      </c>
      <c r="H3082" s="8">
        <f>IFERROR(IF(ISNUMBER(B3082),MAX(B3082,IFERROR(H3081,B3082)),""),"")</f>
        <v/>
      </c>
      <c r="I3082" s="29">
        <f>IFERROR(IF(AND(ISNUMBER(B3082),ISNUMBER(H3082)),B3082/H3082-1,""),"")</f>
        <v/>
      </c>
      <c r="J3082" s="8">
        <f>IFERROR(IF(ISNUMBER(C3082),MAX(C3082,IFERROR(J3081,C3082)),""),"")</f>
        <v/>
      </c>
      <c r="K3082" s="29">
        <f>IFERROR(IF(AND(ISNUMBER(C3082),ISNUMBER(J3082)),C3082/J3082-1,""),"")</f>
        <v/>
      </c>
      <c r="L3082" s="28">
        <f>IFERROR(IF(AND(ISNUMBER(D3082),ISNUMBER(E3082)),D3082-E3082,""),"")</f>
        <v/>
      </c>
    </row>
    <row r="3083">
      <c r="A3083" s="7">
        <f>IFERROR(Datos!A3083,"")</f>
        <v/>
      </c>
      <c r="B3083" s="8">
        <f>IFERROR(Datos!B3083,"")</f>
        <v/>
      </c>
      <c r="C3083" s="8">
        <f>IFERROR(Datos!C3083,"")</f>
        <v/>
      </c>
      <c r="D3083" s="28">
        <f>IFERROR(IF(AND(ISNUMBER(B3083),ISNUMBER(B3082),B3082&lt;&gt;0),B3083/B3082-1,""),"")</f>
        <v/>
      </c>
      <c r="E3083" s="28">
        <f>IFERROR(IF(AND(ISNUMBER(C3083),ISNUMBER(C3082),C3082&lt;&gt;0),C3083/C3082-1,""),"")</f>
        <v/>
      </c>
      <c r="F3083" s="28">
        <f>IFERROR(D3083-Dashboard!$B$4/252,"")</f>
        <v/>
      </c>
      <c r="G3083" s="28">
        <f>IFERROR(E3083-Dashboard!$B$4/252,"")</f>
        <v/>
      </c>
      <c r="H3083" s="8">
        <f>IFERROR(IF(ISNUMBER(B3083),MAX(B3083,IFERROR(H3082,B3083)),""),"")</f>
        <v/>
      </c>
      <c r="I3083" s="29">
        <f>IFERROR(IF(AND(ISNUMBER(B3083),ISNUMBER(H3083)),B3083/H3083-1,""),"")</f>
        <v/>
      </c>
      <c r="J3083" s="8">
        <f>IFERROR(IF(ISNUMBER(C3083),MAX(C3083,IFERROR(J3082,C3083)),""),"")</f>
        <v/>
      </c>
      <c r="K3083" s="29">
        <f>IFERROR(IF(AND(ISNUMBER(C3083),ISNUMBER(J3083)),C3083/J3083-1,""),"")</f>
        <v/>
      </c>
      <c r="L3083" s="28">
        <f>IFERROR(IF(AND(ISNUMBER(D3083),ISNUMBER(E3083)),D3083-E3083,""),"")</f>
        <v/>
      </c>
    </row>
    <row r="3084">
      <c r="A3084" s="7">
        <f>IFERROR(Datos!A3084,"")</f>
        <v/>
      </c>
      <c r="B3084" s="8">
        <f>IFERROR(Datos!B3084,"")</f>
        <v/>
      </c>
      <c r="C3084" s="8">
        <f>IFERROR(Datos!C3084,"")</f>
        <v/>
      </c>
      <c r="D3084" s="28">
        <f>IFERROR(IF(AND(ISNUMBER(B3084),ISNUMBER(B3083),B3083&lt;&gt;0),B3084/B3083-1,""),"")</f>
        <v/>
      </c>
      <c r="E3084" s="28">
        <f>IFERROR(IF(AND(ISNUMBER(C3084),ISNUMBER(C3083),C3083&lt;&gt;0),C3084/C3083-1,""),"")</f>
        <v/>
      </c>
      <c r="F3084" s="28">
        <f>IFERROR(D3084-Dashboard!$B$4/252,"")</f>
        <v/>
      </c>
      <c r="G3084" s="28">
        <f>IFERROR(E3084-Dashboard!$B$4/252,"")</f>
        <v/>
      </c>
      <c r="H3084" s="8">
        <f>IFERROR(IF(ISNUMBER(B3084),MAX(B3084,IFERROR(H3083,B3084)),""),"")</f>
        <v/>
      </c>
      <c r="I3084" s="29">
        <f>IFERROR(IF(AND(ISNUMBER(B3084),ISNUMBER(H3084)),B3084/H3084-1,""),"")</f>
        <v/>
      </c>
      <c r="J3084" s="8">
        <f>IFERROR(IF(ISNUMBER(C3084),MAX(C3084,IFERROR(J3083,C3084)),""),"")</f>
        <v/>
      </c>
      <c r="K3084" s="29">
        <f>IFERROR(IF(AND(ISNUMBER(C3084),ISNUMBER(J3084)),C3084/J3084-1,""),"")</f>
        <v/>
      </c>
      <c r="L3084" s="28">
        <f>IFERROR(IF(AND(ISNUMBER(D3084),ISNUMBER(E3084)),D3084-E3084,""),"")</f>
        <v/>
      </c>
    </row>
    <row r="3085">
      <c r="A3085" s="7">
        <f>IFERROR(Datos!A3085,"")</f>
        <v/>
      </c>
      <c r="B3085" s="8">
        <f>IFERROR(Datos!B3085,"")</f>
        <v/>
      </c>
      <c r="C3085" s="8">
        <f>IFERROR(Datos!C3085,"")</f>
        <v/>
      </c>
      <c r="D3085" s="28">
        <f>IFERROR(IF(AND(ISNUMBER(B3085),ISNUMBER(B3084),B3084&lt;&gt;0),B3085/B3084-1,""),"")</f>
        <v/>
      </c>
      <c r="E3085" s="28">
        <f>IFERROR(IF(AND(ISNUMBER(C3085),ISNUMBER(C3084),C3084&lt;&gt;0),C3085/C3084-1,""),"")</f>
        <v/>
      </c>
      <c r="F3085" s="28">
        <f>IFERROR(D3085-Dashboard!$B$4/252,"")</f>
        <v/>
      </c>
      <c r="G3085" s="28">
        <f>IFERROR(E3085-Dashboard!$B$4/252,"")</f>
        <v/>
      </c>
      <c r="H3085" s="8">
        <f>IFERROR(IF(ISNUMBER(B3085),MAX(B3085,IFERROR(H3084,B3085)),""),"")</f>
        <v/>
      </c>
      <c r="I3085" s="29">
        <f>IFERROR(IF(AND(ISNUMBER(B3085),ISNUMBER(H3085)),B3085/H3085-1,""),"")</f>
        <v/>
      </c>
      <c r="J3085" s="8">
        <f>IFERROR(IF(ISNUMBER(C3085),MAX(C3085,IFERROR(J3084,C3085)),""),"")</f>
        <v/>
      </c>
      <c r="K3085" s="29">
        <f>IFERROR(IF(AND(ISNUMBER(C3085),ISNUMBER(J3085)),C3085/J3085-1,""),"")</f>
        <v/>
      </c>
      <c r="L3085" s="28">
        <f>IFERROR(IF(AND(ISNUMBER(D3085),ISNUMBER(E3085)),D3085-E3085,""),"")</f>
        <v/>
      </c>
    </row>
    <row r="3086">
      <c r="A3086" s="7">
        <f>IFERROR(Datos!A3086,"")</f>
        <v/>
      </c>
      <c r="B3086" s="8">
        <f>IFERROR(Datos!B3086,"")</f>
        <v/>
      </c>
      <c r="C3086" s="8">
        <f>IFERROR(Datos!C3086,"")</f>
        <v/>
      </c>
      <c r="D3086" s="28">
        <f>IFERROR(IF(AND(ISNUMBER(B3086),ISNUMBER(B3085),B3085&lt;&gt;0),B3086/B3085-1,""),"")</f>
        <v/>
      </c>
      <c r="E3086" s="28">
        <f>IFERROR(IF(AND(ISNUMBER(C3086),ISNUMBER(C3085),C3085&lt;&gt;0),C3086/C3085-1,""),"")</f>
        <v/>
      </c>
      <c r="F3086" s="28">
        <f>IFERROR(D3086-Dashboard!$B$4/252,"")</f>
        <v/>
      </c>
      <c r="G3086" s="28">
        <f>IFERROR(E3086-Dashboard!$B$4/252,"")</f>
        <v/>
      </c>
      <c r="H3086" s="8">
        <f>IFERROR(IF(ISNUMBER(B3086),MAX(B3086,IFERROR(H3085,B3086)),""),"")</f>
        <v/>
      </c>
      <c r="I3086" s="29">
        <f>IFERROR(IF(AND(ISNUMBER(B3086),ISNUMBER(H3086)),B3086/H3086-1,""),"")</f>
        <v/>
      </c>
      <c r="J3086" s="8">
        <f>IFERROR(IF(ISNUMBER(C3086),MAX(C3086,IFERROR(J3085,C3086)),""),"")</f>
        <v/>
      </c>
      <c r="K3086" s="29">
        <f>IFERROR(IF(AND(ISNUMBER(C3086),ISNUMBER(J3086)),C3086/J3086-1,""),"")</f>
        <v/>
      </c>
      <c r="L3086" s="28">
        <f>IFERROR(IF(AND(ISNUMBER(D3086),ISNUMBER(E3086)),D3086-E3086,""),"")</f>
        <v/>
      </c>
    </row>
    <row r="3087">
      <c r="A3087" s="7">
        <f>IFERROR(Datos!A3087,"")</f>
        <v/>
      </c>
      <c r="B3087" s="8">
        <f>IFERROR(Datos!B3087,"")</f>
        <v/>
      </c>
      <c r="C3087" s="8">
        <f>IFERROR(Datos!C3087,"")</f>
        <v/>
      </c>
      <c r="D3087" s="28">
        <f>IFERROR(IF(AND(ISNUMBER(B3087),ISNUMBER(B3086),B3086&lt;&gt;0),B3087/B3086-1,""),"")</f>
        <v/>
      </c>
      <c r="E3087" s="28">
        <f>IFERROR(IF(AND(ISNUMBER(C3087),ISNUMBER(C3086),C3086&lt;&gt;0),C3087/C3086-1,""),"")</f>
        <v/>
      </c>
      <c r="F3087" s="28">
        <f>IFERROR(D3087-Dashboard!$B$4/252,"")</f>
        <v/>
      </c>
      <c r="G3087" s="28">
        <f>IFERROR(E3087-Dashboard!$B$4/252,"")</f>
        <v/>
      </c>
      <c r="H3087" s="8">
        <f>IFERROR(IF(ISNUMBER(B3087),MAX(B3087,IFERROR(H3086,B3087)),""),"")</f>
        <v/>
      </c>
      <c r="I3087" s="29">
        <f>IFERROR(IF(AND(ISNUMBER(B3087),ISNUMBER(H3087)),B3087/H3087-1,""),"")</f>
        <v/>
      </c>
      <c r="J3087" s="8">
        <f>IFERROR(IF(ISNUMBER(C3087),MAX(C3087,IFERROR(J3086,C3087)),""),"")</f>
        <v/>
      </c>
      <c r="K3087" s="29">
        <f>IFERROR(IF(AND(ISNUMBER(C3087),ISNUMBER(J3087)),C3087/J3087-1,""),"")</f>
        <v/>
      </c>
      <c r="L3087" s="28">
        <f>IFERROR(IF(AND(ISNUMBER(D3087),ISNUMBER(E3087)),D3087-E3087,""),"")</f>
        <v/>
      </c>
    </row>
    <row r="3088">
      <c r="A3088" s="7">
        <f>IFERROR(Datos!A3088,"")</f>
        <v/>
      </c>
      <c r="B3088" s="8">
        <f>IFERROR(Datos!B3088,"")</f>
        <v/>
      </c>
      <c r="C3088" s="8">
        <f>IFERROR(Datos!C3088,"")</f>
        <v/>
      </c>
      <c r="D3088" s="28">
        <f>IFERROR(IF(AND(ISNUMBER(B3088),ISNUMBER(B3087),B3087&lt;&gt;0),B3088/B3087-1,""),"")</f>
        <v/>
      </c>
      <c r="E3088" s="28">
        <f>IFERROR(IF(AND(ISNUMBER(C3088),ISNUMBER(C3087),C3087&lt;&gt;0),C3088/C3087-1,""),"")</f>
        <v/>
      </c>
      <c r="F3088" s="28">
        <f>IFERROR(D3088-Dashboard!$B$4/252,"")</f>
        <v/>
      </c>
      <c r="G3088" s="28">
        <f>IFERROR(E3088-Dashboard!$B$4/252,"")</f>
        <v/>
      </c>
      <c r="H3088" s="8">
        <f>IFERROR(IF(ISNUMBER(B3088),MAX(B3088,IFERROR(H3087,B3088)),""),"")</f>
        <v/>
      </c>
      <c r="I3088" s="29">
        <f>IFERROR(IF(AND(ISNUMBER(B3088),ISNUMBER(H3088)),B3088/H3088-1,""),"")</f>
        <v/>
      </c>
      <c r="J3088" s="8">
        <f>IFERROR(IF(ISNUMBER(C3088),MAX(C3088,IFERROR(J3087,C3088)),""),"")</f>
        <v/>
      </c>
      <c r="K3088" s="29">
        <f>IFERROR(IF(AND(ISNUMBER(C3088),ISNUMBER(J3088)),C3088/J3088-1,""),"")</f>
        <v/>
      </c>
      <c r="L3088" s="28">
        <f>IFERROR(IF(AND(ISNUMBER(D3088),ISNUMBER(E3088)),D3088-E3088,""),"")</f>
        <v/>
      </c>
    </row>
    <row r="3089">
      <c r="A3089" s="7">
        <f>IFERROR(Datos!A3089,"")</f>
        <v/>
      </c>
      <c r="B3089" s="8">
        <f>IFERROR(Datos!B3089,"")</f>
        <v/>
      </c>
      <c r="C3089" s="8">
        <f>IFERROR(Datos!C3089,"")</f>
        <v/>
      </c>
      <c r="D3089" s="28">
        <f>IFERROR(IF(AND(ISNUMBER(B3089),ISNUMBER(B3088),B3088&lt;&gt;0),B3089/B3088-1,""),"")</f>
        <v/>
      </c>
      <c r="E3089" s="28">
        <f>IFERROR(IF(AND(ISNUMBER(C3089),ISNUMBER(C3088),C3088&lt;&gt;0),C3089/C3088-1,""),"")</f>
        <v/>
      </c>
      <c r="F3089" s="28">
        <f>IFERROR(D3089-Dashboard!$B$4/252,"")</f>
        <v/>
      </c>
      <c r="G3089" s="28">
        <f>IFERROR(E3089-Dashboard!$B$4/252,"")</f>
        <v/>
      </c>
      <c r="H3089" s="8">
        <f>IFERROR(IF(ISNUMBER(B3089),MAX(B3089,IFERROR(H3088,B3089)),""),"")</f>
        <v/>
      </c>
      <c r="I3089" s="29">
        <f>IFERROR(IF(AND(ISNUMBER(B3089),ISNUMBER(H3089)),B3089/H3089-1,""),"")</f>
        <v/>
      </c>
      <c r="J3089" s="8">
        <f>IFERROR(IF(ISNUMBER(C3089),MAX(C3089,IFERROR(J3088,C3089)),""),"")</f>
        <v/>
      </c>
      <c r="K3089" s="29">
        <f>IFERROR(IF(AND(ISNUMBER(C3089),ISNUMBER(J3089)),C3089/J3089-1,""),"")</f>
        <v/>
      </c>
      <c r="L3089" s="28">
        <f>IFERROR(IF(AND(ISNUMBER(D3089),ISNUMBER(E3089)),D3089-E3089,""),"")</f>
        <v/>
      </c>
    </row>
    <row r="3090">
      <c r="A3090" s="7">
        <f>IFERROR(Datos!A3090,"")</f>
        <v/>
      </c>
      <c r="B3090" s="8">
        <f>IFERROR(Datos!B3090,"")</f>
        <v/>
      </c>
      <c r="C3090" s="8">
        <f>IFERROR(Datos!C3090,"")</f>
        <v/>
      </c>
      <c r="D3090" s="28">
        <f>IFERROR(IF(AND(ISNUMBER(B3090),ISNUMBER(B3089),B3089&lt;&gt;0),B3090/B3089-1,""),"")</f>
        <v/>
      </c>
      <c r="E3090" s="28">
        <f>IFERROR(IF(AND(ISNUMBER(C3090),ISNUMBER(C3089),C3089&lt;&gt;0),C3090/C3089-1,""),"")</f>
        <v/>
      </c>
      <c r="F3090" s="28">
        <f>IFERROR(D3090-Dashboard!$B$4/252,"")</f>
        <v/>
      </c>
      <c r="G3090" s="28">
        <f>IFERROR(E3090-Dashboard!$B$4/252,"")</f>
        <v/>
      </c>
      <c r="H3090" s="8">
        <f>IFERROR(IF(ISNUMBER(B3090),MAX(B3090,IFERROR(H3089,B3090)),""),"")</f>
        <v/>
      </c>
      <c r="I3090" s="29">
        <f>IFERROR(IF(AND(ISNUMBER(B3090),ISNUMBER(H3090)),B3090/H3090-1,""),"")</f>
        <v/>
      </c>
      <c r="J3090" s="8">
        <f>IFERROR(IF(ISNUMBER(C3090),MAX(C3090,IFERROR(J3089,C3090)),""),"")</f>
        <v/>
      </c>
      <c r="K3090" s="29">
        <f>IFERROR(IF(AND(ISNUMBER(C3090),ISNUMBER(J3090)),C3090/J3090-1,""),"")</f>
        <v/>
      </c>
      <c r="L3090" s="28">
        <f>IFERROR(IF(AND(ISNUMBER(D3090),ISNUMBER(E3090)),D3090-E3090,""),"")</f>
        <v/>
      </c>
    </row>
    <row r="3091">
      <c r="A3091" s="7">
        <f>IFERROR(Datos!A3091,"")</f>
        <v/>
      </c>
      <c r="B3091" s="8">
        <f>IFERROR(Datos!B3091,"")</f>
        <v/>
      </c>
      <c r="C3091" s="8">
        <f>IFERROR(Datos!C3091,"")</f>
        <v/>
      </c>
      <c r="D3091" s="28">
        <f>IFERROR(IF(AND(ISNUMBER(B3091),ISNUMBER(B3090),B3090&lt;&gt;0),B3091/B3090-1,""),"")</f>
        <v/>
      </c>
      <c r="E3091" s="28">
        <f>IFERROR(IF(AND(ISNUMBER(C3091),ISNUMBER(C3090),C3090&lt;&gt;0),C3091/C3090-1,""),"")</f>
        <v/>
      </c>
      <c r="F3091" s="28">
        <f>IFERROR(D3091-Dashboard!$B$4/252,"")</f>
        <v/>
      </c>
      <c r="G3091" s="28">
        <f>IFERROR(E3091-Dashboard!$B$4/252,"")</f>
        <v/>
      </c>
      <c r="H3091" s="8">
        <f>IFERROR(IF(ISNUMBER(B3091),MAX(B3091,IFERROR(H3090,B3091)),""),"")</f>
        <v/>
      </c>
      <c r="I3091" s="29">
        <f>IFERROR(IF(AND(ISNUMBER(B3091),ISNUMBER(H3091)),B3091/H3091-1,""),"")</f>
        <v/>
      </c>
      <c r="J3091" s="8">
        <f>IFERROR(IF(ISNUMBER(C3091),MAX(C3091,IFERROR(J3090,C3091)),""),"")</f>
        <v/>
      </c>
      <c r="K3091" s="29">
        <f>IFERROR(IF(AND(ISNUMBER(C3091),ISNUMBER(J3091)),C3091/J3091-1,""),"")</f>
        <v/>
      </c>
      <c r="L3091" s="28">
        <f>IFERROR(IF(AND(ISNUMBER(D3091),ISNUMBER(E3091)),D3091-E3091,""),"")</f>
        <v/>
      </c>
    </row>
    <row r="3092">
      <c r="A3092" s="7">
        <f>IFERROR(Datos!A3092,"")</f>
        <v/>
      </c>
      <c r="B3092" s="8">
        <f>IFERROR(Datos!B3092,"")</f>
        <v/>
      </c>
      <c r="C3092" s="8">
        <f>IFERROR(Datos!C3092,"")</f>
        <v/>
      </c>
      <c r="D3092" s="28">
        <f>IFERROR(IF(AND(ISNUMBER(B3092),ISNUMBER(B3091),B3091&lt;&gt;0),B3092/B3091-1,""),"")</f>
        <v/>
      </c>
      <c r="E3092" s="28">
        <f>IFERROR(IF(AND(ISNUMBER(C3092),ISNUMBER(C3091),C3091&lt;&gt;0),C3092/C3091-1,""),"")</f>
        <v/>
      </c>
      <c r="F3092" s="28">
        <f>IFERROR(D3092-Dashboard!$B$4/252,"")</f>
        <v/>
      </c>
      <c r="G3092" s="28">
        <f>IFERROR(E3092-Dashboard!$B$4/252,"")</f>
        <v/>
      </c>
      <c r="H3092" s="8">
        <f>IFERROR(IF(ISNUMBER(B3092),MAX(B3092,IFERROR(H3091,B3092)),""),"")</f>
        <v/>
      </c>
      <c r="I3092" s="29">
        <f>IFERROR(IF(AND(ISNUMBER(B3092),ISNUMBER(H3092)),B3092/H3092-1,""),"")</f>
        <v/>
      </c>
      <c r="J3092" s="8">
        <f>IFERROR(IF(ISNUMBER(C3092),MAX(C3092,IFERROR(J3091,C3092)),""),"")</f>
        <v/>
      </c>
      <c r="K3092" s="29">
        <f>IFERROR(IF(AND(ISNUMBER(C3092),ISNUMBER(J3092)),C3092/J3092-1,""),"")</f>
        <v/>
      </c>
      <c r="L3092" s="28">
        <f>IFERROR(IF(AND(ISNUMBER(D3092),ISNUMBER(E3092)),D3092-E3092,""),"")</f>
        <v/>
      </c>
    </row>
    <row r="3093">
      <c r="A3093" s="7">
        <f>IFERROR(Datos!A3093,"")</f>
        <v/>
      </c>
      <c r="B3093" s="8">
        <f>IFERROR(Datos!B3093,"")</f>
        <v/>
      </c>
      <c r="C3093" s="8">
        <f>IFERROR(Datos!C3093,"")</f>
        <v/>
      </c>
      <c r="D3093" s="28">
        <f>IFERROR(IF(AND(ISNUMBER(B3093),ISNUMBER(B3092),B3092&lt;&gt;0),B3093/B3092-1,""),"")</f>
        <v/>
      </c>
      <c r="E3093" s="28">
        <f>IFERROR(IF(AND(ISNUMBER(C3093),ISNUMBER(C3092),C3092&lt;&gt;0),C3093/C3092-1,""),"")</f>
        <v/>
      </c>
      <c r="F3093" s="28">
        <f>IFERROR(D3093-Dashboard!$B$4/252,"")</f>
        <v/>
      </c>
      <c r="G3093" s="28">
        <f>IFERROR(E3093-Dashboard!$B$4/252,"")</f>
        <v/>
      </c>
      <c r="H3093" s="8">
        <f>IFERROR(IF(ISNUMBER(B3093),MAX(B3093,IFERROR(H3092,B3093)),""),"")</f>
        <v/>
      </c>
      <c r="I3093" s="29">
        <f>IFERROR(IF(AND(ISNUMBER(B3093),ISNUMBER(H3093)),B3093/H3093-1,""),"")</f>
        <v/>
      </c>
      <c r="J3093" s="8">
        <f>IFERROR(IF(ISNUMBER(C3093),MAX(C3093,IFERROR(J3092,C3093)),""),"")</f>
        <v/>
      </c>
      <c r="K3093" s="29">
        <f>IFERROR(IF(AND(ISNUMBER(C3093),ISNUMBER(J3093)),C3093/J3093-1,""),"")</f>
        <v/>
      </c>
      <c r="L3093" s="28">
        <f>IFERROR(IF(AND(ISNUMBER(D3093),ISNUMBER(E3093)),D3093-E3093,""),"")</f>
        <v/>
      </c>
    </row>
    <row r="3094">
      <c r="A3094" s="7">
        <f>IFERROR(Datos!A3094,"")</f>
        <v/>
      </c>
      <c r="B3094" s="8">
        <f>IFERROR(Datos!B3094,"")</f>
        <v/>
      </c>
      <c r="C3094" s="8">
        <f>IFERROR(Datos!C3094,"")</f>
        <v/>
      </c>
      <c r="D3094" s="28">
        <f>IFERROR(IF(AND(ISNUMBER(B3094),ISNUMBER(B3093),B3093&lt;&gt;0),B3094/B3093-1,""),"")</f>
        <v/>
      </c>
      <c r="E3094" s="28">
        <f>IFERROR(IF(AND(ISNUMBER(C3094),ISNUMBER(C3093),C3093&lt;&gt;0),C3094/C3093-1,""),"")</f>
        <v/>
      </c>
      <c r="F3094" s="28">
        <f>IFERROR(D3094-Dashboard!$B$4/252,"")</f>
        <v/>
      </c>
      <c r="G3094" s="28">
        <f>IFERROR(E3094-Dashboard!$B$4/252,"")</f>
        <v/>
      </c>
      <c r="H3094" s="8">
        <f>IFERROR(IF(ISNUMBER(B3094),MAX(B3094,IFERROR(H3093,B3094)),""),"")</f>
        <v/>
      </c>
      <c r="I3094" s="29">
        <f>IFERROR(IF(AND(ISNUMBER(B3094),ISNUMBER(H3094)),B3094/H3094-1,""),"")</f>
        <v/>
      </c>
      <c r="J3094" s="8">
        <f>IFERROR(IF(ISNUMBER(C3094),MAX(C3094,IFERROR(J3093,C3094)),""),"")</f>
        <v/>
      </c>
      <c r="K3094" s="29">
        <f>IFERROR(IF(AND(ISNUMBER(C3094),ISNUMBER(J3094)),C3094/J3094-1,""),"")</f>
        <v/>
      </c>
      <c r="L3094" s="28">
        <f>IFERROR(IF(AND(ISNUMBER(D3094),ISNUMBER(E3094)),D3094-E3094,""),"")</f>
        <v/>
      </c>
    </row>
    <row r="3095">
      <c r="A3095" s="7">
        <f>IFERROR(Datos!A3095,"")</f>
        <v/>
      </c>
      <c r="B3095" s="8">
        <f>IFERROR(Datos!B3095,"")</f>
        <v/>
      </c>
      <c r="C3095" s="8">
        <f>IFERROR(Datos!C3095,"")</f>
        <v/>
      </c>
      <c r="D3095" s="28">
        <f>IFERROR(IF(AND(ISNUMBER(B3095),ISNUMBER(B3094),B3094&lt;&gt;0),B3095/B3094-1,""),"")</f>
        <v/>
      </c>
      <c r="E3095" s="28">
        <f>IFERROR(IF(AND(ISNUMBER(C3095),ISNUMBER(C3094),C3094&lt;&gt;0),C3095/C3094-1,""),"")</f>
        <v/>
      </c>
      <c r="F3095" s="28">
        <f>IFERROR(D3095-Dashboard!$B$4/252,"")</f>
        <v/>
      </c>
      <c r="G3095" s="28">
        <f>IFERROR(E3095-Dashboard!$B$4/252,"")</f>
        <v/>
      </c>
      <c r="H3095" s="8">
        <f>IFERROR(IF(ISNUMBER(B3095),MAX(B3095,IFERROR(H3094,B3095)),""),"")</f>
        <v/>
      </c>
      <c r="I3095" s="29">
        <f>IFERROR(IF(AND(ISNUMBER(B3095),ISNUMBER(H3095)),B3095/H3095-1,""),"")</f>
        <v/>
      </c>
      <c r="J3095" s="8">
        <f>IFERROR(IF(ISNUMBER(C3095),MAX(C3095,IFERROR(J3094,C3095)),""),"")</f>
        <v/>
      </c>
      <c r="K3095" s="29">
        <f>IFERROR(IF(AND(ISNUMBER(C3095),ISNUMBER(J3095)),C3095/J3095-1,""),"")</f>
        <v/>
      </c>
      <c r="L3095" s="28">
        <f>IFERROR(IF(AND(ISNUMBER(D3095),ISNUMBER(E3095)),D3095-E3095,""),"")</f>
        <v/>
      </c>
    </row>
    <row r="3096">
      <c r="A3096" s="7">
        <f>IFERROR(Datos!A3096,"")</f>
        <v/>
      </c>
      <c r="B3096" s="8">
        <f>IFERROR(Datos!B3096,"")</f>
        <v/>
      </c>
      <c r="C3096" s="8">
        <f>IFERROR(Datos!C3096,"")</f>
        <v/>
      </c>
      <c r="D3096" s="28">
        <f>IFERROR(IF(AND(ISNUMBER(B3096),ISNUMBER(B3095),B3095&lt;&gt;0),B3096/B3095-1,""),"")</f>
        <v/>
      </c>
      <c r="E3096" s="28">
        <f>IFERROR(IF(AND(ISNUMBER(C3096),ISNUMBER(C3095),C3095&lt;&gt;0),C3096/C3095-1,""),"")</f>
        <v/>
      </c>
      <c r="F3096" s="28">
        <f>IFERROR(D3096-Dashboard!$B$4/252,"")</f>
        <v/>
      </c>
      <c r="G3096" s="28">
        <f>IFERROR(E3096-Dashboard!$B$4/252,"")</f>
        <v/>
      </c>
      <c r="H3096" s="8">
        <f>IFERROR(IF(ISNUMBER(B3096),MAX(B3096,IFERROR(H3095,B3096)),""),"")</f>
        <v/>
      </c>
      <c r="I3096" s="29">
        <f>IFERROR(IF(AND(ISNUMBER(B3096),ISNUMBER(H3096)),B3096/H3096-1,""),"")</f>
        <v/>
      </c>
      <c r="J3096" s="8">
        <f>IFERROR(IF(ISNUMBER(C3096),MAX(C3096,IFERROR(J3095,C3096)),""),"")</f>
        <v/>
      </c>
      <c r="K3096" s="29">
        <f>IFERROR(IF(AND(ISNUMBER(C3096),ISNUMBER(J3096)),C3096/J3096-1,""),"")</f>
        <v/>
      </c>
      <c r="L3096" s="28">
        <f>IFERROR(IF(AND(ISNUMBER(D3096),ISNUMBER(E3096)),D3096-E3096,""),"")</f>
        <v/>
      </c>
    </row>
    <row r="3097">
      <c r="A3097" s="7">
        <f>IFERROR(Datos!A3097,"")</f>
        <v/>
      </c>
      <c r="B3097" s="8">
        <f>IFERROR(Datos!B3097,"")</f>
        <v/>
      </c>
      <c r="C3097" s="8">
        <f>IFERROR(Datos!C3097,"")</f>
        <v/>
      </c>
      <c r="D3097" s="28">
        <f>IFERROR(IF(AND(ISNUMBER(B3097),ISNUMBER(B3096),B3096&lt;&gt;0),B3097/B3096-1,""),"")</f>
        <v/>
      </c>
      <c r="E3097" s="28">
        <f>IFERROR(IF(AND(ISNUMBER(C3097),ISNUMBER(C3096),C3096&lt;&gt;0),C3097/C3096-1,""),"")</f>
        <v/>
      </c>
      <c r="F3097" s="28">
        <f>IFERROR(D3097-Dashboard!$B$4/252,"")</f>
        <v/>
      </c>
      <c r="G3097" s="28">
        <f>IFERROR(E3097-Dashboard!$B$4/252,"")</f>
        <v/>
      </c>
      <c r="H3097" s="8">
        <f>IFERROR(IF(ISNUMBER(B3097),MAX(B3097,IFERROR(H3096,B3097)),""),"")</f>
        <v/>
      </c>
      <c r="I3097" s="29">
        <f>IFERROR(IF(AND(ISNUMBER(B3097),ISNUMBER(H3097)),B3097/H3097-1,""),"")</f>
        <v/>
      </c>
      <c r="J3097" s="8">
        <f>IFERROR(IF(ISNUMBER(C3097),MAX(C3097,IFERROR(J3096,C3097)),""),"")</f>
        <v/>
      </c>
      <c r="K3097" s="29">
        <f>IFERROR(IF(AND(ISNUMBER(C3097),ISNUMBER(J3097)),C3097/J3097-1,""),"")</f>
        <v/>
      </c>
      <c r="L3097" s="28">
        <f>IFERROR(IF(AND(ISNUMBER(D3097),ISNUMBER(E3097)),D3097-E3097,""),"")</f>
        <v/>
      </c>
    </row>
    <row r="3098">
      <c r="A3098" s="7">
        <f>IFERROR(Datos!A3098,"")</f>
        <v/>
      </c>
      <c r="B3098" s="8">
        <f>IFERROR(Datos!B3098,"")</f>
        <v/>
      </c>
      <c r="C3098" s="8">
        <f>IFERROR(Datos!C3098,"")</f>
        <v/>
      </c>
      <c r="D3098" s="28">
        <f>IFERROR(IF(AND(ISNUMBER(B3098),ISNUMBER(B3097),B3097&lt;&gt;0),B3098/B3097-1,""),"")</f>
        <v/>
      </c>
      <c r="E3098" s="28">
        <f>IFERROR(IF(AND(ISNUMBER(C3098),ISNUMBER(C3097),C3097&lt;&gt;0),C3098/C3097-1,""),"")</f>
        <v/>
      </c>
      <c r="F3098" s="28">
        <f>IFERROR(D3098-Dashboard!$B$4/252,"")</f>
        <v/>
      </c>
      <c r="G3098" s="28">
        <f>IFERROR(E3098-Dashboard!$B$4/252,"")</f>
        <v/>
      </c>
      <c r="H3098" s="8">
        <f>IFERROR(IF(ISNUMBER(B3098),MAX(B3098,IFERROR(H3097,B3098)),""),"")</f>
        <v/>
      </c>
      <c r="I3098" s="29">
        <f>IFERROR(IF(AND(ISNUMBER(B3098),ISNUMBER(H3098)),B3098/H3098-1,""),"")</f>
        <v/>
      </c>
      <c r="J3098" s="8">
        <f>IFERROR(IF(ISNUMBER(C3098),MAX(C3098,IFERROR(J3097,C3098)),""),"")</f>
        <v/>
      </c>
      <c r="K3098" s="29">
        <f>IFERROR(IF(AND(ISNUMBER(C3098),ISNUMBER(J3098)),C3098/J3098-1,""),"")</f>
        <v/>
      </c>
      <c r="L3098" s="28">
        <f>IFERROR(IF(AND(ISNUMBER(D3098),ISNUMBER(E3098)),D3098-E3098,""),"")</f>
        <v/>
      </c>
    </row>
    <row r="3099">
      <c r="A3099" s="7">
        <f>IFERROR(Datos!A3099,"")</f>
        <v/>
      </c>
      <c r="B3099" s="8">
        <f>IFERROR(Datos!B3099,"")</f>
        <v/>
      </c>
      <c r="C3099" s="8">
        <f>IFERROR(Datos!C3099,"")</f>
        <v/>
      </c>
      <c r="D3099" s="28">
        <f>IFERROR(IF(AND(ISNUMBER(B3099),ISNUMBER(B3098),B3098&lt;&gt;0),B3099/B3098-1,""),"")</f>
        <v/>
      </c>
      <c r="E3099" s="28">
        <f>IFERROR(IF(AND(ISNUMBER(C3099),ISNUMBER(C3098),C3098&lt;&gt;0),C3099/C3098-1,""),"")</f>
        <v/>
      </c>
      <c r="F3099" s="28">
        <f>IFERROR(D3099-Dashboard!$B$4/252,"")</f>
        <v/>
      </c>
      <c r="G3099" s="28">
        <f>IFERROR(E3099-Dashboard!$B$4/252,"")</f>
        <v/>
      </c>
      <c r="H3099" s="8">
        <f>IFERROR(IF(ISNUMBER(B3099),MAX(B3099,IFERROR(H3098,B3099)),""),"")</f>
        <v/>
      </c>
      <c r="I3099" s="29">
        <f>IFERROR(IF(AND(ISNUMBER(B3099),ISNUMBER(H3099)),B3099/H3099-1,""),"")</f>
        <v/>
      </c>
      <c r="J3099" s="8">
        <f>IFERROR(IF(ISNUMBER(C3099),MAX(C3099,IFERROR(J3098,C3099)),""),"")</f>
        <v/>
      </c>
      <c r="K3099" s="29">
        <f>IFERROR(IF(AND(ISNUMBER(C3099),ISNUMBER(J3099)),C3099/J3099-1,""),"")</f>
        <v/>
      </c>
      <c r="L3099" s="28">
        <f>IFERROR(IF(AND(ISNUMBER(D3099),ISNUMBER(E3099)),D3099-E3099,""),"")</f>
        <v/>
      </c>
    </row>
    <row r="3100">
      <c r="A3100" s="7">
        <f>IFERROR(Datos!A3100,"")</f>
        <v/>
      </c>
      <c r="B3100" s="8">
        <f>IFERROR(Datos!B3100,"")</f>
        <v/>
      </c>
      <c r="C3100" s="8">
        <f>IFERROR(Datos!C3100,"")</f>
        <v/>
      </c>
      <c r="D3100" s="28">
        <f>IFERROR(IF(AND(ISNUMBER(B3100),ISNUMBER(B3099),B3099&lt;&gt;0),B3100/B3099-1,""),"")</f>
        <v/>
      </c>
      <c r="E3100" s="28">
        <f>IFERROR(IF(AND(ISNUMBER(C3100),ISNUMBER(C3099),C3099&lt;&gt;0),C3100/C3099-1,""),"")</f>
        <v/>
      </c>
      <c r="F3100" s="28">
        <f>IFERROR(D3100-Dashboard!$B$4/252,"")</f>
        <v/>
      </c>
      <c r="G3100" s="28">
        <f>IFERROR(E3100-Dashboard!$B$4/252,"")</f>
        <v/>
      </c>
      <c r="H3100" s="8">
        <f>IFERROR(IF(ISNUMBER(B3100),MAX(B3100,IFERROR(H3099,B3100)),""),"")</f>
        <v/>
      </c>
      <c r="I3100" s="29">
        <f>IFERROR(IF(AND(ISNUMBER(B3100),ISNUMBER(H3100)),B3100/H3100-1,""),"")</f>
        <v/>
      </c>
      <c r="J3100" s="8">
        <f>IFERROR(IF(ISNUMBER(C3100),MAX(C3100,IFERROR(J3099,C3100)),""),"")</f>
        <v/>
      </c>
      <c r="K3100" s="29">
        <f>IFERROR(IF(AND(ISNUMBER(C3100),ISNUMBER(J3100)),C3100/J3100-1,""),"")</f>
        <v/>
      </c>
      <c r="L3100" s="28">
        <f>IFERROR(IF(AND(ISNUMBER(D3100),ISNUMBER(E3100)),D3100-E3100,""),"")</f>
        <v/>
      </c>
    </row>
    <row r="3101">
      <c r="A3101" s="7">
        <f>IFERROR(Datos!A3101,"")</f>
        <v/>
      </c>
      <c r="B3101" s="8">
        <f>IFERROR(Datos!B3101,"")</f>
        <v/>
      </c>
      <c r="C3101" s="8">
        <f>IFERROR(Datos!C3101,"")</f>
        <v/>
      </c>
      <c r="D3101" s="28">
        <f>IFERROR(IF(AND(ISNUMBER(B3101),ISNUMBER(B3100),B3100&lt;&gt;0),B3101/B3100-1,""),"")</f>
        <v/>
      </c>
      <c r="E3101" s="28">
        <f>IFERROR(IF(AND(ISNUMBER(C3101),ISNUMBER(C3100),C3100&lt;&gt;0),C3101/C3100-1,""),"")</f>
        <v/>
      </c>
      <c r="F3101" s="28">
        <f>IFERROR(D3101-Dashboard!$B$4/252,"")</f>
        <v/>
      </c>
      <c r="G3101" s="28">
        <f>IFERROR(E3101-Dashboard!$B$4/252,"")</f>
        <v/>
      </c>
      <c r="H3101" s="8">
        <f>IFERROR(IF(ISNUMBER(B3101),MAX(B3101,IFERROR(H3100,B3101)),""),"")</f>
        <v/>
      </c>
      <c r="I3101" s="29">
        <f>IFERROR(IF(AND(ISNUMBER(B3101),ISNUMBER(H3101)),B3101/H3101-1,""),"")</f>
        <v/>
      </c>
      <c r="J3101" s="8">
        <f>IFERROR(IF(ISNUMBER(C3101),MAX(C3101,IFERROR(J3100,C3101)),""),"")</f>
        <v/>
      </c>
      <c r="K3101" s="29">
        <f>IFERROR(IF(AND(ISNUMBER(C3101),ISNUMBER(J3101)),C3101/J3101-1,""),"")</f>
        <v/>
      </c>
      <c r="L3101" s="28">
        <f>IFERROR(IF(AND(ISNUMBER(D3101),ISNUMBER(E3101)),D3101-E3101,""),"")</f>
        <v/>
      </c>
    </row>
    <row r="3102">
      <c r="A3102" s="7">
        <f>IFERROR(Datos!A3102,"")</f>
        <v/>
      </c>
      <c r="B3102" s="8">
        <f>IFERROR(Datos!B3102,"")</f>
        <v/>
      </c>
      <c r="C3102" s="8">
        <f>IFERROR(Datos!C3102,"")</f>
        <v/>
      </c>
      <c r="D3102" s="28">
        <f>IFERROR(IF(AND(ISNUMBER(B3102),ISNUMBER(B3101),B3101&lt;&gt;0),B3102/B3101-1,""),"")</f>
        <v/>
      </c>
      <c r="E3102" s="28">
        <f>IFERROR(IF(AND(ISNUMBER(C3102),ISNUMBER(C3101),C3101&lt;&gt;0),C3102/C3101-1,""),"")</f>
        <v/>
      </c>
      <c r="F3102" s="28">
        <f>IFERROR(D3102-Dashboard!$B$4/252,"")</f>
        <v/>
      </c>
      <c r="G3102" s="28">
        <f>IFERROR(E3102-Dashboard!$B$4/252,"")</f>
        <v/>
      </c>
      <c r="H3102" s="8">
        <f>IFERROR(IF(ISNUMBER(B3102),MAX(B3102,IFERROR(H3101,B3102)),""),"")</f>
        <v/>
      </c>
      <c r="I3102" s="29">
        <f>IFERROR(IF(AND(ISNUMBER(B3102),ISNUMBER(H3102)),B3102/H3102-1,""),"")</f>
        <v/>
      </c>
      <c r="J3102" s="8">
        <f>IFERROR(IF(ISNUMBER(C3102),MAX(C3102,IFERROR(J3101,C3102)),""),"")</f>
        <v/>
      </c>
      <c r="K3102" s="29">
        <f>IFERROR(IF(AND(ISNUMBER(C3102),ISNUMBER(J3102)),C3102/J3102-1,""),"")</f>
        <v/>
      </c>
      <c r="L3102" s="28">
        <f>IFERROR(IF(AND(ISNUMBER(D3102),ISNUMBER(E3102)),D3102-E3102,""),"")</f>
        <v/>
      </c>
    </row>
    <row r="3103">
      <c r="A3103" s="7">
        <f>IFERROR(Datos!A3103,"")</f>
        <v/>
      </c>
      <c r="B3103" s="8">
        <f>IFERROR(Datos!B3103,"")</f>
        <v/>
      </c>
      <c r="C3103" s="8">
        <f>IFERROR(Datos!C3103,"")</f>
        <v/>
      </c>
      <c r="D3103" s="28">
        <f>IFERROR(IF(AND(ISNUMBER(B3103),ISNUMBER(B3102),B3102&lt;&gt;0),B3103/B3102-1,""),"")</f>
        <v/>
      </c>
      <c r="E3103" s="28">
        <f>IFERROR(IF(AND(ISNUMBER(C3103),ISNUMBER(C3102),C3102&lt;&gt;0),C3103/C3102-1,""),"")</f>
        <v/>
      </c>
      <c r="F3103" s="28">
        <f>IFERROR(D3103-Dashboard!$B$4/252,"")</f>
        <v/>
      </c>
      <c r="G3103" s="28">
        <f>IFERROR(E3103-Dashboard!$B$4/252,"")</f>
        <v/>
      </c>
      <c r="H3103" s="8">
        <f>IFERROR(IF(ISNUMBER(B3103),MAX(B3103,IFERROR(H3102,B3103)),""),"")</f>
        <v/>
      </c>
      <c r="I3103" s="29">
        <f>IFERROR(IF(AND(ISNUMBER(B3103),ISNUMBER(H3103)),B3103/H3103-1,""),"")</f>
        <v/>
      </c>
      <c r="J3103" s="8">
        <f>IFERROR(IF(ISNUMBER(C3103),MAX(C3103,IFERROR(J3102,C3103)),""),"")</f>
        <v/>
      </c>
      <c r="K3103" s="29">
        <f>IFERROR(IF(AND(ISNUMBER(C3103),ISNUMBER(J3103)),C3103/J3103-1,""),"")</f>
        <v/>
      </c>
      <c r="L3103" s="28">
        <f>IFERROR(IF(AND(ISNUMBER(D3103),ISNUMBER(E3103)),D3103-E3103,""),"")</f>
        <v/>
      </c>
    </row>
    <row r="3104">
      <c r="A3104" s="7">
        <f>IFERROR(Datos!A3104,"")</f>
        <v/>
      </c>
      <c r="B3104" s="8">
        <f>IFERROR(Datos!B3104,"")</f>
        <v/>
      </c>
      <c r="C3104" s="8">
        <f>IFERROR(Datos!C3104,"")</f>
        <v/>
      </c>
      <c r="D3104" s="28">
        <f>IFERROR(IF(AND(ISNUMBER(B3104),ISNUMBER(B3103),B3103&lt;&gt;0),B3104/B3103-1,""),"")</f>
        <v/>
      </c>
      <c r="E3104" s="28">
        <f>IFERROR(IF(AND(ISNUMBER(C3104),ISNUMBER(C3103),C3103&lt;&gt;0),C3104/C3103-1,""),"")</f>
        <v/>
      </c>
      <c r="F3104" s="28">
        <f>IFERROR(D3104-Dashboard!$B$4/252,"")</f>
        <v/>
      </c>
      <c r="G3104" s="28">
        <f>IFERROR(E3104-Dashboard!$B$4/252,"")</f>
        <v/>
      </c>
      <c r="H3104" s="8">
        <f>IFERROR(IF(ISNUMBER(B3104),MAX(B3104,IFERROR(H3103,B3104)),""),"")</f>
        <v/>
      </c>
      <c r="I3104" s="29">
        <f>IFERROR(IF(AND(ISNUMBER(B3104),ISNUMBER(H3104)),B3104/H3104-1,""),"")</f>
        <v/>
      </c>
      <c r="J3104" s="8">
        <f>IFERROR(IF(ISNUMBER(C3104),MAX(C3104,IFERROR(J3103,C3104)),""),"")</f>
        <v/>
      </c>
      <c r="K3104" s="29">
        <f>IFERROR(IF(AND(ISNUMBER(C3104),ISNUMBER(J3104)),C3104/J3104-1,""),"")</f>
        <v/>
      </c>
      <c r="L3104" s="28">
        <f>IFERROR(IF(AND(ISNUMBER(D3104),ISNUMBER(E3104)),D3104-E3104,""),"")</f>
        <v/>
      </c>
    </row>
    <row r="3105">
      <c r="A3105" s="7">
        <f>IFERROR(Datos!A3105,"")</f>
        <v/>
      </c>
      <c r="B3105" s="8">
        <f>IFERROR(Datos!B3105,"")</f>
        <v/>
      </c>
      <c r="C3105" s="8">
        <f>IFERROR(Datos!C3105,"")</f>
        <v/>
      </c>
      <c r="D3105" s="28">
        <f>IFERROR(IF(AND(ISNUMBER(B3105),ISNUMBER(B3104),B3104&lt;&gt;0),B3105/B3104-1,""),"")</f>
        <v/>
      </c>
      <c r="E3105" s="28">
        <f>IFERROR(IF(AND(ISNUMBER(C3105),ISNUMBER(C3104),C3104&lt;&gt;0),C3105/C3104-1,""),"")</f>
        <v/>
      </c>
      <c r="F3105" s="28">
        <f>IFERROR(D3105-Dashboard!$B$4/252,"")</f>
        <v/>
      </c>
      <c r="G3105" s="28">
        <f>IFERROR(E3105-Dashboard!$B$4/252,"")</f>
        <v/>
      </c>
      <c r="H3105" s="8">
        <f>IFERROR(IF(ISNUMBER(B3105),MAX(B3105,IFERROR(H3104,B3105)),""),"")</f>
        <v/>
      </c>
      <c r="I3105" s="29">
        <f>IFERROR(IF(AND(ISNUMBER(B3105),ISNUMBER(H3105)),B3105/H3105-1,""),"")</f>
        <v/>
      </c>
      <c r="J3105" s="8">
        <f>IFERROR(IF(ISNUMBER(C3105),MAX(C3105,IFERROR(J3104,C3105)),""),"")</f>
        <v/>
      </c>
      <c r="K3105" s="29">
        <f>IFERROR(IF(AND(ISNUMBER(C3105),ISNUMBER(J3105)),C3105/J3105-1,""),"")</f>
        <v/>
      </c>
      <c r="L3105" s="28">
        <f>IFERROR(IF(AND(ISNUMBER(D3105),ISNUMBER(E3105)),D3105-E3105,""),"")</f>
        <v/>
      </c>
    </row>
    <row r="3106">
      <c r="A3106" s="7">
        <f>IFERROR(Datos!A3106,"")</f>
        <v/>
      </c>
      <c r="B3106" s="8">
        <f>IFERROR(Datos!B3106,"")</f>
        <v/>
      </c>
      <c r="C3106" s="8">
        <f>IFERROR(Datos!C3106,"")</f>
        <v/>
      </c>
      <c r="D3106" s="28">
        <f>IFERROR(IF(AND(ISNUMBER(B3106),ISNUMBER(B3105),B3105&lt;&gt;0),B3106/B3105-1,""),"")</f>
        <v/>
      </c>
      <c r="E3106" s="28">
        <f>IFERROR(IF(AND(ISNUMBER(C3106),ISNUMBER(C3105),C3105&lt;&gt;0),C3106/C3105-1,""),"")</f>
        <v/>
      </c>
      <c r="F3106" s="28">
        <f>IFERROR(D3106-Dashboard!$B$4/252,"")</f>
        <v/>
      </c>
      <c r="G3106" s="28">
        <f>IFERROR(E3106-Dashboard!$B$4/252,"")</f>
        <v/>
      </c>
      <c r="H3106" s="8">
        <f>IFERROR(IF(ISNUMBER(B3106),MAX(B3106,IFERROR(H3105,B3106)),""),"")</f>
        <v/>
      </c>
      <c r="I3106" s="29">
        <f>IFERROR(IF(AND(ISNUMBER(B3106),ISNUMBER(H3106)),B3106/H3106-1,""),"")</f>
        <v/>
      </c>
      <c r="J3106" s="8">
        <f>IFERROR(IF(ISNUMBER(C3106),MAX(C3106,IFERROR(J3105,C3106)),""),"")</f>
        <v/>
      </c>
      <c r="K3106" s="29">
        <f>IFERROR(IF(AND(ISNUMBER(C3106),ISNUMBER(J3106)),C3106/J3106-1,""),"")</f>
        <v/>
      </c>
      <c r="L3106" s="28">
        <f>IFERROR(IF(AND(ISNUMBER(D3106),ISNUMBER(E3106)),D3106-E3106,""),"")</f>
        <v/>
      </c>
    </row>
    <row r="3107">
      <c r="A3107" s="7">
        <f>IFERROR(Datos!A3107,"")</f>
        <v/>
      </c>
      <c r="B3107" s="8">
        <f>IFERROR(Datos!B3107,"")</f>
        <v/>
      </c>
      <c r="C3107" s="8">
        <f>IFERROR(Datos!C3107,"")</f>
        <v/>
      </c>
      <c r="D3107" s="28">
        <f>IFERROR(IF(AND(ISNUMBER(B3107),ISNUMBER(B3106),B3106&lt;&gt;0),B3107/B3106-1,""),"")</f>
        <v/>
      </c>
      <c r="E3107" s="28">
        <f>IFERROR(IF(AND(ISNUMBER(C3107),ISNUMBER(C3106),C3106&lt;&gt;0),C3107/C3106-1,""),"")</f>
        <v/>
      </c>
      <c r="F3107" s="28">
        <f>IFERROR(D3107-Dashboard!$B$4/252,"")</f>
        <v/>
      </c>
      <c r="G3107" s="28">
        <f>IFERROR(E3107-Dashboard!$B$4/252,"")</f>
        <v/>
      </c>
      <c r="H3107" s="8">
        <f>IFERROR(IF(ISNUMBER(B3107),MAX(B3107,IFERROR(H3106,B3107)),""),"")</f>
        <v/>
      </c>
      <c r="I3107" s="29">
        <f>IFERROR(IF(AND(ISNUMBER(B3107),ISNUMBER(H3107)),B3107/H3107-1,""),"")</f>
        <v/>
      </c>
      <c r="J3107" s="8">
        <f>IFERROR(IF(ISNUMBER(C3107),MAX(C3107,IFERROR(J3106,C3107)),""),"")</f>
        <v/>
      </c>
      <c r="K3107" s="29">
        <f>IFERROR(IF(AND(ISNUMBER(C3107),ISNUMBER(J3107)),C3107/J3107-1,""),"")</f>
        <v/>
      </c>
      <c r="L3107" s="28">
        <f>IFERROR(IF(AND(ISNUMBER(D3107),ISNUMBER(E3107)),D3107-E3107,""),"")</f>
        <v/>
      </c>
    </row>
    <row r="3108">
      <c r="A3108" s="7">
        <f>IFERROR(Datos!A3108,"")</f>
        <v/>
      </c>
      <c r="B3108" s="8">
        <f>IFERROR(Datos!B3108,"")</f>
        <v/>
      </c>
      <c r="C3108" s="8">
        <f>IFERROR(Datos!C3108,"")</f>
        <v/>
      </c>
      <c r="D3108" s="28">
        <f>IFERROR(IF(AND(ISNUMBER(B3108),ISNUMBER(B3107),B3107&lt;&gt;0),B3108/B3107-1,""),"")</f>
        <v/>
      </c>
      <c r="E3108" s="28">
        <f>IFERROR(IF(AND(ISNUMBER(C3108),ISNUMBER(C3107),C3107&lt;&gt;0),C3108/C3107-1,""),"")</f>
        <v/>
      </c>
      <c r="F3108" s="28">
        <f>IFERROR(D3108-Dashboard!$B$4/252,"")</f>
        <v/>
      </c>
      <c r="G3108" s="28">
        <f>IFERROR(E3108-Dashboard!$B$4/252,"")</f>
        <v/>
      </c>
      <c r="H3108" s="8">
        <f>IFERROR(IF(ISNUMBER(B3108),MAX(B3108,IFERROR(H3107,B3108)),""),"")</f>
        <v/>
      </c>
      <c r="I3108" s="29">
        <f>IFERROR(IF(AND(ISNUMBER(B3108),ISNUMBER(H3108)),B3108/H3108-1,""),"")</f>
        <v/>
      </c>
      <c r="J3108" s="8">
        <f>IFERROR(IF(ISNUMBER(C3108),MAX(C3108,IFERROR(J3107,C3108)),""),"")</f>
        <v/>
      </c>
      <c r="K3108" s="29">
        <f>IFERROR(IF(AND(ISNUMBER(C3108),ISNUMBER(J3108)),C3108/J3108-1,""),"")</f>
        <v/>
      </c>
      <c r="L3108" s="28">
        <f>IFERROR(IF(AND(ISNUMBER(D3108),ISNUMBER(E3108)),D3108-E3108,""),"")</f>
        <v/>
      </c>
    </row>
    <row r="3109">
      <c r="A3109" s="7">
        <f>IFERROR(Datos!A3109,"")</f>
        <v/>
      </c>
      <c r="B3109" s="8">
        <f>IFERROR(Datos!B3109,"")</f>
        <v/>
      </c>
      <c r="C3109" s="8">
        <f>IFERROR(Datos!C3109,"")</f>
        <v/>
      </c>
      <c r="D3109" s="28">
        <f>IFERROR(IF(AND(ISNUMBER(B3109),ISNUMBER(B3108),B3108&lt;&gt;0),B3109/B3108-1,""),"")</f>
        <v/>
      </c>
      <c r="E3109" s="28">
        <f>IFERROR(IF(AND(ISNUMBER(C3109),ISNUMBER(C3108),C3108&lt;&gt;0),C3109/C3108-1,""),"")</f>
        <v/>
      </c>
      <c r="F3109" s="28">
        <f>IFERROR(D3109-Dashboard!$B$4/252,"")</f>
        <v/>
      </c>
      <c r="G3109" s="28">
        <f>IFERROR(E3109-Dashboard!$B$4/252,"")</f>
        <v/>
      </c>
      <c r="H3109" s="8">
        <f>IFERROR(IF(ISNUMBER(B3109),MAX(B3109,IFERROR(H3108,B3109)),""),"")</f>
        <v/>
      </c>
      <c r="I3109" s="29">
        <f>IFERROR(IF(AND(ISNUMBER(B3109),ISNUMBER(H3109)),B3109/H3109-1,""),"")</f>
        <v/>
      </c>
      <c r="J3109" s="8">
        <f>IFERROR(IF(ISNUMBER(C3109),MAX(C3109,IFERROR(J3108,C3109)),""),"")</f>
        <v/>
      </c>
      <c r="K3109" s="29">
        <f>IFERROR(IF(AND(ISNUMBER(C3109),ISNUMBER(J3109)),C3109/J3109-1,""),"")</f>
        <v/>
      </c>
      <c r="L3109" s="28">
        <f>IFERROR(IF(AND(ISNUMBER(D3109),ISNUMBER(E3109)),D3109-E3109,""),"")</f>
        <v/>
      </c>
    </row>
    <row r="3110">
      <c r="A3110" s="7">
        <f>IFERROR(Datos!A3110,"")</f>
        <v/>
      </c>
      <c r="B3110" s="8">
        <f>IFERROR(Datos!B3110,"")</f>
        <v/>
      </c>
      <c r="C3110" s="8">
        <f>IFERROR(Datos!C3110,"")</f>
        <v/>
      </c>
      <c r="D3110" s="28">
        <f>IFERROR(IF(AND(ISNUMBER(B3110),ISNUMBER(B3109),B3109&lt;&gt;0),B3110/B3109-1,""),"")</f>
        <v/>
      </c>
      <c r="E3110" s="28">
        <f>IFERROR(IF(AND(ISNUMBER(C3110),ISNUMBER(C3109),C3109&lt;&gt;0),C3110/C3109-1,""),"")</f>
        <v/>
      </c>
      <c r="F3110" s="28">
        <f>IFERROR(D3110-Dashboard!$B$4/252,"")</f>
        <v/>
      </c>
      <c r="G3110" s="28">
        <f>IFERROR(E3110-Dashboard!$B$4/252,"")</f>
        <v/>
      </c>
      <c r="H3110" s="8">
        <f>IFERROR(IF(ISNUMBER(B3110),MAX(B3110,IFERROR(H3109,B3110)),""),"")</f>
        <v/>
      </c>
      <c r="I3110" s="29">
        <f>IFERROR(IF(AND(ISNUMBER(B3110),ISNUMBER(H3110)),B3110/H3110-1,""),"")</f>
        <v/>
      </c>
      <c r="J3110" s="8">
        <f>IFERROR(IF(ISNUMBER(C3110),MAX(C3110,IFERROR(J3109,C3110)),""),"")</f>
        <v/>
      </c>
      <c r="K3110" s="29">
        <f>IFERROR(IF(AND(ISNUMBER(C3110),ISNUMBER(J3110)),C3110/J3110-1,""),"")</f>
        <v/>
      </c>
      <c r="L3110" s="28">
        <f>IFERROR(IF(AND(ISNUMBER(D3110),ISNUMBER(E3110)),D3110-E3110,""),"")</f>
        <v/>
      </c>
    </row>
    <row r="3111">
      <c r="A3111" s="7">
        <f>IFERROR(Datos!A3111,"")</f>
        <v/>
      </c>
      <c r="B3111" s="8">
        <f>IFERROR(Datos!B3111,"")</f>
        <v/>
      </c>
      <c r="C3111" s="8">
        <f>IFERROR(Datos!C3111,"")</f>
        <v/>
      </c>
      <c r="D3111" s="28">
        <f>IFERROR(IF(AND(ISNUMBER(B3111),ISNUMBER(B3110),B3110&lt;&gt;0),B3111/B3110-1,""),"")</f>
        <v/>
      </c>
      <c r="E3111" s="28">
        <f>IFERROR(IF(AND(ISNUMBER(C3111),ISNUMBER(C3110),C3110&lt;&gt;0),C3111/C3110-1,""),"")</f>
        <v/>
      </c>
      <c r="F3111" s="28">
        <f>IFERROR(D3111-Dashboard!$B$4/252,"")</f>
        <v/>
      </c>
      <c r="G3111" s="28">
        <f>IFERROR(E3111-Dashboard!$B$4/252,"")</f>
        <v/>
      </c>
      <c r="H3111" s="8">
        <f>IFERROR(IF(ISNUMBER(B3111),MAX(B3111,IFERROR(H3110,B3111)),""),"")</f>
        <v/>
      </c>
      <c r="I3111" s="29">
        <f>IFERROR(IF(AND(ISNUMBER(B3111),ISNUMBER(H3111)),B3111/H3111-1,""),"")</f>
        <v/>
      </c>
      <c r="J3111" s="8">
        <f>IFERROR(IF(ISNUMBER(C3111),MAX(C3111,IFERROR(J3110,C3111)),""),"")</f>
        <v/>
      </c>
      <c r="K3111" s="29">
        <f>IFERROR(IF(AND(ISNUMBER(C3111),ISNUMBER(J3111)),C3111/J3111-1,""),"")</f>
        <v/>
      </c>
      <c r="L3111" s="28">
        <f>IFERROR(IF(AND(ISNUMBER(D3111),ISNUMBER(E3111)),D3111-E3111,""),"")</f>
        <v/>
      </c>
    </row>
    <row r="3112">
      <c r="A3112" s="7">
        <f>IFERROR(Datos!A3112,"")</f>
        <v/>
      </c>
      <c r="B3112" s="8">
        <f>IFERROR(Datos!B3112,"")</f>
        <v/>
      </c>
      <c r="C3112" s="8">
        <f>IFERROR(Datos!C3112,"")</f>
        <v/>
      </c>
      <c r="D3112" s="28">
        <f>IFERROR(IF(AND(ISNUMBER(B3112),ISNUMBER(B3111),B3111&lt;&gt;0),B3112/B3111-1,""),"")</f>
        <v/>
      </c>
      <c r="E3112" s="28">
        <f>IFERROR(IF(AND(ISNUMBER(C3112),ISNUMBER(C3111),C3111&lt;&gt;0),C3112/C3111-1,""),"")</f>
        <v/>
      </c>
      <c r="F3112" s="28">
        <f>IFERROR(D3112-Dashboard!$B$4/252,"")</f>
        <v/>
      </c>
      <c r="G3112" s="28">
        <f>IFERROR(E3112-Dashboard!$B$4/252,"")</f>
        <v/>
      </c>
      <c r="H3112" s="8">
        <f>IFERROR(IF(ISNUMBER(B3112),MAX(B3112,IFERROR(H3111,B3112)),""),"")</f>
        <v/>
      </c>
      <c r="I3112" s="29">
        <f>IFERROR(IF(AND(ISNUMBER(B3112),ISNUMBER(H3112)),B3112/H3112-1,""),"")</f>
        <v/>
      </c>
      <c r="J3112" s="8">
        <f>IFERROR(IF(ISNUMBER(C3112),MAX(C3112,IFERROR(J3111,C3112)),""),"")</f>
        <v/>
      </c>
      <c r="K3112" s="29">
        <f>IFERROR(IF(AND(ISNUMBER(C3112),ISNUMBER(J3112)),C3112/J3112-1,""),"")</f>
        <v/>
      </c>
      <c r="L3112" s="28">
        <f>IFERROR(IF(AND(ISNUMBER(D3112),ISNUMBER(E3112)),D3112-E3112,""),"")</f>
        <v/>
      </c>
    </row>
    <row r="3113">
      <c r="A3113" s="7">
        <f>IFERROR(Datos!A3113,"")</f>
        <v/>
      </c>
      <c r="B3113" s="8">
        <f>IFERROR(Datos!B3113,"")</f>
        <v/>
      </c>
      <c r="C3113" s="8">
        <f>IFERROR(Datos!C3113,"")</f>
        <v/>
      </c>
      <c r="D3113" s="28">
        <f>IFERROR(IF(AND(ISNUMBER(B3113),ISNUMBER(B3112),B3112&lt;&gt;0),B3113/B3112-1,""),"")</f>
        <v/>
      </c>
      <c r="E3113" s="28">
        <f>IFERROR(IF(AND(ISNUMBER(C3113),ISNUMBER(C3112),C3112&lt;&gt;0),C3113/C3112-1,""),"")</f>
        <v/>
      </c>
      <c r="F3113" s="28">
        <f>IFERROR(D3113-Dashboard!$B$4/252,"")</f>
        <v/>
      </c>
      <c r="G3113" s="28">
        <f>IFERROR(E3113-Dashboard!$B$4/252,"")</f>
        <v/>
      </c>
      <c r="H3113" s="8">
        <f>IFERROR(IF(ISNUMBER(B3113),MAX(B3113,IFERROR(H3112,B3113)),""),"")</f>
        <v/>
      </c>
      <c r="I3113" s="29">
        <f>IFERROR(IF(AND(ISNUMBER(B3113),ISNUMBER(H3113)),B3113/H3113-1,""),"")</f>
        <v/>
      </c>
      <c r="J3113" s="8">
        <f>IFERROR(IF(ISNUMBER(C3113),MAX(C3113,IFERROR(J3112,C3113)),""),"")</f>
        <v/>
      </c>
      <c r="K3113" s="29">
        <f>IFERROR(IF(AND(ISNUMBER(C3113),ISNUMBER(J3113)),C3113/J3113-1,""),"")</f>
        <v/>
      </c>
      <c r="L3113" s="28">
        <f>IFERROR(IF(AND(ISNUMBER(D3113),ISNUMBER(E3113)),D3113-E3113,""),"")</f>
        <v/>
      </c>
    </row>
    <row r="3114">
      <c r="A3114" s="7">
        <f>IFERROR(Datos!A3114,"")</f>
        <v/>
      </c>
      <c r="B3114" s="8">
        <f>IFERROR(Datos!B3114,"")</f>
        <v/>
      </c>
      <c r="C3114" s="8">
        <f>IFERROR(Datos!C3114,"")</f>
        <v/>
      </c>
      <c r="D3114" s="28">
        <f>IFERROR(IF(AND(ISNUMBER(B3114),ISNUMBER(B3113),B3113&lt;&gt;0),B3114/B3113-1,""),"")</f>
        <v/>
      </c>
      <c r="E3114" s="28">
        <f>IFERROR(IF(AND(ISNUMBER(C3114),ISNUMBER(C3113),C3113&lt;&gt;0),C3114/C3113-1,""),"")</f>
        <v/>
      </c>
      <c r="F3114" s="28">
        <f>IFERROR(D3114-Dashboard!$B$4/252,"")</f>
        <v/>
      </c>
      <c r="G3114" s="28">
        <f>IFERROR(E3114-Dashboard!$B$4/252,"")</f>
        <v/>
      </c>
      <c r="H3114" s="8">
        <f>IFERROR(IF(ISNUMBER(B3114),MAX(B3114,IFERROR(H3113,B3114)),""),"")</f>
        <v/>
      </c>
      <c r="I3114" s="29">
        <f>IFERROR(IF(AND(ISNUMBER(B3114),ISNUMBER(H3114)),B3114/H3114-1,""),"")</f>
        <v/>
      </c>
      <c r="J3114" s="8">
        <f>IFERROR(IF(ISNUMBER(C3114),MAX(C3114,IFERROR(J3113,C3114)),""),"")</f>
        <v/>
      </c>
      <c r="K3114" s="29">
        <f>IFERROR(IF(AND(ISNUMBER(C3114),ISNUMBER(J3114)),C3114/J3114-1,""),"")</f>
        <v/>
      </c>
      <c r="L3114" s="28">
        <f>IFERROR(IF(AND(ISNUMBER(D3114),ISNUMBER(E3114)),D3114-E3114,""),"")</f>
        <v/>
      </c>
    </row>
    <row r="3115">
      <c r="A3115" s="7">
        <f>IFERROR(Datos!A3115,"")</f>
        <v/>
      </c>
      <c r="B3115" s="8">
        <f>IFERROR(Datos!B3115,"")</f>
        <v/>
      </c>
      <c r="C3115" s="8">
        <f>IFERROR(Datos!C3115,"")</f>
        <v/>
      </c>
      <c r="D3115" s="28">
        <f>IFERROR(IF(AND(ISNUMBER(B3115),ISNUMBER(B3114),B3114&lt;&gt;0),B3115/B3114-1,""),"")</f>
        <v/>
      </c>
      <c r="E3115" s="28">
        <f>IFERROR(IF(AND(ISNUMBER(C3115),ISNUMBER(C3114),C3114&lt;&gt;0),C3115/C3114-1,""),"")</f>
        <v/>
      </c>
      <c r="F3115" s="28">
        <f>IFERROR(D3115-Dashboard!$B$4/252,"")</f>
        <v/>
      </c>
      <c r="G3115" s="28">
        <f>IFERROR(E3115-Dashboard!$B$4/252,"")</f>
        <v/>
      </c>
      <c r="H3115" s="8">
        <f>IFERROR(IF(ISNUMBER(B3115),MAX(B3115,IFERROR(H3114,B3115)),""),"")</f>
        <v/>
      </c>
      <c r="I3115" s="29">
        <f>IFERROR(IF(AND(ISNUMBER(B3115),ISNUMBER(H3115)),B3115/H3115-1,""),"")</f>
        <v/>
      </c>
      <c r="J3115" s="8">
        <f>IFERROR(IF(ISNUMBER(C3115),MAX(C3115,IFERROR(J3114,C3115)),""),"")</f>
        <v/>
      </c>
      <c r="K3115" s="29">
        <f>IFERROR(IF(AND(ISNUMBER(C3115),ISNUMBER(J3115)),C3115/J3115-1,""),"")</f>
        <v/>
      </c>
      <c r="L3115" s="28">
        <f>IFERROR(IF(AND(ISNUMBER(D3115),ISNUMBER(E3115)),D3115-E3115,""),"")</f>
        <v/>
      </c>
    </row>
    <row r="3116">
      <c r="A3116" s="7">
        <f>IFERROR(Datos!A3116,"")</f>
        <v/>
      </c>
      <c r="B3116" s="8">
        <f>IFERROR(Datos!B3116,"")</f>
        <v/>
      </c>
      <c r="C3116" s="8">
        <f>IFERROR(Datos!C3116,"")</f>
        <v/>
      </c>
      <c r="D3116" s="28">
        <f>IFERROR(IF(AND(ISNUMBER(B3116),ISNUMBER(B3115),B3115&lt;&gt;0),B3116/B3115-1,""),"")</f>
        <v/>
      </c>
      <c r="E3116" s="28">
        <f>IFERROR(IF(AND(ISNUMBER(C3116),ISNUMBER(C3115),C3115&lt;&gt;0),C3116/C3115-1,""),"")</f>
        <v/>
      </c>
      <c r="F3116" s="28">
        <f>IFERROR(D3116-Dashboard!$B$4/252,"")</f>
        <v/>
      </c>
      <c r="G3116" s="28">
        <f>IFERROR(E3116-Dashboard!$B$4/252,"")</f>
        <v/>
      </c>
      <c r="H3116" s="8">
        <f>IFERROR(IF(ISNUMBER(B3116),MAX(B3116,IFERROR(H3115,B3116)),""),"")</f>
        <v/>
      </c>
      <c r="I3116" s="29">
        <f>IFERROR(IF(AND(ISNUMBER(B3116),ISNUMBER(H3116)),B3116/H3116-1,""),"")</f>
        <v/>
      </c>
      <c r="J3116" s="8">
        <f>IFERROR(IF(ISNUMBER(C3116),MAX(C3116,IFERROR(J3115,C3116)),""),"")</f>
        <v/>
      </c>
      <c r="K3116" s="29">
        <f>IFERROR(IF(AND(ISNUMBER(C3116),ISNUMBER(J3116)),C3116/J3116-1,""),"")</f>
        <v/>
      </c>
      <c r="L3116" s="28">
        <f>IFERROR(IF(AND(ISNUMBER(D3116),ISNUMBER(E3116)),D3116-E3116,""),"")</f>
        <v/>
      </c>
    </row>
    <row r="3117">
      <c r="A3117" s="7">
        <f>IFERROR(Datos!A3117,"")</f>
        <v/>
      </c>
      <c r="B3117" s="8">
        <f>IFERROR(Datos!B3117,"")</f>
        <v/>
      </c>
      <c r="C3117" s="8">
        <f>IFERROR(Datos!C3117,"")</f>
        <v/>
      </c>
      <c r="D3117" s="28">
        <f>IFERROR(IF(AND(ISNUMBER(B3117),ISNUMBER(B3116),B3116&lt;&gt;0),B3117/B3116-1,""),"")</f>
        <v/>
      </c>
      <c r="E3117" s="28">
        <f>IFERROR(IF(AND(ISNUMBER(C3117),ISNUMBER(C3116),C3116&lt;&gt;0),C3117/C3116-1,""),"")</f>
        <v/>
      </c>
      <c r="F3117" s="28">
        <f>IFERROR(D3117-Dashboard!$B$4/252,"")</f>
        <v/>
      </c>
      <c r="G3117" s="28">
        <f>IFERROR(E3117-Dashboard!$B$4/252,"")</f>
        <v/>
      </c>
      <c r="H3117" s="8">
        <f>IFERROR(IF(ISNUMBER(B3117),MAX(B3117,IFERROR(H3116,B3117)),""),"")</f>
        <v/>
      </c>
      <c r="I3117" s="29">
        <f>IFERROR(IF(AND(ISNUMBER(B3117),ISNUMBER(H3117)),B3117/H3117-1,""),"")</f>
        <v/>
      </c>
      <c r="J3117" s="8">
        <f>IFERROR(IF(ISNUMBER(C3117),MAX(C3117,IFERROR(J3116,C3117)),""),"")</f>
        <v/>
      </c>
      <c r="K3117" s="29">
        <f>IFERROR(IF(AND(ISNUMBER(C3117),ISNUMBER(J3117)),C3117/J3117-1,""),"")</f>
        <v/>
      </c>
      <c r="L3117" s="28">
        <f>IFERROR(IF(AND(ISNUMBER(D3117),ISNUMBER(E3117)),D3117-E3117,""),"")</f>
        <v/>
      </c>
    </row>
    <row r="3118">
      <c r="A3118" s="7">
        <f>IFERROR(Datos!A3118,"")</f>
        <v/>
      </c>
      <c r="B3118" s="8">
        <f>IFERROR(Datos!B3118,"")</f>
        <v/>
      </c>
      <c r="C3118" s="8">
        <f>IFERROR(Datos!C3118,"")</f>
        <v/>
      </c>
      <c r="D3118" s="28">
        <f>IFERROR(IF(AND(ISNUMBER(B3118),ISNUMBER(B3117),B3117&lt;&gt;0),B3118/B3117-1,""),"")</f>
        <v/>
      </c>
      <c r="E3118" s="28">
        <f>IFERROR(IF(AND(ISNUMBER(C3118),ISNUMBER(C3117),C3117&lt;&gt;0),C3118/C3117-1,""),"")</f>
        <v/>
      </c>
      <c r="F3118" s="28">
        <f>IFERROR(D3118-Dashboard!$B$4/252,"")</f>
        <v/>
      </c>
      <c r="G3118" s="28">
        <f>IFERROR(E3118-Dashboard!$B$4/252,"")</f>
        <v/>
      </c>
      <c r="H3118" s="8">
        <f>IFERROR(IF(ISNUMBER(B3118),MAX(B3118,IFERROR(H3117,B3118)),""),"")</f>
        <v/>
      </c>
      <c r="I3118" s="29">
        <f>IFERROR(IF(AND(ISNUMBER(B3118),ISNUMBER(H3118)),B3118/H3118-1,""),"")</f>
        <v/>
      </c>
      <c r="J3118" s="8">
        <f>IFERROR(IF(ISNUMBER(C3118),MAX(C3118,IFERROR(J3117,C3118)),""),"")</f>
        <v/>
      </c>
      <c r="K3118" s="29">
        <f>IFERROR(IF(AND(ISNUMBER(C3118),ISNUMBER(J3118)),C3118/J3118-1,""),"")</f>
        <v/>
      </c>
      <c r="L3118" s="28">
        <f>IFERROR(IF(AND(ISNUMBER(D3118),ISNUMBER(E3118)),D3118-E3118,""),"")</f>
        <v/>
      </c>
    </row>
    <row r="3119">
      <c r="A3119" s="7">
        <f>IFERROR(Datos!A3119,"")</f>
        <v/>
      </c>
      <c r="B3119" s="8">
        <f>IFERROR(Datos!B3119,"")</f>
        <v/>
      </c>
      <c r="C3119" s="8">
        <f>IFERROR(Datos!C3119,"")</f>
        <v/>
      </c>
      <c r="D3119" s="28">
        <f>IFERROR(IF(AND(ISNUMBER(B3119),ISNUMBER(B3118),B3118&lt;&gt;0),B3119/B3118-1,""),"")</f>
        <v/>
      </c>
      <c r="E3119" s="28">
        <f>IFERROR(IF(AND(ISNUMBER(C3119),ISNUMBER(C3118),C3118&lt;&gt;0),C3119/C3118-1,""),"")</f>
        <v/>
      </c>
      <c r="F3119" s="28">
        <f>IFERROR(D3119-Dashboard!$B$4/252,"")</f>
        <v/>
      </c>
      <c r="G3119" s="28">
        <f>IFERROR(E3119-Dashboard!$B$4/252,"")</f>
        <v/>
      </c>
      <c r="H3119" s="8">
        <f>IFERROR(IF(ISNUMBER(B3119),MAX(B3119,IFERROR(H3118,B3119)),""),"")</f>
        <v/>
      </c>
      <c r="I3119" s="29">
        <f>IFERROR(IF(AND(ISNUMBER(B3119),ISNUMBER(H3119)),B3119/H3119-1,""),"")</f>
        <v/>
      </c>
      <c r="J3119" s="8">
        <f>IFERROR(IF(ISNUMBER(C3119),MAX(C3119,IFERROR(J3118,C3119)),""),"")</f>
        <v/>
      </c>
      <c r="K3119" s="29">
        <f>IFERROR(IF(AND(ISNUMBER(C3119),ISNUMBER(J3119)),C3119/J3119-1,""),"")</f>
        <v/>
      </c>
      <c r="L3119" s="28">
        <f>IFERROR(IF(AND(ISNUMBER(D3119),ISNUMBER(E3119)),D3119-E3119,""),"")</f>
        <v/>
      </c>
    </row>
    <row r="3120">
      <c r="A3120" s="7">
        <f>IFERROR(Datos!A3120,"")</f>
        <v/>
      </c>
      <c r="B3120" s="8">
        <f>IFERROR(Datos!B3120,"")</f>
        <v/>
      </c>
      <c r="C3120" s="8">
        <f>IFERROR(Datos!C3120,"")</f>
        <v/>
      </c>
      <c r="D3120" s="28">
        <f>IFERROR(IF(AND(ISNUMBER(B3120),ISNUMBER(B3119),B3119&lt;&gt;0),B3120/B3119-1,""),"")</f>
        <v/>
      </c>
      <c r="E3120" s="28">
        <f>IFERROR(IF(AND(ISNUMBER(C3120),ISNUMBER(C3119),C3119&lt;&gt;0),C3120/C3119-1,""),"")</f>
        <v/>
      </c>
      <c r="F3120" s="28">
        <f>IFERROR(D3120-Dashboard!$B$4/252,"")</f>
        <v/>
      </c>
      <c r="G3120" s="28">
        <f>IFERROR(E3120-Dashboard!$B$4/252,"")</f>
        <v/>
      </c>
      <c r="H3120" s="8">
        <f>IFERROR(IF(ISNUMBER(B3120),MAX(B3120,IFERROR(H3119,B3120)),""),"")</f>
        <v/>
      </c>
      <c r="I3120" s="29">
        <f>IFERROR(IF(AND(ISNUMBER(B3120),ISNUMBER(H3120)),B3120/H3120-1,""),"")</f>
        <v/>
      </c>
      <c r="J3120" s="8">
        <f>IFERROR(IF(ISNUMBER(C3120),MAX(C3120,IFERROR(J3119,C3120)),""),"")</f>
        <v/>
      </c>
      <c r="K3120" s="29">
        <f>IFERROR(IF(AND(ISNUMBER(C3120),ISNUMBER(J3120)),C3120/J3120-1,""),"")</f>
        <v/>
      </c>
      <c r="L3120" s="28">
        <f>IFERROR(IF(AND(ISNUMBER(D3120),ISNUMBER(E3120)),D3120-E3120,""),"")</f>
        <v/>
      </c>
    </row>
    <row r="3121">
      <c r="A3121" s="7">
        <f>IFERROR(Datos!A3121,"")</f>
        <v/>
      </c>
      <c r="B3121" s="8">
        <f>IFERROR(Datos!B3121,"")</f>
        <v/>
      </c>
      <c r="C3121" s="8">
        <f>IFERROR(Datos!C3121,"")</f>
        <v/>
      </c>
      <c r="D3121" s="28">
        <f>IFERROR(IF(AND(ISNUMBER(B3121),ISNUMBER(B3120),B3120&lt;&gt;0),B3121/B3120-1,""),"")</f>
        <v/>
      </c>
      <c r="E3121" s="28">
        <f>IFERROR(IF(AND(ISNUMBER(C3121),ISNUMBER(C3120),C3120&lt;&gt;0),C3121/C3120-1,""),"")</f>
        <v/>
      </c>
      <c r="F3121" s="28">
        <f>IFERROR(D3121-Dashboard!$B$4/252,"")</f>
        <v/>
      </c>
      <c r="G3121" s="28">
        <f>IFERROR(E3121-Dashboard!$B$4/252,"")</f>
        <v/>
      </c>
      <c r="H3121" s="8">
        <f>IFERROR(IF(ISNUMBER(B3121),MAX(B3121,IFERROR(H3120,B3121)),""),"")</f>
        <v/>
      </c>
      <c r="I3121" s="29">
        <f>IFERROR(IF(AND(ISNUMBER(B3121),ISNUMBER(H3121)),B3121/H3121-1,""),"")</f>
        <v/>
      </c>
      <c r="J3121" s="8">
        <f>IFERROR(IF(ISNUMBER(C3121),MAX(C3121,IFERROR(J3120,C3121)),""),"")</f>
        <v/>
      </c>
      <c r="K3121" s="29">
        <f>IFERROR(IF(AND(ISNUMBER(C3121),ISNUMBER(J3121)),C3121/J3121-1,""),"")</f>
        <v/>
      </c>
      <c r="L3121" s="28">
        <f>IFERROR(IF(AND(ISNUMBER(D3121),ISNUMBER(E3121)),D3121-E3121,""),"")</f>
        <v/>
      </c>
    </row>
    <row r="3122">
      <c r="A3122" s="7">
        <f>IFERROR(Datos!A3122,"")</f>
        <v/>
      </c>
      <c r="B3122" s="8">
        <f>IFERROR(Datos!B3122,"")</f>
        <v/>
      </c>
      <c r="C3122" s="8">
        <f>IFERROR(Datos!C3122,"")</f>
        <v/>
      </c>
      <c r="D3122" s="28">
        <f>IFERROR(IF(AND(ISNUMBER(B3122),ISNUMBER(B3121),B3121&lt;&gt;0),B3122/B3121-1,""),"")</f>
        <v/>
      </c>
      <c r="E3122" s="28">
        <f>IFERROR(IF(AND(ISNUMBER(C3122),ISNUMBER(C3121),C3121&lt;&gt;0),C3122/C3121-1,""),"")</f>
        <v/>
      </c>
      <c r="F3122" s="28">
        <f>IFERROR(D3122-Dashboard!$B$4/252,"")</f>
        <v/>
      </c>
      <c r="G3122" s="28">
        <f>IFERROR(E3122-Dashboard!$B$4/252,"")</f>
        <v/>
      </c>
      <c r="H3122" s="8">
        <f>IFERROR(IF(ISNUMBER(B3122),MAX(B3122,IFERROR(H3121,B3122)),""),"")</f>
        <v/>
      </c>
      <c r="I3122" s="29">
        <f>IFERROR(IF(AND(ISNUMBER(B3122),ISNUMBER(H3122)),B3122/H3122-1,""),"")</f>
        <v/>
      </c>
      <c r="J3122" s="8">
        <f>IFERROR(IF(ISNUMBER(C3122),MAX(C3122,IFERROR(J3121,C3122)),""),"")</f>
        <v/>
      </c>
      <c r="K3122" s="29">
        <f>IFERROR(IF(AND(ISNUMBER(C3122),ISNUMBER(J3122)),C3122/J3122-1,""),"")</f>
        <v/>
      </c>
      <c r="L3122" s="28">
        <f>IFERROR(IF(AND(ISNUMBER(D3122),ISNUMBER(E3122)),D3122-E3122,""),"")</f>
        <v/>
      </c>
    </row>
    <row r="3123">
      <c r="A3123" s="7">
        <f>IFERROR(Datos!A3123,"")</f>
        <v/>
      </c>
      <c r="B3123" s="8">
        <f>IFERROR(Datos!B3123,"")</f>
        <v/>
      </c>
      <c r="C3123" s="8">
        <f>IFERROR(Datos!C3123,"")</f>
        <v/>
      </c>
      <c r="D3123" s="28">
        <f>IFERROR(IF(AND(ISNUMBER(B3123),ISNUMBER(B3122),B3122&lt;&gt;0),B3123/B3122-1,""),"")</f>
        <v/>
      </c>
      <c r="E3123" s="28">
        <f>IFERROR(IF(AND(ISNUMBER(C3123),ISNUMBER(C3122),C3122&lt;&gt;0),C3123/C3122-1,""),"")</f>
        <v/>
      </c>
      <c r="F3123" s="28">
        <f>IFERROR(D3123-Dashboard!$B$4/252,"")</f>
        <v/>
      </c>
      <c r="G3123" s="28">
        <f>IFERROR(E3123-Dashboard!$B$4/252,"")</f>
        <v/>
      </c>
      <c r="H3123" s="8">
        <f>IFERROR(IF(ISNUMBER(B3123),MAX(B3123,IFERROR(H3122,B3123)),""),"")</f>
        <v/>
      </c>
      <c r="I3123" s="29">
        <f>IFERROR(IF(AND(ISNUMBER(B3123),ISNUMBER(H3123)),B3123/H3123-1,""),"")</f>
        <v/>
      </c>
      <c r="J3123" s="8">
        <f>IFERROR(IF(ISNUMBER(C3123),MAX(C3123,IFERROR(J3122,C3123)),""),"")</f>
        <v/>
      </c>
      <c r="K3123" s="29">
        <f>IFERROR(IF(AND(ISNUMBER(C3123),ISNUMBER(J3123)),C3123/J3123-1,""),"")</f>
        <v/>
      </c>
      <c r="L3123" s="28">
        <f>IFERROR(IF(AND(ISNUMBER(D3123),ISNUMBER(E3123)),D3123-E3123,""),"")</f>
        <v/>
      </c>
    </row>
    <row r="3124">
      <c r="A3124" s="7">
        <f>IFERROR(Datos!A3124,"")</f>
        <v/>
      </c>
      <c r="B3124" s="8">
        <f>IFERROR(Datos!B3124,"")</f>
        <v/>
      </c>
      <c r="C3124" s="8">
        <f>IFERROR(Datos!C3124,"")</f>
        <v/>
      </c>
      <c r="D3124" s="28">
        <f>IFERROR(IF(AND(ISNUMBER(B3124),ISNUMBER(B3123),B3123&lt;&gt;0),B3124/B3123-1,""),"")</f>
        <v/>
      </c>
      <c r="E3124" s="28">
        <f>IFERROR(IF(AND(ISNUMBER(C3124),ISNUMBER(C3123),C3123&lt;&gt;0),C3124/C3123-1,""),"")</f>
        <v/>
      </c>
      <c r="F3124" s="28">
        <f>IFERROR(D3124-Dashboard!$B$4/252,"")</f>
        <v/>
      </c>
      <c r="G3124" s="28">
        <f>IFERROR(E3124-Dashboard!$B$4/252,"")</f>
        <v/>
      </c>
      <c r="H3124" s="8">
        <f>IFERROR(IF(ISNUMBER(B3124),MAX(B3124,IFERROR(H3123,B3124)),""),"")</f>
        <v/>
      </c>
      <c r="I3124" s="29">
        <f>IFERROR(IF(AND(ISNUMBER(B3124),ISNUMBER(H3124)),B3124/H3124-1,""),"")</f>
        <v/>
      </c>
      <c r="J3124" s="8">
        <f>IFERROR(IF(ISNUMBER(C3124),MAX(C3124,IFERROR(J3123,C3124)),""),"")</f>
        <v/>
      </c>
      <c r="K3124" s="29">
        <f>IFERROR(IF(AND(ISNUMBER(C3124),ISNUMBER(J3124)),C3124/J3124-1,""),"")</f>
        <v/>
      </c>
      <c r="L3124" s="28">
        <f>IFERROR(IF(AND(ISNUMBER(D3124),ISNUMBER(E3124)),D3124-E3124,""),"")</f>
        <v/>
      </c>
    </row>
    <row r="3125">
      <c r="A3125" s="7">
        <f>IFERROR(Datos!A3125,"")</f>
        <v/>
      </c>
      <c r="B3125" s="8">
        <f>IFERROR(Datos!B3125,"")</f>
        <v/>
      </c>
      <c r="C3125" s="8">
        <f>IFERROR(Datos!C3125,"")</f>
        <v/>
      </c>
      <c r="D3125" s="28">
        <f>IFERROR(IF(AND(ISNUMBER(B3125),ISNUMBER(B3124),B3124&lt;&gt;0),B3125/B3124-1,""),"")</f>
        <v/>
      </c>
      <c r="E3125" s="28">
        <f>IFERROR(IF(AND(ISNUMBER(C3125),ISNUMBER(C3124),C3124&lt;&gt;0),C3125/C3124-1,""),"")</f>
        <v/>
      </c>
      <c r="F3125" s="28">
        <f>IFERROR(D3125-Dashboard!$B$4/252,"")</f>
        <v/>
      </c>
      <c r="G3125" s="28">
        <f>IFERROR(E3125-Dashboard!$B$4/252,"")</f>
        <v/>
      </c>
      <c r="H3125" s="8">
        <f>IFERROR(IF(ISNUMBER(B3125),MAX(B3125,IFERROR(H3124,B3125)),""),"")</f>
        <v/>
      </c>
      <c r="I3125" s="29">
        <f>IFERROR(IF(AND(ISNUMBER(B3125),ISNUMBER(H3125)),B3125/H3125-1,""),"")</f>
        <v/>
      </c>
      <c r="J3125" s="8">
        <f>IFERROR(IF(ISNUMBER(C3125),MAX(C3125,IFERROR(J3124,C3125)),""),"")</f>
        <v/>
      </c>
      <c r="K3125" s="29">
        <f>IFERROR(IF(AND(ISNUMBER(C3125),ISNUMBER(J3125)),C3125/J3125-1,""),"")</f>
        <v/>
      </c>
      <c r="L3125" s="28">
        <f>IFERROR(IF(AND(ISNUMBER(D3125),ISNUMBER(E3125)),D3125-E3125,""),"")</f>
        <v/>
      </c>
    </row>
    <row r="3126">
      <c r="A3126" s="7">
        <f>IFERROR(Datos!A3126,"")</f>
        <v/>
      </c>
      <c r="B3126" s="8">
        <f>IFERROR(Datos!B3126,"")</f>
        <v/>
      </c>
      <c r="C3126" s="8">
        <f>IFERROR(Datos!C3126,"")</f>
        <v/>
      </c>
      <c r="D3126" s="28">
        <f>IFERROR(IF(AND(ISNUMBER(B3126),ISNUMBER(B3125),B3125&lt;&gt;0),B3126/B3125-1,""),"")</f>
        <v/>
      </c>
      <c r="E3126" s="28">
        <f>IFERROR(IF(AND(ISNUMBER(C3126),ISNUMBER(C3125),C3125&lt;&gt;0),C3126/C3125-1,""),"")</f>
        <v/>
      </c>
      <c r="F3126" s="28">
        <f>IFERROR(D3126-Dashboard!$B$4/252,"")</f>
        <v/>
      </c>
      <c r="G3126" s="28">
        <f>IFERROR(E3126-Dashboard!$B$4/252,"")</f>
        <v/>
      </c>
      <c r="H3126" s="8">
        <f>IFERROR(IF(ISNUMBER(B3126),MAX(B3126,IFERROR(H3125,B3126)),""),"")</f>
        <v/>
      </c>
      <c r="I3126" s="29">
        <f>IFERROR(IF(AND(ISNUMBER(B3126),ISNUMBER(H3126)),B3126/H3126-1,""),"")</f>
        <v/>
      </c>
      <c r="J3126" s="8">
        <f>IFERROR(IF(ISNUMBER(C3126),MAX(C3126,IFERROR(J3125,C3126)),""),"")</f>
        <v/>
      </c>
      <c r="K3126" s="29">
        <f>IFERROR(IF(AND(ISNUMBER(C3126),ISNUMBER(J3126)),C3126/J3126-1,""),"")</f>
        <v/>
      </c>
      <c r="L3126" s="28">
        <f>IFERROR(IF(AND(ISNUMBER(D3126),ISNUMBER(E3126)),D3126-E3126,""),"")</f>
        <v/>
      </c>
    </row>
    <row r="3127">
      <c r="A3127" s="7">
        <f>IFERROR(Datos!A3127,"")</f>
        <v/>
      </c>
      <c r="B3127" s="8">
        <f>IFERROR(Datos!B3127,"")</f>
        <v/>
      </c>
      <c r="C3127" s="8">
        <f>IFERROR(Datos!C3127,"")</f>
        <v/>
      </c>
      <c r="D3127" s="28">
        <f>IFERROR(IF(AND(ISNUMBER(B3127),ISNUMBER(B3126),B3126&lt;&gt;0),B3127/B3126-1,""),"")</f>
        <v/>
      </c>
      <c r="E3127" s="28">
        <f>IFERROR(IF(AND(ISNUMBER(C3127),ISNUMBER(C3126),C3126&lt;&gt;0),C3127/C3126-1,""),"")</f>
        <v/>
      </c>
      <c r="F3127" s="28">
        <f>IFERROR(D3127-Dashboard!$B$4/252,"")</f>
        <v/>
      </c>
      <c r="G3127" s="28">
        <f>IFERROR(E3127-Dashboard!$B$4/252,"")</f>
        <v/>
      </c>
      <c r="H3127" s="8">
        <f>IFERROR(IF(ISNUMBER(B3127),MAX(B3127,IFERROR(H3126,B3127)),""),"")</f>
        <v/>
      </c>
      <c r="I3127" s="29">
        <f>IFERROR(IF(AND(ISNUMBER(B3127),ISNUMBER(H3127)),B3127/H3127-1,""),"")</f>
        <v/>
      </c>
      <c r="J3127" s="8">
        <f>IFERROR(IF(ISNUMBER(C3127),MAX(C3127,IFERROR(J3126,C3127)),""),"")</f>
        <v/>
      </c>
      <c r="K3127" s="29">
        <f>IFERROR(IF(AND(ISNUMBER(C3127),ISNUMBER(J3127)),C3127/J3127-1,""),"")</f>
        <v/>
      </c>
      <c r="L3127" s="28">
        <f>IFERROR(IF(AND(ISNUMBER(D3127),ISNUMBER(E3127)),D3127-E3127,""),"")</f>
        <v/>
      </c>
    </row>
    <row r="3128">
      <c r="A3128" s="7">
        <f>IFERROR(Datos!A3128,"")</f>
        <v/>
      </c>
      <c r="B3128" s="8">
        <f>IFERROR(Datos!B3128,"")</f>
        <v/>
      </c>
      <c r="C3128" s="8">
        <f>IFERROR(Datos!C3128,"")</f>
        <v/>
      </c>
      <c r="D3128" s="28">
        <f>IFERROR(IF(AND(ISNUMBER(B3128),ISNUMBER(B3127),B3127&lt;&gt;0),B3128/B3127-1,""),"")</f>
        <v/>
      </c>
      <c r="E3128" s="28">
        <f>IFERROR(IF(AND(ISNUMBER(C3128),ISNUMBER(C3127),C3127&lt;&gt;0),C3128/C3127-1,""),"")</f>
        <v/>
      </c>
      <c r="F3128" s="28">
        <f>IFERROR(D3128-Dashboard!$B$4/252,"")</f>
        <v/>
      </c>
      <c r="G3128" s="28">
        <f>IFERROR(E3128-Dashboard!$B$4/252,"")</f>
        <v/>
      </c>
      <c r="H3128" s="8">
        <f>IFERROR(IF(ISNUMBER(B3128),MAX(B3128,IFERROR(H3127,B3128)),""),"")</f>
        <v/>
      </c>
      <c r="I3128" s="29">
        <f>IFERROR(IF(AND(ISNUMBER(B3128),ISNUMBER(H3128)),B3128/H3128-1,""),"")</f>
        <v/>
      </c>
      <c r="J3128" s="8">
        <f>IFERROR(IF(ISNUMBER(C3128),MAX(C3128,IFERROR(J3127,C3128)),""),"")</f>
        <v/>
      </c>
      <c r="K3128" s="29">
        <f>IFERROR(IF(AND(ISNUMBER(C3128),ISNUMBER(J3128)),C3128/J3128-1,""),"")</f>
        <v/>
      </c>
      <c r="L3128" s="28">
        <f>IFERROR(IF(AND(ISNUMBER(D3128),ISNUMBER(E3128)),D3128-E3128,""),"")</f>
        <v/>
      </c>
    </row>
    <row r="3129">
      <c r="A3129" s="7">
        <f>IFERROR(Datos!A3129,"")</f>
        <v/>
      </c>
      <c r="B3129" s="8">
        <f>IFERROR(Datos!B3129,"")</f>
        <v/>
      </c>
      <c r="C3129" s="8">
        <f>IFERROR(Datos!C3129,"")</f>
        <v/>
      </c>
      <c r="D3129" s="28">
        <f>IFERROR(IF(AND(ISNUMBER(B3129),ISNUMBER(B3128),B3128&lt;&gt;0),B3129/B3128-1,""),"")</f>
        <v/>
      </c>
      <c r="E3129" s="28">
        <f>IFERROR(IF(AND(ISNUMBER(C3129),ISNUMBER(C3128),C3128&lt;&gt;0),C3129/C3128-1,""),"")</f>
        <v/>
      </c>
      <c r="F3129" s="28">
        <f>IFERROR(D3129-Dashboard!$B$4/252,"")</f>
        <v/>
      </c>
      <c r="G3129" s="28">
        <f>IFERROR(E3129-Dashboard!$B$4/252,"")</f>
        <v/>
      </c>
      <c r="H3129" s="8">
        <f>IFERROR(IF(ISNUMBER(B3129),MAX(B3129,IFERROR(H3128,B3129)),""),"")</f>
        <v/>
      </c>
      <c r="I3129" s="29">
        <f>IFERROR(IF(AND(ISNUMBER(B3129),ISNUMBER(H3129)),B3129/H3129-1,""),"")</f>
        <v/>
      </c>
      <c r="J3129" s="8">
        <f>IFERROR(IF(ISNUMBER(C3129),MAX(C3129,IFERROR(J3128,C3129)),""),"")</f>
        <v/>
      </c>
      <c r="K3129" s="29">
        <f>IFERROR(IF(AND(ISNUMBER(C3129),ISNUMBER(J3129)),C3129/J3129-1,""),"")</f>
        <v/>
      </c>
      <c r="L3129" s="28">
        <f>IFERROR(IF(AND(ISNUMBER(D3129),ISNUMBER(E3129)),D3129-E3129,""),"")</f>
        <v/>
      </c>
    </row>
    <row r="3130">
      <c r="A3130" s="7">
        <f>IFERROR(Datos!A3130,"")</f>
        <v/>
      </c>
      <c r="B3130" s="8">
        <f>IFERROR(Datos!B3130,"")</f>
        <v/>
      </c>
      <c r="C3130" s="8">
        <f>IFERROR(Datos!C3130,"")</f>
        <v/>
      </c>
      <c r="D3130" s="28">
        <f>IFERROR(IF(AND(ISNUMBER(B3130),ISNUMBER(B3129),B3129&lt;&gt;0),B3130/B3129-1,""),"")</f>
        <v/>
      </c>
      <c r="E3130" s="28">
        <f>IFERROR(IF(AND(ISNUMBER(C3130),ISNUMBER(C3129),C3129&lt;&gt;0),C3130/C3129-1,""),"")</f>
        <v/>
      </c>
      <c r="F3130" s="28">
        <f>IFERROR(D3130-Dashboard!$B$4/252,"")</f>
        <v/>
      </c>
      <c r="G3130" s="28">
        <f>IFERROR(E3130-Dashboard!$B$4/252,"")</f>
        <v/>
      </c>
      <c r="H3130" s="8">
        <f>IFERROR(IF(ISNUMBER(B3130),MAX(B3130,IFERROR(H3129,B3130)),""),"")</f>
        <v/>
      </c>
      <c r="I3130" s="29">
        <f>IFERROR(IF(AND(ISNUMBER(B3130),ISNUMBER(H3130)),B3130/H3130-1,""),"")</f>
        <v/>
      </c>
      <c r="J3130" s="8">
        <f>IFERROR(IF(ISNUMBER(C3130),MAX(C3130,IFERROR(J3129,C3130)),""),"")</f>
        <v/>
      </c>
      <c r="K3130" s="29">
        <f>IFERROR(IF(AND(ISNUMBER(C3130),ISNUMBER(J3130)),C3130/J3130-1,""),"")</f>
        <v/>
      </c>
      <c r="L3130" s="28">
        <f>IFERROR(IF(AND(ISNUMBER(D3130),ISNUMBER(E3130)),D3130-E3130,""),"")</f>
        <v/>
      </c>
    </row>
    <row r="3131">
      <c r="A3131" s="7">
        <f>IFERROR(Datos!A3131,"")</f>
        <v/>
      </c>
      <c r="B3131" s="8">
        <f>IFERROR(Datos!B3131,"")</f>
        <v/>
      </c>
      <c r="C3131" s="8">
        <f>IFERROR(Datos!C3131,"")</f>
        <v/>
      </c>
      <c r="D3131" s="28">
        <f>IFERROR(IF(AND(ISNUMBER(B3131),ISNUMBER(B3130),B3130&lt;&gt;0),B3131/B3130-1,""),"")</f>
        <v/>
      </c>
      <c r="E3131" s="28">
        <f>IFERROR(IF(AND(ISNUMBER(C3131),ISNUMBER(C3130),C3130&lt;&gt;0),C3131/C3130-1,""),"")</f>
        <v/>
      </c>
      <c r="F3131" s="28">
        <f>IFERROR(D3131-Dashboard!$B$4/252,"")</f>
        <v/>
      </c>
      <c r="G3131" s="28">
        <f>IFERROR(E3131-Dashboard!$B$4/252,"")</f>
        <v/>
      </c>
      <c r="H3131" s="8">
        <f>IFERROR(IF(ISNUMBER(B3131),MAX(B3131,IFERROR(H3130,B3131)),""),"")</f>
        <v/>
      </c>
      <c r="I3131" s="29">
        <f>IFERROR(IF(AND(ISNUMBER(B3131),ISNUMBER(H3131)),B3131/H3131-1,""),"")</f>
        <v/>
      </c>
      <c r="J3131" s="8">
        <f>IFERROR(IF(ISNUMBER(C3131),MAX(C3131,IFERROR(J3130,C3131)),""),"")</f>
        <v/>
      </c>
      <c r="K3131" s="29">
        <f>IFERROR(IF(AND(ISNUMBER(C3131),ISNUMBER(J3131)),C3131/J3131-1,""),"")</f>
        <v/>
      </c>
      <c r="L3131" s="28">
        <f>IFERROR(IF(AND(ISNUMBER(D3131),ISNUMBER(E3131)),D3131-E3131,""),"")</f>
        <v/>
      </c>
    </row>
    <row r="3132">
      <c r="A3132" s="7">
        <f>IFERROR(Datos!A3132,"")</f>
        <v/>
      </c>
      <c r="B3132" s="8">
        <f>IFERROR(Datos!B3132,"")</f>
        <v/>
      </c>
      <c r="C3132" s="8">
        <f>IFERROR(Datos!C3132,"")</f>
        <v/>
      </c>
      <c r="D3132" s="28">
        <f>IFERROR(IF(AND(ISNUMBER(B3132),ISNUMBER(B3131),B3131&lt;&gt;0),B3132/B3131-1,""),"")</f>
        <v/>
      </c>
      <c r="E3132" s="28">
        <f>IFERROR(IF(AND(ISNUMBER(C3132),ISNUMBER(C3131),C3131&lt;&gt;0),C3132/C3131-1,""),"")</f>
        <v/>
      </c>
      <c r="F3132" s="28">
        <f>IFERROR(D3132-Dashboard!$B$4/252,"")</f>
        <v/>
      </c>
      <c r="G3132" s="28">
        <f>IFERROR(E3132-Dashboard!$B$4/252,"")</f>
        <v/>
      </c>
      <c r="H3132" s="8">
        <f>IFERROR(IF(ISNUMBER(B3132),MAX(B3132,IFERROR(H3131,B3132)),""),"")</f>
        <v/>
      </c>
      <c r="I3132" s="29">
        <f>IFERROR(IF(AND(ISNUMBER(B3132),ISNUMBER(H3132)),B3132/H3132-1,""),"")</f>
        <v/>
      </c>
      <c r="J3132" s="8">
        <f>IFERROR(IF(ISNUMBER(C3132),MAX(C3132,IFERROR(J3131,C3132)),""),"")</f>
        <v/>
      </c>
      <c r="K3132" s="29">
        <f>IFERROR(IF(AND(ISNUMBER(C3132),ISNUMBER(J3132)),C3132/J3132-1,""),"")</f>
        <v/>
      </c>
      <c r="L3132" s="28">
        <f>IFERROR(IF(AND(ISNUMBER(D3132),ISNUMBER(E3132)),D3132-E3132,""),"")</f>
        <v/>
      </c>
    </row>
    <row r="3133">
      <c r="A3133" s="7">
        <f>IFERROR(Datos!A3133,"")</f>
        <v/>
      </c>
      <c r="B3133" s="8">
        <f>IFERROR(Datos!B3133,"")</f>
        <v/>
      </c>
      <c r="C3133" s="8">
        <f>IFERROR(Datos!C3133,"")</f>
        <v/>
      </c>
      <c r="D3133" s="28">
        <f>IFERROR(IF(AND(ISNUMBER(B3133),ISNUMBER(B3132),B3132&lt;&gt;0),B3133/B3132-1,""),"")</f>
        <v/>
      </c>
      <c r="E3133" s="28">
        <f>IFERROR(IF(AND(ISNUMBER(C3133),ISNUMBER(C3132),C3132&lt;&gt;0),C3133/C3132-1,""),"")</f>
        <v/>
      </c>
      <c r="F3133" s="28">
        <f>IFERROR(D3133-Dashboard!$B$4/252,"")</f>
        <v/>
      </c>
      <c r="G3133" s="28">
        <f>IFERROR(E3133-Dashboard!$B$4/252,"")</f>
        <v/>
      </c>
      <c r="H3133" s="8">
        <f>IFERROR(IF(ISNUMBER(B3133),MAX(B3133,IFERROR(H3132,B3133)),""),"")</f>
        <v/>
      </c>
      <c r="I3133" s="29">
        <f>IFERROR(IF(AND(ISNUMBER(B3133),ISNUMBER(H3133)),B3133/H3133-1,""),"")</f>
        <v/>
      </c>
      <c r="J3133" s="8">
        <f>IFERROR(IF(ISNUMBER(C3133),MAX(C3133,IFERROR(J3132,C3133)),""),"")</f>
        <v/>
      </c>
      <c r="K3133" s="29">
        <f>IFERROR(IF(AND(ISNUMBER(C3133),ISNUMBER(J3133)),C3133/J3133-1,""),"")</f>
        <v/>
      </c>
      <c r="L3133" s="28">
        <f>IFERROR(IF(AND(ISNUMBER(D3133),ISNUMBER(E3133)),D3133-E3133,""),"")</f>
        <v/>
      </c>
    </row>
    <row r="3134">
      <c r="A3134" s="7">
        <f>IFERROR(Datos!A3134,"")</f>
        <v/>
      </c>
      <c r="B3134" s="8">
        <f>IFERROR(Datos!B3134,"")</f>
        <v/>
      </c>
      <c r="C3134" s="8">
        <f>IFERROR(Datos!C3134,"")</f>
        <v/>
      </c>
      <c r="D3134" s="28">
        <f>IFERROR(IF(AND(ISNUMBER(B3134),ISNUMBER(B3133),B3133&lt;&gt;0),B3134/B3133-1,""),"")</f>
        <v/>
      </c>
      <c r="E3134" s="28">
        <f>IFERROR(IF(AND(ISNUMBER(C3134),ISNUMBER(C3133),C3133&lt;&gt;0),C3134/C3133-1,""),"")</f>
        <v/>
      </c>
      <c r="F3134" s="28">
        <f>IFERROR(D3134-Dashboard!$B$4/252,"")</f>
        <v/>
      </c>
      <c r="G3134" s="28">
        <f>IFERROR(E3134-Dashboard!$B$4/252,"")</f>
        <v/>
      </c>
      <c r="H3134" s="8">
        <f>IFERROR(IF(ISNUMBER(B3134),MAX(B3134,IFERROR(H3133,B3134)),""),"")</f>
        <v/>
      </c>
      <c r="I3134" s="29">
        <f>IFERROR(IF(AND(ISNUMBER(B3134),ISNUMBER(H3134)),B3134/H3134-1,""),"")</f>
        <v/>
      </c>
      <c r="J3134" s="8">
        <f>IFERROR(IF(ISNUMBER(C3134),MAX(C3134,IFERROR(J3133,C3134)),""),"")</f>
        <v/>
      </c>
      <c r="K3134" s="29">
        <f>IFERROR(IF(AND(ISNUMBER(C3134),ISNUMBER(J3134)),C3134/J3134-1,""),"")</f>
        <v/>
      </c>
      <c r="L3134" s="28">
        <f>IFERROR(IF(AND(ISNUMBER(D3134),ISNUMBER(E3134)),D3134-E3134,""),"")</f>
        <v/>
      </c>
    </row>
    <row r="3135">
      <c r="A3135" s="7">
        <f>IFERROR(Datos!A3135,"")</f>
        <v/>
      </c>
      <c r="B3135" s="8">
        <f>IFERROR(Datos!B3135,"")</f>
        <v/>
      </c>
      <c r="C3135" s="8">
        <f>IFERROR(Datos!C3135,"")</f>
        <v/>
      </c>
      <c r="D3135" s="28">
        <f>IFERROR(IF(AND(ISNUMBER(B3135),ISNUMBER(B3134),B3134&lt;&gt;0),B3135/B3134-1,""),"")</f>
        <v/>
      </c>
      <c r="E3135" s="28">
        <f>IFERROR(IF(AND(ISNUMBER(C3135),ISNUMBER(C3134),C3134&lt;&gt;0),C3135/C3134-1,""),"")</f>
        <v/>
      </c>
      <c r="F3135" s="28">
        <f>IFERROR(D3135-Dashboard!$B$4/252,"")</f>
        <v/>
      </c>
      <c r="G3135" s="28">
        <f>IFERROR(E3135-Dashboard!$B$4/252,"")</f>
        <v/>
      </c>
      <c r="H3135" s="8">
        <f>IFERROR(IF(ISNUMBER(B3135),MAX(B3135,IFERROR(H3134,B3135)),""),"")</f>
        <v/>
      </c>
      <c r="I3135" s="29">
        <f>IFERROR(IF(AND(ISNUMBER(B3135),ISNUMBER(H3135)),B3135/H3135-1,""),"")</f>
        <v/>
      </c>
      <c r="J3135" s="8">
        <f>IFERROR(IF(ISNUMBER(C3135),MAX(C3135,IFERROR(J3134,C3135)),""),"")</f>
        <v/>
      </c>
      <c r="K3135" s="29">
        <f>IFERROR(IF(AND(ISNUMBER(C3135),ISNUMBER(J3135)),C3135/J3135-1,""),"")</f>
        <v/>
      </c>
      <c r="L3135" s="28">
        <f>IFERROR(IF(AND(ISNUMBER(D3135),ISNUMBER(E3135)),D3135-E3135,""),"")</f>
        <v/>
      </c>
    </row>
    <row r="3136">
      <c r="A3136" s="7">
        <f>IFERROR(Datos!A3136,"")</f>
        <v/>
      </c>
      <c r="B3136" s="8">
        <f>IFERROR(Datos!B3136,"")</f>
        <v/>
      </c>
      <c r="C3136" s="8">
        <f>IFERROR(Datos!C3136,"")</f>
        <v/>
      </c>
      <c r="D3136" s="28">
        <f>IFERROR(IF(AND(ISNUMBER(B3136),ISNUMBER(B3135),B3135&lt;&gt;0),B3136/B3135-1,""),"")</f>
        <v/>
      </c>
      <c r="E3136" s="28">
        <f>IFERROR(IF(AND(ISNUMBER(C3136),ISNUMBER(C3135),C3135&lt;&gt;0),C3136/C3135-1,""),"")</f>
        <v/>
      </c>
      <c r="F3136" s="28">
        <f>IFERROR(D3136-Dashboard!$B$4/252,"")</f>
        <v/>
      </c>
      <c r="G3136" s="28">
        <f>IFERROR(E3136-Dashboard!$B$4/252,"")</f>
        <v/>
      </c>
      <c r="H3136" s="8">
        <f>IFERROR(IF(ISNUMBER(B3136),MAX(B3136,IFERROR(H3135,B3136)),""),"")</f>
        <v/>
      </c>
      <c r="I3136" s="29">
        <f>IFERROR(IF(AND(ISNUMBER(B3136),ISNUMBER(H3136)),B3136/H3136-1,""),"")</f>
        <v/>
      </c>
      <c r="J3136" s="8">
        <f>IFERROR(IF(ISNUMBER(C3136),MAX(C3136,IFERROR(J3135,C3136)),""),"")</f>
        <v/>
      </c>
      <c r="K3136" s="29">
        <f>IFERROR(IF(AND(ISNUMBER(C3136),ISNUMBER(J3136)),C3136/J3136-1,""),"")</f>
        <v/>
      </c>
      <c r="L3136" s="28">
        <f>IFERROR(IF(AND(ISNUMBER(D3136),ISNUMBER(E3136)),D3136-E3136,""),"")</f>
        <v/>
      </c>
    </row>
    <row r="3137">
      <c r="A3137" s="7">
        <f>IFERROR(Datos!A3137,"")</f>
        <v/>
      </c>
      <c r="B3137" s="8">
        <f>IFERROR(Datos!B3137,"")</f>
        <v/>
      </c>
      <c r="C3137" s="8">
        <f>IFERROR(Datos!C3137,"")</f>
        <v/>
      </c>
      <c r="D3137" s="28">
        <f>IFERROR(IF(AND(ISNUMBER(B3137),ISNUMBER(B3136),B3136&lt;&gt;0),B3137/B3136-1,""),"")</f>
        <v/>
      </c>
      <c r="E3137" s="28">
        <f>IFERROR(IF(AND(ISNUMBER(C3137),ISNUMBER(C3136),C3136&lt;&gt;0),C3137/C3136-1,""),"")</f>
        <v/>
      </c>
      <c r="F3137" s="28">
        <f>IFERROR(D3137-Dashboard!$B$4/252,"")</f>
        <v/>
      </c>
      <c r="G3137" s="28">
        <f>IFERROR(E3137-Dashboard!$B$4/252,"")</f>
        <v/>
      </c>
      <c r="H3137" s="8">
        <f>IFERROR(IF(ISNUMBER(B3137),MAX(B3137,IFERROR(H3136,B3137)),""),"")</f>
        <v/>
      </c>
      <c r="I3137" s="29">
        <f>IFERROR(IF(AND(ISNUMBER(B3137),ISNUMBER(H3137)),B3137/H3137-1,""),"")</f>
        <v/>
      </c>
      <c r="J3137" s="8">
        <f>IFERROR(IF(ISNUMBER(C3137),MAX(C3137,IFERROR(J3136,C3137)),""),"")</f>
        <v/>
      </c>
      <c r="K3137" s="29">
        <f>IFERROR(IF(AND(ISNUMBER(C3137),ISNUMBER(J3137)),C3137/J3137-1,""),"")</f>
        <v/>
      </c>
      <c r="L3137" s="28">
        <f>IFERROR(IF(AND(ISNUMBER(D3137),ISNUMBER(E3137)),D3137-E3137,""),"")</f>
        <v/>
      </c>
    </row>
    <row r="3138">
      <c r="A3138" s="7">
        <f>IFERROR(Datos!A3138,"")</f>
        <v/>
      </c>
      <c r="B3138" s="8">
        <f>IFERROR(Datos!B3138,"")</f>
        <v/>
      </c>
      <c r="C3138" s="8">
        <f>IFERROR(Datos!C3138,"")</f>
        <v/>
      </c>
      <c r="D3138" s="28">
        <f>IFERROR(IF(AND(ISNUMBER(B3138),ISNUMBER(B3137),B3137&lt;&gt;0),B3138/B3137-1,""),"")</f>
        <v/>
      </c>
      <c r="E3138" s="28">
        <f>IFERROR(IF(AND(ISNUMBER(C3138),ISNUMBER(C3137),C3137&lt;&gt;0),C3138/C3137-1,""),"")</f>
        <v/>
      </c>
      <c r="F3138" s="28">
        <f>IFERROR(D3138-Dashboard!$B$4/252,"")</f>
        <v/>
      </c>
      <c r="G3138" s="28">
        <f>IFERROR(E3138-Dashboard!$B$4/252,"")</f>
        <v/>
      </c>
      <c r="H3138" s="8">
        <f>IFERROR(IF(ISNUMBER(B3138),MAX(B3138,IFERROR(H3137,B3138)),""),"")</f>
        <v/>
      </c>
      <c r="I3138" s="29">
        <f>IFERROR(IF(AND(ISNUMBER(B3138),ISNUMBER(H3138)),B3138/H3138-1,""),"")</f>
        <v/>
      </c>
      <c r="J3138" s="8">
        <f>IFERROR(IF(ISNUMBER(C3138),MAX(C3138,IFERROR(J3137,C3138)),""),"")</f>
        <v/>
      </c>
      <c r="K3138" s="29">
        <f>IFERROR(IF(AND(ISNUMBER(C3138),ISNUMBER(J3138)),C3138/J3138-1,""),"")</f>
        <v/>
      </c>
      <c r="L3138" s="28">
        <f>IFERROR(IF(AND(ISNUMBER(D3138),ISNUMBER(E3138)),D3138-E3138,""),"")</f>
        <v/>
      </c>
    </row>
    <row r="3139">
      <c r="A3139" s="7">
        <f>IFERROR(Datos!A3139,"")</f>
        <v/>
      </c>
      <c r="B3139" s="8">
        <f>IFERROR(Datos!B3139,"")</f>
        <v/>
      </c>
      <c r="C3139" s="8">
        <f>IFERROR(Datos!C3139,"")</f>
        <v/>
      </c>
      <c r="D3139" s="28">
        <f>IFERROR(IF(AND(ISNUMBER(B3139),ISNUMBER(B3138),B3138&lt;&gt;0),B3139/B3138-1,""),"")</f>
        <v/>
      </c>
      <c r="E3139" s="28">
        <f>IFERROR(IF(AND(ISNUMBER(C3139),ISNUMBER(C3138),C3138&lt;&gt;0),C3139/C3138-1,""),"")</f>
        <v/>
      </c>
      <c r="F3139" s="28">
        <f>IFERROR(D3139-Dashboard!$B$4/252,"")</f>
        <v/>
      </c>
      <c r="G3139" s="28">
        <f>IFERROR(E3139-Dashboard!$B$4/252,"")</f>
        <v/>
      </c>
      <c r="H3139" s="8">
        <f>IFERROR(IF(ISNUMBER(B3139),MAX(B3139,IFERROR(H3138,B3139)),""),"")</f>
        <v/>
      </c>
      <c r="I3139" s="29">
        <f>IFERROR(IF(AND(ISNUMBER(B3139),ISNUMBER(H3139)),B3139/H3139-1,""),"")</f>
        <v/>
      </c>
      <c r="J3139" s="8">
        <f>IFERROR(IF(ISNUMBER(C3139),MAX(C3139,IFERROR(J3138,C3139)),""),"")</f>
        <v/>
      </c>
      <c r="K3139" s="29">
        <f>IFERROR(IF(AND(ISNUMBER(C3139),ISNUMBER(J3139)),C3139/J3139-1,""),"")</f>
        <v/>
      </c>
      <c r="L3139" s="28">
        <f>IFERROR(IF(AND(ISNUMBER(D3139),ISNUMBER(E3139)),D3139-E3139,""),"")</f>
        <v/>
      </c>
    </row>
    <row r="3140">
      <c r="A3140" s="7">
        <f>IFERROR(Datos!A3140,"")</f>
        <v/>
      </c>
      <c r="B3140" s="8">
        <f>IFERROR(Datos!B3140,"")</f>
        <v/>
      </c>
      <c r="C3140" s="8">
        <f>IFERROR(Datos!C3140,"")</f>
        <v/>
      </c>
      <c r="D3140" s="28">
        <f>IFERROR(IF(AND(ISNUMBER(B3140),ISNUMBER(B3139),B3139&lt;&gt;0),B3140/B3139-1,""),"")</f>
        <v/>
      </c>
      <c r="E3140" s="28">
        <f>IFERROR(IF(AND(ISNUMBER(C3140),ISNUMBER(C3139),C3139&lt;&gt;0),C3140/C3139-1,""),"")</f>
        <v/>
      </c>
      <c r="F3140" s="28">
        <f>IFERROR(D3140-Dashboard!$B$4/252,"")</f>
        <v/>
      </c>
      <c r="G3140" s="28">
        <f>IFERROR(E3140-Dashboard!$B$4/252,"")</f>
        <v/>
      </c>
      <c r="H3140" s="8">
        <f>IFERROR(IF(ISNUMBER(B3140),MAX(B3140,IFERROR(H3139,B3140)),""),"")</f>
        <v/>
      </c>
      <c r="I3140" s="29">
        <f>IFERROR(IF(AND(ISNUMBER(B3140),ISNUMBER(H3140)),B3140/H3140-1,""),"")</f>
        <v/>
      </c>
      <c r="J3140" s="8">
        <f>IFERROR(IF(ISNUMBER(C3140),MAX(C3140,IFERROR(J3139,C3140)),""),"")</f>
        <v/>
      </c>
      <c r="K3140" s="29">
        <f>IFERROR(IF(AND(ISNUMBER(C3140),ISNUMBER(J3140)),C3140/J3140-1,""),"")</f>
        <v/>
      </c>
      <c r="L3140" s="28">
        <f>IFERROR(IF(AND(ISNUMBER(D3140),ISNUMBER(E3140)),D3140-E3140,""),"")</f>
        <v/>
      </c>
    </row>
    <row r="3141">
      <c r="A3141" s="7">
        <f>IFERROR(Datos!A3141,"")</f>
        <v/>
      </c>
      <c r="B3141" s="8">
        <f>IFERROR(Datos!B3141,"")</f>
        <v/>
      </c>
      <c r="C3141" s="8">
        <f>IFERROR(Datos!C3141,"")</f>
        <v/>
      </c>
      <c r="D3141" s="28">
        <f>IFERROR(IF(AND(ISNUMBER(B3141),ISNUMBER(B3140),B3140&lt;&gt;0),B3141/B3140-1,""),"")</f>
        <v/>
      </c>
      <c r="E3141" s="28">
        <f>IFERROR(IF(AND(ISNUMBER(C3141),ISNUMBER(C3140),C3140&lt;&gt;0),C3141/C3140-1,""),"")</f>
        <v/>
      </c>
      <c r="F3141" s="28">
        <f>IFERROR(D3141-Dashboard!$B$4/252,"")</f>
        <v/>
      </c>
      <c r="G3141" s="28">
        <f>IFERROR(E3141-Dashboard!$B$4/252,"")</f>
        <v/>
      </c>
      <c r="H3141" s="8">
        <f>IFERROR(IF(ISNUMBER(B3141),MAX(B3141,IFERROR(H3140,B3141)),""),"")</f>
        <v/>
      </c>
      <c r="I3141" s="29">
        <f>IFERROR(IF(AND(ISNUMBER(B3141),ISNUMBER(H3141)),B3141/H3141-1,""),"")</f>
        <v/>
      </c>
      <c r="J3141" s="8">
        <f>IFERROR(IF(ISNUMBER(C3141),MAX(C3141,IFERROR(J3140,C3141)),""),"")</f>
        <v/>
      </c>
      <c r="K3141" s="29">
        <f>IFERROR(IF(AND(ISNUMBER(C3141),ISNUMBER(J3141)),C3141/J3141-1,""),"")</f>
        <v/>
      </c>
      <c r="L3141" s="28">
        <f>IFERROR(IF(AND(ISNUMBER(D3141),ISNUMBER(E3141)),D3141-E3141,""),"")</f>
        <v/>
      </c>
    </row>
    <row r="3142">
      <c r="A3142" s="7">
        <f>IFERROR(Datos!A3142,"")</f>
        <v/>
      </c>
      <c r="B3142" s="8">
        <f>IFERROR(Datos!B3142,"")</f>
        <v/>
      </c>
      <c r="C3142" s="8">
        <f>IFERROR(Datos!C3142,"")</f>
        <v/>
      </c>
      <c r="D3142" s="28">
        <f>IFERROR(IF(AND(ISNUMBER(B3142),ISNUMBER(B3141),B3141&lt;&gt;0),B3142/B3141-1,""),"")</f>
        <v/>
      </c>
      <c r="E3142" s="28">
        <f>IFERROR(IF(AND(ISNUMBER(C3142),ISNUMBER(C3141),C3141&lt;&gt;0),C3142/C3141-1,""),"")</f>
        <v/>
      </c>
      <c r="F3142" s="28">
        <f>IFERROR(D3142-Dashboard!$B$4/252,"")</f>
        <v/>
      </c>
      <c r="G3142" s="28">
        <f>IFERROR(E3142-Dashboard!$B$4/252,"")</f>
        <v/>
      </c>
      <c r="H3142" s="8">
        <f>IFERROR(IF(ISNUMBER(B3142),MAX(B3142,IFERROR(H3141,B3142)),""),"")</f>
        <v/>
      </c>
      <c r="I3142" s="29">
        <f>IFERROR(IF(AND(ISNUMBER(B3142),ISNUMBER(H3142)),B3142/H3142-1,""),"")</f>
        <v/>
      </c>
      <c r="J3142" s="8">
        <f>IFERROR(IF(ISNUMBER(C3142),MAX(C3142,IFERROR(J3141,C3142)),""),"")</f>
        <v/>
      </c>
      <c r="K3142" s="29">
        <f>IFERROR(IF(AND(ISNUMBER(C3142),ISNUMBER(J3142)),C3142/J3142-1,""),"")</f>
        <v/>
      </c>
      <c r="L3142" s="28">
        <f>IFERROR(IF(AND(ISNUMBER(D3142),ISNUMBER(E3142)),D3142-E3142,""),"")</f>
        <v/>
      </c>
    </row>
    <row r="3143">
      <c r="A3143" s="7">
        <f>IFERROR(Datos!A3143,"")</f>
        <v/>
      </c>
      <c r="B3143" s="8">
        <f>IFERROR(Datos!B3143,"")</f>
        <v/>
      </c>
      <c r="C3143" s="8">
        <f>IFERROR(Datos!C3143,"")</f>
        <v/>
      </c>
      <c r="D3143" s="28">
        <f>IFERROR(IF(AND(ISNUMBER(B3143),ISNUMBER(B3142),B3142&lt;&gt;0),B3143/B3142-1,""),"")</f>
        <v/>
      </c>
      <c r="E3143" s="28">
        <f>IFERROR(IF(AND(ISNUMBER(C3143),ISNUMBER(C3142),C3142&lt;&gt;0),C3143/C3142-1,""),"")</f>
        <v/>
      </c>
      <c r="F3143" s="28">
        <f>IFERROR(D3143-Dashboard!$B$4/252,"")</f>
        <v/>
      </c>
      <c r="G3143" s="28">
        <f>IFERROR(E3143-Dashboard!$B$4/252,"")</f>
        <v/>
      </c>
      <c r="H3143" s="8">
        <f>IFERROR(IF(ISNUMBER(B3143),MAX(B3143,IFERROR(H3142,B3143)),""),"")</f>
        <v/>
      </c>
      <c r="I3143" s="29">
        <f>IFERROR(IF(AND(ISNUMBER(B3143),ISNUMBER(H3143)),B3143/H3143-1,""),"")</f>
        <v/>
      </c>
      <c r="J3143" s="8">
        <f>IFERROR(IF(ISNUMBER(C3143),MAX(C3143,IFERROR(J3142,C3143)),""),"")</f>
        <v/>
      </c>
      <c r="K3143" s="29">
        <f>IFERROR(IF(AND(ISNUMBER(C3143),ISNUMBER(J3143)),C3143/J3143-1,""),"")</f>
        <v/>
      </c>
      <c r="L3143" s="28">
        <f>IFERROR(IF(AND(ISNUMBER(D3143),ISNUMBER(E3143)),D3143-E3143,""),"")</f>
        <v/>
      </c>
    </row>
    <row r="3144">
      <c r="A3144" s="7">
        <f>IFERROR(Datos!A3144,"")</f>
        <v/>
      </c>
      <c r="B3144" s="8">
        <f>IFERROR(Datos!B3144,"")</f>
        <v/>
      </c>
      <c r="C3144" s="8">
        <f>IFERROR(Datos!C3144,"")</f>
        <v/>
      </c>
      <c r="D3144" s="28">
        <f>IFERROR(IF(AND(ISNUMBER(B3144),ISNUMBER(B3143),B3143&lt;&gt;0),B3144/B3143-1,""),"")</f>
        <v/>
      </c>
      <c r="E3144" s="28">
        <f>IFERROR(IF(AND(ISNUMBER(C3144),ISNUMBER(C3143),C3143&lt;&gt;0),C3144/C3143-1,""),"")</f>
        <v/>
      </c>
      <c r="F3144" s="28">
        <f>IFERROR(D3144-Dashboard!$B$4/252,"")</f>
        <v/>
      </c>
      <c r="G3144" s="28">
        <f>IFERROR(E3144-Dashboard!$B$4/252,"")</f>
        <v/>
      </c>
      <c r="H3144" s="8">
        <f>IFERROR(IF(ISNUMBER(B3144),MAX(B3144,IFERROR(H3143,B3144)),""),"")</f>
        <v/>
      </c>
      <c r="I3144" s="29">
        <f>IFERROR(IF(AND(ISNUMBER(B3144),ISNUMBER(H3144)),B3144/H3144-1,""),"")</f>
        <v/>
      </c>
      <c r="J3144" s="8">
        <f>IFERROR(IF(ISNUMBER(C3144),MAX(C3144,IFERROR(J3143,C3144)),""),"")</f>
        <v/>
      </c>
      <c r="K3144" s="29">
        <f>IFERROR(IF(AND(ISNUMBER(C3144),ISNUMBER(J3144)),C3144/J3144-1,""),"")</f>
        <v/>
      </c>
      <c r="L3144" s="28">
        <f>IFERROR(IF(AND(ISNUMBER(D3144),ISNUMBER(E3144)),D3144-E3144,""),"")</f>
        <v/>
      </c>
    </row>
    <row r="3145">
      <c r="A3145" s="7">
        <f>IFERROR(Datos!A3145,"")</f>
        <v/>
      </c>
      <c r="B3145" s="8">
        <f>IFERROR(Datos!B3145,"")</f>
        <v/>
      </c>
      <c r="C3145" s="8">
        <f>IFERROR(Datos!C3145,"")</f>
        <v/>
      </c>
      <c r="D3145" s="28">
        <f>IFERROR(IF(AND(ISNUMBER(B3145),ISNUMBER(B3144),B3144&lt;&gt;0),B3145/B3144-1,""),"")</f>
        <v/>
      </c>
      <c r="E3145" s="28">
        <f>IFERROR(IF(AND(ISNUMBER(C3145),ISNUMBER(C3144),C3144&lt;&gt;0),C3145/C3144-1,""),"")</f>
        <v/>
      </c>
      <c r="F3145" s="28">
        <f>IFERROR(D3145-Dashboard!$B$4/252,"")</f>
        <v/>
      </c>
      <c r="G3145" s="28">
        <f>IFERROR(E3145-Dashboard!$B$4/252,"")</f>
        <v/>
      </c>
      <c r="H3145" s="8">
        <f>IFERROR(IF(ISNUMBER(B3145),MAX(B3145,IFERROR(H3144,B3145)),""),"")</f>
        <v/>
      </c>
      <c r="I3145" s="29">
        <f>IFERROR(IF(AND(ISNUMBER(B3145),ISNUMBER(H3145)),B3145/H3145-1,""),"")</f>
        <v/>
      </c>
      <c r="J3145" s="8">
        <f>IFERROR(IF(ISNUMBER(C3145),MAX(C3145,IFERROR(J3144,C3145)),""),"")</f>
        <v/>
      </c>
      <c r="K3145" s="29">
        <f>IFERROR(IF(AND(ISNUMBER(C3145),ISNUMBER(J3145)),C3145/J3145-1,""),"")</f>
        <v/>
      </c>
      <c r="L3145" s="28">
        <f>IFERROR(IF(AND(ISNUMBER(D3145),ISNUMBER(E3145)),D3145-E3145,""),"")</f>
        <v/>
      </c>
    </row>
    <row r="3146">
      <c r="A3146" s="7">
        <f>IFERROR(Datos!A3146,"")</f>
        <v/>
      </c>
      <c r="B3146" s="8">
        <f>IFERROR(Datos!B3146,"")</f>
        <v/>
      </c>
      <c r="C3146" s="8">
        <f>IFERROR(Datos!C3146,"")</f>
        <v/>
      </c>
      <c r="D3146" s="28">
        <f>IFERROR(IF(AND(ISNUMBER(B3146),ISNUMBER(B3145),B3145&lt;&gt;0),B3146/B3145-1,""),"")</f>
        <v/>
      </c>
      <c r="E3146" s="28">
        <f>IFERROR(IF(AND(ISNUMBER(C3146),ISNUMBER(C3145),C3145&lt;&gt;0),C3146/C3145-1,""),"")</f>
        <v/>
      </c>
      <c r="F3146" s="28">
        <f>IFERROR(D3146-Dashboard!$B$4/252,"")</f>
        <v/>
      </c>
      <c r="G3146" s="28">
        <f>IFERROR(E3146-Dashboard!$B$4/252,"")</f>
        <v/>
      </c>
      <c r="H3146" s="8">
        <f>IFERROR(IF(ISNUMBER(B3146),MAX(B3146,IFERROR(H3145,B3146)),""),"")</f>
        <v/>
      </c>
      <c r="I3146" s="29">
        <f>IFERROR(IF(AND(ISNUMBER(B3146),ISNUMBER(H3146)),B3146/H3146-1,""),"")</f>
        <v/>
      </c>
      <c r="J3146" s="8">
        <f>IFERROR(IF(ISNUMBER(C3146),MAX(C3146,IFERROR(J3145,C3146)),""),"")</f>
        <v/>
      </c>
      <c r="K3146" s="29">
        <f>IFERROR(IF(AND(ISNUMBER(C3146),ISNUMBER(J3146)),C3146/J3146-1,""),"")</f>
        <v/>
      </c>
      <c r="L3146" s="28">
        <f>IFERROR(IF(AND(ISNUMBER(D3146),ISNUMBER(E3146)),D3146-E3146,""),"")</f>
        <v/>
      </c>
    </row>
    <row r="3147">
      <c r="A3147" s="7">
        <f>IFERROR(Datos!A3147,"")</f>
        <v/>
      </c>
      <c r="B3147" s="8">
        <f>IFERROR(Datos!B3147,"")</f>
        <v/>
      </c>
      <c r="C3147" s="8">
        <f>IFERROR(Datos!C3147,"")</f>
        <v/>
      </c>
      <c r="D3147" s="28">
        <f>IFERROR(IF(AND(ISNUMBER(B3147),ISNUMBER(B3146),B3146&lt;&gt;0),B3147/B3146-1,""),"")</f>
        <v/>
      </c>
      <c r="E3147" s="28">
        <f>IFERROR(IF(AND(ISNUMBER(C3147),ISNUMBER(C3146),C3146&lt;&gt;0),C3147/C3146-1,""),"")</f>
        <v/>
      </c>
      <c r="F3147" s="28">
        <f>IFERROR(D3147-Dashboard!$B$4/252,"")</f>
        <v/>
      </c>
      <c r="G3147" s="28">
        <f>IFERROR(E3147-Dashboard!$B$4/252,"")</f>
        <v/>
      </c>
      <c r="H3147" s="8">
        <f>IFERROR(IF(ISNUMBER(B3147),MAX(B3147,IFERROR(H3146,B3147)),""),"")</f>
        <v/>
      </c>
      <c r="I3147" s="29">
        <f>IFERROR(IF(AND(ISNUMBER(B3147),ISNUMBER(H3147)),B3147/H3147-1,""),"")</f>
        <v/>
      </c>
      <c r="J3147" s="8">
        <f>IFERROR(IF(ISNUMBER(C3147),MAX(C3147,IFERROR(J3146,C3147)),""),"")</f>
        <v/>
      </c>
      <c r="K3147" s="29">
        <f>IFERROR(IF(AND(ISNUMBER(C3147),ISNUMBER(J3147)),C3147/J3147-1,""),"")</f>
        <v/>
      </c>
      <c r="L3147" s="28">
        <f>IFERROR(IF(AND(ISNUMBER(D3147),ISNUMBER(E3147)),D3147-E3147,""),"")</f>
        <v/>
      </c>
    </row>
    <row r="3148">
      <c r="A3148" s="7">
        <f>IFERROR(Datos!A3148,"")</f>
        <v/>
      </c>
      <c r="B3148" s="8">
        <f>IFERROR(Datos!B3148,"")</f>
        <v/>
      </c>
      <c r="C3148" s="8">
        <f>IFERROR(Datos!C3148,"")</f>
        <v/>
      </c>
      <c r="D3148" s="28">
        <f>IFERROR(IF(AND(ISNUMBER(B3148),ISNUMBER(B3147),B3147&lt;&gt;0),B3148/B3147-1,""),"")</f>
        <v/>
      </c>
      <c r="E3148" s="28">
        <f>IFERROR(IF(AND(ISNUMBER(C3148),ISNUMBER(C3147),C3147&lt;&gt;0),C3148/C3147-1,""),"")</f>
        <v/>
      </c>
      <c r="F3148" s="28">
        <f>IFERROR(D3148-Dashboard!$B$4/252,"")</f>
        <v/>
      </c>
      <c r="G3148" s="28">
        <f>IFERROR(E3148-Dashboard!$B$4/252,"")</f>
        <v/>
      </c>
      <c r="H3148" s="8">
        <f>IFERROR(IF(ISNUMBER(B3148),MAX(B3148,IFERROR(H3147,B3148)),""),"")</f>
        <v/>
      </c>
      <c r="I3148" s="29">
        <f>IFERROR(IF(AND(ISNUMBER(B3148),ISNUMBER(H3148)),B3148/H3148-1,""),"")</f>
        <v/>
      </c>
      <c r="J3148" s="8">
        <f>IFERROR(IF(ISNUMBER(C3148),MAX(C3148,IFERROR(J3147,C3148)),""),"")</f>
        <v/>
      </c>
      <c r="K3148" s="29">
        <f>IFERROR(IF(AND(ISNUMBER(C3148),ISNUMBER(J3148)),C3148/J3148-1,""),"")</f>
        <v/>
      </c>
      <c r="L3148" s="28">
        <f>IFERROR(IF(AND(ISNUMBER(D3148),ISNUMBER(E3148)),D3148-E3148,""),"")</f>
        <v/>
      </c>
    </row>
    <row r="3149">
      <c r="A3149" s="7">
        <f>IFERROR(Datos!A3149,"")</f>
        <v/>
      </c>
      <c r="B3149" s="8">
        <f>IFERROR(Datos!B3149,"")</f>
        <v/>
      </c>
      <c r="C3149" s="8">
        <f>IFERROR(Datos!C3149,"")</f>
        <v/>
      </c>
      <c r="D3149" s="28">
        <f>IFERROR(IF(AND(ISNUMBER(B3149),ISNUMBER(B3148),B3148&lt;&gt;0),B3149/B3148-1,""),"")</f>
        <v/>
      </c>
      <c r="E3149" s="28">
        <f>IFERROR(IF(AND(ISNUMBER(C3149),ISNUMBER(C3148),C3148&lt;&gt;0),C3149/C3148-1,""),"")</f>
        <v/>
      </c>
      <c r="F3149" s="28">
        <f>IFERROR(D3149-Dashboard!$B$4/252,"")</f>
        <v/>
      </c>
      <c r="G3149" s="28">
        <f>IFERROR(E3149-Dashboard!$B$4/252,"")</f>
        <v/>
      </c>
      <c r="H3149" s="8">
        <f>IFERROR(IF(ISNUMBER(B3149),MAX(B3149,IFERROR(H3148,B3149)),""),"")</f>
        <v/>
      </c>
      <c r="I3149" s="29">
        <f>IFERROR(IF(AND(ISNUMBER(B3149),ISNUMBER(H3149)),B3149/H3149-1,""),"")</f>
        <v/>
      </c>
      <c r="J3149" s="8">
        <f>IFERROR(IF(ISNUMBER(C3149),MAX(C3149,IFERROR(J3148,C3149)),""),"")</f>
        <v/>
      </c>
      <c r="K3149" s="29">
        <f>IFERROR(IF(AND(ISNUMBER(C3149),ISNUMBER(J3149)),C3149/J3149-1,""),"")</f>
        <v/>
      </c>
      <c r="L3149" s="28">
        <f>IFERROR(IF(AND(ISNUMBER(D3149),ISNUMBER(E3149)),D3149-E3149,""),"")</f>
        <v/>
      </c>
    </row>
    <row r="3150">
      <c r="A3150" s="7">
        <f>IFERROR(Datos!A3150,"")</f>
        <v/>
      </c>
      <c r="B3150" s="8">
        <f>IFERROR(Datos!B3150,"")</f>
        <v/>
      </c>
      <c r="C3150" s="8">
        <f>IFERROR(Datos!C3150,"")</f>
        <v/>
      </c>
      <c r="D3150" s="28">
        <f>IFERROR(IF(AND(ISNUMBER(B3150),ISNUMBER(B3149),B3149&lt;&gt;0),B3150/B3149-1,""),"")</f>
        <v/>
      </c>
      <c r="E3150" s="28">
        <f>IFERROR(IF(AND(ISNUMBER(C3150),ISNUMBER(C3149),C3149&lt;&gt;0),C3150/C3149-1,""),"")</f>
        <v/>
      </c>
      <c r="F3150" s="28">
        <f>IFERROR(D3150-Dashboard!$B$4/252,"")</f>
        <v/>
      </c>
      <c r="G3150" s="28">
        <f>IFERROR(E3150-Dashboard!$B$4/252,"")</f>
        <v/>
      </c>
      <c r="H3150" s="8">
        <f>IFERROR(IF(ISNUMBER(B3150),MAX(B3150,IFERROR(H3149,B3150)),""),"")</f>
        <v/>
      </c>
      <c r="I3150" s="29">
        <f>IFERROR(IF(AND(ISNUMBER(B3150),ISNUMBER(H3150)),B3150/H3150-1,""),"")</f>
        <v/>
      </c>
      <c r="J3150" s="8">
        <f>IFERROR(IF(ISNUMBER(C3150),MAX(C3150,IFERROR(J3149,C3150)),""),"")</f>
        <v/>
      </c>
      <c r="K3150" s="29">
        <f>IFERROR(IF(AND(ISNUMBER(C3150),ISNUMBER(J3150)),C3150/J3150-1,""),"")</f>
        <v/>
      </c>
      <c r="L3150" s="28">
        <f>IFERROR(IF(AND(ISNUMBER(D3150),ISNUMBER(E3150)),D3150-E3150,""),"")</f>
        <v/>
      </c>
    </row>
    <row r="3151">
      <c r="A3151" s="7">
        <f>IFERROR(Datos!A3151,"")</f>
        <v/>
      </c>
      <c r="B3151" s="8">
        <f>IFERROR(Datos!B3151,"")</f>
        <v/>
      </c>
      <c r="C3151" s="8">
        <f>IFERROR(Datos!C3151,"")</f>
        <v/>
      </c>
      <c r="D3151" s="28">
        <f>IFERROR(IF(AND(ISNUMBER(B3151),ISNUMBER(B3150),B3150&lt;&gt;0),B3151/B3150-1,""),"")</f>
        <v/>
      </c>
      <c r="E3151" s="28">
        <f>IFERROR(IF(AND(ISNUMBER(C3151),ISNUMBER(C3150),C3150&lt;&gt;0),C3151/C3150-1,""),"")</f>
        <v/>
      </c>
      <c r="F3151" s="28">
        <f>IFERROR(D3151-Dashboard!$B$4/252,"")</f>
        <v/>
      </c>
      <c r="G3151" s="28">
        <f>IFERROR(E3151-Dashboard!$B$4/252,"")</f>
        <v/>
      </c>
      <c r="H3151" s="8">
        <f>IFERROR(IF(ISNUMBER(B3151),MAX(B3151,IFERROR(H3150,B3151)),""),"")</f>
        <v/>
      </c>
      <c r="I3151" s="29">
        <f>IFERROR(IF(AND(ISNUMBER(B3151),ISNUMBER(H3151)),B3151/H3151-1,""),"")</f>
        <v/>
      </c>
      <c r="J3151" s="8">
        <f>IFERROR(IF(ISNUMBER(C3151),MAX(C3151,IFERROR(J3150,C3151)),""),"")</f>
        <v/>
      </c>
      <c r="K3151" s="29">
        <f>IFERROR(IF(AND(ISNUMBER(C3151),ISNUMBER(J3151)),C3151/J3151-1,""),"")</f>
        <v/>
      </c>
      <c r="L3151" s="28">
        <f>IFERROR(IF(AND(ISNUMBER(D3151),ISNUMBER(E3151)),D3151-E3151,""),"")</f>
        <v/>
      </c>
    </row>
    <row r="3152">
      <c r="A3152" s="7">
        <f>IFERROR(Datos!A3152,"")</f>
        <v/>
      </c>
      <c r="B3152" s="8">
        <f>IFERROR(Datos!B3152,"")</f>
        <v/>
      </c>
      <c r="C3152" s="8">
        <f>IFERROR(Datos!C3152,"")</f>
        <v/>
      </c>
      <c r="D3152" s="28">
        <f>IFERROR(IF(AND(ISNUMBER(B3152),ISNUMBER(B3151),B3151&lt;&gt;0),B3152/B3151-1,""),"")</f>
        <v/>
      </c>
      <c r="E3152" s="28">
        <f>IFERROR(IF(AND(ISNUMBER(C3152),ISNUMBER(C3151),C3151&lt;&gt;0),C3152/C3151-1,""),"")</f>
        <v/>
      </c>
      <c r="F3152" s="28">
        <f>IFERROR(D3152-Dashboard!$B$4/252,"")</f>
        <v/>
      </c>
      <c r="G3152" s="28">
        <f>IFERROR(E3152-Dashboard!$B$4/252,"")</f>
        <v/>
      </c>
      <c r="H3152" s="8">
        <f>IFERROR(IF(ISNUMBER(B3152),MAX(B3152,IFERROR(H3151,B3152)),""),"")</f>
        <v/>
      </c>
      <c r="I3152" s="29">
        <f>IFERROR(IF(AND(ISNUMBER(B3152),ISNUMBER(H3152)),B3152/H3152-1,""),"")</f>
        <v/>
      </c>
      <c r="J3152" s="8">
        <f>IFERROR(IF(ISNUMBER(C3152),MAX(C3152,IFERROR(J3151,C3152)),""),"")</f>
        <v/>
      </c>
      <c r="K3152" s="29">
        <f>IFERROR(IF(AND(ISNUMBER(C3152),ISNUMBER(J3152)),C3152/J3152-1,""),"")</f>
        <v/>
      </c>
      <c r="L3152" s="28">
        <f>IFERROR(IF(AND(ISNUMBER(D3152),ISNUMBER(E3152)),D3152-E3152,""),"")</f>
        <v/>
      </c>
    </row>
    <row r="3153">
      <c r="A3153" s="7">
        <f>IFERROR(Datos!A3153,"")</f>
        <v/>
      </c>
      <c r="B3153" s="8">
        <f>IFERROR(Datos!B3153,"")</f>
        <v/>
      </c>
      <c r="C3153" s="8">
        <f>IFERROR(Datos!C3153,"")</f>
        <v/>
      </c>
      <c r="D3153" s="28">
        <f>IFERROR(IF(AND(ISNUMBER(B3153),ISNUMBER(B3152),B3152&lt;&gt;0),B3153/B3152-1,""),"")</f>
        <v/>
      </c>
      <c r="E3153" s="28">
        <f>IFERROR(IF(AND(ISNUMBER(C3153),ISNUMBER(C3152),C3152&lt;&gt;0),C3153/C3152-1,""),"")</f>
        <v/>
      </c>
      <c r="F3153" s="28">
        <f>IFERROR(D3153-Dashboard!$B$4/252,"")</f>
        <v/>
      </c>
      <c r="G3153" s="28">
        <f>IFERROR(E3153-Dashboard!$B$4/252,"")</f>
        <v/>
      </c>
      <c r="H3153" s="8">
        <f>IFERROR(IF(ISNUMBER(B3153),MAX(B3153,IFERROR(H3152,B3153)),""),"")</f>
        <v/>
      </c>
      <c r="I3153" s="29">
        <f>IFERROR(IF(AND(ISNUMBER(B3153),ISNUMBER(H3153)),B3153/H3153-1,""),"")</f>
        <v/>
      </c>
      <c r="J3153" s="8">
        <f>IFERROR(IF(ISNUMBER(C3153),MAX(C3153,IFERROR(J3152,C3153)),""),"")</f>
        <v/>
      </c>
      <c r="K3153" s="29">
        <f>IFERROR(IF(AND(ISNUMBER(C3153),ISNUMBER(J3153)),C3153/J3153-1,""),"")</f>
        <v/>
      </c>
      <c r="L3153" s="28">
        <f>IFERROR(IF(AND(ISNUMBER(D3153),ISNUMBER(E3153)),D3153-E3153,""),"")</f>
        <v/>
      </c>
    </row>
    <row r="3154">
      <c r="A3154" s="7">
        <f>IFERROR(Datos!A3154,"")</f>
        <v/>
      </c>
      <c r="B3154" s="8">
        <f>IFERROR(Datos!B3154,"")</f>
        <v/>
      </c>
      <c r="C3154" s="8">
        <f>IFERROR(Datos!C3154,"")</f>
        <v/>
      </c>
      <c r="D3154" s="28">
        <f>IFERROR(IF(AND(ISNUMBER(B3154),ISNUMBER(B3153),B3153&lt;&gt;0),B3154/B3153-1,""),"")</f>
        <v/>
      </c>
      <c r="E3154" s="28">
        <f>IFERROR(IF(AND(ISNUMBER(C3154),ISNUMBER(C3153),C3153&lt;&gt;0),C3154/C3153-1,""),"")</f>
        <v/>
      </c>
      <c r="F3154" s="28">
        <f>IFERROR(D3154-Dashboard!$B$4/252,"")</f>
        <v/>
      </c>
      <c r="G3154" s="28">
        <f>IFERROR(E3154-Dashboard!$B$4/252,"")</f>
        <v/>
      </c>
      <c r="H3154" s="8">
        <f>IFERROR(IF(ISNUMBER(B3154),MAX(B3154,IFERROR(H3153,B3154)),""),"")</f>
        <v/>
      </c>
      <c r="I3154" s="29">
        <f>IFERROR(IF(AND(ISNUMBER(B3154),ISNUMBER(H3154)),B3154/H3154-1,""),"")</f>
        <v/>
      </c>
      <c r="J3154" s="8">
        <f>IFERROR(IF(ISNUMBER(C3154),MAX(C3154,IFERROR(J3153,C3154)),""),"")</f>
        <v/>
      </c>
      <c r="K3154" s="29">
        <f>IFERROR(IF(AND(ISNUMBER(C3154),ISNUMBER(J3154)),C3154/J3154-1,""),"")</f>
        <v/>
      </c>
      <c r="L3154" s="28">
        <f>IFERROR(IF(AND(ISNUMBER(D3154),ISNUMBER(E3154)),D3154-E3154,""),"")</f>
        <v/>
      </c>
    </row>
    <row r="3155">
      <c r="A3155" s="7">
        <f>IFERROR(Datos!A3155,"")</f>
        <v/>
      </c>
      <c r="B3155" s="8">
        <f>IFERROR(Datos!B3155,"")</f>
        <v/>
      </c>
      <c r="C3155" s="8">
        <f>IFERROR(Datos!C3155,"")</f>
        <v/>
      </c>
      <c r="D3155" s="28">
        <f>IFERROR(IF(AND(ISNUMBER(B3155),ISNUMBER(B3154),B3154&lt;&gt;0),B3155/B3154-1,""),"")</f>
        <v/>
      </c>
      <c r="E3155" s="28">
        <f>IFERROR(IF(AND(ISNUMBER(C3155),ISNUMBER(C3154),C3154&lt;&gt;0),C3155/C3154-1,""),"")</f>
        <v/>
      </c>
      <c r="F3155" s="28">
        <f>IFERROR(D3155-Dashboard!$B$4/252,"")</f>
        <v/>
      </c>
      <c r="G3155" s="28">
        <f>IFERROR(E3155-Dashboard!$B$4/252,"")</f>
        <v/>
      </c>
      <c r="H3155" s="8">
        <f>IFERROR(IF(ISNUMBER(B3155),MAX(B3155,IFERROR(H3154,B3155)),""),"")</f>
        <v/>
      </c>
      <c r="I3155" s="29">
        <f>IFERROR(IF(AND(ISNUMBER(B3155),ISNUMBER(H3155)),B3155/H3155-1,""),"")</f>
        <v/>
      </c>
      <c r="J3155" s="8">
        <f>IFERROR(IF(ISNUMBER(C3155),MAX(C3155,IFERROR(J3154,C3155)),""),"")</f>
        <v/>
      </c>
      <c r="K3155" s="29">
        <f>IFERROR(IF(AND(ISNUMBER(C3155),ISNUMBER(J3155)),C3155/J3155-1,""),"")</f>
        <v/>
      </c>
      <c r="L3155" s="28">
        <f>IFERROR(IF(AND(ISNUMBER(D3155),ISNUMBER(E3155)),D3155-E3155,""),"")</f>
        <v/>
      </c>
    </row>
    <row r="3156">
      <c r="A3156" s="7">
        <f>IFERROR(Datos!A3156,"")</f>
        <v/>
      </c>
      <c r="B3156" s="8">
        <f>IFERROR(Datos!B3156,"")</f>
        <v/>
      </c>
      <c r="C3156" s="8">
        <f>IFERROR(Datos!C3156,"")</f>
        <v/>
      </c>
      <c r="D3156" s="28">
        <f>IFERROR(IF(AND(ISNUMBER(B3156),ISNUMBER(B3155),B3155&lt;&gt;0),B3156/B3155-1,""),"")</f>
        <v/>
      </c>
      <c r="E3156" s="28">
        <f>IFERROR(IF(AND(ISNUMBER(C3156),ISNUMBER(C3155),C3155&lt;&gt;0),C3156/C3155-1,""),"")</f>
        <v/>
      </c>
      <c r="F3156" s="28">
        <f>IFERROR(D3156-Dashboard!$B$4/252,"")</f>
        <v/>
      </c>
      <c r="G3156" s="28">
        <f>IFERROR(E3156-Dashboard!$B$4/252,"")</f>
        <v/>
      </c>
      <c r="H3156" s="8">
        <f>IFERROR(IF(ISNUMBER(B3156),MAX(B3156,IFERROR(H3155,B3156)),""),"")</f>
        <v/>
      </c>
      <c r="I3156" s="29">
        <f>IFERROR(IF(AND(ISNUMBER(B3156),ISNUMBER(H3156)),B3156/H3156-1,""),"")</f>
        <v/>
      </c>
      <c r="J3156" s="8">
        <f>IFERROR(IF(ISNUMBER(C3156),MAX(C3156,IFERROR(J3155,C3156)),""),"")</f>
        <v/>
      </c>
      <c r="K3156" s="29">
        <f>IFERROR(IF(AND(ISNUMBER(C3156),ISNUMBER(J3156)),C3156/J3156-1,""),"")</f>
        <v/>
      </c>
      <c r="L3156" s="28">
        <f>IFERROR(IF(AND(ISNUMBER(D3156),ISNUMBER(E3156)),D3156-E3156,""),"")</f>
        <v/>
      </c>
    </row>
    <row r="3157">
      <c r="A3157" s="7">
        <f>IFERROR(Datos!A3157,"")</f>
        <v/>
      </c>
      <c r="B3157" s="8">
        <f>IFERROR(Datos!B3157,"")</f>
        <v/>
      </c>
      <c r="C3157" s="8">
        <f>IFERROR(Datos!C3157,"")</f>
        <v/>
      </c>
      <c r="D3157" s="28">
        <f>IFERROR(IF(AND(ISNUMBER(B3157),ISNUMBER(B3156),B3156&lt;&gt;0),B3157/B3156-1,""),"")</f>
        <v/>
      </c>
      <c r="E3157" s="28">
        <f>IFERROR(IF(AND(ISNUMBER(C3157),ISNUMBER(C3156),C3156&lt;&gt;0),C3157/C3156-1,""),"")</f>
        <v/>
      </c>
      <c r="F3157" s="28">
        <f>IFERROR(D3157-Dashboard!$B$4/252,"")</f>
        <v/>
      </c>
      <c r="G3157" s="28">
        <f>IFERROR(E3157-Dashboard!$B$4/252,"")</f>
        <v/>
      </c>
      <c r="H3157" s="8">
        <f>IFERROR(IF(ISNUMBER(B3157),MAX(B3157,IFERROR(H3156,B3157)),""),"")</f>
        <v/>
      </c>
      <c r="I3157" s="29">
        <f>IFERROR(IF(AND(ISNUMBER(B3157),ISNUMBER(H3157)),B3157/H3157-1,""),"")</f>
        <v/>
      </c>
      <c r="J3157" s="8">
        <f>IFERROR(IF(ISNUMBER(C3157),MAX(C3157,IFERROR(J3156,C3157)),""),"")</f>
        <v/>
      </c>
      <c r="K3157" s="29">
        <f>IFERROR(IF(AND(ISNUMBER(C3157),ISNUMBER(J3157)),C3157/J3157-1,""),"")</f>
        <v/>
      </c>
      <c r="L3157" s="28">
        <f>IFERROR(IF(AND(ISNUMBER(D3157),ISNUMBER(E3157)),D3157-E3157,""),"")</f>
        <v/>
      </c>
    </row>
    <row r="3158">
      <c r="A3158" s="7">
        <f>IFERROR(Datos!A3158,"")</f>
        <v/>
      </c>
      <c r="B3158" s="8">
        <f>IFERROR(Datos!B3158,"")</f>
        <v/>
      </c>
      <c r="C3158" s="8">
        <f>IFERROR(Datos!C3158,"")</f>
        <v/>
      </c>
      <c r="D3158" s="28">
        <f>IFERROR(IF(AND(ISNUMBER(B3158),ISNUMBER(B3157),B3157&lt;&gt;0),B3158/B3157-1,""),"")</f>
        <v/>
      </c>
      <c r="E3158" s="28">
        <f>IFERROR(IF(AND(ISNUMBER(C3158),ISNUMBER(C3157),C3157&lt;&gt;0),C3158/C3157-1,""),"")</f>
        <v/>
      </c>
      <c r="F3158" s="28">
        <f>IFERROR(D3158-Dashboard!$B$4/252,"")</f>
        <v/>
      </c>
      <c r="G3158" s="28">
        <f>IFERROR(E3158-Dashboard!$B$4/252,"")</f>
        <v/>
      </c>
      <c r="H3158" s="8">
        <f>IFERROR(IF(ISNUMBER(B3158),MAX(B3158,IFERROR(H3157,B3158)),""),"")</f>
        <v/>
      </c>
      <c r="I3158" s="29">
        <f>IFERROR(IF(AND(ISNUMBER(B3158),ISNUMBER(H3158)),B3158/H3158-1,""),"")</f>
        <v/>
      </c>
      <c r="J3158" s="8">
        <f>IFERROR(IF(ISNUMBER(C3158),MAX(C3158,IFERROR(J3157,C3158)),""),"")</f>
        <v/>
      </c>
      <c r="K3158" s="29">
        <f>IFERROR(IF(AND(ISNUMBER(C3158),ISNUMBER(J3158)),C3158/J3158-1,""),"")</f>
        <v/>
      </c>
      <c r="L3158" s="28">
        <f>IFERROR(IF(AND(ISNUMBER(D3158),ISNUMBER(E3158)),D3158-E3158,""),"")</f>
        <v/>
      </c>
    </row>
    <row r="3159">
      <c r="A3159" s="7">
        <f>IFERROR(Datos!A3159,"")</f>
        <v/>
      </c>
      <c r="B3159" s="8">
        <f>IFERROR(Datos!B3159,"")</f>
        <v/>
      </c>
      <c r="C3159" s="8">
        <f>IFERROR(Datos!C3159,"")</f>
        <v/>
      </c>
      <c r="D3159" s="28">
        <f>IFERROR(IF(AND(ISNUMBER(B3159),ISNUMBER(B3158),B3158&lt;&gt;0),B3159/B3158-1,""),"")</f>
        <v/>
      </c>
      <c r="E3159" s="28">
        <f>IFERROR(IF(AND(ISNUMBER(C3159),ISNUMBER(C3158),C3158&lt;&gt;0),C3159/C3158-1,""),"")</f>
        <v/>
      </c>
      <c r="F3159" s="28">
        <f>IFERROR(D3159-Dashboard!$B$4/252,"")</f>
        <v/>
      </c>
      <c r="G3159" s="28">
        <f>IFERROR(E3159-Dashboard!$B$4/252,"")</f>
        <v/>
      </c>
      <c r="H3159" s="8">
        <f>IFERROR(IF(ISNUMBER(B3159),MAX(B3159,IFERROR(H3158,B3159)),""),"")</f>
        <v/>
      </c>
      <c r="I3159" s="29">
        <f>IFERROR(IF(AND(ISNUMBER(B3159),ISNUMBER(H3159)),B3159/H3159-1,""),"")</f>
        <v/>
      </c>
      <c r="J3159" s="8">
        <f>IFERROR(IF(ISNUMBER(C3159),MAX(C3159,IFERROR(J3158,C3159)),""),"")</f>
        <v/>
      </c>
      <c r="K3159" s="29">
        <f>IFERROR(IF(AND(ISNUMBER(C3159),ISNUMBER(J3159)),C3159/J3159-1,""),"")</f>
        <v/>
      </c>
      <c r="L3159" s="28">
        <f>IFERROR(IF(AND(ISNUMBER(D3159),ISNUMBER(E3159)),D3159-E3159,""),"")</f>
        <v/>
      </c>
    </row>
    <row r="3160">
      <c r="A3160" s="7">
        <f>IFERROR(Datos!A3160,"")</f>
        <v/>
      </c>
      <c r="B3160" s="8">
        <f>IFERROR(Datos!B3160,"")</f>
        <v/>
      </c>
      <c r="C3160" s="8">
        <f>IFERROR(Datos!C3160,"")</f>
        <v/>
      </c>
      <c r="D3160" s="28">
        <f>IFERROR(IF(AND(ISNUMBER(B3160),ISNUMBER(B3159),B3159&lt;&gt;0),B3160/B3159-1,""),"")</f>
        <v/>
      </c>
      <c r="E3160" s="28">
        <f>IFERROR(IF(AND(ISNUMBER(C3160),ISNUMBER(C3159),C3159&lt;&gt;0),C3160/C3159-1,""),"")</f>
        <v/>
      </c>
      <c r="F3160" s="28">
        <f>IFERROR(D3160-Dashboard!$B$4/252,"")</f>
        <v/>
      </c>
      <c r="G3160" s="28">
        <f>IFERROR(E3160-Dashboard!$B$4/252,"")</f>
        <v/>
      </c>
      <c r="H3160" s="8">
        <f>IFERROR(IF(ISNUMBER(B3160),MAX(B3160,IFERROR(H3159,B3160)),""),"")</f>
        <v/>
      </c>
      <c r="I3160" s="29">
        <f>IFERROR(IF(AND(ISNUMBER(B3160),ISNUMBER(H3160)),B3160/H3160-1,""),"")</f>
        <v/>
      </c>
      <c r="J3160" s="8">
        <f>IFERROR(IF(ISNUMBER(C3160),MAX(C3160,IFERROR(J3159,C3160)),""),"")</f>
        <v/>
      </c>
      <c r="K3160" s="29">
        <f>IFERROR(IF(AND(ISNUMBER(C3160),ISNUMBER(J3160)),C3160/J3160-1,""),"")</f>
        <v/>
      </c>
      <c r="L3160" s="28">
        <f>IFERROR(IF(AND(ISNUMBER(D3160),ISNUMBER(E3160)),D3160-E3160,""),"")</f>
        <v/>
      </c>
    </row>
    <row r="3161">
      <c r="A3161" s="7">
        <f>IFERROR(Datos!A3161,"")</f>
        <v/>
      </c>
      <c r="B3161" s="8">
        <f>IFERROR(Datos!B3161,"")</f>
        <v/>
      </c>
      <c r="C3161" s="8">
        <f>IFERROR(Datos!C3161,"")</f>
        <v/>
      </c>
      <c r="D3161" s="28">
        <f>IFERROR(IF(AND(ISNUMBER(B3161),ISNUMBER(B3160),B3160&lt;&gt;0),B3161/B3160-1,""),"")</f>
        <v/>
      </c>
      <c r="E3161" s="28">
        <f>IFERROR(IF(AND(ISNUMBER(C3161),ISNUMBER(C3160),C3160&lt;&gt;0),C3161/C3160-1,""),"")</f>
        <v/>
      </c>
      <c r="F3161" s="28">
        <f>IFERROR(D3161-Dashboard!$B$4/252,"")</f>
        <v/>
      </c>
      <c r="G3161" s="28">
        <f>IFERROR(E3161-Dashboard!$B$4/252,"")</f>
        <v/>
      </c>
      <c r="H3161" s="8">
        <f>IFERROR(IF(ISNUMBER(B3161),MAX(B3161,IFERROR(H3160,B3161)),""),"")</f>
        <v/>
      </c>
      <c r="I3161" s="29">
        <f>IFERROR(IF(AND(ISNUMBER(B3161),ISNUMBER(H3161)),B3161/H3161-1,""),"")</f>
        <v/>
      </c>
      <c r="J3161" s="8">
        <f>IFERROR(IF(ISNUMBER(C3161),MAX(C3161,IFERROR(J3160,C3161)),""),"")</f>
        <v/>
      </c>
      <c r="K3161" s="29">
        <f>IFERROR(IF(AND(ISNUMBER(C3161),ISNUMBER(J3161)),C3161/J3161-1,""),"")</f>
        <v/>
      </c>
      <c r="L3161" s="28">
        <f>IFERROR(IF(AND(ISNUMBER(D3161),ISNUMBER(E3161)),D3161-E3161,""),"")</f>
        <v/>
      </c>
    </row>
    <row r="3162">
      <c r="A3162" s="7">
        <f>IFERROR(Datos!A3162,"")</f>
        <v/>
      </c>
      <c r="B3162" s="8">
        <f>IFERROR(Datos!B3162,"")</f>
        <v/>
      </c>
      <c r="C3162" s="8">
        <f>IFERROR(Datos!C3162,"")</f>
        <v/>
      </c>
      <c r="D3162" s="28">
        <f>IFERROR(IF(AND(ISNUMBER(B3162),ISNUMBER(B3161),B3161&lt;&gt;0),B3162/B3161-1,""),"")</f>
        <v/>
      </c>
      <c r="E3162" s="28">
        <f>IFERROR(IF(AND(ISNUMBER(C3162),ISNUMBER(C3161),C3161&lt;&gt;0),C3162/C3161-1,""),"")</f>
        <v/>
      </c>
      <c r="F3162" s="28">
        <f>IFERROR(D3162-Dashboard!$B$4/252,"")</f>
        <v/>
      </c>
      <c r="G3162" s="28">
        <f>IFERROR(E3162-Dashboard!$B$4/252,"")</f>
        <v/>
      </c>
      <c r="H3162" s="8">
        <f>IFERROR(IF(ISNUMBER(B3162),MAX(B3162,IFERROR(H3161,B3162)),""),"")</f>
        <v/>
      </c>
      <c r="I3162" s="29">
        <f>IFERROR(IF(AND(ISNUMBER(B3162),ISNUMBER(H3162)),B3162/H3162-1,""),"")</f>
        <v/>
      </c>
      <c r="J3162" s="8">
        <f>IFERROR(IF(ISNUMBER(C3162),MAX(C3162,IFERROR(J3161,C3162)),""),"")</f>
        <v/>
      </c>
      <c r="K3162" s="29">
        <f>IFERROR(IF(AND(ISNUMBER(C3162),ISNUMBER(J3162)),C3162/J3162-1,""),"")</f>
        <v/>
      </c>
      <c r="L3162" s="28">
        <f>IFERROR(IF(AND(ISNUMBER(D3162),ISNUMBER(E3162)),D3162-E3162,""),"")</f>
        <v/>
      </c>
    </row>
    <row r="3163">
      <c r="A3163" s="7">
        <f>IFERROR(Datos!A3163,"")</f>
        <v/>
      </c>
      <c r="B3163" s="8">
        <f>IFERROR(Datos!B3163,"")</f>
        <v/>
      </c>
      <c r="C3163" s="8">
        <f>IFERROR(Datos!C3163,"")</f>
        <v/>
      </c>
      <c r="D3163" s="28">
        <f>IFERROR(IF(AND(ISNUMBER(B3163),ISNUMBER(B3162),B3162&lt;&gt;0),B3163/B3162-1,""),"")</f>
        <v/>
      </c>
      <c r="E3163" s="28">
        <f>IFERROR(IF(AND(ISNUMBER(C3163),ISNUMBER(C3162),C3162&lt;&gt;0),C3163/C3162-1,""),"")</f>
        <v/>
      </c>
      <c r="F3163" s="28">
        <f>IFERROR(D3163-Dashboard!$B$4/252,"")</f>
        <v/>
      </c>
      <c r="G3163" s="28">
        <f>IFERROR(E3163-Dashboard!$B$4/252,"")</f>
        <v/>
      </c>
      <c r="H3163" s="8">
        <f>IFERROR(IF(ISNUMBER(B3163),MAX(B3163,IFERROR(H3162,B3163)),""),"")</f>
        <v/>
      </c>
      <c r="I3163" s="29">
        <f>IFERROR(IF(AND(ISNUMBER(B3163),ISNUMBER(H3163)),B3163/H3163-1,""),"")</f>
        <v/>
      </c>
      <c r="J3163" s="8">
        <f>IFERROR(IF(ISNUMBER(C3163),MAX(C3163,IFERROR(J3162,C3163)),""),"")</f>
        <v/>
      </c>
      <c r="K3163" s="29">
        <f>IFERROR(IF(AND(ISNUMBER(C3163),ISNUMBER(J3163)),C3163/J3163-1,""),"")</f>
        <v/>
      </c>
      <c r="L3163" s="28">
        <f>IFERROR(IF(AND(ISNUMBER(D3163),ISNUMBER(E3163)),D3163-E3163,""),"")</f>
        <v/>
      </c>
    </row>
    <row r="3164">
      <c r="A3164" s="7">
        <f>IFERROR(Datos!A3164,"")</f>
        <v/>
      </c>
      <c r="B3164" s="8">
        <f>IFERROR(Datos!B3164,"")</f>
        <v/>
      </c>
      <c r="C3164" s="8">
        <f>IFERROR(Datos!C3164,"")</f>
        <v/>
      </c>
      <c r="D3164" s="28">
        <f>IFERROR(IF(AND(ISNUMBER(B3164),ISNUMBER(B3163),B3163&lt;&gt;0),B3164/B3163-1,""),"")</f>
        <v/>
      </c>
      <c r="E3164" s="28">
        <f>IFERROR(IF(AND(ISNUMBER(C3164),ISNUMBER(C3163),C3163&lt;&gt;0),C3164/C3163-1,""),"")</f>
        <v/>
      </c>
      <c r="F3164" s="28">
        <f>IFERROR(D3164-Dashboard!$B$4/252,"")</f>
        <v/>
      </c>
      <c r="G3164" s="28">
        <f>IFERROR(E3164-Dashboard!$B$4/252,"")</f>
        <v/>
      </c>
      <c r="H3164" s="8">
        <f>IFERROR(IF(ISNUMBER(B3164),MAX(B3164,IFERROR(H3163,B3164)),""),"")</f>
        <v/>
      </c>
      <c r="I3164" s="29">
        <f>IFERROR(IF(AND(ISNUMBER(B3164),ISNUMBER(H3164)),B3164/H3164-1,""),"")</f>
        <v/>
      </c>
      <c r="J3164" s="8">
        <f>IFERROR(IF(ISNUMBER(C3164),MAX(C3164,IFERROR(J3163,C3164)),""),"")</f>
        <v/>
      </c>
      <c r="K3164" s="29">
        <f>IFERROR(IF(AND(ISNUMBER(C3164),ISNUMBER(J3164)),C3164/J3164-1,""),"")</f>
        <v/>
      </c>
      <c r="L3164" s="28">
        <f>IFERROR(IF(AND(ISNUMBER(D3164),ISNUMBER(E3164)),D3164-E3164,""),"")</f>
        <v/>
      </c>
    </row>
    <row r="3165">
      <c r="A3165" s="7">
        <f>IFERROR(Datos!A3165,"")</f>
        <v/>
      </c>
      <c r="B3165" s="8">
        <f>IFERROR(Datos!B3165,"")</f>
        <v/>
      </c>
      <c r="C3165" s="8">
        <f>IFERROR(Datos!C3165,"")</f>
        <v/>
      </c>
      <c r="D3165" s="28">
        <f>IFERROR(IF(AND(ISNUMBER(B3165),ISNUMBER(B3164),B3164&lt;&gt;0),B3165/B3164-1,""),"")</f>
        <v/>
      </c>
      <c r="E3165" s="28">
        <f>IFERROR(IF(AND(ISNUMBER(C3165),ISNUMBER(C3164),C3164&lt;&gt;0),C3165/C3164-1,""),"")</f>
        <v/>
      </c>
      <c r="F3165" s="28">
        <f>IFERROR(D3165-Dashboard!$B$4/252,"")</f>
        <v/>
      </c>
      <c r="G3165" s="28">
        <f>IFERROR(E3165-Dashboard!$B$4/252,"")</f>
        <v/>
      </c>
      <c r="H3165" s="8">
        <f>IFERROR(IF(ISNUMBER(B3165),MAX(B3165,IFERROR(H3164,B3165)),""),"")</f>
        <v/>
      </c>
      <c r="I3165" s="29">
        <f>IFERROR(IF(AND(ISNUMBER(B3165),ISNUMBER(H3165)),B3165/H3165-1,""),"")</f>
        <v/>
      </c>
      <c r="J3165" s="8">
        <f>IFERROR(IF(ISNUMBER(C3165),MAX(C3165,IFERROR(J3164,C3165)),""),"")</f>
        <v/>
      </c>
      <c r="K3165" s="29">
        <f>IFERROR(IF(AND(ISNUMBER(C3165),ISNUMBER(J3165)),C3165/J3165-1,""),"")</f>
        <v/>
      </c>
      <c r="L3165" s="28">
        <f>IFERROR(IF(AND(ISNUMBER(D3165),ISNUMBER(E3165)),D3165-E3165,""),"")</f>
        <v/>
      </c>
    </row>
    <row r="3166">
      <c r="A3166" s="7">
        <f>IFERROR(Datos!A3166,"")</f>
        <v/>
      </c>
      <c r="B3166" s="8">
        <f>IFERROR(Datos!B3166,"")</f>
        <v/>
      </c>
      <c r="C3166" s="8">
        <f>IFERROR(Datos!C3166,"")</f>
        <v/>
      </c>
      <c r="D3166" s="28">
        <f>IFERROR(IF(AND(ISNUMBER(B3166),ISNUMBER(B3165),B3165&lt;&gt;0),B3166/B3165-1,""),"")</f>
        <v/>
      </c>
      <c r="E3166" s="28">
        <f>IFERROR(IF(AND(ISNUMBER(C3166),ISNUMBER(C3165),C3165&lt;&gt;0),C3166/C3165-1,""),"")</f>
        <v/>
      </c>
      <c r="F3166" s="28">
        <f>IFERROR(D3166-Dashboard!$B$4/252,"")</f>
        <v/>
      </c>
      <c r="G3166" s="28">
        <f>IFERROR(E3166-Dashboard!$B$4/252,"")</f>
        <v/>
      </c>
      <c r="H3166" s="8">
        <f>IFERROR(IF(ISNUMBER(B3166),MAX(B3166,IFERROR(H3165,B3166)),""),"")</f>
        <v/>
      </c>
      <c r="I3166" s="29">
        <f>IFERROR(IF(AND(ISNUMBER(B3166),ISNUMBER(H3166)),B3166/H3166-1,""),"")</f>
        <v/>
      </c>
      <c r="J3166" s="8">
        <f>IFERROR(IF(ISNUMBER(C3166),MAX(C3166,IFERROR(J3165,C3166)),""),"")</f>
        <v/>
      </c>
      <c r="K3166" s="29">
        <f>IFERROR(IF(AND(ISNUMBER(C3166),ISNUMBER(J3166)),C3166/J3166-1,""),"")</f>
        <v/>
      </c>
      <c r="L3166" s="28">
        <f>IFERROR(IF(AND(ISNUMBER(D3166),ISNUMBER(E3166)),D3166-E3166,""),"")</f>
        <v/>
      </c>
    </row>
    <row r="3167">
      <c r="A3167" s="7">
        <f>IFERROR(Datos!A3167,"")</f>
        <v/>
      </c>
      <c r="B3167" s="8">
        <f>IFERROR(Datos!B3167,"")</f>
        <v/>
      </c>
      <c r="C3167" s="8">
        <f>IFERROR(Datos!C3167,"")</f>
        <v/>
      </c>
      <c r="D3167" s="28">
        <f>IFERROR(IF(AND(ISNUMBER(B3167),ISNUMBER(B3166),B3166&lt;&gt;0),B3167/B3166-1,""),"")</f>
        <v/>
      </c>
      <c r="E3167" s="28">
        <f>IFERROR(IF(AND(ISNUMBER(C3167),ISNUMBER(C3166),C3166&lt;&gt;0),C3167/C3166-1,""),"")</f>
        <v/>
      </c>
      <c r="F3167" s="28">
        <f>IFERROR(D3167-Dashboard!$B$4/252,"")</f>
        <v/>
      </c>
      <c r="G3167" s="28">
        <f>IFERROR(E3167-Dashboard!$B$4/252,"")</f>
        <v/>
      </c>
      <c r="H3167" s="8">
        <f>IFERROR(IF(ISNUMBER(B3167),MAX(B3167,IFERROR(H3166,B3167)),""),"")</f>
        <v/>
      </c>
      <c r="I3167" s="29">
        <f>IFERROR(IF(AND(ISNUMBER(B3167),ISNUMBER(H3167)),B3167/H3167-1,""),"")</f>
        <v/>
      </c>
      <c r="J3167" s="8">
        <f>IFERROR(IF(ISNUMBER(C3167),MAX(C3167,IFERROR(J3166,C3167)),""),"")</f>
        <v/>
      </c>
      <c r="K3167" s="29">
        <f>IFERROR(IF(AND(ISNUMBER(C3167),ISNUMBER(J3167)),C3167/J3167-1,""),"")</f>
        <v/>
      </c>
      <c r="L3167" s="28">
        <f>IFERROR(IF(AND(ISNUMBER(D3167),ISNUMBER(E3167)),D3167-E3167,""),"")</f>
        <v/>
      </c>
    </row>
    <row r="3168">
      <c r="A3168" s="7">
        <f>IFERROR(Datos!A3168,"")</f>
        <v/>
      </c>
      <c r="B3168" s="8">
        <f>IFERROR(Datos!B3168,"")</f>
        <v/>
      </c>
      <c r="C3168" s="8">
        <f>IFERROR(Datos!C3168,"")</f>
        <v/>
      </c>
      <c r="D3168" s="28">
        <f>IFERROR(IF(AND(ISNUMBER(B3168),ISNUMBER(B3167),B3167&lt;&gt;0),B3168/B3167-1,""),"")</f>
        <v/>
      </c>
      <c r="E3168" s="28">
        <f>IFERROR(IF(AND(ISNUMBER(C3168),ISNUMBER(C3167),C3167&lt;&gt;0),C3168/C3167-1,""),"")</f>
        <v/>
      </c>
      <c r="F3168" s="28">
        <f>IFERROR(D3168-Dashboard!$B$4/252,"")</f>
        <v/>
      </c>
      <c r="G3168" s="28">
        <f>IFERROR(E3168-Dashboard!$B$4/252,"")</f>
        <v/>
      </c>
      <c r="H3168" s="8">
        <f>IFERROR(IF(ISNUMBER(B3168),MAX(B3168,IFERROR(H3167,B3168)),""),"")</f>
        <v/>
      </c>
      <c r="I3168" s="29">
        <f>IFERROR(IF(AND(ISNUMBER(B3168),ISNUMBER(H3168)),B3168/H3168-1,""),"")</f>
        <v/>
      </c>
      <c r="J3168" s="8">
        <f>IFERROR(IF(ISNUMBER(C3168),MAX(C3168,IFERROR(J3167,C3168)),""),"")</f>
        <v/>
      </c>
      <c r="K3168" s="29">
        <f>IFERROR(IF(AND(ISNUMBER(C3168),ISNUMBER(J3168)),C3168/J3168-1,""),"")</f>
        <v/>
      </c>
      <c r="L3168" s="28">
        <f>IFERROR(IF(AND(ISNUMBER(D3168),ISNUMBER(E3168)),D3168-E3168,""),"")</f>
        <v/>
      </c>
    </row>
    <row r="3169">
      <c r="A3169" s="7">
        <f>IFERROR(Datos!A3169,"")</f>
        <v/>
      </c>
      <c r="B3169" s="8">
        <f>IFERROR(Datos!B3169,"")</f>
        <v/>
      </c>
      <c r="C3169" s="8">
        <f>IFERROR(Datos!C3169,"")</f>
        <v/>
      </c>
      <c r="D3169" s="28">
        <f>IFERROR(IF(AND(ISNUMBER(B3169),ISNUMBER(B3168),B3168&lt;&gt;0),B3169/B3168-1,""),"")</f>
        <v/>
      </c>
      <c r="E3169" s="28">
        <f>IFERROR(IF(AND(ISNUMBER(C3169),ISNUMBER(C3168),C3168&lt;&gt;0),C3169/C3168-1,""),"")</f>
        <v/>
      </c>
      <c r="F3169" s="28">
        <f>IFERROR(D3169-Dashboard!$B$4/252,"")</f>
        <v/>
      </c>
      <c r="G3169" s="28">
        <f>IFERROR(E3169-Dashboard!$B$4/252,"")</f>
        <v/>
      </c>
      <c r="H3169" s="8">
        <f>IFERROR(IF(ISNUMBER(B3169),MAX(B3169,IFERROR(H3168,B3169)),""),"")</f>
        <v/>
      </c>
      <c r="I3169" s="29">
        <f>IFERROR(IF(AND(ISNUMBER(B3169),ISNUMBER(H3169)),B3169/H3169-1,""),"")</f>
        <v/>
      </c>
      <c r="J3169" s="8">
        <f>IFERROR(IF(ISNUMBER(C3169),MAX(C3169,IFERROR(J3168,C3169)),""),"")</f>
        <v/>
      </c>
      <c r="K3169" s="29">
        <f>IFERROR(IF(AND(ISNUMBER(C3169),ISNUMBER(J3169)),C3169/J3169-1,""),"")</f>
        <v/>
      </c>
      <c r="L3169" s="28">
        <f>IFERROR(IF(AND(ISNUMBER(D3169),ISNUMBER(E3169)),D3169-E3169,""),"")</f>
        <v/>
      </c>
    </row>
    <row r="3170">
      <c r="A3170" s="7">
        <f>IFERROR(Datos!A3170,"")</f>
        <v/>
      </c>
      <c r="B3170" s="8">
        <f>IFERROR(Datos!B3170,"")</f>
        <v/>
      </c>
      <c r="C3170" s="8">
        <f>IFERROR(Datos!C3170,"")</f>
        <v/>
      </c>
      <c r="D3170" s="28">
        <f>IFERROR(IF(AND(ISNUMBER(B3170),ISNUMBER(B3169),B3169&lt;&gt;0),B3170/B3169-1,""),"")</f>
        <v/>
      </c>
      <c r="E3170" s="28">
        <f>IFERROR(IF(AND(ISNUMBER(C3170),ISNUMBER(C3169),C3169&lt;&gt;0),C3170/C3169-1,""),"")</f>
        <v/>
      </c>
      <c r="F3170" s="28">
        <f>IFERROR(D3170-Dashboard!$B$4/252,"")</f>
        <v/>
      </c>
      <c r="G3170" s="28">
        <f>IFERROR(E3170-Dashboard!$B$4/252,"")</f>
        <v/>
      </c>
      <c r="H3170" s="8">
        <f>IFERROR(IF(ISNUMBER(B3170),MAX(B3170,IFERROR(H3169,B3170)),""),"")</f>
        <v/>
      </c>
      <c r="I3170" s="29">
        <f>IFERROR(IF(AND(ISNUMBER(B3170),ISNUMBER(H3170)),B3170/H3170-1,""),"")</f>
        <v/>
      </c>
      <c r="J3170" s="8">
        <f>IFERROR(IF(ISNUMBER(C3170),MAX(C3170,IFERROR(J3169,C3170)),""),"")</f>
        <v/>
      </c>
      <c r="K3170" s="29">
        <f>IFERROR(IF(AND(ISNUMBER(C3170),ISNUMBER(J3170)),C3170/J3170-1,""),"")</f>
        <v/>
      </c>
      <c r="L3170" s="28">
        <f>IFERROR(IF(AND(ISNUMBER(D3170),ISNUMBER(E3170)),D3170-E3170,""),"")</f>
        <v/>
      </c>
    </row>
    <row r="3171">
      <c r="A3171" s="7">
        <f>IFERROR(Datos!A3171,"")</f>
        <v/>
      </c>
      <c r="B3171" s="8">
        <f>IFERROR(Datos!B3171,"")</f>
        <v/>
      </c>
      <c r="C3171" s="8">
        <f>IFERROR(Datos!C3171,"")</f>
        <v/>
      </c>
      <c r="D3171" s="28">
        <f>IFERROR(IF(AND(ISNUMBER(B3171),ISNUMBER(B3170),B3170&lt;&gt;0),B3171/B3170-1,""),"")</f>
        <v/>
      </c>
      <c r="E3171" s="28">
        <f>IFERROR(IF(AND(ISNUMBER(C3171),ISNUMBER(C3170),C3170&lt;&gt;0),C3171/C3170-1,""),"")</f>
        <v/>
      </c>
      <c r="F3171" s="28">
        <f>IFERROR(D3171-Dashboard!$B$4/252,"")</f>
        <v/>
      </c>
      <c r="G3171" s="28">
        <f>IFERROR(E3171-Dashboard!$B$4/252,"")</f>
        <v/>
      </c>
      <c r="H3171" s="8">
        <f>IFERROR(IF(ISNUMBER(B3171),MAX(B3171,IFERROR(H3170,B3171)),""),"")</f>
        <v/>
      </c>
      <c r="I3171" s="29">
        <f>IFERROR(IF(AND(ISNUMBER(B3171),ISNUMBER(H3171)),B3171/H3171-1,""),"")</f>
        <v/>
      </c>
      <c r="J3171" s="8">
        <f>IFERROR(IF(ISNUMBER(C3171),MAX(C3171,IFERROR(J3170,C3171)),""),"")</f>
        <v/>
      </c>
      <c r="K3171" s="29">
        <f>IFERROR(IF(AND(ISNUMBER(C3171),ISNUMBER(J3171)),C3171/J3171-1,""),"")</f>
        <v/>
      </c>
      <c r="L3171" s="28">
        <f>IFERROR(IF(AND(ISNUMBER(D3171),ISNUMBER(E3171)),D3171-E3171,""),"")</f>
        <v/>
      </c>
    </row>
    <row r="3172">
      <c r="A3172" s="7">
        <f>IFERROR(Datos!A3172,"")</f>
        <v/>
      </c>
      <c r="B3172" s="8">
        <f>IFERROR(Datos!B3172,"")</f>
        <v/>
      </c>
      <c r="C3172" s="8">
        <f>IFERROR(Datos!C3172,"")</f>
        <v/>
      </c>
      <c r="D3172" s="28">
        <f>IFERROR(IF(AND(ISNUMBER(B3172),ISNUMBER(B3171),B3171&lt;&gt;0),B3172/B3171-1,""),"")</f>
        <v/>
      </c>
      <c r="E3172" s="28">
        <f>IFERROR(IF(AND(ISNUMBER(C3172),ISNUMBER(C3171),C3171&lt;&gt;0),C3172/C3171-1,""),"")</f>
        <v/>
      </c>
      <c r="F3172" s="28">
        <f>IFERROR(D3172-Dashboard!$B$4/252,"")</f>
        <v/>
      </c>
      <c r="G3172" s="28">
        <f>IFERROR(E3172-Dashboard!$B$4/252,"")</f>
        <v/>
      </c>
      <c r="H3172" s="8">
        <f>IFERROR(IF(ISNUMBER(B3172),MAX(B3172,IFERROR(H3171,B3172)),""),"")</f>
        <v/>
      </c>
      <c r="I3172" s="29">
        <f>IFERROR(IF(AND(ISNUMBER(B3172),ISNUMBER(H3172)),B3172/H3172-1,""),"")</f>
        <v/>
      </c>
      <c r="J3172" s="8">
        <f>IFERROR(IF(ISNUMBER(C3172),MAX(C3172,IFERROR(J3171,C3172)),""),"")</f>
        <v/>
      </c>
      <c r="K3172" s="29">
        <f>IFERROR(IF(AND(ISNUMBER(C3172),ISNUMBER(J3172)),C3172/J3172-1,""),"")</f>
        <v/>
      </c>
      <c r="L3172" s="28">
        <f>IFERROR(IF(AND(ISNUMBER(D3172),ISNUMBER(E3172)),D3172-E3172,""),"")</f>
        <v/>
      </c>
    </row>
    <row r="3173">
      <c r="A3173" s="7">
        <f>IFERROR(Datos!A3173,"")</f>
        <v/>
      </c>
      <c r="B3173" s="8">
        <f>IFERROR(Datos!B3173,"")</f>
        <v/>
      </c>
      <c r="C3173" s="8">
        <f>IFERROR(Datos!C3173,"")</f>
        <v/>
      </c>
      <c r="D3173" s="28">
        <f>IFERROR(IF(AND(ISNUMBER(B3173),ISNUMBER(B3172),B3172&lt;&gt;0),B3173/B3172-1,""),"")</f>
        <v/>
      </c>
      <c r="E3173" s="28">
        <f>IFERROR(IF(AND(ISNUMBER(C3173),ISNUMBER(C3172),C3172&lt;&gt;0),C3173/C3172-1,""),"")</f>
        <v/>
      </c>
      <c r="F3173" s="28">
        <f>IFERROR(D3173-Dashboard!$B$4/252,"")</f>
        <v/>
      </c>
      <c r="G3173" s="28">
        <f>IFERROR(E3173-Dashboard!$B$4/252,"")</f>
        <v/>
      </c>
      <c r="H3173" s="8">
        <f>IFERROR(IF(ISNUMBER(B3173),MAX(B3173,IFERROR(H3172,B3173)),""),"")</f>
        <v/>
      </c>
      <c r="I3173" s="29">
        <f>IFERROR(IF(AND(ISNUMBER(B3173),ISNUMBER(H3173)),B3173/H3173-1,""),"")</f>
        <v/>
      </c>
      <c r="J3173" s="8">
        <f>IFERROR(IF(ISNUMBER(C3173),MAX(C3173,IFERROR(J3172,C3173)),""),"")</f>
        <v/>
      </c>
      <c r="K3173" s="29">
        <f>IFERROR(IF(AND(ISNUMBER(C3173),ISNUMBER(J3173)),C3173/J3173-1,""),"")</f>
        <v/>
      </c>
      <c r="L3173" s="28">
        <f>IFERROR(IF(AND(ISNUMBER(D3173),ISNUMBER(E3173)),D3173-E3173,""),"")</f>
        <v/>
      </c>
    </row>
    <row r="3174">
      <c r="A3174" s="7">
        <f>IFERROR(Datos!A3174,"")</f>
        <v/>
      </c>
      <c r="B3174" s="8">
        <f>IFERROR(Datos!B3174,"")</f>
        <v/>
      </c>
      <c r="C3174" s="8">
        <f>IFERROR(Datos!C3174,"")</f>
        <v/>
      </c>
      <c r="D3174" s="28">
        <f>IFERROR(IF(AND(ISNUMBER(B3174),ISNUMBER(B3173),B3173&lt;&gt;0),B3174/B3173-1,""),"")</f>
        <v/>
      </c>
      <c r="E3174" s="28">
        <f>IFERROR(IF(AND(ISNUMBER(C3174),ISNUMBER(C3173),C3173&lt;&gt;0),C3174/C3173-1,""),"")</f>
        <v/>
      </c>
      <c r="F3174" s="28">
        <f>IFERROR(D3174-Dashboard!$B$4/252,"")</f>
        <v/>
      </c>
      <c r="G3174" s="28">
        <f>IFERROR(E3174-Dashboard!$B$4/252,"")</f>
        <v/>
      </c>
      <c r="H3174" s="8">
        <f>IFERROR(IF(ISNUMBER(B3174),MAX(B3174,IFERROR(H3173,B3174)),""),"")</f>
        <v/>
      </c>
      <c r="I3174" s="29">
        <f>IFERROR(IF(AND(ISNUMBER(B3174),ISNUMBER(H3174)),B3174/H3174-1,""),"")</f>
        <v/>
      </c>
      <c r="J3174" s="8">
        <f>IFERROR(IF(ISNUMBER(C3174),MAX(C3174,IFERROR(J3173,C3174)),""),"")</f>
        <v/>
      </c>
      <c r="K3174" s="29">
        <f>IFERROR(IF(AND(ISNUMBER(C3174),ISNUMBER(J3174)),C3174/J3174-1,""),"")</f>
        <v/>
      </c>
      <c r="L3174" s="28">
        <f>IFERROR(IF(AND(ISNUMBER(D3174),ISNUMBER(E3174)),D3174-E3174,""),"")</f>
        <v/>
      </c>
    </row>
    <row r="3175">
      <c r="A3175" s="7">
        <f>IFERROR(Datos!A3175,"")</f>
        <v/>
      </c>
      <c r="B3175" s="8">
        <f>IFERROR(Datos!B3175,"")</f>
        <v/>
      </c>
      <c r="C3175" s="8">
        <f>IFERROR(Datos!C3175,"")</f>
        <v/>
      </c>
      <c r="D3175" s="28">
        <f>IFERROR(IF(AND(ISNUMBER(B3175),ISNUMBER(B3174),B3174&lt;&gt;0),B3175/B3174-1,""),"")</f>
        <v/>
      </c>
      <c r="E3175" s="28">
        <f>IFERROR(IF(AND(ISNUMBER(C3175),ISNUMBER(C3174),C3174&lt;&gt;0),C3175/C3174-1,""),"")</f>
        <v/>
      </c>
      <c r="F3175" s="28">
        <f>IFERROR(D3175-Dashboard!$B$4/252,"")</f>
        <v/>
      </c>
      <c r="G3175" s="28">
        <f>IFERROR(E3175-Dashboard!$B$4/252,"")</f>
        <v/>
      </c>
      <c r="H3175" s="8">
        <f>IFERROR(IF(ISNUMBER(B3175),MAX(B3175,IFERROR(H3174,B3175)),""),"")</f>
        <v/>
      </c>
      <c r="I3175" s="29">
        <f>IFERROR(IF(AND(ISNUMBER(B3175),ISNUMBER(H3175)),B3175/H3175-1,""),"")</f>
        <v/>
      </c>
      <c r="J3175" s="8">
        <f>IFERROR(IF(ISNUMBER(C3175),MAX(C3175,IFERROR(J3174,C3175)),""),"")</f>
        <v/>
      </c>
      <c r="K3175" s="29">
        <f>IFERROR(IF(AND(ISNUMBER(C3175),ISNUMBER(J3175)),C3175/J3175-1,""),"")</f>
        <v/>
      </c>
      <c r="L3175" s="28">
        <f>IFERROR(IF(AND(ISNUMBER(D3175),ISNUMBER(E3175)),D3175-E3175,""),"")</f>
        <v/>
      </c>
    </row>
    <row r="3176">
      <c r="A3176" s="7">
        <f>IFERROR(Datos!A3176,"")</f>
        <v/>
      </c>
      <c r="B3176" s="8">
        <f>IFERROR(Datos!B3176,"")</f>
        <v/>
      </c>
      <c r="C3176" s="8">
        <f>IFERROR(Datos!C3176,"")</f>
        <v/>
      </c>
      <c r="D3176" s="28">
        <f>IFERROR(IF(AND(ISNUMBER(B3176),ISNUMBER(B3175),B3175&lt;&gt;0),B3176/B3175-1,""),"")</f>
        <v/>
      </c>
      <c r="E3176" s="28">
        <f>IFERROR(IF(AND(ISNUMBER(C3176),ISNUMBER(C3175),C3175&lt;&gt;0),C3176/C3175-1,""),"")</f>
        <v/>
      </c>
      <c r="F3176" s="28">
        <f>IFERROR(D3176-Dashboard!$B$4/252,"")</f>
        <v/>
      </c>
      <c r="G3176" s="28">
        <f>IFERROR(E3176-Dashboard!$B$4/252,"")</f>
        <v/>
      </c>
      <c r="H3176" s="8">
        <f>IFERROR(IF(ISNUMBER(B3176),MAX(B3176,IFERROR(H3175,B3176)),""),"")</f>
        <v/>
      </c>
      <c r="I3176" s="29">
        <f>IFERROR(IF(AND(ISNUMBER(B3176),ISNUMBER(H3176)),B3176/H3176-1,""),"")</f>
        <v/>
      </c>
      <c r="J3176" s="8">
        <f>IFERROR(IF(ISNUMBER(C3176),MAX(C3176,IFERROR(J3175,C3176)),""),"")</f>
        <v/>
      </c>
      <c r="K3176" s="29">
        <f>IFERROR(IF(AND(ISNUMBER(C3176),ISNUMBER(J3176)),C3176/J3176-1,""),"")</f>
        <v/>
      </c>
      <c r="L3176" s="28">
        <f>IFERROR(IF(AND(ISNUMBER(D3176),ISNUMBER(E3176)),D3176-E3176,""),"")</f>
        <v/>
      </c>
    </row>
    <row r="3177">
      <c r="A3177" s="7">
        <f>IFERROR(Datos!A3177,"")</f>
        <v/>
      </c>
      <c r="B3177" s="8">
        <f>IFERROR(Datos!B3177,"")</f>
        <v/>
      </c>
      <c r="C3177" s="8">
        <f>IFERROR(Datos!C3177,"")</f>
        <v/>
      </c>
      <c r="D3177" s="28">
        <f>IFERROR(IF(AND(ISNUMBER(B3177),ISNUMBER(B3176),B3176&lt;&gt;0),B3177/B3176-1,""),"")</f>
        <v/>
      </c>
      <c r="E3177" s="28">
        <f>IFERROR(IF(AND(ISNUMBER(C3177),ISNUMBER(C3176),C3176&lt;&gt;0),C3177/C3176-1,""),"")</f>
        <v/>
      </c>
      <c r="F3177" s="28">
        <f>IFERROR(D3177-Dashboard!$B$4/252,"")</f>
        <v/>
      </c>
      <c r="G3177" s="28">
        <f>IFERROR(E3177-Dashboard!$B$4/252,"")</f>
        <v/>
      </c>
      <c r="H3177" s="8">
        <f>IFERROR(IF(ISNUMBER(B3177),MAX(B3177,IFERROR(H3176,B3177)),""),"")</f>
        <v/>
      </c>
      <c r="I3177" s="29">
        <f>IFERROR(IF(AND(ISNUMBER(B3177),ISNUMBER(H3177)),B3177/H3177-1,""),"")</f>
        <v/>
      </c>
      <c r="J3177" s="8">
        <f>IFERROR(IF(ISNUMBER(C3177),MAX(C3177,IFERROR(J3176,C3177)),""),"")</f>
        <v/>
      </c>
      <c r="K3177" s="29">
        <f>IFERROR(IF(AND(ISNUMBER(C3177),ISNUMBER(J3177)),C3177/J3177-1,""),"")</f>
        <v/>
      </c>
      <c r="L3177" s="28">
        <f>IFERROR(IF(AND(ISNUMBER(D3177),ISNUMBER(E3177)),D3177-E3177,""),"")</f>
        <v/>
      </c>
    </row>
    <row r="3178">
      <c r="A3178" s="7">
        <f>IFERROR(Datos!A3178,"")</f>
        <v/>
      </c>
      <c r="B3178" s="8">
        <f>IFERROR(Datos!B3178,"")</f>
        <v/>
      </c>
      <c r="C3178" s="8">
        <f>IFERROR(Datos!C3178,"")</f>
        <v/>
      </c>
      <c r="D3178" s="28">
        <f>IFERROR(IF(AND(ISNUMBER(B3178),ISNUMBER(B3177),B3177&lt;&gt;0),B3178/B3177-1,""),"")</f>
        <v/>
      </c>
      <c r="E3178" s="28">
        <f>IFERROR(IF(AND(ISNUMBER(C3178),ISNUMBER(C3177),C3177&lt;&gt;0),C3178/C3177-1,""),"")</f>
        <v/>
      </c>
      <c r="F3178" s="28">
        <f>IFERROR(D3178-Dashboard!$B$4/252,"")</f>
        <v/>
      </c>
      <c r="G3178" s="28">
        <f>IFERROR(E3178-Dashboard!$B$4/252,"")</f>
        <v/>
      </c>
      <c r="H3178" s="8">
        <f>IFERROR(IF(ISNUMBER(B3178),MAX(B3178,IFERROR(H3177,B3178)),""),"")</f>
        <v/>
      </c>
      <c r="I3178" s="29">
        <f>IFERROR(IF(AND(ISNUMBER(B3178),ISNUMBER(H3178)),B3178/H3178-1,""),"")</f>
        <v/>
      </c>
      <c r="J3178" s="8">
        <f>IFERROR(IF(ISNUMBER(C3178),MAX(C3178,IFERROR(J3177,C3178)),""),"")</f>
        <v/>
      </c>
      <c r="K3178" s="29">
        <f>IFERROR(IF(AND(ISNUMBER(C3178),ISNUMBER(J3178)),C3178/J3178-1,""),"")</f>
        <v/>
      </c>
      <c r="L3178" s="28">
        <f>IFERROR(IF(AND(ISNUMBER(D3178),ISNUMBER(E3178)),D3178-E3178,""),"")</f>
        <v/>
      </c>
    </row>
    <row r="3179">
      <c r="A3179" s="7">
        <f>IFERROR(Datos!A3179,"")</f>
        <v/>
      </c>
      <c r="B3179" s="8">
        <f>IFERROR(Datos!B3179,"")</f>
        <v/>
      </c>
      <c r="C3179" s="8">
        <f>IFERROR(Datos!C3179,"")</f>
        <v/>
      </c>
      <c r="D3179" s="28">
        <f>IFERROR(IF(AND(ISNUMBER(B3179),ISNUMBER(B3178),B3178&lt;&gt;0),B3179/B3178-1,""),"")</f>
        <v/>
      </c>
      <c r="E3179" s="28">
        <f>IFERROR(IF(AND(ISNUMBER(C3179),ISNUMBER(C3178),C3178&lt;&gt;0),C3179/C3178-1,""),"")</f>
        <v/>
      </c>
      <c r="F3179" s="28">
        <f>IFERROR(D3179-Dashboard!$B$4/252,"")</f>
        <v/>
      </c>
      <c r="G3179" s="28">
        <f>IFERROR(E3179-Dashboard!$B$4/252,"")</f>
        <v/>
      </c>
      <c r="H3179" s="8">
        <f>IFERROR(IF(ISNUMBER(B3179),MAX(B3179,IFERROR(H3178,B3179)),""),"")</f>
        <v/>
      </c>
      <c r="I3179" s="29">
        <f>IFERROR(IF(AND(ISNUMBER(B3179),ISNUMBER(H3179)),B3179/H3179-1,""),"")</f>
        <v/>
      </c>
      <c r="J3179" s="8">
        <f>IFERROR(IF(ISNUMBER(C3179),MAX(C3179,IFERROR(J3178,C3179)),""),"")</f>
        <v/>
      </c>
      <c r="K3179" s="29">
        <f>IFERROR(IF(AND(ISNUMBER(C3179),ISNUMBER(J3179)),C3179/J3179-1,""),"")</f>
        <v/>
      </c>
      <c r="L3179" s="28">
        <f>IFERROR(IF(AND(ISNUMBER(D3179),ISNUMBER(E3179)),D3179-E3179,""),"")</f>
        <v/>
      </c>
    </row>
    <row r="3180">
      <c r="A3180" s="7">
        <f>IFERROR(Datos!A3180,"")</f>
        <v/>
      </c>
      <c r="B3180" s="8">
        <f>IFERROR(Datos!B3180,"")</f>
        <v/>
      </c>
      <c r="C3180" s="8">
        <f>IFERROR(Datos!C3180,"")</f>
        <v/>
      </c>
      <c r="D3180" s="28">
        <f>IFERROR(IF(AND(ISNUMBER(B3180),ISNUMBER(B3179),B3179&lt;&gt;0),B3180/B3179-1,""),"")</f>
        <v/>
      </c>
      <c r="E3180" s="28">
        <f>IFERROR(IF(AND(ISNUMBER(C3180),ISNUMBER(C3179),C3179&lt;&gt;0),C3180/C3179-1,""),"")</f>
        <v/>
      </c>
      <c r="F3180" s="28">
        <f>IFERROR(D3180-Dashboard!$B$4/252,"")</f>
        <v/>
      </c>
      <c r="G3180" s="28">
        <f>IFERROR(E3180-Dashboard!$B$4/252,"")</f>
        <v/>
      </c>
      <c r="H3180" s="8">
        <f>IFERROR(IF(ISNUMBER(B3180),MAX(B3180,IFERROR(H3179,B3180)),""),"")</f>
        <v/>
      </c>
      <c r="I3180" s="29">
        <f>IFERROR(IF(AND(ISNUMBER(B3180),ISNUMBER(H3180)),B3180/H3180-1,""),"")</f>
        <v/>
      </c>
      <c r="J3180" s="8">
        <f>IFERROR(IF(ISNUMBER(C3180),MAX(C3180,IFERROR(J3179,C3180)),""),"")</f>
        <v/>
      </c>
      <c r="K3180" s="29">
        <f>IFERROR(IF(AND(ISNUMBER(C3180),ISNUMBER(J3180)),C3180/J3180-1,""),"")</f>
        <v/>
      </c>
      <c r="L3180" s="28">
        <f>IFERROR(IF(AND(ISNUMBER(D3180),ISNUMBER(E3180)),D3180-E3180,""),"")</f>
        <v/>
      </c>
    </row>
    <row r="3181">
      <c r="A3181" s="7">
        <f>IFERROR(Datos!A3181,"")</f>
        <v/>
      </c>
      <c r="B3181" s="8">
        <f>IFERROR(Datos!B3181,"")</f>
        <v/>
      </c>
      <c r="C3181" s="8">
        <f>IFERROR(Datos!C3181,"")</f>
        <v/>
      </c>
      <c r="D3181" s="28">
        <f>IFERROR(IF(AND(ISNUMBER(B3181),ISNUMBER(B3180),B3180&lt;&gt;0),B3181/B3180-1,""),"")</f>
        <v/>
      </c>
      <c r="E3181" s="28">
        <f>IFERROR(IF(AND(ISNUMBER(C3181),ISNUMBER(C3180),C3180&lt;&gt;0),C3181/C3180-1,""),"")</f>
        <v/>
      </c>
      <c r="F3181" s="28">
        <f>IFERROR(D3181-Dashboard!$B$4/252,"")</f>
        <v/>
      </c>
      <c r="G3181" s="28">
        <f>IFERROR(E3181-Dashboard!$B$4/252,"")</f>
        <v/>
      </c>
      <c r="H3181" s="8">
        <f>IFERROR(IF(ISNUMBER(B3181),MAX(B3181,IFERROR(H3180,B3181)),""),"")</f>
        <v/>
      </c>
      <c r="I3181" s="29">
        <f>IFERROR(IF(AND(ISNUMBER(B3181),ISNUMBER(H3181)),B3181/H3181-1,""),"")</f>
        <v/>
      </c>
      <c r="J3181" s="8">
        <f>IFERROR(IF(ISNUMBER(C3181),MAX(C3181,IFERROR(J3180,C3181)),""),"")</f>
        <v/>
      </c>
      <c r="K3181" s="29">
        <f>IFERROR(IF(AND(ISNUMBER(C3181),ISNUMBER(J3181)),C3181/J3181-1,""),"")</f>
        <v/>
      </c>
      <c r="L3181" s="28">
        <f>IFERROR(IF(AND(ISNUMBER(D3181),ISNUMBER(E3181)),D3181-E3181,""),"")</f>
        <v/>
      </c>
    </row>
    <row r="3182">
      <c r="A3182" s="7">
        <f>IFERROR(Datos!A3182,"")</f>
        <v/>
      </c>
      <c r="B3182" s="8">
        <f>IFERROR(Datos!B3182,"")</f>
        <v/>
      </c>
      <c r="C3182" s="8">
        <f>IFERROR(Datos!C3182,"")</f>
        <v/>
      </c>
      <c r="D3182" s="28">
        <f>IFERROR(IF(AND(ISNUMBER(B3182),ISNUMBER(B3181),B3181&lt;&gt;0),B3182/B3181-1,""),"")</f>
        <v/>
      </c>
      <c r="E3182" s="28">
        <f>IFERROR(IF(AND(ISNUMBER(C3182),ISNUMBER(C3181),C3181&lt;&gt;0),C3182/C3181-1,""),"")</f>
        <v/>
      </c>
      <c r="F3182" s="28">
        <f>IFERROR(D3182-Dashboard!$B$4/252,"")</f>
        <v/>
      </c>
      <c r="G3182" s="28">
        <f>IFERROR(E3182-Dashboard!$B$4/252,"")</f>
        <v/>
      </c>
      <c r="H3182" s="8">
        <f>IFERROR(IF(ISNUMBER(B3182),MAX(B3182,IFERROR(H3181,B3182)),""),"")</f>
        <v/>
      </c>
      <c r="I3182" s="29">
        <f>IFERROR(IF(AND(ISNUMBER(B3182),ISNUMBER(H3182)),B3182/H3182-1,""),"")</f>
        <v/>
      </c>
      <c r="J3182" s="8">
        <f>IFERROR(IF(ISNUMBER(C3182),MAX(C3182,IFERROR(J3181,C3182)),""),"")</f>
        <v/>
      </c>
      <c r="K3182" s="29">
        <f>IFERROR(IF(AND(ISNUMBER(C3182),ISNUMBER(J3182)),C3182/J3182-1,""),"")</f>
        <v/>
      </c>
      <c r="L3182" s="28">
        <f>IFERROR(IF(AND(ISNUMBER(D3182),ISNUMBER(E3182)),D3182-E3182,""),"")</f>
        <v/>
      </c>
    </row>
    <row r="3183">
      <c r="A3183" s="7">
        <f>IFERROR(Datos!A3183,"")</f>
        <v/>
      </c>
      <c r="B3183" s="8">
        <f>IFERROR(Datos!B3183,"")</f>
        <v/>
      </c>
      <c r="C3183" s="8">
        <f>IFERROR(Datos!C3183,"")</f>
        <v/>
      </c>
      <c r="D3183" s="28">
        <f>IFERROR(IF(AND(ISNUMBER(B3183),ISNUMBER(B3182),B3182&lt;&gt;0),B3183/B3182-1,""),"")</f>
        <v/>
      </c>
      <c r="E3183" s="28">
        <f>IFERROR(IF(AND(ISNUMBER(C3183),ISNUMBER(C3182),C3182&lt;&gt;0),C3183/C3182-1,""),"")</f>
        <v/>
      </c>
      <c r="F3183" s="28">
        <f>IFERROR(D3183-Dashboard!$B$4/252,"")</f>
        <v/>
      </c>
      <c r="G3183" s="28">
        <f>IFERROR(E3183-Dashboard!$B$4/252,"")</f>
        <v/>
      </c>
      <c r="H3183" s="8">
        <f>IFERROR(IF(ISNUMBER(B3183),MAX(B3183,IFERROR(H3182,B3183)),""),"")</f>
        <v/>
      </c>
      <c r="I3183" s="29">
        <f>IFERROR(IF(AND(ISNUMBER(B3183),ISNUMBER(H3183)),B3183/H3183-1,""),"")</f>
        <v/>
      </c>
      <c r="J3183" s="8">
        <f>IFERROR(IF(ISNUMBER(C3183),MAX(C3183,IFERROR(J3182,C3183)),""),"")</f>
        <v/>
      </c>
      <c r="K3183" s="29">
        <f>IFERROR(IF(AND(ISNUMBER(C3183),ISNUMBER(J3183)),C3183/J3183-1,""),"")</f>
        <v/>
      </c>
      <c r="L3183" s="28">
        <f>IFERROR(IF(AND(ISNUMBER(D3183),ISNUMBER(E3183)),D3183-E3183,""),"")</f>
        <v/>
      </c>
    </row>
    <row r="3184">
      <c r="A3184" s="7">
        <f>IFERROR(Datos!A3184,"")</f>
        <v/>
      </c>
      <c r="B3184" s="8">
        <f>IFERROR(Datos!B3184,"")</f>
        <v/>
      </c>
      <c r="C3184" s="8">
        <f>IFERROR(Datos!C3184,"")</f>
        <v/>
      </c>
      <c r="D3184" s="28">
        <f>IFERROR(IF(AND(ISNUMBER(B3184),ISNUMBER(B3183),B3183&lt;&gt;0),B3184/B3183-1,""),"")</f>
        <v/>
      </c>
      <c r="E3184" s="28">
        <f>IFERROR(IF(AND(ISNUMBER(C3184),ISNUMBER(C3183),C3183&lt;&gt;0),C3184/C3183-1,""),"")</f>
        <v/>
      </c>
      <c r="F3184" s="28">
        <f>IFERROR(D3184-Dashboard!$B$4/252,"")</f>
        <v/>
      </c>
      <c r="G3184" s="28">
        <f>IFERROR(E3184-Dashboard!$B$4/252,"")</f>
        <v/>
      </c>
      <c r="H3184" s="8">
        <f>IFERROR(IF(ISNUMBER(B3184),MAX(B3184,IFERROR(H3183,B3184)),""),"")</f>
        <v/>
      </c>
      <c r="I3184" s="29">
        <f>IFERROR(IF(AND(ISNUMBER(B3184),ISNUMBER(H3184)),B3184/H3184-1,""),"")</f>
        <v/>
      </c>
      <c r="J3184" s="8">
        <f>IFERROR(IF(ISNUMBER(C3184),MAX(C3184,IFERROR(J3183,C3184)),""),"")</f>
        <v/>
      </c>
      <c r="K3184" s="29">
        <f>IFERROR(IF(AND(ISNUMBER(C3184),ISNUMBER(J3184)),C3184/J3184-1,""),"")</f>
        <v/>
      </c>
      <c r="L3184" s="28">
        <f>IFERROR(IF(AND(ISNUMBER(D3184),ISNUMBER(E3184)),D3184-E3184,""),"")</f>
        <v/>
      </c>
    </row>
    <row r="3185">
      <c r="A3185" s="7">
        <f>IFERROR(Datos!A3185,"")</f>
        <v/>
      </c>
      <c r="B3185" s="8">
        <f>IFERROR(Datos!B3185,"")</f>
        <v/>
      </c>
      <c r="C3185" s="8">
        <f>IFERROR(Datos!C3185,"")</f>
        <v/>
      </c>
      <c r="D3185" s="28">
        <f>IFERROR(IF(AND(ISNUMBER(B3185),ISNUMBER(B3184),B3184&lt;&gt;0),B3185/B3184-1,""),"")</f>
        <v/>
      </c>
      <c r="E3185" s="28">
        <f>IFERROR(IF(AND(ISNUMBER(C3185),ISNUMBER(C3184),C3184&lt;&gt;0),C3185/C3184-1,""),"")</f>
        <v/>
      </c>
      <c r="F3185" s="28">
        <f>IFERROR(D3185-Dashboard!$B$4/252,"")</f>
        <v/>
      </c>
      <c r="G3185" s="28">
        <f>IFERROR(E3185-Dashboard!$B$4/252,"")</f>
        <v/>
      </c>
      <c r="H3185" s="8">
        <f>IFERROR(IF(ISNUMBER(B3185),MAX(B3185,IFERROR(H3184,B3185)),""),"")</f>
        <v/>
      </c>
      <c r="I3185" s="29">
        <f>IFERROR(IF(AND(ISNUMBER(B3185),ISNUMBER(H3185)),B3185/H3185-1,""),"")</f>
        <v/>
      </c>
      <c r="J3185" s="8">
        <f>IFERROR(IF(ISNUMBER(C3185),MAX(C3185,IFERROR(J3184,C3185)),""),"")</f>
        <v/>
      </c>
      <c r="K3185" s="29">
        <f>IFERROR(IF(AND(ISNUMBER(C3185),ISNUMBER(J3185)),C3185/J3185-1,""),"")</f>
        <v/>
      </c>
      <c r="L3185" s="28">
        <f>IFERROR(IF(AND(ISNUMBER(D3185),ISNUMBER(E3185)),D3185-E3185,""),"")</f>
        <v/>
      </c>
    </row>
    <row r="3186">
      <c r="A3186" s="7">
        <f>IFERROR(Datos!A3186,"")</f>
        <v/>
      </c>
      <c r="B3186" s="8">
        <f>IFERROR(Datos!B3186,"")</f>
        <v/>
      </c>
      <c r="C3186" s="8">
        <f>IFERROR(Datos!C3186,"")</f>
        <v/>
      </c>
      <c r="D3186" s="28">
        <f>IFERROR(IF(AND(ISNUMBER(B3186),ISNUMBER(B3185),B3185&lt;&gt;0),B3186/B3185-1,""),"")</f>
        <v/>
      </c>
      <c r="E3186" s="28">
        <f>IFERROR(IF(AND(ISNUMBER(C3186),ISNUMBER(C3185),C3185&lt;&gt;0),C3186/C3185-1,""),"")</f>
        <v/>
      </c>
      <c r="F3186" s="28">
        <f>IFERROR(D3186-Dashboard!$B$4/252,"")</f>
        <v/>
      </c>
      <c r="G3186" s="28">
        <f>IFERROR(E3186-Dashboard!$B$4/252,"")</f>
        <v/>
      </c>
      <c r="H3186" s="8">
        <f>IFERROR(IF(ISNUMBER(B3186),MAX(B3186,IFERROR(H3185,B3186)),""),"")</f>
        <v/>
      </c>
      <c r="I3186" s="29">
        <f>IFERROR(IF(AND(ISNUMBER(B3186),ISNUMBER(H3186)),B3186/H3186-1,""),"")</f>
        <v/>
      </c>
      <c r="J3186" s="8">
        <f>IFERROR(IF(ISNUMBER(C3186),MAX(C3186,IFERROR(J3185,C3186)),""),"")</f>
        <v/>
      </c>
      <c r="K3186" s="29">
        <f>IFERROR(IF(AND(ISNUMBER(C3186),ISNUMBER(J3186)),C3186/J3186-1,""),"")</f>
        <v/>
      </c>
      <c r="L3186" s="28">
        <f>IFERROR(IF(AND(ISNUMBER(D3186),ISNUMBER(E3186)),D3186-E3186,""),"")</f>
        <v/>
      </c>
    </row>
    <row r="3187">
      <c r="A3187" s="7">
        <f>IFERROR(Datos!A3187,"")</f>
        <v/>
      </c>
      <c r="B3187" s="8">
        <f>IFERROR(Datos!B3187,"")</f>
        <v/>
      </c>
      <c r="C3187" s="8">
        <f>IFERROR(Datos!C3187,"")</f>
        <v/>
      </c>
      <c r="D3187" s="28">
        <f>IFERROR(IF(AND(ISNUMBER(B3187),ISNUMBER(B3186),B3186&lt;&gt;0),B3187/B3186-1,""),"")</f>
        <v/>
      </c>
      <c r="E3187" s="28">
        <f>IFERROR(IF(AND(ISNUMBER(C3187),ISNUMBER(C3186),C3186&lt;&gt;0),C3187/C3186-1,""),"")</f>
        <v/>
      </c>
      <c r="F3187" s="28">
        <f>IFERROR(D3187-Dashboard!$B$4/252,"")</f>
        <v/>
      </c>
      <c r="G3187" s="28">
        <f>IFERROR(E3187-Dashboard!$B$4/252,"")</f>
        <v/>
      </c>
      <c r="H3187" s="8">
        <f>IFERROR(IF(ISNUMBER(B3187),MAX(B3187,IFERROR(H3186,B3187)),""),"")</f>
        <v/>
      </c>
      <c r="I3187" s="29">
        <f>IFERROR(IF(AND(ISNUMBER(B3187),ISNUMBER(H3187)),B3187/H3187-1,""),"")</f>
        <v/>
      </c>
      <c r="J3187" s="8">
        <f>IFERROR(IF(ISNUMBER(C3187),MAX(C3187,IFERROR(J3186,C3187)),""),"")</f>
        <v/>
      </c>
      <c r="K3187" s="29">
        <f>IFERROR(IF(AND(ISNUMBER(C3187),ISNUMBER(J3187)),C3187/J3187-1,""),"")</f>
        <v/>
      </c>
      <c r="L3187" s="28">
        <f>IFERROR(IF(AND(ISNUMBER(D3187),ISNUMBER(E3187)),D3187-E3187,""),"")</f>
        <v/>
      </c>
    </row>
    <row r="3188">
      <c r="A3188" s="7">
        <f>IFERROR(Datos!A3188,"")</f>
        <v/>
      </c>
      <c r="B3188" s="8">
        <f>IFERROR(Datos!B3188,"")</f>
        <v/>
      </c>
      <c r="C3188" s="8">
        <f>IFERROR(Datos!C3188,"")</f>
        <v/>
      </c>
      <c r="D3188" s="28">
        <f>IFERROR(IF(AND(ISNUMBER(B3188),ISNUMBER(B3187),B3187&lt;&gt;0),B3188/B3187-1,""),"")</f>
        <v/>
      </c>
      <c r="E3188" s="28">
        <f>IFERROR(IF(AND(ISNUMBER(C3188),ISNUMBER(C3187),C3187&lt;&gt;0),C3188/C3187-1,""),"")</f>
        <v/>
      </c>
      <c r="F3188" s="28">
        <f>IFERROR(D3188-Dashboard!$B$4/252,"")</f>
        <v/>
      </c>
      <c r="G3188" s="28">
        <f>IFERROR(E3188-Dashboard!$B$4/252,"")</f>
        <v/>
      </c>
      <c r="H3188" s="8">
        <f>IFERROR(IF(ISNUMBER(B3188),MAX(B3188,IFERROR(H3187,B3188)),""),"")</f>
        <v/>
      </c>
      <c r="I3188" s="29">
        <f>IFERROR(IF(AND(ISNUMBER(B3188),ISNUMBER(H3188)),B3188/H3188-1,""),"")</f>
        <v/>
      </c>
      <c r="J3188" s="8">
        <f>IFERROR(IF(ISNUMBER(C3188),MAX(C3188,IFERROR(J3187,C3188)),""),"")</f>
        <v/>
      </c>
      <c r="K3188" s="29">
        <f>IFERROR(IF(AND(ISNUMBER(C3188),ISNUMBER(J3188)),C3188/J3188-1,""),"")</f>
        <v/>
      </c>
      <c r="L3188" s="28">
        <f>IFERROR(IF(AND(ISNUMBER(D3188),ISNUMBER(E3188)),D3188-E3188,""),"")</f>
        <v/>
      </c>
    </row>
    <row r="3189">
      <c r="A3189" s="7">
        <f>IFERROR(Datos!A3189,"")</f>
        <v/>
      </c>
      <c r="B3189" s="8">
        <f>IFERROR(Datos!B3189,"")</f>
        <v/>
      </c>
      <c r="C3189" s="8">
        <f>IFERROR(Datos!C3189,"")</f>
        <v/>
      </c>
      <c r="D3189" s="28">
        <f>IFERROR(IF(AND(ISNUMBER(B3189),ISNUMBER(B3188),B3188&lt;&gt;0),B3189/B3188-1,""),"")</f>
        <v/>
      </c>
      <c r="E3189" s="28">
        <f>IFERROR(IF(AND(ISNUMBER(C3189),ISNUMBER(C3188),C3188&lt;&gt;0),C3189/C3188-1,""),"")</f>
        <v/>
      </c>
      <c r="F3189" s="28">
        <f>IFERROR(D3189-Dashboard!$B$4/252,"")</f>
        <v/>
      </c>
      <c r="G3189" s="28">
        <f>IFERROR(E3189-Dashboard!$B$4/252,"")</f>
        <v/>
      </c>
      <c r="H3189" s="8">
        <f>IFERROR(IF(ISNUMBER(B3189),MAX(B3189,IFERROR(H3188,B3189)),""),"")</f>
        <v/>
      </c>
      <c r="I3189" s="29">
        <f>IFERROR(IF(AND(ISNUMBER(B3189),ISNUMBER(H3189)),B3189/H3189-1,""),"")</f>
        <v/>
      </c>
      <c r="J3189" s="8">
        <f>IFERROR(IF(ISNUMBER(C3189),MAX(C3189,IFERROR(J3188,C3189)),""),"")</f>
        <v/>
      </c>
      <c r="K3189" s="29">
        <f>IFERROR(IF(AND(ISNUMBER(C3189),ISNUMBER(J3189)),C3189/J3189-1,""),"")</f>
        <v/>
      </c>
      <c r="L3189" s="28">
        <f>IFERROR(IF(AND(ISNUMBER(D3189),ISNUMBER(E3189)),D3189-E3189,""),"")</f>
        <v/>
      </c>
    </row>
    <row r="3190">
      <c r="A3190" s="7">
        <f>IFERROR(Datos!A3190,"")</f>
        <v/>
      </c>
      <c r="B3190" s="8">
        <f>IFERROR(Datos!B3190,"")</f>
        <v/>
      </c>
      <c r="C3190" s="8">
        <f>IFERROR(Datos!C3190,"")</f>
        <v/>
      </c>
      <c r="D3190" s="28">
        <f>IFERROR(IF(AND(ISNUMBER(B3190),ISNUMBER(B3189),B3189&lt;&gt;0),B3190/B3189-1,""),"")</f>
        <v/>
      </c>
      <c r="E3190" s="28">
        <f>IFERROR(IF(AND(ISNUMBER(C3190),ISNUMBER(C3189),C3189&lt;&gt;0),C3190/C3189-1,""),"")</f>
        <v/>
      </c>
      <c r="F3190" s="28">
        <f>IFERROR(D3190-Dashboard!$B$4/252,"")</f>
        <v/>
      </c>
      <c r="G3190" s="28">
        <f>IFERROR(E3190-Dashboard!$B$4/252,"")</f>
        <v/>
      </c>
      <c r="H3190" s="8">
        <f>IFERROR(IF(ISNUMBER(B3190),MAX(B3190,IFERROR(H3189,B3190)),""),"")</f>
        <v/>
      </c>
      <c r="I3190" s="29">
        <f>IFERROR(IF(AND(ISNUMBER(B3190),ISNUMBER(H3190)),B3190/H3190-1,""),"")</f>
        <v/>
      </c>
      <c r="J3190" s="8">
        <f>IFERROR(IF(ISNUMBER(C3190),MAX(C3190,IFERROR(J3189,C3190)),""),"")</f>
        <v/>
      </c>
      <c r="K3190" s="29">
        <f>IFERROR(IF(AND(ISNUMBER(C3190),ISNUMBER(J3190)),C3190/J3190-1,""),"")</f>
        <v/>
      </c>
      <c r="L3190" s="28">
        <f>IFERROR(IF(AND(ISNUMBER(D3190),ISNUMBER(E3190)),D3190-E3190,""),"")</f>
        <v/>
      </c>
    </row>
    <row r="3191">
      <c r="A3191" s="7">
        <f>IFERROR(Datos!A3191,"")</f>
        <v/>
      </c>
      <c r="B3191" s="8">
        <f>IFERROR(Datos!B3191,"")</f>
        <v/>
      </c>
      <c r="C3191" s="8">
        <f>IFERROR(Datos!C3191,"")</f>
        <v/>
      </c>
      <c r="D3191" s="28">
        <f>IFERROR(IF(AND(ISNUMBER(B3191),ISNUMBER(B3190),B3190&lt;&gt;0),B3191/B3190-1,""),"")</f>
        <v/>
      </c>
      <c r="E3191" s="28">
        <f>IFERROR(IF(AND(ISNUMBER(C3191),ISNUMBER(C3190),C3190&lt;&gt;0),C3191/C3190-1,""),"")</f>
        <v/>
      </c>
      <c r="F3191" s="28">
        <f>IFERROR(D3191-Dashboard!$B$4/252,"")</f>
        <v/>
      </c>
      <c r="G3191" s="28">
        <f>IFERROR(E3191-Dashboard!$B$4/252,"")</f>
        <v/>
      </c>
      <c r="H3191" s="8">
        <f>IFERROR(IF(ISNUMBER(B3191),MAX(B3191,IFERROR(H3190,B3191)),""),"")</f>
        <v/>
      </c>
      <c r="I3191" s="29">
        <f>IFERROR(IF(AND(ISNUMBER(B3191),ISNUMBER(H3191)),B3191/H3191-1,""),"")</f>
        <v/>
      </c>
      <c r="J3191" s="8">
        <f>IFERROR(IF(ISNUMBER(C3191),MAX(C3191,IFERROR(J3190,C3191)),""),"")</f>
        <v/>
      </c>
      <c r="K3191" s="29">
        <f>IFERROR(IF(AND(ISNUMBER(C3191),ISNUMBER(J3191)),C3191/J3191-1,""),"")</f>
        <v/>
      </c>
      <c r="L3191" s="28">
        <f>IFERROR(IF(AND(ISNUMBER(D3191),ISNUMBER(E3191)),D3191-E3191,""),"")</f>
        <v/>
      </c>
    </row>
    <row r="3192">
      <c r="A3192" s="7">
        <f>IFERROR(Datos!A3192,"")</f>
        <v/>
      </c>
      <c r="B3192" s="8">
        <f>IFERROR(Datos!B3192,"")</f>
        <v/>
      </c>
      <c r="C3192" s="8">
        <f>IFERROR(Datos!C3192,"")</f>
        <v/>
      </c>
      <c r="D3192" s="28">
        <f>IFERROR(IF(AND(ISNUMBER(B3192),ISNUMBER(B3191),B3191&lt;&gt;0),B3192/B3191-1,""),"")</f>
        <v/>
      </c>
      <c r="E3192" s="28">
        <f>IFERROR(IF(AND(ISNUMBER(C3192),ISNUMBER(C3191),C3191&lt;&gt;0),C3192/C3191-1,""),"")</f>
        <v/>
      </c>
      <c r="F3192" s="28">
        <f>IFERROR(D3192-Dashboard!$B$4/252,"")</f>
        <v/>
      </c>
      <c r="G3192" s="28">
        <f>IFERROR(E3192-Dashboard!$B$4/252,"")</f>
        <v/>
      </c>
      <c r="H3192" s="8">
        <f>IFERROR(IF(ISNUMBER(B3192),MAX(B3192,IFERROR(H3191,B3192)),""),"")</f>
        <v/>
      </c>
      <c r="I3192" s="29">
        <f>IFERROR(IF(AND(ISNUMBER(B3192),ISNUMBER(H3192)),B3192/H3192-1,""),"")</f>
        <v/>
      </c>
      <c r="J3192" s="8">
        <f>IFERROR(IF(ISNUMBER(C3192),MAX(C3192,IFERROR(J3191,C3192)),""),"")</f>
        <v/>
      </c>
      <c r="K3192" s="29">
        <f>IFERROR(IF(AND(ISNUMBER(C3192),ISNUMBER(J3192)),C3192/J3192-1,""),"")</f>
        <v/>
      </c>
      <c r="L3192" s="28">
        <f>IFERROR(IF(AND(ISNUMBER(D3192),ISNUMBER(E3192)),D3192-E3192,""),"")</f>
        <v/>
      </c>
    </row>
    <row r="3193">
      <c r="A3193" s="7">
        <f>IFERROR(Datos!A3193,"")</f>
        <v/>
      </c>
      <c r="B3193" s="8">
        <f>IFERROR(Datos!B3193,"")</f>
        <v/>
      </c>
      <c r="C3193" s="8">
        <f>IFERROR(Datos!C3193,"")</f>
        <v/>
      </c>
      <c r="D3193" s="28">
        <f>IFERROR(IF(AND(ISNUMBER(B3193),ISNUMBER(B3192),B3192&lt;&gt;0),B3193/B3192-1,""),"")</f>
        <v/>
      </c>
      <c r="E3193" s="28">
        <f>IFERROR(IF(AND(ISNUMBER(C3193),ISNUMBER(C3192),C3192&lt;&gt;0),C3193/C3192-1,""),"")</f>
        <v/>
      </c>
      <c r="F3193" s="28">
        <f>IFERROR(D3193-Dashboard!$B$4/252,"")</f>
        <v/>
      </c>
      <c r="G3193" s="28">
        <f>IFERROR(E3193-Dashboard!$B$4/252,"")</f>
        <v/>
      </c>
      <c r="H3193" s="8">
        <f>IFERROR(IF(ISNUMBER(B3193),MAX(B3193,IFERROR(H3192,B3193)),""),"")</f>
        <v/>
      </c>
      <c r="I3193" s="29">
        <f>IFERROR(IF(AND(ISNUMBER(B3193),ISNUMBER(H3193)),B3193/H3193-1,""),"")</f>
        <v/>
      </c>
      <c r="J3193" s="8">
        <f>IFERROR(IF(ISNUMBER(C3193),MAX(C3193,IFERROR(J3192,C3193)),""),"")</f>
        <v/>
      </c>
      <c r="K3193" s="29">
        <f>IFERROR(IF(AND(ISNUMBER(C3193),ISNUMBER(J3193)),C3193/J3193-1,""),"")</f>
        <v/>
      </c>
      <c r="L3193" s="28">
        <f>IFERROR(IF(AND(ISNUMBER(D3193),ISNUMBER(E3193)),D3193-E3193,""),"")</f>
        <v/>
      </c>
    </row>
    <row r="3194">
      <c r="A3194" s="7">
        <f>IFERROR(Datos!A3194,"")</f>
        <v/>
      </c>
      <c r="B3194" s="8">
        <f>IFERROR(Datos!B3194,"")</f>
        <v/>
      </c>
      <c r="C3194" s="8">
        <f>IFERROR(Datos!C3194,"")</f>
        <v/>
      </c>
      <c r="D3194" s="28">
        <f>IFERROR(IF(AND(ISNUMBER(B3194),ISNUMBER(B3193),B3193&lt;&gt;0),B3194/B3193-1,""),"")</f>
        <v/>
      </c>
      <c r="E3194" s="28">
        <f>IFERROR(IF(AND(ISNUMBER(C3194),ISNUMBER(C3193),C3193&lt;&gt;0),C3194/C3193-1,""),"")</f>
        <v/>
      </c>
      <c r="F3194" s="28">
        <f>IFERROR(D3194-Dashboard!$B$4/252,"")</f>
        <v/>
      </c>
      <c r="G3194" s="28">
        <f>IFERROR(E3194-Dashboard!$B$4/252,"")</f>
        <v/>
      </c>
      <c r="H3194" s="8">
        <f>IFERROR(IF(ISNUMBER(B3194),MAX(B3194,IFERROR(H3193,B3194)),""),"")</f>
        <v/>
      </c>
      <c r="I3194" s="29">
        <f>IFERROR(IF(AND(ISNUMBER(B3194),ISNUMBER(H3194)),B3194/H3194-1,""),"")</f>
        <v/>
      </c>
      <c r="J3194" s="8">
        <f>IFERROR(IF(ISNUMBER(C3194),MAX(C3194,IFERROR(J3193,C3194)),""),"")</f>
        <v/>
      </c>
      <c r="K3194" s="29">
        <f>IFERROR(IF(AND(ISNUMBER(C3194),ISNUMBER(J3194)),C3194/J3194-1,""),"")</f>
        <v/>
      </c>
      <c r="L3194" s="28">
        <f>IFERROR(IF(AND(ISNUMBER(D3194),ISNUMBER(E3194)),D3194-E3194,""),"")</f>
        <v/>
      </c>
    </row>
    <row r="3195">
      <c r="A3195" s="7">
        <f>IFERROR(Datos!A3195,"")</f>
        <v/>
      </c>
      <c r="B3195" s="8">
        <f>IFERROR(Datos!B3195,"")</f>
        <v/>
      </c>
      <c r="C3195" s="8">
        <f>IFERROR(Datos!C3195,"")</f>
        <v/>
      </c>
      <c r="D3195" s="28">
        <f>IFERROR(IF(AND(ISNUMBER(B3195),ISNUMBER(B3194),B3194&lt;&gt;0),B3195/B3194-1,""),"")</f>
        <v/>
      </c>
      <c r="E3195" s="28">
        <f>IFERROR(IF(AND(ISNUMBER(C3195),ISNUMBER(C3194),C3194&lt;&gt;0),C3195/C3194-1,""),"")</f>
        <v/>
      </c>
      <c r="F3195" s="28">
        <f>IFERROR(D3195-Dashboard!$B$4/252,"")</f>
        <v/>
      </c>
      <c r="G3195" s="28">
        <f>IFERROR(E3195-Dashboard!$B$4/252,"")</f>
        <v/>
      </c>
      <c r="H3195" s="8">
        <f>IFERROR(IF(ISNUMBER(B3195),MAX(B3195,IFERROR(H3194,B3195)),""),"")</f>
        <v/>
      </c>
      <c r="I3195" s="29">
        <f>IFERROR(IF(AND(ISNUMBER(B3195),ISNUMBER(H3195)),B3195/H3195-1,""),"")</f>
        <v/>
      </c>
      <c r="J3195" s="8">
        <f>IFERROR(IF(ISNUMBER(C3195),MAX(C3195,IFERROR(J3194,C3195)),""),"")</f>
        <v/>
      </c>
      <c r="K3195" s="29">
        <f>IFERROR(IF(AND(ISNUMBER(C3195),ISNUMBER(J3195)),C3195/J3195-1,""),"")</f>
        <v/>
      </c>
      <c r="L3195" s="28">
        <f>IFERROR(IF(AND(ISNUMBER(D3195),ISNUMBER(E3195)),D3195-E3195,""),"")</f>
        <v/>
      </c>
    </row>
    <row r="3196">
      <c r="A3196" s="7">
        <f>IFERROR(Datos!A3196,"")</f>
        <v/>
      </c>
      <c r="B3196" s="8">
        <f>IFERROR(Datos!B3196,"")</f>
        <v/>
      </c>
      <c r="C3196" s="8">
        <f>IFERROR(Datos!C3196,"")</f>
        <v/>
      </c>
      <c r="D3196" s="28">
        <f>IFERROR(IF(AND(ISNUMBER(B3196),ISNUMBER(B3195),B3195&lt;&gt;0),B3196/B3195-1,""),"")</f>
        <v/>
      </c>
      <c r="E3196" s="28">
        <f>IFERROR(IF(AND(ISNUMBER(C3196),ISNUMBER(C3195),C3195&lt;&gt;0),C3196/C3195-1,""),"")</f>
        <v/>
      </c>
      <c r="F3196" s="28">
        <f>IFERROR(D3196-Dashboard!$B$4/252,"")</f>
        <v/>
      </c>
      <c r="G3196" s="28">
        <f>IFERROR(E3196-Dashboard!$B$4/252,"")</f>
        <v/>
      </c>
      <c r="H3196" s="8">
        <f>IFERROR(IF(ISNUMBER(B3196),MAX(B3196,IFERROR(H3195,B3196)),""),"")</f>
        <v/>
      </c>
      <c r="I3196" s="29">
        <f>IFERROR(IF(AND(ISNUMBER(B3196),ISNUMBER(H3196)),B3196/H3196-1,""),"")</f>
        <v/>
      </c>
      <c r="J3196" s="8">
        <f>IFERROR(IF(ISNUMBER(C3196),MAX(C3196,IFERROR(J3195,C3196)),""),"")</f>
        <v/>
      </c>
      <c r="K3196" s="29">
        <f>IFERROR(IF(AND(ISNUMBER(C3196),ISNUMBER(J3196)),C3196/J3196-1,""),"")</f>
        <v/>
      </c>
      <c r="L3196" s="28">
        <f>IFERROR(IF(AND(ISNUMBER(D3196),ISNUMBER(E3196)),D3196-E3196,""),"")</f>
        <v/>
      </c>
    </row>
    <row r="3197">
      <c r="A3197" s="7">
        <f>IFERROR(Datos!A3197,"")</f>
        <v/>
      </c>
      <c r="B3197" s="8">
        <f>IFERROR(Datos!B3197,"")</f>
        <v/>
      </c>
      <c r="C3197" s="8">
        <f>IFERROR(Datos!C3197,"")</f>
        <v/>
      </c>
      <c r="D3197" s="28">
        <f>IFERROR(IF(AND(ISNUMBER(B3197),ISNUMBER(B3196),B3196&lt;&gt;0),B3197/B3196-1,""),"")</f>
        <v/>
      </c>
      <c r="E3197" s="28">
        <f>IFERROR(IF(AND(ISNUMBER(C3197),ISNUMBER(C3196),C3196&lt;&gt;0),C3197/C3196-1,""),"")</f>
        <v/>
      </c>
      <c r="F3197" s="28">
        <f>IFERROR(D3197-Dashboard!$B$4/252,"")</f>
        <v/>
      </c>
      <c r="G3197" s="28">
        <f>IFERROR(E3197-Dashboard!$B$4/252,"")</f>
        <v/>
      </c>
      <c r="H3197" s="8">
        <f>IFERROR(IF(ISNUMBER(B3197),MAX(B3197,IFERROR(H3196,B3197)),""),"")</f>
        <v/>
      </c>
      <c r="I3197" s="29">
        <f>IFERROR(IF(AND(ISNUMBER(B3197),ISNUMBER(H3197)),B3197/H3197-1,""),"")</f>
        <v/>
      </c>
      <c r="J3197" s="8">
        <f>IFERROR(IF(ISNUMBER(C3197),MAX(C3197,IFERROR(J3196,C3197)),""),"")</f>
        <v/>
      </c>
      <c r="K3197" s="29">
        <f>IFERROR(IF(AND(ISNUMBER(C3197),ISNUMBER(J3197)),C3197/J3197-1,""),"")</f>
        <v/>
      </c>
      <c r="L3197" s="28">
        <f>IFERROR(IF(AND(ISNUMBER(D3197),ISNUMBER(E3197)),D3197-E3197,""),"")</f>
        <v/>
      </c>
    </row>
    <row r="3198">
      <c r="A3198" s="7">
        <f>IFERROR(Datos!A3198,"")</f>
        <v/>
      </c>
      <c r="B3198" s="8">
        <f>IFERROR(Datos!B3198,"")</f>
        <v/>
      </c>
      <c r="C3198" s="8">
        <f>IFERROR(Datos!C3198,"")</f>
        <v/>
      </c>
      <c r="D3198" s="28">
        <f>IFERROR(IF(AND(ISNUMBER(B3198),ISNUMBER(B3197),B3197&lt;&gt;0),B3198/B3197-1,""),"")</f>
        <v/>
      </c>
      <c r="E3198" s="28">
        <f>IFERROR(IF(AND(ISNUMBER(C3198),ISNUMBER(C3197),C3197&lt;&gt;0),C3198/C3197-1,""),"")</f>
        <v/>
      </c>
      <c r="F3198" s="28">
        <f>IFERROR(D3198-Dashboard!$B$4/252,"")</f>
        <v/>
      </c>
      <c r="G3198" s="28">
        <f>IFERROR(E3198-Dashboard!$B$4/252,"")</f>
        <v/>
      </c>
      <c r="H3198" s="8">
        <f>IFERROR(IF(ISNUMBER(B3198),MAX(B3198,IFERROR(H3197,B3198)),""),"")</f>
        <v/>
      </c>
      <c r="I3198" s="29">
        <f>IFERROR(IF(AND(ISNUMBER(B3198),ISNUMBER(H3198)),B3198/H3198-1,""),"")</f>
        <v/>
      </c>
      <c r="J3198" s="8">
        <f>IFERROR(IF(ISNUMBER(C3198),MAX(C3198,IFERROR(J3197,C3198)),""),"")</f>
        <v/>
      </c>
      <c r="K3198" s="29">
        <f>IFERROR(IF(AND(ISNUMBER(C3198),ISNUMBER(J3198)),C3198/J3198-1,""),"")</f>
        <v/>
      </c>
      <c r="L3198" s="28">
        <f>IFERROR(IF(AND(ISNUMBER(D3198),ISNUMBER(E3198)),D3198-E3198,""),"")</f>
        <v/>
      </c>
    </row>
    <row r="3199">
      <c r="A3199" s="7">
        <f>IFERROR(Datos!A3199,"")</f>
        <v/>
      </c>
      <c r="B3199" s="8">
        <f>IFERROR(Datos!B3199,"")</f>
        <v/>
      </c>
      <c r="C3199" s="8">
        <f>IFERROR(Datos!C3199,"")</f>
        <v/>
      </c>
      <c r="D3199" s="28">
        <f>IFERROR(IF(AND(ISNUMBER(B3199),ISNUMBER(B3198),B3198&lt;&gt;0),B3199/B3198-1,""),"")</f>
        <v/>
      </c>
      <c r="E3199" s="28">
        <f>IFERROR(IF(AND(ISNUMBER(C3199),ISNUMBER(C3198),C3198&lt;&gt;0),C3199/C3198-1,""),"")</f>
        <v/>
      </c>
      <c r="F3199" s="28">
        <f>IFERROR(D3199-Dashboard!$B$4/252,"")</f>
        <v/>
      </c>
      <c r="G3199" s="28">
        <f>IFERROR(E3199-Dashboard!$B$4/252,"")</f>
        <v/>
      </c>
      <c r="H3199" s="8">
        <f>IFERROR(IF(ISNUMBER(B3199),MAX(B3199,IFERROR(H3198,B3199)),""),"")</f>
        <v/>
      </c>
      <c r="I3199" s="29">
        <f>IFERROR(IF(AND(ISNUMBER(B3199),ISNUMBER(H3199)),B3199/H3199-1,""),"")</f>
        <v/>
      </c>
      <c r="J3199" s="8">
        <f>IFERROR(IF(ISNUMBER(C3199),MAX(C3199,IFERROR(J3198,C3199)),""),"")</f>
        <v/>
      </c>
      <c r="K3199" s="29">
        <f>IFERROR(IF(AND(ISNUMBER(C3199),ISNUMBER(J3199)),C3199/J3199-1,""),"")</f>
        <v/>
      </c>
      <c r="L3199" s="28">
        <f>IFERROR(IF(AND(ISNUMBER(D3199),ISNUMBER(E3199)),D3199-E3199,""),"")</f>
        <v/>
      </c>
    </row>
    <row r="3200">
      <c r="A3200" s="7">
        <f>IFERROR(Datos!A3200,"")</f>
        <v/>
      </c>
      <c r="B3200" s="8">
        <f>IFERROR(Datos!B3200,"")</f>
        <v/>
      </c>
      <c r="C3200" s="8">
        <f>IFERROR(Datos!C3200,"")</f>
        <v/>
      </c>
      <c r="D3200" s="28">
        <f>IFERROR(IF(AND(ISNUMBER(B3200),ISNUMBER(B3199),B3199&lt;&gt;0),B3200/B3199-1,""),"")</f>
        <v/>
      </c>
      <c r="E3200" s="28">
        <f>IFERROR(IF(AND(ISNUMBER(C3200),ISNUMBER(C3199),C3199&lt;&gt;0),C3200/C3199-1,""),"")</f>
        <v/>
      </c>
      <c r="F3200" s="28">
        <f>IFERROR(D3200-Dashboard!$B$4/252,"")</f>
        <v/>
      </c>
      <c r="G3200" s="28">
        <f>IFERROR(E3200-Dashboard!$B$4/252,"")</f>
        <v/>
      </c>
      <c r="H3200" s="8">
        <f>IFERROR(IF(ISNUMBER(B3200),MAX(B3200,IFERROR(H3199,B3200)),""),"")</f>
        <v/>
      </c>
      <c r="I3200" s="29">
        <f>IFERROR(IF(AND(ISNUMBER(B3200),ISNUMBER(H3200)),B3200/H3200-1,""),"")</f>
        <v/>
      </c>
      <c r="J3200" s="8">
        <f>IFERROR(IF(ISNUMBER(C3200),MAX(C3200,IFERROR(J3199,C3200)),""),"")</f>
        <v/>
      </c>
      <c r="K3200" s="29">
        <f>IFERROR(IF(AND(ISNUMBER(C3200),ISNUMBER(J3200)),C3200/J3200-1,""),"")</f>
        <v/>
      </c>
      <c r="L3200" s="28">
        <f>IFERROR(IF(AND(ISNUMBER(D3200),ISNUMBER(E3200)),D3200-E3200,""),"")</f>
        <v/>
      </c>
    </row>
    <row r="3201">
      <c r="A3201" s="7">
        <f>IFERROR(Datos!A3201,"")</f>
        <v/>
      </c>
      <c r="B3201" s="8">
        <f>IFERROR(Datos!B3201,"")</f>
        <v/>
      </c>
      <c r="C3201" s="8">
        <f>IFERROR(Datos!C3201,"")</f>
        <v/>
      </c>
      <c r="D3201" s="28">
        <f>IFERROR(IF(AND(ISNUMBER(B3201),ISNUMBER(B3200),B3200&lt;&gt;0),B3201/B3200-1,""),"")</f>
        <v/>
      </c>
      <c r="E3201" s="28">
        <f>IFERROR(IF(AND(ISNUMBER(C3201),ISNUMBER(C3200),C3200&lt;&gt;0),C3201/C3200-1,""),"")</f>
        <v/>
      </c>
      <c r="F3201" s="28">
        <f>IFERROR(D3201-Dashboard!$B$4/252,"")</f>
        <v/>
      </c>
      <c r="G3201" s="28">
        <f>IFERROR(E3201-Dashboard!$B$4/252,"")</f>
        <v/>
      </c>
      <c r="H3201" s="8">
        <f>IFERROR(IF(ISNUMBER(B3201),MAX(B3201,IFERROR(H3200,B3201)),""),"")</f>
        <v/>
      </c>
      <c r="I3201" s="29">
        <f>IFERROR(IF(AND(ISNUMBER(B3201),ISNUMBER(H3201)),B3201/H3201-1,""),"")</f>
        <v/>
      </c>
      <c r="J3201" s="8">
        <f>IFERROR(IF(ISNUMBER(C3201),MAX(C3201,IFERROR(J3200,C3201)),""),"")</f>
        <v/>
      </c>
      <c r="K3201" s="29">
        <f>IFERROR(IF(AND(ISNUMBER(C3201),ISNUMBER(J3201)),C3201/J3201-1,""),"")</f>
        <v/>
      </c>
      <c r="L3201" s="28">
        <f>IFERROR(IF(AND(ISNUMBER(D3201),ISNUMBER(E3201)),D3201-E3201,""),"")</f>
        <v/>
      </c>
    </row>
    <row r="3202">
      <c r="A3202" s="7">
        <f>IFERROR(Datos!A3202,"")</f>
        <v/>
      </c>
      <c r="B3202" s="8">
        <f>IFERROR(Datos!B3202,"")</f>
        <v/>
      </c>
      <c r="C3202" s="8">
        <f>IFERROR(Datos!C3202,"")</f>
        <v/>
      </c>
      <c r="D3202" s="28">
        <f>IFERROR(IF(AND(ISNUMBER(B3202),ISNUMBER(B3201),B3201&lt;&gt;0),B3202/B3201-1,""),"")</f>
        <v/>
      </c>
      <c r="E3202" s="28">
        <f>IFERROR(IF(AND(ISNUMBER(C3202),ISNUMBER(C3201),C3201&lt;&gt;0),C3202/C3201-1,""),"")</f>
        <v/>
      </c>
      <c r="F3202" s="28">
        <f>IFERROR(D3202-Dashboard!$B$4/252,"")</f>
        <v/>
      </c>
      <c r="G3202" s="28">
        <f>IFERROR(E3202-Dashboard!$B$4/252,"")</f>
        <v/>
      </c>
      <c r="H3202" s="8">
        <f>IFERROR(IF(ISNUMBER(B3202),MAX(B3202,IFERROR(H3201,B3202)),""),"")</f>
        <v/>
      </c>
      <c r="I3202" s="29">
        <f>IFERROR(IF(AND(ISNUMBER(B3202),ISNUMBER(H3202)),B3202/H3202-1,""),"")</f>
        <v/>
      </c>
      <c r="J3202" s="8">
        <f>IFERROR(IF(ISNUMBER(C3202),MAX(C3202,IFERROR(J3201,C3202)),""),"")</f>
        <v/>
      </c>
      <c r="K3202" s="29">
        <f>IFERROR(IF(AND(ISNUMBER(C3202),ISNUMBER(J3202)),C3202/J3202-1,""),"")</f>
        <v/>
      </c>
      <c r="L3202" s="28">
        <f>IFERROR(IF(AND(ISNUMBER(D3202),ISNUMBER(E3202)),D3202-E3202,""),"")</f>
        <v/>
      </c>
    </row>
    <row r="3203">
      <c r="A3203" s="7">
        <f>IFERROR(Datos!A3203,"")</f>
        <v/>
      </c>
      <c r="B3203" s="8">
        <f>IFERROR(Datos!B3203,"")</f>
        <v/>
      </c>
      <c r="C3203" s="8">
        <f>IFERROR(Datos!C3203,"")</f>
        <v/>
      </c>
      <c r="D3203" s="28">
        <f>IFERROR(IF(AND(ISNUMBER(B3203),ISNUMBER(B3202),B3202&lt;&gt;0),B3203/B3202-1,""),"")</f>
        <v/>
      </c>
      <c r="E3203" s="28">
        <f>IFERROR(IF(AND(ISNUMBER(C3203),ISNUMBER(C3202),C3202&lt;&gt;0),C3203/C3202-1,""),"")</f>
        <v/>
      </c>
      <c r="F3203" s="28">
        <f>IFERROR(D3203-Dashboard!$B$4/252,"")</f>
        <v/>
      </c>
      <c r="G3203" s="28">
        <f>IFERROR(E3203-Dashboard!$B$4/252,"")</f>
        <v/>
      </c>
      <c r="H3203" s="8">
        <f>IFERROR(IF(ISNUMBER(B3203),MAX(B3203,IFERROR(H3202,B3203)),""),"")</f>
        <v/>
      </c>
      <c r="I3203" s="29">
        <f>IFERROR(IF(AND(ISNUMBER(B3203),ISNUMBER(H3203)),B3203/H3203-1,""),"")</f>
        <v/>
      </c>
      <c r="J3203" s="8">
        <f>IFERROR(IF(ISNUMBER(C3203),MAX(C3203,IFERROR(J3202,C3203)),""),"")</f>
        <v/>
      </c>
      <c r="K3203" s="29">
        <f>IFERROR(IF(AND(ISNUMBER(C3203),ISNUMBER(J3203)),C3203/J3203-1,""),"")</f>
        <v/>
      </c>
      <c r="L3203" s="28">
        <f>IFERROR(IF(AND(ISNUMBER(D3203),ISNUMBER(E3203)),D3203-E3203,""),"")</f>
        <v/>
      </c>
    </row>
    <row r="3204">
      <c r="A3204" s="7">
        <f>IFERROR(Datos!A3204,"")</f>
        <v/>
      </c>
      <c r="B3204" s="8">
        <f>IFERROR(Datos!B3204,"")</f>
        <v/>
      </c>
      <c r="C3204" s="8">
        <f>IFERROR(Datos!C3204,"")</f>
        <v/>
      </c>
      <c r="D3204" s="28">
        <f>IFERROR(IF(AND(ISNUMBER(B3204),ISNUMBER(B3203),B3203&lt;&gt;0),B3204/B3203-1,""),"")</f>
        <v/>
      </c>
      <c r="E3204" s="28">
        <f>IFERROR(IF(AND(ISNUMBER(C3204),ISNUMBER(C3203),C3203&lt;&gt;0),C3204/C3203-1,""),"")</f>
        <v/>
      </c>
      <c r="F3204" s="28">
        <f>IFERROR(D3204-Dashboard!$B$4/252,"")</f>
        <v/>
      </c>
      <c r="G3204" s="28">
        <f>IFERROR(E3204-Dashboard!$B$4/252,"")</f>
        <v/>
      </c>
      <c r="H3204" s="8">
        <f>IFERROR(IF(ISNUMBER(B3204),MAX(B3204,IFERROR(H3203,B3204)),""),"")</f>
        <v/>
      </c>
      <c r="I3204" s="29">
        <f>IFERROR(IF(AND(ISNUMBER(B3204),ISNUMBER(H3204)),B3204/H3204-1,""),"")</f>
        <v/>
      </c>
      <c r="J3204" s="8">
        <f>IFERROR(IF(ISNUMBER(C3204),MAX(C3204,IFERROR(J3203,C3204)),""),"")</f>
        <v/>
      </c>
      <c r="K3204" s="29">
        <f>IFERROR(IF(AND(ISNUMBER(C3204),ISNUMBER(J3204)),C3204/J3204-1,""),"")</f>
        <v/>
      </c>
      <c r="L3204" s="28">
        <f>IFERROR(IF(AND(ISNUMBER(D3204),ISNUMBER(E3204)),D3204-E3204,""),"")</f>
        <v/>
      </c>
    </row>
    <row r="3205">
      <c r="A3205" s="7">
        <f>IFERROR(Datos!A3205,"")</f>
        <v/>
      </c>
      <c r="B3205" s="8">
        <f>IFERROR(Datos!B3205,"")</f>
        <v/>
      </c>
      <c r="C3205" s="8">
        <f>IFERROR(Datos!C3205,"")</f>
        <v/>
      </c>
      <c r="D3205" s="28">
        <f>IFERROR(IF(AND(ISNUMBER(B3205),ISNUMBER(B3204),B3204&lt;&gt;0),B3205/B3204-1,""),"")</f>
        <v/>
      </c>
      <c r="E3205" s="28">
        <f>IFERROR(IF(AND(ISNUMBER(C3205),ISNUMBER(C3204),C3204&lt;&gt;0),C3205/C3204-1,""),"")</f>
        <v/>
      </c>
      <c r="F3205" s="28">
        <f>IFERROR(D3205-Dashboard!$B$4/252,"")</f>
        <v/>
      </c>
      <c r="G3205" s="28">
        <f>IFERROR(E3205-Dashboard!$B$4/252,"")</f>
        <v/>
      </c>
      <c r="H3205" s="8">
        <f>IFERROR(IF(ISNUMBER(B3205),MAX(B3205,IFERROR(H3204,B3205)),""),"")</f>
        <v/>
      </c>
      <c r="I3205" s="29">
        <f>IFERROR(IF(AND(ISNUMBER(B3205),ISNUMBER(H3205)),B3205/H3205-1,""),"")</f>
        <v/>
      </c>
      <c r="J3205" s="8">
        <f>IFERROR(IF(ISNUMBER(C3205),MAX(C3205,IFERROR(J3204,C3205)),""),"")</f>
        <v/>
      </c>
      <c r="K3205" s="29">
        <f>IFERROR(IF(AND(ISNUMBER(C3205),ISNUMBER(J3205)),C3205/J3205-1,""),"")</f>
        <v/>
      </c>
      <c r="L3205" s="28">
        <f>IFERROR(IF(AND(ISNUMBER(D3205),ISNUMBER(E3205)),D3205-E3205,""),"")</f>
        <v/>
      </c>
    </row>
    <row r="3206">
      <c r="A3206" s="7">
        <f>IFERROR(Datos!A3206,"")</f>
        <v/>
      </c>
      <c r="B3206" s="8">
        <f>IFERROR(Datos!B3206,"")</f>
        <v/>
      </c>
      <c r="C3206" s="8">
        <f>IFERROR(Datos!C3206,"")</f>
        <v/>
      </c>
      <c r="D3206" s="28">
        <f>IFERROR(IF(AND(ISNUMBER(B3206),ISNUMBER(B3205),B3205&lt;&gt;0),B3206/B3205-1,""),"")</f>
        <v/>
      </c>
      <c r="E3206" s="28">
        <f>IFERROR(IF(AND(ISNUMBER(C3206),ISNUMBER(C3205),C3205&lt;&gt;0),C3206/C3205-1,""),"")</f>
        <v/>
      </c>
      <c r="F3206" s="28">
        <f>IFERROR(D3206-Dashboard!$B$4/252,"")</f>
        <v/>
      </c>
      <c r="G3206" s="28">
        <f>IFERROR(E3206-Dashboard!$B$4/252,"")</f>
        <v/>
      </c>
      <c r="H3206" s="8">
        <f>IFERROR(IF(ISNUMBER(B3206),MAX(B3206,IFERROR(H3205,B3206)),""),"")</f>
        <v/>
      </c>
      <c r="I3206" s="29">
        <f>IFERROR(IF(AND(ISNUMBER(B3206),ISNUMBER(H3206)),B3206/H3206-1,""),"")</f>
        <v/>
      </c>
      <c r="J3206" s="8">
        <f>IFERROR(IF(ISNUMBER(C3206),MAX(C3206,IFERROR(J3205,C3206)),""),"")</f>
        <v/>
      </c>
      <c r="K3206" s="29">
        <f>IFERROR(IF(AND(ISNUMBER(C3206),ISNUMBER(J3206)),C3206/J3206-1,""),"")</f>
        <v/>
      </c>
      <c r="L3206" s="28">
        <f>IFERROR(IF(AND(ISNUMBER(D3206),ISNUMBER(E3206)),D3206-E3206,""),"")</f>
        <v/>
      </c>
    </row>
    <row r="3207">
      <c r="A3207" s="7">
        <f>IFERROR(Datos!A3207,"")</f>
        <v/>
      </c>
      <c r="B3207" s="8">
        <f>IFERROR(Datos!B3207,"")</f>
        <v/>
      </c>
      <c r="C3207" s="8">
        <f>IFERROR(Datos!C3207,"")</f>
        <v/>
      </c>
      <c r="D3207" s="28">
        <f>IFERROR(IF(AND(ISNUMBER(B3207),ISNUMBER(B3206),B3206&lt;&gt;0),B3207/B3206-1,""),"")</f>
        <v/>
      </c>
      <c r="E3207" s="28">
        <f>IFERROR(IF(AND(ISNUMBER(C3207),ISNUMBER(C3206),C3206&lt;&gt;0),C3207/C3206-1,""),"")</f>
        <v/>
      </c>
      <c r="F3207" s="28">
        <f>IFERROR(D3207-Dashboard!$B$4/252,"")</f>
        <v/>
      </c>
      <c r="G3207" s="28">
        <f>IFERROR(E3207-Dashboard!$B$4/252,"")</f>
        <v/>
      </c>
      <c r="H3207" s="8">
        <f>IFERROR(IF(ISNUMBER(B3207),MAX(B3207,IFERROR(H3206,B3207)),""),"")</f>
        <v/>
      </c>
      <c r="I3207" s="29">
        <f>IFERROR(IF(AND(ISNUMBER(B3207),ISNUMBER(H3207)),B3207/H3207-1,""),"")</f>
        <v/>
      </c>
      <c r="J3207" s="8">
        <f>IFERROR(IF(ISNUMBER(C3207),MAX(C3207,IFERROR(J3206,C3207)),""),"")</f>
        <v/>
      </c>
      <c r="K3207" s="29">
        <f>IFERROR(IF(AND(ISNUMBER(C3207),ISNUMBER(J3207)),C3207/J3207-1,""),"")</f>
        <v/>
      </c>
      <c r="L3207" s="28">
        <f>IFERROR(IF(AND(ISNUMBER(D3207),ISNUMBER(E3207)),D3207-E3207,""),"")</f>
        <v/>
      </c>
    </row>
    <row r="3208">
      <c r="A3208" s="7">
        <f>IFERROR(Datos!A3208,"")</f>
        <v/>
      </c>
      <c r="B3208" s="8">
        <f>IFERROR(Datos!B3208,"")</f>
        <v/>
      </c>
      <c r="C3208" s="8">
        <f>IFERROR(Datos!C3208,"")</f>
        <v/>
      </c>
      <c r="D3208" s="28">
        <f>IFERROR(IF(AND(ISNUMBER(B3208),ISNUMBER(B3207),B3207&lt;&gt;0),B3208/B3207-1,""),"")</f>
        <v/>
      </c>
      <c r="E3208" s="28">
        <f>IFERROR(IF(AND(ISNUMBER(C3208),ISNUMBER(C3207),C3207&lt;&gt;0),C3208/C3207-1,""),"")</f>
        <v/>
      </c>
      <c r="F3208" s="28">
        <f>IFERROR(D3208-Dashboard!$B$4/252,"")</f>
        <v/>
      </c>
      <c r="G3208" s="28">
        <f>IFERROR(E3208-Dashboard!$B$4/252,"")</f>
        <v/>
      </c>
      <c r="H3208" s="8">
        <f>IFERROR(IF(ISNUMBER(B3208),MAX(B3208,IFERROR(H3207,B3208)),""),"")</f>
        <v/>
      </c>
      <c r="I3208" s="29">
        <f>IFERROR(IF(AND(ISNUMBER(B3208),ISNUMBER(H3208)),B3208/H3208-1,""),"")</f>
        <v/>
      </c>
      <c r="J3208" s="8">
        <f>IFERROR(IF(ISNUMBER(C3208),MAX(C3208,IFERROR(J3207,C3208)),""),"")</f>
        <v/>
      </c>
      <c r="K3208" s="29">
        <f>IFERROR(IF(AND(ISNUMBER(C3208),ISNUMBER(J3208)),C3208/J3208-1,""),"")</f>
        <v/>
      </c>
      <c r="L3208" s="28">
        <f>IFERROR(IF(AND(ISNUMBER(D3208),ISNUMBER(E3208)),D3208-E3208,""),"")</f>
        <v/>
      </c>
    </row>
    <row r="3209">
      <c r="A3209" s="7">
        <f>IFERROR(Datos!A3209,"")</f>
        <v/>
      </c>
      <c r="B3209" s="8">
        <f>IFERROR(Datos!B3209,"")</f>
        <v/>
      </c>
      <c r="C3209" s="8">
        <f>IFERROR(Datos!C3209,"")</f>
        <v/>
      </c>
      <c r="D3209" s="28">
        <f>IFERROR(IF(AND(ISNUMBER(B3209),ISNUMBER(B3208),B3208&lt;&gt;0),B3209/B3208-1,""),"")</f>
        <v/>
      </c>
      <c r="E3209" s="28">
        <f>IFERROR(IF(AND(ISNUMBER(C3209),ISNUMBER(C3208),C3208&lt;&gt;0),C3209/C3208-1,""),"")</f>
        <v/>
      </c>
      <c r="F3209" s="28">
        <f>IFERROR(D3209-Dashboard!$B$4/252,"")</f>
        <v/>
      </c>
      <c r="G3209" s="28">
        <f>IFERROR(E3209-Dashboard!$B$4/252,"")</f>
        <v/>
      </c>
      <c r="H3209" s="8">
        <f>IFERROR(IF(ISNUMBER(B3209),MAX(B3209,IFERROR(H3208,B3209)),""),"")</f>
        <v/>
      </c>
      <c r="I3209" s="29">
        <f>IFERROR(IF(AND(ISNUMBER(B3209),ISNUMBER(H3209)),B3209/H3209-1,""),"")</f>
        <v/>
      </c>
      <c r="J3209" s="8">
        <f>IFERROR(IF(ISNUMBER(C3209),MAX(C3209,IFERROR(J3208,C3209)),""),"")</f>
        <v/>
      </c>
      <c r="K3209" s="29">
        <f>IFERROR(IF(AND(ISNUMBER(C3209),ISNUMBER(J3209)),C3209/J3209-1,""),"")</f>
        <v/>
      </c>
      <c r="L3209" s="28">
        <f>IFERROR(IF(AND(ISNUMBER(D3209),ISNUMBER(E3209)),D3209-E3209,""),"")</f>
        <v/>
      </c>
    </row>
    <row r="3210">
      <c r="A3210" s="7">
        <f>IFERROR(Datos!A3210,"")</f>
        <v/>
      </c>
      <c r="B3210" s="8">
        <f>IFERROR(Datos!B3210,"")</f>
        <v/>
      </c>
      <c r="C3210" s="8">
        <f>IFERROR(Datos!C3210,"")</f>
        <v/>
      </c>
      <c r="D3210" s="28">
        <f>IFERROR(IF(AND(ISNUMBER(B3210),ISNUMBER(B3209),B3209&lt;&gt;0),B3210/B3209-1,""),"")</f>
        <v/>
      </c>
      <c r="E3210" s="28">
        <f>IFERROR(IF(AND(ISNUMBER(C3210),ISNUMBER(C3209),C3209&lt;&gt;0),C3210/C3209-1,""),"")</f>
        <v/>
      </c>
      <c r="F3210" s="28">
        <f>IFERROR(D3210-Dashboard!$B$4/252,"")</f>
        <v/>
      </c>
      <c r="G3210" s="28">
        <f>IFERROR(E3210-Dashboard!$B$4/252,"")</f>
        <v/>
      </c>
      <c r="H3210" s="8">
        <f>IFERROR(IF(ISNUMBER(B3210),MAX(B3210,IFERROR(H3209,B3210)),""),"")</f>
        <v/>
      </c>
      <c r="I3210" s="29">
        <f>IFERROR(IF(AND(ISNUMBER(B3210),ISNUMBER(H3210)),B3210/H3210-1,""),"")</f>
        <v/>
      </c>
      <c r="J3210" s="8">
        <f>IFERROR(IF(ISNUMBER(C3210),MAX(C3210,IFERROR(J3209,C3210)),""),"")</f>
        <v/>
      </c>
      <c r="K3210" s="29">
        <f>IFERROR(IF(AND(ISNUMBER(C3210),ISNUMBER(J3210)),C3210/J3210-1,""),"")</f>
        <v/>
      </c>
      <c r="L3210" s="28">
        <f>IFERROR(IF(AND(ISNUMBER(D3210),ISNUMBER(E3210)),D3210-E3210,""),"")</f>
        <v/>
      </c>
    </row>
    <row r="3211">
      <c r="A3211" s="7">
        <f>IFERROR(Datos!A3211,"")</f>
        <v/>
      </c>
      <c r="B3211" s="8">
        <f>IFERROR(Datos!B3211,"")</f>
        <v/>
      </c>
      <c r="C3211" s="8">
        <f>IFERROR(Datos!C3211,"")</f>
        <v/>
      </c>
      <c r="D3211" s="28">
        <f>IFERROR(IF(AND(ISNUMBER(B3211),ISNUMBER(B3210),B3210&lt;&gt;0),B3211/B3210-1,""),"")</f>
        <v/>
      </c>
      <c r="E3211" s="28">
        <f>IFERROR(IF(AND(ISNUMBER(C3211),ISNUMBER(C3210),C3210&lt;&gt;0),C3211/C3210-1,""),"")</f>
        <v/>
      </c>
      <c r="F3211" s="28">
        <f>IFERROR(D3211-Dashboard!$B$4/252,"")</f>
        <v/>
      </c>
      <c r="G3211" s="28">
        <f>IFERROR(E3211-Dashboard!$B$4/252,"")</f>
        <v/>
      </c>
      <c r="H3211" s="8">
        <f>IFERROR(IF(ISNUMBER(B3211),MAX(B3211,IFERROR(H3210,B3211)),""),"")</f>
        <v/>
      </c>
      <c r="I3211" s="29">
        <f>IFERROR(IF(AND(ISNUMBER(B3211),ISNUMBER(H3211)),B3211/H3211-1,""),"")</f>
        <v/>
      </c>
      <c r="J3211" s="8">
        <f>IFERROR(IF(ISNUMBER(C3211),MAX(C3211,IFERROR(J3210,C3211)),""),"")</f>
        <v/>
      </c>
      <c r="K3211" s="29">
        <f>IFERROR(IF(AND(ISNUMBER(C3211),ISNUMBER(J3211)),C3211/J3211-1,""),"")</f>
        <v/>
      </c>
      <c r="L3211" s="28">
        <f>IFERROR(IF(AND(ISNUMBER(D3211),ISNUMBER(E3211)),D3211-E3211,""),"")</f>
        <v/>
      </c>
    </row>
    <row r="3212">
      <c r="A3212" s="7">
        <f>IFERROR(Datos!A3212,"")</f>
        <v/>
      </c>
      <c r="B3212" s="8">
        <f>IFERROR(Datos!B3212,"")</f>
        <v/>
      </c>
      <c r="C3212" s="8">
        <f>IFERROR(Datos!C3212,"")</f>
        <v/>
      </c>
      <c r="D3212" s="28">
        <f>IFERROR(IF(AND(ISNUMBER(B3212),ISNUMBER(B3211),B3211&lt;&gt;0),B3212/B3211-1,""),"")</f>
        <v/>
      </c>
      <c r="E3212" s="28">
        <f>IFERROR(IF(AND(ISNUMBER(C3212),ISNUMBER(C3211),C3211&lt;&gt;0),C3212/C3211-1,""),"")</f>
        <v/>
      </c>
      <c r="F3212" s="28">
        <f>IFERROR(D3212-Dashboard!$B$4/252,"")</f>
        <v/>
      </c>
      <c r="G3212" s="28">
        <f>IFERROR(E3212-Dashboard!$B$4/252,"")</f>
        <v/>
      </c>
      <c r="H3212" s="8">
        <f>IFERROR(IF(ISNUMBER(B3212),MAX(B3212,IFERROR(H3211,B3212)),""),"")</f>
        <v/>
      </c>
      <c r="I3212" s="29">
        <f>IFERROR(IF(AND(ISNUMBER(B3212),ISNUMBER(H3212)),B3212/H3212-1,""),"")</f>
        <v/>
      </c>
      <c r="J3212" s="8">
        <f>IFERROR(IF(ISNUMBER(C3212),MAX(C3212,IFERROR(J3211,C3212)),""),"")</f>
        <v/>
      </c>
      <c r="K3212" s="29">
        <f>IFERROR(IF(AND(ISNUMBER(C3212),ISNUMBER(J3212)),C3212/J3212-1,""),"")</f>
        <v/>
      </c>
      <c r="L3212" s="28">
        <f>IFERROR(IF(AND(ISNUMBER(D3212),ISNUMBER(E3212)),D3212-E3212,""),"")</f>
        <v/>
      </c>
    </row>
    <row r="3213">
      <c r="A3213" s="7">
        <f>IFERROR(Datos!A3213,"")</f>
        <v/>
      </c>
      <c r="B3213" s="8">
        <f>IFERROR(Datos!B3213,"")</f>
        <v/>
      </c>
      <c r="C3213" s="8">
        <f>IFERROR(Datos!C3213,"")</f>
        <v/>
      </c>
      <c r="D3213" s="28">
        <f>IFERROR(IF(AND(ISNUMBER(B3213),ISNUMBER(B3212),B3212&lt;&gt;0),B3213/B3212-1,""),"")</f>
        <v/>
      </c>
      <c r="E3213" s="28">
        <f>IFERROR(IF(AND(ISNUMBER(C3213),ISNUMBER(C3212),C3212&lt;&gt;0),C3213/C3212-1,""),"")</f>
        <v/>
      </c>
      <c r="F3213" s="28">
        <f>IFERROR(D3213-Dashboard!$B$4/252,"")</f>
        <v/>
      </c>
      <c r="G3213" s="28">
        <f>IFERROR(E3213-Dashboard!$B$4/252,"")</f>
        <v/>
      </c>
      <c r="H3213" s="8">
        <f>IFERROR(IF(ISNUMBER(B3213),MAX(B3213,IFERROR(H3212,B3213)),""),"")</f>
        <v/>
      </c>
      <c r="I3213" s="29">
        <f>IFERROR(IF(AND(ISNUMBER(B3213),ISNUMBER(H3213)),B3213/H3213-1,""),"")</f>
        <v/>
      </c>
      <c r="J3213" s="8">
        <f>IFERROR(IF(ISNUMBER(C3213),MAX(C3213,IFERROR(J3212,C3213)),""),"")</f>
        <v/>
      </c>
      <c r="K3213" s="29">
        <f>IFERROR(IF(AND(ISNUMBER(C3213),ISNUMBER(J3213)),C3213/J3213-1,""),"")</f>
        <v/>
      </c>
      <c r="L3213" s="28">
        <f>IFERROR(IF(AND(ISNUMBER(D3213),ISNUMBER(E3213)),D3213-E3213,""),"")</f>
        <v/>
      </c>
    </row>
    <row r="3214">
      <c r="A3214" s="7">
        <f>IFERROR(Datos!A3214,"")</f>
        <v/>
      </c>
      <c r="B3214" s="8">
        <f>IFERROR(Datos!B3214,"")</f>
        <v/>
      </c>
      <c r="C3214" s="8">
        <f>IFERROR(Datos!C3214,"")</f>
        <v/>
      </c>
      <c r="D3214" s="28">
        <f>IFERROR(IF(AND(ISNUMBER(B3214),ISNUMBER(B3213),B3213&lt;&gt;0),B3214/B3213-1,""),"")</f>
        <v/>
      </c>
      <c r="E3214" s="28">
        <f>IFERROR(IF(AND(ISNUMBER(C3214),ISNUMBER(C3213),C3213&lt;&gt;0),C3214/C3213-1,""),"")</f>
        <v/>
      </c>
      <c r="F3214" s="28">
        <f>IFERROR(D3214-Dashboard!$B$4/252,"")</f>
        <v/>
      </c>
      <c r="G3214" s="28">
        <f>IFERROR(E3214-Dashboard!$B$4/252,"")</f>
        <v/>
      </c>
      <c r="H3214" s="8">
        <f>IFERROR(IF(ISNUMBER(B3214),MAX(B3214,IFERROR(H3213,B3214)),""),"")</f>
        <v/>
      </c>
      <c r="I3214" s="29">
        <f>IFERROR(IF(AND(ISNUMBER(B3214),ISNUMBER(H3214)),B3214/H3214-1,""),"")</f>
        <v/>
      </c>
      <c r="J3214" s="8">
        <f>IFERROR(IF(ISNUMBER(C3214),MAX(C3214,IFERROR(J3213,C3214)),""),"")</f>
        <v/>
      </c>
      <c r="K3214" s="29">
        <f>IFERROR(IF(AND(ISNUMBER(C3214),ISNUMBER(J3214)),C3214/J3214-1,""),"")</f>
        <v/>
      </c>
      <c r="L3214" s="28">
        <f>IFERROR(IF(AND(ISNUMBER(D3214),ISNUMBER(E3214)),D3214-E3214,""),"")</f>
        <v/>
      </c>
    </row>
    <row r="3215">
      <c r="A3215" s="7">
        <f>IFERROR(Datos!A3215,"")</f>
        <v/>
      </c>
      <c r="B3215" s="8">
        <f>IFERROR(Datos!B3215,"")</f>
        <v/>
      </c>
      <c r="C3215" s="8">
        <f>IFERROR(Datos!C3215,"")</f>
        <v/>
      </c>
      <c r="D3215" s="28">
        <f>IFERROR(IF(AND(ISNUMBER(B3215),ISNUMBER(B3214),B3214&lt;&gt;0),B3215/B3214-1,""),"")</f>
        <v/>
      </c>
      <c r="E3215" s="28">
        <f>IFERROR(IF(AND(ISNUMBER(C3215),ISNUMBER(C3214),C3214&lt;&gt;0),C3215/C3214-1,""),"")</f>
        <v/>
      </c>
      <c r="F3215" s="28">
        <f>IFERROR(D3215-Dashboard!$B$4/252,"")</f>
        <v/>
      </c>
      <c r="G3215" s="28">
        <f>IFERROR(E3215-Dashboard!$B$4/252,"")</f>
        <v/>
      </c>
      <c r="H3215" s="8">
        <f>IFERROR(IF(ISNUMBER(B3215),MAX(B3215,IFERROR(H3214,B3215)),""),"")</f>
        <v/>
      </c>
      <c r="I3215" s="29">
        <f>IFERROR(IF(AND(ISNUMBER(B3215),ISNUMBER(H3215)),B3215/H3215-1,""),"")</f>
        <v/>
      </c>
      <c r="J3215" s="8">
        <f>IFERROR(IF(ISNUMBER(C3215),MAX(C3215,IFERROR(J3214,C3215)),""),"")</f>
        <v/>
      </c>
      <c r="K3215" s="29">
        <f>IFERROR(IF(AND(ISNUMBER(C3215),ISNUMBER(J3215)),C3215/J3215-1,""),"")</f>
        <v/>
      </c>
      <c r="L3215" s="28">
        <f>IFERROR(IF(AND(ISNUMBER(D3215),ISNUMBER(E3215)),D3215-E3215,""),"")</f>
        <v/>
      </c>
    </row>
    <row r="3216">
      <c r="A3216" s="7">
        <f>IFERROR(Datos!A3216,"")</f>
        <v/>
      </c>
      <c r="B3216" s="8">
        <f>IFERROR(Datos!B3216,"")</f>
        <v/>
      </c>
      <c r="C3216" s="8">
        <f>IFERROR(Datos!C3216,"")</f>
        <v/>
      </c>
      <c r="D3216" s="28">
        <f>IFERROR(IF(AND(ISNUMBER(B3216),ISNUMBER(B3215),B3215&lt;&gt;0),B3216/B3215-1,""),"")</f>
        <v/>
      </c>
      <c r="E3216" s="28">
        <f>IFERROR(IF(AND(ISNUMBER(C3216),ISNUMBER(C3215),C3215&lt;&gt;0),C3216/C3215-1,""),"")</f>
        <v/>
      </c>
      <c r="F3216" s="28">
        <f>IFERROR(D3216-Dashboard!$B$4/252,"")</f>
        <v/>
      </c>
      <c r="G3216" s="28">
        <f>IFERROR(E3216-Dashboard!$B$4/252,"")</f>
        <v/>
      </c>
      <c r="H3216" s="8">
        <f>IFERROR(IF(ISNUMBER(B3216),MAX(B3216,IFERROR(H3215,B3216)),""),"")</f>
        <v/>
      </c>
      <c r="I3216" s="29">
        <f>IFERROR(IF(AND(ISNUMBER(B3216),ISNUMBER(H3216)),B3216/H3216-1,""),"")</f>
        <v/>
      </c>
      <c r="J3216" s="8">
        <f>IFERROR(IF(ISNUMBER(C3216),MAX(C3216,IFERROR(J3215,C3216)),""),"")</f>
        <v/>
      </c>
      <c r="K3216" s="29">
        <f>IFERROR(IF(AND(ISNUMBER(C3216),ISNUMBER(J3216)),C3216/J3216-1,""),"")</f>
        <v/>
      </c>
      <c r="L3216" s="28">
        <f>IFERROR(IF(AND(ISNUMBER(D3216),ISNUMBER(E3216)),D3216-E3216,""),"")</f>
        <v/>
      </c>
    </row>
    <row r="3217">
      <c r="A3217" s="7">
        <f>IFERROR(Datos!A3217,"")</f>
        <v/>
      </c>
      <c r="B3217" s="8">
        <f>IFERROR(Datos!B3217,"")</f>
        <v/>
      </c>
      <c r="C3217" s="8">
        <f>IFERROR(Datos!C3217,"")</f>
        <v/>
      </c>
      <c r="D3217" s="28">
        <f>IFERROR(IF(AND(ISNUMBER(B3217),ISNUMBER(B3216),B3216&lt;&gt;0),B3217/B3216-1,""),"")</f>
        <v/>
      </c>
      <c r="E3217" s="28">
        <f>IFERROR(IF(AND(ISNUMBER(C3217),ISNUMBER(C3216),C3216&lt;&gt;0),C3217/C3216-1,""),"")</f>
        <v/>
      </c>
      <c r="F3217" s="28">
        <f>IFERROR(D3217-Dashboard!$B$4/252,"")</f>
        <v/>
      </c>
      <c r="G3217" s="28">
        <f>IFERROR(E3217-Dashboard!$B$4/252,"")</f>
        <v/>
      </c>
      <c r="H3217" s="8">
        <f>IFERROR(IF(ISNUMBER(B3217),MAX(B3217,IFERROR(H3216,B3217)),""),"")</f>
        <v/>
      </c>
      <c r="I3217" s="29">
        <f>IFERROR(IF(AND(ISNUMBER(B3217),ISNUMBER(H3217)),B3217/H3217-1,""),"")</f>
        <v/>
      </c>
      <c r="J3217" s="8">
        <f>IFERROR(IF(ISNUMBER(C3217),MAX(C3217,IFERROR(J3216,C3217)),""),"")</f>
        <v/>
      </c>
      <c r="K3217" s="29">
        <f>IFERROR(IF(AND(ISNUMBER(C3217),ISNUMBER(J3217)),C3217/J3217-1,""),"")</f>
        <v/>
      </c>
      <c r="L3217" s="28">
        <f>IFERROR(IF(AND(ISNUMBER(D3217),ISNUMBER(E3217)),D3217-E3217,""),"")</f>
        <v/>
      </c>
    </row>
    <row r="3218">
      <c r="A3218" s="7">
        <f>IFERROR(Datos!A3218,"")</f>
        <v/>
      </c>
      <c r="B3218" s="8">
        <f>IFERROR(Datos!B3218,"")</f>
        <v/>
      </c>
      <c r="C3218" s="8">
        <f>IFERROR(Datos!C3218,"")</f>
        <v/>
      </c>
      <c r="D3218" s="28">
        <f>IFERROR(IF(AND(ISNUMBER(B3218),ISNUMBER(B3217),B3217&lt;&gt;0),B3218/B3217-1,""),"")</f>
        <v/>
      </c>
      <c r="E3218" s="28">
        <f>IFERROR(IF(AND(ISNUMBER(C3218),ISNUMBER(C3217),C3217&lt;&gt;0),C3218/C3217-1,""),"")</f>
        <v/>
      </c>
      <c r="F3218" s="28">
        <f>IFERROR(D3218-Dashboard!$B$4/252,"")</f>
        <v/>
      </c>
      <c r="G3218" s="28">
        <f>IFERROR(E3218-Dashboard!$B$4/252,"")</f>
        <v/>
      </c>
      <c r="H3218" s="8">
        <f>IFERROR(IF(ISNUMBER(B3218),MAX(B3218,IFERROR(H3217,B3218)),""),"")</f>
        <v/>
      </c>
      <c r="I3218" s="29">
        <f>IFERROR(IF(AND(ISNUMBER(B3218),ISNUMBER(H3218)),B3218/H3218-1,""),"")</f>
        <v/>
      </c>
      <c r="J3218" s="8">
        <f>IFERROR(IF(ISNUMBER(C3218),MAX(C3218,IFERROR(J3217,C3218)),""),"")</f>
        <v/>
      </c>
      <c r="K3218" s="29">
        <f>IFERROR(IF(AND(ISNUMBER(C3218),ISNUMBER(J3218)),C3218/J3218-1,""),"")</f>
        <v/>
      </c>
      <c r="L3218" s="28">
        <f>IFERROR(IF(AND(ISNUMBER(D3218),ISNUMBER(E3218)),D3218-E3218,""),"")</f>
        <v/>
      </c>
    </row>
    <row r="3219">
      <c r="A3219" s="7">
        <f>IFERROR(Datos!A3219,"")</f>
        <v/>
      </c>
      <c r="B3219" s="8">
        <f>IFERROR(Datos!B3219,"")</f>
        <v/>
      </c>
      <c r="C3219" s="8">
        <f>IFERROR(Datos!C3219,"")</f>
        <v/>
      </c>
      <c r="D3219" s="28">
        <f>IFERROR(IF(AND(ISNUMBER(B3219),ISNUMBER(B3218),B3218&lt;&gt;0),B3219/B3218-1,""),"")</f>
        <v/>
      </c>
      <c r="E3219" s="28">
        <f>IFERROR(IF(AND(ISNUMBER(C3219),ISNUMBER(C3218),C3218&lt;&gt;0),C3219/C3218-1,""),"")</f>
        <v/>
      </c>
      <c r="F3219" s="28">
        <f>IFERROR(D3219-Dashboard!$B$4/252,"")</f>
        <v/>
      </c>
      <c r="G3219" s="28">
        <f>IFERROR(E3219-Dashboard!$B$4/252,"")</f>
        <v/>
      </c>
      <c r="H3219" s="8">
        <f>IFERROR(IF(ISNUMBER(B3219),MAX(B3219,IFERROR(H3218,B3219)),""),"")</f>
        <v/>
      </c>
      <c r="I3219" s="29">
        <f>IFERROR(IF(AND(ISNUMBER(B3219),ISNUMBER(H3219)),B3219/H3219-1,""),"")</f>
        <v/>
      </c>
      <c r="J3219" s="8">
        <f>IFERROR(IF(ISNUMBER(C3219),MAX(C3219,IFERROR(J3218,C3219)),""),"")</f>
        <v/>
      </c>
      <c r="K3219" s="29">
        <f>IFERROR(IF(AND(ISNUMBER(C3219),ISNUMBER(J3219)),C3219/J3219-1,""),"")</f>
        <v/>
      </c>
      <c r="L3219" s="28">
        <f>IFERROR(IF(AND(ISNUMBER(D3219),ISNUMBER(E3219)),D3219-E3219,""),"")</f>
        <v/>
      </c>
    </row>
    <row r="3220">
      <c r="A3220" s="7">
        <f>IFERROR(Datos!A3220,"")</f>
        <v/>
      </c>
      <c r="B3220" s="8">
        <f>IFERROR(Datos!B3220,"")</f>
        <v/>
      </c>
      <c r="C3220" s="8">
        <f>IFERROR(Datos!C3220,"")</f>
        <v/>
      </c>
      <c r="D3220" s="28">
        <f>IFERROR(IF(AND(ISNUMBER(B3220),ISNUMBER(B3219),B3219&lt;&gt;0),B3220/B3219-1,""),"")</f>
        <v/>
      </c>
      <c r="E3220" s="28">
        <f>IFERROR(IF(AND(ISNUMBER(C3220),ISNUMBER(C3219),C3219&lt;&gt;0),C3220/C3219-1,""),"")</f>
        <v/>
      </c>
      <c r="F3220" s="28">
        <f>IFERROR(D3220-Dashboard!$B$4/252,"")</f>
        <v/>
      </c>
      <c r="G3220" s="28">
        <f>IFERROR(E3220-Dashboard!$B$4/252,"")</f>
        <v/>
      </c>
      <c r="H3220" s="8">
        <f>IFERROR(IF(ISNUMBER(B3220),MAX(B3220,IFERROR(H3219,B3220)),""),"")</f>
        <v/>
      </c>
      <c r="I3220" s="29">
        <f>IFERROR(IF(AND(ISNUMBER(B3220),ISNUMBER(H3220)),B3220/H3220-1,""),"")</f>
        <v/>
      </c>
      <c r="J3220" s="8">
        <f>IFERROR(IF(ISNUMBER(C3220),MAX(C3220,IFERROR(J3219,C3220)),""),"")</f>
        <v/>
      </c>
      <c r="K3220" s="29">
        <f>IFERROR(IF(AND(ISNUMBER(C3220),ISNUMBER(J3220)),C3220/J3220-1,""),"")</f>
        <v/>
      </c>
      <c r="L3220" s="28">
        <f>IFERROR(IF(AND(ISNUMBER(D3220),ISNUMBER(E3220)),D3220-E3220,""),"")</f>
        <v/>
      </c>
    </row>
    <row r="3221">
      <c r="A3221" s="7">
        <f>IFERROR(Datos!A3221,"")</f>
        <v/>
      </c>
      <c r="B3221" s="8">
        <f>IFERROR(Datos!B3221,"")</f>
        <v/>
      </c>
      <c r="C3221" s="8">
        <f>IFERROR(Datos!C3221,"")</f>
        <v/>
      </c>
      <c r="D3221" s="28">
        <f>IFERROR(IF(AND(ISNUMBER(B3221),ISNUMBER(B3220),B3220&lt;&gt;0),B3221/B3220-1,""),"")</f>
        <v/>
      </c>
      <c r="E3221" s="28">
        <f>IFERROR(IF(AND(ISNUMBER(C3221),ISNUMBER(C3220),C3220&lt;&gt;0),C3221/C3220-1,""),"")</f>
        <v/>
      </c>
      <c r="F3221" s="28">
        <f>IFERROR(D3221-Dashboard!$B$4/252,"")</f>
        <v/>
      </c>
      <c r="G3221" s="28">
        <f>IFERROR(E3221-Dashboard!$B$4/252,"")</f>
        <v/>
      </c>
      <c r="H3221" s="8">
        <f>IFERROR(IF(ISNUMBER(B3221),MAX(B3221,IFERROR(H3220,B3221)),""),"")</f>
        <v/>
      </c>
      <c r="I3221" s="29">
        <f>IFERROR(IF(AND(ISNUMBER(B3221),ISNUMBER(H3221)),B3221/H3221-1,""),"")</f>
        <v/>
      </c>
      <c r="J3221" s="8">
        <f>IFERROR(IF(ISNUMBER(C3221),MAX(C3221,IFERROR(J3220,C3221)),""),"")</f>
        <v/>
      </c>
      <c r="K3221" s="29">
        <f>IFERROR(IF(AND(ISNUMBER(C3221),ISNUMBER(J3221)),C3221/J3221-1,""),"")</f>
        <v/>
      </c>
      <c r="L3221" s="28">
        <f>IFERROR(IF(AND(ISNUMBER(D3221),ISNUMBER(E3221)),D3221-E3221,""),"")</f>
        <v/>
      </c>
    </row>
    <row r="3222">
      <c r="A3222" s="7">
        <f>IFERROR(Datos!A3222,"")</f>
        <v/>
      </c>
      <c r="B3222" s="8">
        <f>IFERROR(Datos!B3222,"")</f>
        <v/>
      </c>
      <c r="C3222" s="8">
        <f>IFERROR(Datos!C3222,"")</f>
        <v/>
      </c>
      <c r="D3222" s="28">
        <f>IFERROR(IF(AND(ISNUMBER(B3222),ISNUMBER(B3221),B3221&lt;&gt;0),B3222/B3221-1,""),"")</f>
        <v/>
      </c>
      <c r="E3222" s="28">
        <f>IFERROR(IF(AND(ISNUMBER(C3222),ISNUMBER(C3221),C3221&lt;&gt;0),C3222/C3221-1,""),"")</f>
        <v/>
      </c>
      <c r="F3222" s="28">
        <f>IFERROR(D3222-Dashboard!$B$4/252,"")</f>
        <v/>
      </c>
      <c r="G3222" s="28">
        <f>IFERROR(E3222-Dashboard!$B$4/252,"")</f>
        <v/>
      </c>
      <c r="H3222" s="8">
        <f>IFERROR(IF(ISNUMBER(B3222),MAX(B3222,IFERROR(H3221,B3222)),""),"")</f>
        <v/>
      </c>
      <c r="I3222" s="29">
        <f>IFERROR(IF(AND(ISNUMBER(B3222),ISNUMBER(H3222)),B3222/H3222-1,""),"")</f>
        <v/>
      </c>
      <c r="J3222" s="8">
        <f>IFERROR(IF(ISNUMBER(C3222),MAX(C3222,IFERROR(J3221,C3222)),""),"")</f>
        <v/>
      </c>
      <c r="K3222" s="29">
        <f>IFERROR(IF(AND(ISNUMBER(C3222),ISNUMBER(J3222)),C3222/J3222-1,""),"")</f>
        <v/>
      </c>
      <c r="L3222" s="28">
        <f>IFERROR(IF(AND(ISNUMBER(D3222),ISNUMBER(E3222)),D3222-E3222,""),"")</f>
        <v/>
      </c>
    </row>
    <row r="3223">
      <c r="A3223" s="7">
        <f>IFERROR(Datos!A3223,"")</f>
        <v/>
      </c>
      <c r="B3223" s="8">
        <f>IFERROR(Datos!B3223,"")</f>
        <v/>
      </c>
      <c r="C3223" s="8">
        <f>IFERROR(Datos!C3223,"")</f>
        <v/>
      </c>
      <c r="D3223" s="28">
        <f>IFERROR(IF(AND(ISNUMBER(B3223),ISNUMBER(B3222),B3222&lt;&gt;0),B3223/B3222-1,""),"")</f>
        <v/>
      </c>
      <c r="E3223" s="28">
        <f>IFERROR(IF(AND(ISNUMBER(C3223),ISNUMBER(C3222),C3222&lt;&gt;0),C3223/C3222-1,""),"")</f>
        <v/>
      </c>
      <c r="F3223" s="28">
        <f>IFERROR(D3223-Dashboard!$B$4/252,"")</f>
        <v/>
      </c>
      <c r="G3223" s="28">
        <f>IFERROR(E3223-Dashboard!$B$4/252,"")</f>
        <v/>
      </c>
      <c r="H3223" s="8">
        <f>IFERROR(IF(ISNUMBER(B3223),MAX(B3223,IFERROR(H3222,B3223)),""),"")</f>
        <v/>
      </c>
      <c r="I3223" s="29">
        <f>IFERROR(IF(AND(ISNUMBER(B3223),ISNUMBER(H3223)),B3223/H3223-1,""),"")</f>
        <v/>
      </c>
      <c r="J3223" s="8">
        <f>IFERROR(IF(ISNUMBER(C3223),MAX(C3223,IFERROR(J3222,C3223)),""),"")</f>
        <v/>
      </c>
      <c r="K3223" s="29">
        <f>IFERROR(IF(AND(ISNUMBER(C3223),ISNUMBER(J3223)),C3223/J3223-1,""),"")</f>
        <v/>
      </c>
      <c r="L3223" s="28">
        <f>IFERROR(IF(AND(ISNUMBER(D3223),ISNUMBER(E3223)),D3223-E3223,""),"")</f>
        <v/>
      </c>
    </row>
    <row r="3224">
      <c r="A3224" s="7">
        <f>IFERROR(Datos!A3224,"")</f>
        <v/>
      </c>
      <c r="B3224" s="8">
        <f>IFERROR(Datos!B3224,"")</f>
        <v/>
      </c>
      <c r="C3224" s="8">
        <f>IFERROR(Datos!C3224,"")</f>
        <v/>
      </c>
      <c r="D3224" s="28">
        <f>IFERROR(IF(AND(ISNUMBER(B3224),ISNUMBER(B3223),B3223&lt;&gt;0),B3224/B3223-1,""),"")</f>
        <v/>
      </c>
      <c r="E3224" s="28">
        <f>IFERROR(IF(AND(ISNUMBER(C3224),ISNUMBER(C3223),C3223&lt;&gt;0),C3224/C3223-1,""),"")</f>
        <v/>
      </c>
      <c r="F3224" s="28">
        <f>IFERROR(D3224-Dashboard!$B$4/252,"")</f>
        <v/>
      </c>
      <c r="G3224" s="28">
        <f>IFERROR(E3224-Dashboard!$B$4/252,"")</f>
        <v/>
      </c>
      <c r="H3224" s="8">
        <f>IFERROR(IF(ISNUMBER(B3224),MAX(B3224,IFERROR(H3223,B3224)),""),"")</f>
        <v/>
      </c>
      <c r="I3224" s="29">
        <f>IFERROR(IF(AND(ISNUMBER(B3224),ISNUMBER(H3224)),B3224/H3224-1,""),"")</f>
        <v/>
      </c>
      <c r="J3224" s="8">
        <f>IFERROR(IF(ISNUMBER(C3224),MAX(C3224,IFERROR(J3223,C3224)),""),"")</f>
        <v/>
      </c>
      <c r="K3224" s="29">
        <f>IFERROR(IF(AND(ISNUMBER(C3224),ISNUMBER(J3224)),C3224/J3224-1,""),"")</f>
        <v/>
      </c>
      <c r="L3224" s="28">
        <f>IFERROR(IF(AND(ISNUMBER(D3224),ISNUMBER(E3224)),D3224-E3224,""),"")</f>
        <v/>
      </c>
    </row>
    <row r="3225">
      <c r="A3225" s="7">
        <f>IFERROR(Datos!A3225,"")</f>
        <v/>
      </c>
      <c r="B3225" s="8">
        <f>IFERROR(Datos!B3225,"")</f>
        <v/>
      </c>
      <c r="C3225" s="8">
        <f>IFERROR(Datos!C3225,"")</f>
        <v/>
      </c>
      <c r="D3225" s="28">
        <f>IFERROR(IF(AND(ISNUMBER(B3225),ISNUMBER(B3224),B3224&lt;&gt;0),B3225/B3224-1,""),"")</f>
        <v/>
      </c>
      <c r="E3225" s="28">
        <f>IFERROR(IF(AND(ISNUMBER(C3225),ISNUMBER(C3224),C3224&lt;&gt;0),C3225/C3224-1,""),"")</f>
        <v/>
      </c>
      <c r="F3225" s="28">
        <f>IFERROR(D3225-Dashboard!$B$4/252,"")</f>
        <v/>
      </c>
      <c r="G3225" s="28">
        <f>IFERROR(E3225-Dashboard!$B$4/252,"")</f>
        <v/>
      </c>
      <c r="H3225" s="8">
        <f>IFERROR(IF(ISNUMBER(B3225),MAX(B3225,IFERROR(H3224,B3225)),""),"")</f>
        <v/>
      </c>
      <c r="I3225" s="29">
        <f>IFERROR(IF(AND(ISNUMBER(B3225),ISNUMBER(H3225)),B3225/H3225-1,""),"")</f>
        <v/>
      </c>
      <c r="J3225" s="8">
        <f>IFERROR(IF(ISNUMBER(C3225),MAX(C3225,IFERROR(J3224,C3225)),""),"")</f>
        <v/>
      </c>
      <c r="K3225" s="29">
        <f>IFERROR(IF(AND(ISNUMBER(C3225),ISNUMBER(J3225)),C3225/J3225-1,""),"")</f>
        <v/>
      </c>
      <c r="L3225" s="28">
        <f>IFERROR(IF(AND(ISNUMBER(D3225),ISNUMBER(E3225)),D3225-E3225,""),"")</f>
        <v/>
      </c>
    </row>
    <row r="3226">
      <c r="A3226" s="7">
        <f>IFERROR(Datos!A3226,"")</f>
        <v/>
      </c>
      <c r="B3226" s="8">
        <f>IFERROR(Datos!B3226,"")</f>
        <v/>
      </c>
      <c r="C3226" s="8">
        <f>IFERROR(Datos!C3226,"")</f>
        <v/>
      </c>
      <c r="D3226" s="28">
        <f>IFERROR(IF(AND(ISNUMBER(B3226),ISNUMBER(B3225),B3225&lt;&gt;0),B3226/B3225-1,""),"")</f>
        <v/>
      </c>
      <c r="E3226" s="28">
        <f>IFERROR(IF(AND(ISNUMBER(C3226),ISNUMBER(C3225),C3225&lt;&gt;0),C3226/C3225-1,""),"")</f>
        <v/>
      </c>
      <c r="F3226" s="28">
        <f>IFERROR(D3226-Dashboard!$B$4/252,"")</f>
        <v/>
      </c>
      <c r="G3226" s="28">
        <f>IFERROR(E3226-Dashboard!$B$4/252,"")</f>
        <v/>
      </c>
      <c r="H3226" s="8">
        <f>IFERROR(IF(ISNUMBER(B3226),MAX(B3226,IFERROR(H3225,B3226)),""),"")</f>
        <v/>
      </c>
      <c r="I3226" s="29">
        <f>IFERROR(IF(AND(ISNUMBER(B3226),ISNUMBER(H3226)),B3226/H3226-1,""),"")</f>
        <v/>
      </c>
      <c r="J3226" s="8">
        <f>IFERROR(IF(ISNUMBER(C3226),MAX(C3226,IFERROR(J3225,C3226)),""),"")</f>
        <v/>
      </c>
      <c r="K3226" s="29">
        <f>IFERROR(IF(AND(ISNUMBER(C3226),ISNUMBER(J3226)),C3226/J3226-1,""),"")</f>
        <v/>
      </c>
      <c r="L3226" s="28">
        <f>IFERROR(IF(AND(ISNUMBER(D3226),ISNUMBER(E3226)),D3226-E3226,""),"")</f>
        <v/>
      </c>
    </row>
    <row r="3227">
      <c r="A3227" s="7">
        <f>IFERROR(Datos!A3227,"")</f>
        <v/>
      </c>
      <c r="B3227" s="8">
        <f>IFERROR(Datos!B3227,"")</f>
        <v/>
      </c>
      <c r="C3227" s="8">
        <f>IFERROR(Datos!C3227,"")</f>
        <v/>
      </c>
      <c r="D3227" s="28">
        <f>IFERROR(IF(AND(ISNUMBER(B3227),ISNUMBER(B3226),B3226&lt;&gt;0),B3227/B3226-1,""),"")</f>
        <v/>
      </c>
      <c r="E3227" s="28">
        <f>IFERROR(IF(AND(ISNUMBER(C3227),ISNUMBER(C3226),C3226&lt;&gt;0),C3227/C3226-1,""),"")</f>
        <v/>
      </c>
      <c r="F3227" s="28">
        <f>IFERROR(D3227-Dashboard!$B$4/252,"")</f>
        <v/>
      </c>
      <c r="G3227" s="28">
        <f>IFERROR(E3227-Dashboard!$B$4/252,"")</f>
        <v/>
      </c>
      <c r="H3227" s="8">
        <f>IFERROR(IF(ISNUMBER(B3227),MAX(B3227,IFERROR(H3226,B3227)),""),"")</f>
        <v/>
      </c>
      <c r="I3227" s="29">
        <f>IFERROR(IF(AND(ISNUMBER(B3227),ISNUMBER(H3227)),B3227/H3227-1,""),"")</f>
        <v/>
      </c>
      <c r="J3227" s="8">
        <f>IFERROR(IF(ISNUMBER(C3227),MAX(C3227,IFERROR(J3226,C3227)),""),"")</f>
        <v/>
      </c>
      <c r="K3227" s="29">
        <f>IFERROR(IF(AND(ISNUMBER(C3227),ISNUMBER(J3227)),C3227/J3227-1,""),"")</f>
        <v/>
      </c>
      <c r="L3227" s="28">
        <f>IFERROR(IF(AND(ISNUMBER(D3227),ISNUMBER(E3227)),D3227-E3227,""),"")</f>
        <v/>
      </c>
    </row>
    <row r="3228">
      <c r="A3228" s="7">
        <f>IFERROR(Datos!A3228,"")</f>
        <v/>
      </c>
      <c r="B3228" s="8">
        <f>IFERROR(Datos!B3228,"")</f>
        <v/>
      </c>
      <c r="C3228" s="8">
        <f>IFERROR(Datos!C3228,"")</f>
        <v/>
      </c>
      <c r="D3228" s="28">
        <f>IFERROR(IF(AND(ISNUMBER(B3228),ISNUMBER(B3227),B3227&lt;&gt;0),B3228/B3227-1,""),"")</f>
        <v/>
      </c>
      <c r="E3228" s="28">
        <f>IFERROR(IF(AND(ISNUMBER(C3228),ISNUMBER(C3227),C3227&lt;&gt;0),C3228/C3227-1,""),"")</f>
        <v/>
      </c>
      <c r="F3228" s="28">
        <f>IFERROR(D3228-Dashboard!$B$4/252,"")</f>
        <v/>
      </c>
      <c r="G3228" s="28">
        <f>IFERROR(E3228-Dashboard!$B$4/252,"")</f>
        <v/>
      </c>
      <c r="H3228" s="8">
        <f>IFERROR(IF(ISNUMBER(B3228),MAX(B3228,IFERROR(H3227,B3228)),""),"")</f>
        <v/>
      </c>
      <c r="I3228" s="29">
        <f>IFERROR(IF(AND(ISNUMBER(B3228),ISNUMBER(H3228)),B3228/H3228-1,""),"")</f>
        <v/>
      </c>
      <c r="J3228" s="8">
        <f>IFERROR(IF(ISNUMBER(C3228),MAX(C3228,IFERROR(J3227,C3228)),""),"")</f>
        <v/>
      </c>
      <c r="K3228" s="29">
        <f>IFERROR(IF(AND(ISNUMBER(C3228),ISNUMBER(J3228)),C3228/J3228-1,""),"")</f>
        <v/>
      </c>
      <c r="L3228" s="28">
        <f>IFERROR(IF(AND(ISNUMBER(D3228),ISNUMBER(E3228)),D3228-E3228,""),"")</f>
        <v/>
      </c>
    </row>
    <row r="3229">
      <c r="A3229" s="7">
        <f>IFERROR(Datos!A3229,"")</f>
        <v/>
      </c>
      <c r="B3229" s="8">
        <f>IFERROR(Datos!B3229,"")</f>
        <v/>
      </c>
      <c r="C3229" s="8">
        <f>IFERROR(Datos!C3229,"")</f>
        <v/>
      </c>
      <c r="D3229" s="28">
        <f>IFERROR(IF(AND(ISNUMBER(B3229),ISNUMBER(B3228),B3228&lt;&gt;0),B3229/B3228-1,""),"")</f>
        <v/>
      </c>
      <c r="E3229" s="28">
        <f>IFERROR(IF(AND(ISNUMBER(C3229),ISNUMBER(C3228),C3228&lt;&gt;0),C3229/C3228-1,""),"")</f>
        <v/>
      </c>
      <c r="F3229" s="28">
        <f>IFERROR(D3229-Dashboard!$B$4/252,"")</f>
        <v/>
      </c>
      <c r="G3229" s="28">
        <f>IFERROR(E3229-Dashboard!$B$4/252,"")</f>
        <v/>
      </c>
      <c r="H3229" s="8">
        <f>IFERROR(IF(ISNUMBER(B3229),MAX(B3229,IFERROR(H3228,B3229)),""),"")</f>
        <v/>
      </c>
      <c r="I3229" s="29">
        <f>IFERROR(IF(AND(ISNUMBER(B3229),ISNUMBER(H3229)),B3229/H3229-1,""),"")</f>
        <v/>
      </c>
      <c r="J3229" s="8">
        <f>IFERROR(IF(ISNUMBER(C3229),MAX(C3229,IFERROR(J3228,C3229)),""),"")</f>
        <v/>
      </c>
      <c r="K3229" s="29">
        <f>IFERROR(IF(AND(ISNUMBER(C3229),ISNUMBER(J3229)),C3229/J3229-1,""),"")</f>
        <v/>
      </c>
      <c r="L3229" s="28">
        <f>IFERROR(IF(AND(ISNUMBER(D3229),ISNUMBER(E3229)),D3229-E3229,""),"")</f>
        <v/>
      </c>
    </row>
    <row r="3230">
      <c r="A3230" s="7">
        <f>IFERROR(Datos!A3230,"")</f>
        <v/>
      </c>
      <c r="B3230" s="8">
        <f>IFERROR(Datos!B3230,"")</f>
        <v/>
      </c>
      <c r="C3230" s="8">
        <f>IFERROR(Datos!C3230,"")</f>
        <v/>
      </c>
      <c r="D3230" s="28">
        <f>IFERROR(IF(AND(ISNUMBER(B3230),ISNUMBER(B3229),B3229&lt;&gt;0),B3230/B3229-1,""),"")</f>
        <v/>
      </c>
      <c r="E3230" s="28">
        <f>IFERROR(IF(AND(ISNUMBER(C3230),ISNUMBER(C3229),C3229&lt;&gt;0),C3230/C3229-1,""),"")</f>
        <v/>
      </c>
      <c r="F3230" s="28">
        <f>IFERROR(D3230-Dashboard!$B$4/252,"")</f>
        <v/>
      </c>
      <c r="G3230" s="28">
        <f>IFERROR(E3230-Dashboard!$B$4/252,"")</f>
        <v/>
      </c>
      <c r="H3230" s="8">
        <f>IFERROR(IF(ISNUMBER(B3230),MAX(B3230,IFERROR(H3229,B3230)),""),"")</f>
        <v/>
      </c>
      <c r="I3230" s="29">
        <f>IFERROR(IF(AND(ISNUMBER(B3230),ISNUMBER(H3230)),B3230/H3230-1,""),"")</f>
        <v/>
      </c>
      <c r="J3230" s="8">
        <f>IFERROR(IF(ISNUMBER(C3230),MAX(C3230,IFERROR(J3229,C3230)),""),"")</f>
        <v/>
      </c>
      <c r="K3230" s="29">
        <f>IFERROR(IF(AND(ISNUMBER(C3230),ISNUMBER(J3230)),C3230/J3230-1,""),"")</f>
        <v/>
      </c>
      <c r="L3230" s="28">
        <f>IFERROR(IF(AND(ISNUMBER(D3230),ISNUMBER(E3230)),D3230-E3230,""),"")</f>
        <v/>
      </c>
    </row>
    <row r="3231">
      <c r="A3231" s="7">
        <f>IFERROR(Datos!A3231,"")</f>
        <v/>
      </c>
      <c r="B3231" s="8">
        <f>IFERROR(Datos!B3231,"")</f>
        <v/>
      </c>
      <c r="C3231" s="8">
        <f>IFERROR(Datos!C3231,"")</f>
        <v/>
      </c>
      <c r="D3231" s="28">
        <f>IFERROR(IF(AND(ISNUMBER(B3231),ISNUMBER(B3230),B3230&lt;&gt;0),B3231/B3230-1,""),"")</f>
        <v/>
      </c>
      <c r="E3231" s="28">
        <f>IFERROR(IF(AND(ISNUMBER(C3231),ISNUMBER(C3230),C3230&lt;&gt;0),C3231/C3230-1,""),"")</f>
        <v/>
      </c>
      <c r="F3231" s="28">
        <f>IFERROR(D3231-Dashboard!$B$4/252,"")</f>
        <v/>
      </c>
      <c r="G3231" s="28">
        <f>IFERROR(E3231-Dashboard!$B$4/252,"")</f>
        <v/>
      </c>
      <c r="H3231" s="8">
        <f>IFERROR(IF(ISNUMBER(B3231),MAX(B3231,IFERROR(H3230,B3231)),""),"")</f>
        <v/>
      </c>
      <c r="I3231" s="29">
        <f>IFERROR(IF(AND(ISNUMBER(B3231),ISNUMBER(H3231)),B3231/H3231-1,""),"")</f>
        <v/>
      </c>
      <c r="J3231" s="8">
        <f>IFERROR(IF(ISNUMBER(C3231),MAX(C3231,IFERROR(J3230,C3231)),""),"")</f>
        <v/>
      </c>
      <c r="K3231" s="29">
        <f>IFERROR(IF(AND(ISNUMBER(C3231),ISNUMBER(J3231)),C3231/J3231-1,""),"")</f>
        <v/>
      </c>
      <c r="L3231" s="28">
        <f>IFERROR(IF(AND(ISNUMBER(D3231),ISNUMBER(E3231)),D3231-E3231,""),"")</f>
        <v/>
      </c>
    </row>
    <row r="3232">
      <c r="A3232" s="7">
        <f>IFERROR(Datos!A3232,"")</f>
        <v/>
      </c>
      <c r="B3232" s="8">
        <f>IFERROR(Datos!B3232,"")</f>
        <v/>
      </c>
      <c r="C3232" s="8">
        <f>IFERROR(Datos!C3232,"")</f>
        <v/>
      </c>
      <c r="D3232" s="28">
        <f>IFERROR(IF(AND(ISNUMBER(B3232),ISNUMBER(B3231),B3231&lt;&gt;0),B3232/B3231-1,""),"")</f>
        <v/>
      </c>
      <c r="E3232" s="28">
        <f>IFERROR(IF(AND(ISNUMBER(C3232),ISNUMBER(C3231),C3231&lt;&gt;0),C3232/C3231-1,""),"")</f>
        <v/>
      </c>
      <c r="F3232" s="28">
        <f>IFERROR(D3232-Dashboard!$B$4/252,"")</f>
        <v/>
      </c>
      <c r="G3232" s="28">
        <f>IFERROR(E3232-Dashboard!$B$4/252,"")</f>
        <v/>
      </c>
      <c r="H3232" s="8">
        <f>IFERROR(IF(ISNUMBER(B3232),MAX(B3232,IFERROR(H3231,B3232)),""),"")</f>
        <v/>
      </c>
      <c r="I3232" s="29">
        <f>IFERROR(IF(AND(ISNUMBER(B3232),ISNUMBER(H3232)),B3232/H3232-1,""),"")</f>
        <v/>
      </c>
      <c r="J3232" s="8">
        <f>IFERROR(IF(ISNUMBER(C3232),MAX(C3232,IFERROR(J3231,C3232)),""),"")</f>
        <v/>
      </c>
      <c r="K3232" s="29">
        <f>IFERROR(IF(AND(ISNUMBER(C3232),ISNUMBER(J3232)),C3232/J3232-1,""),"")</f>
        <v/>
      </c>
      <c r="L3232" s="28">
        <f>IFERROR(IF(AND(ISNUMBER(D3232),ISNUMBER(E3232)),D3232-E3232,""),"")</f>
        <v/>
      </c>
    </row>
    <row r="3233">
      <c r="A3233" s="7">
        <f>IFERROR(Datos!A3233,"")</f>
        <v/>
      </c>
      <c r="B3233" s="8">
        <f>IFERROR(Datos!B3233,"")</f>
        <v/>
      </c>
      <c r="C3233" s="8">
        <f>IFERROR(Datos!C3233,"")</f>
        <v/>
      </c>
      <c r="D3233" s="28">
        <f>IFERROR(IF(AND(ISNUMBER(B3233),ISNUMBER(B3232),B3232&lt;&gt;0),B3233/B3232-1,""),"")</f>
        <v/>
      </c>
      <c r="E3233" s="28">
        <f>IFERROR(IF(AND(ISNUMBER(C3233),ISNUMBER(C3232),C3232&lt;&gt;0),C3233/C3232-1,""),"")</f>
        <v/>
      </c>
      <c r="F3233" s="28">
        <f>IFERROR(D3233-Dashboard!$B$4/252,"")</f>
        <v/>
      </c>
      <c r="G3233" s="28">
        <f>IFERROR(E3233-Dashboard!$B$4/252,"")</f>
        <v/>
      </c>
      <c r="H3233" s="8">
        <f>IFERROR(IF(ISNUMBER(B3233),MAX(B3233,IFERROR(H3232,B3233)),""),"")</f>
        <v/>
      </c>
      <c r="I3233" s="29">
        <f>IFERROR(IF(AND(ISNUMBER(B3233),ISNUMBER(H3233)),B3233/H3233-1,""),"")</f>
        <v/>
      </c>
      <c r="J3233" s="8">
        <f>IFERROR(IF(ISNUMBER(C3233),MAX(C3233,IFERROR(J3232,C3233)),""),"")</f>
        <v/>
      </c>
      <c r="K3233" s="29">
        <f>IFERROR(IF(AND(ISNUMBER(C3233),ISNUMBER(J3233)),C3233/J3233-1,""),"")</f>
        <v/>
      </c>
      <c r="L3233" s="28">
        <f>IFERROR(IF(AND(ISNUMBER(D3233),ISNUMBER(E3233)),D3233-E3233,""),"")</f>
        <v/>
      </c>
    </row>
    <row r="3234">
      <c r="A3234" s="7">
        <f>IFERROR(Datos!A3234,"")</f>
        <v/>
      </c>
      <c r="B3234" s="8">
        <f>IFERROR(Datos!B3234,"")</f>
        <v/>
      </c>
      <c r="C3234" s="8">
        <f>IFERROR(Datos!C3234,"")</f>
        <v/>
      </c>
      <c r="D3234" s="28">
        <f>IFERROR(IF(AND(ISNUMBER(B3234),ISNUMBER(B3233),B3233&lt;&gt;0),B3234/B3233-1,""),"")</f>
        <v/>
      </c>
      <c r="E3234" s="28">
        <f>IFERROR(IF(AND(ISNUMBER(C3234),ISNUMBER(C3233),C3233&lt;&gt;0),C3234/C3233-1,""),"")</f>
        <v/>
      </c>
      <c r="F3234" s="28">
        <f>IFERROR(D3234-Dashboard!$B$4/252,"")</f>
        <v/>
      </c>
      <c r="G3234" s="28">
        <f>IFERROR(E3234-Dashboard!$B$4/252,"")</f>
        <v/>
      </c>
      <c r="H3234" s="8">
        <f>IFERROR(IF(ISNUMBER(B3234),MAX(B3234,IFERROR(H3233,B3234)),""),"")</f>
        <v/>
      </c>
      <c r="I3234" s="29">
        <f>IFERROR(IF(AND(ISNUMBER(B3234),ISNUMBER(H3234)),B3234/H3234-1,""),"")</f>
        <v/>
      </c>
      <c r="J3234" s="8">
        <f>IFERROR(IF(ISNUMBER(C3234),MAX(C3234,IFERROR(J3233,C3234)),""),"")</f>
        <v/>
      </c>
      <c r="K3234" s="29">
        <f>IFERROR(IF(AND(ISNUMBER(C3234),ISNUMBER(J3234)),C3234/J3234-1,""),"")</f>
        <v/>
      </c>
      <c r="L3234" s="28">
        <f>IFERROR(IF(AND(ISNUMBER(D3234),ISNUMBER(E3234)),D3234-E3234,""),"")</f>
        <v/>
      </c>
    </row>
    <row r="3235">
      <c r="A3235" s="7">
        <f>IFERROR(Datos!A3235,"")</f>
        <v/>
      </c>
      <c r="B3235" s="8">
        <f>IFERROR(Datos!B3235,"")</f>
        <v/>
      </c>
      <c r="C3235" s="8">
        <f>IFERROR(Datos!C3235,"")</f>
        <v/>
      </c>
      <c r="D3235" s="28">
        <f>IFERROR(IF(AND(ISNUMBER(B3235),ISNUMBER(B3234),B3234&lt;&gt;0),B3235/B3234-1,""),"")</f>
        <v/>
      </c>
      <c r="E3235" s="28">
        <f>IFERROR(IF(AND(ISNUMBER(C3235),ISNUMBER(C3234),C3234&lt;&gt;0),C3235/C3234-1,""),"")</f>
        <v/>
      </c>
      <c r="F3235" s="28">
        <f>IFERROR(D3235-Dashboard!$B$4/252,"")</f>
        <v/>
      </c>
      <c r="G3235" s="28">
        <f>IFERROR(E3235-Dashboard!$B$4/252,"")</f>
        <v/>
      </c>
      <c r="H3235" s="8">
        <f>IFERROR(IF(ISNUMBER(B3235),MAX(B3235,IFERROR(H3234,B3235)),""),"")</f>
        <v/>
      </c>
      <c r="I3235" s="29">
        <f>IFERROR(IF(AND(ISNUMBER(B3235),ISNUMBER(H3235)),B3235/H3235-1,""),"")</f>
        <v/>
      </c>
      <c r="J3235" s="8">
        <f>IFERROR(IF(ISNUMBER(C3235),MAX(C3235,IFERROR(J3234,C3235)),""),"")</f>
        <v/>
      </c>
      <c r="K3235" s="29">
        <f>IFERROR(IF(AND(ISNUMBER(C3235),ISNUMBER(J3235)),C3235/J3235-1,""),"")</f>
        <v/>
      </c>
      <c r="L3235" s="28">
        <f>IFERROR(IF(AND(ISNUMBER(D3235),ISNUMBER(E3235)),D3235-E3235,""),"")</f>
        <v/>
      </c>
    </row>
    <row r="3236">
      <c r="A3236" s="7">
        <f>IFERROR(Datos!A3236,"")</f>
        <v/>
      </c>
      <c r="B3236" s="8">
        <f>IFERROR(Datos!B3236,"")</f>
        <v/>
      </c>
      <c r="C3236" s="8">
        <f>IFERROR(Datos!C3236,"")</f>
        <v/>
      </c>
      <c r="D3236" s="28">
        <f>IFERROR(IF(AND(ISNUMBER(B3236),ISNUMBER(B3235),B3235&lt;&gt;0),B3236/B3235-1,""),"")</f>
        <v/>
      </c>
      <c r="E3236" s="28">
        <f>IFERROR(IF(AND(ISNUMBER(C3236),ISNUMBER(C3235),C3235&lt;&gt;0),C3236/C3235-1,""),"")</f>
        <v/>
      </c>
      <c r="F3236" s="28">
        <f>IFERROR(D3236-Dashboard!$B$4/252,"")</f>
        <v/>
      </c>
      <c r="G3236" s="28">
        <f>IFERROR(E3236-Dashboard!$B$4/252,"")</f>
        <v/>
      </c>
      <c r="H3236" s="8">
        <f>IFERROR(IF(ISNUMBER(B3236),MAX(B3236,IFERROR(H3235,B3236)),""),"")</f>
        <v/>
      </c>
      <c r="I3236" s="29">
        <f>IFERROR(IF(AND(ISNUMBER(B3236),ISNUMBER(H3236)),B3236/H3236-1,""),"")</f>
        <v/>
      </c>
      <c r="J3236" s="8">
        <f>IFERROR(IF(ISNUMBER(C3236),MAX(C3236,IFERROR(J3235,C3236)),""),"")</f>
        <v/>
      </c>
      <c r="K3236" s="29">
        <f>IFERROR(IF(AND(ISNUMBER(C3236),ISNUMBER(J3236)),C3236/J3236-1,""),"")</f>
        <v/>
      </c>
      <c r="L3236" s="28">
        <f>IFERROR(IF(AND(ISNUMBER(D3236),ISNUMBER(E3236)),D3236-E3236,""),"")</f>
        <v/>
      </c>
    </row>
    <row r="3237">
      <c r="A3237" s="7">
        <f>IFERROR(Datos!A3237,"")</f>
        <v/>
      </c>
      <c r="B3237" s="8">
        <f>IFERROR(Datos!B3237,"")</f>
        <v/>
      </c>
      <c r="C3237" s="8">
        <f>IFERROR(Datos!C3237,"")</f>
        <v/>
      </c>
      <c r="D3237" s="28">
        <f>IFERROR(IF(AND(ISNUMBER(B3237),ISNUMBER(B3236),B3236&lt;&gt;0),B3237/B3236-1,""),"")</f>
        <v/>
      </c>
      <c r="E3237" s="28">
        <f>IFERROR(IF(AND(ISNUMBER(C3237),ISNUMBER(C3236),C3236&lt;&gt;0),C3237/C3236-1,""),"")</f>
        <v/>
      </c>
      <c r="F3237" s="28">
        <f>IFERROR(D3237-Dashboard!$B$4/252,"")</f>
        <v/>
      </c>
      <c r="G3237" s="28">
        <f>IFERROR(E3237-Dashboard!$B$4/252,"")</f>
        <v/>
      </c>
      <c r="H3237" s="8">
        <f>IFERROR(IF(ISNUMBER(B3237),MAX(B3237,IFERROR(H3236,B3237)),""),"")</f>
        <v/>
      </c>
      <c r="I3237" s="29">
        <f>IFERROR(IF(AND(ISNUMBER(B3237),ISNUMBER(H3237)),B3237/H3237-1,""),"")</f>
        <v/>
      </c>
      <c r="J3237" s="8">
        <f>IFERROR(IF(ISNUMBER(C3237),MAX(C3237,IFERROR(J3236,C3237)),""),"")</f>
        <v/>
      </c>
      <c r="K3237" s="29">
        <f>IFERROR(IF(AND(ISNUMBER(C3237),ISNUMBER(J3237)),C3237/J3237-1,""),"")</f>
        <v/>
      </c>
      <c r="L3237" s="28">
        <f>IFERROR(IF(AND(ISNUMBER(D3237),ISNUMBER(E3237)),D3237-E3237,""),"")</f>
        <v/>
      </c>
    </row>
    <row r="3238">
      <c r="A3238" s="7">
        <f>IFERROR(Datos!A3238,"")</f>
        <v/>
      </c>
      <c r="B3238" s="8">
        <f>IFERROR(Datos!B3238,"")</f>
        <v/>
      </c>
      <c r="C3238" s="8">
        <f>IFERROR(Datos!C3238,"")</f>
        <v/>
      </c>
      <c r="D3238" s="28">
        <f>IFERROR(IF(AND(ISNUMBER(B3238),ISNUMBER(B3237),B3237&lt;&gt;0),B3238/B3237-1,""),"")</f>
        <v/>
      </c>
      <c r="E3238" s="28">
        <f>IFERROR(IF(AND(ISNUMBER(C3238),ISNUMBER(C3237),C3237&lt;&gt;0),C3238/C3237-1,""),"")</f>
        <v/>
      </c>
      <c r="F3238" s="28">
        <f>IFERROR(D3238-Dashboard!$B$4/252,"")</f>
        <v/>
      </c>
      <c r="G3238" s="28">
        <f>IFERROR(E3238-Dashboard!$B$4/252,"")</f>
        <v/>
      </c>
      <c r="H3238" s="8">
        <f>IFERROR(IF(ISNUMBER(B3238),MAX(B3238,IFERROR(H3237,B3238)),""),"")</f>
        <v/>
      </c>
      <c r="I3238" s="29">
        <f>IFERROR(IF(AND(ISNUMBER(B3238),ISNUMBER(H3238)),B3238/H3238-1,""),"")</f>
        <v/>
      </c>
      <c r="J3238" s="8">
        <f>IFERROR(IF(ISNUMBER(C3238),MAX(C3238,IFERROR(J3237,C3238)),""),"")</f>
        <v/>
      </c>
      <c r="K3238" s="29">
        <f>IFERROR(IF(AND(ISNUMBER(C3238),ISNUMBER(J3238)),C3238/J3238-1,""),"")</f>
        <v/>
      </c>
      <c r="L3238" s="28">
        <f>IFERROR(IF(AND(ISNUMBER(D3238),ISNUMBER(E3238)),D3238-E3238,""),"")</f>
        <v/>
      </c>
    </row>
    <row r="3239">
      <c r="A3239" s="7">
        <f>IFERROR(Datos!A3239,"")</f>
        <v/>
      </c>
      <c r="B3239" s="8">
        <f>IFERROR(Datos!B3239,"")</f>
        <v/>
      </c>
      <c r="C3239" s="8">
        <f>IFERROR(Datos!C3239,"")</f>
        <v/>
      </c>
      <c r="D3239" s="28">
        <f>IFERROR(IF(AND(ISNUMBER(B3239),ISNUMBER(B3238),B3238&lt;&gt;0),B3239/B3238-1,""),"")</f>
        <v/>
      </c>
      <c r="E3239" s="28">
        <f>IFERROR(IF(AND(ISNUMBER(C3239),ISNUMBER(C3238),C3238&lt;&gt;0),C3239/C3238-1,""),"")</f>
        <v/>
      </c>
      <c r="F3239" s="28">
        <f>IFERROR(D3239-Dashboard!$B$4/252,"")</f>
        <v/>
      </c>
      <c r="G3239" s="28">
        <f>IFERROR(E3239-Dashboard!$B$4/252,"")</f>
        <v/>
      </c>
      <c r="H3239" s="8">
        <f>IFERROR(IF(ISNUMBER(B3239),MAX(B3239,IFERROR(H3238,B3239)),""),"")</f>
        <v/>
      </c>
      <c r="I3239" s="29">
        <f>IFERROR(IF(AND(ISNUMBER(B3239),ISNUMBER(H3239)),B3239/H3239-1,""),"")</f>
        <v/>
      </c>
      <c r="J3239" s="8">
        <f>IFERROR(IF(ISNUMBER(C3239),MAX(C3239,IFERROR(J3238,C3239)),""),"")</f>
        <v/>
      </c>
      <c r="K3239" s="29">
        <f>IFERROR(IF(AND(ISNUMBER(C3239),ISNUMBER(J3239)),C3239/J3239-1,""),"")</f>
        <v/>
      </c>
      <c r="L3239" s="28">
        <f>IFERROR(IF(AND(ISNUMBER(D3239),ISNUMBER(E3239)),D3239-E3239,""),"")</f>
        <v/>
      </c>
    </row>
    <row r="3240">
      <c r="A3240" s="7">
        <f>IFERROR(Datos!A3240,"")</f>
        <v/>
      </c>
      <c r="B3240" s="8">
        <f>IFERROR(Datos!B3240,"")</f>
        <v/>
      </c>
      <c r="C3240" s="8">
        <f>IFERROR(Datos!C3240,"")</f>
        <v/>
      </c>
      <c r="D3240" s="28">
        <f>IFERROR(IF(AND(ISNUMBER(B3240),ISNUMBER(B3239),B3239&lt;&gt;0),B3240/B3239-1,""),"")</f>
        <v/>
      </c>
      <c r="E3240" s="28">
        <f>IFERROR(IF(AND(ISNUMBER(C3240),ISNUMBER(C3239),C3239&lt;&gt;0),C3240/C3239-1,""),"")</f>
        <v/>
      </c>
      <c r="F3240" s="28">
        <f>IFERROR(D3240-Dashboard!$B$4/252,"")</f>
        <v/>
      </c>
      <c r="G3240" s="28">
        <f>IFERROR(E3240-Dashboard!$B$4/252,"")</f>
        <v/>
      </c>
      <c r="H3240" s="8">
        <f>IFERROR(IF(ISNUMBER(B3240),MAX(B3240,IFERROR(H3239,B3240)),""),"")</f>
        <v/>
      </c>
      <c r="I3240" s="29">
        <f>IFERROR(IF(AND(ISNUMBER(B3240),ISNUMBER(H3240)),B3240/H3240-1,""),"")</f>
        <v/>
      </c>
      <c r="J3240" s="8">
        <f>IFERROR(IF(ISNUMBER(C3240),MAX(C3240,IFERROR(J3239,C3240)),""),"")</f>
        <v/>
      </c>
      <c r="K3240" s="29">
        <f>IFERROR(IF(AND(ISNUMBER(C3240),ISNUMBER(J3240)),C3240/J3240-1,""),"")</f>
        <v/>
      </c>
      <c r="L3240" s="28">
        <f>IFERROR(IF(AND(ISNUMBER(D3240),ISNUMBER(E3240)),D3240-E3240,""),"")</f>
        <v/>
      </c>
    </row>
    <row r="3241">
      <c r="A3241" s="7">
        <f>IFERROR(Datos!A3241,"")</f>
        <v/>
      </c>
      <c r="B3241" s="8">
        <f>IFERROR(Datos!B3241,"")</f>
        <v/>
      </c>
      <c r="C3241" s="8">
        <f>IFERROR(Datos!C3241,"")</f>
        <v/>
      </c>
      <c r="D3241" s="28">
        <f>IFERROR(IF(AND(ISNUMBER(B3241),ISNUMBER(B3240),B3240&lt;&gt;0),B3241/B3240-1,""),"")</f>
        <v/>
      </c>
      <c r="E3241" s="28">
        <f>IFERROR(IF(AND(ISNUMBER(C3241),ISNUMBER(C3240),C3240&lt;&gt;0),C3241/C3240-1,""),"")</f>
        <v/>
      </c>
      <c r="F3241" s="28">
        <f>IFERROR(D3241-Dashboard!$B$4/252,"")</f>
        <v/>
      </c>
      <c r="G3241" s="28">
        <f>IFERROR(E3241-Dashboard!$B$4/252,"")</f>
        <v/>
      </c>
      <c r="H3241" s="8">
        <f>IFERROR(IF(ISNUMBER(B3241),MAX(B3241,IFERROR(H3240,B3241)),""),"")</f>
        <v/>
      </c>
      <c r="I3241" s="29">
        <f>IFERROR(IF(AND(ISNUMBER(B3241),ISNUMBER(H3241)),B3241/H3241-1,""),"")</f>
        <v/>
      </c>
      <c r="J3241" s="8">
        <f>IFERROR(IF(ISNUMBER(C3241),MAX(C3241,IFERROR(J3240,C3241)),""),"")</f>
        <v/>
      </c>
      <c r="K3241" s="29">
        <f>IFERROR(IF(AND(ISNUMBER(C3241),ISNUMBER(J3241)),C3241/J3241-1,""),"")</f>
        <v/>
      </c>
      <c r="L3241" s="28">
        <f>IFERROR(IF(AND(ISNUMBER(D3241),ISNUMBER(E3241)),D3241-E3241,""),"")</f>
        <v/>
      </c>
    </row>
    <row r="3242">
      <c r="A3242" s="7">
        <f>IFERROR(Datos!A3242,"")</f>
        <v/>
      </c>
      <c r="B3242" s="8">
        <f>IFERROR(Datos!B3242,"")</f>
        <v/>
      </c>
      <c r="C3242" s="8">
        <f>IFERROR(Datos!C3242,"")</f>
        <v/>
      </c>
      <c r="D3242" s="28">
        <f>IFERROR(IF(AND(ISNUMBER(B3242),ISNUMBER(B3241),B3241&lt;&gt;0),B3242/B3241-1,""),"")</f>
        <v/>
      </c>
      <c r="E3242" s="28">
        <f>IFERROR(IF(AND(ISNUMBER(C3242),ISNUMBER(C3241),C3241&lt;&gt;0),C3242/C3241-1,""),"")</f>
        <v/>
      </c>
      <c r="F3242" s="28">
        <f>IFERROR(D3242-Dashboard!$B$4/252,"")</f>
        <v/>
      </c>
      <c r="G3242" s="28">
        <f>IFERROR(E3242-Dashboard!$B$4/252,"")</f>
        <v/>
      </c>
      <c r="H3242" s="8">
        <f>IFERROR(IF(ISNUMBER(B3242),MAX(B3242,IFERROR(H3241,B3242)),""),"")</f>
        <v/>
      </c>
      <c r="I3242" s="29">
        <f>IFERROR(IF(AND(ISNUMBER(B3242),ISNUMBER(H3242)),B3242/H3242-1,""),"")</f>
        <v/>
      </c>
      <c r="J3242" s="8">
        <f>IFERROR(IF(ISNUMBER(C3242),MAX(C3242,IFERROR(J3241,C3242)),""),"")</f>
        <v/>
      </c>
      <c r="K3242" s="29">
        <f>IFERROR(IF(AND(ISNUMBER(C3242),ISNUMBER(J3242)),C3242/J3242-1,""),"")</f>
        <v/>
      </c>
      <c r="L3242" s="28">
        <f>IFERROR(IF(AND(ISNUMBER(D3242),ISNUMBER(E3242)),D3242-E3242,""),"")</f>
        <v/>
      </c>
    </row>
    <row r="3243">
      <c r="A3243" s="7">
        <f>IFERROR(Datos!A3243,"")</f>
        <v/>
      </c>
      <c r="B3243" s="8">
        <f>IFERROR(Datos!B3243,"")</f>
        <v/>
      </c>
      <c r="C3243" s="8">
        <f>IFERROR(Datos!C3243,"")</f>
        <v/>
      </c>
      <c r="D3243" s="28">
        <f>IFERROR(IF(AND(ISNUMBER(B3243),ISNUMBER(B3242),B3242&lt;&gt;0),B3243/B3242-1,""),"")</f>
        <v/>
      </c>
      <c r="E3243" s="28">
        <f>IFERROR(IF(AND(ISNUMBER(C3243),ISNUMBER(C3242),C3242&lt;&gt;0),C3243/C3242-1,""),"")</f>
        <v/>
      </c>
      <c r="F3243" s="28">
        <f>IFERROR(D3243-Dashboard!$B$4/252,"")</f>
        <v/>
      </c>
      <c r="G3243" s="28">
        <f>IFERROR(E3243-Dashboard!$B$4/252,"")</f>
        <v/>
      </c>
      <c r="H3243" s="8">
        <f>IFERROR(IF(ISNUMBER(B3243),MAX(B3243,IFERROR(H3242,B3243)),""),"")</f>
        <v/>
      </c>
      <c r="I3243" s="29">
        <f>IFERROR(IF(AND(ISNUMBER(B3243),ISNUMBER(H3243)),B3243/H3243-1,""),"")</f>
        <v/>
      </c>
      <c r="J3243" s="8">
        <f>IFERROR(IF(ISNUMBER(C3243),MAX(C3243,IFERROR(J3242,C3243)),""),"")</f>
        <v/>
      </c>
      <c r="K3243" s="29">
        <f>IFERROR(IF(AND(ISNUMBER(C3243),ISNUMBER(J3243)),C3243/J3243-1,""),"")</f>
        <v/>
      </c>
      <c r="L3243" s="28">
        <f>IFERROR(IF(AND(ISNUMBER(D3243),ISNUMBER(E3243)),D3243-E3243,""),"")</f>
        <v/>
      </c>
    </row>
    <row r="3244">
      <c r="A3244" s="7">
        <f>IFERROR(Datos!A3244,"")</f>
        <v/>
      </c>
      <c r="B3244" s="8">
        <f>IFERROR(Datos!B3244,"")</f>
        <v/>
      </c>
      <c r="C3244" s="8">
        <f>IFERROR(Datos!C3244,"")</f>
        <v/>
      </c>
      <c r="D3244" s="28">
        <f>IFERROR(IF(AND(ISNUMBER(B3244),ISNUMBER(B3243),B3243&lt;&gt;0),B3244/B3243-1,""),"")</f>
        <v/>
      </c>
      <c r="E3244" s="28">
        <f>IFERROR(IF(AND(ISNUMBER(C3244),ISNUMBER(C3243),C3243&lt;&gt;0),C3244/C3243-1,""),"")</f>
        <v/>
      </c>
      <c r="F3244" s="28">
        <f>IFERROR(D3244-Dashboard!$B$4/252,"")</f>
        <v/>
      </c>
      <c r="G3244" s="28">
        <f>IFERROR(E3244-Dashboard!$B$4/252,"")</f>
        <v/>
      </c>
      <c r="H3244" s="8">
        <f>IFERROR(IF(ISNUMBER(B3244),MAX(B3244,IFERROR(H3243,B3244)),""),"")</f>
        <v/>
      </c>
      <c r="I3244" s="29">
        <f>IFERROR(IF(AND(ISNUMBER(B3244),ISNUMBER(H3244)),B3244/H3244-1,""),"")</f>
        <v/>
      </c>
      <c r="J3244" s="8">
        <f>IFERROR(IF(ISNUMBER(C3244),MAX(C3244,IFERROR(J3243,C3244)),""),"")</f>
        <v/>
      </c>
      <c r="K3244" s="29">
        <f>IFERROR(IF(AND(ISNUMBER(C3244),ISNUMBER(J3244)),C3244/J3244-1,""),"")</f>
        <v/>
      </c>
      <c r="L3244" s="28">
        <f>IFERROR(IF(AND(ISNUMBER(D3244),ISNUMBER(E3244)),D3244-E3244,""),"")</f>
        <v/>
      </c>
    </row>
    <row r="3245">
      <c r="A3245" s="7">
        <f>IFERROR(Datos!A3245,"")</f>
        <v/>
      </c>
      <c r="B3245" s="8">
        <f>IFERROR(Datos!B3245,"")</f>
        <v/>
      </c>
      <c r="C3245" s="8">
        <f>IFERROR(Datos!C3245,"")</f>
        <v/>
      </c>
      <c r="D3245" s="28">
        <f>IFERROR(IF(AND(ISNUMBER(B3245),ISNUMBER(B3244),B3244&lt;&gt;0),B3245/B3244-1,""),"")</f>
        <v/>
      </c>
      <c r="E3245" s="28">
        <f>IFERROR(IF(AND(ISNUMBER(C3245),ISNUMBER(C3244),C3244&lt;&gt;0),C3245/C3244-1,""),"")</f>
        <v/>
      </c>
      <c r="F3245" s="28">
        <f>IFERROR(D3245-Dashboard!$B$4/252,"")</f>
        <v/>
      </c>
      <c r="G3245" s="28">
        <f>IFERROR(E3245-Dashboard!$B$4/252,"")</f>
        <v/>
      </c>
      <c r="H3245" s="8">
        <f>IFERROR(IF(ISNUMBER(B3245),MAX(B3245,IFERROR(H3244,B3245)),""),"")</f>
        <v/>
      </c>
      <c r="I3245" s="29">
        <f>IFERROR(IF(AND(ISNUMBER(B3245),ISNUMBER(H3245)),B3245/H3245-1,""),"")</f>
        <v/>
      </c>
      <c r="J3245" s="8">
        <f>IFERROR(IF(ISNUMBER(C3245),MAX(C3245,IFERROR(J3244,C3245)),""),"")</f>
        <v/>
      </c>
      <c r="K3245" s="29">
        <f>IFERROR(IF(AND(ISNUMBER(C3245),ISNUMBER(J3245)),C3245/J3245-1,""),"")</f>
        <v/>
      </c>
      <c r="L3245" s="28">
        <f>IFERROR(IF(AND(ISNUMBER(D3245),ISNUMBER(E3245)),D3245-E3245,""),"")</f>
        <v/>
      </c>
    </row>
    <row r="3246">
      <c r="A3246" s="7">
        <f>IFERROR(Datos!A3246,"")</f>
        <v/>
      </c>
      <c r="B3246" s="8">
        <f>IFERROR(Datos!B3246,"")</f>
        <v/>
      </c>
      <c r="C3246" s="8">
        <f>IFERROR(Datos!C3246,"")</f>
        <v/>
      </c>
      <c r="D3246" s="28">
        <f>IFERROR(IF(AND(ISNUMBER(B3246),ISNUMBER(B3245),B3245&lt;&gt;0),B3246/B3245-1,""),"")</f>
        <v/>
      </c>
      <c r="E3246" s="28">
        <f>IFERROR(IF(AND(ISNUMBER(C3246),ISNUMBER(C3245),C3245&lt;&gt;0),C3246/C3245-1,""),"")</f>
        <v/>
      </c>
      <c r="F3246" s="28">
        <f>IFERROR(D3246-Dashboard!$B$4/252,"")</f>
        <v/>
      </c>
      <c r="G3246" s="28">
        <f>IFERROR(E3246-Dashboard!$B$4/252,"")</f>
        <v/>
      </c>
      <c r="H3246" s="8">
        <f>IFERROR(IF(ISNUMBER(B3246),MAX(B3246,IFERROR(H3245,B3246)),""),"")</f>
        <v/>
      </c>
      <c r="I3246" s="29">
        <f>IFERROR(IF(AND(ISNUMBER(B3246),ISNUMBER(H3246)),B3246/H3246-1,""),"")</f>
        <v/>
      </c>
      <c r="J3246" s="8">
        <f>IFERROR(IF(ISNUMBER(C3246),MAX(C3246,IFERROR(J3245,C3246)),""),"")</f>
        <v/>
      </c>
      <c r="K3246" s="29">
        <f>IFERROR(IF(AND(ISNUMBER(C3246),ISNUMBER(J3246)),C3246/J3246-1,""),"")</f>
        <v/>
      </c>
      <c r="L3246" s="28">
        <f>IFERROR(IF(AND(ISNUMBER(D3246),ISNUMBER(E3246)),D3246-E3246,""),"")</f>
        <v/>
      </c>
    </row>
    <row r="3247">
      <c r="A3247" s="7">
        <f>IFERROR(Datos!A3247,"")</f>
        <v/>
      </c>
      <c r="B3247" s="8">
        <f>IFERROR(Datos!B3247,"")</f>
        <v/>
      </c>
      <c r="C3247" s="8">
        <f>IFERROR(Datos!C3247,"")</f>
        <v/>
      </c>
      <c r="D3247" s="28">
        <f>IFERROR(IF(AND(ISNUMBER(B3247),ISNUMBER(B3246),B3246&lt;&gt;0),B3247/B3246-1,""),"")</f>
        <v/>
      </c>
      <c r="E3247" s="28">
        <f>IFERROR(IF(AND(ISNUMBER(C3247),ISNUMBER(C3246),C3246&lt;&gt;0),C3247/C3246-1,""),"")</f>
        <v/>
      </c>
      <c r="F3247" s="28">
        <f>IFERROR(D3247-Dashboard!$B$4/252,"")</f>
        <v/>
      </c>
      <c r="G3247" s="28">
        <f>IFERROR(E3247-Dashboard!$B$4/252,"")</f>
        <v/>
      </c>
      <c r="H3247" s="8">
        <f>IFERROR(IF(ISNUMBER(B3247),MAX(B3247,IFERROR(H3246,B3247)),""),"")</f>
        <v/>
      </c>
      <c r="I3247" s="29">
        <f>IFERROR(IF(AND(ISNUMBER(B3247),ISNUMBER(H3247)),B3247/H3247-1,""),"")</f>
        <v/>
      </c>
      <c r="J3247" s="8">
        <f>IFERROR(IF(ISNUMBER(C3247),MAX(C3247,IFERROR(J3246,C3247)),""),"")</f>
        <v/>
      </c>
      <c r="K3247" s="29">
        <f>IFERROR(IF(AND(ISNUMBER(C3247),ISNUMBER(J3247)),C3247/J3247-1,""),"")</f>
        <v/>
      </c>
      <c r="L3247" s="28">
        <f>IFERROR(IF(AND(ISNUMBER(D3247),ISNUMBER(E3247)),D3247-E3247,""),"")</f>
        <v/>
      </c>
    </row>
    <row r="3248">
      <c r="A3248" s="7">
        <f>IFERROR(Datos!A3248,"")</f>
        <v/>
      </c>
      <c r="B3248" s="8">
        <f>IFERROR(Datos!B3248,"")</f>
        <v/>
      </c>
      <c r="C3248" s="8">
        <f>IFERROR(Datos!C3248,"")</f>
        <v/>
      </c>
      <c r="D3248" s="28">
        <f>IFERROR(IF(AND(ISNUMBER(B3248),ISNUMBER(B3247),B3247&lt;&gt;0),B3248/B3247-1,""),"")</f>
        <v/>
      </c>
      <c r="E3248" s="28">
        <f>IFERROR(IF(AND(ISNUMBER(C3248),ISNUMBER(C3247),C3247&lt;&gt;0),C3248/C3247-1,""),"")</f>
        <v/>
      </c>
      <c r="F3248" s="28">
        <f>IFERROR(D3248-Dashboard!$B$4/252,"")</f>
        <v/>
      </c>
      <c r="G3248" s="28">
        <f>IFERROR(E3248-Dashboard!$B$4/252,"")</f>
        <v/>
      </c>
      <c r="H3248" s="8">
        <f>IFERROR(IF(ISNUMBER(B3248),MAX(B3248,IFERROR(H3247,B3248)),""),"")</f>
        <v/>
      </c>
      <c r="I3248" s="29">
        <f>IFERROR(IF(AND(ISNUMBER(B3248),ISNUMBER(H3248)),B3248/H3248-1,""),"")</f>
        <v/>
      </c>
      <c r="J3248" s="8">
        <f>IFERROR(IF(ISNUMBER(C3248),MAX(C3248,IFERROR(J3247,C3248)),""),"")</f>
        <v/>
      </c>
      <c r="K3248" s="29">
        <f>IFERROR(IF(AND(ISNUMBER(C3248),ISNUMBER(J3248)),C3248/J3248-1,""),"")</f>
        <v/>
      </c>
      <c r="L3248" s="28">
        <f>IFERROR(IF(AND(ISNUMBER(D3248),ISNUMBER(E3248)),D3248-E3248,""),"")</f>
        <v/>
      </c>
    </row>
    <row r="3249">
      <c r="A3249" s="7">
        <f>IFERROR(Datos!A3249,"")</f>
        <v/>
      </c>
      <c r="B3249" s="8">
        <f>IFERROR(Datos!B3249,"")</f>
        <v/>
      </c>
      <c r="C3249" s="8">
        <f>IFERROR(Datos!C3249,"")</f>
        <v/>
      </c>
      <c r="D3249" s="28">
        <f>IFERROR(IF(AND(ISNUMBER(B3249),ISNUMBER(B3248),B3248&lt;&gt;0),B3249/B3248-1,""),"")</f>
        <v/>
      </c>
      <c r="E3249" s="28">
        <f>IFERROR(IF(AND(ISNUMBER(C3249),ISNUMBER(C3248),C3248&lt;&gt;0),C3249/C3248-1,""),"")</f>
        <v/>
      </c>
      <c r="F3249" s="28">
        <f>IFERROR(D3249-Dashboard!$B$4/252,"")</f>
        <v/>
      </c>
      <c r="G3249" s="28">
        <f>IFERROR(E3249-Dashboard!$B$4/252,"")</f>
        <v/>
      </c>
      <c r="H3249" s="8">
        <f>IFERROR(IF(ISNUMBER(B3249),MAX(B3249,IFERROR(H3248,B3249)),""),"")</f>
        <v/>
      </c>
      <c r="I3249" s="29">
        <f>IFERROR(IF(AND(ISNUMBER(B3249),ISNUMBER(H3249)),B3249/H3249-1,""),"")</f>
        <v/>
      </c>
      <c r="J3249" s="8">
        <f>IFERROR(IF(ISNUMBER(C3249),MAX(C3249,IFERROR(J3248,C3249)),""),"")</f>
        <v/>
      </c>
      <c r="K3249" s="29">
        <f>IFERROR(IF(AND(ISNUMBER(C3249),ISNUMBER(J3249)),C3249/J3249-1,""),"")</f>
        <v/>
      </c>
      <c r="L3249" s="28">
        <f>IFERROR(IF(AND(ISNUMBER(D3249),ISNUMBER(E3249)),D3249-E3249,""),"")</f>
        <v/>
      </c>
    </row>
    <row r="3250">
      <c r="A3250" s="7">
        <f>IFERROR(Datos!A3250,"")</f>
        <v/>
      </c>
      <c r="B3250" s="8">
        <f>IFERROR(Datos!B3250,"")</f>
        <v/>
      </c>
      <c r="C3250" s="8">
        <f>IFERROR(Datos!C3250,"")</f>
        <v/>
      </c>
      <c r="D3250" s="28">
        <f>IFERROR(IF(AND(ISNUMBER(B3250),ISNUMBER(B3249),B3249&lt;&gt;0),B3250/B3249-1,""),"")</f>
        <v/>
      </c>
      <c r="E3250" s="28">
        <f>IFERROR(IF(AND(ISNUMBER(C3250),ISNUMBER(C3249),C3249&lt;&gt;0),C3250/C3249-1,""),"")</f>
        <v/>
      </c>
      <c r="F3250" s="28">
        <f>IFERROR(D3250-Dashboard!$B$4/252,"")</f>
        <v/>
      </c>
      <c r="G3250" s="28">
        <f>IFERROR(E3250-Dashboard!$B$4/252,"")</f>
        <v/>
      </c>
      <c r="H3250" s="8">
        <f>IFERROR(IF(ISNUMBER(B3250),MAX(B3250,IFERROR(H3249,B3250)),""),"")</f>
        <v/>
      </c>
      <c r="I3250" s="29">
        <f>IFERROR(IF(AND(ISNUMBER(B3250),ISNUMBER(H3250)),B3250/H3250-1,""),"")</f>
        <v/>
      </c>
      <c r="J3250" s="8">
        <f>IFERROR(IF(ISNUMBER(C3250),MAX(C3250,IFERROR(J3249,C3250)),""),"")</f>
        <v/>
      </c>
      <c r="K3250" s="29">
        <f>IFERROR(IF(AND(ISNUMBER(C3250),ISNUMBER(J3250)),C3250/J3250-1,""),"")</f>
        <v/>
      </c>
      <c r="L3250" s="28">
        <f>IFERROR(IF(AND(ISNUMBER(D3250),ISNUMBER(E3250)),D3250-E3250,""),"")</f>
        <v/>
      </c>
    </row>
    <row r="3251">
      <c r="A3251" s="7">
        <f>IFERROR(Datos!A3251,"")</f>
        <v/>
      </c>
      <c r="B3251" s="8">
        <f>IFERROR(Datos!B3251,"")</f>
        <v/>
      </c>
      <c r="C3251" s="8">
        <f>IFERROR(Datos!C3251,"")</f>
        <v/>
      </c>
      <c r="D3251" s="28">
        <f>IFERROR(IF(AND(ISNUMBER(B3251),ISNUMBER(B3250),B3250&lt;&gt;0),B3251/B3250-1,""),"")</f>
        <v/>
      </c>
      <c r="E3251" s="28">
        <f>IFERROR(IF(AND(ISNUMBER(C3251),ISNUMBER(C3250),C3250&lt;&gt;0),C3251/C3250-1,""),"")</f>
        <v/>
      </c>
      <c r="F3251" s="28">
        <f>IFERROR(D3251-Dashboard!$B$4/252,"")</f>
        <v/>
      </c>
      <c r="G3251" s="28">
        <f>IFERROR(E3251-Dashboard!$B$4/252,"")</f>
        <v/>
      </c>
      <c r="H3251" s="8">
        <f>IFERROR(IF(ISNUMBER(B3251),MAX(B3251,IFERROR(H3250,B3251)),""),"")</f>
        <v/>
      </c>
      <c r="I3251" s="29">
        <f>IFERROR(IF(AND(ISNUMBER(B3251),ISNUMBER(H3251)),B3251/H3251-1,""),"")</f>
        <v/>
      </c>
      <c r="J3251" s="8">
        <f>IFERROR(IF(ISNUMBER(C3251),MAX(C3251,IFERROR(J3250,C3251)),""),"")</f>
        <v/>
      </c>
      <c r="K3251" s="29">
        <f>IFERROR(IF(AND(ISNUMBER(C3251),ISNUMBER(J3251)),C3251/J3251-1,""),"")</f>
        <v/>
      </c>
      <c r="L3251" s="28">
        <f>IFERROR(IF(AND(ISNUMBER(D3251),ISNUMBER(E3251)),D3251-E3251,""),"")</f>
        <v/>
      </c>
    </row>
    <row r="3252">
      <c r="A3252" s="7">
        <f>IFERROR(Datos!A3252,"")</f>
        <v/>
      </c>
      <c r="B3252" s="8">
        <f>IFERROR(Datos!B3252,"")</f>
        <v/>
      </c>
      <c r="C3252" s="8">
        <f>IFERROR(Datos!C3252,"")</f>
        <v/>
      </c>
      <c r="D3252" s="28">
        <f>IFERROR(IF(AND(ISNUMBER(B3252),ISNUMBER(B3251),B3251&lt;&gt;0),B3252/B3251-1,""),"")</f>
        <v/>
      </c>
      <c r="E3252" s="28">
        <f>IFERROR(IF(AND(ISNUMBER(C3252),ISNUMBER(C3251),C3251&lt;&gt;0),C3252/C3251-1,""),"")</f>
        <v/>
      </c>
      <c r="F3252" s="28">
        <f>IFERROR(D3252-Dashboard!$B$4/252,"")</f>
        <v/>
      </c>
      <c r="G3252" s="28">
        <f>IFERROR(E3252-Dashboard!$B$4/252,"")</f>
        <v/>
      </c>
      <c r="H3252" s="8">
        <f>IFERROR(IF(ISNUMBER(B3252),MAX(B3252,IFERROR(H3251,B3252)),""),"")</f>
        <v/>
      </c>
      <c r="I3252" s="29">
        <f>IFERROR(IF(AND(ISNUMBER(B3252),ISNUMBER(H3252)),B3252/H3252-1,""),"")</f>
        <v/>
      </c>
      <c r="J3252" s="8">
        <f>IFERROR(IF(ISNUMBER(C3252),MAX(C3252,IFERROR(J3251,C3252)),""),"")</f>
        <v/>
      </c>
      <c r="K3252" s="29">
        <f>IFERROR(IF(AND(ISNUMBER(C3252),ISNUMBER(J3252)),C3252/J3252-1,""),"")</f>
        <v/>
      </c>
      <c r="L3252" s="28">
        <f>IFERROR(IF(AND(ISNUMBER(D3252),ISNUMBER(E3252)),D3252-E3252,""),"")</f>
        <v/>
      </c>
    </row>
    <row r="3253">
      <c r="A3253" s="7">
        <f>IFERROR(Datos!A3253,"")</f>
        <v/>
      </c>
      <c r="B3253" s="8">
        <f>IFERROR(Datos!B3253,"")</f>
        <v/>
      </c>
      <c r="C3253" s="8">
        <f>IFERROR(Datos!C3253,"")</f>
        <v/>
      </c>
      <c r="D3253" s="28">
        <f>IFERROR(IF(AND(ISNUMBER(B3253),ISNUMBER(B3252),B3252&lt;&gt;0),B3253/B3252-1,""),"")</f>
        <v/>
      </c>
      <c r="E3253" s="28">
        <f>IFERROR(IF(AND(ISNUMBER(C3253),ISNUMBER(C3252),C3252&lt;&gt;0),C3253/C3252-1,""),"")</f>
        <v/>
      </c>
      <c r="F3253" s="28">
        <f>IFERROR(D3253-Dashboard!$B$4/252,"")</f>
        <v/>
      </c>
      <c r="G3253" s="28">
        <f>IFERROR(E3253-Dashboard!$B$4/252,"")</f>
        <v/>
      </c>
      <c r="H3253" s="8">
        <f>IFERROR(IF(ISNUMBER(B3253),MAX(B3253,IFERROR(H3252,B3253)),""),"")</f>
        <v/>
      </c>
      <c r="I3253" s="29">
        <f>IFERROR(IF(AND(ISNUMBER(B3253),ISNUMBER(H3253)),B3253/H3253-1,""),"")</f>
        <v/>
      </c>
      <c r="J3253" s="8">
        <f>IFERROR(IF(ISNUMBER(C3253),MAX(C3253,IFERROR(J3252,C3253)),""),"")</f>
        <v/>
      </c>
      <c r="K3253" s="29">
        <f>IFERROR(IF(AND(ISNUMBER(C3253),ISNUMBER(J3253)),C3253/J3253-1,""),"")</f>
        <v/>
      </c>
      <c r="L3253" s="28">
        <f>IFERROR(IF(AND(ISNUMBER(D3253),ISNUMBER(E3253)),D3253-E3253,""),"")</f>
        <v/>
      </c>
    </row>
    <row r="3254">
      <c r="A3254" s="7">
        <f>IFERROR(Datos!A3254,"")</f>
        <v/>
      </c>
      <c r="B3254" s="8">
        <f>IFERROR(Datos!B3254,"")</f>
        <v/>
      </c>
      <c r="C3254" s="8">
        <f>IFERROR(Datos!C3254,"")</f>
        <v/>
      </c>
      <c r="D3254" s="28">
        <f>IFERROR(IF(AND(ISNUMBER(B3254),ISNUMBER(B3253),B3253&lt;&gt;0),B3254/B3253-1,""),"")</f>
        <v/>
      </c>
      <c r="E3254" s="28">
        <f>IFERROR(IF(AND(ISNUMBER(C3254),ISNUMBER(C3253),C3253&lt;&gt;0),C3254/C3253-1,""),"")</f>
        <v/>
      </c>
      <c r="F3254" s="28">
        <f>IFERROR(D3254-Dashboard!$B$4/252,"")</f>
        <v/>
      </c>
      <c r="G3254" s="28">
        <f>IFERROR(E3254-Dashboard!$B$4/252,"")</f>
        <v/>
      </c>
      <c r="H3254" s="8">
        <f>IFERROR(IF(ISNUMBER(B3254),MAX(B3254,IFERROR(H3253,B3254)),""),"")</f>
        <v/>
      </c>
      <c r="I3254" s="29">
        <f>IFERROR(IF(AND(ISNUMBER(B3254),ISNUMBER(H3254)),B3254/H3254-1,""),"")</f>
        <v/>
      </c>
      <c r="J3254" s="8">
        <f>IFERROR(IF(ISNUMBER(C3254),MAX(C3254,IFERROR(J3253,C3254)),""),"")</f>
        <v/>
      </c>
      <c r="K3254" s="29">
        <f>IFERROR(IF(AND(ISNUMBER(C3254),ISNUMBER(J3254)),C3254/J3254-1,""),"")</f>
        <v/>
      </c>
      <c r="L3254" s="28">
        <f>IFERROR(IF(AND(ISNUMBER(D3254),ISNUMBER(E3254)),D3254-E3254,""),"")</f>
        <v/>
      </c>
    </row>
    <row r="3255">
      <c r="A3255" s="7">
        <f>IFERROR(Datos!A3255,"")</f>
        <v/>
      </c>
      <c r="B3255" s="8">
        <f>IFERROR(Datos!B3255,"")</f>
        <v/>
      </c>
      <c r="C3255" s="8">
        <f>IFERROR(Datos!C3255,"")</f>
        <v/>
      </c>
      <c r="D3255" s="28">
        <f>IFERROR(IF(AND(ISNUMBER(B3255),ISNUMBER(B3254),B3254&lt;&gt;0),B3255/B3254-1,""),"")</f>
        <v/>
      </c>
      <c r="E3255" s="28">
        <f>IFERROR(IF(AND(ISNUMBER(C3255),ISNUMBER(C3254),C3254&lt;&gt;0),C3255/C3254-1,""),"")</f>
        <v/>
      </c>
      <c r="F3255" s="28">
        <f>IFERROR(D3255-Dashboard!$B$4/252,"")</f>
        <v/>
      </c>
      <c r="G3255" s="28">
        <f>IFERROR(E3255-Dashboard!$B$4/252,"")</f>
        <v/>
      </c>
      <c r="H3255" s="8">
        <f>IFERROR(IF(ISNUMBER(B3255),MAX(B3255,IFERROR(H3254,B3255)),""),"")</f>
        <v/>
      </c>
      <c r="I3255" s="29">
        <f>IFERROR(IF(AND(ISNUMBER(B3255),ISNUMBER(H3255)),B3255/H3255-1,""),"")</f>
        <v/>
      </c>
      <c r="J3255" s="8">
        <f>IFERROR(IF(ISNUMBER(C3255),MAX(C3255,IFERROR(J3254,C3255)),""),"")</f>
        <v/>
      </c>
      <c r="K3255" s="29">
        <f>IFERROR(IF(AND(ISNUMBER(C3255),ISNUMBER(J3255)),C3255/J3255-1,""),"")</f>
        <v/>
      </c>
      <c r="L3255" s="28">
        <f>IFERROR(IF(AND(ISNUMBER(D3255),ISNUMBER(E3255)),D3255-E3255,""),"")</f>
        <v/>
      </c>
    </row>
    <row r="3256">
      <c r="A3256" s="7">
        <f>IFERROR(Datos!A3256,"")</f>
        <v/>
      </c>
      <c r="B3256" s="8">
        <f>IFERROR(Datos!B3256,"")</f>
        <v/>
      </c>
      <c r="C3256" s="8">
        <f>IFERROR(Datos!C3256,"")</f>
        <v/>
      </c>
      <c r="D3256" s="28">
        <f>IFERROR(IF(AND(ISNUMBER(B3256),ISNUMBER(B3255),B3255&lt;&gt;0),B3256/B3255-1,""),"")</f>
        <v/>
      </c>
      <c r="E3256" s="28">
        <f>IFERROR(IF(AND(ISNUMBER(C3256),ISNUMBER(C3255),C3255&lt;&gt;0),C3256/C3255-1,""),"")</f>
        <v/>
      </c>
      <c r="F3256" s="28">
        <f>IFERROR(D3256-Dashboard!$B$4/252,"")</f>
        <v/>
      </c>
      <c r="G3256" s="28">
        <f>IFERROR(E3256-Dashboard!$B$4/252,"")</f>
        <v/>
      </c>
      <c r="H3256" s="8">
        <f>IFERROR(IF(ISNUMBER(B3256),MAX(B3256,IFERROR(H3255,B3256)),""),"")</f>
        <v/>
      </c>
      <c r="I3256" s="29">
        <f>IFERROR(IF(AND(ISNUMBER(B3256),ISNUMBER(H3256)),B3256/H3256-1,""),"")</f>
        <v/>
      </c>
      <c r="J3256" s="8">
        <f>IFERROR(IF(ISNUMBER(C3256),MAX(C3256,IFERROR(J3255,C3256)),""),"")</f>
        <v/>
      </c>
      <c r="K3256" s="29">
        <f>IFERROR(IF(AND(ISNUMBER(C3256),ISNUMBER(J3256)),C3256/J3256-1,""),"")</f>
        <v/>
      </c>
      <c r="L3256" s="28">
        <f>IFERROR(IF(AND(ISNUMBER(D3256),ISNUMBER(E3256)),D3256-E3256,""),"")</f>
        <v/>
      </c>
    </row>
    <row r="3257">
      <c r="A3257" s="7">
        <f>IFERROR(Datos!A3257,"")</f>
        <v/>
      </c>
      <c r="B3257" s="8">
        <f>IFERROR(Datos!B3257,"")</f>
        <v/>
      </c>
      <c r="C3257" s="8">
        <f>IFERROR(Datos!C3257,"")</f>
        <v/>
      </c>
      <c r="D3257" s="28">
        <f>IFERROR(IF(AND(ISNUMBER(B3257),ISNUMBER(B3256),B3256&lt;&gt;0),B3257/B3256-1,""),"")</f>
        <v/>
      </c>
      <c r="E3257" s="28">
        <f>IFERROR(IF(AND(ISNUMBER(C3257),ISNUMBER(C3256),C3256&lt;&gt;0),C3257/C3256-1,""),"")</f>
        <v/>
      </c>
      <c r="F3257" s="28">
        <f>IFERROR(D3257-Dashboard!$B$4/252,"")</f>
        <v/>
      </c>
      <c r="G3257" s="28">
        <f>IFERROR(E3257-Dashboard!$B$4/252,"")</f>
        <v/>
      </c>
      <c r="H3257" s="8">
        <f>IFERROR(IF(ISNUMBER(B3257),MAX(B3257,IFERROR(H3256,B3257)),""),"")</f>
        <v/>
      </c>
      <c r="I3257" s="29">
        <f>IFERROR(IF(AND(ISNUMBER(B3257),ISNUMBER(H3257)),B3257/H3257-1,""),"")</f>
        <v/>
      </c>
      <c r="J3257" s="8">
        <f>IFERROR(IF(ISNUMBER(C3257),MAX(C3257,IFERROR(J3256,C3257)),""),"")</f>
        <v/>
      </c>
      <c r="K3257" s="29">
        <f>IFERROR(IF(AND(ISNUMBER(C3257),ISNUMBER(J3257)),C3257/J3257-1,""),"")</f>
        <v/>
      </c>
      <c r="L3257" s="28">
        <f>IFERROR(IF(AND(ISNUMBER(D3257),ISNUMBER(E3257)),D3257-E3257,""),"")</f>
        <v/>
      </c>
    </row>
    <row r="3258">
      <c r="A3258" s="7">
        <f>IFERROR(Datos!A3258,"")</f>
        <v/>
      </c>
      <c r="B3258" s="8">
        <f>IFERROR(Datos!B3258,"")</f>
        <v/>
      </c>
      <c r="C3258" s="8">
        <f>IFERROR(Datos!C3258,"")</f>
        <v/>
      </c>
      <c r="D3258" s="28">
        <f>IFERROR(IF(AND(ISNUMBER(B3258),ISNUMBER(B3257),B3257&lt;&gt;0),B3258/B3257-1,""),"")</f>
        <v/>
      </c>
      <c r="E3258" s="28">
        <f>IFERROR(IF(AND(ISNUMBER(C3258),ISNUMBER(C3257),C3257&lt;&gt;0),C3258/C3257-1,""),"")</f>
        <v/>
      </c>
      <c r="F3258" s="28">
        <f>IFERROR(D3258-Dashboard!$B$4/252,"")</f>
        <v/>
      </c>
      <c r="G3258" s="28">
        <f>IFERROR(E3258-Dashboard!$B$4/252,"")</f>
        <v/>
      </c>
      <c r="H3258" s="8">
        <f>IFERROR(IF(ISNUMBER(B3258),MAX(B3258,IFERROR(H3257,B3258)),""),"")</f>
        <v/>
      </c>
      <c r="I3258" s="29">
        <f>IFERROR(IF(AND(ISNUMBER(B3258),ISNUMBER(H3258)),B3258/H3258-1,""),"")</f>
        <v/>
      </c>
      <c r="J3258" s="8">
        <f>IFERROR(IF(ISNUMBER(C3258),MAX(C3258,IFERROR(J3257,C3258)),""),"")</f>
        <v/>
      </c>
      <c r="K3258" s="29">
        <f>IFERROR(IF(AND(ISNUMBER(C3258),ISNUMBER(J3258)),C3258/J3258-1,""),"")</f>
        <v/>
      </c>
      <c r="L3258" s="28">
        <f>IFERROR(IF(AND(ISNUMBER(D3258),ISNUMBER(E3258)),D3258-E3258,""),"")</f>
        <v/>
      </c>
    </row>
    <row r="3259">
      <c r="A3259" s="7">
        <f>IFERROR(Datos!A3259,"")</f>
        <v/>
      </c>
      <c r="B3259" s="8">
        <f>IFERROR(Datos!B3259,"")</f>
        <v/>
      </c>
      <c r="C3259" s="8">
        <f>IFERROR(Datos!C3259,"")</f>
        <v/>
      </c>
      <c r="D3259" s="28">
        <f>IFERROR(IF(AND(ISNUMBER(B3259),ISNUMBER(B3258),B3258&lt;&gt;0),B3259/B3258-1,""),"")</f>
        <v/>
      </c>
      <c r="E3259" s="28">
        <f>IFERROR(IF(AND(ISNUMBER(C3259),ISNUMBER(C3258),C3258&lt;&gt;0),C3259/C3258-1,""),"")</f>
        <v/>
      </c>
      <c r="F3259" s="28">
        <f>IFERROR(D3259-Dashboard!$B$4/252,"")</f>
        <v/>
      </c>
      <c r="G3259" s="28">
        <f>IFERROR(E3259-Dashboard!$B$4/252,"")</f>
        <v/>
      </c>
      <c r="H3259" s="8">
        <f>IFERROR(IF(ISNUMBER(B3259),MAX(B3259,IFERROR(H3258,B3259)),""),"")</f>
        <v/>
      </c>
      <c r="I3259" s="29">
        <f>IFERROR(IF(AND(ISNUMBER(B3259),ISNUMBER(H3259)),B3259/H3259-1,""),"")</f>
        <v/>
      </c>
      <c r="J3259" s="8">
        <f>IFERROR(IF(ISNUMBER(C3259),MAX(C3259,IFERROR(J3258,C3259)),""),"")</f>
        <v/>
      </c>
      <c r="K3259" s="29">
        <f>IFERROR(IF(AND(ISNUMBER(C3259),ISNUMBER(J3259)),C3259/J3259-1,""),"")</f>
        <v/>
      </c>
      <c r="L3259" s="28">
        <f>IFERROR(IF(AND(ISNUMBER(D3259),ISNUMBER(E3259)),D3259-E3259,""),"")</f>
        <v/>
      </c>
    </row>
    <row r="3260">
      <c r="A3260" s="7">
        <f>IFERROR(Datos!A3260,"")</f>
        <v/>
      </c>
      <c r="B3260" s="8">
        <f>IFERROR(Datos!B3260,"")</f>
        <v/>
      </c>
      <c r="C3260" s="8">
        <f>IFERROR(Datos!C3260,"")</f>
        <v/>
      </c>
      <c r="D3260" s="28">
        <f>IFERROR(IF(AND(ISNUMBER(B3260),ISNUMBER(B3259),B3259&lt;&gt;0),B3260/B3259-1,""),"")</f>
        <v/>
      </c>
      <c r="E3260" s="28">
        <f>IFERROR(IF(AND(ISNUMBER(C3260),ISNUMBER(C3259),C3259&lt;&gt;0),C3260/C3259-1,""),"")</f>
        <v/>
      </c>
      <c r="F3260" s="28">
        <f>IFERROR(D3260-Dashboard!$B$4/252,"")</f>
        <v/>
      </c>
      <c r="G3260" s="28">
        <f>IFERROR(E3260-Dashboard!$B$4/252,"")</f>
        <v/>
      </c>
      <c r="H3260" s="8">
        <f>IFERROR(IF(ISNUMBER(B3260),MAX(B3260,IFERROR(H3259,B3260)),""),"")</f>
        <v/>
      </c>
      <c r="I3260" s="29">
        <f>IFERROR(IF(AND(ISNUMBER(B3260),ISNUMBER(H3260)),B3260/H3260-1,""),"")</f>
        <v/>
      </c>
      <c r="J3260" s="8">
        <f>IFERROR(IF(ISNUMBER(C3260),MAX(C3260,IFERROR(J3259,C3260)),""),"")</f>
        <v/>
      </c>
      <c r="K3260" s="29">
        <f>IFERROR(IF(AND(ISNUMBER(C3260),ISNUMBER(J3260)),C3260/J3260-1,""),"")</f>
        <v/>
      </c>
      <c r="L3260" s="28">
        <f>IFERROR(IF(AND(ISNUMBER(D3260),ISNUMBER(E3260)),D3260-E3260,""),"")</f>
        <v/>
      </c>
    </row>
    <row r="3261">
      <c r="A3261" s="7">
        <f>IFERROR(Datos!A3261,"")</f>
        <v/>
      </c>
      <c r="B3261" s="8">
        <f>IFERROR(Datos!B3261,"")</f>
        <v/>
      </c>
      <c r="C3261" s="8">
        <f>IFERROR(Datos!C3261,"")</f>
        <v/>
      </c>
      <c r="D3261" s="28">
        <f>IFERROR(IF(AND(ISNUMBER(B3261),ISNUMBER(B3260),B3260&lt;&gt;0),B3261/B3260-1,""),"")</f>
        <v/>
      </c>
      <c r="E3261" s="28">
        <f>IFERROR(IF(AND(ISNUMBER(C3261),ISNUMBER(C3260),C3260&lt;&gt;0),C3261/C3260-1,""),"")</f>
        <v/>
      </c>
      <c r="F3261" s="28">
        <f>IFERROR(D3261-Dashboard!$B$4/252,"")</f>
        <v/>
      </c>
      <c r="G3261" s="28">
        <f>IFERROR(E3261-Dashboard!$B$4/252,"")</f>
        <v/>
      </c>
      <c r="H3261" s="8">
        <f>IFERROR(IF(ISNUMBER(B3261),MAX(B3261,IFERROR(H3260,B3261)),""),"")</f>
        <v/>
      </c>
      <c r="I3261" s="29">
        <f>IFERROR(IF(AND(ISNUMBER(B3261),ISNUMBER(H3261)),B3261/H3261-1,""),"")</f>
        <v/>
      </c>
      <c r="J3261" s="8">
        <f>IFERROR(IF(ISNUMBER(C3261),MAX(C3261,IFERROR(J3260,C3261)),""),"")</f>
        <v/>
      </c>
      <c r="K3261" s="29">
        <f>IFERROR(IF(AND(ISNUMBER(C3261),ISNUMBER(J3261)),C3261/J3261-1,""),"")</f>
        <v/>
      </c>
      <c r="L3261" s="28">
        <f>IFERROR(IF(AND(ISNUMBER(D3261),ISNUMBER(E3261)),D3261-E3261,""),"")</f>
        <v/>
      </c>
    </row>
    <row r="3262">
      <c r="A3262" s="7">
        <f>IFERROR(Datos!A3262,"")</f>
        <v/>
      </c>
      <c r="B3262" s="8">
        <f>IFERROR(Datos!B3262,"")</f>
        <v/>
      </c>
      <c r="C3262" s="8">
        <f>IFERROR(Datos!C3262,"")</f>
        <v/>
      </c>
      <c r="D3262" s="28">
        <f>IFERROR(IF(AND(ISNUMBER(B3262),ISNUMBER(B3261),B3261&lt;&gt;0),B3262/B3261-1,""),"")</f>
        <v/>
      </c>
      <c r="E3262" s="28">
        <f>IFERROR(IF(AND(ISNUMBER(C3262),ISNUMBER(C3261),C3261&lt;&gt;0),C3262/C3261-1,""),"")</f>
        <v/>
      </c>
      <c r="F3262" s="28">
        <f>IFERROR(D3262-Dashboard!$B$4/252,"")</f>
        <v/>
      </c>
      <c r="G3262" s="28">
        <f>IFERROR(E3262-Dashboard!$B$4/252,"")</f>
        <v/>
      </c>
      <c r="H3262" s="8">
        <f>IFERROR(IF(ISNUMBER(B3262),MAX(B3262,IFERROR(H3261,B3262)),""),"")</f>
        <v/>
      </c>
      <c r="I3262" s="29">
        <f>IFERROR(IF(AND(ISNUMBER(B3262),ISNUMBER(H3262)),B3262/H3262-1,""),"")</f>
        <v/>
      </c>
      <c r="J3262" s="8">
        <f>IFERROR(IF(ISNUMBER(C3262),MAX(C3262,IFERROR(J3261,C3262)),""),"")</f>
        <v/>
      </c>
      <c r="K3262" s="29">
        <f>IFERROR(IF(AND(ISNUMBER(C3262),ISNUMBER(J3262)),C3262/J3262-1,""),"")</f>
        <v/>
      </c>
      <c r="L3262" s="28">
        <f>IFERROR(IF(AND(ISNUMBER(D3262),ISNUMBER(E3262)),D3262-E3262,""),"")</f>
        <v/>
      </c>
    </row>
    <row r="3263">
      <c r="A3263" s="7">
        <f>IFERROR(Datos!A3263,"")</f>
        <v/>
      </c>
      <c r="B3263" s="8">
        <f>IFERROR(Datos!B3263,"")</f>
        <v/>
      </c>
      <c r="C3263" s="8">
        <f>IFERROR(Datos!C3263,"")</f>
        <v/>
      </c>
      <c r="D3263" s="28">
        <f>IFERROR(IF(AND(ISNUMBER(B3263),ISNUMBER(B3262),B3262&lt;&gt;0),B3263/B3262-1,""),"")</f>
        <v/>
      </c>
      <c r="E3263" s="28">
        <f>IFERROR(IF(AND(ISNUMBER(C3263),ISNUMBER(C3262),C3262&lt;&gt;0),C3263/C3262-1,""),"")</f>
        <v/>
      </c>
      <c r="F3263" s="28">
        <f>IFERROR(D3263-Dashboard!$B$4/252,"")</f>
        <v/>
      </c>
      <c r="G3263" s="28">
        <f>IFERROR(E3263-Dashboard!$B$4/252,"")</f>
        <v/>
      </c>
      <c r="H3263" s="8">
        <f>IFERROR(IF(ISNUMBER(B3263),MAX(B3263,IFERROR(H3262,B3263)),""),"")</f>
        <v/>
      </c>
      <c r="I3263" s="29">
        <f>IFERROR(IF(AND(ISNUMBER(B3263),ISNUMBER(H3263)),B3263/H3263-1,""),"")</f>
        <v/>
      </c>
      <c r="J3263" s="8">
        <f>IFERROR(IF(ISNUMBER(C3263),MAX(C3263,IFERROR(J3262,C3263)),""),"")</f>
        <v/>
      </c>
      <c r="K3263" s="29">
        <f>IFERROR(IF(AND(ISNUMBER(C3263),ISNUMBER(J3263)),C3263/J3263-1,""),"")</f>
        <v/>
      </c>
      <c r="L3263" s="28">
        <f>IFERROR(IF(AND(ISNUMBER(D3263),ISNUMBER(E3263)),D3263-E3263,""),"")</f>
        <v/>
      </c>
    </row>
    <row r="3264">
      <c r="A3264" s="7">
        <f>IFERROR(Datos!A3264,"")</f>
        <v/>
      </c>
      <c r="B3264" s="8">
        <f>IFERROR(Datos!B3264,"")</f>
        <v/>
      </c>
      <c r="C3264" s="8">
        <f>IFERROR(Datos!C3264,"")</f>
        <v/>
      </c>
      <c r="D3264" s="28">
        <f>IFERROR(IF(AND(ISNUMBER(B3264),ISNUMBER(B3263),B3263&lt;&gt;0),B3264/B3263-1,""),"")</f>
        <v/>
      </c>
      <c r="E3264" s="28">
        <f>IFERROR(IF(AND(ISNUMBER(C3264),ISNUMBER(C3263),C3263&lt;&gt;0),C3264/C3263-1,""),"")</f>
        <v/>
      </c>
      <c r="F3264" s="28">
        <f>IFERROR(D3264-Dashboard!$B$4/252,"")</f>
        <v/>
      </c>
      <c r="G3264" s="28">
        <f>IFERROR(E3264-Dashboard!$B$4/252,"")</f>
        <v/>
      </c>
      <c r="H3264" s="8">
        <f>IFERROR(IF(ISNUMBER(B3264),MAX(B3264,IFERROR(H3263,B3264)),""),"")</f>
        <v/>
      </c>
      <c r="I3264" s="29">
        <f>IFERROR(IF(AND(ISNUMBER(B3264),ISNUMBER(H3264)),B3264/H3264-1,""),"")</f>
        <v/>
      </c>
      <c r="J3264" s="8">
        <f>IFERROR(IF(ISNUMBER(C3264),MAX(C3264,IFERROR(J3263,C3264)),""),"")</f>
        <v/>
      </c>
      <c r="K3264" s="29">
        <f>IFERROR(IF(AND(ISNUMBER(C3264),ISNUMBER(J3264)),C3264/J3264-1,""),"")</f>
        <v/>
      </c>
      <c r="L3264" s="28">
        <f>IFERROR(IF(AND(ISNUMBER(D3264),ISNUMBER(E3264)),D3264-E3264,""),"")</f>
        <v/>
      </c>
    </row>
    <row r="3265">
      <c r="A3265" s="7">
        <f>IFERROR(Datos!A3265,"")</f>
        <v/>
      </c>
      <c r="B3265" s="8">
        <f>IFERROR(Datos!B3265,"")</f>
        <v/>
      </c>
      <c r="C3265" s="8">
        <f>IFERROR(Datos!C3265,"")</f>
        <v/>
      </c>
      <c r="D3265" s="28">
        <f>IFERROR(IF(AND(ISNUMBER(B3265),ISNUMBER(B3264),B3264&lt;&gt;0),B3265/B3264-1,""),"")</f>
        <v/>
      </c>
      <c r="E3265" s="28">
        <f>IFERROR(IF(AND(ISNUMBER(C3265),ISNUMBER(C3264),C3264&lt;&gt;0),C3265/C3264-1,""),"")</f>
        <v/>
      </c>
      <c r="F3265" s="28">
        <f>IFERROR(D3265-Dashboard!$B$4/252,"")</f>
        <v/>
      </c>
      <c r="G3265" s="28">
        <f>IFERROR(E3265-Dashboard!$B$4/252,"")</f>
        <v/>
      </c>
      <c r="H3265" s="8">
        <f>IFERROR(IF(ISNUMBER(B3265),MAX(B3265,IFERROR(H3264,B3265)),""),"")</f>
        <v/>
      </c>
      <c r="I3265" s="29">
        <f>IFERROR(IF(AND(ISNUMBER(B3265),ISNUMBER(H3265)),B3265/H3265-1,""),"")</f>
        <v/>
      </c>
      <c r="J3265" s="8">
        <f>IFERROR(IF(ISNUMBER(C3265),MAX(C3265,IFERROR(J3264,C3265)),""),"")</f>
        <v/>
      </c>
      <c r="K3265" s="29">
        <f>IFERROR(IF(AND(ISNUMBER(C3265),ISNUMBER(J3265)),C3265/J3265-1,""),"")</f>
        <v/>
      </c>
      <c r="L3265" s="28">
        <f>IFERROR(IF(AND(ISNUMBER(D3265),ISNUMBER(E3265)),D3265-E3265,""),"")</f>
        <v/>
      </c>
    </row>
    <row r="3266">
      <c r="A3266" s="7">
        <f>IFERROR(Datos!A3266,"")</f>
        <v/>
      </c>
      <c r="B3266" s="8">
        <f>IFERROR(Datos!B3266,"")</f>
        <v/>
      </c>
      <c r="C3266" s="8">
        <f>IFERROR(Datos!C3266,"")</f>
        <v/>
      </c>
      <c r="D3266" s="28">
        <f>IFERROR(IF(AND(ISNUMBER(B3266),ISNUMBER(B3265),B3265&lt;&gt;0),B3266/B3265-1,""),"")</f>
        <v/>
      </c>
      <c r="E3266" s="28">
        <f>IFERROR(IF(AND(ISNUMBER(C3266),ISNUMBER(C3265),C3265&lt;&gt;0),C3266/C3265-1,""),"")</f>
        <v/>
      </c>
      <c r="F3266" s="28">
        <f>IFERROR(D3266-Dashboard!$B$4/252,"")</f>
        <v/>
      </c>
      <c r="G3266" s="28">
        <f>IFERROR(E3266-Dashboard!$B$4/252,"")</f>
        <v/>
      </c>
      <c r="H3266" s="8">
        <f>IFERROR(IF(ISNUMBER(B3266),MAX(B3266,IFERROR(H3265,B3266)),""),"")</f>
        <v/>
      </c>
      <c r="I3266" s="29">
        <f>IFERROR(IF(AND(ISNUMBER(B3266),ISNUMBER(H3266)),B3266/H3266-1,""),"")</f>
        <v/>
      </c>
      <c r="J3266" s="8">
        <f>IFERROR(IF(ISNUMBER(C3266),MAX(C3266,IFERROR(J3265,C3266)),""),"")</f>
        <v/>
      </c>
      <c r="K3266" s="29">
        <f>IFERROR(IF(AND(ISNUMBER(C3266),ISNUMBER(J3266)),C3266/J3266-1,""),"")</f>
        <v/>
      </c>
      <c r="L3266" s="28">
        <f>IFERROR(IF(AND(ISNUMBER(D3266),ISNUMBER(E3266)),D3266-E3266,""),"")</f>
        <v/>
      </c>
    </row>
    <row r="3267">
      <c r="A3267" s="7">
        <f>IFERROR(Datos!A3267,"")</f>
        <v/>
      </c>
      <c r="B3267" s="8">
        <f>IFERROR(Datos!B3267,"")</f>
        <v/>
      </c>
      <c r="C3267" s="8">
        <f>IFERROR(Datos!C3267,"")</f>
        <v/>
      </c>
      <c r="D3267" s="28">
        <f>IFERROR(IF(AND(ISNUMBER(B3267),ISNUMBER(B3266),B3266&lt;&gt;0),B3267/B3266-1,""),"")</f>
        <v/>
      </c>
      <c r="E3267" s="28">
        <f>IFERROR(IF(AND(ISNUMBER(C3267),ISNUMBER(C3266),C3266&lt;&gt;0),C3267/C3266-1,""),"")</f>
        <v/>
      </c>
      <c r="F3267" s="28">
        <f>IFERROR(D3267-Dashboard!$B$4/252,"")</f>
        <v/>
      </c>
      <c r="G3267" s="28">
        <f>IFERROR(E3267-Dashboard!$B$4/252,"")</f>
        <v/>
      </c>
      <c r="H3267" s="8">
        <f>IFERROR(IF(ISNUMBER(B3267),MAX(B3267,IFERROR(H3266,B3267)),""),"")</f>
        <v/>
      </c>
      <c r="I3267" s="29">
        <f>IFERROR(IF(AND(ISNUMBER(B3267),ISNUMBER(H3267)),B3267/H3267-1,""),"")</f>
        <v/>
      </c>
      <c r="J3267" s="8">
        <f>IFERROR(IF(ISNUMBER(C3267),MAX(C3267,IFERROR(J3266,C3267)),""),"")</f>
        <v/>
      </c>
      <c r="K3267" s="29">
        <f>IFERROR(IF(AND(ISNUMBER(C3267),ISNUMBER(J3267)),C3267/J3267-1,""),"")</f>
        <v/>
      </c>
      <c r="L3267" s="28">
        <f>IFERROR(IF(AND(ISNUMBER(D3267),ISNUMBER(E3267)),D3267-E3267,""),"")</f>
        <v/>
      </c>
    </row>
    <row r="3268">
      <c r="A3268" s="7">
        <f>IFERROR(Datos!A3268,"")</f>
        <v/>
      </c>
      <c r="B3268" s="8">
        <f>IFERROR(Datos!B3268,"")</f>
        <v/>
      </c>
      <c r="C3268" s="8">
        <f>IFERROR(Datos!C3268,"")</f>
        <v/>
      </c>
      <c r="D3268" s="28">
        <f>IFERROR(IF(AND(ISNUMBER(B3268),ISNUMBER(B3267),B3267&lt;&gt;0),B3268/B3267-1,""),"")</f>
        <v/>
      </c>
      <c r="E3268" s="28">
        <f>IFERROR(IF(AND(ISNUMBER(C3268),ISNUMBER(C3267),C3267&lt;&gt;0),C3268/C3267-1,""),"")</f>
        <v/>
      </c>
      <c r="F3268" s="28">
        <f>IFERROR(D3268-Dashboard!$B$4/252,"")</f>
        <v/>
      </c>
      <c r="G3268" s="28">
        <f>IFERROR(E3268-Dashboard!$B$4/252,"")</f>
        <v/>
      </c>
      <c r="H3268" s="8">
        <f>IFERROR(IF(ISNUMBER(B3268),MAX(B3268,IFERROR(H3267,B3268)),""),"")</f>
        <v/>
      </c>
      <c r="I3268" s="29">
        <f>IFERROR(IF(AND(ISNUMBER(B3268),ISNUMBER(H3268)),B3268/H3268-1,""),"")</f>
        <v/>
      </c>
      <c r="J3268" s="8">
        <f>IFERROR(IF(ISNUMBER(C3268),MAX(C3268,IFERROR(J3267,C3268)),""),"")</f>
        <v/>
      </c>
      <c r="K3268" s="29">
        <f>IFERROR(IF(AND(ISNUMBER(C3268),ISNUMBER(J3268)),C3268/J3268-1,""),"")</f>
        <v/>
      </c>
      <c r="L3268" s="28">
        <f>IFERROR(IF(AND(ISNUMBER(D3268),ISNUMBER(E3268)),D3268-E3268,""),"")</f>
        <v/>
      </c>
    </row>
    <row r="3269">
      <c r="A3269" s="7">
        <f>IFERROR(Datos!A3269,"")</f>
        <v/>
      </c>
      <c r="B3269" s="8">
        <f>IFERROR(Datos!B3269,"")</f>
        <v/>
      </c>
      <c r="C3269" s="8">
        <f>IFERROR(Datos!C3269,"")</f>
        <v/>
      </c>
      <c r="D3269" s="28">
        <f>IFERROR(IF(AND(ISNUMBER(B3269),ISNUMBER(B3268),B3268&lt;&gt;0),B3269/B3268-1,""),"")</f>
        <v/>
      </c>
      <c r="E3269" s="28">
        <f>IFERROR(IF(AND(ISNUMBER(C3269),ISNUMBER(C3268),C3268&lt;&gt;0),C3269/C3268-1,""),"")</f>
        <v/>
      </c>
      <c r="F3269" s="28">
        <f>IFERROR(D3269-Dashboard!$B$4/252,"")</f>
        <v/>
      </c>
      <c r="G3269" s="28">
        <f>IFERROR(E3269-Dashboard!$B$4/252,"")</f>
        <v/>
      </c>
      <c r="H3269" s="8">
        <f>IFERROR(IF(ISNUMBER(B3269),MAX(B3269,IFERROR(H3268,B3269)),""),"")</f>
        <v/>
      </c>
      <c r="I3269" s="29">
        <f>IFERROR(IF(AND(ISNUMBER(B3269),ISNUMBER(H3269)),B3269/H3269-1,""),"")</f>
        <v/>
      </c>
      <c r="J3269" s="8">
        <f>IFERROR(IF(ISNUMBER(C3269),MAX(C3269,IFERROR(J3268,C3269)),""),"")</f>
        <v/>
      </c>
      <c r="K3269" s="29">
        <f>IFERROR(IF(AND(ISNUMBER(C3269),ISNUMBER(J3269)),C3269/J3269-1,""),"")</f>
        <v/>
      </c>
      <c r="L3269" s="28">
        <f>IFERROR(IF(AND(ISNUMBER(D3269),ISNUMBER(E3269)),D3269-E3269,""),"")</f>
        <v/>
      </c>
    </row>
    <row r="3270">
      <c r="A3270" s="7">
        <f>IFERROR(Datos!A3270,"")</f>
        <v/>
      </c>
      <c r="B3270" s="8">
        <f>IFERROR(Datos!B3270,"")</f>
        <v/>
      </c>
      <c r="C3270" s="8">
        <f>IFERROR(Datos!C3270,"")</f>
        <v/>
      </c>
      <c r="D3270" s="28">
        <f>IFERROR(IF(AND(ISNUMBER(B3270),ISNUMBER(B3269),B3269&lt;&gt;0),B3270/B3269-1,""),"")</f>
        <v/>
      </c>
      <c r="E3270" s="28">
        <f>IFERROR(IF(AND(ISNUMBER(C3270),ISNUMBER(C3269),C3269&lt;&gt;0),C3270/C3269-1,""),"")</f>
        <v/>
      </c>
      <c r="F3270" s="28">
        <f>IFERROR(D3270-Dashboard!$B$4/252,"")</f>
        <v/>
      </c>
      <c r="G3270" s="28">
        <f>IFERROR(E3270-Dashboard!$B$4/252,"")</f>
        <v/>
      </c>
      <c r="H3270" s="8">
        <f>IFERROR(IF(ISNUMBER(B3270),MAX(B3270,IFERROR(H3269,B3270)),""),"")</f>
        <v/>
      </c>
      <c r="I3270" s="29">
        <f>IFERROR(IF(AND(ISNUMBER(B3270),ISNUMBER(H3270)),B3270/H3270-1,""),"")</f>
        <v/>
      </c>
      <c r="J3270" s="8">
        <f>IFERROR(IF(ISNUMBER(C3270),MAX(C3270,IFERROR(J3269,C3270)),""),"")</f>
        <v/>
      </c>
      <c r="K3270" s="29">
        <f>IFERROR(IF(AND(ISNUMBER(C3270),ISNUMBER(J3270)),C3270/J3270-1,""),"")</f>
        <v/>
      </c>
      <c r="L3270" s="28">
        <f>IFERROR(IF(AND(ISNUMBER(D3270),ISNUMBER(E3270)),D3270-E3270,""),"")</f>
        <v/>
      </c>
    </row>
    <row r="3271">
      <c r="A3271" s="7">
        <f>IFERROR(Datos!A3271,"")</f>
        <v/>
      </c>
      <c r="B3271" s="8">
        <f>IFERROR(Datos!B3271,"")</f>
        <v/>
      </c>
      <c r="C3271" s="8">
        <f>IFERROR(Datos!C3271,"")</f>
        <v/>
      </c>
      <c r="D3271" s="28">
        <f>IFERROR(IF(AND(ISNUMBER(B3271),ISNUMBER(B3270),B3270&lt;&gt;0),B3271/B3270-1,""),"")</f>
        <v/>
      </c>
      <c r="E3271" s="28">
        <f>IFERROR(IF(AND(ISNUMBER(C3271),ISNUMBER(C3270),C3270&lt;&gt;0),C3271/C3270-1,""),"")</f>
        <v/>
      </c>
      <c r="F3271" s="28">
        <f>IFERROR(D3271-Dashboard!$B$4/252,"")</f>
        <v/>
      </c>
      <c r="G3271" s="28">
        <f>IFERROR(E3271-Dashboard!$B$4/252,"")</f>
        <v/>
      </c>
      <c r="H3271" s="8">
        <f>IFERROR(IF(ISNUMBER(B3271),MAX(B3271,IFERROR(H3270,B3271)),""),"")</f>
        <v/>
      </c>
      <c r="I3271" s="29">
        <f>IFERROR(IF(AND(ISNUMBER(B3271),ISNUMBER(H3271)),B3271/H3271-1,""),"")</f>
        <v/>
      </c>
      <c r="J3271" s="8">
        <f>IFERROR(IF(ISNUMBER(C3271),MAX(C3271,IFERROR(J3270,C3271)),""),"")</f>
        <v/>
      </c>
      <c r="K3271" s="29">
        <f>IFERROR(IF(AND(ISNUMBER(C3271),ISNUMBER(J3271)),C3271/J3271-1,""),"")</f>
        <v/>
      </c>
      <c r="L3271" s="28">
        <f>IFERROR(IF(AND(ISNUMBER(D3271),ISNUMBER(E3271)),D3271-E3271,""),"")</f>
        <v/>
      </c>
    </row>
    <row r="3272">
      <c r="A3272" s="7">
        <f>IFERROR(Datos!A3272,"")</f>
        <v/>
      </c>
      <c r="B3272" s="8">
        <f>IFERROR(Datos!B3272,"")</f>
        <v/>
      </c>
      <c r="C3272" s="8">
        <f>IFERROR(Datos!C3272,"")</f>
        <v/>
      </c>
      <c r="D3272" s="28">
        <f>IFERROR(IF(AND(ISNUMBER(B3272),ISNUMBER(B3271),B3271&lt;&gt;0),B3272/B3271-1,""),"")</f>
        <v/>
      </c>
      <c r="E3272" s="28">
        <f>IFERROR(IF(AND(ISNUMBER(C3272),ISNUMBER(C3271),C3271&lt;&gt;0),C3272/C3271-1,""),"")</f>
        <v/>
      </c>
      <c r="F3272" s="28">
        <f>IFERROR(D3272-Dashboard!$B$4/252,"")</f>
        <v/>
      </c>
      <c r="G3272" s="28">
        <f>IFERROR(E3272-Dashboard!$B$4/252,"")</f>
        <v/>
      </c>
      <c r="H3272" s="8">
        <f>IFERROR(IF(ISNUMBER(B3272),MAX(B3272,IFERROR(H3271,B3272)),""),"")</f>
        <v/>
      </c>
      <c r="I3272" s="29">
        <f>IFERROR(IF(AND(ISNUMBER(B3272),ISNUMBER(H3272)),B3272/H3272-1,""),"")</f>
        <v/>
      </c>
      <c r="J3272" s="8">
        <f>IFERROR(IF(ISNUMBER(C3272),MAX(C3272,IFERROR(J3271,C3272)),""),"")</f>
        <v/>
      </c>
      <c r="K3272" s="29">
        <f>IFERROR(IF(AND(ISNUMBER(C3272),ISNUMBER(J3272)),C3272/J3272-1,""),"")</f>
        <v/>
      </c>
      <c r="L3272" s="28">
        <f>IFERROR(IF(AND(ISNUMBER(D3272),ISNUMBER(E3272)),D3272-E3272,""),"")</f>
        <v/>
      </c>
    </row>
    <row r="3273">
      <c r="A3273" s="7">
        <f>IFERROR(Datos!A3273,"")</f>
        <v/>
      </c>
      <c r="B3273" s="8">
        <f>IFERROR(Datos!B3273,"")</f>
        <v/>
      </c>
      <c r="C3273" s="8">
        <f>IFERROR(Datos!C3273,"")</f>
        <v/>
      </c>
      <c r="D3273" s="28">
        <f>IFERROR(IF(AND(ISNUMBER(B3273),ISNUMBER(B3272),B3272&lt;&gt;0),B3273/B3272-1,""),"")</f>
        <v/>
      </c>
      <c r="E3273" s="28">
        <f>IFERROR(IF(AND(ISNUMBER(C3273),ISNUMBER(C3272),C3272&lt;&gt;0),C3273/C3272-1,""),"")</f>
        <v/>
      </c>
      <c r="F3273" s="28">
        <f>IFERROR(D3273-Dashboard!$B$4/252,"")</f>
        <v/>
      </c>
      <c r="G3273" s="28">
        <f>IFERROR(E3273-Dashboard!$B$4/252,"")</f>
        <v/>
      </c>
      <c r="H3273" s="8">
        <f>IFERROR(IF(ISNUMBER(B3273),MAX(B3273,IFERROR(H3272,B3273)),""),"")</f>
        <v/>
      </c>
      <c r="I3273" s="29">
        <f>IFERROR(IF(AND(ISNUMBER(B3273),ISNUMBER(H3273)),B3273/H3273-1,""),"")</f>
        <v/>
      </c>
      <c r="J3273" s="8">
        <f>IFERROR(IF(ISNUMBER(C3273),MAX(C3273,IFERROR(J3272,C3273)),""),"")</f>
        <v/>
      </c>
      <c r="K3273" s="29">
        <f>IFERROR(IF(AND(ISNUMBER(C3273),ISNUMBER(J3273)),C3273/J3273-1,""),"")</f>
        <v/>
      </c>
      <c r="L3273" s="28">
        <f>IFERROR(IF(AND(ISNUMBER(D3273),ISNUMBER(E3273)),D3273-E3273,""),"")</f>
        <v/>
      </c>
    </row>
    <row r="3274">
      <c r="A3274" s="7">
        <f>IFERROR(Datos!A3274,"")</f>
        <v/>
      </c>
      <c r="B3274" s="8">
        <f>IFERROR(Datos!B3274,"")</f>
        <v/>
      </c>
      <c r="C3274" s="8">
        <f>IFERROR(Datos!C3274,"")</f>
        <v/>
      </c>
      <c r="D3274" s="28">
        <f>IFERROR(IF(AND(ISNUMBER(B3274),ISNUMBER(B3273),B3273&lt;&gt;0),B3274/B3273-1,""),"")</f>
        <v/>
      </c>
      <c r="E3274" s="28">
        <f>IFERROR(IF(AND(ISNUMBER(C3274),ISNUMBER(C3273),C3273&lt;&gt;0),C3274/C3273-1,""),"")</f>
        <v/>
      </c>
      <c r="F3274" s="28">
        <f>IFERROR(D3274-Dashboard!$B$4/252,"")</f>
        <v/>
      </c>
      <c r="G3274" s="28">
        <f>IFERROR(E3274-Dashboard!$B$4/252,"")</f>
        <v/>
      </c>
      <c r="H3274" s="8">
        <f>IFERROR(IF(ISNUMBER(B3274),MAX(B3274,IFERROR(H3273,B3274)),""),"")</f>
        <v/>
      </c>
      <c r="I3274" s="29">
        <f>IFERROR(IF(AND(ISNUMBER(B3274),ISNUMBER(H3274)),B3274/H3274-1,""),"")</f>
        <v/>
      </c>
      <c r="J3274" s="8">
        <f>IFERROR(IF(ISNUMBER(C3274),MAX(C3274,IFERROR(J3273,C3274)),""),"")</f>
        <v/>
      </c>
      <c r="K3274" s="29">
        <f>IFERROR(IF(AND(ISNUMBER(C3274),ISNUMBER(J3274)),C3274/J3274-1,""),"")</f>
        <v/>
      </c>
      <c r="L3274" s="28">
        <f>IFERROR(IF(AND(ISNUMBER(D3274),ISNUMBER(E3274)),D3274-E3274,""),"")</f>
        <v/>
      </c>
    </row>
    <row r="3275">
      <c r="A3275" s="7">
        <f>IFERROR(Datos!A3275,"")</f>
        <v/>
      </c>
      <c r="B3275" s="8">
        <f>IFERROR(Datos!B3275,"")</f>
        <v/>
      </c>
      <c r="C3275" s="8">
        <f>IFERROR(Datos!C3275,"")</f>
        <v/>
      </c>
      <c r="D3275" s="28">
        <f>IFERROR(IF(AND(ISNUMBER(B3275),ISNUMBER(B3274),B3274&lt;&gt;0),B3275/B3274-1,""),"")</f>
        <v/>
      </c>
      <c r="E3275" s="28">
        <f>IFERROR(IF(AND(ISNUMBER(C3275),ISNUMBER(C3274),C3274&lt;&gt;0),C3275/C3274-1,""),"")</f>
        <v/>
      </c>
      <c r="F3275" s="28">
        <f>IFERROR(D3275-Dashboard!$B$4/252,"")</f>
        <v/>
      </c>
      <c r="G3275" s="28">
        <f>IFERROR(E3275-Dashboard!$B$4/252,"")</f>
        <v/>
      </c>
      <c r="H3275" s="8">
        <f>IFERROR(IF(ISNUMBER(B3275),MAX(B3275,IFERROR(H3274,B3275)),""),"")</f>
        <v/>
      </c>
      <c r="I3275" s="29">
        <f>IFERROR(IF(AND(ISNUMBER(B3275),ISNUMBER(H3275)),B3275/H3275-1,""),"")</f>
        <v/>
      </c>
      <c r="J3275" s="8">
        <f>IFERROR(IF(ISNUMBER(C3275),MAX(C3275,IFERROR(J3274,C3275)),""),"")</f>
        <v/>
      </c>
      <c r="K3275" s="29">
        <f>IFERROR(IF(AND(ISNUMBER(C3275),ISNUMBER(J3275)),C3275/J3275-1,""),"")</f>
        <v/>
      </c>
      <c r="L3275" s="28">
        <f>IFERROR(IF(AND(ISNUMBER(D3275),ISNUMBER(E3275)),D3275-E3275,""),"")</f>
        <v/>
      </c>
    </row>
    <row r="3276">
      <c r="A3276" s="7">
        <f>IFERROR(Datos!A3276,"")</f>
        <v/>
      </c>
      <c r="B3276" s="8">
        <f>IFERROR(Datos!B3276,"")</f>
        <v/>
      </c>
      <c r="C3276" s="8">
        <f>IFERROR(Datos!C3276,"")</f>
        <v/>
      </c>
      <c r="D3276" s="28">
        <f>IFERROR(IF(AND(ISNUMBER(B3276),ISNUMBER(B3275),B3275&lt;&gt;0),B3276/B3275-1,""),"")</f>
        <v/>
      </c>
      <c r="E3276" s="28">
        <f>IFERROR(IF(AND(ISNUMBER(C3276),ISNUMBER(C3275),C3275&lt;&gt;0),C3276/C3275-1,""),"")</f>
        <v/>
      </c>
      <c r="F3276" s="28">
        <f>IFERROR(D3276-Dashboard!$B$4/252,"")</f>
        <v/>
      </c>
      <c r="G3276" s="28">
        <f>IFERROR(E3276-Dashboard!$B$4/252,"")</f>
        <v/>
      </c>
      <c r="H3276" s="8">
        <f>IFERROR(IF(ISNUMBER(B3276),MAX(B3276,IFERROR(H3275,B3276)),""),"")</f>
        <v/>
      </c>
      <c r="I3276" s="29">
        <f>IFERROR(IF(AND(ISNUMBER(B3276),ISNUMBER(H3276)),B3276/H3276-1,""),"")</f>
        <v/>
      </c>
      <c r="J3276" s="8">
        <f>IFERROR(IF(ISNUMBER(C3276),MAX(C3276,IFERROR(J3275,C3276)),""),"")</f>
        <v/>
      </c>
      <c r="K3276" s="29">
        <f>IFERROR(IF(AND(ISNUMBER(C3276),ISNUMBER(J3276)),C3276/J3276-1,""),"")</f>
        <v/>
      </c>
      <c r="L3276" s="28">
        <f>IFERROR(IF(AND(ISNUMBER(D3276),ISNUMBER(E3276)),D3276-E3276,""),"")</f>
        <v/>
      </c>
    </row>
    <row r="3277">
      <c r="A3277" s="7">
        <f>IFERROR(Datos!A3277,"")</f>
        <v/>
      </c>
      <c r="B3277" s="8">
        <f>IFERROR(Datos!B3277,"")</f>
        <v/>
      </c>
      <c r="C3277" s="8">
        <f>IFERROR(Datos!C3277,"")</f>
        <v/>
      </c>
      <c r="D3277" s="28">
        <f>IFERROR(IF(AND(ISNUMBER(B3277),ISNUMBER(B3276),B3276&lt;&gt;0),B3277/B3276-1,""),"")</f>
        <v/>
      </c>
      <c r="E3277" s="28">
        <f>IFERROR(IF(AND(ISNUMBER(C3277),ISNUMBER(C3276),C3276&lt;&gt;0),C3277/C3276-1,""),"")</f>
        <v/>
      </c>
      <c r="F3277" s="28">
        <f>IFERROR(D3277-Dashboard!$B$4/252,"")</f>
        <v/>
      </c>
      <c r="G3277" s="28">
        <f>IFERROR(E3277-Dashboard!$B$4/252,"")</f>
        <v/>
      </c>
      <c r="H3277" s="8">
        <f>IFERROR(IF(ISNUMBER(B3277),MAX(B3277,IFERROR(H3276,B3277)),""),"")</f>
        <v/>
      </c>
      <c r="I3277" s="29">
        <f>IFERROR(IF(AND(ISNUMBER(B3277),ISNUMBER(H3277)),B3277/H3277-1,""),"")</f>
        <v/>
      </c>
      <c r="J3277" s="8">
        <f>IFERROR(IF(ISNUMBER(C3277),MAX(C3277,IFERROR(J3276,C3277)),""),"")</f>
        <v/>
      </c>
      <c r="K3277" s="29">
        <f>IFERROR(IF(AND(ISNUMBER(C3277),ISNUMBER(J3277)),C3277/J3277-1,""),"")</f>
        <v/>
      </c>
      <c r="L3277" s="28">
        <f>IFERROR(IF(AND(ISNUMBER(D3277),ISNUMBER(E3277)),D3277-E3277,""),"")</f>
        <v/>
      </c>
    </row>
    <row r="3278">
      <c r="A3278" s="7">
        <f>IFERROR(Datos!A3278,"")</f>
        <v/>
      </c>
      <c r="B3278" s="8">
        <f>IFERROR(Datos!B3278,"")</f>
        <v/>
      </c>
      <c r="C3278" s="8">
        <f>IFERROR(Datos!C3278,"")</f>
        <v/>
      </c>
      <c r="D3278" s="28">
        <f>IFERROR(IF(AND(ISNUMBER(B3278),ISNUMBER(B3277),B3277&lt;&gt;0),B3278/B3277-1,""),"")</f>
        <v/>
      </c>
      <c r="E3278" s="28">
        <f>IFERROR(IF(AND(ISNUMBER(C3278),ISNUMBER(C3277),C3277&lt;&gt;0),C3278/C3277-1,""),"")</f>
        <v/>
      </c>
      <c r="F3278" s="28">
        <f>IFERROR(D3278-Dashboard!$B$4/252,"")</f>
        <v/>
      </c>
      <c r="G3278" s="28">
        <f>IFERROR(E3278-Dashboard!$B$4/252,"")</f>
        <v/>
      </c>
      <c r="H3278" s="8">
        <f>IFERROR(IF(ISNUMBER(B3278),MAX(B3278,IFERROR(H3277,B3278)),""),"")</f>
        <v/>
      </c>
      <c r="I3278" s="29">
        <f>IFERROR(IF(AND(ISNUMBER(B3278),ISNUMBER(H3278)),B3278/H3278-1,""),"")</f>
        <v/>
      </c>
      <c r="J3278" s="8">
        <f>IFERROR(IF(ISNUMBER(C3278),MAX(C3278,IFERROR(J3277,C3278)),""),"")</f>
        <v/>
      </c>
      <c r="K3278" s="29">
        <f>IFERROR(IF(AND(ISNUMBER(C3278),ISNUMBER(J3278)),C3278/J3278-1,""),"")</f>
        <v/>
      </c>
      <c r="L3278" s="28">
        <f>IFERROR(IF(AND(ISNUMBER(D3278),ISNUMBER(E3278)),D3278-E3278,""),"")</f>
        <v/>
      </c>
    </row>
    <row r="3279">
      <c r="A3279" s="7">
        <f>IFERROR(Datos!A3279,"")</f>
        <v/>
      </c>
      <c r="B3279" s="8">
        <f>IFERROR(Datos!B3279,"")</f>
        <v/>
      </c>
      <c r="C3279" s="8">
        <f>IFERROR(Datos!C3279,"")</f>
        <v/>
      </c>
      <c r="D3279" s="28">
        <f>IFERROR(IF(AND(ISNUMBER(B3279),ISNUMBER(B3278),B3278&lt;&gt;0),B3279/B3278-1,""),"")</f>
        <v/>
      </c>
      <c r="E3279" s="28">
        <f>IFERROR(IF(AND(ISNUMBER(C3279),ISNUMBER(C3278),C3278&lt;&gt;0),C3279/C3278-1,""),"")</f>
        <v/>
      </c>
      <c r="F3279" s="28">
        <f>IFERROR(D3279-Dashboard!$B$4/252,"")</f>
        <v/>
      </c>
      <c r="G3279" s="28">
        <f>IFERROR(E3279-Dashboard!$B$4/252,"")</f>
        <v/>
      </c>
      <c r="H3279" s="8">
        <f>IFERROR(IF(ISNUMBER(B3279),MAX(B3279,IFERROR(H3278,B3279)),""),"")</f>
        <v/>
      </c>
      <c r="I3279" s="29">
        <f>IFERROR(IF(AND(ISNUMBER(B3279),ISNUMBER(H3279)),B3279/H3279-1,""),"")</f>
        <v/>
      </c>
      <c r="J3279" s="8">
        <f>IFERROR(IF(ISNUMBER(C3279),MAX(C3279,IFERROR(J3278,C3279)),""),"")</f>
        <v/>
      </c>
      <c r="K3279" s="29">
        <f>IFERROR(IF(AND(ISNUMBER(C3279),ISNUMBER(J3279)),C3279/J3279-1,""),"")</f>
        <v/>
      </c>
      <c r="L3279" s="28">
        <f>IFERROR(IF(AND(ISNUMBER(D3279),ISNUMBER(E3279)),D3279-E3279,""),"")</f>
        <v/>
      </c>
    </row>
    <row r="3280">
      <c r="A3280" s="7">
        <f>IFERROR(Datos!A3280,"")</f>
        <v/>
      </c>
      <c r="B3280" s="8">
        <f>IFERROR(Datos!B3280,"")</f>
        <v/>
      </c>
      <c r="C3280" s="8">
        <f>IFERROR(Datos!C3280,"")</f>
        <v/>
      </c>
      <c r="D3280" s="28">
        <f>IFERROR(IF(AND(ISNUMBER(B3280),ISNUMBER(B3279),B3279&lt;&gt;0),B3280/B3279-1,""),"")</f>
        <v/>
      </c>
      <c r="E3280" s="28">
        <f>IFERROR(IF(AND(ISNUMBER(C3280),ISNUMBER(C3279),C3279&lt;&gt;0),C3280/C3279-1,""),"")</f>
        <v/>
      </c>
      <c r="F3280" s="28">
        <f>IFERROR(D3280-Dashboard!$B$4/252,"")</f>
        <v/>
      </c>
      <c r="G3280" s="28">
        <f>IFERROR(E3280-Dashboard!$B$4/252,"")</f>
        <v/>
      </c>
      <c r="H3280" s="8">
        <f>IFERROR(IF(ISNUMBER(B3280),MAX(B3280,IFERROR(H3279,B3280)),""),"")</f>
        <v/>
      </c>
      <c r="I3280" s="29">
        <f>IFERROR(IF(AND(ISNUMBER(B3280),ISNUMBER(H3280)),B3280/H3280-1,""),"")</f>
        <v/>
      </c>
      <c r="J3280" s="8">
        <f>IFERROR(IF(ISNUMBER(C3280),MAX(C3280,IFERROR(J3279,C3280)),""),"")</f>
        <v/>
      </c>
      <c r="K3280" s="29">
        <f>IFERROR(IF(AND(ISNUMBER(C3280),ISNUMBER(J3280)),C3280/J3280-1,""),"")</f>
        <v/>
      </c>
      <c r="L3280" s="28">
        <f>IFERROR(IF(AND(ISNUMBER(D3280),ISNUMBER(E3280)),D3280-E3280,""),"")</f>
        <v/>
      </c>
    </row>
    <row r="3281">
      <c r="A3281" s="7">
        <f>IFERROR(Datos!A3281,"")</f>
        <v/>
      </c>
      <c r="B3281" s="8">
        <f>IFERROR(Datos!B3281,"")</f>
        <v/>
      </c>
      <c r="C3281" s="8">
        <f>IFERROR(Datos!C3281,"")</f>
        <v/>
      </c>
      <c r="D3281" s="28">
        <f>IFERROR(IF(AND(ISNUMBER(B3281),ISNUMBER(B3280),B3280&lt;&gt;0),B3281/B3280-1,""),"")</f>
        <v/>
      </c>
      <c r="E3281" s="28">
        <f>IFERROR(IF(AND(ISNUMBER(C3281),ISNUMBER(C3280),C3280&lt;&gt;0),C3281/C3280-1,""),"")</f>
        <v/>
      </c>
      <c r="F3281" s="28">
        <f>IFERROR(D3281-Dashboard!$B$4/252,"")</f>
        <v/>
      </c>
      <c r="G3281" s="28">
        <f>IFERROR(E3281-Dashboard!$B$4/252,"")</f>
        <v/>
      </c>
      <c r="H3281" s="8">
        <f>IFERROR(IF(ISNUMBER(B3281),MAX(B3281,IFERROR(H3280,B3281)),""),"")</f>
        <v/>
      </c>
      <c r="I3281" s="29">
        <f>IFERROR(IF(AND(ISNUMBER(B3281),ISNUMBER(H3281)),B3281/H3281-1,""),"")</f>
        <v/>
      </c>
      <c r="J3281" s="8">
        <f>IFERROR(IF(ISNUMBER(C3281),MAX(C3281,IFERROR(J3280,C3281)),""),"")</f>
        <v/>
      </c>
      <c r="K3281" s="29">
        <f>IFERROR(IF(AND(ISNUMBER(C3281),ISNUMBER(J3281)),C3281/J3281-1,""),"")</f>
        <v/>
      </c>
      <c r="L3281" s="28">
        <f>IFERROR(IF(AND(ISNUMBER(D3281),ISNUMBER(E3281)),D3281-E3281,""),"")</f>
        <v/>
      </c>
    </row>
    <row r="3282">
      <c r="A3282" s="7">
        <f>IFERROR(Datos!A3282,"")</f>
        <v/>
      </c>
      <c r="B3282" s="8">
        <f>IFERROR(Datos!B3282,"")</f>
        <v/>
      </c>
      <c r="C3282" s="8">
        <f>IFERROR(Datos!C3282,"")</f>
        <v/>
      </c>
      <c r="D3282" s="28">
        <f>IFERROR(IF(AND(ISNUMBER(B3282),ISNUMBER(B3281),B3281&lt;&gt;0),B3282/B3281-1,""),"")</f>
        <v/>
      </c>
      <c r="E3282" s="28">
        <f>IFERROR(IF(AND(ISNUMBER(C3282),ISNUMBER(C3281),C3281&lt;&gt;0),C3282/C3281-1,""),"")</f>
        <v/>
      </c>
      <c r="F3282" s="28">
        <f>IFERROR(D3282-Dashboard!$B$4/252,"")</f>
        <v/>
      </c>
      <c r="G3282" s="28">
        <f>IFERROR(E3282-Dashboard!$B$4/252,"")</f>
        <v/>
      </c>
      <c r="H3282" s="8">
        <f>IFERROR(IF(ISNUMBER(B3282),MAX(B3282,IFERROR(H3281,B3282)),""),"")</f>
        <v/>
      </c>
      <c r="I3282" s="29">
        <f>IFERROR(IF(AND(ISNUMBER(B3282),ISNUMBER(H3282)),B3282/H3282-1,""),"")</f>
        <v/>
      </c>
      <c r="J3282" s="8">
        <f>IFERROR(IF(ISNUMBER(C3282),MAX(C3282,IFERROR(J3281,C3282)),""),"")</f>
        <v/>
      </c>
      <c r="K3282" s="29">
        <f>IFERROR(IF(AND(ISNUMBER(C3282),ISNUMBER(J3282)),C3282/J3282-1,""),"")</f>
        <v/>
      </c>
      <c r="L3282" s="28">
        <f>IFERROR(IF(AND(ISNUMBER(D3282),ISNUMBER(E3282)),D3282-E3282,""),"")</f>
        <v/>
      </c>
    </row>
    <row r="3283">
      <c r="A3283" s="7">
        <f>IFERROR(Datos!A3283,"")</f>
        <v/>
      </c>
      <c r="B3283" s="8">
        <f>IFERROR(Datos!B3283,"")</f>
        <v/>
      </c>
      <c r="C3283" s="8">
        <f>IFERROR(Datos!C3283,"")</f>
        <v/>
      </c>
      <c r="D3283" s="28">
        <f>IFERROR(IF(AND(ISNUMBER(B3283),ISNUMBER(B3282),B3282&lt;&gt;0),B3283/B3282-1,""),"")</f>
        <v/>
      </c>
      <c r="E3283" s="28">
        <f>IFERROR(IF(AND(ISNUMBER(C3283),ISNUMBER(C3282),C3282&lt;&gt;0),C3283/C3282-1,""),"")</f>
        <v/>
      </c>
      <c r="F3283" s="28">
        <f>IFERROR(D3283-Dashboard!$B$4/252,"")</f>
        <v/>
      </c>
      <c r="G3283" s="28">
        <f>IFERROR(E3283-Dashboard!$B$4/252,"")</f>
        <v/>
      </c>
      <c r="H3283" s="8">
        <f>IFERROR(IF(ISNUMBER(B3283),MAX(B3283,IFERROR(H3282,B3283)),""),"")</f>
        <v/>
      </c>
      <c r="I3283" s="29">
        <f>IFERROR(IF(AND(ISNUMBER(B3283),ISNUMBER(H3283)),B3283/H3283-1,""),"")</f>
        <v/>
      </c>
      <c r="J3283" s="8">
        <f>IFERROR(IF(ISNUMBER(C3283),MAX(C3283,IFERROR(J3282,C3283)),""),"")</f>
        <v/>
      </c>
      <c r="K3283" s="29">
        <f>IFERROR(IF(AND(ISNUMBER(C3283),ISNUMBER(J3283)),C3283/J3283-1,""),"")</f>
        <v/>
      </c>
      <c r="L3283" s="28">
        <f>IFERROR(IF(AND(ISNUMBER(D3283),ISNUMBER(E3283)),D3283-E3283,""),"")</f>
        <v/>
      </c>
    </row>
    <row r="3284">
      <c r="A3284" s="7">
        <f>IFERROR(Datos!A3284,"")</f>
        <v/>
      </c>
      <c r="B3284" s="8">
        <f>IFERROR(Datos!B3284,"")</f>
        <v/>
      </c>
      <c r="C3284" s="8">
        <f>IFERROR(Datos!C3284,"")</f>
        <v/>
      </c>
      <c r="D3284" s="28">
        <f>IFERROR(IF(AND(ISNUMBER(B3284),ISNUMBER(B3283),B3283&lt;&gt;0),B3284/B3283-1,""),"")</f>
        <v/>
      </c>
      <c r="E3284" s="28">
        <f>IFERROR(IF(AND(ISNUMBER(C3284),ISNUMBER(C3283),C3283&lt;&gt;0),C3284/C3283-1,""),"")</f>
        <v/>
      </c>
      <c r="F3284" s="28">
        <f>IFERROR(D3284-Dashboard!$B$4/252,"")</f>
        <v/>
      </c>
      <c r="G3284" s="28">
        <f>IFERROR(E3284-Dashboard!$B$4/252,"")</f>
        <v/>
      </c>
      <c r="H3284" s="8">
        <f>IFERROR(IF(ISNUMBER(B3284),MAX(B3284,IFERROR(H3283,B3284)),""),"")</f>
        <v/>
      </c>
      <c r="I3284" s="29">
        <f>IFERROR(IF(AND(ISNUMBER(B3284),ISNUMBER(H3284)),B3284/H3284-1,""),"")</f>
        <v/>
      </c>
      <c r="J3284" s="8">
        <f>IFERROR(IF(ISNUMBER(C3284),MAX(C3284,IFERROR(J3283,C3284)),""),"")</f>
        <v/>
      </c>
      <c r="K3284" s="29">
        <f>IFERROR(IF(AND(ISNUMBER(C3284),ISNUMBER(J3284)),C3284/J3284-1,""),"")</f>
        <v/>
      </c>
      <c r="L3284" s="28">
        <f>IFERROR(IF(AND(ISNUMBER(D3284),ISNUMBER(E3284)),D3284-E3284,""),"")</f>
        <v/>
      </c>
    </row>
    <row r="3285">
      <c r="A3285" s="7">
        <f>IFERROR(Datos!A3285,"")</f>
        <v/>
      </c>
      <c r="B3285" s="8">
        <f>IFERROR(Datos!B3285,"")</f>
        <v/>
      </c>
      <c r="C3285" s="8">
        <f>IFERROR(Datos!C3285,"")</f>
        <v/>
      </c>
      <c r="D3285" s="28">
        <f>IFERROR(IF(AND(ISNUMBER(B3285),ISNUMBER(B3284),B3284&lt;&gt;0),B3285/B3284-1,""),"")</f>
        <v/>
      </c>
      <c r="E3285" s="28">
        <f>IFERROR(IF(AND(ISNUMBER(C3285),ISNUMBER(C3284),C3284&lt;&gt;0),C3285/C3284-1,""),"")</f>
        <v/>
      </c>
      <c r="F3285" s="28">
        <f>IFERROR(D3285-Dashboard!$B$4/252,"")</f>
        <v/>
      </c>
      <c r="G3285" s="28">
        <f>IFERROR(E3285-Dashboard!$B$4/252,"")</f>
        <v/>
      </c>
      <c r="H3285" s="8">
        <f>IFERROR(IF(ISNUMBER(B3285),MAX(B3285,IFERROR(H3284,B3285)),""),"")</f>
        <v/>
      </c>
      <c r="I3285" s="29">
        <f>IFERROR(IF(AND(ISNUMBER(B3285),ISNUMBER(H3285)),B3285/H3285-1,""),"")</f>
        <v/>
      </c>
      <c r="J3285" s="8">
        <f>IFERROR(IF(ISNUMBER(C3285),MAX(C3285,IFERROR(J3284,C3285)),""),"")</f>
        <v/>
      </c>
      <c r="K3285" s="29">
        <f>IFERROR(IF(AND(ISNUMBER(C3285),ISNUMBER(J3285)),C3285/J3285-1,""),"")</f>
        <v/>
      </c>
      <c r="L3285" s="28">
        <f>IFERROR(IF(AND(ISNUMBER(D3285),ISNUMBER(E3285)),D3285-E3285,""),"")</f>
        <v/>
      </c>
    </row>
    <row r="3286">
      <c r="A3286" s="7">
        <f>IFERROR(Datos!A3286,"")</f>
        <v/>
      </c>
      <c r="B3286" s="8">
        <f>IFERROR(Datos!B3286,"")</f>
        <v/>
      </c>
      <c r="C3286" s="8">
        <f>IFERROR(Datos!C3286,"")</f>
        <v/>
      </c>
      <c r="D3286" s="28">
        <f>IFERROR(IF(AND(ISNUMBER(B3286),ISNUMBER(B3285),B3285&lt;&gt;0),B3286/B3285-1,""),"")</f>
        <v/>
      </c>
      <c r="E3286" s="28">
        <f>IFERROR(IF(AND(ISNUMBER(C3286),ISNUMBER(C3285),C3285&lt;&gt;0),C3286/C3285-1,""),"")</f>
        <v/>
      </c>
      <c r="F3286" s="28">
        <f>IFERROR(D3286-Dashboard!$B$4/252,"")</f>
        <v/>
      </c>
      <c r="G3286" s="28">
        <f>IFERROR(E3286-Dashboard!$B$4/252,"")</f>
        <v/>
      </c>
      <c r="H3286" s="8">
        <f>IFERROR(IF(ISNUMBER(B3286),MAX(B3286,IFERROR(H3285,B3286)),""),"")</f>
        <v/>
      </c>
      <c r="I3286" s="29">
        <f>IFERROR(IF(AND(ISNUMBER(B3286),ISNUMBER(H3286)),B3286/H3286-1,""),"")</f>
        <v/>
      </c>
      <c r="J3286" s="8">
        <f>IFERROR(IF(ISNUMBER(C3286),MAX(C3286,IFERROR(J3285,C3286)),""),"")</f>
        <v/>
      </c>
      <c r="K3286" s="29">
        <f>IFERROR(IF(AND(ISNUMBER(C3286),ISNUMBER(J3286)),C3286/J3286-1,""),"")</f>
        <v/>
      </c>
      <c r="L3286" s="28">
        <f>IFERROR(IF(AND(ISNUMBER(D3286),ISNUMBER(E3286)),D3286-E3286,""),"")</f>
        <v/>
      </c>
    </row>
    <row r="3287">
      <c r="A3287" s="7">
        <f>IFERROR(Datos!A3287,"")</f>
        <v/>
      </c>
      <c r="B3287" s="8">
        <f>IFERROR(Datos!B3287,"")</f>
        <v/>
      </c>
      <c r="C3287" s="8">
        <f>IFERROR(Datos!C3287,"")</f>
        <v/>
      </c>
      <c r="D3287" s="28">
        <f>IFERROR(IF(AND(ISNUMBER(B3287),ISNUMBER(B3286),B3286&lt;&gt;0),B3287/B3286-1,""),"")</f>
        <v/>
      </c>
      <c r="E3287" s="28">
        <f>IFERROR(IF(AND(ISNUMBER(C3287),ISNUMBER(C3286),C3286&lt;&gt;0),C3287/C3286-1,""),"")</f>
        <v/>
      </c>
      <c r="F3287" s="28">
        <f>IFERROR(D3287-Dashboard!$B$4/252,"")</f>
        <v/>
      </c>
      <c r="G3287" s="28">
        <f>IFERROR(E3287-Dashboard!$B$4/252,"")</f>
        <v/>
      </c>
      <c r="H3287" s="8">
        <f>IFERROR(IF(ISNUMBER(B3287),MAX(B3287,IFERROR(H3286,B3287)),""),"")</f>
        <v/>
      </c>
      <c r="I3287" s="29">
        <f>IFERROR(IF(AND(ISNUMBER(B3287),ISNUMBER(H3287)),B3287/H3287-1,""),"")</f>
        <v/>
      </c>
      <c r="J3287" s="8">
        <f>IFERROR(IF(ISNUMBER(C3287),MAX(C3287,IFERROR(J3286,C3287)),""),"")</f>
        <v/>
      </c>
      <c r="K3287" s="29">
        <f>IFERROR(IF(AND(ISNUMBER(C3287),ISNUMBER(J3287)),C3287/J3287-1,""),"")</f>
        <v/>
      </c>
      <c r="L3287" s="28">
        <f>IFERROR(IF(AND(ISNUMBER(D3287),ISNUMBER(E3287)),D3287-E3287,""),"")</f>
        <v/>
      </c>
    </row>
    <row r="3288">
      <c r="A3288" s="7">
        <f>IFERROR(Datos!A3288,"")</f>
        <v/>
      </c>
      <c r="B3288" s="8">
        <f>IFERROR(Datos!B3288,"")</f>
        <v/>
      </c>
      <c r="C3288" s="8">
        <f>IFERROR(Datos!C3288,"")</f>
        <v/>
      </c>
      <c r="D3288" s="28">
        <f>IFERROR(IF(AND(ISNUMBER(B3288),ISNUMBER(B3287),B3287&lt;&gt;0),B3288/B3287-1,""),"")</f>
        <v/>
      </c>
      <c r="E3288" s="28">
        <f>IFERROR(IF(AND(ISNUMBER(C3288),ISNUMBER(C3287),C3287&lt;&gt;0),C3288/C3287-1,""),"")</f>
        <v/>
      </c>
      <c r="F3288" s="28">
        <f>IFERROR(D3288-Dashboard!$B$4/252,"")</f>
        <v/>
      </c>
      <c r="G3288" s="28">
        <f>IFERROR(E3288-Dashboard!$B$4/252,"")</f>
        <v/>
      </c>
      <c r="H3288" s="8">
        <f>IFERROR(IF(ISNUMBER(B3288),MAX(B3288,IFERROR(H3287,B3288)),""),"")</f>
        <v/>
      </c>
      <c r="I3288" s="29">
        <f>IFERROR(IF(AND(ISNUMBER(B3288),ISNUMBER(H3288)),B3288/H3288-1,""),"")</f>
        <v/>
      </c>
      <c r="J3288" s="8">
        <f>IFERROR(IF(ISNUMBER(C3288),MAX(C3288,IFERROR(J3287,C3288)),""),"")</f>
        <v/>
      </c>
      <c r="K3288" s="29">
        <f>IFERROR(IF(AND(ISNUMBER(C3288),ISNUMBER(J3288)),C3288/J3288-1,""),"")</f>
        <v/>
      </c>
      <c r="L3288" s="28">
        <f>IFERROR(IF(AND(ISNUMBER(D3288),ISNUMBER(E3288)),D3288-E3288,""),"")</f>
        <v/>
      </c>
    </row>
    <row r="3289">
      <c r="A3289" s="7">
        <f>IFERROR(Datos!A3289,"")</f>
        <v/>
      </c>
      <c r="B3289" s="8">
        <f>IFERROR(Datos!B3289,"")</f>
        <v/>
      </c>
      <c r="C3289" s="8">
        <f>IFERROR(Datos!C3289,"")</f>
        <v/>
      </c>
      <c r="D3289" s="28">
        <f>IFERROR(IF(AND(ISNUMBER(B3289),ISNUMBER(B3288),B3288&lt;&gt;0),B3289/B3288-1,""),"")</f>
        <v/>
      </c>
      <c r="E3289" s="28">
        <f>IFERROR(IF(AND(ISNUMBER(C3289),ISNUMBER(C3288),C3288&lt;&gt;0),C3289/C3288-1,""),"")</f>
        <v/>
      </c>
      <c r="F3289" s="28">
        <f>IFERROR(D3289-Dashboard!$B$4/252,"")</f>
        <v/>
      </c>
      <c r="G3289" s="28">
        <f>IFERROR(E3289-Dashboard!$B$4/252,"")</f>
        <v/>
      </c>
      <c r="H3289" s="8">
        <f>IFERROR(IF(ISNUMBER(B3289),MAX(B3289,IFERROR(H3288,B3289)),""),"")</f>
        <v/>
      </c>
      <c r="I3289" s="29">
        <f>IFERROR(IF(AND(ISNUMBER(B3289),ISNUMBER(H3289)),B3289/H3289-1,""),"")</f>
        <v/>
      </c>
      <c r="J3289" s="8">
        <f>IFERROR(IF(ISNUMBER(C3289),MAX(C3289,IFERROR(J3288,C3289)),""),"")</f>
        <v/>
      </c>
      <c r="K3289" s="29">
        <f>IFERROR(IF(AND(ISNUMBER(C3289),ISNUMBER(J3289)),C3289/J3289-1,""),"")</f>
        <v/>
      </c>
      <c r="L3289" s="28">
        <f>IFERROR(IF(AND(ISNUMBER(D3289),ISNUMBER(E3289)),D3289-E3289,""),"")</f>
        <v/>
      </c>
    </row>
    <row r="3290">
      <c r="A3290" s="7">
        <f>IFERROR(Datos!A3290,"")</f>
        <v/>
      </c>
      <c r="B3290" s="8">
        <f>IFERROR(Datos!B3290,"")</f>
        <v/>
      </c>
      <c r="C3290" s="8">
        <f>IFERROR(Datos!C3290,"")</f>
        <v/>
      </c>
      <c r="D3290" s="28">
        <f>IFERROR(IF(AND(ISNUMBER(B3290),ISNUMBER(B3289),B3289&lt;&gt;0),B3290/B3289-1,""),"")</f>
        <v/>
      </c>
      <c r="E3290" s="28">
        <f>IFERROR(IF(AND(ISNUMBER(C3290),ISNUMBER(C3289),C3289&lt;&gt;0),C3290/C3289-1,""),"")</f>
        <v/>
      </c>
      <c r="F3290" s="28">
        <f>IFERROR(D3290-Dashboard!$B$4/252,"")</f>
        <v/>
      </c>
      <c r="G3290" s="28">
        <f>IFERROR(E3290-Dashboard!$B$4/252,"")</f>
        <v/>
      </c>
      <c r="H3290" s="8">
        <f>IFERROR(IF(ISNUMBER(B3290),MAX(B3290,IFERROR(H3289,B3290)),""),"")</f>
        <v/>
      </c>
      <c r="I3290" s="29">
        <f>IFERROR(IF(AND(ISNUMBER(B3290),ISNUMBER(H3290)),B3290/H3290-1,""),"")</f>
        <v/>
      </c>
      <c r="J3290" s="8">
        <f>IFERROR(IF(ISNUMBER(C3290),MAX(C3290,IFERROR(J3289,C3290)),""),"")</f>
        <v/>
      </c>
      <c r="K3290" s="29">
        <f>IFERROR(IF(AND(ISNUMBER(C3290),ISNUMBER(J3290)),C3290/J3290-1,""),"")</f>
        <v/>
      </c>
      <c r="L3290" s="28">
        <f>IFERROR(IF(AND(ISNUMBER(D3290),ISNUMBER(E3290)),D3290-E3290,""),"")</f>
        <v/>
      </c>
    </row>
    <row r="3291">
      <c r="A3291" s="7">
        <f>IFERROR(Datos!A3291,"")</f>
        <v/>
      </c>
      <c r="B3291" s="8">
        <f>IFERROR(Datos!B3291,"")</f>
        <v/>
      </c>
      <c r="C3291" s="8">
        <f>IFERROR(Datos!C3291,"")</f>
        <v/>
      </c>
      <c r="D3291" s="28">
        <f>IFERROR(IF(AND(ISNUMBER(B3291),ISNUMBER(B3290),B3290&lt;&gt;0),B3291/B3290-1,""),"")</f>
        <v/>
      </c>
      <c r="E3291" s="28">
        <f>IFERROR(IF(AND(ISNUMBER(C3291),ISNUMBER(C3290),C3290&lt;&gt;0),C3291/C3290-1,""),"")</f>
        <v/>
      </c>
      <c r="F3291" s="28">
        <f>IFERROR(D3291-Dashboard!$B$4/252,"")</f>
        <v/>
      </c>
      <c r="G3291" s="28">
        <f>IFERROR(E3291-Dashboard!$B$4/252,"")</f>
        <v/>
      </c>
      <c r="H3291" s="8">
        <f>IFERROR(IF(ISNUMBER(B3291),MAX(B3291,IFERROR(H3290,B3291)),""),"")</f>
        <v/>
      </c>
      <c r="I3291" s="29">
        <f>IFERROR(IF(AND(ISNUMBER(B3291),ISNUMBER(H3291)),B3291/H3291-1,""),"")</f>
        <v/>
      </c>
      <c r="J3291" s="8">
        <f>IFERROR(IF(ISNUMBER(C3291),MAX(C3291,IFERROR(J3290,C3291)),""),"")</f>
        <v/>
      </c>
      <c r="K3291" s="29">
        <f>IFERROR(IF(AND(ISNUMBER(C3291),ISNUMBER(J3291)),C3291/J3291-1,""),"")</f>
        <v/>
      </c>
      <c r="L3291" s="28">
        <f>IFERROR(IF(AND(ISNUMBER(D3291),ISNUMBER(E3291)),D3291-E3291,""),"")</f>
        <v/>
      </c>
    </row>
    <row r="3292">
      <c r="A3292" s="7">
        <f>IFERROR(Datos!A3292,"")</f>
        <v/>
      </c>
      <c r="B3292" s="8">
        <f>IFERROR(Datos!B3292,"")</f>
        <v/>
      </c>
      <c r="C3292" s="8">
        <f>IFERROR(Datos!C3292,"")</f>
        <v/>
      </c>
      <c r="D3292" s="28">
        <f>IFERROR(IF(AND(ISNUMBER(B3292),ISNUMBER(B3291),B3291&lt;&gt;0),B3292/B3291-1,""),"")</f>
        <v/>
      </c>
      <c r="E3292" s="28">
        <f>IFERROR(IF(AND(ISNUMBER(C3292),ISNUMBER(C3291),C3291&lt;&gt;0),C3292/C3291-1,""),"")</f>
        <v/>
      </c>
      <c r="F3292" s="28">
        <f>IFERROR(D3292-Dashboard!$B$4/252,"")</f>
        <v/>
      </c>
      <c r="G3292" s="28">
        <f>IFERROR(E3292-Dashboard!$B$4/252,"")</f>
        <v/>
      </c>
      <c r="H3292" s="8">
        <f>IFERROR(IF(ISNUMBER(B3292),MAX(B3292,IFERROR(H3291,B3292)),""),"")</f>
        <v/>
      </c>
      <c r="I3292" s="29">
        <f>IFERROR(IF(AND(ISNUMBER(B3292),ISNUMBER(H3292)),B3292/H3292-1,""),"")</f>
        <v/>
      </c>
      <c r="J3292" s="8">
        <f>IFERROR(IF(ISNUMBER(C3292),MAX(C3292,IFERROR(J3291,C3292)),""),"")</f>
        <v/>
      </c>
      <c r="K3292" s="29">
        <f>IFERROR(IF(AND(ISNUMBER(C3292),ISNUMBER(J3292)),C3292/J3292-1,""),"")</f>
        <v/>
      </c>
      <c r="L3292" s="28">
        <f>IFERROR(IF(AND(ISNUMBER(D3292),ISNUMBER(E3292)),D3292-E3292,""),"")</f>
        <v/>
      </c>
    </row>
    <row r="3293">
      <c r="A3293" s="7">
        <f>IFERROR(Datos!A3293,"")</f>
        <v/>
      </c>
      <c r="B3293" s="8">
        <f>IFERROR(Datos!B3293,"")</f>
        <v/>
      </c>
      <c r="C3293" s="8">
        <f>IFERROR(Datos!C3293,"")</f>
        <v/>
      </c>
      <c r="D3293" s="28">
        <f>IFERROR(IF(AND(ISNUMBER(B3293),ISNUMBER(B3292),B3292&lt;&gt;0),B3293/B3292-1,""),"")</f>
        <v/>
      </c>
      <c r="E3293" s="28">
        <f>IFERROR(IF(AND(ISNUMBER(C3293),ISNUMBER(C3292),C3292&lt;&gt;0),C3293/C3292-1,""),"")</f>
        <v/>
      </c>
      <c r="F3293" s="28">
        <f>IFERROR(D3293-Dashboard!$B$4/252,"")</f>
        <v/>
      </c>
      <c r="G3293" s="28">
        <f>IFERROR(E3293-Dashboard!$B$4/252,"")</f>
        <v/>
      </c>
      <c r="H3293" s="8">
        <f>IFERROR(IF(ISNUMBER(B3293),MAX(B3293,IFERROR(H3292,B3293)),""),"")</f>
        <v/>
      </c>
      <c r="I3293" s="29">
        <f>IFERROR(IF(AND(ISNUMBER(B3293),ISNUMBER(H3293)),B3293/H3293-1,""),"")</f>
        <v/>
      </c>
      <c r="J3293" s="8">
        <f>IFERROR(IF(ISNUMBER(C3293),MAX(C3293,IFERROR(J3292,C3293)),""),"")</f>
        <v/>
      </c>
      <c r="K3293" s="29">
        <f>IFERROR(IF(AND(ISNUMBER(C3293),ISNUMBER(J3293)),C3293/J3293-1,""),"")</f>
        <v/>
      </c>
      <c r="L3293" s="28">
        <f>IFERROR(IF(AND(ISNUMBER(D3293),ISNUMBER(E3293)),D3293-E3293,""),"")</f>
        <v/>
      </c>
    </row>
    <row r="3294">
      <c r="A3294" s="7">
        <f>IFERROR(Datos!A3294,"")</f>
        <v/>
      </c>
      <c r="B3294" s="8">
        <f>IFERROR(Datos!B3294,"")</f>
        <v/>
      </c>
      <c r="C3294" s="8">
        <f>IFERROR(Datos!C3294,"")</f>
        <v/>
      </c>
      <c r="D3294" s="28">
        <f>IFERROR(IF(AND(ISNUMBER(B3294),ISNUMBER(B3293),B3293&lt;&gt;0),B3294/B3293-1,""),"")</f>
        <v/>
      </c>
      <c r="E3294" s="28">
        <f>IFERROR(IF(AND(ISNUMBER(C3294),ISNUMBER(C3293),C3293&lt;&gt;0),C3294/C3293-1,""),"")</f>
        <v/>
      </c>
      <c r="F3294" s="28">
        <f>IFERROR(D3294-Dashboard!$B$4/252,"")</f>
        <v/>
      </c>
      <c r="G3294" s="28">
        <f>IFERROR(E3294-Dashboard!$B$4/252,"")</f>
        <v/>
      </c>
      <c r="H3294" s="8">
        <f>IFERROR(IF(ISNUMBER(B3294),MAX(B3294,IFERROR(H3293,B3294)),""),"")</f>
        <v/>
      </c>
      <c r="I3294" s="29">
        <f>IFERROR(IF(AND(ISNUMBER(B3294),ISNUMBER(H3294)),B3294/H3294-1,""),"")</f>
        <v/>
      </c>
      <c r="J3294" s="8">
        <f>IFERROR(IF(ISNUMBER(C3294),MAX(C3294,IFERROR(J3293,C3294)),""),"")</f>
        <v/>
      </c>
      <c r="K3294" s="29">
        <f>IFERROR(IF(AND(ISNUMBER(C3294),ISNUMBER(J3294)),C3294/J3294-1,""),"")</f>
        <v/>
      </c>
      <c r="L3294" s="28">
        <f>IFERROR(IF(AND(ISNUMBER(D3294),ISNUMBER(E3294)),D3294-E3294,""),"")</f>
        <v/>
      </c>
    </row>
    <row r="3295">
      <c r="A3295" s="7">
        <f>IFERROR(Datos!A3295,"")</f>
        <v/>
      </c>
      <c r="B3295" s="8">
        <f>IFERROR(Datos!B3295,"")</f>
        <v/>
      </c>
      <c r="C3295" s="8">
        <f>IFERROR(Datos!C3295,"")</f>
        <v/>
      </c>
      <c r="D3295" s="28">
        <f>IFERROR(IF(AND(ISNUMBER(B3295),ISNUMBER(B3294),B3294&lt;&gt;0),B3295/B3294-1,""),"")</f>
        <v/>
      </c>
      <c r="E3295" s="28">
        <f>IFERROR(IF(AND(ISNUMBER(C3295),ISNUMBER(C3294),C3294&lt;&gt;0),C3295/C3294-1,""),"")</f>
        <v/>
      </c>
      <c r="F3295" s="28">
        <f>IFERROR(D3295-Dashboard!$B$4/252,"")</f>
        <v/>
      </c>
      <c r="G3295" s="28">
        <f>IFERROR(E3295-Dashboard!$B$4/252,"")</f>
        <v/>
      </c>
      <c r="H3295" s="8">
        <f>IFERROR(IF(ISNUMBER(B3295),MAX(B3295,IFERROR(H3294,B3295)),""),"")</f>
        <v/>
      </c>
      <c r="I3295" s="29">
        <f>IFERROR(IF(AND(ISNUMBER(B3295),ISNUMBER(H3295)),B3295/H3295-1,""),"")</f>
        <v/>
      </c>
      <c r="J3295" s="8">
        <f>IFERROR(IF(ISNUMBER(C3295),MAX(C3295,IFERROR(J3294,C3295)),""),"")</f>
        <v/>
      </c>
      <c r="K3295" s="29">
        <f>IFERROR(IF(AND(ISNUMBER(C3295),ISNUMBER(J3295)),C3295/J3295-1,""),"")</f>
        <v/>
      </c>
      <c r="L3295" s="28">
        <f>IFERROR(IF(AND(ISNUMBER(D3295),ISNUMBER(E3295)),D3295-E3295,""),"")</f>
        <v/>
      </c>
    </row>
    <row r="3296">
      <c r="A3296" s="7">
        <f>IFERROR(Datos!A3296,"")</f>
        <v/>
      </c>
      <c r="B3296" s="8">
        <f>IFERROR(Datos!B3296,"")</f>
        <v/>
      </c>
      <c r="C3296" s="8">
        <f>IFERROR(Datos!C3296,"")</f>
        <v/>
      </c>
      <c r="D3296" s="28">
        <f>IFERROR(IF(AND(ISNUMBER(B3296),ISNUMBER(B3295),B3295&lt;&gt;0),B3296/B3295-1,""),"")</f>
        <v/>
      </c>
      <c r="E3296" s="28">
        <f>IFERROR(IF(AND(ISNUMBER(C3296),ISNUMBER(C3295),C3295&lt;&gt;0),C3296/C3295-1,""),"")</f>
        <v/>
      </c>
      <c r="F3296" s="28">
        <f>IFERROR(D3296-Dashboard!$B$4/252,"")</f>
        <v/>
      </c>
      <c r="G3296" s="28">
        <f>IFERROR(E3296-Dashboard!$B$4/252,"")</f>
        <v/>
      </c>
      <c r="H3296" s="8">
        <f>IFERROR(IF(ISNUMBER(B3296),MAX(B3296,IFERROR(H3295,B3296)),""),"")</f>
        <v/>
      </c>
      <c r="I3296" s="29">
        <f>IFERROR(IF(AND(ISNUMBER(B3296),ISNUMBER(H3296)),B3296/H3296-1,""),"")</f>
        <v/>
      </c>
      <c r="J3296" s="8">
        <f>IFERROR(IF(ISNUMBER(C3296),MAX(C3296,IFERROR(J3295,C3296)),""),"")</f>
        <v/>
      </c>
      <c r="K3296" s="29">
        <f>IFERROR(IF(AND(ISNUMBER(C3296),ISNUMBER(J3296)),C3296/J3296-1,""),"")</f>
        <v/>
      </c>
      <c r="L3296" s="28">
        <f>IFERROR(IF(AND(ISNUMBER(D3296),ISNUMBER(E3296)),D3296-E3296,""),"")</f>
        <v/>
      </c>
    </row>
    <row r="3297">
      <c r="A3297" s="7">
        <f>IFERROR(Datos!A3297,"")</f>
        <v/>
      </c>
      <c r="B3297" s="8">
        <f>IFERROR(Datos!B3297,"")</f>
        <v/>
      </c>
      <c r="C3297" s="8">
        <f>IFERROR(Datos!C3297,"")</f>
        <v/>
      </c>
      <c r="D3297" s="28">
        <f>IFERROR(IF(AND(ISNUMBER(B3297),ISNUMBER(B3296),B3296&lt;&gt;0),B3297/B3296-1,""),"")</f>
        <v/>
      </c>
      <c r="E3297" s="28">
        <f>IFERROR(IF(AND(ISNUMBER(C3297),ISNUMBER(C3296),C3296&lt;&gt;0),C3297/C3296-1,""),"")</f>
        <v/>
      </c>
      <c r="F3297" s="28">
        <f>IFERROR(D3297-Dashboard!$B$4/252,"")</f>
        <v/>
      </c>
      <c r="G3297" s="28">
        <f>IFERROR(E3297-Dashboard!$B$4/252,"")</f>
        <v/>
      </c>
      <c r="H3297" s="8">
        <f>IFERROR(IF(ISNUMBER(B3297),MAX(B3297,IFERROR(H3296,B3297)),""),"")</f>
        <v/>
      </c>
      <c r="I3297" s="29">
        <f>IFERROR(IF(AND(ISNUMBER(B3297),ISNUMBER(H3297)),B3297/H3297-1,""),"")</f>
        <v/>
      </c>
      <c r="J3297" s="8">
        <f>IFERROR(IF(ISNUMBER(C3297),MAX(C3297,IFERROR(J3296,C3297)),""),"")</f>
        <v/>
      </c>
      <c r="K3297" s="29">
        <f>IFERROR(IF(AND(ISNUMBER(C3297),ISNUMBER(J3297)),C3297/J3297-1,""),"")</f>
        <v/>
      </c>
      <c r="L3297" s="28">
        <f>IFERROR(IF(AND(ISNUMBER(D3297),ISNUMBER(E3297)),D3297-E3297,""),"")</f>
        <v/>
      </c>
    </row>
    <row r="3298">
      <c r="A3298" s="7">
        <f>IFERROR(Datos!A3298,"")</f>
        <v/>
      </c>
      <c r="B3298" s="8">
        <f>IFERROR(Datos!B3298,"")</f>
        <v/>
      </c>
      <c r="C3298" s="8">
        <f>IFERROR(Datos!C3298,"")</f>
        <v/>
      </c>
      <c r="D3298" s="28">
        <f>IFERROR(IF(AND(ISNUMBER(B3298),ISNUMBER(B3297),B3297&lt;&gt;0),B3298/B3297-1,""),"")</f>
        <v/>
      </c>
      <c r="E3298" s="28">
        <f>IFERROR(IF(AND(ISNUMBER(C3298),ISNUMBER(C3297),C3297&lt;&gt;0),C3298/C3297-1,""),"")</f>
        <v/>
      </c>
      <c r="F3298" s="28">
        <f>IFERROR(D3298-Dashboard!$B$4/252,"")</f>
        <v/>
      </c>
      <c r="G3298" s="28">
        <f>IFERROR(E3298-Dashboard!$B$4/252,"")</f>
        <v/>
      </c>
      <c r="H3298" s="8">
        <f>IFERROR(IF(ISNUMBER(B3298),MAX(B3298,IFERROR(H3297,B3298)),""),"")</f>
        <v/>
      </c>
      <c r="I3298" s="29">
        <f>IFERROR(IF(AND(ISNUMBER(B3298),ISNUMBER(H3298)),B3298/H3298-1,""),"")</f>
        <v/>
      </c>
      <c r="J3298" s="8">
        <f>IFERROR(IF(ISNUMBER(C3298),MAX(C3298,IFERROR(J3297,C3298)),""),"")</f>
        <v/>
      </c>
      <c r="K3298" s="29">
        <f>IFERROR(IF(AND(ISNUMBER(C3298),ISNUMBER(J3298)),C3298/J3298-1,""),"")</f>
        <v/>
      </c>
      <c r="L3298" s="28">
        <f>IFERROR(IF(AND(ISNUMBER(D3298),ISNUMBER(E3298)),D3298-E3298,""),"")</f>
        <v/>
      </c>
    </row>
    <row r="3299">
      <c r="A3299" s="7">
        <f>IFERROR(Datos!A3299,"")</f>
        <v/>
      </c>
      <c r="B3299" s="8">
        <f>IFERROR(Datos!B3299,"")</f>
        <v/>
      </c>
      <c r="C3299" s="8">
        <f>IFERROR(Datos!C3299,"")</f>
        <v/>
      </c>
      <c r="D3299" s="28">
        <f>IFERROR(IF(AND(ISNUMBER(B3299),ISNUMBER(B3298),B3298&lt;&gt;0),B3299/B3298-1,""),"")</f>
        <v/>
      </c>
      <c r="E3299" s="28">
        <f>IFERROR(IF(AND(ISNUMBER(C3299),ISNUMBER(C3298),C3298&lt;&gt;0),C3299/C3298-1,""),"")</f>
        <v/>
      </c>
      <c r="F3299" s="28">
        <f>IFERROR(D3299-Dashboard!$B$4/252,"")</f>
        <v/>
      </c>
      <c r="G3299" s="28">
        <f>IFERROR(E3299-Dashboard!$B$4/252,"")</f>
        <v/>
      </c>
      <c r="H3299" s="8">
        <f>IFERROR(IF(ISNUMBER(B3299),MAX(B3299,IFERROR(H3298,B3299)),""),"")</f>
        <v/>
      </c>
      <c r="I3299" s="29">
        <f>IFERROR(IF(AND(ISNUMBER(B3299),ISNUMBER(H3299)),B3299/H3299-1,""),"")</f>
        <v/>
      </c>
      <c r="J3299" s="8">
        <f>IFERROR(IF(ISNUMBER(C3299),MAX(C3299,IFERROR(J3298,C3299)),""),"")</f>
        <v/>
      </c>
      <c r="K3299" s="29">
        <f>IFERROR(IF(AND(ISNUMBER(C3299),ISNUMBER(J3299)),C3299/J3299-1,""),"")</f>
        <v/>
      </c>
      <c r="L3299" s="28">
        <f>IFERROR(IF(AND(ISNUMBER(D3299),ISNUMBER(E3299)),D3299-E3299,""),"")</f>
        <v/>
      </c>
    </row>
    <row r="3300">
      <c r="A3300" s="7">
        <f>IFERROR(Datos!A3300,"")</f>
        <v/>
      </c>
      <c r="B3300" s="8">
        <f>IFERROR(Datos!B3300,"")</f>
        <v/>
      </c>
      <c r="C3300" s="8">
        <f>IFERROR(Datos!C3300,"")</f>
        <v/>
      </c>
      <c r="D3300" s="28">
        <f>IFERROR(IF(AND(ISNUMBER(B3300),ISNUMBER(B3299),B3299&lt;&gt;0),B3300/B3299-1,""),"")</f>
        <v/>
      </c>
      <c r="E3300" s="28">
        <f>IFERROR(IF(AND(ISNUMBER(C3300),ISNUMBER(C3299),C3299&lt;&gt;0),C3300/C3299-1,""),"")</f>
        <v/>
      </c>
      <c r="F3300" s="28">
        <f>IFERROR(D3300-Dashboard!$B$4/252,"")</f>
        <v/>
      </c>
      <c r="G3300" s="28">
        <f>IFERROR(E3300-Dashboard!$B$4/252,"")</f>
        <v/>
      </c>
      <c r="H3300" s="8">
        <f>IFERROR(IF(ISNUMBER(B3300),MAX(B3300,IFERROR(H3299,B3300)),""),"")</f>
        <v/>
      </c>
      <c r="I3300" s="29">
        <f>IFERROR(IF(AND(ISNUMBER(B3300),ISNUMBER(H3300)),B3300/H3300-1,""),"")</f>
        <v/>
      </c>
      <c r="J3300" s="8">
        <f>IFERROR(IF(ISNUMBER(C3300),MAX(C3300,IFERROR(J3299,C3300)),""),"")</f>
        <v/>
      </c>
      <c r="K3300" s="29">
        <f>IFERROR(IF(AND(ISNUMBER(C3300),ISNUMBER(J3300)),C3300/J3300-1,""),"")</f>
        <v/>
      </c>
      <c r="L3300" s="28">
        <f>IFERROR(IF(AND(ISNUMBER(D3300),ISNUMBER(E3300)),D3300-E3300,""),"")</f>
        <v/>
      </c>
    </row>
    <row r="3301">
      <c r="A3301" s="7">
        <f>IFERROR(Datos!A3301,"")</f>
        <v/>
      </c>
      <c r="B3301" s="8">
        <f>IFERROR(Datos!B3301,"")</f>
        <v/>
      </c>
      <c r="C3301" s="8">
        <f>IFERROR(Datos!C3301,"")</f>
        <v/>
      </c>
      <c r="D3301" s="28">
        <f>IFERROR(IF(AND(ISNUMBER(B3301),ISNUMBER(B3300),B3300&lt;&gt;0),B3301/B3300-1,""),"")</f>
        <v/>
      </c>
      <c r="E3301" s="28">
        <f>IFERROR(IF(AND(ISNUMBER(C3301),ISNUMBER(C3300),C3300&lt;&gt;0),C3301/C3300-1,""),"")</f>
        <v/>
      </c>
      <c r="F3301" s="28">
        <f>IFERROR(D3301-Dashboard!$B$4/252,"")</f>
        <v/>
      </c>
      <c r="G3301" s="28">
        <f>IFERROR(E3301-Dashboard!$B$4/252,"")</f>
        <v/>
      </c>
      <c r="H3301" s="8">
        <f>IFERROR(IF(ISNUMBER(B3301),MAX(B3301,IFERROR(H3300,B3301)),""),"")</f>
        <v/>
      </c>
      <c r="I3301" s="29">
        <f>IFERROR(IF(AND(ISNUMBER(B3301),ISNUMBER(H3301)),B3301/H3301-1,""),"")</f>
        <v/>
      </c>
      <c r="J3301" s="8">
        <f>IFERROR(IF(ISNUMBER(C3301),MAX(C3301,IFERROR(J3300,C3301)),""),"")</f>
        <v/>
      </c>
      <c r="K3301" s="29">
        <f>IFERROR(IF(AND(ISNUMBER(C3301),ISNUMBER(J3301)),C3301/J3301-1,""),"")</f>
        <v/>
      </c>
      <c r="L3301" s="28">
        <f>IFERROR(IF(AND(ISNUMBER(D3301),ISNUMBER(E3301)),D3301-E3301,""),"")</f>
        <v/>
      </c>
    </row>
    <row r="3302">
      <c r="A3302" s="7">
        <f>IFERROR(Datos!A3302,"")</f>
        <v/>
      </c>
      <c r="B3302" s="8">
        <f>IFERROR(Datos!B3302,"")</f>
        <v/>
      </c>
      <c r="C3302" s="8">
        <f>IFERROR(Datos!C3302,"")</f>
        <v/>
      </c>
      <c r="D3302" s="28">
        <f>IFERROR(IF(AND(ISNUMBER(B3302),ISNUMBER(B3301),B3301&lt;&gt;0),B3302/B3301-1,""),"")</f>
        <v/>
      </c>
      <c r="E3302" s="28">
        <f>IFERROR(IF(AND(ISNUMBER(C3302),ISNUMBER(C3301),C3301&lt;&gt;0),C3302/C3301-1,""),"")</f>
        <v/>
      </c>
      <c r="F3302" s="28">
        <f>IFERROR(D3302-Dashboard!$B$4/252,"")</f>
        <v/>
      </c>
      <c r="G3302" s="28">
        <f>IFERROR(E3302-Dashboard!$B$4/252,"")</f>
        <v/>
      </c>
      <c r="H3302" s="8">
        <f>IFERROR(IF(ISNUMBER(B3302),MAX(B3302,IFERROR(H3301,B3302)),""),"")</f>
        <v/>
      </c>
      <c r="I3302" s="29">
        <f>IFERROR(IF(AND(ISNUMBER(B3302),ISNUMBER(H3302)),B3302/H3302-1,""),"")</f>
        <v/>
      </c>
      <c r="J3302" s="8">
        <f>IFERROR(IF(ISNUMBER(C3302),MAX(C3302,IFERROR(J3301,C3302)),""),"")</f>
        <v/>
      </c>
      <c r="K3302" s="29">
        <f>IFERROR(IF(AND(ISNUMBER(C3302),ISNUMBER(J3302)),C3302/J3302-1,""),"")</f>
        <v/>
      </c>
      <c r="L3302" s="28">
        <f>IFERROR(IF(AND(ISNUMBER(D3302),ISNUMBER(E3302)),D3302-E3302,""),"")</f>
        <v/>
      </c>
    </row>
    <row r="3303">
      <c r="A3303" s="7">
        <f>IFERROR(Datos!A3303,"")</f>
        <v/>
      </c>
      <c r="B3303" s="8">
        <f>IFERROR(Datos!B3303,"")</f>
        <v/>
      </c>
      <c r="C3303" s="8">
        <f>IFERROR(Datos!C3303,"")</f>
        <v/>
      </c>
      <c r="D3303" s="28">
        <f>IFERROR(IF(AND(ISNUMBER(B3303),ISNUMBER(B3302),B3302&lt;&gt;0),B3303/B3302-1,""),"")</f>
        <v/>
      </c>
      <c r="E3303" s="28">
        <f>IFERROR(IF(AND(ISNUMBER(C3303),ISNUMBER(C3302),C3302&lt;&gt;0),C3303/C3302-1,""),"")</f>
        <v/>
      </c>
      <c r="F3303" s="28">
        <f>IFERROR(D3303-Dashboard!$B$4/252,"")</f>
        <v/>
      </c>
      <c r="G3303" s="28">
        <f>IFERROR(E3303-Dashboard!$B$4/252,"")</f>
        <v/>
      </c>
      <c r="H3303" s="8">
        <f>IFERROR(IF(ISNUMBER(B3303),MAX(B3303,IFERROR(H3302,B3303)),""),"")</f>
        <v/>
      </c>
      <c r="I3303" s="29">
        <f>IFERROR(IF(AND(ISNUMBER(B3303),ISNUMBER(H3303)),B3303/H3303-1,""),"")</f>
        <v/>
      </c>
      <c r="J3303" s="8">
        <f>IFERROR(IF(ISNUMBER(C3303),MAX(C3303,IFERROR(J3302,C3303)),""),"")</f>
        <v/>
      </c>
      <c r="K3303" s="29">
        <f>IFERROR(IF(AND(ISNUMBER(C3303),ISNUMBER(J3303)),C3303/J3303-1,""),"")</f>
        <v/>
      </c>
      <c r="L3303" s="28">
        <f>IFERROR(IF(AND(ISNUMBER(D3303),ISNUMBER(E3303)),D3303-E3303,""),"")</f>
        <v/>
      </c>
    </row>
    <row r="3304">
      <c r="A3304" s="7">
        <f>IFERROR(Datos!A3304,"")</f>
        <v/>
      </c>
      <c r="B3304" s="8">
        <f>IFERROR(Datos!B3304,"")</f>
        <v/>
      </c>
      <c r="C3304" s="8">
        <f>IFERROR(Datos!C3304,"")</f>
        <v/>
      </c>
      <c r="D3304" s="28">
        <f>IFERROR(IF(AND(ISNUMBER(B3304),ISNUMBER(B3303),B3303&lt;&gt;0),B3304/B3303-1,""),"")</f>
        <v/>
      </c>
      <c r="E3304" s="28">
        <f>IFERROR(IF(AND(ISNUMBER(C3304),ISNUMBER(C3303),C3303&lt;&gt;0),C3304/C3303-1,""),"")</f>
        <v/>
      </c>
      <c r="F3304" s="28">
        <f>IFERROR(D3304-Dashboard!$B$4/252,"")</f>
        <v/>
      </c>
      <c r="G3304" s="28">
        <f>IFERROR(E3304-Dashboard!$B$4/252,"")</f>
        <v/>
      </c>
      <c r="H3304" s="8">
        <f>IFERROR(IF(ISNUMBER(B3304),MAX(B3304,IFERROR(H3303,B3304)),""),"")</f>
        <v/>
      </c>
      <c r="I3304" s="29">
        <f>IFERROR(IF(AND(ISNUMBER(B3304),ISNUMBER(H3304)),B3304/H3304-1,""),"")</f>
        <v/>
      </c>
      <c r="J3304" s="8">
        <f>IFERROR(IF(ISNUMBER(C3304),MAX(C3304,IFERROR(J3303,C3304)),""),"")</f>
        <v/>
      </c>
      <c r="K3304" s="29">
        <f>IFERROR(IF(AND(ISNUMBER(C3304),ISNUMBER(J3304)),C3304/J3304-1,""),"")</f>
        <v/>
      </c>
      <c r="L3304" s="28">
        <f>IFERROR(IF(AND(ISNUMBER(D3304),ISNUMBER(E3304)),D3304-E3304,""),"")</f>
        <v/>
      </c>
    </row>
    <row r="3305">
      <c r="A3305" s="7">
        <f>IFERROR(Datos!A3305,"")</f>
        <v/>
      </c>
      <c r="B3305" s="8">
        <f>IFERROR(Datos!B3305,"")</f>
        <v/>
      </c>
      <c r="C3305" s="8">
        <f>IFERROR(Datos!C3305,"")</f>
        <v/>
      </c>
      <c r="D3305" s="28">
        <f>IFERROR(IF(AND(ISNUMBER(B3305),ISNUMBER(B3304),B3304&lt;&gt;0),B3305/B3304-1,""),"")</f>
        <v/>
      </c>
      <c r="E3305" s="28">
        <f>IFERROR(IF(AND(ISNUMBER(C3305),ISNUMBER(C3304),C3304&lt;&gt;0),C3305/C3304-1,""),"")</f>
        <v/>
      </c>
      <c r="F3305" s="28">
        <f>IFERROR(D3305-Dashboard!$B$4/252,"")</f>
        <v/>
      </c>
      <c r="G3305" s="28">
        <f>IFERROR(E3305-Dashboard!$B$4/252,"")</f>
        <v/>
      </c>
      <c r="H3305" s="8">
        <f>IFERROR(IF(ISNUMBER(B3305),MAX(B3305,IFERROR(H3304,B3305)),""),"")</f>
        <v/>
      </c>
      <c r="I3305" s="29">
        <f>IFERROR(IF(AND(ISNUMBER(B3305),ISNUMBER(H3305)),B3305/H3305-1,""),"")</f>
        <v/>
      </c>
      <c r="J3305" s="8">
        <f>IFERROR(IF(ISNUMBER(C3305),MAX(C3305,IFERROR(J3304,C3305)),""),"")</f>
        <v/>
      </c>
      <c r="K3305" s="29">
        <f>IFERROR(IF(AND(ISNUMBER(C3305),ISNUMBER(J3305)),C3305/J3305-1,""),"")</f>
        <v/>
      </c>
      <c r="L3305" s="28">
        <f>IFERROR(IF(AND(ISNUMBER(D3305),ISNUMBER(E3305)),D3305-E3305,""),"")</f>
        <v/>
      </c>
    </row>
    <row r="3306">
      <c r="A3306" s="7">
        <f>IFERROR(Datos!A3306,"")</f>
        <v/>
      </c>
      <c r="B3306" s="8">
        <f>IFERROR(Datos!B3306,"")</f>
        <v/>
      </c>
      <c r="C3306" s="8">
        <f>IFERROR(Datos!C3306,"")</f>
        <v/>
      </c>
      <c r="D3306" s="28">
        <f>IFERROR(IF(AND(ISNUMBER(B3306),ISNUMBER(B3305),B3305&lt;&gt;0),B3306/B3305-1,""),"")</f>
        <v/>
      </c>
      <c r="E3306" s="28">
        <f>IFERROR(IF(AND(ISNUMBER(C3306),ISNUMBER(C3305),C3305&lt;&gt;0),C3306/C3305-1,""),"")</f>
        <v/>
      </c>
      <c r="F3306" s="28">
        <f>IFERROR(D3306-Dashboard!$B$4/252,"")</f>
        <v/>
      </c>
      <c r="G3306" s="28">
        <f>IFERROR(E3306-Dashboard!$B$4/252,"")</f>
        <v/>
      </c>
      <c r="H3306" s="8">
        <f>IFERROR(IF(ISNUMBER(B3306),MAX(B3306,IFERROR(H3305,B3306)),""),"")</f>
        <v/>
      </c>
      <c r="I3306" s="29">
        <f>IFERROR(IF(AND(ISNUMBER(B3306),ISNUMBER(H3306)),B3306/H3306-1,""),"")</f>
        <v/>
      </c>
      <c r="J3306" s="8">
        <f>IFERROR(IF(ISNUMBER(C3306),MAX(C3306,IFERROR(J3305,C3306)),""),"")</f>
        <v/>
      </c>
      <c r="K3306" s="29">
        <f>IFERROR(IF(AND(ISNUMBER(C3306),ISNUMBER(J3306)),C3306/J3306-1,""),"")</f>
        <v/>
      </c>
      <c r="L3306" s="28">
        <f>IFERROR(IF(AND(ISNUMBER(D3306),ISNUMBER(E3306)),D3306-E3306,""),"")</f>
        <v/>
      </c>
    </row>
    <row r="3307">
      <c r="A3307" s="7">
        <f>IFERROR(Datos!A3307,"")</f>
        <v/>
      </c>
      <c r="B3307" s="8">
        <f>IFERROR(Datos!B3307,"")</f>
        <v/>
      </c>
      <c r="C3307" s="8">
        <f>IFERROR(Datos!C3307,"")</f>
        <v/>
      </c>
      <c r="D3307" s="28">
        <f>IFERROR(IF(AND(ISNUMBER(B3307),ISNUMBER(B3306),B3306&lt;&gt;0),B3307/B3306-1,""),"")</f>
        <v/>
      </c>
      <c r="E3307" s="28">
        <f>IFERROR(IF(AND(ISNUMBER(C3307),ISNUMBER(C3306),C3306&lt;&gt;0),C3307/C3306-1,""),"")</f>
        <v/>
      </c>
      <c r="F3307" s="28">
        <f>IFERROR(D3307-Dashboard!$B$4/252,"")</f>
        <v/>
      </c>
      <c r="G3307" s="28">
        <f>IFERROR(E3307-Dashboard!$B$4/252,"")</f>
        <v/>
      </c>
      <c r="H3307" s="8">
        <f>IFERROR(IF(ISNUMBER(B3307),MAX(B3307,IFERROR(H3306,B3307)),""),"")</f>
        <v/>
      </c>
      <c r="I3307" s="29">
        <f>IFERROR(IF(AND(ISNUMBER(B3307),ISNUMBER(H3307)),B3307/H3307-1,""),"")</f>
        <v/>
      </c>
      <c r="J3307" s="8">
        <f>IFERROR(IF(ISNUMBER(C3307),MAX(C3307,IFERROR(J3306,C3307)),""),"")</f>
        <v/>
      </c>
      <c r="K3307" s="29">
        <f>IFERROR(IF(AND(ISNUMBER(C3307),ISNUMBER(J3307)),C3307/J3307-1,""),"")</f>
        <v/>
      </c>
      <c r="L3307" s="28">
        <f>IFERROR(IF(AND(ISNUMBER(D3307),ISNUMBER(E3307)),D3307-E3307,""),"")</f>
        <v/>
      </c>
    </row>
    <row r="3308">
      <c r="A3308" s="7">
        <f>IFERROR(Datos!A3308,"")</f>
        <v/>
      </c>
      <c r="B3308" s="8">
        <f>IFERROR(Datos!B3308,"")</f>
        <v/>
      </c>
      <c r="C3308" s="8">
        <f>IFERROR(Datos!C3308,"")</f>
        <v/>
      </c>
      <c r="D3308" s="28">
        <f>IFERROR(IF(AND(ISNUMBER(B3308),ISNUMBER(B3307),B3307&lt;&gt;0),B3308/B3307-1,""),"")</f>
        <v/>
      </c>
      <c r="E3308" s="28">
        <f>IFERROR(IF(AND(ISNUMBER(C3308),ISNUMBER(C3307),C3307&lt;&gt;0),C3308/C3307-1,""),"")</f>
        <v/>
      </c>
      <c r="F3308" s="28">
        <f>IFERROR(D3308-Dashboard!$B$4/252,"")</f>
        <v/>
      </c>
      <c r="G3308" s="28">
        <f>IFERROR(E3308-Dashboard!$B$4/252,"")</f>
        <v/>
      </c>
      <c r="H3308" s="8">
        <f>IFERROR(IF(ISNUMBER(B3308),MAX(B3308,IFERROR(H3307,B3308)),""),"")</f>
        <v/>
      </c>
      <c r="I3308" s="29">
        <f>IFERROR(IF(AND(ISNUMBER(B3308),ISNUMBER(H3308)),B3308/H3308-1,""),"")</f>
        <v/>
      </c>
      <c r="J3308" s="8">
        <f>IFERROR(IF(ISNUMBER(C3308),MAX(C3308,IFERROR(J3307,C3308)),""),"")</f>
        <v/>
      </c>
      <c r="K3308" s="29">
        <f>IFERROR(IF(AND(ISNUMBER(C3308),ISNUMBER(J3308)),C3308/J3308-1,""),"")</f>
        <v/>
      </c>
      <c r="L3308" s="28">
        <f>IFERROR(IF(AND(ISNUMBER(D3308),ISNUMBER(E3308)),D3308-E3308,""),"")</f>
        <v/>
      </c>
    </row>
    <row r="3309">
      <c r="A3309" s="7">
        <f>IFERROR(Datos!A3309,"")</f>
        <v/>
      </c>
      <c r="B3309" s="8">
        <f>IFERROR(Datos!B3309,"")</f>
        <v/>
      </c>
      <c r="C3309" s="8">
        <f>IFERROR(Datos!C3309,"")</f>
        <v/>
      </c>
      <c r="D3309" s="28">
        <f>IFERROR(IF(AND(ISNUMBER(B3309),ISNUMBER(B3308),B3308&lt;&gt;0),B3309/B3308-1,""),"")</f>
        <v/>
      </c>
      <c r="E3309" s="28">
        <f>IFERROR(IF(AND(ISNUMBER(C3309),ISNUMBER(C3308),C3308&lt;&gt;0),C3309/C3308-1,""),"")</f>
        <v/>
      </c>
      <c r="F3309" s="28">
        <f>IFERROR(D3309-Dashboard!$B$4/252,"")</f>
        <v/>
      </c>
      <c r="G3309" s="28">
        <f>IFERROR(E3309-Dashboard!$B$4/252,"")</f>
        <v/>
      </c>
      <c r="H3309" s="8">
        <f>IFERROR(IF(ISNUMBER(B3309),MAX(B3309,IFERROR(H3308,B3309)),""),"")</f>
        <v/>
      </c>
      <c r="I3309" s="29">
        <f>IFERROR(IF(AND(ISNUMBER(B3309),ISNUMBER(H3309)),B3309/H3309-1,""),"")</f>
        <v/>
      </c>
      <c r="J3309" s="8">
        <f>IFERROR(IF(ISNUMBER(C3309),MAX(C3309,IFERROR(J3308,C3309)),""),"")</f>
        <v/>
      </c>
      <c r="K3309" s="29">
        <f>IFERROR(IF(AND(ISNUMBER(C3309),ISNUMBER(J3309)),C3309/J3309-1,""),"")</f>
        <v/>
      </c>
      <c r="L3309" s="28">
        <f>IFERROR(IF(AND(ISNUMBER(D3309),ISNUMBER(E3309)),D3309-E3309,""),"")</f>
        <v/>
      </c>
    </row>
    <row r="3310">
      <c r="A3310" s="7">
        <f>IFERROR(Datos!A3310,"")</f>
        <v/>
      </c>
      <c r="B3310" s="8">
        <f>IFERROR(Datos!B3310,"")</f>
        <v/>
      </c>
      <c r="C3310" s="8">
        <f>IFERROR(Datos!C3310,"")</f>
        <v/>
      </c>
      <c r="D3310" s="28">
        <f>IFERROR(IF(AND(ISNUMBER(B3310),ISNUMBER(B3309),B3309&lt;&gt;0),B3310/B3309-1,""),"")</f>
        <v/>
      </c>
      <c r="E3310" s="28">
        <f>IFERROR(IF(AND(ISNUMBER(C3310),ISNUMBER(C3309),C3309&lt;&gt;0),C3310/C3309-1,""),"")</f>
        <v/>
      </c>
      <c r="F3310" s="28">
        <f>IFERROR(D3310-Dashboard!$B$4/252,"")</f>
        <v/>
      </c>
      <c r="G3310" s="28">
        <f>IFERROR(E3310-Dashboard!$B$4/252,"")</f>
        <v/>
      </c>
      <c r="H3310" s="8">
        <f>IFERROR(IF(ISNUMBER(B3310),MAX(B3310,IFERROR(H3309,B3310)),""),"")</f>
        <v/>
      </c>
      <c r="I3310" s="29">
        <f>IFERROR(IF(AND(ISNUMBER(B3310),ISNUMBER(H3310)),B3310/H3310-1,""),"")</f>
        <v/>
      </c>
      <c r="J3310" s="8">
        <f>IFERROR(IF(ISNUMBER(C3310),MAX(C3310,IFERROR(J3309,C3310)),""),"")</f>
        <v/>
      </c>
      <c r="K3310" s="29">
        <f>IFERROR(IF(AND(ISNUMBER(C3310),ISNUMBER(J3310)),C3310/J3310-1,""),"")</f>
        <v/>
      </c>
      <c r="L3310" s="28">
        <f>IFERROR(IF(AND(ISNUMBER(D3310),ISNUMBER(E3310)),D3310-E3310,""),"")</f>
        <v/>
      </c>
    </row>
    <row r="3311">
      <c r="A3311" s="7">
        <f>IFERROR(Datos!A3311,"")</f>
        <v/>
      </c>
      <c r="B3311" s="8">
        <f>IFERROR(Datos!B3311,"")</f>
        <v/>
      </c>
      <c r="C3311" s="8">
        <f>IFERROR(Datos!C3311,"")</f>
        <v/>
      </c>
      <c r="D3311" s="28">
        <f>IFERROR(IF(AND(ISNUMBER(B3311),ISNUMBER(B3310),B3310&lt;&gt;0),B3311/B3310-1,""),"")</f>
        <v/>
      </c>
      <c r="E3311" s="28">
        <f>IFERROR(IF(AND(ISNUMBER(C3311),ISNUMBER(C3310),C3310&lt;&gt;0),C3311/C3310-1,""),"")</f>
        <v/>
      </c>
      <c r="F3311" s="28">
        <f>IFERROR(D3311-Dashboard!$B$4/252,"")</f>
        <v/>
      </c>
      <c r="G3311" s="28">
        <f>IFERROR(E3311-Dashboard!$B$4/252,"")</f>
        <v/>
      </c>
      <c r="H3311" s="8">
        <f>IFERROR(IF(ISNUMBER(B3311),MAX(B3311,IFERROR(H3310,B3311)),""),"")</f>
        <v/>
      </c>
      <c r="I3311" s="29">
        <f>IFERROR(IF(AND(ISNUMBER(B3311),ISNUMBER(H3311)),B3311/H3311-1,""),"")</f>
        <v/>
      </c>
      <c r="J3311" s="8">
        <f>IFERROR(IF(ISNUMBER(C3311),MAX(C3311,IFERROR(J3310,C3311)),""),"")</f>
        <v/>
      </c>
      <c r="K3311" s="29">
        <f>IFERROR(IF(AND(ISNUMBER(C3311),ISNUMBER(J3311)),C3311/J3311-1,""),"")</f>
        <v/>
      </c>
      <c r="L3311" s="28">
        <f>IFERROR(IF(AND(ISNUMBER(D3311),ISNUMBER(E3311)),D3311-E3311,""),"")</f>
        <v/>
      </c>
    </row>
    <row r="3312">
      <c r="A3312" s="7">
        <f>IFERROR(Datos!A3312,"")</f>
        <v/>
      </c>
      <c r="B3312" s="8">
        <f>IFERROR(Datos!B3312,"")</f>
        <v/>
      </c>
      <c r="C3312" s="8">
        <f>IFERROR(Datos!C3312,"")</f>
        <v/>
      </c>
      <c r="D3312" s="28">
        <f>IFERROR(IF(AND(ISNUMBER(B3312),ISNUMBER(B3311),B3311&lt;&gt;0),B3312/B3311-1,""),"")</f>
        <v/>
      </c>
      <c r="E3312" s="28">
        <f>IFERROR(IF(AND(ISNUMBER(C3312),ISNUMBER(C3311),C3311&lt;&gt;0),C3312/C3311-1,""),"")</f>
        <v/>
      </c>
      <c r="F3312" s="28">
        <f>IFERROR(D3312-Dashboard!$B$4/252,"")</f>
        <v/>
      </c>
      <c r="G3312" s="28">
        <f>IFERROR(E3312-Dashboard!$B$4/252,"")</f>
        <v/>
      </c>
      <c r="H3312" s="8">
        <f>IFERROR(IF(ISNUMBER(B3312),MAX(B3312,IFERROR(H3311,B3312)),""),"")</f>
        <v/>
      </c>
      <c r="I3312" s="29">
        <f>IFERROR(IF(AND(ISNUMBER(B3312),ISNUMBER(H3312)),B3312/H3312-1,""),"")</f>
        <v/>
      </c>
      <c r="J3312" s="8">
        <f>IFERROR(IF(ISNUMBER(C3312),MAX(C3312,IFERROR(J3311,C3312)),""),"")</f>
        <v/>
      </c>
      <c r="K3312" s="29">
        <f>IFERROR(IF(AND(ISNUMBER(C3312),ISNUMBER(J3312)),C3312/J3312-1,""),"")</f>
        <v/>
      </c>
      <c r="L3312" s="28">
        <f>IFERROR(IF(AND(ISNUMBER(D3312),ISNUMBER(E3312)),D3312-E3312,""),"")</f>
        <v/>
      </c>
    </row>
    <row r="3313">
      <c r="A3313" s="7">
        <f>IFERROR(Datos!A3313,"")</f>
        <v/>
      </c>
      <c r="B3313" s="8">
        <f>IFERROR(Datos!B3313,"")</f>
        <v/>
      </c>
      <c r="C3313" s="8">
        <f>IFERROR(Datos!C3313,"")</f>
        <v/>
      </c>
      <c r="D3313" s="28">
        <f>IFERROR(IF(AND(ISNUMBER(B3313),ISNUMBER(B3312),B3312&lt;&gt;0),B3313/B3312-1,""),"")</f>
        <v/>
      </c>
      <c r="E3313" s="28">
        <f>IFERROR(IF(AND(ISNUMBER(C3313),ISNUMBER(C3312),C3312&lt;&gt;0),C3313/C3312-1,""),"")</f>
        <v/>
      </c>
      <c r="F3313" s="28">
        <f>IFERROR(D3313-Dashboard!$B$4/252,"")</f>
        <v/>
      </c>
      <c r="G3313" s="28">
        <f>IFERROR(E3313-Dashboard!$B$4/252,"")</f>
        <v/>
      </c>
      <c r="H3313" s="8">
        <f>IFERROR(IF(ISNUMBER(B3313),MAX(B3313,IFERROR(H3312,B3313)),""),"")</f>
        <v/>
      </c>
      <c r="I3313" s="29">
        <f>IFERROR(IF(AND(ISNUMBER(B3313),ISNUMBER(H3313)),B3313/H3313-1,""),"")</f>
        <v/>
      </c>
      <c r="J3313" s="8">
        <f>IFERROR(IF(ISNUMBER(C3313),MAX(C3313,IFERROR(J3312,C3313)),""),"")</f>
        <v/>
      </c>
      <c r="K3313" s="29">
        <f>IFERROR(IF(AND(ISNUMBER(C3313),ISNUMBER(J3313)),C3313/J3313-1,""),"")</f>
        <v/>
      </c>
      <c r="L3313" s="28">
        <f>IFERROR(IF(AND(ISNUMBER(D3313),ISNUMBER(E3313)),D3313-E3313,""),"")</f>
        <v/>
      </c>
    </row>
    <row r="3314">
      <c r="A3314" s="7">
        <f>IFERROR(Datos!A3314,"")</f>
        <v/>
      </c>
      <c r="B3314" s="8">
        <f>IFERROR(Datos!B3314,"")</f>
        <v/>
      </c>
      <c r="C3314" s="8">
        <f>IFERROR(Datos!C3314,"")</f>
        <v/>
      </c>
      <c r="D3314" s="28">
        <f>IFERROR(IF(AND(ISNUMBER(B3314),ISNUMBER(B3313),B3313&lt;&gt;0),B3314/B3313-1,""),"")</f>
        <v/>
      </c>
      <c r="E3314" s="28">
        <f>IFERROR(IF(AND(ISNUMBER(C3314),ISNUMBER(C3313),C3313&lt;&gt;0),C3314/C3313-1,""),"")</f>
        <v/>
      </c>
      <c r="F3314" s="28">
        <f>IFERROR(D3314-Dashboard!$B$4/252,"")</f>
        <v/>
      </c>
      <c r="G3314" s="28">
        <f>IFERROR(E3314-Dashboard!$B$4/252,"")</f>
        <v/>
      </c>
      <c r="H3314" s="8">
        <f>IFERROR(IF(ISNUMBER(B3314),MAX(B3314,IFERROR(H3313,B3314)),""),"")</f>
        <v/>
      </c>
      <c r="I3314" s="29">
        <f>IFERROR(IF(AND(ISNUMBER(B3314),ISNUMBER(H3314)),B3314/H3314-1,""),"")</f>
        <v/>
      </c>
      <c r="J3314" s="8">
        <f>IFERROR(IF(ISNUMBER(C3314),MAX(C3314,IFERROR(J3313,C3314)),""),"")</f>
        <v/>
      </c>
      <c r="K3314" s="29">
        <f>IFERROR(IF(AND(ISNUMBER(C3314),ISNUMBER(J3314)),C3314/J3314-1,""),"")</f>
        <v/>
      </c>
      <c r="L3314" s="28">
        <f>IFERROR(IF(AND(ISNUMBER(D3314),ISNUMBER(E3314)),D3314-E3314,""),"")</f>
        <v/>
      </c>
    </row>
    <row r="3315">
      <c r="A3315" s="7">
        <f>IFERROR(Datos!A3315,"")</f>
        <v/>
      </c>
      <c r="B3315" s="8">
        <f>IFERROR(Datos!B3315,"")</f>
        <v/>
      </c>
      <c r="C3315" s="8">
        <f>IFERROR(Datos!C3315,"")</f>
        <v/>
      </c>
      <c r="D3315" s="28">
        <f>IFERROR(IF(AND(ISNUMBER(B3315),ISNUMBER(B3314),B3314&lt;&gt;0),B3315/B3314-1,""),"")</f>
        <v/>
      </c>
      <c r="E3315" s="28">
        <f>IFERROR(IF(AND(ISNUMBER(C3315),ISNUMBER(C3314),C3314&lt;&gt;0),C3315/C3314-1,""),"")</f>
        <v/>
      </c>
      <c r="F3315" s="28">
        <f>IFERROR(D3315-Dashboard!$B$4/252,"")</f>
        <v/>
      </c>
      <c r="G3315" s="28">
        <f>IFERROR(E3315-Dashboard!$B$4/252,"")</f>
        <v/>
      </c>
      <c r="H3315" s="8">
        <f>IFERROR(IF(ISNUMBER(B3315),MAX(B3315,IFERROR(H3314,B3315)),""),"")</f>
        <v/>
      </c>
      <c r="I3315" s="29">
        <f>IFERROR(IF(AND(ISNUMBER(B3315),ISNUMBER(H3315)),B3315/H3315-1,""),"")</f>
        <v/>
      </c>
      <c r="J3315" s="8">
        <f>IFERROR(IF(ISNUMBER(C3315),MAX(C3315,IFERROR(J3314,C3315)),""),"")</f>
        <v/>
      </c>
      <c r="K3315" s="29">
        <f>IFERROR(IF(AND(ISNUMBER(C3315),ISNUMBER(J3315)),C3315/J3315-1,""),"")</f>
        <v/>
      </c>
      <c r="L3315" s="28">
        <f>IFERROR(IF(AND(ISNUMBER(D3315),ISNUMBER(E3315)),D3315-E3315,""),"")</f>
        <v/>
      </c>
    </row>
    <row r="3316">
      <c r="A3316" s="7">
        <f>IFERROR(Datos!A3316,"")</f>
        <v/>
      </c>
      <c r="B3316" s="8">
        <f>IFERROR(Datos!B3316,"")</f>
        <v/>
      </c>
      <c r="C3316" s="8">
        <f>IFERROR(Datos!C3316,"")</f>
        <v/>
      </c>
      <c r="D3316" s="28">
        <f>IFERROR(IF(AND(ISNUMBER(B3316),ISNUMBER(B3315),B3315&lt;&gt;0),B3316/B3315-1,""),"")</f>
        <v/>
      </c>
      <c r="E3316" s="28">
        <f>IFERROR(IF(AND(ISNUMBER(C3316),ISNUMBER(C3315),C3315&lt;&gt;0),C3316/C3315-1,""),"")</f>
        <v/>
      </c>
      <c r="F3316" s="28">
        <f>IFERROR(D3316-Dashboard!$B$4/252,"")</f>
        <v/>
      </c>
      <c r="G3316" s="28">
        <f>IFERROR(E3316-Dashboard!$B$4/252,"")</f>
        <v/>
      </c>
      <c r="H3316" s="8">
        <f>IFERROR(IF(ISNUMBER(B3316),MAX(B3316,IFERROR(H3315,B3316)),""),"")</f>
        <v/>
      </c>
      <c r="I3316" s="29">
        <f>IFERROR(IF(AND(ISNUMBER(B3316),ISNUMBER(H3316)),B3316/H3316-1,""),"")</f>
        <v/>
      </c>
      <c r="J3316" s="8">
        <f>IFERROR(IF(ISNUMBER(C3316),MAX(C3316,IFERROR(J3315,C3316)),""),"")</f>
        <v/>
      </c>
      <c r="K3316" s="29">
        <f>IFERROR(IF(AND(ISNUMBER(C3316),ISNUMBER(J3316)),C3316/J3316-1,""),"")</f>
        <v/>
      </c>
      <c r="L3316" s="28">
        <f>IFERROR(IF(AND(ISNUMBER(D3316),ISNUMBER(E3316)),D3316-E3316,""),"")</f>
        <v/>
      </c>
    </row>
    <row r="3317">
      <c r="A3317" s="7">
        <f>IFERROR(Datos!A3317,"")</f>
        <v/>
      </c>
      <c r="B3317" s="8">
        <f>IFERROR(Datos!B3317,"")</f>
        <v/>
      </c>
      <c r="C3317" s="8">
        <f>IFERROR(Datos!C3317,"")</f>
        <v/>
      </c>
      <c r="D3317" s="28">
        <f>IFERROR(IF(AND(ISNUMBER(B3317),ISNUMBER(B3316),B3316&lt;&gt;0),B3317/B3316-1,""),"")</f>
        <v/>
      </c>
      <c r="E3317" s="28">
        <f>IFERROR(IF(AND(ISNUMBER(C3317),ISNUMBER(C3316),C3316&lt;&gt;0),C3317/C3316-1,""),"")</f>
        <v/>
      </c>
      <c r="F3317" s="28">
        <f>IFERROR(D3317-Dashboard!$B$4/252,"")</f>
        <v/>
      </c>
      <c r="G3317" s="28">
        <f>IFERROR(E3317-Dashboard!$B$4/252,"")</f>
        <v/>
      </c>
      <c r="H3317" s="8">
        <f>IFERROR(IF(ISNUMBER(B3317),MAX(B3317,IFERROR(H3316,B3317)),""),"")</f>
        <v/>
      </c>
      <c r="I3317" s="29">
        <f>IFERROR(IF(AND(ISNUMBER(B3317),ISNUMBER(H3317)),B3317/H3317-1,""),"")</f>
        <v/>
      </c>
      <c r="J3317" s="8">
        <f>IFERROR(IF(ISNUMBER(C3317),MAX(C3317,IFERROR(J3316,C3317)),""),"")</f>
        <v/>
      </c>
      <c r="K3317" s="29">
        <f>IFERROR(IF(AND(ISNUMBER(C3317),ISNUMBER(J3317)),C3317/J3317-1,""),"")</f>
        <v/>
      </c>
      <c r="L3317" s="28">
        <f>IFERROR(IF(AND(ISNUMBER(D3317),ISNUMBER(E3317)),D3317-E3317,""),"")</f>
        <v/>
      </c>
    </row>
    <row r="3318">
      <c r="A3318" s="7">
        <f>IFERROR(Datos!A3318,"")</f>
        <v/>
      </c>
      <c r="B3318" s="8">
        <f>IFERROR(Datos!B3318,"")</f>
        <v/>
      </c>
      <c r="C3318" s="8">
        <f>IFERROR(Datos!C3318,"")</f>
        <v/>
      </c>
      <c r="D3318" s="28">
        <f>IFERROR(IF(AND(ISNUMBER(B3318),ISNUMBER(B3317),B3317&lt;&gt;0),B3318/B3317-1,""),"")</f>
        <v/>
      </c>
      <c r="E3318" s="28">
        <f>IFERROR(IF(AND(ISNUMBER(C3318),ISNUMBER(C3317),C3317&lt;&gt;0),C3318/C3317-1,""),"")</f>
        <v/>
      </c>
      <c r="F3318" s="28">
        <f>IFERROR(D3318-Dashboard!$B$4/252,"")</f>
        <v/>
      </c>
      <c r="G3318" s="28">
        <f>IFERROR(E3318-Dashboard!$B$4/252,"")</f>
        <v/>
      </c>
      <c r="H3318" s="8">
        <f>IFERROR(IF(ISNUMBER(B3318),MAX(B3318,IFERROR(H3317,B3318)),""),"")</f>
        <v/>
      </c>
      <c r="I3318" s="29">
        <f>IFERROR(IF(AND(ISNUMBER(B3318),ISNUMBER(H3318)),B3318/H3318-1,""),"")</f>
        <v/>
      </c>
      <c r="J3318" s="8">
        <f>IFERROR(IF(ISNUMBER(C3318),MAX(C3318,IFERROR(J3317,C3318)),""),"")</f>
        <v/>
      </c>
      <c r="K3318" s="29">
        <f>IFERROR(IF(AND(ISNUMBER(C3318),ISNUMBER(J3318)),C3318/J3318-1,""),"")</f>
        <v/>
      </c>
      <c r="L3318" s="28">
        <f>IFERROR(IF(AND(ISNUMBER(D3318),ISNUMBER(E3318)),D3318-E3318,""),"")</f>
        <v/>
      </c>
    </row>
    <row r="3319">
      <c r="A3319" s="7">
        <f>IFERROR(Datos!A3319,"")</f>
        <v/>
      </c>
      <c r="B3319" s="8">
        <f>IFERROR(Datos!B3319,"")</f>
        <v/>
      </c>
      <c r="C3319" s="8">
        <f>IFERROR(Datos!C3319,"")</f>
        <v/>
      </c>
      <c r="D3319" s="28">
        <f>IFERROR(IF(AND(ISNUMBER(B3319),ISNUMBER(B3318),B3318&lt;&gt;0),B3319/B3318-1,""),"")</f>
        <v/>
      </c>
      <c r="E3319" s="28">
        <f>IFERROR(IF(AND(ISNUMBER(C3319),ISNUMBER(C3318),C3318&lt;&gt;0),C3319/C3318-1,""),"")</f>
        <v/>
      </c>
      <c r="F3319" s="28">
        <f>IFERROR(D3319-Dashboard!$B$4/252,"")</f>
        <v/>
      </c>
      <c r="G3319" s="28">
        <f>IFERROR(E3319-Dashboard!$B$4/252,"")</f>
        <v/>
      </c>
      <c r="H3319" s="8">
        <f>IFERROR(IF(ISNUMBER(B3319),MAX(B3319,IFERROR(H3318,B3319)),""),"")</f>
        <v/>
      </c>
      <c r="I3319" s="29">
        <f>IFERROR(IF(AND(ISNUMBER(B3319),ISNUMBER(H3319)),B3319/H3319-1,""),"")</f>
        <v/>
      </c>
      <c r="J3319" s="8">
        <f>IFERROR(IF(ISNUMBER(C3319),MAX(C3319,IFERROR(J3318,C3319)),""),"")</f>
        <v/>
      </c>
      <c r="K3319" s="29">
        <f>IFERROR(IF(AND(ISNUMBER(C3319),ISNUMBER(J3319)),C3319/J3319-1,""),"")</f>
        <v/>
      </c>
      <c r="L3319" s="28">
        <f>IFERROR(IF(AND(ISNUMBER(D3319),ISNUMBER(E3319)),D3319-E3319,""),"")</f>
        <v/>
      </c>
    </row>
    <row r="3320">
      <c r="A3320" s="7">
        <f>IFERROR(Datos!A3320,"")</f>
        <v/>
      </c>
      <c r="B3320" s="8">
        <f>IFERROR(Datos!B3320,"")</f>
        <v/>
      </c>
      <c r="C3320" s="8">
        <f>IFERROR(Datos!C3320,"")</f>
        <v/>
      </c>
      <c r="D3320" s="28">
        <f>IFERROR(IF(AND(ISNUMBER(B3320),ISNUMBER(B3319),B3319&lt;&gt;0),B3320/B3319-1,""),"")</f>
        <v/>
      </c>
      <c r="E3320" s="28">
        <f>IFERROR(IF(AND(ISNUMBER(C3320),ISNUMBER(C3319),C3319&lt;&gt;0),C3320/C3319-1,""),"")</f>
        <v/>
      </c>
      <c r="F3320" s="28">
        <f>IFERROR(D3320-Dashboard!$B$4/252,"")</f>
        <v/>
      </c>
      <c r="G3320" s="28">
        <f>IFERROR(E3320-Dashboard!$B$4/252,"")</f>
        <v/>
      </c>
      <c r="H3320" s="8">
        <f>IFERROR(IF(ISNUMBER(B3320),MAX(B3320,IFERROR(H3319,B3320)),""),"")</f>
        <v/>
      </c>
      <c r="I3320" s="29">
        <f>IFERROR(IF(AND(ISNUMBER(B3320),ISNUMBER(H3320)),B3320/H3320-1,""),"")</f>
        <v/>
      </c>
      <c r="J3320" s="8">
        <f>IFERROR(IF(ISNUMBER(C3320),MAX(C3320,IFERROR(J3319,C3320)),""),"")</f>
        <v/>
      </c>
      <c r="K3320" s="29">
        <f>IFERROR(IF(AND(ISNUMBER(C3320),ISNUMBER(J3320)),C3320/J3320-1,""),"")</f>
        <v/>
      </c>
      <c r="L3320" s="28">
        <f>IFERROR(IF(AND(ISNUMBER(D3320),ISNUMBER(E3320)),D3320-E3320,""),"")</f>
        <v/>
      </c>
    </row>
    <row r="3321">
      <c r="A3321" s="7">
        <f>IFERROR(Datos!A3321,"")</f>
        <v/>
      </c>
      <c r="B3321" s="8">
        <f>IFERROR(Datos!B3321,"")</f>
        <v/>
      </c>
      <c r="C3321" s="8">
        <f>IFERROR(Datos!C3321,"")</f>
        <v/>
      </c>
      <c r="D3321" s="28">
        <f>IFERROR(IF(AND(ISNUMBER(B3321),ISNUMBER(B3320),B3320&lt;&gt;0),B3321/B3320-1,""),"")</f>
        <v/>
      </c>
      <c r="E3321" s="28">
        <f>IFERROR(IF(AND(ISNUMBER(C3321),ISNUMBER(C3320),C3320&lt;&gt;0),C3321/C3320-1,""),"")</f>
        <v/>
      </c>
      <c r="F3321" s="28">
        <f>IFERROR(D3321-Dashboard!$B$4/252,"")</f>
        <v/>
      </c>
      <c r="G3321" s="28">
        <f>IFERROR(E3321-Dashboard!$B$4/252,"")</f>
        <v/>
      </c>
      <c r="H3321" s="8">
        <f>IFERROR(IF(ISNUMBER(B3321),MAX(B3321,IFERROR(H3320,B3321)),""),"")</f>
        <v/>
      </c>
      <c r="I3321" s="29">
        <f>IFERROR(IF(AND(ISNUMBER(B3321),ISNUMBER(H3321)),B3321/H3321-1,""),"")</f>
        <v/>
      </c>
      <c r="J3321" s="8">
        <f>IFERROR(IF(ISNUMBER(C3321),MAX(C3321,IFERROR(J3320,C3321)),""),"")</f>
        <v/>
      </c>
      <c r="K3321" s="29">
        <f>IFERROR(IF(AND(ISNUMBER(C3321),ISNUMBER(J3321)),C3321/J3321-1,""),"")</f>
        <v/>
      </c>
      <c r="L3321" s="28">
        <f>IFERROR(IF(AND(ISNUMBER(D3321),ISNUMBER(E3321)),D3321-E3321,""),"")</f>
        <v/>
      </c>
    </row>
    <row r="3322">
      <c r="A3322" s="7">
        <f>IFERROR(Datos!A3322,"")</f>
        <v/>
      </c>
      <c r="B3322" s="8">
        <f>IFERROR(Datos!B3322,"")</f>
        <v/>
      </c>
      <c r="C3322" s="8">
        <f>IFERROR(Datos!C3322,"")</f>
        <v/>
      </c>
      <c r="D3322" s="28">
        <f>IFERROR(IF(AND(ISNUMBER(B3322),ISNUMBER(B3321),B3321&lt;&gt;0),B3322/B3321-1,""),"")</f>
        <v/>
      </c>
      <c r="E3322" s="28">
        <f>IFERROR(IF(AND(ISNUMBER(C3322),ISNUMBER(C3321),C3321&lt;&gt;0),C3322/C3321-1,""),"")</f>
        <v/>
      </c>
      <c r="F3322" s="28">
        <f>IFERROR(D3322-Dashboard!$B$4/252,"")</f>
        <v/>
      </c>
      <c r="G3322" s="28">
        <f>IFERROR(E3322-Dashboard!$B$4/252,"")</f>
        <v/>
      </c>
      <c r="H3322" s="8">
        <f>IFERROR(IF(ISNUMBER(B3322),MAX(B3322,IFERROR(H3321,B3322)),""),"")</f>
        <v/>
      </c>
      <c r="I3322" s="29">
        <f>IFERROR(IF(AND(ISNUMBER(B3322),ISNUMBER(H3322)),B3322/H3322-1,""),"")</f>
        <v/>
      </c>
      <c r="J3322" s="8">
        <f>IFERROR(IF(ISNUMBER(C3322),MAX(C3322,IFERROR(J3321,C3322)),""),"")</f>
        <v/>
      </c>
      <c r="K3322" s="29">
        <f>IFERROR(IF(AND(ISNUMBER(C3322),ISNUMBER(J3322)),C3322/J3322-1,""),"")</f>
        <v/>
      </c>
      <c r="L3322" s="28">
        <f>IFERROR(IF(AND(ISNUMBER(D3322),ISNUMBER(E3322)),D3322-E3322,""),"")</f>
        <v/>
      </c>
    </row>
    <row r="3323">
      <c r="A3323" s="7">
        <f>IFERROR(Datos!A3323,"")</f>
        <v/>
      </c>
      <c r="B3323" s="8">
        <f>IFERROR(Datos!B3323,"")</f>
        <v/>
      </c>
      <c r="C3323" s="8">
        <f>IFERROR(Datos!C3323,"")</f>
        <v/>
      </c>
      <c r="D3323" s="28">
        <f>IFERROR(IF(AND(ISNUMBER(B3323),ISNUMBER(B3322),B3322&lt;&gt;0),B3323/B3322-1,""),"")</f>
        <v/>
      </c>
      <c r="E3323" s="28">
        <f>IFERROR(IF(AND(ISNUMBER(C3323),ISNUMBER(C3322),C3322&lt;&gt;0),C3323/C3322-1,""),"")</f>
        <v/>
      </c>
      <c r="F3323" s="28">
        <f>IFERROR(D3323-Dashboard!$B$4/252,"")</f>
        <v/>
      </c>
      <c r="G3323" s="28">
        <f>IFERROR(E3323-Dashboard!$B$4/252,"")</f>
        <v/>
      </c>
      <c r="H3323" s="8">
        <f>IFERROR(IF(ISNUMBER(B3323),MAX(B3323,IFERROR(H3322,B3323)),""),"")</f>
        <v/>
      </c>
      <c r="I3323" s="29">
        <f>IFERROR(IF(AND(ISNUMBER(B3323),ISNUMBER(H3323)),B3323/H3323-1,""),"")</f>
        <v/>
      </c>
      <c r="J3323" s="8">
        <f>IFERROR(IF(ISNUMBER(C3323),MAX(C3323,IFERROR(J3322,C3323)),""),"")</f>
        <v/>
      </c>
      <c r="K3323" s="29">
        <f>IFERROR(IF(AND(ISNUMBER(C3323),ISNUMBER(J3323)),C3323/J3323-1,""),"")</f>
        <v/>
      </c>
      <c r="L3323" s="28">
        <f>IFERROR(IF(AND(ISNUMBER(D3323),ISNUMBER(E3323)),D3323-E3323,""),"")</f>
        <v/>
      </c>
    </row>
    <row r="3324">
      <c r="A3324" s="7">
        <f>IFERROR(Datos!A3324,"")</f>
        <v/>
      </c>
      <c r="B3324" s="8">
        <f>IFERROR(Datos!B3324,"")</f>
        <v/>
      </c>
      <c r="C3324" s="8">
        <f>IFERROR(Datos!C3324,"")</f>
        <v/>
      </c>
      <c r="D3324" s="28">
        <f>IFERROR(IF(AND(ISNUMBER(B3324),ISNUMBER(B3323),B3323&lt;&gt;0),B3324/B3323-1,""),"")</f>
        <v/>
      </c>
      <c r="E3324" s="28">
        <f>IFERROR(IF(AND(ISNUMBER(C3324),ISNUMBER(C3323),C3323&lt;&gt;0),C3324/C3323-1,""),"")</f>
        <v/>
      </c>
      <c r="F3324" s="28">
        <f>IFERROR(D3324-Dashboard!$B$4/252,"")</f>
        <v/>
      </c>
      <c r="G3324" s="28">
        <f>IFERROR(E3324-Dashboard!$B$4/252,"")</f>
        <v/>
      </c>
      <c r="H3324" s="8">
        <f>IFERROR(IF(ISNUMBER(B3324),MAX(B3324,IFERROR(H3323,B3324)),""),"")</f>
        <v/>
      </c>
      <c r="I3324" s="29">
        <f>IFERROR(IF(AND(ISNUMBER(B3324),ISNUMBER(H3324)),B3324/H3324-1,""),"")</f>
        <v/>
      </c>
      <c r="J3324" s="8">
        <f>IFERROR(IF(ISNUMBER(C3324),MAX(C3324,IFERROR(J3323,C3324)),""),"")</f>
        <v/>
      </c>
      <c r="K3324" s="29">
        <f>IFERROR(IF(AND(ISNUMBER(C3324),ISNUMBER(J3324)),C3324/J3324-1,""),"")</f>
        <v/>
      </c>
      <c r="L3324" s="28">
        <f>IFERROR(IF(AND(ISNUMBER(D3324),ISNUMBER(E3324)),D3324-E3324,""),"")</f>
        <v/>
      </c>
    </row>
    <row r="3325">
      <c r="A3325" s="7">
        <f>IFERROR(Datos!A3325,"")</f>
        <v/>
      </c>
      <c r="B3325" s="8">
        <f>IFERROR(Datos!B3325,"")</f>
        <v/>
      </c>
      <c r="C3325" s="8">
        <f>IFERROR(Datos!C3325,"")</f>
        <v/>
      </c>
      <c r="D3325" s="28">
        <f>IFERROR(IF(AND(ISNUMBER(B3325),ISNUMBER(B3324),B3324&lt;&gt;0),B3325/B3324-1,""),"")</f>
        <v/>
      </c>
      <c r="E3325" s="28">
        <f>IFERROR(IF(AND(ISNUMBER(C3325),ISNUMBER(C3324),C3324&lt;&gt;0),C3325/C3324-1,""),"")</f>
        <v/>
      </c>
      <c r="F3325" s="28">
        <f>IFERROR(D3325-Dashboard!$B$4/252,"")</f>
        <v/>
      </c>
      <c r="G3325" s="28">
        <f>IFERROR(E3325-Dashboard!$B$4/252,"")</f>
        <v/>
      </c>
      <c r="H3325" s="8">
        <f>IFERROR(IF(ISNUMBER(B3325),MAX(B3325,IFERROR(H3324,B3325)),""),"")</f>
        <v/>
      </c>
      <c r="I3325" s="29">
        <f>IFERROR(IF(AND(ISNUMBER(B3325),ISNUMBER(H3325)),B3325/H3325-1,""),"")</f>
        <v/>
      </c>
      <c r="J3325" s="8">
        <f>IFERROR(IF(ISNUMBER(C3325),MAX(C3325,IFERROR(J3324,C3325)),""),"")</f>
        <v/>
      </c>
      <c r="K3325" s="29">
        <f>IFERROR(IF(AND(ISNUMBER(C3325),ISNUMBER(J3325)),C3325/J3325-1,""),"")</f>
        <v/>
      </c>
      <c r="L3325" s="28">
        <f>IFERROR(IF(AND(ISNUMBER(D3325),ISNUMBER(E3325)),D3325-E3325,""),"")</f>
        <v/>
      </c>
    </row>
    <row r="3326">
      <c r="A3326" s="7">
        <f>IFERROR(Datos!A3326,"")</f>
        <v/>
      </c>
      <c r="B3326" s="8">
        <f>IFERROR(Datos!B3326,"")</f>
        <v/>
      </c>
      <c r="C3326" s="8">
        <f>IFERROR(Datos!C3326,"")</f>
        <v/>
      </c>
      <c r="D3326" s="28">
        <f>IFERROR(IF(AND(ISNUMBER(B3326),ISNUMBER(B3325),B3325&lt;&gt;0),B3326/B3325-1,""),"")</f>
        <v/>
      </c>
      <c r="E3326" s="28">
        <f>IFERROR(IF(AND(ISNUMBER(C3326),ISNUMBER(C3325),C3325&lt;&gt;0),C3326/C3325-1,""),"")</f>
        <v/>
      </c>
      <c r="F3326" s="28">
        <f>IFERROR(D3326-Dashboard!$B$4/252,"")</f>
        <v/>
      </c>
      <c r="G3326" s="28">
        <f>IFERROR(E3326-Dashboard!$B$4/252,"")</f>
        <v/>
      </c>
      <c r="H3326" s="8">
        <f>IFERROR(IF(ISNUMBER(B3326),MAX(B3326,IFERROR(H3325,B3326)),""),"")</f>
        <v/>
      </c>
      <c r="I3326" s="29">
        <f>IFERROR(IF(AND(ISNUMBER(B3326),ISNUMBER(H3326)),B3326/H3326-1,""),"")</f>
        <v/>
      </c>
      <c r="J3326" s="8">
        <f>IFERROR(IF(ISNUMBER(C3326),MAX(C3326,IFERROR(J3325,C3326)),""),"")</f>
        <v/>
      </c>
      <c r="K3326" s="29">
        <f>IFERROR(IF(AND(ISNUMBER(C3326),ISNUMBER(J3326)),C3326/J3326-1,""),"")</f>
        <v/>
      </c>
      <c r="L3326" s="28">
        <f>IFERROR(IF(AND(ISNUMBER(D3326),ISNUMBER(E3326)),D3326-E3326,""),"")</f>
        <v/>
      </c>
    </row>
    <row r="3327">
      <c r="A3327" s="7">
        <f>IFERROR(Datos!A3327,"")</f>
        <v/>
      </c>
      <c r="B3327" s="8">
        <f>IFERROR(Datos!B3327,"")</f>
        <v/>
      </c>
      <c r="C3327" s="8">
        <f>IFERROR(Datos!C3327,"")</f>
        <v/>
      </c>
      <c r="D3327" s="28">
        <f>IFERROR(IF(AND(ISNUMBER(B3327),ISNUMBER(B3326),B3326&lt;&gt;0),B3327/B3326-1,""),"")</f>
        <v/>
      </c>
      <c r="E3327" s="28">
        <f>IFERROR(IF(AND(ISNUMBER(C3327),ISNUMBER(C3326),C3326&lt;&gt;0),C3327/C3326-1,""),"")</f>
        <v/>
      </c>
      <c r="F3327" s="28">
        <f>IFERROR(D3327-Dashboard!$B$4/252,"")</f>
        <v/>
      </c>
      <c r="G3327" s="28">
        <f>IFERROR(E3327-Dashboard!$B$4/252,"")</f>
        <v/>
      </c>
      <c r="H3327" s="8">
        <f>IFERROR(IF(ISNUMBER(B3327),MAX(B3327,IFERROR(H3326,B3327)),""),"")</f>
        <v/>
      </c>
      <c r="I3327" s="29">
        <f>IFERROR(IF(AND(ISNUMBER(B3327),ISNUMBER(H3327)),B3327/H3327-1,""),"")</f>
        <v/>
      </c>
      <c r="J3327" s="8">
        <f>IFERROR(IF(ISNUMBER(C3327),MAX(C3327,IFERROR(J3326,C3327)),""),"")</f>
        <v/>
      </c>
      <c r="K3327" s="29">
        <f>IFERROR(IF(AND(ISNUMBER(C3327),ISNUMBER(J3327)),C3327/J3327-1,""),"")</f>
        <v/>
      </c>
      <c r="L3327" s="28">
        <f>IFERROR(IF(AND(ISNUMBER(D3327),ISNUMBER(E3327)),D3327-E3327,""),"")</f>
        <v/>
      </c>
    </row>
    <row r="3328">
      <c r="A3328" s="7">
        <f>IFERROR(Datos!A3328,"")</f>
        <v/>
      </c>
      <c r="B3328" s="8">
        <f>IFERROR(Datos!B3328,"")</f>
        <v/>
      </c>
      <c r="C3328" s="8">
        <f>IFERROR(Datos!C3328,"")</f>
        <v/>
      </c>
      <c r="D3328" s="28">
        <f>IFERROR(IF(AND(ISNUMBER(B3328),ISNUMBER(B3327),B3327&lt;&gt;0),B3328/B3327-1,""),"")</f>
        <v/>
      </c>
      <c r="E3328" s="28">
        <f>IFERROR(IF(AND(ISNUMBER(C3328),ISNUMBER(C3327),C3327&lt;&gt;0),C3328/C3327-1,""),"")</f>
        <v/>
      </c>
      <c r="F3328" s="28">
        <f>IFERROR(D3328-Dashboard!$B$4/252,"")</f>
        <v/>
      </c>
      <c r="G3328" s="28">
        <f>IFERROR(E3328-Dashboard!$B$4/252,"")</f>
        <v/>
      </c>
      <c r="H3328" s="8">
        <f>IFERROR(IF(ISNUMBER(B3328),MAX(B3328,IFERROR(H3327,B3328)),""),"")</f>
        <v/>
      </c>
      <c r="I3328" s="29">
        <f>IFERROR(IF(AND(ISNUMBER(B3328),ISNUMBER(H3328)),B3328/H3328-1,""),"")</f>
        <v/>
      </c>
      <c r="J3328" s="8">
        <f>IFERROR(IF(ISNUMBER(C3328),MAX(C3328,IFERROR(J3327,C3328)),""),"")</f>
        <v/>
      </c>
      <c r="K3328" s="29">
        <f>IFERROR(IF(AND(ISNUMBER(C3328),ISNUMBER(J3328)),C3328/J3328-1,""),"")</f>
        <v/>
      </c>
      <c r="L3328" s="28">
        <f>IFERROR(IF(AND(ISNUMBER(D3328),ISNUMBER(E3328)),D3328-E3328,""),"")</f>
        <v/>
      </c>
    </row>
    <row r="3329">
      <c r="A3329" s="7">
        <f>IFERROR(Datos!A3329,"")</f>
        <v/>
      </c>
      <c r="B3329" s="8">
        <f>IFERROR(Datos!B3329,"")</f>
        <v/>
      </c>
      <c r="C3329" s="8">
        <f>IFERROR(Datos!C3329,"")</f>
        <v/>
      </c>
      <c r="D3329" s="28">
        <f>IFERROR(IF(AND(ISNUMBER(B3329),ISNUMBER(B3328),B3328&lt;&gt;0),B3329/B3328-1,""),"")</f>
        <v/>
      </c>
      <c r="E3329" s="28">
        <f>IFERROR(IF(AND(ISNUMBER(C3329),ISNUMBER(C3328),C3328&lt;&gt;0),C3329/C3328-1,""),"")</f>
        <v/>
      </c>
      <c r="F3329" s="28">
        <f>IFERROR(D3329-Dashboard!$B$4/252,"")</f>
        <v/>
      </c>
      <c r="G3329" s="28">
        <f>IFERROR(E3329-Dashboard!$B$4/252,"")</f>
        <v/>
      </c>
      <c r="H3329" s="8">
        <f>IFERROR(IF(ISNUMBER(B3329),MAX(B3329,IFERROR(H3328,B3329)),""),"")</f>
        <v/>
      </c>
      <c r="I3329" s="29">
        <f>IFERROR(IF(AND(ISNUMBER(B3329),ISNUMBER(H3329)),B3329/H3329-1,""),"")</f>
        <v/>
      </c>
      <c r="J3329" s="8">
        <f>IFERROR(IF(ISNUMBER(C3329),MAX(C3329,IFERROR(J3328,C3329)),""),"")</f>
        <v/>
      </c>
      <c r="K3329" s="29">
        <f>IFERROR(IF(AND(ISNUMBER(C3329),ISNUMBER(J3329)),C3329/J3329-1,""),"")</f>
        <v/>
      </c>
      <c r="L3329" s="28">
        <f>IFERROR(IF(AND(ISNUMBER(D3329),ISNUMBER(E3329)),D3329-E3329,""),"")</f>
        <v/>
      </c>
    </row>
    <row r="3330">
      <c r="A3330" s="7">
        <f>IFERROR(Datos!A3330,"")</f>
        <v/>
      </c>
      <c r="B3330" s="8">
        <f>IFERROR(Datos!B3330,"")</f>
        <v/>
      </c>
      <c r="C3330" s="8">
        <f>IFERROR(Datos!C3330,"")</f>
        <v/>
      </c>
      <c r="D3330" s="28">
        <f>IFERROR(IF(AND(ISNUMBER(B3330),ISNUMBER(B3329),B3329&lt;&gt;0),B3330/B3329-1,""),"")</f>
        <v/>
      </c>
      <c r="E3330" s="28">
        <f>IFERROR(IF(AND(ISNUMBER(C3330),ISNUMBER(C3329),C3329&lt;&gt;0),C3330/C3329-1,""),"")</f>
        <v/>
      </c>
      <c r="F3330" s="28">
        <f>IFERROR(D3330-Dashboard!$B$4/252,"")</f>
        <v/>
      </c>
      <c r="G3330" s="28">
        <f>IFERROR(E3330-Dashboard!$B$4/252,"")</f>
        <v/>
      </c>
      <c r="H3330" s="8">
        <f>IFERROR(IF(ISNUMBER(B3330),MAX(B3330,IFERROR(H3329,B3330)),""),"")</f>
        <v/>
      </c>
      <c r="I3330" s="29">
        <f>IFERROR(IF(AND(ISNUMBER(B3330),ISNUMBER(H3330)),B3330/H3330-1,""),"")</f>
        <v/>
      </c>
      <c r="J3330" s="8">
        <f>IFERROR(IF(ISNUMBER(C3330),MAX(C3330,IFERROR(J3329,C3330)),""),"")</f>
        <v/>
      </c>
      <c r="K3330" s="29">
        <f>IFERROR(IF(AND(ISNUMBER(C3330),ISNUMBER(J3330)),C3330/J3330-1,""),"")</f>
        <v/>
      </c>
      <c r="L3330" s="28">
        <f>IFERROR(IF(AND(ISNUMBER(D3330),ISNUMBER(E3330)),D3330-E3330,""),"")</f>
        <v/>
      </c>
    </row>
    <row r="3331">
      <c r="A3331" s="7">
        <f>IFERROR(Datos!A3331,"")</f>
        <v/>
      </c>
      <c r="B3331" s="8">
        <f>IFERROR(Datos!B3331,"")</f>
        <v/>
      </c>
      <c r="C3331" s="8">
        <f>IFERROR(Datos!C3331,"")</f>
        <v/>
      </c>
      <c r="D3331" s="28">
        <f>IFERROR(IF(AND(ISNUMBER(B3331),ISNUMBER(B3330),B3330&lt;&gt;0),B3331/B3330-1,""),"")</f>
        <v/>
      </c>
      <c r="E3331" s="28">
        <f>IFERROR(IF(AND(ISNUMBER(C3331),ISNUMBER(C3330),C3330&lt;&gt;0),C3331/C3330-1,""),"")</f>
        <v/>
      </c>
      <c r="F3331" s="28">
        <f>IFERROR(D3331-Dashboard!$B$4/252,"")</f>
        <v/>
      </c>
      <c r="G3331" s="28">
        <f>IFERROR(E3331-Dashboard!$B$4/252,"")</f>
        <v/>
      </c>
      <c r="H3331" s="8">
        <f>IFERROR(IF(ISNUMBER(B3331),MAX(B3331,IFERROR(H3330,B3331)),""),"")</f>
        <v/>
      </c>
      <c r="I3331" s="29">
        <f>IFERROR(IF(AND(ISNUMBER(B3331),ISNUMBER(H3331)),B3331/H3331-1,""),"")</f>
        <v/>
      </c>
      <c r="J3331" s="8">
        <f>IFERROR(IF(ISNUMBER(C3331),MAX(C3331,IFERROR(J3330,C3331)),""),"")</f>
        <v/>
      </c>
      <c r="K3331" s="29">
        <f>IFERROR(IF(AND(ISNUMBER(C3331),ISNUMBER(J3331)),C3331/J3331-1,""),"")</f>
        <v/>
      </c>
      <c r="L3331" s="28">
        <f>IFERROR(IF(AND(ISNUMBER(D3331),ISNUMBER(E3331)),D3331-E3331,""),"")</f>
        <v/>
      </c>
    </row>
    <row r="3332">
      <c r="A3332" s="7">
        <f>IFERROR(Datos!A3332,"")</f>
        <v/>
      </c>
      <c r="B3332" s="8">
        <f>IFERROR(Datos!B3332,"")</f>
        <v/>
      </c>
      <c r="C3332" s="8">
        <f>IFERROR(Datos!C3332,"")</f>
        <v/>
      </c>
      <c r="D3332" s="28">
        <f>IFERROR(IF(AND(ISNUMBER(B3332),ISNUMBER(B3331),B3331&lt;&gt;0),B3332/B3331-1,""),"")</f>
        <v/>
      </c>
      <c r="E3332" s="28">
        <f>IFERROR(IF(AND(ISNUMBER(C3332),ISNUMBER(C3331),C3331&lt;&gt;0),C3332/C3331-1,""),"")</f>
        <v/>
      </c>
      <c r="F3332" s="28">
        <f>IFERROR(D3332-Dashboard!$B$4/252,"")</f>
        <v/>
      </c>
      <c r="G3332" s="28">
        <f>IFERROR(E3332-Dashboard!$B$4/252,"")</f>
        <v/>
      </c>
      <c r="H3332" s="8">
        <f>IFERROR(IF(ISNUMBER(B3332),MAX(B3332,IFERROR(H3331,B3332)),""),"")</f>
        <v/>
      </c>
      <c r="I3332" s="29">
        <f>IFERROR(IF(AND(ISNUMBER(B3332),ISNUMBER(H3332)),B3332/H3332-1,""),"")</f>
        <v/>
      </c>
      <c r="J3332" s="8">
        <f>IFERROR(IF(ISNUMBER(C3332),MAX(C3332,IFERROR(J3331,C3332)),""),"")</f>
        <v/>
      </c>
      <c r="K3332" s="29">
        <f>IFERROR(IF(AND(ISNUMBER(C3332),ISNUMBER(J3332)),C3332/J3332-1,""),"")</f>
        <v/>
      </c>
      <c r="L3332" s="28">
        <f>IFERROR(IF(AND(ISNUMBER(D3332),ISNUMBER(E3332)),D3332-E3332,""),"")</f>
        <v/>
      </c>
    </row>
    <row r="3333">
      <c r="A3333" s="7">
        <f>IFERROR(Datos!A3333,"")</f>
        <v/>
      </c>
      <c r="B3333" s="8">
        <f>IFERROR(Datos!B3333,"")</f>
        <v/>
      </c>
      <c r="C3333" s="8">
        <f>IFERROR(Datos!C3333,"")</f>
        <v/>
      </c>
      <c r="D3333" s="28">
        <f>IFERROR(IF(AND(ISNUMBER(B3333),ISNUMBER(B3332),B3332&lt;&gt;0),B3333/B3332-1,""),"")</f>
        <v/>
      </c>
      <c r="E3333" s="28">
        <f>IFERROR(IF(AND(ISNUMBER(C3333),ISNUMBER(C3332),C3332&lt;&gt;0),C3333/C3332-1,""),"")</f>
        <v/>
      </c>
      <c r="F3333" s="28">
        <f>IFERROR(D3333-Dashboard!$B$4/252,"")</f>
        <v/>
      </c>
      <c r="G3333" s="28">
        <f>IFERROR(E3333-Dashboard!$B$4/252,"")</f>
        <v/>
      </c>
      <c r="H3333" s="8">
        <f>IFERROR(IF(ISNUMBER(B3333),MAX(B3333,IFERROR(H3332,B3333)),""),"")</f>
        <v/>
      </c>
      <c r="I3333" s="29">
        <f>IFERROR(IF(AND(ISNUMBER(B3333),ISNUMBER(H3333)),B3333/H3333-1,""),"")</f>
        <v/>
      </c>
      <c r="J3333" s="8">
        <f>IFERROR(IF(ISNUMBER(C3333),MAX(C3333,IFERROR(J3332,C3333)),""),"")</f>
        <v/>
      </c>
      <c r="K3333" s="29">
        <f>IFERROR(IF(AND(ISNUMBER(C3333),ISNUMBER(J3333)),C3333/J3333-1,""),"")</f>
        <v/>
      </c>
      <c r="L3333" s="28">
        <f>IFERROR(IF(AND(ISNUMBER(D3333),ISNUMBER(E3333)),D3333-E3333,""),"")</f>
        <v/>
      </c>
    </row>
    <row r="3334">
      <c r="A3334" s="7">
        <f>IFERROR(Datos!A3334,"")</f>
        <v/>
      </c>
      <c r="B3334" s="8">
        <f>IFERROR(Datos!B3334,"")</f>
        <v/>
      </c>
      <c r="C3334" s="8">
        <f>IFERROR(Datos!C3334,"")</f>
        <v/>
      </c>
      <c r="D3334" s="28">
        <f>IFERROR(IF(AND(ISNUMBER(B3334),ISNUMBER(B3333),B3333&lt;&gt;0),B3334/B3333-1,""),"")</f>
        <v/>
      </c>
      <c r="E3334" s="28">
        <f>IFERROR(IF(AND(ISNUMBER(C3334),ISNUMBER(C3333),C3333&lt;&gt;0),C3334/C3333-1,""),"")</f>
        <v/>
      </c>
      <c r="F3334" s="28">
        <f>IFERROR(D3334-Dashboard!$B$4/252,"")</f>
        <v/>
      </c>
      <c r="G3334" s="28">
        <f>IFERROR(E3334-Dashboard!$B$4/252,"")</f>
        <v/>
      </c>
      <c r="H3334" s="8">
        <f>IFERROR(IF(ISNUMBER(B3334),MAX(B3334,IFERROR(H3333,B3334)),""),"")</f>
        <v/>
      </c>
      <c r="I3334" s="29">
        <f>IFERROR(IF(AND(ISNUMBER(B3334),ISNUMBER(H3334)),B3334/H3334-1,""),"")</f>
        <v/>
      </c>
      <c r="J3334" s="8">
        <f>IFERROR(IF(ISNUMBER(C3334),MAX(C3334,IFERROR(J3333,C3334)),""),"")</f>
        <v/>
      </c>
      <c r="K3334" s="29">
        <f>IFERROR(IF(AND(ISNUMBER(C3334),ISNUMBER(J3334)),C3334/J3334-1,""),"")</f>
        <v/>
      </c>
      <c r="L3334" s="28">
        <f>IFERROR(IF(AND(ISNUMBER(D3334),ISNUMBER(E3334)),D3334-E3334,""),"")</f>
        <v/>
      </c>
    </row>
    <row r="3335">
      <c r="A3335" s="7">
        <f>IFERROR(Datos!A3335,"")</f>
        <v/>
      </c>
      <c r="B3335" s="8">
        <f>IFERROR(Datos!B3335,"")</f>
        <v/>
      </c>
      <c r="C3335" s="8">
        <f>IFERROR(Datos!C3335,"")</f>
        <v/>
      </c>
      <c r="D3335" s="28">
        <f>IFERROR(IF(AND(ISNUMBER(B3335),ISNUMBER(B3334),B3334&lt;&gt;0),B3335/B3334-1,""),"")</f>
        <v/>
      </c>
      <c r="E3335" s="28">
        <f>IFERROR(IF(AND(ISNUMBER(C3335),ISNUMBER(C3334),C3334&lt;&gt;0),C3335/C3334-1,""),"")</f>
        <v/>
      </c>
      <c r="F3335" s="28">
        <f>IFERROR(D3335-Dashboard!$B$4/252,"")</f>
        <v/>
      </c>
      <c r="G3335" s="28">
        <f>IFERROR(E3335-Dashboard!$B$4/252,"")</f>
        <v/>
      </c>
      <c r="H3335" s="8">
        <f>IFERROR(IF(ISNUMBER(B3335),MAX(B3335,IFERROR(H3334,B3335)),""),"")</f>
        <v/>
      </c>
      <c r="I3335" s="29">
        <f>IFERROR(IF(AND(ISNUMBER(B3335),ISNUMBER(H3335)),B3335/H3335-1,""),"")</f>
        <v/>
      </c>
      <c r="J3335" s="8">
        <f>IFERROR(IF(ISNUMBER(C3335),MAX(C3335,IFERROR(J3334,C3335)),""),"")</f>
        <v/>
      </c>
      <c r="K3335" s="29">
        <f>IFERROR(IF(AND(ISNUMBER(C3335),ISNUMBER(J3335)),C3335/J3335-1,""),"")</f>
        <v/>
      </c>
      <c r="L3335" s="28">
        <f>IFERROR(IF(AND(ISNUMBER(D3335),ISNUMBER(E3335)),D3335-E3335,""),"")</f>
        <v/>
      </c>
    </row>
    <row r="3336">
      <c r="A3336" s="7">
        <f>IFERROR(Datos!A3336,"")</f>
        <v/>
      </c>
      <c r="B3336" s="8">
        <f>IFERROR(Datos!B3336,"")</f>
        <v/>
      </c>
      <c r="C3336" s="8">
        <f>IFERROR(Datos!C3336,"")</f>
        <v/>
      </c>
      <c r="D3336" s="28">
        <f>IFERROR(IF(AND(ISNUMBER(B3336),ISNUMBER(B3335),B3335&lt;&gt;0),B3336/B3335-1,""),"")</f>
        <v/>
      </c>
      <c r="E3336" s="28">
        <f>IFERROR(IF(AND(ISNUMBER(C3336),ISNUMBER(C3335),C3335&lt;&gt;0),C3336/C3335-1,""),"")</f>
        <v/>
      </c>
      <c r="F3336" s="28">
        <f>IFERROR(D3336-Dashboard!$B$4/252,"")</f>
        <v/>
      </c>
      <c r="G3336" s="28">
        <f>IFERROR(E3336-Dashboard!$B$4/252,"")</f>
        <v/>
      </c>
      <c r="H3336" s="8">
        <f>IFERROR(IF(ISNUMBER(B3336),MAX(B3336,IFERROR(H3335,B3336)),""),"")</f>
        <v/>
      </c>
      <c r="I3336" s="29">
        <f>IFERROR(IF(AND(ISNUMBER(B3336),ISNUMBER(H3336)),B3336/H3336-1,""),"")</f>
        <v/>
      </c>
      <c r="J3336" s="8">
        <f>IFERROR(IF(ISNUMBER(C3336),MAX(C3336,IFERROR(J3335,C3336)),""),"")</f>
        <v/>
      </c>
      <c r="K3336" s="29">
        <f>IFERROR(IF(AND(ISNUMBER(C3336),ISNUMBER(J3336)),C3336/J3336-1,""),"")</f>
        <v/>
      </c>
      <c r="L3336" s="28">
        <f>IFERROR(IF(AND(ISNUMBER(D3336),ISNUMBER(E3336)),D3336-E3336,""),"")</f>
        <v/>
      </c>
    </row>
    <row r="3337">
      <c r="A3337" s="7">
        <f>IFERROR(Datos!A3337,"")</f>
        <v/>
      </c>
      <c r="B3337" s="8">
        <f>IFERROR(Datos!B3337,"")</f>
        <v/>
      </c>
      <c r="C3337" s="8">
        <f>IFERROR(Datos!C3337,"")</f>
        <v/>
      </c>
      <c r="D3337" s="28">
        <f>IFERROR(IF(AND(ISNUMBER(B3337),ISNUMBER(B3336),B3336&lt;&gt;0),B3337/B3336-1,""),"")</f>
        <v/>
      </c>
      <c r="E3337" s="28">
        <f>IFERROR(IF(AND(ISNUMBER(C3337),ISNUMBER(C3336),C3336&lt;&gt;0),C3337/C3336-1,""),"")</f>
        <v/>
      </c>
      <c r="F3337" s="28">
        <f>IFERROR(D3337-Dashboard!$B$4/252,"")</f>
        <v/>
      </c>
      <c r="G3337" s="28">
        <f>IFERROR(E3337-Dashboard!$B$4/252,"")</f>
        <v/>
      </c>
      <c r="H3337" s="8">
        <f>IFERROR(IF(ISNUMBER(B3337),MAX(B3337,IFERROR(H3336,B3337)),""),"")</f>
        <v/>
      </c>
      <c r="I3337" s="29">
        <f>IFERROR(IF(AND(ISNUMBER(B3337),ISNUMBER(H3337)),B3337/H3337-1,""),"")</f>
        <v/>
      </c>
      <c r="J3337" s="8">
        <f>IFERROR(IF(ISNUMBER(C3337),MAX(C3337,IFERROR(J3336,C3337)),""),"")</f>
        <v/>
      </c>
      <c r="K3337" s="29">
        <f>IFERROR(IF(AND(ISNUMBER(C3337),ISNUMBER(J3337)),C3337/J3337-1,""),"")</f>
        <v/>
      </c>
      <c r="L3337" s="28">
        <f>IFERROR(IF(AND(ISNUMBER(D3337),ISNUMBER(E3337)),D3337-E3337,""),"")</f>
        <v/>
      </c>
    </row>
    <row r="3338">
      <c r="A3338" s="7">
        <f>IFERROR(Datos!A3338,"")</f>
        <v/>
      </c>
      <c r="B3338" s="8">
        <f>IFERROR(Datos!B3338,"")</f>
        <v/>
      </c>
      <c r="C3338" s="8">
        <f>IFERROR(Datos!C3338,"")</f>
        <v/>
      </c>
      <c r="D3338" s="28">
        <f>IFERROR(IF(AND(ISNUMBER(B3338),ISNUMBER(B3337),B3337&lt;&gt;0),B3338/B3337-1,""),"")</f>
        <v/>
      </c>
      <c r="E3338" s="28">
        <f>IFERROR(IF(AND(ISNUMBER(C3338),ISNUMBER(C3337),C3337&lt;&gt;0),C3338/C3337-1,""),"")</f>
        <v/>
      </c>
      <c r="F3338" s="28">
        <f>IFERROR(D3338-Dashboard!$B$4/252,"")</f>
        <v/>
      </c>
      <c r="G3338" s="28">
        <f>IFERROR(E3338-Dashboard!$B$4/252,"")</f>
        <v/>
      </c>
      <c r="H3338" s="8">
        <f>IFERROR(IF(ISNUMBER(B3338),MAX(B3338,IFERROR(H3337,B3338)),""),"")</f>
        <v/>
      </c>
      <c r="I3338" s="29">
        <f>IFERROR(IF(AND(ISNUMBER(B3338),ISNUMBER(H3338)),B3338/H3338-1,""),"")</f>
        <v/>
      </c>
      <c r="J3338" s="8">
        <f>IFERROR(IF(ISNUMBER(C3338),MAX(C3338,IFERROR(J3337,C3338)),""),"")</f>
        <v/>
      </c>
      <c r="K3338" s="29">
        <f>IFERROR(IF(AND(ISNUMBER(C3338),ISNUMBER(J3338)),C3338/J3338-1,""),"")</f>
        <v/>
      </c>
      <c r="L3338" s="28">
        <f>IFERROR(IF(AND(ISNUMBER(D3338),ISNUMBER(E3338)),D3338-E3338,""),"")</f>
        <v/>
      </c>
    </row>
    <row r="3339">
      <c r="A3339" s="7">
        <f>IFERROR(Datos!A3339,"")</f>
        <v/>
      </c>
      <c r="B3339" s="8">
        <f>IFERROR(Datos!B3339,"")</f>
        <v/>
      </c>
      <c r="C3339" s="8">
        <f>IFERROR(Datos!C3339,"")</f>
        <v/>
      </c>
      <c r="D3339" s="28">
        <f>IFERROR(IF(AND(ISNUMBER(B3339),ISNUMBER(B3338),B3338&lt;&gt;0),B3339/B3338-1,""),"")</f>
        <v/>
      </c>
      <c r="E3339" s="28">
        <f>IFERROR(IF(AND(ISNUMBER(C3339),ISNUMBER(C3338),C3338&lt;&gt;0),C3339/C3338-1,""),"")</f>
        <v/>
      </c>
      <c r="F3339" s="28">
        <f>IFERROR(D3339-Dashboard!$B$4/252,"")</f>
        <v/>
      </c>
      <c r="G3339" s="28">
        <f>IFERROR(E3339-Dashboard!$B$4/252,"")</f>
        <v/>
      </c>
      <c r="H3339" s="8">
        <f>IFERROR(IF(ISNUMBER(B3339),MAX(B3339,IFERROR(H3338,B3339)),""),"")</f>
        <v/>
      </c>
      <c r="I3339" s="29">
        <f>IFERROR(IF(AND(ISNUMBER(B3339),ISNUMBER(H3339)),B3339/H3339-1,""),"")</f>
        <v/>
      </c>
      <c r="J3339" s="8">
        <f>IFERROR(IF(ISNUMBER(C3339),MAX(C3339,IFERROR(J3338,C3339)),""),"")</f>
        <v/>
      </c>
      <c r="K3339" s="29">
        <f>IFERROR(IF(AND(ISNUMBER(C3339),ISNUMBER(J3339)),C3339/J3339-1,""),"")</f>
        <v/>
      </c>
      <c r="L3339" s="28">
        <f>IFERROR(IF(AND(ISNUMBER(D3339),ISNUMBER(E3339)),D3339-E3339,""),"")</f>
        <v/>
      </c>
    </row>
    <row r="3340">
      <c r="A3340" s="7">
        <f>IFERROR(Datos!A3340,"")</f>
        <v/>
      </c>
      <c r="B3340" s="8">
        <f>IFERROR(Datos!B3340,"")</f>
        <v/>
      </c>
      <c r="C3340" s="8">
        <f>IFERROR(Datos!C3340,"")</f>
        <v/>
      </c>
      <c r="D3340" s="28">
        <f>IFERROR(IF(AND(ISNUMBER(B3340),ISNUMBER(B3339),B3339&lt;&gt;0),B3340/B3339-1,""),"")</f>
        <v/>
      </c>
      <c r="E3340" s="28">
        <f>IFERROR(IF(AND(ISNUMBER(C3340),ISNUMBER(C3339),C3339&lt;&gt;0),C3340/C3339-1,""),"")</f>
        <v/>
      </c>
      <c r="F3340" s="28">
        <f>IFERROR(D3340-Dashboard!$B$4/252,"")</f>
        <v/>
      </c>
      <c r="G3340" s="28">
        <f>IFERROR(E3340-Dashboard!$B$4/252,"")</f>
        <v/>
      </c>
      <c r="H3340" s="8">
        <f>IFERROR(IF(ISNUMBER(B3340),MAX(B3340,IFERROR(H3339,B3340)),""),"")</f>
        <v/>
      </c>
      <c r="I3340" s="29">
        <f>IFERROR(IF(AND(ISNUMBER(B3340),ISNUMBER(H3340)),B3340/H3340-1,""),"")</f>
        <v/>
      </c>
      <c r="J3340" s="8">
        <f>IFERROR(IF(ISNUMBER(C3340),MAX(C3340,IFERROR(J3339,C3340)),""),"")</f>
        <v/>
      </c>
      <c r="K3340" s="29">
        <f>IFERROR(IF(AND(ISNUMBER(C3340),ISNUMBER(J3340)),C3340/J3340-1,""),"")</f>
        <v/>
      </c>
      <c r="L3340" s="28">
        <f>IFERROR(IF(AND(ISNUMBER(D3340),ISNUMBER(E3340)),D3340-E3340,""),"")</f>
        <v/>
      </c>
    </row>
    <row r="3341">
      <c r="A3341" s="7">
        <f>IFERROR(Datos!A3341,"")</f>
        <v/>
      </c>
      <c r="B3341" s="8">
        <f>IFERROR(Datos!B3341,"")</f>
        <v/>
      </c>
      <c r="C3341" s="8">
        <f>IFERROR(Datos!C3341,"")</f>
        <v/>
      </c>
      <c r="D3341" s="28">
        <f>IFERROR(IF(AND(ISNUMBER(B3341),ISNUMBER(B3340),B3340&lt;&gt;0),B3341/B3340-1,""),"")</f>
        <v/>
      </c>
      <c r="E3341" s="28">
        <f>IFERROR(IF(AND(ISNUMBER(C3341),ISNUMBER(C3340),C3340&lt;&gt;0),C3341/C3340-1,""),"")</f>
        <v/>
      </c>
      <c r="F3341" s="28">
        <f>IFERROR(D3341-Dashboard!$B$4/252,"")</f>
        <v/>
      </c>
      <c r="G3341" s="28">
        <f>IFERROR(E3341-Dashboard!$B$4/252,"")</f>
        <v/>
      </c>
      <c r="H3341" s="8">
        <f>IFERROR(IF(ISNUMBER(B3341),MAX(B3341,IFERROR(H3340,B3341)),""),"")</f>
        <v/>
      </c>
      <c r="I3341" s="29">
        <f>IFERROR(IF(AND(ISNUMBER(B3341),ISNUMBER(H3341)),B3341/H3341-1,""),"")</f>
        <v/>
      </c>
      <c r="J3341" s="8">
        <f>IFERROR(IF(ISNUMBER(C3341),MAX(C3341,IFERROR(J3340,C3341)),""),"")</f>
        <v/>
      </c>
      <c r="K3341" s="29">
        <f>IFERROR(IF(AND(ISNUMBER(C3341),ISNUMBER(J3341)),C3341/J3341-1,""),"")</f>
        <v/>
      </c>
      <c r="L3341" s="28">
        <f>IFERROR(IF(AND(ISNUMBER(D3341),ISNUMBER(E3341)),D3341-E3341,""),"")</f>
        <v/>
      </c>
    </row>
    <row r="3342">
      <c r="A3342" s="7">
        <f>IFERROR(Datos!A3342,"")</f>
        <v/>
      </c>
      <c r="B3342" s="8">
        <f>IFERROR(Datos!B3342,"")</f>
        <v/>
      </c>
      <c r="C3342" s="8">
        <f>IFERROR(Datos!C3342,"")</f>
        <v/>
      </c>
      <c r="D3342" s="28">
        <f>IFERROR(IF(AND(ISNUMBER(B3342),ISNUMBER(B3341),B3341&lt;&gt;0),B3342/B3341-1,""),"")</f>
        <v/>
      </c>
      <c r="E3342" s="28">
        <f>IFERROR(IF(AND(ISNUMBER(C3342),ISNUMBER(C3341),C3341&lt;&gt;0),C3342/C3341-1,""),"")</f>
        <v/>
      </c>
      <c r="F3342" s="28">
        <f>IFERROR(D3342-Dashboard!$B$4/252,"")</f>
        <v/>
      </c>
      <c r="G3342" s="28">
        <f>IFERROR(E3342-Dashboard!$B$4/252,"")</f>
        <v/>
      </c>
      <c r="H3342" s="8">
        <f>IFERROR(IF(ISNUMBER(B3342),MAX(B3342,IFERROR(H3341,B3342)),""),"")</f>
        <v/>
      </c>
      <c r="I3342" s="29">
        <f>IFERROR(IF(AND(ISNUMBER(B3342),ISNUMBER(H3342)),B3342/H3342-1,""),"")</f>
        <v/>
      </c>
      <c r="J3342" s="8">
        <f>IFERROR(IF(ISNUMBER(C3342),MAX(C3342,IFERROR(J3341,C3342)),""),"")</f>
        <v/>
      </c>
      <c r="K3342" s="29">
        <f>IFERROR(IF(AND(ISNUMBER(C3342),ISNUMBER(J3342)),C3342/J3342-1,""),"")</f>
        <v/>
      </c>
      <c r="L3342" s="28">
        <f>IFERROR(IF(AND(ISNUMBER(D3342),ISNUMBER(E3342)),D3342-E3342,""),"")</f>
        <v/>
      </c>
    </row>
    <row r="3343">
      <c r="A3343" s="7">
        <f>IFERROR(Datos!A3343,"")</f>
        <v/>
      </c>
      <c r="B3343" s="8">
        <f>IFERROR(Datos!B3343,"")</f>
        <v/>
      </c>
      <c r="C3343" s="8">
        <f>IFERROR(Datos!C3343,"")</f>
        <v/>
      </c>
      <c r="D3343" s="28">
        <f>IFERROR(IF(AND(ISNUMBER(B3343),ISNUMBER(B3342),B3342&lt;&gt;0),B3343/B3342-1,""),"")</f>
        <v/>
      </c>
      <c r="E3343" s="28">
        <f>IFERROR(IF(AND(ISNUMBER(C3343),ISNUMBER(C3342),C3342&lt;&gt;0),C3343/C3342-1,""),"")</f>
        <v/>
      </c>
      <c r="F3343" s="28">
        <f>IFERROR(D3343-Dashboard!$B$4/252,"")</f>
        <v/>
      </c>
      <c r="G3343" s="28">
        <f>IFERROR(E3343-Dashboard!$B$4/252,"")</f>
        <v/>
      </c>
      <c r="H3343" s="8">
        <f>IFERROR(IF(ISNUMBER(B3343),MAX(B3343,IFERROR(H3342,B3343)),""),"")</f>
        <v/>
      </c>
      <c r="I3343" s="29">
        <f>IFERROR(IF(AND(ISNUMBER(B3343),ISNUMBER(H3343)),B3343/H3343-1,""),"")</f>
        <v/>
      </c>
      <c r="J3343" s="8">
        <f>IFERROR(IF(ISNUMBER(C3343),MAX(C3343,IFERROR(J3342,C3343)),""),"")</f>
        <v/>
      </c>
      <c r="K3343" s="29">
        <f>IFERROR(IF(AND(ISNUMBER(C3343),ISNUMBER(J3343)),C3343/J3343-1,""),"")</f>
        <v/>
      </c>
      <c r="L3343" s="28">
        <f>IFERROR(IF(AND(ISNUMBER(D3343),ISNUMBER(E3343)),D3343-E3343,""),"")</f>
        <v/>
      </c>
    </row>
    <row r="3344">
      <c r="A3344" s="7">
        <f>IFERROR(Datos!A3344,"")</f>
        <v/>
      </c>
      <c r="B3344" s="8">
        <f>IFERROR(Datos!B3344,"")</f>
        <v/>
      </c>
      <c r="C3344" s="8">
        <f>IFERROR(Datos!C3344,"")</f>
        <v/>
      </c>
      <c r="D3344" s="28">
        <f>IFERROR(IF(AND(ISNUMBER(B3344),ISNUMBER(B3343),B3343&lt;&gt;0),B3344/B3343-1,""),"")</f>
        <v/>
      </c>
      <c r="E3344" s="28">
        <f>IFERROR(IF(AND(ISNUMBER(C3344),ISNUMBER(C3343),C3343&lt;&gt;0),C3344/C3343-1,""),"")</f>
        <v/>
      </c>
      <c r="F3344" s="28">
        <f>IFERROR(D3344-Dashboard!$B$4/252,"")</f>
        <v/>
      </c>
      <c r="G3344" s="28">
        <f>IFERROR(E3344-Dashboard!$B$4/252,"")</f>
        <v/>
      </c>
      <c r="H3344" s="8">
        <f>IFERROR(IF(ISNUMBER(B3344),MAX(B3344,IFERROR(H3343,B3344)),""),"")</f>
        <v/>
      </c>
      <c r="I3344" s="29">
        <f>IFERROR(IF(AND(ISNUMBER(B3344),ISNUMBER(H3344)),B3344/H3344-1,""),"")</f>
        <v/>
      </c>
      <c r="J3344" s="8">
        <f>IFERROR(IF(ISNUMBER(C3344),MAX(C3344,IFERROR(J3343,C3344)),""),"")</f>
        <v/>
      </c>
      <c r="K3344" s="29">
        <f>IFERROR(IF(AND(ISNUMBER(C3344),ISNUMBER(J3344)),C3344/J3344-1,""),"")</f>
        <v/>
      </c>
      <c r="L3344" s="28">
        <f>IFERROR(IF(AND(ISNUMBER(D3344),ISNUMBER(E3344)),D3344-E3344,""),"")</f>
        <v/>
      </c>
    </row>
    <row r="3345">
      <c r="A3345" s="7">
        <f>IFERROR(Datos!A3345,"")</f>
        <v/>
      </c>
      <c r="B3345" s="8">
        <f>IFERROR(Datos!B3345,"")</f>
        <v/>
      </c>
      <c r="C3345" s="8">
        <f>IFERROR(Datos!C3345,"")</f>
        <v/>
      </c>
      <c r="D3345" s="28">
        <f>IFERROR(IF(AND(ISNUMBER(B3345),ISNUMBER(B3344),B3344&lt;&gt;0),B3345/B3344-1,""),"")</f>
        <v/>
      </c>
      <c r="E3345" s="28">
        <f>IFERROR(IF(AND(ISNUMBER(C3345),ISNUMBER(C3344),C3344&lt;&gt;0),C3345/C3344-1,""),"")</f>
        <v/>
      </c>
      <c r="F3345" s="28">
        <f>IFERROR(D3345-Dashboard!$B$4/252,"")</f>
        <v/>
      </c>
      <c r="G3345" s="28">
        <f>IFERROR(E3345-Dashboard!$B$4/252,"")</f>
        <v/>
      </c>
      <c r="H3345" s="8">
        <f>IFERROR(IF(ISNUMBER(B3345),MAX(B3345,IFERROR(H3344,B3345)),""),"")</f>
        <v/>
      </c>
      <c r="I3345" s="29">
        <f>IFERROR(IF(AND(ISNUMBER(B3345),ISNUMBER(H3345)),B3345/H3345-1,""),"")</f>
        <v/>
      </c>
      <c r="J3345" s="8">
        <f>IFERROR(IF(ISNUMBER(C3345),MAX(C3345,IFERROR(J3344,C3345)),""),"")</f>
        <v/>
      </c>
      <c r="K3345" s="29">
        <f>IFERROR(IF(AND(ISNUMBER(C3345),ISNUMBER(J3345)),C3345/J3345-1,""),"")</f>
        <v/>
      </c>
      <c r="L3345" s="28">
        <f>IFERROR(IF(AND(ISNUMBER(D3345),ISNUMBER(E3345)),D3345-E3345,""),"")</f>
        <v/>
      </c>
    </row>
    <row r="3346">
      <c r="A3346" s="7">
        <f>IFERROR(Datos!A3346,"")</f>
        <v/>
      </c>
      <c r="B3346" s="8">
        <f>IFERROR(Datos!B3346,"")</f>
        <v/>
      </c>
      <c r="C3346" s="8">
        <f>IFERROR(Datos!C3346,"")</f>
        <v/>
      </c>
      <c r="D3346" s="28">
        <f>IFERROR(IF(AND(ISNUMBER(B3346),ISNUMBER(B3345),B3345&lt;&gt;0),B3346/B3345-1,""),"")</f>
        <v/>
      </c>
      <c r="E3346" s="28">
        <f>IFERROR(IF(AND(ISNUMBER(C3346),ISNUMBER(C3345),C3345&lt;&gt;0),C3346/C3345-1,""),"")</f>
        <v/>
      </c>
      <c r="F3346" s="28">
        <f>IFERROR(D3346-Dashboard!$B$4/252,"")</f>
        <v/>
      </c>
      <c r="G3346" s="28">
        <f>IFERROR(E3346-Dashboard!$B$4/252,"")</f>
        <v/>
      </c>
      <c r="H3346" s="8">
        <f>IFERROR(IF(ISNUMBER(B3346),MAX(B3346,IFERROR(H3345,B3346)),""),"")</f>
        <v/>
      </c>
      <c r="I3346" s="29">
        <f>IFERROR(IF(AND(ISNUMBER(B3346),ISNUMBER(H3346)),B3346/H3346-1,""),"")</f>
        <v/>
      </c>
      <c r="J3346" s="8">
        <f>IFERROR(IF(ISNUMBER(C3346),MAX(C3346,IFERROR(J3345,C3346)),""),"")</f>
        <v/>
      </c>
      <c r="K3346" s="29">
        <f>IFERROR(IF(AND(ISNUMBER(C3346),ISNUMBER(J3346)),C3346/J3346-1,""),"")</f>
        <v/>
      </c>
      <c r="L3346" s="28">
        <f>IFERROR(IF(AND(ISNUMBER(D3346),ISNUMBER(E3346)),D3346-E3346,""),"")</f>
        <v/>
      </c>
    </row>
    <row r="3347">
      <c r="A3347" s="7">
        <f>IFERROR(Datos!A3347,"")</f>
        <v/>
      </c>
      <c r="B3347" s="8">
        <f>IFERROR(Datos!B3347,"")</f>
        <v/>
      </c>
      <c r="C3347" s="8">
        <f>IFERROR(Datos!C3347,"")</f>
        <v/>
      </c>
      <c r="D3347" s="28">
        <f>IFERROR(IF(AND(ISNUMBER(B3347),ISNUMBER(B3346),B3346&lt;&gt;0),B3347/B3346-1,""),"")</f>
        <v/>
      </c>
      <c r="E3347" s="28">
        <f>IFERROR(IF(AND(ISNUMBER(C3347),ISNUMBER(C3346),C3346&lt;&gt;0),C3347/C3346-1,""),"")</f>
        <v/>
      </c>
      <c r="F3347" s="28">
        <f>IFERROR(D3347-Dashboard!$B$4/252,"")</f>
        <v/>
      </c>
      <c r="G3347" s="28">
        <f>IFERROR(E3347-Dashboard!$B$4/252,"")</f>
        <v/>
      </c>
      <c r="H3347" s="8">
        <f>IFERROR(IF(ISNUMBER(B3347),MAX(B3347,IFERROR(H3346,B3347)),""),"")</f>
        <v/>
      </c>
      <c r="I3347" s="29">
        <f>IFERROR(IF(AND(ISNUMBER(B3347),ISNUMBER(H3347)),B3347/H3347-1,""),"")</f>
        <v/>
      </c>
      <c r="J3347" s="8">
        <f>IFERROR(IF(ISNUMBER(C3347),MAX(C3347,IFERROR(J3346,C3347)),""),"")</f>
        <v/>
      </c>
      <c r="K3347" s="29">
        <f>IFERROR(IF(AND(ISNUMBER(C3347),ISNUMBER(J3347)),C3347/J3347-1,""),"")</f>
        <v/>
      </c>
      <c r="L3347" s="28">
        <f>IFERROR(IF(AND(ISNUMBER(D3347),ISNUMBER(E3347)),D3347-E3347,""),"")</f>
        <v/>
      </c>
    </row>
    <row r="3348">
      <c r="A3348" s="7">
        <f>IFERROR(Datos!A3348,"")</f>
        <v/>
      </c>
      <c r="B3348" s="8">
        <f>IFERROR(Datos!B3348,"")</f>
        <v/>
      </c>
      <c r="C3348" s="8">
        <f>IFERROR(Datos!C3348,"")</f>
        <v/>
      </c>
      <c r="D3348" s="28">
        <f>IFERROR(IF(AND(ISNUMBER(B3348),ISNUMBER(B3347),B3347&lt;&gt;0),B3348/B3347-1,""),"")</f>
        <v/>
      </c>
      <c r="E3348" s="28">
        <f>IFERROR(IF(AND(ISNUMBER(C3348),ISNUMBER(C3347),C3347&lt;&gt;0),C3348/C3347-1,""),"")</f>
        <v/>
      </c>
      <c r="F3348" s="28">
        <f>IFERROR(D3348-Dashboard!$B$4/252,"")</f>
        <v/>
      </c>
      <c r="G3348" s="28">
        <f>IFERROR(E3348-Dashboard!$B$4/252,"")</f>
        <v/>
      </c>
      <c r="H3348" s="8">
        <f>IFERROR(IF(ISNUMBER(B3348),MAX(B3348,IFERROR(H3347,B3348)),""),"")</f>
        <v/>
      </c>
      <c r="I3348" s="29">
        <f>IFERROR(IF(AND(ISNUMBER(B3348),ISNUMBER(H3348)),B3348/H3348-1,""),"")</f>
        <v/>
      </c>
      <c r="J3348" s="8">
        <f>IFERROR(IF(ISNUMBER(C3348),MAX(C3348,IFERROR(J3347,C3348)),""),"")</f>
        <v/>
      </c>
      <c r="K3348" s="29">
        <f>IFERROR(IF(AND(ISNUMBER(C3348),ISNUMBER(J3348)),C3348/J3348-1,""),"")</f>
        <v/>
      </c>
      <c r="L3348" s="28">
        <f>IFERROR(IF(AND(ISNUMBER(D3348),ISNUMBER(E3348)),D3348-E3348,""),"")</f>
        <v/>
      </c>
    </row>
    <row r="3349">
      <c r="A3349" s="7">
        <f>IFERROR(Datos!A3349,"")</f>
        <v/>
      </c>
      <c r="B3349" s="8">
        <f>IFERROR(Datos!B3349,"")</f>
        <v/>
      </c>
      <c r="C3349" s="8">
        <f>IFERROR(Datos!C3349,"")</f>
        <v/>
      </c>
      <c r="D3349" s="28">
        <f>IFERROR(IF(AND(ISNUMBER(B3349),ISNUMBER(B3348),B3348&lt;&gt;0),B3349/B3348-1,""),"")</f>
        <v/>
      </c>
      <c r="E3349" s="28">
        <f>IFERROR(IF(AND(ISNUMBER(C3349),ISNUMBER(C3348),C3348&lt;&gt;0),C3349/C3348-1,""),"")</f>
        <v/>
      </c>
      <c r="F3349" s="28">
        <f>IFERROR(D3349-Dashboard!$B$4/252,"")</f>
        <v/>
      </c>
      <c r="G3349" s="28">
        <f>IFERROR(E3349-Dashboard!$B$4/252,"")</f>
        <v/>
      </c>
      <c r="H3349" s="8">
        <f>IFERROR(IF(ISNUMBER(B3349),MAX(B3349,IFERROR(H3348,B3349)),""),"")</f>
        <v/>
      </c>
      <c r="I3349" s="29">
        <f>IFERROR(IF(AND(ISNUMBER(B3349),ISNUMBER(H3349)),B3349/H3349-1,""),"")</f>
        <v/>
      </c>
      <c r="J3349" s="8">
        <f>IFERROR(IF(ISNUMBER(C3349),MAX(C3349,IFERROR(J3348,C3349)),""),"")</f>
        <v/>
      </c>
      <c r="K3349" s="29">
        <f>IFERROR(IF(AND(ISNUMBER(C3349),ISNUMBER(J3349)),C3349/J3349-1,""),"")</f>
        <v/>
      </c>
      <c r="L3349" s="28">
        <f>IFERROR(IF(AND(ISNUMBER(D3349),ISNUMBER(E3349)),D3349-E3349,""),"")</f>
        <v/>
      </c>
    </row>
    <row r="3350">
      <c r="A3350" s="7">
        <f>IFERROR(Datos!A3350,"")</f>
        <v/>
      </c>
      <c r="B3350" s="8">
        <f>IFERROR(Datos!B3350,"")</f>
        <v/>
      </c>
      <c r="C3350" s="8">
        <f>IFERROR(Datos!C3350,"")</f>
        <v/>
      </c>
      <c r="D3350" s="28">
        <f>IFERROR(IF(AND(ISNUMBER(B3350),ISNUMBER(B3349),B3349&lt;&gt;0),B3350/B3349-1,""),"")</f>
        <v/>
      </c>
      <c r="E3350" s="28">
        <f>IFERROR(IF(AND(ISNUMBER(C3350),ISNUMBER(C3349),C3349&lt;&gt;0),C3350/C3349-1,""),"")</f>
        <v/>
      </c>
      <c r="F3350" s="28">
        <f>IFERROR(D3350-Dashboard!$B$4/252,"")</f>
        <v/>
      </c>
      <c r="G3350" s="28">
        <f>IFERROR(E3350-Dashboard!$B$4/252,"")</f>
        <v/>
      </c>
      <c r="H3350" s="8">
        <f>IFERROR(IF(ISNUMBER(B3350),MAX(B3350,IFERROR(H3349,B3350)),""),"")</f>
        <v/>
      </c>
      <c r="I3350" s="29">
        <f>IFERROR(IF(AND(ISNUMBER(B3350),ISNUMBER(H3350)),B3350/H3350-1,""),"")</f>
        <v/>
      </c>
      <c r="J3350" s="8">
        <f>IFERROR(IF(ISNUMBER(C3350),MAX(C3350,IFERROR(J3349,C3350)),""),"")</f>
        <v/>
      </c>
      <c r="K3350" s="29">
        <f>IFERROR(IF(AND(ISNUMBER(C3350),ISNUMBER(J3350)),C3350/J3350-1,""),"")</f>
        <v/>
      </c>
      <c r="L3350" s="28">
        <f>IFERROR(IF(AND(ISNUMBER(D3350),ISNUMBER(E3350)),D3350-E3350,""),"")</f>
        <v/>
      </c>
    </row>
    <row r="3351">
      <c r="A3351" s="7">
        <f>IFERROR(Datos!A3351,"")</f>
        <v/>
      </c>
      <c r="B3351" s="8">
        <f>IFERROR(Datos!B3351,"")</f>
        <v/>
      </c>
      <c r="C3351" s="8">
        <f>IFERROR(Datos!C3351,"")</f>
        <v/>
      </c>
      <c r="D3351" s="28">
        <f>IFERROR(IF(AND(ISNUMBER(B3351),ISNUMBER(B3350),B3350&lt;&gt;0),B3351/B3350-1,""),"")</f>
        <v/>
      </c>
      <c r="E3351" s="28">
        <f>IFERROR(IF(AND(ISNUMBER(C3351),ISNUMBER(C3350),C3350&lt;&gt;0),C3351/C3350-1,""),"")</f>
        <v/>
      </c>
      <c r="F3351" s="28">
        <f>IFERROR(D3351-Dashboard!$B$4/252,"")</f>
        <v/>
      </c>
      <c r="G3351" s="28">
        <f>IFERROR(E3351-Dashboard!$B$4/252,"")</f>
        <v/>
      </c>
      <c r="H3351" s="8">
        <f>IFERROR(IF(ISNUMBER(B3351),MAX(B3351,IFERROR(H3350,B3351)),""),"")</f>
        <v/>
      </c>
      <c r="I3351" s="29">
        <f>IFERROR(IF(AND(ISNUMBER(B3351),ISNUMBER(H3351)),B3351/H3351-1,""),"")</f>
        <v/>
      </c>
      <c r="J3351" s="8">
        <f>IFERROR(IF(ISNUMBER(C3351),MAX(C3351,IFERROR(J3350,C3351)),""),"")</f>
        <v/>
      </c>
      <c r="K3351" s="29">
        <f>IFERROR(IF(AND(ISNUMBER(C3351),ISNUMBER(J3351)),C3351/J3351-1,""),"")</f>
        <v/>
      </c>
      <c r="L3351" s="28">
        <f>IFERROR(IF(AND(ISNUMBER(D3351),ISNUMBER(E3351)),D3351-E3351,""),"")</f>
        <v/>
      </c>
    </row>
    <row r="3352">
      <c r="A3352" s="7">
        <f>IFERROR(Datos!A3352,"")</f>
        <v/>
      </c>
      <c r="B3352" s="8">
        <f>IFERROR(Datos!B3352,"")</f>
        <v/>
      </c>
      <c r="C3352" s="8">
        <f>IFERROR(Datos!C3352,"")</f>
        <v/>
      </c>
      <c r="D3352" s="28">
        <f>IFERROR(IF(AND(ISNUMBER(B3352),ISNUMBER(B3351),B3351&lt;&gt;0),B3352/B3351-1,""),"")</f>
        <v/>
      </c>
      <c r="E3352" s="28">
        <f>IFERROR(IF(AND(ISNUMBER(C3352),ISNUMBER(C3351),C3351&lt;&gt;0),C3352/C3351-1,""),"")</f>
        <v/>
      </c>
      <c r="F3352" s="28">
        <f>IFERROR(D3352-Dashboard!$B$4/252,"")</f>
        <v/>
      </c>
      <c r="G3352" s="28">
        <f>IFERROR(E3352-Dashboard!$B$4/252,"")</f>
        <v/>
      </c>
      <c r="H3352" s="8">
        <f>IFERROR(IF(ISNUMBER(B3352),MAX(B3352,IFERROR(H3351,B3352)),""),"")</f>
        <v/>
      </c>
      <c r="I3352" s="29">
        <f>IFERROR(IF(AND(ISNUMBER(B3352),ISNUMBER(H3352)),B3352/H3352-1,""),"")</f>
        <v/>
      </c>
      <c r="J3352" s="8">
        <f>IFERROR(IF(ISNUMBER(C3352),MAX(C3352,IFERROR(J3351,C3352)),""),"")</f>
        <v/>
      </c>
      <c r="K3352" s="29">
        <f>IFERROR(IF(AND(ISNUMBER(C3352),ISNUMBER(J3352)),C3352/J3352-1,""),"")</f>
        <v/>
      </c>
      <c r="L3352" s="28">
        <f>IFERROR(IF(AND(ISNUMBER(D3352),ISNUMBER(E3352)),D3352-E3352,""),"")</f>
        <v/>
      </c>
    </row>
    <row r="3353">
      <c r="A3353" s="7">
        <f>IFERROR(Datos!A3353,"")</f>
        <v/>
      </c>
      <c r="B3353" s="8">
        <f>IFERROR(Datos!B3353,"")</f>
        <v/>
      </c>
      <c r="C3353" s="8">
        <f>IFERROR(Datos!C3353,"")</f>
        <v/>
      </c>
      <c r="D3353" s="28">
        <f>IFERROR(IF(AND(ISNUMBER(B3353),ISNUMBER(B3352),B3352&lt;&gt;0),B3353/B3352-1,""),"")</f>
        <v/>
      </c>
      <c r="E3353" s="28">
        <f>IFERROR(IF(AND(ISNUMBER(C3353),ISNUMBER(C3352),C3352&lt;&gt;0),C3353/C3352-1,""),"")</f>
        <v/>
      </c>
      <c r="F3353" s="28">
        <f>IFERROR(D3353-Dashboard!$B$4/252,"")</f>
        <v/>
      </c>
      <c r="G3353" s="28">
        <f>IFERROR(E3353-Dashboard!$B$4/252,"")</f>
        <v/>
      </c>
      <c r="H3353" s="8">
        <f>IFERROR(IF(ISNUMBER(B3353),MAX(B3353,IFERROR(H3352,B3353)),""),"")</f>
        <v/>
      </c>
      <c r="I3353" s="29">
        <f>IFERROR(IF(AND(ISNUMBER(B3353),ISNUMBER(H3353)),B3353/H3353-1,""),"")</f>
        <v/>
      </c>
      <c r="J3353" s="8">
        <f>IFERROR(IF(ISNUMBER(C3353),MAX(C3353,IFERROR(J3352,C3353)),""),"")</f>
        <v/>
      </c>
      <c r="K3353" s="29">
        <f>IFERROR(IF(AND(ISNUMBER(C3353),ISNUMBER(J3353)),C3353/J3353-1,""),"")</f>
        <v/>
      </c>
      <c r="L3353" s="28">
        <f>IFERROR(IF(AND(ISNUMBER(D3353),ISNUMBER(E3353)),D3353-E3353,""),"")</f>
        <v/>
      </c>
    </row>
    <row r="3354">
      <c r="A3354" s="7">
        <f>IFERROR(Datos!A3354,"")</f>
        <v/>
      </c>
      <c r="B3354" s="8">
        <f>IFERROR(Datos!B3354,"")</f>
        <v/>
      </c>
      <c r="C3354" s="8">
        <f>IFERROR(Datos!C3354,"")</f>
        <v/>
      </c>
      <c r="D3354" s="28">
        <f>IFERROR(IF(AND(ISNUMBER(B3354),ISNUMBER(B3353),B3353&lt;&gt;0),B3354/B3353-1,""),"")</f>
        <v/>
      </c>
      <c r="E3354" s="28">
        <f>IFERROR(IF(AND(ISNUMBER(C3354),ISNUMBER(C3353),C3353&lt;&gt;0),C3354/C3353-1,""),"")</f>
        <v/>
      </c>
      <c r="F3354" s="28">
        <f>IFERROR(D3354-Dashboard!$B$4/252,"")</f>
        <v/>
      </c>
      <c r="G3354" s="28">
        <f>IFERROR(E3354-Dashboard!$B$4/252,"")</f>
        <v/>
      </c>
      <c r="H3354" s="8">
        <f>IFERROR(IF(ISNUMBER(B3354),MAX(B3354,IFERROR(H3353,B3354)),""),"")</f>
        <v/>
      </c>
      <c r="I3354" s="29">
        <f>IFERROR(IF(AND(ISNUMBER(B3354),ISNUMBER(H3354)),B3354/H3354-1,""),"")</f>
        <v/>
      </c>
      <c r="J3354" s="8">
        <f>IFERROR(IF(ISNUMBER(C3354),MAX(C3354,IFERROR(J3353,C3354)),""),"")</f>
        <v/>
      </c>
      <c r="K3354" s="29">
        <f>IFERROR(IF(AND(ISNUMBER(C3354),ISNUMBER(J3354)),C3354/J3354-1,""),"")</f>
        <v/>
      </c>
      <c r="L3354" s="28">
        <f>IFERROR(IF(AND(ISNUMBER(D3354),ISNUMBER(E3354)),D3354-E3354,""),"")</f>
        <v/>
      </c>
    </row>
    <row r="3355">
      <c r="A3355" s="7">
        <f>IFERROR(Datos!A3355,"")</f>
        <v/>
      </c>
      <c r="B3355" s="8">
        <f>IFERROR(Datos!B3355,"")</f>
        <v/>
      </c>
      <c r="C3355" s="8">
        <f>IFERROR(Datos!C3355,"")</f>
        <v/>
      </c>
      <c r="D3355" s="28">
        <f>IFERROR(IF(AND(ISNUMBER(B3355),ISNUMBER(B3354),B3354&lt;&gt;0),B3355/B3354-1,""),"")</f>
        <v/>
      </c>
      <c r="E3355" s="28">
        <f>IFERROR(IF(AND(ISNUMBER(C3355),ISNUMBER(C3354),C3354&lt;&gt;0),C3355/C3354-1,""),"")</f>
        <v/>
      </c>
      <c r="F3355" s="28">
        <f>IFERROR(D3355-Dashboard!$B$4/252,"")</f>
        <v/>
      </c>
      <c r="G3355" s="28">
        <f>IFERROR(E3355-Dashboard!$B$4/252,"")</f>
        <v/>
      </c>
      <c r="H3355" s="8">
        <f>IFERROR(IF(ISNUMBER(B3355),MAX(B3355,IFERROR(H3354,B3355)),""),"")</f>
        <v/>
      </c>
      <c r="I3355" s="29">
        <f>IFERROR(IF(AND(ISNUMBER(B3355),ISNUMBER(H3355)),B3355/H3355-1,""),"")</f>
        <v/>
      </c>
      <c r="J3355" s="8">
        <f>IFERROR(IF(ISNUMBER(C3355),MAX(C3355,IFERROR(J3354,C3355)),""),"")</f>
        <v/>
      </c>
      <c r="K3355" s="29">
        <f>IFERROR(IF(AND(ISNUMBER(C3355),ISNUMBER(J3355)),C3355/J3355-1,""),"")</f>
        <v/>
      </c>
      <c r="L3355" s="28">
        <f>IFERROR(IF(AND(ISNUMBER(D3355),ISNUMBER(E3355)),D3355-E3355,""),"")</f>
        <v/>
      </c>
    </row>
    <row r="3356">
      <c r="A3356" s="7">
        <f>IFERROR(Datos!A3356,"")</f>
        <v/>
      </c>
      <c r="B3356" s="8">
        <f>IFERROR(Datos!B3356,"")</f>
        <v/>
      </c>
      <c r="C3356" s="8">
        <f>IFERROR(Datos!C3356,"")</f>
        <v/>
      </c>
      <c r="D3356" s="28">
        <f>IFERROR(IF(AND(ISNUMBER(B3356),ISNUMBER(B3355),B3355&lt;&gt;0),B3356/B3355-1,""),"")</f>
        <v/>
      </c>
      <c r="E3356" s="28">
        <f>IFERROR(IF(AND(ISNUMBER(C3356),ISNUMBER(C3355),C3355&lt;&gt;0),C3356/C3355-1,""),"")</f>
        <v/>
      </c>
      <c r="F3356" s="28">
        <f>IFERROR(D3356-Dashboard!$B$4/252,"")</f>
        <v/>
      </c>
      <c r="G3356" s="28">
        <f>IFERROR(E3356-Dashboard!$B$4/252,"")</f>
        <v/>
      </c>
      <c r="H3356" s="8">
        <f>IFERROR(IF(ISNUMBER(B3356),MAX(B3356,IFERROR(H3355,B3356)),""),"")</f>
        <v/>
      </c>
      <c r="I3356" s="29">
        <f>IFERROR(IF(AND(ISNUMBER(B3356),ISNUMBER(H3356)),B3356/H3356-1,""),"")</f>
        <v/>
      </c>
      <c r="J3356" s="8">
        <f>IFERROR(IF(ISNUMBER(C3356),MAX(C3356,IFERROR(J3355,C3356)),""),"")</f>
        <v/>
      </c>
      <c r="K3356" s="29">
        <f>IFERROR(IF(AND(ISNUMBER(C3356),ISNUMBER(J3356)),C3356/J3356-1,""),"")</f>
        <v/>
      </c>
      <c r="L3356" s="28">
        <f>IFERROR(IF(AND(ISNUMBER(D3356),ISNUMBER(E3356)),D3356-E3356,""),"")</f>
        <v/>
      </c>
    </row>
    <row r="3357">
      <c r="A3357" s="7">
        <f>IFERROR(Datos!A3357,"")</f>
        <v/>
      </c>
      <c r="B3357" s="8">
        <f>IFERROR(Datos!B3357,"")</f>
        <v/>
      </c>
      <c r="C3357" s="8">
        <f>IFERROR(Datos!C3357,"")</f>
        <v/>
      </c>
      <c r="D3357" s="28">
        <f>IFERROR(IF(AND(ISNUMBER(B3357),ISNUMBER(B3356),B3356&lt;&gt;0),B3357/B3356-1,""),"")</f>
        <v/>
      </c>
      <c r="E3357" s="28">
        <f>IFERROR(IF(AND(ISNUMBER(C3357),ISNUMBER(C3356),C3356&lt;&gt;0),C3357/C3356-1,""),"")</f>
        <v/>
      </c>
      <c r="F3357" s="28">
        <f>IFERROR(D3357-Dashboard!$B$4/252,"")</f>
        <v/>
      </c>
      <c r="G3357" s="28">
        <f>IFERROR(E3357-Dashboard!$B$4/252,"")</f>
        <v/>
      </c>
      <c r="H3357" s="8">
        <f>IFERROR(IF(ISNUMBER(B3357),MAX(B3357,IFERROR(H3356,B3357)),""),"")</f>
        <v/>
      </c>
      <c r="I3357" s="29">
        <f>IFERROR(IF(AND(ISNUMBER(B3357),ISNUMBER(H3357)),B3357/H3357-1,""),"")</f>
        <v/>
      </c>
      <c r="J3357" s="8">
        <f>IFERROR(IF(ISNUMBER(C3357),MAX(C3357,IFERROR(J3356,C3357)),""),"")</f>
        <v/>
      </c>
      <c r="K3357" s="29">
        <f>IFERROR(IF(AND(ISNUMBER(C3357),ISNUMBER(J3357)),C3357/J3357-1,""),"")</f>
        <v/>
      </c>
      <c r="L3357" s="28">
        <f>IFERROR(IF(AND(ISNUMBER(D3357),ISNUMBER(E3357)),D3357-E3357,""),"")</f>
        <v/>
      </c>
    </row>
    <row r="3358">
      <c r="A3358" s="7">
        <f>IFERROR(Datos!A3358,"")</f>
        <v/>
      </c>
      <c r="B3358" s="8">
        <f>IFERROR(Datos!B3358,"")</f>
        <v/>
      </c>
      <c r="C3358" s="8">
        <f>IFERROR(Datos!C3358,"")</f>
        <v/>
      </c>
      <c r="D3358" s="28">
        <f>IFERROR(IF(AND(ISNUMBER(B3358),ISNUMBER(B3357),B3357&lt;&gt;0),B3358/B3357-1,""),"")</f>
        <v/>
      </c>
      <c r="E3358" s="28">
        <f>IFERROR(IF(AND(ISNUMBER(C3358),ISNUMBER(C3357),C3357&lt;&gt;0),C3358/C3357-1,""),"")</f>
        <v/>
      </c>
      <c r="F3358" s="28">
        <f>IFERROR(D3358-Dashboard!$B$4/252,"")</f>
        <v/>
      </c>
      <c r="G3358" s="28">
        <f>IFERROR(E3358-Dashboard!$B$4/252,"")</f>
        <v/>
      </c>
      <c r="H3358" s="8">
        <f>IFERROR(IF(ISNUMBER(B3358),MAX(B3358,IFERROR(H3357,B3358)),""),"")</f>
        <v/>
      </c>
      <c r="I3358" s="29">
        <f>IFERROR(IF(AND(ISNUMBER(B3358),ISNUMBER(H3358)),B3358/H3358-1,""),"")</f>
        <v/>
      </c>
      <c r="J3358" s="8">
        <f>IFERROR(IF(ISNUMBER(C3358),MAX(C3358,IFERROR(J3357,C3358)),""),"")</f>
        <v/>
      </c>
      <c r="K3358" s="29">
        <f>IFERROR(IF(AND(ISNUMBER(C3358),ISNUMBER(J3358)),C3358/J3358-1,""),"")</f>
        <v/>
      </c>
      <c r="L3358" s="28">
        <f>IFERROR(IF(AND(ISNUMBER(D3358),ISNUMBER(E3358)),D3358-E3358,""),"")</f>
        <v/>
      </c>
    </row>
    <row r="3359">
      <c r="A3359" s="7">
        <f>IFERROR(Datos!A3359,"")</f>
        <v/>
      </c>
      <c r="B3359" s="8">
        <f>IFERROR(Datos!B3359,"")</f>
        <v/>
      </c>
      <c r="C3359" s="8">
        <f>IFERROR(Datos!C3359,"")</f>
        <v/>
      </c>
      <c r="D3359" s="28">
        <f>IFERROR(IF(AND(ISNUMBER(B3359),ISNUMBER(B3358),B3358&lt;&gt;0),B3359/B3358-1,""),"")</f>
        <v/>
      </c>
      <c r="E3359" s="28">
        <f>IFERROR(IF(AND(ISNUMBER(C3359),ISNUMBER(C3358),C3358&lt;&gt;0),C3359/C3358-1,""),"")</f>
        <v/>
      </c>
      <c r="F3359" s="28">
        <f>IFERROR(D3359-Dashboard!$B$4/252,"")</f>
        <v/>
      </c>
      <c r="G3359" s="28">
        <f>IFERROR(E3359-Dashboard!$B$4/252,"")</f>
        <v/>
      </c>
      <c r="H3359" s="8">
        <f>IFERROR(IF(ISNUMBER(B3359),MAX(B3359,IFERROR(H3358,B3359)),""),"")</f>
        <v/>
      </c>
      <c r="I3359" s="29">
        <f>IFERROR(IF(AND(ISNUMBER(B3359),ISNUMBER(H3359)),B3359/H3359-1,""),"")</f>
        <v/>
      </c>
      <c r="J3359" s="8">
        <f>IFERROR(IF(ISNUMBER(C3359),MAX(C3359,IFERROR(J3358,C3359)),""),"")</f>
        <v/>
      </c>
      <c r="K3359" s="29">
        <f>IFERROR(IF(AND(ISNUMBER(C3359),ISNUMBER(J3359)),C3359/J3359-1,""),"")</f>
        <v/>
      </c>
      <c r="L3359" s="28">
        <f>IFERROR(IF(AND(ISNUMBER(D3359),ISNUMBER(E3359)),D3359-E3359,""),"")</f>
        <v/>
      </c>
    </row>
    <row r="3360">
      <c r="A3360" s="7">
        <f>IFERROR(Datos!A3360,"")</f>
        <v/>
      </c>
      <c r="B3360" s="8">
        <f>IFERROR(Datos!B3360,"")</f>
        <v/>
      </c>
      <c r="C3360" s="8">
        <f>IFERROR(Datos!C3360,"")</f>
        <v/>
      </c>
      <c r="D3360" s="28">
        <f>IFERROR(IF(AND(ISNUMBER(B3360),ISNUMBER(B3359),B3359&lt;&gt;0),B3360/B3359-1,""),"")</f>
        <v/>
      </c>
      <c r="E3360" s="28">
        <f>IFERROR(IF(AND(ISNUMBER(C3360),ISNUMBER(C3359),C3359&lt;&gt;0),C3360/C3359-1,""),"")</f>
        <v/>
      </c>
      <c r="F3360" s="28">
        <f>IFERROR(D3360-Dashboard!$B$4/252,"")</f>
        <v/>
      </c>
      <c r="G3360" s="28">
        <f>IFERROR(E3360-Dashboard!$B$4/252,"")</f>
        <v/>
      </c>
      <c r="H3360" s="8">
        <f>IFERROR(IF(ISNUMBER(B3360),MAX(B3360,IFERROR(H3359,B3360)),""),"")</f>
        <v/>
      </c>
      <c r="I3360" s="29">
        <f>IFERROR(IF(AND(ISNUMBER(B3360),ISNUMBER(H3360)),B3360/H3360-1,""),"")</f>
        <v/>
      </c>
      <c r="J3360" s="8">
        <f>IFERROR(IF(ISNUMBER(C3360),MAX(C3360,IFERROR(J3359,C3360)),""),"")</f>
        <v/>
      </c>
      <c r="K3360" s="29">
        <f>IFERROR(IF(AND(ISNUMBER(C3360),ISNUMBER(J3360)),C3360/J3360-1,""),"")</f>
        <v/>
      </c>
      <c r="L3360" s="28">
        <f>IFERROR(IF(AND(ISNUMBER(D3360),ISNUMBER(E3360)),D3360-E3360,""),"")</f>
        <v/>
      </c>
    </row>
    <row r="3361">
      <c r="A3361" s="7">
        <f>IFERROR(Datos!A3361,"")</f>
        <v/>
      </c>
      <c r="B3361" s="8">
        <f>IFERROR(Datos!B3361,"")</f>
        <v/>
      </c>
      <c r="C3361" s="8">
        <f>IFERROR(Datos!C3361,"")</f>
        <v/>
      </c>
      <c r="D3361" s="28">
        <f>IFERROR(IF(AND(ISNUMBER(B3361),ISNUMBER(B3360),B3360&lt;&gt;0),B3361/B3360-1,""),"")</f>
        <v/>
      </c>
      <c r="E3361" s="28">
        <f>IFERROR(IF(AND(ISNUMBER(C3361),ISNUMBER(C3360),C3360&lt;&gt;0),C3361/C3360-1,""),"")</f>
        <v/>
      </c>
      <c r="F3361" s="28">
        <f>IFERROR(D3361-Dashboard!$B$4/252,"")</f>
        <v/>
      </c>
      <c r="G3361" s="28">
        <f>IFERROR(E3361-Dashboard!$B$4/252,"")</f>
        <v/>
      </c>
      <c r="H3361" s="8">
        <f>IFERROR(IF(ISNUMBER(B3361),MAX(B3361,IFERROR(H3360,B3361)),""),"")</f>
        <v/>
      </c>
      <c r="I3361" s="29">
        <f>IFERROR(IF(AND(ISNUMBER(B3361),ISNUMBER(H3361)),B3361/H3361-1,""),"")</f>
        <v/>
      </c>
      <c r="J3361" s="8">
        <f>IFERROR(IF(ISNUMBER(C3361),MAX(C3361,IFERROR(J3360,C3361)),""),"")</f>
        <v/>
      </c>
      <c r="K3361" s="29">
        <f>IFERROR(IF(AND(ISNUMBER(C3361),ISNUMBER(J3361)),C3361/J3361-1,""),"")</f>
        <v/>
      </c>
      <c r="L3361" s="28">
        <f>IFERROR(IF(AND(ISNUMBER(D3361),ISNUMBER(E3361)),D3361-E3361,""),"")</f>
        <v/>
      </c>
    </row>
    <row r="3362">
      <c r="A3362" s="7">
        <f>IFERROR(Datos!A3362,"")</f>
        <v/>
      </c>
      <c r="B3362" s="8">
        <f>IFERROR(Datos!B3362,"")</f>
        <v/>
      </c>
      <c r="C3362" s="8">
        <f>IFERROR(Datos!C3362,"")</f>
        <v/>
      </c>
      <c r="D3362" s="28">
        <f>IFERROR(IF(AND(ISNUMBER(B3362),ISNUMBER(B3361),B3361&lt;&gt;0),B3362/B3361-1,""),"")</f>
        <v/>
      </c>
      <c r="E3362" s="28">
        <f>IFERROR(IF(AND(ISNUMBER(C3362),ISNUMBER(C3361),C3361&lt;&gt;0),C3362/C3361-1,""),"")</f>
        <v/>
      </c>
      <c r="F3362" s="28">
        <f>IFERROR(D3362-Dashboard!$B$4/252,"")</f>
        <v/>
      </c>
      <c r="G3362" s="28">
        <f>IFERROR(E3362-Dashboard!$B$4/252,"")</f>
        <v/>
      </c>
      <c r="H3362" s="8">
        <f>IFERROR(IF(ISNUMBER(B3362),MAX(B3362,IFERROR(H3361,B3362)),""),"")</f>
        <v/>
      </c>
      <c r="I3362" s="29">
        <f>IFERROR(IF(AND(ISNUMBER(B3362),ISNUMBER(H3362)),B3362/H3362-1,""),"")</f>
        <v/>
      </c>
      <c r="J3362" s="8">
        <f>IFERROR(IF(ISNUMBER(C3362),MAX(C3362,IFERROR(J3361,C3362)),""),"")</f>
        <v/>
      </c>
      <c r="K3362" s="29">
        <f>IFERROR(IF(AND(ISNUMBER(C3362),ISNUMBER(J3362)),C3362/J3362-1,""),"")</f>
        <v/>
      </c>
      <c r="L3362" s="28">
        <f>IFERROR(IF(AND(ISNUMBER(D3362),ISNUMBER(E3362)),D3362-E3362,""),"")</f>
        <v/>
      </c>
    </row>
    <row r="3363">
      <c r="A3363" s="7">
        <f>IFERROR(Datos!A3363,"")</f>
        <v/>
      </c>
      <c r="B3363" s="8">
        <f>IFERROR(Datos!B3363,"")</f>
        <v/>
      </c>
      <c r="C3363" s="8">
        <f>IFERROR(Datos!C3363,"")</f>
        <v/>
      </c>
      <c r="D3363" s="28">
        <f>IFERROR(IF(AND(ISNUMBER(B3363),ISNUMBER(B3362),B3362&lt;&gt;0),B3363/B3362-1,""),"")</f>
        <v/>
      </c>
      <c r="E3363" s="28">
        <f>IFERROR(IF(AND(ISNUMBER(C3363),ISNUMBER(C3362),C3362&lt;&gt;0),C3363/C3362-1,""),"")</f>
        <v/>
      </c>
      <c r="F3363" s="28">
        <f>IFERROR(D3363-Dashboard!$B$4/252,"")</f>
        <v/>
      </c>
      <c r="G3363" s="28">
        <f>IFERROR(E3363-Dashboard!$B$4/252,"")</f>
        <v/>
      </c>
      <c r="H3363" s="8">
        <f>IFERROR(IF(ISNUMBER(B3363),MAX(B3363,IFERROR(H3362,B3363)),""),"")</f>
        <v/>
      </c>
      <c r="I3363" s="29">
        <f>IFERROR(IF(AND(ISNUMBER(B3363),ISNUMBER(H3363)),B3363/H3363-1,""),"")</f>
        <v/>
      </c>
      <c r="J3363" s="8">
        <f>IFERROR(IF(ISNUMBER(C3363),MAX(C3363,IFERROR(J3362,C3363)),""),"")</f>
        <v/>
      </c>
      <c r="K3363" s="29">
        <f>IFERROR(IF(AND(ISNUMBER(C3363),ISNUMBER(J3363)),C3363/J3363-1,""),"")</f>
        <v/>
      </c>
      <c r="L3363" s="28">
        <f>IFERROR(IF(AND(ISNUMBER(D3363),ISNUMBER(E3363)),D3363-E3363,""),"")</f>
        <v/>
      </c>
    </row>
    <row r="3364">
      <c r="A3364" s="7">
        <f>IFERROR(Datos!A3364,"")</f>
        <v/>
      </c>
      <c r="B3364" s="8">
        <f>IFERROR(Datos!B3364,"")</f>
        <v/>
      </c>
      <c r="C3364" s="8">
        <f>IFERROR(Datos!C3364,"")</f>
        <v/>
      </c>
      <c r="D3364" s="28">
        <f>IFERROR(IF(AND(ISNUMBER(B3364),ISNUMBER(B3363),B3363&lt;&gt;0),B3364/B3363-1,""),"")</f>
        <v/>
      </c>
      <c r="E3364" s="28">
        <f>IFERROR(IF(AND(ISNUMBER(C3364),ISNUMBER(C3363),C3363&lt;&gt;0),C3364/C3363-1,""),"")</f>
        <v/>
      </c>
      <c r="F3364" s="28">
        <f>IFERROR(D3364-Dashboard!$B$4/252,"")</f>
        <v/>
      </c>
      <c r="G3364" s="28">
        <f>IFERROR(E3364-Dashboard!$B$4/252,"")</f>
        <v/>
      </c>
      <c r="H3364" s="8">
        <f>IFERROR(IF(ISNUMBER(B3364),MAX(B3364,IFERROR(H3363,B3364)),""),"")</f>
        <v/>
      </c>
      <c r="I3364" s="29">
        <f>IFERROR(IF(AND(ISNUMBER(B3364),ISNUMBER(H3364)),B3364/H3364-1,""),"")</f>
        <v/>
      </c>
      <c r="J3364" s="8">
        <f>IFERROR(IF(ISNUMBER(C3364),MAX(C3364,IFERROR(J3363,C3364)),""),"")</f>
        <v/>
      </c>
      <c r="K3364" s="29">
        <f>IFERROR(IF(AND(ISNUMBER(C3364),ISNUMBER(J3364)),C3364/J3364-1,""),"")</f>
        <v/>
      </c>
      <c r="L3364" s="28">
        <f>IFERROR(IF(AND(ISNUMBER(D3364),ISNUMBER(E3364)),D3364-E3364,""),"")</f>
        <v/>
      </c>
    </row>
    <row r="3365">
      <c r="A3365" s="7">
        <f>IFERROR(Datos!A3365,"")</f>
        <v/>
      </c>
      <c r="B3365" s="8">
        <f>IFERROR(Datos!B3365,"")</f>
        <v/>
      </c>
      <c r="C3365" s="8">
        <f>IFERROR(Datos!C3365,"")</f>
        <v/>
      </c>
      <c r="D3365" s="28">
        <f>IFERROR(IF(AND(ISNUMBER(B3365),ISNUMBER(B3364),B3364&lt;&gt;0),B3365/B3364-1,""),"")</f>
        <v/>
      </c>
      <c r="E3365" s="28">
        <f>IFERROR(IF(AND(ISNUMBER(C3365),ISNUMBER(C3364),C3364&lt;&gt;0),C3365/C3364-1,""),"")</f>
        <v/>
      </c>
      <c r="F3365" s="28">
        <f>IFERROR(D3365-Dashboard!$B$4/252,"")</f>
        <v/>
      </c>
      <c r="G3365" s="28">
        <f>IFERROR(E3365-Dashboard!$B$4/252,"")</f>
        <v/>
      </c>
      <c r="H3365" s="8">
        <f>IFERROR(IF(ISNUMBER(B3365),MAX(B3365,IFERROR(H3364,B3365)),""),"")</f>
        <v/>
      </c>
      <c r="I3365" s="29">
        <f>IFERROR(IF(AND(ISNUMBER(B3365),ISNUMBER(H3365)),B3365/H3365-1,""),"")</f>
        <v/>
      </c>
      <c r="J3365" s="8">
        <f>IFERROR(IF(ISNUMBER(C3365),MAX(C3365,IFERROR(J3364,C3365)),""),"")</f>
        <v/>
      </c>
      <c r="K3365" s="29">
        <f>IFERROR(IF(AND(ISNUMBER(C3365),ISNUMBER(J3365)),C3365/J3365-1,""),"")</f>
        <v/>
      </c>
      <c r="L3365" s="28">
        <f>IFERROR(IF(AND(ISNUMBER(D3365),ISNUMBER(E3365)),D3365-E3365,""),"")</f>
        <v/>
      </c>
    </row>
    <row r="3366">
      <c r="A3366" s="7">
        <f>IFERROR(Datos!A3366,"")</f>
        <v/>
      </c>
      <c r="B3366" s="8">
        <f>IFERROR(Datos!B3366,"")</f>
        <v/>
      </c>
      <c r="C3366" s="8">
        <f>IFERROR(Datos!C3366,"")</f>
        <v/>
      </c>
      <c r="D3366" s="28">
        <f>IFERROR(IF(AND(ISNUMBER(B3366),ISNUMBER(B3365),B3365&lt;&gt;0),B3366/B3365-1,""),"")</f>
        <v/>
      </c>
      <c r="E3366" s="28">
        <f>IFERROR(IF(AND(ISNUMBER(C3366),ISNUMBER(C3365),C3365&lt;&gt;0),C3366/C3365-1,""),"")</f>
        <v/>
      </c>
      <c r="F3366" s="28">
        <f>IFERROR(D3366-Dashboard!$B$4/252,"")</f>
        <v/>
      </c>
      <c r="G3366" s="28">
        <f>IFERROR(E3366-Dashboard!$B$4/252,"")</f>
        <v/>
      </c>
      <c r="H3366" s="8">
        <f>IFERROR(IF(ISNUMBER(B3366),MAX(B3366,IFERROR(H3365,B3366)),""),"")</f>
        <v/>
      </c>
      <c r="I3366" s="29">
        <f>IFERROR(IF(AND(ISNUMBER(B3366),ISNUMBER(H3366)),B3366/H3366-1,""),"")</f>
        <v/>
      </c>
      <c r="J3366" s="8">
        <f>IFERROR(IF(ISNUMBER(C3366),MAX(C3366,IFERROR(J3365,C3366)),""),"")</f>
        <v/>
      </c>
      <c r="K3366" s="29">
        <f>IFERROR(IF(AND(ISNUMBER(C3366),ISNUMBER(J3366)),C3366/J3366-1,""),"")</f>
        <v/>
      </c>
      <c r="L3366" s="28">
        <f>IFERROR(IF(AND(ISNUMBER(D3366),ISNUMBER(E3366)),D3366-E3366,""),"")</f>
        <v/>
      </c>
    </row>
    <row r="3367">
      <c r="A3367" s="7">
        <f>IFERROR(Datos!A3367,"")</f>
        <v/>
      </c>
      <c r="B3367" s="8">
        <f>IFERROR(Datos!B3367,"")</f>
        <v/>
      </c>
      <c r="C3367" s="8">
        <f>IFERROR(Datos!C3367,"")</f>
        <v/>
      </c>
      <c r="D3367" s="28">
        <f>IFERROR(IF(AND(ISNUMBER(B3367),ISNUMBER(B3366),B3366&lt;&gt;0),B3367/B3366-1,""),"")</f>
        <v/>
      </c>
      <c r="E3367" s="28">
        <f>IFERROR(IF(AND(ISNUMBER(C3367),ISNUMBER(C3366),C3366&lt;&gt;0),C3367/C3366-1,""),"")</f>
        <v/>
      </c>
      <c r="F3367" s="28">
        <f>IFERROR(D3367-Dashboard!$B$4/252,"")</f>
        <v/>
      </c>
      <c r="G3367" s="28">
        <f>IFERROR(E3367-Dashboard!$B$4/252,"")</f>
        <v/>
      </c>
      <c r="H3367" s="8">
        <f>IFERROR(IF(ISNUMBER(B3367),MAX(B3367,IFERROR(H3366,B3367)),""),"")</f>
        <v/>
      </c>
      <c r="I3367" s="29">
        <f>IFERROR(IF(AND(ISNUMBER(B3367),ISNUMBER(H3367)),B3367/H3367-1,""),"")</f>
        <v/>
      </c>
      <c r="J3367" s="8">
        <f>IFERROR(IF(ISNUMBER(C3367),MAX(C3367,IFERROR(J3366,C3367)),""),"")</f>
        <v/>
      </c>
      <c r="K3367" s="29">
        <f>IFERROR(IF(AND(ISNUMBER(C3367),ISNUMBER(J3367)),C3367/J3367-1,""),"")</f>
        <v/>
      </c>
      <c r="L3367" s="28">
        <f>IFERROR(IF(AND(ISNUMBER(D3367),ISNUMBER(E3367)),D3367-E3367,""),"")</f>
        <v/>
      </c>
    </row>
    <row r="3368">
      <c r="A3368" s="7">
        <f>IFERROR(Datos!A3368,"")</f>
        <v/>
      </c>
      <c r="B3368" s="8">
        <f>IFERROR(Datos!B3368,"")</f>
        <v/>
      </c>
      <c r="C3368" s="8">
        <f>IFERROR(Datos!C3368,"")</f>
        <v/>
      </c>
      <c r="D3368" s="28">
        <f>IFERROR(IF(AND(ISNUMBER(B3368),ISNUMBER(B3367),B3367&lt;&gt;0),B3368/B3367-1,""),"")</f>
        <v/>
      </c>
      <c r="E3368" s="28">
        <f>IFERROR(IF(AND(ISNUMBER(C3368),ISNUMBER(C3367),C3367&lt;&gt;0),C3368/C3367-1,""),"")</f>
        <v/>
      </c>
      <c r="F3368" s="28">
        <f>IFERROR(D3368-Dashboard!$B$4/252,"")</f>
        <v/>
      </c>
      <c r="G3368" s="28">
        <f>IFERROR(E3368-Dashboard!$B$4/252,"")</f>
        <v/>
      </c>
      <c r="H3368" s="8">
        <f>IFERROR(IF(ISNUMBER(B3368),MAX(B3368,IFERROR(H3367,B3368)),""),"")</f>
        <v/>
      </c>
      <c r="I3368" s="29">
        <f>IFERROR(IF(AND(ISNUMBER(B3368),ISNUMBER(H3368)),B3368/H3368-1,""),"")</f>
        <v/>
      </c>
      <c r="J3368" s="8">
        <f>IFERROR(IF(ISNUMBER(C3368),MAX(C3368,IFERROR(J3367,C3368)),""),"")</f>
        <v/>
      </c>
      <c r="K3368" s="29">
        <f>IFERROR(IF(AND(ISNUMBER(C3368),ISNUMBER(J3368)),C3368/J3368-1,""),"")</f>
        <v/>
      </c>
      <c r="L3368" s="28">
        <f>IFERROR(IF(AND(ISNUMBER(D3368),ISNUMBER(E3368)),D3368-E3368,""),"")</f>
        <v/>
      </c>
    </row>
    <row r="3369">
      <c r="A3369" s="7">
        <f>IFERROR(Datos!A3369,"")</f>
        <v/>
      </c>
      <c r="B3369" s="8">
        <f>IFERROR(Datos!B3369,"")</f>
        <v/>
      </c>
      <c r="C3369" s="8">
        <f>IFERROR(Datos!C3369,"")</f>
        <v/>
      </c>
      <c r="D3369" s="28">
        <f>IFERROR(IF(AND(ISNUMBER(B3369),ISNUMBER(B3368),B3368&lt;&gt;0),B3369/B3368-1,""),"")</f>
        <v/>
      </c>
      <c r="E3369" s="28">
        <f>IFERROR(IF(AND(ISNUMBER(C3369),ISNUMBER(C3368),C3368&lt;&gt;0),C3369/C3368-1,""),"")</f>
        <v/>
      </c>
      <c r="F3369" s="28">
        <f>IFERROR(D3369-Dashboard!$B$4/252,"")</f>
        <v/>
      </c>
      <c r="G3369" s="28">
        <f>IFERROR(E3369-Dashboard!$B$4/252,"")</f>
        <v/>
      </c>
      <c r="H3369" s="8">
        <f>IFERROR(IF(ISNUMBER(B3369),MAX(B3369,IFERROR(H3368,B3369)),""),"")</f>
        <v/>
      </c>
      <c r="I3369" s="29">
        <f>IFERROR(IF(AND(ISNUMBER(B3369),ISNUMBER(H3369)),B3369/H3369-1,""),"")</f>
        <v/>
      </c>
      <c r="J3369" s="8">
        <f>IFERROR(IF(ISNUMBER(C3369),MAX(C3369,IFERROR(J3368,C3369)),""),"")</f>
        <v/>
      </c>
      <c r="K3369" s="29">
        <f>IFERROR(IF(AND(ISNUMBER(C3369),ISNUMBER(J3369)),C3369/J3369-1,""),"")</f>
        <v/>
      </c>
      <c r="L3369" s="28">
        <f>IFERROR(IF(AND(ISNUMBER(D3369),ISNUMBER(E3369)),D3369-E3369,""),"")</f>
        <v/>
      </c>
    </row>
    <row r="3370">
      <c r="A3370" s="7">
        <f>IFERROR(Datos!A3370,"")</f>
        <v/>
      </c>
      <c r="B3370" s="8">
        <f>IFERROR(Datos!B3370,"")</f>
        <v/>
      </c>
      <c r="C3370" s="8">
        <f>IFERROR(Datos!C3370,"")</f>
        <v/>
      </c>
      <c r="D3370" s="28">
        <f>IFERROR(IF(AND(ISNUMBER(B3370),ISNUMBER(B3369),B3369&lt;&gt;0),B3370/B3369-1,""),"")</f>
        <v/>
      </c>
      <c r="E3370" s="28">
        <f>IFERROR(IF(AND(ISNUMBER(C3370),ISNUMBER(C3369),C3369&lt;&gt;0),C3370/C3369-1,""),"")</f>
        <v/>
      </c>
      <c r="F3370" s="28">
        <f>IFERROR(D3370-Dashboard!$B$4/252,"")</f>
        <v/>
      </c>
      <c r="G3370" s="28">
        <f>IFERROR(E3370-Dashboard!$B$4/252,"")</f>
        <v/>
      </c>
      <c r="H3370" s="8">
        <f>IFERROR(IF(ISNUMBER(B3370),MAX(B3370,IFERROR(H3369,B3370)),""),"")</f>
        <v/>
      </c>
      <c r="I3370" s="29">
        <f>IFERROR(IF(AND(ISNUMBER(B3370),ISNUMBER(H3370)),B3370/H3370-1,""),"")</f>
        <v/>
      </c>
      <c r="J3370" s="8">
        <f>IFERROR(IF(ISNUMBER(C3370),MAX(C3370,IFERROR(J3369,C3370)),""),"")</f>
        <v/>
      </c>
      <c r="K3370" s="29">
        <f>IFERROR(IF(AND(ISNUMBER(C3370),ISNUMBER(J3370)),C3370/J3370-1,""),"")</f>
        <v/>
      </c>
      <c r="L3370" s="28">
        <f>IFERROR(IF(AND(ISNUMBER(D3370),ISNUMBER(E3370)),D3370-E3370,""),"")</f>
        <v/>
      </c>
    </row>
    <row r="3371">
      <c r="A3371" s="7">
        <f>IFERROR(Datos!A3371,"")</f>
        <v/>
      </c>
      <c r="B3371" s="8">
        <f>IFERROR(Datos!B3371,"")</f>
        <v/>
      </c>
      <c r="C3371" s="8">
        <f>IFERROR(Datos!C3371,"")</f>
        <v/>
      </c>
      <c r="D3371" s="28">
        <f>IFERROR(IF(AND(ISNUMBER(B3371),ISNUMBER(B3370),B3370&lt;&gt;0),B3371/B3370-1,""),"")</f>
        <v/>
      </c>
      <c r="E3371" s="28">
        <f>IFERROR(IF(AND(ISNUMBER(C3371),ISNUMBER(C3370),C3370&lt;&gt;0),C3371/C3370-1,""),"")</f>
        <v/>
      </c>
      <c r="F3371" s="28">
        <f>IFERROR(D3371-Dashboard!$B$4/252,"")</f>
        <v/>
      </c>
      <c r="G3371" s="28">
        <f>IFERROR(E3371-Dashboard!$B$4/252,"")</f>
        <v/>
      </c>
      <c r="H3371" s="8">
        <f>IFERROR(IF(ISNUMBER(B3371),MAX(B3371,IFERROR(H3370,B3371)),""),"")</f>
        <v/>
      </c>
      <c r="I3371" s="29">
        <f>IFERROR(IF(AND(ISNUMBER(B3371),ISNUMBER(H3371)),B3371/H3371-1,""),"")</f>
        <v/>
      </c>
      <c r="J3371" s="8">
        <f>IFERROR(IF(ISNUMBER(C3371),MAX(C3371,IFERROR(J3370,C3371)),""),"")</f>
        <v/>
      </c>
      <c r="K3371" s="29">
        <f>IFERROR(IF(AND(ISNUMBER(C3371),ISNUMBER(J3371)),C3371/J3371-1,""),"")</f>
        <v/>
      </c>
      <c r="L3371" s="28">
        <f>IFERROR(IF(AND(ISNUMBER(D3371),ISNUMBER(E3371)),D3371-E3371,""),"")</f>
        <v/>
      </c>
    </row>
    <row r="3372">
      <c r="A3372" s="7">
        <f>IFERROR(Datos!A3372,"")</f>
        <v/>
      </c>
      <c r="B3372" s="8">
        <f>IFERROR(Datos!B3372,"")</f>
        <v/>
      </c>
      <c r="C3372" s="8">
        <f>IFERROR(Datos!C3372,"")</f>
        <v/>
      </c>
      <c r="D3372" s="28">
        <f>IFERROR(IF(AND(ISNUMBER(B3372),ISNUMBER(B3371),B3371&lt;&gt;0),B3372/B3371-1,""),"")</f>
        <v/>
      </c>
      <c r="E3372" s="28">
        <f>IFERROR(IF(AND(ISNUMBER(C3372),ISNUMBER(C3371),C3371&lt;&gt;0),C3372/C3371-1,""),"")</f>
        <v/>
      </c>
      <c r="F3372" s="28">
        <f>IFERROR(D3372-Dashboard!$B$4/252,"")</f>
        <v/>
      </c>
      <c r="G3372" s="28">
        <f>IFERROR(E3372-Dashboard!$B$4/252,"")</f>
        <v/>
      </c>
      <c r="H3372" s="8">
        <f>IFERROR(IF(ISNUMBER(B3372),MAX(B3372,IFERROR(H3371,B3372)),""),"")</f>
        <v/>
      </c>
      <c r="I3372" s="29">
        <f>IFERROR(IF(AND(ISNUMBER(B3372),ISNUMBER(H3372)),B3372/H3372-1,""),"")</f>
        <v/>
      </c>
      <c r="J3372" s="8">
        <f>IFERROR(IF(ISNUMBER(C3372),MAX(C3372,IFERROR(J3371,C3372)),""),"")</f>
        <v/>
      </c>
      <c r="K3372" s="29">
        <f>IFERROR(IF(AND(ISNUMBER(C3372),ISNUMBER(J3372)),C3372/J3372-1,""),"")</f>
        <v/>
      </c>
      <c r="L3372" s="28">
        <f>IFERROR(IF(AND(ISNUMBER(D3372),ISNUMBER(E3372)),D3372-E3372,""),"")</f>
        <v/>
      </c>
    </row>
    <row r="3373">
      <c r="A3373" s="7">
        <f>IFERROR(Datos!A3373,"")</f>
        <v/>
      </c>
      <c r="B3373" s="8">
        <f>IFERROR(Datos!B3373,"")</f>
        <v/>
      </c>
      <c r="C3373" s="8">
        <f>IFERROR(Datos!C3373,"")</f>
        <v/>
      </c>
      <c r="D3373" s="28">
        <f>IFERROR(IF(AND(ISNUMBER(B3373),ISNUMBER(B3372),B3372&lt;&gt;0),B3373/B3372-1,""),"")</f>
        <v/>
      </c>
      <c r="E3373" s="28">
        <f>IFERROR(IF(AND(ISNUMBER(C3373),ISNUMBER(C3372),C3372&lt;&gt;0),C3373/C3372-1,""),"")</f>
        <v/>
      </c>
      <c r="F3373" s="28">
        <f>IFERROR(D3373-Dashboard!$B$4/252,"")</f>
        <v/>
      </c>
      <c r="G3373" s="28">
        <f>IFERROR(E3373-Dashboard!$B$4/252,"")</f>
        <v/>
      </c>
      <c r="H3373" s="8">
        <f>IFERROR(IF(ISNUMBER(B3373),MAX(B3373,IFERROR(H3372,B3373)),""),"")</f>
        <v/>
      </c>
      <c r="I3373" s="29">
        <f>IFERROR(IF(AND(ISNUMBER(B3373),ISNUMBER(H3373)),B3373/H3373-1,""),"")</f>
        <v/>
      </c>
      <c r="J3373" s="8">
        <f>IFERROR(IF(ISNUMBER(C3373),MAX(C3373,IFERROR(J3372,C3373)),""),"")</f>
        <v/>
      </c>
      <c r="K3373" s="29">
        <f>IFERROR(IF(AND(ISNUMBER(C3373),ISNUMBER(J3373)),C3373/J3373-1,""),"")</f>
        <v/>
      </c>
      <c r="L3373" s="28">
        <f>IFERROR(IF(AND(ISNUMBER(D3373),ISNUMBER(E3373)),D3373-E3373,""),"")</f>
        <v/>
      </c>
    </row>
    <row r="3374">
      <c r="A3374" s="7">
        <f>IFERROR(Datos!A3374,"")</f>
        <v/>
      </c>
      <c r="B3374" s="8">
        <f>IFERROR(Datos!B3374,"")</f>
        <v/>
      </c>
      <c r="C3374" s="8">
        <f>IFERROR(Datos!C3374,"")</f>
        <v/>
      </c>
      <c r="D3374" s="28">
        <f>IFERROR(IF(AND(ISNUMBER(B3374),ISNUMBER(B3373),B3373&lt;&gt;0),B3374/B3373-1,""),"")</f>
        <v/>
      </c>
      <c r="E3374" s="28">
        <f>IFERROR(IF(AND(ISNUMBER(C3374),ISNUMBER(C3373),C3373&lt;&gt;0),C3374/C3373-1,""),"")</f>
        <v/>
      </c>
      <c r="F3374" s="28">
        <f>IFERROR(D3374-Dashboard!$B$4/252,"")</f>
        <v/>
      </c>
      <c r="G3374" s="28">
        <f>IFERROR(E3374-Dashboard!$B$4/252,"")</f>
        <v/>
      </c>
      <c r="H3374" s="8">
        <f>IFERROR(IF(ISNUMBER(B3374),MAX(B3374,IFERROR(H3373,B3374)),""),"")</f>
        <v/>
      </c>
      <c r="I3374" s="29">
        <f>IFERROR(IF(AND(ISNUMBER(B3374),ISNUMBER(H3374)),B3374/H3374-1,""),"")</f>
        <v/>
      </c>
      <c r="J3374" s="8">
        <f>IFERROR(IF(ISNUMBER(C3374),MAX(C3374,IFERROR(J3373,C3374)),""),"")</f>
        <v/>
      </c>
      <c r="K3374" s="29">
        <f>IFERROR(IF(AND(ISNUMBER(C3374),ISNUMBER(J3374)),C3374/J3374-1,""),"")</f>
        <v/>
      </c>
      <c r="L3374" s="28">
        <f>IFERROR(IF(AND(ISNUMBER(D3374),ISNUMBER(E3374)),D3374-E3374,""),"")</f>
        <v/>
      </c>
    </row>
    <row r="3375">
      <c r="A3375" s="7">
        <f>IFERROR(Datos!A3375,"")</f>
        <v/>
      </c>
      <c r="B3375" s="8">
        <f>IFERROR(Datos!B3375,"")</f>
        <v/>
      </c>
      <c r="C3375" s="8">
        <f>IFERROR(Datos!C3375,"")</f>
        <v/>
      </c>
      <c r="D3375" s="28">
        <f>IFERROR(IF(AND(ISNUMBER(B3375),ISNUMBER(B3374),B3374&lt;&gt;0),B3375/B3374-1,""),"")</f>
        <v/>
      </c>
      <c r="E3375" s="28">
        <f>IFERROR(IF(AND(ISNUMBER(C3375),ISNUMBER(C3374),C3374&lt;&gt;0),C3375/C3374-1,""),"")</f>
        <v/>
      </c>
      <c r="F3375" s="28">
        <f>IFERROR(D3375-Dashboard!$B$4/252,"")</f>
        <v/>
      </c>
      <c r="G3375" s="28">
        <f>IFERROR(E3375-Dashboard!$B$4/252,"")</f>
        <v/>
      </c>
      <c r="H3375" s="8">
        <f>IFERROR(IF(ISNUMBER(B3375),MAX(B3375,IFERROR(H3374,B3375)),""),"")</f>
        <v/>
      </c>
      <c r="I3375" s="29">
        <f>IFERROR(IF(AND(ISNUMBER(B3375),ISNUMBER(H3375)),B3375/H3375-1,""),"")</f>
        <v/>
      </c>
      <c r="J3375" s="8">
        <f>IFERROR(IF(ISNUMBER(C3375),MAX(C3375,IFERROR(J3374,C3375)),""),"")</f>
        <v/>
      </c>
      <c r="K3375" s="29">
        <f>IFERROR(IF(AND(ISNUMBER(C3375),ISNUMBER(J3375)),C3375/J3375-1,""),"")</f>
        <v/>
      </c>
      <c r="L3375" s="28">
        <f>IFERROR(IF(AND(ISNUMBER(D3375),ISNUMBER(E3375)),D3375-E3375,""),"")</f>
        <v/>
      </c>
    </row>
    <row r="3376">
      <c r="A3376" s="7">
        <f>IFERROR(Datos!A3376,"")</f>
        <v/>
      </c>
      <c r="B3376" s="8">
        <f>IFERROR(Datos!B3376,"")</f>
        <v/>
      </c>
      <c r="C3376" s="8">
        <f>IFERROR(Datos!C3376,"")</f>
        <v/>
      </c>
      <c r="D3376" s="28">
        <f>IFERROR(IF(AND(ISNUMBER(B3376),ISNUMBER(B3375),B3375&lt;&gt;0),B3376/B3375-1,""),"")</f>
        <v/>
      </c>
      <c r="E3376" s="28">
        <f>IFERROR(IF(AND(ISNUMBER(C3376),ISNUMBER(C3375),C3375&lt;&gt;0),C3376/C3375-1,""),"")</f>
        <v/>
      </c>
      <c r="F3376" s="28">
        <f>IFERROR(D3376-Dashboard!$B$4/252,"")</f>
        <v/>
      </c>
      <c r="G3376" s="28">
        <f>IFERROR(E3376-Dashboard!$B$4/252,"")</f>
        <v/>
      </c>
      <c r="H3376" s="8">
        <f>IFERROR(IF(ISNUMBER(B3376),MAX(B3376,IFERROR(H3375,B3376)),""),"")</f>
        <v/>
      </c>
      <c r="I3376" s="29">
        <f>IFERROR(IF(AND(ISNUMBER(B3376),ISNUMBER(H3376)),B3376/H3376-1,""),"")</f>
        <v/>
      </c>
      <c r="J3376" s="8">
        <f>IFERROR(IF(ISNUMBER(C3376),MAX(C3376,IFERROR(J3375,C3376)),""),"")</f>
        <v/>
      </c>
      <c r="K3376" s="29">
        <f>IFERROR(IF(AND(ISNUMBER(C3376),ISNUMBER(J3376)),C3376/J3376-1,""),"")</f>
        <v/>
      </c>
      <c r="L3376" s="28">
        <f>IFERROR(IF(AND(ISNUMBER(D3376),ISNUMBER(E3376)),D3376-E3376,""),"")</f>
        <v/>
      </c>
    </row>
    <row r="3377">
      <c r="A3377" s="7">
        <f>IFERROR(Datos!A3377,"")</f>
        <v/>
      </c>
      <c r="B3377" s="8">
        <f>IFERROR(Datos!B3377,"")</f>
        <v/>
      </c>
      <c r="C3377" s="8">
        <f>IFERROR(Datos!C3377,"")</f>
        <v/>
      </c>
      <c r="D3377" s="28">
        <f>IFERROR(IF(AND(ISNUMBER(B3377),ISNUMBER(B3376),B3376&lt;&gt;0),B3377/B3376-1,""),"")</f>
        <v/>
      </c>
      <c r="E3377" s="28">
        <f>IFERROR(IF(AND(ISNUMBER(C3377),ISNUMBER(C3376),C3376&lt;&gt;0),C3377/C3376-1,""),"")</f>
        <v/>
      </c>
      <c r="F3377" s="28">
        <f>IFERROR(D3377-Dashboard!$B$4/252,"")</f>
        <v/>
      </c>
      <c r="G3377" s="28">
        <f>IFERROR(E3377-Dashboard!$B$4/252,"")</f>
        <v/>
      </c>
      <c r="H3377" s="8">
        <f>IFERROR(IF(ISNUMBER(B3377),MAX(B3377,IFERROR(H3376,B3377)),""),"")</f>
        <v/>
      </c>
      <c r="I3377" s="29">
        <f>IFERROR(IF(AND(ISNUMBER(B3377),ISNUMBER(H3377)),B3377/H3377-1,""),"")</f>
        <v/>
      </c>
      <c r="J3377" s="8">
        <f>IFERROR(IF(ISNUMBER(C3377),MAX(C3377,IFERROR(J3376,C3377)),""),"")</f>
        <v/>
      </c>
      <c r="K3377" s="29">
        <f>IFERROR(IF(AND(ISNUMBER(C3377),ISNUMBER(J3377)),C3377/J3377-1,""),"")</f>
        <v/>
      </c>
      <c r="L3377" s="28">
        <f>IFERROR(IF(AND(ISNUMBER(D3377),ISNUMBER(E3377)),D3377-E3377,""),"")</f>
        <v/>
      </c>
    </row>
    <row r="3378">
      <c r="A3378" s="7">
        <f>IFERROR(Datos!A3378,"")</f>
        <v/>
      </c>
      <c r="B3378" s="8">
        <f>IFERROR(Datos!B3378,"")</f>
        <v/>
      </c>
      <c r="C3378" s="8">
        <f>IFERROR(Datos!C3378,"")</f>
        <v/>
      </c>
      <c r="D3378" s="28">
        <f>IFERROR(IF(AND(ISNUMBER(B3378),ISNUMBER(B3377),B3377&lt;&gt;0),B3378/B3377-1,""),"")</f>
        <v/>
      </c>
      <c r="E3378" s="28">
        <f>IFERROR(IF(AND(ISNUMBER(C3378),ISNUMBER(C3377),C3377&lt;&gt;0),C3378/C3377-1,""),"")</f>
        <v/>
      </c>
      <c r="F3378" s="28">
        <f>IFERROR(D3378-Dashboard!$B$4/252,"")</f>
        <v/>
      </c>
      <c r="G3378" s="28">
        <f>IFERROR(E3378-Dashboard!$B$4/252,"")</f>
        <v/>
      </c>
      <c r="H3378" s="8">
        <f>IFERROR(IF(ISNUMBER(B3378),MAX(B3378,IFERROR(H3377,B3378)),""),"")</f>
        <v/>
      </c>
      <c r="I3378" s="29">
        <f>IFERROR(IF(AND(ISNUMBER(B3378),ISNUMBER(H3378)),B3378/H3378-1,""),"")</f>
        <v/>
      </c>
      <c r="J3378" s="8">
        <f>IFERROR(IF(ISNUMBER(C3378),MAX(C3378,IFERROR(J3377,C3378)),""),"")</f>
        <v/>
      </c>
      <c r="K3378" s="29">
        <f>IFERROR(IF(AND(ISNUMBER(C3378),ISNUMBER(J3378)),C3378/J3378-1,""),"")</f>
        <v/>
      </c>
      <c r="L3378" s="28">
        <f>IFERROR(IF(AND(ISNUMBER(D3378),ISNUMBER(E3378)),D3378-E3378,""),"")</f>
        <v/>
      </c>
    </row>
    <row r="3379">
      <c r="A3379" s="7">
        <f>IFERROR(Datos!A3379,"")</f>
        <v/>
      </c>
      <c r="B3379" s="8">
        <f>IFERROR(Datos!B3379,"")</f>
        <v/>
      </c>
      <c r="C3379" s="8">
        <f>IFERROR(Datos!C3379,"")</f>
        <v/>
      </c>
      <c r="D3379" s="28">
        <f>IFERROR(IF(AND(ISNUMBER(B3379),ISNUMBER(B3378),B3378&lt;&gt;0),B3379/B3378-1,""),"")</f>
        <v/>
      </c>
      <c r="E3379" s="28">
        <f>IFERROR(IF(AND(ISNUMBER(C3379),ISNUMBER(C3378),C3378&lt;&gt;0),C3379/C3378-1,""),"")</f>
        <v/>
      </c>
      <c r="F3379" s="28">
        <f>IFERROR(D3379-Dashboard!$B$4/252,"")</f>
        <v/>
      </c>
      <c r="G3379" s="28">
        <f>IFERROR(E3379-Dashboard!$B$4/252,"")</f>
        <v/>
      </c>
      <c r="H3379" s="8">
        <f>IFERROR(IF(ISNUMBER(B3379),MAX(B3379,IFERROR(H3378,B3379)),""),"")</f>
        <v/>
      </c>
      <c r="I3379" s="29">
        <f>IFERROR(IF(AND(ISNUMBER(B3379),ISNUMBER(H3379)),B3379/H3379-1,""),"")</f>
        <v/>
      </c>
      <c r="J3379" s="8">
        <f>IFERROR(IF(ISNUMBER(C3379),MAX(C3379,IFERROR(J3378,C3379)),""),"")</f>
        <v/>
      </c>
      <c r="K3379" s="29">
        <f>IFERROR(IF(AND(ISNUMBER(C3379),ISNUMBER(J3379)),C3379/J3379-1,""),"")</f>
        <v/>
      </c>
      <c r="L3379" s="28">
        <f>IFERROR(IF(AND(ISNUMBER(D3379),ISNUMBER(E3379)),D3379-E3379,""),"")</f>
        <v/>
      </c>
    </row>
    <row r="3380">
      <c r="A3380" s="7">
        <f>IFERROR(Datos!A3380,"")</f>
        <v/>
      </c>
      <c r="B3380" s="8">
        <f>IFERROR(Datos!B3380,"")</f>
        <v/>
      </c>
      <c r="C3380" s="8">
        <f>IFERROR(Datos!C3380,"")</f>
        <v/>
      </c>
      <c r="D3380" s="28">
        <f>IFERROR(IF(AND(ISNUMBER(B3380),ISNUMBER(B3379),B3379&lt;&gt;0),B3380/B3379-1,""),"")</f>
        <v/>
      </c>
      <c r="E3380" s="28">
        <f>IFERROR(IF(AND(ISNUMBER(C3380),ISNUMBER(C3379),C3379&lt;&gt;0),C3380/C3379-1,""),"")</f>
        <v/>
      </c>
      <c r="F3380" s="28">
        <f>IFERROR(D3380-Dashboard!$B$4/252,"")</f>
        <v/>
      </c>
      <c r="G3380" s="28">
        <f>IFERROR(E3380-Dashboard!$B$4/252,"")</f>
        <v/>
      </c>
      <c r="H3380" s="8">
        <f>IFERROR(IF(ISNUMBER(B3380),MAX(B3380,IFERROR(H3379,B3380)),""),"")</f>
        <v/>
      </c>
      <c r="I3380" s="29">
        <f>IFERROR(IF(AND(ISNUMBER(B3380),ISNUMBER(H3380)),B3380/H3380-1,""),"")</f>
        <v/>
      </c>
      <c r="J3380" s="8">
        <f>IFERROR(IF(ISNUMBER(C3380),MAX(C3380,IFERROR(J3379,C3380)),""),"")</f>
        <v/>
      </c>
      <c r="K3380" s="29">
        <f>IFERROR(IF(AND(ISNUMBER(C3380),ISNUMBER(J3380)),C3380/J3380-1,""),"")</f>
        <v/>
      </c>
      <c r="L3380" s="28">
        <f>IFERROR(IF(AND(ISNUMBER(D3380),ISNUMBER(E3380)),D3380-E3380,""),"")</f>
        <v/>
      </c>
    </row>
    <row r="3381">
      <c r="A3381" s="7">
        <f>IFERROR(Datos!A3381,"")</f>
        <v/>
      </c>
      <c r="B3381" s="8">
        <f>IFERROR(Datos!B3381,"")</f>
        <v/>
      </c>
      <c r="C3381" s="8">
        <f>IFERROR(Datos!C3381,"")</f>
        <v/>
      </c>
      <c r="D3381" s="28">
        <f>IFERROR(IF(AND(ISNUMBER(B3381),ISNUMBER(B3380),B3380&lt;&gt;0),B3381/B3380-1,""),"")</f>
        <v/>
      </c>
      <c r="E3381" s="28">
        <f>IFERROR(IF(AND(ISNUMBER(C3381),ISNUMBER(C3380),C3380&lt;&gt;0),C3381/C3380-1,""),"")</f>
        <v/>
      </c>
      <c r="F3381" s="28">
        <f>IFERROR(D3381-Dashboard!$B$4/252,"")</f>
        <v/>
      </c>
      <c r="G3381" s="28">
        <f>IFERROR(E3381-Dashboard!$B$4/252,"")</f>
        <v/>
      </c>
      <c r="H3381" s="8">
        <f>IFERROR(IF(ISNUMBER(B3381),MAX(B3381,IFERROR(H3380,B3381)),""),"")</f>
        <v/>
      </c>
      <c r="I3381" s="29">
        <f>IFERROR(IF(AND(ISNUMBER(B3381),ISNUMBER(H3381)),B3381/H3381-1,""),"")</f>
        <v/>
      </c>
      <c r="J3381" s="8">
        <f>IFERROR(IF(ISNUMBER(C3381),MAX(C3381,IFERROR(J3380,C3381)),""),"")</f>
        <v/>
      </c>
      <c r="K3381" s="29">
        <f>IFERROR(IF(AND(ISNUMBER(C3381),ISNUMBER(J3381)),C3381/J3381-1,""),"")</f>
        <v/>
      </c>
      <c r="L3381" s="28">
        <f>IFERROR(IF(AND(ISNUMBER(D3381),ISNUMBER(E3381)),D3381-E3381,""),"")</f>
        <v/>
      </c>
    </row>
    <row r="3382">
      <c r="A3382" s="7">
        <f>IFERROR(Datos!A3382,"")</f>
        <v/>
      </c>
      <c r="B3382" s="8">
        <f>IFERROR(Datos!B3382,"")</f>
        <v/>
      </c>
      <c r="C3382" s="8">
        <f>IFERROR(Datos!C3382,"")</f>
        <v/>
      </c>
      <c r="D3382" s="28">
        <f>IFERROR(IF(AND(ISNUMBER(B3382),ISNUMBER(B3381),B3381&lt;&gt;0),B3382/B3381-1,""),"")</f>
        <v/>
      </c>
      <c r="E3382" s="28">
        <f>IFERROR(IF(AND(ISNUMBER(C3382),ISNUMBER(C3381),C3381&lt;&gt;0),C3382/C3381-1,""),"")</f>
        <v/>
      </c>
      <c r="F3382" s="28">
        <f>IFERROR(D3382-Dashboard!$B$4/252,"")</f>
        <v/>
      </c>
      <c r="G3382" s="28">
        <f>IFERROR(E3382-Dashboard!$B$4/252,"")</f>
        <v/>
      </c>
      <c r="H3382" s="8">
        <f>IFERROR(IF(ISNUMBER(B3382),MAX(B3382,IFERROR(H3381,B3382)),""),"")</f>
        <v/>
      </c>
      <c r="I3382" s="29">
        <f>IFERROR(IF(AND(ISNUMBER(B3382),ISNUMBER(H3382)),B3382/H3382-1,""),"")</f>
        <v/>
      </c>
      <c r="J3382" s="8">
        <f>IFERROR(IF(ISNUMBER(C3382),MAX(C3382,IFERROR(J3381,C3382)),""),"")</f>
        <v/>
      </c>
      <c r="K3382" s="29">
        <f>IFERROR(IF(AND(ISNUMBER(C3382),ISNUMBER(J3382)),C3382/J3382-1,""),"")</f>
        <v/>
      </c>
      <c r="L3382" s="28">
        <f>IFERROR(IF(AND(ISNUMBER(D3382),ISNUMBER(E3382)),D3382-E3382,""),"")</f>
        <v/>
      </c>
    </row>
    <row r="3383">
      <c r="A3383" s="7">
        <f>IFERROR(Datos!A3383,"")</f>
        <v/>
      </c>
      <c r="B3383" s="8">
        <f>IFERROR(Datos!B3383,"")</f>
        <v/>
      </c>
      <c r="C3383" s="8">
        <f>IFERROR(Datos!C3383,"")</f>
        <v/>
      </c>
      <c r="D3383" s="28">
        <f>IFERROR(IF(AND(ISNUMBER(B3383),ISNUMBER(B3382),B3382&lt;&gt;0),B3383/B3382-1,""),"")</f>
        <v/>
      </c>
      <c r="E3383" s="28">
        <f>IFERROR(IF(AND(ISNUMBER(C3383),ISNUMBER(C3382),C3382&lt;&gt;0),C3383/C3382-1,""),"")</f>
        <v/>
      </c>
      <c r="F3383" s="28">
        <f>IFERROR(D3383-Dashboard!$B$4/252,"")</f>
        <v/>
      </c>
      <c r="G3383" s="28">
        <f>IFERROR(E3383-Dashboard!$B$4/252,"")</f>
        <v/>
      </c>
      <c r="H3383" s="8">
        <f>IFERROR(IF(ISNUMBER(B3383),MAX(B3383,IFERROR(H3382,B3383)),""),"")</f>
        <v/>
      </c>
      <c r="I3383" s="29">
        <f>IFERROR(IF(AND(ISNUMBER(B3383),ISNUMBER(H3383)),B3383/H3383-1,""),"")</f>
        <v/>
      </c>
      <c r="J3383" s="8">
        <f>IFERROR(IF(ISNUMBER(C3383),MAX(C3383,IFERROR(J3382,C3383)),""),"")</f>
        <v/>
      </c>
      <c r="K3383" s="29">
        <f>IFERROR(IF(AND(ISNUMBER(C3383),ISNUMBER(J3383)),C3383/J3383-1,""),"")</f>
        <v/>
      </c>
      <c r="L3383" s="28">
        <f>IFERROR(IF(AND(ISNUMBER(D3383),ISNUMBER(E3383)),D3383-E3383,""),"")</f>
        <v/>
      </c>
    </row>
    <row r="3384">
      <c r="A3384" s="7">
        <f>IFERROR(Datos!A3384,"")</f>
        <v/>
      </c>
      <c r="B3384" s="8">
        <f>IFERROR(Datos!B3384,"")</f>
        <v/>
      </c>
      <c r="C3384" s="8">
        <f>IFERROR(Datos!C3384,"")</f>
        <v/>
      </c>
      <c r="D3384" s="28">
        <f>IFERROR(IF(AND(ISNUMBER(B3384),ISNUMBER(B3383),B3383&lt;&gt;0),B3384/B3383-1,""),"")</f>
        <v/>
      </c>
      <c r="E3384" s="28">
        <f>IFERROR(IF(AND(ISNUMBER(C3384),ISNUMBER(C3383),C3383&lt;&gt;0),C3384/C3383-1,""),"")</f>
        <v/>
      </c>
      <c r="F3384" s="28">
        <f>IFERROR(D3384-Dashboard!$B$4/252,"")</f>
        <v/>
      </c>
      <c r="G3384" s="28">
        <f>IFERROR(E3384-Dashboard!$B$4/252,"")</f>
        <v/>
      </c>
      <c r="H3384" s="8">
        <f>IFERROR(IF(ISNUMBER(B3384),MAX(B3384,IFERROR(H3383,B3384)),""),"")</f>
        <v/>
      </c>
      <c r="I3384" s="29">
        <f>IFERROR(IF(AND(ISNUMBER(B3384),ISNUMBER(H3384)),B3384/H3384-1,""),"")</f>
        <v/>
      </c>
      <c r="J3384" s="8">
        <f>IFERROR(IF(ISNUMBER(C3384),MAX(C3384,IFERROR(J3383,C3384)),""),"")</f>
        <v/>
      </c>
      <c r="K3384" s="29">
        <f>IFERROR(IF(AND(ISNUMBER(C3384),ISNUMBER(J3384)),C3384/J3384-1,""),"")</f>
        <v/>
      </c>
      <c r="L3384" s="28">
        <f>IFERROR(IF(AND(ISNUMBER(D3384),ISNUMBER(E3384)),D3384-E3384,""),"")</f>
        <v/>
      </c>
    </row>
    <row r="3385">
      <c r="A3385" s="7">
        <f>IFERROR(Datos!A3385,"")</f>
        <v/>
      </c>
      <c r="B3385" s="8">
        <f>IFERROR(Datos!B3385,"")</f>
        <v/>
      </c>
      <c r="C3385" s="8">
        <f>IFERROR(Datos!C3385,"")</f>
        <v/>
      </c>
      <c r="D3385" s="28">
        <f>IFERROR(IF(AND(ISNUMBER(B3385),ISNUMBER(B3384),B3384&lt;&gt;0),B3385/B3384-1,""),"")</f>
        <v/>
      </c>
      <c r="E3385" s="28">
        <f>IFERROR(IF(AND(ISNUMBER(C3385),ISNUMBER(C3384),C3384&lt;&gt;0),C3385/C3384-1,""),"")</f>
        <v/>
      </c>
      <c r="F3385" s="28">
        <f>IFERROR(D3385-Dashboard!$B$4/252,"")</f>
        <v/>
      </c>
      <c r="G3385" s="28">
        <f>IFERROR(E3385-Dashboard!$B$4/252,"")</f>
        <v/>
      </c>
      <c r="H3385" s="8">
        <f>IFERROR(IF(ISNUMBER(B3385),MAX(B3385,IFERROR(H3384,B3385)),""),"")</f>
        <v/>
      </c>
      <c r="I3385" s="29">
        <f>IFERROR(IF(AND(ISNUMBER(B3385),ISNUMBER(H3385)),B3385/H3385-1,""),"")</f>
        <v/>
      </c>
      <c r="J3385" s="8">
        <f>IFERROR(IF(ISNUMBER(C3385),MAX(C3385,IFERROR(J3384,C3385)),""),"")</f>
        <v/>
      </c>
      <c r="K3385" s="29">
        <f>IFERROR(IF(AND(ISNUMBER(C3385),ISNUMBER(J3385)),C3385/J3385-1,""),"")</f>
        <v/>
      </c>
      <c r="L3385" s="28">
        <f>IFERROR(IF(AND(ISNUMBER(D3385),ISNUMBER(E3385)),D3385-E3385,""),"")</f>
        <v/>
      </c>
    </row>
    <row r="3386">
      <c r="A3386" s="7">
        <f>IFERROR(Datos!A3386,"")</f>
        <v/>
      </c>
      <c r="B3386" s="8">
        <f>IFERROR(Datos!B3386,"")</f>
        <v/>
      </c>
      <c r="C3386" s="8">
        <f>IFERROR(Datos!C3386,"")</f>
        <v/>
      </c>
      <c r="D3386" s="28">
        <f>IFERROR(IF(AND(ISNUMBER(B3386),ISNUMBER(B3385),B3385&lt;&gt;0),B3386/B3385-1,""),"")</f>
        <v/>
      </c>
      <c r="E3386" s="28">
        <f>IFERROR(IF(AND(ISNUMBER(C3386),ISNUMBER(C3385),C3385&lt;&gt;0),C3386/C3385-1,""),"")</f>
        <v/>
      </c>
      <c r="F3386" s="28">
        <f>IFERROR(D3386-Dashboard!$B$4/252,"")</f>
        <v/>
      </c>
      <c r="G3386" s="28">
        <f>IFERROR(E3386-Dashboard!$B$4/252,"")</f>
        <v/>
      </c>
      <c r="H3386" s="8">
        <f>IFERROR(IF(ISNUMBER(B3386),MAX(B3386,IFERROR(H3385,B3386)),""),"")</f>
        <v/>
      </c>
      <c r="I3386" s="29">
        <f>IFERROR(IF(AND(ISNUMBER(B3386),ISNUMBER(H3386)),B3386/H3386-1,""),"")</f>
        <v/>
      </c>
      <c r="J3386" s="8">
        <f>IFERROR(IF(ISNUMBER(C3386),MAX(C3386,IFERROR(J3385,C3386)),""),"")</f>
        <v/>
      </c>
      <c r="K3386" s="29">
        <f>IFERROR(IF(AND(ISNUMBER(C3386),ISNUMBER(J3386)),C3386/J3386-1,""),"")</f>
        <v/>
      </c>
      <c r="L3386" s="28">
        <f>IFERROR(IF(AND(ISNUMBER(D3386),ISNUMBER(E3386)),D3386-E3386,""),"")</f>
        <v/>
      </c>
    </row>
    <row r="3387">
      <c r="A3387" s="7">
        <f>IFERROR(Datos!A3387,"")</f>
        <v/>
      </c>
      <c r="B3387" s="8">
        <f>IFERROR(Datos!B3387,"")</f>
        <v/>
      </c>
      <c r="C3387" s="8">
        <f>IFERROR(Datos!C3387,"")</f>
        <v/>
      </c>
      <c r="D3387" s="28">
        <f>IFERROR(IF(AND(ISNUMBER(B3387),ISNUMBER(B3386),B3386&lt;&gt;0),B3387/B3386-1,""),"")</f>
        <v/>
      </c>
      <c r="E3387" s="28">
        <f>IFERROR(IF(AND(ISNUMBER(C3387),ISNUMBER(C3386),C3386&lt;&gt;0),C3387/C3386-1,""),"")</f>
        <v/>
      </c>
      <c r="F3387" s="28">
        <f>IFERROR(D3387-Dashboard!$B$4/252,"")</f>
        <v/>
      </c>
      <c r="G3387" s="28">
        <f>IFERROR(E3387-Dashboard!$B$4/252,"")</f>
        <v/>
      </c>
      <c r="H3387" s="8">
        <f>IFERROR(IF(ISNUMBER(B3387),MAX(B3387,IFERROR(H3386,B3387)),""),"")</f>
        <v/>
      </c>
      <c r="I3387" s="29">
        <f>IFERROR(IF(AND(ISNUMBER(B3387),ISNUMBER(H3387)),B3387/H3387-1,""),"")</f>
        <v/>
      </c>
      <c r="J3387" s="8">
        <f>IFERROR(IF(ISNUMBER(C3387),MAX(C3387,IFERROR(J3386,C3387)),""),"")</f>
        <v/>
      </c>
      <c r="K3387" s="29">
        <f>IFERROR(IF(AND(ISNUMBER(C3387),ISNUMBER(J3387)),C3387/J3387-1,""),"")</f>
        <v/>
      </c>
      <c r="L3387" s="28">
        <f>IFERROR(IF(AND(ISNUMBER(D3387),ISNUMBER(E3387)),D3387-E3387,""),"")</f>
        <v/>
      </c>
    </row>
    <row r="3388">
      <c r="A3388" s="7">
        <f>IFERROR(Datos!A3388,"")</f>
        <v/>
      </c>
      <c r="B3388" s="8">
        <f>IFERROR(Datos!B3388,"")</f>
        <v/>
      </c>
      <c r="C3388" s="8">
        <f>IFERROR(Datos!C3388,"")</f>
        <v/>
      </c>
      <c r="D3388" s="28">
        <f>IFERROR(IF(AND(ISNUMBER(B3388),ISNUMBER(B3387),B3387&lt;&gt;0),B3388/B3387-1,""),"")</f>
        <v/>
      </c>
      <c r="E3388" s="28">
        <f>IFERROR(IF(AND(ISNUMBER(C3388),ISNUMBER(C3387),C3387&lt;&gt;0),C3388/C3387-1,""),"")</f>
        <v/>
      </c>
      <c r="F3388" s="28">
        <f>IFERROR(D3388-Dashboard!$B$4/252,"")</f>
        <v/>
      </c>
      <c r="G3388" s="28">
        <f>IFERROR(E3388-Dashboard!$B$4/252,"")</f>
        <v/>
      </c>
      <c r="H3388" s="8">
        <f>IFERROR(IF(ISNUMBER(B3388),MAX(B3388,IFERROR(H3387,B3388)),""),"")</f>
        <v/>
      </c>
      <c r="I3388" s="29">
        <f>IFERROR(IF(AND(ISNUMBER(B3388),ISNUMBER(H3388)),B3388/H3388-1,""),"")</f>
        <v/>
      </c>
      <c r="J3388" s="8">
        <f>IFERROR(IF(ISNUMBER(C3388),MAX(C3388,IFERROR(J3387,C3388)),""),"")</f>
        <v/>
      </c>
      <c r="K3388" s="29">
        <f>IFERROR(IF(AND(ISNUMBER(C3388),ISNUMBER(J3388)),C3388/J3388-1,""),"")</f>
        <v/>
      </c>
      <c r="L3388" s="28">
        <f>IFERROR(IF(AND(ISNUMBER(D3388),ISNUMBER(E3388)),D3388-E3388,""),"")</f>
        <v/>
      </c>
    </row>
    <row r="3389">
      <c r="A3389" s="7">
        <f>IFERROR(Datos!A3389,"")</f>
        <v/>
      </c>
      <c r="B3389" s="8">
        <f>IFERROR(Datos!B3389,"")</f>
        <v/>
      </c>
      <c r="C3389" s="8">
        <f>IFERROR(Datos!C3389,"")</f>
        <v/>
      </c>
      <c r="D3389" s="28">
        <f>IFERROR(IF(AND(ISNUMBER(B3389),ISNUMBER(B3388),B3388&lt;&gt;0),B3389/B3388-1,""),"")</f>
        <v/>
      </c>
      <c r="E3389" s="28">
        <f>IFERROR(IF(AND(ISNUMBER(C3389),ISNUMBER(C3388),C3388&lt;&gt;0),C3389/C3388-1,""),"")</f>
        <v/>
      </c>
      <c r="F3389" s="28">
        <f>IFERROR(D3389-Dashboard!$B$4/252,"")</f>
        <v/>
      </c>
      <c r="G3389" s="28">
        <f>IFERROR(E3389-Dashboard!$B$4/252,"")</f>
        <v/>
      </c>
      <c r="H3389" s="8">
        <f>IFERROR(IF(ISNUMBER(B3389),MAX(B3389,IFERROR(H3388,B3389)),""),"")</f>
        <v/>
      </c>
      <c r="I3389" s="29">
        <f>IFERROR(IF(AND(ISNUMBER(B3389),ISNUMBER(H3389)),B3389/H3389-1,""),"")</f>
        <v/>
      </c>
      <c r="J3389" s="8">
        <f>IFERROR(IF(ISNUMBER(C3389),MAX(C3389,IFERROR(J3388,C3389)),""),"")</f>
        <v/>
      </c>
      <c r="K3389" s="29">
        <f>IFERROR(IF(AND(ISNUMBER(C3389),ISNUMBER(J3389)),C3389/J3389-1,""),"")</f>
        <v/>
      </c>
      <c r="L3389" s="28">
        <f>IFERROR(IF(AND(ISNUMBER(D3389),ISNUMBER(E3389)),D3389-E3389,""),"")</f>
        <v/>
      </c>
    </row>
    <row r="3390">
      <c r="A3390" s="7">
        <f>IFERROR(Datos!A3390,"")</f>
        <v/>
      </c>
      <c r="B3390" s="8">
        <f>IFERROR(Datos!B3390,"")</f>
        <v/>
      </c>
      <c r="C3390" s="8">
        <f>IFERROR(Datos!C3390,"")</f>
        <v/>
      </c>
      <c r="D3390" s="28">
        <f>IFERROR(IF(AND(ISNUMBER(B3390),ISNUMBER(B3389),B3389&lt;&gt;0),B3390/B3389-1,""),"")</f>
        <v/>
      </c>
      <c r="E3390" s="28">
        <f>IFERROR(IF(AND(ISNUMBER(C3390),ISNUMBER(C3389),C3389&lt;&gt;0),C3390/C3389-1,""),"")</f>
        <v/>
      </c>
      <c r="F3390" s="28">
        <f>IFERROR(D3390-Dashboard!$B$4/252,"")</f>
        <v/>
      </c>
      <c r="G3390" s="28">
        <f>IFERROR(E3390-Dashboard!$B$4/252,"")</f>
        <v/>
      </c>
      <c r="H3390" s="8">
        <f>IFERROR(IF(ISNUMBER(B3390),MAX(B3390,IFERROR(H3389,B3390)),""),"")</f>
        <v/>
      </c>
      <c r="I3390" s="29">
        <f>IFERROR(IF(AND(ISNUMBER(B3390),ISNUMBER(H3390)),B3390/H3390-1,""),"")</f>
        <v/>
      </c>
      <c r="J3390" s="8">
        <f>IFERROR(IF(ISNUMBER(C3390),MAX(C3390,IFERROR(J3389,C3390)),""),"")</f>
        <v/>
      </c>
      <c r="K3390" s="29">
        <f>IFERROR(IF(AND(ISNUMBER(C3390),ISNUMBER(J3390)),C3390/J3390-1,""),"")</f>
        <v/>
      </c>
      <c r="L3390" s="28">
        <f>IFERROR(IF(AND(ISNUMBER(D3390),ISNUMBER(E3390)),D3390-E3390,""),"")</f>
        <v/>
      </c>
    </row>
    <row r="3391">
      <c r="A3391" s="7">
        <f>IFERROR(Datos!A3391,"")</f>
        <v/>
      </c>
      <c r="B3391" s="8">
        <f>IFERROR(Datos!B3391,"")</f>
        <v/>
      </c>
      <c r="C3391" s="8">
        <f>IFERROR(Datos!C3391,"")</f>
        <v/>
      </c>
      <c r="D3391" s="28">
        <f>IFERROR(IF(AND(ISNUMBER(B3391),ISNUMBER(B3390),B3390&lt;&gt;0),B3391/B3390-1,""),"")</f>
        <v/>
      </c>
      <c r="E3391" s="28">
        <f>IFERROR(IF(AND(ISNUMBER(C3391),ISNUMBER(C3390),C3390&lt;&gt;0),C3391/C3390-1,""),"")</f>
        <v/>
      </c>
      <c r="F3391" s="28">
        <f>IFERROR(D3391-Dashboard!$B$4/252,"")</f>
        <v/>
      </c>
      <c r="G3391" s="28">
        <f>IFERROR(E3391-Dashboard!$B$4/252,"")</f>
        <v/>
      </c>
      <c r="H3391" s="8">
        <f>IFERROR(IF(ISNUMBER(B3391),MAX(B3391,IFERROR(H3390,B3391)),""),"")</f>
        <v/>
      </c>
      <c r="I3391" s="29">
        <f>IFERROR(IF(AND(ISNUMBER(B3391),ISNUMBER(H3391)),B3391/H3391-1,""),"")</f>
        <v/>
      </c>
      <c r="J3391" s="8">
        <f>IFERROR(IF(ISNUMBER(C3391),MAX(C3391,IFERROR(J3390,C3391)),""),"")</f>
        <v/>
      </c>
      <c r="K3391" s="29">
        <f>IFERROR(IF(AND(ISNUMBER(C3391),ISNUMBER(J3391)),C3391/J3391-1,""),"")</f>
        <v/>
      </c>
      <c r="L3391" s="28">
        <f>IFERROR(IF(AND(ISNUMBER(D3391),ISNUMBER(E3391)),D3391-E3391,""),"")</f>
        <v/>
      </c>
    </row>
    <row r="3392">
      <c r="A3392" s="7">
        <f>IFERROR(Datos!A3392,"")</f>
        <v/>
      </c>
      <c r="B3392" s="8">
        <f>IFERROR(Datos!B3392,"")</f>
        <v/>
      </c>
      <c r="C3392" s="8">
        <f>IFERROR(Datos!C3392,"")</f>
        <v/>
      </c>
      <c r="D3392" s="28">
        <f>IFERROR(IF(AND(ISNUMBER(B3392),ISNUMBER(B3391),B3391&lt;&gt;0),B3392/B3391-1,""),"")</f>
        <v/>
      </c>
      <c r="E3392" s="28">
        <f>IFERROR(IF(AND(ISNUMBER(C3392),ISNUMBER(C3391),C3391&lt;&gt;0),C3392/C3391-1,""),"")</f>
        <v/>
      </c>
      <c r="F3392" s="28">
        <f>IFERROR(D3392-Dashboard!$B$4/252,"")</f>
        <v/>
      </c>
      <c r="G3392" s="28">
        <f>IFERROR(E3392-Dashboard!$B$4/252,"")</f>
        <v/>
      </c>
      <c r="H3392" s="8">
        <f>IFERROR(IF(ISNUMBER(B3392),MAX(B3392,IFERROR(H3391,B3392)),""),"")</f>
        <v/>
      </c>
      <c r="I3392" s="29">
        <f>IFERROR(IF(AND(ISNUMBER(B3392),ISNUMBER(H3392)),B3392/H3392-1,""),"")</f>
        <v/>
      </c>
      <c r="J3392" s="8">
        <f>IFERROR(IF(ISNUMBER(C3392),MAX(C3392,IFERROR(J3391,C3392)),""),"")</f>
        <v/>
      </c>
      <c r="K3392" s="29">
        <f>IFERROR(IF(AND(ISNUMBER(C3392),ISNUMBER(J3392)),C3392/J3392-1,""),"")</f>
        <v/>
      </c>
      <c r="L3392" s="28">
        <f>IFERROR(IF(AND(ISNUMBER(D3392),ISNUMBER(E3392)),D3392-E3392,""),"")</f>
        <v/>
      </c>
    </row>
    <row r="3393">
      <c r="A3393" s="7">
        <f>IFERROR(Datos!A3393,"")</f>
        <v/>
      </c>
      <c r="B3393" s="8">
        <f>IFERROR(Datos!B3393,"")</f>
        <v/>
      </c>
      <c r="C3393" s="8">
        <f>IFERROR(Datos!C3393,"")</f>
        <v/>
      </c>
      <c r="D3393" s="28">
        <f>IFERROR(IF(AND(ISNUMBER(B3393),ISNUMBER(B3392),B3392&lt;&gt;0),B3393/B3392-1,""),"")</f>
        <v/>
      </c>
      <c r="E3393" s="28">
        <f>IFERROR(IF(AND(ISNUMBER(C3393),ISNUMBER(C3392),C3392&lt;&gt;0),C3393/C3392-1,""),"")</f>
        <v/>
      </c>
      <c r="F3393" s="28">
        <f>IFERROR(D3393-Dashboard!$B$4/252,"")</f>
        <v/>
      </c>
      <c r="G3393" s="28">
        <f>IFERROR(E3393-Dashboard!$B$4/252,"")</f>
        <v/>
      </c>
      <c r="H3393" s="8">
        <f>IFERROR(IF(ISNUMBER(B3393),MAX(B3393,IFERROR(H3392,B3393)),""),"")</f>
        <v/>
      </c>
      <c r="I3393" s="29">
        <f>IFERROR(IF(AND(ISNUMBER(B3393),ISNUMBER(H3393)),B3393/H3393-1,""),"")</f>
        <v/>
      </c>
      <c r="J3393" s="8">
        <f>IFERROR(IF(ISNUMBER(C3393),MAX(C3393,IFERROR(J3392,C3393)),""),"")</f>
        <v/>
      </c>
      <c r="K3393" s="29">
        <f>IFERROR(IF(AND(ISNUMBER(C3393),ISNUMBER(J3393)),C3393/J3393-1,""),"")</f>
        <v/>
      </c>
      <c r="L3393" s="28">
        <f>IFERROR(IF(AND(ISNUMBER(D3393),ISNUMBER(E3393)),D3393-E3393,""),"")</f>
        <v/>
      </c>
    </row>
    <row r="3394">
      <c r="A3394" s="7">
        <f>IFERROR(Datos!A3394,"")</f>
        <v/>
      </c>
      <c r="B3394" s="8">
        <f>IFERROR(Datos!B3394,"")</f>
        <v/>
      </c>
      <c r="C3394" s="8">
        <f>IFERROR(Datos!C3394,"")</f>
        <v/>
      </c>
      <c r="D3394" s="28">
        <f>IFERROR(IF(AND(ISNUMBER(B3394),ISNUMBER(B3393),B3393&lt;&gt;0),B3394/B3393-1,""),"")</f>
        <v/>
      </c>
      <c r="E3394" s="28">
        <f>IFERROR(IF(AND(ISNUMBER(C3394),ISNUMBER(C3393),C3393&lt;&gt;0),C3394/C3393-1,""),"")</f>
        <v/>
      </c>
      <c r="F3394" s="28">
        <f>IFERROR(D3394-Dashboard!$B$4/252,"")</f>
        <v/>
      </c>
      <c r="G3394" s="28">
        <f>IFERROR(E3394-Dashboard!$B$4/252,"")</f>
        <v/>
      </c>
      <c r="H3394" s="8">
        <f>IFERROR(IF(ISNUMBER(B3394),MAX(B3394,IFERROR(H3393,B3394)),""),"")</f>
        <v/>
      </c>
      <c r="I3394" s="29">
        <f>IFERROR(IF(AND(ISNUMBER(B3394),ISNUMBER(H3394)),B3394/H3394-1,""),"")</f>
        <v/>
      </c>
      <c r="J3394" s="8">
        <f>IFERROR(IF(ISNUMBER(C3394),MAX(C3394,IFERROR(J3393,C3394)),""),"")</f>
        <v/>
      </c>
      <c r="K3394" s="29">
        <f>IFERROR(IF(AND(ISNUMBER(C3394),ISNUMBER(J3394)),C3394/J3394-1,""),"")</f>
        <v/>
      </c>
      <c r="L3394" s="28">
        <f>IFERROR(IF(AND(ISNUMBER(D3394),ISNUMBER(E3394)),D3394-E3394,""),"")</f>
        <v/>
      </c>
    </row>
    <row r="3395">
      <c r="A3395" s="7">
        <f>IFERROR(Datos!A3395,"")</f>
        <v/>
      </c>
      <c r="B3395" s="8">
        <f>IFERROR(Datos!B3395,"")</f>
        <v/>
      </c>
      <c r="C3395" s="8">
        <f>IFERROR(Datos!C3395,"")</f>
        <v/>
      </c>
      <c r="D3395" s="28">
        <f>IFERROR(IF(AND(ISNUMBER(B3395),ISNUMBER(B3394),B3394&lt;&gt;0),B3395/B3394-1,""),"")</f>
        <v/>
      </c>
      <c r="E3395" s="28">
        <f>IFERROR(IF(AND(ISNUMBER(C3395),ISNUMBER(C3394),C3394&lt;&gt;0),C3395/C3394-1,""),"")</f>
        <v/>
      </c>
      <c r="F3395" s="28">
        <f>IFERROR(D3395-Dashboard!$B$4/252,"")</f>
        <v/>
      </c>
      <c r="G3395" s="28">
        <f>IFERROR(E3395-Dashboard!$B$4/252,"")</f>
        <v/>
      </c>
      <c r="H3395" s="8">
        <f>IFERROR(IF(ISNUMBER(B3395),MAX(B3395,IFERROR(H3394,B3395)),""),"")</f>
        <v/>
      </c>
      <c r="I3395" s="29">
        <f>IFERROR(IF(AND(ISNUMBER(B3395),ISNUMBER(H3395)),B3395/H3395-1,""),"")</f>
        <v/>
      </c>
      <c r="J3395" s="8">
        <f>IFERROR(IF(ISNUMBER(C3395),MAX(C3395,IFERROR(J3394,C3395)),""),"")</f>
        <v/>
      </c>
      <c r="K3395" s="29">
        <f>IFERROR(IF(AND(ISNUMBER(C3395),ISNUMBER(J3395)),C3395/J3395-1,""),"")</f>
        <v/>
      </c>
      <c r="L3395" s="28">
        <f>IFERROR(IF(AND(ISNUMBER(D3395),ISNUMBER(E3395)),D3395-E3395,""),"")</f>
        <v/>
      </c>
    </row>
    <row r="3396">
      <c r="A3396" s="7">
        <f>IFERROR(Datos!A3396,"")</f>
        <v/>
      </c>
      <c r="B3396" s="8">
        <f>IFERROR(Datos!B3396,"")</f>
        <v/>
      </c>
      <c r="C3396" s="8">
        <f>IFERROR(Datos!C3396,"")</f>
        <v/>
      </c>
      <c r="D3396" s="28">
        <f>IFERROR(IF(AND(ISNUMBER(B3396),ISNUMBER(B3395),B3395&lt;&gt;0),B3396/B3395-1,""),"")</f>
        <v/>
      </c>
      <c r="E3396" s="28">
        <f>IFERROR(IF(AND(ISNUMBER(C3396),ISNUMBER(C3395),C3395&lt;&gt;0),C3396/C3395-1,""),"")</f>
        <v/>
      </c>
      <c r="F3396" s="28">
        <f>IFERROR(D3396-Dashboard!$B$4/252,"")</f>
        <v/>
      </c>
      <c r="G3396" s="28">
        <f>IFERROR(E3396-Dashboard!$B$4/252,"")</f>
        <v/>
      </c>
      <c r="H3396" s="8">
        <f>IFERROR(IF(ISNUMBER(B3396),MAX(B3396,IFERROR(H3395,B3396)),""),"")</f>
        <v/>
      </c>
      <c r="I3396" s="29">
        <f>IFERROR(IF(AND(ISNUMBER(B3396),ISNUMBER(H3396)),B3396/H3396-1,""),"")</f>
        <v/>
      </c>
      <c r="J3396" s="8">
        <f>IFERROR(IF(ISNUMBER(C3396),MAX(C3396,IFERROR(J3395,C3396)),""),"")</f>
        <v/>
      </c>
      <c r="K3396" s="29">
        <f>IFERROR(IF(AND(ISNUMBER(C3396),ISNUMBER(J3396)),C3396/J3396-1,""),"")</f>
        <v/>
      </c>
      <c r="L3396" s="28">
        <f>IFERROR(IF(AND(ISNUMBER(D3396),ISNUMBER(E3396)),D3396-E3396,""),"")</f>
        <v/>
      </c>
    </row>
    <row r="3397">
      <c r="A3397" s="7">
        <f>IFERROR(Datos!A3397,"")</f>
        <v/>
      </c>
      <c r="B3397" s="8">
        <f>IFERROR(Datos!B3397,"")</f>
        <v/>
      </c>
      <c r="C3397" s="8">
        <f>IFERROR(Datos!C3397,"")</f>
        <v/>
      </c>
      <c r="D3397" s="28">
        <f>IFERROR(IF(AND(ISNUMBER(B3397),ISNUMBER(B3396),B3396&lt;&gt;0),B3397/B3396-1,""),"")</f>
        <v/>
      </c>
      <c r="E3397" s="28">
        <f>IFERROR(IF(AND(ISNUMBER(C3397),ISNUMBER(C3396),C3396&lt;&gt;0),C3397/C3396-1,""),"")</f>
        <v/>
      </c>
      <c r="F3397" s="28">
        <f>IFERROR(D3397-Dashboard!$B$4/252,"")</f>
        <v/>
      </c>
      <c r="G3397" s="28">
        <f>IFERROR(E3397-Dashboard!$B$4/252,"")</f>
        <v/>
      </c>
      <c r="H3397" s="8">
        <f>IFERROR(IF(ISNUMBER(B3397),MAX(B3397,IFERROR(H3396,B3397)),""),"")</f>
        <v/>
      </c>
      <c r="I3397" s="29">
        <f>IFERROR(IF(AND(ISNUMBER(B3397),ISNUMBER(H3397)),B3397/H3397-1,""),"")</f>
        <v/>
      </c>
      <c r="J3397" s="8">
        <f>IFERROR(IF(ISNUMBER(C3397),MAX(C3397,IFERROR(J3396,C3397)),""),"")</f>
        <v/>
      </c>
      <c r="K3397" s="29">
        <f>IFERROR(IF(AND(ISNUMBER(C3397),ISNUMBER(J3397)),C3397/J3397-1,""),"")</f>
        <v/>
      </c>
      <c r="L3397" s="28">
        <f>IFERROR(IF(AND(ISNUMBER(D3397),ISNUMBER(E3397)),D3397-E3397,""),"")</f>
        <v/>
      </c>
    </row>
    <row r="3398">
      <c r="A3398" s="7">
        <f>IFERROR(Datos!A3398,"")</f>
        <v/>
      </c>
      <c r="B3398" s="8">
        <f>IFERROR(Datos!B3398,"")</f>
        <v/>
      </c>
      <c r="C3398" s="8">
        <f>IFERROR(Datos!C3398,"")</f>
        <v/>
      </c>
      <c r="D3398" s="28">
        <f>IFERROR(IF(AND(ISNUMBER(B3398),ISNUMBER(B3397),B3397&lt;&gt;0),B3398/B3397-1,""),"")</f>
        <v/>
      </c>
      <c r="E3398" s="28">
        <f>IFERROR(IF(AND(ISNUMBER(C3398),ISNUMBER(C3397),C3397&lt;&gt;0),C3398/C3397-1,""),"")</f>
        <v/>
      </c>
      <c r="F3398" s="28">
        <f>IFERROR(D3398-Dashboard!$B$4/252,"")</f>
        <v/>
      </c>
      <c r="G3398" s="28">
        <f>IFERROR(E3398-Dashboard!$B$4/252,"")</f>
        <v/>
      </c>
      <c r="H3398" s="8">
        <f>IFERROR(IF(ISNUMBER(B3398),MAX(B3398,IFERROR(H3397,B3398)),""),"")</f>
        <v/>
      </c>
      <c r="I3398" s="29">
        <f>IFERROR(IF(AND(ISNUMBER(B3398),ISNUMBER(H3398)),B3398/H3398-1,""),"")</f>
        <v/>
      </c>
      <c r="J3398" s="8">
        <f>IFERROR(IF(ISNUMBER(C3398),MAX(C3398,IFERROR(J3397,C3398)),""),"")</f>
        <v/>
      </c>
      <c r="K3398" s="29">
        <f>IFERROR(IF(AND(ISNUMBER(C3398),ISNUMBER(J3398)),C3398/J3398-1,""),"")</f>
        <v/>
      </c>
      <c r="L3398" s="28">
        <f>IFERROR(IF(AND(ISNUMBER(D3398),ISNUMBER(E3398)),D3398-E3398,""),"")</f>
        <v/>
      </c>
    </row>
    <row r="3399">
      <c r="A3399" s="7">
        <f>IFERROR(Datos!A3399,"")</f>
        <v/>
      </c>
      <c r="B3399" s="8">
        <f>IFERROR(Datos!B3399,"")</f>
        <v/>
      </c>
      <c r="C3399" s="8">
        <f>IFERROR(Datos!C3399,"")</f>
        <v/>
      </c>
      <c r="D3399" s="28">
        <f>IFERROR(IF(AND(ISNUMBER(B3399),ISNUMBER(B3398),B3398&lt;&gt;0),B3399/B3398-1,""),"")</f>
        <v/>
      </c>
      <c r="E3399" s="28">
        <f>IFERROR(IF(AND(ISNUMBER(C3399),ISNUMBER(C3398),C3398&lt;&gt;0),C3399/C3398-1,""),"")</f>
        <v/>
      </c>
      <c r="F3399" s="28">
        <f>IFERROR(D3399-Dashboard!$B$4/252,"")</f>
        <v/>
      </c>
      <c r="G3399" s="28">
        <f>IFERROR(E3399-Dashboard!$B$4/252,"")</f>
        <v/>
      </c>
      <c r="H3399" s="8">
        <f>IFERROR(IF(ISNUMBER(B3399),MAX(B3399,IFERROR(H3398,B3399)),""),"")</f>
        <v/>
      </c>
      <c r="I3399" s="29">
        <f>IFERROR(IF(AND(ISNUMBER(B3399),ISNUMBER(H3399)),B3399/H3399-1,""),"")</f>
        <v/>
      </c>
      <c r="J3399" s="8">
        <f>IFERROR(IF(ISNUMBER(C3399),MAX(C3399,IFERROR(J3398,C3399)),""),"")</f>
        <v/>
      </c>
      <c r="K3399" s="29">
        <f>IFERROR(IF(AND(ISNUMBER(C3399),ISNUMBER(J3399)),C3399/J3399-1,""),"")</f>
        <v/>
      </c>
      <c r="L3399" s="28">
        <f>IFERROR(IF(AND(ISNUMBER(D3399),ISNUMBER(E3399)),D3399-E3399,""),"")</f>
        <v/>
      </c>
    </row>
    <row r="3400">
      <c r="A3400" s="7">
        <f>IFERROR(Datos!A3400,"")</f>
        <v/>
      </c>
      <c r="B3400" s="8">
        <f>IFERROR(Datos!B3400,"")</f>
        <v/>
      </c>
      <c r="C3400" s="8">
        <f>IFERROR(Datos!C3400,"")</f>
        <v/>
      </c>
      <c r="D3400" s="28">
        <f>IFERROR(IF(AND(ISNUMBER(B3400),ISNUMBER(B3399),B3399&lt;&gt;0),B3400/B3399-1,""),"")</f>
        <v/>
      </c>
      <c r="E3400" s="28">
        <f>IFERROR(IF(AND(ISNUMBER(C3400),ISNUMBER(C3399),C3399&lt;&gt;0),C3400/C3399-1,""),"")</f>
        <v/>
      </c>
      <c r="F3400" s="28">
        <f>IFERROR(D3400-Dashboard!$B$4/252,"")</f>
        <v/>
      </c>
      <c r="G3400" s="28">
        <f>IFERROR(E3400-Dashboard!$B$4/252,"")</f>
        <v/>
      </c>
      <c r="H3400" s="8">
        <f>IFERROR(IF(ISNUMBER(B3400),MAX(B3400,IFERROR(H3399,B3400)),""),"")</f>
        <v/>
      </c>
      <c r="I3400" s="29">
        <f>IFERROR(IF(AND(ISNUMBER(B3400),ISNUMBER(H3400)),B3400/H3400-1,""),"")</f>
        <v/>
      </c>
      <c r="J3400" s="8">
        <f>IFERROR(IF(ISNUMBER(C3400),MAX(C3400,IFERROR(J3399,C3400)),""),"")</f>
        <v/>
      </c>
      <c r="K3400" s="29">
        <f>IFERROR(IF(AND(ISNUMBER(C3400),ISNUMBER(J3400)),C3400/J3400-1,""),"")</f>
        <v/>
      </c>
      <c r="L3400" s="28">
        <f>IFERROR(IF(AND(ISNUMBER(D3400),ISNUMBER(E3400)),D3400-E3400,""),"")</f>
        <v/>
      </c>
    </row>
    <row r="3401">
      <c r="A3401" s="7">
        <f>IFERROR(Datos!A3401,"")</f>
        <v/>
      </c>
      <c r="B3401" s="8">
        <f>IFERROR(Datos!B3401,"")</f>
        <v/>
      </c>
      <c r="C3401" s="8">
        <f>IFERROR(Datos!C3401,"")</f>
        <v/>
      </c>
      <c r="D3401" s="28">
        <f>IFERROR(IF(AND(ISNUMBER(B3401),ISNUMBER(B3400),B3400&lt;&gt;0),B3401/B3400-1,""),"")</f>
        <v/>
      </c>
      <c r="E3401" s="28">
        <f>IFERROR(IF(AND(ISNUMBER(C3401),ISNUMBER(C3400),C3400&lt;&gt;0),C3401/C3400-1,""),"")</f>
        <v/>
      </c>
      <c r="F3401" s="28">
        <f>IFERROR(D3401-Dashboard!$B$4/252,"")</f>
        <v/>
      </c>
      <c r="G3401" s="28">
        <f>IFERROR(E3401-Dashboard!$B$4/252,"")</f>
        <v/>
      </c>
      <c r="H3401" s="8">
        <f>IFERROR(IF(ISNUMBER(B3401),MAX(B3401,IFERROR(H3400,B3401)),""),"")</f>
        <v/>
      </c>
      <c r="I3401" s="29">
        <f>IFERROR(IF(AND(ISNUMBER(B3401),ISNUMBER(H3401)),B3401/H3401-1,""),"")</f>
        <v/>
      </c>
      <c r="J3401" s="8">
        <f>IFERROR(IF(ISNUMBER(C3401),MAX(C3401,IFERROR(J3400,C3401)),""),"")</f>
        <v/>
      </c>
      <c r="K3401" s="29">
        <f>IFERROR(IF(AND(ISNUMBER(C3401),ISNUMBER(J3401)),C3401/J3401-1,""),"")</f>
        <v/>
      </c>
      <c r="L3401" s="28">
        <f>IFERROR(IF(AND(ISNUMBER(D3401),ISNUMBER(E3401)),D3401-E3401,""),"")</f>
        <v/>
      </c>
    </row>
    <row r="3402">
      <c r="A3402" s="7">
        <f>IFERROR(Datos!A3402,"")</f>
        <v/>
      </c>
      <c r="B3402" s="8">
        <f>IFERROR(Datos!B3402,"")</f>
        <v/>
      </c>
      <c r="C3402" s="8">
        <f>IFERROR(Datos!C3402,"")</f>
        <v/>
      </c>
      <c r="D3402" s="28">
        <f>IFERROR(IF(AND(ISNUMBER(B3402),ISNUMBER(B3401),B3401&lt;&gt;0),B3402/B3401-1,""),"")</f>
        <v/>
      </c>
      <c r="E3402" s="28">
        <f>IFERROR(IF(AND(ISNUMBER(C3402),ISNUMBER(C3401),C3401&lt;&gt;0),C3402/C3401-1,""),"")</f>
        <v/>
      </c>
      <c r="F3402" s="28">
        <f>IFERROR(D3402-Dashboard!$B$4/252,"")</f>
        <v/>
      </c>
      <c r="G3402" s="28">
        <f>IFERROR(E3402-Dashboard!$B$4/252,"")</f>
        <v/>
      </c>
      <c r="H3402" s="8">
        <f>IFERROR(IF(ISNUMBER(B3402),MAX(B3402,IFERROR(H3401,B3402)),""),"")</f>
        <v/>
      </c>
      <c r="I3402" s="29">
        <f>IFERROR(IF(AND(ISNUMBER(B3402),ISNUMBER(H3402)),B3402/H3402-1,""),"")</f>
        <v/>
      </c>
      <c r="J3402" s="8">
        <f>IFERROR(IF(ISNUMBER(C3402),MAX(C3402,IFERROR(J3401,C3402)),""),"")</f>
        <v/>
      </c>
      <c r="K3402" s="29">
        <f>IFERROR(IF(AND(ISNUMBER(C3402),ISNUMBER(J3402)),C3402/J3402-1,""),"")</f>
        <v/>
      </c>
      <c r="L3402" s="28">
        <f>IFERROR(IF(AND(ISNUMBER(D3402),ISNUMBER(E3402)),D3402-E3402,""),"")</f>
        <v/>
      </c>
    </row>
    <row r="3403">
      <c r="A3403" s="7">
        <f>IFERROR(Datos!A3403,"")</f>
        <v/>
      </c>
      <c r="B3403" s="8">
        <f>IFERROR(Datos!B3403,"")</f>
        <v/>
      </c>
      <c r="C3403" s="8">
        <f>IFERROR(Datos!C3403,"")</f>
        <v/>
      </c>
      <c r="D3403" s="28">
        <f>IFERROR(IF(AND(ISNUMBER(B3403),ISNUMBER(B3402),B3402&lt;&gt;0),B3403/B3402-1,""),"")</f>
        <v/>
      </c>
      <c r="E3403" s="28">
        <f>IFERROR(IF(AND(ISNUMBER(C3403),ISNUMBER(C3402),C3402&lt;&gt;0),C3403/C3402-1,""),"")</f>
        <v/>
      </c>
      <c r="F3403" s="28">
        <f>IFERROR(D3403-Dashboard!$B$4/252,"")</f>
        <v/>
      </c>
      <c r="G3403" s="28">
        <f>IFERROR(E3403-Dashboard!$B$4/252,"")</f>
        <v/>
      </c>
      <c r="H3403" s="8">
        <f>IFERROR(IF(ISNUMBER(B3403),MAX(B3403,IFERROR(H3402,B3403)),""),"")</f>
        <v/>
      </c>
      <c r="I3403" s="29">
        <f>IFERROR(IF(AND(ISNUMBER(B3403),ISNUMBER(H3403)),B3403/H3403-1,""),"")</f>
        <v/>
      </c>
      <c r="J3403" s="8">
        <f>IFERROR(IF(ISNUMBER(C3403),MAX(C3403,IFERROR(J3402,C3403)),""),"")</f>
        <v/>
      </c>
      <c r="K3403" s="29">
        <f>IFERROR(IF(AND(ISNUMBER(C3403),ISNUMBER(J3403)),C3403/J3403-1,""),"")</f>
        <v/>
      </c>
      <c r="L3403" s="28">
        <f>IFERROR(IF(AND(ISNUMBER(D3403),ISNUMBER(E3403)),D3403-E3403,""),"")</f>
        <v/>
      </c>
    </row>
    <row r="3404">
      <c r="A3404" s="7">
        <f>IFERROR(Datos!A3404,"")</f>
        <v/>
      </c>
      <c r="B3404" s="8">
        <f>IFERROR(Datos!B3404,"")</f>
        <v/>
      </c>
      <c r="C3404" s="8">
        <f>IFERROR(Datos!C3404,"")</f>
        <v/>
      </c>
      <c r="D3404" s="28">
        <f>IFERROR(IF(AND(ISNUMBER(B3404),ISNUMBER(B3403),B3403&lt;&gt;0),B3404/B3403-1,""),"")</f>
        <v/>
      </c>
      <c r="E3404" s="28">
        <f>IFERROR(IF(AND(ISNUMBER(C3404),ISNUMBER(C3403),C3403&lt;&gt;0),C3404/C3403-1,""),"")</f>
        <v/>
      </c>
      <c r="F3404" s="28">
        <f>IFERROR(D3404-Dashboard!$B$4/252,"")</f>
        <v/>
      </c>
      <c r="G3404" s="28">
        <f>IFERROR(E3404-Dashboard!$B$4/252,"")</f>
        <v/>
      </c>
      <c r="H3404" s="8">
        <f>IFERROR(IF(ISNUMBER(B3404),MAX(B3404,IFERROR(H3403,B3404)),""),"")</f>
        <v/>
      </c>
      <c r="I3404" s="29">
        <f>IFERROR(IF(AND(ISNUMBER(B3404),ISNUMBER(H3404)),B3404/H3404-1,""),"")</f>
        <v/>
      </c>
      <c r="J3404" s="8">
        <f>IFERROR(IF(ISNUMBER(C3404),MAX(C3404,IFERROR(J3403,C3404)),""),"")</f>
        <v/>
      </c>
      <c r="K3404" s="29">
        <f>IFERROR(IF(AND(ISNUMBER(C3404),ISNUMBER(J3404)),C3404/J3404-1,""),"")</f>
        <v/>
      </c>
      <c r="L3404" s="28">
        <f>IFERROR(IF(AND(ISNUMBER(D3404),ISNUMBER(E3404)),D3404-E3404,""),"")</f>
        <v/>
      </c>
    </row>
    <row r="3405">
      <c r="A3405" s="7">
        <f>IFERROR(Datos!A3405,"")</f>
        <v/>
      </c>
      <c r="B3405" s="8">
        <f>IFERROR(Datos!B3405,"")</f>
        <v/>
      </c>
      <c r="C3405" s="8">
        <f>IFERROR(Datos!C3405,"")</f>
        <v/>
      </c>
      <c r="D3405" s="28">
        <f>IFERROR(IF(AND(ISNUMBER(B3405),ISNUMBER(B3404),B3404&lt;&gt;0),B3405/B3404-1,""),"")</f>
        <v/>
      </c>
      <c r="E3405" s="28">
        <f>IFERROR(IF(AND(ISNUMBER(C3405),ISNUMBER(C3404),C3404&lt;&gt;0),C3405/C3404-1,""),"")</f>
        <v/>
      </c>
      <c r="F3405" s="28">
        <f>IFERROR(D3405-Dashboard!$B$4/252,"")</f>
        <v/>
      </c>
      <c r="G3405" s="28">
        <f>IFERROR(E3405-Dashboard!$B$4/252,"")</f>
        <v/>
      </c>
      <c r="H3405" s="8">
        <f>IFERROR(IF(ISNUMBER(B3405),MAX(B3405,IFERROR(H3404,B3405)),""),"")</f>
        <v/>
      </c>
      <c r="I3405" s="29">
        <f>IFERROR(IF(AND(ISNUMBER(B3405),ISNUMBER(H3405)),B3405/H3405-1,""),"")</f>
        <v/>
      </c>
      <c r="J3405" s="8">
        <f>IFERROR(IF(ISNUMBER(C3405),MAX(C3405,IFERROR(J3404,C3405)),""),"")</f>
        <v/>
      </c>
      <c r="K3405" s="29">
        <f>IFERROR(IF(AND(ISNUMBER(C3405),ISNUMBER(J3405)),C3405/J3405-1,""),"")</f>
        <v/>
      </c>
      <c r="L3405" s="28">
        <f>IFERROR(IF(AND(ISNUMBER(D3405),ISNUMBER(E3405)),D3405-E3405,""),"")</f>
        <v/>
      </c>
    </row>
    <row r="3406">
      <c r="A3406" s="7">
        <f>IFERROR(Datos!A3406,"")</f>
        <v/>
      </c>
      <c r="B3406" s="8">
        <f>IFERROR(Datos!B3406,"")</f>
        <v/>
      </c>
      <c r="C3406" s="8">
        <f>IFERROR(Datos!C3406,"")</f>
        <v/>
      </c>
      <c r="D3406" s="28">
        <f>IFERROR(IF(AND(ISNUMBER(B3406),ISNUMBER(B3405),B3405&lt;&gt;0),B3406/B3405-1,""),"")</f>
        <v/>
      </c>
      <c r="E3406" s="28">
        <f>IFERROR(IF(AND(ISNUMBER(C3406),ISNUMBER(C3405),C3405&lt;&gt;0),C3406/C3405-1,""),"")</f>
        <v/>
      </c>
      <c r="F3406" s="28">
        <f>IFERROR(D3406-Dashboard!$B$4/252,"")</f>
        <v/>
      </c>
      <c r="G3406" s="28">
        <f>IFERROR(E3406-Dashboard!$B$4/252,"")</f>
        <v/>
      </c>
      <c r="H3406" s="8">
        <f>IFERROR(IF(ISNUMBER(B3406),MAX(B3406,IFERROR(H3405,B3406)),""),"")</f>
        <v/>
      </c>
      <c r="I3406" s="29">
        <f>IFERROR(IF(AND(ISNUMBER(B3406),ISNUMBER(H3406)),B3406/H3406-1,""),"")</f>
        <v/>
      </c>
      <c r="J3406" s="8">
        <f>IFERROR(IF(ISNUMBER(C3406),MAX(C3406,IFERROR(J3405,C3406)),""),"")</f>
        <v/>
      </c>
      <c r="K3406" s="29">
        <f>IFERROR(IF(AND(ISNUMBER(C3406),ISNUMBER(J3406)),C3406/J3406-1,""),"")</f>
        <v/>
      </c>
      <c r="L3406" s="28">
        <f>IFERROR(IF(AND(ISNUMBER(D3406),ISNUMBER(E3406)),D3406-E3406,""),"")</f>
        <v/>
      </c>
    </row>
    <row r="3407">
      <c r="A3407" s="7">
        <f>IFERROR(Datos!A3407,"")</f>
        <v/>
      </c>
      <c r="B3407" s="8">
        <f>IFERROR(Datos!B3407,"")</f>
        <v/>
      </c>
      <c r="C3407" s="8">
        <f>IFERROR(Datos!C3407,"")</f>
        <v/>
      </c>
      <c r="D3407" s="28">
        <f>IFERROR(IF(AND(ISNUMBER(B3407),ISNUMBER(B3406),B3406&lt;&gt;0),B3407/B3406-1,""),"")</f>
        <v/>
      </c>
      <c r="E3407" s="28">
        <f>IFERROR(IF(AND(ISNUMBER(C3407),ISNUMBER(C3406),C3406&lt;&gt;0),C3407/C3406-1,""),"")</f>
        <v/>
      </c>
      <c r="F3407" s="28">
        <f>IFERROR(D3407-Dashboard!$B$4/252,"")</f>
        <v/>
      </c>
      <c r="G3407" s="28">
        <f>IFERROR(E3407-Dashboard!$B$4/252,"")</f>
        <v/>
      </c>
      <c r="H3407" s="8">
        <f>IFERROR(IF(ISNUMBER(B3407),MAX(B3407,IFERROR(H3406,B3407)),""),"")</f>
        <v/>
      </c>
      <c r="I3407" s="29">
        <f>IFERROR(IF(AND(ISNUMBER(B3407),ISNUMBER(H3407)),B3407/H3407-1,""),"")</f>
        <v/>
      </c>
      <c r="J3407" s="8">
        <f>IFERROR(IF(ISNUMBER(C3407),MAX(C3407,IFERROR(J3406,C3407)),""),"")</f>
        <v/>
      </c>
      <c r="K3407" s="29">
        <f>IFERROR(IF(AND(ISNUMBER(C3407),ISNUMBER(J3407)),C3407/J3407-1,""),"")</f>
        <v/>
      </c>
      <c r="L3407" s="28">
        <f>IFERROR(IF(AND(ISNUMBER(D3407),ISNUMBER(E3407)),D3407-E3407,""),"")</f>
        <v/>
      </c>
    </row>
    <row r="3408">
      <c r="A3408" s="7">
        <f>IFERROR(Datos!A3408,"")</f>
        <v/>
      </c>
      <c r="B3408" s="8">
        <f>IFERROR(Datos!B3408,"")</f>
        <v/>
      </c>
      <c r="C3408" s="8">
        <f>IFERROR(Datos!C3408,"")</f>
        <v/>
      </c>
      <c r="D3408" s="28">
        <f>IFERROR(IF(AND(ISNUMBER(B3408),ISNUMBER(B3407),B3407&lt;&gt;0),B3408/B3407-1,""),"")</f>
        <v/>
      </c>
      <c r="E3408" s="28">
        <f>IFERROR(IF(AND(ISNUMBER(C3408),ISNUMBER(C3407),C3407&lt;&gt;0),C3408/C3407-1,""),"")</f>
        <v/>
      </c>
      <c r="F3408" s="28">
        <f>IFERROR(D3408-Dashboard!$B$4/252,"")</f>
        <v/>
      </c>
      <c r="G3408" s="28">
        <f>IFERROR(E3408-Dashboard!$B$4/252,"")</f>
        <v/>
      </c>
      <c r="H3408" s="8">
        <f>IFERROR(IF(ISNUMBER(B3408),MAX(B3408,IFERROR(H3407,B3408)),""),"")</f>
        <v/>
      </c>
      <c r="I3408" s="29">
        <f>IFERROR(IF(AND(ISNUMBER(B3408),ISNUMBER(H3408)),B3408/H3408-1,""),"")</f>
        <v/>
      </c>
      <c r="J3408" s="8">
        <f>IFERROR(IF(ISNUMBER(C3408),MAX(C3408,IFERROR(J3407,C3408)),""),"")</f>
        <v/>
      </c>
      <c r="K3408" s="29">
        <f>IFERROR(IF(AND(ISNUMBER(C3408),ISNUMBER(J3408)),C3408/J3408-1,""),"")</f>
        <v/>
      </c>
      <c r="L3408" s="28">
        <f>IFERROR(IF(AND(ISNUMBER(D3408),ISNUMBER(E3408)),D3408-E3408,""),"")</f>
        <v/>
      </c>
    </row>
    <row r="3409">
      <c r="A3409" s="7">
        <f>IFERROR(Datos!A3409,"")</f>
        <v/>
      </c>
      <c r="B3409" s="8">
        <f>IFERROR(Datos!B3409,"")</f>
        <v/>
      </c>
      <c r="C3409" s="8">
        <f>IFERROR(Datos!C3409,"")</f>
        <v/>
      </c>
      <c r="D3409" s="28">
        <f>IFERROR(IF(AND(ISNUMBER(B3409),ISNUMBER(B3408),B3408&lt;&gt;0),B3409/B3408-1,""),"")</f>
        <v/>
      </c>
      <c r="E3409" s="28">
        <f>IFERROR(IF(AND(ISNUMBER(C3409),ISNUMBER(C3408),C3408&lt;&gt;0),C3409/C3408-1,""),"")</f>
        <v/>
      </c>
      <c r="F3409" s="28">
        <f>IFERROR(D3409-Dashboard!$B$4/252,"")</f>
        <v/>
      </c>
      <c r="G3409" s="28">
        <f>IFERROR(E3409-Dashboard!$B$4/252,"")</f>
        <v/>
      </c>
      <c r="H3409" s="8">
        <f>IFERROR(IF(ISNUMBER(B3409),MAX(B3409,IFERROR(H3408,B3409)),""),"")</f>
        <v/>
      </c>
      <c r="I3409" s="29">
        <f>IFERROR(IF(AND(ISNUMBER(B3409),ISNUMBER(H3409)),B3409/H3409-1,""),"")</f>
        <v/>
      </c>
      <c r="J3409" s="8">
        <f>IFERROR(IF(ISNUMBER(C3409),MAX(C3409,IFERROR(J3408,C3409)),""),"")</f>
        <v/>
      </c>
      <c r="K3409" s="29">
        <f>IFERROR(IF(AND(ISNUMBER(C3409),ISNUMBER(J3409)),C3409/J3409-1,""),"")</f>
        <v/>
      </c>
      <c r="L3409" s="28">
        <f>IFERROR(IF(AND(ISNUMBER(D3409),ISNUMBER(E3409)),D3409-E3409,""),"")</f>
        <v/>
      </c>
    </row>
    <row r="3410">
      <c r="A3410" s="7">
        <f>IFERROR(Datos!A3410,"")</f>
        <v/>
      </c>
      <c r="B3410" s="8">
        <f>IFERROR(Datos!B3410,"")</f>
        <v/>
      </c>
      <c r="C3410" s="8">
        <f>IFERROR(Datos!C3410,"")</f>
        <v/>
      </c>
      <c r="D3410" s="28">
        <f>IFERROR(IF(AND(ISNUMBER(B3410),ISNUMBER(B3409),B3409&lt;&gt;0),B3410/B3409-1,""),"")</f>
        <v/>
      </c>
      <c r="E3410" s="28">
        <f>IFERROR(IF(AND(ISNUMBER(C3410),ISNUMBER(C3409),C3409&lt;&gt;0),C3410/C3409-1,""),"")</f>
        <v/>
      </c>
      <c r="F3410" s="28">
        <f>IFERROR(D3410-Dashboard!$B$4/252,"")</f>
        <v/>
      </c>
      <c r="G3410" s="28">
        <f>IFERROR(E3410-Dashboard!$B$4/252,"")</f>
        <v/>
      </c>
      <c r="H3410" s="8">
        <f>IFERROR(IF(ISNUMBER(B3410),MAX(B3410,IFERROR(H3409,B3410)),""),"")</f>
        <v/>
      </c>
      <c r="I3410" s="29">
        <f>IFERROR(IF(AND(ISNUMBER(B3410),ISNUMBER(H3410)),B3410/H3410-1,""),"")</f>
        <v/>
      </c>
      <c r="J3410" s="8">
        <f>IFERROR(IF(ISNUMBER(C3410),MAX(C3410,IFERROR(J3409,C3410)),""),"")</f>
        <v/>
      </c>
      <c r="K3410" s="29">
        <f>IFERROR(IF(AND(ISNUMBER(C3410),ISNUMBER(J3410)),C3410/J3410-1,""),"")</f>
        <v/>
      </c>
      <c r="L3410" s="28">
        <f>IFERROR(IF(AND(ISNUMBER(D3410),ISNUMBER(E3410)),D3410-E3410,""),"")</f>
        <v/>
      </c>
    </row>
    <row r="3411">
      <c r="A3411" s="7">
        <f>IFERROR(Datos!A3411,"")</f>
        <v/>
      </c>
      <c r="B3411" s="8">
        <f>IFERROR(Datos!B3411,"")</f>
        <v/>
      </c>
      <c r="C3411" s="8">
        <f>IFERROR(Datos!C3411,"")</f>
        <v/>
      </c>
      <c r="D3411" s="28">
        <f>IFERROR(IF(AND(ISNUMBER(B3411),ISNUMBER(B3410),B3410&lt;&gt;0),B3411/B3410-1,""),"")</f>
        <v/>
      </c>
      <c r="E3411" s="28">
        <f>IFERROR(IF(AND(ISNUMBER(C3411),ISNUMBER(C3410),C3410&lt;&gt;0),C3411/C3410-1,""),"")</f>
        <v/>
      </c>
      <c r="F3411" s="28">
        <f>IFERROR(D3411-Dashboard!$B$4/252,"")</f>
        <v/>
      </c>
      <c r="G3411" s="28">
        <f>IFERROR(E3411-Dashboard!$B$4/252,"")</f>
        <v/>
      </c>
      <c r="H3411" s="8">
        <f>IFERROR(IF(ISNUMBER(B3411),MAX(B3411,IFERROR(H3410,B3411)),""),"")</f>
        <v/>
      </c>
      <c r="I3411" s="29">
        <f>IFERROR(IF(AND(ISNUMBER(B3411),ISNUMBER(H3411)),B3411/H3411-1,""),"")</f>
        <v/>
      </c>
      <c r="J3411" s="8">
        <f>IFERROR(IF(ISNUMBER(C3411),MAX(C3411,IFERROR(J3410,C3411)),""),"")</f>
        <v/>
      </c>
      <c r="K3411" s="29">
        <f>IFERROR(IF(AND(ISNUMBER(C3411),ISNUMBER(J3411)),C3411/J3411-1,""),"")</f>
        <v/>
      </c>
      <c r="L3411" s="28">
        <f>IFERROR(IF(AND(ISNUMBER(D3411),ISNUMBER(E3411)),D3411-E3411,""),"")</f>
        <v/>
      </c>
    </row>
    <row r="3412">
      <c r="A3412" s="7">
        <f>IFERROR(Datos!A3412,"")</f>
        <v/>
      </c>
      <c r="B3412" s="8">
        <f>IFERROR(Datos!B3412,"")</f>
        <v/>
      </c>
      <c r="C3412" s="8">
        <f>IFERROR(Datos!C3412,"")</f>
        <v/>
      </c>
      <c r="D3412" s="28">
        <f>IFERROR(IF(AND(ISNUMBER(B3412),ISNUMBER(B3411),B3411&lt;&gt;0),B3412/B3411-1,""),"")</f>
        <v/>
      </c>
      <c r="E3412" s="28">
        <f>IFERROR(IF(AND(ISNUMBER(C3412),ISNUMBER(C3411),C3411&lt;&gt;0),C3412/C3411-1,""),"")</f>
        <v/>
      </c>
      <c r="F3412" s="28">
        <f>IFERROR(D3412-Dashboard!$B$4/252,"")</f>
        <v/>
      </c>
      <c r="G3412" s="28">
        <f>IFERROR(E3412-Dashboard!$B$4/252,"")</f>
        <v/>
      </c>
      <c r="H3412" s="8">
        <f>IFERROR(IF(ISNUMBER(B3412),MAX(B3412,IFERROR(H3411,B3412)),""),"")</f>
        <v/>
      </c>
      <c r="I3412" s="29">
        <f>IFERROR(IF(AND(ISNUMBER(B3412),ISNUMBER(H3412)),B3412/H3412-1,""),"")</f>
        <v/>
      </c>
      <c r="J3412" s="8">
        <f>IFERROR(IF(ISNUMBER(C3412),MAX(C3412,IFERROR(J3411,C3412)),""),"")</f>
        <v/>
      </c>
      <c r="K3412" s="29">
        <f>IFERROR(IF(AND(ISNUMBER(C3412),ISNUMBER(J3412)),C3412/J3412-1,""),"")</f>
        <v/>
      </c>
      <c r="L3412" s="28">
        <f>IFERROR(IF(AND(ISNUMBER(D3412),ISNUMBER(E3412)),D3412-E3412,""),"")</f>
        <v/>
      </c>
    </row>
    <row r="3413">
      <c r="A3413" s="7">
        <f>IFERROR(Datos!A3413,"")</f>
        <v/>
      </c>
      <c r="B3413" s="8">
        <f>IFERROR(Datos!B3413,"")</f>
        <v/>
      </c>
      <c r="C3413" s="8">
        <f>IFERROR(Datos!C3413,"")</f>
        <v/>
      </c>
      <c r="D3413" s="28">
        <f>IFERROR(IF(AND(ISNUMBER(B3413),ISNUMBER(B3412),B3412&lt;&gt;0),B3413/B3412-1,""),"")</f>
        <v/>
      </c>
      <c r="E3413" s="28">
        <f>IFERROR(IF(AND(ISNUMBER(C3413),ISNUMBER(C3412),C3412&lt;&gt;0),C3413/C3412-1,""),"")</f>
        <v/>
      </c>
      <c r="F3413" s="28">
        <f>IFERROR(D3413-Dashboard!$B$4/252,"")</f>
        <v/>
      </c>
      <c r="G3413" s="28">
        <f>IFERROR(E3413-Dashboard!$B$4/252,"")</f>
        <v/>
      </c>
      <c r="H3413" s="8">
        <f>IFERROR(IF(ISNUMBER(B3413),MAX(B3413,IFERROR(H3412,B3413)),""),"")</f>
        <v/>
      </c>
      <c r="I3413" s="29">
        <f>IFERROR(IF(AND(ISNUMBER(B3413),ISNUMBER(H3413)),B3413/H3413-1,""),"")</f>
        <v/>
      </c>
      <c r="J3413" s="8">
        <f>IFERROR(IF(ISNUMBER(C3413),MAX(C3413,IFERROR(J3412,C3413)),""),"")</f>
        <v/>
      </c>
      <c r="K3413" s="29">
        <f>IFERROR(IF(AND(ISNUMBER(C3413),ISNUMBER(J3413)),C3413/J3413-1,""),"")</f>
        <v/>
      </c>
      <c r="L3413" s="28">
        <f>IFERROR(IF(AND(ISNUMBER(D3413),ISNUMBER(E3413)),D3413-E3413,""),"")</f>
        <v/>
      </c>
    </row>
    <row r="3414">
      <c r="A3414" s="7">
        <f>IFERROR(Datos!A3414,"")</f>
        <v/>
      </c>
      <c r="B3414" s="8">
        <f>IFERROR(Datos!B3414,"")</f>
        <v/>
      </c>
      <c r="C3414" s="8">
        <f>IFERROR(Datos!C3414,"")</f>
        <v/>
      </c>
      <c r="D3414" s="28">
        <f>IFERROR(IF(AND(ISNUMBER(B3414),ISNUMBER(B3413),B3413&lt;&gt;0),B3414/B3413-1,""),"")</f>
        <v/>
      </c>
      <c r="E3414" s="28">
        <f>IFERROR(IF(AND(ISNUMBER(C3414),ISNUMBER(C3413),C3413&lt;&gt;0),C3414/C3413-1,""),"")</f>
        <v/>
      </c>
      <c r="F3414" s="28">
        <f>IFERROR(D3414-Dashboard!$B$4/252,"")</f>
        <v/>
      </c>
      <c r="G3414" s="28">
        <f>IFERROR(E3414-Dashboard!$B$4/252,"")</f>
        <v/>
      </c>
      <c r="H3414" s="8">
        <f>IFERROR(IF(ISNUMBER(B3414),MAX(B3414,IFERROR(H3413,B3414)),""),"")</f>
        <v/>
      </c>
      <c r="I3414" s="29">
        <f>IFERROR(IF(AND(ISNUMBER(B3414),ISNUMBER(H3414)),B3414/H3414-1,""),"")</f>
        <v/>
      </c>
      <c r="J3414" s="8">
        <f>IFERROR(IF(ISNUMBER(C3414),MAX(C3414,IFERROR(J3413,C3414)),""),"")</f>
        <v/>
      </c>
      <c r="K3414" s="29">
        <f>IFERROR(IF(AND(ISNUMBER(C3414),ISNUMBER(J3414)),C3414/J3414-1,""),"")</f>
        <v/>
      </c>
      <c r="L3414" s="28">
        <f>IFERROR(IF(AND(ISNUMBER(D3414),ISNUMBER(E3414)),D3414-E3414,""),"")</f>
        <v/>
      </c>
    </row>
    <row r="3415">
      <c r="A3415" s="7">
        <f>IFERROR(Datos!A3415,"")</f>
        <v/>
      </c>
      <c r="B3415" s="8">
        <f>IFERROR(Datos!B3415,"")</f>
        <v/>
      </c>
      <c r="C3415" s="8">
        <f>IFERROR(Datos!C3415,"")</f>
        <v/>
      </c>
      <c r="D3415" s="28">
        <f>IFERROR(IF(AND(ISNUMBER(B3415),ISNUMBER(B3414),B3414&lt;&gt;0),B3415/B3414-1,""),"")</f>
        <v/>
      </c>
      <c r="E3415" s="28">
        <f>IFERROR(IF(AND(ISNUMBER(C3415),ISNUMBER(C3414),C3414&lt;&gt;0),C3415/C3414-1,""),"")</f>
        <v/>
      </c>
      <c r="F3415" s="28">
        <f>IFERROR(D3415-Dashboard!$B$4/252,"")</f>
        <v/>
      </c>
      <c r="G3415" s="28">
        <f>IFERROR(E3415-Dashboard!$B$4/252,"")</f>
        <v/>
      </c>
      <c r="H3415" s="8">
        <f>IFERROR(IF(ISNUMBER(B3415),MAX(B3415,IFERROR(H3414,B3415)),""),"")</f>
        <v/>
      </c>
      <c r="I3415" s="29">
        <f>IFERROR(IF(AND(ISNUMBER(B3415),ISNUMBER(H3415)),B3415/H3415-1,""),"")</f>
        <v/>
      </c>
      <c r="J3415" s="8">
        <f>IFERROR(IF(ISNUMBER(C3415),MAX(C3415,IFERROR(J3414,C3415)),""),"")</f>
        <v/>
      </c>
      <c r="K3415" s="29">
        <f>IFERROR(IF(AND(ISNUMBER(C3415),ISNUMBER(J3415)),C3415/J3415-1,""),"")</f>
        <v/>
      </c>
      <c r="L3415" s="28">
        <f>IFERROR(IF(AND(ISNUMBER(D3415),ISNUMBER(E3415)),D3415-E3415,""),"")</f>
        <v/>
      </c>
    </row>
    <row r="3416">
      <c r="A3416" s="7">
        <f>IFERROR(Datos!A3416,"")</f>
        <v/>
      </c>
      <c r="B3416" s="8">
        <f>IFERROR(Datos!B3416,"")</f>
        <v/>
      </c>
      <c r="C3416" s="8">
        <f>IFERROR(Datos!C3416,"")</f>
        <v/>
      </c>
      <c r="D3416" s="28">
        <f>IFERROR(IF(AND(ISNUMBER(B3416),ISNUMBER(B3415),B3415&lt;&gt;0),B3416/B3415-1,""),"")</f>
        <v/>
      </c>
      <c r="E3416" s="28">
        <f>IFERROR(IF(AND(ISNUMBER(C3416),ISNUMBER(C3415),C3415&lt;&gt;0),C3416/C3415-1,""),"")</f>
        <v/>
      </c>
      <c r="F3416" s="28">
        <f>IFERROR(D3416-Dashboard!$B$4/252,"")</f>
        <v/>
      </c>
      <c r="G3416" s="28">
        <f>IFERROR(E3416-Dashboard!$B$4/252,"")</f>
        <v/>
      </c>
      <c r="H3416" s="8">
        <f>IFERROR(IF(ISNUMBER(B3416),MAX(B3416,IFERROR(H3415,B3416)),""),"")</f>
        <v/>
      </c>
      <c r="I3416" s="29">
        <f>IFERROR(IF(AND(ISNUMBER(B3416),ISNUMBER(H3416)),B3416/H3416-1,""),"")</f>
        <v/>
      </c>
      <c r="J3416" s="8">
        <f>IFERROR(IF(ISNUMBER(C3416),MAX(C3416,IFERROR(J3415,C3416)),""),"")</f>
        <v/>
      </c>
      <c r="K3416" s="29">
        <f>IFERROR(IF(AND(ISNUMBER(C3416),ISNUMBER(J3416)),C3416/J3416-1,""),"")</f>
        <v/>
      </c>
      <c r="L3416" s="28">
        <f>IFERROR(IF(AND(ISNUMBER(D3416),ISNUMBER(E3416)),D3416-E3416,""),"")</f>
        <v/>
      </c>
    </row>
    <row r="3417">
      <c r="A3417" s="7">
        <f>IFERROR(Datos!A3417,"")</f>
        <v/>
      </c>
      <c r="B3417" s="8">
        <f>IFERROR(Datos!B3417,"")</f>
        <v/>
      </c>
      <c r="C3417" s="8">
        <f>IFERROR(Datos!C3417,"")</f>
        <v/>
      </c>
      <c r="D3417" s="28">
        <f>IFERROR(IF(AND(ISNUMBER(B3417),ISNUMBER(B3416),B3416&lt;&gt;0),B3417/B3416-1,""),"")</f>
        <v/>
      </c>
      <c r="E3417" s="28">
        <f>IFERROR(IF(AND(ISNUMBER(C3417),ISNUMBER(C3416),C3416&lt;&gt;0),C3417/C3416-1,""),"")</f>
        <v/>
      </c>
      <c r="F3417" s="28">
        <f>IFERROR(D3417-Dashboard!$B$4/252,"")</f>
        <v/>
      </c>
      <c r="G3417" s="28">
        <f>IFERROR(E3417-Dashboard!$B$4/252,"")</f>
        <v/>
      </c>
      <c r="H3417" s="8">
        <f>IFERROR(IF(ISNUMBER(B3417),MAX(B3417,IFERROR(H3416,B3417)),""),"")</f>
        <v/>
      </c>
      <c r="I3417" s="29">
        <f>IFERROR(IF(AND(ISNUMBER(B3417),ISNUMBER(H3417)),B3417/H3417-1,""),"")</f>
        <v/>
      </c>
      <c r="J3417" s="8">
        <f>IFERROR(IF(ISNUMBER(C3417),MAX(C3417,IFERROR(J3416,C3417)),""),"")</f>
        <v/>
      </c>
      <c r="K3417" s="29">
        <f>IFERROR(IF(AND(ISNUMBER(C3417),ISNUMBER(J3417)),C3417/J3417-1,""),"")</f>
        <v/>
      </c>
      <c r="L3417" s="28">
        <f>IFERROR(IF(AND(ISNUMBER(D3417),ISNUMBER(E3417)),D3417-E3417,""),"")</f>
        <v/>
      </c>
    </row>
    <row r="3418">
      <c r="A3418" s="7">
        <f>IFERROR(Datos!A3418,"")</f>
        <v/>
      </c>
      <c r="B3418" s="8">
        <f>IFERROR(Datos!B3418,"")</f>
        <v/>
      </c>
      <c r="C3418" s="8">
        <f>IFERROR(Datos!C3418,"")</f>
        <v/>
      </c>
      <c r="D3418" s="28">
        <f>IFERROR(IF(AND(ISNUMBER(B3418),ISNUMBER(B3417),B3417&lt;&gt;0),B3418/B3417-1,""),"")</f>
        <v/>
      </c>
      <c r="E3418" s="28">
        <f>IFERROR(IF(AND(ISNUMBER(C3418),ISNUMBER(C3417),C3417&lt;&gt;0),C3418/C3417-1,""),"")</f>
        <v/>
      </c>
      <c r="F3418" s="28">
        <f>IFERROR(D3418-Dashboard!$B$4/252,"")</f>
        <v/>
      </c>
      <c r="G3418" s="28">
        <f>IFERROR(E3418-Dashboard!$B$4/252,"")</f>
        <v/>
      </c>
      <c r="H3418" s="8">
        <f>IFERROR(IF(ISNUMBER(B3418),MAX(B3418,IFERROR(H3417,B3418)),""),"")</f>
        <v/>
      </c>
      <c r="I3418" s="29">
        <f>IFERROR(IF(AND(ISNUMBER(B3418),ISNUMBER(H3418)),B3418/H3418-1,""),"")</f>
        <v/>
      </c>
      <c r="J3418" s="8">
        <f>IFERROR(IF(ISNUMBER(C3418),MAX(C3418,IFERROR(J3417,C3418)),""),"")</f>
        <v/>
      </c>
      <c r="K3418" s="29">
        <f>IFERROR(IF(AND(ISNUMBER(C3418),ISNUMBER(J3418)),C3418/J3418-1,""),"")</f>
        <v/>
      </c>
      <c r="L3418" s="28">
        <f>IFERROR(IF(AND(ISNUMBER(D3418),ISNUMBER(E3418)),D3418-E3418,""),"")</f>
        <v/>
      </c>
    </row>
    <row r="3419">
      <c r="A3419" s="7">
        <f>IFERROR(Datos!A3419,"")</f>
        <v/>
      </c>
      <c r="B3419" s="8">
        <f>IFERROR(Datos!B3419,"")</f>
        <v/>
      </c>
      <c r="C3419" s="8">
        <f>IFERROR(Datos!C3419,"")</f>
        <v/>
      </c>
      <c r="D3419" s="28">
        <f>IFERROR(IF(AND(ISNUMBER(B3419),ISNUMBER(B3418),B3418&lt;&gt;0),B3419/B3418-1,""),"")</f>
        <v/>
      </c>
      <c r="E3419" s="28">
        <f>IFERROR(IF(AND(ISNUMBER(C3419),ISNUMBER(C3418),C3418&lt;&gt;0),C3419/C3418-1,""),"")</f>
        <v/>
      </c>
      <c r="F3419" s="28">
        <f>IFERROR(D3419-Dashboard!$B$4/252,"")</f>
        <v/>
      </c>
      <c r="G3419" s="28">
        <f>IFERROR(E3419-Dashboard!$B$4/252,"")</f>
        <v/>
      </c>
      <c r="H3419" s="8">
        <f>IFERROR(IF(ISNUMBER(B3419),MAX(B3419,IFERROR(H3418,B3419)),""),"")</f>
        <v/>
      </c>
      <c r="I3419" s="29">
        <f>IFERROR(IF(AND(ISNUMBER(B3419),ISNUMBER(H3419)),B3419/H3419-1,""),"")</f>
        <v/>
      </c>
      <c r="J3419" s="8">
        <f>IFERROR(IF(ISNUMBER(C3419),MAX(C3419,IFERROR(J3418,C3419)),""),"")</f>
        <v/>
      </c>
      <c r="K3419" s="29">
        <f>IFERROR(IF(AND(ISNUMBER(C3419),ISNUMBER(J3419)),C3419/J3419-1,""),"")</f>
        <v/>
      </c>
      <c r="L3419" s="28">
        <f>IFERROR(IF(AND(ISNUMBER(D3419),ISNUMBER(E3419)),D3419-E3419,""),"")</f>
        <v/>
      </c>
    </row>
    <row r="3420">
      <c r="A3420" s="7">
        <f>IFERROR(Datos!A3420,"")</f>
        <v/>
      </c>
      <c r="B3420" s="8">
        <f>IFERROR(Datos!B3420,"")</f>
        <v/>
      </c>
      <c r="C3420" s="8">
        <f>IFERROR(Datos!C3420,"")</f>
        <v/>
      </c>
      <c r="D3420" s="28">
        <f>IFERROR(IF(AND(ISNUMBER(B3420),ISNUMBER(B3419),B3419&lt;&gt;0),B3420/B3419-1,""),"")</f>
        <v/>
      </c>
      <c r="E3420" s="28">
        <f>IFERROR(IF(AND(ISNUMBER(C3420),ISNUMBER(C3419),C3419&lt;&gt;0),C3420/C3419-1,""),"")</f>
        <v/>
      </c>
      <c r="F3420" s="28">
        <f>IFERROR(D3420-Dashboard!$B$4/252,"")</f>
        <v/>
      </c>
      <c r="G3420" s="28">
        <f>IFERROR(E3420-Dashboard!$B$4/252,"")</f>
        <v/>
      </c>
      <c r="H3420" s="8">
        <f>IFERROR(IF(ISNUMBER(B3420),MAX(B3420,IFERROR(H3419,B3420)),""),"")</f>
        <v/>
      </c>
      <c r="I3420" s="29">
        <f>IFERROR(IF(AND(ISNUMBER(B3420),ISNUMBER(H3420)),B3420/H3420-1,""),"")</f>
        <v/>
      </c>
      <c r="J3420" s="8">
        <f>IFERROR(IF(ISNUMBER(C3420),MAX(C3420,IFERROR(J3419,C3420)),""),"")</f>
        <v/>
      </c>
      <c r="K3420" s="29">
        <f>IFERROR(IF(AND(ISNUMBER(C3420),ISNUMBER(J3420)),C3420/J3420-1,""),"")</f>
        <v/>
      </c>
      <c r="L3420" s="28">
        <f>IFERROR(IF(AND(ISNUMBER(D3420),ISNUMBER(E3420)),D3420-E3420,""),"")</f>
        <v/>
      </c>
    </row>
    <row r="3421">
      <c r="A3421" s="7">
        <f>IFERROR(Datos!A3421,"")</f>
        <v/>
      </c>
      <c r="B3421" s="8">
        <f>IFERROR(Datos!B3421,"")</f>
        <v/>
      </c>
      <c r="C3421" s="8">
        <f>IFERROR(Datos!C3421,"")</f>
        <v/>
      </c>
      <c r="D3421" s="28">
        <f>IFERROR(IF(AND(ISNUMBER(B3421),ISNUMBER(B3420),B3420&lt;&gt;0),B3421/B3420-1,""),"")</f>
        <v/>
      </c>
      <c r="E3421" s="28">
        <f>IFERROR(IF(AND(ISNUMBER(C3421),ISNUMBER(C3420),C3420&lt;&gt;0),C3421/C3420-1,""),"")</f>
        <v/>
      </c>
      <c r="F3421" s="28">
        <f>IFERROR(D3421-Dashboard!$B$4/252,"")</f>
        <v/>
      </c>
      <c r="G3421" s="28">
        <f>IFERROR(E3421-Dashboard!$B$4/252,"")</f>
        <v/>
      </c>
      <c r="H3421" s="8">
        <f>IFERROR(IF(ISNUMBER(B3421),MAX(B3421,IFERROR(H3420,B3421)),""),"")</f>
        <v/>
      </c>
      <c r="I3421" s="29">
        <f>IFERROR(IF(AND(ISNUMBER(B3421),ISNUMBER(H3421)),B3421/H3421-1,""),"")</f>
        <v/>
      </c>
      <c r="J3421" s="8">
        <f>IFERROR(IF(ISNUMBER(C3421),MAX(C3421,IFERROR(J3420,C3421)),""),"")</f>
        <v/>
      </c>
      <c r="K3421" s="29">
        <f>IFERROR(IF(AND(ISNUMBER(C3421),ISNUMBER(J3421)),C3421/J3421-1,""),"")</f>
        <v/>
      </c>
      <c r="L3421" s="28">
        <f>IFERROR(IF(AND(ISNUMBER(D3421),ISNUMBER(E3421)),D3421-E3421,""),"")</f>
        <v/>
      </c>
    </row>
    <row r="3422">
      <c r="A3422" s="7">
        <f>IFERROR(Datos!A3422,"")</f>
        <v/>
      </c>
      <c r="B3422" s="8">
        <f>IFERROR(Datos!B3422,"")</f>
        <v/>
      </c>
      <c r="C3422" s="8">
        <f>IFERROR(Datos!C3422,"")</f>
        <v/>
      </c>
      <c r="D3422" s="28">
        <f>IFERROR(IF(AND(ISNUMBER(B3422),ISNUMBER(B3421),B3421&lt;&gt;0),B3422/B3421-1,""),"")</f>
        <v/>
      </c>
      <c r="E3422" s="28">
        <f>IFERROR(IF(AND(ISNUMBER(C3422),ISNUMBER(C3421),C3421&lt;&gt;0),C3422/C3421-1,""),"")</f>
        <v/>
      </c>
      <c r="F3422" s="28">
        <f>IFERROR(D3422-Dashboard!$B$4/252,"")</f>
        <v/>
      </c>
      <c r="G3422" s="28">
        <f>IFERROR(E3422-Dashboard!$B$4/252,"")</f>
        <v/>
      </c>
      <c r="H3422" s="8">
        <f>IFERROR(IF(ISNUMBER(B3422),MAX(B3422,IFERROR(H3421,B3422)),""),"")</f>
        <v/>
      </c>
      <c r="I3422" s="29">
        <f>IFERROR(IF(AND(ISNUMBER(B3422),ISNUMBER(H3422)),B3422/H3422-1,""),"")</f>
        <v/>
      </c>
      <c r="J3422" s="8">
        <f>IFERROR(IF(ISNUMBER(C3422),MAX(C3422,IFERROR(J3421,C3422)),""),"")</f>
        <v/>
      </c>
      <c r="K3422" s="29">
        <f>IFERROR(IF(AND(ISNUMBER(C3422),ISNUMBER(J3422)),C3422/J3422-1,""),"")</f>
        <v/>
      </c>
      <c r="L3422" s="28">
        <f>IFERROR(IF(AND(ISNUMBER(D3422),ISNUMBER(E3422)),D3422-E3422,""),"")</f>
        <v/>
      </c>
    </row>
    <row r="3423">
      <c r="A3423" s="7">
        <f>IFERROR(Datos!A3423,"")</f>
        <v/>
      </c>
      <c r="B3423" s="8">
        <f>IFERROR(Datos!B3423,"")</f>
        <v/>
      </c>
      <c r="C3423" s="8">
        <f>IFERROR(Datos!C3423,"")</f>
        <v/>
      </c>
      <c r="D3423" s="28">
        <f>IFERROR(IF(AND(ISNUMBER(B3423),ISNUMBER(B3422),B3422&lt;&gt;0),B3423/B3422-1,""),"")</f>
        <v/>
      </c>
      <c r="E3423" s="28">
        <f>IFERROR(IF(AND(ISNUMBER(C3423),ISNUMBER(C3422),C3422&lt;&gt;0),C3423/C3422-1,""),"")</f>
        <v/>
      </c>
      <c r="F3423" s="28">
        <f>IFERROR(D3423-Dashboard!$B$4/252,"")</f>
        <v/>
      </c>
      <c r="G3423" s="28">
        <f>IFERROR(E3423-Dashboard!$B$4/252,"")</f>
        <v/>
      </c>
      <c r="H3423" s="8">
        <f>IFERROR(IF(ISNUMBER(B3423),MAX(B3423,IFERROR(H3422,B3423)),""),"")</f>
        <v/>
      </c>
      <c r="I3423" s="29">
        <f>IFERROR(IF(AND(ISNUMBER(B3423),ISNUMBER(H3423)),B3423/H3423-1,""),"")</f>
        <v/>
      </c>
      <c r="J3423" s="8">
        <f>IFERROR(IF(ISNUMBER(C3423),MAX(C3423,IFERROR(J3422,C3423)),""),"")</f>
        <v/>
      </c>
      <c r="K3423" s="29">
        <f>IFERROR(IF(AND(ISNUMBER(C3423),ISNUMBER(J3423)),C3423/J3423-1,""),"")</f>
        <v/>
      </c>
      <c r="L3423" s="28">
        <f>IFERROR(IF(AND(ISNUMBER(D3423),ISNUMBER(E3423)),D3423-E3423,""),"")</f>
        <v/>
      </c>
    </row>
    <row r="3424">
      <c r="A3424" s="7">
        <f>IFERROR(Datos!A3424,"")</f>
        <v/>
      </c>
      <c r="B3424" s="8">
        <f>IFERROR(Datos!B3424,"")</f>
        <v/>
      </c>
      <c r="C3424" s="8">
        <f>IFERROR(Datos!C3424,"")</f>
        <v/>
      </c>
      <c r="D3424" s="28">
        <f>IFERROR(IF(AND(ISNUMBER(B3424),ISNUMBER(B3423),B3423&lt;&gt;0),B3424/B3423-1,""),"")</f>
        <v/>
      </c>
      <c r="E3424" s="28">
        <f>IFERROR(IF(AND(ISNUMBER(C3424),ISNUMBER(C3423),C3423&lt;&gt;0),C3424/C3423-1,""),"")</f>
        <v/>
      </c>
      <c r="F3424" s="28">
        <f>IFERROR(D3424-Dashboard!$B$4/252,"")</f>
        <v/>
      </c>
      <c r="G3424" s="28">
        <f>IFERROR(E3424-Dashboard!$B$4/252,"")</f>
        <v/>
      </c>
      <c r="H3424" s="8">
        <f>IFERROR(IF(ISNUMBER(B3424),MAX(B3424,IFERROR(H3423,B3424)),""),"")</f>
        <v/>
      </c>
      <c r="I3424" s="29">
        <f>IFERROR(IF(AND(ISNUMBER(B3424),ISNUMBER(H3424)),B3424/H3424-1,""),"")</f>
        <v/>
      </c>
      <c r="J3424" s="8">
        <f>IFERROR(IF(ISNUMBER(C3424),MAX(C3424,IFERROR(J3423,C3424)),""),"")</f>
        <v/>
      </c>
      <c r="K3424" s="29">
        <f>IFERROR(IF(AND(ISNUMBER(C3424),ISNUMBER(J3424)),C3424/J3424-1,""),"")</f>
        <v/>
      </c>
      <c r="L3424" s="28">
        <f>IFERROR(IF(AND(ISNUMBER(D3424),ISNUMBER(E3424)),D3424-E3424,""),"")</f>
        <v/>
      </c>
    </row>
    <row r="3425">
      <c r="A3425" s="7">
        <f>IFERROR(Datos!A3425,"")</f>
        <v/>
      </c>
      <c r="B3425" s="8">
        <f>IFERROR(Datos!B3425,"")</f>
        <v/>
      </c>
      <c r="C3425" s="8">
        <f>IFERROR(Datos!C3425,"")</f>
        <v/>
      </c>
      <c r="D3425" s="28">
        <f>IFERROR(IF(AND(ISNUMBER(B3425),ISNUMBER(B3424),B3424&lt;&gt;0),B3425/B3424-1,""),"")</f>
        <v/>
      </c>
      <c r="E3425" s="28">
        <f>IFERROR(IF(AND(ISNUMBER(C3425),ISNUMBER(C3424),C3424&lt;&gt;0),C3425/C3424-1,""),"")</f>
        <v/>
      </c>
      <c r="F3425" s="28">
        <f>IFERROR(D3425-Dashboard!$B$4/252,"")</f>
        <v/>
      </c>
      <c r="G3425" s="28">
        <f>IFERROR(E3425-Dashboard!$B$4/252,"")</f>
        <v/>
      </c>
      <c r="H3425" s="8">
        <f>IFERROR(IF(ISNUMBER(B3425),MAX(B3425,IFERROR(H3424,B3425)),""),"")</f>
        <v/>
      </c>
      <c r="I3425" s="29">
        <f>IFERROR(IF(AND(ISNUMBER(B3425),ISNUMBER(H3425)),B3425/H3425-1,""),"")</f>
        <v/>
      </c>
      <c r="J3425" s="8">
        <f>IFERROR(IF(ISNUMBER(C3425),MAX(C3425,IFERROR(J3424,C3425)),""),"")</f>
        <v/>
      </c>
      <c r="K3425" s="29">
        <f>IFERROR(IF(AND(ISNUMBER(C3425),ISNUMBER(J3425)),C3425/J3425-1,""),"")</f>
        <v/>
      </c>
      <c r="L3425" s="28">
        <f>IFERROR(IF(AND(ISNUMBER(D3425),ISNUMBER(E3425)),D3425-E3425,""),"")</f>
        <v/>
      </c>
    </row>
    <row r="3426">
      <c r="A3426" s="7">
        <f>IFERROR(Datos!A3426,"")</f>
        <v/>
      </c>
      <c r="B3426" s="8">
        <f>IFERROR(Datos!B3426,"")</f>
        <v/>
      </c>
      <c r="C3426" s="8">
        <f>IFERROR(Datos!C3426,"")</f>
        <v/>
      </c>
      <c r="D3426" s="28">
        <f>IFERROR(IF(AND(ISNUMBER(B3426),ISNUMBER(B3425),B3425&lt;&gt;0),B3426/B3425-1,""),"")</f>
        <v/>
      </c>
      <c r="E3426" s="28">
        <f>IFERROR(IF(AND(ISNUMBER(C3426),ISNUMBER(C3425),C3425&lt;&gt;0),C3426/C3425-1,""),"")</f>
        <v/>
      </c>
      <c r="F3426" s="28">
        <f>IFERROR(D3426-Dashboard!$B$4/252,"")</f>
        <v/>
      </c>
      <c r="G3426" s="28">
        <f>IFERROR(E3426-Dashboard!$B$4/252,"")</f>
        <v/>
      </c>
      <c r="H3426" s="8">
        <f>IFERROR(IF(ISNUMBER(B3426),MAX(B3426,IFERROR(H3425,B3426)),""),"")</f>
        <v/>
      </c>
      <c r="I3426" s="29">
        <f>IFERROR(IF(AND(ISNUMBER(B3426),ISNUMBER(H3426)),B3426/H3426-1,""),"")</f>
        <v/>
      </c>
      <c r="J3426" s="8">
        <f>IFERROR(IF(ISNUMBER(C3426),MAX(C3426,IFERROR(J3425,C3426)),""),"")</f>
        <v/>
      </c>
      <c r="K3426" s="29">
        <f>IFERROR(IF(AND(ISNUMBER(C3426),ISNUMBER(J3426)),C3426/J3426-1,""),"")</f>
        <v/>
      </c>
      <c r="L3426" s="28">
        <f>IFERROR(IF(AND(ISNUMBER(D3426),ISNUMBER(E3426)),D3426-E3426,""),"")</f>
        <v/>
      </c>
    </row>
    <row r="3427">
      <c r="A3427" s="7">
        <f>IFERROR(Datos!A3427,"")</f>
        <v/>
      </c>
      <c r="B3427" s="8">
        <f>IFERROR(Datos!B3427,"")</f>
        <v/>
      </c>
      <c r="C3427" s="8">
        <f>IFERROR(Datos!C3427,"")</f>
        <v/>
      </c>
      <c r="D3427" s="28">
        <f>IFERROR(IF(AND(ISNUMBER(B3427),ISNUMBER(B3426),B3426&lt;&gt;0),B3427/B3426-1,""),"")</f>
        <v/>
      </c>
      <c r="E3427" s="28">
        <f>IFERROR(IF(AND(ISNUMBER(C3427),ISNUMBER(C3426),C3426&lt;&gt;0),C3427/C3426-1,""),"")</f>
        <v/>
      </c>
      <c r="F3427" s="28">
        <f>IFERROR(D3427-Dashboard!$B$4/252,"")</f>
        <v/>
      </c>
      <c r="G3427" s="28">
        <f>IFERROR(E3427-Dashboard!$B$4/252,"")</f>
        <v/>
      </c>
      <c r="H3427" s="8">
        <f>IFERROR(IF(ISNUMBER(B3427),MAX(B3427,IFERROR(H3426,B3427)),""),"")</f>
        <v/>
      </c>
      <c r="I3427" s="29">
        <f>IFERROR(IF(AND(ISNUMBER(B3427),ISNUMBER(H3427)),B3427/H3427-1,""),"")</f>
        <v/>
      </c>
      <c r="J3427" s="8">
        <f>IFERROR(IF(ISNUMBER(C3427),MAX(C3427,IFERROR(J3426,C3427)),""),"")</f>
        <v/>
      </c>
      <c r="K3427" s="29">
        <f>IFERROR(IF(AND(ISNUMBER(C3427),ISNUMBER(J3427)),C3427/J3427-1,""),"")</f>
        <v/>
      </c>
      <c r="L3427" s="28">
        <f>IFERROR(IF(AND(ISNUMBER(D3427),ISNUMBER(E3427)),D3427-E3427,""),"")</f>
        <v/>
      </c>
    </row>
    <row r="3428">
      <c r="A3428" s="7">
        <f>IFERROR(Datos!A3428,"")</f>
        <v/>
      </c>
      <c r="B3428" s="8">
        <f>IFERROR(Datos!B3428,"")</f>
        <v/>
      </c>
      <c r="C3428" s="8">
        <f>IFERROR(Datos!C3428,"")</f>
        <v/>
      </c>
      <c r="D3428" s="28">
        <f>IFERROR(IF(AND(ISNUMBER(B3428),ISNUMBER(B3427),B3427&lt;&gt;0),B3428/B3427-1,""),"")</f>
        <v/>
      </c>
      <c r="E3428" s="28">
        <f>IFERROR(IF(AND(ISNUMBER(C3428),ISNUMBER(C3427),C3427&lt;&gt;0),C3428/C3427-1,""),"")</f>
        <v/>
      </c>
      <c r="F3428" s="28">
        <f>IFERROR(D3428-Dashboard!$B$4/252,"")</f>
        <v/>
      </c>
      <c r="G3428" s="28">
        <f>IFERROR(E3428-Dashboard!$B$4/252,"")</f>
        <v/>
      </c>
      <c r="H3428" s="8">
        <f>IFERROR(IF(ISNUMBER(B3428),MAX(B3428,IFERROR(H3427,B3428)),""),"")</f>
        <v/>
      </c>
      <c r="I3428" s="29">
        <f>IFERROR(IF(AND(ISNUMBER(B3428),ISNUMBER(H3428)),B3428/H3428-1,""),"")</f>
        <v/>
      </c>
      <c r="J3428" s="8">
        <f>IFERROR(IF(ISNUMBER(C3428),MAX(C3428,IFERROR(J3427,C3428)),""),"")</f>
        <v/>
      </c>
      <c r="K3428" s="29">
        <f>IFERROR(IF(AND(ISNUMBER(C3428),ISNUMBER(J3428)),C3428/J3428-1,""),"")</f>
        <v/>
      </c>
      <c r="L3428" s="28">
        <f>IFERROR(IF(AND(ISNUMBER(D3428),ISNUMBER(E3428)),D3428-E3428,""),"")</f>
        <v/>
      </c>
    </row>
    <row r="3429">
      <c r="A3429" s="7">
        <f>IFERROR(Datos!A3429,"")</f>
        <v/>
      </c>
      <c r="B3429" s="8">
        <f>IFERROR(Datos!B3429,"")</f>
        <v/>
      </c>
      <c r="C3429" s="8">
        <f>IFERROR(Datos!C3429,"")</f>
        <v/>
      </c>
      <c r="D3429" s="28">
        <f>IFERROR(IF(AND(ISNUMBER(B3429),ISNUMBER(B3428),B3428&lt;&gt;0),B3429/B3428-1,""),"")</f>
        <v/>
      </c>
      <c r="E3429" s="28">
        <f>IFERROR(IF(AND(ISNUMBER(C3429),ISNUMBER(C3428),C3428&lt;&gt;0),C3429/C3428-1,""),"")</f>
        <v/>
      </c>
      <c r="F3429" s="28">
        <f>IFERROR(D3429-Dashboard!$B$4/252,"")</f>
        <v/>
      </c>
      <c r="G3429" s="28">
        <f>IFERROR(E3429-Dashboard!$B$4/252,"")</f>
        <v/>
      </c>
      <c r="H3429" s="8">
        <f>IFERROR(IF(ISNUMBER(B3429),MAX(B3429,IFERROR(H3428,B3429)),""),"")</f>
        <v/>
      </c>
      <c r="I3429" s="29">
        <f>IFERROR(IF(AND(ISNUMBER(B3429),ISNUMBER(H3429)),B3429/H3429-1,""),"")</f>
        <v/>
      </c>
      <c r="J3429" s="8">
        <f>IFERROR(IF(ISNUMBER(C3429),MAX(C3429,IFERROR(J3428,C3429)),""),"")</f>
        <v/>
      </c>
      <c r="K3429" s="29">
        <f>IFERROR(IF(AND(ISNUMBER(C3429),ISNUMBER(J3429)),C3429/J3429-1,""),"")</f>
        <v/>
      </c>
      <c r="L3429" s="28">
        <f>IFERROR(IF(AND(ISNUMBER(D3429),ISNUMBER(E3429)),D3429-E3429,""),"")</f>
        <v/>
      </c>
    </row>
    <row r="3430">
      <c r="A3430" s="7">
        <f>IFERROR(Datos!A3430,"")</f>
        <v/>
      </c>
      <c r="B3430" s="8">
        <f>IFERROR(Datos!B3430,"")</f>
        <v/>
      </c>
      <c r="C3430" s="8">
        <f>IFERROR(Datos!C3430,"")</f>
        <v/>
      </c>
      <c r="D3430" s="28">
        <f>IFERROR(IF(AND(ISNUMBER(B3430),ISNUMBER(B3429),B3429&lt;&gt;0),B3430/B3429-1,""),"")</f>
        <v/>
      </c>
      <c r="E3430" s="28">
        <f>IFERROR(IF(AND(ISNUMBER(C3430),ISNUMBER(C3429),C3429&lt;&gt;0),C3430/C3429-1,""),"")</f>
        <v/>
      </c>
      <c r="F3430" s="28">
        <f>IFERROR(D3430-Dashboard!$B$4/252,"")</f>
        <v/>
      </c>
      <c r="G3430" s="28">
        <f>IFERROR(E3430-Dashboard!$B$4/252,"")</f>
        <v/>
      </c>
      <c r="H3430" s="8">
        <f>IFERROR(IF(ISNUMBER(B3430),MAX(B3430,IFERROR(H3429,B3430)),""),"")</f>
        <v/>
      </c>
      <c r="I3430" s="29">
        <f>IFERROR(IF(AND(ISNUMBER(B3430),ISNUMBER(H3430)),B3430/H3430-1,""),"")</f>
        <v/>
      </c>
      <c r="J3430" s="8">
        <f>IFERROR(IF(ISNUMBER(C3430),MAX(C3430,IFERROR(J3429,C3430)),""),"")</f>
        <v/>
      </c>
      <c r="K3430" s="29">
        <f>IFERROR(IF(AND(ISNUMBER(C3430),ISNUMBER(J3430)),C3430/J3430-1,""),"")</f>
        <v/>
      </c>
      <c r="L3430" s="28">
        <f>IFERROR(IF(AND(ISNUMBER(D3430),ISNUMBER(E3430)),D3430-E3430,""),"")</f>
        <v/>
      </c>
    </row>
    <row r="3431">
      <c r="A3431" s="7">
        <f>IFERROR(Datos!A3431,"")</f>
        <v/>
      </c>
      <c r="B3431" s="8">
        <f>IFERROR(Datos!B3431,"")</f>
        <v/>
      </c>
      <c r="C3431" s="8">
        <f>IFERROR(Datos!C3431,"")</f>
        <v/>
      </c>
      <c r="D3431" s="28">
        <f>IFERROR(IF(AND(ISNUMBER(B3431),ISNUMBER(B3430),B3430&lt;&gt;0),B3431/B3430-1,""),"")</f>
        <v/>
      </c>
      <c r="E3431" s="28">
        <f>IFERROR(IF(AND(ISNUMBER(C3431),ISNUMBER(C3430),C3430&lt;&gt;0),C3431/C3430-1,""),"")</f>
        <v/>
      </c>
      <c r="F3431" s="28">
        <f>IFERROR(D3431-Dashboard!$B$4/252,"")</f>
        <v/>
      </c>
      <c r="G3431" s="28">
        <f>IFERROR(E3431-Dashboard!$B$4/252,"")</f>
        <v/>
      </c>
      <c r="H3431" s="8">
        <f>IFERROR(IF(ISNUMBER(B3431),MAX(B3431,IFERROR(H3430,B3431)),""),"")</f>
        <v/>
      </c>
      <c r="I3431" s="29">
        <f>IFERROR(IF(AND(ISNUMBER(B3431),ISNUMBER(H3431)),B3431/H3431-1,""),"")</f>
        <v/>
      </c>
      <c r="J3431" s="8">
        <f>IFERROR(IF(ISNUMBER(C3431),MAX(C3431,IFERROR(J3430,C3431)),""),"")</f>
        <v/>
      </c>
      <c r="K3431" s="29">
        <f>IFERROR(IF(AND(ISNUMBER(C3431),ISNUMBER(J3431)),C3431/J3431-1,""),"")</f>
        <v/>
      </c>
      <c r="L3431" s="28">
        <f>IFERROR(IF(AND(ISNUMBER(D3431),ISNUMBER(E3431)),D3431-E3431,""),"")</f>
        <v/>
      </c>
    </row>
    <row r="3432">
      <c r="A3432" s="7">
        <f>IFERROR(Datos!A3432,"")</f>
        <v/>
      </c>
      <c r="B3432" s="8">
        <f>IFERROR(Datos!B3432,"")</f>
        <v/>
      </c>
      <c r="C3432" s="8">
        <f>IFERROR(Datos!C3432,"")</f>
        <v/>
      </c>
      <c r="D3432" s="28">
        <f>IFERROR(IF(AND(ISNUMBER(B3432),ISNUMBER(B3431),B3431&lt;&gt;0),B3432/B3431-1,""),"")</f>
        <v/>
      </c>
      <c r="E3432" s="28">
        <f>IFERROR(IF(AND(ISNUMBER(C3432),ISNUMBER(C3431),C3431&lt;&gt;0),C3432/C3431-1,""),"")</f>
        <v/>
      </c>
      <c r="F3432" s="28">
        <f>IFERROR(D3432-Dashboard!$B$4/252,"")</f>
        <v/>
      </c>
      <c r="G3432" s="28">
        <f>IFERROR(E3432-Dashboard!$B$4/252,"")</f>
        <v/>
      </c>
      <c r="H3432" s="8">
        <f>IFERROR(IF(ISNUMBER(B3432),MAX(B3432,IFERROR(H3431,B3432)),""),"")</f>
        <v/>
      </c>
      <c r="I3432" s="29">
        <f>IFERROR(IF(AND(ISNUMBER(B3432),ISNUMBER(H3432)),B3432/H3432-1,""),"")</f>
        <v/>
      </c>
      <c r="J3432" s="8">
        <f>IFERROR(IF(ISNUMBER(C3432),MAX(C3432,IFERROR(J3431,C3432)),""),"")</f>
        <v/>
      </c>
      <c r="K3432" s="29">
        <f>IFERROR(IF(AND(ISNUMBER(C3432),ISNUMBER(J3432)),C3432/J3432-1,""),"")</f>
        <v/>
      </c>
      <c r="L3432" s="28">
        <f>IFERROR(IF(AND(ISNUMBER(D3432),ISNUMBER(E3432)),D3432-E3432,""),"")</f>
        <v/>
      </c>
    </row>
    <row r="3433">
      <c r="A3433" s="7">
        <f>IFERROR(Datos!A3433,"")</f>
        <v/>
      </c>
      <c r="B3433" s="8">
        <f>IFERROR(Datos!B3433,"")</f>
        <v/>
      </c>
      <c r="C3433" s="8">
        <f>IFERROR(Datos!C3433,"")</f>
        <v/>
      </c>
      <c r="D3433" s="28">
        <f>IFERROR(IF(AND(ISNUMBER(B3433),ISNUMBER(B3432),B3432&lt;&gt;0),B3433/B3432-1,""),"")</f>
        <v/>
      </c>
      <c r="E3433" s="28">
        <f>IFERROR(IF(AND(ISNUMBER(C3433),ISNUMBER(C3432),C3432&lt;&gt;0),C3433/C3432-1,""),"")</f>
        <v/>
      </c>
      <c r="F3433" s="28">
        <f>IFERROR(D3433-Dashboard!$B$4/252,"")</f>
        <v/>
      </c>
      <c r="G3433" s="28">
        <f>IFERROR(E3433-Dashboard!$B$4/252,"")</f>
        <v/>
      </c>
      <c r="H3433" s="8">
        <f>IFERROR(IF(ISNUMBER(B3433),MAX(B3433,IFERROR(H3432,B3433)),""),"")</f>
        <v/>
      </c>
      <c r="I3433" s="29">
        <f>IFERROR(IF(AND(ISNUMBER(B3433),ISNUMBER(H3433)),B3433/H3433-1,""),"")</f>
        <v/>
      </c>
      <c r="J3433" s="8">
        <f>IFERROR(IF(ISNUMBER(C3433),MAX(C3433,IFERROR(J3432,C3433)),""),"")</f>
        <v/>
      </c>
      <c r="K3433" s="29">
        <f>IFERROR(IF(AND(ISNUMBER(C3433),ISNUMBER(J3433)),C3433/J3433-1,""),"")</f>
        <v/>
      </c>
      <c r="L3433" s="28">
        <f>IFERROR(IF(AND(ISNUMBER(D3433),ISNUMBER(E3433)),D3433-E3433,""),"")</f>
        <v/>
      </c>
    </row>
    <row r="3434">
      <c r="A3434" s="7">
        <f>IFERROR(Datos!A3434,"")</f>
        <v/>
      </c>
      <c r="B3434" s="8">
        <f>IFERROR(Datos!B3434,"")</f>
        <v/>
      </c>
      <c r="C3434" s="8">
        <f>IFERROR(Datos!C3434,"")</f>
        <v/>
      </c>
      <c r="D3434" s="28">
        <f>IFERROR(IF(AND(ISNUMBER(B3434),ISNUMBER(B3433),B3433&lt;&gt;0),B3434/B3433-1,""),"")</f>
        <v/>
      </c>
      <c r="E3434" s="28">
        <f>IFERROR(IF(AND(ISNUMBER(C3434),ISNUMBER(C3433),C3433&lt;&gt;0),C3434/C3433-1,""),"")</f>
        <v/>
      </c>
      <c r="F3434" s="28">
        <f>IFERROR(D3434-Dashboard!$B$4/252,"")</f>
        <v/>
      </c>
      <c r="G3434" s="28">
        <f>IFERROR(E3434-Dashboard!$B$4/252,"")</f>
        <v/>
      </c>
      <c r="H3434" s="8">
        <f>IFERROR(IF(ISNUMBER(B3434),MAX(B3434,IFERROR(H3433,B3434)),""),"")</f>
        <v/>
      </c>
      <c r="I3434" s="29">
        <f>IFERROR(IF(AND(ISNUMBER(B3434),ISNUMBER(H3434)),B3434/H3434-1,""),"")</f>
        <v/>
      </c>
      <c r="J3434" s="8">
        <f>IFERROR(IF(ISNUMBER(C3434),MAX(C3434,IFERROR(J3433,C3434)),""),"")</f>
        <v/>
      </c>
      <c r="K3434" s="29">
        <f>IFERROR(IF(AND(ISNUMBER(C3434),ISNUMBER(J3434)),C3434/J3434-1,""),"")</f>
        <v/>
      </c>
      <c r="L3434" s="28">
        <f>IFERROR(IF(AND(ISNUMBER(D3434),ISNUMBER(E3434)),D3434-E3434,""),"")</f>
        <v/>
      </c>
    </row>
    <row r="3435">
      <c r="A3435" s="7">
        <f>IFERROR(Datos!A3435,"")</f>
        <v/>
      </c>
      <c r="B3435" s="8">
        <f>IFERROR(Datos!B3435,"")</f>
        <v/>
      </c>
      <c r="C3435" s="8">
        <f>IFERROR(Datos!C3435,"")</f>
        <v/>
      </c>
      <c r="D3435" s="28">
        <f>IFERROR(IF(AND(ISNUMBER(B3435),ISNUMBER(B3434),B3434&lt;&gt;0),B3435/B3434-1,""),"")</f>
        <v/>
      </c>
      <c r="E3435" s="28">
        <f>IFERROR(IF(AND(ISNUMBER(C3435),ISNUMBER(C3434),C3434&lt;&gt;0),C3435/C3434-1,""),"")</f>
        <v/>
      </c>
      <c r="F3435" s="28">
        <f>IFERROR(D3435-Dashboard!$B$4/252,"")</f>
        <v/>
      </c>
      <c r="G3435" s="28">
        <f>IFERROR(E3435-Dashboard!$B$4/252,"")</f>
        <v/>
      </c>
      <c r="H3435" s="8">
        <f>IFERROR(IF(ISNUMBER(B3435),MAX(B3435,IFERROR(H3434,B3435)),""),"")</f>
        <v/>
      </c>
      <c r="I3435" s="29">
        <f>IFERROR(IF(AND(ISNUMBER(B3435),ISNUMBER(H3435)),B3435/H3435-1,""),"")</f>
        <v/>
      </c>
      <c r="J3435" s="8">
        <f>IFERROR(IF(ISNUMBER(C3435),MAX(C3435,IFERROR(J3434,C3435)),""),"")</f>
        <v/>
      </c>
      <c r="K3435" s="29">
        <f>IFERROR(IF(AND(ISNUMBER(C3435),ISNUMBER(J3435)),C3435/J3435-1,""),"")</f>
        <v/>
      </c>
      <c r="L3435" s="28">
        <f>IFERROR(IF(AND(ISNUMBER(D3435),ISNUMBER(E3435)),D3435-E3435,""),"")</f>
        <v/>
      </c>
    </row>
    <row r="3436">
      <c r="A3436" s="7">
        <f>IFERROR(Datos!A3436,"")</f>
        <v/>
      </c>
      <c r="B3436" s="8">
        <f>IFERROR(Datos!B3436,"")</f>
        <v/>
      </c>
      <c r="C3436" s="8">
        <f>IFERROR(Datos!C3436,"")</f>
        <v/>
      </c>
      <c r="D3436" s="28">
        <f>IFERROR(IF(AND(ISNUMBER(B3436),ISNUMBER(B3435),B3435&lt;&gt;0),B3436/B3435-1,""),"")</f>
        <v/>
      </c>
      <c r="E3436" s="28">
        <f>IFERROR(IF(AND(ISNUMBER(C3436),ISNUMBER(C3435),C3435&lt;&gt;0),C3436/C3435-1,""),"")</f>
        <v/>
      </c>
      <c r="F3436" s="28">
        <f>IFERROR(D3436-Dashboard!$B$4/252,"")</f>
        <v/>
      </c>
      <c r="G3436" s="28">
        <f>IFERROR(E3436-Dashboard!$B$4/252,"")</f>
        <v/>
      </c>
      <c r="H3436" s="8">
        <f>IFERROR(IF(ISNUMBER(B3436),MAX(B3436,IFERROR(H3435,B3436)),""),"")</f>
        <v/>
      </c>
      <c r="I3436" s="29">
        <f>IFERROR(IF(AND(ISNUMBER(B3436),ISNUMBER(H3436)),B3436/H3436-1,""),"")</f>
        <v/>
      </c>
      <c r="J3436" s="8">
        <f>IFERROR(IF(ISNUMBER(C3436),MAX(C3436,IFERROR(J3435,C3436)),""),"")</f>
        <v/>
      </c>
      <c r="K3436" s="29">
        <f>IFERROR(IF(AND(ISNUMBER(C3436),ISNUMBER(J3436)),C3436/J3436-1,""),"")</f>
        <v/>
      </c>
      <c r="L3436" s="28">
        <f>IFERROR(IF(AND(ISNUMBER(D3436),ISNUMBER(E3436)),D3436-E3436,""),"")</f>
        <v/>
      </c>
    </row>
    <row r="3437">
      <c r="A3437" s="7">
        <f>IFERROR(Datos!A3437,"")</f>
        <v/>
      </c>
      <c r="B3437" s="8">
        <f>IFERROR(Datos!B3437,"")</f>
        <v/>
      </c>
      <c r="C3437" s="8">
        <f>IFERROR(Datos!C3437,"")</f>
        <v/>
      </c>
      <c r="D3437" s="28">
        <f>IFERROR(IF(AND(ISNUMBER(B3437),ISNUMBER(B3436),B3436&lt;&gt;0),B3437/B3436-1,""),"")</f>
        <v/>
      </c>
      <c r="E3437" s="28">
        <f>IFERROR(IF(AND(ISNUMBER(C3437),ISNUMBER(C3436),C3436&lt;&gt;0),C3437/C3436-1,""),"")</f>
        <v/>
      </c>
      <c r="F3437" s="28">
        <f>IFERROR(D3437-Dashboard!$B$4/252,"")</f>
        <v/>
      </c>
      <c r="G3437" s="28">
        <f>IFERROR(E3437-Dashboard!$B$4/252,"")</f>
        <v/>
      </c>
      <c r="H3437" s="8">
        <f>IFERROR(IF(ISNUMBER(B3437),MAX(B3437,IFERROR(H3436,B3437)),""),"")</f>
        <v/>
      </c>
      <c r="I3437" s="29">
        <f>IFERROR(IF(AND(ISNUMBER(B3437),ISNUMBER(H3437)),B3437/H3437-1,""),"")</f>
        <v/>
      </c>
      <c r="J3437" s="8">
        <f>IFERROR(IF(ISNUMBER(C3437),MAX(C3437,IFERROR(J3436,C3437)),""),"")</f>
        <v/>
      </c>
      <c r="K3437" s="29">
        <f>IFERROR(IF(AND(ISNUMBER(C3437),ISNUMBER(J3437)),C3437/J3437-1,""),"")</f>
        <v/>
      </c>
      <c r="L3437" s="28">
        <f>IFERROR(IF(AND(ISNUMBER(D3437),ISNUMBER(E3437)),D3437-E3437,""),"")</f>
        <v/>
      </c>
    </row>
    <row r="3438">
      <c r="A3438" s="7">
        <f>IFERROR(Datos!A3438,"")</f>
        <v/>
      </c>
      <c r="B3438" s="8">
        <f>IFERROR(Datos!B3438,"")</f>
        <v/>
      </c>
      <c r="C3438" s="8">
        <f>IFERROR(Datos!C3438,"")</f>
        <v/>
      </c>
      <c r="D3438" s="28">
        <f>IFERROR(IF(AND(ISNUMBER(B3438),ISNUMBER(B3437),B3437&lt;&gt;0),B3438/B3437-1,""),"")</f>
        <v/>
      </c>
      <c r="E3438" s="28">
        <f>IFERROR(IF(AND(ISNUMBER(C3438),ISNUMBER(C3437),C3437&lt;&gt;0),C3438/C3437-1,""),"")</f>
        <v/>
      </c>
      <c r="F3438" s="28">
        <f>IFERROR(D3438-Dashboard!$B$4/252,"")</f>
        <v/>
      </c>
      <c r="G3438" s="28">
        <f>IFERROR(E3438-Dashboard!$B$4/252,"")</f>
        <v/>
      </c>
      <c r="H3438" s="8">
        <f>IFERROR(IF(ISNUMBER(B3438),MAX(B3438,IFERROR(H3437,B3438)),""),"")</f>
        <v/>
      </c>
      <c r="I3438" s="29">
        <f>IFERROR(IF(AND(ISNUMBER(B3438),ISNUMBER(H3438)),B3438/H3438-1,""),"")</f>
        <v/>
      </c>
      <c r="J3438" s="8">
        <f>IFERROR(IF(ISNUMBER(C3438),MAX(C3438,IFERROR(J3437,C3438)),""),"")</f>
        <v/>
      </c>
      <c r="K3438" s="29">
        <f>IFERROR(IF(AND(ISNUMBER(C3438),ISNUMBER(J3438)),C3438/J3438-1,""),"")</f>
        <v/>
      </c>
      <c r="L3438" s="28">
        <f>IFERROR(IF(AND(ISNUMBER(D3438),ISNUMBER(E3438)),D3438-E3438,""),"")</f>
        <v/>
      </c>
    </row>
    <row r="3439">
      <c r="A3439" s="7">
        <f>IFERROR(Datos!A3439,"")</f>
        <v/>
      </c>
      <c r="B3439" s="8">
        <f>IFERROR(Datos!B3439,"")</f>
        <v/>
      </c>
      <c r="C3439" s="8">
        <f>IFERROR(Datos!C3439,"")</f>
        <v/>
      </c>
      <c r="D3439" s="28">
        <f>IFERROR(IF(AND(ISNUMBER(B3439),ISNUMBER(B3438),B3438&lt;&gt;0),B3439/B3438-1,""),"")</f>
        <v/>
      </c>
      <c r="E3439" s="28">
        <f>IFERROR(IF(AND(ISNUMBER(C3439),ISNUMBER(C3438),C3438&lt;&gt;0),C3439/C3438-1,""),"")</f>
        <v/>
      </c>
      <c r="F3439" s="28">
        <f>IFERROR(D3439-Dashboard!$B$4/252,"")</f>
        <v/>
      </c>
      <c r="G3439" s="28">
        <f>IFERROR(E3439-Dashboard!$B$4/252,"")</f>
        <v/>
      </c>
      <c r="H3439" s="8">
        <f>IFERROR(IF(ISNUMBER(B3439),MAX(B3439,IFERROR(H3438,B3439)),""),"")</f>
        <v/>
      </c>
      <c r="I3439" s="29">
        <f>IFERROR(IF(AND(ISNUMBER(B3439),ISNUMBER(H3439)),B3439/H3439-1,""),"")</f>
        <v/>
      </c>
      <c r="J3439" s="8">
        <f>IFERROR(IF(ISNUMBER(C3439),MAX(C3439,IFERROR(J3438,C3439)),""),"")</f>
        <v/>
      </c>
      <c r="K3439" s="29">
        <f>IFERROR(IF(AND(ISNUMBER(C3439),ISNUMBER(J3439)),C3439/J3439-1,""),"")</f>
        <v/>
      </c>
      <c r="L3439" s="28">
        <f>IFERROR(IF(AND(ISNUMBER(D3439),ISNUMBER(E3439)),D3439-E3439,""),"")</f>
        <v/>
      </c>
    </row>
    <row r="3440">
      <c r="A3440" s="7">
        <f>IFERROR(Datos!A3440,"")</f>
        <v/>
      </c>
      <c r="B3440" s="8">
        <f>IFERROR(Datos!B3440,"")</f>
        <v/>
      </c>
      <c r="C3440" s="8">
        <f>IFERROR(Datos!C3440,"")</f>
        <v/>
      </c>
      <c r="D3440" s="28">
        <f>IFERROR(IF(AND(ISNUMBER(B3440),ISNUMBER(B3439),B3439&lt;&gt;0),B3440/B3439-1,""),"")</f>
        <v/>
      </c>
      <c r="E3440" s="28">
        <f>IFERROR(IF(AND(ISNUMBER(C3440),ISNUMBER(C3439),C3439&lt;&gt;0),C3440/C3439-1,""),"")</f>
        <v/>
      </c>
      <c r="F3440" s="28">
        <f>IFERROR(D3440-Dashboard!$B$4/252,"")</f>
        <v/>
      </c>
      <c r="G3440" s="28">
        <f>IFERROR(E3440-Dashboard!$B$4/252,"")</f>
        <v/>
      </c>
      <c r="H3440" s="8">
        <f>IFERROR(IF(ISNUMBER(B3440),MAX(B3440,IFERROR(H3439,B3440)),""),"")</f>
        <v/>
      </c>
      <c r="I3440" s="29">
        <f>IFERROR(IF(AND(ISNUMBER(B3440),ISNUMBER(H3440)),B3440/H3440-1,""),"")</f>
        <v/>
      </c>
      <c r="J3440" s="8">
        <f>IFERROR(IF(ISNUMBER(C3440),MAX(C3440,IFERROR(J3439,C3440)),""),"")</f>
        <v/>
      </c>
      <c r="K3440" s="29">
        <f>IFERROR(IF(AND(ISNUMBER(C3440),ISNUMBER(J3440)),C3440/J3440-1,""),"")</f>
        <v/>
      </c>
      <c r="L3440" s="28">
        <f>IFERROR(IF(AND(ISNUMBER(D3440),ISNUMBER(E3440)),D3440-E3440,""),"")</f>
        <v/>
      </c>
    </row>
    <row r="3441">
      <c r="A3441" s="7">
        <f>IFERROR(Datos!A3441,"")</f>
        <v/>
      </c>
      <c r="B3441" s="8">
        <f>IFERROR(Datos!B3441,"")</f>
        <v/>
      </c>
      <c r="C3441" s="8">
        <f>IFERROR(Datos!C3441,"")</f>
        <v/>
      </c>
      <c r="D3441" s="28">
        <f>IFERROR(IF(AND(ISNUMBER(B3441),ISNUMBER(B3440),B3440&lt;&gt;0),B3441/B3440-1,""),"")</f>
        <v/>
      </c>
      <c r="E3441" s="28">
        <f>IFERROR(IF(AND(ISNUMBER(C3441),ISNUMBER(C3440),C3440&lt;&gt;0),C3441/C3440-1,""),"")</f>
        <v/>
      </c>
      <c r="F3441" s="28">
        <f>IFERROR(D3441-Dashboard!$B$4/252,"")</f>
        <v/>
      </c>
      <c r="G3441" s="28">
        <f>IFERROR(E3441-Dashboard!$B$4/252,"")</f>
        <v/>
      </c>
      <c r="H3441" s="8">
        <f>IFERROR(IF(ISNUMBER(B3441),MAX(B3441,IFERROR(H3440,B3441)),""),"")</f>
        <v/>
      </c>
      <c r="I3441" s="29">
        <f>IFERROR(IF(AND(ISNUMBER(B3441),ISNUMBER(H3441)),B3441/H3441-1,""),"")</f>
        <v/>
      </c>
      <c r="J3441" s="8">
        <f>IFERROR(IF(ISNUMBER(C3441),MAX(C3441,IFERROR(J3440,C3441)),""),"")</f>
        <v/>
      </c>
      <c r="K3441" s="29">
        <f>IFERROR(IF(AND(ISNUMBER(C3441),ISNUMBER(J3441)),C3441/J3441-1,""),"")</f>
        <v/>
      </c>
      <c r="L3441" s="28">
        <f>IFERROR(IF(AND(ISNUMBER(D3441),ISNUMBER(E3441)),D3441-E3441,""),"")</f>
        <v/>
      </c>
    </row>
    <row r="3442">
      <c r="A3442" s="7">
        <f>IFERROR(Datos!A3442,"")</f>
        <v/>
      </c>
      <c r="B3442" s="8">
        <f>IFERROR(Datos!B3442,"")</f>
        <v/>
      </c>
      <c r="C3442" s="8">
        <f>IFERROR(Datos!C3442,"")</f>
        <v/>
      </c>
      <c r="D3442" s="28">
        <f>IFERROR(IF(AND(ISNUMBER(B3442),ISNUMBER(B3441),B3441&lt;&gt;0),B3442/B3441-1,""),"")</f>
        <v/>
      </c>
      <c r="E3442" s="28">
        <f>IFERROR(IF(AND(ISNUMBER(C3442),ISNUMBER(C3441),C3441&lt;&gt;0),C3442/C3441-1,""),"")</f>
        <v/>
      </c>
      <c r="F3442" s="28">
        <f>IFERROR(D3442-Dashboard!$B$4/252,"")</f>
        <v/>
      </c>
      <c r="G3442" s="28">
        <f>IFERROR(E3442-Dashboard!$B$4/252,"")</f>
        <v/>
      </c>
      <c r="H3442" s="8">
        <f>IFERROR(IF(ISNUMBER(B3442),MAX(B3442,IFERROR(H3441,B3442)),""),"")</f>
        <v/>
      </c>
      <c r="I3442" s="29">
        <f>IFERROR(IF(AND(ISNUMBER(B3442),ISNUMBER(H3442)),B3442/H3442-1,""),"")</f>
        <v/>
      </c>
      <c r="J3442" s="8">
        <f>IFERROR(IF(ISNUMBER(C3442),MAX(C3442,IFERROR(J3441,C3442)),""),"")</f>
        <v/>
      </c>
      <c r="K3442" s="29">
        <f>IFERROR(IF(AND(ISNUMBER(C3442),ISNUMBER(J3442)),C3442/J3442-1,""),"")</f>
        <v/>
      </c>
      <c r="L3442" s="28">
        <f>IFERROR(IF(AND(ISNUMBER(D3442),ISNUMBER(E3442)),D3442-E3442,""),"")</f>
        <v/>
      </c>
    </row>
    <row r="3443">
      <c r="A3443" s="7">
        <f>IFERROR(Datos!A3443,"")</f>
        <v/>
      </c>
      <c r="B3443" s="8">
        <f>IFERROR(Datos!B3443,"")</f>
        <v/>
      </c>
      <c r="C3443" s="8">
        <f>IFERROR(Datos!C3443,"")</f>
        <v/>
      </c>
      <c r="D3443" s="28">
        <f>IFERROR(IF(AND(ISNUMBER(B3443),ISNUMBER(B3442),B3442&lt;&gt;0),B3443/B3442-1,""),"")</f>
        <v/>
      </c>
      <c r="E3443" s="28">
        <f>IFERROR(IF(AND(ISNUMBER(C3443),ISNUMBER(C3442),C3442&lt;&gt;0),C3443/C3442-1,""),"")</f>
        <v/>
      </c>
      <c r="F3443" s="28">
        <f>IFERROR(D3443-Dashboard!$B$4/252,"")</f>
        <v/>
      </c>
      <c r="G3443" s="28">
        <f>IFERROR(E3443-Dashboard!$B$4/252,"")</f>
        <v/>
      </c>
      <c r="H3443" s="8">
        <f>IFERROR(IF(ISNUMBER(B3443),MAX(B3443,IFERROR(H3442,B3443)),""),"")</f>
        <v/>
      </c>
      <c r="I3443" s="29">
        <f>IFERROR(IF(AND(ISNUMBER(B3443),ISNUMBER(H3443)),B3443/H3443-1,""),"")</f>
        <v/>
      </c>
      <c r="J3443" s="8">
        <f>IFERROR(IF(ISNUMBER(C3443),MAX(C3443,IFERROR(J3442,C3443)),""),"")</f>
        <v/>
      </c>
      <c r="K3443" s="29">
        <f>IFERROR(IF(AND(ISNUMBER(C3443),ISNUMBER(J3443)),C3443/J3443-1,""),"")</f>
        <v/>
      </c>
      <c r="L3443" s="28">
        <f>IFERROR(IF(AND(ISNUMBER(D3443),ISNUMBER(E3443)),D3443-E3443,""),"")</f>
        <v/>
      </c>
    </row>
    <row r="3444">
      <c r="A3444" s="7">
        <f>IFERROR(Datos!A3444,"")</f>
        <v/>
      </c>
      <c r="B3444" s="8">
        <f>IFERROR(Datos!B3444,"")</f>
        <v/>
      </c>
      <c r="C3444" s="8">
        <f>IFERROR(Datos!C3444,"")</f>
        <v/>
      </c>
      <c r="D3444" s="28">
        <f>IFERROR(IF(AND(ISNUMBER(B3444),ISNUMBER(B3443),B3443&lt;&gt;0),B3444/B3443-1,""),"")</f>
        <v/>
      </c>
      <c r="E3444" s="28">
        <f>IFERROR(IF(AND(ISNUMBER(C3444),ISNUMBER(C3443),C3443&lt;&gt;0),C3444/C3443-1,""),"")</f>
        <v/>
      </c>
      <c r="F3444" s="28">
        <f>IFERROR(D3444-Dashboard!$B$4/252,"")</f>
        <v/>
      </c>
      <c r="G3444" s="28">
        <f>IFERROR(E3444-Dashboard!$B$4/252,"")</f>
        <v/>
      </c>
      <c r="H3444" s="8">
        <f>IFERROR(IF(ISNUMBER(B3444),MAX(B3444,IFERROR(H3443,B3444)),""),"")</f>
        <v/>
      </c>
      <c r="I3444" s="29">
        <f>IFERROR(IF(AND(ISNUMBER(B3444),ISNUMBER(H3444)),B3444/H3444-1,""),"")</f>
        <v/>
      </c>
      <c r="J3444" s="8">
        <f>IFERROR(IF(ISNUMBER(C3444),MAX(C3444,IFERROR(J3443,C3444)),""),"")</f>
        <v/>
      </c>
      <c r="K3444" s="29">
        <f>IFERROR(IF(AND(ISNUMBER(C3444),ISNUMBER(J3444)),C3444/J3444-1,""),"")</f>
        <v/>
      </c>
      <c r="L3444" s="28">
        <f>IFERROR(IF(AND(ISNUMBER(D3444),ISNUMBER(E3444)),D3444-E3444,""),"")</f>
        <v/>
      </c>
    </row>
    <row r="3445">
      <c r="A3445" s="7">
        <f>IFERROR(Datos!A3445,"")</f>
        <v/>
      </c>
      <c r="B3445" s="8">
        <f>IFERROR(Datos!B3445,"")</f>
        <v/>
      </c>
      <c r="C3445" s="8">
        <f>IFERROR(Datos!C3445,"")</f>
        <v/>
      </c>
      <c r="D3445" s="28">
        <f>IFERROR(IF(AND(ISNUMBER(B3445),ISNUMBER(B3444),B3444&lt;&gt;0),B3445/B3444-1,""),"")</f>
        <v/>
      </c>
      <c r="E3445" s="28">
        <f>IFERROR(IF(AND(ISNUMBER(C3445),ISNUMBER(C3444),C3444&lt;&gt;0),C3445/C3444-1,""),"")</f>
        <v/>
      </c>
      <c r="F3445" s="28">
        <f>IFERROR(D3445-Dashboard!$B$4/252,"")</f>
        <v/>
      </c>
      <c r="G3445" s="28">
        <f>IFERROR(E3445-Dashboard!$B$4/252,"")</f>
        <v/>
      </c>
      <c r="H3445" s="8">
        <f>IFERROR(IF(ISNUMBER(B3445),MAX(B3445,IFERROR(H3444,B3445)),""),"")</f>
        <v/>
      </c>
      <c r="I3445" s="29">
        <f>IFERROR(IF(AND(ISNUMBER(B3445),ISNUMBER(H3445)),B3445/H3445-1,""),"")</f>
        <v/>
      </c>
      <c r="J3445" s="8">
        <f>IFERROR(IF(ISNUMBER(C3445),MAX(C3445,IFERROR(J3444,C3445)),""),"")</f>
        <v/>
      </c>
      <c r="K3445" s="29">
        <f>IFERROR(IF(AND(ISNUMBER(C3445),ISNUMBER(J3445)),C3445/J3445-1,""),"")</f>
        <v/>
      </c>
      <c r="L3445" s="28">
        <f>IFERROR(IF(AND(ISNUMBER(D3445),ISNUMBER(E3445)),D3445-E3445,""),"")</f>
        <v/>
      </c>
    </row>
    <row r="3446">
      <c r="A3446" s="7">
        <f>IFERROR(Datos!A3446,"")</f>
        <v/>
      </c>
      <c r="B3446" s="8">
        <f>IFERROR(Datos!B3446,"")</f>
        <v/>
      </c>
      <c r="C3446" s="8">
        <f>IFERROR(Datos!C3446,"")</f>
        <v/>
      </c>
      <c r="D3446" s="28">
        <f>IFERROR(IF(AND(ISNUMBER(B3446),ISNUMBER(B3445),B3445&lt;&gt;0),B3446/B3445-1,""),"")</f>
        <v/>
      </c>
      <c r="E3446" s="28">
        <f>IFERROR(IF(AND(ISNUMBER(C3446),ISNUMBER(C3445),C3445&lt;&gt;0),C3446/C3445-1,""),"")</f>
        <v/>
      </c>
      <c r="F3446" s="28">
        <f>IFERROR(D3446-Dashboard!$B$4/252,"")</f>
        <v/>
      </c>
      <c r="G3446" s="28">
        <f>IFERROR(E3446-Dashboard!$B$4/252,"")</f>
        <v/>
      </c>
      <c r="H3446" s="8">
        <f>IFERROR(IF(ISNUMBER(B3446),MAX(B3446,IFERROR(H3445,B3446)),""),"")</f>
        <v/>
      </c>
      <c r="I3446" s="29">
        <f>IFERROR(IF(AND(ISNUMBER(B3446),ISNUMBER(H3446)),B3446/H3446-1,""),"")</f>
        <v/>
      </c>
      <c r="J3446" s="8">
        <f>IFERROR(IF(ISNUMBER(C3446),MAX(C3446,IFERROR(J3445,C3446)),""),"")</f>
        <v/>
      </c>
      <c r="K3446" s="29">
        <f>IFERROR(IF(AND(ISNUMBER(C3446),ISNUMBER(J3446)),C3446/J3446-1,""),"")</f>
        <v/>
      </c>
      <c r="L3446" s="28">
        <f>IFERROR(IF(AND(ISNUMBER(D3446),ISNUMBER(E3446)),D3446-E3446,""),"")</f>
        <v/>
      </c>
    </row>
    <row r="3447">
      <c r="A3447" s="7">
        <f>IFERROR(Datos!A3447,"")</f>
        <v/>
      </c>
      <c r="B3447" s="8">
        <f>IFERROR(Datos!B3447,"")</f>
        <v/>
      </c>
      <c r="C3447" s="8">
        <f>IFERROR(Datos!C3447,"")</f>
        <v/>
      </c>
      <c r="D3447" s="28">
        <f>IFERROR(IF(AND(ISNUMBER(B3447),ISNUMBER(B3446),B3446&lt;&gt;0),B3447/B3446-1,""),"")</f>
        <v/>
      </c>
      <c r="E3447" s="28">
        <f>IFERROR(IF(AND(ISNUMBER(C3447),ISNUMBER(C3446),C3446&lt;&gt;0),C3447/C3446-1,""),"")</f>
        <v/>
      </c>
      <c r="F3447" s="28">
        <f>IFERROR(D3447-Dashboard!$B$4/252,"")</f>
        <v/>
      </c>
      <c r="G3447" s="28">
        <f>IFERROR(E3447-Dashboard!$B$4/252,"")</f>
        <v/>
      </c>
      <c r="H3447" s="8">
        <f>IFERROR(IF(ISNUMBER(B3447),MAX(B3447,IFERROR(H3446,B3447)),""),"")</f>
        <v/>
      </c>
      <c r="I3447" s="29">
        <f>IFERROR(IF(AND(ISNUMBER(B3447),ISNUMBER(H3447)),B3447/H3447-1,""),"")</f>
        <v/>
      </c>
      <c r="J3447" s="8">
        <f>IFERROR(IF(ISNUMBER(C3447),MAX(C3447,IFERROR(J3446,C3447)),""),"")</f>
        <v/>
      </c>
      <c r="K3447" s="29">
        <f>IFERROR(IF(AND(ISNUMBER(C3447),ISNUMBER(J3447)),C3447/J3447-1,""),"")</f>
        <v/>
      </c>
      <c r="L3447" s="28">
        <f>IFERROR(IF(AND(ISNUMBER(D3447),ISNUMBER(E3447)),D3447-E3447,""),"")</f>
        <v/>
      </c>
    </row>
    <row r="3448">
      <c r="A3448" s="7">
        <f>IFERROR(Datos!A3448,"")</f>
        <v/>
      </c>
      <c r="B3448" s="8">
        <f>IFERROR(Datos!B3448,"")</f>
        <v/>
      </c>
      <c r="C3448" s="8">
        <f>IFERROR(Datos!C3448,"")</f>
        <v/>
      </c>
      <c r="D3448" s="28">
        <f>IFERROR(IF(AND(ISNUMBER(B3448),ISNUMBER(B3447),B3447&lt;&gt;0),B3448/B3447-1,""),"")</f>
        <v/>
      </c>
      <c r="E3448" s="28">
        <f>IFERROR(IF(AND(ISNUMBER(C3448),ISNUMBER(C3447),C3447&lt;&gt;0),C3448/C3447-1,""),"")</f>
        <v/>
      </c>
      <c r="F3448" s="28">
        <f>IFERROR(D3448-Dashboard!$B$4/252,"")</f>
        <v/>
      </c>
      <c r="G3448" s="28">
        <f>IFERROR(E3448-Dashboard!$B$4/252,"")</f>
        <v/>
      </c>
      <c r="H3448" s="8">
        <f>IFERROR(IF(ISNUMBER(B3448),MAX(B3448,IFERROR(H3447,B3448)),""),"")</f>
        <v/>
      </c>
      <c r="I3448" s="29">
        <f>IFERROR(IF(AND(ISNUMBER(B3448),ISNUMBER(H3448)),B3448/H3448-1,""),"")</f>
        <v/>
      </c>
      <c r="J3448" s="8">
        <f>IFERROR(IF(ISNUMBER(C3448),MAX(C3448,IFERROR(J3447,C3448)),""),"")</f>
        <v/>
      </c>
      <c r="K3448" s="29">
        <f>IFERROR(IF(AND(ISNUMBER(C3448),ISNUMBER(J3448)),C3448/J3448-1,""),"")</f>
        <v/>
      </c>
      <c r="L3448" s="28">
        <f>IFERROR(IF(AND(ISNUMBER(D3448),ISNUMBER(E3448)),D3448-E3448,""),"")</f>
        <v/>
      </c>
    </row>
    <row r="3449">
      <c r="A3449" s="7">
        <f>IFERROR(Datos!A3449,"")</f>
        <v/>
      </c>
      <c r="B3449" s="8">
        <f>IFERROR(Datos!B3449,"")</f>
        <v/>
      </c>
      <c r="C3449" s="8">
        <f>IFERROR(Datos!C3449,"")</f>
        <v/>
      </c>
      <c r="D3449" s="28">
        <f>IFERROR(IF(AND(ISNUMBER(B3449),ISNUMBER(B3448),B3448&lt;&gt;0),B3449/B3448-1,""),"")</f>
        <v/>
      </c>
      <c r="E3449" s="28">
        <f>IFERROR(IF(AND(ISNUMBER(C3449),ISNUMBER(C3448),C3448&lt;&gt;0),C3449/C3448-1,""),"")</f>
        <v/>
      </c>
      <c r="F3449" s="28">
        <f>IFERROR(D3449-Dashboard!$B$4/252,"")</f>
        <v/>
      </c>
      <c r="G3449" s="28">
        <f>IFERROR(E3449-Dashboard!$B$4/252,"")</f>
        <v/>
      </c>
      <c r="H3449" s="8">
        <f>IFERROR(IF(ISNUMBER(B3449),MAX(B3449,IFERROR(H3448,B3449)),""),"")</f>
        <v/>
      </c>
      <c r="I3449" s="29">
        <f>IFERROR(IF(AND(ISNUMBER(B3449),ISNUMBER(H3449)),B3449/H3449-1,""),"")</f>
        <v/>
      </c>
      <c r="J3449" s="8">
        <f>IFERROR(IF(ISNUMBER(C3449),MAX(C3449,IFERROR(J3448,C3449)),""),"")</f>
        <v/>
      </c>
      <c r="K3449" s="29">
        <f>IFERROR(IF(AND(ISNUMBER(C3449),ISNUMBER(J3449)),C3449/J3449-1,""),"")</f>
        <v/>
      </c>
      <c r="L3449" s="28">
        <f>IFERROR(IF(AND(ISNUMBER(D3449),ISNUMBER(E3449)),D3449-E3449,""),"")</f>
        <v/>
      </c>
    </row>
    <row r="3450">
      <c r="A3450" s="7">
        <f>IFERROR(Datos!A3450,"")</f>
        <v/>
      </c>
      <c r="B3450" s="8">
        <f>IFERROR(Datos!B3450,"")</f>
        <v/>
      </c>
      <c r="C3450" s="8">
        <f>IFERROR(Datos!C3450,"")</f>
        <v/>
      </c>
      <c r="D3450" s="28">
        <f>IFERROR(IF(AND(ISNUMBER(B3450),ISNUMBER(B3449),B3449&lt;&gt;0),B3450/B3449-1,""),"")</f>
        <v/>
      </c>
      <c r="E3450" s="28">
        <f>IFERROR(IF(AND(ISNUMBER(C3450),ISNUMBER(C3449),C3449&lt;&gt;0),C3450/C3449-1,""),"")</f>
        <v/>
      </c>
      <c r="F3450" s="28">
        <f>IFERROR(D3450-Dashboard!$B$4/252,"")</f>
        <v/>
      </c>
      <c r="G3450" s="28">
        <f>IFERROR(E3450-Dashboard!$B$4/252,"")</f>
        <v/>
      </c>
      <c r="H3450" s="8">
        <f>IFERROR(IF(ISNUMBER(B3450),MAX(B3450,IFERROR(H3449,B3450)),""),"")</f>
        <v/>
      </c>
      <c r="I3450" s="29">
        <f>IFERROR(IF(AND(ISNUMBER(B3450),ISNUMBER(H3450)),B3450/H3450-1,""),"")</f>
        <v/>
      </c>
      <c r="J3450" s="8">
        <f>IFERROR(IF(ISNUMBER(C3450),MAX(C3450,IFERROR(J3449,C3450)),""),"")</f>
        <v/>
      </c>
      <c r="K3450" s="29">
        <f>IFERROR(IF(AND(ISNUMBER(C3450),ISNUMBER(J3450)),C3450/J3450-1,""),"")</f>
        <v/>
      </c>
      <c r="L3450" s="28">
        <f>IFERROR(IF(AND(ISNUMBER(D3450),ISNUMBER(E3450)),D3450-E3450,""),"")</f>
        <v/>
      </c>
    </row>
    <row r="3451">
      <c r="A3451" s="7">
        <f>IFERROR(Datos!A3451,"")</f>
        <v/>
      </c>
      <c r="B3451" s="8">
        <f>IFERROR(Datos!B3451,"")</f>
        <v/>
      </c>
      <c r="C3451" s="8">
        <f>IFERROR(Datos!C3451,"")</f>
        <v/>
      </c>
      <c r="D3451" s="28">
        <f>IFERROR(IF(AND(ISNUMBER(B3451),ISNUMBER(B3450),B3450&lt;&gt;0),B3451/B3450-1,""),"")</f>
        <v/>
      </c>
      <c r="E3451" s="28">
        <f>IFERROR(IF(AND(ISNUMBER(C3451),ISNUMBER(C3450),C3450&lt;&gt;0),C3451/C3450-1,""),"")</f>
        <v/>
      </c>
      <c r="F3451" s="28">
        <f>IFERROR(D3451-Dashboard!$B$4/252,"")</f>
        <v/>
      </c>
      <c r="G3451" s="28">
        <f>IFERROR(E3451-Dashboard!$B$4/252,"")</f>
        <v/>
      </c>
      <c r="H3451" s="8">
        <f>IFERROR(IF(ISNUMBER(B3451),MAX(B3451,IFERROR(H3450,B3451)),""),"")</f>
        <v/>
      </c>
      <c r="I3451" s="29">
        <f>IFERROR(IF(AND(ISNUMBER(B3451),ISNUMBER(H3451)),B3451/H3451-1,""),"")</f>
        <v/>
      </c>
      <c r="J3451" s="8">
        <f>IFERROR(IF(ISNUMBER(C3451),MAX(C3451,IFERROR(J3450,C3451)),""),"")</f>
        <v/>
      </c>
      <c r="K3451" s="29">
        <f>IFERROR(IF(AND(ISNUMBER(C3451),ISNUMBER(J3451)),C3451/J3451-1,""),"")</f>
        <v/>
      </c>
      <c r="L3451" s="28">
        <f>IFERROR(IF(AND(ISNUMBER(D3451),ISNUMBER(E3451)),D3451-E3451,""),"")</f>
        <v/>
      </c>
    </row>
    <row r="3452">
      <c r="A3452" s="7">
        <f>IFERROR(Datos!A3452,"")</f>
        <v/>
      </c>
      <c r="B3452" s="8">
        <f>IFERROR(Datos!B3452,"")</f>
        <v/>
      </c>
      <c r="C3452" s="8">
        <f>IFERROR(Datos!C3452,"")</f>
        <v/>
      </c>
      <c r="D3452" s="28">
        <f>IFERROR(IF(AND(ISNUMBER(B3452),ISNUMBER(B3451),B3451&lt;&gt;0),B3452/B3451-1,""),"")</f>
        <v/>
      </c>
      <c r="E3452" s="28">
        <f>IFERROR(IF(AND(ISNUMBER(C3452),ISNUMBER(C3451),C3451&lt;&gt;0),C3452/C3451-1,""),"")</f>
        <v/>
      </c>
      <c r="F3452" s="28">
        <f>IFERROR(D3452-Dashboard!$B$4/252,"")</f>
        <v/>
      </c>
      <c r="G3452" s="28">
        <f>IFERROR(E3452-Dashboard!$B$4/252,"")</f>
        <v/>
      </c>
      <c r="H3452" s="8">
        <f>IFERROR(IF(ISNUMBER(B3452),MAX(B3452,IFERROR(H3451,B3452)),""),"")</f>
        <v/>
      </c>
      <c r="I3452" s="29">
        <f>IFERROR(IF(AND(ISNUMBER(B3452),ISNUMBER(H3452)),B3452/H3452-1,""),"")</f>
        <v/>
      </c>
      <c r="J3452" s="8">
        <f>IFERROR(IF(ISNUMBER(C3452),MAX(C3452,IFERROR(J3451,C3452)),""),"")</f>
        <v/>
      </c>
      <c r="K3452" s="29">
        <f>IFERROR(IF(AND(ISNUMBER(C3452),ISNUMBER(J3452)),C3452/J3452-1,""),"")</f>
        <v/>
      </c>
      <c r="L3452" s="28">
        <f>IFERROR(IF(AND(ISNUMBER(D3452),ISNUMBER(E3452)),D3452-E3452,""),"")</f>
        <v/>
      </c>
    </row>
    <row r="3453">
      <c r="A3453" s="7">
        <f>IFERROR(Datos!A3453,"")</f>
        <v/>
      </c>
      <c r="B3453" s="8">
        <f>IFERROR(Datos!B3453,"")</f>
        <v/>
      </c>
      <c r="C3453" s="8">
        <f>IFERROR(Datos!C3453,"")</f>
        <v/>
      </c>
      <c r="D3453" s="28">
        <f>IFERROR(IF(AND(ISNUMBER(B3453),ISNUMBER(B3452),B3452&lt;&gt;0),B3453/B3452-1,""),"")</f>
        <v/>
      </c>
      <c r="E3453" s="28">
        <f>IFERROR(IF(AND(ISNUMBER(C3453),ISNUMBER(C3452),C3452&lt;&gt;0),C3453/C3452-1,""),"")</f>
        <v/>
      </c>
      <c r="F3453" s="28">
        <f>IFERROR(D3453-Dashboard!$B$4/252,"")</f>
        <v/>
      </c>
      <c r="G3453" s="28">
        <f>IFERROR(E3453-Dashboard!$B$4/252,"")</f>
        <v/>
      </c>
      <c r="H3453" s="8">
        <f>IFERROR(IF(ISNUMBER(B3453),MAX(B3453,IFERROR(H3452,B3453)),""),"")</f>
        <v/>
      </c>
      <c r="I3453" s="29">
        <f>IFERROR(IF(AND(ISNUMBER(B3453),ISNUMBER(H3453)),B3453/H3453-1,""),"")</f>
        <v/>
      </c>
      <c r="J3453" s="8">
        <f>IFERROR(IF(ISNUMBER(C3453),MAX(C3453,IFERROR(J3452,C3453)),""),"")</f>
        <v/>
      </c>
      <c r="K3453" s="29">
        <f>IFERROR(IF(AND(ISNUMBER(C3453),ISNUMBER(J3453)),C3453/J3453-1,""),"")</f>
        <v/>
      </c>
      <c r="L3453" s="28">
        <f>IFERROR(IF(AND(ISNUMBER(D3453),ISNUMBER(E3453)),D3453-E3453,""),"")</f>
        <v/>
      </c>
    </row>
    <row r="3454">
      <c r="A3454" s="7">
        <f>IFERROR(Datos!A3454,"")</f>
        <v/>
      </c>
      <c r="B3454" s="8">
        <f>IFERROR(Datos!B3454,"")</f>
        <v/>
      </c>
      <c r="C3454" s="8">
        <f>IFERROR(Datos!C3454,"")</f>
        <v/>
      </c>
      <c r="D3454" s="28">
        <f>IFERROR(IF(AND(ISNUMBER(B3454),ISNUMBER(B3453),B3453&lt;&gt;0),B3454/B3453-1,""),"")</f>
        <v/>
      </c>
      <c r="E3454" s="28">
        <f>IFERROR(IF(AND(ISNUMBER(C3454),ISNUMBER(C3453),C3453&lt;&gt;0),C3454/C3453-1,""),"")</f>
        <v/>
      </c>
      <c r="F3454" s="28">
        <f>IFERROR(D3454-Dashboard!$B$4/252,"")</f>
        <v/>
      </c>
      <c r="G3454" s="28">
        <f>IFERROR(E3454-Dashboard!$B$4/252,"")</f>
        <v/>
      </c>
      <c r="H3454" s="8">
        <f>IFERROR(IF(ISNUMBER(B3454),MAX(B3454,IFERROR(H3453,B3454)),""),"")</f>
        <v/>
      </c>
      <c r="I3454" s="29">
        <f>IFERROR(IF(AND(ISNUMBER(B3454),ISNUMBER(H3454)),B3454/H3454-1,""),"")</f>
        <v/>
      </c>
      <c r="J3454" s="8">
        <f>IFERROR(IF(ISNUMBER(C3454),MAX(C3454,IFERROR(J3453,C3454)),""),"")</f>
        <v/>
      </c>
      <c r="K3454" s="29">
        <f>IFERROR(IF(AND(ISNUMBER(C3454),ISNUMBER(J3454)),C3454/J3454-1,""),"")</f>
        <v/>
      </c>
      <c r="L3454" s="28">
        <f>IFERROR(IF(AND(ISNUMBER(D3454),ISNUMBER(E3454)),D3454-E3454,""),"")</f>
        <v/>
      </c>
    </row>
    <row r="3455">
      <c r="A3455" s="7">
        <f>IFERROR(Datos!A3455,"")</f>
        <v/>
      </c>
      <c r="B3455" s="8">
        <f>IFERROR(Datos!B3455,"")</f>
        <v/>
      </c>
      <c r="C3455" s="8">
        <f>IFERROR(Datos!C3455,"")</f>
        <v/>
      </c>
      <c r="D3455" s="28">
        <f>IFERROR(IF(AND(ISNUMBER(B3455),ISNUMBER(B3454),B3454&lt;&gt;0),B3455/B3454-1,""),"")</f>
        <v/>
      </c>
      <c r="E3455" s="28">
        <f>IFERROR(IF(AND(ISNUMBER(C3455),ISNUMBER(C3454),C3454&lt;&gt;0),C3455/C3454-1,""),"")</f>
        <v/>
      </c>
      <c r="F3455" s="28">
        <f>IFERROR(D3455-Dashboard!$B$4/252,"")</f>
        <v/>
      </c>
      <c r="G3455" s="28">
        <f>IFERROR(E3455-Dashboard!$B$4/252,"")</f>
        <v/>
      </c>
      <c r="H3455" s="8">
        <f>IFERROR(IF(ISNUMBER(B3455),MAX(B3455,IFERROR(H3454,B3455)),""),"")</f>
        <v/>
      </c>
      <c r="I3455" s="29">
        <f>IFERROR(IF(AND(ISNUMBER(B3455),ISNUMBER(H3455)),B3455/H3455-1,""),"")</f>
        <v/>
      </c>
      <c r="J3455" s="8">
        <f>IFERROR(IF(ISNUMBER(C3455),MAX(C3455,IFERROR(J3454,C3455)),""),"")</f>
        <v/>
      </c>
      <c r="K3455" s="29">
        <f>IFERROR(IF(AND(ISNUMBER(C3455),ISNUMBER(J3455)),C3455/J3455-1,""),"")</f>
        <v/>
      </c>
      <c r="L3455" s="28">
        <f>IFERROR(IF(AND(ISNUMBER(D3455),ISNUMBER(E3455)),D3455-E3455,""),"")</f>
        <v/>
      </c>
    </row>
    <row r="3456">
      <c r="A3456" s="7">
        <f>IFERROR(Datos!A3456,"")</f>
        <v/>
      </c>
      <c r="B3456" s="8">
        <f>IFERROR(Datos!B3456,"")</f>
        <v/>
      </c>
      <c r="C3456" s="8">
        <f>IFERROR(Datos!C3456,"")</f>
        <v/>
      </c>
      <c r="D3456" s="28">
        <f>IFERROR(IF(AND(ISNUMBER(B3456),ISNUMBER(B3455),B3455&lt;&gt;0),B3456/B3455-1,""),"")</f>
        <v/>
      </c>
      <c r="E3456" s="28">
        <f>IFERROR(IF(AND(ISNUMBER(C3456),ISNUMBER(C3455),C3455&lt;&gt;0),C3456/C3455-1,""),"")</f>
        <v/>
      </c>
      <c r="F3456" s="28">
        <f>IFERROR(D3456-Dashboard!$B$4/252,"")</f>
        <v/>
      </c>
      <c r="G3456" s="28">
        <f>IFERROR(E3456-Dashboard!$B$4/252,"")</f>
        <v/>
      </c>
      <c r="H3456" s="8">
        <f>IFERROR(IF(ISNUMBER(B3456),MAX(B3456,IFERROR(H3455,B3456)),""),"")</f>
        <v/>
      </c>
      <c r="I3456" s="29">
        <f>IFERROR(IF(AND(ISNUMBER(B3456),ISNUMBER(H3456)),B3456/H3456-1,""),"")</f>
        <v/>
      </c>
      <c r="J3456" s="8">
        <f>IFERROR(IF(ISNUMBER(C3456),MAX(C3456,IFERROR(J3455,C3456)),""),"")</f>
        <v/>
      </c>
      <c r="K3456" s="29">
        <f>IFERROR(IF(AND(ISNUMBER(C3456),ISNUMBER(J3456)),C3456/J3456-1,""),"")</f>
        <v/>
      </c>
      <c r="L3456" s="28">
        <f>IFERROR(IF(AND(ISNUMBER(D3456),ISNUMBER(E3456)),D3456-E3456,""),"")</f>
        <v/>
      </c>
    </row>
    <row r="3457">
      <c r="A3457" s="7">
        <f>IFERROR(Datos!A3457,"")</f>
        <v/>
      </c>
      <c r="B3457" s="8">
        <f>IFERROR(Datos!B3457,"")</f>
        <v/>
      </c>
      <c r="C3457" s="8">
        <f>IFERROR(Datos!C3457,"")</f>
        <v/>
      </c>
      <c r="D3457" s="28">
        <f>IFERROR(IF(AND(ISNUMBER(B3457),ISNUMBER(B3456),B3456&lt;&gt;0),B3457/B3456-1,""),"")</f>
        <v/>
      </c>
      <c r="E3457" s="28">
        <f>IFERROR(IF(AND(ISNUMBER(C3457),ISNUMBER(C3456),C3456&lt;&gt;0),C3457/C3456-1,""),"")</f>
        <v/>
      </c>
      <c r="F3457" s="28">
        <f>IFERROR(D3457-Dashboard!$B$4/252,"")</f>
        <v/>
      </c>
      <c r="G3457" s="28">
        <f>IFERROR(E3457-Dashboard!$B$4/252,"")</f>
        <v/>
      </c>
      <c r="H3457" s="8">
        <f>IFERROR(IF(ISNUMBER(B3457),MAX(B3457,IFERROR(H3456,B3457)),""),"")</f>
        <v/>
      </c>
      <c r="I3457" s="29">
        <f>IFERROR(IF(AND(ISNUMBER(B3457),ISNUMBER(H3457)),B3457/H3457-1,""),"")</f>
        <v/>
      </c>
      <c r="J3457" s="8">
        <f>IFERROR(IF(ISNUMBER(C3457),MAX(C3457,IFERROR(J3456,C3457)),""),"")</f>
        <v/>
      </c>
      <c r="K3457" s="29">
        <f>IFERROR(IF(AND(ISNUMBER(C3457),ISNUMBER(J3457)),C3457/J3457-1,""),"")</f>
        <v/>
      </c>
      <c r="L3457" s="28">
        <f>IFERROR(IF(AND(ISNUMBER(D3457),ISNUMBER(E3457)),D3457-E3457,""),"")</f>
        <v/>
      </c>
    </row>
    <row r="3458">
      <c r="A3458" s="7">
        <f>IFERROR(Datos!A3458,"")</f>
        <v/>
      </c>
      <c r="B3458" s="8">
        <f>IFERROR(Datos!B3458,"")</f>
        <v/>
      </c>
      <c r="C3458" s="8">
        <f>IFERROR(Datos!C3458,"")</f>
        <v/>
      </c>
      <c r="D3458" s="28">
        <f>IFERROR(IF(AND(ISNUMBER(B3458),ISNUMBER(B3457),B3457&lt;&gt;0),B3458/B3457-1,""),"")</f>
        <v/>
      </c>
      <c r="E3458" s="28">
        <f>IFERROR(IF(AND(ISNUMBER(C3458),ISNUMBER(C3457),C3457&lt;&gt;0),C3458/C3457-1,""),"")</f>
        <v/>
      </c>
      <c r="F3458" s="28">
        <f>IFERROR(D3458-Dashboard!$B$4/252,"")</f>
        <v/>
      </c>
      <c r="G3458" s="28">
        <f>IFERROR(E3458-Dashboard!$B$4/252,"")</f>
        <v/>
      </c>
      <c r="H3458" s="8">
        <f>IFERROR(IF(ISNUMBER(B3458),MAX(B3458,IFERROR(H3457,B3458)),""),"")</f>
        <v/>
      </c>
      <c r="I3458" s="29">
        <f>IFERROR(IF(AND(ISNUMBER(B3458),ISNUMBER(H3458)),B3458/H3458-1,""),"")</f>
        <v/>
      </c>
      <c r="J3458" s="8">
        <f>IFERROR(IF(ISNUMBER(C3458),MAX(C3458,IFERROR(J3457,C3458)),""),"")</f>
        <v/>
      </c>
      <c r="K3458" s="29">
        <f>IFERROR(IF(AND(ISNUMBER(C3458),ISNUMBER(J3458)),C3458/J3458-1,""),"")</f>
        <v/>
      </c>
      <c r="L3458" s="28">
        <f>IFERROR(IF(AND(ISNUMBER(D3458),ISNUMBER(E3458)),D3458-E3458,""),"")</f>
        <v/>
      </c>
    </row>
    <row r="3459">
      <c r="A3459" s="7">
        <f>IFERROR(Datos!A3459,"")</f>
        <v/>
      </c>
      <c r="B3459" s="8">
        <f>IFERROR(Datos!B3459,"")</f>
        <v/>
      </c>
      <c r="C3459" s="8">
        <f>IFERROR(Datos!C3459,"")</f>
        <v/>
      </c>
      <c r="D3459" s="28">
        <f>IFERROR(IF(AND(ISNUMBER(B3459),ISNUMBER(B3458),B3458&lt;&gt;0),B3459/B3458-1,""),"")</f>
        <v/>
      </c>
      <c r="E3459" s="28">
        <f>IFERROR(IF(AND(ISNUMBER(C3459),ISNUMBER(C3458),C3458&lt;&gt;0),C3459/C3458-1,""),"")</f>
        <v/>
      </c>
      <c r="F3459" s="28">
        <f>IFERROR(D3459-Dashboard!$B$4/252,"")</f>
        <v/>
      </c>
      <c r="G3459" s="28">
        <f>IFERROR(E3459-Dashboard!$B$4/252,"")</f>
        <v/>
      </c>
      <c r="H3459" s="8">
        <f>IFERROR(IF(ISNUMBER(B3459),MAX(B3459,IFERROR(H3458,B3459)),""),"")</f>
        <v/>
      </c>
      <c r="I3459" s="29">
        <f>IFERROR(IF(AND(ISNUMBER(B3459),ISNUMBER(H3459)),B3459/H3459-1,""),"")</f>
        <v/>
      </c>
      <c r="J3459" s="8">
        <f>IFERROR(IF(ISNUMBER(C3459),MAX(C3459,IFERROR(J3458,C3459)),""),"")</f>
        <v/>
      </c>
      <c r="K3459" s="29">
        <f>IFERROR(IF(AND(ISNUMBER(C3459),ISNUMBER(J3459)),C3459/J3459-1,""),"")</f>
        <v/>
      </c>
      <c r="L3459" s="28">
        <f>IFERROR(IF(AND(ISNUMBER(D3459),ISNUMBER(E3459)),D3459-E3459,""),"")</f>
        <v/>
      </c>
    </row>
    <row r="3460">
      <c r="A3460" s="7">
        <f>IFERROR(Datos!A3460,"")</f>
        <v/>
      </c>
      <c r="B3460" s="8">
        <f>IFERROR(Datos!B3460,"")</f>
        <v/>
      </c>
      <c r="C3460" s="8">
        <f>IFERROR(Datos!C3460,"")</f>
        <v/>
      </c>
      <c r="D3460" s="28">
        <f>IFERROR(IF(AND(ISNUMBER(B3460),ISNUMBER(B3459),B3459&lt;&gt;0),B3460/B3459-1,""),"")</f>
        <v/>
      </c>
      <c r="E3460" s="28">
        <f>IFERROR(IF(AND(ISNUMBER(C3460),ISNUMBER(C3459),C3459&lt;&gt;0),C3460/C3459-1,""),"")</f>
        <v/>
      </c>
      <c r="F3460" s="28">
        <f>IFERROR(D3460-Dashboard!$B$4/252,"")</f>
        <v/>
      </c>
      <c r="G3460" s="28">
        <f>IFERROR(E3460-Dashboard!$B$4/252,"")</f>
        <v/>
      </c>
      <c r="H3460" s="8">
        <f>IFERROR(IF(ISNUMBER(B3460),MAX(B3460,IFERROR(H3459,B3460)),""),"")</f>
        <v/>
      </c>
      <c r="I3460" s="29">
        <f>IFERROR(IF(AND(ISNUMBER(B3460),ISNUMBER(H3460)),B3460/H3460-1,""),"")</f>
        <v/>
      </c>
      <c r="J3460" s="8">
        <f>IFERROR(IF(ISNUMBER(C3460),MAX(C3460,IFERROR(J3459,C3460)),""),"")</f>
        <v/>
      </c>
      <c r="K3460" s="29">
        <f>IFERROR(IF(AND(ISNUMBER(C3460),ISNUMBER(J3460)),C3460/J3460-1,""),"")</f>
        <v/>
      </c>
      <c r="L3460" s="28">
        <f>IFERROR(IF(AND(ISNUMBER(D3460),ISNUMBER(E3460)),D3460-E3460,""),"")</f>
        <v/>
      </c>
    </row>
    <row r="3461">
      <c r="A3461" s="7">
        <f>IFERROR(Datos!A3461,"")</f>
        <v/>
      </c>
      <c r="B3461" s="8">
        <f>IFERROR(Datos!B3461,"")</f>
        <v/>
      </c>
      <c r="C3461" s="8">
        <f>IFERROR(Datos!C3461,"")</f>
        <v/>
      </c>
      <c r="D3461" s="28">
        <f>IFERROR(IF(AND(ISNUMBER(B3461),ISNUMBER(B3460),B3460&lt;&gt;0),B3461/B3460-1,""),"")</f>
        <v/>
      </c>
      <c r="E3461" s="28">
        <f>IFERROR(IF(AND(ISNUMBER(C3461),ISNUMBER(C3460),C3460&lt;&gt;0),C3461/C3460-1,""),"")</f>
        <v/>
      </c>
      <c r="F3461" s="28">
        <f>IFERROR(D3461-Dashboard!$B$4/252,"")</f>
        <v/>
      </c>
      <c r="G3461" s="28">
        <f>IFERROR(E3461-Dashboard!$B$4/252,"")</f>
        <v/>
      </c>
      <c r="H3461" s="8">
        <f>IFERROR(IF(ISNUMBER(B3461),MAX(B3461,IFERROR(H3460,B3461)),""),"")</f>
        <v/>
      </c>
      <c r="I3461" s="29">
        <f>IFERROR(IF(AND(ISNUMBER(B3461),ISNUMBER(H3461)),B3461/H3461-1,""),"")</f>
        <v/>
      </c>
      <c r="J3461" s="8">
        <f>IFERROR(IF(ISNUMBER(C3461),MAX(C3461,IFERROR(J3460,C3461)),""),"")</f>
        <v/>
      </c>
      <c r="K3461" s="29">
        <f>IFERROR(IF(AND(ISNUMBER(C3461),ISNUMBER(J3461)),C3461/J3461-1,""),"")</f>
        <v/>
      </c>
      <c r="L3461" s="28">
        <f>IFERROR(IF(AND(ISNUMBER(D3461),ISNUMBER(E3461)),D3461-E3461,""),"")</f>
        <v/>
      </c>
    </row>
    <row r="3462">
      <c r="A3462" s="7">
        <f>IFERROR(Datos!A3462,"")</f>
        <v/>
      </c>
      <c r="B3462" s="8">
        <f>IFERROR(Datos!B3462,"")</f>
        <v/>
      </c>
      <c r="C3462" s="8">
        <f>IFERROR(Datos!C3462,"")</f>
        <v/>
      </c>
      <c r="D3462" s="28">
        <f>IFERROR(IF(AND(ISNUMBER(B3462),ISNUMBER(B3461),B3461&lt;&gt;0),B3462/B3461-1,""),"")</f>
        <v/>
      </c>
      <c r="E3462" s="28">
        <f>IFERROR(IF(AND(ISNUMBER(C3462),ISNUMBER(C3461),C3461&lt;&gt;0),C3462/C3461-1,""),"")</f>
        <v/>
      </c>
      <c r="F3462" s="28">
        <f>IFERROR(D3462-Dashboard!$B$4/252,"")</f>
        <v/>
      </c>
      <c r="G3462" s="28">
        <f>IFERROR(E3462-Dashboard!$B$4/252,"")</f>
        <v/>
      </c>
      <c r="H3462" s="8">
        <f>IFERROR(IF(ISNUMBER(B3462),MAX(B3462,IFERROR(H3461,B3462)),""),"")</f>
        <v/>
      </c>
      <c r="I3462" s="29">
        <f>IFERROR(IF(AND(ISNUMBER(B3462),ISNUMBER(H3462)),B3462/H3462-1,""),"")</f>
        <v/>
      </c>
      <c r="J3462" s="8">
        <f>IFERROR(IF(ISNUMBER(C3462),MAX(C3462,IFERROR(J3461,C3462)),""),"")</f>
        <v/>
      </c>
      <c r="K3462" s="29">
        <f>IFERROR(IF(AND(ISNUMBER(C3462),ISNUMBER(J3462)),C3462/J3462-1,""),"")</f>
        <v/>
      </c>
      <c r="L3462" s="28">
        <f>IFERROR(IF(AND(ISNUMBER(D3462),ISNUMBER(E3462)),D3462-E3462,""),"")</f>
        <v/>
      </c>
    </row>
    <row r="3463">
      <c r="A3463" s="7">
        <f>IFERROR(Datos!A3463,"")</f>
        <v/>
      </c>
      <c r="B3463" s="8">
        <f>IFERROR(Datos!B3463,"")</f>
        <v/>
      </c>
      <c r="C3463" s="8">
        <f>IFERROR(Datos!C3463,"")</f>
        <v/>
      </c>
      <c r="D3463" s="28">
        <f>IFERROR(IF(AND(ISNUMBER(B3463),ISNUMBER(B3462),B3462&lt;&gt;0),B3463/B3462-1,""),"")</f>
        <v/>
      </c>
      <c r="E3463" s="28">
        <f>IFERROR(IF(AND(ISNUMBER(C3463),ISNUMBER(C3462),C3462&lt;&gt;0),C3463/C3462-1,""),"")</f>
        <v/>
      </c>
      <c r="F3463" s="28">
        <f>IFERROR(D3463-Dashboard!$B$4/252,"")</f>
        <v/>
      </c>
      <c r="G3463" s="28">
        <f>IFERROR(E3463-Dashboard!$B$4/252,"")</f>
        <v/>
      </c>
      <c r="H3463" s="8">
        <f>IFERROR(IF(ISNUMBER(B3463),MAX(B3463,IFERROR(H3462,B3463)),""),"")</f>
        <v/>
      </c>
      <c r="I3463" s="29">
        <f>IFERROR(IF(AND(ISNUMBER(B3463),ISNUMBER(H3463)),B3463/H3463-1,""),"")</f>
        <v/>
      </c>
      <c r="J3463" s="8">
        <f>IFERROR(IF(ISNUMBER(C3463),MAX(C3463,IFERROR(J3462,C3463)),""),"")</f>
        <v/>
      </c>
      <c r="K3463" s="29">
        <f>IFERROR(IF(AND(ISNUMBER(C3463),ISNUMBER(J3463)),C3463/J3463-1,""),"")</f>
        <v/>
      </c>
      <c r="L3463" s="28">
        <f>IFERROR(IF(AND(ISNUMBER(D3463),ISNUMBER(E3463)),D3463-E3463,""),"")</f>
        <v/>
      </c>
    </row>
    <row r="3464">
      <c r="A3464" s="7">
        <f>IFERROR(Datos!A3464,"")</f>
        <v/>
      </c>
      <c r="B3464" s="8">
        <f>IFERROR(Datos!B3464,"")</f>
        <v/>
      </c>
      <c r="C3464" s="8">
        <f>IFERROR(Datos!C3464,"")</f>
        <v/>
      </c>
      <c r="D3464" s="28">
        <f>IFERROR(IF(AND(ISNUMBER(B3464),ISNUMBER(B3463),B3463&lt;&gt;0),B3464/B3463-1,""),"")</f>
        <v/>
      </c>
      <c r="E3464" s="28">
        <f>IFERROR(IF(AND(ISNUMBER(C3464),ISNUMBER(C3463),C3463&lt;&gt;0),C3464/C3463-1,""),"")</f>
        <v/>
      </c>
      <c r="F3464" s="28">
        <f>IFERROR(D3464-Dashboard!$B$4/252,"")</f>
        <v/>
      </c>
      <c r="G3464" s="28">
        <f>IFERROR(E3464-Dashboard!$B$4/252,"")</f>
        <v/>
      </c>
      <c r="H3464" s="8">
        <f>IFERROR(IF(ISNUMBER(B3464),MAX(B3464,IFERROR(H3463,B3464)),""),"")</f>
        <v/>
      </c>
      <c r="I3464" s="29">
        <f>IFERROR(IF(AND(ISNUMBER(B3464),ISNUMBER(H3464)),B3464/H3464-1,""),"")</f>
        <v/>
      </c>
      <c r="J3464" s="8">
        <f>IFERROR(IF(ISNUMBER(C3464),MAX(C3464,IFERROR(J3463,C3464)),""),"")</f>
        <v/>
      </c>
      <c r="K3464" s="29">
        <f>IFERROR(IF(AND(ISNUMBER(C3464),ISNUMBER(J3464)),C3464/J3464-1,""),"")</f>
        <v/>
      </c>
      <c r="L3464" s="28">
        <f>IFERROR(IF(AND(ISNUMBER(D3464),ISNUMBER(E3464)),D3464-E3464,""),"")</f>
        <v/>
      </c>
    </row>
    <row r="3465">
      <c r="A3465" s="7">
        <f>IFERROR(Datos!A3465,"")</f>
        <v/>
      </c>
      <c r="B3465" s="8">
        <f>IFERROR(Datos!B3465,"")</f>
        <v/>
      </c>
      <c r="C3465" s="8">
        <f>IFERROR(Datos!C3465,"")</f>
        <v/>
      </c>
      <c r="D3465" s="28">
        <f>IFERROR(IF(AND(ISNUMBER(B3465),ISNUMBER(B3464),B3464&lt;&gt;0),B3465/B3464-1,""),"")</f>
        <v/>
      </c>
      <c r="E3465" s="28">
        <f>IFERROR(IF(AND(ISNUMBER(C3465),ISNUMBER(C3464),C3464&lt;&gt;0),C3465/C3464-1,""),"")</f>
        <v/>
      </c>
      <c r="F3465" s="28">
        <f>IFERROR(D3465-Dashboard!$B$4/252,"")</f>
        <v/>
      </c>
      <c r="G3465" s="28">
        <f>IFERROR(E3465-Dashboard!$B$4/252,"")</f>
        <v/>
      </c>
      <c r="H3465" s="8">
        <f>IFERROR(IF(ISNUMBER(B3465),MAX(B3465,IFERROR(H3464,B3465)),""),"")</f>
        <v/>
      </c>
      <c r="I3465" s="29">
        <f>IFERROR(IF(AND(ISNUMBER(B3465),ISNUMBER(H3465)),B3465/H3465-1,""),"")</f>
        <v/>
      </c>
      <c r="J3465" s="8">
        <f>IFERROR(IF(ISNUMBER(C3465),MAX(C3465,IFERROR(J3464,C3465)),""),"")</f>
        <v/>
      </c>
      <c r="K3465" s="29">
        <f>IFERROR(IF(AND(ISNUMBER(C3465),ISNUMBER(J3465)),C3465/J3465-1,""),"")</f>
        <v/>
      </c>
      <c r="L3465" s="28">
        <f>IFERROR(IF(AND(ISNUMBER(D3465),ISNUMBER(E3465)),D3465-E3465,""),"")</f>
        <v/>
      </c>
    </row>
    <row r="3466">
      <c r="A3466" s="7">
        <f>IFERROR(Datos!A3466,"")</f>
        <v/>
      </c>
      <c r="B3466" s="8">
        <f>IFERROR(Datos!B3466,"")</f>
        <v/>
      </c>
      <c r="C3466" s="8">
        <f>IFERROR(Datos!C3466,"")</f>
        <v/>
      </c>
      <c r="D3466" s="28">
        <f>IFERROR(IF(AND(ISNUMBER(B3466),ISNUMBER(B3465),B3465&lt;&gt;0),B3466/B3465-1,""),"")</f>
        <v/>
      </c>
      <c r="E3466" s="28">
        <f>IFERROR(IF(AND(ISNUMBER(C3466),ISNUMBER(C3465),C3465&lt;&gt;0),C3466/C3465-1,""),"")</f>
        <v/>
      </c>
      <c r="F3466" s="28">
        <f>IFERROR(D3466-Dashboard!$B$4/252,"")</f>
        <v/>
      </c>
      <c r="G3466" s="28">
        <f>IFERROR(E3466-Dashboard!$B$4/252,"")</f>
        <v/>
      </c>
      <c r="H3466" s="8">
        <f>IFERROR(IF(ISNUMBER(B3466),MAX(B3466,IFERROR(H3465,B3466)),""),"")</f>
        <v/>
      </c>
      <c r="I3466" s="29">
        <f>IFERROR(IF(AND(ISNUMBER(B3466),ISNUMBER(H3466)),B3466/H3466-1,""),"")</f>
        <v/>
      </c>
      <c r="J3466" s="8">
        <f>IFERROR(IF(ISNUMBER(C3466),MAX(C3466,IFERROR(J3465,C3466)),""),"")</f>
        <v/>
      </c>
      <c r="K3466" s="29">
        <f>IFERROR(IF(AND(ISNUMBER(C3466),ISNUMBER(J3466)),C3466/J3466-1,""),"")</f>
        <v/>
      </c>
      <c r="L3466" s="28">
        <f>IFERROR(IF(AND(ISNUMBER(D3466),ISNUMBER(E3466)),D3466-E3466,""),"")</f>
        <v/>
      </c>
    </row>
    <row r="3467">
      <c r="A3467" s="7">
        <f>IFERROR(Datos!A3467,"")</f>
        <v/>
      </c>
      <c r="B3467" s="8">
        <f>IFERROR(Datos!B3467,"")</f>
        <v/>
      </c>
      <c r="C3467" s="8">
        <f>IFERROR(Datos!C3467,"")</f>
        <v/>
      </c>
      <c r="D3467" s="28">
        <f>IFERROR(IF(AND(ISNUMBER(B3467),ISNUMBER(B3466),B3466&lt;&gt;0),B3467/B3466-1,""),"")</f>
        <v/>
      </c>
      <c r="E3467" s="28">
        <f>IFERROR(IF(AND(ISNUMBER(C3467),ISNUMBER(C3466),C3466&lt;&gt;0),C3467/C3466-1,""),"")</f>
        <v/>
      </c>
      <c r="F3467" s="28">
        <f>IFERROR(D3467-Dashboard!$B$4/252,"")</f>
        <v/>
      </c>
      <c r="G3467" s="28">
        <f>IFERROR(E3467-Dashboard!$B$4/252,"")</f>
        <v/>
      </c>
      <c r="H3467" s="8">
        <f>IFERROR(IF(ISNUMBER(B3467),MAX(B3467,IFERROR(H3466,B3467)),""),"")</f>
        <v/>
      </c>
      <c r="I3467" s="29">
        <f>IFERROR(IF(AND(ISNUMBER(B3467),ISNUMBER(H3467)),B3467/H3467-1,""),"")</f>
        <v/>
      </c>
      <c r="J3467" s="8">
        <f>IFERROR(IF(ISNUMBER(C3467),MAX(C3467,IFERROR(J3466,C3467)),""),"")</f>
        <v/>
      </c>
      <c r="K3467" s="29">
        <f>IFERROR(IF(AND(ISNUMBER(C3467),ISNUMBER(J3467)),C3467/J3467-1,""),"")</f>
        <v/>
      </c>
      <c r="L3467" s="28">
        <f>IFERROR(IF(AND(ISNUMBER(D3467),ISNUMBER(E3467)),D3467-E3467,""),"")</f>
        <v/>
      </c>
    </row>
    <row r="3468">
      <c r="A3468" s="7">
        <f>IFERROR(Datos!A3468,"")</f>
        <v/>
      </c>
      <c r="B3468" s="8">
        <f>IFERROR(Datos!B3468,"")</f>
        <v/>
      </c>
      <c r="C3468" s="8">
        <f>IFERROR(Datos!C3468,"")</f>
        <v/>
      </c>
      <c r="D3468" s="28">
        <f>IFERROR(IF(AND(ISNUMBER(B3468),ISNUMBER(B3467),B3467&lt;&gt;0),B3468/B3467-1,""),"")</f>
        <v/>
      </c>
      <c r="E3468" s="28">
        <f>IFERROR(IF(AND(ISNUMBER(C3468),ISNUMBER(C3467),C3467&lt;&gt;0),C3468/C3467-1,""),"")</f>
        <v/>
      </c>
      <c r="F3468" s="28">
        <f>IFERROR(D3468-Dashboard!$B$4/252,"")</f>
        <v/>
      </c>
      <c r="G3468" s="28">
        <f>IFERROR(E3468-Dashboard!$B$4/252,"")</f>
        <v/>
      </c>
      <c r="H3468" s="8">
        <f>IFERROR(IF(ISNUMBER(B3468),MAX(B3468,IFERROR(H3467,B3468)),""),"")</f>
        <v/>
      </c>
      <c r="I3468" s="29">
        <f>IFERROR(IF(AND(ISNUMBER(B3468),ISNUMBER(H3468)),B3468/H3468-1,""),"")</f>
        <v/>
      </c>
      <c r="J3468" s="8">
        <f>IFERROR(IF(ISNUMBER(C3468),MAX(C3468,IFERROR(J3467,C3468)),""),"")</f>
        <v/>
      </c>
      <c r="K3468" s="29">
        <f>IFERROR(IF(AND(ISNUMBER(C3468),ISNUMBER(J3468)),C3468/J3468-1,""),"")</f>
        <v/>
      </c>
      <c r="L3468" s="28">
        <f>IFERROR(IF(AND(ISNUMBER(D3468),ISNUMBER(E3468)),D3468-E3468,""),"")</f>
        <v/>
      </c>
    </row>
    <row r="3469">
      <c r="A3469" s="7">
        <f>IFERROR(Datos!A3469,"")</f>
        <v/>
      </c>
      <c r="B3469" s="8">
        <f>IFERROR(Datos!B3469,"")</f>
        <v/>
      </c>
      <c r="C3469" s="8">
        <f>IFERROR(Datos!C3469,"")</f>
        <v/>
      </c>
      <c r="D3469" s="28">
        <f>IFERROR(IF(AND(ISNUMBER(B3469),ISNUMBER(B3468),B3468&lt;&gt;0),B3469/B3468-1,""),"")</f>
        <v/>
      </c>
      <c r="E3469" s="28">
        <f>IFERROR(IF(AND(ISNUMBER(C3469),ISNUMBER(C3468),C3468&lt;&gt;0),C3469/C3468-1,""),"")</f>
        <v/>
      </c>
      <c r="F3469" s="28">
        <f>IFERROR(D3469-Dashboard!$B$4/252,"")</f>
        <v/>
      </c>
      <c r="G3469" s="28">
        <f>IFERROR(E3469-Dashboard!$B$4/252,"")</f>
        <v/>
      </c>
      <c r="H3469" s="8">
        <f>IFERROR(IF(ISNUMBER(B3469),MAX(B3469,IFERROR(H3468,B3469)),""),"")</f>
        <v/>
      </c>
      <c r="I3469" s="29">
        <f>IFERROR(IF(AND(ISNUMBER(B3469),ISNUMBER(H3469)),B3469/H3469-1,""),"")</f>
        <v/>
      </c>
      <c r="J3469" s="8">
        <f>IFERROR(IF(ISNUMBER(C3469),MAX(C3469,IFERROR(J3468,C3469)),""),"")</f>
        <v/>
      </c>
      <c r="K3469" s="29">
        <f>IFERROR(IF(AND(ISNUMBER(C3469),ISNUMBER(J3469)),C3469/J3469-1,""),"")</f>
        <v/>
      </c>
      <c r="L3469" s="28">
        <f>IFERROR(IF(AND(ISNUMBER(D3469),ISNUMBER(E3469)),D3469-E3469,""),"")</f>
        <v/>
      </c>
    </row>
    <row r="3470">
      <c r="A3470" s="7">
        <f>IFERROR(Datos!A3470,"")</f>
        <v/>
      </c>
      <c r="B3470" s="8">
        <f>IFERROR(Datos!B3470,"")</f>
        <v/>
      </c>
      <c r="C3470" s="8">
        <f>IFERROR(Datos!C3470,"")</f>
        <v/>
      </c>
      <c r="D3470" s="28">
        <f>IFERROR(IF(AND(ISNUMBER(B3470),ISNUMBER(B3469),B3469&lt;&gt;0),B3470/B3469-1,""),"")</f>
        <v/>
      </c>
      <c r="E3470" s="28">
        <f>IFERROR(IF(AND(ISNUMBER(C3470),ISNUMBER(C3469),C3469&lt;&gt;0),C3470/C3469-1,""),"")</f>
        <v/>
      </c>
      <c r="F3470" s="28">
        <f>IFERROR(D3470-Dashboard!$B$4/252,"")</f>
        <v/>
      </c>
      <c r="G3470" s="28">
        <f>IFERROR(E3470-Dashboard!$B$4/252,"")</f>
        <v/>
      </c>
      <c r="H3470" s="8">
        <f>IFERROR(IF(ISNUMBER(B3470),MAX(B3470,IFERROR(H3469,B3470)),""),"")</f>
        <v/>
      </c>
      <c r="I3470" s="29">
        <f>IFERROR(IF(AND(ISNUMBER(B3470),ISNUMBER(H3470)),B3470/H3470-1,""),"")</f>
        <v/>
      </c>
      <c r="J3470" s="8">
        <f>IFERROR(IF(ISNUMBER(C3470),MAX(C3470,IFERROR(J3469,C3470)),""),"")</f>
        <v/>
      </c>
      <c r="K3470" s="29">
        <f>IFERROR(IF(AND(ISNUMBER(C3470),ISNUMBER(J3470)),C3470/J3470-1,""),"")</f>
        <v/>
      </c>
      <c r="L3470" s="28">
        <f>IFERROR(IF(AND(ISNUMBER(D3470),ISNUMBER(E3470)),D3470-E3470,""),"")</f>
        <v/>
      </c>
    </row>
    <row r="3471">
      <c r="A3471" s="7">
        <f>IFERROR(Datos!A3471,"")</f>
        <v/>
      </c>
      <c r="B3471" s="8">
        <f>IFERROR(Datos!B3471,"")</f>
        <v/>
      </c>
      <c r="C3471" s="8">
        <f>IFERROR(Datos!C3471,"")</f>
        <v/>
      </c>
      <c r="D3471" s="28">
        <f>IFERROR(IF(AND(ISNUMBER(B3471),ISNUMBER(B3470),B3470&lt;&gt;0),B3471/B3470-1,""),"")</f>
        <v/>
      </c>
      <c r="E3471" s="28">
        <f>IFERROR(IF(AND(ISNUMBER(C3471),ISNUMBER(C3470),C3470&lt;&gt;0),C3471/C3470-1,""),"")</f>
        <v/>
      </c>
      <c r="F3471" s="28">
        <f>IFERROR(D3471-Dashboard!$B$4/252,"")</f>
        <v/>
      </c>
      <c r="G3471" s="28">
        <f>IFERROR(E3471-Dashboard!$B$4/252,"")</f>
        <v/>
      </c>
      <c r="H3471" s="8">
        <f>IFERROR(IF(ISNUMBER(B3471),MAX(B3471,IFERROR(H3470,B3471)),""),"")</f>
        <v/>
      </c>
      <c r="I3471" s="29">
        <f>IFERROR(IF(AND(ISNUMBER(B3471),ISNUMBER(H3471)),B3471/H3471-1,""),"")</f>
        <v/>
      </c>
      <c r="J3471" s="8">
        <f>IFERROR(IF(ISNUMBER(C3471),MAX(C3471,IFERROR(J3470,C3471)),""),"")</f>
        <v/>
      </c>
      <c r="K3471" s="29">
        <f>IFERROR(IF(AND(ISNUMBER(C3471),ISNUMBER(J3471)),C3471/J3471-1,""),"")</f>
        <v/>
      </c>
      <c r="L3471" s="28">
        <f>IFERROR(IF(AND(ISNUMBER(D3471),ISNUMBER(E3471)),D3471-E3471,""),"")</f>
        <v/>
      </c>
    </row>
    <row r="3472">
      <c r="A3472" s="7">
        <f>IFERROR(Datos!A3472,"")</f>
        <v/>
      </c>
      <c r="B3472" s="8">
        <f>IFERROR(Datos!B3472,"")</f>
        <v/>
      </c>
      <c r="C3472" s="8">
        <f>IFERROR(Datos!C3472,"")</f>
        <v/>
      </c>
      <c r="D3472" s="28">
        <f>IFERROR(IF(AND(ISNUMBER(B3472),ISNUMBER(B3471),B3471&lt;&gt;0),B3472/B3471-1,""),"")</f>
        <v/>
      </c>
      <c r="E3472" s="28">
        <f>IFERROR(IF(AND(ISNUMBER(C3472),ISNUMBER(C3471),C3471&lt;&gt;0),C3472/C3471-1,""),"")</f>
        <v/>
      </c>
      <c r="F3472" s="28">
        <f>IFERROR(D3472-Dashboard!$B$4/252,"")</f>
        <v/>
      </c>
      <c r="G3472" s="28">
        <f>IFERROR(E3472-Dashboard!$B$4/252,"")</f>
        <v/>
      </c>
      <c r="H3472" s="8">
        <f>IFERROR(IF(ISNUMBER(B3472),MAX(B3472,IFERROR(H3471,B3472)),""),"")</f>
        <v/>
      </c>
      <c r="I3472" s="29">
        <f>IFERROR(IF(AND(ISNUMBER(B3472),ISNUMBER(H3472)),B3472/H3472-1,""),"")</f>
        <v/>
      </c>
      <c r="J3472" s="8">
        <f>IFERROR(IF(ISNUMBER(C3472),MAX(C3472,IFERROR(J3471,C3472)),""),"")</f>
        <v/>
      </c>
      <c r="K3472" s="29">
        <f>IFERROR(IF(AND(ISNUMBER(C3472),ISNUMBER(J3472)),C3472/J3472-1,""),"")</f>
        <v/>
      </c>
      <c r="L3472" s="28">
        <f>IFERROR(IF(AND(ISNUMBER(D3472),ISNUMBER(E3472)),D3472-E3472,""),"")</f>
        <v/>
      </c>
    </row>
    <row r="3473">
      <c r="A3473" s="7">
        <f>IFERROR(Datos!A3473,"")</f>
        <v/>
      </c>
      <c r="B3473" s="8">
        <f>IFERROR(Datos!B3473,"")</f>
        <v/>
      </c>
      <c r="C3473" s="8">
        <f>IFERROR(Datos!C3473,"")</f>
        <v/>
      </c>
      <c r="D3473" s="28">
        <f>IFERROR(IF(AND(ISNUMBER(B3473),ISNUMBER(B3472),B3472&lt;&gt;0),B3473/B3472-1,""),"")</f>
        <v/>
      </c>
      <c r="E3473" s="28">
        <f>IFERROR(IF(AND(ISNUMBER(C3473),ISNUMBER(C3472),C3472&lt;&gt;0),C3473/C3472-1,""),"")</f>
        <v/>
      </c>
      <c r="F3473" s="28">
        <f>IFERROR(D3473-Dashboard!$B$4/252,"")</f>
        <v/>
      </c>
      <c r="G3473" s="28">
        <f>IFERROR(E3473-Dashboard!$B$4/252,"")</f>
        <v/>
      </c>
      <c r="H3473" s="8">
        <f>IFERROR(IF(ISNUMBER(B3473),MAX(B3473,IFERROR(H3472,B3473)),""),"")</f>
        <v/>
      </c>
      <c r="I3473" s="29">
        <f>IFERROR(IF(AND(ISNUMBER(B3473),ISNUMBER(H3473)),B3473/H3473-1,""),"")</f>
        <v/>
      </c>
      <c r="J3473" s="8">
        <f>IFERROR(IF(ISNUMBER(C3473),MAX(C3473,IFERROR(J3472,C3473)),""),"")</f>
        <v/>
      </c>
      <c r="K3473" s="29">
        <f>IFERROR(IF(AND(ISNUMBER(C3473),ISNUMBER(J3473)),C3473/J3473-1,""),"")</f>
        <v/>
      </c>
      <c r="L3473" s="28">
        <f>IFERROR(IF(AND(ISNUMBER(D3473),ISNUMBER(E3473)),D3473-E3473,""),"")</f>
        <v/>
      </c>
    </row>
    <row r="3474">
      <c r="A3474" s="7">
        <f>IFERROR(Datos!A3474,"")</f>
        <v/>
      </c>
      <c r="B3474" s="8">
        <f>IFERROR(Datos!B3474,"")</f>
        <v/>
      </c>
      <c r="C3474" s="8">
        <f>IFERROR(Datos!C3474,"")</f>
        <v/>
      </c>
      <c r="D3474" s="28">
        <f>IFERROR(IF(AND(ISNUMBER(B3474),ISNUMBER(B3473),B3473&lt;&gt;0),B3474/B3473-1,""),"")</f>
        <v/>
      </c>
      <c r="E3474" s="28">
        <f>IFERROR(IF(AND(ISNUMBER(C3474),ISNUMBER(C3473),C3473&lt;&gt;0),C3474/C3473-1,""),"")</f>
        <v/>
      </c>
      <c r="F3474" s="28">
        <f>IFERROR(D3474-Dashboard!$B$4/252,"")</f>
        <v/>
      </c>
      <c r="G3474" s="28">
        <f>IFERROR(E3474-Dashboard!$B$4/252,"")</f>
        <v/>
      </c>
      <c r="H3474" s="8">
        <f>IFERROR(IF(ISNUMBER(B3474),MAX(B3474,IFERROR(H3473,B3474)),""),"")</f>
        <v/>
      </c>
      <c r="I3474" s="29">
        <f>IFERROR(IF(AND(ISNUMBER(B3474),ISNUMBER(H3474)),B3474/H3474-1,""),"")</f>
        <v/>
      </c>
      <c r="J3474" s="8">
        <f>IFERROR(IF(ISNUMBER(C3474),MAX(C3474,IFERROR(J3473,C3474)),""),"")</f>
        <v/>
      </c>
      <c r="K3474" s="29">
        <f>IFERROR(IF(AND(ISNUMBER(C3474),ISNUMBER(J3474)),C3474/J3474-1,""),"")</f>
        <v/>
      </c>
      <c r="L3474" s="28">
        <f>IFERROR(IF(AND(ISNUMBER(D3474),ISNUMBER(E3474)),D3474-E3474,""),"")</f>
        <v/>
      </c>
    </row>
    <row r="3475">
      <c r="A3475" s="7">
        <f>IFERROR(Datos!A3475,"")</f>
        <v/>
      </c>
      <c r="B3475" s="8">
        <f>IFERROR(Datos!B3475,"")</f>
        <v/>
      </c>
      <c r="C3475" s="8">
        <f>IFERROR(Datos!C3475,"")</f>
        <v/>
      </c>
      <c r="D3475" s="28">
        <f>IFERROR(IF(AND(ISNUMBER(B3475),ISNUMBER(B3474),B3474&lt;&gt;0),B3475/B3474-1,""),"")</f>
        <v/>
      </c>
      <c r="E3475" s="28">
        <f>IFERROR(IF(AND(ISNUMBER(C3475),ISNUMBER(C3474),C3474&lt;&gt;0),C3475/C3474-1,""),"")</f>
        <v/>
      </c>
      <c r="F3475" s="28">
        <f>IFERROR(D3475-Dashboard!$B$4/252,"")</f>
        <v/>
      </c>
      <c r="G3475" s="28">
        <f>IFERROR(E3475-Dashboard!$B$4/252,"")</f>
        <v/>
      </c>
      <c r="H3475" s="8">
        <f>IFERROR(IF(ISNUMBER(B3475),MAX(B3475,IFERROR(H3474,B3475)),""),"")</f>
        <v/>
      </c>
      <c r="I3475" s="29">
        <f>IFERROR(IF(AND(ISNUMBER(B3475),ISNUMBER(H3475)),B3475/H3475-1,""),"")</f>
        <v/>
      </c>
      <c r="J3475" s="8">
        <f>IFERROR(IF(ISNUMBER(C3475),MAX(C3475,IFERROR(J3474,C3475)),""),"")</f>
        <v/>
      </c>
      <c r="K3475" s="29">
        <f>IFERROR(IF(AND(ISNUMBER(C3475),ISNUMBER(J3475)),C3475/J3475-1,""),"")</f>
        <v/>
      </c>
      <c r="L3475" s="28">
        <f>IFERROR(IF(AND(ISNUMBER(D3475),ISNUMBER(E3475)),D3475-E3475,""),"")</f>
        <v/>
      </c>
    </row>
    <row r="3476">
      <c r="A3476" s="7">
        <f>IFERROR(Datos!A3476,"")</f>
        <v/>
      </c>
      <c r="B3476" s="8">
        <f>IFERROR(Datos!B3476,"")</f>
        <v/>
      </c>
      <c r="C3476" s="8">
        <f>IFERROR(Datos!C3476,"")</f>
        <v/>
      </c>
      <c r="D3476" s="28">
        <f>IFERROR(IF(AND(ISNUMBER(B3476),ISNUMBER(B3475),B3475&lt;&gt;0),B3476/B3475-1,""),"")</f>
        <v/>
      </c>
      <c r="E3476" s="28">
        <f>IFERROR(IF(AND(ISNUMBER(C3476),ISNUMBER(C3475),C3475&lt;&gt;0),C3476/C3475-1,""),"")</f>
        <v/>
      </c>
      <c r="F3476" s="28">
        <f>IFERROR(D3476-Dashboard!$B$4/252,"")</f>
        <v/>
      </c>
      <c r="G3476" s="28">
        <f>IFERROR(E3476-Dashboard!$B$4/252,"")</f>
        <v/>
      </c>
      <c r="H3476" s="8">
        <f>IFERROR(IF(ISNUMBER(B3476),MAX(B3476,IFERROR(H3475,B3476)),""),"")</f>
        <v/>
      </c>
      <c r="I3476" s="29">
        <f>IFERROR(IF(AND(ISNUMBER(B3476),ISNUMBER(H3476)),B3476/H3476-1,""),"")</f>
        <v/>
      </c>
      <c r="J3476" s="8">
        <f>IFERROR(IF(ISNUMBER(C3476),MAX(C3476,IFERROR(J3475,C3476)),""),"")</f>
        <v/>
      </c>
      <c r="K3476" s="29">
        <f>IFERROR(IF(AND(ISNUMBER(C3476),ISNUMBER(J3476)),C3476/J3476-1,""),"")</f>
        <v/>
      </c>
      <c r="L3476" s="28">
        <f>IFERROR(IF(AND(ISNUMBER(D3476),ISNUMBER(E3476)),D3476-E3476,""),"")</f>
        <v/>
      </c>
    </row>
    <row r="3477">
      <c r="A3477" s="7">
        <f>IFERROR(Datos!A3477,"")</f>
        <v/>
      </c>
      <c r="B3477" s="8">
        <f>IFERROR(Datos!B3477,"")</f>
        <v/>
      </c>
      <c r="C3477" s="8">
        <f>IFERROR(Datos!C3477,"")</f>
        <v/>
      </c>
      <c r="D3477" s="28">
        <f>IFERROR(IF(AND(ISNUMBER(B3477),ISNUMBER(B3476),B3476&lt;&gt;0),B3477/B3476-1,""),"")</f>
        <v/>
      </c>
      <c r="E3477" s="28">
        <f>IFERROR(IF(AND(ISNUMBER(C3477),ISNUMBER(C3476),C3476&lt;&gt;0),C3477/C3476-1,""),"")</f>
        <v/>
      </c>
      <c r="F3477" s="28">
        <f>IFERROR(D3477-Dashboard!$B$4/252,"")</f>
        <v/>
      </c>
      <c r="G3477" s="28">
        <f>IFERROR(E3477-Dashboard!$B$4/252,"")</f>
        <v/>
      </c>
      <c r="H3477" s="8">
        <f>IFERROR(IF(ISNUMBER(B3477),MAX(B3477,IFERROR(H3476,B3477)),""),"")</f>
        <v/>
      </c>
      <c r="I3477" s="29">
        <f>IFERROR(IF(AND(ISNUMBER(B3477),ISNUMBER(H3477)),B3477/H3477-1,""),"")</f>
        <v/>
      </c>
      <c r="J3477" s="8">
        <f>IFERROR(IF(ISNUMBER(C3477),MAX(C3477,IFERROR(J3476,C3477)),""),"")</f>
        <v/>
      </c>
      <c r="K3477" s="29">
        <f>IFERROR(IF(AND(ISNUMBER(C3477),ISNUMBER(J3477)),C3477/J3477-1,""),"")</f>
        <v/>
      </c>
      <c r="L3477" s="28">
        <f>IFERROR(IF(AND(ISNUMBER(D3477),ISNUMBER(E3477)),D3477-E3477,""),"")</f>
        <v/>
      </c>
    </row>
    <row r="3478">
      <c r="A3478" s="7">
        <f>IFERROR(Datos!A3478,"")</f>
        <v/>
      </c>
      <c r="B3478" s="8">
        <f>IFERROR(Datos!B3478,"")</f>
        <v/>
      </c>
      <c r="C3478" s="8">
        <f>IFERROR(Datos!C3478,"")</f>
        <v/>
      </c>
      <c r="D3478" s="28">
        <f>IFERROR(IF(AND(ISNUMBER(B3478),ISNUMBER(B3477),B3477&lt;&gt;0),B3478/B3477-1,""),"")</f>
        <v/>
      </c>
      <c r="E3478" s="28">
        <f>IFERROR(IF(AND(ISNUMBER(C3478),ISNUMBER(C3477),C3477&lt;&gt;0),C3478/C3477-1,""),"")</f>
        <v/>
      </c>
      <c r="F3478" s="28">
        <f>IFERROR(D3478-Dashboard!$B$4/252,"")</f>
        <v/>
      </c>
      <c r="G3478" s="28">
        <f>IFERROR(E3478-Dashboard!$B$4/252,"")</f>
        <v/>
      </c>
      <c r="H3478" s="8">
        <f>IFERROR(IF(ISNUMBER(B3478),MAX(B3478,IFERROR(H3477,B3478)),""),"")</f>
        <v/>
      </c>
      <c r="I3478" s="29">
        <f>IFERROR(IF(AND(ISNUMBER(B3478),ISNUMBER(H3478)),B3478/H3478-1,""),"")</f>
        <v/>
      </c>
      <c r="J3478" s="8">
        <f>IFERROR(IF(ISNUMBER(C3478),MAX(C3478,IFERROR(J3477,C3478)),""),"")</f>
        <v/>
      </c>
      <c r="K3478" s="29">
        <f>IFERROR(IF(AND(ISNUMBER(C3478),ISNUMBER(J3478)),C3478/J3478-1,""),"")</f>
        <v/>
      </c>
      <c r="L3478" s="28">
        <f>IFERROR(IF(AND(ISNUMBER(D3478),ISNUMBER(E3478)),D3478-E3478,""),"")</f>
        <v/>
      </c>
    </row>
    <row r="3479">
      <c r="A3479" s="7">
        <f>IFERROR(Datos!A3479,"")</f>
        <v/>
      </c>
      <c r="B3479" s="8">
        <f>IFERROR(Datos!B3479,"")</f>
        <v/>
      </c>
      <c r="C3479" s="8">
        <f>IFERROR(Datos!C3479,"")</f>
        <v/>
      </c>
      <c r="D3479" s="28">
        <f>IFERROR(IF(AND(ISNUMBER(B3479),ISNUMBER(B3478),B3478&lt;&gt;0),B3479/B3478-1,""),"")</f>
        <v/>
      </c>
      <c r="E3479" s="28">
        <f>IFERROR(IF(AND(ISNUMBER(C3479),ISNUMBER(C3478),C3478&lt;&gt;0),C3479/C3478-1,""),"")</f>
        <v/>
      </c>
      <c r="F3479" s="28">
        <f>IFERROR(D3479-Dashboard!$B$4/252,"")</f>
        <v/>
      </c>
      <c r="G3479" s="28">
        <f>IFERROR(E3479-Dashboard!$B$4/252,"")</f>
        <v/>
      </c>
      <c r="H3479" s="8">
        <f>IFERROR(IF(ISNUMBER(B3479),MAX(B3479,IFERROR(H3478,B3479)),""),"")</f>
        <v/>
      </c>
      <c r="I3479" s="29">
        <f>IFERROR(IF(AND(ISNUMBER(B3479),ISNUMBER(H3479)),B3479/H3479-1,""),"")</f>
        <v/>
      </c>
      <c r="J3479" s="8">
        <f>IFERROR(IF(ISNUMBER(C3479),MAX(C3479,IFERROR(J3478,C3479)),""),"")</f>
        <v/>
      </c>
      <c r="K3479" s="29">
        <f>IFERROR(IF(AND(ISNUMBER(C3479),ISNUMBER(J3479)),C3479/J3479-1,""),"")</f>
        <v/>
      </c>
      <c r="L3479" s="28">
        <f>IFERROR(IF(AND(ISNUMBER(D3479),ISNUMBER(E3479)),D3479-E3479,""),"")</f>
        <v/>
      </c>
    </row>
    <row r="3480">
      <c r="A3480" s="7">
        <f>IFERROR(Datos!A3480,"")</f>
        <v/>
      </c>
      <c r="B3480" s="8">
        <f>IFERROR(Datos!B3480,"")</f>
        <v/>
      </c>
      <c r="C3480" s="8">
        <f>IFERROR(Datos!C3480,"")</f>
        <v/>
      </c>
      <c r="D3480" s="28">
        <f>IFERROR(IF(AND(ISNUMBER(B3480),ISNUMBER(B3479),B3479&lt;&gt;0),B3480/B3479-1,""),"")</f>
        <v/>
      </c>
      <c r="E3480" s="28">
        <f>IFERROR(IF(AND(ISNUMBER(C3480),ISNUMBER(C3479),C3479&lt;&gt;0),C3480/C3479-1,""),"")</f>
        <v/>
      </c>
      <c r="F3480" s="28">
        <f>IFERROR(D3480-Dashboard!$B$4/252,"")</f>
        <v/>
      </c>
      <c r="G3480" s="28">
        <f>IFERROR(E3480-Dashboard!$B$4/252,"")</f>
        <v/>
      </c>
      <c r="H3480" s="8">
        <f>IFERROR(IF(ISNUMBER(B3480),MAX(B3480,IFERROR(H3479,B3480)),""),"")</f>
        <v/>
      </c>
      <c r="I3480" s="29">
        <f>IFERROR(IF(AND(ISNUMBER(B3480),ISNUMBER(H3480)),B3480/H3480-1,""),"")</f>
        <v/>
      </c>
      <c r="J3480" s="8">
        <f>IFERROR(IF(ISNUMBER(C3480),MAX(C3480,IFERROR(J3479,C3480)),""),"")</f>
        <v/>
      </c>
      <c r="K3480" s="29">
        <f>IFERROR(IF(AND(ISNUMBER(C3480),ISNUMBER(J3480)),C3480/J3480-1,""),"")</f>
        <v/>
      </c>
      <c r="L3480" s="28">
        <f>IFERROR(IF(AND(ISNUMBER(D3480),ISNUMBER(E3480)),D3480-E3480,""),"")</f>
        <v/>
      </c>
    </row>
    <row r="3481">
      <c r="A3481" s="7">
        <f>IFERROR(Datos!A3481,"")</f>
        <v/>
      </c>
      <c r="B3481" s="8">
        <f>IFERROR(Datos!B3481,"")</f>
        <v/>
      </c>
      <c r="C3481" s="8">
        <f>IFERROR(Datos!C3481,"")</f>
        <v/>
      </c>
      <c r="D3481" s="28">
        <f>IFERROR(IF(AND(ISNUMBER(B3481),ISNUMBER(B3480),B3480&lt;&gt;0),B3481/B3480-1,""),"")</f>
        <v/>
      </c>
      <c r="E3481" s="28">
        <f>IFERROR(IF(AND(ISNUMBER(C3481),ISNUMBER(C3480),C3480&lt;&gt;0),C3481/C3480-1,""),"")</f>
        <v/>
      </c>
      <c r="F3481" s="28">
        <f>IFERROR(D3481-Dashboard!$B$4/252,"")</f>
        <v/>
      </c>
      <c r="G3481" s="28">
        <f>IFERROR(E3481-Dashboard!$B$4/252,"")</f>
        <v/>
      </c>
      <c r="H3481" s="8">
        <f>IFERROR(IF(ISNUMBER(B3481),MAX(B3481,IFERROR(H3480,B3481)),""),"")</f>
        <v/>
      </c>
      <c r="I3481" s="29">
        <f>IFERROR(IF(AND(ISNUMBER(B3481),ISNUMBER(H3481)),B3481/H3481-1,""),"")</f>
        <v/>
      </c>
      <c r="J3481" s="8">
        <f>IFERROR(IF(ISNUMBER(C3481),MAX(C3481,IFERROR(J3480,C3481)),""),"")</f>
        <v/>
      </c>
      <c r="K3481" s="29">
        <f>IFERROR(IF(AND(ISNUMBER(C3481),ISNUMBER(J3481)),C3481/J3481-1,""),"")</f>
        <v/>
      </c>
      <c r="L3481" s="28">
        <f>IFERROR(IF(AND(ISNUMBER(D3481),ISNUMBER(E3481)),D3481-E3481,""),"")</f>
        <v/>
      </c>
    </row>
    <row r="3482">
      <c r="A3482" s="7">
        <f>IFERROR(Datos!A3482,"")</f>
        <v/>
      </c>
      <c r="B3482" s="8">
        <f>IFERROR(Datos!B3482,"")</f>
        <v/>
      </c>
      <c r="C3482" s="8">
        <f>IFERROR(Datos!C3482,"")</f>
        <v/>
      </c>
      <c r="D3482" s="28">
        <f>IFERROR(IF(AND(ISNUMBER(B3482),ISNUMBER(B3481),B3481&lt;&gt;0),B3482/B3481-1,""),"")</f>
        <v/>
      </c>
      <c r="E3482" s="28">
        <f>IFERROR(IF(AND(ISNUMBER(C3482),ISNUMBER(C3481),C3481&lt;&gt;0),C3482/C3481-1,""),"")</f>
        <v/>
      </c>
      <c r="F3482" s="28">
        <f>IFERROR(D3482-Dashboard!$B$4/252,"")</f>
        <v/>
      </c>
      <c r="G3482" s="28">
        <f>IFERROR(E3482-Dashboard!$B$4/252,"")</f>
        <v/>
      </c>
      <c r="H3482" s="8">
        <f>IFERROR(IF(ISNUMBER(B3482),MAX(B3482,IFERROR(H3481,B3482)),""),"")</f>
        <v/>
      </c>
      <c r="I3482" s="29">
        <f>IFERROR(IF(AND(ISNUMBER(B3482),ISNUMBER(H3482)),B3482/H3482-1,""),"")</f>
        <v/>
      </c>
      <c r="J3482" s="8">
        <f>IFERROR(IF(ISNUMBER(C3482),MAX(C3482,IFERROR(J3481,C3482)),""),"")</f>
        <v/>
      </c>
      <c r="K3482" s="29">
        <f>IFERROR(IF(AND(ISNUMBER(C3482),ISNUMBER(J3482)),C3482/J3482-1,""),"")</f>
        <v/>
      </c>
      <c r="L3482" s="28">
        <f>IFERROR(IF(AND(ISNUMBER(D3482),ISNUMBER(E3482)),D3482-E3482,""),"")</f>
        <v/>
      </c>
    </row>
    <row r="3483">
      <c r="A3483" s="7">
        <f>IFERROR(Datos!A3483,"")</f>
        <v/>
      </c>
      <c r="B3483" s="8">
        <f>IFERROR(Datos!B3483,"")</f>
        <v/>
      </c>
      <c r="C3483" s="8">
        <f>IFERROR(Datos!C3483,"")</f>
        <v/>
      </c>
      <c r="D3483" s="28">
        <f>IFERROR(IF(AND(ISNUMBER(B3483),ISNUMBER(B3482),B3482&lt;&gt;0),B3483/B3482-1,""),"")</f>
        <v/>
      </c>
      <c r="E3483" s="28">
        <f>IFERROR(IF(AND(ISNUMBER(C3483),ISNUMBER(C3482),C3482&lt;&gt;0),C3483/C3482-1,""),"")</f>
        <v/>
      </c>
      <c r="F3483" s="28">
        <f>IFERROR(D3483-Dashboard!$B$4/252,"")</f>
        <v/>
      </c>
      <c r="G3483" s="28">
        <f>IFERROR(E3483-Dashboard!$B$4/252,"")</f>
        <v/>
      </c>
      <c r="H3483" s="8">
        <f>IFERROR(IF(ISNUMBER(B3483),MAX(B3483,IFERROR(H3482,B3483)),""),"")</f>
        <v/>
      </c>
      <c r="I3483" s="29">
        <f>IFERROR(IF(AND(ISNUMBER(B3483),ISNUMBER(H3483)),B3483/H3483-1,""),"")</f>
        <v/>
      </c>
      <c r="J3483" s="8">
        <f>IFERROR(IF(ISNUMBER(C3483),MAX(C3483,IFERROR(J3482,C3483)),""),"")</f>
        <v/>
      </c>
      <c r="K3483" s="29">
        <f>IFERROR(IF(AND(ISNUMBER(C3483),ISNUMBER(J3483)),C3483/J3483-1,""),"")</f>
        <v/>
      </c>
      <c r="L3483" s="28">
        <f>IFERROR(IF(AND(ISNUMBER(D3483),ISNUMBER(E3483)),D3483-E3483,""),"")</f>
        <v/>
      </c>
    </row>
    <row r="3484">
      <c r="A3484" s="7">
        <f>IFERROR(Datos!A3484,"")</f>
        <v/>
      </c>
      <c r="B3484" s="8">
        <f>IFERROR(Datos!B3484,"")</f>
        <v/>
      </c>
      <c r="C3484" s="8">
        <f>IFERROR(Datos!C3484,"")</f>
        <v/>
      </c>
      <c r="D3484" s="28">
        <f>IFERROR(IF(AND(ISNUMBER(B3484),ISNUMBER(B3483),B3483&lt;&gt;0),B3484/B3483-1,""),"")</f>
        <v/>
      </c>
      <c r="E3484" s="28">
        <f>IFERROR(IF(AND(ISNUMBER(C3484),ISNUMBER(C3483),C3483&lt;&gt;0),C3484/C3483-1,""),"")</f>
        <v/>
      </c>
      <c r="F3484" s="28">
        <f>IFERROR(D3484-Dashboard!$B$4/252,"")</f>
        <v/>
      </c>
      <c r="G3484" s="28">
        <f>IFERROR(E3484-Dashboard!$B$4/252,"")</f>
        <v/>
      </c>
      <c r="H3484" s="8">
        <f>IFERROR(IF(ISNUMBER(B3484),MAX(B3484,IFERROR(H3483,B3484)),""),"")</f>
        <v/>
      </c>
      <c r="I3484" s="29">
        <f>IFERROR(IF(AND(ISNUMBER(B3484),ISNUMBER(H3484)),B3484/H3484-1,""),"")</f>
        <v/>
      </c>
      <c r="J3484" s="8">
        <f>IFERROR(IF(ISNUMBER(C3484),MAX(C3484,IFERROR(J3483,C3484)),""),"")</f>
        <v/>
      </c>
      <c r="K3484" s="29">
        <f>IFERROR(IF(AND(ISNUMBER(C3484),ISNUMBER(J3484)),C3484/J3484-1,""),"")</f>
        <v/>
      </c>
      <c r="L3484" s="28">
        <f>IFERROR(IF(AND(ISNUMBER(D3484),ISNUMBER(E3484)),D3484-E3484,""),"")</f>
        <v/>
      </c>
    </row>
    <row r="3485">
      <c r="A3485" s="7">
        <f>IFERROR(Datos!A3485,"")</f>
        <v/>
      </c>
      <c r="B3485" s="8">
        <f>IFERROR(Datos!B3485,"")</f>
        <v/>
      </c>
      <c r="C3485" s="8">
        <f>IFERROR(Datos!C3485,"")</f>
        <v/>
      </c>
      <c r="D3485" s="28">
        <f>IFERROR(IF(AND(ISNUMBER(B3485),ISNUMBER(B3484),B3484&lt;&gt;0),B3485/B3484-1,""),"")</f>
        <v/>
      </c>
      <c r="E3485" s="28">
        <f>IFERROR(IF(AND(ISNUMBER(C3485),ISNUMBER(C3484),C3484&lt;&gt;0),C3485/C3484-1,""),"")</f>
        <v/>
      </c>
      <c r="F3485" s="28">
        <f>IFERROR(D3485-Dashboard!$B$4/252,"")</f>
        <v/>
      </c>
      <c r="G3485" s="28">
        <f>IFERROR(E3485-Dashboard!$B$4/252,"")</f>
        <v/>
      </c>
      <c r="H3485" s="8">
        <f>IFERROR(IF(ISNUMBER(B3485),MAX(B3485,IFERROR(H3484,B3485)),""),"")</f>
        <v/>
      </c>
      <c r="I3485" s="29">
        <f>IFERROR(IF(AND(ISNUMBER(B3485),ISNUMBER(H3485)),B3485/H3485-1,""),"")</f>
        <v/>
      </c>
      <c r="J3485" s="8">
        <f>IFERROR(IF(ISNUMBER(C3485),MAX(C3485,IFERROR(J3484,C3485)),""),"")</f>
        <v/>
      </c>
      <c r="K3485" s="29">
        <f>IFERROR(IF(AND(ISNUMBER(C3485),ISNUMBER(J3485)),C3485/J3485-1,""),"")</f>
        <v/>
      </c>
      <c r="L3485" s="28">
        <f>IFERROR(IF(AND(ISNUMBER(D3485),ISNUMBER(E3485)),D3485-E3485,""),"")</f>
        <v/>
      </c>
    </row>
    <row r="3486">
      <c r="A3486" s="7">
        <f>IFERROR(Datos!A3486,"")</f>
        <v/>
      </c>
      <c r="B3486" s="8">
        <f>IFERROR(Datos!B3486,"")</f>
        <v/>
      </c>
      <c r="C3486" s="8">
        <f>IFERROR(Datos!C3486,"")</f>
        <v/>
      </c>
      <c r="D3486" s="28">
        <f>IFERROR(IF(AND(ISNUMBER(B3486),ISNUMBER(B3485),B3485&lt;&gt;0),B3486/B3485-1,""),"")</f>
        <v/>
      </c>
      <c r="E3486" s="28">
        <f>IFERROR(IF(AND(ISNUMBER(C3486),ISNUMBER(C3485),C3485&lt;&gt;0),C3486/C3485-1,""),"")</f>
        <v/>
      </c>
      <c r="F3486" s="28">
        <f>IFERROR(D3486-Dashboard!$B$4/252,"")</f>
        <v/>
      </c>
      <c r="G3486" s="28">
        <f>IFERROR(E3486-Dashboard!$B$4/252,"")</f>
        <v/>
      </c>
      <c r="H3486" s="8">
        <f>IFERROR(IF(ISNUMBER(B3486),MAX(B3486,IFERROR(H3485,B3486)),""),"")</f>
        <v/>
      </c>
      <c r="I3486" s="29">
        <f>IFERROR(IF(AND(ISNUMBER(B3486),ISNUMBER(H3486)),B3486/H3486-1,""),"")</f>
        <v/>
      </c>
      <c r="J3486" s="8">
        <f>IFERROR(IF(ISNUMBER(C3486),MAX(C3486,IFERROR(J3485,C3486)),""),"")</f>
        <v/>
      </c>
      <c r="K3486" s="29">
        <f>IFERROR(IF(AND(ISNUMBER(C3486),ISNUMBER(J3486)),C3486/J3486-1,""),"")</f>
        <v/>
      </c>
      <c r="L3486" s="28">
        <f>IFERROR(IF(AND(ISNUMBER(D3486),ISNUMBER(E3486)),D3486-E3486,""),"")</f>
        <v/>
      </c>
    </row>
    <row r="3487">
      <c r="A3487" s="7">
        <f>IFERROR(Datos!A3487,"")</f>
        <v/>
      </c>
      <c r="B3487" s="8">
        <f>IFERROR(Datos!B3487,"")</f>
        <v/>
      </c>
      <c r="C3487" s="8">
        <f>IFERROR(Datos!C3487,"")</f>
        <v/>
      </c>
      <c r="D3487" s="28">
        <f>IFERROR(IF(AND(ISNUMBER(B3487),ISNUMBER(B3486),B3486&lt;&gt;0),B3487/B3486-1,""),"")</f>
        <v/>
      </c>
      <c r="E3487" s="28">
        <f>IFERROR(IF(AND(ISNUMBER(C3487),ISNUMBER(C3486),C3486&lt;&gt;0),C3487/C3486-1,""),"")</f>
        <v/>
      </c>
      <c r="F3487" s="28">
        <f>IFERROR(D3487-Dashboard!$B$4/252,"")</f>
        <v/>
      </c>
      <c r="G3487" s="28">
        <f>IFERROR(E3487-Dashboard!$B$4/252,"")</f>
        <v/>
      </c>
      <c r="H3487" s="8">
        <f>IFERROR(IF(ISNUMBER(B3487),MAX(B3487,IFERROR(H3486,B3487)),""),"")</f>
        <v/>
      </c>
      <c r="I3487" s="29">
        <f>IFERROR(IF(AND(ISNUMBER(B3487),ISNUMBER(H3487)),B3487/H3487-1,""),"")</f>
        <v/>
      </c>
      <c r="J3487" s="8">
        <f>IFERROR(IF(ISNUMBER(C3487),MAX(C3487,IFERROR(J3486,C3487)),""),"")</f>
        <v/>
      </c>
      <c r="K3487" s="29">
        <f>IFERROR(IF(AND(ISNUMBER(C3487),ISNUMBER(J3487)),C3487/J3487-1,""),"")</f>
        <v/>
      </c>
      <c r="L3487" s="28">
        <f>IFERROR(IF(AND(ISNUMBER(D3487),ISNUMBER(E3487)),D3487-E3487,""),"")</f>
        <v/>
      </c>
    </row>
    <row r="3488">
      <c r="A3488" s="7">
        <f>IFERROR(Datos!A3488,"")</f>
        <v/>
      </c>
      <c r="B3488" s="8">
        <f>IFERROR(Datos!B3488,"")</f>
        <v/>
      </c>
      <c r="C3488" s="8">
        <f>IFERROR(Datos!C3488,"")</f>
        <v/>
      </c>
      <c r="D3488" s="28">
        <f>IFERROR(IF(AND(ISNUMBER(B3488),ISNUMBER(B3487),B3487&lt;&gt;0),B3488/B3487-1,""),"")</f>
        <v/>
      </c>
      <c r="E3488" s="28">
        <f>IFERROR(IF(AND(ISNUMBER(C3488),ISNUMBER(C3487),C3487&lt;&gt;0),C3488/C3487-1,""),"")</f>
        <v/>
      </c>
      <c r="F3488" s="28">
        <f>IFERROR(D3488-Dashboard!$B$4/252,"")</f>
        <v/>
      </c>
      <c r="G3488" s="28">
        <f>IFERROR(E3488-Dashboard!$B$4/252,"")</f>
        <v/>
      </c>
      <c r="H3488" s="8">
        <f>IFERROR(IF(ISNUMBER(B3488),MAX(B3488,IFERROR(H3487,B3488)),""),"")</f>
        <v/>
      </c>
      <c r="I3488" s="29">
        <f>IFERROR(IF(AND(ISNUMBER(B3488),ISNUMBER(H3488)),B3488/H3488-1,""),"")</f>
        <v/>
      </c>
      <c r="J3488" s="8">
        <f>IFERROR(IF(ISNUMBER(C3488),MAX(C3488,IFERROR(J3487,C3488)),""),"")</f>
        <v/>
      </c>
      <c r="K3488" s="29">
        <f>IFERROR(IF(AND(ISNUMBER(C3488),ISNUMBER(J3488)),C3488/J3488-1,""),"")</f>
        <v/>
      </c>
      <c r="L3488" s="28">
        <f>IFERROR(IF(AND(ISNUMBER(D3488),ISNUMBER(E3488)),D3488-E3488,""),"")</f>
        <v/>
      </c>
    </row>
    <row r="3489">
      <c r="A3489" s="7">
        <f>IFERROR(Datos!A3489,"")</f>
        <v/>
      </c>
      <c r="B3489" s="8">
        <f>IFERROR(Datos!B3489,"")</f>
        <v/>
      </c>
      <c r="C3489" s="8">
        <f>IFERROR(Datos!C3489,"")</f>
        <v/>
      </c>
      <c r="D3489" s="28">
        <f>IFERROR(IF(AND(ISNUMBER(B3489),ISNUMBER(B3488),B3488&lt;&gt;0),B3489/B3488-1,""),"")</f>
        <v/>
      </c>
      <c r="E3489" s="28">
        <f>IFERROR(IF(AND(ISNUMBER(C3489),ISNUMBER(C3488),C3488&lt;&gt;0),C3489/C3488-1,""),"")</f>
        <v/>
      </c>
      <c r="F3489" s="28">
        <f>IFERROR(D3489-Dashboard!$B$4/252,"")</f>
        <v/>
      </c>
      <c r="G3489" s="28">
        <f>IFERROR(E3489-Dashboard!$B$4/252,"")</f>
        <v/>
      </c>
      <c r="H3489" s="8">
        <f>IFERROR(IF(ISNUMBER(B3489),MAX(B3489,IFERROR(H3488,B3489)),""),"")</f>
        <v/>
      </c>
      <c r="I3489" s="29">
        <f>IFERROR(IF(AND(ISNUMBER(B3489),ISNUMBER(H3489)),B3489/H3489-1,""),"")</f>
        <v/>
      </c>
      <c r="J3489" s="8">
        <f>IFERROR(IF(ISNUMBER(C3489),MAX(C3489,IFERROR(J3488,C3489)),""),"")</f>
        <v/>
      </c>
      <c r="K3489" s="29">
        <f>IFERROR(IF(AND(ISNUMBER(C3489),ISNUMBER(J3489)),C3489/J3489-1,""),"")</f>
        <v/>
      </c>
      <c r="L3489" s="28">
        <f>IFERROR(IF(AND(ISNUMBER(D3489),ISNUMBER(E3489)),D3489-E3489,""),"")</f>
        <v/>
      </c>
    </row>
    <row r="3490">
      <c r="A3490" s="7">
        <f>IFERROR(Datos!A3490,"")</f>
        <v/>
      </c>
      <c r="B3490" s="8">
        <f>IFERROR(Datos!B3490,"")</f>
        <v/>
      </c>
      <c r="C3490" s="8">
        <f>IFERROR(Datos!C3490,"")</f>
        <v/>
      </c>
      <c r="D3490" s="28">
        <f>IFERROR(IF(AND(ISNUMBER(B3490),ISNUMBER(B3489),B3489&lt;&gt;0),B3490/B3489-1,""),"")</f>
        <v/>
      </c>
      <c r="E3490" s="28">
        <f>IFERROR(IF(AND(ISNUMBER(C3490),ISNUMBER(C3489),C3489&lt;&gt;0),C3490/C3489-1,""),"")</f>
        <v/>
      </c>
      <c r="F3490" s="28">
        <f>IFERROR(D3490-Dashboard!$B$4/252,"")</f>
        <v/>
      </c>
      <c r="G3490" s="28">
        <f>IFERROR(E3490-Dashboard!$B$4/252,"")</f>
        <v/>
      </c>
      <c r="H3490" s="8">
        <f>IFERROR(IF(ISNUMBER(B3490),MAX(B3490,IFERROR(H3489,B3490)),""),"")</f>
        <v/>
      </c>
      <c r="I3490" s="29">
        <f>IFERROR(IF(AND(ISNUMBER(B3490),ISNUMBER(H3490)),B3490/H3490-1,""),"")</f>
        <v/>
      </c>
      <c r="J3490" s="8">
        <f>IFERROR(IF(ISNUMBER(C3490),MAX(C3490,IFERROR(J3489,C3490)),""),"")</f>
        <v/>
      </c>
      <c r="K3490" s="29">
        <f>IFERROR(IF(AND(ISNUMBER(C3490),ISNUMBER(J3490)),C3490/J3490-1,""),"")</f>
        <v/>
      </c>
      <c r="L3490" s="28">
        <f>IFERROR(IF(AND(ISNUMBER(D3490),ISNUMBER(E3490)),D3490-E3490,""),"")</f>
        <v/>
      </c>
    </row>
    <row r="3491">
      <c r="A3491" s="7">
        <f>IFERROR(Datos!A3491,"")</f>
        <v/>
      </c>
      <c r="B3491" s="8">
        <f>IFERROR(Datos!B3491,"")</f>
        <v/>
      </c>
      <c r="C3491" s="8">
        <f>IFERROR(Datos!C3491,"")</f>
        <v/>
      </c>
      <c r="D3491" s="28">
        <f>IFERROR(IF(AND(ISNUMBER(B3491),ISNUMBER(B3490),B3490&lt;&gt;0),B3491/B3490-1,""),"")</f>
        <v/>
      </c>
      <c r="E3491" s="28">
        <f>IFERROR(IF(AND(ISNUMBER(C3491),ISNUMBER(C3490),C3490&lt;&gt;0),C3491/C3490-1,""),"")</f>
        <v/>
      </c>
      <c r="F3491" s="28">
        <f>IFERROR(D3491-Dashboard!$B$4/252,"")</f>
        <v/>
      </c>
      <c r="G3491" s="28">
        <f>IFERROR(E3491-Dashboard!$B$4/252,"")</f>
        <v/>
      </c>
      <c r="H3491" s="8">
        <f>IFERROR(IF(ISNUMBER(B3491),MAX(B3491,IFERROR(H3490,B3491)),""),"")</f>
        <v/>
      </c>
      <c r="I3491" s="29">
        <f>IFERROR(IF(AND(ISNUMBER(B3491),ISNUMBER(H3491)),B3491/H3491-1,""),"")</f>
        <v/>
      </c>
      <c r="J3491" s="8">
        <f>IFERROR(IF(ISNUMBER(C3491),MAX(C3491,IFERROR(J3490,C3491)),""),"")</f>
        <v/>
      </c>
      <c r="K3491" s="29">
        <f>IFERROR(IF(AND(ISNUMBER(C3491),ISNUMBER(J3491)),C3491/J3491-1,""),"")</f>
        <v/>
      </c>
      <c r="L3491" s="28">
        <f>IFERROR(IF(AND(ISNUMBER(D3491),ISNUMBER(E3491)),D3491-E3491,""),"")</f>
        <v/>
      </c>
    </row>
    <row r="3492">
      <c r="A3492" s="7">
        <f>IFERROR(Datos!A3492,"")</f>
        <v/>
      </c>
      <c r="B3492" s="8">
        <f>IFERROR(Datos!B3492,"")</f>
        <v/>
      </c>
      <c r="C3492" s="8">
        <f>IFERROR(Datos!C3492,"")</f>
        <v/>
      </c>
      <c r="D3492" s="28">
        <f>IFERROR(IF(AND(ISNUMBER(B3492),ISNUMBER(B3491),B3491&lt;&gt;0),B3492/B3491-1,""),"")</f>
        <v/>
      </c>
      <c r="E3492" s="28">
        <f>IFERROR(IF(AND(ISNUMBER(C3492),ISNUMBER(C3491),C3491&lt;&gt;0),C3492/C3491-1,""),"")</f>
        <v/>
      </c>
      <c r="F3492" s="28">
        <f>IFERROR(D3492-Dashboard!$B$4/252,"")</f>
        <v/>
      </c>
      <c r="G3492" s="28">
        <f>IFERROR(E3492-Dashboard!$B$4/252,"")</f>
        <v/>
      </c>
      <c r="H3492" s="8">
        <f>IFERROR(IF(ISNUMBER(B3492),MAX(B3492,IFERROR(H3491,B3492)),""),"")</f>
        <v/>
      </c>
      <c r="I3492" s="29">
        <f>IFERROR(IF(AND(ISNUMBER(B3492),ISNUMBER(H3492)),B3492/H3492-1,""),"")</f>
        <v/>
      </c>
      <c r="J3492" s="8">
        <f>IFERROR(IF(ISNUMBER(C3492),MAX(C3492,IFERROR(J3491,C3492)),""),"")</f>
        <v/>
      </c>
      <c r="K3492" s="29">
        <f>IFERROR(IF(AND(ISNUMBER(C3492),ISNUMBER(J3492)),C3492/J3492-1,""),"")</f>
        <v/>
      </c>
      <c r="L3492" s="28">
        <f>IFERROR(IF(AND(ISNUMBER(D3492),ISNUMBER(E3492)),D3492-E3492,""),"")</f>
        <v/>
      </c>
    </row>
    <row r="3493">
      <c r="A3493" s="7">
        <f>IFERROR(Datos!A3493,"")</f>
        <v/>
      </c>
      <c r="B3493" s="8">
        <f>IFERROR(Datos!B3493,"")</f>
        <v/>
      </c>
      <c r="C3493" s="8">
        <f>IFERROR(Datos!C3493,"")</f>
        <v/>
      </c>
      <c r="D3493" s="28">
        <f>IFERROR(IF(AND(ISNUMBER(B3493),ISNUMBER(B3492),B3492&lt;&gt;0),B3493/B3492-1,""),"")</f>
        <v/>
      </c>
      <c r="E3493" s="28">
        <f>IFERROR(IF(AND(ISNUMBER(C3493),ISNUMBER(C3492),C3492&lt;&gt;0),C3493/C3492-1,""),"")</f>
        <v/>
      </c>
      <c r="F3493" s="28">
        <f>IFERROR(D3493-Dashboard!$B$4/252,"")</f>
        <v/>
      </c>
      <c r="G3493" s="28">
        <f>IFERROR(E3493-Dashboard!$B$4/252,"")</f>
        <v/>
      </c>
      <c r="H3493" s="8">
        <f>IFERROR(IF(ISNUMBER(B3493),MAX(B3493,IFERROR(H3492,B3493)),""),"")</f>
        <v/>
      </c>
      <c r="I3493" s="29">
        <f>IFERROR(IF(AND(ISNUMBER(B3493),ISNUMBER(H3493)),B3493/H3493-1,""),"")</f>
        <v/>
      </c>
      <c r="J3493" s="8">
        <f>IFERROR(IF(ISNUMBER(C3493),MAX(C3493,IFERROR(J3492,C3493)),""),"")</f>
        <v/>
      </c>
      <c r="K3493" s="29">
        <f>IFERROR(IF(AND(ISNUMBER(C3493),ISNUMBER(J3493)),C3493/J3493-1,""),"")</f>
        <v/>
      </c>
      <c r="L3493" s="28">
        <f>IFERROR(IF(AND(ISNUMBER(D3493),ISNUMBER(E3493)),D3493-E3493,""),"")</f>
        <v/>
      </c>
    </row>
    <row r="3494">
      <c r="A3494" s="7">
        <f>IFERROR(Datos!A3494,"")</f>
        <v/>
      </c>
      <c r="B3494" s="8">
        <f>IFERROR(Datos!B3494,"")</f>
        <v/>
      </c>
      <c r="C3494" s="8">
        <f>IFERROR(Datos!C3494,"")</f>
        <v/>
      </c>
      <c r="D3494" s="28">
        <f>IFERROR(IF(AND(ISNUMBER(B3494),ISNUMBER(B3493),B3493&lt;&gt;0),B3494/B3493-1,""),"")</f>
        <v/>
      </c>
      <c r="E3494" s="28">
        <f>IFERROR(IF(AND(ISNUMBER(C3494),ISNUMBER(C3493),C3493&lt;&gt;0),C3494/C3493-1,""),"")</f>
        <v/>
      </c>
      <c r="F3494" s="28">
        <f>IFERROR(D3494-Dashboard!$B$4/252,"")</f>
        <v/>
      </c>
      <c r="G3494" s="28">
        <f>IFERROR(E3494-Dashboard!$B$4/252,"")</f>
        <v/>
      </c>
      <c r="H3494" s="8">
        <f>IFERROR(IF(ISNUMBER(B3494),MAX(B3494,IFERROR(H3493,B3494)),""),"")</f>
        <v/>
      </c>
      <c r="I3494" s="29">
        <f>IFERROR(IF(AND(ISNUMBER(B3494),ISNUMBER(H3494)),B3494/H3494-1,""),"")</f>
        <v/>
      </c>
      <c r="J3494" s="8">
        <f>IFERROR(IF(ISNUMBER(C3494),MAX(C3494,IFERROR(J3493,C3494)),""),"")</f>
        <v/>
      </c>
      <c r="K3494" s="29">
        <f>IFERROR(IF(AND(ISNUMBER(C3494),ISNUMBER(J3494)),C3494/J3494-1,""),"")</f>
        <v/>
      </c>
      <c r="L3494" s="28">
        <f>IFERROR(IF(AND(ISNUMBER(D3494),ISNUMBER(E3494)),D3494-E3494,""),"")</f>
        <v/>
      </c>
    </row>
    <row r="3495">
      <c r="A3495" s="7">
        <f>IFERROR(Datos!A3495,"")</f>
        <v/>
      </c>
      <c r="B3495" s="8">
        <f>IFERROR(Datos!B3495,"")</f>
        <v/>
      </c>
      <c r="C3495" s="8">
        <f>IFERROR(Datos!C3495,"")</f>
        <v/>
      </c>
      <c r="D3495" s="28">
        <f>IFERROR(IF(AND(ISNUMBER(B3495),ISNUMBER(B3494),B3494&lt;&gt;0),B3495/B3494-1,""),"")</f>
        <v/>
      </c>
      <c r="E3495" s="28">
        <f>IFERROR(IF(AND(ISNUMBER(C3495),ISNUMBER(C3494),C3494&lt;&gt;0),C3495/C3494-1,""),"")</f>
        <v/>
      </c>
      <c r="F3495" s="28">
        <f>IFERROR(D3495-Dashboard!$B$4/252,"")</f>
        <v/>
      </c>
      <c r="G3495" s="28">
        <f>IFERROR(E3495-Dashboard!$B$4/252,"")</f>
        <v/>
      </c>
      <c r="H3495" s="8">
        <f>IFERROR(IF(ISNUMBER(B3495),MAX(B3495,IFERROR(H3494,B3495)),""),"")</f>
        <v/>
      </c>
      <c r="I3495" s="29">
        <f>IFERROR(IF(AND(ISNUMBER(B3495),ISNUMBER(H3495)),B3495/H3495-1,""),"")</f>
        <v/>
      </c>
      <c r="J3495" s="8">
        <f>IFERROR(IF(ISNUMBER(C3495),MAX(C3495,IFERROR(J3494,C3495)),""),"")</f>
        <v/>
      </c>
      <c r="K3495" s="29">
        <f>IFERROR(IF(AND(ISNUMBER(C3495),ISNUMBER(J3495)),C3495/J3495-1,""),"")</f>
        <v/>
      </c>
      <c r="L3495" s="28">
        <f>IFERROR(IF(AND(ISNUMBER(D3495),ISNUMBER(E3495)),D3495-E3495,""),"")</f>
        <v/>
      </c>
    </row>
    <row r="3496">
      <c r="A3496" s="7">
        <f>IFERROR(Datos!A3496,"")</f>
        <v/>
      </c>
      <c r="B3496" s="8">
        <f>IFERROR(Datos!B3496,"")</f>
        <v/>
      </c>
      <c r="C3496" s="8">
        <f>IFERROR(Datos!C3496,"")</f>
        <v/>
      </c>
      <c r="D3496" s="28">
        <f>IFERROR(IF(AND(ISNUMBER(B3496),ISNUMBER(B3495),B3495&lt;&gt;0),B3496/B3495-1,""),"")</f>
        <v/>
      </c>
      <c r="E3496" s="28">
        <f>IFERROR(IF(AND(ISNUMBER(C3496),ISNUMBER(C3495),C3495&lt;&gt;0),C3496/C3495-1,""),"")</f>
        <v/>
      </c>
      <c r="F3496" s="28">
        <f>IFERROR(D3496-Dashboard!$B$4/252,"")</f>
        <v/>
      </c>
      <c r="G3496" s="28">
        <f>IFERROR(E3496-Dashboard!$B$4/252,"")</f>
        <v/>
      </c>
      <c r="H3496" s="8">
        <f>IFERROR(IF(ISNUMBER(B3496),MAX(B3496,IFERROR(H3495,B3496)),""),"")</f>
        <v/>
      </c>
      <c r="I3496" s="29">
        <f>IFERROR(IF(AND(ISNUMBER(B3496),ISNUMBER(H3496)),B3496/H3496-1,""),"")</f>
        <v/>
      </c>
      <c r="J3496" s="8">
        <f>IFERROR(IF(ISNUMBER(C3496),MAX(C3496,IFERROR(J3495,C3496)),""),"")</f>
        <v/>
      </c>
      <c r="K3496" s="29">
        <f>IFERROR(IF(AND(ISNUMBER(C3496),ISNUMBER(J3496)),C3496/J3496-1,""),"")</f>
        <v/>
      </c>
      <c r="L3496" s="28">
        <f>IFERROR(IF(AND(ISNUMBER(D3496),ISNUMBER(E3496)),D3496-E3496,""),"")</f>
        <v/>
      </c>
    </row>
    <row r="3497">
      <c r="A3497" s="7">
        <f>IFERROR(Datos!A3497,"")</f>
        <v/>
      </c>
      <c r="B3497" s="8">
        <f>IFERROR(Datos!B3497,"")</f>
        <v/>
      </c>
      <c r="C3497" s="8">
        <f>IFERROR(Datos!C3497,"")</f>
        <v/>
      </c>
      <c r="D3497" s="28">
        <f>IFERROR(IF(AND(ISNUMBER(B3497),ISNUMBER(B3496),B3496&lt;&gt;0),B3497/B3496-1,""),"")</f>
        <v/>
      </c>
      <c r="E3497" s="28">
        <f>IFERROR(IF(AND(ISNUMBER(C3497),ISNUMBER(C3496),C3496&lt;&gt;0),C3497/C3496-1,""),"")</f>
        <v/>
      </c>
      <c r="F3497" s="28">
        <f>IFERROR(D3497-Dashboard!$B$4/252,"")</f>
        <v/>
      </c>
      <c r="G3497" s="28">
        <f>IFERROR(E3497-Dashboard!$B$4/252,"")</f>
        <v/>
      </c>
      <c r="H3497" s="8">
        <f>IFERROR(IF(ISNUMBER(B3497),MAX(B3497,IFERROR(H3496,B3497)),""),"")</f>
        <v/>
      </c>
      <c r="I3497" s="29">
        <f>IFERROR(IF(AND(ISNUMBER(B3497),ISNUMBER(H3497)),B3497/H3497-1,""),"")</f>
        <v/>
      </c>
      <c r="J3497" s="8">
        <f>IFERROR(IF(ISNUMBER(C3497),MAX(C3497,IFERROR(J3496,C3497)),""),"")</f>
        <v/>
      </c>
      <c r="K3497" s="29">
        <f>IFERROR(IF(AND(ISNUMBER(C3497),ISNUMBER(J3497)),C3497/J3497-1,""),"")</f>
        <v/>
      </c>
      <c r="L3497" s="28">
        <f>IFERROR(IF(AND(ISNUMBER(D3497),ISNUMBER(E3497)),D3497-E3497,""),"")</f>
        <v/>
      </c>
    </row>
    <row r="3498">
      <c r="A3498" s="7">
        <f>IFERROR(Datos!A3498,"")</f>
        <v/>
      </c>
      <c r="B3498" s="8">
        <f>IFERROR(Datos!B3498,"")</f>
        <v/>
      </c>
      <c r="C3498" s="8">
        <f>IFERROR(Datos!C3498,"")</f>
        <v/>
      </c>
      <c r="D3498" s="28">
        <f>IFERROR(IF(AND(ISNUMBER(B3498),ISNUMBER(B3497),B3497&lt;&gt;0),B3498/B3497-1,""),"")</f>
        <v/>
      </c>
      <c r="E3498" s="28">
        <f>IFERROR(IF(AND(ISNUMBER(C3498),ISNUMBER(C3497),C3497&lt;&gt;0),C3498/C3497-1,""),"")</f>
        <v/>
      </c>
      <c r="F3498" s="28">
        <f>IFERROR(D3498-Dashboard!$B$4/252,"")</f>
        <v/>
      </c>
      <c r="G3498" s="28">
        <f>IFERROR(E3498-Dashboard!$B$4/252,"")</f>
        <v/>
      </c>
      <c r="H3498" s="8">
        <f>IFERROR(IF(ISNUMBER(B3498),MAX(B3498,IFERROR(H3497,B3498)),""),"")</f>
        <v/>
      </c>
      <c r="I3498" s="29">
        <f>IFERROR(IF(AND(ISNUMBER(B3498),ISNUMBER(H3498)),B3498/H3498-1,""),"")</f>
        <v/>
      </c>
      <c r="J3498" s="8">
        <f>IFERROR(IF(ISNUMBER(C3498),MAX(C3498,IFERROR(J3497,C3498)),""),"")</f>
        <v/>
      </c>
      <c r="K3498" s="29">
        <f>IFERROR(IF(AND(ISNUMBER(C3498),ISNUMBER(J3498)),C3498/J3498-1,""),"")</f>
        <v/>
      </c>
      <c r="L3498" s="28">
        <f>IFERROR(IF(AND(ISNUMBER(D3498),ISNUMBER(E3498)),D3498-E3498,""),"")</f>
        <v/>
      </c>
    </row>
    <row r="3499">
      <c r="A3499" s="7">
        <f>IFERROR(Datos!A3499,"")</f>
        <v/>
      </c>
      <c r="B3499" s="8">
        <f>IFERROR(Datos!B3499,"")</f>
        <v/>
      </c>
      <c r="C3499" s="8">
        <f>IFERROR(Datos!C3499,"")</f>
        <v/>
      </c>
      <c r="D3499" s="28">
        <f>IFERROR(IF(AND(ISNUMBER(B3499),ISNUMBER(B3498),B3498&lt;&gt;0),B3499/B3498-1,""),"")</f>
        <v/>
      </c>
      <c r="E3499" s="28">
        <f>IFERROR(IF(AND(ISNUMBER(C3499),ISNUMBER(C3498),C3498&lt;&gt;0),C3499/C3498-1,""),"")</f>
        <v/>
      </c>
      <c r="F3499" s="28">
        <f>IFERROR(D3499-Dashboard!$B$4/252,"")</f>
        <v/>
      </c>
      <c r="G3499" s="28">
        <f>IFERROR(E3499-Dashboard!$B$4/252,"")</f>
        <v/>
      </c>
      <c r="H3499" s="8">
        <f>IFERROR(IF(ISNUMBER(B3499),MAX(B3499,IFERROR(H3498,B3499)),""),"")</f>
        <v/>
      </c>
      <c r="I3499" s="29">
        <f>IFERROR(IF(AND(ISNUMBER(B3499),ISNUMBER(H3499)),B3499/H3499-1,""),"")</f>
        <v/>
      </c>
      <c r="J3499" s="8">
        <f>IFERROR(IF(ISNUMBER(C3499),MAX(C3499,IFERROR(J3498,C3499)),""),"")</f>
        <v/>
      </c>
      <c r="K3499" s="29">
        <f>IFERROR(IF(AND(ISNUMBER(C3499),ISNUMBER(J3499)),C3499/J3499-1,""),"")</f>
        <v/>
      </c>
      <c r="L3499" s="28">
        <f>IFERROR(IF(AND(ISNUMBER(D3499),ISNUMBER(E3499)),D3499-E3499,""),"")</f>
        <v/>
      </c>
    </row>
    <row r="3500">
      <c r="A3500" s="7">
        <f>IFERROR(Datos!A3500,"")</f>
        <v/>
      </c>
      <c r="B3500" s="8">
        <f>IFERROR(Datos!B3500,"")</f>
        <v/>
      </c>
      <c r="C3500" s="8">
        <f>IFERROR(Datos!C3500,"")</f>
        <v/>
      </c>
      <c r="D3500" s="28">
        <f>IFERROR(IF(AND(ISNUMBER(B3500),ISNUMBER(B3499),B3499&lt;&gt;0),B3500/B3499-1,""),"")</f>
        <v/>
      </c>
      <c r="E3500" s="28">
        <f>IFERROR(IF(AND(ISNUMBER(C3500),ISNUMBER(C3499),C3499&lt;&gt;0),C3500/C3499-1,""),"")</f>
        <v/>
      </c>
      <c r="F3500" s="28">
        <f>IFERROR(D3500-Dashboard!$B$4/252,"")</f>
        <v/>
      </c>
      <c r="G3500" s="28">
        <f>IFERROR(E3500-Dashboard!$B$4/252,"")</f>
        <v/>
      </c>
      <c r="H3500" s="8">
        <f>IFERROR(IF(ISNUMBER(B3500),MAX(B3500,IFERROR(H3499,B3500)),""),"")</f>
        <v/>
      </c>
      <c r="I3500" s="29">
        <f>IFERROR(IF(AND(ISNUMBER(B3500),ISNUMBER(H3500)),B3500/H3500-1,""),"")</f>
        <v/>
      </c>
      <c r="J3500" s="8">
        <f>IFERROR(IF(ISNUMBER(C3500),MAX(C3500,IFERROR(J3499,C3500)),""),"")</f>
        <v/>
      </c>
      <c r="K3500" s="29">
        <f>IFERROR(IF(AND(ISNUMBER(C3500),ISNUMBER(J3500)),C3500/J3500-1,""),"")</f>
        <v/>
      </c>
      <c r="L3500" s="28">
        <f>IFERROR(IF(AND(ISNUMBER(D3500),ISNUMBER(E3500)),D3500-E3500,""),"")</f>
        <v/>
      </c>
    </row>
    <row r="3501">
      <c r="A3501" s="7">
        <f>IFERROR(Datos!A3501,"")</f>
        <v/>
      </c>
      <c r="B3501" s="8">
        <f>IFERROR(Datos!B3501,"")</f>
        <v/>
      </c>
      <c r="C3501" s="8">
        <f>IFERROR(Datos!C3501,"")</f>
        <v/>
      </c>
      <c r="D3501" s="28">
        <f>IFERROR(IF(AND(ISNUMBER(B3501),ISNUMBER(B3500),B3500&lt;&gt;0),B3501/B3500-1,""),"")</f>
        <v/>
      </c>
      <c r="E3501" s="28">
        <f>IFERROR(IF(AND(ISNUMBER(C3501),ISNUMBER(C3500),C3500&lt;&gt;0),C3501/C3500-1,""),"")</f>
        <v/>
      </c>
      <c r="F3501" s="28">
        <f>IFERROR(D3501-Dashboard!$B$4/252,"")</f>
        <v/>
      </c>
      <c r="G3501" s="28">
        <f>IFERROR(E3501-Dashboard!$B$4/252,"")</f>
        <v/>
      </c>
      <c r="H3501" s="8">
        <f>IFERROR(IF(ISNUMBER(B3501),MAX(B3501,IFERROR(H3500,B3501)),""),"")</f>
        <v/>
      </c>
      <c r="I3501" s="29">
        <f>IFERROR(IF(AND(ISNUMBER(B3501),ISNUMBER(H3501)),B3501/H3501-1,""),"")</f>
        <v/>
      </c>
      <c r="J3501" s="8">
        <f>IFERROR(IF(ISNUMBER(C3501),MAX(C3501,IFERROR(J3500,C3501)),""),"")</f>
        <v/>
      </c>
      <c r="K3501" s="29">
        <f>IFERROR(IF(AND(ISNUMBER(C3501),ISNUMBER(J3501)),C3501/J3501-1,""),"")</f>
        <v/>
      </c>
      <c r="L3501" s="28">
        <f>IFERROR(IF(AND(ISNUMBER(D3501),ISNUMBER(E3501)),D3501-E3501,""),"")</f>
        <v/>
      </c>
    </row>
    <row r="3502">
      <c r="A3502" s="7">
        <f>IFERROR(Datos!A3502,"")</f>
        <v/>
      </c>
      <c r="B3502" s="8">
        <f>IFERROR(Datos!B3502,"")</f>
        <v/>
      </c>
      <c r="C3502" s="8">
        <f>IFERROR(Datos!C3502,"")</f>
        <v/>
      </c>
      <c r="D3502" s="28">
        <f>IFERROR(IF(AND(ISNUMBER(B3502),ISNUMBER(B3501),B3501&lt;&gt;0),B3502/B3501-1,""),"")</f>
        <v/>
      </c>
      <c r="E3502" s="28">
        <f>IFERROR(IF(AND(ISNUMBER(C3502),ISNUMBER(C3501),C3501&lt;&gt;0),C3502/C3501-1,""),"")</f>
        <v/>
      </c>
      <c r="F3502" s="28">
        <f>IFERROR(D3502-Dashboard!$B$4/252,"")</f>
        <v/>
      </c>
      <c r="G3502" s="28">
        <f>IFERROR(E3502-Dashboard!$B$4/252,"")</f>
        <v/>
      </c>
      <c r="H3502" s="8">
        <f>IFERROR(IF(ISNUMBER(B3502),MAX(B3502,IFERROR(H3501,B3502)),""),"")</f>
        <v/>
      </c>
      <c r="I3502" s="29">
        <f>IFERROR(IF(AND(ISNUMBER(B3502),ISNUMBER(H3502)),B3502/H3502-1,""),"")</f>
        <v/>
      </c>
      <c r="J3502" s="8">
        <f>IFERROR(IF(ISNUMBER(C3502),MAX(C3502,IFERROR(J3501,C3502)),""),"")</f>
        <v/>
      </c>
      <c r="K3502" s="29">
        <f>IFERROR(IF(AND(ISNUMBER(C3502),ISNUMBER(J3502)),C3502/J3502-1,""),"")</f>
        <v/>
      </c>
      <c r="L3502" s="28">
        <f>IFERROR(IF(AND(ISNUMBER(D3502),ISNUMBER(E3502)),D3502-E3502,""),"")</f>
        <v/>
      </c>
    </row>
    <row r="3503">
      <c r="A3503" s="7">
        <f>IFERROR(Datos!A3503,"")</f>
        <v/>
      </c>
      <c r="B3503" s="8">
        <f>IFERROR(Datos!B3503,"")</f>
        <v/>
      </c>
      <c r="C3503" s="8">
        <f>IFERROR(Datos!C3503,"")</f>
        <v/>
      </c>
      <c r="D3503" s="28">
        <f>IFERROR(IF(AND(ISNUMBER(B3503),ISNUMBER(B3502),B3502&lt;&gt;0),B3503/B3502-1,""),"")</f>
        <v/>
      </c>
      <c r="E3503" s="28">
        <f>IFERROR(IF(AND(ISNUMBER(C3503),ISNUMBER(C3502),C3502&lt;&gt;0),C3503/C3502-1,""),"")</f>
        <v/>
      </c>
      <c r="F3503" s="28">
        <f>IFERROR(D3503-Dashboard!$B$4/252,"")</f>
        <v/>
      </c>
      <c r="G3503" s="28">
        <f>IFERROR(E3503-Dashboard!$B$4/252,"")</f>
        <v/>
      </c>
      <c r="H3503" s="8">
        <f>IFERROR(IF(ISNUMBER(B3503),MAX(B3503,IFERROR(H3502,B3503)),""),"")</f>
        <v/>
      </c>
      <c r="I3503" s="29">
        <f>IFERROR(IF(AND(ISNUMBER(B3503),ISNUMBER(H3503)),B3503/H3503-1,""),"")</f>
        <v/>
      </c>
      <c r="J3503" s="8">
        <f>IFERROR(IF(ISNUMBER(C3503),MAX(C3503,IFERROR(J3502,C3503)),""),"")</f>
        <v/>
      </c>
      <c r="K3503" s="29">
        <f>IFERROR(IF(AND(ISNUMBER(C3503),ISNUMBER(J3503)),C3503/J3503-1,""),"")</f>
        <v/>
      </c>
      <c r="L3503" s="28">
        <f>IFERROR(IF(AND(ISNUMBER(D3503),ISNUMBER(E3503)),D3503-E3503,""),"")</f>
        <v/>
      </c>
    </row>
    <row r="3504">
      <c r="A3504" s="7">
        <f>IFERROR(Datos!A3504,"")</f>
        <v/>
      </c>
      <c r="B3504" s="8">
        <f>IFERROR(Datos!B3504,"")</f>
        <v/>
      </c>
      <c r="C3504" s="8">
        <f>IFERROR(Datos!C3504,"")</f>
        <v/>
      </c>
      <c r="D3504" s="28">
        <f>IFERROR(IF(AND(ISNUMBER(B3504),ISNUMBER(B3503),B3503&lt;&gt;0),B3504/B3503-1,""),"")</f>
        <v/>
      </c>
      <c r="E3504" s="28">
        <f>IFERROR(IF(AND(ISNUMBER(C3504),ISNUMBER(C3503),C3503&lt;&gt;0),C3504/C3503-1,""),"")</f>
        <v/>
      </c>
      <c r="F3504" s="28">
        <f>IFERROR(D3504-Dashboard!$B$4/252,"")</f>
        <v/>
      </c>
      <c r="G3504" s="28">
        <f>IFERROR(E3504-Dashboard!$B$4/252,"")</f>
        <v/>
      </c>
      <c r="H3504" s="8">
        <f>IFERROR(IF(ISNUMBER(B3504),MAX(B3504,IFERROR(H3503,B3504)),""),"")</f>
        <v/>
      </c>
      <c r="I3504" s="29">
        <f>IFERROR(IF(AND(ISNUMBER(B3504),ISNUMBER(H3504)),B3504/H3504-1,""),"")</f>
        <v/>
      </c>
      <c r="J3504" s="8">
        <f>IFERROR(IF(ISNUMBER(C3504),MAX(C3504,IFERROR(J3503,C3504)),""),"")</f>
        <v/>
      </c>
      <c r="K3504" s="29">
        <f>IFERROR(IF(AND(ISNUMBER(C3504),ISNUMBER(J3504)),C3504/J3504-1,""),"")</f>
        <v/>
      </c>
      <c r="L3504" s="28">
        <f>IFERROR(IF(AND(ISNUMBER(D3504),ISNUMBER(E3504)),D3504-E3504,""),"")</f>
        <v/>
      </c>
    </row>
    <row r="3505">
      <c r="A3505" s="7">
        <f>IFERROR(Datos!A3505,"")</f>
        <v/>
      </c>
      <c r="B3505" s="8">
        <f>IFERROR(Datos!B3505,"")</f>
        <v/>
      </c>
      <c r="C3505" s="8">
        <f>IFERROR(Datos!C3505,"")</f>
        <v/>
      </c>
      <c r="D3505" s="28">
        <f>IFERROR(IF(AND(ISNUMBER(B3505),ISNUMBER(B3504),B3504&lt;&gt;0),B3505/B3504-1,""),"")</f>
        <v/>
      </c>
      <c r="E3505" s="28">
        <f>IFERROR(IF(AND(ISNUMBER(C3505),ISNUMBER(C3504),C3504&lt;&gt;0),C3505/C3504-1,""),"")</f>
        <v/>
      </c>
      <c r="F3505" s="28">
        <f>IFERROR(D3505-Dashboard!$B$4/252,"")</f>
        <v/>
      </c>
      <c r="G3505" s="28">
        <f>IFERROR(E3505-Dashboard!$B$4/252,"")</f>
        <v/>
      </c>
      <c r="H3505" s="8">
        <f>IFERROR(IF(ISNUMBER(B3505),MAX(B3505,IFERROR(H3504,B3505)),""),"")</f>
        <v/>
      </c>
      <c r="I3505" s="29">
        <f>IFERROR(IF(AND(ISNUMBER(B3505),ISNUMBER(H3505)),B3505/H3505-1,""),"")</f>
        <v/>
      </c>
      <c r="J3505" s="8">
        <f>IFERROR(IF(ISNUMBER(C3505),MAX(C3505,IFERROR(J3504,C3505)),""),"")</f>
        <v/>
      </c>
      <c r="K3505" s="29">
        <f>IFERROR(IF(AND(ISNUMBER(C3505),ISNUMBER(J3505)),C3505/J3505-1,""),"")</f>
        <v/>
      </c>
      <c r="L3505" s="28">
        <f>IFERROR(IF(AND(ISNUMBER(D3505),ISNUMBER(E3505)),D3505-E3505,""),"")</f>
        <v/>
      </c>
    </row>
    <row r="3506">
      <c r="A3506" s="7">
        <f>IFERROR(Datos!A3506,"")</f>
        <v/>
      </c>
      <c r="B3506" s="8">
        <f>IFERROR(Datos!B3506,"")</f>
        <v/>
      </c>
      <c r="C3506" s="8">
        <f>IFERROR(Datos!C3506,"")</f>
        <v/>
      </c>
      <c r="D3506" s="28">
        <f>IFERROR(IF(AND(ISNUMBER(B3506),ISNUMBER(B3505),B3505&lt;&gt;0),B3506/B3505-1,""),"")</f>
        <v/>
      </c>
      <c r="E3506" s="28">
        <f>IFERROR(IF(AND(ISNUMBER(C3506),ISNUMBER(C3505),C3505&lt;&gt;0),C3506/C3505-1,""),"")</f>
        <v/>
      </c>
      <c r="F3506" s="28">
        <f>IFERROR(D3506-Dashboard!$B$4/252,"")</f>
        <v/>
      </c>
      <c r="G3506" s="28">
        <f>IFERROR(E3506-Dashboard!$B$4/252,"")</f>
        <v/>
      </c>
      <c r="H3506" s="8">
        <f>IFERROR(IF(ISNUMBER(B3506),MAX(B3506,IFERROR(H3505,B3506)),""),"")</f>
        <v/>
      </c>
      <c r="I3506" s="29">
        <f>IFERROR(IF(AND(ISNUMBER(B3506),ISNUMBER(H3506)),B3506/H3506-1,""),"")</f>
        <v/>
      </c>
      <c r="J3506" s="8">
        <f>IFERROR(IF(ISNUMBER(C3506),MAX(C3506,IFERROR(J3505,C3506)),""),"")</f>
        <v/>
      </c>
      <c r="K3506" s="29">
        <f>IFERROR(IF(AND(ISNUMBER(C3506),ISNUMBER(J3506)),C3506/J3506-1,""),"")</f>
        <v/>
      </c>
      <c r="L3506" s="28">
        <f>IFERROR(IF(AND(ISNUMBER(D3506),ISNUMBER(E3506)),D3506-E3506,""),"")</f>
        <v/>
      </c>
    </row>
    <row r="3507">
      <c r="A3507" s="7">
        <f>IFERROR(Datos!A3507,"")</f>
        <v/>
      </c>
      <c r="B3507" s="8">
        <f>IFERROR(Datos!B3507,"")</f>
        <v/>
      </c>
      <c r="C3507" s="8">
        <f>IFERROR(Datos!C3507,"")</f>
        <v/>
      </c>
      <c r="D3507" s="28">
        <f>IFERROR(IF(AND(ISNUMBER(B3507),ISNUMBER(B3506),B3506&lt;&gt;0),B3507/B3506-1,""),"")</f>
        <v/>
      </c>
      <c r="E3507" s="28">
        <f>IFERROR(IF(AND(ISNUMBER(C3507),ISNUMBER(C3506),C3506&lt;&gt;0),C3507/C3506-1,""),"")</f>
        <v/>
      </c>
      <c r="F3507" s="28">
        <f>IFERROR(D3507-Dashboard!$B$4/252,"")</f>
        <v/>
      </c>
      <c r="G3507" s="28">
        <f>IFERROR(E3507-Dashboard!$B$4/252,"")</f>
        <v/>
      </c>
      <c r="H3507" s="8">
        <f>IFERROR(IF(ISNUMBER(B3507),MAX(B3507,IFERROR(H3506,B3507)),""),"")</f>
        <v/>
      </c>
      <c r="I3507" s="29">
        <f>IFERROR(IF(AND(ISNUMBER(B3507),ISNUMBER(H3507)),B3507/H3507-1,""),"")</f>
        <v/>
      </c>
      <c r="J3507" s="8">
        <f>IFERROR(IF(ISNUMBER(C3507),MAX(C3507,IFERROR(J3506,C3507)),""),"")</f>
        <v/>
      </c>
      <c r="K3507" s="29">
        <f>IFERROR(IF(AND(ISNUMBER(C3507),ISNUMBER(J3507)),C3507/J3507-1,""),"")</f>
        <v/>
      </c>
      <c r="L3507" s="28">
        <f>IFERROR(IF(AND(ISNUMBER(D3507),ISNUMBER(E3507)),D3507-E3507,""),"")</f>
        <v/>
      </c>
    </row>
    <row r="3508">
      <c r="A3508" s="7">
        <f>IFERROR(Datos!A3508,"")</f>
        <v/>
      </c>
      <c r="B3508" s="8">
        <f>IFERROR(Datos!B3508,"")</f>
        <v/>
      </c>
      <c r="C3508" s="8">
        <f>IFERROR(Datos!C3508,"")</f>
        <v/>
      </c>
      <c r="D3508" s="28">
        <f>IFERROR(IF(AND(ISNUMBER(B3508),ISNUMBER(B3507),B3507&lt;&gt;0),B3508/B3507-1,""),"")</f>
        <v/>
      </c>
      <c r="E3508" s="28">
        <f>IFERROR(IF(AND(ISNUMBER(C3508),ISNUMBER(C3507),C3507&lt;&gt;0),C3508/C3507-1,""),"")</f>
        <v/>
      </c>
      <c r="F3508" s="28">
        <f>IFERROR(D3508-Dashboard!$B$4/252,"")</f>
        <v/>
      </c>
      <c r="G3508" s="28">
        <f>IFERROR(E3508-Dashboard!$B$4/252,"")</f>
        <v/>
      </c>
      <c r="H3508" s="8">
        <f>IFERROR(IF(ISNUMBER(B3508),MAX(B3508,IFERROR(H3507,B3508)),""),"")</f>
        <v/>
      </c>
      <c r="I3508" s="29">
        <f>IFERROR(IF(AND(ISNUMBER(B3508),ISNUMBER(H3508)),B3508/H3508-1,""),"")</f>
        <v/>
      </c>
      <c r="J3508" s="8">
        <f>IFERROR(IF(ISNUMBER(C3508),MAX(C3508,IFERROR(J3507,C3508)),""),"")</f>
        <v/>
      </c>
      <c r="K3508" s="29">
        <f>IFERROR(IF(AND(ISNUMBER(C3508),ISNUMBER(J3508)),C3508/J3508-1,""),"")</f>
        <v/>
      </c>
      <c r="L3508" s="28">
        <f>IFERROR(IF(AND(ISNUMBER(D3508),ISNUMBER(E3508)),D3508-E3508,""),"")</f>
        <v/>
      </c>
    </row>
    <row r="3509">
      <c r="A3509" s="7">
        <f>IFERROR(Datos!A3509,"")</f>
        <v/>
      </c>
      <c r="B3509" s="8">
        <f>IFERROR(Datos!B3509,"")</f>
        <v/>
      </c>
      <c r="C3509" s="8">
        <f>IFERROR(Datos!C3509,"")</f>
        <v/>
      </c>
      <c r="D3509" s="28">
        <f>IFERROR(IF(AND(ISNUMBER(B3509),ISNUMBER(B3508),B3508&lt;&gt;0),B3509/B3508-1,""),"")</f>
        <v/>
      </c>
      <c r="E3509" s="28">
        <f>IFERROR(IF(AND(ISNUMBER(C3509),ISNUMBER(C3508),C3508&lt;&gt;0),C3509/C3508-1,""),"")</f>
        <v/>
      </c>
      <c r="F3509" s="28">
        <f>IFERROR(D3509-Dashboard!$B$4/252,"")</f>
        <v/>
      </c>
      <c r="G3509" s="28">
        <f>IFERROR(E3509-Dashboard!$B$4/252,"")</f>
        <v/>
      </c>
      <c r="H3509" s="8">
        <f>IFERROR(IF(ISNUMBER(B3509),MAX(B3509,IFERROR(H3508,B3509)),""),"")</f>
        <v/>
      </c>
      <c r="I3509" s="29">
        <f>IFERROR(IF(AND(ISNUMBER(B3509),ISNUMBER(H3509)),B3509/H3509-1,""),"")</f>
        <v/>
      </c>
      <c r="J3509" s="8">
        <f>IFERROR(IF(ISNUMBER(C3509),MAX(C3509,IFERROR(J3508,C3509)),""),"")</f>
        <v/>
      </c>
      <c r="K3509" s="29">
        <f>IFERROR(IF(AND(ISNUMBER(C3509),ISNUMBER(J3509)),C3509/J3509-1,""),"")</f>
        <v/>
      </c>
      <c r="L3509" s="28">
        <f>IFERROR(IF(AND(ISNUMBER(D3509),ISNUMBER(E3509)),D3509-E3509,""),"")</f>
        <v/>
      </c>
    </row>
    <row r="3510">
      <c r="A3510" s="7">
        <f>IFERROR(Datos!A3510,"")</f>
        <v/>
      </c>
      <c r="B3510" s="8">
        <f>IFERROR(Datos!B3510,"")</f>
        <v/>
      </c>
      <c r="C3510" s="8">
        <f>IFERROR(Datos!C3510,"")</f>
        <v/>
      </c>
      <c r="D3510" s="28">
        <f>IFERROR(IF(AND(ISNUMBER(B3510),ISNUMBER(B3509),B3509&lt;&gt;0),B3510/B3509-1,""),"")</f>
        <v/>
      </c>
      <c r="E3510" s="28">
        <f>IFERROR(IF(AND(ISNUMBER(C3510),ISNUMBER(C3509),C3509&lt;&gt;0),C3510/C3509-1,""),"")</f>
        <v/>
      </c>
      <c r="F3510" s="28">
        <f>IFERROR(D3510-Dashboard!$B$4/252,"")</f>
        <v/>
      </c>
      <c r="G3510" s="28">
        <f>IFERROR(E3510-Dashboard!$B$4/252,"")</f>
        <v/>
      </c>
      <c r="H3510" s="8">
        <f>IFERROR(IF(ISNUMBER(B3510),MAX(B3510,IFERROR(H3509,B3510)),""),"")</f>
        <v/>
      </c>
      <c r="I3510" s="29">
        <f>IFERROR(IF(AND(ISNUMBER(B3510),ISNUMBER(H3510)),B3510/H3510-1,""),"")</f>
        <v/>
      </c>
      <c r="J3510" s="8">
        <f>IFERROR(IF(ISNUMBER(C3510),MAX(C3510,IFERROR(J3509,C3510)),""),"")</f>
        <v/>
      </c>
      <c r="K3510" s="29">
        <f>IFERROR(IF(AND(ISNUMBER(C3510),ISNUMBER(J3510)),C3510/J3510-1,""),"")</f>
        <v/>
      </c>
      <c r="L3510" s="28">
        <f>IFERROR(IF(AND(ISNUMBER(D3510),ISNUMBER(E3510)),D3510-E3510,""),"")</f>
        <v/>
      </c>
    </row>
    <row r="3511">
      <c r="A3511" s="7">
        <f>IFERROR(Datos!A3511,"")</f>
        <v/>
      </c>
      <c r="B3511" s="8">
        <f>IFERROR(Datos!B3511,"")</f>
        <v/>
      </c>
      <c r="C3511" s="8">
        <f>IFERROR(Datos!C3511,"")</f>
        <v/>
      </c>
      <c r="D3511" s="28">
        <f>IFERROR(IF(AND(ISNUMBER(B3511),ISNUMBER(B3510),B3510&lt;&gt;0),B3511/B3510-1,""),"")</f>
        <v/>
      </c>
      <c r="E3511" s="28">
        <f>IFERROR(IF(AND(ISNUMBER(C3511),ISNUMBER(C3510),C3510&lt;&gt;0),C3511/C3510-1,""),"")</f>
        <v/>
      </c>
      <c r="F3511" s="28">
        <f>IFERROR(D3511-Dashboard!$B$4/252,"")</f>
        <v/>
      </c>
      <c r="G3511" s="28">
        <f>IFERROR(E3511-Dashboard!$B$4/252,"")</f>
        <v/>
      </c>
      <c r="H3511" s="8">
        <f>IFERROR(IF(ISNUMBER(B3511),MAX(B3511,IFERROR(H3510,B3511)),""),"")</f>
        <v/>
      </c>
      <c r="I3511" s="29">
        <f>IFERROR(IF(AND(ISNUMBER(B3511),ISNUMBER(H3511)),B3511/H3511-1,""),"")</f>
        <v/>
      </c>
      <c r="J3511" s="8">
        <f>IFERROR(IF(ISNUMBER(C3511),MAX(C3511,IFERROR(J3510,C3511)),""),"")</f>
        <v/>
      </c>
      <c r="K3511" s="29">
        <f>IFERROR(IF(AND(ISNUMBER(C3511),ISNUMBER(J3511)),C3511/J3511-1,""),"")</f>
        <v/>
      </c>
      <c r="L3511" s="28">
        <f>IFERROR(IF(AND(ISNUMBER(D3511),ISNUMBER(E3511)),D3511-E3511,""),"")</f>
        <v/>
      </c>
    </row>
    <row r="3512">
      <c r="A3512" s="7">
        <f>IFERROR(Datos!A3512,"")</f>
        <v/>
      </c>
      <c r="B3512" s="8">
        <f>IFERROR(Datos!B3512,"")</f>
        <v/>
      </c>
      <c r="C3512" s="8">
        <f>IFERROR(Datos!C3512,"")</f>
        <v/>
      </c>
      <c r="D3512" s="28">
        <f>IFERROR(IF(AND(ISNUMBER(B3512),ISNUMBER(B3511),B3511&lt;&gt;0),B3512/B3511-1,""),"")</f>
        <v/>
      </c>
      <c r="E3512" s="28">
        <f>IFERROR(IF(AND(ISNUMBER(C3512),ISNUMBER(C3511),C3511&lt;&gt;0),C3512/C3511-1,""),"")</f>
        <v/>
      </c>
      <c r="F3512" s="28">
        <f>IFERROR(D3512-Dashboard!$B$4/252,"")</f>
        <v/>
      </c>
      <c r="G3512" s="28">
        <f>IFERROR(E3512-Dashboard!$B$4/252,"")</f>
        <v/>
      </c>
      <c r="H3512" s="8">
        <f>IFERROR(IF(ISNUMBER(B3512),MAX(B3512,IFERROR(H3511,B3512)),""),"")</f>
        <v/>
      </c>
      <c r="I3512" s="29">
        <f>IFERROR(IF(AND(ISNUMBER(B3512),ISNUMBER(H3512)),B3512/H3512-1,""),"")</f>
        <v/>
      </c>
      <c r="J3512" s="8">
        <f>IFERROR(IF(ISNUMBER(C3512),MAX(C3512,IFERROR(J3511,C3512)),""),"")</f>
        <v/>
      </c>
      <c r="K3512" s="29">
        <f>IFERROR(IF(AND(ISNUMBER(C3512),ISNUMBER(J3512)),C3512/J3512-1,""),"")</f>
        <v/>
      </c>
      <c r="L3512" s="28">
        <f>IFERROR(IF(AND(ISNUMBER(D3512),ISNUMBER(E3512)),D3512-E3512,""),"")</f>
        <v/>
      </c>
    </row>
    <row r="3513">
      <c r="A3513" s="7">
        <f>IFERROR(Datos!A3513,"")</f>
        <v/>
      </c>
      <c r="B3513" s="8">
        <f>IFERROR(Datos!B3513,"")</f>
        <v/>
      </c>
      <c r="C3513" s="8">
        <f>IFERROR(Datos!C3513,"")</f>
        <v/>
      </c>
      <c r="D3513" s="28">
        <f>IFERROR(IF(AND(ISNUMBER(B3513),ISNUMBER(B3512),B3512&lt;&gt;0),B3513/B3512-1,""),"")</f>
        <v/>
      </c>
      <c r="E3513" s="28">
        <f>IFERROR(IF(AND(ISNUMBER(C3513),ISNUMBER(C3512),C3512&lt;&gt;0),C3513/C3512-1,""),"")</f>
        <v/>
      </c>
      <c r="F3513" s="28">
        <f>IFERROR(D3513-Dashboard!$B$4/252,"")</f>
        <v/>
      </c>
      <c r="G3513" s="28">
        <f>IFERROR(E3513-Dashboard!$B$4/252,"")</f>
        <v/>
      </c>
      <c r="H3513" s="8">
        <f>IFERROR(IF(ISNUMBER(B3513),MAX(B3513,IFERROR(H3512,B3513)),""),"")</f>
        <v/>
      </c>
      <c r="I3513" s="29">
        <f>IFERROR(IF(AND(ISNUMBER(B3513),ISNUMBER(H3513)),B3513/H3513-1,""),"")</f>
        <v/>
      </c>
      <c r="J3513" s="8">
        <f>IFERROR(IF(ISNUMBER(C3513),MAX(C3513,IFERROR(J3512,C3513)),""),"")</f>
        <v/>
      </c>
      <c r="K3513" s="29">
        <f>IFERROR(IF(AND(ISNUMBER(C3513),ISNUMBER(J3513)),C3513/J3513-1,""),"")</f>
        <v/>
      </c>
      <c r="L3513" s="28">
        <f>IFERROR(IF(AND(ISNUMBER(D3513),ISNUMBER(E3513)),D3513-E3513,""),"")</f>
        <v/>
      </c>
    </row>
    <row r="3514">
      <c r="A3514" s="7">
        <f>IFERROR(Datos!A3514,"")</f>
        <v/>
      </c>
      <c r="B3514" s="8">
        <f>IFERROR(Datos!B3514,"")</f>
        <v/>
      </c>
      <c r="C3514" s="8">
        <f>IFERROR(Datos!C3514,"")</f>
        <v/>
      </c>
      <c r="D3514" s="28">
        <f>IFERROR(IF(AND(ISNUMBER(B3514),ISNUMBER(B3513),B3513&lt;&gt;0),B3514/B3513-1,""),"")</f>
        <v/>
      </c>
      <c r="E3514" s="28">
        <f>IFERROR(IF(AND(ISNUMBER(C3514),ISNUMBER(C3513),C3513&lt;&gt;0),C3514/C3513-1,""),"")</f>
        <v/>
      </c>
      <c r="F3514" s="28">
        <f>IFERROR(D3514-Dashboard!$B$4/252,"")</f>
        <v/>
      </c>
      <c r="G3514" s="28">
        <f>IFERROR(E3514-Dashboard!$B$4/252,"")</f>
        <v/>
      </c>
      <c r="H3514" s="8">
        <f>IFERROR(IF(ISNUMBER(B3514),MAX(B3514,IFERROR(H3513,B3514)),""),"")</f>
        <v/>
      </c>
      <c r="I3514" s="29">
        <f>IFERROR(IF(AND(ISNUMBER(B3514),ISNUMBER(H3514)),B3514/H3514-1,""),"")</f>
        <v/>
      </c>
      <c r="J3514" s="8">
        <f>IFERROR(IF(ISNUMBER(C3514),MAX(C3514,IFERROR(J3513,C3514)),""),"")</f>
        <v/>
      </c>
      <c r="K3514" s="29">
        <f>IFERROR(IF(AND(ISNUMBER(C3514),ISNUMBER(J3514)),C3514/J3514-1,""),"")</f>
        <v/>
      </c>
      <c r="L3514" s="28">
        <f>IFERROR(IF(AND(ISNUMBER(D3514),ISNUMBER(E3514)),D3514-E3514,""),"")</f>
        <v/>
      </c>
    </row>
    <row r="3515">
      <c r="A3515" s="7">
        <f>IFERROR(Datos!A3515,"")</f>
        <v/>
      </c>
      <c r="B3515" s="8">
        <f>IFERROR(Datos!B3515,"")</f>
        <v/>
      </c>
      <c r="C3515" s="8">
        <f>IFERROR(Datos!C3515,"")</f>
        <v/>
      </c>
      <c r="D3515" s="28">
        <f>IFERROR(IF(AND(ISNUMBER(B3515),ISNUMBER(B3514),B3514&lt;&gt;0),B3515/B3514-1,""),"")</f>
        <v/>
      </c>
      <c r="E3515" s="28">
        <f>IFERROR(IF(AND(ISNUMBER(C3515),ISNUMBER(C3514),C3514&lt;&gt;0),C3515/C3514-1,""),"")</f>
        <v/>
      </c>
      <c r="F3515" s="28">
        <f>IFERROR(D3515-Dashboard!$B$4/252,"")</f>
        <v/>
      </c>
      <c r="G3515" s="28">
        <f>IFERROR(E3515-Dashboard!$B$4/252,"")</f>
        <v/>
      </c>
      <c r="H3515" s="8">
        <f>IFERROR(IF(ISNUMBER(B3515),MAX(B3515,IFERROR(H3514,B3515)),""),"")</f>
        <v/>
      </c>
      <c r="I3515" s="29">
        <f>IFERROR(IF(AND(ISNUMBER(B3515),ISNUMBER(H3515)),B3515/H3515-1,""),"")</f>
        <v/>
      </c>
      <c r="J3515" s="8">
        <f>IFERROR(IF(ISNUMBER(C3515),MAX(C3515,IFERROR(J3514,C3515)),""),"")</f>
        <v/>
      </c>
      <c r="K3515" s="29">
        <f>IFERROR(IF(AND(ISNUMBER(C3515),ISNUMBER(J3515)),C3515/J3515-1,""),"")</f>
        <v/>
      </c>
      <c r="L3515" s="28">
        <f>IFERROR(IF(AND(ISNUMBER(D3515),ISNUMBER(E3515)),D3515-E3515,""),"")</f>
        <v/>
      </c>
    </row>
    <row r="3516">
      <c r="A3516" s="7">
        <f>IFERROR(Datos!A3516,"")</f>
        <v/>
      </c>
      <c r="B3516" s="8">
        <f>IFERROR(Datos!B3516,"")</f>
        <v/>
      </c>
      <c r="C3516" s="8">
        <f>IFERROR(Datos!C3516,"")</f>
        <v/>
      </c>
      <c r="D3516" s="28">
        <f>IFERROR(IF(AND(ISNUMBER(B3516),ISNUMBER(B3515),B3515&lt;&gt;0),B3516/B3515-1,""),"")</f>
        <v/>
      </c>
      <c r="E3516" s="28">
        <f>IFERROR(IF(AND(ISNUMBER(C3516),ISNUMBER(C3515),C3515&lt;&gt;0),C3516/C3515-1,""),"")</f>
        <v/>
      </c>
      <c r="F3516" s="28">
        <f>IFERROR(D3516-Dashboard!$B$4/252,"")</f>
        <v/>
      </c>
      <c r="G3516" s="28">
        <f>IFERROR(E3516-Dashboard!$B$4/252,"")</f>
        <v/>
      </c>
      <c r="H3516" s="8">
        <f>IFERROR(IF(ISNUMBER(B3516),MAX(B3516,IFERROR(H3515,B3516)),""),"")</f>
        <v/>
      </c>
      <c r="I3516" s="29">
        <f>IFERROR(IF(AND(ISNUMBER(B3516),ISNUMBER(H3516)),B3516/H3516-1,""),"")</f>
        <v/>
      </c>
      <c r="J3516" s="8">
        <f>IFERROR(IF(ISNUMBER(C3516),MAX(C3516,IFERROR(J3515,C3516)),""),"")</f>
        <v/>
      </c>
      <c r="K3516" s="29">
        <f>IFERROR(IF(AND(ISNUMBER(C3516),ISNUMBER(J3516)),C3516/J3516-1,""),"")</f>
        <v/>
      </c>
      <c r="L3516" s="28">
        <f>IFERROR(IF(AND(ISNUMBER(D3516),ISNUMBER(E3516)),D3516-E3516,""),"")</f>
        <v/>
      </c>
    </row>
    <row r="3517">
      <c r="A3517" s="7">
        <f>IFERROR(Datos!A3517,"")</f>
        <v/>
      </c>
      <c r="B3517" s="8">
        <f>IFERROR(Datos!B3517,"")</f>
        <v/>
      </c>
      <c r="C3517" s="8">
        <f>IFERROR(Datos!C3517,"")</f>
        <v/>
      </c>
      <c r="D3517" s="28">
        <f>IFERROR(IF(AND(ISNUMBER(B3517),ISNUMBER(B3516),B3516&lt;&gt;0),B3517/B3516-1,""),"")</f>
        <v/>
      </c>
      <c r="E3517" s="28">
        <f>IFERROR(IF(AND(ISNUMBER(C3517),ISNUMBER(C3516),C3516&lt;&gt;0),C3517/C3516-1,""),"")</f>
        <v/>
      </c>
      <c r="F3517" s="28">
        <f>IFERROR(D3517-Dashboard!$B$4/252,"")</f>
        <v/>
      </c>
      <c r="G3517" s="28">
        <f>IFERROR(E3517-Dashboard!$B$4/252,"")</f>
        <v/>
      </c>
      <c r="H3517" s="8">
        <f>IFERROR(IF(ISNUMBER(B3517),MAX(B3517,IFERROR(H3516,B3517)),""),"")</f>
        <v/>
      </c>
      <c r="I3517" s="29">
        <f>IFERROR(IF(AND(ISNUMBER(B3517),ISNUMBER(H3517)),B3517/H3517-1,""),"")</f>
        <v/>
      </c>
      <c r="J3517" s="8">
        <f>IFERROR(IF(ISNUMBER(C3517),MAX(C3517,IFERROR(J3516,C3517)),""),"")</f>
        <v/>
      </c>
      <c r="K3517" s="29">
        <f>IFERROR(IF(AND(ISNUMBER(C3517),ISNUMBER(J3517)),C3517/J3517-1,""),"")</f>
        <v/>
      </c>
      <c r="L3517" s="28">
        <f>IFERROR(IF(AND(ISNUMBER(D3517),ISNUMBER(E3517)),D3517-E3517,""),"")</f>
        <v/>
      </c>
    </row>
    <row r="3518">
      <c r="A3518" s="7">
        <f>IFERROR(Datos!A3518,"")</f>
        <v/>
      </c>
      <c r="B3518" s="8">
        <f>IFERROR(Datos!B3518,"")</f>
        <v/>
      </c>
      <c r="C3518" s="8">
        <f>IFERROR(Datos!C3518,"")</f>
        <v/>
      </c>
      <c r="D3518" s="28">
        <f>IFERROR(IF(AND(ISNUMBER(B3518),ISNUMBER(B3517),B3517&lt;&gt;0),B3518/B3517-1,""),"")</f>
        <v/>
      </c>
      <c r="E3518" s="28">
        <f>IFERROR(IF(AND(ISNUMBER(C3518),ISNUMBER(C3517),C3517&lt;&gt;0),C3518/C3517-1,""),"")</f>
        <v/>
      </c>
      <c r="F3518" s="28">
        <f>IFERROR(D3518-Dashboard!$B$4/252,"")</f>
        <v/>
      </c>
      <c r="G3518" s="28">
        <f>IFERROR(E3518-Dashboard!$B$4/252,"")</f>
        <v/>
      </c>
      <c r="H3518" s="8">
        <f>IFERROR(IF(ISNUMBER(B3518),MAX(B3518,IFERROR(H3517,B3518)),""),"")</f>
        <v/>
      </c>
      <c r="I3518" s="29">
        <f>IFERROR(IF(AND(ISNUMBER(B3518),ISNUMBER(H3518)),B3518/H3518-1,""),"")</f>
        <v/>
      </c>
      <c r="J3518" s="8">
        <f>IFERROR(IF(ISNUMBER(C3518),MAX(C3518,IFERROR(J3517,C3518)),""),"")</f>
        <v/>
      </c>
      <c r="K3518" s="29">
        <f>IFERROR(IF(AND(ISNUMBER(C3518),ISNUMBER(J3518)),C3518/J3518-1,""),"")</f>
        <v/>
      </c>
      <c r="L3518" s="28">
        <f>IFERROR(IF(AND(ISNUMBER(D3518),ISNUMBER(E3518)),D3518-E3518,""),"")</f>
        <v/>
      </c>
    </row>
    <row r="3519">
      <c r="A3519" s="7">
        <f>IFERROR(Datos!A3519,"")</f>
        <v/>
      </c>
      <c r="B3519" s="8">
        <f>IFERROR(Datos!B3519,"")</f>
        <v/>
      </c>
      <c r="C3519" s="8">
        <f>IFERROR(Datos!C3519,"")</f>
        <v/>
      </c>
      <c r="D3519" s="28">
        <f>IFERROR(IF(AND(ISNUMBER(B3519),ISNUMBER(B3518),B3518&lt;&gt;0),B3519/B3518-1,""),"")</f>
        <v/>
      </c>
      <c r="E3519" s="28">
        <f>IFERROR(IF(AND(ISNUMBER(C3519),ISNUMBER(C3518),C3518&lt;&gt;0),C3519/C3518-1,""),"")</f>
        <v/>
      </c>
      <c r="F3519" s="28">
        <f>IFERROR(D3519-Dashboard!$B$4/252,"")</f>
        <v/>
      </c>
      <c r="G3519" s="28">
        <f>IFERROR(E3519-Dashboard!$B$4/252,"")</f>
        <v/>
      </c>
      <c r="H3519" s="8">
        <f>IFERROR(IF(ISNUMBER(B3519),MAX(B3519,IFERROR(H3518,B3519)),""),"")</f>
        <v/>
      </c>
      <c r="I3519" s="29">
        <f>IFERROR(IF(AND(ISNUMBER(B3519),ISNUMBER(H3519)),B3519/H3519-1,""),"")</f>
        <v/>
      </c>
      <c r="J3519" s="8">
        <f>IFERROR(IF(ISNUMBER(C3519),MAX(C3519,IFERROR(J3518,C3519)),""),"")</f>
        <v/>
      </c>
      <c r="K3519" s="29">
        <f>IFERROR(IF(AND(ISNUMBER(C3519),ISNUMBER(J3519)),C3519/J3519-1,""),"")</f>
        <v/>
      </c>
      <c r="L3519" s="28">
        <f>IFERROR(IF(AND(ISNUMBER(D3519),ISNUMBER(E3519)),D3519-E3519,""),"")</f>
        <v/>
      </c>
    </row>
    <row r="3520">
      <c r="A3520" s="7">
        <f>IFERROR(Datos!A3520,"")</f>
        <v/>
      </c>
      <c r="B3520" s="8">
        <f>IFERROR(Datos!B3520,"")</f>
        <v/>
      </c>
      <c r="C3520" s="8">
        <f>IFERROR(Datos!C3520,"")</f>
        <v/>
      </c>
      <c r="D3520" s="28">
        <f>IFERROR(IF(AND(ISNUMBER(B3520),ISNUMBER(B3519),B3519&lt;&gt;0),B3520/B3519-1,""),"")</f>
        <v/>
      </c>
      <c r="E3520" s="28">
        <f>IFERROR(IF(AND(ISNUMBER(C3520),ISNUMBER(C3519),C3519&lt;&gt;0),C3520/C3519-1,""),"")</f>
        <v/>
      </c>
      <c r="F3520" s="28">
        <f>IFERROR(D3520-Dashboard!$B$4/252,"")</f>
        <v/>
      </c>
      <c r="G3520" s="28">
        <f>IFERROR(E3520-Dashboard!$B$4/252,"")</f>
        <v/>
      </c>
      <c r="H3520" s="8">
        <f>IFERROR(IF(ISNUMBER(B3520),MAX(B3520,IFERROR(H3519,B3520)),""),"")</f>
        <v/>
      </c>
      <c r="I3520" s="29">
        <f>IFERROR(IF(AND(ISNUMBER(B3520),ISNUMBER(H3520)),B3520/H3520-1,""),"")</f>
        <v/>
      </c>
      <c r="J3520" s="8">
        <f>IFERROR(IF(ISNUMBER(C3520),MAX(C3520,IFERROR(J3519,C3520)),""),"")</f>
        <v/>
      </c>
      <c r="K3520" s="29">
        <f>IFERROR(IF(AND(ISNUMBER(C3520),ISNUMBER(J3520)),C3520/J3520-1,""),"")</f>
        <v/>
      </c>
      <c r="L3520" s="28">
        <f>IFERROR(IF(AND(ISNUMBER(D3520),ISNUMBER(E3520)),D3520-E3520,""),"")</f>
        <v/>
      </c>
    </row>
    <row r="3521">
      <c r="A3521" s="7">
        <f>IFERROR(Datos!A3521,"")</f>
        <v/>
      </c>
      <c r="B3521" s="8">
        <f>IFERROR(Datos!B3521,"")</f>
        <v/>
      </c>
      <c r="C3521" s="8">
        <f>IFERROR(Datos!C3521,"")</f>
        <v/>
      </c>
      <c r="D3521" s="28">
        <f>IFERROR(IF(AND(ISNUMBER(B3521),ISNUMBER(B3520),B3520&lt;&gt;0),B3521/B3520-1,""),"")</f>
        <v/>
      </c>
      <c r="E3521" s="28">
        <f>IFERROR(IF(AND(ISNUMBER(C3521),ISNUMBER(C3520),C3520&lt;&gt;0),C3521/C3520-1,""),"")</f>
        <v/>
      </c>
      <c r="F3521" s="28">
        <f>IFERROR(D3521-Dashboard!$B$4/252,"")</f>
        <v/>
      </c>
      <c r="G3521" s="28">
        <f>IFERROR(E3521-Dashboard!$B$4/252,"")</f>
        <v/>
      </c>
      <c r="H3521" s="8">
        <f>IFERROR(IF(ISNUMBER(B3521),MAX(B3521,IFERROR(H3520,B3521)),""),"")</f>
        <v/>
      </c>
      <c r="I3521" s="29">
        <f>IFERROR(IF(AND(ISNUMBER(B3521),ISNUMBER(H3521)),B3521/H3521-1,""),"")</f>
        <v/>
      </c>
      <c r="J3521" s="8">
        <f>IFERROR(IF(ISNUMBER(C3521),MAX(C3521,IFERROR(J3520,C3521)),""),"")</f>
        <v/>
      </c>
      <c r="K3521" s="29">
        <f>IFERROR(IF(AND(ISNUMBER(C3521),ISNUMBER(J3521)),C3521/J3521-1,""),"")</f>
        <v/>
      </c>
      <c r="L3521" s="28">
        <f>IFERROR(IF(AND(ISNUMBER(D3521),ISNUMBER(E3521)),D3521-E3521,""),"")</f>
        <v/>
      </c>
    </row>
    <row r="3522">
      <c r="A3522" s="7">
        <f>IFERROR(Datos!A3522,"")</f>
        <v/>
      </c>
      <c r="B3522" s="8">
        <f>IFERROR(Datos!B3522,"")</f>
        <v/>
      </c>
      <c r="C3522" s="8">
        <f>IFERROR(Datos!C3522,"")</f>
        <v/>
      </c>
      <c r="D3522" s="28">
        <f>IFERROR(IF(AND(ISNUMBER(B3522),ISNUMBER(B3521),B3521&lt;&gt;0),B3522/B3521-1,""),"")</f>
        <v/>
      </c>
      <c r="E3522" s="28">
        <f>IFERROR(IF(AND(ISNUMBER(C3522),ISNUMBER(C3521),C3521&lt;&gt;0),C3522/C3521-1,""),"")</f>
        <v/>
      </c>
      <c r="F3522" s="28">
        <f>IFERROR(D3522-Dashboard!$B$4/252,"")</f>
        <v/>
      </c>
      <c r="G3522" s="28">
        <f>IFERROR(E3522-Dashboard!$B$4/252,"")</f>
        <v/>
      </c>
      <c r="H3522" s="8">
        <f>IFERROR(IF(ISNUMBER(B3522),MAX(B3522,IFERROR(H3521,B3522)),""),"")</f>
        <v/>
      </c>
      <c r="I3522" s="29">
        <f>IFERROR(IF(AND(ISNUMBER(B3522),ISNUMBER(H3522)),B3522/H3522-1,""),"")</f>
        <v/>
      </c>
      <c r="J3522" s="8">
        <f>IFERROR(IF(ISNUMBER(C3522),MAX(C3522,IFERROR(J3521,C3522)),""),"")</f>
        <v/>
      </c>
      <c r="K3522" s="29">
        <f>IFERROR(IF(AND(ISNUMBER(C3522),ISNUMBER(J3522)),C3522/J3522-1,""),"")</f>
        <v/>
      </c>
      <c r="L3522" s="28">
        <f>IFERROR(IF(AND(ISNUMBER(D3522),ISNUMBER(E3522)),D3522-E3522,""),"")</f>
        <v/>
      </c>
    </row>
    <row r="3523">
      <c r="A3523" s="7">
        <f>IFERROR(Datos!A3523,"")</f>
        <v/>
      </c>
      <c r="B3523" s="8">
        <f>IFERROR(Datos!B3523,"")</f>
        <v/>
      </c>
      <c r="C3523" s="8">
        <f>IFERROR(Datos!C3523,"")</f>
        <v/>
      </c>
      <c r="D3523" s="28">
        <f>IFERROR(IF(AND(ISNUMBER(B3523),ISNUMBER(B3522),B3522&lt;&gt;0),B3523/B3522-1,""),"")</f>
        <v/>
      </c>
      <c r="E3523" s="28">
        <f>IFERROR(IF(AND(ISNUMBER(C3523),ISNUMBER(C3522),C3522&lt;&gt;0),C3523/C3522-1,""),"")</f>
        <v/>
      </c>
      <c r="F3523" s="28">
        <f>IFERROR(D3523-Dashboard!$B$4/252,"")</f>
        <v/>
      </c>
      <c r="G3523" s="28">
        <f>IFERROR(E3523-Dashboard!$B$4/252,"")</f>
        <v/>
      </c>
      <c r="H3523" s="8">
        <f>IFERROR(IF(ISNUMBER(B3523),MAX(B3523,IFERROR(H3522,B3523)),""),"")</f>
        <v/>
      </c>
      <c r="I3523" s="29">
        <f>IFERROR(IF(AND(ISNUMBER(B3523),ISNUMBER(H3523)),B3523/H3523-1,""),"")</f>
        <v/>
      </c>
      <c r="J3523" s="8">
        <f>IFERROR(IF(ISNUMBER(C3523),MAX(C3523,IFERROR(J3522,C3523)),""),"")</f>
        <v/>
      </c>
      <c r="K3523" s="29">
        <f>IFERROR(IF(AND(ISNUMBER(C3523),ISNUMBER(J3523)),C3523/J3523-1,""),"")</f>
        <v/>
      </c>
      <c r="L3523" s="28">
        <f>IFERROR(IF(AND(ISNUMBER(D3523),ISNUMBER(E3523)),D3523-E3523,""),"")</f>
        <v/>
      </c>
    </row>
    <row r="3524">
      <c r="A3524" s="7">
        <f>IFERROR(Datos!A3524,"")</f>
        <v/>
      </c>
      <c r="B3524" s="8">
        <f>IFERROR(Datos!B3524,"")</f>
        <v/>
      </c>
      <c r="C3524" s="8">
        <f>IFERROR(Datos!C3524,"")</f>
        <v/>
      </c>
      <c r="D3524" s="28">
        <f>IFERROR(IF(AND(ISNUMBER(B3524),ISNUMBER(B3523),B3523&lt;&gt;0),B3524/B3523-1,""),"")</f>
        <v/>
      </c>
      <c r="E3524" s="28">
        <f>IFERROR(IF(AND(ISNUMBER(C3524),ISNUMBER(C3523),C3523&lt;&gt;0),C3524/C3523-1,""),"")</f>
        <v/>
      </c>
      <c r="F3524" s="28">
        <f>IFERROR(D3524-Dashboard!$B$4/252,"")</f>
        <v/>
      </c>
      <c r="G3524" s="28">
        <f>IFERROR(E3524-Dashboard!$B$4/252,"")</f>
        <v/>
      </c>
      <c r="H3524" s="8">
        <f>IFERROR(IF(ISNUMBER(B3524),MAX(B3524,IFERROR(H3523,B3524)),""),"")</f>
        <v/>
      </c>
      <c r="I3524" s="29">
        <f>IFERROR(IF(AND(ISNUMBER(B3524),ISNUMBER(H3524)),B3524/H3524-1,""),"")</f>
        <v/>
      </c>
      <c r="J3524" s="8">
        <f>IFERROR(IF(ISNUMBER(C3524),MAX(C3524,IFERROR(J3523,C3524)),""),"")</f>
        <v/>
      </c>
      <c r="K3524" s="29">
        <f>IFERROR(IF(AND(ISNUMBER(C3524),ISNUMBER(J3524)),C3524/J3524-1,""),"")</f>
        <v/>
      </c>
      <c r="L3524" s="28">
        <f>IFERROR(IF(AND(ISNUMBER(D3524),ISNUMBER(E3524)),D3524-E3524,""),"")</f>
        <v/>
      </c>
    </row>
    <row r="3525">
      <c r="A3525" s="7">
        <f>IFERROR(Datos!A3525,"")</f>
        <v/>
      </c>
      <c r="B3525" s="8">
        <f>IFERROR(Datos!B3525,"")</f>
        <v/>
      </c>
      <c r="C3525" s="8">
        <f>IFERROR(Datos!C3525,"")</f>
        <v/>
      </c>
      <c r="D3525" s="28">
        <f>IFERROR(IF(AND(ISNUMBER(B3525),ISNUMBER(B3524),B3524&lt;&gt;0),B3525/B3524-1,""),"")</f>
        <v/>
      </c>
      <c r="E3525" s="28">
        <f>IFERROR(IF(AND(ISNUMBER(C3525),ISNUMBER(C3524),C3524&lt;&gt;0),C3525/C3524-1,""),"")</f>
        <v/>
      </c>
      <c r="F3525" s="28">
        <f>IFERROR(D3525-Dashboard!$B$4/252,"")</f>
        <v/>
      </c>
      <c r="G3525" s="28">
        <f>IFERROR(E3525-Dashboard!$B$4/252,"")</f>
        <v/>
      </c>
      <c r="H3525" s="8">
        <f>IFERROR(IF(ISNUMBER(B3525),MAX(B3525,IFERROR(H3524,B3525)),""),"")</f>
        <v/>
      </c>
      <c r="I3525" s="29">
        <f>IFERROR(IF(AND(ISNUMBER(B3525),ISNUMBER(H3525)),B3525/H3525-1,""),"")</f>
        <v/>
      </c>
      <c r="J3525" s="8">
        <f>IFERROR(IF(ISNUMBER(C3525),MAX(C3525,IFERROR(J3524,C3525)),""),"")</f>
        <v/>
      </c>
      <c r="K3525" s="29">
        <f>IFERROR(IF(AND(ISNUMBER(C3525),ISNUMBER(J3525)),C3525/J3525-1,""),"")</f>
        <v/>
      </c>
      <c r="L3525" s="28">
        <f>IFERROR(IF(AND(ISNUMBER(D3525),ISNUMBER(E3525)),D3525-E3525,""),"")</f>
        <v/>
      </c>
    </row>
    <row r="3526">
      <c r="A3526" s="7">
        <f>IFERROR(Datos!A3526,"")</f>
        <v/>
      </c>
      <c r="B3526" s="8">
        <f>IFERROR(Datos!B3526,"")</f>
        <v/>
      </c>
      <c r="C3526" s="8">
        <f>IFERROR(Datos!C3526,"")</f>
        <v/>
      </c>
      <c r="D3526" s="28">
        <f>IFERROR(IF(AND(ISNUMBER(B3526),ISNUMBER(B3525),B3525&lt;&gt;0),B3526/B3525-1,""),"")</f>
        <v/>
      </c>
      <c r="E3526" s="28">
        <f>IFERROR(IF(AND(ISNUMBER(C3526),ISNUMBER(C3525),C3525&lt;&gt;0),C3526/C3525-1,""),"")</f>
        <v/>
      </c>
      <c r="F3526" s="28">
        <f>IFERROR(D3526-Dashboard!$B$4/252,"")</f>
        <v/>
      </c>
      <c r="G3526" s="28">
        <f>IFERROR(E3526-Dashboard!$B$4/252,"")</f>
        <v/>
      </c>
      <c r="H3526" s="8">
        <f>IFERROR(IF(ISNUMBER(B3526),MAX(B3526,IFERROR(H3525,B3526)),""),"")</f>
        <v/>
      </c>
      <c r="I3526" s="29">
        <f>IFERROR(IF(AND(ISNUMBER(B3526),ISNUMBER(H3526)),B3526/H3526-1,""),"")</f>
        <v/>
      </c>
      <c r="J3526" s="8">
        <f>IFERROR(IF(ISNUMBER(C3526),MAX(C3526,IFERROR(J3525,C3526)),""),"")</f>
        <v/>
      </c>
      <c r="K3526" s="29">
        <f>IFERROR(IF(AND(ISNUMBER(C3526),ISNUMBER(J3526)),C3526/J3526-1,""),"")</f>
        <v/>
      </c>
      <c r="L3526" s="28">
        <f>IFERROR(IF(AND(ISNUMBER(D3526),ISNUMBER(E3526)),D3526-E3526,""),"")</f>
        <v/>
      </c>
    </row>
    <row r="3527">
      <c r="A3527" s="7">
        <f>IFERROR(Datos!A3527,"")</f>
        <v/>
      </c>
      <c r="B3527" s="8">
        <f>IFERROR(Datos!B3527,"")</f>
        <v/>
      </c>
      <c r="C3527" s="8">
        <f>IFERROR(Datos!C3527,"")</f>
        <v/>
      </c>
      <c r="D3527" s="28">
        <f>IFERROR(IF(AND(ISNUMBER(B3527),ISNUMBER(B3526),B3526&lt;&gt;0),B3527/B3526-1,""),"")</f>
        <v/>
      </c>
      <c r="E3527" s="28">
        <f>IFERROR(IF(AND(ISNUMBER(C3527),ISNUMBER(C3526),C3526&lt;&gt;0),C3527/C3526-1,""),"")</f>
        <v/>
      </c>
      <c r="F3527" s="28">
        <f>IFERROR(D3527-Dashboard!$B$4/252,"")</f>
        <v/>
      </c>
      <c r="G3527" s="28">
        <f>IFERROR(E3527-Dashboard!$B$4/252,"")</f>
        <v/>
      </c>
      <c r="H3527" s="8">
        <f>IFERROR(IF(ISNUMBER(B3527),MAX(B3527,IFERROR(H3526,B3527)),""),"")</f>
        <v/>
      </c>
      <c r="I3527" s="29">
        <f>IFERROR(IF(AND(ISNUMBER(B3527),ISNUMBER(H3527)),B3527/H3527-1,""),"")</f>
        <v/>
      </c>
      <c r="J3527" s="8">
        <f>IFERROR(IF(ISNUMBER(C3527),MAX(C3527,IFERROR(J3526,C3527)),""),"")</f>
        <v/>
      </c>
      <c r="K3527" s="29">
        <f>IFERROR(IF(AND(ISNUMBER(C3527),ISNUMBER(J3527)),C3527/J3527-1,""),"")</f>
        <v/>
      </c>
      <c r="L3527" s="28">
        <f>IFERROR(IF(AND(ISNUMBER(D3527),ISNUMBER(E3527)),D3527-E3527,""),"")</f>
        <v/>
      </c>
    </row>
    <row r="3528">
      <c r="A3528" s="7">
        <f>IFERROR(Datos!A3528,"")</f>
        <v/>
      </c>
      <c r="B3528" s="8">
        <f>IFERROR(Datos!B3528,"")</f>
        <v/>
      </c>
      <c r="C3528" s="8">
        <f>IFERROR(Datos!C3528,"")</f>
        <v/>
      </c>
      <c r="D3528" s="28">
        <f>IFERROR(IF(AND(ISNUMBER(B3528),ISNUMBER(B3527),B3527&lt;&gt;0),B3528/B3527-1,""),"")</f>
        <v/>
      </c>
      <c r="E3528" s="28">
        <f>IFERROR(IF(AND(ISNUMBER(C3528),ISNUMBER(C3527),C3527&lt;&gt;0),C3528/C3527-1,""),"")</f>
        <v/>
      </c>
      <c r="F3528" s="28">
        <f>IFERROR(D3528-Dashboard!$B$4/252,"")</f>
        <v/>
      </c>
      <c r="G3528" s="28">
        <f>IFERROR(E3528-Dashboard!$B$4/252,"")</f>
        <v/>
      </c>
      <c r="H3528" s="8">
        <f>IFERROR(IF(ISNUMBER(B3528),MAX(B3528,IFERROR(H3527,B3528)),""),"")</f>
        <v/>
      </c>
      <c r="I3528" s="29">
        <f>IFERROR(IF(AND(ISNUMBER(B3528),ISNUMBER(H3528)),B3528/H3528-1,""),"")</f>
        <v/>
      </c>
      <c r="J3528" s="8">
        <f>IFERROR(IF(ISNUMBER(C3528),MAX(C3528,IFERROR(J3527,C3528)),""),"")</f>
        <v/>
      </c>
      <c r="K3528" s="29">
        <f>IFERROR(IF(AND(ISNUMBER(C3528),ISNUMBER(J3528)),C3528/J3528-1,""),"")</f>
        <v/>
      </c>
      <c r="L3528" s="28">
        <f>IFERROR(IF(AND(ISNUMBER(D3528),ISNUMBER(E3528)),D3528-E3528,""),"")</f>
        <v/>
      </c>
    </row>
    <row r="3529">
      <c r="A3529" s="7">
        <f>IFERROR(Datos!A3529,"")</f>
        <v/>
      </c>
      <c r="B3529" s="8">
        <f>IFERROR(Datos!B3529,"")</f>
        <v/>
      </c>
      <c r="C3529" s="8">
        <f>IFERROR(Datos!C3529,"")</f>
        <v/>
      </c>
      <c r="D3529" s="28">
        <f>IFERROR(IF(AND(ISNUMBER(B3529),ISNUMBER(B3528),B3528&lt;&gt;0),B3529/B3528-1,""),"")</f>
        <v/>
      </c>
      <c r="E3529" s="28">
        <f>IFERROR(IF(AND(ISNUMBER(C3529),ISNUMBER(C3528),C3528&lt;&gt;0),C3529/C3528-1,""),"")</f>
        <v/>
      </c>
      <c r="F3529" s="28">
        <f>IFERROR(D3529-Dashboard!$B$4/252,"")</f>
        <v/>
      </c>
      <c r="G3529" s="28">
        <f>IFERROR(E3529-Dashboard!$B$4/252,"")</f>
        <v/>
      </c>
      <c r="H3529" s="8">
        <f>IFERROR(IF(ISNUMBER(B3529),MAX(B3529,IFERROR(H3528,B3529)),""),"")</f>
        <v/>
      </c>
      <c r="I3529" s="29">
        <f>IFERROR(IF(AND(ISNUMBER(B3529),ISNUMBER(H3529)),B3529/H3529-1,""),"")</f>
        <v/>
      </c>
      <c r="J3529" s="8">
        <f>IFERROR(IF(ISNUMBER(C3529),MAX(C3529,IFERROR(J3528,C3529)),""),"")</f>
        <v/>
      </c>
      <c r="K3529" s="29">
        <f>IFERROR(IF(AND(ISNUMBER(C3529),ISNUMBER(J3529)),C3529/J3529-1,""),"")</f>
        <v/>
      </c>
      <c r="L3529" s="28">
        <f>IFERROR(IF(AND(ISNUMBER(D3529),ISNUMBER(E3529)),D3529-E3529,""),"")</f>
        <v/>
      </c>
    </row>
    <row r="3530">
      <c r="A3530" s="7">
        <f>IFERROR(Datos!A3530,"")</f>
        <v/>
      </c>
      <c r="B3530" s="8">
        <f>IFERROR(Datos!B3530,"")</f>
        <v/>
      </c>
      <c r="C3530" s="8">
        <f>IFERROR(Datos!C3530,"")</f>
        <v/>
      </c>
      <c r="D3530" s="28">
        <f>IFERROR(IF(AND(ISNUMBER(B3530),ISNUMBER(B3529),B3529&lt;&gt;0),B3530/B3529-1,""),"")</f>
        <v/>
      </c>
      <c r="E3530" s="28">
        <f>IFERROR(IF(AND(ISNUMBER(C3530),ISNUMBER(C3529),C3529&lt;&gt;0),C3530/C3529-1,""),"")</f>
        <v/>
      </c>
      <c r="F3530" s="28">
        <f>IFERROR(D3530-Dashboard!$B$4/252,"")</f>
        <v/>
      </c>
      <c r="G3530" s="28">
        <f>IFERROR(E3530-Dashboard!$B$4/252,"")</f>
        <v/>
      </c>
      <c r="H3530" s="8">
        <f>IFERROR(IF(ISNUMBER(B3530),MAX(B3530,IFERROR(H3529,B3530)),""),"")</f>
        <v/>
      </c>
      <c r="I3530" s="29">
        <f>IFERROR(IF(AND(ISNUMBER(B3530),ISNUMBER(H3530)),B3530/H3530-1,""),"")</f>
        <v/>
      </c>
      <c r="J3530" s="8">
        <f>IFERROR(IF(ISNUMBER(C3530),MAX(C3530,IFERROR(J3529,C3530)),""),"")</f>
        <v/>
      </c>
      <c r="K3530" s="29">
        <f>IFERROR(IF(AND(ISNUMBER(C3530),ISNUMBER(J3530)),C3530/J3530-1,""),"")</f>
        <v/>
      </c>
      <c r="L3530" s="28">
        <f>IFERROR(IF(AND(ISNUMBER(D3530),ISNUMBER(E3530)),D3530-E3530,""),"")</f>
        <v/>
      </c>
    </row>
    <row r="3531">
      <c r="A3531" s="7">
        <f>IFERROR(Datos!A3531,"")</f>
        <v/>
      </c>
      <c r="B3531" s="8">
        <f>IFERROR(Datos!B3531,"")</f>
        <v/>
      </c>
      <c r="C3531" s="8">
        <f>IFERROR(Datos!C3531,"")</f>
        <v/>
      </c>
      <c r="D3531" s="28">
        <f>IFERROR(IF(AND(ISNUMBER(B3531),ISNUMBER(B3530),B3530&lt;&gt;0),B3531/B3530-1,""),"")</f>
        <v/>
      </c>
      <c r="E3531" s="28">
        <f>IFERROR(IF(AND(ISNUMBER(C3531),ISNUMBER(C3530),C3530&lt;&gt;0),C3531/C3530-1,""),"")</f>
        <v/>
      </c>
      <c r="F3531" s="28">
        <f>IFERROR(D3531-Dashboard!$B$4/252,"")</f>
        <v/>
      </c>
      <c r="G3531" s="28">
        <f>IFERROR(E3531-Dashboard!$B$4/252,"")</f>
        <v/>
      </c>
      <c r="H3531" s="8">
        <f>IFERROR(IF(ISNUMBER(B3531),MAX(B3531,IFERROR(H3530,B3531)),""),"")</f>
        <v/>
      </c>
      <c r="I3531" s="29">
        <f>IFERROR(IF(AND(ISNUMBER(B3531),ISNUMBER(H3531)),B3531/H3531-1,""),"")</f>
        <v/>
      </c>
      <c r="J3531" s="8">
        <f>IFERROR(IF(ISNUMBER(C3531),MAX(C3531,IFERROR(J3530,C3531)),""),"")</f>
        <v/>
      </c>
      <c r="K3531" s="29">
        <f>IFERROR(IF(AND(ISNUMBER(C3531),ISNUMBER(J3531)),C3531/J3531-1,""),"")</f>
        <v/>
      </c>
      <c r="L3531" s="28">
        <f>IFERROR(IF(AND(ISNUMBER(D3531),ISNUMBER(E3531)),D3531-E3531,""),"")</f>
        <v/>
      </c>
    </row>
    <row r="3532">
      <c r="A3532" s="7">
        <f>IFERROR(Datos!A3532,"")</f>
        <v/>
      </c>
      <c r="B3532" s="8">
        <f>IFERROR(Datos!B3532,"")</f>
        <v/>
      </c>
      <c r="C3532" s="8">
        <f>IFERROR(Datos!C3532,"")</f>
        <v/>
      </c>
      <c r="D3532" s="28">
        <f>IFERROR(IF(AND(ISNUMBER(B3532),ISNUMBER(B3531),B3531&lt;&gt;0),B3532/B3531-1,""),"")</f>
        <v/>
      </c>
      <c r="E3532" s="28">
        <f>IFERROR(IF(AND(ISNUMBER(C3532),ISNUMBER(C3531),C3531&lt;&gt;0),C3532/C3531-1,""),"")</f>
        <v/>
      </c>
      <c r="F3532" s="28">
        <f>IFERROR(D3532-Dashboard!$B$4/252,"")</f>
        <v/>
      </c>
      <c r="G3532" s="28">
        <f>IFERROR(E3532-Dashboard!$B$4/252,"")</f>
        <v/>
      </c>
      <c r="H3532" s="8">
        <f>IFERROR(IF(ISNUMBER(B3532),MAX(B3532,IFERROR(H3531,B3532)),""),"")</f>
        <v/>
      </c>
      <c r="I3532" s="29">
        <f>IFERROR(IF(AND(ISNUMBER(B3532),ISNUMBER(H3532)),B3532/H3532-1,""),"")</f>
        <v/>
      </c>
      <c r="J3532" s="8">
        <f>IFERROR(IF(ISNUMBER(C3532),MAX(C3532,IFERROR(J3531,C3532)),""),"")</f>
        <v/>
      </c>
      <c r="K3532" s="29">
        <f>IFERROR(IF(AND(ISNUMBER(C3532),ISNUMBER(J3532)),C3532/J3532-1,""),"")</f>
        <v/>
      </c>
      <c r="L3532" s="28">
        <f>IFERROR(IF(AND(ISNUMBER(D3532),ISNUMBER(E3532)),D3532-E3532,""),"")</f>
        <v/>
      </c>
    </row>
    <row r="3533">
      <c r="A3533" s="7">
        <f>IFERROR(Datos!A3533,"")</f>
        <v/>
      </c>
      <c r="B3533" s="8">
        <f>IFERROR(Datos!B3533,"")</f>
        <v/>
      </c>
      <c r="C3533" s="8">
        <f>IFERROR(Datos!C3533,"")</f>
        <v/>
      </c>
      <c r="D3533" s="28">
        <f>IFERROR(IF(AND(ISNUMBER(B3533),ISNUMBER(B3532),B3532&lt;&gt;0),B3533/B3532-1,""),"")</f>
        <v/>
      </c>
      <c r="E3533" s="28">
        <f>IFERROR(IF(AND(ISNUMBER(C3533),ISNUMBER(C3532),C3532&lt;&gt;0),C3533/C3532-1,""),"")</f>
        <v/>
      </c>
      <c r="F3533" s="28">
        <f>IFERROR(D3533-Dashboard!$B$4/252,"")</f>
        <v/>
      </c>
      <c r="G3533" s="28">
        <f>IFERROR(E3533-Dashboard!$B$4/252,"")</f>
        <v/>
      </c>
      <c r="H3533" s="8">
        <f>IFERROR(IF(ISNUMBER(B3533),MAX(B3533,IFERROR(H3532,B3533)),""),"")</f>
        <v/>
      </c>
      <c r="I3533" s="29">
        <f>IFERROR(IF(AND(ISNUMBER(B3533),ISNUMBER(H3533)),B3533/H3533-1,""),"")</f>
        <v/>
      </c>
      <c r="J3533" s="8">
        <f>IFERROR(IF(ISNUMBER(C3533),MAX(C3533,IFERROR(J3532,C3533)),""),"")</f>
        <v/>
      </c>
      <c r="K3533" s="29">
        <f>IFERROR(IF(AND(ISNUMBER(C3533),ISNUMBER(J3533)),C3533/J3533-1,""),"")</f>
        <v/>
      </c>
      <c r="L3533" s="28">
        <f>IFERROR(IF(AND(ISNUMBER(D3533),ISNUMBER(E3533)),D3533-E3533,""),"")</f>
        <v/>
      </c>
    </row>
    <row r="3534">
      <c r="A3534" s="7">
        <f>IFERROR(Datos!A3534,"")</f>
        <v/>
      </c>
      <c r="B3534" s="8">
        <f>IFERROR(Datos!B3534,"")</f>
        <v/>
      </c>
      <c r="C3534" s="8">
        <f>IFERROR(Datos!C3534,"")</f>
        <v/>
      </c>
      <c r="D3534" s="28">
        <f>IFERROR(IF(AND(ISNUMBER(B3534),ISNUMBER(B3533),B3533&lt;&gt;0),B3534/B3533-1,""),"")</f>
        <v/>
      </c>
      <c r="E3534" s="28">
        <f>IFERROR(IF(AND(ISNUMBER(C3534),ISNUMBER(C3533),C3533&lt;&gt;0),C3534/C3533-1,""),"")</f>
        <v/>
      </c>
      <c r="F3534" s="28">
        <f>IFERROR(D3534-Dashboard!$B$4/252,"")</f>
        <v/>
      </c>
      <c r="G3534" s="28">
        <f>IFERROR(E3534-Dashboard!$B$4/252,"")</f>
        <v/>
      </c>
      <c r="H3534" s="8">
        <f>IFERROR(IF(ISNUMBER(B3534),MAX(B3534,IFERROR(H3533,B3534)),""),"")</f>
        <v/>
      </c>
      <c r="I3534" s="29">
        <f>IFERROR(IF(AND(ISNUMBER(B3534),ISNUMBER(H3534)),B3534/H3534-1,""),"")</f>
        <v/>
      </c>
      <c r="J3534" s="8">
        <f>IFERROR(IF(ISNUMBER(C3534),MAX(C3534,IFERROR(J3533,C3534)),""),"")</f>
        <v/>
      </c>
      <c r="K3534" s="29">
        <f>IFERROR(IF(AND(ISNUMBER(C3534),ISNUMBER(J3534)),C3534/J3534-1,""),"")</f>
        <v/>
      </c>
      <c r="L3534" s="28">
        <f>IFERROR(IF(AND(ISNUMBER(D3534),ISNUMBER(E3534)),D3534-E3534,""),"")</f>
        <v/>
      </c>
    </row>
    <row r="3535">
      <c r="A3535" s="7">
        <f>IFERROR(Datos!A3535,"")</f>
        <v/>
      </c>
      <c r="B3535" s="8">
        <f>IFERROR(Datos!B3535,"")</f>
        <v/>
      </c>
      <c r="C3535" s="8">
        <f>IFERROR(Datos!C3535,"")</f>
        <v/>
      </c>
      <c r="D3535" s="28">
        <f>IFERROR(IF(AND(ISNUMBER(B3535),ISNUMBER(B3534),B3534&lt;&gt;0),B3535/B3534-1,""),"")</f>
        <v/>
      </c>
      <c r="E3535" s="28">
        <f>IFERROR(IF(AND(ISNUMBER(C3535),ISNUMBER(C3534),C3534&lt;&gt;0),C3535/C3534-1,""),"")</f>
        <v/>
      </c>
      <c r="F3535" s="28">
        <f>IFERROR(D3535-Dashboard!$B$4/252,"")</f>
        <v/>
      </c>
      <c r="G3535" s="28">
        <f>IFERROR(E3535-Dashboard!$B$4/252,"")</f>
        <v/>
      </c>
      <c r="H3535" s="8">
        <f>IFERROR(IF(ISNUMBER(B3535),MAX(B3535,IFERROR(H3534,B3535)),""),"")</f>
        <v/>
      </c>
      <c r="I3535" s="29">
        <f>IFERROR(IF(AND(ISNUMBER(B3535),ISNUMBER(H3535)),B3535/H3535-1,""),"")</f>
        <v/>
      </c>
      <c r="J3535" s="8">
        <f>IFERROR(IF(ISNUMBER(C3535),MAX(C3535,IFERROR(J3534,C3535)),""),"")</f>
        <v/>
      </c>
      <c r="K3535" s="29">
        <f>IFERROR(IF(AND(ISNUMBER(C3535),ISNUMBER(J3535)),C3535/J3535-1,""),"")</f>
        <v/>
      </c>
      <c r="L3535" s="28">
        <f>IFERROR(IF(AND(ISNUMBER(D3535),ISNUMBER(E3535)),D3535-E3535,""),"")</f>
        <v/>
      </c>
    </row>
    <row r="3536">
      <c r="A3536" s="7">
        <f>IFERROR(Datos!A3536,"")</f>
        <v/>
      </c>
      <c r="B3536" s="8">
        <f>IFERROR(Datos!B3536,"")</f>
        <v/>
      </c>
      <c r="C3536" s="8">
        <f>IFERROR(Datos!C3536,"")</f>
        <v/>
      </c>
      <c r="D3536" s="28">
        <f>IFERROR(IF(AND(ISNUMBER(B3536),ISNUMBER(B3535),B3535&lt;&gt;0),B3536/B3535-1,""),"")</f>
        <v/>
      </c>
      <c r="E3536" s="28">
        <f>IFERROR(IF(AND(ISNUMBER(C3536),ISNUMBER(C3535),C3535&lt;&gt;0),C3536/C3535-1,""),"")</f>
        <v/>
      </c>
      <c r="F3536" s="28">
        <f>IFERROR(D3536-Dashboard!$B$4/252,"")</f>
        <v/>
      </c>
      <c r="G3536" s="28">
        <f>IFERROR(E3536-Dashboard!$B$4/252,"")</f>
        <v/>
      </c>
      <c r="H3536" s="8">
        <f>IFERROR(IF(ISNUMBER(B3536),MAX(B3536,IFERROR(H3535,B3536)),""),"")</f>
        <v/>
      </c>
      <c r="I3536" s="29">
        <f>IFERROR(IF(AND(ISNUMBER(B3536),ISNUMBER(H3536)),B3536/H3536-1,""),"")</f>
        <v/>
      </c>
      <c r="J3536" s="8">
        <f>IFERROR(IF(ISNUMBER(C3536),MAX(C3536,IFERROR(J3535,C3536)),""),"")</f>
        <v/>
      </c>
      <c r="K3536" s="29">
        <f>IFERROR(IF(AND(ISNUMBER(C3536),ISNUMBER(J3536)),C3536/J3536-1,""),"")</f>
        <v/>
      </c>
      <c r="L3536" s="28">
        <f>IFERROR(IF(AND(ISNUMBER(D3536),ISNUMBER(E3536)),D3536-E3536,""),"")</f>
        <v/>
      </c>
    </row>
    <row r="3537">
      <c r="A3537" s="7">
        <f>IFERROR(Datos!A3537,"")</f>
        <v/>
      </c>
      <c r="B3537" s="8">
        <f>IFERROR(Datos!B3537,"")</f>
        <v/>
      </c>
      <c r="C3537" s="8">
        <f>IFERROR(Datos!C3537,"")</f>
        <v/>
      </c>
      <c r="D3537" s="28">
        <f>IFERROR(IF(AND(ISNUMBER(B3537),ISNUMBER(B3536),B3536&lt;&gt;0),B3537/B3536-1,""),"")</f>
        <v/>
      </c>
      <c r="E3537" s="28">
        <f>IFERROR(IF(AND(ISNUMBER(C3537),ISNUMBER(C3536),C3536&lt;&gt;0),C3537/C3536-1,""),"")</f>
        <v/>
      </c>
      <c r="F3537" s="28">
        <f>IFERROR(D3537-Dashboard!$B$4/252,"")</f>
        <v/>
      </c>
      <c r="G3537" s="28">
        <f>IFERROR(E3537-Dashboard!$B$4/252,"")</f>
        <v/>
      </c>
      <c r="H3537" s="8">
        <f>IFERROR(IF(ISNUMBER(B3537),MAX(B3537,IFERROR(H3536,B3537)),""),"")</f>
        <v/>
      </c>
      <c r="I3537" s="29">
        <f>IFERROR(IF(AND(ISNUMBER(B3537),ISNUMBER(H3537)),B3537/H3537-1,""),"")</f>
        <v/>
      </c>
      <c r="J3537" s="8">
        <f>IFERROR(IF(ISNUMBER(C3537),MAX(C3537,IFERROR(J3536,C3537)),""),"")</f>
        <v/>
      </c>
      <c r="K3537" s="29">
        <f>IFERROR(IF(AND(ISNUMBER(C3537),ISNUMBER(J3537)),C3537/J3537-1,""),"")</f>
        <v/>
      </c>
      <c r="L3537" s="28">
        <f>IFERROR(IF(AND(ISNUMBER(D3537),ISNUMBER(E3537)),D3537-E3537,""),"")</f>
        <v/>
      </c>
    </row>
    <row r="3538">
      <c r="A3538" s="7">
        <f>IFERROR(Datos!A3538,"")</f>
        <v/>
      </c>
      <c r="B3538" s="8">
        <f>IFERROR(Datos!B3538,"")</f>
        <v/>
      </c>
      <c r="C3538" s="8">
        <f>IFERROR(Datos!C3538,"")</f>
        <v/>
      </c>
      <c r="D3538" s="28">
        <f>IFERROR(IF(AND(ISNUMBER(B3538),ISNUMBER(B3537),B3537&lt;&gt;0),B3538/B3537-1,""),"")</f>
        <v/>
      </c>
      <c r="E3538" s="28">
        <f>IFERROR(IF(AND(ISNUMBER(C3538),ISNUMBER(C3537),C3537&lt;&gt;0),C3538/C3537-1,""),"")</f>
        <v/>
      </c>
      <c r="F3538" s="28">
        <f>IFERROR(D3538-Dashboard!$B$4/252,"")</f>
        <v/>
      </c>
      <c r="G3538" s="28">
        <f>IFERROR(E3538-Dashboard!$B$4/252,"")</f>
        <v/>
      </c>
      <c r="H3538" s="8">
        <f>IFERROR(IF(ISNUMBER(B3538),MAX(B3538,IFERROR(H3537,B3538)),""),"")</f>
        <v/>
      </c>
      <c r="I3538" s="29">
        <f>IFERROR(IF(AND(ISNUMBER(B3538),ISNUMBER(H3538)),B3538/H3538-1,""),"")</f>
        <v/>
      </c>
      <c r="J3538" s="8">
        <f>IFERROR(IF(ISNUMBER(C3538),MAX(C3538,IFERROR(J3537,C3538)),""),"")</f>
        <v/>
      </c>
      <c r="K3538" s="29">
        <f>IFERROR(IF(AND(ISNUMBER(C3538),ISNUMBER(J3538)),C3538/J3538-1,""),"")</f>
        <v/>
      </c>
      <c r="L3538" s="28">
        <f>IFERROR(IF(AND(ISNUMBER(D3538),ISNUMBER(E3538)),D3538-E3538,""),"")</f>
        <v/>
      </c>
    </row>
    <row r="3539">
      <c r="A3539" s="7">
        <f>IFERROR(Datos!A3539,"")</f>
        <v/>
      </c>
      <c r="B3539" s="8">
        <f>IFERROR(Datos!B3539,"")</f>
        <v/>
      </c>
      <c r="C3539" s="8">
        <f>IFERROR(Datos!C3539,"")</f>
        <v/>
      </c>
      <c r="D3539" s="28">
        <f>IFERROR(IF(AND(ISNUMBER(B3539),ISNUMBER(B3538),B3538&lt;&gt;0),B3539/B3538-1,""),"")</f>
        <v/>
      </c>
      <c r="E3539" s="28">
        <f>IFERROR(IF(AND(ISNUMBER(C3539),ISNUMBER(C3538),C3538&lt;&gt;0),C3539/C3538-1,""),"")</f>
        <v/>
      </c>
      <c r="F3539" s="28">
        <f>IFERROR(D3539-Dashboard!$B$4/252,"")</f>
        <v/>
      </c>
      <c r="G3539" s="28">
        <f>IFERROR(E3539-Dashboard!$B$4/252,"")</f>
        <v/>
      </c>
      <c r="H3539" s="8">
        <f>IFERROR(IF(ISNUMBER(B3539),MAX(B3539,IFERROR(H3538,B3539)),""),"")</f>
        <v/>
      </c>
      <c r="I3539" s="29">
        <f>IFERROR(IF(AND(ISNUMBER(B3539),ISNUMBER(H3539)),B3539/H3539-1,""),"")</f>
        <v/>
      </c>
      <c r="J3539" s="8">
        <f>IFERROR(IF(ISNUMBER(C3539),MAX(C3539,IFERROR(J3538,C3539)),""),"")</f>
        <v/>
      </c>
      <c r="K3539" s="29">
        <f>IFERROR(IF(AND(ISNUMBER(C3539),ISNUMBER(J3539)),C3539/J3539-1,""),"")</f>
        <v/>
      </c>
      <c r="L3539" s="28">
        <f>IFERROR(IF(AND(ISNUMBER(D3539),ISNUMBER(E3539)),D3539-E3539,""),"")</f>
        <v/>
      </c>
    </row>
    <row r="3540">
      <c r="A3540" s="7">
        <f>IFERROR(Datos!A3540,"")</f>
        <v/>
      </c>
      <c r="B3540" s="8">
        <f>IFERROR(Datos!B3540,"")</f>
        <v/>
      </c>
      <c r="C3540" s="8">
        <f>IFERROR(Datos!C3540,"")</f>
        <v/>
      </c>
      <c r="D3540" s="28">
        <f>IFERROR(IF(AND(ISNUMBER(B3540),ISNUMBER(B3539),B3539&lt;&gt;0),B3540/B3539-1,""),"")</f>
        <v/>
      </c>
      <c r="E3540" s="28">
        <f>IFERROR(IF(AND(ISNUMBER(C3540),ISNUMBER(C3539),C3539&lt;&gt;0),C3540/C3539-1,""),"")</f>
        <v/>
      </c>
      <c r="F3540" s="28">
        <f>IFERROR(D3540-Dashboard!$B$4/252,"")</f>
        <v/>
      </c>
      <c r="G3540" s="28">
        <f>IFERROR(E3540-Dashboard!$B$4/252,"")</f>
        <v/>
      </c>
      <c r="H3540" s="8">
        <f>IFERROR(IF(ISNUMBER(B3540),MAX(B3540,IFERROR(H3539,B3540)),""),"")</f>
        <v/>
      </c>
      <c r="I3540" s="29">
        <f>IFERROR(IF(AND(ISNUMBER(B3540),ISNUMBER(H3540)),B3540/H3540-1,""),"")</f>
        <v/>
      </c>
      <c r="J3540" s="8">
        <f>IFERROR(IF(ISNUMBER(C3540),MAX(C3540,IFERROR(J3539,C3540)),""),"")</f>
        <v/>
      </c>
      <c r="K3540" s="29">
        <f>IFERROR(IF(AND(ISNUMBER(C3540),ISNUMBER(J3540)),C3540/J3540-1,""),"")</f>
        <v/>
      </c>
      <c r="L3540" s="28">
        <f>IFERROR(IF(AND(ISNUMBER(D3540),ISNUMBER(E3540)),D3540-E3540,""),"")</f>
        <v/>
      </c>
    </row>
    <row r="3541">
      <c r="A3541" s="7">
        <f>IFERROR(Datos!A3541,"")</f>
        <v/>
      </c>
      <c r="B3541" s="8">
        <f>IFERROR(Datos!B3541,"")</f>
        <v/>
      </c>
      <c r="C3541" s="8">
        <f>IFERROR(Datos!C3541,"")</f>
        <v/>
      </c>
      <c r="D3541" s="28">
        <f>IFERROR(IF(AND(ISNUMBER(B3541),ISNUMBER(B3540),B3540&lt;&gt;0),B3541/B3540-1,""),"")</f>
        <v/>
      </c>
      <c r="E3541" s="28">
        <f>IFERROR(IF(AND(ISNUMBER(C3541),ISNUMBER(C3540),C3540&lt;&gt;0),C3541/C3540-1,""),"")</f>
        <v/>
      </c>
      <c r="F3541" s="28">
        <f>IFERROR(D3541-Dashboard!$B$4/252,"")</f>
        <v/>
      </c>
      <c r="G3541" s="28">
        <f>IFERROR(E3541-Dashboard!$B$4/252,"")</f>
        <v/>
      </c>
      <c r="H3541" s="8">
        <f>IFERROR(IF(ISNUMBER(B3541),MAX(B3541,IFERROR(H3540,B3541)),""),"")</f>
        <v/>
      </c>
      <c r="I3541" s="29">
        <f>IFERROR(IF(AND(ISNUMBER(B3541),ISNUMBER(H3541)),B3541/H3541-1,""),"")</f>
        <v/>
      </c>
      <c r="J3541" s="8">
        <f>IFERROR(IF(ISNUMBER(C3541),MAX(C3541,IFERROR(J3540,C3541)),""),"")</f>
        <v/>
      </c>
      <c r="K3541" s="29">
        <f>IFERROR(IF(AND(ISNUMBER(C3541),ISNUMBER(J3541)),C3541/J3541-1,""),"")</f>
        <v/>
      </c>
      <c r="L3541" s="28">
        <f>IFERROR(IF(AND(ISNUMBER(D3541),ISNUMBER(E3541)),D3541-E3541,""),"")</f>
        <v/>
      </c>
    </row>
    <row r="3542">
      <c r="A3542" s="7">
        <f>IFERROR(Datos!A3542,"")</f>
        <v/>
      </c>
      <c r="B3542" s="8">
        <f>IFERROR(Datos!B3542,"")</f>
        <v/>
      </c>
      <c r="C3542" s="8">
        <f>IFERROR(Datos!C3542,"")</f>
        <v/>
      </c>
      <c r="D3542" s="28">
        <f>IFERROR(IF(AND(ISNUMBER(B3542),ISNUMBER(B3541),B3541&lt;&gt;0),B3542/B3541-1,""),"")</f>
        <v/>
      </c>
      <c r="E3542" s="28">
        <f>IFERROR(IF(AND(ISNUMBER(C3542),ISNUMBER(C3541),C3541&lt;&gt;0),C3542/C3541-1,""),"")</f>
        <v/>
      </c>
      <c r="F3542" s="28">
        <f>IFERROR(D3542-Dashboard!$B$4/252,"")</f>
        <v/>
      </c>
      <c r="G3542" s="28">
        <f>IFERROR(E3542-Dashboard!$B$4/252,"")</f>
        <v/>
      </c>
      <c r="H3542" s="8">
        <f>IFERROR(IF(ISNUMBER(B3542),MAX(B3542,IFERROR(H3541,B3542)),""),"")</f>
        <v/>
      </c>
      <c r="I3542" s="29">
        <f>IFERROR(IF(AND(ISNUMBER(B3542),ISNUMBER(H3542)),B3542/H3542-1,""),"")</f>
        <v/>
      </c>
      <c r="J3542" s="8">
        <f>IFERROR(IF(ISNUMBER(C3542),MAX(C3542,IFERROR(J3541,C3542)),""),"")</f>
        <v/>
      </c>
      <c r="K3542" s="29">
        <f>IFERROR(IF(AND(ISNUMBER(C3542),ISNUMBER(J3542)),C3542/J3542-1,""),"")</f>
        <v/>
      </c>
      <c r="L3542" s="28">
        <f>IFERROR(IF(AND(ISNUMBER(D3542),ISNUMBER(E3542)),D3542-E3542,""),"")</f>
        <v/>
      </c>
    </row>
    <row r="3543">
      <c r="A3543" s="7">
        <f>IFERROR(Datos!A3543,"")</f>
        <v/>
      </c>
      <c r="B3543" s="8">
        <f>IFERROR(Datos!B3543,"")</f>
        <v/>
      </c>
      <c r="C3543" s="8">
        <f>IFERROR(Datos!C3543,"")</f>
        <v/>
      </c>
      <c r="D3543" s="28">
        <f>IFERROR(IF(AND(ISNUMBER(B3543),ISNUMBER(B3542),B3542&lt;&gt;0),B3543/B3542-1,""),"")</f>
        <v/>
      </c>
      <c r="E3543" s="28">
        <f>IFERROR(IF(AND(ISNUMBER(C3543),ISNUMBER(C3542),C3542&lt;&gt;0),C3543/C3542-1,""),"")</f>
        <v/>
      </c>
      <c r="F3543" s="28">
        <f>IFERROR(D3543-Dashboard!$B$4/252,"")</f>
        <v/>
      </c>
      <c r="G3543" s="28">
        <f>IFERROR(E3543-Dashboard!$B$4/252,"")</f>
        <v/>
      </c>
      <c r="H3543" s="8">
        <f>IFERROR(IF(ISNUMBER(B3543),MAX(B3543,IFERROR(H3542,B3543)),""),"")</f>
        <v/>
      </c>
      <c r="I3543" s="29">
        <f>IFERROR(IF(AND(ISNUMBER(B3543),ISNUMBER(H3543)),B3543/H3543-1,""),"")</f>
        <v/>
      </c>
      <c r="J3543" s="8">
        <f>IFERROR(IF(ISNUMBER(C3543),MAX(C3543,IFERROR(J3542,C3543)),""),"")</f>
        <v/>
      </c>
      <c r="K3543" s="29">
        <f>IFERROR(IF(AND(ISNUMBER(C3543),ISNUMBER(J3543)),C3543/J3543-1,""),"")</f>
        <v/>
      </c>
      <c r="L3543" s="28">
        <f>IFERROR(IF(AND(ISNUMBER(D3543),ISNUMBER(E3543)),D3543-E3543,""),"")</f>
        <v/>
      </c>
    </row>
    <row r="3544">
      <c r="A3544" s="7">
        <f>IFERROR(Datos!A3544,"")</f>
        <v/>
      </c>
      <c r="B3544" s="8">
        <f>IFERROR(Datos!B3544,"")</f>
        <v/>
      </c>
      <c r="C3544" s="8">
        <f>IFERROR(Datos!C3544,"")</f>
        <v/>
      </c>
      <c r="D3544" s="28">
        <f>IFERROR(IF(AND(ISNUMBER(B3544),ISNUMBER(B3543),B3543&lt;&gt;0),B3544/B3543-1,""),"")</f>
        <v/>
      </c>
      <c r="E3544" s="28">
        <f>IFERROR(IF(AND(ISNUMBER(C3544),ISNUMBER(C3543),C3543&lt;&gt;0),C3544/C3543-1,""),"")</f>
        <v/>
      </c>
      <c r="F3544" s="28">
        <f>IFERROR(D3544-Dashboard!$B$4/252,"")</f>
        <v/>
      </c>
      <c r="G3544" s="28">
        <f>IFERROR(E3544-Dashboard!$B$4/252,"")</f>
        <v/>
      </c>
      <c r="H3544" s="8">
        <f>IFERROR(IF(ISNUMBER(B3544),MAX(B3544,IFERROR(H3543,B3544)),""),"")</f>
        <v/>
      </c>
      <c r="I3544" s="29">
        <f>IFERROR(IF(AND(ISNUMBER(B3544),ISNUMBER(H3544)),B3544/H3544-1,""),"")</f>
        <v/>
      </c>
      <c r="J3544" s="8">
        <f>IFERROR(IF(ISNUMBER(C3544),MAX(C3544,IFERROR(J3543,C3544)),""),"")</f>
        <v/>
      </c>
      <c r="K3544" s="29">
        <f>IFERROR(IF(AND(ISNUMBER(C3544),ISNUMBER(J3544)),C3544/J3544-1,""),"")</f>
        <v/>
      </c>
      <c r="L3544" s="28">
        <f>IFERROR(IF(AND(ISNUMBER(D3544),ISNUMBER(E3544)),D3544-E3544,""),"")</f>
        <v/>
      </c>
    </row>
    <row r="3545">
      <c r="A3545" s="7">
        <f>IFERROR(Datos!A3545,"")</f>
        <v/>
      </c>
      <c r="B3545" s="8">
        <f>IFERROR(Datos!B3545,"")</f>
        <v/>
      </c>
      <c r="C3545" s="8">
        <f>IFERROR(Datos!C3545,"")</f>
        <v/>
      </c>
      <c r="D3545" s="28">
        <f>IFERROR(IF(AND(ISNUMBER(B3545),ISNUMBER(B3544),B3544&lt;&gt;0),B3545/B3544-1,""),"")</f>
        <v/>
      </c>
      <c r="E3545" s="28">
        <f>IFERROR(IF(AND(ISNUMBER(C3545),ISNUMBER(C3544),C3544&lt;&gt;0),C3545/C3544-1,""),"")</f>
        <v/>
      </c>
      <c r="F3545" s="28">
        <f>IFERROR(D3545-Dashboard!$B$4/252,"")</f>
        <v/>
      </c>
      <c r="G3545" s="28">
        <f>IFERROR(E3545-Dashboard!$B$4/252,"")</f>
        <v/>
      </c>
      <c r="H3545" s="8">
        <f>IFERROR(IF(ISNUMBER(B3545),MAX(B3545,IFERROR(H3544,B3545)),""),"")</f>
        <v/>
      </c>
      <c r="I3545" s="29">
        <f>IFERROR(IF(AND(ISNUMBER(B3545),ISNUMBER(H3545)),B3545/H3545-1,""),"")</f>
        <v/>
      </c>
      <c r="J3545" s="8">
        <f>IFERROR(IF(ISNUMBER(C3545),MAX(C3545,IFERROR(J3544,C3545)),""),"")</f>
        <v/>
      </c>
      <c r="K3545" s="29">
        <f>IFERROR(IF(AND(ISNUMBER(C3545),ISNUMBER(J3545)),C3545/J3545-1,""),"")</f>
        <v/>
      </c>
      <c r="L3545" s="28">
        <f>IFERROR(IF(AND(ISNUMBER(D3545),ISNUMBER(E3545)),D3545-E3545,""),"")</f>
        <v/>
      </c>
    </row>
    <row r="3546">
      <c r="A3546" s="7">
        <f>IFERROR(Datos!A3546,"")</f>
        <v/>
      </c>
      <c r="B3546" s="8">
        <f>IFERROR(Datos!B3546,"")</f>
        <v/>
      </c>
      <c r="C3546" s="8">
        <f>IFERROR(Datos!C3546,"")</f>
        <v/>
      </c>
      <c r="D3546" s="28">
        <f>IFERROR(IF(AND(ISNUMBER(B3546),ISNUMBER(B3545),B3545&lt;&gt;0),B3546/B3545-1,""),"")</f>
        <v/>
      </c>
      <c r="E3546" s="28">
        <f>IFERROR(IF(AND(ISNUMBER(C3546),ISNUMBER(C3545),C3545&lt;&gt;0),C3546/C3545-1,""),"")</f>
        <v/>
      </c>
      <c r="F3546" s="28">
        <f>IFERROR(D3546-Dashboard!$B$4/252,"")</f>
        <v/>
      </c>
      <c r="G3546" s="28">
        <f>IFERROR(E3546-Dashboard!$B$4/252,"")</f>
        <v/>
      </c>
      <c r="H3546" s="8">
        <f>IFERROR(IF(ISNUMBER(B3546),MAX(B3546,IFERROR(H3545,B3546)),""),"")</f>
        <v/>
      </c>
      <c r="I3546" s="29">
        <f>IFERROR(IF(AND(ISNUMBER(B3546),ISNUMBER(H3546)),B3546/H3546-1,""),"")</f>
        <v/>
      </c>
      <c r="J3546" s="8">
        <f>IFERROR(IF(ISNUMBER(C3546),MAX(C3546,IFERROR(J3545,C3546)),""),"")</f>
        <v/>
      </c>
      <c r="K3546" s="29">
        <f>IFERROR(IF(AND(ISNUMBER(C3546),ISNUMBER(J3546)),C3546/J3546-1,""),"")</f>
        <v/>
      </c>
      <c r="L3546" s="28">
        <f>IFERROR(IF(AND(ISNUMBER(D3546),ISNUMBER(E3546)),D3546-E3546,""),"")</f>
        <v/>
      </c>
    </row>
    <row r="3547">
      <c r="A3547" s="7">
        <f>IFERROR(Datos!A3547,"")</f>
        <v/>
      </c>
      <c r="B3547" s="8">
        <f>IFERROR(Datos!B3547,"")</f>
        <v/>
      </c>
      <c r="C3547" s="8">
        <f>IFERROR(Datos!C3547,"")</f>
        <v/>
      </c>
      <c r="D3547" s="28">
        <f>IFERROR(IF(AND(ISNUMBER(B3547),ISNUMBER(B3546),B3546&lt;&gt;0),B3547/B3546-1,""),"")</f>
        <v/>
      </c>
      <c r="E3547" s="28">
        <f>IFERROR(IF(AND(ISNUMBER(C3547),ISNUMBER(C3546),C3546&lt;&gt;0),C3547/C3546-1,""),"")</f>
        <v/>
      </c>
      <c r="F3547" s="28">
        <f>IFERROR(D3547-Dashboard!$B$4/252,"")</f>
        <v/>
      </c>
      <c r="G3547" s="28">
        <f>IFERROR(E3547-Dashboard!$B$4/252,"")</f>
        <v/>
      </c>
      <c r="H3547" s="8">
        <f>IFERROR(IF(ISNUMBER(B3547),MAX(B3547,IFERROR(H3546,B3547)),""),"")</f>
        <v/>
      </c>
      <c r="I3547" s="29">
        <f>IFERROR(IF(AND(ISNUMBER(B3547),ISNUMBER(H3547)),B3547/H3547-1,""),"")</f>
        <v/>
      </c>
      <c r="J3547" s="8">
        <f>IFERROR(IF(ISNUMBER(C3547),MAX(C3547,IFERROR(J3546,C3547)),""),"")</f>
        <v/>
      </c>
      <c r="K3547" s="29">
        <f>IFERROR(IF(AND(ISNUMBER(C3547),ISNUMBER(J3547)),C3547/J3547-1,""),"")</f>
        <v/>
      </c>
      <c r="L3547" s="28">
        <f>IFERROR(IF(AND(ISNUMBER(D3547),ISNUMBER(E3547)),D3547-E3547,""),"")</f>
        <v/>
      </c>
    </row>
    <row r="3548">
      <c r="A3548" s="7">
        <f>IFERROR(Datos!A3548,"")</f>
        <v/>
      </c>
      <c r="B3548" s="8">
        <f>IFERROR(Datos!B3548,"")</f>
        <v/>
      </c>
      <c r="C3548" s="8">
        <f>IFERROR(Datos!C3548,"")</f>
        <v/>
      </c>
      <c r="D3548" s="28">
        <f>IFERROR(IF(AND(ISNUMBER(B3548),ISNUMBER(B3547),B3547&lt;&gt;0),B3548/B3547-1,""),"")</f>
        <v/>
      </c>
      <c r="E3548" s="28">
        <f>IFERROR(IF(AND(ISNUMBER(C3548),ISNUMBER(C3547),C3547&lt;&gt;0),C3548/C3547-1,""),"")</f>
        <v/>
      </c>
      <c r="F3548" s="28">
        <f>IFERROR(D3548-Dashboard!$B$4/252,"")</f>
        <v/>
      </c>
      <c r="G3548" s="28">
        <f>IFERROR(E3548-Dashboard!$B$4/252,"")</f>
        <v/>
      </c>
      <c r="H3548" s="8">
        <f>IFERROR(IF(ISNUMBER(B3548),MAX(B3548,IFERROR(H3547,B3548)),""),"")</f>
        <v/>
      </c>
      <c r="I3548" s="29">
        <f>IFERROR(IF(AND(ISNUMBER(B3548),ISNUMBER(H3548)),B3548/H3548-1,""),"")</f>
        <v/>
      </c>
      <c r="J3548" s="8">
        <f>IFERROR(IF(ISNUMBER(C3548),MAX(C3548,IFERROR(J3547,C3548)),""),"")</f>
        <v/>
      </c>
      <c r="K3548" s="29">
        <f>IFERROR(IF(AND(ISNUMBER(C3548),ISNUMBER(J3548)),C3548/J3548-1,""),"")</f>
        <v/>
      </c>
      <c r="L3548" s="28">
        <f>IFERROR(IF(AND(ISNUMBER(D3548),ISNUMBER(E3548)),D3548-E3548,""),"")</f>
        <v/>
      </c>
    </row>
    <row r="3549">
      <c r="A3549" s="7">
        <f>IFERROR(Datos!A3549,"")</f>
        <v/>
      </c>
      <c r="B3549" s="8">
        <f>IFERROR(Datos!B3549,"")</f>
        <v/>
      </c>
      <c r="C3549" s="8">
        <f>IFERROR(Datos!C3549,"")</f>
        <v/>
      </c>
      <c r="D3549" s="28">
        <f>IFERROR(IF(AND(ISNUMBER(B3549),ISNUMBER(B3548),B3548&lt;&gt;0),B3549/B3548-1,""),"")</f>
        <v/>
      </c>
      <c r="E3549" s="28">
        <f>IFERROR(IF(AND(ISNUMBER(C3549),ISNUMBER(C3548),C3548&lt;&gt;0),C3549/C3548-1,""),"")</f>
        <v/>
      </c>
      <c r="F3549" s="28">
        <f>IFERROR(D3549-Dashboard!$B$4/252,"")</f>
        <v/>
      </c>
      <c r="G3549" s="28">
        <f>IFERROR(E3549-Dashboard!$B$4/252,"")</f>
        <v/>
      </c>
      <c r="H3549" s="8">
        <f>IFERROR(IF(ISNUMBER(B3549),MAX(B3549,IFERROR(H3548,B3549)),""),"")</f>
        <v/>
      </c>
      <c r="I3549" s="29">
        <f>IFERROR(IF(AND(ISNUMBER(B3549),ISNUMBER(H3549)),B3549/H3549-1,""),"")</f>
        <v/>
      </c>
      <c r="J3549" s="8">
        <f>IFERROR(IF(ISNUMBER(C3549),MAX(C3549,IFERROR(J3548,C3549)),""),"")</f>
        <v/>
      </c>
      <c r="K3549" s="29">
        <f>IFERROR(IF(AND(ISNUMBER(C3549),ISNUMBER(J3549)),C3549/J3549-1,""),"")</f>
        <v/>
      </c>
      <c r="L3549" s="28">
        <f>IFERROR(IF(AND(ISNUMBER(D3549),ISNUMBER(E3549)),D3549-E3549,""),"")</f>
        <v/>
      </c>
    </row>
    <row r="3550">
      <c r="A3550" s="7">
        <f>IFERROR(Datos!A3550,"")</f>
        <v/>
      </c>
      <c r="B3550" s="8">
        <f>IFERROR(Datos!B3550,"")</f>
        <v/>
      </c>
      <c r="C3550" s="8">
        <f>IFERROR(Datos!C3550,"")</f>
        <v/>
      </c>
      <c r="D3550" s="28">
        <f>IFERROR(IF(AND(ISNUMBER(B3550),ISNUMBER(B3549),B3549&lt;&gt;0),B3550/B3549-1,""),"")</f>
        <v/>
      </c>
      <c r="E3550" s="28">
        <f>IFERROR(IF(AND(ISNUMBER(C3550),ISNUMBER(C3549),C3549&lt;&gt;0),C3550/C3549-1,""),"")</f>
        <v/>
      </c>
      <c r="F3550" s="28">
        <f>IFERROR(D3550-Dashboard!$B$4/252,"")</f>
        <v/>
      </c>
      <c r="G3550" s="28">
        <f>IFERROR(E3550-Dashboard!$B$4/252,"")</f>
        <v/>
      </c>
      <c r="H3550" s="8">
        <f>IFERROR(IF(ISNUMBER(B3550),MAX(B3550,IFERROR(H3549,B3550)),""),"")</f>
        <v/>
      </c>
      <c r="I3550" s="29">
        <f>IFERROR(IF(AND(ISNUMBER(B3550),ISNUMBER(H3550)),B3550/H3550-1,""),"")</f>
        <v/>
      </c>
      <c r="J3550" s="8">
        <f>IFERROR(IF(ISNUMBER(C3550),MAX(C3550,IFERROR(J3549,C3550)),""),"")</f>
        <v/>
      </c>
      <c r="K3550" s="29">
        <f>IFERROR(IF(AND(ISNUMBER(C3550),ISNUMBER(J3550)),C3550/J3550-1,""),"")</f>
        <v/>
      </c>
      <c r="L3550" s="28">
        <f>IFERROR(IF(AND(ISNUMBER(D3550),ISNUMBER(E3550)),D3550-E3550,""),"")</f>
        <v/>
      </c>
    </row>
    <row r="3551">
      <c r="A3551" s="7">
        <f>IFERROR(Datos!A3551,"")</f>
        <v/>
      </c>
      <c r="B3551" s="8">
        <f>IFERROR(Datos!B3551,"")</f>
        <v/>
      </c>
      <c r="C3551" s="8">
        <f>IFERROR(Datos!C3551,"")</f>
        <v/>
      </c>
      <c r="D3551" s="28">
        <f>IFERROR(IF(AND(ISNUMBER(B3551),ISNUMBER(B3550),B3550&lt;&gt;0),B3551/B3550-1,""),"")</f>
        <v/>
      </c>
      <c r="E3551" s="28">
        <f>IFERROR(IF(AND(ISNUMBER(C3551),ISNUMBER(C3550),C3550&lt;&gt;0),C3551/C3550-1,""),"")</f>
        <v/>
      </c>
      <c r="F3551" s="28">
        <f>IFERROR(D3551-Dashboard!$B$4/252,"")</f>
        <v/>
      </c>
      <c r="G3551" s="28">
        <f>IFERROR(E3551-Dashboard!$B$4/252,"")</f>
        <v/>
      </c>
      <c r="H3551" s="8">
        <f>IFERROR(IF(ISNUMBER(B3551),MAX(B3551,IFERROR(H3550,B3551)),""),"")</f>
        <v/>
      </c>
      <c r="I3551" s="29">
        <f>IFERROR(IF(AND(ISNUMBER(B3551),ISNUMBER(H3551)),B3551/H3551-1,""),"")</f>
        <v/>
      </c>
      <c r="J3551" s="8">
        <f>IFERROR(IF(ISNUMBER(C3551),MAX(C3551,IFERROR(J3550,C3551)),""),"")</f>
        <v/>
      </c>
      <c r="K3551" s="29">
        <f>IFERROR(IF(AND(ISNUMBER(C3551),ISNUMBER(J3551)),C3551/J3551-1,""),"")</f>
        <v/>
      </c>
      <c r="L3551" s="28">
        <f>IFERROR(IF(AND(ISNUMBER(D3551),ISNUMBER(E3551)),D3551-E3551,""),"")</f>
        <v/>
      </c>
    </row>
    <row r="3552">
      <c r="A3552" s="7">
        <f>IFERROR(Datos!A3552,"")</f>
        <v/>
      </c>
      <c r="B3552" s="8">
        <f>IFERROR(Datos!B3552,"")</f>
        <v/>
      </c>
      <c r="C3552" s="8">
        <f>IFERROR(Datos!C3552,"")</f>
        <v/>
      </c>
      <c r="D3552" s="28">
        <f>IFERROR(IF(AND(ISNUMBER(B3552),ISNUMBER(B3551),B3551&lt;&gt;0),B3552/B3551-1,""),"")</f>
        <v/>
      </c>
      <c r="E3552" s="28">
        <f>IFERROR(IF(AND(ISNUMBER(C3552),ISNUMBER(C3551),C3551&lt;&gt;0),C3552/C3551-1,""),"")</f>
        <v/>
      </c>
      <c r="F3552" s="28">
        <f>IFERROR(D3552-Dashboard!$B$4/252,"")</f>
        <v/>
      </c>
      <c r="G3552" s="28">
        <f>IFERROR(E3552-Dashboard!$B$4/252,"")</f>
        <v/>
      </c>
      <c r="H3552" s="8">
        <f>IFERROR(IF(ISNUMBER(B3552),MAX(B3552,IFERROR(H3551,B3552)),""),"")</f>
        <v/>
      </c>
      <c r="I3552" s="29">
        <f>IFERROR(IF(AND(ISNUMBER(B3552),ISNUMBER(H3552)),B3552/H3552-1,""),"")</f>
        <v/>
      </c>
      <c r="J3552" s="8">
        <f>IFERROR(IF(ISNUMBER(C3552),MAX(C3552,IFERROR(J3551,C3552)),""),"")</f>
        <v/>
      </c>
      <c r="K3552" s="29">
        <f>IFERROR(IF(AND(ISNUMBER(C3552),ISNUMBER(J3552)),C3552/J3552-1,""),"")</f>
        <v/>
      </c>
      <c r="L3552" s="28">
        <f>IFERROR(IF(AND(ISNUMBER(D3552),ISNUMBER(E3552)),D3552-E3552,""),"")</f>
        <v/>
      </c>
    </row>
    <row r="3553">
      <c r="A3553" s="7">
        <f>IFERROR(Datos!A3553,"")</f>
        <v/>
      </c>
      <c r="B3553" s="8">
        <f>IFERROR(Datos!B3553,"")</f>
        <v/>
      </c>
      <c r="C3553" s="8">
        <f>IFERROR(Datos!C3553,"")</f>
        <v/>
      </c>
      <c r="D3553" s="28">
        <f>IFERROR(IF(AND(ISNUMBER(B3553),ISNUMBER(B3552),B3552&lt;&gt;0),B3553/B3552-1,""),"")</f>
        <v/>
      </c>
      <c r="E3553" s="28">
        <f>IFERROR(IF(AND(ISNUMBER(C3553),ISNUMBER(C3552),C3552&lt;&gt;0),C3553/C3552-1,""),"")</f>
        <v/>
      </c>
      <c r="F3553" s="28">
        <f>IFERROR(D3553-Dashboard!$B$4/252,"")</f>
        <v/>
      </c>
      <c r="G3553" s="28">
        <f>IFERROR(E3553-Dashboard!$B$4/252,"")</f>
        <v/>
      </c>
      <c r="H3553" s="8">
        <f>IFERROR(IF(ISNUMBER(B3553),MAX(B3553,IFERROR(H3552,B3553)),""),"")</f>
        <v/>
      </c>
      <c r="I3553" s="29">
        <f>IFERROR(IF(AND(ISNUMBER(B3553),ISNUMBER(H3553)),B3553/H3553-1,""),"")</f>
        <v/>
      </c>
      <c r="J3553" s="8">
        <f>IFERROR(IF(ISNUMBER(C3553),MAX(C3553,IFERROR(J3552,C3553)),""),"")</f>
        <v/>
      </c>
      <c r="K3553" s="29">
        <f>IFERROR(IF(AND(ISNUMBER(C3553),ISNUMBER(J3553)),C3553/J3553-1,""),"")</f>
        <v/>
      </c>
      <c r="L3553" s="28">
        <f>IFERROR(IF(AND(ISNUMBER(D3553),ISNUMBER(E3553)),D3553-E3553,""),"")</f>
        <v/>
      </c>
    </row>
    <row r="3554">
      <c r="A3554" s="7">
        <f>IFERROR(Datos!A3554,"")</f>
        <v/>
      </c>
      <c r="B3554" s="8">
        <f>IFERROR(Datos!B3554,"")</f>
        <v/>
      </c>
      <c r="C3554" s="8">
        <f>IFERROR(Datos!C3554,"")</f>
        <v/>
      </c>
      <c r="D3554" s="28">
        <f>IFERROR(IF(AND(ISNUMBER(B3554),ISNUMBER(B3553),B3553&lt;&gt;0),B3554/B3553-1,""),"")</f>
        <v/>
      </c>
      <c r="E3554" s="28">
        <f>IFERROR(IF(AND(ISNUMBER(C3554),ISNUMBER(C3553),C3553&lt;&gt;0),C3554/C3553-1,""),"")</f>
        <v/>
      </c>
      <c r="F3554" s="28">
        <f>IFERROR(D3554-Dashboard!$B$4/252,"")</f>
        <v/>
      </c>
      <c r="G3554" s="28">
        <f>IFERROR(E3554-Dashboard!$B$4/252,"")</f>
        <v/>
      </c>
      <c r="H3554" s="8">
        <f>IFERROR(IF(ISNUMBER(B3554),MAX(B3554,IFERROR(H3553,B3554)),""),"")</f>
        <v/>
      </c>
      <c r="I3554" s="29">
        <f>IFERROR(IF(AND(ISNUMBER(B3554),ISNUMBER(H3554)),B3554/H3554-1,""),"")</f>
        <v/>
      </c>
      <c r="J3554" s="8">
        <f>IFERROR(IF(ISNUMBER(C3554),MAX(C3554,IFERROR(J3553,C3554)),""),"")</f>
        <v/>
      </c>
      <c r="K3554" s="29">
        <f>IFERROR(IF(AND(ISNUMBER(C3554),ISNUMBER(J3554)),C3554/J3554-1,""),"")</f>
        <v/>
      </c>
      <c r="L3554" s="28">
        <f>IFERROR(IF(AND(ISNUMBER(D3554),ISNUMBER(E3554)),D3554-E3554,""),"")</f>
        <v/>
      </c>
    </row>
    <row r="3555">
      <c r="A3555" s="7">
        <f>IFERROR(Datos!A3555,"")</f>
        <v/>
      </c>
      <c r="B3555" s="8">
        <f>IFERROR(Datos!B3555,"")</f>
        <v/>
      </c>
      <c r="C3555" s="8">
        <f>IFERROR(Datos!C3555,"")</f>
        <v/>
      </c>
      <c r="D3555" s="28">
        <f>IFERROR(IF(AND(ISNUMBER(B3555),ISNUMBER(B3554),B3554&lt;&gt;0),B3555/B3554-1,""),"")</f>
        <v/>
      </c>
      <c r="E3555" s="28">
        <f>IFERROR(IF(AND(ISNUMBER(C3555),ISNUMBER(C3554),C3554&lt;&gt;0),C3555/C3554-1,""),"")</f>
        <v/>
      </c>
      <c r="F3555" s="28">
        <f>IFERROR(D3555-Dashboard!$B$4/252,"")</f>
        <v/>
      </c>
      <c r="G3555" s="28">
        <f>IFERROR(E3555-Dashboard!$B$4/252,"")</f>
        <v/>
      </c>
      <c r="H3555" s="8">
        <f>IFERROR(IF(ISNUMBER(B3555),MAX(B3555,IFERROR(H3554,B3555)),""),"")</f>
        <v/>
      </c>
      <c r="I3555" s="29">
        <f>IFERROR(IF(AND(ISNUMBER(B3555),ISNUMBER(H3555)),B3555/H3555-1,""),"")</f>
        <v/>
      </c>
      <c r="J3555" s="8">
        <f>IFERROR(IF(ISNUMBER(C3555),MAX(C3555,IFERROR(J3554,C3555)),""),"")</f>
        <v/>
      </c>
      <c r="K3555" s="29">
        <f>IFERROR(IF(AND(ISNUMBER(C3555),ISNUMBER(J3555)),C3555/J3555-1,""),"")</f>
        <v/>
      </c>
      <c r="L3555" s="28">
        <f>IFERROR(IF(AND(ISNUMBER(D3555),ISNUMBER(E3555)),D3555-E3555,""),"")</f>
        <v/>
      </c>
    </row>
    <row r="3556">
      <c r="A3556" s="7">
        <f>IFERROR(Datos!A3556,"")</f>
        <v/>
      </c>
      <c r="B3556" s="8">
        <f>IFERROR(Datos!B3556,"")</f>
        <v/>
      </c>
      <c r="C3556" s="8">
        <f>IFERROR(Datos!C3556,"")</f>
        <v/>
      </c>
      <c r="D3556" s="28">
        <f>IFERROR(IF(AND(ISNUMBER(B3556),ISNUMBER(B3555),B3555&lt;&gt;0),B3556/B3555-1,""),"")</f>
        <v/>
      </c>
      <c r="E3556" s="28">
        <f>IFERROR(IF(AND(ISNUMBER(C3556),ISNUMBER(C3555),C3555&lt;&gt;0),C3556/C3555-1,""),"")</f>
        <v/>
      </c>
      <c r="F3556" s="28">
        <f>IFERROR(D3556-Dashboard!$B$4/252,"")</f>
        <v/>
      </c>
      <c r="G3556" s="28">
        <f>IFERROR(E3556-Dashboard!$B$4/252,"")</f>
        <v/>
      </c>
      <c r="H3556" s="8">
        <f>IFERROR(IF(ISNUMBER(B3556),MAX(B3556,IFERROR(H3555,B3556)),""),"")</f>
        <v/>
      </c>
      <c r="I3556" s="29">
        <f>IFERROR(IF(AND(ISNUMBER(B3556),ISNUMBER(H3556)),B3556/H3556-1,""),"")</f>
        <v/>
      </c>
      <c r="J3556" s="8">
        <f>IFERROR(IF(ISNUMBER(C3556),MAX(C3556,IFERROR(J3555,C3556)),""),"")</f>
        <v/>
      </c>
      <c r="K3556" s="29">
        <f>IFERROR(IF(AND(ISNUMBER(C3556),ISNUMBER(J3556)),C3556/J3556-1,""),"")</f>
        <v/>
      </c>
      <c r="L3556" s="28">
        <f>IFERROR(IF(AND(ISNUMBER(D3556),ISNUMBER(E3556)),D3556-E3556,""),"")</f>
        <v/>
      </c>
    </row>
    <row r="3557">
      <c r="A3557" s="7">
        <f>IFERROR(Datos!A3557,"")</f>
        <v/>
      </c>
      <c r="B3557" s="8">
        <f>IFERROR(Datos!B3557,"")</f>
        <v/>
      </c>
      <c r="C3557" s="8">
        <f>IFERROR(Datos!C3557,"")</f>
        <v/>
      </c>
      <c r="D3557" s="28">
        <f>IFERROR(IF(AND(ISNUMBER(B3557),ISNUMBER(B3556),B3556&lt;&gt;0),B3557/B3556-1,""),"")</f>
        <v/>
      </c>
      <c r="E3557" s="28">
        <f>IFERROR(IF(AND(ISNUMBER(C3557),ISNUMBER(C3556),C3556&lt;&gt;0),C3557/C3556-1,""),"")</f>
        <v/>
      </c>
      <c r="F3557" s="28">
        <f>IFERROR(D3557-Dashboard!$B$4/252,"")</f>
        <v/>
      </c>
      <c r="G3557" s="28">
        <f>IFERROR(E3557-Dashboard!$B$4/252,"")</f>
        <v/>
      </c>
      <c r="H3557" s="8">
        <f>IFERROR(IF(ISNUMBER(B3557),MAX(B3557,IFERROR(H3556,B3557)),""),"")</f>
        <v/>
      </c>
      <c r="I3557" s="29">
        <f>IFERROR(IF(AND(ISNUMBER(B3557),ISNUMBER(H3557)),B3557/H3557-1,""),"")</f>
        <v/>
      </c>
      <c r="J3557" s="8">
        <f>IFERROR(IF(ISNUMBER(C3557),MAX(C3557,IFERROR(J3556,C3557)),""),"")</f>
        <v/>
      </c>
      <c r="K3557" s="29">
        <f>IFERROR(IF(AND(ISNUMBER(C3557),ISNUMBER(J3557)),C3557/J3557-1,""),"")</f>
        <v/>
      </c>
      <c r="L3557" s="28">
        <f>IFERROR(IF(AND(ISNUMBER(D3557),ISNUMBER(E3557)),D3557-E3557,""),"")</f>
        <v/>
      </c>
    </row>
    <row r="3558">
      <c r="A3558" s="7">
        <f>IFERROR(Datos!A3558,"")</f>
        <v/>
      </c>
      <c r="B3558" s="8">
        <f>IFERROR(Datos!B3558,"")</f>
        <v/>
      </c>
      <c r="C3558" s="8">
        <f>IFERROR(Datos!C3558,"")</f>
        <v/>
      </c>
      <c r="D3558" s="28">
        <f>IFERROR(IF(AND(ISNUMBER(B3558),ISNUMBER(B3557),B3557&lt;&gt;0),B3558/B3557-1,""),"")</f>
        <v/>
      </c>
      <c r="E3558" s="28">
        <f>IFERROR(IF(AND(ISNUMBER(C3558),ISNUMBER(C3557),C3557&lt;&gt;0),C3558/C3557-1,""),"")</f>
        <v/>
      </c>
      <c r="F3558" s="28">
        <f>IFERROR(D3558-Dashboard!$B$4/252,"")</f>
        <v/>
      </c>
      <c r="G3558" s="28">
        <f>IFERROR(E3558-Dashboard!$B$4/252,"")</f>
        <v/>
      </c>
      <c r="H3558" s="8">
        <f>IFERROR(IF(ISNUMBER(B3558),MAX(B3558,IFERROR(H3557,B3558)),""),"")</f>
        <v/>
      </c>
      <c r="I3558" s="29">
        <f>IFERROR(IF(AND(ISNUMBER(B3558),ISNUMBER(H3558)),B3558/H3558-1,""),"")</f>
        <v/>
      </c>
      <c r="J3558" s="8">
        <f>IFERROR(IF(ISNUMBER(C3558),MAX(C3558,IFERROR(J3557,C3558)),""),"")</f>
        <v/>
      </c>
      <c r="K3558" s="29">
        <f>IFERROR(IF(AND(ISNUMBER(C3558),ISNUMBER(J3558)),C3558/J3558-1,""),"")</f>
        <v/>
      </c>
      <c r="L3558" s="28">
        <f>IFERROR(IF(AND(ISNUMBER(D3558),ISNUMBER(E3558)),D3558-E3558,""),"")</f>
        <v/>
      </c>
    </row>
    <row r="3559">
      <c r="A3559" s="7">
        <f>IFERROR(Datos!A3559,"")</f>
        <v/>
      </c>
      <c r="B3559" s="8">
        <f>IFERROR(Datos!B3559,"")</f>
        <v/>
      </c>
      <c r="C3559" s="8">
        <f>IFERROR(Datos!C3559,"")</f>
        <v/>
      </c>
      <c r="D3559" s="28">
        <f>IFERROR(IF(AND(ISNUMBER(B3559),ISNUMBER(B3558),B3558&lt;&gt;0),B3559/B3558-1,""),"")</f>
        <v/>
      </c>
      <c r="E3559" s="28">
        <f>IFERROR(IF(AND(ISNUMBER(C3559),ISNUMBER(C3558),C3558&lt;&gt;0),C3559/C3558-1,""),"")</f>
        <v/>
      </c>
      <c r="F3559" s="28">
        <f>IFERROR(D3559-Dashboard!$B$4/252,"")</f>
        <v/>
      </c>
      <c r="G3559" s="28">
        <f>IFERROR(E3559-Dashboard!$B$4/252,"")</f>
        <v/>
      </c>
      <c r="H3559" s="8">
        <f>IFERROR(IF(ISNUMBER(B3559),MAX(B3559,IFERROR(H3558,B3559)),""),"")</f>
        <v/>
      </c>
      <c r="I3559" s="29">
        <f>IFERROR(IF(AND(ISNUMBER(B3559),ISNUMBER(H3559)),B3559/H3559-1,""),"")</f>
        <v/>
      </c>
      <c r="J3559" s="8">
        <f>IFERROR(IF(ISNUMBER(C3559),MAX(C3559,IFERROR(J3558,C3559)),""),"")</f>
        <v/>
      </c>
      <c r="K3559" s="29">
        <f>IFERROR(IF(AND(ISNUMBER(C3559),ISNUMBER(J3559)),C3559/J3559-1,""),"")</f>
        <v/>
      </c>
      <c r="L3559" s="28">
        <f>IFERROR(IF(AND(ISNUMBER(D3559),ISNUMBER(E3559)),D3559-E3559,""),"")</f>
        <v/>
      </c>
    </row>
    <row r="3560">
      <c r="A3560" s="7">
        <f>IFERROR(Datos!A3560,"")</f>
        <v/>
      </c>
      <c r="B3560" s="8">
        <f>IFERROR(Datos!B3560,"")</f>
        <v/>
      </c>
      <c r="C3560" s="8">
        <f>IFERROR(Datos!C3560,"")</f>
        <v/>
      </c>
      <c r="D3560" s="28">
        <f>IFERROR(IF(AND(ISNUMBER(B3560),ISNUMBER(B3559),B3559&lt;&gt;0),B3560/B3559-1,""),"")</f>
        <v/>
      </c>
      <c r="E3560" s="28">
        <f>IFERROR(IF(AND(ISNUMBER(C3560),ISNUMBER(C3559),C3559&lt;&gt;0),C3560/C3559-1,""),"")</f>
        <v/>
      </c>
      <c r="F3560" s="28">
        <f>IFERROR(D3560-Dashboard!$B$4/252,"")</f>
        <v/>
      </c>
      <c r="G3560" s="28">
        <f>IFERROR(E3560-Dashboard!$B$4/252,"")</f>
        <v/>
      </c>
      <c r="H3560" s="8">
        <f>IFERROR(IF(ISNUMBER(B3560),MAX(B3560,IFERROR(H3559,B3560)),""),"")</f>
        <v/>
      </c>
      <c r="I3560" s="29">
        <f>IFERROR(IF(AND(ISNUMBER(B3560),ISNUMBER(H3560)),B3560/H3560-1,""),"")</f>
        <v/>
      </c>
      <c r="J3560" s="8">
        <f>IFERROR(IF(ISNUMBER(C3560),MAX(C3560,IFERROR(J3559,C3560)),""),"")</f>
        <v/>
      </c>
      <c r="K3560" s="29">
        <f>IFERROR(IF(AND(ISNUMBER(C3560),ISNUMBER(J3560)),C3560/J3560-1,""),"")</f>
        <v/>
      </c>
      <c r="L3560" s="28">
        <f>IFERROR(IF(AND(ISNUMBER(D3560),ISNUMBER(E3560)),D3560-E3560,""),"")</f>
        <v/>
      </c>
    </row>
    <row r="3561">
      <c r="A3561" s="7">
        <f>IFERROR(Datos!A3561,"")</f>
        <v/>
      </c>
      <c r="B3561" s="8">
        <f>IFERROR(Datos!B3561,"")</f>
        <v/>
      </c>
      <c r="C3561" s="8">
        <f>IFERROR(Datos!C3561,"")</f>
        <v/>
      </c>
      <c r="D3561" s="28">
        <f>IFERROR(IF(AND(ISNUMBER(B3561),ISNUMBER(B3560),B3560&lt;&gt;0),B3561/B3560-1,""),"")</f>
        <v/>
      </c>
      <c r="E3561" s="28">
        <f>IFERROR(IF(AND(ISNUMBER(C3561),ISNUMBER(C3560),C3560&lt;&gt;0),C3561/C3560-1,""),"")</f>
        <v/>
      </c>
      <c r="F3561" s="28">
        <f>IFERROR(D3561-Dashboard!$B$4/252,"")</f>
        <v/>
      </c>
      <c r="G3561" s="28">
        <f>IFERROR(E3561-Dashboard!$B$4/252,"")</f>
        <v/>
      </c>
      <c r="H3561" s="8">
        <f>IFERROR(IF(ISNUMBER(B3561),MAX(B3561,IFERROR(H3560,B3561)),""),"")</f>
        <v/>
      </c>
      <c r="I3561" s="29">
        <f>IFERROR(IF(AND(ISNUMBER(B3561),ISNUMBER(H3561)),B3561/H3561-1,""),"")</f>
        <v/>
      </c>
      <c r="J3561" s="8">
        <f>IFERROR(IF(ISNUMBER(C3561),MAX(C3561,IFERROR(J3560,C3561)),""),"")</f>
        <v/>
      </c>
      <c r="K3561" s="29">
        <f>IFERROR(IF(AND(ISNUMBER(C3561),ISNUMBER(J3561)),C3561/J3561-1,""),"")</f>
        <v/>
      </c>
      <c r="L3561" s="28">
        <f>IFERROR(IF(AND(ISNUMBER(D3561),ISNUMBER(E3561)),D3561-E3561,""),"")</f>
        <v/>
      </c>
    </row>
    <row r="3562">
      <c r="A3562" s="7">
        <f>IFERROR(Datos!A3562,"")</f>
        <v/>
      </c>
      <c r="B3562" s="8">
        <f>IFERROR(Datos!B3562,"")</f>
        <v/>
      </c>
      <c r="C3562" s="8">
        <f>IFERROR(Datos!C3562,"")</f>
        <v/>
      </c>
      <c r="D3562" s="28">
        <f>IFERROR(IF(AND(ISNUMBER(B3562),ISNUMBER(B3561),B3561&lt;&gt;0),B3562/B3561-1,""),"")</f>
        <v/>
      </c>
      <c r="E3562" s="28">
        <f>IFERROR(IF(AND(ISNUMBER(C3562),ISNUMBER(C3561),C3561&lt;&gt;0),C3562/C3561-1,""),"")</f>
        <v/>
      </c>
      <c r="F3562" s="28">
        <f>IFERROR(D3562-Dashboard!$B$4/252,"")</f>
        <v/>
      </c>
      <c r="G3562" s="28">
        <f>IFERROR(E3562-Dashboard!$B$4/252,"")</f>
        <v/>
      </c>
      <c r="H3562" s="8">
        <f>IFERROR(IF(ISNUMBER(B3562),MAX(B3562,IFERROR(H3561,B3562)),""),"")</f>
        <v/>
      </c>
      <c r="I3562" s="29">
        <f>IFERROR(IF(AND(ISNUMBER(B3562),ISNUMBER(H3562)),B3562/H3562-1,""),"")</f>
        <v/>
      </c>
      <c r="J3562" s="8">
        <f>IFERROR(IF(ISNUMBER(C3562),MAX(C3562,IFERROR(J3561,C3562)),""),"")</f>
        <v/>
      </c>
      <c r="K3562" s="29">
        <f>IFERROR(IF(AND(ISNUMBER(C3562),ISNUMBER(J3562)),C3562/J3562-1,""),"")</f>
        <v/>
      </c>
      <c r="L3562" s="28">
        <f>IFERROR(IF(AND(ISNUMBER(D3562),ISNUMBER(E3562)),D3562-E3562,""),"")</f>
        <v/>
      </c>
    </row>
    <row r="3563">
      <c r="A3563" s="7">
        <f>IFERROR(Datos!A3563,"")</f>
        <v/>
      </c>
      <c r="B3563" s="8">
        <f>IFERROR(Datos!B3563,"")</f>
        <v/>
      </c>
      <c r="C3563" s="8">
        <f>IFERROR(Datos!C3563,"")</f>
        <v/>
      </c>
      <c r="D3563" s="28">
        <f>IFERROR(IF(AND(ISNUMBER(B3563),ISNUMBER(B3562),B3562&lt;&gt;0),B3563/B3562-1,""),"")</f>
        <v/>
      </c>
      <c r="E3563" s="28">
        <f>IFERROR(IF(AND(ISNUMBER(C3563),ISNUMBER(C3562),C3562&lt;&gt;0),C3563/C3562-1,""),"")</f>
        <v/>
      </c>
      <c r="F3563" s="28">
        <f>IFERROR(D3563-Dashboard!$B$4/252,"")</f>
        <v/>
      </c>
      <c r="G3563" s="28">
        <f>IFERROR(E3563-Dashboard!$B$4/252,"")</f>
        <v/>
      </c>
      <c r="H3563" s="8">
        <f>IFERROR(IF(ISNUMBER(B3563),MAX(B3563,IFERROR(H3562,B3563)),""),"")</f>
        <v/>
      </c>
      <c r="I3563" s="29">
        <f>IFERROR(IF(AND(ISNUMBER(B3563),ISNUMBER(H3563)),B3563/H3563-1,""),"")</f>
        <v/>
      </c>
      <c r="J3563" s="8">
        <f>IFERROR(IF(ISNUMBER(C3563),MAX(C3563,IFERROR(J3562,C3563)),""),"")</f>
        <v/>
      </c>
      <c r="K3563" s="29">
        <f>IFERROR(IF(AND(ISNUMBER(C3563),ISNUMBER(J3563)),C3563/J3563-1,""),"")</f>
        <v/>
      </c>
      <c r="L3563" s="28">
        <f>IFERROR(IF(AND(ISNUMBER(D3563),ISNUMBER(E3563)),D3563-E3563,""),"")</f>
        <v/>
      </c>
    </row>
    <row r="3564">
      <c r="A3564" s="7">
        <f>IFERROR(Datos!A3564,"")</f>
        <v/>
      </c>
      <c r="B3564" s="8">
        <f>IFERROR(Datos!B3564,"")</f>
        <v/>
      </c>
      <c r="C3564" s="8">
        <f>IFERROR(Datos!C3564,"")</f>
        <v/>
      </c>
      <c r="D3564" s="28">
        <f>IFERROR(IF(AND(ISNUMBER(B3564),ISNUMBER(B3563),B3563&lt;&gt;0),B3564/B3563-1,""),"")</f>
        <v/>
      </c>
      <c r="E3564" s="28">
        <f>IFERROR(IF(AND(ISNUMBER(C3564),ISNUMBER(C3563),C3563&lt;&gt;0),C3564/C3563-1,""),"")</f>
        <v/>
      </c>
      <c r="F3564" s="28">
        <f>IFERROR(D3564-Dashboard!$B$4/252,"")</f>
        <v/>
      </c>
      <c r="G3564" s="28">
        <f>IFERROR(E3564-Dashboard!$B$4/252,"")</f>
        <v/>
      </c>
      <c r="H3564" s="8">
        <f>IFERROR(IF(ISNUMBER(B3564),MAX(B3564,IFERROR(H3563,B3564)),""),"")</f>
        <v/>
      </c>
      <c r="I3564" s="29">
        <f>IFERROR(IF(AND(ISNUMBER(B3564),ISNUMBER(H3564)),B3564/H3564-1,""),"")</f>
        <v/>
      </c>
      <c r="J3564" s="8">
        <f>IFERROR(IF(ISNUMBER(C3564),MAX(C3564,IFERROR(J3563,C3564)),""),"")</f>
        <v/>
      </c>
      <c r="K3564" s="29">
        <f>IFERROR(IF(AND(ISNUMBER(C3564),ISNUMBER(J3564)),C3564/J3564-1,""),"")</f>
        <v/>
      </c>
      <c r="L3564" s="28">
        <f>IFERROR(IF(AND(ISNUMBER(D3564),ISNUMBER(E3564)),D3564-E3564,""),"")</f>
        <v/>
      </c>
    </row>
    <row r="3565">
      <c r="A3565" s="7">
        <f>IFERROR(Datos!A3565,"")</f>
        <v/>
      </c>
      <c r="B3565" s="8">
        <f>IFERROR(Datos!B3565,"")</f>
        <v/>
      </c>
      <c r="C3565" s="8">
        <f>IFERROR(Datos!C3565,"")</f>
        <v/>
      </c>
      <c r="D3565" s="28">
        <f>IFERROR(IF(AND(ISNUMBER(B3565),ISNUMBER(B3564),B3564&lt;&gt;0),B3565/B3564-1,""),"")</f>
        <v/>
      </c>
      <c r="E3565" s="28">
        <f>IFERROR(IF(AND(ISNUMBER(C3565),ISNUMBER(C3564),C3564&lt;&gt;0),C3565/C3564-1,""),"")</f>
        <v/>
      </c>
      <c r="F3565" s="28">
        <f>IFERROR(D3565-Dashboard!$B$4/252,"")</f>
        <v/>
      </c>
      <c r="G3565" s="28">
        <f>IFERROR(E3565-Dashboard!$B$4/252,"")</f>
        <v/>
      </c>
      <c r="H3565" s="8">
        <f>IFERROR(IF(ISNUMBER(B3565),MAX(B3565,IFERROR(H3564,B3565)),""),"")</f>
        <v/>
      </c>
      <c r="I3565" s="29">
        <f>IFERROR(IF(AND(ISNUMBER(B3565),ISNUMBER(H3565)),B3565/H3565-1,""),"")</f>
        <v/>
      </c>
      <c r="J3565" s="8">
        <f>IFERROR(IF(ISNUMBER(C3565),MAX(C3565,IFERROR(J3564,C3565)),""),"")</f>
        <v/>
      </c>
      <c r="K3565" s="29">
        <f>IFERROR(IF(AND(ISNUMBER(C3565),ISNUMBER(J3565)),C3565/J3565-1,""),"")</f>
        <v/>
      </c>
      <c r="L3565" s="28">
        <f>IFERROR(IF(AND(ISNUMBER(D3565),ISNUMBER(E3565)),D3565-E3565,""),"")</f>
        <v/>
      </c>
    </row>
    <row r="3566">
      <c r="A3566" s="7">
        <f>IFERROR(Datos!A3566,"")</f>
        <v/>
      </c>
      <c r="B3566" s="8">
        <f>IFERROR(Datos!B3566,"")</f>
        <v/>
      </c>
      <c r="C3566" s="8">
        <f>IFERROR(Datos!C3566,"")</f>
        <v/>
      </c>
      <c r="D3566" s="28">
        <f>IFERROR(IF(AND(ISNUMBER(B3566),ISNUMBER(B3565),B3565&lt;&gt;0),B3566/B3565-1,""),"")</f>
        <v/>
      </c>
      <c r="E3566" s="28">
        <f>IFERROR(IF(AND(ISNUMBER(C3566),ISNUMBER(C3565),C3565&lt;&gt;0),C3566/C3565-1,""),"")</f>
        <v/>
      </c>
      <c r="F3566" s="28">
        <f>IFERROR(D3566-Dashboard!$B$4/252,"")</f>
        <v/>
      </c>
      <c r="G3566" s="28">
        <f>IFERROR(E3566-Dashboard!$B$4/252,"")</f>
        <v/>
      </c>
      <c r="H3566" s="8">
        <f>IFERROR(IF(ISNUMBER(B3566),MAX(B3566,IFERROR(H3565,B3566)),""),"")</f>
        <v/>
      </c>
      <c r="I3566" s="29">
        <f>IFERROR(IF(AND(ISNUMBER(B3566),ISNUMBER(H3566)),B3566/H3566-1,""),"")</f>
        <v/>
      </c>
      <c r="J3566" s="8">
        <f>IFERROR(IF(ISNUMBER(C3566),MAX(C3566,IFERROR(J3565,C3566)),""),"")</f>
        <v/>
      </c>
      <c r="K3566" s="29">
        <f>IFERROR(IF(AND(ISNUMBER(C3566),ISNUMBER(J3566)),C3566/J3566-1,""),"")</f>
        <v/>
      </c>
      <c r="L3566" s="28">
        <f>IFERROR(IF(AND(ISNUMBER(D3566),ISNUMBER(E3566)),D3566-E3566,""),"")</f>
        <v/>
      </c>
    </row>
    <row r="3567">
      <c r="A3567" s="7">
        <f>IFERROR(Datos!A3567,"")</f>
        <v/>
      </c>
      <c r="B3567" s="8">
        <f>IFERROR(Datos!B3567,"")</f>
        <v/>
      </c>
      <c r="C3567" s="8">
        <f>IFERROR(Datos!C3567,"")</f>
        <v/>
      </c>
      <c r="D3567" s="28">
        <f>IFERROR(IF(AND(ISNUMBER(B3567),ISNUMBER(B3566),B3566&lt;&gt;0),B3567/B3566-1,""),"")</f>
        <v/>
      </c>
      <c r="E3567" s="28">
        <f>IFERROR(IF(AND(ISNUMBER(C3567),ISNUMBER(C3566),C3566&lt;&gt;0),C3567/C3566-1,""),"")</f>
        <v/>
      </c>
      <c r="F3567" s="28">
        <f>IFERROR(D3567-Dashboard!$B$4/252,"")</f>
        <v/>
      </c>
      <c r="G3567" s="28">
        <f>IFERROR(E3567-Dashboard!$B$4/252,"")</f>
        <v/>
      </c>
      <c r="H3567" s="8">
        <f>IFERROR(IF(ISNUMBER(B3567),MAX(B3567,IFERROR(H3566,B3567)),""),"")</f>
        <v/>
      </c>
      <c r="I3567" s="29">
        <f>IFERROR(IF(AND(ISNUMBER(B3567),ISNUMBER(H3567)),B3567/H3567-1,""),"")</f>
        <v/>
      </c>
      <c r="J3567" s="8">
        <f>IFERROR(IF(ISNUMBER(C3567),MAX(C3567,IFERROR(J3566,C3567)),""),"")</f>
        <v/>
      </c>
      <c r="K3567" s="29">
        <f>IFERROR(IF(AND(ISNUMBER(C3567),ISNUMBER(J3567)),C3567/J3567-1,""),"")</f>
        <v/>
      </c>
      <c r="L3567" s="28">
        <f>IFERROR(IF(AND(ISNUMBER(D3567),ISNUMBER(E3567)),D3567-E3567,""),"")</f>
        <v/>
      </c>
    </row>
    <row r="3568">
      <c r="A3568" s="7">
        <f>IFERROR(Datos!A3568,"")</f>
        <v/>
      </c>
      <c r="B3568" s="8">
        <f>IFERROR(Datos!B3568,"")</f>
        <v/>
      </c>
      <c r="C3568" s="8">
        <f>IFERROR(Datos!C3568,"")</f>
        <v/>
      </c>
      <c r="D3568" s="28">
        <f>IFERROR(IF(AND(ISNUMBER(B3568),ISNUMBER(B3567),B3567&lt;&gt;0),B3568/B3567-1,""),"")</f>
        <v/>
      </c>
      <c r="E3568" s="28">
        <f>IFERROR(IF(AND(ISNUMBER(C3568),ISNUMBER(C3567),C3567&lt;&gt;0),C3568/C3567-1,""),"")</f>
        <v/>
      </c>
      <c r="F3568" s="28">
        <f>IFERROR(D3568-Dashboard!$B$4/252,"")</f>
        <v/>
      </c>
      <c r="G3568" s="28">
        <f>IFERROR(E3568-Dashboard!$B$4/252,"")</f>
        <v/>
      </c>
      <c r="H3568" s="8">
        <f>IFERROR(IF(ISNUMBER(B3568),MAX(B3568,IFERROR(H3567,B3568)),""),"")</f>
        <v/>
      </c>
      <c r="I3568" s="29">
        <f>IFERROR(IF(AND(ISNUMBER(B3568),ISNUMBER(H3568)),B3568/H3568-1,""),"")</f>
        <v/>
      </c>
      <c r="J3568" s="8">
        <f>IFERROR(IF(ISNUMBER(C3568),MAX(C3568,IFERROR(J3567,C3568)),""),"")</f>
        <v/>
      </c>
      <c r="K3568" s="29">
        <f>IFERROR(IF(AND(ISNUMBER(C3568),ISNUMBER(J3568)),C3568/J3568-1,""),"")</f>
        <v/>
      </c>
      <c r="L3568" s="28">
        <f>IFERROR(IF(AND(ISNUMBER(D3568),ISNUMBER(E3568)),D3568-E3568,""),"")</f>
        <v/>
      </c>
    </row>
    <row r="3569">
      <c r="A3569" s="7">
        <f>IFERROR(Datos!A3569,"")</f>
        <v/>
      </c>
      <c r="B3569" s="8">
        <f>IFERROR(Datos!B3569,"")</f>
        <v/>
      </c>
      <c r="C3569" s="8">
        <f>IFERROR(Datos!C3569,"")</f>
        <v/>
      </c>
      <c r="D3569" s="28">
        <f>IFERROR(IF(AND(ISNUMBER(B3569),ISNUMBER(B3568),B3568&lt;&gt;0),B3569/B3568-1,""),"")</f>
        <v/>
      </c>
      <c r="E3569" s="28">
        <f>IFERROR(IF(AND(ISNUMBER(C3569),ISNUMBER(C3568),C3568&lt;&gt;0),C3569/C3568-1,""),"")</f>
        <v/>
      </c>
      <c r="F3569" s="28">
        <f>IFERROR(D3569-Dashboard!$B$4/252,"")</f>
        <v/>
      </c>
      <c r="G3569" s="28">
        <f>IFERROR(E3569-Dashboard!$B$4/252,"")</f>
        <v/>
      </c>
      <c r="H3569" s="8">
        <f>IFERROR(IF(ISNUMBER(B3569),MAX(B3569,IFERROR(H3568,B3569)),""),"")</f>
        <v/>
      </c>
      <c r="I3569" s="29">
        <f>IFERROR(IF(AND(ISNUMBER(B3569),ISNUMBER(H3569)),B3569/H3569-1,""),"")</f>
        <v/>
      </c>
      <c r="J3569" s="8">
        <f>IFERROR(IF(ISNUMBER(C3569),MAX(C3569,IFERROR(J3568,C3569)),""),"")</f>
        <v/>
      </c>
      <c r="K3569" s="29">
        <f>IFERROR(IF(AND(ISNUMBER(C3569),ISNUMBER(J3569)),C3569/J3569-1,""),"")</f>
        <v/>
      </c>
      <c r="L3569" s="28">
        <f>IFERROR(IF(AND(ISNUMBER(D3569),ISNUMBER(E3569)),D3569-E3569,""),"")</f>
        <v/>
      </c>
    </row>
    <row r="3570">
      <c r="A3570" s="7">
        <f>IFERROR(Datos!A3570,"")</f>
        <v/>
      </c>
      <c r="B3570" s="8">
        <f>IFERROR(Datos!B3570,"")</f>
        <v/>
      </c>
      <c r="C3570" s="8">
        <f>IFERROR(Datos!C3570,"")</f>
        <v/>
      </c>
      <c r="D3570" s="28">
        <f>IFERROR(IF(AND(ISNUMBER(B3570),ISNUMBER(B3569),B3569&lt;&gt;0),B3570/B3569-1,""),"")</f>
        <v/>
      </c>
      <c r="E3570" s="28">
        <f>IFERROR(IF(AND(ISNUMBER(C3570),ISNUMBER(C3569),C3569&lt;&gt;0),C3570/C3569-1,""),"")</f>
        <v/>
      </c>
      <c r="F3570" s="28">
        <f>IFERROR(D3570-Dashboard!$B$4/252,"")</f>
        <v/>
      </c>
      <c r="G3570" s="28">
        <f>IFERROR(E3570-Dashboard!$B$4/252,"")</f>
        <v/>
      </c>
      <c r="H3570" s="8">
        <f>IFERROR(IF(ISNUMBER(B3570),MAX(B3570,IFERROR(H3569,B3570)),""),"")</f>
        <v/>
      </c>
      <c r="I3570" s="29">
        <f>IFERROR(IF(AND(ISNUMBER(B3570),ISNUMBER(H3570)),B3570/H3570-1,""),"")</f>
        <v/>
      </c>
      <c r="J3570" s="8">
        <f>IFERROR(IF(ISNUMBER(C3570),MAX(C3570,IFERROR(J3569,C3570)),""),"")</f>
        <v/>
      </c>
      <c r="K3570" s="29">
        <f>IFERROR(IF(AND(ISNUMBER(C3570),ISNUMBER(J3570)),C3570/J3570-1,""),"")</f>
        <v/>
      </c>
      <c r="L3570" s="28">
        <f>IFERROR(IF(AND(ISNUMBER(D3570),ISNUMBER(E3570)),D3570-E3570,""),"")</f>
        <v/>
      </c>
    </row>
    <row r="3571">
      <c r="A3571" s="7">
        <f>IFERROR(Datos!A3571,"")</f>
        <v/>
      </c>
      <c r="B3571" s="8">
        <f>IFERROR(Datos!B3571,"")</f>
        <v/>
      </c>
      <c r="C3571" s="8">
        <f>IFERROR(Datos!C3571,"")</f>
        <v/>
      </c>
      <c r="D3571" s="28">
        <f>IFERROR(IF(AND(ISNUMBER(B3571),ISNUMBER(B3570),B3570&lt;&gt;0),B3571/B3570-1,""),"")</f>
        <v/>
      </c>
      <c r="E3571" s="28">
        <f>IFERROR(IF(AND(ISNUMBER(C3571),ISNUMBER(C3570),C3570&lt;&gt;0),C3571/C3570-1,""),"")</f>
        <v/>
      </c>
      <c r="F3571" s="28">
        <f>IFERROR(D3571-Dashboard!$B$4/252,"")</f>
        <v/>
      </c>
      <c r="G3571" s="28">
        <f>IFERROR(E3571-Dashboard!$B$4/252,"")</f>
        <v/>
      </c>
      <c r="H3571" s="8">
        <f>IFERROR(IF(ISNUMBER(B3571),MAX(B3571,IFERROR(H3570,B3571)),""),"")</f>
        <v/>
      </c>
      <c r="I3571" s="29">
        <f>IFERROR(IF(AND(ISNUMBER(B3571),ISNUMBER(H3571)),B3571/H3571-1,""),"")</f>
        <v/>
      </c>
      <c r="J3571" s="8">
        <f>IFERROR(IF(ISNUMBER(C3571),MAX(C3571,IFERROR(J3570,C3571)),""),"")</f>
        <v/>
      </c>
      <c r="K3571" s="29">
        <f>IFERROR(IF(AND(ISNUMBER(C3571),ISNUMBER(J3571)),C3571/J3571-1,""),"")</f>
        <v/>
      </c>
      <c r="L3571" s="28">
        <f>IFERROR(IF(AND(ISNUMBER(D3571),ISNUMBER(E3571)),D3571-E3571,""),"")</f>
        <v/>
      </c>
    </row>
    <row r="3572">
      <c r="A3572" s="7">
        <f>IFERROR(Datos!A3572,"")</f>
        <v/>
      </c>
      <c r="B3572" s="8">
        <f>IFERROR(Datos!B3572,"")</f>
        <v/>
      </c>
      <c r="C3572" s="8">
        <f>IFERROR(Datos!C3572,"")</f>
        <v/>
      </c>
      <c r="D3572" s="28">
        <f>IFERROR(IF(AND(ISNUMBER(B3572),ISNUMBER(B3571),B3571&lt;&gt;0),B3572/B3571-1,""),"")</f>
        <v/>
      </c>
      <c r="E3572" s="28">
        <f>IFERROR(IF(AND(ISNUMBER(C3572),ISNUMBER(C3571),C3571&lt;&gt;0),C3572/C3571-1,""),"")</f>
        <v/>
      </c>
      <c r="F3572" s="28">
        <f>IFERROR(D3572-Dashboard!$B$4/252,"")</f>
        <v/>
      </c>
      <c r="G3572" s="28">
        <f>IFERROR(E3572-Dashboard!$B$4/252,"")</f>
        <v/>
      </c>
      <c r="H3572" s="8">
        <f>IFERROR(IF(ISNUMBER(B3572),MAX(B3572,IFERROR(H3571,B3572)),""),"")</f>
        <v/>
      </c>
      <c r="I3572" s="29">
        <f>IFERROR(IF(AND(ISNUMBER(B3572),ISNUMBER(H3572)),B3572/H3572-1,""),"")</f>
        <v/>
      </c>
      <c r="J3572" s="8">
        <f>IFERROR(IF(ISNUMBER(C3572),MAX(C3572,IFERROR(J3571,C3572)),""),"")</f>
        <v/>
      </c>
      <c r="K3572" s="29">
        <f>IFERROR(IF(AND(ISNUMBER(C3572),ISNUMBER(J3572)),C3572/J3572-1,""),"")</f>
        <v/>
      </c>
      <c r="L3572" s="28">
        <f>IFERROR(IF(AND(ISNUMBER(D3572),ISNUMBER(E3572)),D3572-E3572,""),"")</f>
        <v/>
      </c>
    </row>
    <row r="3573">
      <c r="A3573" s="7">
        <f>IFERROR(Datos!A3573,"")</f>
        <v/>
      </c>
      <c r="B3573" s="8">
        <f>IFERROR(Datos!B3573,"")</f>
        <v/>
      </c>
      <c r="C3573" s="8">
        <f>IFERROR(Datos!C3573,"")</f>
        <v/>
      </c>
      <c r="D3573" s="28">
        <f>IFERROR(IF(AND(ISNUMBER(B3573),ISNUMBER(B3572),B3572&lt;&gt;0),B3573/B3572-1,""),"")</f>
        <v/>
      </c>
      <c r="E3573" s="28">
        <f>IFERROR(IF(AND(ISNUMBER(C3573),ISNUMBER(C3572),C3572&lt;&gt;0),C3573/C3572-1,""),"")</f>
        <v/>
      </c>
      <c r="F3573" s="28">
        <f>IFERROR(D3573-Dashboard!$B$4/252,"")</f>
        <v/>
      </c>
      <c r="G3573" s="28">
        <f>IFERROR(E3573-Dashboard!$B$4/252,"")</f>
        <v/>
      </c>
      <c r="H3573" s="8">
        <f>IFERROR(IF(ISNUMBER(B3573),MAX(B3573,IFERROR(H3572,B3573)),""),"")</f>
        <v/>
      </c>
      <c r="I3573" s="29">
        <f>IFERROR(IF(AND(ISNUMBER(B3573),ISNUMBER(H3573)),B3573/H3573-1,""),"")</f>
        <v/>
      </c>
      <c r="J3573" s="8">
        <f>IFERROR(IF(ISNUMBER(C3573),MAX(C3573,IFERROR(J3572,C3573)),""),"")</f>
        <v/>
      </c>
      <c r="K3573" s="29">
        <f>IFERROR(IF(AND(ISNUMBER(C3573),ISNUMBER(J3573)),C3573/J3573-1,""),"")</f>
        <v/>
      </c>
      <c r="L3573" s="28">
        <f>IFERROR(IF(AND(ISNUMBER(D3573),ISNUMBER(E3573)),D3573-E3573,""),"")</f>
        <v/>
      </c>
    </row>
    <row r="3574">
      <c r="A3574" s="7">
        <f>IFERROR(Datos!A3574,"")</f>
        <v/>
      </c>
      <c r="B3574" s="8">
        <f>IFERROR(Datos!B3574,"")</f>
        <v/>
      </c>
      <c r="C3574" s="8">
        <f>IFERROR(Datos!C3574,"")</f>
        <v/>
      </c>
      <c r="D3574" s="28">
        <f>IFERROR(IF(AND(ISNUMBER(B3574),ISNUMBER(B3573),B3573&lt;&gt;0),B3574/B3573-1,""),"")</f>
        <v/>
      </c>
      <c r="E3574" s="28">
        <f>IFERROR(IF(AND(ISNUMBER(C3574),ISNUMBER(C3573),C3573&lt;&gt;0),C3574/C3573-1,""),"")</f>
        <v/>
      </c>
      <c r="F3574" s="28">
        <f>IFERROR(D3574-Dashboard!$B$4/252,"")</f>
        <v/>
      </c>
      <c r="G3574" s="28">
        <f>IFERROR(E3574-Dashboard!$B$4/252,"")</f>
        <v/>
      </c>
      <c r="H3574" s="8">
        <f>IFERROR(IF(ISNUMBER(B3574),MAX(B3574,IFERROR(H3573,B3574)),""),"")</f>
        <v/>
      </c>
      <c r="I3574" s="29">
        <f>IFERROR(IF(AND(ISNUMBER(B3574),ISNUMBER(H3574)),B3574/H3574-1,""),"")</f>
        <v/>
      </c>
      <c r="J3574" s="8">
        <f>IFERROR(IF(ISNUMBER(C3574),MAX(C3574,IFERROR(J3573,C3574)),""),"")</f>
        <v/>
      </c>
      <c r="K3574" s="29">
        <f>IFERROR(IF(AND(ISNUMBER(C3574),ISNUMBER(J3574)),C3574/J3574-1,""),"")</f>
        <v/>
      </c>
      <c r="L3574" s="28">
        <f>IFERROR(IF(AND(ISNUMBER(D3574),ISNUMBER(E3574)),D3574-E3574,""),"")</f>
        <v/>
      </c>
    </row>
    <row r="3575">
      <c r="A3575" s="7">
        <f>IFERROR(Datos!A3575,"")</f>
        <v/>
      </c>
      <c r="B3575" s="8">
        <f>IFERROR(Datos!B3575,"")</f>
        <v/>
      </c>
      <c r="C3575" s="8">
        <f>IFERROR(Datos!C3575,"")</f>
        <v/>
      </c>
      <c r="D3575" s="28">
        <f>IFERROR(IF(AND(ISNUMBER(B3575),ISNUMBER(B3574),B3574&lt;&gt;0),B3575/B3574-1,""),"")</f>
        <v/>
      </c>
      <c r="E3575" s="28">
        <f>IFERROR(IF(AND(ISNUMBER(C3575),ISNUMBER(C3574),C3574&lt;&gt;0),C3575/C3574-1,""),"")</f>
        <v/>
      </c>
      <c r="F3575" s="28">
        <f>IFERROR(D3575-Dashboard!$B$4/252,"")</f>
        <v/>
      </c>
      <c r="G3575" s="28">
        <f>IFERROR(E3575-Dashboard!$B$4/252,"")</f>
        <v/>
      </c>
      <c r="H3575" s="8">
        <f>IFERROR(IF(ISNUMBER(B3575),MAX(B3575,IFERROR(H3574,B3575)),""),"")</f>
        <v/>
      </c>
      <c r="I3575" s="29">
        <f>IFERROR(IF(AND(ISNUMBER(B3575),ISNUMBER(H3575)),B3575/H3575-1,""),"")</f>
        <v/>
      </c>
      <c r="J3575" s="8">
        <f>IFERROR(IF(ISNUMBER(C3575),MAX(C3575,IFERROR(J3574,C3575)),""),"")</f>
        <v/>
      </c>
      <c r="K3575" s="29">
        <f>IFERROR(IF(AND(ISNUMBER(C3575),ISNUMBER(J3575)),C3575/J3575-1,""),"")</f>
        <v/>
      </c>
      <c r="L3575" s="28">
        <f>IFERROR(IF(AND(ISNUMBER(D3575),ISNUMBER(E3575)),D3575-E3575,""),"")</f>
        <v/>
      </c>
    </row>
    <row r="3576">
      <c r="A3576" s="7">
        <f>IFERROR(Datos!A3576,"")</f>
        <v/>
      </c>
      <c r="B3576" s="8">
        <f>IFERROR(Datos!B3576,"")</f>
        <v/>
      </c>
      <c r="C3576" s="8">
        <f>IFERROR(Datos!C3576,"")</f>
        <v/>
      </c>
      <c r="D3576" s="28">
        <f>IFERROR(IF(AND(ISNUMBER(B3576),ISNUMBER(B3575),B3575&lt;&gt;0),B3576/B3575-1,""),"")</f>
        <v/>
      </c>
      <c r="E3576" s="28">
        <f>IFERROR(IF(AND(ISNUMBER(C3576),ISNUMBER(C3575),C3575&lt;&gt;0),C3576/C3575-1,""),"")</f>
        <v/>
      </c>
      <c r="F3576" s="28">
        <f>IFERROR(D3576-Dashboard!$B$4/252,"")</f>
        <v/>
      </c>
      <c r="G3576" s="28">
        <f>IFERROR(E3576-Dashboard!$B$4/252,"")</f>
        <v/>
      </c>
      <c r="H3576" s="8">
        <f>IFERROR(IF(ISNUMBER(B3576),MAX(B3576,IFERROR(H3575,B3576)),""),"")</f>
        <v/>
      </c>
      <c r="I3576" s="29">
        <f>IFERROR(IF(AND(ISNUMBER(B3576),ISNUMBER(H3576)),B3576/H3576-1,""),"")</f>
        <v/>
      </c>
      <c r="J3576" s="8">
        <f>IFERROR(IF(ISNUMBER(C3576),MAX(C3576,IFERROR(J3575,C3576)),""),"")</f>
        <v/>
      </c>
      <c r="K3576" s="29">
        <f>IFERROR(IF(AND(ISNUMBER(C3576),ISNUMBER(J3576)),C3576/J3576-1,""),"")</f>
        <v/>
      </c>
      <c r="L3576" s="28">
        <f>IFERROR(IF(AND(ISNUMBER(D3576),ISNUMBER(E3576)),D3576-E3576,""),"")</f>
        <v/>
      </c>
    </row>
    <row r="3577">
      <c r="A3577" s="7">
        <f>IFERROR(Datos!A3577,"")</f>
        <v/>
      </c>
      <c r="B3577" s="8">
        <f>IFERROR(Datos!B3577,"")</f>
        <v/>
      </c>
      <c r="C3577" s="8">
        <f>IFERROR(Datos!C3577,"")</f>
        <v/>
      </c>
      <c r="D3577" s="28">
        <f>IFERROR(IF(AND(ISNUMBER(B3577),ISNUMBER(B3576),B3576&lt;&gt;0),B3577/B3576-1,""),"")</f>
        <v/>
      </c>
      <c r="E3577" s="28">
        <f>IFERROR(IF(AND(ISNUMBER(C3577),ISNUMBER(C3576),C3576&lt;&gt;0),C3577/C3576-1,""),"")</f>
        <v/>
      </c>
      <c r="F3577" s="28">
        <f>IFERROR(D3577-Dashboard!$B$4/252,"")</f>
        <v/>
      </c>
      <c r="G3577" s="28">
        <f>IFERROR(E3577-Dashboard!$B$4/252,"")</f>
        <v/>
      </c>
      <c r="H3577" s="8">
        <f>IFERROR(IF(ISNUMBER(B3577),MAX(B3577,IFERROR(H3576,B3577)),""),"")</f>
        <v/>
      </c>
      <c r="I3577" s="29">
        <f>IFERROR(IF(AND(ISNUMBER(B3577),ISNUMBER(H3577)),B3577/H3577-1,""),"")</f>
        <v/>
      </c>
      <c r="J3577" s="8">
        <f>IFERROR(IF(ISNUMBER(C3577),MAX(C3577,IFERROR(J3576,C3577)),""),"")</f>
        <v/>
      </c>
      <c r="K3577" s="29">
        <f>IFERROR(IF(AND(ISNUMBER(C3577),ISNUMBER(J3577)),C3577/J3577-1,""),"")</f>
        <v/>
      </c>
      <c r="L3577" s="28">
        <f>IFERROR(IF(AND(ISNUMBER(D3577),ISNUMBER(E3577)),D3577-E3577,""),"")</f>
        <v/>
      </c>
    </row>
    <row r="3578">
      <c r="A3578" s="7">
        <f>IFERROR(Datos!A3578,"")</f>
        <v/>
      </c>
      <c r="B3578" s="8">
        <f>IFERROR(Datos!B3578,"")</f>
        <v/>
      </c>
      <c r="C3578" s="8">
        <f>IFERROR(Datos!C3578,"")</f>
        <v/>
      </c>
      <c r="D3578" s="28">
        <f>IFERROR(IF(AND(ISNUMBER(B3578),ISNUMBER(B3577),B3577&lt;&gt;0),B3578/B3577-1,""),"")</f>
        <v/>
      </c>
      <c r="E3578" s="28">
        <f>IFERROR(IF(AND(ISNUMBER(C3578),ISNUMBER(C3577),C3577&lt;&gt;0),C3578/C3577-1,""),"")</f>
        <v/>
      </c>
      <c r="F3578" s="28">
        <f>IFERROR(D3578-Dashboard!$B$4/252,"")</f>
        <v/>
      </c>
      <c r="G3578" s="28">
        <f>IFERROR(E3578-Dashboard!$B$4/252,"")</f>
        <v/>
      </c>
      <c r="H3578" s="8">
        <f>IFERROR(IF(ISNUMBER(B3578),MAX(B3578,IFERROR(H3577,B3578)),""),"")</f>
        <v/>
      </c>
      <c r="I3578" s="29">
        <f>IFERROR(IF(AND(ISNUMBER(B3578),ISNUMBER(H3578)),B3578/H3578-1,""),"")</f>
        <v/>
      </c>
      <c r="J3578" s="8">
        <f>IFERROR(IF(ISNUMBER(C3578),MAX(C3578,IFERROR(J3577,C3578)),""),"")</f>
        <v/>
      </c>
      <c r="K3578" s="29">
        <f>IFERROR(IF(AND(ISNUMBER(C3578),ISNUMBER(J3578)),C3578/J3578-1,""),"")</f>
        <v/>
      </c>
      <c r="L3578" s="28">
        <f>IFERROR(IF(AND(ISNUMBER(D3578),ISNUMBER(E3578)),D3578-E3578,""),"")</f>
        <v/>
      </c>
    </row>
    <row r="3579">
      <c r="A3579" s="7">
        <f>IFERROR(Datos!A3579,"")</f>
        <v/>
      </c>
      <c r="B3579" s="8">
        <f>IFERROR(Datos!B3579,"")</f>
        <v/>
      </c>
      <c r="C3579" s="8">
        <f>IFERROR(Datos!C3579,"")</f>
        <v/>
      </c>
      <c r="D3579" s="28">
        <f>IFERROR(IF(AND(ISNUMBER(B3579),ISNUMBER(B3578),B3578&lt;&gt;0),B3579/B3578-1,""),"")</f>
        <v/>
      </c>
      <c r="E3579" s="28">
        <f>IFERROR(IF(AND(ISNUMBER(C3579),ISNUMBER(C3578),C3578&lt;&gt;0),C3579/C3578-1,""),"")</f>
        <v/>
      </c>
      <c r="F3579" s="28">
        <f>IFERROR(D3579-Dashboard!$B$4/252,"")</f>
        <v/>
      </c>
      <c r="G3579" s="28">
        <f>IFERROR(E3579-Dashboard!$B$4/252,"")</f>
        <v/>
      </c>
      <c r="H3579" s="8">
        <f>IFERROR(IF(ISNUMBER(B3579),MAX(B3579,IFERROR(H3578,B3579)),""),"")</f>
        <v/>
      </c>
      <c r="I3579" s="29">
        <f>IFERROR(IF(AND(ISNUMBER(B3579),ISNUMBER(H3579)),B3579/H3579-1,""),"")</f>
        <v/>
      </c>
      <c r="J3579" s="8">
        <f>IFERROR(IF(ISNUMBER(C3579),MAX(C3579,IFERROR(J3578,C3579)),""),"")</f>
        <v/>
      </c>
      <c r="K3579" s="29">
        <f>IFERROR(IF(AND(ISNUMBER(C3579),ISNUMBER(J3579)),C3579/J3579-1,""),"")</f>
        <v/>
      </c>
      <c r="L3579" s="28">
        <f>IFERROR(IF(AND(ISNUMBER(D3579),ISNUMBER(E3579)),D3579-E3579,""),"")</f>
        <v/>
      </c>
    </row>
    <row r="3580">
      <c r="A3580" s="7">
        <f>IFERROR(Datos!A3580,"")</f>
        <v/>
      </c>
      <c r="B3580" s="8">
        <f>IFERROR(Datos!B3580,"")</f>
        <v/>
      </c>
      <c r="C3580" s="8">
        <f>IFERROR(Datos!C3580,"")</f>
        <v/>
      </c>
      <c r="D3580" s="28">
        <f>IFERROR(IF(AND(ISNUMBER(B3580),ISNUMBER(B3579),B3579&lt;&gt;0),B3580/B3579-1,""),"")</f>
        <v/>
      </c>
      <c r="E3580" s="28">
        <f>IFERROR(IF(AND(ISNUMBER(C3580),ISNUMBER(C3579),C3579&lt;&gt;0),C3580/C3579-1,""),"")</f>
        <v/>
      </c>
      <c r="F3580" s="28">
        <f>IFERROR(D3580-Dashboard!$B$4/252,"")</f>
        <v/>
      </c>
      <c r="G3580" s="28">
        <f>IFERROR(E3580-Dashboard!$B$4/252,"")</f>
        <v/>
      </c>
      <c r="H3580" s="8">
        <f>IFERROR(IF(ISNUMBER(B3580),MAX(B3580,IFERROR(H3579,B3580)),""),"")</f>
        <v/>
      </c>
      <c r="I3580" s="29">
        <f>IFERROR(IF(AND(ISNUMBER(B3580),ISNUMBER(H3580)),B3580/H3580-1,""),"")</f>
        <v/>
      </c>
      <c r="J3580" s="8">
        <f>IFERROR(IF(ISNUMBER(C3580),MAX(C3580,IFERROR(J3579,C3580)),""),"")</f>
        <v/>
      </c>
      <c r="K3580" s="29">
        <f>IFERROR(IF(AND(ISNUMBER(C3580),ISNUMBER(J3580)),C3580/J3580-1,""),"")</f>
        <v/>
      </c>
      <c r="L3580" s="28">
        <f>IFERROR(IF(AND(ISNUMBER(D3580),ISNUMBER(E3580)),D3580-E3580,""),"")</f>
        <v/>
      </c>
    </row>
    <row r="3581">
      <c r="A3581" s="7">
        <f>IFERROR(Datos!A3581,"")</f>
        <v/>
      </c>
      <c r="B3581" s="8">
        <f>IFERROR(Datos!B3581,"")</f>
        <v/>
      </c>
      <c r="C3581" s="8">
        <f>IFERROR(Datos!C3581,"")</f>
        <v/>
      </c>
      <c r="D3581" s="28">
        <f>IFERROR(IF(AND(ISNUMBER(B3581),ISNUMBER(B3580),B3580&lt;&gt;0),B3581/B3580-1,""),"")</f>
        <v/>
      </c>
      <c r="E3581" s="28">
        <f>IFERROR(IF(AND(ISNUMBER(C3581),ISNUMBER(C3580),C3580&lt;&gt;0),C3581/C3580-1,""),"")</f>
        <v/>
      </c>
      <c r="F3581" s="28">
        <f>IFERROR(D3581-Dashboard!$B$4/252,"")</f>
        <v/>
      </c>
      <c r="G3581" s="28">
        <f>IFERROR(E3581-Dashboard!$B$4/252,"")</f>
        <v/>
      </c>
      <c r="H3581" s="8">
        <f>IFERROR(IF(ISNUMBER(B3581),MAX(B3581,IFERROR(H3580,B3581)),""),"")</f>
        <v/>
      </c>
      <c r="I3581" s="29">
        <f>IFERROR(IF(AND(ISNUMBER(B3581),ISNUMBER(H3581)),B3581/H3581-1,""),"")</f>
        <v/>
      </c>
      <c r="J3581" s="8">
        <f>IFERROR(IF(ISNUMBER(C3581),MAX(C3581,IFERROR(J3580,C3581)),""),"")</f>
        <v/>
      </c>
      <c r="K3581" s="29">
        <f>IFERROR(IF(AND(ISNUMBER(C3581),ISNUMBER(J3581)),C3581/J3581-1,""),"")</f>
        <v/>
      </c>
      <c r="L3581" s="28">
        <f>IFERROR(IF(AND(ISNUMBER(D3581),ISNUMBER(E3581)),D3581-E3581,""),"")</f>
        <v/>
      </c>
    </row>
    <row r="3582">
      <c r="A3582" s="7">
        <f>IFERROR(Datos!A3582,"")</f>
        <v/>
      </c>
      <c r="B3582" s="8">
        <f>IFERROR(Datos!B3582,"")</f>
        <v/>
      </c>
      <c r="C3582" s="8">
        <f>IFERROR(Datos!C3582,"")</f>
        <v/>
      </c>
      <c r="D3582" s="28">
        <f>IFERROR(IF(AND(ISNUMBER(B3582),ISNUMBER(B3581),B3581&lt;&gt;0),B3582/B3581-1,""),"")</f>
        <v/>
      </c>
      <c r="E3582" s="28">
        <f>IFERROR(IF(AND(ISNUMBER(C3582),ISNUMBER(C3581),C3581&lt;&gt;0),C3582/C3581-1,""),"")</f>
        <v/>
      </c>
      <c r="F3582" s="28">
        <f>IFERROR(D3582-Dashboard!$B$4/252,"")</f>
        <v/>
      </c>
      <c r="G3582" s="28">
        <f>IFERROR(E3582-Dashboard!$B$4/252,"")</f>
        <v/>
      </c>
      <c r="H3582" s="8">
        <f>IFERROR(IF(ISNUMBER(B3582),MAX(B3582,IFERROR(H3581,B3582)),""),"")</f>
        <v/>
      </c>
      <c r="I3582" s="29">
        <f>IFERROR(IF(AND(ISNUMBER(B3582),ISNUMBER(H3582)),B3582/H3582-1,""),"")</f>
        <v/>
      </c>
      <c r="J3582" s="8">
        <f>IFERROR(IF(ISNUMBER(C3582),MAX(C3582,IFERROR(J3581,C3582)),""),"")</f>
        <v/>
      </c>
      <c r="K3582" s="29">
        <f>IFERROR(IF(AND(ISNUMBER(C3582),ISNUMBER(J3582)),C3582/J3582-1,""),"")</f>
        <v/>
      </c>
      <c r="L3582" s="28">
        <f>IFERROR(IF(AND(ISNUMBER(D3582),ISNUMBER(E3582)),D3582-E3582,""),"")</f>
        <v/>
      </c>
    </row>
    <row r="3583">
      <c r="A3583" s="7">
        <f>IFERROR(Datos!A3583,"")</f>
        <v/>
      </c>
      <c r="B3583" s="8">
        <f>IFERROR(Datos!B3583,"")</f>
        <v/>
      </c>
      <c r="C3583" s="8">
        <f>IFERROR(Datos!C3583,"")</f>
        <v/>
      </c>
      <c r="D3583" s="28">
        <f>IFERROR(IF(AND(ISNUMBER(B3583),ISNUMBER(B3582),B3582&lt;&gt;0),B3583/B3582-1,""),"")</f>
        <v/>
      </c>
      <c r="E3583" s="28">
        <f>IFERROR(IF(AND(ISNUMBER(C3583),ISNUMBER(C3582),C3582&lt;&gt;0),C3583/C3582-1,""),"")</f>
        <v/>
      </c>
      <c r="F3583" s="28">
        <f>IFERROR(D3583-Dashboard!$B$4/252,"")</f>
        <v/>
      </c>
      <c r="G3583" s="28">
        <f>IFERROR(E3583-Dashboard!$B$4/252,"")</f>
        <v/>
      </c>
      <c r="H3583" s="8">
        <f>IFERROR(IF(ISNUMBER(B3583),MAX(B3583,IFERROR(H3582,B3583)),""),"")</f>
        <v/>
      </c>
      <c r="I3583" s="29">
        <f>IFERROR(IF(AND(ISNUMBER(B3583),ISNUMBER(H3583)),B3583/H3583-1,""),"")</f>
        <v/>
      </c>
      <c r="J3583" s="8">
        <f>IFERROR(IF(ISNUMBER(C3583),MAX(C3583,IFERROR(J3582,C3583)),""),"")</f>
        <v/>
      </c>
      <c r="K3583" s="29">
        <f>IFERROR(IF(AND(ISNUMBER(C3583),ISNUMBER(J3583)),C3583/J3583-1,""),"")</f>
        <v/>
      </c>
      <c r="L3583" s="28">
        <f>IFERROR(IF(AND(ISNUMBER(D3583),ISNUMBER(E3583)),D3583-E3583,""),"")</f>
        <v/>
      </c>
    </row>
    <row r="3584">
      <c r="A3584" s="7">
        <f>IFERROR(Datos!A3584,"")</f>
        <v/>
      </c>
      <c r="B3584" s="8">
        <f>IFERROR(Datos!B3584,"")</f>
        <v/>
      </c>
      <c r="C3584" s="8">
        <f>IFERROR(Datos!C3584,"")</f>
        <v/>
      </c>
      <c r="D3584" s="28">
        <f>IFERROR(IF(AND(ISNUMBER(B3584),ISNUMBER(B3583),B3583&lt;&gt;0),B3584/B3583-1,""),"")</f>
        <v/>
      </c>
      <c r="E3584" s="28">
        <f>IFERROR(IF(AND(ISNUMBER(C3584),ISNUMBER(C3583),C3583&lt;&gt;0),C3584/C3583-1,""),"")</f>
        <v/>
      </c>
      <c r="F3584" s="28">
        <f>IFERROR(D3584-Dashboard!$B$4/252,"")</f>
        <v/>
      </c>
      <c r="G3584" s="28">
        <f>IFERROR(E3584-Dashboard!$B$4/252,"")</f>
        <v/>
      </c>
      <c r="H3584" s="8">
        <f>IFERROR(IF(ISNUMBER(B3584),MAX(B3584,IFERROR(H3583,B3584)),""),"")</f>
        <v/>
      </c>
      <c r="I3584" s="29">
        <f>IFERROR(IF(AND(ISNUMBER(B3584),ISNUMBER(H3584)),B3584/H3584-1,""),"")</f>
        <v/>
      </c>
      <c r="J3584" s="8">
        <f>IFERROR(IF(ISNUMBER(C3584),MAX(C3584,IFERROR(J3583,C3584)),""),"")</f>
        <v/>
      </c>
      <c r="K3584" s="29">
        <f>IFERROR(IF(AND(ISNUMBER(C3584),ISNUMBER(J3584)),C3584/J3584-1,""),"")</f>
        <v/>
      </c>
      <c r="L3584" s="28">
        <f>IFERROR(IF(AND(ISNUMBER(D3584),ISNUMBER(E3584)),D3584-E3584,""),"")</f>
        <v/>
      </c>
    </row>
    <row r="3585">
      <c r="A3585" s="7">
        <f>IFERROR(Datos!A3585,"")</f>
        <v/>
      </c>
      <c r="B3585" s="8">
        <f>IFERROR(Datos!B3585,"")</f>
        <v/>
      </c>
      <c r="C3585" s="8">
        <f>IFERROR(Datos!C3585,"")</f>
        <v/>
      </c>
      <c r="D3585" s="28">
        <f>IFERROR(IF(AND(ISNUMBER(B3585),ISNUMBER(B3584),B3584&lt;&gt;0),B3585/B3584-1,""),"")</f>
        <v/>
      </c>
      <c r="E3585" s="28">
        <f>IFERROR(IF(AND(ISNUMBER(C3585),ISNUMBER(C3584),C3584&lt;&gt;0),C3585/C3584-1,""),"")</f>
        <v/>
      </c>
      <c r="F3585" s="28">
        <f>IFERROR(D3585-Dashboard!$B$4/252,"")</f>
        <v/>
      </c>
      <c r="G3585" s="28">
        <f>IFERROR(E3585-Dashboard!$B$4/252,"")</f>
        <v/>
      </c>
      <c r="H3585" s="8">
        <f>IFERROR(IF(ISNUMBER(B3585),MAX(B3585,IFERROR(H3584,B3585)),""),"")</f>
        <v/>
      </c>
      <c r="I3585" s="29">
        <f>IFERROR(IF(AND(ISNUMBER(B3585),ISNUMBER(H3585)),B3585/H3585-1,""),"")</f>
        <v/>
      </c>
      <c r="J3585" s="8">
        <f>IFERROR(IF(ISNUMBER(C3585),MAX(C3585,IFERROR(J3584,C3585)),""),"")</f>
        <v/>
      </c>
      <c r="K3585" s="29">
        <f>IFERROR(IF(AND(ISNUMBER(C3585),ISNUMBER(J3585)),C3585/J3585-1,""),"")</f>
        <v/>
      </c>
      <c r="L3585" s="28">
        <f>IFERROR(IF(AND(ISNUMBER(D3585),ISNUMBER(E3585)),D3585-E3585,""),"")</f>
        <v/>
      </c>
    </row>
    <row r="3586">
      <c r="A3586" s="7">
        <f>IFERROR(Datos!A3586,"")</f>
        <v/>
      </c>
      <c r="B3586" s="8">
        <f>IFERROR(Datos!B3586,"")</f>
        <v/>
      </c>
      <c r="C3586" s="8">
        <f>IFERROR(Datos!C3586,"")</f>
        <v/>
      </c>
      <c r="D3586" s="28">
        <f>IFERROR(IF(AND(ISNUMBER(B3586),ISNUMBER(B3585),B3585&lt;&gt;0),B3586/B3585-1,""),"")</f>
        <v/>
      </c>
      <c r="E3586" s="28">
        <f>IFERROR(IF(AND(ISNUMBER(C3586),ISNUMBER(C3585),C3585&lt;&gt;0),C3586/C3585-1,""),"")</f>
        <v/>
      </c>
      <c r="F3586" s="28">
        <f>IFERROR(D3586-Dashboard!$B$4/252,"")</f>
        <v/>
      </c>
      <c r="G3586" s="28">
        <f>IFERROR(E3586-Dashboard!$B$4/252,"")</f>
        <v/>
      </c>
      <c r="H3586" s="8">
        <f>IFERROR(IF(ISNUMBER(B3586),MAX(B3586,IFERROR(H3585,B3586)),""),"")</f>
        <v/>
      </c>
      <c r="I3586" s="29">
        <f>IFERROR(IF(AND(ISNUMBER(B3586),ISNUMBER(H3586)),B3586/H3586-1,""),"")</f>
        <v/>
      </c>
      <c r="J3586" s="8">
        <f>IFERROR(IF(ISNUMBER(C3586),MAX(C3586,IFERROR(J3585,C3586)),""),"")</f>
        <v/>
      </c>
      <c r="K3586" s="29">
        <f>IFERROR(IF(AND(ISNUMBER(C3586),ISNUMBER(J3586)),C3586/J3586-1,""),"")</f>
        <v/>
      </c>
      <c r="L3586" s="28">
        <f>IFERROR(IF(AND(ISNUMBER(D3586),ISNUMBER(E3586)),D3586-E3586,""),"")</f>
        <v/>
      </c>
    </row>
    <row r="3587">
      <c r="A3587" s="7">
        <f>IFERROR(Datos!A3587,"")</f>
        <v/>
      </c>
      <c r="B3587" s="8">
        <f>IFERROR(Datos!B3587,"")</f>
        <v/>
      </c>
      <c r="C3587" s="8">
        <f>IFERROR(Datos!C3587,"")</f>
        <v/>
      </c>
      <c r="D3587" s="28">
        <f>IFERROR(IF(AND(ISNUMBER(B3587),ISNUMBER(B3586),B3586&lt;&gt;0),B3587/B3586-1,""),"")</f>
        <v/>
      </c>
      <c r="E3587" s="28">
        <f>IFERROR(IF(AND(ISNUMBER(C3587),ISNUMBER(C3586),C3586&lt;&gt;0),C3587/C3586-1,""),"")</f>
        <v/>
      </c>
      <c r="F3587" s="28">
        <f>IFERROR(D3587-Dashboard!$B$4/252,"")</f>
        <v/>
      </c>
      <c r="G3587" s="28">
        <f>IFERROR(E3587-Dashboard!$B$4/252,"")</f>
        <v/>
      </c>
      <c r="H3587" s="8">
        <f>IFERROR(IF(ISNUMBER(B3587),MAX(B3587,IFERROR(H3586,B3587)),""),"")</f>
        <v/>
      </c>
      <c r="I3587" s="29">
        <f>IFERROR(IF(AND(ISNUMBER(B3587),ISNUMBER(H3587)),B3587/H3587-1,""),"")</f>
        <v/>
      </c>
      <c r="J3587" s="8">
        <f>IFERROR(IF(ISNUMBER(C3587),MAX(C3587,IFERROR(J3586,C3587)),""),"")</f>
        <v/>
      </c>
      <c r="K3587" s="29">
        <f>IFERROR(IF(AND(ISNUMBER(C3587),ISNUMBER(J3587)),C3587/J3587-1,""),"")</f>
        <v/>
      </c>
      <c r="L3587" s="28">
        <f>IFERROR(IF(AND(ISNUMBER(D3587),ISNUMBER(E3587)),D3587-E3587,""),"")</f>
        <v/>
      </c>
    </row>
    <row r="3588">
      <c r="A3588" s="7">
        <f>IFERROR(Datos!A3588,"")</f>
        <v/>
      </c>
      <c r="B3588" s="8">
        <f>IFERROR(Datos!B3588,"")</f>
        <v/>
      </c>
      <c r="C3588" s="8">
        <f>IFERROR(Datos!C3588,"")</f>
        <v/>
      </c>
      <c r="D3588" s="28">
        <f>IFERROR(IF(AND(ISNUMBER(B3588),ISNUMBER(B3587),B3587&lt;&gt;0),B3588/B3587-1,""),"")</f>
        <v/>
      </c>
      <c r="E3588" s="28">
        <f>IFERROR(IF(AND(ISNUMBER(C3588),ISNUMBER(C3587),C3587&lt;&gt;0),C3588/C3587-1,""),"")</f>
        <v/>
      </c>
      <c r="F3588" s="28">
        <f>IFERROR(D3588-Dashboard!$B$4/252,"")</f>
        <v/>
      </c>
      <c r="G3588" s="28">
        <f>IFERROR(E3588-Dashboard!$B$4/252,"")</f>
        <v/>
      </c>
      <c r="H3588" s="8">
        <f>IFERROR(IF(ISNUMBER(B3588),MAX(B3588,IFERROR(H3587,B3588)),""),"")</f>
        <v/>
      </c>
      <c r="I3588" s="29">
        <f>IFERROR(IF(AND(ISNUMBER(B3588),ISNUMBER(H3588)),B3588/H3588-1,""),"")</f>
        <v/>
      </c>
      <c r="J3588" s="8">
        <f>IFERROR(IF(ISNUMBER(C3588),MAX(C3588,IFERROR(J3587,C3588)),""),"")</f>
        <v/>
      </c>
      <c r="K3588" s="29">
        <f>IFERROR(IF(AND(ISNUMBER(C3588),ISNUMBER(J3588)),C3588/J3588-1,""),"")</f>
        <v/>
      </c>
      <c r="L3588" s="28">
        <f>IFERROR(IF(AND(ISNUMBER(D3588),ISNUMBER(E3588)),D3588-E3588,""),"")</f>
        <v/>
      </c>
    </row>
    <row r="3589">
      <c r="A3589" s="7">
        <f>IFERROR(Datos!A3589,"")</f>
        <v/>
      </c>
      <c r="B3589" s="8">
        <f>IFERROR(Datos!B3589,"")</f>
        <v/>
      </c>
      <c r="C3589" s="8">
        <f>IFERROR(Datos!C3589,"")</f>
        <v/>
      </c>
      <c r="D3589" s="28">
        <f>IFERROR(IF(AND(ISNUMBER(B3589),ISNUMBER(B3588),B3588&lt;&gt;0),B3589/B3588-1,""),"")</f>
        <v/>
      </c>
      <c r="E3589" s="28">
        <f>IFERROR(IF(AND(ISNUMBER(C3589),ISNUMBER(C3588),C3588&lt;&gt;0),C3589/C3588-1,""),"")</f>
        <v/>
      </c>
      <c r="F3589" s="28">
        <f>IFERROR(D3589-Dashboard!$B$4/252,"")</f>
        <v/>
      </c>
      <c r="G3589" s="28">
        <f>IFERROR(E3589-Dashboard!$B$4/252,"")</f>
        <v/>
      </c>
      <c r="H3589" s="8">
        <f>IFERROR(IF(ISNUMBER(B3589),MAX(B3589,IFERROR(H3588,B3589)),""),"")</f>
        <v/>
      </c>
      <c r="I3589" s="29">
        <f>IFERROR(IF(AND(ISNUMBER(B3589),ISNUMBER(H3589)),B3589/H3589-1,""),"")</f>
        <v/>
      </c>
      <c r="J3589" s="8">
        <f>IFERROR(IF(ISNUMBER(C3589),MAX(C3589,IFERROR(J3588,C3589)),""),"")</f>
        <v/>
      </c>
      <c r="K3589" s="29">
        <f>IFERROR(IF(AND(ISNUMBER(C3589),ISNUMBER(J3589)),C3589/J3589-1,""),"")</f>
        <v/>
      </c>
      <c r="L3589" s="28">
        <f>IFERROR(IF(AND(ISNUMBER(D3589),ISNUMBER(E3589)),D3589-E3589,""),"")</f>
        <v/>
      </c>
    </row>
    <row r="3590">
      <c r="A3590" s="7">
        <f>IFERROR(Datos!A3590,"")</f>
        <v/>
      </c>
      <c r="B3590" s="8">
        <f>IFERROR(Datos!B3590,"")</f>
        <v/>
      </c>
      <c r="C3590" s="8">
        <f>IFERROR(Datos!C3590,"")</f>
        <v/>
      </c>
      <c r="D3590" s="28">
        <f>IFERROR(IF(AND(ISNUMBER(B3590),ISNUMBER(B3589),B3589&lt;&gt;0),B3590/B3589-1,""),"")</f>
        <v/>
      </c>
      <c r="E3590" s="28">
        <f>IFERROR(IF(AND(ISNUMBER(C3590),ISNUMBER(C3589),C3589&lt;&gt;0),C3590/C3589-1,""),"")</f>
        <v/>
      </c>
      <c r="F3590" s="28">
        <f>IFERROR(D3590-Dashboard!$B$4/252,"")</f>
        <v/>
      </c>
      <c r="G3590" s="28">
        <f>IFERROR(E3590-Dashboard!$B$4/252,"")</f>
        <v/>
      </c>
      <c r="H3590" s="8">
        <f>IFERROR(IF(ISNUMBER(B3590),MAX(B3590,IFERROR(H3589,B3590)),""),"")</f>
        <v/>
      </c>
      <c r="I3590" s="29">
        <f>IFERROR(IF(AND(ISNUMBER(B3590),ISNUMBER(H3590)),B3590/H3590-1,""),"")</f>
        <v/>
      </c>
      <c r="J3590" s="8">
        <f>IFERROR(IF(ISNUMBER(C3590),MAX(C3590,IFERROR(J3589,C3590)),""),"")</f>
        <v/>
      </c>
      <c r="K3590" s="29">
        <f>IFERROR(IF(AND(ISNUMBER(C3590),ISNUMBER(J3590)),C3590/J3590-1,""),"")</f>
        <v/>
      </c>
      <c r="L3590" s="28">
        <f>IFERROR(IF(AND(ISNUMBER(D3590),ISNUMBER(E3590)),D3590-E3590,""),"")</f>
        <v/>
      </c>
    </row>
    <row r="3591">
      <c r="A3591" s="7">
        <f>IFERROR(Datos!A3591,"")</f>
        <v/>
      </c>
      <c r="B3591" s="8">
        <f>IFERROR(Datos!B3591,"")</f>
        <v/>
      </c>
      <c r="C3591" s="8">
        <f>IFERROR(Datos!C3591,"")</f>
        <v/>
      </c>
      <c r="D3591" s="28">
        <f>IFERROR(IF(AND(ISNUMBER(B3591),ISNUMBER(B3590),B3590&lt;&gt;0),B3591/B3590-1,""),"")</f>
        <v/>
      </c>
      <c r="E3591" s="28">
        <f>IFERROR(IF(AND(ISNUMBER(C3591),ISNUMBER(C3590),C3590&lt;&gt;0),C3591/C3590-1,""),"")</f>
        <v/>
      </c>
      <c r="F3591" s="28">
        <f>IFERROR(D3591-Dashboard!$B$4/252,"")</f>
        <v/>
      </c>
      <c r="G3591" s="28">
        <f>IFERROR(E3591-Dashboard!$B$4/252,"")</f>
        <v/>
      </c>
      <c r="H3591" s="8">
        <f>IFERROR(IF(ISNUMBER(B3591),MAX(B3591,IFERROR(H3590,B3591)),""),"")</f>
        <v/>
      </c>
      <c r="I3591" s="29">
        <f>IFERROR(IF(AND(ISNUMBER(B3591),ISNUMBER(H3591)),B3591/H3591-1,""),"")</f>
        <v/>
      </c>
      <c r="J3591" s="8">
        <f>IFERROR(IF(ISNUMBER(C3591),MAX(C3591,IFERROR(J3590,C3591)),""),"")</f>
        <v/>
      </c>
      <c r="K3591" s="29">
        <f>IFERROR(IF(AND(ISNUMBER(C3591),ISNUMBER(J3591)),C3591/J3591-1,""),"")</f>
        <v/>
      </c>
      <c r="L3591" s="28">
        <f>IFERROR(IF(AND(ISNUMBER(D3591),ISNUMBER(E3591)),D3591-E3591,""),"")</f>
        <v/>
      </c>
    </row>
    <row r="3592">
      <c r="A3592" s="7">
        <f>IFERROR(Datos!A3592,"")</f>
        <v/>
      </c>
      <c r="B3592" s="8">
        <f>IFERROR(Datos!B3592,"")</f>
        <v/>
      </c>
      <c r="C3592" s="8">
        <f>IFERROR(Datos!C3592,"")</f>
        <v/>
      </c>
      <c r="D3592" s="28">
        <f>IFERROR(IF(AND(ISNUMBER(B3592),ISNUMBER(B3591),B3591&lt;&gt;0),B3592/B3591-1,""),"")</f>
        <v/>
      </c>
      <c r="E3592" s="28">
        <f>IFERROR(IF(AND(ISNUMBER(C3592),ISNUMBER(C3591),C3591&lt;&gt;0),C3592/C3591-1,""),"")</f>
        <v/>
      </c>
      <c r="F3592" s="28">
        <f>IFERROR(D3592-Dashboard!$B$4/252,"")</f>
        <v/>
      </c>
      <c r="G3592" s="28">
        <f>IFERROR(E3592-Dashboard!$B$4/252,"")</f>
        <v/>
      </c>
      <c r="H3592" s="8">
        <f>IFERROR(IF(ISNUMBER(B3592),MAX(B3592,IFERROR(H3591,B3592)),""),"")</f>
        <v/>
      </c>
      <c r="I3592" s="29">
        <f>IFERROR(IF(AND(ISNUMBER(B3592),ISNUMBER(H3592)),B3592/H3592-1,""),"")</f>
        <v/>
      </c>
      <c r="J3592" s="8">
        <f>IFERROR(IF(ISNUMBER(C3592),MAX(C3592,IFERROR(J3591,C3592)),""),"")</f>
        <v/>
      </c>
      <c r="K3592" s="29">
        <f>IFERROR(IF(AND(ISNUMBER(C3592),ISNUMBER(J3592)),C3592/J3592-1,""),"")</f>
        <v/>
      </c>
      <c r="L3592" s="28">
        <f>IFERROR(IF(AND(ISNUMBER(D3592),ISNUMBER(E3592)),D3592-E3592,""),"")</f>
        <v/>
      </c>
    </row>
    <row r="3593">
      <c r="A3593" s="7">
        <f>IFERROR(Datos!A3593,"")</f>
        <v/>
      </c>
      <c r="B3593" s="8">
        <f>IFERROR(Datos!B3593,"")</f>
        <v/>
      </c>
      <c r="C3593" s="8">
        <f>IFERROR(Datos!C3593,"")</f>
        <v/>
      </c>
      <c r="D3593" s="28">
        <f>IFERROR(IF(AND(ISNUMBER(B3593),ISNUMBER(B3592),B3592&lt;&gt;0),B3593/B3592-1,""),"")</f>
        <v/>
      </c>
      <c r="E3593" s="28">
        <f>IFERROR(IF(AND(ISNUMBER(C3593),ISNUMBER(C3592),C3592&lt;&gt;0),C3593/C3592-1,""),"")</f>
        <v/>
      </c>
      <c r="F3593" s="28">
        <f>IFERROR(D3593-Dashboard!$B$4/252,"")</f>
        <v/>
      </c>
      <c r="G3593" s="28">
        <f>IFERROR(E3593-Dashboard!$B$4/252,"")</f>
        <v/>
      </c>
      <c r="H3593" s="8">
        <f>IFERROR(IF(ISNUMBER(B3593),MAX(B3593,IFERROR(H3592,B3593)),""),"")</f>
        <v/>
      </c>
      <c r="I3593" s="29">
        <f>IFERROR(IF(AND(ISNUMBER(B3593),ISNUMBER(H3593)),B3593/H3593-1,""),"")</f>
        <v/>
      </c>
      <c r="J3593" s="8">
        <f>IFERROR(IF(ISNUMBER(C3593),MAX(C3593,IFERROR(J3592,C3593)),""),"")</f>
        <v/>
      </c>
      <c r="K3593" s="29">
        <f>IFERROR(IF(AND(ISNUMBER(C3593),ISNUMBER(J3593)),C3593/J3593-1,""),"")</f>
        <v/>
      </c>
      <c r="L3593" s="28">
        <f>IFERROR(IF(AND(ISNUMBER(D3593),ISNUMBER(E3593)),D3593-E3593,""),"")</f>
        <v/>
      </c>
    </row>
    <row r="3594">
      <c r="A3594" s="7">
        <f>IFERROR(Datos!A3594,"")</f>
        <v/>
      </c>
      <c r="B3594" s="8">
        <f>IFERROR(Datos!B3594,"")</f>
        <v/>
      </c>
      <c r="C3594" s="8">
        <f>IFERROR(Datos!C3594,"")</f>
        <v/>
      </c>
      <c r="D3594" s="28">
        <f>IFERROR(IF(AND(ISNUMBER(B3594),ISNUMBER(B3593),B3593&lt;&gt;0),B3594/B3593-1,""),"")</f>
        <v/>
      </c>
      <c r="E3594" s="28">
        <f>IFERROR(IF(AND(ISNUMBER(C3594),ISNUMBER(C3593),C3593&lt;&gt;0),C3594/C3593-1,""),"")</f>
        <v/>
      </c>
      <c r="F3594" s="28">
        <f>IFERROR(D3594-Dashboard!$B$4/252,"")</f>
        <v/>
      </c>
      <c r="G3594" s="28">
        <f>IFERROR(E3594-Dashboard!$B$4/252,"")</f>
        <v/>
      </c>
      <c r="H3594" s="8">
        <f>IFERROR(IF(ISNUMBER(B3594),MAX(B3594,IFERROR(H3593,B3594)),""),"")</f>
        <v/>
      </c>
      <c r="I3594" s="29">
        <f>IFERROR(IF(AND(ISNUMBER(B3594),ISNUMBER(H3594)),B3594/H3594-1,""),"")</f>
        <v/>
      </c>
      <c r="J3594" s="8">
        <f>IFERROR(IF(ISNUMBER(C3594),MAX(C3594,IFERROR(J3593,C3594)),""),"")</f>
        <v/>
      </c>
      <c r="K3594" s="29">
        <f>IFERROR(IF(AND(ISNUMBER(C3594),ISNUMBER(J3594)),C3594/J3594-1,""),"")</f>
        <v/>
      </c>
      <c r="L3594" s="28">
        <f>IFERROR(IF(AND(ISNUMBER(D3594),ISNUMBER(E3594)),D3594-E3594,""),"")</f>
        <v/>
      </c>
    </row>
    <row r="3595">
      <c r="A3595" s="7">
        <f>IFERROR(Datos!A3595,"")</f>
        <v/>
      </c>
      <c r="B3595" s="8">
        <f>IFERROR(Datos!B3595,"")</f>
        <v/>
      </c>
      <c r="C3595" s="8">
        <f>IFERROR(Datos!C3595,"")</f>
        <v/>
      </c>
      <c r="D3595" s="28">
        <f>IFERROR(IF(AND(ISNUMBER(B3595),ISNUMBER(B3594),B3594&lt;&gt;0),B3595/B3594-1,""),"")</f>
        <v/>
      </c>
      <c r="E3595" s="28">
        <f>IFERROR(IF(AND(ISNUMBER(C3595),ISNUMBER(C3594),C3594&lt;&gt;0),C3595/C3594-1,""),"")</f>
        <v/>
      </c>
      <c r="F3595" s="28">
        <f>IFERROR(D3595-Dashboard!$B$4/252,"")</f>
        <v/>
      </c>
      <c r="G3595" s="28">
        <f>IFERROR(E3595-Dashboard!$B$4/252,"")</f>
        <v/>
      </c>
      <c r="H3595" s="8">
        <f>IFERROR(IF(ISNUMBER(B3595),MAX(B3595,IFERROR(H3594,B3595)),""),"")</f>
        <v/>
      </c>
      <c r="I3595" s="29">
        <f>IFERROR(IF(AND(ISNUMBER(B3595),ISNUMBER(H3595)),B3595/H3595-1,""),"")</f>
        <v/>
      </c>
      <c r="J3595" s="8">
        <f>IFERROR(IF(ISNUMBER(C3595),MAX(C3595,IFERROR(J3594,C3595)),""),"")</f>
        <v/>
      </c>
      <c r="K3595" s="29">
        <f>IFERROR(IF(AND(ISNUMBER(C3595),ISNUMBER(J3595)),C3595/J3595-1,""),"")</f>
        <v/>
      </c>
      <c r="L3595" s="28">
        <f>IFERROR(IF(AND(ISNUMBER(D3595),ISNUMBER(E3595)),D3595-E3595,""),"")</f>
        <v/>
      </c>
    </row>
    <row r="3596">
      <c r="A3596" s="7">
        <f>IFERROR(Datos!A3596,"")</f>
        <v/>
      </c>
      <c r="B3596" s="8">
        <f>IFERROR(Datos!B3596,"")</f>
        <v/>
      </c>
      <c r="C3596" s="8">
        <f>IFERROR(Datos!C3596,"")</f>
        <v/>
      </c>
      <c r="D3596" s="28">
        <f>IFERROR(IF(AND(ISNUMBER(B3596),ISNUMBER(B3595),B3595&lt;&gt;0),B3596/B3595-1,""),"")</f>
        <v/>
      </c>
      <c r="E3596" s="28">
        <f>IFERROR(IF(AND(ISNUMBER(C3596),ISNUMBER(C3595),C3595&lt;&gt;0),C3596/C3595-1,""),"")</f>
        <v/>
      </c>
      <c r="F3596" s="28">
        <f>IFERROR(D3596-Dashboard!$B$4/252,"")</f>
        <v/>
      </c>
      <c r="G3596" s="28">
        <f>IFERROR(E3596-Dashboard!$B$4/252,"")</f>
        <v/>
      </c>
      <c r="H3596" s="8">
        <f>IFERROR(IF(ISNUMBER(B3596),MAX(B3596,IFERROR(H3595,B3596)),""),"")</f>
        <v/>
      </c>
      <c r="I3596" s="29">
        <f>IFERROR(IF(AND(ISNUMBER(B3596),ISNUMBER(H3596)),B3596/H3596-1,""),"")</f>
        <v/>
      </c>
      <c r="J3596" s="8">
        <f>IFERROR(IF(ISNUMBER(C3596),MAX(C3596,IFERROR(J3595,C3596)),""),"")</f>
        <v/>
      </c>
      <c r="K3596" s="29">
        <f>IFERROR(IF(AND(ISNUMBER(C3596),ISNUMBER(J3596)),C3596/J3596-1,""),"")</f>
        <v/>
      </c>
      <c r="L3596" s="28">
        <f>IFERROR(IF(AND(ISNUMBER(D3596),ISNUMBER(E3596)),D3596-E3596,""),"")</f>
        <v/>
      </c>
    </row>
    <row r="3597">
      <c r="A3597" s="7">
        <f>IFERROR(Datos!A3597,"")</f>
        <v/>
      </c>
      <c r="B3597" s="8">
        <f>IFERROR(Datos!B3597,"")</f>
        <v/>
      </c>
      <c r="C3597" s="8">
        <f>IFERROR(Datos!C3597,"")</f>
        <v/>
      </c>
      <c r="D3597" s="28">
        <f>IFERROR(IF(AND(ISNUMBER(B3597),ISNUMBER(B3596),B3596&lt;&gt;0),B3597/B3596-1,""),"")</f>
        <v/>
      </c>
      <c r="E3597" s="28">
        <f>IFERROR(IF(AND(ISNUMBER(C3597),ISNUMBER(C3596),C3596&lt;&gt;0),C3597/C3596-1,""),"")</f>
        <v/>
      </c>
      <c r="F3597" s="28">
        <f>IFERROR(D3597-Dashboard!$B$4/252,"")</f>
        <v/>
      </c>
      <c r="G3597" s="28">
        <f>IFERROR(E3597-Dashboard!$B$4/252,"")</f>
        <v/>
      </c>
      <c r="H3597" s="8">
        <f>IFERROR(IF(ISNUMBER(B3597),MAX(B3597,IFERROR(H3596,B3597)),""),"")</f>
        <v/>
      </c>
      <c r="I3597" s="29">
        <f>IFERROR(IF(AND(ISNUMBER(B3597),ISNUMBER(H3597)),B3597/H3597-1,""),"")</f>
        <v/>
      </c>
      <c r="J3597" s="8">
        <f>IFERROR(IF(ISNUMBER(C3597),MAX(C3597,IFERROR(J3596,C3597)),""),"")</f>
        <v/>
      </c>
      <c r="K3597" s="29">
        <f>IFERROR(IF(AND(ISNUMBER(C3597),ISNUMBER(J3597)),C3597/J3597-1,""),"")</f>
        <v/>
      </c>
      <c r="L3597" s="28">
        <f>IFERROR(IF(AND(ISNUMBER(D3597),ISNUMBER(E3597)),D3597-E3597,""),"")</f>
        <v/>
      </c>
    </row>
    <row r="3598">
      <c r="A3598" s="7">
        <f>IFERROR(Datos!A3598,"")</f>
        <v/>
      </c>
      <c r="B3598" s="8">
        <f>IFERROR(Datos!B3598,"")</f>
        <v/>
      </c>
      <c r="C3598" s="8">
        <f>IFERROR(Datos!C3598,"")</f>
        <v/>
      </c>
      <c r="D3598" s="28">
        <f>IFERROR(IF(AND(ISNUMBER(B3598),ISNUMBER(B3597),B3597&lt;&gt;0),B3598/B3597-1,""),"")</f>
        <v/>
      </c>
      <c r="E3598" s="28">
        <f>IFERROR(IF(AND(ISNUMBER(C3598),ISNUMBER(C3597),C3597&lt;&gt;0),C3598/C3597-1,""),"")</f>
        <v/>
      </c>
      <c r="F3598" s="28">
        <f>IFERROR(D3598-Dashboard!$B$4/252,"")</f>
        <v/>
      </c>
      <c r="G3598" s="28">
        <f>IFERROR(E3598-Dashboard!$B$4/252,"")</f>
        <v/>
      </c>
      <c r="H3598" s="8">
        <f>IFERROR(IF(ISNUMBER(B3598),MAX(B3598,IFERROR(H3597,B3598)),""),"")</f>
        <v/>
      </c>
      <c r="I3598" s="29">
        <f>IFERROR(IF(AND(ISNUMBER(B3598),ISNUMBER(H3598)),B3598/H3598-1,""),"")</f>
        <v/>
      </c>
      <c r="J3598" s="8">
        <f>IFERROR(IF(ISNUMBER(C3598),MAX(C3598,IFERROR(J3597,C3598)),""),"")</f>
        <v/>
      </c>
      <c r="K3598" s="29">
        <f>IFERROR(IF(AND(ISNUMBER(C3598),ISNUMBER(J3598)),C3598/J3598-1,""),"")</f>
        <v/>
      </c>
      <c r="L3598" s="28">
        <f>IFERROR(IF(AND(ISNUMBER(D3598),ISNUMBER(E3598)),D3598-E3598,""),"")</f>
        <v/>
      </c>
    </row>
    <row r="3599">
      <c r="A3599" s="7">
        <f>IFERROR(Datos!A3599,"")</f>
        <v/>
      </c>
      <c r="B3599" s="8">
        <f>IFERROR(Datos!B3599,"")</f>
        <v/>
      </c>
      <c r="C3599" s="8">
        <f>IFERROR(Datos!C3599,"")</f>
        <v/>
      </c>
      <c r="D3599" s="28">
        <f>IFERROR(IF(AND(ISNUMBER(B3599),ISNUMBER(B3598),B3598&lt;&gt;0),B3599/B3598-1,""),"")</f>
        <v/>
      </c>
      <c r="E3599" s="28">
        <f>IFERROR(IF(AND(ISNUMBER(C3599),ISNUMBER(C3598),C3598&lt;&gt;0),C3599/C3598-1,""),"")</f>
        <v/>
      </c>
      <c r="F3599" s="28">
        <f>IFERROR(D3599-Dashboard!$B$4/252,"")</f>
        <v/>
      </c>
      <c r="G3599" s="28">
        <f>IFERROR(E3599-Dashboard!$B$4/252,"")</f>
        <v/>
      </c>
      <c r="H3599" s="8">
        <f>IFERROR(IF(ISNUMBER(B3599),MAX(B3599,IFERROR(H3598,B3599)),""),"")</f>
        <v/>
      </c>
      <c r="I3599" s="29">
        <f>IFERROR(IF(AND(ISNUMBER(B3599),ISNUMBER(H3599)),B3599/H3599-1,""),"")</f>
        <v/>
      </c>
      <c r="J3599" s="8">
        <f>IFERROR(IF(ISNUMBER(C3599),MAX(C3599,IFERROR(J3598,C3599)),""),"")</f>
        <v/>
      </c>
      <c r="K3599" s="29">
        <f>IFERROR(IF(AND(ISNUMBER(C3599),ISNUMBER(J3599)),C3599/J3599-1,""),"")</f>
        <v/>
      </c>
      <c r="L3599" s="28">
        <f>IFERROR(IF(AND(ISNUMBER(D3599),ISNUMBER(E3599)),D3599-E3599,""),"")</f>
        <v/>
      </c>
    </row>
    <row r="3600">
      <c r="A3600" s="7">
        <f>IFERROR(Datos!A3600,"")</f>
        <v/>
      </c>
      <c r="B3600" s="8">
        <f>IFERROR(Datos!B3600,"")</f>
        <v/>
      </c>
      <c r="C3600" s="8">
        <f>IFERROR(Datos!C3600,"")</f>
        <v/>
      </c>
      <c r="D3600" s="28">
        <f>IFERROR(IF(AND(ISNUMBER(B3600),ISNUMBER(B3599),B3599&lt;&gt;0),B3600/B3599-1,""),"")</f>
        <v/>
      </c>
      <c r="E3600" s="28">
        <f>IFERROR(IF(AND(ISNUMBER(C3600),ISNUMBER(C3599),C3599&lt;&gt;0),C3600/C3599-1,""),"")</f>
        <v/>
      </c>
      <c r="F3600" s="28">
        <f>IFERROR(D3600-Dashboard!$B$4/252,"")</f>
        <v/>
      </c>
      <c r="G3600" s="28">
        <f>IFERROR(E3600-Dashboard!$B$4/252,"")</f>
        <v/>
      </c>
      <c r="H3600" s="8">
        <f>IFERROR(IF(ISNUMBER(B3600),MAX(B3600,IFERROR(H3599,B3600)),""),"")</f>
        <v/>
      </c>
      <c r="I3600" s="29">
        <f>IFERROR(IF(AND(ISNUMBER(B3600),ISNUMBER(H3600)),B3600/H3600-1,""),"")</f>
        <v/>
      </c>
      <c r="J3600" s="8">
        <f>IFERROR(IF(ISNUMBER(C3600),MAX(C3600,IFERROR(J3599,C3600)),""),"")</f>
        <v/>
      </c>
      <c r="K3600" s="29">
        <f>IFERROR(IF(AND(ISNUMBER(C3600),ISNUMBER(J3600)),C3600/J3600-1,""),"")</f>
        <v/>
      </c>
      <c r="L3600" s="28">
        <f>IFERROR(IF(AND(ISNUMBER(D3600),ISNUMBER(E3600)),D3600-E3600,""),"")</f>
        <v/>
      </c>
    </row>
    <row r="3601">
      <c r="A3601" s="7">
        <f>IFERROR(Datos!A3601,"")</f>
        <v/>
      </c>
      <c r="B3601" s="8">
        <f>IFERROR(Datos!B3601,"")</f>
        <v/>
      </c>
      <c r="C3601" s="8">
        <f>IFERROR(Datos!C3601,"")</f>
        <v/>
      </c>
      <c r="D3601" s="28">
        <f>IFERROR(IF(AND(ISNUMBER(B3601),ISNUMBER(B3600),B3600&lt;&gt;0),B3601/B3600-1,""),"")</f>
        <v/>
      </c>
      <c r="E3601" s="28">
        <f>IFERROR(IF(AND(ISNUMBER(C3601),ISNUMBER(C3600),C3600&lt;&gt;0),C3601/C3600-1,""),"")</f>
        <v/>
      </c>
      <c r="F3601" s="28">
        <f>IFERROR(D3601-Dashboard!$B$4/252,"")</f>
        <v/>
      </c>
      <c r="G3601" s="28">
        <f>IFERROR(E3601-Dashboard!$B$4/252,"")</f>
        <v/>
      </c>
      <c r="H3601" s="8">
        <f>IFERROR(IF(ISNUMBER(B3601),MAX(B3601,IFERROR(H3600,B3601)),""),"")</f>
        <v/>
      </c>
      <c r="I3601" s="29">
        <f>IFERROR(IF(AND(ISNUMBER(B3601),ISNUMBER(H3601)),B3601/H3601-1,""),"")</f>
        <v/>
      </c>
      <c r="J3601" s="8">
        <f>IFERROR(IF(ISNUMBER(C3601),MAX(C3601,IFERROR(J3600,C3601)),""),"")</f>
        <v/>
      </c>
      <c r="K3601" s="29">
        <f>IFERROR(IF(AND(ISNUMBER(C3601),ISNUMBER(J3601)),C3601/J3601-1,""),"")</f>
        <v/>
      </c>
      <c r="L3601" s="28">
        <f>IFERROR(IF(AND(ISNUMBER(D3601),ISNUMBER(E3601)),D3601-E3601,""),"")</f>
        <v/>
      </c>
    </row>
    <row r="3602">
      <c r="A3602" s="7">
        <f>IFERROR(Datos!A3602,"")</f>
        <v/>
      </c>
      <c r="B3602" s="8">
        <f>IFERROR(Datos!B3602,"")</f>
        <v/>
      </c>
      <c r="C3602" s="8">
        <f>IFERROR(Datos!C3602,"")</f>
        <v/>
      </c>
      <c r="D3602" s="28">
        <f>IFERROR(IF(AND(ISNUMBER(B3602),ISNUMBER(B3601),B3601&lt;&gt;0),B3602/B3601-1,""),"")</f>
        <v/>
      </c>
      <c r="E3602" s="28">
        <f>IFERROR(IF(AND(ISNUMBER(C3602),ISNUMBER(C3601),C3601&lt;&gt;0),C3602/C3601-1,""),"")</f>
        <v/>
      </c>
      <c r="F3602" s="28">
        <f>IFERROR(D3602-Dashboard!$B$4/252,"")</f>
        <v/>
      </c>
      <c r="G3602" s="28">
        <f>IFERROR(E3602-Dashboard!$B$4/252,"")</f>
        <v/>
      </c>
      <c r="H3602" s="8">
        <f>IFERROR(IF(ISNUMBER(B3602),MAX(B3602,IFERROR(H3601,B3602)),""),"")</f>
        <v/>
      </c>
      <c r="I3602" s="29">
        <f>IFERROR(IF(AND(ISNUMBER(B3602),ISNUMBER(H3602)),B3602/H3602-1,""),"")</f>
        <v/>
      </c>
      <c r="J3602" s="8">
        <f>IFERROR(IF(ISNUMBER(C3602),MAX(C3602,IFERROR(J3601,C3602)),""),"")</f>
        <v/>
      </c>
      <c r="K3602" s="29">
        <f>IFERROR(IF(AND(ISNUMBER(C3602),ISNUMBER(J3602)),C3602/J3602-1,""),"")</f>
        <v/>
      </c>
      <c r="L3602" s="28">
        <f>IFERROR(IF(AND(ISNUMBER(D3602),ISNUMBER(E3602)),D3602-E3602,""),"")</f>
        <v/>
      </c>
    </row>
    <row r="3603">
      <c r="A3603" s="7">
        <f>IFERROR(Datos!A3603,"")</f>
        <v/>
      </c>
      <c r="B3603" s="8">
        <f>IFERROR(Datos!B3603,"")</f>
        <v/>
      </c>
      <c r="C3603" s="8">
        <f>IFERROR(Datos!C3603,"")</f>
        <v/>
      </c>
      <c r="D3603" s="28">
        <f>IFERROR(IF(AND(ISNUMBER(B3603),ISNUMBER(B3602),B3602&lt;&gt;0),B3603/B3602-1,""),"")</f>
        <v/>
      </c>
      <c r="E3603" s="28">
        <f>IFERROR(IF(AND(ISNUMBER(C3603),ISNUMBER(C3602),C3602&lt;&gt;0),C3603/C3602-1,""),"")</f>
        <v/>
      </c>
      <c r="F3603" s="28">
        <f>IFERROR(D3603-Dashboard!$B$4/252,"")</f>
        <v/>
      </c>
      <c r="G3603" s="28">
        <f>IFERROR(E3603-Dashboard!$B$4/252,"")</f>
        <v/>
      </c>
      <c r="H3603" s="8">
        <f>IFERROR(IF(ISNUMBER(B3603),MAX(B3603,IFERROR(H3602,B3603)),""),"")</f>
        <v/>
      </c>
      <c r="I3603" s="29">
        <f>IFERROR(IF(AND(ISNUMBER(B3603),ISNUMBER(H3603)),B3603/H3603-1,""),"")</f>
        <v/>
      </c>
      <c r="J3603" s="8">
        <f>IFERROR(IF(ISNUMBER(C3603),MAX(C3603,IFERROR(J3602,C3603)),""),"")</f>
        <v/>
      </c>
      <c r="K3603" s="29">
        <f>IFERROR(IF(AND(ISNUMBER(C3603),ISNUMBER(J3603)),C3603/J3603-1,""),"")</f>
        <v/>
      </c>
      <c r="L3603" s="28">
        <f>IFERROR(IF(AND(ISNUMBER(D3603),ISNUMBER(E3603)),D3603-E3603,""),"")</f>
        <v/>
      </c>
    </row>
    <row r="3604">
      <c r="A3604" s="7">
        <f>IFERROR(Datos!A3604,"")</f>
        <v/>
      </c>
      <c r="B3604" s="8">
        <f>IFERROR(Datos!B3604,"")</f>
        <v/>
      </c>
      <c r="C3604" s="8">
        <f>IFERROR(Datos!C3604,"")</f>
        <v/>
      </c>
      <c r="D3604" s="28">
        <f>IFERROR(IF(AND(ISNUMBER(B3604),ISNUMBER(B3603),B3603&lt;&gt;0),B3604/B3603-1,""),"")</f>
        <v/>
      </c>
      <c r="E3604" s="28">
        <f>IFERROR(IF(AND(ISNUMBER(C3604),ISNUMBER(C3603),C3603&lt;&gt;0),C3604/C3603-1,""),"")</f>
        <v/>
      </c>
      <c r="F3604" s="28">
        <f>IFERROR(D3604-Dashboard!$B$4/252,"")</f>
        <v/>
      </c>
      <c r="G3604" s="28">
        <f>IFERROR(E3604-Dashboard!$B$4/252,"")</f>
        <v/>
      </c>
      <c r="H3604" s="8">
        <f>IFERROR(IF(ISNUMBER(B3604),MAX(B3604,IFERROR(H3603,B3604)),""),"")</f>
        <v/>
      </c>
      <c r="I3604" s="29">
        <f>IFERROR(IF(AND(ISNUMBER(B3604),ISNUMBER(H3604)),B3604/H3604-1,""),"")</f>
        <v/>
      </c>
      <c r="J3604" s="8">
        <f>IFERROR(IF(ISNUMBER(C3604),MAX(C3604,IFERROR(J3603,C3604)),""),"")</f>
        <v/>
      </c>
      <c r="K3604" s="29">
        <f>IFERROR(IF(AND(ISNUMBER(C3604),ISNUMBER(J3604)),C3604/J3604-1,""),"")</f>
        <v/>
      </c>
      <c r="L3604" s="28">
        <f>IFERROR(IF(AND(ISNUMBER(D3604),ISNUMBER(E3604)),D3604-E3604,""),"")</f>
        <v/>
      </c>
    </row>
    <row r="3605">
      <c r="A3605" s="7">
        <f>IFERROR(Datos!A3605,"")</f>
        <v/>
      </c>
      <c r="B3605" s="8">
        <f>IFERROR(Datos!B3605,"")</f>
        <v/>
      </c>
      <c r="C3605" s="8">
        <f>IFERROR(Datos!C3605,"")</f>
        <v/>
      </c>
      <c r="D3605" s="28">
        <f>IFERROR(IF(AND(ISNUMBER(B3605),ISNUMBER(B3604),B3604&lt;&gt;0),B3605/B3604-1,""),"")</f>
        <v/>
      </c>
      <c r="E3605" s="28">
        <f>IFERROR(IF(AND(ISNUMBER(C3605),ISNUMBER(C3604),C3604&lt;&gt;0),C3605/C3604-1,""),"")</f>
        <v/>
      </c>
      <c r="F3605" s="28">
        <f>IFERROR(D3605-Dashboard!$B$4/252,"")</f>
        <v/>
      </c>
      <c r="G3605" s="28">
        <f>IFERROR(E3605-Dashboard!$B$4/252,"")</f>
        <v/>
      </c>
      <c r="H3605" s="8">
        <f>IFERROR(IF(ISNUMBER(B3605),MAX(B3605,IFERROR(H3604,B3605)),""),"")</f>
        <v/>
      </c>
      <c r="I3605" s="29">
        <f>IFERROR(IF(AND(ISNUMBER(B3605),ISNUMBER(H3605)),B3605/H3605-1,""),"")</f>
        <v/>
      </c>
      <c r="J3605" s="8">
        <f>IFERROR(IF(ISNUMBER(C3605),MAX(C3605,IFERROR(J3604,C3605)),""),"")</f>
        <v/>
      </c>
      <c r="K3605" s="29">
        <f>IFERROR(IF(AND(ISNUMBER(C3605),ISNUMBER(J3605)),C3605/J3605-1,""),"")</f>
        <v/>
      </c>
      <c r="L3605" s="28">
        <f>IFERROR(IF(AND(ISNUMBER(D3605),ISNUMBER(E3605)),D3605-E3605,""),"")</f>
        <v/>
      </c>
    </row>
    <row r="3606">
      <c r="A3606" s="7">
        <f>IFERROR(Datos!A3606,"")</f>
        <v/>
      </c>
      <c r="B3606" s="8">
        <f>IFERROR(Datos!B3606,"")</f>
        <v/>
      </c>
      <c r="C3606" s="8">
        <f>IFERROR(Datos!C3606,"")</f>
        <v/>
      </c>
      <c r="D3606" s="28">
        <f>IFERROR(IF(AND(ISNUMBER(B3606),ISNUMBER(B3605),B3605&lt;&gt;0),B3606/B3605-1,""),"")</f>
        <v/>
      </c>
      <c r="E3606" s="28">
        <f>IFERROR(IF(AND(ISNUMBER(C3606),ISNUMBER(C3605),C3605&lt;&gt;0),C3606/C3605-1,""),"")</f>
        <v/>
      </c>
      <c r="F3606" s="28">
        <f>IFERROR(D3606-Dashboard!$B$4/252,"")</f>
        <v/>
      </c>
      <c r="G3606" s="28">
        <f>IFERROR(E3606-Dashboard!$B$4/252,"")</f>
        <v/>
      </c>
      <c r="H3606" s="8">
        <f>IFERROR(IF(ISNUMBER(B3606),MAX(B3606,IFERROR(H3605,B3606)),""),"")</f>
        <v/>
      </c>
      <c r="I3606" s="29">
        <f>IFERROR(IF(AND(ISNUMBER(B3606),ISNUMBER(H3606)),B3606/H3606-1,""),"")</f>
        <v/>
      </c>
      <c r="J3606" s="8">
        <f>IFERROR(IF(ISNUMBER(C3606),MAX(C3606,IFERROR(J3605,C3606)),""),"")</f>
        <v/>
      </c>
      <c r="K3606" s="29">
        <f>IFERROR(IF(AND(ISNUMBER(C3606),ISNUMBER(J3606)),C3606/J3606-1,""),"")</f>
        <v/>
      </c>
      <c r="L3606" s="28">
        <f>IFERROR(IF(AND(ISNUMBER(D3606),ISNUMBER(E3606)),D3606-E3606,""),"")</f>
        <v/>
      </c>
    </row>
    <row r="3607">
      <c r="A3607" s="7">
        <f>IFERROR(Datos!A3607,"")</f>
        <v/>
      </c>
      <c r="B3607" s="8">
        <f>IFERROR(Datos!B3607,"")</f>
        <v/>
      </c>
      <c r="C3607" s="8">
        <f>IFERROR(Datos!C3607,"")</f>
        <v/>
      </c>
      <c r="D3607" s="28">
        <f>IFERROR(IF(AND(ISNUMBER(B3607),ISNUMBER(B3606),B3606&lt;&gt;0),B3607/B3606-1,""),"")</f>
        <v/>
      </c>
      <c r="E3607" s="28">
        <f>IFERROR(IF(AND(ISNUMBER(C3607),ISNUMBER(C3606),C3606&lt;&gt;0),C3607/C3606-1,""),"")</f>
        <v/>
      </c>
      <c r="F3607" s="28">
        <f>IFERROR(D3607-Dashboard!$B$4/252,"")</f>
        <v/>
      </c>
      <c r="G3607" s="28">
        <f>IFERROR(E3607-Dashboard!$B$4/252,"")</f>
        <v/>
      </c>
      <c r="H3607" s="8">
        <f>IFERROR(IF(ISNUMBER(B3607),MAX(B3607,IFERROR(H3606,B3607)),""),"")</f>
        <v/>
      </c>
      <c r="I3607" s="29">
        <f>IFERROR(IF(AND(ISNUMBER(B3607),ISNUMBER(H3607)),B3607/H3607-1,""),"")</f>
        <v/>
      </c>
      <c r="J3607" s="8">
        <f>IFERROR(IF(ISNUMBER(C3607),MAX(C3607,IFERROR(J3606,C3607)),""),"")</f>
        <v/>
      </c>
      <c r="K3607" s="29">
        <f>IFERROR(IF(AND(ISNUMBER(C3607),ISNUMBER(J3607)),C3607/J3607-1,""),"")</f>
        <v/>
      </c>
      <c r="L3607" s="28">
        <f>IFERROR(IF(AND(ISNUMBER(D3607),ISNUMBER(E3607)),D3607-E3607,""),"")</f>
        <v/>
      </c>
    </row>
    <row r="3608">
      <c r="A3608" s="7">
        <f>IFERROR(Datos!A3608,"")</f>
        <v/>
      </c>
      <c r="B3608" s="8">
        <f>IFERROR(Datos!B3608,"")</f>
        <v/>
      </c>
      <c r="C3608" s="8">
        <f>IFERROR(Datos!C3608,"")</f>
        <v/>
      </c>
      <c r="D3608" s="28">
        <f>IFERROR(IF(AND(ISNUMBER(B3608),ISNUMBER(B3607),B3607&lt;&gt;0),B3608/B3607-1,""),"")</f>
        <v/>
      </c>
      <c r="E3608" s="28">
        <f>IFERROR(IF(AND(ISNUMBER(C3608),ISNUMBER(C3607),C3607&lt;&gt;0),C3608/C3607-1,""),"")</f>
        <v/>
      </c>
      <c r="F3608" s="28">
        <f>IFERROR(D3608-Dashboard!$B$4/252,"")</f>
        <v/>
      </c>
      <c r="G3608" s="28">
        <f>IFERROR(E3608-Dashboard!$B$4/252,"")</f>
        <v/>
      </c>
      <c r="H3608" s="8">
        <f>IFERROR(IF(ISNUMBER(B3608),MAX(B3608,IFERROR(H3607,B3608)),""),"")</f>
        <v/>
      </c>
      <c r="I3608" s="29">
        <f>IFERROR(IF(AND(ISNUMBER(B3608),ISNUMBER(H3608)),B3608/H3608-1,""),"")</f>
        <v/>
      </c>
      <c r="J3608" s="8">
        <f>IFERROR(IF(ISNUMBER(C3608),MAX(C3608,IFERROR(J3607,C3608)),""),"")</f>
        <v/>
      </c>
      <c r="K3608" s="29">
        <f>IFERROR(IF(AND(ISNUMBER(C3608),ISNUMBER(J3608)),C3608/J3608-1,""),"")</f>
        <v/>
      </c>
      <c r="L3608" s="28">
        <f>IFERROR(IF(AND(ISNUMBER(D3608),ISNUMBER(E3608)),D3608-E3608,""),"")</f>
        <v/>
      </c>
    </row>
    <row r="3609">
      <c r="A3609" s="7">
        <f>IFERROR(Datos!A3609,"")</f>
        <v/>
      </c>
      <c r="B3609" s="8">
        <f>IFERROR(Datos!B3609,"")</f>
        <v/>
      </c>
      <c r="C3609" s="8">
        <f>IFERROR(Datos!C3609,"")</f>
        <v/>
      </c>
      <c r="D3609" s="28">
        <f>IFERROR(IF(AND(ISNUMBER(B3609),ISNUMBER(B3608),B3608&lt;&gt;0),B3609/B3608-1,""),"")</f>
        <v/>
      </c>
      <c r="E3609" s="28">
        <f>IFERROR(IF(AND(ISNUMBER(C3609),ISNUMBER(C3608),C3608&lt;&gt;0),C3609/C3608-1,""),"")</f>
        <v/>
      </c>
      <c r="F3609" s="28">
        <f>IFERROR(D3609-Dashboard!$B$4/252,"")</f>
        <v/>
      </c>
      <c r="G3609" s="28">
        <f>IFERROR(E3609-Dashboard!$B$4/252,"")</f>
        <v/>
      </c>
      <c r="H3609" s="8">
        <f>IFERROR(IF(ISNUMBER(B3609),MAX(B3609,IFERROR(H3608,B3609)),""),"")</f>
        <v/>
      </c>
      <c r="I3609" s="29">
        <f>IFERROR(IF(AND(ISNUMBER(B3609),ISNUMBER(H3609)),B3609/H3609-1,""),"")</f>
        <v/>
      </c>
      <c r="J3609" s="8">
        <f>IFERROR(IF(ISNUMBER(C3609),MAX(C3609,IFERROR(J3608,C3609)),""),"")</f>
        <v/>
      </c>
      <c r="K3609" s="29">
        <f>IFERROR(IF(AND(ISNUMBER(C3609),ISNUMBER(J3609)),C3609/J3609-1,""),"")</f>
        <v/>
      </c>
      <c r="L3609" s="28">
        <f>IFERROR(IF(AND(ISNUMBER(D3609),ISNUMBER(E3609)),D3609-E3609,""),"")</f>
        <v/>
      </c>
    </row>
    <row r="3610">
      <c r="A3610" s="7">
        <f>IFERROR(Datos!A3610,"")</f>
        <v/>
      </c>
      <c r="B3610" s="8">
        <f>IFERROR(Datos!B3610,"")</f>
        <v/>
      </c>
      <c r="C3610" s="8">
        <f>IFERROR(Datos!C3610,"")</f>
        <v/>
      </c>
      <c r="D3610" s="28">
        <f>IFERROR(IF(AND(ISNUMBER(B3610),ISNUMBER(B3609),B3609&lt;&gt;0),B3610/B3609-1,""),"")</f>
        <v/>
      </c>
      <c r="E3610" s="28">
        <f>IFERROR(IF(AND(ISNUMBER(C3610),ISNUMBER(C3609),C3609&lt;&gt;0),C3610/C3609-1,""),"")</f>
        <v/>
      </c>
      <c r="F3610" s="28">
        <f>IFERROR(D3610-Dashboard!$B$4/252,"")</f>
        <v/>
      </c>
      <c r="G3610" s="28">
        <f>IFERROR(E3610-Dashboard!$B$4/252,"")</f>
        <v/>
      </c>
      <c r="H3610" s="8">
        <f>IFERROR(IF(ISNUMBER(B3610),MAX(B3610,IFERROR(H3609,B3610)),""),"")</f>
        <v/>
      </c>
      <c r="I3610" s="29">
        <f>IFERROR(IF(AND(ISNUMBER(B3610),ISNUMBER(H3610)),B3610/H3610-1,""),"")</f>
        <v/>
      </c>
      <c r="J3610" s="8">
        <f>IFERROR(IF(ISNUMBER(C3610),MAX(C3610,IFERROR(J3609,C3610)),""),"")</f>
        <v/>
      </c>
      <c r="K3610" s="29">
        <f>IFERROR(IF(AND(ISNUMBER(C3610),ISNUMBER(J3610)),C3610/J3610-1,""),"")</f>
        <v/>
      </c>
      <c r="L3610" s="28">
        <f>IFERROR(IF(AND(ISNUMBER(D3610),ISNUMBER(E3610)),D3610-E3610,""),"")</f>
        <v/>
      </c>
    </row>
    <row r="3611">
      <c r="A3611" s="7">
        <f>IFERROR(Datos!A3611,"")</f>
        <v/>
      </c>
      <c r="B3611" s="8">
        <f>IFERROR(Datos!B3611,"")</f>
        <v/>
      </c>
      <c r="C3611" s="8">
        <f>IFERROR(Datos!C3611,"")</f>
        <v/>
      </c>
      <c r="D3611" s="28">
        <f>IFERROR(IF(AND(ISNUMBER(B3611),ISNUMBER(B3610),B3610&lt;&gt;0),B3611/B3610-1,""),"")</f>
        <v/>
      </c>
      <c r="E3611" s="28">
        <f>IFERROR(IF(AND(ISNUMBER(C3611),ISNUMBER(C3610),C3610&lt;&gt;0),C3611/C3610-1,""),"")</f>
        <v/>
      </c>
      <c r="F3611" s="28">
        <f>IFERROR(D3611-Dashboard!$B$4/252,"")</f>
        <v/>
      </c>
      <c r="G3611" s="28">
        <f>IFERROR(E3611-Dashboard!$B$4/252,"")</f>
        <v/>
      </c>
      <c r="H3611" s="8">
        <f>IFERROR(IF(ISNUMBER(B3611),MAX(B3611,IFERROR(H3610,B3611)),""),"")</f>
        <v/>
      </c>
      <c r="I3611" s="29">
        <f>IFERROR(IF(AND(ISNUMBER(B3611),ISNUMBER(H3611)),B3611/H3611-1,""),"")</f>
        <v/>
      </c>
      <c r="J3611" s="8">
        <f>IFERROR(IF(ISNUMBER(C3611),MAX(C3611,IFERROR(J3610,C3611)),""),"")</f>
        <v/>
      </c>
      <c r="K3611" s="29">
        <f>IFERROR(IF(AND(ISNUMBER(C3611),ISNUMBER(J3611)),C3611/J3611-1,""),"")</f>
        <v/>
      </c>
      <c r="L3611" s="28">
        <f>IFERROR(IF(AND(ISNUMBER(D3611),ISNUMBER(E3611)),D3611-E3611,""),"")</f>
        <v/>
      </c>
    </row>
    <row r="3612">
      <c r="A3612" s="7">
        <f>IFERROR(Datos!A3612,"")</f>
        <v/>
      </c>
      <c r="B3612" s="8">
        <f>IFERROR(Datos!B3612,"")</f>
        <v/>
      </c>
      <c r="C3612" s="8">
        <f>IFERROR(Datos!C3612,"")</f>
        <v/>
      </c>
      <c r="D3612" s="28">
        <f>IFERROR(IF(AND(ISNUMBER(B3612),ISNUMBER(B3611),B3611&lt;&gt;0),B3612/B3611-1,""),"")</f>
        <v/>
      </c>
      <c r="E3612" s="28">
        <f>IFERROR(IF(AND(ISNUMBER(C3612),ISNUMBER(C3611),C3611&lt;&gt;0),C3612/C3611-1,""),"")</f>
        <v/>
      </c>
      <c r="F3612" s="28">
        <f>IFERROR(D3612-Dashboard!$B$4/252,"")</f>
        <v/>
      </c>
      <c r="G3612" s="28">
        <f>IFERROR(E3612-Dashboard!$B$4/252,"")</f>
        <v/>
      </c>
      <c r="H3612" s="8">
        <f>IFERROR(IF(ISNUMBER(B3612),MAX(B3612,IFERROR(H3611,B3612)),""),"")</f>
        <v/>
      </c>
      <c r="I3612" s="29">
        <f>IFERROR(IF(AND(ISNUMBER(B3612),ISNUMBER(H3612)),B3612/H3612-1,""),"")</f>
        <v/>
      </c>
      <c r="J3612" s="8">
        <f>IFERROR(IF(ISNUMBER(C3612),MAX(C3612,IFERROR(J3611,C3612)),""),"")</f>
        <v/>
      </c>
      <c r="K3612" s="29">
        <f>IFERROR(IF(AND(ISNUMBER(C3612),ISNUMBER(J3612)),C3612/J3612-1,""),"")</f>
        <v/>
      </c>
      <c r="L3612" s="28">
        <f>IFERROR(IF(AND(ISNUMBER(D3612),ISNUMBER(E3612)),D3612-E3612,""),"")</f>
        <v/>
      </c>
    </row>
    <row r="3613">
      <c r="A3613" s="7">
        <f>IFERROR(Datos!A3613,"")</f>
        <v/>
      </c>
      <c r="B3613" s="8">
        <f>IFERROR(Datos!B3613,"")</f>
        <v/>
      </c>
      <c r="C3613" s="8">
        <f>IFERROR(Datos!C3613,"")</f>
        <v/>
      </c>
      <c r="D3613" s="28">
        <f>IFERROR(IF(AND(ISNUMBER(B3613),ISNUMBER(B3612),B3612&lt;&gt;0),B3613/B3612-1,""),"")</f>
        <v/>
      </c>
      <c r="E3613" s="28">
        <f>IFERROR(IF(AND(ISNUMBER(C3613),ISNUMBER(C3612),C3612&lt;&gt;0),C3613/C3612-1,""),"")</f>
        <v/>
      </c>
      <c r="F3613" s="28">
        <f>IFERROR(D3613-Dashboard!$B$4/252,"")</f>
        <v/>
      </c>
      <c r="G3613" s="28">
        <f>IFERROR(E3613-Dashboard!$B$4/252,"")</f>
        <v/>
      </c>
      <c r="H3613" s="8">
        <f>IFERROR(IF(ISNUMBER(B3613),MAX(B3613,IFERROR(H3612,B3613)),""),"")</f>
        <v/>
      </c>
      <c r="I3613" s="29">
        <f>IFERROR(IF(AND(ISNUMBER(B3613),ISNUMBER(H3613)),B3613/H3613-1,""),"")</f>
        <v/>
      </c>
      <c r="J3613" s="8">
        <f>IFERROR(IF(ISNUMBER(C3613),MAX(C3613,IFERROR(J3612,C3613)),""),"")</f>
        <v/>
      </c>
      <c r="K3613" s="29">
        <f>IFERROR(IF(AND(ISNUMBER(C3613),ISNUMBER(J3613)),C3613/J3613-1,""),"")</f>
        <v/>
      </c>
      <c r="L3613" s="28">
        <f>IFERROR(IF(AND(ISNUMBER(D3613),ISNUMBER(E3613)),D3613-E3613,""),"")</f>
        <v/>
      </c>
    </row>
    <row r="3614">
      <c r="A3614" s="7">
        <f>IFERROR(Datos!A3614,"")</f>
        <v/>
      </c>
      <c r="B3614" s="8">
        <f>IFERROR(Datos!B3614,"")</f>
        <v/>
      </c>
      <c r="C3614" s="8">
        <f>IFERROR(Datos!C3614,"")</f>
        <v/>
      </c>
      <c r="D3614" s="28">
        <f>IFERROR(IF(AND(ISNUMBER(B3614),ISNUMBER(B3613),B3613&lt;&gt;0),B3614/B3613-1,""),"")</f>
        <v/>
      </c>
      <c r="E3614" s="28">
        <f>IFERROR(IF(AND(ISNUMBER(C3614),ISNUMBER(C3613),C3613&lt;&gt;0),C3614/C3613-1,""),"")</f>
        <v/>
      </c>
      <c r="F3614" s="28">
        <f>IFERROR(D3614-Dashboard!$B$4/252,"")</f>
        <v/>
      </c>
      <c r="G3614" s="28">
        <f>IFERROR(E3614-Dashboard!$B$4/252,"")</f>
        <v/>
      </c>
      <c r="H3614" s="8">
        <f>IFERROR(IF(ISNUMBER(B3614),MAX(B3614,IFERROR(H3613,B3614)),""),"")</f>
        <v/>
      </c>
      <c r="I3614" s="29">
        <f>IFERROR(IF(AND(ISNUMBER(B3614),ISNUMBER(H3614)),B3614/H3614-1,""),"")</f>
        <v/>
      </c>
      <c r="J3614" s="8">
        <f>IFERROR(IF(ISNUMBER(C3614),MAX(C3614,IFERROR(J3613,C3614)),""),"")</f>
        <v/>
      </c>
      <c r="K3614" s="29">
        <f>IFERROR(IF(AND(ISNUMBER(C3614),ISNUMBER(J3614)),C3614/J3614-1,""),"")</f>
        <v/>
      </c>
      <c r="L3614" s="28">
        <f>IFERROR(IF(AND(ISNUMBER(D3614),ISNUMBER(E3614)),D3614-E3614,""),"")</f>
        <v/>
      </c>
    </row>
    <row r="3615">
      <c r="A3615" s="7">
        <f>IFERROR(Datos!A3615,"")</f>
        <v/>
      </c>
      <c r="B3615" s="8">
        <f>IFERROR(Datos!B3615,"")</f>
        <v/>
      </c>
      <c r="C3615" s="8">
        <f>IFERROR(Datos!C3615,"")</f>
        <v/>
      </c>
      <c r="D3615" s="28">
        <f>IFERROR(IF(AND(ISNUMBER(B3615),ISNUMBER(B3614),B3614&lt;&gt;0),B3615/B3614-1,""),"")</f>
        <v/>
      </c>
      <c r="E3615" s="28">
        <f>IFERROR(IF(AND(ISNUMBER(C3615),ISNUMBER(C3614),C3614&lt;&gt;0),C3615/C3614-1,""),"")</f>
        <v/>
      </c>
      <c r="F3615" s="28">
        <f>IFERROR(D3615-Dashboard!$B$4/252,"")</f>
        <v/>
      </c>
      <c r="G3615" s="28">
        <f>IFERROR(E3615-Dashboard!$B$4/252,"")</f>
        <v/>
      </c>
      <c r="H3615" s="8">
        <f>IFERROR(IF(ISNUMBER(B3615),MAX(B3615,IFERROR(H3614,B3615)),""),"")</f>
        <v/>
      </c>
      <c r="I3615" s="29">
        <f>IFERROR(IF(AND(ISNUMBER(B3615),ISNUMBER(H3615)),B3615/H3615-1,""),"")</f>
        <v/>
      </c>
      <c r="J3615" s="8">
        <f>IFERROR(IF(ISNUMBER(C3615),MAX(C3615,IFERROR(J3614,C3615)),""),"")</f>
        <v/>
      </c>
      <c r="K3615" s="29">
        <f>IFERROR(IF(AND(ISNUMBER(C3615),ISNUMBER(J3615)),C3615/J3615-1,""),"")</f>
        <v/>
      </c>
      <c r="L3615" s="28">
        <f>IFERROR(IF(AND(ISNUMBER(D3615),ISNUMBER(E3615)),D3615-E3615,""),"")</f>
        <v/>
      </c>
    </row>
    <row r="3616">
      <c r="A3616" s="7">
        <f>IFERROR(Datos!A3616,"")</f>
        <v/>
      </c>
      <c r="B3616" s="8">
        <f>IFERROR(Datos!B3616,"")</f>
        <v/>
      </c>
      <c r="C3616" s="8">
        <f>IFERROR(Datos!C3616,"")</f>
        <v/>
      </c>
      <c r="D3616" s="28">
        <f>IFERROR(IF(AND(ISNUMBER(B3616),ISNUMBER(B3615),B3615&lt;&gt;0),B3616/B3615-1,""),"")</f>
        <v/>
      </c>
      <c r="E3616" s="28">
        <f>IFERROR(IF(AND(ISNUMBER(C3616),ISNUMBER(C3615),C3615&lt;&gt;0),C3616/C3615-1,""),"")</f>
        <v/>
      </c>
      <c r="F3616" s="28">
        <f>IFERROR(D3616-Dashboard!$B$4/252,"")</f>
        <v/>
      </c>
      <c r="G3616" s="28">
        <f>IFERROR(E3616-Dashboard!$B$4/252,"")</f>
        <v/>
      </c>
      <c r="H3616" s="8">
        <f>IFERROR(IF(ISNUMBER(B3616),MAX(B3616,IFERROR(H3615,B3616)),""),"")</f>
        <v/>
      </c>
      <c r="I3616" s="29">
        <f>IFERROR(IF(AND(ISNUMBER(B3616),ISNUMBER(H3616)),B3616/H3616-1,""),"")</f>
        <v/>
      </c>
      <c r="J3616" s="8">
        <f>IFERROR(IF(ISNUMBER(C3616),MAX(C3616,IFERROR(J3615,C3616)),""),"")</f>
        <v/>
      </c>
      <c r="K3616" s="29">
        <f>IFERROR(IF(AND(ISNUMBER(C3616),ISNUMBER(J3616)),C3616/J3616-1,""),"")</f>
        <v/>
      </c>
      <c r="L3616" s="28">
        <f>IFERROR(IF(AND(ISNUMBER(D3616),ISNUMBER(E3616)),D3616-E3616,""),"")</f>
        <v/>
      </c>
    </row>
    <row r="3617">
      <c r="A3617" s="7">
        <f>IFERROR(Datos!A3617,"")</f>
        <v/>
      </c>
      <c r="B3617" s="8">
        <f>IFERROR(Datos!B3617,"")</f>
        <v/>
      </c>
      <c r="C3617" s="8">
        <f>IFERROR(Datos!C3617,"")</f>
        <v/>
      </c>
      <c r="D3617" s="28">
        <f>IFERROR(IF(AND(ISNUMBER(B3617),ISNUMBER(B3616),B3616&lt;&gt;0),B3617/B3616-1,""),"")</f>
        <v/>
      </c>
      <c r="E3617" s="28">
        <f>IFERROR(IF(AND(ISNUMBER(C3617),ISNUMBER(C3616),C3616&lt;&gt;0),C3617/C3616-1,""),"")</f>
        <v/>
      </c>
      <c r="F3617" s="28">
        <f>IFERROR(D3617-Dashboard!$B$4/252,"")</f>
        <v/>
      </c>
      <c r="G3617" s="28">
        <f>IFERROR(E3617-Dashboard!$B$4/252,"")</f>
        <v/>
      </c>
      <c r="H3617" s="8">
        <f>IFERROR(IF(ISNUMBER(B3617),MAX(B3617,IFERROR(H3616,B3617)),""),"")</f>
        <v/>
      </c>
      <c r="I3617" s="29">
        <f>IFERROR(IF(AND(ISNUMBER(B3617),ISNUMBER(H3617)),B3617/H3617-1,""),"")</f>
        <v/>
      </c>
      <c r="J3617" s="8">
        <f>IFERROR(IF(ISNUMBER(C3617),MAX(C3617,IFERROR(J3616,C3617)),""),"")</f>
        <v/>
      </c>
      <c r="K3617" s="29">
        <f>IFERROR(IF(AND(ISNUMBER(C3617),ISNUMBER(J3617)),C3617/J3617-1,""),"")</f>
        <v/>
      </c>
      <c r="L3617" s="28">
        <f>IFERROR(IF(AND(ISNUMBER(D3617),ISNUMBER(E3617)),D3617-E3617,""),"")</f>
        <v/>
      </c>
    </row>
    <row r="3618">
      <c r="A3618" s="7">
        <f>IFERROR(Datos!A3618,"")</f>
        <v/>
      </c>
      <c r="B3618" s="8">
        <f>IFERROR(Datos!B3618,"")</f>
        <v/>
      </c>
      <c r="C3618" s="8">
        <f>IFERROR(Datos!C3618,"")</f>
        <v/>
      </c>
      <c r="D3618" s="28">
        <f>IFERROR(IF(AND(ISNUMBER(B3618),ISNUMBER(B3617),B3617&lt;&gt;0),B3618/B3617-1,""),"")</f>
        <v/>
      </c>
      <c r="E3618" s="28">
        <f>IFERROR(IF(AND(ISNUMBER(C3618),ISNUMBER(C3617),C3617&lt;&gt;0),C3618/C3617-1,""),"")</f>
        <v/>
      </c>
      <c r="F3618" s="28">
        <f>IFERROR(D3618-Dashboard!$B$4/252,"")</f>
        <v/>
      </c>
      <c r="G3618" s="28">
        <f>IFERROR(E3618-Dashboard!$B$4/252,"")</f>
        <v/>
      </c>
      <c r="H3618" s="8">
        <f>IFERROR(IF(ISNUMBER(B3618),MAX(B3618,IFERROR(H3617,B3618)),""),"")</f>
        <v/>
      </c>
      <c r="I3618" s="29">
        <f>IFERROR(IF(AND(ISNUMBER(B3618),ISNUMBER(H3618)),B3618/H3618-1,""),"")</f>
        <v/>
      </c>
      <c r="J3618" s="8">
        <f>IFERROR(IF(ISNUMBER(C3618),MAX(C3618,IFERROR(J3617,C3618)),""),"")</f>
        <v/>
      </c>
      <c r="K3618" s="29">
        <f>IFERROR(IF(AND(ISNUMBER(C3618),ISNUMBER(J3618)),C3618/J3618-1,""),"")</f>
        <v/>
      </c>
      <c r="L3618" s="28">
        <f>IFERROR(IF(AND(ISNUMBER(D3618),ISNUMBER(E3618)),D3618-E3618,""),"")</f>
        <v/>
      </c>
    </row>
    <row r="3619">
      <c r="A3619" s="7">
        <f>IFERROR(Datos!A3619,"")</f>
        <v/>
      </c>
      <c r="B3619" s="8">
        <f>IFERROR(Datos!B3619,"")</f>
        <v/>
      </c>
      <c r="C3619" s="8">
        <f>IFERROR(Datos!C3619,"")</f>
        <v/>
      </c>
      <c r="D3619" s="28">
        <f>IFERROR(IF(AND(ISNUMBER(B3619),ISNUMBER(B3618),B3618&lt;&gt;0),B3619/B3618-1,""),"")</f>
        <v/>
      </c>
      <c r="E3619" s="28">
        <f>IFERROR(IF(AND(ISNUMBER(C3619),ISNUMBER(C3618),C3618&lt;&gt;0),C3619/C3618-1,""),"")</f>
        <v/>
      </c>
      <c r="F3619" s="28">
        <f>IFERROR(D3619-Dashboard!$B$4/252,"")</f>
        <v/>
      </c>
      <c r="G3619" s="28">
        <f>IFERROR(E3619-Dashboard!$B$4/252,"")</f>
        <v/>
      </c>
      <c r="H3619" s="8">
        <f>IFERROR(IF(ISNUMBER(B3619),MAX(B3619,IFERROR(H3618,B3619)),""),"")</f>
        <v/>
      </c>
      <c r="I3619" s="29">
        <f>IFERROR(IF(AND(ISNUMBER(B3619),ISNUMBER(H3619)),B3619/H3619-1,""),"")</f>
        <v/>
      </c>
      <c r="J3619" s="8">
        <f>IFERROR(IF(ISNUMBER(C3619),MAX(C3619,IFERROR(J3618,C3619)),""),"")</f>
        <v/>
      </c>
      <c r="K3619" s="29">
        <f>IFERROR(IF(AND(ISNUMBER(C3619),ISNUMBER(J3619)),C3619/J3619-1,""),"")</f>
        <v/>
      </c>
      <c r="L3619" s="28">
        <f>IFERROR(IF(AND(ISNUMBER(D3619),ISNUMBER(E3619)),D3619-E3619,""),"")</f>
        <v/>
      </c>
    </row>
    <row r="3620">
      <c r="A3620" s="7">
        <f>IFERROR(Datos!A3620,"")</f>
        <v/>
      </c>
      <c r="B3620" s="8">
        <f>IFERROR(Datos!B3620,"")</f>
        <v/>
      </c>
      <c r="C3620" s="8">
        <f>IFERROR(Datos!C3620,"")</f>
        <v/>
      </c>
      <c r="D3620" s="28">
        <f>IFERROR(IF(AND(ISNUMBER(B3620),ISNUMBER(B3619),B3619&lt;&gt;0),B3620/B3619-1,""),"")</f>
        <v/>
      </c>
      <c r="E3620" s="28">
        <f>IFERROR(IF(AND(ISNUMBER(C3620),ISNUMBER(C3619),C3619&lt;&gt;0),C3620/C3619-1,""),"")</f>
        <v/>
      </c>
      <c r="F3620" s="28">
        <f>IFERROR(D3620-Dashboard!$B$4/252,"")</f>
        <v/>
      </c>
      <c r="G3620" s="28">
        <f>IFERROR(E3620-Dashboard!$B$4/252,"")</f>
        <v/>
      </c>
      <c r="H3620" s="8">
        <f>IFERROR(IF(ISNUMBER(B3620),MAX(B3620,IFERROR(H3619,B3620)),""),"")</f>
        <v/>
      </c>
      <c r="I3620" s="29">
        <f>IFERROR(IF(AND(ISNUMBER(B3620),ISNUMBER(H3620)),B3620/H3620-1,""),"")</f>
        <v/>
      </c>
      <c r="J3620" s="8">
        <f>IFERROR(IF(ISNUMBER(C3620),MAX(C3620,IFERROR(J3619,C3620)),""),"")</f>
        <v/>
      </c>
      <c r="K3620" s="29">
        <f>IFERROR(IF(AND(ISNUMBER(C3620),ISNUMBER(J3620)),C3620/J3620-1,""),"")</f>
        <v/>
      </c>
      <c r="L3620" s="28">
        <f>IFERROR(IF(AND(ISNUMBER(D3620),ISNUMBER(E3620)),D3620-E3620,""),"")</f>
        <v/>
      </c>
    </row>
    <row r="3621">
      <c r="A3621" s="7">
        <f>IFERROR(Datos!A3621,"")</f>
        <v/>
      </c>
      <c r="B3621" s="8">
        <f>IFERROR(Datos!B3621,"")</f>
        <v/>
      </c>
      <c r="C3621" s="8">
        <f>IFERROR(Datos!C3621,"")</f>
        <v/>
      </c>
      <c r="D3621" s="28">
        <f>IFERROR(IF(AND(ISNUMBER(B3621),ISNUMBER(B3620),B3620&lt;&gt;0),B3621/B3620-1,""),"")</f>
        <v/>
      </c>
      <c r="E3621" s="28">
        <f>IFERROR(IF(AND(ISNUMBER(C3621),ISNUMBER(C3620),C3620&lt;&gt;0),C3621/C3620-1,""),"")</f>
        <v/>
      </c>
      <c r="F3621" s="28">
        <f>IFERROR(D3621-Dashboard!$B$4/252,"")</f>
        <v/>
      </c>
      <c r="G3621" s="28">
        <f>IFERROR(E3621-Dashboard!$B$4/252,"")</f>
        <v/>
      </c>
      <c r="H3621" s="8">
        <f>IFERROR(IF(ISNUMBER(B3621),MAX(B3621,IFERROR(H3620,B3621)),""),"")</f>
        <v/>
      </c>
      <c r="I3621" s="29">
        <f>IFERROR(IF(AND(ISNUMBER(B3621),ISNUMBER(H3621)),B3621/H3621-1,""),"")</f>
        <v/>
      </c>
      <c r="J3621" s="8">
        <f>IFERROR(IF(ISNUMBER(C3621),MAX(C3621,IFERROR(J3620,C3621)),""),"")</f>
        <v/>
      </c>
      <c r="K3621" s="29">
        <f>IFERROR(IF(AND(ISNUMBER(C3621),ISNUMBER(J3621)),C3621/J3621-1,""),"")</f>
        <v/>
      </c>
      <c r="L3621" s="28">
        <f>IFERROR(IF(AND(ISNUMBER(D3621),ISNUMBER(E3621)),D3621-E3621,""),"")</f>
        <v/>
      </c>
    </row>
    <row r="3622">
      <c r="A3622" s="7">
        <f>IFERROR(Datos!A3622,"")</f>
        <v/>
      </c>
      <c r="B3622" s="8">
        <f>IFERROR(Datos!B3622,"")</f>
        <v/>
      </c>
      <c r="C3622" s="8">
        <f>IFERROR(Datos!C3622,"")</f>
        <v/>
      </c>
      <c r="D3622" s="28">
        <f>IFERROR(IF(AND(ISNUMBER(B3622),ISNUMBER(B3621),B3621&lt;&gt;0),B3622/B3621-1,""),"")</f>
        <v/>
      </c>
      <c r="E3622" s="28">
        <f>IFERROR(IF(AND(ISNUMBER(C3622),ISNUMBER(C3621),C3621&lt;&gt;0),C3622/C3621-1,""),"")</f>
        <v/>
      </c>
      <c r="F3622" s="28">
        <f>IFERROR(D3622-Dashboard!$B$4/252,"")</f>
        <v/>
      </c>
      <c r="G3622" s="28">
        <f>IFERROR(E3622-Dashboard!$B$4/252,"")</f>
        <v/>
      </c>
      <c r="H3622" s="8">
        <f>IFERROR(IF(ISNUMBER(B3622),MAX(B3622,IFERROR(H3621,B3622)),""),"")</f>
        <v/>
      </c>
      <c r="I3622" s="29">
        <f>IFERROR(IF(AND(ISNUMBER(B3622),ISNUMBER(H3622)),B3622/H3622-1,""),"")</f>
        <v/>
      </c>
      <c r="J3622" s="8">
        <f>IFERROR(IF(ISNUMBER(C3622),MAX(C3622,IFERROR(J3621,C3622)),""),"")</f>
        <v/>
      </c>
      <c r="K3622" s="29">
        <f>IFERROR(IF(AND(ISNUMBER(C3622),ISNUMBER(J3622)),C3622/J3622-1,""),"")</f>
        <v/>
      </c>
      <c r="L3622" s="28">
        <f>IFERROR(IF(AND(ISNUMBER(D3622),ISNUMBER(E3622)),D3622-E3622,""),"")</f>
        <v/>
      </c>
    </row>
    <row r="3623">
      <c r="A3623" s="7">
        <f>IFERROR(Datos!A3623,"")</f>
        <v/>
      </c>
      <c r="B3623" s="8">
        <f>IFERROR(Datos!B3623,"")</f>
        <v/>
      </c>
      <c r="C3623" s="8">
        <f>IFERROR(Datos!C3623,"")</f>
        <v/>
      </c>
      <c r="D3623" s="28">
        <f>IFERROR(IF(AND(ISNUMBER(B3623),ISNUMBER(B3622),B3622&lt;&gt;0),B3623/B3622-1,""),"")</f>
        <v/>
      </c>
      <c r="E3623" s="28">
        <f>IFERROR(IF(AND(ISNUMBER(C3623),ISNUMBER(C3622),C3622&lt;&gt;0),C3623/C3622-1,""),"")</f>
        <v/>
      </c>
      <c r="F3623" s="28">
        <f>IFERROR(D3623-Dashboard!$B$4/252,"")</f>
        <v/>
      </c>
      <c r="G3623" s="28">
        <f>IFERROR(E3623-Dashboard!$B$4/252,"")</f>
        <v/>
      </c>
      <c r="H3623" s="8">
        <f>IFERROR(IF(ISNUMBER(B3623),MAX(B3623,IFERROR(H3622,B3623)),""),"")</f>
        <v/>
      </c>
      <c r="I3623" s="29">
        <f>IFERROR(IF(AND(ISNUMBER(B3623),ISNUMBER(H3623)),B3623/H3623-1,""),"")</f>
        <v/>
      </c>
      <c r="J3623" s="8">
        <f>IFERROR(IF(ISNUMBER(C3623),MAX(C3623,IFERROR(J3622,C3623)),""),"")</f>
        <v/>
      </c>
      <c r="K3623" s="29">
        <f>IFERROR(IF(AND(ISNUMBER(C3623),ISNUMBER(J3623)),C3623/J3623-1,""),"")</f>
        <v/>
      </c>
      <c r="L3623" s="28">
        <f>IFERROR(IF(AND(ISNUMBER(D3623),ISNUMBER(E3623)),D3623-E3623,""),"")</f>
        <v/>
      </c>
    </row>
    <row r="3624">
      <c r="A3624" s="7">
        <f>IFERROR(Datos!A3624,"")</f>
        <v/>
      </c>
      <c r="B3624" s="8">
        <f>IFERROR(Datos!B3624,"")</f>
        <v/>
      </c>
      <c r="C3624" s="8">
        <f>IFERROR(Datos!C3624,"")</f>
        <v/>
      </c>
      <c r="D3624" s="28">
        <f>IFERROR(IF(AND(ISNUMBER(B3624),ISNUMBER(B3623),B3623&lt;&gt;0),B3624/B3623-1,""),"")</f>
        <v/>
      </c>
      <c r="E3624" s="28">
        <f>IFERROR(IF(AND(ISNUMBER(C3624),ISNUMBER(C3623),C3623&lt;&gt;0),C3624/C3623-1,""),"")</f>
        <v/>
      </c>
      <c r="F3624" s="28">
        <f>IFERROR(D3624-Dashboard!$B$4/252,"")</f>
        <v/>
      </c>
      <c r="G3624" s="28">
        <f>IFERROR(E3624-Dashboard!$B$4/252,"")</f>
        <v/>
      </c>
      <c r="H3624" s="8">
        <f>IFERROR(IF(ISNUMBER(B3624),MAX(B3624,IFERROR(H3623,B3624)),""),"")</f>
        <v/>
      </c>
      <c r="I3624" s="29">
        <f>IFERROR(IF(AND(ISNUMBER(B3624),ISNUMBER(H3624)),B3624/H3624-1,""),"")</f>
        <v/>
      </c>
      <c r="J3624" s="8">
        <f>IFERROR(IF(ISNUMBER(C3624),MAX(C3624,IFERROR(J3623,C3624)),""),"")</f>
        <v/>
      </c>
      <c r="K3624" s="29">
        <f>IFERROR(IF(AND(ISNUMBER(C3624),ISNUMBER(J3624)),C3624/J3624-1,""),"")</f>
        <v/>
      </c>
      <c r="L3624" s="28">
        <f>IFERROR(IF(AND(ISNUMBER(D3624),ISNUMBER(E3624)),D3624-E3624,""),"")</f>
        <v/>
      </c>
    </row>
    <row r="3625">
      <c r="A3625" s="7">
        <f>IFERROR(Datos!A3625,"")</f>
        <v/>
      </c>
      <c r="B3625" s="8">
        <f>IFERROR(Datos!B3625,"")</f>
        <v/>
      </c>
      <c r="C3625" s="8">
        <f>IFERROR(Datos!C3625,"")</f>
        <v/>
      </c>
      <c r="D3625" s="28">
        <f>IFERROR(IF(AND(ISNUMBER(B3625),ISNUMBER(B3624),B3624&lt;&gt;0),B3625/B3624-1,""),"")</f>
        <v/>
      </c>
      <c r="E3625" s="28">
        <f>IFERROR(IF(AND(ISNUMBER(C3625),ISNUMBER(C3624),C3624&lt;&gt;0),C3625/C3624-1,""),"")</f>
        <v/>
      </c>
      <c r="F3625" s="28">
        <f>IFERROR(D3625-Dashboard!$B$4/252,"")</f>
        <v/>
      </c>
      <c r="G3625" s="28">
        <f>IFERROR(E3625-Dashboard!$B$4/252,"")</f>
        <v/>
      </c>
      <c r="H3625" s="8">
        <f>IFERROR(IF(ISNUMBER(B3625),MAX(B3625,IFERROR(H3624,B3625)),""),"")</f>
        <v/>
      </c>
      <c r="I3625" s="29">
        <f>IFERROR(IF(AND(ISNUMBER(B3625),ISNUMBER(H3625)),B3625/H3625-1,""),"")</f>
        <v/>
      </c>
      <c r="J3625" s="8">
        <f>IFERROR(IF(ISNUMBER(C3625),MAX(C3625,IFERROR(J3624,C3625)),""),"")</f>
        <v/>
      </c>
      <c r="K3625" s="29">
        <f>IFERROR(IF(AND(ISNUMBER(C3625),ISNUMBER(J3625)),C3625/J3625-1,""),"")</f>
        <v/>
      </c>
      <c r="L3625" s="28">
        <f>IFERROR(IF(AND(ISNUMBER(D3625),ISNUMBER(E3625)),D3625-E3625,""),"")</f>
        <v/>
      </c>
    </row>
    <row r="3626">
      <c r="A3626" s="7">
        <f>IFERROR(Datos!A3626,"")</f>
        <v/>
      </c>
      <c r="B3626" s="8">
        <f>IFERROR(Datos!B3626,"")</f>
        <v/>
      </c>
      <c r="C3626" s="8">
        <f>IFERROR(Datos!C3626,"")</f>
        <v/>
      </c>
      <c r="D3626" s="28">
        <f>IFERROR(IF(AND(ISNUMBER(B3626),ISNUMBER(B3625),B3625&lt;&gt;0),B3626/B3625-1,""),"")</f>
        <v/>
      </c>
      <c r="E3626" s="28">
        <f>IFERROR(IF(AND(ISNUMBER(C3626),ISNUMBER(C3625),C3625&lt;&gt;0),C3626/C3625-1,""),"")</f>
        <v/>
      </c>
      <c r="F3626" s="28">
        <f>IFERROR(D3626-Dashboard!$B$4/252,"")</f>
        <v/>
      </c>
      <c r="G3626" s="28">
        <f>IFERROR(E3626-Dashboard!$B$4/252,"")</f>
        <v/>
      </c>
      <c r="H3626" s="8">
        <f>IFERROR(IF(ISNUMBER(B3626),MAX(B3626,IFERROR(H3625,B3626)),""),"")</f>
        <v/>
      </c>
      <c r="I3626" s="29">
        <f>IFERROR(IF(AND(ISNUMBER(B3626),ISNUMBER(H3626)),B3626/H3626-1,""),"")</f>
        <v/>
      </c>
      <c r="J3626" s="8">
        <f>IFERROR(IF(ISNUMBER(C3626),MAX(C3626,IFERROR(J3625,C3626)),""),"")</f>
        <v/>
      </c>
      <c r="K3626" s="29">
        <f>IFERROR(IF(AND(ISNUMBER(C3626),ISNUMBER(J3626)),C3626/J3626-1,""),"")</f>
        <v/>
      </c>
      <c r="L3626" s="28">
        <f>IFERROR(IF(AND(ISNUMBER(D3626),ISNUMBER(E3626)),D3626-E3626,""),"")</f>
        <v/>
      </c>
    </row>
    <row r="3627">
      <c r="A3627" s="7">
        <f>IFERROR(Datos!A3627,"")</f>
        <v/>
      </c>
      <c r="B3627" s="8">
        <f>IFERROR(Datos!B3627,"")</f>
        <v/>
      </c>
      <c r="C3627" s="8">
        <f>IFERROR(Datos!C3627,"")</f>
        <v/>
      </c>
      <c r="D3627" s="28">
        <f>IFERROR(IF(AND(ISNUMBER(B3627),ISNUMBER(B3626),B3626&lt;&gt;0),B3627/B3626-1,""),"")</f>
        <v/>
      </c>
      <c r="E3627" s="28">
        <f>IFERROR(IF(AND(ISNUMBER(C3627),ISNUMBER(C3626),C3626&lt;&gt;0),C3627/C3626-1,""),"")</f>
        <v/>
      </c>
      <c r="F3627" s="28">
        <f>IFERROR(D3627-Dashboard!$B$4/252,"")</f>
        <v/>
      </c>
      <c r="G3627" s="28">
        <f>IFERROR(E3627-Dashboard!$B$4/252,"")</f>
        <v/>
      </c>
      <c r="H3627" s="8">
        <f>IFERROR(IF(ISNUMBER(B3627),MAX(B3627,IFERROR(H3626,B3627)),""),"")</f>
        <v/>
      </c>
      <c r="I3627" s="29">
        <f>IFERROR(IF(AND(ISNUMBER(B3627),ISNUMBER(H3627)),B3627/H3627-1,""),"")</f>
        <v/>
      </c>
      <c r="J3627" s="8">
        <f>IFERROR(IF(ISNUMBER(C3627),MAX(C3627,IFERROR(J3626,C3627)),""),"")</f>
        <v/>
      </c>
      <c r="K3627" s="29">
        <f>IFERROR(IF(AND(ISNUMBER(C3627),ISNUMBER(J3627)),C3627/J3627-1,""),"")</f>
        <v/>
      </c>
      <c r="L3627" s="28">
        <f>IFERROR(IF(AND(ISNUMBER(D3627),ISNUMBER(E3627)),D3627-E3627,""),"")</f>
        <v/>
      </c>
    </row>
    <row r="3628">
      <c r="A3628" s="7">
        <f>IFERROR(Datos!A3628,"")</f>
        <v/>
      </c>
      <c r="B3628" s="8">
        <f>IFERROR(Datos!B3628,"")</f>
        <v/>
      </c>
      <c r="C3628" s="8">
        <f>IFERROR(Datos!C3628,"")</f>
        <v/>
      </c>
      <c r="D3628" s="28">
        <f>IFERROR(IF(AND(ISNUMBER(B3628),ISNUMBER(B3627),B3627&lt;&gt;0),B3628/B3627-1,""),"")</f>
        <v/>
      </c>
      <c r="E3628" s="28">
        <f>IFERROR(IF(AND(ISNUMBER(C3628),ISNUMBER(C3627),C3627&lt;&gt;0),C3628/C3627-1,""),"")</f>
        <v/>
      </c>
      <c r="F3628" s="28">
        <f>IFERROR(D3628-Dashboard!$B$4/252,"")</f>
        <v/>
      </c>
      <c r="G3628" s="28">
        <f>IFERROR(E3628-Dashboard!$B$4/252,"")</f>
        <v/>
      </c>
      <c r="H3628" s="8">
        <f>IFERROR(IF(ISNUMBER(B3628),MAX(B3628,IFERROR(H3627,B3628)),""),"")</f>
        <v/>
      </c>
      <c r="I3628" s="29">
        <f>IFERROR(IF(AND(ISNUMBER(B3628),ISNUMBER(H3628)),B3628/H3628-1,""),"")</f>
        <v/>
      </c>
      <c r="J3628" s="8">
        <f>IFERROR(IF(ISNUMBER(C3628),MAX(C3628,IFERROR(J3627,C3628)),""),"")</f>
        <v/>
      </c>
      <c r="K3628" s="29">
        <f>IFERROR(IF(AND(ISNUMBER(C3628),ISNUMBER(J3628)),C3628/J3628-1,""),"")</f>
        <v/>
      </c>
      <c r="L3628" s="28">
        <f>IFERROR(IF(AND(ISNUMBER(D3628),ISNUMBER(E3628)),D3628-E3628,""),"")</f>
        <v/>
      </c>
    </row>
    <row r="3629">
      <c r="A3629" s="7">
        <f>IFERROR(Datos!A3629,"")</f>
        <v/>
      </c>
      <c r="B3629" s="8">
        <f>IFERROR(Datos!B3629,"")</f>
        <v/>
      </c>
      <c r="C3629" s="8">
        <f>IFERROR(Datos!C3629,"")</f>
        <v/>
      </c>
      <c r="D3629" s="28">
        <f>IFERROR(IF(AND(ISNUMBER(B3629),ISNUMBER(B3628),B3628&lt;&gt;0),B3629/B3628-1,""),"")</f>
        <v/>
      </c>
      <c r="E3629" s="28">
        <f>IFERROR(IF(AND(ISNUMBER(C3629),ISNUMBER(C3628),C3628&lt;&gt;0),C3629/C3628-1,""),"")</f>
        <v/>
      </c>
      <c r="F3629" s="28">
        <f>IFERROR(D3629-Dashboard!$B$4/252,"")</f>
        <v/>
      </c>
      <c r="G3629" s="28">
        <f>IFERROR(E3629-Dashboard!$B$4/252,"")</f>
        <v/>
      </c>
      <c r="H3629" s="8">
        <f>IFERROR(IF(ISNUMBER(B3629),MAX(B3629,IFERROR(H3628,B3629)),""),"")</f>
        <v/>
      </c>
      <c r="I3629" s="29">
        <f>IFERROR(IF(AND(ISNUMBER(B3629),ISNUMBER(H3629)),B3629/H3629-1,""),"")</f>
        <v/>
      </c>
      <c r="J3629" s="8">
        <f>IFERROR(IF(ISNUMBER(C3629),MAX(C3629,IFERROR(J3628,C3629)),""),"")</f>
        <v/>
      </c>
      <c r="K3629" s="29">
        <f>IFERROR(IF(AND(ISNUMBER(C3629),ISNUMBER(J3629)),C3629/J3629-1,""),"")</f>
        <v/>
      </c>
      <c r="L3629" s="28">
        <f>IFERROR(IF(AND(ISNUMBER(D3629),ISNUMBER(E3629)),D3629-E3629,""),"")</f>
        <v/>
      </c>
    </row>
    <row r="3630">
      <c r="A3630" s="7">
        <f>IFERROR(Datos!A3630,"")</f>
        <v/>
      </c>
      <c r="B3630" s="8">
        <f>IFERROR(Datos!B3630,"")</f>
        <v/>
      </c>
      <c r="C3630" s="8">
        <f>IFERROR(Datos!C3630,"")</f>
        <v/>
      </c>
      <c r="D3630" s="28">
        <f>IFERROR(IF(AND(ISNUMBER(B3630),ISNUMBER(B3629),B3629&lt;&gt;0),B3630/B3629-1,""),"")</f>
        <v/>
      </c>
      <c r="E3630" s="28">
        <f>IFERROR(IF(AND(ISNUMBER(C3630),ISNUMBER(C3629),C3629&lt;&gt;0),C3630/C3629-1,""),"")</f>
        <v/>
      </c>
      <c r="F3630" s="28">
        <f>IFERROR(D3630-Dashboard!$B$4/252,"")</f>
        <v/>
      </c>
      <c r="G3630" s="28">
        <f>IFERROR(E3630-Dashboard!$B$4/252,"")</f>
        <v/>
      </c>
      <c r="H3630" s="8">
        <f>IFERROR(IF(ISNUMBER(B3630),MAX(B3630,IFERROR(H3629,B3630)),""),"")</f>
        <v/>
      </c>
      <c r="I3630" s="29">
        <f>IFERROR(IF(AND(ISNUMBER(B3630),ISNUMBER(H3630)),B3630/H3630-1,""),"")</f>
        <v/>
      </c>
      <c r="J3630" s="8">
        <f>IFERROR(IF(ISNUMBER(C3630),MAX(C3630,IFERROR(J3629,C3630)),""),"")</f>
        <v/>
      </c>
      <c r="K3630" s="29">
        <f>IFERROR(IF(AND(ISNUMBER(C3630),ISNUMBER(J3630)),C3630/J3630-1,""),"")</f>
        <v/>
      </c>
      <c r="L3630" s="28">
        <f>IFERROR(IF(AND(ISNUMBER(D3630),ISNUMBER(E3630)),D3630-E3630,""),"")</f>
        <v/>
      </c>
    </row>
    <row r="3631">
      <c r="A3631" s="7">
        <f>IFERROR(Datos!A3631,"")</f>
        <v/>
      </c>
      <c r="B3631" s="8">
        <f>IFERROR(Datos!B3631,"")</f>
        <v/>
      </c>
      <c r="C3631" s="8">
        <f>IFERROR(Datos!C3631,"")</f>
        <v/>
      </c>
      <c r="D3631" s="28">
        <f>IFERROR(IF(AND(ISNUMBER(B3631),ISNUMBER(B3630),B3630&lt;&gt;0),B3631/B3630-1,""),"")</f>
        <v/>
      </c>
      <c r="E3631" s="28">
        <f>IFERROR(IF(AND(ISNUMBER(C3631),ISNUMBER(C3630),C3630&lt;&gt;0),C3631/C3630-1,""),"")</f>
        <v/>
      </c>
      <c r="F3631" s="28">
        <f>IFERROR(D3631-Dashboard!$B$4/252,"")</f>
        <v/>
      </c>
      <c r="G3631" s="28">
        <f>IFERROR(E3631-Dashboard!$B$4/252,"")</f>
        <v/>
      </c>
      <c r="H3631" s="8">
        <f>IFERROR(IF(ISNUMBER(B3631),MAX(B3631,IFERROR(H3630,B3631)),""),"")</f>
        <v/>
      </c>
      <c r="I3631" s="29">
        <f>IFERROR(IF(AND(ISNUMBER(B3631),ISNUMBER(H3631)),B3631/H3631-1,""),"")</f>
        <v/>
      </c>
      <c r="J3631" s="8">
        <f>IFERROR(IF(ISNUMBER(C3631),MAX(C3631,IFERROR(J3630,C3631)),""),"")</f>
        <v/>
      </c>
      <c r="K3631" s="29">
        <f>IFERROR(IF(AND(ISNUMBER(C3631),ISNUMBER(J3631)),C3631/J3631-1,""),"")</f>
        <v/>
      </c>
      <c r="L3631" s="28">
        <f>IFERROR(IF(AND(ISNUMBER(D3631),ISNUMBER(E3631)),D3631-E3631,""),"")</f>
        <v/>
      </c>
    </row>
    <row r="3632">
      <c r="A3632" s="7">
        <f>IFERROR(Datos!A3632,"")</f>
        <v/>
      </c>
      <c r="B3632" s="8">
        <f>IFERROR(Datos!B3632,"")</f>
        <v/>
      </c>
      <c r="C3632" s="8">
        <f>IFERROR(Datos!C3632,"")</f>
        <v/>
      </c>
      <c r="D3632" s="28">
        <f>IFERROR(IF(AND(ISNUMBER(B3632),ISNUMBER(B3631),B3631&lt;&gt;0),B3632/B3631-1,""),"")</f>
        <v/>
      </c>
      <c r="E3632" s="28">
        <f>IFERROR(IF(AND(ISNUMBER(C3632),ISNUMBER(C3631),C3631&lt;&gt;0),C3632/C3631-1,""),"")</f>
        <v/>
      </c>
      <c r="F3632" s="28">
        <f>IFERROR(D3632-Dashboard!$B$4/252,"")</f>
        <v/>
      </c>
      <c r="G3632" s="28">
        <f>IFERROR(E3632-Dashboard!$B$4/252,"")</f>
        <v/>
      </c>
      <c r="H3632" s="8">
        <f>IFERROR(IF(ISNUMBER(B3632),MAX(B3632,IFERROR(H3631,B3632)),""),"")</f>
        <v/>
      </c>
      <c r="I3632" s="29">
        <f>IFERROR(IF(AND(ISNUMBER(B3632),ISNUMBER(H3632)),B3632/H3632-1,""),"")</f>
        <v/>
      </c>
      <c r="J3632" s="8">
        <f>IFERROR(IF(ISNUMBER(C3632),MAX(C3632,IFERROR(J3631,C3632)),""),"")</f>
        <v/>
      </c>
      <c r="K3632" s="29">
        <f>IFERROR(IF(AND(ISNUMBER(C3632),ISNUMBER(J3632)),C3632/J3632-1,""),"")</f>
        <v/>
      </c>
      <c r="L3632" s="28">
        <f>IFERROR(IF(AND(ISNUMBER(D3632),ISNUMBER(E3632)),D3632-E3632,""),"")</f>
        <v/>
      </c>
    </row>
    <row r="3633">
      <c r="A3633" s="7">
        <f>IFERROR(Datos!A3633,"")</f>
        <v/>
      </c>
      <c r="B3633" s="8">
        <f>IFERROR(Datos!B3633,"")</f>
        <v/>
      </c>
      <c r="C3633" s="8">
        <f>IFERROR(Datos!C3633,"")</f>
        <v/>
      </c>
      <c r="D3633" s="28">
        <f>IFERROR(IF(AND(ISNUMBER(B3633),ISNUMBER(B3632),B3632&lt;&gt;0),B3633/B3632-1,""),"")</f>
        <v/>
      </c>
      <c r="E3633" s="28">
        <f>IFERROR(IF(AND(ISNUMBER(C3633),ISNUMBER(C3632),C3632&lt;&gt;0),C3633/C3632-1,""),"")</f>
        <v/>
      </c>
      <c r="F3633" s="28">
        <f>IFERROR(D3633-Dashboard!$B$4/252,"")</f>
        <v/>
      </c>
      <c r="G3633" s="28">
        <f>IFERROR(E3633-Dashboard!$B$4/252,"")</f>
        <v/>
      </c>
      <c r="H3633" s="8">
        <f>IFERROR(IF(ISNUMBER(B3633),MAX(B3633,IFERROR(H3632,B3633)),""),"")</f>
        <v/>
      </c>
      <c r="I3633" s="29">
        <f>IFERROR(IF(AND(ISNUMBER(B3633),ISNUMBER(H3633)),B3633/H3633-1,""),"")</f>
        <v/>
      </c>
      <c r="J3633" s="8">
        <f>IFERROR(IF(ISNUMBER(C3633),MAX(C3633,IFERROR(J3632,C3633)),""),"")</f>
        <v/>
      </c>
      <c r="K3633" s="29">
        <f>IFERROR(IF(AND(ISNUMBER(C3633),ISNUMBER(J3633)),C3633/J3633-1,""),"")</f>
        <v/>
      </c>
      <c r="L3633" s="28">
        <f>IFERROR(IF(AND(ISNUMBER(D3633),ISNUMBER(E3633)),D3633-E3633,""),"")</f>
        <v/>
      </c>
    </row>
    <row r="3634">
      <c r="A3634" s="7">
        <f>IFERROR(Datos!A3634,"")</f>
        <v/>
      </c>
      <c r="B3634" s="8">
        <f>IFERROR(Datos!B3634,"")</f>
        <v/>
      </c>
      <c r="C3634" s="8">
        <f>IFERROR(Datos!C3634,"")</f>
        <v/>
      </c>
      <c r="D3634" s="28">
        <f>IFERROR(IF(AND(ISNUMBER(B3634),ISNUMBER(B3633),B3633&lt;&gt;0),B3634/B3633-1,""),"")</f>
        <v/>
      </c>
      <c r="E3634" s="28">
        <f>IFERROR(IF(AND(ISNUMBER(C3634),ISNUMBER(C3633),C3633&lt;&gt;0),C3634/C3633-1,""),"")</f>
        <v/>
      </c>
      <c r="F3634" s="28">
        <f>IFERROR(D3634-Dashboard!$B$4/252,"")</f>
        <v/>
      </c>
      <c r="G3634" s="28">
        <f>IFERROR(E3634-Dashboard!$B$4/252,"")</f>
        <v/>
      </c>
      <c r="H3634" s="8">
        <f>IFERROR(IF(ISNUMBER(B3634),MAX(B3634,IFERROR(H3633,B3634)),""),"")</f>
        <v/>
      </c>
      <c r="I3634" s="29">
        <f>IFERROR(IF(AND(ISNUMBER(B3634),ISNUMBER(H3634)),B3634/H3634-1,""),"")</f>
        <v/>
      </c>
      <c r="J3634" s="8">
        <f>IFERROR(IF(ISNUMBER(C3634),MAX(C3634,IFERROR(J3633,C3634)),""),"")</f>
        <v/>
      </c>
      <c r="K3634" s="29">
        <f>IFERROR(IF(AND(ISNUMBER(C3634),ISNUMBER(J3634)),C3634/J3634-1,""),"")</f>
        <v/>
      </c>
      <c r="L3634" s="28">
        <f>IFERROR(IF(AND(ISNUMBER(D3634),ISNUMBER(E3634)),D3634-E3634,""),"")</f>
        <v/>
      </c>
    </row>
    <row r="3635">
      <c r="A3635" s="7">
        <f>IFERROR(Datos!A3635,"")</f>
        <v/>
      </c>
      <c r="B3635" s="8">
        <f>IFERROR(Datos!B3635,"")</f>
        <v/>
      </c>
      <c r="C3635" s="8">
        <f>IFERROR(Datos!C3635,"")</f>
        <v/>
      </c>
      <c r="D3635" s="28">
        <f>IFERROR(IF(AND(ISNUMBER(B3635),ISNUMBER(B3634),B3634&lt;&gt;0),B3635/B3634-1,""),"")</f>
        <v/>
      </c>
      <c r="E3635" s="28">
        <f>IFERROR(IF(AND(ISNUMBER(C3635),ISNUMBER(C3634),C3634&lt;&gt;0),C3635/C3634-1,""),"")</f>
        <v/>
      </c>
      <c r="F3635" s="28">
        <f>IFERROR(D3635-Dashboard!$B$4/252,"")</f>
        <v/>
      </c>
      <c r="G3635" s="28">
        <f>IFERROR(E3635-Dashboard!$B$4/252,"")</f>
        <v/>
      </c>
      <c r="H3635" s="8">
        <f>IFERROR(IF(ISNUMBER(B3635),MAX(B3635,IFERROR(H3634,B3635)),""),"")</f>
        <v/>
      </c>
      <c r="I3635" s="29">
        <f>IFERROR(IF(AND(ISNUMBER(B3635),ISNUMBER(H3635)),B3635/H3635-1,""),"")</f>
        <v/>
      </c>
      <c r="J3635" s="8">
        <f>IFERROR(IF(ISNUMBER(C3635),MAX(C3635,IFERROR(J3634,C3635)),""),"")</f>
        <v/>
      </c>
      <c r="K3635" s="29">
        <f>IFERROR(IF(AND(ISNUMBER(C3635),ISNUMBER(J3635)),C3635/J3635-1,""),"")</f>
        <v/>
      </c>
      <c r="L3635" s="28">
        <f>IFERROR(IF(AND(ISNUMBER(D3635),ISNUMBER(E3635)),D3635-E3635,""),"")</f>
        <v/>
      </c>
    </row>
    <row r="3636">
      <c r="A3636" s="7">
        <f>IFERROR(Datos!A3636,"")</f>
        <v/>
      </c>
      <c r="B3636" s="8">
        <f>IFERROR(Datos!B3636,"")</f>
        <v/>
      </c>
      <c r="C3636" s="8">
        <f>IFERROR(Datos!C3636,"")</f>
        <v/>
      </c>
      <c r="D3636" s="28">
        <f>IFERROR(IF(AND(ISNUMBER(B3636),ISNUMBER(B3635),B3635&lt;&gt;0),B3636/B3635-1,""),"")</f>
        <v/>
      </c>
      <c r="E3636" s="28">
        <f>IFERROR(IF(AND(ISNUMBER(C3636),ISNUMBER(C3635),C3635&lt;&gt;0),C3636/C3635-1,""),"")</f>
        <v/>
      </c>
      <c r="F3636" s="28">
        <f>IFERROR(D3636-Dashboard!$B$4/252,"")</f>
        <v/>
      </c>
      <c r="G3636" s="28">
        <f>IFERROR(E3636-Dashboard!$B$4/252,"")</f>
        <v/>
      </c>
      <c r="H3636" s="8">
        <f>IFERROR(IF(ISNUMBER(B3636),MAX(B3636,IFERROR(H3635,B3636)),""),"")</f>
        <v/>
      </c>
      <c r="I3636" s="29">
        <f>IFERROR(IF(AND(ISNUMBER(B3636),ISNUMBER(H3636)),B3636/H3636-1,""),"")</f>
        <v/>
      </c>
      <c r="J3636" s="8">
        <f>IFERROR(IF(ISNUMBER(C3636),MAX(C3636,IFERROR(J3635,C3636)),""),"")</f>
        <v/>
      </c>
      <c r="K3636" s="29">
        <f>IFERROR(IF(AND(ISNUMBER(C3636),ISNUMBER(J3636)),C3636/J3636-1,""),"")</f>
        <v/>
      </c>
      <c r="L3636" s="28">
        <f>IFERROR(IF(AND(ISNUMBER(D3636),ISNUMBER(E3636)),D3636-E3636,""),"")</f>
        <v/>
      </c>
    </row>
    <row r="3637">
      <c r="A3637" s="7">
        <f>IFERROR(Datos!A3637,"")</f>
        <v/>
      </c>
      <c r="B3637" s="8">
        <f>IFERROR(Datos!B3637,"")</f>
        <v/>
      </c>
      <c r="C3637" s="8">
        <f>IFERROR(Datos!C3637,"")</f>
        <v/>
      </c>
      <c r="D3637" s="28">
        <f>IFERROR(IF(AND(ISNUMBER(B3637),ISNUMBER(B3636),B3636&lt;&gt;0),B3637/B3636-1,""),"")</f>
        <v/>
      </c>
      <c r="E3637" s="28">
        <f>IFERROR(IF(AND(ISNUMBER(C3637),ISNUMBER(C3636),C3636&lt;&gt;0),C3637/C3636-1,""),"")</f>
        <v/>
      </c>
      <c r="F3637" s="28">
        <f>IFERROR(D3637-Dashboard!$B$4/252,"")</f>
        <v/>
      </c>
      <c r="G3637" s="28">
        <f>IFERROR(E3637-Dashboard!$B$4/252,"")</f>
        <v/>
      </c>
      <c r="H3637" s="8">
        <f>IFERROR(IF(ISNUMBER(B3637),MAX(B3637,IFERROR(H3636,B3637)),""),"")</f>
        <v/>
      </c>
      <c r="I3637" s="29">
        <f>IFERROR(IF(AND(ISNUMBER(B3637),ISNUMBER(H3637)),B3637/H3637-1,""),"")</f>
        <v/>
      </c>
      <c r="J3637" s="8">
        <f>IFERROR(IF(ISNUMBER(C3637),MAX(C3637,IFERROR(J3636,C3637)),""),"")</f>
        <v/>
      </c>
      <c r="K3637" s="29">
        <f>IFERROR(IF(AND(ISNUMBER(C3637),ISNUMBER(J3637)),C3637/J3637-1,""),"")</f>
        <v/>
      </c>
      <c r="L3637" s="28">
        <f>IFERROR(IF(AND(ISNUMBER(D3637),ISNUMBER(E3637)),D3637-E3637,""),"")</f>
        <v/>
      </c>
    </row>
    <row r="3638">
      <c r="A3638" s="7">
        <f>IFERROR(Datos!A3638,"")</f>
        <v/>
      </c>
      <c r="B3638" s="8">
        <f>IFERROR(Datos!B3638,"")</f>
        <v/>
      </c>
      <c r="C3638" s="8">
        <f>IFERROR(Datos!C3638,"")</f>
        <v/>
      </c>
      <c r="D3638" s="28">
        <f>IFERROR(IF(AND(ISNUMBER(B3638),ISNUMBER(B3637),B3637&lt;&gt;0),B3638/B3637-1,""),"")</f>
        <v/>
      </c>
      <c r="E3638" s="28">
        <f>IFERROR(IF(AND(ISNUMBER(C3638),ISNUMBER(C3637),C3637&lt;&gt;0),C3638/C3637-1,""),"")</f>
        <v/>
      </c>
      <c r="F3638" s="28">
        <f>IFERROR(D3638-Dashboard!$B$4/252,"")</f>
        <v/>
      </c>
      <c r="G3638" s="28">
        <f>IFERROR(E3638-Dashboard!$B$4/252,"")</f>
        <v/>
      </c>
      <c r="H3638" s="8">
        <f>IFERROR(IF(ISNUMBER(B3638),MAX(B3638,IFERROR(H3637,B3638)),""),"")</f>
        <v/>
      </c>
      <c r="I3638" s="29">
        <f>IFERROR(IF(AND(ISNUMBER(B3638),ISNUMBER(H3638)),B3638/H3638-1,""),"")</f>
        <v/>
      </c>
      <c r="J3638" s="8">
        <f>IFERROR(IF(ISNUMBER(C3638),MAX(C3638,IFERROR(J3637,C3638)),""),"")</f>
        <v/>
      </c>
      <c r="K3638" s="29">
        <f>IFERROR(IF(AND(ISNUMBER(C3638),ISNUMBER(J3638)),C3638/J3638-1,""),"")</f>
        <v/>
      </c>
      <c r="L3638" s="28">
        <f>IFERROR(IF(AND(ISNUMBER(D3638),ISNUMBER(E3638)),D3638-E3638,""),"")</f>
        <v/>
      </c>
    </row>
    <row r="3639">
      <c r="A3639" s="7">
        <f>IFERROR(Datos!A3639,"")</f>
        <v/>
      </c>
      <c r="B3639" s="8">
        <f>IFERROR(Datos!B3639,"")</f>
        <v/>
      </c>
      <c r="C3639" s="8">
        <f>IFERROR(Datos!C3639,"")</f>
        <v/>
      </c>
      <c r="D3639" s="28">
        <f>IFERROR(IF(AND(ISNUMBER(B3639),ISNUMBER(B3638),B3638&lt;&gt;0),B3639/B3638-1,""),"")</f>
        <v/>
      </c>
      <c r="E3639" s="28">
        <f>IFERROR(IF(AND(ISNUMBER(C3639),ISNUMBER(C3638),C3638&lt;&gt;0),C3639/C3638-1,""),"")</f>
        <v/>
      </c>
      <c r="F3639" s="28">
        <f>IFERROR(D3639-Dashboard!$B$4/252,"")</f>
        <v/>
      </c>
      <c r="G3639" s="28">
        <f>IFERROR(E3639-Dashboard!$B$4/252,"")</f>
        <v/>
      </c>
      <c r="H3639" s="8">
        <f>IFERROR(IF(ISNUMBER(B3639),MAX(B3639,IFERROR(H3638,B3639)),""),"")</f>
        <v/>
      </c>
      <c r="I3639" s="29">
        <f>IFERROR(IF(AND(ISNUMBER(B3639),ISNUMBER(H3639)),B3639/H3639-1,""),"")</f>
        <v/>
      </c>
      <c r="J3639" s="8">
        <f>IFERROR(IF(ISNUMBER(C3639),MAX(C3639,IFERROR(J3638,C3639)),""),"")</f>
        <v/>
      </c>
      <c r="K3639" s="29">
        <f>IFERROR(IF(AND(ISNUMBER(C3639),ISNUMBER(J3639)),C3639/J3639-1,""),"")</f>
        <v/>
      </c>
      <c r="L3639" s="28">
        <f>IFERROR(IF(AND(ISNUMBER(D3639),ISNUMBER(E3639)),D3639-E3639,""),"")</f>
        <v/>
      </c>
    </row>
    <row r="3640">
      <c r="A3640" s="7">
        <f>IFERROR(Datos!A3640,"")</f>
        <v/>
      </c>
      <c r="B3640" s="8">
        <f>IFERROR(Datos!B3640,"")</f>
        <v/>
      </c>
      <c r="C3640" s="8">
        <f>IFERROR(Datos!C3640,"")</f>
        <v/>
      </c>
      <c r="D3640" s="28">
        <f>IFERROR(IF(AND(ISNUMBER(B3640),ISNUMBER(B3639),B3639&lt;&gt;0),B3640/B3639-1,""),"")</f>
        <v/>
      </c>
      <c r="E3640" s="28">
        <f>IFERROR(IF(AND(ISNUMBER(C3640),ISNUMBER(C3639),C3639&lt;&gt;0),C3640/C3639-1,""),"")</f>
        <v/>
      </c>
      <c r="F3640" s="28">
        <f>IFERROR(D3640-Dashboard!$B$4/252,"")</f>
        <v/>
      </c>
      <c r="G3640" s="28">
        <f>IFERROR(E3640-Dashboard!$B$4/252,"")</f>
        <v/>
      </c>
      <c r="H3640" s="8">
        <f>IFERROR(IF(ISNUMBER(B3640),MAX(B3640,IFERROR(H3639,B3640)),""),"")</f>
        <v/>
      </c>
      <c r="I3640" s="29">
        <f>IFERROR(IF(AND(ISNUMBER(B3640),ISNUMBER(H3640)),B3640/H3640-1,""),"")</f>
        <v/>
      </c>
      <c r="J3640" s="8">
        <f>IFERROR(IF(ISNUMBER(C3640),MAX(C3640,IFERROR(J3639,C3640)),""),"")</f>
        <v/>
      </c>
      <c r="K3640" s="29">
        <f>IFERROR(IF(AND(ISNUMBER(C3640),ISNUMBER(J3640)),C3640/J3640-1,""),"")</f>
        <v/>
      </c>
      <c r="L3640" s="28">
        <f>IFERROR(IF(AND(ISNUMBER(D3640),ISNUMBER(E3640)),D3640-E3640,""),"")</f>
        <v/>
      </c>
    </row>
    <row r="3641">
      <c r="A3641" s="7">
        <f>IFERROR(Datos!A3641,"")</f>
        <v/>
      </c>
      <c r="B3641" s="8">
        <f>IFERROR(Datos!B3641,"")</f>
        <v/>
      </c>
      <c r="C3641" s="8">
        <f>IFERROR(Datos!C3641,"")</f>
        <v/>
      </c>
      <c r="D3641" s="28">
        <f>IFERROR(IF(AND(ISNUMBER(B3641),ISNUMBER(B3640),B3640&lt;&gt;0),B3641/B3640-1,""),"")</f>
        <v/>
      </c>
      <c r="E3641" s="28">
        <f>IFERROR(IF(AND(ISNUMBER(C3641),ISNUMBER(C3640),C3640&lt;&gt;0),C3641/C3640-1,""),"")</f>
        <v/>
      </c>
      <c r="F3641" s="28">
        <f>IFERROR(D3641-Dashboard!$B$4/252,"")</f>
        <v/>
      </c>
      <c r="G3641" s="28">
        <f>IFERROR(E3641-Dashboard!$B$4/252,"")</f>
        <v/>
      </c>
      <c r="H3641" s="8">
        <f>IFERROR(IF(ISNUMBER(B3641),MAX(B3641,IFERROR(H3640,B3641)),""),"")</f>
        <v/>
      </c>
      <c r="I3641" s="29">
        <f>IFERROR(IF(AND(ISNUMBER(B3641),ISNUMBER(H3641)),B3641/H3641-1,""),"")</f>
        <v/>
      </c>
      <c r="J3641" s="8">
        <f>IFERROR(IF(ISNUMBER(C3641),MAX(C3641,IFERROR(J3640,C3641)),""),"")</f>
        <v/>
      </c>
      <c r="K3641" s="29">
        <f>IFERROR(IF(AND(ISNUMBER(C3641),ISNUMBER(J3641)),C3641/J3641-1,""),"")</f>
        <v/>
      </c>
      <c r="L3641" s="28">
        <f>IFERROR(IF(AND(ISNUMBER(D3641),ISNUMBER(E3641)),D3641-E3641,""),"")</f>
        <v/>
      </c>
    </row>
    <row r="3642">
      <c r="A3642" s="7">
        <f>IFERROR(Datos!A3642,"")</f>
        <v/>
      </c>
      <c r="B3642" s="8">
        <f>IFERROR(Datos!B3642,"")</f>
        <v/>
      </c>
      <c r="C3642" s="8">
        <f>IFERROR(Datos!C3642,"")</f>
        <v/>
      </c>
      <c r="D3642" s="28">
        <f>IFERROR(IF(AND(ISNUMBER(B3642),ISNUMBER(B3641),B3641&lt;&gt;0),B3642/B3641-1,""),"")</f>
        <v/>
      </c>
      <c r="E3642" s="28">
        <f>IFERROR(IF(AND(ISNUMBER(C3642),ISNUMBER(C3641),C3641&lt;&gt;0),C3642/C3641-1,""),"")</f>
        <v/>
      </c>
      <c r="F3642" s="28">
        <f>IFERROR(D3642-Dashboard!$B$4/252,"")</f>
        <v/>
      </c>
      <c r="G3642" s="28">
        <f>IFERROR(E3642-Dashboard!$B$4/252,"")</f>
        <v/>
      </c>
      <c r="H3642" s="8">
        <f>IFERROR(IF(ISNUMBER(B3642),MAX(B3642,IFERROR(H3641,B3642)),""),"")</f>
        <v/>
      </c>
      <c r="I3642" s="29">
        <f>IFERROR(IF(AND(ISNUMBER(B3642),ISNUMBER(H3642)),B3642/H3642-1,""),"")</f>
        <v/>
      </c>
      <c r="J3642" s="8">
        <f>IFERROR(IF(ISNUMBER(C3642),MAX(C3642,IFERROR(J3641,C3642)),""),"")</f>
        <v/>
      </c>
      <c r="K3642" s="29">
        <f>IFERROR(IF(AND(ISNUMBER(C3642),ISNUMBER(J3642)),C3642/J3642-1,""),"")</f>
        <v/>
      </c>
      <c r="L3642" s="28">
        <f>IFERROR(IF(AND(ISNUMBER(D3642),ISNUMBER(E3642)),D3642-E3642,""),"")</f>
        <v/>
      </c>
    </row>
    <row r="3643">
      <c r="A3643" s="7">
        <f>IFERROR(Datos!A3643,"")</f>
        <v/>
      </c>
      <c r="B3643" s="8">
        <f>IFERROR(Datos!B3643,"")</f>
        <v/>
      </c>
      <c r="C3643" s="8">
        <f>IFERROR(Datos!C3643,"")</f>
        <v/>
      </c>
      <c r="D3643" s="28">
        <f>IFERROR(IF(AND(ISNUMBER(B3643),ISNUMBER(B3642),B3642&lt;&gt;0),B3643/B3642-1,""),"")</f>
        <v/>
      </c>
      <c r="E3643" s="28">
        <f>IFERROR(IF(AND(ISNUMBER(C3643),ISNUMBER(C3642),C3642&lt;&gt;0),C3643/C3642-1,""),"")</f>
        <v/>
      </c>
      <c r="F3643" s="28">
        <f>IFERROR(D3643-Dashboard!$B$4/252,"")</f>
        <v/>
      </c>
      <c r="G3643" s="28">
        <f>IFERROR(E3643-Dashboard!$B$4/252,"")</f>
        <v/>
      </c>
      <c r="H3643" s="8">
        <f>IFERROR(IF(ISNUMBER(B3643),MAX(B3643,IFERROR(H3642,B3643)),""),"")</f>
        <v/>
      </c>
      <c r="I3643" s="29">
        <f>IFERROR(IF(AND(ISNUMBER(B3643),ISNUMBER(H3643)),B3643/H3643-1,""),"")</f>
        <v/>
      </c>
      <c r="J3643" s="8">
        <f>IFERROR(IF(ISNUMBER(C3643),MAX(C3643,IFERROR(J3642,C3643)),""),"")</f>
        <v/>
      </c>
      <c r="K3643" s="29">
        <f>IFERROR(IF(AND(ISNUMBER(C3643),ISNUMBER(J3643)),C3643/J3643-1,""),"")</f>
        <v/>
      </c>
      <c r="L3643" s="28">
        <f>IFERROR(IF(AND(ISNUMBER(D3643),ISNUMBER(E3643)),D3643-E3643,""),"")</f>
        <v/>
      </c>
    </row>
    <row r="3644">
      <c r="A3644" s="7">
        <f>IFERROR(Datos!A3644,"")</f>
        <v/>
      </c>
      <c r="B3644" s="8">
        <f>IFERROR(Datos!B3644,"")</f>
        <v/>
      </c>
      <c r="C3644" s="8">
        <f>IFERROR(Datos!C3644,"")</f>
        <v/>
      </c>
      <c r="D3644" s="28">
        <f>IFERROR(IF(AND(ISNUMBER(B3644),ISNUMBER(B3643),B3643&lt;&gt;0),B3644/B3643-1,""),"")</f>
        <v/>
      </c>
      <c r="E3644" s="28">
        <f>IFERROR(IF(AND(ISNUMBER(C3644),ISNUMBER(C3643),C3643&lt;&gt;0),C3644/C3643-1,""),"")</f>
        <v/>
      </c>
      <c r="F3644" s="28">
        <f>IFERROR(D3644-Dashboard!$B$4/252,"")</f>
        <v/>
      </c>
      <c r="G3644" s="28">
        <f>IFERROR(E3644-Dashboard!$B$4/252,"")</f>
        <v/>
      </c>
      <c r="H3644" s="8">
        <f>IFERROR(IF(ISNUMBER(B3644),MAX(B3644,IFERROR(H3643,B3644)),""),"")</f>
        <v/>
      </c>
      <c r="I3644" s="29">
        <f>IFERROR(IF(AND(ISNUMBER(B3644),ISNUMBER(H3644)),B3644/H3644-1,""),"")</f>
        <v/>
      </c>
      <c r="J3644" s="8">
        <f>IFERROR(IF(ISNUMBER(C3644),MAX(C3644,IFERROR(J3643,C3644)),""),"")</f>
        <v/>
      </c>
      <c r="K3644" s="29">
        <f>IFERROR(IF(AND(ISNUMBER(C3644),ISNUMBER(J3644)),C3644/J3644-1,""),"")</f>
        <v/>
      </c>
      <c r="L3644" s="28">
        <f>IFERROR(IF(AND(ISNUMBER(D3644),ISNUMBER(E3644)),D3644-E3644,""),"")</f>
        <v/>
      </c>
    </row>
    <row r="3645">
      <c r="A3645" s="7">
        <f>IFERROR(Datos!A3645,"")</f>
        <v/>
      </c>
      <c r="B3645" s="8">
        <f>IFERROR(Datos!B3645,"")</f>
        <v/>
      </c>
      <c r="C3645" s="8">
        <f>IFERROR(Datos!C3645,"")</f>
        <v/>
      </c>
      <c r="D3645" s="28">
        <f>IFERROR(IF(AND(ISNUMBER(B3645),ISNUMBER(B3644),B3644&lt;&gt;0),B3645/B3644-1,""),"")</f>
        <v/>
      </c>
      <c r="E3645" s="28">
        <f>IFERROR(IF(AND(ISNUMBER(C3645),ISNUMBER(C3644),C3644&lt;&gt;0),C3645/C3644-1,""),"")</f>
        <v/>
      </c>
      <c r="F3645" s="28">
        <f>IFERROR(D3645-Dashboard!$B$4/252,"")</f>
        <v/>
      </c>
      <c r="G3645" s="28">
        <f>IFERROR(E3645-Dashboard!$B$4/252,"")</f>
        <v/>
      </c>
      <c r="H3645" s="8">
        <f>IFERROR(IF(ISNUMBER(B3645),MAX(B3645,IFERROR(H3644,B3645)),""),"")</f>
        <v/>
      </c>
      <c r="I3645" s="29">
        <f>IFERROR(IF(AND(ISNUMBER(B3645),ISNUMBER(H3645)),B3645/H3645-1,""),"")</f>
        <v/>
      </c>
      <c r="J3645" s="8">
        <f>IFERROR(IF(ISNUMBER(C3645),MAX(C3645,IFERROR(J3644,C3645)),""),"")</f>
        <v/>
      </c>
      <c r="K3645" s="29">
        <f>IFERROR(IF(AND(ISNUMBER(C3645),ISNUMBER(J3645)),C3645/J3645-1,""),"")</f>
        <v/>
      </c>
      <c r="L3645" s="28">
        <f>IFERROR(IF(AND(ISNUMBER(D3645),ISNUMBER(E3645)),D3645-E3645,""),"")</f>
        <v/>
      </c>
    </row>
    <row r="3646">
      <c r="A3646" s="7">
        <f>IFERROR(Datos!A3646,"")</f>
        <v/>
      </c>
      <c r="B3646" s="8">
        <f>IFERROR(Datos!B3646,"")</f>
        <v/>
      </c>
      <c r="C3646" s="8">
        <f>IFERROR(Datos!C3646,"")</f>
        <v/>
      </c>
      <c r="D3646" s="28">
        <f>IFERROR(IF(AND(ISNUMBER(B3646),ISNUMBER(B3645),B3645&lt;&gt;0),B3646/B3645-1,""),"")</f>
        <v/>
      </c>
      <c r="E3646" s="28">
        <f>IFERROR(IF(AND(ISNUMBER(C3646),ISNUMBER(C3645),C3645&lt;&gt;0),C3646/C3645-1,""),"")</f>
        <v/>
      </c>
      <c r="F3646" s="28">
        <f>IFERROR(D3646-Dashboard!$B$4/252,"")</f>
        <v/>
      </c>
      <c r="G3646" s="28">
        <f>IFERROR(E3646-Dashboard!$B$4/252,"")</f>
        <v/>
      </c>
      <c r="H3646" s="8">
        <f>IFERROR(IF(ISNUMBER(B3646),MAX(B3646,IFERROR(H3645,B3646)),""),"")</f>
        <v/>
      </c>
      <c r="I3646" s="29">
        <f>IFERROR(IF(AND(ISNUMBER(B3646),ISNUMBER(H3646)),B3646/H3646-1,""),"")</f>
        <v/>
      </c>
      <c r="J3646" s="8">
        <f>IFERROR(IF(ISNUMBER(C3646),MAX(C3646,IFERROR(J3645,C3646)),""),"")</f>
        <v/>
      </c>
      <c r="K3646" s="29">
        <f>IFERROR(IF(AND(ISNUMBER(C3646),ISNUMBER(J3646)),C3646/J3646-1,""),"")</f>
        <v/>
      </c>
      <c r="L3646" s="28">
        <f>IFERROR(IF(AND(ISNUMBER(D3646),ISNUMBER(E3646)),D3646-E3646,""),"")</f>
        <v/>
      </c>
    </row>
    <row r="3647">
      <c r="A3647" s="7">
        <f>IFERROR(Datos!A3647,"")</f>
        <v/>
      </c>
      <c r="B3647" s="8">
        <f>IFERROR(Datos!B3647,"")</f>
        <v/>
      </c>
      <c r="C3647" s="8">
        <f>IFERROR(Datos!C3647,"")</f>
        <v/>
      </c>
      <c r="D3647" s="28">
        <f>IFERROR(IF(AND(ISNUMBER(B3647),ISNUMBER(B3646),B3646&lt;&gt;0),B3647/B3646-1,""),"")</f>
        <v/>
      </c>
      <c r="E3647" s="28">
        <f>IFERROR(IF(AND(ISNUMBER(C3647),ISNUMBER(C3646),C3646&lt;&gt;0),C3647/C3646-1,""),"")</f>
        <v/>
      </c>
      <c r="F3647" s="28">
        <f>IFERROR(D3647-Dashboard!$B$4/252,"")</f>
        <v/>
      </c>
      <c r="G3647" s="28">
        <f>IFERROR(E3647-Dashboard!$B$4/252,"")</f>
        <v/>
      </c>
      <c r="H3647" s="8">
        <f>IFERROR(IF(ISNUMBER(B3647),MAX(B3647,IFERROR(H3646,B3647)),""),"")</f>
        <v/>
      </c>
      <c r="I3647" s="29">
        <f>IFERROR(IF(AND(ISNUMBER(B3647),ISNUMBER(H3647)),B3647/H3647-1,""),"")</f>
        <v/>
      </c>
      <c r="J3647" s="8">
        <f>IFERROR(IF(ISNUMBER(C3647),MAX(C3647,IFERROR(J3646,C3647)),""),"")</f>
        <v/>
      </c>
      <c r="K3647" s="29">
        <f>IFERROR(IF(AND(ISNUMBER(C3647),ISNUMBER(J3647)),C3647/J3647-1,""),"")</f>
        <v/>
      </c>
      <c r="L3647" s="28">
        <f>IFERROR(IF(AND(ISNUMBER(D3647),ISNUMBER(E3647)),D3647-E3647,""),"")</f>
        <v/>
      </c>
    </row>
    <row r="3648">
      <c r="A3648" s="7">
        <f>IFERROR(Datos!A3648,"")</f>
        <v/>
      </c>
      <c r="B3648" s="8">
        <f>IFERROR(Datos!B3648,"")</f>
        <v/>
      </c>
      <c r="C3648" s="8">
        <f>IFERROR(Datos!C3648,"")</f>
        <v/>
      </c>
      <c r="D3648" s="28">
        <f>IFERROR(IF(AND(ISNUMBER(B3648),ISNUMBER(B3647),B3647&lt;&gt;0),B3648/B3647-1,""),"")</f>
        <v/>
      </c>
      <c r="E3648" s="28">
        <f>IFERROR(IF(AND(ISNUMBER(C3648),ISNUMBER(C3647),C3647&lt;&gt;0),C3648/C3647-1,""),"")</f>
        <v/>
      </c>
      <c r="F3648" s="28">
        <f>IFERROR(D3648-Dashboard!$B$4/252,"")</f>
        <v/>
      </c>
      <c r="G3648" s="28">
        <f>IFERROR(E3648-Dashboard!$B$4/252,"")</f>
        <v/>
      </c>
      <c r="H3648" s="8">
        <f>IFERROR(IF(ISNUMBER(B3648),MAX(B3648,IFERROR(H3647,B3648)),""),"")</f>
        <v/>
      </c>
      <c r="I3648" s="29">
        <f>IFERROR(IF(AND(ISNUMBER(B3648),ISNUMBER(H3648)),B3648/H3648-1,""),"")</f>
        <v/>
      </c>
      <c r="J3648" s="8">
        <f>IFERROR(IF(ISNUMBER(C3648),MAX(C3648,IFERROR(J3647,C3648)),""),"")</f>
        <v/>
      </c>
      <c r="K3648" s="29">
        <f>IFERROR(IF(AND(ISNUMBER(C3648),ISNUMBER(J3648)),C3648/J3648-1,""),"")</f>
        <v/>
      </c>
      <c r="L3648" s="28">
        <f>IFERROR(IF(AND(ISNUMBER(D3648),ISNUMBER(E3648)),D3648-E3648,""),"")</f>
        <v/>
      </c>
    </row>
    <row r="3649">
      <c r="A3649" s="7">
        <f>IFERROR(Datos!A3649,"")</f>
        <v/>
      </c>
      <c r="B3649" s="8">
        <f>IFERROR(Datos!B3649,"")</f>
        <v/>
      </c>
      <c r="C3649" s="8">
        <f>IFERROR(Datos!C3649,"")</f>
        <v/>
      </c>
      <c r="D3649" s="28">
        <f>IFERROR(IF(AND(ISNUMBER(B3649),ISNUMBER(B3648),B3648&lt;&gt;0),B3649/B3648-1,""),"")</f>
        <v/>
      </c>
      <c r="E3649" s="28">
        <f>IFERROR(IF(AND(ISNUMBER(C3649),ISNUMBER(C3648),C3648&lt;&gt;0),C3649/C3648-1,""),"")</f>
        <v/>
      </c>
      <c r="F3649" s="28">
        <f>IFERROR(D3649-Dashboard!$B$4/252,"")</f>
        <v/>
      </c>
      <c r="G3649" s="28">
        <f>IFERROR(E3649-Dashboard!$B$4/252,"")</f>
        <v/>
      </c>
      <c r="H3649" s="8">
        <f>IFERROR(IF(ISNUMBER(B3649),MAX(B3649,IFERROR(H3648,B3649)),""),"")</f>
        <v/>
      </c>
      <c r="I3649" s="29">
        <f>IFERROR(IF(AND(ISNUMBER(B3649),ISNUMBER(H3649)),B3649/H3649-1,""),"")</f>
        <v/>
      </c>
      <c r="J3649" s="8">
        <f>IFERROR(IF(ISNUMBER(C3649),MAX(C3649,IFERROR(J3648,C3649)),""),"")</f>
        <v/>
      </c>
      <c r="K3649" s="29">
        <f>IFERROR(IF(AND(ISNUMBER(C3649),ISNUMBER(J3649)),C3649/J3649-1,""),"")</f>
        <v/>
      </c>
      <c r="L3649" s="28">
        <f>IFERROR(IF(AND(ISNUMBER(D3649),ISNUMBER(E3649)),D3649-E3649,""),"")</f>
        <v/>
      </c>
    </row>
    <row r="3650">
      <c r="A3650" s="7">
        <f>IFERROR(Datos!A3650,"")</f>
        <v/>
      </c>
      <c r="B3650" s="8">
        <f>IFERROR(Datos!B3650,"")</f>
        <v/>
      </c>
      <c r="C3650" s="8">
        <f>IFERROR(Datos!C3650,"")</f>
        <v/>
      </c>
      <c r="D3650" s="28">
        <f>IFERROR(IF(AND(ISNUMBER(B3650),ISNUMBER(B3649),B3649&lt;&gt;0),B3650/B3649-1,""),"")</f>
        <v/>
      </c>
      <c r="E3650" s="28">
        <f>IFERROR(IF(AND(ISNUMBER(C3650),ISNUMBER(C3649),C3649&lt;&gt;0),C3650/C3649-1,""),"")</f>
        <v/>
      </c>
      <c r="F3650" s="28">
        <f>IFERROR(D3650-Dashboard!$B$4/252,"")</f>
        <v/>
      </c>
      <c r="G3650" s="28">
        <f>IFERROR(E3650-Dashboard!$B$4/252,"")</f>
        <v/>
      </c>
      <c r="H3650" s="8">
        <f>IFERROR(IF(ISNUMBER(B3650),MAX(B3650,IFERROR(H3649,B3650)),""),"")</f>
        <v/>
      </c>
      <c r="I3650" s="29">
        <f>IFERROR(IF(AND(ISNUMBER(B3650),ISNUMBER(H3650)),B3650/H3650-1,""),"")</f>
        <v/>
      </c>
      <c r="J3650" s="8">
        <f>IFERROR(IF(ISNUMBER(C3650),MAX(C3650,IFERROR(J3649,C3650)),""),"")</f>
        <v/>
      </c>
      <c r="K3650" s="29">
        <f>IFERROR(IF(AND(ISNUMBER(C3650),ISNUMBER(J3650)),C3650/J3650-1,""),"")</f>
        <v/>
      </c>
      <c r="L3650" s="28">
        <f>IFERROR(IF(AND(ISNUMBER(D3650),ISNUMBER(E3650)),D3650-E3650,""),"")</f>
        <v/>
      </c>
    </row>
    <row r="3651">
      <c r="A3651" s="7">
        <f>IFERROR(Datos!A3651,"")</f>
        <v/>
      </c>
      <c r="B3651" s="8">
        <f>IFERROR(Datos!B3651,"")</f>
        <v/>
      </c>
      <c r="C3651" s="8">
        <f>IFERROR(Datos!C3651,"")</f>
        <v/>
      </c>
      <c r="D3651" s="28">
        <f>IFERROR(IF(AND(ISNUMBER(B3651),ISNUMBER(B3650),B3650&lt;&gt;0),B3651/B3650-1,""),"")</f>
        <v/>
      </c>
      <c r="E3651" s="28">
        <f>IFERROR(IF(AND(ISNUMBER(C3651),ISNUMBER(C3650),C3650&lt;&gt;0),C3651/C3650-1,""),"")</f>
        <v/>
      </c>
      <c r="F3651" s="28">
        <f>IFERROR(D3651-Dashboard!$B$4/252,"")</f>
        <v/>
      </c>
      <c r="G3651" s="28">
        <f>IFERROR(E3651-Dashboard!$B$4/252,"")</f>
        <v/>
      </c>
      <c r="H3651" s="8">
        <f>IFERROR(IF(ISNUMBER(B3651),MAX(B3651,IFERROR(H3650,B3651)),""),"")</f>
        <v/>
      </c>
      <c r="I3651" s="29">
        <f>IFERROR(IF(AND(ISNUMBER(B3651),ISNUMBER(H3651)),B3651/H3651-1,""),"")</f>
        <v/>
      </c>
      <c r="J3651" s="8">
        <f>IFERROR(IF(ISNUMBER(C3651),MAX(C3651,IFERROR(J3650,C3651)),""),"")</f>
        <v/>
      </c>
      <c r="K3651" s="29">
        <f>IFERROR(IF(AND(ISNUMBER(C3651),ISNUMBER(J3651)),C3651/J3651-1,""),"")</f>
        <v/>
      </c>
      <c r="L3651" s="28">
        <f>IFERROR(IF(AND(ISNUMBER(D3651),ISNUMBER(E3651)),D3651-E3651,""),"")</f>
        <v/>
      </c>
    </row>
    <row r="3652">
      <c r="A3652" s="7">
        <f>IFERROR(Datos!A3652,"")</f>
        <v/>
      </c>
      <c r="B3652" s="8">
        <f>IFERROR(Datos!B3652,"")</f>
        <v/>
      </c>
      <c r="C3652" s="8">
        <f>IFERROR(Datos!C3652,"")</f>
        <v/>
      </c>
      <c r="D3652" s="28">
        <f>IFERROR(IF(AND(ISNUMBER(B3652),ISNUMBER(B3651),B3651&lt;&gt;0),B3652/B3651-1,""),"")</f>
        <v/>
      </c>
      <c r="E3652" s="28">
        <f>IFERROR(IF(AND(ISNUMBER(C3652),ISNUMBER(C3651),C3651&lt;&gt;0),C3652/C3651-1,""),"")</f>
        <v/>
      </c>
      <c r="F3652" s="28">
        <f>IFERROR(D3652-Dashboard!$B$4/252,"")</f>
        <v/>
      </c>
      <c r="G3652" s="28">
        <f>IFERROR(E3652-Dashboard!$B$4/252,"")</f>
        <v/>
      </c>
      <c r="H3652" s="8">
        <f>IFERROR(IF(ISNUMBER(B3652),MAX(B3652,IFERROR(H3651,B3652)),""),"")</f>
        <v/>
      </c>
      <c r="I3652" s="29">
        <f>IFERROR(IF(AND(ISNUMBER(B3652),ISNUMBER(H3652)),B3652/H3652-1,""),"")</f>
        <v/>
      </c>
      <c r="J3652" s="8">
        <f>IFERROR(IF(ISNUMBER(C3652),MAX(C3652,IFERROR(J3651,C3652)),""),"")</f>
        <v/>
      </c>
      <c r="K3652" s="29">
        <f>IFERROR(IF(AND(ISNUMBER(C3652),ISNUMBER(J3652)),C3652/J3652-1,""),"")</f>
        <v/>
      </c>
      <c r="L3652" s="28">
        <f>IFERROR(IF(AND(ISNUMBER(D3652),ISNUMBER(E3652)),D3652-E3652,""),"")</f>
        <v/>
      </c>
    </row>
    <row r="3653">
      <c r="A3653" s="7">
        <f>IFERROR(Datos!A3653,"")</f>
        <v/>
      </c>
      <c r="B3653" s="8">
        <f>IFERROR(Datos!B3653,"")</f>
        <v/>
      </c>
      <c r="C3653" s="8">
        <f>IFERROR(Datos!C3653,"")</f>
        <v/>
      </c>
      <c r="D3653" s="28">
        <f>IFERROR(IF(AND(ISNUMBER(B3653),ISNUMBER(B3652),B3652&lt;&gt;0),B3653/B3652-1,""),"")</f>
        <v/>
      </c>
      <c r="E3653" s="28">
        <f>IFERROR(IF(AND(ISNUMBER(C3653),ISNUMBER(C3652),C3652&lt;&gt;0),C3653/C3652-1,""),"")</f>
        <v/>
      </c>
      <c r="F3653" s="28">
        <f>IFERROR(D3653-Dashboard!$B$4/252,"")</f>
        <v/>
      </c>
      <c r="G3653" s="28">
        <f>IFERROR(E3653-Dashboard!$B$4/252,"")</f>
        <v/>
      </c>
      <c r="H3653" s="8">
        <f>IFERROR(IF(ISNUMBER(B3653),MAX(B3653,IFERROR(H3652,B3653)),""),"")</f>
        <v/>
      </c>
      <c r="I3653" s="29">
        <f>IFERROR(IF(AND(ISNUMBER(B3653),ISNUMBER(H3653)),B3653/H3653-1,""),"")</f>
        <v/>
      </c>
      <c r="J3653" s="8">
        <f>IFERROR(IF(ISNUMBER(C3653),MAX(C3653,IFERROR(J3652,C3653)),""),"")</f>
        <v/>
      </c>
      <c r="K3653" s="29">
        <f>IFERROR(IF(AND(ISNUMBER(C3653),ISNUMBER(J3653)),C3653/J3653-1,""),"")</f>
        <v/>
      </c>
      <c r="L3653" s="28">
        <f>IFERROR(IF(AND(ISNUMBER(D3653),ISNUMBER(E3653)),D3653-E3653,""),"")</f>
        <v/>
      </c>
    </row>
    <row r="3654">
      <c r="A3654" s="7">
        <f>IFERROR(Datos!A3654,"")</f>
        <v/>
      </c>
      <c r="B3654" s="8">
        <f>IFERROR(Datos!B3654,"")</f>
        <v/>
      </c>
      <c r="C3654" s="8">
        <f>IFERROR(Datos!C3654,"")</f>
        <v/>
      </c>
      <c r="D3654" s="28">
        <f>IFERROR(IF(AND(ISNUMBER(B3654),ISNUMBER(B3653),B3653&lt;&gt;0),B3654/B3653-1,""),"")</f>
        <v/>
      </c>
      <c r="E3654" s="28">
        <f>IFERROR(IF(AND(ISNUMBER(C3654),ISNUMBER(C3653),C3653&lt;&gt;0),C3654/C3653-1,""),"")</f>
        <v/>
      </c>
      <c r="F3654" s="28">
        <f>IFERROR(D3654-Dashboard!$B$4/252,"")</f>
        <v/>
      </c>
      <c r="G3654" s="28">
        <f>IFERROR(E3654-Dashboard!$B$4/252,"")</f>
        <v/>
      </c>
      <c r="H3654" s="8">
        <f>IFERROR(IF(ISNUMBER(B3654),MAX(B3654,IFERROR(H3653,B3654)),""),"")</f>
        <v/>
      </c>
      <c r="I3654" s="29">
        <f>IFERROR(IF(AND(ISNUMBER(B3654),ISNUMBER(H3654)),B3654/H3654-1,""),"")</f>
        <v/>
      </c>
      <c r="J3654" s="8">
        <f>IFERROR(IF(ISNUMBER(C3654),MAX(C3654,IFERROR(J3653,C3654)),""),"")</f>
        <v/>
      </c>
      <c r="K3654" s="29">
        <f>IFERROR(IF(AND(ISNUMBER(C3654),ISNUMBER(J3654)),C3654/J3654-1,""),"")</f>
        <v/>
      </c>
      <c r="L3654" s="28">
        <f>IFERROR(IF(AND(ISNUMBER(D3654),ISNUMBER(E3654)),D3654-E3654,""),"")</f>
        <v/>
      </c>
    </row>
    <row r="3655">
      <c r="A3655" s="7">
        <f>IFERROR(Datos!A3655,"")</f>
        <v/>
      </c>
      <c r="B3655" s="8">
        <f>IFERROR(Datos!B3655,"")</f>
        <v/>
      </c>
      <c r="C3655" s="8">
        <f>IFERROR(Datos!C3655,"")</f>
        <v/>
      </c>
      <c r="D3655" s="28">
        <f>IFERROR(IF(AND(ISNUMBER(B3655),ISNUMBER(B3654),B3654&lt;&gt;0),B3655/B3654-1,""),"")</f>
        <v/>
      </c>
      <c r="E3655" s="28">
        <f>IFERROR(IF(AND(ISNUMBER(C3655),ISNUMBER(C3654),C3654&lt;&gt;0),C3655/C3654-1,""),"")</f>
        <v/>
      </c>
      <c r="F3655" s="28">
        <f>IFERROR(D3655-Dashboard!$B$4/252,"")</f>
        <v/>
      </c>
      <c r="G3655" s="28">
        <f>IFERROR(E3655-Dashboard!$B$4/252,"")</f>
        <v/>
      </c>
      <c r="H3655" s="8">
        <f>IFERROR(IF(ISNUMBER(B3655),MAX(B3655,IFERROR(H3654,B3655)),""),"")</f>
        <v/>
      </c>
      <c r="I3655" s="29">
        <f>IFERROR(IF(AND(ISNUMBER(B3655),ISNUMBER(H3655)),B3655/H3655-1,""),"")</f>
        <v/>
      </c>
      <c r="J3655" s="8">
        <f>IFERROR(IF(ISNUMBER(C3655),MAX(C3655,IFERROR(J3654,C3655)),""),"")</f>
        <v/>
      </c>
      <c r="K3655" s="29">
        <f>IFERROR(IF(AND(ISNUMBER(C3655),ISNUMBER(J3655)),C3655/J3655-1,""),"")</f>
        <v/>
      </c>
      <c r="L3655" s="28">
        <f>IFERROR(IF(AND(ISNUMBER(D3655),ISNUMBER(E3655)),D3655-E3655,""),"")</f>
        <v/>
      </c>
    </row>
    <row r="3656">
      <c r="A3656" s="7">
        <f>IFERROR(Datos!A3656,"")</f>
        <v/>
      </c>
      <c r="B3656" s="8">
        <f>IFERROR(Datos!B3656,"")</f>
        <v/>
      </c>
      <c r="C3656" s="8">
        <f>IFERROR(Datos!C3656,"")</f>
        <v/>
      </c>
      <c r="D3656" s="28">
        <f>IFERROR(IF(AND(ISNUMBER(B3656),ISNUMBER(B3655),B3655&lt;&gt;0),B3656/B3655-1,""),"")</f>
        <v/>
      </c>
      <c r="E3656" s="28">
        <f>IFERROR(IF(AND(ISNUMBER(C3656),ISNUMBER(C3655),C3655&lt;&gt;0),C3656/C3655-1,""),"")</f>
        <v/>
      </c>
      <c r="F3656" s="28">
        <f>IFERROR(D3656-Dashboard!$B$4/252,"")</f>
        <v/>
      </c>
      <c r="G3656" s="28">
        <f>IFERROR(E3656-Dashboard!$B$4/252,"")</f>
        <v/>
      </c>
      <c r="H3656" s="8">
        <f>IFERROR(IF(ISNUMBER(B3656),MAX(B3656,IFERROR(H3655,B3656)),""),"")</f>
        <v/>
      </c>
      <c r="I3656" s="29">
        <f>IFERROR(IF(AND(ISNUMBER(B3656),ISNUMBER(H3656)),B3656/H3656-1,""),"")</f>
        <v/>
      </c>
      <c r="J3656" s="8">
        <f>IFERROR(IF(ISNUMBER(C3656),MAX(C3656,IFERROR(J3655,C3656)),""),"")</f>
        <v/>
      </c>
      <c r="K3656" s="29">
        <f>IFERROR(IF(AND(ISNUMBER(C3656),ISNUMBER(J3656)),C3656/J3656-1,""),"")</f>
        <v/>
      </c>
      <c r="L3656" s="28">
        <f>IFERROR(IF(AND(ISNUMBER(D3656),ISNUMBER(E3656)),D3656-E3656,""),"")</f>
        <v/>
      </c>
    </row>
    <row r="3657">
      <c r="A3657" s="7">
        <f>IFERROR(Datos!A3657,"")</f>
        <v/>
      </c>
      <c r="B3657" s="8">
        <f>IFERROR(Datos!B3657,"")</f>
        <v/>
      </c>
      <c r="C3657" s="8">
        <f>IFERROR(Datos!C3657,"")</f>
        <v/>
      </c>
      <c r="D3657" s="28">
        <f>IFERROR(IF(AND(ISNUMBER(B3657),ISNUMBER(B3656),B3656&lt;&gt;0),B3657/B3656-1,""),"")</f>
        <v/>
      </c>
      <c r="E3657" s="28">
        <f>IFERROR(IF(AND(ISNUMBER(C3657),ISNUMBER(C3656),C3656&lt;&gt;0),C3657/C3656-1,""),"")</f>
        <v/>
      </c>
      <c r="F3657" s="28">
        <f>IFERROR(D3657-Dashboard!$B$4/252,"")</f>
        <v/>
      </c>
      <c r="G3657" s="28">
        <f>IFERROR(E3657-Dashboard!$B$4/252,"")</f>
        <v/>
      </c>
      <c r="H3657" s="8">
        <f>IFERROR(IF(ISNUMBER(B3657),MAX(B3657,IFERROR(H3656,B3657)),""),"")</f>
        <v/>
      </c>
      <c r="I3657" s="29">
        <f>IFERROR(IF(AND(ISNUMBER(B3657),ISNUMBER(H3657)),B3657/H3657-1,""),"")</f>
        <v/>
      </c>
      <c r="J3657" s="8">
        <f>IFERROR(IF(ISNUMBER(C3657),MAX(C3657,IFERROR(J3656,C3657)),""),"")</f>
        <v/>
      </c>
      <c r="K3657" s="29">
        <f>IFERROR(IF(AND(ISNUMBER(C3657),ISNUMBER(J3657)),C3657/J3657-1,""),"")</f>
        <v/>
      </c>
      <c r="L3657" s="28">
        <f>IFERROR(IF(AND(ISNUMBER(D3657),ISNUMBER(E3657)),D3657-E3657,""),"")</f>
        <v/>
      </c>
    </row>
    <row r="3658">
      <c r="A3658" s="7">
        <f>IFERROR(Datos!A3658,"")</f>
        <v/>
      </c>
      <c r="B3658" s="8">
        <f>IFERROR(Datos!B3658,"")</f>
        <v/>
      </c>
      <c r="C3658" s="8">
        <f>IFERROR(Datos!C3658,"")</f>
        <v/>
      </c>
      <c r="D3658" s="28">
        <f>IFERROR(IF(AND(ISNUMBER(B3658),ISNUMBER(B3657),B3657&lt;&gt;0),B3658/B3657-1,""),"")</f>
        <v/>
      </c>
      <c r="E3658" s="28">
        <f>IFERROR(IF(AND(ISNUMBER(C3658),ISNUMBER(C3657),C3657&lt;&gt;0),C3658/C3657-1,""),"")</f>
        <v/>
      </c>
      <c r="F3658" s="28">
        <f>IFERROR(D3658-Dashboard!$B$4/252,"")</f>
        <v/>
      </c>
      <c r="G3658" s="28">
        <f>IFERROR(E3658-Dashboard!$B$4/252,"")</f>
        <v/>
      </c>
      <c r="H3658" s="8">
        <f>IFERROR(IF(ISNUMBER(B3658),MAX(B3658,IFERROR(H3657,B3658)),""),"")</f>
        <v/>
      </c>
      <c r="I3658" s="29">
        <f>IFERROR(IF(AND(ISNUMBER(B3658),ISNUMBER(H3658)),B3658/H3658-1,""),"")</f>
        <v/>
      </c>
      <c r="J3658" s="8">
        <f>IFERROR(IF(ISNUMBER(C3658),MAX(C3658,IFERROR(J3657,C3658)),""),"")</f>
        <v/>
      </c>
      <c r="K3658" s="29">
        <f>IFERROR(IF(AND(ISNUMBER(C3658),ISNUMBER(J3658)),C3658/J3658-1,""),"")</f>
        <v/>
      </c>
      <c r="L3658" s="28">
        <f>IFERROR(IF(AND(ISNUMBER(D3658),ISNUMBER(E3658)),D3658-E3658,""),"")</f>
        <v/>
      </c>
    </row>
    <row r="3659">
      <c r="A3659" s="7">
        <f>IFERROR(Datos!A3659,"")</f>
        <v/>
      </c>
      <c r="B3659" s="8">
        <f>IFERROR(Datos!B3659,"")</f>
        <v/>
      </c>
      <c r="C3659" s="8">
        <f>IFERROR(Datos!C3659,"")</f>
        <v/>
      </c>
      <c r="D3659" s="28">
        <f>IFERROR(IF(AND(ISNUMBER(B3659),ISNUMBER(B3658),B3658&lt;&gt;0),B3659/B3658-1,""),"")</f>
        <v/>
      </c>
      <c r="E3659" s="28">
        <f>IFERROR(IF(AND(ISNUMBER(C3659),ISNUMBER(C3658),C3658&lt;&gt;0),C3659/C3658-1,""),"")</f>
        <v/>
      </c>
      <c r="F3659" s="28">
        <f>IFERROR(D3659-Dashboard!$B$4/252,"")</f>
        <v/>
      </c>
      <c r="G3659" s="28">
        <f>IFERROR(E3659-Dashboard!$B$4/252,"")</f>
        <v/>
      </c>
      <c r="H3659" s="8">
        <f>IFERROR(IF(ISNUMBER(B3659),MAX(B3659,IFERROR(H3658,B3659)),""),"")</f>
        <v/>
      </c>
      <c r="I3659" s="29">
        <f>IFERROR(IF(AND(ISNUMBER(B3659),ISNUMBER(H3659)),B3659/H3659-1,""),"")</f>
        <v/>
      </c>
      <c r="J3659" s="8">
        <f>IFERROR(IF(ISNUMBER(C3659),MAX(C3659,IFERROR(J3658,C3659)),""),"")</f>
        <v/>
      </c>
      <c r="K3659" s="29">
        <f>IFERROR(IF(AND(ISNUMBER(C3659),ISNUMBER(J3659)),C3659/J3659-1,""),"")</f>
        <v/>
      </c>
      <c r="L3659" s="28">
        <f>IFERROR(IF(AND(ISNUMBER(D3659),ISNUMBER(E3659)),D3659-E3659,""),"")</f>
        <v/>
      </c>
    </row>
    <row r="3660">
      <c r="A3660" s="7">
        <f>IFERROR(Datos!A3660,"")</f>
        <v/>
      </c>
      <c r="B3660" s="8">
        <f>IFERROR(Datos!B3660,"")</f>
        <v/>
      </c>
      <c r="C3660" s="8">
        <f>IFERROR(Datos!C3660,"")</f>
        <v/>
      </c>
      <c r="D3660" s="28">
        <f>IFERROR(IF(AND(ISNUMBER(B3660),ISNUMBER(B3659),B3659&lt;&gt;0),B3660/B3659-1,""),"")</f>
        <v/>
      </c>
      <c r="E3660" s="28">
        <f>IFERROR(IF(AND(ISNUMBER(C3660),ISNUMBER(C3659),C3659&lt;&gt;0),C3660/C3659-1,""),"")</f>
        <v/>
      </c>
      <c r="F3660" s="28">
        <f>IFERROR(D3660-Dashboard!$B$4/252,"")</f>
        <v/>
      </c>
      <c r="G3660" s="28">
        <f>IFERROR(E3660-Dashboard!$B$4/252,"")</f>
        <v/>
      </c>
      <c r="H3660" s="8">
        <f>IFERROR(IF(ISNUMBER(B3660),MAX(B3660,IFERROR(H3659,B3660)),""),"")</f>
        <v/>
      </c>
      <c r="I3660" s="29">
        <f>IFERROR(IF(AND(ISNUMBER(B3660),ISNUMBER(H3660)),B3660/H3660-1,""),"")</f>
        <v/>
      </c>
      <c r="J3660" s="8">
        <f>IFERROR(IF(ISNUMBER(C3660),MAX(C3660,IFERROR(J3659,C3660)),""),"")</f>
        <v/>
      </c>
      <c r="K3660" s="29">
        <f>IFERROR(IF(AND(ISNUMBER(C3660),ISNUMBER(J3660)),C3660/J3660-1,""),"")</f>
        <v/>
      </c>
      <c r="L3660" s="28">
        <f>IFERROR(IF(AND(ISNUMBER(D3660),ISNUMBER(E3660)),D3660-E3660,""),"")</f>
        <v/>
      </c>
    </row>
    <row r="3661">
      <c r="A3661" s="7">
        <f>IFERROR(Datos!A3661,"")</f>
        <v/>
      </c>
      <c r="B3661" s="8">
        <f>IFERROR(Datos!B3661,"")</f>
        <v/>
      </c>
      <c r="C3661" s="8">
        <f>IFERROR(Datos!C3661,"")</f>
        <v/>
      </c>
      <c r="D3661" s="28">
        <f>IFERROR(IF(AND(ISNUMBER(B3661),ISNUMBER(B3660),B3660&lt;&gt;0),B3661/B3660-1,""),"")</f>
        <v/>
      </c>
      <c r="E3661" s="28">
        <f>IFERROR(IF(AND(ISNUMBER(C3661),ISNUMBER(C3660),C3660&lt;&gt;0),C3661/C3660-1,""),"")</f>
        <v/>
      </c>
      <c r="F3661" s="28">
        <f>IFERROR(D3661-Dashboard!$B$4/252,"")</f>
        <v/>
      </c>
      <c r="G3661" s="28">
        <f>IFERROR(E3661-Dashboard!$B$4/252,"")</f>
        <v/>
      </c>
      <c r="H3661" s="8">
        <f>IFERROR(IF(ISNUMBER(B3661),MAX(B3661,IFERROR(H3660,B3661)),""),"")</f>
        <v/>
      </c>
      <c r="I3661" s="29">
        <f>IFERROR(IF(AND(ISNUMBER(B3661),ISNUMBER(H3661)),B3661/H3661-1,""),"")</f>
        <v/>
      </c>
      <c r="J3661" s="8">
        <f>IFERROR(IF(ISNUMBER(C3661),MAX(C3661,IFERROR(J3660,C3661)),""),"")</f>
        <v/>
      </c>
      <c r="K3661" s="29">
        <f>IFERROR(IF(AND(ISNUMBER(C3661),ISNUMBER(J3661)),C3661/J3661-1,""),"")</f>
        <v/>
      </c>
      <c r="L3661" s="28">
        <f>IFERROR(IF(AND(ISNUMBER(D3661),ISNUMBER(E3661)),D3661-E3661,""),"")</f>
        <v/>
      </c>
    </row>
    <row r="3662">
      <c r="A3662" s="7">
        <f>IFERROR(Datos!A3662,"")</f>
        <v/>
      </c>
      <c r="B3662" s="8">
        <f>IFERROR(Datos!B3662,"")</f>
        <v/>
      </c>
      <c r="C3662" s="8">
        <f>IFERROR(Datos!C3662,"")</f>
        <v/>
      </c>
      <c r="D3662" s="28">
        <f>IFERROR(IF(AND(ISNUMBER(B3662),ISNUMBER(B3661),B3661&lt;&gt;0),B3662/B3661-1,""),"")</f>
        <v/>
      </c>
      <c r="E3662" s="28">
        <f>IFERROR(IF(AND(ISNUMBER(C3662),ISNUMBER(C3661),C3661&lt;&gt;0),C3662/C3661-1,""),"")</f>
        <v/>
      </c>
      <c r="F3662" s="28">
        <f>IFERROR(D3662-Dashboard!$B$4/252,"")</f>
        <v/>
      </c>
      <c r="G3662" s="28">
        <f>IFERROR(E3662-Dashboard!$B$4/252,"")</f>
        <v/>
      </c>
      <c r="H3662" s="8">
        <f>IFERROR(IF(ISNUMBER(B3662),MAX(B3662,IFERROR(H3661,B3662)),""),"")</f>
        <v/>
      </c>
      <c r="I3662" s="29">
        <f>IFERROR(IF(AND(ISNUMBER(B3662),ISNUMBER(H3662)),B3662/H3662-1,""),"")</f>
        <v/>
      </c>
      <c r="J3662" s="8">
        <f>IFERROR(IF(ISNUMBER(C3662),MAX(C3662,IFERROR(J3661,C3662)),""),"")</f>
        <v/>
      </c>
      <c r="K3662" s="29">
        <f>IFERROR(IF(AND(ISNUMBER(C3662),ISNUMBER(J3662)),C3662/J3662-1,""),"")</f>
        <v/>
      </c>
      <c r="L3662" s="28">
        <f>IFERROR(IF(AND(ISNUMBER(D3662),ISNUMBER(E3662)),D3662-E3662,""),"")</f>
        <v/>
      </c>
    </row>
    <row r="3663">
      <c r="A3663" s="7">
        <f>IFERROR(Datos!A3663,"")</f>
        <v/>
      </c>
      <c r="B3663" s="8">
        <f>IFERROR(Datos!B3663,"")</f>
        <v/>
      </c>
      <c r="C3663" s="8">
        <f>IFERROR(Datos!C3663,"")</f>
        <v/>
      </c>
      <c r="D3663" s="28">
        <f>IFERROR(IF(AND(ISNUMBER(B3663),ISNUMBER(B3662),B3662&lt;&gt;0),B3663/B3662-1,""),"")</f>
        <v/>
      </c>
      <c r="E3663" s="28">
        <f>IFERROR(IF(AND(ISNUMBER(C3663),ISNUMBER(C3662),C3662&lt;&gt;0),C3663/C3662-1,""),"")</f>
        <v/>
      </c>
      <c r="F3663" s="28">
        <f>IFERROR(D3663-Dashboard!$B$4/252,"")</f>
        <v/>
      </c>
      <c r="G3663" s="28">
        <f>IFERROR(E3663-Dashboard!$B$4/252,"")</f>
        <v/>
      </c>
      <c r="H3663" s="8">
        <f>IFERROR(IF(ISNUMBER(B3663),MAX(B3663,IFERROR(H3662,B3663)),""),"")</f>
        <v/>
      </c>
      <c r="I3663" s="29">
        <f>IFERROR(IF(AND(ISNUMBER(B3663),ISNUMBER(H3663)),B3663/H3663-1,""),"")</f>
        <v/>
      </c>
      <c r="J3663" s="8">
        <f>IFERROR(IF(ISNUMBER(C3663),MAX(C3663,IFERROR(J3662,C3663)),""),"")</f>
        <v/>
      </c>
      <c r="K3663" s="29">
        <f>IFERROR(IF(AND(ISNUMBER(C3663),ISNUMBER(J3663)),C3663/J3663-1,""),"")</f>
        <v/>
      </c>
      <c r="L3663" s="28">
        <f>IFERROR(IF(AND(ISNUMBER(D3663),ISNUMBER(E3663)),D3663-E3663,""),"")</f>
        <v/>
      </c>
    </row>
    <row r="3664">
      <c r="A3664" s="7">
        <f>IFERROR(Datos!A3664,"")</f>
        <v/>
      </c>
      <c r="B3664" s="8">
        <f>IFERROR(Datos!B3664,"")</f>
        <v/>
      </c>
      <c r="C3664" s="8">
        <f>IFERROR(Datos!C3664,"")</f>
        <v/>
      </c>
      <c r="D3664" s="28">
        <f>IFERROR(IF(AND(ISNUMBER(B3664),ISNUMBER(B3663),B3663&lt;&gt;0),B3664/B3663-1,""),"")</f>
        <v/>
      </c>
      <c r="E3664" s="28">
        <f>IFERROR(IF(AND(ISNUMBER(C3664),ISNUMBER(C3663),C3663&lt;&gt;0),C3664/C3663-1,""),"")</f>
        <v/>
      </c>
      <c r="F3664" s="28">
        <f>IFERROR(D3664-Dashboard!$B$4/252,"")</f>
        <v/>
      </c>
      <c r="G3664" s="28">
        <f>IFERROR(E3664-Dashboard!$B$4/252,"")</f>
        <v/>
      </c>
      <c r="H3664" s="8">
        <f>IFERROR(IF(ISNUMBER(B3664),MAX(B3664,IFERROR(H3663,B3664)),""),"")</f>
        <v/>
      </c>
      <c r="I3664" s="29">
        <f>IFERROR(IF(AND(ISNUMBER(B3664),ISNUMBER(H3664)),B3664/H3664-1,""),"")</f>
        <v/>
      </c>
      <c r="J3664" s="8">
        <f>IFERROR(IF(ISNUMBER(C3664),MAX(C3664,IFERROR(J3663,C3664)),""),"")</f>
        <v/>
      </c>
      <c r="K3664" s="29">
        <f>IFERROR(IF(AND(ISNUMBER(C3664),ISNUMBER(J3664)),C3664/J3664-1,""),"")</f>
        <v/>
      </c>
      <c r="L3664" s="28">
        <f>IFERROR(IF(AND(ISNUMBER(D3664),ISNUMBER(E3664)),D3664-E3664,""),"")</f>
        <v/>
      </c>
    </row>
    <row r="3665">
      <c r="A3665" s="7">
        <f>IFERROR(Datos!A3665,"")</f>
        <v/>
      </c>
      <c r="B3665" s="8">
        <f>IFERROR(Datos!B3665,"")</f>
        <v/>
      </c>
      <c r="C3665" s="8">
        <f>IFERROR(Datos!C3665,"")</f>
        <v/>
      </c>
      <c r="D3665" s="28">
        <f>IFERROR(IF(AND(ISNUMBER(B3665),ISNUMBER(B3664),B3664&lt;&gt;0),B3665/B3664-1,""),"")</f>
        <v/>
      </c>
      <c r="E3665" s="28">
        <f>IFERROR(IF(AND(ISNUMBER(C3665),ISNUMBER(C3664),C3664&lt;&gt;0),C3665/C3664-1,""),"")</f>
        <v/>
      </c>
      <c r="F3665" s="28">
        <f>IFERROR(D3665-Dashboard!$B$4/252,"")</f>
        <v/>
      </c>
      <c r="G3665" s="28">
        <f>IFERROR(E3665-Dashboard!$B$4/252,"")</f>
        <v/>
      </c>
      <c r="H3665" s="8">
        <f>IFERROR(IF(ISNUMBER(B3665),MAX(B3665,IFERROR(H3664,B3665)),""),"")</f>
        <v/>
      </c>
      <c r="I3665" s="29">
        <f>IFERROR(IF(AND(ISNUMBER(B3665),ISNUMBER(H3665)),B3665/H3665-1,""),"")</f>
        <v/>
      </c>
      <c r="J3665" s="8">
        <f>IFERROR(IF(ISNUMBER(C3665),MAX(C3665,IFERROR(J3664,C3665)),""),"")</f>
        <v/>
      </c>
      <c r="K3665" s="29">
        <f>IFERROR(IF(AND(ISNUMBER(C3665),ISNUMBER(J3665)),C3665/J3665-1,""),"")</f>
        <v/>
      </c>
      <c r="L3665" s="28">
        <f>IFERROR(IF(AND(ISNUMBER(D3665),ISNUMBER(E3665)),D3665-E3665,""),"")</f>
        <v/>
      </c>
    </row>
    <row r="3666">
      <c r="A3666" s="7">
        <f>IFERROR(Datos!A3666,"")</f>
        <v/>
      </c>
      <c r="B3666" s="8">
        <f>IFERROR(Datos!B3666,"")</f>
        <v/>
      </c>
      <c r="C3666" s="8">
        <f>IFERROR(Datos!C3666,"")</f>
        <v/>
      </c>
      <c r="D3666" s="28">
        <f>IFERROR(IF(AND(ISNUMBER(B3666),ISNUMBER(B3665),B3665&lt;&gt;0),B3666/B3665-1,""),"")</f>
        <v/>
      </c>
      <c r="E3666" s="28">
        <f>IFERROR(IF(AND(ISNUMBER(C3666),ISNUMBER(C3665),C3665&lt;&gt;0),C3666/C3665-1,""),"")</f>
        <v/>
      </c>
      <c r="F3666" s="28">
        <f>IFERROR(D3666-Dashboard!$B$4/252,"")</f>
        <v/>
      </c>
      <c r="G3666" s="28">
        <f>IFERROR(E3666-Dashboard!$B$4/252,"")</f>
        <v/>
      </c>
      <c r="H3666" s="8">
        <f>IFERROR(IF(ISNUMBER(B3666),MAX(B3666,IFERROR(H3665,B3666)),""),"")</f>
        <v/>
      </c>
      <c r="I3666" s="29">
        <f>IFERROR(IF(AND(ISNUMBER(B3666),ISNUMBER(H3666)),B3666/H3666-1,""),"")</f>
        <v/>
      </c>
      <c r="J3666" s="8">
        <f>IFERROR(IF(ISNUMBER(C3666),MAX(C3666,IFERROR(J3665,C3666)),""),"")</f>
        <v/>
      </c>
      <c r="K3666" s="29">
        <f>IFERROR(IF(AND(ISNUMBER(C3666),ISNUMBER(J3666)),C3666/J3666-1,""),"")</f>
        <v/>
      </c>
      <c r="L3666" s="28">
        <f>IFERROR(IF(AND(ISNUMBER(D3666),ISNUMBER(E3666)),D3666-E3666,""),"")</f>
        <v/>
      </c>
    </row>
    <row r="3667">
      <c r="A3667" s="7">
        <f>IFERROR(Datos!A3667,"")</f>
        <v/>
      </c>
      <c r="B3667" s="8">
        <f>IFERROR(Datos!B3667,"")</f>
        <v/>
      </c>
      <c r="C3667" s="8">
        <f>IFERROR(Datos!C3667,"")</f>
        <v/>
      </c>
      <c r="D3667" s="28">
        <f>IFERROR(IF(AND(ISNUMBER(B3667),ISNUMBER(B3666),B3666&lt;&gt;0),B3667/B3666-1,""),"")</f>
        <v/>
      </c>
      <c r="E3667" s="28">
        <f>IFERROR(IF(AND(ISNUMBER(C3667),ISNUMBER(C3666),C3666&lt;&gt;0),C3667/C3666-1,""),"")</f>
        <v/>
      </c>
      <c r="F3667" s="28">
        <f>IFERROR(D3667-Dashboard!$B$4/252,"")</f>
        <v/>
      </c>
      <c r="G3667" s="28">
        <f>IFERROR(E3667-Dashboard!$B$4/252,"")</f>
        <v/>
      </c>
      <c r="H3667" s="8">
        <f>IFERROR(IF(ISNUMBER(B3667),MAX(B3667,IFERROR(H3666,B3667)),""),"")</f>
        <v/>
      </c>
      <c r="I3667" s="29">
        <f>IFERROR(IF(AND(ISNUMBER(B3667),ISNUMBER(H3667)),B3667/H3667-1,""),"")</f>
        <v/>
      </c>
      <c r="J3667" s="8">
        <f>IFERROR(IF(ISNUMBER(C3667),MAX(C3667,IFERROR(J3666,C3667)),""),"")</f>
        <v/>
      </c>
      <c r="K3667" s="29">
        <f>IFERROR(IF(AND(ISNUMBER(C3667),ISNUMBER(J3667)),C3667/J3667-1,""),"")</f>
        <v/>
      </c>
      <c r="L3667" s="28">
        <f>IFERROR(IF(AND(ISNUMBER(D3667),ISNUMBER(E3667)),D3667-E3667,""),"")</f>
        <v/>
      </c>
    </row>
    <row r="3668">
      <c r="A3668" s="7">
        <f>IFERROR(Datos!A3668,"")</f>
        <v/>
      </c>
      <c r="B3668" s="8">
        <f>IFERROR(Datos!B3668,"")</f>
        <v/>
      </c>
      <c r="C3668" s="8">
        <f>IFERROR(Datos!C3668,"")</f>
        <v/>
      </c>
      <c r="D3668" s="28">
        <f>IFERROR(IF(AND(ISNUMBER(B3668),ISNUMBER(B3667),B3667&lt;&gt;0),B3668/B3667-1,""),"")</f>
        <v/>
      </c>
      <c r="E3668" s="28">
        <f>IFERROR(IF(AND(ISNUMBER(C3668),ISNUMBER(C3667),C3667&lt;&gt;0),C3668/C3667-1,""),"")</f>
        <v/>
      </c>
      <c r="F3668" s="28">
        <f>IFERROR(D3668-Dashboard!$B$4/252,"")</f>
        <v/>
      </c>
      <c r="G3668" s="28">
        <f>IFERROR(E3668-Dashboard!$B$4/252,"")</f>
        <v/>
      </c>
      <c r="H3668" s="8">
        <f>IFERROR(IF(ISNUMBER(B3668),MAX(B3668,IFERROR(H3667,B3668)),""),"")</f>
        <v/>
      </c>
      <c r="I3668" s="29">
        <f>IFERROR(IF(AND(ISNUMBER(B3668),ISNUMBER(H3668)),B3668/H3668-1,""),"")</f>
        <v/>
      </c>
      <c r="J3668" s="8">
        <f>IFERROR(IF(ISNUMBER(C3668),MAX(C3668,IFERROR(J3667,C3668)),""),"")</f>
        <v/>
      </c>
      <c r="K3668" s="29">
        <f>IFERROR(IF(AND(ISNUMBER(C3668),ISNUMBER(J3668)),C3668/J3668-1,""),"")</f>
        <v/>
      </c>
      <c r="L3668" s="28">
        <f>IFERROR(IF(AND(ISNUMBER(D3668),ISNUMBER(E3668)),D3668-E3668,""),"")</f>
        <v/>
      </c>
    </row>
    <row r="3669">
      <c r="A3669" s="7">
        <f>IFERROR(Datos!A3669,"")</f>
        <v/>
      </c>
      <c r="B3669" s="8">
        <f>IFERROR(Datos!B3669,"")</f>
        <v/>
      </c>
      <c r="C3669" s="8">
        <f>IFERROR(Datos!C3669,"")</f>
        <v/>
      </c>
      <c r="D3669" s="28">
        <f>IFERROR(IF(AND(ISNUMBER(B3669),ISNUMBER(B3668),B3668&lt;&gt;0),B3669/B3668-1,""),"")</f>
        <v/>
      </c>
      <c r="E3669" s="28">
        <f>IFERROR(IF(AND(ISNUMBER(C3669),ISNUMBER(C3668),C3668&lt;&gt;0),C3669/C3668-1,""),"")</f>
        <v/>
      </c>
      <c r="F3669" s="28">
        <f>IFERROR(D3669-Dashboard!$B$4/252,"")</f>
        <v/>
      </c>
      <c r="G3669" s="28">
        <f>IFERROR(E3669-Dashboard!$B$4/252,"")</f>
        <v/>
      </c>
      <c r="H3669" s="8">
        <f>IFERROR(IF(ISNUMBER(B3669),MAX(B3669,IFERROR(H3668,B3669)),""),"")</f>
        <v/>
      </c>
      <c r="I3669" s="29">
        <f>IFERROR(IF(AND(ISNUMBER(B3669),ISNUMBER(H3669)),B3669/H3669-1,""),"")</f>
        <v/>
      </c>
      <c r="J3669" s="8">
        <f>IFERROR(IF(ISNUMBER(C3669),MAX(C3669,IFERROR(J3668,C3669)),""),"")</f>
        <v/>
      </c>
      <c r="K3669" s="29">
        <f>IFERROR(IF(AND(ISNUMBER(C3669),ISNUMBER(J3669)),C3669/J3669-1,""),"")</f>
        <v/>
      </c>
      <c r="L3669" s="28">
        <f>IFERROR(IF(AND(ISNUMBER(D3669),ISNUMBER(E3669)),D3669-E3669,""),"")</f>
        <v/>
      </c>
    </row>
    <row r="3670">
      <c r="A3670" s="7">
        <f>IFERROR(Datos!A3670,"")</f>
        <v/>
      </c>
      <c r="B3670" s="8">
        <f>IFERROR(Datos!B3670,"")</f>
        <v/>
      </c>
      <c r="C3670" s="8">
        <f>IFERROR(Datos!C3670,"")</f>
        <v/>
      </c>
      <c r="D3670" s="28">
        <f>IFERROR(IF(AND(ISNUMBER(B3670),ISNUMBER(B3669),B3669&lt;&gt;0),B3670/B3669-1,""),"")</f>
        <v/>
      </c>
      <c r="E3670" s="28">
        <f>IFERROR(IF(AND(ISNUMBER(C3670),ISNUMBER(C3669),C3669&lt;&gt;0),C3670/C3669-1,""),"")</f>
        <v/>
      </c>
      <c r="F3670" s="28">
        <f>IFERROR(D3670-Dashboard!$B$4/252,"")</f>
        <v/>
      </c>
      <c r="G3670" s="28">
        <f>IFERROR(E3670-Dashboard!$B$4/252,"")</f>
        <v/>
      </c>
      <c r="H3670" s="8">
        <f>IFERROR(IF(ISNUMBER(B3670),MAX(B3670,IFERROR(H3669,B3670)),""),"")</f>
        <v/>
      </c>
      <c r="I3670" s="29">
        <f>IFERROR(IF(AND(ISNUMBER(B3670),ISNUMBER(H3670)),B3670/H3670-1,""),"")</f>
        <v/>
      </c>
      <c r="J3670" s="8">
        <f>IFERROR(IF(ISNUMBER(C3670),MAX(C3670,IFERROR(J3669,C3670)),""),"")</f>
        <v/>
      </c>
      <c r="K3670" s="29">
        <f>IFERROR(IF(AND(ISNUMBER(C3670),ISNUMBER(J3670)),C3670/J3670-1,""),"")</f>
        <v/>
      </c>
      <c r="L3670" s="28">
        <f>IFERROR(IF(AND(ISNUMBER(D3670),ISNUMBER(E3670)),D3670-E3670,""),"")</f>
        <v/>
      </c>
    </row>
    <row r="3671">
      <c r="A3671" s="7">
        <f>IFERROR(Datos!A3671,"")</f>
        <v/>
      </c>
      <c r="B3671" s="8">
        <f>IFERROR(Datos!B3671,"")</f>
        <v/>
      </c>
      <c r="C3671" s="8">
        <f>IFERROR(Datos!C3671,"")</f>
        <v/>
      </c>
      <c r="D3671" s="28">
        <f>IFERROR(IF(AND(ISNUMBER(B3671),ISNUMBER(B3670),B3670&lt;&gt;0),B3671/B3670-1,""),"")</f>
        <v/>
      </c>
      <c r="E3671" s="28">
        <f>IFERROR(IF(AND(ISNUMBER(C3671),ISNUMBER(C3670),C3670&lt;&gt;0),C3671/C3670-1,""),"")</f>
        <v/>
      </c>
      <c r="F3671" s="28">
        <f>IFERROR(D3671-Dashboard!$B$4/252,"")</f>
        <v/>
      </c>
      <c r="G3671" s="28">
        <f>IFERROR(E3671-Dashboard!$B$4/252,"")</f>
        <v/>
      </c>
      <c r="H3671" s="8">
        <f>IFERROR(IF(ISNUMBER(B3671),MAX(B3671,IFERROR(H3670,B3671)),""),"")</f>
        <v/>
      </c>
      <c r="I3671" s="29">
        <f>IFERROR(IF(AND(ISNUMBER(B3671),ISNUMBER(H3671)),B3671/H3671-1,""),"")</f>
        <v/>
      </c>
      <c r="J3671" s="8">
        <f>IFERROR(IF(ISNUMBER(C3671),MAX(C3671,IFERROR(J3670,C3671)),""),"")</f>
        <v/>
      </c>
      <c r="K3671" s="29">
        <f>IFERROR(IF(AND(ISNUMBER(C3671),ISNUMBER(J3671)),C3671/J3671-1,""),"")</f>
        <v/>
      </c>
      <c r="L3671" s="28">
        <f>IFERROR(IF(AND(ISNUMBER(D3671),ISNUMBER(E3671)),D3671-E3671,""),"")</f>
        <v/>
      </c>
    </row>
    <row r="3672">
      <c r="A3672" s="7">
        <f>IFERROR(Datos!A3672,"")</f>
        <v/>
      </c>
      <c r="B3672" s="8">
        <f>IFERROR(Datos!B3672,"")</f>
        <v/>
      </c>
      <c r="C3672" s="8">
        <f>IFERROR(Datos!C3672,"")</f>
        <v/>
      </c>
      <c r="D3672" s="28">
        <f>IFERROR(IF(AND(ISNUMBER(B3672),ISNUMBER(B3671),B3671&lt;&gt;0),B3672/B3671-1,""),"")</f>
        <v/>
      </c>
      <c r="E3672" s="28">
        <f>IFERROR(IF(AND(ISNUMBER(C3672),ISNUMBER(C3671),C3671&lt;&gt;0),C3672/C3671-1,""),"")</f>
        <v/>
      </c>
      <c r="F3672" s="28">
        <f>IFERROR(D3672-Dashboard!$B$4/252,"")</f>
        <v/>
      </c>
      <c r="G3672" s="28">
        <f>IFERROR(E3672-Dashboard!$B$4/252,"")</f>
        <v/>
      </c>
      <c r="H3672" s="8">
        <f>IFERROR(IF(ISNUMBER(B3672),MAX(B3672,IFERROR(H3671,B3672)),""),"")</f>
        <v/>
      </c>
      <c r="I3672" s="29">
        <f>IFERROR(IF(AND(ISNUMBER(B3672),ISNUMBER(H3672)),B3672/H3672-1,""),"")</f>
        <v/>
      </c>
      <c r="J3672" s="8">
        <f>IFERROR(IF(ISNUMBER(C3672),MAX(C3672,IFERROR(J3671,C3672)),""),"")</f>
        <v/>
      </c>
      <c r="K3672" s="29">
        <f>IFERROR(IF(AND(ISNUMBER(C3672),ISNUMBER(J3672)),C3672/J3672-1,""),"")</f>
        <v/>
      </c>
      <c r="L3672" s="28">
        <f>IFERROR(IF(AND(ISNUMBER(D3672),ISNUMBER(E3672)),D3672-E3672,""),"")</f>
        <v/>
      </c>
    </row>
    <row r="3673">
      <c r="A3673" s="7">
        <f>IFERROR(Datos!A3673,"")</f>
        <v/>
      </c>
      <c r="B3673" s="8">
        <f>IFERROR(Datos!B3673,"")</f>
        <v/>
      </c>
      <c r="C3673" s="8">
        <f>IFERROR(Datos!C3673,"")</f>
        <v/>
      </c>
      <c r="D3673" s="28">
        <f>IFERROR(IF(AND(ISNUMBER(B3673),ISNUMBER(B3672),B3672&lt;&gt;0),B3673/B3672-1,""),"")</f>
        <v/>
      </c>
      <c r="E3673" s="28">
        <f>IFERROR(IF(AND(ISNUMBER(C3673),ISNUMBER(C3672),C3672&lt;&gt;0),C3673/C3672-1,""),"")</f>
        <v/>
      </c>
      <c r="F3673" s="28">
        <f>IFERROR(D3673-Dashboard!$B$4/252,"")</f>
        <v/>
      </c>
      <c r="G3673" s="28">
        <f>IFERROR(E3673-Dashboard!$B$4/252,"")</f>
        <v/>
      </c>
      <c r="H3673" s="8">
        <f>IFERROR(IF(ISNUMBER(B3673),MAX(B3673,IFERROR(H3672,B3673)),""),"")</f>
        <v/>
      </c>
      <c r="I3673" s="29">
        <f>IFERROR(IF(AND(ISNUMBER(B3673),ISNUMBER(H3673)),B3673/H3673-1,""),"")</f>
        <v/>
      </c>
      <c r="J3673" s="8">
        <f>IFERROR(IF(ISNUMBER(C3673),MAX(C3673,IFERROR(J3672,C3673)),""),"")</f>
        <v/>
      </c>
      <c r="K3673" s="29">
        <f>IFERROR(IF(AND(ISNUMBER(C3673),ISNUMBER(J3673)),C3673/J3673-1,""),"")</f>
        <v/>
      </c>
      <c r="L3673" s="28">
        <f>IFERROR(IF(AND(ISNUMBER(D3673),ISNUMBER(E3673)),D3673-E3673,""),"")</f>
        <v/>
      </c>
    </row>
    <row r="3674">
      <c r="A3674" s="7">
        <f>IFERROR(Datos!A3674,"")</f>
        <v/>
      </c>
      <c r="B3674" s="8">
        <f>IFERROR(Datos!B3674,"")</f>
        <v/>
      </c>
      <c r="C3674" s="8">
        <f>IFERROR(Datos!C3674,"")</f>
        <v/>
      </c>
      <c r="D3674" s="28">
        <f>IFERROR(IF(AND(ISNUMBER(B3674),ISNUMBER(B3673),B3673&lt;&gt;0),B3674/B3673-1,""),"")</f>
        <v/>
      </c>
      <c r="E3674" s="28">
        <f>IFERROR(IF(AND(ISNUMBER(C3674),ISNUMBER(C3673),C3673&lt;&gt;0),C3674/C3673-1,""),"")</f>
        <v/>
      </c>
      <c r="F3674" s="28">
        <f>IFERROR(D3674-Dashboard!$B$4/252,"")</f>
        <v/>
      </c>
      <c r="G3674" s="28">
        <f>IFERROR(E3674-Dashboard!$B$4/252,"")</f>
        <v/>
      </c>
      <c r="H3674" s="8">
        <f>IFERROR(IF(ISNUMBER(B3674),MAX(B3674,IFERROR(H3673,B3674)),""),"")</f>
        <v/>
      </c>
      <c r="I3674" s="29">
        <f>IFERROR(IF(AND(ISNUMBER(B3674),ISNUMBER(H3674)),B3674/H3674-1,""),"")</f>
        <v/>
      </c>
      <c r="J3674" s="8">
        <f>IFERROR(IF(ISNUMBER(C3674),MAX(C3674,IFERROR(J3673,C3674)),""),"")</f>
        <v/>
      </c>
      <c r="K3674" s="29">
        <f>IFERROR(IF(AND(ISNUMBER(C3674),ISNUMBER(J3674)),C3674/J3674-1,""),"")</f>
        <v/>
      </c>
      <c r="L3674" s="28">
        <f>IFERROR(IF(AND(ISNUMBER(D3674),ISNUMBER(E3674)),D3674-E3674,""),"")</f>
        <v/>
      </c>
    </row>
    <row r="3675">
      <c r="A3675" s="7">
        <f>IFERROR(Datos!A3675,"")</f>
        <v/>
      </c>
      <c r="B3675" s="8">
        <f>IFERROR(Datos!B3675,"")</f>
        <v/>
      </c>
      <c r="C3675" s="8">
        <f>IFERROR(Datos!C3675,"")</f>
        <v/>
      </c>
      <c r="D3675" s="28">
        <f>IFERROR(IF(AND(ISNUMBER(B3675),ISNUMBER(B3674),B3674&lt;&gt;0),B3675/B3674-1,""),"")</f>
        <v/>
      </c>
      <c r="E3675" s="28">
        <f>IFERROR(IF(AND(ISNUMBER(C3675),ISNUMBER(C3674),C3674&lt;&gt;0),C3675/C3674-1,""),"")</f>
        <v/>
      </c>
      <c r="F3675" s="28">
        <f>IFERROR(D3675-Dashboard!$B$4/252,"")</f>
        <v/>
      </c>
      <c r="G3675" s="28">
        <f>IFERROR(E3675-Dashboard!$B$4/252,"")</f>
        <v/>
      </c>
      <c r="H3675" s="8">
        <f>IFERROR(IF(ISNUMBER(B3675),MAX(B3675,IFERROR(H3674,B3675)),""),"")</f>
        <v/>
      </c>
      <c r="I3675" s="29">
        <f>IFERROR(IF(AND(ISNUMBER(B3675),ISNUMBER(H3675)),B3675/H3675-1,""),"")</f>
        <v/>
      </c>
      <c r="J3675" s="8">
        <f>IFERROR(IF(ISNUMBER(C3675),MAX(C3675,IFERROR(J3674,C3675)),""),"")</f>
        <v/>
      </c>
      <c r="K3675" s="29">
        <f>IFERROR(IF(AND(ISNUMBER(C3675),ISNUMBER(J3675)),C3675/J3675-1,""),"")</f>
        <v/>
      </c>
      <c r="L3675" s="28">
        <f>IFERROR(IF(AND(ISNUMBER(D3675),ISNUMBER(E3675)),D3675-E3675,""),"")</f>
        <v/>
      </c>
    </row>
    <row r="3676">
      <c r="A3676" s="7">
        <f>IFERROR(Datos!A3676,"")</f>
        <v/>
      </c>
      <c r="B3676" s="8">
        <f>IFERROR(Datos!B3676,"")</f>
        <v/>
      </c>
      <c r="C3676" s="8">
        <f>IFERROR(Datos!C3676,"")</f>
        <v/>
      </c>
      <c r="D3676" s="28">
        <f>IFERROR(IF(AND(ISNUMBER(B3676),ISNUMBER(B3675),B3675&lt;&gt;0),B3676/B3675-1,""),"")</f>
        <v/>
      </c>
      <c r="E3676" s="28">
        <f>IFERROR(IF(AND(ISNUMBER(C3676),ISNUMBER(C3675),C3675&lt;&gt;0),C3676/C3675-1,""),"")</f>
        <v/>
      </c>
      <c r="F3676" s="28">
        <f>IFERROR(D3676-Dashboard!$B$4/252,"")</f>
        <v/>
      </c>
      <c r="G3676" s="28">
        <f>IFERROR(E3676-Dashboard!$B$4/252,"")</f>
        <v/>
      </c>
      <c r="H3676" s="8">
        <f>IFERROR(IF(ISNUMBER(B3676),MAX(B3676,IFERROR(H3675,B3676)),""),"")</f>
        <v/>
      </c>
      <c r="I3676" s="29">
        <f>IFERROR(IF(AND(ISNUMBER(B3676),ISNUMBER(H3676)),B3676/H3676-1,""),"")</f>
        <v/>
      </c>
      <c r="J3676" s="8">
        <f>IFERROR(IF(ISNUMBER(C3676),MAX(C3676,IFERROR(J3675,C3676)),""),"")</f>
        <v/>
      </c>
      <c r="K3676" s="29">
        <f>IFERROR(IF(AND(ISNUMBER(C3676),ISNUMBER(J3676)),C3676/J3676-1,""),"")</f>
        <v/>
      </c>
      <c r="L3676" s="28">
        <f>IFERROR(IF(AND(ISNUMBER(D3676),ISNUMBER(E3676)),D3676-E3676,""),"")</f>
        <v/>
      </c>
    </row>
    <row r="3677">
      <c r="A3677" s="7">
        <f>IFERROR(Datos!A3677,"")</f>
        <v/>
      </c>
      <c r="B3677" s="8">
        <f>IFERROR(Datos!B3677,"")</f>
        <v/>
      </c>
      <c r="C3677" s="8">
        <f>IFERROR(Datos!C3677,"")</f>
        <v/>
      </c>
      <c r="D3677" s="28">
        <f>IFERROR(IF(AND(ISNUMBER(B3677),ISNUMBER(B3676),B3676&lt;&gt;0),B3677/B3676-1,""),"")</f>
        <v/>
      </c>
      <c r="E3677" s="28">
        <f>IFERROR(IF(AND(ISNUMBER(C3677),ISNUMBER(C3676),C3676&lt;&gt;0),C3677/C3676-1,""),"")</f>
        <v/>
      </c>
      <c r="F3677" s="28">
        <f>IFERROR(D3677-Dashboard!$B$4/252,"")</f>
        <v/>
      </c>
      <c r="G3677" s="28">
        <f>IFERROR(E3677-Dashboard!$B$4/252,"")</f>
        <v/>
      </c>
      <c r="H3677" s="8">
        <f>IFERROR(IF(ISNUMBER(B3677),MAX(B3677,IFERROR(H3676,B3677)),""),"")</f>
        <v/>
      </c>
      <c r="I3677" s="29">
        <f>IFERROR(IF(AND(ISNUMBER(B3677),ISNUMBER(H3677)),B3677/H3677-1,""),"")</f>
        <v/>
      </c>
      <c r="J3677" s="8">
        <f>IFERROR(IF(ISNUMBER(C3677),MAX(C3677,IFERROR(J3676,C3677)),""),"")</f>
        <v/>
      </c>
      <c r="K3677" s="29">
        <f>IFERROR(IF(AND(ISNUMBER(C3677),ISNUMBER(J3677)),C3677/J3677-1,""),"")</f>
        <v/>
      </c>
      <c r="L3677" s="28">
        <f>IFERROR(IF(AND(ISNUMBER(D3677),ISNUMBER(E3677)),D3677-E3677,""),"")</f>
        <v/>
      </c>
    </row>
    <row r="3678">
      <c r="A3678" s="7">
        <f>IFERROR(Datos!A3678,"")</f>
        <v/>
      </c>
      <c r="B3678" s="8">
        <f>IFERROR(Datos!B3678,"")</f>
        <v/>
      </c>
      <c r="C3678" s="8">
        <f>IFERROR(Datos!C3678,"")</f>
        <v/>
      </c>
      <c r="D3678" s="28">
        <f>IFERROR(IF(AND(ISNUMBER(B3678),ISNUMBER(B3677),B3677&lt;&gt;0),B3678/B3677-1,""),"")</f>
        <v/>
      </c>
      <c r="E3678" s="28">
        <f>IFERROR(IF(AND(ISNUMBER(C3678),ISNUMBER(C3677),C3677&lt;&gt;0),C3678/C3677-1,""),"")</f>
        <v/>
      </c>
      <c r="F3678" s="28">
        <f>IFERROR(D3678-Dashboard!$B$4/252,"")</f>
        <v/>
      </c>
      <c r="G3678" s="28">
        <f>IFERROR(E3678-Dashboard!$B$4/252,"")</f>
        <v/>
      </c>
      <c r="H3678" s="8">
        <f>IFERROR(IF(ISNUMBER(B3678),MAX(B3678,IFERROR(H3677,B3678)),""),"")</f>
        <v/>
      </c>
      <c r="I3678" s="29">
        <f>IFERROR(IF(AND(ISNUMBER(B3678),ISNUMBER(H3678)),B3678/H3678-1,""),"")</f>
        <v/>
      </c>
      <c r="J3678" s="8">
        <f>IFERROR(IF(ISNUMBER(C3678),MAX(C3678,IFERROR(J3677,C3678)),""),"")</f>
        <v/>
      </c>
      <c r="K3678" s="29">
        <f>IFERROR(IF(AND(ISNUMBER(C3678),ISNUMBER(J3678)),C3678/J3678-1,""),"")</f>
        <v/>
      </c>
      <c r="L3678" s="28">
        <f>IFERROR(IF(AND(ISNUMBER(D3678),ISNUMBER(E3678)),D3678-E3678,""),"")</f>
        <v/>
      </c>
    </row>
    <row r="3679">
      <c r="A3679" s="7">
        <f>IFERROR(Datos!A3679,"")</f>
        <v/>
      </c>
      <c r="B3679" s="8">
        <f>IFERROR(Datos!B3679,"")</f>
        <v/>
      </c>
      <c r="C3679" s="8">
        <f>IFERROR(Datos!C3679,"")</f>
        <v/>
      </c>
      <c r="D3679" s="28">
        <f>IFERROR(IF(AND(ISNUMBER(B3679),ISNUMBER(B3678),B3678&lt;&gt;0),B3679/B3678-1,""),"")</f>
        <v/>
      </c>
      <c r="E3679" s="28">
        <f>IFERROR(IF(AND(ISNUMBER(C3679),ISNUMBER(C3678),C3678&lt;&gt;0),C3679/C3678-1,""),"")</f>
        <v/>
      </c>
      <c r="F3679" s="28">
        <f>IFERROR(D3679-Dashboard!$B$4/252,"")</f>
        <v/>
      </c>
      <c r="G3679" s="28">
        <f>IFERROR(E3679-Dashboard!$B$4/252,"")</f>
        <v/>
      </c>
      <c r="H3679" s="8">
        <f>IFERROR(IF(ISNUMBER(B3679),MAX(B3679,IFERROR(H3678,B3679)),""),"")</f>
        <v/>
      </c>
      <c r="I3679" s="29">
        <f>IFERROR(IF(AND(ISNUMBER(B3679),ISNUMBER(H3679)),B3679/H3679-1,""),"")</f>
        <v/>
      </c>
      <c r="J3679" s="8">
        <f>IFERROR(IF(ISNUMBER(C3679),MAX(C3679,IFERROR(J3678,C3679)),""),"")</f>
        <v/>
      </c>
      <c r="K3679" s="29">
        <f>IFERROR(IF(AND(ISNUMBER(C3679),ISNUMBER(J3679)),C3679/J3679-1,""),"")</f>
        <v/>
      </c>
      <c r="L3679" s="28">
        <f>IFERROR(IF(AND(ISNUMBER(D3679),ISNUMBER(E3679)),D3679-E3679,""),"")</f>
        <v/>
      </c>
    </row>
    <row r="3680">
      <c r="A3680" s="7">
        <f>IFERROR(Datos!A3680,"")</f>
        <v/>
      </c>
      <c r="B3680" s="8">
        <f>IFERROR(Datos!B3680,"")</f>
        <v/>
      </c>
      <c r="C3680" s="8">
        <f>IFERROR(Datos!C3680,"")</f>
        <v/>
      </c>
      <c r="D3680" s="28">
        <f>IFERROR(IF(AND(ISNUMBER(B3680),ISNUMBER(B3679),B3679&lt;&gt;0),B3680/B3679-1,""),"")</f>
        <v/>
      </c>
      <c r="E3680" s="28">
        <f>IFERROR(IF(AND(ISNUMBER(C3680),ISNUMBER(C3679),C3679&lt;&gt;0),C3680/C3679-1,""),"")</f>
        <v/>
      </c>
      <c r="F3680" s="28">
        <f>IFERROR(D3680-Dashboard!$B$4/252,"")</f>
        <v/>
      </c>
      <c r="G3680" s="28">
        <f>IFERROR(E3680-Dashboard!$B$4/252,"")</f>
        <v/>
      </c>
      <c r="H3680" s="8">
        <f>IFERROR(IF(ISNUMBER(B3680),MAX(B3680,IFERROR(H3679,B3680)),""),"")</f>
        <v/>
      </c>
      <c r="I3680" s="29">
        <f>IFERROR(IF(AND(ISNUMBER(B3680),ISNUMBER(H3680)),B3680/H3680-1,""),"")</f>
        <v/>
      </c>
      <c r="J3680" s="8">
        <f>IFERROR(IF(ISNUMBER(C3680),MAX(C3680,IFERROR(J3679,C3680)),""),"")</f>
        <v/>
      </c>
      <c r="K3680" s="29">
        <f>IFERROR(IF(AND(ISNUMBER(C3680),ISNUMBER(J3680)),C3680/J3680-1,""),"")</f>
        <v/>
      </c>
      <c r="L3680" s="28">
        <f>IFERROR(IF(AND(ISNUMBER(D3680),ISNUMBER(E3680)),D3680-E3680,""),"")</f>
        <v/>
      </c>
    </row>
    <row r="3681">
      <c r="A3681" s="7">
        <f>IFERROR(Datos!A3681,"")</f>
        <v/>
      </c>
      <c r="B3681" s="8">
        <f>IFERROR(Datos!B3681,"")</f>
        <v/>
      </c>
      <c r="C3681" s="8">
        <f>IFERROR(Datos!C3681,"")</f>
        <v/>
      </c>
      <c r="D3681" s="28">
        <f>IFERROR(IF(AND(ISNUMBER(B3681),ISNUMBER(B3680),B3680&lt;&gt;0),B3681/B3680-1,""),"")</f>
        <v/>
      </c>
      <c r="E3681" s="28">
        <f>IFERROR(IF(AND(ISNUMBER(C3681),ISNUMBER(C3680),C3680&lt;&gt;0),C3681/C3680-1,""),"")</f>
        <v/>
      </c>
      <c r="F3681" s="28">
        <f>IFERROR(D3681-Dashboard!$B$4/252,"")</f>
        <v/>
      </c>
      <c r="G3681" s="28">
        <f>IFERROR(E3681-Dashboard!$B$4/252,"")</f>
        <v/>
      </c>
      <c r="H3681" s="8">
        <f>IFERROR(IF(ISNUMBER(B3681),MAX(B3681,IFERROR(H3680,B3681)),""),"")</f>
        <v/>
      </c>
      <c r="I3681" s="29">
        <f>IFERROR(IF(AND(ISNUMBER(B3681),ISNUMBER(H3681)),B3681/H3681-1,""),"")</f>
        <v/>
      </c>
      <c r="J3681" s="8">
        <f>IFERROR(IF(ISNUMBER(C3681),MAX(C3681,IFERROR(J3680,C3681)),""),"")</f>
        <v/>
      </c>
      <c r="K3681" s="29">
        <f>IFERROR(IF(AND(ISNUMBER(C3681),ISNUMBER(J3681)),C3681/J3681-1,""),"")</f>
        <v/>
      </c>
      <c r="L3681" s="28">
        <f>IFERROR(IF(AND(ISNUMBER(D3681),ISNUMBER(E3681)),D3681-E3681,""),"")</f>
        <v/>
      </c>
    </row>
    <row r="3682">
      <c r="A3682" s="7">
        <f>IFERROR(Datos!A3682,"")</f>
        <v/>
      </c>
      <c r="B3682" s="8">
        <f>IFERROR(Datos!B3682,"")</f>
        <v/>
      </c>
      <c r="C3682" s="8">
        <f>IFERROR(Datos!C3682,"")</f>
        <v/>
      </c>
      <c r="D3682" s="28">
        <f>IFERROR(IF(AND(ISNUMBER(B3682),ISNUMBER(B3681),B3681&lt;&gt;0),B3682/B3681-1,""),"")</f>
        <v/>
      </c>
      <c r="E3682" s="28">
        <f>IFERROR(IF(AND(ISNUMBER(C3682),ISNUMBER(C3681),C3681&lt;&gt;0),C3682/C3681-1,""),"")</f>
        <v/>
      </c>
      <c r="F3682" s="28">
        <f>IFERROR(D3682-Dashboard!$B$4/252,"")</f>
        <v/>
      </c>
      <c r="G3682" s="28">
        <f>IFERROR(E3682-Dashboard!$B$4/252,"")</f>
        <v/>
      </c>
      <c r="H3682" s="8">
        <f>IFERROR(IF(ISNUMBER(B3682),MAX(B3682,IFERROR(H3681,B3682)),""),"")</f>
        <v/>
      </c>
      <c r="I3682" s="29">
        <f>IFERROR(IF(AND(ISNUMBER(B3682),ISNUMBER(H3682)),B3682/H3682-1,""),"")</f>
        <v/>
      </c>
      <c r="J3682" s="8">
        <f>IFERROR(IF(ISNUMBER(C3682),MAX(C3682,IFERROR(J3681,C3682)),""),"")</f>
        <v/>
      </c>
      <c r="K3682" s="29">
        <f>IFERROR(IF(AND(ISNUMBER(C3682),ISNUMBER(J3682)),C3682/J3682-1,""),"")</f>
        <v/>
      </c>
      <c r="L3682" s="28">
        <f>IFERROR(IF(AND(ISNUMBER(D3682),ISNUMBER(E3682)),D3682-E3682,""),"")</f>
        <v/>
      </c>
    </row>
    <row r="3683">
      <c r="A3683" s="7">
        <f>IFERROR(Datos!A3683,"")</f>
        <v/>
      </c>
      <c r="B3683" s="8">
        <f>IFERROR(Datos!B3683,"")</f>
        <v/>
      </c>
      <c r="C3683" s="8">
        <f>IFERROR(Datos!C3683,"")</f>
        <v/>
      </c>
      <c r="D3683" s="28">
        <f>IFERROR(IF(AND(ISNUMBER(B3683),ISNUMBER(B3682),B3682&lt;&gt;0),B3683/B3682-1,""),"")</f>
        <v/>
      </c>
      <c r="E3683" s="28">
        <f>IFERROR(IF(AND(ISNUMBER(C3683),ISNUMBER(C3682),C3682&lt;&gt;0),C3683/C3682-1,""),"")</f>
        <v/>
      </c>
      <c r="F3683" s="28">
        <f>IFERROR(D3683-Dashboard!$B$4/252,"")</f>
        <v/>
      </c>
      <c r="G3683" s="28">
        <f>IFERROR(E3683-Dashboard!$B$4/252,"")</f>
        <v/>
      </c>
      <c r="H3683" s="8">
        <f>IFERROR(IF(ISNUMBER(B3683),MAX(B3683,IFERROR(H3682,B3683)),""),"")</f>
        <v/>
      </c>
      <c r="I3683" s="29">
        <f>IFERROR(IF(AND(ISNUMBER(B3683),ISNUMBER(H3683)),B3683/H3683-1,""),"")</f>
        <v/>
      </c>
      <c r="J3683" s="8">
        <f>IFERROR(IF(ISNUMBER(C3683),MAX(C3683,IFERROR(J3682,C3683)),""),"")</f>
        <v/>
      </c>
      <c r="K3683" s="29">
        <f>IFERROR(IF(AND(ISNUMBER(C3683),ISNUMBER(J3683)),C3683/J3683-1,""),"")</f>
        <v/>
      </c>
      <c r="L3683" s="28">
        <f>IFERROR(IF(AND(ISNUMBER(D3683),ISNUMBER(E3683)),D3683-E3683,""),"")</f>
        <v/>
      </c>
    </row>
    <row r="3684">
      <c r="A3684" s="7">
        <f>IFERROR(Datos!A3684,"")</f>
        <v/>
      </c>
      <c r="B3684" s="8">
        <f>IFERROR(Datos!B3684,"")</f>
        <v/>
      </c>
      <c r="C3684" s="8">
        <f>IFERROR(Datos!C3684,"")</f>
        <v/>
      </c>
      <c r="D3684" s="28">
        <f>IFERROR(IF(AND(ISNUMBER(B3684),ISNUMBER(B3683),B3683&lt;&gt;0),B3684/B3683-1,""),"")</f>
        <v/>
      </c>
      <c r="E3684" s="28">
        <f>IFERROR(IF(AND(ISNUMBER(C3684),ISNUMBER(C3683),C3683&lt;&gt;0),C3684/C3683-1,""),"")</f>
        <v/>
      </c>
      <c r="F3684" s="28">
        <f>IFERROR(D3684-Dashboard!$B$4/252,"")</f>
        <v/>
      </c>
      <c r="G3684" s="28">
        <f>IFERROR(E3684-Dashboard!$B$4/252,"")</f>
        <v/>
      </c>
      <c r="H3684" s="8">
        <f>IFERROR(IF(ISNUMBER(B3684),MAX(B3684,IFERROR(H3683,B3684)),""),"")</f>
        <v/>
      </c>
      <c r="I3684" s="29">
        <f>IFERROR(IF(AND(ISNUMBER(B3684),ISNUMBER(H3684)),B3684/H3684-1,""),"")</f>
        <v/>
      </c>
      <c r="J3684" s="8">
        <f>IFERROR(IF(ISNUMBER(C3684),MAX(C3684,IFERROR(J3683,C3684)),""),"")</f>
        <v/>
      </c>
      <c r="K3684" s="29">
        <f>IFERROR(IF(AND(ISNUMBER(C3684),ISNUMBER(J3684)),C3684/J3684-1,""),"")</f>
        <v/>
      </c>
      <c r="L3684" s="28">
        <f>IFERROR(IF(AND(ISNUMBER(D3684),ISNUMBER(E3684)),D3684-E3684,""),"")</f>
        <v/>
      </c>
    </row>
    <row r="3685">
      <c r="A3685" s="7">
        <f>IFERROR(Datos!A3685,"")</f>
        <v/>
      </c>
      <c r="B3685" s="8">
        <f>IFERROR(Datos!B3685,"")</f>
        <v/>
      </c>
      <c r="C3685" s="8">
        <f>IFERROR(Datos!C3685,"")</f>
        <v/>
      </c>
      <c r="D3685" s="28">
        <f>IFERROR(IF(AND(ISNUMBER(B3685),ISNUMBER(B3684),B3684&lt;&gt;0),B3685/B3684-1,""),"")</f>
        <v/>
      </c>
      <c r="E3685" s="28">
        <f>IFERROR(IF(AND(ISNUMBER(C3685),ISNUMBER(C3684),C3684&lt;&gt;0),C3685/C3684-1,""),"")</f>
        <v/>
      </c>
      <c r="F3685" s="28">
        <f>IFERROR(D3685-Dashboard!$B$4/252,"")</f>
        <v/>
      </c>
      <c r="G3685" s="28">
        <f>IFERROR(E3685-Dashboard!$B$4/252,"")</f>
        <v/>
      </c>
      <c r="H3685" s="8">
        <f>IFERROR(IF(ISNUMBER(B3685),MAX(B3685,IFERROR(H3684,B3685)),""),"")</f>
        <v/>
      </c>
      <c r="I3685" s="29">
        <f>IFERROR(IF(AND(ISNUMBER(B3685),ISNUMBER(H3685)),B3685/H3685-1,""),"")</f>
        <v/>
      </c>
      <c r="J3685" s="8">
        <f>IFERROR(IF(ISNUMBER(C3685),MAX(C3685,IFERROR(J3684,C3685)),""),"")</f>
        <v/>
      </c>
      <c r="K3685" s="29">
        <f>IFERROR(IF(AND(ISNUMBER(C3685),ISNUMBER(J3685)),C3685/J3685-1,""),"")</f>
        <v/>
      </c>
      <c r="L3685" s="28">
        <f>IFERROR(IF(AND(ISNUMBER(D3685),ISNUMBER(E3685)),D3685-E3685,""),"")</f>
        <v/>
      </c>
    </row>
    <row r="3686">
      <c r="A3686" s="7">
        <f>IFERROR(Datos!A3686,"")</f>
        <v/>
      </c>
      <c r="B3686" s="8">
        <f>IFERROR(Datos!B3686,"")</f>
        <v/>
      </c>
      <c r="C3686" s="8">
        <f>IFERROR(Datos!C3686,"")</f>
        <v/>
      </c>
      <c r="D3686" s="28">
        <f>IFERROR(IF(AND(ISNUMBER(B3686),ISNUMBER(B3685),B3685&lt;&gt;0),B3686/B3685-1,""),"")</f>
        <v/>
      </c>
      <c r="E3686" s="28">
        <f>IFERROR(IF(AND(ISNUMBER(C3686),ISNUMBER(C3685),C3685&lt;&gt;0),C3686/C3685-1,""),"")</f>
        <v/>
      </c>
      <c r="F3686" s="28">
        <f>IFERROR(D3686-Dashboard!$B$4/252,"")</f>
        <v/>
      </c>
      <c r="G3686" s="28">
        <f>IFERROR(E3686-Dashboard!$B$4/252,"")</f>
        <v/>
      </c>
      <c r="H3686" s="8">
        <f>IFERROR(IF(ISNUMBER(B3686),MAX(B3686,IFERROR(H3685,B3686)),""),"")</f>
        <v/>
      </c>
      <c r="I3686" s="29">
        <f>IFERROR(IF(AND(ISNUMBER(B3686),ISNUMBER(H3686)),B3686/H3686-1,""),"")</f>
        <v/>
      </c>
      <c r="J3686" s="8">
        <f>IFERROR(IF(ISNUMBER(C3686),MAX(C3686,IFERROR(J3685,C3686)),""),"")</f>
        <v/>
      </c>
      <c r="K3686" s="29">
        <f>IFERROR(IF(AND(ISNUMBER(C3686),ISNUMBER(J3686)),C3686/J3686-1,""),"")</f>
        <v/>
      </c>
      <c r="L3686" s="28">
        <f>IFERROR(IF(AND(ISNUMBER(D3686),ISNUMBER(E3686)),D3686-E3686,""),"")</f>
        <v/>
      </c>
    </row>
    <row r="3687">
      <c r="A3687" s="7">
        <f>IFERROR(Datos!A3687,"")</f>
        <v/>
      </c>
      <c r="B3687" s="8">
        <f>IFERROR(Datos!B3687,"")</f>
        <v/>
      </c>
      <c r="C3687" s="8">
        <f>IFERROR(Datos!C3687,"")</f>
        <v/>
      </c>
      <c r="D3687" s="28">
        <f>IFERROR(IF(AND(ISNUMBER(B3687),ISNUMBER(B3686),B3686&lt;&gt;0),B3687/B3686-1,""),"")</f>
        <v/>
      </c>
      <c r="E3687" s="28">
        <f>IFERROR(IF(AND(ISNUMBER(C3687),ISNUMBER(C3686),C3686&lt;&gt;0),C3687/C3686-1,""),"")</f>
        <v/>
      </c>
      <c r="F3687" s="28">
        <f>IFERROR(D3687-Dashboard!$B$4/252,"")</f>
        <v/>
      </c>
      <c r="G3687" s="28">
        <f>IFERROR(E3687-Dashboard!$B$4/252,"")</f>
        <v/>
      </c>
      <c r="H3687" s="8">
        <f>IFERROR(IF(ISNUMBER(B3687),MAX(B3687,IFERROR(H3686,B3687)),""),"")</f>
        <v/>
      </c>
      <c r="I3687" s="29">
        <f>IFERROR(IF(AND(ISNUMBER(B3687),ISNUMBER(H3687)),B3687/H3687-1,""),"")</f>
        <v/>
      </c>
      <c r="J3687" s="8">
        <f>IFERROR(IF(ISNUMBER(C3687),MAX(C3687,IFERROR(J3686,C3687)),""),"")</f>
        <v/>
      </c>
      <c r="K3687" s="29">
        <f>IFERROR(IF(AND(ISNUMBER(C3687),ISNUMBER(J3687)),C3687/J3687-1,""),"")</f>
        <v/>
      </c>
      <c r="L3687" s="28">
        <f>IFERROR(IF(AND(ISNUMBER(D3687),ISNUMBER(E3687)),D3687-E3687,""),"")</f>
        <v/>
      </c>
    </row>
    <row r="3688">
      <c r="A3688" s="7">
        <f>IFERROR(Datos!A3688,"")</f>
        <v/>
      </c>
      <c r="B3688" s="8">
        <f>IFERROR(Datos!B3688,"")</f>
        <v/>
      </c>
      <c r="C3688" s="8">
        <f>IFERROR(Datos!C3688,"")</f>
        <v/>
      </c>
      <c r="D3688" s="28">
        <f>IFERROR(IF(AND(ISNUMBER(B3688),ISNUMBER(B3687),B3687&lt;&gt;0),B3688/B3687-1,""),"")</f>
        <v/>
      </c>
      <c r="E3688" s="28">
        <f>IFERROR(IF(AND(ISNUMBER(C3688),ISNUMBER(C3687),C3687&lt;&gt;0),C3688/C3687-1,""),"")</f>
        <v/>
      </c>
      <c r="F3688" s="28">
        <f>IFERROR(D3688-Dashboard!$B$4/252,"")</f>
        <v/>
      </c>
      <c r="G3688" s="28">
        <f>IFERROR(E3688-Dashboard!$B$4/252,"")</f>
        <v/>
      </c>
      <c r="H3688" s="8">
        <f>IFERROR(IF(ISNUMBER(B3688),MAX(B3688,IFERROR(H3687,B3688)),""),"")</f>
        <v/>
      </c>
      <c r="I3688" s="29">
        <f>IFERROR(IF(AND(ISNUMBER(B3688),ISNUMBER(H3688)),B3688/H3688-1,""),"")</f>
        <v/>
      </c>
      <c r="J3688" s="8">
        <f>IFERROR(IF(ISNUMBER(C3688),MAX(C3688,IFERROR(J3687,C3688)),""),"")</f>
        <v/>
      </c>
      <c r="K3688" s="29">
        <f>IFERROR(IF(AND(ISNUMBER(C3688),ISNUMBER(J3688)),C3688/J3688-1,""),"")</f>
        <v/>
      </c>
      <c r="L3688" s="28">
        <f>IFERROR(IF(AND(ISNUMBER(D3688),ISNUMBER(E3688)),D3688-E3688,""),"")</f>
        <v/>
      </c>
    </row>
    <row r="3689">
      <c r="A3689" s="7">
        <f>IFERROR(Datos!A3689,"")</f>
        <v/>
      </c>
      <c r="B3689" s="8">
        <f>IFERROR(Datos!B3689,"")</f>
        <v/>
      </c>
      <c r="C3689" s="8">
        <f>IFERROR(Datos!C3689,"")</f>
        <v/>
      </c>
      <c r="D3689" s="28">
        <f>IFERROR(IF(AND(ISNUMBER(B3689),ISNUMBER(B3688),B3688&lt;&gt;0),B3689/B3688-1,""),"")</f>
        <v/>
      </c>
      <c r="E3689" s="28">
        <f>IFERROR(IF(AND(ISNUMBER(C3689),ISNUMBER(C3688),C3688&lt;&gt;0),C3689/C3688-1,""),"")</f>
        <v/>
      </c>
      <c r="F3689" s="28">
        <f>IFERROR(D3689-Dashboard!$B$4/252,"")</f>
        <v/>
      </c>
      <c r="G3689" s="28">
        <f>IFERROR(E3689-Dashboard!$B$4/252,"")</f>
        <v/>
      </c>
      <c r="H3689" s="8">
        <f>IFERROR(IF(ISNUMBER(B3689),MAX(B3689,IFERROR(H3688,B3689)),""),"")</f>
        <v/>
      </c>
      <c r="I3689" s="29">
        <f>IFERROR(IF(AND(ISNUMBER(B3689),ISNUMBER(H3689)),B3689/H3689-1,""),"")</f>
        <v/>
      </c>
      <c r="J3689" s="8">
        <f>IFERROR(IF(ISNUMBER(C3689),MAX(C3689,IFERROR(J3688,C3689)),""),"")</f>
        <v/>
      </c>
      <c r="K3689" s="29">
        <f>IFERROR(IF(AND(ISNUMBER(C3689),ISNUMBER(J3689)),C3689/J3689-1,""),"")</f>
        <v/>
      </c>
      <c r="L3689" s="28">
        <f>IFERROR(IF(AND(ISNUMBER(D3689),ISNUMBER(E3689)),D3689-E3689,""),"")</f>
        <v/>
      </c>
    </row>
    <row r="3690">
      <c r="A3690" s="7">
        <f>IFERROR(Datos!A3690,"")</f>
        <v/>
      </c>
      <c r="B3690" s="8">
        <f>IFERROR(Datos!B3690,"")</f>
        <v/>
      </c>
      <c r="C3690" s="8">
        <f>IFERROR(Datos!C3690,"")</f>
        <v/>
      </c>
      <c r="D3690" s="28">
        <f>IFERROR(IF(AND(ISNUMBER(B3690),ISNUMBER(B3689),B3689&lt;&gt;0),B3690/B3689-1,""),"")</f>
        <v/>
      </c>
      <c r="E3690" s="28">
        <f>IFERROR(IF(AND(ISNUMBER(C3690),ISNUMBER(C3689),C3689&lt;&gt;0),C3690/C3689-1,""),"")</f>
        <v/>
      </c>
      <c r="F3690" s="28">
        <f>IFERROR(D3690-Dashboard!$B$4/252,"")</f>
        <v/>
      </c>
      <c r="G3690" s="28">
        <f>IFERROR(E3690-Dashboard!$B$4/252,"")</f>
        <v/>
      </c>
      <c r="H3690" s="8">
        <f>IFERROR(IF(ISNUMBER(B3690),MAX(B3690,IFERROR(H3689,B3690)),""),"")</f>
        <v/>
      </c>
      <c r="I3690" s="29">
        <f>IFERROR(IF(AND(ISNUMBER(B3690),ISNUMBER(H3690)),B3690/H3690-1,""),"")</f>
        <v/>
      </c>
      <c r="J3690" s="8">
        <f>IFERROR(IF(ISNUMBER(C3690),MAX(C3690,IFERROR(J3689,C3690)),""),"")</f>
        <v/>
      </c>
      <c r="K3690" s="29">
        <f>IFERROR(IF(AND(ISNUMBER(C3690),ISNUMBER(J3690)),C3690/J3690-1,""),"")</f>
        <v/>
      </c>
      <c r="L3690" s="28">
        <f>IFERROR(IF(AND(ISNUMBER(D3690),ISNUMBER(E3690)),D3690-E3690,""),"")</f>
        <v/>
      </c>
    </row>
    <row r="3691">
      <c r="A3691" s="7">
        <f>IFERROR(Datos!A3691,"")</f>
        <v/>
      </c>
      <c r="B3691" s="8">
        <f>IFERROR(Datos!B3691,"")</f>
        <v/>
      </c>
      <c r="C3691" s="8">
        <f>IFERROR(Datos!C3691,"")</f>
        <v/>
      </c>
      <c r="D3691" s="28">
        <f>IFERROR(IF(AND(ISNUMBER(B3691),ISNUMBER(B3690),B3690&lt;&gt;0),B3691/B3690-1,""),"")</f>
        <v/>
      </c>
      <c r="E3691" s="28">
        <f>IFERROR(IF(AND(ISNUMBER(C3691),ISNUMBER(C3690),C3690&lt;&gt;0),C3691/C3690-1,""),"")</f>
        <v/>
      </c>
      <c r="F3691" s="28">
        <f>IFERROR(D3691-Dashboard!$B$4/252,"")</f>
        <v/>
      </c>
      <c r="G3691" s="28">
        <f>IFERROR(E3691-Dashboard!$B$4/252,"")</f>
        <v/>
      </c>
      <c r="H3691" s="8">
        <f>IFERROR(IF(ISNUMBER(B3691),MAX(B3691,IFERROR(H3690,B3691)),""),"")</f>
        <v/>
      </c>
      <c r="I3691" s="29">
        <f>IFERROR(IF(AND(ISNUMBER(B3691),ISNUMBER(H3691)),B3691/H3691-1,""),"")</f>
        <v/>
      </c>
      <c r="J3691" s="8">
        <f>IFERROR(IF(ISNUMBER(C3691),MAX(C3691,IFERROR(J3690,C3691)),""),"")</f>
        <v/>
      </c>
      <c r="K3691" s="29">
        <f>IFERROR(IF(AND(ISNUMBER(C3691),ISNUMBER(J3691)),C3691/J3691-1,""),"")</f>
        <v/>
      </c>
      <c r="L3691" s="28">
        <f>IFERROR(IF(AND(ISNUMBER(D3691),ISNUMBER(E3691)),D3691-E3691,""),"")</f>
        <v/>
      </c>
    </row>
    <row r="3692">
      <c r="A3692" s="7">
        <f>IFERROR(Datos!A3692,"")</f>
        <v/>
      </c>
      <c r="B3692" s="8">
        <f>IFERROR(Datos!B3692,"")</f>
        <v/>
      </c>
      <c r="C3692" s="8">
        <f>IFERROR(Datos!C3692,"")</f>
        <v/>
      </c>
      <c r="D3692" s="28">
        <f>IFERROR(IF(AND(ISNUMBER(B3692),ISNUMBER(B3691),B3691&lt;&gt;0),B3692/B3691-1,""),"")</f>
        <v/>
      </c>
      <c r="E3692" s="28">
        <f>IFERROR(IF(AND(ISNUMBER(C3692),ISNUMBER(C3691),C3691&lt;&gt;0),C3692/C3691-1,""),"")</f>
        <v/>
      </c>
      <c r="F3692" s="28">
        <f>IFERROR(D3692-Dashboard!$B$4/252,"")</f>
        <v/>
      </c>
      <c r="G3692" s="28">
        <f>IFERROR(E3692-Dashboard!$B$4/252,"")</f>
        <v/>
      </c>
      <c r="H3692" s="8">
        <f>IFERROR(IF(ISNUMBER(B3692),MAX(B3692,IFERROR(H3691,B3692)),""),"")</f>
        <v/>
      </c>
      <c r="I3692" s="29">
        <f>IFERROR(IF(AND(ISNUMBER(B3692),ISNUMBER(H3692)),B3692/H3692-1,""),"")</f>
        <v/>
      </c>
      <c r="J3692" s="8">
        <f>IFERROR(IF(ISNUMBER(C3692),MAX(C3692,IFERROR(J3691,C3692)),""),"")</f>
        <v/>
      </c>
      <c r="K3692" s="29">
        <f>IFERROR(IF(AND(ISNUMBER(C3692),ISNUMBER(J3692)),C3692/J3692-1,""),"")</f>
        <v/>
      </c>
      <c r="L3692" s="28">
        <f>IFERROR(IF(AND(ISNUMBER(D3692),ISNUMBER(E3692)),D3692-E3692,""),"")</f>
        <v/>
      </c>
    </row>
    <row r="3693">
      <c r="A3693" s="7">
        <f>IFERROR(Datos!A3693,"")</f>
        <v/>
      </c>
      <c r="B3693" s="8">
        <f>IFERROR(Datos!B3693,"")</f>
        <v/>
      </c>
      <c r="C3693" s="8">
        <f>IFERROR(Datos!C3693,"")</f>
        <v/>
      </c>
      <c r="D3693" s="28">
        <f>IFERROR(IF(AND(ISNUMBER(B3693),ISNUMBER(B3692),B3692&lt;&gt;0),B3693/B3692-1,""),"")</f>
        <v/>
      </c>
      <c r="E3693" s="28">
        <f>IFERROR(IF(AND(ISNUMBER(C3693),ISNUMBER(C3692),C3692&lt;&gt;0),C3693/C3692-1,""),"")</f>
        <v/>
      </c>
      <c r="F3693" s="28">
        <f>IFERROR(D3693-Dashboard!$B$4/252,"")</f>
        <v/>
      </c>
      <c r="G3693" s="28">
        <f>IFERROR(E3693-Dashboard!$B$4/252,"")</f>
        <v/>
      </c>
      <c r="H3693" s="8">
        <f>IFERROR(IF(ISNUMBER(B3693),MAX(B3693,IFERROR(H3692,B3693)),""),"")</f>
        <v/>
      </c>
      <c r="I3693" s="29">
        <f>IFERROR(IF(AND(ISNUMBER(B3693),ISNUMBER(H3693)),B3693/H3693-1,""),"")</f>
        <v/>
      </c>
      <c r="J3693" s="8">
        <f>IFERROR(IF(ISNUMBER(C3693),MAX(C3693,IFERROR(J3692,C3693)),""),"")</f>
        <v/>
      </c>
      <c r="K3693" s="29">
        <f>IFERROR(IF(AND(ISNUMBER(C3693),ISNUMBER(J3693)),C3693/J3693-1,""),"")</f>
        <v/>
      </c>
      <c r="L3693" s="28">
        <f>IFERROR(IF(AND(ISNUMBER(D3693),ISNUMBER(E3693)),D3693-E3693,""),"")</f>
        <v/>
      </c>
    </row>
    <row r="3694">
      <c r="A3694" s="7">
        <f>IFERROR(Datos!A3694,"")</f>
        <v/>
      </c>
      <c r="B3694" s="8">
        <f>IFERROR(Datos!B3694,"")</f>
        <v/>
      </c>
      <c r="C3694" s="8">
        <f>IFERROR(Datos!C3694,"")</f>
        <v/>
      </c>
      <c r="D3694" s="28">
        <f>IFERROR(IF(AND(ISNUMBER(B3694),ISNUMBER(B3693),B3693&lt;&gt;0),B3694/B3693-1,""),"")</f>
        <v/>
      </c>
      <c r="E3694" s="28">
        <f>IFERROR(IF(AND(ISNUMBER(C3694),ISNUMBER(C3693),C3693&lt;&gt;0),C3694/C3693-1,""),"")</f>
        <v/>
      </c>
      <c r="F3694" s="28">
        <f>IFERROR(D3694-Dashboard!$B$4/252,"")</f>
        <v/>
      </c>
      <c r="G3694" s="28">
        <f>IFERROR(E3694-Dashboard!$B$4/252,"")</f>
        <v/>
      </c>
      <c r="H3694" s="8">
        <f>IFERROR(IF(ISNUMBER(B3694),MAX(B3694,IFERROR(H3693,B3694)),""),"")</f>
        <v/>
      </c>
      <c r="I3694" s="29">
        <f>IFERROR(IF(AND(ISNUMBER(B3694),ISNUMBER(H3694)),B3694/H3694-1,""),"")</f>
        <v/>
      </c>
      <c r="J3694" s="8">
        <f>IFERROR(IF(ISNUMBER(C3694),MAX(C3694,IFERROR(J3693,C3694)),""),"")</f>
        <v/>
      </c>
      <c r="K3694" s="29">
        <f>IFERROR(IF(AND(ISNUMBER(C3694),ISNUMBER(J3694)),C3694/J3694-1,""),"")</f>
        <v/>
      </c>
      <c r="L3694" s="28">
        <f>IFERROR(IF(AND(ISNUMBER(D3694),ISNUMBER(E3694)),D3694-E3694,""),"")</f>
        <v/>
      </c>
    </row>
    <row r="3695">
      <c r="A3695" s="7">
        <f>IFERROR(Datos!A3695,"")</f>
        <v/>
      </c>
      <c r="B3695" s="8">
        <f>IFERROR(Datos!B3695,"")</f>
        <v/>
      </c>
      <c r="C3695" s="8">
        <f>IFERROR(Datos!C3695,"")</f>
        <v/>
      </c>
      <c r="D3695" s="28">
        <f>IFERROR(IF(AND(ISNUMBER(B3695),ISNUMBER(B3694),B3694&lt;&gt;0),B3695/B3694-1,""),"")</f>
        <v/>
      </c>
      <c r="E3695" s="28">
        <f>IFERROR(IF(AND(ISNUMBER(C3695),ISNUMBER(C3694),C3694&lt;&gt;0),C3695/C3694-1,""),"")</f>
        <v/>
      </c>
      <c r="F3695" s="28">
        <f>IFERROR(D3695-Dashboard!$B$4/252,"")</f>
        <v/>
      </c>
      <c r="G3695" s="28">
        <f>IFERROR(E3695-Dashboard!$B$4/252,"")</f>
        <v/>
      </c>
      <c r="H3695" s="8">
        <f>IFERROR(IF(ISNUMBER(B3695),MAX(B3695,IFERROR(H3694,B3695)),""),"")</f>
        <v/>
      </c>
      <c r="I3695" s="29">
        <f>IFERROR(IF(AND(ISNUMBER(B3695),ISNUMBER(H3695)),B3695/H3695-1,""),"")</f>
        <v/>
      </c>
      <c r="J3695" s="8">
        <f>IFERROR(IF(ISNUMBER(C3695),MAX(C3695,IFERROR(J3694,C3695)),""),"")</f>
        <v/>
      </c>
      <c r="K3695" s="29">
        <f>IFERROR(IF(AND(ISNUMBER(C3695),ISNUMBER(J3695)),C3695/J3695-1,""),"")</f>
        <v/>
      </c>
      <c r="L3695" s="28">
        <f>IFERROR(IF(AND(ISNUMBER(D3695),ISNUMBER(E3695)),D3695-E3695,""),"")</f>
        <v/>
      </c>
    </row>
    <row r="3696">
      <c r="A3696" s="7">
        <f>IFERROR(Datos!A3696,"")</f>
        <v/>
      </c>
      <c r="B3696" s="8">
        <f>IFERROR(Datos!B3696,"")</f>
        <v/>
      </c>
      <c r="C3696" s="8">
        <f>IFERROR(Datos!C3696,"")</f>
        <v/>
      </c>
      <c r="D3696" s="28">
        <f>IFERROR(IF(AND(ISNUMBER(B3696),ISNUMBER(B3695),B3695&lt;&gt;0),B3696/B3695-1,""),"")</f>
        <v/>
      </c>
      <c r="E3696" s="28">
        <f>IFERROR(IF(AND(ISNUMBER(C3696),ISNUMBER(C3695),C3695&lt;&gt;0),C3696/C3695-1,""),"")</f>
        <v/>
      </c>
      <c r="F3696" s="28">
        <f>IFERROR(D3696-Dashboard!$B$4/252,"")</f>
        <v/>
      </c>
      <c r="G3696" s="28">
        <f>IFERROR(E3696-Dashboard!$B$4/252,"")</f>
        <v/>
      </c>
      <c r="H3696" s="8">
        <f>IFERROR(IF(ISNUMBER(B3696),MAX(B3696,IFERROR(H3695,B3696)),""),"")</f>
        <v/>
      </c>
      <c r="I3696" s="29">
        <f>IFERROR(IF(AND(ISNUMBER(B3696),ISNUMBER(H3696)),B3696/H3696-1,""),"")</f>
        <v/>
      </c>
      <c r="J3696" s="8">
        <f>IFERROR(IF(ISNUMBER(C3696),MAX(C3696,IFERROR(J3695,C3696)),""),"")</f>
        <v/>
      </c>
      <c r="K3696" s="29">
        <f>IFERROR(IF(AND(ISNUMBER(C3696),ISNUMBER(J3696)),C3696/J3696-1,""),"")</f>
        <v/>
      </c>
      <c r="L3696" s="28">
        <f>IFERROR(IF(AND(ISNUMBER(D3696),ISNUMBER(E3696)),D3696-E3696,""),"")</f>
        <v/>
      </c>
    </row>
    <row r="3697">
      <c r="A3697" s="7">
        <f>IFERROR(Datos!A3697,"")</f>
        <v/>
      </c>
      <c r="B3697" s="8">
        <f>IFERROR(Datos!B3697,"")</f>
        <v/>
      </c>
      <c r="C3697" s="8">
        <f>IFERROR(Datos!C3697,"")</f>
        <v/>
      </c>
      <c r="D3697" s="28">
        <f>IFERROR(IF(AND(ISNUMBER(B3697),ISNUMBER(B3696),B3696&lt;&gt;0),B3697/B3696-1,""),"")</f>
        <v/>
      </c>
      <c r="E3697" s="28">
        <f>IFERROR(IF(AND(ISNUMBER(C3697),ISNUMBER(C3696),C3696&lt;&gt;0),C3697/C3696-1,""),"")</f>
        <v/>
      </c>
      <c r="F3697" s="28">
        <f>IFERROR(D3697-Dashboard!$B$4/252,"")</f>
        <v/>
      </c>
      <c r="G3697" s="28">
        <f>IFERROR(E3697-Dashboard!$B$4/252,"")</f>
        <v/>
      </c>
      <c r="H3697" s="8">
        <f>IFERROR(IF(ISNUMBER(B3697),MAX(B3697,IFERROR(H3696,B3697)),""),"")</f>
        <v/>
      </c>
      <c r="I3697" s="29">
        <f>IFERROR(IF(AND(ISNUMBER(B3697),ISNUMBER(H3697)),B3697/H3697-1,""),"")</f>
        <v/>
      </c>
      <c r="J3697" s="8">
        <f>IFERROR(IF(ISNUMBER(C3697),MAX(C3697,IFERROR(J3696,C3697)),""),"")</f>
        <v/>
      </c>
      <c r="K3697" s="29">
        <f>IFERROR(IF(AND(ISNUMBER(C3697),ISNUMBER(J3697)),C3697/J3697-1,""),"")</f>
        <v/>
      </c>
      <c r="L3697" s="28">
        <f>IFERROR(IF(AND(ISNUMBER(D3697),ISNUMBER(E3697)),D3697-E3697,""),"")</f>
        <v/>
      </c>
    </row>
    <row r="3698">
      <c r="A3698" s="7">
        <f>IFERROR(Datos!A3698,"")</f>
        <v/>
      </c>
      <c r="B3698" s="8">
        <f>IFERROR(Datos!B3698,"")</f>
        <v/>
      </c>
      <c r="C3698" s="8">
        <f>IFERROR(Datos!C3698,"")</f>
        <v/>
      </c>
      <c r="D3698" s="28">
        <f>IFERROR(IF(AND(ISNUMBER(B3698),ISNUMBER(B3697),B3697&lt;&gt;0),B3698/B3697-1,""),"")</f>
        <v/>
      </c>
      <c r="E3698" s="28">
        <f>IFERROR(IF(AND(ISNUMBER(C3698),ISNUMBER(C3697),C3697&lt;&gt;0),C3698/C3697-1,""),"")</f>
        <v/>
      </c>
      <c r="F3698" s="28">
        <f>IFERROR(D3698-Dashboard!$B$4/252,"")</f>
        <v/>
      </c>
      <c r="G3698" s="28">
        <f>IFERROR(E3698-Dashboard!$B$4/252,"")</f>
        <v/>
      </c>
      <c r="H3698" s="8">
        <f>IFERROR(IF(ISNUMBER(B3698),MAX(B3698,IFERROR(H3697,B3698)),""),"")</f>
        <v/>
      </c>
      <c r="I3698" s="29">
        <f>IFERROR(IF(AND(ISNUMBER(B3698),ISNUMBER(H3698)),B3698/H3698-1,""),"")</f>
        <v/>
      </c>
      <c r="J3698" s="8">
        <f>IFERROR(IF(ISNUMBER(C3698),MAX(C3698,IFERROR(J3697,C3698)),""),"")</f>
        <v/>
      </c>
      <c r="K3698" s="29">
        <f>IFERROR(IF(AND(ISNUMBER(C3698),ISNUMBER(J3698)),C3698/J3698-1,""),"")</f>
        <v/>
      </c>
      <c r="L3698" s="28">
        <f>IFERROR(IF(AND(ISNUMBER(D3698),ISNUMBER(E3698)),D3698-E3698,""),"")</f>
        <v/>
      </c>
    </row>
    <row r="3699">
      <c r="A3699" s="7">
        <f>IFERROR(Datos!A3699,"")</f>
        <v/>
      </c>
      <c r="B3699" s="8">
        <f>IFERROR(Datos!B3699,"")</f>
        <v/>
      </c>
      <c r="C3699" s="8">
        <f>IFERROR(Datos!C3699,"")</f>
        <v/>
      </c>
      <c r="D3699" s="28">
        <f>IFERROR(IF(AND(ISNUMBER(B3699),ISNUMBER(B3698),B3698&lt;&gt;0),B3699/B3698-1,""),"")</f>
        <v/>
      </c>
      <c r="E3699" s="28">
        <f>IFERROR(IF(AND(ISNUMBER(C3699),ISNUMBER(C3698),C3698&lt;&gt;0),C3699/C3698-1,""),"")</f>
        <v/>
      </c>
      <c r="F3699" s="28">
        <f>IFERROR(D3699-Dashboard!$B$4/252,"")</f>
        <v/>
      </c>
      <c r="G3699" s="28">
        <f>IFERROR(E3699-Dashboard!$B$4/252,"")</f>
        <v/>
      </c>
      <c r="H3699" s="8">
        <f>IFERROR(IF(ISNUMBER(B3699),MAX(B3699,IFERROR(H3698,B3699)),""),"")</f>
        <v/>
      </c>
      <c r="I3699" s="29">
        <f>IFERROR(IF(AND(ISNUMBER(B3699),ISNUMBER(H3699)),B3699/H3699-1,""),"")</f>
        <v/>
      </c>
      <c r="J3699" s="8">
        <f>IFERROR(IF(ISNUMBER(C3699),MAX(C3699,IFERROR(J3698,C3699)),""),"")</f>
        <v/>
      </c>
      <c r="K3699" s="29">
        <f>IFERROR(IF(AND(ISNUMBER(C3699),ISNUMBER(J3699)),C3699/J3699-1,""),"")</f>
        <v/>
      </c>
      <c r="L3699" s="28">
        <f>IFERROR(IF(AND(ISNUMBER(D3699),ISNUMBER(E3699)),D3699-E3699,""),"")</f>
        <v/>
      </c>
    </row>
    <row r="3700">
      <c r="A3700" s="7">
        <f>IFERROR(Datos!A3700,"")</f>
        <v/>
      </c>
      <c r="B3700" s="8">
        <f>IFERROR(Datos!B3700,"")</f>
        <v/>
      </c>
      <c r="C3700" s="8">
        <f>IFERROR(Datos!C3700,"")</f>
        <v/>
      </c>
      <c r="D3700" s="28">
        <f>IFERROR(IF(AND(ISNUMBER(B3700),ISNUMBER(B3699),B3699&lt;&gt;0),B3700/B3699-1,""),"")</f>
        <v/>
      </c>
      <c r="E3700" s="28">
        <f>IFERROR(IF(AND(ISNUMBER(C3700),ISNUMBER(C3699),C3699&lt;&gt;0),C3700/C3699-1,""),"")</f>
        <v/>
      </c>
      <c r="F3700" s="28">
        <f>IFERROR(D3700-Dashboard!$B$4/252,"")</f>
        <v/>
      </c>
      <c r="G3700" s="28">
        <f>IFERROR(E3700-Dashboard!$B$4/252,"")</f>
        <v/>
      </c>
      <c r="H3700" s="8">
        <f>IFERROR(IF(ISNUMBER(B3700),MAX(B3700,IFERROR(H3699,B3700)),""),"")</f>
        <v/>
      </c>
      <c r="I3700" s="29">
        <f>IFERROR(IF(AND(ISNUMBER(B3700),ISNUMBER(H3700)),B3700/H3700-1,""),"")</f>
        <v/>
      </c>
      <c r="J3700" s="8">
        <f>IFERROR(IF(ISNUMBER(C3700),MAX(C3700,IFERROR(J3699,C3700)),""),"")</f>
        <v/>
      </c>
      <c r="K3700" s="29">
        <f>IFERROR(IF(AND(ISNUMBER(C3700),ISNUMBER(J3700)),C3700/J3700-1,""),"")</f>
        <v/>
      </c>
      <c r="L3700" s="28">
        <f>IFERROR(IF(AND(ISNUMBER(D3700),ISNUMBER(E3700)),D3700-E3700,""),"")</f>
        <v/>
      </c>
    </row>
    <row r="3701">
      <c r="A3701" s="7">
        <f>IFERROR(Datos!A3701,"")</f>
        <v/>
      </c>
      <c r="B3701" s="8">
        <f>IFERROR(Datos!B3701,"")</f>
        <v/>
      </c>
      <c r="C3701" s="8">
        <f>IFERROR(Datos!C3701,"")</f>
        <v/>
      </c>
      <c r="D3701" s="28">
        <f>IFERROR(IF(AND(ISNUMBER(B3701),ISNUMBER(B3700),B3700&lt;&gt;0),B3701/B3700-1,""),"")</f>
        <v/>
      </c>
      <c r="E3701" s="28">
        <f>IFERROR(IF(AND(ISNUMBER(C3701),ISNUMBER(C3700),C3700&lt;&gt;0),C3701/C3700-1,""),"")</f>
        <v/>
      </c>
      <c r="F3701" s="28">
        <f>IFERROR(D3701-Dashboard!$B$4/252,"")</f>
        <v/>
      </c>
      <c r="G3701" s="28">
        <f>IFERROR(E3701-Dashboard!$B$4/252,"")</f>
        <v/>
      </c>
      <c r="H3701" s="8">
        <f>IFERROR(IF(ISNUMBER(B3701),MAX(B3701,IFERROR(H3700,B3701)),""),"")</f>
        <v/>
      </c>
      <c r="I3701" s="29">
        <f>IFERROR(IF(AND(ISNUMBER(B3701),ISNUMBER(H3701)),B3701/H3701-1,""),"")</f>
        <v/>
      </c>
      <c r="J3701" s="8">
        <f>IFERROR(IF(ISNUMBER(C3701),MAX(C3701,IFERROR(J3700,C3701)),""),"")</f>
        <v/>
      </c>
      <c r="K3701" s="29">
        <f>IFERROR(IF(AND(ISNUMBER(C3701),ISNUMBER(J3701)),C3701/J3701-1,""),"")</f>
        <v/>
      </c>
      <c r="L3701" s="28">
        <f>IFERROR(IF(AND(ISNUMBER(D3701),ISNUMBER(E3701)),D3701-E3701,""),"")</f>
        <v/>
      </c>
    </row>
    <row r="3702">
      <c r="A3702" s="7">
        <f>IFERROR(Datos!A3702,"")</f>
        <v/>
      </c>
      <c r="B3702" s="8">
        <f>IFERROR(Datos!B3702,"")</f>
        <v/>
      </c>
      <c r="C3702" s="8">
        <f>IFERROR(Datos!C3702,"")</f>
        <v/>
      </c>
      <c r="D3702" s="28">
        <f>IFERROR(IF(AND(ISNUMBER(B3702),ISNUMBER(B3701),B3701&lt;&gt;0),B3702/B3701-1,""),"")</f>
        <v/>
      </c>
      <c r="E3702" s="28">
        <f>IFERROR(IF(AND(ISNUMBER(C3702),ISNUMBER(C3701),C3701&lt;&gt;0),C3702/C3701-1,""),"")</f>
        <v/>
      </c>
      <c r="F3702" s="28">
        <f>IFERROR(D3702-Dashboard!$B$4/252,"")</f>
        <v/>
      </c>
      <c r="G3702" s="28">
        <f>IFERROR(E3702-Dashboard!$B$4/252,"")</f>
        <v/>
      </c>
      <c r="H3702" s="8">
        <f>IFERROR(IF(ISNUMBER(B3702),MAX(B3702,IFERROR(H3701,B3702)),""),"")</f>
        <v/>
      </c>
      <c r="I3702" s="29">
        <f>IFERROR(IF(AND(ISNUMBER(B3702),ISNUMBER(H3702)),B3702/H3702-1,""),"")</f>
        <v/>
      </c>
      <c r="J3702" s="8">
        <f>IFERROR(IF(ISNUMBER(C3702),MAX(C3702,IFERROR(J3701,C3702)),""),"")</f>
        <v/>
      </c>
      <c r="K3702" s="29">
        <f>IFERROR(IF(AND(ISNUMBER(C3702),ISNUMBER(J3702)),C3702/J3702-1,""),"")</f>
        <v/>
      </c>
      <c r="L3702" s="28">
        <f>IFERROR(IF(AND(ISNUMBER(D3702),ISNUMBER(E3702)),D3702-E3702,""),"")</f>
        <v/>
      </c>
    </row>
    <row r="3703">
      <c r="A3703" s="7">
        <f>IFERROR(Datos!A3703,"")</f>
        <v/>
      </c>
      <c r="B3703" s="8">
        <f>IFERROR(Datos!B3703,"")</f>
        <v/>
      </c>
      <c r="C3703" s="8">
        <f>IFERROR(Datos!C3703,"")</f>
        <v/>
      </c>
      <c r="D3703" s="28">
        <f>IFERROR(IF(AND(ISNUMBER(B3703),ISNUMBER(B3702),B3702&lt;&gt;0),B3703/B3702-1,""),"")</f>
        <v/>
      </c>
      <c r="E3703" s="28">
        <f>IFERROR(IF(AND(ISNUMBER(C3703),ISNUMBER(C3702),C3702&lt;&gt;0),C3703/C3702-1,""),"")</f>
        <v/>
      </c>
      <c r="F3703" s="28">
        <f>IFERROR(D3703-Dashboard!$B$4/252,"")</f>
        <v/>
      </c>
      <c r="G3703" s="28">
        <f>IFERROR(E3703-Dashboard!$B$4/252,"")</f>
        <v/>
      </c>
      <c r="H3703" s="8">
        <f>IFERROR(IF(ISNUMBER(B3703),MAX(B3703,IFERROR(H3702,B3703)),""),"")</f>
        <v/>
      </c>
      <c r="I3703" s="29">
        <f>IFERROR(IF(AND(ISNUMBER(B3703),ISNUMBER(H3703)),B3703/H3703-1,""),"")</f>
        <v/>
      </c>
      <c r="J3703" s="8">
        <f>IFERROR(IF(ISNUMBER(C3703),MAX(C3703,IFERROR(J3702,C3703)),""),"")</f>
        <v/>
      </c>
      <c r="K3703" s="29">
        <f>IFERROR(IF(AND(ISNUMBER(C3703),ISNUMBER(J3703)),C3703/J3703-1,""),"")</f>
        <v/>
      </c>
      <c r="L3703" s="28">
        <f>IFERROR(IF(AND(ISNUMBER(D3703),ISNUMBER(E3703)),D3703-E3703,""),"")</f>
        <v/>
      </c>
    </row>
    <row r="3704">
      <c r="A3704" s="7">
        <f>IFERROR(Datos!A3704,"")</f>
        <v/>
      </c>
      <c r="B3704" s="8">
        <f>IFERROR(Datos!B3704,"")</f>
        <v/>
      </c>
      <c r="C3704" s="8">
        <f>IFERROR(Datos!C3704,"")</f>
        <v/>
      </c>
      <c r="D3704" s="28">
        <f>IFERROR(IF(AND(ISNUMBER(B3704),ISNUMBER(B3703),B3703&lt;&gt;0),B3704/B3703-1,""),"")</f>
        <v/>
      </c>
      <c r="E3704" s="28">
        <f>IFERROR(IF(AND(ISNUMBER(C3704),ISNUMBER(C3703),C3703&lt;&gt;0),C3704/C3703-1,""),"")</f>
        <v/>
      </c>
      <c r="F3704" s="28">
        <f>IFERROR(D3704-Dashboard!$B$4/252,"")</f>
        <v/>
      </c>
      <c r="G3704" s="28">
        <f>IFERROR(E3704-Dashboard!$B$4/252,"")</f>
        <v/>
      </c>
      <c r="H3704" s="8">
        <f>IFERROR(IF(ISNUMBER(B3704),MAX(B3704,IFERROR(H3703,B3704)),""),"")</f>
        <v/>
      </c>
      <c r="I3704" s="29">
        <f>IFERROR(IF(AND(ISNUMBER(B3704),ISNUMBER(H3704)),B3704/H3704-1,""),"")</f>
        <v/>
      </c>
      <c r="J3704" s="8">
        <f>IFERROR(IF(ISNUMBER(C3704),MAX(C3704,IFERROR(J3703,C3704)),""),"")</f>
        <v/>
      </c>
      <c r="K3704" s="29">
        <f>IFERROR(IF(AND(ISNUMBER(C3704),ISNUMBER(J3704)),C3704/J3704-1,""),"")</f>
        <v/>
      </c>
      <c r="L3704" s="28">
        <f>IFERROR(IF(AND(ISNUMBER(D3704),ISNUMBER(E3704)),D3704-E3704,""),"")</f>
        <v/>
      </c>
    </row>
    <row r="3705">
      <c r="A3705" s="7">
        <f>IFERROR(Datos!A3705,"")</f>
        <v/>
      </c>
      <c r="B3705" s="8">
        <f>IFERROR(Datos!B3705,"")</f>
        <v/>
      </c>
      <c r="C3705" s="8">
        <f>IFERROR(Datos!C3705,"")</f>
        <v/>
      </c>
      <c r="D3705" s="28">
        <f>IFERROR(IF(AND(ISNUMBER(B3705),ISNUMBER(B3704),B3704&lt;&gt;0),B3705/B3704-1,""),"")</f>
        <v/>
      </c>
      <c r="E3705" s="28">
        <f>IFERROR(IF(AND(ISNUMBER(C3705),ISNUMBER(C3704),C3704&lt;&gt;0),C3705/C3704-1,""),"")</f>
        <v/>
      </c>
      <c r="F3705" s="28">
        <f>IFERROR(D3705-Dashboard!$B$4/252,"")</f>
        <v/>
      </c>
      <c r="G3705" s="28">
        <f>IFERROR(E3705-Dashboard!$B$4/252,"")</f>
        <v/>
      </c>
      <c r="H3705" s="8">
        <f>IFERROR(IF(ISNUMBER(B3705),MAX(B3705,IFERROR(H3704,B3705)),""),"")</f>
        <v/>
      </c>
      <c r="I3705" s="29">
        <f>IFERROR(IF(AND(ISNUMBER(B3705),ISNUMBER(H3705)),B3705/H3705-1,""),"")</f>
        <v/>
      </c>
      <c r="J3705" s="8">
        <f>IFERROR(IF(ISNUMBER(C3705),MAX(C3705,IFERROR(J3704,C3705)),""),"")</f>
        <v/>
      </c>
      <c r="K3705" s="29">
        <f>IFERROR(IF(AND(ISNUMBER(C3705),ISNUMBER(J3705)),C3705/J3705-1,""),"")</f>
        <v/>
      </c>
      <c r="L3705" s="28">
        <f>IFERROR(IF(AND(ISNUMBER(D3705),ISNUMBER(E3705)),D3705-E3705,""),"")</f>
        <v/>
      </c>
    </row>
    <row r="3706">
      <c r="A3706" s="7">
        <f>IFERROR(Datos!A3706,"")</f>
        <v/>
      </c>
      <c r="B3706" s="8">
        <f>IFERROR(Datos!B3706,"")</f>
        <v/>
      </c>
      <c r="C3706" s="8">
        <f>IFERROR(Datos!C3706,"")</f>
        <v/>
      </c>
      <c r="D3706" s="28">
        <f>IFERROR(IF(AND(ISNUMBER(B3706),ISNUMBER(B3705),B3705&lt;&gt;0),B3706/B3705-1,""),"")</f>
        <v/>
      </c>
      <c r="E3706" s="28">
        <f>IFERROR(IF(AND(ISNUMBER(C3706),ISNUMBER(C3705),C3705&lt;&gt;0),C3706/C3705-1,""),"")</f>
        <v/>
      </c>
      <c r="F3706" s="28">
        <f>IFERROR(D3706-Dashboard!$B$4/252,"")</f>
        <v/>
      </c>
      <c r="G3706" s="28">
        <f>IFERROR(E3706-Dashboard!$B$4/252,"")</f>
        <v/>
      </c>
      <c r="H3706" s="8">
        <f>IFERROR(IF(ISNUMBER(B3706),MAX(B3706,IFERROR(H3705,B3706)),""),"")</f>
        <v/>
      </c>
      <c r="I3706" s="29">
        <f>IFERROR(IF(AND(ISNUMBER(B3706),ISNUMBER(H3706)),B3706/H3706-1,""),"")</f>
        <v/>
      </c>
      <c r="J3706" s="8">
        <f>IFERROR(IF(ISNUMBER(C3706),MAX(C3706,IFERROR(J3705,C3706)),""),"")</f>
        <v/>
      </c>
      <c r="K3706" s="29">
        <f>IFERROR(IF(AND(ISNUMBER(C3706),ISNUMBER(J3706)),C3706/J3706-1,""),"")</f>
        <v/>
      </c>
      <c r="L3706" s="28">
        <f>IFERROR(IF(AND(ISNUMBER(D3706),ISNUMBER(E3706)),D3706-E3706,""),"")</f>
        <v/>
      </c>
    </row>
    <row r="3707">
      <c r="A3707" s="7">
        <f>IFERROR(Datos!A3707,"")</f>
        <v/>
      </c>
      <c r="B3707" s="8">
        <f>IFERROR(Datos!B3707,"")</f>
        <v/>
      </c>
      <c r="C3707" s="8">
        <f>IFERROR(Datos!C3707,"")</f>
        <v/>
      </c>
      <c r="D3707" s="28">
        <f>IFERROR(IF(AND(ISNUMBER(B3707),ISNUMBER(B3706),B3706&lt;&gt;0),B3707/B3706-1,""),"")</f>
        <v/>
      </c>
      <c r="E3707" s="28">
        <f>IFERROR(IF(AND(ISNUMBER(C3707),ISNUMBER(C3706),C3706&lt;&gt;0),C3707/C3706-1,""),"")</f>
        <v/>
      </c>
      <c r="F3707" s="28">
        <f>IFERROR(D3707-Dashboard!$B$4/252,"")</f>
        <v/>
      </c>
      <c r="G3707" s="28">
        <f>IFERROR(E3707-Dashboard!$B$4/252,"")</f>
        <v/>
      </c>
      <c r="H3707" s="8">
        <f>IFERROR(IF(ISNUMBER(B3707),MAX(B3707,IFERROR(H3706,B3707)),""),"")</f>
        <v/>
      </c>
      <c r="I3707" s="29">
        <f>IFERROR(IF(AND(ISNUMBER(B3707),ISNUMBER(H3707)),B3707/H3707-1,""),"")</f>
        <v/>
      </c>
      <c r="J3707" s="8">
        <f>IFERROR(IF(ISNUMBER(C3707),MAX(C3707,IFERROR(J3706,C3707)),""),"")</f>
        <v/>
      </c>
      <c r="K3707" s="29">
        <f>IFERROR(IF(AND(ISNUMBER(C3707),ISNUMBER(J3707)),C3707/J3707-1,""),"")</f>
        <v/>
      </c>
      <c r="L3707" s="28">
        <f>IFERROR(IF(AND(ISNUMBER(D3707),ISNUMBER(E3707)),D3707-E3707,""),"")</f>
        <v/>
      </c>
    </row>
    <row r="3708">
      <c r="A3708" s="7">
        <f>IFERROR(Datos!A3708,"")</f>
        <v/>
      </c>
      <c r="B3708" s="8">
        <f>IFERROR(Datos!B3708,"")</f>
        <v/>
      </c>
      <c r="C3708" s="8">
        <f>IFERROR(Datos!C3708,"")</f>
        <v/>
      </c>
      <c r="D3708" s="28">
        <f>IFERROR(IF(AND(ISNUMBER(B3708),ISNUMBER(B3707),B3707&lt;&gt;0),B3708/B3707-1,""),"")</f>
        <v/>
      </c>
      <c r="E3708" s="28">
        <f>IFERROR(IF(AND(ISNUMBER(C3708),ISNUMBER(C3707),C3707&lt;&gt;0),C3708/C3707-1,""),"")</f>
        <v/>
      </c>
      <c r="F3708" s="28">
        <f>IFERROR(D3708-Dashboard!$B$4/252,"")</f>
        <v/>
      </c>
      <c r="G3708" s="28">
        <f>IFERROR(E3708-Dashboard!$B$4/252,"")</f>
        <v/>
      </c>
      <c r="H3708" s="8">
        <f>IFERROR(IF(ISNUMBER(B3708),MAX(B3708,IFERROR(H3707,B3708)),""),"")</f>
        <v/>
      </c>
      <c r="I3708" s="29">
        <f>IFERROR(IF(AND(ISNUMBER(B3708),ISNUMBER(H3708)),B3708/H3708-1,""),"")</f>
        <v/>
      </c>
      <c r="J3708" s="8">
        <f>IFERROR(IF(ISNUMBER(C3708),MAX(C3708,IFERROR(J3707,C3708)),""),"")</f>
        <v/>
      </c>
      <c r="K3708" s="29">
        <f>IFERROR(IF(AND(ISNUMBER(C3708),ISNUMBER(J3708)),C3708/J3708-1,""),"")</f>
        <v/>
      </c>
      <c r="L3708" s="28">
        <f>IFERROR(IF(AND(ISNUMBER(D3708),ISNUMBER(E3708)),D3708-E3708,""),"")</f>
        <v/>
      </c>
    </row>
    <row r="3709">
      <c r="A3709" s="7">
        <f>IFERROR(Datos!A3709,"")</f>
        <v/>
      </c>
      <c r="B3709" s="8">
        <f>IFERROR(Datos!B3709,"")</f>
        <v/>
      </c>
      <c r="C3709" s="8">
        <f>IFERROR(Datos!C3709,"")</f>
        <v/>
      </c>
      <c r="D3709" s="28">
        <f>IFERROR(IF(AND(ISNUMBER(B3709),ISNUMBER(B3708),B3708&lt;&gt;0),B3709/B3708-1,""),"")</f>
        <v/>
      </c>
      <c r="E3709" s="28">
        <f>IFERROR(IF(AND(ISNUMBER(C3709),ISNUMBER(C3708),C3708&lt;&gt;0),C3709/C3708-1,""),"")</f>
        <v/>
      </c>
      <c r="F3709" s="28">
        <f>IFERROR(D3709-Dashboard!$B$4/252,"")</f>
        <v/>
      </c>
      <c r="G3709" s="28">
        <f>IFERROR(E3709-Dashboard!$B$4/252,"")</f>
        <v/>
      </c>
      <c r="H3709" s="8">
        <f>IFERROR(IF(ISNUMBER(B3709),MAX(B3709,IFERROR(H3708,B3709)),""),"")</f>
        <v/>
      </c>
      <c r="I3709" s="29">
        <f>IFERROR(IF(AND(ISNUMBER(B3709),ISNUMBER(H3709)),B3709/H3709-1,""),"")</f>
        <v/>
      </c>
      <c r="J3709" s="8">
        <f>IFERROR(IF(ISNUMBER(C3709),MAX(C3709,IFERROR(J3708,C3709)),""),"")</f>
        <v/>
      </c>
      <c r="K3709" s="29">
        <f>IFERROR(IF(AND(ISNUMBER(C3709),ISNUMBER(J3709)),C3709/J3709-1,""),"")</f>
        <v/>
      </c>
      <c r="L3709" s="28">
        <f>IFERROR(IF(AND(ISNUMBER(D3709),ISNUMBER(E3709)),D3709-E3709,""),"")</f>
        <v/>
      </c>
    </row>
    <row r="3710">
      <c r="A3710" s="7">
        <f>IFERROR(Datos!A3710,"")</f>
        <v/>
      </c>
      <c r="B3710" s="8">
        <f>IFERROR(Datos!B3710,"")</f>
        <v/>
      </c>
      <c r="C3710" s="8">
        <f>IFERROR(Datos!C3710,"")</f>
        <v/>
      </c>
      <c r="D3710" s="28">
        <f>IFERROR(IF(AND(ISNUMBER(B3710),ISNUMBER(B3709),B3709&lt;&gt;0),B3710/B3709-1,""),"")</f>
        <v/>
      </c>
      <c r="E3710" s="28">
        <f>IFERROR(IF(AND(ISNUMBER(C3710),ISNUMBER(C3709),C3709&lt;&gt;0),C3710/C3709-1,""),"")</f>
        <v/>
      </c>
      <c r="F3710" s="28">
        <f>IFERROR(D3710-Dashboard!$B$4/252,"")</f>
        <v/>
      </c>
      <c r="G3710" s="28">
        <f>IFERROR(E3710-Dashboard!$B$4/252,"")</f>
        <v/>
      </c>
      <c r="H3710" s="8">
        <f>IFERROR(IF(ISNUMBER(B3710),MAX(B3710,IFERROR(H3709,B3710)),""),"")</f>
        <v/>
      </c>
      <c r="I3710" s="29">
        <f>IFERROR(IF(AND(ISNUMBER(B3710),ISNUMBER(H3710)),B3710/H3710-1,""),"")</f>
        <v/>
      </c>
      <c r="J3710" s="8">
        <f>IFERROR(IF(ISNUMBER(C3710),MAX(C3710,IFERROR(J3709,C3710)),""),"")</f>
        <v/>
      </c>
      <c r="K3710" s="29">
        <f>IFERROR(IF(AND(ISNUMBER(C3710),ISNUMBER(J3710)),C3710/J3710-1,""),"")</f>
        <v/>
      </c>
      <c r="L3710" s="28">
        <f>IFERROR(IF(AND(ISNUMBER(D3710),ISNUMBER(E3710)),D3710-E3710,""),"")</f>
        <v/>
      </c>
    </row>
    <row r="3711">
      <c r="A3711" s="7">
        <f>IFERROR(Datos!A3711,"")</f>
        <v/>
      </c>
      <c r="B3711" s="8">
        <f>IFERROR(Datos!B3711,"")</f>
        <v/>
      </c>
      <c r="C3711" s="8">
        <f>IFERROR(Datos!C3711,"")</f>
        <v/>
      </c>
      <c r="D3711" s="28">
        <f>IFERROR(IF(AND(ISNUMBER(B3711),ISNUMBER(B3710),B3710&lt;&gt;0),B3711/B3710-1,""),"")</f>
        <v/>
      </c>
      <c r="E3711" s="28">
        <f>IFERROR(IF(AND(ISNUMBER(C3711),ISNUMBER(C3710),C3710&lt;&gt;0),C3711/C3710-1,""),"")</f>
        <v/>
      </c>
      <c r="F3711" s="28">
        <f>IFERROR(D3711-Dashboard!$B$4/252,"")</f>
        <v/>
      </c>
      <c r="G3711" s="28">
        <f>IFERROR(E3711-Dashboard!$B$4/252,"")</f>
        <v/>
      </c>
      <c r="H3711" s="8">
        <f>IFERROR(IF(ISNUMBER(B3711),MAX(B3711,IFERROR(H3710,B3711)),""),"")</f>
        <v/>
      </c>
      <c r="I3711" s="29">
        <f>IFERROR(IF(AND(ISNUMBER(B3711),ISNUMBER(H3711)),B3711/H3711-1,""),"")</f>
        <v/>
      </c>
      <c r="J3711" s="8">
        <f>IFERROR(IF(ISNUMBER(C3711),MAX(C3711,IFERROR(J3710,C3711)),""),"")</f>
        <v/>
      </c>
      <c r="K3711" s="29">
        <f>IFERROR(IF(AND(ISNUMBER(C3711),ISNUMBER(J3711)),C3711/J3711-1,""),"")</f>
        <v/>
      </c>
      <c r="L3711" s="28">
        <f>IFERROR(IF(AND(ISNUMBER(D3711),ISNUMBER(E3711)),D3711-E3711,""),"")</f>
        <v/>
      </c>
    </row>
    <row r="3712">
      <c r="A3712" s="7">
        <f>IFERROR(Datos!A3712,"")</f>
        <v/>
      </c>
      <c r="B3712" s="8">
        <f>IFERROR(Datos!B3712,"")</f>
        <v/>
      </c>
      <c r="C3712" s="8">
        <f>IFERROR(Datos!C3712,"")</f>
        <v/>
      </c>
      <c r="D3712" s="28">
        <f>IFERROR(IF(AND(ISNUMBER(B3712),ISNUMBER(B3711),B3711&lt;&gt;0),B3712/B3711-1,""),"")</f>
        <v/>
      </c>
      <c r="E3712" s="28">
        <f>IFERROR(IF(AND(ISNUMBER(C3712),ISNUMBER(C3711),C3711&lt;&gt;0),C3712/C3711-1,""),"")</f>
        <v/>
      </c>
      <c r="F3712" s="28">
        <f>IFERROR(D3712-Dashboard!$B$4/252,"")</f>
        <v/>
      </c>
      <c r="G3712" s="28">
        <f>IFERROR(E3712-Dashboard!$B$4/252,"")</f>
        <v/>
      </c>
      <c r="H3712" s="8">
        <f>IFERROR(IF(ISNUMBER(B3712),MAX(B3712,IFERROR(H3711,B3712)),""),"")</f>
        <v/>
      </c>
      <c r="I3712" s="29">
        <f>IFERROR(IF(AND(ISNUMBER(B3712),ISNUMBER(H3712)),B3712/H3712-1,""),"")</f>
        <v/>
      </c>
      <c r="J3712" s="8">
        <f>IFERROR(IF(ISNUMBER(C3712),MAX(C3712,IFERROR(J3711,C3712)),""),"")</f>
        <v/>
      </c>
      <c r="K3712" s="29">
        <f>IFERROR(IF(AND(ISNUMBER(C3712),ISNUMBER(J3712)),C3712/J3712-1,""),"")</f>
        <v/>
      </c>
      <c r="L3712" s="28">
        <f>IFERROR(IF(AND(ISNUMBER(D3712),ISNUMBER(E3712)),D3712-E3712,""),"")</f>
        <v/>
      </c>
    </row>
    <row r="3713">
      <c r="A3713" s="7">
        <f>IFERROR(Datos!A3713,"")</f>
        <v/>
      </c>
      <c r="B3713" s="8">
        <f>IFERROR(Datos!B3713,"")</f>
        <v/>
      </c>
      <c r="C3713" s="8">
        <f>IFERROR(Datos!C3713,"")</f>
        <v/>
      </c>
      <c r="D3713" s="28">
        <f>IFERROR(IF(AND(ISNUMBER(B3713),ISNUMBER(B3712),B3712&lt;&gt;0),B3713/B3712-1,""),"")</f>
        <v/>
      </c>
      <c r="E3713" s="28">
        <f>IFERROR(IF(AND(ISNUMBER(C3713),ISNUMBER(C3712),C3712&lt;&gt;0),C3713/C3712-1,""),"")</f>
        <v/>
      </c>
      <c r="F3713" s="28">
        <f>IFERROR(D3713-Dashboard!$B$4/252,"")</f>
        <v/>
      </c>
      <c r="G3713" s="28">
        <f>IFERROR(E3713-Dashboard!$B$4/252,"")</f>
        <v/>
      </c>
      <c r="H3713" s="8">
        <f>IFERROR(IF(ISNUMBER(B3713),MAX(B3713,IFERROR(H3712,B3713)),""),"")</f>
        <v/>
      </c>
      <c r="I3713" s="29">
        <f>IFERROR(IF(AND(ISNUMBER(B3713),ISNUMBER(H3713)),B3713/H3713-1,""),"")</f>
        <v/>
      </c>
      <c r="J3713" s="8">
        <f>IFERROR(IF(ISNUMBER(C3713),MAX(C3713,IFERROR(J3712,C3713)),""),"")</f>
        <v/>
      </c>
      <c r="K3713" s="29">
        <f>IFERROR(IF(AND(ISNUMBER(C3713),ISNUMBER(J3713)),C3713/J3713-1,""),"")</f>
        <v/>
      </c>
      <c r="L3713" s="28">
        <f>IFERROR(IF(AND(ISNUMBER(D3713),ISNUMBER(E3713)),D3713-E3713,""),"")</f>
        <v/>
      </c>
    </row>
    <row r="3714">
      <c r="A3714" s="7">
        <f>IFERROR(Datos!A3714,"")</f>
        <v/>
      </c>
      <c r="B3714" s="8">
        <f>IFERROR(Datos!B3714,"")</f>
        <v/>
      </c>
      <c r="C3714" s="8">
        <f>IFERROR(Datos!C3714,"")</f>
        <v/>
      </c>
      <c r="D3714" s="28">
        <f>IFERROR(IF(AND(ISNUMBER(B3714),ISNUMBER(B3713),B3713&lt;&gt;0),B3714/B3713-1,""),"")</f>
        <v/>
      </c>
      <c r="E3714" s="28">
        <f>IFERROR(IF(AND(ISNUMBER(C3714),ISNUMBER(C3713),C3713&lt;&gt;0),C3714/C3713-1,""),"")</f>
        <v/>
      </c>
      <c r="F3714" s="28">
        <f>IFERROR(D3714-Dashboard!$B$4/252,"")</f>
        <v/>
      </c>
      <c r="G3714" s="28">
        <f>IFERROR(E3714-Dashboard!$B$4/252,"")</f>
        <v/>
      </c>
      <c r="H3714" s="8">
        <f>IFERROR(IF(ISNUMBER(B3714),MAX(B3714,IFERROR(H3713,B3714)),""),"")</f>
        <v/>
      </c>
      <c r="I3714" s="29">
        <f>IFERROR(IF(AND(ISNUMBER(B3714),ISNUMBER(H3714)),B3714/H3714-1,""),"")</f>
        <v/>
      </c>
      <c r="J3714" s="8">
        <f>IFERROR(IF(ISNUMBER(C3714),MAX(C3714,IFERROR(J3713,C3714)),""),"")</f>
        <v/>
      </c>
      <c r="K3714" s="29">
        <f>IFERROR(IF(AND(ISNUMBER(C3714),ISNUMBER(J3714)),C3714/J3714-1,""),"")</f>
        <v/>
      </c>
      <c r="L3714" s="28">
        <f>IFERROR(IF(AND(ISNUMBER(D3714),ISNUMBER(E3714)),D3714-E3714,""),"")</f>
        <v/>
      </c>
    </row>
    <row r="3715">
      <c r="A3715" s="7">
        <f>IFERROR(Datos!A3715,"")</f>
        <v/>
      </c>
      <c r="B3715" s="8">
        <f>IFERROR(Datos!B3715,"")</f>
        <v/>
      </c>
      <c r="C3715" s="8">
        <f>IFERROR(Datos!C3715,"")</f>
        <v/>
      </c>
      <c r="D3715" s="28">
        <f>IFERROR(IF(AND(ISNUMBER(B3715),ISNUMBER(B3714),B3714&lt;&gt;0),B3715/B3714-1,""),"")</f>
        <v/>
      </c>
      <c r="E3715" s="28">
        <f>IFERROR(IF(AND(ISNUMBER(C3715),ISNUMBER(C3714),C3714&lt;&gt;0),C3715/C3714-1,""),"")</f>
        <v/>
      </c>
      <c r="F3715" s="28">
        <f>IFERROR(D3715-Dashboard!$B$4/252,"")</f>
        <v/>
      </c>
      <c r="G3715" s="28">
        <f>IFERROR(E3715-Dashboard!$B$4/252,"")</f>
        <v/>
      </c>
      <c r="H3715" s="8">
        <f>IFERROR(IF(ISNUMBER(B3715),MAX(B3715,IFERROR(H3714,B3715)),""),"")</f>
        <v/>
      </c>
      <c r="I3715" s="29">
        <f>IFERROR(IF(AND(ISNUMBER(B3715),ISNUMBER(H3715)),B3715/H3715-1,""),"")</f>
        <v/>
      </c>
      <c r="J3715" s="8">
        <f>IFERROR(IF(ISNUMBER(C3715),MAX(C3715,IFERROR(J3714,C3715)),""),"")</f>
        <v/>
      </c>
      <c r="K3715" s="29">
        <f>IFERROR(IF(AND(ISNUMBER(C3715),ISNUMBER(J3715)),C3715/J3715-1,""),"")</f>
        <v/>
      </c>
      <c r="L3715" s="28">
        <f>IFERROR(IF(AND(ISNUMBER(D3715),ISNUMBER(E3715)),D3715-E3715,""),"")</f>
        <v/>
      </c>
    </row>
    <row r="3716">
      <c r="A3716" s="7">
        <f>IFERROR(Datos!A3716,"")</f>
        <v/>
      </c>
      <c r="B3716" s="8">
        <f>IFERROR(Datos!B3716,"")</f>
        <v/>
      </c>
      <c r="C3716" s="8">
        <f>IFERROR(Datos!C3716,"")</f>
        <v/>
      </c>
      <c r="D3716" s="28">
        <f>IFERROR(IF(AND(ISNUMBER(B3716),ISNUMBER(B3715),B3715&lt;&gt;0),B3716/B3715-1,""),"")</f>
        <v/>
      </c>
      <c r="E3716" s="28">
        <f>IFERROR(IF(AND(ISNUMBER(C3716),ISNUMBER(C3715),C3715&lt;&gt;0),C3716/C3715-1,""),"")</f>
        <v/>
      </c>
      <c r="F3716" s="28">
        <f>IFERROR(D3716-Dashboard!$B$4/252,"")</f>
        <v/>
      </c>
      <c r="G3716" s="28">
        <f>IFERROR(E3716-Dashboard!$B$4/252,"")</f>
        <v/>
      </c>
      <c r="H3716" s="8">
        <f>IFERROR(IF(ISNUMBER(B3716),MAX(B3716,IFERROR(H3715,B3716)),""),"")</f>
        <v/>
      </c>
      <c r="I3716" s="29">
        <f>IFERROR(IF(AND(ISNUMBER(B3716),ISNUMBER(H3716)),B3716/H3716-1,""),"")</f>
        <v/>
      </c>
      <c r="J3716" s="8">
        <f>IFERROR(IF(ISNUMBER(C3716),MAX(C3716,IFERROR(J3715,C3716)),""),"")</f>
        <v/>
      </c>
      <c r="K3716" s="29">
        <f>IFERROR(IF(AND(ISNUMBER(C3716),ISNUMBER(J3716)),C3716/J3716-1,""),"")</f>
        <v/>
      </c>
      <c r="L3716" s="28">
        <f>IFERROR(IF(AND(ISNUMBER(D3716),ISNUMBER(E3716)),D3716-E3716,""),"")</f>
        <v/>
      </c>
    </row>
    <row r="3717">
      <c r="A3717" s="7">
        <f>IFERROR(Datos!A3717,"")</f>
        <v/>
      </c>
      <c r="B3717" s="8">
        <f>IFERROR(Datos!B3717,"")</f>
        <v/>
      </c>
      <c r="C3717" s="8">
        <f>IFERROR(Datos!C3717,"")</f>
        <v/>
      </c>
      <c r="D3717" s="28">
        <f>IFERROR(IF(AND(ISNUMBER(B3717),ISNUMBER(B3716),B3716&lt;&gt;0),B3717/B3716-1,""),"")</f>
        <v/>
      </c>
      <c r="E3717" s="28">
        <f>IFERROR(IF(AND(ISNUMBER(C3717),ISNUMBER(C3716),C3716&lt;&gt;0),C3717/C3716-1,""),"")</f>
        <v/>
      </c>
      <c r="F3717" s="28">
        <f>IFERROR(D3717-Dashboard!$B$4/252,"")</f>
        <v/>
      </c>
      <c r="G3717" s="28">
        <f>IFERROR(E3717-Dashboard!$B$4/252,"")</f>
        <v/>
      </c>
      <c r="H3717" s="8">
        <f>IFERROR(IF(ISNUMBER(B3717),MAX(B3717,IFERROR(H3716,B3717)),""),"")</f>
        <v/>
      </c>
      <c r="I3717" s="29">
        <f>IFERROR(IF(AND(ISNUMBER(B3717),ISNUMBER(H3717)),B3717/H3717-1,""),"")</f>
        <v/>
      </c>
      <c r="J3717" s="8">
        <f>IFERROR(IF(ISNUMBER(C3717),MAX(C3717,IFERROR(J3716,C3717)),""),"")</f>
        <v/>
      </c>
      <c r="K3717" s="29">
        <f>IFERROR(IF(AND(ISNUMBER(C3717),ISNUMBER(J3717)),C3717/J3717-1,""),"")</f>
        <v/>
      </c>
      <c r="L3717" s="28">
        <f>IFERROR(IF(AND(ISNUMBER(D3717),ISNUMBER(E3717)),D3717-E3717,""),"")</f>
        <v/>
      </c>
    </row>
    <row r="3718">
      <c r="A3718" s="7">
        <f>IFERROR(Datos!A3718,"")</f>
        <v/>
      </c>
      <c r="B3718" s="8">
        <f>IFERROR(Datos!B3718,"")</f>
        <v/>
      </c>
      <c r="C3718" s="8">
        <f>IFERROR(Datos!C3718,"")</f>
        <v/>
      </c>
      <c r="D3718" s="28">
        <f>IFERROR(IF(AND(ISNUMBER(B3718),ISNUMBER(B3717),B3717&lt;&gt;0),B3718/B3717-1,""),"")</f>
        <v/>
      </c>
      <c r="E3718" s="28">
        <f>IFERROR(IF(AND(ISNUMBER(C3718),ISNUMBER(C3717),C3717&lt;&gt;0),C3718/C3717-1,""),"")</f>
        <v/>
      </c>
      <c r="F3718" s="28">
        <f>IFERROR(D3718-Dashboard!$B$4/252,"")</f>
        <v/>
      </c>
      <c r="G3718" s="28">
        <f>IFERROR(E3718-Dashboard!$B$4/252,"")</f>
        <v/>
      </c>
      <c r="H3718" s="8">
        <f>IFERROR(IF(ISNUMBER(B3718),MAX(B3718,IFERROR(H3717,B3718)),""),"")</f>
        <v/>
      </c>
      <c r="I3718" s="29">
        <f>IFERROR(IF(AND(ISNUMBER(B3718),ISNUMBER(H3718)),B3718/H3718-1,""),"")</f>
        <v/>
      </c>
      <c r="J3718" s="8">
        <f>IFERROR(IF(ISNUMBER(C3718),MAX(C3718,IFERROR(J3717,C3718)),""),"")</f>
        <v/>
      </c>
      <c r="K3718" s="29">
        <f>IFERROR(IF(AND(ISNUMBER(C3718),ISNUMBER(J3718)),C3718/J3718-1,""),"")</f>
        <v/>
      </c>
      <c r="L3718" s="28">
        <f>IFERROR(IF(AND(ISNUMBER(D3718),ISNUMBER(E3718)),D3718-E3718,""),"")</f>
        <v/>
      </c>
    </row>
    <row r="3719">
      <c r="A3719" s="7">
        <f>IFERROR(Datos!A3719,"")</f>
        <v/>
      </c>
      <c r="B3719" s="8">
        <f>IFERROR(Datos!B3719,"")</f>
        <v/>
      </c>
      <c r="C3719" s="8">
        <f>IFERROR(Datos!C3719,"")</f>
        <v/>
      </c>
      <c r="D3719" s="28">
        <f>IFERROR(IF(AND(ISNUMBER(B3719),ISNUMBER(B3718),B3718&lt;&gt;0),B3719/B3718-1,""),"")</f>
        <v/>
      </c>
      <c r="E3719" s="28">
        <f>IFERROR(IF(AND(ISNUMBER(C3719),ISNUMBER(C3718),C3718&lt;&gt;0),C3719/C3718-1,""),"")</f>
        <v/>
      </c>
      <c r="F3719" s="28">
        <f>IFERROR(D3719-Dashboard!$B$4/252,"")</f>
        <v/>
      </c>
      <c r="G3719" s="28">
        <f>IFERROR(E3719-Dashboard!$B$4/252,"")</f>
        <v/>
      </c>
      <c r="H3719" s="8">
        <f>IFERROR(IF(ISNUMBER(B3719),MAX(B3719,IFERROR(H3718,B3719)),""),"")</f>
        <v/>
      </c>
      <c r="I3719" s="29">
        <f>IFERROR(IF(AND(ISNUMBER(B3719),ISNUMBER(H3719)),B3719/H3719-1,""),"")</f>
        <v/>
      </c>
      <c r="J3719" s="8">
        <f>IFERROR(IF(ISNUMBER(C3719),MAX(C3719,IFERROR(J3718,C3719)),""),"")</f>
        <v/>
      </c>
      <c r="K3719" s="29">
        <f>IFERROR(IF(AND(ISNUMBER(C3719),ISNUMBER(J3719)),C3719/J3719-1,""),"")</f>
        <v/>
      </c>
      <c r="L3719" s="28">
        <f>IFERROR(IF(AND(ISNUMBER(D3719),ISNUMBER(E3719)),D3719-E3719,""),"")</f>
        <v/>
      </c>
    </row>
    <row r="3720">
      <c r="A3720" s="7">
        <f>IFERROR(Datos!A3720,"")</f>
        <v/>
      </c>
      <c r="B3720" s="8">
        <f>IFERROR(Datos!B3720,"")</f>
        <v/>
      </c>
      <c r="C3720" s="8">
        <f>IFERROR(Datos!C3720,"")</f>
        <v/>
      </c>
      <c r="D3720" s="28">
        <f>IFERROR(IF(AND(ISNUMBER(B3720),ISNUMBER(B3719),B3719&lt;&gt;0),B3720/B3719-1,""),"")</f>
        <v/>
      </c>
      <c r="E3720" s="28">
        <f>IFERROR(IF(AND(ISNUMBER(C3720),ISNUMBER(C3719),C3719&lt;&gt;0),C3720/C3719-1,""),"")</f>
        <v/>
      </c>
      <c r="F3720" s="28">
        <f>IFERROR(D3720-Dashboard!$B$4/252,"")</f>
        <v/>
      </c>
      <c r="G3720" s="28">
        <f>IFERROR(E3720-Dashboard!$B$4/252,"")</f>
        <v/>
      </c>
      <c r="H3720" s="8">
        <f>IFERROR(IF(ISNUMBER(B3720),MAX(B3720,IFERROR(H3719,B3720)),""),"")</f>
        <v/>
      </c>
      <c r="I3720" s="29">
        <f>IFERROR(IF(AND(ISNUMBER(B3720),ISNUMBER(H3720)),B3720/H3720-1,""),"")</f>
        <v/>
      </c>
      <c r="J3720" s="8">
        <f>IFERROR(IF(ISNUMBER(C3720),MAX(C3720,IFERROR(J3719,C3720)),""),"")</f>
        <v/>
      </c>
      <c r="K3720" s="29">
        <f>IFERROR(IF(AND(ISNUMBER(C3720),ISNUMBER(J3720)),C3720/J3720-1,""),"")</f>
        <v/>
      </c>
      <c r="L3720" s="28">
        <f>IFERROR(IF(AND(ISNUMBER(D3720),ISNUMBER(E3720)),D3720-E3720,""),"")</f>
        <v/>
      </c>
    </row>
    <row r="3721">
      <c r="A3721" s="7">
        <f>IFERROR(Datos!A3721,"")</f>
        <v/>
      </c>
      <c r="B3721" s="8">
        <f>IFERROR(Datos!B3721,"")</f>
        <v/>
      </c>
      <c r="C3721" s="8">
        <f>IFERROR(Datos!C3721,"")</f>
        <v/>
      </c>
      <c r="D3721" s="28">
        <f>IFERROR(IF(AND(ISNUMBER(B3721),ISNUMBER(B3720),B3720&lt;&gt;0),B3721/B3720-1,""),"")</f>
        <v/>
      </c>
      <c r="E3721" s="28">
        <f>IFERROR(IF(AND(ISNUMBER(C3721),ISNUMBER(C3720),C3720&lt;&gt;0),C3721/C3720-1,""),"")</f>
        <v/>
      </c>
      <c r="F3721" s="28">
        <f>IFERROR(D3721-Dashboard!$B$4/252,"")</f>
        <v/>
      </c>
      <c r="G3721" s="28">
        <f>IFERROR(E3721-Dashboard!$B$4/252,"")</f>
        <v/>
      </c>
      <c r="H3721" s="8">
        <f>IFERROR(IF(ISNUMBER(B3721),MAX(B3721,IFERROR(H3720,B3721)),""),"")</f>
        <v/>
      </c>
      <c r="I3721" s="29">
        <f>IFERROR(IF(AND(ISNUMBER(B3721),ISNUMBER(H3721)),B3721/H3721-1,""),"")</f>
        <v/>
      </c>
      <c r="J3721" s="8">
        <f>IFERROR(IF(ISNUMBER(C3721),MAX(C3721,IFERROR(J3720,C3721)),""),"")</f>
        <v/>
      </c>
      <c r="K3721" s="29">
        <f>IFERROR(IF(AND(ISNUMBER(C3721),ISNUMBER(J3721)),C3721/J3721-1,""),"")</f>
        <v/>
      </c>
      <c r="L3721" s="28">
        <f>IFERROR(IF(AND(ISNUMBER(D3721),ISNUMBER(E3721)),D3721-E3721,""),"")</f>
        <v/>
      </c>
    </row>
    <row r="3722">
      <c r="A3722" s="7">
        <f>IFERROR(Datos!A3722,"")</f>
        <v/>
      </c>
      <c r="B3722" s="8">
        <f>IFERROR(Datos!B3722,"")</f>
        <v/>
      </c>
      <c r="C3722" s="8">
        <f>IFERROR(Datos!C3722,"")</f>
        <v/>
      </c>
      <c r="D3722" s="28">
        <f>IFERROR(IF(AND(ISNUMBER(B3722),ISNUMBER(B3721),B3721&lt;&gt;0),B3722/B3721-1,""),"")</f>
        <v/>
      </c>
      <c r="E3722" s="28">
        <f>IFERROR(IF(AND(ISNUMBER(C3722),ISNUMBER(C3721),C3721&lt;&gt;0),C3722/C3721-1,""),"")</f>
        <v/>
      </c>
      <c r="F3722" s="28">
        <f>IFERROR(D3722-Dashboard!$B$4/252,"")</f>
        <v/>
      </c>
      <c r="G3722" s="28">
        <f>IFERROR(E3722-Dashboard!$B$4/252,"")</f>
        <v/>
      </c>
      <c r="H3722" s="8">
        <f>IFERROR(IF(ISNUMBER(B3722),MAX(B3722,IFERROR(H3721,B3722)),""),"")</f>
        <v/>
      </c>
      <c r="I3722" s="29">
        <f>IFERROR(IF(AND(ISNUMBER(B3722),ISNUMBER(H3722)),B3722/H3722-1,""),"")</f>
        <v/>
      </c>
      <c r="J3722" s="8">
        <f>IFERROR(IF(ISNUMBER(C3722),MAX(C3722,IFERROR(J3721,C3722)),""),"")</f>
        <v/>
      </c>
      <c r="K3722" s="29">
        <f>IFERROR(IF(AND(ISNUMBER(C3722),ISNUMBER(J3722)),C3722/J3722-1,""),"")</f>
        <v/>
      </c>
      <c r="L3722" s="28">
        <f>IFERROR(IF(AND(ISNUMBER(D3722),ISNUMBER(E3722)),D3722-E3722,""),"")</f>
        <v/>
      </c>
    </row>
    <row r="3723">
      <c r="A3723" s="7">
        <f>IFERROR(Datos!A3723,"")</f>
        <v/>
      </c>
      <c r="B3723" s="8">
        <f>IFERROR(Datos!B3723,"")</f>
        <v/>
      </c>
      <c r="C3723" s="8">
        <f>IFERROR(Datos!C3723,"")</f>
        <v/>
      </c>
      <c r="D3723" s="28">
        <f>IFERROR(IF(AND(ISNUMBER(B3723),ISNUMBER(B3722),B3722&lt;&gt;0),B3723/B3722-1,""),"")</f>
        <v/>
      </c>
      <c r="E3723" s="28">
        <f>IFERROR(IF(AND(ISNUMBER(C3723),ISNUMBER(C3722),C3722&lt;&gt;0),C3723/C3722-1,""),"")</f>
        <v/>
      </c>
      <c r="F3723" s="28">
        <f>IFERROR(D3723-Dashboard!$B$4/252,"")</f>
        <v/>
      </c>
      <c r="G3723" s="28">
        <f>IFERROR(E3723-Dashboard!$B$4/252,"")</f>
        <v/>
      </c>
      <c r="H3723" s="8">
        <f>IFERROR(IF(ISNUMBER(B3723),MAX(B3723,IFERROR(H3722,B3723)),""),"")</f>
        <v/>
      </c>
      <c r="I3723" s="29">
        <f>IFERROR(IF(AND(ISNUMBER(B3723),ISNUMBER(H3723)),B3723/H3723-1,""),"")</f>
        <v/>
      </c>
      <c r="J3723" s="8">
        <f>IFERROR(IF(ISNUMBER(C3723),MAX(C3723,IFERROR(J3722,C3723)),""),"")</f>
        <v/>
      </c>
      <c r="K3723" s="29">
        <f>IFERROR(IF(AND(ISNUMBER(C3723),ISNUMBER(J3723)),C3723/J3723-1,""),"")</f>
        <v/>
      </c>
      <c r="L3723" s="28">
        <f>IFERROR(IF(AND(ISNUMBER(D3723),ISNUMBER(E3723)),D3723-E3723,""),"")</f>
        <v/>
      </c>
    </row>
    <row r="3724">
      <c r="A3724" s="7">
        <f>IFERROR(Datos!A3724,"")</f>
        <v/>
      </c>
      <c r="B3724" s="8">
        <f>IFERROR(Datos!B3724,"")</f>
        <v/>
      </c>
      <c r="C3724" s="8">
        <f>IFERROR(Datos!C3724,"")</f>
        <v/>
      </c>
      <c r="D3724" s="28">
        <f>IFERROR(IF(AND(ISNUMBER(B3724),ISNUMBER(B3723),B3723&lt;&gt;0),B3724/B3723-1,""),"")</f>
        <v/>
      </c>
      <c r="E3724" s="28">
        <f>IFERROR(IF(AND(ISNUMBER(C3724),ISNUMBER(C3723),C3723&lt;&gt;0),C3724/C3723-1,""),"")</f>
        <v/>
      </c>
      <c r="F3724" s="28">
        <f>IFERROR(D3724-Dashboard!$B$4/252,"")</f>
        <v/>
      </c>
      <c r="G3724" s="28">
        <f>IFERROR(E3724-Dashboard!$B$4/252,"")</f>
        <v/>
      </c>
      <c r="H3724" s="8">
        <f>IFERROR(IF(ISNUMBER(B3724),MAX(B3724,IFERROR(H3723,B3724)),""),"")</f>
        <v/>
      </c>
      <c r="I3724" s="29">
        <f>IFERROR(IF(AND(ISNUMBER(B3724),ISNUMBER(H3724)),B3724/H3724-1,""),"")</f>
        <v/>
      </c>
      <c r="J3724" s="8">
        <f>IFERROR(IF(ISNUMBER(C3724),MAX(C3724,IFERROR(J3723,C3724)),""),"")</f>
        <v/>
      </c>
      <c r="K3724" s="29">
        <f>IFERROR(IF(AND(ISNUMBER(C3724),ISNUMBER(J3724)),C3724/J3724-1,""),"")</f>
        <v/>
      </c>
      <c r="L3724" s="28">
        <f>IFERROR(IF(AND(ISNUMBER(D3724),ISNUMBER(E3724)),D3724-E3724,""),"")</f>
        <v/>
      </c>
    </row>
    <row r="3725">
      <c r="A3725" s="7">
        <f>IFERROR(Datos!A3725,"")</f>
        <v/>
      </c>
      <c r="B3725" s="8">
        <f>IFERROR(Datos!B3725,"")</f>
        <v/>
      </c>
      <c r="C3725" s="8">
        <f>IFERROR(Datos!C3725,"")</f>
        <v/>
      </c>
      <c r="D3725" s="28">
        <f>IFERROR(IF(AND(ISNUMBER(B3725),ISNUMBER(B3724),B3724&lt;&gt;0),B3725/B3724-1,""),"")</f>
        <v/>
      </c>
      <c r="E3725" s="28">
        <f>IFERROR(IF(AND(ISNUMBER(C3725),ISNUMBER(C3724),C3724&lt;&gt;0),C3725/C3724-1,""),"")</f>
        <v/>
      </c>
      <c r="F3725" s="28">
        <f>IFERROR(D3725-Dashboard!$B$4/252,"")</f>
        <v/>
      </c>
      <c r="G3725" s="28">
        <f>IFERROR(E3725-Dashboard!$B$4/252,"")</f>
        <v/>
      </c>
      <c r="H3725" s="8">
        <f>IFERROR(IF(ISNUMBER(B3725),MAX(B3725,IFERROR(H3724,B3725)),""),"")</f>
        <v/>
      </c>
      <c r="I3725" s="29">
        <f>IFERROR(IF(AND(ISNUMBER(B3725),ISNUMBER(H3725)),B3725/H3725-1,""),"")</f>
        <v/>
      </c>
      <c r="J3725" s="8">
        <f>IFERROR(IF(ISNUMBER(C3725),MAX(C3725,IFERROR(J3724,C3725)),""),"")</f>
        <v/>
      </c>
      <c r="K3725" s="29">
        <f>IFERROR(IF(AND(ISNUMBER(C3725),ISNUMBER(J3725)),C3725/J3725-1,""),"")</f>
        <v/>
      </c>
      <c r="L3725" s="28">
        <f>IFERROR(IF(AND(ISNUMBER(D3725),ISNUMBER(E3725)),D3725-E3725,""),"")</f>
        <v/>
      </c>
    </row>
    <row r="3726">
      <c r="A3726" s="7">
        <f>IFERROR(Datos!A3726,"")</f>
        <v/>
      </c>
      <c r="B3726" s="8">
        <f>IFERROR(Datos!B3726,"")</f>
        <v/>
      </c>
      <c r="C3726" s="8">
        <f>IFERROR(Datos!C3726,"")</f>
        <v/>
      </c>
      <c r="D3726" s="28">
        <f>IFERROR(IF(AND(ISNUMBER(B3726),ISNUMBER(B3725),B3725&lt;&gt;0),B3726/B3725-1,""),"")</f>
        <v/>
      </c>
      <c r="E3726" s="28">
        <f>IFERROR(IF(AND(ISNUMBER(C3726),ISNUMBER(C3725),C3725&lt;&gt;0),C3726/C3725-1,""),"")</f>
        <v/>
      </c>
      <c r="F3726" s="28">
        <f>IFERROR(D3726-Dashboard!$B$4/252,"")</f>
        <v/>
      </c>
      <c r="G3726" s="28">
        <f>IFERROR(E3726-Dashboard!$B$4/252,"")</f>
        <v/>
      </c>
      <c r="H3726" s="8">
        <f>IFERROR(IF(ISNUMBER(B3726),MAX(B3726,IFERROR(H3725,B3726)),""),"")</f>
        <v/>
      </c>
      <c r="I3726" s="29">
        <f>IFERROR(IF(AND(ISNUMBER(B3726),ISNUMBER(H3726)),B3726/H3726-1,""),"")</f>
        <v/>
      </c>
      <c r="J3726" s="8">
        <f>IFERROR(IF(ISNUMBER(C3726),MAX(C3726,IFERROR(J3725,C3726)),""),"")</f>
        <v/>
      </c>
      <c r="K3726" s="29">
        <f>IFERROR(IF(AND(ISNUMBER(C3726),ISNUMBER(J3726)),C3726/J3726-1,""),"")</f>
        <v/>
      </c>
      <c r="L3726" s="28">
        <f>IFERROR(IF(AND(ISNUMBER(D3726),ISNUMBER(E3726)),D3726-E3726,""),"")</f>
        <v/>
      </c>
    </row>
    <row r="3727">
      <c r="A3727" s="7">
        <f>IFERROR(Datos!A3727,"")</f>
        <v/>
      </c>
      <c r="B3727" s="8">
        <f>IFERROR(Datos!B3727,"")</f>
        <v/>
      </c>
      <c r="C3727" s="8">
        <f>IFERROR(Datos!C3727,"")</f>
        <v/>
      </c>
      <c r="D3727" s="28">
        <f>IFERROR(IF(AND(ISNUMBER(B3727),ISNUMBER(B3726),B3726&lt;&gt;0),B3727/B3726-1,""),"")</f>
        <v/>
      </c>
      <c r="E3727" s="28">
        <f>IFERROR(IF(AND(ISNUMBER(C3727),ISNUMBER(C3726),C3726&lt;&gt;0),C3727/C3726-1,""),"")</f>
        <v/>
      </c>
      <c r="F3727" s="28">
        <f>IFERROR(D3727-Dashboard!$B$4/252,"")</f>
        <v/>
      </c>
      <c r="G3727" s="28">
        <f>IFERROR(E3727-Dashboard!$B$4/252,"")</f>
        <v/>
      </c>
      <c r="H3727" s="8">
        <f>IFERROR(IF(ISNUMBER(B3727),MAX(B3727,IFERROR(H3726,B3727)),""),"")</f>
        <v/>
      </c>
      <c r="I3727" s="29">
        <f>IFERROR(IF(AND(ISNUMBER(B3727),ISNUMBER(H3727)),B3727/H3727-1,""),"")</f>
        <v/>
      </c>
      <c r="J3727" s="8">
        <f>IFERROR(IF(ISNUMBER(C3727),MAX(C3727,IFERROR(J3726,C3727)),""),"")</f>
        <v/>
      </c>
      <c r="K3727" s="29">
        <f>IFERROR(IF(AND(ISNUMBER(C3727),ISNUMBER(J3727)),C3727/J3727-1,""),"")</f>
        <v/>
      </c>
      <c r="L3727" s="28">
        <f>IFERROR(IF(AND(ISNUMBER(D3727),ISNUMBER(E3727)),D3727-E3727,""),"")</f>
        <v/>
      </c>
    </row>
    <row r="3728">
      <c r="A3728" s="7">
        <f>IFERROR(Datos!A3728,"")</f>
        <v/>
      </c>
      <c r="B3728" s="8">
        <f>IFERROR(Datos!B3728,"")</f>
        <v/>
      </c>
      <c r="C3728" s="8">
        <f>IFERROR(Datos!C3728,"")</f>
        <v/>
      </c>
      <c r="D3728" s="28">
        <f>IFERROR(IF(AND(ISNUMBER(B3728),ISNUMBER(B3727),B3727&lt;&gt;0),B3728/B3727-1,""),"")</f>
        <v/>
      </c>
      <c r="E3728" s="28">
        <f>IFERROR(IF(AND(ISNUMBER(C3728),ISNUMBER(C3727),C3727&lt;&gt;0),C3728/C3727-1,""),"")</f>
        <v/>
      </c>
      <c r="F3728" s="28">
        <f>IFERROR(D3728-Dashboard!$B$4/252,"")</f>
        <v/>
      </c>
      <c r="G3728" s="28">
        <f>IFERROR(E3728-Dashboard!$B$4/252,"")</f>
        <v/>
      </c>
      <c r="H3728" s="8">
        <f>IFERROR(IF(ISNUMBER(B3728),MAX(B3728,IFERROR(H3727,B3728)),""),"")</f>
        <v/>
      </c>
      <c r="I3728" s="29">
        <f>IFERROR(IF(AND(ISNUMBER(B3728),ISNUMBER(H3728)),B3728/H3728-1,""),"")</f>
        <v/>
      </c>
      <c r="J3728" s="8">
        <f>IFERROR(IF(ISNUMBER(C3728),MAX(C3728,IFERROR(J3727,C3728)),""),"")</f>
        <v/>
      </c>
      <c r="K3728" s="29">
        <f>IFERROR(IF(AND(ISNUMBER(C3728),ISNUMBER(J3728)),C3728/J3728-1,""),"")</f>
        <v/>
      </c>
      <c r="L3728" s="28">
        <f>IFERROR(IF(AND(ISNUMBER(D3728),ISNUMBER(E3728)),D3728-E3728,""),"")</f>
        <v/>
      </c>
    </row>
    <row r="3729">
      <c r="A3729" s="7">
        <f>IFERROR(Datos!A3729,"")</f>
        <v/>
      </c>
      <c r="B3729" s="8">
        <f>IFERROR(Datos!B3729,"")</f>
        <v/>
      </c>
      <c r="C3729" s="8">
        <f>IFERROR(Datos!C3729,"")</f>
        <v/>
      </c>
      <c r="D3729" s="28">
        <f>IFERROR(IF(AND(ISNUMBER(B3729),ISNUMBER(B3728),B3728&lt;&gt;0),B3729/B3728-1,""),"")</f>
        <v/>
      </c>
      <c r="E3729" s="28">
        <f>IFERROR(IF(AND(ISNUMBER(C3729),ISNUMBER(C3728),C3728&lt;&gt;0),C3729/C3728-1,""),"")</f>
        <v/>
      </c>
      <c r="F3729" s="28">
        <f>IFERROR(D3729-Dashboard!$B$4/252,"")</f>
        <v/>
      </c>
      <c r="G3729" s="28">
        <f>IFERROR(E3729-Dashboard!$B$4/252,"")</f>
        <v/>
      </c>
      <c r="H3729" s="8">
        <f>IFERROR(IF(ISNUMBER(B3729),MAX(B3729,IFERROR(H3728,B3729)),""),"")</f>
        <v/>
      </c>
      <c r="I3729" s="29">
        <f>IFERROR(IF(AND(ISNUMBER(B3729),ISNUMBER(H3729)),B3729/H3729-1,""),"")</f>
        <v/>
      </c>
      <c r="J3729" s="8">
        <f>IFERROR(IF(ISNUMBER(C3729),MAX(C3729,IFERROR(J3728,C3729)),""),"")</f>
        <v/>
      </c>
      <c r="K3729" s="29">
        <f>IFERROR(IF(AND(ISNUMBER(C3729),ISNUMBER(J3729)),C3729/J3729-1,""),"")</f>
        <v/>
      </c>
      <c r="L3729" s="28">
        <f>IFERROR(IF(AND(ISNUMBER(D3729),ISNUMBER(E3729)),D3729-E3729,""),"")</f>
        <v/>
      </c>
    </row>
    <row r="3730">
      <c r="A3730" s="7">
        <f>IFERROR(Datos!A3730,"")</f>
        <v/>
      </c>
      <c r="B3730" s="8">
        <f>IFERROR(Datos!B3730,"")</f>
        <v/>
      </c>
      <c r="C3730" s="8">
        <f>IFERROR(Datos!C3730,"")</f>
        <v/>
      </c>
      <c r="D3730" s="28">
        <f>IFERROR(IF(AND(ISNUMBER(B3730),ISNUMBER(B3729),B3729&lt;&gt;0),B3730/B3729-1,""),"")</f>
        <v/>
      </c>
      <c r="E3730" s="28">
        <f>IFERROR(IF(AND(ISNUMBER(C3730),ISNUMBER(C3729),C3729&lt;&gt;0),C3730/C3729-1,""),"")</f>
        <v/>
      </c>
      <c r="F3730" s="28">
        <f>IFERROR(D3730-Dashboard!$B$4/252,"")</f>
        <v/>
      </c>
      <c r="G3730" s="28">
        <f>IFERROR(E3730-Dashboard!$B$4/252,"")</f>
        <v/>
      </c>
      <c r="H3730" s="8">
        <f>IFERROR(IF(ISNUMBER(B3730),MAX(B3730,IFERROR(H3729,B3730)),""),"")</f>
        <v/>
      </c>
      <c r="I3730" s="29">
        <f>IFERROR(IF(AND(ISNUMBER(B3730),ISNUMBER(H3730)),B3730/H3730-1,""),"")</f>
        <v/>
      </c>
      <c r="J3730" s="8">
        <f>IFERROR(IF(ISNUMBER(C3730),MAX(C3730,IFERROR(J3729,C3730)),""),"")</f>
        <v/>
      </c>
      <c r="K3730" s="29">
        <f>IFERROR(IF(AND(ISNUMBER(C3730),ISNUMBER(J3730)),C3730/J3730-1,""),"")</f>
        <v/>
      </c>
      <c r="L3730" s="28">
        <f>IFERROR(IF(AND(ISNUMBER(D3730),ISNUMBER(E3730)),D3730-E3730,""),"")</f>
        <v/>
      </c>
    </row>
    <row r="3731">
      <c r="A3731" s="7">
        <f>IFERROR(Datos!A3731,"")</f>
        <v/>
      </c>
      <c r="B3731" s="8">
        <f>IFERROR(Datos!B3731,"")</f>
        <v/>
      </c>
      <c r="C3731" s="8">
        <f>IFERROR(Datos!C3731,"")</f>
        <v/>
      </c>
      <c r="D3731" s="28">
        <f>IFERROR(IF(AND(ISNUMBER(B3731),ISNUMBER(B3730),B3730&lt;&gt;0),B3731/B3730-1,""),"")</f>
        <v/>
      </c>
      <c r="E3731" s="28">
        <f>IFERROR(IF(AND(ISNUMBER(C3731),ISNUMBER(C3730),C3730&lt;&gt;0),C3731/C3730-1,""),"")</f>
        <v/>
      </c>
      <c r="F3731" s="28">
        <f>IFERROR(D3731-Dashboard!$B$4/252,"")</f>
        <v/>
      </c>
      <c r="G3731" s="28">
        <f>IFERROR(E3731-Dashboard!$B$4/252,"")</f>
        <v/>
      </c>
      <c r="H3731" s="8">
        <f>IFERROR(IF(ISNUMBER(B3731),MAX(B3731,IFERROR(H3730,B3731)),""),"")</f>
        <v/>
      </c>
      <c r="I3731" s="29">
        <f>IFERROR(IF(AND(ISNUMBER(B3731),ISNUMBER(H3731)),B3731/H3731-1,""),"")</f>
        <v/>
      </c>
      <c r="J3731" s="8">
        <f>IFERROR(IF(ISNUMBER(C3731),MAX(C3731,IFERROR(J3730,C3731)),""),"")</f>
        <v/>
      </c>
      <c r="K3731" s="29">
        <f>IFERROR(IF(AND(ISNUMBER(C3731),ISNUMBER(J3731)),C3731/J3731-1,""),"")</f>
        <v/>
      </c>
      <c r="L3731" s="28">
        <f>IFERROR(IF(AND(ISNUMBER(D3731),ISNUMBER(E3731)),D3731-E3731,""),"")</f>
        <v/>
      </c>
    </row>
    <row r="3732">
      <c r="A3732" s="7">
        <f>IFERROR(Datos!A3732,"")</f>
        <v/>
      </c>
      <c r="B3732" s="8">
        <f>IFERROR(Datos!B3732,"")</f>
        <v/>
      </c>
      <c r="C3732" s="8">
        <f>IFERROR(Datos!C3732,"")</f>
        <v/>
      </c>
      <c r="D3732" s="28">
        <f>IFERROR(IF(AND(ISNUMBER(B3732),ISNUMBER(B3731),B3731&lt;&gt;0),B3732/B3731-1,""),"")</f>
        <v/>
      </c>
      <c r="E3732" s="28">
        <f>IFERROR(IF(AND(ISNUMBER(C3732),ISNUMBER(C3731),C3731&lt;&gt;0),C3732/C3731-1,""),"")</f>
        <v/>
      </c>
      <c r="F3732" s="28">
        <f>IFERROR(D3732-Dashboard!$B$4/252,"")</f>
        <v/>
      </c>
      <c r="G3732" s="28">
        <f>IFERROR(E3732-Dashboard!$B$4/252,"")</f>
        <v/>
      </c>
      <c r="H3732" s="8">
        <f>IFERROR(IF(ISNUMBER(B3732),MAX(B3732,IFERROR(H3731,B3732)),""),"")</f>
        <v/>
      </c>
      <c r="I3732" s="29">
        <f>IFERROR(IF(AND(ISNUMBER(B3732),ISNUMBER(H3732)),B3732/H3732-1,""),"")</f>
        <v/>
      </c>
      <c r="J3732" s="8">
        <f>IFERROR(IF(ISNUMBER(C3732),MAX(C3732,IFERROR(J3731,C3732)),""),"")</f>
        <v/>
      </c>
      <c r="K3732" s="29">
        <f>IFERROR(IF(AND(ISNUMBER(C3732),ISNUMBER(J3732)),C3732/J3732-1,""),"")</f>
        <v/>
      </c>
      <c r="L3732" s="28">
        <f>IFERROR(IF(AND(ISNUMBER(D3732),ISNUMBER(E3732)),D3732-E3732,""),"")</f>
        <v/>
      </c>
    </row>
    <row r="3733">
      <c r="A3733" s="7">
        <f>IFERROR(Datos!A3733,"")</f>
        <v/>
      </c>
      <c r="B3733" s="8">
        <f>IFERROR(Datos!B3733,"")</f>
        <v/>
      </c>
      <c r="C3733" s="8">
        <f>IFERROR(Datos!C3733,"")</f>
        <v/>
      </c>
      <c r="D3733" s="28">
        <f>IFERROR(IF(AND(ISNUMBER(B3733),ISNUMBER(B3732),B3732&lt;&gt;0),B3733/B3732-1,""),"")</f>
        <v/>
      </c>
      <c r="E3733" s="28">
        <f>IFERROR(IF(AND(ISNUMBER(C3733),ISNUMBER(C3732),C3732&lt;&gt;0),C3733/C3732-1,""),"")</f>
        <v/>
      </c>
      <c r="F3733" s="28">
        <f>IFERROR(D3733-Dashboard!$B$4/252,"")</f>
        <v/>
      </c>
      <c r="G3733" s="28">
        <f>IFERROR(E3733-Dashboard!$B$4/252,"")</f>
        <v/>
      </c>
      <c r="H3733" s="8">
        <f>IFERROR(IF(ISNUMBER(B3733),MAX(B3733,IFERROR(H3732,B3733)),""),"")</f>
        <v/>
      </c>
      <c r="I3733" s="29">
        <f>IFERROR(IF(AND(ISNUMBER(B3733),ISNUMBER(H3733)),B3733/H3733-1,""),"")</f>
        <v/>
      </c>
      <c r="J3733" s="8">
        <f>IFERROR(IF(ISNUMBER(C3733),MAX(C3733,IFERROR(J3732,C3733)),""),"")</f>
        <v/>
      </c>
      <c r="K3733" s="29">
        <f>IFERROR(IF(AND(ISNUMBER(C3733),ISNUMBER(J3733)),C3733/J3733-1,""),"")</f>
        <v/>
      </c>
      <c r="L3733" s="28">
        <f>IFERROR(IF(AND(ISNUMBER(D3733),ISNUMBER(E3733)),D3733-E3733,""),"")</f>
        <v/>
      </c>
    </row>
    <row r="3734">
      <c r="A3734" s="7">
        <f>IFERROR(Datos!A3734,"")</f>
        <v/>
      </c>
      <c r="B3734" s="8">
        <f>IFERROR(Datos!B3734,"")</f>
        <v/>
      </c>
      <c r="C3734" s="8">
        <f>IFERROR(Datos!C3734,"")</f>
        <v/>
      </c>
      <c r="D3734" s="28">
        <f>IFERROR(IF(AND(ISNUMBER(B3734),ISNUMBER(B3733),B3733&lt;&gt;0),B3734/B3733-1,""),"")</f>
        <v/>
      </c>
      <c r="E3734" s="28">
        <f>IFERROR(IF(AND(ISNUMBER(C3734),ISNUMBER(C3733),C3733&lt;&gt;0),C3734/C3733-1,""),"")</f>
        <v/>
      </c>
      <c r="F3734" s="28">
        <f>IFERROR(D3734-Dashboard!$B$4/252,"")</f>
        <v/>
      </c>
      <c r="G3734" s="28">
        <f>IFERROR(E3734-Dashboard!$B$4/252,"")</f>
        <v/>
      </c>
      <c r="H3734" s="8">
        <f>IFERROR(IF(ISNUMBER(B3734),MAX(B3734,IFERROR(H3733,B3734)),""),"")</f>
        <v/>
      </c>
      <c r="I3734" s="29">
        <f>IFERROR(IF(AND(ISNUMBER(B3734),ISNUMBER(H3734)),B3734/H3734-1,""),"")</f>
        <v/>
      </c>
      <c r="J3734" s="8">
        <f>IFERROR(IF(ISNUMBER(C3734),MAX(C3734,IFERROR(J3733,C3734)),""),"")</f>
        <v/>
      </c>
      <c r="K3734" s="29">
        <f>IFERROR(IF(AND(ISNUMBER(C3734),ISNUMBER(J3734)),C3734/J3734-1,""),"")</f>
        <v/>
      </c>
      <c r="L3734" s="28">
        <f>IFERROR(IF(AND(ISNUMBER(D3734),ISNUMBER(E3734)),D3734-E3734,""),"")</f>
        <v/>
      </c>
    </row>
    <row r="3735">
      <c r="A3735" s="7">
        <f>IFERROR(Datos!A3735,"")</f>
        <v/>
      </c>
      <c r="B3735" s="8">
        <f>IFERROR(Datos!B3735,"")</f>
        <v/>
      </c>
      <c r="C3735" s="8">
        <f>IFERROR(Datos!C3735,"")</f>
        <v/>
      </c>
      <c r="D3735" s="28">
        <f>IFERROR(IF(AND(ISNUMBER(B3735),ISNUMBER(B3734),B3734&lt;&gt;0),B3735/B3734-1,""),"")</f>
        <v/>
      </c>
      <c r="E3735" s="28">
        <f>IFERROR(IF(AND(ISNUMBER(C3735),ISNUMBER(C3734),C3734&lt;&gt;0),C3735/C3734-1,""),"")</f>
        <v/>
      </c>
      <c r="F3735" s="28">
        <f>IFERROR(D3735-Dashboard!$B$4/252,"")</f>
        <v/>
      </c>
      <c r="G3735" s="28">
        <f>IFERROR(E3735-Dashboard!$B$4/252,"")</f>
        <v/>
      </c>
      <c r="H3735" s="8">
        <f>IFERROR(IF(ISNUMBER(B3735),MAX(B3735,IFERROR(H3734,B3735)),""),"")</f>
        <v/>
      </c>
      <c r="I3735" s="29">
        <f>IFERROR(IF(AND(ISNUMBER(B3735),ISNUMBER(H3735)),B3735/H3735-1,""),"")</f>
        <v/>
      </c>
      <c r="J3735" s="8">
        <f>IFERROR(IF(ISNUMBER(C3735),MAX(C3735,IFERROR(J3734,C3735)),""),"")</f>
        <v/>
      </c>
      <c r="K3735" s="29">
        <f>IFERROR(IF(AND(ISNUMBER(C3735),ISNUMBER(J3735)),C3735/J3735-1,""),"")</f>
        <v/>
      </c>
      <c r="L3735" s="28">
        <f>IFERROR(IF(AND(ISNUMBER(D3735),ISNUMBER(E3735)),D3735-E3735,""),"")</f>
        <v/>
      </c>
    </row>
    <row r="3736">
      <c r="A3736" s="7">
        <f>IFERROR(Datos!A3736,"")</f>
        <v/>
      </c>
      <c r="B3736" s="8">
        <f>IFERROR(Datos!B3736,"")</f>
        <v/>
      </c>
      <c r="C3736" s="8">
        <f>IFERROR(Datos!C3736,"")</f>
        <v/>
      </c>
      <c r="D3736" s="28">
        <f>IFERROR(IF(AND(ISNUMBER(B3736),ISNUMBER(B3735),B3735&lt;&gt;0),B3736/B3735-1,""),"")</f>
        <v/>
      </c>
      <c r="E3736" s="28">
        <f>IFERROR(IF(AND(ISNUMBER(C3736),ISNUMBER(C3735),C3735&lt;&gt;0),C3736/C3735-1,""),"")</f>
        <v/>
      </c>
      <c r="F3736" s="28">
        <f>IFERROR(D3736-Dashboard!$B$4/252,"")</f>
        <v/>
      </c>
      <c r="G3736" s="28">
        <f>IFERROR(E3736-Dashboard!$B$4/252,"")</f>
        <v/>
      </c>
      <c r="H3736" s="8">
        <f>IFERROR(IF(ISNUMBER(B3736),MAX(B3736,IFERROR(H3735,B3736)),""),"")</f>
        <v/>
      </c>
      <c r="I3736" s="29">
        <f>IFERROR(IF(AND(ISNUMBER(B3736),ISNUMBER(H3736)),B3736/H3736-1,""),"")</f>
        <v/>
      </c>
      <c r="J3736" s="8">
        <f>IFERROR(IF(ISNUMBER(C3736),MAX(C3736,IFERROR(J3735,C3736)),""),"")</f>
        <v/>
      </c>
      <c r="K3736" s="29">
        <f>IFERROR(IF(AND(ISNUMBER(C3736),ISNUMBER(J3736)),C3736/J3736-1,""),"")</f>
        <v/>
      </c>
      <c r="L3736" s="28">
        <f>IFERROR(IF(AND(ISNUMBER(D3736),ISNUMBER(E3736)),D3736-E3736,""),"")</f>
        <v/>
      </c>
    </row>
    <row r="3737">
      <c r="A3737" s="7">
        <f>IFERROR(Datos!A3737,"")</f>
        <v/>
      </c>
      <c r="B3737" s="8">
        <f>IFERROR(Datos!B3737,"")</f>
        <v/>
      </c>
      <c r="C3737" s="8">
        <f>IFERROR(Datos!C3737,"")</f>
        <v/>
      </c>
      <c r="D3737" s="28">
        <f>IFERROR(IF(AND(ISNUMBER(B3737),ISNUMBER(B3736),B3736&lt;&gt;0),B3737/B3736-1,""),"")</f>
        <v/>
      </c>
      <c r="E3737" s="28">
        <f>IFERROR(IF(AND(ISNUMBER(C3737),ISNUMBER(C3736),C3736&lt;&gt;0),C3737/C3736-1,""),"")</f>
        <v/>
      </c>
      <c r="F3737" s="28">
        <f>IFERROR(D3737-Dashboard!$B$4/252,"")</f>
        <v/>
      </c>
      <c r="G3737" s="28">
        <f>IFERROR(E3737-Dashboard!$B$4/252,"")</f>
        <v/>
      </c>
      <c r="H3737" s="8">
        <f>IFERROR(IF(ISNUMBER(B3737),MAX(B3737,IFERROR(H3736,B3737)),""),"")</f>
        <v/>
      </c>
      <c r="I3737" s="29">
        <f>IFERROR(IF(AND(ISNUMBER(B3737),ISNUMBER(H3737)),B3737/H3737-1,""),"")</f>
        <v/>
      </c>
      <c r="J3737" s="8">
        <f>IFERROR(IF(ISNUMBER(C3737),MAX(C3737,IFERROR(J3736,C3737)),""),"")</f>
        <v/>
      </c>
      <c r="K3737" s="29">
        <f>IFERROR(IF(AND(ISNUMBER(C3737),ISNUMBER(J3737)),C3737/J3737-1,""),"")</f>
        <v/>
      </c>
      <c r="L3737" s="28">
        <f>IFERROR(IF(AND(ISNUMBER(D3737),ISNUMBER(E3737)),D3737-E3737,""),"")</f>
        <v/>
      </c>
    </row>
    <row r="3738">
      <c r="A3738" s="7">
        <f>IFERROR(Datos!A3738,"")</f>
        <v/>
      </c>
      <c r="B3738" s="8">
        <f>IFERROR(Datos!B3738,"")</f>
        <v/>
      </c>
      <c r="C3738" s="8">
        <f>IFERROR(Datos!C3738,"")</f>
        <v/>
      </c>
      <c r="D3738" s="28">
        <f>IFERROR(IF(AND(ISNUMBER(B3738),ISNUMBER(B3737),B3737&lt;&gt;0),B3738/B3737-1,""),"")</f>
        <v/>
      </c>
      <c r="E3738" s="28">
        <f>IFERROR(IF(AND(ISNUMBER(C3738),ISNUMBER(C3737),C3737&lt;&gt;0),C3738/C3737-1,""),"")</f>
        <v/>
      </c>
      <c r="F3738" s="28">
        <f>IFERROR(D3738-Dashboard!$B$4/252,"")</f>
        <v/>
      </c>
      <c r="G3738" s="28">
        <f>IFERROR(E3738-Dashboard!$B$4/252,"")</f>
        <v/>
      </c>
      <c r="H3738" s="8">
        <f>IFERROR(IF(ISNUMBER(B3738),MAX(B3738,IFERROR(H3737,B3738)),""),"")</f>
        <v/>
      </c>
      <c r="I3738" s="29">
        <f>IFERROR(IF(AND(ISNUMBER(B3738),ISNUMBER(H3738)),B3738/H3738-1,""),"")</f>
        <v/>
      </c>
      <c r="J3738" s="8">
        <f>IFERROR(IF(ISNUMBER(C3738),MAX(C3738,IFERROR(J3737,C3738)),""),"")</f>
        <v/>
      </c>
      <c r="K3738" s="29">
        <f>IFERROR(IF(AND(ISNUMBER(C3738),ISNUMBER(J3738)),C3738/J3738-1,""),"")</f>
        <v/>
      </c>
      <c r="L3738" s="28">
        <f>IFERROR(IF(AND(ISNUMBER(D3738),ISNUMBER(E3738)),D3738-E3738,""),"")</f>
        <v/>
      </c>
    </row>
    <row r="3739">
      <c r="A3739" s="7">
        <f>IFERROR(Datos!A3739,"")</f>
        <v/>
      </c>
      <c r="B3739" s="8">
        <f>IFERROR(Datos!B3739,"")</f>
        <v/>
      </c>
      <c r="C3739" s="8">
        <f>IFERROR(Datos!C3739,"")</f>
        <v/>
      </c>
      <c r="D3739" s="28">
        <f>IFERROR(IF(AND(ISNUMBER(B3739),ISNUMBER(B3738),B3738&lt;&gt;0),B3739/B3738-1,""),"")</f>
        <v/>
      </c>
      <c r="E3739" s="28">
        <f>IFERROR(IF(AND(ISNUMBER(C3739),ISNUMBER(C3738),C3738&lt;&gt;0),C3739/C3738-1,""),"")</f>
        <v/>
      </c>
      <c r="F3739" s="28">
        <f>IFERROR(D3739-Dashboard!$B$4/252,"")</f>
        <v/>
      </c>
      <c r="G3739" s="28">
        <f>IFERROR(E3739-Dashboard!$B$4/252,"")</f>
        <v/>
      </c>
      <c r="H3739" s="8">
        <f>IFERROR(IF(ISNUMBER(B3739),MAX(B3739,IFERROR(H3738,B3739)),""),"")</f>
        <v/>
      </c>
      <c r="I3739" s="29">
        <f>IFERROR(IF(AND(ISNUMBER(B3739),ISNUMBER(H3739)),B3739/H3739-1,""),"")</f>
        <v/>
      </c>
      <c r="J3739" s="8">
        <f>IFERROR(IF(ISNUMBER(C3739),MAX(C3739,IFERROR(J3738,C3739)),""),"")</f>
        <v/>
      </c>
      <c r="K3739" s="29">
        <f>IFERROR(IF(AND(ISNUMBER(C3739),ISNUMBER(J3739)),C3739/J3739-1,""),"")</f>
        <v/>
      </c>
      <c r="L3739" s="28">
        <f>IFERROR(IF(AND(ISNUMBER(D3739),ISNUMBER(E3739)),D3739-E3739,""),"")</f>
        <v/>
      </c>
    </row>
    <row r="3740">
      <c r="A3740" s="7">
        <f>IFERROR(Datos!A3740,"")</f>
        <v/>
      </c>
      <c r="B3740" s="8">
        <f>IFERROR(Datos!B3740,"")</f>
        <v/>
      </c>
      <c r="C3740" s="8">
        <f>IFERROR(Datos!C3740,"")</f>
        <v/>
      </c>
      <c r="D3740" s="28">
        <f>IFERROR(IF(AND(ISNUMBER(B3740),ISNUMBER(B3739),B3739&lt;&gt;0),B3740/B3739-1,""),"")</f>
        <v/>
      </c>
      <c r="E3740" s="28">
        <f>IFERROR(IF(AND(ISNUMBER(C3740),ISNUMBER(C3739),C3739&lt;&gt;0),C3740/C3739-1,""),"")</f>
        <v/>
      </c>
      <c r="F3740" s="28">
        <f>IFERROR(D3740-Dashboard!$B$4/252,"")</f>
        <v/>
      </c>
      <c r="G3740" s="28">
        <f>IFERROR(E3740-Dashboard!$B$4/252,"")</f>
        <v/>
      </c>
      <c r="H3740" s="8">
        <f>IFERROR(IF(ISNUMBER(B3740),MAX(B3740,IFERROR(H3739,B3740)),""),"")</f>
        <v/>
      </c>
      <c r="I3740" s="29">
        <f>IFERROR(IF(AND(ISNUMBER(B3740),ISNUMBER(H3740)),B3740/H3740-1,""),"")</f>
        <v/>
      </c>
      <c r="J3740" s="8">
        <f>IFERROR(IF(ISNUMBER(C3740),MAX(C3740,IFERROR(J3739,C3740)),""),"")</f>
        <v/>
      </c>
      <c r="K3740" s="29">
        <f>IFERROR(IF(AND(ISNUMBER(C3740),ISNUMBER(J3740)),C3740/J3740-1,""),"")</f>
        <v/>
      </c>
      <c r="L3740" s="28">
        <f>IFERROR(IF(AND(ISNUMBER(D3740),ISNUMBER(E3740)),D3740-E3740,""),"")</f>
        <v/>
      </c>
    </row>
    <row r="3741">
      <c r="A3741" s="7">
        <f>IFERROR(Datos!A3741,"")</f>
        <v/>
      </c>
      <c r="B3741" s="8">
        <f>IFERROR(Datos!B3741,"")</f>
        <v/>
      </c>
      <c r="C3741" s="8">
        <f>IFERROR(Datos!C3741,"")</f>
        <v/>
      </c>
      <c r="D3741" s="28">
        <f>IFERROR(IF(AND(ISNUMBER(B3741),ISNUMBER(B3740),B3740&lt;&gt;0),B3741/B3740-1,""),"")</f>
        <v/>
      </c>
      <c r="E3741" s="28">
        <f>IFERROR(IF(AND(ISNUMBER(C3741),ISNUMBER(C3740),C3740&lt;&gt;0),C3741/C3740-1,""),"")</f>
        <v/>
      </c>
      <c r="F3741" s="28">
        <f>IFERROR(D3741-Dashboard!$B$4/252,"")</f>
        <v/>
      </c>
      <c r="G3741" s="28">
        <f>IFERROR(E3741-Dashboard!$B$4/252,"")</f>
        <v/>
      </c>
      <c r="H3741" s="8">
        <f>IFERROR(IF(ISNUMBER(B3741),MAX(B3741,IFERROR(H3740,B3741)),""),"")</f>
        <v/>
      </c>
      <c r="I3741" s="29">
        <f>IFERROR(IF(AND(ISNUMBER(B3741),ISNUMBER(H3741)),B3741/H3741-1,""),"")</f>
        <v/>
      </c>
      <c r="J3741" s="8">
        <f>IFERROR(IF(ISNUMBER(C3741),MAX(C3741,IFERROR(J3740,C3741)),""),"")</f>
        <v/>
      </c>
      <c r="K3741" s="29">
        <f>IFERROR(IF(AND(ISNUMBER(C3741),ISNUMBER(J3741)),C3741/J3741-1,""),"")</f>
        <v/>
      </c>
      <c r="L3741" s="28">
        <f>IFERROR(IF(AND(ISNUMBER(D3741),ISNUMBER(E3741)),D3741-E3741,""),"")</f>
        <v/>
      </c>
    </row>
    <row r="3742">
      <c r="A3742" s="7">
        <f>IFERROR(Datos!A3742,"")</f>
        <v/>
      </c>
      <c r="B3742" s="8">
        <f>IFERROR(Datos!B3742,"")</f>
        <v/>
      </c>
      <c r="C3742" s="8">
        <f>IFERROR(Datos!C3742,"")</f>
        <v/>
      </c>
      <c r="D3742" s="28">
        <f>IFERROR(IF(AND(ISNUMBER(B3742),ISNUMBER(B3741),B3741&lt;&gt;0),B3742/B3741-1,""),"")</f>
        <v/>
      </c>
      <c r="E3742" s="28">
        <f>IFERROR(IF(AND(ISNUMBER(C3742),ISNUMBER(C3741),C3741&lt;&gt;0),C3742/C3741-1,""),"")</f>
        <v/>
      </c>
      <c r="F3742" s="28">
        <f>IFERROR(D3742-Dashboard!$B$4/252,"")</f>
        <v/>
      </c>
      <c r="G3742" s="28">
        <f>IFERROR(E3742-Dashboard!$B$4/252,"")</f>
        <v/>
      </c>
      <c r="H3742" s="8">
        <f>IFERROR(IF(ISNUMBER(B3742),MAX(B3742,IFERROR(H3741,B3742)),""),"")</f>
        <v/>
      </c>
      <c r="I3742" s="29">
        <f>IFERROR(IF(AND(ISNUMBER(B3742),ISNUMBER(H3742)),B3742/H3742-1,""),"")</f>
        <v/>
      </c>
      <c r="J3742" s="8">
        <f>IFERROR(IF(ISNUMBER(C3742),MAX(C3742,IFERROR(J3741,C3742)),""),"")</f>
        <v/>
      </c>
      <c r="K3742" s="29">
        <f>IFERROR(IF(AND(ISNUMBER(C3742),ISNUMBER(J3742)),C3742/J3742-1,""),"")</f>
        <v/>
      </c>
      <c r="L3742" s="28">
        <f>IFERROR(IF(AND(ISNUMBER(D3742),ISNUMBER(E3742)),D3742-E3742,""),"")</f>
        <v/>
      </c>
    </row>
    <row r="3743">
      <c r="A3743" s="7">
        <f>IFERROR(Datos!A3743,"")</f>
        <v/>
      </c>
      <c r="B3743" s="8">
        <f>IFERROR(Datos!B3743,"")</f>
        <v/>
      </c>
      <c r="C3743" s="8">
        <f>IFERROR(Datos!C3743,"")</f>
        <v/>
      </c>
      <c r="D3743" s="28">
        <f>IFERROR(IF(AND(ISNUMBER(B3743),ISNUMBER(B3742),B3742&lt;&gt;0),B3743/B3742-1,""),"")</f>
        <v/>
      </c>
      <c r="E3743" s="28">
        <f>IFERROR(IF(AND(ISNUMBER(C3743),ISNUMBER(C3742),C3742&lt;&gt;0),C3743/C3742-1,""),"")</f>
        <v/>
      </c>
      <c r="F3743" s="28">
        <f>IFERROR(D3743-Dashboard!$B$4/252,"")</f>
        <v/>
      </c>
      <c r="G3743" s="28">
        <f>IFERROR(E3743-Dashboard!$B$4/252,"")</f>
        <v/>
      </c>
      <c r="H3743" s="8">
        <f>IFERROR(IF(ISNUMBER(B3743),MAX(B3743,IFERROR(H3742,B3743)),""),"")</f>
        <v/>
      </c>
      <c r="I3743" s="29">
        <f>IFERROR(IF(AND(ISNUMBER(B3743),ISNUMBER(H3743)),B3743/H3743-1,""),"")</f>
        <v/>
      </c>
      <c r="J3743" s="8">
        <f>IFERROR(IF(ISNUMBER(C3743),MAX(C3743,IFERROR(J3742,C3743)),""),"")</f>
        <v/>
      </c>
      <c r="K3743" s="29">
        <f>IFERROR(IF(AND(ISNUMBER(C3743),ISNUMBER(J3743)),C3743/J3743-1,""),"")</f>
        <v/>
      </c>
      <c r="L3743" s="28">
        <f>IFERROR(IF(AND(ISNUMBER(D3743),ISNUMBER(E3743)),D3743-E3743,""),"")</f>
        <v/>
      </c>
    </row>
    <row r="3744">
      <c r="A3744" s="7">
        <f>IFERROR(Datos!A3744,"")</f>
        <v/>
      </c>
      <c r="B3744" s="8">
        <f>IFERROR(Datos!B3744,"")</f>
        <v/>
      </c>
      <c r="C3744" s="8">
        <f>IFERROR(Datos!C3744,"")</f>
        <v/>
      </c>
      <c r="D3744" s="28">
        <f>IFERROR(IF(AND(ISNUMBER(B3744),ISNUMBER(B3743),B3743&lt;&gt;0),B3744/B3743-1,""),"")</f>
        <v/>
      </c>
      <c r="E3744" s="28">
        <f>IFERROR(IF(AND(ISNUMBER(C3744),ISNUMBER(C3743),C3743&lt;&gt;0),C3744/C3743-1,""),"")</f>
        <v/>
      </c>
      <c r="F3744" s="28">
        <f>IFERROR(D3744-Dashboard!$B$4/252,"")</f>
        <v/>
      </c>
      <c r="G3744" s="28">
        <f>IFERROR(E3744-Dashboard!$B$4/252,"")</f>
        <v/>
      </c>
      <c r="H3744" s="8">
        <f>IFERROR(IF(ISNUMBER(B3744),MAX(B3744,IFERROR(H3743,B3744)),""),"")</f>
        <v/>
      </c>
      <c r="I3744" s="29">
        <f>IFERROR(IF(AND(ISNUMBER(B3744),ISNUMBER(H3744)),B3744/H3744-1,""),"")</f>
        <v/>
      </c>
      <c r="J3744" s="8">
        <f>IFERROR(IF(ISNUMBER(C3744),MAX(C3744,IFERROR(J3743,C3744)),""),"")</f>
        <v/>
      </c>
      <c r="K3744" s="29">
        <f>IFERROR(IF(AND(ISNUMBER(C3744),ISNUMBER(J3744)),C3744/J3744-1,""),"")</f>
        <v/>
      </c>
      <c r="L3744" s="28">
        <f>IFERROR(IF(AND(ISNUMBER(D3744),ISNUMBER(E3744)),D3744-E3744,""),"")</f>
        <v/>
      </c>
    </row>
    <row r="3745">
      <c r="A3745" s="7">
        <f>IFERROR(Datos!A3745,"")</f>
        <v/>
      </c>
      <c r="B3745" s="8">
        <f>IFERROR(Datos!B3745,"")</f>
        <v/>
      </c>
      <c r="C3745" s="8">
        <f>IFERROR(Datos!C3745,"")</f>
        <v/>
      </c>
      <c r="D3745" s="28">
        <f>IFERROR(IF(AND(ISNUMBER(B3745),ISNUMBER(B3744),B3744&lt;&gt;0),B3745/B3744-1,""),"")</f>
        <v/>
      </c>
      <c r="E3745" s="28">
        <f>IFERROR(IF(AND(ISNUMBER(C3745),ISNUMBER(C3744),C3744&lt;&gt;0),C3745/C3744-1,""),"")</f>
        <v/>
      </c>
      <c r="F3745" s="28">
        <f>IFERROR(D3745-Dashboard!$B$4/252,"")</f>
        <v/>
      </c>
      <c r="G3745" s="28">
        <f>IFERROR(E3745-Dashboard!$B$4/252,"")</f>
        <v/>
      </c>
      <c r="H3745" s="8">
        <f>IFERROR(IF(ISNUMBER(B3745),MAX(B3745,IFERROR(H3744,B3745)),""),"")</f>
        <v/>
      </c>
      <c r="I3745" s="29">
        <f>IFERROR(IF(AND(ISNUMBER(B3745),ISNUMBER(H3745)),B3745/H3745-1,""),"")</f>
        <v/>
      </c>
      <c r="J3745" s="8">
        <f>IFERROR(IF(ISNUMBER(C3745),MAX(C3745,IFERROR(J3744,C3745)),""),"")</f>
        <v/>
      </c>
      <c r="K3745" s="29">
        <f>IFERROR(IF(AND(ISNUMBER(C3745),ISNUMBER(J3745)),C3745/J3745-1,""),"")</f>
        <v/>
      </c>
      <c r="L3745" s="28">
        <f>IFERROR(IF(AND(ISNUMBER(D3745),ISNUMBER(E3745)),D3745-E3745,""),"")</f>
        <v/>
      </c>
    </row>
    <row r="3746">
      <c r="A3746" s="7">
        <f>IFERROR(Datos!A3746,"")</f>
        <v/>
      </c>
      <c r="B3746" s="8">
        <f>IFERROR(Datos!B3746,"")</f>
        <v/>
      </c>
      <c r="C3746" s="8">
        <f>IFERROR(Datos!C3746,"")</f>
        <v/>
      </c>
      <c r="D3746" s="28">
        <f>IFERROR(IF(AND(ISNUMBER(B3746),ISNUMBER(B3745),B3745&lt;&gt;0),B3746/B3745-1,""),"")</f>
        <v/>
      </c>
      <c r="E3746" s="28">
        <f>IFERROR(IF(AND(ISNUMBER(C3746),ISNUMBER(C3745),C3745&lt;&gt;0),C3746/C3745-1,""),"")</f>
        <v/>
      </c>
      <c r="F3746" s="28">
        <f>IFERROR(D3746-Dashboard!$B$4/252,"")</f>
        <v/>
      </c>
      <c r="G3746" s="28">
        <f>IFERROR(E3746-Dashboard!$B$4/252,"")</f>
        <v/>
      </c>
      <c r="H3746" s="8">
        <f>IFERROR(IF(ISNUMBER(B3746),MAX(B3746,IFERROR(H3745,B3746)),""),"")</f>
        <v/>
      </c>
      <c r="I3746" s="29">
        <f>IFERROR(IF(AND(ISNUMBER(B3746),ISNUMBER(H3746)),B3746/H3746-1,""),"")</f>
        <v/>
      </c>
      <c r="J3746" s="8">
        <f>IFERROR(IF(ISNUMBER(C3746),MAX(C3746,IFERROR(J3745,C3746)),""),"")</f>
        <v/>
      </c>
      <c r="K3746" s="29">
        <f>IFERROR(IF(AND(ISNUMBER(C3746),ISNUMBER(J3746)),C3746/J3746-1,""),"")</f>
        <v/>
      </c>
      <c r="L3746" s="28">
        <f>IFERROR(IF(AND(ISNUMBER(D3746),ISNUMBER(E3746)),D3746-E3746,""),"")</f>
        <v/>
      </c>
    </row>
    <row r="3747">
      <c r="A3747" s="7">
        <f>IFERROR(Datos!A3747,"")</f>
        <v/>
      </c>
      <c r="B3747" s="8">
        <f>IFERROR(Datos!B3747,"")</f>
        <v/>
      </c>
      <c r="C3747" s="8">
        <f>IFERROR(Datos!C3747,"")</f>
        <v/>
      </c>
      <c r="D3747" s="28">
        <f>IFERROR(IF(AND(ISNUMBER(B3747),ISNUMBER(B3746),B3746&lt;&gt;0),B3747/B3746-1,""),"")</f>
        <v/>
      </c>
      <c r="E3747" s="28">
        <f>IFERROR(IF(AND(ISNUMBER(C3747),ISNUMBER(C3746),C3746&lt;&gt;0),C3747/C3746-1,""),"")</f>
        <v/>
      </c>
      <c r="F3747" s="28">
        <f>IFERROR(D3747-Dashboard!$B$4/252,"")</f>
        <v/>
      </c>
      <c r="G3747" s="28">
        <f>IFERROR(E3747-Dashboard!$B$4/252,"")</f>
        <v/>
      </c>
      <c r="H3747" s="8">
        <f>IFERROR(IF(ISNUMBER(B3747),MAX(B3747,IFERROR(H3746,B3747)),""),"")</f>
        <v/>
      </c>
      <c r="I3747" s="29">
        <f>IFERROR(IF(AND(ISNUMBER(B3747),ISNUMBER(H3747)),B3747/H3747-1,""),"")</f>
        <v/>
      </c>
      <c r="J3747" s="8">
        <f>IFERROR(IF(ISNUMBER(C3747),MAX(C3747,IFERROR(J3746,C3747)),""),"")</f>
        <v/>
      </c>
      <c r="K3747" s="29">
        <f>IFERROR(IF(AND(ISNUMBER(C3747),ISNUMBER(J3747)),C3747/J3747-1,""),"")</f>
        <v/>
      </c>
      <c r="L3747" s="28">
        <f>IFERROR(IF(AND(ISNUMBER(D3747),ISNUMBER(E3747)),D3747-E3747,""),"")</f>
        <v/>
      </c>
    </row>
    <row r="3748">
      <c r="A3748" s="7">
        <f>IFERROR(Datos!A3748,"")</f>
        <v/>
      </c>
      <c r="B3748" s="8">
        <f>IFERROR(Datos!B3748,"")</f>
        <v/>
      </c>
      <c r="C3748" s="8">
        <f>IFERROR(Datos!C3748,"")</f>
        <v/>
      </c>
      <c r="D3748" s="28">
        <f>IFERROR(IF(AND(ISNUMBER(B3748),ISNUMBER(B3747),B3747&lt;&gt;0),B3748/B3747-1,""),"")</f>
        <v/>
      </c>
      <c r="E3748" s="28">
        <f>IFERROR(IF(AND(ISNUMBER(C3748),ISNUMBER(C3747),C3747&lt;&gt;0),C3748/C3747-1,""),"")</f>
        <v/>
      </c>
      <c r="F3748" s="28">
        <f>IFERROR(D3748-Dashboard!$B$4/252,"")</f>
        <v/>
      </c>
      <c r="G3748" s="28">
        <f>IFERROR(E3748-Dashboard!$B$4/252,"")</f>
        <v/>
      </c>
      <c r="H3748" s="8">
        <f>IFERROR(IF(ISNUMBER(B3748),MAX(B3748,IFERROR(H3747,B3748)),""),"")</f>
        <v/>
      </c>
      <c r="I3748" s="29">
        <f>IFERROR(IF(AND(ISNUMBER(B3748),ISNUMBER(H3748)),B3748/H3748-1,""),"")</f>
        <v/>
      </c>
      <c r="J3748" s="8">
        <f>IFERROR(IF(ISNUMBER(C3748),MAX(C3748,IFERROR(J3747,C3748)),""),"")</f>
        <v/>
      </c>
      <c r="K3748" s="29">
        <f>IFERROR(IF(AND(ISNUMBER(C3748),ISNUMBER(J3748)),C3748/J3748-1,""),"")</f>
        <v/>
      </c>
      <c r="L3748" s="28">
        <f>IFERROR(IF(AND(ISNUMBER(D3748),ISNUMBER(E3748)),D3748-E3748,""),"")</f>
        <v/>
      </c>
    </row>
    <row r="3749">
      <c r="A3749" s="7">
        <f>IFERROR(Datos!A3749,"")</f>
        <v/>
      </c>
      <c r="B3749" s="8">
        <f>IFERROR(Datos!B3749,"")</f>
        <v/>
      </c>
      <c r="C3749" s="8">
        <f>IFERROR(Datos!C3749,"")</f>
        <v/>
      </c>
      <c r="D3749" s="28">
        <f>IFERROR(IF(AND(ISNUMBER(B3749),ISNUMBER(B3748),B3748&lt;&gt;0),B3749/B3748-1,""),"")</f>
        <v/>
      </c>
      <c r="E3749" s="28">
        <f>IFERROR(IF(AND(ISNUMBER(C3749),ISNUMBER(C3748),C3748&lt;&gt;0),C3749/C3748-1,""),"")</f>
        <v/>
      </c>
      <c r="F3749" s="28">
        <f>IFERROR(D3749-Dashboard!$B$4/252,"")</f>
        <v/>
      </c>
      <c r="G3749" s="28">
        <f>IFERROR(E3749-Dashboard!$B$4/252,"")</f>
        <v/>
      </c>
      <c r="H3749" s="8">
        <f>IFERROR(IF(ISNUMBER(B3749),MAX(B3749,IFERROR(H3748,B3749)),""),"")</f>
        <v/>
      </c>
      <c r="I3749" s="29">
        <f>IFERROR(IF(AND(ISNUMBER(B3749),ISNUMBER(H3749)),B3749/H3749-1,""),"")</f>
        <v/>
      </c>
      <c r="J3749" s="8">
        <f>IFERROR(IF(ISNUMBER(C3749),MAX(C3749,IFERROR(J3748,C3749)),""),"")</f>
        <v/>
      </c>
      <c r="K3749" s="29">
        <f>IFERROR(IF(AND(ISNUMBER(C3749),ISNUMBER(J3749)),C3749/J3749-1,""),"")</f>
        <v/>
      </c>
      <c r="L3749" s="28">
        <f>IFERROR(IF(AND(ISNUMBER(D3749),ISNUMBER(E3749)),D3749-E3749,""),"")</f>
        <v/>
      </c>
    </row>
    <row r="3750">
      <c r="A3750" s="7">
        <f>IFERROR(Datos!A3750,"")</f>
        <v/>
      </c>
      <c r="B3750" s="8">
        <f>IFERROR(Datos!B3750,"")</f>
        <v/>
      </c>
      <c r="C3750" s="8">
        <f>IFERROR(Datos!C3750,"")</f>
        <v/>
      </c>
      <c r="D3750" s="28">
        <f>IFERROR(IF(AND(ISNUMBER(B3750),ISNUMBER(B3749),B3749&lt;&gt;0),B3750/B3749-1,""),"")</f>
        <v/>
      </c>
      <c r="E3750" s="28">
        <f>IFERROR(IF(AND(ISNUMBER(C3750),ISNUMBER(C3749),C3749&lt;&gt;0),C3750/C3749-1,""),"")</f>
        <v/>
      </c>
      <c r="F3750" s="28">
        <f>IFERROR(D3750-Dashboard!$B$4/252,"")</f>
        <v/>
      </c>
      <c r="G3750" s="28">
        <f>IFERROR(E3750-Dashboard!$B$4/252,"")</f>
        <v/>
      </c>
      <c r="H3750" s="8">
        <f>IFERROR(IF(ISNUMBER(B3750),MAX(B3750,IFERROR(H3749,B3750)),""),"")</f>
        <v/>
      </c>
      <c r="I3750" s="29">
        <f>IFERROR(IF(AND(ISNUMBER(B3750),ISNUMBER(H3750)),B3750/H3750-1,""),"")</f>
        <v/>
      </c>
      <c r="J3750" s="8">
        <f>IFERROR(IF(ISNUMBER(C3750),MAX(C3750,IFERROR(J3749,C3750)),""),"")</f>
        <v/>
      </c>
      <c r="K3750" s="29">
        <f>IFERROR(IF(AND(ISNUMBER(C3750),ISNUMBER(J3750)),C3750/J3750-1,""),"")</f>
        <v/>
      </c>
      <c r="L3750" s="28">
        <f>IFERROR(IF(AND(ISNUMBER(D3750),ISNUMBER(E3750)),D3750-E3750,""),"")</f>
        <v/>
      </c>
    </row>
    <row r="3751">
      <c r="A3751" s="7">
        <f>IFERROR(Datos!A3751,"")</f>
        <v/>
      </c>
      <c r="B3751" s="8">
        <f>IFERROR(Datos!B3751,"")</f>
        <v/>
      </c>
      <c r="C3751" s="8">
        <f>IFERROR(Datos!C3751,"")</f>
        <v/>
      </c>
      <c r="D3751" s="28">
        <f>IFERROR(IF(AND(ISNUMBER(B3751),ISNUMBER(B3750),B3750&lt;&gt;0),B3751/B3750-1,""),"")</f>
        <v/>
      </c>
      <c r="E3751" s="28">
        <f>IFERROR(IF(AND(ISNUMBER(C3751),ISNUMBER(C3750),C3750&lt;&gt;0),C3751/C3750-1,""),"")</f>
        <v/>
      </c>
      <c r="F3751" s="28">
        <f>IFERROR(D3751-Dashboard!$B$4/252,"")</f>
        <v/>
      </c>
      <c r="G3751" s="28">
        <f>IFERROR(E3751-Dashboard!$B$4/252,"")</f>
        <v/>
      </c>
      <c r="H3751" s="8">
        <f>IFERROR(IF(ISNUMBER(B3751),MAX(B3751,IFERROR(H3750,B3751)),""),"")</f>
        <v/>
      </c>
      <c r="I3751" s="29">
        <f>IFERROR(IF(AND(ISNUMBER(B3751),ISNUMBER(H3751)),B3751/H3751-1,""),"")</f>
        <v/>
      </c>
      <c r="J3751" s="8">
        <f>IFERROR(IF(ISNUMBER(C3751),MAX(C3751,IFERROR(J3750,C3751)),""),"")</f>
        <v/>
      </c>
      <c r="K3751" s="29">
        <f>IFERROR(IF(AND(ISNUMBER(C3751),ISNUMBER(J3751)),C3751/J3751-1,""),"")</f>
        <v/>
      </c>
      <c r="L3751" s="28">
        <f>IFERROR(IF(AND(ISNUMBER(D3751),ISNUMBER(E3751)),D3751-E3751,""),"")</f>
        <v/>
      </c>
    </row>
    <row r="3752">
      <c r="A3752" s="7">
        <f>IFERROR(Datos!A3752,"")</f>
        <v/>
      </c>
      <c r="B3752" s="8">
        <f>IFERROR(Datos!B3752,"")</f>
        <v/>
      </c>
      <c r="C3752" s="8">
        <f>IFERROR(Datos!C3752,"")</f>
        <v/>
      </c>
      <c r="D3752" s="28">
        <f>IFERROR(IF(AND(ISNUMBER(B3752),ISNUMBER(B3751),B3751&lt;&gt;0),B3752/B3751-1,""),"")</f>
        <v/>
      </c>
      <c r="E3752" s="28">
        <f>IFERROR(IF(AND(ISNUMBER(C3752),ISNUMBER(C3751),C3751&lt;&gt;0),C3752/C3751-1,""),"")</f>
        <v/>
      </c>
      <c r="F3752" s="28">
        <f>IFERROR(D3752-Dashboard!$B$4/252,"")</f>
        <v/>
      </c>
      <c r="G3752" s="28">
        <f>IFERROR(E3752-Dashboard!$B$4/252,"")</f>
        <v/>
      </c>
      <c r="H3752" s="8">
        <f>IFERROR(IF(ISNUMBER(B3752),MAX(B3752,IFERROR(H3751,B3752)),""),"")</f>
        <v/>
      </c>
      <c r="I3752" s="29">
        <f>IFERROR(IF(AND(ISNUMBER(B3752),ISNUMBER(H3752)),B3752/H3752-1,""),"")</f>
        <v/>
      </c>
      <c r="J3752" s="8">
        <f>IFERROR(IF(ISNUMBER(C3752),MAX(C3752,IFERROR(J3751,C3752)),""),"")</f>
        <v/>
      </c>
      <c r="K3752" s="29">
        <f>IFERROR(IF(AND(ISNUMBER(C3752),ISNUMBER(J3752)),C3752/J3752-1,""),"")</f>
        <v/>
      </c>
      <c r="L3752" s="28">
        <f>IFERROR(IF(AND(ISNUMBER(D3752),ISNUMBER(E3752)),D3752-E3752,""),"")</f>
        <v/>
      </c>
    </row>
    <row r="3753">
      <c r="A3753" s="7">
        <f>IFERROR(Datos!A3753,"")</f>
        <v/>
      </c>
      <c r="B3753" s="8">
        <f>IFERROR(Datos!B3753,"")</f>
        <v/>
      </c>
      <c r="C3753" s="8">
        <f>IFERROR(Datos!C3753,"")</f>
        <v/>
      </c>
      <c r="D3753" s="28">
        <f>IFERROR(IF(AND(ISNUMBER(B3753),ISNUMBER(B3752),B3752&lt;&gt;0),B3753/B3752-1,""),"")</f>
        <v/>
      </c>
      <c r="E3753" s="28">
        <f>IFERROR(IF(AND(ISNUMBER(C3753),ISNUMBER(C3752),C3752&lt;&gt;0),C3753/C3752-1,""),"")</f>
        <v/>
      </c>
      <c r="F3753" s="28">
        <f>IFERROR(D3753-Dashboard!$B$4/252,"")</f>
        <v/>
      </c>
      <c r="G3753" s="28">
        <f>IFERROR(E3753-Dashboard!$B$4/252,"")</f>
        <v/>
      </c>
      <c r="H3753" s="8">
        <f>IFERROR(IF(ISNUMBER(B3753),MAX(B3753,IFERROR(H3752,B3753)),""),"")</f>
        <v/>
      </c>
      <c r="I3753" s="29">
        <f>IFERROR(IF(AND(ISNUMBER(B3753),ISNUMBER(H3753)),B3753/H3753-1,""),"")</f>
        <v/>
      </c>
      <c r="J3753" s="8">
        <f>IFERROR(IF(ISNUMBER(C3753),MAX(C3753,IFERROR(J3752,C3753)),""),"")</f>
        <v/>
      </c>
      <c r="K3753" s="29">
        <f>IFERROR(IF(AND(ISNUMBER(C3753),ISNUMBER(J3753)),C3753/J3753-1,""),"")</f>
        <v/>
      </c>
      <c r="L3753" s="28">
        <f>IFERROR(IF(AND(ISNUMBER(D3753),ISNUMBER(E3753)),D3753-E3753,""),"")</f>
        <v/>
      </c>
    </row>
    <row r="3754">
      <c r="A3754" s="7">
        <f>IFERROR(Datos!A3754,"")</f>
        <v/>
      </c>
      <c r="B3754" s="8">
        <f>IFERROR(Datos!B3754,"")</f>
        <v/>
      </c>
      <c r="C3754" s="8">
        <f>IFERROR(Datos!C3754,"")</f>
        <v/>
      </c>
      <c r="D3754" s="28">
        <f>IFERROR(IF(AND(ISNUMBER(B3754),ISNUMBER(B3753),B3753&lt;&gt;0),B3754/B3753-1,""),"")</f>
        <v/>
      </c>
      <c r="E3754" s="28">
        <f>IFERROR(IF(AND(ISNUMBER(C3754),ISNUMBER(C3753),C3753&lt;&gt;0),C3754/C3753-1,""),"")</f>
        <v/>
      </c>
      <c r="F3754" s="28">
        <f>IFERROR(D3754-Dashboard!$B$4/252,"")</f>
        <v/>
      </c>
      <c r="G3754" s="28">
        <f>IFERROR(E3754-Dashboard!$B$4/252,"")</f>
        <v/>
      </c>
      <c r="H3754" s="8">
        <f>IFERROR(IF(ISNUMBER(B3754),MAX(B3754,IFERROR(H3753,B3754)),""),"")</f>
        <v/>
      </c>
      <c r="I3754" s="29">
        <f>IFERROR(IF(AND(ISNUMBER(B3754),ISNUMBER(H3754)),B3754/H3754-1,""),"")</f>
        <v/>
      </c>
      <c r="J3754" s="8">
        <f>IFERROR(IF(ISNUMBER(C3754),MAX(C3754,IFERROR(J3753,C3754)),""),"")</f>
        <v/>
      </c>
      <c r="K3754" s="29">
        <f>IFERROR(IF(AND(ISNUMBER(C3754),ISNUMBER(J3754)),C3754/J3754-1,""),"")</f>
        <v/>
      </c>
      <c r="L3754" s="28">
        <f>IFERROR(IF(AND(ISNUMBER(D3754),ISNUMBER(E3754)),D3754-E3754,""),"")</f>
        <v/>
      </c>
    </row>
    <row r="3755">
      <c r="A3755" s="7">
        <f>IFERROR(Datos!A3755,"")</f>
        <v/>
      </c>
      <c r="B3755" s="8">
        <f>IFERROR(Datos!B3755,"")</f>
        <v/>
      </c>
      <c r="C3755" s="8">
        <f>IFERROR(Datos!C3755,"")</f>
        <v/>
      </c>
      <c r="D3755" s="28">
        <f>IFERROR(IF(AND(ISNUMBER(B3755),ISNUMBER(B3754),B3754&lt;&gt;0),B3755/B3754-1,""),"")</f>
        <v/>
      </c>
      <c r="E3755" s="28">
        <f>IFERROR(IF(AND(ISNUMBER(C3755),ISNUMBER(C3754),C3754&lt;&gt;0),C3755/C3754-1,""),"")</f>
        <v/>
      </c>
      <c r="F3755" s="28">
        <f>IFERROR(D3755-Dashboard!$B$4/252,"")</f>
        <v/>
      </c>
      <c r="G3755" s="28">
        <f>IFERROR(E3755-Dashboard!$B$4/252,"")</f>
        <v/>
      </c>
      <c r="H3755" s="8">
        <f>IFERROR(IF(ISNUMBER(B3755),MAX(B3755,IFERROR(H3754,B3755)),""),"")</f>
        <v/>
      </c>
      <c r="I3755" s="29">
        <f>IFERROR(IF(AND(ISNUMBER(B3755),ISNUMBER(H3755)),B3755/H3755-1,""),"")</f>
        <v/>
      </c>
      <c r="J3755" s="8">
        <f>IFERROR(IF(ISNUMBER(C3755),MAX(C3755,IFERROR(J3754,C3755)),""),"")</f>
        <v/>
      </c>
      <c r="K3755" s="29">
        <f>IFERROR(IF(AND(ISNUMBER(C3755),ISNUMBER(J3755)),C3755/J3755-1,""),"")</f>
        <v/>
      </c>
      <c r="L3755" s="28">
        <f>IFERROR(IF(AND(ISNUMBER(D3755),ISNUMBER(E3755)),D3755-E3755,""),"")</f>
        <v/>
      </c>
    </row>
    <row r="3756">
      <c r="A3756" s="7">
        <f>IFERROR(Datos!A3756,"")</f>
        <v/>
      </c>
      <c r="B3756" s="8">
        <f>IFERROR(Datos!B3756,"")</f>
        <v/>
      </c>
      <c r="C3756" s="8">
        <f>IFERROR(Datos!C3756,"")</f>
        <v/>
      </c>
      <c r="D3756" s="28">
        <f>IFERROR(IF(AND(ISNUMBER(B3756),ISNUMBER(B3755),B3755&lt;&gt;0),B3756/B3755-1,""),"")</f>
        <v/>
      </c>
      <c r="E3756" s="28">
        <f>IFERROR(IF(AND(ISNUMBER(C3756),ISNUMBER(C3755),C3755&lt;&gt;0),C3756/C3755-1,""),"")</f>
        <v/>
      </c>
      <c r="F3756" s="28">
        <f>IFERROR(D3756-Dashboard!$B$4/252,"")</f>
        <v/>
      </c>
      <c r="G3756" s="28">
        <f>IFERROR(E3756-Dashboard!$B$4/252,"")</f>
        <v/>
      </c>
      <c r="H3756" s="8">
        <f>IFERROR(IF(ISNUMBER(B3756),MAX(B3756,IFERROR(H3755,B3756)),""),"")</f>
        <v/>
      </c>
      <c r="I3756" s="29">
        <f>IFERROR(IF(AND(ISNUMBER(B3756),ISNUMBER(H3756)),B3756/H3756-1,""),"")</f>
        <v/>
      </c>
      <c r="J3756" s="8">
        <f>IFERROR(IF(ISNUMBER(C3756),MAX(C3756,IFERROR(J3755,C3756)),""),"")</f>
        <v/>
      </c>
      <c r="K3756" s="29">
        <f>IFERROR(IF(AND(ISNUMBER(C3756),ISNUMBER(J3756)),C3756/J3756-1,""),"")</f>
        <v/>
      </c>
      <c r="L3756" s="28">
        <f>IFERROR(IF(AND(ISNUMBER(D3756),ISNUMBER(E3756)),D3756-E3756,""),"")</f>
        <v/>
      </c>
    </row>
    <row r="3757">
      <c r="A3757" s="7">
        <f>IFERROR(Datos!A3757,"")</f>
        <v/>
      </c>
      <c r="B3757" s="8">
        <f>IFERROR(Datos!B3757,"")</f>
        <v/>
      </c>
      <c r="C3757" s="8">
        <f>IFERROR(Datos!C3757,"")</f>
        <v/>
      </c>
      <c r="D3757" s="28">
        <f>IFERROR(IF(AND(ISNUMBER(B3757),ISNUMBER(B3756),B3756&lt;&gt;0),B3757/B3756-1,""),"")</f>
        <v/>
      </c>
      <c r="E3757" s="28">
        <f>IFERROR(IF(AND(ISNUMBER(C3757),ISNUMBER(C3756),C3756&lt;&gt;0),C3757/C3756-1,""),"")</f>
        <v/>
      </c>
      <c r="F3757" s="28">
        <f>IFERROR(D3757-Dashboard!$B$4/252,"")</f>
        <v/>
      </c>
      <c r="G3757" s="28">
        <f>IFERROR(E3757-Dashboard!$B$4/252,"")</f>
        <v/>
      </c>
      <c r="H3757" s="8">
        <f>IFERROR(IF(ISNUMBER(B3757),MAX(B3757,IFERROR(H3756,B3757)),""),"")</f>
        <v/>
      </c>
      <c r="I3757" s="29">
        <f>IFERROR(IF(AND(ISNUMBER(B3757),ISNUMBER(H3757)),B3757/H3757-1,""),"")</f>
        <v/>
      </c>
      <c r="J3757" s="8">
        <f>IFERROR(IF(ISNUMBER(C3757),MAX(C3757,IFERROR(J3756,C3757)),""),"")</f>
        <v/>
      </c>
      <c r="K3757" s="29">
        <f>IFERROR(IF(AND(ISNUMBER(C3757),ISNUMBER(J3757)),C3757/J3757-1,""),"")</f>
        <v/>
      </c>
      <c r="L3757" s="28">
        <f>IFERROR(IF(AND(ISNUMBER(D3757),ISNUMBER(E3757)),D3757-E3757,""),"")</f>
        <v/>
      </c>
    </row>
    <row r="3758">
      <c r="A3758" s="7">
        <f>IFERROR(Datos!A3758,"")</f>
        <v/>
      </c>
      <c r="B3758" s="8">
        <f>IFERROR(Datos!B3758,"")</f>
        <v/>
      </c>
      <c r="C3758" s="8">
        <f>IFERROR(Datos!C3758,"")</f>
        <v/>
      </c>
      <c r="D3758" s="28">
        <f>IFERROR(IF(AND(ISNUMBER(B3758),ISNUMBER(B3757),B3757&lt;&gt;0),B3758/B3757-1,""),"")</f>
        <v/>
      </c>
      <c r="E3758" s="28">
        <f>IFERROR(IF(AND(ISNUMBER(C3758),ISNUMBER(C3757),C3757&lt;&gt;0),C3758/C3757-1,""),"")</f>
        <v/>
      </c>
      <c r="F3758" s="28">
        <f>IFERROR(D3758-Dashboard!$B$4/252,"")</f>
        <v/>
      </c>
      <c r="G3758" s="28">
        <f>IFERROR(E3758-Dashboard!$B$4/252,"")</f>
        <v/>
      </c>
      <c r="H3758" s="8">
        <f>IFERROR(IF(ISNUMBER(B3758),MAX(B3758,IFERROR(H3757,B3758)),""),"")</f>
        <v/>
      </c>
      <c r="I3758" s="29">
        <f>IFERROR(IF(AND(ISNUMBER(B3758),ISNUMBER(H3758)),B3758/H3758-1,""),"")</f>
        <v/>
      </c>
      <c r="J3758" s="8">
        <f>IFERROR(IF(ISNUMBER(C3758),MAX(C3758,IFERROR(J3757,C3758)),""),"")</f>
        <v/>
      </c>
      <c r="K3758" s="29">
        <f>IFERROR(IF(AND(ISNUMBER(C3758),ISNUMBER(J3758)),C3758/J3758-1,""),"")</f>
        <v/>
      </c>
      <c r="L3758" s="28">
        <f>IFERROR(IF(AND(ISNUMBER(D3758),ISNUMBER(E3758)),D3758-E3758,""),"")</f>
        <v/>
      </c>
    </row>
    <row r="3759">
      <c r="A3759" s="7">
        <f>IFERROR(Datos!A3759,"")</f>
        <v/>
      </c>
      <c r="B3759" s="8">
        <f>IFERROR(Datos!B3759,"")</f>
        <v/>
      </c>
      <c r="C3759" s="8">
        <f>IFERROR(Datos!C3759,"")</f>
        <v/>
      </c>
      <c r="D3759" s="28">
        <f>IFERROR(IF(AND(ISNUMBER(B3759),ISNUMBER(B3758),B3758&lt;&gt;0),B3759/B3758-1,""),"")</f>
        <v/>
      </c>
      <c r="E3759" s="28">
        <f>IFERROR(IF(AND(ISNUMBER(C3759),ISNUMBER(C3758),C3758&lt;&gt;0),C3759/C3758-1,""),"")</f>
        <v/>
      </c>
      <c r="F3759" s="28">
        <f>IFERROR(D3759-Dashboard!$B$4/252,"")</f>
        <v/>
      </c>
      <c r="G3759" s="28">
        <f>IFERROR(E3759-Dashboard!$B$4/252,"")</f>
        <v/>
      </c>
      <c r="H3759" s="8">
        <f>IFERROR(IF(ISNUMBER(B3759),MAX(B3759,IFERROR(H3758,B3759)),""),"")</f>
        <v/>
      </c>
      <c r="I3759" s="29">
        <f>IFERROR(IF(AND(ISNUMBER(B3759),ISNUMBER(H3759)),B3759/H3759-1,""),"")</f>
        <v/>
      </c>
      <c r="J3759" s="8">
        <f>IFERROR(IF(ISNUMBER(C3759),MAX(C3759,IFERROR(J3758,C3759)),""),"")</f>
        <v/>
      </c>
      <c r="K3759" s="29">
        <f>IFERROR(IF(AND(ISNUMBER(C3759),ISNUMBER(J3759)),C3759/J3759-1,""),"")</f>
        <v/>
      </c>
      <c r="L3759" s="28">
        <f>IFERROR(IF(AND(ISNUMBER(D3759),ISNUMBER(E3759)),D3759-E3759,""),"")</f>
        <v/>
      </c>
    </row>
    <row r="3760">
      <c r="A3760" s="7">
        <f>IFERROR(Datos!A3760,"")</f>
        <v/>
      </c>
      <c r="B3760" s="8">
        <f>IFERROR(Datos!B3760,"")</f>
        <v/>
      </c>
      <c r="C3760" s="8">
        <f>IFERROR(Datos!C3760,"")</f>
        <v/>
      </c>
      <c r="D3760" s="28">
        <f>IFERROR(IF(AND(ISNUMBER(B3760),ISNUMBER(B3759),B3759&lt;&gt;0),B3760/B3759-1,""),"")</f>
        <v/>
      </c>
      <c r="E3760" s="28">
        <f>IFERROR(IF(AND(ISNUMBER(C3760),ISNUMBER(C3759),C3759&lt;&gt;0),C3760/C3759-1,""),"")</f>
        <v/>
      </c>
      <c r="F3760" s="28">
        <f>IFERROR(D3760-Dashboard!$B$4/252,"")</f>
        <v/>
      </c>
      <c r="G3760" s="28">
        <f>IFERROR(E3760-Dashboard!$B$4/252,"")</f>
        <v/>
      </c>
      <c r="H3760" s="8">
        <f>IFERROR(IF(ISNUMBER(B3760),MAX(B3760,IFERROR(H3759,B3760)),""),"")</f>
        <v/>
      </c>
      <c r="I3760" s="29">
        <f>IFERROR(IF(AND(ISNUMBER(B3760),ISNUMBER(H3760)),B3760/H3760-1,""),"")</f>
        <v/>
      </c>
      <c r="J3760" s="8">
        <f>IFERROR(IF(ISNUMBER(C3760),MAX(C3760,IFERROR(J3759,C3760)),""),"")</f>
        <v/>
      </c>
      <c r="K3760" s="29">
        <f>IFERROR(IF(AND(ISNUMBER(C3760),ISNUMBER(J3760)),C3760/J3760-1,""),"")</f>
        <v/>
      </c>
      <c r="L3760" s="28">
        <f>IFERROR(IF(AND(ISNUMBER(D3760),ISNUMBER(E3760)),D3760-E3760,""),"")</f>
        <v/>
      </c>
    </row>
    <row r="3761">
      <c r="A3761" s="7">
        <f>IFERROR(Datos!A3761,"")</f>
        <v/>
      </c>
      <c r="B3761" s="8">
        <f>IFERROR(Datos!B3761,"")</f>
        <v/>
      </c>
      <c r="C3761" s="8">
        <f>IFERROR(Datos!C3761,"")</f>
        <v/>
      </c>
      <c r="D3761" s="28">
        <f>IFERROR(IF(AND(ISNUMBER(B3761),ISNUMBER(B3760),B3760&lt;&gt;0),B3761/B3760-1,""),"")</f>
        <v/>
      </c>
      <c r="E3761" s="28">
        <f>IFERROR(IF(AND(ISNUMBER(C3761),ISNUMBER(C3760),C3760&lt;&gt;0),C3761/C3760-1,""),"")</f>
        <v/>
      </c>
      <c r="F3761" s="28">
        <f>IFERROR(D3761-Dashboard!$B$4/252,"")</f>
        <v/>
      </c>
      <c r="G3761" s="28">
        <f>IFERROR(E3761-Dashboard!$B$4/252,"")</f>
        <v/>
      </c>
      <c r="H3761" s="8">
        <f>IFERROR(IF(ISNUMBER(B3761),MAX(B3761,IFERROR(H3760,B3761)),""),"")</f>
        <v/>
      </c>
      <c r="I3761" s="29">
        <f>IFERROR(IF(AND(ISNUMBER(B3761),ISNUMBER(H3761)),B3761/H3761-1,""),"")</f>
        <v/>
      </c>
      <c r="J3761" s="8">
        <f>IFERROR(IF(ISNUMBER(C3761),MAX(C3761,IFERROR(J3760,C3761)),""),"")</f>
        <v/>
      </c>
      <c r="K3761" s="29">
        <f>IFERROR(IF(AND(ISNUMBER(C3761),ISNUMBER(J3761)),C3761/J3761-1,""),"")</f>
        <v/>
      </c>
      <c r="L3761" s="28">
        <f>IFERROR(IF(AND(ISNUMBER(D3761),ISNUMBER(E3761)),D3761-E3761,""),"")</f>
        <v/>
      </c>
    </row>
    <row r="3762">
      <c r="A3762" s="7">
        <f>IFERROR(Datos!A3762,"")</f>
        <v/>
      </c>
      <c r="B3762" s="8">
        <f>IFERROR(Datos!B3762,"")</f>
        <v/>
      </c>
      <c r="C3762" s="8">
        <f>IFERROR(Datos!C3762,"")</f>
        <v/>
      </c>
      <c r="D3762" s="28">
        <f>IFERROR(IF(AND(ISNUMBER(B3762),ISNUMBER(B3761),B3761&lt;&gt;0),B3762/B3761-1,""),"")</f>
        <v/>
      </c>
      <c r="E3762" s="28">
        <f>IFERROR(IF(AND(ISNUMBER(C3762),ISNUMBER(C3761),C3761&lt;&gt;0),C3762/C3761-1,""),"")</f>
        <v/>
      </c>
      <c r="F3762" s="28">
        <f>IFERROR(D3762-Dashboard!$B$4/252,"")</f>
        <v/>
      </c>
      <c r="G3762" s="28">
        <f>IFERROR(E3762-Dashboard!$B$4/252,"")</f>
        <v/>
      </c>
      <c r="H3762" s="8">
        <f>IFERROR(IF(ISNUMBER(B3762),MAX(B3762,IFERROR(H3761,B3762)),""),"")</f>
        <v/>
      </c>
      <c r="I3762" s="29">
        <f>IFERROR(IF(AND(ISNUMBER(B3762),ISNUMBER(H3762)),B3762/H3762-1,""),"")</f>
        <v/>
      </c>
      <c r="J3762" s="8">
        <f>IFERROR(IF(ISNUMBER(C3762),MAX(C3762,IFERROR(J3761,C3762)),""),"")</f>
        <v/>
      </c>
      <c r="K3762" s="29">
        <f>IFERROR(IF(AND(ISNUMBER(C3762),ISNUMBER(J3762)),C3762/J3762-1,""),"")</f>
        <v/>
      </c>
      <c r="L3762" s="28">
        <f>IFERROR(IF(AND(ISNUMBER(D3762),ISNUMBER(E3762)),D3762-E3762,""),"")</f>
        <v/>
      </c>
    </row>
    <row r="3763">
      <c r="A3763" s="7">
        <f>IFERROR(Datos!A3763,"")</f>
        <v/>
      </c>
      <c r="B3763" s="8">
        <f>IFERROR(Datos!B3763,"")</f>
        <v/>
      </c>
      <c r="C3763" s="8">
        <f>IFERROR(Datos!C3763,"")</f>
        <v/>
      </c>
      <c r="D3763" s="28">
        <f>IFERROR(IF(AND(ISNUMBER(B3763),ISNUMBER(B3762),B3762&lt;&gt;0),B3763/B3762-1,""),"")</f>
        <v/>
      </c>
      <c r="E3763" s="28">
        <f>IFERROR(IF(AND(ISNUMBER(C3763),ISNUMBER(C3762),C3762&lt;&gt;0),C3763/C3762-1,""),"")</f>
        <v/>
      </c>
      <c r="F3763" s="28">
        <f>IFERROR(D3763-Dashboard!$B$4/252,"")</f>
        <v/>
      </c>
      <c r="G3763" s="28">
        <f>IFERROR(E3763-Dashboard!$B$4/252,"")</f>
        <v/>
      </c>
      <c r="H3763" s="8">
        <f>IFERROR(IF(ISNUMBER(B3763),MAX(B3763,IFERROR(H3762,B3763)),""),"")</f>
        <v/>
      </c>
      <c r="I3763" s="29">
        <f>IFERROR(IF(AND(ISNUMBER(B3763),ISNUMBER(H3763)),B3763/H3763-1,""),"")</f>
        <v/>
      </c>
      <c r="J3763" s="8">
        <f>IFERROR(IF(ISNUMBER(C3763),MAX(C3763,IFERROR(J3762,C3763)),""),"")</f>
        <v/>
      </c>
      <c r="K3763" s="29">
        <f>IFERROR(IF(AND(ISNUMBER(C3763),ISNUMBER(J3763)),C3763/J3763-1,""),"")</f>
        <v/>
      </c>
      <c r="L3763" s="28">
        <f>IFERROR(IF(AND(ISNUMBER(D3763),ISNUMBER(E3763)),D3763-E3763,""),"")</f>
        <v/>
      </c>
    </row>
    <row r="3764">
      <c r="A3764" s="7">
        <f>IFERROR(Datos!A3764,"")</f>
        <v/>
      </c>
      <c r="B3764" s="8">
        <f>IFERROR(Datos!B3764,"")</f>
        <v/>
      </c>
      <c r="C3764" s="8">
        <f>IFERROR(Datos!C3764,"")</f>
        <v/>
      </c>
      <c r="D3764" s="28">
        <f>IFERROR(IF(AND(ISNUMBER(B3764),ISNUMBER(B3763),B3763&lt;&gt;0),B3764/B3763-1,""),"")</f>
        <v/>
      </c>
      <c r="E3764" s="28">
        <f>IFERROR(IF(AND(ISNUMBER(C3764),ISNUMBER(C3763),C3763&lt;&gt;0),C3764/C3763-1,""),"")</f>
        <v/>
      </c>
      <c r="F3764" s="28">
        <f>IFERROR(D3764-Dashboard!$B$4/252,"")</f>
        <v/>
      </c>
      <c r="G3764" s="28">
        <f>IFERROR(E3764-Dashboard!$B$4/252,"")</f>
        <v/>
      </c>
      <c r="H3764" s="8">
        <f>IFERROR(IF(ISNUMBER(B3764),MAX(B3764,IFERROR(H3763,B3764)),""),"")</f>
        <v/>
      </c>
      <c r="I3764" s="29">
        <f>IFERROR(IF(AND(ISNUMBER(B3764),ISNUMBER(H3764)),B3764/H3764-1,""),"")</f>
        <v/>
      </c>
      <c r="J3764" s="8">
        <f>IFERROR(IF(ISNUMBER(C3764),MAX(C3764,IFERROR(J3763,C3764)),""),"")</f>
        <v/>
      </c>
      <c r="K3764" s="29">
        <f>IFERROR(IF(AND(ISNUMBER(C3764),ISNUMBER(J3764)),C3764/J3764-1,""),"")</f>
        <v/>
      </c>
      <c r="L3764" s="28">
        <f>IFERROR(IF(AND(ISNUMBER(D3764),ISNUMBER(E3764)),D3764-E3764,""),"")</f>
        <v/>
      </c>
    </row>
    <row r="3765">
      <c r="A3765" s="7">
        <f>IFERROR(Datos!A3765,"")</f>
        <v/>
      </c>
      <c r="B3765" s="8">
        <f>IFERROR(Datos!B3765,"")</f>
        <v/>
      </c>
      <c r="C3765" s="8">
        <f>IFERROR(Datos!C3765,"")</f>
        <v/>
      </c>
      <c r="D3765" s="28">
        <f>IFERROR(IF(AND(ISNUMBER(B3765),ISNUMBER(B3764),B3764&lt;&gt;0),B3765/B3764-1,""),"")</f>
        <v/>
      </c>
      <c r="E3765" s="28">
        <f>IFERROR(IF(AND(ISNUMBER(C3765),ISNUMBER(C3764),C3764&lt;&gt;0),C3765/C3764-1,""),"")</f>
        <v/>
      </c>
      <c r="F3765" s="28">
        <f>IFERROR(D3765-Dashboard!$B$4/252,"")</f>
        <v/>
      </c>
      <c r="G3765" s="28">
        <f>IFERROR(E3765-Dashboard!$B$4/252,"")</f>
        <v/>
      </c>
      <c r="H3765" s="8">
        <f>IFERROR(IF(ISNUMBER(B3765),MAX(B3765,IFERROR(H3764,B3765)),""),"")</f>
        <v/>
      </c>
      <c r="I3765" s="29">
        <f>IFERROR(IF(AND(ISNUMBER(B3765),ISNUMBER(H3765)),B3765/H3765-1,""),"")</f>
        <v/>
      </c>
      <c r="J3765" s="8">
        <f>IFERROR(IF(ISNUMBER(C3765),MAX(C3765,IFERROR(J3764,C3765)),""),"")</f>
        <v/>
      </c>
      <c r="K3765" s="29">
        <f>IFERROR(IF(AND(ISNUMBER(C3765),ISNUMBER(J3765)),C3765/J3765-1,""),"")</f>
        <v/>
      </c>
      <c r="L3765" s="28">
        <f>IFERROR(IF(AND(ISNUMBER(D3765),ISNUMBER(E3765)),D3765-E3765,""),"")</f>
        <v/>
      </c>
    </row>
    <row r="3766">
      <c r="A3766" s="7">
        <f>IFERROR(Datos!A3766,"")</f>
        <v/>
      </c>
      <c r="B3766" s="8">
        <f>IFERROR(Datos!B3766,"")</f>
        <v/>
      </c>
      <c r="C3766" s="8">
        <f>IFERROR(Datos!C3766,"")</f>
        <v/>
      </c>
      <c r="D3766" s="28">
        <f>IFERROR(IF(AND(ISNUMBER(B3766),ISNUMBER(B3765),B3765&lt;&gt;0),B3766/B3765-1,""),"")</f>
        <v/>
      </c>
      <c r="E3766" s="28">
        <f>IFERROR(IF(AND(ISNUMBER(C3766),ISNUMBER(C3765),C3765&lt;&gt;0),C3766/C3765-1,""),"")</f>
        <v/>
      </c>
      <c r="F3766" s="28">
        <f>IFERROR(D3766-Dashboard!$B$4/252,"")</f>
        <v/>
      </c>
      <c r="G3766" s="28">
        <f>IFERROR(E3766-Dashboard!$B$4/252,"")</f>
        <v/>
      </c>
      <c r="H3766" s="8">
        <f>IFERROR(IF(ISNUMBER(B3766),MAX(B3766,IFERROR(H3765,B3766)),""),"")</f>
        <v/>
      </c>
      <c r="I3766" s="29">
        <f>IFERROR(IF(AND(ISNUMBER(B3766),ISNUMBER(H3766)),B3766/H3766-1,""),"")</f>
        <v/>
      </c>
      <c r="J3766" s="8">
        <f>IFERROR(IF(ISNUMBER(C3766),MAX(C3766,IFERROR(J3765,C3766)),""),"")</f>
        <v/>
      </c>
      <c r="K3766" s="29">
        <f>IFERROR(IF(AND(ISNUMBER(C3766),ISNUMBER(J3766)),C3766/J3766-1,""),"")</f>
        <v/>
      </c>
      <c r="L3766" s="28">
        <f>IFERROR(IF(AND(ISNUMBER(D3766),ISNUMBER(E3766)),D3766-E3766,""),"")</f>
        <v/>
      </c>
    </row>
    <row r="3767">
      <c r="A3767" s="7">
        <f>IFERROR(Datos!A3767,"")</f>
        <v/>
      </c>
      <c r="B3767" s="8">
        <f>IFERROR(Datos!B3767,"")</f>
        <v/>
      </c>
      <c r="C3767" s="8">
        <f>IFERROR(Datos!C3767,"")</f>
        <v/>
      </c>
      <c r="D3767" s="28">
        <f>IFERROR(IF(AND(ISNUMBER(B3767),ISNUMBER(B3766),B3766&lt;&gt;0),B3767/B3766-1,""),"")</f>
        <v/>
      </c>
      <c r="E3767" s="28">
        <f>IFERROR(IF(AND(ISNUMBER(C3767),ISNUMBER(C3766),C3766&lt;&gt;0),C3767/C3766-1,""),"")</f>
        <v/>
      </c>
      <c r="F3767" s="28">
        <f>IFERROR(D3767-Dashboard!$B$4/252,"")</f>
        <v/>
      </c>
      <c r="G3767" s="28">
        <f>IFERROR(E3767-Dashboard!$B$4/252,"")</f>
        <v/>
      </c>
      <c r="H3767" s="8">
        <f>IFERROR(IF(ISNUMBER(B3767),MAX(B3767,IFERROR(H3766,B3767)),""),"")</f>
        <v/>
      </c>
      <c r="I3767" s="29">
        <f>IFERROR(IF(AND(ISNUMBER(B3767),ISNUMBER(H3767)),B3767/H3767-1,""),"")</f>
        <v/>
      </c>
      <c r="J3767" s="8">
        <f>IFERROR(IF(ISNUMBER(C3767),MAX(C3767,IFERROR(J3766,C3767)),""),"")</f>
        <v/>
      </c>
      <c r="K3767" s="29">
        <f>IFERROR(IF(AND(ISNUMBER(C3767),ISNUMBER(J3767)),C3767/J3767-1,""),"")</f>
        <v/>
      </c>
      <c r="L3767" s="28">
        <f>IFERROR(IF(AND(ISNUMBER(D3767),ISNUMBER(E3767)),D3767-E3767,""),"")</f>
        <v/>
      </c>
    </row>
    <row r="3768">
      <c r="A3768" s="7">
        <f>IFERROR(Datos!A3768,"")</f>
        <v/>
      </c>
      <c r="B3768" s="8">
        <f>IFERROR(Datos!B3768,"")</f>
        <v/>
      </c>
      <c r="C3768" s="8">
        <f>IFERROR(Datos!C3768,"")</f>
        <v/>
      </c>
      <c r="D3768" s="28">
        <f>IFERROR(IF(AND(ISNUMBER(B3768),ISNUMBER(B3767),B3767&lt;&gt;0),B3768/B3767-1,""),"")</f>
        <v/>
      </c>
      <c r="E3768" s="28">
        <f>IFERROR(IF(AND(ISNUMBER(C3768),ISNUMBER(C3767),C3767&lt;&gt;0),C3768/C3767-1,""),"")</f>
        <v/>
      </c>
      <c r="F3768" s="28">
        <f>IFERROR(D3768-Dashboard!$B$4/252,"")</f>
        <v/>
      </c>
      <c r="G3768" s="28">
        <f>IFERROR(E3768-Dashboard!$B$4/252,"")</f>
        <v/>
      </c>
      <c r="H3768" s="8">
        <f>IFERROR(IF(ISNUMBER(B3768),MAX(B3768,IFERROR(H3767,B3768)),""),"")</f>
        <v/>
      </c>
      <c r="I3768" s="29">
        <f>IFERROR(IF(AND(ISNUMBER(B3768),ISNUMBER(H3768)),B3768/H3768-1,""),"")</f>
        <v/>
      </c>
      <c r="J3768" s="8">
        <f>IFERROR(IF(ISNUMBER(C3768),MAX(C3768,IFERROR(J3767,C3768)),""),"")</f>
        <v/>
      </c>
      <c r="K3768" s="29">
        <f>IFERROR(IF(AND(ISNUMBER(C3768),ISNUMBER(J3768)),C3768/J3768-1,""),"")</f>
        <v/>
      </c>
      <c r="L3768" s="28">
        <f>IFERROR(IF(AND(ISNUMBER(D3768),ISNUMBER(E3768)),D3768-E3768,""),"")</f>
        <v/>
      </c>
    </row>
    <row r="3769">
      <c r="A3769" s="7">
        <f>IFERROR(Datos!A3769,"")</f>
        <v/>
      </c>
      <c r="B3769" s="8">
        <f>IFERROR(Datos!B3769,"")</f>
        <v/>
      </c>
      <c r="C3769" s="8">
        <f>IFERROR(Datos!C3769,"")</f>
        <v/>
      </c>
      <c r="D3769" s="28">
        <f>IFERROR(IF(AND(ISNUMBER(B3769),ISNUMBER(B3768),B3768&lt;&gt;0),B3769/B3768-1,""),"")</f>
        <v/>
      </c>
      <c r="E3769" s="28">
        <f>IFERROR(IF(AND(ISNUMBER(C3769),ISNUMBER(C3768),C3768&lt;&gt;0),C3769/C3768-1,""),"")</f>
        <v/>
      </c>
      <c r="F3769" s="28">
        <f>IFERROR(D3769-Dashboard!$B$4/252,"")</f>
        <v/>
      </c>
      <c r="G3769" s="28">
        <f>IFERROR(E3769-Dashboard!$B$4/252,"")</f>
        <v/>
      </c>
      <c r="H3769" s="8">
        <f>IFERROR(IF(ISNUMBER(B3769),MAX(B3769,IFERROR(H3768,B3769)),""),"")</f>
        <v/>
      </c>
      <c r="I3769" s="29">
        <f>IFERROR(IF(AND(ISNUMBER(B3769),ISNUMBER(H3769)),B3769/H3769-1,""),"")</f>
        <v/>
      </c>
      <c r="J3769" s="8">
        <f>IFERROR(IF(ISNUMBER(C3769),MAX(C3769,IFERROR(J3768,C3769)),""),"")</f>
        <v/>
      </c>
      <c r="K3769" s="29">
        <f>IFERROR(IF(AND(ISNUMBER(C3769),ISNUMBER(J3769)),C3769/J3769-1,""),"")</f>
        <v/>
      </c>
      <c r="L3769" s="28">
        <f>IFERROR(IF(AND(ISNUMBER(D3769),ISNUMBER(E3769)),D3769-E3769,""),"")</f>
        <v/>
      </c>
    </row>
    <row r="3770">
      <c r="A3770" s="7">
        <f>IFERROR(Datos!A3770,"")</f>
        <v/>
      </c>
      <c r="B3770" s="8">
        <f>IFERROR(Datos!B3770,"")</f>
        <v/>
      </c>
      <c r="C3770" s="8">
        <f>IFERROR(Datos!C3770,"")</f>
        <v/>
      </c>
      <c r="D3770" s="28">
        <f>IFERROR(IF(AND(ISNUMBER(B3770),ISNUMBER(B3769),B3769&lt;&gt;0),B3770/B3769-1,""),"")</f>
        <v/>
      </c>
      <c r="E3770" s="28">
        <f>IFERROR(IF(AND(ISNUMBER(C3770),ISNUMBER(C3769),C3769&lt;&gt;0),C3770/C3769-1,""),"")</f>
        <v/>
      </c>
      <c r="F3770" s="28">
        <f>IFERROR(D3770-Dashboard!$B$4/252,"")</f>
        <v/>
      </c>
      <c r="G3770" s="28">
        <f>IFERROR(E3770-Dashboard!$B$4/252,"")</f>
        <v/>
      </c>
      <c r="H3770" s="8">
        <f>IFERROR(IF(ISNUMBER(B3770),MAX(B3770,IFERROR(H3769,B3770)),""),"")</f>
        <v/>
      </c>
      <c r="I3770" s="29">
        <f>IFERROR(IF(AND(ISNUMBER(B3770),ISNUMBER(H3770)),B3770/H3770-1,""),"")</f>
        <v/>
      </c>
      <c r="J3770" s="8">
        <f>IFERROR(IF(ISNUMBER(C3770),MAX(C3770,IFERROR(J3769,C3770)),""),"")</f>
        <v/>
      </c>
      <c r="K3770" s="29">
        <f>IFERROR(IF(AND(ISNUMBER(C3770),ISNUMBER(J3770)),C3770/J3770-1,""),"")</f>
        <v/>
      </c>
      <c r="L3770" s="28">
        <f>IFERROR(IF(AND(ISNUMBER(D3770),ISNUMBER(E3770)),D3770-E3770,""),"")</f>
        <v/>
      </c>
    </row>
    <row r="3771">
      <c r="A3771" s="7">
        <f>IFERROR(Datos!A3771,"")</f>
        <v/>
      </c>
      <c r="B3771" s="8">
        <f>IFERROR(Datos!B3771,"")</f>
        <v/>
      </c>
      <c r="C3771" s="8">
        <f>IFERROR(Datos!C3771,"")</f>
        <v/>
      </c>
      <c r="D3771" s="28">
        <f>IFERROR(IF(AND(ISNUMBER(B3771),ISNUMBER(B3770),B3770&lt;&gt;0),B3771/B3770-1,""),"")</f>
        <v/>
      </c>
      <c r="E3771" s="28">
        <f>IFERROR(IF(AND(ISNUMBER(C3771),ISNUMBER(C3770),C3770&lt;&gt;0),C3771/C3770-1,""),"")</f>
        <v/>
      </c>
      <c r="F3771" s="28">
        <f>IFERROR(D3771-Dashboard!$B$4/252,"")</f>
        <v/>
      </c>
      <c r="G3771" s="28">
        <f>IFERROR(E3771-Dashboard!$B$4/252,"")</f>
        <v/>
      </c>
      <c r="H3771" s="8">
        <f>IFERROR(IF(ISNUMBER(B3771),MAX(B3771,IFERROR(H3770,B3771)),""),"")</f>
        <v/>
      </c>
      <c r="I3771" s="29">
        <f>IFERROR(IF(AND(ISNUMBER(B3771),ISNUMBER(H3771)),B3771/H3771-1,""),"")</f>
        <v/>
      </c>
      <c r="J3771" s="8">
        <f>IFERROR(IF(ISNUMBER(C3771),MAX(C3771,IFERROR(J3770,C3771)),""),"")</f>
        <v/>
      </c>
      <c r="K3771" s="29">
        <f>IFERROR(IF(AND(ISNUMBER(C3771),ISNUMBER(J3771)),C3771/J3771-1,""),"")</f>
        <v/>
      </c>
      <c r="L3771" s="28">
        <f>IFERROR(IF(AND(ISNUMBER(D3771),ISNUMBER(E3771)),D3771-E3771,""),"")</f>
        <v/>
      </c>
    </row>
    <row r="3772">
      <c r="A3772" s="7">
        <f>IFERROR(Datos!A3772,"")</f>
        <v/>
      </c>
      <c r="B3772" s="8">
        <f>IFERROR(Datos!B3772,"")</f>
        <v/>
      </c>
      <c r="C3772" s="8">
        <f>IFERROR(Datos!C3772,"")</f>
        <v/>
      </c>
      <c r="D3772" s="28">
        <f>IFERROR(IF(AND(ISNUMBER(B3772),ISNUMBER(B3771),B3771&lt;&gt;0),B3772/B3771-1,""),"")</f>
        <v/>
      </c>
      <c r="E3772" s="28">
        <f>IFERROR(IF(AND(ISNUMBER(C3772),ISNUMBER(C3771),C3771&lt;&gt;0),C3772/C3771-1,""),"")</f>
        <v/>
      </c>
      <c r="F3772" s="28">
        <f>IFERROR(D3772-Dashboard!$B$4/252,"")</f>
        <v/>
      </c>
      <c r="G3772" s="28">
        <f>IFERROR(E3772-Dashboard!$B$4/252,"")</f>
        <v/>
      </c>
      <c r="H3772" s="8">
        <f>IFERROR(IF(ISNUMBER(B3772),MAX(B3772,IFERROR(H3771,B3772)),""),"")</f>
        <v/>
      </c>
      <c r="I3772" s="29">
        <f>IFERROR(IF(AND(ISNUMBER(B3772),ISNUMBER(H3772)),B3772/H3772-1,""),"")</f>
        <v/>
      </c>
      <c r="J3772" s="8">
        <f>IFERROR(IF(ISNUMBER(C3772),MAX(C3772,IFERROR(J3771,C3772)),""),"")</f>
        <v/>
      </c>
      <c r="K3772" s="29">
        <f>IFERROR(IF(AND(ISNUMBER(C3772),ISNUMBER(J3772)),C3772/J3772-1,""),"")</f>
        <v/>
      </c>
      <c r="L3772" s="28">
        <f>IFERROR(IF(AND(ISNUMBER(D3772),ISNUMBER(E3772)),D3772-E3772,""),"")</f>
        <v/>
      </c>
    </row>
    <row r="3773">
      <c r="A3773" s="7">
        <f>IFERROR(Datos!A3773,"")</f>
        <v/>
      </c>
      <c r="B3773" s="8">
        <f>IFERROR(Datos!B3773,"")</f>
        <v/>
      </c>
      <c r="C3773" s="8">
        <f>IFERROR(Datos!C3773,"")</f>
        <v/>
      </c>
      <c r="D3773" s="28">
        <f>IFERROR(IF(AND(ISNUMBER(B3773),ISNUMBER(B3772),B3772&lt;&gt;0),B3773/B3772-1,""),"")</f>
        <v/>
      </c>
      <c r="E3773" s="28">
        <f>IFERROR(IF(AND(ISNUMBER(C3773),ISNUMBER(C3772),C3772&lt;&gt;0),C3773/C3772-1,""),"")</f>
        <v/>
      </c>
      <c r="F3773" s="28">
        <f>IFERROR(D3773-Dashboard!$B$4/252,"")</f>
        <v/>
      </c>
      <c r="G3773" s="28">
        <f>IFERROR(E3773-Dashboard!$B$4/252,"")</f>
        <v/>
      </c>
      <c r="H3773" s="8">
        <f>IFERROR(IF(ISNUMBER(B3773),MAX(B3773,IFERROR(H3772,B3773)),""),"")</f>
        <v/>
      </c>
      <c r="I3773" s="29">
        <f>IFERROR(IF(AND(ISNUMBER(B3773),ISNUMBER(H3773)),B3773/H3773-1,""),"")</f>
        <v/>
      </c>
      <c r="J3773" s="8">
        <f>IFERROR(IF(ISNUMBER(C3773),MAX(C3773,IFERROR(J3772,C3773)),""),"")</f>
        <v/>
      </c>
      <c r="K3773" s="29">
        <f>IFERROR(IF(AND(ISNUMBER(C3773),ISNUMBER(J3773)),C3773/J3773-1,""),"")</f>
        <v/>
      </c>
      <c r="L3773" s="28">
        <f>IFERROR(IF(AND(ISNUMBER(D3773),ISNUMBER(E3773)),D3773-E3773,""),"")</f>
        <v/>
      </c>
    </row>
    <row r="3774">
      <c r="A3774" s="7">
        <f>IFERROR(Datos!A3774,"")</f>
        <v/>
      </c>
      <c r="B3774" s="8">
        <f>IFERROR(Datos!B3774,"")</f>
        <v/>
      </c>
      <c r="C3774" s="8">
        <f>IFERROR(Datos!C3774,"")</f>
        <v/>
      </c>
      <c r="D3774" s="28">
        <f>IFERROR(IF(AND(ISNUMBER(B3774),ISNUMBER(B3773),B3773&lt;&gt;0),B3774/B3773-1,""),"")</f>
        <v/>
      </c>
      <c r="E3774" s="28">
        <f>IFERROR(IF(AND(ISNUMBER(C3774),ISNUMBER(C3773),C3773&lt;&gt;0),C3774/C3773-1,""),"")</f>
        <v/>
      </c>
      <c r="F3774" s="28">
        <f>IFERROR(D3774-Dashboard!$B$4/252,"")</f>
        <v/>
      </c>
      <c r="G3774" s="28">
        <f>IFERROR(E3774-Dashboard!$B$4/252,"")</f>
        <v/>
      </c>
      <c r="H3774" s="8">
        <f>IFERROR(IF(ISNUMBER(B3774),MAX(B3774,IFERROR(H3773,B3774)),""),"")</f>
        <v/>
      </c>
      <c r="I3774" s="29">
        <f>IFERROR(IF(AND(ISNUMBER(B3774),ISNUMBER(H3774)),B3774/H3774-1,""),"")</f>
        <v/>
      </c>
      <c r="J3774" s="8">
        <f>IFERROR(IF(ISNUMBER(C3774),MAX(C3774,IFERROR(J3773,C3774)),""),"")</f>
        <v/>
      </c>
      <c r="K3774" s="29">
        <f>IFERROR(IF(AND(ISNUMBER(C3774),ISNUMBER(J3774)),C3774/J3774-1,""),"")</f>
        <v/>
      </c>
      <c r="L3774" s="28">
        <f>IFERROR(IF(AND(ISNUMBER(D3774),ISNUMBER(E3774)),D3774-E3774,""),"")</f>
        <v/>
      </c>
    </row>
    <row r="3775">
      <c r="A3775" s="7">
        <f>IFERROR(Datos!A3775,"")</f>
        <v/>
      </c>
      <c r="B3775" s="8">
        <f>IFERROR(Datos!B3775,"")</f>
        <v/>
      </c>
      <c r="C3775" s="8">
        <f>IFERROR(Datos!C3775,"")</f>
        <v/>
      </c>
      <c r="D3775" s="28">
        <f>IFERROR(IF(AND(ISNUMBER(B3775),ISNUMBER(B3774),B3774&lt;&gt;0),B3775/B3774-1,""),"")</f>
        <v/>
      </c>
      <c r="E3775" s="28">
        <f>IFERROR(IF(AND(ISNUMBER(C3775),ISNUMBER(C3774),C3774&lt;&gt;0),C3775/C3774-1,""),"")</f>
        <v/>
      </c>
      <c r="F3775" s="28">
        <f>IFERROR(D3775-Dashboard!$B$4/252,"")</f>
        <v/>
      </c>
      <c r="G3775" s="28">
        <f>IFERROR(E3775-Dashboard!$B$4/252,"")</f>
        <v/>
      </c>
      <c r="H3775" s="8">
        <f>IFERROR(IF(ISNUMBER(B3775),MAX(B3775,IFERROR(H3774,B3775)),""),"")</f>
        <v/>
      </c>
      <c r="I3775" s="29">
        <f>IFERROR(IF(AND(ISNUMBER(B3775),ISNUMBER(H3775)),B3775/H3775-1,""),"")</f>
        <v/>
      </c>
      <c r="J3775" s="8">
        <f>IFERROR(IF(ISNUMBER(C3775),MAX(C3775,IFERROR(J3774,C3775)),""),"")</f>
        <v/>
      </c>
      <c r="K3775" s="29">
        <f>IFERROR(IF(AND(ISNUMBER(C3775),ISNUMBER(J3775)),C3775/J3775-1,""),"")</f>
        <v/>
      </c>
      <c r="L3775" s="28">
        <f>IFERROR(IF(AND(ISNUMBER(D3775),ISNUMBER(E3775)),D3775-E3775,""),"")</f>
        <v/>
      </c>
    </row>
    <row r="3776">
      <c r="A3776" s="7">
        <f>IFERROR(Datos!A3776,"")</f>
        <v/>
      </c>
      <c r="B3776" s="8">
        <f>IFERROR(Datos!B3776,"")</f>
        <v/>
      </c>
      <c r="C3776" s="8">
        <f>IFERROR(Datos!C3776,"")</f>
        <v/>
      </c>
      <c r="D3776" s="28">
        <f>IFERROR(IF(AND(ISNUMBER(B3776),ISNUMBER(B3775),B3775&lt;&gt;0),B3776/B3775-1,""),"")</f>
        <v/>
      </c>
      <c r="E3776" s="28">
        <f>IFERROR(IF(AND(ISNUMBER(C3776),ISNUMBER(C3775),C3775&lt;&gt;0),C3776/C3775-1,""),"")</f>
        <v/>
      </c>
      <c r="F3776" s="28">
        <f>IFERROR(D3776-Dashboard!$B$4/252,"")</f>
        <v/>
      </c>
      <c r="G3776" s="28">
        <f>IFERROR(E3776-Dashboard!$B$4/252,"")</f>
        <v/>
      </c>
      <c r="H3776" s="8">
        <f>IFERROR(IF(ISNUMBER(B3776),MAX(B3776,IFERROR(H3775,B3776)),""),"")</f>
        <v/>
      </c>
      <c r="I3776" s="29">
        <f>IFERROR(IF(AND(ISNUMBER(B3776),ISNUMBER(H3776)),B3776/H3776-1,""),"")</f>
        <v/>
      </c>
      <c r="J3776" s="8">
        <f>IFERROR(IF(ISNUMBER(C3776),MAX(C3776,IFERROR(J3775,C3776)),""),"")</f>
        <v/>
      </c>
      <c r="K3776" s="29">
        <f>IFERROR(IF(AND(ISNUMBER(C3776),ISNUMBER(J3776)),C3776/J3776-1,""),"")</f>
        <v/>
      </c>
      <c r="L3776" s="28">
        <f>IFERROR(IF(AND(ISNUMBER(D3776),ISNUMBER(E3776)),D3776-E3776,""),"")</f>
        <v/>
      </c>
    </row>
    <row r="3777">
      <c r="A3777" s="7">
        <f>IFERROR(Datos!A3777,"")</f>
        <v/>
      </c>
      <c r="B3777" s="8">
        <f>IFERROR(Datos!B3777,"")</f>
        <v/>
      </c>
      <c r="C3777" s="8">
        <f>IFERROR(Datos!C3777,"")</f>
        <v/>
      </c>
      <c r="D3777" s="28">
        <f>IFERROR(IF(AND(ISNUMBER(B3777),ISNUMBER(B3776),B3776&lt;&gt;0),B3777/B3776-1,""),"")</f>
        <v/>
      </c>
      <c r="E3777" s="28">
        <f>IFERROR(IF(AND(ISNUMBER(C3777),ISNUMBER(C3776),C3776&lt;&gt;0),C3777/C3776-1,""),"")</f>
        <v/>
      </c>
      <c r="F3777" s="28">
        <f>IFERROR(D3777-Dashboard!$B$4/252,"")</f>
        <v/>
      </c>
      <c r="G3777" s="28">
        <f>IFERROR(E3777-Dashboard!$B$4/252,"")</f>
        <v/>
      </c>
      <c r="H3777" s="8">
        <f>IFERROR(IF(ISNUMBER(B3777),MAX(B3777,IFERROR(H3776,B3777)),""),"")</f>
        <v/>
      </c>
      <c r="I3777" s="29">
        <f>IFERROR(IF(AND(ISNUMBER(B3777),ISNUMBER(H3777)),B3777/H3777-1,""),"")</f>
        <v/>
      </c>
      <c r="J3777" s="8">
        <f>IFERROR(IF(ISNUMBER(C3777),MAX(C3777,IFERROR(J3776,C3777)),""),"")</f>
        <v/>
      </c>
      <c r="K3777" s="29">
        <f>IFERROR(IF(AND(ISNUMBER(C3777),ISNUMBER(J3777)),C3777/J3777-1,""),"")</f>
        <v/>
      </c>
      <c r="L3777" s="28">
        <f>IFERROR(IF(AND(ISNUMBER(D3777),ISNUMBER(E3777)),D3777-E3777,""),"")</f>
        <v/>
      </c>
    </row>
    <row r="3778">
      <c r="A3778" s="7">
        <f>IFERROR(Datos!A3778,"")</f>
        <v/>
      </c>
      <c r="B3778" s="8">
        <f>IFERROR(Datos!B3778,"")</f>
        <v/>
      </c>
      <c r="C3778" s="8">
        <f>IFERROR(Datos!C3778,"")</f>
        <v/>
      </c>
      <c r="D3778" s="28">
        <f>IFERROR(IF(AND(ISNUMBER(B3778),ISNUMBER(B3777),B3777&lt;&gt;0),B3778/B3777-1,""),"")</f>
        <v/>
      </c>
      <c r="E3778" s="28">
        <f>IFERROR(IF(AND(ISNUMBER(C3778),ISNUMBER(C3777),C3777&lt;&gt;0),C3778/C3777-1,""),"")</f>
        <v/>
      </c>
      <c r="F3778" s="28">
        <f>IFERROR(D3778-Dashboard!$B$4/252,"")</f>
        <v/>
      </c>
      <c r="G3778" s="28">
        <f>IFERROR(E3778-Dashboard!$B$4/252,"")</f>
        <v/>
      </c>
      <c r="H3778" s="8">
        <f>IFERROR(IF(ISNUMBER(B3778),MAX(B3778,IFERROR(H3777,B3778)),""),"")</f>
        <v/>
      </c>
      <c r="I3778" s="29">
        <f>IFERROR(IF(AND(ISNUMBER(B3778),ISNUMBER(H3778)),B3778/H3778-1,""),"")</f>
        <v/>
      </c>
      <c r="J3778" s="8">
        <f>IFERROR(IF(ISNUMBER(C3778),MAX(C3778,IFERROR(J3777,C3778)),""),"")</f>
        <v/>
      </c>
      <c r="K3778" s="29">
        <f>IFERROR(IF(AND(ISNUMBER(C3778),ISNUMBER(J3778)),C3778/J3778-1,""),"")</f>
        <v/>
      </c>
      <c r="L3778" s="28">
        <f>IFERROR(IF(AND(ISNUMBER(D3778),ISNUMBER(E3778)),D3778-E3778,""),"")</f>
        <v/>
      </c>
    </row>
    <row r="3779">
      <c r="A3779" s="7">
        <f>IFERROR(Datos!A3779,"")</f>
        <v/>
      </c>
      <c r="B3779" s="8">
        <f>IFERROR(Datos!B3779,"")</f>
        <v/>
      </c>
      <c r="C3779" s="8">
        <f>IFERROR(Datos!C3779,"")</f>
        <v/>
      </c>
      <c r="D3779" s="28">
        <f>IFERROR(IF(AND(ISNUMBER(B3779),ISNUMBER(B3778),B3778&lt;&gt;0),B3779/B3778-1,""),"")</f>
        <v/>
      </c>
      <c r="E3779" s="28">
        <f>IFERROR(IF(AND(ISNUMBER(C3779),ISNUMBER(C3778),C3778&lt;&gt;0),C3779/C3778-1,""),"")</f>
        <v/>
      </c>
      <c r="F3779" s="28">
        <f>IFERROR(D3779-Dashboard!$B$4/252,"")</f>
        <v/>
      </c>
      <c r="G3779" s="28">
        <f>IFERROR(E3779-Dashboard!$B$4/252,"")</f>
        <v/>
      </c>
      <c r="H3779" s="8">
        <f>IFERROR(IF(ISNUMBER(B3779),MAX(B3779,IFERROR(H3778,B3779)),""),"")</f>
        <v/>
      </c>
      <c r="I3779" s="29">
        <f>IFERROR(IF(AND(ISNUMBER(B3779),ISNUMBER(H3779)),B3779/H3779-1,""),"")</f>
        <v/>
      </c>
      <c r="J3779" s="8">
        <f>IFERROR(IF(ISNUMBER(C3779),MAX(C3779,IFERROR(J3778,C3779)),""),"")</f>
        <v/>
      </c>
      <c r="K3779" s="29">
        <f>IFERROR(IF(AND(ISNUMBER(C3779),ISNUMBER(J3779)),C3779/J3779-1,""),"")</f>
        <v/>
      </c>
      <c r="L3779" s="28">
        <f>IFERROR(IF(AND(ISNUMBER(D3779),ISNUMBER(E3779)),D3779-E3779,""),"")</f>
        <v/>
      </c>
    </row>
    <row r="3780">
      <c r="A3780" s="7">
        <f>IFERROR(Datos!A3780,"")</f>
        <v/>
      </c>
      <c r="B3780" s="8">
        <f>IFERROR(Datos!B3780,"")</f>
        <v/>
      </c>
      <c r="C3780" s="8">
        <f>IFERROR(Datos!C3780,"")</f>
        <v/>
      </c>
      <c r="D3780" s="28">
        <f>IFERROR(IF(AND(ISNUMBER(B3780),ISNUMBER(B3779),B3779&lt;&gt;0),B3780/B3779-1,""),"")</f>
        <v/>
      </c>
      <c r="E3780" s="28">
        <f>IFERROR(IF(AND(ISNUMBER(C3780),ISNUMBER(C3779),C3779&lt;&gt;0),C3780/C3779-1,""),"")</f>
        <v/>
      </c>
      <c r="F3780" s="28">
        <f>IFERROR(D3780-Dashboard!$B$4/252,"")</f>
        <v/>
      </c>
      <c r="G3780" s="28">
        <f>IFERROR(E3780-Dashboard!$B$4/252,"")</f>
        <v/>
      </c>
      <c r="H3780" s="8">
        <f>IFERROR(IF(ISNUMBER(B3780),MAX(B3780,IFERROR(H3779,B3780)),""),"")</f>
        <v/>
      </c>
      <c r="I3780" s="29">
        <f>IFERROR(IF(AND(ISNUMBER(B3780),ISNUMBER(H3780)),B3780/H3780-1,""),"")</f>
        <v/>
      </c>
      <c r="J3780" s="8">
        <f>IFERROR(IF(ISNUMBER(C3780),MAX(C3780,IFERROR(J3779,C3780)),""),"")</f>
        <v/>
      </c>
      <c r="K3780" s="29">
        <f>IFERROR(IF(AND(ISNUMBER(C3780),ISNUMBER(J3780)),C3780/J3780-1,""),"")</f>
        <v/>
      </c>
      <c r="L3780" s="28">
        <f>IFERROR(IF(AND(ISNUMBER(D3780),ISNUMBER(E3780)),D3780-E3780,""),"")</f>
        <v/>
      </c>
    </row>
    <row r="3781">
      <c r="A3781" s="7">
        <f>IFERROR(Datos!A3781,"")</f>
        <v/>
      </c>
      <c r="B3781" s="8">
        <f>IFERROR(Datos!B3781,"")</f>
        <v/>
      </c>
      <c r="C3781" s="8">
        <f>IFERROR(Datos!C3781,"")</f>
        <v/>
      </c>
      <c r="D3781" s="28">
        <f>IFERROR(IF(AND(ISNUMBER(B3781),ISNUMBER(B3780),B3780&lt;&gt;0),B3781/B3780-1,""),"")</f>
        <v/>
      </c>
      <c r="E3781" s="28">
        <f>IFERROR(IF(AND(ISNUMBER(C3781),ISNUMBER(C3780),C3780&lt;&gt;0),C3781/C3780-1,""),"")</f>
        <v/>
      </c>
      <c r="F3781" s="28">
        <f>IFERROR(D3781-Dashboard!$B$4/252,"")</f>
        <v/>
      </c>
      <c r="G3781" s="28">
        <f>IFERROR(E3781-Dashboard!$B$4/252,"")</f>
        <v/>
      </c>
      <c r="H3781" s="8">
        <f>IFERROR(IF(ISNUMBER(B3781),MAX(B3781,IFERROR(H3780,B3781)),""),"")</f>
        <v/>
      </c>
      <c r="I3781" s="29">
        <f>IFERROR(IF(AND(ISNUMBER(B3781),ISNUMBER(H3781)),B3781/H3781-1,""),"")</f>
        <v/>
      </c>
      <c r="J3781" s="8">
        <f>IFERROR(IF(ISNUMBER(C3781),MAX(C3781,IFERROR(J3780,C3781)),""),"")</f>
        <v/>
      </c>
      <c r="K3781" s="29">
        <f>IFERROR(IF(AND(ISNUMBER(C3781),ISNUMBER(J3781)),C3781/J3781-1,""),"")</f>
        <v/>
      </c>
      <c r="L3781" s="28">
        <f>IFERROR(IF(AND(ISNUMBER(D3781),ISNUMBER(E3781)),D3781-E3781,""),"")</f>
        <v/>
      </c>
    </row>
    <row r="3782">
      <c r="A3782" s="7">
        <f>IFERROR(Datos!A3782,"")</f>
        <v/>
      </c>
      <c r="B3782" s="8">
        <f>IFERROR(Datos!B3782,"")</f>
        <v/>
      </c>
      <c r="C3782" s="8">
        <f>IFERROR(Datos!C3782,"")</f>
        <v/>
      </c>
      <c r="D3782" s="28">
        <f>IFERROR(IF(AND(ISNUMBER(B3782),ISNUMBER(B3781),B3781&lt;&gt;0),B3782/B3781-1,""),"")</f>
        <v/>
      </c>
      <c r="E3782" s="28">
        <f>IFERROR(IF(AND(ISNUMBER(C3782),ISNUMBER(C3781),C3781&lt;&gt;0),C3782/C3781-1,""),"")</f>
        <v/>
      </c>
      <c r="F3782" s="28">
        <f>IFERROR(D3782-Dashboard!$B$4/252,"")</f>
        <v/>
      </c>
      <c r="G3782" s="28">
        <f>IFERROR(E3782-Dashboard!$B$4/252,"")</f>
        <v/>
      </c>
      <c r="H3782" s="8">
        <f>IFERROR(IF(ISNUMBER(B3782),MAX(B3782,IFERROR(H3781,B3782)),""),"")</f>
        <v/>
      </c>
      <c r="I3782" s="29">
        <f>IFERROR(IF(AND(ISNUMBER(B3782),ISNUMBER(H3782)),B3782/H3782-1,""),"")</f>
        <v/>
      </c>
      <c r="J3782" s="8">
        <f>IFERROR(IF(ISNUMBER(C3782),MAX(C3782,IFERROR(J3781,C3782)),""),"")</f>
        <v/>
      </c>
      <c r="K3782" s="29">
        <f>IFERROR(IF(AND(ISNUMBER(C3782),ISNUMBER(J3782)),C3782/J3782-1,""),"")</f>
        <v/>
      </c>
      <c r="L3782" s="28">
        <f>IFERROR(IF(AND(ISNUMBER(D3782),ISNUMBER(E3782)),D3782-E3782,""),"")</f>
        <v/>
      </c>
    </row>
    <row r="3783">
      <c r="A3783" s="7">
        <f>IFERROR(Datos!A3783,"")</f>
        <v/>
      </c>
      <c r="B3783" s="8">
        <f>IFERROR(Datos!B3783,"")</f>
        <v/>
      </c>
      <c r="C3783" s="8">
        <f>IFERROR(Datos!C3783,"")</f>
        <v/>
      </c>
      <c r="D3783" s="28">
        <f>IFERROR(IF(AND(ISNUMBER(B3783),ISNUMBER(B3782),B3782&lt;&gt;0),B3783/B3782-1,""),"")</f>
        <v/>
      </c>
      <c r="E3783" s="28">
        <f>IFERROR(IF(AND(ISNUMBER(C3783),ISNUMBER(C3782),C3782&lt;&gt;0),C3783/C3782-1,""),"")</f>
        <v/>
      </c>
      <c r="F3783" s="28">
        <f>IFERROR(D3783-Dashboard!$B$4/252,"")</f>
        <v/>
      </c>
      <c r="G3783" s="28">
        <f>IFERROR(E3783-Dashboard!$B$4/252,"")</f>
        <v/>
      </c>
      <c r="H3783" s="8">
        <f>IFERROR(IF(ISNUMBER(B3783),MAX(B3783,IFERROR(H3782,B3783)),""),"")</f>
        <v/>
      </c>
      <c r="I3783" s="29">
        <f>IFERROR(IF(AND(ISNUMBER(B3783),ISNUMBER(H3783)),B3783/H3783-1,""),"")</f>
        <v/>
      </c>
      <c r="J3783" s="8">
        <f>IFERROR(IF(ISNUMBER(C3783),MAX(C3783,IFERROR(J3782,C3783)),""),"")</f>
        <v/>
      </c>
      <c r="K3783" s="29">
        <f>IFERROR(IF(AND(ISNUMBER(C3783),ISNUMBER(J3783)),C3783/J3783-1,""),"")</f>
        <v/>
      </c>
      <c r="L3783" s="28">
        <f>IFERROR(IF(AND(ISNUMBER(D3783),ISNUMBER(E3783)),D3783-E3783,""),"")</f>
        <v/>
      </c>
    </row>
    <row r="3784">
      <c r="A3784" s="7">
        <f>IFERROR(Datos!A3784,"")</f>
        <v/>
      </c>
      <c r="B3784" s="8">
        <f>IFERROR(Datos!B3784,"")</f>
        <v/>
      </c>
      <c r="C3784" s="8">
        <f>IFERROR(Datos!C3784,"")</f>
        <v/>
      </c>
      <c r="D3784" s="28">
        <f>IFERROR(IF(AND(ISNUMBER(B3784),ISNUMBER(B3783),B3783&lt;&gt;0),B3784/B3783-1,""),"")</f>
        <v/>
      </c>
      <c r="E3784" s="28">
        <f>IFERROR(IF(AND(ISNUMBER(C3784),ISNUMBER(C3783),C3783&lt;&gt;0),C3784/C3783-1,""),"")</f>
        <v/>
      </c>
      <c r="F3784" s="28">
        <f>IFERROR(D3784-Dashboard!$B$4/252,"")</f>
        <v/>
      </c>
      <c r="G3784" s="28">
        <f>IFERROR(E3784-Dashboard!$B$4/252,"")</f>
        <v/>
      </c>
      <c r="H3784" s="8">
        <f>IFERROR(IF(ISNUMBER(B3784),MAX(B3784,IFERROR(H3783,B3784)),""),"")</f>
        <v/>
      </c>
      <c r="I3784" s="29">
        <f>IFERROR(IF(AND(ISNUMBER(B3784),ISNUMBER(H3784)),B3784/H3784-1,""),"")</f>
        <v/>
      </c>
      <c r="J3784" s="8">
        <f>IFERROR(IF(ISNUMBER(C3784),MAX(C3784,IFERROR(J3783,C3784)),""),"")</f>
        <v/>
      </c>
      <c r="K3784" s="29">
        <f>IFERROR(IF(AND(ISNUMBER(C3784),ISNUMBER(J3784)),C3784/J3784-1,""),"")</f>
        <v/>
      </c>
      <c r="L3784" s="28">
        <f>IFERROR(IF(AND(ISNUMBER(D3784),ISNUMBER(E3784)),D3784-E3784,""),"")</f>
        <v/>
      </c>
    </row>
    <row r="3785">
      <c r="A3785" s="7">
        <f>IFERROR(Datos!A3785,"")</f>
        <v/>
      </c>
      <c r="B3785" s="8">
        <f>IFERROR(Datos!B3785,"")</f>
        <v/>
      </c>
      <c r="C3785" s="8">
        <f>IFERROR(Datos!C3785,"")</f>
        <v/>
      </c>
      <c r="D3785" s="28">
        <f>IFERROR(IF(AND(ISNUMBER(B3785),ISNUMBER(B3784),B3784&lt;&gt;0),B3785/B3784-1,""),"")</f>
        <v/>
      </c>
      <c r="E3785" s="28">
        <f>IFERROR(IF(AND(ISNUMBER(C3785),ISNUMBER(C3784),C3784&lt;&gt;0),C3785/C3784-1,""),"")</f>
        <v/>
      </c>
      <c r="F3785" s="28">
        <f>IFERROR(D3785-Dashboard!$B$4/252,"")</f>
        <v/>
      </c>
      <c r="G3785" s="28">
        <f>IFERROR(E3785-Dashboard!$B$4/252,"")</f>
        <v/>
      </c>
      <c r="H3785" s="8">
        <f>IFERROR(IF(ISNUMBER(B3785),MAX(B3785,IFERROR(H3784,B3785)),""),"")</f>
        <v/>
      </c>
      <c r="I3785" s="29">
        <f>IFERROR(IF(AND(ISNUMBER(B3785),ISNUMBER(H3785)),B3785/H3785-1,""),"")</f>
        <v/>
      </c>
      <c r="J3785" s="8">
        <f>IFERROR(IF(ISNUMBER(C3785),MAX(C3785,IFERROR(J3784,C3785)),""),"")</f>
        <v/>
      </c>
      <c r="K3785" s="29">
        <f>IFERROR(IF(AND(ISNUMBER(C3785),ISNUMBER(J3785)),C3785/J3785-1,""),"")</f>
        <v/>
      </c>
      <c r="L3785" s="28">
        <f>IFERROR(IF(AND(ISNUMBER(D3785),ISNUMBER(E3785)),D3785-E3785,""),"")</f>
        <v/>
      </c>
    </row>
    <row r="3786">
      <c r="A3786" s="7">
        <f>IFERROR(Datos!A3786,"")</f>
        <v/>
      </c>
      <c r="B3786" s="8">
        <f>IFERROR(Datos!B3786,"")</f>
        <v/>
      </c>
      <c r="C3786" s="8">
        <f>IFERROR(Datos!C3786,"")</f>
        <v/>
      </c>
      <c r="D3786" s="28">
        <f>IFERROR(IF(AND(ISNUMBER(B3786),ISNUMBER(B3785),B3785&lt;&gt;0),B3786/B3785-1,""),"")</f>
        <v/>
      </c>
      <c r="E3786" s="28">
        <f>IFERROR(IF(AND(ISNUMBER(C3786),ISNUMBER(C3785),C3785&lt;&gt;0),C3786/C3785-1,""),"")</f>
        <v/>
      </c>
      <c r="F3786" s="28">
        <f>IFERROR(D3786-Dashboard!$B$4/252,"")</f>
        <v/>
      </c>
      <c r="G3786" s="28">
        <f>IFERROR(E3786-Dashboard!$B$4/252,"")</f>
        <v/>
      </c>
      <c r="H3786" s="8">
        <f>IFERROR(IF(ISNUMBER(B3786),MAX(B3786,IFERROR(H3785,B3786)),""),"")</f>
        <v/>
      </c>
      <c r="I3786" s="29">
        <f>IFERROR(IF(AND(ISNUMBER(B3786),ISNUMBER(H3786)),B3786/H3786-1,""),"")</f>
        <v/>
      </c>
      <c r="J3786" s="8">
        <f>IFERROR(IF(ISNUMBER(C3786),MAX(C3786,IFERROR(J3785,C3786)),""),"")</f>
        <v/>
      </c>
      <c r="K3786" s="29">
        <f>IFERROR(IF(AND(ISNUMBER(C3786),ISNUMBER(J3786)),C3786/J3786-1,""),"")</f>
        <v/>
      </c>
      <c r="L3786" s="28">
        <f>IFERROR(IF(AND(ISNUMBER(D3786),ISNUMBER(E3786)),D3786-E3786,""),"")</f>
        <v/>
      </c>
    </row>
    <row r="3787">
      <c r="A3787" s="7">
        <f>IFERROR(Datos!A3787,"")</f>
        <v/>
      </c>
      <c r="B3787" s="8">
        <f>IFERROR(Datos!B3787,"")</f>
        <v/>
      </c>
      <c r="C3787" s="8">
        <f>IFERROR(Datos!C3787,"")</f>
        <v/>
      </c>
      <c r="D3787" s="28">
        <f>IFERROR(IF(AND(ISNUMBER(B3787),ISNUMBER(B3786),B3786&lt;&gt;0),B3787/B3786-1,""),"")</f>
        <v/>
      </c>
      <c r="E3787" s="28">
        <f>IFERROR(IF(AND(ISNUMBER(C3787),ISNUMBER(C3786),C3786&lt;&gt;0),C3787/C3786-1,""),"")</f>
        <v/>
      </c>
      <c r="F3787" s="28">
        <f>IFERROR(D3787-Dashboard!$B$4/252,"")</f>
        <v/>
      </c>
      <c r="G3787" s="28">
        <f>IFERROR(E3787-Dashboard!$B$4/252,"")</f>
        <v/>
      </c>
      <c r="H3787" s="8">
        <f>IFERROR(IF(ISNUMBER(B3787),MAX(B3787,IFERROR(H3786,B3787)),""),"")</f>
        <v/>
      </c>
      <c r="I3787" s="29">
        <f>IFERROR(IF(AND(ISNUMBER(B3787),ISNUMBER(H3787)),B3787/H3787-1,""),"")</f>
        <v/>
      </c>
      <c r="J3787" s="8">
        <f>IFERROR(IF(ISNUMBER(C3787),MAX(C3787,IFERROR(J3786,C3787)),""),"")</f>
        <v/>
      </c>
      <c r="K3787" s="29">
        <f>IFERROR(IF(AND(ISNUMBER(C3787),ISNUMBER(J3787)),C3787/J3787-1,""),"")</f>
        <v/>
      </c>
      <c r="L3787" s="28">
        <f>IFERROR(IF(AND(ISNUMBER(D3787),ISNUMBER(E3787)),D3787-E3787,""),"")</f>
        <v/>
      </c>
    </row>
    <row r="3788">
      <c r="A3788" s="7">
        <f>IFERROR(Datos!A3788,"")</f>
        <v/>
      </c>
      <c r="B3788" s="8">
        <f>IFERROR(Datos!B3788,"")</f>
        <v/>
      </c>
      <c r="C3788" s="8">
        <f>IFERROR(Datos!C3788,"")</f>
        <v/>
      </c>
      <c r="D3788" s="28">
        <f>IFERROR(IF(AND(ISNUMBER(B3788),ISNUMBER(B3787),B3787&lt;&gt;0),B3788/B3787-1,""),"")</f>
        <v/>
      </c>
      <c r="E3788" s="28">
        <f>IFERROR(IF(AND(ISNUMBER(C3788),ISNUMBER(C3787),C3787&lt;&gt;0),C3788/C3787-1,""),"")</f>
        <v/>
      </c>
      <c r="F3788" s="28">
        <f>IFERROR(D3788-Dashboard!$B$4/252,"")</f>
        <v/>
      </c>
      <c r="G3788" s="28">
        <f>IFERROR(E3788-Dashboard!$B$4/252,"")</f>
        <v/>
      </c>
      <c r="H3788" s="8">
        <f>IFERROR(IF(ISNUMBER(B3788),MAX(B3788,IFERROR(H3787,B3788)),""),"")</f>
        <v/>
      </c>
      <c r="I3788" s="29">
        <f>IFERROR(IF(AND(ISNUMBER(B3788),ISNUMBER(H3788)),B3788/H3788-1,""),"")</f>
        <v/>
      </c>
      <c r="J3788" s="8">
        <f>IFERROR(IF(ISNUMBER(C3788),MAX(C3788,IFERROR(J3787,C3788)),""),"")</f>
        <v/>
      </c>
      <c r="K3788" s="29">
        <f>IFERROR(IF(AND(ISNUMBER(C3788),ISNUMBER(J3788)),C3788/J3788-1,""),"")</f>
        <v/>
      </c>
      <c r="L3788" s="28">
        <f>IFERROR(IF(AND(ISNUMBER(D3788),ISNUMBER(E3788)),D3788-E3788,""),"")</f>
        <v/>
      </c>
    </row>
    <row r="3789">
      <c r="A3789" s="7">
        <f>IFERROR(Datos!A3789,"")</f>
        <v/>
      </c>
      <c r="B3789" s="8">
        <f>IFERROR(Datos!B3789,"")</f>
        <v/>
      </c>
      <c r="C3789" s="8">
        <f>IFERROR(Datos!C3789,"")</f>
        <v/>
      </c>
      <c r="D3789" s="28">
        <f>IFERROR(IF(AND(ISNUMBER(B3789),ISNUMBER(B3788),B3788&lt;&gt;0),B3789/B3788-1,""),"")</f>
        <v/>
      </c>
      <c r="E3789" s="28">
        <f>IFERROR(IF(AND(ISNUMBER(C3789),ISNUMBER(C3788),C3788&lt;&gt;0),C3789/C3788-1,""),"")</f>
        <v/>
      </c>
      <c r="F3789" s="28">
        <f>IFERROR(D3789-Dashboard!$B$4/252,"")</f>
        <v/>
      </c>
      <c r="G3789" s="28">
        <f>IFERROR(E3789-Dashboard!$B$4/252,"")</f>
        <v/>
      </c>
      <c r="H3789" s="8">
        <f>IFERROR(IF(ISNUMBER(B3789),MAX(B3789,IFERROR(H3788,B3789)),""),"")</f>
        <v/>
      </c>
      <c r="I3789" s="29">
        <f>IFERROR(IF(AND(ISNUMBER(B3789),ISNUMBER(H3789)),B3789/H3789-1,""),"")</f>
        <v/>
      </c>
      <c r="J3789" s="8">
        <f>IFERROR(IF(ISNUMBER(C3789),MAX(C3789,IFERROR(J3788,C3789)),""),"")</f>
        <v/>
      </c>
      <c r="K3789" s="29">
        <f>IFERROR(IF(AND(ISNUMBER(C3789),ISNUMBER(J3789)),C3789/J3789-1,""),"")</f>
        <v/>
      </c>
      <c r="L3789" s="28">
        <f>IFERROR(IF(AND(ISNUMBER(D3789),ISNUMBER(E3789)),D3789-E3789,""),"")</f>
        <v/>
      </c>
    </row>
    <row r="3790">
      <c r="A3790" s="7">
        <f>IFERROR(Datos!A3790,"")</f>
        <v/>
      </c>
      <c r="B3790" s="8">
        <f>IFERROR(Datos!B3790,"")</f>
        <v/>
      </c>
      <c r="C3790" s="8">
        <f>IFERROR(Datos!C3790,"")</f>
        <v/>
      </c>
      <c r="D3790" s="28">
        <f>IFERROR(IF(AND(ISNUMBER(B3790),ISNUMBER(B3789),B3789&lt;&gt;0),B3790/B3789-1,""),"")</f>
        <v/>
      </c>
      <c r="E3790" s="28">
        <f>IFERROR(IF(AND(ISNUMBER(C3790),ISNUMBER(C3789),C3789&lt;&gt;0),C3790/C3789-1,""),"")</f>
        <v/>
      </c>
      <c r="F3790" s="28">
        <f>IFERROR(D3790-Dashboard!$B$4/252,"")</f>
        <v/>
      </c>
      <c r="G3790" s="28">
        <f>IFERROR(E3790-Dashboard!$B$4/252,"")</f>
        <v/>
      </c>
      <c r="H3790" s="8">
        <f>IFERROR(IF(ISNUMBER(B3790),MAX(B3790,IFERROR(H3789,B3790)),""),"")</f>
        <v/>
      </c>
      <c r="I3790" s="29">
        <f>IFERROR(IF(AND(ISNUMBER(B3790),ISNUMBER(H3790)),B3790/H3790-1,""),"")</f>
        <v/>
      </c>
      <c r="J3790" s="8">
        <f>IFERROR(IF(ISNUMBER(C3790),MAX(C3790,IFERROR(J3789,C3790)),""),"")</f>
        <v/>
      </c>
      <c r="K3790" s="29">
        <f>IFERROR(IF(AND(ISNUMBER(C3790),ISNUMBER(J3790)),C3790/J3790-1,""),"")</f>
        <v/>
      </c>
      <c r="L3790" s="28">
        <f>IFERROR(IF(AND(ISNUMBER(D3790),ISNUMBER(E3790)),D3790-E3790,""),"")</f>
        <v/>
      </c>
    </row>
    <row r="3791">
      <c r="A3791" s="7">
        <f>IFERROR(Datos!A3791,"")</f>
        <v/>
      </c>
      <c r="B3791" s="8">
        <f>IFERROR(Datos!B3791,"")</f>
        <v/>
      </c>
      <c r="C3791" s="8">
        <f>IFERROR(Datos!C3791,"")</f>
        <v/>
      </c>
      <c r="D3791" s="28">
        <f>IFERROR(IF(AND(ISNUMBER(B3791),ISNUMBER(B3790),B3790&lt;&gt;0),B3791/B3790-1,""),"")</f>
        <v/>
      </c>
      <c r="E3791" s="28">
        <f>IFERROR(IF(AND(ISNUMBER(C3791),ISNUMBER(C3790),C3790&lt;&gt;0),C3791/C3790-1,""),"")</f>
        <v/>
      </c>
      <c r="F3791" s="28">
        <f>IFERROR(D3791-Dashboard!$B$4/252,"")</f>
        <v/>
      </c>
      <c r="G3791" s="28">
        <f>IFERROR(E3791-Dashboard!$B$4/252,"")</f>
        <v/>
      </c>
      <c r="H3791" s="8">
        <f>IFERROR(IF(ISNUMBER(B3791),MAX(B3791,IFERROR(H3790,B3791)),""),"")</f>
        <v/>
      </c>
      <c r="I3791" s="29">
        <f>IFERROR(IF(AND(ISNUMBER(B3791),ISNUMBER(H3791)),B3791/H3791-1,""),"")</f>
        <v/>
      </c>
      <c r="J3791" s="8">
        <f>IFERROR(IF(ISNUMBER(C3791),MAX(C3791,IFERROR(J3790,C3791)),""),"")</f>
        <v/>
      </c>
      <c r="K3791" s="29">
        <f>IFERROR(IF(AND(ISNUMBER(C3791),ISNUMBER(J3791)),C3791/J3791-1,""),"")</f>
        <v/>
      </c>
      <c r="L3791" s="28">
        <f>IFERROR(IF(AND(ISNUMBER(D3791),ISNUMBER(E3791)),D3791-E3791,""),"")</f>
        <v/>
      </c>
    </row>
    <row r="3792">
      <c r="A3792" s="7">
        <f>IFERROR(Datos!A3792,"")</f>
        <v/>
      </c>
      <c r="B3792" s="8">
        <f>IFERROR(Datos!B3792,"")</f>
        <v/>
      </c>
      <c r="C3792" s="8">
        <f>IFERROR(Datos!C3792,"")</f>
        <v/>
      </c>
      <c r="D3792" s="28">
        <f>IFERROR(IF(AND(ISNUMBER(B3792),ISNUMBER(B3791),B3791&lt;&gt;0),B3792/B3791-1,""),"")</f>
        <v/>
      </c>
      <c r="E3792" s="28">
        <f>IFERROR(IF(AND(ISNUMBER(C3792),ISNUMBER(C3791),C3791&lt;&gt;0),C3792/C3791-1,""),"")</f>
        <v/>
      </c>
      <c r="F3792" s="28">
        <f>IFERROR(D3792-Dashboard!$B$4/252,"")</f>
        <v/>
      </c>
      <c r="G3792" s="28">
        <f>IFERROR(E3792-Dashboard!$B$4/252,"")</f>
        <v/>
      </c>
      <c r="H3792" s="8">
        <f>IFERROR(IF(ISNUMBER(B3792),MAX(B3792,IFERROR(H3791,B3792)),""),"")</f>
        <v/>
      </c>
      <c r="I3792" s="29">
        <f>IFERROR(IF(AND(ISNUMBER(B3792),ISNUMBER(H3792)),B3792/H3792-1,""),"")</f>
        <v/>
      </c>
      <c r="J3792" s="8">
        <f>IFERROR(IF(ISNUMBER(C3792),MAX(C3792,IFERROR(J3791,C3792)),""),"")</f>
        <v/>
      </c>
      <c r="K3792" s="29">
        <f>IFERROR(IF(AND(ISNUMBER(C3792),ISNUMBER(J3792)),C3792/J3792-1,""),"")</f>
        <v/>
      </c>
      <c r="L3792" s="28">
        <f>IFERROR(IF(AND(ISNUMBER(D3792),ISNUMBER(E3792)),D3792-E3792,""),"")</f>
        <v/>
      </c>
    </row>
    <row r="3793">
      <c r="A3793" s="7">
        <f>IFERROR(Datos!A3793,"")</f>
        <v/>
      </c>
      <c r="B3793" s="8">
        <f>IFERROR(Datos!B3793,"")</f>
        <v/>
      </c>
      <c r="C3793" s="8">
        <f>IFERROR(Datos!C3793,"")</f>
        <v/>
      </c>
      <c r="D3793" s="28">
        <f>IFERROR(IF(AND(ISNUMBER(B3793),ISNUMBER(B3792),B3792&lt;&gt;0),B3793/B3792-1,""),"")</f>
        <v/>
      </c>
      <c r="E3793" s="28">
        <f>IFERROR(IF(AND(ISNUMBER(C3793),ISNUMBER(C3792),C3792&lt;&gt;0),C3793/C3792-1,""),"")</f>
        <v/>
      </c>
      <c r="F3793" s="28">
        <f>IFERROR(D3793-Dashboard!$B$4/252,"")</f>
        <v/>
      </c>
      <c r="G3793" s="28">
        <f>IFERROR(E3793-Dashboard!$B$4/252,"")</f>
        <v/>
      </c>
      <c r="H3793" s="8">
        <f>IFERROR(IF(ISNUMBER(B3793),MAX(B3793,IFERROR(H3792,B3793)),""),"")</f>
        <v/>
      </c>
      <c r="I3793" s="29">
        <f>IFERROR(IF(AND(ISNUMBER(B3793),ISNUMBER(H3793)),B3793/H3793-1,""),"")</f>
        <v/>
      </c>
      <c r="J3793" s="8">
        <f>IFERROR(IF(ISNUMBER(C3793),MAX(C3793,IFERROR(J3792,C3793)),""),"")</f>
        <v/>
      </c>
      <c r="K3793" s="29">
        <f>IFERROR(IF(AND(ISNUMBER(C3793),ISNUMBER(J3793)),C3793/J3793-1,""),"")</f>
        <v/>
      </c>
      <c r="L3793" s="28">
        <f>IFERROR(IF(AND(ISNUMBER(D3793),ISNUMBER(E3793)),D3793-E3793,""),"")</f>
        <v/>
      </c>
    </row>
    <row r="3794">
      <c r="A3794" s="7">
        <f>IFERROR(Datos!A3794,"")</f>
        <v/>
      </c>
      <c r="B3794" s="8">
        <f>IFERROR(Datos!B3794,"")</f>
        <v/>
      </c>
      <c r="C3794" s="8">
        <f>IFERROR(Datos!C3794,"")</f>
        <v/>
      </c>
      <c r="D3794" s="28">
        <f>IFERROR(IF(AND(ISNUMBER(B3794),ISNUMBER(B3793),B3793&lt;&gt;0),B3794/B3793-1,""),"")</f>
        <v/>
      </c>
      <c r="E3794" s="28">
        <f>IFERROR(IF(AND(ISNUMBER(C3794),ISNUMBER(C3793),C3793&lt;&gt;0),C3794/C3793-1,""),"")</f>
        <v/>
      </c>
      <c r="F3794" s="28">
        <f>IFERROR(D3794-Dashboard!$B$4/252,"")</f>
        <v/>
      </c>
      <c r="G3794" s="28">
        <f>IFERROR(E3794-Dashboard!$B$4/252,"")</f>
        <v/>
      </c>
      <c r="H3794" s="8">
        <f>IFERROR(IF(ISNUMBER(B3794),MAX(B3794,IFERROR(H3793,B3794)),""),"")</f>
        <v/>
      </c>
      <c r="I3794" s="29">
        <f>IFERROR(IF(AND(ISNUMBER(B3794),ISNUMBER(H3794)),B3794/H3794-1,""),"")</f>
        <v/>
      </c>
      <c r="J3794" s="8">
        <f>IFERROR(IF(ISNUMBER(C3794),MAX(C3794,IFERROR(J3793,C3794)),""),"")</f>
        <v/>
      </c>
      <c r="K3794" s="29">
        <f>IFERROR(IF(AND(ISNUMBER(C3794),ISNUMBER(J3794)),C3794/J3794-1,""),"")</f>
        <v/>
      </c>
      <c r="L3794" s="28">
        <f>IFERROR(IF(AND(ISNUMBER(D3794),ISNUMBER(E3794)),D3794-E3794,""),"")</f>
        <v/>
      </c>
    </row>
    <row r="3795">
      <c r="A3795" s="7">
        <f>IFERROR(Datos!A3795,"")</f>
        <v/>
      </c>
      <c r="B3795" s="8">
        <f>IFERROR(Datos!B3795,"")</f>
        <v/>
      </c>
      <c r="C3795" s="8">
        <f>IFERROR(Datos!C3795,"")</f>
        <v/>
      </c>
      <c r="D3795" s="28">
        <f>IFERROR(IF(AND(ISNUMBER(B3795),ISNUMBER(B3794),B3794&lt;&gt;0),B3795/B3794-1,""),"")</f>
        <v/>
      </c>
      <c r="E3795" s="28">
        <f>IFERROR(IF(AND(ISNUMBER(C3795),ISNUMBER(C3794),C3794&lt;&gt;0),C3795/C3794-1,""),"")</f>
        <v/>
      </c>
      <c r="F3795" s="28">
        <f>IFERROR(D3795-Dashboard!$B$4/252,"")</f>
        <v/>
      </c>
      <c r="G3795" s="28">
        <f>IFERROR(E3795-Dashboard!$B$4/252,"")</f>
        <v/>
      </c>
      <c r="H3795" s="8">
        <f>IFERROR(IF(ISNUMBER(B3795),MAX(B3795,IFERROR(H3794,B3795)),""),"")</f>
        <v/>
      </c>
      <c r="I3795" s="29">
        <f>IFERROR(IF(AND(ISNUMBER(B3795),ISNUMBER(H3795)),B3795/H3795-1,""),"")</f>
        <v/>
      </c>
      <c r="J3795" s="8">
        <f>IFERROR(IF(ISNUMBER(C3795),MAX(C3795,IFERROR(J3794,C3795)),""),"")</f>
        <v/>
      </c>
      <c r="K3795" s="29">
        <f>IFERROR(IF(AND(ISNUMBER(C3795),ISNUMBER(J3795)),C3795/J3795-1,""),"")</f>
        <v/>
      </c>
      <c r="L3795" s="28">
        <f>IFERROR(IF(AND(ISNUMBER(D3795),ISNUMBER(E3795)),D3795-E3795,""),"")</f>
        <v/>
      </c>
    </row>
    <row r="3796">
      <c r="A3796" s="7">
        <f>IFERROR(Datos!A3796,"")</f>
        <v/>
      </c>
      <c r="B3796" s="8">
        <f>IFERROR(Datos!B3796,"")</f>
        <v/>
      </c>
      <c r="C3796" s="8">
        <f>IFERROR(Datos!C3796,"")</f>
        <v/>
      </c>
      <c r="D3796" s="28">
        <f>IFERROR(IF(AND(ISNUMBER(B3796),ISNUMBER(B3795),B3795&lt;&gt;0),B3796/B3795-1,""),"")</f>
        <v/>
      </c>
      <c r="E3796" s="28">
        <f>IFERROR(IF(AND(ISNUMBER(C3796),ISNUMBER(C3795),C3795&lt;&gt;0),C3796/C3795-1,""),"")</f>
        <v/>
      </c>
      <c r="F3796" s="28">
        <f>IFERROR(D3796-Dashboard!$B$4/252,"")</f>
        <v/>
      </c>
      <c r="G3796" s="28">
        <f>IFERROR(E3796-Dashboard!$B$4/252,"")</f>
        <v/>
      </c>
      <c r="H3796" s="8">
        <f>IFERROR(IF(ISNUMBER(B3796),MAX(B3796,IFERROR(H3795,B3796)),""),"")</f>
        <v/>
      </c>
      <c r="I3796" s="29">
        <f>IFERROR(IF(AND(ISNUMBER(B3796),ISNUMBER(H3796)),B3796/H3796-1,""),"")</f>
        <v/>
      </c>
      <c r="J3796" s="8">
        <f>IFERROR(IF(ISNUMBER(C3796),MAX(C3796,IFERROR(J3795,C3796)),""),"")</f>
        <v/>
      </c>
      <c r="K3796" s="29">
        <f>IFERROR(IF(AND(ISNUMBER(C3796),ISNUMBER(J3796)),C3796/J3796-1,""),"")</f>
        <v/>
      </c>
      <c r="L3796" s="28">
        <f>IFERROR(IF(AND(ISNUMBER(D3796),ISNUMBER(E3796)),D3796-E3796,""),"")</f>
        <v/>
      </c>
    </row>
    <row r="3797">
      <c r="A3797" s="7">
        <f>IFERROR(Datos!A3797,"")</f>
        <v/>
      </c>
      <c r="B3797" s="8">
        <f>IFERROR(Datos!B3797,"")</f>
        <v/>
      </c>
      <c r="C3797" s="8">
        <f>IFERROR(Datos!C3797,"")</f>
        <v/>
      </c>
      <c r="D3797" s="28">
        <f>IFERROR(IF(AND(ISNUMBER(B3797),ISNUMBER(B3796),B3796&lt;&gt;0),B3797/B3796-1,""),"")</f>
        <v/>
      </c>
      <c r="E3797" s="28">
        <f>IFERROR(IF(AND(ISNUMBER(C3797),ISNUMBER(C3796),C3796&lt;&gt;0),C3797/C3796-1,""),"")</f>
        <v/>
      </c>
      <c r="F3797" s="28">
        <f>IFERROR(D3797-Dashboard!$B$4/252,"")</f>
        <v/>
      </c>
      <c r="G3797" s="28">
        <f>IFERROR(E3797-Dashboard!$B$4/252,"")</f>
        <v/>
      </c>
      <c r="H3797" s="8">
        <f>IFERROR(IF(ISNUMBER(B3797),MAX(B3797,IFERROR(H3796,B3797)),""),"")</f>
        <v/>
      </c>
      <c r="I3797" s="29">
        <f>IFERROR(IF(AND(ISNUMBER(B3797),ISNUMBER(H3797)),B3797/H3797-1,""),"")</f>
        <v/>
      </c>
      <c r="J3797" s="8">
        <f>IFERROR(IF(ISNUMBER(C3797),MAX(C3797,IFERROR(J3796,C3797)),""),"")</f>
        <v/>
      </c>
      <c r="K3797" s="29">
        <f>IFERROR(IF(AND(ISNUMBER(C3797),ISNUMBER(J3797)),C3797/J3797-1,""),"")</f>
        <v/>
      </c>
      <c r="L3797" s="28">
        <f>IFERROR(IF(AND(ISNUMBER(D3797),ISNUMBER(E3797)),D3797-E3797,""),"")</f>
        <v/>
      </c>
    </row>
    <row r="3798">
      <c r="A3798" s="7">
        <f>IFERROR(Datos!A3798,"")</f>
        <v/>
      </c>
      <c r="B3798" s="8">
        <f>IFERROR(Datos!B3798,"")</f>
        <v/>
      </c>
      <c r="C3798" s="8">
        <f>IFERROR(Datos!C3798,"")</f>
        <v/>
      </c>
      <c r="D3798" s="28">
        <f>IFERROR(IF(AND(ISNUMBER(B3798),ISNUMBER(B3797),B3797&lt;&gt;0),B3798/B3797-1,""),"")</f>
        <v/>
      </c>
      <c r="E3798" s="28">
        <f>IFERROR(IF(AND(ISNUMBER(C3798),ISNUMBER(C3797),C3797&lt;&gt;0),C3798/C3797-1,""),"")</f>
        <v/>
      </c>
      <c r="F3798" s="28">
        <f>IFERROR(D3798-Dashboard!$B$4/252,"")</f>
        <v/>
      </c>
      <c r="G3798" s="28">
        <f>IFERROR(E3798-Dashboard!$B$4/252,"")</f>
        <v/>
      </c>
      <c r="H3798" s="8">
        <f>IFERROR(IF(ISNUMBER(B3798),MAX(B3798,IFERROR(H3797,B3798)),""),"")</f>
        <v/>
      </c>
      <c r="I3798" s="29">
        <f>IFERROR(IF(AND(ISNUMBER(B3798),ISNUMBER(H3798)),B3798/H3798-1,""),"")</f>
        <v/>
      </c>
      <c r="J3798" s="8">
        <f>IFERROR(IF(ISNUMBER(C3798),MAX(C3798,IFERROR(J3797,C3798)),""),"")</f>
        <v/>
      </c>
      <c r="K3798" s="29">
        <f>IFERROR(IF(AND(ISNUMBER(C3798),ISNUMBER(J3798)),C3798/J3798-1,""),"")</f>
        <v/>
      </c>
      <c r="L3798" s="28">
        <f>IFERROR(IF(AND(ISNUMBER(D3798),ISNUMBER(E3798)),D3798-E3798,""),"")</f>
        <v/>
      </c>
    </row>
    <row r="3799">
      <c r="A3799" s="7">
        <f>IFERROR(Datos!A3799,"")</f>
        <v/>
      </c>
      <c r="B3799" s="8">
        <f>IFERROR(Datos!B3799,"")</f>
        <v/>
      </c>
      <c r="C3799" s="8">
        <f>IFERROR(Datos!C3799,"")</f>
        <v/>
      </c>
      <c r="D3799" s="28">
        <f>IFERROR(IF(AND(ISNUMBER(B3799),ISNUMBER(B3798),B3798&lt;&gt;0),B3799/B3798-1,""),"")</f>
        <v/>
      </c>
      <c r="E3799" s="28">
        <f>IFERROR(IF(AND(ISNUMBER(C3799),ISNUMBER(C3798),C3798&lt;&gt;0),C3799/C3798-1,""),"")</f>
        <v/>
      </c>
      <c r="F3799" s="28">
        <f>IFERROR(D3799-Dashboard!$B$4/252,"")</f>
        <v/>
      </c>
      <c r="G3799" s="28">
        <f>IFERROR(E3799-Dashboard!$B$4/252,"")</f>
        <v/>
      </c>
      <c r="H3799" s="8">
        <f>IFERROR(IF(ISNUMBER(B3799),MAX(B3799,IFERROR(H3798,B3799)),""),"")</f>
        <v/>
      </c>
      <c r="I3799" s="29">
        <f>IFERROR(IF(AND(ISNUMBER(B3799),ISNUMBER(H3799)),B3799/H3799-1,""),"")</f>
        <v/>
      </c>
      <c r="J3799" s="8">
        <f>IFERROR(IF(ISNUMBER(C3799),MAX(C3799,IFERROR(J3798,C3799)),""),"")</f>
        <v/>
      </c>
      <c r="K3799" s="29">
        <f>IFERROR(IF(AND(ISNUMBER(C3799),ISNUMBER(J3799)),C3799/J3799-1,""),"")</f>
        <v/>
      </c>
      <c r="L3799" s="28">
        <f>IFERROR(IF(AND(ISNUMBER(D3799),ISNUMBER(E3799)),D3799-E3799,""),"")</f>
        <v/>
      </c>
    </row>
    <row r="3800">
      <c r="A3800" s="7">
        <f>IFERROR(Datos!A3800,"")</f>
        <v/>
      </c>
      <c r="B3800" s="8">
        <f>IFERROR(Datos!B3800,"")</f>
        <v/>
      </c>
      <c r="C3800" s="8">
        <f>IFERROR(Datos!C3800,"")</f>
        <v/>
      </c>
      <c r="D3800" s="28">
        <f>IFERROR(IF(AND(ISNUMBER(B3800),ISNUMBER(B3799),B3799&lt;&gt;0),B3800/B3799-1,""),"")</f>
        <v/>
      </c>
      <c r="E3800" s="28">
        <f>IFERROR(IF(AND(ISNUMBER(C3800),ISNUMBER(C3799),C3799&lt;&gt;0),C3800/C3799-1,""),"")</f>
        <v/>
      </c>
      <c r="F3800" s="28">
        <f>IFERROR(D3800-Dashboard!$B$4/252,"")</f>
        <v/>
      </c>
      <c r="G3800" s="28">
        <f>IFERROR(E3800-Dashboard!$B$4/252,"")</f>
        <v/>
      </c>
      <c r="H3800" s="8">
        <f>IFERROR(IF(ISNUMBER(B3800),MAX(B3800,IFERROR(H3799,B3800)),""),"")</f>
        <v/>
      </c>
      <c r="I3800" s="29">
        <f>IFERROR(IF(AND(ISNUMBER(B3800),ISNUMBER(H3800)),B3800/H3800-1,""),"")</f>
        <v/>
      </c>
      <c r="J3800" s="8">
        <f>IFERROR(IF(ISNUMBER(C3800),MAX(C3800,IFERROR(J3799,C3800)),""),"")</f>
        <v/>
      </c>
      <c r="K3800" s="29">
        <f>IFERROR(IF(AND(ISNUMBER(C3800),ISNUMBER(J3800)),C3800/J3800-1,""),"")</f>
        <v/>
      </c>
      <c r="L3800" s="28">
        <f>IFERROR(IF(AND(ISNUMBER(D3800),ISNUMBER(E3800)),D3800-E3800,""),"")</f>
        <v/>
      </c>
    </row>
    <row r="3801">
      <c r="A3801" s="7">
        <f>IFERROR(Datos!A3801,"")</f>
        <v/>
      </c>
      <c r="B3801" s="8">
        <f>IFERROR(Datos!B3801,"")</f>
        <v/>
      </c>
      <c r="C3801" s="8">
        <f>IFERROR(Datos!C3801,"")</f>
        <v/>
      </c>
      <c r="D3801" s="28">
        <f>IFERROR(IF(AND(ISNUMBER(B3801),ISNUMBER(B3800),B3800&lt;&gt;0),B3801/B3800-1,""),"")</f>
        <v/>
      </c>
      <c r="E3801" s="28">
        <f>IFERROR(IF(AND(ISNUMBER(C3801),ISNUMBER(C3800),C3800&lt;&gt;0),C3801/C3800-1,""),"")</f>
        <v/>
      </c>
      <c r="F3801" s="28">
        <f>IFERROR(D3801-Dashboard!$B$4/252,"")</f>
        <v/>
      </c>
      <c r="G3801" s="28">
        <f>IFERROR(E3801-Dashboard!$B$4/252,"")</f>
        <v/>
      </c>
      <c r="H3801" s="8">
        <f>IFERROR(IF(ISNUMBER(B3801),MAX(B3801,IFERROR(H3800,B3801)),""),"")</f>
        <v/>
      </c>
      <c r="I3801" s="29">
        <f>IFERROR(IF(AND(ISNUMBER(B3801),ISNUMBER(H3801)),B3801/H3801-1,""),"")</f>
        <v/>
      </c>
      <c r="J3801" s="8">
        <f>IFERROR(IF(ISNUMBER(C3801),MAX(C3801,IFERROR(J3800,C3801)),""),"")</f>
        <v/>
      </c>
      <c r="K3801" s="29">
        <f>IFERROR(IF(AND(ISNUMBER(C3801),ISNUMBER(J3801)),C3801/J3801-1,""),"")</f>
        <v/>
      </c>
      <c r="L3801" s="28">
        <f>IFERROR(IF(AND(ISNUMBER(D3801),ISNUMBER(E3801)),D3801-E3801,""),"")</f>
        <v/>
      </c>
    </row>
    <row r="3802">
      <c r="A3802" s="7">
        <f>IFERROR(Datos!A3802,"")</f>
        <v/>
      </c>
      <c r="B3802" s="8">
        <f>IFERROR(Datos!B3802,"")</f>
        <v/>
      </c>
      <c r="C3802" s="8">
        <f>IFERROR(Datos!C3802,"")</f>
        <v/>
      </c>
      <c r="D3802" s="28">
        <f>IFERROR(IF(AND(ISNUMBER(B3802),ISNUMBER(B3801),B3801&lt;&gt;0),B3802/B3801-1,""),"")</f>
        <v/>
      </c>
      <c r="E3802" s="28">
        <f>IFERROR(IF(AND(ISNUMBER(C3802),ISNUMBER(C3801),C3801&lt;&gt;0),C3802/C3801-1,""),"")</f>
        <v/>
      </c>
      <c r="F3802" s="28">
        <f>IFERROR(D3802-Dashboard!$B$4/252,"")</f>
        <v/>
      </c>
      <c r="G3802" s="28">
        <f>IFERROR(E3802-Dashboard!$B$4/252,"")</f>
        <v/>
      </c>
      <c r="H3802" s="8">
        <f>IFERROR(IF(ISNUMBER(B3802),MAX(B3802,IFERROR(H3801,B3802)),""),"")</f>
        <v/>
      </c>
      <c r="I3802" s="29">
        <f>IFERROR(IF(AND(ISNUMBER(B3802),ISNUMBER(H3802)),B3802/H3802-1,""),"")</f>
        <v/>
      </c>
      <c r="J3802" s="8">
        <f>IFERROR(IF(ISNUMBER(C3802),MAX(C3802,IFERROR(J3801,C3802)),""),"")</f>
        <v/>
      </c>
      <c r="K3802" s="29">
        <f>IFERROR(IF(AND(ISNUMBER(C3802),ISNUMBER(J3802)),C3802/J3802-1,""),"")</f>
        <v/>
      </c>
      <c r="L3802" s="28">
        <f>IFERROR(IF(AND(ISNUMBER(D3802),ISNUMBER(E3802)),D3802-E3802,""),"")</f>
        <v/>
      </c>
    </row>
    <row r="3803">
      <c r="A3803" s="7">
        <f>IFERROR(Datos!A3803,"")</f>
        <v/>
      </c>
      <c r="B3803" s="8">
        <f>IFERROR(Datos!B3803,"")</f>
        <v/>
      </c>
      <c r="C3803" s="8">
        <f>IFERROR(Datos!C3803,"")</f>
        <v/>
      </c>
      <c r="D3803" s="28">
        <f>IFERROR(IF(AND(ISNUMBER(B3803),ISNUMBER(B3802),B3802&lt;&gt;0),B3803/B3802-1,""),"")</f>
        <v/>
      </c>
      <c r="E3803" s="28">
        <f>IFERROR(IF(AND(ISNUMBER(C3803),ISNUMBER(C3802),C3802&lt;&gt;0),C3803/C3802-1,""),"")</f>
        <v/>
      </c>
      <c r="F3803" s="28">
        <f>IFERROR(D3803-Dashboard!$B$4/252,"")</f>
        <v/>
      </c>
      <c r="G3803" s="28">
        <f>IFERROR(E3803-Dashboard!$B$4/252,"")</f>
        <v/>
      </c>
      <c r="H3803" s="8">
        <f>IFERROR(IF(ISNUMBER(B3803),MAX(B3803,IFERROR(H3802,B3803)),""),"")</f>
        <v/>
      </c>
      <c r="I3803" s="29">
        <f>IFERROR(IF(AND(ISNUMBER(B3803),ISNUMBER(H3803)),B3803/H3803-1,""),"")</f>
        <v/>
      </c>
      <c r="J3803" s="8">
        <f>IFERROR(IF(ISNUMBER(C3803),MAX(C3803,IFERROR(J3802,C3803)),""),"")</f>
        <v/>
      </c>
      <c r="K3803" s="29">
        <f>IFERROR(IF(AND(ISNUMBER(C3803),ISNUMBER(J3803)),C3803/J3803-1,""),"")</f>
        <v/>
      </c>
      <c r="L3803" s="28">
        <f>IFERROR(IF(AND(ISNUMBER(D3803),ISNUMBER(E3803)),D3803-E3803,""),"")</f>
        <v/>
      </c>
    </row>
    <row r="3804">
      <c r="A3804" s="7">
        <f>IFERROR(Datos!A3804,"")</f>
        <v/>
      </c>
      <c r="B3804" s="8">
        <f>IFERROR(Datos!B3804,"")</f>
        <v/>
      </c>
      <c r="C3804" s="8">
        <f>IFERROR(Datos!C3804,"")</f>
        <v/>
      </c>
      <c r="D3804" s="28">
        <f>IFERROR(IF(AND(ISNUMBER(B3804),ISNUMBER(B3803),B3803&lt;&gt;0),B3804/B3803-1,""),"")</f>
        <v/>
      </c>
      <c r="E3804" s="28">
        <f>IFERROR(IF(AND(ISNUMBER(C3804),ISNUMBER(C3803),C3803&lt;&gt;0),C3804/C3803-1,""),"")</f>
        <v/>
      </c>
      <c r="F3804" s="28">
        <f>IFERROR(D3804-Dashboard!$B$4/252,"")</f>
        <v/>
      </c>
      <c r="G3804" s="28">
        <f>IFERROR(E3804-Dashboard!$B$4/252,"")</f>
        <v/>
      </c>
      <c r="H3804" s="8">
        <f>IFERROR(IF(ISNUMBER(B3804),MAX(B3804,IFERROR(H3803,B3804)),""),"")</f>
        <v/>
      </c>
      <c r="I3804" s="29">
        <f>IFERROR(IF(AND(ISNUMBER(B3804),ISNUMBER(H3804)),B3804/H3804-1,""),"")</f>
        <v/>
      </c>
      <c r="J3804" s="8">
        <f>IFERROR(IF(ISNUMBER(C3804),MAX(C3804,IFERROR(J3803,C3804)),""),"")</f>
        <v/>
      </c>
      <c r="K3804" s="29">
        <f>IFERROR(IF(AND(ISNUMBER(C3804),ISNUMBER(J3804)),C3804/J3804-1,""),"")</f>
        <v/>
      </c>
      <c r="L3804" s="28">
        <f>IFERROR(IF(AND(ISNUMBER(D3804),ISNUMBER(E3804)),D3804-E3804,""),"")</f>
        <v/>
      </c>
    </row>
    <row r="3805">
      <c r="A3805" s="7">
        <f>IFERROR(Datos!A3805,"")</f>
        <v/>
      </c>
      <c r="B3805" s="8">
        <f>IFERROR(Datos!B3805,"")</f>
        <v/>
      </c>
      <c r="C3805" s="8">
        <f>IFERROR(Datos!C3805,"")</f>
        <v/>
      </c>
      <c r="D3805" s="28">
        <f>IFERROR(IF(AND(ISNUMBER(B3805),ISNUMBER(B3804),B3804&lt;&gt;0),B3805/B3804-1,""),"")</f>
        <v/>
      </c>
      <c r="E3805" s="28">
        <f>IFERROR(IF(AND(ISNUMBER(C3805),ISNUMBER(C3804),C3804&lt;&gt;0),C3805/C3804-1,""),"")</f>
        <v/>
      </c>
      <c r="F3805" s="28">
        <f>IFERROR(D3805-Dashboard!$B$4/252,"")</f>
        <v/>
      </c>
      <c r="G3805" s="28">
        <f>IFERROR(E3805-Dashboard!$B$4/252,"")</f>
        <v/>
      </c>
      <c r="H3805" s="8">
        <f>IFERROR(IF(ISNUMBER(B3805),MAX(B3805,IFERROR(H3804,B3805)),""),"")</f>
        <v/>
      </c>
      <c r="I3805" s="29">
        <f>IFERROR(IF(AND(ISNUMBER(B3805),ISNUMBER(H3805)),B3805/H3805-1,""),"")</f>
        <v/>
      </c>
      <c r="J3805" s="8">
        <f>IFERROR(IF(ISNUMBER(C3805),MAX(C3805,IFERROR(J3804,C3805)),""),"")</f>
        <v/>
      </c>
      <c r="K3805" s="29">
        <f>IFERROR(IF(AND(ISNUMBER(C3805),ISNUMBER(J3805)),C3805/J3805-1,""),"")</f>
        <v/>
      </c>
      <c r="L3805" s="28">
        <f>IFERROR(IF(AND(ISNUMBER(D3805),ISNUMBER(E3805)),D3805-E3805,""),"")</f>
        <v/>
      </c>
    </row>
    <row r="3806">
      <c r="A3806" s="7">
        <f>IFERROR(Datos!A3806,"")</f>
        <v/>
      </c>
      <c r="B3806" s="8">
        <f>IFERROR(Datos!B3806,"")</f>
        <v/>
      </c>
      <c r="C3806" s="8">
        <f>IFERROR(Datos!C3806,"")</f>
        <v/>
      </c>
      <c r="D3806" s="28">
        <f>IFERROR(IF(AND(ISNUMBER(B3806),ISNUMBER(B3805),B3805&lt;&gt;0),B3806/B3805-1,""),"")</f>
        <v/>
      </c>
      <c r="E3806" s="28">
        <f>IFERROR(IF(AND(ISNUMBER(C3806),ISNUMBER(C3805),C3805&lt;&gt;0),C3806/C3805-1,""),"")</f>
        <v/>
      </c>
      <c r="F3806" s="28">
        <f>IFERROR(D3806-Dashboard!$B$4/252,"")</f>
        <v/>
      </c>
      <c r="G3806" s="28">
        <f>IFERROR(E3806-Dashboard!$B$4/252,"")</f>
        <v/>
      </c>
      <c r="H3806" s="8">
        <f>IFERROR(IF(ISNUMBER(B3806),MAX(B3806,IFERROR(H3805,B3806)),""),"")</f>
        <v/>
      </c>
      <c r="I3806" s="29">
        <f>IFERROR(IF(AND(ISNUMBER(B3806),ISNUMBER(H3806)),B3806/H3806-1,""),"")</f>
        <v/>
      </c>
      <c r="J3806" s="8">
        <f>IFERROR(IF(ISNUMBER(C3806),MAX(C3806,IFERROR(J3805,C3806)),""),"")</f>
        <v/>
      </c>
      <c r="K3806" s="29">
        <f>IFERROR(IF(AND(ISNUMBER(C3806),ISNUMBER(J3806)),C3806/J3806-1,""),"")</f>
        <v/>
      </c>
      <c r="L3806" s="28">
        <f>IFERROR(IF(AND(ISNUMBER(D3806),ISNUMBER(E3806)),D3806-E3806,""),"")</f>
        <v/>
      </c>
    </row>
    <row r="3807">
      <c r="A3807" s="7">
        <f>IFERROR(Datos!A3807,"")</f>
        <v/>
      </c>
      <c r="B3807" s="8">
        <f>IFERROR(Datos!B3807,"")</f>
        <v/>
      </c>
      <c r="C3807" s="8">
        <f>IFERROR(Datos!C3807,"")</f>
        <v/>
      </c>
      <c r="D3807" s="28">
        <f>IFERROR(IF(AND(ISNUMBER(B3807),ISNUMBER(B3806),B3806&lt;&gt;0),B3807/B3806-1,""),"")</f>
        <v/>
      </c>
      <c r="E3807" s="28">
        <f>IFERROR(IF(AND(ISNUMBER(C3807),ISNUMBER(C3806),C3806&lt;&gt;0),C3807/C3806-1,""),"")</f>
        <v/>
      </c>
      <c r="F3807" s="28">
        <f>IFERROR(D3807-Dashboard!$B$4/252,"")</f>
        <v/>
      </c>
      <c r="G3807" s="28">
        <f>IFERROR(E3807-Dashboard!$B$4/252,"")</f>
        <v/>
      </c>
      <c r="H3807" s="8">
        <f>IFERROR(IF(ISNUMBER(B3807),MAX(B3807,IFERROR(H3806,B3807)),""),"")</f>
        <v/>
      </c>
      <c r="I3807" s="29">
        <f>IFERROR(IF(AND(ISNUMBER(B3807),ISNUMBER(H3807)),B3807/H3807-1,""),"")</f>
        <v/>
      </c>
      <c r="J3807" s="8">
        <f>IFERROR(IF(ISNUMBER(C3807),MAX(C3807,IFERROR(J3806,C3807)),""),"")</f>
        <v/>
      </c>
      <c r="K3807" s="29">
        <f>IFERROR(IF(AND(ISNUMBER(C3807),ISNUMBER(J3807)),C3807/J3807-1,""),"")</f>
        <v/>
      </c>
      <c r="L3807" s="28">
        <f>IFERROR(IF(AND(ISNUMBER(D3807),ISNUMBER(E3807)),D3807-E3807,""),"")</f>
        <v/>
      </c>
    </row>
    <row r="3808">
      <c r="A3808" s="7">
        <f>IFERROR(Datos!A3808,"")</f>
        <v/>
      </c>
      <c r="B3808" s="8">
        <f>IFERROR(Datos!B3808,"")</f>
        <v/>
      </c>
      <c r="C3808" s="8">
        <f>IFERROR(Datos!C3808,"")</f>
        <v/>
      </c>
      <c r="D3808" s="28">
        <f>IFERROR(IF(AND(ISNUMBER(B3808),ISNUMBER(B3807),B3807&lt;&gt;0),B3808/B3807-1,""),"")</f>
        <v/>
      </c>
      <c r="E3808" s="28">
        <f>IFERROR(IF(AND(ISNUMBER(C3808),ISNUMBER(C3807),C3807&lt;&gt;0),C3808/C3807-1,""),"")</f>
        <v/>
      </c>
      <c r="F3808" s="28">
        <f>IFERROR(D3808-Dashboard!$B$4/252,"")</f>
        <v/>
      </c>
      <c r="G3808" s="28">
        <f>IFERROR(E3808-Dashboard!$B$4/252,"")</f>
        <v/>
      </c>
      <c r="H3808" s="8">
        <f>IFERROR(IF(ISNUMBER(B3808),MAX(B3808,IFERROR(H3807,B3808)),""),"")</f>
        <v/>
      </c>
      <c r="I3808" s="29">
        <f>IFERROR(IF(AND(ISNUMBER(B3808),ISNUMBER(H3808)),B3808/H3808-1,""),"")</f>
        <v/>
      </c>
      <c r="J3808" s="8">
        <f>IFERROR(IF(ISNUMBER(C3808),MAX(C3808,IFERROR(J3807,C3808)),""),"")</f>
        <v/>
      </c>
      <c r="K3808" s="29">
        <f>IFERROR(IF(AND(ISNUMBER(C3808),ISNUMBER(J3808)),C3808/J3808-1,""),"")</f>
        <v/>
      </c>
      <c r="L3808" s="28">
        <f>IFERROR(IF(AND(ISNUMBER(D3808),ISNUMBER(E3808)),D3808-E3808,""),"")</f>
        <v/>
      </c>
    </row>
    <row r="3809">
      <c r="A3809" s="7">
        <f>IFERROR(Datos!A3809,"")</f>
        <v/>
      </c>
      <c r="B3809" s="8">
        <f>IFERROR(Datos!B3809,"")</f>
        <v/>
      </c>
      <c r="C3809" s="8">
        <f>IFERROR(Datos!C3809,"")</f>
        <v/>
      </c>
      <c r="D3809" s="28">
        <f>IFERROR(IF(AND(ISNUMBER(B3809),ISNUMBER(B3808),B3808&lt;&gt;0),B3809/B3808-1,""),"")</f>
        <v/>
      </c>
      <c r="E3809" s="28">
        <f>IFERROR(IF(AND(ISNUMBER(C3809),ISNUMBER(C3808),C3808&lt;&gt;0),C3809/C3808-1,""),"")</f>
        <v/>
      </c>
      <c r="F3809" s="28">
        <f>IFERROR(D3809-Dashboard!$B$4/252,"")</f>
        <v/>
      </c>
      <c r="G3809" s="28">
        <f>IFERROR(E3809-Dashboard!$B$4/252,"")</f>
        <v/>
      </c>
      <c r="H3809" s="8">
        <f>IFERROR(IF(ISNUMBER(B3809),MAX(B3809,IFERROR(H3808,B3809)),""),"")</f>
        <v/>
      </c>
      <c r="I3809" s="29">
        <f>IFERROR(IF(AND(ISNUMBER(B3809),ISNUMBER(H3809)),B3809/H3809-1,""),"")</f>
        <v/>
      </c>
      <c r="J3809" s="8">
        <f>IFERROR(IF(ISNUMBER(C3809),MAX(C3809,IFERROR(J3808,C3809)),""),"")</f>
        <v/>
      </c>
      <c r="K3809" s="29">
        <f>IFERROR(IF(AND(ISNUMBER(C3809),ISNUMBER(J3809)),C3809/J3809-1,""),"")</f>
        <v/>
      </c>
      <c r="L3809" s="28">
        <f>IFERROR(IF(AND(ISNUMBER(D3809),ISNUMBER(E3809)),D3809-E3809,""),"")</f>
        <v/>
      </c>
    </row>
    <row r="3810">
      <c r="A3810" s="7">
        <f>IFERROR(Datos!A3810,"")</f>
        <v/>
      </c>
      <c r="B3810" s="8">
        <f>IFERROR(Datos!B3810,"")</f>
        <v/>
      </c>
      <c r="C3810" s="8">
        <f>IFERROR(Datos!C3810,"")</f>
        <v/>
      </c>
      <c r="D3810" s="28">
        <f>IFERROR(IF(AND(ISNUMBER(B3810),ISNUMBER(B3809),B3809&lt;&gt;0),B3810/B3809-1,""),"")</f>
        <v/>
      </c>
      <c r="E3810" s="28">
        <f>IFERROR(IF(AND(ISNUMBER(C3810),ISNUMBER(C3809),C3809&lt;&gt;0),C3810/C3809-1,""),"")</f>
        <v/>
      </c>
      <c r="F3810" s="28">
        <f>IFERROR(D3810-Dashboard!$B$4/252,"")</f>
        <v/>
      </c>
      <c r="G3810" s="28">
        <f>IFERROR(E3810-Dashboard!$B$4/252,"")</f>
        <v/>
      </c>
      <c r="H3810" s="8">
        <f>IFERROR(IF(ISNUMBER(B3810),MAX(B3810,IFERROR(H3809,B3810)),""),"")</f>
        <v/>
      </c>
      <c r="I3810" s="29">
        <f>IFERROR(IF(AND(ISNUMBER(B3810),ISNUMBER(H3810)),B3810/H3810-1,""),"")</f>
        <v/>
      </c>
      <c r="J3810" s="8">
        <f>IFERROR(IF(ISNUMBER(C3810),MAX(C3810,IFERROR(J3809,C3810)),""),"")</f>
        <v/>
      </c>
      <c r="K3810" s="29">
        <f>IFERROR(IF(AND(ISNUMBER(C3810),ISNUMBER(J3810)),C3810/J3810-1,""),"")</f>
        <v/>
      </c>
      <c r="L3810" s="28">
        <f>IFERROR(IF(AND(ISNUMBER(D3810),ISNUMBER(E3810)),D3810-E3810,""),"")</f>
        <v/>
      </c>
    </row>
    <row r="3811">
      <c r="A3811" s="7">
        <f>IFERROR(Datos!A3811,"")</f>
        <v/>
      </c>
      <c r="B3811" s="8">
        <f>IFERROR(Datos!B3811,"")</f>
        <v/>
      </c>
      <c r="C3811" s="8">
        <f>IFERROR(Datos!C3811,"")</f>
        <v/>
      </c>
      <c r="D3811" s="28">
        <f>IFERROR(IF(AND(ISNUMBER(B3811),ISNUMBER(B3810),B3810&lt;&gt;0),B3811/B3810-1,""),"")</f>
        <v/>
      </c>
      <c r="E3811" s="28">
        <f>IFERROR(IF(AND(ISNUMBER(C3811),ISNUMBER(C3810),C3810&lt;&gt;0),C3811/C3810-1,""),"")</f>
        <v/>
      </c>
      <c r="F3811" s="28">
        <f>IFERROR(D3811-Dashboard!$B$4/252,"")</f>
        <v/>
      </c>
      <c r="G3811" s="28">
        <f>IFERROR(E3811-Dashboard!$B$4/252,"")</f>
        <v/>
      </c>
      <c r="H3811" s="8">
        <f>IFERROR(IF(ISNUMBER(B3811),MAX(B3811,IFERROR(H3810,B3811)),""),"")</f>
        <v/>
      </c>
      <c r="I3811" s="29">
        <f>IFERROR(IF(AND(ISNUMBER(B3811),ISNUMBER(H3811)),B3811/H3811-1,""),"")</f>
        <v/>
      </c>
      <c r="J3811" s="8">
        <f>IFERROR(IF(ISNUMBER(C3811),MAX(C3811,IFERROR(J3810,C3811)),""),"")</f>
        <v/>
      </c>
      <c r="K3811" s="29">
        <f>IFERROR(IF(AND(ISNUMBER(C3811),ISNUMBER(J3811)),C3811/J3811-1,""),"")</f>
        <v/>
      </c>
      <c r="L3811" s="28">
        <f>IFERROR(IF(AND(ISNUMBER(D3811),ISNUMBER(E3811)),D3811-E3811,""),"")</f>
        <v/>
      </c>
    </row>
    <row r="3812">
      <c r="A3812" s="7">
        <f>IFERROR(Datos!A3812,"")</f>
        <v/>
      </c>
      <c r="B3812" s="8">
        <f>IFERROR(Datos!B3812,"")</f>
        <v/>
      </c>
      <c r="C3812" s="8">
        <f>IFERROR(Datos!C3812,"")</f>
        <v/>
      </c>
      <c r="D3812" s="28">
        <f>IFERROR(IF(AND(ISNUMBER(B3812),ISNUMBER(B3811),B3811&lt;&gt;0),B3812/B3811-1,""),"")</f>
        <v/>
      </c>
      <c r="E3812" s="28">
        <f>IFERROR(IF(AND(ISNUMBER(C3812),ISNUMBER(C3811),C3811&lt;&gt;0),C3812/C3811-1,""),"")</f>
        <v/>
      </c>
      <c r="F3812" s="28">
        <f>IFERROR(D3812-Dashboard!$B$4/252,"")</f>
        <v/>
      </c>
      <c r="G3812" s="28">
        <f>IFERROR(E3812-Dashboard!$B$4/252,"")</f>
        <v/>
      </c>
      <c r="H3812" s="8">
        <f>IFERROR(IF(ISNUMBER(B3812),MAX(B3812,IFERROR(H3811,B3812)),""),"")</f>
        <v/>
      </c>
      <c r="I3812" s="29">
        <f>IFERROR(IF(AND(ISNUMBER(B3812),ISNUMBER(H3812)),B3812/H3812-1,""),"")</f>
        <v/>
      </c>
      <c r="J3812" s="8">
        <f>IFERROR(IF(ISNUMBER(C3812),MAX(C3812,IFERROR(J3811,C3812)),""),"")</f>
        <v/>
      </c>
      <c r="K3812" s="29">
        <f>IFERROR(IF(AND(ISNUMBER(C3812),ISNUMBER(J3812)),C3812/J3812-1,""),"")</f>
        <v/>
      </c>
      <c r="L3812" s="28">
        <f>IFERROR(IF(AND(ISNUMBER(D3812),ISNUMBER(E3812)),D3812-E3812,""),"")</f>
        <v/>
      </c>
    </row>
    <row r="3813">
      <c r="A3813" s="7">
        <f>IFERROR(Datos!A3813,"")</f>
        <v/>
      </c>
      <c r="B3813" s="8">
        <f>IFERROR(Datos!B3813,"")</f>
        <v/>
      </c>
      <c r="C3813" s="8">
        <f>IFERROR(Datos!C3813,"")</f>
        <v/>
      </c>
      <c r="D3813" s="28">
        <f>IFERROR(IF(AND(ISNUMBER(B3813),ISNUMBER(B3812),B3812&lt;&gt;0),B3813/B3812-1,""),"")</f>
        <v/>
      </c>
      <c r="E3813" s="28">
        <f>IFERROR(IF(AND(ISNUMBER(C3813),ISNUMBER(C3812),C3812&lt;&gt;0),C3813/C3812-1,""),"")</f>
        <v/>
      </c>
      <c r="F3813" s="28">
        <f>IFERROR(D3813-Dashboard!$B$4/252,"")</f>
        <v/>
      </c>
      <c r="G3813" s="28">
        <f>IFERROR(E3813-Dashboard!$B$4/252,"")</f>
        <v/>
      </c>
      <c r="H3813" s="8">
        <f>IFERROR(IF(ISNUMBER(B3813),MAX(B3813,IFERROR(H3812,B3813)),""),"")</f>
        <v/>
      </c>
      <c r="I3813" s="29">
        <f>IFERROR(IF(AND(ISNUMBER(B3813),ISNUMBER(H3813)),B3813/H3813-1,""),"")</f>
        <v/>
      </c>
      <c r="J3813" s="8">
        <f>IFERROR(IF(ISNUMBER(C3813),MAX(C3813,IFERROR(J3812,C3813)),""),"")</f>
        <v/>
      </c>
      <c r="K3813" s="29">
        <f>IFERROR(IF(AND(ISNUMBER(C3813),ISNUMBER(J3813)),C3813/J3813-1,""),"")</f>
        <v/>
      </c>
      <c r="L3813" s="28">
        <f>IFERROR(IF(AND(ISNUMBER(D3813),ISNUMBER(E3813)),D3813-E3813,""),"")</f>
        <v/>
      </c>
    </row>
    <row r="3814">
      <c r="A3814" s="7">
        <f>IFERROR(Datos!A3814,"")</f>
        <v/>
      </c>
      <c r="B3814" s="8">
        <f>IFERROR(Datos!B3814,"")</f>
        <v/>
      </c>
      <c r="C3814" s="8">
        <f>IFERROR(Datos!C3814,"")</f>
        <v/>
      </c>
      <c r="D3814" s="28">
        <f>IFERROR(IF(AND(ISNUMBER(B3814),ISNUMBER(B3813),B3813&lt;&gt;0),B3814/B3813-1,""),"")</f>
        <v/>
      </c>
      <c r="E3814" s="28">
        <f>IFERROR(IF(AND(ISNUMBER(C3814),ISNUMBER(C3813),C3813&lt;&gt;0),C3814/C3813-1,""),"")</f>
        <v/>
      </c>
      <c r="F3814" s="28">
        <f>IFERROR(D3814-Dashboard!$B$4/252,"")</f>
        <v/>
      </c>
      <c r="G3814" s="28">
        <f>IFERROR(E3814-Dashboard!$B$4/252,"")</f>
        <v/>
      </c>
      <c r="H3814" s="8">
        <f>IFERROR(IF(ISNUMBER(B3814),MAX(B3814,IFERROR(H3813,B3814)),""),"")</f>
        <v/>
      </c>
      <c r="I3814" s="29">
        <f>IFERROR(IF(AND(ISNUMBER(B3814),ISNUMBER(H3814)),B3814/H3814-1,""),"")</f>
        <v/>
      </c>
      <c r="J3814" s="8">
        <f>IFERROR(IF(ISNUMBER(C3814),MAX(C3814,IFERROR(J3813,C3814)),""),"")</f>
        <v/>
      </c>
      <c r="K3814" s="29">
        <f>IFERROR(IF(AND(ISNUMBER(C3814),ISNUMBER(J3814)),C3814/J3814-1,""),"")</f>
        <v/>
      </c>
      <c r="L3814" s="28">
        <f>IFERROR(IF(AND(ISNUMBER(D3814),ISNUMBER(E3814)),D3814-E3814,""),"")</f>
        <v/>
      </c>
    </row>
    <row r="3815">
      <c r="A3815" s="7">
        <f>IFERROR(Datos!A3815,"")</f>
        <v/>
      </c>
      <c r="B3815" s="8">
        <f>IFERROR(Datos!B3815,"")</f>
        <v/>
      </c>
      <c r="C3815" s="8">
        <f>IFERROR(Datos!C3815,"")</f>
        <v/>
      </c>
      <c r="D3815" s="28">
        <f>IFERROR(IF(AND(ISNUMBER(B3815),ISNUMBER(B3814),B3814&lt;&gt;0),B3815/B3814-1,""),"")</f>
        <v/>
      </c>
      <c r="E3815" s="28">
        <f>IFERROR(IF(AND(ISNUMBER(C3815),ISNUMBER(C3814),C3814&lt;&gt;0),C3815/C3814-1,""),"")</f>
        <v/>
      </c>
      <c r="F3815" s="28">
        <f>IFERROR(D3815-Dashboard!$B$4/252,"")</f>
        <v/>
      </c>
      <c r="G3815" s="28">
        <f>IFERROR(E3815-Dashboard!$B$4/252,"")</f>
        <v/>
      </c>
      <c r="H3815" s="8">
        <f>IFERROR(IF(ISNUMBER(B3815),MAX(B3815,IFERROR(H3814,B3815)),""),"")</f>
        <v/>
      </c>
      <c r="I3815" s="29">
        <f>IFERROR(IF(AND(ISNUMBER(B3815),ISNUMBER(H3815)),B3815/H3815-1,""),"")</f>
        <v/>
      </c>
      <c r="J3815" s="8">
        <f>IFERROR(IF(ISNUMBER(C3815),MAX(C3815,IFERROR(J3814,C3815)),""),"")</f>
        <v/>
      </c>
      <c r="K3815" s="29">
        <f>IFERROR(IF(AND(ISNUMBER(C3815),ISNUMBER(J3815)),C3815/J3815-1,""),"")</f>
        <v/>
      </c>
      <c r="L3815" s="28">
        <f>IFERROR(IF(AND(ISNUMBER(D3815),ISNUMBER(E3815)),D3815-E3815,""),"")</f>
        <v/>
      </c>
    </row>
    <row r="3816">
      <c r="A3816" s="7">
        <f>IFERROR(Datos!A3816,"")</f>
        <v/>
      </c>
      <c r="B3816" s="8">
        <f>IFERROR(Datos!B3816,"")</f>
        <v/>
      </c>
      <c r="C3816" s="8">
        <f>IFERROR(Datos!C3816,"")</f>
        <v/>
      </c>
      <c r="D3816" s="28">
        <f>IFERROR(IF(AND(ISNUMBER(B3816),ISNUMBER(B3815),B3815&lt;&gt;0),B3816/B3815-1,""),"")</f>
        <v/>
      </c>
      <c r="E3816" s="28">
        <f>IFERROR(IF(AND(ISNUMBER(C3816),ISNUMBER(C3815),C3815&lt;&gt;0),C3816/C3815-1,""),"")</f>
        <v/>
      </c>
      <c r="F3816" s="28">
        <f>IFERROR(D3816-Dashboard!$B$4/252,"")</f>
        <v/>
      </c>
      <c r="G3816" s="28">
        <f>IFERROR(E3816-Dashboard!$B$4/252,"")</f>
        <v/>
      </c>
      <c r="H3816" s="8">
        <f>IFERROR(IF(ISNUMBER(B3816),MAX(B3816,IFERROR(H3815,B3816)),""),"")</f>
        <v/>
      </c>
      <c r="I3816" s="29">
        <f>IFERROR(IF(AND(ISNUMBER(B3816),ISNUMBER(H3816)),B3816/H3816-1,""),"")</f>
        <v/>
      </c>
      <c r="J3816" s="8">
        <f>IFERROR(IF(ISNUMBER(C3816),MAX(C3816,IFERROR(J3815,C3816)),""),"")</f>
        <v/>
      </c>
      <c r="K3816" s="29">
        <f>IFERROR(IF(AND(ISNUMBER(C3816),ISNUMBER(J3816)),C3816/J3816-1,""),"")</f>
        <v/>
      </c>
      <c r="L3816" s="28">
        <f>IFERROR(IF(AND(ISNUMBER(D3816),ISNUMBER(E3816)),D3816-E3816,""),"")</f>
        <v/>
      </c>
    </row>
    <row r="3817">
      <c r="A3817" s="7">
        <f>IFERROR(Datos!A3817,"")</f>
        <v/>
      </c>
      <c r="B3817" s="8">
        <f>IFERROR(Datos!B3817,"")</f>
        <v/>
      </c>
      <c r="C3817" s="8">
        <f>IFERROR(Datos!C3817,"")</f>
        <v/>
      </c>
      <c r="D3817" s="28">
        <f>IFERROR(IF(AND(ISNUMBER(B3817),ISNUMBER(B3816),B3816&lt;&gt;0),B3817/B3816-1,""),"")</f>
        <v/>
      </c>
      <c r="E3817" s="28">
        <f>IFERROR(IF(AND(ISNUMBER(C3817),ISNUMBER(C3816),C3816&lt;&gt;0),C3817/C3816-1,""),"")</f>
        <v/>
      </c>
      <c r="F3817" s="28">
        <f>IFERROR(D3817-Dashboard!$B$4/252,"")</f>
        <v/>
      </c>
      <c r="G3817" s="28">
        <f>IFERROR(E3817-Dashboard!$B$4/252,"")</f>
        <v/>
      </c>
      <c r="H3817" s="8">
        <f>IFERROR(IF(ISNUMBER(B3817),MAX(B3817,IFERROR(H3816,B3817)),""),"")</f>
        <v/>
      </c>
      <c r="I3817" s="29">
        <f>IFERROR(IF(AND(ISNUMBER(B3817),ISNUMBER(H3817)),B3817/H3817-1,""),"")</f>
        <v/>
      </c>
      <c r="J3817" s="8">
        <f>IFERROR(IF(ISNUMBER(C3817),MAX(C3817,IFERROR(J3816,C3817)),""),"")</f>
        <v/>
      </c>
      <c r="K3817" s="29">
        <f>IFERROR(IF(AND(ISNUMBER(C3817),ISNUMBER(J3817)),C3817/J3817-1,""),"")</f>
        <v/>
      </c>
      <c r="L3817" s="28">
        <f>IFERROR(IF(AND(ISNUMBER(D3817),ISNUMBER(E3817)),D3817-E3817,""),"")</f>
        <v/>
      </c>
    </row>
    <row r="3818">
      <c r="A3818" s="7">
        <f>IFERROR(Datos!A3818,"")</f>
        <v/>
      </c>
      <c r="B3818" s="8">
        <f>IFERROR(Datos!B3818,"")</f>
        <v/>
      </c>
      <c r="C3818" s="8">
        <f>IFERROR(Datos!C3818,"")</f>
        <v/>
      </c>
      <c r="D3818" s="28">
        <f>IFERROR(IF(AND(ISNUMBER(B3818),ISNUMBER(B3817),B3817&lt;&gt;0),B3818/B3817-1,""),"")</f>
        <v/>
      </c>
      <c r="E3818" s="28">
        <f>IFERROR(IF(AND(ISNUMBER(C3818),ISNUMBER(C3817),C3817&lt;&gt;0),C3818/C3817-1,""),"")</f>
        <v/>
      </c>
      <c r="F3818" s="28">
        <f>IFERROR(D3818-Dashboard!$B$4/252,"")</f>
        <v/>
      </c>
      <c r="G3818" s="28">
        <f>IFERROR(E3818-Dashboard!$B$4/252,"")</f>
        <v/>
      </c>
      <c r="H3818" s="8">
        <f>IFERROR(IF(ISNUMBER(B3818),MAX(B3818,IFERROR(H3817,B3818)),""),"")</f>
        <v/>
      </c>
      <c r="I3818" s="29">
        <f>IFERROR(IF(AND(ISNUMBER(B3818),ISNUMBER(H3818)),B3818/H3818-1,""),"")</f>
        <v/>
      </c>
      <c r="J3818" s="8">
        <f>IFERROR(IF(ISNUMBER(C3818),MAX(C3818,IFERROR(J3817,C3818)),""),"")</f>
        <v/>
      </c>
      <c r="K3818" s="29">
        <f>IFERROR(IF(AND(ISNUMBER(C3818),ISNUMBER(J3818)),C3818/J3818-1,""),"")</f>
        <v/>
      </c>
      <c r="L3818" s="28">
        <f>IFERROR(IF(AND(ISNUMBER(D3818),ISNUMBER(E3818)),D3818-E3818,""),"")</f>
        <v/>
      </c>
    </row>
    <row r="3819">
      <c r="A3819" s="7">
        <f>IFERROR(Datos!A3819,"")</f>
        <v/>
      </c>
      <c r="B3819" s="8">
        <f>IFERROR(Datos!B3819,"")</f>
        <v/>
      </c>
      <c r="C3819" s="8">
        <f>IFERROR(Datos!C3819,"")</f>
        <v/>
      </c>
      <c r="D3819" s="28">
        <f>IFERROR(IF(AND(ISNUMBER(B3819),ISNUMBER(B3818),B3818&lt;&gt;0),B3819/B3818-1,""),"")</f>
        <v/>
      </c>
      <c r="E3819" s="28">
        <f>IFERROR(IF(AND(ISNUMBER(C3819),ISNUMBER(C3818),C3818&lt;&gt;0),C3819/C3818-1,""),"")</f>
        <v/>
      </c>
      <c r="F3819" s="28">
        <f>IFERROR(D3819-Dashboard!$B$4/252,"")</f>
        <v/>
      </c>
      <c r="G3819" s="28">
        <f>IFERROR(E3819-Dashboard!$B$4/252,"")</f>
        <v/>
      </c>
      <c r="H3819" s="8">
        <f>IFERROR(IF(ISNUMBER(B3819),MAX(B3819,IFERROR(H3818,B3819)),""),"")</f>
        <v/>
      </c>
      <c r="I3819" s="29">
        <f>IFERROR(IF(AND(ISNUMBER(B3819),ISNUMBER(H3819)),B3819/H3819-1,""),"")</f>
        <v/>
      </c>
      <c r="J3819" s="8">
        <f>IFERROR(IF(ISNUMBER(C3819),MAX(C3819,IFERROR(J3818,C3819)),""),"")</f>
        <v/>
      </c>
      <c r="K3819" s="29">
        <f>IFERROR(IF(AND(ISNUMBER(C3819),ISNUMBER(J3819)),C3819/J3819-1,""),"")</f>
        <v/>
      </c>
      <c r="L3819" s="28">
        <f>IFERROR(IF(AND(ISNUMBER(D3819),ISNUMBER(E3819)),D3819-E3819,""),"")</f>
        <v/>
      </c>
    </row>
    <row r="3820">
      <c r="A3820" s="7">
        <f>IFERROR(Datos!A3820,"")</f>
        <v/>
      </c>
      <c r="B3820" s="8">
        <f>IFERROR(Datos!B3820,"")</f>
        <v/>
      </c>
      <c r="C3820" s="8">
        <f>IFERROR(Datos!C3820,"")</f>
        <v/>
      </c>
      <c r="D3820" s="28">
        <f>IFERROR(IF(AND(ISNUMBER(B3820),ISNUMBER(B3819),B3819&lt;&gt;0),B3820/B3819-1,""),"")</f>
        <v/>
      </c>
      <c r="E3820" s="28">
        <f>IFERROR(IF(AND(ISNUMBER(C3820),ISNUMBER(C3819),C3819&lt;&gt;0),C3820/C3819-1,""),"")</f>
        <v/>
      </c>
      <c r="F3820" s="28">
        <f>IFERROR(D3820-Dashboard!$B$4/252,"")</f>
        <v/>
      </c>
      <c r="G3820" s="28">
        <f>IFERROR(E3820-Dashboard!$B$4/252,"")</f>
        <v/>
      </c>
      <c r="H3820" s="8">
        <f>IFERROR(IF(ISNUMBER(B3820),MAX(B3820,IFERROR(H3819,B3820)),""),"")</f>
        <v/>
      </c>
      <c r="I3820" s="29">
        <f>IFERROR(IF(AND(ISNUMBER(B3820),ISNUMBER(H3820)),B3820/H3820-1,""),"")</f>
        <v/>
      </c>
      <c r="J3820" s="8">
        <f>IFERROR(IF(ISNUMBER(C3820),MAX(C3820,IFERROR(J3819,C3820)),""),"")</f>
        <v/>
      </c>
      <c r="K3820" s="29">
        <f>IFERROR(IF(AND(ISNUMBER(C3820),ISNUMBER(J3820)),C3820/J3820-1,""),"")</f>
        <v/>
      </c>
      <c r="L3820" s="28">
        <f>IFERROR(IF(AND(ISNUMBER(D3820),ISNUMBER(E3820)),D3820-E3820,""),"")</f>
        <v/>
      </c>
    </row>
    <row r="3821">
      <c r="A3821" s="7">
        <f>IFERROR(Datos!A3821,"")</f>
        <v/>
      </c>
      <c r="B3821" s="8">
        <f>IFERROR(Datos!B3821,"")</f>
        <v/>
      </c>
      <c r="C3821" s="8">
        <f>IFERROR(Datos!C3821,"")</f>
        <v/>
      </c>
      <c r="D3821" s="28">
        <f>IFERROR(IF(AND(ISNUMBER(B3821),ISNUMBER(B3820),B3820&lt;&gt;0),B3821/B3820-1,""),"")</f>
        <v/>
      </c>
      <c r="E3821" s="28">
        <f>IFERROR(IF(AND(ISNUMBER(C3821),ISNUMBER(C3820),C3820&lt;&gt;0),C3821/C3820-1,""),"")</f>
        <v/>
      </c>
      <c r="F3821" s="28">
        <f>IFERROR(D3821-Dashboard!$B$4/252,"")</f>
        <v/>
      </c>
      <c r="G3821" s="28">
        <f>IFERROR(E3821-Dashboard!$B$4/252,"")</f>
        <v/>
      </c>
      <c r="H3821" s="8">
        <f>IFERROR(IF(ISNUMBER(B3821),MAX(B3821,IFERROR(H3820,B3821)),""),"")</f>
        <v/>
      </c>
      <c r="I3821" s="29">
        <f>IFERROR(IF(AND(ISNUMBER(B3821),ISNUMBER(H3821)),B3821/H3821-1,""),"")</f>
        <v/>
      </c>
      <c r="J3821" s="8">
        <f>IFERROR(IF(ISNUMBER(C3821),MAX(C3821,IFERROR(J3820,C3821)),""),"")</f>
        <v/>
      </c>
      <c r="K3821" s="29">
        <f>IFERROR(IF(AND(ISNUMBER(C3821),ISNUMBER(J3821)),C3821/J3821-1,""),"")</f>
        <v/>
      </c>
      <c r="L3821" s="28">
        <f>IFERROR(IF(AND(ISNUMBER(D3821),ISNUMBER(E3821)),D3821-E3821,""),"")</f>
        <v/>
      </c>
    </row>
    <row r="3822">
      <c r="A3822" s="7">
        <f>IFERROR(Datos!A3822,"")</f>
        <v/>
      </c>
      <c r="B3822" s="8">
        <f>IFERROR(Datos!B3822,"")</f>
        <v/>
      </c>
      <c r="C3822" s="8">
        <f>IFERROR(Datos!C3822,"")</f>
        <v/>
      </c>
      <c r="D3822" s="28">
        <f>IFERROR(IF(AND(ISNUMBER(B3822),ISNUMBER(B3821),B3821&lt;&gt;0),B3822/B3821-1,""),"")</f>
        <v/>
      </c>
      <c r="E3822" s="28">
        <f>IFERROR(IF(AND(ISNUMBER(C3822),ISNUMBER(C3821),C3821&lt;&gt;0),C3822/C3821-1,""),"")</f>
        <v/>
      </c>
      <c r="F3822" s="28">
        <f>IFERROR(D3822-Dashboard!$B$4/252,"")</f>
        <v/>
      </c>
      <c r="G3822" s="28">
        <f>IFERROR(E3822-Dashboard!$B$4/252,"")</f>
        <v/>
      </c>
      <c r="H3822" s="8">
        <f>IFERROR(IF(ISNUMBER(B3822),MAX(B3822,IFERROR(H3821,B3822)),""),"")</f>
        <v/>
      </c>
      <c r="I3822" s="29">
        <f>IFERROR(IF(AND(ISNUMBER(B3822),ISNUMBER(H3822)),B3822/H3822-1,""),"")</f>
        <v/>
      </c>
      <c r="J3822" s="8">
        <f>IFERROR(IF(ISNUMBER(C3822),MAX(C3822,IFERROR(J3821,C3822)),""),"")</f>
        <v/>
      </c>
      <c r="K3822" s="29">
        <f>IFERROR(IF(AND(ISNUMBER(C3822),ISNUMBER(J3822)),C3822/J3822-1,""),"")</f>
        <v/>
      </c>
      <c r="L3822" s="28">
        <f>IFERROR(IF(AND(ISNUMBER(D3822),ISNUMBER(E3822)),D3822-E3822,""),"")</f>
        <v/>
      </c>
    </row>
    <row r="3823">
      <c r="A3823" s="7">
        <f>IFERROR(Datos!A3823,"")</f>
        <v/>
      </c>
      <c r="B3823" s="8">
        <f>IFERROR(Datos!B3823,"")</f>
        <v/>
      </c>
      <c r="C3823" s="8">
        <f>IFERROR(Datos!C3823,"")</f>
        <v/>
      </c>
      <c r="D3823" s="28">
        <f>IFERROR(IF(AND(ISNUMBER(B3823),ISNUMBER(B3822),B3822&lt;&gt;0),B3823/B3822-1,""),"")</f>
        <v/>
      </c>
      <c r="E3823" s="28">
        <f>IFERROR(IF(AND(ISNUMBER(C3823),ISNUMBER(C3822),C3822&lt;&gt;0),C3823/C3822-1,""),"")</f>
        <v/>
      </c>
      <c r="F3823" s="28">
        <f>IFERROR(D3823-Dashboard!$B$4/252,"")</f>
        <v/>
      </c>
      <c r="G3823" s="28">
        <f>IFERROR(E3823-Dashboard!$B$4/252,"")</f>
        <v/>
      </c>
      <c r="H3823" s="8">
        <f>IFERROR(IF(ISNUMBER(B3823),MAX(B3823,IFERROR(H3822,B3823)),""),"")</f>
        <v/>
      </c>
      <c r="I3823" s="29">
        <f>IFERROR(IF(AND(ISNUMBER(B3823),ISNUMBER(H3823)),B3823/H3823-1,""),"")</f>
        <v/>
      </c>
      <c r="J3823" s="8">
        <f>IFERROR(IF(ISNUMBER(C3823),MAX(C3823,IFERROR(J3822,C3823)),""),"")</f>
        <v/>
      </c>
      <c r="K3823" s="29">
        <f>IFERROR(IF(AND(ISNUMBER(C3823),ISNUMBER(J3823)),C3823/J3823-1,""),"")</f>
        <v/>
      </c>
      <c r="L3823" s="28">
        <f>IFERROR(IF(AND(ISNUMBER(D3823),ISNUMBER(E3823)),D3823-E3823,""),"")</f>
        <v/>
      </c>
    </row>
    <row r="3824">
      <c r="A3824" s="7">
        <f>IFERROR(Datos!A3824,"")</f>
        <v/>
      </c>
      <c r="B3824" s="8">
        <f>IFERROR(Datos!B3824,"")</f>
        <v/>
      </c>
      <c r="C3824" s="8">
        <f>IFERROR(Datos!C3824,"")</f>
        <v/>
      </c>
      <c r="D3824" s="28">
        <f>IFERROR(IF(AND(ISNUMBER(B3824),ISNUMBER(B3823),B3823&lt;&gt;0),B3824/B3823-1,""),"")</f>
        <v/>
      </c>
      <c r="E3824" s="28">
        <f>IFERROR(IF(AND(ISNUMBER(C3824),ISNUMBER(C3823),C3823&lt;&gt;0),C3824/C3823-1,""),"")</f>
        <v/>
      </c>
      <c r="F3824" s="28">
        <f>IFERROR(D3824-Dashboard!$B$4/252,"")</f>
        <v/>
      </c>
      <c r="G3824" s="28">
        <f>IFERROR(E3824-Dashboard!$B$4/252,"")</f>
        <v/>
      </c>
      <c r="H3824" s="8">
        <f>IFERROR(IF(ISNUMBER(B3824),MAX(B3824,IFERROR(H3823,B3824)),""),"")</f>
        <v/>
      </c>
      <c r="I3824" s="29">
        <f>IFERROR(IF(AND(ISNUMBER(B3824),ISNUMBER(H3824)),B3824/H3824-1,""),"")</f>
        <v/>
      </c>
      <c r="J3824" s="8">
        <f>IFERROR(IF(ISNUMBER(C3824),MAX(C3824,IFERROR(J3823,C3824)),""),"")</f>
        <v/>
      </c>
      <c r="K3824" s="29">
        <f>IFERROR(IF(AND(ISNUMBER(C3824),ISNUMBER(J3824)),C3824/J3824-1,""),"")</f>
        <v/>
      </c>
      <c r="L3824" s="28">
        <f>IFERROR(IF(AND(ISNUMBER(D3824),ISNUMBER(E3824)),D3824-E3824,""),"")</f>
        <v/>
      </c>
    </row>
    <row r="3825">
      <c r="A3825" s="7">
        <f>IFERROR(Datos!A3825,"")</f>
        <v/>
      </c>
      <c r="B3825" s="8">
        <f>IFERROR(Datos!B3825,"")</f>
        <v/>
      </c>
      <c r="C3825" s="8">
        <f>IFERROR(Datos!C3825,"")</f>
        <v/>
      </c>
      <c r="D3825" s="28">
        <f>IFERROR(IF(AND(ISNUMBER(B3825),ISNUMBER(B3824),B3824&lt;&gt;0),B3825/B3824-1,""),"")</f>
        <v/>
      </c>
      <c r="E3825" s="28">
        <f>IFERROR(IF(AND(ISNUMBER(C3825),ISNUMBER(C3824),C3824&lt;&gt;0),C3825/C3824-1,""),"")</f>
        <v/>
      </c>
      <c r="F3825" s="28">
        <f>IFERROR(D3825-Dashboard!$B$4/252,"")</f>
        <v/>
      </c>
      <c r="G3825" s="28">
        <f>IFERROR(E3825-Dashboard!$B$4/252,"")</f>
        <v/>
      </c>
      <c r="H3825" s="8">
        <f>IFERROR(IF(ISNUMBER(B3825),MAX(B3825,IFERROR(H3824,B3825)),""),"")</f>
        <v/>
      </c>
      <c r="I3825" s="29">
        <f>IFERROR(IF(AND(ISNUMBER(B3825),ISNUMBER(H3825)),B3825/H3825-1,""),"")</f>
        <v/>
      </c>
      <c r="J3825" s="8">
        <f>IFERROR(IF(ISNUMBER(C3825),MAX(C3825,IFERROR(J3824,C3825)),""),"")</f>
        <v/>
      </c>
      <c r="K3825" s="29">
        <f>IFERROR(IF(AND(ISNUMBER(C3825),ISNUMBER(J3825)),C3825/J3825-1,""),"")</f>
        <v/>
      </c>
      <c r="L3825" s="28">
        <f>IFERROR(IF(AND(ISNUMBER(D3825),ISNUMBER(E3825)),D3825-E3825,""),"")</f>
        <v/>
      </c>
    </row>
    <row r="3826">
      <c r="A3826" s="7">
        <f>IFERROR(Datos!A3826,"")</f>
        <v/>
      </c>
      <c r="B3826" s="8">
        <f>IFERROR(Datos!B3826,"")</f>
        <v/>
      </c>
      <c r="C3826" s="8">
        <f>IFERROR(Datos!C3826,"")</f>
        <v/>
      </c>
      <c r="D3826" s="28">
        <f>IFERROR(IF(AND(ISNUMBER(B3826),ISNUMBER(B3825),B3825&lt;&gt;0),B3826/B3825-1,""),"")</f>
        <v/>
      </c>
      <c r="E3826" s="28">
        <f>IFERROR(IF(AND(ISNUMBER(C3826),ISNUMBER(C3825),C3825&lt;&gt;0),C3826/C3825-1,""),"")</f>
        <v/>
      </c>
      <c r="F3826" s="28">
        <f>IFERROR(D3826-Dashboard!$B$4/252,"")</f>
        <v/>
      </c>
      <c r="G3826" s="28">
        <f>IFERROR(E3826-Dashboard!$B$4/252,"")</f>
        <v/>
      </c>
      <c r="H3826" s="8">
        <f>IFERROR(IF(ISNUMBER(B3826),MAX(B3826,IFERROR(H3825,B3826)),""),"")</f>
        <v/>
      </c>
      <c r="I3826" s="29">
        <f>IFERROR(IF(AND(ISNUMBER(B3826),ISNUMBER(H3826)),B3826/H3826-1,""),"")</f>
        <v/>
      </c>
      <c r="J3826" s="8">
        <f>IFERROR(IF(ISNUMBER(C3826),MAX(C3826,IFERROR(J3825,C3826)),""),"")</f>
        <v/>
      </c>
      <c r="K3826" s="29">
        <f>IFERROR(IF(AND(ISNUMBER(C3826),ISNUMBER(J3826)),C3826/J3826-1,""),"")</f>
        <v/>
      </c>
      <c r="L3826" s="28">
        <f>IFERROR(IF(AND(ISNUMBER(D3826),ISNUMBER(E3826)),D3826-E3826,""),"")</f>
        <v/>
      </c>
    </row>
    <row r="3827">
      <c r="A3827" s="7">
        <f>IFERROR(Datos!A3827,"")</f>
        <v/>
      </c>
      <c r="B3827" s="8">
        <f>IFERROR(Datos!B3827,"")</f>
        <v/>
      </c>
      <c r="C3827" s="8">
        <f>IFERROR(Datos!C3827,"")</f>
        <v/>
      </c>
      <c r="D3827" s="28">
        <f>IFERROR(IF(AND(ISNUMBER(B3827),ISNUMBER(B3826),B3826&lt;&gt;0),B3827/B3826-1,""),"")</f>
        <v/>
      </c>
      <c r="E3827" s="28">
        <f>IFERROR(IF(AND(ISNUMBER(C3827),ISNUMBER(C3826),C3826&lt;&gt;0),C3827/C3826-1,""),"")</f>
        <v/>
      </c>
      <c r="F3827" s="28">
        <f>IFERROR(D3827-Dashboard!$B$4/252,"")</f>
        <v/>
      </c>
      <c r="G3827" s="28">
        <f>IFERROR(E3827-Dashboard!$B$4/252,"")</f>
        <v/>
      </c>
      <c r="H3827" s="8">
        <f>IFERROR(IF(ISNUMBER(B3827),MAX(B3827,IFERROR(H3826,B3827)),""),"")</f>
        <v/>
      </c>
      <c r="I3827" s="29">
        <f>IFERROR(IF(AND(ISNUMBER(B3827),ISNUMBER(H3827)),B3827/H3827-1,""),"")</f>
        <v/>
      </c>
      <c r="J3827" s="8">
        <f>IFERROR(IF(ISNUMBER(C3827),MAX(C3827,IFERROR(J3826,C3827)),""),"")</f>
        <v/>
      </c>
      <c r="K3827" s="29">
        <f>IFERROR(IF(AND(ISNUMBER(C3827),ISNUMBER(J3827)),C3827/J3827-1,""),"")</f>
        <v/>
      </c>
      <c r="L3827" s="28">
        <f>IFERROR(IF(AND(ISNUMBER(D3827),ISNUMBER(E3827)),D3827-E3827,""),"")</f>
        <v/>
      </c>
    </row>
    <row r="3828">
      <c r="A3828" s="7">
        <f>IFERROR(Datos!A3828,"")</f>
        <v/>
      </c>
      <c r="B3828" s="8">
        <f>IFERROR(Datos!B3828,"")</f>
        <v/>
      </c>
      <c r="C3828" s="8">
        <f>IFERROR(Datos!C3828,"")</f>
        <v/>
      </c>
      <c r="D3828" s="28">
        <f>IFERROR(IF(AND(ISNUMBER(B3828),ISNUMBER(B3827),B3827&lt;&gt;0),B3828/B3827-1,""),"")</f>
        <v/>
      </c>
      <c r="E3828" s="28">
        <f>IFERROR(IF(AND(ISNUMBER(C3828),ISNUMBER(C3827),C3827&lt;&gt;0),C3828/C3827-1,""),"")</f>
        <v/>
      </c>
      <c r="F3828" s="28">
        <f>IFERROR(D3828-Dashboard!$B$4/252,"")</f>
        <v/>
      </c>
      <c r="G3828" s="28">
        <f>IFERROR(E3828-Dashboard!$B$4/252,"")</f>
        <v/>
      </c>
      <c r="H3828" s="8">
        <f>IFERROR(IF(ISNUMBER(B3828),MAX(B3828,IFERROR(H3827,B3828)),""),"")</f>
        <v/>
      </c>
      <c r="I3828" s="29">
        <f>IFERROR(IF(AND(ISNUMBER(B3828),ISNUMBER(H3828)),B3828/H3828-1,""),"")</f>
        <v/>
      </c>
      <c r="J3828" s="8">
        <f>IFERROR(IF(ISNUMBER(C3828),MAX(C3828,IFERROR(J3827,C3828)),""),"")</f>
        <v/>
      </c>
      <c r="K3828" s="29">
        <f>IFERROR(IF(AND(ISNUMBER(C3828),ISNUMBER(J3828)),C3828/J3828-1,""),"")</f>
        <v/>
      </c>
      <c r="L3828" s="28">
        <f>IFERROR(IF(AND(ISNUMBER(D3828),ISNUMBER(E3828)),D3828-E3828,""),"")</f>
        <v/>
      </c>
    </row>
    <row r="3829">
      <c r="A3829" s="7">
        <f>IFERROR(Datos!A3829,"")</f>
        <v/>
      </c>
      <c r="B3829" s="8">
        <f>IFERROR(Datos!B3829,"")</f>
        <v/>
      </c>
      <c r="C3829" s="8">
        <f>IFERROR(Datos!C3829,"")</f>
        <v/>
      </c>
      <c r="D3829" s="28">
        <f>IFERROR(IF(AND(ISNUMBER(B3829),ISNUMBER(B3828),B3828&lt;&gt;0),B3829/B3828-1,""),"")</f>
        <v/>
      </c>
      <c r="E3829" s="28">
        <f>IFERROR(IF(AND(ISNUMBER(C3829),ISNUMBER(C3828),C3828&lt;&gt;0),C3829/C3828-1,""),"")</f>
        <v/>
      </c>
      <c r="F3829" s="28">
        <f>IFERROR(D3829-Dashboard!$B$4/252,"")</f>
        <v/>
      </c>
      <c r="G3829" s="28">
        <f>IFERROR(E3829-Dashboard!$B$4/252,"")</f>
        <v/>
      </c>
      <c r="H3829" s="8">
        <f>IFERROR(IF(ISNUMBER(B3829),MAX(B3829,IFERROR(H3828,B3829)),""),"")</f>
        <v/>
      </c>
      <c r="I3829" s="29">
        <f>IFERROR(IF(AND(ISNUMBER(B3829),ISNUMBER(H3829)),B3829/H3829-1,""),"")</f>
        <v/>
      </c>
      <c r="J3829" s="8">
        <f>IFERROR(IF(ISNUMBER(C3829),MAX(C3829,IFERROR(J3828,C3829)),""),"")</f>
        <v/>
      </c>
      <c r="K3829" s="29">
        <f>IFERROR(IF(AND(ISNUMBER(C3829),ISNUMBER(J3829)),C3829/J3829-1,""),"")</f>
        <v/>
      </c>
      <c r="L3829" s="28">
        <f>IFERROR(IF(AND(ISNUMBER(D3829),ISNUMBER(E3829)),D3829-E3829,""),"")</f>
        <v/>
      </c>
    </row>
    <row r="3830">
      <c r="A3830" s="7">
        <f>IFERROR(Datos!A3830,"")</f>
        <v/>
      </c>
      <c r="B3830" s="8">
        <f>IFERROR(Datos!B3830,"")</f>
        <v/>
      </c>
      <c r="C3830" s="8">
        <f>IFERROR(Datos!C3830,"")</f>
        <v/>
      </c>
      <c r="D3830" s="28">
        <f>IFERROR(IF(AND(ISNUMBER(B3830),ISNUMBER(B3829),B3829&lt;&gt;0),B3830/B3829-1,""),"")</f>
        <v/>
      </c>
      <c r="E3830" s="28">
        <f>IFERROR(IF(AND(ISNUMBER(C3830),ISNUMBER(C3829),C3829&lt;&gt;0),C3830/C3829-1,""),"")</f>
        <v/>
      </c>
      <c r="F3830" s="28">
        <f>IFERROR(D3830-Dashboard!$B$4/252,"")</f>
        <v/>
      </c>
      <c r="G3830" s="28">
        <f>IFERROR(E3830-Dashboard!$B$4/252,"")</f>
        <v/>
      </c>
      <c r="H3830" s="8">
        <f>IFERROR(IF(ISNUMBER(B3830),MAX(B3830,IFERROR(H3829,B3830)),""),"")</f>
        <v/>
      </c>
      <c r="I3830" s="29">
        <f>IFERROR(IF(AND(ISNUMBER(B3830),ISNUMBER(H3830)),B3830/H3830-1,""),"")</f>
        <v/>
      </c>
      <c r="J3830" s="8">
        <f>IFERROR(IF(ISNUMBER(C3830),MAX(C3830,IFERROR(J3829,C3830)),""),"")</f>
        <v/>
      </c>
      <c r="K3830" s="29">
        <f>IFERROR(IF(AND(ISNUMBER(C3830),ISNUMBER(J3830)),C3830/J3830-1,""),"")</f>
        <v/>
      </c>
      <c r="L3830" s="28">
        <f>IFERROR(IF(AND(ISNUMBER(D3830),ISNUMBER(E3830)),D3830-E3830,""),"")</f>
        <v/>
      </c>
    </row>
    <row r="3831">
      <c r="A3831" s="7">
        <f>IFERROR(Datos!A3831,"")</f>
        <v/>
      </c>
      <c r="B3831" s="8">
        <f>IFERROR(Datos!B3831,"")</f>
        <v/>
      </c>
      <c r="C3831" s="8">
        <f>IFERROR(Datos!C3831,"")</f>
        <v/>
      </c>
      <c r="D3831" s="28">
        <f>IFERROR(IF(AND(ISNUMBER(B3831),ISNUMBER(B3830),B3830&lt;&gt;0),B3831/B3830-1,""),"")</f>
        <v/>
      </c>
      <c r="E3831" s="28">
        <f>IFERROR(IF(AND(ISNUMBER(C3831),ISNUMBER(C3830),C3830&lt;&gt;0),C3831/C3830-1,""),"")</f>
        <v/>
      </c>
      <c r="F3831" s="28">
        <f>IFERROR(D3831-Dashboard!$B$4/252,"")</f>
        <v/>
      </c>
      <c r="G3831" s="28">
        <f>IFERROR(E3831-Dashboard!$B$4/252,"")</f>
        <v/>
      </c>
      <c r="H3831" s="8">
        <f>IFERROR(IF(ISNUMBER(B3831),MAX(B3831,IFERROR(H3830,B3831)),""),"")</f>
        <v/>
      </c>
      <c r="I3831" s="29">
        <f>IFERROR(IF(AND(ISNUMBER(B3831),ISNUMBER(H3831)),B3831/H3831-1,""),"")</f>
        <v/>
      </c>
      <c r="J3831" s="8">
        <f>IFERROR(IF(ISNUMBER(C3831),MAX(C3831,IFERROR(J3830,C3831)),""),"")</f>
        <v/>
      </c>
      <c r="K3831" s="29">
        <f>IFERROR(IF(AND(ISNUMBER(C3831),ISNUMBER(J3831)),C3831/J3831-1,""),"")</f>
        <v/>
      </c>
      <c r="L3831" s="28">
        <f>IFERROR(IF(AND(ISNUMBER(D3831),ISNUMBER(E3831)),D3831-E3831,""),"")</f>
        <v/>
      </c>
    </row>
    <row r="3832">
      <c r="A3832" s="7">
        <f>IFERROR(Datos!A3832,"")</f>
        <v/>
      </c>
      <c r="B3832" s="8">
        <f>IFERROR(Datos!B3832,"")</f>
        <v/>
      </c>
      <c r="C3832" s="8">
        <f>IFERROR(Datos!C3832,"")</f>
        <v/>
      </c>
      <c r="D3832" s="28">
        <f>IFERROR(IF(AND(ISNUMBER(B3832),ISNUMBER(B3831),B3831&lt;&gt;0),B3832/B3831-1,""),"")</f>
        <v/>
      </c>
      <c r="E3832" s="28">
        <f>IFERROR(IF(AND(ISNUMBER(C3832),ISNUMBER(C3831),C3831&lt;&gt;0),C3832/C3831-1,""),"")</f>
        <v/>
      </c>
      <c r="F3832" s="28">
        <f>IFERROR(D3832-Dashboard!$B$4/252,"")</f>
        <v/>
      </c>
      <c r="G3832" s="28">
        <f>IFERROR(E3832-Dashboard!$B$4/252,"")</f>
        <v/>
      </c>
      <c r="H3832" s="8">
        <f>IFERROR(IF(ISNUMBER(B3832),MAX(B3832,IFERROR(H3831,B3832)),""),"")</f>
        <v/>
      </c>
      <c r="I3832" s="29">
        <f>IFERROR(IF(AND(ISNUMBER(B3832),ISNUMBER(H3832)),B3832/H3832-1,""),"")</f>
        <v/>
      </c>
      <c r="J3832" s="8">
        <f>IFERROR(IF(ISNUMBER(C3832),MAX(C3832,IFERROR(J3831,C3832)),""),"")</f>
        <v/>
      </c>
      <c r="K3832" s="29">
        <f>IFERROR(IF(AND(ISNUMBER(C3832),ISNUMBER(J3832)),C3832/J3832-1,""),"")</f>
        <v/>
      </c>
      <c r="L3832" s="28">
        <f>IFERROR(IF(AND(ISNUMBER(D3832),ISNUMBER(E3832)),D3832-E3832,""),"")</f>
        <v/>
      </c>
    </row>
    <row r="3833">
      <c r="A3833" s="7">
        <f>IFERROR(Datos!A3833,"")</f>
        <v/>
      </c>
      <c r="B3833" s="8">
        <f>IFERROR(Datos!B3833,"")</f>
        <v/>
      </c>
      <c r="C3833" s="8">
        <f>IFERROR(Datos!C3833,"")</f>
        <v/>
      </c>
      <c r="D3833" s="28">
        <f>IFERROR(IF(AND(ISNUMBER(B3833),ISNUMBER(B3832),B3832&lt;&gt;0),B3833/B3832-1,""),"")</f>
        <v/>
      </c>
      <c r="E3833" s="28">
        <f>IFERROR(IF(AND(ISNUMBER(C3833),ISNUMBER(C3832),C3832&lt;&gt;0),C3833/C3832-1,""),"")</f>
        <v/>
      </c>
      <c r="F3833" s="28">
        <f>IFERROR(D3833-Dashboard!$B$4/252,"")</f>
        <v/>
      </c>
      <c r="G3833" s="28">
        <f>IFERROR(E3833-Dashboard!$B$4/252,"")</f>
        <v/>
      </c>
      <c r="H3833" s="8">
        <f>IFERROR(IF(ISNUMBER(B3833),MAX(B3833,IFERROR(H3832,B3833)),""),"")</f>
        <v/>
      </c>
      <c r="I3833" s="29">
        <f>IFERROR(IF(AND(ISNUMBER(B3833),ISNUMBER(H3833)),B3833/H3833-1,""),"")</f>
        <v/>
      </c>
      <c r="J3833" s="8">
        <f>IFERROR(IF(ISNUMBER(C3833),MAX(C3833,IFERROR(J3832,C3833)),""),"")</f>
        <v/>
      </c>
      <c r="K3833" s="29">
        <f>IFERROR(IF(AND(ISNUMBER(C3833),ISNUMBER(J3833)),C3833/J3833-1,""),"")</f>
        <v/>
      </c>
      <c r="L3833" s="28">
        <f>IFERROR(IF(AND(ISNUMBER(D3833),ISNUMBER(E3833)),D3833-E3833,""),"")</f>
        <v/>
      </c>
    </row>
    <row r="3834">
      <c r="A3834" s="7">
        <f>IFERROR(Datos!A3834,"")</f>
        <v/>
      </c>
      <c r="B3834" s="8">
        <f>IFERROR(Datos!B3834,"")</f>
        <v/>
      </c>
      <c r="C3834" s="8">
        <f>IFERROR(Datos!C3834,"")</f>
        <v/>
      </c>
      <c r="D3834" s="28">
        <f>IFERROR(IF(AND(ISNUMBER(B3834),ISNUMBER(B3833),B3833&lt;&gt;0),B3834/B3833-1,""),"")</f>
        <v/>
      </c>
      <c r="E3834" s="28">
        <f>IFERROR(IF(AND(ISNUMBER(C3834),ISNUMBER(C3833),C3833&lt;&gt;0),C3834/C3833-1,""),"")</f>
        <v/>
      </c>
      <c r="F3834" s="28">
        <f>IFERROR(D3834-Dashboard!$B$4/252,"")</f>
        <v/>
      </c>
      <c r="G3834" s="28">
        <f>IFERROR(E3834-Dashboard!$B$4/252,"")</f>
        <v/>
      </c>
      <c r="H3834" s="8">
        <f>IFERROR(IF(ISNUMBER(B3834),MAX(B3834,IFERROR(H3833,B3834)),""),"")</f>
        <v/>
      </c>
      <c r="I3834" s="29">
        <f>IFERROR(IF(AND(ISNUMBER(B3834),ISNUMBER(H3834)),B3834/H3834-1,""),"")</f>
        <v/>
      </c>
      <c r="J3834" s="8">
        <f>IFERROR(IF(ISNUMBER(C3834),MAX(C3834,IFERROR(J3833,C3834)),""),"")</f>
        <v/>
      </c>
      <c r="K3834" s="29">
        <f>IFERROR(IF(AND(ISNUMBER(C3834),ISNUMBER(J3834)),C3834/J3834-1,""),"")</f>
        <v/>
      </c>
      <c r="L3834" s="28">
        <f>IFERROR(IF(AND(ISNUMBER(D3834),ISNUMBER(E3834)),D3834-E3834,""),"")</f>
        <v/>
      </c>
    </row>
    <row r="3835">
      <c r="A3835" s="7">
        <f>IFERROR(Datos!A3835,"")</f>
        <v/>
      </c>
      <c r="B3835" s="8">
        <f>IFERROR(Datos!B3835,"")</f>
        <v/>
      </c>
      <c r="C3835" s="8">
        <f>IFERROR(Datos!C3835,"")</f>
        <v/>
      </c>
      <c r="D3835" s="28">
        <f>IFERROR(IF(AND(ISNUMBER(B3835),ISNUMBER(B3834),B3834&lt;&gt;0),B3835/B3834-1,""),"")</f>
        <v/>
      </c>
      <c r="E3835" s="28">
        <f>IFERROR(IF(AND(ISNUMBER(C3835),ISNUMBER(C3834),C3834&lt;&gt;0),C3835/C3834-1,""),"")</f>
        <v/>
      </c>
      <c r="F3835" s="28">
        <f>IFERROR(D3835-Dashboard!$B$4/252,"")</f>
        <v/>
      </c>
      <c r="G3835" s="28">
        <f>IFERROR(E3835-Dashboard!$B$4/252,"")</f>
        <v/>
      </c>
      <c r="H3835" s="8">
        <f>IFERROR(IF(ISNUMBER(B3835),MAX(B3835,IFERROR(H3834,B3835)),""),"")</f>
        <v/>
      </c>
      <c r="I3835" s="29">
        <f>IFERROR(IF(AND(ISNUMBER(B3835),ISNUMBER(H3835)),B3835/H3835-1,""),"")</f>
        <v/>
      </c>
      <c r="J3835" s="8">
        <f>IFERROR(IF(ISNUMBER(C3835),MAX(C3835,IFERROR(J3834,C3835)),""),"")</f>
        <v/>
      </c>
      <c r="K3835" s="29">
        <f>IFERROR(IF(AND(ISNUMBER(C3835),ISNUMBER(J3835)),C3835/J3835-1,""),"")</f>
        <v/>
      </c>
      <c r="L3835" s="28">
        <f>IFERROR(IF(AND(ISNUMBER(D3835),ISNUMBER(E3835)),D3835-E3835,""),"")</f>
        <v/>
      </c>
    </row>
    <row r="3836">
      <c r="A3836" s="7">
        <f>IFERROR(Datos!A3836,"")</f>
        <v/>
      </c>
      <c r="B3836" s="8">
        <f>IFERROR(Datos!B3836,"")</f>
        <v/>
      </c>
      <c r="C3836" s="8">
        <f>IFERROR(Datos!C3836,"")</f>
        <v/>
      </c>
      <c r="D3836" s="28">
        <f>IFERROR(IF(AND(ISNUMBER(B3836),ISNUMBER(B3835),B3835&lt;&gt;0),B3836/B3835-1,""),"")</f>
        <v/>
      </c>
      <c r="E3836" s="28">
        <f>IFERROR(IF(AND(ISNUMBER(C3836),ISNUMBER(C3835),C3835&lt;&gt;0),C3836/C3835-1,""),"")</f>
        <v/>
      </c>
      <c r="F3836" s="28">
        <f>IFERROR(D3836-Dashboard!$B$4/252,"")</f>
        <v/>
      </c>
      <c r="G3836" s="28">
        <f>IFERROR(E3836-Dashboard!$B$4/252,"")</f>
        <v/>
      </c>
      <c r="H3836" s="8">
        <f>IFERROR(IF(ISNUMBER(B3836),MAX(B3836,IFERROR(H3835,B3836)),""),"")</f>
        <v/>
      </c>
      <c r="I3836" s="29">
        <f>IFERROR(IF(AND(ISNUMBER(B3836),ISNUMBER(H3836)),B3836/H3836-1,""),"")</f>
        <v/>
      </c>
      <c r="J3836" s="8">
        <f>IFERROR(IF(ISNUMBER(C3836),MAX(C3836,IFERROR(J3835,C3836)),""),"")</f>
        <v/>
      </c>
      <c r="K3836" s="29">
        <f>IFERROR(IF(AND(ISNUMBER(C3836),ISNUMBER(J3836)),C3836/J3836-1,""),"")</f>
        <v/>
      </c>
      <c r="L3836" s="28">
        <f>IFERROR(IF(AND(ISNUMBER(D3836),ISNUMBER(E3836)),D3836-E3836,""),"")</f>
        <v/>
      </c>
    </row>
    <row r="3837">
      <c r="A3837" s="7">
        <f>IFERROR(Datos!A3837,"")</f>
        <v/>
      </c>
      <c r="B3837" s="8">
        <f>IFERROR(Datos!B3837,"")</f>
        <v/>
      </c>
      <c r="C3837" s="8">
        <f>IFERROR(Datos!C3837,"")</f>
        <v/>
      </c>
      <c r="D3837" s="28">
        <f>IFERROR(IF(AND(ISNUMBER(B3837),ISNUMBER(B3836),B3836&lt;&gt;0),B3837/B3836-1,""),"")</f>
        <v/>
      </c>
      <c r="E3837" s="28">
        <f>IFERROR(IF(AND(ISNUMBER(C3837),ISNUMBER(C3836),C3836&lt;&gt;0),C3837/C3836-1,""),"")</f>
        <v/>
      </c>
      <c r="F3837" s="28">
        <f>IFERROR(D3837-Dashboard!$B$4/252,"")</f>
        <v/>
      </c>
      <c r="G3837" s="28">
        <f>IFERROR(E3837-Dashboard!$B$4/252,"")</f>
        <v/>
      </c>
      <c r="H3837" s="8">
        <f>IFERROR(IF(ISNUMBER(B3837),MAX(B3837,IFERROR(H3836,B3837)),""),"")</f>
        <v/>
      </c>
      <c r="I3837" s="29">
        <f>IFERROR(IF(AND(ISNUMBER(B3837),ISNUMBER(H3837)),B3837/H3837-1,""),"")</f>
        <v/>
      </c>
      <c r="J3837" s="8">
        <f>IFERROR(IF(ISNUMBER(C3837),MAX(C3837,IFERROR(J3836,C3837)),""),"")</f>
        <v/>
      </c>
      <c r="K3837" s="29">
        <f>IFERROR(IF(AND(ISNUMBER(C3837),ISNUMBER(J3837)),C3837/J3837-1,""),"")</f>
        <v/>
      </c>
      <c r="L3837" s="28">
        <f>IFERROR(IF(AND(ISNUMBER(D3837),ISNUMBER(E3837)),D3837-E3837,""),"")</f>
        <v/>
      </c>
    </row>
    <row r="3838">
      <c r="A3838" s="7">
        <f>IFERROR(Datos!A3838,"")</f>
        <v/>
      </c>
      <c r="B3838" s="8">
        <f>IFERROR(Datos!B3838,"")</f>
        <v/>
      </c>
      <c r="C3838" s="8">
        <f>IFERROR(Datos!C3838,"")</f>
        <v/>
      </c>
      <c r="D3838" s="28">
        <f>IFERROR(IF(AND(ISNUMBER(B3838),ISNUMBER(B3837),B3837&lt;&gt;0),B3838/B3837-1,""),"")</f>
        <v/>
      </c>
      <c r="E3838" s="28">
        <f>IFERROR(IF(AND(ISNUMBER(C3838),ISNUMBER(C3837),C3837&lt;&gt;0),C3838/C3837-1,""),"")</f>
        <v/>
      </c>
      <c r="F3838" s="28">
        <f>IFERROR(D3838-Dashboard!$B$4/252,"")</f>
        <v/>
      </c>
      <c r="G3838" s="28">
        <f>IFERROR(E3838-Dashboard!$B$4/252,"")</f>
        <v/>
      </c>
      <c r="H3838" s="8">
        <f>IFERROR(IF(ISNUMBER(B3838),MAX(B3838,IFERROR(H3837,B3838)),""),"")</f>
        <v/>
      </c>
      <c r="I3838" s="29">
        <f>IFERROR(IF(AND(ISNUMBER(B3838),ISNUMBER(H3838)),B3838/H3838-1,""),"")</f>
        <v/>
      </c>
      <c r="J3838" s="8">
        <f>IFERROR(IF(ISNUMBER(C3838),MAX(C3838,IFERROR(J3837,C3838)),""),"")</f>
        <v/>
      </c>
      <c r="K3838" s="29">
        <f>IFERROR(IF(AND(ISNUMBER(C3838),ISNUMBER(J3838)),C3838/J3838-1,""),"")</f>
        <v/>
      </c>
      <c r="L3838" s="28">
        <f>IFERROR(IF(AND(ISNUMBER(D3838),ISNUMBER(E3838)),D3838-E3838,""),"")</f>
        <v/>
      </c>
    </row>
    <row r="3839">
      <c r="A3839" s="7">
        <f>IFERROR(Datos!A3839,"")</f>
        <v/>
      </c>
      <c r="B3839" s="8">
        <f>IFERROR(Datos!B3839,"")</f>
        <v/>
      </c>
      <c r="C3839" s="8">
        <f>IFERROR(Datos!C3839,"")</f>
        <v/>
      </c>
      <c r="D3839" s="28">
        <f>IFERROR(IF(AND(ISNUMBER(B3839),ISNUMBER(B3838),B3838&lt;&gt;0),B3839/B3838-1,""),"")</f>
        <v/>
      </c>
      <c r="E3839" s="28">
        <f>IFERROR(IF(AND(ISNUMBER(C3839),ISNUMBER(C3838),C3838&lt;&gt;0),C3839/C3838-1,""),"")</f>
        <v/>
      </c>
      <c r="F3839" s="28">
        <f>IFERROR(D3839-Dashboard!$B$4/252,"")</f>
        <v/>
      </c>
      <c r="G3839" s="28">
        <f>IFERROR(E3839-Dashboard!$B$4/252,"")</f>
        <v/>
      </c>
      <c r="H3839" s="8">
        <f>IFERROR(IF(ISNUMBER(B3839),MAX(B3839,IFERROR(H3838,B3839)),""),"")</f>
        <v/>
      </c>
      <c r="I3839" s="29">
        <f>IFERROR(IF(AND(ISNUMBER(B3839),ISNUMBER(H3839)),B3839/H3839-1,""),"")</f>
        <v/>
      </c>
      <c r="J3839" s="8">
        <f>IFERROR(IF(ISNUMBER(C3839),MAX(C3839,IFERROR(J3838,C3839)),""),"")</f>
        <v/>
      </c>
      <c r="K3839" s="29">
        <f>IFERROR(IF(AND(ISNUMBER(C3839),ISNUMBER(J3839)),C3839/J3839-1,""),"")</f>
        <v/>
      </c>
      <c r="L3839" s="28">
        <f>IFERROR(IF(AND(ISNUMBER(D3839),ISNUMBER(E3839)),D3839-E3839,""),"")</f>
        <v/>
      </c>
    </row>
    <row r="3840">
      <c r="A3840" s="7">
        <f>IFERROR(Datos!A3840,"")</f>
        <v/>
      </c>
      <c r="B3840" s="8">
        <f>IFERROR(Datos!B3840,"")</f>
        <v/>
      </c>
      <c r="C3840" s="8">
        <f>IFERROR(Datos!C3840,"")</f>
        <v/>
      </c>
      <c r="D3840" s="28">
        <f>IFERROR(IF(AND(ISNUMBER(B3840),ISNUMBER(B3839),B3839&lt;&gt;0),B3840/B3839-1,""),"")</f>
        <v/>
      </c>
      <c r="E3840" s="28">
        <f>IFERROR(IF(AND(ISNUMBER(C3840),ISNUMBER(C3839),C3839&lt;&gt;0),C3840/C3839-1,""),"")</f>
        <v/>
      </c>
      <c r="F3840" s="28">
        <f>IFERROR(D3840-Dashboard!$B$4/252,"")</f>
        <v/>
      </c>
      <c r="G3840" s="28">
        <f>IFERROR(E3840-Dashboard!$B$4/252,"")</f>
        <v/>
      </c>
      <c r="H3840" s="8">
        <f>IFERROR(IF(ISNUMBER(B3840),MAX(B3840,IFERROR(H3839,B3840)),""),"")</f>
        <v/>
      </c>
      <c r="I3840" s="29">
        <f>IFERROR(IF(AND(ISNUMBER(B3840),ISNUMBER(H3840)),B3840/H3840-1,""),"")</f>
        <v/>
      </c>
      <c r="J3840" s="8">
        <f>IFERROR(IF(ISNUMBER(C3840),MAX(C3840,IFERROR(J3839,C3840)),""),"")</f>
        <v/>
      </c>
      <c r="K3840" s="29">
        <f>IFERROR(IF(AND(ISNUMBER(C3840),ISNUMBER(J3840)),C3840/J3840-1,""),"")</f>
        <v/>
      </c>
      <c r="L3840" s="28">
        <f>IFERROR(IF(AND(ISNUMBER(D3840),ISNUMBER(E3840)),D3840-E3840,""),"")</f>
        <v/>
      </c>
    </row>
    <row r="3841">
      <c r="A3841" s="7">
        <f>IFERROR(Datos!A3841,"")</f>
        <v/>
      </c>
      <c r="B3841" s="8">
        <f>IFERROR(Datos!B3841,"")</f>
        <v/>
      </c>
      <c r="C3841" s="8">
        <f>IFERROR(Datos!C3841,"")</f>
        <v/>
      </c>
      <c r="D3841" s="28">
        <f>IFERROR(IF(AND(ISNUMBER(B3841),ISNUMBER(B3840),B3840&lt;&gt;0),B3841/B3840-1,""),"")</f>
        <v/>
      </c>
      <c r="E3841" s="28">
        <f>IFERROR(IF(AND(ISNUMBER(C3841),ISNUMBER(C3840),C3840&lt;&gt;0),C3841/C3840-1,""),"")</f>
        <v/>
      </c>
      <c r="F3841" s="28">
        <f>IFERROR(D3841-Dashboard!$B$4/252,"")</f>
        <v/>
      </c>
      <c r="G3841" s="28">
        <f>IFERROR(E3841-Dashboard!$B$4/252,"")</f>
        <v/>
      </c>
      <c r="H3841" s="8">
        <f>IFERROR(IF(ISNUMBER(B3841),MAX(B3841,IFERROR(H3840,B3841)),""),"")</f>
        <v/>
      </c>
      <c r="I3841" s="29">
        <f>IFERROR(IF(AND(ISNUMBER(B3841),ISNUMBER(H3841)),B3841/H3841-1,""),"")</f>
        <v/>
      </c>
      <c r="J3841" s="8">
        <f>IFERROR(IF(ISNUMBER(C3841),MAX(C3841,IFERROR(J3840,C3841)),""),"")</f>
        <v/>
      </c>
      <c r="K3841" s="29">
        <f>IFERROR(IF(AND(ISNUMBER(C3841),ISNUMBER(J3841)),C3841/J3841-1,""),"")</f>
        <v/>
      </c>
      <c r="L3841" s="28">
        <f>IFERROR(IF(AND(ISNUMBER(D3841),ISNUMBER(E3841)),D3841-E3841,""),"")</f>
        <v/>
      </c>
    </row>
    <row r="3842">
      <c r="A3842" s="7">
        <f>IFERROR(Datos!A3842,"")</f>
        <v/>
      </c>
      <c r="B3842" s="8">
        <f>IFERROR(Datos!B3842,"")</f>
        <v/>
      </c>
      <c r="C3842" s="8">
        <f>IFERROR(Datos!C3842,"")</f>
        <v/>
      </c>
      <c r="D3842" s="28">
        <f>IFERROR(IF(AND(ISNUMBER(B3842),ISNUMBER(B3841),B3841&lt;&gt;0),B3842/B3841-1,""),"")</f>
        <v/>
      </c>
      <c r="E3842" s="28">
        <f>IFERROR(IF(AND(ISNUMBER(C3842),ISNUMBER(C3841),C3841&lt;&gt;0),C3842/C3841-1,""),"")</f>
        <v/>
      </c>
      <c r="F3842" s="28">
        <f>IFERROR(D3842-Dashboard!$B$4/252,"")</f>
        <v/>
      </c>
      <c r="G3842" s="28">
        <f>IFERROR(E3842-Dashboard!$B$4/252,"")</f>
        <v/>
      </c>
      <c r="H3842" s="8">
        <f>IFERROR(IF(ISNUMBER(B3842),MAX(B3842,IFERROR(H3841,B3842)),""),"")</f>
        <v/>
      </c>
      <c r="I3842" s="29">
        <f>IFERROR(IF(AND(ISNUMBER(B3842),ISNUMBER(H3842)),B3842/H3842-1,""),"")</f>
        <v/>
      </c>
      <c r="J3842" s="8">
        <f>IFERROR(IF(ISNUMBER(C3842),MAX(C3842,IFERROR(J3841,C3842)),""),"")</f>
        <v/>
      </c>
      <c r="K3842" s="29">
        <f>IFERROR(IF(AND(ISNUMBER(C3842),ISNUMBER(J3842)),C3842/J3842-1,""),"")</f>
        <v/>
      </c>
      <c r="L3842" s="28">
        <f>IFERROR(IF(AND(ISNUMBER(D3842),ISNUMBER(E3842)),D3842-E3842,""),"")</f>
        <v/>
      </c>
    </row>
    <row r="3843">
      <c r="A3843" s="7">
        <f>IFERROR(Datos!A3843,"")</f>
        <v/>
      </c>
      <c r="B3843" s="8">
        <f>IFERROR(Datos!B3843,"")</f>
        <v/>
      </c>
      <c r="C3843" s="8">
        <f>IFERROR(Datos!C3843,"")</f>
        <v/>
      </c>
      <c r="D3843" s="28">
        <f>IFERROR(IF(AND(ISNUMBER(B3843),ISNUMBER(B3842),B3842&lt;&gt;0),B3843/B3842-1,""),"")</f>
        <v/>
      </c>
      <c r="E3843" s="28">
        <f>IFERROR(IF(AND(ISNUMBER(C3843),ISNUMBER(C3842),C3842&lt;&gt;0),C3843/C3842-1,""),"")</f>
        <v/>
      </c>
      <c r="F3843" s="28">
        <f>IFERROR(D3843-Dashboard!$B$4/252,"")</f>
        <v/>
      </c>
      <c r="G3843" s="28">
        <f>IFERROR(E3843-Dashboard!$B$4/252,"")</f>
        <v/>
      </c>
      <c r="H3843" s="8">
        <f>IFERROR(IF(ISNUMBER(B3843),MAX(B3843,IFERROR(H3842,B3843)),""),"")</f>
        <v/>
      </c>
      <c r="I3843" s="29">
        <f>IFERROR(IF(AND(ISNUMBER(B3843),ISNUMBER(H3843)),B3843/H3843-1,""),"")</f>
        <v/>
      </c>
      <c r="J3843" s="8">
        <f>IFERROR(IF(ISNUMBER(C3843),MAX(C3843,IFERROR(J3842,C3843)),""),"")</f>
        <v/>
      </c>
      <c r="K3843" s="29">
        <f>IFERROR(IF(AND(ISNUMBER(C3843),ISNUMBER(J3843)),C3843/J3843-1,""),"")</f>
        <v/>
      </c>
      <c r="L3843" s="28">
        <f>IFERROR(IF(AND(ISNUMBER(D3843),ISNUMBER(E3843)),D3843-E3843,""),"")</f>
        <v/>
      </c>
    </row>
    <row r="3844">
      <c r="A3844" s="7">
        <f>IFERROR(Datos!A3844,"")</f>
        <v/>
      </c>
      <c r="B3844" s="8">
        <f>IFERROR(Datos!B3844,"")</f>
        <v/>
      </c>
      <c r="C3844" s="8">
        <f>IFERROR(Datos!C3844,"")</f>
        <v/>
      </c>
      <c r="D3844" s="28">
        <f>IFERROR(IF(AND(ISNUMBER(B3844),ISNUMBER(B3843),B3843&lt;&gt;0),B3844/B3843-1,""),"")</f>
        <v/>
      </c>
      <c r="E3844" s="28">
        <f>IFERROR(IF(AND(ISNUMBER(C3844),ISNUMBER(C3843),C3843&lt;&gt;0),C3844/C3843-1,""),"")</f>
        <v/>
      </c>
      <c r="F3844" s="28">
        <f>IFERROR(D3844-Dashboard!$B$4/252,"")</f>
        <v/>
      </c>
      <c r="G3844" s="28">
        <f>IFERROR(E3844-Dashboard!$B$4/252,"")</f>
        <v/>
      </c>
      <c r="H3844" s="8">
        <f>IFERROR(IF(ISNUMBER(B3844),MAX(B3844,IFERROR(H3843,B3844)),""),"")</f>
        <v/>
      </c>
      <c r="I3844" s="29">
        <f>IFERROR(IF(AND(ISNUMBER(B3844),ISNUMBER(H3844)),B3844/H3844-1,""),"")</f>
        <v/>
      </c>
      <c r="J3844" s="8">
        <f>IFERROR(IF(ISNUMBER(C3844),MAX(C3844,IFERROR(J3843,C3844)),""),"")</f>
        <v/>
      </c>
      <c r="K3844" s="29">
        <f>IFERROR(IF(AND(ISNUMBER(C3844),ISNUMBER(J3844)),C3844/J3844-1,""),"")</f>
        <v/>
      </c>
      <c r="L3844" s="28">
        <f>IFERROR(IF(AND(ISNUMBER(D3844),ISNUMBER(E3844)),D3844-E3844,""),"")</f>
        <v/>
      </c>
    </row>
    <row r="3845">
      <c r="A3845" s="7">
        <f>IFERROR(Datos!A3845,"")</f>
        <v/>
      </c>
      <c r="B3845" s="8">
        <f>IFERROR(Datos!B3845,"")</f>
        <v/>
      </c>
      <c r="C3845" s="8">
        <f>IFERROR(Datos!C3845,"")</f>
        <v/>
      </c>
      <c r="D3845" s="28">
        <f>IFERROR(IF(AND(ISNUMBER(B3845),ISNUMBER(B3844),B3844&lt;&gt;0),B3845/B3844-1,""),"")</f>
        <v/>
      </c>
      <c r="E3845" s="28">
        <f>IFERROR(IF(AND(ISNUMBER(C3845),ISNUMBER(C3844),C3844&lt;&gt;0),C3845/C3844-1,""),"")</f>
        <v/>
      </c>
      <c r="F3845" s="28">
        <f>IFERROR(D3845-Dashboard!$B$4/252,"")</f>
        <v/>
      </c>
      <c r="G3845" s="28">
        <f>IFERROR(E3845-Dashboard!$B$4/252,"")</f>
        <v/>
      </c>
      <c r="H3845" s="8">
        <f>IFERROR(IF(ISNUMBER(B3845),MAX(B3845,IFERROR(H3844,B3845)),""),"")</f>
        <v/>
      </c>
      <c r="I3845" s="29">
        <f>IFERROR(IF(AND(ISNUMBER(B3845),ISNUMBER(H3845)),B3845/H3845-1,""),"")</f>
        <v/>
      </c>
      <c r="J3845" s="8">
        <f>IFERROR(IF(ISNUMBER(C3845),MAX(C3845,IFERROR(J3844,C3845)),""),"")</f>
        <v/>
      </c>
      <c r="K3845" s="29">
        <f>IFERROR(IF(AND(ISNUMBER(C3845),ISNUMBER(J3845)),C3845/J3845-1,""),"")</f>
        <v/>
      </c>
      <c r="L3845" s="28">
        <f>IFERROR(IF(AND(ISNUMBER(D3845),ISNUMBER(E3845)),D3845-E3845,""),"")</f>
        <v/>
      </c>
    </row>
    <row r="3846">
      <c r="A3846" s="7">
        <f>IFERROR(Datos!A3846,"")</f>
        <v/>
      </c>
      <c r="B3846" s="8">
        <f>IFERROR(Datos!B3846,"")</f>
        <v/>
      </c>
      <c r="C3846" s="8">
        <f>IFERROR(Datos!C3846,"")</f>
        <v/>
      </c>
      <c r="D3846" s="28">
        <f>IFERROR(IF(AND(ISNUMBER(B3846),ISNUMBER(B3845),B3845&lt;&gt;0),B3846/B3845-1,""),"")</f>
        <v/>
      </c>
      <c r="E3846" s="28">
        <f>IFERROR(IF(AND(ISNUMBER(C3846),ISNUMBER(C3845),C3845&lt;&gt;0),C3846/C3845-1,""),"")</f>
        <v/>
      </c>
      <c r="F3846" s="28">
        <f>IFERROR(D3846-Dashboard!$B$4/252,"")</f>
        <v/>
      </c>
      <c r="G3846" s="28">
        <f>IFERROR(E3846-Dashboard!$B$4/252,"")</f>
        <v/>
      </c>
      <c r="H3846" s="8">
        <f>IFERROR(IF(ISNUMBER(B3846),MAX(B3846,IFERROR(H3845,B3846)),""),"")</f>
        <v/>
      </c>
      <c r="I3846" s="29">
        <f>IFERROR(IF(AND(ISNUMBER(B3846),ISNUMBER(H3846)),B3846/H3846-1,""),"")</f>
        <v/>
      </c>
      <c r="J3846" s="8">
        <f>IFERROR(IF(ISNUMBER(C3846),MAX(C3846,IFERROR(J3845,C3846)),""),"")</f>
        <v/>
      </c>
      <c r="K3846" s="29">
        <f>IFERROR(IF(AND(ISNUMBER(C3846),ISNUMBER(J3846)),C3846/J3846-1,""),"")</f>
        <v/>
      </c>
      <c r="L3846" s="28">
        <f>IFERROR(IF(AND(ISNUMBER(D3846),ISNUMBER(E3846)),D3846-E3846,""),"")</f>
        <v/>
      </c>
    </row>
    <row r="3847">
      <c r="A3847" s="7">
        <f>IFERROR(Datos!A3847,"")</f>
        <v/>
      </c>
      <c r="B3847" s="8">
        <f>IFERROR(Datos!B3847,"")</f>
        <v/>
      </c>
      <c r="C3847" s="8">
        <f>IFERROR(Datos!C3847,"")</f>
        <v/>
      </c>
      <c r="D3847" s="28">
        <f>IFERROR(IF(AND(ISNUMBER(B3847),ISNUMBER(B3846),B3846&lt;&gt;0),B3847/B3846-1,""),"")</f>
        <v/>
      </c>
      <c r="E3847" s="28">
        <f>IFERROR(IF(AND(ISNUMBER(C3847),ISNUMBER(C3846),C3846&lt;&gt;0),C3847/C3846-1,""),"")</f>
        <v/>
      </c>
      <c r="F3847" s="28">
        <f>IFERROR(D3847-Dashboard!$B$4/252,"")</f>
        <v/>
      </c>
      <c r="G3847" s="28">
        <f>IFERROR(E3847-Dashboard!$B$4/252,"")</f>
        <v/>
      </c>
      <c r="H3847" s="8">
        <f>IFERROR(IF(ISNUMBER(B3847),MAX(B3847,IFERROR(H3846,B3847)),""),"")</f>
        <v/>
      </c>
      <c r="I3847" s="29">
        <f>IFERROR(IF(AND(ISNUMBER(B3847),ISNUMBER(H3847)),B3847/H3847-1,""),"")</f>
        <v/>
      </c>
      <c r="J3847" s="8">
        <f>IFERROR(IF(ISNUMBER(C3847),MAX(C3847,IFERROR(J3846,C3847)),""),"")</f>
        <v/>
      </c>
      <c r="K3847" s="29">
        <f>IFERROR(IF(AND(ISNUMBER(C3847),ISNUMBER(J3847)),C3847/J3847-1,""),"")</f>
        <v/>
      </c>
      <c r="L3847" s="28">
        <f>IFERROR(IF(AND(ISNUMBER(D3847),ISNUMBER(E3847)),D3847-E3847,""),"")</f>
        <v/>
      </c>
    </row>
    <row r="3848">
      <c r="A3848" s="7">
        <f>IFERROR(Datos!A3848,"")</f>
        <v/>
      </c>
      <c r="B3848" s="8">
        <f>IFERROR(Datos!B3848,"")</f>
        <v/>
      </c>
      <c r="C3848" s="8">
        <f>IFERROR(Datos!C3848,"")</f>
        <v/>
      </c>
      <c r="D3848" s="28">
        <f>IFERROR(IF(AND(ISNUMBER(B3848),ISNUMBER(B3847),B3847&lt;&gt;0),B3848/B3847-1,""),"")</f>
        <v/>
      </c>
      <c r="E3848" s="28">
        <f>IFERROR(IF(AND(ISNUMBER(C3848),ISNUMBER(C3847),C3847&lt;&gt;0),C3848/C3847-1,""),"")</f>
        <v/>
      </c>
      <c r="F3848" s="28">
        <f>IFERROR(D3848-Dashboard!$B$4/252,"")</f>
        <v/>
      </c>
      <c r="G3848" s="28">
        <f>IFERROR(E3848-Dashboard!$B$4/252,"")</f>
        <v/>
      </c>
      <c r="H3848" s="8">
        <f>IFERROR(IF(ISNUMBER(B3848),MAX(B3848,IFERROR(H3847,B3848)),""),"")</f>
        <v/>
      </c>
      <c r="I3848" s="29">
        <f>IFERROR(IF(AND(ISNUMBER(B3848),ISNUMBER(H3848)),B3848/H3848-1,""),"")</f>
        <v/>
      </c>
      <c r="J3848" s="8">
        <f>IFERROR(IF(ISNUMBER(C3848),MAX(C3848,IFERROR(J3847,C3848)),""),"")</f>
        <v/>
      </c>
      <c r="K3848" s="29">
        <f>IFERROR(IF(AND(ISNUMBER(C3848),ISNUMBER(J3848)),C3848/J3848-1,""),"")</f>
        <v/>
      </c>
      <c r="L3848" s="28">
        <f>IFERROR(IF(AND(ISNUMBER(D3848),ISNUMBER(E3848)),D3848-E3848,""),"")</f>
        <v/>
      </c>
    </row>
    <row r="3849">
      <c r="A3849" s="7">
        <f>IFERROR(Datos!A3849,"")</f>
        <v/>
      </c>
      <c r="B3849" s="8">
        <f>IFERROR(Datos!B3849,"")</f>
        <v/>
      </c>
      <c r="C3849" s="8">
        <f>IFERROR(Datos!C3849,"")</f>
        <v/>
      </c>
      <c r="D3849" s="28">
        <f>IFERROR(IF(AND(ISNUMBER(B3849),ISNUMBER(B3848),B3848&lt;&gt;0),B3849/B3848-1,""),"")</f>
        <v/>
      </c>
      <c r="E3849" s="28">
        <f>IFERROR(IF(AND(ISNUMBER(C3849),ISNUMBER(C3848),C3848&lt;&gt;0),C3849/C3848-1,""),"")</f>
        <v/>
      </c>
      <c r="F3849" s="28">
        <f>IFERROR(D3849-Dashboard!$B$4/252,"")</f>
        <v/>
      </c>
      <c r="G3849" s="28">
        <f>IFERROR(E3849-Dashboard!$B$4/252,"")</f>
        <v/>
      </c>
      <c r="H3849" s="8">
        <f>IFERROR(IF(ISNUMBER(B3849),MAX(B3849,IFERROR(H3848,B3849)),""),"")</f>
        <v/>
      </c>
      <c r="I3849" s="29">
        <f>IFERROR(IF(AND(ISNUMBER(B3849),ISNUMBER(H3849)),B3849/H3849-1,""),"")</f>
        <v/>
      </c>
      <c r="J3849" s="8">
        <f>IFERROR(IF(ISNUMBER(C3849),MAX(C3849,IFERROR(J3848,C3849)),""),"")</f>
        <v/>
      </c>
      <c r="K3849" s="29">
        <f>IFERROR(IF(AND(ISNUMBER(C3849),ISNUMBER(J3849)),C3849/J3849-1,""),"")</f>
        <v/>
      </c>
      <c r="L3849" s="28">
        <f>IFERROR(IF(AND(ISNUMBER(D3849),ISNUMBER(E3849)),D3849-E3849,""),"")</f>
        <v/>
      </c>
    </row>
    <row r="3850">
      <c r="A3850" s="7">
        <f>IFERROR(Datos!A3850,"")</f>
        <v/>
      </c>
      <c r="B3850" s="8">
        <f>IFERROR(Datos!B3850,"")</f>
        <v/>
      </c>
      <c r="C3850" s="8">
        <f>IFERROR(Datos!C3850,"")</f>
        <v/>
      </c>
      <c r="D3850" s="28">
        <f>IFERROR(IF(AND(ISNUMBER(B3850),ISNUMBER(B3849),B3849&lt;&gt;0),B3850/B3849-1,""),"")</f>
        <v/>
      </c>
      <c r="E3850" s="28">
        <f>IFERROR(IF(AND(ISNUMBER(C3850),ISNUMBER(C3849),C3849&lt;&gt;0),C3850/C3849-1,""),"")</f>
        <v/>
      </c>
      <c r="F3850" s="28">
        <f>IFERROR(D3850-Dashboard!$B$4/252,"")</f>
        <v/>
      </c>
      <c r="G3850" s="28">
        <f>IFERROR(E3850-Dashboard!$B$4/252,"")</f>
        <v/>
      </c>
      <c r="H3850" s="8">
        <f>IFERROR(IF(ISNUMBER(B3850),MAX(B3850,IFERROR(H3849,B3850)),""),"")</f>
        <v/>
      </c>
      <c r="I3850" s="29">
        <f>IFERROR(IF(AND(ISNUMBER(B3850),ISNUMBER(H3850)),B3850/H3850-1,""),"")</f>
        <v/>
      </c>
      <c r="J3850" s="8">
        <f>IFERROR(IF(ISNUMBER(C3850),MAX(C3850,IFERROR(J3849,C3850)),""),"")</f>
        <v/>
      </c>
      <c r="K3850" s="29">
        <f>IFERROR(IF(AND(ISNUMBER(C3850),ISNUMBER(J3850)),C3850/J3850-1,""),"")</f>
        <v/>
      </c>
      <c r="L3850" s="28">
        <f>IFERROR(IF(AND(ISNUMBER(D3850),ISNUMBER(E3850)),D3850-E3850,""),"")</f>
        <v/>
      </c>
    </row>
    <row r="3851">
      <c r="A3851" s="7">
        <f>IFERROR(Datos!A3851,"")</f>
        <v/>
      </c>
      <c r="B3851" s="8">
        <f>IFERROR(Datos!B3851,"")</f>
        <v/>
      </c>
      <c r="C3851" s="8">
        <f>IFERROR(Datos!C3851,"")</f>
        <v/>
      </c>
      <c r="D3851" s="28">
        <f>IFERROR(IF(AND(ISNUMBER(B3851),ISNUMBER(B3850),B3850&lt;&gt;0),B3851/B3850-1,""),"")</f>
        <v/>
      </c>
      <c r="E3851" s="28">
        <f>IFERROR(IF(AND(ISNUMBER(C3851),ISNUMBER(C3850),C3850&lt;&gt;0),C3851/C3850-1,""),"")</f>
        <v/>
      </c>
      <c r="F3851" s="28">
        <f>IFERROR(D3851-Dashboard!$B$4/252,"")</f>
        <v/>
      </c>
      <c r="G3851" s="28">
        <f>IFERROR(E3851-Dashboard!$B$4/252,"")</f>
        <v/>
      </c>
      <c r="H3851" s="8">
        <f>IFERROR(IF(ISNUMBER(B3851),MAX(B3851,IFERROR(H3850,B3851)),""),"")</f>
        <v/>
      </c>
      <c r="I3851" s="29">
        <f>IFERROR(IF(AND(ISNUMBER(B3851),ISNUMBER(H3851)),B3851/H3851-1,""),"")</f>
        <v/>
      </c>
      <c r="J3851" s="8">
        <f>IFERROR(IF(ISNUMBER(C3851),MAX(C3851,IFERROR(J3850,C3851)),""),"")</f>
        <v/>
      </c>
      <c r="K3851" s="29">
        <f>IFERROR(IF(AND(ISNUMBER(C3851),ISNUMBER(J3851)),C3851/J3851-1,""),"")</f>
        <v/>
      </c>
      <c r="L3851" s="28">
        <f>IFERROR(IF(AND(ISNUMBER(D3851),ISNUMBER(E3851)),D3851-E3851,""),"")</f>
        <v/>
      </c>
    </row>
    <row r="3852">
      <c r="A3852" s="7">
        <f>IFERROR(Datos!A3852,"")</f>
        <v/>
      </c>
      <c r="B3852" s="8">
        <f>IFERROR(Datos!B3852,"")</f>
        <v/>
      </c>
      <c r="C3852" s="8">
        <f>IFERROR(Datos!C3852,"")</f>
        <v/>
      </c>
      <c r="D3852" s="28">
        <f>IFERROR(IF(AND(ISNUMBER(B3852),ISNUMBER(B3851),B3851&lt;&gt;0),B3852/B3851-1,""),"")</f>
        <v/>
      </c>
      <c r="E3852" s="28">
        <f>IFERROR(IF(AND(ISNUMBER(C3852),ISNUMBER(C3851),C3851&lt;&gt;0),C3852/C3851-1,""),"")</f>
        <v/>
      </c>
      <c r="F3852" s="28">
        <f>IFERROR(D3852-Dashboard!$B$4/252,"")</f>
        <v/>
      </c>
      <c r="G3852" s="28">
        <f>IFERROR(E3852-Dashboard!$B$4/252,"")</f>
        <v/>
      </c>
      <c r="H3852" s="8">
        <f>IFERROR(IF(ISNUMBER(B3852),MAX(B3852,IFERROR(H3851,B3852)),""),"")</f>
        <v/>
      </c>
      <c r="I3852" s="29">
        <f>IFERROR(IF(AND(ISNUMBER(B3852),ISNUMBER(H3852)),B3852/H3852-1,""),"")</f>
        <v/>
      </c>
      <c r="J3852" s="8">
        <f>IFERROR(IF(ISNUMBER(C3852),MAX(C3852,IFERROR(J3851,C3852)),""),"")</f>
        <v/>
      </c>
      <c r="K3852" s="29">
        <f>IFERROR(IF(AND(ISNUMBER(C3852),ISNUMBER(J3852)),C3852/J3852-1,""),"")</f>
        <v/>
      </c>
      <c r="L3852" s="28">
        <f>IFERROR(IF(AND(ISNUMBER(D3852),ISNUMBER(E3852)),D3852-E3852,""),"")</f>
        <v/>
      </c>
    </row>
    <row r="3853">
      <c r="A3853" s="7">
        <f>IFERROR(Datos!A3853,"")</f>
        <v/>
      </c>
      <c r="B3853" s="8">
        <f>IFERROR(Datos!B3853,"")</f>
        <v/>
      </c>
      <c r="C3853" s="8">
        <f>IFERROR(Datos!C3853,"")</f>
        <v/>
      </c>
      <c r="D3853" s="28">
        <f>IFERROR(IF(AND(ISNUMBER(B3853),ISNUMBER(B3852),B3852&lt;&gt;0),B3853/B3852-1,""),"")</f>
        <v/>
      </c>
      <c r="E3853" s="28">
        <f>IFERROR(IF(AND(ISNUMBER(C3853),ISNUMBER(C3852),C3852&lt;&gt;0),C3853/C3852-1,""),"")</f>
        <v/>
      </c>
      <c r="F3853" s="28">
        <f>IFERROR(D3853-Dashboard!$B$4/252,"")</f>
        <v/>
      </c>
      <c r="G3853" s="28">
        <f>IFERROR(E3853-Dashboard!$B$4/252,"")</f>
        <v/>
      </c>
      <c r="H3853" s="8">
        <f>IFERROR(IF(ISNUMBER(B3853),MAX(B3853,IFERROR(H3852,B3853)),""),"")</f>
        <v/>
      </c>
      <c r="I3853" s="29">
        <f>IFERROR(IF(AND(ISNUMBER(B3853),ISNUMBER(H3853)),B3853/H3853-1,""),"")</f>
        <v/>
      </c>
      <c r="J3853" s="8">
        <f>IFERROR(IF(ISNUMBER(C3853),MAX(C3853,IFERROR(J3852,C3853)),""),"")</f>
        <v/>
      </c>
      <c r="K3853" s="29">
        <f>IFERROR(IF(AND(ISNUMBER(C3853),ISNUMBER(J3853)),C3853/J3853-1,""),"")</f>
        <v/>
      </c>
      <c r="L3853" s="28">
        <f>IFERROR(IF(AND(ISNUMBER(D3853),ISNUMBER(E3853)),D3853-E3853,""),"")</f>
        <v/>
      </c>
    </row>
    <row r="3854">
      <c r="A3854" s="7">
        <f>IFERROR(Datos!A3854,"")</f>
        <v/>
      </c>
      <c r="B3854" s="8">
        <f>IFERROR(Datos!B3854,"")</f>
        <v/>
      </c>
      <c r="C3854" s="8">
        <f>IFERROR(Datos!C3854,"")</f>
        <v/>
      </c>
      <c r="D3854" s="28">
        <f>IFERROR(IF(AND(ISNUMBER(B3854),ISNUMBER(B3853),B3853&lt;&gt;0),B3854/B3853-1,""),"")</f>
        <v/>
      </c>
      <c r="E3854" s="28">
        <f>IFERROR(IF(AND(ISNUMBER(C3854),ISNUMBER(C3853),C3853&lt;&gt;0),C3854/C3853-1,""),"")</f>
        <v/>
      </c>
      <c r="F3854" s="28">
        <f>IFERROR(D3854-Dashboard!$B$4/252,"")</f>
        <v/>
      </c>
      <c r="G3854" s="28">
        <f>IFERROR(E3854-Dashboard!$B$4/252,"")</f>
        <v/>
      </c>
      <c r="H3854" s="8">
        <f>IFERROR(IF(ISNUMBER(B3854),MAX(B3854,IFERROR(H3853,B3854)),""),"")</f>
        <v/>
      </c>
      <c r="I3854" s="29">
        <f>IFERROR(IF(AND(ISNUMBER(B3854),ISNUMBER(H3854)),B3854/H3854-1,""),"")</f>
        <v/>
      </c>
      <c r="J3854" s="8">
        <f>IFERROR(IF(ISNUMBER(C3854),MAX(C3854,IFERROR(J3853,C3854)),""),"")</f>
        <v/>
      </c>
      <c r="K3854" s="29">
        <f>IFERROR(IF(AND(ISNUMBER(C3854),ISNUMBER(J3854)),C3854/J3854-1,""),"")</f>
        <v/>
      </c>
      <c r="L3854" s="28">
        <f>IFERROR(IF(AND(ISNUMBER(D3854),ISNUMBER(E3854)),D3854-E3854,""),"")</f>
        <v/>
      </c>
    </row>
    <row r="3855">
      <c r="A3855" s="7">
        <f>IFERROR(Datos!A3855,"")</f>
        <v/>
      </c>
      <c r="B3855" s="8">
        <f>IFERROR(Datos!B3855,"")</f>
        <v/>
      </c>
      <c r="C3855" s="8">
        <f>IFERROR(Datos!C3855,"")</f>
        <v/>
      </c>
      <c r="D3855" s="28">
        <f>IFERROR(IF(AND(ISNUMBER(B3855),ISNUMBER(B3854),B3854&lt;&gt;0),B3855/B3854-1,""),"")</f>
        <v/>
      </c>
      <c r="E3855" s="28">
        <f>IFERROR(IF(AND(ISNUMBER(C3855),ISNUMBER(C3854),C3854&lt;&gt;0),C3855/C3854-1,""),"")</f>
        <v/>
      </c>
      <c r="F3855" s="28">
        <f>IFERROR(D3855-Dashboard!$B$4/252,"")</f>
        <v/>
      </c>
      <c r="G3855" s="28">
        <f>IFERROR(E3855-Dashboard!$B$4/252,"")</f>
        <v/>
      </c>
      <c r="H3855" s="8">
        <f>IFERROR(IF(ISNUMBER(B3855),MAX(B3855,IFERROR(H3854,B3855)),""),"")</f>
        <v/>
      </c>
      <c r="I3855" s="29">
        <f>IFERROR(IF(AND(ISNUMBER(B3855),ISNUMBER(H3855)),B3855/H3855-1,""),"")</f>
        <v/>
      </c>
      <c r="J3855" s="8">
        <f>IFERROR(IF(ISNUMBER(C3855),MAX(C3855,IFERROR(J3854,C3855)),""),"")</f>
        <v/>
      </c>
      <c r="K3855" s="29">
        <f>IFERROR(IF(AND(ISNUMBER(C3855),ISNUMBER(J3855)),C3855/J3855-1,""),"")</f>
        <v/>
      </c>
      <c r="L3855" s="28">
        <f>IFERROR(IF(AND(ISNUMBER(D3855),ISNUMBER(E3855)),D3855-E3855,""),"")</f>
        <v/>
      </c>
    </row>
    <row r="3856">
      <c r="A3856" s="7">
        <f>IFERROR(Datos!A3856,"")</f>
        <v/>
      </c>
      <c r="B3856" s="8">
        <f>IFERROR(Datos!B3856,"")</f>
        <v/>
      </c>
      <c r="C3856" s="8">
        <f>IFERROR(Datos!C3856,"")</f>
        <v/>
      </c>
      <c r="D3856" s="28">
        <f>IFERROR(IF(AND(ISNUMBER(B3856),ISNUMBER(B3855),B3855&lt;&gt;0),B3856/B3855-1,""),"")</f>
        <v/>
      </c>
      <c r="E3856" s="28">
        <f>IFERROR(IF(AND(ISNUMBER(C3856),ISNUMBER(C3855),C3855&lt;&gt;0),C3856/C3855-1,""),"")</f>
        <v/>
      </c>
      <c r="F3856" s="28">
        <f>IFERROR(D3856-Dashboard!$B$4/252,"")</f>
        <v/>
      </c>
      <c r="G3856" s="28">
        <f>IFERROR(E3856-Dashboard!$B$4/252,"")</f>
        <v/>
      </c>
      <c r="H3856" s="8">
        <f>IFERROR(IF(ISNUMBER(B3856),MAX(B3856,IFERROR(H3855,B3856)),""),"")</f>
        <v/>
      </c>
      <c r="I3856" s="29">
        <f>IFERROR(IF(AND(ISNUMBER(B3856),ISNUMBER(H3856)),B3856/H3856-1,""),"")</f>
        <v/>
      </c>
      <c r="J3856" s="8">
        <f>IFERROR(IF(ISNUMBER(C3856),MAX(C3856,IFERROR(J3855,C3856)),""),"")</f>
        <v/>
      </c>
      <c r="K3856" s="29">
        <f>IFERROR(IF(AND(ISNUMBER(C3856),ISNUMBER(J3856)),C3856/J3856-1,""),"")</f>
        <v/>
      </c>
      <c r="L3856" s="28">
        <f>IFERROR(IF(AND(ISNUMBER(D3856),ISNUMBER(E3856)),D3856-E3856,""),"")</f>
        <v/>
      </c>
    </row>
    <row r="3857">
      <c r="A3857" s="7">
        <f>IFERROR(Datos!A3857,"")</f>
        <v/>
      </c>
      <c r="B3857" s="8">
        <f>IFERROR(Datos!B3857,"")</f>
        <v/>
      </c>
      <c r="C3857" s="8">
        <f>IFERROR(Datos!C3857,"")</f>
        <v/>
      </c>
      <c r="D3857" s="28">
        <f>IFERROR(IF(AND(ISNUMBER(B3857),ISNUMBER(B3856),B3856&lt;&gt;0),B3857/B3856-1,""),"")</f>
        <v/>
      </c>
      <c r="E3857" s="28">
        <f>IFERROR(IF(AND(ISNUMBER(C3857),ISNUMBER(C3856),C3856&lt;&gt;0),C3857/C3856-1,""),"")</f>
        <v/>
      </c>
      <c r="F3857" s="28">
        <f>IFERROR(D3857-Dashboard!$B$4/252,"")</f>
        <v/>
      </c>
      <c r="G3857" s="28">
        <f>IFERROR(E3857-Dashboard!$B$4/252,"")</f>
        <v/>
      </c>
      <c r="H3857" s="8">
        <f>IFERROR(IF(ISNUMBER(B3857),MAX(B3857,IFERROR(H3856,B3857)),""),"")</f>
        <v/>
      </c>
      <c r="I3857" s="29">
        <f>IFERROR(IF(AND(ISNUMBER(B3857),ISNUMBER(H3857)),B3857/H3857-1,""),"")</f>
        <v/>
      </c>
      <c r="J3857" s="8">
        <f>IFERROR(IF(ISNUMBER(C3857),MAX(C3857,IFERROR(J3856,C3857)),""),"")</f>
        <v/>
      </c>
      <c r="K3857" s="29">
        <f>IFERROR(IF(AND(ISNUMBER(C3857),ISNUMBER(J3857)),C3857/J3857-1,""),"")</f>
        <v/>
      </c>
      <c r="L3857" s="28">
        <f>IFERROR(IF(AND(ISNUMBER(D3857),ISNUMBER(E3857)),D3857-E3857,""),"")</f>
        <v/>
      </c>
    </row>
    <row r="3858">
      <c r="A3858" s="7">
        <f>IFERROR(Datos!A3858,"")</f>
        <v/>
      </c>
      <c r="B3858" s="8">
        <f>IFERROR(Datos!B3858,"")</f>
        <v/>
      </c>
      <c r="C3858" s="8">
        <f>IFERROR(Datos!C3858,"")</f>
        <v/>
      </c>
      <c r="D3858" s="28">
        <f>IFERROR(IF(AND(ISNUMBER(B3858),ISNUMBER(B3857),B3857&lt;&gt;0),B3858/B3857-1,""),"")</f>
        <v/>
      </c>
      <c r="E3858" s="28">
        <f>IFERROR(IF(AND(ISNUMBER(C3858),ISNUMBER(C3857),C3857&lt;&gt;0),C3858/C3857-1,""),"")</f>
        <v/>
      </c>
      <c r="F3858" s="28">
        <f>IFERROR(D3858-Dashboard!$B$4/252,"")</f>
        <v/>
      </c>
      <c r="G3858" s="28">
        <f>IFERROR(E3858-Dashboard!$B$4/252,"")</f>
        <v/>
      </c>
      <c r="H3858" s="8">
        <f>IFERROR(IF(ISNUMBER(B3858),MAX(B3858,IFERROR(H3857,B3858)),""),"")</f>
        <v/>
      </c>
      <c r="I3858" s="29">
        <f>IFERROR(IF(AND(ISNUMBER(B3858),ISNUMBER(H3858)),B3858/H3858-1,""),"")</f>
        <v/>
      </c>
      <c r="J3858" s="8">
        <f>IFERROR(IF(ISNUMBER(C3858),MAX(C3858,IFERROR(J3857,C3858)),""),"")</f>
        <v/>
      </c>
      <c r="K3858" s="29">
        <f>IFERROR(IF(AND(ISNUMBER(C3858),ISNUMBER(J3858)),C3858/J3858-1,""),"")</f>
        <v/>
      </c>
      <c r="L3858" s="28">
        <f>IFERROR(IF(AND(ISNUMBER(D3858),ISNUMBER(E3858)),D3858-E3858,""),"")</f>
        <v/>
      </c>
    </row>
    <row r="3859">
      <c r="A3859" s="7">
        <f>IFERROR(Datos!A3859,"")</f>
        <v/>
      </c>
      <c r="B3859" s="8">
        <f>IFERROR(Datos!B3859,"")</f>
        <v/>
      </c>
      <c r="C3859" s="8">
        <f>IFERROR(Datos!C3859,"")</f>
        <v/>
      </c>
      <c r="D3859" s="28">
        <f>IFERROR(IF(AND(ISNUMBER(B3859),ISNUMBER(B3858),B3858&lt;&gt;0),B3859/B3858-1,""),"")</f>
        <v/>
      </c>
      <c r="E3859" s="28">
        <f>IFERROR(IF(AND(ISNUMBER(C3859),ISNUMBER(C3858),C3858&lt;&gt;0),C3859/C3858-1,""),"")</f>
        <v/>
      </c>
      <c r="F3859" s="28">
        <f>IFERROR(D3859-Dashboard!$B$4/252,"")</f>
        <v/>
      </c>
      <c r="G3859" s="28">
        <f>IFERROR(E3859-Dashboard!$B$4/252,"")</f>
        <v/>
      </c>
      <c r="H3859" s="8">
        <f>IFERROR(IF(ISNUMBER(B3859),MAX(B3859,IFERROR(H3858,B3859)),""),"")</f>
        <v/>
      </c>
      <c r="I3859" s="29">
        <f>IFERROR(IF(AND(ISNUMBER(B3859),ISNUMBER(H3859)),B3859/H3859-1,""),"")</f>
        <v/>
      </c>
      <c r="J3859" s="8">
        <f>IFERROR(IF(ISNUMBER(C3859),MAX(C3859,IFERROR(J3858,C3859)),""),"")</f>
        <v/>
      </c>
      <c r="K3859" s="29">
        <f>IFERROR(IF(AND(ISNUMBER(C3859),ISNUMBER(J3859)),C3859/J3859-1,""),"")</f>
        <v/>
      </c>
      <c r="L3859" s="28">
        <f>IFERROR(IF(AND(ISNUMBER(D3859),ISNUMBER(E3859)),D3859-E3859,""),"")</f>
        <v/>
      </c>
    </row>
    <row r="3860">
      <c r="A3860" s="7">
        <f>IFERROR(Datos!A3860,"")</f>
        <v/>
      </c>
      <c r="B3860" s="8">
        <f>IFERROR(Datos!B3860,"")</f>
        <v/>
      </c>
      <c r="C3860" s="8">
        <f>IFERROR(Datos!C3860,"")</f>
        <v/>
      </c>
      <c r="D3860" s="28">
        <f>IFERROR(IF(AND(ISNUMBER(B3860),ISNUMBER(B3859),B3859&lt;&gt;0),B3860/B3859-1,""),"")</f>
        <v/>
      </c>
      <c r="E3860" s="28">
        <f>IFERROR(IF(AND(ISNUMBER(C3860),ISNUMBER(C3859),C3859&lt;&gt;0),C3860/C3859-1,""),"")</f>
        <v/>
      </c>
      <c r="F3860" s="28">
        <f>IFERROR(D3860-Dashboard!$B$4/252,"")</f>
        <v/>
      </c>
      <c r="G3860" s="28">
        <f>IFERROR(E3860-Dashboard!$B$4/252,"")</f>
        <v/>
      </c>
      <c r="H3860" s="8">
        <f>IFERROR(IF(ISNUMBER(B3860),MAX(B3860,IFERROR(H3859,B3860)),""),"")</f>
        <v/>
      </c>
      <c r="I3860" s="29">
        <f>IFERROR(IF(AND(ISNUMBER(B3860),ISNUMBER(H3860)),B3860/H3860-1,""),"")</f>
        <v/>
      </c>
      <c r="J3860" s="8">
        <f>IFERROR(IF(ISNUMBER(C3860),MAX(C3860,IFERROR(J3859,C3860)),""),"")</f>
        <v/>
      </c>
      <c r="K3860" s="29">
        <f>IFERROR(IF(AND(ISNUMBER(C3860),ISNUMBER(J3860)),C3860/J3860-1,""),"")</f>
        <v/>
      </c>
      <c r="L3860" s="28">
        <f>IFERROR(IF(AND(ISNUMBER(D3860),ISNUMBER(E3860)),D3860-E3860,""),"")</f>
        <v/>
      </c>
    </row>
    <row r="3861">
      <c r="A3861" s="7">
        <f>IFERROR(Datos!A3861,"")</f>
        <v/>
      </c>
      <c r="B3861" s="8">
        <f>IFERROR(Datos!B3861,"")</f>
        <v/>
      </c>
      <c r="C3861" s="8">
        <f>IFERROR(Datos!C3861,"")</f>
        <v/>
      </c>
      <c r="D3861" s="28">
        <f>IFERROR(IF(AND(ISNUMBER(B3861),ISNUMBER(B3860),B3860&lt;&gt;0),B3861/B3860-1,""),"")</f>
        <v/>
      </c>
      <c r="E3861" s="28">
        <f>IFERROR(IF(AND(ISNUMBER(C3861),ISNUMBER(C3860),C3860&lt;&gt;0),C3861/C3860-1,""),"")</f>
        <v/>
      </c>
      <c r="F3861" s="28">
        <f>IFERROR(D3861-Dashboard!$B$4/252,"")</f>
        <v/>
      </c>
      <c r="G3861" s="28">
        <f>IFERROR(E3861-Dashboard!$B$4/252,"")</f>
        <v/>
      </c>
      <c r="H3861" s="8">
        <f>IFERROR(IF(ISNUMBER(B3861),MAX(B3861,IFERROR(H3860,B3861)),""),"")</f>
        <v/>
      </c>
      <c r="I3861" s="29">
        <f>IFERROR(IF(AND(ISNUMBER(B3861),ISNUMBER(H3861)),B3861/H3861-1,""),"")</f>
        <v/>
      </c>
      <c r="J3861" s="8">
        <f>IFERROR(IF(ISNUMBER(C3861),MAX(C3861,IFERROR(J3860,C3861)),""),"")</f>
        <v/>
      </c>
      <c r="K3861" s="29">
        <f>IFERROR(IF(AND(ISNUMBER(C3861),ISNUMBER(J3861)),C3861/J3861-1,""),"")</f>
        <v/>
      </c>
      <c r="L3861" s="28">
        <f>IFERROR(IF(AND(ISNUMBER(D3861),ISNUMBER(E3861)),D3861-E3861,""),"")</f>
        <v/>
      </c>
    </row>
    <row r="3862">
      <c r="A3862" s="7">
        <f>IFERROR(Datos!A3862,"")</f>
        <v/>
      </c>
      <c r="B3862" s="8">
        <f>IFERROR(Datos!B3862,"")</f>
        <v/>
      </c>
      <c r="C3862" s="8">
        <f>IFERROR(Datos!C3862,"")</f>
        <v/>
      </c>
      <c r="D3862" s="28">
        <f>IFERROR(IF(AND(ISNUMBER(B3862),ISNUMBER(B3861),B3861&lt;&gt;0),B3862/B3861-1,""),"")</f>
        <v/>
      </c>
      <c r="E3862" s="28">
        <f>IFERROR(IF(AND(ISNUMBER(C3862),ISNUMBER(C3861),C3861&lt;&gt;0),C3862/C3861-1,""),"")</f>
        <v/>
      </c>
      <c r="F3862" s="28">
        <f>IFERROR(D3862-Dashboard!$B$4/252,"")</f>
        <v/>
      </c>
      <c r="G3862" s="28">
        <f>IFERROR(E3862-Dashboard!$B$4/252,"")</f>
        <v/>
      </c>
      <c r="H3862" s="8">
        <f>IFERROR(IF(ISNUMBER(B3862),MAX(B3862,IFERROR(H3861,B3862)),""),"")</f>
        <v/>
      </c>
      <c r="I3862" s="29">
        <f>IFERROR(IF(AND(ISNUMBER(B3862),ISNUMBER(H3862)),B3862/H3862-1,""),"")</f>
        <v/>
      </c>
      <c r="J3862" s="8">
        <f>IFERROR(IF(ISNUMBER(C3862),MAX(C3862,IFERROR(J3861,C3862)),""),"")</f>
        <v/>
      </c>
      <c r="K3862" s="29">
        <f>IFERROR(IF(AND(ISNUMBER(C3862),ISNUMBER(J3862)),C3862/J3862-1,""),"")</f>
        <v/>
      </c>
      <c r="L3862" s="28">
        <f>IFERROR(IF(AND(ISNUMBER(D3862),ISNUMBER(E3862)),D3862-E3862,""),"")</f>
        <v/>
      </c>
    </row>
    <row r="3863">
      <c r="A3863" s="7">
        <f>IFERROR(Datos!A3863,"")</f>
        <v/>
      </c>
      <c r="B3863" s="8">
        <f>IFERROR(Datos!B3863,"")</f>
        <v/>
      </c>
      <c r="C3863" s="8">
        <f>IFERROR(Datos!C3863,"")</f>
        <v/>
      </c>
      <c r="D3863" s="28">
        <f>IFERROR(IF(AND(ISNUMBER(B3863),ISNUMBER(B3862),B3862&lt;&gt;0),B3863/B3862-1,""),"")</f>
        <v/>
      </c>
      <c r="E3863" s="28">
        <f>IFERROR(IF(AND(ISNUMBER(C3863),ISNUMBER(C3862),C3862&lt;&gt;0),C3863/C3862-1,""),"")</f>
        <v/>
      </c>
      <c r="F3863" s="28">
        <f>IFERROR(D3863-Dashboard!$B$4/252,"")</f>
        <v/>
      </c>
      <c r="G3863" s="28">
        <f>IFERROR(E3863-Dashboard!$B$4/252,"")</f>
        <v/>
      </c>
      <c r="H3863" s="8">
        <f>IFERROR(IF(ISNUMBER(B3863),MAX(B3863,IFERROR(H3862,B3863)),""),"")</f>
        <v/>
      </c>
      <c r="I3863" s="29">
        <f>IFERROR(IF(AND(ISNUMBER(B3863),ISNUMBER(H3863)),B3863/H3863-1,""),"")</f>
        <v/>
      </c>
      <c r="J3863" s="8">
        <f>IFERROR(IF(ISNUMBER(C3863),MAX(C3863,IFERROR(J3862,C3863)),""),"")</f>
        <v/>
      </c>
      <c r="K3863" s="29">
        <f>IFERROR(IF(AND(ISNUMBER(C3863),ISNUMBER(J3863)),C3863/J3863-1,""),"")</f>
        <v/>
      </c>
      <c r="L3863" s="28">
        <f>IFERROR(IF(AND(ISNUMBER(D3863),ISNUMBER(E3863)),D3863-E3863,""),"")</f>
        <v/>
      </c>
    </row>
    <row r="3864">
      <c r="A3864" s="7">
        <f>IFERROR(Datos!A3864,"")</f>
        <v/>
      </c>
      <c r="B3864" s="8">
        <f>IFERROR(Datos!B3864,"")</f>
        <v/>
      </c>
      <c r="C3864" s="8">
        <f>IFERROR(Datos!C3864,"")</f>
        <v/>
      </c>
      <c r="D3864" s="28">
        <f>IFERROR(IF(AND(ISNUMBER(B3864),ISNUMBER(B3863),B3863&lt;&gt;0),B3864/B3863-1,""),"")</f>
        <v/>
      </c>
      <c r="E3864" s="28">
        <f>IFERROR(IF(AND(ISNUMBER(C3864),ISNUMBER(C3863),C3863&lt;&gt;0),C3864/C3863-1,""),"")</f>
        <v/>
      </c>
      <c r="F3864" s="28">
        <f>IFERROR(D3864-Dashboard!$B$4/252,"")</f>
        <v/>
      </c>
      <c r="G3864" s="28">
        <f>IFERROR(E3864-Dashboard!$B$4/252,"")</f>
        <v/>
      </c>
      <c r="H3864" s="8">
        <f>IFERROR(IF(ISNUMBER(B3864),MAX(B3864,IFERROR(H3863,B3864)),""),"")</f>
        <v/>
      </c>
      <c r="I3864" s="29">
        <f>IFERROR(IF(AND(ISNUMBER(B3864),ISNUMBER(H3864)),B3864/H3864-1,""),"")</f>
        <v/>
      </c>
      <c r="J3864" s="8">
        <f>IFERROR(IF(ISNUMBER(C3864),MAX(C3864,IFERROR(J3863,C3864)),""),"")</f>
        <v/>
      </c>
      <c r="K3864" s="29">
        <f>IFERROR(IF(AND(ISNUMBER(C3864),ISNUMBER(J3864)),C3864/J3864-1,""),"")</f>
        <v/>
      </c>
      <c r="L3864" s="28">
        <f>IFERROR(IF(AND(ISNUMBER(D3864),ISNUMBER(E3864)),D3864-E3864,""),"")</f>
        <v/>
      </c>
    </row>
    <row r="3865">
      <c r="A3865" s="7">
        <f>IFERROR(Datos!A3865,"")</f>
        <v/>
      </c>
      <c r="B3865" s="8">
        <f>IFERROR(Datos!B3865,"")</f>
        <v/>
      </c>
      <c r="C3865" s="8">
        <f>IFERROR(Datos!C3865,"")</f>
        <v/>
      </c>
      <c r="D3865" s="28">
        <f>IFERROR(IF(AND(ISNUMBER(B3865),ISNUMBER(B3864),B3864&lt;&gt;0),B3865/B3864-1,""),"")</f>
        <v/>
      </c>
      <c r="E3865" s="28">
        <f>IFERROR(IF(AND(ISNUMBER(C3865),ISNUMBER(C3864),C3864&lt;&gt;0),C3865/C3864-1,""),"")</f>
        <v/>
      </c>
      <c r="F3865" s="28">
        <f>IFERROR(D3865-Dashboard!$B$4/252,"")</f>
        <v/>
      </c>
      <c r="G3865" s="28">
        <f>IFERROR(E3865-Dashboard!$B$4/252,"")</f>
        <v/>
      </c>
      <c r="H3865" s="8">
        <f>IFERROR(IF(ISNUMBER(B3865),MAX(B3865,IFERROR(H3864,B3865)),""),"")</f>
        <v/>
      </c>
      <c r="I3865" s="29">
        <f>IFERROR(IF(AND(ISNUMBER(B3865),ISNUMBER(H3865)),B3865/H3865-1,""),"")</f>
        <v/>
      </c>
      <c r="J3865" s="8">
        <f>IFERROR(IF(ISNUMBER(C3865),MAX(C3865,IFERROR(J3864,C3865)),""),"")</f>
        <v/>
      </c>
      <c r="K3865" s="29">
        <f>IFERROR(IF(AND(ISNUMBER(C3865),ISNUMBER(J3865)),C3865/J3865-1,""),"")</f>
        <v/>
      </c>
      <c r="L3865" s="28">
        <f>IFERROR(IF(AND(ISNUMBER(D3865),ISNUMBER(E3865)),D3865-E3865,""),"")</f>
        <v/>
      </c>
    </row>
    <row r="3866">
      <c r="A3866" s="7">
        <f>IFERROR(Datos!A3866,"")</f>
        <v/>
      </c>
      <c r="B3866" s="8">
        <f>IFERROR(Datos!B3866,"")</f>
        <v/>
      </c>
      <c r="C3866" s="8">
        <f>IFERROR(Datos!C3866,"")</f>
        <v/>
      </c>
      <c r="D3866" s="28">
        <f>IFERROR(IF(AND(ISNUMBER(B3866),ISNUMBER(B3865),B3865&lt;&gt;0),B3866/B3865-1,""),"")</f>
        <v/>
      </c>
      <c r="E3866" s="28">
        <f>IFERROR(IF(AND(ISNUMBER(C3866),ISNUMBER(C3865),C3865&lt;&gt;0),C3866/C3865-1,""),"")</f>
        <v/>
      </c>
      <c r="F3866" s="28">
        <f>IFERROR(D3866-Dashboard!$B$4/252,"")</f>
        <v/>
      </c>
      <c r="G3866" s="28">
        <f>IFERROR(E3866-Dashboard!$B$4/252,"")</f>
        <v/>
      </c>
      <c r="H3866" s="8">
        <f>IFERROR(IF(ISNUMBER(B3866),MAX(B3866,IFERROR(H3865,B3866)),""),"")</f>
        <v/>
      </c>
      <c r="I3866" s="29">
        <f>IFERROR(IF(AND(ISNUMBER(B3866),ISNUMBER(H3866)),B3866/H3866-1,""),"")</f>
        <v/>
      </c>
      <c r="J3866" s="8">
        <f>IFERROR(IF(ISNUMBER(C3866),MAX(C3866,IFERROR(J3865,C3866)),""),"")</f>
        <v/>
      </c>
      <c r="K3866" s="29">
        <f>IFERROR(IF(AND(ISNUMBER(C3866),ISNUMBER(J3866)),C3866/J3866-1,""),"")</f>
        <v/>
      </c>
      <c r="L3866" s="28">
        <f>IFERROR(IF(AND(ISNUMBER(D3866),ISNUMBER(E3866)),D3866-E3866,""),"")</f>
        <v/>
      </c>
    </row>
    <row r="3867">
      <c r="A3867" s="7">
        <f>IFERROR(Datos!A3867,"")</f>
        <v/>
      </c>
      <c r="B3867" s="8">
        <f>IFERROR(Datos!B3867,"")</f>
        <v/>
      </c>
      <c r="C3867" s="8">
        <f>IFERROR(Datos!C3867,"")</f>
        <v/>
      </c>
      <c r="D3867" s="28">
        <f>IFERROR(IF(AND(ISNUMBER(B3867),ISNUMBER(B3866),B3866&lt;&gt;0),B3867/B3866-1,""),"")</f>
        <v/>
      </c>
      <c r="E3867" s="28">
        <f>IFERROR(IF(AND(ISNUMBER(C3867),ISNUMBER(C3866),C3866&lt;&gt;0),C3867/C3866-1,""),"")</f>
        <v/>
      </c>
      <c r="F3867" s="28">
        <f>IFERROR(D3867-Dashboard!$B$4/252,"")</f>
        <v/>
      </c>
      <c r="G3867" s="28">
        <f>IFERROR(E3867-Dashboard!$B$4/252,"")</f>
        <v/>
      </c>
      <c r="H3867" s="8">
        <f>IFERROR(IF(ISNUMBER(B3867),MAX(B3867,IFERROR(H3866,B3867)),""),"")</f>
        <v/>
      </c>
      <c r="I3867" s="29">
        <f>IFERROR(IF(AND(ISNUMBER(B3867),ISNUMBER(H3867)),B3867/H3867-1,""),"")</f>
        <v/>
      </c>
      <c r="J3867" s="8">
        <f>IFERROR(IF(ISNUMBER(C3867),MAX(C3867,IFERROR(J3866,C3867)),""),"")</f>
        <v/>
      </c>
      <c r="K3867" s="29">
        <f>IFERROR(IF(AND(ISNUMBER(C3867),ISNUMBER(J3867)),C3867/J3867-1,""),"")</f>
        <v/>
      </c>
      <c r="L3867" s="28">
        <f>IFERROR(IF(AND(ISNUMBER(D3867),ISNUMBER(E3867)),D3867-E3867,""),"")</f>
        <v/>
      </c>
    </row>
    <row r="3868">
      <c r="A3868" s="7">
        <f>IFERROR(Datos!A3868,"")</f>
        <v/>
      </c>
      <c r="B3868" s="8">
        <f>IFERROR(Datos!B3868,"")</f>
        <v/>
      </c>
      <c r="C3868" s="8">
        <f>IFERROR(Datos!C3868,"")</f>
        <v/>
      </c>
      <c r="D3868" s="28">
        <f>IFERROR(IF(AND(ISNUMBER(B3868),ISNUMBER(B3867),B3867&lt;&gt;0),B3868/B3867-1,""),"")</f>
        <v/>
      </c>
      <c r="E3868" s="28">
        <f>IFERROR(IF(AND(ISNUMBER(C3868),ISNUMBER(C3867),C3867&lt;&gt;0),C3868/C3867-1,""),"")</f>
        <v/>
      </c>
      <c r="F3868" s="28">
        <f>IFERROR(D3868-Dashboard!$B$4/252,"")</f>
        <v/>
      </c>
      <c r="G3868" s="28">
        <f>IFERROR(E3868-Dashboard!$B$4/252,"")</f>
        <v/>
      </c>
      <c r="H3868" s="8">
        <f>IFERROR(IF(ISNUMBER(B3868),MAX(B3868,IFERROR(H3867,B3868)),""),"")</f>
        <v/>
      </c>
      <c r="I3868" s="29">
        <f>IFERROR(IF(AND(ISNUMBER(B3868),ISNUMBER(H3868)),B3868/H3868-1,""),"")</f>
        <v/>
      </c>
      <c r="J3868" s="8">
        <f>IFERROR(IF(ISNUMBER(C3868),MAX(C3868,IFERROR(J3867,C3868)),""),"")</f>
        <v/>
      </c>
      <c r="K3868" s="29">
        <f>IFERROR(IF(AND(ISNUMBER(C3868),ISNUMBER(J3868)),C3868/J3868-1,""),"")</f>
        <v/>
      </c>
      <c r="L3868" s="28">
        <f>IFERROR(IF(AND(ISNUMBER(D3868),ISNUMBER(E3868)),D3868-E3868,""),"")</f>
        <v/>
      </c>
    </row>
    <row r="3869">
      <c r="A3869" s="7">
        <f>IFERROR(Datos!A3869,"")</f>
        <v/>
      </c>
      <c r="B3869" s="8">
        <f>IFERROR(Datos!B3869,"")</f>
        <v/>
      </c>
      <c r="C3869" s="8">
        <f>IFERROR(Datos!C3869,"")</f>
        <v/>
      </c>
      <c r="D3869" s="28">
        <f>IFERROR(IF(AND(ISNUMBER(B3869),ISNUMBER(B3868),B3868&lt;&gt;0),B3869/B3868-1,""),"")</f>
        <v/>
      </c>
      <c r="E3869" s="28">
        <f>IFERROR(IF(AND(ISNUMBER(C3869),ISNUMBER(C3868),C3868&lt;&gt;0),C3869/C3868-1,""),"")</f>
        <v/>
      </c>
      <c r="F3869" s="28">
        <f>IFERROR(D3869-Dashboard!$B$4/252,"")</f>
        <v/>
      </c>
      <c r="G3869" s="28">
        <f>IFERROR(E3869-Dashboard!$B$4/252,"")</f>
        <v/>
      </c>
      <c r="H3869" s="8">
        <f>IFERROR(IF(ISNUMBER(B3869),MAX(B3869,IFERROR(H3868,B3869)),""),"")</f>
        <v/>
      </c>
      <c r="I3869" s="29">
        <f>IFERROR(IF(AND(ISNUMBER(B3869),ISNUMBER(H3869)),B3869/H3869-1,""),"")</f>
        <v/>
      </c>
      <c r="J3869" s="8">
        <f>IFERROR(IF(ISNUMBER(C3869),MAX(C3869,IFERROR(J3868,C3869)),""),"")</f>
        <v/>
      </c>
      <c r="K3869" s="29">
        <f>IFERROR(IF(AND(ISNUMBER(C3869),ISNUMBER(J3869)),C3869/J3869-1,""),"")</f>
        <v/>
      </c>
      <c r="L3869" s="28">
        <f>IFERROR(IF(AND(ISNUMBER(D3869),ISNUMBER(E3869)),D3869-E3869,""),"")</f>
        <v/>
      </c>
    </row>
    <row r="3870">
      <c r="A3870" s="7">
        <f>IFERROR(Datos!A3870,"")</f>
        <v/>
      </c>
      <c r="B3870" s="8">
        <f>IFERROR(Datos!B3870,"")</f>
        <v/>
      </c>
      <c r="C3870" s="8">
        <f>IFERROR(Datos!C3870,"")</f>
        <v/>
      </c>
      <c r="D3870" s="28">
        <f>IFERROR(IF(AND(ISNUMBER(B3870),ISNUMBER(B3869),B3869&lt;&gt;0),B3870/B3869-1,""),"")</f>
        <v/>
      </c>
      <c r="E3870" s="28">
        <f>IFERROR(IF(AND(ISNUMBER(C3870),ISNUMBER(C3869),C3869&lt;&gt;0),C3870/C3869-1,""),"")</f>
        <v/>
      </c>
      <c r="F3870" s="28">
        <f>IFERROR(D3870-Dashboard!$B$4/252,"")</f>
        <v/>
      </c>
      <c r="G3870" s="28">
        <f>IFERROR(E3870-Dashboard!$B$4/252,"")</f>
        <v/>
      </c>
      <c r="H3870" s="8">
        <f>IFERROR(IF(ISNUMBER(B3870),MAX(B3870,IFERROR(H3869,B3870)),""),"")</f>
        <v/>
      </c>
      <c r="I3870" s="29">
        <f>IFERROR(IF(AND(ISNUMBER(B3870),ISNUMBER(H3870)),B3870/H3870-1,""),"")</f>
        <v/>
      </c>
      <c r="J3870" s="8">
        <f>IFERROR(IF(ISNUMBER(C3870),MAX(C3870,IFERROR(J3869,C3870)),""),"")</f>
        <v/>
      </c>
      <c r="K3870" s="29">
        <f>IFERROR(IF(AND(ISNUMBER(C3870),ISNUMBER(J3870)),C3870/J3870-1,""),"")</f>
        <v/>
      </c>
      <c r="L3870" s="28">
        <f>IFERROR(IF(AND(ISNUMBER(D3870),ISNUMBER(E3870)),D3870-E3870,""),"")</f>
        <v/>
      </c>
    </row>
    <row r="3871">
      <c r="A3871" s="7">
        <f>IFERROR(Datos!A3871,"")</f>
        <v/>
      </c>
      <c r="B3871" s="8">
        <f>IFERROR(Datos!B3871,"")</f>
        <v/>
      </c>
      <c r="C3871" s="8">
        <f>IFERROR(Datos!C3871,"")</f>
        <v/>
      </c>
      <c r="D3871" s="28">
        <f>IFERROR(IF(AND(ISNUMBER(B3871),ISNUMBER(B3870),B3870&lt;&gt;0),B3871/B3870-1,""),"")</f>
        <v/>
      </c>
      <c r="E3871" s="28">
        <f>IFERROR(IF(AND(ISNUMBER(C3871),ISNUMBER(C3870),C3870&lt;&gt;0),C3871/C3870-1,""),"")</f>
        <v/>
      </c>
      <c r="F3871" s="28">
        <f>IFERROR(D3871-Dashboard!$B$4/252,"")</f>
        <v/>
      </c>
      <c r="G3871" s="28">
        <f>IFERROR(E3871-Dashboard!$B$4/252,"")</f>
        <v/>
      </c>
      <c r="H3871" s="8">
        <f>IFERROR(IF(ISNUMBER(B3871),MAX(B3871,IFERROR(H3870,B3871)),""),"")</f>
        <v/>
      </c>
      <c r="I3871" s="29">
        <f>IFERROR(IF(AND(ISNUMBER(B3871),ISNUMBER(H3871)),B3871/H3871-1,""),"")</f>
        <v/>
      </c>
      <c r="J3871" s="8">
        <f>IFERROR(IF(ISNUMBER(C3871),MAX(C3871,IFERROR(J3870,C3871)),""),"")</f>
        <v/>
      </c>
      <c r="K3871" s="29">
        <f>IFERROR(IF(AND(ISNUMBER(C3871),ISNUMBER(J3871)),C3871/J3871-1,""),"")</f>
        <v/>
      </c>
      <c r="L3871" s="28">
        <f>IFERROR(IF(AND(ISNUMBER(D3871),ISNUMBER(E3871)),D3871-E3871,""),"")</f>
        <v/>
      </c>
    </row>
    <row r="3872">
      <c r="A3872" s="7">
        <f>IFERROR(Datos!A3872,"")</f>
        <v/>
      </c>
      <c r="B3872" s="8">
        <f>IFERROR(Datos!B3872,"")</f>
        <v/>
      </c>
      <c r="C3872" s="8">
        <f>IFERROR(Datos!C3872,"")</f>
        <v/>
      </c>
      <c r="D3872" s="28">
        <f>IFERROR(IF(AND(ISNUMBER(B3872),ISNUMBER(B3871),B3871&lt;&gt;0),B3872/B3871-1,""),"")</f>
        <v/>
      </c>
      <c r="E3872" s="28">
        <f>IFERROR(IF(AND(ISNUMBER(C3872),ISNUMBER(C3871),C3871&lt;&gt;0),C3872/C3871-1,""),"")</f>
        <v/>
      </c>
      <c r="F3872" s="28">
        <f>IFERROR(D3872-Dashboard!$B$4/252,"")</f>
        <v/>
      </c>
      <c r="G3872" s="28">
        <f>IFERROR(E3872-Dashboard!$B$4/252,"")</f>
        <v/>
      </c>
      <c r="H3872" s="8">
        <f>IFERROR(IF(ISNUMBER(B3872),MAX(B3872,IFERROR(H3871,B3872)),""),"")</f>
        <v/>
      </c>
      <c r="I3872" s="29">
        <f>IFERROR(IF(AND(ISNUMBER(B3872),ISNUMBER(H3872)),B3872/H3872-1,""),"")</f>
        <v/>
      </c>
      <c r="J3872" s="8">
        <f>IFERROR(IF(ISNUMBER(C3872),MAX(C3872,IFERROR(J3871,C3872)),""),"")</f>
        <v/>
      </c>
      <c r="K3872" s="29">
        <f>IFERROR(IF(AND(ISNUMBER(C3872),ISNUMBER(J3872)),C3872/J3872-1,""),"")</f>
        <v/>
      </c>
      <c r="L3872" s="28">
        <f>IFERROR(IF(AND(ISNUMBER(D3872),ISNUMBER(E3872)),D3872-E3872,""),"")</f>
        <v/>
      </c>
    </row>
    <row r="3873">
      <c r="A3873" s="7">
        <f>IFERROR(Datos!A3873,"")</f>
        <v/>
      </c>
      <c r="B3873" s="8">
        <f>IFERROR(Datos!B3873,"")</f>
        <v/>
      </c>
      <c r="C3873" s="8">
        <f>IFERROR(Datos!C3873,"")</f>
        <v/>
      </c>
      <c r="D3873" s="28">
        <f>IFERROR(IF(AND(ISNUMBER(B3873),ISNUMBER(B3872),B3872&lt;&gt;0),B3873/B3872-1,""),"")</f>
        <v/>
      </c>
      <c r="E3873" s="28">
        <f>IFERROR(IF(AND(ISNUMBER(C3873),ISNUMBER(C3872),C3872&lt;&gt;0),C3873/C3872-1,""),"")</f>
        <v/>
      </c>
      <c r="F3873" s="28">
        <f>IFERROR(D3873-Dashboard!$B$4/252,"")</f>
        <v/>
      </c>
      <c r="G3873" s="28">
        <f>IFERROR(E3873-Dashboard!$B$4/252,"")</f>
        <v/>
      </c>
      <c r="H3873" s="8">
        <f>IFERROR(IF(ISNUMBER(B3873),MAX(B3873,IFERROR(H3872,B3873)),""),"")</f>
        <v/>
      </c>
      <c r="I3873" s="29">
        <f>IFERROR(IF(AND(ISNUMBER(B3873),ISNUMBER(H3873)),B3873/H3873-1,""),"")</f>
        <v/>
      </c>
      <c r="J3873" s="8">
        <f>IFERROR(IF(ISNUMBER(C3873),MAX(C3873,IFERROR(J3872,C3873)),""),"")</f>
        <v/>
      </c>
      <c r="K3873" s="29">
        <f>IFERROR(IF(AND(ISNUMBER(C3873),ISNUMBER(J3873)),C3873/J3873-1,""),"")</f>
        <v/>
      </c>
      <c r="L3873" s="28">
        <f>IFERROR(IF(AND(ISNUMBER(D3873),ISNUMBER(E3873)),D3873-E3873,""),"")</f>
        <v/>
      </c>
    </row>
    <row r="3874">
      <c r="A3874" s="7">
        <f>IFERROR(Datos!A3874,"")</f>
        <v/>
      </c>
      <c r="B3874" s="8">
        <f>IFERROR(Datos!B3874,"")</f>
        <v/>
      </c>
      <c r="C3874" s="8">
        <f>IFERROR(Datos!C3874,"")</f>
        <v/>
      </c>
      <c r="D3874" s="28">
        <f>IFERROR(IF(AND(ISNUMBER(B3874),ISNUMBER(B3873),B3873&lt;&gt;0),B3874/B3873-1,""),"")</f>
        <v/>
      </c>
      <c r="E3874" s="28">
        <f>IFERROR(IF(AND(ISNUMBER(C3874),ISNUMBER(C3873),C3873&lt;&gt;0),C3874/C3873-1,""),"")</f>
        <v/>
      </c>
      <c r="F3874" s="28">
        <f>IFERROR(D3874-Dashboard!$B$4/252,"")</f>
        <v/>
      </c>
      <c r="G3874" s="28">
        <f>IFERROR(E3874-Dashboard!$B$4/252,"")</f>
        <v/>
      </c>
      <c r="H3874" s="8">
        <f>IFERROR(IF(ISNUMBER(B3874),MAX(B3874,IFERROR(H3873,B3874)),""),"")</f>
        <v/>
      </c>
      <c r="I3874" s="29">
        <f>IFERROR(IF(AND(ISNUMBER(B3874),ISNUMBER(H3874)),B3874/H3874-1,""),"")</f>
        <v/>
      </c>
      <c r="J3874" s="8">
        <f>IFERROR(IF(ISNUMBER(C3874),MAX(C3874,IFERROR(J3873,C3874)),""),"")</f>
        <v/>
      </c>
      <c r="K3874" s="29">
        <f>IFERROR(IF(AND(ISNUMBER(C3874),ISNUMBER(J3874)),C3874/J3874-1,""),"")</f>
        <v/>
      </c>
      <c r="L3874" s="28">
        <f>IFERROR(IF(AND(ISNUMBER(D3874),ISNUMBER(E3874)),D3874-E3874,""),"")</f>
        <v/>
      </c>
    </row>
    <row r="3875">
      <c r="A3875" s="7">
        <f>IFERROR(Datos!A3875,"")</f>
        <v/>
      </c>
      <c r="B3875" s="8">
        <f>IFERROR(Datos!B3875,"")</f>
        <v/>
      </c>
      <c r="C3875" s="8">
        <f>IFERROR(Datos!C3875,"")</f>
        <v/>
      </c>
      <c r="D3875" s="28">
        <f>IFERROR(IF(AND(ISNUMBER(B3875),ISNUMBER(B3874),B3874&lt;&gt;0),B3875/B3874-1,""),"")</f>
        <v/>
      </c>
      <c r="E3875" s="28">
        <f>IFERROR(IF(AND(ISNUMBER(C3875),ISNUMBER(C3874),C3874&lt;&gt;0),C3875/C3874-1,""),"")</f>
        <v/>
      </c>
      <c r="F3875" s="28">
        <f>IFERROR(D3875-Dashboard!$B$4/252,"")</f>
        <v/>
      </c>
      <c r="G3875" s="28">
        <f>IFERROR(E3875-Dashboard!$B$4/252,"")</f>
        <v/>
      </c>
      <c r="H3875" s="8">
        <f>IFERROR(IF(ISNUMBER(B3875),MAX(B3875,IFERROR(H3874,B3875)),""),"")</f>
        <v/>
      </c>
      <c r="I3875" s="29">
        <f>IFERROR(IF(AND(ISNUMBER(B3875),ISNUMBER(H3875)),B3875/H3875-1,""),"")</f>
        <v/>
      </c>
      <c r="J3875" s="8">
        <f>IFERROR(IF(ISNUMBER(C3875),MAX(C3875,IFERROR(J3874,C3875)),""),"")</f>
        <v/>
      </c>
      <c r="K3875" s="29">
        <f>IFERROR(IF(AND(ISNUMBER(C3875),ISNUMBER(J3875)),C3875/J3875-1,""),"")</f>
        <v/>
      </c>
      <c r="L3875" s="28">
        <f>IFERROR(IF(AND(ISNUMBER(D3875),ISNUMBER(E3875)),D3875-E3875,""),"")</f>
        <v/>
      </c>
    </row>
    <row r="3876">
      <c r="A3876" s="7">
        <f>IFERROR(Datos!A3876,"")</f>
        <v/>
      </c>
      <c r="B3876" s="8">
        <f>IFERROR(Datos!B3876,"")</f>
        <v/>
      </c>
      <c r="C3876" s="8">
        <f>IFERROR(Datos!C3876,"")</f>
        <v/>
      </c>
      <c r="D3876" s="28">
        <f>IFERROR(IF(AND(ISNUMBER(B3876),ISNUMBER(B3875),B3875&lt;&gt;0),B3876/B3875-1,""),"")</f>
        <v/>
      </c>
      <c r="E3876" s="28">
        <f>IFERROR(IF(AND(ISNUMBER(C3876),ISNUMBER(C3875),C3875&lt;&gt;0),C3876/C3875-1,""),"")</f>
        <v/>
      </c>
      <c r="F3876" s="28">
        <f>IFERROR(D3876-Dashboard!$B$4/252,"")</f>
        <v/>
      </c>
      <c r="G3876" s="28">
        <f>IFERROR(E3876-Dashboard!$B$4/252,"")</f>
        <v/>
      </c>
      <c r="H3876" s="8">
        <f>IFERROR(IF(ISNUMBER(B3876),MAX(B3876,IFERROR(H3875,B3876)),""),"")</f>
        <v/>
      </c>
      <c r="I3876" s="29">
        <f>IFERROR(IF(AND(ISNUMBER(B3876),ISNUMBER(H3876)),B3876/H3876-1,""),"")</f>
        <v/>
      </c>
      <c r="J3876" s="8">
        <f>IFERROR(IF(ISNUMBER(C3876),MAX(C3876,IFERROR(J3875,C3876)),""),"")</f>
        <v/>
      </c>
      <c r="K3876" s="29">
        <f>IFERROR(IF(AND(ISNUMBER(C3876),ISNUMBER(J3876)),C3876/J3876-1,""),"")</f>
        <v/>
      </c>
      <c r="L3876" s="28">
        <f>IFERROR(IF(AND(ISNUMBER(D3876),ISNUMBER(E3876)),D3876-E3876,""),"")</f>
        <v/>
      </c>
    </row>
    <row r="3877">
      <c r="A3877" s="7">
        <f>IFERROR(Datos!A3877,"")</f>
        <v/>
      </c>
      <c r="B3877" s="8">
        <f>IFERROR(Datos!B3877,"")</f>
        <v/>
      </c>
      <c r="C3877" s="8">
        <f>IFERROR(Datos!C3877,"")</f>
        <v/>
      </c>
      <c r="D3877" s="28">
        <f>IFERROR(IF(AND(ISNUMBER(B3877),ISNUMBER(B3876),B3876&lt;&gt;0),B3877/B3876-1,""),"")</f>
        <v/>
      </c>
      <c r="E3877" s="28">
        <f>IFERROR(IF(AND(ISNUMBER(C3877),ISNUMBER(C3876),C3876&lt;&gt;0),C3877/C3876-1,""),"")</f>
        <v/>
      </c>
      <c r="F3877" s="28">
        <f>IFERROR(D3877-Dashboard!$B$4/252,"")</f>
        <v/>
      </c>
      <c r="G3877" s="28">
        <f>IFERROR(E3877-Dashboard!$B$4/252,"")</f>
        <v/>
      </c>
      <c r="H3877" s="8">
        <f>IFERROR(IF(ISNUMBER(B3877),MAX(B3877,IFERROR(H3876,B3877)),""),"")</f>
        <v/>
      </c>
      <c r="I3877" s="29">
        <f>IFERROR(IF(AND(ISNUMBER(B3877),ISNUMBER(H3877)),B3877/H3877-1,""),"")</f>
        <v/>
      </c>
      <c r="J3877" s="8">
        <f>IFERROR(IF(ISNUMBER(C3877),MAX(C3877,IFERROR(J3876,C3877)),""),"")</f>
        <v/>
      </c>
      <c r="K3877" s="29">
        <f>IFERROR(IF(AND(ISNUMBER(C3877),ISNUMBER(J3877)),C3877/J3877-1,""),"")</f>
        <v/>
      </c>
      <c r="L3877" s="28">
        <f>IFERROR(IF(AND(ISNUMBER(D3877),ISNUMBER(E3877)),D3877-E3877,""),"")</f>
        <v/>
      </c>
    </row>
    <row r="3878">
      <c r="A3878" s="7">
        <f>IFERROR(Datos!A3878,"")</f>
        <v/>
      </c>
      <c r="B3878" s="8">
        <f>IFERROR(Datos!B3878,"")</f>
        <v/>
      </c>
      <c r="C3878" s="8">
        <f>IFERROR(Datos!C3878,"")</f>
        <v/>
      </c>
      <c r="D3878" s="28">
        <f>IFERROR(IF(AND(ISNUMBER(B3878),ISNUMBER(B3877),B3877&lt;&gt;0),B3878/B3877-1,""),"")</f>
        <v/>
      </c>
      <c r="E3878" s="28">
        <f>IFERROR(IF(AND(ISNUMBER(C3878),ISNUMBER(C3877),C3877&lt;&gt;0),C3878/C3877-1,""),"")</f>
        <v/>
      </c>
      <c r="F3878" s="28">
        <f>IFERROR(D3878-Dashboard!$B$4/252,"")</f>
        <v/>
      </c>
      <c r="G3878" s="28">
        <f>IFERROR(E3878-Dashboard!$B$4/252,"")</f>
        <v/>
      </c>
      <c r="H3878" s="8">
        <f>IFERROR(IF(ISNUMBER(B3878),MAX(B3878,IFERROR(H3877,B3878)),""),"")</f>
        <v/>
      </c>
      <c r="I3878" s="29">
        <f>IFERROR(IF(AND(ISNUMBER(B3878),ISNUMBER(H3878)),B3878/H3878-1,""),"")</f>
        <v/>
      </c>
      <c r="J3878" s="8">
        <f>IFERROR(IF(ISNUMBER(C3878),MAX(C3878,IFERROR(J3877,C3878)),""),"")</f>
        <v/>
      </c>
      <c r="K3878" s="29">
        <f>IFERROR(IF(AND(ISNUMBER(C3878),ISNUMBER(J3878)),C3878/J3878-1,""),"")</f>
        <v/>
      </c>
      <c r="L3878" s="28">
        <f>IFERROR(IF(AND(ISNUMBER(D3878),ISNUMBER(E3878)),D3878-E3878,""),"")</f>
        <v/>
      </c>
    </row>
    <row r="3879">
      <c r="A3879" s="7">
        <f>IFERROR(Datos!A3879,"")</f>
        <v/>
      </c>
      <c r="B3879" s="8">
        <f>IFERROR(Datos!B3879,"")</f>
        <v/>
      </c>
      <c r="C3879" s="8">
        <f>IFERROR(Datos!C3879,"")</f>
        <v/>
      </c>
      <c r="D3879" s="28">
        <f>IFERROR(IF(AND(ISNUMBER(B3879),ISNUMBER(B3878),B3878&lt;&gt;0),B3879/B3878-1,""),"")</f>
        <v/>
      </c>
      <c r="E3879" s="28">
        <f>IFERROR(IF(AND(ISNUMBER(C3879),ISNUMBER(C3878),C3878&lt;&gt;0),C3879/C3878-1,""),"")</f>
        <v/>
      </c>
      <c r="F3879" s="28">
        <f>IFERROR(D3879-Dashboard!$B$4/252,"")</f>
        <v/>
      </c>
      <c r="G3879" s="28">
        <f>IFERROR(E3879-Dashboard!$B$4/252,"")</f>
        <v/>
      </c>
      <c r="H3879" s="8">
        <f>IFERROR(IF(ISNUMBER(B3879),MAX(B3879,IFERROR(H3878,B3879)),""),"")</f>
        <v/>
      </c>
      <c r="I3879" s="29">
        <f>IFERROR(IF(AND(ISNUMBER(B3879),ISNUMBER(H3879)),B3879/H3879-1,""),"")</f>
        <v/>
      </c>
      <c r="J3879" s="8">
        <f>IFERROR(IF(ISNUMBER(C3879),MAX(C3879,IFERROR(J3878,C3879)),""),"")</f>
        <v/>
      </c>
      <c r="K3879" s="29">
        <f>IFERROR(IF(AND(ISNUMBER(C3879),ISNUMBER(J3879)),C3879/J3879-1,""),"")</f>
        <v/>
      </c>
      <c r="L3879" s="28">
        <f>IFERROR(IF(AND(ISNUMBER(D3879),ISNUMBER(E3879)),D3879-E3879,""),"")</f>
        <v/>
      </c>
    </row>
    <row r="3880">
      <c r="A3880" s="7">
        <f>IFERROR(Datos!A3880,"")</f>
        <v/>
      </c>
      <c r="B3880" s="8">
        <f>IFERROR(Datos!B3880,"")</f>
        <v/>
      </c>
      <c r="C3880" s="8">
        <f>IFERROR(Datos!C3880,"")</f>
        <v/>
      </c>
      <c r="D3880" s="28">
        <f>IFERROR(IF(AND(ISNUMBER(B3880),ISNUMBER(B3879),B3879&lt;&gt;0),B3880/B3879-1,""),"")</f>
        <v/>
      </c>
      <c r="E3880" s="28">
        <f>IFERROR(IF(AND(ISNUMBER(C3880),ISNUMBER(C3879),C3879&lt;&gt;0),C3880/C3879-1,""),"")</f>
        <v/>
      </c>
      <c r="F3880" s="28">
        <f>IFERROR(D3880-Dashboard!$B$4/252,"")</f>
        <v/>
      </c>
      <c r="G3880" s="28">
        <f>IFERROR(E3880-Dashboard!$B$4/252,"")</f>
        <v/>
      </c>
      <c r="H3880" s="8">
        <f>IFERROR(IF(ISNUMBER(B3880),MAX(B3880,IFERROR(H3879,B3880)),""),"")</f>
        <v/>
      </c>
      <c r="I3880" s="29">
        <f>IFERROR(IF(AND(ISNUMBER(B3880),ISNUMBER(H3880)),B3880/H3880-1,""),"")</f>
        <v/>
      </c>
      <c r="J3880" s="8">
        <f>IFERROR(IF(ISNUMBER(C3880),MAX(C3880,IFERROR(J3879,C3880)),""),"")</f>
        <v/>
      </c>
      <c r="K3880" s="29">
        <f>IFERROR(IF(AND(ISNUMBER(C3880),ISNUMBER(J3880)),C3880/J3880-1,""),"")</f>
        <v/>
      </c>
      <c r="L3880" s="28">
        <f>IFERROR(IF(AND(ISNUMBER(D3880),ISNUMBER(E3880)),D3880-E3880,""),"")</f>
        <v/>
      </c>
    </row>
    <row r="3881">
      <c r="A3881" s="7">
        <f>IFERROR(Datos!A3881,"")</f>
        <v/>
      </c>
      <c r="B3881" s="8">
        <f>IFERROR(Datos!B3881,"")</f>
        <v/>
      </c>
      <c r="C3881" s="8">
        <f>IFERROR(Datos!C3881,"")</f>
        <v/>
      </c>
      <c r="D3881" s="28">
        <f>IFERROR(IF(AND(ISNUMBER(B3881),ISNUMBER(B3880),B3880&lt;&gt;0),B3881/B3880-1,""),"")</f>
        <v/>
      </c>
      <c r="E3881" s="28">
        <f>IFERROR(IF(AND(ISNUMBER(C3881),ISNUMBER(C3880),C3880&lt;&gt;0),C3881/C3880-1,""),"")</f>
        <v/>
      </c>
      <c r="F3881" s="28">
        <f>IFERROR(D3881-Dashboard!$B$4/252,"")</f>
        <v/>
      </c>
      <c r="G3881" s="28">
        <f>IFERROR(E3881-Dashboard!$B$4/252,"")</f>
        <v/>
      </c>
      <c r="H3881" s="8">
        <f>IFERROR(IF(ISNUMBER(B3881),MAX(B3881,IFERROR(H3880,B3881)),""),"")</f>
        <v/>
      </c>
      <c r="I3881" s="29">
        <f>IFERROR(IF(AND(ISNUMBER(B3881),ISNUMBER(H3881)),B3881/H3881-1,""),"")</f>
        <v/>
      </c>
      <c r="J3881" s="8">
        <f>IFERROR(IF(ISNUMBER(C3881),MAX(C3881,IFERROR(J3880,C3881)),""),"")</f>
        <v/>
      </c>
      <c r="K3881" s="29">
        <f>IFERROR(IF(AND(ISNUMBER(C3881),ISNUMBER(J3881)),C3881/J3881-1,""),"")</f>
        <v/>
      </c>
      <c r="L3881" s="28">
        <f>IFERROR(IF(AND(ISNUMBER(D3881),ISNUMBER(E3881)),D3881-E3881,""),"")</f>
        <v/>
      </c>
    </row>
    <row r="3882">
      <c r="A3882" s="7">
        <f>IFERROR(Datos!A3882,"")</f>
        <v/>
      </c>
      <c r="B3882" s="8">
        <f>IFERROR(Datos!B3882,"")</f>
        <v/>
      </c>
      <c r="C3882" s="8">
        <f>IFERROR(Datos!C3882,"")</f>
        <v/>
      </c>
      <c r="D3882" s="28">
        <f>IFERROR(IF(AND(ISNUMBER(B3882),ISNUMBER(B3881),B3881&lt;&gt;0),B3882/B3881-1,""),"")</f>
        <v/>
      </c>
      <c r="E3882" s="28">
        <f>IFERROR(IF(AND(ISNUMBER(C3882),ISNUMBER(C3881),C3881&lt;&gt;0),C3882/C3881-1,""),"")</f>
        <v/>
      </c>
      <c r="F3882" s="28">
        <f>IFERROR(D3882-Dashboard!$B$4/252,"")</f>
        <v/>
      </c>
      <c r="G3882" s="28">
        <f>IFERROR(E3882-Dashboard!$B$4/252,"")</f>
        <v/>
      </c>
      <c r="H3882" s="8">
        <f>IFERROR(IF(ISNUMBER(B3882),MAX(B3882,IFERROR(H3881,B3882)),""),"")</f>
        <v/>
      </c>
      <c r="I3882" s="29">
        <f>IFERROR(IF(AND(ISNUMBER(B3882),ISNUMBER(H3882)),B3882/H3882-1,""),"")</f>
        <v/>
      </c>
      <c r="J3882" s="8">
        <f>IFERROR(IF(ISNUMBER(C3882),MAX(C3882,IFERROR(J3881,C3882)),""),"")</f>
        <v/>
      </c>
      <c r="K3882" s="29">
        <f>IFERROR(IF(AND(ISNUMBER(C3882),ISNUMBER(J3882)),C3882/J3882-1,""),"")</f>
        <v/>
      </c>
      <c r="L3882" s="28">
        <f>IFERROR(IF(AND(ISNUMBER(D3882),ISNUMBER(E3882)),D3882-E3882,""),"")</f>
        <v/>
      </c>
    </row>
    <row r="3883">
      <c r="A3883" s="7">
        <f>IFERROR(Datos!A3883,"")</f>
        <v/>
      </c>
      <c r="B3883" s="8">
        <f>IFERROR(Datos!B3883,"")</f>
        <v/>
      </c>
      <c r="C3883" s="8">
        <f>IFERROR(Datos!C3883,"")</f>
        <v/>
      </c>
      <c r="D3883" s="28">
        <f>IFERROR(IF(AND(ISNUMBER(B3883),ISNUMBER(B3882),B3882&lt;&gt;0),B3883/B3882-1,""),"")</f>
        <v/>
      </c>
      <c r="E3883" s="28">
        <f>IFERROR(IF(AND(ISNUMBER(C3883),ISNUMBER(C3882),C3882&lt;&gt;0),C3883/C3882-1,""),"")</f>
        <v/>
      </c>
      <c r="F3883" s="28">
        <f>IFERROR(D3883-Dashboard!$B$4/252,"")</f>
        <v/>
      </c>
      <c r="G3883" s="28">
        <f>IFERROR(E3883-Dashboard!$B$4/252,"")</f>
        <v/>
      </c>
      <c r="H3883" s="8">
        <f>IFERROR(IF(ISNUMBER(B3883),MAX(B3883,IFERROR(H3882,B3883)),""),"")</f>
        <v/>
      </c>
      <c r="I3883" s="29">
        <f>IFERROR(IF(AND(ISNUMBER(B3883),ISNUMBER(H3883)),B3883/H3883-1,""),"")</f>
        <v/>
      </c>
      <c r="J3883" s="8">
        <f>IFERROR(IF(ISNUMBER(C3883),MAX(C3883,IFERROR(J3882,C3883)),""),"")</f>
        <v/>
      </c>
      <c r="K3883" s="29">
        <f>IFERROR(IF(AND(ISNUMBER(C3883),ISNUMBER(J3883)),C3883/J3883-1,""),"")</f>
        <v/>
      </c>
      <c r="L3883" s="28">
        <f>IFERROR(IF(AND(ISNUMBER(D3883),ISNUMBER(E3883)),D3883-E3883,""),"")</f>
        <v/>
      </c>
    </row>
    <row r="3884">
      <c r="A3884" s="7">
        <f>IFERROR(Datos!A3884,"")</f>
        <v/>
      </c>
      <c r="B3884" s="8">
        <f>IFERROR(Datos!B3884,"")</f>
        <v/>
      </c>
      <c r="C3884" s="8">
        <f>IFERROR(Datos!C3884,"")</f>
        <v/>
      </c>
      <c r="D3884" s="28">
        <f>IFERROR(IF(AND(ISNUMBER(B3884),ISNUMBER(B3883),B3883&lt;&gt;0),B3884/B3883-1,""),"")</f>
        <v/>
      </c>
      <c r="E3884" s="28">
        <f>IFERROR(IF(AND(ISNUMBER(C3884),ISNUMBER(C3883),C3883&lt;&gt;0),C3884/C3883-1,""),"")</f>
        <v/>
      </c>
      <c r="F3884" s="28">
        <f>IFERROR(D3884-Dashboard!$B$4/252,"")</f>
        <v/>
      </c>
      <c r="G3884" s="28">
        <f>IFERROR(E3884-Dashboard!$B$4/252,"")</f>
        <v/>
      </c>
      <c r="H3884" s="8">
        <f>IFERROR(IF(ISNUMBER(B3884),MAX(B3884,IFERROR(H3883,B3884)),""),"")</f>
        <v/>
      </c>
      <c r="I3884" s="29">
        <f>IFERROR(IF(AND(ISNUMBER(B3884),ISNUMBER(H3884)),B3884/H3884-1,""),"")</f>
        <v/>
      </c>
      <c r="J3884" s="8">
        <f>IFERROR(IF(ISNUMBER(C3884),MAX(C3884,IFERROR(J3883,C3884)),""),"")</f>
        <v/>
      </c>
      <c r="K3884" s="29">
        <f>IFERROR(IF(AND(ISNUMBER(C3884),ISNUMBER(J3884)),C3884/J3884-1,""),"")</f>
        <v/>
      </c>
      <c r="L3884" s="28">
        <f>IFERROR(IF(AND(ISNUMBER(D3884),ISNUMBER(E3884)),D3884-E3884,""),"")</f>
        <v/>
      </c>
    </row>
    <row r="3885">
      <c r="A3885" s="7">
        <f>IFERROR(Datos!A3885,"")</f>
        <v/>
      </c>
      <c r="B3885" s="8">
        <f>IFERROR(Datos!B3885,"")</f>
        <v/>
      </c>
      <c r="C3885" s="8">
        <f>IFERROR(Datos!C3885,"")</f>
        <v/>
      </c>
      <c r="D3885" s="28">
        <f>IFERROR(IF(AND(ISNUMBER(B3885),ISNUMBER(B3884),B3884&lt;&gt;0),B3885/B3884-1,""),"")</f>
        <v/>
      </c>
      <c r="E3885" s="28">
        <f>IFERROR(IF(AND(ISNUMBER(C3885),ISNUMBER(C3884),C3884&lt;&gt;0),C3885/C3884-1,""),"")</f>
        <v/>
      </c>
      <c r="F3885" s="28">
        <f>IFERROR(D3885-Dashboard!$B$4/252,"")</f>
        <v/>
      </c>
      <c r="G3885" s="28">
        <f>IFERROR(E3885-Dashboard!$B$4/252,"")</f>
        <v/>
      </c>
      <c r="H3885" s="8">
        <f>IFERROR(IF(ISNUMBER(B3885),MAX(B3885,IFERROR(H3884,B3885)),""),"")</f>
        <v/>
      </c>
      <c r="I3885" s="29">
        <f>IFERROR(IF(AND(ISNUMBER(B3885),ISNUMBER(H3885)),B3885/H3885-1,""),"")</f>
        <v/>
      </c>
      <c r="J3885" s="8">
        <f>IFERROR(IF(ISNUMBER(C3885),MAX(C3885,IFERROR(J3884,C3885)),""),"")</f>
        <v/>
      </c>
      <c r="K3885" s="29">
        <f>IFERROR(IF(AND(ISNUMBER(C3885),ISNUMBER(J3885)),C3885/J3885-1,""),"")</f>
        <v/>
      </c>
      <c r="L3885" s="28">
        <f>IFERROR(IF(AND(ISNUMBER(D3885),ISNUMBER(E3885)),D3885-E3885,""),"")</f>
        <v/>
      </c>
    </row>
    <row r="3886">
      <c r="A3886" s="7">
        <f>IFERROR(Datos!A3886,"")</f>
        <v/>
      </c>
      <c r="B3886" s="8">
        <f>IFERROR(Datos!B3886,"")</f>
        <v/>
      </c>
      <c r="C3886" s="8">
        <f>IFERROR(Datos!C3886,"")</f>
        <v/>
      </c>
      <c r="D3886" s="28">
        <f>IFERROR(IF(AND(ISNUMBER(B3886),ISNUMBER(B3885),B3885&lt;&gt;0),B3886/B3885-1,""),"")</f>
        <v/>
      </c>
      <c r="E3886" s="28">
        <f>IFERROR(IF(AND(ISNUMBER(C3886),ISNUMBER(C3885),C3885&lt;&gt;0),C3886/C3885-1,""),"")</f>
        <v/>
      </c>
      <c r="F3886" s="28">
        <f>IFERROR(D3886-Dashboard!$B$4/252,"")</f>
        <v/>
      </c>
      <c r="G3886" s="28">
        <f>IFERROR(E3886-Dashboard!$B$4/252,"")</f>
        <v/>
      </c>
      <c r="H3886" s="8">
        <f>IFERROR(IF(ISNUMBER(B3886),MAX(B3886,IFERROR(H3885,B3886)),""),"")</f>
        <v/>
      </c>
      <c r="I3886" s="29">
        <f>IFERROR(IF(AND(ISNUMBER(B3886),ISNUMBER(H3886)),B3886/H3886-1,""),"")</f>
        <v/>
      </c>
      <c r="J3886" s="8">
        <f>IFERROR(IF(ISNUMBER(C3886),MAX(C3886,IFERROR(J3885,C3886)),""),"")</f>
        <v/>
      </c>
      <c r="K3886" s="29">
        <f>IFERROR(IF(AND(ISNUMBER(C3886),ISNUMBER(J3886)),C3886/J3886-1,""),"")</f>
        <v/>
      </c>
      <c r="L3886" s="28">
        <f>IFERROR(IF(AND(ISNUMBER(D3886),ISNUMBER(E3886)),D3886-E3886,""),"")</f>
        <v/>
      </c>
    </row>
    <row r="3887">
      <c r="A3887" s="7">
        <f>IFERROR(Datos!A3887,"")</f>
        <v/>
      </c>
      <c r="B3887" s="8">
        <f>IFERROR(Datos!B3887,"")</f>
        <v/>
      </c>
      <c r="C3887" s="8">
        <f>IFERROR(Datos!C3887,"")</f>
        <v/>
      </c>
      <c r="D3887" s="28">
        <f>IFERROR(IF(AND(ISNUMBER(B3887),ISNUMBER(B3886),B3886&lt;&gt;0),B3887/B3886-1,""),"")</f>
        <v/>
      </c>
      <c r="E3887" s="28">
        <f>IFERROR(IF(AND(ISNUMBER(C3887),ISNUMBER(C3886),C3886&lt;&gt;0),C3887/C3886-1,""),"")</f>
        <v/>
      </c>
      <c r="F3887" s="28">
        <f>IFERROR(D3887-Dashboard!$B$4/252,"")</f>
        <v/>
      </c>
      <c r="G3887" s="28">
        <f>IFERROR(E3887-Dashboard!$B$4/252,"")</f>
        <v/>
      </c>
      <c r="H3887" s="8">
        <f>IFERROR(IF(ISNUMBER(B3887),MAX(B3887,IFERROR(H3886,B3887)),""),"")</f>
        <v/>
      </c>
      <c r="I3887" s="29">
        <f>IFERROR(IF(AND(ISNUMBER(B3887),ISNUMBER(H3887)),B3887/H3887-1,""),"")</f>
        <v/>
      </c>
      <c r="J3887" s="8">
        <f>IFERROR(IF(ISNUMBER(C3887),MAX(C3887,IFERROR(J3886,C3887)),""),"")</f>
        <v/>
      </c>
      <c r="K3887" s="29">
        <f>IFERROR(IF(AND(ISNUMBER(C3887),ISNUMBER(J3887)),C3887/J3887-1,""),"")</f>
        <v/>
      </c>
      <c r="L3887" s="28">
        <f>IFERROR(IF(AND(ISNUMBER(D3887),ISNUMBER(E3887)),D3887-E3887,""),"")</f>
        <v/>
      </c>
    </row>
    <row r="3888">
      <c r="A3888" s="7">
        <f>IFERROR(Datos!A3888,"")</f>
        <v/>
      </c>
      <c r="B3888" s="8">
        <f>IFERROR(Datos!B3888,"")</f>
        <v/>
      </c>
      <c r="C3888" s="8">
        <f>IFERROR(Datos!C3888,"")</f>
        <v/>
      </c>
      <c r="D3888" s="28">
        <f>IFERROR(IF(AND(ISNUMBER(B3888),ISNUMBER(B3887),B3887&lt;&gt;0),B3888/B3887-1,""),"")</f>
        <v/>
      </c>
      <c r="E3888" s="28">
        <f>IFERROR(IF(AND(ISNUMBER(C3888),ISNUMBER(C3887),C3887&lt;&gt;0),C3888/C3887-1,""),"")</f>
        <v/>
      </c>
      <c r="F3888" s="28">
        <f>IFERROR(D3888-Dashboard!$B$4/252,"")</f>
        <v/>
      </c>
      <c r="G3888" s="28">
        <f>IFERROR(E3888-Dashboard!$B$4/252,"")</f>
        <v/>
      </c>
      <c r="H3888" s="8">
        <f>IFERROR(IF(ISNUMBER(B3888),MAX(B3888,IFERROR(H3887,B3888)),""),"")</f>
        <v/>
      </c>
      <c r="I3888" s="29">
        <f>IFERROR(IF(AND(ISNUMBER(B3888),ISNUMBER(H3888)),B3888/H3888-1,""),"")</f>
        <v/>
      </c>
      <c r="J3888" s="8">
        <f>IFERROR(IF(ISNUMBER(C3888),MAX(C3888,IFERROR(J3887,C3888)),""),"")</f>
        <v/>
      </c>
      <c r="K3888" s="29">
        <f>IFERROR(IF(AND(ISNUMBER(C3888),ISNUMBER(J3888)),C3888/J3888-1,""),"")</f>
        <v/>
      </c>
      <c r="L3888" s="28">
        <f>IFERROR(IF(AND(ISNUMBER(D3888),ISNUMBER(E3888)),D3888-E3888,""),"")</f>
        <v/>
      </c>
    </row>
    <row r="3889">
      <c r="A3889" s="7">
        <f>IFERROR(Datos!A3889,"")</f>
        <v/>
      </c>
      <c r="B3889" s="8">
        <f>IFERROR(Datos!B3889,"")</f>
        <v/>
      </c>
      <c r="C3889" s="8">
        <f>IFERROR(Datos!C3889,"")</f>
        <v/>
      </c>
      <c r="D3889" s="28">
        <f>IFERROR(IF(AND(ISNUMBER(B3889),ISNUMBER(B3888),B3888&lt;&gt;0),B3889/B3888-1,""),"")</f>
        <v/>
      </c>
      <c r="E3889" s="28">
        <f>IFERROR(IF(AND(ISNUMBER(C3889),ISNUMBER(C3888),C3888&lt;&gt;0),C3889/C3888-1,""),"")</f>
        <v/>
      </c>
      <c r="F3889" s="28">
        <f>IFERROR(D3889-Dashboard!$B$4/252,"")</f>
        <v/>
      </c>
      <c r="G3889" s="28">
        <f>IFERROR(E3889-Dashboard!$B$4/252,"")</f>
        <v/>
      </c>
      <c r="H3889" s="8">
        <f>IFERROR(IF(ISNUMBER(B3889),MAX(B3889,IFERROR(H3888,B3889)),""),"")</f>
        <v/>
      </c>
      <c r="I3889" s="29">
        <f>IFERROR(IF(AND(ISNUMBER(B3889),ISNUMBER(H3889)),B3889/H3889-1,""),"")</f>
        <v/>
      </c>
      <c r="J3889" s="8">
        <f>IFERROR(IF(ISNUMBER(C3889),MAX(C3889,IFERROR(J3888,C3889)),""),"")</f>
        <v/>
      </c>
      <c r="K3889" s="29">
        <f>IFERROR(IF(AND(ISNUMBER(C3889),ISNUMBER(J3889)),C3889/J3889-1,""),"")</f>
        <v/>
      </c>
      <c r="L3889" s="28">
        <f>IFERROR(IF(AND(ISNUMBER(D3889),ISNUMBER(E3889)),D3889-E3889,""),"")</f>
        <v/>
      </c>
    </row>
    <row r="3890">
      <c r="A3890" s="7">
        <f>IFERROR(Datos!A3890,"")</f>
        <v/>
      </c>
      <c r="B3890" s="8">
        <f>IFERROR(Datos!B3890,"")</f>
        <v/>
      </c>
      <c r="C3890" s="8">
        <f>IFERROR(Datos!C3890,"")</f>
        <v/>
      </c>
      <c r="D3890" s="28">
        <f>IFERROR(IF(AND(ISNUMBER(B3890),ISNUMBER(B3889),B3889&lt;&gt;0),B3890/B3889-1,""),"")</f>
        <v/>
      </c>
      <c r="E3890" s="28">
        <f>IFERROR(IF(AND(ISNUMBER(C3890),ISNUMBER(C3889),C3889&lt;&gt;0),C3890/C3889-1,""),"")</f>
        <v/>
      </c>
      <c r="F3890" s="28">
        <f>IFERROR(D3890-Dashboard!$B$4/252,"")</f>
        <v/>
      </c>
      <c r="G3890" s="28">
        <f>IFERROR(E3890-Dashboard!$B$4/252,"")</f>
        <v/>
      </c>
      <c r="H3890" s="8">
        <f>IFERROR(IF(ISNUMBER(B3890),MAX(B3890,IFERROR(H3889,B3890)),""),"")</f>
        <v/>
      </c>
      <c r="I3890" s="29">
        <f>IFERROR(IF(AND(ISNUMBER(B3890),ISNUMBER(H3890)),B3890/H3890-1,""),"")</f>
        <v/>
      </c>
      <c r="J3890" s="8">
        <f>IFERROR(IF(ISNUMBER(C3890),MAX(C3890,IFERROR(J3889,C3890)),""),"")</f>
        <v/>
      </c>
      <c r="K3890" s="29">
        <f>IFERROR(IF(AND(ISNUMBER(C3890),ISNUMBER(J3890)),C3890/J3890-1,""),"")</f>
        <v/>
      </c>
      <c r="L3890" s="28">
        <f>IFERROR(IF(AND(ISNUMBER(D3890),ISNUMBER(E3890)),D3890-E3890,""),"")</f>
        <v/>
      </c>
    </row>
    <row r="3891">
      <c r="A3891" s="7">
        <f>IFERROR(Datos!A3891,"")</f>
        <v/>
      </c>
      <c r="B3891" s="8">
        <f>IFERROR(Datos!B3891,"")</f>
        <v/>
      </c>
      <c r="C3891" s="8">
        <f>IFERROR(Datos!C3891,"")</f>
        <v/>
      </c>
      <c r="D3891" s="28">
        <f>IFERROR(IF(AND(ISNUMBER(B3891),ISNUMBER(B3890),B3890&lt;&gt;0),B3891/B3890-1,""),"")</f>
        <v/>
      </c>
      <c r="E3891" s="28">
        <f>IFERROR(IF(AND(ISNUMBER(C3891),ISNUMBER(C3890),C3890&lt;&gt;0),C3891/C3890-1,""),"")</f>
        <v/>
      </c>
      <c r="F3891" s="28">
        <f>IFERROR(D3891-Dashboard!$B$4/252,"")</f>
        <v/>
      </c>
      <c r="G3891" s="28">
        <f>IFERROR(E3891-Dashboard!$B$4/252,"")</f>
        <v/>
      </c>
      <c r="H3891" s="8">
        <f>IFERROR(IF(ISNUMBER(B3891),MAX(B3891,IFERROR(H3890,B3891)),""),"")</f>
        <v/>
      </c>
      <c r="I3891" s="29">
        <f>IFERROR(IF(AND(ISNUMBER(B3891),ISNUMBER(H3891)),B3891/H3891-1,""),"")</f>
        <v/>
      </c>
      <c r="J3891" s="8">
        <f>IFERROR(IF(ISNUMBER(C3891),MAX(C3891,IFERROR(J3890,C3891)),""),"")</f>
        <v/>
      </c>
      <c r="K3891" s="29">
        <f>IFERROR(IF(AND(ISNUMBER(C3891),ISNUMBER(J3891)),C3891/J3891-1,""),"")</f>
        <v/>
      </c>
      <c r="L3891" s="28">
        <f>IFERROR(IF(AND(ISNUMBER(D3891),ISNUMBER(E3891)),D3891-E3891,""),"")</f>
        <v/>
      </c>
    </row>
    <row r="3892">
      <c r="A3892" s="7">
        <f>IFERROR(Datos!A3892,"")</f>
        <v/>
      </c>
      <c r="B3892" s="8">
        <f>IFERROR(Datos!B3892,"")</f>
        <v/>
      </c>
      <c r="C3892" s="8">
        <f>IFERROR(Datos!C3892,"")</f>
        <v/>
      </c>
      <c r="D3892" s="28">
        <f>IFERROR(IF(AND(ISNUMBER(B3892),ISNUMBER(B3891),B3891&lt;&gt;0),B3892/B3891-1,""),"")</f>
        <v/>
      </c>
      <c r="E3892" s="28">
        <f>IFERROR(IF(AND(ISNUMBER(C3892),ISNUMBER(C3891),C3891&lt;&gt;0),C3892/C3891-1,""),"")</f>
        <v/>
      </c>
      <c r="F3892" s="28">
        <f>IFERROR(D3892-Dashboard!$B$4/252,"")</f>
        <v/>
      </c>
      <c r="G3892" s="28">
        <f>IFERROR(E3892-Dashboard!$B$4/252,"")</f>
        <v/>
      </c>
      <c r="H3892" s="8">
        <f>IFERROR(IF(ISNUMBER(B3892),MAX(B3892,IFERROR(H3891,B3892)),""),"")</f>
        <v/>
      </c>
      <c r="I3892" s="29">
        <f>IFERROR(IF(AND(ISNUMBER(B3892),ISNUMBER(H3892)),B3892/H3892-1,""),"")</f>
        <v/>
      </c>
      <c r="J3892" s="8">
        <f>IFERROR(IF(ISNUMBER(C3892),MAX(C3892,IFERROR(J3891,C3892)),""),"")</f>
        <v/>
      </c>
      <c r="K3892" s="29">
        <f>IFERROR(IF(AND(ISNUMBER(C3892),ISNUMBER(J3892)),C3892/J3892-1,""),"")</f>
        <v/>
      </c>
      <c r="L3892" s="28">
        <f>IFERROR(IF(AND(ISNUMBER(D3892),ISNUMBER(E3892)),D3892-E3892,""),"")</f>
        <v/>
      </c>
    </row>
    <row r="3893">
      <c r="A3893" s="7">
        <f>IFERROR(Datos!A3893,"")</f>
        <v/>
      </c>
      <c r="B3893" s="8">
        <f>IFERROR(Datos!B3893,"")</f>
        <v/>
      </c>
      <c r="C3893" s="8">
        <f>IFERROR(Datos!C3893,"")</f>
        <v/>
      </c>
      <c r="D3893" s="28">
        <f>IFERROR(IF(AND(ISNUMBER(B3893),ISNUMBER(B3892),B3892&lt;&gt;0),B3893/B3892-1,""),"")</f>
        <v/>
      </c>
      <c r="E3893" s="28">
        <f>IFERROR(IF(AND(ISNUMBER(C3893),ISNUMBER(C3892),C3892&lt;&gt;0),C3893/C3892-1,""),"")</f>
        <v/>
      </c>
      <c r="F3893" s="28">
        <f>IFERROR(D3893-Dashboard!$B$4/252,"")</f>
        <v/>
      </c>
      <c r="G3893" s="28">
        <f>IFERROR(E3893-Dashboard!$B$4/252,"")</f>
        <v/>
      </c>
      <c r="H3893" s="8">
        <f>IFERROR(IF(ISNUMBER(B3893),MAX(B3893,IFERROR(H3892,B3893)),""),"")</f>
        <v/>
      </c>
      <c r="I3893" s="29">
        <f>IFERROR(IF(AND(ISNUMBER(B3893),ISNUMBER(H3893)),B3893/H3893-1,""),"")</f>
        <v/>
      </c>
      <c r="J3893" s="8">
        <f>IFERROR(IF(ISNUMBER(C3893),MAX(C3893,IFERROR(J3892,C3893)),""),"")</f>
        <v/>
      </c>
      <c r="K3893" s="29">
        <f>IFERROR(IF(AND(ISNUMBER(C3893),ISNUMBER(J3893)),C3893/J3893-1,""),"")</f>
        <v/>
      </c>
      <c r="L3893" s="28">
        <f>IFERROR(IF(AND(ISNUMBER(D3893),ISNUMBER(E3893)),D3893-E3893,""),"")</f>
        <v/>
      </c>
    </row>
    <row r="3894">
      <c r="A3894" s="7">
        <f>IFERROR(Datos!A3894,"")</f>
        <v/>
      </c>
      <c r="B3894" s="8">
        <f>IFERROR(Datos!B3894,"")</f>
        <v/>
      </c>
      <c r="C3894" s="8">
        <f>IFERROR(Datos!C3894,"")</f>
        <v/>
      </c>
      <c r="D3894" s="28">
        <f>IFERROR(IF(AND(ISNUMBER(B3894),ISNUMBER(B3893),B3893&lt;&gt;0),B3894/B3893-1,""),"")</f>
        <v/>
      </c>
      <c r="E3894" s="28">
        <f>IFERROR(IF(AND(ISNUMBER(C3894),ISNUMBER(C3893),C3893&lt;&gt;0),C3894/C3893-1,""),"")</f>
        <v/>
      </c>
      <c r="F3894" s="28">
        <f>IFERROR(D3894-Dashboard!$B$4/252,"")</f>
        <v/>
      </c>
      <c r="G3894" s="28">
        <f>IFERROR(E3894-Dashboard!$B$4/252,"")</f>
        <v/>
      </c>
      <c r="H3894" s="8">
        <f>IFERROR(IF(ISNUMBER(B3894),MAX(B3894,IFERROR(H3893,B3894)),""),"")</f>
        <v/>
      </c>
      <c r="I3894" s="29">
        <f>IFERROR(IF(AND(ISNUMBER(B3894),ISNUMBER(H3894)),B3894/H3894-1,""),"")</f>
        <v/>
      </c>
      <c r="J3894" s="8">
        <f>IFERROR(IF(ISNUMBER(C3894),MAX(C3894,IFERROR(J3893,C3894)),""),"")</f>
        <v/>
      </c>
      <c r="K3894" s="29">
        <f>IFERROR(IF(AND(ISNUMBER(C3894),ISNUMBER(J3894)),C3894/J3894-1,""),"")</f>
        <v/>
      </c>
      <c r="L3894" s="28">
        <f>IFERROR(IF(AND(ISNUMBER(D3894),ISNUMBER(E3894)),D3894-E3894,""),"")</f>
        <v/>
      </c>
    </row>
    <row r="3895">
      <c r="A3895" s="7">
        <f>IFERROR(Datos!A3895,"")</f>
        <v/>
      </c>
      <c r="B3895" s="8">
        <f>IFERROR(Datos!B3895,"")</f>
        <v/>
      </c>
      <c r="C3895" s="8">
        <f>IFERROR(Datos!C3895,"")</f>
        <v/>
      </c>
      <c r="D3895" s="28">
        <f>IFERROR(IF(AND(ISNUMBER(B3895),ISNUMBER(B3894),B3894&lt;&gt;0),B3895/B3894-1,""),"")</f>
        <v/>
      </c>
      <c r="E3895" s="28">
        <f>IFERROR(IF(AND(ISNUMBER(C3895),ISNUMBER(C3894),C3894&lt;&gt;0),C3895/C3894-1,""),"")</f>
        <v/>
      </c>
      <c r="F3895" s="28">
        <f>IFERROR(D3895-Dashboard!$B$4/252,"")</f>
        <v/>
      </c>
      <c r="G3895" s="28">
        <f>IFERROR(E3895-Dashboard!$B$4/252,"")</f>
        <v/>
      </c>
      <c r="H3895" s="8">
        <f>IFERROR(IF(ISNUMBER(B3895),MAX(B3895,IFERROR(H3894,B3895)),""),"")</f>
        <v/>
      </c>
      <c r="I3895" s="29">
        <f>IFERROR(IF(AND(ISNUMBER(B3895),ISNUMBER(H3895)),B3895/H3895-1,""),"")</f>
        <v/>
      </c>
      <c r="J3895" s="8">
        <f>IFERROR(IF(ISNUMBER(C3895),MAX(C3895,IFERROR(J3894,C3895)),""),"")</f>
        <v/>
      </c>
      <c r="K3895" s="29">
        <f>IFERROR(IF(AND(ISNUMBER(C3895),ISNUMBER(J3895)),C3895/J3895-1,""),"")</f>
        <v/>
      </c>
      <c r="L3895" s="28">
        <f>IFERROR(IF(AND(ISNUMBER(D3895),ISNUMBER(E3895)),D3895-E3895,""),"")</f>
        <v/>
      </c>
    </row>
    <row r="3896">
      <c r="A3896" s="7">
        <f>IFERROR(Datos!A3896,"")</f>
        <v/>
      </c>
      <c r="B3896" s="8">
        <f>IFERROR(Datos!B3896,"")</f>
        <v/>
      </c>
      <c r="C3896" s="8">
        <f>IFERROR(Datos!C3896,"")</f>
        <v/>
      </c>
      <c r="D3896" s="28">
        <f>IFERROR(IF(AND(ISNUMBER(B3896),ISNUMBER(B3895),B3895&lt;&gt;0),B3896/B3895-1,""),"")</f>
        <v/>
      </c>
      <c r="E3896" s="28">
        <f>IFERROR(IF(AND(ISNUMBER(C3896),ISNUMBER(C3895),C3895&lt;&gt;0),C3896/C3895-1,""),"")</f>
        <v/>
      </c>
      <c r="F3896" s="28">
        <f>IFERROR(D3896-Dashboard!$B$4/252,"")</f>
        <v/>
      </c>
      <c r="G3896" s="28">
        <f>IFERROR(E3896-Dashboard!$B$4/252,"")</f>
        <v/>
      </c>
      <c r="H3896" s="8">
        <f>IFERROR(IF(ISNUMBER(B3896),MAX(B3896,IFERROR(H3895,B3896)),""),"")</f>
        <v/>
      </c>
      <c r="I3896" s="29">
        <f>IFERROR(IF(AND(ISNUMBER(B3896),ISNUMBER(H3896)),B3896/H3896-1,""),"")</f>
        <v/>
      </c>
      <c r="J3896" s="8">
        <f>IFERROR(IF(ISNUMBER(C3896),MAX(C3896,IFERROR(J3895,C3896)),""),"")</f>
        <v/>
      </c>
      <c r="K3896" s="29">
        <f>IFERROR(IF(AND(ISNUMBER(C3896),ISNUMBER(J3896)),C3896/J3896-1,""),"")</f>
        <v/>
      </c>
      <c r="L3896" s="28">
        <f>IFERROR(IF(AND(ISNUMBER(D3896),ISNUMBER(E3896)),D3896-E3896,""),"")</f>
        <v/>
      </c>
    </row>
    <row r="3897">
      <c r="A3897" s="7">
        <f>IFERROR(Datos!A3897,"")</f>
        <v/>
      </c>
      <c r="B3897" s="8">
        <f>IFERROR(Datos!B3897,"")</f>
        <v/>
      </c>
      <c r="C3897" s="8">
        <f>IFERROR(Datos!C3897,"")</f>
        <v/>
      </c>
      <c r="D3897" s="28">
        <f>IFERROR(IF(AND(ISNUMBER(B3897),ISNUMBER(B3896),B3896&lt;&gt;0),B3897/B3896-1,""),"")</f>
        <v/>
      </c>
      <c r="E3897" s="28">
        <f>IFERROR(IF(AND(ISNUMBER(C3897),ISNUMBER(C3896),C3896&lt;&gt;0),C3897/C3896-1,""),"")</f>
        <v/>
      </c>
      <c r="F3897" s="28">
        <f>IFERROR(D3897-Dashboard!$B$4/252,"")</f>
        <v/>
      </c>
      <c r="G3897" s="28">
        <f>IFERROR(E3897-Dashboard!$B$4/252,"")</f>
        <v/>
      </c>
      <c r="H3897" s="8">
        <f>IFERROR(IF(ISNUMBER(B3897),MAX(B3897,IFERROR(H3896,B3897)),""),"")</f>
        <v/>
      </c>
      <c r="I3897" s="29">
        <f>IFERROR(IF(AND(ISNUMBER(B3897),ISNUMBER(H3897)),B3897/H3897-1,""),"")</f>
        <v/>
      </c>
      <c r="J3897" s="8">
        <f>IFERROR(IF(ISNUMBER(C3897),MAX(C3897,IFERROR(J3896,C3897)),""),"")</f>
        <v/>
      </c>
      <c r="K3897" s="29">
        <f>IFERROR(IF(AND(ISNUMBER(C3897),ISNUMBER(J3897)),C3897/J3897-1,""),"")</f>
        <v/>
      </c>
      <c r="L3897" s="28">
        <f>IFERROR(IF(AND(ISNUMBER(D3897),ISNUMBER(E3897)),D3897-E3897,""),"")</f>
        <v/>
      </c>
    </row>
    <row r="3898">
      <c r="A3898" s="7">
        <f>IFERROR(Datos!A3898,"")</f>
        <v/>
      </c>
      <c r="B3898" s="8">
        <f>IFERROR(Datos!B3898,"")</f>
        <v/>
      </c>
      <c r="C3898" s="8">
        <f>IFERROR(Datos!C3898,"")</f>
        <v/>
      </c>
      <c r="D3898" s="28">
        <f>IFERROR(IF(AND(ISNUMBER(B3898),ISNUMBER(B3897),B3897&lt;&gt;0),B3898/B3897-1,""),"")</f>
        <v/>
      </c>
      <c r="E3898" s="28">
        <f>IFERROR(IF(AND(ISNUMBER(C3898),ISNUMBER(C3897),C3897&lt;&gt;0),C3898/C3897-1,""),"")</f>
        <v/>
      </c>
      <c r="F3898" s="28">
        <f>IFERROR(D3898-Dashboard!$B$4/252,"")</f>
        <v/>
      </c>
      <c r="G3898" s="28">
        <f>IFERROR(E3898-Dashboard!$B$4/252,"")</f>
        <v/>
      </c>
      <c r="H3898" s="8">
        <f>IFERROR(IF(ISNUMBER(B3898),MAX(B3898,IFERROR(H3897,B3898)),""),"")</f>
        <v/>
      </c>
      <c r="I3898" s="29">
        <f>IFERROR(IF(AND(ISNUMBER(B3898),ISNUMBER(H3898)),B3898/H3898-1,""),"")</f>
        <v/>
      </c>
      <c r="J3898" s="8">
        <f>IFERROR(IF(ISNUMBER(C3898),MAX(C3898,IFERROR(J3897,C3898)),""),"")</f>
        <v/>
      </c>
      <c r="K3898" s="29">
        <f>IFERROR(IF(AND(ISNUMBER(C3898),ISNUMBER(J3898)),C3898/J3898-1,""),"")</f>
        <v/>
      </c>
      <c r="L3898" s="28">
        <f>IFERROR(IF(AND(ISNUMBER(D3898),ISNUMBER(E3898)),D3898-E3898,""),"")</f>
        <v/>
      </c>
    </row>
    <row r="3899">
      <c r="A3899" s="7">
        <f>IFERROR(Datos!A3899,"")</f>
        <v/>
      </c>
      <c r="B3899" s="8">
        <f>IFERROR(Datos!B3899,"")</f>
        <v/>
      </c>
      <c r="C3899" s="8">
        <f>IFERROR(Datos!C3899,"")</f>
        <v/>
      </c>
      <c r="D3899" s="28">
        <f>IFERROR(IF(AND(ISNUMBER(B3899),ISNUMBER(B3898),B3898&lt;&gt;0),B3899/B3898-1,""),"")</f>
        <v/>
      </c>
      <c r="E3899" s="28">
        <f>IFERROR(IF(AND(ISNUMBER(C3899),ISNUMBER(C3898),C3898&lt;&gt;0),C3899/C3898-1,""),"")</f>
        <v/>
      </c>
      <c r="F3899" s="28">
        <f>IFERROR(D3899-Dashboard!$B$4/252,"")</f>
        <v/>
      </c>
      <c r="G3899" s="28">
        <f>IFERROR(E3899-Dashboard!$B$4/252,"")</f>
        <v/>
      </c>
      <c r="H3899" s="8">
        <f>IFERROR(IF(ISNUMBER(B3899),MAX(B3899,IFERROR(H3898,B3899)),""),"")</f>
        <v/>
      </c>
      <c r="I3899" s="29">
        <f>IFERROR(IF(AND(ISNUMBER(B3899),ISNUMBER(H3899)),B3899/H3899-1,""),"")</f>
        <v/>
      </c>
      <c r="J3899" s="8">
        <f>IFERROR(IF(ISNUMBER(C3899),MAX(C3899,IFERROR(J3898,C3899)),""),"")</f>
        <v/>
      </c>
      <c r="K3899" s="29">
        <f>IFERROR(IF(AND(ISNUMBER(C3899),ISNUMBER(J3899)),C3899/J3899-1,""),"")</f>
        <v/>
      </c>
      <c r="L3899" s="28">
        <f>IFERROR(IF(AND(ISNUMBER(D3899),ISNUMBER(E3899)),D3899-E3899,""),"")</f>
        <v/>
      </c>
    </row>
    <row r="3900">
      <c r="A3900" s="7">
        <f>IFERROR(Datos!A3900,"")</f>
        <v/>
      </c>
      <c r="B3900" s="8">
        <f>IFERROR(Datos!B3900,"")</f>
        <v/>
      </c>
      <c r="C3900" s="8">
        <f>IFERROR(Datos!C3900,"")</f>
        <v/>
      </c>
      <c r="D3900" s="28">
        <f>IFERROR(IF(AND(ISNUMBER(B3900),ISNUMBER(B3899),B3899&lt;&gt;0),B3900/B3899-1,""),"")</f>
        <v/>
      </c>
      <c r="E3900" s="28">
        <f>IFERROR(IF(AND(ISNUMBER(C3900),ISNUMBER(C3899),C3899&lt;&gt;0),C3900/C3899-1,""),"")</f>
        <v/>
      </c>
      <c r="F3900" s="28">
        <f>IFERROR(D3900-Dashboard!$B$4/252,"")</f>
        <v/>
      </c>
      <c r="G3900" s="28">
        <f>IFERROR(E3900-Dashboard!$B$4/252,"")</f>
        <v/>
      </c>
      <c r="H3900" s="8">
        <f>IFERROR(IF(ISNUMBER(B3900),MAX(B3900,IFERROR(H3899,B3900)),""),"")</f>
        <v/>
      </c>
      <c r="I3900" s="29">
        <f>IFERROR(IF(AND(ISNUMBER(B3900),ISNUMBER(H3900)),B3900/H3900-1,""),"")</f>
        <v/>
      </c>
      <c r="J3900" s="8">
        <f>IFERROR(IF(ISNUMBER(C3900),MAX(C3900,IFERROR(J3899,C3900)),""),"")</f>
        <v/>
      </c>
      <c r="K3900" s="29">
        <f>IFERROR(IF(AND(ISNUMBER(C3900),ISNUMBER(J3900)),C3900/J3900-1,""),"")</f>
        <v/>
      </c>
      <c r="L3900" s="28">
        <f>IFERROR(IF(AND(ISNUMBER(D3900),ISNUMBER(E3900)),D3900-E3900,""),"")</f>
        <v/>
      </c>
    </row>
    <row r="3901">
      <c r="A3901" s="7">
        <f>IFERROR(Datos!A3901,"")</f>
        <v/>
      </c>
      <c r="B3901" s="8">
        <f>IFERROR(Datos!B3901,"")</f>
        <v/>
      </c>
      <c r="C3901" s="8">
        <f>IFERROR(Datos!C3901,"")</f>
        <v/>
      </c>
      <c r="D3901" s="28">
        <f>IFERROR(IF(AND(ISNUMBER(B3901),ISNUMBER(B3900),B3900&lt;&gt;0),B3901/B3900-1,""),"")</f>
        <v/>
      </c>
      <c r="E3901" s="28">
        <f>IFERROR(IF(AND(ISNUMBER(C3901),ISNUMBER(C3900),C3900&lt;&gt;0),C3901/C3900-1,""),"")</f>
        <v/>
      </c>
      <c r="F3901" s="28">
        <f>IFERROR(D3901-Dashboard!$B$4/252,"")</f>
        <v/>
      </c>
      <c r="G3901" s="28">
        <f>IFERROR(E3901-Dashboard!$B$4/252,"")</f>
        <v/>
      </c>
      <c r="H3901" s="8">
        <f>IFERROR(IF(ISNUMBER(B3901),MAX(B3901,IFERROR(H3900,B3901)),""),"")</f>
        <v/>
      </c>
      <c r="I3901" s="29">
        <f>IFERROR(IF(AND(ISNUMBER(B3901),ISNUMBER(H3901)),B3901/H3901-1,""),"")</f>
        <v/>
      </c>
      <c r="J3901" s="8">
        <f>IFERROR(IF(ISNUMBER(C3901),MAX(C3901,IFERROR(J3900,C3901)),""),"")</f>
        <v/>
      </c>
      <c r="K3901" s="29">
        <f>IFERROR(IF(AND(ISNUMBER(C3901),ISNUMBER(J3901)),C3901/J3901-1,""),"")</f>
        <v/>
      </c>
      <c r="L3901" s="28">
        <f>IFERROR(IF(AND(ISNUMBER(D3901),ISNUMBER(E3901)),D3901-E3901,""),"")</f>
        <v/>
      </c>
    </row>
    <row r="3902">
      <c r="A3902" s="7">
        <f>IFERROR(Datos!A3902,"")</f>
        <v/>
      </c>
      <c r="B3902" s="8">
        <f>IFERROR(Datos!B3902,"")</f>
        <v/>
      </c>
      <c r="C3902" s="8">
        <f>IFERROR(Datos!C3902,"")</f>
        <v/>
      </c>
      <c r="D3902" s="28">
        <f>IFERROR(IF(AND(ISNUMBER(B3902),ISNUMBER(B3901),B3901&lt;&gt;0),B3902/B3901-1,""),"")</f>
        <v/>
      </c>
      <c r="E3902" s="28">
        <f>IFERROR(IF(AND(ISNUMBER(C3902),ISNUMBER(C3901),C3901&lt;&gt;0),C3902/C3901-1,""),"")</f>
        <v/>
      </c>
      <c r="F3902" s="28">
        <f>IFERROR(D3902-Dashboard!$B$4/252,"")</f>
        <v/>
      </c>
      <c r="G3902" s="28">
        <f>IFERROR(E3902-Dashboard!$B$4/252,"")</f>
        <v/>
      </c>
      <c r="H3902" s="8">
        <f>IFERROR(IF(ISNUMBER(B3902),MAX(B3902,IFERROR(H3901,B3902)),""),"")</f>
        <v/>
      </c>
      <c r="I3902" s="29">
        <f>IFERROR(IF(AND(ISNUMBER(B3902),ISNUMBER(H3902)),B3902/H3902-1,""),"")</f>
        <v/>
      </c>
      <c r="J3902" s="8">
        <f>IFERROR(IF(ISNUMBER(C3902),MAX(C3902,IFERROR(J3901,C3902)),""),"")</f>
        <v/>
      </c>
      <c r="K3902" s="29">
        <f>IFERROR(IF(AND(ISNUMBER(C3902),ISNUMBER(J3902)),C3902/J3902-1,""),"")</f>
        <v/>
      </c>
      <c r="L3902" s="28">
        <f>IFERROR(IF(AND(ISNUMBER(D3902),ISNUMBER(E3902)),D3902-E3902,""),"")</f>
        <v/>
      </c>
    </row>
    <row r="3903">
      <c r="A3903" s="7">
        <f>IFERROR(Datos!A3903,"")</f>
        <v/>
      </c>
      <c r="B3903" s="8">
        <f>IFERROR(Datos!B3903,"")</f>
        <v/>
      </c>
      <c r="C3903" s="8">
        <f>IFERROR(Datos!C3903,"")</f>
        <v/>
      </c>
      <c r="D3903" s="28">
        <f>IFERROR(IF(AND(ISNUMBER(B3903),ISNUMBER(B3902),B3902&lt;&gt;0),B3903/B3902-1,""),"")</f>
        <v/>
      </c>
      <c r="E3903" s="28">
        <f>IFERROR(IF(AND(ISNUMBER(C3903),ISNUMBER(C3902),C3902&lt;&gt;0),C3903/C3902-1,""),"")</f>
        <v/>
      </c>
      <c r="F3903" s="28">
        <f>IFERROR(D3903-Dashboard!$B$4/252,"")</f>
        <v/>
      </c>
      <c r="G3903" s="28">
        <f>IFERROR(E3903-Dashboard!$B$4/252,"")</f>
        <v/>
      </c>
      <c r="H3903" s="8">
        <f>IFERROR(IF(ISNUMBER(B3903),MAX(B3903,IFERROR(H3902,B3903)),""),"")</f>
        <v/>
      </c>
      <c r="I3903" s="29">
        <f>IFERROR(IF(AND(ISNUMBER(B3903),ISNUMBER(H3903)),B3903/H3903-1,""),"")</f>
        <v/>
      </c>
      <c r="J3903" s="8">
        <f>IFERROR(IF(ISNUMBER(C3903),MAX(C3903,IFERROR(J3902,C3903)),""),"")</f>
        <v/>
      </c>
      <c r="K3903" s="29">
        <f>IFERROR(IF(AND(ISNUMBER(C3903),ISNUMBER(J3903)),C3903/J3903-1,""),"")</f>
        <v/>
      </c>
      <c r="L3903" s="28">
        <f>IFERROR(IF(AND(ISNUMBER(D3903),ISNUMBER(E3903)),D3903-E3903,""),"")</f>
        <v/>
      </c>
    </row>
    <row r="3904">
      <c r="A3904" s="7">
        <f>IFERROR(Datos!A3904,"")</f>
        <v/>
      </c>
      <c r="B3904" s="8">
        <f>IFERROR(Datos!B3904,"")</f>
        <v/>
      </c>
      <c r="C3904" s="8">
        <f>IFERROR(Datos!C3904,"")</f>
        <v/>
      </c>
      <c r="D3904" s="28">
        <f>IFERROR(IF(AND(ISNUMBER(B3904),ISNUMBER(B3903),B3903&lt;&gt;0),B3904/B3903-1,""),"")</f>
        <v/>
      </c>
      <c r="E3904" s="28">
        <f>IFERROR(IF(AND(ISNUMBER(C3904),ISNUMBER(C3903),C3903&lt;&gt;0),C3904/C3903-1,""),"")</f>
        <v/>
      </c>
      <c r="F3904" s="28">
        <f>IFERROR(D3904-Dashboard!$B$4/252,"")</f>
        <v/>
      </c>
      <c r="G3904" s="28">
        <f>IFERROR(E3904-Dashboard!$B$4/252,"")</f>
        <v/>
      </c>
      <c r="H3904" s="8">
        <f>IFERROR(IF(ISNUMBER(B3904),MAX(B3904,IFERROR(H3903,B3904)),""),"")</f>
        <v/>
      </c>
      <c r="I3904" s="29">
        <f>IFERROR(IF(AND(ISNUMBER(B3904),ISNUMBER(H3904)),B3904/H3904-1,""),"")</f>
        <v/>
      </c>
      <c r="J3904" s="8">
        <f>IFERROR(IF(ISNUMBER(C3904),MAX(C3904,IFERROR(J3903,C3904)),""),"")</f>
        <v/>
      </c>
      <c r="K3904" s="29">
        <f>IFERROR(IF(AND(ISNUMBER(C3904),ISNUMBER(J3904)),C3904/J3904-1,""),"")</f>
        <v/>
      </c>
      <c r="L3904" s="28">
        <f>IFERROR(IF(AND(ISNUMBER(D3904),ISNUMBER(E3904)),D3904-E3904,""),"")</f>
        <v/>
      </c>
    </row>
    <row r="3905">
      <c r="A3905" s="7">
        <f>IFERROR(Datos!A3905,"")</f>
        <v/>
      </c>
      <c r="B3905" s="8">
        <f>IFERROR(Datos!B3905,"")</f>
        <v/>
      </c>
      <c r="C3905" s="8">
        <f>IFERROR(Datos!C3905,"")</f>
        <v/>
      </c>
      <c r="D3905" s="28">
        <f>IFERROR(IF(AND(ISNUMBER(B3905),ISNUMBER(B3904),B3904&lt;&gt;0),B3905/B3904-1,""),"")</f>
        <v/>
      </c>
      <c r="E3905" s="28">
        <f>IFERROR(IF(AND(ISNUMBER(C3905),ISNUMBER(C3904),C3904&lt;&gt;0),C3905/C3904-1,""),"")</f>
        <v/>
      </c>
      <c r="F3905" s="28">
        <f>IFERROR(D3905-Dashboard!$B$4/252,"")</f>
        <v/>
      </c>
      <c r="G3905" s="28">
        <f>IFERROR(E3905-Dashboard!$B$4/252,"")</f>
        <v/>
      </c>
      <c r="H3905" s="8">
        <f>IFERROR(IF(ISNUMBER(B3905),MAX(B3905,IFERROR(H3904,B3905)),""),"")</f>
        <v/>
      </c>
      <c r="I3905" s="29">
        <f>IFERROR(IF(AND(ISNUMBER(B3905),ISNUMBER(H3905)),B3905/H3905-1,""),"")</f>
        <v/>
      </c>
      <c r="J3905" s="8">
        <f>IFERROR(IF(ISNUMBER(C3905),MAX(C3905,IFERROR(J3904,C3905)),""),"")</f>
        <v/>
      </c>
      <c r="K3905" s="29">
        <f>IFERROR(IF(AND(ISNUMBER(C3905),ISNUMBER(J3905)),C3905/J3905-1,""),"")</f>
        <v/>
      </c>
      <c r="L3905" s="28">
        <f>IFERROR(IF(AND(ISNUMBER(D3905),ISNUMBER(E3905)),D3905-E3905,""),"")</f>
        <v/>
      </c>
    </row>
    <row r="3906">
      <c r="A3906" s="7">
        <f>IFERROR(Datos!A3906,"")</f>
        <v/>
      </c>
      <c r="B3906" s="8">
        <f>IFERROR(Datos!B3906,"")</f>
        <v/>
      </c>
      <c r="C3906" s="8">
        <f>IFERROR(Datos!C3906,"")</f>
        <v/>
      </c>
      <c r="D3906" s="28">
        <f>IFERROR(IF(AND(ISNUMBER(B3906),ISNUMBER(B3905),B3905&lt;&gt;0),B3906/B3905-1,""),"")</f>
        <v/>
      </c>
      <c r="E3906" s="28">
        <f>IFERROR(IF(AND(ISNUMBER(C3906),ISNUMBER(C3905),C3905&lt;&gt;0),C3906/C3905-1,""),"")</f>
        <v/>
      </c>
      <c r="F3906" s="28">
        <f>IFERROR(D3906-Dashboard!$B$4/252,"")</f>
        <v/>
      </c>
      <c r="G3906" s="28">
        <f>IFERROR(E3906-Dashboard!$B$4/252,"")</f>
        <v/>
      </c>
      <c r="H3906" s="8">
        <f>IFERROR(IF(ISNUMBER(B3906),MAX(B3906,IFERROR(H3905,B3906)),""),"")</f>
        <v/>
      </c>
      <c r="I3906" s="29">
        <f>IFERROR(IF(AND(ISNUMBER(B3906),ISNUMBER(H3906)),B3906/H3906-1,""),"")</f>
        <v/>
      </c>
      <c r="J3906" s="8">
        <f>IFERROR(IF(ISNUMBER(C3906),MAX(C3906,IFERROR(J3905,C3906)),""),"")</f>
        <v/>
      </c>
      <c r="K3906" s="29">
        <f>IFERROR(IF(AND(ISNUMBER(C3906),ISNUMBER(J3906)),C3906/J3906-1,""),"")</f>
        <v/>
      </c>
      <c r="L3906" s="28">
        <f>IFERROR(IF(AND(ISNUMBER(D3906),ISNUMBER(E3906)),D3906-E3906,""),"")</f>
        <v/>
      </c>
    </row>
    <row r="3907">
      <c r="A3907" s="7">
        <f>IFERROR(Datos!A3907,"")</f>
        <v/>
      </c>
      <c r="B3907" s="8">
        <f>IFERROR(Datos!B3907,"")</f>
        <v/>
      </c>
      <c r="C3907" s="8">
        <f>IFERROR(Datos!C3907,"")</f>
        <v/>
      </c>
      <c r="D3907" s="28">
        <f>IFERROR(IF(AND(ISNUMBER(B3907),ISNUMBER(B3906),B3906&lt;&gt;0),B3907/B3906-1,""),"")</f>
        <v/>
      </c>
      <c r="E3907" s="28">
        <f>IFERROR(IF(AND(ISNUMBER(C3907),ISNUMBER(C3906),C3906&lt;&gt;0),C3907/C3906-1,""),"")</f>
        <v/>
      </c>
      <c r="F3907" s="28">
        <f>IFERROR(D3907-Dashboard!$B$4/252,"")</f>
        <v/>
      </c>
      <c r="G3907" s="28">
        <f>IFERROR(E3907-Dashboard!$B$4/252,"")</f>
        <v/>
      </c>
      <c r="H3907" s="8">
        <f>IFERROR(IF(ISNUMBER(B3907),MAX(B3907,IFERROR(H3906,B3907)),""),"")</f>
        <v/>
      </c>
      <c r="I3907" s="29">
        <f>IFERROR(IF(AND(ISNUMBER(B3907),ISNUMBER(H3907)),B3907/H3907-1,""),"")</f>
        <v/>
      </c>
      <c r="J3907" s="8">
        <f>IFERROR(IF(ISNUMBER(C3907),MAX(C3907,IFERROR(J3906,C3907)),""),"")</f>
        <v/>
      </c>
      <c r="K3907" s="29">
        <f>IFERROR(IF(AND(ISNUMBER(C3907),ISNUMBER(J3907)),C3907/J3907-1,""),"")</f>
        <v/>
      </c>
      <c r="L3907" s="28">
        <f>IFERROR(IF(AND(ISNUMBER(D3907),ISNUMBER(E3907)),D3907-E3907,""),"")</f>
        <v/>
      </c>
    </row>
    <row r="3908">
      <c r="A3908" s="7">
        <f>IFERROR(Datos!A3908,"")</f>
        <v/>
      </c>
      <c r="B3908" s="8">
        <f>IFERROR(Datos!B3908,"")</f>
        <v/>
      </c>
      <c r="C3908" s="8">
        <f>IFERROR(Datos!C3908,"")</f>
        <v/>
      </c>
      <c r="D3908" s="28">
        <f>IFERROR(IF(AND(ISNUMBER(B3908),ISNUMBER(B3907),B3907&lt;&gt;0),B3908/B3907-1,""),"")</f>
        <v/>
      </c>
      <c r="E3908" s="28">
        <f>IFERROR(IF(AND(ISNUMBER(C3908),ISNUMBER(C3907),C3907&lt;&gt;0),C3908/C3907-1,""),"")</f>
        <v/>
      </c>
      <c r="F3908" s="28">
        <f>IFERROR(D3908-Dashboard!$B$4/252,"")</f>
        <v/>
      </c>
      <c r="G3908" s="28">
        <f>IFERROR(E3908-Dashboard!$B$4/252,"")</f>
        <v/>
      </c>
      <c r="H3908" s="8">
        <f>IFERROR(IF(ISNUMBER(B3908),MAX(B3908,IFERROR(H3907,B3908)),""),"")</f>
        <v/>
      </c>
      <c r="I3908" s="29">
        <f>IFERROR(IF(AND(ISNUMBER(B3908),ISNUMBER(H3908)),B3908/H3908-1,""),"")</f>
        <v/>
      </c>
      <c r="J3908" s="8">
        <f>IFERROR(IF(ISNUMBER(C3908),MAX(C3908,IFERROR(J3907,C3908)),""),"")</f>
        <v/>
      </c>
      <c r="K3908" s="29">
        <f>IFERROR(IF(AND(ISNUMBER(C3908),ISNUMBER(J3908)),C3908/J3908-1,""),"")</f>
        <v/>
      </c>
      <c r="L3908" s="28">
        <f>IFERROR(IF(AND(ISNUMBER(D3908),ISNUMBER(E3908)),D3908-E3908,""),"")</f>
        <v/>
      </c>
    </row>
    <row r="3909">
      <c r="A3909" s="7">
        <f>IFERROR(Datos!A3909,"")</f>
        <v/>
      </c>
      <c r="B3909" s="8">
        <f>IFERROR(Datos!B3909,"")</f>
        <v/>
      </c>
      <c r="C3909" s="8">
        <f>IFERROR(Datos!C3909,"")</f>
        <v/>
      </c>
      <c r="D3909" s="28">
        <f>IFERROR(IF(AND(ISNUMBER(B3909),ISNUMBER(B3908),B3908&lt;&gt;0),B3909/B3908-1,""),"")</f>
        <v/>
      </c>
      <c r="E3909" s="28">
        <f>IFERROR(IF(AND(ISNUMBER(C3909),ISNUMBER(C3908),C3908&lt;&gt;0),C3909/C3908-1,""),"")</f>
        <v/>
      </c>
      <c r="F3909" s="28">
        <f>IFERROR(D3909-Dashboard!$B$4/252,"")</f>
        <v/>
      </c>
      <c r="G3909" s="28">
        <f>IFERROR(E3909-Dashboard!$B$4/252,"")</f>
        <v/>
      </c>
      <c r="H3909" s="8">
        <f>IFERROR(IF(ISNUMBER(B3909),MAX(B3909,IFERROR(H3908,B3909)),""),"")</f>
        <v/>
      </c>
      <c r="I3909" s="29">
        <f>IFERROR(IF(AND(ISNUMBER(B3909),ISNUMBER(H3909)),B3909/H3909-1,""),"")</f>
        <v/>
      </c>
      <c r="J3909" s="8">
        <f>IFERROR(IF(ISNUMBER(C3909),MAX(C3909,IFERROR(J3908,C3909)),""),"")</f>
        <v/>
      </c>
      <c r="K3909" s="29">
        <f>IFERROR(IF(AND(ISNUMBER(C3909),ISNUMBER(J3909)),C3909/J3909-1,""),"")</f>
        <v/>
      </c>
      <c r="L3909" s="28">
        <f>IFERROR(IF(AND(ISNUMBER(D3909),ISNUMBER(E3909)),D3909-E3909,""),"")</f>
        <v/>
      </c>
    </row>
    <row r="3910">
      <c r="A3910" s="7">
        <f>IFERROR(Datos!A3910,"")</f>
        <v/>
      </c>
      <c r="B3910" s="8">
        <f>IFERROR(Datos!B3910,"")</f>
        <v/>
      </c>
      <c r="C3910" s="8">
        <f>IFERROR(Datos!C3910,"")</f>
        <v/>
      </c>
      <c r="D3910" s="28">
        <f>IFERROR(IF(AND(ISNUMBER(B3910),ISNUMBER(B3909),B3909&lt;&gt;0),B3910/B3909-1,""),"")</f>
        <v/>
      </c>
      <c r="E3910" s="28">
        <f>IFERROR(IF(AND(ISNUMBER(C3910),ISNUMBER(C3909),C3909&lt;&gt;0),C3910/C3909-1,""),"")</f>
        <v/>
      </c>
      <c r="F3910" s="28">
        <f>IFERROR(D3910-Dashboard!$B$4/252,"")</f>
        <v/>
      </c>
      <c r="G3910" s="28">
        <f>IFERROR(E3910-Dashboard!$B$4/252,"")</f>
        <v/>
      </c>
      <c r="H3910" s="8">
        <f>IFERROR(IF(ISNUMBER(B3910),MAX(B3910,IFERROR(H3909,B3910)),""),"")</f>
        <v/>
      </c>
      <c r="I3910" s="29">
        <f>IFERROR(IF(AND(ISNUMBER(B3910),ISNUMBER(H3910)),B3910/H3910-1,""),"")</f>
        <v/>
      </c>
      <c r="J3910" s="8">
        <f>IFERROR(IF(ISNUMBER(C3910),MAX(C3910,IFERROR(J3909,C3910)),""),"")</f>
        <v/>
      </c>
      <c r="K3910" s="29">
        <f>IFERROR(IF(AND(ISNUMBER(C3910),ISNUMBER(J3910)),C3910/J3910-1,""),"")</f>
        <v/>
      </c>
      <c r="L3910" s="28">
        <f>IFERROR(IF(AND(ISNUMBER(D3910),ISNUMBER(E3910)),D3910-E3910,""),"")</f>
        <v/>
      </c>
    </row>
    <row r="3911">
      <c r="A3911" s="7">
        <f>IFERROR(Datos!A3911,"")</f>
        <v/>
      </c>
      <c r="B3911" s="8">
        <f>IFERROR(Datos!B3911,"")</f>
        <v/>
      </c>
      <c r="C3911" s="8">
        <f>IFERROR(Datos!C3911,"")</f>
        <v/>
      </c>
      <c r="D3911" s="28">
        <f>IFERROR(IF(AND(ISNUMBER(B3911),ISNUMBER(B3910),B3910&lt;&gt;0),B3911/B3910-1,""),"")</f>
        <v/>
      </c>
      <c r="E3911" s="28">
        <f>IFERROR(IF(AND(ISNUMBER(C3911),ISNUMBER(C3910),C3910&lt;&gt;0),C3911/C3910-1,""),"")</f>
        <v/>
      </c>
      <c r="F3911" s="28">
        <f>IFERROR(D3911-Dashboard!$B$4/252,"")</f>
        <v/>
      </c>
      <c r="G3911" s="28">
        <f>IFERROR(E3911-Dashboard!$B$4/252,"")</f>
        <v/>
      </c>
      <c r="H3911" s="8">
        <f>IFERROR(IF(ISNUMBER(B3911),MAX(B3911,IFERROR(H3910,B3911)),""),"")</f>
        <v/>
      </c>
      <c r="I3911" s="29">
        <f>IFERROR(IF(AND(ISNUMBER(B3911),ISNUMBER(H3911)),B3911/H3911-1,""),"")</f>
        <v/>
      </c>
      <c r="J3911" s="8">
        <f>IFERROR(IF(ISNUMBER(C3911),MAX(C3911,IFERROR(J3910,C3911)),""),"")</f>
        <v/>
      </c>
      <c r="K3911" s="29">
        <f>IFERROR(IF(AND(ISNUMBER(C3911),ISNUMBER(J3911)),C3911/J3911-1,""),"")</f>
        <v/>
      </c>
      <c r="L3911" s="28">
        <f>IFERROR(IF(AND(ISNUMBER(D3911),ISNUMBER(E3911)),D3911-E3911,""),"")</f>
        <v/>
      </c>
    </row>
    <row r="3912">
      <c r="A3912" s="7">
        <f>IFERROR(Datos!A3912,"")</f>
        <v/>
      </c>
      <c r="B3912" s="8">
        <f>IFERROR(Datos!B3912,"")</f>
        <v/>
      </c>
      <c r="C3912" s="8">
        <f>IFERROR(Datos!C3912,"")</f>
        <v/>
      </c>
      <c r="D3912" s="28">
        <f>IFERROR(IF(AND(ISNUMBER(B3912),ISNUMBER(B3911),B3911&lt;&gt;0),B3912/B3911-1,""),"")</f>
        <v/>
      </c>
      <c r="E3912" s="28">
        <f>IFERROR(IF(AND(ISNUMBER(C3912),ISNUMBER(C3911),C3911&lt;&gt;0),C3912/C3911-1,""),"")</f>
        <v/>
      </c>
      <c r="F3912" s="28">
        <f>IFERROR(D3912-Dashboard!$B$4/252,"")</f>
        <v/>
      </c>
      <c r="G3912" s="28">
        <f>IFERROR(E3912-Dashboard!$B$4/252,"")</f>
        <v/>
      </c>
      <c r="H3912" s="8">
        <f>IFERROR(IF(ISNUMBER(B3912),MAX(B3912,IFERROR(H3911,B3912)),""),"")</f>
        <v/>
      </c>
      <c r="I3912" s="29">
        <f>IFERROR(IF(AND(ISNUMBER(B3912),ISNUMBER(H3912)),B3912/H3912-1,""),"")</f>
        <v/>
      </c>
      <c r="J3912" s="8">
        <f>IFERROR(IF(ISNUMBER(C3912),MAX(C3912,IFERROR(J3911,C3912)),""),"")</f>
        <v/>
      </c>
      <c r="K3912" s="29">
        <f>IFERROR(IF(AND(ISNUMBER(C3912),ISNUMBER(J3912)),C3912/J3912-1,""),"")</f>
        <v/>
      </c>
      <c r="L3912" s="28">
        <f>IFERROR(IF(AND(ISNUMBER(D3912),ISNUMBER(E3912)),D3912-E3912,""),"")</f>
        <v/>
      </c>
    </row>
    <row r="3913">
      <c r="A3913" s="7">
        <f>IFERROR(Datos!A3913,"")</f>
        <v/>
      </c>
      <c r="B3913" s="8">
        <f>IFERROR(Datos!B3913,"")</f>
        <v/>
      </c>
      <c r="C3913" s="8">
        <f>IFERROR(Datos!C3913,"")</f>
        <v/>
      </c>
      <c r="D3913" s="28">
        <f>IFERROR(IF(AND(ISNUMBER(B3913),ISNUMBER(B3912),B3912&lt;&gt;0),B3913/B3912-1,""),"")</f>
        <v/>
      </c>
      <c r="E3913" s="28">
        <f>IFERROR(IF(AND(ISNUMBER(C3913),ISNUMBER(C3912),C3912&lt;&gt;0),C3913/C3912-1,""),"")</f>
        <v/>
      </c>
      <c r="F3913" s="28">
        <f>IFERROR(D3913-Dashboard!$B$4/252,"")</f>
        <v/>
      </c>
      <c r="G3913" s="28">
        <f>IFERROR(E3913-Dashboard!$B$4/252,"")</f>
        <v/>
      </c>
      <c r="H3913" s="8">
        <f>IFERROR(IF(ISNUMBER(B3913),MAX(B3913,IFERROR(H3912,B3913)),""),"")</f>
        <v/>
      </c>
      <c r="I3913" s="29">
        <f>IFERROR(IF(AND(ISNUMBER(B3913),ISNUMBER(H3913)),B3913/H3913-1,""),"")</f>
        <v/>
      </c>
      <c r="J3913" s="8">
        <f>IFERROR(IF(ISNUMBER(C3913),MAX(C3913,IFERROR(J3912,C3913)),""),"")</f>
        <v/>
      </c>
      <c r="K3913" s="29">
        <f>IFERROR(IF(AND(ISNUMBER(C3913),ISNUMBER(J3913)),C3913/J3913-1,""),"")</f>
        <v/>
      </c>
      <c r="L3913" s="28">
        <f>IFERROR(IF(AND(ISNUMBER(D3913),ISNUMBER(E3913)),D3913-E3913,""),"")</f>
        <v/>
      </c>
    </row>
    <row r="3914">
      <c r="A3914" s="7">
        <f>IFERROR(Datos!A3914,"")</f>
        <v/>
      </c>
      <c r="B3914" s="8">
        <f>IFERROR(Datos!B3914,"")</f>
        <v/>
      </c>
      <c r="C3914" s="8">
        <f>IFERROR(Datos!C3914,"")</f>
        <v/>
      </c>
      <c r="D3914" s="28">
        <f>IFERROR(IF(AND(ISNUMBER(B3914),ISNUMBER(B3913),B3913&lt;&gt;0),B3914/B3913-1,""),"")</f>
        <v/>
      </c>
      <c r="E3914" s="28">
        <f>IFERROR(IF(AND(ISNUMBER(C3914),ISNUMBER(C3913),C3913&lt;&gt;0),C3914/C3913-1,""),"")</f>
        <v/>
      </c>
      <c r="F3914" s="28">
        <f>IFERROR(D3914-Dashboard!$B$4/252,"")</f>
        <v/>
      </c>
      <c r="G3914" s="28">
        <f>IFERROR(E3914-Dashboard!$B$4/252,"")</f>
        <v/>
      </c>
      <c r="H3914" s="8">
        <f>IFERROR(IF(ISNUMBER(B3914),MAX(B3914,IFERROR(H3913,B3914)),""),"")</f>
        <v/>
      </c>
      <c r="I3914" s="29">
        <f>IFERROR(IF(AND(ISNUMBER(B3914),ISNUMBER(H3914)),B3914/H3914-1,""),"")</f>
        <v/>
      </c>
      <c r="J3914" s="8">
        <f>IFERROR(IF(ISNUMBER(C3914),MAX(C3914,IFERROR(J3913,C3914)),""),"")</f>
        <v/>
      </c>
      <c r="K3914" s="29">
        <f>IFERROR(IF(AND(ISNUMBER(C3914),ISNUMBER(J3914)),C3914/J3914-1,""),"")</f>
        <v/>
      </c>
      <c r="L3914" s="28">
        <f>IFERROR(IF(AND(ISNUMBER(D3914),ISNUMBER(E3914)),D3914-E3914,""),"")</f>
        <v/>
      </c>
    </row>
    <row r="3915">
      <c r="A3915" s="7">
        <f>IFERROR(Datos!A3915,"")</f>
        <v/>
      </c>
      <c r="B3915" s="8">
        <f>IFERROR(Datos!B3915,"")</f>
        <v/>
      </c>
      <c r="C3915" s="8">
        <f>IFERROR(Datos!C3915,"")</f>
        <v/>
      </c>
      <c r="D3915" s="28">
        <f>IFERROR(IF(AND(ISNUMBER(B3915),ISNUMBER(B3914),B3914&lt;&gt;0),B3915/B3914-1,""),"")</f>
        <v/>
      </c>
      <c r="E3915" s="28">
        <f>IFERROR(IF(AND(ISNUMBER(C3915),ISNUMBER(C3914),C3914&lt;&gt;0),C3915/C3914-1,""),"")</f>
        <v/>
      </c>
      <c r="F3915" s="28">
        <f>IFERROR(D3915-Dashboard!$B$4/252,"")</f>
        <v/>
      </c>
      <c r="G3915" s="28">
        <f>IFERROR(E3915-Dashboard!$B$4/252,"")</f>
        <v/>
      </c>
      <c r="H3915" s="8">
        <f>IFERROR(IF(ISNUMBER(B3915),MAX(B3915,IFERROR(H3914,B3915)),""),"")</f>
        <v/>
      </c>
      <c r="I3915" s="29">
        <f>IFERROR(IF(AND(ISNUMBER(B3915),ISNUMBER(H3915)),B3915/H3915-1,""),"")</f>
        <v/>
      </c>
      <c r="J3915" s="8">
        <f>IFERROR(IF(ISNUMBER(C3915),MAX(C3915,IFERROR(J3914,C3915)),""),"")</f>
        <v/>
      </c>
      <c r="K3915" s="29">
        <f>IFERROR(IF(AND(ISNUMBER(C3915),ISNUMBER(J3915)),C3915/J3915-1,""),"")</f>
        <v/>
      </c>
      <c r="L3915" s="28">
        <f>IFERROR(IF(AND(ISNUMBER(D3915),ISNUMBER(E3915)),D3915-E3915,""),"")</f>
        <v/>
      </c>
    </row>
    <row r="3916">
      <c r="A3916" s="7">
        <f>IFERROR(Datos!A3916,"")</f>
        <v/>
      </c>
      <c r="B3916" s="8">
        <f>IFERROR(Datos!B3916,"")</f>
        <v/>
      </c>
      <c r="C3916" s="8">
        <f>IFERROR(Datos!C3916,"")</f>
        <v/>
      </c>
      <c r="D3916" s="28">
        <f>IFERROR(IF(AND(ISNUMBER(B3916),ISNUMBER(B3915),B3915&lt;&gt;0),B3916/B3915-1,""),"")</f>
        <v/>
      </c>
      <c r="E3916" s="28">
        <f>IFERROR(IF(AND(ISNUMBER(C3916),ISNUMBER(C3915),C3915&lt;&gt;0),C3916/C3915-1,""),"")</f>
        <v/>
      </c>
      <c r="F3916" s="28">
        <f>IFERROR(D3916-Dashboard!$B$4/252,"")</f>
        <v/>
      </c>
      <c r="G3916" s="28">
        <f>IFERROR(E3916-Dashboard!$B$4/252,"")</f>
        <v/>
      </c>
      <c r="H3916" s="8">
        <f>IFERROR(IF(ISNUMBER(B3916),MAX(B3916,IFERROR(H3915,B3916)),""),"")</f>
        <v/>
      </c>
      <c r="I3916" s="29">
        <f>IFERROR(IF(AND(ISNUMBER(B3916),ISNUMBER(H3916)),B3916/H3916-1,""),"")</f>
        <v/>
      </c>
      <c r="J3916" s="8">
        <f>IFERROR(IF(ISNUMBER(C3916),MAX(C3916,IFERROR(J3915,C3916)),""),"")</f>
        <v/>
      </c>
      <c r="K3916" s="29">
        <f>IFERROR(IF(AND(ISNUMBER(C3916),ISNUMBER(J3916)),C3916/J3916-1,""),"")</f>
        <v/>
      </c>
      <c r="L3916" s="28">
        <f>IFERROR(IF(AND(ISNUMBER(D3916),ISNUMBER(E3916)),D3916-E3916,""),"")</f>
        <v/>
      </c>
    </row>
    <row r="3917">
      <c r="A3917" s="7">
        <f>IFERROR(Datos!A3917,"")</f>
        <v/>
      </c>
      <c r="B3917" s="8">
        <f>IFERROR(Datos!B3917,"")</f>
        <v/>
      </c>
      <c r="C3917" s="8">
        <f>IFERROR(Datos!C3917,"")</f>
        <v/>
      </c>
      <c r="D3917" s="28">
        <f>IFERROR(IF(AND(ISNUMBER(B3917),ISNUMBER(B3916),B3916&lt;&gt;0),B3917/B3916-1,""),"")</f>
        <v/>
      </c>
      <c r="E3917" s="28">
        <f>IFERROR(IF(AND(ISNUMBER(C3917),ISNUMBER(C3916),C3916&lt;&gt;0),C3917/C3916-1,""),"")</f>
        <v/>
      </c>
      <c r="F3917" s="28">
        <f>IFERROR(D3917-Dashboard!$B$4/252,"")</f>
        <v/>
      </c>
      <c r="G3917" s="28">
        <f>IFERROR(E3917-Dashboard!$B$4/252,"")</f>
        <v/>
      </c>
      <c r="H3917" s="8">
        <f>IFERROR(IF(ISNUMBER(B3917),MAX(B3917,IFERROR(H3916,B3917)),""),"")</f>
        <v/>
      </c>
      <c r="I3917" s="29">
        <f>IFERROR(IF(AND(ISNUMBER(B3917),ISNUMBER(H3917)),B3917/H3917-1,""),"")</f>
        <v/>
      </c>
      <c r="J3917" s="8">
        <f>IFERROR(IF(ISNUMBER(C3917),MAX(C3917,IFERROR(J3916,C3917)),""),"")</f>
        <v/>
      </c>
      <c r="K3917" s="29">
        <f>IFERROR(IF(AND(ISNUMBER(C3917),ISNUMBER(J3917)),C3917/J3917-1,""),"")</f>
        <v/>
      </c>
      <c r="L3917" s="28">
        <f>IFERROR(IF(AND(ISNUMBER(D3917),ISNUMBER(E3917)),D3917-E3917,""),"")</f>
        <v/>
      </c>
    </row>
    <row r="3918">
      <c r="A3918" s="7">
        <f>IFERROR(Datos!A3918,"")</f>
        <v/>
      </c>
      <c r="B3918" s="8">
        <f>IFERROR(Datos!B3918,"")</f>
        <v/>
      </c>
      <c r="C3918" s="8">
        <f>IFERROR(Datos!C3918,"")</f>
        <v/>
      </c>
      <c r="D3918" s="28">
        <f>IFERROR(IF(AND(ISNUMBER(B3918),ISNUMBER(B3917),B3917&lt;&gt;0),B3918/B3917-1,""),"")</f>
        <v/>
      </c>
      <c r="E3918" s="28">
        <f>IFERROR(IF(AND(ISNUMBER(C3918),ISNUMBER(C3917),C3917&lt;&gt;0),C3918/C3917-1,""),"")</f>
        <v/>
      </c>
      <c r="F3918" s="28">
        <f>IFERROR(D3918-Dashboard!$B$4/252,"")</f>
        <v/>
      </c>
      <c r="G3918" s="28">
        <f>IFERROR(E3918-Dashboard!$B$4/252,"")</f>
        <v/>
      </c>
      <c r="H3918" s="8">
        <f>IFERROR(IF(ISNUMBER(B3918),MAX(B3918,IFERROR(H3917,B3918)),""),"")</f>
        <v/>
      </c>
      <c r="I3918" s="29">
        <f>IFERROR(IF(AND(ISNUMBER(B3918),ISNUMBER(H3918)),B3918/H3918-1,""),"")</f>
        <v/>
      </c>
      <c r="J3918" s="8">
        <f>IFERROR(IF(ISNUMBER(C3918),MAX(C3918,IFERROR(J3917,C3918)),""),"")</f>
        <v/>
      </c>
      <c r="K3918" s="29">
        <f>IFERROR(IF(AND(ISNUMBER(C3918),ISNUMBER(J3918)),C3918/J3918-1,""),"")</f>
        <v/>
      </c>
      <c r="L3918" s="28">
        <f>IFERROR(IF(AND(ISNUMBER(D3918),ISNUMBER(E3918)),D3918-E3918,""),"")</f>
        <v/>
      </c>
    </row>
    <row r="3919">
      <c r="A3919" s="7">
        <f>IFERROR(Datos!A3919,"")</f>
        <v/>
      </c>
      <c r="B3919" s="8">
        <f>IFERROR(Datos!B3919,"")</f>
        <v/>
      </c>
      <c r="C3919" s="8">
        <f>IFERROR(Datos!C3919,"")</f>
        <v/>
      </c>
      <c r="D3919" s="28">
        <f>IFERROR(IF(AND(ISNUMBER(B3919),ISNUMBER(B3918),B3918&lt;&gt;0),B3919/B3918-1,""),"")</f>
        <v/>
      </c>
      <c r="E3919" s="28">
        <f>IFERROR(IF(AND(ISNUMBER(C3919),ISNUMBER(C3918),C3918&lt;&gt;0),C3919/C3918-1,""),"")</f>
        <v/>
      </c>
      <c r="F3919" s="28">
        <f>IFERROR(D3919-Dashboard!$B$4/252,"")</f>
        <v/>
      </c>
      <c r="G3919" s="28">
        <f>IFERROR(E3919-Dashboard!$B$4/252,"")</f>
        <v/>
      </c>
      <c r="H3919" s="8">
        <f>IFERROR(IF(ISNUMBER(B3919),MAX(B3919,IFERROR(H3918,B3919)),""),"")</f>
        <v/>
      </c>
      <c r="I3919" s="29">
        <f>IFERROR(IF(AND(ISNUMBER(B3919),ISNUMBER(H3919)),B3919/H3919-1,""),"")</f>
        <v/>
      </c>
      <c r="J3919" s="8">
        <f>IFERROR(IF(ISNUMBER(C3919),MAX(C3919,IFERROR(J3918,C3919)),""),"")</f>
        <v/>
      </c>
      <c r="K3919" s="29">
        <f>IFERROR(IF(AND(ISNUMBER(C3919),ISNUMBER(J3919)),C3919/J3919-1,""),"")</f>
        <v/>
      </c>
      <c r="L3919" s="28">
        <f>IFERROR(IF(AND(ISNUMBER(D3919),ISNUMBER(E3919)),D3919-E3919,""),"")</f>
        <v/>
      </c>
    </row>
    <row r="3920">
      <c r="A3920" s="7">
        <f>IFERROR(Datos!A3920,"")</f>
        <v/>
      </c>
      <c r="B3920" s="8">
        <f>IFERROR(Datos!B3920,"")</f>
        <v/>
      </c>
      <c r="C3920" s="8">
        <f>IFERROR(Datos!C3920,"")</f>
        <v/>
      </c>
      <c r="D3920" s="28">
        <f>IFERROR(IF(AND(ISNUMBER(B3920),ISNUMBER(B3919),B3919&lt;&gt;0),B3920/B3919-1,""),"")</f>
        <v/>
      </c>
      <c r="E3920" s="28">
        <f>IFERROR(IF(AND(ISNUMBER(C3920),ISNUMBER(C3919),C3919&lt;&gt;0),C3920/C3919-1,""),"")</f>
        <v/>
      </c>
      <c r="F3920" s="28">
        <f>IFERROR(D3920-Dashboard!$B$4/252,"")</f>
        <v/>
      </c>
      <c r="G3920" s="28">
        <f>IFERROR(E3920-Dashboard!$B$4/252,"")</f>
        <v/>
      </c>
      <c r="H3920" s="8">
        <f>IFERROR(IF(ISNUMBER(B3920),MAX(B3920,IFERROR(H3919,B3920)),""),"")</f>
        <v/>
      </c>
      <c r="I3920" s="29">
        <f>IFERROR(IF(AND(ISNUMBER(B3920),ISNUMBER(H3920)),B3920/H3920-1,""),"")</f>
        <v/>
      </c>
      <c r="J3920" s="8">
        <f>IFERROR(IF(ISNUMBER(C3920),MAX(C3920,IFERROR(J3919,C3920)),""),"")</f>
        <v/>
      </c>
      <c r="K3920" s="29">
        <f>IFERROR(IF(AND(ISNUMBER(C3920),ISNUMBER(J3920)),C3920/J3920-1,""),"")</f>
        <v/>
      </c>
      <c r="L3920" s="28">
        <f>IFERROR(IF(AND(ISNUMBER(D3920),ISNUMBER(E3920)),D3920-E3920,""),"")</f>
        <v/>
      </c>
    </row>
    <row r="3921">
      <c r="A3921" s="7">
        <f>IFERROR(Datos!A3921,"")</f>
        <v/>
      </c>
      <c r="B3921" s="8">
        <f>IFERROR(Datos!B3921,"")</f>
        <v/>
      </c>
      <c r="C3921" s="8">
        <f>IFERROR(Datos!C3921,"")</f>
        <v/>
      </c>
      <c r="D3921" s="28">
        <f>IFERROR(IF(AND(ISNUMBER(B3921),ISNUMBER(B3920),B3920&lt;&gt;0),B3921/B3920-1,""),"")</f>
        <v/>
      </c>
      <c r="E3921" s="28">
        <f>IFERROR(IF(AND(ISNUMBER(C3921),ISNUMBER(C3920),C3920&lt;&gt;0),C3921/C3920-1,""),"")</f>
        <v/>
      </c>
      <c r="F3921" s="28">
        <f>IFERROR(D3921-Dashboard!$B$4/252,"")</f>
        <v/>
      </c>
      <c r="G3921" s="28">
        <f>IFERROR(E3921-Dashboard!$B$4/252,"")</f>
        <v/>
      </c>
      <c r="H3921" s="8">
        <f>IFERROR(IF(ISNUMBER(B3921),MAX(B3921,IFERROR(H3920,B3921)),""),"")</f>
        <v/>
      </c>
      <c r="I3921" s="29">
        <f>IFERROR(IF(AND(ISNUMBER(B3921),ISNUMBER(H3921)),B3921/H3921-1,""),"")</f>
        <v/>
      </c>
      <c r="J3921" s="8">
        <f>IFERROR(IF(ISNUMBER(C3921),MAX(C3921,IFERROR(J3920,C3921)),""),"")</f>
        <v/>
      </c>
      <c r="K3921" s="29">
        <f>IFERROR(IF(AND(ISNUMBER(C3921),ISNUMBER(J3921)),C3921/J3921-1,""),"")</f>
        <v/>
      </c>
      <c r="L3921" s="28">
        <f>IFERROR(IF(AND(ISNUMBER(D3921),ISNUMBER(E3921)),D3921-E3921,""),"")</f>
        <v/>
      </c>
    </row>
    <row r="3922">
      <c r="A3922" s="7">
        <f>IFERROR(Datos!A3922,"")</f>
        <v/>
      </c>
      <c r="B3922" s="8">
        <f>IFERROR(Datos!B3922,"")</f>
        <v/>
      </c>
      <c r="C3922" s="8">
        <f>IFERROR(Datos!C3922,"")</f>
        <v/>
      </c>
      <c r="D3922" s="28">
        <f>IFERROR(IF(AND(ISNUMBER(B3922),ISNUMBER(B3921),B3921&lt;&gt;0),B3922/B3921-1,""),"")</f>
        <v/>
      </c>
      <c r="E3922" s="28">
        <f>IFERROR(IF(AND(ISNUMBER(C3922),ISNUMBER(C3921),C3921&lt;&gt;0),C3922/C3921-1,""),"")</f>
        <v/>
      </c>
      <c r="F3922" s="28">
        <f>IFERROR(D3922-Dashboard!$B$4/252,"")</f>
        <v/>
      </c>
      <c r="G3922" s="28">
        <f>IFERROR(E3922-Dashboard!$B$4/252,"")</f>
        <v/>
      </c>
      <c r="H3922" s="8">
        <f>IFERROR(IF(ISNUMBER(B3922),MAX(B3922,IFERROR(H3921,B3922)),""),"")</f>
        <v/>
      </c>
      <c r="I3922" s="29">
        <f>IFERROR(IF(AND(ISNUMBER(B3922),ISNUMBER(H3922)),B3922/H3922-1,""),"")</f>
        <v/>
      </c>
      <c r="J3922" s="8">
        <f>IFERROR(IF(ISNUMBER(C3922),MAX(C3922,IFERROR(J3921,C3922)),""),"")</f>
        <v/>
      </c>
      <c r="K3922" s="29">
        <f>IFERROR(IF(AND(ISNUMBER(C3922),ISNUMBER(J3922)),C3922/J3922-1,""),"")</f>
        <v/>
      </c>
      <c r="L3922" s="28">
        <f>IFERROR(IF(AND(ISNUMBER(D3922),ISNUMBER(E3922)),D3922-E3922,""),"")</f>
        <v/>
      </c>
    </row>
    <row r="3923">
      <c r="A3923" s="7">
        <f>IFERROR(Datos!A3923,"")</f>
        <v/>
      </c>
      <c r="B3923" s="8">
        <f>IFERROR(Datos!B3923,"")</f>
        <v/>
      </c>
      <c r="C3923" s="8">
        <f>IFERROR(Datos!C3923,"")</f>
        <v/>
      </c>
      <c r="D3923" s="28">
        <f>IFERROR(IF(AND(ISNUMBER(B3923),ISNUMBER(B3922),B3922&lt;&gt;0),B3923/B3922-1,""),"")</f>
        <v/>
      </c>
      <c r="E3923" s="28">
        <f>IFERROR(IF(AND(ISNUMBER(C3923),ISNUMBER(C3922),C3922&lt;&gt;0),C3923/C3922-1,""),"")</f>
        <v/>
      </c>
      <c r="F3923" s="28">
        <f>IFERROR(D3923-Dashboard!$B$4/252,"")</f>
        <v/>
      </c>
      <c r="G3923" s="28">
        <f>IFERROR(E3923-Dashboard!$B$4/252,"")</f>
        <v/>
      </c>
      <c r="H3923" s="8">
        <f>IFERROR(IF(ISNUMBER(B3923),MAX(B3923,IFERROR(H3922,B3923)),""),"")</f>
        <v/>
      </c>
      <c r="I3923" s="29">
        <f>IFERROR(IF(AND(ISNUMBER(B3923),ISNUMBER(H3923)),B3923/H3923-1,""),"")</f>
        <v/>
      </c>
      <c r="J3923" s="8">
        <f>IFERROR(IF(ISNUMBER(C3923),MAX(C3923,IFERROR(J3922,C3923)),""),"")</f>
        <v/>
      </c>
      <c r="K3923" s="29">
        <f>IFERROR(IF(AND(ISNUMBER(C3923),ISNUMBER(J3923)),C3923/J3923-1,""),"")</f>
        <v/>
      </c>
      <c r="L3923" s="28">
        <f>IFERROR(IF(AND(ISNUMBER(D3923),ISNUMBER(E3923)),D3923-E3923,""),"")</f>
        <v/>
      </c>
    </row>
    <row r="3924">
      <c r="A3924" s="7">
        <f>IFERROR(Datos!A3924,"")</f>
        <v/>
      </c>
      <c r="B3924" s="8">
        <f>IFERROR(Datos!B3924,"")</f>
        <v/>
      </c>
      <c r="C3924" s="8">
        <f>IFERROR(Datos!C3924,"")</f>
        <v/>
      </c>
      <c r="D3924" s="28">
        <f>IFERROR(IF(AND(ISNUMBER(B3924),ISNUMBER(B3923),B3923&lt;&gt;0),B3924/B3923-1,""),"")</f>
        <v/>
      </c>
      <c r="E3924" s="28">
        <f>IFERROR(IF(AND(ISNUMBER(C3924),ISNUMBER(C3923),C3923&lt;&gt;0),C3924/C3923-1,""),"")</f>
        <v/>
      </c>
      <c r="F3924" s="28">
        <f>IFERROR(D3924-Dashboard!$B$4/252,"")</f>
        <v/>
      </c>
      <c r="G3924" s="28">
        <f>IFERROR(E3924-Dashboard!$B$4/252,"")</f>
        <v/>
      </c>
      <c r="H3924" s="8">
        <f>IFERROR(IF(ISNUMBER(B3924),MAX(B3924,IFERROR(H3923,B3924)),""),"")</f>
        <v/>
      </c>
      <c r="I3924" s="29">
        <f>IFERROR(IF(AND(ISNUMBER(B3924),ISNUMBER(H3924)),B3924/H3924-1,""),"")</f>
        <v/>
      </c>
      <c r="J3924" s="8">
        <f>IFERROR(IF(ISNUMBER(C3924),MAX(C3924,IFERROR(J3923,C3924)),""),"")</f>
        <v/>
      </c>
      <c r="K3924" s="29">
        <f>IFERROR(IF(AND(ISNUMBER(C3924),ISNUMBER(J3924)),C3924/J3924-1,""),"")</f>
        <v/>
      </c>
      <c r="L3924" s="28">
        <f>IFERROR(IF(AND(ISNUMBER(D3924),ISNUMBER(E3924)),D3924-E3924,""),"")</f>
        <v/>
      </c>
    </row>
    <row r="3925">
      <c r="A3925" s="7">
        <f>IFERROR(Datos!A3925,"")</f>
        <v/>
      </c>
      <c r="B3925" s="8">
        <f>IFERROR(Datos!B3925,"")</f>
        <v/>
      </c>
      <c r="C3925" s="8">
        <f>IFERROR(Datos!C3925,"")</f>
        <v/>
      </c>
      <c r="D3925" s="28">
        <f>IFERROR(IF(AND(ISNUMBER(B3925),ISNUMBER(B3924),B3924&lt;&gt;0),B3925/B3924-1,""),"")</f>
        <v/>
      </c>
      <c r="E3925" s="28">
        <f>IFERROR(IF(AND(ISNUMBER(C3925),ISNUMBER(C3924),C3924&lt;&gt;0),C3925/C3924-1,""),"")</f>
        <v/>
      </c>
      <c r="F3925" s="28">
        <f>IFERROR(D3925-Dashboard!$B$4/252,"")</f>
        <v/>
      </c>
      <c r="G3925" s="28">
        <f>IFERROR(E3925-Dashboard!$B$4/252,"")</f>
        <v/>
      </c>
      <c r="H3925" s="8">
        <f>IFERROR(IF(ISNUMBER(B3925),MAX(B3925,IFERROR(H3924,B3925)),""),"")</f>
        <v/>
      </c>
      <c r="I3925" s="29">
        <f>IFERROR(IF(AND(ISNUMBER(B3925),ISNUMBER(H3925)),B3925/H3925-1,""),"")</f>
        <v/>
      </c>
      <c r="J3925" s="8">
        <f>IFERROR(IF(ISNUMBER(C3925),MAX(C3925,IFERROR(J3924,C3925)),""),"")</f>
        <v/>
      </c>
      <c r="K3925" s="29">
        <f>IFERROR(IF(AND(ISNUMBER(C3925),ISNUMBER(J3925)),C3925/J3925-1,""),"")</f>
        <v/>
      </c>
      <c r="L3925" s="28">
        <f>IFERROR(IF(AND(ISNUMBER(D3925),ISNUMBER(E3925)),D3925-E3925,""),"")</f>
        <v/>
      </c>
    </row>
    <row r="3926">
      <c r="A3926" s="7">
        <f>IFERROR(Datos!A3926,"")</f>
        <v/>
      </c>
      <c r="B3926" s="8">
        <f>IFERROR(Datos!B3926,"")</f>
        <v/>
      </c>
      <c r="C3926" s="8">
        <f>IFERROR(Datos!C3926,"")</f>
        <v/>
      </c>
      <c r="D3926" s="28">
        <f>IFERROR(IF(AND(ISNUMBER(B3926),ISNUMBER(B3925),B3925&lt;&gt;0),B3926/B3925-1,""),"")</f>
        <v/>
      </c>
      <c r="E3926" s="28">
        <f>IFERROR(IF(AND(ISNUMBER(C3926),ISNUMBER(C3925),C3925&lt;&gt;0),C3926/C3925-1,""),"")</f>
        <v/>
      </c>
      <c r="F3926" s="28">
        <f>IFERROR(D3926-Dashboard!$B$4/252,"")</f>
        <v/>
      </c>
      <c r="G3926" s="28">
        <f>IFERROR(E3926-Dashboard!$B$4/252,"")</f>
        <v/>
      </c>
      <c r="H3926" s="8">
        <f>IFERROR(IF(ISNUMBER(B3926),MAX(B3926,IFERROR(H3925,B3926)),""),"")</f>
        <v/>
      </c>
      <c r="I3926" s="29">
        <f>IFERROR(IF(AND(ISNUMBER(B3926),ISNUMBER(H3926)),B3926/H3926-1,""),"")</f>
        <v/>
      </c>
      <c r="J3926" s="8">
        <f>IFERROR(IF(ISNUMBER(C3926),MAX(C3926,IFERROR(J3925,C3926)),""),"")</f>
        <v/>
      </c>
      <c r="K3926" s="29">
        <f>IFERROR(IF(AND(ISNUMBER(C3926),ISNUMBER(J3926)),C3926/J3926-1,""),"")</f>
        <v/>
      </c>
      <c r="L3926" s="28">
        <f>IFERROR(IF(AND(ISNUMBER(D3926),ISNUMBER(E3926)),D3926-E3926,""),"")</f>
        <v/>
      </c>
    </row>
    <row r="3927">
      <c r="A3927" s="7">
        <f>IFERROR(Datos!A3927,"")</f>
        <v/>
      </c>
      <c r="B3927" s="8">
        <f>IFERROR(Datos!B3927,"")</f>
        <v/>
      </c>
      <c r="C3927" s="8">
        <f>IFERROR(Datos!C3927,"")</f>
        <v/>
      </c>
      <c r="D3927" s="28">
        <f>IFERROR(IF(AND(ISNUMBER(B3927),ISNUMBER(B3926),B3926&lt;&gt;0),B3927/B3926-1,""),"")</f>
        <v/>
      </c>
      <c r="E3927" s="28">
        <f>IFERROR(IF(AND(ISNUMBER(C3927),ISNUMBER(C3926),C3926&lt;&gt;0),C3927/C3926-1,""),"")</f>
        <v/>
      </c>
      <c r="F3927" s="28">
        <f>IFERROR(D3927-Dashboard!$B$4/252,"")</f>
        <v/>
      </c>
      <c r="G3927" s="28">
        <f>IFERROR(E3927-Dashboard!$B$4/252,"")</f>
        <v/>
      </c>
      <c r="H3927" s="8">
        <f>IFERROR(IF(ISNUMBER(B3927),MAX(B3927,IFERROR(H3926,B3927)),""),"")</f>
        <v/>
      </c>
      <c r="I3927" s="29">
        <f>IFERROR(IF(AND(ISNUMBER(B3927),ISNUMBER(H3927)),B3927/H3927-1,""),"")</f>
        <v/>
      </c>
      <c r="J3927" s="8">
        <f>IFERROR(IF(ISNUMBER(C3927),MAX(C3927,IFERROR(J3926,C3927)),""),"")</f>
        <v/>
      </c>
      <c r="K3927" s="29">
        <f>IFERROR(IF(AND(ISNUMBER(C3927),ISNUMBER(J3927)),C3927/J3927-1,""),"")</f>
        <v/>
      </c>
      <c r="L3927" s="28">
        <f>IFERROR(IF(AND(ISNUMBER(D3927),ISNUMBER(E3927)),D3927-E3927,""),"")</f>
        <v/>
      </c>
    </row>
    <row r="3928">
      <c r="A3928" s="7">
        <f>IFERROR(Datos!A3928,"")</f>
        <v/>
      </c>
      <c r="B3928" s="8">
        <f>IFERROR(Datos!B3928,"")</f>
        <v/>
      </c>
      <c r="C3928" s="8">
        <f>IFERROR(Datos!C3928,"")</f>
        <v/>
      </c>
      <c r="D3928" s="28">
        <f>IFERROR(IF(AND(ISNUMBER(B3928),ISNUMBER(B3927),B3927&lt;&gt;0),B3928/B3927-1,""),"")</f>
        <v/>
      </c>
      <c r="E3928" s="28">
        <f>IFERROR(IF(AND(ISNUMBER(C3928),ISNUMBER(C3927),C3927&lt;&gt;0),C3928/C3927-1,""),"")</f>
        <v/>
      </c>
      <c r="F3928" s="28">
        <f>IFERROR(D3928-Dashboard!$B$4/252,"")</f>
        <v/>
      </c>
      <c r="G3928" s="28">
        <f>IFERROR(E3928-Dashboard!$B$4/252,"")</f>
        <v/>
      </c>
      <c r="H3928" s="8">
        <f>IFERROR(IF(ISNUMBER(B3928),MAX(B3928,IFERROR(H3927,B3928)),""),"")</f>
        <v/>
      </c>
      <c r="I3928" s="29">
        <f>IFERROR(IF(AND(ISNUMBER(B3928),ISNUMBER(H3928)),B3928/H3928-1,""),"")</f>
        <v/>
      </c>
      <c r="J3928" s="8">
        <f>IFERROR(IF(ISNUMBER(C3928),MAX(C3928,IFERROR(J3927,C3928)),""),"")</f>
        <v/>
      </c>
      <c r="K3928" s="29">
        <f>IFERROR(IF(AND(ISNUMBER(C3928),ISNUMBER(J3928)),C3928/J3928-1,""),"")</f>
        <v/>
      </c>
      <c r="L3928" s="28">
        <f>IFERROR(IF(AND(ISNUMBER(D3928),ISNUMBER(E3928)),D3928-E3928,""),"")</f>
        <v/>
      </c>
    </row>
    <row r="3929">
      <c r="A3929" s="7">
        <f>IFERROR(Datos!A3929,"")</f>
        <v/>
      </c>
      <c r="B3929" s="8">
        <f>IFERROR(Datos!B3929,"")</f>
        <v/>
      </c>
      <c r="C3929" s="8">
        <f>IFERROR(Datos!C3929,"")</f>
        <v/>
      </c>
      <c r="D3929" s="28">
        <f>IFERROR(IF(AND(ISNUMBER(B3929),ISNUMBER(B3928),B3928&lt;&gt;0),B3929/B3928-1,""),"")</f>
        <v/>
      </c>
      <c r="E3929" s="28">
        <f>IFERROR(IF(AND(ISNUMBER(C3929),ISNUMBER(C3928),C3928&lt;&gt;0),C3929/C3928-1,""),"")</f>
        <v/>
      </c>
      <c r="F3929" s="28">
        <f>IFERROR(D3929-Dashboard!$B$4/252,"")</f>
        <v/>
      </c>
      <c r="G3929" s="28">
        <f>IFERROR(E3929-Dashboard!$B$4/252,"")</f>
        <v/>
      </c>
      <c r="H3929" s="8">
        <f>IFERROR(IF(ISNUMBER(B3929),MAX(B3929,IFERROR(H3928,B3929)),""),"")</f>
        <v/>
      </c>
      <c r="I3929" s="29">
        <f>IFERROR(IF(AND(ISNUMBER(B3929),ISNUMBER(H3929)),B3929/H3929-1,""),"")</f>
        <v/>
      </c>
      <c r="J3929" s="8">
        <f>IFERROR(IF(ISNUMBER(C3929),MAX(C3929,IFERROR(J3928,C3929)),""),"")</f>
        <v/>
      </c>
      <c r="K3929" s="29">
        <f>IFERROR(IF(AND(ISNUMBER(C3929),ISNUMBER(J3929)),C3929/J3929-1,""),"")</f>
        <v/>
      </c>
      <c r="L3929" s="28">
        <f>IFERROR(IF(AND(ISNUMBER(D3929),ISNUMBER(E3929)),D3929-E3929,""),"")</f>
        <v/>
      </c>
    </row>
    <row r="3930">
      <c r="A3930" s="7">
        <f>IFERROR(Datos!A3930,"")</f>
        <v/>
      </c>
      <c r="B3930" s="8">
        <f>IFERROR(Datos!B3930,"")</f>
        <v/>
      </c>
      <c r="C3930" s="8">
        <f>IFERROR(Datos!C3930,"")</f>
        <v/>
      </c>
      <c r="D3930" s="28">
        <f>IFERROR(IF(AND(ISNUMBER(B3930),ISNUMBER(B3929),B3929&lt;&gt;0),B3930/B3929-1,""),"")</f>
        <v/>
      </c>
      <c r="E3930" s="28">
        <f>IFERROR(IF(AND(ISNUMBER(C3930),ISNUMBER(C3929),C3929&lt;&gt;0),C3930/C3929-1,""),"")</f>
        <v/>
      </c>
      <c r="F3930" s="28">
        <f>IFERROR(D3930-Dashboard!$B$4/252,"")</f>
        <v/>
      </c>
      <c r="G3930" s="28">
        <f>IFERROR(E3930-Dashboard!$B$4/252,"")</f>
        <v/>
      </c>
      <c r="H3930" s="8">
        <f>IFERROR(IF(ISNUMBER(B3930),MAX(B3930,IFERROR(H3929,B3930)),""),"")</f>
        <v/>
      </c>
      <c r="I3930" s="29">
        <f>IFERROR(IF(AND(ISNUMBER(B3930),ISNUMBER(H3930)),B3930/H3930-1,""),"")</f>
        <v/>
      </c>
      <c r="J3930" s="8">
        <f>IFERROR(IF(ISNUMBER(C3930),MAX(C3930,IFERROR(J3929,C3930)),""),"")</f>
        <v/>
      </c>
      <c r="K3930" s="29">
        <f>IFERROR(IF(AND(ISNUMBER(C3930),ISNUMBER(J3930)),C3930/J3930-1,""),"")</f>
        <v/>
      </c>
      <c r="L3930" s="28">
        <f>IFERROR(IF(AND(ISNUMBER(D3930),ISNUMBER(E3930)),D3930-E3930,""),"")</f>
        <v/>
      </c>
    </row>
    <row r="3931">
      <c r="A3931" s="7">
        <f>IFERROR(Datos!A3931,"")</f>
        <v/>
      </c>
      <c r="B3931" s="8">
        <f>IFERROR(Datos!B3931,"")</f>
        <v/>
      </c>
      <c r="C3931" s="8">
        <f>IFERROR(Datos!C3931,"")</f>
        <v/>
      </c>
      <c r="D3931" s="28">
        <f>IFERROR(IF(AND(ISNUMBER(B3931),ISNUMBER(B3930),B3930&lt;&gt;0),B3931/B3930-1,""),"")</f>
        <v/>
      </c>
      <c r="E3931" s="28">
        <f>IFERROR(IF(AND(ISNUMBER(C3931),ISNUMBER(C3930),C3930&lt;&gt;0),C3931/C3930-1,""),"")</f>
        <v/>
      </c>
      <c r="F3931" s="28">
        <f>IFERROR(D3931-Dashboard!$B$4/252,"")</f>
        <v/>
      </c>
      <c r="G3931" s="28">
        <f>IFERROR(E3931-Dashboard!$B$4/252,"")</f>
        <v/>
      </c>
      <c r="H3931" s="8">
        <f>IFERROR(IF(ISNUMBER(B3931),MAX(B3931,IFERROR(H3930,B3931)),""),"")</f>
        <v/>
      </c>
      <c r="I3931" s="29">
        <f>IFERROR(IF(AND(ISNUMBER(B3931),ISNUMBER(H3931)),B3931/H3931-1,""),"")</f>
        <v/>
      </c>
      <c r="J3931" s="8">
        <f>IFERROR(IF(ISNUMBER(C3931),MAX(C3931,IFERROR(J3930,C3931)),""),"")</f>
        <v/>
      </c>
      <c r="K3931" s="29">
        <f>IFERROR(IF(AND(ISNUMBER(C3931),ISNUMBER(J3931)),C3931/J3931-1,""),"")</f>
        <v/>
      </c>
      <c r="L3931" s="28">
        <f>IFERROR(IF(AND(ISNUMBER(D3931),ISNUMBER(E3931)),D3931-E3931,""),"")</f>
        <v/>
      </c>
    </row>
    <row r="3932">
      <c r="A3932" s="7">
        <f>IFERROR(Datos!A3932,"")</f>
        <v/>
      </c>
      <c r="B3932" s="8">
        <f>IFERROR(Datos!B3932,"")</f>
        <v/>
      </c>
      <c r="C3932" s="8">
        <f>IFERROR(Datos!C3932,"")</f>
        <v/>
      </c>
      <c r="D3932" s="28">
        <f>IFERROR(IF(AND(ISNUMBER(B3932),ISNUMBER(B3931),B3931&lt;&gt;0),B3932/B3931-1,""),"")</f>
        <v/>
      </c>
      <c r="E3932" s="28">
        <f>IFERROR(IF(AND(ISNUMBER(C3932),ISNUMBER(C3931),C3931&lt;&gt;0),C3932/C3931-1,""),"")</f>
        <v/>
      </c>
      <c r="F3932" s="28">
        <f>IFERROR(D3932-Dashboard!$B$4/252,"")</f>
        <v/>
      </c>
      <c r="G3932" s="28">
        <f>IFERROR(E3932-Dashboard!$B$4/252,"")</f>
        <v/>
      </c>
      <c r="H3932" s="8">
        <f>IFERROR(IF(ISNUMBER(B3932),MAX(B3932,IFERROR(H3931,B3932)),""),"")</f>
        <v/>
      </c>
      <c r="I3932" s="29">
        <f>IFERROR(IF(AND(ISNUMBER(B3932),ISNUMBER(H3932)),B3932/H3932-1,""),"")</f>
        <v/>
      </c>
      <c r="J3932" s="8">
        <f>IFERROR(IF(ISNUMBER(C3932),MAX(C3932,IFERROR(J3931,C3932)),""),"")</f>
        <v/>
      </c>
      <c r="K3932" s="29">
        <f>IFERROR(IF(AND(ISNUMBER(C3932),ISNUMBER(J3932)),C3932/J3932-1,""),"")</f>
        <v/>
      </c>
      <c r="L3932" s="28">
        <f>IFERROR(IF(AND(ISNUMBER(D3932),ISNUMBER(E3932)),D3932-E3932,""),"")</f>
        <v/>
      </c>
    </row>
    <row r="3933">
      <c r="A3933" s="7">
        <f>IFERROR(Datos!A3933,"")</f>
        <v/>
      </c>
      <c r="B3933" s="8">
        <f>IFERROR(Datos!B3933,"")</f>
        <v/>
      </c>
      <c r="C3933" s="8">
        <f>IFERROR(Datos!C3933,"")</f>
        <v/>
      </c>
      <c r="D3933" s="28">
        <f>IFERROR(IF(AND(ISNUMBER(B3933),ISNUMBER(B3932),B3932&lt;&gt;0),B3933/B3932-1,""),"")</f>
        <v/>
      </c>
      <c r="E3933" s="28">
        <f>IFERROR(IF(AND(ISNUMBER(C3933),ISNUMBER(C3932),C3932&lt;&gt;0),C3933/C3932-1,""),"")</f>
        <v/>
      </c>
      <c r="F3933" s="28">
        <f>IFERROR(D3933-Dashboard!$B$4/252,"")</f>
        <v/>
      </c>
      <c r="G3933" s="28">
        <f>IFERROR(E3933-Dashboard!$B$4/252,"")</f>
        <v/>
      </c>
      <c r="H3933" s="8">
        <f>IFERROR(IF(ISNUMBER(B3933),MAX(B3933,IFERROR(H3932,B3933)),""),"")</f>
        <v/>
      </c>
      <c r="I3933" s="29">
        <f>IFERROR(IF(AND(ISNUMBER(B3933),ISNUMBER(H3933)),B3933/H3933-1,""),"")</f>
        <v/>
      </c>
      <c r="J3933" s="8">
        <f>IFERROR(IF(ISNUMBER(C3933),MAX(C3933,IFERROR(J3932,C3933)),""),"")</f>
        <v/>
      </c>
      <c r="K3933" s="29">
        <f>IFERROR(IF(AND(ISNUMBER(C3933),ISNUMBER(J3933)),C3933/J3933-1,""),"")</f>
        <v/>
      </c>
      <c r="L3933" s="28">
        <f>IFERROR(IF(AND(ISNUMBER(D3933),ISNUMBER(E3933)),D3933-E3933,""),"")</f>
        <v/>
      </c>
    </row>
    <row r="3934">
      <c r="A3934" s="7">
        <f>IFERROR(Datos!A3934,"")</f>
        <v/>
      </c>
      <c r="B3934" s="8">
        <f>IFERROR(Datos!B3934,"")</f>
        <v/>
      </c>
      <c r="C3934" s="8">
        <f>IFERROR(Datos!C3934,"")</f>
        <v/>
      </c>
      <c r="D3934" s="28">
        <f>IFERROR(IF(AND(ISNUMBER(B3934),ISNUMBER(B3933),B3933&lt;&gt;0),B3934/B3933-1,""),"")</f>
        <v/>
      </c>
      <c r="E3934" s="28">
        <f>IFERROR(IF(AND(ISNUMBER(C3934),ISNUMBER(C3933),C3933&lt;&gt;0),C3934/C3933-1,""),"")</f>
        <v/>
      </c>
      <c r="F3934" s="28">
        <f>IFERROR(D3934-Dashboard!$B$4/252,"")</f>
        <v/>
      </c>
      <c r="G3934" s="28">
        <f>IFERROR(E3934-Dashboard!$B$4/252,"")</f>
        <v/>
      </c>
      <c r="H3934" s="8">
        <f>IFERROR(IF(ISNUMBER(B3934),MAX(B3934,IFERROR(H3933,B3934)),""),"")</f>
        <v/>
      </c>
      <c r="I3934" s="29">
        <f>IFERROR(IF(AND(ISNUMBER(B3934),ISNUMBER(H3934)),B3934/H3934-1,""),"")</f>
        <v/>
      </c>
      <c r="J3934" s="8">
        <f>IFERROR(IF(ISNUMBER(C3934),MAX(C3934,IFERROR(J3933,C3934)),""),"")</f>
        <v/>
      </c>
      <c r="K3934" s="29">
        <f>IFERROR(IF(AND(ISNUMBER(C3934),ISNUMBER(J3934)),C3934/J3934-1,""),"")</f>
        <v/>
      </c>
      <c r="L3934" s="28">
        <f>IFERROR(IF(AND(ISNUMBER(D3934),ISNUMBER(E3934)),D3934-E3934,""),"")</f>
        <v/>
      </c>
    </row>
    <row r="3935">
      <c r="A3935" s="7">
        <f>IFERROR(Datos!A3935,"")</f>
        <v/>
      </c>
      <c r="B3935" s="8">
        <f>IFERROR(Datos!B3935,"")</f>
        <v/>
      </c>
      <c r="C3935" s="8">
        <f>IFERROR(Datos!C3935,"")</f>
        <v/>
      </c>
      <c r="D3935" s="28">
        <f>IFERROR(IF(AND(ISNUMBER(B3935),ISNUMBER(B3934),B3934&lt;&gt;0),B3935/B3934-1,""),"")</f>
        <v/>
      </c>
      <c r="E3935" s="28">
        <f>IFERROR(IF(AND(ISNUMBER(C3935),ISNUMBER(C3934),C3934&lt;&gt;0),C3935/C3934-1,""),"")</f>
        <v/>
      </c>
      <c r="F3935" s="28">
        <f>IFERROR(D3935-Dashboard!$B$4/252,"")</f>
        <v/>
      </c>
      <c r="G3935" s="28">
        <f>IFERROR(E3935-Dashboard!$B$4/252,"")</f>
        <v/>
      </c>
      <c r="H3935" s="8">
        <f>IFERROR(IF(ISNUMBER(B3935),MAX(B3935,IFERROR(H3934,B3935)),""),"")</f>
        <v/>
      </c>
      <c r="I3935" s="29">
        <f>IFERROR(IF(AND(ISNUMBER(B3935),ISNUMBER(H3935)),B3935/H3935-1,""),"")</f>
        <v/>
      </c>
      <c r="J3935" s="8">
        <f>IFERROR(IF(ISNUMBER(C3935),MAX(C3935,IFERROR(J3934,C3935)),""),"")</f>
        <v/>
      </c>
      <c r="K3935" s="29">
        <f>IFERROR(IF(AND(ISNUMBER(C3935),ISNUMBER(J3935)),C3935/J3935-1,""),"")</f>
        <v/>
      </c>
      <c r="L3935" s="28">
        <f>IFERROR(IF(AND(ISNUMBER(D3935),ISNUMBER(E3935)),D3935-E3935,""),"")</f>
        <v/>
      </c>
    </row>
    <row r="3936">
      <c r="A3936" s="7">
        <f>IFERROR(Datos!A3936,"")</f>
        <v/>
      </c>
      <c r="B3936" s="8">
        <f>IFERROR(Datos!B3936,"")</f>
        <v/>
      </c>
      <c r="C3936" s="8">
        <f>IFERROR(Datos!C3936,"")</f>
        <v/>
      </c>
      <c r="D3936" s="28">
        <f>IFERROR(IF(AND(ISNUMBER(B3936),ISNUMBER(B3935),B3935&lt;&gt;0),B3936/B3935-1,""),"")</f>
        <v/>
      </c>
      <c r="E3936" s="28">
        <f>IFERROR(IF(AND(ISNUMBER(C3936),ISNUMBER(C3935),C3935&lt;&gt;0),C3936/C3935-1,""),"")</f>
        <v/>
      </c>
      <c r="F3936" s="28">
        <f>IFERROR(D3936-Dashboard!$B$4/252,"")</f>
        <v/>
      </c>
      <c r="G3936" s="28">
        <f>IFERROR(E3936-Dashboard!$B$4/252,"")</f>
        <v/>
      </c>
      <c r="H3936" s="8">
        <f>IFERROR(IF(ISNUMBER(B3936),MAX(B3936,IFERROR(H3935,B3936)),""),"")</f>
        <v/>
      </c>
      <c r="I3936" s="29">
        <f>IFERROR(IF(AND(ISNUMBER(B3936),ISNUMBER(H3936)),B3936/H3936-1,""),"")</f>
        <v/>
      </c>
      <c r="J3936" s="8">
        <f>IFERROR(IF(ISNUMBER(C3936),MAX(C3936,IFERROR(J3935,C3936)),""),"")</f>
        <v/>
      </c>
      <c r="K3936" s="29">
        <f>IFERROR(IF(AND(ISNUMBER(C3936),ISNUMBER(J3936)),C3936/J3936-1,""),"")</f>
        <v/>
      </c>
      <c r="L3936" s="28">
        <f>IFERROR(IF(AND(ISNUMBER(D3936),ISNUMBER(E3936)),D3936-E3936,""),"")</f>
        <v/>
      </c>
    </row>
    <row r="3937">
      <c r="A3937" s="7">
        <f>IFERROR(Datos!A3937,"")</f>
        <v/>
      </c>
      <c r="B3937" s="8">
        <f>IFERROR(Datos!B3937,"")</f>
        <v/>
      </c>
      <c r="C3937" s="8">
        <f>IFERROR(Datos!C3937,"")</f>
        <v/>
      </c>
      <c r="D3937" s="28">
        <f>IFERROR(IF(AND(ISNUMBER(B3937),ISNUMBER(B3936),B3936&lt;&gt;0),B3937/B3936-1,""),"")</f>
        <v/>
      </c>
      <c r="E3937" s="28">
        <f>IFERROR(IF(AND(ISNUMBER(C3937),ISNUMBER(C3936),C3936&lt;&gt;0),C3937/C3936-1,""),"")</f>
        <v/>
      </c>
      <c r="F3937" s="28">
        <f>IFERROR(D3937-Dashboard!$B$4/252,"")</f>
        <v/>
      </c>
      <c r="G3937" s="28">
        <f>IFERROR(E3937-Dashboard!$B$4/252,"")</f>
        <v/>
      </c>
      <c r="H3937" s="8">
        <f>IFERROR(IF(ISNUMBER(B3937),MAX(B3937,IFERROR(H3936,B3937)),""),"")</f>
        <v/>
      </c>
      <c r="I3937" s="29">
        <f>IFERROR(IF(AND(ISNUMBER(B3937),ISNUMBER(H3937)),B3937/H3937-1,""),"")</f>
        <v/>
      </c>
      <c r="J3937" s="8">
        <f>IFERROR(IF(ISNUMBER(C3937),MAX(C3937,IFERROR(J3936,C3937)),""),"")</f>
        <v/>
      </c>
      <c r="K3937" s="29">
        <f>IFERROR(IF(AND(ISNUMBER(C3937),ISNUMBER(J3937)),C3937/J3937-1,""),"")</f>
        <v/>
      </c>
      <c r="L3937" s="28">
        <f>IFERROR(IF(AND(ISNUMBER(D3937),ISNUMBER(E3937)),D3937-E3937,""),"")</f>
        <v/>
      </c>
    </row>
    <row r="3938">
      <c r="A3938" s="7">
        <f>IFERROR(Datos!A3938,"")</f>
        <v/>
      </c>
      <c r="B3938" s="8">
        <f>IFERROR(Datos!B3938,"")</f>
        <v/>
      </c>
      <c r="C3938" s="8">
        <f>IFERROR(Datos!C3938,"")</f>
        <v/>
      </c>
      <c r="D3938" s="28">
        <f>IFERROR(IF(AND(ISNUMBER(B3938),ISNUMBER(B3937),B3937&lt;&gt;0),B3938/B3937-1,""),"")</f>
        <v/>
      </c>
      <c r="E3938" s="28">
        <f>IFERROR(IF(AND(ISNUMBER(C3938),ISNUMBER(C3937),C3937&lt;&gt;0),C3938/C3937-1,""),"")</f>
        <v/>
      </c>
      <c r="F3938" s="28">
        <f>IFERROR(D3938-Dashboard!$B$4/252,"")</f>
        <v/>
      </c>
      <c r="G3938" s="28">
        <f>IFERROR(E3938-Dashboard!$B$4/252,"")</f>
        <v/>
      </c>
      <c r="H3938" s="8">
        <f>IFERROR(IF(ISNUMBER(B3938),MAX(B3938,IFERROR(H3937,B3938)),""),"")</f>
        <v/>
      </c>
      <c r="I3938" s="29">
        <f>IFERROR(IF(AND(ISNUMBER(B3938),ISNUMBER(H3938)),B3938/H3938-1,""),"")</f>
        <v/>
      </c>
      <c r="J3938" s="8">
        <f>IFERROR(IF(ISNUMBER(C3938),MAX(C3938,IFERROR(J3937,C3938)),""),"")</f>
        <v/>
      </c>
      <c r="K3938" s="29">
        <f>IFERROR(IF(AND(ISNUMBER(C3938),ISNUMBER(J3938)),C3938/J3938-1,""),"")</f>
        <v/>
      </c>
      <c r="L3938" s="28">
        <f>IFERROR(IF(AND(ISNUMBER(D3938),ISNUMBER(E3938)),D3938-E3938,""),"")</f>
        <v/>
      </c>
    </row>
    <row r="3939">
      <c r="A3939" s="7">
        <f>IFERROR(Datos!A3939,"")</f>
        <v/>
      </c>
      <c r="B3939" s="8">
        <f>IFERROR(Datos!B3939,"")</f>
        <v/>
      </c>
      <c r="C3939" s="8">
        <f>IFERROR(Datos!C3939,"")</f>
        <v/>
      </c>
      <c r="D3939" s="28">
        <f>IFERROR(IF(AND(ISNUMBER(B3939),ISNUMBER(B3938),B3938&lt;&gt;0),B3939/B3938-1,""),"")</f>
        <v/>
      </c>
      <c r="E3939" s="28">
        <f>IFERROR(IF(AND(ISNUMBER(C3939),ISNUMBER(C3938),C3938&lt;&gt;0),C3939/C3938-1,""),"")</f>
        <v/>
      </c>
      <c r="F3939" s="28">
        <f>IFERROR(D3939-Dashboard!$B$4/252,"")</f>
        <v/>
      </c>
      <c r="G3939" s="28">
        <f>IFERROR(E3939-Dashboard!$B$4/252,"")</f>
        <v/>
      </c>
      <c r="H3939" s="8">
        <f>IFERROR(IF(ISNUMBER(B3939),MAX(B3939,IFERROR(H3938,B3939)),""),"")</f>
        <v/>
      </c>
      <c r="I3939" s="29">
        <f>IFERROR(IF(AND(ISNUMBER(B3939),ISNUMBER(H3939)),B3939/H3939-1,""),"")</f>
        <v/>
      </c>
      <c r="J3939" s="8">
        <f>IFERROR(IF(ISNUMBER(C3939),MAX(C3939,IFERROR(J3938,C3939)),""),"")</f>
        <v/>
      </c>
      <c r="K3939" s="29">
        <f>IFERROR(IF(AND(ISNUMBER(C3939),ISNUMBER(J3939)),C3939/J3939-1,""),"")</f>
        <v/>
      </c>
      <c r="L3939" s="28">
        <f>IFERROR(IF(AND(ISNUMBER(D3939),ISNUMBER(E3939)),D3939-E3939,""),"")</f>
        <v/>
      </c>
    </row>
    <row r="3940">
      <c r="A3940" s="7">
        <f>IFERROR(Datos!A3940,"")</f>
        <v/>
      </c>
      <c r="B3940" s="8">
        <f>IFERROR(Datos!B3940,"")</f>
        <v/>
      </c>
      <c r="C3940" s="8">
        <f>IFERROR(Datos!C3940,"")</f>
        <v/>
      </c>
      <c r="D3940" s="28">
        <f>IFERROR(IF(AND(ISNUMBER(B3940),ISNUMBER(B3939),B3939&lt;&gt;0),B3940/B3939-1,""),"")</f>
        <v/>
      </c>
      <c r="E3940" s="28">
        <f>IFERROR(IF(AND(ISNUMBER(C3940),ISNUMBER(C3939),C3939&lt;&gt;0),C3940/C3939-1,""),"")</f>
        <v/>
      </c>
      <c r="F3940" s="28">
        <f>IFERROR(D3940-Dashboard!$B$4/252,"")</f>
        <v/>
      </c>
      <c r="G3940" s="28">
        <f>IFERROR(E3940-Dashboard!$B$4/252,"")</f>
        <v/>
      </c>
      <c r="H3940" s="8">
        <f>IFERROR(IF(ISNUMBER(B3940),MAX(B3940,IFERROR(H3939,B3940)),""),"")</f>
        <v/>
      </c>
      <c r="I3940" s="29">
        <f>IFERROR(IF(AND(ISNUMBER(B3940),ISNUMBER(H3940)),B3940/H3940-1,""),"")</f>
        <v/>
      </c>
      <c r="J3940" s="8">
        <f>IFERROR(IF(ISNUMBER(C3940),MAX(C3940,IFERROR(J3939,C3940)),""),"")</f>
        <v/>
      </c>
      <c r="K3940" s="29">
        <f>IFERROR(IF(AND(ISNUMBER(C3940),ISNUMBER(J3940)),C3940/J3940-1,""),"")</f>
        <v/>
      </c>
      <c r="L3940" s="28">
        <f>IFERROR(IF(AND(ISNUMBER(D3940),ISNUMBER(E3940)),D3940-E3940,""),"")</f>
        <v/>
      </c>
    </row>
    <row r="3941">
      <c r="A3941" s="7">
        <f>IFERROR(Datos!A3941,"")</f>
        <v/>
      </c>
      <c r="B3941" s="8">
        <f>IFERROR(Datos!B3941,"")</f>
        <v/>
      </c>
      <c r="C3941" s="8">
        <f>IFERROR(Datos!C3941,"")</f>
        <v/>
      </c>
      <c r="D3941" s="28">
        <f>IFERROR(IF(AND(ISNUMBER(B3941),ISNUMBER(B3940),B3940&lt;&gt;0),B3941/B3940-1,""),"")</f>
        <v/>
      </c>
      <c r="E3941" s="28">
        <f>IFERROR(IF(AND(ISNUMBER(C3941),ISNUMBER(C3940),C3940&lt;&gt;0),C3941/C3940-1,""),"")</f>
        <v/>
      </c>
      <c r="F3941" s="28">
        <f>IFERROR(D3941-Dashboard!$B$4/252,"")</f>
        <v/>
      </c>
      <c r="G3941" s="28">
        <f>IFERROR(E3941-Dashboard!$B$4/252,"")</f>
        <v/>
      </c>
      <c r="H3941" s="8">
        <f>IFERROR(IF(ISNUMBER(B3941),MAX(B3941,IFERROR(H3940,B3941)),""),"")</f>
        <v/>
      </c>
      <c r="I3941" s="29">
        <f>IFERROR(IF(AND(ISNUMBER(B3941),ISNUMBER(H3941)),B3941/H3941-1,""),"")</f>
        <v/>
      </c>
      <c r="J3941" s="8">
        <f>IFERROR(IF(ISNUMBER(C3941),MAX(C3941,IFERROR(J3940,C3941)),""),"")</f>
        <v/>
      </c>
      <c r="K3941" s="29">
        <f>IFERROR(IF(AND(ISNUMBER(C3941),ISNUMBER(J3941)),C3941/J3941-1,""),"")</f>
        <v/>
      </c>
      <c r="L3941" s="28">
        <f>IFERROR(IF(AND(ISNUMBER(D3941),ISNUMBER(E3941)),D3941-E3941,""),"")</f>
        <v/>
      </c>
    </row>
    <row r="3942">
      <c r="A3942" s="7">
        <f>IFERROR(Datos!A3942,"")</f>
        <v/>
      </c>
      <c r="B3942" s="8">
        <f>IFERROR(Datos!B3942,"")</f>
        <v/>
      </c>
      <c r="C3942" s="8">
        <f>IFERROR(Datos!C3942,"")</f>
        <v/>
      </c>
      <c r="D3942" s="28">
        <f>IFERROR(IF(AND(ISNUMBER(B3942),ISNUMBER(B3941),B3941&lt;&gt;0),B3942/B3941-1,""),"")</f>
        <v/>
      </c>
      <c r="E3942" s="28">
        <f>IFERROR(IF(AND(ISNUMBER(C3942),ISNUMBER(C3941),C3941&lt;&gt;0),C3942/C3941-1,""),"")</f>
        <v/>
      </c>
      <c r="F3942" s="28">
        <f>IFERROR(D3942-Dashboard!$B$4/252,"")</f>
        <v/>
      </c>
      <c r="G3942" s="28">
        <f>IFERROR(E3942-Dashboard!$B$4/252,"")</f>
        <v/>
      </c>
      <c r="H3942" s="8">
        <f>IFERROR(IF(ISNUMBER(B3942),MAX(B3942,IFERROR(H3941,B3942)),""),"")</f>
        <v/>
      </c>
      <c r="I3942" s="29">
        <f>IFERROR(IF(AND(ISNUMBER(B3942),ISNUMBER(H3942)),B3942/H3942-1,""),"")</f>
        <v/>
      </c>
      <c r="J3942" s="8">
        <f>IFERROR(IF(ISNUMBER(C3942),MAX(C3942,IFERROR(J3941,C3942)),""),"")</f>
        <v/>
      </c>
      <c r="K3942" s="29">
        <f>IFERROR(IF(AND(ISNUMBER(C3942),ISNUMBER(J3942)),C3942/J3942-1,""),"")</f>
        <v/>
      </c>
      <c r="L3942" s="28">
        <f>IFERROR(IF(AND(ISNUMBER(D3942),ISNUMBER(E3942)),D3942-E3942,""),"")</f>
        <v/>
      </c>
    </row>
    <row r="3943">
      <c r="A3943" s="7">
        <f>IFERROR(Datos!A3943,"")</f>
        <v/>
      </c>
      <c r="B3943" s="8">
        <f>IFERROR(Datos!B3943,"")</f>
        <v/>
      </c>
      <c r="C3943" s="8">
        <f>IFERROR(Datos!C3943,"")</f>
        <v/>
      </c>
      <c r="D3943" s="28">
        <f>IFERROR(IF(AND(ISNUMBER(B3943),ISNUMBER(B3942),B3942&lt;&gt;0),B3943/B3942-1,""),"")</f>
        <v/>
      </c>
      <c r="E3943" s="28">
        <f>IFERROR(IF(AND(ISNUMBER(C3943),ISNUMBER(C3942),C3942&lt;&gt;0),C3943/C3942-1,""),"")</f>
        <v/>
      </c>
      <c r="F3943" s="28">
        <f>IFERROR(D3943-Dashboard!$B$4/252,"")</f>
        <v/>
      </c>
      <c r="G3943" s="28">
        <f>IFERROR(E3943-Dashboard!$B$4/252,"")</f>
        <v/>
      </c>
      <c r="H3943" s="8">
        <f>IFERROR(IF(ISNUMBER(B3943),MAX(B3943,IFERROR(H3942,B3943)),""),"")</f>
        <v/>
      </c>
      <c r="I3943" s="29">
        <f>IFERROR(IF(AND(ISNUMBER(B3943),ISNUMBER(H3943)),B3943/H3943-1,""),"")</f>
        <v/>
      </c>
      <c r="J3943" s="8">
        <f>IFERROR(IF(ISNUMBER(C3943),MAX(C3943,IFERROR(J3942,C3943)),""),"")</f>
        <v/>
      </c>
      <c r="K3943" s="29">
        <f>IFERROR(IF(AND(ISNUMBER(C3943),ISNUMBER(J3943)),C3943/J3943-1,""),"")</f>
        <v/>
      </c>
      <c r="L3943" s="28">
        <f>IFERROR(IF(AND(ISNUMBER(D3943),ISNUMBER(E3943)),D3943-E3943,""),"")</f>
        <v/>
      </c>
    </row>
    <row r="3944">
      <c r="A3944" s="7">
        <f>IFERROR(Datos!A3944,"")</f>
        <v/>
      </c>
      <c r="B3944" s="8">
        <f>IFERROR(Datos!B3944,"")</f>
        <v/>
      </c>
      <c r="C3944" s="8">
        <f>IFERROR(Datos!C3944,"")</f>
        <v/>
      </c>
      <c r="D3944" s="28">
        <f>IFERROR(IF(AND(ISNUMBER(B3944),ISNUMBER(B3943),B3943&lt;&gt;0),B3944/B3943-1,""),"")</f>
        <v/>
      </c>
      <c r="E3944" s="28">
        <f>IFERROR(IF(AND(ISNUMBER(C3944),ISNUMBER(C3943),C3943&lt;&gt;0),C3944/C3943-1,""),"")</f>
        <v/>
      </c>
      <c r="F3944" s="28">
        <f>IFERROR(D3944-Dashboard!$B$4/252,"")</f>
        <v/>
      </c>
      <c r="G3944" s="28">
        <f>IFERROR(E3944-Dashboard!$B$4/252,"")</f>
        <v/>
      </c>
      <c r="H3944" s="8">
        <f>IFERROR(IF(ISNUMBER(B3944),MAX(B3944,IFERROR(H3943,B3944)),""),"")</f>
        <v/>
      </c>
      <c r="I3944" s="29">
        <f>IFERROR(IF(AND(ISNUMBER(B3944),ISNUMBER(H3944)),B3944/H3944-1,""),"")</f>
        <v/>
      </c>
      <c r="J3944" s="8">
        <f>IFERROR(IF(ISNUMBER(C3944),MAX(C3944,IFERROR(J3943,C3944)),""),"")</f>
        <v/>
      </c>
      <c r="K3944" s="29">
        <f>IFERROR(IF(AND(ISNUMBER(C3944),ISNUMBER(J3944)),C3944/J3944-1,""),"")</f>
        <v/>
      </c>
      <c r="L3944" s="28">
        <f>IFERROR(IF(AND(ISNUMBER(D3944),ISNUMBER(E3944)),D3944-E3944,""),"")</f>
        <v/>
      </c>
    </row>
    <row r="3945">
      <c r="A3945" s="7">
        <f>IFERROR(Datos!A3945,"")</f>
        <v/>
      </c>
      <c r="B3945" s="8">
        <f>IFERROR(Datos!B3945,"")</f>
        <v/>
      </c>
      <c r="C3945" s="8">
        <f>IFERROR(Datos!C3945,"")</f>
        <v/>
      </c>
      <c r="D3945" s="28">
        <f>IFERROR(IF(AND(ISNUMBER(B3945),ISNUMBER(B3944),B3944&lt;&gt;0),B3945/B3944-1,""),"")</f>
        <v/>
      </c>
      <c r="E3945" s="28">
        <f>IFERROR(IF(AND(ISNUMBER(C3945),ISNUMBER(C3944),C3944&lt;&gt;0),C3945/C3944-1,""),"")</f>
        <v/>
      </c>
      <c r="F3945" s="28">
        <f>IFERROR(D3945-Dashboard!$B$4/252,"")</f>
        <v/>
      </c>
      <c r="G3945" s="28">
        <f>IFERROR(E3945-Dashboard!$B$4/252,"")</f>
        <v/>
      </c>
      <c r="H3945" s="8">
        <f>IFERROR(IF(ISNUMBER(B3945),MAX(B3945,IFERROR(H3944,B3945)),""),"")</f>
        <v/>
      </c>
      <c r="I3945" s="29">
        <f>IFERROR(IF(AND(ISNUMBER(B3945),ISNUMBER(H3945)),B3945/H3945-1,""),"")</f>
        <v/>
      </c>
      <c r="J3945" s="8">
        <f>IFERROR(IF(ISNUMBER(C3945),MAX(C3945,IFERROR(J3944,C3945)),""),"")</f>
        <v/>
      </c>
      <c r="K3945" s="29">
        <f>IFERROR(IF(AND(ISNUMBER(C3945),ISNUMBER(J3945)),C3945/J3945-1,""),"")</f>
        <v/>
      </c>
      <c r="L3945" s="28">
        <f>IFERROR(IF(AND(ISNUMBER(D3945),ISNUMBER(E3945)),D3945-E3945,""),"")</f>
        <v/>
      </c>
    </row>
    <row r="3946">
      <c r="A3946" s="7">
        <f>IFERROR(Datos!A3946,"")</f>
        <v/>
      </c>
      <c r="B3946" s="8">
        <f>IFERROR(Datos!B3946,"")</f>
        <v/>
      </c>
      <c r="C3946" s="8">
        <f>IFERROR(Datos!C3946,"")</f>
        <v/>
      </c>
      <c r="D3946" s="28">
        <f>IFERROR(IF(AND(ISNUMBER(B3946),ISNUMBER(B3945),B3945&lt;&gt;0),B3946/B3945-1,""),"")</f>
        <v/>
      </c>
      <c r="E3946" s="28">
        <f>IFERROR(IF(AND(ISNUMBER(C3946),ISNUMBER(C3945),C3945&lt;&gt;0),C3946/C3945-1,""),"")</f>
        <v/>
      </c>
      <c r="F3946" s="28">
        <f>IFERROR(D3946-Dashboard!$B$4/252,"")</f>
        <v/>
      </c>
      <c r="G3946" s="28">
        <f>IFERROR(E3946-Dashboard!$B$4/252,"")</f>
        <v/>
      </c>
      <c r="H3946" s="8">
        <f>IFERROR(IF(ISNUMBER(B3946),MAX(B3946,IFERROR(H3945,B3946)),""),"")</f>
        <v/>
      </c>
      <c r="I3946" s="29">
        <f>IFERROR(IF(AND(ISNUMBER(B3946),ISNUMBER(H3946)),B3946/H3946-1,""),"")</f>
        <v/>
      </c>
      <c r="J3946" s="8">
        <f>IFERROR(IF(ISNUMBER(C3946),MAX(C3946,IFERROR(J3945,C3946)),""),"")</f>
        <v/>
      </c>
      <c r="K3946" s="29">
        <f>IFERROR(IF(AND(ISNUMBER(C3946),ISNUMBER(J3946)),C3946/J3946-1,""),"")</f>
        <v/>
      </c>
      <c r="L3946" s="28">
        <f>IFERROR(IF(AND(ISNUMBER(D3946),ISNUMBER(E3946)),D3946-E3946,""),"")</f>
        <v/>
      </c>
    </row>
    <row r="3947">
      <c r="A3947" s="7">
        <f>IFERROR(Datos!A3947,"")</f>
        <v/>
      </c>
      <c r="B3947" s="8">
        <f>IFERROR(Datos!B3947,"")</f>
        <v/>
      </c>
      <c r="C3947" s="8">
        <f>IFERROR(Datos!C3947,"")</f>
        <v/>
      </c>
      <c r="D3947" s="28">
        <f>IFERROR(IF(AND(ISNUMBER(B3947),ISNUMBER(B3946),B3946&lt;&gt;0),B3947/B3946-1,""),"")</f>
        <v/>
      </c>
      <c r="E3947" s="28">
        <f>IFERROR(IF(AND(ISNUMBER(C3947),ISNUMBER(C3946),C3946&lt;&gt;0),C3947/C3946-1,""),"")</f>
        <v/>
      </c>
      <c r="F3947" s="28">
        <f>IFERROR(D3947-Dashboard!$B$4/252,"")</f>
        <v/>
      </c>
      <c r="G3947" s="28">
        <f>IFERROR(E3947-Dashboard!$B$4/252,"")</f>
        <v/>
      </c>
      <c r="H3947" s="8">
        <f>IFERROR(IF(ISNUMBER(B3947),MAX(B3947,IFERROR(H3946,B3947)),""),"")</f>
        <v/>
      </c>
      <c r="I3947" s="29">
        <f>IFERROR(IF(AND(ISNUMBER(B3947),ISNUMBER(H3947)),B3947/H3947-1,""),"")</f>
        <v/>
      </c>
      <c r="J3947" s="8">
        <f>IFERROR(IF(ISNUMBER(C3947),MAX(C3947,IFERROR(J3946,C3947)),""),"")</f>
        <v/>
      </c>
      <c r="K3947" s="29">
        <f>IFERROR(IF(AND(ISNUMBER(C3947),ISNUMBER(J3947)),C3947/J3947-1,""),"")</f>
        <v/>
      </c>
      <c r="L3947" s="28">
        <f>IFERROR(IF(AND(ISNUMBER(D3947),ISNUMBER(E3947)),D3947-E3947,""),"")</f>
        <v/>
      </c>
    </row>
    <row r="3948">
      <c r="A3948" s="7">
        <f>IFERROR(Datos!A3948,"")</f>
        <v/>
      </c>
      <c r="B3948" s="8">
        <f>IFERROR(Datos!B3948,"")</f>
        <v/>
      </c>
      <c r="C3948" s="8">
        <f>IFERROR(Datos!C3948,"")</f>
        <v/>
      </c>
      <c r="D3948" s="28">
        <f>IFERROR(IF(AND(ISNUMBER(B3948),ISNUMBER(B3947),B3947&lt;&gt;0),B3948/B3947-1,""),"")</f>
        <v/>
      </c>
      <c r="E3948" s="28">
        <f>IFERROR(IF(AND(ISNUMBER(C3948),ISNUMBER(C3947),C3947&lt;&gt;0),C3948/C3947-1,""),"")</f>
        <v/>
      </c>
      <c r="F3948" s="28">
        <f>IFERROR(D3948-Dashboard!$B$4/252,"")</f>
        <v/>
      </c>
      <c r="G3948" s="28">
        <f>IFERROR(E3948-Dashboard!$B$4/252,"")</f>
        <v/>
      </c>
      <c r="H3948" s="8">
        <f>IFERROR(IF(ISNUMBER(B3948),MAX(B3948,IFERROR(H3947,B3948)),""),"")</f>
        <v/>
      </c>
      <c r="I3948" s="29">
        <f>IFERROR(IF(AND(ISNUMBER(B3948),ISNUMBER(H3948)),B3948/H3948-1,""),"")</f>
        <v/>
      </c>
      <c r="J3948" s="8">
        <f>IFERROR(IF(ISNUMBER(C3948),MAX(C3948,IFERROR(J3947,C3948)),""),"")</f>
        <v/>
      </c>
      <c r="K3948" s="29">
        <f>IFERROR(IF(AND(ISNUMBER(C3948),ISNUMBER(J3948)),C3948/J3948-1,""),"")</f>
        <v/>
      </c>
      <c r="L3948" s="28">
        <f>IFERROR(IF(AND(ISNUMBER(D3948),ISNUMBER(E3948)),D3948-E3948,""),"")</f>
        <v/>
      </c>
    </row>
    <row r="3949">
      <c r="A3949" s="7">
        <f>IFERROR(Datos!A3949,"")</f>
        <v/>
      </c>
      <c r="B3949" s="8">
        <f>IFERROR(Datos!B3949,"")</f>
        <v/>
      </c>
      <c r="C3949" s="8">
        <f>IFERROR(Datos!C3949,"")</f>
        <v/>
      </c>
      <c r="D3949" s="28">
        <f>IFERROR(IF(AND(ISNUMBER(B3949),ISNUMBER(B3948),B3948&lt;&gt;0),B3949/B3948-1,""),"")</f>
        <v/>
      </c>
      <c r="E3949" s="28">
        <f>IFERROR(IF(AND(ISNUMBER(C3949),ISNUMBER(C3948),C3948&lt;&gt;0),C3949/C3948-1,""),"")</f>
        <v/>
      </c>
      <c r="F3949" s="28">
        <f>IFERROR(D3949-Dashboard!$B$4/252,"")</f>
        <v/>
      </c>
      <c r="G3949" s="28">
        <f>IFERROR(E3949-Dashboard!$B$4/252,"")</f>
        <v/>
      </c>
      <c r="H3949" s="8">
        <f>IFERROR(IF(ISNUMBER(B3949),MAX(B3949,IFERROR(H3948,B3949)),""),"")</f>
        <v/>
      </c>
      <c r="I3949" s="29">
        <f>IFERROR(IF(AND(ISNUMBER(B3949),ISNUMBER(H3949)),B3949/H3949-1,""),"")</f>
        <v/>
      </c>
      <c r="J3949" s="8">
        <f>IFERROR(IF(ISNUMBER(C3949),MAX(C3949,IFERROR(J3948,C3949)),""),"")</f>
        <v/>
      </c>
      <c r="K3949" s="29">
        <f>IFERROR(IF(AND(ISNUMBER(C3949),ISNUMBER(J3949)),C3949/J3949-1,""),"")</f>
        <v/>
      </c>
      <c r="L3949" s="28">
        <f>IFERROR(IF(AND(ISNUMBER(D3949),ISNUMBER(E3949)),D3949-E3949,""),"")</f>
        <v/>
      </c>
    </row>
    <row r="3950">
      <c r="A3950" s="7">
        <f>IFERROR(Datos!A3950,"")</f>
        <v/>
      </c>
      <c r="B3950" s="8">
        <f>IFERROR(Datos!B3950,"")</f>
        <v/>
      </c>
      <c r="C3950" s="8">
        <f>IFERROR(Datos!C3950,"")</f>
        <v/>
      </c>
      <c r="D3950" s="28">
        <f>IFERROR(IF(AND(ISNUMBER(B3950),ISNUMBER(B3949),B3949&lt;&gt;0),B3950/B3949-1,""),"")</f>
        <v/>
      </c>
      <c r="E3950" s="28">
        <f>IFERROR(IF(AND(ISNUMBER(C3950),ISNUMBER(C3949),C3949&lt;&gt;0),C3950/C3949-1,""),"")</f>
        <v/>
      </c>
      <c r="F3950" s="28">
        <f>IFERROR(D3950-Dashboard!$B$4/252,"")</f>
        <v/>
      </c>
      <c r="G3950" s="28">
        <f>IFERROR(E3950-Dashboard!$B$4/252,"")</f>
        <v/>
      </c>
      <c r="H3950" s="8">
        <f>IFERROR(IF(ISNUMBER(B3950),MAX(B3950,IFERROR(H3949,B3950)),""),"")</f>
        <v/>
      </c>
      <c r="I3950" s="29">
        <f>IFERROR(IF(AND(ISNUMBER(B3950),ISNUMBER(H3950)),B3950/H3950-1,""),"")</f>
        <v/>
      </c>
      <c r="J3950" s="8">
        <f>IFERROR(IF(ISNUMBER(C3950),MAX(C3950,IFERROR(J3949,C3950)),""),"")</f>
        <v/>
      </c>
      <c r="K3950" s="29">
        <f>IFERROR(IF(AND(ISNUMBER(C3950),ISNUMBER(J3950)),C3950/J3950-1,""),"")</f>
        <v/>
      </c>
      <c r="L3950" s="28">
        <f>IFERROR(IF(AND(ISNUMBER(D3950),ISNUMBER(E3950)),D3950-E3950,""),"")</f>
        <v/>
      </c>
    </row>
    <row r="3951">
      <c r="A3951" s="7">
        <f>IFERROR(Datos!A3951,"")</f>
        <v/>
      </c>
      <c r="B3951" s="8">
        <f>IFERROR(Datos!B3951,"")</f>
        <v/>
      </c>
      <c r="C3951" s="8">
        <f>IFERROR(Datos!C3951,"")</f>
        <v/>
      </c>
      <c r="D3951" s="28">
        <f>IFERROR(IF(AND(ISNUMBER(B3951),ISNUMBER(B3950),B3950&lt;&gt;0),B3951/B3950-1,""),"")</f>
        <v/>
      </c>
      <c r="E3951" s="28">
        <f>IFERROR(IF(AND(ISNUMBER(C3951),ISNUMBER(C3950),C3950&lt;&gt;0),C3951/C3950-1,""),"")</f>
        <v/>
      </c>
      <c r="F3951" s="28">
        <f>IFERROR(D3951-Dashboard!$B$4/252,"")</f>
        <v/>
      </c>
      <c r="G3951" s="28">
        <f>IFERROR(E3951-Dashboard!$B$4/252,"")</f>
        <v/>
      </c>
      <c r="H3951" s="8">
        <f>IFERROR(IF(ISNUMBER(B3951),MAX(B3951,IFERROR(H3950,B3951)),""),"")</f>
        <v/>
      </c>
      <c r="I3951" s="29">
        <f>IFERROR(IF(AND(ISNUMBER(B3951),ISNUMBER(H3951)),B3951/H3951-1,""),"")</f>
        <v/>
      </c>
      <c r="J3951" s="8">
        <f>IFERROR(IF(ISNUMBER(C3951),MAX(C3951,IFERROR(J3950,C3951)),""),"")</f>
        <v/>
      </c>
      <c r="K3951" s="29">
        <f>IFERROR(IF(AND(ISNUMBER(C3951),ISNUMBER(J3951)),C3951/J3951-1,""),"")</f>
        <v/>
      </c>
      <c r="L3951" s="28">
        <f>IFERROR(IF(AND(ISNUMBER(D3951),ISNUMBER(E3951)),D3951-E3951,""),"")</f>
        <v/>
      </c>
    </row>
    <row r="3952">
      <c r="A3952" s="7">
        <f>IFERROR(Datos!A3952,"")</f>
        <v/>
      </c>
      <c r="B3952" s="8">
        <f>IFERROR(Datos!B3952,"")</f>
        <v/>
      </c>
      <c r="C3952" s="8">
        <f>IFERROR(Datos!C3952,"")</f>
        <v/>
      </c>
      <c r="D3952" s="28">
        <f>IFERROR(IF(AND(ISNUMBER(B3952),ISNUMBER(B3951),B3951&lt;&gt;0),B3952/B3951-1,""),"")</f>
        <v/>
      </c>
      <c r="E3952" s="28">
        <f>IFERROR(IF(AND(ISNUMBER(C3952),ISNUMBER(C3951),C3951&lt;&gt;0),C3952/C3951-1,""),"")</f>
        <v/>
      </c>
      <c r="F3952" s="28">
        <f>IFERROR(D3952-Dashboard!$B$4/252,"")</f>
        <v/>
      </c>
      <c r="G3952" s="28">
        <f>IFERROR(E3952-Dashboard!$B$4/252,"")</f>
        <v/>
      </c>
      <c r="H3952" s="8">
        <f>IFERROR(IF(ISNUMBER(B3952),MAX(B3952,IFERROR(H3951,B3952)),""),"")</f>
        <v/>
      </c>
      <c r="I3952" s="29">
        <f>IFERROR(IF(AND(ISNUMBER(B3952),ISNUMBER(H3952)),B3952/H3952-1,""),"")</f>
        <v/>
      </c>
      <c r="J3952" s="8">
        <f>IFERROR(IF(ISNUMBER(C3952),MAX(C3952,IFERROR(J3951,C3952)),""),"")</f>
        <v/>
      </c>
      <c r="K3952" s="29">
        <f>IFERROR(IF(AND(ISNUMBER(C3952),ISNUMBER(J3952)),C3952/J3952-1,""),"")</f>
        <v/>
      </c>
      <c r="L3952" s="28">
        <f>IFERROR(IF(AND(ISNUMBER(D3952),ISNUMBER(E3952)),D3952-E3952,""),"")</f>
        <v/>
      </c>
    </row>
    <row r="3953">
      <c r="A3953" s="7">
        <f>IFERROR(Datos!A3953,"")</f>
        <v/>
      </c>
      <c r="B3953" s="8">
        <f>IFERROR(Datos!B3953,"")</f>
        <v/>
      </c>
      <c r="C3953" s="8">
        <f>IFERROR(Datos!C3953,"")</f>
        <v/>
      </c>
      <c r="D3953" s="28">
        <f>IFERROR(IF(AND(ISNUMBER(B3953),ISNUMBER(B3952),B3952&lt;&gt;0),B3953/B3952-1,""),"")</f>
        <v/>
      </c>
      <c r="E3953" s="28">
        <f>IFERROR(IF(AND(ISNUMBER(C3953),ISNUMBER(C3952),C3952&lt;&gt;0),C3953/C3952-1,""),"")</f>
        <v/>
      </c>
      <c r="F3953" s="28">
        <f>IFERROR(D3953-Dashboard!$B$4/252,"")</f>
        <v/>
      </c>
      <c r="G3953" s="28">
        <f>IFERROR(E3953-Dashboard!$B$4/252,"")</f>
        <v/>
      </c>
      <c r="H3953" s="8">
        <f>IFERROR(IF(ISNUMBER(B3953),MAX(B3953,IFERROR(H3952,B3953)),""),"")</f>
        <v/>
      </c>
      <c r="I3953" s="29">
        <f>IFERROR(IF(AND(ISNUMBER(B3953),ISNUMBER(H3953)),B3953/H3953-1,""),"")</f>
        <v/>
      </c>
      <c r="J3953" s="8">
        <f>IFERROR(IF(ISNUMBER(C3953),MAX(C3953,IFERROR(J3952,C3953)),""),"")</f>
        <v/>
      </c>
      <c r="K3953" s="29">
        <f>IFERROR(IF(AND(ISNUMBER(C3953),ISNUMBER(J3953)),C3953/J3953-1,""),"")</f>
        <v/>
      </c>
      <c r="L3953" s="28">
        <f>IFERROR(IF(AND(ISNUMBER(D3953),ISNUMBER(E3953)),D3953-E3953,""),"")</f>
        <v/>
      </c>
    </row>
    <row r="3954">
      <c r="A3954" s="7">
        <f>IFERROR(Datos!A3954,"")</f>
        <v/>
      </c>
      <c r="B3954" s="8">
        <f>IFERROR(Datos!B3954,"")</f>
        <v/>
      </c>
      <c r="C3954" s="8">
        <f>IFERROR(Datos!C3954,"")</f>
        <v/>
      </c>
      <c r="D3954" s="28">
        <f>IFERROR(IF(AND(ISNUMBER(B3954),ISNUMBER(B3953),B3953&lt;&gt;0),B3954/B3953-1,""),"")</f>
        <v/>
      </c>
      <c r="E3954" s="28">
        <f>IFERROR(IF(AND(ISNUMBER(C3954),ISNUMBER(C3953),C3953&lt;&gt;0),C3954/C3953-1,""),"")</f>
        <v/>
      </c>
      <c r="F3954" s="28">
        <f>IFERROR(D3954-Dashboard!$B$4/252,"")</f>
        <v/>
      </c>
      <c r="G3954" s="28">
        <f>IFERROR(E3954-Dashboard!$B$4/252,"")</f>
        <v/>
      </c>
      <c r="H3954" s="8">
        <f>IFERROR(IF(ISNUMBER(B3954),MAX(B3954,IFERROR(H3953,B3954)),""),"")</f>
        <v/>
      </c>
      <c r="I3954" s="29">
        <f>IFERROR(IF(AND(ISNUMBER(B3954),ISNUMBER(H3954)),B3954/H3954-1,""),"")</f>
        <v/>
      </c>
      <c r="J3954" s="8">
        <f>IFERROR(IF(ISNUMBER(C3954),MAX(C3954,IFERROR(J3953,C3954)),""),"")</f>
        <v/>
      </c>
      <c r="K3954" s="29">
        <f>IFERROR(IF(AND(ISNUMBER(C3954),ISNUMBER(J3954)),C3954/J3954-1,""),"")</f>
        <v/>
      </c>
      <c r="L3954" s="28">
        <f>IFERROR(IF(AND(ISNUMBER(D3954),ISNUMBER(E3954)),D3954-E3954,""),"")</f>
        <v/>
      </c>
    </row>
    <row r="3955">
      <c r="A3955" s="7">
        <f>IFERROR(Datos!A3955,"")</f>
        <v/>
      </c>
      <c r="B3955" s="8">
        <f>IFERROR(Datos!B3955,"")</f>
        <v/>
      </c>
      <c r="C3955" s="8">
        <f>IFERROR(Datos!C3955,"")</f>
        <v/>
      </c>
      <c r="D3955" s="28">
        <f>IFERROR(IF(AND(ISNUMBER(B3955),ISNUMBER(B3954),B3954&lt;&gt;0),B3955/B3954-1,""),"")</f>
        <v/>
      </c>
      <c r="E3955" s="28">
        <f>IFERROR(IF(AND(ISNUMBER(C3955),ISNUMBER(C3954),C3954&lt;&gt;0),C3955/C3954-1,""),"")</f>
        <v/>
      </c>
      <c r="F3955" s="28">
        <f>IFERROR(D3955-Dashboard!$B$4/252,"")</f>
        <v/>
      </c>
      <c r="G3955" s="28">
        <f>IFERROR(E3955-Dashboard!$B$4/252,"")</f>
        <v/>
      </c>
      <c r="H3955" s="8">
        <f>IFERROR(IF(ISNUMBER(B3955),MAX(B3955,IFERROR(H3954,B3955)),""),"")</f>
        <v/>
      </c>
      <c r="I3955" s="29">
        <f>IFERROR(IF(AND(ISNUMBER(B3955),ISNUMBER(H3955)),B3955/H3955-1,""),"")</f>
        <v/>
      </c>
      <c r="J3955" s="8">
        <f>IFERROR(IF(ISNUMBER(C3955),MAX(C3955,IFERROR(J3954,C3955)),""),"")</f>
        <v/>
      </c>
      <c r="K3955" s="29">
        <f>IFERROR(IF(AND(ISNUMBER(C3955),ISNUMBER(J3955)),C3955/J3955-1,""),"")</f>
        <v/>
      </c>
      <c r="L3955" s="28">
        <f>IFERROR(IF(AND(ISNUMBER(D3955),ISNUMBER(E3955)),D3955-E3955,""),"")</f>
        <v/>
      </c>
    </row>
    <row r="3956">
      <c r="A3956" s="7">
        <f>IFERROR(Datos!A3956,"")</f>
        <v/>
      </c>
      <c r="B3956" s="8">
        <f>IFERROR(Datos!B3956,"")</f>
        <v/>
      </c>
      <c r="C3956" s="8">
        <f>IFERROR(Datos!C3956,"")</f>
        <v/>
      </c>
      <c r="D3956" s="28">
        <f>IFERROR(IF(AND(ISNUMBER(B3956),ISNUMBER(B3955),B3955&lt;&gt;0),B3956/B3955-1,""),"")</f>
        <v/>
      </c>
      <c r="E3956" s="28">
        <f>IFERROR(IF(AND(ISNUMBER(C3956),ISNUMBER(C3955),C3955&lt;&gt;0),C3956/C3955-1,""),"")</f>
        <v/>
      </c>
      <c r="F3956" s="28">
        <f>IFERROR(D3956-Dashboard!$B$4/252,"")</f>
        <v/>
      </c>
      <c r="G3956" s="28">
        <f>IFERROR(E3956-Dashboard!$B$4/252,"")</f>
        <v/>
      </c>
      <c r="H3956" s="8">
        <f>IFERROR(IF(ISNUMBER(B3956),MAX(B3956,IFERROR(H3955,B3956)),""),"")</f>
        <v/>
      </c>
      <c r="I3956" s="29">
        <f>IFERROR(IF(AND(ISNUMBER(B3956),ISNUMBER(H3956)),B3956/H3956-1,""),"")</f>
        <v/>
      </c>
      <c r="J3956" s="8">
        <f>IFERROR(IF(ISNUMBER(C3956),MAX(C3956,IFERROR(J3955,C3956)),""),"")</f>
        <v/>
      </c>
      <c r="K3956" s="29">
        <f>IFERROR(IF(AND(ISNUMBER(C3956),ISNUMBER(J3956)),C3956/J3956-1,""),"")</f>
        <v/>
      </c>
      <c r="L3956" s="28">
        <f>IFERROR(IF(AND(ISNUMBER(D3956),ISNUMBER(E3956)),D3956-E3956,""),"")</f>
        <v/>
      </c>
    </row>
    <row r="3957">
      <c r="A3957" s="7">
        <f>IFERROR(Datos!A3957,"")</f>
        <v/>
      </c>
      <c r="B3957" s="8">
        <f>IFERROR(Datos!B3957,"")</f>
        <v/>
      </c>
      <c r="C3957" s="8">
        <f>IFERROR(Datos!C3957,"")</f>
        <v/>
      </c>
      <c r="D3957" s="28">
        <f>IFERROR(IF(AND(ISNUMBER(B3957),ISNUMBER(B3956),B3956&lt;&gt;0),B3957/B3956-1,""),"")</f>
        <v/>
      </c>
      <c r="E3957" s="28">
        <f>IFERROR(IF(AND(ISNUMBER(C3957),ISNUMBER(C3956),C3956&lt;&gt;0),C3957/C3956-1,""),"")</f>
        <v/>
      </c>
      <c r="F3957" s="28">
        <f>IFERROR(D3957-Dashboard!$B$4/252,"")</f>
        <v/>
      </c>
      <c r="G3957" s="28">
        <f>IFERROR(E3957-Dashboard!$B$4/252,"")</f>
        <v/>
      </c>
      <c r="H3957" s="8">
        <f>IFERROR(IF(ISNUMBER(B3957),MAX(B3957,IFERROR(H3956,B3957)),""),"")</f>
        <v/>
      </c>
      <c r="I3957" s="29">
        <f>IFERROR(IF(AND(ISNUMBER(B3957),ISNUMBER(H3957)),B3957/H3957-1,""),"")</f>
        <v/>
      </c>
      <c r="J3957" s="8">
        <f>IFERROR(IF(ISNUMBER(C3957),MAX(C3957,IFERROR(J3956,C3957)),""),"")</f>
        <v/>
      </c>
      <c r="K3957" s="29">
        <f>IFERROR(IF(AND(ISNUMBER(C3957),ISNUMBER(J3957)),C3957/J3957-1,""),"")</f>
        <v/>
      </c>
      <c r="L3957" s="28">
        <f>IFERROR(IF(AND(ISNUMBER(D3957),ISNUMBER(E3957)),D3957-E3957,""),"")</f>
        <v/>
      </c>
    </row>
    <row r="3958">
      <c r="A3958" s="7">
        <f>IFERROR(Datos!A3958,"")</f>
        <v/>
      </c>
      <c r="B3958" s="8">
        <f>IFERROR(Datos!B3958,"")</f>
        <v/>
      </c>
      <c r="C3958" s="8">
        <f>IFERROR(Datos!C3958,"")</f>
        <v/>
      </c>
      <c r="D3958" s="28">
        <f>IFERROR(IF(AND(ISNUMBER(B3958),ISNUMBER(B3957),B3957&lt;&gt;0),B3958/B3957-1,""),"")</f>
        <v/>
      </c>
      <c r="E3958" s="28">
        <f>IFERROR(IF(AND(ISNUMBER(C3958),ISNUMBER(C3957),C3957&lt;&gt;0),C3958/C3957-1,""),"")</f>
        <v/>
      </c>
      <c r="F3958" s="28">
        <f>IFERROR(D3958-Dashboard!$B$4/252,"")</f>
        <v/>
      </c>
      <c r="G3958" s="28">
        <f>IFERROR(E3958-Dashboard!$B$4/252,"")</f>
        <v/>
      </c>
      <c r="H3958" s="8">
        <f>IFERROR(IF(ISNUMBER(B3958),MAX(B3958,IFERROR(H3957,B3958)),""),"")</f>
        <v/>
      </c>
      <c r="I3958" s="29">
        <f>IFERROR(IF(AND(ISNUMBER(B3958),ISNUMBER(H3958)),B3958/H3958-1,""),"")</f>
        <v/>
      </c>
      <c r="J3958" s="8">
        <f>IFERROR(IF(ISNUMBER(C3958),MAX(C3958,IFERROR(J3957,C3958)),""),"")</f>
        <v/>
      </c>
      <c r="K3958" s="29">
        <f>IFERROR(IF(AND(ISNUMBER(C3958),ISNUMBER(J3958)),C3958/J3958-1,""),"")</f>
        <v/>
      </c>
      <c r="L3958" s="28">
        <f>IFERROR(IF(AND(ISNUMBER(D3958),ISNUMBER(E3958)),D3958-E3958,""),"")</f>
        <v/>
      </c>
    </row>
    <row r="3959">
      <c r="A3959" s="7">
        <f>IFERROR(Datos!A3959,"")</f>
        <v/>
      </c>
      <c r="B3959" s="8">
        <f>IFERROR(Datos!B3959,"")</f>
        <v/>
      </c>
      <c r="C3959" s="8">
        <f>IFERROR(Datos!C3959,"")</f>
        <v/>
      </c>
      <c r="D3959" s="28">
        <f>IFERROR(IF(AND(ISNUMBER(B3959),ISNUMBER(B3958),B3958&lt;&gt;0),B3959/B3958-1,""),"")</f>
        <v/>
      </c>
      <c r="E3959" s="28">
        <f>IFERROR(IF(AND(ISNUMBER(C3959),ISNUMBER(C3958),C3958&lt;&gt;0),C3959/C3958-1,""),"")</f>
        <v/>
      </c>
      <c r="F3959" s="28">
        <f>IFERROR(D3959-Dashboard!$B$4/252,"")</f>
        <v/>
      </c>
      <c r="G3959" s="28">
        <f>IFERROR(E3959-Dashboard!$B$4/252,"")</f>
        <v/>
      </c>
      <c r="H3959" s="8">
        <f>IFERROR(IF(ISNUMBER(B3959),MAX(B3959,IFERROR(H3958,B3959)),""),"")</f>
        <v/>
      </c>
      <c r="I3959" s="29">
        <f>IFERROR(IF(AND(ISNUMBER(B3959),ISNUMBER(H3959)),B3959/H3959-1,""),"")</f>
        <v/>
      </c>
      <c r="J3959" s="8">
        <f>IFERROR(IF(ISNUMBER(C3959),MAX(C3959,IFERROR(J3958,C3959)),""),"")</f>
        <v/>
      </c>
      <c r="K3959" s="29">
        <f>IFERROR(IF(AND(ISNUMBER(C3959),ISNUMBER(J3959)),C3959/J3959-1,""),"")</f>
        <v/>
      </c>
      <c r="L3959" s="28">
        <f>IFERROR(IF(AND(ISNUMBER(D3959),ISNUMBER(E3959)),D3959-E3959,""),"")</f>
        <v/>
      </c>
    </row>
    <row r="3960">
      <c r="A3960" s="7">
        <f>IFERROR(Datos!A3960,"")</f>
        <v/>
      </c>
      <c r="B3960" s="8">
        <f>IFERROR(Datos!B3960,"")</f>
        <v/>
      </c>
      <c r="C3960" s="8">
        <f>IFERROR(Datos!C3960,"")</f>
        <v/>
      </c>
      <c r="D3960" s="28">
        <f>IFERROR(IF(AND(ISNUMBER(B3960),ISNUMBER(B3959),B3959&lt;&gt;0),B3960/B3959-1,""),"")</f>
        <v/>
      </c>
      <c r="E3960" s="28">
        <f>IFERROR(IF(AND(ISNUMBER(C3960),ISNUMBER(C3959),C3959&lt;&gt;0),C3960/C3959-1,""),"")</f>
        <v/>
      </c>
      <c r="F3960" s="28">
        <f>IFERROR(D3960-Dashboard!$B$4/252,"")</f>
        <v/>
      </c>
      <c r="G3960" s="28">
        <f>IFERROR(E3960-Dashboard!$B$4/252,"")</f>
        <v/>
      </c>
      <c r="H3960" s="8">
        <f>IFERROR(IF(ISNUMBER(B3960),MAX(B3960,IFERROR(H3959,B3960)),""),"")</f>
        <v/>
      </c>
      <c r="I3960" s="29">
        <f>IFERROR(IF(AND(ISNUMBER(B3960),ISNUMBER(H3960)),B3960/H3960-1,""),"")</f>
        <v/>
      </c>
      <c r="J3960" s="8">
        <f>IFERROR(IF(ISNUMBER(C3960),MAX(C3960,IFERROR(J3959,C3960)),""),"")</f>
        <v/>
      </c>
      <c r="K3960" s="29">
        <f>IFERROR(IF(AND(ISNUMBER(C3960),ISNUMBER(J3960)),C3960/J3960-1,""),"")</f>
        <v/>
      </c>
      <c r="L3960" s="28">
        <f>IFERROR(IF(AND(ISNUMBER(D3960),ISNUMBER(E3960)),D3960-E3960,""),"")</f>
        <v/>
      </c>
    </row>
    <row r="3961">
      <c r="A3961" s="7">
        <f>IFERROR(Datos!A3961,"")</f>
        <v/>
      </c>
      <c r="B3961" s="8">
        <f>IFERROR(Datos!B3961,"")</f>
        <v/>
      </c>
      <c r="C3961" s="8">
        <f>IFERROR(Datos!C3961,"")</f>
        <v/>
      </c>
      <c r="D3961" s="28">
        <f>IFERROR(IF(AND(ISNUMBER(B3961),ISNUMBER(B3960),B3960&lt;&gt;0),B3961/B3960-1,""),"")</f>
        <v/>
      </c>
      <c r="E3961" s="28">
        <f>IFERROR(IF(AND(ISNUMBER(C3961),ISNUMBER(C3960),C3960&lt;&gt;0),C3961/C3960-1,""),"")</f>
        <v/>
      </c>
      <c r="F3961" s="28">
        <f>IFERROR(D3961-Dashboard!$B$4/252,"")</f>
        <v/>
      </c>
      <c r="G3961" s="28">
        <f>IFERROR(E3961-Dashboard!$B$4/252,"")</f>
        <v/>
      </c>
      <c r="H3961" s="8">
        <f>IFERROR(IF(ISNUMBER(B3961),MAX(B3961,IFERROR(H3960,B3961)),""),"")</f>
        <v/>
      </c>
      <c r="I3961" s="29">
        <f>IFERROR(IF(AND(ISNUMBER(B3961),ISNUMBER(H3961)),B3961/H3961-1,""),"")</f>
        <v/>
      </c>
      <c r="J3961" s="8">
        <f>IFERROR(IF(ISNUMBER(C3961),MAX(C3961,IFERROR(J3960,C3961)),""),"")</f>
        <v/>
      </c>
      <c r="K3961" s="29">
        <f>IFERROR(IF(AND(ISNUMBER(C3961),ISNUMBER(J3961)),C3961/J3961-1,""),"")</f>
        <v/>
      </c>
      <c r="L3961" s="28">
        <f>IFERROR(IF(AND(ISNUMBER(D3961),ISNUMBER(E3961)),D3961-E3961,""),"")</f>
        <v/>
      </c>
    </row>
    <row r="3962">
      <c r="A3962" s="7">
        <f>IFERROR(Datos!A3962,"")</f>
        <v/>
      </c>
      <c r="B3962" s="8">
        <f>IFERROR(Datos!B3962,"")</f>
        <v/>
      </c>
      <c r="C3962" s="8">
        <f>IFERROR(Datos!C3962,"")</f>
        <v/>
      </c>
      <c r="D3962" s="28">
        <f>IFERROR(IF(AND(ISNUMBER(B3962),ISNUMBER(B3961),B3961&lt;&gt;0),B3962/B3961-1,""),"")</f>
        <v/>
      </c>
      <c r="E3962" s="28">
        <f>IFERROR(IF(AND(ISNUMBER(C3962),ISNUMBER(C3961),C3961&lt;&gt;0),C3962/C3961-1,""),"")</f>
        <v/>
      </c>
      <c r="F3962" s="28">
        <f>IFERROR(D3962-Dashboard!$B$4/252,"")</f>
        <v/>
      </c>
      <c r="G3962" s="28">
        <f>IFERROR(E3962-Dashboard!$B$4/252,"")</f>
        <v/>
      </c>
      <c r="H3962" s="8">
        <f>IFERROR(IF(ISNUMBER(B3962),MAX(B3962,IFERROR(H3961,B3962)),""),"")</f>
        <v/>
      </c>
      <c r="I3962" s="29">
        <f>IFERROR(IF(AND(ISNUMBER(B3962),ISNUMBER(H3962)),B3962/H3962-1,""),"")</f>
        <v/>
      </c>
      <c r="J3962" s="8">
        <f>IFERROR(IF(ISNUMBER(C3962),MAX(C3962,IFERROR(J3961,C3962)),""),"")</f>
        <v/>
      </c>
      <c r="K3962" s="29">
        <f>IFERROR(IF(AND(ISNUMBER(C3962),ISNUMBER(J3962)),C3962/J3962-1,""),"")</f>
        <v/>
      </c>
      <c r="L3962" s="28">
        <f>IFERROR(IF(AND(ISNUMBER(D3962),ISNUMBER(E3962)),D3962-E3962,""),"")</f>
        <v/>
      </c>
    </row>
    <row r="3963">
      <c r="A3963" s="7">
        <f>IFERROR(Datos!A3963,"")</f>
        <v/>
      </c>
      <c r="B3963" s="8">
        <f>IFERROR(Datos!B3963,"")</f>
        <v/>
      </c>
      <c r="C3963" s="8">
        <f>IFERROR(Datos!C3963,"")</f>
        <v/>
      </c>
      <c r="D3963" s="28">
        <f>IFERROR(IF(AND(ISNUMBER(B3963),ISNUMBER(B3962),B3962&lt;&gt;0),B3963/B3962-1,""),"")</f>
        <v/>
      </c>
      <c r="E3963" s="28">
        <f>IFERROR(IF(AND(ISNUMBER(C3963),ISNUMBER(C3962),C3962&lt;&gt;0),C3963/C3962-1,""),"")</f>
        <v/>
      </c>
      <c r="F3963" s="28">
        <f>IFERROR(D3963-Dashboard!$B$4/252,"")</f>
        <v/>
      </c>
      <c r="G3963" s="28">
        <f>IFERROR(E3963-Dashboard!$B$4/252,"")</f>
        <v/>
      </c>
      <c r="H3963" s="8">
        <f>IFERROR(IF(ISNUMBER(B3963),MAX(B3963,IFERROR(H3962,B3963)),""),"")</f>
        <v/>
      </c>
      <c r="I3963" s="29">
        <f>IFERROR(IF(AND(ISNUMBER(B3963),ISNUMBER(H3963)),B3963/H3963-1,""),"")</f>
        <v/>
      </c>
      <c r="J3963" s="8">
        <f>IFERROR(IF(ISNUMBER(C3963),MAX(C3963,IFERROR(J3962,C3963)),""),"")</f>
        <v/>
      </c>
      <c r="K3963" s="29">
        <f>IFERROR(IF(AND(ISNUMBER(C3963),ISNUMBER(J3963)),C3963/J3963-1,""),"")</f>
        <v/>
      </c>
      <c r="L3963" s="28">
        <f>IFERROR(IF(AND(ISNUMBER(D3963),ISNUMBER(E3963)),D3963-E3963,""),"")</f>
        <v/>
      </c>
    </row>
    <row r="3964">
      <c r="A3964" s="7">
        <f>IFERROR(Datos!A3964,"")</f>
        <v/>
      </c>
      <c r="B3964" s="8">
        <f>IFERROR(Datos!B3964,"")</f>
        <v/>
      </c>
      <c r="C3964" s="8">
        <f>IFERROR(Datos!C3964,"")</f>
        <v/>
      </c>
      <c r="D3964" s="28">
        <f>IFERROR(IF(AND(ISNUMBER(B3964),ISNUMBER(B3963),B3963&lt;&gt;0),B3964/B3963-1,""),"")</f>
        <v/>
      </c>
      <c r="E3964" s="28">
        <f>IFERROR(IF(AND(ISNUMBER(C3964),ISNUMBER(C3963),C3963&lt;&gt;0),C3964/C3963-1,""),"")</f>
        <v/>
      </c>
      <c r="F3964" s="28">
        <f>IFERROR(D3964-Dashboard!$B$4/252,"")</f>
        <v/>
      </c>
      <c r="G3964" s="28">
        <f>IFERROR(E3964-Dashboard!$B$4/252,"")</f>
        <v/>
      </c>
      <c r="H3964" s="8">
        <f>IFERROR(IF(ISNUMBER(B3964),MAX(B3964,IFERROR(H3963,B3964)),""),"")</f>
        <v/>
      </c>
      <c r="I3964" s="29">
        <f>IFERROR(IF(AND(ISNUMBER(B3964),ISNUMBER(H3964)),B3964/H3964-1,""),"")</f>
        <v/>
      </c>
      <c r="J3964" s="8">
        <f>IFERROR(IF(ISNUMBER(C3964),MAX(C3964,IFERROR(J3963,C3964)),""),"")</f>
        <v/>
      </c>
      <c r="K3964" s="29">
        <f>IFERROR(IF(AND(ISNUMBER(C3964),ISNUMBER(J3964)),C3964/J3964-1,""),"")</f>
        <v/>
      </c>
      <c r="L3964" s="28">
        <f>IFERROR(IF(AND(ISNUMBER(D3964),ISNUMBER(E3964)),D3964-E3964,""),"")</f>
        <v/>
      </c>
    </row>
    <row r="3965">
      <c r="A3965" s="7">
        <f>IFERROR(Datos!A3965,"")</f>
        <v/>
      </c>
      <c r="B3965" s="8">
        <f>IFERROR(Datos!B3965,"")</f>
        <v/>
      </c>
      <c r="C3965" s="8">
        <f>IFERROR(Datos!C3965,"")</f>
        <v/>
      </c>
      <c r="D3965" s="28">
        <f>IFERROR(IF(AND(ISNUMBER(B3965),ISNUMBER(B3964),B3964&lt;&gt;0),B3965/B3964-1,""),"")</f>
        <v/>
      </c>
      <c r="E3965" s="28">
        <f>IFERROR(IF(AND(ISNUMBER(C3965),ISNUMBER(C3964),C3964&lt;&gt;0),C3965/C3964-1,""),"")</f>
        <v/>
      </c>
      <c r="F3965" s="28">
        <f>IFERROR(D3965-Dashboard!$B$4/252,"")</f>
        <v/>
      </c>
      <c r="G3965" s="28">
        <f>IFERROR(E3965-Dashboard!$B$4/252,"")</f>
        <v/>
      </c>
      <c r="H3965" s="8">
        <f>IFERROR(IF(ISNUMBER(B3965),MAX(B3965,IFERROR(H3964,B3965)),""),"")</f>
        <v/>
      </c>
      <c r="I3965" s="29">
        <f>IFERROR(IF(AND(ISNUMBER(B3965),ISNUMBER(H3965)),B3965/H3965-1,""),"")</f>
        <v/>
      </c>
      <c r="J3965" s="8">
        <f>IFERROR(IF(ISNUMBER(C3965),MAX(C3965,IFERROR(J3964,C3965)),""),"")</f>
        <v/>
      </c>
      <c r="K3965" s="29">
        <f>IFERROR(IF(AND(ISNUMBER(C3965),ISNUMBER(J3965)),C3965/J3965-1,""),"")</f>
        <v/>
      </c>
      <c r="L3965" s="28">
        <f>IFERROR(IF(AND(ISNUMBER(D3965),ISNUMBER(E3965)),D3965-E3965,""),"")</f>
        <v/>
      </c>
    </row>
    <row r="3966">
      <c r="A3966" s="7">
        <f>IFERROR(Datos!A3966,"")</f>
        <v/>
      </c>
      <c r="B3966" s="8">
        <f>IFERROR(Datos!B3966,"")</f>
        <v/>
      </c>
      <c r="C3966" s="8">
        <f>IFERROR(Datos!C3966,"")</f>
        <v/>
      </c>
      <c r="D3966" s="28">
        <f>IFERROR(IF(AND(ISNUMBER(B3966),ISNUMBER(B3965),B3965&lt;&gt;0),B3966/B3965-1,""),"")</f>
        <v/>
      </c>
      <c r="E3966" s="28">
        <f>IFERROR(IF(AND(ISNUMBER(C3966),ISNUMBER(C3965),C3965&lt;&gt;0),C3966/C3965-1,""),"")</f>
        <v/>
      </c>
      <c r="F3966" s="28">
        <f>IFERROR(D3966-Dashboard!$B$4/252,"")</f>
        <v/>
      </c>
      <c r="G3966" s="28">
        <f>IFERROR(E3966-Dashboard!$B$4/252,"")</f>
        <v/>
      </c>
      <c r="H3966" s="8">
        <f>IFERROR(IF(ISNUMBER(B3966),MAX(B3966,IFERROR(H3965,B3966)),""),"")</f>
        <v/>
      </c>
      <c r="I3966" s="29">
        <f>IFERROR(IF(AND(ISNUMBER(B3966),ISNUMBER(H3966)),B3966/H3966-1,""),"")</f>
        <v/>
      </c>
      <c r="J3966" s="8">
        <f>IFERROR(IF(ISNUMBER(C3966),MAX(C3966,IFERROR(J3965,C3966)),""),"")</f>
        <v/>
      </c>
      <c r="K3966" s="29">
        <f>IFERROR(IF(AND(ISNUMBER(C3966),ISNUMBER(J3966)),C3966/J3966-1,""),"")</f>
        <v/>
      </c>
      <c r="L3966" s="28">
        <f>IFERROR(IF(AND(ISNUMBER(D3966),ISNUMBER(E3966)),D3966-E3966,""),"")</f>
        <v/>
      </c>
    </row>
    <row r="3967">
      <c r="A3967" s="7">
        <f>IFERROR(Datos!A3967,"")</f>
        <v/>
      </c>
      <c r="B3967" s="8">
        <f>IFERROR(Datos!B3967,"")</f>
        <v/>
      </c>
      <c r="C3967" s="8">
        <f>IFERROR(Datos!C3967,"")</f>
        <v/>
      </c>
      <c r="D3967" s="28">
        <f>IFERROR(IF(AND(ISNUMBER(B3967),ISNUMBER(B3966),B3966&lt;&gt;0),B3967/B3966-1,""),"")</f>
        <v/>
      </c>
      <c r="E3967" s="28">
        <f>IFERROR(IF(AND(ISNUMBER(C3967),ISNUMBER(C3966),C3966&lt;&gt;0),C3967/C3966-1,""),"")</f>
        <v/>
      </c>
      <c r="F3967" s="28">
        <f>IFERROR(D3967-Dashboard!$B$4/252,"")</f>
        <v/>
      </c>
      <c r="G3967" s="28">
        <f>IFERROR(E3967-Dashboard!$B$4/252,"")</f>
        <v/>
      </c>
      <c r="H3967" s="8">
        <f>IFERROR(IF(ISNUMBER(B3967),MAX(B3967,IFERROR(H3966,B3967)),""),"")</f>
        <v/>
      </c>
      <c r="I3967" s="29">
        <f>IFERROR(IF(AND(ISNUMBER(B3967),ISNUMBER(H3967)),B3967/H3967-1,""),"")</f>
        <v/>
      </c>
      <c r="J3967" s="8">
        <f>IFERROR(IF(ISNUMBER(C3967),MAX(C3967,IFERROR(J3966,C3967)),""),"")</f>
        <v/>
      </c>
      <c r="K3967" s="29">
        <f>IFERROR(IF(AND(ISNUMBER(C3967),ISNUMBER(J3967)),C3967/J3967-1,""),"")</f>
        <v/>
      </c>
      <c r="L3967" s="28">
        <f>IFERROR(IF(AND(ISNUMBER(D3967),ISNUMBER(E3967)),D3967-E3967,""),"")</f>
        <v/>
      </c>
    </row>
    <row r="3968">
      <c r="A3968" s="7">
        <f>IFERROR(Datos!A3968,"")</f>
        <v/>
      </c>
      <c r="B3968" s="8">
        <f>IFERROR(Datos!B3968,"")</f>
        <v/>
      </c>
      <c r="C3968" s="8">
        <f>IFERROR(Datos!C3968,"")</f>
        <v/>
      </c>
      <c r="D3968" s="28">
        <f>IFERROR(IF(AND(ISNUMBER(B3968),ISNUMBER(B3967),B3967&lt;&gt;0),B3968/B3967-1,""),"")</f>
        <v/>
      </c>
      <c r="E3968" s="28">
        <f>IFERROR(IF(AND(ISNUMBER(C3968),ISNUMBER(C3967),C3967&lt;&gt;0),C3968/C3967-1,""),"")</f>
        <v/>
      </c>
      <c r="F3968" s="28">
        <f>IFERROR(D3968-Dashboard!$B$4/252,"")</f>
        <v/>
      </c>
      <c r="G3968" s="28">
        <f>IFERROR(E3968-Dashboard!$B$4/252,"")</f>
        <v/>
      </c>
      <c r="H3968" s="8">
        <f>IFERROR(IF(ISNUMBER(B3968),MAX(B3968,IFERROR(H3967,B3968)),""),"")</f>
        <v/>
      </c>
      <c r="I3968" s="29">
        <f>IFERROR(IF(AND(ISNUMBER(B3968),ISNUMBER(H3968)),B3968/H3968-1,""),"")</f>
        <v/>
      </c>
      <c r="J3968" s="8">
        <f>IFERROR(IF(ISNUMBER(C3968),MAX(C3968,IFERROR(J3967,C3968)),""),"")</f>
        <v/>
      </c>
      <c r="K3968" s="29">
        <f>IFERROR(IF(AND(ISNUMBER(C3968),ISNUMBER(J3968)),C3968/J3968-1,""),"")</f>
        <v/>
      </c>
      <c r="L3968" s="28">
        <f>IFERROR(IF(AND(ISNUMBER(D3968),ISNUMBER(E3968)),D3968-E3968,""),"")</f>
        <v/>
      </c>
    </row>
    <row r="3969">
      <c r="A3969" s="7">
        <f>IFERROR(Datos!A3969,"")</f>
        <v/>
      </c>
      <c r="B3969" s="8">
        <f>IFERROR(Datos!B3969,"")</f>
        <v/>
      </c>
      <c r="C3969" s="8">
        <f>IFERROR(Datos!C3969,"")</f>
        <v/>
      </c>
      <c r="D3969" s="28">
        <f>IFERROR(IF(AND(ISNUMBER(B3969),ISNUMBER(B3968),B3968&lt;&gt;0),B3969/B3968-1,""),"")</f>
        <v/>
      </c>
      <c r="E3969" s="28">
        <f>IFERROR(IF(AND(ISNUMBER(C3969),ISNUMBER(C3968),C3968&lt;&gt;0),C3969/C3968-1,""),"")</f>
        <v/>
      </c>
      <c r="F3969" s="28">
        <f>IFERROR(D3969-Dashboard!$B$4/252,"")</f>
        <v/>
      </c>
      <c r="G3969" s="28">
        <f>IFERROR(E3969-Dashboard!$B$4/252,"")</f>
        <v/>
      </c>
      <c r="H3969" s="8">
        <f>IFERROR(IF(ISNUMBER(B3969),MAX(B3969,IFERROR(H3968,B3969)),""),"")</f>
        <v/>
      </c>
      <c r="I3969" s="29">
        <f>IFERROR(IF(AND(ISNUMBER(B3969),ISNUMBER(H3969)),B3969/H3969-1,""),"")</f>
        <v/>
      </c>
      <c r="J3969" s="8">
        <f>IFERROR(IF(ISNUMBER(C3969),MAX(C3969,IFERROR(J3968,C3969)),""),"")</f>
        <v/>
      </c>
      <c r="K3969" s="29">
        <f>IFERROR(IF(AND(ISNUMBER(C3969),ISNUMBER(J3969)),C3969/J3969-1,""),"")</f>
        <v/>
      </c>
      <c r="L3969" s="28">
        <f>IFERROR(IF(AND(ISNUMBER(D3969),ISNUMBER(E3969)),D3969-E3969,""),"")</f>
        <v/>
      </c>
    </row>
    <row r="3970">
      <c r="A3970" s="7">
        <f>IFERROR(Datos!A3970,"")</f>
        <v/>
      </c>
      <c r="B3970" s="8">
        <f>IFERROR(Datos!B3970,"")</f>
        <v/>
      </c>
      <c r="C3970" s="8">
        <f>IFERROR(Datos!C3970,"")</f>
        <v/>
      </c>
      <c r="D3970" s="28">
        <f>IFERROR(IF(AND(ISNUMBER(B3970),ISNUMBER(B3969),B3969&lt;&gt;0),B3970/B3969-1,""),"")</f>
        <v/>
      </c>
      <c r="E3970" s="28">
        <f>IFERROR(IF(AND(ISNUMBER(C3970),ISNUMBER(C3969),C3969&lt;&gt;0),C3970/C3969-1,""),"")</f>
        <v/>
      </c>
      <c r="F3970" s="28">
        <f>IFERROR(D3970-Dashboard!$B$4/252,"")</f>
        <v/>
      </c>
      <c r="G3970" s="28">
        <f>IFERROR(E3970-Dashboard!$B$4/252,"")</f>
        <v/>
      </c>
      <c r="H3970" s="8">
        <f>IFERROR(IF(ISNUMBER(B3970),MAX(B3970,IFERROR(H3969,B3970)),""),"")</f>
        <v/>
      </c>
      <c r="I3970" s="29">
        <f>IFERROR(IF(AND(ISNUMBER(B3970),ISNUMBER(H3970)),B3970/H3970-1,""),"")</f>
        <v/>
      </c>
      <c r="J3970" s="8">
        <f>IFERROR(IF(ISNUMBER(C3970),MAX(C3970,IFERROR(J3969,C3970)),""),"")</f>
        <v/>
      </c>
      <c r="K3970" s="29">
        <f>IFERROR(IF(AND(ISNUMBER(C3970),ISNUMBER(J3970)),C3970/J3970-1,""),"")</f>
        <v/>
      </c>
      <c r="L3970" s="28">
        <f>IFERROR(IF(AND(ISNUMBER(D3970),ISNUMBER(E3970)),D3970-E3970,""),"")</f>
        <v/>
      </c>
    </row>
    <row r="3971">
      <c r="A3971" s="7">
        <f>IFERROR(Datos!A3971,"")</f>
        <v/>
      </c>
      <c r="B3971" s="8">
        <f>IFERROR(Datos!B3971,"")</f>
        <v/>
      </c>
      <c r="C3971" s="8">
        <f>IFERROR(Datos!C3971,"")</f>
        <v/>
      </c>
      <c r="D3971" s="28">
        <f>IFERROR(IF(AND(ISNUMBER(B3971),ISNUMBER(B3970),B3970&lt;&gt;0),B3971/B3970-1,""),"")</f>
        <v/>
      </c>
      <c r="E3971" s="28">
        <f>IFERROR(IF(AND(ISNUMBER(C3971),ISNUMBER(C3970),C3970&lt;&gt;0),C3971/C3970-1,""),"")</f>
        <v/>
      </c>
      <c r="F3971" s="28">
        <f>IFERROR(D3971-Dashboard!$B$4/252,"")</f>
        <v/>
      </c>
      <c r="G3971" s="28">
        <f>IFERROR(E3971-Dashboard!$B$4/252,"")</f>
        <v/>
      </c>
      <c r="H3971" s="8">
        <f>IFERROR(IF(ISNUMBER(B3971),MAX(B3971,IFERROR(H3970,B3971)),""),"")</f>
        <v/>
      </c>
      <c r="I3971" s="29">
        <f>IFERROR(IF(AND(ISNUMBER(B3971),ISNUMBER(H3971)),B3971/H3971-1,""),"")</f>
        <v/>
      </c>
      <c r="J3971" s="8">
        <f>IFERROR(IF(ISNUMBER(C3971),MAX(C3971,IFERROR(J3970,C3971)),""),"")</f>
        <v/>
      </c>
      <c r="K3971" s="29">
        <f>IFERROR(IF(AND(ISNUMBER(C3971),ISNUMBER(J3971)),C3971/J3971-1,""),"")</f>
        <v/>
      </c>
      <c r="L3971" s="28">
        <f>IFERROR(IF(AND(ISNUMBER(D3971),ISNUMBER(E3971)),D3971-E3971,""),"")</f>
        <v/>
      </c>
    </row>
    <row r="3972">
      <c r="A3972" s="7">
        <f>IFERROR(Datos!A3972,"")</f>
        <v/>
      </c>
      <c r="B3972" s="8">
        <f>IFERROR(Datos!B3972,"")</f>
        <v/>
      </c>
      <c r="C3972" s="8">
        <f>IFERROR(Datos!C3972,"")</f>
        <v/>
      </c>
      <c r="D3972" s="28">
        <f>IFERROR(IF(AND(ISNUMBER(B3972),ISNUMBER(B3971),B3971&lt;&gt;0),B3972/B3971-1,""),"")</f>
        <v/>
      </c>
      <c r="E3972" s="28">
        <f>IFERROR(IF(AND(ISNUMBER(C3972),ISNUMBER(C3971),C3971&lt;&gt;0),C3972/C3971-1,""),"")</f>
        <v/>
      </c>
      <c r="F3972" s="28">
        <f>IFERROR(D3972-Dashboard!$B$4/252,"")</f>
        <v/>
      </c>
      <c r="G3972" s="28">
        <f>IFERROR(E3972-Dashboard!$B$4/252,"")</f>
        <v/>
      </c>
      <c r="H3972" s="8">
        <f>IFERROR(IF(ISNUMBER(B3972),MAX(B3972,IFERROR(H3971,B3972)),""),"")</f>
        <v/>
      </c>
      <c r="I3972" s="29">
        <f>IFERROR(IF(AND(ISNUMBER(B3972),ISNUMBER(H3972)),B3972/H3972-1,""),"")</f>
        <v/>
      </c>
      <c r="J3972" s="8">
        <f>IFERROR(IF(ISNUMBER(C3972),MAX(C3972,IFERROR(J3971,C3972)),""),"")</f>
        <v/>
      </c>
      <c r="K3972" s="29">
        <f>IFERROR(IF(AND(ISNUMBER(C3972),ISNUMBER(J3972)),C3972/J3972-1,""),"")</f>
        <v/>
      </c>
      <c r="L3972" s="28">
        <f>IFERROR(IF(AND(ISNUMBER(D3972),ISNUMBER(E3972)),D3972-E3972,""),"")</f>
        <v/>
      </c>
    </row>
    <row r="3973">
      <c r="A3973" s="7">
        <f>IFERROR(Datos!A3973,"")</f>
        <v/>
      </c>
      <c r="B3973" s="8">
        <f>IFERROR(Datos!B3973,"")</f>
        <v/>
      </c>
      <c r="C3973" s="8">
        <f>IFERROR(Datos!C3973,"")</f>
        <v/>
      </c>
      <c r="D3973" s="28">
        <f>IFERROR(IF(AND(ISNUMBER(B3973),ISNUMBER(B3972),B3972&lt;&gt;0),B3973/B3972-1,""),"")</f>
        <v/>
      </c>
      <c r="E3973" s="28">
        <f>IFERROR(IF(AND(ISNUMBER(C3973),ISNUMBER(C3972),C3972&lt;&gt;0),C3973/C3972-1,""),"")</f>
        <v/>
      </c>
      <c r="F3973" s="28">
        <f>IFERROR(D3973-Dashboard!$B$4/252,"")</f>
        <v/>
      </c>
      <c r="G3973" s="28">
        <f>IFERROR(E3973-Dashboard!$B$4/252,"")</f>
        <v/>
      </c>
      <c r="H3973" s="8">
        <f>IFERROR(IF(ISNUMBER(B3973),MAX(B3973,IFERROR(H3972,B3973)),""),"")</f>
        <v/>
      </c>
      <c r="I3973" s="29">
        <f>IFERROR(IF(AND(ISNUMBER(B3973),ISNUMBER(H3973)),B3973/H3973-1,""),"")</f>
        <v/>
      </c>
      <c r="J3973" s="8">
        <f>IFERROR(IF(ISNUMBER(C3973),MAX(C3973,IFERROR(J3972,C3973)),""),"")</f>
        <v/>
      </c>
      <c r="K3973" s="29">
        <f>IFERROR(IF(AND(ISNUMBER(C3973),ISNUMBER(J3973)),C3973/J3973-1,""),"")</f>
        <v/>
      </c>
      <c r="L3973" s="28">
        <f>IFERROR(IF(AND(ISNUMBER(D3973),ISNUMBER(E3973)),D3973-E3973,""),"")</f>
        <v/>
      </c>
    </row>
    <row r="3974">
      <c r="A3974" s="7">
        <f>IFERROR(Datos!A3974,"")</f>
        <v/>
      </c>
      <c r="B3974" s="8">
        <f>IFERROR(Datos!B3974,"")</f>
        <v/>
      </c>
      <c r="C3974" s="8">
        <f>IFERROR(Datos!C3974,"")</f>
        <v/>
      </c>
      <c r="D3974" s="28">
        <f>IFERROR(IF(AND(ISNUMBER(B3974),ISNUMBER(B3973),B3973&lt;&gt;0),B3974/B3973-1,""),"")</f>
        <v/>
      </c>
      <c r="E3974" s="28">
        <f>IFERROR(IF(AND(ISNUMBER(C3974),ISNUMBER(C3973),C3973&lt;&gt;0),C3974/C3973-1,""),"")</f>
        <v/>
      </c>
      <c r="F3974" s="28">
        <f>IFERROR(D3974-Dashboard!$B$4/252,"")</f>
        <v/>
      </c>
      <c r="G3974" s="28">
        <f>IFERROR(E3974-Dashboard!$B$4/252,"")</f>
        <v/>
      </c>
      <c r="H3974" s="8">
        <f>IFERROR(IF(ISNUMBER(B3974),MAX(B3974,IFERROR(H3973,B3974)),""),"")</f>
        <v/>
      </c>
      <c r="I3974" s="29">
        <f>IFERROR(IF(AND(ISNUMBER(B3974),ISNUMBER(H3974)),B3974/H3974-1,""),"")</f>
        <v/>
      </c>
      <c r="J3974" s="8">
        <f>IFERROR(IF(ISNUMBER(C3974),MAX(C3974,IFERROR(J3973,C3974)),""),"")</f>
        <v/>
      </c>
      <c r="K3974" s="29">
        <f>IFERROR(IF(AND(ISNUMBER(C3974),ISNUMBER(J3974)),C3974/J3974-1,""),"")</f>
        <v/>
      </c>
      <c r="L3974" s="28">
        <f>IFERROR(IF(AND(ISNUMBER(D3974),ISNUMBER(E3974)),D3974-E3974,""),"")</f>
        <v/>
      </c>
    </row>
    <row r="3975">
      <c r="A3975" s="7">
        <f>IFERROR(Datos!A3975,"")</f>
        <v/>
      </c>
      <c r="B3975" s="8">
        <f>IFERROR(Datos!B3975,"")</f>
        <v/>
      </c>
      <c r="C3975" s="8">
        <f>IFERROR(Datos!C3975,"")</f>
        <v/>
      </c>
      <c r="D3975" s="28">
        <f>IFERROR(IF(AND(ISNUMBER(B3975),ISNUMBER(B3974),B3974&lt;&gt;0),B3975/B3974-1,""),"")</f>
        <v/>
      </c>
      <c r="E3975" s="28">
        <f>IFERROR(IF(AND(ISNUMBER(C3975),ISNUMBER(C3974),C3974&lt;&gt;0),C3975/C3974-1,""),"")</f>
        <v/>
      </c>
      <c r="F3975" s="28">
        <f>IFERROR(D3975-Dashboard!$B$4/252,"")</f>
        <v/>
      </c>
      <c r="G3975" s="28">
        <f>IFERROR(E3975-Dashboard!$B$4/252,"")</f>
        <v/>
      </c>
      <c r="H3975" s="8">
        <f>IFERROR(IF(ISNUMBER(B3975),MAX(B3975,IFERROR(H3974,B3975)),""),"")</f>
        <v/>
      </c>
      <c r="I3975" s="29">
        <f>IFERROR(IF(AND(ISNUMBER(B3975),ISNUMBER(H3975)),B3975/H3975-1,""),"")</f>
        <v/>
      </c>
      <c r="J3975" s="8">
        <f>IFERROR(IF(ISNUMBER(C3975),MAX(C3975,IFERROR(J3974,C3975)),""),"")</f>
        <v/>
      </c>
      <c r="K3975" s="29">
        <f>IFERROR(IF(AND(ISNUMBER(C3975),ISNUMBER(J3975)),C3975/J3975-1,""),"")</f>
        <v/>
      </c>
      <c r="L3975" s="28">
        <f>IFERROR(IF(AND(ISNUMBER(D3975),ISNUMBER(E3975)),D3975-E3975,""),"")</f>
        <v/>
      </c>
    </row>
    <row r="3976">
      <c r="A3976" s="7">
        <f>IFERROR(Datos!A3976,"")</f>
        <v/>
      </c>
      <c r="B3976" s="8">
        <f>IFERROR(Datos!B3976,"")</f>
        <v/>
      </c>
      <c r="C3976" s="8">
        <f>IFERROR(Datos!C3976,"")</f>
        <v/>
      </c>
      <c r="D3976" s="28">
        <f>IFERROR(IF(AND(ISNUMBER(B3976),ISNUMBER(B3975),B3975&lt;&gt;0),B3976/B3975-1,""),"")</f>
        <v/>
      </c>
      <c r="E3976" s="28">
        <f>IFERROR(IF(AND(ISNUMBER(C3976),ISNUMBER(C3975),C3975&lt;&gt;0),C3976/C3975-1,""),"")</f>
        <v/>
      </c>
      <c r="F3976" s="28">
        <f>IFERROR(D3976-Dashboard!$B$4/252,"")</f>
        <v/>
      </c>
      <c r="G3976" s="28">
        <f>IFERROR(E3976-Dashboard!$B$4/252,"")</f>
        <v/>
      </c>
      <c r="H3976" s="8">
        <f>IFERROR(IF(ISNUMBER(B3976),MAX(B3976,IFERROR(H3975,B3976)),""),"")</f>
        <v/>
      </c>
      <c r="I3976" s="29">
        <f>IFERROR(IF(AND(ISNUMBER(B3976),ISNUMBER(H3976)),B3976/H3976-1,""),"")</f>
        <v/>
      </c>
      <c r="J3976" s="8">
        <f>IFERROR(IF(ISNUMBER(C3976),MAX(C3976,IFERROR(J3975,C3976)),""),"")</f>
        <v/>
      </c>
      <c r="K3976" s="29">
        <f>IFERROR(IF(AND(ISNUMBER(C3976),ISNUMBER(J3976)),C3976/J3976-1,""),"")</f>
        <v/>
      </c>
      <c r="L3976" s="28">
        <f>IFERROR(IF(AND(ISNUMBER(D3976),ISNUMBER(E3976)),D3976-E3976,""),"")</f>
        <v/>
      </c>
    </row>
    <row r="3977">
      <c r="A3977" s="7">
        <f>IFERROR(Datos!A3977,"")</f>
        <v/>
      </c>
      <c r="B3977" s="8">
        <f>IFERROR(Datos!B3977,"")</f>
        <v/>
      </c>
      <c r="C3977" s="8">
        <f>IFERROR(Datos!C3977,"")</f>
        <v/>
      </c>
      <c r="D3977" s="28">
        <f>IFERROR(IF(AND(ISNUMBER(B3977),ISNUMBER(B3976),B3976&lt;&gt;0),B3977/B3976-1,""),"")</f>
        <v/>
      </c>
      <c r="E3977" s="28">
        <f>IFERROR(IF(AND(ISNUMBER(C3977),ISNUMBER(C3976),C3976&lt;&gt;0),C3977/C3976-1,""),"")</f>
        <v/>
      </c>
      <c r="F3977" s="28">
        <f>IFERROR(D3977-Dashboard!$B$4/252,"")</f>
        <v/>
      </c>
      <c r="G3977" s="28">
        <f>IFERROR(E3977-Dashboard!$B$4/252,"")</f>
        <v/>
      </c>
      <c r="H3977" s="8">
        <f>IFERROR(IF(ISNUMBER(B3977),MAX(B3977,IFERROR(H3976,B3977)),""),"")</f>
        <v/>
      </c>
      <c r="I3977" s="29">
        <f>IFERROR(IF(AND(ISNUMBER(B3977),ISNUMBER(H3977)),B3977/H3977-1,""),"")</f>
        <v/>
      </c>
      <c r="J3977" s="8">
        <f>IFERROR(IF(ISNUMBER(C3977),MAX(C3977,IFERROR(J3976,C3977)),""),"")</f>
        <v/>
      </c>
      <c r="K3977" s="29">
        <f>IFERROR(IF(AND(ISNUMBER(C3977),ISNUMBER(J3977)),C3977/J3977-1,""),"")</f>
        <v/>
      </c>
      <c r="L3977" s="28">
        <f>IFERROR(IF(AND(ISNUMBER(D3977),ISNUMBER(E3977)),D3977-E3977,""),"")</f>
        <v/>
      </c>
    </row>
    <row r="3978">
      <c r="A3978" s="7">
        <f>IFERROR(Datos!A3978,"")</f>
        <v/>
      </c>
      <c r="B3978" s="8">
        <f>IFERROR(Datos!B3978,"")</f>
        <v/>
      </c>
      <c r="C3978" s="8">
        <f>IFERROR(Datos!C3978,"")</f>
        <v/>
      </c>
      <c r="D3978" s="28">
        <f>IFERROR(IF(AND(ISNUMBER(B3978),ISNUMBER(B3977),B3977&lt;&gt;0),B3978/B3977-1,""),"")</f>
        <v/>
      </c>
      <c r="E3978" s="28">
        <f>IFERROR(IF(AND(ISNUMBER(C3978),ISNUMBER(C3977),C3977&lt;&gt;0),C3978/C3977-1,""),"")</f>
        <v/>
      </c>
      <c r="F3978" s="28">
        <f>IFERROR(D3978-Dashboard!$B$4/252,"")</f>
        <v/>
      </c>
      <c r="G3978" s="28">
        <f>IFERROR(E3978-Dashboard!$B$4/252,"")</f>
        <v/>
      </c>
      <c r="H3978" s="8">
        <f>IFERROR(IF(ISNUMBER(B3978),MAX(B3978,IFERROR(H3977,B3978)),""),"")</f>
        <v/>
      </c>
      <c r="I3978" s="29">
        <f>IFERROR(IF(AND(ISNUMBER(B3978),ISNUMBER(H3978)),B3978/H3978-1,""),"")</f>
        <v/>
      </c>
      <c r="J3978" s="8">
        <f>IFERROR(IF(ISNUMBER(C3978),MAX(C3978,IFERROR(J3977,C3978)),""),"")</f>
        <v/>
      </c>
      <c r="K3978" s="29">
        <f>IFERROR(IF(AND(ISNUMBER(C3978),ISNUMBER(J3978)),C3978/J3978-1,""),"")</f>
        <v/>
      </c>
      <c r="L3978" s="28">
        <f>IFERROR(IF(AND(ISNUMBER(D3978),ISNUMBER(E3978)),D3978-E3978,""),"")</f>
        <v/>
      </c>
    </row>
    <row r="3979">
      <c r="A3979" s="7">
        <f>IFERROR(Datos!A3979,"")</f>
        <v/>
      </c>
      <c r="B3979" s="8">
        <f>IFERROR(Datos!B3979,"")</f>
        <v/>
      </c>
      <c r="C3979" s="8">
        <f>IFERROR(Datos!C3979,"")</f>
        <v/>
      </c>
      <c r="D3979" s="28">
        <f>IFERROR(IF(AND(ISNUMBER(B3979),ISNUMBER(B3978),B3978&lt;&gt;0),B3979/B3978-1,""),"")</f>
        <v/>
      </c>
      <c r="E3979" s="28">
        <f>IFERROR(IF(AND(ISNUMBER(C3979),ISNUMBER(C3978),C3978&lt;&gt;0),C3979/C3978-1,""),"")</f>
        <v/>
      </c>
      <c r="F3979" s="28">
        <f>IFERROR(D3979-Dashboard!$B$4/252,"")</f>
        <v/>
      </c>
      <c r="G3979" s="28">
        <f>IFERROR(E3979-Dashboard!$B$4/252,"")</f>
        <v/>
      </c>
      <c r="H3979" s="8">
        <f>IFERROR(IF(ISNUMBER(B3979),MAX(B3979,IFERROR(H3978,B3979)),""),"")</f>
        <v/>
      </c>
      <c r="I3979" s="29">
        <f>IFERROR(IF(AND(ISNUMBER(B3979),ISNUMBER(H3979)),B3979/H3979-1,""),"")</f>
        <v/>
      </c>
      <c r="J3979" s="8">
        <f>IFERROR(IF(ISNUMBER(C3979),MAX(C3979,IFERROR(J3978,C3979)),""),"")</f>
        <v/>
      </c>
      <c r="K3979" s="29">
        <f>IFERROR(IF(AND(ISNUMBER(C3979),ISNUMBER(J3979)),C3979/J3979-1,""),"")</f>
        <v/>
      </c>
      <c r="L3979" s="28">
        <f>IFERROR(IF(AND(ISNUMBER(D3979),ISNUMBER(E3979)),D3979-E3979,""),"")</f>
        <v/>
      </c>
    </row>
    <row r="3980">
      <c r="A3980" s="7">
        <f>IFERROR(Datos!A3980,"")</f>
        <v/>
      </c>
      <c r="B3980" s="8">
        <f>IFERROR(Datos!B3980,"")</f>
        <v/>
      </c>
      <c r="C3980" s="8">
        <f>IFERROR(Datos!C3980,"")</f>
        <v/>
      </c>
      <c r="D3980" s="28">
        <f>IFERROR(IF(AND(ISNUMBER(B3980),ISNUMBER(B3979),B3979&lt;&gt;0),B3980/B3979-1,""),"")</f>
        <v/>
      </c>
      <c r="E3980" s="28">
        <f>IFERROR(IF(AND(ISNUMBER(C3980),ISNUMBER(C3979),C3979&lt;&gt;0),C3980/C3979-1,""),"")</f>
        <v/>
      </c>
      <c r="F3980" s="28">
        <f>IFERROR(D3980-Dashboard!$B$4/252,"")</f>
        <v/>
      </c>
      <c r="G3980" s="28">
        <f>IFERROR(E3980-Dashboard!$B$4/252,"")</f>
        <v/>
      </c>
      <c r="H3980" s="8">
        <f>IFERROR(IF(ISNUMBER(B3980),MAX(B3980,IFERROR(H3979,B3980)),""),"")</f>
        <v/>
      </c>
      <c r="I3980" s="29">
        <f>IFERROR(IF(AND(ISNUMBER(B3980),ISNUMBER(H3980)),B3980/H3980-1,""),"")</f>
        <v/>
      </c>
      <c r="J3980" s="8">
        <f>IFERROR(IF(ISNUMBER(C3980),MAX(C3980,IFERROR(J3979,C3980)),""),"")</f>
        <v/>
      </c>
      <c r="K3980" s="29">
        <f>IFERROR(IF(AND(ISNUMBER(C3980),ISNUMBER(J3980)),C3980/J3980-1,""),"")</f>
        <v/>
      </c>
      <c r="L3980" s="28">
        <f>IFERROR(IF(AND(ISNUMBER(D3980),ISNUMBER(E3980)),D3980-E3980,""),"")</f>
        <v/>
      </c>
    </row>
    <row r="3981">
      <c r="A3981" s="7">
        <f>IFERROR(Datos!A3981,"")</f>
        <v/>
      </c>
      <c r="B3981" s="8">
        <f>IFERROR(Datos!B3981,"")</f>
        <v/>
      </c>
      <c r="C3981" s="8">
        <f>IFERROR(Datos!C3981,"")</f>
        <v/>
      </c>
      <c r="D3981" s="28">
        <f>IFERROR(IF(AND(ISNUMBER(B3981),ISNUMBER(B3980),B3980&lt;&gt;0),B3981/B3980-1,""),"")</f>
        <v/>
      </c>
      <c r="E3981" s="28">
        <f>IFERROR(IF(AND(ISNUMBER(C3981),ISNUMBER(C3980),C3980&lt;&gt;0),C3981/C3980-1,""),"")</f>
        <v/>
      </c>
      <c r="F3981" s="28">
        <f>IFERROR(D3981-Dashboard!$B$4/252,"")</f>
        <v/>
      </c>
      <c r="G3981" s="28">
        <f>IFERROR(E3981-Dashboard!$B$4/252,"")</f>
        <v/>
      </c>
      <c r="H3981" s="8">
        <f>IFERROR(IF(ISNUMBER(B3981),MAX(B3981,IFERROR(H3980,B3981)),""),"")</f>
        <v/>
      </c>
      <c r="I3981" s="29">
        <f>IFERROR(IF(AND(ISNUMBER(B3981),ISNUMBER(H3981)),B3981/H3981-1,""),"")</f>
        <v/>
      </c>
      <c r="J3981" s="8">
        <f>IFERROR(IF(ISNUMBER(C3981),MAX(C3981,IFERROR(J3980,C3981)),""),"")</f>
        <v/>
      </c>
      <c r="K3981" s="29">
        <f>IFERROR(IF(AND(ISNUMBER(C3981),ISNUMBER(J3981)),C3981/J3981-1,""),"")</f>
        <v/>
      </c>
      <c r="L3981" s="28">
        <f>IFERROR(IF(AND(ISNUMBER(D3981),ISNUMBER(E3981)),D3981-E3981,""),"")</f>
        <v/>
      </c>
    </row>
    <row r="3982">
      <c r="A3982" s="7">
        <f>IFERROR(Datos!A3982,"")</f>
        <v/>
      </c>
      <c r="B3982" s="8">
        <f>IFERROR(Datos!B3982,"")</f>
        <v/>
      </c>
      <c r="C3982" s="8">
        <f>IFERROR(Datos!C3982,"")</f>
        <v/>
      </c>
      <c r="D3982" s="28">
        <f>IFERROR(IF(AND(ISNUMBER(B3982),ISNUMBER(B3981),B3981&lt;&gt;0),B3982/B3981-1,""),"")</f>
        <v/>
      </c>
      <c r="E3982" s="28">
        <f>IFERROR(IF(AND(ISNUMBER(C3982),ISNUMBER(C3981),C3981&lt;&gt;0),C3982/C3981-1,""),"")</f>
        <v/>
      </c>
      <c r="F3982" s="28">
        <f>IFERROR(D3982-Dashboard!$B$4/252,"")</f>
        <v/>
      </c>
      <c r="G3982" s="28">
        <f>IFERROR(E3982-Dashboard!$B$4/252,"")</f>
        <v/>
      </c>
      <c r="H3982" s="8">
        <f>IFERROR(IF(ISNUMBER(B3982),MAX(B3982,IFERROR(H3981,B3982)),""),"")</f>
        <v/>
      </c>
      <c r="I3982" s="29">
        <f>IFERROR(IF(AND(ISNUMBER(B3982),ISNUMBER(H3982)),B3982/H3982-1,""),"")</f>
        <v/>
      </c>
      <c r="J3982" s="8">
        <f>IFERROR(IF(ISNUMBER(C3982),MAX(C3982,IFERROR(J3981,C3982)),""),"")</f>
        <v/>
      </c>
      <c r="K3982" s="29">
        <f>IFERROR(IF(AND(ISNUMBER(C3982),ISNUMBER(J3982)),C3982/J3982-1,""),"")</f>
        <v/>
      </c>
      <c r="L3982" s="28">
        <f>IFERROR(IF(AND(ISNUMBER(D3982),ISNUMBER(E3982)),D3982-E3982,""),"")</f>
        <v/>
      </c>
    </row>
    <row r="3983">
      <c r="A3983" s="7">
        <f>IFERROR(Datos!A3983,"")</f>
        <v/>
      </c>
      <c r="B3983" s="8">
        <f>IFERROR(Datos!B3983,"")</f>
        <v/>
      </c>
      <c r="C3983" s="8">
        <f>IFERROR(Datos!C3983,"")</f>
        <v/>
      </c>
      <c r="D3983" s="28">
        <f>IFERROR(IF(AND(ISNUMBER(B3983),ISNUMBER(B3982),B3982&lt;&gt;0),B3983/B3982-1,""),"")</f>
        <v/>
      </c>
      <c r="E3983" s="28">
        <f>IFERROR(IF(AND(ISNUMBER(C3983),ISNUMBER(C3982),C3982&lt;&gt;0),C3983/C3982-1,""),"")</f>
        <v/>
      </c>
      <c r="F3983" s="28">
        <f>IFERROR(D3983-Dashboard!$B$4/252,"")</f>
        <v/>
      </c>
      <c r="G3983" s="28">
        <f>IFERROR(E3983-Dashboard!$B$4/252,"")</f>
        <v/>
      </c>
      <c r="H3983" s="8">
        <f>IFERROR(IF(ISNUMBER(B3983),MAX(B3983,IFERROR(H3982,B3983)),""),"")</f>
        <v/>
      </c>
      <c r="I3983" s="29">
        <f>IFERROR(IF(AND(ISNUMBER(B3983),ISNUMBER(H3983)),B3983/H3983-1,""),"")</f>
        <v/>
      </c>
      <c r="J3983" s="8">
        <f>IFERROR(IF(ISNUMBER(C3983),MAX(C3983,IFERROR(J3982,C3983)),""),"")</f>
        <v/>
      </c>
      <c r="K3983" s="29">
        <f>IFERROR(IF(AND(ISNUMBER(C3983),ISNUMBER(J3983)),C3983/J3983-1,""),"")</f>
        <v/>
      </c>
      <c r="L3983" s="28">
        <f>IFERROR(IF(AND(ISNUMBER(D3983),ISNUMBER(E3983)),D3983-E3983,""),"")</f>
        <v/>
      </c>
    </row>
    <row r="3984">
      <c r="A3984" s="7">
        <f>IFERROR(Datos!A3984,"")</f>
        <v/>
      </c>
      <c r="B3984" s="8">
        <f>IFERROR(Datos!B3984,"")</f>
        <v/>
      </c>
      <c r="C3984" s="8">
        <f>IFERROR(Datos!C3984,"")</f>
        <v/>
      </c>
      <c r="D3984" s="28">
        <f>IFERROR(IF(AND(ISNUMBER(B3984),ISNUMBER(B3983),B3983&lt;&gt;0),B3984/B3983-1,""),"")</f>
        <v/>
      </c>
      <c r="E3984" s="28">
        <f>IFERROR(IF(AND(ISNUMBER(C3984),ISNUMBER(C3983),C3983&lt;&gt;0),C3984/C3983-1,""),"")</f>
        <v/>
      </c>
      <c r="F3984" s="28">
        <f>IFERROR(D3984-Dashboard!$B$4/252,"")</f>
        <v/>
      </c>
      <c r="G3984" s="28">
        <f>IFERROR(E3984-Dashboard!$B$4/252,"")</f>
        <v/>
      </c>
      <c r="H3984" s="8">
        <f>IFERROR(IF(ISNUMBER(B3984),MAX(B3984,IFERROR(H3983,B3984)),""),"")</f>
        <v/>
      </c>
      <c r="I3984" s="29">
        <f>IFERROR(IF(AND(ISNUMBER(B3984),ISNUMBER(H3984)),B3984/H3984-1,""),"")</f>
        <v/>
      </c>
      <c r="J3984" s="8">
        <f>IFERROR(IF(ISNUMBER(C3984),MAX(C3984,IFERROR(J3983,C3984)),""),"")</f>
        <v/>
      </c>
      <c r="K3984" s="29">
        <f>IFERROR(IF(AND(ISNUMBER(C3984),ISNUMBER(J3984)),C3984/J3984-1,""),"")</f>
        <v/>
      </c>
      <c r="L3984" s="28">
        <f>IFERROR(IF(AND(ISNUMBER(D3984),ISNUMBER(E3984)),D3984-E3984,""),"")</f>
        <v/>
      </c>
    </row>
    <row r="3985">
      <c r="A3985" s="7">
        <f>IFERROR(Datos!A3985,"")</f>
        <v/>
      </c>
      <c r="B3985" s="8">
        <f>IFERROR(Datos!B3985,"")</f>
        <v/>
      </c>
      <c r="C3985" s="8">
        <f>IFERROR(Datos!C3985,"")</f>
        <v/>
      </c>
      <c r="D3985" s="28">
        <f>IFERROR(IF(AND(ISNUMBER(B3985),ISNUMBER(B3984),B3984&lt;&gt;0),B3985/B3984-1,""),"")</f>
        <v/>
      </c>
      <c r="E3985" s="28">
        <f>IFERROR(IF(AND(ISNUMBER(C3985),ISNUMBER(C3984),C3984&lt;&gt;0),C3985/C3984-1,""),"")</f>
        <v/>
      </c>
      <c r="F3985" s="28">
        <f>IFERROR(D3985-Dashboard!$B$4/252,"")</f>
        <v/>
      </c>
      <c r="G3985" s="28">
        <f>IFERROR(E3985-Dashboard!$B$4/252,"")</f>
        <v/>
      </c>
      <c r="H3985" s="8">
        <f>IFERROR(IF(ISNUMBER(B3985),MAX(B3985,IFERROR(H3984,B3985)),""),"")</f>
        <v/>
      </c>
      <c r="I3985" s="29">
        <f>IFERROR(IF(AND(ISNUMBER(B3985),ISNUMBER(H3985)),B3985/H3985-1,""),"")</f>
        <v/>
      </c>
      <c r="J3985" s="8">
        <f>IFERROR(IF(ISNUMBER(C3985),MAX(C3985,IFERROR(J3984,C3985)),""),"")</f>
        <v/>
      </c>
      <c r="K3985" s="29">
        <f>IFERROR(IF(AND(ISNUMBER(C3985),ISNUMBER(J3985)),C3985/J3985-1,""),"")</f>
        <v/>
      </c>
      <c r="L3985" s="28">
        <f>IFERROR(IF(AND(ISNUMBER(D3985),ISNUMBER(E3985)),D3985-E3985,""),"")</f>
        <v/>
      </c>
    </row>
    <row r="3986">
      <c r="A3986" s="7">
        <f>IFERROR(Datos!A3986,"")</f>
        <v/>
      </c>
      <c r="B3986" s="8">
        <f>IFERROR(Datos!B3986,"")</f>
        <v/>
      </c>
      <c r="C3986" s="8">
        <f>IFERROR(Datos!C3986,"")</f>
        <v/>
      </c>
      <c r="D3986" s="28">
        <f>IFERROR(IF(AND(ISNUMBER(B3986),ISNUMBER(B3985),B3985&lt;&gt;0),B3986/B3985-1,""),"")</f>
        <v/>
      </c>
      <c r="E3986" s="28">
        <f>IFERROR(IF(AND(ISNUMBER(C3986),ISNUMBER(C3985),C3985&lt;&gt;0),C3986/C3985-1,""),"")</f>
        <v/>
      </c>
      <c r="F3986" s="28">
        <f>IFERROR(D3986-Dashboard!$B$4/252,"")</f>
        <v/>
      </c>
      <c r="G3986" s="28">
        <f>IFERROR(E3986-Dashboard!$B$4/252,"")</f>
        <v/>
      </c>
      <c r="H3986" s="8">
        <f>IFERROR(IF(ISNUMBER(B3986),MAX(B3986,IFERROR(H3985,B3986)),""),"")</f>
        <v/>
      </c>
      <c r="I3986" s="29">
        <f>IFERROR(IF(AND(ISNUMBER(B3986),ISNUMBER(H3986)),B3986/H3986-1,""),"")</f>
        <v/>
      </c>
      <c r="J3986" s="8">
        <f>IFERROR(IF(ISNUMBER(C3986),MAX(C3986,IFERROR(J3985,C3986)),""),"")</f>
        <v/>
      </c>
      <c r="K3986" s="29">
        <f>IFERROR(IF(AND(ISNUMBER(C3986),ISNUMBER(J3986)),C3986/J3986-1,""),"")</f>
        <v/>
      </c>
      <c r="L3986" s="28">
        <f>IFERROR(IF(AND(ISNUMBER(D3986),ISNUMBER(E3986)),D3986-E3986,""),"")</f>
        <v/>
      </c>
    </row>
    <row r="3987">
      <c r="A3987" s="7">
        <f>IFERROR(Datos!A3987,"")</f>
        <v/>
      </c>
      <c r="B3987" s="8">
        <f>IFERROR(Datos!B3987,"")</f>
        <v/>
      </c>
      <c r="C3987" s="8">
        <f>IFERROR(Datos!C3987,"")</f>
        <v/>
      </c>
      <c r="D3987" s="28">
        <f>IFERROR(IF(AND(ISNUMBER(B3987),ISNUMBER(B3986),B3986&lt;&gt;0),B3987/B3986-1,""),"")</f>
        <v/>
      </c>
      <c r="E3987" s="28">
        <f>IFERROR(IF(AND(ISNUMBER(C3987),ISNUMBER(C3986),C3986&lt;&gt;0),C3987/C3986-1,""),"")</f>
        <v/>
      </c>
      <c r="F3987" s="28">
        <f>IFERROR(D3987-Dashboard!$B$4/252,"")</f>
        <v/>
      </c>
      <c r="G3987" s="28">
        <f>IFERROR(E3987-Dashboard!$B$4/252,"")</f>
        <v/>
      </c>
      <c r="H3987" s="8">
        <f>IFERROR(IF(ISNUMBER(B3987),MAX(B3987,IFERROR(H3986,B3987)),""),"")</f>
        <v/>
      </c>
      <c r="I3987" s="29">
        <f>IFERROR(IF(AND(ISNUMBER(B3987),ISNUMBER(H3987)),B3987/H3987-1,""),"")</f>
        <v/>
      </c>
      <c r="J3987" s="8">
        <f>IFERROR(IF(ISNUMBER(C3987),MAX(C3987,IFERROR(J3986,C3987)),""),"")</f>
        <v/>
      </c>
      <c r="K3987" s="29">
        <f>IFERROR(IF(AND(ISNUMBER(C3987),ISNUMBER(J3987)),C3987/J3987-1,""),"")</f>
        <v/>
      </c>
      <c r="L3987" s="28">
        <f>IFERROR(IF(AND(ISNUMBER(D3987),ISNUMBER(E3987)),D3987-E3987,""),"")</f>
        <v/>
      </c>
    </row>
    <row r="3988">
      <c r="A3988" s="7">
        <f>IFERROR(Datos!A3988,"")</f>
        <v/>
      </c>
      <c r="B3988" s="8">
        <f>IFERROR(Datos!B3988,"")</f>
        <v/>
      </c>
      <c r="C3988" s="8">
        <f>IFERROR(Datos!C3988,"")</f>
        <v/>
      </c>
      <c r="D3988" s="28">
        <f>IFERROR(IF(AND(ISNUMBER(B3988),ISNUMBER(B3987),B3987&lt;&gt;0),B3988/B3987-1,""),"")</f>
        <v/>
      </c>
      <c r="E3988" s="28">
        <f>IFERROR(IF(AND(ISNUMBER(C3988),ISNUMBER(C3987),C3987&lt;&gt;0),C3988/C3987-1,""),"")</f>
        <v/>
      </c>
      <c r="F3988" s="28">
        <f>IFERROR(D3988-Dashboard!$B$4/252,"")</f>
        <v/>
      </c>
      <c r="G3988" s="28">
        <f>IFERROR(E3988-Dashboard!$B$4/252,"")</f>
        <v/>
      </c>
      <c r="H3988" s="8">
        <f>IFERROR(IF(ISNUMBER(B3988),MAX(B3988,IFERROR(H3987,B3988)),""),"")</f>
        <v/>
      </c>
      <c r="I3988" s="29">
        <f>IFERROR(IF(AND(ISNUMBER(B3988),ISNUMBER(H3988)),B3988/H3988-1,""),"")</f>
        <v/>
      </c>
      <c r="J3988" s="8">
        <f>IFERROR(IF(ISNUMBER(C3988),MAX(C3988,IFERROR(J3987,C3988)),""),"")</f>
        <v/>
      </c>
      <c r="K3988" s="29">
        <f>IFERROR(IF(AND(ISNUMBER(C3988),ISNUMBER(J3988)),C3988/J3988-1,""),"")</f>
        <v/>
      </c>
      <c r="L3988" s="28">
        <f>IFERROR(IF(AND(ISNUMBER(D3988),ISNUMBER(E3988)),D3988-E3988,""),"")</f>
        <v/>
      </c>
    </row>
    <row r="3989">
      <c r="A3989" s="7">
        <f>IFERROR(Datos!A3989,"")</f>
        <v/>
      </c>
      <c r="B3989" s="8">
        <f>IFERROR(Datos!B3989,"")</f>
        <v/>
      </c>
      <c r="C3989" s="8">
        <f>IFERROR(Datos!C3989,"")</f>
        <v/>
      </c>
      <c r="D3989" s="28">
        <f>IFERROR(IF(AND(ISNUMBER(B3989),ISNUMBER(B3988),B3988&lt;&gt;0),B3989/B3988-1,""),"")</f>
        <v/>
      </c>
      <c r="E3989" s="28">
        <f>IFERROR(IF(AND(ISNUMBER(C3989),ISNUMBER(C3988),C3988&lt;&gt;0),C3989/C3988-1,""),"")</f>
        <v/>
      </c>
      <c r="F3989" s="28">
        <f>IFERROR(D3989-Dashboard!$B$4/252,"")</f>
        <v/>
      </c>
      <c r="G3989" s="28">
        <f>IFERROR(E3989-Dashboard!$B$4/252,"")</f>
        <v/>
      </c>
      <c r="H3989" s="8">
        <f>IFERROR(IF(ISNUMBER(B3989),MAX(B3989,IFERROR(H3988,B3989)),""),"")</f>
        <v/>
      </c>
      <c r="I3989" s="29">
        <f>IFERROR(IF(AND(ISNUMBER(B3989),ISNUMBER(H3989)),B3989/H3989-1,""),"")</f>
        <v/>
      </c>
      <c r="J3989" s="8">
        <f>IFERROR(IF(ISNUMBER(C3989),MAX(C3989,IFERROR(J3988,C3989)),""),"")</f>
        <v/>
      </c>
      <c r="K3989" s="29">
        <f>IFERROR(IF(AND(ISNUMBER(C3989),ISNUMBER(J3989)),C3989/J3989-1,""),"")</f>
        <v/>
      </c>
      <c r="L3989" s="28">
        <f>IFERROR(IF(AND(ISNUMBER(D3989),ISNUMBER(E3989)),D3989-E3989,""),"")</f>
        <v/>
      </c>
    </row>
    <row r="3990">
      <c r="A3990" s="7">
        <f>IFERROR(Datos!A3990,"")</f>
        <v/>
      </c>
      <c r="B3990" s="8">
        <f>IFERROR(Datos!B3990,"")</f>
        <v/>
      </c>
      <c r="C3990" s="8">
        <f>IFERROR(Datos!C3990,"")</f>
        <v/>
      </c>
      <c r="D3990" s="28">
        <f>IFERROR(IF(AND(ISNUMBER(B3990),ISNUMBER(B3989),B3989&lt;&gt;0),B3990/B3989-1,""),"")</f>
        <v/>
      </c>
      <c r="E3990" s="28">
        <f>IFERROR(IF(AND(ISNUMBER(C3990),ISNUMBER(C3989),C3989&lt;&gt;0),C3990/C3989-1,""),"")</f>
        <v/>
      </c>
      <c r="F3990" s="28">
        <f>IFERROR(D3990-Dashboard!$B$4/252,"")</f>
        <v/>
      </c>
      <c r="G3990" s="28">
        <f>IFERROR(E3990-Dashboard!$B$4/252,"")</f>
        <v/>
      </c>
      <c r="H3990" s="8">
        <f>IFERROR(IF(ISNUMBER(B3990),MAX(B3990,IFERROR(H3989,B3990)),""),"")</f>
        <v/>
      </c>
      <c r="I3990" s="29">
        <f>IFERROR(IF(AND(ISNUMBER(B3990),ISNUMBER(H3990)),B3990/H3990-1,""),"")</f>
        <v/>
      </c>
      <c r="J3990" s="8">
        <f>IFERROR(IF(ISNUMBER(C3990),MAX(C3990,IFERROR(J3989,C3990)),""),"")</f>
        <v/>
      </c>
      <c r="K3990" s="29">
        <f>IFERROR(IF(AND(ISNUMBER(C3990),ISNUMBER(J3990)),C3990/J3990-1,""),"")</f>
        <v/>
      </c>
      <c r="L3990" s="28">
        <f>IFERROR(IF(AND(ISNUMBER(D3990),ISNUMBER(E3990)),D3990-E3990,""),"")</f>
        <v/>
      </c>
    </row>
    <row r="3991">
      <c r="A3991" s="7">
        <f>IFERROR(Datos!A3991,"")</f>
        <v/>
      </c>
      <c r="B3991" s="8">
        <f>IFERROR(Datos!B3991,"")</f>
        <v/>
      </c>
      <c r="C3991" s="8">
        <f>IFERROR(Datos!C3991,"")</f>
        <v/>
      </c>
      <c r="D3991" s="28">
        <f>IFERROR(IF(AND(ISNUMBER(B3991),ISNUMBER(B3990),B3990&lt;&gt;0),B3991/B3990-1,""),"")</f>
        <v/>
      </c>
      <c r="E3991" s="28">
        <f>IFERROR(IF(AND(ISNUMBER(C3991),ISNUMBER(C3990),C3990&lt;&gt;0),C3991/C3990-1,""),"")</f>
        <v/>
      </c>
      <c r="F3991" s="28">
        <f>IFERROR(D3991-Dashboard!$B$4/252,"")</f>
        <v/>
      </c>
      <c r="G3991" s="28">
        <f>IFERROR(E3991-Dashboard!$B$4/252,"")</f>
        <v/>
      </c>
      <c r="H3991" s="8">
        <f>IFERROR(IF(ISNUMBER(B3991),MAX(B3991,IFERROR(H3990,B3991)),""),"")</f>
        <v/>
      </c>
      <c r="I3991" s="29">
        <f>IFERROR(IF(AND(ISNUMBER(B3991),ISNUMBER(H3991)),B3991/H3991-1,""),"")</f>
        <v/>
      </c>
      <c r="J3991" s="8">
        <f>IFERROR(IF(ISNUMBER(C3991),MAX(C3991,IFERROR(J3990,C3991)),""),"")</f>
        <v/>
      </c>
      <c r="K3991" s="29">
        <f>IFERROR(IF(AND(ISNUMBER(C3991),ISNUMBER(J3991)),C3991/J3991-1,""),"")</f>
        <v/>
      </c>
      <c r="L3991" s="28">
        <f>IFERROR(IF(AND(ISNUMBER(D3991),ISNUMBER(E3991)),D3991-E3991,""),"")</f>
        <v/>
      </c>
    </row>
    <row r="3992">
      <c r="A3992" s="7">
        <f>IFERROR(Datos!A3992,"")</f>
        <v/>
      </c>
      <c r="B3992" s="8">
        <f>IFERROR(Datos!B3992,"")</f>
        <v/>
      </c>
      <c r="C3992" s="8">
        <f>IFERROR(Datos!C3992,"")</f>
        <v/>
      </c>
      <c r="D3992" s="28">
        <f>IFERROR(IF(AND(ISNUMBER(B3992),ISNUMBER(B3991),B3991&lt;&gt;0),B3992/B3991-1,""),"")</f>
        <v/>
      </c>
      <c r="E3992" s="28">
        <f>IFERROR(IF(AND(ISNUMBER(C3992),ISNUMBER(C3991),C3991&lt;&gt;0),C3992/C3991-1,""),"")</f>
        <v/>
      </c>
      <c r="F3992" s="28">
        <f>IFERROR(D3992-Dashboard!$B$4/252,"")</f>
        <v/>
      </c>
      <c r="G3992" s="28">
        <f>IFERROR(E3992-Dashboard!$B$4/252,"")</f>
        <v/>
      </c>
      <c r="H3992" s="8">
        <f>IFERROR(IF(ISNUMBER(B3992),MAX(B3992,IFERROR(H3991,B3992)),""),"")</f>
        <v/>
      </c>
      <c r="I3992" s="29">
        <f>IFERROR(IF(AND(ISNUMBER(B3992),ISNUMBER(H3992)),B3992/H3992-1,""),"")</f>
        <v/>
      </c>
      <c r="J3992" s="8">
        <f>IFERROR(IF(ISNUMBER(C3992),MAX(C3992,IFERROR(J3991,C3992)),""),"")</f>
        <v/>
      </c>
      <c r="K3992" s="29">
        <f>IFERROR(IF(AND(ISNUMBER(C3992),ISNUMBER(J3992)),C3992/J3992-1,""),"")</f>
        <v/>
      </c>
      <c r="L3992" s="28">
        <f>IFERROR(IF(AND(ISNUMBER(D3992),ISNUMBER(E3992)),D3992-E3992,""),"")</f>
        <v/>
      </c>
    </row>
    <row r="3993">
      <c r="A3993" s="7">
        <f>IFERROR(Datos!A3993,"")</f>
        <v/>
      </c>
      <c r="B3993" s="8">
        <f>IFERROR(Datos!B3993,"")</f>
        <v/>
      </c>
      <c r="C3993" s="8">
        <f>IFERROR(Datos!C3993,"")</f>
        <v/>
      </c>
      <c r="D3993" s="28">
        <f>IFERROR(IF(AND(ISNUMBER(B3993),ISNUMBER(B3992),B3992&lt;&gt;0),B3993/B3992-1,""),"")</f>
        <v/>
      </c>
      <c r="E3993" s="28">
        <f>IFERROR(IF(AND(ISNUMBER(C3993),ISNUMBER(C3992),C3992&lt;&gt;0),C3993/C3992-1,""),"")</f>
        <v/>
      </c>
      <c r="F3993" s="28">
        <f>IFERROR(D3993-Dashboard!$B$4/252,"")</f>
        <v/>
      </c>
      <c r="G3993" s="28">
        <f>IFERROR(E3993-Dashboard!$B$4/252,"")</f>
        <v/>
      </c>
      <c r="H3993" s="8">
        <f>IFERROR(IF(ISNUMBER(B3993),MAX(B3993,IFERROR(H3992,B3993)),""),"")</f>
        <v/>
      </c>
      <c r="I3993" s="29">
        <f>IFERROR(IF(AND(ISNUMBER(B3993),ISNUMBER(H3993)),B3993/H3993-1,""),"")</f>
        <v/>
      </c>
      <c r="J3993" s="8">
        <f>IFERROR(IF(ISNUMBER(C3993),MAX(C3993,IFERROR(J3992,C3993)),""),"")</f>
        <v/>
      </c>
      <c r="K3993" s="29">
        <f>IFERROR(IF(AND(ISNUMBER(C3993),ISNUMBER(J3993)),C3993/J3993-1,""),"")</f>
        <v/>
      </c>
      <c r="L3993" s="28">
        <f>IFERROR(IF(AND(ISNUMBER(D3993),ISNUMBER(E3993)),D3993-E3993,""),"")</f>
        <v/>
      </c>
    </row>
    <row r="3994">
      <c r="A3994" s="7">
        <f>IFERROR(Datos!A3994,"")</f>
        <v/>
      </c>
      <c r="B3994" s="8">
        <f>IFERROR(Datos!B3994,"")</f>
        <v/>
      </c>
      <c r="C3994" s="8">
        <f>IFERROR(Datos!C3994,"")</f>
        <v/>
      </c>
      <c r="D3994" s="28">
        <f>IFERROR(IF(AND(ISNUMBER(B3994),ISNUMBER(B3993),B3993&lt;&gt;0),B3994/B3993-1,""),"")</f>
        <v/>
      </c>
      <c r="E3994" s="28">
        <f>IFERROR(IF(AND(ISNUMBER(C3994),ISNUMBER(C3993),C3993&lt;&gt;0),C3994/C3993-1,""),"")</f>
        <v/>
      </c>
      <c r="F3994" s="28">
        <f>IFERROR(D3994-Dashboard!$B$4/252,"")</f>
        <v/>
      </c>
      <c r="G3994" s="28">
        <f>IFERROR(E3994-Dashboard!$B$4/252,"")</f>
        <v/>
      </c>
      <c r="H3994" s="8">
        <f>IFERROR(IF(ISNUMBER(B3994),MAX(B3994,IFERROR(H3993,B3994)),""),"")</f>
        <v/>
      </c>
      <c r="I3994" s="29">
        <f>IFERROR(IF(AND(ISNUMBER(B3994),ISNUMBER(H3994)),B3994/H3994-1,""),"")</f>
        <v/>
      </c>
      <c r="J3994" s="8">
        <f>IFERROR(IF(ISNUMBER(C3994),MAX(C3994,IFERROR(J3993,C3994)),""),"")</f>
        <v/>
      </c>
      <c r="K3994" s="29">
        <f>IFERROR(IF(AND(ISNUMBER(C3994),ISNUMBER(J3994)),C3994/J3994-1,""),"")</f>
        <v/>
      </c>
      <c r="L3994" s="28">
        <f>IFERROR(IF(AND(ISNUMBER(D3994),ISNUMBER(E3994)),D3994-E3994,""),"")</f>
        <v/>
      </c>
    </row>
    <row r="3995">
      <c r="A3995" s="7">
        <f>IFERROR(Datos!A3995,"")</f>
        <v/>
      </c>
      <c r="B3995" s="8">
        <f>IFERROR(Datos!B3995,"")</f>
        <v/>
      </c>
      <c r="C3995" s="8">
        <f>IFERROR(Datos!C3995,"")</f>
        <v/>
      </c>
      <c r="D3995" s="28">
        <f>IFERROR(IF(AND(ISNUMBER(B3995),ISNUMBER(B3994),B3994&lt;&gt;0),B3995/B3994-1,""),"")</f>
        <v/>
      </c>
      <c r="E3995" s="28">
        <f>IFERROR(IF(AND(ISNUMBER(C3995),ISNUMBER(C3994),C3994&lt;&gt;0),C3995/C3994-1,""),"")</f>
        <v/>
      </c>
      <c r="F3995" s="28">
        <f>IFERROR(D3995-Dashboard!$B$4/252,"")</f>
        <v/>
      </c>
      <c r="G3995" s="28">
        <f>IFERROR(E3995-Dashboard!$B$4/252,"")</f>
        <v/>
      </c>
      <c r="H3995" s="8">
        <f>IFERROR(IF(ISNUMBER(B3995),MAX(B3995,IFERROR(H3994,B3995)),""),"")</f>
        <v/>
      </c>
      <c r="I3995" s="29">
        <f>IFERROR(IF(AND(ISNUMBER(B3995),ISNUMBER(H3995)),B3995/H3995-1,""),"")</f>
        <v/>
      </c>
      <c r="J3995" s="8">
        <f>IFERROR(IF(ISNUMBER(C3995),MAX(C3995,IFERROR(J3994,C3995)),""),"")</f>
        <v/>
      </c>
      <c r="K3995" s="29">
        <f>IFERROR(IF(AND(ISNUMBER(C3995),ISNUMBER(J3995)),C3995/J3995-1,""),"")</f>
        <v/>
      </c>
      <c r="L3995" s="28">
        <f>IFERROR(IF(AND(ISNUMBER(D3995),ISNUMBER(E3995)),D3995-E3995,""),"")</f>
        <v/>
      </c>
    </row>
    <row r="3996">
      <c r="A3996" s="7">
        <f>IFERROR(Datos!A3996,"")</f>
        <v/>
      </c>
      <c r="B3996" s="8">
        <f>IFERROR(Datos!B3996,"")</f>
        <v/>
      </c>
      <c r="C3996" s="8">
        <f>IFERROR(Datos!C3996,"")</f>
        <v/>
      </c>
      <c r="D3996" s="28">
        <f>IFERROR(IF(AND(ISNUMBER(B3996),ISNUMBER(B3995),B3995&lt;&gt;0),B3996/B3995-1,""),"")</f>
        <v/>
      </c>
      <c r="E3996" s="28">
        <f>IFERROR(IF(AND(ISNUMBER(C3996),ISNUMBER(C3995),C3995&lt;&gt;0),C3996/C3995-1,""),"")</f>
        <v/>
      </c>
      <c r="F3996" s="28">
        <f>IFERROR(D3996-Dashboard!$B$4/252,"")</f>
        <v/>
      </c>
      <c r="G3996" s="28">
        <f>IFERROR(E3996-Dashboard!$B$4/252,"")</f>
        <v/>
      </c>
      <c r="H3996" s="8">
        <f>IFERROR(IF(ISNUMBER(B3996),MAX(B3996,IFERROR(H3995,B3996)),""),"")</f>
        <v/>
      </c>
      <c r="I3996" s="29">
        <f>IFERROR(IF(AND(ISNUMBER(B3996),ISNUMBER(H3996)),B3996/H3996-1,""),"")</f>
        <v/>
      </c>
      <c r="J3996" s="8">
        <f>IFERROR(IF(ISNUMBER(C3996),MAX(C3996,IFERROR(J3995,C3996)),""),"")</f>
        <v/>
      </c>
      <c r="K3996" s="29">
        <f>IFERROR(IF(AND(ISNUMBER(C3996),ISNUMBER(J3996)),C3996/J3996-1,""),"")</f>
        <v/>
      </c>
      <c r="L3996" s="28">
        <f>IFERROR(IF(AND(ISNUMBER(D3996),ISNUMBER(E3996)),D3996-E3996,""),"")</f>
        <v/>
      </c>
    </row>
    <row r="3997">
      <c r="A3997" s="7">
        <f>IFERROR(Datos!A3997,"")</f>
        <v/>
      </c>
      <c r="B3997" s="8">
        <f>IFERROR(Datos!B3997,"")</f>
        <v/>
      </c>
      <c r="C3997" s="8">
        <f>IFERROR(Datos!C3997,"")</f>
        <v/>
      </c>
      <c r="D3997" s="28">
        <f>IFERROR(IF(AND(ISNUMBER(B3997),ISNUMBER(B3996),B3996&lt;&gt;0),B3997/B3996-1,""),"")</f>
        <v/>
      </c>
      <c r="E3997" s="28">
        <f>IFERROR(IF(AND(ISNUMBER(C3997),ISNUMBER(C3996),C3996&lt;&gt;0),C3997/C3996-1,""),"")</f>
        <v/>
      </c>
      <c r="F3997" s="28">
        <f>IFERROR(D3997-Dashboard!$B$4/252,"")</f>
        <v/>
      </c>
      <c r="G3997" s="28">
        <f>IFERROR(E3997-Dashboard!$B$4/252,"")</f>
        <v/>
      </c>
      <c r="H3997" s="8">
        <f>IFERROR(IF(ISNUMBER(B3997),MAX(B3997,IFERROR(H3996,B3997)),""),"")</f>
        <v/>
      </c>
      <c r="I3997" s="29">
        <f>IFERROR(IF(AND(ISNUMBER(B3997),ISNUMBER(H3997)),B3997/H3997-1,""),"")</f>
        <v/>
      </c>
      <c r="J3997" s="8">
        <f>IFERROR(IF(ISNUMBER(C3997),MAX(C3997,IFERROR(J3996,C3997)),""),"")</f>
        <v/>
      </c>
      <c r="K3997" s="29">
        <f>IFERROR(IF(AND(ISNUMBER(C3997),ISNUMBER(J3997)),C3997/J3997-1,""),"")</f>
        <v/>
      </c>
      <c r="L3997" s="28">
        <f>IFERROR(IF(AND(ISNUMBER(D3997),ISNUMBER(E3997)),D3997-E3997,""),"")</f>
        <v/>
      </c>
    </row>
    <row r="3998">
      <c r="A3998" s="7">
        <f>IFERROR(Datos!A3998,"")</f>
        <v/>
      </c>
      <c r="B3998" s="8">
        <f>IFERROR(Datos!B3998,"")</f>
        <v/>
      </c>
      <c r="C3998" s="8">
        <f>IFERROR(Datos!C3998,"")</f>
        <v/>
      </c>
      <c r="D3998" s="28">
        <f>IFERROR(IF(AND(ISNUMBER(B3998),ISNUMBER(B3997),B3997&lt;&gt;0),B3998/B3997-1,""),"")</f>
        <v/>
      </c>
      <c r="E3998" s="28">
        <f>IFERROR(IF(AND(ISNUMBER(C3998),ISNUMBER(C3997),C3997&lt;&gt;0),C3998/C3997-1,""),"")</f>
        <v/>
      </c>
      <c r="F3998" s="28">
        <f>IFERROR(D3998-Dashboard!$B$4/252,"")</f>
        <v/>
      </c>
      <c r="G3998" s="28">
        <f>IFERROR(E3998-Dashboard!$B$4/252,"")</f>
        <v/>
      </c>
      <c r="H3998" s="8">
        <f>IFERROR(IF(ISNUMBER(B3998),MAX(B3998,IFERROR(H3997,B3998)),""),"")</f>
        <v/>
      </c>
      <c r="I3998" s="29">
        <f>IFERROR(IF(AND(ISNUMBER(B3998),ISNUMBER(H3998)),B3998/H3998-1,""),"")</f>
        <v/>
      </c>
      <c r="J3998" s="8">
        <f>IFERROR(IF(ISNUMBER(C3998),MAX(C3998,IFERROR(J3997,C3998)),""),"")</f>
        <v/>
      </c>
      <c r="K3998" s="29">
        <f>IFERROR(IF(AND(ISNUMBER(C3998),ISNUMBER(J3998)),C3998/J3998-1,""),"")</f>
        <v/>
      </c>
      <c r="L3998" s="28">
        <f>IFERROR(IF(AND(ISNUMBER(D3998),ISNUMBER(E3998)),D3998-E3998,""),"")</f>
        <v/>
      </c>
    </row>
    <row r="3999">
      <c r="A3999" s="7">
        <f>IFERROR(Datos!A3999,"")</f>
        <v/>
      </c>
      <c r="B3999" s="8">
        <f>IFERROR(Datos!B3999,"")</f>
        <v/>
      </c>
      <c r="C3999" s="8">
        <f>IFERROR(Datos!C3999,"")</f>
        <v/>
      </c>
      <c r="D3999" s="28">
        <f>IFERROR(IF(AND(ISNUMBER(B3999),ISNUMBER(B3998),B3998&lt;&gt;0),B3999/B3998-1,""),"")</f>
        <v/>
      </c>
      <c r="E3999" s="28">
        <f>IFERROR(IF(AND(ISNUMBER(C3999),ISNUMBER(C3998),C3998&lt;&gt;0),C3999/C3998-1,""),"")</f>
        <v/>
      </c>
      <c r="F3999" s="28">
        <f>IFERROR(D3999-Dashboard!$B$4/252,"")</f>
        <v/>
      </c>
      <c r="G3999" s="28">
        <f>IFERROR(E3999-Dashboard!$B$4/252,"")</f>
        <v/>
      </c>
      <c r="H3999" s="8">
        <f>IFERROR(IF(ISNUMBER(B3999),MAX(B3999,IFERROR(H3998,B3999)),""),"")</f>
        <v/>
      </c>
      <c r="I3999" s="29">
        <f>IFERROR(IF(AND(ISNUMBER(B3999),ISNUMBER(H3999)),B3999/H3999-1,""),"")</f>
        <v/>
      </c>
      <c r="J3999" s="8">
        <f>IFERROR(IF(ISNUMBER(C3999),MAX(C3999,IFERROR(J3998,C3999)),""),"")</f>
        <v/>
      </c>
      <c r="K3999" s="29">
        <f>IFERROR(IF(AND(ISNUMBER(C3999),ISNUMBER(J3999)),C3999/J3999-1,""),"")</f>
        <v/>
      </c>
      <c r="L3999" s="28">
        <f>IFERROR(IF(AND(ISNUMBER(D3999),ISNUMBER(E3999)),D3999-E3999,""),"")</f>
        <v/>
      </c>
    </row>
    <row r="4000">
      <c r="A4000" s="7">
        <f>IFERROR(Datos!A4000,"")</f>
        <v/>
      </c>
      <c r="B4000" s="8">
        <f>IFERROR(Datos!B4000,"")</f>
        <v/>
      </c>
      <c r="C4000" s="8">
        <f>IFERROR(Datos!C4000,"")</f>
        <v/>
      </c>
      <c r="D4000" s="28">
        <f>IFERROR(IF(AND(ISNUMBER(B4000),ISNUMBER(B3999),B3999&lt;&gt;0),B4000/B3999-1,""),"")</f>
        <v/>
      </c>
      <c r="E4000" s="28">
        <f>IFERROR(IF(AND(ISNUMBER(C4000),ISNUMBER(C3999),C3999&lt;&gt;0),C4000/C3999-1,""),"")</f>
        <v/>
      </c>
      <c r="F4000" s="28">
        <f>IFERROR(D4000-Dashboard!$B$4/252,"")</f>
        <v/>
      </c>
      <c r="G4000" s="28">
        <f>IFERROR(E4000-Dashboard!$B$4/252,"")</f>
        <v/>
      </c>
      <c r="H4000" s="8">
        <f>IFERROR(IF(ISNUMBER(B4000),MAX(B4000,IFERROR(H3999,B4000)),""),"")</f>
        <v/>
      </c>
      <c r="I4000" s="29">
        <f>IFERROR(IF(AND(ISNUMBER(B4000),ISNUMBER(H4000)),B4000/H4000-1,""),"")</f>
        <v/>
      </c>
      <c r="J4000" s="8">
        <f>IFERROR(IF(ISNUMBER(C4000),MAX(C4000,IFERROR(J3999,C4000)),""),"")</f>
        <v/>
      </c>
      <c r="K4000" s="29">
        <f>IFERROR(IF(AND(ISNUMBER(C4000),ISNUMBER(J4000)),C4000/J4000-1,""),"")</f>
        <v/>
      </c>
      <c r="L4000" s="28">
        <f>IFERROR(IF(AND(ISNUMBER(D4000),ISNUMBER(E4000)),D4000-E4000,""),"")</f>
        <v/>
      </c>
    </row>
    <row r="4001">
      <c r="A4001" s="7">
        <f>IFERROR(Datos!A4001,"")</f>
        <v/>
      </c>
      <c r="B4001" s="8">
        <f>IFERROR(Datos!B4001,"")</f>
        <v/>
      </c>
      <c r="C4001" s="8">
        <f>IFERROR(Datos!C4001,"")</f>
        <v/>
      </c>
      <c r="D4001" s="28">
        <f>IFERROR(IF(AND(ISNUMBER(B4001),ISNUMBER(B4000),B4000&lt;&gt;0),B4001/B4000-1,""),"")</f>
        <v/>
      </c>
      <c r="E4001" s="28">
        <f>IFERROR(IF(AND(ISNUMBER(C4001),ISNUMBER(C4000),C4000&lt;&gt;0),C4001/C4000-1,""),"")</f>
        <v/>
      </c>
      <c r="F4001" s="28">
        <f>IFERROR(D4001-Dashboard!$B$4/252,"")</f>
        <v/>
      </c>
      <c r="G4001" s="28">
        <f>IFERROR(E4001-Dashboard!$B$4/252,"")</f>
        <v/>
      </c>
      <c r="H4001" s="8">
        <f>IFERROR(IF(ISNUMBER(B4001),MAX(B4001,IFERROR(H4000,B4001)),""),"")</f>
        <v/>
      </c>
      <c r="I4001" s="29">
        <f>IFERROR(IF(AND(ISNUMBER(B4001),ISNUMBER(H4001)),B4001/H4001-1,""),"")</f>
        <v/>
      </c>
      <c r="J4001" s="8">
        <f>IFERROR(IF(ISNUMBER(C4001),MAX(C4001,IFERROR(J4000,C4001)),""),"")</f>
        <v/>
      </c>
      <c r="K4001" s="29">
        <f>IFERROR(IF(AND(ISNUMBER(C4001),ISNUMBER(J4001)),C4001/J4001-1,""),"")</f>
        <v/>
      </c>
      <c r="L4001" s="28">
        <f>IFERROR(IF(AND(ISNUMBER(D4001),ISNUMBER(E4001)),D4001-E4001,""),"")</f>
        <v/>
      </c>
    </row>
    <row r="4002">
      <c r="A4002" s="7">
        <f>IFERROR(Datos!A4002,"")</f>
        <v/>
      </c>
      <c r="B4002" s="8">
        <f>IFERROR(Datos!B4002,"")</f>
        <v/>
      </c>
      <c r="C4002" s="8">
        <f>IFERROR(Datos!C4002,"")</f>
        <v/>
      </c>
      <c r="D4002" s="28">
        <f>IFERROR(IF(AND(ISNUMBER(B4002),ISNUMBER(B4001),B4001&lt;&gt;0),B4002/B4001-1,""),"")</f>
        <v/>
      </c>
      <c r="E4002" s="28">
        <f>IFERROR(IF(AND(ISNUMBER(C4002),ISNUMBER(C4001),C4001&lt;&gt;0),C4002/C4001-1,""),"")</f>
        <v/>
      </c>
      <c r="F4002" s="28">
        <f>IFERROR(D4002-Dashboard!$B$4/252,"")</f>
        <v/>
      </c>
      <c r="G4002" s="28">
        <f>IFERROR(E4002-Dashboard!$B$4/252,"")</f>
        <v/>
      </c>
      <c r="H4002" s="8">
        <f>IFERROR(IF(ISNUMBER(B4002),MAX(B4002,IFERROR(H4001,B4002)),""),"")</f>
        <v/>
      </c>
      <c r="I4002" s="29">
        <f>IFERROR(IF(AND(ISNUMBER(B4002),ISNUMBER(H4002)),B4002/H4002-1,""),"")</f>
        <v/>
      </c>
      <c r="J4002" s="8">
        <f>IFERROR(IF(ISNUMBER(C4002),MAX(C4002,IFERROR(J4001,C4002)),""),"")</f>
        <v/>
      </c>
      <c r="K4002" s="29">
        <f>IFERROR(IF(AND(ISNUMBER(C4002),ISNUMBER(J4002)),C4002/J4002-1,""),"")</f>
        <v/>
      </c>
      <c r="L4002" s="28">
        <f>IFERROR(IF(AND(ISNUMBER(D4002),ISNUMBER(E4002)),D4002-E4002,""),"")</f>
        <v/>
      </c>
    </row>
    <row r="4003">
      <c r="A4003" s="7">
        <f>IFERROR(Datos!A4003,"")</f>
        <v/>
      </c>
      <c r="B4003" s="8">
        <f>IFERROR(Datos!B4003,"")</f>
        <v/>
      </c>
      <c r="C4003" s="8">
        <f>IFERROR(Datos!C4003,"")</f>
        <v/>
      </c>
      <c r="D4003" s="28">
        <f>IFERROR(IF(AND(ISNUMBER(B4003),ISNUMBER(B4002),B4002&lt;&gt;0),B4003/B4002-1,""),"")</f>
        <v/>
      </c>
      <c r="E4003" s="28">
        <f>IFERROR(IF(AND(ISNUMBER(C4003),ISNUMBER(C4002),C4002&lt;&gt;0),C4003/C4002-1,""),"")</f>
        <v/>
      </c>
      <c r="F4003" s="28">
        <f>IFERROR(D4003-Dashboard!$B$4/252,"")</f>
        <v/>
      </c>
      <c r="G4003" s="28">
        <f>IFERROR(E4003-Dashboard!$B$4/252,"")</f>
        <v/>
      </c>
      <c r="H4003" s="8">
        <f>IFERROR(IF(ISNUMBER(B4003),MAX(B4003,IFERROR(H4002,B4003)),""),"")</f>
        <v/>
      </c>
      <c r="I4003" s="29">
        <f>IFERROR(IF(AND(ISNUMBER(B4003),ISNUMBER(H4003)),B4003/H4003-1,""),"")</f>
        <v/>
      </c>
      <c r="J4003" s="8">
        <f>IFERROR(IF(ISNUMBER(C4003),MAX(C4003,IFERROR(J4002,C4003)),""),"")</f>
        <v/>
      </c>
      <c r="K4003" s="29">
        <f>IFERROR(IF(AND(ISNUMBER(C4003),ISNUMBER(J4003)),C4003/J4003-1,""),"")</f>
        <v/>
      </c>
      <c r="L4003" s="28">
        <f>IFERROR(IF(AND(ISNUMBER(D4003),ISNUMBER(E4003)),D4003-E4003,""),"")</f>
        <v/>
      </c>
    </row>
    <row r="4004">
      <c r="A4004" s="7">
        <f>IFERROR(Datos!A4004,"")</f>
        <v/>
      </c>
      <c r="B4004" s="8">
        <f>IFERROR(Datos!B4004,"")</f>
        <v/>
      </c>
      <c r="C4004" s="8">
        <f>IFERROR(Datos!C4004,"")</f>
        <v/>
      </c>
      <c r="D4004" s="28">
        <f>IFERROR(IF(AND(ISNUMBER(B4004),ISNUMBER(B4003),B4003&lt;&gt;0),B4004/B4003-1,""),"")</f>
        <v/>
      </c>
      <c r="E4004" s="28">
        <f>IFERROR(IF(AND(ISNUMBER(C4004),ISNUMBER(C4003),C4003&lt;&gt;0),C4004/C4003-1,""),"")</f>
        <v/>
      </c>
      <c r="F4004" s="28">
        <f>IFERROR(D4004-Dashboard!$B$4/252,"")</f>
        <v/>
      </c>
      <c r="G4004" s="28">
        <f>IFERROR(E4004-Dashboard!$B$4/252,"")</f>
        <v/>
      </c>
      <c r="H4004" s="8">
        <f>IFERROR(IF(ISNUMBER(B4004),MAX(B4004,IFERROR(H4003,B4004)),""),"")</f>
        <v/>
      </c>
      <c r="I4004" s="29">
        <f>IFERROR(IF(AND(ISNUMBER(B4004),ISNUMBER(H4004)),B4004/H4004-1,""),"")</f>
        <v/>
      </c>
      <c r="J4004" s="8">
        <f>IFERROR(IF(ISNUMBER(C4004),MAX(C4004,IFERROR(J4003,C4004)),""),"")</f>
        <v/>
      </c>
      <c r="K4004" s="29">
        <f>IFERROR(IF(AND(ISNUMBER(C4004),ISNUMBER(J4004)),C4004/J4004-1,""),"")</f>
        <v/>
      </c>
      <c r="L4004" s="28">
        <f>IFERROR(IF(AND(ISNUMBER(D4004),ISNUMBER(E4004)),D4004-E4004,""),"")</f>
        <v/>
      </c>
    </row>
    <row r="4005">
      <c r="A4005" s="7">
        <f>IFERROR(Datos!A4005,"")</f>
        <v/>
      </c>
      <c r="B4005" s="8">
        <f>IFERROR(Datos!B4005,"")</f>
        <v/>
      </c>
      <c r="C4005" s="8">
        <f>IFERROR(Datos!C4005,"")</f>
        <v/>
      </c>
      <c r="D4005" s="28">
        <f>IFERROR(IF(AND(ISNUMBER(B4005),ISNUMBER(B4004),B4004&lt;&gt;0),B4005/B4004-1,""),"")</f>
        <v/>
      </c>
      <c r="E4005" s="28">
        <f>IFERROR(IF(AND(ISNUMBER(C4005),ISNUMBER(C4004),C4004&lt;&gt;0),C4005/C4004-1,""),"")</f>
        <v/>
      </c>
      <c r="F4005" s="28">
        <f>IFERROR(D4005-Dashboard!$B$4/252,"")</f>
        <v/>
      </c>
      <c r="G4005" s="28">
        <f>IFERROR(E4005-Dashboard!$B$4/252,"")</f>
        <v/>
      </c>
      <c r="H4005" s="8">
        <f>IFERROR(IF(ISNUMBER(B4005),MAX(B4005,IFERROR(H4004,B4005)),""),"")</f>
        <v/>
      </c>
      <c r="I4005" s="29">
        <f>IFERROR(IF(AND(ISNUMBER(B4005),ISNUMBER(H4005)),B4005/H4005-1,""),"")</f>
        <v/>
      </c>
      <c r="J4005" s="8">
        <f>IFERROR(IF(ISNUMBER(C4005),MAX(C4005,IFERROR(J4004,C4005)),""),"")</f>
        <v/>
      </c>
      <c r="K4005" s="29">
        <f>IFERROR(IF(AND(ISNUMBER(C4005),ISNUMBER(J4005)),C4005/J4005-1,""),"")</f>
        <v/>
      </c>
      <c r="L4005" s="28">
        <f>IFERROR(IF(AND(ISNUMBER(D4005),ISNUMBER(E4005)),D4005-E4005,""),"")</f>
        <v/>
      </c>
    </row>
    <row r="4006">
      <c r="A4006" s="7">
        <f>IFERROR(Datos!A4006,"")</f>
        <v/>
      </c>
      <c r="B4006" s="8">
        <f>IFERROR(Datos!B4006,"")</f>
        <v/>
      </c>
      <c r="C4006" s="8">
        <f>IFERROR(Datos!C4006,"")</f>
        <v/>
      </c>
      <c r="D4006" s="28">
        <f>IFERROR(IF(AND(ISNUMBER(B4006),ISNUMBER(B4005),B4005&lt;&gt;0),B4006/B4005-1,""),"")</f>
        <v/>
      </c>
      <c r="E4006" s="28">
        <f>IFERROR(IF(AND(ISNUMBER(C4006),ISNUMBER(C4005),C4005&lt;&gt;0),C4006/C4005-1,""),"")</f>
        <v/>
      </c>
      <c r="F4006" s="28">
        <f>IFERROR(D4006-Dashboard!$B$4/252,"")</f>
        <v/>
      </c>
      <c r="G4006" s="28">
        <f>IFERROR(E4006-Dashboard!$B$4/252,"")</f>
        <v/>
      </c>
      <c r="H4006" s="8">
        <f>IFERROR(IF(ISNUMBER(B4006),MAX(B4006,IFERROR(H4005,B4006)),""),"")</f>
        <v/>
      </c>
      <c r="I4006" s="29">
        <f>IFERROR(IF(AND(ISNUMBER(B4006),ISNUMBER(H4006)),B4006/H4006-1,""),"")</f>
        <v/>
      </c>
      <c r="J4006" s="8">
        <f>IFERROR(IF(ISNUMBER(C4006),MAX(C4006,IFERROR(J4005,C4006)),""),"")</f>
        <v/>
      </c>
      <c r="K4006" s="29">
        <f>IFERROR(IF(AND(ISNUMBER(C4006),ISNUMBER(J4006)),C4006/J4006-1,""),"")</f>
        <v/>
      </c>
      <c r="L4006" s="28">
        <f>IFERROR(IF(AND(ISNUMBER(D4006),ISNUMBER(E4006)),D4006-E4006,""),"")</f>
        <v/>
      </c>
    </row>
    <row r="4007">
      <c r="A4007" s="7">
        <f>IFERROR(Datos!A4007,"")</f>
        <v/>
      </c>
      <c r="B4007" s="8">
        <f>IFERROR(Datos!B4007,"")</f>
        <v/>
      </c>
      <c r="C4007" s="8">
        <f>IFERROR(Datos!C4007,"")</f>
        <v/>
      </c>
      <c r="D4007" s="28">
        <f>IFERROR(IF(AND(ISNUMBER(B4007),ISNUMBER(B4006),B4006&lt;&gt;0),B4007/B4006-1,""),"")</f>
        <v/>
      </c>
      <c r="E4007" s="28">
        <f>IFERROR(IF(AND(ISNUMBER(C4007),ISNUMBER(C4006),C4006&lt;&gt;0),C4007/C4006-1,""),"")</f>
        <v/>
      </c>
      <c r="F4007" s="28">
        <f>IFERROR(D4007-Dashboard!$B$4/252,"")</f>
        <v/>
      </c>
      <c r="G4007" s="28">
        <f>IFERROR(E4007-Dashboard!$B$4/252,"")</f>
        <v/>
      </c>
      <c r="H4007" s="8">
        <f>IFERROR(IF(ISNUMBER(B4007),MAX(B4007,IFERROR(H4006,B4007)),""),"")</f>
        <v/>
      </c>
      <c r="I4007" s="29">
        <f>IFERROR(IF(AND(ISNUMBER(B4007),ISNUMBER(H4007)),B4007/H4007-1,""),"")</f>
        <v/>
      </c>
      <c r="J4007" s="8">
        <f>IFERROR(IF(ISNUMBER(C4007),MAX(C4007,IFERROR(J4006,C4007)),""),"")</f>
        <v/>
      </c>
      <c r="K4007" s="29">
        <f>IFERROR(IF(AND(ISNUMBER(C4007),ISNUMBER(J4007)),C4007/J4007-1,""),"")</f>
        <v/>
      </c>
      <c r="L4007" s="28">
        <f>IFERROR(IF(AND(ISNUMBER(D4007),ISNUMBER(E4007)),D4007-E4007,""),"")</f>
        <v/>
      </c>
    </row>
    <row r="4008">
      <c r="A4008" s="7">
        <f>IFERROR(Datos!A4008,"")</f>
        <v/>
      </c>
      <c r="B4008" s="8">
        <f>IFERROR(Datos!B4008,"")</f>
        <v/>
      </c>
      <c r="C4008" s="8">
        <f>IFERROR(Datos!C4008,"")</f>
        <v/>
      </c>
      <c r="D4008" s="28">
        <f>IFERROR(IF(AND(ISNUMBER(B4008),ISNUMBER(B4007),B4007&lt;&gt;0),B4008/B4007-1,""),"")</f>
        <v/>
      </c>
      <c r="E4008" s="28">
        <f>IFERROR(IF(AND(ISNUMBER(C4008),ISNUMBER(C4007),C4007&lt;&gt;0),C4008/C4007-1,""),"")</f>
        <v/>
      </c>
      <c r="F4008" s="28">
        <f>IFERROR(D4008-Dashboard!$B$4/252,"")</f>
        <v/>
      </c>
      <c r="G4008" s="28">
        <f>IFERROR(E4008-Dashboard!$B$4/252,"")</f>
        <v/>
      </c>
      <c r="H4008" s="8">
        <f>IFERROR(IF(ISNUMBER(B4008),MAX(B4008,IFERROR(H4007,B4008)),""),"")</f>
        <v/>
      </c>
      <c r="I4008" s="29">
        <f>IFERROR(IF(AND(ISNUMBER(B4008),ISNUMBER(H4008)),B4008/H4008-1,""),"")</f>
        <v/>
      </c>
      <c r="J4008" s="8">
        <f>IFERROR(IF(ISNUMBER(C4008),MAX(C4008,IFERROR(J4007,C4008)),""),"")</f>
        <v/>
      </c>
      <c r="K4008" s="29">
        <f>IFERROR(IF(AND(ISNUMBER(C4008),ISNUMBER(J4008)),C4008/J4008-1,""),"")</f>
        <v/>
      </c>
      <c r="L4008" s="28">
        <f>IFERROR(IF(AND(ISNUMBER(D4008),ISNUMBER(E4008)),D4008-E4008,""),"")</f>
        <v/>
      </c>
    </row>
    <row r="4009">
      <c r="A4009" s="7">
        <f>IFERROR(Datos!A4009,"")</f>
        <v/>
      </c>
      <c r="B4009" s="8">
        <f>IFERROR(Datos!B4009,"")</f>
        <v/>
      </c>
      <c r="C4009" s="8">
        <f>IFERROR(Datos!C4009,"")</f>
        <v/>
      </c>
      <c r="D4009" s="28">
        <f>IFERROR(IF(AND(ISNUMBER(B4009),ISNUMBER(B4008),B4008&lt;&gt;0),B4009/B4008-1,""),"")</f>
        <v/>
      </c>
      <c r="E4009" s="28">
        <f>IFERROR(IF(AND(ISNUMBER(C4009),ISNUMBER(C4008),C4008&lt;&gt;0),C4009/C4008-1,""),"")</f>
        <v/>
      </c>
      <c r="F4009" s="28">
        <f>IFERROR(D4009-Dashboard!$B$4/252,"")</f>
        <v/>
      </c>
      <c r="G4009" s="28">
        <f>IFERROR(E4009-Dashboard!$B$4/252,"")</f>
        <v/>
      </c>
      <c r="H4009" s="8">
        <f>IFERROR(IF(ISNUMBER(B4009),MAX(B4009,IFERROR(H4008,B4009)),""),"")</f>
        <v/>
      </c>
      <c r="I4009" s="29">
        <f>IFERROR(IF(AND(ISNUMBER(B4009),ISNUMBER(H4009)),B4009/H4009-1,""),"")</f>
        <v/>
      </c>
      <c r="J4009" s="8">
        <f>IFERROR(IF(ISNUMBER(C4009),MAX(C4009,IFERROR(J4008,C4009)),""),"")</f>
        <v/>
      </c>
      <c r="K4009" s="29">
        <f>IFERROR(IF(AND(ISNUMBER(C4009),ISNUMBER(J4009)),C4009/J4009-1,""),"")</f>
        <v/>
      </c>
      <c r="L4009" s="28">
        <f>IFERROR(IF(AND(ISNUMBER(D4009),ISNUMBER(E4009)),D4009-E4009,""),"")</f>
        <v/>
      </c>
    </row>
    <row r="4010">
      <c r="A4010" s="7">
        <f>IFERROR(Datos!A4010,"")</f>
        <v/>
      </c>
      <c r="B4010" s="8">
        <f>IFERROR(Datos!B4010,"")</f>
        <v/>
      </c>
      <c r="C4010" s="8">
        <f>IFERROR(Datos!C4010,"")</f>
        <v/>
      </c>
      <c r="D4010" s="28">
        <f>IFERROR(IF(AND(ISNUMBER(B4010),ISNUMBER(B4009),B4009&lt;&gt;0),B4010/B4009-1,""),"")</f>
        <v/>
      </c>
      <c r="E4010" s="28">
        <f>IFERROR(IF(AND(ISNUMBER(C4010),ISNUMBER(C4009),C4009&lt;&gt;0),C4010/C4009-1,""),"")</f>
        <v/>
      </c>
      <c r="F4010" s="28">
        <f>IFERROR(D4010-Dashboard!$B$4/252,"")</f>
        <v/>
      </c>
      <c r="G4010" s="28">
        <f>IFERROR(E4010-Dashboard!$B$4/252,"")</f>
        <v/>
      </c>
      <c r="H4010" s="8">
        <f>IFERROR(IF(ISNUMBER(B4010),MAX(B4010,IFERROR(H4009,B4010)),""),"")</f>
        <v/>
      </c>
      <c r="I4010" s="29">
        <f>IFERROR(IF(AND(ISNUMBER(B4010),ISNUMBER(H4010)),B4010/H4010-1,""),"")</f>
        <v/>
      </c>
      <c r="J4010" s="8">
        <f>IFERROR(IF(ISNUMBER(C4010),MAX(C4010,IFERROR(J4009,C4010)),""),"")</f>
        <v/>
      </c>
      <c r="K4010" s="29">
        <f>IFERROR(IF(AND(ISNUMBER(C4010),ISNUMBER(J4010)),C4010/J4010-1,""),"")</f>
        <v/>
      </c>
      <c r="L4010" s="28">
        <f>IFERROR(IF(AND(ISNUMBER(D4010),ISNUMBER(E4010)),D4010-E4010,""),"")</f>
        <v/>
      </c>
    </row>
    <row r="4011">
      <c r="A4011" s="7">
        <f>IFERROR(Datos!A4011,"")</f>
        <v/>
      </c>
      <c r="B4011" s="8">
        <f>IFERROR(Datos!B4011,"")</f>
        <v/>
      </c>
      <c r="C4011" s="8">
        <f>IFERROR(Datos!C4011,"")</f>
        <v/>
      </c>
      <c r="D4011" s="28">
        <f>IFERROR(IF(AND(ISNUMBER(B4011),ISNUMBER(B4010),B4010&lt;&gt;0),B4011/B4010-1,""),"")</f>
        <v/>
      </c>
      <c r="E4011" s="28">
        <f>IFERROR(IF(AND(ISNUMBER(C4011),ISNUMBER(C4010),C4010&lt;&gt;0),C4011/C4010-1,""),"")</f>
        <v/>
      </c>
      <c r="F4011" s="28">
        <f>IFERROR(D4011-Dashboard!$B$4/252,"")</f>
        <v/>
      </c>
      <c r="G4011" s="28">
        <f>IFERROR(E4011-Dashboard!$B$4/252,"")</f>
        <v/>
      </c>
      <c r="H4011" s="8">
        <f>IFERROR(IF(ISNUMBER(B4011),MAX(B4011,IFERROR(H4010,B4011)),""),"")</f>
        <v/>
      </c>
      <c r="I4011" s="29">
        <f>IFERROR(IF(AND(ISNUMBER(B4011),ISNUMBER(H4011)),B4011/H4011-1,""),"")</f>
        <v/>
      </c>
      <c r="J4011" s="8">
        <f>IFERROR(IF(ISNUMBER(C4011),MAX(C4011,IFERROR(J4010,C4011)),""),"")</f>
        <v/>
      </c>
      <c r="K4011" s="29">
        <f>IFERROR(IF(AND(ISNUMBER(C4011),ISNUMBER(J4011)),C4011/J4011-1,""),"")</f>
        <v/>
      </c>
      <c r="L4011" s="28">
        <f>IFERROR(IF(AND(ISNUMBER(D4011),ISNUMBER(E4011)),D4011-E4011,""),"")</f>
        <v/>
      </c>
    </row>
    <row r="4012">
      <c r="A4012" s="7">
        <f>IFERROR(Datos!A4012,"")</f>
        <v/>
      </c>
      <c r="B4012" s="8">
        <f>IFERROR(Datos!B4012,"")</f>
        <v/>
      </c>
      <c r="C4012" s="8">
        <f>IFERROR(Datos!C4012,"")</f>
        <v/>
      </c>
      <c r="D4012" s="28">
        <f>IFERROR(IF(AND(ISNUMBER(B4012),ISNUMBER(B4011),B4011&lt;&gt;0),B4012/B4011-1,""),"")</f>
        <v/>
      </c>
      <c r="E4012" s="28">
        <f>IFERROR(IF(AND(ISNUMBER(C4012),ISNUMBER(C4011),C4011&lt;&gt;0),C4012/C4011-1,""),"")</f>
        <v/>
      </c>
      <c r="F4012" s="28">
        <f>IFERROR(D4012-Dashboard!$B$4/252,"")</f>
        <v/>
      </c>
      <c r="G4012" s="28">
        <f>IFERROR(E4012-Dashboard!$B$4/252,"")</f>
        <v/>
      </c>
      <c r="H4012" s="8">
        <f>IFERROR(IF(ISNUMBER(B4012),MAX(B4012,IFERROR(H4011,B4012)),""),"")</f>
        <v/>
      </c>
      <c r="I4012" s="29">
        <f>IFERROR(IF(AND(ISNUMBER(B4012),ISNUMBER(H4012)),B4012/H4012-1,""),"")</f>
        <v/>
      </c>
      <c r="J4012" s="8">
        <f>IFERROR(IF(ISNUMBER(C4012),MAX(C4012,IFERROR(J4011,C4012)),""),"")</f>
        <v/>
      </c>
      <c r="K4012" s="29">
        <f>IFERROR(IF(AND(ISNUMBER(C4012),ISNUMBER(J4012)),C4012/J4012-1,""),"")</f>
        <v/>
      </c>
      <c r="L4012" s="28">
        <f>IFERROR(IF(AND(ISNUMBER(D4012),ISNUMBER(E4012)),D4012-E4012,""),"")</f>
        <v/>
      </c>
    </row>
    <row r="4013">
      <c r="A4013" s="7">
        <f>IFERROR(Datos!A4013,"")</f>
        <v/>
      </c>
      <c r="B4013" s="8">
        <f>IFERROR(Datos!B4013,"")</f>
        <v/>
      </c>
      <c r="C4013" s="8">
        <f>IFERROR(Datos!C4013,"")</f>
        <v/>
      </c>
      <c r="D4013" s="28">
        <f>IFERROR(IF(AND(ISNUMBER(B4013),ISNUMBER(B4012),B4012&lt;&gt;0),B4013/B4012-1,""),"")</f>
        <v/>
      </c>
      <c r="E4013" s="28">
        <f>IFERROR(IF(AND(ISNUMBER(C4013),ISNUMBER(C4012),C4012&lt;&gt;0),C4013/C4012-1,""),"")</f>
        <v/>
      </c>
      <c r="F4013" s="28">
        <f>IFERROR(D4013-Dashboard!$B$4/252,"")</f>
        <v/>
      </c>
      <c r="G4013" s="28">
        <f>IFERROR(E4013-Dashboard!$B$4/252,"")</f>
        <v/>
      </c>
      <c r="H4013" s="8">
        <f>IFERROR(IF(ISNUMBER(B4013),MAX(B4013,IFERROR(H4012,B4013)),""),"")</f>
        <v/>
      </c>
      <c r="I4013" s="29">
        <f>IFERROR(IF(AND(ISNUMBER(B4013),ISNUMBER(H4013)),B4013/H4013-1,""),"")</f>
        <v/>
      </c>
      <c r="J4013" s="8">
        <f>IFERROR(IF(ISNUMBER(C4013),MAX(C4013,IFERROR(J4012,C4013)),""),"")</f>
        <v/>
      </c>
      <c r="K4013" s="29">
        <f>IFERROR(IF(AND(ISNUMBER(C4013),ISNUMBER(J4013)),C4013/J4013-1,""),"")</f>
        <v/>
      </c>
      <c r="L4013" s="28">
        <f>IFERROR(IF(AND(ISNUMBER(D4013),ISNUMBER(E4013)),D4013-E4013,""),"")</f>
        <v/>
      </c>
    </row>
    <row r="4014">
      <c r="A4014" s="7">
        <f>IFERROR(Datos!A4014,"")</f>
        <v/>
      </c>
      <c r="B4014" s="8">
        <f>IFERROR(Datos!B4014,"")</f>
        <v/>
      </c>
      <c r="C4014" s="8">
        <f>IFERROR(Datos!C4014,"")</f>
        <v/>
      </c>
      <c r="D4014" s="28">
        <f>IFERROR(IF(AND(ISNUMBER(B4014),ISNUMBER(B4013),B4013&lt;&gt;0),B4014/B4013-1,""),"")</f>
        <v/>
      </c>
      <c r="E4014" s="28">
        <f>IFERROR(IF(AND(ISNUMBER(C4014),ISNUMBER(C4013),C4013&lt;&gt;0),C4014/C4013-1,""),"")</f>
        <v/>
      </c>
      <c r="F4014" s="28">
        <f>IFERROR(D4014-Dashboard!$B$4/252,"")</f>
        <v/>
      </c>
      <c r="G4014" s="28">
        <f>IFERROR(E4014-Dashboard!$B$4/252,"")</f>
        <v/>
      </c>
      <c r="H4014" s="8">
        <f>IFERROR(IF(ISNUMBER(B4014),MAX(B4014,IFERROR(H4013,B4014)),""),"")</f>
        <v/>
      </c>
      <c r="I4014" s="29">
        <f>IFERROR(IF(AND(ISNUMBER(B4014),ISNUMBER(H4014)),B4014/H4014-1,""),"")</f>
        <v/>
      </c>
      <c r="J4014" s="8">
        <f>IFERROR(IF(ISNUMBER(C4014),MAX(C4014,IFERROR(J4013,C4014)),""),"")</f>
        <v/>
      </c>
      <c r="K4014" s="29">
        <f>IFERROR(IF(AND(ISNUMBER(C4014),ISNUMBER(J4014)),C4014/J4014-1,""),"")</f>
        <v/>
      </c>
      <c r="L4014" s="28">
        <f>IFERROR(IF(AND(ISNUMBER(D4014),ISNUMBER(E4014)),D4014-E4014,""),"")</f>
        <v/>
      </c>
    </row>
    <row r="4015">
      <c r="A4015" s="7">
        <f>IFERROR(Datos!A4015,"")</f>
        <v/>
      </c>
      <c r="B4015" s="8">
        <f>IFERROR(Datos!B4015,"")</f>
        <v/>
      </c>
      <c r="C4015" s="8">
        <f>IFERROR(Datos!C4015,"")</f>
        <v/>
      </c>
      <c r="D4015" s="28">
        <f>IFERROR(IF(AND(ISNUMBER(B4015),ISNUMBER(B4014),B4014&lt;&gt;0),B4015/B4014-1,""),"")</f>
        <v/>
      </c>
      <c r="E4015" s="28">
        <f>IFERROR(IF(AND(ISNUMBER(C4015),ISNUMBER(C4014),C4014&lt;&gt;0),C4015/C4014-1,""),"")</f>
        <v/>
      </c>
      <c r="F4015" s="28">
        <f>IFERROR(D4015-Dashboard!$B$4/252,"")</f>
        <v/>
      </c>
      <c r="G4015" s="28">
        <f>IFERROR(E4015-Dashboard!$B$4/252,"")</f>
        <v/>
      </c>
      <c r="H4015" s="8">
        <f>IFERROR(IF(ISNUMBER(B4015),MAX(B4015,IFERROR(H4014,B4015)),""),"")</f>
        <v/>
      </c>
      <c r="I4015" s="29">
        <f>IFERROR(IF(AND(ISNUMBER(B4015),ISNUMBER(H4015)),B4015/H4015-1,""),"")</f>
        <v/>
      </c>
      <c r="J4015" s="8">
        <f>IFERROR(IF(ISNUMBER(C4015),MAX(C4015,IFERROR(J4014,C4015)),""),"")</f>
        <v/>
      </c>
      <c r="K4015" s="29">
        <f>IFERROR(IF(AND(ISNUMBER(C4015),ISNUMBER(J4015)),C4015/J4015-1,""),"")</f>
        <v/>
      </c>
      <c r="L4015" s="28">
        <f>IFERROR(IF(AND(ISNUMBER(D4015),ISNUMBER(E4015)),D4015-E4015,""),"")</f>
        <v/>
      </c>
    </row>
    <row r="4016">
      <c r="A4016" s="7">
        <f>IFERROR(Datos!A4016,"")</f>
        <v/>
      </c>
      <c r="B4016" s="8">
        <f>IFERROR(Datos!B4016,"")</f>
        <v/>
      </c>
      <c r="C4016" s="8">
        <f>IFERROR(Datos!C4016,"")</f>
        <v/>
      </c>
      <c r="D4016" s="28">
        <f>IFERROR(IF(AND(ISNUMBER(B4016),ISNUMBER(B4015),B4015&lt;&gt;0),B4016/B4015-1,""),"")</f>
        <v/>
      </c>
      <c r="E4016" s="28">
        <f>IFERROR(IF(AND(ISNUMBER(C4016),ISNUMBER(C4015),C4015&lt;&gt;0),C4016/C4015-1,""),"")</f>
        <v/>
      </c>
      <c r="F4016" s="28">
        <f>IFERROR(D4016-Dashboard!$B$4/252,"")</f>
        <v/>
      </c>
      <c r="G4016" s="28">
        <f>IFERROR(E4016-Dashboard!$B$4/252,"")</f>
        <v/>
      </c>
      <c r="H4016" s="8">
        <f>IFERROR(IF(ISNUMBER(B4016),MAX(B4016,IFERROR(H4015,B4016)),""),"")</f>
        <v/>
      </c>
      <c r="I4016" s="29">
        <f>IFERROR(IF(AND(ISNUMBER(B4016),ISNUMBER(H4016)),B4016/H4016-1,""),"")</f>
        <v/>
      </c>
      <c r="J4016" s="8">
        <f>IFERROR(IF(ISNUMBER(C4016),MAX(C4016,IFERROR(J4015,C4016)),""),"")</f>
        <v/>
      </c>
      <c r="K4016" s="29">
        <f>IFERROR(IF(AND(ISNUMBER(C4016),ISNUMBER(J4016)),C4016/J4016-1,""),"")</f>
        <v/>
      </c>
      <c r="L4016" s="28">
        <f>IFERROR(IF(AND(ISNUMBER(D4016),ISNUMBER(E4016)),D4016-E4016,""),"")</f>
        <v/>
      </c>
    </row>
    <row r="4017">
      <c r="A4017" s="7">
        <f>IFERROR(Datos!A4017,"")</f>
        <v/>
      </c>
      <c r="B4017" s="8">
        <f>IFERROR(Datos!B4017,"")</f>
        <v/>
      </c>
      <c r="C4017" s="8">
        <f>IFERROR(Datos!C4017,"")</f>
        <v/>
      </c>
      <c r="D4017" s="28">
        <f>IFERROR(IF(AND(ISNUMBER(B4017),ISNUMBER(B4016),B4016&lt;&gt;0),B4017/B4016-1,""),"")</f>
        <v/>
      </c>
      <c r="E4017" s="28">
        <f>IFERROR(IF(AND(ISNUMBER(C4017),ISNUMBER(C4016),C4016&lt;&gt;0),C4017/C4016-1,""),"")</f>
        <v/>
      </c>
      <c r="F4017" s="28">
        <f>IFERROR(D4017-Dashboard!$B$4/252,"")</f>
        <v/>
      </c>
      <c r="G4017" s="28">
        <f>IFERROR(E4017-Dashboard!$B$4/252,"")</f>
        <v/>
      </c>
      <c r="H4017" s="8">
        <f>IFERROR(IF(ISNUMBER(B4017),MAX(B4017,IFERROR(H4016,B4017)),""),"")</f>
        <v/>
      </c>
      <c r="I4017" s="29">
        <f>IFERROR(IF(AND(ISNUMBER(B4017),ISNUMBER(H4017)),B4017/H4017-1,""),"")</f>
        <v/>
      </c>
      <c r="J4017" s="8">
        <f>IFERROR(IF(ISNUMBER(C4017),MAX(C4017,IFERROR(J4016,C4017)),""),"")</f>
        <v/>
      </c>
      <c r="K4017" s="29">
        <f>IFERROR(IF(AND(ISNUMBER(C4017),ISNUMBER(J4017)),C4017/J4017-1,""),"")</f>
        <v/>
      </c>
      <c r="L4017" s="28">
        <f>IFERROR(IF(AND(ISNUMBER(D4017),ISNUMBER(E4017)),D4017-E4017,""),"")</f>
        <v/>
      </c>
    </row>
    <row r="4018">
      <c r="A4018" s="7">
        <f>IFERROR(Datos!A4018,"")</f>
        <v/>
      </c>
      <c r="B4018" s="8">
        <f>IFERROR(Datos!B4018,"")</f>
        <v/>
      </c>
      <c r="C4018" s="8">
        <f>IFERROR(Datos!C4018,"")</f>
        <v/>
      </c>
      <c r="D4018" s="28">
        <f>IFERROR(IF(AND(ISNUMBER(B4018),ISNUMBER(B4017),B4017&lt;&gt;0),B4018/B4017-1,""),"")</f>
        <v/>
      </c>
      <c r="E4018" s="28">
        <f>IFERROR(IF(AND(ISNUMBER(C4018),ISNUMBER(C4017),C4017&lt;&gt;0),C4018/C4017-1,""),"")</f>
        <v/>
      </c>
      <c r="F4018" s="28">
        <f>IFERROR(D4018-Dashboard!$B$4/252,"")</f>
        <v/>
      </c>
      <c r="G4018" s="28">
        <f>IFERROR(E4018-Dashboard!$B$4/252,"")</f>
        <v/>
      </c>
      <c r="H4018" s="8">
        <f>IFERROR(IF(ISNUMBER(B4018),MAX(B4018,IFERROR(H4017,B4018)),""),"")</f>
        <v/>
      </c>
      <c r="I4018" s="29">
        <f>IFERROR(IF(AND(ISNUMBER(B4018),ISNUMBER(H4018)),B4018/H4018-1,""),"")</f>
        <v/>
      </c>
      <c r="J4018" s="8">
        <f>IFERROR(IF(ISNUMBER(C4018),MAX(C4018,IFERROR(J4017,C4018)),""),"")</f>
        <v/>
      </c>
      <c r="K4018" s="29">
        <f>IFERROR(IF(AND(ISNUMBER(C4018),ISNUMBER(J4018)),C4018/J4018-1,""),"")</f>
        <v/>
      </c>
      <c r="L4018" s="28">
        <f>IFERROR(IF(AND(ISNUMBER(D4018),ISNUMBER(E4018)),D4018-E4018,""),"")</f>
        <v/>
      </c>
    </row>
    <row r="4019">
      <c r="A4019" s="7">
        <f>IFERROR(Datos!A4019,"")</f>
        <v/>
      </c>
      <c r="B4019" s="8">
        <f>IFERROR(Datos!B4019,"")</f>
        <v/>
      </c>
      <c r="C4019" s="8">
        <f>IFERROR(Datos!C4019,"")</f>
        <v/>
      </c>
      <c r="D4019" s="28">
        <f>IFERROR(IF(AND(ISNUMBER(B4019),ISNUMBER(B4018),B4018&lt;&gt;0),B4019/B4018-1,""),"")</f>
        <v/>
      </c>
      <c r="E4019" s="28">
        <f>IFERROR(IF(AND(ISNUMBER(C4019),ISNUMBER(C4018),C4018&lt;&gt;0),C4019/C4018-1,""),"")</f>
        <v/>
      </c>
      <c r="F4019" s="28">
        <f>IFERROR(D4019-Dashboard!$B$4/252,"")</f>
        <v/>
      </c>
      <c r="G4019" s="28">
        <f>IFERROR(E4019-Dashboard!$B$4/252,"")</f>
        <v/>
      </c>
      <c r="H4019" s="8">
        <f>IFERROR(IF(ISNUMBER(B4019),MAX(B4019,IFERROR(H4018,B4019)),""),"")</f>
        <v/>
      </c>
      <c r="I4019" s="29">
        <f>IFERROR(IF(AND(ISNUMBER(B4019),ISNUMBER(H4019)),B4019/H4019-1,""),"")</f>
        <v/>
      </c>
      <c r="J4019" s="8">
        <f>IFERROR(IF(ISNUMBER(C4019),MAX(C4019,IFERROR(J4018,C4019)),""),"")</f>
        <v/>
      </c>
      <c r="K4019" s="29">
        <f>IFERROR(IF(AND(ISNUMBER(C4019),ISNUMBER(J4019)),C4019/J4019-1,""),"")</f>
        <v/>
      </c>
      <c r="L4019" s="28">
        <f>IFERROR(IF(AND(ISNUMBER(D4019),ISNUMBER(E4019)),D4019-E4019,""),"")</f>
        <v/>
      </c>
    </row>
    <row r="4020">
      <c r="A4020" s="7">
        <f>IFERROR(Datos!A4020,"")</f>
        <v/>
      </c>
      <c r="B4020" s="8">
        <f>IFERROR(Datos!B4020,"")</f>
        <v/>
      </c>
      <c r="C4020" s="8">
        <f>IFERROR(Datos!C4020,"")</f>
        <v/>
      </c>
      <c r="D4020" s="28">
        <f>IFERROR(IF(AND(ISNUMBER(B4020),ISNUMBER(B4019),B4019&lt;&gt;0),B4020/B4019-1,""),"")</f>
        <v/>
      </c>
      <c r="E4020" s="28">
        <f>IFERROR(IF(AND(ISNUMBER(C4020),ISNUMBER(C4019),C4019&lt;&gt;0),C4020/C4019-1,""),"")</f>
        <v/>
      </c>
      <c r="F4020" s="28">
        <f>IFERROR(D4020-Dashboard!$B$4/252,"")</f>
        <v/>
      </c>
      <c r="G4020" s="28">
        <f>IFERROR(E4020-Dashboard!$B$4/252,"")</f>
        <v/>
      </c>
      <c r="H4020" s="8">
        <f>IFERROR(IF(ISNUMBER(B4020),MAX(B4020,IFERROR(H4019,B4020)),""),"")</f>
        <v/>
      </c>
      <c r="I4020" s="29">
        <f>IFERROR(IF(AND(ISNUMBER(B4020),ISNUMBER(H4020)),B4020/H4020-1,""),"")</f>
        <v/>
      </c>
      <c r="J4020" s="8">
        <f>IFERROR(IF(ISNUMBER(C4020),MAX(C4020,IFERROR(J4019,C4020)),""),"")</f>
        <v/>
      </c>
      <c r="K4020" s="29">
        <f>IFERROR(IF(AND(ISNUMBER(C4020),ISNUMBER(J4020)),C4020/J4020-1,""),"")</f>
        <v/>
      </c>
      <c r="L4020" s="28">
        <f>IFERROR(IF(AND(ISNUMBER(D4020),ISNUMBER(E4020)),D4020-E4020,""),"")</f>
        <v/>
      </c>
    </row>
    <row r="4021">
      <c r="A4021" s="7">
        <f>IFERROR(Datos!A4021,"")</f>
        <v/>
      </c>
      <c r="B4021" s="8">
        <f>IFERROR(Datos!B4021,"")</f>
        <v/>
      </c>
      <c r="C4021" s="8">
        <f>IFERROR(Datos!C4021,"")</f>
        <v/>
      </c>
      <c r="D4021" s="28">
        <f>IFERROR(IF(AND(ISNUMBER(B4021),ISNUMBER(B4020),B4020&lt;&gt;0),B4021/B4020-1,""),"")</f>
        <v/>
      </c>
      <c r="E4021" s="28">
        <f>IFERROR(IF(AND(ISNUMBER(C4021),ISNUMBER(C4020),C4020&lt;&gt;0),C4021/C4020-1,""),"")</f>
        <v/>
      </c>
      <c r="F4021" s="28">
        <f>IFERROR(D4021-Dashboard!$B$4/252,"")</f>
        <v/>
      </c>
      <c r="G4021" s="28">
        <f>IFERROR(E4021-Dashboard!$B$4/252,"")</f>
        <v/>
      </c>
      <c r="H4021" s="8">
        <f>IFERROR(IF(ISNUMBER(B4021),MAX(B4021,IFERROR(H4020,B4021)),""),"")</f>
        <v/>
      </c>
      <c r="I4021" s="29">
        <f>IFERROR(IF(AND(ISNUMBER(B4021),ISNUMBER(H4021)),B4021/H4021-1,""),"")</f>
        <v/>
      </c>
      <c r="J4021" s="8">
        <f>IFERROR(IF(ISNUMBER(C4021),MAX(C4021,IFERROR(J4020,C4021)),""),"")</f>
        <v/>
      </c>
      <c r="K4021" s="29">
        <f>IFERROR(IF(AND(ISNUMBER(C4021),ISNUMBER(J4021)),C4021/J4021-1,""),"")</f>
        <v/>
      </c>
      <c r="L4021" s="28">
        <f>IFERROR(IF(AND(ISNUMBER(D4021),ISNUMBER(E4021)),D4021-E4021,""),"")</f>
        <v/>
      </c>
    </row>
    <row r="4022">
      <c r="A4022" s="7">
        <f>IFERROR(Datos!A4022,"")</f>
        <v/>
      </c>
      <c r="B4022" s="8">
        <f>IFERROR(Datos!B4022,"")</f>
        <v/>
      </c>
      <c r="C4022" s="8">
        <f>IFERROR(Datos!C4022,"")</f>
        <v/>
      </c>
      <c r="D4022" s="28">
        <f>IFERROR(IF(AND(ISNUMBER(B4022),ISNUMBER(B4021),B4021&lt;&gt;0),B4022/B4021-1,""),"")</f>
        <v/>
      </c>
      <c r="E4022" s="28">
        <f>IFERROR(IF(AND(ISNUMBER(C4022),ISNUMBER(C4021),C4021&lt;&gt;0),C4022/C4021-1,""),"")</f>
        <v/>
      </c>
      <c r="F4022" s="28">
        <f>IFERROR(D4022-Dashboard!$B$4/252,"")</f>
        <v/>
      </c>
      <c r="G4022" s="28">
        <f>IFERROR(E4022-Dashboard!$B$4/252,"")</f>
        <v/>
      </c>
      <c r="H4022" s="8">
        <f>IFERROR(IF(ISNUMBER(B4022),MAX(B4022,IFERROR(H4021,B4022)),""),"")</f>
        <v/>
      </c>
      <c r="I4022" s="29">
        <f>IFERROR(IF(AND(ISNUMBER(B4022),ISNUMBER(H4022)),B4022/H4022-1,""),"")</f>
        <v/>
      </c>
      <c r="J4022" s="8">
        <f>IFERROR(IF(ISNUMBER(C4022),MAX(C4022,IFERROR(J4021,C4022)),""),"")</f>
        <v/>
      </c>
      <c r="K4022" s="29">
        <f>IFERROR(IF(AND(ISNUMBER(C4022),ISNUMBER(J4022)),C4022/J4022-1,""),"")</f>
        <v/>
      </c>
      <c r="L4022" s="28">
        <f>IFERROR(IF(AND(ISNUMBER(D4022),ISNUMBER(E4022)),D4022-E4022,""),"")</f>
        <v/>
      </c>
    </row>
    <row r="4023">
      <c r="A4023" s="7">
        <f>IFERROR(Datos!A4023,"")</f>
        <v/>
      </c>
      <c r="B4023" s="8">
        <f>IFERROR(Datos!B4023,"")</f>
        <v/>
      </c>
      <c r="C4023" s="8">
        <f>IFERROR(Datos!C4023,"")</f>
        <v/>
      </c>
      <c r="D4023" s="28">
        <f>IFERROR(IF(AND(ISNUMBER(B4023),ISNUMBER(B4022),B4022&lt;&gt;0),B4023/B4022-1,""),"")</f>
        <v/>
      </c>
      <c r="E4023" s="28">
        <f>IFERROR(IF(AND(ISNUMBER(C4023),ISNUMBER(C4022),C4022&lt;&gt;0),C4023/C4022-1,""),"")</f>
        <v/>
      </c>
      <c r="F4023" s="28">
        <f>IFERROR(D4023-Dashboard!$B$4/252,"")</f>
        <v/>
      </c>
      <c r="G4023" s="28">
        <f>IFERROR(E4023-Dashboard!$B$4/252,"")</f>
        <v/>
      </c>
      <c r="H4023" s="8">
        <f>IFERROR(IF(ISNUMBER(B4023),MAX(B4023,IFERROR(H4022,B4023)),""),"")</f>
        <v/>
      </c>
      <c r="I4023" s="29">
        <f>IFERROR(IF(AND(ISNUMBER(B4023),ISNUMBER(H4023)),B4023/H4023-1,""),"")</f>
        <v/>
      </c>
      <c r="J4023" s="8">
        <f>IFERROR(IF(ISNUMBER(C4023),MAX(C4023,IFERROR(J4022,C4023)),""),"")</f>
        <v/>
      </c>
      <c r="K4023" s="29">
        <f>IFERROR(IF(AND(ISNUMBER(C4023),ISNUMBER(J4023)),C4023/J4023-1,""),"")</f>
        <v/>
      </c>
      <c r="L4023" s="28">
        <f>IFERROR(IF(AND(ISNUMBER(D4023),ISNUMBER(E4023)),D4023-E4023,""),"")</f>
        <v/>
      </c>
    </row>
    <row r="4024">
      <c r="A4024" s="7">
        <f>IFERROR(Datos!A4024,"")</f>
        <v/>
      </c>
      <c r="B4024" s="8">
        <f>IFERROR(Datos!B4024,"")</f>
        <v/>
      </c>
      <c r="C4024" s="8">
        <f>IFERROR(Datos!C4024,"")</f>
        <v/>
      </c>
      <c r="D4024" s="28">
        <f>IFERROR(IF(AND(ISNUMBER(B4024),ISNUMBER(B4023),B4023&lt;&gt;0),B4024/B4023-1,""),"")</f>
        <v/>
      </c>
      <c r="E4024" s="28">
        <f>IFERROR(IF(AND(ISNUMBER(C4024),ISNUMBER(C4023),C4023&lt;&gt;0),C4024/C4023-1,""),"")</f>
        <v/>
      </c>
      <c r="F4024" s="28">
        <f>IFERROR(D4024-Dashboard!$B$4/252,"")</f>
        <v/>
      </c>
      <c r="G4024" s="28">
        <f>IFERROR(E4024-Dashboard!$B$4/252,"")</f>
        <v/>
      </c>
      <c r="H4024" s="8">
        <f>IFERROR(IF(ISNUMBER(B4024),MAX(B4024,IFERROR(H4023,B4024)),""),"")</f>
        <v/>
      </c>
      <c r="I4024" s="29">
        <f>IFERROR(IF(AND(ISNUMBER(B4024),ISNUMBER(H4024)),B4024/H4024-1,""),"")</f>
        <v/>
      </c>
      <c r="J4024" s="8">
        <f>IFERROR(IF(ISNUMBER(C4024),MAX(C4024,IFERROR(J4023,C4024)),""),"")</f>
        <v/>
      </c>
      <c r="K4024" s="29">
        <f>IFERROR(IF(AND(ISNUMBER(C4024),ISNUMBER(J4024)),C4024/J4024-1,""),"")</f>
        <v/>
      </c>
      <c r="L4024" s="28">
        <f>IFERROR(IF(AND(ISNUMBER(D4024),ISNUMBER(E4024)),D4024-E4024,""),"")</f>
        <v/>
      </c>
    </row>
    <row r="4025">
      <c r="A4025" s="7">
        <f>IFERROR(Datos!A4025,"")</f>
        <v/>
      </c>
      <c r="B4025" s="8">
        <f>IFERROR(Datos!B4025,"")</f>
        <v/>
      </c>
      <c r="C4025" s="8">
        <f>IFERROR(Datos!C4025,"")</f>
        <v/>
      </c>
      <c r="D4025" s="28">
        <f>IFERROR(IF(AND(ISNUMBER(B4025),ISNUMBER(B4024),B4024&lt;&gt;0),B4025/B4024-1,""),"")</f>
        <v/>
      </c>
      <c r="E4025" s="28">
        <f>IFERROR(IF(AND(ISNUMBER(C4025),ISNUMBER(C4024),C4024&lt;&gt;0),C4025/C4024-1,""),"")</f>
        <v/>
      </c>
      <c r="F4025" s="28">
        <f>IFERROR(D4025-Dashboard!$B$4/252,"")</f>
        <v/>
      </c>
      <c r="G4025" s="28">
        <f>IFERROR(E4025-Dashboard!$B$4/252,"")</f>
        <v/>
      </c>
      <c r="H4025" s="8">
        <f>IFERROR(IF(ISNUMBER(B4025),MAX(B4025,IFERROR(H4024,B4025)),""),"")</f>
        <v/>
      </c>
      <c r="I4025" s="29">
        <f>IFERROR(IF(AND(ISNUMBER(B4025),ISNUMBER(H4025)),B4025/H4025-1,""),"")</f>
        <v/>
      </c>
      <c r="J4025" s="8">
        <f>IFERROR(IF(ISNUMBER(C4025),MAX(C4025,IFERROR(J4024,C4025)),""),"")</f>
        <v/>
      </c>
      <c r="K4025" s="29">
        <f>IFERROR(IF(AND(ISNUMBER(C4025),ISNUMBER(J4025)),C4025/J4025-1,""),"")</f>
        <v/>
      </c>
      <c r="L4025" s="28">
        <f>IFERROR(IF(AND(ISNUMBER(D4025),ISNUMBER(E4025)),D4025-E4025,""),"")</f>
        <v/>
      </c>
    </row>
    <row r="4026">
      <c r="A4026" s="7">
        <f>IFERROR(Datos!A4026,"")</f>
        <v/>
      </c>
      <c r="B4026" s="8">
        <f>IFERROR(Datos!B4026,"")</f>
        <v/>
      </c>
      <c r="C4026" s="8">
        <f>IFERROR(Datos!C4026,"")</f>
        <v/>
      </c>
      <c r="D4026" s="28">
        <f>IFERROR(IF(AND(ISNUMBER(B4026),ISNUMBER(B4025),B4025&lt;&gt;0),B4026/B4025-1,""),"")</f>
        <v/>
      </c>
      <c r="E4026" s="28">
        <f>IFERROR(IF(AND(ISNUMBER(C4026),ISNUMBER(C4025),C4025&lt;&gt;0),C4026/C4025-1,""),"")</f>
        <v/>
      </c>
      <c r="F4026" s="28">
        <f>IFERROR(D4026-Dashboard!$B$4/252,"")</f>
        <v/>
      </c>
      <c r="G4026" s="28">
        <f>IFERROR(E4026-Dashboard!$B$4/252,"")</f>
        <v/>
      </c>
      <c r="H4026" s="8">
        <f>IFERROR(IF(ISNUMBER(B4026),MAX(B4026,IFERROR(H4025,B4026)),""),"")</f>
        <v/>
      </c>
      <c r="I4026" s="29">
        <f>IFERROR(IF(AND(ISNUMBER(B4026),ISNUMBER(H4026)),B4026/H4026-1,""),"")</f>
        <v/>
      </c>
      <c r="J4026" s="8">
        <f>IFERROR(IF(ISNUMBER(C4026),MAX(C4026,IFERROR(J4025,C4026)),""),"")</f>
        <v/>
      </c>
      <c r="K4026" s="29">
        <f>IFERROR(IF(AND(ISNUMBER(C4026),ISNUMBER(J4026)),C4026/J4026-1,""),"")</f>
        <v/>
      </c>
      <c r="L4026" s="28">
        <f>IFERROR(IF(AND(ISNUMBER(D4026),ISNUMBER(E4026)),D4026-E4026,""),"")</f>
        <v/>
      </c>
    </row>
    <row r="4027">
      <c r="A4027" s="7">
        <f>IFERROR(Datos!A4027,"")</f>
        <v/>
      </c>
      <c r="B4027" s="8">
        <f>IFERROR(Datos!B4027,"")</f>
        <v/>
      </c>
      <c r="C4027" s="8">
        <f>IFERROR(Datos!C4027,"")</f>
        <v/>
      </c>
      <c r="D4027" s="28">
        <f>IFERROR(IF(AND(ISNUMBER(B4027),ISNUMBER(B4026),B4026&lt;&gt;0),B4027/B4026-1,""),"")</f>
        <v/>
      </c>
      <c r="E4027" s="28">
        <f>IFERROR(IF(AND(ISNUMBER(C4027),ISNUMBER(C4026),C4026&lt;&gt;0),C4027/C4026-1,""),"")</f>
        <v/>
      </c>
      <c r="F4027" s="28">
        <f>IFERROR(D4027-Dashboard!$B$4/252,"")</f>
        <v/>
      </c>
      <c r="G4027" s="28">
        <f>IFERROR(E4027-Dashboard!$B$4/252,"")</f>
        <v/>
      </c>
      <c r="H4027" s="8">
        <f>IFERROR(IF(ISNUMBER(B4027),MAX(B4027,IFERROR(H4026,B4027)),""),"")</f>
        <v/>
      </c>
      <c r="I4027" s="29">
        <f>IFERROR(IF(AND(ISNUMBER(B4027),ISNUMBER(H4027)),B4027/H4027-1,""),"")</f>
        <v/>
      </c>
      <c r="J4027" s="8">
        <f>IFERROR(IF(ISNUMBER(C4027),MAX(C4027,IFERROR(J4026,C4027)),""),"")</f>
        <v/>
      </c>
      <c r="K4027" s="29">
        <f>IFERROR(IF(AND(ISNUMBER(C4027),ISNUMBER(J4027)),C4027/J4027-1,""),"")</f>
        <v/>
      </c>
      <c r="L4027" s="28">
        <f>IFERROR(IF(AND(ISNUMBER(D4027),ISNUMBER(E4027)),D4027-E4027,""),"")</f>
        <v/>
      </c>
    </row>
    <row r="4028">
      <c r="A4028" s="7">
        <f>IFERROR(Datos!A4028,"")</f>
        <v/>
      </c>
      <c r="B4028" s="8">
        <f>IFERROR(Datos!B4028,"")</f>
        <v/>
      </c>
      <c r="C4028" s="8">
        <f>IFERROR(Datos!C4028,"")</f>
        <v/>
      </c>
      <c r="D4028" s="28">
        <f>IFERROR(IF(AND(ISNUMBER(B4028),ISNUMBER(B4027),B4027&lt;&gt;0),B4028/B4027-1,""),"")</f>
        <v/>
      </c>
      <c r="E4028" s="28">
        <f>IFERROR(IF(AND(ISNUMBER(C4028),ISNUMBER(C4027),C4027&lt;&gt;0),C4028/C4027-1,""),"")</f>
        <v/>
      </c>
      <c r="F4028" s="28">
        <f>IFERROR(D4028-Dashboard!$B$4/252,"")</f>
        <v/>
      </c>
      <c r="G4028" s="28">
        <f>IFERROR(E4028-Dashboard!$B$4/252,"")</f>
        <v/>
      </c>
      <c r="H4028" s="8">
        <f>IFERROR(IF(ISNUMBER(B4028),MAX(B4028,IFERROR(H4027,B4028)),""),"")</f>
        <v/>
      </c>
      <c r="I4028" s="29">
        <f>IFERROR(IF(AND(ISNUMBER(B4028),ISNUMBER(H4028)),B4028/H4028-1,""),"")</f>
        <v/>
      </c>
      <c r="J4028" s="8">
        <f>IFERROR(IF(ISNUMBER(C4028),MAX(C4028,IFERROR(J4027,C4028)),""),"")</f>
        <v/>
      </c>
      <c r="K4028" s="29">
        <f>IFERROR(IF(AND(ISNUMBER(C4028),ISNUMBER(J4028)),C4028/J4028-1,""),"")</f>
        <v/>
      </c>
      <c r="L4028" s="28">
        <f>IFERROR(IF(AND(ISNUMBER(D4028),ISNUMBER(E4028)),D4028-E4028,""),"")</f>
        <v/>
      </c>
    </row>
    <row r="4029">
      <c r="A4029" s="7">
        <f>IFERROR(Datos!A4029,"")</f>
        <v/>
      </c>
      <c r="B4029" s="8">
        <f>IFERROR(Datos!B4029,"")</f>
        <v/>
      </c>
      <c r="C4029" s="8">
        <f>IFERROR(Datos!C4029,"")</f>
        <v/>
      </c>
      <c r="D4029" s="28">
        <f>IFERROR(IF(AND(ISNUMBER(B4029),ISNUMBER(B4028),B4028&lt;&gt;0),B4029/B4028-1,""),"")</f>
        <v/>
      </c>
      <c r="E4029" s="28">
        <f>IFERROR(IF(AND(ISNUMBER(C4029),ISNUMBER(C4028),C4028&lt;&gt;0),C4029/C4028-1,""),"")</f>
        <v/>
      </c>
      <c r="F4029" s="28">
        <f>IFERROR(D4029-Dashboard!$B$4/252,"")</f>
        <v/>
      </c>
      <c r="G4029" s="28">
        <f>IFERROR(E4029-Dashboard!$B$4/252,"")</f>
        <v/>
      </c>
      <c r="H4029" s="8">
        <f>IFERROR(IF(ISNUMBER(B4029),MAX(B4029,IFERROR(H4028,B4029)),""),"")</f>
        <v/>
      </c>
      <c r="I4029" s="29">
        <f>IFERROR(IF(AND(ISNUMBER(B4029),ISNUMBER(H4029)),B4029/H4029-1,""),"")</f>
        <v/>
      </c>
      <c r="J4029" s="8">
        <f>IFERROR(IF(ISNUMBER(C4029),MAX(C4029,IFERROR(J4028,C4029)),""),"")</f>
        <v/>
      </c>
      <c r="K4029" s="29">
        <f>IFERROR(IF(AND(ISNUMBER(C4029),ISNUMBER(J4029)),C4029/J4029-1,""),"")</f>
        <v/>
      </c>
      <c r="L4029" s="28">
        <f>IFERROR(IF(AND(ISNUMBER(D4029),ISNUMBER(E4029)),D4029-E4029,""),"")</f>
        <v/>
      </c>
    </row>
    <row r="4030">
      <c r="A4030" s="7">
        <f>IFERROR(Datos!A4030,"")</f>
        <v/>
      </c>
      <c r="B4030" s="8">
        <f>IFERROR(Datos!B4030,"")</f>
        <v/>
      </c>
      <c r="C4030" s="8">
        <f>IFERROR(Datos!C4030,"")</f>
        <v/>
      </c>
      <c r="D4030" s="28">
        <f>IFERROR(IF(AND(ISNUMBER(B4030),ISNUMBER(B4029),B4029&lt;&gt;0),B4030/B4029-1,""),"")</f>
        <v/>
      </c>
      <c r="E4030" s="28">
        <f>IFERROR(IF(AND(ISNUMBER(C4030),ISNUMBER(C4029),C4029&lt;&gt;0),C4030/C4029-1,""),"")</f>
        <v/>
      </c>
      <c r="F4030" s="28">
        <f>IFERROR(D4030-Dashboard!$B$4/252,"")</f>
        <v/>
      </c>
      <c r="G4030" s="28">
        <f>IFERROR(E4030-Dashboard!$B$4/252,"")</f>
        <v/>
      </c>
      <c r="H4030" s="8">
        <f>IFERROR(IF(ISNUMBER(B4030),MAX(B4030,IFERROR(H4029,B4030)),""),"")</f>
        <v/>
      </c>
      <c r="I4030" s="29">
        <f>IFERROR(IF(AND(ISNUMBER(B4030),ISNUMBER(H4030)),B4030/H4030-1,""),"")</f>
        <v/>
      </c>
      <c r="J4030" s="8">
        <f>IFERROR(IF(ISNUMBER(C4030),MAX(C4030,IFERROR(J4029,C4030)),""),"")</f>
        <v/>
      </c>
      <c r="K4030" s="29">
        <f>IFERROR(IF(AND(ISNUMBER(C4030),ISNUMBER(J4030)),C4030/J4030-1,""),"")</f>
        <v/>
      </c>
      <c r="L4030" s="28">
        <f>IFERROR(IF(AND(ISNUMBER(D4030),ISNUMBER(E4030)),D4030-E4030,""),"")</f>
        <v/>
      </c>
    </row>
    <row r="4031">
      <c r="A4031" s="7">
        <f>IFERROR(Datos!A4031,"")</f>
        <v/>
      </c>
      <c r="B4031" s="8">
        <f>IFERROR(Datos!B4031,"")</f>
        <v/>
      </c>
      <c r="C4031" s="8">
        <f>IFERROR(Datos!C4031,"")</f>
        <v/>
      </c>
      <c r="D4031" s="28">
        <f>IFERROR(IF(AND(ISNUMBER(B4031),ISNUMBER(B4030),B4030&lt;&gt;0),B4031/B4030-1,""),"")</f>
        <v/>
      </c>
      <c r="E4031" s="28">
        <f>IFERROR(IF(AND(ISNUMBER(C4031),ISNUMBER(C4030),C4030&lt;&gt;0),C4031/C4030-1,""),"")</f>
        <v/>
      </c>
      <c r="F4031" s="28">
        <f>IFERROR(D4031-Dashboard!$B$4/252,"")</f>
        <v/>
      </c>
      <c r="G4031" s="28">
        <f>IFERROR(E4031-Dashboard!$B$4/252,"")</f>
        <v/>
      </c>
      <c r="H4031" s="8">
        <f>IFERROR(IF(ISNUMBER(B4031),MAX(B4031,IFERROR(H4030,B4031)),""),"")</f>
        <v/>
      </c>
      <c r="I4031" s="29">
        <f>IFERROR(IF(AND(ISNUMBER(B4031),ISNUMBER(H4031)),B4031/H4031-1,""),"")</f>
        <v/>
      </c>
      <c r="J4031" s="8">
        <f>IFERROR(IF(ISNUMBER(C4031),MAX(C4031,IFERROR(J4030,C4031)),""),"")</f>
        <v/>
      </c>
      <c r="K4031" s="29">
        <f>IFERROR(IF(AND(ISNUMBER(C4031),ISNUMBER(J4031)),C4031/J4031-1,""),"")</f>
        <v/>
      </c>
      <c r="L4031" s="28">
        <f>IFERROR(IF(AND(ISNUMBER(D4031),ISNUMBER(E4031)),D4031-E4031,""),"")</f>
        <v/>
      </c>
    </row>
    <row r="4032">
      <c r="A4032" s="7">
        <f>IFERROR(Datos!A4032,"")</f>
        <v/>
      </c>
      <c r="B4032" s="8">
        <f>IFERROR(Datos!B4032,"")</f>
        <v/>
      </c>
      <c r="C4032" s="8">
        <f>IFERROR(Datos!C4032,"")</f>
        <v/>
      </c>
      <c r="D4032" s="28">
        <f>IFERROR(IF(AND(ISNUMBER(B4032),ISNUMBER(B4031),B4031&lt;&gt;0),B4032/B4031-1,""),"")</f>
        <v/>
      </c>
      <c r="E4032" s="28">
        <f>IFERROR(IF(AND(ISNUMBER(C4032),ISNUMBER(C4031),C4031&lt;&gt;0),C4032/C4031-1,""),"")</f>
        <v/>
      </c>
      <c r="F4032" s="28">
        <f>IFERROR(D4032-Dashboard!$B$4/252,"")</f>
        <v/>
      </c>
      <c r="G4032" s="28">
        <f>IFERROR(E4032-Dashboard!$B$4/252,"")</f>
        <v/>
      </c>
      <c r="H4032" s="8">
        <f>IFERROR(IF(ISNUMBER(B4032),MAX(B4032,IFERROR(H4031,B4032)),""),"")</f>
        <v/>
      </c>
      <c r="I4032" s="29">
        <f>IFERROR(IF(AND(ISNUMBER(B4032),ISNUMBER(H4032)),B4032/H4032-1,""),"")</f>
        <v/>
      </c>
      <c r="J4032" s="8">
        <f>IFERROR(IF(ISNUMBER(C4032),MAX(C4032,IFERROR(J4031,C4032)),""),"")</f>
        <v/>
      </c>
      <c r="K4032" s="29">
        <f>IFERROR(IF(AND(ISNUMBER(C4032),ISNUMBER(J4032)),C4032/J4032-1,""),"")</f>
        <v/>
      </c>
      <c r="L4032" s="28">
        <f>IFERROR(IF(AND(ISNUMBER(D4032),ISNUMBER(E4032)),D4032-E4032,""),"")</f>
        <v/>
      </c>
    </row>
    <row r="4033">
      <c r="A4033" s="7">
        <f>IFERROR(Datos!A4033,"")</f>
        <v/>
      </c>
      <c r="B4033" s="8">
        <f>IFERROR(Datos!B4033,"")</f>
        <v/>
      </c>
      <c r="C4033" s="8">
        <f>IFERROR(Datos!C4033,"")</f>
        <v/>
      </c>
      <c r="D4033" s="28">
        <f>IFERROR(IF(AND(ISNUMBER(B4033),ISNUMBER(B4032),B4032&lt;&gt;0),B4033/B4032-1,""),"")</f>
        <v/>
      </c>
      <c r="E4033" s="28">
        <f>IFERROR(IF(AND(ISNUMBER(C4033),ISNUMBER(C4032),C4032&lt;&gt;0),C4033/C4032-1,""),"")</f>
        <v/>
      </c>
      <c r="F4033" s="28">
        <f>IFERROR(D4033-Dashboard!$B$4/252,"")</f>
        <v/>
      </c>
      <c r="G4033" s="28">
        <f>IFERROR(E4033-Dashboard!$B$4/252,"")</f>
        <v/>
      </c>
      <c r="H4033" s="8">
        <f>IFERROR(IF(ISNUMBER(B4033),MAX(B4033,IFERROR(H4032,B4033)),""),"")</f>
        <v/>
      </c>
      <c r="I4033" s="29">
        <f>IFERROR(IF(AND(ISNUMBER(B4033),ISNUMBER(H4033)),B4033/H4033-1,""),"")</f>
        <v/>
      </c>
      <c r="J4033" s="8">
        <f>IFERROR(IF(ISNUMBER(C4033),MAX(C4033,IFERROR(J4032,C4033)),""),"")</f>
        <v/>
      </c>
      <c r="K4033" s="29">
        <f>IFERROR(IF(AND(ISNUMBER(C4033),ISNUMBER(J4033)),C4033/J4033-1,""),"")</f>
        <v/>
      </c>
      <c r="L4033" s="28">
        <f>IFERROR(IF(AND(ISNUMBER(D4033),ISNUMBER(E4033)),D4033-E4033,""),"")</f>
        <v/>
      </c>
    </row>
    <row r="4034">
      <c r="A4034" s="7">
        <f>IFERROR(Datos!A4034,"")</f>
        <v/>
      </c>
      <c r="B4034" s="8">
        <f>IFERROR(Datos!B4034,"")</f>
        <v/>
      </c>
      <c r="C4034" s="8">
        <f>IFERROR(Datos!C4034,"")</f>
        <v/>
      </c>
      <c r="D4034" s="28">
        <f>IFERROR(IF(AND(ISNUMBER(B4034),ISNUMBER(B4033),B4033&lt;&gt;0),B4034/B4033-1,""),"")</f>
        <v/>
      </c>
      <c r="E4034" s="28">
        <f>IFERROR(IF(AND(ISNUMBER(C4034),ISNUMBER(C4033),C4033&lt;&gt;0),C4034/C4033-1,""),"")</f>
        <v/>
      </c>
      <c r="F4034" s="28">
        <f>IFERROR(D4034-Dashboard!$B$4/252,"")</f>
        <v/>
      </c>
      <c r="G4034" s="28">
        <f>IFERROR(E4034-Dashboard!$B$4/252,"")</f>
        <v/>
      </c>
      <c r="H4034" s="8">
        <f>IFERROR(IF(ISNUMBER(B4034),MAX(B4034,IFERROR(H4033,B4034)),""),"")</f>
        <v/>
      </c>
      <c r="I4034" s="29">
        <f>IFERROR(IF(AND(ISNUMBER(B4034),ISNUMBER(H4034)),B4034/H4034-1,""),"")</f>
        <v/>
      </c>
      <c r="J4034" s="8">
        <f>IFERROR(IF(ISNUMBER(C4034),MAX(C4034,IFERROR(J4033,C4034)),""),"")</f>
        <v/>
      </c>
      <c r="K4034" s="29">
        <f>IFERROR(IF(AND(ISNUMBER(C4034),ISNUMBER(J4034)),C4034/J4034-1,""),"")</f>
        <v/>
      </c>
      <c r="L4034" s="28">
        <f>IFERROR(IF(AND(ISNUMBER(D4034),ISNUMBER(E4034)),D4034-E4034,""),"")</f>
        <v/>
      </c>
    </row>
    <row r="4035">
      <c r="A4035" s="7">
        <f>IFERROR(Datos!A4035,"")</f>
        <v/>
      </c>
      <c r="B4035" s="8">
        <f>IFERROR(Datos!B4035,"")</f>
        <v/>
      </c>
      <c r="C4035" s="8">
        <f>IFERROR(Datos!C4035,"")</f>
        <v/>
      </c>
      <c r="D4035" s="28">
        <f>IFERROR(IF(AND(ISNUMBER(B4035),ISNUMBER(B4034),B4034&lt;&gt;0),B4035/B4034-1,""),"")</f>
        <v/>
      </c>
      <c r="E4035" s="28">
        <f>IFERROR(IF(AND(ISNUMBER(C4035),ISNUMBER(C4034),C4034&lt;&gt;0),C4035/C4034-1,""),"")</f>
        <v/>
      </c>
      <c r="F4035" s="28">
        <f>IFERROR(D4035-Dashboard!$B$4/252,"")</f>
        <v/>
      </c>
      <c r="G4035" s="28">
        <f>IFERROR(E4035-Dashboard!$B$4/252,"")</f>
        <v/>
      </c>
      <c r="H4035" s="8">
        <f>IFERROR(IF(ISNUMBER(B4035),MAX(B4035,IFERROR(H4034,B4035)),""),"")</f>
        <v/>
      </c>
      <c r="I4035" s="29">
        <f>IFERROR(IF(AND(ISNUMBER(B4035),ISNUMBER(H4035)),B4035/H4035-1,""),"")</f>
        <v/>
      </c>
      <c r="J4035" s="8">
        <f>IFERROR(IF(ISNUMBER(C4035),MAX(C4035,IFERROR(J4034,C4035)),""),"")</f>
        <v/>
      </c>
      <c r="K4035" s="29">
        <f>IFERROR(IF(AND(ISNUMBER(C4035),ISNUMBER(J4035)),C4035/J4035-1,""),"")</f>
        <v/>
      </c>
      <c r="L4035" s="28">
        <f>IFERROR(IF(AND(ISNUMBER(D4035),ISNUMBER(E4035)),D4035-E4035,""),"")</f>
        <v/>
      </c>
    </row>
    <row r="4036">
      <c r="A4036" s="7">
        <f>IFERROR(Datos!A4036,"")</f>
        <v/>
      </c>
      <c r="B4036" s="8">
        <f>IFERROR(Datos!B4036,"")</f>
        <v/>
      </c>
      <c r="C4036" s="8">
        <f>IFERROR(Datos!C4036,"")</f>
        <v/>
      </c>
      <c r="D4036" s="28">
        <f>IFERROR(IF(AND(ISNUMBER(B4036),ISNUMBER(B4035),B4035&lt;&gt;0),B4036/B4035-1,""),"")</f>
        <v/>
      </c>
      <c r="E4036" s="28">
        <f>IFERROR(IF(AND(ISNUMBER(C4036),ISNUMBER(C4035),C4035&lt;&gt;0),C4036/C4035-1,""),"")</f>
        <v/>
      </c>
      <c r="F4036" s="28">
        <f>IFERROR(D4036-Dashboard!$B$4/252,"")</f>
        <v/>
      </c>
      <c r="G4036" s="28">
        <f>IFERROR(E4036-Dashboard!$B$4/252,"")</f>
        <v/>
      </c>
      <c r="H4036" s="8">
        <f>IFERROR(IF(ISNUMBER(B4036),MAX(B4036,IFERROR(H4035,B4036)),""),"")</f>
        <v/>
      </c>
      <c r="I4036" s="29">
        <f>IFERROR(IF(AND(ISNUMBER(B4036),ISNUMBER(H4036)),B4036/H4036-1,""),"")</f>
        <v/>
      </c>
      <c r="J4036" s="8">
        <f>IFERROR(IF(ISNUMBER(C4036),MAX(C4036,IFERROR(J4035,C4036)),""),"")</f>
        <v/>
      </c>
      <c r="K4036" s="29">
        <f>IFERROR(IF(AND(ISNUMBER(C4036),ISNUMBER(J4036)),C4036/J4036-1,""),"")</f>
        <v/>
      </c>
      <c r="L4036" s="28">
        <f>IFERROR(IF(AND(ISNUMBER(D4036),ISNUMBER(E4036)),D4036-E4036,""),"")</f>
        <v/>
      </c>
    </row>
    <row r="4037">
      <c r="A4037" s="7">
        <f>IFERROR(Datos!A4037,"")</f>
        <v/>
      </c>
      <c r="B4037" s="8">
        <f>IFERROR(Datos!B4037,"")</f>
        <v/>
      </c>
      <c r="C4037" s="8">
        <f>IFERROR(Datos!C4037,"")</f>
        <v/>
      </c>
      <c r="D4037" s="28">
        <f>IFERROR(IF(AND(ISNUMBER(B4037),ISNUMBER(B4036),B4036&lt;&gt;0),B4037/B4036-1,""),"")</f>
        <v/>
      </c>
      <c r="E4037" s="28">
        <f>IFERROR(IF(AND(ISNUMBER(C4037),ISNUMBER(C4036),C4036&lt;&gt;0),C4037/C4036-1,""),"")</f>
        <v/>
      </c>
      <c r="F4037" s="28">
        <f>IFERROR(D4037-Dashboard!$B$4/252,"")</f>
        <v/>
      </c>
      <c r="G4037" s="28">
        <f>IFERROR(E4037-Dashboard!$B$4/252,"")</f>
        <v/>
      </c>
      <c r="H4037" s="8">
        <f>IFERROR(IF(ISNUMBER(B4037),MAX(B4037,IFERROR(H4036,B4037)),""),"")</f>
        <v/>
      </c>
      <c r="I4037" s="29">
        <f>IFERROR(IF(AND(ISNUMBER(B4037),ISNUMBER(H4037)),B4037/H4037-1,""),"")</f>
        <v/>
      </c>
      <c r="J4037" s="8">
        <f>IFERROR(IF(ISNUMBER(C4037),MAX(C4037,IFERROR(J4036,C4037)),""),"")</f>
        <v/>
      </c>
      <c r="K4037" s="29">
        <f>IFERROR(IF(AND(ISNUMBER(C4037),ISNUMBER(J4037)),C4037/J4037-1,""),"")</f>
        <v/>
      </c>
      <c r="L4037" s="28">
        <f>IFERROR(IF(AND(ISNUMBER(D4037),ISNUMBER(E4037)),D4037-E4037,""),"")</f>
        <v/>
      </c>
    </row>
    <row r="4038">
      <c r="A4038" s="7">
        <f>IFERROR(Datos!A4038,"")</f>
        <v/>
      </c>
      <c r="B4038" s="8">
        <f>IFERROR(Datos!B4038,"")</f>
        <v/>
      </c>
      <c r="C4038" s="8">
        <f>IFERROR(Datos!C4038,"")</f>
        <v/>
      </c>
      <c r="D4038" s="28">
        <f>IFERROR(IF(AND(ISNUMBER(B4038),ISNUMBER(B4037),B4037&lt;&gt;0),B4038/B4037-1,""),"")</f>
        <v/>
      </c>
      <c r="E4038" s="28">
        <f>IFERROR(IF(AND(ISNUMBER(C4038),ISNUMBER(C4037),C4037&lt;&gt;0),C4038/C4037-1,""),"")</f>
        <v/>
      </c>
      <c r="F4038" s="28">
        <f>IFERROR(D4038-Dashboard!$B$4/252,"")</f>
        <v/>
      </c>
      <c r="G4038" s="28">
        <f>IFERROR(E4038-Dashboard!$B$4/252,"")</f>
        <v/>
      </c>
      <c r="H4038" s="8">
        <f>IFERROR(IF(ISNUMBER(B4038),MAX(B4038,IFERROR(H4037,B4038)),""),"")</f>
        <v/>
      </c>
      <c r="I4038" s="29">
        <f>IFERROR(IF(AND(ISNUMBER(B4038),ISNUMBER(H4038)),B4038/H4038-1,""),"")</f>
        <v/>
      </c>
      <c r="J4038" s="8">
        <f>IFERROR(IF(ISNUMBER(C4038),MAX(C4038,IFERROR(J4037,C4038)),""),"")</f>
        <v/>
      </c>
      <c r="K4038" s="29">
        <f>IFERROR(IF(AND(ISNUMBER(C4038),ISNUMBER(J4038)),C4038/J4038-1,""),"")</f>
        <v/>
      </c>
      <c r="L4038" s="28">
        <f>IFERROR(IF(AND(ISNUMBER(D4038),ISNUMBER(E4038)),D4038-E4038,""),"")</f>
        <v/>
      </c>
    </row>
    <row r="4039">
      <c r="A4039" s="7">
        <f>IFERROR(Datos!A4039,"")</f>
        <v/>
      </c>
      <c r="B4039" s="8">
        <f>IFERROR(Datos!B4039,"")</f>
        <v/>
      </c>
      <c r="C4039" s="8">
        <f>IFERROR(Datos!C4039,"")</f>
        <v/>
      </c>
      <c r="D4039" s="28">
        <f>IFERROR(IF(AND(ISNUMBER(B4039),ISNUMBER(B4038),B4038&lt;&gt;0),B4039/B4038-1,""),"")</f>
        <v/>
      </c>
      <c r="E4039" s="28">
        <f>IFERROR(IF(AND(ISNUMBER(C4039),ISNUMBER(C4038),C4038&lt;&gt;0),C4039/C4038-1,""),"")</f>
        <v/>
      </c>
      <c r="F4039" s="28">
        <f>IFERROR(D4039-Dashboard!$B$4/252,"")</f>
        <v/>
      </c>
      <c r="G4039" s="28">
        <f>IFERROR(E4039-Dashboard!$B$4/252,"")</f>
        <v/>
      </c>
      <c r="H4039" s="8">
        <f>IFERROR(IF(ISNUMBER(B4039),MAX(B4039,IFERROR(H4038,B4039)),""),"")</f>
        <v/>
      </c>
      <c r="I4039" s="29">
        <f>IFERROR(IF(AND(ISNUMBER(B4039),ISNUMBER(H4039)),B4039/H4039-1,""),"")</f>
        <v/>
      </c>
      <c r="J4039" s="8">
        <f>IFERROR(IF(ISNUMBER(C4039),MAX(C4039,IFERROR(J4038,C4039)),""),"")</f>
        <v/>
      </c>
      <c r="K4039" s="29">
        <f>IFERROR(IF(AND(ISNUMBER(C4039),ISNUMBER(J4039)),C4039/J4039-1,""),"")</f>
        <v/>
      </c>
      <c r="L4039" s="28">
        <f>IFERROR(IF(AND(ISNUMBER(D4039),ISNUMBER(E4039)),D4039-E4039,""),"")</f>
        <v/>
      </c>
    </row>
    <row r="4040">
      <c r="A4040" s="7">
        <f>IFERROR(Datos!A4040,"")</f>
        <v/>
      </c>
      <c r="B4040" s="8">
        <f>IFERROR(Datos!B4040,"")</f>
        <v/>
      </c>
      <c r="C4040" s="8">
        <f>IFERROR(Datos!C4040,"")</f>
        <v/>
      </c>
      <c r="D4040" s="28">
        <f>IFERROR(IF(AND(ISNUMBER(B4040),ISNUMBER(B4039),B4039&lt;&gt;0),B4040/B4039-1,""),"")</f>
        <v/>
      </c>
      <c r="E4040" s="28">
        <f>IFERROR(IF(AND(ISNUMBER(C4040),ISNUMBER(C4039),C4039&lt;&gt;0),C4040/C4039-1,""),"")</f>
        <v/>
      </c>
      <c r="F4040" s="28">
        <f>IFERROR(D4040-Dashboard!$B$4/252,"")</f>
        <v/>
      </c>
      <c r="G4040" s="28">
        <f>IFERROR(E4040-Dashboard!$B$4/252,"")</f>
        <v/>
      </c>
      <c r="H4040" s="8">
        <f>IFERROR(IF(ISNUMBER(B4040),MAX(B4040,IFERROR(H4039,B4040)),""),"")</f>
        <v/>
      </c>
      <c r="I4040" s="29">
        <f>IFERROR(IF(AND(ISNUMBER(B4040),ISNUMBER(H4040)),B4040/H4040-1,""),"")</f>
        <v/>
      </c>
      <c r="J4040" s="8">
        <f>IFERROR(IF(ISNUMBER(C4040),MAX(C4040,IFERROR(J4039,C4040)),""),"")</f>
        <v/>
      </c>
      <c r="K4040" s="29">
        <f>IFERROR(IF(AND(ISNUMBER(C4040),ISNUMBER(J4040)),C4040/J4040-1,""),"")</f>
        <v/>
      </c>
      <c r="L4040" s="28">
        <f>IFERROR(IF(AND(ISNUMBER(D4040),ISNUMBER(E4040)),D4040-E4040,""),"")</f>
        <v/>
      </c>
    </row>
    <row r="4041">
      <c r="A4041" s="7">
        <f>IFERROR(Datos!A4041,"")</f>
        <v/>
      </c>
      <c r="B4041" s="8">
        <f>IFERROR(Datos!B4041,"")</f>
        <v/>
      </c>
      <c r="C4041" s="8">
        <f>IFERROR(Datos!C4041,"")</f>
        <v/>
      </c>
      <c r="D4041" s="28">
        <f>IFERROR(IF(AND(ISNUMBER(B4041),ISNUMBER(B4040),B4040&lt;&gt;0),B4041/B4040-1,""),"")</f>
        <v/>
      </c>
      <c r="E4041" s="28">
        <f>IFERROR(IF(AND(ISNUMBER(C4041),ISNUMBER(C4040),C4040&lt;&gt;0),C4041/C4040-1,""),"")</f>
        <v/>
      </c>
      <c r="F4041" s="28">
        <f>IFERROR(D4041-Dashboard!$B$4/252,"")</f>
        <v/>
      </c>
      <c r="G4041" s="28">
        <f>IFERROR(E4041-Dashboard!$B$4/252,"")</f>
        <v/>
      </c>
      <c r="H4041" s="8">
        <f>IFERROR(IF(ISNUMBER(B4041),MAX(B4041,IFERROR(H4040,B4041)),""),"")</f>
        <v/>
      </c>
      <c r="I4041" s="29">
        <f>IFERROR(IF(AND(ISNUMBER(B4041),ISNUMBER(H4041)),B4041/H4041-1,""),"")</f>
        <v/>
      </c>
      <c r="J4041" s="8">
        <f>IFERROR(IF(ISNUMBER(C4041),MAX(C4041,IFERROR(J4040,C4041)),""),"")</f>
        <v/>
      </c>
      <c r="K4041" s="29">
        <f>IFERROR(IF(AND(ISNUMBER(C4041),ISNUMBER(J4041)),C4041/J4041-1,""),"")</f>
        <v/>
      </c>
      <c r="L4041" s="28">
        <f>IFERROR(IF(AND(ISNUMBER(D4041),ISNUMBER(E4041)),D4041-E4041,""),"")</f>
        <v/>
      </c>
    </row>
    <row r="4042">
      <c r="A4042" s="7">
        <f>IFERROR(Datos!A4042,"")</f>
        <v/>
      </c>
      <c r="B4042" s="8">
        <f>IFERROR(Datos!B4042,"")</f>
        <v/>
      </c>
      <c r="C4042" s="8">
        <f>IFERROR(Datos!C4042,"")</f>
        <v/>
      </c>
      <c r="D4042" s="28">
        <f>IFERROR(IF(AND(ISNUMBER(B4042),ISNUMBER(B4041),B4041&lt;&gt;0),B4042/B4041-1,""),"")</f>
        <v/>
      </c>
      <c r="E4042" s="28">
        <f>IFERROR(IF(AND(ISNUMBER(C4042),ISNUMBER(C4041),C4041&lt;&gt;0),C4042/C4041-1,""),"")</f>
        <v/>
      </c>
      <c r="F4042" s="28">
        <f>IFERROR(D4042-Dashboard!$B$4/252,"")</f>
        <v/>
      </c>
      <c r="G4042" s="28">
        <f>IFERROR(E4042-Dashboard!$B$4/252,"")</f>
        <v/>
      </c>
      <c r="H4042" s="8">
        <f>IFERROR(IF(ISNUMBER(B4042),MAX(B4042,IFERROR(H4041,B4042)),""),"")</f>
        <v/>
      </c>
      <c r="I4042" s="29">
        <f>IFERROR(IF(AND(ISNUMBER(B4042),ISNUMBER(H4042)),B4042/H4042-1,""),"")</f>
        <v/>
      </c>
      <c r="J4042" s="8">
        <f>IFERROR(IF(ISNUMBER(C4042),MAX(C4042,IFERROR(J4041,C4042)),""),"")</f>
        <v/>
      </c>
      <c r="K4042" s="29">
        <f>IFERROR(IF(AND(ISNUMBER(C4042),ISNUMBER(J4042)),C4042/J4042-1,""),"")</f>
        <v/>
      </c>
      <c r="L4042" s="28">
        <f>IFERROR(IF(AND(ISNUMBER(D4042),ISNUMBER(E4042)),D4042-E4042,""),"")</f>
        <v/>
      </c>
    </row>
    <row r="4043">
      <c r="A4043" s="7">
        <f>IFERROR(Datos!A4043,"")</f>
        <v/>
      </c>
      <c r="B4043" s="8">
        <f>IFERROR(Datos!B4043,"")</f>
        <v/>
      </c>
      <c r="C4043" s="8">
        <f>IFERROR(Datos!C4043,"")</f>
        <v/>
      </c>
      <c r="D4043" s="28">
        <f>IFERROR(IF(AND(ISNUMBER(B4043),ISNUMBER(B4042),B4042&lt;&gt;0),B4043/B4042-1,""),"")</f>
        <v/>
      </c>
      <c r="E4043" s="28">
        <f>IFERROR(IF(AND(ISNUMBER(C4043),ISNUMBER(C4042),C4042&lt;&gt;0),C4043/C4042-1,""),"")</f>
        <v/>
      </c>
      <c r="F4043" s="28">
        <f>IFERROR(D4043-Dashboard!$B$4/252,"")</f>
        <v/>
      </c>
      <c r="G4043" s="28">
        <f>IFERROR(E4043-Dashboard!$B$4/252,"")</f>
        <v/>
      </c>
      <c r="H4043" s="8">
        <f>IFERROR(IF(ISNUMBER(B4043),MAX(B4043,IFERROR(H4042,B4043)),""),"")</f>
        <v/>
      </c>
      <c r="I4043" s="29">
        <f>IFERROR(IF(AND(ISNUMBER(B4043),ISNUMBER(H4043)),B4043/H4043-1,""),"")</f>
        <v/>
      </c>
      <c r="J4043" s="8">
        <f>IFERROR(IF(ISNUMBER(C4043),MAX(C4043,IFERROR(J4042,C4043)),""),"")</f>
        <v/>
      </c>
      <c r="K4043" s="29">
        <f>IFERROR(IF(AND(ISNUMBER(C4043),ISNUMBER(J4043)),C4043/J4043-1,""),"")</f>
        <v/>
      </c>
      <c r="L4043" s="28">
        <f>IFERROR(IF(AND(ISNUMBER(D4043),ISNUMBER(E4043)),D4043-E4043,""),"")</f>
        <v/>
      </c>
    </row>
    <row r="4044">
      <c r="A4044" s="7">
        <f>IFERROR(Datos!A4044,"")</f>
        <v/>
      </c>
      <c r="B4044" s="8">
        <f>IFERROR(Datos!B4044,"")</f>
        <v/>
      </c>
      <c r="C4044" s="8">
        <f>IFERROR(Datos!C4044,"")</f>
        <v/>
      </c>
      <c r="D4044" s="28">
        <f>IFERROR(IF(AND(ISNUMBER(B4044),ISNUMBER(B4043),B4043&lt;&gt;0),B4044/B4043-1,""),"")</f>
        <v/>
      </c>
      <c r="E4044" s="28">
        <f>IFERROR(IF(AND(ISNUMBER(C4044),ISNUMBER(C4043),C4043&lt;&gt;0),C4044/C4043-1,""),"")</f>
        <v/>
      </c>
      <c r="F4044" s="28">
        <f>IFERROR(D4044-Dashboard!$B$4/252,"")</f>
        <v/>
      </c>
      <c r="G4044" s="28">
        <f>IFERROR(E4044-Dashboard!$B$4/252,"")</f>
        <v/>
      </c>
      <c r="H4044" s="8">
        <f>IFERROR(IF(ISNUMBER(B4044),MAX(B4044,IFERROR(H4043,B4044)),""),"")</f>
        <v/>
      </c>
      <c r="I4044" s="29">
        <f>IFERROR(IF(AND(ISNUMBER(B4044),ISNUMBER(H4044)),B4044/H4044-1,""),"")</f>
        <v/>
      </c>
      <c r="J4044" s="8">
        <f>IFERROR(IF(ISNUMBER(C4044),MAX(C4044,IFERROR(J4043,C4044)),""),"")</f>
        <v/>
      </c>
      <c r="K4044" s="29">
        <f>IFERROR(IF(AND(ISNUMBER(C4044),ISNUMBER(J4044)),C4044/J4044-1,""),"")</f>
        <v/>
      </c>
      <c r="L4044" s="28">
        <f>IFERROR(IF(AND(ISNUMBER(D4044),ISNUMBER(E4044)),D4044-E4044,""),"")</f>
        <v/>
      </c>
    </row>
    <row r="4045">
      <c r="A4045" s="7">
        <f>IFERROR(Datos!A4045,"")</f>
        <v/>
      </c>
      <c r="B4045" s="8">
        <f>IFERROR(Datos!B4045,"")</f>
        <v/>
      </c>
      <c r="C4045" s="8">
        <f>IFERROR(Datos!C4045,"")</f>
        <v/>
      </c>
      <c r="D4045" s="28">
        <f>IFERROR(IF(AND(ISNUMBER(B4045),ISNUMBER(B4044),B4044&lt;&gt;0),B4045/B4044-1,""),"")</f>
        <v/>
      </c>
      <c r="E4045" s="28">
        <f>IFERROR(IF(AND(ISNUMBER(C4045),ISNUMBER(C4044),C4044&lt;&gt;0),C4045/C4044-1,""),"")</f>
        <v/>
      </c>
      <c r="F4045" s="28">
        <f>IFERROR(D4045-Dashboard!$B$4/252,"")</f>
        <v/>
      </c>
      <c r="G4045" s="28">
        <f>IFERROR(E4045-Dashboard!$B$4/252,"")</f>
        <v/>
      </c>
      <c r="H4045" s="8">
        <f>IFERROR(IF(ISNUMBER(B4045),MAX(B4045,IFERROR(H4044,B4045)),""),"")</f>
        <v/>
      </c>
      <c r="I4045" s="29">
        <f>IFERROR(IF(AND(ISNUMBER(B4045),ISNUMBER(H4045)),B4045/H4045-1,""),"")</f>
        <v/>
      </c>
      <c r="J4045" s="8">
        <f>IFERROR(IF(ISNUMBER(C4045),MAX(C4045,IFERROR(J4044,C4045)),""),"")</f>
        <v/>
      </c>
      <c r="K4045" s="29">
        <f>IFERROR(IF(AND(ISNUMBER(C4045),ISNUMBER(J4045)),C4045/J4045-1,""),"")</f>
        <v/>
      </c>
      <c r="L4045" s="28">
        <f>IFERROR(IF(AND(ISNUMBER(D4045),ISNUMBER(E4045)),D4045-E4045,""),"")</f>
        <v/>
      </c>
    </row>
    <row r="4046">
      <c r="A4046" s="7">
        <f>IFERROR(Datos!A4046,"")</f>
        <v/>
      </c>
      <c r="B4046" s="8">
        <f>IFERROR(Datos!B4046,"")</f>
        <v/>
      </c>
      <c r="C4046" s="8">
        <f>IFERROR(Datos!C4046,"")</f>
        <v/>
      </c>
      <c r="D4046" s="28">
        <f>IFERROR(IF(AND(ISNUMBER(B4046),ISNUMBER(B4045),B4045&lt;&gt;0),B4046/B4045-1,""),"")</f>
        <v/>
      </c>
      <c r="E4046" s="28">
        <f>IFERROR(IF(AND(ISNUMBER(C4046),ISNUMBER(C4045),C4045&lt;&gt;0),C4046/C4045-1,""),"")</f>
        <v/>
      </c>
      <c r="F4046" s="28">
        <f>IFERROR(D4046-Dashboard!$B$4/252,"")</f>
        <v/>
      </c>
      <c r="G4046" s="28">
        <f>IFERROR(E4046-Dashboard!$B$4/252,"")</f>
        <v/>
      </c>
      <c r="H4046" s="8">
        <f>IFERROR(IF(ISNUMBER(B4046),MAX(B4046,IFERROR(H4045,B4046)),""),"")</f>
        <v/>
      </c>
      <c r="I4046" s="29">
        <f>IFERROR(IF(AND(ISNUMBER(B4046),ISNUMBER(H4046)),B4046/H4046-1,""),"")</f>
        <v/>
      </c>
      <c r="J4046" s="8">
        <f>IFERROR(IF(ISNUMBER(C4046),MAX(C4046,IFERROR(J4045,C4046)),""),"")</f>
        <v/>
      </c>
      <c r="K4046" s="29">
        <f>IFERROR(IF(AND(ISNUMBER(C4046),ISNUMBER(J4046)),C4046/J4046-1,""),"")</f>
        <v/>
      </c>
      <c r="L4046" s="28">
        <f>IFERROR(IF(AND(ISNUMBER(D4046),ISNUMBER(E4046)),D4046-E4046,""),"")</f>
        <v/>
      </c>
    </row>
    <row r="4047">
      <c r="A4047" s="7">
        <f>IFERROR(Datos!A4047,"")</f>
        <v/>
      </c>
      <c r="B4047" s="8">
        <f>IFERROR(Datos!B4047,"")</f>
        <v/>
      </c>
      <c r="C4047" s="8">
        <f>IFERROR(Datos!C4047,"")</f>
        <v/>
      </c>
      <c r="D4047" s="28">
        <f>IFERROR(IF(AND(ISNUMBER(B4047),ISNUMBER(B4046),B4046&lt;&gt;0),B4047/B4046-1,""),"")</f>
        <v/>
      </c>
      <c r="E4047" s="28">
        <f>IFERROR(IF(AND(ISNUMBER(C4047),ISNUMBER(C4046),C4046&lt;&gt;0),C4047/C4046-1,""),"")</f>
        <v/>
      </c>
      <c r="F4047" s="28">
        <f>IFERROR(D4047-Dashboard!$B$4/252,"")</f>
        <v/>
      </c>
      <c r="G4047" s="28">
        <f>IFERROR(E4047-Dashboard!$B$4/252,"")</f>
        <v/>
      </c>
      <c r="H4047" s="8">
        <f>IFERROR(IF(ISNUMBER(B4047),MAX(B4047,IFERROR(H4046,B4047)),""),"")</f>
        <v/>
      </c>
      <c r="I4047" s="29">
        <f>IFERROR(IF(AND(ISNUMBER(B4047),ISNUMBER(H4047)),B4047/H4047-1,""),"")</f>
        <v/>
      </c>
      <c r="J4047" s="8">
        <f>IFERROR(IF(ISNUMBER(C4047),MAX(C4047,IFERROR(J4046,C4047)),""),"")</f>
        <v/>
      </c>
      <c r="K4047" s="29">
        <f>IFERROR(IF(AND(ISNUMBER(C4047),ISNUMBER(J4047)),C4047/J4047-1,""),"")</f>
        <v/>
      </c>
      <c r="L4047" s="28">
        <f>IFERROR(IF(AND(ISNUMBER(D4047),ISNUMBER(E4047)),D4047-E4047,""),"")</f>
        <v/>
      </c>
    </row>
    <row r="4048">
      <c r="A4048" s="7">
        <f>IFERROR(Datos!A4048,"")</f>
        <v/>
      </c>
      <c r="B4048" s="8">
        <f>IFERROR(Datos!B4048,"")</f>
        <v/>
      </c>
      <c r="C4048" s="8">
        <f>IFERROR(Datos!C4048,"")</f>
        <v/>
      </c>
      <c r="D4048" s="28">
        <f>IFERROR(IF(AND(ISNUMBER(B4048),ISNUMBER(B4047),B4047&lt;&gt;0),B4048/B4047-1,""),"")</f>
        <v/>
      </c>
      <c r="E4048" s="28">
        <f>IFERROR(IF(AND(ISNUMBER(C4048),ISNUMBER(C4047),C4047&lt;&gt;0),C4048/C4047-1,""),"")</f>
        <v/>
      </c>
      <c r="F4048" s="28">
        <f>IFERROR(D4048-Dashboard!$B$4/252,"")</f>
        <v/>
      </c>
      <c r="G4048" s="28">
        <f>IFERROR(E4048-Dashboard!$B$4/252,"")</f>
        <v/>
      </c>
      <c r="H4048" s="8">
        <f>IFERROR(IF(ISNUMBER(B4048),MAX(B4048,IFERROR(H4047,B4048)),""),"")</f>
        <v/>
      </c>
      <c r="I4048" s="29">
        <f>IFERROR(IF(AND(ISNUMBER(B4048),ISNUMBER(H4048)),B4048/H4048-1,""),"")</f>
        <v/>
      </c>
      <c r="J4048" s="8">
        <f>IFERROR(IF(ISNUMBER(C4048),MAX(C4048,IFERROR(J4047,C4048)),""),"")</f>
        <v/>
      </c>
      <c r="K4048" s="29">
        <f>IFERROR(IF(AND(ISNUMBER(C4048),ISNUMBER(J4048)),C4048/J4048-1,""),"")</f>
        <v/>
      </c>
      <c r="L4048" s="28">
        <f>IFERROR(IF(AND(ISNUMBER(D4048),ISNUMBER(E4048)),D4048-E4048,""),"")</f>
        <v/>
      </c>
    </row>
    <row r="4049">
      <c r="A4049" s="7">
        <f>IFERROR(Datos!A4049,"")</f>
        <v/>
      </c>
      <c r="B4049" s="8">
        <f>IFERROR(Datos!B4049,"")</f>
        <v/>
      </c>
      <c r="C4049" s="8">
        <f>IFERROR(Datos!C4049,"")</f>
        <v/>
      </c>
      <c r="D4049" s="28">
        <f>IFERROR(IF(AND(ISNUMBER(B4049),ISNUMBER(B4048),B4048&lt;&gt;0),B4049/B4048-1,""),"")</f>
        <v/>
      </c>
      <c r="E4049" s="28">
        <f>IFERROR(IF(AND(ISNUMBER(C4049),ISNUMBER(C4048),C4048&lt;&gt;0),C4049/C4048-1,""),"")</f>
        <v/>
      </c>
      <c r="F4049" s="28">
        <f>IFERROR(D4049-Dashboard!$B$4/252,"")</f>
        <v/>
      </c>
      <c r="G4049" s="28">
        <f>IFERROR(E4049-Dashboard!$B$4/252,"")</f>
        <v/>
      </c>
      <c r="H4049" s="8">
        <f>IFERROR(IF(ISNUMBER(B4049),MAX(B4049,IFERROR(H4048,B4049)),""),"")</f>
        <v/>
      </c>
      <c r="I4049" s="29">
        <f>IFERROR(IF(AND(ISNUMBER(B4049),ISNUMBER(H4049)),B4049/H4049-1,""),"")</f>
        <v/>
      </c>
      <c r="J4049" s="8">
        <f>IFERROR(IF(ISNUMBER(C4049),MAX(C4049,IFERROR(J4048,C4049)),""),"")</f>
        <v/>
      </c>
      <c r="K4049" s="29">
        <f>IFERROR(IF(AND(ISNUMBER(C4049),ISNUMBER(J4049)),C4049/J4049-1,""),"")</f>
        <v/>
      </c>
      <c r="L4049" s="28">
        <f>IFERROR(IF(AND(ISNUMBER(D4049),ISNUMBER(E4049)),D4049-E4049,""),"")</f>
        <v/>
      </c>
    </row>
    <row r="4050">
      <c r="A4050" s="7">
        <f>IFERROR(Datos!A4050,"")</f>
        <v/>
      </c>
      <c r="B4050" s="8">
        <f>IFERROR(Datos!B4050,"")</f>
        <v/>
      </c>
      <c r="C4050" s="8">
        <f>IFERROR(Datos!C4050,"")</f>
        <v/>
      </c>
      <c r="D4050" s="28">
        <f>IFERROR(IF(AND(ISNUMBER(B4050),ISNUMBER(B4049),B4049&lt;&gt;0),B4050/B4049-1,""),"")</f>
        <v/>
      </c>
      <c r="E4050" s="28">
        <f>IFERROR(IF(AND(ISNUMBER(C4050),ISNUMBER(C4049),C4049&lt;&gt;0),C4050/C4049-1,""),"")</f>
        <v/>
      </c>
      <c r="F4050" s="28">
        <f>IFERROR(D4050-Dashboard!$B$4/252,"")</f>
        <v/>
      </c>
      <c r="G4050" s="28">
        <f>IFERROR(E4050-Dashboard!$B$4/252,"")</f>
        <v/>
      </c>
      <c r="H4050" s="8">
        <f>IFERROR(IF(ISNUMBER(B4050),MAX(B4050,IFERROR(H4049,B4050)),""),"")</f>
        <v/>
      </c>
      <c r="I4050" s="29">
        <f>IFERROR(IF(AND(ISNUMBER(B4050),ISNUMBER(H4050)),B4050/H4050-1,""),"")</f>
        <v/>
      </c>
      <c r="J4050" s="8">
        <f>IFERROR(IF(ISNUMBER(C4050),MAX(C4050,IFERROR(J4049,C4050)),""),"")</f>
        <v/>
      </c>
      <c r="K4050" s="29">
        <f>IFERROR(IF(AND(ISNUMBER(C4050),ISNUMBER(J4050)),C4050/J4050-1,""),"")</f>
        <v/>
      </c>
      <c r="L4050" s="28">
        <f>IFERROR(IF(AND(ISNUMBER(D4050),ISNUMBER(E4050)),D4050-E4050,""),"")</f>
        <v/>
      </c>
    </row>
    <row r="4051">
      <c r="A4051" s="7">
        <f>IFERROR(Datos!A4051,"")</f>
        <v/>
      </c>
      <c r="B4051" s="8">
        <f>IFERROR(Datos!B4051,"")</f>
        <v/>
      </c>
      <c r="C4051" s="8">
        <f>IFERROR(Datos!C4051,"")</f>
        <v/>
      </c>
      <c r="D4051" s="28">
        <f>IFERROR(IF(AND(ISNUMBER(B4051),ISNUMBER(B4050),B4050&lt;&gt;0),B4051/B4050-1,""),"")</f>
        <v/>
      </c>
      <c r="E4051" s="28">
        <f>IFERROR(IF(AND(ISNUMBER(C4051),ISNUMBER(C4050),C4050&lt;&gt;0),C4051/C4050-1,""),"")</f>
        <v/>
      </c>
      <c r="F4051" s="28">
        <f>IFERROR(D4051-Dashboard!$B$4/252,"")</f>
        <v/>
      </c>
      <c r="G4051" s="28">
        <f>IFERROR(E4051-Dashboard!$B$4/252,"")</f>
        <v/>
      </c>
      <c r="H4051" s="8">
        <f>IFERROR(IF(ISNUMBER(B4051),MAX(B4051,IFERROR(H4050,B4051)),""),"")</f>
        <v/>
      </c>
      <c r="I4051" s="29">
        <f>IFERROR(IF(AND(ISNUMBER(B4051),ISNUMBER(H4051)),B4051/H4051-1,""),"")</f>
        <v/>
      </c>
      <c r="J4051" s="8">
        <f>IFERROR(IF(ISNUMBER(C4051),MAX(C4051,IFERROR(J4050,C4051)),""),"")</f>
        <v/>
      </c>
      <c r="K4051" s="29">
        <f>IFERROR(IF(AND(ISNUMBER(C4051),ISNUMBER(J4051)),C4051/J4051-1,""),"")</f>
        <v/>
      </c>
      <c r="L4051" s="28">
        <f>IFERROR(IF(AND(ISNUMBER(D4051),ISNUMBER(E4051)),D4051-E4051,""),"")</f>
        <v/>
      </c>
    </row>
    <row r="4052">
      <c r="A4052" s="7">
        <f>IFERROR(Datos!A4052,"")</f>
        <v/>
      </c>
      <c r="B4052" s="8">
        <f>IFERROR(Datos!B4052,"")</f>
        <v/>
      </c>
      <c r="C4052" s="8">
        <f>IFERROR(Datos!C4052,"")</f>
        <v/>
      </c>
      <c r="D4052" s="28">
        <f>IFERROR(IF(AND(ISNUMBER(B4052),ISNUMBER(B4051),B4051&lt;&gt;0),B4052/B4051-1,""),"")</f>
        <v/>
      </c>
      <c r="E4052" s="28">
        <f>IFERROR(IF(AND(ISNUMBER(C4052),ISNUMBER(C4051),C4051&lt;&gt;0),C4052/C4051-1,""),"")</f>
        <v/>
      </c>
      <c r="F4052" s="28">
        <f>IFERROR(D4052-Dashboard!$B$4/252,"")</f>
        <v/>
      </c>
      <c r="G4052" s="28">
        <f>IFERROR(E4052-Dashboard!$B$4/252,"")</f>
        <v/>
      </c>
      <c r="H4052" s="8">
        <f>IFERROR(IF(ISNUMBER(B4052),MAX(B4052,IFERROR(H4051,B4052)),""),"")</f>
        <v/>
      </c>
      <c r="I4052" s="29">
        <f>IFERROR(IF(AND(ISNUMBER(B4052),ISNUMBER(H4052)),B4052/H4052-1,""),"")</f>
        <v/>
      </c>
      <c r="J4052" s="8">
        <f>IFERROR(IF(ISNUMBER(C4052),MAX(C4052,IFERROR(J4051,C4052)),""),"")</f>
        <v/>
      </c>
      <c r="K4052" s="29">
        <f>IFERROR(IF(AND(ISNUMBER(C4052),ISNUMBER(J4052)),C4052/J4052-1,""),"")</f>
        <v/>
      </c>
      <c r="L4052" s="28">
        <f>IFERROR(IF(AND(ISNUMBER(D4052),ISNUMBER(E4052)),D4052-E4052,""),"")</f>
        <v/>
      </c>
    </row>
    <row r="4053">
      <c r="A4053" s="7">
        <f>IFERROR(Datos!A4053,"")</f>
        <v/>
      </c>
      <c r="B4053" s="8">
        <f>IFERROR(Datos!B4053,"")</f>
        <v/>
      </c>
      <c r="C4053" s="8">
        <f>IFERROR(Datos!C4053,"")</f>
        <v/>
      </c>
      <c r="D4053" s="28">
        <f>IFERROR(IF(AND(ISNUMBER(B4053),ISNUMBER(B4052),B4052&lt;&gt;0),B4053/B4052-1,""),"")</f>
        <v/>
      </c>
      <c r="E4053" s="28">
        <f>IFERROR(IF(AND(ISNUMBER(C4053),ISNUMBER(C4052),C4052&lt;&gt;0),C4053/C4052-1,""),"")</f>
        <v/>
      </c>
      <c r="F4053" s="28">
        <f>IFERROR(D4053-Dashboard!$B$4/252,"")</f>
        <v/>
      </c>
      <c r="G4053" s="28">
        <f>IFERROR(E4053-Dashboard!$B$4/252,"")</f>
        <v/>
      </c>
      <c r="H4053" s="8">
        <f>IFERROR(IF(ISNUMBER(B4053),MAX(B4053,IFERROR(H4052,B4053)),""),"")</f>
        <v/>
      </c>
      <c r="I4053" s="29">
        <f>IFERROR(IF(AND(ISNUMBER(B4053),ISNUMBER(H4053)),B4053/H4053-1,""),"")</f>
        <v/>
      </c>
      <c r="J4053" s="8">
        <f>IFERROR(IF(ISNUMBER(C4053),MAX(C4053,IFERROR(J4052,C4053)),""),"")</f>
        <v/>
      </c>
      <c r="K4053" s="29">
        <f>IFERROR(IF(AND(ISNUMBER(C4053),ISNUMBER(J4053)),C4053/J4053-1,""),"")</f>
        <v/>
      </c>
      <c r="L4053" s="28">
        <f>IFERROR(IF(AND(ISNUMBER(D4053),ISNUMBER(E4053)),D4053-E4053,""),"")</f>
        <v/>
      </c>
    </row>
    <row r="4054">
      <c r="A4054" s="7">
        <f>IFERROR(Datos!A4054,"")</f>
        <v/>
      </c>
      <c r="B4054" s="8">
        <f>IFERROR(Datos!B4054,"")</f>
        <v/>
      </c>
      <c r="C4054" s="8">
        <f>IFERROR(Datos!C4054,"")</f>
        <v/>
      </c>
      <c r="D4054" s="28">
        <f>IFERROR(IF(AND(ISNUMBER(B4054),ISNUMBER(B4053),B4053&lt;&gt;0),B4054/B4053-1,""),"")</f>
        <v/>
      </c>
      <c r="E4054" s="28">
        <f>IFERROR(IF(AND(ISNUMBER(C4054),ISNUMBER(C4053),C4053&lt;&gt;0),C4054/C4053-1,""),"")</f>
        <v/>
      </c>
      <c r="F4054" s="28">
        <f>IFERROR(D4054-Dashboard!$B$4/252,"")</f>
        <v/>
      </c>
      <c r="G4054" s="28">
        <f>IFERROR(E4054-Dashboard!$B$4/252,"")</f>
        <v/>
      </c>
      <c r="H4054" s="8">
        <f>IFERROR(IF(ISNUMBER(B4054),MAX(B4054,IFERROR(H4053,B4054)),""),"")</f>
        <v/>
      </c>
      <c r="I4054" s="29">
        <f>IFERROR(IF(AND(ISNUMBER(B4054),ISNUMBER(H4054)),B4054/H4054-1,""),"")</f>
        <v/>
      </c>
      <c r="J4054" s="8">
        <f>IFERROR(IF(ISNUMBER(C4054),MAX(C4054,IFERROR(J4053,C4054)),""),"")</f>
        <v/>
      </c>
      <c r="K4054" s="29">
        <f>IFERROR(IF(AND(ISNUMBER(C4054),ISNUMBER(J4054)),C4054/J4054-1,""),"")</f>
        <v/>
      </c>
      <c r="L4054" s="28">
        <f>IFERROR(IF(AND(ISNUMBER(D4054),ISNUMBER(E4054)),D4054-E4054,""),"")</f>
        <v/>
      </c>
    </row>
    <row r="4055">
      <c r="A4055" s="7">
        <f>IFERROR(Datos!A4055,"")</f>
        <v/>
      </c>
      <c r="B4055" s="8">
        <f>IFERROR(Datos!B4055,"")</f>
        <v/>
      </c>
      <c r="C4055" s="8">
        <f>IFERROR(Datos!C4055,"")</f>
        <v/>
      </c>
      <c r="D4055" s="28">
        <f>IFERROR(IF(AND(ISNUMBER(B4055),ISNUMBER(B4054),B4054&lt;&gt;0),B4055/B4054-1,""),"")</f>
        <v/>
      </c>
      <c r="E4055" s="28">
        <f>IFERROR(IF(AND(ISNUMBER(C4055),ISNUMBER(C4054),C4054&lt;&gt;0),C4055/C4054-1,""),"")</f>
        <v/>
      </c>
      <c r="F4055" s="28">
        <f>IFERROR(D4055-Dashboard!$B$4/252,"")</f>
        <v/>
      </c>
      <c r="G4055" s="28">
        <f>IFERROR(E4055-Dashboard!$B$4/252,"")</f>
        <v/>
      </c>
      <c r="H4055" s="8">
        <f>IFERROR(IF(ISNUMBER(B4055),MAX(B4055,IFERROR(H4054,B4055)),""),"")</f>
        <v/>
      </c>
      <c r="I4055" s="29">
        <f>IFERROR(IF(AND(ISNUMBER(B4055),ISNUMBER(H4055)),B4055/H4055-1,""),"")</f>
        <v/>
      </c>
      <c r="J4055" s="8">
        <f>IFERROR(IF(ISNUMBER(C4055),MAX(C4055,IFERROR(J4054,C4055)),""),"")</f>
        <v/>
      </c>
      <c r="K4055" s="29">
        <f>IFERROR(IF(AND(ISNUMBER(C4055),ISNUMBER(J4055)),C4055/J4055-1,""),"")</f>
        <v/>
      </c>
      <c r="L4055" s="28">
        <f>IFERROR(IF(AND(ISNUMBER(D4055),ISNUMBER(E4055)),D4055-E4055,""),"")</f>
        <v/>
      </c>
    </row>
    <row r="4056">
      <c r="A4056" s="7">
        <f>IFERROR(Datos!A4056,"")</f>
        <v/>
      </c>
      <c r="B4056" s="8">
        <f>IFERROR(Datos!B4056,"")</f>
        <v/>
      </c>
      <c r="C4056" s="8">
        <f>IFERROR(Datos!C4056,"")</f>
        <v/>
      </c>
      <c r="D4056" s="28">
        <f>IFERROR(IF(AND(ISNUMBER(B4056),ISNUMBER(B4055),B4055&lt;&gt;0),B4056/B4055-1,""),"")</f>
        <v/>
      </c>
      <c r="E4056" s="28">
        <f>IFERROR(IF(AND(ISNUMBER(C4056),ISNUMBER(C4055),C4055&lt;&gt;0),C4056/C4055-1,""),"")</f>
        <v/>
      </c>
      <c r="F4056" s="28">
        <f>IFERROR(D4056-Dashboard!$B$4/252,"")</f>
        <v/>
      </c>
      <c r="G4056" s="28">
        <f>IFERROR(E4056-Dashboard!$B$4/252,"")</f>
        <v/>
      </c>
      <c r="H4056" s="8">
        <f>IFERROR(IF(ISNUMBER(B4056),MAX(B4056,IFERROR(H4055,B4056)),""),"")</f>
        <v/>
      </c>
      <c r="I4056" s="29">
        <f>IFERROR(IF(AND(ISNUMBER(B4056),ISNUMBER(H4056)),B4056/H4056-1,""),"")</f>
        <v/>
      </c>
      <c r="J4056" s="8">
        <f>IFERROR(IF(ISNUMBER(C4056),MAX(C4056,IFERROR(J4055,C4056)),""),"")</f>
        <v/>
      </c>
      <c r="K4056" s="29">
        <f>IFERROR(IF(AND(ISNUMBER(C4056),ISNUMBER(J4056)),C4056/J4056-1,""),"")</f>
        <v/>
      </c>
      <c r="L4056" s="28">
        <f>IFERROR(IF(AND(ISNUMBER(D4056),ISNUMBER(E4056)),D4056-E4056,""),"")</f>
        <v/>
      </c>
    </row>
    <row r="4057">
      <c r="A4057" s="7">
        <f>IFERROR(Datos!A4057,"")</f>
        <v/>
      </c>
      <c r="B4057" s="8">
        <f>IFERROR(Datos!B4057,"")</f>
        <v/>
      </c>
      <c r="C4057" s="8">
        <f>IFERROR(Datos!C4057,"")</f>
        <v/>
      </c>
      <c r="D4057" s="28">
        <f>IFERROR(IF(AND(ISNUMBER(B4057),ISNUMBER(B4056),B4056&lt;&gt;0),B4057/B4056-1,""),"")</f>
        <v/>
      </c>
      <c r="E4057" s="28">
        <f>IFERROR(IF(AND(ISNUMBER(C4057),ISNUMBER(C4056),C4056&lt;&gt;0),C4057/C4056-1,""),"")</f>
        <v/>
      </c>
      <c r="F4057" s="28">
        <f>IFERROR(D4057-Dashboard!$B$4/252,"")</f>
        <v/>
      </c>
      <c r="G4057" s="28">
        <f>IFERROR(E4057-Dashboard!$B$4/252,"")</f>
        <v/>
      </c>
      <c r="H4057" s="8">
        <f>IFERROR(IF(ISNUMBER(B4057),MAX(B4057,IFERROR(H4056,B4057)),""),"")</f>
        <v/>
      </c>
      <c r="I4057" s="29">
        <f>IFERROR(IF(AND(ISNUMBER(B4057),ISNUMBER(H4057)),B4057/H4057-1,""),"")</f>
        <v/>
      </c>
      <c r="J4057" s="8">
        <f>IFERROR(IF(ISNUMBER(C4057),MAX(C4057,IFERROR(J4056,C4057)),""),"")</f>
        <v/>
      </c>
      <c r="K4057" s="29">
        <f>IFERROR(IF(AND(ISNUMBER(C4057),ISNUMBER(J4057)),C4057/J4057-1,""),"")</f>
        <v/>
      </c>
      <c r="L4057" s="28">
        <f>IFERROR(IF(AND(ISNUMBER(D4057),ISNUMBER(E4057)),D4057-E4057,""),"")</f>
        <v/>
      </c>
    </row>
    <row r="4058">
      <c r="A4058" s="7">
        <f>IFERROR(Datos!A4058,"")</f>
        <v/>
      </c>
      <c r="B4058" s="8">
        <f>IFERROR(Datos!B4058,"")</f>
        <v/>
      </c>
      <c r="C4058" s="8">
        <f>IFERROR(Datos!C4058,"")</f>
        <v/>
      </c>
      <c r="D4058" s="28">
        <f>IFERROR(IF(AND(ISNUMBER(B4058),ISNUMBER(B4057),B4057&lt;&gt;0),B4058/B4057-1,""),"")</f>
        <v/>
      </c>
      <c r="E4058" s="28">
        <f>IFERROR(IF(AND(ISNUMBER(C4058),ISNUMBER(C4057),C4057&lt;&gt;0),C4058/C4057-1,""),"")</f>
        <v/>
      </c>
      <c r="F4058" s="28">
        <f>IFERROR(D4058-Dashboard!$B$4/252,"")</f>
        <v/>
      </c>
      <c r="G4058" s="28">
        <f>IFERROR(E4058-Dashboard!$B$4/252,"")</f>
        <v/>
      </c>
      <c r="H4058" s="8">
        <f>IFERROR(IF(ISNUMBER(B4058),MAX(B4058,IFERROR(H4057,B4058)),""),"")</f>
        <v/>
      </c>
      <c r="I4058" s="29">
        <f>IFERROR(IF(AND(ISNUMBER(B4058),ISNUMBER(H4058)),B4058/H4058-1,""),"")</f>
        <v/>
      </c>
      <c r="J4058" s="8">
        <f>IFERROR(IF(ISNUMBER(C4058),MAX(C4058,IFERROR(J4057,C4058)),""),"")</f>
        <v/>
      </c>
      <c r="K4058" s="29">
        <f>IFERROR(IF(AND(ISNUMBER(C4058),ISNUMBER(J4058)),C4058/J4058-1,""),"")</f>
        <v/>
      </c>
      <c r="L4058" s="28">
        <f>IFERROR(IF(AND(ISNUMBER(D4058),ISNUMBER(E4058)),D4058-E4058,""),"")</f>
        <v/>
      </c>
    </row>
    <row r="4059">
      <c r="A4059" s="7">
        <f>IFERROR(Datos!A4059,"")</f>
        <v/>
      </c>
      <c r="B4059" s="8">
        <f>IFERROR(Datos!B4059,"")</f>
        <v/>
      </c>
      <c r="C4059" s="8">
        <f>IFERROR(Datos!C4059,"")</f>
        <v/>
      </c>
      <c r="D4059" s="28">
        <f>IFERROR(IF(AND(ISNUMBER(B4059),ISNUMBER(B4058),B4058&lt;&gt;0),B4059/B4058-1,""),"")</f>
        <v/>
      </c>
      <c r="E4059" s="28">
        <f>IFERROR(IF(AND(ISNUMBER(C4059),ISNUMBER(C4058),C4058&lt;&gt;0),C4059/C4058-1,""),"")</f>
        <v/>
      </c>
      <c r="F4059" s="28">
        <f>IFERROR(D4059-Dashboard!$B$4/252,"")</f>
        <v/>
      </c>
      <c r="G4059" s="28">
        <f>IFERROR(E4059-Dashboard!$B$4/252,"")</f>
        <v/>
      </c>
      <c r="H4059" s="8">
        <f>IFERROR(IF(ISNUMBER(B4059),MAX(B4059,IFERROR(H4058,B4059)),""),"")</f>
        <v/>
      </c>
      <c r="I4059" s="29">
        <f>IFERROR(IF(AND(ISNUMBER(B4059),ISNUMBER(H4059)),B4059/H4059-1,""),"")</f>
        <v/>
      </c>
      <c r="J4059" s="8">
        <f>IFERROR(IF(ISNUMBER(C4059),MAX(C4059,IFERROR(J4058,C4059)),""),"")</f>
        <v/>
      </c>
      <c r="K4059" s="29">
        <f>IFERROR(IF(AND(ISNUMBER(C4059),ISNUMBER(J4059)),C4059/J4059-1,""),"")</f>
        <v/>
      </c>
      <c r="L4059" s="28">
        <f>IFERROR(IF(AND(ISNUMBER(D4059),ISNUMBER(E4059)),D4059-E4059,""),"")</f>
        <v/>
      </c>
    </row>
    <row r="4060">
      <c r="A4060" s="7">
        <f>IFERROR(Datos!A4060,"")</f>
        <v/>
      </c>
      <c r="B4060" s="8">
        <f>IFERROR(Datos!B4060,"")</f>
        <v/>
      </c>
      <c r="C4060" s="8">
        <f>IFERROR(Datos!C4060,"")</f>
        <v/>
      </c>
      <c r="D4060" s="28">
        <f>IFERROR(IF(AND(ISNUMBER(B4060),ISNUMBER(B4059),B4059&lt;&gt;0),B4060/B4059-1,""),"")</f>
        <v/>
      </c>
      <c r="E4060" s="28">
        <f>IFERROR(IF(AND(ISNUMBER(C4060),ISNUMBER(C4059),C4059&lt;&gt;0),C4060/C4059-1,""),"")</f>
        <v/>
      </c>
      <c r="F4060" s="28">
        <f>IFERROR(D4060-Dashboard!$B$4/252,"")</f>
        <v/>
      </c>
      <c r="G4060" s="28">
        <f>IFERROR(E4060-Dashboard!$B$4/252,"")</f>
        <v/>
      </c>
      <c r="H4060" s="8">
        <f>IFERROR(IF(ISNUMBER(B4060),MAX(B4060,IFERROR(H4059,B4060)),""),"")</f>
        <v/>
      </c>
      <c r="I4060" s="29">
        <f>IFERROR(IF(AND(ISNUMBER(B4060),ISNUMBER(H4060)),B4060/H4060-1,""),"")</f>
        <v/>
      </c>
      <c r="J4060" s="8">
        <f>IFERROR(IF(ISNUMBER(C4060),MAX(C4060,IFERROR(J4059,C4060)),""),"")</f>
        <v/>
      </c>
      <c r="K4060" s="29">
        <f>IFERROR(IF(AND(ISNUMBER(C4060),ISNUMBER(J4060)),C4060/J4060-1,""),"")</f>
        <v/>
      </c>
      <c r="L4060" s="28">
        <f>IFERROR(IF(AND(ISNUMBER(D4060),ISNUMBER(E4060)),D4060-E4060,""),"")</f>
        <v/>
      </c>
    </row>
    <row r="4061">
      <c r="A4061" s="7">
        <f>IFERROR(Datos!A4061,"")</f>
        <v/>
      </c>
      <c r="B4061" s="8">
        <f>IFERROR(Datos!B4061,"")</f>
        <v/>
      </c>
      <c r="C4061" s="8">
        <f>IFERROR(Datos!C4061,"")</f>
        <v/>
      </c>
      <c r="D4061" s="28">
        <f>IFERROR(IF(AND(ISNUMBER(B4061),ISNUMBER(B4060),B4060&lt;&gt;0),B4061/B4060-1,""),"")</f>
        <v/>
      </c>
      <c r="E4061" s="28">
        <f>IFERROR(IF(AND(ISNUMBER(C4061),ISNUMBER(C4060),C4060&lt;&gt;0),C4061/C4060-1,""),"")</f>
        <v/>
      </c>
      <c r="F4061" s="28">
        <f>IFERROR(D4061-Dashboard!$B$4/252,"")</f>
        <v/>
      </c>
      <c r="G4061" s="28">
        <f>IFERROR(E4061-Dashboard!$B$4/252,"")</f>
        <v/>
      </c>
      <c r="H4061" s="8">
        <f>IFERROR(IF(ISNUMBER(B4061),MAX(B4061,IFERROR(H4060,B4061)),""),"")</f>
        <v/>
      </c>
      <c r="I4061" s="29">
        <f>IFERROR(IF(AND(ISNUMBER(B4061),ISNUMBER(H4061)),B4061/H4061-1,""),"")</f>
        <v/>
      </c>
      <c r="J4061" s="8">
        <f>IFERROR(IF(ISNUMBER(C4061),MAX(C4061,IFERROR(J4060,C4061)),""),"")</f>
        <v/>
      </c>
      <c r="K4061" s="29">
        <f>IFERROR(IF(AND(ISNUMBER(C4061),ISNUMBER(J4061)),C4061/J4061-1,""),"")</f>
        <v/>
      </c>
      <c r="L4061" s="28">
        <f>IFERROR(IF(AND(ISNUMBER(D4061),ISNUMBER(E4061)),D4061-E4061,""),"")</f>
        <v/>
      </c>
    </row>
    <row r="4062">
      <c r="A4062" s="7">
        <f>IFERROR(Datos!A4062,"")</f>
        <v/>
      </c>
      <c r="B4062" s="8">
        <f>IFERROR(Datos!B4062,"")</f>
        <v/>
      </c>
      <c r="C4062" s="8">
        <f>IFERROR(Datos!C4062,"")</f>
        <v/>
      </c>
      <c r="D4062" s="28">
        <f>IFERROR(IF(AND(ISNUMBER(B4062),ISNUMBER(B4061),B4061&lt;&gt;0),B4062/B4061-1,""),"")</f>
        <v/>
      </c>
      <c r="E4062" s="28">
        <f>IFERROR(IF(AND(ISNUMBER(C4062),ISNUMBER(C4061),C4061&lt;&gt;0),C4062/C4061-1,""),"")</f>
        <v/>
      </c>
      <c r="F4062" s="28">
        <f>IFERROR(D4062-Dashboard!$B$4/252,"")</f>
        <v/>
      </c>
      <c r="G4062" s="28">
        <f>IFERROR(E4062-Dashboard!$B$4/252,"")</f>
        <v/>
      </c>
      <c r="H4062" s="8">
        <f>IFERROR(IF(ISNUMBER(B4062),MAX(B4062,IFERROR(H4061,B4062)),""),"")</f>
        <v/>
      </c>
      <c r="I4062" s="29">
        <f>IFERROR(IF(AND(ISNUMBER(B4062),ISNUMBER(H4062)),B4062/H4062-1,""),"")</f>
        <v/>
      </c>
      <c r="J4062" s="8">
        <f>IFERROR(IF(ISNUMBER(C4062),MAX(C4062,IFERROR(J4061,C4062)),""),"")</f>
        <v/>
      </c>
      <c r="K4062" s="29">
        <f>IFERROR(IF(AND(ISNUMBER(C4062),ISNUMBER(J4062)),C4062/J4062-1,""),"")</f>
        <v/>
      </c>
      <c r="L4062" s="28">
        <f>IFERROR(IF(AND(ISNUMBER(D4062),ISNUMBER(E4062)),D4062-E4062,""),"")</f>
        <v/>
      </c>
    </row>
    <row r="4063">
      <c r="A4063" s="7">
        <f>IFERROR(Datos!A4063,"")</f>
        <v/>
      </c>
      <c r="B4063" s="8">
        <f>IFERROR(Datos!B4063,"")</f>
        <v/>
      </c>
      <c r="C4063" s="8">
        <f>IFERROR(Datos!C4063,"")</f>
        <v/>
      </c>
      <c r="D4063" s="28">
        <f>IFERROR(IF(AND(ISNUMBER(B4063),ISNUMBER(B4062),B4062&lt;&gt;0),B4063/B4062-1,""),"")</f>
        <v/>
      </c>
      <c r="E4063" s="28">
        <f>IFERROR(IF(AND(ISNUMBER(C4063),ISNUMBER(C4062),C4062&lt;&gt;0),C4063/C4062-1,""),"")</f>
        <v/>
      </c>
      <c r="F4063" s="28">
        <f>IFERROR(D4063-Dashboard!$B$4/252,"")</f>
        <v/>
      </c>
      <c r="G4063" s="28">
        <f>IFERROR(E4063-Dashboard!$B$4/252,"")</f>
        <v/>
      </c>
      <c r="H4063" s="8">
        <f>IFERROR(IF(ISNUMBER(B4063),MAX(B4063,IFERROR(H4062,B4063)),""),"")</f>
        <v/>
      </c>
      <c r="I4063" s="29">
        <f>IFERROR(IF(AND(ISNUMBER(B4063),ISNUMBER(H4063)),B4063/H4063-1,""),"")</f>
        <v/>
      </c>
      <c r="J4063" s="8">
        <f>IFERROR(IF(ISNUMBER(C4063),MAX(C4063,IFERROR(J4062,C4063)),""),"")</f>
        <v/>
      </c>
      <c r="K4063" s="29">
        <f>IFERROR(IF(AND(ISNUMBER(C4063),ISNUMBER(J4063)),C4063/J4063-1,""),"")</f>
        <v/>
      </c>
      <c r="L4063" s="28">
        <f>IFERROR(IF(AND(ISNUMBER(D4063),ISNUMBER(E4063)),D4063-E4063,""),"")</f>
        <v/>
      </c>
    </row>
    <row r="4064">
      <c r="A4064" s="7">
        <f>IFERROR(Datos!A4064,"")</f>
        <v/>
      </c>
      <c r="B4064" s="8">
        <f>IFERROR(Datos!B4064,"")</f>
        <v/>
      </c>
      <c r="C4064" s="8">
        <f>IFERROR(Datos!C4064,"")</f>
        <v/>
      </c>
      <c r="D4064" s="28">
        <f>IFERROR(IF(AND(ISNUMBER(B4064),ISNUMBER(B4063),B4063&lt;&gt;0),B4064/B4063-1,""),"")</f>
        <v/>
      </c>
      <c r="E4064" s="28">
        <f>IFERROR(IF(AND(ISNUMBER(C4064),ISNUMBER(C4063),C4063&lt;&gt;0),C4064/C4063-1,""),"")</f>
        <v/>
      </c>
      <c r="F4064" s="28">
        <f>IFERROR(D4064-Dashboard!$B$4/252,"")</f>
        <v/>
      </c>
      <c r="G4064" s="28">
        <f>IFERROR(E4064-Dashboard!$B$4/252,"")</f>
        <v/>
      </c>
      <c r="H4064" s="8">
        <f>IFERROR(IF(ISNUMBER(B4064),MAX(B4064,IFERROR(H4063,B4064)),""),"")</f>
        <v/>
      </c>
      <c r="I4064" s="29">
        <f>IFERROR(IF(AND(ISNUMBER(B4064),ISNUMBER(H4064)),B4064/H4064-1,""),"")</f>
        <v/>
      </c>
      <c r="J4064" s="8">
        <f>IFERROR(IF(ISNUMBER(C4064),MAX(C4064,IFERROR(J4063,C4064)),""),"")</f>
        <v/>
      </c>
      <c r="K4064" s="29">
        <f>IFERROR(IF(AND(ISNUMBER(C4064),ISNUMBER(J4064)),C4064/J4064-1,""),"")</f>
        <v/>
      </c>
      <c r="L4064" s="28">
        <f>IFERROR(IF(AND(ISNUMBER(D4064),ISNUMBER(E4064)),D4064-E4064,""),"")</f>
        <v/>
      </c>
    </row>
    <row r="4065">
      <c r="A4065" s="7">
        <f>IFERROR(Datos!A4065,"")</f>
        <v/>
      </c>
      <c r="B4065" s="8">
        <f>IFERROR(Datos!B4065,"")</f>
        <v/>
      </c>
      <c r="C4065" s="8">
        <f>IFERROR(Datos!C4065,"")</f>
        <v/>
      </c>
      <c r="D4065" s="28">
        <f>IFERROR(IF(AND(ISNUMBER(B4065),ISNUMBER(B4064),B4064&lt;&gt;0),B4065/B4064-1,""),"")</f>
        <v/>
      </c>
      <c r="E4065" s="28">
        <f>IFERROR(IF(AND(ISNUMBER(C4065),ISNUMBER(C4064),C4064&lt;&gt;0),C4065/C4064-1,""),"")</f>
        <v/>
      </c>
      <c r="F4065" s="28">
        <f>IFERROR(D4065-Dashboard!$B$4/252,"")</f>
        <v/>
      </c>
      <c r="G4065" s="28">
        <f>IFERROR(E4065-Dashboard!$B$4/252,"")</f>
        <v/>
      </c>
      <c r="H4065" s="8">
        <f>IFERROR(IF(ISNUMBER(B4065),MAX(B4065,IFERROR(H4064,B4065)),""),"")</f>
        <v/>
      </c>
      <c r="I4065" s="29">
        <f>IFERROR(IF(AND(ISNUMBER(B4065),ISNUMBER(H4065)),B4065/H4065-1,""),"")</f>
        <v/>
      </c>
      <c r="J4065" s="8">
        <f>IFERROR(IF(ISNUMBER(C4065),MAX(C4065,IFERROR(J4064,C4065)),""),"")</f>
        <v/>
      </c>
      <c r="K4065" s="29">
        <f>IFERROR(IF(AND(ISNUMBER(C4065),ISNUMBER(J4065)),C4065/J4065-1,""),"")</f>
        <v/>
      </c>
      <c r="L4065" s="28">
        <f>IFERROR(IF(AND(ISNUMBER(D4065),ISNUMBER(E4065)),D4065-E4065,""),"")</f>
        <v/>
      </c>
    </row>
    <row r="4066">
      <c r="A4066" s="7">
        <f>IFERROR(Datos!A4066,"")</f>
        <v/>
      </c>
      <c r="B4066" s="8">
        <f>IFERROR(Datos!B4066,"")</f>
        <v/>
      </c>
      <c r="C4066" s="8">
        <f>IFERROR(Datos!C4066,"")</f>
        <v/>
      </c>
      <c r="D4066" s="28">
        <f>IFERROR(IF(AND(ISNUMBER(B4066),ISNUMBER(B4065),B4065&lt;&gt;0),B4066/B4065-1,""),"")</f>
        <v/>
      </c>
      <c r="E4066" s="28">
        <f>IFERROR(IF(AND(ISNUMBER(C4066),ISNUMBER(C4065),C4065&lt;&gt;0),C4066/C4065-1,""),"")</f>
        <v/>
      </c>
      <c r="F4066" s="28">
        <f>IFERROR(D4066-Dashboard!$B$4/252,"")</f>
        <v/>
      </c>
      <c r="G4066" s="28">
        <f>IFERROR(E4066-Dashboard!$B$4/252,"")</f>
        <v/>
      </c>
      <c r="H4066" s="8">
        <f>IFERROR(IF(ISNUMBER(B4066),MAX(B4066,IFERROR(H4065,B4066)),""),"")</f>
        <v/>
      </c>
      <c r="I4066" s="29">
        <f>IFERROR(IF(AND(ISNUMBER(B4066),ISNUMBER(H4066)),B4066/H4066-1,""),"")</f>
        <v/>
      </c>
      <c r="J4066" s="8">
        <f>IFERROR(IF(ISNUMBER(C4066),MAX(C4066,IFERROR(J4065,C4066)),""),"")</f>
        <v/>
      </c>
      <c r="K4066" s="29">
        <f>IFERROR(IF(AND(ISNUMBER(C4066),ISNUMBER(J4066)),C4066/J4066-1,""),"")</f>
        <v/>
      </c>
      <c r="L4066" s="28">
        <f>IFERROR(IF(AND(ISNUMBER(D4066),ISNUMBER(E4066)),D4066-E4066,""),"")</f>
        <v/>
      </c>
    </row>
    <row r="4067">
      <c r="A4067" s="7">
        <f>IFERROR(Datos!A4067,"")</f>
        <v/>
      </c>
      <c r="B4067" s="8">
        <f>IFERROR(Datos!B4067,"")</f>
        <v/>
      </c>
      <c r="C4067" s="8">
        <f>IFERROR(Datos!C4067,"")</f>
        <v/>
      </c>
      <c r="D4067" s="28">
        <f>IFERROR(IF(AND(ISNUMBER(B4067),ISNUMBER(B4066),B4066&lt;&gt;0),B4067/B4066-1,""),"")</f>
        <v/>
      </c>
      <c r="E4067" s="28">
        <f>IFERROR(IF(AND(ISNUMBER(C4067),ISNUMBER(C4066),C4066&lt;&gt;0),C4067/C4066-1,""),"")</f>
        <v/>
      </c>
      <c r="F4067" s="28">
        <f>IFERROR(D4067-Dashboard!$B$4/252,"")</f>
        <v/>
      </c>
      <c r="G4067" s="28">
        <f>IFERROR(E4067-Dashboard!$B$4/252,"")</f>
        <v/>
      </c>
      <c r="H4067" s="8">
        <f>IFERROR(IF(ISNUMBER(B4067),MAX(B4067,IFERROR(H4066,B4067)),""),"")</f>
        <v/>
      </c>
      <c r="I4067" s="29">
        <f>IFERROR(IF(AND(ISNUMBER(B4067),ISNUMBER(H4067)),B4067/H4067-1,""),"")</f>
        <v/>
      </c>
      <c r="J4067" s="8">
        <f>IFERROR(IF(ISNUMBER(C4067),MAX(C4067,IFERROR(J4066,C4067)),""),"")</f>
        <v/>
      </c>
      <c r="K4067" s="29">
        <f>IFERROR(IF(AND(ISNUMBER(C4067),ISNUMBER(J4067)),C4067/J4067-1,""),"")</f>
        <v/>
      </c>
      <c r="L4067" s="28">
        <f>IFERROR(IF(AND(ISNUMBER(D4067),ISNUMBER(E4067)),D4067-E4067,""),"")</f>
        <v/>
      </c>
    </row>
    <row r="4068">
      <c r="A4068" s="7">
        <f>IFERROR(Datos!A4068,"")</f>
        <v/>
      </c>
      <c r="B4068" s="8">
        <f>IFERROR(Datos!B4068,"")</f>
        <v/>
      </c>
      <c r="C4068" s="8">
        <f>IFERROR(Datos!C4068,"")</f>
        <v/>
      </c>
      <c r="D4068" s="28">
        <f>IFERROR(IF(AND(ISNUMBER(B4068),ISNUMBER(B4067),B4067&lt;&gt;0),B4068/B4067-1,""),"")</f>
        <v/>
      </c>
      <c r="E4068" s="28">
        <f>IFERROR(IF(AND(ISNUMBER(C4068),ISNUMBER(C4067),C4067&lt;&gt;0),C4068/C4067-1,""),"")</f>
        <v/>
      </c>
      <c r="F4068" s="28">
        <f>IFERROR(D4068-Dashboard!$B$4/252,"")</f>
        <v/>
      </c>
      <c r="G4068" s="28">
        <f>IFERROR(E4068-Dashboard!$B$4/252,"")</f>
        <v/>
      </c>
      <c r="H4068" s="8">
        <f>IFERROR(IF(ISNUMBER(B4068),MAX(B4068,IFERROR(H4067,B4068)),""),"")</f>
        <v/>
      </c>
      <c r="I4068" s="29">
        <f>IFERROR(IF(AND(ISNUMBER(B4068),ISNUMBER(H4068)),B4068/H4068-1,""),"")</f>
        <v/>
      </c>
      <c r="J4068" s="8">
        <f>IFERROR(IF(ISNUMBER(C4068),MAX(C4068,IFERROR(J4067,C4068)),""),"")</f>
        <v/>
      </c>
      <c r="K4068" s="29">
        <f>IFERROR(IF(AND(ISNUMBER(C4068),ISNUMBER(J4068)),C4068/J4068-1,""),"")</f>
        <v/>
      </c>
      <c r="L4068" s="28">
        <f>IFERROR(IF(AND(ISNUMBER(D4068),ISNUMBER(E4068)),D4068-E4068,""),"")</f>
        <v/>
      </c>
    </row>
    <row r="4069">
      <c r="A4069" s="7">
        <f>IFERROR(Datos!A4069,"")</f>
        <v/>
      </c>
      <c r="B4069" s="8">
        <f>IFERROR(Datos!B4069,"")</f>
        <v/>
      </c>
      <c r="C4069" s="8">
        <f>IFERROR(Datos!C4069,"")</f>
        <v/>
      </c>
      <c r="D4069" s="28">
        <f>IFERROR(IF(AND(ISNUMBER(B4069),ISNUMBER(B4068),B4068&lt;&gt;0),B4069/B4068-1,""),"")</f>
        <v/>
      </c>
      <c r="E4069" s="28">
        <f>IFERROR(IF(AND(ISNUMBER(C4069),ISNUMBER(C4068),C4068&lt;&gt;0),C4069/C4068-1,""),"")</f>
        <v/>
      </c>
      <c r="F4069" s="28">
        <f>IFERROR(D4069-Dashboard!$B$4/252,"")</f>
        <v/>
      </c>
      <c r="G4069" s="28">
        <f>IFERROR(E4069-Dashboard!$B$4/252,"")</f>
        <v/>
      </c>
      <c r="H4069" s="8">
        <f>IFERROR(IF(ISNUMBER(B4069),MAX(B4069,IFERROR(H4068,B4069)),""),"")</f>
        <v/>
      </c>
      <c r="I4069" s="29">
        <f>IFERROR(IF(AND(ISNUMBER(B4069),ISNUMBER(H4069)),B4069/H4069-1,""),"")</f>
        <v/>
      </c>
      <c r="J4069" s="8">
        <f>IFERROR(IF(ISNUMBER(C4069),MAX(C4069,IFERROR(J4068,C4069)),""),"")</f>
        <v/>
      </c>
      <c r="K4069" s="29">
        <f>IFERROR(IF(AND(ISNUMBER(C4069),ISNUMBER(J4069)),C4069/J4069-1,""),"")</f>
        <v/>
      </c>
      <c r="L4069" s="28">
        <f>IFERROR(IF(AND(ISNUMBER(D4069),ISNUMBER(E4069)),D4069-E4069,""),"")</f>
        <v/>
      </c>
    </row>
    <row r="4070">
      <c r="A4070" s="7">
        <f>IFERROR(Datos!A4070,"")</f>
        <v/>
      </c>
      <c r="B4070" s="8">
        <f>IFERROR(Datos!B4070,"")</f>
        <v/>
      </c>
      <c r="C4070" s="8">
        <f>IFERROR(Datos!C4070,"")</f>
        <v/>
      </c>
      <c r="D4070" s="28">
        <f>IFERROR(IF(AND(ISNUMBER(B4070),ISNUMBER(B4069),B4069&lt;&gt;0),B4070/B4069-1,""),"")</f>
        <v/>
      </c>
      <c r="E4070" s="28">
        <f>IFERROR(IF(AND(ISNUMBER(C4070),ISNUMBER(C4069),C4069&lt;&gt;0),C4070/C4069-1,""),"")</f>
        <v/>
      </c>
      <c r="F4070" s="28">
        <f>IFERROR(D4070-Dashboard!$B$4/252,"")</f>
        <v/>
      </c>
      <c r="G4070" s="28">
        <f>IFERROR(E4070-Dashboard!$B$4/252,"")</f>
        <v/>
      </c>
      <c r="H4070" s="8">
        <f>IFERROR(IF(ISNUMBER(B4070),MAX(B4070,IFERROR(H4069,B4070)),""),"")</f>
        <v/>
      </c>
      <c r="I4070" s="29">
        <f>IFERROR(IF(AND(ISNUMBER(B4070),ISNUMBER(H4070)),B4070/H4070-1,""),"")</f>
        <v/>
      </c>
      <c r="J4070" s="8">
        <f>IFERROR(IF(ISNUMBER(C4070),MAX(C4070,IFERROR(J4069,C4070)),""),"")</f>
        <v/>
      </c>
      <c r="K4070" s="29">
        <f>IFERROR(IF(AND(ISNUMBER(C4070),ISNUMBER(J4070)),C4070/J4070-1,""),"")</f>
        <v/>
      </c>
      <c r="L4070" s="28">
        <f>IFERROR(IF(AND(ISNUMBER(D4070),ISNUMBER(E4070)),D4070-E4070,""),"")</f>
        <v/>
      </c>
    </row>
    <row r="4071">
      <c r="A4071" s="7">
        <f>IFERROR(Datos!A4071,"")</f>
        <v/>
      </c>
      <c r="B4071" s="8">
        <f>IFERROR(Datos!B4071,"")</f>
        <v/>
      </c>
      <c r="C4071" s="8">
        <f>IFERROR(Datos!C4071,"")</f>
        <v/>
      </c>
      <c r="D4071" s="28">
        <f>IFERROR(IF(AND(ISNUMBER(B4071),ISNUMBER(B4070),B4070&lt;&gt;0),B4071/B4070-1,""),"")</f>
        <v/>
      </c>
      <c r="E4071" s="28">
        <f>IFERROR(IF(AND(ISNUMBER(C4071),ISNUMBER(C4070),C4070&lt;&gt;0),C4071/C4070-1,""),"")</f>
        <v/>
      </c>
      <c r="F4071" s="28">
        <f>IFERROR(D4071-Dashboard!$B$4/252,"")</f>
        <v/>
      </c>
      <c r="G4071" s="28">
        <f>IFERROR(E4071-Dashboard!$B$4/252,"")</f>
        <v/>
      </c>
      <c r="H4071" s="8">
        <f>IFERROR(IF(ISNUMBER(B4071),MAX(B4071,IFERROR(H4070,B4071)),""),"")</f>
        <v/>
      </c>
      <c r="I4071" s="29">
        <f>IFERROR(IF(AND(ISNUMBER(B4071),ISNUMBER(H4071)),B4071/H4071-1,""),"")</f>
        <v/>
      </c>
      <c r="J4071" s="8">
        <f>IFERROR(IF(ISNUMBER(C4071),MAX(C4071,IFERROR(J4070,C4071)),""),"")</f>
        <v/>
      </c>
      <c r="K4071" s="29">
        <f>IFERROR(IF(AND(ISNUMBER(C4071),ISNUMBER(J4071)),C4071/J4071-1,""),"")</f>
        <v/>
      </c>
      <c r="L4071" s="28">
        <f>IFERROR(IF(AND(ISNUMBER(D4071),ISNUMBER(E4071)),D4071-E4071,""),"")</f>
        <v/>
      </c>
    </row>
    <row r="4072">
      <c r="A4072" s="7">
        <f>IFERROR(Datos!A4072,"")</f>
        <v/>
      </c>
      <c r="B4072" s="8">
        <f>IFERROR(Datos!B4072,"")</f>
        <v/>
      </c>
      <c r="C4072" s="8">
        <f>IFERROR(Datos!C4072,"")</f>
        <v/>
      </c>
      <c r="D4072" s="28">
        <f>IFERROR(IF(AND(ISNUMBER(B4072),ISNUMBER(B4071),B4071&lt;&gt;0),B4072/B4071-1,""),"")</f>
        <v/>
      </c>
      <c r="E4072" s="28">
        <f>IFERROR(IF(AND(ISNUMBER(C4072),ISNUMBER(C4071),C4071&lt;&gt;0),C4072/C4071-1,""),"")</f>
        <v/>
      </c>
      <c r="F4072" s="28">
        <f>IFERROR(D4072-Dashboard!$B$4/252,"")</f>
        <v/>
      </c>
      <c r="G4072" s="28">
        <f>IFERROR(E4072-Dashboard!$B$4/252,"")</f>
        <v/>
      </c>
      <c r="H4072" s="8">
        <f>IFERROR(IF(ISNUMBER(B4072),MAX(B4072,IFERROR(H4071,B4072)),""),"")</f>
        <v/>
      </c>
      <c r="I4072" s="29">
        <f>IFERROR(IF(AND(ISNUMBER(B4072),ISNUMBER(H4072)),B4072/H4072-1,""),"")</f>
        <v/>
      </c>
      <c r="J4072" s="8">
        <f>IFERROR(IF(ISNUMBER(C4072),MAX(C4072,IFERROR(J4071,C4072)),""),"")</f>
        <v/>
      </c>
      <c r="K4072" s="29">
        <f>IFERROR(IF(AND(ISNUMBER(C4072),ISNUMBER(J4072)),C4072/J4072-1,""),"")</f>
        <v/>
      </c>
      <c r="L4072" s="28">
        <f>IFERROR(IF(AND(ISNUMBER(D4072),ISNUMBER(E4072)),D4072-E4072,""),"")</f>
        <v/>
      </c>
    </row>
    <row r="4073">
      <c r="A4073" s="7">
        <f>IFERROR(Datos!A4073,"")</f>
        <v/>
      </c>
      <c r="B4073" s="8">
        <f>IFERROR(Datos!B4073,"")</f>
        <v/>
      </c>
      <c r="C4073" s="8">
        <f>IFERROR(Datos!C4073,"")</f>
        <v/>
      </c>
      <c r="D4073" s="28">
        <f>IFERROR(IF(AND(ISNUMBER(B4073),ISNUMBER(B4072),B4072&lt;&gt;0),B4073/B4072-1,""),"")</f>
        <v/>
      </c>
      <c r="E4073" s="28">
        <f>IFERROR(IF(AND(ISNUMBER(C4073),ISNUMBER(C4072),C4072&lt;&gt;0),C4073/C4072-1,""),"")</f>
        <v/>
      </c>
      <c r="F4073" s="28">
        <f>IFERROR(D4073-Dashboard!$B$4/252,"")</f>
        <v/>
      </c>
      <c r="G4073" s="28">
        <f>IFERROR(E4073-Dashboard!$B$4/252,"")</f>
        <v/>
      </c>
      <c r="H4073" s="8">
        <f>IFERROR(IF(ISNUMBER(B4073),MAX(B4073,IFERROR(H4072,B4073)),""),"")</f>
        <v/>
      </c>
      <c r="I4073" s="29">
        <f>IFERROR(IF(AND(ISNUMBER(B4073),ISNUMBER(H4073)),B4073/H4073-1,""),"")</f>
        <v/>
      </c>
      <c r="J4073" s="8">
        <f>IFERROR(IF(ISNUMBER(C4073),MAX(C4073,IFERROR(J4072,C4073)),""),"")</f>
        <v/>
      </c>
      <c r="K4073" s="29">
        <f>IFERROR(IF(AND(ISNUMBER(C4073),ISNUMBER(J4073)),C4073/J4073-1,""),"")</f>
        <v/>
      </c>
      <c r="L4073" s="28">
        <f>IFERROR(IF(AND(ISNUMBER(D4073),ISNUMBER(E4073)),D4073-E4073,""),"")</f>
        <v/>
      </c>
    </row>
    <row r="4074">
      <c r="A4074" s="7">
        <f>IFERROR(Datos!A4074,"")</f>
        <v/>
      </c>
      <c r="B4074" s="8">
        <f>IFERROR(Datos!B4074,"")</f>
        <v/>
      </c>
      <c r="C4074" s="8">
        <f>IFERROR(Datos!C4074,"")</f>
        <v/>
      </c>
      <c r="D4074" s="28">
        <f>IFERROR(IF(AND(ISNUMBER(B4074),ISNUMBER(B4073),B4073&lt;&gt;0),B4074/B4073-1,""),"")</f>
        <v/>
      </c>
      <c r="E4074" s="28">
        <f>IFERROR(IF(AND(ISNUMBER(C4074),ISNUMBER(C4073),C4073&lt;&gt;0),C4074/C4073-1,""),"")</f>
        <v/>
      </c>
      <c r="F4074" s="28">
        <f>IFERROR(D4074-Dashboard!$B$4/252,"")</f>
        <v/>
      </c>
      <c r="G4074" s="28">
        <f>IFERROR(E4074-Dashboard!$B$4/252,"")</f>
        <v/>
      </c>
      <c r="H4074" s="8">
        <f>IFERROR(IF(ISNUMBER(B4074),MAX(B4074,IFERROR(H4073,B4074)),""),"")</f>
        <v/>
      </c>
      <c r="I4074" s="29">
        <f>IFERROR(IF(AND(ISNUMBER(B4074),ISNUMBER(H4074)),B4074/H4074-1,""),"")</f>
        <v/>
      </c>
      <c r="J4074" s="8">
        <f>IFERROR(IF(ISNUMBER(C4074),MAX(C4074,IFERROR(J4073,C4074)),""),"")</f>
        <v/>
      </c>
      <c r="K4074" s="29">
        <f>IFERROR(IF(AND(ISNUMBER(C4074),ISNUMBER(J4074)),C4074/J4074-1,""),"")</f>
        <v/>
      </c>
      <c r="L4074" s="28">
        <f>IFERROR(IF(AND(ISNUMBER(D4074),ISNUMBER(E4074)),D4074-E4074,""),"")</f>
        <v/>
      </c>
    </row>
    <row r="4075">
      <c r="A4075" s="7">
        <f>IFERROR(Datos!A4075,"")</f>
        <v/>
      </c>
      <c r="B4075" s="8">
        <f>IFERROR(Datos!B4075,"")</f>
        <v/>
      </c>
      <c r="C4075" s="8">
        <f>IFERROR(Datos!C4075,"")</f>
        <v/>
      </c>
      <c r="D4075" s="28">
        <f>IFERROR(IF(AND(ISNUMBER(B4075),ISNUMBER(B4074),B4074&lt;&gt;0),B4075/B4074-1,""),"")</f>
        <v/>
      </c>
      <c r="E4075" s="28">
        <f>IFERROR(IF(AND(ISNUMBER(C4075),ISNUMBER(C4074),C4074&lt;&gt;0),C4075/C4074-1,""),"")</f>
        <v/>
      </c>
      <c r="F4075" s="28">
        <f>IFERROR(D4075-Dashboard!$B$4/252,"")</f>
        <v/>
      </c>
      <c r="G4075" s="28">
        <f>IFERROR(E4075-Dashboard!$B$4/252,"")</f>
        <v/>
      </c>
      <c r="H4075" s="8">
        <f>IFERROR(IF(ISNUMBER(B4075),MAX(B4075,IFERROR(H4074,B4075)),""),"")</f>
        <v/>
      </c>
      <c r="I4075" s="29">
        <f>IFERROR(IF(AND(ISNUMBER(B4075),ISNUMBER(H4075)),B4075/H4075-1,""),"")</f>
        <v/>
      </c>
      <c r="J4075" s="8">
        <f>IFERROR(IF(ISNUMBER(C4075),MAX(C4075,IFERROR(J4074,C4075)),""),"")</f>
        <v/>
      </c>
      <c r="K4075" s="29">
        <f>IFERROR(IF(AND(ISNUMBER(C4075),ISNUMBER(J4075)),C4075/J4075-1,""),"")</f>
        <v/>
      </c>
      <c r="L4075" s="28">
        <f>IFERROR(IF(AND(ISNUMBER(D4075),ISNUMBER(E4075)),D4075-E4075,""),"")</f>
        <v/>
      </c>
    </row>
    <row r="4076">
      <c r="A4076" s="7">
        <f>IFERROR(Datos!A4076,"")</f>
        <v/>
      </c>
      <c r="B4076" s="8">
        <f>IFERROR(Datos!B4076,"")</f>
        <v/>
      </c>
      <c r="C4076" s="8">
        <f>IFERROR(Datos!C4076,"")</f>
        <v/>
      </c>
      <c r="D4076" s="28">
        <f>IFERROR(IF(AND(ISNUMBER(B4076),ISNUMBER(B4075),B4075&lt;&gt;0),B4076/B4075-1,""),"")</f>
        <v/>
      </c>
      <c r="E4076" s="28">
        <f>IFERROR(IF(AND(ISNUMBER(C4076),ISNUMBER(C4075),C4075&lt;&gt;0),C4076/C4075-1,""),"")</f>
        <v/>
      </c>
      <c r="F4076" s="28">
        <f>IFERROR(D4076-Dashboard!$B$4/252,"")</f>
        <v/>
      </c>
      <c r="G4076" s="28">
        <f>IFERROR(E4076-Dashboard!$B$4/252,"")</f>
        <v/>
      </c>
      <c r="H4076" s="8">
        <f>IFERROR(IF(ISNUMBER(B4076),MAX(B4076,IFERROR(H4075,B4076)),""),"")</f>
        <v/>
      </c>
      <c r="I4076" s="29">
        <f>IFERROR(IF(AND(ISNUMBER(B4076),ISNUMBER(H4076)),B4076/H4076-1,""),"")</f>
        <v/>
      </c>
      <c r="J4076" s="8">
        <f>IFERROR(IF(ISNUMBER(C4076),MAX(C4076,IFERROR(J4075,C4076)),""),"")</f>
        <v/>
      </c>
      <c r="K4076" s="29">
        <f>IFERROR(IF(AND(ISNUMBER(C4076),ISNUMBER(J4076)),C4076/J4076-1,""),"")</f>
        <v/>
      </c>
      <c r="L4076" s="28">
        <f>IFERROR(IF(AND(ISNUMBER(D4076),ISNUMBER(E4076)),D4076-E4076,""),"")</f>
        <v/>
      </c>
    </row>
    <row r="4077">
      <c r="A4077" s="7">
        <f>IFERROR(Datos!A4077,"")</f>
        <v/>
      </c>
      <c r="B4077" s="8">
        <f>IFERROR(Datos!B4077,"")</f>
        <v/>
      </c>
      <c r="C4077" s="8">
        <f>IFERROR(Datos!C4077,"")</f>
        <v/>
      </c>
      <c r="D4077" s="28">
        <f>IFERROR(IF(AND(ISNUMBER(B4077),ISNUMBER(B4076),B4076&lt;&gt;0),B4077/B4076-1,""),"")</f>
        <v/>
      </c>
      <c r="E4077" s="28">
        <f>IFERROR(IF(AND(ISNUMBER(C4077),ISNUMBER(C4076),C4076&lt;&gt;0),C4077/C4076-1,""),"")</f>
        <v/>
      </c>
      <c r="F4077" s="28">
        <f>IFERROR(D4077-Dashboard!$B$4/252,"")</f>
        <v/>
      </c>
      <c r="G4077" s="28">
        <f>IFERROR(E4077-Dashboard!$B$4/252,"")</f>
        <v/>
      </c>
      <c r="H4077" s="8">
        <f>IFERROR(IF(ISNUMBER(B4077),MAX(B4077,IFERROR(H4076,B4077)),""),"")</f>
        <v/>
      </c>
      <c r="I4077" s="29">
        <f>IFERROR(IF(AND(ISNUMBER(B4077),ISNUMBER(H4077)),B4077/H4077-1,""),"")</f>
        <v/>
      </c>
      <c r="J4077" s="8">
        <f>IFERROR(IF(ISNUMBER(C4077),MAX(C4077,IFERROR(J4076,C4077)),""),"")</f>
        <v/>
      </c>
      <c r="K4077" s="29">
        <f>IFERROR(IF(AND(ISNUMBER(C4077),ISNUMBER(J4077)),C4077/J4077-1,""),"")</f>
        <v/>
      </c>
      <c r="L4077" s="28">
        <f>IFERROR(IF(AND(ISNUMBER(D4077),ISNUMBER(E4077)),D4077-E4077,""),"")</f>
        <v/>
      </c>
    </row>
    <row r="4078">
      <c r="A4078" s="7">
        <f>IFERROR(Datos!A4078,"")</f>
        <v/>
      </c>
      <c r="B4078" s="8">
        <f>IFERROR(Datos!B4078,"")</f>
        <v/>
      </c>
      <c r="C4078" s="8">
        <f>IFERROR(Datos!C4078,"")</f>
        <v/>
      </c>
      <c r="D4078" s="28">
        <f>IFERROR(IF(AND(ISNUMBER(B4078),ISNUMBER(B4077),B4077&lt;&gt;0),B4078/B4077-1,""),"")</f>
        <v/>
      </c>
      <c r="E4078" s="28">
        <f>IFERROR(IF(AND(ISNUMBER(C4078),ISNUMBER(C4077),C4077&lt;&gt;0),C4078/C4077-1,""),"")</f>
        <v/>
      </c>
      <c r="F4078" s="28">
        <f>IFERROR(D4078-Dashboard!$B$4/252,"")</f>
        <v/>
      </c>
      <c r="G4078" s="28">
        <f>IFERROR(E4078-Dashboard!$B$4/252,"")</f>
        <v/>
      </c>
      <c r="H4078" s="8">
        <f>IFERROR(IF(ISNUMBER(B4078),MAX(B4078,IFERROR(H4077,B4078)),""),"")</f>
        <v/>
      </c>
      <c r="I4078" s="29">
        <f>IFERROR(IF(AND(ISNUMBER(B4078),ISNUMBER(H4078)),B4078/H4078-1,""),"")</f>
        <v/>
      </c>
      <c r="J4078" s="8">
        <f>IFERROR(IF(ISNUMBER(C4078),MAX(C4078,IFERROR(J4077,C4078)),""),"")</f>
        <v/>
      </c>
      <c r="K4078" s="29">
        <f>IFERROR(IF(AND(ISNUMBER(C4078),ISNUMBER(J4078)),C4078/J4078-1,""),"")</f>
        <v/>
      </c>
      <c r="L4078" s="28">
        <f>IFERROR(IF(AND(ISNUMBER(D4078),ISNUMBER(E4078)),D4078-E4078,""),"")</f>
        <v/>
      </c>
    </row>
    <row r="4079">
      <c r="A4079" s="7">
        <f>IFERROR(Datos!A4079,"")</f>
        <v/>
      </c>
      <c r="B4079" s="8">
        <f>IFERROR(Datos!B4079,"")</f>
        <v/>
      </c>
      <c r="C4079" s="8">
        <f>IFERROR(Datos!C4079,"")</f>
        <v/>
      </c>
      <c r="D4079" s="28">
        <f>IFERROR(IF(AND(ISNUMBER(B4079),ISNUMBER(B4078),B4078&lt;&gt;0),B4079/B4078-1,""),"")</f>
        <v/>
      </c>
      <c r="E4079" s="28">
        <f>IFERROR(IF(AND(ISNUMBER(C4079),ISNUMBER(C4078),C4078&lt;&gt;0),C4079/C4078-1,""),"")</f>
        <v/>
      </c>
      <c r="F4079" s="28">
        <f>IFERROR(D4079-Dashboard!$B$4/252,"")</f>
        <v/>
      </c>
      <c r="G4079" s="28">
        <f>IFERROR(E4079-Dashboard!$B$4/252,"")</f>
        <v/>
      </c>
      <c r="H4079" s="8">
        <f>IFERROR(IF(ISNUMBER(B4079),MAX(B4079,IFERROR(H4078,B4079)),""),"")</f>
        <v/>
      </c>
      <c r="I4079" s="29">
        <f>IFERROR(IF(AND(ISNUMBER(B4079),ISNUMBER(H4079)),B4079/H4079-1,""),"")</f>
        <v/>
      </c>
      <c r="J4079" s="8">
        <f>IFERROR(IF(ISNUMBER(C4079),MAX(C4079,IFERROR(J4078,C4079)),""),"")</f>
        <v/>
      </c>
      <c r="K4079" s="29">
        <f>IFERROR(IF(AND(ISNUMBER(C4079),ISNUMBER(J4079)),C4079/J4079-1,""),"")</f>
        <v/>
      </c>
      <c r="L4079" s="28">
        <f>IFERROR(IF(AND(ISNUMBER(D4079),ISNUMBER(E4079)),D4079-E4079,""),"")</f>
        <v/>
      </c>
    </row>
    <row r="4080">
      <c r="A4080" s="7">
        <f>IFERROR(Datos!A4080,"")</f>
        <v/>
      </c>
      <c r="B4080" s="8">
        <f>IFERROR(Datos!B4080,"")</f>
        <v/>
      </c>
      <c r="C4080" s="8">
        <f>IFERROR(Datos!C4080,"")</f>
        <v/>
      </c>
      <c r="D4080" s="28">
        <f>IFERROR(IF(AND(ISNUMBER(B4080),ISNUMBER(B4079),B4079&lt;&gt;0),B4080/B4079-1,""),"")</f>
        <v/>
      </c>
      <c r="E4080" s="28">
        <f>IFERROR(IF(AND(ISNUMBER(C4080),ISNUMBER(C4079),C4079&lt;&gt;0),C4080/C4079-1,""),"")</f>
        <v/>
      </c>
      <c r="F4080" s="28">
        <f>IFERROR(D4080-Dashboard!$B$4/252,"")</f>
        <v/>
      </c>
      <c r="G4080" s="28">
        <f>IFERROR(E4080-Dashboard!$B$4/252,"")</f>
        <v/>
      </c>
      <c r="H4080" s="8">
        <f>IFERROR(IF(ISNUMBER(B4080),MAX(B4080,IFERROR(H4079,B4080)),""),"")</f>
        <v/>
      </c>
      <c r="I4080" s="29">
        <f>IFERROR(IF(AND(ISNUMBER(B4080),ISNUMBER(H4080)),B4080/H4080-1,""),"")</f>
        <v/>
      </c>
      <c r="J4080" s="8">
        <f>IFERROR(IF(ISNUMBER(C4080),MAX(C4080,IFERROR(J4079,C4080)),""),"")</f>
        <v/>
      </c>
      <c r="K4080" s="29">
        <f>IFERROR(IF(AND(ISNUMBER(C4080),ISNUMBER(J4080)),C4080/J4080-1,""),"")</f>
        <v/>
      </c>
      <c r="L4080" s="28">
        <f>IFERROR(IF(AND(ISNUMBER(D4080),ISNUMBER(E4080)),D4080-E4080,""),"")</f>
        <v/>
      </c>
    </row>
    <row r="4081">
      <c r="A4081" s="7">
        <f>IFERROR(Datos!A4081,"")</f>
        <v/>
      </c>
      <c r="B4081" s="8">
        <f>IFERROR(Datos!B4081,"")</f>
        <v/>
      </c>
      <c r="C4081" s="8">
        <f>IFERROR(Datos!C4081,"")</f>
        <v/>
      </c>
      <c r="D4081" s="28">
        <f>IFERROR(IF(AND(ISNUMBER(B4081),ISNUMBER(B4080),B4080&lt;&gt;0),B4081/B4080-1,""),"")</f>
        <v/>
      </c>
      <c r="E4081" s="28">
        <f>IFERROR(IF(AND(ISNUMBER(C4081),ISNUMBER(C4080),C4080&lt;&gt;0),C4081/C4080-1,""),"")</f>
        <v/>
      </c>
      <c r="F4081" s="28">
        <f>IFERROR(D4081-Dashboard!$B$4/252,"")</f>
        <v/>
      </c>
      <c r="G4081" s="28">
        <f>IFERROR(E4081-Dashboard!$B$4/252,"")</f>
        <v/>
      </c>
      <c r="H4081" s="8">
        <f>IFERROR(IF(ISNUMBER(B4081),MAX(B4081,IFERROR(H4080,B4081)),""),"")</f>
        <v/>
      </c>
      <c r="I4081" s="29">
        <f>IFERROR(IF(AND(ISNUMBER(B4081),ISNUMBER(H4081)),B4081/H4081-1,""),"")</f>
        <v/>
      </c>
      <c r="J4081" s="8">
        <f>IFERROR(IF(ISNUMBER(C4081),MAX(C4081,IFERROR(J4080,C4081)),""),"")</f>
        <v/>
      </c>
      <c r="K4081" s="29">
        <f>IFERROR(IF(AND(ISNUMBER(C4081),ISNUMBER(J4081)),C4081/J4081-1,""),"")</f>
        <v/>
      </c>
      <c r="L4081" s="28">
        <f>IFERROR(IF(AND(ISNUMBER(D4081),ISNUMBER(E4081)),D4081-E4081,""),"")</f>
        <v/>
      </c>
    </row>
    <row r="4082">
      <c r="A4082" s="7">
        <f>IFERROR(Datos!A4082,"")</f>
        <v/>
      </c>
      <c r="B4082" s="8">
        <f>IFERROR(Datos!B4082,"")</f>
        <v/>
      </c>
      <c r="C4082" s="8">
        <f>IFERROR(Datos!C4082,"")</f>
        <v/>
      </c>
      <c r="D4082" s="28">
        <f>IFERROR(IF(AND(ISNUMBER(B4082),ISNUMBER(B4081),B4081&lt;&gt;0),B4082/B4081-1,""),"")</f>
        <v/>
      </c>
      <c r="E4082" s="28">
        <f>IFERROR(IF(AND(ISNUMBER(C4082),ISNUMBER(C4081),C4081&lt;&gt;0),C4082/C4081-1,""),"")</f>
        <v/>
      </c>
      <c r="F4082" s="28">
        <f>IFERROR(D4082-Dashboard!$B$4/252,"")</f>
        <v/>
      </c>
      <c r="G4082" s="28">
        <f>IFERROR(E4082-Dashboard!$B$4/252,"")</f>
        <v/>
      </c>
      <c r="H4082" s="8">
        <f>IFERROR(IF(ISNUMBER(B4082),MAX(B4082,IFERROR(H4081,B4082)),""),"")</f>
        <v/>
      </c>
      <c r="I4082" s="29">
        <f>IFERROR(IF(AND(ISNUMBER(B4082),ISNUMBER(H4082)),B4082/H4082-1,""),"")</f>
        <v/>
      </c>
      <c r="J4082" s="8">
        <f>IFERROR(IF(ISNUMBER(C4082),MAX(C4082,IFERROR(J4081,C4082)),""),"")</f>
        <v/>
      </c>
      <c r="K4082" s="29">
        <f>IFERROR(IF(AND(ISNUMBER(C4082),ISNUMBER(J4082)),C4082/J4082-1,""),"")</f>
        <v/>
      </c>
      <c r="L4082" s="28">
        <f>IFERROR(IF(AND(ISNUMBER(D4082),ISNUMBER(E4082)),D4082-E4082,""),"")</f>
        <v/>
      </c>
    </row>
    <row r="4083">
      <c r="A4083" s="7">
        <f>IFERROR(Datos!A4083,"")</f>
        <v/>
      </c>
      <c r="B4083" s="8">
        <f>IFERROR(Datos!B4083,"")</f>
        <v/>
      </c>
      <c r="C4083" s="8">
        <f>IFERROR(Datos!C4083,"")</f>
        <v/>
      </c>
      <c r="D4083" s="28">
        <f>IFERROR(IF(AND(ISNUMBER(B4083),ISNUMBER(B4082),B4082&lt;&gt;0),B4083/B4082-1,""),"")</f>
        <v/>
      </c>
      <c r="E4083" s="28">
        <f>IFERROR(IF(AND(ISNUMBER(C4083),ISNUMBER(C4082),C4082&lt;&gt;0),C4083/C4082-1,""),"")</f>
        <v/>
      </c>
      <c r="F4083" s="28">
        <f>IFERROR(D4083-Dashboard!$B$4/252,"")</f>
        <v/>
      </c>
      <c r="G4083" s="28">
        <f>IFERROR(E4083-Dashboard!$B$4/252,"")</f>
        <v/>
      </c>
      <c r="H4083" s="8">
        <f>IFERROR(IF(ISNUMBER(B4083),MAX(B4083,IFERROR(H4082,B4083)),""),"")</f>
        <v/>
      </c>
      <c r="I4083" s="29">
        <f>IFERROR(IF(AND(ISNUMBER(B4083),ISNUMBER(H4083)),B4083/H4083-1,""),"")</f>
        <v/>
      </c>
      <c r="J4083" s="8">
        <f>IFERROR(IF(ISNUMBER(C4083),MAX(C4083,IFERROR(J4082,C4083)),""),"")</f>
        <v/>
      </c>
      <c r="K4083" s="29">
        <f>IFERROR(IF(AND(ISNUMBER(C4083),ISNUMBER(J4083)),C4083/J4083-1,""),"")</f>
        <v/>
      </c>
      <c r="L4083" s="28">
        <f>IFERROR(IF(AND(ISNUMBER(D4083),ISNUMBER(E4083)),D4083-E4083,""),"")</f>
        <v/>
      </c>
    </row>
    <row r="4084">
      <c r="A4084" s="7">
        <f>IFERROR(Datos!A4084,"")</f>
        <v/>
      </c>
      <c r="B4084" s="8">
        <f>IFERROR(Datos!B4084,"")</f>
        <v/>
      </c>
      <c r="C4084" s="8">
        <f>IFERROR(Datos!C4084,"")</f>
        <v/>
      </c>
      <c r="D4084" s="28">
        <f>IFERROR(IF(AND(ISNUMBER(B4084),ISNUMBER(B4083),B4083&lt;&gt;0),B4084/B4083-1,""),"")</f>
        <v/>
      </c>
      <c r="E4084" s="28">
        <f>IFERROR(IF(AND(ISNUMBER(C4084),ISNUMBER(C4083),C4083&lt;&gt;0),C4084/C4083-1,""),"")</f>
        <v/>
      </c>
      <c r="F4084" s="28">
        <f>IFERROR(D4084-Dashboard!$B$4/252,"")</f>
        <v/>
      </c>
      <c r="G4084" s="28">
        <f>IFERROR(E4084-Dashboard!$B$4/252,"")</f>
        <v/>
      </c>
      <c r="H4084" s="8">
        <f>IFERROR(IF(ISNUMBER(B4084),MAX(B4084,IFERROR(H4083,B4084)),""),"")</f>
        <v/>
      </c>
      <c r="I4084" s="29">
        <f>IFERROR(IF(AND(ISNUMBER(B4084),ISNUMBER(H4084)),B4084/H4084-1,""),"")</f>
        <v/>
      </c>
      <c r="J4084" s="8">
        <f>IFERROR(IF(ISNUMBER(C4084),MAX(C4084,IFERROR(J4083,C4084)),""),"")</f>
        <v/>
      </c>
      <c r="K4084" s="29">
        <f>IFERROR(IF(AND(ISNUMBER(C4084),ISNUMBER(J4084)),C4084/J4084-1,""),"")</f>
        <v/>
      </c>
      <c r="L4084" s="28">
        <f>IFERROR(IF(AND(ISNUMBER(D4084),ISNUMBER(E4084)),D4084-E4084,""),"")</f>
        <v/>
      </c>
    </row>
    <row r="4085">
      <c r="A4085" s="7">
        <f>IFERROR(Datos!A4085,"")</f>
        <v/>
      </c>
      <c r="B4085" s="8">
        <f>IFERROR(Datos!B4085,"")</f>
        <v/>
      </c>
      <c r="C4085" s="8">
        <f>IFERROR(Datos!C4085,"")</f>
        <v/>
      </c>
      <c r="D4085" s="28">
        <f>IFERROR(IF(AND(ISNUMBER(B4085),ISNUMBER(B4084),B4084&lt;&gt;0),B4085/B4084-1,""),"")</f>
        <v/>
      </c>
      <c r="E4085" s="28">
        <f>IFERROR(IF(AND(ISNUMBER(C4085),ISNUMBER(C4084),C4084&lt;&gt;0),C4085/C4084-1,""),"")</f>
        <v/>
      </c>
      <c r="F4085" s="28">
        <f>IFERROR(D4085-Dashboard!$B$4/252,"")</f>
        <v/>
      </c>
      <c r="G4085" s="28">
        <f>IFERROR(E4085-Dashboard!$B$4/252,"")</f>
        <v/>
      </c>
      <c r="H4085" s="8">
        <f>IFERROR(IF(ISNUMBER(B4085),MAX(B4085,IFERROR(H4084,B4085)),""),"")</f>
        <v/>
      </c>
      <c r="I4085" s="29">
        <f>IFERROR(IF(AND(ISNUMBER(B4085),ISNUMBER(H4085)),B4085/H4085-1,""),"")</f>
        <v/>
      </c>
      <c r="J4085" s="8">
        <f>IFERROR(IF(ISNUMBER(C4085),MAX(C4085,IFERROR(J4084,C4085)),""),"")</f>
        <v/>
      </c>
      <c r="K4085" s="29">
        <f>IFERROR(IF(AND(ISNUMBER(C4085),ISNUMBER(J4085)),C4085/J4085-1,""),"")</f>
        <v/>
      </c>
      <c r="L4085" s="28">
        <f>IFERROR(IF(AND(ISNUMBER(D4085),ISNUMBER(E4085)),D4085-E4085,""),"")</f>
        <v/>
      </c>
    </row>
    <row r="4086">
      <c r="A4086" s="7">
        <f>IFERROR(Datos!A4086,"")</f>
        <v/>
      </c>
      <c r="B4086" s="8">
        <f>IFERROR(Datos!B4086,"")</f>
        <v/>
      </c>
      <c r="C4086" s="8">
        <f>IFERROR(Datos!C4086,"")</f>
        <v/>
      </c>
      <c r="D4086" s="28">
        <f>IFERROR(IF(AND(ISNUMBER(B4086),ISNUMBER(B4085),B4085&lt;&gt;0),B4086/B4085-1,""),"")</f>
        <v/>
      </c>
      <c r="E4086" s="28">
        <f>IFERROR(IF(AND(ISNUMBER(C4086),ISNUMBER(C4085),C4085&lt;&gt;0),C4086/C4085-1,""),"")</f>
        <v/>
      </c>
      <c r="F4086" s="28">
        <f>IFERROR(D4086-Dashboard!$B$4/252,"")</f>
        <v/>
      </c>
      <c r="G4086" s="28">
        <f>IFERROR(E4086-Dashboard!$B$4/252,"")</f>
        <v/>
      </c>
      <c r="H4086" s="8">
        <f>IFERROR(IF(ISNUMBER(B4086),MAX(B4086,IFERROR(H4085,B4086)),""),"")</f>
        <v/>
      </c>
      <c r="I4086" s="29">
        <f>IFERROR(IF(AND(ISNUMBER(B4086),ISNUMBER(H4086)),B4086/H4086-1,""),"")</f>
        <v/>
      </c>
      <c r="J4086" s="8">
        <f>IFERROR(IF(ISNUMBER(C4086),MAX(C4086,IFERROR(J4085,C4086)),""),"")</f>
        <v/>
      </c>
      <c r="K4086" s="29">
        <f>IFERROR(IF(AND(ISNUMBER(C4086),ISNUMBER(J4086)),C4086/J4086-1,""),"")</f>
        <v/>
      </c>
      <c r="L4086" s="28">
        <f>IFERROR(IF(AND(ISNUMBER(D4086),ISNUMBER(E4086)),D4086-E4086,""),"")</f>
        <v/>
      </c>
    </row>
    <row r="4087">
      <c r="A4087" s="7">
        <f>IFERROR(Datos!A4087,"")</f>
        <v/>
      </c>
      <c r="B4087" s="8">
        <f>IFERROR(Datos!B4087,"")</f>
        <v/>
      </c>
      <c r="C4087" s="8">
        <f>IFERROR(Datos!C4087,"")</f>
        <v/>
      </c>
      <c r="D4087" s="28">
        <f>IFERROR(IF(AND(ISNUMBER(B4087),ISNUMBER(B4086),B4086&lt;&gt;0),B4087/B4086-1,""),"")</f>
        <v/>
      </c>
      <c r="E4087" s="28">
        <f>IFERROR(IF(AND(ISNUMBER(C4087),ISNUMBER(C4086),C4086&lt;&gt;0),C4087/C4086-1,""),"")</f>
        <v/>
      </c>
      <c r="F4087" s="28">
        <f>IFERROR(D4087-Dashboard!$B$4/252,"")</f>
        <v/>
      </c>
      <c r="G4087" s="28">
        <f>IFERROR(E4087-Dashboard!$B$4/252,"")</f>
        <v/>
      </c>
      <c r="H4087" s="8">
        <f>IFERROR(IF(ISNUMBER(B4087),MAX(B4087,IFERROR(H4086,B4087)),""),"")</f>
        <v/>
      </c>
      <c r="I4087" s="29">
        <f>IFERROR(IF(AND(ISNUMBER(B4087),ISNUMBER(H4087)),B4087/H4087-1,""),"")</f>
        <v/>
      </c>
      <c r="J4087" s="8">
        <f>IFERROR(IF(ISNUMBER(C4087),MAX(C4087,IFERROR(J4086,C4087)),""),"")</f>
        <v/>
      </c>
      <c r="K4087" s="29">
        <f>IFERROR(IF(AND(ISNUMBER(C4087),ISNUMBER(J4087)),C4087/J4087-1,""),"")</f>
        <v/>
      </c>
      <c r="L4087" s="28">
        <f>IFERROR(IF(AND(ISNUMBER(D4087),ISNUMBER(E4087)),D4087-E4087,""),"")</f>
        <v/>
      </c>
    </row>
    <row r="4088">
      <c r="A4088" s="7">
        <f>IFERROR(Datos!A4088,"")</f>
        <v/>
      </c>
      <c r="B4088" s="8">
        <f>IFERROR(Datos!B4088,"")</f>
        <v/>
      </c>
      <c r="C4088" s="8">
        <f>IFERROR(Datos!C4088,"")</f>
        <v/>
      </c>
      <c r="D4088" s="28">
        <f>IFERROR(IF(AND(ISNUMBER(B4088),ISNUMBER(B4087),B4087&lt;&gt;0),B4088/B4087-1,""),"")</f>
        <v/>
      </c>
      <c r="E4088" s="28">
        <f>IFERROR(IF(AND(ISNUMBER(C4088),ISNUMBER(C4087),C4087&lt;&gt;0),C4088/C4087-1,""),"")</f>
        <v/>
      </c>
      <c r="F4088" s="28">
        <f>IFERROR(D4088-Dashboard!$B$4/252,"")</f>
        <v/>
      </c>
      <c r="G4088" s="28">
        <f>IFERROR(E4088-Dashboard!$B$4/252,"")</f>
        <v/>
      </c>
      <c r="H4088" s="8">
        <f>IFERROR(IF(ISNUMBER(B4088),MAX(B4088,IFERROR(H4087,B4088)),""),"")</f>
        <v/>
      </c>
      <c r="I4088" s="29">
        <f>IFERROR(IF(AND(ISNUMBER(B4088),ISNUMBER(H4088)),B4088/H4088-1,""),"")</f>
        <v/>
      </c>
      <c r="J4088" s="8">
        <f>IFERROR(IF(ISNUMBER(C4088),MAX(C4088,IFERROR(J4087,C4088)),""),"")</f>
        <v/>
      </c>
      <c r="K4088" s="29">
        <f>IFERROR(IF(AND(ISNUMBER(C4088),ISNUMBER(J4088)),C4088/J4088-1,""),"")</f>
        <v/>
      </c>
      <c r="L4088" s="28">
        <f>IFERROR(IF(AND(ISNUMBER(D4088),ISNUMBER(E4088)),D4088-E4088,""),"")</f>
        <v/>
      </c>
    </row>
    <row r="4089">
      <c r="A4089" s="7">
        <f>IFERROR(Datos!A4089,"")</f>
        <v/>
      </c>
      <c r="B4089" s="8">
        <f>IFERROR(Datos!B4089,"")</f>
        <v/>
      </c>
      <c r="C4089" s="8">
        <f>IFERROR(Datos!C4089,"")</f>
        <v/>
      </c>
      <c r="D4089" s="28">
        <f>IFERROR(IF(AND(ISNUMBER(B4089),ISNUMBER(B4088),B4088&lt;&gt;0),B4089/B4088-1,""),"")</f>
        <v/>
      </c>
      <c r="E4089" s="28">
        <f>IFERROR(IF(AND(ISNUMBER(C4089),ISNUMBER(C4088),C4088&lt;&gt;0),C4089/C4088-1,""),"")</f>
        <v/>
      </c>
      <c r="F4089" s="28">
        <f>IFERROR(D4089-Dashboard!$B$4/252,"")</f>
        <v/>
      </c>
      <c r="G4089" s="28">
        <f>IFERROR(E4089-Dashboard!$B$4/252,"")</f>
        <v/>
      </c>
      <c r="H4089" s="8">
        <f>IFERROR(IF(ISNUMBER(B4089),MAX(B4089,IFERROR(H4088,B4089)),""),"")</f>
        <v/>
      </c>
      <c r="I4089" s="29">
        <f>IFERROR(IF(AND(ISNUMBER(B4089),ISNUMBER(H4089)),B4089/H4089-1,""),"")</f>
        <v/>
      </c>
      <c r="J4089" s="8">
        <f>IFERROR(IF(ISNUMBER(C4089),MAX(C4089,IFERROR(J4088,C4089)),""),"")</f>
        <v/>
      </c>
      <c r="K4089" s="29">
        <f>IFERROR(IF(AND(ISNUMBER(C4089),ISNUMBER(J4089)),C4089/J4089-1,""),"")</f>
        <v/>
      </c>
      <c r="L4089" s="28">
        <f>IFERROR(IF(AND(ISNUMBER(D4089),ISNUMBER(E4089)),D4089-E4089,""),"")</f>
        <v/>
      </c>
    </row>
    <row r="4090">
      <c r="A4090" s="7">
        <f>IFERROR(Datos!A4090,"")</f>
        <v/>
      </c>
      <c r="B4090" s="8">
        <f>IFERROR(Datos!B4090,"")</f>
        <v/>
      </c>
      <c r="C4090" s="8">
        <f>IFERROR(Datos!C4090,"")</f>
        <v/>
      </c>
      <c r="D4090" s="28">
        <f>IFERROR(IF(AND(ISNUMBER(B4090),ISNUMBER(B4089),B4089&lt;&gt;0),B4090/B4089-1,""),"")</f>
        <v/>
      </c>
      <c r="E4090" s="28">
        <f>IFERROR(IF(AND(ISNUMBER(C4090),ISNUMBER(C4089),C4089&lt;&gt;0),C4090/C4089-1,""),"")</f>
        <v/>
      </c>
      <c r="F4090" s="28">
        <f>IFERROR(D4090-Dashboard!$B$4/252,"")</f>
        <v/>
      </c>
      <c r="G4090" s="28">
        <f>IFERROR(E4090-Dashboard!$B$4/252,"")</f>
        <v/>
      </c>
      <c r="H4090" s="8">
        <f>IFERROR(IF(ISNUMBER(B4090),MAX(B4090,IFERROR(H4089,B4090)),""),"")</f>
        <v/>
      </c>
      <c r="I4090" s="29">
        <f>IFERROR(IF(AND(ISNUMBER(B4090),ISNUMBER(H4090)),B4090/H4090-1,""),"")</f>
        <v/>
      </c>
      <c r="J4090" s="8">
        <f>IFERROR(IF(ISNUMBER(C4090),MAX(C4090,IFERROR(J4089,C4090)),""),"")</f>
        <v/>
      </c>
      <c r="K4090" s="29">
        <f>IFERROR(IF(AND(ISNUMBER(C4090),ISNUMBER(J4090)),C4090/J4090-1,""),"")</f>
        <v/>
      </c>
      <c r="L4090" s="28">
        <f>IFERROR(IF(AND(ISNUMBER(D4090),ISNUMBER(E4090)),D4090-E4090,""),"")</f>
        <v/>
      </c>
    </row>
    <row r="4091">
      <c r="A4091" s="7">
        <f>IFERROR(Datos!A4091,"")</f>
        <v/>
      </c>
      <c r="B4091" s="8">
        <f>IFERROR(Datos!B4091,"")</f>
        <v/>
      </c>
      <c r="C4091" s="8">
        <f>IFERROR(Datos!C4091,"")</f>
        <v/>
      </c>
      <c r="D4091" s="28">
        <f>IFERROR(IF(AND(ISNUMBER(B4091),ISNUMBER(B4090),B4090&lt;&gt;0),B4091/B4090-1,""),"")</f>
        <v/>
      </c>
      <c r="E4091" s="28">
        <f>IFERROR(IF(AND(ISNUMBER(C4091),ISNUMBER(C4090),C4090&lt;&gt;0),C4091/C4090-1,""),"")</f>
        <v/>
      </c>
      <c r="F4091" s="28">
        <f>IFERROR(D4091-Dashboard!$B$4/252,"")</f>
        <v/>
      </c>
      <c r="G4091" s="28">
        <f>IFERROR(E4091-Dashboard!$B$4/252,"")</f>
        <v/>
      </c>
      <c r="H4091" s="8">
        <f>IFERROR(IF(ISNUMBER(B4091),MAX(B4091,IFERROR(H4090,B4091)),""),"")</f>
        <v/>
      </c>
      <c r="I4091" s="29">
        <f>IFERROR(IF(AND(ISNUMBER(B4091),ISNUMBER(H4091)),B4091/H4091-1,""),"")</f>
        <v/>
      </c>
      <c r="J4091" s="8">
        <f>IFERROR(IF(ISNUMBER(C4091),MAX(C4091,IFERROR(J4090,C4091)),""),"")</f>
        <v/>
      </c>
      <c r="K4091" s="29">
        <f>IFERROR(IF(AND(ISNUMBER(C4091),ISNUMBER(J4091)),C4091/J4091-1,""),"")</f>
        <v/>
      </c>
      <c r="L4091" s="28">
        <f>IFERROR(IF(AND(ISNUMBER(D4091),ISNUMBER(E4091)),D4091-E4091,""),"")</f>
        <v/>
      </c>
    </row>
    <row r="4092">
      <c r="A4092" s="7">
        <f>IFERROR(Datos!A4092,"")</f>
        <v/>
      </c>
      <c r="B4092" s="8">
        <f>IFERROR(Datos!B4092,"")</f>
        <v/>
      </c>
      <c r="C4092" s="8">
        <f>IFERROR(Datos!C4092,"")</f>
        <v/>
      </c>
      <c r="D4092" s="28">
        <f>IFERROR(IF(AND(ISNUMBER(B4092),ISNUMBER(B4091),B4091&lt;&gt;0),B4092/B4091-1,""),"")</f>
        <v/>
      </c>
      <c r="E4092" s="28">
        <f>IFERROR(IF(AND(ISNUMBER(C4092),ISNUMBER(C4091),C4091&lt;&gt;0),C4092/C4091-1,""),"")</f>
        <v/>
      </c>
      <c r="F4092" s="28">
        <f>IFERROR(D4092-Dashboard!$B$4/252,"")</f>
        <v/>
      </c>
      <c r="G4092" s="28">
        <f>IFERROR(E4092-Dashboard!$B$4/252,"")</f>
        <v/>
      </c>
      <c r="H4092" s="8">
        <f>IFERROR(IF(ISNUMBER(B4092),MAX(B4092,IFERROR(H4091,B4092)),""),"")</f>
        <v/>
      </c>
      <c r="I4092" s="29">
        <f>IFERROR(IF(AND(ISNUMBER(B4092),ISNUMBER(H4092)),B4092/H4092-1,""),"")</f>
        <v/>
      </c>
      <c r="J4092" s="8">
        <f>IFERROR(IF(ISNUMBER(C4092),MAX(C4092,IFERROR(J4091,C4092)),""),"")</f>
        <v/>
      </c>
      <c r="K4092" s="29">
        <f>IFERROR(IF(AND(ISNUMBER(C4092),ISNUMBER(J4092)),C4092/J4092-1,""),"")</f>
        <v/>
      </c>
      <c r="L4092" s="28">
        <f>IFERROR(IF(AND(ISNUMBER(D4092),ISNUMBER(E4092)),D4092-E4092,""),"")</f>
        <v/>
      </c>
    </row>
    <row r="4093">
      <c r="A4093" s="7">
        <f>IFERROR(Datos!A4093,"")</f>
        <v/>
      </c>
      <c r="B4093" s="8">
        <f>IFERROR(Datos!B4093,"")</f>
        <v/>
      </c>
      <c r="C4093" s="8">
        <f>IFERROR(Datos!C4093,"")</f>
        <v/>
      </c>
      <c r="D4093" s="28">
        <f>IFERROR(IF(AND(ISNUMBER(B4093),ISNUMBER(B4092),B4092&lt;&gt;0),B4093/B4092-1,""),"")</f>
        <v/>
      </c>
      <c r="E4093" s="28">
        <f>IFERROR(IF(AND(ISNUMBER(C4093),ISNUMBER(C4092),C4092&lt;&gt;0),C4093/C4092-1,""),"")</f>
        <v/>
      </c>
      <c r="F4093" s="28">
        <f>IFERROR(D4093-Dashboard!$B$4/252,"")</f>
        <v/>
      </c>
      <c r="G4093" s="28">
        <f>IFERROR(E4093-Dashboard!$B$4/252,"")</f>
        <v/>
      </c>
      <c r="H4093" s="8">
        <f>IFERROR(IF(ISNUMBER(B4093),MAX(B4093,IFERROR(H4092,B4093)),""),"")</f>
        <v/>
      </c>
      <c r="I4093" s="29">
        <f>IFERROR(IF(AND(ISNUMBER(B4093),ISNUMBER(H4093)),B4093/H4093-1,""),"")</f>
        <v/>
      </c>
      <c r="J4093" s="8">
        <f>IFERROR(IF(ISNUMBER(C4093),MAX(C4093,IFERROR(J4092,C4093)),""),"")</f>
        <v/>
      </c>
      <c r="K4093" s="29">
        <f>IFERROR(IF(AND(ISNUMBER(C4093),ISNUMBER(J4093)),C4093/J4093-1,""),"")</f>
        <v/>
      </c>
      <c r="L4093" s="28">
        <f>IFERROR(IF(AND(ISNUMBER(D4093),ISNUMBER(E4093)),D4093-E4093,""),"")</f>
        <v/>
      </c>
    </row>
    <row r="4094">
      <c r="A4094" s="7">
        <f>IFERROR(Datos!A4094,"")</f>
        <v/>
      </c>
      <c r="B4094" s="8">
        <f>IFERROR(Datos!B4094,"")</f>
        <v/>
      </c>
      <c r="C4094" s="8">
        <f>IFERROR(Datos!C4094,"")</f>
        <v/>
      </c>
      <c r="D4094" s="28">
        <f>IFERROR(IF(AND(ISNUMBER(B4094),ISNUMBER(B4093),B4093&lt;&gt;0),B4094/B4093-1,""),"")</f>
        <v/>
      </c>
      <c r="E4094" s="28">
        <f>IFERROR(IF(AND(ISNUMBER(C4094),ISNUMBER(C4093),C4093&lt;&gt;0),C4094/C4093-1,""),"")</f>
        <v/>
      </c>
      <c r="F4094" s="28">
        <f>IFERROR(D4094-Dashboard!$B$4/252,"")</f>
        <v/>
      </c>
      <c r="G4094" s="28">
        <f>IFERROR(E4094-Dashboard!$B$4/252,"")</f>
        <v/>
      </c>
      <c r="H4094" s="8">
        <f>IFERROR(IF(ISNUMBER(B4094),MAX(B4094,IFERROR(H4093,B4094)),""),"")</f>
        <v/>
      </c>
      <c r="I4094" s="29">
        <f>IFERROR(IF(AND(ISNUMBER(B4094),ISNUMBER(H4094)),B4094/H4094-1,""),"")</f>
        <v/>
      </c>
      <c r="J4094" s="8">
        <f>IFERROR(IF(ISNUMBER(C4094),MAX(C4094,IFERROR(J4093,C4094)),""),"")</f>
        <v/>
      </c>
      <c r="K4094" s="29">
        <f>IFERROR(IF(AND(ISNUMBER(C4094),ISNUMBER(J4094)),C4094/J4094-1,""),"")</f>
        <v/>
      </c>
      <c r="L4094" s="28">
        <f>IFERROR(IF(AND(ISNUMBER(D4094),ISNUMBER(E4094)),D4094-E4094,""),"")</f>
        <v/>
      </c>
    </row>
    <row r="4095">
      <c r="A4095" s="7">
        <f>IFERROR(Datos!A4095,"")</f>
        <v/>
      </c>
      <c r="B4095" s="8">
        <f>IFERROR(Datos!B4095,"")</f>
        <v/>
      </c>
      <c r="C4095" s="8">
        <f>IFERROR(Datos!C4095,"")</f>
        <v/>
      </c>
      <c r="D4095" s="28">
        <f>IFERROR(IF(AND(ISNUMBER(B4095),ISNUMBER(B4094),B4094&lt;&gt;0),B4095/B4094-1,""),"")</f>
        <v/>
      </c>
      <c r="E4095" s="28">
        <f>IFERROR(IF(AND(ISNUMBER(C4095),ISNUMBER(C4094),C4094&lt;&gt;0),C4095/C4094-1,""),"")</f>
        <v/>
      </c>
      <c r="F4095" s="28">
        <f>IFERROR(D4095-Dashboard!$B$4/252,"")</f>
        <v/>
      </c>
      <c r="G4095" s="28">
        <f>IFERROR(E4095-Dashboard!$B$4/252,"")</f>
        <v/>
      </c>
      <c r="H4095" s="8">
        <f>IFERROR(IF(ISNUMBER(B4095),MAX(B4095,IFERROR(H4094,B4095)),""),"")</f>
        <v/>
      </c>
      <c r="I4095" s="29">
        <f>IFERROR(IF(AND(ISNUMBER(B4095),ISNUMBER(H4095)),B4095/H4095-1,""),"")</f>
        <v/>
      </c>
      <c r="J4095" s="8">
        <f>IFERROR(IF(ISNUMBER(C4095),MAX(C4095,IFERROR(J4094,C4095)),""),"")</f>
        <v/>
      </c>
      <c r="K4095" s="29">
        <f>IFERROR(IF(AND(ISNUMBER(C4095),ISNUMBER(J4095)),C4095/J4095-1,""),"")</f>
        <v/>
      </c>
      <c r="L4095" s="28">
        <f>IFERROR(IF(AND(ISNUMBER(D4095),ISNUMBER(E4095)),D4095-E4095,""),"")</f>
        <v/>
      </c>
    </row>
    <row r="4096">
      <c r="A4096" s="7">
        <f>IFERROR(Datos!A4096,"")</f>
        <v/>
      </c>
      <c r="B4096" s="8">
        <f>IFERROR(Datos!B4096,"")</f>
        <v/>
      </c>
      <c r="C4096" s="8">
        <f>IFERROR(Datos!C4096,"")</f>
        <v/>
      </c>
      <c r="D4096" s="28">
        <f>IFERROR(IF(AND(ISNUMBER(B4096),ISNUMBER(B4095),B4095&lt;&gt;0),B4096/B4095-1,""),"")</f>
        <v/>
      </c>
      <c r="E4096" s="28">
        <f>IFERROR(IF(AND(ISNUMBER(C4096),ISNUMBER(C4095),C4095&lt;&gt;0),C4096/C4095-1,""),"")</f>
        <v/>
      </c>
      <c r="F4096" s="28">
        <f>IFERROR(D4096-Dashboard!$B$4/252,"")</f>
        <v/>
      </c>
      <c r="G4096" s="28">
        <f>IFERROR(E4096-Dashboard!$B$4/252,"")</f>
        <v/>
      </c>
      <c r="H4096" s="8">
        <f>IFERROR(IF(ISNUMBER(B4096),MAX(B4096,IFERROR(H4095,B4096)),""),"")</f>
        <v/>
      </c>
      <c r="I4096" s="29">
        <f>IFERROR(IF(AND(ISNUMBER(B4096),ISNUMBER(H4096)),B4096/H4096-1,""),"")</f>
        <v/>
      </c>
      <c r="J4096" s="8">
        <f>IFERROR(IF(ISNUMBER(C4096),MAX(C4096,IFERROR(J4095,C4096)),""),"")</f>
        <v/>
      </c>
      <c r="K4096" s="29">
        <f>IFERROR(IF(AND(ISNUMBER(C4096),ISNUMBER(J4096)),C4096/J4096-1,""),"")</f>
        <v/>
      </c>
      <c r="L4096" s="28">
        <f>IFERROR(IF(AND(ISNUMBER(D4096),ISNUMBER(E4096)),D4096-E4096,""),"")</f>
        <v/>
      </c>
    </row>
    <row r="4097">
      <c r="A4097" s="7">
        <f>IFERROR(Datos!A4097,"")</f>
        <v/>
      </c>
      <c r="B4097" s="8">
        <f>IFERROR(Datos!B4097,"")</f>
        <v/>
      </c>
      <c r="C4097" s="8">
        <f>IFERROR(Datos!C4097,"")</f>
        <v/>
      </c>
      <c r="D4097" s="28">
        <f>IFERROR(IF(AND(ISNUMBER(B4097),ISNUMBER(B4096),B4096&lt;&gt;0),B4097/B4096-1,""),"")</f>
        <v/>
      </c>
      <c r="E4097" s="28">
        <f>IFERROR(IF(AND(ISNUMBER(C4097),ISNUMBER(C4096),C4096&lt;&gt;0),C4097/C4096-1,""),"")</f>
        <v/>
      </c>
      <c r="F4097" s="28">
        <f>IFERROR(D4097-Dashboard!$B$4/252,"")</f>
        <v/>
      </c>
      <c r="G4097" s="28">
        <f>IFERROR(E4097-Dashboard!$B$4/252,"")</f>
        <v/>
      </c>
      <c r="H4097" s="8">
        <f>IFERROR(IF(ISNUMBER(B4097),MAX(B4097,IFERROR(H4096,B4097)),""),"")</f>
        <v/>
      </c>
      <c r="I4097" s="29">
        <f>IFERROR(IF(AND(ISNUMBER(B4097),ISNUMBER(H4097)),B4097/H4097-1,""),"")</f>
        <v/>
      </c>
      <c r="J4097" s="8">
        <f>IFERROR(IF(ISNUMBER(C4097),MAX(C4097,IFERROR(J4096,C4097)),""),"")</f>
        <v/>
      </c>
      <c r="K4097" s="29">
        <f>IFERROR(IF(AND(ISNUMBER(C4097),ISNUMBER(J4097)),C4097/J4097-1,""),"")</f>
        <v/>
      </c>
      <c r="L4097" s="28">
        <f>IFERROR(IF(AND(ISNUMBER(D4097),ISNUMBER(E4097)),D4097-E4097,""),"")</f>
        <v/>
      </c>
    </row>
    <row r="4098">
      <c r="A4098" s="7">
        <f>IFERROR(Datos!A4098,"")</f>
        <v/>
      </c>
      <c r="B4098" s="8">
        <f>IFERROR(Datos!B4098,"")</f>
        <v/>
      </c>
      <c r="C4098" s="8">
        <f>IFERROR(Datos!C4098,"")</f>
        <v/>
      </c>
      <c r="D4098" s="28">
        <f>IFERROR(IF(AND(ISNUMBER(B4098),ISNUMBER(B4097),B4097&lt;&gt;0),B4098/B4097-1,""),"")</f>
        <v/>
      </c>
      <c r="E4098" s="28">
        <f>IFERROR(IF(AND(ISNUMBER(C4098),ISNUMBER(C4097),C4097&lt;&gt;0),C4098/C4097-1,""),"")</f>
        <v/>
      </c>
      <c r="F4098" s="28">
        <f>IFERROR(D4098-Dashboard!$B$4/252,"")</f>
        <v/>
      </c>
      <c r="G4098" s="28">
        <f>IFERROR(E4098-Dashboard!$B$4/252,"")</f>
        <v/>
      </c>
      <c r="H4098" s="8">
        <f>IFERROR(IF(ISNUMBER(B4098),MAX(B4098,IFERROR(H4097,B4098)),""),"")</f>
        <v/>
      </c>
      <c r="I4098" s="29">
        <f>IFERROR(IF(AND(ISNUMBER(B4098),ISNUMBER(H4098)),B4098/H4098-1,""),"")</f>
        <v/>
      </c>
      <c r="J4098" s="8">
        <f>IFERROR(IF(ISNUMBER(C4098),MAX(C4098,IFERROR(J4097,C4098)),""),"")</f>
        <v/>
      </c>
      <c r="K4098" s="29">
        <f>IFERROR(IF(AND(ISNUMBER(C4098),ISNUMBER(J4098)),C4098/J4098-1,""),"")</f>
        <v/>
      </c>
      <c r="L4098" s="28">
        <f>IFERROR(IF(AND(ISNUMBER(D4098),ISNUMBER(E4098)),D4098-E4098,""),"")</f>
        <v/>
      </c>
    </row>
    <row r="4099">
      <c r="A4099" s="7">
        <f>IFERROR(Datos!A4099,"")</f>
        <v/>
      </c>
      <c r="B4099" s="8">
        <f>IFERROR(Datos!B4099,"")</f>
        <v/>
      </c>
      <c r="C4099" s="8">
        <f>IFERROR(Datos!C4099,"")</f>
        <v/>
      </c>
      <c r="D4099" s="28">
        <f>IFERROR(IF(AND(ISNUMBER(B4099),ISNUMBER(B4098),B4098&lt;&gt;0),B4099/B4098-1,""),"")</f>
        <v/>
      </c>
      <c r="E4099" s="28">
        <f>IFERROR(IF(AND(ISNUMBER(C4099),ISNUMBER(C4098),C4098&lt;&gt;0),C4099/C4098-1,""),"")</f>
        <v/>
      </c>
      <c r="F4099" s="28">
        <f>IFERROR(D4099-Dashboard!$B$4/252,"")</f>
        <v/>
      </c>
      <c r="G4099" s="28">
        <f>IFERROR(E4099-Dashboard!$B$4/252,"")</f>
        <v/>
      </c>
      <c r="H4099" s="8">
        <f>IFERROR(IF(ISNUMBER(B4099),MAX(B4099,IFERROR(H4098,B4099)),""),"")</f>
        <v/>
      </c>
      <c r="I4099" s="29">
        <f>IFERROR(IF(AND(ISNUMBER(B4099),ISNUMBER(H4099)),B4099/H4099-1,""),"")</f>
        <v/>
      </c>
      <c r="J4099" s="8">
        <f>IFERROR(IF(ISNUMBER(C4099),MAX(C4099,IFERROR(J4098,C4099)),""),"")</f>
        <v/>
      </c>
      <c r="K4099" s="29">
        <f>IFERROR(IF(AND(ISNUMBER(C4099),ISNUMBER(J4099)),C4099/J4099-1,""),"")</f>
        <v/>
      </c>
      <c r="L4099" s="28">
        <f>IFERROR(IF(AND(ISNUMBER(D4099),ISNUMBER(E4099)),D4099-E4099,""),"")</f>
        <v/>
      </c>
    </row>
    <row r="4100">
      <c r="A4100" s="7">
        <f>IFERROR(Datos!A4100,"")</f>
        <v/>
      </c>
      <c r="B4100" s="8">
        <f>IFERROR(Datos!B4100,"")</f>
        <v/>
      </c>
      <c r="C4100" s="8">
        <f>IFERROR(Datos!C4100,"")</f>
        <v/>
      </c>
      <c r="D4100" s="28">
        <f>IFERROR(IF(AND(ISNUMBER(B4100),ISNUMBER(B4099),B4099&lt;&gt;0),B4100/B4099-1,""),"")</f>
        <v/>
      </c>
      <c r="E4100" s="28">
        <f>IFERROR(IF(AND(ISNUMBER(C4100),ISNUMBER(C4099),C4099&lt;&gt;0),C4100/C4099-1,""),"")</f>
        <v/>
      </c>
      <c r="F4100" s="28">
        <f>IFERROR(D4100-Dashboard!$B$4/252,"")</f>
        <v/>
      </c>
      <c r="G4100" s="28">
        <f>IFERROR(E4100-Dashboard!$B$4/252,"")</f>
        <v/>
      </c>
      <c r="H4100" s="8">
        <f>IFERROR(IF(ISNUMBER(B4100),MAX(B4100,IFERROR(H4099,B4100)),""),"")</f>
        <v/>
      </c>
      <c r="I4100" s="29">
        <f>IFERROR(IF(AND(ISNUMBER(B4100),ISNUMBER(H4100)),B4100/H4100-1,""),"")</f>
        <v/>
      </c>
      <c r="J4100" s="8">
        <f>IFERROR(IF(ISNUMBER(C4100),MAX(C4100,IFERROR(J4099,C4100)),""),"")</f>
        <v/>
      </c>
      <c r="K4100" s="29">
        <f>IFERROR(IF(AND(ISNUMBER(C4100),ISNUMBER(J4100)),C4100/J4100-1,""),"")</f>
        <v/>
      </c>
      <c r="L4100" s="28">
        <f>IFERROR(IF(AND(ISNUMBER(D4100),ISNUMBER(E4100)),D4100-E4100,""),"")</f>
        <v/>
      </c>
    </row>
    <row r="4101">
      <c r="A4101" s="7">
        <f>IFERROR(Datos!A4101,"")</f>
        <v/>
      </c>
      <c r="B4101" s="8">
        <f>IFERROR(Datos!B4101,"")</f>
        <v/>
      </c>
      <c r="C4101" s="8">
        <f>IFERROR(Datos!C4101,"")</f>
        <v/>
      </c>
      <c r="D4101" s="28">
        <f>IFERROR(IF(AND(ISNUMBER(B4101),ISNUMBER(B4100),B4100&lt;&gt;0),B4101/B4100-1,""),"")</f>
        <v/>
      </c>
      <c r="E4101" s="28">
        <f>IFERROR(IF(AND(ISNUMBER(C4101),ISNUMBER(C4100),C4100&lt;&gt;0),C4101/C4100-1,""),"")</f>
        <v/>
      </c>
      <c r="F4101" s="28">
        <f>IFERROR(D4101-Dashboard!$B$4/252,"")</f>
        <v/>
      </c>
      <c r="G4101" s="28">
        <f>IFERROR(E4101-Dashboard!$B$4/252,"")</f>
        <v/>
      </c>
      <c r="H4101" s="8">
        <f>IFERROR(IF(ISNUMBER(B4101),MAX(B4101,IFERROR(H4100,B4101)),""),"")</f>
        <v/>
      </c>
      <c r="I4101" s="29">
        <f>IFERROR(IF(AND(ISNUMBER(B4101),ISNUMBER(H4101)),B4101/H4101-1,""),"")</f>
        <v/>
      </c>
      <c r="J4101" s="8">
        <f>IFERROR(IF(ISNUMBER(C4101),MAX(C4101,IFERROR(J4100,C4101)),""),"")</f>
        <v/>
      </c>
      <c r="K4101" s="29">
        <f>IFERROR(IF(AND(ISNUMBER(C4101),ISNUMBER(J4101)),C4101/J4101-1,""),"")</f>
        <v/>
      </c>
      <c r="L4101" s="28">
        <f>IFERROR(IF(AND(ISNUMBER(D4101),ISNUMBER(E4101)),D4101-E4101,""),"")</f>
        <v/>
      </c>
    </row>
    <row r="4102">
      <c r="A4102" s="7">
        <f>IFERROR(Datos!A4102,"")</f>
        <v/>
      </c>
      <c r="B4102" s="8">
        <f>IFERROR(Datos!B4102,"")</f>
        <v/>
      </c>
      <c r="C4102" s="8">
        <f>IFERROR(Datos!C4102,"")</f>
        <v/>
      </c>
      <c r="D4102" s="28">
        <f>IFERROR(IF(AND(ISNUMBER(B4102),ISNUMBER(B4101),B4101&lt;&gt;0),B4102/B4101-1,""),"")</f>
        <v/>
      </c>
      <c r="E4102" s="28">
        <f>IFERROR(IF(AND(ISNUMBER(C4102),ISNUMBER(C4101),C4101&lt;&gt;0),C4102/C4101-1,""),"")</f>
        <v/>
      </c>
      <c r="F4102" s="28">
        <f>IFERROR(D4102-Dashboard!$B$4/252,"")</f>
        <v/>
      </c>
      <c r="G4102" s="28">
        <f>IFERROR(E4102-Dashboard!$B$4/252,"")</f>
        <v/>
      </c>
      <c r="H4102" s="8">
        <f>IFERROR(IF(ISNUMBER(B4102),MAX(B4102,IFERROR(H4101,B4102)),""),"")</f>
        <v/>
      </c>
      <c r="I4102" s="29">
        <f>IFERROR(IF(AND(ISNUMBER(B4102),ISNUMBER(H4102)),B4102/H4102-1,""),"")</f>
        <v/>
      </c>
      <c r="J4102" s="8">
        <f>IFERROR(IF(ISNUMBER(C4102),MAX(C4102,IFERROR(J4101,C4102)),""),"")</f>
        <v/>
      </c>
      <c r="K4102" s="29">
        <f>IFERROR(IF(AND(ISNUMBER(C4102),ISNUMBER(J4102)),C4102/J4102-1,""),"")</f>
        <v/>
      </c>
      <c r="L4102" s="28">
        <f>IFERROR(IF(AND(ISNUMBER(D4102),ISNUMBER(E4102)),D4102-E4102,""),"")</f>
        <v/>
      </c>
    </row>
    <row r="4103">
      <c r="A4103" s="7">
        <f>IFERROR(Datos!A4103,"")</f>
        <v/>
      </c>
      <c r="B4103" s="8">
        <f>IFERROR(Datos!B4103,"")</f>
        <v/>
      </c>
      <c r="C4103" s="8">
        <f>IFERROR(Datos!C4103,"")</f>
        <v/>
      </c>
      <c r="D4103" s="28">
        <f>IFERROR(IF(AND(ISNUMBER(B4103),ISNUMBER(B4102),B4102&lt;&gt;0),B4103/B4102-1,""),"")</f>
        <v/>
      </c>
      <c r="E4103" s="28">
        <f>IFERROR(IF(AND(ISNUMBER(C4103),ISNUMBER(C4102),C4102&lt;&gt;0),C4103/C4102-1,""),"")</f>
        <v/>
      </c>
      <c r="F4103" s="28">
        <f>IFERROR(D4103-Dashboard!$B$4/252,"")</f>
        <v/>
      </c>
      <c r="G4103" s="28">
        <f>IFERROR(E4103-Dashboard!$B$4/252,"")</f>
        <v/>
      </c>
      <c r="H4103" s="8">
        <f>IFERROR(IF(ISNUMBER(B4103),MAX(B4103,IFERROR(H4102,B4103)),""),"")</f>
        <v/>
      </c>
      <c r="I4103" s="29">
        <f>IFERROR(IF(AND(ISNUMBER(B4103),ISNUMBER(H4103)),B4103/H4103-1,""),"")</f>
        <v/>
      </c>
      <c r="J4103" s="8">
        <f>IFERROR(IF(ISNUMBER(C4103),MAX(C4103,IFERROR(J4102,C4103)),""),"")</f>
        <v/>
      </c>
      <c r="K4103" s="29">
        <f>IFERROR(IF(AND(ISNUMBER(C4103),ISNUMBER(J4103)),C4103/J4103-1,""),"")</f>
        <v/>
      </c>
      <c r="L4103" s="28">
        <f>IFERROR(IF(AND(ISNUMBER(D4103),ISNUMBER(E4103)),D4103-E4103,""),"")</f>
        <v/>
      </c>
    </row>
    <row r="4104">
      <c r="A4104" s="7">
        <f>IFERROR(Datos!A4104,"")</f>
        <v/>
      </c>
      <c r="B4104" s="8">
        <f>IFERROR(Datos!B4104,"")</f>
        <v/>
      </c>
      <c r="C4104" s="8">
        <f>IFERROR(Datos!C4104,"")</f>
        <v/>
      </c>
      <c r="D4104" s="28">
        <f>IFERROR(IF(AND(ISNUMBER(B4104),ISNUMBER(B4103),B4103&lt;&gt;0),B4104/B4103-1,""),"")</f>
        <v/>
      </c>
      <c r="E4104" s="28">
        <f>IFERROR(IF(AND(ISNUMBER(C4104),ISNUMBER(C4103),C4103&lt;&gt;0),C4104/C4103-1,""),"")</f>
        <v/>
      </c>
      <c r="F4104" s="28">
        <f>IFERROR(D4104-Dashboard!$B$4/252,"")</f>
        <v/>
      </c>
      <c r="G4104" s="28">
        <f>IFERROR(E4104-Dashboard!$B$4/252,"")</f>
        <v/>
      </c>
      <c r="H4104" s="8">
        <f>IFERROR(IF(ISNUMBER(B4104),MAX(B4104,IFERROR(H4103,B4104)),""),"")</f>
        <v/>
      </c>
      <c r="I4104" s="29">
        <f>IFERROR(IF(AND(ISNUMBER(B4104),ISNUMBER(H4104)),B4104/H4104-1,""),"")</f>
        <v/>
      </c>
      <c r="J4104" s="8">
        <f>IFERROR(IF(ISNUMBER(C4104),MAX(C4104,IFERROR(J4103,C4104)),""),"")</f>
        <v/>
      </c>
      <c r="K4104" s="29">
        <f>IFERROR(IF(AND(ISNUMBER(C4104),ISNUMBER(J4104)),C4104/J4104-1,""),"")</f>
        <v/>
      </c>
      <c r="L4104" s="28">
        <f>IFERROR(IF(AND(ISNUMBER(D4104),ISNUMBER(E4104)),D4104-E4104,""),"")</f>
        <v/>
      </c>
    </row>
    <row r="4105">
      <c r="A4105" s="7">
        <f>IFERROR(Datos!A4105,"")</f>
        <v/>
      </c>
      <c r="B4105" s="8">
        <f>IFERROR(Datos!B4105,"")</f>
        <v/>
      </c>
      <c r="C4105" s="8">
        <f>IFERROR(Datos!C4105,"")</f>
        <v/>
      </c>
      <c r="D4105" s="28">
        <f>IFERROR(IF(AND(ISNUMBER(B4105),ISNUMBER(B4104),B4104&lt;&gt;0),B4105/B4104-1,""),"")</f>
        <v/>
      </c>
      <c r="E4105" s="28">
        <f>IFERROR(IF(AND(ISNUMBER(C4105),ISNUMBER(C4104),C4104&lt;&gt;0),C4105/C4104-1,""),"")</f>
        <v/>
      </c>
      <c r="F4105" s="28">
        <f>IFERROR(D4105-Dashboard!$B$4/252,"")</f>
        <v/>
      </c>
      <c r="G4105" s="28">
        <f>IFERROR(E4105-Dashboard!$B$4/252,"")</f>
        <v/>
      </c>
      <c r="H4105" s="8">
        <f>IFERROR(IF(ISNUMBER(B4105),MAX(B4105,IFERROR(H4104,B4105)),""),"")</f>
        <v/>
      </c>
      <c r="I4105" s="29">
        <f>IFERROR(IF(AND(ISNUMBER(B4105),ISNUMBER(H4105)),B4105/H4105-1,""),"")</f>
        <v/>
      </c>
      <c r="J4105" s="8">
        <f>IFERROR(IF(ISNUMBER(C4105),MAX(C4105,IFERROR(J4104,C4105)),""),"")</f>
        <v/>
      </c>
      <c r="K4105" s="29">
        <f>IFERROR(IF(AND(ISNUMBER(C4105),ISNUMBER(J4105)),C4105/J4105-1,""),"")</f>
        <v/>
      </c>
      <c r="L4105" s="28">
        <f>IFERROR(IF(AND(ISNUMBER(D4105),ISNUMBER(E4105)),D4105-E4105,""),"")</f>
        <v/>
      </c>
    </row>
    <row r="4106">
      <c r="A4106" s="7">
        <f>IFERROR(Datos!A4106,"")</f>
        <v/>
      </c>
      <c r="B4106" s="8">
        <f>IFERROR(Datos!B4106,"")</f>
        <v/>
      </c>
      <c r="C4106" s="8">
        <f>IFERROR(Datos!C4106,"")</f>
        <v/>
      </c>
      <c r="D4106" s="28">
        <f>IFERROR(IF(AND(ISNUMBER(B4106),ISNUMBER(B4105),B4105&lt;&gt;0),B4106/B4105-1,""),"")</f>
        <v/>
      </c>
      <c r="E4106" s="28">
        <f>IFERROR(IF(AND(ISNUMBER(C4106),ISNUMBER(C4105),C4105&lt;&gt;0),C4106/C4105-1,""),"")</f>
        <v/>
      </c>
      <c r="F4106" s="28">
        <f>IFERROR(D4106-Dashboard!$B$4/252,"")</f>
        <v/>
      </c>
      <c r="G4106" s="28">
        <f>IFERROR(E4106-Dashboard!$B$4/252,"")</f>
        <v/>
      </c>
      <c r="H4106" s="8">
        <f>IFERROR(IF(ISNUMBER(B4106),MAX(B4106,IFERROR(H4105,B4106)),""),"")</f>
        <v/>
      </c>
      <c r="I4106" s="29">
        <f>IFERROR(IF(AND(ISNUMBER(B4106),ISNUMBER(H4106)),B4106/H4106-1,""),"")</f>
        <v/>
      </c>
      <c r="J4106" s="8">
        <f>IFERROR(IF(ISNUMBER(C4106),MAX(C4106,IFERROR(J4105,C4106)),""),"")</f>
        <v/>
      </c>
      <c r="K4106" s="29">
        <f>IFERROR(IF(AND(ISNUMBER(C4106),ISNUMBER(J4106)),C4106/J4106-1,""),"")</f>
        <v/>
      </c>
      <c r="L4106" s="28">
        <f>IFERROR(IF(AND(ISNUMBER(D4106),ISNUMBER(E4106)),D4106-E4106,""),"")</f>
        <v/>
      </c>
    </row>
    <row r="4107">
      <c r="A4107" s="7">
        <f>IFERROR(Datos!A4107,"")</f>
        <v/>
      </c>
      <c r="B4107" s="8">
        <f>IFERROR(Datos!B4107,"")</f>
        <v/>
      </c>
      <c r="C4107" s="8">
        <f>IFERROR(Datos!C4107,"")</f>
        <v/>
      </c>
      <c r="D4107" s="28">
        <f>IFERROR(IF(AND(ISNUMBER(B4107),ISNUMBER(B4106),B4106&lt;&gt;0),B4107/B4106-1,""),"")</f>
        <v/>
      </c>
      <c r="E4107" s="28">
        <f>IFERROR(IF(AND(ISNUMBER(C4107),ISNUMBER(C4106),C4106&lt;&gt;0),C4107/C4106-1,""),"")</f>
        <v/>
      </c>
      <c r="F4107" s="28">
        <f>IFERROR(D4107-Dashboard!$B$4/252,"")</f>
        <v/>
      </c>
      <c r="G4107" s="28">
        <f>IFERROR(E4107-Dashboard!$B$4/252,"")</f>
        <v/>
      </c>
      <c r="H4107" s="8">
        <f>IFERROR(IF(ISNUMBER(B4107),MAX(B4107,IFERROR(H4106,B4107)),""),"")</f>
        <v/>
      </c>
      <c r="I4107" s="29">
        <f>IFERROR(IF(AND(ISNUMBER(B4107),ISNUMBER(H4107)),B4107/H4107-1,""),"")</f>
        <v/>
      </c>
      <c r="J4107" s="8">
        <f>IFERROR(IF(ISNUMBER(C4107),MAX(C4107,IFERROR(J4106,C4107)),""),"")</f>
        <v/>
      </c>
      <c r="K4107" s="29">
        <f>IFERROR(IF(AND(ISNUMBER(C4107),ISNUMBER(J4107)),C4107/J4107-1,""),"")</f>
        <v/>
      </c>
      <c r="L4107" s="28">
        <f>IFERROR(IF(AND(ISNUMBER(D4107),ISNUMBER(E4107)),D4107-E4107,""),"")</f>
        <v/>
      </c>
    </row>
    <row r="4108">
      <c r="A4108" s="7">
        <f>IFERROR(Datos!A4108,"")</f>
        <v/>
      </c>
      <c r="B4108" s="8">
        <f>IFERROR(Datos!B4108,"")</f>
        <v/>
      </c>
      <c r="C4108" s="8">
        <f>IFERROR(Datos!C4108,"")</f>
        <v/>
      </c>
      <c r="D4108" s="28">
        <f>IFERROR(IF(AND(ISNUMBER(B4108),ISNUMBER(B4107),B4107&lt;&gt;0),B4108/B4107-1,""),"")</f>
        <v/>
      </c>
      <c r="E4108" s="28">
        <f>IFERROR(IF(AND(ISNUMBER(C4108),ISNUMBER(C4107),C4107&lt;&gt;0),C4108/C4107-1,""),"")</f>
        <v/>
      </c>
      <c r="F4108" s="28">
        <f>IFERROR(D4108-Dashboard!$B$4/252,"")</f>
        <v/>
      </c>
      <c r="G4108" s="28">
        <f>IFERROR(E4108-Dashboard!$B$4/252,"")</f>
        <v/>
      </c>
      <c r="H4108" s="8">
        <f>IFERROR(IF(ISNUMBER(B4108),MAX(B4108,IFERROR(H4107,B4108)),""),"")</f>
        <v/>
      </c>
      <c r="I4108" s="29">
        <f>IFERROR(IF(AND(ISNUMBER(B4108),ISNUMBER(H4108)),B4108/H4108-1,""),"")</f>
        <v/>
      </c>
      <c r="J4108" s="8">
        <f>IFERROR(IF(ISNUMBER(C4108),MAX(C4108,IFERROR(J4107,C4108)),""),"")</f>
        <v/>
      </c>
      <c r="K4108" s="29">
        <f>IFERROR(IF(AND(ISNUMBER(C4108),ISNUMBER(J4108)),C4108/J4108-1,""),"")</f>
        <v/>
      </c>
      <c r="L4108" s="28">
        <f>IFERROR(IF(AND(ISNUMBER(D4108),ISNUMBER(E4108)),D4108-E4108,""),"")</f>
        <v/>
      </c>
    </row>
    <row r="4109">
      <c r="A4109" s="7">
        <f>IFERROR(Datos!A4109,"")</f>
        <v/>
      </c>
      <c r="B4109" s="8">
        <f>IFERROR(Datos!B4109,"")</f>
        <v/>
      </c>
      <c r="C4109" s="8">
        <f>IFERROR(Datos!C4109,"")</f>
        <v/>
      </c>
      <c r="D4109" s="28">
        <f>IFERROR(IF(AND(ISNUMBER(B4109),ISNUMBER(B4108),B4108&lt;&gt;0),B4109/B4108-1,""),"")</f>
        <v/>
      </c>
      <c r="E4109" s="28">
        <f>IFERROR(IF(AND(ISNUMBER(C4109),ISNUMBER(C4108),C4108&lt;&gt;0),C4109/C4108-1,""),"")</f>
        <v/>
      </c>
      <c r="F4109" s="28">
        <f>IFERROR(D4109-Dashboard!$B$4/252,"")</f>
        <v/>
      </c>
      <c r="G4109" s="28">
        <f>IFERROR(E4109-Dashboard!$B$4/252,"")</f>
        <v/>
      </c>
      <c r="H4109" s="8">
        <f>IFERROR(IF(ISNUMBER(B4109),MAX(B4109,IFERROR(H4108,B4109)),""),"")</f>
        <v/>
      </c>
      <c r="I4109" s="29">
        <f>IFERROR(IF(AND(ISNUMBER(B4109),ISNUMBER(H4109)),B4109/H4109-1,""),"")</f>
        <v/>
      </c>
      <c r="J4109" s="8">
        <f>IFERROR(IF(ISNUMBER(C4109),MAX(C4109,IFERROR(J4108,C4109)),""),"")</f>
        <v/>
      </c>
      <c r="K4109" s="29">
        <f>IFERROR(IF(AND(ISNUMBER(C4109),ISNUMBER(J4109)),C4109/J4109-1,""),"")</f>
        <v/>
      </c>
      <c r="L4109" s="28">
        <f>IFERROR(IF(AND(ISNUMBER(D4109),ISNUMBER(E4109)),D4109-E4109,""),"")</f>
        <v/>
      </c>
    </row>
    <row r="4110">
      <c r="A4110" s="7">
        <f>IFERROR(Datos!A4110,"")</f>
        <v/>
      </c>
      <c r="B4110" s="8">
        <f>IFERROR(Datos!B4110,"")</f>
        <v/>
      </c>
      <c r="C4110" s="8">
        <f>IFERROR(Datos!C4110,"")</f>
        <v/>
      </c>
      <c r="D4110" s="28">
        <f>IFERROR(IF(AND(ISNUMBER(B4110),ISNUMBER(B4109),B4109&lt;&gt;0),B4110/B4109-1,""),"")</f>
        <v/>
      </c>
      <c r="E4110" s="28">
        <f>IFERROR(IF(AND(ISNUMBER(C4110),ISNUMBER(C4109),C4109&lt;&gt;0),C4110/C4109-1,""),"")</f>
        <v/>
      </c>
      <c r="F4110" s="28">
        <f>IFERROR(D4110-Dashboard!$B$4/252,"")</f>
        <v/>
      </c>
      <c r="G4110" s="28">
        <f>IFERROR(E4110-Dashboard!$B$4/252,"")</f>
        <v/>
      </c>
      <c r="H4110" s="8">
        <f>IFERROR(IF(ISNUMBER(B4110),MAX(B4110,IFERROR(H4109,B4110)),""),"")</f>
        <v/>
      </c>
      <c r="I4110" s="29">
        <f>IFERROR(IF(AND(ISNUMBER(B4110),ISNUMBER(H4110)),B4110/H4110-1,""),"")</f>
        <v/>
      </c>
      <c r="J4110" s="8">
        <f>IFERROR(IF(ISNUMBER(C4110),MAX(C4110,IFERROR(J4109,C4110)),""),"")</f>
        <v/>
      </c>
      <c r="K4110" s="29">
        <f>IFERROR(IF(AND(ISNUMBER(C4110),ISNUMBER(J4110)),C4110/J4110-1,""),"")</f>
        <v/>
      </c>
      <c r="L4110" s="28">
        <f>IFERROR(IF(AND(ISNUMBER(D4110),ISNUMBER(E4110)),D4110-E4110,""),"")</f>
        <v/>
      </c>
    </row>
    <row r="4111">
      <c r="A4111" s="7">
        <f>IFERROR(Datos!A4111,"")</f>
        <v/>
      </c>
      <c r="B4111" s="8">
        <f>IFERROR(Datos!B4111,"")</f>
        <v/>
      </c>
      <c r="C4111" s="8">
        <f>IFERROR(Datos!C4111,"")</f>
        <v/>
      </c>
      <c r="D4111" s="28">
        <f>IFERROR(IF(AND(ISNUMBER(B4111),ISNUMBER(B4110),B4110&lt;&gt;0),B4111/B4110-1,""),"")</f>
        <v/>
      </c>
      <c r="E4111" s="28">
        <f>IFERROR(IF(AND(ISNUMBER(C4111),ISNUMBER(C4110),C4110&lt;&gt;0),C4111/C4110-1,""),"")</f>
        <v/>
      </c>
      <c r="F4111" s="28">
        <f>IFERROR(D4111-Dashboard!$B$4/252,"")</f>
        <v/>
      </c>
      <c r="G4111" s="28">
        <f>IFERROR(E4111-Dashboard!$B$4/252,"")</f>
        <v/>
      </c>
      <c r="H4111" s="8">
        <f>IFERROR(IF(ISNUMBER(B4111),MAX(B4111,IFERROR(H4110,B4111)),""),"")</f>
        <v/>
      </c>
      <c r="I4111" s="29">
        <f>IFERROR(IF(AND(ISNUMBER(B4111),ISNUMBER(H4111)),B4111/H4111-1,""),"")</f>
        <v/>
      </c>
      <c r="J4111" s="8">
        <f>IFERROR(IF(ISNUMBER(C4111),MAX(C4111,IFERROR(J4110,C4111)),""),"")</f>
        <v/>
      </c>
      <c r="K4111" s="29">
        <f>IFERROR(IF(AND(ISNUMBER(C4111),ISNUMBER(J4111)),C4111/J4111-1,""),"")</f>
        <v/>
      </c>
      <c r="L4111" s="28">
        <f>IFERROR(IF(AND(ISNUMBER(D4111),ISNUMBER(E4111)),D4111-E4111,""),"")</f>
        <v/>
      </c>
    </row>
    <row r="4112">
      <c r="A4112" s="7">
        <f>IFERROR(Datos!A4112,"")</f>
        <v/>
      </c>
      <c r="B4112" s="8">
        <f>IFERROR(Datos!B4112,"")</f>
        <v/>
      </c>
      <c r="C4112" s="8">
        <f>IFERROR(Datos!C4112,"")</f>
        <v/>
      </c>
      <c r="D4112" s="28">
        <f>IFERROR(IF(AND(ISNUMBER(B4112),ISNUMBER(B4111),B4111&lt;&gt;0),B4112/B4111-1,""),"")</f>
        <v/>
      </c>
      <c r="E4112" s="28">
        <f>IFERROR(IF(AND(ISNUMBER(C4112),ISNUMBER(C4111),C4111&lt;&gt;0),C4112/C4111-1,""),"")</f>
        <v/>
      </c>
      <c r="F4112" s="28">
        <f>IFERROR(D4112-Dashboard!$B$4/252,"")</f>
        <v/>
      </c>
      <c r="G4112" s="28">
        <f>IFERROR(E4112-Dashboard!$B$4/252,"")</f>
        <v/>
      </c>
      <c r="H4112" s="8">
        <f>IFERROR(IF(ISNUMBER(B4112),MAX(B4112,IFERROR(H4111,B4112)),""),"")</f>
        <v/>
      </c>
      <c r="I4112" s="29">
        <f>IFERROR(IF(AND(ISNUMBER(B4112),ISNUMBER(H4112)),B4112/H4112-1,""),"")</f>
        <v/>
      </c>
      <c r="J4112" s="8">
        <f>IFERROR(IF(ISNUMBER(C4112),MAX(C4112,IFERROR(J4111,C4112)),""),"")</f>
        <v/>
      </c>
      <c r="K4112" s="29">
        <f>IFERROR(IF(AND(ISNUMBER(C4112),ISNUMBER(J4112)),C4112/J4112-1,""),"")</f>
        <v/>
      </c>
      <c r="L4112" s="28">
        <f>IFERROR(IF(AND(ISNUMBER(D4112),ISNUMBER(E4112)),D4112-E4112,""),"")</f>
        <v/>
      </c>
    </row>
    <row r="4113">
      <c r="A4113" s="7">
        <f>IFERROR(Datos!A4113,"")</f>
        <v/>
      </c>
      <c r="B4113" s="8">
        <f>IFERROR(Datos!B4113,"")</f>
        <v/>
      </c>
      <c r="C4113" s="8">
        <f>IFERROR(Datos!C4113,"")</f>
        <v/>
      </c>
      <c r="D4113" s="28">
        <f>IFERROR(IF(AND(ISNUMBER(B4113),ISNUMBER(B4112),B4112&lt;&gt;0),B4113/B4112-1,""),"")</f>
        <v/>
      </c>
      <c r="E4113" s="28">
        <f>IFERROR(IF(AND(ISNUMBER(C4113),ISNUMBER(C4112),C4112&lt;&gt;0),C4113/C4112-1,""),"")</f>
        <v/>
      </c>
      <c r="F4113" s="28">
        <f>IFERROR(D4113-Dashboard!$B$4/252,"")</f>
        <v/>
      </c>
      <c r="G4113" s="28">
        <f>IFERROR(E4113-Dashboard!$B$4/252,"")</f>
        <v/>
      </c>
      <c r="H4113" s="8">
        <f>IFERROR(IF(ISNUMBER(B4113),MAX(B4113,IFERROR(H4112,B4113)),""),"")</f>
        <v/>
      </c>
      <c r="I4113" s="29">
        <f>IFERROR(IF(AND(ISNUMBER(B4113),ISNUMBER(H4113)),B4113/H4113-1,""),"")</f>
        <v/>
      </c>
      <c r="J4113" s="8">
        <f>IFERROR(IF(ISNUMBER(C4113),MAX(C4113,IFERROR(J4112,C4113)),""),"")</f>
        <v/>
      </c>
      <c r="K4113" s="29">
        <f>IFERROR(IF(AND(ISNUMBER(C4113),ISNUMBER(J4113)),C4113/J4113-1,""),"")</f>
        <v/>
      </c>
      <c r="L4113" s="28">
        <f>IFERROR(IF(AND(ISNUMBER(D4113),ISNUMBER(E4113)),D4113-E4113,""),"")</f>
        <v/>
      </c>
    </row>
    <row r="4114">
      <c r="A4114" s="7">
        <f>IFERROR(Datos!A4114,"")</f>
        <v/>
      </c>
      <c r="B4114" s="8">
        <f>IFERROR(Datos!B4114,"")</f>
        <v/>
      </c>
      <c r="C4114" s="8">
        <f>IFERROR(Datos!C4114,"")</f>
        <v/>
      </c>
      <c r="D4114" s="28">
        <f>IFERROR(IF(AND(ISNUMBER(B4114),ISNUMBER(B4113),B4113&lt;&gt;0),B4114/B4113-1,""),"")</f>
        <v/>
      </c>
      <c r="E4114" s="28">
        <f>IFERROR(IF(AND(ISNUMBER(C4114),ISNUMBER(C4113),C4113&lt;&gt;0),C4114/C4113-1,""),"")</f>
        <v/>
      </c>
      <c r="F4114" s="28">
        <f>IFERROR(D4114-Dashboard!$B$4/252,"")</f>
        <v/>
      </c>
      <c r="G4114" s="28">
        <f>IFERROR(E4114-Dashboard!$B$4/252,"")</f>
        <v/>
      </c>
      <c r="H4114" s="8">
        <f>IFERROR(IF(ISNUMBER(B4114),MAX(B4114,IFERROR(H4113,B4114)),""),"")</f>
        <v/>
      </c>
      <c r="I4114" s="29">
        <f>IFERROR(IF(AND(ISNUMBER(B4114),ISNUMBER(H4114)),B4114/H4114-1,""),"")</f>
        <v/>
      </c>
      <c r="J4114" s="8">
        <f>IFERROR(IF(ISNUMBER(C4114),MAX(C4114,IFERROR(J4113,C4114)),""),"")</f>
        <v/>
      </c>
      <c r="K4114" s="29">
        <f>IFERROR(IF(AND(ISNUMBER(C4114),ISNUMBER(J4114)),C4114/J4114-1,""),"")</f>
        <v/>
      </c>
      <c r="L4114" s="28">
        <f>IFERROR(IF(AND(ISNUMBER(D4114),ISNUMBER(E4114)),D4114-E4114,""),"")</f>
        <v/>
      </c>
    </row>
    <row r="4115">
      <c r="A4115" s="7">
        <f>IFERROR(Datos!A4115,"")</f>
        <v/>
      </c>
      <c r="B4115" s="8">
        <f>IFERROR(Datos!B4115,"")</f>
        <v/>
      </c>
      <c r="C4115" s="8">
        <f>IFERROR(Datos!C4115,"")</f>
        <v/>
      </c>
      <c r="D4115" s="28">
        <f>IFERROR(IF(AND(ISNUMBER(B4115),ISNUMBER(B4114),B4114&lt;&gt;0),B4115/B4114-1,""),"")</f>
        <v/>
      </c>
      <c r="E4115" s="28">
        <f>IFERROR(IF(AND(ISNUMBER(C4115),ISNUMBER(C4114),C4114&lt;&gt;0),C4115/C4114-1,""),"")</f>
        <v/>
      </c>
      <c r="F4115" s="28">
        <f>IFERROR(D4115-Dashboard!$B$4/252,"")</f>
        <v/>
      </c>
      <c r="G4115" s="28">
        <f>IFERROR(E4115-Dashboard!$B$4/252,"")</f>
        <v/>
      </c>
      <c r="H4115" s="8">
        <f>IFERROR(IF(ISNUMBER(B4115),MAX(B4115,IFERROR(H4114,B4115)),""),"")</f>
        <v/>
      </c>
      <c r="I4115" s="29">
        <f>IFERROR(IF(AND(ISNUMBER(B4115),ISNUMBER(H4115)),B4115/H4115-1,""),"")</f>
        <v/>
      </c>
      <c r="J4115" s="8">
        <f>IFERROR(IF(ISNUMBER(C4115),MAX(C4115,IFERROR(J4114,C4115)),""),"")</f>
        <v/>
      </c>
      <c r="K4115" s="29">
        <f>IFERROR(IF(AND(ISNUMBER(C4115),ISNUMBER(J4115)),C4115/J4115-1,""),"")</f>
        <v/>
      </c>
      <c r="L4115" s="28">
        <f>IFERROR(IF(AND(ISNUMBER(D4115),ISNUMBER(E4115)),D4115-E4115,""),"")</f>
        <v/>
      </c>
    </row>
    <row r="4116">
      <c r="A4116" s="7">
        <f>IFERROR(Datos!A4116,"")</f>
        <v/>
      </c>
      <c r="B4116" s="8">
        <f>IFERROR(Datos!B4116,"")</f>
        <v/>
      </c>
      <c r="C4116" s="8">
        <f>IFERROR(Datos!C4116,"")</f>
        <v/>
      </c>
      <c r="D4116" s="28">
        <f>IFERROR(IF(AND(ISNUMBER(B4116),ISNUMBER(B4115),B4115&lt;&gt;0),B4116/B4115-1,""),"")</f>
        <v/>
      </c>
      <c r="E4116" s="28">
        <f>IFERROR(IF(AND(ISNUMBER(C4116),ISNUMBER(C4115),C4115&lt;&gt;0),C4116/C4115-1,""),"")</f>
        <v/>
      </c>
      <c r="F4116" s="28">
        <f>IFERROR(D4116-Dashboard!$B$4/252,"")</f>
        <v/>
      </c>
      <c r="G4116" s="28">
        <f>IFERROR(E4116-Dashboard!$B$4/252,"")</f>
        <v/>
      </c>
      <c r="H4116" s="8">
        <f>IFERROR(IF(ISNUMBER(B4116),MAX(B4116,IFERROR(H4115,B4116)),""),"")</f>
        <v/>
      </c>
      <c r="I4116" s="29">
        <f>IFERROR(IF(AND(ISNUMBER(B4116),ISNUMBER(H4116)),B4116/H4116-1,""),"")</f>
        <v/>
      </c>
      <c r="J4116" s="8">
        <f>IFERROR(IF(ISNUMBER(C4116),MAX(C4116,IFERROR(J4115,C4116)),""),"")</f>
        <v/>
      </c>
      <c r="K4116" s="29">
        <f>IFERROR(IF(AND(ISNUMBER(C4116),ISNUMBER(J4116)),C4116/J4116-1,""),"")</f>
        <v/>
      </c>
      <c r="L4116" s="28">
        <f>IFERROR(IF(AND(ISNUMBER(D4116),ISNUMBER(E4116)),D4116-E4116,""),"")</f>
        <v/>
      </c>
    </row>
    <row r="4117">
      <c r="A4117" s="7">
        <f>IFERROR(Datos!A4117,"")</f>
        <v/>
      </c>
      <c r="B4117" s="8">
        <f>IFERROR(Datos!B4117,"")</f>
        <v/>
      </c>
      <c r="C4117" s="8">
        <f>IFERROR(Datos!C4117,"")</f>
        <v/>
      </c>
      <c r="D4117" s="28">
        <f>IFERROR(IF(AND(ISNUMBER(B4117),ISNUMBER(B4116),B4116&lt;&gt;0),B4117/B4116-1,""),"")</f>
        <v/>
      </c>
      <c r="E4117" s="28">
        <f>IFERROR(IF(AND(ISNUMBER(C4117),ISNUMBER(C4116),C4116&lt;&gt;0),C4117/C4116-1,""),"")</f>
        <v/>
      </c>
      <c r="F4117" s="28">
        <f>IFERROR(D4117-Dashboard!$B$4/252,"")</f>
        <v/>
      </c>
      <c r="G4117" s="28">
        <f>IFERROR(E4117-Dashboard!$B$4/252,"")</f>
        <v/>
      </c>
      <c r="H4117" s="8">
        <f>IFERROR(IF(ISNUMBER(B4117),MAX(B4117,IFERROR(H4116,B4117)),""),"")</f>
        <v/>
      </c>
      <c r="I4117" s="29">
        <f>IFERROR(IF(AND(ISNUMBER(B4117),ISNUMBER(H4117)),B4117/H4117-1,""),"")</f>
        <v/>
      </c>
      <c r="J4117" s="8">
        <f>IFERROR(IF(ISNUMBER(C4117),MAX(C4117,IFERROR(J4116,C4117)),""),"")</f>
        <v/>
      </c>
      <c r="K4117" s="29">
        <f>IFERROR(IF(AND(ISNUMBER(C4117),ISNUMBER(J4117)),C4117/J4117-1,""),"")</f>
        <v/>
      </c>
      <c r="L4117" s="28">
        <f>IFERROR(IF(AND(ISNUMBER(D4117),ISNUMBER(E4117)),D4117-E4117,""),"")</f>
        <v/>
      </c>
    </row>
    <row r="4118">
      <c r="A4118" s="7">
        <f>IFERROR(Datos!A4118,"")</f>
        <v/>
      </c>
      <c r="B4118" s="8">
        <f>IFERROR(Datos!B4118,"")</f>
        <v/>
      </c>
      <c r="C4118" s="8">
        <f>IFERROR(Datos!C4118,"")</f>
        <v/>
      </c>
      <c r="D4118" s="28">
        <f>IFERROR(IF(AND(ISNUMBER(B4118),ISNUMBER(B4117),B4117&lt;&gt;0),B4118/B4117-1,""),"")</f>
        <v/>
      </c>
      <c r="E4118" s="28">
        <f>IFERROR(IF(AND(ISNUMBER(C4118),ISNUMBER(C4117),C4117&lt;&gt;0),C4118/C4117-1,""),"")</f>
        <v/>
      </c>
      <c r="F4118" s="28">
        <f>IFERROR(D4118-Dashboard!$B$4/252,"")</f>
        <v/>
      </c>
      <c r="G4118" s="28">
        <f>IFERROR(E4118-Dashboard!$B$4/252,"")</f>
        <v/>
      </c>
      <c r="H4118" s="8">
        <f>IFERROR(IF(ISNUMBER(B4118),MAX(B4118,IFERROR(H4117,B4118)),""),"")</f>
        <v/>
      </c>
      <c r="I4118" s="29">
        <f>IFERROR(IF(AND(ISNUMBER(B4118),ISNUMBER(H4118)),B4118/H4118-1,""),"")</f>
        <v/>
      </c>
      <c r="J4118" s="8">
        <f>IFERROR(IF(ISNUMBER(C4118),MAX(C4118,IFERROR(J4117,C4118)),""),"")</f>
        <v/>
      </c>
      <c r="K4118" s="29">
        <f>IFERROR(IF(AND(ISNUMBER(C4118),ISNUMBER(J4118)),C4118/J4118-1,""),"")</f>
        <v/>
      </c>
      <c r="L4118" s="28">
        <f>IFERROR(IF(AND(ISNUMBER(D4118),ISNUMBER(E4118)),D4118-E4118,""),"")</f>
        <v/>
      </c>
    </row>
    <row r="4119">
      <c r="A4119" s="7">
        <f>IFERROR(Datos!A4119,"")</f>
        <v/>
      </c>
      <c r="B4119" s="8">
        <f>IFERROR(Datos!B4119,"")</f>
        <v/>
      </c>
      <c r="C4119" s="8">
        <f>IFERROR(Datos!C4119,"")</f>
        <v/>
      </c>
      <c r="D4119" s="28">
        <f>IFERROR(IF(AND(ISNUMBER(B4119),ISNUMBER(B4118),B4118&lt;&gt;0),B4119/B4118-1,""),"")</f>
        <v/>
      </c>
      <c r="E4119" s="28">
        <f>IFERROR(IF(AND(ISNUMBER(C4119),ISNUMBER(C4118),C4118&lt;&gt;0),C4119/C4118-1,""),"")</f>
        <v/>
      </c>
      <c r="F4119" s="28">
        <f>IFERROR(D4119-Dashboard!$B$4/252,"")</f>
        <v/>
      </c>
      <c r="G4119" s="28">
        <f>IFERROR(E4119-Dashboard!$B$4/252,"")</f>
        <v/>
      </c>
      <c r="H4119" s="8">
        <f>IFERROR(IF(ISNUMBER(B4119),MAX(B4119,IFERROR(H4118,B4119)),""),"")</f>
        <v/>
      </c>
      <c r="I4119" s="29">
        <f>IFERROR(IF(AND(ISNUMBER(B4119),ISNUMBER(H4119)),B4119/H4119-1,""),"")</f>
        <v/>
      </c>
      <c r="J4119" s="8">
        <f>IFERROR(IF(ISNUMBER(C4119),MAX(C4119,IFERROR(J4118,C4119)),""),"")</f>
        <v/>
      </c>
      <c r="K4119" s="29">
        <f>IFERROR(IF(AND(ISNUMBER(C4119),ISNUMBER(J4119)),C4119/J4119-1,""),"")</f>
        <v/>
      </c>
      <c r="L4119" s="28">
        <f>IFERROR(IF(AND(ISNUMBER(D4119),ISNUMBER(E4119)),D4119-E4119,""),"")</f>
        <v/>
      </c>
    </row>
    <row r="4120">
      <c r="A4120" s="7">
        <f>IFERROR(Datos!A4120,"")</f>
        <v/>
      </c>
      <c r="B4120" s="8">
        <f>IFERROR(Datos!B4120,"")</f>
        <v/>
      </c>
      <c r="C4120" s="8">
        <f>IFERROR(Datos!C4120,"")</f>
        <v/>
      </c>
      <c r="D4120" s="28">
        <f>IFERROR(IF(AND(ISNUMBER(B4120),ISNUMBER(B4119),B4119&lt;&gt;0),B4120/B4119-1,""),"")</f>
        <v/>
      </c>
      <c r="E4120" s="28">
        <f>IFERROR(IF(AND(ISNUMBER(C4120),ISNUMBER(C4119),C4119&lt;&gt;0),C4120/C4119-1,""),"")</f>
        <v/>
      </c>
      <c r="F4120" s="28">
        <f>IFERROR(D4120-Dashboard!$B$4/252,"")</f>
        <v/>
      </c>
      <c r="G4120" s="28">
        <f>IFERROR(E4120-Dashboard!$B$4/252,"")</f>
        <v/>
      </c>
      <c r="H4120" s="8">
        <f>IFERROR(IF(ISNUMBER(B4120),MAX(B4120,IFERROR(H4119,B4120)),""),"")</f>
        <v/>
      </c>
      <c r="I4120" s="29">
        <f>IFERROR(IF(AND(ISNUMBER(B4120),ISNUMBER(H4120)),B4120/H4120-1,""),"")</f>
        <v/>
      </c>
      <c r="J4120" s="8">
        <f>IFERROR(IF(ISNUMBER(C4120),MAX(C4120,IFERROR(J4119,C4120)),""),"")</f>
        <v/>
      </c>
      <c r="K4120" s="29">
        <f>IFERROR(IF(AND(ISNUMBER(C4120),ISNUMBER(J4120)),C4120/J4120-1,""),"")</f>
        <v/>
      </c>
      <c r="L4120" s="28">
        <f>IFERROR(IF(AND(ISNUMBER(D4120),ISNUMBER(E4120)),D4120-E4120,""),"")</f>
        <v/>
      </c>
    </row>
    <row r="4121">
      <c r="A4121" s="7">
        <f>IFERROR(Datos!A4121,"")</f>
        <v/>
      </c>
      <c r="B4121" s="8">
        <f>IFERROR(Datos!B4121,"")</f>
        <v/>
      </c>
      <c r="C4121" s="8">
        <f>IFERROR(Datos!C4121,"")</f>
        <v/>
      </c>
      <c r="D4121" s="28">
        <f>IFERROR(IF(AND(ISNUMBER(B4121),ISNUMBER(B4120),B4120&lt;&gt;0),B4121/B4120-1,""),"")</f>
        <v/>
      </c>
      <c r="E4121" s="28">
        <f>IFERROR(IF(AND(ISNUMBER(C4121),ISNUMBER(C4120),C4120&lt;&gt;0),C4121/C4120-1,""),"")</f>
        <v/>
      </c>
      <c r="F4121" s="28">
        <f>IFERROR(D4121-Dashboard!$B$4/252,"")</f>
        <v/>
      </c>
      <c r="G4121" s="28">
        <f>IFERROR(E4121-Dashboard!$B$4/252,"")</f>
        <v/>
      </c>
      <c r="H4121" s="8">
        <f>IFERROR(IF(ISNUMBER(B4121),MAX(B4121,IFERROR(H4120,B4121)),""),"")</f>
        <v/>
      </c>
      <c r="I4121" s="29">
        <f>IFERROR(IF(AND(ISNUMBER(B4121),ISNUMBER(H4121)),B4121/H4121-1,""),"")</f>
        <v/>
      </c>
      <c r="J4121" s="8">
        <f>IFERROR(IF(ISNUMBER(C4121),MAX(C4121,IFERROR(J4120,C4121)),""),"")</f>
        <v/>
      </c>
      <c r="K4121" s="29">
        <f>IFERROR(IF(AND(ISNUMBER(C4121),ISNUMBER(J4121)),C4121/J4121-1,""),"")</f>
        <v/>
      </c>
      <c r="L4121" s="28">
        <f>IFERROR(IF(AND(ISNUMBER(D4121),ISNUMBER(E4121)),D4121-E4121,""),"")</f>
        <v/>
      </c>
    </row>
    <row r="4122">
      <c r="A4122" s="7">
        <f>IFERROR(Datos!A4122,"")</f>
        <v/>
      </c>
      <c r="B4122" s="8">
        <f>IFERROR(Datos!B4122,"")</f>
        <v/>
      </c>
      <c r="C4122" s="8">
        <f>IFERROR(Datos!C4122,"")</f>
        <v/>
      </c>
      <c r="D4122" s="28">
        <f>IFERROR(IF(AND(ISNUMBER(B4122),ISNUMBER(B4121),B4121&lt;&gt;0),B4122/B4121-1,""),"")</f>
        <v/>
      </c>
      <c r="E4122" s="28">
        <f>IFERROR(IF(AND(ISNUMBER(C4122),ISNUMBER(C4121),C4121&lt;&gt;0),C4122/C4121-1,""),"")</f>
        <v/>
      </c>
      <c r="F4122" s="28">
        <f>IFERROR(D4122-Dashboard!$B$4/252,"")</f>
        <v/>
      </c>
      <c r="G4122" s="28">
        <f>IFERROR(E4122-Dashboard!$B$4/252,"")</f>
        <v/>
      </c>
      <c r="H4122" s="8">
        <f>IFERROR(IF(ISNUMBER(B4122),MAX(B4122,IFERROR(H4121,B4122)),""),"")</f>
        <v/>
      </c>
      <c r="I4122" s="29">
        <f>IFERROR(IF(AND(ISNUMBER(B4122),ISNUMBER(H4122)),B4122/H4122-1,""),"")</f>
        <v/>
      </c>
      <c r="J4122" s="8">
        <f>IFERROR(IF(ISNUMBER(C4122),MAX(C4122,IFERROR(J4121,C4122)),""),"")</f>
        <v/>
      </c>
      <c r="K4122" s="29">
        <f>IFERROR(IF(AND(ISNUMBER(C4122),ISNUMBER(J4122)),C4122/J4122-1,""),"")</f>
        <v/>
      </c>
      <c r="L4122" s="28">
        <f>IFERROR(IF(AND(ISNUMBER(D4122),ISNUMBER(E4122)),D4122-E4122,""),"")</f>
        <v/>
      </c>
    </row>
    <row r="4123">
      <c r="A4123" s="7">
        <f>IFERROR(Datos!A4123,"")</f>
        <v/>
      </c>
      <c r="B4123" s="8">
        <f>IFERROR(Datos!B4123,"")</f>
        <v/>
      </c>
      <c r="C4123" s="8">
        <f>IFERROR(Datos!C4123,"")</f>
        <v/>
      </c>
      <c r="D4123" s="28">
        <f>IFERROR(IF(AND(ISNUMBER(B4123),ISNUMBER(B4122),B4122&lt;&gt;0),B4123/B4122-1,""),"")</f>
        <v/>
      </c>
      <c r="E4123" s="28">
        <f>IFERROR(IF(AND(ISNUMBER(C4123),ISNUMBER(C4122),C4122&lt;&gt;0),C4123/C4122-1,""),"")</f>
        <v/>
      </c>
      <c r="F4123" s="28">
        <f>IFERROR(D4123-Dashboard!$B$4/252,"")</f>
        <v/>
      </c>
      <c r="G4123" s="28">
        <f>IFERROR(E4123-Dashboard!$B$4/252,"")</f>
        <v/>
      </c>
      <c r="H4123" s="8">
        <f>IFERROR(IF(ISNUMBER(B4123),MAX(B4123,IFERROR(H4122,B4123)),""),"")</f>
        <v/>
      </c>
      <c r="I4123" s="29">
        <f>IFERROR(IF(AND(ISNUMBER(B4123),ISNUMBER(H4123)),B4123/H4123-1,""),"")</f>
        <v/>
      </c>
      <c r="J4123" s="8">
        <f>IFERROR(IF(ISNUMBER(C4123),MAX(C4123,IFERROR(J4122,C4123)),""),"")</f>
        <v/>
      </c>
      <c r="K4123" s="29">
        <f>IFERROR(IF(AND(ISNUMBER(C4123),ISNUMBER(J4123)),C4123/J4123-1,""),"")</f>
        <v/>
      </c>
      <c r="L4123" s="28">
        <f>IFERROR(IF(AND(ISNUMBER(D4123),ISNUMBER(E4123)),D4123-E4123,""),"")</f>
        <v/>
      </c>
    </row>
    <row r="4124">
      <c r="A4124" s="7">
        <f>IFERROR(Datos!A4124,"")</f>
        <v/>
      </c>
      <c r="B4124" s="8">
        <f>IFERROR(Datos!B4124,"")</f>
        <v/>
      </c>
      <c r="C4124" s="8">
        <f>IFERROR(Datos!C4124,"")</f>
        <v/>
      </c>
      <c r="D4124" s="28">
        <f>IFERROR(IF(AND(ISNUMBER(B4124),ISNUMBER(B4123),B4123&lt;&gt;0),B4124/B4123-1,""),"")</f>
        <v/>
      </c>
      <c r="E4124" s="28">
        <f>IFERROR(IF(AND(ISNUMBER(C4124),ISNUMBER(C4123),C4123&lt;&gt;0),C4124/C4123-1,""),"")</f>
        <v/>
      </c>
      <c r="F4124" s="28">
        <f>IFERROR(D4124-Dashboard!$B$4/252,"")</f>
        <v/>
      </c>
      <c r="G4124" s="28">
        <f>IFERROR(E4124-Dashboard!$B$4/252,"")</f>
        <v/>
      </c>
      <c r="H4124" s="8">
        <f>IFERROR(IF(ISNUMBER(B4124),MAX(B4124,IFERROR(H4123,B4124)),""),"")</f>
        <v/>
      </c>
      <c r="I4124" s="29">
        <f>IFERROR(IF(AND(ISNUMBER(B4124),ISNUMBER(H4124)),B4124/H4124-1,""),"")</f>
        <v/>
      </c>
      <c r="J4124" s="8">
        <f>IFERROR(IF(ISNUMBER(C4124),MAX(C4124,IFERROR(J4123,C4124)),""),"")</f>
        <v/>
      </c>
      <c r="K4124" s="29">
        <f>IFERROR(IF(AND(ISNUMBER(C4124),ISNUMBER(J4124)),C4124/J4124-1,""),"")</f>
        <v/>
      </c>
      <c r="L4124" s="28">
        <f>IFERROR(IF(AND(ISNUMBER(D4124),ISNUMBER(E4124)),D4124-E4124,""),"")</f>
        <v/>
      </c>
    </row>
    <row r="4125">
      <c r="A4125" s="7">
        <f>IFERROR(Datos!A4125,"")</f>
        <v/>
      </c>
      <c r="B4125" s="8">
        <f>IFERROR(Datos!B4125,"")</f>
        <v/>
      </c>
      <c r="C4125" s="8">
        <f>IFERROR(Datos!C4125,"")</f>
        <v/>
      </c>
      <c r="D4125" s="28">
        <f>IFERROR(IF(AND(ISNUMBER(B4125),ISNUMBER(B4124),B4124&lt;&gt;0),B4125/B4124-1,""),"")</f>
        <v/>
      </c>
      <c r="E4125" s="28">
        <f>IFERROR(IF(AND(ISNUMBER(C4125),ISNUMBER(C4124),C4124&lt;&gt;0),C4125/C4124-1,""),"")</f>
        <v/>
      </c>
      <c r="F4125" s="28">
        <f>IFERROR(D4125-Dashboard!$B$4/252,"")</f>
        <v/>
      </c>
      <c r="G4125" s="28">
        <f>IFERROR(E4125-Dashboard!$B$4/252,"")</f>
        <v/>
      </c>
      <c r="H4125" s="8">
        <f>IFERROR(IF(ISNUMBER(B4125),MAX(B4125,IFERROR(H4124,B4125)),""),"")</f>
        <v/>
      </c>
      <c r="I4125" s="29">
        <f>IFERROR(IF(AND(ISNUMBER(B4125),ISNUMBER(H4125)),B4125/H4125-1,""),"")</f>
        <v/>
      </c>
      <c r="J4125" s="8">
        <f>IFERROR(IF(ISNUMBER(C4125),MAX(C4125,IFERROR(J4124,C4125)),""),"")</f>
        <v/>
      </c>
      <c r="K4125" s="29">
        <f>IFERROR(IF(AND(ISNUMBER(C4125),ISNUMBER(J4125)),C4125/J4125-1,""),"")</f>
        <v/>
      </c>
      <c r="L4125" s="28">
        <f>IFERROR(IF(AND(ISNUMBER(D4125),ISNUMBER(E4125)),D4125-E4125,""),"")</f>
        <v/>
      </c>
    </row>
    <row r="4126">
      <c r="A4126" s="7">
        <f>IFERROR(Datos!A4126,"")</f>
        <v/>
      </c>
      <c r="B4126" s="8">
        <f>IFERROR(Datos!B4126,"")</f>
        <v/>
      </c>
      <c r="C4126" s="8">
        <f>IFERROR(Datos!C4126,"")</f>
        <v/>
      </c>
      <c r="D4126" s="28">
        <f>IFERROR(IF(AND(ISNUMBER(B4126),ISNUMBER(B4125),B4125&lt;&gt;0),B4126/B4125-1,""),"")</f>
        <v/>
      </c>
      <c r="E4126" s="28">
        <f>IFERROR(IF(AND(ISNUMBER(C4126),ISNUMBER(C4125),C4125&lt;&gt;0),C4126/C4125-1,""),"")</f>
        <v/>
      </c>
      <c r="F4126" s="28">
        <f>IFERROR(D4126-Dashboard!$B$4/252,"")</f>
        <v/>
      </c>
      <c r="G4126" s="28">
        <f>IFERROR(E4126-Dashboard!$B$4/252,"")</f>
        <v/>
      </c>
      <c r="H4126" s="8">
        <f>IFERROR(IF(ISNUMBER(B4126),MAX(B4126,IFERROR(H4125,B4126)),""),"")</f>
        <v/>
      </c>
      <c r="I4126" s="29">
        <f>IFERROR(IF(AND(ISNUMBER(B4126),ISNUMBER(H4126)),B4126/H4126-1,""),"")</f>
        <v/>
      </c>
      <c r="J4126" s="8">
        <f>IFERROR(IF(ISNUMBER(C4126),MAX(C4126,IFERROR(J4125,C4126)),""),"")</f>
        <v/>
      </c>
      <c r="K4126" s="29">
        <f>IFERROR(IF(AND(ISNUMBER(C4126),ISNUMBER(J4126)),C4126/J4126-1,""),"")</f>
        <v/>
      </c>
      <c r="L4126" s="28">
        <f>IFERROR(IF(AND(ISNUMBER(D4126),ISNUMBER(E4126)),D4126-E4126,""),"")</f>
        <v/>
      </c>
    </row>
    <row r="4127">
      <c r="A4127" s="7">
        <f>IFERROR(Datos!A4127,"")</f>
        <v/>
      </c>
      <c r="B4127" s="8">
        <f>IFERROR(Datos!B4127,"")</f>
        <v/>
      </c>
      <c r="C4127" s="8">
        <f>IFERROR(Datos!C4127,"")</f>
        <v/>
      </c>
      <c r="D4127" s="28">
        <f>IFERROR(IF(AND(ISNUMBER(B4127),ISNUMBER(B4126),B4126&lt;&gt;0),B4127/B4126-1,""),"")</f>
        <v/>
      </c>
      <c r="E4127" s="28">
        <f>IFERROR(IF(AND(ISNUMBER(C4127),ISNUMBER(C4126),C4126&lt;&gt;0),C4127/C4126-1,""),"")</f>
        <v/>
      </c>
      <c r="F4127" s="28">
        <f>IFERROR(D4127-Dashboard!$B$4/252,"")</f>
        <v/>
      </c>
      <c r="G4127" s="28">
        <f>IFERROR(E4127-Dashboard!$B$4/252,"")</f>
        <v/>
      </c>
      <c r="H4127" s="8">
        <f>IFERROR(IF(ISNUMBER(B4127),MAX(B4127,IFERROR(H4126,B4127)),""),"")</f>
        <v/>
      </c>
      <c r="I4127" s="29">
        <f>IFERROR(IF(AND(ISNUMBER(B4127),ISNUMBER(H4127)),B4127/H4127-1,""),"")</f>
        <v/>
      </c>
      <c r="J4127" s="8">
        <f>IFERROR(IF(ISNUMBER(C4127),MAX(C4127,IFERROR(J4126,C4127)),""),"")</f>
        <v/>
      </c>
      <c r="K4127" s="29">
        <f>IFERROR(IF(AND(ISNUMBER(C4127),ISNUMBER(J4127)),C4127/J4127-1,""),"")</f>
        <v/>
      </c>
      <c r="L4127" s="28">
        <f>IFERROR(IF(AND(ISNUMBER(D4127),ISNUMBER(E4127)),D4127-E4127,""),"")</f>
        <v/>
      </c>
    </row>
    <row r="4128">
      <c r="A4128" s="7">
        <f>IFERROR(Datos!A4128,"")</f>
        <v/>
      </c>
      <c r="B4128" s="8">
        <f>IFERROR(Datos!B4128,"")</f>
        <v/>
      </c>
      <c r="C4128" s="8">
        <f>IFERROR(Datos!C4128,"")</f>
        <v/>
      </c>
      <c r="D4128" s="28">
        <f>IFERROR(IF(AND(ISNUMBER(B4128),ISNUMBER(B4127),B4127&lt;&gt;0),B4128/B4127-1,""),"")</f>
        <v/>
      </c>
      <c r="E4128" s="28">
        <f>IFERROR(IF(AND(ISNUMBER(C4128),ISNUMBER(C4127),C4127&lt;&gt;0),C4128/C4127-1,""),"")</f>
        <v/>
      </c>
      <c r="F4128" s="28">
        <f>IFERROR(D4128-Dashboard!$B$4/252,"")</f>
        <v/>
      </c>
      <c r="G4128" s="28">
        <f>IFERROR(E4128-Dashboard!$B$4/252,"")</f>
        <v/>
      </c>
      <c r="H4128" s="8">
        <f>IFERROR(IF(ISNUMBER(B4128),MAX(B4128,IFERROR(H4127,B4128)),""),"")</f>
        <v/>
      </c>
      <c r="I4128" s="29">
        <f>IFERROR(IF(AND(ISNUMBER(B4128),ISNUMBER(H4128)),B4128/H4128-1,""),"")</f>
        <v/>
      </c>
      <c r="J4128" s="8">
        <f>IFERROR(IF(ISNUMBER(C4128),MAX(C4128,IFERROR(J4127,C4128)),""),"")</f>
        <v/>
      </c>
      <c r="K4128" s="29">
        <f>IFERROR(IF(AND(ISNUMBER(C4128),ISNUMBER(J4128)),C4128/J4128-1,""),"")</f>
        <v/>
      </c>
      <c r="L4128" s="28">
        <f>IFERROR(IF(AND(ISNUMBER(D4128),ISNUMBER(E4128)),D4128-E4128,""),"")</f>
        <v/>
      </c>
    </row>
    <row r="4129">
      <c r="A4129" s="7">
        <f>IFERROR(Datos!A4129,"")</f>
        <v/>
      </c>
      <c r="B4129" s="8">
        <f>IFERROR(Datos!B4129,"")</f>
        <v/>
      </c>
      <c r="C4129" s="8">
        <f>IFERROR(Datos!C4129,"")</f>
        <v/>
      </c>
      <c r="D4129" s="28">
        <f>IFERROR(IF(AND(ISNUMBER(B4129),ISNUMBER(B4128),B4128&lt;&gt;0),B4129/B4128-1,""),"")</f>
        <v/>
      </c>
      <c r="E4129" s="28">
        <f>IFERROR(IF(AND(ISNUMBER(C4129),ISNUMBER(C4128),C4128&lt;&gt;0),C4129/C4128-1,""),"")</f>
        <v/>
      </c>
      <c r="F4129" s="28">
        <f>IFERROR(D4129-Dashboard!$B$4/252,"")</f>
        <v/>
      </c>
      <c r="G4129" s="28">
        <f>IFERROR(E4129-Dashboard!$B$4/252,"")</f>
        <v/>
      </c>
      <c r="H4129" s="8">
        <f>IFERROR(IF(ISNUMBER(B4129),MAX(B4129,IFERROR(H4128,B4129)),""),"")</f>
        <v/>
      </c>
      <c r="I4129" s="29">
        <f>IFERROR(IF(AND(ISNUMBER(B4129),ISNUMBER(H4129)),B4129/H4129-1,""),"")</f>
        <v/>
      </c>
      <c r="J4129" s="8">
        <f>IFERROR(IF(ISNUMBER(C4129),MAX(C4129,IFERROR(J4128,C4129)),""),"")</f>
        <v/>
      </c>
      <c r="K4129" s="29">
        <f>IFERROR(IF(AND(ISNUMBER(C4129),ISNUMBER(J4129)),C4129/J4129-1,""),"")</f>
        <v/>
      </c>
      <c r="L4129" s="28">
        <f>IFERROR(IF(AND(ISNUMBER(D4129),ISNUMBER(E4129)),D4129-E4129,""),"")</f>
        <v/>
      </c>
    </row>
    <row r="4130">
      <c r="A4130" s="7">
        <f>IFERROR(Datos!A4130,"")</f>
        <v/>
      </c>
      <c r="B4130" s="8">
        <f>IFERROR(Datos!B4130,"")</f>
        <v/>
      </c>
      <c r="C4130" s="8">
        <f>IFERROR(Datos!C4130,"")</f>
        <v/>
      </c>
      <c r="D4130" s="28">
        <f>IFERROR(IF(AND(ISNUMBER(B4130),ISNUMBER(B4129),B4129&lt;&gt;0),B4130/B4129-1,""),"")</f>
        <v/>
      </c>
      <c r="E4130" s="28">
        <f>IFERROR(IF(AND(ISNUMBER(C4130),ISNUMBER(C4129),C4129&lt;&gt;0),C4130/C4129-1,""),"")</f>
        <v/>
      </c>
      <c r="F4130" s="28">
        <f>IFERROR(D4130-Dashboard!$B$4/252,"")</f>
        <v/>
      </c>
      <c r="G4130" s="28">
        <f>IFERROR(E4130-Dashboard!$B$4/252,"")</f>
        <v/>
      </c>
      <c r="H4130" s="8">
        <f>IFERROR(IF(ISNUMBER(B4130),MAX(B4130,IFERROR(H4129,B4130)),""),"")</f>
        <v/>
      </c>
      <c r="I4130" s="29">
        <f>IFERROR(IF(AND(ISNUMBER(B4130),ISNUMBER(H4130)),B4130/H4130-1,""),"")</f>
        <v/>
      </c>
      <c r="J4130" s="8">
        <f>IFERROR(IF(ISNUMBER(C4130),MAX(C4130,IFERROR(J4129,C4130)),""),"")</f>
        <v/>
      </c>
      <c r="K4130" s="29">
        <f>IFERROR(IF(AND(ISNUMBER(C4130),ISNUMBER(J4130)),C4130/J4130-1,""),"")</f>
        <v/>
      </c>
      <c r="L4130" s="28">
        <f>IFERROR(IF(AND(ISNUMBER(D4130),ISNUMBER(E4130)),D4130-E4130,""),"")</f>
        <v/>
      </c>
    </row>
    <row r="4131">
      <c r="A4131" s="7">
        <f>IFERROR(Datos!A4131,"")</f>
        <v/>
      </c>
      <c r="B4131" s="8">
        <f>IFERROR(Datos!B4131,"")</f>
        <v/>
      </c>
      <c r="C4131" s="8">
        <f>IFERROR(Datos!C4131,"")</f>
        <v/>
      </c>
      <c r="D4131" s="28">
        <f>IFERROR(IF(AND(ISNUMBER(B4131),ISNUMBER(B4130),B4130&lt;&gt;0),B4131/B4130-1,""),"")</f>
        <v/>
      </c>
      <c r="E4131" s="28">
        <f>IFERROR(IF(AND(ISNUMBER(C4131),ISNUMBER(C4130),C4130&lt;&gt;0),C4131/C4130-1,""),"")</f>
        <v/>
      </c>
      <c r="F4131" s="28">
        <f>IFERROR(D4131-Dashboard!$B$4/252,"")</f>
        <v/>
      </c>
      <c r="G4131" s="28">
        <f>IFERROR(E4131-Dashboard!$B$4/252,"")</f>
        <v/>
      </c>
      <c r="H4131" s="8">
        <f>IFERROR(IF(ISNUMBER(B4131),MAX(B4131,IFERROR(H4130,B4131)),""),"")</f>
        <v/>
      </c>
      <c r="I4131" s="29">
        <f>IFERROR(IF(AND(ISNUMBER(B4131),ISNUMBER(H4131)),B4131/H4131-1,""),"")</f>
        <v/>
      </c>
      <c r="J4131" s="8">
        <f>IFERROR(IF(ISNUMBER(C4131),MAX(C4131,IFERROR(J4130,C4131)),""),"")</f>
        <v/>
      </c>
      <c r="K4131" s="29">
        <f>IFERROR(IF(AND(ISNUMBER(C4131),ISNUMBER(J4131)),C4131/J4131-1,""),"")</f>
        <v/>
      </c>
      <c r="L4131" s="28">
        <f>IFERROR(IF(AND(ISNUMBER(D4131),ISNUMBER(E4131)),D4131-E4131,""),"")</f>
        <v/>
      </c>
    </row>
    <row r="4132">
      <c r="A4132" s="7">
        <f>IFERROR(Datos!A4132,"")</f>
        <v/>
      </c>
      <c r="B4132" s="8">
        <f>IFERROR(Datos!B4132,"")</f>
        <v/>
      </c>
      <c r="C4132" s="8">
        <f>IFERROR(Datos!C4132,"")</f>
        <v/>
      </c>
      <c r="D4132" s="28">
        <f>IFERROR(IF(AND(ISNUMBER(B4132),ISNUMBER(B4131),B4131&lt;&gt;0),B4132/B4131-1,""),"")</f>
        <v/>
      </c>
      <c r="E4132" s="28">
        <f>IFERROR(IF(AND(ISNUMBER(C4132),ISNUMBER(C4131),C4131&lt;&gt;0),C4132/C4131-1,""),"")</f>
        <v/>
      </c>
      <c r="F4132" s="28">
        <f>IFERROR(D4132-Dashboard!$B$4/252,"")</f>
        <v/>
      </c>
      <c r="G4132" s="28">
        <f>IFERROR(E4132-Dashboard!$B$4/252,"")</f>
        <v/>
      </c>
      <c r="H4132" s="8">
        <f>IFERROR(IF(ISNUMBER(B4132),MAX(B4132,IFERROR(H4131,B4132)),""),"")</f>
        <v/>
      </c>
      <c r="I4132" s="29">
        <f>IFERROR(IF(AND(ISNUMBER(B4132),ISNUMBER(H4132)),B4132/H4132-1,""),"")</f>
        <v/>
      </c>
      <c r="J4132" s="8">
        <f>IFERROR(IF(ISNUMBER(C4132),MAX(C4132,IFERROR(J4131,C4132)),""),"")</f>
        <v/>
      </c>
      <c r="K4132" s="29">
        <f>IFERROR(IF(AND(ISNUMBER(C4132),ISNUMBER(J4132)),C4132/J4132-1,""),"")</f>
        <v/>
      </c>
      <c r="L4132" s="28">
        <f>IFERROR(IF(AND(ISNUMBER(D4132),ISNUMBER(E4132)),D4132-E4132,""),"")</f>
        <v/>
      </c>
    </row>
    <row r="4133">
      <c r="A4133" s="7">
        <f>IFERROR(Datos!A4133,"")</f>
        <v/>
      </c>
      <c r="B4133" s="8">
        <f>IFERROR(Datos!B4133,"")</f>
        <v/>
      </c>
      <c r="C4133" s="8">
        <f>IFERROR(Datos!C4133,"")</f>
        <v/>
      </c>
      <c r="D4133" s="28">
        <f>IFERROR(IF(AND(ISNUMBER(B4133),ISNUMBER(B4132),B4132&lt;&gt;0),B4133/B4132-1,""),"")</f>
        <v/>
      </c>
      <c r="E4133" s="28">
        <f>IFERROR(IF(AND(ISNUMBER(C4133),ISNUMBER(C4132),C4132&lt;&gt;0),C4133/C4132-1,""),"")</f>
        <v/>
      </c>
      <c r="F4133" s="28">
        <f>IFERROR(D4133-Dashboard!$B$4/252,"")</f>
        <v/>
      </c>
      <c r="G4133" s="28">
        <f>IFERROR(E4133-Dashboard!$B$4/252,"")</f>
        <v/>
      </c>
      <c r="H4133" s="8">
        <f>IFERROR(IF(ISNUMBER(B4133),MAX(B4133,IFERROR(H4132,B4133)),""),"")</f>
        <v/>
      </c>
      <c r="I4133" s="29">
        <f>IFERROR(IF(AND(ISNUMBER(B4133),ISNUMBER(H4133)),B4133/H4133-1,""),"")</f>
        <v/>
      </c>
      <c r="J4133" s="8">
        <f>IFERROR(IF(ISNUMBER(C4133),MAX(C4133,IFERROR(J4132,C4133)),""),"")</f>
        <v/>
      </c>
      <c r="K4133" s="29">
        <f>IFERROR(IF(AND(ISNUMBER(C4133),ISNUMBER(J4133)),C4133/J4133-1,""),"")</f>
        <v/>
      </c>
      <c r="L4133" s="28">
        <f>IFERROR(IF(AND(ISNUMBER(D4133),ISNUMBER(E4133)),D4133-E4133,""),"")</f>
        <v/>
      </c>
    </row>
    <row r="4134">
      <c r="A4134" s="7">
        <f>IFERROR(Datos!A4134,"")</f>
        <v/>
      </c>
      <c r="B4134" s="8">
        <f>IFERROR(Datos!B4134,"")</f>
        <v/>
      </c>
      <c r="C4134" s="8">
        <f>IFERROR(Datos!C4134,"")</f>
        <v/>
      </c>
      <c r="D4134" s="28">
        <f>IFERROR(IF(AND(ISNUMBER(B4134),ISNUMBER(B4133),B4133&lt;&gt;0),B4134/B4133-1,""),"")</f>
        <v/>
      </c>
      <c r="E4134" s="28">
        <f>IFERROR(IF(AND(ISNUMBER(C4134),ISNUMBER(C4133),C4133&lt;&gt;0),C4134/C4133-1,""),"")</f>
        <v/>
      </c>
      <c r="F4134" s="28">
        <f>IFERROR(D4134-Dashboard!$B$4/252,"")</f>
        <v/>
      </c>
      <c r="G4134" s="28">
        <f>IFERROR(E4134-Dashboard!$B$4/252,"")</f>
        <v/>
      </c>
      <c r="H4134" s="8">
        <f>IFERROR(IF(ISNUMBER(B4134),MAX(B4134,IFERROR(H4133,B4134)),""),"")</f>
        <v/>
      </c>
      <c r="I4134" s="29">
        <f>IFERROR(IF(AND(ISNUMBER(B4134),ISNUMBER(H4134)),B4134/H4134-1,""),"")</f>
        <v/>
      </c>
      <c r="J4134" s="8">
        <f>IFERROR(IF(ISNUMBER(C4134),MAX(C4134,IFERROR(J4133,C4134)),""),"")</f>
        <v/>
      </c>
      <c r="K4134" s="29">
        <f>IFERROR(IF(AND(ISNUMBER(C4134),ISNUMBER(J4134)),C4134/J4134-1,""),"")</f>
        <v/>
      </c>
      <c r="L4134" s="28">
        <f>IFERROR(IF(AND(ISNUMBER(D4134),ISNUMBER(E4134)),D4134-E4134,""),"")</f>
        <v/>
      </c>
    </row>
    <row r="4135">
      <c r="A4135" s="7">
        <f>IFERROR(Datos!A4135,"")</f>
        <v/>
      </c>
      <c r="B4135" s="8">
        <f>IFERROR(Datos!B4135,"")</f>
        <v/>
      </c>
      <c r="C4135" s="8">
        <f>IFERROR(Datos!C4135,"")</f>
        <v/>
      </c>
      <c r="D4135" s="28">
        <f>IFERROR(IF(AND(ISNUMBER(B4135),ISNUMBER(B4134),B4134&lt;&gt;0),B4135/B4134-1,""),"")</f>
        <v/>
      </c>
      <c r="E4135" s="28">
        <f>IFERROR(IF(AND(ISNUMBER(C4135),ISNUMBER(C4134),C4134&lt;&gt;0),C4135/C4134-1,""),"")</f>
        <v/>
      </c>
      <c r="F4135" s="28">
        <f>IFERROR(D4135-Dashboard!$B$4/252,"")</f>
        <v/>
      </c>
      <c r="G4135" s="28">
        <f>IFERROR(E4135-Dashboard!$B$4/252,"")</f>
        <v/>
      </c>
      <c r="H4135" s="8">
        <f>IFERROR(IF(ISNUMBER(B4135),MAX(B4135,IFERROR(H4134,B4135)),""),"")</f>
        <v/>
      </c>
      <c r="I4135" s="29">
        <f>IFERROR(IF(AND(ISNUMBER(B4135),ISNUMBER(H4135)),B4135/H4135-1,""),"")</f>
        <v/>
      </c>
      <c r="J4135" s="8">
        <f>IFERROR(IF(ISNUMBER(C4135),MAX(C4135,IFERROR(J4134,C4135)),""),"")</f>
        <v/>
      </c>
      <c r="K4135" s="29">
        <f>IFERROR(IF(AND(ISNUMBER(C4135),ISNUMBER(J4135)),C4135/J4135-1,""),"")</f>
        <v/>
      </c>
      <c r="L4135" s="28">
        <f>IFERROR(IF(AND(ISNUMBER(D4135),ISNUMBER(E4135)),D4135-E4135,""),"")</f>
        <v/>
      </c>
    </row>
    <row r="4136">
      <c r="A4136" s="7">
        <f>IFERROR(Datos!A4136,"")</f>
        <v/>
      </c>
      <c r="B4136" s="8">
        <f>IFERROR(Datos!B4136,"")</f>
        <v/>
      </c>
      <c r="C4136" s="8">
        <f>IFERROR(Datos!C4136,"")</f>
        <v/>
      </c>
      <c r="D4136" s="28">
        <f>IFERROR(IF(AND(ISNUMBER(B4136),ISNUMBER(B4135),B4135&lt;&gt;0),B4136/B4135-1,""),"")</f>
        <v/>
      </c>
      <c r="E4136" s="28">
        <f>IFERROR(IF(AND(ISNUMBER(C4136),ISNUMBER(C4135),C4135&lt;&gt;0),C4136/C4135-1,""),"")</f>
        <v/>
      </c>
      <c r="F4136" s="28">
        <f>IFERROR(D4136-Dashboard!$B$4/252,"")</f>
        <v/>
      </c>
      <c r="G4136" s="28">
        <f>IFERROR(E4136-Dashboard!$B$4/252,"")</f>
        <v/>
      </c>
      <c r="H4136" s="8">
        <f>IFERROR(IF(ISNUMBER(B4136),MAX(B4136,IFERROR(H4135,B4136)),""),"")</f>
        <v/>
      </c>
      <c r="I4136" s="29">
        <f>IFERROR(IF(AND(ISNUMBER(B4136),ISNUMBER(H4136)),B4136/H4136-1,""),"")</f>
        <v/>
      </c>
      <c r="J4136" s="8">
        <f>IFERROR(IF(ISNUMBER(C4136),MAX(C4136,IFERROR(J4135,C4136)),""),"")</f>
        <v/>
      </c>
      <c r="K4136" s="29">
        <f>IFERROR(IF(AND(ISNUMBER(C4136),ISNUMBER(J4136)),C4136/J4136-1,""),"")</f>
        <v/>
      </c>
      <c r="L4136" s="28">
        <f>IFERROR(IF(AND(ISNUMBER(D4136),ISNUMBER(E4136)),D4136-E4136,""),"")</f>
        <v/>
      </c>
    </row>
    <row r="4137">
      <c r="A4137" s="7">
        <f>IFERROR(Datos!A4137,"")</f>
        <v/>
      </c>
      <c r="B4137" s="8">
        <f>IFERROR(Datos!B4137,"")</f>
        <v/>
      </c>
      <c r="C4137" s="8">
        <f>IFERROR(Datos!C4137,"")</f>
        <v/>
      </c>
      <c r="D4137" s="28">
        <f>IFERROR(IF(AND(ISNUMBER(B4137),ISNUMBER(B4136),B4136&lt;&gt;0),B4137/B4136-1,""),"")</f>
        <v/>
      </c>
      <c r="E4137" s="28">
        <f>IFERROR(IF(AND(ISNUMBER(C4137),ISNUMBER(C4136),C4136&lt;&gt;0),C4137/C4136-1,""),"")</f>
        <v/>
      </c>
      <c r="F4137" s="28">
        <f>IFERROR(D4137-Dashboard!$B$4/252,"")</f>
        <v/>
      </c>
      <c r="G4137" s="28">
        <f>IFERROR(E4137-Dashboard!$B$4/252,"")</f>
        <v/>
      </c>
      <c r="H4137" s="8">
        <f>IFERROR(IF(ISNUMBER(B4137),MAX(B4137,IFERROR(H4136,B4137)),""),"")</f>
        <v/>
      </c>
      <c r="I4137" s="29">
        <f>IFERROR(IF(AND(ISNUMBER(B4137),ISNUMBER(H4137)),B4137/H4137-1,""),"")</f>
        <v/>
      </c>
      <c r="J4137" s="8">
        <f>IFERROR(IF(ISNUMBER(C4137),MAX(C4137,IFERROR(J4136,C4137)),""),"")</f>
        <v/>
      </c>
      <c r="K4137" s="29">
        <f>IFERROR(IF(AND(ISNUMBER(C4137),ISNUMBER(J4137)),C4137/J4137-1,""),"")</f>
        <v/>
      </c>
      <c r="L4137" s="28">
        <f>IFERROR(IF(AND(ISNUMBER(D4137),ISNUMBER(E4137)),D4137-E4137,""),"")</f>
        <v/>
      </c>
    </row>
    <row r="4138">
      <c r="A4138" s="7">
        <f>IFERROR(Datos!A4138,"")</f>
        <v/>
      </c>
      <c r="B4138" s="8">
        <f>IFERROR(Datos!B4138,"")</f>
        <v/>
      </c>
      <c r="C4138" s="8">
        <f>IFERROR(Datos!C4138,"")</f>
        <v/>
      </c>
      <c r="D4138" s="28">
        <f>IFERROR(IF(AND(ISNUMBER(B4138),ISNUMBER(B4137),B4137&lt;&gt;0),B4138/B4137-1,""),"")</f>
        <v/>
      </c>
      <c r="E4138" s="28">
        <f>IFERROR(IF(AND(ISNUMBER(C4138),ISNUMBER(C4137),C4137&lt;&gt;0),C4138/C4137-1,""),"")</f>
        <v/>
      </c>
      <c r="F4138" s="28">
        <f>IFERROR(D4138-Dashboard!$B$4/252,"")</f>
        <v/>
      </c>
      <c r="G4138" s="28">
        <f>IFERROR(E4138-Dashboard!$B$4/252,"")</f>
        <v/>
      </c>
      <c r="H4138" s="8">
        <f>IFERROR(IF(ISNUMBER(B4138),MAX(B4138,IFERROR(H4137,B4138)),""),"")</f>
        <v/>
      </c>
      <c r="I4138" s="29">
        <f>IFERROR(IF(AND(ISNUMBER(B4138),ISNUMBER(H4138)),B4138/H4138-1,""),"")</f>
        <v/>
      </c>
      <c r="J4138" s="8">
        <f>IFERROR(IF(ISNUMBER(C4138),MAX(C4138,IFERROR(J4137,C4138)),""),"")</f>
        <v/>
      </c>
      <c r="K4138" s="29">
        <f>IFERROR(IF(AND(ISNUMBER(C4138),ISNUMBER(J4138)),C4138/J4138-1,""),"")</f>
        <v/>
      </c>
      <c r="L4138" s="28">
        <f>IFERROR(IF(AND(ISNUMBER(D4138),ISNUMBER(E4138)),D4138-E4138,""),"")</f>
        <v/>
      </c>
    </row>
    <row r="4139">
      <c r="A4139" s="7">
        <f>IFERROR(Datos!A4139,"")</f>
        <v/>
      </c>
      <c r="B4139" s="8">
        <f>IFERROR(Datos!B4139,"")</f>
        <v/>
      </c>
      <c r="C4139" s="8">
        <f>IFERROR(Datos!C4139,"")</f>
        <v/>
      </c>
      <c r="D4139" s="28">
        <f>IFERROR(IF(AND(ISNUMBER(B4139),ISNUMBER(B4138),B4138&lt;&gt;0),B4139/B4138-1,""),"")</f>
        <v/>
      </c>
      <c r="E4139" s="28">
        <f>IFERROR(IF(AND(ISNUMBER(C4139),ISNUMBER(C4138),C4138&lt;&gt;0),C4139/C4138-1,""),"")</f>
        <v/>
      </c>
      <c r="F4139" s="28">
        <f>IFERROR(D4139-Dashboard!$B$4/252,"")</f>
        <v/>
      </c>
      <c r="G4139" s="28">
        <f>IFERROR(E4139-Dashboard!$B$4/252,"")</f>
        <v/>
      </c>
      <c r="H4139" s="8">
        <f>IFERROR(IF(ISNUMBER(B4139),MAX(B4139,IFERROR(H4138,B4139)),""),"")</f>
        <v/>
      </c>
      <c r="I4139" s="29">
        <f>IFERROR(IF(AND(ISNUMBER(B4139),ISNUMBER(H4139)),B4139/H4139-1,""),"")</f>
        <v/>
      </c>
      <c r="J4139" s="8">
        <f>IFERROR(IF(ISNUMBER(C4139),MAX(C4139,IFERROR(J4138,C4139)),""),"")</f>
        <v/>
      </c>
      <c r="K4139" s="29">
        <f>IFERROR(IF(AND(ISNUMBER(C4139),ISNUMBER(J4139)),C4139/J4139-1,""),"")</f>
        <v/>
      </c>
      <c r="L4139" s="28">
        <f>IFERROR(IF(AND(ISNUMBER(D4139),ISNUMBER(E4139)),D4139-E4139,""),"")</f>
        <v/>
      </c>
    </row>
    <row r="4140">
      <c r="A4140" s="7">
        <f>IFERROR(Datos!A4140,"")</f>
        <v/>
      </c>
      <c r="B4140" s="8">
        <f>IFERROR(Datos!B4140,"")</f>
        <v/>
      </c>
      <c r="C4140" s="8">
        <f>IFERROR(Datos!C4140,"")</f>
        <v/>
      </c>
      <c r="D4140" s="28">
        <f>IFERROR(IF(AND(ISNUMBER(B4140),ISNUMBER(B4139),B4139&lt;&gt;0),B4140/B4139-1,""),"")</f>
        <v/>
      </c>
      <c r="E4140" s="28">
        <f>IFERROR(IF(AND(ISNUMBER(C4140),ISNUMBER(C4139),C4139&lt;&gt;0),C4140/C4139-1,""),"")</f>
        <v/>
      </c>
      <c r="F4140" s="28">
        <f>IFERROR(D4140-Dashboard!$B$4/252,"")</f>
        <v/>
      </c>
      <c r="G4140" s="28">
        <f>IFERROR(E4140-Dashboard!$B$4/252,"")</f>
        <v/>
      </c>
      <c r="H4140" s="8">
        <f>IFERROR(IF(ISNUMBER(B4140),MAX(B4140,IFERROR(H4139,B4140)),""),"")</f>
        <v/>
      </c>
      <c r="I4140" s="29">
        <f>IFERROR(IF(AND(ISNUMBER(B4140),ISNUMBER(H4140)),B4140/H4140-1,""),"")</f>
        <v/>
      </c>
      <c r="J4140" s="8">
        <f>IFERROR(IF(ISNUMBER(C4140),MAX(C4140,IFERROR(J4139,C4140)),""),"")</f>
        <v/>
      </c>
      <c r="K4140" s="29">
        <f>IFERROR(IF(AND(ISNUMBER(C4140),ISNUMBER(J4140)),C4140/J4140-1,""),"")</f>
        <v/>
      </c>
      <c r="L4140" s="28">
        <f>IFERROR(IF(AND(ISNUMBER(D4140),ISNUMBER(E4140)),D4140-E4140,""),"")</f>
        <v/>
      </c>
    </row>
    <row r="4141">
      <c r="A4141" s="7">
        <f>IFERROR(Datos!A4141,"")</f>
        <v/>
      </c>
      <c r="B4141" s="8">
        <f>IFERROR(Datos!B4141,"")</f>
        <v/>
      </c>
      <c r="C4141" s="8">
        <f>IFERROR(Datos!C4141,"")</f>
        <v/>
      </c>
      <c r="D4141" s="28">
        <f>IFERROR(IF(AND(ISNUMBER(B4141),ISNUMBER(B4140),B4140&lt;&gt;0),B4141/B4140-1,""),"")</f>
        <v/>
      </c>
      <c r="E4141" s="28">
        <f>IFERROR(IF(AND(ISNUMBER(C4141),ISNUMBER(C4140),C4140&lt;&gt;0),C4141/C4140-1,""),"")</f>
        <v/>
      </c>
      <c r="F4141" s="28">
        <f>IFERROR(D4141-Dashboard!$B$4/252,"")</f>
        <v/>
      </c>
      <c r="G4141" s="28">
        <f>IFERROR(E4141-Dashboard!$B$4/252,"")</f>
        <v/>
      </c>
      <c r="H4141" s="8">
        <f>IFERROR(IF(ISNUMBER(B4141),MAX(B4141,IFERROR(H4140,B4141)),""),"")</f>
        <v/>
      </c>
      <c r="I4141" s="29">
        <f>IFERROR(IF(AND(ISNUMBER(B4141),ISNUMBER(H4141)),B4141/H4141-1,""),"")</f>
        <v/>
      </c>
      <c r="J4141" s="8">
        <f>IFERROR(IF(ISNUMBER(C4141),MAX(C4141,IFERROR(J4140,C4141)),""),"")</f>
        <v/>
      </c>
      <c r="K4141" s="29">
        <f>IFERROR(IF(AND(ISNUMBER(C4141),ISNUMBER(J4141)),C4141/J4141-1,""),"")</f>
        <v/>
      </c>
      <c r="L4141" s="28">
        <f>IFERROR(IF(AND(ISNUMBER(D4141),ISNUMBER(E4141)),D4141-E4141,""),"")</f>
        <v/>
      </c>
    </row>
    <row r="4142">
      <c r="A4142" s="7">
        <f>IFERROR(Datos!A4142,"")</f>
        <v/>
      </c>
      <c r="B4142" s="8">
        <f>IFERROR(Datos!B4142,"")</f>
        <v/>
      </c>
      <c r="C4142" s="8">
        <f>IFERROR(Datos!C4142,"")</f>
        <v/>
      </c>
      <c r="D4142" s="28">
        <f>IFERROR(IF(AND(ISNUMBER(B4142),ISNUMBER(B4141),B4141&lt;&gt;0),B4142/B4141-1,""),"")</f>
        <v/>
      </c>
      <c r="E4142" s="28">
        <f>IFERROR(IF(AND(ISNUMBER(C4142),ISNUMBER(C4141),C4141&lt;&gt;0),C4142/C4141-1,""),"")</f>
        <v/>
      </c>
      <c r="F4142" s="28">
        <f>IFERROR(D4142-Dashboard!$B$4/252,"")</f>
        <v/>
      </c>
      <c r="G4142" s="28">
        <f>IFERROR(E4142-Dashboard!$B$4/252,"")</f>
        <v/>
      </c>
      <c r="H4142" s="8">
        <f>IFERROR(IF(ISNUMBER(B4142),MAX(B4142,IFERROR(H4141,B4142)),""),"")</f>
        <v/>
      </c>
      <c r="I4142" s="29">
        <f>IFERROR(IF(AND(ISNUMBER(B4142),ISNUMBER(H4142)),B4142/H4142-1,""),"")</f>
        <v/>
      </c>
      <c r="J4142" s="8">
        <f>IFERROR(IF(ISNUMBER(C4142),MAX(C4142,IFERROR(J4141,C4142)),""),"")</f>
        <v/>
      </c>
      <c r="K4142" s="29">
        <f>IFERROR(IF(AND(ISNUMBER(C4142),ISNUMBER(J4142)),C4142/J4142-1,""),"")</f>
        <v/>
      </c>
      <c r="L4142" s="28">
        <f>IFERROR(IF(AND(ISNUMBER(D4142),ISNUMBER(E4142)),D4142-E4142,""),"")</f>
        <v/>
      </c>
    </row>
    <row r="4143">
      <c r="A4143" s="7">
        <f>IFERROR(Datos!A4143,"")</f>
        <v/>
      </c>
      <c r="B4143" s="8">
        <f>IFERROR(Datos!B4143,"")</f>
        <v/>
      </c>
      <c r="C4143" s="8">
        <f>IFERROR(Datos!C4143,"")</f>
        <v/>
      </c>
      <c r="D4143" s="28">
        <f>IFERROR(IF(AND(ISNUMBER(B4143),ISNUMBER(B4142),B4142&lt;&gt;0),B4143/B4142-1,""),"")</f>
        <v/>
      </c>
      <c r="E4143" s="28">
        <f>IFERROR(IF(AND(ISNUMBER(C4143),ISNUMBER(C4142),C4142&lt;&gt;0),C4143/C4142-1,""),"")</f>
        <v/>
      </c>
      <c r="F4143" s="28">
        <f>IFERROR(D4143-Dashboard!$B$4/252,"")</f>
        <v/>
      </c>
      <c r="G4143" s="28">
        <f>IFERROR(E4143-Dashboard!$B$4/252,"")</f>
        <v/>
      </c>
      <c r="H4143" s="8">
        <f>IFERROR(IF(ISNUMBER(B4143),MAX(B4143,IFERROR(H4142,B4143)),""),"")</f>
        <v/>
      </c>
      <c r="I4143" s="29">
        <f>IFERROR(IF(AND(ISNUMBER(B4143),ISNUMBER(H4143)),B4143/H4143-1,""),"")</f>
        <v/>
      </c>
      <c r="J4143" s="8">
        <f>IFERROR(IF(ISNUMBER(C4143),MAX(C4143,IFERROR(J4142,C4143)),""),"")</f>
        <v/>
      </c>
      <c r="K4143" s="29">
        <f>IFERROR(IF(AND(ISNUMBER(C4143),ISNUMBER(J4143)),C4143/J4143-1,""),"")</f>
        <v/>
      </c>
      <c r="L4143" s="28">
        <f>IFERROR(IF(AND(ISNUMBER(D4143),ISNUMBER(E4143)),D4143-E4143,""),"")</f>
        <v/>
      </c>
    </row>
    <row r="4144">
      <c r="A4144" s="7">
        <f>IFERROR(Datos!A4144,"")</f>
        <v/>
      </c>
      <c r="B4144" s="8">
        <f>IFERROR(Datos!B4144,"")</f>
        <v/>
      </c>
      <c r="C4144" s="8">
        <f>IFERROR(Datos!C4144,"")</f>
        <v/>
      </c>
      <c r="D4144" s="28">
        <f>IFERROR(IF(AND(ISNUMBER(B4144),ISNUMBER(B4143),B4143&lt;&gt;0),B4144/B4143-1,""),"")</f>
        <v/>
      </c>
      <c r="E4144" s="28">
        <f>IFERROR(IF(AND(ISNUMBER(C4144),ISNUMBER(C4143),C4143&lt;&gt;0),C4144/C4143-1,""),"")</f>
        <v/>
      </c>
      <c r="F4144" s="28">
        <f>IFERROR(D4144-Dashboard!$B$4/252,"")</f>
        <v/>
      </c>
      <c r="G4144" s="28">
        <f>IFERROR(E4144-Dashboard!$B$4/252,"")</f>
        <v/>
      </c>
      <c r="H4144" s="8">
        <f>IFERROR(IF(ISNUMBER(B4144),MAX(B4144,IFERROR(H4143,B4144)),""),"")</f>
        <v/>
      </c>
      <c r="I4144" s="29">
        <f>IFERROR(IF(AND(ISNUMBER(B4144),ISNUMBER(H4144)),B4144/H4144-1,""),"")</f>
        <v/>
      </c>
      <c r="J4144" s="8">
        <f>IFERROR(IF(ISNUMBER(C4144),MAX(C4144,IFERROR(J4143,C4144)),""),"")</f>
        <v/>
      </c>
      <c r="K4144" s="29">
        <f>IFERROR(IF(AND(ISNUMBER(C4144),ISNUMBER(J4144)),C4144/J4144-1,""),"")</f>
        <v/>
      </c>
      <c r="L4144" s="28">
        <f>IFERROR(IF(AND(ISNUMBER(D4144),ISNUMBER(E4144)),D4144-E4144,""),"")</f>
        <v/>
      </c>
    </row>
    <row r="4145">
      <c r="A4145" s="7">
        <f>IFERROR(Datos!A4145,"")</f>
        <v/>
      </c>
      <c r="B4145" s="8">
        <f>IFERROR(Datos!B4145,"")</f>
        <v/>
      </c>
      <c r="C4145" s="8">
        <f>IFERROR(Datos!C4145,"")</f>
        <v/>
      </c>
      <c r="D4145" s="28">
        <f>IFERROR(IF(AND(ISNUMBER(B4145),ISNUMBER(B4144),B4144&lt;&gt;0),B4145/B4144-1,""),"")</f>
        <v/>
      </c>
      <c r="E4145" s="28">
        <f>IFERROR(IF(AND(ISNUMBER(C4145),ISNUMBER(C4144),C4144&lt;&gt;0),C4145/C4144-1,""),"")</f>
        <v/>
      </c>
      <c r="F4145" s="28">
        <f>IFERROR(D4145-Dashboard!$B$4/252,"")</f>
        <v/>
      </c>
      <c r="G4145" s="28">
        <f>IFERROR(E4145-Dashboard!$B$4/252,"")</f>
        <v/>
      </c>
      <c r="H4145" s="8">
        <f>IFERROR(IF(ISNUMBER(B4145),MAX(B4145,IFERROR(H4144,B4145)),""),"")</f>
        <v/>
      </c>
      <c r="I4145" s="29">
        <f>IFERROR(IF(AND(ISNUMBER(B4145),ISNUMBER(H4145)),B4145/H4145-1,""),"")</f>
        <v/>
      </c>
      <c r="J4145" s="8">
        <f>IFERROR(IF(ISNUMBER(C4145),MAX(C4145,IFERROR(J4144,C4145)),""),"")</f>
        <v/>
      </c>
      <c r="K4145" s="29">
        <f>IFERROR(IF(AND(ISNUMBER(C4145),ISNUMBER(J4145)),C4145/J4145-1,""),"")</f>
        <v/>
      </c>
      <c r="L4145" s="28">
        <f>IFERROR(IF(AND(ISNUMBER(D4145),ISNUMBER(E4145)),D4145-E4145,""),"")</f>
        <v/>
      </c>
    </row>
    <row r="4146">
      <c r="A4146" s="7">
        <f>IFERROR(Datos!A4146,"")</f>
        <v/>
      </c>
      <c r="B4146" s="8">
        <f>IFERROR(Datos!B4146,"")</f>
        <v/>
      </c>
      <c r="C4146" s="8">
        <f>IFERROR(Datos!C4146,"")</f>
        <v/>
      </c>
      <c r="D4146" s="28">
        <f>IFERROR(IF(AND(ISNUMBER(B4146),ISNUMBER(B4145),B4145&lt;&gt;0),B4146/B4145-1,""),"")</f>
        <v/>
      </c>
      <c r="E4146" s="28">
        <f>IFERROR(IF(AND(ISNUMBER(C4146),ISNUMBER(C4145),C4145&lt;&gt;0),C4146/C4145-1,""),"")</f>
        <v/>
      </c>
      <c r="F4146" s="28">
        <f>IFERROR(D4146-Dashboard!$B$4/252,"")</f>
        <v/>
      </c>
      <c r="G4146" s="28">
        <f>IFERROR(E4146-Dashboard!$B$4/252,"")</f>
        <v/>
      </c>
      <c r="H4146" s="8">
        <f>IFERROR(IF(ISNUMBER(B4146),MAX(B4146,IFERROR(H4145,B4146)),""),"")</f>
        <v/>
      </c>
      <c r="I4146" s="29">
        <f>IFERROR(IF(AND(ISNUMBER(B4146),ISNUMBER(H4146)),B4146/H4146-1,""),"")</f>
        <v/>
      </c>
      <c r="J4146" s="8">
        <f>IFERROR(IF(ISNUMBER(C4146),MAX(C4146,IFERROR(J4145,C4146)),""),"")</f>
        <v/>
      </c>
      <c r="K4146" s="29">
        <f>IFERROR(IF(AND(ISNUMBER(C4146),ISNUMBER(J4146)),C4146/J4146-1,""),"")</f>
        <v/>
      </c>
      <c r="L4146" s="28">
        <f>IFERROR(IF(AND(ISNUMBER(D4146),ISNUMBER(E4146)),D4146-E4146,""),"")</f>
        <v/>
      </c>
    </row>
    <row r="4147">
      <c r="A4147" s="7">
        <f>IFERROR(Datos!A4147,"")</f>
        <v/>
      </c>
      <c r="B4147" s="8">
        <f>IFERROR(Datos!B4147,"")</f>
        <v/>
      </c>
      <c r="C4147" s="8">
        <f>IFERROR(Datos!C4147,"")</f>
        <v/>
      </c>
      <c r="D4147" s="28">
        <f>IFERROR(IF(AND(ISNUMBER(B4147),ISNUMBER(B4146),B4146&lt;&gt;0),B4147/B4146-1,""),"")</f>
        <v/>
      </c>
      <c r="E4147" s="28">
        <f>IFERROR(IF(AND(ISNUMBER(C4147),ISNUMBER(C4146),C4146&lt;&gt;0),C4147/C4146-1,""),"")</f>
        <v/>
      </c>
      <c r="F4147" s="28">
        <f>IFERROR(D4147-Dashboard!$B$4/252,"")</f>
        <v/>
      </c>
      <c r="G4147" s="28">
        <f>IFERROR(E4147-Dashboard!$B$4/252,"")</f>
        <v/>
      </c>
      <c r="H4147" s="8">
        <f>IFERROR(IF(ISNUMBER(B4147),MAX(B4147,IFERROR(H4146,B4147)),""),"")</f>
        <v/>
      </c>
      <c r="I4147" s="29">
        <f>IFERROR(IF(AND(ISNUMBER(B4147),ISNUMBER(H4147)),B4147/H4147-1,""),"")</f>
        <v/>
      </c>
      <c r="J4147" s="8">
        <f>IFERROR(IF(ISNUMBER(C4147),MAX(C4147,IFERROR(J4146,C4147)),""),"")</f>
        <v/>
      </c>
      <c r="K4147" s="29">
        <f>IFERROR(IF(AND(ISNUMBER(C4147),ISNUMBER(J4147)),C4147/J4147-1,""),"")</f>
        <v/>
      </c>
      <c r="L4147" s="28">
        <f>IFERROR(IF(AND(ISNUMBER(D4147),ISNUMBER(E4147)),D4147-E4147,""),"")</f>
        <v/>
      </c>
    </row>
    <row r="4148">
      <c r="A4148" s="7">
        <f>IFERROR(Datos!A4148,"")</f>
        <v/>
      </c>
      <c r="B4148" s="8">
        <f>IFERROR(Datos!B4148,"")</f>
        <v/>
      </c>
      <c r="C4148" s="8">
        <f>IFERROR(Datos!C4148,"")</f>
        <v/>
      </c>
      <c r="D4148" s="28">
        <f>IFERROR(IF(AND(ISNUMBER(B4148),ISNUMBER(B4147),B4147&lt;&gt;0),B4148/B4147-1,""),"")</f>
        <v/>
      </c>
      <c r="E4148" s="28">
        <f>IFERROR(IF(AND(ISNUMBER(C4148),ISNUMBER(C4147),C4147&lt;&gt;0),C4148/C4147-1,""),"")</f>
        <v/>
      </c>
      <c r="F4148" s="28">
        <f>IFERROR(D4148-Dashboard!$B$4/252,"")</f>
        <v/>
      </c>
      <c r="G4148" s="28">
        <f>IFERROR(E4148-Dashboard!$B$4/252,"")</f>
        <v/>
      </c>
      <c r="H4148" s="8">
        <f>IFERROR(IF(ISNUMBER(B4148),MAX(B4148,IFERROR(H4147,B4148)),""),"")</f>
        <v/>
      </c>
      <c r="I4148" s="29">
        <f>IFERROR(IF(AND(ISNUMBER(B4148),ISNUMBER(H4148)),B4148/H4148-1,""),"")</f>
        <v/>
      </c>
      <c r="J4148" s="8">
        <f>IFERROR(IF(ISNUMBER(C4148),MAX(C4148,IFERROR(J4147,C4148)),""),"")</f>
        <v/>
      </c>
      <c r="K4148" s="29">
        <f>IFERROR(IF(AND(ISNUMBER(C4148),ISNUMBER(J4148)),C4148/J4148-1,""),"")</f>
        <v/>
      </c>
      <c r="L4148" s="28">
        <f>IFERROR(IF(AND(ISNUMBER(D4148),ISNUMBER(E4148)),D4148-E4148,""),"")</f>
        <v/>
      </c>
    </row>
    <row r="4149">
      <c r="A4149" s="7">
        <f>IFERROR(Datos!A4149,"")</f>
        <v/>
      </c>
      <c r="B4149" s="8">
        <f>IFERROR(Datos!B4149,"")</f>
        <v/>
      </c>
      <c r="C4149" s="8">
        <f>IFERROR(Datos!C4149,"")</f>
        <v/>
      </c>
      <c r="D4149" s="28">
        <f>IFERROR(IF(AND(ISNUMBER(B4149),ISNUMBER(B4148),B4148&lt;&gt;0),B4149/B4148-1,""),"")</f>
        <v/>
      </c>
      <c r="E4149" s="28">
        <f>IFERROR(IF(AND(ISNUMBER(C4149),ISNUMBER(C4148),C4148&lt;&gt;0),C4149/C4148-1,""),"")</f>
        <v/>
      </c>
      <c r="F4149" s="28">
        <f>IFERROR(D4149-Dashboard!$B$4/252,"")</f>
        <v/>
      </c>
      <c r="G4149" s="28">
        <f>IFERROR(E4149-Dashboard!$B$4/252,"")</f>
        <v/>
      </c>
      <c r="H4149" s="8">
        <f>IFERROR(IF(ISNUMBER(B4149),MAX(B4149,IFERROR(H4148,B4149)),""),"")</f>
        <v/>
      </c>
      <c r="I4149" s="29">
        <f>IFERROR(IF(AND(ISNUMBER(B4149),ISNUMBER(H4149)),B4149/H4149-1,""),"")</f>
        <v/>
      </c>
      <c r="J4149" s="8">
        <f>IFERROR(IF(ISNUMBER(C4149),MAX(C4149,IFERROR(J4148,C4149)),""),"")</f>
        <v/>
      </c>
      <c r="K4149" s="29">
        <f>IFERROR(IF(AND(ISNUMBER(C4149),ISNUMBER(J4149)),C4149/J4149-1,""),"")</f>
        <v/>
      </c>
      <c r="L4149" s="28">
        <f>IFERROR(IF(AND(ISNUMBER(D4149),ISNUMBER(E4149)),D4149-E4149,""),"")</f>
        <v/>
      </c>
    </row>
    <row r="4150">
      <c r="A4150" s="7">
        <f>IFERROR(Datos!A4150,"")</f>
        <v/>
      </c>
      <c r="B4150" s="8">
        <f>IFERROR(Datos!B4150,"")</f>
        <v/>
      </c>
      <c r="C4150" s="8">
        <f>IFERROR(Datos!C4150,"")</f>
        <v/>
      </c>
      <c r="D4150" s="28">
        <f>IFERROR(IF(AND(ISNUMBER(B4150),ISNUMBER(B4149),B4149&lt;&gt;0),B4150/B4149-1,""),"")</f>
        <v/>
      </c>
      <c r="E4150" s="28">
        <f>IFERROR(IF(AND(ISNUMBER(C4150),ISNUMBER(C4149),C4149&lt;&gt;0),C4150/C4149-1,""),"")</f>
        <v/>
      </c>
      <c r="F4150" s="28">
        <f>IFERROR(D4150-Dashboard!$B$4/252,"")</f>
        <v/>
      </c>
      <c r="G4150" s="28">
        <f>IFERROR(E4150-Dashboard!$B$4/252,"")</f>
        <v/>
      </c>
      <c r="H4150" s="8">
        <f>IFERROR(IF(ISNUMBER(B4150),MAX(B4150,IFERROR(H4149,B4150)),""),"")</f>
        <v/>
      </c>
      <c r="I4150" s="29">
        <f>IFERROR(IF(AND(ISNUMBER(B4150),ISNUMBER(H4150)),B4150/H4150-1,""),"")</f>
        <v/>
      </c>
      <c r="J4150" s="8">
        <f>IFERROR(IF(ISNUMBER(C4150),MAX(C4150,IFERROR(J4149,C4150)),""),"")</f>
        <v/>
      </c>
      <c r="K4150" s="29">
        <f>IFERROR(IF(AND(ISNUMBER(C4150),ISNUMBER(J4150)),C4150/J4150-1,""),"")</f>
        <v/>
      </c>
      <c r="L4150" s="28">
        <f>IFERROR(IF(AND(ISNUMBER(D4150),ISNUMBER(E4150)),D4150-E4150,""),"")</f>
        <v/>
      </c>
    </row>
    <row r="4151">
      <c r="A4151" s="7">
        <f>IFERROR(Datos!A4151,"")</f>
        <v/>
      </c>
      <c r="B4151" s="8">
        <f>IFERROR(Datos!B4151,"")</f>
        <v/>
      </c>
      <c r="C4151" s="8">
        <f>IFERROR(Datos!C4151,"")</f>
        <v/>
      </c>
      <c r="D4151" s="28">
        <f>IFERROR(IF(AND(ISNUMBER(B4151),ISNUMBER(B4150),B4150&lt;&gt;0),B4151/B4150-1,""),"")</f>
        <v/>
      </c>
      <c r="E4151" s="28">
        <f>IFERROR(IF(AND(ISNUMBER(C4151),ISNUMBER(C4150),C4150&lt;&gt;0),C4151/C4150-1,""),"")</f>
        <v/>
      </c>
      <c r="F4151" s="28">
        <f>IFERROR(D4151-Dashboard!$B$4/252,"")</f>
        <v/>
      </c>
      <c r="G4151" s="28">
        <f>IFERROR(E4151-Dashboard!$B$4/252,"")</f>
        <v/>
      </c>
      <c r="H4151" s="8">
        <f>IFERROR(IF(ISNUMBER(B4151),MAX(B4151,IFERROR(H4150,B4151)),""),"")</f>
        <v/>
      </c>
      <c r="I4151" s="29">
        <f>IFERROR(IF(AND(ISNUMBER(B4151),ISNUMBER(H4151)),B4151/H4151-1,""),"")</f>
        <v/>
      </c>
      <c r="J4151" s="8">
        <f>IFERROR(IF(ISNUMBER(C4151),MAX(C4151,IFERROR(J4150,C4151)),""),"")</f>
        <v/>
      </c>
      <c r="K4151" s="29">
        <f>IFERROR(IF(AND(ISNUMBER(C4151),ISNUMBER(J4151)),C4151/J4151-1,""),"")</f>
        <v/>
      </c>
      <c r="L4151" s="28">
        <f>IFERROR(IF(AND(ISNUMBER(D4151),ISNUMBER(E4151)),D4151-E4151,""),"")</f>
        <v/>
      </c>
    </row>
    <row r="4152">
      <c r="A4152" s="7">
        <f>IFERROR(Datos!A4152,"")</f>
        <v/>
      </c>
      <c r="B4152" s="8">
        <f>IFERROR(Datos!B4152,"")</f>
        <v/>
      </c>
      <c r="C4152" s="8">
        <f>IFERROR(Datos!C4152,"")</f>
        <v/>
      </c>
      <c r="D4152" s="28">
        <f>IFERROR(IF(AND(ISNUMBER(B4152),ISNUMBER(B4151),B4151&lt;&gt;0),B4152/B4151-1,""),"")</f>
        <v/>
      </c>
      <c r="E4152" s="28">
        <f>IFERROR(IF(AND(ISNUMBER(C4152),ISNUMBER(C4151),C4151&lt;&gt;0),C4152/C4151-1,""),"")</f>
        <v/>
      </c>
      <c r="F4152" s="28">
        <f>IFERROR(D4152-Dashboard!$B$4/252,"")</f>
        <v/>
      </c>
      <c r="G4152" s="28">
        <f>IFERROR(E4152-Dashboard!$B$4/252,"")</f>
        <v/>
      </c>
      <c r="H4152" s="8">
        <f>IFERROR(IF(ISNUMBER(B4152),MAX(B4152,IFERROR(H4151,B4152)),""),"")</f>
        <v/>
      </c>
      <c r="I4152" s="29">
        <f>IFERROR(IF(AND(ISNUMBER(B4152),ISNUMBER(H4152)),B4152/H4152-1,""),"")</f>
        <v/>
      </c>
      <c r="J4152" s="8">
        <f>IFERROR(IF(ISNUMBER(C4152),MAX(C4152,IFERROR(J4151,C4152)),""),"")</f>
        <v/>
      </c>
      <c r="K4152" s="29">
        <f>IFERROR(IF(AND(ISNUMBER(C4152),ISNUMBER(J4152)),C4152/J4152-1,""),"")</f>
        <v/>
      </c>
      <c r="L4152" s="28">
        <f>IFERROR(IF(AND(ISNUMBER(D4152),ISNUMBER(E4152)),D4152-E4152,""),"")</f>
        <v/>
      </c>
    </row>
    <row r="4153">
      <c r="A4153" s="7">
        <f>IFERROR(Datos!A4153,"")</f>
        <v/>
      </c>
      <c r="B4153" s="8">
        <f>IFERROR(Datos!B4153,"")</f>
        <v/>
      </c>
      <c r="C4153" s="8">
        <f>IFERROR(Datos!C4153,"")</f>
        <v/>
      </c>
      <c r="D4153" s="28">
        <f>IFERROR(IF(AND(ISNUMBER(B4153),ISNUMBER(B4152),B4152&lt;&gt;0),B4153/B4152-1,""),"")</f>
        <v/>
      </c>
      <c r="E4153" s="28">
        <f>IFERROR(IF(AND(ISNUMBER(C4153),ISNUMBER(C4152),C4152&lt;&gt;0),C4153/C4152-1,""),"")</f>
        <v/>
      </c>
      <c r="F4153" s="28">
        <f>IFERROR(D4153-Dashboard!$B$4/252,"")</f>
        <v/>
      </c>
      <c r="G4153" s="28">
        <f>IFERROR(E4153-Dashboard!$B$4/252,"")</f>
        <v/>
      </c>
      <c r="H4153" s="8">
        <f>IFERROR(IF(ISNUMBER(B4153),MAX(B4153,IFERROR(H4152,B4153)),""),"")</f>
        <v/>
      </c>
      <c r="I4153" s="29">
        <f>IFERROR(IF(AND(ISNUMBER(B4153),ISNUMBER(H4153)),B4153/H4153-1,""),"")</f>
        <v/>
      </c>
      <c r="J4153" s="8">
        <f>IFERROR(IF(ISNUMBER(C4153),MAX(C4153,IFERROR(J4152,C4153)),""),"")</f>
        <v/>
      </c>
      <c r="K4153" s="29">
        <f>IFERROR(IF(AND(ISNUMBER(C4153),ISNUMBER(J4153)),C4153/J4153-1,""),"")</f>
        <v/>
      </c>
      <c r="L4153" s="28">
        <f>IFERROR(IF(AND(ISNUMBER(D4153),ISNUMBER(E4153)),D4153-E4153,""),"")</f>
        <v/>
      </c>
    </row>
    <row r="4154">
      <c r="A4154" s="7">
        <f>IFERROR(Datos!A4154,"")</f>
        <v/>
      </c>
      <c r="B4154" s="8">
        <f>IFERROR(Datos!B4154,"")</f>
        <v/>
      </c>
      <c r="C4154" s="8">
        <f>IFERROR(Datos!C4154,"")</f>
        <v/>
      </c>
      <c r="D4154" s="28">
        <f>IFERROR(IF(AND(ISNUMBER(B4154),ISNUMBER(B4153),B4153&lt;&gt;0),B4154/B4153-1,""),"")</f>
        <v/>
      </c>
      <c r="E4154" s="28">
        <f>IFERROR(IF(AND(ISNUMBER(C4154),ISNUMBER(C4153),C4153&lt;&gt;0),C4154/C4153-1,""),"")</f>
        <v/>
      </c>
      <c r="F4154" s="28">
        <f>IFERROR(D4154-Dashboard!$B$4/252,"")</f>
        <v/>
      </c>
      <c r="G4154" s="28">
        <f>IFERROR(E4154-Dashboard!$B$4/252,"")</f>
        <v/>
      </c>
      <c r="H4154" s="8">
        <f>IFERROR(IF(ISNUMBER(B4154),MAX(B4154,IFERROR(H4153,B4154)),""),"")</f>
        <v/>
      </c>
      <c r="I4154" s="29">
        <f>IFERROR(IF(AND(ISNUMBER(B4154),ISNUMBER(H4154)),B4154/H4154-1,""),"")</f>
        <v/>
      </c>
      <c r="J4154" s="8">
        <f>IFERROR(IF(ISNUMBER(C4154),MAX(C4154,IFERROR(J4153,C4154)),""),"")</f>
        <v/>
      </c>
      <c r="K4154" s="29">
        <f>IFERROR(IF(AND(ISNUMBER(C4154),ISNUMBER(J4154)),C4154/J4154-1,""),"")</f>
        <v/>
      </c>
      <c r="L4154" s="28">
        <f>IFERROR(IF(AND(ISNUMBER(D4154),ISNUMBER(E4154)),D4154-E4154,""),"")</f>
        <v/>
      </c>
    </row>
    <row r="4155">
      <c r="A4155" s="7">
        <f>IFERROR(Datos!A4155,"")</f>
        <v/>
      </c>
      <c r="B4155" s="8">
        <f>IFERROR(Datos!B4155,"")</f>
        <v/>
      </c>
      <c r="C4155" s="8">
        <f>IFERROR(Datos!C4155,"")</f>
        <v/>
      </c>
      <c r="D4155" s="28">
        <f>IFERROR(IF(AND(ISNUMBER(B4155),ISNUMBER(B4154),B4154&lt;&gt;0),B4155/B4154-1,""),"")</f>
        <v/>
      </c>
      <c r="E4155" s="28">
        <f>IFERROR(IF(AND(ISNUMBER(C4155),ISNUMBER(C4154),C4154&lt;&gt;0),C4155/C4154-1,""),"")</f>
        <v/>
      </c>
      <c r="F4155" s="28">
        <f>IFERROR(D4155-Dashboard!$B$4/252,"")</f>
        <v/>
      </c>
      <c r="G4155" s="28">
        <f>IFERROR(E4155-Dashboard!$B$4/252,"")</f>
        <v/>
      </c>
      <c r="H4155" s="8">
        <f>IFERROR(IF(ISNUMBER(B4155),MAX(B4155,IFERROR(H4154,B4155)),""),"")</f>
        <v/>
      </c>
      <c r="I4155" s="29">
        <f>IFERROR(IF(AND(ISNUMBER(B4155),ISNUMBER(H4155)),B4155/H4155-1,""),"")</f>
        <v/>
      </c>
      <c r="J4155" s="8">
        <f>IFERROR(IF(ISNUMBER(C4155),MAX(C4155,IFERROR(J4154,C4155)),""),"")</f>
        <v/>
      </c>
      <c r="K4155" s="29">
        <f>IFERROR(IF(AND(ISNUMBER(C4155),ISNUMBER(J4155)),C4155/J4155-1,""),"")</f>
        <v/>
      </c>
      <c r="L4155" s="28">
        <f>IFERROR(IF(AND(ISNUMBER(D4155),ISNUMBER(E4155)),D4155-E4155,""),"")</f>
        <v/>
      </c>
    </row>
    <row r="4156">
      <c r="A4156" s="7">
        <f>IFERROR(Datos!A4156,"")</f>
        <v/>
      </c>
      <c r="B4156" s="8">
        <f>IFERROR(Datos!B4156,"")</f>
        <v/>
      </c>
      <c r="C4156" s="8">
        <f>IFERROR(Datos!C4156,"")</f>
        <v/>
      </c>
      <c r="D4156" s="28">
        <f>IFERROR(IF(AND(ISNUMBER(B4156),ISNUMBER(B4155),B4155&lt;&gt;0),B4156/B4155-1,""),"")</f>
        <v/>
      </c>
      <c r="E4156" s="28">
        <f>IFERROR(IF(AND(ISNUMBER(C4156),ISNUMBER(C4155),C4155&lt;&gt;0),C4156/C4155-1,""),"")</f>
        <v/>
      </c>
      <c r="F4156" s="28">
        <f>IFERROR(D4156-Dashboard!$B$4/252,"")</f>
        <v/>
      </c>
      <c r="G4156" s="28">
        <f>IFERROR(E4156-Dashboard!$B$4/252,"")</f>
        <v/>
      </c>
      <c r="H4156" s="8">
        <f>IFERROR(IF(ISNUMBER(B4156),MAX(B4156,IFERROR(H4155,B4156)),""),"")</f>
        <v/>
      </c>
      <c r="I4156" s="29">
        <f>IFERROR(IF(AND(ISNUMBER(B4156),ISNUMBER(H4156)),B4156/H4156-1,""),"")</f>
        <v/>
      </c>
      <c r="J4156" s="8">
        <f>IFERROR(IF(ISNUMBER(C4156),MAX(C4156,IFERROR(J4155,C4156)),""),"")</f>
        <v/>
      </c>
      <c r="K4156" s="29">
        <f>IFERROR(IF(AND(ISNUMBER(C4156),ISNUMBER(J4156)),C4156/J4156-1,""),"")</f>
        <v/>
      </c>
      <c r="L4156" s="28">
        <f>IFERROR(IF(AND(ISNUMBER(D4156),ISNUMBER(E4156)),D4156-E4156,""),"")</f>
        <v/>
      </c>
    </row>
    <row r="4157">
      <c r="A4157" s="7">
        <f>IFERROR(Datos!A4157,"")</f>
        <v/>
      </c>
      <c r="B4157" s="8">
        <f>IFERROR(Datos!B4157,"")</f>
        <v/>
      </c>
      <c r="C4157" s="8">
        <f>IFERROR(Datos!C4157,"")</f>
        <v/>
      </c>
      <c r="D4157" s="28">
        <f>IFERROR(IF(AND(ISNUMBER(B4157),ISNUMBER(B4156),B4156&lt;&gt;0),B4157/B4156-1,""),"")</f>
        <v/>
      </c>
      <c r="E4157" s="28">
        <f>IFERROR(IF(AND(ISNUMBER(C4157),ISNUMBER(C4156),C4156&lt;&gt;0),C4157/C4156-1,""),"")</f>
        <v/>
      </c>
      <c r="F4157" s="28">
        <f>IFERROR(D4157-Dashboard!$B$4/252,"")</f>
        <v/>
      </c>
      <c r="G4157" s="28">
        <f>IFERROR(E4157-Dashboard!$B$4/252,"")</f>
        <v/>
      </c>
      <c r="H4157" s="8">
        <f>IFERROR(IF(ISNUMBER(B4157),MAX(B4157,IFERROR(H4156,B4157)),""),"")</f>
        <v/>
      </c>
      <c r="I4157" s="29">
        <f>IFERROR(IF(AND(ISNUMBER(B4157),ISNUMBER(H4157)),B4157/H4157-1,""),"")</f>
        <v/>
      </c>
      <c r="J4157" s="8">
        <f>IFERROR(IF(ISNUMBER(C4157),MAX(C4157,IFERROR(J4156,C4157)),""),"")</f>
        <v/>
      </c>
      <c r="K4157" s="29">
        <f>IFERROR(IF(AND(ISNUMBER(C4157),ISNUMBER(J4157)),C4157/J4157-1,""),"")</f>
        <v/>
      </c>
      <c r="L4157" s="28">
        <f>IFERROR(IF(AND(ISNUMBER(D4157),ISNUMBER(E4157)),D4157-E4157,""),"")</f>
        <v/>
      </c>
    </row>
    <row r="4158">
      <c r="A4158" s="7">
        <f>IFERROR(Datos!A4158,"")</f>
        <v/>
      </c>
      <c r="B4158" s="8">
        <f>IFERROR(Datos!B4158,"")</f>
        <v/>
      </c>
      <c r="C4158" s="8">
        <f>IFERROR(Datos!C4158,"")</f>
        <v/>
      </c>
      <c r="D4158" s="28">
        <f>IFERROR(IF(AND(ISNUMBER(B4158),ISNUMBER(B4157),B4157&lt;&gt;0),B4158/B4157-1,""),"")</f>
        <v/>
      </c>
      <c r="E4158" s="28">
        <f>IFERROR(IF(AND(ISNUMBER(C4158),ISNUMBER(C4157),C4157&lt;&gt;0),C4158/C4157-1,""),"")</f>
        <v/>
      </c>
      <c r="F4158" s="28">
        <f>IFERROR(D4158-Dashboard!$B$4/252,"")</f>
        <v/>
      </c>
      <c r="G4158" s="28">
        <f>IFERROR(E4158-Dashboard!$B$4/252,"")</f>
        <v/>
      </c>
      <c r="H4158" s="8">
        <f>IFERROR(IF(ISNUMBER(B4158),MAX(B4158,IFERROR(H4157,B4158)),""),"")</f>
        <v/>
      </c>
      <c r="I4158" s="29">
        <f>IFERROR(IF(AND(ISNUMBER(B4158),ISNUMBER(H4158)),B4158/H4158-1,""),"")</f>
        <v/>
      </c>
      <c r="J4158" s="8">
        <f>IFERROR(IF(ISNUMBER(C4158),MAX(C4158,IFERROR(J4157,C4158)),""),"")</f>
        <v/>
      </c>
      <c r="K4158" s="29">
        <f>IFERROR(IF(AND(ISNUMBER(C4158),ISNUMBER(J4158)),C4158/J4158-1,""),"")</f>
        <v/>
      </c>
      <c r="L4158" s="28">
        <f>IFERROR(IF(AND(ISNUMBER(D4158),ISNUMBER(E4158)),D4158-E4158,""),"")</f>
        <v/>
      </c>
    </row>
    <row r="4159">
      <c r="A4159" s="7">
        <f>IFERROR(Datos!A4159,"")</f>
        <v/>
      </c>
      <c r="B4159" s="8">
        <f>IFERROR(Datos!B4159,"")</f>
        <v/>
      </c>
      <c r="C4159" s="8">
        <f>IFERROR(Datos!C4159,"")</f>
        <v/>
      </c>
      <c r="D4159" s="28">
        <f>IFERROR(IF(AND(ISNUMBER(B4159),ISNUMBER(B4158),B4158&lt;&gt;0),B4159/B4158-1,""),"")</f>
        <v/>
      </c>
      <c r="E4159" s="28">
        <f>IFERROR(IF(AND(ISNUMBER(C4159),ISNUMBER(C4158),C4158&lt;&gt;0),C4159/C4158-1,""),"")</f>
        <v/>
      </c>
      <c r="F4159" s="28">
        <f>IFERROR(D4159-Dashboard!$B$4/252,"")</f>
        <v/>
      </c>
      <c r="G4159" s="28">
        <f>IFERROR(E4159-Dashboard!$B$4/252,"")</f>
        <v/>
      </c>
      <c r="H4159" s="8">
        <f>IFERROR(IF(ISNUMBER(B4159),MAX(B4159,IFERROR(H4158,B4159)),""),"")</f>
        <v/>
      </c>
      <c r="I4159" s="29">
        <f>IFERROR(IF(AND(ISNUMBER(B4159),ISNUMBER(H4159)),B4159/H4159-1,""),"")</f>
        <v/>
      </c>
      <c r="J4159" s="8">
        <f>IFERROR(IF(ISNUMBER(C4159),MAX(C4159,IFERROR(J4158,C4159)),""),"")</f>
        <v/>
      </c>
      <c r="K4159" s="29">
        <f>IFERROR(IF(AND(ISNUMBER(C4159),ISNUMBER(J4159)),C4159/J4159-1,""),"")</f>
        <v/>
      </c>
      <c r="L4159" s="28">
        <f>IFERROR(IF(AND(ISNUMBER(D4159),ISNUMBER(E4159)),D4159-E4159,""),"")</f>
        <v/>
      </c>
    </row>
    <row r="4160">
      <c r="A4160" s="7">
        <f>IFERROR(Datos!A4160,"")</f>
        <v/>
      </c>
      <c r="B4160" s="8">
        <f>IFERROR(Datos!B4160,"")</f>
        <v/>
      </c>
      <c r="C4160" s="8">
        <f>IFERROR(Datos!C4160,"")</f>
        <v/>
      </c>
      <c r="D4160" s="28">
        <f>IFERROR(IF(AND(ISNUMBER(B4160),ISNUMBER(B4159),B4159&lt;&gt;0),B4160/B4159-1,""),"")</f>
        <v/>
      </c>
      <c r="E4160" s="28">
        <f>IFERROR(IF(AND(ISNUMBER(C4160),ISNUMBER(C4159),C4159&lt;&gt;0),C4160/C4159-1,""),"")</f>
        <v/>
      </c>
      <c r="F4160" s="28">
        <f>IFERROR(D4160-Dashboard!$B$4/252,"")</f>
        <v/>
      </c>
      <c r="G4160" s="28">
        <f>IFERROR(E4160-Dashboard!$B$4/252,"")</f>
        <v/>
      </c>
      <c r="H4160" s="8">
        <f>IFERROR(IF(ISNUMBER(B4160),MAX(B4160,IFERROR(H4159,B4160)),""),"")</f>
        <v/>
      </c>
      <c r="I4160" s="29">
        <f>IFERROR(IF(AND(ISNUMBER(B4160),ISNUMBER(H4160)),B4160/H4160-1,""),"")</f>
        <v/>
      </c>
      <c r="J4160" s="8">
        <f>IFERROR(IF(ISNUMBER(C4160),MAX(C4160,IFERROR(J4159,C4160)),""),"")</f>
        <v/>
      </c>
      <c r="K4160" s="29">
        <f>IFERROR(IF(AND(ISNUMBER(C4160),ISNUMBER(J4160)),C4160/J4160-1,""),"")</f>
        <v/>
      </c>
      <c r="L4160" s="28">
        <f>IFERROR(IF(AND(ISNUMBER(D4160),ISNUMBER(E4160)),D4160-E4160,""),"")</f>
        <v/>
      </c>
    </row>
    <row r="4161">
      <c r="A4161" s="7">
        <f>IFERROR(Datos!A4161,"")</f>
        <v/>
      </c>
      <c r="B4161" s="8">
        <f>IFERROR(Datos!B4161,"")</f>
        <v/>
      </c>
      <c r="C4161" s="8">
        <f>IFERROR(Datos!C4161,"")</f>
        <v/>
      </c>
      <c r="D4161" s="28">
        <f>IFERROR(IF(AND(ISNUMBER(B4161),ISNUMBER(B4160),B4160&lt;&gt;0),B4161/B4160-1,""),"")</f>
        <v/>
      </c>
      <c r="E4161" s="28">
        <f>IFERROR(IF(AND(ISNUMBER(C4161),ISNUMBER(C4160),C4160&lt;&gt;0),C4161/C4160-1,""),"")</f>
        <v/>
      </c>
      <c r="F4161" s="28">
        <f>IFERROR(D4161-Dashboard!$B$4/252,"")</f>
        <v/>
      </c>
      <c r="G4161" s="28">
        <f>IFERROR(E4161-Dashboard!$B$4/252,"")</f>
        <v/>
      </c>
      <c r="H4161" s="8">
        <f>IFERROR(IF(ISNUMBER(B4161),MAX(B4161,IFERROR(H4160,B4161)),""),"")</f>
        <v/>
      </c>
      <c r="I4161" s="29">
        <f>IFERROR(IF(AND(ISNUMBER(B4161),ISNUMBER(H4161)),B4161/H4161-1,""),"")</f>
        <v/>
      </c>
      <c r="J4161" s="8">
        <f>IFERROR(IF(ISNUMBER(C4161),MAX(C4161,IFERROR(J4160,C4161)),""),"")</f>
        <v/>
      </c>
      <c r="K4161" s="29">
        <f>IFERROR(IF(AND(ISNUMBER(C4161),ISNUMBER(J4161)),C4161/J4161-1,""),"")</f>
        <v/>
      </c>
      <c r="L4161" s="28">
        <f>IFERROR(IF(AND(ISNUMBER(D4161),ISNUMBER(E4161)),D4161-E4161,""),"")</f>
        <v/>
      </c>
    </row>
    <row r="4162">
      <c r="A4162" s="7">
        <f>IFERROR(Datos!A4162,"")</f>
        <v/>
      </c>
      <c r="B4162" s="8">
        <f>IFERROR(Datos!B4162,"")</f>
        <v/>
      </c>
      <c r="C4162" s="8">
        <f>IFERROR(Datos!C4162,"")</f>
        <v/>
      </c>
      <c r="D4162" s="28">
        <f>IFERROR(IF(AND(ISNUMBER(B4162),ISNUMBER(B4161),B4161&lt;&gt;0),B4162/B4161-1,""),"")</f>
        <v/>
      </c>
      <c r="E4162" s="28">
        <f>IFERROR(IF(AND(ISNUMBER(C4162),ISNUMBER(C4161),C4161&lt;&gt;0),C4162/C4161-1,""),"")</f>
        <v/>
      </c>
      <c r="F4162" s="28">
        <f>IFERROR(D4162-Dashboard!$B$4/252,"")</f>
        <v/>
      </c>
      <c r="G4162" s="28">
        <f>IFERROR(E4162-Dashboard!$B$4/252,"")</f>
        <v/>
      </c>
      <c r="H4162" s="8">
        <f>IFERROR(IF(ISNUMBER(B4162),MAX(B4162,IFERROR(H4161,B4162)),""),"")</f>
        <v/>
      </c>
      <c r="I4162" s="29">
        <f>IFERROR(IF(AND(ISNUMBER(B4162),ISNUMBER(H4162)),B4162/H4162-1,""),"")</f>
        <v/>
      </c>
      <c r="J4162" s="8">
        <f>IFERROR(IF(ISNUMBER(C4162),MAX(C4162,IFERROR(J4161,C4162)),""),"")</f>
        <v/>
      </c>
      <c r="K4162" s="29">
        <f>IFERROR(IF(AND(ISNUMBER(C4162),ISNUMBER(J4162)),C4162/J4162-1,""),"")</f>
        <v/>
      </c>
      <c r="L4162" s="28">
        <f>IFERROR(IF(AND(ISNUMBER(D4162),ISNUMBER(E4162)),D4162-E4162,""),"")</f>
        <v/>
      </c>
    </row>
    <row r="4163">
      <c r="A4163" s="7">
        <f>IFERROR(Datos!A4163,"")</f>
        <v/>
      </c>
      <c r="B4163" s="8">
        <f>IFERROR(Datos!B4163,"")</f>
        <v/>
      </c>
      <c r="C4163" s="8">
        <f>IFERROR(Datos!C4163,"")</f>
        <v/>
      </c>
      <c r="D4163" s="28">
        <f>IFERROR(IF(AND(ISNUMBER(B4163),ISNUMBER(B4162),B4162&lt;&gt;0),B4163/B4162-1,""),"")</f>
        <v/>
      </c>
      <c r="E4163" s="28">
        <f>IFERROR(IF(AND(ISNUMBER(C4163),ISNUMBER(C4162),C4162&lt;&gt;0),C4163/C4162-1,""),"")</f>
        <v/>
      </c>
      <c r="F4163" s="28">
        <f>IFERROR(D4163-Dashboard!$B$4/252,"")</f>
        <v/>
      </c>
      <c r="G4163" s="28">
        <f>IFERROR(E4163-Dashboard!$B$4/252,"")</f>
        <v/>
      </c>
      <c r="H4163" s="8">
        <f>IFERROR(IF(ISNUMBER(B4163),MAX(B4163,IFERROR(H4162,B4163)),""),"")</f>
        <v/>
      </c>
      <c r="I4163" s="29">
        <f>IFERROR(IF(AND(ISNUMBER(B4163),ISNUMBER(H4163)),B4163/H4163-1,""),"")</f>
        <v/>
      </c>
      <c r="J4163" s="8">
        <f>IFERROR(IF(ISNUMBER(C4163),MAX(C4163,IFERROR(J4162,C4163)),""),"")</f>
        <v/>
      </c>
      <c r="K4163" s="29">
        <f>IFERROR(IF(AND(ISNUMBER(C4163),ISNUMBER(J4163)),C4163/J4163-1,""),"")</f>
        <v/>
      </c>
      <c r="L4163" s="28">
        <f>IFERROR(IF(AND(ISNUMBER(D4163),ISNUMBER(E4163)),D4163-E4163,""),"")</f>
        <v/>
      </c>
    </row>
    <row r="4164">
      <c r="A4164" s="7">
        <f>IFERROR(Datos!A4164,"")</f>
        <v/>
      </c>
      <c r="B4164" s="8">
        <f>IFERROR(Datos!B4164,"")</f>
        <v/>
      </c>
      <c r="C4164" s="8">
        <f>IFERROR(Datos!C4164,"")</f>
        <v/>
      </c>
      <c r="D4164" s="28">
        <f>IFERROR(IF(AND(ISNUMBER(B4164),ISNUMBER(B4163),B4163&lt;&gt;0),B4164/B4163-1,""),"")</f>
        <v/>
      </c>
      <c r="E4164" s="28">
        <f>IFERROR(IF(AND(ISNUMBER(C4164),ISNUMBER(C4163),C4163&lt;&gt;0),C4164/C4163-1,""),"")</f>
        <v/>
      </c>
      <c r="F4164" s="28">
        <f>IFERROR(D4164-Dashboard!$B$4/252,"")</f>
        <v/>
      </c>
      <c r="G4164" s="28">
        <f>IFERROR(E4164-Dashboard!$B$4/252,"")</f>
        <v/>
      </c>
      <c r="H4164" s="8">
        <f>IFERROR(IF(ISNUMBER(B4164),MAX(B4164,IFERROR(H4163,B4164)),""),"")</f>
        <v/>
      </c>
      <c r="I4164" s="29">
        <f>IFERROR(IF(AND(ISNUMBER(B4164),ISNUMBER(H4164)),B4164/H4164-1,""),"")</f>
        <v/>
      </c>
      <c r="J4164" s="8">
        <f>IFERROR(IF(ISNUMBER(C4164),MAX(C4164,IFERROR(J4163,C4164)),""),"")</f>
        <v/>
      </c>
      <c r="K4164" s="29">
        <f>IFERROR(IF(AND(ISNUMBER(C4164),ISNUMBER(J4164)),C4164/J4164-1,""),"")</f>
        <v/>
      </c>
      <c r="L4164" s="28">
        <f>IFERROR(IF(AND(ISNUMBER(D4164),ISNUMBER(E4164)),D4164-E4164,""),"")</f>
        <v/>
      </c>
    </row>
    <row r="4165">
      <c r="A4165" s="7">
        <f>IFERROR(Datos!A4165,"")</f>
        <v/>
      </c>
      <c r="B4165" s="8">
        <f>IFERROR(Datos!B4165,"")</f>
        <v/>
      </c>
      <c r="C4165" s="8">
        <f>IFERROR(Datos!C4165,"")</f>
        <v/>
      </c>
      <c r="D4165" s="28">
        <f>IFERROR(IF(AND(ISNUMBER(B4165),ISNUMBER(B4164),B4164&lt;&gt;0),B4165/B4164-1,""),"")</f>
        <v/>
      </c>
      <c r="E4165" s="28">
        <f>IFERROR(IF(AND(ISNUMBER(C4165),ISNUMBER(C4164),C4164&lt;&gt;0),C4165/C4164-1,""),"")</f>
        <v/>
      </c>
      <c r="F4165" s="28">
        <f>IFERROR(D4165-Dashboard!$B$4/252,"")</f>
        <v/>
      </c>
      <c r="G4165" s="28">
        <f>IFERROR(E4165-Dashboard!$B$4/252,"")</f>
        <v/>
      </c>
      <c r="H4165" s="8">
        <f>IFERROR(IF(ISNUMBER(B4165),MAX(B4165,IFERROR(H4164,B4165)),""),"")</f>
        <v/>
      </c>
      <c r="I4165" s="29">
        <f>IFERROR(IF(AND(ISNUMBER(B4165),ISNUMBER(H4165)),B4165/H4165-1,""),"")</f>
        <v/>
      </c>
      <c r="J4165" s="8">
        <f>IFERROR(IF(ISNUMBER(C4165),MAX(C4165,IFERROR(J4164,C4165)),""),"")</f>
        <v/>
      </c>
      <c r="K4165" s="29">
        <f>IFERROR(IF(AND(ISNUMBER(C4165),ISNUMBER(J4165)),C4165/J4165-1,""),"")</f>
        <v/>
      </c>
      <c r="L4165" s="28">
        <f>IFERROR(IF(AND(ISNUMBER(D4165),ISNUMBER(E4165)),D4165-E4165,""),"")</f>
        <v/>
      </c>
    </row>
    <row r="4166">
      <c r="A4166" s="7">
        <f>IFERROR(Datos!A4166,"")</f>
        <v/>
      </c>
      <c r="B4166" s="8">
        <f>IFERROR(Datos!B4166,"")</f>
        <v/>
      </c>
      <c r="C4166" s="8">
        <f>IFERROR(Datos!C4166,"")</f>
        <v/>
      </c>
      <c r="D4166" s="28">
        <f>IFERROR(IF(AND(ISNUMBER(B4166),ISNUMBER(B4165),B4165&lt;&gt;0),B4166/B4165-1,""),"")</f>
        <v/>
      </c>
      <c r="E4166" s="28">
        <f>IFERROR(IF(AND(ISNUMBER(C4166),ISNUMBER(C4165),C4165&lt;&gt;0),C4166/C4165-1,""),"")</f>
        <v/>
      </c>
      <c r="F4166" s="28">
        <f>IFERROR(D4166-Dashboard!$B$4/252,"")</f>
        <v/>
      </c>
      <c r="G4166" s="28">
        <f>IFERROR(E4166-Dashboard!$B$4/252,"")</f>
        <v/>
      </c>
      <c r="H4166" s="8">
        <f>IFERROR(IF(ISNUMBER(B4166),MAX(B4166,IFERROR(H4165,B4166)),""),"")</f>
        <v/>
      </c>
      <c r="I4166" s="29">
        <f>IFERROR(IF(AND(ISNUMBER(B4166),ISNUMBER(H4166)),B4166/H4166-1,""),"")</f>
        <v/>
      </c>
      <c r="J4166" s="8">
        <f>IFERROR(IF(ISNUMBER(C4166),MAX(C4166,IFERROR(J4165,C4166)),""),"")</f>
        <v/>
      </c>
      <c r="K4166" s="29">
        <f>IFERROR(IF(AND(ISNUMBER(C4166),ISNUMBER(J4166)),C4166/J4166-1,""),"")</f>
        <v/>
      </c>
      <c r="L4166" s="28">
        <f>IFERROR(IF(AND(ISNUMBER(D4166),ISNUMBER(E4166)),D4166-E4166,""),"")</f>
        <v/>
      </c>
    </row>
    <row r="4167">
      <c r="A4167" s="7">
        <f>IFERROR(Datos!A4167,"")</f>
        <v/>
      </c>
      <c r="B4167" s="8">
        <f>IFERROR(Datos!B4167,"")</f>
        <v/>
      </c>
      <c r="C4167" s="8">
        <f>IFERROR(Datos!C4167,"")</f>
        <v/>
      </c>
      <c r="D4167" s="28">
        <f>IFERROR(IF(AND(ISNUMBER(B4167),ISNUMBER(B4166),B4166&lt;&gt;0),B4167/B4166-1,""),"")</f>
        <v/>
      </c>
      <c r="E4167" s="28">
        <f>IFERROR(IF(AND(ISNUMBER(C4167),ISNUMBER(C4166),C4166&lt;&gt;0),C4167/C4166-1,""),"")</f>
        <v/>
      </c>
      <c r="F4167" s="28">
        <f>IFERROR(D4167-Dashboard!$B$4/252,"")</f>
        <v/>
      </c>
      <c r="G4167" s="28">
        <f>IFERROR(E4167-Dashboard!$B$4/252,"")</f>
        <v/>
      </c>
      <c r="H4167" s="8">
        <f>IFERROR(IF(ISNUMBER(B4167),MAX(B4167,IFERROR(H4166,B4167)),""),"")</f>
        <v/>
      </c>
      <c r="I4167" s="29">
        <f>IFERROR(IF(AND(ISNUMBER(B4167),ISNUMBER(H4167)),B4167/H4167-1,""),"")</f>
        <v/>
      </c>
      <c r="J4167" s="8">
        <f>IFERROR(IF(ISNUMBER(C4167),MAX(C4167,IFERROR(J4166,C4167)),""),"")</f>
        <v/>
      </c>
      <c r="K4167" s="29">
        <f>IFERROR(IF(AND(ISNUMBER(C4167),ISNUMBER(J4167)),C4167/J4167-1,""),"")</f>
        <v/>
      </c>
      <c r="L4167" s="28">
        <f>IFERROR(IF(AND(ISNUMBER(D4167),ISNUMBER(E4167)),D4167-E4167,""),"")</f>
        <v/>
      </c>
    </row>
    <row r="4168">
      <c r="A4168" s="7">
        <f>IFERROR(Datos!A4168,"")</f>
        <v/>
      </c>
      <c r="B4168" s="8">
        <f>IFERROR(Datos!B4168,"")</f>
        <v/>
      </c>
      <c r="C4168" s="8">
        <f>IFERROR(Datos!C4168,"")</f>
        <v/>
      </c>
      <c r="D4168" s="28">
        <f>IFERROR(IF(AND(ISNUMBER(B4168),ISNUMBER(B4167),B4167&lt;&gt;0),B4168/B4167-1,""),"")</f>
        <v/>
      </c>
      <c r="E4168" s="28">
        <f>IFERROR(IF(AND(ISNUMBER(C4168),ISNUMBER(C4167),C4167&lt;&gt;0),C4168/C4167-1,""),"")</f>
        <v/>
      </c>
      <c r="F4168" s="28">
        <f>IFERROR(D4168-Dashboard!$B$4/252,"")</f>
        <v/>
      </c>
      <c r="G4168" s="28">
        <f>IFERROR(E4168-Dashboard!$B$4/252,"")</f>
        <v/>
      </c>
      <c r="H4168" s="8">
        <f>IFERROR(IF(ISNUMBER(B4168),MAX(B4168,IFERROR(H4167,B4168)),""),"")</f>
        <v/>
      </c>
      <c r="I4168" s="29">
        <f>IFERROR(IF(AND(ISNUMBER(B4168),ISNUMBER(H4168)),B4168/H4168-1,""),"")</f>
        <v/>
      </c>
      <c r="J4168" s="8">
        <f>IFERROR(IF(ISNUMBER(C4168),MAX(C4168,IFERROR(J4167,C4168)),""),"")</f>
        <v/>
      </c>
      <c r="K4168" s="29">
        <f>IFERROR(IF(AND(ISNUMBER(C4168),ISNUMBER(J4168)),C4168/J4168-1,""),"")</f>
        <v/>
      </c>
      <c r="L4168" s="28">
        <f>IFERROR(IF(AND(ISNUMBER(D4168),ISNUMBER(E4168)),D4168-E4168,""),"")</f>
        <v/>
      </c>
    </row>
    <row r="4169">
      <c r="A4169" s="7">
        <f>IFERROR(Datos!A4169,"")</f>
        <v/>
      </c>
      <c r="B4169" s="8">
        <f>IFERROR(Datos!B4169,"")</f>
        <v/>
      </c>
      <c r="C4169" s="8">
        <f>IFERROR(Datos!C4169,"")</f>
        <v/>
      </c>
      <c r="D4169" s="28">
        <f>IFERROR(IF(AND(ISNUMBER(B4169),ISNUMBER(B4168),B4168&lt;&gt;0),B4169/B4168-1,""),"")</f>
        <v/>
      </c>
      <c r="E4169" s="28">
        <f>IFERROR(IF(AND(ISNUMBER(C4169),ISNUMBER(C4168),C4168&lt;&gt;0),C4169/C4168-1,""),"")</f>
        <v/>
      </c>
      <c r="F4169" s="28">
        <f>IFERROR(D4169-Dashboard!$B$4/252,"")</f>
        <v/>
      </c>
      <c r="G4169" s="28">
        <f>IFERROR(E4169-Dashboard!$B$4/252,"")</f>
        <v/>
      </c>
      <c r="H4169" s="8">
        <f>IFERROR(IF(ISNUMBER(B4169),MAX(B4169,IFERROR(H4168,B4169)),""),"")</f>
        <v/>
      </c>
      <c r="I4169" s="29">
        <f>IFERROR(IF(AND(ISNUMBER(B4169),ISNUMBER(H4169)),B4169/H4169-1,""),"")</f>
        <v/>
      </c>
      <c r="J4169" s="8">
        <f>IFERROR(IF(ISNUMBER(C4169),MAX(C4169,IFERROR(J4168,C4169)),""),"")</f>
        <v/>
      </c>
      <c r="K4169" s="29">
        <f>IFERROR(IF(AND(ISNUMBER(C4169),ISNUMBER(J4169)),C4169/J4169-1,""),"")</f>
        <v/>
      </c>
      <c r="L4169" s="28">
        <f>IFERROR(IF(AND(ISNUMBER(D4169),ISNUMBER(E4169)),D4169-E4169,""),"")</f>
        <v/>
      </c>
    </row>
    <row r="4170">
      <c r="A4170" s="7">
        <f>IFERROR(Datos!A4170,"")</f>
        <v/>
      </c>
      <c r="B4170" s="8">
        <f>IFERROR(Datos!B4170,"")</f>
        <v/>
      </c>
      <c r="C4170" s="8">
        <f>IFERROR(Datos!C4170,"")</f>
        <v/>
      </c>
      <c r="D4170" s="28">
        <f>IFERROR(IF(AND(ISNUMBER(B4170),ISNUMBER(B4169),B4169&lt;&gt;0),B4170/B4169-1,""),"")</f>
        <v/>
      </c>
      <c r="E4170" s="28">
        <f>IFERROR(IF(AND(ISNUMBER(C4170),ISNUMBER(C4169),C4169&lt;&gt;0),C4170/C4169-1,""),"")</f>
        <v/>
      </c>
      <c r="F4170" s="28">
        <f>IFERROR(D4170-Dashboard!$B$4/252,"")</f>
        <v/>
      </c>
      <c r="G4170" s="28">
        <f>IFERROR(E4170-Dashboard!$B$4/252,"")</f>
        <v/>
      </c>
      <c r="H4170" s="8">
        <f>IFERROR(IF(ISNUMBER(B4170),MAX(B4170,IFERROR(H4169,B4170)),""),"")</f>
        <v/>
      </c>
      <c r="I4170" s="29">
        <f>IFERROR(IF(AND(ISNUMBER(B4170),ISNUMBER(H4170)),B4170/H4170-1,""),"")</f>
        <v/>
      </c>
      <c r="J4170" s="8">
        <f>IFERROR(IF(ISNUMBER(C4170),MAX(C4170,IFERROR(J4169,C4170)),""),"")</f>
        <v/>
      </c>
      <c r="K4170" s="29">
        <f>IFERROR(IF(AND(ISNUMBER(C4170),ISNUMBER(J4170)),C4170/J4170-1,""),"")</f>
        <v/>
      </c>
      <c r="L4170" s="28">
        <f>IFERROR(IF(AND(ISNUMBER(D4170),ISNUMBER(E4170)),D4170-E4170,""),"")</f>
        <v/>
      </c>
    </row>
    <row r="4171">
      <c r="A4171" s="7">
        <f>IFERROR(Datos!A4171,"")</f>
        <v/>
      </c>
      <c r="B4171" s="8">
        <f>IFERROR(Datos!B4171,"")</f>
        <v/>
      </c>
      <c r="C4171" s="8">
        <f>IFERROR(Datos!C4171,"")</f>
        <v/>
      </c>
      <c r="D4171" s="28">
        <f>IFERROR(IF(AND(ISNUMBER(B4171),ISNUMBER(B4170),B4170&lt;&gt;0),B4171/B4170-1,""),"")</f>
        <v/>
      </c>
      <c r="E4171" s="28">
        <f>IFERROR(IF(AND(ISNUMBER(C4171),ISNUMBER(C4170),C4170&lt;&gt;0),C4171/C4170-1,""),"")</f>
        <v/>
      </c>
      <c r="F4171" s="28">
        <f>IFERROR(D4171-Dashboard!$B$4/252,"")</f>
        <v/>
      </c>
      <c r="G4171" s="28">
        <f>IFERROR(E4171-Dashboard!$B$4/252,"")</f>
        <v/>
      </c>
      <c r="H4171" s="8">
        <f>IFERROR(IF(ISNUMBER(B4171),MAX(B4171,IFERROR(H4170,B4171)),""),"")</f>
        <v/>
      </c>
      <c r="I4171" s="29">
        <f>IFERROR(IF(AND(ISNUMBER(B4171),ISNUMBER(H4171)),B4171/H4171-1,""),"")</f>
        <v/>
      </c>
      <c r="J4171" s="8">
        <f>IFERROR(IF(ISNUMBER(C4171),MAX(C4171,IFERROR(J4170,C4171)),""),"")</f>
        <v/>
      </c>
      <c r="K4171" s="29">
        <f>IFERROR(IF(AND(ISNUMBER(C4171),ISNUMBER(J4171)),C4171/J4171-1,""),"")</f>
        <v/>
      </c>
      <c r="L4171" s="28">
        <f>IFERROR(IF(AND(ISNUMBER(D4171),ISNUMBER(E4171)),D4171-E4171,""),"")</f>
        <v/>
      </c>
    </row>
    <row r="4172">
      <c r="A4172" s="7">
        <f>IFERROR(Datos!A4172,"")</f>
        <v/>
      </c>
      <c r="B4172" s="8">
        <f>IFERROR(Datos!B4172,"")</f>
        <v/>
      </c>
      <c r="C4172" s="8">
        <f>IFERROR(Datos!C4172,"")</f>
        <v/>
      </c>
      <c r="D4172" s="28">
        <f>IFERROR(IF(AND(ISNUMBER(B4172),ISNUMBER(B4171),B4171&lt;&gt;0),B4172/B4171-1,""),"")</f>
        <v/>
      </c>
      <c r="E4172" s="28">
        <f>IFERROR(IF(AND(ISNUMBER(C4172),ISNUMBER(C4171),C4171&lt;&gt;0),C4172/C4171-1,""),"")</f>
        <v/>
      </c>
      <c r="F4172" s="28">
        <f>IFERROR(D4172-Dashboard!$B$4/252,"")</f>
        <v/>
      </c>
      <c r="G4172" s="28">
        <f>IFERROR(E4172-Dashboard!$B$4/252,"")</f>
        <v/>
      </c>
      <c r="H4172" s="8">
        <f>IFERROR(IF(ISNUMBER(B4172),MAX(B4172,IFERROR(H4171,B4172)),""),"")</f>
        <v/>
      </c>
      <c r="I4172" s="29">
        <f>IFERROR(IF(AND(ISNUMBER(B4172),ISNUMBER(H4172)),B4172/H4172-1,""),"")</f>
        <v/>
      </c>
      <c r="J4172" s="8">
        <f>IFERROR(IF(ISNUMBER(C4172),MAX(C4172,IFERROR(J4171,C4172)),""),"")</f>
        <v/>
      </c>
      <c r="K4172" s="29">
        <f>IFERROR(IF(AND(ISNUMBER(C4172),ISNUMBER(J4172)),C4172/J4172-1,""),"")</f>
        <v/>
      </c>
      <c r="L4172" s="28">
        <f>IFERROR(IF(AND(ISNUMBER(D4172),ISNUMBER(E4172)),D4172-E4172,""),"")</f>
        <v/>
      </c>
    </row>
    <row r="4173">
      <c r="A4173" s="7">
        <f>IFERROR(Datos!A4173,"")</f>
        <v/>
      </c>
      <c r="B4173" s="8">
        <f>IFERROR(Datos!B4173,"")</f>
        <v/>
      </c>
      <c r="C4173" s="8">
        <f>IFERROR(Datos!C4173,"")</f>
        <v/>
      </c>
      <c r="D4173" s="28">
        <f>IFERROR(IF(AND(ISNUMBER(B4173),ISNUMBER(B4172),B4172&lt;&gt;0),B4173/B4172-1,""),"")</f>
        <v/>
      </c>
      <c r="E4173" s="28">
        <f>IFERROR(IF(AND(ISNUMBER(C4173),ISNUMBER(C4172),C4172&lt;&gt;0),C4173/C4172-1,""),"")</f>
        <v/>
      </c>
      <c r="F4173" s="28">
        <f>IFERROR(D4173-Dashboard!$B$4/252,"")</f>
        <v/>
      </c>
      <c r="G4173" s="28">
        <f>IFERROR(E4173-Dashboard!$B$4/252,"")</f>
        <v/>
      </c>
      <c r="H4173" s="8">
        <f>IFERROR(IF(ISNUMBER(B4173),MAX(B4173,IFERROR(H4172,B4173)),""),"")</f>
        <v/>
      </c>
      <c r="I4173" s="29">
        <f>IFERROR(IF(AND(ISNUMBER(B4173),ISNUMBER(H4173)),B4173/H4173-1,""),"")</f>
        <v/>
      </c>
      <c r="J4173" s="8">
        <f>IFERROR(IF(ISNUMBER(C4173),MAX(C4173,IFERROR(J4172,C4173)),""),"")</f>
        <v/>
      </c>
      <c r="K4173" s="29">
        <f>IFERROR(IF(AND(ISNUMBER(C4173),ISNUMBER(J4173)),C4173/J4173-1,""),"")</f>
        <v/>
      </c>
      <c r="L4173" s="28">
        <f>IFERROR(IF(AND(ISNUMBER(D4173),ISNUMBER(E4173)),D4173-E4173,""),"")</f>
        <v/>
      </c>
    </row>
    <row r="4174">
      <c r="A4174" s="7">
        <f>IFERROR(Datos!A4174,"")</f>
        <v/>
      </c>
      <c r="B4174" s="8">
        <f>IFERROR(Datos!B4174,"")</f>
        <v/>
      </c>
      <c r="C4174" s="8">
        <f>IFERROR(Datos!C4174,"")</f>
        <v/>
      </c>
      <c r="D4174" s="28">
        <f>IFERROR(IF(AND(ISNUMBER(B4174),ISNUMBER(B4173),B4173&lt;&gt;0),B4174/B4173-1,""),"")</f>
        <v/>
      </c>
      <c r="E4174" s="28">
        <f>IFERROR(IF(AND(ISNUMBER(C4174),ISNUMBER(C4173),C4173&lt;&gt;0),C4174/C4173-1,""),"")</f>
        <v/>
      </c>
      <c r="F4174" s="28">
        <f>IFERROR(D4174-Dashboard!$B$4/252,"")</f>
        <v/>
      </c>
      <c r="G4174" s="28">
        <f>IFERROR(E4174-Dashboard!$B$4/252,"")</f>
        <v/>
      </c>
      <c r="H4174" s="8">
        <f>IFERROR(IF(ISNUMBER(B4174),MAX(B4174,IFERROR(H4173,B4174)),""),"")</f>
        <v/>
      </c>
      <c r="I4174" s="29">
        <f>IFERROR(IF(AND(ISNUMBER(B4174),ISNUMBER(H4174)),B4174/H4174-1,""),"")</f>
        <v/>
      </c>
      <c r="J4174" s="8">
        <f>IFERROR(IF(ISNUMBER(C4174),MAX(C4174,IFERROR(J4173,C4174)),""),"")</f>
        <v/>
      </c>
      <c r="K4174" s="29">
        <f>IFERROR(IF(AND(ISNUMBER(C4174),ISNUMBER(J4174)),C4174/J4174-1,""),"")</f>
        <v/>
      </c>
      <c r="L4174" s="28">
        <f>IFERROR(IF(AND(ISNUMBER(D4174),ISNUMBER(E4174)),D4174-E4174,""),"")</f>
        <v/>
      </c>
    </row>
    <row r="4175">
      <c r="A4175" s="7">
        <f>IFERROR(Datos!A4175,"")</f>
        <v/>
      </c>
      <c r="B4175" s="8">
        <f>IFERROR(Datos!B4175,"")</f>
        <v/>
      </c>
      <c r="C4175" s="8">
        <f>IFERROR(Datos!C4175,"")</f>
        <v/>
      </c>
      <c r="D4175" s="28">
        <f>IFERROR(IF(AND(ISNUMBER(B4175),ISNUMBER(B4174),B4174&lt;&gt;0),B4175/B4174-1,""),"")</f>
        <v/>
      </c>
      <c r="E4175" s="28">
        <f>IFERROR(IF(AND(ISNUMBER(C4175),ISNUMBER(C4174),C4174&lt;&gt;0),C4175/C4174-1,""),"")</f>
        <v/>
      </c>
      <c r="F4175" s="28">
        <f>IFERROR(D4175-Dashboard!$B$4/252,"")</f>
        <v/>
      </c>
      <c r="G4175" s="28">
        <f>IFERROR(E4175-Dashboard!$B$4/252,"")</f>
        <v/>
      </c>
      <c r="H4175" s="8">
        <f>IFERROR(IF(ISNUMBER(B4175),MAX(B4175,IFERROR(H4174,B4175)),""),"")</f>
        <v/>
      </c>
      <c r="I4175" s="29">
        <f>IFERROR(IF(AND(ISNUMBER(B4175),ISNUMBER(H4175)),B4175/H4175-1,""),"")</f>
        <v/>
      </c>
      <c r="J4175" s="8">
        <f>IFERROR(IF(ISNUMBER(C4175),MAX(C4175,IFERROR(J4174,C4175)),""),"")</f>
        <v/>
      </c>
      <c r="K4175" s="29">
        <f>IFERROR(IF(AND(ISNUMBER(C4175),ISNUMBER(J4175)),C4175/J4175-1,""),"")</f>
        <v/>
      </c>
      <c r="L4175" s="28">
        <f>IFERROR(IF(AND(ISNUMBER(D4175),ISNUMBER(E4175)),D4175-E4175,""),"")</f>
        <v/>
      </c>
    </row>
    <row r="4176">
      <c r="A4176" s="7">
        <f>IFERROR(Datos!A4176,"")</f>
        <v/>
      </c>
      <c r="B4176" s="8">
        <f>IFERROR(Datos!B4176,"")</f>
        <v/>
      </c>
      <c r="C4176" s="8">
        <f>IFERROR(Datos!C4176,"")</f>
        <v/>
      </c>
      <c r="D4176" s="28">
        <f>IFERROR(IF(AND(ISNUMBER(B4176),ISNUMBER(B4175),B4175&lt;&gt;0),B4176/B4175-1,""),"")</f>
        <v/>
      </c>
      <c r="E4176" s="28">
        <f>IFERROR(IF(AND(ISNUMBER(C4176),ISNUMBER(C4175),C4175&lt;&gt;0),C4176/C4175-1,""),"")</f>
        <v/>
      </c>
      <c r="F4176" s="28">
        <f>IFERROR(D4176-Dashboard!$B$4/252,"")</f>
        <v/>
      </c>
      <c r="G4176" s="28">
        <f>IFERROR(E4176-Dashboard!$B$4/252,"")</f>
        <v/>
      </c>
      <c r="H4176" s="8">
        <f>IFERROR(IF(ISNUMBER(B4176),MAX(B4176,IFERROR(H4175,B4176)),""),"")</f>
        <v/>
      </c>
      <c r="I4176" s="29">
        <f>IFERROR(IF(AND(ISNUMBER(B4176),ISNUMBER(H4176)),B4176/H4176-1,""),"")</f>
        <v/>
      </c>
      <c r="J4176" s="8">
        <f>IFERROR(IF(ISNUMBER(C4176),MAX(C4176,IFERROR(J4175,C4176)),""),"")</f>
        <v/>
      </c>
      <c r="K4176" s="29">
        <f>IFERROR(IF(AND(ISNUMBER(C4176),ISNUMBER(J4176)),C4176/J4176-1,""),"")</f>
        <v/>
      </c>
      <c r="L4176" s="28">
        <f>IFERROR(IF(AND(ISNUMBER(D4176),ISNUMBER(E4176)),D4176-E4176,""),"")</f>
        <v/>
      </c>
    </row>
    <row r="4177">
      <c r="A4177" s="7">
        <f>IFERROR(Datos!A4177,"")</f>
        <v/>
      </c>
      <c r="B4177" s="8">
        <f>IFERROR(Datos!B4177,"")</f>
        <v/>
      </c>
      <c r="C4177" s="8">
        <f>IFERROR(Datos!C4177,"")</f>
        <v/>
      </c>
      <c r="D4177" s="28">
        <f>IFERROR(IF(AND(ISNUMBER(B4177),ISNUMBER(B4176),B4176&lt;&gt;0),B4177/B4176-1,""),"")</f>
        <v/>
      </c>
      <c r="E4177" s="28">
        <f>IFERROR(IF(AND(ISNUMBER(C4177),ISNUMBER(C4176),C4176&lt;&gt;0),C4177/C4176-1,""),"")</f>
        <v/>
      </c>
      <c r="F4177" s="28">
        <f>IFERROR(D4177-Dashboard!$B$4/252,"")</f>
        <v/>
      </c>
      <c r="G4177" s="28">
        <f>IFERROR(E4177-Dashboard!$B$4/252,"")</f>
        <v/>
      </c>
      <c r="H4177" s="8">
        <f>IFERROR(IF(ISNUMBER(B4177),MAX(B4177,IFERROR(H4176,B4177)),""),"")</f>
        <v/>
      </c>
      <c r="I4177" s="29">
        <f>IFERROR(IF(AND(ISNUMBER(B4177),ISNUMBER(H4177)),B4177/H4177-1,""),"")</f>
        <v/>
      </c>
      <c r="J4177" s="8">
        <f>IFERROR(IF(ISNUMBER(C4177),MAX(C4177,IFERROR(J4176,C4177)),""),"")</f>
        <v/>
      </c>
      <c r="K4177" s="29">
        <f>IFERROR(IF(AND(ISNUMBER(C4177),ISNUMBER(J4177)),C4177/J4177-1,""),"")</f>
        <v/>
      </c>
      <c r="L4177" s="28">
        <f>IFERROR(IF(AND(ISNUMBER(D4177),ISNUMBER(E4177)),D4177-E4177,""),"")</f>
        <v/>
      </c>
    </row>
    <row r="4178">
      <c r="A4178" s="7">
        <f>IFERROR(Datos!A4178,"")</f>
        <v/>
      </c>
      <c r="B4178" s="8">
        <f>IFERROR(Datos!B4178,"")</f>
        <v/>
      </c>
      <c r="C4178" s="8">
        <f>IFERROR(Datos!C4178,"")</f>
        <v/>
      </c>
      <c r="D4178" s="28">
        <f>IFERROR(IF(AND(ISNUMBER(B4178),ISNUMBER(B4177),B4177&lt;&gt;0),B4178/B4177-1,""),"")</f>
        <v/>
      </c>
      <c r="E4178" s="28">
        <f>IFERROR(IF(AND(ISNUMBER(C4178),ISNUMBER(C4177),C4177&lt;&gt;0),C4178/C4177-1,""),"")</f>
        <v/>
      </c>
      <c r="F4178" s="28">
        <f>IFERROR(D4178-Dashboard!$B$4/252,"")</f>
        <v/>
      </c>
      <c r="G4178" s="28">
        <f>IFERROR(E4178-Dashboard!$B$4/252,"")</f>
        <v/>
      </c>
      <c r="H4178" s="8">
        <f>IFERROR(IF(ISNUMBER(B4178),MAX(B4178,IFERROR(H4177,B4178)),""),"")</f>
        <v/>
      </c>
      <c r="I4178" s="29">
        <f>IFERROR(IF(AND(ISNUMBER(B4178),ISNUMBER(H4178)),B4178/H4178-1,""),"")</f>
        <v/>
      </c>
      <c r="J4178" s="8">
        <f>IFERROR(IF(ISNUMBER(C4178),MAX(C4178,IFERROR(J4177,C4178)),""),"")</f>
        <v/>
      </c>
      <c r="K4178" s="29">
        <f>IFERROR(IF(AND(ISNUMBER(C4178),ISNUMBER(J4178)),C4178/J4178-1,""),"")</f>
        <v/>
      </c>
      <c r="L4178" s="28">
        <f>IFERROR(IF(AND(ISNUMBER(D4178),ISNUMBER(E4178)),D4178-E4178,""),"")</f>
        <v/>
      </c>
    </row>
    <row r="4179">
      <c r="A4179" s="7">
        <f>IFERROR(Datos!A4179,"")</f>
        <v/>
      </c>
      <c r="B4179" s="8">
        <f>IFERROR(Datos!B4179,"")</f>
        <v/>
      </c>
      <c r="C4179" s="8">
        <f>IFERROR(Datos!C4179,"")</f>
        <v/>
      </c>
      <c r="D4179" s="28">
        <f>IFERROR(IF(AND(ISNUMBER(B4179),ISNUMBER(B4178),B4178&lt;&gt;0),B4179/B4178-1,""),"")</f>
        <v/>
      </c>
      <c r="E4179" s="28">
        <f>IFERROR(IF(AND(ISNUMBER(C4179),ISNUMBER(C4178),C4178&lt;&gt;0),C4179/C4178-1,""),"")</f>
        <v/>
      </c>
      <c r="F4179" s="28">
        <f>IFERROR(D4179-Dashboard!$B$4/252,"")</f>
        <v/>
      </c>
      <c r="G4179" s="28">
        <f>IFERROR(E4179-Dashboard!$B$4/252,"")</f>
        <v/>
      </c>
      <c r="H4179" s="8">
        <f>IFERROR(IF(ISNUMBER(B4179),MAX(B4179,IFERROR(H4178,B4179)),""),"")</f>
        <v/>
      </c>
      <c r="I4179" s="29">
        <f>IFERROR(IF(AND(ISNUMBER(B4179),ISNUMBER(H4179)),B4179/H4179-1,""),"")</f>
        <v/>
      </c>
      <c r="J4179" s="8">
        <f>IFERROR(IF(ISNUMBER(C4179),MAX(C4179,IFERROR(J4178,C4179)),""),"")</f>
        <v/>
      </c>
      <c r="K4179" s="29">
        <f>IFERROR(IF(AND(ISNUMBER(C4179),ISNUMBER(J4179)),C4179/J4179-1,""),"")</f>
        <v/>
      </c>
      <c r="L4179" s="28">
        <f>IFERROR(IF(AND(ISNUMBER(D4179),ISNUMBER(E4179)),D4179-E4179,""),"")</f>
        <v/>
      </c>
    </row>
    <row r="4180">
      <c r="A4180" s="7">
        <f>IFERROR(Datos!A4180,"")</f>
        <v/>
      </c>
      <c r="B4180" s="8">
        <f>IFERROR(Datos!B4180,"")</f>
        <v/>
      </c>
      <c r="C4180" s="8">
        <f>IFERROR(Datos!C4180,"")</f>
        <v/>
      </c>
      <c r="D4180" s="28">
        <f>IFERROR(IF(AND(ISNUMBER(B4180),ISNUMBER(B4179),B4179&lt;&gt;0),B4180/B4179-1,""),"")</f>
        <v/>
      </c>
      <c r="E4180" s="28">
        <f>IFERROR(IF(AND(ISNUMBER(C4180),ISNUMBER(C4179),C4179&lt;&gt;0),C4180/C4179-1,""),"")</f>
        <v/>
      </c>
      <c r="F4180" s="28">
        <f>IFERROR(D4180-Dashboard!$B$4/252,"")</f>
        <v/>
      </c>
      <c r="G4180" s="28">
        <f>IFERROR(E4180-Dashboard!$B$4/252,"")</f>
        <v/>
      </c>
      <c r="H4180" s="8">
        <f>IFERROR(IF(ISNUMBER(B4180),MAX(B4180,IFERROR(H4179,B4180)),""),"")</f>
        <v/>
      </c>
      <c r="I4180" s="29">
        <f>IFERROR(IF(AND(ISNUMBER(B4180),ISNUMBER(H4180)),B4180/H4180-1,""),"")</f>
        <v/>
      </c>
      <c r="J4180" s="8">
        <f>IFERROR(IF(ISNUMBER(C4180),MAX(C4180,IFERROR(J4179,C4180)),""),"")</f>
        <v/>
      </c>
      <c r="K4180" s="29">
        <f>IFERROR(IF(AND(ISNUMBER(C4180),ISNUMBER(J4180)),C4180/J4180-1,""),"")</f>
        <v/>
      </c>
      <c r="L4180" s="28">
        <f>IFERROR(IF(AND(ISNUMBER(D4180),ISNUMBER(E4180)),D4180-E4180,""),"")</f>
        <v/>
      </c>
    </row>
    <row r="4181">
      <c r="A4181" s="7">
        <f>IFERROR(Datos!A4181,"")</f>
        <v/>
      </c>
      <c r="B4181" s="8">
        <f>IFERROR(Datos!B4181,"")</f>
        <v/>
      </c>
      <c r="C4181" s="8">
        <f>IFERROR(Datos!C4181,"")</f>
        <v/>
      </c>
      <c r="D4181" s="28">
        <f>IFERROR(IF(AND(ISNUMBER(B4181),ISNUMBER(B4180),B4180&lt;&gt;0),B4181/B4180-1,""),"")</f>
        <v/>
      </c>
      <c r="E4181" s="28">
        <f>IFERROR(IF(AND(ISNUMBER(C4181),ISNUMBER(C4180),C4180&lt;&gt;0),C4181/C4180-1,""),"")</f>
        <v/>
      </c>
      <c r="F4181" s="28">
        <f>IFERROR(D4181-Dashboard!$B$4/252,"")</f>
        <v/>
      </c>
      <c r="G4181" s="28">
        <f>IFERROR(E4181-Dashboard!$B$4/252,"")</f>
        <v/>
      </c>
      <c r="H4181" s="8">
        <f>IFERROR(IF(ISNUMBER(B4181),MAX(B4181,IFERROR(H4180,B4181)),""),"")</f>
        <v/>
      </c>
      <c r="I4181" s="29">
        <f>IFERROR(IF(AND(ISNUMBER(B4181),ISNUMBER(H4181)),B4181/H4181-1,""),"")</f>
        <v/>
      </c>
      <c r="J4181" s="8">
        <f>IFERROR(IF(ISNUMBER(C4181),MAX(C4181,IFERROR(J4180,C4181)),""),"")</f>
        <v/>
      </c>
      <c r="K4181" s="29">
        <f>IFERROR(IF(AND(ISNUMBER(C4181),ISNUMBER(J4181)),C4181/J4181-1,""),"")</f>
        <v/>
      </c>
      <c r="L4181" s="28">
        <f>IFERROR(IF(AND(ISNUMBER(D4181),ISNUMBER(E4181)),D4181-E4181,""),"")</f>
        <v/>
      </c>
    </row>
    <row r="4182">
      <c r="A4182" s="7">
        <f>IFERROR(Datos!A4182,"")</f>
        <v/>
      </c>
      <c r="B4182" s="8">
        <f>IFERROR(Datos!B4182,"")</f>
        <v/>
      </c>
      <c r="C4182" s="8">
        <f>IFERROR(Datos!C4182,"")</f>
        <v/>
      </c>
      <c r="D4182" s="28">
        <f>IFERROR(IF(AND(ISNUMBER(B4182),ISNUMBER(B4181),B4181&lt;&gt;0),B4182/B4181-1,""),"")</f>
        <v/>
      </c>
      <c r="E4182" s="28">
        <f>IFERROR(IF(AND(ISNUMBER(C4182),ISNUMBER(C4181),C4181&lt;&gt;0),C4182/C4181-1,""),"")</f>
        <v/>
      </c>
      <c r="F4182" s="28">
        <f>IFERROR(D4182-Dashboard!$B$4/252,"")</f>
        <v/>
      </c>
      <c r="G4182" s="28">
        <f>IFERROR(E4182-Dashboard!$B$4/252,"")</f>
        <v/>
      </c>
      <c r="H4182" s="8">
        <f>IFERROR(IF(ISNUMBER(B4182),MAX(B4182,IFERROR(H4181,B4182)),""),"")</f>
        <v/>
      </c>
      <c r="I4182" s="29">
        <f>IFERROR(IF(AND(ISNUMBER(B4182),ISNUMBER(H4182)),B4182/H4182-1,""),"")</f>
        <v/>
      </c>
      <c r="J4182" s="8">
        <f>IFERROR(IF(ISNUMBER(C4182),MAX(C4182,IFERROR(J4181,C4182)),""),"")</f>
        <v/>
      </c>
      <c r="K4182" s="29">
        <f>IFERROR(IF(AND(ISNUMBER(C4182),ISNUMBER(J4182)),C4182/J4182-1,""),"")</f>
        <v/>
      </c>
      <c r="L4182" s="28">
        <f>IFERROR(IF(AND(ISNUMBER(D4182),ISNUMBER(E4182)),D4182-E4182,""),"")</f>
        <v/>
      </c>
    </row>
    <row r="4183">
      <c r="A4183" s="7">
        <f>IFERROR(Datos!A4183,"")</f>
        <v/>
      </c>
      <c r="B4183" s="8">
        <f>IFERROR(Datos!B4183,"")</f>
        <v/>
      </c>
      <c r="C4183" s="8">
        <f>IFERROR(Datos!C4183,"")</f>
        <v/>
      </c>
      <c r="D4183" s="28">
        <f>IFERROR(IF(AND(ISNUMBER(B4183),ISNUMBER(B4182),B4182&lt;&gt;0),B4183/B4182-1,""),"")</f>
        <v/>
      </c>
      <c r="E4183" s="28">
        <f>IFERROR(IF(AND(ISNUMBER(C4183),ISNUMBER(C4182),C4182&lt;&gt;0),C4183/C4182-1,""),"")</f>
        <v/>
      </c>
      <c r="F4183" s="28">
        <f>IFERROR(D4183-Dashboard!$B$4/252,"")</f>
        <v/>
      </c>
      <c r="G4183" s="28">
        <f>IFERROR(E4183-Dashboard!$B$4/252,"")</f>
        <v/>
      </c>
      <c r="H4183" s="8">
        <f>IFERROR(IF(ISNUMBER(B4183),MAX(B4183,IFERROR(H4182,B4183)),""),"")</f>
        <v/>
      </c>
      <c r="I4183" s="29">
        <f>IFERROR(IF(AND(ISNUMBER(B4183),ISNUMBER(H4183)),B4183/H4183-1,""),"")</f>
        <v/>
      </c>
      <c r="J4183" s="8">
        <f>IFERROR(IF(ISNUMBER(C4183),MAX(C4183,IFERROR(J4182,C4183)),""),"")</f>
        <v/>
      </c>
      <c r="K4183" s="29">
        <f>IFERROR(IF(AND(ISNUMBER(C4183),ISNUMBER(J4183)),C4183/J4183-1,""),"")</f>
        <v/>
      </c>
      <c r="L4183" s="28">
        <f>IFERROR(IF(AND(ISNUMBER(D4183),ISNUMBER(E4183)),D4183-E4183,""),"")</f>
        <v/>
      </c>
    </row>
    <row r="4184">
      <c r="A4184" s="7">
        <f>IFERROR(Datos!A4184,"")</f>
        <v/>
      </c>
      <c r="B4184" s="8">
        <f>IFERROR(Datos!B4184,"")</f>
        <v/>
      </c>
      <c r="C4184" s="8">
        <f>IFERROR(Datos!C4184,"")</f>
        <v/>
      </c>
      <c r="D4184" s="28">
        <f>IFERROR(IF(AND(ISNUMBER(B4184),ISNUMBER(B4183),B4183&lt;&gt;0),B4184/B4183-1,""),"")</f>
        <v/>
      </c>
      <c r="E4184" s="28">
        <f>IFERROR(IF(AND(ISNUMBER(C4184),ISNUMBER(C4183),C4183&lt;&gt;0),C4184/C4183-1,""),"")</f>
        <v/>
      </c>
      <c r="F4184" s="28">
        <f>IFERROR(D4184-Dashboard!$B$4/252,"")</f>
        <v/>
      </c>
      <c r="G4184" s="28">
        <f>IFERROR(E4184-Dashboard!$B$4/252,"")</f>
        <v/>
      </c>
      <c r="H4184" s="8">
        <f>IFERROR(IF(ISNUMBER(B4184),MAX(B4184,IFERROR(H4183,B4184)),""),"")</f>
        <v/>
      </c>
      <c r="I4184" s="29">
        <f>IFERROR(IF(AND(ISNUMBER(B4184),ISNUMBER(H4184)),B4184/H4184-1,""),"")</f>
        <v/>
      </c>
      <c r="J4184" s="8">
        <f>IFERROR(IF(ISNUMBER(C4184),MAX(C4184,IFERROR(J4183,C4184)),""),"")</f>
        <v/>
      </c>
      <c r="K4184" s="29">
        <f>IFERROR(IF(AND(ISNUMBER(C4184),ISNUMBER(J4184)),C4184/J4184-1,""),"")</f>
        <v/>
      </c>
      <c r="L4184" s="28">
        <f>IFERROR(IF(AND(ISNUMBER(D4184),ISNUMBER(E4184)),D4184-E4184,""),"")</f>
        <v/>
      </c>
    </row>
    <row r="4185">
      <c r="A4185" s="7">
        <f>IFERROR(Datos!A4185,"")</f>
        <v/>
      </c>
      <c r="B4185" s="8">
        <f>IFERROR(Datos!B4185,"")</f>
        <v/>
      </c>
      <c r="C4185" s="8">
        <f>IFERROR(Datos!C4185,"")</f>
        <v/>
      </c>
      <c r="D4185" s="28">
        <f>IFERROR(IF(AND(ISNUMBER(B4185),ISNUMBER(B4184),B4184&lt;&gt;0),B4185/B4184-1,""),"")</f>
        <v/>
      </c>
      <c r="E4185" s="28">
        <f>IFERROR(IF(AND(ISNUMBER(C4185),ISNUMBER(C4184),C4184&lt;&gt;0),C4185/C4184-1,""),"")</f>
        <v/>
      </c>
      <c r="F4185" s="28">
        <f>IFERROR(D4185-Dashboard!$B$4/252,"")</f>
        <v/>
      </c>
      <c r="G4185" s="28">
        <f>IFERROR(E4185-Dashboard!$B$4/252,"")</f>
        <v/>
      </c>
      <c r="H4185" s="8">
        <f>IFERROR(IF(ISNUMBER(B4185),MAX(B4185,IFERROR(H4184,B4185)),""),"")</f>
        <v/>
      </c>
      <c r="I4185" s="29">
        <f>IFERROR(IF(AND(ISNUMBER(B4185),ISNUMBER(H4185)),B4185/H4185-1,""),"")</f>
        <v/>
      </c>
      <c r="J4185" s="8">
        <f>IFERROR(IF(ISNUMBER(C4185),MAX(C4185,IFERROR(J4184,C4185)),""),"")</f>
        <v/>
      </c>
      <c r="K4185" s="29">
        <f>IFERROR(IF(AND(ISNUMBER(C4185),ISNUMBER(J4185)),C4185/J4185-1,""),"")</f>
        <v/>
      </c>
      <c r="L4185" s="28">
        <f>IFERROR(IF(AND(ISNUMBER(D4185),ISNUMBER(E4185)),D4185-E4185,""),"")</f>
        <v/>
      </c>
    </row>
    <row r="4186">
      <c r="A4186" s="7">
        <f>IFERROR(Datos!A4186,"")</f>
        <v/>
      </c>
      <c r="B4186" s="8">
        <f>IFERROR(Datos!B4186,"")</f>
        <v/>
      </c>
      <c r="C4186" s="8">
        <f>IFERROR(Datos!C4186,"")</f>
        <v/>
      </c>
      <c r="D4186" s="28">
        <f>IFERROR(IF(AND(ISNUMBER(B4186),ISNUMBER(B4185),B4185&lt;&gt;0),B4186/B4185-1,""),"")</f>
        <v/>
      </c>
      <c r="E4186" s="28">
        <f>IFERROR(IF(AND(ISNUMBER(C4186),ISNUMBER(C4185),C4185&lt;&gt;0),C4186/C4185-1,""),"")</f>
        <v/>
      </c>
      <c r="F4186" s="28">
        <f>IFERROR(D4186-Dashboard!$B$4/252,"")</f>
        <v/>
      </c>
      <c r="G4186" s="28">
        <f>IFERROR(E4186-Dashboard!$B$4/252,"")</f>
        <v/>
      </c>
      <c r="H4186" s="8">
        <f>IFERROR(IF(ISNUMBER(B4186),MAX(B4186,IFERROR(H4185,B4186)),""),"")</f>
        <v/>
      </c>
      <c r="I4186" s="29">
        <f>IFERROR(IF(AND(ISNUMBER(B4186),ISNUMBER(H4186)),B4186/H4186-1,""),"")</f>
        <v/>
      </c>
      <c r="J4186" s="8">
        <f>IFERROR(IF(ISNUMBER(C4186),MAX(C4186,IFERROR(J4185,C4186)),""),"")</f>
        <v/>
      </c>
      <c r="K4186" s="29">
        <f>IFERROR(IF(AND(ISNUMBER(C4186),ISNUMBER(J4186)),C4186/J4186-1,""),"")</f>
        <v/>
      </c>
      <c r="L4186" s="28">
        <f>IFERROR(IF(AND(ISNUMBER(D4186),ISNUMBER(E4186)),D4186-E4186,""),"")</f>
        <v/>
      </c>
    </row>
    <row r="4187">
      <c r="A4187" s="7">
        <f>IFERROR(Datos!A4187,"")</f>
        <v/>
      </c>
      <c r="B4187" s="8">
        <f>IFERROR(Datos!B4187,"")</f>
        <v/>
      </c>
      <c r="C4187" s="8">
        <f>IFERROR(Datos!C4187,"")</f>
        <v/>
      </c>
      <c r="D4187" s="28">
        <f>IFERROR(IF(AND(ISNUMBER(B4187),ISNUMBER(B4186),B4186&lt;&gt;0),B4187/B4186-1,""),"")</f>
        <v/>
      </c>
      <c r="E4187" s="28">
        <f>IFERROR(IF(AND(ISNUMBER(C4187),ISNUMBER(C4186),C4186&lt;&gt;0),C4187/C4186-1,""),"")</f>
        <v/>
      </c>
      <c r="F4187" s="28">
        <f>IFERROR(D4187-Dashboard!$B$4/252,"")</f>
        <v/>
      </c>
      <c r="G4187" s="28">
        <f>IFERROR(E4187-Dashboard!$B$4/252,"")</f>
        <v/>
      </c>
      <c r="H4187" s="8">
        <f>IFERROR(IF(ISNUMBER(B4187),MAX(B4187,IFERROR(H4186,B4187)),""),"")</f>
        <v/>
      </c>
      <c r="I4187" s="29">
        <f>IFERROR(IF(AND(ISNUMBER(B4187),ISNUMBER(H4187)),B4187/H4187-1,""),"")</f>
        <v/>
      </c>
      <c r="J4187" s="8">
        <f>IFERROR(IF(ISNUMBER(C4187),MAX(C4187,IFERROR(J4186,C4187)),""),"")</f>
        <v/>
      </c>
      <c r="K4187" s="29">
        <f>IFERROR(IF(AND(ISNUMBER(C4187),ISNUMBER(J4187)),C4187/J4187-1,""),"")</f>
        <v/>
      </c>
      <c r="L4187" s="28">
        <f>IFERROR(IF(AND(ISNUMBER(D4187),ISNUMBER(E4187)),D4187-E4187,""),"")</f>
        <v/>
      </c>
    </row>
    <row r="4188">
      <c r="A4188" s="7">
        <f>IFERROR(Datos!A4188,"")</f>
        <v/>
      </c>
      <c r="B4188" s="8">
        <f>IFERROR(Datos!B4188,"")</f>
        <v/>
      </c>
      <c r="C4188" s="8">
        <f>IFERROR(Datos!C4188,"")</f>
        <v/>
      </c>
      <c r="D4188" s="28">
        <f>IFERROR(IF(AND(ISNUMBER(B4188),ISNUMBER(B4187),B4187&lt;&gt;0),B4188/B4187-1,""),"")</f>
        <v/>
      </c>
      <c r="E4188" s="28">
        <f>IFERROR(IF(AND(ISNUMBER(C4188),ISNUMBER(C4187),C4187&lt;&gt;0),C4188/C4187-1,""),"")</f>
        <v/>
      </c>
      <c r="F4188" s="28">
        <f>IFERROR(D4188-Dashboard!$B$4/252,"")</f>
        <v/>
      </c>
      <c r="G4188" s="28">
        <f>IFERROR(E4188-Dashboard!$B$4/252,"")</f>
        <v/>
      </c>
      <c r="H4188" s="8">
        <f>IFERROR(IF(ISNUMBER(B4188),MAX(B4188,IFERROR(H4187,B4188)),""),"")</f>
        <v/>
      </c>
      <c r="I4188" s="29">
        <f>IFERROR(IF(AND(ISNUMBER(B4188),ISNUMBER(H4188)),B4188/H4188-1,""),"")</f>
        <v/>
      </c>
      <c r="J4188" s="8">
        <f>IFERROR(IF(ISNUMBER(C4188),MAX(C4188,IFERROR(J4187,C4188)),""),"")</f>
        <v/>
      </c>
      <c r="K4188" s="29">
        <f>IFERROR(IF(AND(ISNUMBER(C4188),ISNUMBER(J4188)),C4188/J4188-1,""),"")</f>
        <v/>
      </c>
      <c r="L4188" s="28">
        <f>IFERROR(IF(AND(ISNUMBER(D4188),ISNUMBER(E4188)),D4188-E4188,""),"")</f>
        <v/>
      </c>
    </row>
    <row r="4189">
      <c r="A4189" s="7">
        <f>IFERROR(Datos!A4189,"")</f>
        <v/>
      </c>
      <c r="B4189" s="8">
        <f>IFERROR(Datos!B4189,"")</f>
        <v/>
      </c>
      <c r="C4189" s="8">
        <f>IFERROR(Datos!C4189,"")</f>
        <v/>
      </c>
      <c r="D4189" s="28">
        <f>IFERROR(IF(AND(ISNUMBER(B4189),ISNUMBER(B4188),B4188&lt;&gt;0),B4189/B4188-1,""),"")</f>
        <v/>
      </c>
      <c r="E4189" s="28">
        <f>IFERROR(IF(AND(ISNUMBER(C4189),ISNUMBER(C4188),C4188&lt;&gt;0),C4189/C4188-1,""),"")</f>
        <v/>
      </c>
      <c r="F4189" s="28">
        <f>IFERROR(D4189-Dashboard!$B$4/252,"")</f>
        <v/>
      </c>
      <c r="G4189" s="28">
        <f>IFERROR(E4189-Dashboard!$B$4/252,"")</f>
        <v/>
      </c>
      <c r="H4189" s="8">
        <f>IFERROR(IF(ISNUMBER(B4189),MAX(B4189,IFERROR(H4188,B4189)),""),"")</f>
        <v/>
      </c>
      <c r="I4189" s="29">
        <f>IFERROR(IF(AND(ISNUMBER(B4189),ISNUMBER(H4189)),B4189/H4189-1,""),"")</f>
        <v/>
      </c>
      <c r="J4189" s="8">
        <f>IFERROR(IF(ISNUMBER(C4189),MAX(C4189,IFERROR(J4188,C4189)),""),"")</f>
        <v/>
      </c>
      <c r="K4189" s="29">
        <f>IFERROR(IF(AND(ISNUMBER(C4189),ISNUMBER(J4189)),C4189/J4189-1,""),"")</f>
        <v/>
      </c>
      <c r="L4189" s="28">
        <f>IFERROR(IF(AND(ISNUMBER(D4189),ISNUMBER(E4189)),D4189-E4189,""),"")</f>
        <v/>
      </c>
    </row>
    <row r="4190">
      <c r="A4190" s="7">
        <f>IFERROR(Datos!A4190,"")</f>
        <v/>
      </c>
      <c r="B4190" s="8">
        <f>IFERROR(Datos!B4190,"")</f>
        <v/>
      </c>
      <c r="C4190" s="8">
        <f>IFERROR(Datos!C4190,"")</f>
        <v/>
      </c>
      <c r="D4190" s="28">
        <f>IFERROR(IF(AND(ISNUMBER(B4190),ISNUMBER(B4189),B4189&lt;&gt;0),B4190/B4189-1,""),"")</f>
        <v/>
      </c>
      <c r="E4190" s="28">
        <f>IFERROR(IF(AND(ISNUMBER(C4190),ISNUMBER(C4189),C4189&lt;&gt;0),C4190/C4189-1,""),"")</f>
        <v/>
      </c>
      <c r="F4190" s="28">
        <f>IFERROR(D4190-Dashboard!$B$4/252,"")</f>
        <v/>
      </c>
      <c r="G4190" s="28">
        <f>IFERROR(E4190-Dashboard!$B$4/252,"")</f>
        <v/>
      </c>
      <c r="H4190" s="8">
        <f>IFERROR(IF(ISNUMBER(B4190),MAX(B4190,IFERROR(H4189,B4190)),""),"")</f>
        <v/>
      </c>
      <c r="I4190" s="29">
        <f>IFERROR(IF(AND(ISNUMBER(B4190),ISNUMBER(H4190)),B4190/H4190-1,""),"")</f>
        <v/>
      </c>
      <c r="J4190" s="8">
        <f>IFERROR(IF(ISNUMBER(C4190),MAX(C4190,IFERROR(J4189,C4190)),""),"")</f>
        <v/>
      </c>
      <c r="K4190" s="29">
        <f>IFERROR(IF(AND(ISNUMBER(C4190),ISNUMBER(J4190)),C4190/J4190-1,""),"")</f>
        <v/>
      </c>
      <c r="L4190" s="28">
        <f>IFERROR(IF(AND(ISNUMBER(D4190),ISNUMBER(E4190)),D4190-E4190,""),"")</f>
        <v/>
      </c>
    </row>
    <row r="4191">
      <c r="A4191" s="7">
        <f>IFERROR(Datos!A4191,"")</f>
        <v/>
      </c>
      <c r="B4191" s="8">
        <f>IFERROR(Datos!B4191,"")</f>
        <v/>
      </c>
      <c r="C4191" s="8">
        <f>IFERROR(Datos!C4191,"")</f>
        <v/>
      </c>
      <c r="D4191" s="28">
        <f>IFERROR(IF(AND(ISNUMBER(B4191),ISNUMBER(B4190),B4190&lt;&gt;0),B4191/B4190-1,""),"")</f>
        <v/>
      </c>
      <c r="E4191" s="28">
        <f>IFERROR(IF(AND(ISNUMBER(C4191),ISNUMBER(C4190),C4190&lt;&gt;0),C4191/C4190-1,""),"")</f>
        <v/>
      </c>
      <c r="F4191" s="28">
        <f>IFERROR(D4191-Dashboard!$B$4/252,"")</f>
        <v/>
      </c>
      <c r="G4191" s="28">
        <f>IFERROR(E4191-Dashboard!$B$4/252,"")</f>
        <v/>
      </c>
      <c r="H4191" s="8">
        <f>IFERROR(IF(ISNUMBER(B4191),MAX(B4191,IFERROR(H4190,B4191)),""),"")</f>
        <v/>
      </c>
      <c r="I4191" s="29">
        <f>IFERROR(IF(AND(ISNUMBER(B4191),ISNUMBER(H4191)),B4191/H4191-1,""),"")</f>
        <v/>
      </c>
      <c r="J4191" s="8">
        <f>IFERROR(IF(ISNUMBER(C4191),MAX(C4191,IFERROR(J4190,C4191)),""),"")</f>
        <v/>
      </c>
      <c r="K4191" s="29">
        <f>IFERROR(IF(AND(ISNUMBER(C4191),ISNUMBER(J4191)),C4191/J4191-1,""),"")</f>
        <v/>
      </c>
      <c r="L4191" s="28">
        <f>IFERROR(IF(AND(ISNUMBER(D4191),ISNUMBER(E4191)),D4191-E4191,""),"")</f>
        <v/>
      </c>
    </row>
    <row r="4192">
      <c r="A4192" s="7">
        <f>IFERROR(Datos!A4192,"")</f>
        <v/>
      </c>
      <c r="B4192" s="8">
        <f>IFERROR(Datos!B4192,"")</f>
        <v/>
      </c>
      <c r="C4192" s="8">
        <f>IFERROR(Datos!C4192,"")</f>
        <v/>
      </c>
      <c r="D4192" s="28">
        <f>IFERROR(IF(AND(ISNUMBER(B4192),ISNUMBER(B4191),B4191&lt;&gt;0),B4192/B4191-1,""),"")</f>
        <v/>
      </c>
      <c r="E4192" s="28">
        <f>IFERROR(IF(AND(ISNUMBER(C4192),ISNUMBER(C4191),C4191&lt;&gt;0),C4192/C4191-1,""),"")</f>
        <v/>
      </c>
      <c r="F4192" s="28">
        <f>IFERROR(D4192-Dashboard!$B$4/252,"")</f>
        <v/>
      </c>
      <c r="G4192" s="28">
        <f>IFERROR(E4192-Dashboard!$B$4/252,"")</f>
        <v/>
      </c>
      <c r="H4192" s="8">
        <f>IFERROR(IF(ISNUMBER(B4192),MAX(B4192,IFERROR(H4191,B4192)),""),"")</f>
        <v/>
      </c>
      <c r="I4192" s="29">
        <f>IFERROR(IF(AND(ISNUMBER(B4192),ISNUMBER(H4192)),B4192/H4192-1,""),"")</f>
        <v/>
      </c>
      <c r="J4192" s="8">
        <f>IFERROR(IF(ISNUMBER(C4192),MAX(C4192,IFERROR(J4191,C4192)),""),"")</f>
        <v/>
      </c>
      <c r="K4192" s="29">
        <f>IFERROR(IF(AND(ISNUMBER(C4192),ISNUMBER(J4192)),C4192/J4192-1,""),"")</f>
        <v/>
      </c>
      <c r="L4192" s="28">
        <f>IFERROR(IF(AND(ISNUMBER(D4192),ISNUMBER(E4192)),D4192-E4192,""),"")</f>
        <v/>
      </c>
    </row>
    <row r="4193">
      <c r="A4193" s="7">
        <f>IFERROR(Datos!A4193,"")</f>
        <v/>
      </c>
      <c r="B4193" s="8">
        <f>IFERROR(Datos!B4193,"")</f>
        <v/>
      </c>
      <c r="C4193" s="8">
        <f>IFERROR(Datos!C4193,"")</f>
        <v/>
      </c>
      <c r="D4193" s="28">
        <f>IFERROR(IF(AND(ISNUMBER(B4193),ISNUMBER(B4192),B4192&lt;&gt;0),B4193/B4192-1,""),"")</f>
        <v/>
      </c>
      <c r="E4193" s="28">
        <f>IFERROR(IF(AND(ISNUMBER(C4193),ISNUMBER(C4192),C4192&lt;&gt;0),C4193/C4192-1,""),"")</f>
        <v/>
      </c>
      <c r="F4193" s="28">
        <f>IFERROR(D4193-Dashboard!$B$4/252,"")</f>
        <v/>
      </c>
      <c r="G4193" s="28">
        <f>IFERROR(E4193-Dashboard!$B$4/252,"")</f>
        <v/>
      </c>
      <c r="H4193" s="8">
        <f>IFERROR(IF(ISNUMBER(B4193),MAX(B4193,IFERROR(H4192,B4193)),""),"")</f>
        <v/>
      </c>
      <c r="I4193" s="29">
        <f>IFERROR(IF(AND(ISNUMBER(B4193),ISNUMBER(H4193)),B4193/H4193-1,""),"")</f>
        <v/>
      </c>
      <c r="J4193" s="8">
        <f>IFERROR(IF(ISNUMBER(C4193),MAX(C4193,IFERROR(J4192,C4193)),""),"")</f>
        <v/>
      </c>
      <c r="K4193" s="29">
        <f>IFERROR(IF(AND(ISNUMBER(C4193),ISNUMBER(J4193)),C4193/J4193-1,""),"")</f>
        <v/>
      </c>
      <c r="L4193" s="28">
        <f>IFERROR(IF(AND(ISNUMBER(D4193),ISNUMBER(E4193)),D4193-E4193,""),"")</f>
        <v/>
      </c>
    </row>
    <row r="4194">
      <c r="A4194" s="7">
        <f>IFERROR(Datos!A4194,"")</f>
        <v/>
      </c>
      <c r="B4194" s="8">
        <f>IFERROR(Datos!B4194,"")</f>
        <v/>
      </c>
      <c r="C4194" s="8">
        <f>IFERROR(Datos!C4194,"")</f>
        <v/>
      </c>
      <c r="D4194" s="28">
        <f>IFERROR(IF(AND(ISNUMBER(B4194),ISNUMBER(B4193),B4193&lt;&gt;0),B4194/B4193-1,""),"")</f>
        <v/>
      </c>
      <c r="E4194" s="28">
        <f>IFERROR(IF(AND(ISNUMBER(C4194),ISNUMBER(C4193),C4193&lt;&gt;0),C4194/C4193-1,""),"")</f>
        <v/>
      </c>
      <c r="F4194" s="28">
        <f>IFERROR(D4194-Dashboard!$B$4/252,"")</f>
        <v/>
      </c>
      <c r="G4194" s="28">
        <f>IFERROR(E4194-Dashboard!$B$4/252,"")</f>
        <v/>
      </c>
      <c r="H4194" s="8">
        <f>IFERROR(IF(ISNUMBER(B4194),MAX(B4194,IFERROR(H4193,B4194)),""),"")</f>
        <v/>
      </c>
      <c r="I4194" s="29">
        <f>IFERROR(IF(AND(ISNUMBER(B4194),ISNUMBER(H4194)),B4194/H4194-1,""),"")</f>
        <v/>
      </c>
      <c r="J4194" s="8">
        <f>IFERROR(IF(ISNUMBER(C4194),MAX(C4194,IFERROR(J4193,C4194)),""),"")</f>
        <v/>
      </c>
      <c r="K4194" s="29">
        <f>IFERROR(IF(AND(ISNUMBER(C4194),ISNUMBER(J4194)),C4194/J4194-1,""),"")</f>
        <v/>
      </c>
      <c r="L4194" s="28">
        <f>IFERROR(IF(AND(ISNUMBER(D4194),ISNUMBER(E4194)),D4194-E4194,""),"")</f>
        <v/>
      </c>
    </row>
    <row r="4195">
      <c r="A4195" s="7">
        <f>IFERROR(Datos!A4195,"")</f>
        <v/>
      </c>
      <c r="B4195" s="8">
        <f>IFERROR(Datos!B4195,"")</f>
        <v/>
      </c>
      <c r="C4195" s="8">
        <f>IFERROR(Datos!C4195,"")</f>
        <v/>
      </c>
      <c r="D4195" s="28">
        <f>IFERROR(IF(AND(ISNUMBER(B4195),ISNUMBER(B4194),B4194&lt;&gt;0),B4195/B4194-1,""),"")</f>
        <v/>
      </c>
      <c r="E4195" s="28">
        <f>IFERROR(IF(AND(ISNUMBER(C4195),ISNUMBER(C4194),C4194&lt;&gt;0),C4195/C4194-1,""),"")</f>
        <v/>
      </c>
      <c r="F4195" s="28">
        <f>IFERROR(D4195-Dashboard!$B$4/252,"")</f>
        <v/>
      </c>
      <c r="G4195" s="28">
        <f>IFERROR(E4195-Dashboard!$B$4/252,"")</f>
        <v/>
      </c>
      <c r="H4195" s="8">
        <f>IFERROR(IF(ISNUMBER(B4195),MAX(B4195,IFERROR(H4194,B4195)),""),"")</f>
        <v/>
      </c>
      <c r="I4195" s="29">
        <f>IFERROR(IF(AND(ISNUMBER(B4195),ISNUMBER(H4195)),B4195/H4195-1,""),"")</f>
        <v/>
      </c>
      <c r="J4195" s="8">
        <f>IFERROR(IF(ISNUMBER(C4195),MAX(C4195,IFERROR(J4194,C4195)),""),"")</f>
        <v/>
      </c>
      <c r="K4195" s="29">
        <f>IFERROR(IF(AND(ISNUMBER(C4195),ISNUMBER(J4195)),C4195/J4195-1,""),"")</f>
        <v/>
      </c>
      <c r="L4195" s="28">
        <f>IFERROR(IF(AND(ISNUMBER(D4195),ISNUMBER(E4195)),D4195-E4195,""),"")</f>
        <v/>
      </c>
    </row>
    <row r="4196">
      <c r="A4196" s="7">
        <f>IFERROR(Datos!A4196,"")</f>
        <v/>
      </c>
      <c r="B4196" s="8">
        <f>IFERROR(Datos!B4196,"")</f>
        <v/>
      </c>
      <c r="C4196" s="8">
        <f>IFERROR(Datos!C4196,"")</f>
        <v/>
      </c>
      <c r="D4196" s="28">
        <f>IFERROR(IF(AND(ISNUMBER(B4196),ISNUMBER(B4195),B4195&lt;&gt;0),B4196/B4195-1,""),"")</f>
        <v/>
      </c>
      <c r="E4196" s="28">
        <f>IFERROR(IF(AND(ISNUMBER(C4196),ISNUMBER(C4195),C4195&lt;&gt;0),C4196/C4195-1,""),"")</f>
        <v/>
      </c>
      <c r="F4196" s="28">
        <f>IFERROR(D4196-Dashboard!$B$4/252,"")</f>
        <v/>
      </c>
      <c r="G4196" s="28">
        <f>IFERROR(E4196-Dashboard!$B$4/252,"")</f>
        <v/>
      </c>
      <c r="H4196" s="8">
        <f>IFERROR(IF(ISNUMBER(B4196),MAX(B4196,IFERROR(H4195,B4196)),""),"")</f>
        <v/>
      </c>
      <c r="I4196" s="29">
        <f>IFERROR(IF(AND(ISNUMBER(B4196),ISNUMBER(H4196)),B4196/H4196-1,""),"")</f>
        <v/>
      </c>
      <c r="J4196" s="8">
        <f>IFERROR(IF(ISNUMBER(C4196),MAX(C4196,IFERROR(J4195,C4196)),""),"")</f>
        <v/>
      </c>
      <c r="K4196" s="29">
        <f>IFERROR(IF(AND(ISNUMBER(C4196),ISNUMBER(J4196)),C4196/J4196-1,""),"")</f>
        <v/>
      </c>
      <c r="L4196" s="28">
        <f>IFERROR(IF(AND(ISNUMBER(D4196),ISNUMBER(E4196)),D4196-E4196,""),"")</f>
        <v/>
      </c>
    </row>
    <row r="4197">
      <c r="A4197" s="7">
        <f>IFERROR(Datos!A4197,"")</f>
        <v/>
      </c>
      <c r="B4197" s="8">
        <f>IFERROR(Datos!B4197,"")</f>
        <v/>
      </c>
      <c r="C4197" s="8">
        <f>IFERROR(Datos!C4197,"")</f>
        <v/>
      </c>
      <c r="D4197" s="28">
        <f>IFERROR(IF(AND(ISNUMBER(B4197),ISNUMBER(B4196),B4196&lt;&gt;0),B4197/B4196-1,""),"")</f>
        <v/>
      </c>
      <c r="E4197" s="28">
        <f>IFERROR(IF(AND(ISNUMBER(C4197),ISNUMBER(C4196),C4196&lt;&gt;0),C4197/C4196-1,""),"")</f>
        <v/>
      </c>
      <c r="F4197" s="28">
        <f>IFERROR(D4197-Dashboard!$B$4/252,"")</f>
        <v/>
      </c>
      <c r="G4197" s="28">
        <f>IFERROR(E4197-Dashboard!$B$4/252,"")</f>
        <v/>
      </c>
      <c r="H4197" s="8">
        <f>IFERROR(IF(ISNUMBER(B4197),MAX(B4197,IFERROR(H4196,B4197)),""),"")</f>
        <v/>
      </c>
      <c r="I4197" s="29">
        <f>IFERROR(IF(AND(ISNUMBER(B4197),ISNUMBER(H4197)),B4197/H4197-1,""),"")</f>
        <v/>
      </c>
      <c r="J4197" s="8">
        <f>IFERROR(IF(ISNUMBER(C4197),MAX(C4197,IFERROR(J4196,C4197)),""),"")</f>
        <v/>
      </c>
      <c r="K4197" s="29">
        <f>IFERROR(IF(AND(ISNUMBER(C4197),ISNUMBER(J4197)),C4197/J4197-1,""),"")</f>
        <v/>
      </c>
      <c r="L4197" s="28">
        <f>IFERROR(IF(AND(ISNUMBER(D4197),ISNUMBER(E4197)),D4197-E4197,""),"")</f>
        <v/>
      </c>
    </row>
    <row r="4198">
      <c r="A4198" s="7">
        <f>IFERROR(Datos!A4198,"")</f>
        <v/>
      </c>
      <c r="B4198" s="8">
        <f>IFERROR(Datos!B4198,"")</f>
        <v/>
      </c>
      <c r="C4198" s="8">
        <f>IFERROR(Datos!C4198,"")</f>
        <v/>
      </c>
      <c r="D4198" s="28">
        <f>IFERROR(IF(AND(ISNUMBER(B4198),ISNUMBER(B4197),B4197&lt;&gt;0),B4198/B4197-1,""),"")</f>
        <v/>
      </c>
      <c r="E4198" s="28">
        <f>IFERROR(IF(AND(ISNUMBER(C4198),ISNUMBER(C4197),C4197&lt;&gt;0),C4198/C4197-1,""),"")</f>
        <v/>
      </c>
      <c r="F4198" s="28">
        <f>IFERROR(D4198-Dashboard!$B$4/252,"")</f>
        <v/>
      </c>
      <c r="G4198" s="28">
        <f>IFERROR(E4198-Dashboard!$B$4/252,"")</f>
        <v/>
      </c>
      <c r="H4198" s="8">
        <f>IFERROR(IF(ISNUMBER(B4198),MAX(B4198,IFERROR(H4197,B4198)),""),"")</f>
        <v/>
      </c>
      <c r="I4198" s="29">
        <f>IFERROR(IF(AND(ISNUMBER(B4198),ISNUMBER(H4198)),B4198/H4198-1,""),"")</f>
        <v/>
      </c>
      <c r="J4198" s="8">
        <f>IFERROR(IF(ISNUMBER(C4198),MAX(C4198,IFERROR(J4197,C4198)),""),"")</f>
        <v/>
      </c>
      <c r="K4198" s="29">
        <f>IFERROR(IF(AND(ISNUMBER(C4198),ISNUMBER(J4198)),C4198/J4198-1,""),"")</f>
        <v/>
      </c>
      <c r="L4198" s="28">
        <f>IFERROR(IF(AND(ISNUMBER(D4198),ISNUMBER(E4198)),D4198-E4198,""),"")</f>
        <v/>
      </c>
    </row>
    <row r="4199">
      <c r="A4199" s="7">
        <f>IFERROR(Datos!A4199,"")</f>
        <v/>
      </c>
      <c r="B4199" s="8">
        <f>IFERROR(Datos!B4199,"")</f>
        <v/>
      </c>
      <c r="C4199" s="8">
        <f>IFERROR(Datos!C4199,"")</f>
        <v/>
      </c>
      <c r="D4199" s="28">
        <f>IFERROR(IF(AND(ISNUMBER(B4199),ISNUMBER(B4198),B4198&lt;&gt;0),B4199/B4198-1,""),"")</f>
        <v/>
      </c>
      <c r="E4199" s="28">
        <f>IFERROR(IF(AND(ISNUMBER(C4199),ISNUMBER(C4198),C4198&lt;&gt;0),C4199/C4198-1,""),"")</f>
        <v/>
      </c>
      <c r="F4199" s="28">
        <f>IFERROR(D4199-Dashboard!$B$4/252,"")</f>
        <v/>
      </c>
      <c r="G4199" s="28">
        <f>IFERROR(E4199-Dashboard!$B$4/252,"")</f>
        <v/>
      </c>
      <c r="H4199" s="8">
        <f>IFERROR(IF(ISNUMBER(B4199),MAX(B4199,IFERROR(H4198,B4199)),""),"")</f>
        <v/>
      </c>
      <c r="I4199" s="29">
        <f>IFERROR(IF(AND(ISNUMBER(B4199),ISNUMBER(H4199)),B4199/H4199-1,""),"")</f>
        <v/>
      </c>
      <c r="J4199" s="8">
        <f>IFERROR(IF(ISNUMBER(C4199),MAX(C4199,IFERROR(J4198,C4199)),""),"")</f>
        <v/>
      </c>
      <c r="K4199" s="29">
        <f>IFERROR(IF(AND(ISNUMBER(C4199),ISNUMBER(J4199)),C4199/J4199-1,""),"")</f>
        <v/>
      </c>
      <c r="L4199" s="28">
        <f>IFERROR(IF(AND(ISNUMBER(D4199),ISNUMBER(E4199)),D4199-E4199,""),"")</f>
        <v/>
      </c>
    </row>
    <row r="4200">
      <c r="A4200" s="7">
        <f>IFERROR(Datos!A4200,"")</f>
        <v/>
      </c>
      <c r="B4200" s="8">
        <f>IFERROR(Datos!B4200,"")</f>
        <v/>
      </c>
      <c r="C4200" s="8">
        <f>IFERROR(Datos!C4200,"")</f>
        <v/>
      </c>
      <c r="D4200" s="28">
        <f>IFERROR(IF(AND(ISNUMBER(B4200),ISNUMBER(B4199),B4199&lt;&gt;0),B4200/B4199-1,""),"")</f>
        <v/>
      </c>
      <c r="E4200" s="28">
        <f>IFERROR(IF(AND(ISNUMBER(C4200),ISNUMBER(C4199),C4199&lt;&gt;0),C4200/C4199-1,""),"")</f>
        <v/>
      </c>
      <c r="F4200" s="28">
        <f>IFERROR(D4200-Dashboard!$B$4/252,"")</f>
        <v/>
      </c>
      <c r="G4200" s="28">
        <f>IFERROR(E4200-Dashboard!$B$4/252,"")</f>
        <v/>
      </c>
      <c r="H4200" s="8">
        <f>IFERROR(IF(ISNUMBER(B4200),MAX(B4200,IFERROR(H4199,B4200)),""),"")</f>
        <v/>
      </c>
      <c r="I4200" s="29">
        <f>IFERROR(IF(AND(ISNUMBER(B4200),ISNUMBER(H4200)),B4200/H4200-1,""),"")</f>
        <v/>
      </c>
      <c r="J4200" s="8">
        <f>IFERROR(IF(ISNUMBER(C4200),MAX(C4200,IFERROR(J4199,C4200)),""),"")</f>
        <v/>
      </c>
      <c r="K4200" s="29">
        <f>IFERROR(IF(AND(ISNUMBER(C4200),ISNUMBER(J4200)),C4200/J4200-1,""),"")</f>
        <v/>
      </c>
      <c r="L4200" s="28">
        <f>IFERROR(IF(AND(ISNUMBER(D4200),ISNUMBER(E4200)),D4200-E4200,""),"")</f>
        <v/>
      </c>
    </row>
    <row r="4201">
      <c r="A4201" s="7">
        <f>IFERROR(Datos!A4201,"")</f>
        <v/>
      </c>
      <c r="B4201" s="8">
        <f>IFERROR(Datos!B4201,"")</f>
        <v/>
      </c>
      <c r="C4201" s="8">
        <f>IFERROR(Datos!C4201,"")</f>
        <v/>
      </c>
      <c r="D4201" s="28">
        <f>IFERROR(IF(AND(ISNUMBER(B4201),ISNUMBER(B4200),B4200&lt;&gt;0),B4201/B4200-1,""),"")</f>
        <v/>
      </c>
      <c r="E4201" s="28">
        <f>IFERROR(IF(AND(ISNUMBER(C4201),ISNUMBER(C4200),C4200&lt;&gt;0),C4201/C4200-1,""),"")</f>
        <v/>
      </c>
      <c r="F4201" s="28">
        <f>IFERROR(D4201-Dashboard!$B$4/252,"")</f>
        <v/>
      </c>
      <c r="G4201" s="28">
        <f>IFERROR(E4201-Dashboard!$B$4/252,"")</f>
        <v/>
      </c>
      <c r="H4201" s="8">
        <f>IFERROR(IF(ISNUMBER(B4201),MAX(B4201,IFERROR(H4200,B4201)),""),"")</f>
        <v/>
      </c>
      <c r="I4201" s="29">
        <f>IFERROR(IF(AND(ISNUMBER(B4201),ISNUMBER(H4201)),B4201/H4201-1,""),"")</f>
        <v/>
      </c>
      <c r="J4201" s="8">
        <f>IFERROR(IF(ISNUMBER(C4201),MAX(C4201,IFERROR(J4200,C4201)),""),"")</f>
        <v/>
      </c>
      <c r="K4201" s="29">
        <f>IFERROR(IF(AND(ISNUMBER(C4201),ISNUMBER(J4201)),C4201/J4201-1,""),"")</f>
        <v/>
      </c>
      <c r="L4201" s="28">
        <f>IFERROR(IF(AND(ISNUMBER(D4201),ISNUMBER(E4201)),D4201-E4201,""),"")</f>
        <v/>
      </c>
    </row>
    <row r="4202">
      <c r="A4202" s="7">
        <f>IFERROR(Datos!A4202,"")</f>
        <v/>
      </c>
      <c r="B4202" s="8">
        <f>IFERROR(Datos!B4202,"")</f>
        <v/>
      </c>
      <c r="C4202" s="8">
        <f>IFERROR(Datos!C4202,"")</f>
        <v/>
      </c>
      <c r="D4202" s="28">
        <f>IFERROR(IF(AND(ISNUMBER(B4202),ISNUMBER(B4201),B4201&lt;&gt;0),B4202/B4201-1,""),"")</f>
        <v/>
      </c>
      <c r="E4202" s="28">
        <f>IFERROR(IF(AND(ISNUMBER(C4202),ISNUMBER(C4201),C4201&lt;&gt;0),C4202/C4201-1,""),"")</f>
        <v/>
      </c>
      <c r="F4202" s="28">
        <f>IFERROR(D4202-Dashboard!$B$4/252,"")</f>
        <v/>
      </c>
      <c r="G4202" s="28">
        <f>IFERROR(E4202-Dashboard!$B$4/252,"")</f>
        <v/>
      </c>
      <c r="H4202" s="8">
        <f>IFERROR(IF(ISNUMBER(B4202),MAX(B4202,IFERROR(H4201,B4202)),""),"")</f>
        <v/>
      </c>
      <c r="I4202" s="29">
        <f>IFERROR(IF(AND(ISNUMBER(B4202),ISNUMBER(H4202)),B4202/H4202-1,""),"")</f>
        <v/>
      </c>
      <c r="J4202" s="8">
        <f>IFERROR(IF(ISNUMBER(C4202),MAX(C4202,IFERROR(J4201,C4202)),""),"")</f>
        <v/>
      </c>
      <c r="K4202" s="29">
        <f>IFERROR(IF(AND(ISNUMBER(C4202),ISNUMBER(J4202)),C4202/J4202-1,""),"")</f>
        <v/>
      </c>
      <c r="L4202" s="28">
        <f>IFERROR(IF(AND(ISNUMBER(D4202),ISNUMBER(E4202)),D4202-E4202,""),"")</f>
        <v/>
      </c>
    </row>
    <row r="4203">
      <c r="A4203" s="7">
        <f>IFERROR(Datos!A4203,"")</f>
        <v/>
      </c>
      <c r="B4203" s="8">
        <f>IFERROR(Datos!B4203,"")</f>
        <v/>
      </c>
      <c r="C4203" s="8">
        <f>IFERROR(Datos!C4203,"")</f>
        <v/>
      </c>
      <c r="D4203" s="28">
        <f>IFERROR(IF(AND(ISNUMBER(B4203),ISNUMBER(B4202),B4202&lt;&gt;0),B4203/B4202-1,""),"")</f>
        <v/>
      </c>
      <c r="E4203" s="28">
        <f>IFERROR(IF(AND(ISNUMBER(C4203),ISNUMBER(C4202),C4202&lt;&gt;0),C4203/C4202-1,""),"")</f>
        <v/>
      </c>
      <c r="F4203" s="28">
        <f>IFERROR(D4203-Dashboard!$B$4/252,"")</f>
        <v/>
      </c>
      <c r="G4203" s="28">
        <f>IFERROR(E4203-Dashboard!$B$4/252,"")</f>
        <v/>
      </c>
      <c r="H4203" s="8">
        <f>IFERROR(IF(ISNUMBER(B4203),MAX(B4203,IFERROR(H4202,B4203)),""),"")</f>
        <v/>
      </c>
      <c r="I4203" s="29">
        <f>IFERROR(IF(AND(ISNUMBER(B4203),ISNUMBER(H4203)),B4203/H4203-1,""),"")</f>
        <v/>
      </c>
      <c r="J4203" s="8">
        <f>IFERROR(IF(ISNUMBER(C4203),MAX(C4203,IFERROR(J4202,C4203)),""),"")</f>
        <v/>
      </c>
      <c r="K4203" s="29">
        <f>IFERROR(IF(AND(ISNUMBER(C4203),ISNUMBER(J4203)),C4203/J4203-1,""),"")</f>
        <v/>
      </c>
      <c r="L4203" s="28">
        <f>IFERROR(IF(AND(ISNUMBER(D4203),ISNUMBER(E4203)),D4203-E4203,""),"")</f>
        <v/>
      </c>
    </row>
    <row r="4204">
      <c r="A4204" s="7">
        <f>IFERROR(Datos!A4204,"")</f>
        <v/>
      </c>
      <c r="B4204" s="8">
        <f>IFERROR(Datos!B4204,"")</f>
        <v/>
      </c>
      <c r="C4204" s="8">
        <f>IFERROR(Datos!C4204,"")</f>
        <v/>
      </c>
      <c r="D4204" s="28">
        <f>IFERROR(IF(AND(ISNUMBER(B4204),ISNUMBER(B4203),B4203&lt;&gt;0),B4204/B4203-1,""),"")</f>
        <v/>
      </c>
      <c r="E4204" s="28">
        <f>IFERROR(IF(AND(ISNUMBER(C4204),ISNUMBER(C4203),C4203&lt;&gt;0),C4204/C4203-1,""),"")</f>
        <v/>
      </c>
      <c r="F4204" s="28">
        <f>IFERROR(D4204-Dashboard!$B$4/252,"")</f>
        <v/>
      </c>
      <c r="G4204" s="28">
        <f>IFERROR(E4204-Dashboard!$B$4/252,"")</f>
        <v/>
      </c>
      <c r="H4204" s="8">
        <f>IFERROR(IF(ISNUMBER(B4204),MAX(B4204,IFERROR(H4203,B4204)),""),"")</f>
        <v/>
      </c>
      <c r="I4204" s="29">
        <f>IFERROR(IF(AND(ISNUMBER(B4204),ISNUMBER(H4204)),B4204/H4204-1,""),"")</f>
        <v/>
      </c>
      <c r="J4204" s="8">
        <f>IFERROR(IF(ISNUMBER(C4204),MAX(C4204,IFERROR(J4203,C4204)),""),"")</f>
        <v/>
      </c>
      <c r="K4204" s="29">
        <f>IFERROR(IF(AND(ISNUMBER(C4204),ISNUMBER(J4204)),C4204/J4204-1,""),"")</f>
        <v/>
      </c>
      <c r="L4204" s="28">
        <f>IFERROR(IF(AND(ISNUMBER(D4204),ISNUMBER(E4204)),D4204-E4204,""),"")</f>
        <v/>
      </c>
    </row>
    <row r="4205">
      <c r="A4205" s="7">
        <f>IFERROR(Datos!A4205,"")</f>
        <v/>
      </c>
      <c r="B4205" s="8">
        <f>IFERROR(Datos!B4205,"")</f>
        <v/>
      </c>
      <c r="C4205" s="8">
        <f>IFERROR(Datos!C4205,"")</f>
        <v/>
      </c>
      <c r="D4205" s="28">
        <f>IFERROR(IF(AND(ISNUMBER(B4205),ISNUMBER(B4204),B4204&lt;&gt;0),B4205/B4204-1,""),"")</f>
        <v/>
      </c>
      <c r="E4205" s="28">
        <f>IFERROR(IF(AND(ISNUMBER(C4205),ISNUMBER(C4204),C4204&lt;&gt;0),C4205/C4204-1,""),"")</f>
        <v/>
      </c>
      <c r="F4205" s="28">
        <f>IFERROR(D4205-Dashboard!$B$4/252,"")</f>
        <v/>
      </c>
      <c r="G4205" s="28">
        <f>IFERROR(E4205-Dashboard!$B$4/252,"")</f>
        <v/>
      </c>
      <c r="H4205" s="8">
        <f>IFERROR(IF(ISNUMBER(B4205),MAX(B4205,IFERROR(H4204,B4205)),""),"")</f>
        <v/>
      </c>
      <c r="I4205" s="29">
        <f>IFERROR(IF(AND(ISNUMBER(B4205),ISNUMBER(H4205)),B4205/H4205-1,""),"")</f>
        <v/>
      </c>
      <c r="J4205" s="8">
        <f>IFERROR(IF(ISNUMBER(C4205),MAX(C4205,IFERROR(J4204,C4205)),""),"")</f>
        <v/>
      </c>
      <c r="K4205" s="29">
        <f>IFERROR(IF(AND(ISNUMBER(C4205),ISNUMBER(J4205)),C4205/J4205-1,""),"")</f>
        <v/>
      </c>
      <c r="L4205" s="28">
        <f>IFERROR(IF(AND(ISNUMBER(D4205),ISNUMBER(E4205)),D4205-E4205,""),"")</f>
        <v/>
      </c>
    </row>
    <row r="4206">
      <c r="A4206" s="7">
        <f>IFERROR(Datos!A4206,"")</f>
        <v/>
      </c>
      <c r="B4206" s="8">
        <f>IFERROR(Datos!B4206,"")</f>
        <v/>
      </c>
      <c r="C4206" s="8">
        <f>IFERROR(Datos!C4206,"")</f>
        <v/>
      </c>
      <c r="D4206" s="28">
        <f>IFERROR(IF(AND(ISNUMBER(B4206),ISNUMBER(B4205),B4205&lt;&gt;0),B4206/B4205-1,""),"")</f>
        <v/>
      </c>
      <c r="E4206" s="28">
        <f>IFERROR(IF(AND(ISNUMBER(C4206),ISNUMBER(C4205),C4205&lt;&gt;0),C4206/C4205-1,""),"")</f>
        <v/>
      </c>
      <c r="F4206" s="28">
        <f>IFERROR(D4206-Dashboard!$B$4/252,"")</f>
        <v/>
      </c>
      <c r="G4206" s="28">
        <f>IFERROR(E4206-Dashboard!$B$4/252,"")</f>
        <v/>
      </c>
      <c r="H4206" s="8">
        <f>IFERROR(IF(ISNUMBER(B4206),MAX(B4206,IFERROR(H4205,B4206)),""),"")</f>
        <v/>
      </c>
      <c r="I4206" s="29">
        <f>IFERROR(IF(AND(ISNUMBER(B4206),ISNUMBER(H4206)),B4206/H4206-1,""),"")</f>
        <v/>
      </c>
      <c r="J4206" s="8">
        <f>IFERROR(IF(ISNUMBER(C4206),MAX(C4206,IFERROR(J4205,C4206)),""),"")</f>
        <v/>
      </c>
      <c r="K4206" s="29">
        <f>IFERROR(IF(AND(ISNUMBER(C4206),ISNUMBER(J4206)),C4206/J4206-1,""),"")</f>
        <v/>
      </c>
      <c r="L4206" s="28">
        <f>IFERROR(IF(AND(ISNUMBER(D4206),ISNUMBER(E4206)),D4206-E4206,""),"")</f>
        <v/>
      </c>
    </row>
    <row r="4207">
      <c r="A4207" s="7">
        <f>IFERROR(Datos!A4207,"")</f>
        <v/>
      </c>
      <c r="B4207" s="8">
        <f>IFERROR(Datos!B4207,"")</f>
        <v/>
      </c>
      <c r="C4207" s="8">
        <f>IFERROR(Datos!C4207,"")</f>
        <v/>
      </c>
      <c r="D4207" s="28">
        <f>IFERROR(IF(AND(ISNUMBER(B4207),ISNUMBER(B4206),B4206&lt;&gt;0),B4207/B4206-1,""),"")</f>
        <v/>
      </c>
      <c r="E4207" s="28">
        <f>IFERROR(IF(AND(ISNUMBER(C4207),ISNUMBER(C4206),C4206&lt;&gt;0),C4207/C4206-1,""),"")</f>
        <v/>
      </c>
      <c r="F4207" s="28">
        <f>IFERROR(D4207-Dashboard!$B$4/252,"")</f>
        <v/>
      </c>
      <c r="G4207" s="28">
        <f>IFERROR(E4207-Dashboard!$B$4/252,"")</f>
        <v/>
      </c>
      <c r="H4207" s="8">
        <f>IFERROR(IF(ISNUMBER(B4207),MAX(B4207,IFERROR(H4206,B4207)),""),"")</f>
        <v/>
      </c>
      <c r="I4207" s="29">
        <f>IFERROR(IF(AND(ISNUMBER(B4207),ISNUMBER(H4207)),B4207/H4207-1,""),"")</f>
        <v/>
      </c>
      <c r="J4207" s="8">
        <f>IFERROR(IF(ISNUMBER(C4207),MAX(C4207,IFERROR(J4206,C4207)),""),"")</f>
        <v/>
      </c>
      <c r="K4207" s="29">
        <f>IFERROR(IF(AND(ISNUMBER(C4207),ISNUMBER(J4207)),C4207/J4207-1,""),"")</f>
        <v/>
      </c>
      <c r="L4207" s="28">
        <f>IFERROR(IF(AND(ISNUMBER(D4207),ISNUMBER(E4207)),D4207-E4207,""),"")</f>
        <v/>
      </c>
    </row>
    <row r="4208">
      <c r="A4208" s="7">
        <f>IFERROR(Datos!A4208,"")</f>
        <v/>
      </c>
      <c r="B4208" s="8">
        <f>IFERROR(Datos!B4208,"")</f>
        <v/>
      </c>
      <c r="C4208" s="8">
        <f>IFERROR(Datos!C4208,"")</f>
        <v/>
      </c>
      <c r="D4208" s="28">
        <f>IFERROR(IF(AND(ISNUMBER(B4208),ISNUMBER(B4207),B4207&lt;&gt;0),B4208/B4207-1,""),"")</f>
        <v/>
      </c>
      <c r="E4208" s="28">
        <f>IFERROR(IF(AND(ISNUMBER(C4208),ISNUMBER(C4207),C4207&lt;&gt;0),C4208/C4207-1,""),"")</f>
        <v/>
      </c>
      <c r="F4208" s="28">
        <f>IFERROR(D4208-Dashboard!$B$4/252,"")</f>
        <v/>
      </c>
      <c r="G4208" s="28">
        <f>IFERROR(E4208-Dashboard!$B$4/252,"")</f>
        <v/>
      </c>
      <c r="H4208" s="8">
        <f>IFERROR(IF(ISNUMBER(B4208),MAX(B4208,IFERROR(H4207,B4208)),""),"")</f>
        <v/>
      </c>
      <c r="I4208" s="29">
        <f>IFERROR(IF(AND(ISNUMBER(B4208),ISNUMBER(H4208)),B4208/H4208-1,""),"")</f>
        <v/>
      </c>
      <c r="J4208" s="8">
        <f>IFERROR(IF(ISNUMBER(C4208),MAX(C4208,IFERROR(J4207,C4208)),""),"")</f>
        <v/>
      </c>
      <c r="K4208" s="29">
        <f>IFERROR(IF(AND(ISNUMBER(C4208),ISNUMBER(J4208)),C4208/J4208-1,""),"")</f>
        <v/>
      </c>
      <c r="L4208" s="28">
        <f>IFERROR(IF(AND(ISNUMBER(D4208),ISNUMBER(E4208)),D4208-E4208,""),"")</f>
        <v/>
      </c>
    </row>
    <row r="4209">
      <c r="A4209" s="7">
        <f>IFERROR(Datos!A4209,"")</f>
        <v/>
      </c>
      <c r="B4209" s="8">
        <f>IFERROR(Datos!B4209,"")</f>
        <v/>
      </c>
      <c r="C4209" s="8">
        <f>IFERROR(Datos!C4209,"")</f>
        <v/>
      </c>
      <c r="D4209" s="28">
        <f>IFERROR(IF(AND(ISNUMBER(B4209),ISNUMBER(B4208),B4208&lt;&gt;0),B4209/B4208-1,""),"")</f>
        <v/>
      </c>
      <c r="E4209" s="28">
        <f>IFERROR(IF(AND(ISNUMBER(C4209),ISNUMBER(C4208),C4208&lt;&gt;0),C4209/C4208-1,""),"")</f>
        <v/>
      </c>
      <c r="F4209" s="28">
        <f>IFERROR(D4209-Dashboard!$B$4/252,"")</f>
        <v/>
      </c>
      <c r="G4209" s="28">
        <f>IFERROR(E4209-Dashboard!$B$4/252,"")</f>
        <v/>
      </c>
      <c r="H4209" s="8">
        <f>IFERROR(IF(ISNUMBER(B4209),MAX(B4209,IFERROR(H4208,B4209)),""),"")</f>
        <v/>
      </c>
      <c r="I4209" s="29">
        <f>IFERROR(IF(AND(ISNUMBER(B4209),ISNUMBER(H4209)),B4209/H4209-1,""),"")</f>
        <v/>
      </c>
      <c r="J4209" s="8">
        <f>IFERROR(IF(ISNUMBER(C4209),MAX(C4209,IFERROR(J4208,C4209)),""),"")</f>
        <v/>
      </c>
      <c r="K4209" s="29">
        <f>IFERROR(IF(AND(ISNUMBER(C4209),ISNUMBER(J4209)),C4209/J4209-1,""),"")</f>
        <v/>
      </c>
      <c r="L4209" s="28">
        <f>IFERROR(IF(AND(ISNUMBER(D4209),ISNUMBER(E4209)),D4209-E4209,""),"")</f>
        <v/>
      </c>
    </row>
    <row r="4210">
      <c r="A4210" s="7">
        <f>IFERROR(Datos!A4210,"")</f>
        <v/>
      </c>
      <c r="B4210" s="8">
        <f>IFERROR(Datos!B4210,"")</f>
        <v/>
      </c>
      <c r="C4210" s="8">
        <f>IFERROR(Datos!C4210,"")</f>
        <v/>
      </c>
      <c r="D4210" s="28">
        <f>IFERROR(IF(AND(ISNUMBER(B4210),ISNUMBER(B4209),B4209&lt;&gt;0),B4210/B4209-1,""),"")</f>
        <v/>
      </c>
      <c r="E4210" s="28">
        <f>IFERROR(IF(AND(ISNUMBER(C4210),ISNUMBER(C4209),C4209&lt;&gt;0),C4210/C4209-1,""),"")</f>
        <v/>
      </c>
      <c r="F4210" s="28">
        <f>IFERROR(D4210-Dashboard!$B$4/252,"")</f>
        <v/>
      </c>
      <c r="G4210" s="28">
        <f>IFERROR(E4210-Dashboard!$B$4/252,"")</f>
        <v/>
      </c>
      <c r="H4210" s="8">
        <f>IFERROR(IF(ISNUMBER(B4210),MAX(B4210,IFERROR(H4209,B4210)),""),"")</f>
        <v/>
      </c>
      <c r="I4210" s="29">
        <f>IFERROR(IF(AND(ISNUMBER(B4210),ISNUMBER(H4210)),B4210/H4210-1,""),"")</f>
        <v/>
      </c>
      <c r="J4210" s="8">
        <f>IFERROR(IF(ISNUMBER(C4210),MAX(C4210,IFERROR(J4209,C4210)),""),"")</f>
        <v/>
      </c>
      <c r="K4210" s="29">
        <f>IFERROR(IF(AND(ISNUMBER(C4210),ISNUMBER(J4210)),C4210/J4210-1,""),"")</f>
        <v/>
      </c>
      <c r="L4210" s="28">
        <f>IFERROR(IF(AND(ISNUMBER(D4210),ISNUMBER(E4210)),D4210-E4210,""),"")</f>
        <v/>
      </c>
    </row>
    <row r="4211">
      <c r="A4211" s="7">
        <f>IFERROR(Datos!A4211,"")</f>
        <v/>
      </c>
      <c r="B4211" s="8">
        <f>IFERROR(Datos!B4211,"")</f>
        <v/>
      </c>
      <c r="C4211" s="8">
        <f>IFERROR(Datos!C4211,"")</f>
        <v/>
      </c>
      <c r="D4211" s="28">
        <f>IFERROR(IF(AND(ISNUMBER(B4211),ISNUMBER(B4210),B4210&lt;&gt;0),B4211/B4210-1,""),"")</f>
        <v/>
      </c>
      <c r="E4211" s="28">
        <f>IFERROR(IF(AND(ISNUMBER(C4211),ISNUMBER(C4210),C4210&lt;&gt;0),C4211/C4210-1,""),"")</f>
        <v/>
      </c>
      <c r="F4211" s="28">
        <f>IFERROR(D4211-Dashboard!$B$4/252,"")</f>
        <v/>
      </c>
      <c r="G4211" s="28">
        <f>IFERROR(E4211-Dashboard!$B$4/252,"")</f>
        <v/>
      </c>
      <c r="H4211" s="8">
        <f>IFERROR(IF(ISNUMBER(B4211),MAX(B4211,IFERROR(H4210,B4211)),""),"")</f>
        <v/>
      </c>
      <c r="I4211" s="29">
        <f>IFERROR(IF(AND(ISNUMBER(B4211),ISNUMBER(H4211)),B4211/H4211-1,""),"")</f>
        <v/>
      </c>
      <c r="J4211" s="8">
        <f>IFERROR(IF(ISNUMBER(C4211),MAX(C4211,IFERROR(J4210,C4211)),""),"")</f>
        <v/>
      </c>
      <c r="K4211" s="29">
        <f>IFERROR(IF(AND(ISNUMBER(C4211),ISNUMBER(J4211)),C4211/J4211-1,""),"")</f>
        <v/>
      </c>
      <c r="L4211" s="28">
        <f>IFERROR(IF(AND(ISNUMBER(D4211),ISNUMBER(E4211)),D4211-E4211,""),"")</f>
        <v/>
      </c>
    </row>
    <row r="4212">
      <c r="A4212" s="7">
        <f>IFERROR(Datos!A4212,"")</f>
        <v/>
      </c>
      <c r="B4212" s="8">
        <f>IFERROR(Datos!B4212,"")</f>
        <v/>
      </c>
      <c r="C4212" s="8">
        <f>IFERROR(Datos!C4212,"")</f>
        <v/>
      </c>
      <c r="D4212" s="28">
        <f>IFERROR(IF(AND(ISNUMBER(B4212),ISNUMBER(B4211),B4211&lt;&gt;0),B4212/B4211-1,""),"")</f>
        <v/>
      </c>
      <c r="E4212" s="28">
        <f>IFERROR(IF(AND(ISNUMBER(C4212),ISNUMBER(C4211),C4211&lt;&gt;0),C4212/C4211-1,""),"")</f>
        <v/>
      </c>
      <c r="F4212" s="28">
        <f>IFERROR(D4212-Dashboard!$B$4/252,"")</f>
        <v/>
      </c>
      <c r="G4212" s="28">
        <f>IFERROR(E4212-Dashboard!$B$4/252,"")</f>
        <v/>
      </c>
      <c r="H4212" s="8">
        <f>IFERROR(IF(ISNUMBER(B4212),MAX(B4212,IFERROR(H4211,B4212)),""),"")</f>
        <v/>
      </c>
      <c r="I4212" s="29">
        <f>IFERROR(IF(AND(ISNUMBER(B4212),ISNUMBER(H4212)),B4212/H4212-1,""),"")</f>
        <v/>
      </c>
      <c r="J4212" s="8">
        <f>IFERROR(IF(ISNUMBER(C4212),MAX(C4212,IFERROR(J4211,C4212)),""),"")</f>
        <v/>
      </c>
      <c r="K4212" s="29">
        <f>IFERROR(IF(AND(ISNUMBER(C4212),ISNUMBER(J4212)),C4212/J4212-1,""),"")</f>
        <v/>
      </c>
      <c r="L4212" s="28">
        <f>IFERROR(IF(AND(ISNUMBER(D4212),ISNUMBER(E4212)),D4212-E4212,""),"")</f>
        <v/>
      </c>
    </row>
    <row r="4213">
      <c r="A4213" s="7">
        <f>IFERROR(Datos!A4213,"")</f>
        <v/>
      </c>
      <c r="B4213" s="8">
        <f>IFERROR(Datos!B4213,"")</f>
        <v/>
      </c>
      <c r="C4213" s="8">
        <f>IFERROR(Datos!C4213,"")</f>
        <v/>
      </c>
      <c r="D4213" s="28">
        <f>IFERROR(IF(AND(ISNUMBER(B4213),ISNUMBER(B4212),B4212&lt;&gt;0),B4213/B4212-1,""),"")</f>
        <v/>
      </c>
      <c r="E4213" s="28">
        <f>IFERROR(IF(AND(ISNUMBER(C4213),ISNUMBER(C4212),C4212&lt;&gt;0),C4213/C4212-1,""),"")</f>
        <v/>
      </c>
      <c r="F4213" s="28">
        <f>IFERROR(D4213-Dashboard!$B$4/252,"")</f>
        <v/>
      </c>
      <c r="G4213" s="28">
        <f>IFERROR(E4213-Dashboard!$B$4/252,"")</f>
        <v/>
      </c>
      <c r="H4213" s="8">
        <f>IFERROR(IF(ISNUMBER(B4213),MAX(B4213,IFERROR(H4212,B4213)),""),"")</f>
        <v/>
      </c>
      <c r="I4213" s="29">
        <f>IFERROR(IF(AND(ISNUMBER(B4213),ISNUMBER(H4213)),B4213/H4213-1,""),"")</f>
        <v/>
      </c>
      <c r="J4213" s="8">
        <f>IFERROR(IF(ISNUMBER(C4213),MAX(C4213,IFERROR(J4212,C4213)),""),"")</f>
        <v/>
      </c>
      <c r="K4213" s="29">
        <f>IFERROR(IF(AND(ISNUMBER(C4213),ISNUMBER(J4213)),C4213/J4213-1,""),"")</f>
        <v/>
      </c>
      <c r="L4213" s="28">
        <f>IFERROR(IF(AND(ISNUMBER(D4213),ISNUMBER(E4213)),D4213-E4213,""),"")</f>
        <v/>
      </c>
    </row>
    <row r="4214">
      <c r="A4214" s="7">
        <f>IFERROR(Datos!A4214,"")</f>
        <v/>
      </c>
      <c r="B4214" s="8">
        <f>IFERROR(Datos!B4214,"")</f>
        <v/>
      </c>
      <c r="C4214" s="8">
        <f>IFERROR(Datos!C4214,"")</f>
        <v/>
      </c>
      <c r="D4214" s="28">
        <f>IFERROR(IF(AND(ISNUMBER(B4214),ISNUMBER(B4213),B4213&lt;&gt;0),B4214/B4213-1,""),"")</f>
        <v/>
      </c>
      <c r="E4214" s="28">
        <f>IFERROR(IF(AND(ISNUMBER(C4214),ISNUMBER(C4213),C4213&lt;&gt;0),C4214/C4213-1,""),"")</f>
        <v/>
      </c>
      <c r="F4214" s="28">
        <f>IFERROR(D4214-Dashboard!$B$4/252,"")</f>
        <v/>
      </c>
      <c r="G4214" s="28">
        <f>IFERROR(E4214-Dashboard!$B$4/252,"")</f>
        <v/>
      </c>
      <c r="H4214" s="8">
        <f>IFERROR(IF(ISNUMBER(B4214),MAX(B4214,IFERROR(H4213,B4214)),""),"")</f>
        <v/>
      </c>
      <c r="I4214" s="29">
        <f>IFERROR(IF(AND(ISNUMBER(B4214),ISNUMBER(H4214)),B4214/H4214-1,""),"")</f>
        <v/>
      </c>
      <c r="J4214" s="8">
        <f>IFERROR(IF(ISNUMBER(C4214),MAX(C4214,IFERROR(J4213,C4214)),""),"")</f>
        <v/>
      </c>
      <c r="K4214" s="29">
        <f>IFERROR(IF(AND(ISNUMBER(C4214),ISNUMBER(J4214)),C4214/J4214-1,""),"")</f>
        <v/>
      </c>
      <c r="L4214" s="28">
        <f>IFERROR(IF(AND(ISNUMBER(D4214),ISNUMBER(E4214)),D4214-E4214,""),"")</f>
        <v/>
      </c>
    </row>
    <row r="4215">
      <c r="A4215" s="7">
        <f>IFERROR(Datos!A4215,"")</f>
        <v/>
      </c>
      <c r="B4215" s="8">
        <f>IFERROR(Datos!B4215,"")</f>
        <v/>
      </c>
      <c r="C4215" s="8">
        <f>IFERROR(Datos!C4215,"")</f>
        <v/>
      </c>
      <c r="D4215" s="28">
        <f>IFERROR(IF(AND(ISNUMBER(B4215),ISNUMBER(B4214),B4214&lt;&gt;0),B4215/B4214-1,""),"")</f>
        <v/>
      </c>
      <c r="E4215" s="28">
        <f>IFERROR(IF(AND(ISNUMBER(C4215),ISNUMBER(C4214),C4214&lt;&gt;0),C4215/C4214-1,""),"")</f>
        <v/>
      </c>
      <c r="F4215" s="28">
        <f>IFERROR(D4215-Dashboard!$B$4/252,"")</f>
        <v/>
      </c>
      <c r="G4215" s="28">
        <f>IFERROR(E4215-Dashboard!$B$4/252,"")</f>
        <v/>
      </c>
      <c r="H4215" s="8">
        <f>IFERROR(IF(ISNUMBER(B4215),MAX(B4215,IFERROR(H4214,B4215)),""),"")</f>
        <v/>
      </c>
      <c r="I4215" s="29">
        <f>IFERROR(IF(AND(ISNUMBER(B4215),ISNUMBER(H4215)),B4215/H4215-1,""),"")</f>
        <v/>
      </c>
      <c r="J4215" s="8">
        <f>IFERROR(IF(ISNUMBER(C4215),MAX(C4215,IFERROR(J4214,C4215)),""),"")</f>
        <v/>
      </c>
      <c r="K4215" s="29">
        <f>IFERROR(IF(AND(ISNUMBER(C4215),ISNUMBER(J4215)),C4215/J4215-1,""),"")</f>
        <v/>
      </c>
      <c r="L4215" s="28">
        <f>IFERROR(IF(AND(ISNUMBER(D4215),ISNUMBER(E4215)),D4215-E4215,""),"")</f>
        <v/>
      </c>
    </row>
    <row r="4216">
      <c r="A4216" s="7">
        <f>IFERROR(Datos!A4216,"")</f>
        <v/>
      </c>
      <c r="B4216" s="8">
        <f>IFERROR(Datos!B4216,"")</f>
        <v/>
      </c>
      <c r="C4216" s="8">
        <f>IFERROR(Datos!C4216,"")</f>
        <v/>
      </c>
      <c r="D4216" s="28">
        <f>IFERROR(IF(AND(ISNUMBER(B4216),ISNUMBER(B4215),B4215&lt;&gt;0),B4216/B4215-1,""),"")</f>
        <v/>
      </c>
      <c r="E4216" s="28">
        <f>IFERROR(IF(AND(ISNUMBER(C4216),ISNUMBER(C4215),C4215&lt;&gt;0),C4216/C4215-1,""),"")</f>
        <v/>
      </c>
      <c r="F4216" s="28">
        <f>IFERROR(D4216-Dashboard!$B$4/252,"")</f>
        <v/>
      </c>
      <c r="G4216" s="28">
        <f>IFERROR(E4216-Dashboard!$B$4/252,"")</f>
        <v/>
      </c>
      <c r="H4216" s="8">
        <f>IFERROR(IF(ISNUMBER(B4216),MAX(B4216,IFERROR(H4215,B4216)),""),"")</f>
        <v/>
      </c>
      <c r="I4216" s="29">
        <f>IFERROR(IF(AND(ISNUMBER(B4216),ISNUMBER(H4216)),B4216/H4216-1,""),"")</f>
        <v/>
      </c>
      <c r="J4216" s="8">
        <f>IFERROR(IF(ISNUMBER(C4216),MAX(C4216,IFERROR(J4215,C4216)),""),"")</f>
        <v/>
      </c>
      <c r="K4216" s="29">
        <f>IFERROR(IF(AND(ISNUMBER(C4216),ISNUMBER(J4216)),C4216/J4216-1,""),"")</f>
        <v/>
      </c>
      <c r="L4216" s="28">
        <f>IFERROR(IF(AND(ISNUMBER(D4216),ISNUMBER(E4216)),D4216-E4216,""),"")</f>
        <v/>
      </c>
    </row>
    <row r="4217">
      <c r="A4217" s="7">
        <f>IFERROR(Datos!A4217,"")</f>
        <v/>
      </c>
      <c r="B4217" s="8">
        <f>IFERROR(Datos!B4217,"")</f>
        <v/>
      </c>
      <c r="C4217" s="8">
        <f>IFERROR(Datos!C4217,"")</f>
        <v/>
      </c>
      <c r="D4217" s="28">
        <f>IFERROR(IF(AND(ISNUMBER(B4217),ISNUMBER(B4216),B4216&lt;&gt;0),B4217/B4216-1,""),"")</f>
        <v/>
      </c>
      <c r="E4217" s="28">
        <f>IFERROR(IF(AND(ISNUMBER(C4217),ISNUMBER(C4216),C4216&lt;&gt;0),C4217/C4216-1,""),"")</f>
        <v/>
      </c>
      <c r="F4217" s="28">
        <f>IFERROR(D4217-Dashboard!$B$4/252,"")</f>
        <v/>
      </c>
      <c r="G4217" s="28">
        <f>IFERROR(E4217-Dashboard!$B$4/252,"")</f>
        <v/>
      </c>
      <c r="H4217" s="8">
        <f>IFERROR(IF(ISNUMBER(B4217),MAX(B4217,IFERROR(H4216,B4217)),""),"")</f>
        <v/>
      </c>
      <c r="I4217" s="29">
        <f>IFERROR(IF(AND(ISNUMBER(B4217),ISNUMBER(H4217)),B4217/H4217-1,""),"")</f>
        <v/>
      </c>
      <c r="J4217" s="8">
        <f>IFERROR(IF(ISNUMBER(C4217),MAX(C4217,IFERROR(J4216,C4217)),""),"")</f>
        <v/>
      </c>
      <c r="K4217" s="29">
        <f>IFERROR(IF(AND(ISNUMBER(C4217),ISNUMBER(J4217)),C4217/J4217-1,""),"")</f>
        <v/>
      </c>
      <c r="L4217" s="28">
        <f>IFERROR(IF(AND(ISNUMBER(D4217),ISNUMBER(E4217)),D4217-E4217,""),"")</f>
        <v/>
      </c>
    </row>
    <row r="4218">
      <c r="A4218" s="7">
        <f>IFERROR(Datos!A4218,"")</f>
        <v/>
      </c>
      <c r="B4218" s="8">
        <f>IFERROR(Datos!B4218,"")</f>
        <v/>
      </c>
      <c r="C4218" s="8">
        <f>IFERROR(Datos!C4218,"")</f>
        <v/>
      </c>
      <c r="D4218" s="28">
        <f>IFERROR(IF(AND(ISNUMBER(B4218),ISNUMBER(B4217),B4217&lt;&gt;0),B4218/B4217-1,""),"")</f>
        <v/>
      </c>
      <c r="E4218" s="28">
        <f>IFERROR(IF(AND(ISNUMBER(C4218),ISNUMBER(C4217),C4217&lt;&gt;0),C4218/C4217-1,""),"")</f>
        <v/>
      </c>
      <c r="F4218" s="28">
        <f>IFERROR(D4218-Dashboard!$B$4/252,"")</f>
        <v/>
      </c>
      <c r="G4218" s="28">
        <f>IFERROR(E4218-Dashboard!$B$4/252,"")</f>
        <v/>
      </c>
      <c r="H4218" s="8">
        <f>IFERROR(IF(ISNUMBER(B4218),MAX(B4218,IFERROR(H4217,B4218)),""),"")</f>
        <v/>
      </c>
      <c r="I4218" s="29">
        <f>IFERROR(IF(AND(ISNUMBER(B4218),ISNUMBER(H4218)),B4218/H4218-1,""),"")</f>
        <v/>
      </c>
      <c r="J4218" s="8">
        <f>IFERROR(IF(ISNUMBER(C4218),MAX(C4218,IFERROR(J4217,C4218)),""),"")</f>
        <v/>
      </c>
      <c r="K4218" s="29">
        <f>IFERROR(IF(AND(ISNUMBER(C4218),ISNUMBER(J4218)),C4218/J4218-1,""),"")</f>
        <v/>
      </c>
      <c r="L4218" s="28">
        <f>IFERROR(IF(AND(ISNUMBER(D4218),ISNUMBER(E4218)),D4218-E4218,""),"")</f>
        <v/>
      </c>
    </row>
    <row r="4219">
      <c r="A4219" s="7">
        <f>IFERROR(Datos!A4219,"")</f>
        <v/>
      </c>
      <c r="B4219" s="8">
        <f>IFERROR(Datos!B4219,"")</f>
        <v/>
      </c>
      <c r="C4219" s="8">
        <f>IFERROR(Datos!C4219,"")</f>
        <v/>
      </c>
      <c r="D4219" s="28">
        <f>IFERROR(IF(AND(ISNUMBER(B4219),ISNUMBER(B4218),B4218&lt;&gt;0),B4219/B4218-1,""),"")</f>
        <v/>
      </c>
      <c r="E4219" s="28">
        <f>IFERROR(IF(AND(ISNUMBER(C4219),ISNUMBER(C4218),C4218&lt;&gt;0),C4219/C4218-1,""),"")</f>
        <v/>
      </c>
      <c r="F4219" s="28">
        <f>IFERROR(D4219-Dashboard!$B$4/252,"")</f>
        <v/>
      </c>
      <c r="G4219" s="28">
        <f>IFERROR(E4219-Dashboard!$B$4/252,"")</f>
        <v/>
      </c>
      <c r="H4219" s="8">
        <f>IFERROR(IF(ISNUMBER(B4219),MAX(B4219,IFERROR(H4218,B4219)),""),"")</f>
        <v/>
      </c>
      <c r="I4219" s="29">
        <f>IFERROR(IF(AND(ISNUMBER(B4219),ISNUMBER(H4219)),B4219/H4219-1,""),"")</f>
        <v/>
      </c>
      <c r="J4219" s="8">
        <f>IFERROR(IF(ISNUMBER(C4219),MAX(C4219,IFERROR(J4218,C4219)),""),"")</f>
        <v/>
      </c>
      <c r="K4219" s="29">
        <f>IFERROR(IF(AND(ISNUMBER(C4219),ISNUMBER(J4219)),C4219/J4219-1,""),"")</f>
        <v/>
      </c>
      <c r="L4219" s="28">
        <f>IFERROR(IF(AND(ISNUMBER(D4219),ISNUMBER(E4219)),D4219-E4219,""),"")</f>
        <v/>
      </c>
    </row>
    <row r="4220">
      <c r="A4220" s="7">
        <f>IFERROR(Datos!A4220,"")</f>
        <v/>
      </c>
      <c r="B4220" s="8">
        <f>IFERROR(Datos!B4220,"")</f>
        <v/>
      </c>
      <c r="C4220" s="8">
        <f>IFERROR(Datos!C4220,"")</f>
        <v/>
      </c>
      <c r="D4220" s="28">
        <f>IFERROR(IF(AND(ISNUMBER(B4220),ISNUMBER(B4219),B4219&lt;&gt;0),B4220/B4219-1,""),"")</f>
        <v/>
      </c>
      <c r="E4220" s="28">
        <f>IFERROR(IF(AND(ISNUMBER(C4220),ISNUMBER(C4219),C4219&lt;&gt;0),C4220/C4219-1,""),"")</f>
        <v/>
      </c>
      <c r="F4220" s="28">
        <f>IFERROR(D4220-Dashboard!$B$4/252,"")</f>
        <v/>
      </c>
      <c r="G4220" s="28">
        <f>IFERROR(E4220-Dashboard!$B$4/252,"")</f>
        <v/>
      </c>
      <c r="H4220" s="8">
        <f>IFERROR(IF(ISNUMBER(B4220),MAX(B4220,IFERROR(H4219,B4220)),""),"")</f>
        <v/>
      </c>
      <c r="I4220" s="29">
        <f>IFERROR(IF(AND(ISNUMBER(B4220),ISNUMBER(H4220)),B4220/H4220-1,""),"")</f>
        <v/>
      </c>
      <c r="J4220" s="8">
        <f>IFERROR(IF(ISNUMBER(C4220),MAX(C4220,IFERROR(J4219,C4220)),""),"")</f>
        <v/>
      </c>
      <c r="K4220" s="29">
        <f>IFERROR(IF(AND(ISNUMBER(C4220),ISNUMBER(J4220)),C4220/J4220-1,""),"")</f>
        <v/>
      </c>
      <c r="L4220" s="28">
        <f>IFERROR(IF(AND(ISNUMBER(D4220),ISNUMBER(E4220)),D4220-E4220,""),"")</f>
        <v/>
      </c>
    </row>
    <row r="4221">
      <c r="A4221" s="7">
        <f>IFERROR(Datos!A4221,"")</f>
        <v/>
      </c>
      <c r="B4221" s="8">
        <f>IFERROR(Datos!B4221,"")</f>
        <v/>
      </c>
      <c r="C4221" s="8">
        <f>IFERROR(Datos!C4221,"")</f>
        <v/>
      </c>
      <c r="D4221" s="28">
        <f>IFERROR(IF(AND(ISNUMBER(B4221),ISNUMBER(B4220),B4220&lt;&gt;0),B4221/B4220-1,""),"")</f>
        <v/>
      </c>
      <c r="E4221" s="28">
        <f>IFERROR(IF(AND(ISNUMBER(C4221),ISNUMBER(C4220),C4220&lt;&gt;0),C4221/C4220-1,""),"")</f>
        <v/>
      </c>
      <c r="F4221" s="28">
        <f>IFERROR(D4221-Dashboard!$B$4/252,"")</f>
        <v/>
      </c>
      <c r="G4221" s="28">
        <f>IFERROR(E4221-Dashboard!$B$4/252,"")</f>
        <v/>
      </c>
      <c r="H4221" s="8">
        <f>IFERROR(IF(ISNUMBER(B4221),MAX(B4221,IFERROR(H4220,B4221)),""),"")</f>
        <v/>
      </c>
      <c r="I4221" s="29">
        <f>IFERROR(IF(AND(ISNUMBER(B4221),ISNUMBER(H4221)),B4221/H4221-1,""),"")</f>
        <v/>
      </c>
      <c r="J4221" s="8">
        <f>IFERROR(IF(ISNUMBER(C4221),MAX(C4221,IFERROR(J4220,C4221)),""),"")</f>
        <v/>
      </c>
      <c r="K4221" s="29">
        <f>IFERROR(IF(AND(ISNUMBER(C4221),ISNUMBER(J4221)),C4221/J4221-1,""),"")</f>
        <v/>
      </c>
      <c r="L4221" s="28">
        <f>IFERROR(IF(AND(ISNUMBER(D4221),ISNUMBER(E4221)),D4221-E4221,""),"")</f>
        <v/>
      </c>
    </row>
    <row r="4222">
      <c r="A4222" s="7">
        <f>IFERROR(Datos!A4222,"")</f>
        <v/>
      </c>
      <c r="B4222" s="8">
        <f>IFERROR(Datos!B4222,"")</f>
        <v/>
      </c>
      <c r="C4222" s="8">
        <f>IFERROR(Datos!C4222,"")</f>
        <v/>
      </c>
      <c r="D4222" s="28">
        <f>IFERROR(IF(AND(ISNUMBER(B4222),ISNUMBER(B4221),B4221&lt;&gt;0),B4222/B4221-1,""),"")</f>
        <v/>
      </c>
      <c r="E4222" s="28">
        <f>IFERROR(IF(AND(ISNUMBER(C4222),ISNUMBER(C4221),C4221&lt;&gt;0),C4222/C4221-1,""),"")</f>
        <v/>
      </c>
      <c r="F4222" s="28">
        <f>IFERROR(D4222-Dashboard!$B$4/252,"")</f>
        <v/>
      </c>
      <c r="G4222" s="28">
        <f>IFERROR(E4222-Dashboard!$B$4/252,"")</f>
        <v/>
      </c>
      <c r="H4222" s="8">
        <f>IFERROR(IF(ISNUMBER(B4222),MAX(B4222,IFERROR(H4221,B4222)),""),"")</f>
        <v/>
      </c>
      <c r="I4222" s="29">
        <f>IFERROR(IF(AND(ISNUMBER(B4222),ISNUMBER(H4222)),B4222/H4222-1,""),"")</f>
        <v/>
      </c>
      <c r="J4222" s="8">
        <f>IFERROR(IF(ISNUMBER(C4222),MAX(C4222,IFERROR(J4221,C4222)),""),"")</f>
        <v/>
      </c>
      <c r="K4222" s="29">
        <f>IFERROR(IF(AND(ISNUMBER(C4222),ISNUMBER(J4222)),C4222/J4222-1,""),"")</f>
        <v/>
      </c>
      <c r="L4222" s="28">
        <f>IFERROR(IF(AND(ISNUMBER(D4222),ISNUMBER(E4222)),D4222-E4222,""),"")</f>
        <v/>
      </c>
    </row>
    <row r="4223">
      <c r="A4223" s="7">
        <f>IFERROR(Datos!A4223,"")</f>
        <v/>
      </c>
      <c r="B4223" s="8">
        <f>IFERROR(Datos!B4223,"")</f>
        <v/>
      </c>
      <c r="C4223" s="8">
        <f>IFERROR(Datos!C4223,"")</f>
        <v/>
      </c>
      <c r="D4223" s="28">
        <f>IFERROR(IF(AND(ISNUMBER(B4223),ISNUMBER(B4222),B4222&lt;&gt;0),B4223/B4222-1,""),"")</f>
        <v/>
      </c>
      <c r="E4223" s="28">
        <f>IFERROR(IF(AND(ISNUMBER(C4223),ISNUMBER(C4222),C4222&lt;&gt;0),C4223/C4222-1,""),"")</f>
        <v/>
      </c>
      <c r="F4223" s="28">
        <f>IFERROR(D4223-Dashboard!$B$4/252,"")</f>
        <v/>
      </c>
      <c r="G4223" s="28">
        <f>IFERROR(E4223-Dashboard!$B$4/252,"")</f>
        <v/>
      </c>
      <c r="H4223" s="8">
        <f>IFERROR(IF(ISNUMBER(B4223),MAX(B4223,IFERROR(H4222,B4223)),""),"")</f>
        <v/>
      </c>
      <c r="I4223" s="29">
        <f>IFERROR(IF(AND(ISNUMBER(B4223),ISNUMBER(H4223)),B4223/H4223-1,""),"")</f>
        <v/>
      </c>
      <c r="J4223" s="8">
        <f>IFERROR(IF(ISNUMBER(C4223),MAX(C4223,IFERROR(J4222,C4223)),""),"")</f>
        <v/>
      </c>
      <c r="K4223" s="29">
        <f>IFERROR(IF(AND(ISNUMBER(C4223),ISNUMBER(J4223)),C4223/J4223-1,""),"")</f>
        <v/>
      </c>
      <c r="L4223" s="28">
        <f>IFERROR(IF(AND(ISNUMBER(D4223),ISNUMBER(E4223)),D4223-E4223,""),"")</f>
        <v/>
      </c>
    </row>
    <row r="4224">
      <c r="A4224" s="7">
        <f>IFERROR(Datos!A4224,"")</f>
        <v/>
      </c>
      <c r="B4224" s="8">
        <f>IFERROR(Datos!B4224,"")</f>
        <v/>
      </c>
      <c r="C4224" s="8">
        <f>IFERROR(Datos!C4224,"")</f>
        <v/>
      </c>
      <c r="D4224" s="28">
        <f>IFERROR(IF(AND(ISNUMBER(B4224),ISNUMBER(B4223),B4223&lt;&gt;0),B4224/B4223-1,""),"")</f>
        <v/>
      </c>
      <c r="E4224" s="28">
        <f>IFERROR(IF(AND(ISNUMBER(C4224),ISNUMBER(C4223),C4223&lt;&gt;0),C4224/C4223-1,""),"")</f>
        <v/>
      </c>
      <c r="F4224" s="28">
        <f>IFERROR(D4224-Dashboard!$B$4/252,"")</f>
        <v/>
      </c>
      <c r="G4224" s="28">
        <f>IFERROR(E4224-Dashboard!$B$4/252,"")</f>
        <v/>
      </c>
      <c r="H4224" s="8">
        <f>IFERROR(IF(ISNUMBER(B4224),MAX(B4224,IFERROR(H4223,B4224)),""),"")</f>
        <v/>
      </c>
      <c r="I4224" s="29">
        <f>IFERROR(IF(AND(ISNUMBER(B4224),ISNUMBER(H4224)),B4224/H4224-1,""),"")</f>
        <v/>
      </c>
      <c r="J4224" s="8">
        <f>IFERROR(IF(ISNUMBER(C4224),MAX(C4224,IFERROR(J4223,C4224)),""),"")</f>
        <v/>
      </c>
      <c r="K4224" s="29">
        <f>IFERROR(IF(AND(ISNUMBER(C4224),ISNUMBER(J4224)),C4224/J4224-1,""),"")</f>
        <v/>
      </c>
      <c r="L4224" s="28">
        <f>IFERROR(IF(AND(ISNUMBER(D4224),ISNUMBER(E4224)),D4224-E4224,""),"")</f>
        <v/>
      </c>
    </row>
    <row r="4225">
      <c r="A4225" s="7">
        <f>IFERROR(Datos!A4225,"")</f>
        <v/>
      </c>
      <c r="B4225" s="8">
        <f>IFERROR(Datos!B4225,"")</f>
        <v/>
      </c>
      <c r="C4225" s="8">
        <f>IFERROR(Datos!C4225,"")</f>
        <v/>
      </c>
      <c r="D4225" s="28">
        <f>IFERROR(IF(AND(ISNUMBER(B4225),ISNUMBER(B4224),B4224&lt;&gt;0),B4225/B4224-1,""),"")</f>
        <v/>
      </c>
      <c r="E4225" s="28">
        <f>IFERROR(IF(AND(ISNUMBER(C4225),ISNUMBER(C4224),C4224&lt;&gt;0),C4225/C4224-1,""),"")</f>
        <v/>
      </c>
      <c r="F4225" s="28">
        <f>IFERROR(D4225-Dashboard!$B$4/252,"")</f>
        <v/>
      </c>
      <c r="G4225" s="28">
        <f>IFERROR(E4225-Dashboard!$B$4/252,"")</f>
        <v/>
      </c>
      <c r="H4225" s="8">
        <f>IFERROR(IF(ISNUMBER(B4225),MAX(B4225,IFERROR(H4224,B4225)),""),"")</f>
        <v/>
      </c>
      <c r="I4225" s="29">
        <f>IFERROR(IF(AND(ISNUMBER(B4225),ISNUMBER(H4225)),B4225/H4225-1,""),"")</f>
        <v/>
      </c>
      <c r="J4225" s="8">
        <f>IFERROR(IF(ISNUMBER(C4225),MAX(C4225,IFERROR(J4224,C4225)),""),"")</f>
        <v/>
      </c>
      <c r="K4225" s="29">
        <f>IFERROR(IF(AND(ISNUMBER(C4225),ISNUMBER(J4225)),C4225/J4225-1,""),"")</f>
        <v/>
      </c>
      <c r="L4225" s="28">
        <f>IFERROR(IF(AND(ISNUMBER(D4225),ISNUMBER(E4225)),D4225-E4225,""),"")</f>
        <v/>
      </c>
    </row>
    <row r="4226">
      <c r="A4226" s="7">
        <f>IFERROR(Datos!A4226,"")</f>
        <v/>
      </c>
      <c r="B4226" s="8">
        <f>IFERROR(Datos!B4226,"")</f>
        <v/>
      </c>
      <c r="C4226" s="8">
        <f>IFERROR(Datos!C4226,"")</f>
        <v/>
      </c>
      <c r="D4226" s="28">
        <f>IFERROR(IF(AND(ISNUMBER(B4226),ISNUMBER(B4225),B4225&lt;&gt;0),B4226/B4225-1,""),"")</f>
        <v/>
      </c>
      <c r="E4226" s="28">
        <f>IFERROR(IF(AND(ISNUMBER(C4226),ISNUMBER(C4225),C4225&lt;&gt;0),C4226/C4225-1,""),"")</f>
        <v/>
      </c>
      <c r="F4226" s="28">
        <f>IFERROR(D4226-Dashboard!$B$4/252,"")</f>
        <v/>
      </c>
      <c r="G4226" s="28">
        <f>IFERROR(E4226-Dashboard!$B$4/252,"")</f>
        <v/>
      </c>
      <c r="H4226" s="8">
        <f>IFERROR(IF(ISNUMBER(B4226),MAX(B4226,IFERROR(H4225,B4226)),""),"")</f>
        <v/>
      </c>
      <c r="I4226" s="29">
        <f>IFERROR(IF(AND(ISNUMBER(B4226),ISNUMBER(H4226)),B4226/H4226-1,""),"")</f>
        <v/>
      </c>
      <c r="J4226" s="8">
        <f>IFERROR(IF(ISNUMBER(C4226),MAX(C4226,IFERROR(J4225,C4226)),""),"")</f>
        <v/>
      </c>
      <c r="K4226" s="29">
        <f>IFERROR(IF(AND(ISNUMBER(C4226),ISNUMBER(J4226)),C4226/J4226-1,""),"")</f>
        <v/>
      </c>
      <c r="L4226" s="28">
        <f>IFERROR(IF(AND(ISNUMBER(D4226),ISNUMBER(E4226)),D4226-E4226,""),"")</f>
        <v/>
      </c>
    </row>
    <row r="4227">
      <c r="A4227" s="7">
        <f>IFERROR(Datos!A4227,"")</f>
        <v/>
      </c>
      <c r="B4227" s="8">
        <f>IFERROR(Datos!B4227,"")</f>
        <v/>
      </c>
      <c r="C4227" s="8">
        <f>IFERROR(Datos!C4227,"")</f>
        <v/>
      </c>
      <c r="D4227" s="28">
        <f>IFERROR(IF(AND(ISNUMBER(B4227),ISNUMBER(B4226),B4226&lt;&gt;0),B4227/B4226-1,""),"")</f>
        <v/>
      </c>
      <c r="E4227" s="28">
        <f>IFERROR(IF(AND(ISNUMBER(C4227),ISNUMBER(C4226),C4226&lt;&gt;0),C4227/C4226-1,""),"")</f>
        <v/>
      </c>
      <c r="F4227" s="28">
        <f>IFERROR(D4227-Dashboard!$B$4/252,"")</f>
        <v/>
      </c>
      <c r="G4227" s="28">
        <f>IFERROR(E4227-Dashboard!$B$4/252,"")</f>
        <v/>
      </c>
      <c r="H4227" s="8">
        <f>IFERROR(IF(ISNUMBER(B4227),MAX(B4227,IFERROR(H4226,B4227)),""),"")</f>
        <v/>
      </c>
      <c r="I4227" s="29">
        <f>IFERROR(IF(AND(ISNUMBER(B4227),ISNUMBER(H4227)),B4227/H4227-1,""),"")</f>
        <v/>
      </c>
      <c r="J4227" s="8">
        <f>IFERROR(IF(ISNUMBER(C4227),MAX(C4227,IFERROR(J4226,C4227)),""),"")</f>
        <v/>
      </c>
      <c r="K4227" s="29">
        <f>IFERROR(IF(AND(ISNUMBER(C4227),ISNUMBER(J4227)),C4227/J4227-1,""),"")</f>
        <v/>
      </c>
      <c r="L4227" s="28">
        <f>IFERROR(IF(AND(ISNUMBER(D4227),ISNUMBER(E4227)),D4227-E4227,""),"")</f>
        <v/>
      </c>
    </row>
    <row r="4228">
      <c r="A4228" s="7">
        <f>IFERROR(Datos!A4228,"")</f>
        <v/>
      </c>
      <c r="B4228" s="8">
        <f>IFERROR(Datos!B4228,"")</f>
        <v/>
      </c>
      <c r="C4228" s="8">
        <f>IFERROR(Datos!C4228,"")</f>
        <v/>
      </c>
      <c r="D4228" s="28">
        <f>IFERROR(IF(AND(ISNUMBER(B4228),ISNUMBER(B4227),B4227&lt;&gt;0),B4228/B4227-1,""),"")</f>
        <v/>
      </c>
      <c r="E4228" s="28">
        <f>IFERROR(IF(AND(ISNUMBER(C4228),ISNUMBER(C4227),C4227&lt;&gt;0),C4228/C4227-1,""),"")</f>
        <v/>
      </c>
      <c r="F4228" s="28">
        <f>IFERROR(D4228-Dashboard!$B$4/252,"")</f>
        <v/>
      </c>
      <c r="G4228" s="28">
        <f>IFERROR(E4228-Dashboard!$B$4/252,"")</f>
        <v/>
      </c>
      <c r="H4228" s="8">
        <f>IFERROR(IF(ISNUMBER(B4228),MAX(B4228,IFERROR(H4227,B4228)),""),"")</f>
        <v/>
      </c>
      <c r="I4228" s="29">
        <f>IFERROR(IF(AND(ISNUMBER(B4228),ISNUMBER(H4228)),B4228/H4228-1,""),"")</f>
        <v/>
      </c>
      <c r="J4228" s="8">
        <f>IFERROR(IF(ISNUMBER(C4228),MAX(C4228,IFERROR(J4227,C4228)),""),"")</f>
        <v/>
      </c>
      <c r="K4228" s="29">
        <f>IFERROR(IF(AND(ISNUMBER(C4228),ISNUMBER(J4228)),C4228/J4228-1,""),"")</f>
        <v/>
      </c>
      <c r="L4228" s="28">
        <f>IFERROR(IF(AND(ISNUMBER(D4228),ISNUMBER(E4228)),D4228-E4228,""),"")</f>
        <v/>
      </c>
    </row>
    <row r="4229">
      <c r="A4229" s="7">
        <f>IFERROR(Datos!A4229,"")</f>
        <v/>
      </c>
      <c r="B4229" s="8">
        <f>IFERROR(Datos!B4229,"")</f>
        <v/>
      </c>
      <c r="C4229" s="8">
        <f>IFERROR(Datos!C4229,"")</f>
        <v/>
      </c>
      <c r="D4229" s="28">
        <f>IFERROR(IF(AND(ISNUMBER(B4229),ISNUMBER(B4228),B4228&lt;&gt;0),B4229/B4228-1,""),"")</f>
        <v/>
      </c>
      <c r="E4229" s="28">
        <f>IFERROR(IF(AND(ISNUMBER(C4229),ISNUMBER(C4228),C4228&lt;&gt;0),C4229/C4228-1,""),"")</f>
        <v/>
      </c>
      <c r="F4229" s="28">
        <f>IFERROR(D4229-Dashboard!$B$4/252,"")</f>
        <v/>
      </c>
      <c r="G4229" s="28">
        <f>IFERROR(E4229-Dashboard!$B$4/252,"")</f>
        <v/>
      </c>
      <c r="H4229" s="8">
        <f>IFERROR(IF(ISNUMBER(B4229),MAX(B4229,IFERROR(H4228,B4229)),""),"")</f>
        <v/>
      </c>
      <c r="I4229" s="29">
        <f>IFERROR(IF(AND(ISNUMBER(B4229),ISNUMBER(H4229)),B4229/H4229-1,""),"")</f>
        <v/>
      </c>
      <c r="J4229" s="8">
        <f>IFERROR(IF(ISNUMBER(C4229),MAX(C4229,IFERROR(J4228,C4229)),""),"")</f>
        <v/>
      </c>
      <c r="K4229" s="29">
        <f>IFERROR(IF(AND(ISNUMBER(C4229),ISNUMBER(J4229)),C4229/J4229-1,""),"")</f>
        <v/>
      </c>
      <c r="L4229" s="28">
        <f>IFERROR(IF(AND(ISNUMBER(D4229),ISNUMBER(E4229)),D4229-E4229,""),"")</f>
        <v/>
      </c>
    </row>
    <row r="4230">
      <c r="A4230" s="7">
        <f>IFERROR(Datos!A4230,"")</f>
        <v/>
      </c>
      <c r="B4230" s="8">
        <f>IFERROR(Datos!B4230,"")</f>
        <v/>
      </c>
      <c r="C4230" s="8">
        <f>IFERROR(Datos!C4230,"")</f>
        <v/>
      </c>
      <c r="D4230" s="28">
        <f>IFERROR(IF(AND(ISNUMBER(B4230),ISNUMBER(B4229),B4229&lt;&gt;0),B4230/B4229-1,""),"")</f>
        <v/>
      </c>
      <c r="E4230" s="28">
        <f>IFERROR(IF(AND(ISNUMBER(C4230),ISNUMBER(C4229),C4229&lt;&gt;0),C4230/C4229-1,""),"")</f>
        <v/>
      </c>
      <c r="F4230" s="28">
        <f>IFERROR(D4230-Dashboard!$B$4/252,"")</f>
        <v/>
      </c>
      <c r="G4230" s="28">
        <f>IFERROR(E4230-Dashboard!$B$4/252,"")</f>
        <v/>
      </c>
      <c r="H4230" s="8">
        <f>IFERROR(IF(ISNUMBER(B4230),MAX(B4230,IFERROR(H4229,B4230)),""),"")</f>
        <v/>
      </c>
      <c r="I4230" s="29">
        <f>IFERROR(IF(AND(ISNUMBER(B4230),ISNUMBER(H4230)),B4230/H4230-1,""),"")</f>
        <v/>
      </c>
      <c r="J4230" s="8">
        <f>IFERROR(IF(ISNUMBER(C4230),MAX(C4230,IFERROR(J4229,C4230)),""),"")</f>
        <v/>
      </c>
      <c r="K4230" s="29">
        <f>IFERROR(IF(AND(ISNUMBER(C4230),ISNUMBER(J4230)),C4230/J4230-1,""),"")</f>
        <v/>
      </c>
      <c r="L4230" s="28">
        <f>IFERROR(IF(AND(ISNUMBER(D4230),ISNUMBER(E4230)),D4230-E4230,""),"")</f>
        <v/>
      </c>
    </row>
    <row r="4231">
      <c r="A4231" s="7">
        <f>IFERROR(Datos!A4231,"")</f>
        <v/>
      </c>
      <c r="B4231" s="8">
        <f>IFERROR(Datos!B4231,"")</f>
        <v/>
      </c>
      <c r="C4231" s="8">
        <f>IFERROR(Datos!C4231,"")</f>
        <v/>
      </c>
      <c r="D4231" s="28">
        <f>IFERROR(IF(AND(ISNUMBER(B4231),ISNUMBER(B4230),B4230&lt;&gt;0),B4231/B4230-1,""),"")</f>
        <v/>
      </c>
      <c r="E4231" s="28">
        <f>IFERROR(IF(AND(ISNUMBER(C4231),ISNUMBER(C4230),C4230&lt;&gt;0),C4231/C4230-1,""),"")</f>
        <v/>
      </c>
      <c r="F4231" s="28">
        <f>IFERROR(D4231-Dashboard!$B$4/252,"")</f>
        <v/>
      </c>
      <c r="G4231" s="28">
        <f>IFERROR(E4231-Dashboard!$B$4/252,"")</f>
        <v/>
      </c>
      <c r="H4231" s="8">
        <f>IFERROR(IF(ISNUMBER(B4231),MAX(B4231,IFERROR(H4230,B4231)),""),"")</f>
        <v/>
      </c>
      <c r="I4231" s="29">
        <f>IFERROR(IF(AND(ISNUMBER(B4231),ISNUMBER(H4231)),B4231/H4231-1,""),"")</f>
        <v/>
      </c>
      <c r="J4231" s="8">
        <f>IFERROR(IF(ISNUMBER(C4231),MAX(C4231,IFERROR(J4230,C4231)),""),"")</f>
        <v/>
      </c>
      <c r="K4231" s="29">
        <f>IFERROR(IF(AND(ISNUMBER(C4231),ISNUMBER(J4231)),C4231/J4231-1,""),"")</f>
        <v/>
      </c>
      <c r="L4231" s="28">
        <f>IFERROR(IF(AND(ISNUMBER(D4231),ISNUMBER(E4231)),D4231-E4231,""),"")</f>
        <v/>
      </c>
    </row>
    <row r="4232">
      <c r="A4232" s="7">
        <f>IFERROR(Datos!A4232,"")</f>
        <v/>
      </c>
      <c r="B4232" s="8">
        <f>IFERROR(Datos!B4232,"")</f>
        <v/>
      </c>
      <c r="C4232" s="8">
        <f>IFERROR(Datos!C4232,"")</f>
        <v/>
      </c>
      <c r="D4232" s="28">
        <f>IFERROR(IF(AND(ISNUMBER(B4232),ISNUMBER(B4231),B4231&lt;&gt;0),B4232/B4231-1,""),"")</f>
        <v/>
      </c>
      <c r="E4232" s="28">
        <f>IFERROR(IF(AND(ISNUMBER(C4232),ISNUMBER(C4231),C4231&lt;&gt;0),C4232/C4231-1,""),"")</f>
        <v/>
      </c>
      <c r="F4232" s="28">
        <f>IFERROR(D4232-Dashboard!$B$4/252,"")</f>
        <v/>
      </c>
      <c r="G4232" s="28">
        <f>IFERROR(E4232-Dashboard!$B$4/252,"")</f>
        <v/>
      </c>
      <c r="H4232" s="8">
        <f>IFERROR(IF(ISNUMBER(B4232),MAX(B4232,IFERROR(H4231,B4232)),""),"")</f>
        <v/>
      </c>
      <c r="I4232" s="29">
        <f>IFERROR(IF(AND(ISNUMBER(B4232),ISNUMBER(H4232)),B4232/H4232-1,""),"")</f>
        <v/>
      </c>
      <c r="J4232" s="8">
        <f>IFERROR(IF(ISNUMBER(C4232),MAX(C4232,IFERROR(J4231,C4232)),""),"")</f>
        <v/>
      </c>
      <c r="K4232" s="29">
        <f>IFERROR(IF(AND(ISNUMBER(C4232),ISNUMBER(J4232)),C4232/J4232-1,""),"")</f>
        <v/>
      </c>
      <c r="L4232" s="28">
        <f>IFERROR(IF(AND(ISNUMBER(D4232),ISNUMBER(E4232)),D4232-E4232,""),"")</f>
        <v/>
      </c>
    </row>
    <row r="4233">
      <c r="A4233" s="7">
        <f>IFERROR(Datos!A4233,"")</f>
        <v/>
      </c>
      <c r="B4233" s="8">
        <f>IFERROR(Datos!B4233,"")</f>
        <v/>
      </c>
      <c r="C4233" s="8">
        <f>IFERROR(Datos!C4233,"")</f>
        <v/>
      </c>
      <c r="D4233" s="28">
        <f>IFERROR(IF(AND(ISNUMBER(B4233),ISNUMBER(B4232),B4232&lt;&gt;0),B4233/B4232-1,""),"")</f>
        <v/>
      </c>
      <c r="E4233" s="28">
        <f>IFERROR(IF(AND(ISNUMBER(C4233),ISNUMBER(C4232),C4232&lt;&gt;0),C4233/C4232-1,""),"")</f>
        <v/>
      </c>
      <c r="F4233" s="28">
        <f>IFERROR(D4233-Dashboard!$B$4/252,"")</f>
        <v/>
      </c>
      <c r="G4233" s="28">
        <f>IFERROR(E4233-Dashboard!$B$4/252,"")</f>
        <v/>
      </c>
      <c r="H4233" s="8">
        <f>IFERROR(IF(ISNUMBER(B4233),MAX(B4233,IFERROR(H4232,B4233)),""),"")</f>
        <v/>
      </c>
      <c r="I4233" s="29">
        <f>IFERROR(IF(AND(ISNUMBER(B4233),ISNUMBER(H4233)),B4233/H4233-1,""),"")</f>
        <v/>
      </c>
      <c r="J4233" s="8">
        <f>IFERROR(IF(ISNUMBER(C4233),MAX(C4233,IFERROR(J4232,C4233)),""),"")</f>
        <v/>
      </c>
      <c r="K4233" s="29">
        <f>IFERROR(IF(AND(ISNUMBER(C4233),ISNUMBER(J4233)),C4233/J4233-1,""),"")</f>
        <v/>
      </c>
      <c r="L4233" s="28">
        <f>IFERROR(IF(AND(ISNUMBER(D4233),ISNUMBER(E4233)),D4233-E4233,""),"")</f>
        <v/>
      </c>
    </row>
    <row r="4234">
      <c r="A4234" s="7">
        <f>IFERROR(Datos!A4234,"")</f>
        <v/>
      </c>
      <c r="B4234" s="8">
        <f>IFERROR(Datos!B4234,"")</f>
        <v/>
      </c>
      <c r="C4234" s="8">
        <f>IFERROR(Datos!C4234,"")</f>
        <v/>
      </c>
      <c r="D4234" s="28">
        <f>IFERROR(IF(AND(ISNUMBER(B4234),ISNUMBER(B4233),B4233&lt;&gt;0),B4234/B4233-1,""),"")</f>
        <v/>
      </c>
      <c r="E4234" s="28">
        <f>IFERROR(IF(AND(ISNUMBER(C4234),ISNUMBER(C4233),C4233&lt;&gt;0),C4234/C4233-1,""),"")</f>
        <v/>
      </c>
      <c r="F4234" s="28">
        <f>IFERROR(D4234-Dashboard!$B$4/252,"")</f>
        <v/>
      </c>
      <c r="G4234" s="28">
        <f>IFERROR(E4234-Dashboard!$B$4/252,"")</f>
        <v/>
      </c>
      <c r="H4234" s="8">
        <f>IFERROR(IF(ISNUMBER(B4234),MAX(B4234,IFERROR(H4233,B4234)),""),"")</f>
        <v/>
      </c>
      <c r="I4234" s="29">
        <f>IFERROR(IF(AND(ISNUMBER(B4234),ISNUMBER(H4234)),B4234/H4234-1,""),"")</f>
        <v/>
      </c>
      <c r="J4234" s="8">
        <f>IFERROR(IF(ISNUMBER(C4234),MAX(C4234,IFERROR(J4233,C4234)),""),"")</f>
        <v/>
      </c>
      <c r="K4234" s="29">
        <f>IFERROR(IF(AND(ISNUMBER(C4234),ISNUMBER(J4234)),C4234/J4234-1,""),"")</f>
        <v/>
      </c>
      <c r="L4234" s="28">
        <f>IFERROR(IF(AND(ISNUMBER(D4234),ISNUMBER(E4234)),D4234-E4234,""),"")</f>
        <v/>
      </c>
    </row>
    <row r="4235">
      <c r="A4235" s="7">
        <f>IFERROR(Datos!A4235,"")</f>
        <v/>
      </c>
      <c r="B4235" s="8">
        <f>IFERROR(Datos!B4235,"")</f>
        <v/>
      </c>
      <c r="C4235" s="8">
        <f>IFERROR(Datos!C4235,"")</f>
        <v/>
      </c>
      <c r="D4235" s="28">
        <f>IFERROR(IF(AND(ISNUMBER(B4235),ISNUMBER(B4234),B4234&lt;&gt;0),B4235/B4234-1,""),"")</f>
        <v/>
      </c>
      <c r="E4235" s="28">
        <f>IFERROR(IF(AND(ISNUMBER(C4235),ISNUMBER(C4234),C4234&lt;&gt;0),C4235/C4234-1,""),"")</f>
        <v/>
      </c>
      <c r="F4235" s="28">
        <f>IFERROR(D4235-Dashboard!$B$4/252,"")</f>
        <v/>
      </c>
      <c r="G4235" s="28">
        <f>IFERROR(E4235-Dashboard!$B$4/252,"")</f>
        <v/>
      </c>
      <c r="H4235" s="8">
        <f>IFERROR(IF(ISNUMBER(B4235),MAX(B4235,IFERROR(H4234,B4235)),""),"")</f>
        <v/>
      </c>
      <c r="I4235" s="29">
        <f>IFERROR(IF(AND(ISNUMBER(B4235),ISNUMBER(H4235)),B4235/H4235-1,""),"")</f>
        <v/>
      </c>
      <c r="J4235" s="8">
        <f>IFERROR(IF(ISNUMBER(C4235),MAX(C4235,IFERROR(J4234,C4235)),""),"")</f>
        <v/>
      </c>
      <c r="K4235" s="29">
        <f>IFERROR(IF(AND(ISNUMBER(C4235),ISNUMBER(J4235)),C4235/J4235-1,""),"")</f>
        <v/>
      </c>
      <c r="L4235" s="28">
        <f>IFERROR(IF(AND(ISNUMBER(D4235),ISNUMBER(E4235)),D4235-E4235,""),"")</f>
        <v/>
      </c>
    </row>
    <row r="4236">
      <c r="A4236" s="7">
        <f>IFERROR(Datos!A4236,"")</f>
        <v/>
      </c>
      <c r="B4236" s="8">
        <f>IFERROR(Datos!B4236,"")</f>
        <v/>
      </c>
      <c r="C4236" s="8">
        <f>IFERROR(Datos!C4236,"")</f>
        <v/>
      </c>
      <c r="D4236" s="28">
        <f>IFERROR(IF(AND(ISNUMBER(B4236),ISNUMBER(B4235),B4235&lt;&gt;0),B4236/B4235-1,""),"")</f>
        <v/>
      </c>
      <c r="E4236" s="28">
        <f>IFERROR(IF(AND(ISNUMBER(C4236),ISNUMBER(C4235),C4235&lt;&gt;0),C4236/C4235-1,""),"")</f>
        <v/>
      </c>
      <c r="F4236" s="28">
        <f>IFERROR(D4236-Dashboard!$B$4/252,"")</f>
        <v/>
      </c>
      <c r="G4236" s="28">
        <f>IFERROR(E4236-Dashboard!$B$4/252,"")</f>
        <v/>
      </c>
      <c r="H4236" s="8">
        <f>IFERROR(IF(ISNUMBER(B4236),MAX(B4236,IFERROR(H4235,B4236)),""),"")</f>
        <v/>
      </c>
      <c r="I4236" s="29">
        <f>IFERROR(IF(AND(ISNUMBER(B4236),ISNUMBER(H4236)),B4236/H4236-1,""),"")</f>
        <v/>
      </c>
      <c r="J4236" s="8">
        <f>IFERROR(IF(ISNUMBER(C4236),MAX(C4236,IFERROR(J4235,C4236)),""),"")</f>
        <v/>
      </c>
      <c r="K4236" s="29">
        <f>IFERROR(IF(AND(ISNUMBER(C4236),ISNUMBER(J4236)),C4236/J4236-1,""),"")</f>
        <v/>
      </c>
      <c r="L4236" s="28">
        <f>IFERROR(IF(AND(ISNUMBER(D4236),ISNUMBER(E4236)),D4236-E4236,""),"")</f>
        <v/>
      </c>
    </row>
    <row r="4237">
      <c r="A4237" s="7">
        <f>IFERROR(Datos!A4237,"")</f>
        <v/>
      </c>
      <c r="B4237" s="8">
        <f>IFERROR(Datos!B4237,"")</f>
        <v/>
      </c>
      <c r="C4237" s="8">
        <f>IFERROR(Datos!C4237,"")</f>
        <v/>
      </c>
      <c r="D4237" s="28">
        <f>IFERROR(IF(AND(ISNUMBER(B4237),ISNUMBER(B4236),B4236&lt;&gt;0),B4237/B4236-1,""),"")</f>
        <v/>
      </c>
      <c r="E4237" s="28">
        <f>IFERROR(IF(AND(ISNUMBER(C4237),ISNUMBER(C4236),C4236&lt;&gt;0),C4237/C4236-1,""),"")</f>
        <v/>
      </c>
      <c r="F4237" s="28">
        <f>IFERROR(D4237-Dashboard!$B$4/252,"")</f>
        <v/>
      </c>
      <c r="G4237" s="28">
        <f>IFERROR(E4237-Dashboard!$B$4/252,"")</f>
        <v/>
      </c>
      <c r="H4237" s="8">
        <f>IFERROR(IF(ISNUMBER(B4237),MAX(B4237,IFERROR(H4236,B4237)),""),"")</f>
        <v/>
      </c>
      <c r="I4237" s="29">
        <f>IFERROR(IF(AND(ISNUMBER(B4237),ISNUMBER(H4237)),B4237/H4237-1,""),"")</f>
        <v/>
      </c>
      <c r="J4237" s="8">
        <f>IFERROR(IF(ISNUMBER(C4237),MAX(C4237,IFERROR(J4236,C4237)),""),"")</f>
        <v/>
      </c>
      <c r="K4237" s="29">
        <f>IFERROR(IF(AND(ISNUMBER(C4237),ISNUMBER(J4237)),C4237/J4237-1,""),"")</f>
        <v/>
      </c>
      <c r="L4237" s="28">
        <f>IFERROR(IF(AND(ISNUMBER(D4237),ISNUMBER(E4237)),D4237-E4237,""),"")</f>
        <v/>
      </c>
    </row>
    <row r="4238">
      <c r="A4238" s="7">
        <f>IFERROR(Datos!A4238,"")</f>
        <v/>
      </c>
      <c r="B4238" s="8">
        <f>IFERROR(Datos!B4238,"")</f>
        <v/>
      </c>
      <c r="C4238" s="8">
        <f>IFERROR(Datos!C4238,"")</f>
        <v/>
      </c>
      <c r="D4238" s="28">
        <f>IFERROR(IF(AND(ISNUMBER(B4238),ISNUMBER(B4237),B4237&lt;&gt;0),B4238/B4237-1,""),"")</f>
        <v/>
      </c>
      <c r="E4238" s="28">
        <f>IFERROR(IF(AND(ISNUMBER(C4238),ISNUMBER(C4237),C4237&lt;&gt;0),C4238/C4237-1,""),"")</f>
        <v/>
      </c>
      <c r="F4238" s="28">
        <f>IFERROR(D4238-Dashboard!$B$4/252,"")</f>
        <v/>
      </c>
      <c r="G4238" s="28">
        <f>IFERROR(E4238-Dashboard!$B$4/252,"")</f>
        <v/>
      </c>
      <c r="H4238" s="8">
        <f>IFERROR(IF(ISNUMBER(B4238),MAX(B4238,IFERROR(H4237,B4238)),""),"")</f>
        <v/>
      </c>
      <c r="I4238" s="29">
        <f>IFERROR(IF(AND(ISNUMBER(B4238),ISNUMBER(H4238)),B4238/H4238-1,""),"")</f>
        <v/>
      </c>
      <c r="J4238" s="8">
        <f>IFERROR(IF(ISNUMBER(C4238),MAX(C4238,IFERROR(J4237,C4238)),""),"")</f>
        <v/>
      </c>
      <c r="K4238" s="29">
        <f>IFERROR(IF(AND(ISNUMBER(C4238),ISNUMBER(J4238)),C4238/J4238-1,""),"")</f>
        <v/>
      </c>
      <c r="L4238" s="28">
        <f>IFERROR(IF(AND(ISNUMBER(D4238),ISNUMBER(E4238)),D4238-E4238,""),"")</f>
        <v/>
      </c>
    </row>
    <row r="4239">
      <c r="A4239" s="7">
        <f>IFERROR(Datos!A4239,"")</f>
        <v/>
      </c>
      <c r="B4239" s="8">
        <f>IFERROR(Datos!B4239,"")</f>
        <v/>
      </c>
      <c r="C4239" s="8">
        <f>IFERROR(Datos!C4239,"")</f>
        <v/>
      </c>
      <c r="D4239" s="28">
        <f>IFERROR(IF(AND(ISNUMBER(B4239),ISNUMBER(B4238),B4238&lt;&gt;0),B4239/B4238-1,""),"")</f>
        <v/>
      </c>
      <c r="E4239" s="28">
        <f>IFERROR(IF(AND(ISNUMBER(C4239),ISNUMBER(C4238),C4238&lt;&gt;0),C4239/C4238-1,""),"")</f>
        <v/>
      </c>
      <c r="F4239" s="28">
        <f>IFERROR(D4239-Dashboard!$B$4/252,"")</f>
        <v/>
      </c>
      <c r="G4239" s="28">
        <f>IFERROR(E4239-Dashboard!$B$4/252,"")</f>
        <v/>
      </c>
      <c r="H4239" s="8">
        <f>IFERROR(IF(ISNUMBER(B4239),MAX(B4239,IFERROR(H4238,B4239)),""),"")</f>
        <v/>
      </c>
      <c r="I4239" s="29">
        <f>IFERROR(IF(AND(ISNUMBER(B4239),ISNUMBER(H4239)),B4239/H4239-1,""),"")</f>
        <v/>
      </c>
      <c r="J4239" s="8">
        <f>IFERROR(IF(ISNUMBER(C4239),MAX(C4239,IFERROR(J4238,C4239)),""),"")</f>
        <v/>
      </c>
      <c r="K4239" s="29">
        <f>IFERROR(IF(AND(ISNUMBER(C4239),ISNUMBER(J4239)),C4239/J4239-1,""),"")</f>
        <v/>
      </c>
      <c r="L4239" s="28">
        <f>IFERROR(IF(AND(ISNUMBER(D4239),ISNUMBER(E4239)),D4239-E4239,""),"")</f>
        <v/>
      </c>
    </row>
    <row r="4240">
      <c r="A4240" s="7">
        <f>IFERROR(Datos!A4240,"")</f>
        <v/>
      </c>
      <c r="B4240" s="8">
        <f>IFERROR(Datos!B4240,"")</f>
        <v/>
      </c>
      <c r="C4240" s="8">
        <f>IFERROR(Datos!C4240,"")</f>
        <v/>
      </c>
      <c r="D4240" s="28">
        <f>IFERROR(IF(AND(ISNUMBER(B4240),ISNUMBER(B4239),B4239&lt;&gt;0),B4240/B4239-1,""),"")</f>
        <v/>
      </c>
      <c r="E4240" s="28">
        <f>IFERROR(IF(AND(ISNUMBER(C4240),ISNUMBER(C4239),C4239&lt;&gt;0),C4240/C4239-1,""),"")</f>
        <v/>
      </c>
      <c r="F4240" s="28">
        <f>IFERROR(D4240-Dashboard!$B$4/252,"")</f>
        <v/>
      </c>
      <c r="G4240" s="28">
        <f>IFERROR(E4240-Dashboard!$B$4/252,"")</f>
        <v/>
      </c>
      <c r="H4240" s="8">
        <f>IFERROR(IF(ISNUMBER(B4240),MAX(B4240,IFERROR(H4239,B4240)),""),"")</f>
        <v/>
      </c>
      <c r="I4240" s="29">
        <f>IFERROR(IF(AND(ISNUMBER(B4240),ISNUMBER(H4240)),B4240/H4240-1,""),"")</f>
        <v/>
      </c>
      <c r="J4240" s="8">
        <f>IFERROR(IF(ISNUMBER(C4240),MAX(C4240,IFERROR(J4239,C4240)),""),"")</f>
        <v/>
      </c>
      <c r="K4240" s="29">
        <f>IFERROR(IF(AND(ISNUMBER(C4240),ISNUMBER(J4240)),C4240/J4240-1,""),"")</f>
        <v/>
      </c>
      <c r="L4240" s="28">
        <f>IFERROR(IF(AND(ISNUMBER(D4240),ISNUMBER(E4240)),D4240-E4240,""),"")</f>
        <v/>
      </c>
    </row>
    <row r="4241">
      <c r="A4241" s="7">
        <f>IFERROR(Datos!A4241,"")</f>
        <v/>
      </c>
      <c r="B4241" s="8">
        <f>IFERROR(Datos!B4241,"")</f>
        <v/>
      </c>
      <c r="C4241" s="8">
        <f>IFERROR(Datos!C4241,"")</f>
        <v/>
      </c>
      <c r="D4241" s="28">
        <f>IFERROR(IF(AND(ISNUMBER(B4241),ISNUMBER(B4240),B4240&lt;&gt;0),B4241/B4240-1,""),"")</f>
        <v/>
      </c>
      <c r="E4241" s="28">
        <f>IFERROR(IF(AND(ISNUMBER(C4241),ISNUMBER(C4240),C4240&lt;&gt;0),C4241/C4240-1,""),"")</f>
        <v/>
      </c>
      <c r="F4241" s="28">
        <f>IFERROR(D4241-Dashboard!$B$4/252,"")</f>
        <v/>
      </c>
      <c r="G4241" s="28">
        <f>IFERROR(E4241-Dashboard!$B$4/252,"")</f>
        <v/>
      </c>
      <c r="H4241" s="8">
        <f>IFERROR(IF(ISNUMBER(B4241),MAX(B4241,IFERROR(H4240,B4241)),""),"")</f>
        <v/>
      </c>
      <c r="I4241" s="29">
        <f>IFERROR(IF(AND(ISNUMBER(B4241),ISNUMBER(H4241)),B4241/H4241-1,""),"")</f>
        <v/>
      </c>
      <c r="J4241" s="8">
        <f>IFERROR(IF(ISNUMBER(C4241),MAX(C4241,IFERROR(J4240,C4241)),""),"")</f>
        <v/>
      </c>
      <c r="K4241" s="29">
        <f>IFERROR(IF(AND(ISNUMBER(C4241),ISNUMBER(J4241)),C4241/J4241-1,""),"")</f>
        <v/>
      </c>
      <c r="L4241" s="28">
        <f>IFERROR(IF(AND(ISNUMBER(D4241),ISNUMBER(E4241)),D4241-E4241,""),"")</f>
        <v/>
      </c>
    </row>
    <row r="4242">
      <c r="A4242" s="7">
        <f>IFERROR(Datos!A4242,"")</f>
        <v/>
      </c>
      <c r="B4242" s="8">
        <f>IFERROR(Datos!B4242,"")</f>
        <v/>
      </c>
      <c r="C4242" s="8">
        <f>IFERROR(Datos!C4242,"")</f>
        <v/>
      </c>
      <c r="D4242" s="28">
        <f>IFERROR(IF(AND(ISNUMBER(B4242),ISNUMBER(B4241),B4241&lt;&gt;0),B4242/B4241-1,""),"")</f>
        <v/>
      </c>
      <c r="E4242" s="28">
        <f>IFERROR(IF(AND(ISNUMBER(C4242),ISNUMBER(C4241),C4241&lt;&gt;0),C4242/C4241-1,""),"")</f>
        <v/>
      </c>
      <c r="F4242" s="28">
        <f>IFERROR(D4242-Dashboard!$B$4/252,"")</f>
        <v/>
      </c>
      <c r="G4242" s="28">
        <f>IFERROR(E4242-Dashboard!$B$4/252,"")</f>
        <v/>
      </c>
      <c r="H4242" s="8">
        <f>IFERROR(IF(ISNUMBER(B4242),MAX(B4242,IFERROR(H4241,B4242)),""),"")</f>
        <v/>
      </c>
      <c r="I4242" s="29">
        <f>IFERROR(IF(AND(ISNUMBER(B4242),ISNUMBER(H4242)),B4242/H4242-1,""),"")</f>
        <v/>
      </c>
      <c r="J4242" s="8">
        <f>IFERROR(IF(ISNUMBER(C4242),MAX(C4242,IFERROR(J4241,C4242)),""),"")</f>
        <v/>
      </c>
      <c r="K4242" s="29">
        <f>IFERROR(IF(AND(ISNUMBER(C4242),ISNUMBER(J4242)),C4242/J4242-1,""),"")</f>
        <v/>
      </c>
      <c r="L4242" s="28">
        <f>IFERROR(IF(AND(ISNUMBER(D4242),ISNUMBER(E4242)),D4242-E4242,""),"")</f>
        <v/>
      </c>
    </row>
    <row r="4243">
      <c r="A4243" s="7">
        <f>IFERROR(Datos!A4243,"")</f>
        <v/>
      </c>
      <c r="B4243" s="8">
        <f>IFERROR(Datos!B4243,"")</f>
        <v/>
      </c>
      <c r="C4243" s="8">
        <f>IFERROR(Datos!C4243,"")</f>
        <v/>
      </c>
      <c r="D4243" s="28">
        <f>IFERROR(IF(AND(ISNUMBER(B4243),ISNUMBER(B4242),B4242&lt;&gt;0),B4243/B4242-1,""),"")</f>
        <v/>
      </c>
      <c r="E4243" s="28">
        <f>IFERROR(IF(AND(ISNUMBER(C4243),ISNUMBER(C4242),C4242&lt;&gt;0),C4243/C4242-1,""),"")</f>
        <v/>
      </c>
      <c r="F4243" s="28">
        <f>IFERROR(D4243-Dashboard!$B$4/252,"")</f>
        <v/>
      </c>
      <c r="G4243" s="28">
        <f>IFERROR(E4243-Dashboard!$B$4/252,"")</f>
        <v/>
      </c>
      <c r="H4243" s="8">
        <f>IFERROR(IF(ISNUMBER(B4243),MAX(B4243,IFERROR(H4242,B4243)),""),"")</f>
        <v/>
      </c>
      <c r="I4243" s="29">
        <f>IFERROR(IF(AND(ISNUMBER(B4243),ISNUMBER(H4243)),B4243/H4243-1,""),"")</f>
        <v/>
      </c>
      <c r="J4243" s="8">
        <f>IFERROR(IF(ISNUMBER(C4243),MAX(C4243,IFERROR(J4242,C4243)),""),"")</f>
        <v/>
      </c>
      <c r="K4243" s="29">
        <f>IFERROR(IF(AND(ISNUMBER(C4243),ISNUMBER(J4243)),C4243/J4243-1,""),"")</f>
        <v/>
      </c>
      <c r="L4243" s="28">
        <f>IFERROR(IF(AND(ISNUMBER(D4243),ISNUMBER(E4243)),D4243-E4243,""),"")</f>
        <v/>
      </c>
    </row>
    <row r="4244">
      <c r="A4244" s="7">
        <f>IFERROR(Datos!A4244,"")</f>
        <v/>
      </c>
      <c r="B4244" s="8">
        <f>IFERROR(Datos!B4244,"")</f>
        <v/>
      </c>
      <c r="C4244" s="8">
        <f>IFERROR(Datos!C4244,"")</f>
        <v/>
      </c>
      <c r="D4244" s="28">
        <f>IFERROR(IF(AND(ISNUMBER(B4244),ISNUMBER(B4243),B4243&lt;&gt;0),B4244/B4243-1,""),"")</f>
        <v/>
      </c>
      <c r="E4244" s="28">
        <f>IFERROR(IF(AND(ISNUMBER(C4244),ISNUMBER(C4243),C4243&lt;&gt;0),C4244/C4243-1,""),"")</f>
        <v/>
      </c>
      <c r="F4244" s="28">
        <f>IFERROR(D4244-Dashboard!$B$4/252,"")</f>
        <v/>
      </c>
      <c r="G4244" s="28">
        <f>IFERROR(E4244-Dashboard!$B$4/252,"")</f>
        <v/>
      </c>
      <c r="H4244" s="8">
        <f>IFERROR(IF(ISNUMBER(B4244),MAX(B4244,IFERROR(H4243,B4244)),""),"")</f>
        <v/>
      </c>
      <c r="I4244" s="29">
        <f>IFERROR(IF(AND(ISNUMBER(B4244),ISNUMBER(H4244)),B4244/H4244-1,""),"")</f>
        <v/>
      </c>
      <c r="J4244" s="8">
        <f>IFERROR(IF(ISNUMBER(C4244),MAX(C4244,IFERROR(J4243,C4244)),""),"")</f>
        <v/>
      </c>
      <c r="K4244" s="29">
        <f>IFERROR(IF(AND(ISNUMBER(C4244),ISNUMBER(J4244)),C4244/J4244-1,""),"")</f>
        <v/>
      </c>
      <c r="L4244" s="28">
        <f>IFERROR(IF(AND(ISNUMBER(D4244),ISNUMBER(E4244)),D4244-E4244,""),"")</f>
        <v/>
      </c>
    </row>
    <row r="4245">
      <c r="A4245" s="7">
        <f>IFERROR(Datos!A4245,"")</f>
        <v/>
      </c>
      <c r="B4245" s="8">
        <f>IFERROR(Datos!B4245,"")</f>
        <v/>
      </c>
      <c r="C4245" s="8">
        <f>IFERROR(Datos!C4245,"")</f>
        <v/>
      </c>
      <c r="D4245" s="28">
        <f>IFERROR(IF(AND(ISNUMBER(B4245),ISNUMBER(B4244),B4244&lt;&gt;0),B4245/B4244-1,""),"")</f>
        <v/>
      </c>
      <c r="E4245" s="28">
        <f>IFERROR(IF(AND(ISNUMBER(C4245),ISNUMBER(C4244),C4244&lt;&gt;0),C4245/C4244-1,""),"")</f>
        <v/>
      </c>
      <c r="F4245" s="28">
        <f>IFERROR(D4245-Dashboard!$B$4/252,"")</f>
        <v/>
      </c>
      <c r="G4245" s="28">
        <f>IFERROR(E4245-Dashboard!$B$4/252,"")</f>
        <v/>
      </c>
      <c r="H4245" s="8">
        <f>IFERROR(IF(ISNUMBER(B4245),MAX(B4245,IFERROR(H4244,B4245)),""),"")</f>
        <v/>
      </c>
      <c r="I4245" s="29">
        <f>IFERROR(IF(AND(ISNUMBER(B4245),ISNUMBER(H4245)),B4245/H4245-1,""),"")</f>
        <v/>
      </c>
      <c r="J4245" s="8">
        <f>IFERROR(IF(ISNUMBER(C4245),MAX(C4245,IFERROR(J4244,C4245)),""),"")</f>
        <v/>
      </c>
      <c r="K4245" s="29">
        <f>IFERROR(IF(AND(ISNUMBER(C4245),ISNUMBER(J4245)),C4245/J4245-1,""),"")</f>
        <v/>
      </c>
      <c r="L4245" s="28">
        <f>IFERROR(IF(AND(ISNUMBER(D4245),ISNUMBER(E4245)),D4245-E4245,""),"")</f>
        <v/>
      </c>
    </row>
    <row r="4246">
      <c r="A4246" s="7">
        <f>IFERROR(Datos!A4246,"")</f>
        <v/>
      </c>
      <c r="B4246" s="8">
        <f>IFERROR(Datos!B4246,"")</f>
        <v/>
      </c>
      <c r="C4246" s="8">
        <f>IFERROR(Datos!C4246,"")</f>
        <v/>
      </c>
      <c r="D4246" s="28">
        <f>IFERROR(IF(AND(ISNUMBER(B4246),ISNUMBER(B4245),B4245&lt;&gt;0),B4246/B4245-1,""),"")</f>
        <v/>
      </c>
      <c r="E4246" s="28">
        <f>IFERROR(IF(AND(ISNUMBER(C4246),ISNUMBER(C4245),C4245&lt;&gt;0),C4246/C4245-1,""),"")</f>
        <v/>
      </c>
      <c r="F4246" s="28">
        <f>IFERROR(D4246-Dashboard!$B$4/252,"")</f>
        <v/>
      </c>
      <c r="G4246" s="28">
        <f>IFERROR(E4246-Dashboard!$B$4/252,"")</f>
        <v/>
      </c>
      <c r="H4246" s="8">
        <f>IFERROR(IF(ISNUMBER(B4246),MAX(B4246,IFERROR(H4245,B4246)),""),"")</f>
        <v/>
      </c>
      <c r="I4246" s="29">
        <f>IFERROR(IF(AND(ISNUMBER(B4246),ISNUMBER(H4246)),B4246/H4246-1,""),"")</f>
        <v/>
      </c>
      <c r="J4246" s="8">
        <f>IFERROR(IF(ISNUMBER(C4246),MAX(C4246,IFERROR(J4245,C4246)),""),"")</f>
        <v/>
      </c>
      <c r="K4246" s="29">
        <f>IFERROR(IF(AND(ISNUMBER(C4246),ISNUMBER(J4246)),C4246/J4246-1,""),"")</f>
        <v/>
      </c>
      <c r="L4246" s="28">
        <f>IFERROR(IF(AND(ISNUMBER(D4246),ISNUMBER(E4246)),D4246-E4246,""),"")</f>
        <v/>
      </c>
    </row>
    <row r="4247">
      <c r="A4247" s="7">
        <f>IFERROR(Datos!A4247,"")</f>
        <v/>
      </c>
      <c r="B4247" s="8">
        <f>IFERROR(Datos!B4247,"")</f>
        <v/>
      </c>
      <c r="C4247" s="8">
        <f>IFERROR(Datos!C4247,"")</f>
        <v/>
      </c>
      <c r="D4247" s="28">
        <f>IFERROR(IF(AND(ISNUMBER(B4247),ISNUMBER(B4246),B4246&lt;&gt;0),B4247/B4246-1,""),"")</f>
        <v/>
      </c>
      <c r="E4247" s="28">
        <f>IFERROR(IF(AND(ISNUMBER(C4247),ISNUMBER(C4246),C4246&lt;&gt;0),C4247/C4246-1,""),"")</f>
        <v/>
      </c>
      <c r="F4247" s="28">
        <f>IFERROR(D4247-Dashboard!$B$4/252,"")</f>
        <v/>
      </c>
      <c r="G4247" s="28">
        <f>IFERROR(E4247-Dashboard!$B$4/252,"")</f>
        <v/>
      </c>
      <c r="H4247" s="8">
        <f>IFERROR(IF(ISNUMBER(B4247),MAX(B4247,IFERROR(H4246,B4247)),""),"")</f>
        <v/>
      </c>
      <c r="I4247" s="29">
        <f>IFERROR(IF(AND(ISNUMBER(B4247),ISNUMBER(H4247)),B4247/H4247-1,""),"")</f>
        <v/>
      </c>
      <c r="J4247" s="8">
        <f>IFERROR(IF(ISNUMBER(C4247),MAX(C4247,IFERROR(J4246,C4247)),""),"")</f>
        <v/>
      </c>
      <c r="K4247" s="29">
        <f>IFERROR(IF(AND(ISNUMBER(C4247),ISNUMBER(J4247)),C4247/J4247-1,""),"")</f>
        <v/>
      </c>
      <c r="L4247" s="28">
        <f>IFERROR(IF(AND(ISNUMBER(D4247),ISNUMBER(E4247)),D4247-E4247,""),"")</f>
        <v/>
      </c>
    </row>
    <row r="4248">
      <c r="A4248" s="7">
        <f>IFERROR(Datos!A4248,"")</f>
        <v/>
      </c>
      <c r="B4248" s="8">
        <f>IFERROR(Datos!B4248,"")</f>
        <v/>
      </c>
      <c r="C4248" s="8">
        <f>IFERROR(Datos!C4248,"")</f>
        <v/>
      </c>
      <c r="D4248" s="28">
        <f>IFERROR(IF(AND(ISNUMBER(B4248),ISNUMBER(B4247),B4247&lt;&gt;0),B4248/B4247-1,""),"")</f>
        <v/>
      </c>
      <c r="E4248" s="28">
        <f>IFERROR(IF(AND(ISNUMBER(C4248),ISNUMBER(C4247),C4247&lt;&gt;0),C4248/C4247-1,""),"")</f>
        <v/>
      </c>
      <c r="F4248" s="28">
        <f>IFERROR(D4248-Dashboard!$B$4/252,"")</f>
        <v/>
      </c>
      <c r="G4248" s="28">
        <f>IFERROR(E4248-Dashboard!$B$4/252,"")</f>
        <v/>
      </c>
      <c r="H4248" s="8">
        <f>IFERROR(IF(ISNUMBER(B4248),MAX(B4248,IFERROR(H4247,B4248)),""),"")</f>
        <v/>
      </c>
      <c r="I4248" s="29">
        <f>IFERROR(IF(AND(ISNUMBER(B4248),ISNUMBER(H4248)),B4248/H4248-1,""),"")</f>
        <v/>
      </c>
      <c r="J4248" s="8">
        <f>IFERROR(IF(ISNUMBER(C4248),MAX(C4248,IFERROR(J4247,C4248)),""),"")</f>
        <v/>
      </c>
      <c r="K4248" s="29">
        <f>IFERROR(IF(AND(ISNUMBER(C4248),ISNUMBER(J4248)),C4248/J4248-1,""),"")</f>
        <v/>
      </c>
      <c r="L4248" s="28">
        <f>IFERROR(IF(AND(ISNUMBER(D4248),ISNUMBER(E4248)),D4248-E4248,""),"")</f>
        <v/>
      </c>
    </row>
    <row r="4249">
      <c r="A4249" s="7">
        <f>IFERROR(Datos!A4249,"")</f>
        <v/>
      </c>
      <c r="B4249" s="8">
        <f>IFERROR(Datos!B4249,"")</f>
        <v/>
      </c>
      <c r="C4249" s="8">
        <f>IFERROR(Datos!C4249,"")</f>
        <v/>
      </c>
      <c r="D4249" s="28">
        <f>IFERROR(IF(AND(ISNUMBER(B4249),ISNUMBER(B4248),B4248&lt;&gt;0),B4249/B4248-1,""),"")</f>
        <v/>
      </c>
      <c r="E4249" s="28">
        <f>IFERROR(IF(AND(ISNUMBER(C4249),ISNUMBER(C4248),C4248&lt;&gt;0),C4249/C4248-1,""),"")</f>
        <v/>
      </c>
      <c r="F4249" s="28">
        <f>IFERROR(D4249-Dashboard!$B$4/252,"")</f>
        <v/>
      </c>
      <c r="G4249" s="28">
        <f>IFERROR(E4249-Dashboard!$B$4/252,"")</f>
        <v/>
      </c>
      <c r="H4249" s="8">
        <f>IFERROR(IF(ISNUMBER(B4249),MAX(B4249,IFERROR(H4248,B4249)),""),"")</f>
        <v/>
      </c>
      <c r="I4249" s="29">
        <f>IFERROR(IF(AND(ISNUMBER(B4249),ISNUMBER(H4249)),B4249/H4249-1,""),"")</f>
        <v/>
      </c>
      <c r="J4249" s="8">
        <f>IFERROR(IF(ISNUMBER(C4249),MAX(C4249,IFERROR(J4248,C4249)),""),"")</f>
        <v/>
      </c>
      <c r="K4249" s="29">
        <f>IFERROR(IF(AND(ISNUMBER(C4249),ISNUMBER(J4249)),C4249/J4249-1,""),"")</f>
        <v/>
      </c>
      <c r="L4249" s="28">
        <f>IFERROR(IF(AND(ISNUMBER(D4249),ISNUMBER(E4249)),D4249-E4249,""),"")</f>
        <v/>
      </c>
    </row>
    <row r="4250">
      <c r="A4250" s="7">
        <f>IFERROR(Datos!A4250,"")</f>
        <v/>
      </c>
      <c r="B4250" s="8">
        <f>IFERROR(Datos!B4250,"")</f>
        <v/>
      </c>
      <c r="C4250" s="8">
        <f>IFERROR(Datos!C4250,"")</f>
        <v/>
      </c>
      <c r="D4250" s="28">
        <f>IFERROR(IF(AND(ISNUMBER(B4250),ISNUMBER(B4249),B4249&lt;&gt;0),B4250/B4249-1,""),"")</f>
        <v/>
      </c>
      <c r="E4250" s="28">
        <f>IFERROR(IF(AND(ISNUMBER(C4250),ISNUMBER(C4249),C4249&lt;&gt;0),C4250/C4249-1,""),"")</f>
        <v/>
      </c>
      <c r="F4250" s="28">
        <f>IFERROR(D4250-Dashboard!$B$4/252,"")</f>
        <v/>
      </c>
      <c r="G4250" s="28">
        <f>IFERROR(E4250-Dashboard!$B$4/252,"")</f>
        <v/>
      </c>
      <c r="H4250" s="8">
        <f>IFERROR(IF(ISNUMBER(B4250),MAX(B4250,IFERROR(H4249,B4250)),""),"")</f>
        <v/>
      </c>
      <c r="I4250" s="29">
        <f>IFERROR(IF(AND(ISNUMBER(B4250),ISNUMBER(H4250)),B4250/H4250-1,""),"")</f>
        <v/>
      </c>
      <c r="J4250" s="8">
        <f>IFERROR(IF(ISNUMBER(C4250),MAX(C4250,IFERROR(J4249,C4250)),""),"")</f>
        <v/>
      </c>
      <c r="K4250" s="29">
        <f>IFERROR(IF(AND(ISNUMBER(C4250),ISNUMBER(J4250)),C4250/J4250-1,""),"")</f>
        <v/>
      </c>
      <c r="L4250" s="28">
        <f>IFERROR(IF(AND(ISNUMBER(D4250),ISNUMBER(E4250)),D4250-E4250,""),"")</f>
        <v/>
      </c>
    </row>
    <row r="4251">
      <c r="A4251" s="7">
        <f>IFERROR(Datos!A4251,"")</f>
        <v/>
      </c>
      <c r="B4251" s="8">
        <f>IFERROR(Datos!B4251,"")</f>
        <v/>
      </c>
      <c r="C4251" s="8">
        <f>IFERROR(Datos!C4251,"")</f>
        <v/>
      </c>
      <c r="D4251" s="28">
        <f>IFERROR(IF(AND(ISNUMBER(B4251),ISNUMBER(B4250),B4250&lt;&gt;0),B4251/B4250-1,""),"")</f>
        <v/>
      </c>
      <c r="E4251" s="28">
        <f>IFERROR(IF(AND(ISNUMBER(C4251),ISNUMBER(C4250),C4250&lt;&gt;0),C4251/C4250-1,""),"")</f>
        <v/>
      </c>
      <c r="F4251" s="28">
        <f>IFERROR(D4251-Dashboard!$B$4/252,"")</f>
        <v/>
      </c>
      <c r="G4251" s="28">
        <f>IFERROR(E4251-Dashboard!$B$4/252,"")</f>
        <v/>
      </c>
      <c r="H4251" s="8">
        <f>IFERROR(IF(ISNUMBER(B4251),MAX(B4251,IFERROR(H4250,B4251)),""),"")</f>
        <v/>
      </c>
      <c r="I4251" s="29">
        <f>IFERROR(IF(AND(ISNUMBER(B4251),ISNUMBER(H4251)),B4251/H4251-1,""),"")</f>
        <v/>
      </c>
      <c r="J4251" s="8">
        <f>IFERROR(IF(ISNUMBER(C4251),MAX(C4251,IFERROR(J4250,C4251)),""),"")</f>
        <v/>
      </c>
      <c r="K4251" s="29">
        <f>IFERROR(IF(AND(ISNUMBER(C4251),ISNUMBER(J4251)),C4251/J4251-1,""),"")</f>
        <v/>
      </c>
      <c r="L4251" s="28">
        <f>IFERROR(IF(AND(ISNUMBER(D4251),ISNUMBER(E4251)),D4251-E4251,""),"")</f>
        <v/>
      </c>
    </row>
    <row r="4252">
      <c r="A4252" s="7">
        <f>IFERROR(Datos!A4252,"")</f>
        <v/>
      </c>
      <c r="B4252" s="8">
        <f>IFERROR(Datos!B4252,"")</f>
        <v/>
      </c>
      <c r="C4252" s="8">
        <f>IFERROR(Datos!C4252,"")</f>
        <v/>
      </c>
      <c r="D4252" s="28">
        <f>IFERROR(IF(AND(ISNUMBER(B4252),ISNUMBER(B4251),B4251&lt;&gt;0),B4252/B4251-1,""),"")</f>
        <v/>
      </c>
      <c r="E4252" s="28">
        <f>IFERROR(IF(AND(ISNUMBER(C4252),ISNUMBER(C4251),C4251&lt;&gt;0),C4252/C4251-1,""),"")</f>
        <v/>
      </c>
      <c r="F4252" s="28">
        <f>IFERROR(D4252-Dashboard!$B$4/252,"")</f>
        <v/>
      </c>
      <c r="G4252" s="28">
        <f>IFERROR(E4252-Dashboard!$B$4/252,"")</f>
        <v/>
      </c>
      <c r="H4252" s="8">
        <f>IFERROR(IF(ISNUMBER(B4252),MAX(B4252,IFERROR(H4251,B4252)),""),"")</f>
        <v/>
      </c>
      <c r="I4252" s="29">
        <f>IFERROR(IF(AND(ISNUMBER(B4252),ISNUMBER(H4252)),B4252/H4252-1,""),"")</f>
        <v/>
      </c>
      <c r="J4252" s="8">
        <f>IFERROR(IF(ISNUMBER(C4252),MAX(C4252,IFERROR(J4251,C4252)),""),"")</f>
        <v/>
      </c>
      <c r="K4252" s="29">
        <f>IFERROR(IF(AND(ISNUMBER(C4252),ISNUMBER(J4252)),C4252/J4252-1,""),"")</f>
        <v/>
      </c>
      <c r="L4252" s="28">
        <f>IFERROR(IF(AND(ISNUMBER(D4252),ISNUMBER(E4252)),D4252-E4252,""),"")</f>
        <v/>
      </c>
    </row>
    <row r="4253">
      <c r="A4253" s="7">
        <f>IFERROR(Datos!A4253,"")</f>
        <v/>
      </c>
      <c r="B4253" s="8">
        <f>IFERROR(Datos!B4253,"")</f>
        <v/>
      </c>
      <c r="C4253" s="8">
        <f>IFERROR(Datos!C4253,"")</f>
        <v/>
      </c>
      <c r="D4253" s="28">
        <f>IFERROR(IF(AND(ISNUMBER(B4253),ISNUMBER(B4252),B4252&lt;&gt;0),B4253/B4252-1,""),"")</f>
        <v/>
      </c>
      <c r="E4253" s="28">
        <f>IFERROR(IF(AND(ISNUMBER(C4253),ISNUMBER(C4252),C4252&lt;&gt;0),C4253/C4252-1,""),"")</f>
        <v/>
      </c>
      <c r="F4253" s="28">
        <f>IFERROR(D4253-Dashboard!$B$4/252,"")</f>
        <v/>
      </c>
      <c r="G4253" s="28">
        <f>IFERROR(E4253-Dashboard!$B$4/252,"")</f>
        <v/>
      </c>
      <c r="H4253" s="8">
        <f>IFERROR(IF(ISNUMBER(B4253),MAX(B4253,IFERROR(H4252,B4253)),""),"")</f>
        <v/>
      </c>
      <c r="I4253" s="29">
        <f>IFERROR(IF(AND(ISNUMBER(B4253),ISNUMBER(H4253)),B4253/H4253-1,""),"")</f>
        <v/>
      </c>
      <c r="J4253" s="8">
        <f>IFERROR(IF(ISNUMBER(C4253),MAX(C4253,IFERROR(J4252,C4253)),""),"")</f>
        <v/>
      </c>
      <c r="K4253" s="29">
        <f>IFERROR(IF(AND(ISNUMBER(C4253),ISNUMBER(J4253)),C4253/J4253-1,""),"")</f>
        <v/>
      </c>
      <c r="L4253" s="28">
        <f>IFERROR(IF(AND(ISNUMBER(D4253),ISNUMBER(E4253)),D4253-E4253,""),"")</f>
        <v/>
      </c>
    </row>
    <row r="4254">
      <c r="A4254" s="7">
        <f>IFERROR(Datos!A4254,"")</f>
        <v/>
      </c>
      <c r="B4254" s="8">
        <f>IFERROR(Datos!B4254,"")</f>
        <v/>
      </c>
      <c r="C4254" s="8">
        <f>IFERROR(Datos!C4254,"")</f>
        <v/>
      </c>
      <c r="D4254" s="28">
        <f>IFERROR(IF(AND(ISNUMBER(B4254),ISNUMBER(B4253),B4253&lt;&gt;0),B4254/B4253-1,""),"")</f>
        <v/>
      </c>
      <c r="E4254" s="28">
        <f>IFERROR(IF(AND(ISNUMBER(C4254),ISNUMBER(C4253),C4253&lt;&gt;0),C4254/C4253-1,""),"")</f>
        <v/>
      </c>
      <c r="F4254" s="28">
        <f>IFERROR(D4254-Dashboard!$B$4/252,"")</f>
        <v/>
      </c>
      <c r="G4254" s="28">
        <f>IFERROR(E4254-Dashboard!$B$4/252,"")</f>
        <v/>
      </c>
      <c r="H4254" s="8">
        <f>IFERROR(IF(ISNUMBER(B4254),MAX(B4254,IFERROR(H4253,B4254)),""),"")</f>
        <v/>
      </c>
      <c r="I4254" s="29">
        <f>IFERROR(IF(AND(ISNUMBER(B4254),ISNUMBER(H4254)),B4254/H4254-1,""),"")</f>
        <v/>
      </c>
      <c r="J4254" s="8">
        <f>IFERROR(IF(ISNUMBER(C4254),MAX(C4254,IFERROR(J4253,C4254)),""),"")</f>
        <v/>
      </c>
      <c r="K4254" s="29">
        <f>IFERROR(IF(AND(ISNUMBER(C4254),ISNUMBER(J4254)),C4254/J4254-1,""),"")</f>
        <v/>
      </c>
      <c r="L4254" s="28">
        <f>IFERROR(IF(AND(ISNUMBER(D4254),ISNUMBER(E4254)),D4254-E4254,""),"")</f>
        <v/>
      </c>
    </row>
    <row r="4255">
      <c r="A4255" s="7">
        <f>IFERROR(Datos!A4255,"")</f>
        <v/>
      </c>
      <c r="B4255" s="8">
        <f>IFERROR(Datos!B4255,"")</f>
        <v/>
      </c>
      <c r="C4255" s="8">
        <f>IFERROR(Datos!C4255,"")</f>
        <v/>
      </c>
      <c r="D4255" s="28">
        <f>IFERROR(IF(AND(ISNUMBER(B4255),ISNUMBER(B4254),B4254&lt;&gt;0),B4255/B4254-1,""),"")</f>
        <v/>
      </c>
      <c r="E4255" s="28">
        <f>IFERROR(IF(AND(ISNUMBER(C4255),ISNUMBER(C4254),C4254&lt;&gt;0),C4255/C4254-1,""),"")</f>
        <v/>
      </c>
      <c r="F4255" s="28">
        <f>IFERROR(D4255-Dashboard!$B$4/252,"")</f>
        <v/>
      </c>
      <c r="G4255" s="28">
        <f>IFERROR(E4255-Dashboard!$B$4/252,"")</f>
        <v/>
      </c>
      <c r="H4255" s="8">
        <f>IFERROR(IF(ISNUMBER(B4255),MAX(B4255,IFERROR(H4254,B4255)),""),"")</f>
        <v/>
      </c>
      <c r="I4255" s="29">
        <f>IFERROR(IF(AND(ISNUMBER(B4255),ISNUMBER(H4255)),B4255/H4255-1,""),"")</f>
        <v/>
      </c>
      <c r="J4255" s="8">
        <f>IFERROR(IF(ISNUMBER(C4255),MAX(C4255,IFERROR(J4254,C4255)),""),"")</f>
        <v/>
      </c>
      <c r="K4255" s="29">
        <f>IFERROR(IF(AND(ISNUMBER(C4255),ISNUMBER(J4255)),C4255/J4255-1,""),"")</f>
        <v/>
      </c>
      <c r="L4255" s="28">
        <f>IFERROR(IF(AND(ISNUMBER(D4255),ISNUMBER(E4255)),D4255-E4255,""),"")</f>
        <v/>
      </c>
    </row>
    <row r="4256">
      <c r="A4256" s="7">
        <f>IFERROR(Datos!A4256,"")</f>
        <v/>
      </c>
      <c r="B4256" s="8">
        <f>IFERROR(Datos!B4256,"")</f>
        <v/>
      </c>
      <c r="C4256" s="8">
        <f>IFERROR(Datos!C4256,"")</f>
        <v/>
      </c>
      <c r="D4256" s="28">
        <f>IFERROR(IF(AND(ISNUMBER(B4256),ISNUMBER(B4255),B4255&lt;&gt;0),B4256/B4255-1,""),"")</f>
        <v/>
      </c>
      <c r="E4256" s="28">
        <f>IFERROR(IF(AND(ISNUMBER(C4256),ISNUMBER(C4255),C4255&lt;&gt;0),C4256/C4255-1,""),"")</f>
        <v/>
      </c>
      <c r="F4256" s="28">
        <f>IFERROR(D4256-Dashboard!$B$4/252,"")</f>
        <v/>
      </c>
      <c r="G4256" s="28">
        <f>IFERROR(E4256-Dashboard!$B$4/252,"")</f>
        <v/>
      </c>
      <c r="H4256" s="8">
        <f>IFERROR(IF(ISNUMBER(B4256),MAX(B4256,IFERROR(H4255,B4256)),""),"")</f>
        <v/>
      </c>
      <c r="I4256" s="29">
        <f>IFERROR(IF(AND(ISNUMBER(B4256),ISNUMBER(H4256)),B4256/H4256-1,""),"")</f>
        <v/>
      </c>
      <c r="J4256" s="8">
        <f>IFERROR(IF(ISNUMBER(C4256),MAX(C4256,IFERROR(J4255,C4256)),""),"")</f>
        <v/>
      </c>
      <c r="K4256" s="29">
        <f>IFERROR(IF(AND(ISNUMBER(C4256),ISNUMBER(J4256)),C4256/J4256-1,""),"")</f>
        <v/>
      </c>
      <c r="L4256" s="28">
        <f>IFERROR(IF(AND(ISNUMBER(D4256),ISNUMBER(E4256)),D4256-E4256,""),"")</f>
        <v/>
      </c>
    </row>
    <row r="4257">
      <c r="A4257" s="7">
        <f>IFERROR(Datos!A4257,"")</f>
        <v/>
      </c>
      <c r="B4257" s="8">
        <f>IFERROR(Datos!B4257,"")</f>
        <v/>
      </c>
      <c r="C4257" s="8">
        <f>IFERROR(Datos!C4257,"")</f>
        <v/>
      </c>
      <c r="D4257" s="28">
        <f>IFERROR(IF(AND(ISNUMBER(B4257),ISNUMBER(B4256),B4256&lt;&gt;0),B4257/B4256-1,""),"")</f>
        <v/>
      </c>
      <c r="E4257" s="28">
        <f>IFERROR(IF(AND(ISNUMBER(C4257),ISNUMBER(C4256),C4256&lt;&gt;0),C4257/C4256-1,""),"")</f>
        <v/>
      </c>
      <c r="F4257" s="28">
        <f>IFERROR(D4257-Dashboard!$B$4/252,"")</f>
        <v/>
      </c>
      <c r="G4257" s="28">
        <f>IFERROR(E4257-Dashboard!$B$4/252,"")</f>
        <v/>
      </c>
      <c r="H4257" s="8">
        <f>IFERROR(IF(ISNUMBER(B4257),MAX(B4257,IFERROR(H4256,B4257)),""),"")</f>
        <v/>
      </c>
      <c r="I4257" s="29">
        <f>IFERROR(IF(AND(ISNUMBER(B4257),ISNUMBER(H4257)),B4257/H4257-1,""),"")</f>
        <v/>
      </c>
      <c r="J4257" s="8">
        <f>IFERROR(IF(ISNUMBER(C4257),MAX(C4257,IFERROR(J4256,C4257)),""),"")</f>
        <v/>
      </c>
      <c r="K4257" s="29">
        <f>IFERROR(IF(AND(ISNUMBER(C4257),ISNUMBER(J4257)),C4257/J4257-1,""),"")</f>
        <v/>
      </c>
      <c r="L4257" s="28">
        <f>IFERROR(IF(AND(ISNUMBER(D4257),ISNUMBER(E4257)),D4257-E4257,""),"")</f>
        <v/>
      </c>
    </row>
    <row r="4258">
      <c r="A4258" s="7">
        <f>IFERROR(Datos!A4258,"")</f>
        <v/>
      </c>
      <c r="B4258" s="8">
        <f>IFERROR(Datos!B4258,"")</f>
        <v/>
      </c>
      <c r="C4258" s="8">
        <f>IFERROR(Datos!C4258,"")</f>
        <v/>
      </c>
      <c r="D4258" s="28">
        <f>IFERROR(IF(AND(ISNUMBER(B4258),ISNUMBER(B4257),B4257&lt;&gt;0),B4258/B4257-1,""),"")</f>
        <v/>
      </c>
      <c r="E4258" s="28">
        <f>IFERROR(IF(AND(ISNUMBER(C4258),ISNUMBER(C4257),C4257&lt;&gt;0),C4258/C4257-1,""),"")</f>
        <v/>
      </c>
      <c r="F4258" s="28">
        <f>IFERROR(D4258-Dashboard!$B$4/252,"")</f>
        <v/>
      </c>
      <c r="G4258" s="28">
        <f>IFERROR(E4258-Dashboard!$B$4/252,"")</f>
        <v/>
      </c>
      <c r="H4258" s="8">
        <f>IFERROR(IF(ISNUMBER(B4258),MAX(B4258,IFERROR(H4257,B4258)),""),"")</f>
        <v/>
      </c>
      <c r="I4258" s="29">
        <f>IFERROR(IF(AND(ISNUMBER(B4258),ISNUMBER(H4258)),B4258/H4258-1,""),"")</f>
        <v/>
      </c>
      <c r="J4258" s="8">
        <f>IFERROR(IF(ISNUMBER(C4258),MAX(C4258,IFERROR(J4257,C4258)),""),"")</f>
        <v/>
      </c>
      <c r="K4258" s="29">
        <f>IFERROR(IF(AND(ISNUMBER(C4258),ISNUMBER(J4258)),C4258/J4258-1,""),"")</f>
        <v/>
      </c>
      <c r="L4258" s="28">
        <f>IFERROR(IF(AND(ISNUMBER(D4258),ISNUMBER(E4258)),D4258-E4258,""),"")</f>
        <v/>
      </c>
    </row>
    <row r="4259">
      <c r="A4259" s="7">
        <f>IFERROR(Datos!A4259,"")</f>
        <v/>
      </c>
      <c r="B4259" s="8">
        <f>IFERROR(Datos!B4259,"")</f>
        <v/>
      </c>
      <c r="C4259" s="8">
        <f>IFERROR(Datos!C4259,"")</f>
        <v/>
      </c>
      <c r="D4259" s="28">
        <f>IFERROR(IF(AND(ISNUMBER(B4259),ISNUMBER(B4258),B4258&lt;&gt;0),B4259/B4258-1,""),"")</f>
        <v/>
      </c>
      <c r="E4259" s="28">
        <f>IFERROR(IF(AND(ISNUMBER(C4259),ISNUMBER(C4258),C4258&lt;&gt;0),C4259/C4258-1,""),"")</f>
        <v/>
      </c>
      <c r="F4259" s="28">
        <f>IFERROR(D4259-Dashboard!$B$4/252,"")</f>
        <v/>
      </c>
      <c r="G4259" s="28">
        <f>IFERROR(E4259-Dashboard!$B$4/252,"")</f>
        <v/>
      </c>
      <c r="H4259" s="8">
        <f>IFERROR(IF(ISNUMBER(B4259),MAX(B4259,IFERROR(H4258,B4259)),""),"")</f>
        <v/>
      </c>
      <c r="I4259" s="29">
        <f>IFERROR(IF(AND(ISNUMBER(B4259),ISNUMBER(H4259)),B4259/H4259-1,""),"")</f>
        <v/>
      </c>
      <c r="J4259" s="8">
        <f>IFERROR(IF(ISNUMBER(C4259),MAX(C4259,IFERROR(J4258,C4259)),""),"")</f>
        <v/>
      </c>
      <c r="K4259" s="29">
        <f>IFERROR(IF(AND(ISNUMBER(C4259),ISNUMBER(J4259)),C4259/J4259-1,""),"")</f>
        <v/>
      </c>
      <c r="L4259" s="28">
        <f>IFERROR(IF(AND(ISNUMBER(D4259),ISNUMBER(E4259)),D4259-E4259,""),"")</f>
        <v/>
      </c>
    </row>
    <row r="4260">
      <c r="A4260" s="7">
        <f>IFERROR(Datos!A4260,"")</f>
        <v/>
      </c>
      <c r="B4260" s="8">
        <f>IFERROR(Datos!B4260,"")</f>
        <v/>
      </c>
      <c r="C4260" s="8">
        <f>IFERROR(Datos!C4260,"")</f>
        <v/>
      </c>
      <c r="D4260" s="28">
        <f>IFERROR(IF(AND(ISNUMBER(B4260),ISNUMBER(B4259),B4259&lt;&gt;0),B4260/B4259-1,""),"")</f>
        <v/>
      </c>
      <c r="E4260" s="28">
        <f>IFERROR(IF(AND(ISNUMBER(C4260),ISNUMBER(C4259),C4259&lt;&gt;0),C4260/C4259-1,""),"")</f>
        <v/>
      </c>
      <c r="F4260" s="28">
        <f>IFERROR(D4260-Dashboard!$B$4/252,"")</f>
        <v/>
      </c>
      <c r="G4260" s="28">
        <f>IFERROR(E4260-Dashboard!$B$4/252,"")</f>
        <v/>
      </c>
      <c r="H4260" s="8">
        <f>IFERROR(IF(ISNUMBER(B4260),MAX(B4260,IFERROR(H4259,B4260)),""),"")</f>
        <v/>
      </c>
      <c r="I4260" s="29">
        <f>IFERROR(IF(AND(ISNUMBER(B4260),ISNUMBER(H4260)),B4260/H4260-1,""),"")</f>
        <v/>
      </c>
      <c r="J4260" s="8">
        <f>IFERROR(IF(ISNUMBER(C4260),MAX(C4260,IFERROR(J4259,C4260)),""),"")</f>
        <v/>
      </c>
      <c r="K4260" s="29">
        <f>IFERROR(IF(AND(ISNUMBER(C4260),ISNUMBER(J4260)),C4260/J4260-1,""),"")</f>
        <v/>
      </c>
      <c r="L4260" s="28">
        <f>IFERROR(IF(AND(ISNUMBER(D4260),ISNUMBER(E4260)),D4260-E4260,""),"")</f>
        <v/>
      </c>
    </row>
    <row r="4261">
      <c r="A4261" s="7">
        <f>IFERROR(Datos!A4261,"")</f>
        <v/>
      </c>
      <c r="B4261" s="8">
        <f>IFERROR(Datos!B4261,"")</f>
        <v/>
      </c>
      <c r="C4261" s="8">
        <f>IFERROR(Datos!C4261,"")</f>
        <v/>
      </c>
      <c r="D4261" s="28">
        <f>IFERROR(IF(AND(ISNUMBER(B4261),ISNUMBER(B4260),B4260&lt;&gt;0),B4261/B4260-1,""),"")</f>
        <v/>
      </c>
      <c r="E4261" s="28">
        <f>IFERROR(IF(AND(ISNUMBER(C4261),ISNUMBER(C4260),C4260&lt;&gt;0),C4261/C4260-1,""),"")</f>
        <v/>
      </c>
      <c r="F4261" s="28">
        <f>IFERROR(D4261-Dashboard!$B$4/252,"")</f>
        <v/>
      </c>
      <c r="G4261" s="28">
        <f>IFERROR(E4261-Dashboard!$B$4/252,"")</f>
        <v/>
      </c>
      <c r="H4261" s="8">
        <f>IFERROR(IF(ISNUMBER(B4261),MAX(B4261,IFERROR(H4260,B4261)),""),"")</f>
        <v/>
      </c>
      <c r="I4261" s="29">
        <f>IFERROR(IF(AND(ISNUMBER(B4261),ISNUMBER(H4261)),B4261/H4261-1,""),"")</f>
        <v/>
      </c>
      <c r="J4261" s="8">
        <f>IFERROR(IF(ISNUMBER(C4261),MAX(C4261,IFERROR(J4260,C4261)),""),"")</f>
        <v/>
      </c>
      <c r="K4261" s="29">
        <f>IFERROR(IF(AND(ISNUMBER(C4261),ISNUMBER(J4261)),C4261/J4261-1,""),"")</f>
        <v/>
      </c>
      <c r="L4261" s="28">
        <f>IFERROR(IF(AND(ISNUMBER(D4261),ISNUMBER(E4261)),D4261-E4261,""),"")</f>
        <v/>
      </c>
    </row>
    <row r="4262">
      <c r="A4262" s="7">
        <f>IFERROR(Datos!A4262,"")</f>
        <v/>
      </c>
      <c r="B4262" s="8">
        <f>IFERROR(Datos!B4262,"")</f>
        <v/>
      </c>
      <c r="C4262" s="8">
        <f>IFERROR(Datos!C4262,"")</f>
        <v/>
      </c>
      <c r="D4262" s="28">
        <f>IFERROR(IF(AND(ISNUMBER(B4262),ISNUMBER(B4261),B4261&lt;&gt;0),B4262/B4261-1,""),"")</f>
        <v/>
      </c>
      <c r="E4262" s="28">
        <f>IFERROR(IF(AND(ISNUMBER(C4262),ISNUMBER(C4261),C4261&lt;&gt;0),C4262/C4261-1,""),"")</f>
        <v/>
      </c>
      <c r="F4262" s="28">
        <f>IFERROR(D4262-Dashboard!$B$4/252,"")</f>
        <v/>
      </c>
      <c r="G4262" s="28">
        <f>IFERROR(E4262-Dashboard!$B$4/252,"")</f>
        <v/>
      </c>
      <c r="H4262" s="8">
        <f>IFERROR(IF(ISNUMBER(B4262),MAX(B4262,IFERROR(H4261,B4262)),""),"")</f>
        <v/>
      </c>
      <c r="I4262" s="29">
        <f>IFERROR(IF(AND(ISNUMBER(B4262),ISNUMBER(H4262)),B4262/H4262-1,""),"")</f>
        <v/>
      </c>
      <c r="J4262" s="8">
        <f>IFERROR(IF(ISNUMBER(C4262),MAX(C4262,IFERROR(J4261,C4262)),""),"")</f>
        <v/>
      </c>
      <c r="K4262" s="29">
        <f>IFERROR(IF(AND(ISNUMBER(C4262),ISNUMBER(J4262)),C4262/J4262-1,""),"")</f>
        <v/>
      </c>
      <c r="L4262" s="28">
        <f>IFERROR(IF(AND(ISNUMBER(D4262),ISNUMBER(E4262)),D4262-E4262,""),"")</f>
        <v/>
      </c>
    </row>
    <row r="4263">
      <c r="A4263" s="7">
        <f>IFERROR(Datos!A4263,"")</f>
        <v/>
      </c>
      <c r="B4263" s="8">
        <f>IFERROR(Datos!B4263,"")</f>
        <v/>
      </c>
      <c r="C4263" s="8">
        <f>IFERROR(Datos!C4263,"")</f>
        <v/>
      </c>
      <c r="D4263" s="28">
        <f>IFERROR(IF(AND(ISNUMBER(B4263),ISNUMBER(B4262),B4262&lt;&gt;0),B4263/B4262-1,""),"")</f>
        <v/>
      </c>
      <c r="E4263" s="28">
        <f>IFERROR(IF(AND(ISNUMBER(C4263),ISNUMBER(C4262),C4262&lt;&gt;0),C4263/C4262-1,""),"")</f>
        <v/>
      </c>
      <c r="F4263" s="28">
        <f>IFERROR(D4263-Dashboard!$B$4/252,"")</f>
        <v/>
      </c>
      <c r="G4263" s="28">
        <f>IFERROR(E4263-Dashboard!$B$4/252,"")</f>
        <v/>
      </c>
      <c r="H4263" s="8">
        <f>IFERROR(IF(ISNUMBER(B4263),MAX(B4263,IFERROR(H4262,B4263)),""),"")</f>
        <v/>
      </c>
      <c r="I4263" s="29">
        <f>IFERROR(IF(AND(ISNUMBER(B4263),ISNUMBER(H4263)),B4263/H4263-1,""),"")</f>
        <v/>
      </c>
      <c r="J4263" s="8">
        <f>IFERROR(IF(ISNUMBER(C4263),MAX(C4263,IFERROR(J4262,C4263)),""),"")</f>
        <v/>
      </c>
      <c r="K4263" s="29">
        <f>IFERROR(IF(AND(ISNUMBER(C4263),ISNUMBER(J4263)),C4263/J4263-1,""),"")</f>
        <v/>
      </c>
      <c r="L4263" s="28">
        <f>IFERROR(IF(AND(ISNUMBER(D4263),ISNUMBER(E4263)),D4263-E4263,""),"")</f>
        <v/>
      </c>
    </row>
    <row r="4264">
      <c r="A4264" s="7">
        <f>IFERROR(Datos!A4264,"")</f>
        <v/>
      </c>
      <c r="B4264" s="8">
        <f>IFERROR(Datos!B4264,"")</f>
        <v/>
      </c>
      <c r="C4264" s="8">
        <f>IFERROR(Datos!C4264,"")</f>
        <v/>
      </c>
      <c r="D4264" s="28">
        <f>IFERROR(IF(AND(ISNUMBER(B4264),ISNUMBER(B4263),B4263&lt;&gt;0),B4264/B4263-1,""),"")</f>
        <v/>
      </c>
      <c r="E4264" s="28">
        <f>IFERROR(IF(AND(ISNUMBER(C4264),ISNUMBER(C4263),C4263&lt;&gt;0),C4264/C4263-1,""),"")</f>
        <v/>
      </c>
      <c r="F4264" s="28">
        <f>IFERROR(D4264-Dashboard!$B$4/252,"")</f>
        <v/>
      </c>
      <c r="G4264" s="28">
        <f>IFERROR(E4264-Dashboard!$B$4/252,"")</f>
        <v/>
      </c>
      <c r="H4264" s="8">
        <f>IFERROR(IF(ISNUMBER(B4264),MAX(B4264,IFERROR(H4263,B4264)),""),"")</f>
        <v/>
      </c>
      <c r="I4264" s="29">
        <f>IFERROR(IF(AND(ISNUMBER(B4264),ISNUMBER(H4264)),B4264/H4264-1,""),"")</f>
        <v/>
      </c>
      <c r="J4264" s="8">
        <f>IFERROR(IF(ISNUMBER(C4264),MAX(C4264,IFERROR(J4263,C4264)),""),"")</f>
        <v/>
      </c>
      <c r="K4264" s="29">
        <f>IFERROR(IF(AND(ISNUMBER(C4264),ISNUMBER(J4264)),C4264/J4264-1,""),"")</f>
        <v/>
      </c>
      <c r="L4264" s="28">
        <f>IFERROR(IF(AND(ISNUMBER(D4264),ISNUMBER(E4264)),D4264-E4264,""),"")</f>
        <v/>
      </c>
    </row>
    <row r="4265">
      <c r="A4265" s="7">
        <f>IFERROR(Datos!A4265,"")</f>
        <v/>
      </c>
      <c r="B4265" s="8">
        <f>IFERROR(Datos!B4265,"")</f>
        <v/>
      </c>
      <c r="C4265" s="8">
        <f>IFERROR(Datos!C4265,"")</f>
        <v/>
      </c>
      <c r="D4265" s="28">
        <f>IFERROR(IF(AND(ISNUMBER(B4265),ISNUMBER(B4264),B4264&lt;&gt;0),B4265/B4264-1,""),"")</f>
        <v/>
      </c>
      <c r="E4265" s="28">
        <f>IFERROR(IF(AND(ISNUMBER(C4265),ISNUMBER(C4264),C4264&lt;&gt;0),C4265/C4264-1,""),"")</f>
        <v/>
      </c>
      <c r="F4265" s="28">
        <f>IFERROR(D4265-Dashboard!$B$4/252,"")</f>
        <v/>
      </c>
      <c r="G4265" s="28">
        <f>IFERROR(E4265-Dashboard!$B$4/252,"")</f>
        <v/>
      </c>
      <c r="H4265" s="8">
        <f>IFERROR(IF(ISNUMBER(B4265),MAX(B4265,IFERROR(H4264,B4265)),""),"")</f>
        <v/>
      </c>
      <c r="I4265" s="29">
        <f>IFERROR(IF(AND(ISNUMBER(B4265),ISNUMBER(H4265)),B4265/H4265-1,""),"")</f>
        <v/>
      </c>
      <c r="J4265" s="8">
        <f>IFERROR(IF(ISNUMBER(C4265),MAX(C4265,IFERROR(J4264,C4265)),""),"")</f>
        <v/>
      </c>
      <c r="K4265" s="29">
        <f>IFERROR(IF(AND(ISNUMBER(C4265),ISNUMBER(J4265)),C4265/J4265-1,""),"")</f>
        <v/>
      </c>
      <c r="L4265" s="28">
        <f>IFERROR(IF(AND(ISNUMBER(D4265),ISNUMBER(E4265)),D4265-E4265,""),"")</f>
        <v/>
      </c>
    </row>
    <row r="4266">
      <c r="A4266" s="7">
        <f>IFERROR(Datos!A4266,"")</f>
        <v/>
      </c>
      <c r="B4266" s="8">
        <f>IFERROR(Datos!B4266,"")</f>
        <v/>
      </c>
      <c r="C4266" s="8">
        <f>IFERROR(Datos!C4266,"")</f>
        <v/>
      </c>
      <c r="D4266" s="28">
        <f>IFERROR(IF(AND(ISNUMBER(B4266),ISNUMBER(B4265),B4265&lt;&gt;0),B4266/B4265-1,""),"")</f>
        <v/>
      </c>
      <c r="E4266" s="28">
        <f>IFERROR(IF(AND(ISNUMBER(C4266),ISNUMBER(C4265),C4265&lt;&gt;0),C4266/C4265-1,""),"")</f>
        <v/>
      </c>
      <c r="F4266" s="28">
        <f>IFERROR(D4266-Dashboard!$B$4/252,"")</f>
        <v/>
      </c>
      <c r="G4266" s="28">
        <f>IFERROR(E4266-Dashboard!$B$4/252,"")</f>
        <v/>
      </c>
      <c r="H4266" s="8">
        <f>IFERROR(IF(ISNUMBER(B4266),MAX(B4266,IFERROR(H4265,B4266)),""),"")</f>
        <v/>
      </c>
      <c r="I4266" s="29">
        <f>IFERROR(IF(AND(ISNUMBER(B4266),ISNUMBER(H4266)),B4266/H4266-1,""),"")</f>
        <v/>
      </c>
      <c r="J4266" s="8">
        <f>IFERROR(IF(ISNUMBER(C4266),MAX(C4266,IFERROR(J4265,C4266)),""),"")</f>
        <v/>
      </c>
      <c r="K4266" s="29">
        <f>IFERROR(IF(AND(ISNUMBER(C4266),ISNUMBER(J4266)),C4266/J4266-1,""),"")</f>
        <v/>
      </c>
      <c r="L4266" s="28">
        <f>IFERROR(IF(AND(ISNUMBER(D4266),ISNUMBER(E4266)),D4266-E4266,""),"")</f>
        <v/>
      </c>
    </row>
    <row r="4267">
      <c r="A4267" s="7">
        <f>IFERROR(Datos!A4267,"")</f>
        <v/>
      </c>
      <c r="B4267" s="8">
        <f>IFERROR(Datos!B4267,"")</f>
        <v/>
      </c>
      <c r="C4267" s="8">
        <f>IFERROR(Datos!C4267,"")</f>
        <v/>
      </c>
      <c r="D4267" s="28">
        <f>IFERROR(IF(AND(ISNUMBER(B4267),ISNUMBER(B4266),B4266&lt;&gt;0),B4267/B4266-1,""),"")</f>
        <v/>
      </c>
      <c r="E4267" s="28">
        <f>IFERROR(IF(AND(ISNUMBER(C4267),ISNUMBER(C4266),C4266&lt;&gt;0),C4267/C4266-1,""),"")</f>
        <v/>
      </c>
      <c r="F4267" s="28">
        <f>IFERROR(D4267-Dashboard!$B$4/252,"")</f>
        <v/>
      </c>
      <c r="G4267" s="28">
        <f>IFERROR(E4267-Dashboard!$B$4/252,"")</f>
        <v/>
      </c>
      <c r="H4267" s="8">
        <f>IFERROR(IF(ISNUMBER(B4267),MAX(B4267,IFERROR(H4266,B4267)),""),"")</f>
        <v/>
      </c>
      <c r="I4267" s="29">
        <f>IFERROR(IF(AND(ISNUMBER(B4267),ISNUMBER(H4267)),B4267/H4267-1,""),"")</f>
        <v/>
      </c>
      <c r="J4267" s="8">
        <f>IFERROR(IF(ISNUMBER(C4267),MAX(C4267,IFERROR(J4266,C4267)),""),"")</f>
        <v/>
      </c>
      <c r="K4267" s="29">
        <f>IFERROR(IF(AND(ISNUMBER(C4267),ISNUMBER(J4267)),C4267/J4267-1,""),"")</f>
        <v/>
      </c>
      <c r="L4267" s="28">
        <f>IFERROR(IF(AND(ISNUMBER(D4267),ISNUMBER(E4267)),D4267-E4267,""),"")</f>
        <v/>
      </c>
    </row>
    <row r="4268">
      <c r="A4268" s="7">
        <f>IFERROR(Datos!A4268,"")</f>
        <v/>
      </c>
      <c r="B4268" s="8">
        <f>IFERROR(Datos!B4268,"")</f>
        <v/>
      </c>
      <c r="C4268" s="8">
        <f>IFERROR(Datos!C4268,"")</f>
        <v/>
      </c>
      <c r="D4268" s="28">
        <f>IFERROR(IF(AND(ISNUMBER(B4268),ISNUMBER(B4267),B4267&lt;&gt;0),B4268/B4267-1,""),"")</f>
        <v/>
      </c>
      <c r="E4268" s="28">
        <f>IFERROR(IF(AND(ISNUMBER(C4268),ISNUMBER(C4267),C4267&lt;&gt;0),C4268/C4267-1,""),"")</f>
        <v/>
      </c>
      <c r="F4268" s="28">
        <f>IFERROR(D4268-Dashboard!$B$4/252,"")</f>
        <v/>
      </c>
      <c r="G4268" s="28">
        <f>IFERROR(E4268-Dashboard!$B$4/252,"")</f>
        <v/>
      </c>
      <c r="H4268" s="8">
        <f>IFERROR(IF(ISNUMBER(B4268),MAX(B4268,IFERROR(H4267,B4268)),""),"")</f>
        <v/>
      </c>
      <c r="I4268" s="29">
        <f>IFERROR(IF(AND(ISNUMBER(B4268),ISNUMBER(H4268)),B4268/H4268-1,""),"")</f>
        <v/>
      </c>
      <c r="J4268" s="8">
        <f>IFERROR(IF(ISNUMBER(C4268),MAX(C4268,IFERROR(J4267,C4268)),""),"")</f>
        <v/>
      </c>
      <c r="K4268" s="29">
        <f>IFERROR(IF(AND(ISNUMBER(C4268),ISNUMBER(J4268)),C4268/J4268-1,""),"")</f>
        <v/>
      </c>
      <c r="L4268" s="28">
        <f>IFERROR(IF(AND(ISNUMBER(D4268),ISNUMBER(E4268)),D4268-E4268,""),"")</f>
        <v/>
      </c>
    </row>
    <row r="4269">
      <c r="A4269" s="7">
        <f>IFERROR(Datos!A4269,"")</f>
        <v/>
      </c>
      <c r="B4269" s="8">
        <f>IFERROR(Datos!B4269,"")</f>
        <v/>
      </c>
      <c r="C4269" s="8">
        <f>IFERROR(Datos!C4269,"")</f>
        <v/>
      </c>
      <c r="D4269" s="28">
        <f>IFERROR(IF(AND(ISNUMBER(B4269),ISNUMBER(B4268),B4268&lt;&gt;0),B4269/B4268-1,""),"")</f>
        <v/>
      </c>
      <c r="E4269" s="28">
        <f>IFERROR(IF(AND(ISNUMBER(C4269),ISNUMBER(C4268),C4268&lt;&gt;0),C4269/C4268-1,""),"")</f>
        <v/>
      </c>
      <c r="F4269" s="28">
        <f>IFERROR(D4269-Dashboard!$B$4/252,"")</f>
        <v/>
      </c>
      <c r="G4269" s="28">
        <f>IFERROR(E4269-Dashboard!$B$4/252,"")</f>
        <v/>
      </c>
      <c r="H4269" s="8">
        <f>IFERROR(IF(ISNUMBER(B4269),MAX(B4269,IFERROR(H4268,B4269)),""),"")</f>
        <v/>
      </c>
      <c r="I4269" s="29">
        <f>IFERROR(IF(AND(ISNUMBER(B4269),ISNUMBER(H4269)),B4269/H4269-1,""),"")</f>
        <v/>
      </c>
      <c r="J4269" s="8">
        <f>IFERROR(IF(ISNUMBER(C4269),MAX(C4269,IFERROR(J4268,C4269)),""),"")</f>
        <v/>
      </c>
      <c r="K4269" s="29">
        <f>IFERROR(IF(AND(ISNUMBER(C4269),ISNUMBER(J4269)),C4269/J4269-1,""),"")</f>
        <v/>
      </c>
      <c r="L4269" s="28">
        <f>IFERROR(IF(AND(ISNUMBER(D4269),ISNUMBER(E4269)),D4269-E4269,""),"")</f>
        <v/>
      </c>
    </row>
    <row r="4270">
      <c r="A4270" s="7">
        <f>IFERROR(Datos!A4270,"")</f>
        <v/>
      </c>
      <c r="B4270" s="8">
        <f>IFERROR(Datos!B4270,"")</f>
        <v/>
      </c>
      <c r="C4270" s="8">
        <f>IFERROR(Datos!C4270,"")</f>
        <v/>
      </c>
      <c r="D4270" s="28">
        <f>IFERROR(IF(AND(ISNUMBER(B4270),ISNUMBER(B4269),B4269&lt;&gt;0),B4270/B4269-1,""),"")</f>
        <v/>
      </c>
      <c r="E4270" s="28">
        <f>IFERROR(IF(AND(ISNUMBER(C4270),ISNUMBER(C4269),C4269&lt;&gt;0),C4270/C4269-1,""),"")</f>
        <v/>
      </c>
      <c r="F4270" s="28">
        <f>IFERROR(D4270-Dashboard!$B$4/252,"")</f>
        <v/>
      </c>
      <c r="G4270" s="28">
        <f>IFERROR(E4270-Dashboard!$B$4/252,"")</f>
        <v/>
      </c>
      <c r="H4270" s="8">
        <f>IFERROR(IF(ISNUMBER(B4270),MAX(B4270,IFERROR(H4269,B4270)),""),"")</f>
        <v/>
      </c>
      <c r="I4270" s="29">
        <f>IFERROR(IF(AND(ISNUMBER(B4270),ISNUMBER(H4270)),B4270/H4270-1,""),"")</f>
        <v/>
      </c>
      <c r="J4270" s="8">
        <f>IFERROR(IF(ISNUMBER(C4270),MAX(C4270,IFERROR(J4269,C4270)),""),"")</f>
        <v/>
      </c>
      <c r="K4270" s="29">
        <f>IFERROR(IF(AND(ISNUMBER(C4270),ISNUMBER(J4270)),C4270/J4270-1,""),"")</f>
        <v/>
      </c>
      <c r="L4270" s="28">
        <f>IFERROR(IF(AND(ISNUMBER(D4270),ISNUMBER(E4270)),D4270-E4270,""),"")</f>
        <v/>
      </c>
    </row>
    <row r="4271">
      <c r="A4271" s="7">
        <f>IFERROR(Datos!A4271,"")</f>
        <v/>
      </c>
      <c r="B4271" s="8">
        <f>IFERROR(Datos!B4271,"")</f>
        <v/>
      </c>
      <c r="C4271" s="8">
        <f>IFERROR(Datos!C4271,"")</f>
        <v/>
      </c>
      <c r="D4271" s="28">
        <f>IFERROR(IF(AND(ISNUMBER(B4271),ISNUMBER(B4270),B4270&lt;&gt;0),B4271/B4270-1,""),"")</f>
        <v/>
      </c>
      <c r="E4271" s="28">
        <f>IFERROR(IF(AND(ISNUMBER(C4271),ISNUMBER(C4270),C4270&lt;&gt;0),C4271/C4270-1,""),"")</f>
        <v/>
      </c>
      <c r="F4271" s="28">
        <f>IFERROR(D4271-Dashboard!$B$4/252,"")</f>
        <v/>
      </c>
      <c r="G4271" s="28">
        <f>IFERROR(E4271-Dashboard!$B$4/252,"")</f>
        <v/>
      </c>
      <c r="H4271" s="8">
        <f>IFERROR(IF(ISNUMBER(B4271),MAX(B4271,IFERROR(H4270,B4271)),""),"")</f>
        <v/>
      </c>
      <c r="I4271" s="29">
        <f>IFERROR(IF(AND(ISNUMBER(B4271),ISNUMBER(H4271)),B4271/H4271-1,""),"")</f>
        <v/>
      </c>
      <c r="J4271" s="8">
        <f>IFERROR(IF(ISNUMBER(C4271),MAX(C4271,IFERROR(J4270,C4271)),""),"")</f>
        <v/>
      </c>
      <c r="K4271" s="29">
        <f>IFERROR(IF(AND(ISNUMBER(C4271),ISNUMBER(J4271)),C4271/J4271-1,""),"")</f>
        <v/>
      </c>
      <c r="L4271" s="28">
        <f>IFERROR(IF(AND(ISNUMBER(D4271),ISNUMBER(E4271)),D4271-E4271,""),"")</f>
        <v/>
      </c>
    </row>
    <row r="4272">
      <c r="A4272" s="7">
        <f>IFERROR(Datos!A4272,"")</f>
        <v/>
      </c>
      <c r="B4272" s="8">
        <f>IFERROR(Datos!B4272,"")</f>
        <v/>
      </c>
      <c r="C4272" s="8">
        <f>IFERROR(Datos!C4272,"")</f>
        <v/>
      </c>
      <c r="D4272" s="28">
        <f>IFERROR(IF(AND(ISNUMBER(B4272),ISNUMBER(B4271),B4271&lt;&gt;0),B4272/B4271-1,""),"")</f>
        <v/>
      </c>
      <c r="E4272" s="28">
        <f>IFERROR(IF(AND(ISNUMBER(C4272),ISNUMBER(C4271),C4271&lt;&gt;0),C4272/C4271-1,""),"")</f>
        <v/>
      </c>
      <c r="F4272" s="28">
        <f>IFERROR(D4272-Dashboard!$B$4/252,"")</f>
        <v/>
      </c>
      <c r="G4272" s="28">
        <f>IFERROR(E4272-Dashboard!$B$4/252,"")</f>
        <v/>
      </c>
      <c r="H4272" s="8">
        <f>IFERROR(IF(ISNUMBER(B4272),MAX(B4272,IFERROR(H4271,B4272)),""),"")</f>
        <v/>
      </c>
      <c r="I4272" s="29">
        <f>IFERROR(IF(AND(ISNUMBER(B4272),ISNUMBER(H4272)),B4272/H4272-1,""),"")</f>
        <v/>
      </c>
      <c r="J4272" s="8">
        <f>IFERROR(IF(ISNUMBER(C4272),MAX(C4272,IFERROR(J4271,C4272)),""),"")</f>
        <v/>
      </c>
      <c r="K4272" s="29">
        <f>IFERROR(IF(AND(ISNUMBER(C4272),ISNUMBER(J4272)),C4272/J4272-1,""),"")</f>
        <v/>
      </c>
      <c r="L4272" s="28">
        <f>IFERROR(IF(AND(ISNUMBER(D4272),ISNUMBER(E4272)),D4272-E4272,""),"")</f>
        <v/>
      </c>
    </row>
    <row r="4273">
      <c r="A4273" s="7">
        <f>IFERROR(Datos!A4273,"")</f>
        <v/>
      </c>
      <c r="B4273" s="8">
        <f>IFERROR(Datos!B4273,"")</f>
        <v/>
      </c>
      <c r="C4273" s="8">
        <f>IFERROR(Datos!C4273,"")</f>
        <v/>
      </c>
      <c r="D4273" s="28">
        <f>IFERROR(IF(AND(ISNUMBER(B4273),ISNUMBER(B4272),B4272&lt;&gt;0),B4273/B4272-1,""),"")</f>
        <v/>
      </c>
      <c r="E4273" s="28">
        <f>IFERROR(IF(AND(ISNUMBER(C4273),ISNUMBER(C4272),C4272&lt;&gt;0),C4273/C4272-1,""),"")</f>
        <v/>
      </c>
      <c r="F4273" s="28">
        <f>IFERROR(D4273-Dashboard!$B$4/252,"")</f>
        <v/>
      </c>
      <c r="G4273" s="28">
        <f>IFERROR(E4273-Dashboard!$B$4/252,"")</f>
        <v/>
      </c>
      <c r="H4273" s="8">
        <f>IFERROR(IF(ISNUMBER(B4273),MAX(B4273,IFERROR(H4272,B4273)),""),"")</f>
        <v/>
      </c>
      <c r="I4273" s="29">
        <f>IFERROR(IF(AND(ISNUMBER(B4273),ISNUMBER(H4273)),B4273/H4273-1,""),"")</f>
        <v/>
      </c>
      <c r="J4273" s="8">
        <f>IFERROR(IF(ISNUMBER(C4273),MAX(C4273,IFERROR(J4272,C4273)),""),"")</f>
        <v/>
      </c>
      <c r="K4273" s="29">
        <f>IFERROR(IF(AND(ISNUMBER(C4273),ISNUMBER(J4273)),C4273/J4273-1,""),"")</f>
        <v/>
      </c>
      <c r="L4273" s="28">
        <f>IFERROR(IF(AND(ISNUMBER(D4273),ISNUMBER(E4273)),D4273-E4273,""),"")</f>
        <v/>
      </c>
    </row>
    <row r="4274">
      <c r="A4274" s="7">
        <f>IFERROR(Datos!A4274,"")</f>
        <v/>
      </c>
      <c r="B4274" s="8">
        <f>IFERROR(Datos!B4274,"")</f>
        <v/>
      </c>
      <c r="C4274" s="8">
        <f>IFERROR(Datos!C4274,"")</f>
        <v/>
      </c>
      <c r="D4274" s="28">
        <f>IFERROR(IF(AND(ISNUMBER(B4274),ISNUMBER(B4273),B4273&lt;&gt;0),B4274/B4273-1,""),"")</f>
        <v/>
      </c>
      <c r="E4274" s="28">
        <f>IFERROR(IF(AND(ISNUMBER(C4274),ISNUMBER(C4273),C4273&lt;&gt;0),C4274/C4273-1,""),"")</f>
        <v/>
      </c>
      <c r="F4274" s="28">
        <f>IFERROR(D4274-Dashboard!$B$4/252,"")</f>
        <v/>
      </c>
      <c r="G4274" s="28">
        <f>IFERROR(E4274-Dashboard!$B$4/252,"")</f>
        <v/>
      </c>
      <c r="H4274" s="8">
        <f>IFERROR(IF(ISNUMBER(B4274),MAX(B4274,IFERROR(H4273,B4274)),""),"")</f>
        <v/>
      </c>
      <c r="I4274" s="29">
        <f>IFERROR(IF(AND(ISNUMBER(B4274),ISNUMBER(H4274)),B4274/H4274-1,""),"")</f>
        <v/>
      </c>
      <c r="J4274" s="8">
        <f>IFERROR(IF(ISNUMBER(C4274),MAX(C4274,IFERROR(J4273,C4274)),""),"")</f>
        <v/>
      </c>
      <c r="K4274" s="29">
        <f>IFERROR(IF(AND(ISNUMBER(C4274),ISNUMBER(J4274)),C4274/J4274-1,""),"")</f>
        <v/>
      </c>
      <c r="L4274" s="28">
        <f>IFERROR(IF(AND(ISNUMBER(D4274),ISNUMBER(E4274)),D4274-E4274,""),"")</f>
        <v/>
      </c>
    </row>
    <row r="4275">
      <c r="A4275" s="7">
        <f>IFERROR(Datos!A4275,"")</f>
        <v/>
      </c>
      <c r="B4275" s="8">
        <f>IFERROR(Datos!B4275,"")</f>
        <v/>
      </c>
      <c r="C4275" s="8">
        <f>IFERROR(Datos!C4275,"")</f>
        <v/>
      </c>
      <c r="D4275" s="28">
        <f>IFERROR(IF(AND(ISNUMBER(B4275),ISNUMBER(B4274),B4274&lt;&gt;0),B4275/B4274-1,""),"")</f>
        <v/>
      </c>
      <c r="E4275" s="28">
        <f>IFERROR(IF(AND(ISNUMBER(C4275),ISNUMBER(C4274),C4274&lt;&gt;0),C4275/C4274-1,""),"")</f>
        <v/>
      </c>
      <c r="F4275" s="28">
        <f>IFERROR(D4275-Dashboard!$B$4/252,"")</f>
        <v/>
      </c>
      <c r="G4275" s="28">
        <f>IFERROR(E4275-Dashboard!$B$4/252,"")</f>
        <v/>
      </c>
      <c r="H4275" s="8">
        <f>IFERROR(IF(ISNUMBER(B4275),MAX(B4275,IFERROR(H4274,B4275)),""),"")</f>
        <v/>
      </c>
      <c r="I4275" s="29">
        <f>IFERROR(IF(AND(ISNUMBER(B4275),ISNUMBER(H4275)),B4275/H4275-1,""),"")</f>
        <v/>
      </c>
      <c r="J4275" s="8">
        <f>IFERROR(IF(ISNUMBER(C4275),MAX(C4275,IFERROR(J4274,C4275)),""),"")</f>
        <v/>
      </c>
      <c r="K4275" s="29">
        <f>IFERROR(IF(AND(ISNUMBER(C4275),ISNUMBER(J4275)),C4275/J4275-1,""),"")</f>
        <v/>
      </c>
      <c r="L4275" s="28">
        <f>IFERROR(IF(AND(ISNUMBER(D4275),ISNUMBER(E4275)),D4275-E4275,""),"")</f>
        <v/>
      </c>
    </row>
    <row r="4276">
      <c r="A4276" s="7">
        <f>IFERROR(Datos!A4276,"")</f>
        <v/>
      </c>
      <c r="B4276" s="8">
        <f>IFERROR(Datos!B4276,"")</f>
        <v/>
      </c>
      <c r="C4276" s="8">
        <f>IFERROR(Datos!C4276,"")</f>
        <v/>
      </c>
      <c r="D4276" s="28">
        <f>IFERROR(IF(AND(ISNUMBER(B4276),ISNUMBER(B4275),B4275&lt;&gt;0),B4276/B4275-1,""),"")</f>
        <v/>
      </c>
      <c r="E4276" s="28">
        <f>IFERROR(IF(AND(ISNUMBER(C4276),ISNUMBER(C4275),C4275&lt;&gt;0),C4276/C4275-1,""),"")</f>
        <v/>
      </c>
      <c r="F4276" s="28">
        <f>IFERROR(D4276-Dashboard!$B$4/252,"")</f>
        <v/>
      </c>
      <c r="G4276" s="28">
        <f>IFERROR(E4276-Dashboard!$B$4/252,"")</f>
        <v/>
      </c>
      <c r="H4276" s="8">
        <f>IFERROR(IF(ISNUMBER(B4276),MAX(B4276,IFERROR(H4275,B4276)),""),"")</f>
        <v/>
      </c>
      <c r="I4276" s="29">
        <f>IFERROR(IF(AND(ISNUMBER(B4276),ISNUMBER(H4276)),B4276/H4276-1,""),"")</f>
        <v/>
      </c>
      <c r="J4276" s="8">
        <f>IFERROR(IF(ISNUMBER(C4276),MAX(C4276,IFERROR(J4275,C4276)),""),"")</f>
        <v/>
      </c>
      <c r="K4276" s="29">
        <f>IFERROR(IF(AND(ISNUMBER(C4276),ISNUMBER(J4276)),C4276/J4276-1,""),"")</f>
        <v/>
      </c>
      <c r="L4276" s="28">
        <f>IFERROR(IF(AND(ISNUMBER(D4276),ISNUMBER(E4276)),D4276-E4276,""),"")</f>
        <v/>
      </c>
    </row>
    <row r="4277">
      <c r="A4277" s="7">
        <f>IFERROR(Datos!A4277,"")</f>
        <v/>
      </c>
      <c r="B4277" s="8">
        <f>IFERROR(Datos!B4277,"")</f>
        <v/>
      </c>
      <c r="C4277" s="8">
        <f>IFERROR(Datos!C4277,"")</f>
        <v/>
      </c>
      <c r="D4277" s="28">
        <f>IFERROR(IF(AND(ISNUMBER(B4277),ISNUMBER(B4276),B4276&lt;&gt;0),B4277/B4276-1,""),"")</f>
        <v/>
      </c>
      <c r="E4277" s="28">
        <f>IFERROR(IF(AND(ISNUMBER(C4277),ISNUMBER(C4276),C4276&lt;&gt;0),C4277/C4276-1,""),"")</f>
        <v/>
      </c>
      <c r="F4277" s="28">
        <f>IFERROR(D4277-Dashboard!$B$4/252,"")</f>
        <v/>
      </c>
      <c r="G4277" s="28">
        <f>IFERROR(E4277-Dashboard!$B$4/252,"")</f>
        <v/>
      </c>
      <c r="H4277" s="8">
        <f>IFERROR(IF(ISNUMBER(B4277),MAX(B4277,IFERROR(H4276,B4277)),""),"")</f>
        <v/>
      </c>
      <c r="I4277" s="29">
        <f>IFERROR(IF(AND(ISNUMBER(B4277),ISNUMBER(H4277)),B4277/H4277-1,""),"")</f>
        <v/>
      </c>
      <c r="J4277" s="8">
        <f>IFERROR(IF(ISNUMBER(C4277),MAX(C4277,IFERROR(J4276,C4277)),""),"")</f>
        <v/>
      </c>
      <c r="K4277" s="29">
        <f>IFERROR(IF(AND(ISNUMBER(C4277),ISNUMBER(J4277)),C4277/J4277-1,""),"")</f>
        <v/>
      </c>
      <c r="L4277" s="28">
        <f>IFERROR(IF(AND(ISNUMBER(D4277),ISNUMBER(E4277)),D4277-E4277,""),"")</f>
        <v/>
      </c>
    </row>
    <row r="4278">
      <c r="A4278" s="7">
        <f>IFERROR(Datos!A4278,"")</f>
        <v/>
      </c>
      <c r="B4278" s="8">
        <f>IFERROR(Datos!B4278,"")</f>
        <v/>
      </c>
      <c r="C4278" s="8">
        <f>IFERROR(Datos!C4278,"")</f>
        <v/>
      </c>
      <c r="D4278" s="28">
        <f>IFERROR(IF(AND(ISNUMBER(B4278),ISNUMBER(B4277),B4277&lt;&gt;0),B4278/B4277-1,""),"")</f>
        <v/>
      </c>
      <c r="E4278" s="28">
        <f>IFERROR(IF(AND(ISNUMBER(C4278),ISNUMBER(C4277),C4277&lt;&gt;0),C4278/C4277-1,""),"")</f>
        <v/>
      </c>
      <c r="F4278" s="28">
        <f>IFERROR(D4278-Dashboard!$B$4/252,"")</f>
        <v/>
      </c>
      <c r="G4278" s="28">
        <f>IFERROR(E4278-Dashboard!$B$4/252,"")</f>
        <v/>
      </c>
      <c r="H4278" s="8">
        <f>IFERROR(IF(ISNUMBER(B4278),MAX(B4278,IFERROR(H4277,B4278)),""),"")</f>
        <v/>
      </c>
      <c r="I4278" s="29">
        <f>IFERROR(IF(AND(ISNUMBER(B4278),ISNUMBER(H4278)),B4278/H4278-1,""),"")</f>
        <v/>
      </c>
      <c r="J4278" s="8">
        <f>IFERROR(IF(ISNUMBER(C4278),MAX(C4278,IFERROR(J4277,C4278)),""),"")</f>
        <v/>
      </c>
      <c r="K4278" s="29">
        <f>IFERROR(IF(AND(ISNUMBER(C4278),ISNUMBER(J4278)),C4278/J4278-1,""),"")</f>
        <v/>
      </c>
      <c r="L4278" s="28">
        <f>IFERROR(IF(AND(ISNUMBER(D4278),ISNUMBER(E4278)),D4278-E4278,""),"")</f>
        <v/>
      </c>
    </row>
    <row r="4279">
      <c r="A4279" s="7">
        <f>IFERROR(Datos!A4279,"")</f>
        <v/>
      </c>
      <c r="B4279" s="8">
        <f>IFERROR(Datos!B4279,"")</f>
        <v/>
      </c>
      <c r="C4279" s="8">
        <f>IFERROR(Datos!C4279,"")</f>
        <v/>
      </c>
      <c r="D4279" s="28">
        <f>IFERROR(IF(AND(ISNUMBER(B4279),ISNUMBER(B4278),B4278&lt;&gt;0),B4279/B4278-1,""),"")</f>
        <v/>
      </c>
      <c r="E4279" s="28">
        <f>IFERROR(IF(AND(ISNUMBER(C4279),ISNUMBER(C4278),C4278&lt;&gt;0),C4279/C4278-1,""),"")</f>
        <v/>
      </c>
      <c r="F4279" s="28">
        <f>IFERROR(D4279-Dashboard!$B$4/252,"")</f>
        <v/>
      </c>
      <c r="G4279" s="28">
        <f>IFERROR(E4279-Dashboard!$B$4/252,"")</f>
        <v/>
      </c>
      <c r="H4279" s="8">
        <f>IFERROR(IF(ISNUMBER(B4279),MAX(B4279,IFERROR(H4278,B4279)),""),"")</f>
        <v/>
      </c>
      <c r="I4279" s="29">
        <f>IFERROR(IF(AND(ISNUMBER(B4279),ISNUMBER(H4279)),B4279/H4279-1,""),"")</f>
        <v/>
      </c>
      <c r="J4279" s="8">
        <f>IFERROR(IF(ISNUMBER(C4279),MAX(C4279,IFERROR(J4278,C4279)),""),"")</f>
        <v/>
      </c>
      <c r="K4279" s="29">
        <f>IFERROR(IF(AND(ISNUMBER(C4279),ISNUMBER(J4279)),C4279/J4279-1,""),"")</f>
        <v/>
      </c>
      <c r="L4279" s="28">
        <f>IFERROR(IF(AND(ISNUMBER(D4279),ISNUMBER(E4279)),D4279-E4279,""),"")</f>
        <v/>
      </c>
    </row>
    <row r="4280">
      <c r="A4280" s="7">
        <f>IFERROR(Datos!A4280,"")</f>
        <v/>
      </c>
      <c r="B4280" s="8">
        <f>IFERROR(Datos!B4280,"")</f>
        <v/>
      </c>
      <c r="C4280" s="8">
        <f>IFERROR(Datos!C4280,"")</f>
        <v/>
      </c>
      <c r="D4280" s="28">
        <f>IFERROR(IF(AND(ISNUMBER(B4280),ISNUMBER(B4279),B4279&lt;&gt;0),B4280/B4279-1,""),"")</f>
        <v/>
      </c>
      <c r="E4280" s="28">
        <f>IFERROR(IF(AND(ISNUMBER(C4280),ISNUMBER(C4279),C4279&lt;&gt;0),C4280/C4279-1,""),"")</f>
        <v/>
      </c>
      <c r="F4280" s="28">
        <f>IFERROR(D4280-Dashboard!$B$4/252,"")</f>
        <v/>
      </c>
      <c r="G4280" s="28">
        <f>IFERROR(E4280-Dashboard!$B$4/252,"")</f>
        <v/>
      </c>
      <c r="H4280" s="8">
        <f>IFERROR(IF(ISNUMBER(B4280),MAX(B4280,IFERROR(H4279,B4280)),""),"")</f>
        <v/>
      </c>
      <c r="I4280" s="29">
        <f>IFERROR(IF(AND(ISNUMBER(B4280),ISNUMBER(H4280)),B4280/H4280-1,""),"")</f>
        <v/>
      </c>
      <c r="J4280" s="8">
        <f>IFERROR(IF(ISNUMBER(C4280),MAX(C4280,IFERROR(J4279,C4280)),""),"")</f>
        <v/>
      </c>
      <c r="K4280" s="29">
        <f>IFERROR(IF(AND(ISNUMBER(C4280),ISNUMBER(J4280)),C4280/J4280-1,""),"")</f>
        <v/>
      </c>
      <c r="L4280" s="28">
        <f>IFERROR(IF(AND(ISNUMBER(D4280),ISNUMBER(E4280)),D4280-E4280,""),"")</f>
        <v/>
      </c>
    </row>
    <row r="4281">
      <c r="A4281" s="7">
        <f>IFERROR(Datos!A4281,"")</f>
        <v/>
      </c>
      <c r="B4281" s="8">
        <f>IFERROR(Datos!B4281,"")</f>
        <v/>
      </c>
      <c r="C4281" s="8">
        <f>IFERROR(Datos!C4281,"")</f>
        <v/>
      </c>
      <c r="D4281" s="28">
        <f>IFERROR(IF(AND(ISNUMBER(B4281),ISNUMBER(B4280),B4280&lt;&gt;0),B4281/B4280-1,""),"")</f>
        <v/>
      </c>
      <c r="E4281" s="28">
        <f>IFERROR(IF(AND(ISNUMBER(C4281),ISNUMBER(C4280),C4280&lt;&gt;0),C4281/C4280-1,""),"")</f>
        <v/>
      </c>
      <c r="F4281" s="28">
        <f>IFERROR(D4281-Dashboard!$B$4/252,"")</f>
        <v/>
      </c>
      <c r="G4281" s="28">
        <f>IFERROR(E4281-Dashboard!$B$4/252,"")</f>
        <v/>
      </c>
      <c r="H4281" s="8">
        <f>IFERROR(IF(ISNUMBER(B4281),MAX(B4281,IFERROR(H4280,B4281)),""),"")</f>
        <v/>
      </c>
      <c r="I4281" s="29">
        <f>IFERROR(IF(AND(ISNUMBER(B4281),ISNUMBER(H4281)),B4281/H4281-1,""),"")</f>
        <v/>
      </c>
      <c r="J4281" s="8">
        <f>IFERROR(IF(ISNUMBER(C4281),MAX(C4281,IFERROR(J4280,C4281)),""),"")</f>
        <v/>
      </c>
      <c r="K4281" s="29">
        <f>IFERROR(IF(AND(ISNUMBER(C4281),ISNUMBER(J4281)),C4281/J4281-1,""),"")</f>
        <v/>
      </c>
      <c r="L4281" s="28">
        <f>IFERROR(IF(AND(ISNUMBER(D4281),ISNUMBER(E4281)),D4281-E4281,""),"")</f>
        <v/>
      </c>
    </row>
    <row r="4282">
      <c r="A4282" s="7">
        <f>IFERROR(Datos!A4282,"")</f>
        <v/>
      </c>
      <c r="B4282" s="8">
        <f>IFERROR(Datos!B4282,"")</f>
        <v/>
      </c>
      <c r="C4282" s="8">
        <f>IFERROR(Datos!C4282,"")</f>
        <v/>
      </c>
      <c r="D4282" s="28">
        <f>IFERROR(IF(AND(ISNUMBER(B4282),ISNUMBER(B4281),B4281&lt;&gt;0),B4282/B4281-1,""),"")</f>
        <v/>
      </c>
      <c r="E4282" s="28">
        <f>IFERROR(IF(AND(ISNUMBER(C4282),ISNUMBER(C4281),C4281&lt;&gt;0),C4282/C4281-1,""),"")</f>
        <v/>
      </c>
      <c r="F4282" s="28">
        <f>IFERROR(D4282-Dashboard!$B$4/252,"")</f>
        <v/>
      </c>
      <c r="G4282" s="28">
        <f>IFERROR(E4282-Dashboard!$B$4/252,"")</f>
        <v/>
      </c>
      <c r="H4282" s="8">
        <f>IFERROR(IF(ISNUMBER(B4282),MAX(B4282,IFERROR(H4281,B4282)),""),"")</f>
        <v/>
      </c>
      <c r="I4282" s="29">
        <f>IFERROR(IF(AND(ISNUMBER(B4282),ISNUMBER(H4282)),B4282/H4282-1,""),"")</f>
        <v/>
      </c>
      <c r="J4282" s="8">
        <f>IFERROR(IF(ISNUMBER(C4282),MAX(C4282,IFERROR(J4281,C4282)),""),"")</f>
        <v/>
      </c>
      <c r="K4282" s="29">
        <f>IFERROR(IF(AND(ISNUMBER(C4282),ISNUMBER(J4282)),C4282/J4282-1,""),"")</f>
        <v/>
      </c>
      <c r="L4282" s="28">
        <f>IFERROR(IF(AND(ISNUMBER(D4282),ISNUMBER(E4282)),D4282-E4282,""),"")</f>
        <v/>
      </c>
    </row>
    <row r="4283">
      <c r="A4283" s="7">
        <f>IFERROR(Datos!A4283,"")</f>
        <v/>
      </c>
      <c r="B4283" s="8">
        <f>IFERROR(Datos!B4283,"")</f>
        <v/>
      </c>
      <c r="C4283" s="8">
        <f>IFERROR(Datos!C4283,"")</f>
        <v/>
      </c>
      <c r="D4283" s="28">
        <f>IFERROR(IF(AND(ISNUMBER(B4283),ISNUMBER(B4282),B4282&lt;&gt;0),B4283/B4282-1,""),"")</f>
        <v/>
      </c>
      <c r="E4283" s="28">
        <f>IFERROR(IF(AND(ISNUMBER(C4283),ISNUMBER(C4282),C4282&lt;&gt;0),C4283/C4282-1,""),"")</f>
        <v/>
      </c>
      <c r="F4283" s="28">
        <f>IFERROR(D4283-Dashboard!$B$4/252,"")</f>
        <v/>
      </c>
      <c r="G4283" s="28">
        <f>IFERROR(E4283-Dashboard!$B$4/252,"")</f>
        <v/>
      </c>
      <c r="H4283" s="8">
        <f>IFERROR(IF(ISNUMBER(B4283),MAX(B4283,IFERROR(H4282,B4283)),""),"")</f>
        <v/>
      </c>
      <c r="I4283" s="29">
        <f>IFERROR(IF(AND(ISNUMBER(B4283),ISNUMBER(H4283)),B4283/H4283-1,""),"")</f>
        <v/>
      </c>
      <c r="J4283" s="8">
        <f>IFERROR(IF(ISNUMBER(C4283),MAX(C4283,IFERROR(J4282,C4283)),""),"")</f>
        <v/>
      </c>
      <c r="K4283" s="29">
        <f>IFERROR(IF(AND(ISNUMBER(C4283),ISNUMBER(J4283)),C4283/J4283-1,""),"")</f>
        <v/>
      </c>
      <c r="L4283" s="28">
        <f>IFERROR(IF(AND(ISNUMBER(D4283),ISNUMBER(E4283)),D4283-E4283,""),"")</f>
        <v/>
      </c>
    </row>
    <row r="4284">
      <c r="A4284" s="7">
        <f>IFERROR(Datos!A4284,"")</f>
        <v/>
      </c>
      <c r="B4284" s="8">
        <f>IFERROR(Datos!B4284,"")</f>
        <v/>
      </c>
      <c r="C4284" s="8">
        <f>IFERROR(Datos!C4284,"")</f>
        <v/>
      </c>
      <c r="D4284" s="28">
        <f>IFERROR(IF(AND(ISNUMBER(B4284),ISNUMBER(B4283),B4283&lt;&gt;0),B4284/B4283-1,""),"")</f>
        <v/>
      </c>
      <c r="E4284" s="28">
        <f>IFERROR(IF(AND(ISNUMBER(C4284),ISNUMBER(C4283),C4283&lt;&gt;0),C4284/C4283-1,""),"")</f>
        <v/>
      </c>
      <c r="F4284" s="28">
        <f>IFERROR(D4284-Dashboard!$B$4/252,"")</f>
        <v/>
      </c>
      <c r="G4284" s="28">
        <f>IFERROR(E4284-Dashboard!$B$4/252,"")</f>
        <v/>
      </c>
      <c r="H4284" s="8">
        <f>IFERROR(IF(ISNUMBER(B4284),MAX(B4284,IFERROR(H4283,B4284)),""),"")</f>
        <v/>
      </c>
      <c r="I4284" s="29">
        <f>IFERROR(IF(AND(ISNUMBER(B4284),ISNUMBER(H4284)),B4284/H4284-1,""),"")</f>
        <v/>
      </c>
      <c r="J4284" s="8">
        <f>IFERROR(IF(ISNUMBER(C4284),MAX(C4284,IFERROR(J4283,C4284)),""),"")</f>
        <v/>
      </c>
      <c r="K4284" s="29">
        <f>IFERROR(IF(AND(ISNUMBER(C4284),ISNUMBER(J4284)),C4284/J4284-1,""),"")</f>
        <v/>
      </c>
      <c r="L4284" s="28">
        <f>IFERROR(IF(AND(ISNUMBER(D4284),ISNUMBER(E4284)),D4284-E4284,""),"")</f>
        <v/>
      </c>
    </row>
    <row r="4285">
      <c r="A4285" s="7">
        <f>IFERROR(Datos!A4285,"")</f>
        <v/>
      </c>
      <c r="B4285" s="8">
        <f>IFERROR(Datos!B4285,"")</f>
        <v/>
      </c>
      <c r="C4285" s="8">
        <f>IFERROR(Datos!C4285,"")</f>
        <v/>
      </c>
      <c r="D4285" s="28">
        <f>IFERROR(IF(AND(ISNUMBER(B4285),ISNUMBER(B4284),B4284&lt;&gt;0),B4285/B4284-1,""),"")</f>
        <v/>
      </c>
      <c r="E4285" s="28">
        <f>IFERROR(IF(AND(ISNUMBER(C4285),ISNUMBER(C4284),C4284&lt;&gt;0),C4285/C4284-1,""),"")</f>
        <v/>
      </c>
      <c r="F4285" s="28">
        <f>IFERROR(D4285-Dashboard!$B$4/252,"")</f>
        <v/>
      </c>
      <c r="G4285" s="28">
        <f>IFERROR(E4285-Dashboard!$B$4/252,"")</f>
        <v/>
      </c>
      <c r="H4285" s="8">
        <f>IFERROR(IF(ISNUMBER(B4285),MAX(B4285,IFERROR(H4284,B4285)),""),"")</f>
        <v/>
      </c>
      <c r="I4285" s="29">
        <f>IFERROR(IF(AND(ISNUMBER(B4285),ISNUMBER(H4285)),B4285/H4285-1,""),"")</f>
        <v/>
      </c>
      <c r="J4285" s="8">
        <f>IFERROR(IF(ISNUMBER(C4285),MAX(C4285,IFERROR(J4284,C4285)),""),"")</f>
        <v/>
      </c>
      <c r="K4285" s="29">
        <f>IFERROR(IF(AND(ISNUMBER(C4285),ISNUMBER(J4285)),C4285/J4285-1,""),"")</f>
        <v/>
      </c>
      <c r="L4285" s="28">
        <f>IFERROR(IF(AND(ISNUMBER(D4285),ISNUMBER(E4285)),D4285-E4285,""),"")</f>
        <v/>
      </c>
    </row>
    <row r="4286">
      <c r="A4286" s="7">
        <f>IFERROR(Datos!A4286,"")</f>
        <v/>
      </c>
      <c r="B4286" s="8">
        <f>IFERROR(Datos!B4286,"")</f>
        <v/>
      </c>
      <c r="C4286" s="8">
        <f>IFERROR(Datos!C4286,"")</f>
        <v/>
      </c>
      <c r="D4286" s="28">
        <f>IFERROR(IF(AND(ISNUMBER(B4286),ISNUMBER(B4285),B4285&lt;&gt;0),B4286/B4285-1,""),"")</f>
        <v/>
      </c>
      <c r="E4286" s="28">
        <f>IFERROR(IF(AND(ISNUMBER(C4286),ISNUMBER(C4285),C4285&lt;&gt;0),C4286/C4285-1,""),"")</f>
        <v/>
      </c>
      <c r="F4286" s="28">
        <f>IFERROR(D4286-Dashboard!$B$4/252,"")</f>
        <v/>
      </c>
      <c r="G4286" s="28">
        <f>IFERROR(E4286-Dashboard!$B$4/252,"")</f>
        <v/>
      </c>
      <c r="H4286" s="8">
        <f>IFERROR(IF(ISNUMBER(B4286),MAX(B4286,IFERROR(H4285,B4286)),""),"")</f>
        <v/>
      </c>
      <c r="I4286" s="29">
        <f>IFERROR(IF(AND(ISNUMBER(B4286),ISNUMBER(H4286)),B4286/H4286-1,""),"")</f>
        <v/>
      </c>
      <c r="J4286" s="8">
        <f>IFERROR(IF(ISNUMBER(C4286),MAX(C4286,IFERROR(J4285,C4286)),""),"")</f>
        <v/>
      </c>
      <c r="K4286" s="29">
        <f>IFERROR(IF(AND(ISNUMBER(C4286),ISNUMBER(J4286)),C4286/J4286-1,""),"")</f>
        <v/>
      </c>
      <c r="L4286" s="28">
        <f>IFERROR(IF(AND(ISNUMBER(D4286),ISNUMBER(E4286)),D4286-E4286,""),"")</f>
        <v/>
      </c>
    </row>
    <row r="4287">
      <c r="A4287" s="7">
        <f>IFERROR(Datos!A4287,"")</f>
        <v/>
      </c>
      <c r="B4287" s="8">
        <f>IFERROR(Datos!B4287,"")</f>
        <v/>
      </c>
      <c r="C4287" s="8">
        <f>IFERROR(Datos!C4287,"")</f>
        <v/>
      </c>
      <c r="D4287" s="28">
        <f>IFERROR(IF(AND(ISNUMBER(B4287),ISNUMBER(B4286),B4286&lt;&gt;0),B4287/B4286-1,""),"")</f>
        <v/>
      </c>
      <c r="E4287" s="28">
        <f>IFERROR(IF(AND(ISNUMBER(C4287),ISNUMBER(C4286),C4286&lt;&gt;0),C4287/C4286-1,""),"")</f>
        <v/>
      </c>
      <c r="F4287" s="28">
        <f>IFERROR(D4287-Dashboard!$B$4/252,"")</f>
        <v/>
      </c>
      <c r="G4287" s="28">
        <f>IFERROR(E4287-Dashboard!$B$4/252,"")</f>
        <v/>
      </c>
      <c r="H4287" s="8">
        <f>IFERROR(IF(ISNUMBER(B4287),MAX(B4287,IFERROR(H4286,B4287)),""),"")</f>
        <v/>
      </c>
      <c r="I4287" s="29">
        <f>IFERROR(IF(AND(ISNUMBER(B4287),ISNUMBER(H4287)),B4287/H4287-1,""),"")</f>
        <v/>
      </c>
      <c r="J4287" s="8">
        <f>IFERROR(IF(ISNUMBER(C4287),MAX(C4287,IFERROR(J4286,C4287)),""),"")</f>
        <v/>
      </c>
      <c r="K4287" s="29">
        <f>IFERROR(IF(AND(ISNUMBER(C4287),ISNUMBER(J4287)),C4287/J4287-1,""),"")</f>
        <v/>
      </c>
      <c r="L4287" s="28">
        <f>IFERROR(IF(AND(ISNUMBER(D4287),ISNUMBER(E4287)),D4287-E4287,""),"")</f>
        <v/>
      </c>
    </row>
    <row r="4288">
      <c r="A4288" s="7">
        <f>IFERROR(Datos!A4288,"")</f>
        <v/>
      </c>
      <c r="B4288" s="8">
        <f>IFERROR(Datos!B4288,"")</f>
        <v/>
      </c>
      <c r="C4288" s="8">
        <f>IFERROR(Datos!C4288,"")</f>
        <v/>
      </c>
      <c r="D4288" s="28">
        <f>IFERROR(IF(AND(ISNUMBER(B4288),ISNUMBER(B4287),B4287&lt;&gt;0),B4288/B4287-1,""),"")</f>
        <v/>
      </c>
      <c r="E4288" s="28">
        <f>IFERROR(IF(AND(ISNUMBER(C4288),ISNUMBER(C4287),C4287&lt;&gt;0),C4288/C4287-1,""),"")</f>
        <v/>
      </c>
      <c r="F4288" s="28">
        <f>IFERROR(D4288-Dashboard!$B$4/252,"")</f>
        <v/>
      </c>
      <c r="G4288" s="28">
        <f>IFERROR(E4288-Dashboard!$B$4/252,"")</f>
        <v/>
      </c>
      <c r="H4288" s="8">
        <f>IFERROR(IF(ISNUMBER(B4288),MAX(B4288,IFERROR(H4287,B4288)),""),"")</f>
        <v/>
      </c>
      <c r="I4288" s="29">
        <f>IFERROR(IF(AND(ISNUMBER(B4288),ISNUMBER(H4288)),B4288/H4288-1,""),"")</f>
        <v/>
      </c>
      <c r="J4288" s="8">
        <f>IFERROR(IF(ISNUMBER(C4288),MAX(C4288,IFERROR(J4287,C4288)),""),"")</f>
        <v/>
      </c>
      <c r="K4288" s="29">
        <f>IFERROR(IF(AND(ISNUMBER(C4288),ISNUMBER(J4288)),C4288/J4288-1,""),"")</f>
        <v/>
      </c>
      <c r="L4288" s="28">
        <f>IFERROR(IF(AND(ISNUMBER(D4288),ISNUMBER(E4288)),D4288-E4288,""),"")</f>
        <v/>
      </c>
    </row>
    <row r="4289">
      <c r="A4289" s="7">
        <f>IFERROR(Datos!A4289,"")</f>
        <v/>
      </c>
      <c r="B4289" s="8">
        <f>IFERROR(Datos!B4289,"")</f>
        <v/>
      </c>
      <c r="C4289" s="8">
        <f>IFERROR(Datos!C4289,"")</f>
        <v/>
      </c>
      <c r="D4289" s="28">
        <f>IFERROR(IF(AND(ISNUMBER(B4289),ISNUMBER(B4288),B4288&lt;&gt;0),B4289/B4288-1,""),"")</f>
        <v/>
      </c>
      <c r="E4289" s="28">
        <f>IFERROR(IF(AND(ISNUMBER(C4289),ISNUMBER(C4288),C4288&lt;&gt;0),C4289/C4288-1,""),"")</f>
        <v/>
      </c>
      <c r="F4289" s="28">
        <f>IFERROR(D4289-Dashboard!$B$4/252,"")</f>
        <v/>
      </c>
      <c r="G4289" s="28">
        <f>IFERROR(E4289-Dashboard!$B$4/252,"")</f>
        <v/>
      </c>
      <c r="H4289" s="8">
        <f>IFERROR(IF(ISNUMBER(B4289),MAX(B4289,IFERROR(H4288,B4289)),""),"")</f>
        <v/>
      </c>
      <c r="I4289" s="29">
        <f>IFERROR(IF(AND(ISNUMBER(B4289),ISNUMBER(H4289)),B4289/H4289-1,""),"")</f>
        <v/>
      </c>
      <c r="J4289" s="8">
        <f>IFERROR(IF(ISNUMBER(C4289),MAX(C4289,IFERROR(J4288,C4289)),""),"")</f>
        <v/>
      </c>
      <c r="K4289" s="29">
        <f>IFERROR(IF(AND(ISNUMBER(C4289),ISNUMBER(J4289)),C4289/J4289-1,""),"")</f>
        <v/>
      </c>
      <c r="L4289" s="28">
        <f>IFERROR(IF(AND(ISNUMBER(D4289),ISNUMBER(E4289)),D4289-E4289,""),"")</f>
        <v/>
      </c>
    </row>
    <row r="4290">
      <c r="A4290" s="7">
        <f>IFERROR(Datos!A4290,"")</f>
        <v/>
      </c>
      <c r="B4290" s="8">
        <f>IFERROR(Datos!B4290,"")</f>
        <v/>
      </c>
      <c r="C4290" s="8">
        <f>IFERROR(Datos!C4290,"")</f>
        <v/>
      </c>
      <c r="D4290" s="28">
        <f>IFERROR(IF(AND(ISNUMBER(B4290),ISNUMBER(B4289),B4289&lt;&gt;0),B4290/B4289-1,""),"")</f>
        <v/>
      </c>
      <c r="E4290" s="28">
        <f>IFERROR(IF(AND(ISNUMBER(C4290),ISNUMBER(C4289),C4289&lt;&gt;0),C4290/C4289-1,""),"")</f>
        <v/>
      </c>
      <c r="F4290" s="28">
        <f>IFERROR(D4290-Dashboard!$B$4/252,"")</f>
        <v/>
      </c>
      <c r="G4290" s="28">
        <f>IFERROR(E4290-Dashboard!$B$4/252,"")</f>
        <v/>
      </c>
      <c r="H4290" s="8">
        <f>IFERROR(IF(ISNUMBER(B4290),MAX(B4290,IFERROR(H4289,B4290)),""),"")</f>
        <v/>
      </c>
      <c r="I4290" s="29">
        <f>IFERROR(IF(AND(ISNUMBER(B4290),ISNUMBER(H4290)),B4290/H4290-1,""),"")</f>
        <v/>
      </c>
      <c r="J4290" s="8">
        <f>IFERROR(IF(ISNUMBER(C4290),MAX(C4290,IFERROR(J4289,C4290)),""),"")</f>
        <v/>
      </c>
      <c r="K4290" s="29">
        <f>IFERROR(IF(AND(ISNUMBER(C4290),ISNUMBER(J4290)),C4290/J4290-1,""),"")</f>
        <v/>
      </c>
      <c r="L4290" s="28">
        <f>IFERROR(IF(AND(ISNUMBER(D4290),ISNUMBER(E4290)),D4290-E4290,""),"")</f>
        <v/>
      </c>
    </row>
    <row r="4291">
      <c r="A4291" s="7">
        <f>IFERROR(Datos!A4291,"")</f>
        <v/>
      </c>
      <c r="B4291" s="8">
        <f>IFERROR(Datos!B4291,"")</f>
        <v/>
      </c>
      <c r="C4291" s="8">
        <f>IFERROR(Datos!C4291,"")</f>
        <v/>
      </c>
      <c r="D4291" s="28">
        <f>IFERROR(IF(AND(ISNUMBER(B4291),ISNUMBER(B4290),B4290&lt;&gt;0),B4291/B4290-1,""),"")</f>
        <v/>
      </c>
      <c r="E4291" s="28">
        <f>IFERROR(IF(AND(ISNUMBER(C4291),ISNUMBER(C4290),C4290&lt;&gt;0),C4291/C4290-1,""),"")</f>
        <v/>
      </c>
      <c r="F4291" s="28">
        <f>IFERROR(D4291-Dashboard!$B$4/252,"")</f>
        <v/>
      </c>
      <c r="G4291" s="28">
        <f>IFERROR(E4291-Dashboard!$B$4/252,"")</f>
        <v/>
      </c>
      <c r="H4291" s="8">
        <f>IFERROR(IF(ISNUMBER(B4291),MAX(B4291,IFERROR(H4290,B4291)),""),"")</f>
        <v/>
      </c>
      <c r="I4291" s="29">
        <f>IFERROR(IF(AND(ISNUMBER(B4291),ISNUMBER(H4291)),B4291/H4291-1,""),"")</f>
        <v/>
      </c>
      <c r="J4291" s="8">
        <f>IFERROR(IF(ISNUMBER(C4291),MAX(C4291,IFERROR(J4290,C4291)),""),"")</f>
        <v/>
      </c>
      <c r="K4291" s="29">
        <f>IFERROR(IF(AND(ISNUMBER(C4291),ISNUMBER(J4291)),C4291/J4291-1,""),"")</f>
        <v/>
      </c>
      <c r="L4291" s="28">
        <f>IFERROR(IF(AND(ISNUMBER(D4291),ISNUMBER(E4291)),D4291-E4291,""),"")</f>
        <v/>
      </c>
    </row>
    <row r="4292">
      <c r="A4292" s="7">
        <f>IFERROR(Datos!A4292,"")</f>
        <v/>
      </c>
      <c r="B4292" s="8">
        <f>IFERROR(Datos!B4292,"")</f>
        <v/>
      </c>
      <c r="C4292" s="8">
        <f>IFERROR(Datos!C4292,"")</f>
        <v/>
      </c>
      <c r="D4292" s="28">
        <f>IFERROR(IF(AND(ISNUMBER(B4292),ISNUMBER(B4291),B4291&lt;&gt;0),B4292/B4291-1,""),"")</f>
        <v/>
      </c>
      <c r="E4292" s="28">
        <f>IFERROR(IF(AND(ISNUMBER(C4292),ISNUMBER(C4291),C4291&lt;&gt;0),C4292/C4291-1,""),"")</f>
        <v/>
      </c>
      <c r="F4292" s="28">
        <f>IFERROR(D4292-Dashboard!$B$4/252,"")</f>
        <v/>
      </c>
      <c r="G4292" s="28">
        <f>IFERROR(E4292-Dashboard!$B$4/252,"")</f>
        <v/>
      </c>
      <c r="H4292" s="8">
        <f>IFERROR(IF(ISNUMBER(B4292),MAX(B4292,IFERROR(H4291,B4292)),""),"")</f>
        <v/>
      </c>
      <c r="I4292" s="29">
        <f>IFERROR(IF(AND(ISNUMBER(B4292),ISNUMBER(H4292)),B4292/H4292-1,""),"")</f>
        <v/>
      </c>
      <c r="J4292" s="8">
        <f>IFERROR(IF(ISNUMBER(C4292),MAX(C4292,IFERROR(J4291,C4292)),""),"")</f>
        <v/>
      </c>
      <c r="K4292" s="29">
        <f>IFERROR(IF(AND(ISNUMBER(C4292),ISNUMBER(J4292)),C4292/J4292-1,""),"")</f>
        <v/>
      </c>
      <c r="L4292" s="28">
        <f>IFERROR(IF(AND(ISNUMBER(D4292),ISNUMBER(E4292)),D4292-E4292,""),"")</f>
        <v/>
      </c>
    </row>
    <row r="4293">
      <c r="A4293" s="7">
        <f>IFERROR(Datos!A4293,"")</f>
        <v/>
      </c>
      <c r="B4293" s="8">
        <f>IFERROR(Datos!B4293,"")</f>
        <v/>
      </c>
      <c r="C4293" s="8">
        <f>IFERROR(Datos!C4293,"")</f>
        <v/>
      </c>
      <c r="D4293" s="28">
        <f>IFERROR(IF(AND(ISNUMBER(B4293),ISNUMBER(B4292),B4292&lt;&gt;0),B4293/B4292-1,""),"")</f>
        <v/>
      </c>
      <c r="E4293" s="28">
        <f>IFERROR(IF(AND(ISNUMBER(C4293),ISNUMBER(C4292),C4292&lt;&gt;0),C4293/C4292-1,""),"")</f>
        <v/>
      </c>
      <c r="F4293" s="28">
        <f>IFERROR(D4293-Dashboard!$B$4/252,"")</f>
        <v/>
      </c>
      <c r="G4293" s="28">
        <f>IFERROR(E4293-Dashboard!$B$4/252,"")</f>
        <v/>
      </c>
      <c r="H4293" s="8">
        <f>IFERROR(IF(ISNUMBER(B4293),MAX(B4293,IFERROR(H4292,B4293)),""),"")</f>
        <v/>
      </c>
      <c r="I4293" s="29">
        <f>IFERROR(IF(AND(ISNUMBER(B4293),ISNUMBER(H4293)),B4293/H4293-1,""),"")</f>
        <v/>
      </c>
      <c r="J4293" s="8">
        <f>IFERROR(IF(ISNUMBER(C4293),MAX(C4293,IFERROR(J4292,C4293)),""),"")</f>
        <v/>
      </c>
      <c r="K4293" s="29">
        <f>IFERROR(IF(AND(ISNUMBER(C4293),ISNUMBER(J4293)),C4293/J4293-1,""),"")</f>
        <v/>
      </c>
      <c r="L4293" s="28">
        <f>IFERROR(IF(AND(ISNUMBER(D4293),ISNUMBER(E4293)),D4293-E4293,""),"")</f>
        <v/>
      </c>
    </row>
    <row r="4294">
      <c r="A4294" s="7">
        <f>IFERROR(Datos!A4294,"")</f>
        <v/>
      </c>
      <c r="B4294" s="8">
        <f>IFERROR(Datos!B4294,"")</f>
        <v/>
      </c>
      <c r="C4294" s="8">
        <f>IFERROR(Datos!C4294,"")</f>
        <v/>
      </c>
      <c r="D4294" s="28">
        <f>IFERROR(IF(AND(ISNUMBER(B4294),ISNUMBER(B4293),B4293&lt;&gt;0),B4294/B4293-1,""),"")</f>
        <v/>
      </c>
      <c r="E4294" s="28">
        <f>IFERROR(IF(AND(ISNUMBER(C4294),ISNUMBER(C4293),C4293&lt;&gt;0),C4294/C4293-1,""),"")</f>
        <v/>
      </c>
      <c r="F4294" s="28">
        <f>IFERROR(D4294-Dashboard!$B$4/252,"")</f>
        <v/>
      </c>
      <c r="G4294" s="28">
        <f>IFERROR(E4294-Dashboard!$B$4/252,"")</f>
        <v/>
      </c>
      <c r="H4294" s="8">
        <f>IFERROR(IF(ISNUMBER(B4294),MAX(B4294,IFERROR(H4293,B4294)),""),"")</f>
        <v/>
      </c>
      <c r="I4294" s="29">
        <f>IFERROR(IF(AND(ISNUMBER(B4294),ISNUMBER(H4294)),B4294/H4294-1,""),"")</f>
        <v/>
      </c>
      <c r="J4294" s="8">
        <f>IFERROR(IF(ISNUMBER(C4294),MAX(C4294,IFERROR(J4293,C4294)),""),"")</f>
        <v/>
      </c>
      <c r="K4294" s="29">
        <f>IFERROR(IF(AND(ISNUMBER(C4294),ISNUMBER(J4294)),C4294/J4294-1,""),"")</f>
        <v/>
      </c>
      <c r="L4294" s="28">
        <f>IFERROR(IF(AND(ISNUMBER(D4294),ISNUMBER(E4294)),D4294-E4294,""),"")</f>
        <v/>
      </c>
    </row>
    <row r="4295">
      <c r="A4295" s="7">
        <f>IFERROR(Datos!A4295,"")</f>
        <v/>
      </c>
      <c r="B4295" s="8">
        <f>IFERROR(Datos!B4295,"")</f>
        <v/>
      </c>
      <c r="C4295" s="8">
        <f>IFERROR(Datos!C4295,"")</f>
        <v/>
      </c>
      <c r="D4295" s="28">
        <f>IFERROR(IF(AND(ISNUMBER(B4295),ISNUMBER(B4294),B4294&lt;&gt;0),B4295/B4294-1,""),"")</f>
        <v/>
      </c>
      <c r="E4295" s="28">
        <f>IFERROR(IF(AND(ISNUMBER(C4295),ISNUMBER(C4294),C4294&lt;&gt;0),C4295/C4294-1,""),"")</f>
        <v/>
      </c>
      <c r="F4295" s="28">
        <f>IFERROR(D4295-Dashboard!$B$4/252,"")</f>
        <v/>
      </c>
      <c r="G4295" s="28">
        <f>IFERROR(E4295-Dashboard!$B$4/252,"")</f>
        <v/>
      </c>
      <c r="H4295" s="8">
        <f>IFERROR(IF(ISNUMBER(B4295),MAX(B4295,IFERROR(H4294,B4295)),""),"")</f>
        <v/>
      </c>
      <c r="I4295" s="29">
        <f>IFERROR(IF(AND(ISNUMBER(B4295),ISNUMBER(H4295)),B4295/H4295-1,""),"")</f>
        <v/>
      </c>
      <c r="J4295" s="8">
        <f>IFERROR(IF(ISNUMBER(C4295),MAX(C4295,IFERROR(J4294,C4295)),""),"")</f>
        <v/>
      </c>
      <c r="K4295" s="29">
        <f>IFERROR(IF(AND(ISNUMBER(C4295),ISNUMBER(J4295)),C4295/J4295-1,""),"")</f>
        <v/>
      </c>
      <c r="L4295" s="28">
        <f>IFERROR(IF(AND(ISNUMBER(D4295),ISNUMBER(E4295)),D4295-E4295,""),"")</f>
        <v/>
      </c>
    </row>
    <row r="4296">
      <c r="A4296" s="7">
        <f>IFERROR(Datos!A4296,"")</f>
        <v/>
      </c>
      <c r="B4296" s="8">
        <f>IFERROR(Datos!B4296,"")</f>
        <v/>
      </c>
      <c r="C4296" s="8">
        <f>IFERROR(Datos!C4296,"")</f>
        <v/>
      </c>
      <c r="D4296" s="28">
        <f>IFERROR(IF(AND(ISNUMBER(B4296),ISNUMBER(B4295),B4295&lt;&gt;0),B4296/B4295-1,""),"")</f>
        <v/>
      </c>
      <c r="E4296" s="28">
        <f>IFERROR(IF(AND(ISNUMBER(C4296),ISNUMBER(C4295),C4295&lt;&gt;0),C4296/C4295-1,""),"")</f>
        <v/>
      </c>
      <c r="F4296" s="28">
        <f>IFERROR(D4296-Dashboard!$B$4/252,"")</f>
        <v/>
      </c>
      <c r="G4296" s="28">
        <f>IFERROR(E4296-Dashboard!$B$4/252,"")</f>
        <v/>
      </c>
      <c r="H4296" s="8">
        <f>IFERROR(IF(ISNUMBER(B4296),MAX(B4296,IFERROR(H4295,B4296)),""),"")</f>
        <v/>
      </c>
      <c r="I4296" s="29">
        <f>IFERROR(IF(AND(ISNUMBER(B4296),ISNUMBER(H4296)),B4296/H4296-1,""),"")</f>
        <v/>
      </c>
      <c r="J4296" s="8">
        <f>IFERROR(IF(ISNUMBER(C4296),MAX(C4296,IFERROR(J4295,C4296)),""),"")</f>
        <v/>
      </c>
      <c r="K4296" s="29">
        <f>IFERROR(IF(AND(ISNUMBER(C4296),ISNUMBER(J4296)),C4296/J4296-1,""),"")</f>
        <v/>
      </c>
      <c r="L4296" s="28">
        <f>IFERROR(IF(AND(ISNUMBER(D4296),ISNUMBER(E4296)),D4296-E4296,""),"")</f>
        <v/>
      </c>
    </row>
    <row r="4297">
      <c r="A4297" s="7">
        <f>IFERROR(Datos!A4297,"")</f>
        <v/>
      </c>
      <c r="B4297" s="8">
        <f>IFERROR(Datos!B4297,"")</f>
        <v/>
      </c>
      <c r="C4297" s="8">
        <f>IFERROR(Datos!C4297,"")</f>
        <v/>
      </c>
      <c r="D4297" s="28">
        <f>IFERROR(IF(AND(ISNUMBER(B4297),ISNUMBER(B4296),B4296&lt;&gt;0),B4297/B4296-1,""),"")</f>
        <v/>
      </c>
      <c r="E4297" s="28">
        <f>IFERROR(IF(AND(ISNUMBER(C4297),ISNUMBER(C4296),C4296&lt;&gt;0),C4297/C4296-1,""),"")</f>
        <v/>
      </c>
      <c r="F4297" s="28">
        <f>IFERROR(D4297-Dashboard!$B$4/252,"")</f>
        <v/>
      </c>
      <c r="G4297" s="28">
        <f>IFERROR(E4297-Dashboard!$B$4/252,"")</f>
        <v/>
      </c>
      <c r="H4297" s="8">
        <f>IFERROR(IF(ISNUMBER(B4297),MAX(B4297,IFERROR(H4296,B4297)),""),"")</f>
        <v/>
      </c>
      <c r="I4297" s="29">
        <f>IFERROR(IF(AND(ISNUMBER(B4297),ISNUMBER(H4297)),B4297/H4297-1,""),"")</f>
        <v/>
      </c>
      <c r="J4297" s="8">
        <f>IFERROR(IF(ISNUMBER(C4297),MAX(C4297,IFERROR(J4296,C4297)),""),"")</f>
        <v/>
      </c>
      <c r="K4297" s="29">
        <f>IFERROR(IF(AND(ISNUMBER(C4297),ISNUMBER(J4297)),C4297/J4297-1,""),"")</f>
        <v/>
      </c>
      <c r="L4297" s="28">
        <f>IFERROR(IF(AND(ISNUMBER(D4297),ISNUMBER(E4297)),D4297-E4297,""),"")</f>
        <v/>
      </c>
    </row>
    <row r="4298">
      <c r="A4298" s="7">
        <f>IFERROR(Datos!A4298,"")</f>
        <v/>
      </c>
      <c r="B4298" s="8">
        <f>IFERROR(Datos!B4298,"")</f>
        <v/>
      </c>
      <c r="C4298" s="8">
        <f>IFERROR(Datos!C4298,"")</f>
        <v/>
      </c>
      <c r="D4298" s="28">
        <f>IFERROR(IF(AND(ISNUMBER(B4298),ISNUMBER(B4297),B4297&lt;&gt;0),B4298/B4297-1,""),"")</f>
        <v/>
      </c>
      <c r="E4298" s="28">
        <f>IFERROR(IF(AND(ISNUMBER(C4298),ISNUMBER(C4297),C4297&lt;&gt;0),C4298/C4297-1,""),"")</f>
        <v/>
      </c>
      <c r="F4298" s="28">
        <f>IFERROR(D4298-Dashboard!$B$4/252,"")</f>
        <v/>
      </c>
      <c r="G4298" s="28">
        <f>IFERROR(E4298-Dashboard!$B$4/252,"")</f>
        <v/>
      </c>
      <c r="H4298" s="8">
        <f>IFERROR(IF(ISNUMBER(B4298),MAX(B4298,IFERROR(H4297,B4298)),""),"")</f>
        <v/>
      </c>
      <c r="I4298" s="29">
        <f>IFERROR(IF(AND(ISNUMBER(B4298),ISNUMBER(H4298)),B4298/H4298-1,""),"")</f>
        <v/>
      </c>
      <c r="J4298" s="8">
        <f>IFERROR(IF(ISNUMBER(C4298),MAX(C4298,IFERROR(J4297,C4298)),""),"")</f>
        <v/>
      </c>
      <c r="K4298" s="29">
        <f>IFERROR(IF(AND(ISNUMBER(C4298),ISNUMBER(J4298)),C4298/J4298-1,""),"")</f>
        <v/>
      </c>
      <c r="L4298" s="28">
        <f>IFERROR(IF(AND(ISNUMBER(D4298),ISNUMBER(E4298)),D4298-E4298,""),"")</f>
        <v/>
      </c>
    </row>
    <row r="4299">
      <c r="A4299" s="7">
        <f>IFERROR(Datos!A4299,"")</f>
        <v/>
      </c>
      <c r="B4299" s="8">
        <f>IFERROR(Datos!B4299,"")</f>
        <v/>
      </c>
      <c r="C4299" s="8">
        <f>IFERROR(Datos!C4299,"")</f>
        <v/>
      </c>
      <c r="D4299" s="28">
        <f>IFERROR(IF(AND(ISNUMBER(B4299),ISNUMBER(B4298),B4298&lt;&gt;0),B4299/B4298-1,""),"")</f>
        <v/>
      </c>
      <c r="E4299" s="28">
        <f>IFERROR(IF(AND(ISNUMBER(C4299),ISNUMBER(C4298),C4298&lt;&gt;0),C4299/C4298-1,""),"")</f>
        <v/>
      </c>
      <c r="F4299" s="28">
        <f>IFERROR(D4299-Dashboard!$B$4/252,"")</f>
        <v/>
      </c>
      <c r="G4299" s="28">
        <f>IFERROR(E4299-Dashboard!$B$4/252,"")</f>
        <v/>
      </c>
      <c r="H4299" s="8">
        <f>IFERROR(IF(ISNUMBER(B4299),MAX(B4299,IFERROR(H4298,B4299)),""),"")</f>
        <v/>
      </c>
      <c r="I4299" s="29">
        <f>IFERROR(IF(AND(ISNUMBER(B4299),ISNUMBER(H4299)),B4299/H4299-1,""),"")</f>
        <v/>
      </c>
      <c r="J4299" s="8">
        <f>IFERROR(IF(ISNUMBER(C4299),MAX(C4299,IFERROR(J4298,C4299)),""),"")</f>
        <v/>
      </c>
      <c r="K4299" s="29">
        <f>IFERROR(IF(AND(ISNUMBER(C4299),ISNUMBER(J4299)),C4299/J4299-1,""),"")</f>
        <v/>
      </c>
      <c r="L4299" s="28">
        <f>IFERROR(IF(AND(ISNUMBER(D4299),ISNUMBER(E4299)),D4299-E4299,""),"")</f>
        <v/>
      </c>
    </row>
    <row r="4300">
      <c r="A4300" s="7">
        <f>IFERROR(Datos!A4300,"")</f>
        <v/>
      </c>
      <c r="B4300" s="8">
        <f>IFERROR(Datos!B4300,"")</f>
        <v/>
      </c>
      <c r="C4300" s="8">
        <f>IFERROR(Datos!C4300,"")</f>
        <v/>
      </c>
      <c r="D4300" s="28">
        <f>IFERROR(IF(AND(ISNUMBER(B4300),ISNUMBER(B4299),B4299&lt;&gt;0),B4300/B4299-1,""),"")</f>
        <v/>
      </c>
      <c r="E4300" s="28">
        <f>IFERROR(IF(AND(ISNUMBER(C4300),ISNUMBER(C4299),C4299&lt;&gt;0),C4300/C4299-1,""),"")</f>
        <v/>
      </c>
      <c r="F4300" s="28">
        <f>IFERROR(D4300-Dashboard!$B$4/252,"")</f>
        <v/>
      </c>
      <c r="G4300" s="28">
        <f>IFERROR(E4300-Dashboard!$B$4/252,"")</f>
        <v/>
      </c>
      <c r="H4300" s="8">
        <f>IFERROR(IF(ISNUMBER(B4300),MAX(B4300,IFERROR(H4299,B4300)),""),"")</f>
        <v/>
      </c>
      <c r="I4300" s="29">
        <f>IFERROR(IF(AND(ISNUMBER(B4300),ISNUMBER(H4300)),B4300/H4300-1,""),"")</f>
        <v/>
      </c>
      <c r="J4300" s="8">
        <f>IFERROR(IF(ISNUMBER(C4300),MAX(C4300,IFERROR(J4299,C4300)),""),"")</f>
        <v/>
      </c>
      <c r="K4300" s="29">
        <f>IFERROR(IF(AND(ISNUMBER(C4300),ISNUMBER(J4300)),C4300/J4300-1,""),"")</f>
        <v/>
      </c>
      <c r="L4300" s="28">
        <f>IFERROR(IF(AND(ISNUMBER(D4300),ISNUMBER(E4300)),D4300-E4300,""),"")</f>
        <v/>
      </c>
    </row>
    <row r="4301">
      <c r="A4301" s="7">
        <f>IFERROR(Datos!A4301,"")</f>
        <v/>
      </c>
      <c r="B4301" s="8">
        <f>IFERROR(Datos!B4301,"")</f>
        <v/>
      </c>
      <c r="C4301" s="8">
        <f>IFERROR(Datos!C4301,"")</f>
        <v/>
      </c>
      <c r="D4301" s="28">
        <f>IFERROR(IF(AND(ISNUMBER(B4301),ISNUMBER(B4300),B4300&lt;&gt;0),B4301/B4300-1,""),"")</f>
        <v/>
      </c>
      <c r="E4301" s="28">
        <f>IFERROR(IF(AND(ISNUMBER(C4301),ISNUMBER(C4300),C4300&lt;&gt;0),C4301/C4300-1,""),"")</f>
        <v/>
      </c>
      <c r="F4301" s="28">
        <f>IFERROR(D4301-Dashboard!$B$4/252,"")</f>
        <v/>
      </c>
      <c r="G4301" s="28">
        <f>IFERROR(E4301-Dashboard!$B$4/252,"")</f>
        <v/>
      </c>
      <c r="H4301" s="8">
        <f>IFERROR(IF(ISNUMBER(B4301),MAX(B4301,IFERROR(H4300,B4301)),""),"")</f>
        <v/>
      </c>
      <c r="I4301" s="29">
        <f>IFERROR(IF(AND(ISNUMBER(B4301),ISNUMBER(H4301)),B4301/H4301-1,""),"")</f>
        <v/>
      </c>
      <c r="J4301" s="8">
        <f>IFERROR(IF(ISNUMBER(C4301),MAX(C4301,IFERROR(J4300,C4301)),""),"")</f>
        <v/>
      </c>
      <c r="K4301" s="29">
        <f>IFERROR(IF(AND(ISNUMBER(C4301),ISNUMBER(J4301)),C4301/J4301-1,""),"")</f>
        <v/>
      </c>
      <c r="L4301" s="28">
        <f>IFERROR(IF(AND(ISNUMBER(D4301),ISNUMBER(E4301)),D4301-E4301,""),"")</f>
        <v/>
      </c>
    </row>
    <row r="4302">
      <c r="A4302" s="7">
        <f>IFERROR(Datos!A4302,"")</f>
        <v/>
      </c>
      <c r="B4302" s="8">
        <f>IFERROR(Datos!B4302,"")</f>
        <v/>
      </c>
      <c r="C4302" s="8">
        <f>IFERROR(Datos!C4302,"")</f>
        <v/>
      </c>
      <c r="D4302" s="28">
        <f>IFERROR(IF(AND(ISNUMBER(B4302),ISNUMBER(B4301),B4301&lt;&gt;0),B4302/B4301-1,""),"")</f>
        <v/>
      </c>
      <c r="E4302" s="28">
        <f>IFERROR(IF(AND(ISNUMBER(C4302),ISNUMBER(C4301),C4301&lt;&gt;0),C4302/C4301-1,""),"")</f>
        <v/>
      </c>
      <c r="F4302" s="28">
        <f>IFERROR(D4302-Dashboard!$B$4/252,"")</f>
        <v/>
      </c>
      <c r="G4302" s="28">
        <f>IFERROR(E4302-Dashboard!$B$4/252,"")</f>
        <v/>
      </c>
      <c r="H4302" s="8">
        <f>IFERROR(IF(ISNUMBER(B4302),MAX(B4302,IFERROR(H4301,B4302)),""),"")</f>
        <v/>
      </c>
      <c r="I4302" s="29">
        <f>IFERROR(IF(AND(ISNUMBER(B4302),ISNUMBER(H4302)),B4302/H4302-1,""),"")</f>
        <v/>
      </c>
      <c r="J4302" s="8">
        <f>IFERROR(IF(ISNUMBER(C4302),MAX(C4302,IFERROR(J4301,C4302)),""),"")</f>
        <v/>
      </c>
      <c r="K4302" s="29">
        <f>IFERROR(IF(AND(ISNUMBER(C4302),ISNUMBER(J4302)),C4302/J4302-1,""),"")</f>
        <v/>
      </c>
      <c r="L4302" s="28">
        <f>IFERROR(IF(AND(ISNUMBER(D4302),ISNUMBER(E4302)),D4302-E4302,""),"")</f>
        <v/>
      </c>
    </row>
    <row r="4303">
      <c r="A4303" s="7">
        <f>IFERROR(Datos!A4303,"")</f>
        <v/>
      </c>
      <c r="B4303" s="8">
        <f>IFERROR(Datos!B4303,"")</f>
        <v/>
      </c>
      <c r="C4303" s="8">
        <f>IFERROR(Datos!C4303,"")</f>
        <v/>
      </c>
      <c r="D4303" s="28">
        <f>IFERROR(IF(AND(ISNUMBER(B4303),ISNUMBER(B4302),B4302&lt;&gt;0),B4303/B4302-1,""),"")</f>
        <v/>
      </c>
      <c r="E4303" s="28">
        <f>IFERROR(IF(AND(ISNUMBER(C4303),ISNUMBER(C4302),C4302&lt;&gt;0),C4303/C4302-1,""),"")</f>
        <v/>
      </c>
      <c r="F4303" s="28">
        <f>IFERROR(D4303-Dashboard!$B$4/252,"")</f>
        <v/>
      </c>
      <c r="G4303" s="28">
        <f>IFERROR(E4303-Dashboard!$B$4/252,"")</f>
        <v/>
      </c>
      <c r="H4303" s="8">
        <f>IFERROR(IF(ISNUMBER(B4303),MAX(B4303,IFERROR(H4302,B4303)),""),"")</f>
        <v/>
      </c>
      <c r="I4303" s="29">
        <f>IFERROR(IF(AND(ISNUMBER(B4303),ISNUMBER(H4303)),B4303/H4303-1,""),"")</f>
        <v/>
      </c>
      <c r="J4303" s="8">
        <f>IFERROR(IF(ISNUMBER(C4303),MAX(C4303,IFERROR(J4302,C4303)),""),"")</f>
        <v/>
      </c>
      <c r="K4303" s="29">
        <f>IFERROR(IF(AND(ISNUMBER(C4303),ISNUMBER(J4303)),C4303/J4303-1,""),"")</f>
        <v/>
      </c>
      <c r="L4303" s="28">
        <f>IFERROR(IF(AND(ISNUMBER(D4303),ISNUMBER(E4303)),D4303-E4303,""),"")</f>
        <v/>
      </c>
    </row>
    <row r="4304">
      <c r="A4304" s="7">
        <f>IFERROR(Datos!A4304,"")</f>
        <v/>
      </c>
      <c r="B4304" s="8">
        <f>IFERROR(Datos!B4304,"")</f>
        <v/>
      </c>
      <c r="C4304" s="8">
        <f>IFERROR(Datos!C4304,"")</f>
        <v/>
      </c>
      <c r="D4304" s="28">
        <f>IFERROR(IF(AND(ISNUMBER(B4304),ISNUMBER(B4303),B4303&lt;&gt;0),B4304/B4303-1,""),"")</f>
        <v/>
      </c>
      <c r="E4304" s="28">
        <f>IFERROR(IF(AND(ISNUMBER(C4304),ISNUMBER(C4303),C4303&lt;&gt;0),C4304/C4303-1,""),"")</f>
        <v/>
      </c>
      <c r="F4304" s="28">
        <f>IFERROR(D4304-Dashboard!$B$4/252,"")</f>
        <v/>
      </c>
      <c r="G4304" s="28">
        <f>IFERROR(E4304-Dashboard!$B$4/252,"")</f>
        <v/>
      </c>
      <c r="H4304" s="8">
        <f>IFERROR(IF(ISNUMBER(B4304),MAX(B4304,IFERROR(H4303,B4304)),""),"")</f>
        <v/>
      </c>
      <c r="I4304" s="29">
        <f>IFERROR(IF(AND(ISNUMBER(B4304),ISNUMBER(H4304)),B4304/H4304-1,""),"")</f>
        <v/>
      </c>
      <c r="J4304" s="8">
        <f>IFERROR(IF(ISNUMBER(C4304),MAX(C4304,IFERROR(J4303,C4304)),""),"")</f>
        <v/>
      </c>
      <c r="K4304" s="29">
        <f>IFERROR(IF(AND(ISNUMBER(C4304),ISNUMBER(J4304)),C4304/J4304-1,""),"")</f>
        <v/>
      </c>
      <c r="L4304" s="28">
        <f>IFERROR(IF(AND(ISNUMBER(D4304),ISNUMBER(E4304)),D4304-E4304,""),"")</f>
        <v/>
      </c>
    </row>
    <row r="4305">
      <c r="A4305" s="7">
        <f>IFERROR(Datos!A4305,"")</f>
        <v/>
      </c>
      <c r="B4305" s="8">
        <f>IFERROR(Datos!B4305,"")</f>
        <v/>
      </c>
      <c r="C4305" s="8">
        <f>IFERROR(Datos!C4305,"")</f>
        <v/>
      </c>
      <c r="D4305" s="28">
        <f>IFERROR(IF(AND(ISNUMBER(B4305),ISNUMBER(B4304),B4304&lt;&gt;0),B4305/B4304-1,""),"")</f>
        <v/>
      </c>
      <c r="E4305" s="28">
        <f>IFERROR(IF(AND(ISNUMBER(C4305),ISNUMBER(C4304),C4304&lt;&gt;0),C4305/C4304-1,""),"")</f>
        <v/>
      </c>
      <c r="F4305" s="28">
        <f>IFERROR(D4305-Dashboard!$B$4/252,"")</f>
        <v/>
      </c>
      <c r="G4305" s="28">
        <f>IFERROR(E4305-Dashboard!$B$4/252,"")</f>
        <v/>
      </c>
      <c r="H4305" s="8">
        <f>IFERROR(IF(ISNUMBER(B4305),MAX(B4305,IFERROR(H4304,B4305)),""),"")</f>
        <v/>
      </c>
      <c r="I4305" s="29">
        <f>IFERROR(IF(AND(ISNUMBER(B4305),ISNUMBER(H4305)),B4305/H4305-1,""),"")</f>
        <v/>
      </c>
      <c r="J4305" s="8">
        <f>IFERROR(IF(ISNUMBER(C4305),MAX(C4305,IFERROR(J4304,C4305)),""),"")</f>
        <v/>
      </c>
      <c r="K4305" s="29">
        <f>IFERROR(IF(AND(ISNUMBER(C4305),ISNUMBER(J4305)),C4305/J4305-1,""),"")</f>
        <v/>
      </c>
      <c r="L4305" s="28">
        <f>IFERROR(IF(AND(ISNUMBER(D4305),ISNUMBER(E4305)),D4305-E4305,""),"")</f>
        <v/>
      </c>
    </row>
    <row r="4306">
      <c r="A4306" s="7">
        <f>IFERROR(Datos!A4306,"")</f>
        <v/>
      </c>
      <c r="B4306" s="8">
        <f>IFERROR(Datos!B4306,"")</f>
        <v/>
      </c>
      <c r="C4306" s="8">
        <f>IFERROR(Datos!C4306,"")</f>
        <v/>
      </c>
      <c r="D4306" s="28">
        <f>IFERROR(IF(AND(ISNUMBER(B4306),ISNUMBER(B4305),B4305&lt;&gt;0),B4306/B4305-1,""),"")</f>
        <v/>
      </c>
      <c r="E4306" s="28">
        <f>IFERROR(IF(AND(ISNUMBER(C4306),ISNUMBER(C4305),C4305&lt;&gt;0),C4306/C4305-1,""),"")</f>
        <v/>
      </c>
      <c r="F4306" s="28">
        <f>IFERROR(D4306-Dashboard!$B$4/252,"")</f>
        <v/>
      </c>
      <c r="G4306" s="28">
        <f>IFERROR(E4306-Dashboard!$B$4/252,"")</f>
        <v/>
      </c>
      <c r="H4306" s="8">
        <f>IFERROR(IF(ISNUMBER(B4306),MAX(B4306,IFERROR(H4305,B4306)),""),"")</f>
        <v/>
      </c>
      <c r="I4306" s="29">
        <f>IFERROR(IF(AND(ISNUMBER(B4306),ISNUMBER(H4306)),B4306/H4306-1,""),"")</f>
        <v/>
      </c>
      <c r="J4306" s="8">
        <f>IFERROR(IF(ISNUMBER(C4306),MAX(C4306,IFERROR(J4305,C4306)),""),"")</f>
        <v/>
      </c>
      <c r="K4306" s="29">
        <f>IFERROR(IF(AND(ISNUMBER(C4306),ISNUMBER(J4306)),C4306/J4306-1,""),"")</f>
        <v/>
      </c>
      <c r="L4306" s="28">
        <f>IFERROR(IF(AND(ISNUMBER(D4306),ISNUMBER(E4306)),D4306-E4306,""),"")</f>
        <v/>
      </c>
    </row>
    <row r="4307">
      <c r="A4307" s="7">
        <f>IFERROR(Datos!A4307,"")</f>
        <v/>
      </c>
      <c r="B4307" s="8">
        <f>IFERROR(Datos!B4307,"")</f>
        <v/>
      </c>
      <c r="C4307" s="8">
        <f>IFERROR(Datos!C4307,"")</f>
        <v/>
      </c>
      <c r="D4307" s="28">
        <f>IFERROR(IF(AND(ISNUMBER(B4307),ISNUMBER(B4306),B4306&lt;&gt;0),B4307/B4306-1,""),"")</f>
        <v/>
      </c>
      <c r="E4307" s="28">
        <f>IFERROR(IF(AND(ISNUMBER(C4307),ISNUMBER(C4306),C4306&lt;&gt;0),C4307/C4306-1,""),"")</f>
        <v/>
      </c>
      <c r="F4307" s="28">
        <f>IFERROR(D4307-Dashboard!$B$4/252,"")</f>
        <v/>
      </c>
      <c r="G4307" s="28">
        <f>IFERROR(E4307-Dashboard!$B$4/252,"")</f>
        <v/>
      </c>
      <c r="H4307" s="8">
        <f>IFERROR(IF(ISNUMBER(B4307),MAX(B4307,IFERROR(H4306,B4307)),""),"")</f>
        <v/>
      </c>
      <c r="I4307" s="29">
        <f>IFERROR(IF(AND(ISNUMBER(B4307),ISNUMBER(H4307)),B4307/H4307-1,""),"")</f>
        <v/>
      </c>
      <c r="J4307" s="8">
        <f>IFERROR(IF(ISNUMBER(C4307),MAX(C4307,IFERROR(J4306,C4307)),""),"")</f>
        <v/>
      </c>
      <c r="K4307" s="29">
        <f>IFERROR(IF(AND(ISNUMBER(C4307),ISNUMBER(J4307)),C4307/J4307-1,""),"")</f>
        <v/>
      </c>
      <c r="L4307" s="28">
        <f>IFERROR(IF(AND(ISNUMBER(D4307),ISNUMBER(E4307)),D4307-E4307,""),"")</f>
        <v/>
      </c>
    </row>
    <row r="4308">
      <c r="A4308" s="7">
        <f>IFERROR(Datos!A4308,"")</f>
        <v/>
      </c>
      <c r="B4308" s="8">
        <f>IFERROR(Datos!B4308,"")</f>
        <v/>
      </c>
      <c r="C4308" s="8">
        <f>IFERROR(Datos!C4308,"")</f>
        <v/>
      </c>
      <c r="D4308" s="28">
        <f>IFERROR(IF(AND(ISNUMBER(B4308),ISNUMBER(B4307),B4307&lt;&gt;0),B4308/B4307-1,""),"")</f>
        <v/>
      </c>
      <c r="E4308" s="28">
        <f>IFERROR(IF(AND(ISNUMBER(C4308),ISNUMBER(C4307),C4307&lt;&gt;0),C4308/C4307-1,""),"")</f>
        <v/>
      </c>
      <c r="F4308" s="28">
        <f>IFERROR(D4308-Dashboard!$B$4/252,"")</f>
        <v/>
      </c>
      <c r="G4308" s="28">
        <f>IFERROR(E4308-Dashboard!$B$4/252,"")</f>
        <v/>
      </c>
      <c r="H4308" s="8">
        <f>IFERROR(IF(ISNUMBER(B4308),MAX(B4308,IFERROR(H4307,B4308)),""),"")</f>
        <v/>
      </c>
      <c r="I4308" s="29">
        <f>IFERROR(IF(AND(ISNUMBER(B4308),ISNUMBER(H4308)),B4308/H4308-1,""),"")</f>
        <v/>
      </c>
      <c r="J4308" s="8">
        <f>IFERROR(IF(ISNUMBER(C4308),MAX(C4308,IFERROR(J4307,C4308)),""),"")</f>
        <v/>
      </c>
      <c r="K4308" s="29">
        <f>IFERROR(IF(AND(ISNUMBER(C4308),ISNUMBER(J4308)),C4308/J4308-1,""),"")</f>
        <v/>
      </c>
      <c r="L4308" s="28">
        <f>IFERROR(IF(AND(ISNUMBER(D4308),ISNUMBER(E4308)),D4308-E4308,""),"")</f>
        <v/>
      </c>
    </row>
    <row r="4309">
      <c r="A4309" s="7">
        <f>IFERROR(Datos!A4309,"")</f>
        <v/>
      </c>
      <c r="B4309" s="8">
        <f>IFERROR(Datos!B4309,"")</f>
        <v/>
      </c>
      <c r="C4309" s="8">
        <f>IFERROR(Datos!C4309,"")</f>
        <v/>
      </c>
      <c r="D4309" s="28">
        <f>IFERROR(IF(AND(ISNUMBER(B4309),ISNUMBER(B4308),B4308&lt;&gt;0),B4309/B4308-1,""),"")</f>
        <v/>
      </c>
      <c r="E4309" s="28">
        <f>IFERROR(IF(AND(ISNUMBER(C4309),ISNUMBER(C4308),C4308&lt;&gt;0),C4309/C4308-1,""),"")</f>
        <v/>
      </c>
      <c r="F4309" s="28">
        <f>IFERROR(D4309-Dashboard!$B$4/252,"")</f>
        <v/>
      </c>
      <c r="G4309" s="28">
        <f>IFERROR(E4309-Dashboard!$B$4/252,"")</f>
        <v/>
      </c>
      <c r="H4309" s="8">
        <f>IFERROR(IF(ISNUMBER(B4309),MAX(B4309,IFERROR(H4308,B4309)),""),"")</f>
        <v/>
      </c>
      <c r="I4309" s="29">
        <f>IFERROR(IF(AND(ISNUMBER(B4309),ISNUMBER(H4309)),B4309/H4309-1,""),"")</f>
        <v/>
      </c>
      <c r="J4309" s="8">
        <f>IFERROR(IF(ISNUMBER(C4309),MAX(C4309,IFERROR(J4308,C4309)),""),"")</f>
        <v/>
      </c>
      <c r="K4309" s="29">
        <f>IFERROR(IF(AND(ISNUMBER(C4309),ISNUMBER(J4309)),C4309/J4309-1,""),"")</f>
        <v/>
      </c>
      <c r="L4309" s="28">
        <f>IFERROR(IF(AND(ISNUMBER(D4309),ISNUMBER(E4309)),D4309-E4309,""),"")</f>
        <v/>
      </c>
    </row>
    <row r="4310">
      <c r="A4310" s="7">
        <f>IFERROR(Datos!A4310,"")</f>
        <v/>
      </c>
      <c r="B4310" s="8">
        <f>IFERROR(Datos!B4310,"")</f>
        <v/>
      </c>
      <c r="C4310" s="8">
        <f>IFERROR(Datos!C4310,"")</f>
        <v/>
      </c>
      <c r="D4310" s="28">
        <f>IFERROR(IF(AND(ISNUMBER(B4310),ISNUMBER(B4309),B4309&lt;&gt;0),B4310/B4309-1,""),"")</f>
        <v/>
      </c>
      <c r="E4310" s="28">
        <f>IFERROR(IF(AND(ISNUMBER(C4310),ISNUMBER(C4309),C4309&lt;&gt;0),C4310/C4309-1,""),"")</f>
        <v/>
      </c>
      <c r="F4310" s="28">
        <f>IFERROR(D4310-Dashboard!$B$4/252,"")</f>
        <v/>
      </c>
      <c r="G4310" s="28">
        <f>IFERROR(E4310-Dashboard!$B$4/252,"")</f>
        <v/>
      </c>
      <c r="H4310" s="8">
        <f>IFERROR(IF(ISNUMBER(B4310),MAX(B4310,IFERROR(H4309,B4310)),""),"")</f>
        <v/>
      </c>
      <c r="I4310" s="29">
        <f>IFERROR(IF(AND(ISNUMBER(B4310),ISNUMBER(H4310)),B4310/H4310-1,""),"")</f>
        <v/>
      </c>
      <c r="J4310" s="8">
        <f>IFERROR(IF(ISNUMBER(C4310),MAX(C4310,IFERROR(J4309,C4310)),""),"")</f>
        <v/>
      </c>
      <c r="K4310" s="29">
        <f>IFERROR(IF(AND(ISNUMBER(C4310),ISNUMBER(J4310)),C4310/J4310-1,""),"")</f>
        <v/>
      </c>
      <c r="L4310" s="28">
        <f>IFERROR(IF(AND(ISNUMBER(D4310),ISNUMBER(E4310)),D4310-E4310,""),"")</f>
        <v/>
      </c>
    </row>
    <row r="4311">
      <c r="A4311" s="7">
        <f>IFERROR(Datos!A4311,"")</f>
        <v/>
      </c>
      <c r="B4311" s="8">
        <f>IFERROR(Datos!B4311,"")</f>
        <v/>
      </c>
      <c r="C4311" s="8">
        <f>IFERROR(Datos!C4311,"")</f>
        <v/>
      </c>
      <c r="D4311" s="28">
        <f>IFERROR(IF(AND(ISNUMBER(B4311),ISNUMBER(B4310),B4310&lt;&gt;0),B4311/B4310-1,""),"")</f>
        <v/>
      </c>
      <c r="E4311" s="28">
        <f>IFERROR(IF(AND(ISNUMBER(C4311),ISNUMBER(C4310),C4310&lt;&gt;0),C4311/C4310-1,""),"")</f>
        <v/>
      </c>
      <c r="F4311" s="28">
        <f>IFERROR(D4311-Dashboard!$B$4/252,"")</f>
        <v/>
      </c>
      <c r="G4311" s="28">
        <f>IFERROR(E4311-Dashboard!$B$4/252,"")</f>
        <v/>
      </c>
      <c r="H4311" s="8">
        <f>IFERROR(IF(ISNUMBER(B4311),MAX(B4311,IFERROR(H4310,B4311)),""),"")</f>
        <v/>
      </c>
      <c r="I4311" s="29">
        <f>IFERROR(IF(AND(ISNUMBER(B4311),ISNUMBER(H4311)),B4311/H4311-1,""),"")</f>
        <v/>
      </c>
      <c r="J4311" s="8">
        <f>IFERROR(IF(ISNUMBER(C4311),MAX(C4311,IFERROR(J4310,C4311)),""),"")</f>
        <v/>
      </c>
      <c r="K4311" s="29">
        <f>IFERROR(IF(AND(ISNUMBER(C4311),ISNUMBER(J4311)),C4311/J4311-1,""),"")</f>
        <v/>
      </c>
      <c r="L4311" s="28">
        <f>IFERROR(IF(AND(ISNUMBER(D4311),ISNUMBER(E4311)),D4311-E4311,""),"")</f>
        <v/>
      </c>
    </row>
    <row r="4312">
      <c r="A4312" s="7">
        <f>IFERROR(Datos!A4312,"")</f>
        <v/>
      </c>
      <c r="B4312" s="8">
        <f>IFERROR(Datos!B4312,"")</f>
        <v/>
      </c>
      <c r="C4312" s="8">
        <f>IFERROR(Datos!C4312,"")</f>
        <v/>
      </c>
      <c r="D4312" s="28">
        <f>IFERROR(IF(AND(ISNUMBER(B4312),ISNUMBER(B4311),B4311&lt;&gt;0),B4312/B4311-1,""),"")</f>
        <v/>
      </c>
      <c r="E4312" s="28">
        <f>IFERROR(IF(AND(ISNUMBER(C4312),ISNUMBER(C4311),C4311&lt;&gt;0),C4312/C4311-1,""),"")</f>
        <v/>
      </c>
      <c r="F4312" s="28">
        <f>IFERROR(D4312-Dashboard!$B$4/252,"")</f>
        <v/>
      </c>
      <c r="G4312" s="28">
        <f>IFERROR(E4312-Dashboard!$B$4/252,"")</f>
        <v/>
      </c>
      <c r="H4312" s="8">
        <f>IFERROR(IF(ISNUMBER(B4312),MAX(B4312,IFERROR(H4311,B4312)),""),"")</f>
        <v/>
      </c>
      <c r="I4312" s="29">
        <f>IFERROR(IF(AND(ISNUMBER(B4312),ISNUMBER(H4312)),B4312/H4312-1,""),"")</f>
        <v/>
      </c>
      <c r="J4312" s="8">
        <f>IFERROR(IF(ISNUMBER(C4312),MAX(C4312,IFERROR(J4311,C4312)),""),"")</f>
        <v/>
      </c>
      <c r="K4312" s="29">
        <f>IFERROR(IF(AND(ISNUMBER(C4312),ISNUMBER(J4312)),C4312/J4312-1,""),"")</f>
        <v/>
      </c>
      <c r="L4312" s="28">
        <f>IFERROR(IF(AND(ISNUMBER(D4312),ISNUMBER(E4312)),D4312-E4312,""),"")</f>
        <v/>
      </c>
    </row>
    <row r="4313">
      <c r="A4313" s="7">
        <f>IFERROR(Datos!A4313,"")</f>
        <v/>
      </c>
      <c r="B4313" s="8">
        <f>IFERROR(Datos!B4313,"")</f>
        <v/>
      </c>
      <c r="C4313" s="8">
        <f>IFERROR(Datos!C4313,"")</f>
        <v/>
      </c>
      <c r="D4313" s="28">
        <f>IFERROR(IF(AND(ISNUMBER(B4313),ISNUMBER(B4312),B4312&lt;&gt;0),B4313/B4312-1,""),"")</f>
        <v/>
      </c>
      <c r="E4313" s="28">
        <f>IFERROR(IF(AND(ISNUMBER(C4313),ISNUMBER(C4312),C4312&lt;&gt;0),C4313/C4312-1,""),"")</f>
        <v/>
      </c>
      <c r="F4313" s="28">
        <f>IFERROR(D4313-Dashboard!$B$4/252,"")</f>
        <v/>
      </c>
      <c r="G4313" s="28">
        <f>IFERROR(E4313-Dashboard!$B$4/252,"")</f>
        <v/>
      </c>
      <c r="H4313" s="8">
        <f>IFERROR(IF(ISNUMBER(B4313),MAX(B4313,IFERROR(H4312,B4313)),""),"")</f>
        <v/>
      </c>
      <c r="I4313" s="29">
        <f>IFERROR(IF(AND(ISNUMBER(B4313),ISNUMBER(H4313)),B4313/H4313-1,""),"")</f>
        <v/>
      </c>
      <c r="J4313" s="8">
        <f>IFERROR(IF(ISNUMBER(C4313),MAX(C4313,IFERROR(J4312,C4313)),""),"")</f>
        <v/>
      </c>
      <c r="K4313" s="29">
        <f>IFERROR(IF(AND(ISNUMBER(C4313),ISNUMBER(J4313)),C4313/J4313-1,""),"")</f>
        <v/>
      </c>
      <c r="L4313" s="28">
        <f>IFERROR(IF(AND(ISNUMBER(D4313),ISNUMBER(E4313)),D4313-E4313,""),"")</f>
        <v/>
      </c>
    </row>
    <row r="4314">
      <c r="A4314" s="7">
        <f>IFERROR(Datos!A4314,"")</f>
        <v/>
      </c>
      <c r="B4314" s="8">
        <f>IFERROR(Datos!B4314,"")</f>
        <v/>
      </c>
      <c r="C4314" s="8">
        <f>IFERROR(Datos!C4314,"")</f>
        <v/>
      </c>
      <c r="D4314" s="28">
        <f>IFERROR(IF(AND(ISNUMBER(B4314),ISNUMBER(B4313),B4313&lt;&gt;0),B4314/B4313-1,""),"")</f>
        <v/>
      </c>
      <c r="E4314" s="28">
        <f>IFERROR(IF(AND(ISNUMBER(C4314),ISNUMBER(C4313),C4313&lt;&gt;0),C4314/C4313-1,""),"")</f>
        <v/>
      </c>
      <c r="F4314" s="28">
        <f>IFERROR(D4314-Dashboard!$B$4/252,"")</f>
        <v/>
      </c>
      <c r="G4314" s="28">
        <f>IFERROR(E4314-Dashboard!$B$4/252,"")</f>
        <v/>
      </c>
      <c r="H4314" s="8">
        <f>IFERROR(IF(ISNUMBER(B4314),MAX(B4314,IFERROR(H4313,B4314)),""),"")</f>
        <v/>
      </c>
      <c r="I4314" s="29">
        <f>IFERROR(IF(AND(ISNUMBER(B4314),ISNUMBER(H4314)),B4314/H4314-1,""),"")</f>
        <v/>
      </c>
      <c r="J4314" s="8">
        <f>IFERROR(IF(ISNUMBER(C4314),MAX(C4314,IFERROR(J4313,C4314)),""),"")</f>
        <v/>
      </c>
      <c r="K4314" s="29">
        <f>IFERROR(IF(AND(ISNUMBER(C4314),ISNUMBER(J4314)),C4314/J4314-1,""),"")</f>
        <v/>
      </c>
      <c r="L4314" s="28">
        <f>IFERROR(IF(AND(ISNUMBER(D4314),ISNUMBER(E4314)),D4314-E4314,""),"")</f>
        <v/>
      </c>
    </row>
    <row r="4315">
      <c r="A4315" s="7">
        <f>IFERROR(Datos!A4315,"")</f>
        <v/>
      </c>
      <c r="B4315" s="8">
        <f>IFERROR(Datos!B4315,"")</f>
        <v/>
      </c>
      <c r="C4315" s="8">
        <f>IFERROR(Datos!C4315,"")</f>
        <v/>
      </c>
      <c r="D4315" s="28">
        <f>IFERROR(IF(AND(ISNUMBER(B4315),ISNUMBER(B4314),B4314&lt;&gt;0),B4315/B4314-1,""),"")</f>
        <v/>
      </c>
      <c r="E4315" s="28">
        <f>IFERROR(IF(AND(ISNUMBER(C4315),ISNUMBER(C4314),C4314&lt;&gt;0),C4315/C4314-1,""),"")</f>
        <v/>
      </c>
      <c r="F4315" s="28">
        <f>IFERROR(D4315-Dashboard!$B$4/252,"")</f>
        <v/>
      </c>
      <c r="G4315" s="28">
        <f>IFERROR(E4315-Dashboard!$B$4/252,"")</f>
        <v/>
      </c>
      <c r="H4315" s="8">
        <f>IFERROR(IF(ISNUMBER(B4315),MAX(B4315,IFERROR(H4314,B4315)),""),"")</f>
        <v/>
      </c>
      <c r="I4315" s="29">
        <f>IFERROR(IF(AND(ISNUMBER(B4315),ISNUMBER(H4315)),B4315/H4315-1,""),"")</f>
        <v/>
      </c>
      <c r="J4315" s="8">
        <f>IFERROR(IF(ISNUMBER(C4315),MAX(C4315,IFERROR(J4314,C4315)),""),"")</f>
        <v/>
      </c>
      <c r="K4315" s="29">
        <f>IFERROR(IF(AND(ISNUMBER(C4315),ISNUMBER(J4315)),C4315/J4315-1,""),"")</f>
        <v/>
      </c>
      <c r="L4315" s="28">
        <f>IFERROR(IF(AND(ISNUMBER(D4315),ISNUMBER(E4315)),D4315-E4315,""),"")</f>
        <v/>
      </c>
    </row>
    <row r="4316">
      <c r="A4316" s="7">
        <f>IFERROR(Datos!A4316,"")</f>
        <v/>
      </c>
      <c r="B4316" s="8">
        <f>IFERROR(Datos!B4316,"")</f>
        <v/>
      </c>
      <c r="C4316" s="8">
        <f>IFERROR(Datos!C4316,"")</f>
        <v/>
      </c>
      <c r="D4316" s="28">
        <f>IFERROR(IF(AND(ISNUMBER(B4316),ISNUMBER(B4315),B4315&lt;&gt;0),B4316/B4315-1,""),"")</f>
        <v/>
      </c>
      <c r="E4316" s="28">
        <f>IFERROR(IF(AND(ISNUMBER(C4316),ISNUMBER(C4315),C4315&lt;&gt;0),C4316/C4315-1,""),"")</f>
        <v/>
      </c>
      <c r="F4316" s="28">
        <f>IFERROR(D4316-Dashboard!$B$4/252,"")</f>
        <v/>
      </c>
      <c r="G4316" s="28">
        <f>IFERROR(E4316-Dashboard!$B$4/252,"")</f>
        <v/>
      </c>
      <c r="H4316" s="8">
        <f>IFERROR(IF(ISNUMBER(B4316),MAX(B4316,IFERROR(H4315,B4316)),""),"")</f>
        <v/>
      </c>
      <c r="I4316" s="29">
        <f>IFERROR(IF(AND(ISNUMBER(B4316),ISNUMBER(H4316)),B4316/H4316-1,""),"")</f>
        <v/>
      </c>
      <c r="J4316" s="8">
        <f>IFERROR(IF(ISNUMBER(C4316),MAX(C4316,IFERROR(J4315,C4316)),""),"")</f>
        <v/>
      </c>
      <c r="K4316" s="29">
        <f>IFERROR(IF(AND(ISNUMBER(C4316),ISNUMBER(J4316)),C4316/J4316-1,""),"")</f>
        <v/>
      </c>
      <c r="L4316" s="28">
        <f>IFERROR(IF(AND(ISNUMBER(D4316),ISNUMBER(E4316)),D4316-E4316,""),"")</f>
        <v/>
      </c>
    </row>
    <row r="4317">
      <c r="A4317" s="7">
        <f>IFERROR(Datos!A4317,"")</f>
        <v/>
      </c>
      <c r="B4317" s="8">
        <f>IFERROR(Datos!B4317,"")</f>
        <v/>
      </c>
      <c r="C4317" s="8">
        <f>IFERROR(Datos!C4317,"")</f>
        <v/>
      </c>
      <c r="D4317" s="28">
        <f>IFERROR(IF(AND(ISNUMBER(B4317),ISNUMBER(B4316),B4316&lt;&gt;0),B4317/B4316-1,""),"")</f>
        <v/>
      </c>
      <c r="E4317" s="28">
        <f>IFERROR(IF(AND(ISNUMBER(C4317),ISNUMBER(C4316),C4316&lt;&gt;0),C4317/C4316-1,""),"")</f>
        <v/>
      </c>
      <c r="F4317" s="28">
        <f>IFERROR(D4317-Dashboard!$B$4/252,"")</f>
        <v/>
      </c>
      <c r="G4317" s="28">
        <f>IFERROR(E4317-Dashboard!$B$4/252,"")</f>
        <v/>
      </c>
      <c r="H4317" s="8">
        <f>IFERROR(IF(ISNUMBER(B4317),MAX(B4317,IFERROR(H4316,B4317)),""),"")</f>
        <v/>
      </c>
      <c r="I4317" s="29">
        <f>IFERROR(IF(AND(ISNUMBER(B4317),ISNUMBER(H4317)),B4317/H4317-1,""),"")</f>
        <v/>
      </c>
      <c r="J4317" s="8">
        <f>IFERROR(IF(ISNUMBER(C4317),MAX(C4317,IFERROR(J4316,C4317)),""),"")</f>
        <v/>
      </c>
      <c r="K4317" s="29">
        <f>IFERROR(IF(AND(ISNUMBER(C4317),ISNUMBER(J4317)),C4317/J4317-1,""),"")</f>
        <v/>
      </c>
      <c r="L4317" s="28">
        <f>IFERROR(IF(AND(ISNUMBER(D4317),ISNUMBER(E4317)),D4317-E4317,""),"")</f>
        <v/>
      </c>
    </row>
    <row r="4318">
      <c r="A4318" s="7">
        <f>IFERROR(Datos!A4318,"")</f>
        <v/>
      </c>
      <c r="B4318" s="8">
        <f>IFERROR(Datos!B4318,"")</f>
        <v/>
      </c>
      <c r="C4318" s="8">
        <f>IFERROR(Datos!C4318,"")</f>
        <v/>
      </c>
      <c r="D4318" s="28">
        <f>IFERROR(IF(AND(ISNUMBER(B4318),ISNUMBER(B4317),B4317&lt;&gt;0),B4318/B4317-1,""),"")</f>
        <v/>
      </c>
      <c r="E4318" s="28">
        <f>IFERROR(IF(AND(ISNUMBER(C4318),ISNUMBER(C4317),C4317&lt;&gt;0),C4318/C4317-1,""),"")</f>
        <v/>
      </c>
      <c r="F4318" s="28">
        <f>IFERROR(D4318-Dashboard!$B$4/252,"")</f>
        <v/>
      </c>
      <c r="G4318" s="28">
        <f>IFERROR(E4318-Dashboard!$B$4/252,"")</f>
        <v/>
      </c>
      <c r="H4318" s="8">
        <f>IFERROR(IF(ISNUMBER(B4318),MAX(B4318,IFERROR(H4317,B4318)),""),"")</f>
        <v/>
      </c>
      <c r="I4318" s="29">
        <f>IFERROR(IF(AND(ISNUMBER(B4318),ISNUMBER(H4318)),B4318/H4318-1,""),"")</f>
        <v/>
      </c>
      <c r="J4318" s="8">
        <f>IFERROR(IF(ISNUMBER(C4318),MAX(C4318,IFERROR(J4317,C4318)),""),"")</f>
        <v/>
      </c>
      <c r="K4318" s="29">
        <f>IFERROR(IF(AND(ISNUMBER(C4318),ISNUMBER(J4318)),C4318/J4318-1,""),"")</f>
        <v/>
      </c>
      <c r="L4318" s="28">
        <f>IFERROR(IF(AND(ISNUMBER(D4318),ISNUMBER(E4318)),D4318-E4318,""),"")</f>
        <v/>
      </c>
    </row>
    <row r="4319">
      <c r="A4319" s="7">
        <f>IFERROR(Datos!A4319,"")</f>
        <v/>
      </c>
      <c r="B4319" s="8">
        <f>IFERROR(Datos!B4319,"")</f>
        <v/>
      </c>
      <c r="C4319" s="8">
        <f>IFERROR(Datos!C4319,"")</f>
        <v/>
      </c>
      <c r="D4319" s="28">
        <f>IFERROR(IF(AND(ISNUMBER(B4319),ISNUMBER(B4318),B4318&lt;&gt;0),B4319/B4318-1,""),"")</f>
        <v/>
      </c>
      <c r="E4319" s="28">
        <f>IFERROR(IF(AND(ISNUMBER(C4319),ISNUMBER(C4318),C4318&lt;&gt;0),C4319/C4318-1,""),"")</f>
        <v/>
      </c>
      <c r="F4319" s="28">
        <f>IFERROR(D4319-Dashboard!$B$4/252,"")</f>
        <v/>
      </c>
      <c r="G4319" s="28">
        <f>IFERROR(E4319-Dashboard!$B$4/252,"")</f>
        <v/>
      </c>
      <c r="H4319" s="8">
        <f>IFERROR(IF(ISNUMBER(B4319),MAX(B4319,IFERROR(H4318,B4319)),""),"")</f>
        <v/>
      </c>
      <c r="I4319" s="29">
        <f>IFERROR(IF(AND(ISNUMBER(B4319),ISNUMBER(H4319)),B4319/H4319-1,""),"")</f>
        <v/>
      </c>
      <c r="J4319" s="8">
        <f>IFERROR(IF(ISNUMBER(C4319),MAX(C4319,IFERROR(J4318,C4319)),""),"")</f>
        <v/>
      </c>
      <c r="K4319" s="29">
        <f>IFERROR(IF(AND(ISNUMBER(C4319),ISNUMBER(J4319)),C4319/J4319-1,""),"")</f>
        <v/>
      </c>
      <c r="L4319" s="28">
        <f>IFERROR(IF(AND(ISNUMBER(D4319),ISNUMBER(E4319)),D4319-E4319,""),"")</f>
        <v/>
      </c>
    </row>
    <row r="4320">
      <c r="A4320" s="7">
        <f>IFERROR(Datos!A4320,"")</f>
        <v/>
      </c>
      <c r="B4320" s="8">
        <f>IFERROR(Datos!B4320,"")</f>
        <v/>
      </c>
      <c r="C4320" s="8">
        <f>IFERROR(Datos!C4320,"")</f>
        <v/>
      </c>
      <c r="D4320" s="28">
        <f>IFERROR(IF(AND(ISNUMBER(B4320),ISNUMBER(B4319),B4319&lt;&gt;0),B4320/B4319-1,""),"")</f>
        <v/>
      </c>
      <c r="E4320" s="28">
        <f>IFERROR(IF(AND(ISNUMBER(C4320),ISNUMBER(C4319),C4319&lt;&gt;0),C4320/C4319-1,""),"")</f>
        <v/>
      </c>
      <c r="F4320" s="28">
        <f>IFERROR(D4320-Dashboard!$B$4/252,"")</f>
        <v/>
      </c>
      <c r="G4320" s="28">
        <f>IFERROR(E4320-Dashboard!$B$4/252,"")</f>
        <v/>
      </c>
      <c r="H4320" s="8">
        <f>IFERROR(IF(ISNUMBER(B4320),MAX(B4320,IFERROR(H4319,B4320)),""),"")</f>
        <v/>
      </c>
      <c r="I4320" s="29">
        <f>IFERROR(IF(AND(ISNUMBER(B4320),ISNUMBER(H4320)),B4320/H4320-1,""),"")</f>
        <v/>
      </c>
      <c r="J4320" s="8">
        <f>IFERROR(IF(ISNUMBER(C4320),MAX(C4320,IFERROR(J4319,C4320)),""),"")</f>
        <v/>
      </c>
      <c r="K4320" s="29">
        <f>IFERROR(IF(AND(ISNUMBER(C4320),ISNUMBER(J4320)),C4320/J4320-1,""),"")</f>
        <v/>
      </c>
      <c r="L4320" s="28">
        <f>IFERROR(IF(AND(ISNUMBER(D4320),ISNUMBER(E4320)),D4320-E4320,""),"")</f>
        <v/>
      </c>
    </row>
    <row r="4321">
      <c r="A4321" s="7">
        <f>IFERROR(Datos!A4321,"")</f>
        <v/>
      </c>
      <c r="B4321" s="8">
        <f>IFERROR(Datos!B4321,"")</f>
        <v/>
      </c>
      <c r="C4321" s="8">
        <f>IFERROR(Datos!C4321,"")</f>
        <v/>
      </c>
      <c r="D4321" s="28">
        <f>IFERROR(IF(AND(ISNUMBER(B4321),ISNUMBER(B4320),B4320&lt;&gt;0),B4321/B4320-1,""),"")</f>
        <v/>
      </c>
      <c r="E4321" s="28">
        <f>IFERROR(IF(AND(ISNUMBER(C4321),ISNUMBER(C4320),C4320&lt;&gt;0),C4321/C4320-1,""),"")</f>
        <v/>
      </c>
      <c r="F4321" s="28">
        <f>IFERROR(D4321-Dashboard!$B$4/252,"")</f>
        <v/>
      </c>
      <c r="G4321" s="28">
        <f>IFERROR(E4321-Dashboard!$B$4/252,"")</f>
        <v/>
      </c>
      <c r="H4321" s="8">
        <f>IFERROR(IF(ISNUMBER(B4321),MAX(B4321,IFERROR(H4320,B4321)),""),"")</f>
        <v/>
      </c>
      <c r="I4321" s="29">
        <f>IFERROR(IF(AND(ISNUMBER(B4321),ISNUMBER(H4321)),B4321/H4321-1,""),"")</f>
        <v/>
      </c>
      <c r="J4321" s="8">
        <f>IFERROR(IF(ISNUMBER(C4321),MAX(C4321,IFERROR(J4320,C4321)),""),"")</f>
        <v/>
      </c>
      <c r="K4321" s="29">
        <f>IFERROR(IF(AND(ISNUMBER(C4321),ISNUMBER(J4321)),C4321/J4321-1,""),"")</f>
        <v/>
      </c>
      <c r="L4321" s="28">
        <f>IFERROR(IF(AND(ISNUMBER(D4321),ISNUMBER(E4321)),D4321-E4321,""),"")</f>
        <v/>
      </c>
    </row>
    <row r="4322">
      <c r="A4322" s="7">
        <f>IFERROR(Datos!A4322,"")</f>
        <v/>
      </c>
      <c r="B4322" s="8">
        <f>IFERROR(Datos!B4322,"")</f>
        <v/>
      </c>
      <c r="C4322" s="8">
        <f>IFERROR(Datos!C4322,"")</f>
        <v/>
      </c>
      <c r="D4322" s="28">
        <f>IFERROR(IF(AND(ISNUMBER(B4322),ISNUMBER(B4321),B4321&lt;&gt;0),B4322/B4321-1,""),"")</f>
        <v/>
      </c>
      <c r="E4322" s="28">
        <f>IFERROR(IF(AND(ISNUMBER(C4322),ISNUMBER(C4321),C4321&lt;&gt;0),C4322/C4321-1,""),"")</f>
        <v/>
      </c>
      <c r="F4322" s="28">
        <f>IFERROR(D4322-Dashboard!$B$4/252,"")</f>
        <v/>
      </c>
      <c r="G4322" s="28">
        <f>IFERROR(E4322-Dashboard!$B$4/252,"")</f>
        <v/>
      </c>
      <c r="H4322" s="8">
        <f>IFERROR(IF(ISNUMBER(B4322),MAX(B4322,IFERROR(H4321,B4322)),""),"")</f>
        <v/>
      </c>
      <c r="I4322" s="29">
        <f>IFERROR(IF(AND(ISNUMBER(B4322),ISNUMBER(H4322)),B4322/H4322-1,""),"")</f>
        <v/>
      </c>
      <c r="J4322" s="8">
        <f>IFERROR(IF(ISNUMBER(C4322),MAX(C4322,IFERROR(J4321,C4322)),""),"")</f>
        <v/>
      </c>
      <c r="K4322" s="29">
        <f>IFERROR(IF(AND(ISNUMBER(C4322),ISNUMBER(J4322)),C4322/J4322-1,""),"")</f>
        <v/>
      </c>
      <c r="L4322" s="28">
        <f>IFERROR(IF(AND(ISNUMBER(D4322),ISNUMBER(E4322)),D4322-E4322,""),"")</f>
        <v/>
      </c>
    </row>
    <row r="4323">
      <c r="A4323" s="7">
        <f>IFERROR(Datos!A4323,"")</f>
        <v/>
      </c>
      <c r="B4323" s="8">
        <f>IFERROR(Datos!B4323,"")</f>
        <v/>
      </c>
      <c r="C4323" s="8">
        <f>IFERROR(Datos!C4323,"")</f>
        <v/>
      </c>
      <c r="D4323" s="28">
        <f>IFERROR(IF(AND(ISNUMBER(B4323),ISNUMBER(B4322),B4322&lt;&gt;0),B4323/B4322-1,""),"")</f>
        <v/>
      </c>
      <c r="E4323" s="28">
        <f>IFERROR(IF(AND(ISNUMBER(C4323),ISNUMBER(C4322),C4322&lt;&gt;0),C4323/C4322-1,""),"")</f>
        <v/>
      </c>
      <c r="F4323" s="28">
        <f>IFERROR(D4323-Dashboard!$B$4/252,"")</f>
        <v/>
      </c>
      <c r="G4323" s="28">
        <f>IFERROR(E4323-Dashboard!$B$4/252,"")</f>
        <v/>
      </c>
      <c r="H4323" s="8">
        <f>IFERROR(IF(ISNUMBER(B4323),MAX(B4323,IFERROR(H4322,B4323)),""),"")</f>
        <v/>
      </c>
      <c r="I4323" s="29">
        <f>IFERROR(IF(AND(ISNUMBER(B4323),ISNUMBER(H4323)),B4323/H4323-1,""),"")</f>
        <v/>
      </c>
      <c r="J4323" s="8">
        <f>IFERROR(IF(ISNUMBER(C4323),MAX(C4323,IFERROR(J4322,C4323)),""),"")</f>
        <v/>
      </c>
      <c r="K4323" s="29">
        <f>IFERROR(IF(AND(ISNUMBER(C4323),ISNUMBER(J4323)),C4323/J4323-1,""),"")</f>
        <v/>
      </c>
      <c r="L4323" s="28">
        <f>IFERROR(IF(AND(ISNUMBER(D4323),ISNUMBER(E4323)),D4323-E4323,""),"")</f>
        <v/>
      </c>
    </row>
    <row r="4324">
      <c r="A4324" s="7">
        <f>IFERROR(Datos!A4324,"")</f>
        <v/>
      </c>
      <c r="B4324" s="8">
        <f>IFERROR(Datos!B4324,"")</f>
        <v/>
      </c>
      <c r="C4324" s="8">
        <f>IFERROR(Datos!C4324,"")</f>
        <v/>
      </c>
      <c r="D4324" s="28">
        <f>IFERROR(IF(AND(ISNUMBER(B4324),ISNUMBER(B4323),B4323&lt;&gt;0),B4324/B4323-1,""),"")</f>
        <v/>
      </c>
      <c r="E4324" s="28">
        <f>IFERROR(IF(AND(ISNUMBER(C4324),ISNUMBER(C4323),C4323&lt;&gt;0),C4324/C4323-1,""),"")</f>
        <v/>
      </c>
      <c r="F4324" s="28">
        <f>IFERROR(D4324-Dashboard!$B$4/252,"")</f>
        <v/>
      </c>
      <c r="G4324" s="28">
        <f>IFERROR(E4324-Dashboard!$B$4/252,"")</f>
        <v/>
      </c>
      <c r="H4324" s="8">
        <f>IFERROR(IF(ISNUMBER(B4324),MAX(B4324,IFERROR(H4323,B4324)),""),"")</f>
        <v/>
      </c>
      <c r="I4324" s="29">
        <f>IFERROR(IF(AND(ISNUMBER(B4324),ISNUMBER(H4324)),B4324/H4324-1,""),"")</f>
        <v/>
      </c>
      <c r="J4324" s="8">
        <f>IFERROR(IF(ISNUMBER(C4324),MAX(C4324,IFERROR(J4323,C4324)),""),"")</f>
        <v/>
      </c>
      <c r="K4324" s="29">
        <f>IFERROR(IF(AND(ISNUMBER(C4324),ISNUMBER(J4324)),C4324/J4324-1,""),"")</f>
        <v/>
      </c>
      <c r="L4324" s="28">
        <f>IFERROR(IF(AND(ISNUMBER(D4324),ISNUMBER(E4324)),D4324-E4324,""),"")</f>
        <v/>
      </c>
    </row>
    <row r="4325">
      <c r="A4325" s="7">
        <f>IFERROR(Datos!A4325,"")</f>
        <v/>
      </c>
      <c r="B4325" s="8">
        <f>IFERROR(Datos!B4325,"")</f>
        <v/>
      </c>
      <c r="C4325" s="8">
        <f>IFERROR(Datos!C4325,"")</f>
        <v/>
      </c>
      <c r="D4325" s="28">
        <f>IFERROR(IF(AND(ISNUMBER(B4325),ISNUMBER(B4324),B4324&lt;&gt;0),B4325/B4324-1,""),"")</f>
        <v/>
      </c>
      <c r="E4325" s="28">
        <f>IFERROR(IF(AND(ISNUMBER(C4325),ISNUMBER(C4324),C4324&lt;&gt;0),C4325/C4324-1,""),"")</f>
        <v/>
      </c>
      <c r="F4325" s="28">
        <f>IFERROR(D4325-Dashboard!$B$4/252,"")</f>
        <v/>
      </c>
      <c r="G4325" s="28">
        <f>IFERROR(E4325-Dashboard!$B$4/252,"")</f>
        <v/>
      </c>
      <c r="H4325" s="8">
        <f>IFERROR(IF(ISNUMBER(B4325),MAX(B4325,IFERROR(H4324,B4325)),""),"")</f>
        <v/>
      </c>
      <c r="I4325" s="29">
        <f>IFERROR(IF(AND(ISNUMBER(B4325),ISNUMBER(H4325)),B4325/H4325-1,""),"")</f>
        <v/>
      </c>
      <c r="J4325" s="8">
        <f>IFERROR(IF(ISNUMBER(C4325),MAX(C4325,IFERROR(J4324,C4325)),""),"")</f>
        <v/>
      </c>
      <c r="K4325" s="29">
        <f>IFERROR(IF(AND(ISNUMBER(C4325),ISNUMBER(J4325)),C4325/J4325-1,""),"")</f>
        <v/>
      </c>
      <c r="L4325" s="28">
        <f>IFERROR(IF(AND(ISNUMBER(D4325),ISNUMBER(E4325)),D4325-E4325,""),"")</f>
        <v/>
      </c>
    </row>
    <row r="4326">
      <c r="A4326" s="7">
        <f>IFERROR(Datos!A4326,"")</f>
        <v/>
      </c>
      <c r="B4326" s="8">
        <f>IFERROR(Datos!B4326,"")</f>
        <v/>
      </c>
      <c r="C4326" s="8">
        <f>IFERROR(Datos!C4326,"")</f>
        <v/>
      </c>
      <c r="D4326" s="28">
        <f>IFERROR(IF(AND(ISNUMBER(B4326),ISNUMBER(B4325),B4325&lt;&gt;0),B4326/B4325-1,""),"")</f>
        <v/>
      </c>
      <c r="E4326" s="28">
        <f>IFERROR(IF(AND(ISNUMBER(C4326),ISNUMBER(C4325),C4325&lt;&gt;0),C4326/C4325-1,""),"")</f>
        <v/>
      </c>
      <c r="F4326" s="28">
        <f>IFERROR(D4326-Dashboard!$B$4/252,"")</f>
        <v/>
      </c>
      <c r="G4326" s="28">
        <f>IFERROR(E4326-Dashboard!$B$4/252,"")</f>
        <v/>
      </c>
      <c r="H4326" s="8">
        <f>IFERROR(IF(ISNUMBER(B4326),MAX(B4326,IFERROR(H4325,B4326)),""),"")</f>
        <v/>
      </c>
      <c r="I4326" s="29">
        <f>IFERROR(IF(AND(ISNUMBER(B4326),ISNUMBER(H4326)),B4326/H4326-1,""),"")</f>
        <v/>
      </c>
      <c r="J4326" s="8">
        <f>IFERROR(IF(ISNUMBER(C4326),MAX(C4326,IFERROR(J4325,C4326)),""),"")</f>
        <v/>
      </c>
      <c r="K4326" s="29">
        <f>IFERROR(IF(AND(ISNUMBER(C4326),ISNUMBER(J4326)),C4326/J4326-1,""),"")</f>
        <v/>
      </c>
      <c r="L4326" s="28">
        <f>IFERROR(IF(AND(ISNUMBER(D4326),ISNUMBER(E4326)),D4326-E4326,""),"")</f>
        <v/>
      </c>
    </row>
    <row r="4327">
      <c r="A4327" s="7">
        <f>IFERROR(Datos!A4327,"")</f>
        <v/>
      </c>
      <c r="B4327" s="8">
        <f>IFERROR(Datos!B4327,"")</f>
        <v/>
      </c>
      <c r="C4327" s="8">
        <f>IFERROR(Datos!C4327,"")</f>
        <v/>
      </c>
      <c r="D4327" s="28">
        <f>IFERROR(IF(AND(ISNUMBER(B4327),ISNUMBER(B4326),B4326&lt;&gt;0),B4327/B4326-1,""),"")</f>
        <v/>
      </c>
      <c r="E4327" s="28">
        <f>IFERROR(IF(AND(ISNUMBER(C4327),ISNUMBER(C4326),C4326&lt;&gt;0),C4327/C4326-1,""),"")</f>
        <v/>
      </c>
      <c r="F4327" s="28">
        <f>IFERROR(D4327-Dashboard!$B$4/252,"")</f>
        <v/>
      </c>
      <c r="G4327" s="28">
        <f>IFERROR(E4327-Dashboard!$B$4/252,"")</f>
        <v/>
      </c>
      <c r="H4327" s="8">
        <f>IFERROR(IF(ISNUMBER(B4327),MAX(B4327,IFERROR(H4326,B4327)),""),"")</f>
        <v/>
      </c>
      <c r="I4327" s="29">
        <f>IFERROR(IF(AND(ISNUMBER(B4327),ISNUMBER(H4327)),B4327/H4327-1,""),"")</f>
        <v/>
      </c>
      <c r="J4327" s="8">
        <f>IFERROR(IF(ISNUMBER(C4327),MAX(C4327,IFERROR(J4326,C4327)),""),"")</f>
        <v/>
      </c>
      <c r="K4327" s="29">
        <f>IFERROR(IF(AND(ISNUMBER(C4327),ISNUMBER(J4327)),C4327/J4327-1,""),"")</f>
        <v/>
      </c>
      <c r="L4327" s="28">
        <f>IFERROR(IF(AND(ISNUMBER(D4327),ISNUMBER(E4327)),D4327-E4327,""),"")</f>
        <v/>
      </c>
    </row>
    <row r="4328">
      <c r="A4328" s="7">
        <f>IFERROR(Datos!A4328,"")</f>
        <v/>
      </c>
      <c r="B4328" s="8">
        <f>IFERROR(Datos!B4328,"")</f>
        <v/>
      </c>
      <c r="C4328" s="8">
        <f>IFERROR(Datos!C4328,"")</f>
        <v/>
      </c>
      <c r="D4328" s="28">
        <f>IFERROR(IF(AND(ISNUMBER(B4328),ISNUMBER(B4327),B4327&lt;&gt;0),B4328/B4327-1,""),"")</f>
        <v/>
      </c>
      <c r="E4328" s="28">
        <f>IFERROR(IF(AND(ISNUMBER(C4328),ISNUMBER(C4327),C4327&lt;&gt;0),C4328/C4327-1,""),"")</f>
        <v/>
      </c>
      <c r="F4328" s="28">
        <f>IFERROR(D4328-Dashboard!$B$4/252,"")</f>
        <v/>
      </c>
      <c r="G4328" s="28">
        <f>IFERROR(E4328-Dashboard!$B$4/252,"")</f>
        <v/>
      </c>
      <c r="H4328" s="8">
        <f>IFERROR(IF(ISNUMBER(B4328),MAX(B4328,IFERROR(H4327,B4328)),""),"")</f>
        <v/>
      </c>
      <c r="I4328" s="29">
        <f>IFERROR(IF(AND(ISNUMBER(B4328),ISNUMBER(H4328)),B4328/H4328-1,""),"")</f>
        <v/>
      </c>
      <c r="J4328" s="8">
        <f>IFERROR(IF(ISNUMBER(C4328),MAX(C4328,IFERROR(J4327,C4328)),""),"")</f>
        <v/>
      </c>
      <c r="K4328" s="29">
        <f>IFERROR(IF(AND(ISNUMBER(C4328),ISNUMBER(J4328)),C4328/J4328-1,""),"")</f>
        <v/>
      </c>
      <c r="L4328" s="28">
        <f>IFERROR(IF(AND(ISNUMBER(D4328),ISNUMBER(E4328)),D4328-E4328,""),"")</f>
        <v/>
      </c>
    </row>
    <row r="4329">
      <c r="A4329" s="7">
        <f>IFERROR(Datos!A4329,"")</f>
        <v/>
      </c>
      <c r="B4329" s="8">
        <f>IFERROR(Datos!B4329,"")</f>
        <v/>
      </c>
      <c r="C4329" s="8">
        <f>IFERROR(Datos!C4329,"")</f>
        <v/>
      </c>
      <c r="D4329" s="28">
        <f>IFERROR(IF(AND(ISNUMBER(B4329),ISNUMBER(B4328),B4328&lt;&gt;0),B4329/B4328-1,""),"")</f>
        <v/>
      </c>
      <c r="E4329" s="28">
        <f>IFERROR(IF(AND(ISNUMBER(C4329),ISNUMBER(C4328),C4328&lt;&gt;0),C4329/C4328-1,""),"")</f>
        <v/>
      </c>
      <c r="F4329" s="28">
        <f>IFERROR(D4329-Dashboard!$B$4/252,"")</f>
        <v/>
      </c>
      <c r="G4329" s="28">
        <f>IFERROR(E4329-Dashboard!$B$4/252,"")</f>
        <v/>
      </c>
      <c r="H4329" s="8">
        <f>IFERROR(IF(ISNUMBER(B4329),MAX(B4329,IFERROR(H4328,B4329)),""),"")</f>
        <v/>
      </c>
      <c r="I4329" s="29">
        <f>IFERROR(IF(AND(ISNUMBER(B4329),ISNUMBER(H4329)),B4329/H4329-1,""),"")</f>
        <v/>
      </c>
      <c r="J4329" s="8">
        <f>IFERROR(IF(ISNUMBER(C4329),MAX(C4329,IFERROR(J4328,C4329)),""),"")</f>
        <v/>
      </c>
      <c r="K4329" s="29">
        <f>IFERROR(IF(AND(ISNUMBER(C4329),ISNUMBER(J4329)),C4329/J4329-1,""),"")</f>
        <v/>
      </c>
      <c r="L4329" s="28">
        <f>IFERROR(IF(AND(ISNUMBER(D4329),ISNUMBER(E4329)),D4329-E4329,""),"")</f>
        <v/>
      </c>
    </row>
    <row r="4330">
      <c r="A4330" s="7">
        <f>IFERROR(Datos!A4330,"")</f>
        <v/>
      </c>
      <c r="B4330" s="8">
        <f>IFERROR(Datos!B4330,"")</f>
        <v/>
      </c>
      <c r="C4330" s="8">
        <f>IFERROR(Datos!C4330,"")</f>
        <v/>
      </c>
      <c r="D4330" s="28">
        <f>IFERROR(IF(AND(ISNUMBER(B4330),ISNUMBER(B4329),B4329&lt;&gt;0),B4330/B4329-1,""),"")</f>
        <v/>
      </c>
      <c r="E4330" s="28">
        <f>IFERROR(IF(AND(ISNUMBER(C4330),ISNUMBER(C4329),C4329&lt;&gt;0),C4330/C4329-1,""),"")</f>
        <v/>
      </c>
      <c r="F4330" s="28">
        <f>IFERROR(D4330-Dashboard!$B$4/252,"")</f>
        <v/>
      </c>
      <c r="G4330" s="28">
        <f>IFERROR(E4330-Dashboard!$B$4/252,"")</f>
        <v/>
      </c>
      <c r="H4330" s="8">
        <f>IFERROR(IF(ISNUMBER(B4330),MAX(B4330,IFERROR(H4329,B4330)),""),"")</f>
        <v/>
      </c>
      <c r="I4330" s="29">
        <f>IFERROR(IF(AND(ISNUMBER(B4330),ISNUMBER(H4330)),B4330/H4330-1,""),"")</f>
        <v/>
      </c>
      <c r="J4330" s="8">
        <f>IFERROR(IF(ISNUMBER(C4330),MAX(C4330,IFERROR(J4329,C4330)),""),"")</f>
        <v/>
      </c>
      <c r="K4330" s="29">
        <f>IFERROR(IF(AND(ISNUMBER(C4330),ISNUMBER(J4330)),C4330/J4330-1,""),"")</f>
        <v/>
      </c>
      <c r="L4330" s="28">
        <f>IFERROR(IF(AND(ISNUMBER(D4330),ISNUMBER(E4330)),D4330-E4330,""),"")</f>
        <v/>
      </c>
    </row>
    <row r="4331">
      <c r="A4331" s="7">
        <f>IFERROR(Datos!A4331,"")</f>
        <v/>
      </c>
      <c r="B4331" s="8">
        <f>IFERROR(Datos!B4331,"")</f>
        <v/>
      </c>
      <c r="C4331" s="8">
        <f>IFERROR(Datos!C4331,"")</f>
        <v/>
      </c>
      <c r="D4331" s="28">
        <f>IFERROR(IF(AND(ISNUMBER(B4331),ISNUMBER(B4330),B4330&lt;&gt;0),B4331/B4330-1,""),"")</f>
        <v/>
      </c>
      <c r="E4331" s="28">
        <f>IFERROR(IF(AND(ISNUMBER(C4331),ISNUMBER(C4330),C4330&lt;&gt;0),C4331/C4330-1,""),"")</f>
        <v/>
      </c>
      <c r="F4331" s="28">
        <f>IFERROR(D4331-Dashboard!$B$4/252,"")</f>
        <v/>
      </c>
      <c r="G4331" s="28">
        <f>IFERROR(E4331-Dashboard!$B$4/252,"")</f>
        <v/>
      </c>
      <c r="H4331" s="8">
        <f>IFERROR(IF(ISNUMBER(B4331),MAX(B4331,IFERROR(H4330,B4331)),""),"")</f>
        <v/>
      </c>
      <c r="I4331" s="29">
        <f>IFERROR(IF(AND(ISNUMBER(B4331),ISNUMBER(H4331)),B4331/H4331-1,""),"")</f>
        <v/>
      </c>
      <c r="J4331" s="8">
        <f>IFERROR(IF(ISNUMBER(C4331),MAX(C4331,IFERROR(J4330,C4331)),""),"")</f>
        <v/>
      </c>
      <c r="K4331" s="29">
        <f>IFERROR(IF(AND(ISNUMBER(C4331),ISNUMBER(J4331)),C4331/J4331-1,""),"")</f>
        <v/>
      </c>
      <c r="L4331" s="28">
        <f>IFERROR(IF(AND(ISNUMBER(D4331),ISNUMBER(E4331)),D4331-E4331,""),"")</f>
        <v/>
      </c>
    </row>
    <row r="4332">
      <c r="A4332" s="7">
        <f>IFERROR(Datos!A4332,"")</f>
        <v/>
      </c>
      <c r="B4332" s="8">
        <f>IFERROR(Datos!B4332,"")</f>
        <v/>
      </c>
      <c r="C4332" s="8">
        <f>IFERROR(Datos!C4332,"")</f>
        <v/>
      </c>
      <c r="D4332" s="28">
        <f>IFERROR(IF(AND(ISNUMBER(B4332),ISNUMBER(B4331),B4331&lt;&gt;0),B4332/B4331-1,""),"")</f>
        <v/>
      </c>
      <c r="E4332" s="28">
        <f>IFERROR(IF(AND(ISNUMBER(C4332),ISNUMBER(C4331),C4331&lt;&gt;0),C4332/C4331-1,""),"")</f>
        <v/>
      </c>
      <c r="F4332" s="28">
        <f>IFERROR(D4332-Dashboard!$B$4/252,"")</f>
        <v/>
      </c>
      <c r="G4332" s="28">
        <f>IFERROR(E4332-Dashboard!$B$4/252,"")</f>
        <v/>
      </c>
      <c r="H4332" s="8">
        <f>IFERROR(IF(ISNUMBER(B4332),MAX(B4332,IFERROR(H4331,B4332)),""),"")</f>
        <v/>
      </c>
      <c r="I4332" s="29">
        <f>IFERROR(IF(AND(ISNUMBER(B4332),ISNUMBER(H4332)),B4332/H4332-1,""),"")</f>
        <v/>
      </c>
      <c r="J4332" s="8">
        <f>IFERROR(IF(ISNUMBER(C4332),MAX(C4332,IFERROR(J4331,C4332)),""),"")</f>
        <v/>
      </c>
      <c r="K4332" s="29">
        <f>IFERROR(IF(AND(ISNUMBER(C4332),ISNUMBER(J4332)),C4332/J4332-1,""),"")</f>
        <v/>
      </c>
      <c r="L4332" s="28">
        <f>IFERROR(IF(AND(ISNUMBER(D4332),ISNUMBER(E4332)),D4332-E4332,""),"")</f>
        <v/>
      </c>
    </row>
    <row r="4333">
      <c r="A4333" s="7">
        <f>IFERROR(Datos!A4333,"")</f>
        <v/>
      </c>
      <c r="B4333" s="8">
        <f>IFERROR(Datos!B4333,"")</f>
        <v/>
      </c>
      <c r="C4333" s="8">
        <f>IFERROR(Datos!C4333,"")</f>
        <v/>
      </c>
      <c r="D4333" s="28">
        <f>IFERROR(IF(AND(ISNUMBER(B4333),ISNUMBER(B4332),B4332&lt;&gt;0),B4333/B4332-1,""),"")</f>
        <v/>
      </c>
      <c r="E4333" s="28">
        <f>IFERROR(IF(AND(ISNUMBER(C4333),ISNUMBER(C4332),C4332&lt;&gt;0),C4333/C4332-1,""),"")</f>
        <v/>
      </c>
      <c r="F4333" s="28">
        <f>IFERROR(D4333-Dashboard!$B$4/252,"")</f>
        <v/>
      </c>
      <c r="G4333" s="28">
        <f>IFERROR(E4333-Dashboard!$B$4/252,"")</f>
        <v/>
      </c>
      <c r="H4333" s="8">
        <f>IFERROR(IF(ISNUMBER(B4333),MAX(B4333,IFERROR(H4332,B4333)),""),"")</f>
        <v/>
      </c>
      <c r="I4333" s="29">
        <f>IFERROR(IF(AND(ISNUMBER(B4333),ISNUMBER(H4333)),B4333/H4333-1,""),"")</f>
        <v/>
      </c>
      <c r="J4333" s="8">
        <f>IFERROR(IF(ISNUMBER(C4333),MAX(C4333,IFERROR(J4332,C4333)),""),"")</f>
        <v/>
      </c>
      <c r="K4333" s="29">
        <f>IFERROR(IF(AND(ISNUMBER(C4333),ISNUMBER(J4333)),C4333/J4333-1,""),"")</f>
        <v/>
      </c>
      <c r="L4333" s="28">
        <f>IFERROR(IF(AND(ISNUMBER(D4333),ISNUMBER(E4333)),D4333-E4333,""),"")</f>
        <v/>
      </c>
    </row>
    <row r="4334">
      <c r="A4334" s="7">
        <f>IFERROR(Datos!A4334,"")</f>
        <v/>
      </c>
      <c r="B4334" s="8">
        <f>IFERROR(Datos!B4334,"")</f>
        <v/>
      </c>
      <c r="C4334" s="8">
        <f>IFERROR(Datos!C4334,"")</f>
        <v/>
      </c>
      <c r="D4334" s="28">
        <f>IFERROR(IF(AND(ISNUMBER(B4334),ISNUMBER(B4333),B4333&lt;&gt;0),B4334/B4333-1,""),"")</f>
        <v/>
      </c>
      <c r="E4334" s="28">
        <f>IFERROR(IF(AND(ISNUMBER(C4334),ISNUMBER(C4333),C4333&lt;&gt;0),C4334/C4333-1,""),"")</f>
        <v/>
      </c>
      <c r="F4334" s="28">
        <f>IFERROR(D4334-Dashboard!$B$4/252,"")</f>
        <v/>
      </c>
      <c r="G4334" s="28">
        <f>IFERROR(E4334-Dashboard!$B$4/252,"")</f>
        <v/>
      </c>
      <c r="H4334" s="8">
        <f>IFERROR(IF(ISNUMBER(B4334),MAX(B4334,IFERROR(H4333,B4334)),""),"")</f>
        <v/>
      </c>
      <c r="I4334" s="29">
        <f>IFERROR(IF(AND(ISNUMBER(B4334),ISNUMBER(H4334)),B4334/H4334-1,""),"")</f>
        <v/>
      </c>
      <c r="J4334" s="8">
        <f>IFERROR(IF(ISNUMBER(C4334),MAX(C4334,IFERROR(J4333,C4334)),""),"")</f>
        <v/>
      </c>
      <c r="K4334" s="29">
        <f>IFERROR(IF(AND(ISNUMBER(C4334),ISNUMBER(J4334)),C4334/J4334-1,""),"")</f>
        <v/>
      </c>
      <c r="L4334" s="28">
        <f>IFERROR(IF(AND(ISNUMBER(D4334),ISNUMBER(E4334)),D4334-E4334,""),"")</f>
        <v/>
      </c>
    </row>
    <row r="4335">
      <c r="A4335" s="7">
        <f>IFERROR(Datos!A4335,"")</f>
        <v/>
      </c>
      <c r="B4335" s="8">
        <f>IFERROR(Datos!B4335,"")</f>
        <v/>
      </c>
      <c r="C4335" s="8">
        <f>IFERROR(Datos!C4335,"")</f>
        <v/>
      </c>
      <c r="D4335" s="28">
        <f>IFERROR(IF(AND(ISNUMBER(B4335),ISNUMBER(B4334),B4334&lt;&gt;0),B4335/B4334-1,""),"")</f>
        <v/>
      </c>
      <c r="E4335" s="28">
        <f>IFERROR(IF(AND(ISNUMBER(C4335),ISNUMBER(C4334),C4334&lt;&gt;0),C4335/C4334-1,""),"")</f>
        <v/>
      </c>
      <c r="F4335" s="28">
        <f>IFERROR(D4335-Dashboard!$B$4/252,"")</f>
        <v/>
      </c>
      <c r="G4335" s="28">
        <f>IFERROR(E4335-Dashboard!$B$4/252,"")</f>
        <v/>
      </c>
      <c r="H4335" s="8">
        <f>IFERROR(IF(ISNUMBER(B4335),MAX(B4335,IFERROR(H4334,B4335)),""),"")</f>
        <v/>
      </c>
      <c r="I4335" s="29">
        <f>IFERROR(IF(AND(ISNUMBER(B4335),ISNUMBER(H4335)),B4335/H4335-1,""),"")</f>
        <v/>
      </c>
      <c r="J4335" s="8">
        <f>IFERROR(IF(ISNUMBER(C4335),MAX(C4335,IFERROR(J4334,C4335)),""),"")</f>
        <v/>
      </c>
      <c r="K4335" s="29">
        <f>IFERROR(IF(AND(ISNUMBER(C4335),ISNUMBER(J4335)),C4335/J4335-1,""),"")</f>
        <v/>
      </c>
      <c r="L4335" s="28">
        <f>IFERROR(IF(AND(ISNUMBER(D4335),ISNUMBER(E4335)),D4335-E4335,""),"")</f>
        <v/>
      </c>
    </row>
    <row r="4336">
      <c r="A4336" s="7">
        <f>IFERROR(Datos!A4336,"")</f>
        <v/>
      </c>
      <c r="B4336" s="8">
        <f>IFERROR(Datos!B4336,"")</f>
        <v/>
      </c>
      <c r="C4336" s="8">
        <f>IFERROR(Datos!C4336,"")</f>
        <v/>
      </c>
      <c r="D4336" s="28">
        <f>IFERROR(IF(AND(ISNUMBER(B4336),ISNUMBER(B4335),B4335&lt;&gt;0),B4336/B4335-1,""),"")</f>
        <v/>
      </c>
      <c r="E4336" s="28">
        <f>IFERROR(IF(AND(ISNUMBER(C4336),ISNUMBER(C4335),C4335&lt;&gt;0),C4336/C4335-1,""),"")</f>
        <v/>
      </c>
      <c r="F4336" s="28">
        <f>IFERROR(D4336-Dashboard!$B$4/252,"")</f>
        <v/>
      </c>
      <c r="G4336" s="28">
        <f>IFERROR(E4336-Dashboard!$B$4/252,"")</f>
        <v/>
      </c>
      <c r="H4336" s="8">
        <f>IFERROR(IF(ISNUMBER(B4336),MAX(B4336,IFERROR(H4335,B4336)),""),"")</f>
        <v/>
      </c>
      <c r="I4336" s="29">
        <f>IFERROR(IF(AND(ISNUMBER(B4336),ISNUMBER(H4336)),B4336/H4336-1,""),"")</f>
        <v/>
      </c>
      <c r="J4336" s="8">
        <f>IFERROR(IF(ISNUMBER(C4336),MAX(C4336,IFERROR(J4335,C4336)),""),"")</f>
        <v/>
      </c>
      <c r="K4336" s="29">
        <f>IFERROR(IF(AND(ISNUMBER(C4336),ISNUMBER(J4336)),C4336/J4336-1,""),"")</f>
        <v/>
      </c>
      <c r="L4336" s="28">
        <f>IFERROR(IF(AND(ISNUMBER(D4336),ISNUMBER(E4336)),D4336-E4336,""),"")</f>
        <v/>
      </c>
    </row>
    <row r="4337">
      <c r="A4337" s="7">
        <f>IFERROR(Datos!A4337,"")</f>
        <v/>
      </c>
      <c r="B4337" s="8">
        <f>IFERROR(Datos!B4337,"")</f>
        <v/>
      </c>
      <c r="C4337" s="8">
        <f>IFERROR(Datos!C4337,"")</f>
        <v/>
      </c>
      <c r="D4337" s="28">
        <f>IFERROR(IF(AND(ISNUMBER(B4337),ISNUMBER(B4336),B4336&lt;&gt;0),B4337/B4336-1,""),"")</f>
        <v/>
      </c>
      <c r="E4337" s="28">
        <f>IFERROR(IF(AND(ISNUMBER(C4337),ISNUMBER(C4336),C4336&lt;&gt;0),C4337/C4336-1,""),"")</f>
        <v/>
      </c>
      <c r="F4337" s="28">
        <f>IFERROR(D4337-Dashboard!$B$4/252,"")</f>
        <v/>
      </c>
      <c r="G4337" s="28">
        <f>IFERROR(E4337-Dashboard!$B$4/252,"")</f>
        <v/>
      </c>
      <c r="H4337" s="8">
        <f>IFERROR(IF(ISNUMBER(B4337),MAX(B4337,IFERROR(H4336,B4337)),""),"")</f>
        <v/>
      </c>
      <c r="I4337" s="29">
        <f>IFERROR(IF(AND(ISNUMBER(B4337),ISNUMBER(H4337)),B4337/H4337-1,""),"")</f>
        <v/>
      </c>
      <c r="J4337" s="8">
        <f>IFERROR(IF(ISNUMBER(C4337),MAX(C4337,IFERROR(J4336,C4337)),""),"")</f>
        <v/>
      </c>
      <c r="K4337" s="29">
        <f>IFERROR(IF(AND(ISNUMBER(C4337),ISNUMBER(J4337)),C4337/J4337-1,""),"")</f>
        <v/>
      </c>
      <c r="L4337" s="28">
        <f>IFERROR(IF(AND(ISNUMBER(D4337),ISNUMBER(E4337)),D4337-E4337,""),"")</f>
        <v/>
      </c>
    </row>
    <row r="4338">
      <c r="A4338" s="7">
        <f>IFERROR(Datos!A4338,"")</f>
        <v/>
      </c>
      <c r="B4338" s="8">
        <f>IFERROR(Datos!B4338,"")</f>
        <v/>
      </c>
      <c r="C4338" s="8">
        <f>IFERROR(Datos!C4338,"")</f>
        <v/>
      </c>
      <c r="D4338" s="28">
        <f>IFERROR(IF(AND(ISNUMBER(B4338),ISNUMBER(B4337),B4337&lt;&gt;0),B4338/B4337-1,""),"")</f>
        <v/>
      </c>
      <c r="E4338" s="28">
        <f>IFERROR(IF(AND(ISNUMBER(C4338),ISNUMBER(C4337),C4337&lt;&gt;0),C4338/C4337-1,""),"")</f>
        <v/>
      </c>
      <c r="F4338" s="28">
        <f>IFERROR(D4338-Dashboard!$B$4/252,"")</f>
        <v/>
      </c>
      <c r="G4338" s="28">
        <f>IFERROR(E4338-Dashboard!$B$4/252,"")</f>
        <v/>
      </c>
      <c r="H4338" s="8">
        <f>IFERROR(IF(ISNUMBER(B4338),MAX(B4338,IFERROR(H4337,B4338)),""),"")</f>
        <v/>
      </c>
      <c r="I4338" s="29">
        <f>IFERROR(IF(AND(ISNUMBER(B4338),ISNUMBER(H4338)),B4338/H4338-1,""),"")</f>
        <v/>
      </c>
      <c r="J4338" s="8">
        <f>IFERROR(IF(ISNUMBER(C4338),MAX(C4338,IFERROR(J4337,C4338)),""),"")</f>
        <v/>
      </c>
      <c r="K4338" s="29">
        <f>IFERROR(IF(AND(ISNUMBER(C4338),ISNUMBER(J4338)),C4338/J4338-1,""),"")</f>
        <v/>
      </c>
      <c r="L4338" s="28">
        <f>IFERROR(IF(AND(ISNUMBER(D4338),ISNUMBER(E4338)),D4338-E4338,""),"")</f>
        <v/>
      </c>
    </row>
    <row r="4339">
      <c r="A4339" s="7">
        <f>IFERROR(Datos!A4339,"")</f>
        <v/>
      </c>
      <c r="B4339" s="8">
        <f>IFERROR(Datos!B4339,"")</f>
        <v/>
      </c>
      <c r="C4339" s="8">
        <f>IFERROR(Datos!C4339,"")</f>
        <v/>
      </c>
      <c r="D4339" s="28">
        <f>IFERROR(IF(AND(ISNUMBER(B4339),ISNUMBER(B4338),B4338&lt;&gt;0),B4339/B4338-1,""),"")</f>
        <v/>
      </c>
      <c r="E4339" s="28">
        <f>IFERROR(IF(AND(ISNUMBER(C4339),ISNUMBER(C4338),C4338&lt;&gt;0),C4339/C4338-1,""),"")</f>
        <v/>
      </c>
      <c r="F4339" s="28">
        <f>IFERROR(D4339-Dashboard!$B$4/252,"")</f>
        <v/>
      </c>
      <c r="G4339" s="28">
        <f>IFERROR(E4339-Dashboard!$B$4/252,"")</f>
        <v/>
      </c>
      <c r="H4339" s="8">
        <f>IFERROR(IF(ISNUMBER(B4339),MAX(B4339,IFERROR(H4338,B4339)),""),"")</f>
        <v/>
      </c>
      <c r="I4339" s="29">
        <f>IFERROR(IF(AND(ISNUMBER(B4339),ISNUMBER(H4339)),B4339/H4339-1,""),"")</f>
        <v/>
      </c>
      <c r="J4339" s="8">
        <f>IFERROR(IF(ISNUMBER(C4339),MAX(C4339,IFERROR(J4338,C4339)),""),"")</f>
        <v/>
      </c>
      <c r="K4339" s="29">
        <f>IFERROR(IF(AND(ISNUMBER(C4339),ISNUMBER(J4339)),C4339/J4339-1,""),"")</f>
        <v/>
      </c>
      <c r="L4339" s="28">
        <f>IFERROR(IF(AND(ISNUMBER(D4339),ISNUMBER(E4339)),D4339-E4339,""),"")</f>
        <v/>
      </c>
    </row>
    <row r="4340">
      <c r="A4340" s="7">
        <f>IFERROR(Datos!A4340,"")</f>
        <v/>
      </c>
      <c r="B4340" s="8">
        <f>IFERROR(Datos!B4340,"")</f>
        <v/>
      </c>
      <c r="C4340" s="8">
        <f>IFERROR(Datos!C4340,"")</f>
        <v/>
      </c>
      <c r="D4340" s="28">
        <f>IFERROR(IF(AND(ISNUMBER(B4340),ISNUMBER(B4339),B4339&lt;&gt;0),B4340/B4339-1,""),"")</f>
        <v/>
      </c>
      <c r="E4340" s="28">
        <f>IFERROR(IF(AND(ISNUMBER(C4340),ISNUMBER(C4339),C4339&lt;&gt;0),C4340/C4339-1,""),"")</f>
        <v/>
      </c>
      <c r="F4340" s="28">
        <f>IFERROR(D4340-Dashboard!$B$4/252,"")</f>
        <v/>
      </c>
      <c r="G4340" s="28">
        <f>IFERROR(E4340-Dashboard!$B$4/252,"")</f>
        <v/>
      </c>
      <c r="H4340" s="8">
        <f>IFERROR(IF(ISNUMBER(B4340),MAX(B4340,IFERROR(H4339,B4340)),""),"")</f>
        <v/>
      </c>
      <c r="I4340" s="29">
        <f>IFERROR(IF(AND(ISNUMBER(B4340),ISNUMBER(H4340)),B4340/H4340-1,""),"")</f>
        <v/>
      </c>
      <c r="J4340" s="8">
        <f>IFERROR(IF(ISNUMBER(C4340),MAX(C4340,IFERROR(J4339,C4340)),""),"")</f>
        <v/>
      </c>
      <c r="K4340" s="29">
        <f>IFERROR(IF(AND(ISNUMBER(C4340),ISNUMBER(J4340)),C4340/J4340-1,""),"")</f>
        <v/>
      </c>
      <c r="L4340" s="28">
        <f>IFERROR(IF(AND(ISNUMBER(D4340),ISNUMBER(E4340)),D4340-E4340,""),"")</f>
        <v/>
      </c>
    </row>
    <row r="4341">
      <c r="A4341" s="7">
        <f>IFERROR(Datos!A4341,"")</f>
        <v/>
      </c>
      <c r="B4341" s="8">
        <f>IFERROR(Datos!B4341,"")</f>
        <v/>
      </c>
      <c r="C4341" s="8">
        <f>IFERROR(Datos!C4341,"")</f>
        <v/>
      </c>
      <c r="D4341" s="28">
        <f>IFERROR(IF(AND(ISNUMBER(B4341),ISNUMBER(B4340),B4340&lt;&gt;0),B4341/B4340-1,""),"")</f>
        <v/>
      </c>
      <c r="E4341" s="28">
        <f>IFERROR(IF(AND(ISNUMBER(C4341),ISNUMBER(C4340),C4340&lt;&gt;0),C4341/C4340-1,""),"")</f>
        <v/>
      </c>
      <c r="F4341" s="28">
        <f>IFERROR(D4341-Dashboard!$B$4/252,"")</f>
        <v/>
      </c>
      <c r="G4341" s="28">
        <f>IFERROR(E4341-Dashboard!$B$4/252,"")</f>
        <v/>
      </c>
      <c r="H4341" s="8">
        <f>IFERROR(IF(ISNUMBER(B4341),MAX(B4341,IFERROR(H4340,B4341)),""),"")</f>
        <v/>
      </c>
      <c r="I4341" s="29">
        <f>IFERROR(IF(AND(ISNUMBER(B4341),ISNUMBER(H4341)),B4341/H4341-1,""),"")</f>
        <v/>
      </c>
      <c r="J4341" s="8">
        <f>IFERROR(IF(ISNUMBER(C4341),MAX(C4341,IFERROR(J4340,C4341)),""),"")</f>
        <v/>
      </c>
      <c r="K4341" s="29">
        <f>IFERROR(IF(AND(ISNUMBER(C4341),ISNUMBER(J4341)),C4341/J4341-1,""),"")</f>
        <v/>
      </c>
      <c r="L4341" s="28">
        <f>IFERROR(IF(AND(ISNUMBER(D4341),ISNUMBER(E4341)),D4341-E4341,""),"")</f>
        <v/>
      </c>
    </row>
    <row r="4342">
      <c r="A4342" s="7">
        <f>IFERROR(Datos!A4342,"")</f>
        <v/>
      </c>
      <c r="B4342" s="8">
        <f>IFERROR(Datos!B4342,"")</f>
        <v/>
      </c>
      <c r="C4342" s="8">
        <f>IFERROR(Datos!C4342,"")</f>
        <v/>
      </c>
      <c r="D4342" s="28">
        <f>IFERROR(IF(AND(ISNUMBER(B4342),ISNUMBER(B4341),B4341&lt;&gt;0),B4342/B4341-1,""),"")</f>
        <v/>
      </c>
      <c r="E4342" s="28">
        <f>IFERROR(IF(AND(ISNUMBER(C4342),ISNUMBER(C4341),C4341&lt;&gt;0),C4342/C4341-1,""),"")</f>
        <v/>
      </c>
      <c r="F4342" s="28">
        <f>IFERROR(D4342-Dashboard!$B$4/252,"")</f>
        <v/>
      </c>
      <c r="G4342" s="28">
        <f>IFERROR(E4342-Dashboard!$B$4/252,"")</f>
        <v/>
      </c>
      <c r="H4342" s="8">
        <f>IFERROR(IF(ISNUMBER(B4342),MAX(B4342,IFERROR(H4341,B4342)),""),"")</f>
        <v/>
      </c>
      <c r="I4342" s="29">
        <f>IFERROR(IF(AND(ISNUMBER(B4342),ISNUMBER(H4342)),B4342/H4342-1,""),"")</f>
        <v/>
      </c>
      <c r="J4342" s="8">
        <f>IFERROR(IF(ISNUMBER(C4342),MAX(C4342,IFERROR(J4341,C4342)),""),"")</f>
        <v/>
      </c>
      <c r="K4342" s="29">
        <f>IFERROR(IF(AND(ISNUMBER(C4342),ISNUMBER(J4342)),C4342/J4342-1,""),"")</f>
        <v/>
      </c>
      <c r="L4342" s="28">
        <f>IFERROR(IF(AND(ISNUMBER(D4342),ISNUMBER(E4342)),D4342-E4342,""),"")</f>
        <v/>
      </c>
    </row>
    <row r="4343">
      <c r="A4343" s="7">
        <f>IFERROR(Datos!A4343,"")</f>
        <v/>
      </c>
      <c r="B4343" s="8">
        <f>IFERROR(Datos!B4343,"")</f>
        <v/>
      </c>
      <c r="C4343" s="8">
        <f>IFERROR(Datos!C4343,"")</f>
        <v/>
      </c>
      <c r="D4343" s="28">
        <f>IFERROR(IF(AND(ISNUMBER(B4343),ISNUMBER(B4342),B4342&lt;&gt;0),B4343/B4342-1,""),"")</f>
        <v/>
      </c>
      <c r="E4343" s="28">
        <f>IFERROR(IF(AND(ISNUMBER(C4343),ISNUMBER(C4342),C4342&lt;&gt;0),C4343/C4342-1,""),"")</f>
        <v/>
      </c>
      <c r="F4343" s="28">
        <f>IFERROR(D4343-Dashboard!$B$4/252,"")</f>
        <v/>
      </c>
      <c r="G4343" s="28">
        <f>IFERROR(E4343-Dashboard!$B$4/252,"")</f>
        <v/>
      </c>
      <c r="H4343" s="8">
        <f>IFERROR(IF(ISNUMBER(B4343),MAX(B4343,IFERROR(H4342,B4343)),""),"")</f>
        <v/>
      </c>
      <c r="I4343" s="29">
        <f>IFERROR(IF(AND(ISNUMBER(B4343),ISNUMBER(H4343)),B4343/H4343-1,""),"")</f>
        <v/>
      </c>
      <c r="J4343" s="8">
        <f>IFERROR(IF(ISNUMBER(C4343),MAX(C4343,IFERROR(J4342,C4343)),""),"")</f>
        <v/>
      </c>
      <c r="K4343" s="29">
        <f>IFERROR(IF(AND(ISNUMBER(C4343),ISNUMBER(J4343)),C4343/J4343-1,""),"")</f>
        <v/>
      </c>
      <c r="L4343" s="28">
        <f>IFERROR(IF(AND(ISNUMBER(D4343),ISNUMBER(E4343)),D4343-E4343,""),"")</f>
        <v/>
      </c>
    </row>
    <row r="4344">
      <c r="A4344" s="7">
        <f>IFERROR(Datos!A4344,"")</f>
        <v/>
      </c>
      <c r="B4344" s="8">
        <f>IFERROR(Datos!B4344,"")</f>
        <v/>
      </c>
      <c r="C4344" s="8">
        <f>IFERROR(Datos!C4344,"")</f>
        <v/>
      </c>
      <c r="D4344" s="28">
        <f>IFERROR(IF(AND(ISNUMBER(B4344),ISNUMBER(B4343),B4343&lt;&gt;0),B4344/B4343-1,""),"")</f>
        <v/>
      </c>
      <c r="E4344" s="28">
        <f>IFERROR(IF(AND(ISNUMBER(C4344),ISNUMBER(C4343),C4343&lt;&gt;0),C4344/C4343-1,""),"")</f>
        <v/>
      </c>
      <c r="F4344" s="28">
        <f>IFERROR(D4344-Dashboard!$B$4/252,"")</f>
        <v/>
      </c>
      <c r="G4344" s="28">
        <f>IFERROR(E4344-Dashboard!$B$4/252,"")</f>
        <v/>
      </c>
      <c r="H4344" s="8">
        <f>IFERROR(IF(ISNUMBER(B4344),MAX(B4344,IFERROR(H4343,B4344)),""),"")</f>
        <v/>
      </c>
      <c r="I4344" s="29">
        <f>IFERROR(IF(AND(ISNUMBER(B4344),ISNUMBER(H4344)),B4344/H4344-1,""),"")</f>
        <v/>
      </c>
      <c r="J4344" s="8">
        <f>IFERROR(IF(ISNUMBER(C4344),MAX(C4344,IFERROR(J4343,C4344)),""),"")</f>
        <v/>
      </c>
      <c r="K4344" s="29">
        <f>IFERROR(IF(AND(ISNUMBER(C4344),ISNUMBER(J4344)),C4344/J4344-1,""),"")</f>
        <v/>
      </c>
      <c r="L4344" s="28">
        <f>IFERROR(IF(AND(ISNUMBER(D4344),ISNUMBER(E4344)),D4344-E4344,""),"")</f>
        <v/>
      </c>
    </row>
    <row r="4345">
      <c r="A4345" s="7">
        <f>IFERROR(Datos!A4345,"")</f>
        <v/>
      </c>
      <c r="B4345" s="8">
        <f>IFERROR(Datos!B4345,"")</f>
        <v/>
      </c>
      <c r="C4345" s="8">
        <f>IFERROR(Datos!C4345,"")</f>
        <v/>
      </c>
      <c r="D4345" s="28">
        <f>IFERROR(IF(AND(ISNUMBER(B4345),ISNUMBER(B4344),B4344&lt;&gt;0),B4345/B4344-1,""),"")</f>
        <v/>
      </c>
      <c r="E4345" s="28">
        <f>IFERROR(IF(AND(ISNUMBER(C4345),ISNUMBER(C4344),C4344&lt;&gt;0),C4345/C4344-1,""),"")</f>
        <v/>
      </c>
      <c r="F4345" s="28">
        <f>IFERROR(D4345-Dashboard!$B$4/252,"")</f>
        <v/>
      </c>
      <c r="G4345" s="28">
        <f>IFERROR(E4345-Dashboard!$B$4/252,"")</f>
        <v/>
      </c>
      <c r="H4345" s="8">
        <f>IFERROR(IF(ISNUMBER(B4345),MAX(B4345,IFERROR(H4344,B4345)),""),"")</f>
        <v/>
      </c>
      <c r="I4345" s="29">
        <f>IFERROR(IF(AND(ISNUMBER(B4345),ISNUMBER(H4345)),B4345/H4345-1,""),"")</f>
        <v/>
      </c>
      <c r="J4345" s="8">
        <f>IFERROR(IF(ISNUMBER(C4345),MAX(C4345,IFERROR(J4344,C4345)),""),"")</f>
        <v/>
      </c>
      <c r="K4345" s="29">
        <f>IFERROR(IF(AND(ISNUMBER(C4345),ISNUMBER(J4345)),C4345/J4345-1,""),"")</f>
        <v/>
      </c>
      <c r="L4345" s="28">
        <f>IFERROR(IF(AND(ISNUMBER(D4345),ISNUMBER(E4345)),D4345-E4345,""),"")</f>
        <v/>
      </c>
    </row>
    <row r="4346">
      <c r="A4346" s="7">
        <f>IFERROR(Datos!A4346,"")</f>
        <v/>
      </c>
      <c r="B4346" s="8">
        <f>IFERROR(Datos!B4346,"")</f>
        <v/>
      </c>
      <c r="C4346" s="8">
        <f>IFERROR(Datos!C4346,"")</f>
        <v/>
      </c>
      <c r="D4346" s="28">
        <f>IFERROR(IF(AND(ISNUMBER(B4346),ISNUMBER(B4345),B4345&lt;&gt;0),B4346/B4345-1,""),"")</f>
        <v/>
      </c>
      <c r="E4346" s="28">
        <f>IFERROR(IF(AND(ISNUMBER(C4346),ISNUMBER(C4345),C4345&lt;&gt;0),C4346/C4345-1,""),"")</f>
        <v/>
      </c>
      <c r="F4346" s="28">
        <f>IFERROR(D4346-Dashboard!$B$4/252,"")</f>
        <v/>
      </c>
      <c r="G4346" s="28">
        <f>IFERROR(E4346-Dashboard!$B$4/252,"")</f>
        <v/>
      </c>
      <c r="H4346" s="8">
        <f>IFERROR(IF(ISNUMBER(B4346),MAX(B4346,IFERROR(H4345,B4346)),""),"")</f>
        <v/>
      </c>
      <c r="I4346" s="29">
        <f>IFERROR(IF(AND(ISNUMBER(B4346),ISNUMBER(H4346)),B4346/H4346-1,""),"")</f>
        <v/>
      </c>
      <c r="J4346" s="8">
        <f>IFERROR(IF(ISNUMBER(C4346),MAX(C4346,IFERROR(J4345,C4346)),""),"")</f>
        <v/>
      </c>
      <c r="K4346" s="29">
        <f>IFERROR(IF(AND(ISNUMBER(C4346),ISNUMBER(J4346)),C4346/J4346-1,""),"")</f>
        <v/>
      </c>
      <c r="L4346" s="28">
        <f>IFERROR(IF(AND(ISNUMBER(D4346),ISNUMBER(E4346)),D4346-E4346,""),"")</f>
        <v/>
      </c>
    </row>
    <row r="4347">
      <c r="A4347" s="7">
        <f>IFERROR(Datos!A4347,"")</f>
        <v/>
      </c>
      <c r="B4347" s="8">
        <f>IFERROR(Datos!B4347,"")</f>
        <v/>
      </c>
      <c r="C4347" s="8">
        <f>IFERROR(Datos!C4347,"")</f>
        <v/>
      </c>
      <c r="D4347" s="28">
        <f>IFERROR(IF(AND(ISNUMBER(B4347),ISNUMBER(B4346),B4346&lt;&gt;0),B4347/B4346-1,""),"")</f>
        <v/>
      </c>
      <c r="E4347" s="28">
        <f>IFERROR(IF(AND(ISNUMBER(C4347),ISNUMBER(C4346),C4346&lt;&gt;0),C4347/C4346-1,""),"")</f>
        <v/>
      </c>
      <c r="F4347" s="28">
        <f>IFERROR(D4347-Dashboard!$B$4/252,"")</f>
        <v/>
      </c>
      <c r="G4347" s="28">
        <f>IFERROR(E4347-Dashboard!$B$4/252,"")</f>
        <v/>
      </c>
      <c r="H4347" s="8">
        <f>IFERROR(IF(ISNUMBER(B4347),MAX(B4347,IFERROR(H4346,B4347)),""),"")</f>
        <v/>
      </c>
      <c r="I4347" s="29">
        <f>IFERROR(IF(AND(ISNUMBER(B4347),ISNUMBER(H4347)),B4347/H4347-1,""),"")</f>
        <v/>
      </c>
      <c r="J4347" s="8">
        <f>IFERROR(IF(ISNUMBER(C4347),MAX(C4347,IFERROR(J4346,C4347)),""),"")</f>
        <v/>
      </c>
      <c r="K4347" s="29">
        <f>IFERROR(IF(AND(ISNUMBER(C4347),ISNUMBER(J4347)),C4347/J4347-1,""),"")</f>
        <v/>
      </c>
      <c r="L4347" s="28">
        <f>IFERROR(IF(AND(ISNUMBER(D4347),ISNUMBER(E4347)),D4347-E4347,""),"")</f>
        <v/>
      </c>
    </row>
    <row r="4348">
      <c r="A4348" s="7">
        <f>IFERROR(Datos!A4348,"")</f>
        <v/>
      </c>
      <c r="B4348" s="8">
        <f>IFERROR(Datos!B4348,"")</f>
        <v/>
      </c>
      <c r="C4348" s="8">
        <f>IFERROR(Datos!C4348,"")</f>
        <v/>
      </c>
      <c r="D4348" s="28">
        <f>IFERROR(IF(AND(ISNUMBER(B4348),ISNUMBER(B4347),B4347&lt;&gt;0),B4348/B4347-1,""),"")</f>
        <v/>
      </c>
      <c r="E4348" s="28">
        <f>IFERROR(IF(AND(ISNUMBER(C4348),ISNUMBER(C4347),C4347&lt;&gt;0),C4348/C4347-1,""),"")</f>
        <v/>
      </c>
      <c r="F4348" s="28">
        <f>IFERROR(D4348-Dashboard!$B$4/252,"")</f>
        <v/>
      </c>
      <c r="G4348" s="28">
        <f>IFERROR(E4348-Dashboard!$B$4/252,"")</f>
        <v/>
      </c>
      <c r="H4348" s="8">
        <f>IFERROR(IF(ISNUMBER(B4348),MAX(B4348,IFERROR(H4347,B4348)),""),"")</f>
        <v/>
      </c>
      <c r="I4348" s="29">
        <f>IFERROR(IF(AND(ISNUMBER(B4348),ISNUMBER(H4348)),B4348/H4348-1,""),"")</f>
        <v/>
      </c>
      <c r="J4348" s="8">
        <f>IFERROR(IF(ISNUMBER(C4348),MAX(C4348,IFERROR(J4347,C4348)),""),"")</f>
        <v/>
      </c>
      <c r="K4348" s="29">
        <f>IFERROR(IF(AND(ISNUMBER(C4348),ISNUMBER(J4348)),C4348/J4348-1,""),"")</f>
        <v/>
      </c>
      <c r="L4348" s="28">
        <f>IFERROR(IF(AND(ISNUMBER(D4348),ISNUMBER(E4348)),D4348-E4348,""),"")</f>
        <v/>
      </c>
    </row>
    <row r="4349">
      <c r="A4349" s="7">
        <f>IFERROR(Datos!A4349,"")</f>
        <v/>
      </c>
      <c r="B4349" s="8">
        <f>IFERROR(Datos!B4349,"")</f>
        <v/>
      </c>
      <c r="C4349" s="8">
        <f>IFERROR(Datos!C4349,"")</f>
        <v/>
      </c>
      <c r="D4349" s="28">
        <f>IFERROR(IF(AND(ISNUMBER(B4349),ISNUMBER(B4348),B4348&lt;&gt;0),B4349/B4348-1,""),"")</f>
        <v/>
      </c>
      <c r="E4349" s="28">
        <f>IFERROR(IF(AND(ISNUMBER(C4349),ISNUMBER(C4348),C4348&lt;&gt;0),C4349/C4348-1,""),"")</f>
        <v/>
      </c>
      <c r="F4349" s="28">
        <f>IFERROR(D4349-Dashboard!$B$4/252,"")</f>
        <v/>
      </c>
      <c r="G4349" s="28">
        <f>IFERROR(E4349-Dashboard!$B$4/252,"")</f>
        <v/>
      </c>
      <c r="H4349" s="8">
        <f>IFERROR(IF(ISNUMBER(B4349),MAX(B4349,IFERROR(H4348,B4349)),""),"")</f>
        <v/>
      </c>
      <c r="I4349" s="29">
        <f>IFERROR(IF(AND(ISNUMBER(B4349),ISNUMBER(H4349)),B4349/H4349-1,""),"")</f>
        <v/>
      </c>
      <c r="J4349" s="8">
        <f>IFERROR(IF(ISNUMBER(C4349),MAX(C4349,IFERROR(J4348,C4349)),""),"")</f>
        <v/>
      </c>
      <c r="K4349" s="29">
        <f>IFERROR(IF(AND(ISNUMBER(C4349),ISNUMBER(J4349)),C4349/J4349-1,""),"")</f>
        <v/>
      </c>
      <c r="L4349" s="28">
        <f>IFERROR(IF(AND(ISNUMBER(D4349),ISNUMBER(E4349)),D4349-E4349,""),"")</f>
        <v/>
      </c>
    </row>
    <row r="4350">
      <c r="A4350" s="7">
        <f>IFERROR(Datos!A4350,"")</f>
        <v/>
      </c>
      <c r="B4350" s="8">
        <f>IFERROR(Datos!B4350,"")</f>
        <v/>
      </c>
      <c r="C4350" s="8">
        <f>IFERROR(Datos!C4350,"")</f>
        <v/>
      </c>
      <c r="D4350" s="28">
        <f>IFERROR(IF(AND(ISNUMBER(B4350),ISNUMBER(B4349),B4349&lt;&gt;0),B4350/B4349-1,""),"")</f>
        <v/>
      </c>
      <c r="E4350" s="28">
        <f>IFERROR(IF(AND(ISNUMBER(C4350),ISNUMBER(C4349),C4349&lt;&gt;0),C4350/C4349-1,""),"")</f>
        <v/>
      </c>
      <c r="F4350" s="28">
        <f>IFERROR(D4350-Dashboard!$B$4/252,"")</f>
        <v/>
      </c>
      <c r="G4350" s="28">
        <f>IFERROR(E4350-Dashboard!$B$4/252,"")</f>
        <v/>
      </c>
      <c r="H4350" s="8">
        <f>IFERROR(IF(ISNUMBER(B4350),MAX(B4350,IFERROR(H4349,B4350)),""),"")</f>
        <v/>
      </c>
      <c r="I4350" s="29">
        <f>IFERROR(IF(AND(ISNUMBER(B4350),ISNUMBER(H4350)),B4350/H4350-1,""),"")</f>
        <v/>
      </c>
      <c r="J4350" s="8">
        <f>IFERROR(IF(ISNUMBER(C4350),MAX(C4350,IFERROR(J4349,C4350)),""),"")</f>
        <v/>
      </c>
      <c r="K4350" s="29">
        <f>IFERROR(IF(AND(ISNUMBER(C4350),ISNUMBER(J4350)),C4350/J4350-1,""),"")</f>
        <v/>
      </c>
      <c r="L4350" s="28">
        <f>IFERROR(IF(AND(ISNUMBER(D4350),ISNUMBER(E4350)),D4350-E4350,""),"")</f>
        <v/>
      </c>
    </row>
    <row r="4351">
      <c r="A4351" s="7">
        <f>IFERROR(Datos!A4351,"")</f>
        <v/>
      </c>
      <c r="B4351" s="8">
        <f>IFERROR(Datos!B4351,"")</f>
        <v/>
      </c>
      <c r="C4351" s="8">
        <f>IFERROR(Datos!C4351,"")</f>
        <v/>
      </c>
      <c r="D4351" s="28">
        <f>IFERROR(IF(AND(ISNUMBER(B4351),ISNUMBER(B4350),B4350&lt;&gt;0),B4351/B4350-1,""),"")</f>
        <v/>
      </c>
      <c r="E4351" s="28">
        <f>IFERROR(IF(AND(ISNUMBER(C4351),ISNUMBER(C4350),C4350&lt;&gt;0),C4351/C4350-1,""),"")</f>
        <v/>
      </c>
      <c r="F4351" s="28">
        <f>IFERROR(D4351-Dashboard!$B$4/252,"")</f>
        <v/>
      </c>
      <c r="G4351" s="28">
        <f>IFERROR(E4351-Dashboard!$B$4/252,"")</f>
        <v/>
      </c>
      <c r="H4351" s="8">
        <f>IFERROR(IF(ISNUMBER(B4351),MAX(B4351,IFERROR(H4350,B4351)),""),"")</f>
        <v/>
      </c>
      <c r="I4351" s="29">
        <f>IFERROR(IF(AND(ISNUMBER(B4351),ISNUMBER(H4351)),B4351/H4351-1,""),"")</f>
        <v/>
      </c>
      <c r="J4351" s="8">
        <f>IFERROR(IF(ISNUMBER(C4351),MAX(C4351,IFERROR(J4350,C4351)),""),"")</f>
        <v/>
      </c>
      <c r="K4351" s="29">
        <f>IFERROR(IF(AND(ISNUMBER(C4351),ISNUMBER(J4351)),C4351/J4351-1,""),"")</f>
        <v/>
      </c>
      <c r="L4351" s="28">
        <f>IFERROR(IF(AND(ISNUMBER(D4351),ISNUMBER(E4351)),D4351-E4351,""),"")</f>
        <v/>
      </c>
    </row>
    <row r="4352">
      <c r="A4352" s="7">
        <f>IFERROR(Datos!A4352,"")</f>
        <v/>
      </c>
      <c r="B4352" s="8">
        <f>IFERROR(Datos!B4352,"")</f>
        <v/>
      </c>
      <c r="C4352" s="8">
        <f>IFERROR(Datos!C4352,"")</f>
        <v/>
      </c>
      <c r="D4352" s="28">
        <f>IFERROR(IF(AND(ISNUMBER(B4352),ISNUMBER(B4351),B4351&lt;&gt;0),B4352/B4351-1,""),"")</f>
        <v/>
      </c>
      <c r="E4352" s="28">
        <f>IFERROR(IF(AND(ISNUMBER(C4352),ISNUMBER(C4351),C4351&lt;&gt;0),C4352/C4351-1,""),"")</f>
        <v/>
      </c>
      <c r="F4352" s="28">
        <f>IFERROR(D4352-Dashboard!$B$4/252,"")</f>
        <v/>
      </c>
      <c r="G4352" s="28">
        <f>IFERROR(E4352-Dashboard!$B$4/252,"")</f>
        <v/>
      </c>
      <c r="H4352" s="8">
        <f>IFERROR(IF(ISNUMBER(B4352),MAX(B4352,IFERROR(H4351,B4352)),""),"")</f>
        <v/>
      </c>
      <c r="I4352" s="29">
        <f>IFERROR(IF(AND(ISNUMBER(B4352),ISNUMBER(H4352)),B4352/H4352-1,""),"")</f>
        <v/>
      </c>
      <c r="J4352" s="8">
        <f>IFERROR(IF(ISNUMBER(C4352),MAX(C4352,IFERROR(J4351,C4352)),""),"")</f>
        <v/>
      </c>
      <c r="K4352" s="29">
        <f>IFERROR(IF(AND(ISNUMBER(C4352),ISNUMBER(J4352)),C4352/J4352-1,""),"")</f>
        <v/>
      </c>
      <c r="L4352" s="28">
        <f>IFERROR(IF(AND(ISNUMBER(D4352),ISNUMBER(E4352)),D4352-E4352,""),"")</f>
        <v/>
      </c>
    </row>
    <row r="4353">
      <c r="A4353" s="7">
        <f>IFERROR(Datos!A4353,"")</f>
        <v/>
      </c>
      <c r="B4353" s="8">
        <f>IFERROR(Datos!B4353,"")</f>
        <v/>
      </c>
      <c r="C4353" s="8">
        <f>IFERROR(Datos!C4353,"")</f>
        <v/>
      </c>
      <c r="D4353" s="28">
        <f>IFERROR(IF(AND(ISNUMBER(B4353),ISNUMBER(B4352),B4352&lt;&gt;0),B4353/B4352-1,""),"")</f>
        <v/>
      </c>
      <c r="E4353" s="28">
        <f>IFERROR(IF(AND(ISNUMBER(C4353),ISNUMBER(C4352),C4352&lt;&gt;0),C4353/C4352-1,""),"")</f>
        <v/>
      </c>
      <c r="F4353" s="28">
        <f>IFERROR(D4353-Dashboard!$B$4/252,"")</f>
        <v/>
      </c>
      <c r="G4353" s="28">
        <f>IFERROR(E4353-Dashboard!$B$4/252,"")</f>
        <v/>
      </c>
      <c r="H4353" s="8">
        <f>IFERROR(IF(ISNUMBER(B4353),MAX(B4353,IFERROR(H4352,B4353)),""),"")</f>
        <v/>
      </c>
      <c r="I4353" s="29">
        <f>IFERROR(IF(AND(ISNUMBER(B4353),ISNUMBER(H4353)),B4353/H4353-1,""),"")</f>
        <v/>
      </c>
      <c r="J4353" s="8">
        <f>IFERROR(IF(ISNUMBER(C4353),MAX(C4353,IFERROR(J4352,C4353)),""),"")</f>
        <v/>
      </c>
      <c r="K4353" s="29">
        <f>IFERROR(IF(AND(ISNUMBER(C4353),ISNUMBER(J4353)),C4353/J4353-1,""),"")</f>
        <v/>
      </c>
      <c r="L4353" s="28">
        <f>IFERROR(IF(AND(ISNUMBER(D4353),ISNUMBER(E4353)),D4353-E4353,""),"")</f>
        <v/>
      </c>
    </row>
    <row r="4354">
      <c r="A4354" s="7">
        <f>IFERROR(Datos!A4354,"")</f>
        <v/>
      </c>
      <c r="B4354" s="8">
        <f>IFERROR(Datos!B4354,"")</f>
        <v/>
      </c>
      <c r="C4354" s="8">
        <f>IFERROR(Datos!C4354,"")</f>
        <v/>
      </c>
      <c r="D4354" s="28">
        <f>IFERROR(IF(AND(ISNUMBER(B4354),ISNUMBER(B4353),B4353&lt;&gt;0),B4354/B4353-1,""),"")</f>
        <v/>
      </c>
      <c r="E4354" s="28">
        <f>IFERROR(IF(AND(ISNUMBER(C4354),ISNUMBER(C4353),C4353&lt;&gt;0),C4354/C4353-1,""),"")</f>
        <v/>
      </c>
      <c r="F4354" s="28">
        <f>IFERROR(D4354-Dashboard!$B$4/252,"")</f>
        <v/>
      </c>
      <c r="G4354" s="28">
        <f>IFERROR(E4354-Dashboard!$B$4/252,"")</f>
        <v/>
      </c>
      <c r="H4354" s="8">
        <f>IFERROR(IF(ISNUMBER(B4354),MAX(B4354,IFERROR(H4353,B4354)),""),"")</f>
        <v/>
      </c>
      <c r="I4354" s="29">
        <f>IFERROR(IF(AND(ISNUMBER(B4354),ISNUMBER(H4354)),B4354/H4354-1,""),"")</f>
        <v/>
      </c>
      <c r="J4354" s="8">
        <f>IFERROR(IF(ISNUMBER(C4354),MAX(C4354,IFERROR(J4353,C4354)),""),"")</f>
        <v/>
      </c>
      <c r="K4354" s="29">
        <f>IFERROR(IF(AND(ISNUMBER(C4354),ISNUMBER(J4354)),C4354/J4354-1,""),"")</f>
        <v/>
      </c>
      <c r="L4354" s="28">
        <f>IFERROR(IF(AND(ISNUMBER(D4354),ISNUMBER(E4354)),D4354-E4354,""),"")</f>
        <v/>
      </c>
    </row>
    <row r="4355">
      <c r="A4355" s="7">
        <f>IFERROR(Datos!A4355,"")</f>
        <v/>
      </c>
      <c r="B4355" s="8">
        <f>IFERROR(Datos!B4355,"")</f>
        <v/>
      </c>
      <c r="C4355" s="8">
        <f>IFERROR(Datos!C4355,"")</f>
        <v/>
      </c>
      <c r="D4355" s="28">
        <f>IFERROR(IF(AND(ISNUMBER(B4355),ISNUMBER(B4354),B4354&lt;&gt;0),B4355/B4354-1,""),"")</f>
        <v/>
      </c>
      <c r="E4355" s="28">
        <f>IFERROR(IF(AND(ISNUMBER(C4355),ISNUMBER(C4354),C4354&lt;&gt;0),C4355/C4354-1,""),"")</f>
        <v/>
      </c>
      <c r="F4355" s="28">
        <f>IFERROR(D4355-Dashboard!$B$4/252,"")</f>
        <v/>
      </c>
      <c r="G4355" s="28">
        <f>IFERROR(E4355-Dashboard!$B$4/252,"")</f>
        <v/>
      </c>
      <c r="H4355" s="8">
        <f>IFERROR(IF(ISNUMBER(B4355),MAX(B4355,IFERROR(H4354,B4355)),""),"")</f>
        <v/>
      </c>
      <c r="I4355" s="29">
        <f>IFERROR(IF(AND(ISNUMBER(B4355),ISNUMBER(H4355)),B4355/H4355-1,""),"")</f>
        <v/>
      </c>
      <c r="J4355" s="8">
        <f>IFERROR(IF(ISNUMBER(C4355),MAX(C4355,IFERROR(J4354,C4355)),""),"")</f>
        <v/>
      </c>
      <c r="K4355" s="29">
        <f>IFERROR(IF(AND(ISNUMBER(C4355),ISNUMBER(J4355)),C4355/J4355-1,""),"")</f>
        <v/>
      </c>
      <c r="L4355" s="28">
        <f>IFERROR(IF(AND(ISNUMBER(D4355),ISNUMBER(E4355)),D4355-E4355,""),"")</f>
        <v/>
      </c>
    </row>
    <row r="4356">
      <c r="A4356" s="7">
        <f>IFERROR(Datos!A4356,"")</f>
        <v/>
      </c>
      <c r="B4356" s="8">
        <f>IFERROR(Datos!B4356,"")</f>
        <v/>
      </c>
      <c r="C4356" s="8">
        <f>IFERROR(Datos!C4356,"")</f>
        <v/>
      </c>
      <c r="D4356" s="28">
        <f>IFERROR(IF(AND(ISNUMBER(B4356),ISNUMBER(B4355),B4355&lt;&gt;0),B4356/B4355-1,""),"")</f>
        <v/>
      </c>
      <c r="E4356" s="28">
        <f>IFERROR(IF(AND(ISNUMBER(C4356),ISNUMBER(C4355),C4355&lt;&gt;0),C4356/C4355-1,""),"")</f>
        <v/>
      </c>
      <c r="F4356" s="28">
        <f>IFERROR(D4356-Dashboard!$B$4/252,"")</f>
        <v/>
      </c>
      <c r="G4356" s="28">
        <f>IFERROR(E4356-Dashboard!$B$4/252,"")</f>
        <v/>
      </c>
      <c r="H4356" s="8">
        <f>IFERROR(IF(ISNUMBER(B4356),MAX(B4356,IFERROR(H4355,B4356)),""),"")</f>
        <v/>
      </c>
      <c r="I4356" s="29">
        <f>IFERROR(IF(AND(ISNUMBER(B4356),ISNUMBER(H4356)),B4356/H4356-1,""),"")</f>
        <v/>
      </c>
      <c r="J4356" s="8">
        <f>IFERROR(IF(ISNUMBER(C4356),MAX(C4356,IFERROR(J4355,C4356)),""),"")</f>
        <v/>
      </c>
      <c r="K4356" s="29">
        <f>IFERROR(IF(AND(ISNUMBER(C4356),ISNUMBER(J4356)),C4356/J4356-1,""),"")</f>
        <v/>
      </c>
      <c r="L4356" s="28">
        <f>IFERROR(IF(AND(ISNUMBER(D4356),ISNUMBER(E4356)),D4356-E4356,""),"")</f>
        <v/>
      </c>
    </row>
    <row r="4357">
      <c r="A4357" s="7">
        <f>IFERROR(Datos!A4357,"")</f>
        <v/>
      </c>
      <c r="B4357" s="8">
        <f>IFERROR(Datos!B4357,"")</f>
        <v/>
      </c>
      <c r="C4357" s="8">
        <f>IFERROR(Datos!C4357,"")</f>
        <v/>
      </c>
      <c r="D4357" s="28">
        <f>IFERROR(IF(AND(ISNUMBER(B4357),ISNUMBER(B4356),B4356&lt;&gt;0),B4357/B4356-1,""),"")</f>
        <v/>
      </c>
      <c r="E4357" s="28">
        <f>IFERROR(IF(AND(ISNUMBER(C4357),ISNUMBER(C4356),C4356&lt;&gt;0),C4357/C4356-1,""),"")</f>
        <v/>
      </c>
      <c r="F4357" s="28">
        <f>IFERROR(D4357-Dashboard!$B$4/252,"")</f>
        <v/>
      </c>
      <c r="G4357" s="28">
        <f>IFERROR(E4357-Dashboard!$B$4/252,"")</f>
        <v/>
      </c>
      <c r="H4357" s="8">
        <f>IFERROR(IF(ISNUMBER(B4357),MAX(B4357,IFERROR(H4356,B4357)),""),"")</f>
        <v/>
      </c>
      <c r="I4357" s="29">
        <f>IFERROR(IF(AND(ISNUMBER(B4357),ISNUMBER(H4357)),B4357/H4357-1,""),"")</f>
        <v/>
      </c>
      <c r="J4357" s="8">
        <f>IFERROR(IF(ISNUMBER(C4357),MAX(C4357,IFERROR(J4356,C4357)),""),"")</f>
        <v/>
      </c>
      <c r="K4357" s="29">
        <f>IFERROR(IF(AND(ISNUMBER(C4357),ISNUMBER(J4357)),C4357/J4357-1,""),"")</f>
        <v/>
      </c>
      <c r="L4357" s="28">
        <f>IFERROR(IF(AND(ISNUMBER(D4357),ISNUMBER(E4357)),D4357-E4357,""),"")</f>
        <v/>
      </c>
    </row>
    <row r="4358">
      <c r="A4358" s="7">
        <f>IFERROR(Datos!A4358,"")</f>
        <v/>
      </c>
      <c r="B4358" s="8">
        <f>IFERROR(Datos!B4358,"")</f>
        <v/>
      </c>
      <c r="C4358" s="8">
        <f>IFERROR(Datos!C4358,"")</f>
        <v/>
      </c>
      <c r="D4358" s="28">
        <f>IFERROR(IF(AND(ISNUMBER(B4358),ISNUMBER(B4357),B4357&lt;&gt;0),B4358/B4357-1,""),"")</f>
        <v/>
      </c>
      <c r="E4358" s="28">
        <f>IFERROR(IF(AND(ISNUMBER(C4358),ISNUMBER(C4357),C4357&lt;&gt;0),C4358/C4357-1,""),"")</f>
        <v/>
      </c>
      <c r="F4358" s="28">
        <f>IFERROR(D4358-Dashboard!$B$4/252,"")</f>
        <v/>
      </c>
      <c r="G4358" s="28">
        <f>IFERROR(E4358-Dashboard!$B$4/252,"")</f>
        <v/>
      </c>
      <c r="H4358" s="8">
        <f>IFERROR(IF(ISNUMBER(B4358),MAX(B4358,IFERROR(H4357,B4358)),""),"")</f>
        <v/>
      </c>
      <c r="I4358" s="29">
        <f>IFERROR(IF(AND(ISNUMBER(B4358),ISNUMBER(H4358)),B4358/H4358-1,""),"")</f>
        <v/>
      </c>
      <c r="J4358" s="8">
        <f>IFERROR(IF(ISNUMBER(C4358),MAX(C4358,IFERROR(J4357,C4358)),""),"")</f>
        <v/>
      </c>
      <c r="K4358" s="29">
        <f>IFERROR(IF(AND(ISNUMBER(C4358),ISNUMBER(J4358)),C4358/J4358-1,""),"")</f>
        <v/>
      </c>
      <c r="L4358" s="28">
        <f>IFERROR(IF(AND(ISNUMBER(D4358),ISNUMBER(E4358)),D4358-E4358,""),"")</f>
        <v/>
      </c>
    </row>
    <row r="4359">
      <c r="A4359" s="7">
        <f>IFERROR(Datos!A4359,"")</f>
        <v/>
      </c>
      <c r="B4359" s="8">
        <f>IFERROR(Datos!B4359,"")</f>
        <v/>
      </c>
      <c r="C4359" s="8">
        <f>IFERROR(Datos!C4359,"")</f>
        <v/>
      </c>
      <c r="D4359" s="28">
        <f>IFERROR(IF(AND(ISNUMBER(B4359),ISNUMBER(B4358),B4358&lt;&gt;0),B4359/B4358-1,""),"")</f>
        <v/>
      </c>
      <c r="E4359" s="28">
        <f>IFERROR(IF(AND(ISNUMBER(C4359),ISNUMBER(C4358),C4358&lt;&gt;0),C4359/C4358-1,""),"")</f>
        <v/>
      </c>
      <c r="F4359" s="28">
        <f>IFERROR(D4359-Dashboard!$B$4/252,"")</f>
        <v/>
      </c>
      <c r="G4359" s="28">
        <f>IFERROR(E4359-Dashboard!$B$4/252,"")</f>
        <v/>
      </c>
      <c r="H4359" s="8">
        <f>IFERROR(IF(ISNUMBER(B4359),MAX(B4359,IFERROR(H4358,B4359)),""),"")</f>
        <v/>
      </c>
      <c r="I4359" s="29">
        <f>IFERROR(IF(AND(ISNUMBER(B4359),ISNUMBER(H4359)),B4359/H4359-1,""),"")</f>
        <v/>
      </c>
      <c r="J4359" s="8">
        <f>IFERROR(IF(ISNUMBER(C4359),MAX(C4359,IFERROR(J4358,C4359)),""),"")</f>
        <v/>
      </c>
      <c r="K4359" s="29">
        <f>IFERROR(IF(AND(ISNUMBER(C4359),ISNUMBER(J4359)),C4359/J4359-1,""),"")</f>
        <v/>
      </c>
      <c r="L4359" s="28">
        <f>IFERROR(IF(AND(ISNUMBER(D4359),ISNUMBER(E4359)),D4359-E4359,""),"")</f>
        <v/>
      </c>
    </row>
    <row r="4360">
      <c r="A4360" s="7">
        <f>IFERROR(Datos!A4360,"")</f>
        <v/>
      </c>
      <c r="B4360" s="8">
        <f>IFERROR(Datos!B4360,"")</f>
        <v/>
      </c>
      <c r="C4360" s="8">
        <f>IFERROR(Datos!C4360,"")</f>
        <v/>
      </c>
      <c r="D4360" s="28">
        <f>IFERROR(IF(AND(ISNUMBER(B4360),ISNUMBER(B4359),B4359&lt;&gt;0),B4360/B4359-1,""),"")</f>
        <v/>
      </c>
      <c r="E4360" s="28">
        <f>IFERROR(IF(AND(ISNUMBER(C4360),ISNUMBER(C4359),C4359&lt;&gt;0),C4360/C4359-1,""),"")</f>
        <v/>
      </c>
      <c r="F4360" s="28">
        <f>IFERROR(D4360-Dashboard!$B$4/252,"")</f>
        <v/>
      </c>
      <c r="G4360" s="28">
        <f>IFERROR(E4360-Dashboard!$B$4/252,"")</f>
        <v/>
      </c>
      <c r="H4360" s="8">
        <f>IFERROR(IF(ISNUMBER(B4360),MAX(B4360,IFERROR(H4359,B4360)),""),"")</f>
        <v/>
      </c>
      <c r="I4360" s="29">
        <f>IFERROR(IF(AND(ISNUMBER(B4360),ISNUMBER(H4360)),B4360/H4360-1,""),"")</f>
        <v/>
      </c>
      <c r="J4360" s="8">
        <f>IFERROR(IF(ISNUMBER(C4360),MAX(C4360,IFERROR(J4359,C4360)),""),"")</f>
        <v/>
      </c>
      <c r="K4360" s="29">
        <f>IFERROR(IF(AND(ISNUMBER(C4360),ISNUMBER(J4360)),C4360/J4360-1,""),"")</f>
        <v/>
      </c>
      <c r="L4360" s="28">
        <f>IFERROR(IF(AND(ISNUMBER(D4360),ISNUMBER(E4360)),D4360-E4360,""),"")</f>
        <v/>
      </c>
    </row>
    <row r="4361">
      <c r="A4361" s="7">
        <f>IFERROR(Datos!A4361,"")</f>
        <v/>
      </c>
      <c r="B4361" s="8">
        <f>IFERROR(Datos!B4361,"")</f>
        <v/>
      </c>
      <c r="C4361" s="8">
        <f>IFERROR(Datos!C4361,"")</f>
        <v/>
      </c>
      <c r="D4361" s="28">
        <f>IFERROR(IF(AND(ISNUMBER(B4361),ISNUMBER(B4360),B4360&lt;&gt;0),B4361/B4360-1,""),"")</f>
        <v/>
      </c>
      <c r="E4361" s="28">
        <f>IFERROR(IF(AND(ISNUMBER(C4361),ISNUMBER(C4360),C4360&lt;&gt;0),C4361/C4360-1,""),"")</f>
        <v/>
      </c>
      <c r="F4361" s="28">
        <f>IFERROR(D4361-Dashboard!$B$4/252,"")</f>
        <v/>
      </c>
      <c r="G4361" s="28">
        <f>IFERROR(E4361-Dashboard!$B$4/252,"")</f>
        <v/>
      </c>
      <c r="H4361" s="8">
        <f>IFERROR(IF(ISNUMBER(B4361),MAX(B4361,IFERROR(H4360,B4361)),""),"")</f>
        <v/>
      </c>
      <c r="I4361" s="29">
        <f>IFERROR(IF(AND(ISNUMBER(B4361),ISNUMBER(H4361)),B4361/H4361-1,""),"")</f>
        <v/>
      </c>
      <c r="J4361" s="8">
        <f>IFERROR(IF(ISNUMBER(C4361),MAX(C4361,IFERROR(J4360,C4361)),""),"")</f>
        <v/>
      </c>
      <c r="K4361" s="29">
        <f>IFERROR(IF(AND(ISNUMBER(C4361),ISNUMBER(J4361)),C4361/J4361-1,""),"")</f>
        <v/>
      </c>
      <c r="L4361" s="28">
        <f>IFERROR(IF(AND(ISNUMBER(D4361),ISNUMBER(E4361)),D4361-E4361,""),"")</f>
        <v/>
      </c>
    </row>
    <row r="4362">
      <c r="A4362" s="7">
        <f>IFERROR(Datos!A4362,"")</f>
        <v/>
      </c>
      <c r="B4362" s="8">
        <f>IFERROR(Datos!B4362,"")</f>
        <v/>
      </c>
      <c r="C4362" s="8">
        <f>IFERROR(Datos!C4362,"")</f>
        <v/>
      </c>
      <c r="D4362" s="28">
        <f>IFERROR(IF(AND(ISNUMBER(B4362),ISNUMBER(B4361),B4361&lt;&gt;0),B4362/B4361-1,""),"")</f>
        <v/>
      </c>
      <c r="E4362" s="28">
        <f>IFERROR(IF(AND(ISNUMBER(C4362),ISNUMBER(C4361),C4361&lt;&gt;0),C4362/C4361-1,""),"")</f>
        <v/>
      </c>
      <c r="F4362" s="28">
        <f>IFERROR(D4362-Dashboard!$B$4/252,"")</f>
        <v/>
      </c>
      <c r="G4362" s="28">
        <f>IFERROR(E4362-Dashboard!$B$4/252,"")</f>
        <v/>
      </c>
      <c r="H4362" s="8">
        <f>IFERROR(IF(ISNUMBER(B4362),MAX(B4362,IFERROR(H4361,B4362)),""),"")</f>
        <v/>
      </c>
      <c r="I4362" s="29">
        <f>IFERROR(IF(AND(ISNUMBER(B4362),ISNUMBER(H4362)),B4362/H4362-1,""),"")</f>
        <v/>
      </c>
      <c r="J4362" s="8">
        <f>IFERROR(IF(ISNUMBER(C4362),MAX(C4362,IFERROR(J4361,C4362)),""),"")</f>
        <v/>
      </c>
      <c r="K4362" s="29">
        <f>IFERROR(IF(AND(ISNUMBER(C4362),ISNUMBER(J4362)),C4362/J4362-1,""),"")</f>
        <v/>
      </c>
      <c r="L4362" s="28">
        <f>IFERROR(IF(AND(ISNUMBER(D4362),ISNUMBER(E4362)),D4362-E4362,""),"")</f>
        <v/>
      </c>
    </row>
    <row r="4363">
      <c r="A4363" s="7">
        <f>IFERROR(Datos!A4363,"")</f>
        <v/>
      </c>
      <c r="B4363" s="8">
        <f>IFERROR(Datos!B4363,"")</f>
        <v/>
      </c>
      <c r="C4363" s="8">
        <f>IFERROR(Datos!C4363,"")</f>
        <v/>
      </c>
      <c r="D4363" s="28">
        <f>IFERROR(IF(AND(ISNUMBER(B4363),ISNUMBER(B4362),B4362&lt;&gt;0),B4363/B4362-1,""),"")</f>
        <v/>
      </c>
      <c r="E4363" s="28">
        <f>IFERROR(IF(AND(ISNUMBER(C4363),ISNUMBER(C4362),C4362&lt;&gt;0),C4363/C4362-1,""),"")</f>
        <v/>
      </c>
      <c r="F4363" s="28">
        <f>IFERROR(D4363-Dashboard!$B$4/252,"")</f>
        <v/>
      </c>
      <c r="G4363" s="28">
        <f>IFERROR(E4363-Dashboard!$B$4/252,"")</f>
        <v/>
      </c>
      <c r="H4363" s="8">
        <f>IFERROR(IF(ISNUMBER(B4363),MAX(B4363,IFERROR(H4362,B4363)),""),"")</f>
        <v/>
      </c>
      <c r="I4363" s="29">
        <f>IFERROR(IF(AND(ISNUMBER(B4363),ISNUMBER(H4363)),B4363/H4363-1,""),"")</f>
        <v/>
      </c>
      <c r="J4363" s="8">
        <f>IFERROR(IF(ISNUMBER(C4363),MAX(C4363,IFERROR(J4362,C4363)),""),"")</f>
        <v/>
      </c>
      <c r="K4363" s="29">
        <f>IFERROR(IF(AND(ISNUMBER(C4363),ISNUMBER(J4363)),C4363/J4363-1,""),"")</f>
        <v/>
      </c>
      <c r="L4363" s="28">
        <f>IFERROR(IF(AND(ISNUMBER(D4363),ISNUMBER(E4363)),D4363-E4363,""),"")</f>
        <v/>
      </c>
    </row>
    <row r="4364">
      <c r="A4364" s="7">
        <f>IFERROR(Datos!A4364,"")</f>
        <v/>
      </c>
      <c r="B4364" s="8">
        <f>IFERROR(Datos!B4364,"")</f>
        <v/>
      </c>
      <c r="C4364" s="8">
        <f>IFERROR(Datos!C4364,"")</f>
        <v/>
      </c>
      <c r="D4364" s="28">
        <f>IFERROR(IF(AND(ISNUMBER(B4364),ISNUMBER(B4363),B4363&lt;&gt;0),B4364/B4363-1,""),"")</f>
        <v/>
      </c>
      <c r="E4364" s="28">
        <f>IFERROR(IF(AND(ISNUMBER(C4364),ISNUMBER(C4363),C4363&lt;&gt;0),C4364/C4363-1,""),"")</f>
        <v/>
      </c>
      <c r="F4364" s="28">
        <f>IFERROR(D4364-Dashboard!$B$4/252,"")</f>
        <v/>
      </c>
      <c r="G4364" s="28">
        <f>IFERROR(E4364-Dashboard!$B$4/252,"")</f>
        <v/>
      </c>
      <c r="H4364" s="8">
        <f>IFERROR(IF(ISNUMBER(B4364),MAX(B4364,IFERROR(H4363,B4364)),""),"")</f>
        <v/>
      </c>
      <c r="I4364" s="29">
        <f>IFERROR(IF(AND(ISNUMBER(B4364),ISNUMBER(H4364)),B4364/H4364-1,""),"")</f>
        <v/>
      </c>
      <c r="J4364" s="8">
        <f>IFERROR(IF(ISNUMBER(C4364),MAX(C4364,IFERROR(J4363,C4364)),""),"")</f>
        <v/>
      </c>
      <c r="K4364" s="29">
        <f>IFERROR(IF(AND(ISNUMBER(C4364),ISNUMBER(J4364)),C4364/J4364-1,""),"")</f>
        <v/>
      </c>
      <c r="L4364" s="28">
        <f>IFERROR(IF(AND(ISNUMBER(D4364),ISNUMBER(E4364)),D4364-E4364,""),"")</f>
        <v/>
      </c>
    </row>
    <row r="4365">
      <c r="A4365" s="7">
        <f>IFERROR(Datos!A4365,"")</f>
        <v/>
      </c>
      <c r="B4365" s="8">
        <f>IFERROR(Datos!B4365,"")</f>
        <v/>
      </c>
      <c r="C4365" s="8">
        <f>IFERROR(Datos!C4365,"")</f>
        <v/>
      </c>
      <c r="D4365" s="28">
        <f>IFERROR(IF(AND(ISNUMBER(B4365),ISNUMBER(B4364),B4364&lt;&gt;0),B4365/B4364-1,""),"")</f>
        <v/>
      </c>
      <c r="E4365" s="28">
        <f>IFERROR(IF(AND(ISNUMBER(C4365),ISNUMBER(C4364),C4364&lt;&gt;0),C4365/C4364-1,""),"")</f>
        <v/>
      </c>
      <c r="F4365" s="28">
        <f>IFERROR(D4365-Dashboard!$B$4/252,"")</f>
        <v/>
      </c>
      <c r="G4365" s="28">
        <f>IFERROR(E4365-Dashboard!$B$4/252,"")</f>
        <v/>
      </c>
      <c r="H4365" s="8">
        <f>IFERROR(IF(ISNUMBER(B4365),MAX(B4365,IFERROR(H4364,B4365)),""),"")</f>
        <v/>
      </c>
      <c r="I4365" s="29">
        <f>IFERROR(IF(AND(ISNUMBER(B4365),ISNUMBER(H4365)),B4365/H4365-1,""),"")</f>
        <v/>
      </c>
      <c r="J4365" s="8">
        <f>IFERROR(IF(ISNUMBER(C4365),MAX(C4365,IFERROR(J4364,C4365)),""),"")</f>
        <v/>
      </c>
      <c r="K4365" s="29">
        <f>IFERROR(IF(AND(ISNUMBER(C4365),ISNUMBER(J4365)),C4365/J4365-1,""),"")</f>
        <v/>
      </c>
      <c r="L4365" s="28">
        <f>IFERROR(IF(AND(ISNUMBER(D4365),ISNUMBER(E4365)),D4365-E4365,""),"")</f>
        <v/>
      </c>
    </row>
    <row r="4366">
      <c r="A4366" s="7">
        <f>IFERROR(Datos!A4366,"")</f>
        <v/>
      </c>
      <c r="B4366" s="8">
        <f>IFERROR(Datos!B4366,"")</f>
        <v/>
      </c>
      <c r="C4366" s="8">
        <f>IFERROR(Datos!C4366,"")</f>
        <v/>
      </c>
      <c r="D4366" s="28">
        <f>IFERROR(IF(AND(ISNUMBER(B4366),ISNUMBER(B4365),B4365&lt;&gt;0),B4366/B4365-1,""),"")</f>
        <v/>
      </c>
      <c r="E4366" s="28">
        <f>IFERROR(IF(AND(ISNUMBER(C4366),ISNUMBER(C4365),C4365&lt;&gt;0),C4366/C4365-1,""),"")</f>
        <v/>
      </c>
      <c r="F4366" s="28">
        <f>IFERROR(D4366-Dashboard!$B$4/252,"")</f>
        <v/>
      </c>
      <c r="G4366" s="28">
        <f>IFERROR(E4366-Dashboard!$B$4/252,"")</f>
        <v/>
      </c>
      <c r="H4366" s="8">
        <f>IFERROR(IF(ISNUMBER(B4366),MAX(B4366,IFERROR(H4365,B4366)),""),"")</f>
        <v/>
      </c>
      <c r="I4366" s="29">
        <f>IFERROR(IF(AND(ISNUMBER(B4366),ISNUMBER(H4366)),B4366/H4366-1,""),"")</f>
        <v/>
      </c>
      <c r="J4366" s="8">
        <f>IFERROR(IF(ISNUMBER(C4366),MAX(C4366,IFERROR(J4365,C4366)),""),"")</f>
        <v/>
      </c>
      <c r="K4366" s="29">
        <f>IFERROR(IF(AND(ISNUMBER(C4366),ISNUMBER(J4366)),C4366/J4366-1,""),"")</f>
        <v/>
      </c>
      <c r="L4366" s="28">
        <f>IFERROR(IF(AND(ISNUMBER(D4366),ISNUMBER(E4366)),D4366-E4366,""),"")</f>
        <v/>
      </c>
    </row>
    <row r="4367">
      <c r="A4367" s="7">
        <f>IFERROR(Datos!A4367,"")</f>
        <v/>
      </c>
      <c r="B4367" s="8">
        <f>IFERROR(Datos!B4367,"")</f>
        <v/>
      </c>
      <c r="C4367" s="8">
        <f>IFERROR(Datos!C4367,"")</f>
        <v/>
      </c>
      <c r="D4367" s="28">
        <f>IFERROR(IF(AND(ISNUMBER(B4367),ISNUMBER(B4366),B4366&lt;&gt;0),B4367/B4366-1,""),"")</f>
        <v/>
      </c>
      <c r="E4367" s="28">
        <f>IFERROR(IF(AND(ISNUMBER(C4367),ISNUMBER(C4366),C4366&lt;&gt;0),C4367/C4366-1,""),"")</f>
        <v/>
      </c>
      <c r="F4367" s="28">
        <f>IFERROR(D4367-Dashboard!$B$4/252,"")</f>
        <v/>
      </c>
      <c r="G4367" s="28">
        <f>IFERROR(E4367-Dashboard!$B$4/252,"")</f>
        <v/>
      </c>
      <c r="H4367" s="8">
        <f>IFERROR(IF(ISNUMBER(B4367),MAX(B4367,IFERROR(H4366,B4367)),""),"")</f>
        <v/>
      </c>
      <c r="I4367" s="29">
        <f>IFERROR(IF(AND(ISNUMBER(B4367),ISNUMBER(H4367)),B4367/H4367-1,""),"")</f>
        <v/>
      </c>
      <c r="J4367" s="8">
        <f>IFERROR(IF(ISNUMBER(C4367),MAX(C4367,IFERROR(J4366,C4367)),""),"")</f>
        <v/>
      </c>
      <c r="K4367" s="29">
        <f>IFERROR(IF(AND(ISNUMBER(C4367),ISNUMBER(J4367)),C4367/J4367-1,""),"")</f>
        <v/>
      </c>
      <c r="L4367" s="28">
        <f>IFERROR(IF(AND(ISNUMBER(D4367),ISNUMBER(E4367)),D4367-E4367,""),"")</f>
        <v/>
      </c>
    </row>
    <row r="4368">
      <c r="A4368" s="7">
        <f>IFERROR(Datos!A4368,"")</f>
        <v/>
      </c>
      <c r="B4368" s="8">
        <f>IFERROR(Datos!B4368,"")</f>
        <v/>
      </c>
      <c r="C4368" s="8">
        <f>IFERROR(Datos!C4368,"")</f>
        <v/>
      </c>
      <c r="D4368" s="28">
        <f>IFERROR(IF(AND(ISNUMBER(B4368),ISNUMBER(B4367),B4367&lt;&gt;0),B4368/B4367-1,""),"")</f>
        <v/>
      </c>
      <c r="E4368" s="28">
        <f>IFERROR(IF(AND(ISNUMBER(C4368),ISNUMBER(C4367),C4367&lt;&gt;0),C4368/C4367-1,""),"")</f>
        <v/>
      </c>
      <c r="F4368" s="28">
        <f>IFERROR(D4368-Dashboard!$B$4/252,"")</f>
        <v/>
      </c>
      <c r="G4368" s="28">
        <f>IFERROR(E4368-Dashboard!$B$4/252,"")</f>
        <v/>
      </c>
      <c r="H4368" s="8">
        <f>IFERROR(IF(ISNUMBER(B4368),MAX(B4368,IFERROR(H4367,B4368)),""),"")</f>
        <v/>
      </c>
      <c r="I4368" s="29">
        <f>IFERROR(IF(AND(ISNUMBER(B4368),ISNUMBER(H4368)),B4368/H4368-1,""),"")</f>
        <v/>
      </c>
      <c r="J4368" s="8">
        <f>IFERROR(IF(ISNUMBER(C4368),MAX(C4368,IFERROR(J4367,C4368)),""),"")</f>
        <v/>
      </c>
      <c r="K4368" s="29">
        <f>IFERROR(IF(AND(ISNUMBER(C4368),ISNUMBER(J4368)),C4368/J4368-1,""),"")</f>
        <v/>
      </c>
      <c r="L4368" s="28">
        <f>IFERROR(IF(AND(ISNUMBER(D4368),ISNUMBER(E4368)),D4368-E4368,""),"")</f>
        <v/>
      </c>
    </row>
    <row r="4369">
      <c r="A4369" s="7">
        <f>IFERROR(Datos!A4369,"")</f>
        <v/>
      </c>
      <c r="B4369" s="8">
        <f>IFERROR(Datos!B4369,"")</f>
        <v/>
      </c>
      <c r="C4369" s="8">
        <f>IFERROR(Datos!C4369,"")</f>
        <v/>
      </c>
      <c r="D4369" s="28">
        <f>IFERROR(IF(AND(ISNUMBER(B4369),ISNUMBER(B4368),B4368&lt;&gt;0),B4369/B4368-1,""),"")</f>
        <v/>
      </c>
      <c r="E4369" s="28">
        <f>IFERROR(IF(AND(ISNUMBER(C4369),ISNUMBER(C4368),C4368&lt;&gt;0),C4369/C4368-1,""),"")</f>
        <v/>
      </c>
      <c r="F4369" s="28">
        <f>IFERROR(D4369-Dashboard!$B$4/252,"")</f>
        <v/>
      </c>
      <c r="G4369" s="28">
        <f>IFERROR(E4369-Dashboard!$B$4/252,"")</f>
        <v/>
      </c>
      <c r="H4369" s="8">
        <f>IFERROR(IF(ISNUMBER(B4369),MAX(B4369,IFERROR(H4368,B4369)),""),"")</f>
        <v/>
      </c>
      <c r="I4369" s="29">
        <f>IFERROR(IF(AND(ISNUMBER(B4369),ISNUMBER(H4369)),B4369/H4369-1,""),"")</f>
        <v/>
      </c>
      <c r="J4369" s="8">
        <f>IFERROR(IF(ISNUMBER(C4369),MAX(C4369,IFERROR(J4368,C4369)),""),"")</f>
        <v/>
      </c>
      <c r="K4369" s="29">
        <f>IFERROR(IF(AND(ISNUMBER(C4369),ISNUMBER(J4369)),C4369/J4369-1,""),"")</f>
        <v/>
      </c>
      <c r="L4369" s="28">
        <f>IFERROR(IF(AND(ISNUMBER(D4369),ISNUMBER(E4369)),D4369-E4369,""),"")</f>
        <v/>
      </c>
    </row>
    <row r="4370">
      <c r="A4370" s="7">
        <f>IFERROR(Datos!A4370,"")</f>
        <v/>
      </c>
      <c r="B4370" s="8">
        <f>IFERROR(Datos!B4370,"")</f>
        <v/>
      </c>
      <c r="C4370" s="8">
        <f>IFERROR(Datos!C4370,"")</f>
        <v/>
      </c>
      <c r="D4370" s="28">
        <f>IFERROR(IF(AND(ISNUMBER(B4370),ISNUMBER(B4369),B4369&lt;&gt;0),B4370/B4369-1,""),"")</f>
        <v/>
      </c>
      <c r="E4370" s="28">
        <f>IFERROR(IF(AND(ISNUMBER(C4370),ISNUMBER(C4369),C4369&lt;&gt;0),C4370/C4369-1,""),"")</f>
        <v/>
      </c>
      <c r="F4370" s="28">
        <f>IFERROR(D4370-Dashboard!$B$4/252,"")</f>
        <v/>
      </c>
      <c r="G4370" s="28">
        <f>IFERROR(E4370-Dashboard!$B$4/252,"")</f>
        <v/>
      </c>
      <c r="H4370" s="8">
        <f>IFERROR(IF(ISNUMBER(B4370),MAX(B4370,IFERROR(H4369,B4370)),""),"")</f>
        <v/>
      </c>
      <c r="I4370" s="29">
        <f>IFERROR(IF(AND(ISNUMBER(B4370),ISNUMBER(H4370)),B4370/H4370-1,""),"")</f>
        <v/>
      </c>
      <c r="J4370" s="8">
        <f>IFERROR(IF(ISNUMBER(C4370),MAX(C4370,IFERROR(J4369,C4370)),""),"")</f>
        <v/>
      </c>
      <c r="K4370" s="29">
        <f>IFERROR(IF(AND(ISNUMBER(C4370),ISNUMBER(J4370)),C4370/J4370-1,""),"")</f>
        <v/>
      </c>
      <c r="L4370" s="28">
        <f>IFERROR(IF(AND(ISNUMBER(D4370),ISNUMBER(E4370)),D4370-E4370,""),"")</f>
        <v/>
      </c>
    </row>
    <row r="4371">
      <c r="A4371" s="7">
        <f>IFERROR(Datos!A4371,"")</f>
        <v/>
      </c>
      <c r="B4371" s="8">
        <f>IFERROR(Datos!B4371,"")</f>
        <v/>
      </c>
      <c r="C4371" s="8">
        <f>IFERROR(Datos!C4371,"")</f>
        <v/>
      </c>
      <c r="D4371" s="28">
        <f>IFERROR(IF(AND(ISNUMBER(B4371),ISNUMBER(B4370),B4370&lt;&gt;0),B4371/B4370-1,""),"")</f>
        <v/>
      </c>
      <c r="E4371" s="28">
        <f>IFERROR(IF(AND(ISNUMBER(C4371),ISNUMBER(C4370),C4370&lt;&gt;0),C4371/C4370-1,""),"")</f>
        <v/>
      </c>
      <c r="F4371" s="28">
        <f>IFERROR(D4371-Dashboard!$B$4/252,"")</f>
        <v/>
      </c>
      <c r="G4371" s="28">
        <f>IFERROR(E4371-Dashboard!$B$4/252,"")</f>
        <v/>
      </c>
      <c r="H4371" s="8">
        <f>IFERROR(IF(ISNUMBER(B4371),MAX(B4371,IFERROR(H4370,B4371)),""),"")</f>
        <v/>
      </c>
      <c r="I4371" s="29">
        <f>IFERROR(IF(AND(ISNUMBER(B4371),ISNUMBER(H4371)),B4371/H4371-1,""),"")</f>
        <v/>
      </c>
      <c r="J4371" s="8">
        <f>IFERROR(IF(ISNUMBER(C4371),MAX(C4371,IFERROR(J4370,C4371)),""),"")</f>
        <v/>
      </c>
      <c r="K4371" s="29">
        <f>IFERROR(IF(AND(ISNUMBER(C4371),ISNUMBER(J4371)),C4371/J4371-1,""),"")</f>
        <v/>
      </c>
      <c r="L4371" s="28">
        <f>IFERROR(IF(AND(ISNUMBER(D4371),ISNUMBER(E4371)),D4371-E4371,""),"")</f>
        <v/>
      </c>
    </row>
    <row r="4372">
      <c r="A4372" s="7">
        <f>IFERROR(Datos!A4372,"")</f>
        <v/>
      </c>
      <c r="B4372" s="8">
        <f>IFERROR(Datos!B4372,"")</f>
        <v/>
      </c>
      <c r="C4372" s="8">
        <f>IFERROR(Datos!C4372,"")</f>
        <v/>
      </c>
      <c r="D4372" s="28">
        <f>IFERROR(IF(AND(ISNUMBER(B4372),ISNUMBER(B4371),B4371&lt;&gt;0),B4372/B4371-1,""),"")</f>
        <v/>
      </c>
      <c r="E4372" s="28">
        <f>IFERROR(IF(AND(ISNUMBER(C4372),ISNUMBER(C4371),C4371&lt;&gt;0),C4372/C4371-1,""),"")</f>
        <v/>
      </c>
      <c r="F4372" s="28">
        <f>IFERROR(D4372-Dashboard!$B$4/252,"")</f>
        <v/>
      </c>
      <c r="G4372" s="28">
        <f>IFERROR(E4372-Dashboard!$B$4/252,"")</f>
        <v/>
      </c>
      <c r="H4372" s="8">
        <f>IFERROR(IF(ISNUMBER(B4372),MAX(B4372,IFERROR(H4371,B4372)),""),"")</f>
        <v/>
      </c>
      <c r="I4372" s="29">
        <f>IFERROR(IF(AND(ISNUMBER(B4372),ISNUMBER(H4372)),B4372/H4372-1,""),"")</f>
        <v/>
      </c>
      <c r="J4372" s="8">
        <f>IFERROR(IF(ISNUMBER(C4372),MAX(C4372,IFERROR(J4371,C4372)),""),"")</f>
        <v/>
      </c>
      <c r="K4372" s="29">
        <f>IFERROR(IF(AND(ISNUMBER(C4372),ISNUMBER(J4372)),C4372/J4372-1,""),"")</f>
        <v/>
      </c>
      <c r="L4372" s="28">
        <f>IFERROR(IF(AND(ISNUMBER(D4372),ISNUMBER(E4372)),D4372-E4372,""),"")</f>
        <v/>
      </c>
    </row>
    <row r="4373">
      <c r="A4373" s="7">
        <f>IFERROR(Datos!A4373,"")</f>
        <v/>
      </c>
      <c r="B4373" s="8">
        <f>IFERROR(Datos!B4373,"")</f>
        <v/>
      </c>
      <c r="C4373" s="8">
        <f>IFERROR(Datos!C4373,"")</f>
        <v/>
      </c>
      <c r="D4373" s="28">
        <f>IFERROR(IF(AND(ISNUMBER(B4373),ISNUMBER(B4372),B4372&lt;&gt;0),B4373/B4372-1,""),"")</f>
        <v/>
      </c>
      <c r="E4373" s="28">
        <f>IFERROR(IF(AND(ISNUMBER(C4373),ISNUMBER(C4372),C4372&lt;&gt;0),C4373/C4372-1,""),"")</f>
        <v/>
      </c>
      <c r="F4373" s="28">
        <f>IFERROR(D4373-Dashboard!$B$4/252,"")</f>
        <v/>
      </c>
      <c r="G4373" s="28">
        <f>IFERROR(E4373-Dashboard!$B$4/252,"")</f>
        <v/>
      </c>
      <c r="H4373" s="8">
        <f>IFERROR(IF(ISNUMBER(B4373),MAX(B4373,IFERROR(H4372,B4373)),""),"")</f>
        <v/>
      </c>
      <c r="I4373" s="29">
        <f>IFERROR(IF(AND(ISNUMBER(B4373),ISNUMBER(H4373)),B4373/H4373-1,""),"")</f>
        <v/>
      </c>
      <c r="J4373" s="8">
        <f>IFERROR(IF(ISNUMBER(C4373),MAX(C4373,IFERROR(J4372,C4373)),""),"")</f>
        <v/>
      </c>
      <c r="K4373" s="29">
        <f>IFERROR(IF(AND(ISNUMBER(C4373),ISNUMBER(J4373)),C4373/J4373-1,""),"")</f>
        <v/>
      </c>
      <c r="L4373" s="28">
        <f>IFERROR(IF(AND(ISNUMBER(D4373),ISNUMBER(E4373)),D4373-E4373,""),"")</f>
        <v/>
      </c>
    </row>
    <row r="4374">
      <c r="A4374" s="7">
        <f>IFERROR(Datos!A4374,"")</f>
        <v/>
      </c>
      <c r="B4374" s="8">
        <f>IFERROR(Datos!B4374,"")</f>
        <v/>
      </c>
      <c r="C4374" s="8">
        <f>IFERROR(Datos!C4374,"")</f>
        <v/>
      </c>
      <c r="D4374" s="28">
        <f>IFERROR(IF(AND(ISNUMBER(B4374),ISNUMBER(B4373),B4373&lt;&gt;0),B4374/B4373-1,""),"")</f>
        <v/>
      </c>
      <c r="E4374" s="28">
        <f>IFERROR(IF(AND(ISNUMBER(C4374),ISNUMBER(C4373),C4373&lt;&gt;0),C4374/C4373-1,""),"")</f>
        <v/>
      </c>
      <c r="F4374" s="28">
        <f>IFERROR(D4374-Dashboard!$B$4/252,"")</f>
        <v/>
      </c>
      <c r="G4374" s="28">
        <f>IFERROR(E4374-Dashboard!$B$4/252,"")</f>
        <v/>
      </c>
      <c r="H4374" s="8">
        <f>IFERROR(IF(ISNUMBER(B4374),MAX(B4374,IFERROR(H4373,B4374)),""),"")</f>
        <v/>
      </c>
      <c r="I4374" s="29">
        <f>IFERROR(IF(AND(ISNUMBER(B4374),ISNUMBER(H4374)),B4374/H4374-1,""),"")</f>
        <v/>
      </c>
      <c r="J4374" s="8">
        <f>IFERROR(IF(ISNUMBER(C4374),MAX(C4374,IFERROR(J4373,C4374)),""),"")</f>
        <v/>
      </c>
      <c r="K4374" s="29">
        <f>IFERROR(IF(AND(ISNUMBER(C4374),ISNUMBER(J4374)),C4374/J4374-1,""),"")</f>
        <v/>
      </c>
      <c r="L4374" s="28">
        <f>IFERROR(IF(AND(ISNUMBER(D4374),ISNUMBER(E4374)),D4374-E4374,""),"")</f>
        <v/>
      </c>
    </row>
    <row r="4375">
      <c r="A4375" s="7">
        <f>IFERROR(Datos!A4375,"")</f>
        <v/>
      </c>
      <c r="B4375" s="8">
        <f>IFERROR(Datos!B4375,"")</f>
        <v/>
      </c>
      <c r="C4375" s="8">
        <f>IFERROR(Datos!C4375,"")</f>
        <v/>
      </c>
      <c r="D4375" s="28">
        <f>IFERROR(IF(AND(ISNUMBER(B4375),ISNUMBER(B4374),B4374&lt;&gt;0),B4375/B4374-1,""),"")</f>
        <v/>
      </c>
      <c r="E4375" s="28">
        <f>IFERROR(IF(AND(ISNUMBER(C4375),ISNUMBER(C4374),C4374&lt;&gt;0),C4375/C4374-1,""),"")</f>
        <v/>
      </c>
      <c r="F4375" s="28">
        <f>IFERROR(D4375-Dashboard!$B$4/252,"")</f>
        <v/>
      </c>
      <c r="G4375" s="28">
        <f>IFERROR(E4375-Dashboard!$B$4/252,"")</f>
        <v/>
      </c>
      <c r="H4375" s="8">
        <f>IFERROR(IF(ISNUMBER(B4375),MAX(B4375,IFERROR(H4374,B4375)),""),"")</f>
        <v/>
      </c>
      <c r="I4375" s="29">
        <f>IFERROR(IF(AND(ISNUMBER(B4375),ISNUMBER(H4375)),B4375/H4375-1,""),"")</f>
        <v/>
      </c>
      <c r="J4375" s="8">
        <f>IFERROR(IF(ISNUMBER(C4375),MAX(C4375,IFERROR(J4374,C4375)),""),"")</f>
        <v/>
      </c>
      <c r="K4375" s="29">
        <f>IFERROR(IF(AND(ISNUMBER(C4375),ISNUMBER(J4375)),C4375/J4375-1,""),"")</f>
        <v/>
      </c>
      <c r="L4375" s="28">
        <f>IFERROR(IF(AND(ISNUMBER(D4375),ISNUMBER(E4375)),D4375-E4375,""),"")</f>
        <v/>
      </c>
    </row>
    <row r="4376">
      <c r="A4376" s="7">
        <f>IFERROR(Datos!A4376,"")</f>
        <v/>
      </c>
      <c r="B4376" s="8">
        <f>IFERROR(Datos!B4376,"")</f>
        <v/>
      </c>
      <c r="C4376" s="8">
        <f>IFERROR(Datos!C4376,"")</f>
        <v/>
      </c>
      <c r="D4376" s="28">
        <f>IFERROR(IF(AND(ISNUMBER(B4376),ISNUMBER(B4375),B4375&lt;&gt;0),B4376/B4375-1,""),"")</f>
        <v/>
      </c>
      <c r="E4376" s="28">
        <f>IFERROR(IF(AND(ISNUMBER(C4376),ISNUMBER(C4375),C4375&lt;&gt;0),C4376/C4375-1,""),"")</f>
        <v/>
      </c>
      <c r="F4376" s="28">
        <f>IFERROR(D4376-Dashboard!$B$4/252,"")</f>
        <v/>
      </c>
      <c r="G4376" s="28">
        <f>IFERROR(E4376-Dashboard!$B$4/252,"")</f>
        <v/>
      </c>
      <c r="H4376" s="8">
        <f>IFERROR(IF(ISNUMBER(B4376),MAX(B4376,IFERROR(H4375,B4376)),""),"")</f>
        <v/>
      </c>
      <c r="I4376" s="29">
        <f>IFERROR(IF(AND(ISNUMBER(B4376),ISNUMBER(H4376)),B4376/H4376-1,""),"")</f>
        <v/>
      </c>
      <c r="J4376" s="8">
        <f>IFERROR(IF(ISNUMBER(C4376),MAX(C4376,IFERROR(J4375,C4376)),""),"")</f>
        <v/>
      </c>
      <c r="K4376" s="29">
        <f>IFERROR(IF(AND(ISNUMBER(C4376),ISNUMBER(J4376)),C4376/J4376-1,""),"")</f>
        <v/>
      </c>
      <c r="L4376" s="28">
        <f>IFERROR(IF(AND(ISNUMBER(D4376),ISNUMBER(E4376)),D4376-E4376,""),"")</f>
        <v/>
      </c>
    </row>
    <row r="4377">
      <c r="A4377" s="7">
        <f>IFERROR(Datos!A4377,"")</f>
        <v/>
      </c>
      <c r="B4377" s="8">
        <f>IFERROR(Datos!B4377,"")</f>
        <v/>
      </c>
      <c r="C4377" s="8">
        <f>IFERROR(Datos!C4377,"")</f>
        <v/>
      </c>
      <c r="D4377" s="28">
        <f>IFERROR(IF(AND(ISNUMBER(B4377),ISNUMBER(B4376),B4376&lt;&gt;0),B4377/B4376-1,""),"")</f>
        <v/>
      </c>
      <c r="E4377" s="28">
        <f>IFERROR(IF(AND(ISNUMBER(C4377),ISNUMBER(C4376),C4376&lt;&gt;0),C4377/C4376-1,""),"")</f>
        <v/>
      </c>
      <c r="F4377" s="28">
        <f>IFERROR(D4377-Dashboard!$B$4/252,"")</f>
        <v/>
      </c>
      <c r="G4377" s="28">
        <f>IFERROR(E4377-Dashboard!$B$4/252,"")</f>
        <v/>
      </c>
      <c r="H4377" s="8">
        <f>IFERROR(IF(ISNUMBER(B4377),MAX(B4377,IFERROR(H4376,B4377)),""),"")</f>
        <v/>
      </c>
      <c r="I4377" s="29">
        <f>IFERROR(IF(AND(ISNUMBER(B4377),ISNUMBER(H4377)),B4377/H4377-1,""),"")</f>
        <v/>
      </c>
      <c r="J4377" s="8">
        <f>IFERROR(IF(ISNUMBER(C4377),MAX(C4377,IFERROR(J4376,C4377)),""),"")</f>
        <v/>
      </c>
      <c r="K4377" s="29">
        <f>IFERROR(IF(AND(ISNUMBER(C4377),ISNUMBER(J4377)),C4377/J4377-1,""),"")</f>
        <v/>
      </c>
      <c r="L4377" s="28">
        <f>IFERROR(IF(AND(ISNUMBER(D4377),ISNUMBER(E4377)),D4377-E4377,""),"")</f>
        <v/>
      </c>
    </row>
    <row r="4378">
      <c r="A4378" s="7">
        <f>IFERROR(Datos!A4378,"")</f>
        <v/>
      </c>
      <c r="B4378" s="8">
        <f>IFERROR(Datos!B4378,"")</f>
        <v/>
      </c>
      <c r="C4378" s="8">
        <f>IFERROR(Datos!C4378,"")</f>
        <v/>
      </c>
      <c r="D4378" s="28">
        <f>IFERROR(IF(AND(ISNUMBER(B4378),ISNUMBER(B4377),B4377&lt;&gt;0),B4378/B4377-1,""),"")</f>
        <v/>
      </c>
      <c r="E4378" s="28">
        <f>IFERROR(IF(AND(ISNUMBER(C4378),ISNUMBER(C4377),C4377&lt;&gt;0),C4378/C4377-1,""),"")</f>
        <v/>
      </c>
      <c r="F4378" s="28">
        <f>IFERROR(D4378-Dashboard!$B$4/252,"")</f>
        <v/>
      </c>
      <c r="G4378" s="28">
        <f>IFERROR(E4378-Dashboard!$B$4/252,"")</f>
        <v/>
      </c>
      <c r="H4378" s="8">
        <f>IFERROR(IF(ISNUMBER(B4378),MAX(B4378,IFERROR(H4377,B4378)),""),"")</f>
        <v/>
      </c>
      <c r="I4378" s="29">
        <f>IFERROR(IF(AND(ISNUMBER(B4378),ISNUMBER(H4378)),B4378/H4378-1,""),"")</f>
        <v/>
      </c>
      <c r="J4378" s="8">
        <f>IFERROR(IF(ISNUMBER(C4378),MAX(C4378,IFERROR(J4377,C4378)),""),"")</f>
        <v/>
      </c>
      <c r="K4378" s="29">
        <f>IFERROR(IF(AND(ISNUMBER(C4378),ISNUMBER(J4378)),C4378/J4378-1,""),"")</f>
        <v/>
      </c>
      <c r="L4378" s="28">
        <f>IFERROR(IF(AND(ISNUMBER(D4378),ISNUMBER(E4378)),D4378-E4378,""),"")</f>
        <v/>
      </c>
    </row>
    <row r="4379">
      <c r="A4379" s="7">
        <f>IFERROR(Datos!A4379,"")</f>
        <v/>
      </c>
      <c r="B4379" s="8">
        <f>IFERROR(Datos!B4379,"")</f>
        <v/>
      </c>
      <c r="C4379" s="8">
        <f>IFERROR(Datos!C4379,"")</f>
        <v/>
      </c>
      <c r="D4379" s="28">
        <f>IFERROR(IF(AND(ISNUMBER(B4379),ISNUMBER(B4378),B4378&lt;&gt;0),B4379/B4378-1,""),"")</f>
        <v/>
      </c>
      <c r="E4379" s="28">
        <f>IFERROR(IF(AND(ISNUMBER(C4379),ISNUMBER(C4378),C4378&lt;&gt;0),C4379/C4378-1,""),"")</f>
        <v/>
      </c>
      <c r="F4379" s="28">
        <f>IFERROR(D4379-Dashboard!$B$4/252,"")</f>
        <v/>
      </c>
      <c r="G4379" s="28">
        <f>IFERROR(E4379-Dashboard!$B$4/252,"")</f>
        <v/>
      </c>
      <c r="H4379" s="8">
        <f>IFERROR(IF(ISNUMBER(B4379),MAX(B4379,IFERROR(H4378,B4379)),""),"")</f>
        <v/>
      </c>
      <c r="I4379" s="29">
        <f>IFERROR(IF(AND(ISNUMBER(B4379),ISNUMBER(H4379)),B4379/H4379-1,""),"")</f>
        <v/>
      </c>
      <c r="J4379" s="8">
        <f>IFERROR(IF(ISNUMBER(C4379),MAX(C4379,IFERROR(J4378,C4379)),""),"")</f>
        <v/>
      </c>
      <c r="K4379" s="29">
        <f>IFERROR(IF(AND(ISNUMBER(C4379),ISNUMBER(J4379)),C4379/J4379-1,""),"")</f>
        <v/>
      </c>
      <c r="L4379" s="28">
        <f>IFERROR(IF(AND(ISNUMBER(D4379),ISNUMBER(E4379)),D4379-E4379,""),"")</f>
        <v/>
      </c>
    </row>
    <row r="4380">
      <c r="A4380" s="7">
        <f>IFERROR(Datos!A4380,"")</f>
        <v/>
      </c>
      <c r="B4380" s="8">
        <f>IFERROR(Datos!B4380,"")</f>
        <v/>
      </c>
      <c r="C4380" s="8">
        <f>IFERROR(Datos!C4380,"")</f>
        <v/>
      </c>
      <c r="D4380" s="28">
        <f>IFERROR(IF(AND(ISNUMBER(B4380),ISNUMBER(B4379),B4379&lt;&gt;0),B4380/B4379-1,""),"")</f>
        <v/>
      </c>
      <c r="E4380" s="28">
        <f>IFERROR(IF(AND(ISNUMBER(C4380),ISNUMBER(C4379),C4379&lt;&gt;0),C4380/C4379-1,""),"")</f>
        <v/>
      </c>
      <c r="F4380" s="28">
        <f>IFERROR(D4380-Dashboard!$B$4/252,"")</f>
        <v/>
      </c>
      <c r="G4380" s="28">
        <f>IFERROR(E4380-Dashboard!$B$4/252,"")</f>
        <v/>
      </c>
      <c r="H4380" s="8">
        <f>IFERROR(IF(ISNUMBER(B4380),MAX(B4380,IFERROR(H4379,B4380)),""),"")</f>
        <v/>
      </c>
      <c r="I4380" s="29">
        <f>IFERROR(IF(AND(ISNUMBER(B4380),ISNUMBER(H4380)),B4380/H4380-1,""),"")</f>
        <v/>
      </c>
      <c r="J4380" s="8">
        <f>IFERROR(IF(ISNUMBER(C4380),MAX(C4380,IFERROR(J4379,C4380)),""),"")</f>
        <v/>
      </c>
      <c r="K4380" s="29">
        <f>IFERROR(IF(AND(ISNUMBER(C4380),ISNUMBER(J4380)),C4380/J4380-1,""),"")</f>
        <v/>
      </c>
      <c r="L4380" s="28">
        <f>IFERROR(IF(AND(ISNUMBER(D4380),ISNUMBER(E4380)),D4380-E4380,""),"")</f>
        <v/>
      </c>
    </row>
    <row r="4381">
      <c r="A4381" s="7">
        <f>IFERROR(Datos!A4381,"")</f>
        <v/>
      </c>
      <c r="B4381" s="8">
        <f>IFERROR(Datos!B4381,"")</f>
        <v/>
      </c>
      <c r="C4381" s="8">
        <f>IFERROR(Datos!C4381,"")</f>
        <v/>
      </c>
      <c r="D4381" s="28">
        <f>IFERROR(IF(AND(ISNUMBER(B4381),ISNUMBER(B4380),B4380&lt;&gt;0),B4381/B4380-1,""),"")</f>
        <v/>
      </c>
      <c r="E4381" s="28">
        <f>IFERROR(IF(AND(ISNUMBER(C4381),ISNUMBER(C4380),C4380&lt;&gt;0),C4381/C4380-1,""),"")</f>
        <v/>
      </c>
      <c r="F4381" s="28">
        <f>IFERROR(D4381-Dashboard!$B$4/252,"")</f>
        <v/>
      </c>
      <c r="G4381" s="28">
        <f>IFERROR(E4381-Dashboard!$B$4/252,"")</f>
        <v/>
      </c>
      <c r="H4381" s="8">
        <f>IFERROR(IF(ISNUMBER(B4381),MAX(B4381,IFERROR(H4380,B4381)),""),"")</f>
        <v/>
      </c>
      <c r="I4381" s="29">
        <f>IFERROR(IF(AND(ISNUMBER(B4381),ISNUMBER(H4381)),B4381/H4381-1,""),"")</f>
        <v/>
      </c>
      <c r="J4381" s="8">
        <f>IFERROR(IF(ISNUMBER(C4381),MAX(C4381,IFERROR(J4380,C4381)),""),"")</f>
        <v/>
      </c>
      <c r="K4381" s="29">
        <f>IFERROR(IF(AND(ISNUMBER(C4381),ISNUMBER(J4381)),C4381/J4381-1,""),"")</f>
        <v/>
      </c>
      <c r="L4381" s="28">
        <f>IFERROR(IF(AND(ISNUMBER(D4381),ISNUMBER(E4381)),D4381-E4381,""),"")</f>
        <v/>
      </c>
    </row>
    <row r="4382">
      <c r="A4382" s="7">
        <f>IFERROR(Datos!A4382,"")</f>
        <v/>
      </c>
      <c r="B4382" s="8">
        <f>IFERROR(Datos!B4382,"")</f>
        <v/>
      </c>
      <c r="C4382" s="8">
        <f>IFERROR(Datos!C4382,"")</f>
        <v/>
      </c>
      <c r="D4382" s="28">
        <f>IFERROR(IF(AND(ISNUMBER(B4382),ISNUMBER(B4381),B4381&lt;&gt;0),B4382/B4381-1,""),"")</f>
        <v/>
      </c>
      <c r="E4382" s="28">
        <f>IFERROR(IF(AND(ISNUMBER(C4382),ISNUMBER(C4381),C4381&lt;&gt;0),C4382/C4381-1,""),"")</f>
        <v/>
      </c>
      <c r="F4382" s="28">
        <f>IFERROR(D4382-Dashboard!$B$4/252,"")</f>
        <v/>
      </c>
      <c r="G4382" s="28">
        <f>IFERROR(E4382-Dashboard!$B$4/252,"")</f>
        <v/>
      </c>
      <c r="H4382" s="8">
        <f>IFERROR(IF(ISNUMBER(B4382),MAX(B4382,IFERROR(H4381,B4382)),""),"")</f>
        <v/>
      </c>
      <c r="I4382" s="29">
        <f>IFERROR(IF(AND(ISNUMBER(B4382),ISNUMBER(H4382)),B4382/H4382-1,""),"")</f>
        <v/>
      </c>
      <c r="J4382" s="8">
        <f>IFERROR(IF(ISNUMBER(C4382),MAX(C4382,IFERROR(J4381,C4382)),""),"")</f>
        <v/>
      </c>
      <c r="K4382" s="29">
        <f>IFERROR(IF(AND(ISNUMBER(C4382),ISNUMBER(J4382)),C4382/J4382-1,""),"")</f>
        <v/>
      </c>
      <c r="L4382" s="28">
        <f>IFERROR(IF(AND(ISNUMBER(D4382),ISNUMBER(E4382)),D4382-E4382,""),"")</f>
        <v/>
      </c>
    </row>
    <row r="4383">
      <c r="A4383" s="7">
        <f>IFERROR(Datos!A4383,"")</f>
        <v/>
      </c>
      <c r="B4383" s="8">
        <f>IFERROR(Datos!B4383,"")</f>
        <v/>
      </c>
      <c r="C4383" s="8">
        <f>IFERROR(Datos!C4383,"")</f>
        <v/>
      </c>
      <c r="D4383" s="28">
        <f>IFERROR(IF(AND(ISNUMBER(B4383),ISNUMBER(B4382),B4382&lt;&gt;0),B4383/B4382-1,""),"")</f>
        <v/>
      </c>
      <c r="E4383" s="28">
        <f>IFERROR(IF(AND(ISNUMBER(C4383),ISNUMBER(C4382),C4382&lt;&gt;0),C4383/C4382-1,""),"")</f>
        <v/>
      </c>
      <c r="F4383" s="28">
        <f>IFERROR(D4383-Dashboard!$B$4/252,"")</f>
        <v/>
      </c>
      <c r="G4383" s="28">
        <f>IFERROR(E4383-Dashboard!$B$4/252,"")</f>
        <v/>
      </c>
      <c r="H4383" s="8">
        <f>IFERROR(IF(ISNUMBER(B4383),MAX(B4383,IFERROR(H4382,B4383)),""),"")</f>
        <v/>
      </c>
      <c r="I4383" s="29">
        <f>IFERROR(IF(AND(ISNUMBER(B4383),ISNUMBER(H4383)),B4383/H4383-1,""),"")</f>
        <v/>
      </c>
      <c r="J4383" s="8">
        <f>IFERROR(IF(ISNUMBER(C4383),MAX(C4383,IFERROR(J4382,C4383)),""),"")</f>
        <v/>
      </c>
      <c r="K4383" s="29">
        <f>IFERROR(IF(AND(ISNUMBER(C4383),ISNUMBER(J4383)),C4383/J4383-1,""),"")</f>
        <v/>
      </c>
      <c r="L4383" s="28">
        <f>IFERROR(IF(AND(ISNUMBER(D4383),ISNUMBER(E4383)),D4383-E4383,""),"")</f>
        <v/>
      </c>
    </row>
    <row r="4384">
      <c r="A4384" s="7">
        <f>IFERROR(Datos!A4384,"")</f>
        <v/>
      </c>
      <c r="B4384" s="8">
        <f>IFERROR(Datos!B4384,"")</f>
        <v/>
      </c>
      <c r="C4384" s="8">
        <f>IFERROR(Datos!C4384,"")</f>
        <v/>
      </c>
      <c r="D4384" s="28">
        <f>IFERROR(IF(AND(ISNUMBER(B4384),ISNUMBER(B4383),B4383&lt;&gt;0),B4384/B4383-1,""),"")</f>
        <v/>
      </c>
      <c r="E4384" s="28">
        <f>IFERROR(IF(AND(ISNUMBER(C4384),ISNUMBER(C4383),C4383&lt;&gt;0),C4384/C4383-1,""),"")</f>
        <v/>
      </c>
      <c r="F4384" s="28">
        <f>IFERROR(D4384-Dashboard!$B$4/252,"")</f>
        <v/>
      </c>
      <c r="G4384" s="28">
        <f>IFERROR(E4384-Dashboard!$B$4/252,"")</f>
        <v/>
      </c>
      <c r="H4384" s="8">
        <f>IFERROR(IF(ISNUMBER(B4384),MAX(B4384,IFERROR(H4383,B4384)),""),"")</f>
        <v/>
      </c>
      <c r="I4384" s="29">
        <f>IFERROR(IF(AND(ISNUMBER(B4384),ISNUMBER(H4384)),B4384/H4384-1,""),"")</f>
        <v/>
      </c>
      <c r="J4384" s="8">
        <f>IFERROR(IF(ISNUMBER(C4384),MAX(C4384,IFERROR(J4383,C4384)),""),"")</f>
        <v/>
      </c>
      <c r="K4384" s="29">
        <f>IFERROR(IF(AND(ISNUMBER(C4384),ISNUMBER(J4384)),C4384/J4384-1,""),"")</f>
        <v/>
      </c>
      <c r="L4384" s="28">
        <f>IFERROR(IF(AND(ISNUMBER(D4384),ISNUMBER(E4384)),D4384-E4384,""),"")</f>
        <v/>
      </c>
    </row>
    <row r="4385">
      <c r="A4385" s="7">
        <f>IFERROR(Datos!A4385,"")</f>
        <v/>
      </c>
      <c r="B4385" s="8">
        <f>IFERROR(Datos!B4385,"")</f>
        <v/>
      </c>
      <c r="C4385" s="8">
        <f>IFERROR(Datos!C4385,"")</f>
        <v/>
      </c>
      <c r="D4385" s="28">
        <f>IFERROR(IF(AND(ISNUMBER(B4385),ISNUMBER(B4384),B4384&lt;&gt;0),B4385/B4384-1,""),"")</f>
        <v/>
      </c>
      <c r="E4385" s="28">
        <f>IFERROR(IF(AND(ISNUMBER(C4385),ISNUMBER(C4384),C4384&lt;&gt;0),C4385/C4384-1,""),"")</f>
        <v/>
      </c>
      <c r="F4385" s="28">
        <f>IFERROR(D4385-Dashboard!$B$4/252,"")</f>
        <v/>
      </c>
      <c r="G4385" s="28">
        <f>IFERROR(E4385-Dashboard!$B$4/252,"")</f>
        <v/>
      </c>
      <c r="H4385" s="8">
        <f>IFERROR(IF(ISNUMBER(B4385),MAX(B4385,IFERROR(H4384,B4385)),""),"")</f>
        <v/>
      </c>
      <c r="I4385" s="29">
        <f>IFERROR(IF(AND(ISNUMBER(B4385),ISNUMBER(H4385)),B4385/H4385-1,""),"")</f>
        <v/>
      </c>
      <c r="J4385" s="8">
        <f>IFERROR(IF(ISNUMBER(C4385),MAX(C4385,IFERROR(J4384,C4385)),""),"")</f>
        <v/>
      </c>
      <c r="K4385" s="29">
        <f>IFERROR(IF(AND(ISNUMBER(C4385),ISNUMBER(J4385)),C4385/J4385-1,""),"")</f>
        <v/>
      </c>
      <c r="L4385" s="28">
        <f>IFERROR(IF(AND(ISNUMBER(D4385),ISNUMBER(E4385)),D4385-E4385,""),"")</f>
        <v/>
      </c>
    </row>
    <row r="4386">
      <c r="A4386" s="7">
        <f>IFERROR(Datos!A4386,"")</f>
        <v/>
      </c>
      <c r="B4386" s="8">
        <f>IFERROR(Datos!B4386,"")</f>
        <v/>
      </c>
      <c r="C4386" s="8">
        <f>IFERROR(Datos!C4386,"")</f>
        <v/>
      </c>
      <c r="D4386" s="28">
        <f>IFERROR(IF(AND(ISNUMBER(B4386),ISNUMBER(B4385),B4385&lt;&gt;0),B4386/B4385-1,""),"")</f>
        <v/>
      </c>
      <c r="E4386" s="28">
        <f>IFERROR(IF(AND(ISNUMBER(C4386),ISNUMBER(C4385),C4385&lt;&gt;0),C4386/C4385-1,""),"")</f>
        <v/>
      </c>
      <c r="F4386" s="28">
        <f>IFERROR(D4386-Dashboard!$B$4/252,"")</f>
        <v/>
      </c>
      <c r="G4386" s="28">
        <f>IFERROR(E4386-Dashboard!$B$4/252,"")</f>
        <v/>
      </c>
      <c r="H4386" s="8">
        <f>IFERROR(IF(ISNUMBER(B4386),MAX(B4386,IFERROR(H4385,B4386)),""),"")</f>
        <v/>
      </c>
      <c r="I4386" s="29">
        <f>IFERROR(IF(AND(ISNUMBER(B4386),ISNUMBER(H4386)),B4386/H4386-1,""),"")</f>
        <v/>
      </c>
      <c r="J4386" s="8">
        <f>IFERROR(IF(ISNUMBER(C4386),MAX(C4386,IFERROR(J4385,C4386)),""),"")</f>
        <v/>
      </c>
      <c r="K4386" s="29">
        <f>IFERROR(IF(AND(ISNUMBER(C4386),ISNUMBER(J4386)),C4386/J4386-1,""),"")</f>
        <v/>
      </c>
      <c r="L4386" s="28">
        <f>IFERROR(IF(AND(ISNUMBER(D4386),ISNUMBER(E4386)),D4386-E4386,""),"")</f>
        <v/>
      </c>
    </row>
    <row r="4387">
      <c r="A4387" s="7">
        <f>IFERROR(Datos!A4387,"")</f>
        <v/>
      </c>
      <c r="B4387" s="8">
        <f>IFERROR(Datos!B4387,"")</f>
        <v/>
      </c>
      <c r="C4387" s="8">
        <f>IFERROR(Datos!C4387,"")</f>
        <v/>
      </c>
      <c r="D4387" s="28">
        <f>IFERROR(IF(AND(ISNUMBER(B4387),ISNUMBER(B4386),B4386&lt;&gt;0),B4387/B4386-1,""),"")</f>
        <v/>
      </c>
      <c r="E4387" s="28">
        <f>IFERROR(IF(AND(ISNUMBER(C4387),ISNUMBER(C4386),C4386&lt;&gt;0),C4387/C4386-1,""),"")</f>
        <v/>
      </c>
      <c r="F4387" s="28">
        <f>IFERROR(D4387-Dashboard!$B$4/252,"")</f>
        <v/>
      </c>
      <c r="G4387" s="28">
        <f>IFERROR(E4387-Dashboard!$B$4/252,"")</f>
        <v/>
      </c>
      <c r="H4387" s="8">
        <f>IFERROR(IF(ISNUMBER(B4387),MAX(B4387,IFERROR(H4386,B4387)),""),"")</f>
        <v/>
      </c>
      <c r="I4387" s="29">
        <f>IFERROR(IF(AND(ISNUMBER(B4387),ISNUMBER(H4387)),B4387/H4387-1,""),"")</f>
        <v/>
      </c>
      <c r="J4387" s="8">
        <f>IFERROR(IF(ISNUMBER(C4387),MAX(C4387,IFERROR(J4386,C4387)),""),"")</f>
        <v/>
      </c>
      <c r="K4387" s="29">
        <f>IFERROR(IF(AND(ISNUMBER(C4387),ISNUMBER(J4387)),C4387/J4387-1,""),"")</f>
        <v/>
      </c>
      <c r="L4387" s="28">
        <f>IFERROR(IF(AND(ISNUMBER(D4387),ISNUMBER(E4387)),D4387-E4387,""),"")</f>
        <v/>
      </c>
    </row>
    <row r="4388">
      <c r="A4388" s="7">
        <f>IFERROR(Datos!A4388,"")</f>
        <v/>
      </c>
      <c r="B4388" s="8">
        <f>IFERROR(Datos!B4388,"")</f>
        <v/>
      </c>
      <c r="C4388" s="8">
        <f>IFERROR(Datos!C4388,"")</f>
        <v/>
      </c>
      <c r="D4388" s="28">
        <f>IFERROR(IF(AND(ISNUMBER(B4388),ISNUMBER(B4387),B4387&lt;&gt;0),B4388/B4387-1,""),"")</f>
        <v/>
      </c>
      <c r="E4388" s="28">
        <f>IFERROR(IF(AND(ISNUMBER(C4388),ISNUMBER(C4387),C4387&lt;&gt;0),C4388/C4387-1,""),"")</f>
        <v/>
      </c>
      <c r="F4388" s="28">
        <f>IFERROR(D4388-Dashboard!$B$4/252,"")</f>
        <v/>
      </c>
      <c r="G4388" s="28">
        <f>IFERROR(E4388-Dashboard!$B$4/252,"")</f>
        <v/>
      </c>
      <c r="H4388" s="8">
        <f>IFERROR(IF(ISNUMBER(B4388),MAX(B4388,IFERROR(H4387,B4388)),""),"")</f>
        <v/>
      </c>
      <c r="I4388" s="29">
        <f>IFERROR(IF(AND(ISNUMBER(B4388),ISNUMBER(H4388)),B4388/H4388-1,""),"")</f>
        <v/>
      </c>
      <c r="J4388" s="8">
        <f>IFERROR(IF(ISNUMBER(C4388),MAX(C4388,IFERROR(J4387,C4388)),""),"")</f>
        <v/>
      </c>
      <c r="K4388" s="29">
        <f>IFERROR(IF(AND(ISNUMBER(C4388),ISNUMBER(J4388)),C4388/J4388-1,""),"")</f>
        <v/>
      </c>
      <c r="L4388" s="28">
        <f>IFERROR(IF(AND(ISNUMBER(D4388),ISNUMBER(E4388)),D4388-E4388,""),"")</f>
        <v/>
      </c>
    </row>
    <row r="4389">
      <c r="A4389" s="7">
        <f>IFERROR(Datos!A4389,"")</f>
        <v/>
      </c>
      <c r="B4389" s="8">
        <f>IFERROR(Datos!B4389,"")</f>
        <v/>
      </c>
      <c r="C4389" s="8">
        <f>IFERROR(Datos!C4389,"")</f>
        <v/>
      </c>
      <c r="D4389" s="28">
        <f>IFERROR(IF(AND(ISNUMBER(B4389),ISNUMBER(B4388),B4388&lt;&gt;0),B4389/B4388-1,""),"")</f>
        <v/>
      </c>
      <c r="E4389" s="28">
        <f>IFERROR(IF(AND(ISNUMBER(C4389),ISNUMBER(C4388),C4388&lt;&gt;0),C4389/C4388-1,""),"")</f>
        <v/>
      </c>
      <c r="F4389" s="28">
        <f>IFERROR(D4389-Dashboard!$B$4/252,"")</f>
        <v/>
      </c>
      <c r="G4389" s="28">
        <f>IFERROR(E4389-Dashboard!$B$4/252,"")</f>
        <v/>
      </c>
      <c r="H4389" s="8">
        <f>IFERROR(IF(ISNUMBER(B4389),MAX(B4389,IFERROR(H4388,B4389)),""),"")</f>
        <v/>
      </c>
      <c r="I4389" s="29">
        <f>IFERROR(IF(AND(ISNUMBER(B4389),ISNUMBER(H4389)),B4389/H4389-1,""),"")</f>
        <v/>
      </c>
      <c r="J4389" s="8">
        <f>IFERROR(IF(ISNUMBER(C4389),MAX(C4389,IFERROR(J4388,C4389)),""),"")</f>
        <v/>
      </c>
      <c r="K4389" s="29">
        <f>IFERROR(IF(AND(ISNUMBER(C4389),ISNUMBER(J4389)),C4389/J4389-1,""),"")</f>
        <v/>
      </c>
      <c r="L4389" s="28">
        <f>IFERROR(IF(AND(ISNUMBER(D4389),ISNUMBER(E4389)),D4389-E4389,""),"")</f>
        <v/>
      </c>
    </row>
    <row r="4390">
      <c r="A4390" s="7">
        <f>IFERROR(Datos!A4390,"")</f>
        <v/>
      </c>
      <c r="B4390" s="8">
        <f>IFERROR(Datos!B4390,"")</f>
        <v/>
      </c>
      <c r="C4390" s="8">
        <f>IFERROR(Datos!C4390,"")</f>
        <v/>
      </c>
      <c r="D4390" s="28">
        <f>IFERROR(IF(AND(ISNUMBER(B4390),ISNUMBER(B4389),B4389&lt;&gt;0),B4390/B4389-1,""),"")</f>
        <v/>
      </c>
      <c r="E4390" s="28">
        <f>IFERROR(IF(AND(ISNUMBER(C4390),ISNUMBER(C4389),C4389&lt;&gt;0),C4390/C4389-1,""),"")</f>
        <v/>
      </c>
      <c r="F4390" s="28">
        <f>IFERROR(D4390-Dashboard!$B$4/252,"")</f>
        <v/>
      </c>
      <c r="G4390" s="28">
        <f>IFERROR(E4390-Dashboard!$B$4/252,"")</f>
        <v/>
      </c>
      <c r="H4390" s="8">
        <f>IFERROR(IF(ISNUMBER(B4390),MAX(B4390,IFERROR(H4389,B4390)),""),"")</f>
        <v/>
      </c>
      <c r="I4390" s="29">
        <f>IFERROR(IF(AND(ISNUMBER(B4390),ISNUMBER(H4390)),B4390/H4390-1,""),"")</f>
        <v/>
      </c>
      <c r="J4390" s="8">
        <f>IFERROR(IF(ISNUMBER(C4390),MAX(C4390,IFERROR(J4389,C4390)),""),"")</f>
        <v/>
      </c>
      <c r="K4390" s="29">
        <f>IFERROR(IF(AND(ISNUMBER(C4390),ISNUMBER(J4390)),C4390/J4390-1,""),"")</f>
        <v/>
      </c>
      <c r="L4390" s="28">
        <f>IFERROR(IF(AND(ISNUMBER(D4390),ISNUMBER(E4390)),D4390-E4390,""),"")</f>
        <v/>
      </c>
    </row>
    <row r="4391">
      <c r="A4391" s="7">
        <f>IFERROR(Datos!A4391,"")</f>
        <v/>
      </c>
      <c r="B4391" s="8">
        <f>IFERROR(Datos!B4391,"")</f>
        <v/>
      </c>
      <c r="C4391" s="8">
        <f>IFERROR(Datos!C4391,"")</f>
        <v/>
      </c>
      <c r="D4391" s="28">
        <f>IFERROR(IF(AND(ISNUMBER(B4391),ISNUMBER(B4390),B4390&lt;&gt;0),B4391/B4390-1,""),"")</f>
        <v/>
      </c>
      <c r="E4391" s="28">
        <f>IFERROR(IF(AND(ISNUMBER(C4391),ISNUMBER(C4390),C4390&lt;&gt;0),C4391/C4390-1,""),"")</f>
        <v/>
      </c>
      <c r="F4391" s="28">
        <f>IFERROR(D4391-Dashboard!$B$4/252,"")</f>
        <v/>
      </c>
      <c r="G4391" s="28">
        <f>IFERROR(E4391-Dashboard!$B$4/252,"")</f>
        <v/>
      </c>
      <c r="H4391" s="8">
        <f>IFERROR(IF(ISNUMBER(B4391),MAX(B4391,IFERROR(H4390,B4391)),""),"")</f>
        <v/>
      </c>
      <c r="I4391" s="29">
        <f>IFERROR(IF(AND(ISNUMBER(B4391),ISNUMBER(H4391)),B4391/H4391-1,""),"")</f>
        <v/>
      </c>
      <c r="J4391" s="8">
        <f>IFERROR(IF(ISNUMBER(C4391),MAX(C4391,IFERROR(J4390,C4391)),""),"")</f>
        <v/>
      </c>
      <c r="K4391" s="29">
        <f>IFERROR(IF(AND(ISNUMBER(C4391),ISNUMBER(J4391)),C4391/J4391-1,""),"")</f>
        <v/>
      </c>
      <c r="L4391" s="28">
        <f>IFERROR(IF(AND(ISNUMBER(D4391),ISNUMBER(E4391)),D4391-E4391,""),"")</f>
        <v/>
      </c>
    </row>
    <row r="4392">
      <c r="A4392" s="7">
        <f>IFERROR(Datos!A4392,"")</f>
        <v/>
      </c>
      <c r="B4392" s="8">
        <f>IFERROR(Datos!B4392,"")</f>
        <v/>
      </c>
      <c r="C4392" s="8">
        <f>IFERROR(Datos!C4392,"")</f>
        <v/>
      </c>
      <c r="D4392" s="28">
        <f>IFERROR(IF(AND(ISNUMBER(B4392),ISNUMBER(B4391),B4391&lt;&gt;0),B4392/B4391-1,""),"")</f>
        <v/>
      </c>
      <c r="E4392" s="28">
        <f>IFERROR(IF(AND(ISNUMBER(C4392),ISNUMBER(C4391),C4391&lt;&gt;0),C4392/C4391-1,""),"")</f>
        <v/>
      </c>
      <c r="F4392" s="28">
        <f>IFERROR(D4392-Dashboard!$B$4/252,"")</f>
        <v/>
      </c>
      <c r="G4392" s="28">
        <f>IFERROR(E4392-Dashboard!$B$4/252,"")</f>
        <v/>
      </c>
      <c r="H4392" s="8">
        <f>IFERROR(IF(ISNUMBER(B4392),MAX(B4392,IFERROR(H4391,B4392)),""),"")</f>
        <v/>
      </c>
      <c r="I4392" s="29">
        <f>IFERROR(IF(AND(ISNUMBER(B4392),ISNUMBER(H4392)),B4392/H4392-1,""),"")</f>
        <v/>
      </c>
      <c r="J4392" s="8">
        <f>IFERROR(IF(ISNUMBER(C4392),MAX(C4392,IFERROR(J4391,C4392)),""),"")</f>
        <v/>
      </c>
      <c r="K4392" s="29">
        <f>IFERROR(IF(AND(ISNUMBER(C4392),ISNUMBER(J4392)),C4392/J4392-1,""),"")</f>
        <v/>
      </c>
      <c r="L4392" s="28">
        <f>IFERROR(IF(AND(ISNUMBER(D4392),ISNUMBER(E4392)),D4392-E4392,""),"")</f>
        <v/>
      </c>
    </row>
    <row r="4393">
      <c r="A4393" s="7">
        <f>IFERROR(Datos!A4393,"")</f>
        <v/>
      </c>
      <c r="B4393" s="8">
        <f>IFERROR(Datos!B4393,"")</f>
        <v/>
      </c>
      <c r="C4393" s="8">
        <f>IFERROR(Datos!C4393,"")</f>
        <v/>
      </c>
      <c r="D4393" s="28">
        <f>IFERROR(IF(AND(ISNUMBER(B4393),ISNUMBER(B4392),B4392&lt;&gt;0),B4393/B4392-1,""),"")</f>
        <v/>
      </c>
      <c r="E4393" s="28">
        <f>IFERROR(IF(AND(ISNUMBER(C4393),ISNUMBER(C4392),C4392&lt;&gt;0),C4393/C4392-1,""),"")</f>
        <v/>
      </c>
      <c r="F4393" s="28">
        <f>IFERROR(D4393-Dashboard!$B$4/252,"")</f>
        <v/>
      </c>
      <c r="G4393" s="28">
        <f>IFERROR(E4393-Dashboard!$B$4/252,"")</f>
        <v/>
      </c>
      <c r="H4393" s="8">
        <f>IFERROR(IF(ISNUMBER(B4393),MAX(B4393,IFERROR(H4392,B4393)),""),"")</f>
        <v/>
      </c>
      <c r="I4393" s="29">
        <f>IFERROR(IF(AND(ISNUMBER(B4393),ISNUMBER(H4393)),B4393/H4393-1,""),"")</f>
        <v/>
      </c>
      <c r="J4393" s="8">
        <f>IFERROR(IF(ISNUMBER(C4393),MAX(C4393,IFERROR(J4392,C4393)),""),"")</f>
        <v/>
      </c>
      <c r="K4393" s="29">
        <f>IFERROR(IF(AND(ISNUMBER(C4393),ISNUMBER(J4393)),C4393/J4393-1,""),"")</f>
        <v/>
      </c>
      <c r="L4393" s="28">
        <f>IFERROR(IF(AND(ISNUMBER(D4393),ISNUMBER(E4393)),D4393-E4393,""),"")</f>
        <v/>
      </c>
    </row>
    <row r="4394">
      <c r="A4394" s="7">
        <f>IFERROR(Datos!A4394,"")</f>
        <v/>
      </c>
      <c r="B4394" s="8">
        <f>IFERROR(Datos!B4394,"")</f>
        <v/>
      </c>
      <c r="C4394" s="8">
        <f>IFERROR(Datos!C4394,"")</f>
        <v/>
      </c>
      <c r="D4394" s="28">
        <f>IFERROR(IF(AND(ISNUMBER(B4394),ISNUMBER(B4393),B4393&lt;&gt;0),B4394/B4393-1,""),"")</f>
        <v/>
      </c>
      <c r="E4394" s="28">
        <f>IFERROR(IF(AND(ISNUMBER(C4394),ISNUMBER(C4393),C4393&lt;&gt;0),C4394/C4393-1,""),"")</f>
        <v/>
      </c>
      <c r="F4394" s="28">
        <f>IFERROR(D4394-Dashboard!$B$4/252,"")</f>
        <v/>
      </c>
      <c r="G4394" s="28">
        <f>IFERROR(E4394-Dashboard!$B$4/252,"")</f>
        <v/>
      </c>
      <c r="H4394" s="8">
        <f>IFERROR(IF(ISNUMBER(B4394),MAX(B4394,IFERROR(H4393,B4394)),""),"")</f>
        <v/>
      </c>
      <c r="I4394" s="29">
        <f>IFERROR(IF(AND(ISNUMBER(B4394),ISNUMBER(H4394)),B4394/H4394-1,""),"")</f>
        <v/>
      </c>
      <c r="J4394" s="8">
        <f>IFERROR(IF(ISNUMBER(C4394),MAX(C4394,IFERROR(J4393,C4394)),""),"")</f>
        <v/>
      </c>
      <c r="K4394" s="29">
        <f>IFERROR(IF(AND(ISNUMBER(C4394),ISNUMBER(J4394)),C4394/J4394-1,""),"")</f>
        <v/>
      </c>
      <c r="L4394" s="28">
        <f>IFERROR(IF(AND(ISNUMBER(D4394),ISNUMBER(E4394)),D4394-E4394,""),"")</f>
        <v/>
      </c>
    </row>
    <row r="4395">
      <c r="A4395" s="7">
        <f>IFERROR(Datos!A4395,"")</f>
        <v/>
      </c>
      <c r="B4395" s="8">
        <f>IFERROR(Datos!B4395,"")</f>
        <v/>
      </c>
      <c r="C4395" s="8">
        <f>IFERROR(Datos!C4395,"")</f>
        <v/>
      </c>
      <c r="D4395" s="28">
        <f>IFERROR(IF(AND(ISNUMBER(B4395),ISNUMBER(B4394),B4394&lt;&gt;0),B4395/B4394-1,""),"")</f>
        <v/>
      </c>
      <c r="E4395" s="28">
        <f>IFERROR(IF(AND(ISNUMBER(C4395),ISNUMBER(C4394),C4394&lt;&gt;0),C4395/C4394-1,""),"")</f>
        <v/>
      </c>
      <c r="F4395" s="28">
        <f>IFERROR(D4395-Dashboard!$B$4/252,"")</f>
        <v/>
      </c>
      <c r="G4395" s="28">
        <f>IFERROR(E4395-Dashboard!$B$4/252,"")</f>
        <v/>
      </c>
      <c r="H4395" s="8">
        <f>IFERROR(IF(ISNUMBER(B4395),MAX(B4395,IFERROR(H4394,B4395)),""),"")</f>
        <v/>
      </c>
      <c r="I4395" s="29">
        <f>IFERROR(IF(AND(ISNUMBER(B4395),ISNUMBER(H4395)),B4395/H4395-1,""),"")</f>
        <v/>
      </c>
      <c r="J4395" s="8">
        <f>IFERROR(IF(ISNUMBER(C4395),MAX(C4395,IFERROR(J4394,C4395)),""),"")</f>
        <v/>
      </c>
      <c r="K4395" s="29">
        <f>IFERROR(IF(AND(ISNUMBER(C4395),ISNUMBER(J4395)),C4395/J4395-1,""),"")</f>
        <v/>
      </c>
      <c r="L4395" s="28">
        <f>IFERROR(IF(AND(ISNUMBER(D4395),ISNUMBER(E4395)),D4395-E4395,""),"")</f>
        <v/>
      </c>
    </row>
    <row r="4396">
      <c r="A4396" s="7">
        <f>IFERROR(Datos!A4396,"")</f>
        <v/>
      </c>
      <c r="B4396" s="8">
        <f>IFERROR(Datos!B4396,"")</f>
        <v/>
      </c>
      <c r="C4396" s="8">
        <f>IFERROR(Datos!C4396,"")</f>
        <v/>
      </c>
      <c r="D4396" s="28">
        <f>IFERROR(IF(AND(ISNUMBER(B4396),ISNUMBER(B4395),B4395&lt;&gt;0),B4396/B4395-1,""),"")</f>
        <v/>
      </c>
      <c r="E4396" s="28">
        <f>IFERROR(IF(AND(ISNUMBER(C4396),ISNUMBER(C4395),C4395&lt;&gt;0),C4396/C4395-1,""),"")</f>
        <v/>
      </c>
      <c r="F4396" s="28">
        <f>IFERROR(D4396-Dashboard!$B$4/252,"")</f>
        <v/>
      </c>
      <c r="G4396" s="28">
        <f>IFERROR(E4396-Dashboard!$B$4/252,"")</f>
        <v/>
      </c>
      <c r="H4396" s="8">
        <f>IFERROR(IF(ISNUMBER(B4396),MAX(B4396,IFERROR(H4395,B4396)),""),"")</f>
        <v/>
      </c>
      <c r="I4396" s="29">
        <f>IFERROR(IF(AND(ISNUMBER(B4396),ISNUMBER(H4396)),B4396/H4396-1,""),"")</f>
        <v/>
      </c>
      <c r="J4396" s="8">
        <f>IFERROR(IF(ISNUMBER(C4396),MAX(C4396,IFERROR(J4395,C4396)),""),"")</f>
        <v/>
      </c>
      <c r="K4396" s="29">
        <f>IFERROR(IF(AND(ISNUMBER(C4396),ISNUMBER(J4396)),C4396/J4396-1,""),"")</f>
        <v/>
      </c>
      <c r="L4396" s="28">
        <f>IFERROR(IF(AND(ISNUMBER(D4396),ISNUMBER(E4396)),D4396-E4396,""),"")</f>
        <v/>
      </c>
    </row>
    <row r="4397">
      <c r="A4397" s="7">
        <f>IFERROR(Datos!A4397,"")</f>
        <v/>
      </c>
      <c r="B4397" s="8">
        <f>IFERROR(Datos!B4397,"")</f>
        <v/>
      </c>
      <c r="C4397" s="8">
        <f>IFERROR(Datos!C4397,"")</f>
        <v/>
      </c>
      <c r="D4397" s="28">
        <f>IFERROR(IF(AND(ISNUMBER(B4397),ISNUMBER(B4396),B4396&lt;&gt;0),B4397/B4396-1,""),"")</f>
        <v/>
      </c>
      <c r="E4397" s="28">
        <f>IFERROR(IF(AND(ISNUMBER(C4397),ISNUMBER(C4396),C4396&lt;&gt;0),C4397/C4396-1,""),"")</f>
        <v/>
      </c>
      <c r="F4397" s="28">
        <f>IFERROR(D4397-Dashboard!$B$4/252,"")</f>
        <v/>
      </c>
      <c r="G4397" s="28">
        <f>IFERROR(E4397-Dashboard!$B$4/252,"")</f>
        <v/>
      </c>
      <c r="H4397" s="8">
        <f>IFERROR(IF(ISNUMBER(B4397),MAX(B4397,IFERROR(H4396,B4397)),""),"")</f>
        <v/>
      </c>
      <c r="I4397" s="29">
        <f>IFERROR(IF(AND(ISNUMBER(B4397),ISNUMBER(H4397)),B4397/H4397-1,""),"")</f>
        <v/>
      </c>
      <c r="J4397" s="8">
        <f>IFERROR(IF(ISNUMBER(C4397),MAX(C4397,IFERROR(J4396,C4397)),""),"")</f>
        <v/>
      </c>
      <c r="K4397" s="29">
        <f>IFERROR(IF(AND(ISNUMBER(C4397),ISNUMBER(J4397)),C4397/J4397-1,""),"")</f>
        <v/>
      </c>
      <c r="L4397" s="28">
        <f>IFERROR(IF(AND(ISNUMBER(D4397),ISNUMBER(E4397)),D4397-E4397,""),"")</f>
        <v/>
      </c>
    </row>
    <row r="4398">
      <c r="A4398" s="7">
        <f>IFERROR(Datos!A4398,"")</f>
        <v/>
      </c>
      <c r="B4398" s="8">
        <f>IFERROR(Datos!B4398,"")</f>
        <v/>
      </c>
      <c r="C4398" s="8">
        <f>IFERROR(Datos!C4398,"")</f>
        <v/>
      </c>
      <c r="D4398" s="28">
        <f>IFERROR(IF(AND(ISNUMBER(B4398),ISNUMBER(B4397),B4397&lt;&gt;0),B4398/B4397-1,""),"")</f>
        <v/>
      </c>
      <c r="E4398" s="28">
        <f>IFERROR(IF(AND(ISNUMBER(C4398),ISNUMBER(C4397),C4397&lt;&gt;0),C4398/C4397-1,""),"")</f>
        <v/>
      </c>
      <c r="F4398" s="28">
        <f>IFERROR(D4398-Dashboard!$B$4/252,"")</f>
        <v/>
      </c>
      <c r="G4398" s="28">
        <f>IFERROR(E4398-Dashboard!$B$4/252,"")</f>
        <v/>
      </c>
      <c r="H4398" s="8">
        <f>IFERROR(IF(ISNUMBER(B4398),MAX(B4398,IFERROR(H4397,B4398)),""),"")</f>
        <v/>
      </c>
      <c r="I4398" s="29">
        <f>IFERROR(IF(AND(ISNUMBER(B4398),ISNUMBER(H4398)),B4398/H4398-1,""),"")</f>
        <v/>
      </c>
      <c r="J4398" s="8">
        <f>IFERROR(IF(ISNUMBER(C4398),MAX(C4398,IFERROR(J4397,C4398)),""),"")</f>
        <v/>
      </c>
      <c r="K4398" s="29">
        <f>IFERROR(IF(AND(ISNUMBER(C4398),ISNUMBER(J4398)),C4398/J4398-1,""),"")</f>
        <v/>
      </c>
      <c r="L4398" s="28">
        <f>IFERROR(IF(AND(ISNUMBER(D4398),ISNUMBER(E4398)),D4398-E4398,""),"")</f>
        <v/>
      </c>
    </row>
    <row r="4399">
      <c r="A4399" s="7">
        <f>IFERROR(Datos!A4399,"")</f>
        <v/>
      </c>
      <c r="B4399" s="8">
        <f>IFERROR(Datos!B4399,"")</f>
        <v/>
      </c>
      <c r="C4399" s="8">
        <f>IFERROR(Datos!C4399,"")</f>
        <v/>
      </c>
      <c r="D4399" s="28">
        <f>IFERROR(IF(AND(ISNUMBER(B4399),ISNUMBER(B4398),B4398&lt;&gt;0),B4399/B4398-1,""),"")</f>
        <v/>
      </c>
      <c r="E4399" s="28">
        <f>IFERROR(IF(AND(ISNUMBER(C4399),ISNUMBER(C4398),C4398&lt;&gt;0),C4399/C4398-1,""),"")</f>
        <v/>
      </c>
      <c r="F4399" s="28">
        <f>IFERROR(D4399-Dashboard!$B$4/252,"")</f>
        <v/>
      </c>
      <c r="G4399" s="28">
        <f>IFERROR(E4399-Dashboard!$B$4/252,"")</f>
        <v/>
      </c>
      <c r="H4399" s="8">
        <f>IFERROR(IF(ISNUMBER(B4399),MAX(B4399,IFERROR(H4398,B4399)),""),"")</f>
        <v/>
      </c>
      <c r="I4399" s="29">
        <f>IFERROR(IF(AND(ISNUMBER(B4399),ISNUMBER(H4399)),B4399/H4399-1,""),"")</f>
        <v/>
      </c>
      <c r="J4399" s="8">
        <f>IFERROR(IF(ISNUMBER(C4399),MAX(C4399,IFERROR(J4398,C4399)),""),"")</f>
        <v/>
      </c>
      <c r="K4399" s="29">
        <f>IFERROR(IF(AND(ISNUMBER(C4399),ISNUMBER(J4399)),C4399/J4399-1,""),"")</f>
        <v/>
      </c>
      <c r="L4399" s="28">
        <f>IFERROR(IF(AND(ISNUMBER(D4399),ISNUMBER(E4399)),D4399-E4399,""),"")</f>
        <v/>
      </c>
    </row>
    <row r="4400">
      <c r="A4400" s="7">
        <f>IFERROR(Datos!A4400,"")</f>
        <v/>
      </c>
      <c r="B4400" s="8">
        <f>IFERROR(Datos!B4400,"")</f>
        <v/>
      </c>
      <c r="C4400" s="8">
        <f>IFERROR(Datos!C4400,"")</f>
        <v/>
      </c>
      <c r="D4400" s="28">
        <f>IFERROR(IF(AND(ISNUMBER(B4400),ISNUMBER(B4399),B4399&lt;&gt;0),B4400/B4399-1,""),"")</f>
        <v/>
      </c>
      <c r="E4400" s="28">
        <f>IFERROR(IF(AND(ISNUMBER(C4400),ISNUMBER(C4399),C4399&lt;&gt;0),C4400/C4399-1,""),"")</f>
        <v/>
      </c>
      <c r="F4400" s="28">
        <f>IFERROR(D4400-Dashboard!$B$4/252,"")</f>
        <v/>
      </c>
      <c r="G4400" s="28">
        <f>IFERROR(E4400-Dashboard!$B$4/252,"")</f>
        <v/>
      </c>
      <c r="H4400" s="8">
        <f>IFERROR(IF(ISNUMBER(B4400),MAX(B4400,IFERROR(H4399,B4400)),""),"")</f>
        <v/>
      </c>
      <c r="I4400" s="29">
        <f>IFERROR(IF(AND(ISNUMBER(B4400),ISNUMBER(H4400)),B4400/H4400-1,""),"")</f>
        <v/>
      </c>
      <c r="J4400" s="8">
        <f>IFERROR(IF(ISNUMBER(C4400),MAX(C4400,IFERROR(J4399,C4400)),""),"")</f>
        <v/>
      </c>
      <c r="K4400" s="29">
        <f>IFERROR(IF(AND(ISNUMBER(C4400),ISNUMBER(J4400)),C4400/J4400-1,""),"")</f>
        <v/>
      </c>
      <c r="L4400" s="28">
        <f>IFERROR(IF(AND(ISNUMBER(D4400),ISNUMBER(E4400)),D4400-E4400,""),"")</f>
        <v/>
      </c>
    </row>
    <row r="4401">
      <c r="A4401" s="7">
        <f>IFERROR(Datos!A4401,"")</f>
        <v/>
      </c>
      <c r="B4401" s="8">
        <f>IFERROR(Datos!B4401,"")</f>
        <v/>
      </c>
      <c r="C4401" s="8">
        <f>IFERROR(Datos!C4401,"")</f>
        <v/>
      </c>
      <c r="D4401" s="28">
        <f>IFERROR(IF(AND(ISNUMBER(B4401),ISNUMBER(B4400),B4400&lt;&gt;0),B4401/B4400-1,""),"")</f>
        <v/>
      </c>
      <c r="E4401" s="28">
        <f>IFERROR(IF(AND(ISNUMBER(C4401),ISNUMBER(C4400),C4400&lt;&gt;0),C4401/C4400-1,""),"")</f>
        <v/>
      </c>
      <c r="F4401" s="28">
        <f>IFERROR(D4401-Dashboard!$B$4/252,"")</f>
        <v/>
      </c>
      <c r="G4401" s="28">
        <f>IFERROR(E4401-Dashboard!$B$4/252,"")</f>
        <v/>
      </c>
      <c r="H4401" s="8">
        <f>IFERROR(IF(ISNUMBER(B4401),MAX(B4401,IFERROR(H4400,B4401)),""),"")</f>
        <v/>
      </c>
      <c r="I4401" s="29">
        <f>IFERROR(IF(AND(ISNUMBER(B4401),ISNUMBER(H4401)),B4401/H4401-1,""),"")</f>
        <v/>
      </c>
      <c r="J4401" s="8">
        <f>IFERROR(IF(ISNUMBER(C4401),MAX(C4401,IFERROR(J4400,C4401)),""),"")</f>
        <v/>
      </c>
      <c r="K4401" s="29">
        <f>IFERROR(IF(AND(ISNUMBER(C4401),ISNUMBER(J4401)),C4401/J4401-1,""),"")</f>
        <v/>
      </c>
      <c r="L4401" s="28">
        <f>IFERROR(IF(AND(ISNUMBER(D4401),ISNUMBER(E4401)),D4401-E4401,""),"")</f>
        <v/>
      </c>
    </row>
    <row r="4402">
      <c r="A4402" s="7">
        <f>IFERROR(Datos!A4402,"")</f>
        <v/>
      </c>
      <c r="B4402" s="8">
        <f>IFERROR(Datos!B4402,"")</f>
        <v/>
      </c>
      <c r="C4402" s="8">
        <f>IFERROR(Datos!C4402,"")</f>
        <v/>
      </c>
      <c r="D4402" s="28">
        <f>IFERROR(IF(AND(ISNUMBER(B4402),ISNUMBER(B4401),B4401&lt;&gt;0),B4402/B4401-1,""),"")</f>
        <v/>
      </c>
      <c r="E4402" s="28">
        <f>IFERROR(IF(AND(ISNUMBER(C4402),ISNUMBER(C4401),C4401&lt;&gt;0),C4402/C4401-1,""),"")</f>
        <v/>
      </c>
      <c r="F4402" s="28">
        <f>IFERROR(D4402-Dashboard!$B$4/252,"")</f>
        <v/>
      </c>
      <c r="G4402" s="28">
        <f>IFERROR(E4402-Dashboard!$B$4/252,"")</f>
        <v/>
      </c>
      <c r="H4402" s="8">
        <f>IFERROR(IF(ISNUMBER(B4402),MAX(B4402,IFERROR(H4401,B4402)),""),"")</f>
        <v/>
      </c>
      <c r="I4402" s="29">
        <f>IFERROR(IF(AND(ISNUMBER(B4402),ISNUMBER(H4402)),B4402/H4402-1,""),"")</f>
        <v/>
      </c>
      <c r="J4402" s="8">
        <f>IFERROR(IF(ISNUMBER(C4402),MAX(C4402,IFERROR(J4401,C4402)),""),"")</f>
        <v/>
      </c>
      <c r="K4402" s="29">
        <f>IFERROR(IF(AND(ISNUMBER(C4402),ISNUMBER(J4402)),C4402/J4402-1,""),"")</f>
        <v/>
      </c>
      <c r="L4402" s="28">
        <f>IFERROR(IF(AND(ISNUMBER(D4402),ISNUMBER(E4402)),D4402-E4402,""),"")</f>
        <v/>
      </c>
    </row>
    <row r="4403">
      <c r="A4403" s="7">
        <f>IFERROR(Datos!A4403,"")</f>
        <v/>
      </c>
      <c r="B4403" s="8">
        <f>IFERROR(Datos!B4403,"")</f>
        <v/>
      </c>
      <c r="C4403" s="8">
        <f>IFERROR(Datos!C4403,"")</f>
        <v/>
      </c>
      <c r="D4403" s="28">
        <f>IFERROR(IF(AND(ISNUMBER(B4403),ISNUMBER(B4402),B4402&lt;&gt;0),B4403/B4402-1,""),"")</f>
        <v/>
      </c>
      <c r="E4403" s="28">
        <f>IFERROR(IF(AND(ISNUMBER(C4403),ISNUMBER(C4402),C4402&lt;&gt;0),C4403/C4402-1,""),"")</f>
        <v/>
      </c>
      <c r="F4403" s="28">
        <f>IFERROR(D4403-Dashboard!$B$4/252,"")</f>
        <v/>
      </c>
      <c r="G4403" s="28">
        <f>IFERROR(E4403-Dashboard!$B$4/252,"")</f>
        <v/>
      </c>
      <c r="H4403" s="8">
        <f>IFERROR(IF(ISNUMBER(B4403),MAX(B4403,IFERROR(H4402,B4403)),""),"")</f>
        <v/>
      </c>
      <c r="I4403" s="29">
        <f>IFERROR(IF(AND(ISNUMBER(B4403),ISNUMBER(H4403)),B4403/H4403-1,""),"")</f>
        <v/>
      </c>
      <c r="J4403" s="8">
        <f>IFERROR(IF(ISNUMBER(C4403),MAX(C4403,IFERROR(J4402,C4403)),""),"")</f>
        <v/>
      </c>
      <c r="K4403" s="29">
        <f>IFERROR(IF(AND(ISNUMBER(C4403),ISNUMBER(J4403)),C4403/J4403-1,""),"")</f>
        <v/>
      </c>
      <c r="L4403" s="28">
        <f>IFERROR(IF(AND(ISNUMBER(D4403),ISNUMBER(E4403)),D4403-E4403,""),"")</f>
        <v/>
      </c>
    </row>
    <row r="4404">
      <c r="A4404" s="7">
        <f>IFERROR(Datos!A4404,"")</f>
        <v/>
      </c>
      <c r="B4404" s="8">
        <f>IFERROR(Datos!B4404,"")</f>
        <v/>
      </c>
      <c r="C4404" s="8">
        <f>IFERROR(Datos!C4404,"")</f>
        <v/>
      </c>
      <c r="D4404" s="28">
        <f>IFERROR(IF(AND(ISNUMBER(B4404),ISNUMBER(B4403),B4403&lt;&gt;0),B4404/B4403-1,""),"")</f>
        <v/>
      </c>
      <c r="E4404" s="28">
        <f>IFERROR(IF(AND(ISNUMBER(C4404),ISNUMBER(C4403),C4403&lt;&gt;0),C4404/C4403-1,""),"")</f>
        <v/>
      </c>
      <c r="F4404" s="28">
        <f>IFERROR(D4404-Dashboard!$B$4/252,"")</f>
        <v/>
      </c>
      <c r="G4404" s="28">
        <f>IFERROR(E4404-Dashboard!$B$4/252,"")</f>
        <v/>
      </c>
      <c r="H4404" s="8">
        <f>IFERROR(IF(ISNUMBER(B4404),MAX(B4404,IFERROR(H4403,B4404)),""),"")</f>
        <v/>
      </c>
      <c r="I4404" s="29">
        <f>IFERROR(IF(AND(ISNUMBER(B4404),ISNUMBER(H4404)),B4404/H4404-1,""),"")</f>
        <v/>
      </c>
      <c r="J4404" s="8">
        <f>IFERROR(IF(ISNUMBER(C4404),MAX(C4404,IFERROR(J4403,C4404)),""),"")</f>
        <v/>
      </c>
      <c r="K4404" s="29">
        <f>IFERROR(IF(AND(ISNUMBER(C4404),ISNUMBER(J4404)),C4404/J4404-1,""),"")</f>
        <v/>
      </c>
      <c r="L4404" s="28">
        <f>IFERROR(IF(AND(ISNUMBER(D4404),ISNUMBER(E4404)),D4404-E4404,""),"")</f>
        <v/>
      </c>
    </row>
    <row r="4405">
      <c r="A4405" s="7">
        <f>IFERROR(Datos!A4405,"")</f>
        <v/>
      </c>
      <c r="B4405" s="8">
        <f>IFERROR(Datos!B4405,"")</f>
        <v/>
      </c>
      <c r="C4405" s="8">
        <f>IFERROR(Datos!C4405,"")</f>
        <v/>
      </c>
      <c r="D4405" s="28">
        <f>IFERROR(IF(AND(ISNUMBER(B4405),ISNUMBER(B4404),B4404&lt;&gt;0),B4405/B4404-1,""),"")</f>
        <v/>
      </c>
      <c r="E4405" s="28">
        <f>IFERROR(IF(AND(ISNUMBER(C4405),ISNUMBER(C4404),C4404&lt;&gt;0),C4405/C4404-1,""),"")</f>
        <v/>
      </c>
      <c r="F4405" s="28">
        <f>IFERROR(D4405-Dashboard!$B$4/252,"")</f>
        <v/>
      </c>
      <c r="G4405" s="28">
        <f>IFERROR(E4405-Dashboard!$B$4/252,"")</f>
        <v/>
      </c>
      <c r="H4405" s="8">
        <f>IFERROR(IF(ISNUMBER(B4405),MAX(B4405,IFERROR(H4404,B4405)),""),"")</f>
        <v/>
      </c>
      <c r="I4405" s="29">
        <f>IFERROR(IF(AND(ISNUMBER(B4405),ISNUMBER(H4405)),B4405/H4405-1,""),"")</f>
        <v/>
      </c>
      <c r="J4405" s="8">
        <f>IFERROR(IF(ISNUMBER(C4405),MAX(C4405,IFERROR(J4404,C4405)),""),"")</f>
        <v/>
      </c>
      <c r="K4405" s="29">
        <f>IFERROR(IF(AND(ISNUMBER(C4405),ISNUMBER(J4405)),C4405/J4405-1,""),"")</f>
        <v/>
      </c>
      <c r="L4405" s="28">
        <f>IFERROR(IF(AND(ISNUMBER(D4405),ISNUMBER(E4405)),D4405-E4405,""),"")</f>
        <v/>
      </c>
    </row>
    <row r="4406">
      <c r="A4406" s="7">
        <f>IFERROR(Datos!A4406,"")</f>
        <v/>
      </c>
      <c r="B4406" s="8">
        <f>IFERROR(Datos!B4406,"")</f>
        <v/>
      </c>
      <c r="C4406" s="8">
        <f>IFERROR(Datos!C4406,"")</f>
        <v/>
      </c>
      <c r="D4406" s="28">
        <f>IFERROR(IF(AND(ISNUMBER(B4406),ISNUMBER(B4405),B4405&lt;&gt;0),B4406/B4405-1,""),"")</f>
        <v/>
      </c>
      <c r="E4406" s="28">
        <f>IFERROR(IF(AND(ISNUMBER(C4406),ISNUMBER(C4405),C4405&lt;&gt;0),C4406/C4405-1,""),"")</f>
        <v/>
      </c>
      <c r="F4406" s="28">
        <f>IFERROR(D4406-Dashboard!$B$4/252,"")</f>
        <v/>
      </c>
      <c r="G4406" s="28">
        <f>IFERROR(E4406-Dashboard!$B$4/252,"")</f>
        <v/>
      </c>
      <c r="H4406" s="8">
        <f>IFERROR(IF(ISNUMBER(B4406),MAX(B4406,IFERROR(H4405,B4406)),""),"")</f>
        <v/>
      </c>
      <c r="I4406" s="29">
        <f>IFERROR(IF(AND(ISNUMBER(B4406),ISNUMBER(H4406)),B4406/H4406-1,""),"")</f>
        <v/>
      </c>
      <c r="J4406" s="8">
        <f>IFERROR(IF(ISNUMBER(C4406),MAX(C4406,IFERROR(J4405,C4406)),""),"")</f>
        <v/>
      </c>
      <c r="K4406" s="29">
        <f>IFERROR(IF(AND(ISNUMBER(C4406),ISNUMBER(J4406)),C4406/J4406-1,""),"")</f>
        <v/>
      </c>
      <c r="L4406" s="28">
        <f>IFERROR(IF(AND(ISNUMBER(D4406),ISNUMBER(E4406)),D4406-E4406,""),"")</f>
        <v/>
      </c>
    </row>
    <row r="4407">
      <c r="A4407" s="7">
        <f>IFERROR(Datos!A4407,"")</f>
        <v/>
      </c>
      <c r="B4407" s="8">
        <f>IFERROR(Datos!B4407,"")</f>
        <v/>
      </c>
      <c r="C4407" s="8">
        <f>IFERROR(Datos!C4407,"")</f>
        <v/>
      </c>
      <c r="D4407" s="28">
        <f>IFERROR(IF(AND(ISNUMBER(B4407),ISNUMBER(B4406),B4406&lt;&gt;0),B4407/B4406-1,""),"")</f>
        <v/>
      </c>
      <c r="E4407" s="28">
        <f>IFERROR(IF(AND(ISNUMBER(C4407),ISNUMBER(C4406),C4406&lt;&gt;0),C4407/C4406-1,""),"")</f>
        <v/>
      </c>
      <c r="F4407" s="28">
        <f>IFERROR(D4407-Dashboard!$B$4/252,"")</f>
        <v/>
      </c>
      <c r="G4407" s="28">
        <f>IFERROR(E4407-Dashboard!$B$4/252,"")</f>
        <v/>
      </c>
      <c r="H4407" s="8">
        <f>IFERROR(IF(ISNUMBER(B4407),MAX(B4407,IFERROR(H4406,B4407)),""),"")</f>
        <v/>
      </c>
      <c r="I4407" s="29">
        <f>IFERROR(IF(AND(ISNUMBER(B4407),ISNUMBER(H4407)),B4407/H4407-1,""),"")</f>
        <v/>
      </c>
      <c r="J4407" s="8">
        <f>IFERROR(IF(ISNUMBER(C4407),MAX(C4407,IFERROR(J4406,C4407)),""),"")</f>
        <v/>
      </c>
      <c r="K4407" s="29">
        <f>IFERROR(IF(AND(ISNUMBER(C4407),ISNUMBER(J4407)),C4407/J4407-1,""),"")</f>
        <v/>
      </c>
      <c r="L4407" s="28">
        <f>IFERROR(IF(AND(ISNUMBER(D4407),ISNUMBER(E4407)),D4407-E4407,""),"")</f>
        <v/>
      </c>
    </row>
    <row r="4408">
      <c r="A4408" s="7">
        <f>IFERROR(Datos!A4408,"")</f>
        <v/>
      </c>
      <c r="B4408" s="8">
        <f>IFERROR(Datos!B4408,"")</f>
        <v/>
      </c>
      <c r="C4408" s="8">
        <f>IFERROR(Datos!C4408,"")</f>
        <v/>
      </c>
      <c r="D4408" s="28">
        <f>IFERROR(IF(AND(ISNUMBER(B4408),ISNUMBER(B4407),B4407&lt;&gt;0),B4408/B4407-1,""),"")</f>
        <v/>
      </c>
      <c r="E4408" s="28">
        <f>IFERROR(IF(AND(ISNUMBER(C4408),ISNUMBER(C4407),C4407&lt;&gt;0),C4408/C4407-1,""),"")</f>
        <v/>
      </c>
      <c r="F4408" s="28">
        <f>IFERROR(D4408-Dashboard!$B$4/252,"")</f>
        <v/>
      </c>
      <c r="G4408" s="28">
        <f>IFERROR(E4408-Dashboard!$B$4/252,"")</f>
        <v/>
      </c>
      <c r="H4408" s="8">
        <f>IFERROR(IF(ISNUMBER(B4408),MAX(B4408,IFERROR(H4407,B4408)),""),"")</f>
        <v/>
      </c>
      <c r="I4408" s="29">
        <f>IFERROR(IF(AND(ISNUMBER(B4408),ISNUMBER(H4408)),B4408/H4408-1,""),"")</f>
        <v/>
      </c>
      <c r="J4408" s="8">
        <f>IFERROR(IF(ISNUMBER(C4408),MAX(C4408,IFERROR(J4407,C4408)),""),"")</f>
        <v/>
      </c>
      <c r="K4408" s="29">
        <f>IFERROR(IF(AND(ISNUMBER(C4408),ISNUMBER(J4408)),C4408/J4408-1,""),"")</f>
        <v/>
      </c>
      <c r="L4408" s="28">
        <f>IFERROR(IF(AND(ISNUMBER(D4408),ISNUMBER(E4408)),D4408-E4408,""),"")</f>
        <v/>
      </c>
    </row>
    <row r="4409">
      <c r="A4409" s="7">
        <f>IFERROR(Datos!A4409,"")</f>
        <v/>
      </c>
      <c r="B4409" s="8">
        <f>IFERROR(Datos!B4409,"")</f>
        <v/>
      </c>
      <c r="C4409" s="8">
        <f>IFERROR(Datos!C4409,"")</f>
        <v/>
      </c>
      <c r="D4409" s="28">
        <f>IFERROR(IF(AND(ISNUMBER(B4409),ISNUMBER(B4408),B4408&lt;&gt;0),B4409/B4408-1,""),"")</f>
        <v/>
      </c>
      <c r="E4409" s="28">
        <f>IFERROR(IF(AND(ISNUMBER(C4409),ISNUMBER(C4408),C4408&lt;&gt;0),C4409/C4408-1,""),"")</f>
        <v/>
      </c>
      <c r="F4409" s="28">
        <f>IFERROR(D4409-Dashboard!$B$4/252,"")</f>
        <v/>
      </c>
      <c r="G4409" s="28">
        <f>IFERROR(E4409-Dashboard!$B$4/252,"")</f>
        <v/>
      </c>
      <c r="H4409" s="8">
        <f>IFERROR(IF(ISNUMBER(B4409),MAX(B4409,IFERROR(H4408,B4409)),""),"")</f>
        <v/>
      </c>
      <c r="I4409" s="29">
        <f>IFERROR(IF(AND(ISNUMBER(B4409),ISNUMBER(H4409)),B4409/H4409-1,""),"")</f>
        <v/>
      </c>
      <c r="J4409" s="8">
        <f>IFERROR(IF(ISNUMBER(C4409),MAX(C4409,IFERROR(J4408,C4409)),""),"")</f>
        <v/>
      </c>
      <c r="K4409" s="29">
        <f>IFERROR(IF(AND(ISNUMBER(C4409),ISNUMBER(J4409)),C4409/J4409-1,""),"")</f>
        <v/>
      </c>
      <c r="L4409" s="28">
        <f>IFERROR(IF(AND(ISNUMBER(D4409),ISNUMBER(E4409)),D4409-E4409,""),"")</f>
        <v/>
      </c>
    </row>
    <row r="4410">
      <c r="A4410" s="7">
        <f>IFERROR(Datos!A4410,"")</f>
        <v/>
      </c>
      <c r="B4410" s="8">
        <f>IFERROR(Datos!B4410,"")</f>
        <v/>
      </c>
      <c r="C4410" s="8">
        <f>IFERROR(Datos!C4410,"")</f>
        <v/>
      </c>
      <c r="D4410" s="28">
        <f>IFERROR(IF(AND(ISNUMBER(B4410),ISNUMBER(B4409),B4409&lt;&gt;0),B4410/B4409-1,""),"")</f>
        <v/>
      </c>
      <c r="E4410" s="28">
        <f>IFERROR(IF(AND(ISNUMBER(C4410),ISNUMBER(C4409),C4409&lt;&gt;0),C4410/C4409-1,""),"")</f>
        <v/>
      </c>
      <c r="F4410" s="28">
        <f>IFERROR(D4410-Dashboard!$B$4/252,"")</f>
        <v/>
      </c>
      <c r="G4410" s="28">
        <f>IFERROR(E4410-Dashboard!$B$4/252,"")</f>
        <v/>
      </c>
      <c r="H4410" s="8">
        <f>IFERROR(IF(ISNUMBER(B4410),MAX(B4410,IFERROR(H4409,B4410)),""),"")</f>
        <v/>
      </c>
      <c r="I4410" s="29">
        <f>IFERROR(IF(AND(ISNUMBER(B4410),ISNUMBER(H4410)),B4410/H4410-1,""),"")</f>
        <v/>
      </c>
      <c r="J4410" s="8">
        <f>IFERROR(IF(ISNUMBER(C4410),MAX(C4410,IFERROR(J4409,C4410)),""),"")</f>
        <v/>
      </c>
      <c r="K4410" s="29">
        <f>IFERROR(IF(AND(ISNUMBER(C4410),ISNUMBER(J4410)),C4410/J4410-1,""),"")</f>
        <v/>
      </c>
      <c r="L4410" s="28">
        <f>IFERROR(IF(AND(ISNUMBER(D4410),ISNUMBER(E4410)),D4410-E4410,""),"")</f>
        <v/>
      </c>
    </row>
    <row r="4411">
      <c r="A4411" s="7">
        <f>IFERROR(Datos!A4411,"")</f>
        <v/>
      </c>
      <c r="B4411" s="8">
        <f>IFERROR(Datos!B4411,"")</f>
        <v/>
      </c>
      <c r="C4411" s="8">
        <f>IFERROR(Datos!C4411,"")</f>
        <v/>
      </c>
      <c r="D4411" s="28">
        <f>IFERROR(IF(AND(ISNUMBER(B4411),ISNUMBER(B4410),B4410&lt;&gt;0),B4411/B4410-1,""),"")</f>
        <v/>
      </c>
      <c r="E4411" s="28">
        <f>IFERROR(IF(AND(ISNUMBER(C4411),ISNUMBER(C4410),C4410&lt;&gt;0),C4411/C4410-1,""),"")</f>
        <v/>
      </c>
      <c r="F4411" s="28">
        <f>IFERROR(D4411-Dashboard!$B$4/252,"")</f>
        <v/>
      </c>
      <c r="G4411" s="28">
        <f>IFERROR(E4411-Dashboard!$B$4/252,"")</f>
        <v/>
      </c>
      <c r="H4411" s="8">
        <f>IFERROR(IF(ISNUMBER(B4411),MAX(B4411,IFERROR(H4410,B4411)),""),"")</f>
        <v/>
      </c>
      <c r="I4411" s="29">
        <f>IFERROR(IF(AND(ISNUMBER(B4411),ISNUMBER(H4411)),B4411/H4411-1,""),"")</f>
        <v/>
      </c>
      <c r="J4411" s="8">
        <f>IFERROR(IF(ISNUMBER(C4411),MAX(C4411,IFERROR(J4410,C4411)),""),"")</f>
        <v/>
      </c>
      <c r="K4411" s="29">
        <f>IFERROR(IF(AND(ISNUMBER(C4411),ISNUMBER(J4411)),C4411/J4411-1,""),"")</f>
        <v/>
      </c>
      <c r="L4411" s="28">
        <f>IFERROR(IF(AND(ISNUMBER(D4411),ISNUMBER(E4411)),D4411-E4411,""),"")</f>
        <v/>
      </c>
    </row>
    <row r="4412">
      <c r="A4412" s="7">
        <f>IFERROR(Datos!A4412,"")</f>
        <v/>
      </c>
      <c r="B4412" s="8">
        <f>IFERROR(Datos!B4412,"")</f>
        <v/>
      </c>
      <c r="C4412" s="8">
        <f>IFERROR(Datos!C4412,"")</f>
        <v/>
      </c>
      <c r="D4412" s="28">
        <f>IFERROR(IF(AND(ISNUMBER(B4412),ISNUMBER(B4411),B4411&lt;&gt;0),B4412/B4411-1,""),"")</f>
        <v/>
      </c>
      <c r="E4412" s="28">
        <f>IFERROR(IF(AND(ISNUMBER(C4412),ISNUMBER(C4411),C4411&lt;&gt;0),C4412/C4411-1,""),"")</f>
        <v/>
      </c>
      <c r="F4412" s="28">
        <f>IFERROR(D4412-Dashboard!$B$4/252,"")</f>
        <v/>
      </c>
      <c r="G4412" s="28">
        <f>IFERROR(E4412-Dashboard!$B$4/252,"")</f>
        <v/>
      </c>
      <c r="H4412" s="8">
        <f>IFERROR(IF(ISNUMBER(B4412),MAX(B4412,IFERROR(H4411,B4412)),""),"")</f>
        <v/>
      </c>
      <c r="I4412" s="29">
        <f>IFERROR(IF(AND(ISNUMBER(B4412),ISNUMBER(H4412)),B4412/H4412-1,""),"")</f>
        <v/>
      </c>
      <c r="J4412" s="8">
        <f>IFERROR(IF(ISNUMBER(C4412),MAX(C4412,IFERROR(J4411,C4412)),""),"")</f>
        <v/>
      </c>
      <c r="K4412" s="29">
        <f>IFERROR(IF(AND(ISNUMBER(C4412),ISNUMBER(J4412)),C4412/J4412-1,""),"")</f>
        <v/>
      </c>
      <c r="L4412" s="28">
        <f>IFERROR(IF(AND(ISNUMBER(D4412),ISNUMBER(E4412)),D4412-E4412,""),"")</f>
        <v/>
      </c>
    </row>
    <row r="4413">
      <c r="A4413" s="7">
        <f>IFERROR(Datos!A4413,"")</f>
        <v/>
      </c>
      <c r="B4413" s="8">
        <f>IFERROR(Datos!B4413,"")</f>
        <v/>
      </c>
      <c r="C4413" s="8">
        <f>IFERROR(Datos!C4413,"")</f>
        <v/>
      </c>
      <c r="D4413" s="28">
        <f>IFERROR(IF(AND(ISNUMBER(B4413),ISNUMBER(B4412),B4412&lt;&gt;0),B4413/B4412-1,""),"")</f>
        <v/>
      </c>
      <c r="E4413" s="28">
        <f>IFERROR(IF(AND(ISNUMBER(C4413),ISNUMBER(C4412),C4412&lt;&gt;0),C4413/C4412-1,""),"")</f>
        <v/>
      </c>
      <c r="F4413" s="28">
        <f>IFERROR(D4413-Dashboard!$B$4/252,"")</f>
        <v/>
      </c>
      <c r="G4413" s="28">
        <f>IFERROR(E4413-Dashboard!$B$4/252,"")</f>
        <v/>
      </c>
      <c r="H4413" s="8">
        <f>IFERROR(IF(ISNUMBER(B4413),MAX(B4413,IFERROR(H4412,B4413)),""),"")</f>
        <v/>
      </c>
      <c r="I4413" s="29">
        <f>IFERROR(IF(AND(ISNUMBER(B4413),ISNUMBER(H4413)),B4413/H4413-1,""),"")</f>
        <v/>
      </c>
      <c r="J4413" s="8">
        <f>IFERROR(IF(ISNUMBER(C4413),MAX(C4413,IFERROR(J4412,C4413)),""),"")</f>
        <v/>
      </c>
      <c r="K4413" s="29">
        <f>IFERROR(IF(AND(ISNUMBER(C4413),ISNUMBER(J4413)),C4413/J4413-1,""),"")</f>
        <v/>
      </c>
      <c r="L4413" s="28">
        <f>IFERROR(IF(AND(ISNUMBER(D4413),ISNUMBER(E4413)),D4413-E4413,""),"")</f>
        <v/>
      </c>
    </row>
    <row r="4414">
      <c r="A4414" s="7">
        <f>IFERROR(Datos!A4414,"")</f>
        <v/>
      </c>
      <c r="B4414" s="8">
        <f>IFERROR(Datos!B4414,"")</f>
        <v/>
      </c>
      <c r="C4414" s="8">
        <f>IFERROR(Datos!C4414,"")</f>
        <v/>
      </c>
      <c r="D4414" s="28">
        <f>IFERROR(IF(AND(ISNUMBER(B4414),ISNUMBER(B4413),B4413&lt;&gt;0),B4414/B4413-1,""),"")</f>
        <v/>
      </c>
      <c r="E4414" s="28">
        <f>IFERROR(IF(AND(ISNUMBER(C4414),ISNUMBER(C4413),C4413&lt;&gt;0),C4414/C4413-1,""),"")</f>
        <v/>
      </c>
      <c r="F4414" s="28">
        <f>IFERROR(D4414-Dashboard!$B$4/252,"")</f>
        <v/>
      </c>
      <c r="G4414" s="28">
        <f>IFERROR(E4414-Dashboard!$B$4/252,"")</f>
        <v/>
      </c>
      <c r="H4414" s="8">
        <f>IFERROR(IF(ISNUMBER(B4414),MAX(B4414,IFERROR(H4413,B4414)),""),"")</f>
        <v/>
      </c>
      <c r="I4414" s="29">
        <f>IFERROR(IF(AND(ISNUMBER(B4414),ISNUMBER(H4414)),B4414/H4414-1,""),"")</f>
        <v/>
      </c>
      <c r="J4414" s="8">
        <f>IFERROR(IF(ISNUMBER(C4414),MAX(C4414,IFERROR(J4413,C4414)),""),"")</f>
        <v/>
      </c>
      <c r="K4414" s="29">
        <f>IFERROR(IF(AND(ISNUMBER(C4414),ISNUMBER(J4414)),C4414/J4414-1,""),"")</f>
        <v/>
      </c>
      <c r="L4414" s="28">
        <f>IFERROR(IF(AND(ISNUMBER(D4414),ISNUMBER(E4414)),D4414-E4414,""),"")</f>
        <v/>
      </c>
    </row>
    <row r="4415">
      <c r="A4415" s="7">
        <f>IFERROR(Datos!A4415,"")</f>
        <v/>
      </c>
      <c r="B4415" s="8">
        <f>IFERROR(Datos!B4415,"")</f>
        <v/>
      </c>
      <c r="C4415" s="8">
        <f>IFERROR(Datos!C4415,"")</f>
        <v/>
      </c>
      <c r="D4415" s="28">
        <f>IFERROR(IF(AND(ISNUMBER(B4415),ISNUMBER(B4414),B4414&lt;&gt;0),B4415/B4414-1,""),"")</f>
        <v/>
      </c>
      <c r="E4415" s="28">
        <f>IFERROR(IF(AND(ISNUMBER(C4415),ISNUMBER(C4414),C4414&lt;&gt;0),C4415/C4414-1,""),"")</f>
        <v/>
      </c>
      <c r="F4415" s="28">
        <f>IFERROR(D4415-Dashboard!$B$4/252,"")</f>
        <v/>
      </c>
      <c r="G4415" s="28">
        <f>IFERROR(E4415-Dashboard!$B$4/252,"")</f>
        <v/>
      </c>
      <c r="H4415" s="8">
        <f>IFERROR(IF(ISNUMBER(B4415),MAX(B4415,IFERROR(H4414,B4415)),""),"")</f>
        <v/>
      </c>
      <c r="I4415" s="29">
        <f>IFERROR(IF(AND(ISNUMBER(B4415),ISNUMBER(H4415)),B4415/H4415-1,""),"")</f>
        <v/>
      </c>
      <c r="J4415" s="8">
        <f>IFERROR(IF(ISNUMBER(C4415),MAX(C4415,IFERROR(J4414,C4415)),""),"")</f>
        <v/>
      </c>
      <c r="K4415" s="29">
        <f>IFERROR(IF(AND(ISNUMBER(C4415),ISNUMBER(J4415)),C4415/J4415-1,""),"")</f>
        <v/>
      </c>
      <c r="L4415" s="28">
        <f>IFERROR(IF(AND(ISNUMBER(D4415),ISNUMBER(E4415)),D4415-E4415,""),"")</f>
        <v/>
      </c>
    </row>
    <row r="4416">
      <c r="A4416" s="7">
        <f>IFERROR(Datos!A4416,"")</f>
        <v/>
      </c>
      <c r="B4416" s="8">
        <f>IFERROR(Datos!B4416,"")</f>
        <v/>
      </c>
      <c r="C4416" s="8">
        <f>IFERROR(Datos!C4416,"")</f>
        <v/>
      </c>
      <c r="D4416" s="28">
        <f>IFERROR(IF(AND(ISNUMBER(B4416),ISNUMBER(B4415),B4415&lt;&gt;0),B4416/B4415-1,""),"")</f>
        <v/>
      </c>
      <c r="E4416" s="28">
        <f>IFERROR(IF(AND(ISNUMBER(C4416),ISNUMBER(C4415),C4415&lt;&gt;0),C4416/C4415-1,""),"")</f>
        <v/>
      </c>
      <c r="F4416" s="28">
        <f>IFERROR(D4416-Dashboard!$B$4/252,"")</f>
        <v/>
      </c>
      <c r="G4416" s="28">
        <f>IFERROR(E4416-Dashboard!$B$4/252,"")</f>
        <v/>
      </c>
      <c r="H4416" s="8">
        <f>IFERROR(IF(ISNUMBER(B4416),MAX(B4416,IFERROR(H4415,B4416)),""),"")</f>
        <v/>
      </c>
      <c r="I4416" s="29">
        <f>IFERROR(IF(AND(ISNUMBER(B4416),ISNUMBER(H4416)),B4416/H4416-1,""),"")</f>
        <v/>
      </c>
      <c r="J4416" s="8">
        <f>IFERROR(IF(ISNUMBER(C4416),MAX(C4416,IFERROR(J4415,C4416)),""),"")</f>
        <v/>
      </c>
      <c r="K4416" s="29">
        <f>IFERROR(IF(AND(ISNUMBER(C4416),ISNUMBER(J4416)),C4416/J4416-1,""),"")</f>
        <v/>
      </c>
      <c r="L4416" s="28">
        <f>IFERROR(IF(AND(ISNUMBER(D4416),ISNUMBER(E4416)),D4416-E4416,""),"")</f>
        <v/>
      </c>
    </row>
    <row r="4417">
      <c r="A4417" s="7">
        <f>IFERROR(Datos!A4417,"")</f>
        <v/>
      </c>
      <c r="B4417" s="8">
        <f>IFERROR(Datos!B4417,"")</f>
        <v/>
      </c>
      <c r="C4417" s="8">
        <f>IFERROR(Datos!C4417,"")</f>
        <v/>
      </c>
      <c r="D4417" s="28">
        <f>IFERROR(IF(AND(ISNUMBER(B4417),ISNUMBER(B4416),B4416&lt;&gt;0),B4417/B4416-1,""),"")</f>
        <v/>
      </c>
      <c r="E4417" s="28">
        <f>IFERROR(IF(AND(ISNUMBER(C4417),ISNUMBER(C4416),C4416&lt;&gt;0),C4417/C4416-1,""),"")</f>
        <v/>
      </c>
      <c r="F4417" s="28">
        <f>IFERROR(D4417-Dashboard!$B$4/252,"")</f>
        <v/>
      </c>
      <c r="G4417" s="28">
        <f>IFERROR(E4417-Dashboard!$B$4/252,"")</f>
        <v/>
      </c>
      <c r="H4417" s="8">
        <f>IFERROR(IF(ISNUMBER(B4417),MAX(B4417,IFERROR(H4416,B4417)),""),"")</f>
        <v/>
      </c>
      <c r="I4417" s="29">
        <f>IFERROR(IF(AND(ISNUMBER(B4417),ISNUMBER(H4417)),B4417/H4417-1,""),"")</f>
        <v/>
      </c>
      <c r="J4417" s="8">
        <f>IFERROR(IF(ISNUMBER(C4417),MAX(C4417,IFERROR(J4416,C4417)),""),"")</f>
        <v/>
      </c>
      <c r="K4417" s="29">
        <f>IFERROR(IF(AND(ISNUMBER(C4417),ISNUMBER(J4417)),C4417/J4417-1,""),"")</f>
        <v/>
      </c>
      <c r="L4417" s="28">
        <f>IFERROR(IF(AND(ISNUMBER(D4417),ISNUMBER(E4417)),D4417-E4417,""),"")</f>
        <v/>
      </c>
    </row>
    <row r="4418">
      <c r="A4418" s="7">
        <f>IFERROR(Datos!A4418,"")</f>
        <v/>
      </c>
      <c r="B4418" s="8">
        <f>IFERROR(Datos!B4418,"")</f>
        <v/>
      </c>
      <c r="C4418" s="8">
        <f>IFERROR(Datos!C4418,"")</f>
        <v/>
      </c>
      <c r="D4418" s="28">
        <f>IFERROR(IF(AND(ISNUMBER(B4418),ISNUMBER(B4417),B4417&lt;&gt;0),B4418/B4417-1,""),"")</f>
        <v/>
      </c>
      <c r="E4418" s="28">
        <f>IFERROR(IF(AND(ISNUMBER(C4418),ISNUMBER(C4417),C4417&lt;&gt;0),C4418/C4417-1,""),"")</f>
        <v/>
      </c>
      <c r="F4418" s="28">
        <f>IFERROR(D4418-Dashboard!$B$4/252,"")</f>
        <v/>
      </c>
      <c r="G4418" s="28">
        <f>IFERROR(E4418-Dashboard!$B$4/252,"")</f>
        <v/>
      </c>
      <c r="H4418" s="8">
        <f>IFERROR(IF(ISNUMBER(B4418),MAX(B4418,IFERROR(H4417,B4418)),""),"")</f>
        <v/>
      </c>
      <c r="I4418" s="29">
        <f>IFERROR(IF(AND(ISNUMBER(B4418),ISNUMBER(H4418)),B4418/H4418-1,""),"")</f>
        <v/>
      </c>
      <c r="J4418" s="8">
        <f>IFERROR(IF(ISNUMBER(C4418),MAX(C4418,IFERROR(J4417,C4418)),""),"")</f>
        <v/>
      </c>
      <c r="K4418" s="29">
        <f>IFERROR(IF(AND(ISNUMBER(C4418),ISNUMBER(J4418)),C4418/J4418-1,""),"")</f>
        <v/>
      </c>
      <c r="L4418" s="28">
        <f>IFERROR(IF(AND(ISNUMBER(D4418),ISNUMBER(E4418)),D4418-E4418,""),"")</f>
        <v/>
      </c>
    </row>
    <row r="4419">
      <c r="A4419" s="7">
        <f>IFERROR(Datos!A4419,"")</f>
        <v/>
      </c>
      <c r="B4419" s="8">
        <f>IFERROR(Datos!B4419,"")</f>
        <v/>
      </c>
      <c r="C4419" s="8">
        <f>IFERROR(Datos!C4419,"")</f>
        <v/>
      </c>
      <c r="D4419" s="28">
        <f>IFERROR(IF(AND(ISNUMBER(B4419),ISNUMBER(B4418),B4418&lt;&gt;0),B4419/B4418-1,""),"")</f>
        <v/>
      </c>
      <c r="E4419" s="28">
        <f>IFERROR(IF(AND(ISNUMBER(C4419),ISNUMBER(C4418),C4418&lt;&gt;0),C4419/C4418-1,""),"")</f>
        <v/>
      </c>
      <c r="F4419" s="28">
        <f>IFERROR(D4419-Dashboard!$B$4/252,"")</f>
        <v/>
      </c>
      <c r="G4419" s="28">
        <f>IFERROR(E4419-Dashboard!$B$4/252,"")</f>
        <v/>
      </c>
      <c r="H4419" s="8">
        <f>IFERROR(IF(ISNUMBER(B4419),MAX(B4419,IFERROR(H4418,B4419)),""),"")</f>
        <v/>
      </c>
      <c r="I4419" s="29">
        <f>IFERROR(IF(AND(ISNUMBER(B4419),ISNUMBER(H4419)),B4419/H4419-1,""),"")</f>
        <v/>
      </c>
      <c r="J4419" s="8">
        <f>IFERROR(IF(ISNUMBER(C4419),MAX(C4419,IFERROR(J4418,C4419)),""),"")</f>
        <v/>
      </c>
      <c r="K4419" s="29">
        <f>IFERROR(IF(AND(ISNUMBER(C4419),ISNUMBER(J4419)),C4419/J4419-1,""),"")</f>
        <v/>
      </c>
      <c r="L4419" s="28">
        <f>IFERROR(IF(AND(ISNUMBER(D4419),ISNUMBER(E4419)),D4419-E4419,""),"")</f>
        <v/>
      </c>
    </row>
    <row r="4420">
      <c r="A4420" s="7">
        <f>IFERROR(Datos!A4420,"")</f>
        <v/>
      </c>
      <c r="B4420" s="8">
        <f>IFERROR(Datos!B4420,"")</f>
        <v/>
      </c>
      <c r="C4420" s="8">
        <f>IFERROR(Datos!C4420,"")</f>
        <v/>
      </c>
      <c r="D4420" s="28">
        <f>IFERROR(IF(AND(ISNUMBER(B4420),ISNUMBER(B4419),B4419&lt;&gt;0),B4420/B4419-1,""),"")</f>
        <v/>
      </c>
      <c r="E4420" s="28">
        <f>IFERROR(IF(AND(ISNUMBER(C4420),ISNUMBER(C4419),C4419&lt;&gt;0),C4420/C4419-1,""),"")</f>
        <v/>
      </c>
      <c r="F4420" s="28">
        <f>IFERROR(D4420-Dashboard!$B$4/252,"")</f>
        <v/>
      </c>
      <c r="G4420" s="28">
        <f>IFERROR(E4420-Dashboard!$B$4/252,"")</f>
        <v/>
      </c>
      <c r="H4420" s="8">
        <f>IFERROR(IF(ISNUMBER(B4420),MAX(B4420,IFERROR(H4419,B4420)),""),"")</f>
        <v/>
      </c>
      <c r="I4420" s="29">
        <f>IFERROR(IF(AND(ISNUMBER(B4420),ISNUMBER(H4420)),B4420/H4420-1,""),"")</f>
        <v/>
      </c>
      <c r="J4420" s="8">
        <f>IFERROR(IF(ISNUMBER(C4420),MAX(C4420,IFERROR(J4419,C4420)),""),"")</f>
        <v/>
      </c>
      <c r="K4420" s="29">
        <f>IFERROR(IF(AND(ISNUMBER(C4420),ISNUMBER(J4420)),C4420/J4420-1,""),"")</f>
        <v/>
      </c>
      <c r="L4420" s="28">
        <f>IFERROR(IF(AND(ISNUMBER(D4420),ISNUMBER(E4420)),D4420-E4420,""),"")</f>
        <v/>
      </c>
    </row>
    <row r="4421">
      <c r="A4421" s="7">
        <f>IFERROR(Datos!A4421,"")</f>
        <v/>
      </c>
      <c r="B4421" s="8">
        <f>IFERROR(Datos!B4421,"")</f>
        <v/>
      </c>
      <c r="C4421" s="8">
        <f>IFERROR(Datos!C4421,"")</f>
        <v/>
      </c>
      <c r="D4421" s="28">
        <f>IFERROR(IF(AND(ISNUMBER(B4421),ISNUMBER(B4420),B4420&lt;&gt;0),B4421/B4420-1,""),"")</f>
        <v/>
      </c>
      <c r="E4421" s="28">
        <f>IFERROR(IF(AND(ISNUMBER(C4421),ISNUMBER(C4420),C4420&lt;&gt;0),C4421/C4420-1,""),"")</f>
        <v/>
      </c>
      <c r="F4421" s="28">
        <f>IFERROR(D4421-Dashboard!$B$4/252,"")</f>
        <v/>
      </c>
      <c r="G4421" s="28">
        <f>IFERROR(E4421-Dashboard!$B$4/252,"")</f>
        <v/>
      </c>
      <c r="H4421" s="8">
        <f>IFERROR(IF(ISNUMBER(B4421),MAX(B4421,IFERROR(H4420,B4421)),""),"")</f>
        <v/>
      </c>
      <c r="I4421" s="29">
        <f>IFERROR(IF(AND(ISNUMBER(B4421),ISNUMBER(H4421)),B4421/H4421-1,""),"")</f>
        <v/>
      </c>
      <c r="J4421" s="8">
        <f>IFERROR(IF(ISNUMBER(C4421),MAX(C4421,IFERROR(J4420,C4421)),""),"")</f>
        <v/>
      </c>
      <c r="K4421" s="29">
        <f>IFERROR(IF(AND(ISNUMBER(C4421),ISNUMBER(J4421)),C4421/J4421-1,""),"")</f>
        <v/>
      </c>
      <c r="L4421" s="28">
        <f>IFERROR(IF(AND(ISNUMBER(D4421),ISNUMBER(E4421)),D4421-E4421,""),"")</f>
        <v/>
      </c>
    </row>
    <row r="4422">
      <c r="A4422" s="7">
        <f>IFERROR(Datos!A4422,"")</f>
        <v/>
      </c>
      <c r="B4422" s="8">
        <f>IFERROR(Datos!B4422,"")</f>
        <v/>
      </c>
      <c r="C4422" s="8">
        <f>IFERROR(Datos!C4422,"")</f>
        <v/>
      </c>
      <c r="D4422" s="28">
        <f>IFERROR(IF(AND(ISNUMBER(B4422),ISNUMBER(B4421),B4421&lt;&gt;0),B4422/B4421-1,""),"")</f>
        <v/>
      </c>
      <c r="E4422" s="28">
        <f>IFERROR(IF(AND(ISNUMBER(C4422),ISNUMBER(C4421),C4421&lt;&gt;0),C4422/C4421-1,""),"")</f>
        <v/>
      </c>
      <c r="F4422" s="28">
        <f>IFERROR(D4422-Dashboard!$B$4/252,"")</f>
        <v/>
      </c>
      <c r="G4422" s="28">
        <f>IFERROR(E4422-Dashboard!$B$4/252,"")</f>
        <v/>
      </c>
      <c r="H4422" s="8">
        <f>IFERROR(IF(ISNUMBER(B4422),MAX(B4422,IFERROR(H4421,B4422)),""),"")</f>
        <v/>
      </c>
      <c r="I4422" s="29">
        <f>IFERROR(IF(AND(ISNUMBER(B4422),ISNUMBER(H4422)),B4422/H4422-1,""),"")</f>
        <v/>
      </c>
      <c r="J4422" s="8">
        <f>IFERROR(IF(ISNUMBER(C4422),MAX(C4422,IFERROR(J4421,C4422)),""),"")</f>
        <v/>
      </c>
      <c r="K4422" s="29">
        <f>IFERROR(IF(AND(ISNUMBER(C4422),ISNUMBER(J4422)),C4422/J4422-1,""),"")</f>
        <v/>
      </c>
      <c r="L4422" s="28">
        <f>IFERROR(IF(AND(ISNUMBER(D4422),ISNUMBER(E4422)),D4422-E4422,""),"")</f>
        <v/>
      </c>
    </row>
    <row r="4423">
      <c r="A4423" s="7">
        <f>IFERROR(Datos!A4423,"")</f>
        <v/>
      </c>
      <c r="B4423" s="8">
        <f>IFERROR(Datos!B4423,"")</f>
        <v/>
      </c>
      <c r="C4423" s="8">
        <f>IFERROR(Datos!C4423,"")</f>
        <v/>
      </c>
      <c r="D4423" s="28">
        <f>IFERROR(IF(AND(ISNUMBER(B4423),ISNUMBER(B4422),B4422&lt;&gt;0),B4423/B4422-1,""),"")</f>
        <v/>
      </c>
      <c r="E4423" s="28">
        <f>IFERROR(IF(AND(ISNUMBER(C4423),ISNUMBER(C4422),C4422&lt;&gt;0),C4423/C4422-1,""),"")</f>
        <v/>
      </c>
      <c r="F4423" s="28">
        <f>IFERROR(D4423-Dashboard!$B$4/252,"")</f>
        <v/>
      </c>
      <c r="G4423" s="28">
        <f>IFERROR(E4423-Dashboard!$B$4/252,"")</f>
        <v/>
      </c>
      <c r="H4423" s="8">
        <f>IFERROR(IF(ISNUMBER(B4423),MAX(B4423,IFERROR(H4422,B4423)),""),"")</f>
        <v/>
      </c>
      <c r="I4423" s="29">
        <f>IFERROR(IF(AND(ISNUMBER(B4423),ISNUMBER(H4423)),B4423/H4423-1,""),"")</f>
        <v/>
      </c>
      <c r="J4423" s="8">
        <f>IFERROR(IF(ISNUMBER(C4423),MAX(C4423,IFERROR(J4422,C4423)),""),"")</f>
        <v/>
      </c>
      <c r="K4423" s="29">
        <f>IFERROR(IF(AND(ISNUMBER(C4423),ISNUMBER(J4423)),C4423/J4423-1,""),"")</f>
        <v/>
      </c>
      <c r="L4423" s="28">
        <f>IFERROR(IF(AND(ISNUMBER(D4423),ISNUMBER(E4423)),D4423-E4423,""),"")</f>
        <v/>
      </c>
    </row>
    <row r="4424">
      <c r="A4424" s="7">
        <f>IFERROR(Datos!A4424,"")</f>
        <v/>
      </c>
      <c r="B4424" s="8">
        <f>IFERROR(Datos!B4424,"")</f>
        <v/>
      </c>
      <c r="C4424" s="8">
        <f>IFERROR(Datos!C4424,"")</f>
        <v/>
      </c>
      <c r="D4424" s="28">
        <f>IFERROR(IF(AND(ISNUMBER(B4424),ISNUMBER(B4423),B4423&lt;&gt;0),B4424/B4423-1,""),"")</f>
        <v/>
      </c>
      <c r="E4424" s="28">
        <f>IFERROR(IF(AND(ISNUMBER(C4424),ISNUMBER(C4423),C4423&lt;&gt;0),C4424/C4423-1,""),"")</f>
        <v/>
      </c>
      <c r="F4424" s="28">
        <f>IFERROR(D4424-Dashboard!$B$4/252,"")</f>
        <v/>
      </c>
      <c r="G4424" s="28">
        <f>IFERROR(E4424-Dashboard!$B$4/252,"")</f>
        <v/>
      </c>
      <c r="H4424" s="8">
        <f>IFERROR(IF(ISNUMBER(B4424),MAX(B4424,IFERROR(H4423,B4424)),""),"")</f>
        <v/>
      </c>
      <c r="I4424" s="29">
        <f>IFERROR(IF(AND(ISNUMBER(B4424),ISNUMBER(H4424)),B4424/H4424-1,""),"")</f>
        <v/>
      </c>
      <c r="J4424" s="8">
        <f>IFERROR(IF(ISNUMBER(C4424),MAX(C4424,IFERROR(J4423,C4424)),""),"")</f>
        <v/>
      </c>
      <c r="K4424" s="29">
        <f>IFERROR(IF(AND(ISNUMBER(C4424),ISNUMBER(J4424)),C4424/J4424-1,""),"")</f>
        <v/>
      </c>
      <c r="L4424" s="28">
        <f>IFERROR(IF(AND(ISNUMBER(D4424),ISNUMBER(E4424)),D4424-E4424,""),"")</f>
        <v/>
      </c>
    </row>
    <row r="4425">
      <c r="A4425" s="7">
        <f>IFERROR(Datos!A4425,"")</f>
        <v/>
      </c>
      <c r="B4425" s="8">
        <f>IFERROR(Datos!B4425,"")</f>
        <v/>
      </c>
      <c r="C4425" s="8">
        <f>IFERROR(Datos!C4425,"")</f>
        <v/>
      </c>
      <c r="D4425" s="28">
        <f>IFERROR(IF(AND(ISNUMBER(B4425),ISNUMBER(B4424),B4424&lt;&gt;0),B4425/B4424-1,""),"")</f>
        <v/>
      </c>
      <c r="E4425" s="28">
        <f>IFERROR(IF(AND(ISNUMBER(C4425),ISNUMBER(C4424),C4424&lt;&gt;0),C4425/C4424-1,""),"")</f>
        <v/>
      </c>
      <c r="F4425" s="28">
        <f>IFERROR(D4425-Dashboard!$B$4/252,"")</f>
        <v/>
      </c>
      <c r="G4425" s="28">
        <f>IFERROR(E4425-Dashboard!$B$4/252,"")</f>
        <v/>
      </c>
      <c r="H4425" s="8">
        <f>IFERROR(IF(ISNUMBER(B4425),MAX(B4425,IFERROR(H4424,B4425)),""),"")</f>
        <v/>
      </c>
      <c r="I4425" s="29">
        <f>IFERROR(IF(AND(ISNUMBER(B4425),ISNUMBER(H4425)),B4425/H4425-1,""),"")</f>
        <v/>
      </c>
      <c r="J4425" s="8">
        <f>IFERROR(IF(ISNUMBER(C4425),MAX(C4425,IFERROR(J4424,C4425)),""),"")</f>
        <v/>
      </c>
      <c r="K4425" s="29">
        <f>IFERROR(IF(AND(ISNUMBER(C4425),ISNUMBER(J4425)),C4425/J4425-1,""),"")</f>
        <v/>
      </c>
      <c r="L4425" s="28">
        <f>IFERROR(IF(AND(ISNUMBER(D4425),ISNUMBER(E4425)),D4425-E4425,""),"")</f>
        <v/>
      </c>
    </row>
    <row r="4426">
      <c r="A4426" s="7">
        <f>IFERROR(Datos!A4426,"")</f>
        <v/>
      </c>
      <c r="B4426" s="8">
        <f>IFERROR(Datos!B4426,"")</f>
        <v/>
      </c>
      <c r="C4426" s="8">
        <f>IFERROR(Datos!C4426,"")</f>
        <v/>
      </c>
      <c r="D4426" s="28">
        <f>IFERROR(IF(AND(ISNUMBER(B4426),ISNUMBER(B4425),B4425&lt;&gt;0),B4426/B4425-1,""),"")</f>
        <v/>
      </c>
      <c r="E4426" s="28">
        <f>IFERROR(IF(AND(ISNUMBER(C4426),ISNUMBER(C4425),C4425&lt;&gt;0),C4426/C4425-1,""),"")</f>
        <v/>
      </c>
      <c r="F4426" s="28">
        <f>IFERROR(D4426-Dashboard!$B$4/252,"")</f>
        <v/>
      </c>
      <c r="G4426" s="28">
        <f>IFERROR(E4426-Dashboard!$B$4/252,"")</f>
        <v/>
      </c>
      <c r="H4426" s="8">
        <f>IFERROR(IF(ISNUMBER(B4426),MAX(B4426,IFERROR(H4425,B4426)),""),"")</f>
        <v/>
      </c>
      <c r="I4426" s="29">
        <f>IFERROR(IF(AND(ISNUMBER(B4426),ISNUMBER(H4426)),B4426/H4426-1,""),"")</f>
        <v/>
      </c>
      <c r="J4426" s="8">
        <f>IFERROR(IF(ISNUMBER(C4426),MAX(C4426,IFERROR(J4425,C4426)),""),"")</f>
        <v/>
      </c>
      <c r="K4426" s="29">
        <f>IFERROR(IF(AND(ISNUMBER(C4426),ISNUMBER(J4426)),C4426/J4426-1,""),"")</f>
        <v/>
      </c>
      <c r="L4426" s="28">
        <f>IFERROR(IF(AND(ISNUMBER(D4426),ISNUMBER(E4426)),D4426-E4426,""),"")</f>
        <v/>
      </c>
    </row>
    <row r="4427">
      <c r="A4427" s="7">
        <f>IFERROR(Datos!A4427,"")</f>
        <v/>
      </c>
      <c r="B4427" s="8">
        <f>IFERROR(Datos!B4427,"")</f>
        <v/>
      </c>
      <c r="C4427" s="8">
        <f>IFERROR(Datos!C4427,"")</f>
        <v/>
      </c>
      <c r="D4427" s="28">
        <f>IFERROR(IF(AND(ISNUMBER(B4427),ISNUMBER(B4426),B4426&lt;&gt;0),B4427/B4426-1,""),"")</f>
        <v/>
      </c>
      <c r="E4427" s="28">
        <f>IFERROR(IF(AND(ISNUMBER(C4427),ISNUMBER(C4426),C4426&lt;&gt;0),C4427/C4426-1,""),"")</f>
        <v/>
      </c>
      <c r="F4427" s="28">
        <f>IFERROR(D4427-Dashboard!$B$4/252,"")</f>
        <v/>
      </c>
      <c r="G4427" s="28">
        <f>IFERROR(E4427-Dashboard!$B$4/252,"")</f>
        <v/>
      </c>
      <c r="H4427" s="8">
        <f>IFERROR(IF(ISNUMBER(B4427),MAX(B4427,IFERROR(H4426,B4427)),""),"")</f>
        <v/>
      </c>
      <c r="I4427" s="29">
        <f>IFERROR(IF(AND(ISNUMBER(B4427),ISNUMBER(H4427)),B4427/H4427-1,""),"")</f>
        <v/>
      </c>
      <c r="J4427" s="8">
        <f>IFERROR(IF(ISNUMBER(C4427),MAX(C4427,IFERROR(J4426,C4427)),""),"")</f>
        <v/>
      </c>
      <c r="K4427" s="29">
        <f>IFERROR(IF(AND(ISNUMBER(C4427),ISNUMBER(J4427)),C4427/J4427-1,""),"")</f>
        <v/>
      </c>
      <c r="L4427" s="28">
        <f>IFERROR(IF(AND(ISNUMBER(D4427),ISNUMBER(E4427)),D4427-E4427,""),"")</f>
        <v/>
      </c>
    </row>
    <row r="4428">
      <c r="A4428" s="7">
        <f>IFERROR(Datos!A4428,"")</f>
        <v/>
      </c>
      <c r="B4428" s="8">
        <f>IFERROR(Datos!B4428,"")</f>
        <v/>
      </c>
      <c r="C4428" s="8">
        <f>IFERROR(Datos!C4428,"")</f>
        <v/>
      </c>
      <c r="D4428" s="28">
        <f>IFERROR(IF(AND(ISNUMBER(B4428),ISNUMBER(B4427),B4427&lt;&gt;0),B4428/B4427-1,""),"")</f>
        <v/>
      </c>
      <c r="E4428" s="28">
        <f>IFERROR(IF(AND(ISNUMBER(C4428),ISNUMBER(C4427),C4427&lt;&gt;0),C4428/C4427-1,""),"")</f>
        <v/>
      </c>
      <c r="F4428" s="28">
        <f>IFERROR(D4428-Dashboard!$B$4/252,"")</f>
        <v/>
      </c>
      <c r="G4428" s="28">
        <f>IFERROR(E4428-Dashboard!$B$4/252,"")</f>
        <v/>
      </c>
      <c r="H4428" s="8">
        <f>IFERROR(IF(ISNUMBER(B4428),MAX(B4428,IFERROR(H4427,B4428)),""),"")</f>
        <v/>
      </c>
      <c r="I4428" s="29">
        <f>IFERROR(IF(AND(ISNUMBER(B4428),ISNUMBER(H4428)),B4428/H4428-1,""),"")</f>
        <v/>
      </c>
      <c r="J4428" s="8">
        <f>IFERROR(IF(ISNUMBER(C4428),MAX(C4428,IFERROR(J4427,C4428)),""),"")</f>
        <v/>
      </c>
      <c r="K4428" s="29">
        <f>IFERROR(IF(AND(ISNUMBER(C4428),ISNUMBER(J4428)),C4428/J4428-1,""),"")</f>
        <v/>
      </c>
      <c r="L4428" s="28">
        <f>IFERROR(IF(AND(ISNUMBER(D4428),ISNUMBER(E4428)),D4428-E4428,""),"")</f>
        <v/>
      </c>
    </row>
    <row r="4429">
      <c r="A4429" s="7">
        <f>IFERROR(Datos!A4429,"")</f>
        <v/>
      </c>
      <c r="B4429" s="8">
        <f>IFERROR(Datos!B4429,"")</f>
        <v/>
      </c>
      <c r="C4429" s="8">
        <f>IFERROR(Datos!C4429,"")</f>
        <v/>
      </c>
      <c r="D4429" s="28">
        <f>IFERROR(IF(AND(ISNUMBER(B4429),ISNUMBER(B4428),B4428&lt;&gt;0),B4429/B4428-1,""),"")</f>
        <v/>
      </c>
      <c r="E4429" s="28">
        <f>IFERROR(IF(AND(ISNUMBER(C4429),ISNUMBER(C4428),C4428&lt;&gt;0),C4429/C4428-1,""),"")</f>
        <v/>
      </c>
      <c r="F4429" s="28">
        <f>IFERROR(D4429-Dashboard!$B$4/252,"")</f>
        <v/>
      </c>
      <c r="G4429" s="28">
        <f>IFERROR(E4429-Dashboard!$B$4/252,"")</f>
        <v/>
      </c>
      <c r="H4429" s="8">
        <f>IFERROR(IF(ISNUMBER(B4429),MAX(B4429,IFERROR(H4428,B4429)),""),"")</f>
        <v/>
      </c>
      <c r="I4429" s="29">
        <f>IFERROR(IF(AND(ISNUMBER(B4429),ISNUMBER(H4429)),B4429/H4429-1,""),"")</f>
        <v/>
      </c>
      <c r="J4429" s="8">
        <f>IFERROR(IF(ISNUMBER(C4429),MAX(C4429,IFERROR(J4428,C4429)),""),"")</f>
        <v/>
      </c>
      <c r="K4429" s="29">
        <f>IFERROR(IF(AND(ISNUMBER(C4429),ISNUMBER(J4429)),C4429/J4429-1,""),"")</f>
        <v/>
      </c>
      <c r="L4429" s="28">
        <f>IFERROR(IF(AND(ISNUMBER(D4429),ISNUMBER(E4429)),D4429-E4429,""),"")</f>
        <v/>
      </c>
    </row>
    <row r="4430">
      <c r="A4430" s="7">
        <f>IFERROR(Datos!A4430,"")</f>
        <v/>
      </c>
      <c r="B4430" s="8">
        <f>IFERROR(Datos!B4430,"")</f>
        <v/>
      </c>
      <c r="C4430" s="8">
        <f>IFERROR(Datos!C4430,"")</f>
        <v/>
      </c>
      <c r="D4430" s="28">
        <f>IFERROR(IF(AND(ISNUMBER(B4430),ISNUMBER(B4429),B4429&lt;&gt;0),B4430/B4429-1,""),"")</f>
        <v/>
      </c>
      <c r="E4430" s="28">
        <f>IFERROR(IF(AND(ISNUMBER(C4430),ISNUMBER(C4429),C4429&lt;&gt;0),C4430/C4429-1,""),"")</f>
        <v/>
      </c>
      <c r="F4430" s="28">
        <f>IFERROR(D4430-Dashboard!$B$4/252,"")</f>
        <v/>
      </c>
      <c r="G4430" s="28">
        <f>IFERROR(E4430-Dashboard!$B$4/252,"")</f>
        <v/>
      </c>
      <c r="H4430" s="8">
        <f>IFERROR(IF(ISNUMBER(B4430),MAX(B4430,IFERROR(H4429,B4430)),""),"")</f>
        <v/>
      </c>
      <c r="I4430" s="29">
        <f>IFERROR(IF(AND(ISNUMBER(B4430),ISNUMBER(H4430)),B4430/H4430-1,""),"")</f>
        <v/>
      </c>
      <c r="J4430" s="8">
        <f>IFERROR(IF(ISNUMBER(C4430),MAX(C4430,IFERROR(J4429,C4430)),""),"")</f>
        <v/>
      </c>
      <c r="K4430" s="29">
        <f>IFERROR(IF(AND(ISNUMBER(C4430),ISNUMBER(J4430)),C4430/J4430-1,""),"")</f>
        <v/>
      </c>
      <c r="L4430" s="28">
        <f>IFERROR(IF(AND(ISNUMBER(D4430),ISNUMBER(E4430)),D4430-E4430,""),"")</f>
        <v/>
      </c>
    </row>
    <row r="4431">
      <c r="A4431" s="7">
        <f>IFERROR(Datos!A4431,"")</f>
        <v/>
      </c>
      <c r="B4431" s="8">
        <f>IFERROR(Datos!B4431,"")</f>
        <v/>
      </c>
      <c r="C4431" s="8">
        <f>IFERROR(Datos!C4431,"")</f>
        <v/>
      </c>
      <c r="D4431" s="28">
        <f>IFERROR(IF(AND(ISNUMBER(B4431),ISNUMBER(B4430),B4430&lt;&gt;0),B4431/B4430-1,""),"")</f>
        <v/>
      </c>
      <c r="E4431" s="28">
        <f>IFERROR(IF(AND(ISNUMBER(C4431),ISNUMBER(C4430),C4430&lt;&gt;0),C4431/C4430-1,""),"")</f>
        <v/>
      </c>
      <c r="F4431" s="28">
        <f>IFERROR(D4431-Dashboard!$B$4/252,"")</f>
        <v/>
      </c>
      <c r="G4431" s="28">
        <f>IFERROR(E4431-Dashboard!$B$4/252,"")</f>
        <v/>
      </c>
      <c r="H4431" s="8">
        <f>IFERROR(IF(ISNUMBER(B4431),MAX(B4431,IFERROR(H4430,B4431)),""),"")</f>
        <v/>
      </c>
      <c r="I4431" s="29">
        <f>IFERROR(IF(AND(ISNUMBER(B4431),ISNUMBER(H4431)),B4431/H4431-1,""),"")</f>
        <v/>
      </c>
      <c r="J4431" s="8">
        <f>IFERROR(IF(ISNUMBER(C4431),MAX(C4431,IFERROR(J4430,C4431)),""),"")</f>
        <v/>
      </c>
      <c r="K4431" s="29">
        <f>IFERROR(IF(AND(ISNUMBER(C4431),ISNUMBER(J4431)),C4431/J4431-1,""),"")</f>
        <v/>
      </c>
      <c r="L4431" s="28">
        <f>IFERROR(IF(AND(ISNUMBER(D4431),ISNUMBER(E4431)),D4431-E4431,""),"")</f>
        <v/>
      </c>
    </row>
    <row r="4432">
      <c r="A4432" s="7">
        <f>IFERROR(Datos!A4432,"")</f>
        <v/>
      </c>
      <c r="B4432" s="8">
        <f>IFERROR(Datos!B4432,"")</f>
        <v/>
      </c>
      <c r="C4432" s="8">
        <f>IFERROR(Datos!C4432,"")</f>
        <v/>
      </c>
      <c r="D4432" s="28">
        <f>IFERROR(IF(AND(ISNUMBER(B4432),ISNUMBER(B4431),B4431&lt;&gt;0),B4432/B4431-1,""),"")</f>
        <v/>
      </c>
      <c r="E4432" s="28">
        <f>IFERROR(IF(AND(ISNUMBER(C4432),ISNUMBER(C4431),C4431&lt;&gt;0),C4432/C4431-1,""),"")</f>
        <v/>
      </c>
      <c r="F4432" s="28">
        <f>IFERROR(D4432-Dashboard!$B$4/252,"")</f>
        <v/>
      </c>
      <c r="G4432" s="28">
        <f>IFERROR(E4432-Dashboard!$B$4/252,"")</f>
        <v/>
      </c>
      <c r="H4432" s="8">
        <f>IFERROR(IF(ISNUMBER(B4432),MAX(B4432,IFERROR(H4431,B4432)),""),"")</f>
        <v/>
      </c>
      <c r="I4432" s="29">
        <f>IFERROR(IF(AND(ISNUMBER(B4432),ISNUMBER(H4432)),B4432/H4432-1,""),"")</f>
        <v/>
      </c>
      <c r="J4432" s="8">
        <f>IFERROR(IF(ISNUMBER(C4432),MAX(C4432,IFERROR(J4431,C4432)),""),"")</f>
        <v/>
      </c>
      <c r="K4432" s="29">
        <f>IFERROR(IF(AND(ISNUMBER(C4432),ISNUMBER(J4432)),C4432/J4432-1,""),"")</f>
        <v/>
      </c>
      <c r="L4432" s="28">
        <f>IFERROR(IF(AND(ISNUMBER(D4432),ISNUMBER(E4432)),D4432-E4432,""),"")</f>
        <v/>
      </c>
    </row>
    <row r="4433">
      <c r="A4433" s="7">
        <f>IFERROR(Datos!A4433,"")</f>
        <v/>
      </c>
      <c r="B4433" s="8">
        <f>IFERROR(Datos!B4433,"")</f>
        <v/>
      </c>
      <c r="C4433" s="8">
        <f>IFERROR(Datos!C4433,"")</f>
        <v/>
      </c>
      <c r="D4433" s="28">
        <f>IFERROR(IF(AND(ISNUMBER(B4433),ISNUMBER(B4432),B4432&lt;&gt;0),B4433/B4432-1,""),"")</f>
        <v/>
      </c>
      <c r="E4433" s="28">
        <f>IFERROR(IF(AND(ISNUMBER(C4433),ISNUMBER(C4432),C4432&lt;&gt;0),C4433/C4432-1,""),"")</f>
        <v/>
      </c>
      <c r="F4433" s="28">
        <f>IFERROR(D4433-Dashboard!$B$4/252,"")</f>
        <v/>
      </c>
      <c r="G4433" s="28">
        <f>IFERROR(E4433-Dashboard!$B$4/252,"")</f>
        <v/>
      </c>
      <c r="H4433" s="8">
        <f>IFERROR(IF(ISNUMBER(B4433),MAX(B4433,IFERROR(H4432,B4433)),""),"")</f>
        <v/>
      </c>
      <c r="I4433" s="29">
        <f>IFERROR(IF(AND(ISNUMBER(B4433),ISNUMBER(H4433)),B4433/H4433-1,""),"")</f>
        <v/>
      </c>
      <c r="J4433" s="8">
        <f>IFERROR(IF(ISNUMBER(C4433),MAX(C4433,IFERROR(J4432,C4433)),""),"")</f>
        <v/>
      </c>
      <c r="K4433" s="29">
        <f>IFERROR(IF(AND(ISNUMBER(C4433),ISNUMBER(J4433)),C4433/J4433-1,""),"")</f>
        <v/>
      </c>
      <c r="L4433" s="28">
        <f>IFERROR(IF(AND(ISNUMBER(D4433),ISNUMBER(E4433)),D4433-E4433,""),"")</f>
        <v/>
      </c>
    </row>
    <row r="4434">
      <c r="A4434" s="7">
        <f>IFERROR(Datos!A4434,"")</f>
        <v/>
      </c>
      <c r="B4434" s="8">
        <f>IFERROR(Datos!B4434,"")</f>
        <v/>
      </c>
      <c r="C4434" s="8">
        <f>IFERROR(Datos!C4434,"")</f>
        <v/>
      </c>
      <c r="D4434" s="28">
        <f>IFERROR(IF(AND(ISNUMBER(B4434),ISNUMBER(B4433),B4433&lt;&gt;0),B4434/B4433-1,""),"")</f>
        <v/>
      </c>
      <c r="E4434" s="28">
        <f>IFERROR(IF(AND(ISNUMBER(C4434),ISNUMBER(C4433),C4433&lt;&gt;0),C4434/C4433-1,""),"")</f>
        <v/>
      </c>
      <c r="F4434" s="28">
        <f>IFERROR(D4434-Dashboard!$B$4/252,"")</f>
        <v/>
      </c>
      <c r="G4434" s="28">
        <f>IFERROR(E4434-Dashboard!$B$4/252,"")</f>
        <v/>
      </c>
      <c r="H4434" s="8">
        <f>IFERROR(IF(ISNUMBER(B4434),MAX(B4434,IFERROR(H4433,B4434)),""),"")</f>
        <v/>
      </c>
      <c r="I4434" s="29">
        <f>IFERROR(IF(AND(ISNUMBER(B4434),ISNUMBER(H4434)),B4434/H4434-1,""),"")</f>
        <v/>
      </c>
      <c r="J4434" s="8">
        <f>IFERROR(IF(ISNUMBER(C4434),MAX(C4434,IFERROR(J4433,C4434)),""),"")</f>
        <v/>
      </c>
      <c r="K4434" s="29">
        <f>IFERROR(IF(AND(ISNUMBER(C4434),ISNUMBER(J4434)),C4434/J4434-1,""),"")</f>
        <v/>
      </c>
      <c r="L4434" s="28">
        <f>IFERROR(IF(AND(ISNUMBER(D4434),ISNUMBER(E4434)),D4434-E4434,""),"")</f>
        <v/>
      </c>
    </row>
    <row r="4435">
      <c r="A4435" s="7">
        <f>IFERROR(Datos!A4435,"")</f>
        <v/>
      </c>
      <c r="B4435" s="8">
        <f>IFERROR(Datos!B4435,"")</f>
        <v/>
      </c>
      <c r="C4435" s="8">
        <f>IFERROR(Datos!C4435,"")</f>
        <v/>
      </c>
      <c r="D4435" s="28">
        <f>IFERROR(IF(AND(ISNUMBER(B4435),ISNUMBER(B4434),B4434&lt;&gt;0),B4435/B4434-1,""),"")</f>
        <v/>
      </c>
      <c r="E4435" s="28">
        <f>IFERROR(IF(AND(ISNUMBER(C4435),ISNUMBER(C4434),C4434&lt;&gt;0),C4435/C4434-1,""),"")</f>
        <v/>
      </c>
      <c r="F4435" s="28">
        <f>IFERROR(D4435-Dashboard!$B$4/252,"")</f>
        <v/>
      </c>
      <c r="G4435" s="28">
        <f>IFERROR(E4435-Dashboard!$B$4/252,"")</f>
        <v/>
      </c>
      <c r="H4435" s="8">
        <f>IFERROR(IF(ISNUMBER(B4435),MAX(B4435,IFERROR(H4434,B4435)),""),"")</f>
        <v/>
      </c>
      <c r="I4435" s="29">
        <f>IFERROR(IF(AND(ISNUMBER(B4435),ISNUMBER(H4435)),B4435/H4435-1,""),"")</f>
        <v/>
      </c>
      <c r="J4435" s="8">
        <f>IFERROR(IF(ISNUMBER(C4435),MAX(C4435,IFERROR(J4434,C4435)),""),"")</f>
        <v/>
      </c>
      <c r="K4435" s="29">
        <f>IFERROR(IF(AND(ISNUMBER(C4435),ISNUMBER(J4435)),C4435/J4435-1,""),"")</f>
        <v/>
      </c>
      <c r="L4435" s="28">
        <f>IFERROR(IF(AND(ISNUMBER(D4435),ISNUMBER(E4435)),D4435-E4435,""),"")</f>
        <v/>
      </c>
    </row>
    <row r="4436">
      <c r="A4436" s="7">
        <f>IFERROR(Datos!A4436,"")</f>
        <v/>
      </c>
      <c r="B4436" s="8">
        <f>IFERROR(Datos!B4436,"")</f>
        <v/>
      </c>
      <c r="C4436" s="8">
        <f>IFERROR(Datos!C4436,"")</f>
        <v/>
      </c>
      <c r="D4436" s="28">
        <f>IFERROR(IF(AND(ISNUMBER(B4436),ISNUMBER(B4435),B4435&lt;&gt;0),B4436/B4435-1,""),"")</f>
        <v/>
      </c>
      <c r="E4436" s="28">
        <f>IFERROR(IF(AND(ISNUMBER(C4436),ISNUMBER(C4435),C4435&lt;&gt;0),C4436/C4435-1,""),"")</f>
        <v/>
      </c>
      <c r="F4436" s="28">
        <f>IFERROR(D4436-Dashboard!$B$4/252,"")</f>
        <v/>
      </c>
      <c r="G4436" s="28">
        <f>IFERROR(E4436-Dashboard!$B$4/252,"")</f>
        <v/>
      </c>
      <c r="H4436" s="8">
        <f>IFERROR(IF(ISNUMBER(B4436),MAX(B4436,IFERROR(H4435,B4436)),""),"")</f>
        <v/>
      </c>
      <c r="I4436" s="29">
        <f>IFERROR(IF(AND(ISNUMBER(B4436),ISNUMBER(H4436)),B4436/H4436-1,""),"")</f>
        <v/>
      </c>
      <c r="J4436" s="8">
        <f>IFERROR(IF(ISNUMBER(C4436),MAX(C4436,IFERROR(J4435,C4436)),""),"")</f>
        <v/>
      </c>
      <c r="K4436" s="29">
        <f>IFERROR(IF(AND(ISNUMBER(C4436),ISNUMBER(J4436)),C4436/J4436-1,""),"")</f>
        <v/>
      </c>
      <c r="L4436" s="28">
        <f>IFERROR(IF(AND(ISNUMBER(D4436),ISNUMBER(E4436)),D4436-E4436,""),"")</f>
        <v/>
      </c>
    </row>
    <row r="4437">
      <c r="A4437" s="7">
        <f>IFERROR(Datos!A4437,"")</f>
        <v/>
      </c>
      <c r="B4437" s="8">
        <f>IFERROR(Datos!B4437,"")</f>
        <v/>
      </c>
      <c r="C4437" s="8">
        <f>IFERROR(Datos!C4437,"")</f>
        <v/>
      </c>
      <c r="D4437" s="28">
        <f>IFERROR(IF(AND(ISNUMBER(B4437),ISNUMBER(B4436),B4436&lt;&gt;0),B4437/B4436-1,""),"")</f>
        <v/>
      </c>
      <c r="E4437" s="28">
        <f>IFERROR(IF(AND(ISNUMBER(C4437),ISNUMBER(C4436),C4436&lt;&gt;0),C4437/C4436-1,""),"")</f>
        <v/>
      </c>
      <c r="F4437" s="28">
        <f>IFERROR(D4437-Dashboard!$B$4/252,"")</f>
        <v/>
      </c>
      <c r="G4437" s="28">
        <f>IFERROR(E4437-Dashboard!$B$4/252,"")</f>
        <v/>
      </c>
      <c r="H4437" s="8">
        <f>IFERROR(IF(ISNUMBER(B4437),MAX(B4437,IFERROR(H4436,B4437)),""),"")</f>
        <v/>
      </c>
      <c r="I4437" s="29">
        <f>IFERROR(IF(AND(ISNUMBER(B4437),ISNUMBER(H4437)),B4437/H4437-1,""),"")</f>
        <v/>
      </c>
      <c r="J4437" s="8">
        <f>IFERROR(IF(ISNUMBER(C4437),MAX(C4437,IFERROR(J4436,C4437)),""),"")</f>
        <v/>
      </c>
      <c r="K4437" s="29">
        <f>IFERROR(IF(AND(ISNUMBER(C4437),ISNUMBER(J4437)),C4437/J4437-1,""),"")</f>
        <v/>
      </c>
      <c r="L4437" s="28">
        <f>IFERROR(IF(AND(ISNUMBER(D4437),ISNUMBER(E4437)),D4437-E4437,""),"")</f>
        <v/>
      </c>
    </row>
    <row r="4438">
      <c r="A4438" s="7">
        <f>IFERROR(Datos!A4438,"")</f>
        <v/>
      </c>
      <c r="B4438" s="8">
        <f>IFERROR(Datos!B4438,"")</f>
        <v/>
      </c>
      <c r="C4438" s="8">
        <f>IFERROR(Datos!C4438,"")</f>
        <v/>
      </c>
      <c r="D4438" s="28">
        <f>IFERROR(IF(AND(ISNUMBER(B4438),ISNUMBER(B4437),B4437&lt;&gt;0),B4438/B4437-1,""),"")</f>
        <v/>
      </c>
      <c r="E4438" s="28">
        <f>IFERROR(IF(AND(ISNUMBER(C4438),ISNUMBER(C4437),C4437&lt;&gt;0),C4438/C4437-1,""),"")</f>
        <v/>
      </c>
      <c r="F4438" s="28">
        <f>IFERROR(D4438-Dashboard!$B$4/252,"")</f>
        <v/>
      </c>
      <c r="G4438" s="28">
        <f>IFERROR(E4438-Dashboard!$B$4/252,"")</f>
        <v/>
      </c>
      <c r="H4438" s="8">
        <f>IFERROR(IF(ISNUMBER(B4438),MAX(B4438,IFERROR(H4437,B4438)),""),"")</f>
        <v/>
      </c>
      <c r="I4438" s="29">
        <f>IFERROR(IF(AND(ISNUMBER(B4438),ISNUMBER(H4438)),B4438/H4438-1,""),"")</f>
        <v/>
      </c>
      <c r="J4438" s="8">
        <f>IFERROR(IF(ISNUMBER(C4438),MAX(C4438,IFERROR(J4437,C4438)),""),"")</f>
        <v/>
      </c>
      <c r="K4438" s="29">
        <f>IFERROR(IF(AND(ISNUMBER(C4438),ISNUMBER(J4438)),C4438/J4438-1,""),"")</f>
        <v/>
      </c>
      <c r="L4438" s="28">
        <f>IFERROR(IF(AND(ISNUMBER(D4438),ISNUMBER(E4438)),D4438-E4438,""),"")</f>
        <v/>
      </c>
    </row>
    <row r="4439">
      <c r="A4439" s="7">
        <f>IFERROR(Datos!A4439,"")</f>
        <v/>
      </c>
      <c r="B4439" s="8">
        <f>IFERROR(Datos!B4439,"")</f>
        <v/>
      </c>
      <c r="C4439" s="8">
        <f>IFERROR(Datos!C4439,"")</f>
        <v/>
      </c>
      <c r="D4439" s="28">
        <f>IFERROR(IF(AND(ISNUMBER(B4439),ISNUMBER(B4438),B4438&lt;&gt;0),B4439/B4438-1,""),"")</f>
        <v/>
      </c>
      <c r="E4439" s="28">
        <f>IFERROR(IF(AND(ISNUMBER(C4439),ISNUMBER(C4438),C4438&lt;&gt;0),C4439/C4438-1,""),"")</f>
        <v/>
      </c>
      <c r="F4439" s="28">
        <f>IFERROR(D4439-Dashboard!$B$4/252,"")</f>
        <v/>
      </c>
      <c r="G4439" s="28">
        <f>IFERROR(E4439-Dashboard!$B$4/252,"")</f>
        <v/>
      </c>
      <c r="H4439" s="8">
        <f>IFERROR(IF(ISNUMBER(B4439),MAX(B4439,IFERROR(H4438,B4439)),""),"")</f>
        <v/>
      </c>
      <c r="I4439" s="29">
        <f>IFERROR(IF(AND(ISNUMBER(B4439),ISNUMBER(H4439)),B4439/H4439-1,""),"")</f>
        <v/>
      </c>
      <c r="J4439" s="8">
        <f>IFERROR(IF(ISNUMBER(C4439),MAX(C4439,IFERROR(J4438,C4439)),""),"")</f>
        <v/>
      </c>
      <c r="K4439" s="29">
        <f>IFERROR(IF(AND(ISNUMBER(C4439),ISNUMBER(J4439)),C4439/J4439-1,""),"")</f>
        <v/>
      </c>
      <c r="L4439" s="28">
        <f>IFERROR(IF(AND(ISNUMBER(D4439),ISNUMBER(E4439)),D4439-E4439,""),"")</f>
        <v/>
      </c>
    </row>
    <row r="4440">
      <c r="A4440" s="7">
        <f>IFERROR(Datos!A4440,"")</f>
        <v/>
      </c>
      <c r="B4440" s="8">
        <f>IFERROR(Datos!B4440,"")</f>
        <v/>
      </c>
      <c r="C4440" s="8">
        <f>IFERROR(Datos!C4440,"")</f>
        <v/>
      </c>
      <c r="D4440" s="28">
        <f>IFERROR(IF(AND(ISNUMBER(B4440),ISNUMBER(B4439),B4439&lt;&gt;0),B4440/B4439-1,""),"")</f>
        <v/>
      </c>
      <c r="E4440" s="28">
        <f>IFERROR(IF(AND(ISNUMBER(C4440),ISNUMBER(C4439),C4439&lt;&gt;0),C4440/C4439-1,""),"")</f>
        <v/>
      </c>
      <c r="F4440" s="28">
        <f>IFERROR(D4440-Dashboard!$B$4/252,"")</f>
        <v/>
      </c>
      <c r="G4440" s="28">
        <f>IFERROR(E4440-Dashboard!$B$4/252,"")</f>
        <v/>
      </c>
      <c r="H4440" s="8">
        <f>IFERROR(IF(ISNUMBER(B4440),MAX(B4440,IFERROR(H4439,B4440)),""),"")</f>
        <v/>
      </c>
      <c r="I4440" s="29">
        <f>IFERROR(IF(AND(ISNUMBER(B4440),ISNUMBER(H4440)),B4440/H4440-1,""),"")</f>
        <v/>
      </c>
      <c r="J4440" s="8">
        <f>IFERROR(IF(ISNUMBER(C4440),MAX(C4440,IFERROR(J4439,C4440)),""),"")</f>
        <v/>
      </c>
      <c r="K4440" s="29">
        <f>IFERROR(IF(AND(ISNUMBER(C4440),ISNUMBER(J4440)),C4440/J4440-1,""),"")</f>
        <v/>
      </c>
      <c r="L4440" s="28">
        <f>IFERROR(IF(AND(ISNUMBER(D4440),ISNUMBER(E4440)),D4440-E4440,""),"")</f>
        <v/>
      </c>
    </row>
    <row r="4441">
      <c r="A4441" s="7">
        <f>IFERROR(Datos!A4441,"")</f>
        <v/>
      </c>
      <c r="B4441" s="8">
        <f>IFERROR(Datos!B4441,"")</f>
        <v/>
      </c>
      <c r="C4441" s="8">
        <f>IFERROR(Datos!C4441,"")</f>
        <v/>
      </c>
      <c r="D4441" s="28">
        <f>IFERROR(IF(AND(ISNUMBER(B4441),ISNUMBER(B4440),B4440&lt;&gt;0),B4441/B4440-1,""),"")</f>
        <v/>
      </c>
      <c r="E4441" s="28">
        <f>IFERROR(IF(AND(ISNUMBER(C4441),ISNUMBER(C4440),C4440&lt;&gt;0),C4441/C4440-1,""),"")</f>
        <v/>
      </c>
      <c r="F4441" s="28">
        <f>IFERROR(D4441-Dashboard!$B$4/252,"")</f>
        <v/>
      </c>
      <c r="G4441" s="28">
        <f>IFERROR(E4441-Dashboard!$B$4/252,"")</f>
        <v/>
      </c>
      <c r="H4441" s="8">
        <f>IFERROR(IF(ISNUMBER(B4441),MAX(B4441,IFERROR(H4440,B4441)),""),"")</f>
        <v/>
      </c>
      <c r="I4441" s="29">
        <f>IFERROR(IF(AND(ISNUMBER(B4441),ISNUMBER(H4441)),B4441/H4441-1,""),"")</f>
        <v/>
      </c>
      <c r="J4441" s="8">
        <f>IFERROR(IF(ISNUMBER(C4441),MAX(C4441,IFERROR(J4440,C4441)),""),"")</f>
        <v/>
      </c>
      <c r="K4441" s="29">
        <f>IFERROR(IF(AND(ISNUMBER(C4441),ISNUMBER(J4441)),C4441/J4441-1,""),"")</f>
        <v/>
      </c>
      <c r="L4441" s="28">
        <f>IFERROR(IF(AND(ISNUMBER(D4441),ISNUMBER(E4441)),D4441-E4441,""),"")</f>
        <v/>
      </c>
    </row>
    <row r="4442">
      <c r="A4442" s="7">
        <f>IFERROR(Datos!A4442,"")</f>
        <v/>
      </c>
      <c r="B4442" s="8">
        <f>IFERROR(Datos!B4442,"")</f>
        <v/>
      </c>
      <c r="C4442" s="8">
        <f>IFERROR(Datos!C4442,"")</f>
        <v/>
      </c>
      <c r="D4442" s="28">
        <f>IFERROR(IF(AND(ISNUMBER(B4442),ISNUMBER(B4441),B4441&lt;&gt;0),B4442/B4441-1,""),"")</f>
        <v/>
      </c>
      <c r="E4442" s="28">
        <f>IFERROR(IF(AND(ISNUMBER(C4442),ISNUMBER(C4441),C4441&lt;&gt;0),C4442/C4441-1,""),"")</f>
        <v/>
      </c>
      <c r="F4442" s="28">
        <f>IFERROR(D4442-Dashboard!$B$4/252,"")</f>
        <v/>
      </c>
      <c r="G4442" s="28">
        <f>IFERROR(E4442-Dashboard!$B$4/252,"")</f>
        <v/>
      </c>
      <c r="H4442" s="8">
        <f>IFERROR(IF(ISNUMBER(B4442),MAX(B4442,IFERROR(H4441,B4442)),""),"")</f>
        <v/>
      </c>
      <c r="I4442" s="29">
        <f>IFERROR(IF(AND(ISNUMBER(B4442),ISNUMBER(H4442)),B4442/H4442-1,""),"")</f>
        <v/>
      </c>
      <c r="J4442" s="8">
        <f>IFERROR(IF(ISNUMBER(C4442),MAX(C4442,IFERROR(J4441,C4442)),""),"")</f>
        <v/>
      </c>
      <c r="K4442" s="29">
        <f>IFERROR(IF(AND(ISNUMBER(C4442),ISNUMBER(J4442)),C4442/J4442-1,""),"")</f>
        <v/>
      </c>
      <c r="L4442" s="28">
        <f>IFERROR(IF(AND(ISNUMBER(D4442),ISNUMBER(E4442)),D4442-E4442,""),"")</f>
        <v/>
      </c>
    </row>
    <row r="4443">
      <c r="A4443" s="7">
        <f>IFERROR(Datos!A4443,"")</f>
        <v/>
      </c>
      <c r="B4443" s="8">
        <f>IFERROR(Datos!B4443,"")</f>
        <v/>
      </c>
      <c r="C4443" s="8">
        <f>IFERROR(Datos!C4443,"")</f>
        <v/>
      </c>
      <c r="D4443" s="28">
        <f>IFERROR(IF(AND(ISNUMBER(B4443),ISNUMBER(B4442),B4442&lt;&gt;0),B4443/B4442-1,""),"")</f>
        <v/>
      </c>
      <c r="E4443" s="28">
        <f>IFERROR(IF(AND(ISNUMBER(C4443),ISNUMBER(C4442),C4442&lt;&gt;0),C4443/C4442-1,""),"")</f>
        <v/>
      </c>
      <c r="F4443" s="28">
        <f>IFERROR(D4443-Dashboard!$B$4/252,"")</f>
        <v/>
      </c>
      <c r="G4443" s="28">
        <f>IFERROR(E4443-Dashboard!$B$4/252,"")</f>
        <v/>
      </c>
      <c r="H4443" s="8">
        <f>IFERROR(IF(ISNUMBER(B4443),MAX(B4443,IFERROR(H4442,B4443)),""),"")</f>
        <v/>
      </c>
      <c r="I4443" s="29">
        <f>IFERROR(IF(AND(ISNUMBER(B4443),ISNUMBER(H4443)),B4443/H4443-1,""),"")</f>
        <v/>
      </c>
      <c r="J4443" s="8">
        <f>IFERROR(IF(ISNUMBER(C4443),MAX(C4443,IFERROR(J4442,C4443)),""),"")</f>
        <v/>
      </c>
      <c r="K4443" s="29">
        <f>IFERROR(IF(AND(ISNUMBER(C4443),ISNUMBER(J4443)),C4443/J4443-1,""),"")</f>
        <v/>
      </c>
      <c r="L4443" s="28">
        <f>IFERROR(IF(AND(ISNUMBER(D4443),ISNUMBER(E4443)),D4443-E4443,""),"")</f>
        <v/>
      </c>
    </row>
    <row r="4444">
      <c r="A4444" s="7">
        <f>IFERROR(Datos!A4444,"")</f>
        <v/>
      </c>
      <c r="B4444" s="8">
        <f>IFERROR(Datos!B4444,"")</f>
        <v/>
      </c>
      <c r="C4444" s="8">
        <f>IFERROR(Datos!C4444,"")</f>
        <v/>
      </c>
      <c r="D4444" s="28">
        <f>IFERROR(IF(AND(ISNUMBER(B4444),ISNUMBER(B4443),B4443&lt;&gt;0),B4444/B4443-1,""),"")</f>
        <v/>
      </c>
      <c r="E4444" s="28">
        <f>IFERROR(IF(AND(ISNUMBER(C4444),ISNUMBER(C4443),C4443&lt;&gt;0),C4444/C4443-1,""),"")</f>
        <v/>
      </c>
      <c r="F4444" s="28">
        <f>IFERROR(D4444-Dashboard!$B$4/252,"")</f>
        <v/>
      </c>
      <c r="G4444" s="28">
        <f>IFERROR(E4444-Dashboard!$B$4/252,"")</f>
        <v/>
      </c>
      <c r="H4444" s="8">
        <f>IFERROR(IF(ISNUMBER(B4444),MAX(B4444,IFERROR(H4443,B4444)),""),"")</f>
        <v/>
      </c>
      <c r="I4444" s="29">
        <f>IFERROR(IF(AND(ISNUMBER(B4444),ISNUMBER(H4444)),B4444/H4444-1,""),"")</f>
        <v/>
      </c>
      <c r="J4444" s="8">
        <f>IFERROR(IF(ISNUMBER(C4444),MAX(C4444,IFERROR(J4443,C4444)),""),"")</f>
        <v/>
      </c>
      <c r="K4444" s="29">
        <f>IFERROR(IF(AND(ISNUMBER(C4444),ISNUMBER(J4444)),C4444/J4444-1,""),"")</f>
        <v/>
      </c>
      <c r="L4444" s="28">
        <f>IFERROR(IF(AND(ISNUMBER(D4444),ISNUMBER(E4444)),D4444-E4444,""),"")</f>
        <v/>
      </c>
    </row>
    <row r="4445">
      <c r="A4445" s="7">
        <f>IFERROR(Datos!A4445,"")</f>
        <v/>
      </c>
      <c r="B4445" s="8">
        <f>IFERROR(Datos!B4445,"")</f>
        <v/>
      </c>
      <c r="C4445" s="8">
        <f>IFERROR(Datos!C4445,"")</f>
        <v/>
      </c>
      <c r="D4445" s="28">
        <f>IFERROR(IF(AND(ISNUMBER(B4445),ISNUMBER(B4444),B4444&lt;&gt;0),B4445/B4444-1,""),"")</f>
        <v/>
      </c>
      <c r="E4445" s="28">
        <f>IFERROR(IF(AND(ISNUMBER(C4445),ISNUMBER(C4444),C4444&lt;&gt;0),C4445/C4444-1,""),"")</f>
        <v/>
      </c>
      <c r="F4445" s="28">
        <f>IFERROR(D4445-Dashboard!$B$4/252,"")</f>
        <v/>
      </c>
      <c r="G4445" s="28">
        <f>IFERROR(E4445-Dashboard!$B$4/252,"")</f>
        <v/>
      </c>
      <c r="H4445" s="8">
        <f>IFERROR(IF(ISNUMBER(B4445),MAX(B4445,IFERROR(H4444,B4445)),""),"")</f>
        <v/>
      </c>
      <c r="I4445" s="29">
        <f>IFERROR(IF(AND(ISNUMBER(B4445),ISNUMBER(H4445)),B4445/H4445-1,""),"")</f>
        <v/>
      </c>
      <c r="J4445" s="8">
        <f>IFERROR(IF(ISNUMBER(C4445),MAX(C4445,IFERROR(J4444,C4445)),""),"")</f>
        <v/>
      </c>
      <c r="K4445" s="29">
        <f>IFERROR(IF(AND(ISNUMBER(C4445),ISNUMBER(J4445)),C4445/J4445-1,""),"")</f>
        <v/>
      </c>
      <c r="L4445" s="28">
        <f>IFERROR(IF(AND(ISNUMBER(D4445),ISNUMBER(E4445)),D4445-E4445,""),"")</f>
        <v/>
      </c>
    </row>
    <row r="4446">
      <c r="A4446" s="7">
        <f>IFERROR(Datos!A4446,"")</f>
        <v/>
      </c>
      <c r="B4446" s="8">
        <f>IFERROR(Datos!B4446,"")</f>
        <v/>
      </c>
      <c r="C4446" s="8">
        <f>IFERROR(Datos!C4446,"")</f>
        <v/>
      </c>
      <c r="D4446" s="28">
        <f>IFERROR(IF(AND(ISNUMBER(B4446),ISNUMBER(B4445),B4445&lt;&gt;0),B4446/B4445-1,""),"")</f>
        <v/>
      </c>
      <c r="E4446" s="28">
        <f>IFERROR(IF(AND(ISNUMBER(C4446),ISNUMBER(C4445),C4445&lt;&gt;0),C4446/C4445-1,""),"")</f>
        <v/>
      </c>
      <c r="F4446" s="28">
        <f>IFERROR(D4446-Dashboard!$B$4/252,"")</f>
        <v/>
      </c>
      <c r="G4446" s="28">
        <f>IFERROR(E4446-Dashboard!$B$4/252,"")</f>
        <v/>
      </c>
      <c r="H4446" s="8">
        <f>IFERROR(IF(ISNUMBER(B4446),MAX(B4446,IFERROR(H4445,B4446)),""),"")</f>
        <v/>
      </c>
      <c r="I4446" s="29">
        <f>IFERROR(IF(AND(ISNUMBER(B4446),ISNUMBER(H4446)),B4446/H4446-1,""),"")</f>
        <v/>
      </c>
      <c r="J4446" s="8">
        <f>IFERROR(IF(ISNUMBER(C4446),MAX(C4446,IFERROR(J4445,C4446)),""),"")</f>
        <v/>
      </c>
      <c r="K4446" s="29">
        <f>IFERROR(IF(AND(ISNUMBER(C4446),ISNUMBER(J4446)),C4446/J4446-1,""),"")</f>
        <v/>
      </c>
      <c r="L4446" s="28">
        <f>IFERROR(IF(AND(ISNUMBER(D4446),ISNUMBER(E4446)),D4446-E4446,""),"")</f>
        <v/>
      </c>
    </row>
    <row r="4447">
      <c r="A4447" s="7">
        <f>IFERROR(Datos!A4447,"")</f>
        <v/>
      </c>
      <c r="B4447" s="8">
        <f>IFERROR(Datos!B4447,"")</f>
        <v/>
      </c>
      <c r="C4447" s="8">
        <f>IFERROR(Datos!C4447,"")</f>
        <v/>
      </c>
      <c r="D4447" s="28">
        <f>IFERROR(IF(AND(ISNUMBER(B4447),ISNUMBER(B4446),B4446&lt;&gt;0),B4447/B4446-1,""),"")</f>
        <v/>
      </c>
      <c r="E4447" s="28">
        <f>IFERROR(IF(AND(ISNUMBER(C4447),ISNUMBER(C4446),C4446&lt;&gt;0),C4447/C4446-1,""),"")</f>
        <v/>
      </c>
      <c r="F4447" s="28">
        <f>IFERROR(D4447-Dashboard!$B$4/252,"")</f>
        <v/>
      </c>
      <c r="G4447" s="28">
        <f>IFERROR(E4447-Dashboard!$B$4/252,"")</f>
        <v/>
      </c>
      <c r="H4447" s="8">
        <f>IFERROR(IF(ISNUMBER(B4447),MAX(B4447,IFERROR(H4446,B4447)),""),"")</f>
        <v/>
      </c>
      <c r="I4447" s="29">
        <f>IFERROR(IF(AND(ISNUMBER(B4447),ISNUMBER(H4447)),B4447/H4447-1,""),"")</f>
        <v/>
      </c>
      <c r="J4447" s="8">
        <f>IFERROR(IF(ISNUMBER(C4447),MAX(C4447,IFERROR(J4446,C4447)),""),"")</f>
        <v/>
      </c>
      <c r="K4447" s="29">
        <f>IFERROR(IF(AND(ISNUMBER(C4447),ISNUMBER(J4447)),C4447/J4447-1,""),"")</f>
        <v/>
      </c>
      <c r="L4447" s="28">
        <f>IFERROR(IF(AND(ISNUMBER(D4447),ISNUMBER(E4447)),D4447-E4447,""),"")</f>
        <v/>
      </c>
    </row>
    <row r="4448">
      <c r="A4448" s="7">
        <f>IFERROR(Datos!A4448,"")</f>
        <v/>
      </c>
      <c r="B4448" s="8">
        <f>IFERROR(Datos!B4448,"")</f>
        <v/>
      </c>
      <c r="C4448" s="8">
        <f>IFERROR(Datos!C4448,"")</f>
        <v/>
      </c>
      <c r="D4448" s="28">
        <f>IFERROR(IF(AND(ISNUMBER(B4448),ISNUMBER(B4447),B4447&lt;&gt;0),B4448/B4447-1,""),"")</f>
        <v/>
      </c>
      <c r="E4448" s="28">
        <f>IFERROR(IF(AND(ISNUMBER(C4448),ISNUMBER(C4447),C4447&lt;&gt;0),C4448/C4447-1,""),"")</f>
        <v/>
      </c>
      <c r="F4448" s="28">
        <f>IFERROR(D4448-Dashboard!$B$4/252,"")</f>
        <v/>
      </c>
      <c r="G4448" s="28">
        <f>IFERROR(E4448-Dashboard!$B$4/252,"")</f>
        <v/>
      </c>
      <c r="H4448" s="8">
        <f>IFERROR(IF(ISNUMBER(B4448),MAX(B4448,IFERROR(H4447,B4448)),""),"")</f>
        <v/>
      </c>
      <c r="I4448" s="29">
        <f>IFERROR(IF(AND(ISNUMBER(B4448),ISNUMBER(H4448)),B4448/H4448-1,""),"")</f>
        <v/>
      </c>
      <c r="J4448" s="8">
        <f>IFERROR(IF(ISNUMBER(C4448),MAX(C4448,IFERROR(J4447,C4448)),""),"")</f>
        <v/>
      </c>
      <c r="K4448" s="29">
        <f>IFERROR(IF(AND(ISNUMBER(C4448),ISNUMBER(J4448)),C4448/J4448-1,""),"")</f>
        <v/>
      </c>
      <c r="L4448" s="28">
        <f>IFERROR(IF(AND(ISNUMBER(D4448),ISNUMBER(E4448)),D4448-E4448,""),"")</f>
        <v/>
      </c>
    </row>
    <row r="4449">
      <c r="A4449" s="7">
        <f>IFERROR(Datos!A4449,"")</f>
        <v/>
      </c>
      <c r="B4449" s="8">
        <f>IFERROR(Datos!B4449,"")</f>
        <v/>
      </c>
      <c r="C4449" s="8">
        <f>IFERROR(Datos!C4449,"")</f>
        <v/>
      </c>
      <c r="D4449" s="28">
        <f>IFERROR(IF(AND(ISNUMBER(B4449),ISNUMBER(B4448),B4448&lt;&gt;0),B4449/B4448-1,""),"")</f>
        <v/>
      </c>
      <c r="E4449" s="28">
        <f>IFERROR(IF(AND(ISNUMBER(C4449),ISNUMBER(C4448),C4448&lt;&gt;0),C4449/C4448-1,""),"")</f>
        <v/>
      </c>
      <c r="F4449" s="28">
        <f>IFERROR(D4449-Dashboard!$B$4/252,"")</f>
        <v/>
      </c>
      <c r="G4449" s="28">
        <f>IFERROR(E4449-Dashboard!$B$4/252,"")</f>
        <v/>
      </c>
      <c r="H4449" s="8">
        <f>IFERROR(IF(ISNUMBER(B4449),MAX(B4449,IFERROR(H4448,B4449)),""),"")</f>
        <v/>
      </c>
      <c r="I4449" s="29">
        <f>IFERROR(IF(AND(ISNUMBER(B4449),ISNUMBER(H4449)),B4449/H4449-1,""),"")</f>
        <v/>
      </c>
      <c r="J4449" s="8">
        <f>IFERROR(IF(ISNUMBER(C4449),MAX(C4449,IFERROR(J4448,C4449)),""),"")</f>
        <v/>
      </c>
      <c r="K4449" s="29">
        <f>IFERROR(IF(AND(ISNUMBER(C4449),ISNUMBER(J4449)),C4449/J4449-1,""),"")</f>
        <v/>
      </c>
      <c r="L4449" s="28">
        <f>IFERROR(IF(AND(ISNUMBER(D4449),ISNUMBER(E4449)),D4449-E4449,""),"")</f>
        <v/>
      </c>
    </row>
    <row r="4450">
      <c r="A4450" s="7">
        <f>IFERROR(Datos!A4450,"")</f>
        <v/>
      </c>
      <c r="B4450" s="8">
        <f>IFERROR(Datos!B4450,"")</f>
        <v/>
      </c>
      <c r="C4450" s="8">
        <f>IFERROR(Datos!C4450,"")</f>
        <v/>
      </c>
      <c r="D4450" s="28">
        <f>IFERROR(IF(AND(ISNUMBER(B4450),ISNUMBER(B4449),B4449&lt;&gt;0),B4450/B4449-1,""),"")</f>
        <v/>
      </c>
      <c r="E4450" s="28">
        <f>IFERROR(IF(AND(ISNUMBER(C4450),ISNUMBER(C4449),C4449&lt;&gt;0),C4450/C4449-1,""),"")</f>
        <v/>
      </c>
      <c r="F4450" s="28">
        <f>IFERROR(D4450-Dashboard!$B$4/252,"")</f>
        <v/>
      </c>
      <c r="G4450" s="28">
        <f>IFERROR(E4450-Dashboard!$B$4/252,"")</f>
        <v/>
      </c>
      <c r="H4450" s="8">
        <f>IFERROR(IF(ISNUMBER(B4450),MAX(B4450,IFERROR(H4449,B4450)),""),"")</f>
        <v/>
      </c>
      <c r="I4450" s="29">
        <f>IFERROR(IF(AND(ISNUMBER(B4450),ISNUMBER(H4450)),B4450/H4450-1,""),"")</f>
        <v/>
      </c>
      <c r="J4450" s="8">
        <f>IFERROR(IF(ISNUMBER(C4450),MAX(C4450,IFERROR(J4449,C4450)),""),"")</f>
        <v/>
      </c>
      <c r="K4450" s="29">
        <f>IFERROR(IF(AND(ISNUMBER(C4450),ISNUMBER(J4450)),C4450/J4450-1,""),"")</f>
        <v/>
      </c>
      <c r="L4450" s="28">
        <f>IFERROR(IF(AND(ISNUMBER(D4450),ISNUMBER(E4450)),D4450-E4450,""),"")</f>
        <v/>
      </c>
    </row>
    <row r="4451">
      <c r="A4451" s="7">
        <f>IFERROR(Datos!A4451,"")</f>
        <v/>
      </c>
      <c r="B4451" s="8">
        <f>IFERROR(Datos!B4451,"")</f>
        <v/>
      </c>
      <c r="C4451" s="8">
        <f>IFERROR(Datos!C4451,"")</f>
        <v/>
      </c>
      <c r="D4451" s="28">
        <f>IFERROR(IF(AND(ISNUMBER(B4451),ISNUMBER(B4450),B4450&lt;&gt;0),B4451/B4450-1,""),"")</f>
        <v/>
      </c>
      <c r="E4451" s="28">
        <f>IFERROR(IF(AND(ISNUMBER(C4451),ISNUMBER(C4450),C4450&lt;&gt;0),C4451/C4450-1,""),"")</f>
        <v/>
      </c>
      <c r="F4451" s="28">
        <f>IFERROR(D4451-Dashboard!$B$4/252,"")</f>
        <v/>
      </c>
      <c r="G4451" s="28">
        <f>IFERROR(E4451-Dashboard!$B$4/252,"")</f>
        <v/>
      </c>
      <c r="H4451" s="8">
        <f>IFERROR(IF(ISNUMBER(B4451),MAX(B4451,IFERROR(H4450,B4451)),""),"")</f>
        <v/>
      </c>
      <c r="I4451" s="29">
        <f>IFERROR(IF(AND(ISNUMBER(B4451),ISNUMBER(H4451)),B4451/H4451-1,""),"")</f>
        <v/>
      </c>
      <c r="J4451" s="8">
        <f>IFERROR(IF(ISNUMBER(C4451),MAX(C4451,IFERROR(J4450,C4451)),""),"")</f>
        <v/>
      </c>
      <c r="K4451" s="29">
        <f>IFERROR(IF(AND(ISNUMBER(C4451),ISNUMBER(J4451)),C4451/J4451-1,""),"")</f>
        <v/>
      </c>
      <c r="L4451" s="28">
        <f>IFERROR(IF(AND(ISNUMBER(D4451),ISNUMBER(E4451)),D4451-E4451,""),"")</f>
        <v/>
      </c>
    </row>
    <row r="4452">
      <c r="A4452" s="7">
        <f>IFERROR(Datos!A4452,"")</f>
        <v/>
      </c>
      <c r="B4452" s="8">
        <f>IFERROR(Datos!B4452,"")</f>
        <v/>
      </c>
      <c r="C4452" s="8">
        <f>IFERROR(Datos!C4452,"")</f>
        <v/>
      </c>
      <c r="D4452" s="28">
        <f>IFERROR(IF(AND(ISNUMBER(B4452),ISNUMBER(B4451),B4451&lt;&gt;0),B4452/B4451-1,""),"")</f>
        <v/>
      </c>
      <c r="E4452" s="28">
        <f>IFERROR(IF(AND(ISNUMBER(C4452),ISNUMBER(C4451),C4451&lt;&gt;0),C4452/C4451-1,""),"")</f>
        <v/>
      </c>
      <c r="F4452" s="28">
        <f>IFERROR(D4452-Dashboard!$B$4/252,"")</f>
        <v/>
      </c>
      <c r="G4452" s="28">
        <f>IFERROR(E4452-Dashboard!$B$4/252,"")</f>
        <v/>
      </c>
      <c r="H4452" s="8">
        <f>IFERROR(IF(ISNUMBER(B4452),MAX(B4452,IFERROR(H4451,B4452)),""),"")</f>
        <v/>
      </c>
      <c r="I4452" s="29">
        <f>IFERROR(IF(AND(ISNUMBER(B4452),ISNUMBER(H4452)),B4452/H4452-1,""),"")</f>
        <v/>
      </c>
      <c r="J4452" s="8">
        <f>IFERROR(IF(ISNUMBER(C4452),MAX(C4452,IFERROR(J4451,C4452)),""),"")</f>
        <v/>
      </c>
      <c r="K4452" s="29">
        <f>IFERROR(IF(AND(ISNUMBER(C4452),ISNUMBER(J4452)),C4452/J4452-1,""),"")</f>
        <v/>
      </c>
      <c r="L4452" s="28">
        <f>IFERROR(IF(AND(ISNUMBER(D4452),ISNUMBER(E4452)),D4452-E4452,""),"")</f>
        <v/>
      </c>
    </row>
    <row r="4453">
      <c r="A4453" s="7">
        <f>IFERROR(Datos!A4453,"")</f>
        <v/>
      </c>
      <c r="B4453" s="8">
        <f>IFERROR(Datos!B4453,"")</f>
        <v/>
      </c>
      <c r="C4453" s="8">
        <f>IFERROR(Datos!C4453,"")</f>
        <v/>
      </c>
      <c r="D4453" s="28">
        <f>IFERROR(IF(AND(ISNUMBER(B4453),ISNUMBER(B4452),B4452&lt;&gt;0),B4453/B4452-1,""),"")</f>
        <v/>
      </c>
      <c r="E4453" s="28">
        <f>IFERROR(IF(AND(ISNUMBER(C4453),ISNUMBER(C4452),C4452&lt;&gt;0),C4453/C4452-1,""),"")</f>
        <v/>
      </c>
      <c r="F4453" s="28">
        <f>IFERROR(D4453-Dashboard!$B$4/252,"")</f>
        <v/>
      </c>
      <c r="G4453" s="28">
        <f>IFERROR(E4453-Dashboard!$B$4/252,"")</f>
        <v/>
      </c>
      <c r="H4453" s="8">
        <f>IFERROR(IF(ISNUMBER(B4453),MAX(B4453,IFERROR(H4452,B4453)),""),"")</f>
        <v/>
      </c>
      <c r="I4453" s="29">
        <f>IFERROR(IF(AND(ISNUMBER(B4453),ISNUMBER(H4453)),B4453/H4453-1,""),"")</f>
        <v/>
      </c>
      <c r="J4453" s="8">
        <f>IFERROR(IF(ISNUMBER(C4453),MAX(C4453,IFERROR(J4452,C4453)),""),"")</f>
        <v/>
      </c>
      <c r="K4453" s="29">
        <f>IFERROR(IF(AND(ISNUMBER(C4453),ISNUMBER(J4453)),C4453/J4453-1,""),"")</f>
        <v/>
      </c>
      <c r="L4453" s="28">
        <f>IFERROR(IF(AND(ISNUMBER(D4453),ISNUMBER(E4453)),D4453-E4453,""),"")</f>
        <v/>
      </c>
    </row>
    <row r="4454">
      <c r="A4454" s="7">
        <f>IFERROR(Datos!A4454,"")</f>
        <v/>
      </c>
      <c r="B4454" s="8">
        <f>IFERROR(Datos!B4454,"")</f>
        <v/>
      </c>
      <c r="C4454" s="8">
        <f>IFERROR(Datos!C4454,"")</f>
        <v/>
      </c>
      <c r="D4454" s="28">
        <f>IFERROR(IF(AND(ISNUMBER(B4454),ISNUMBER(B4453),B4453&lt;&gt;0),B4454/B4453-1,""),"")</f>
        <v/>
      </c>
      <c r="E4454" s="28">
        <f>IFERROR(IF(AND(ISNUMBER(C4454),ISNUMBER(C4453),C4453&lt;&gt;0),C4454/C4453-1,""),"")</f>
        <v/>
      </c>
      <c r="F4454" s="28">
        <f>IFERROR(D4454-Dashboard!$B$4/252,"")</f>
        <v/>
      </c>
      <c r="G4454" s="28">
        <f>IFERROR(E4454-Dashboard!$B$4/252,"")</f>
        <v/>
      </c>
      <c r="H4454" s="8">
        <f>IFERROR(IF(ISNUMBER(B4454),MAX(B4454,IFERROR(H4453,B4454)),""),"")</f>
        <v/>
      </c>
      <c r="I4454" s="29">
        <f>IFERROR(IF(AND(ISNUMBER(B4454),ISNUMBER(H4454)),B4454/H4454-1,""),"")</f>
        <v/>
      </c>
      <c r="J4454" s="8">
        <f>IFERROR(IF(ISNUMBER(C4454),MAX(C4454,IFERROR(J4453,C4454)),""),"")</f>
        <v/>
      </c>
      <c r="K4454" s="29">
        <f>IFERROR(IF(AND(ISNUMBER(C4454),ISNUMBER(J4454)),C4454/J4454-1,""),"")</f>
        <v/>
      </c>
      <c r="L4454" s="28">
        <f>IFERROR(IF(AND(ISNUMBER(D4454),ISNUMBER(E4454)),D4454-E4454,""),"")</f>
        <v/>
      </c>
    </row>
    <row r="4455">
      <c r="A4455" s="7">
        <f>IFERROR(Datos!A4455,"")</f>
        <v/>
      </c>
      <c r="B4455" s="8">
        <f>IFERROR(Datos!B4455,"")</f>
        <v/>
      </c>
      <c r="C4455" s="8">
        <f>IFERROR(Datos!C4455,"")</f>
        <v/>
      </c>
      <c r="D4455" s="28">
        <f>IFERROR(IF(AND(ISNUMBER(B4455),ISNUMBER(B4454),B4454&lt;&gt;0),B4455/B4454-1,""),"")</f>
        <v/>
      </c>
      <c r="E4455" s="28">
        <f>IFERROR(IF(AND(ISNUMBER(C4455),ISNUMBER(C4454),C4454&lt;&gt;0),C4455/C4454-1,""),"")</f>
        <v/>
      </c>
      <c r="F4455" s="28">
        <f>IFERROR(D4455-Dashboard!$B$4/252,"")</f>
        <v/>
      </c>
      <c r="G4455" s="28">
        <f>IFERROR(E4455-Dashboard!$B$4/252,"")</f>
        <v/>
      </c>
      <c r="H4455" s="8">
        <f>IFERROR(IF(ISNUMBER(B4455),MAX(B4455,IFERROR(H4454,B4455)),""),"")</f>
        <v/>
      </c>
      <c r="I4455" s="29">
        <f>IFERROR(IF(AND(ISNUMBER(B4455),ISNUMBER(H4455)),B4455/H4455-1,""),"")</f>
        <v/>
      </c>
      <c r="J4455" s="8">
        <f>IFERROR(IF(ISNUMBER(C4455),MAX(C4455,IFERROR(J4454,C4455)),""),"")</f>
        <v/>
      </c>
      <c r="K4455" s="29">
        <f>IFERROR(IF(AND(ISNUMBER(C4455),ISNUMBER(J4455)),C4455/J4455-1,""),"")</f>
        <v/>
      </c>
      <c r="L4455" s="28">
        <f>IFERROR(IF(AND(ISNUMBER(D4455),ISNUMBER(E4455)),D4455-E4455,""),"")</f>
        <v/>
      </c>
    </row>
    <row r="4456">
      <c r="A4456" s="7">
        <f>IFERROR(Datos!A4456,"")</f>
        <v/>
      </c>
      <c r="B4456" s="8">
        <f>IFERROR(Datos!B4456,"")</f>
        <v/>
      </c>
      <c r="C4456" s="8">
        <f>IFERROR(Datos!C4456,"")</f>
        <v/>
      </c>
      <c r="D4456" s="28">
        <f>IFERROR(IF(AND(ISNUMBER(B4456),ISNUMBER(B4455),B4455&lt;&gt;0),B4456/B4455-1,""),"")</f>
        <v/>
      </c>
      <c r="E4456" s="28">
        <f>IFERROR(IF(AND(ISNUMBER(C4456),ISNUMBER(C4455),C4455&lt;&gt;0),C4456/C4455-1,""),"")</f>
        <v/>
      </c>
      <c r="F4456" s="28">
        <f>IFERROR(D4456-Dashboard!$B$4/252,"")</f>
        <v/>
      </c>
      <c r="G4456" s="28">
        <f>IFERROR(E4456-Dashboard!$B$4/252,"")</f>
        <v/>
      </c>
      <c r="H4456" s="8">
        <f>IFERROR(IF(ISNUMBER(B4456),MAX(B4456,IFERROR(H4455,B4456)),""),"")</f>
        <v/>
      </c>
      <c r="I4456" s="29">
        <f>IFERROR(IF(AND(ISNUMBER(B4456),ISNUMBER(H4456)),B4456/H4456-1,""),"")</f>
        <v/>
      </c>
      <c r="J4456" s="8">
        <f>IFERROR(IF(ISNUMBER(C4456),MAX(C4456,IFERROR(J4455,C4456)),""),"")</f>
        <v/>
      </c>
      <c r="K4456" s="29">
        <f>IFERROR(IF(AND(ISNUMBER(C4456),ISNUMBER(J4456)),C4456/J4456-1,""),"")</f>
        <v/>
      </c>
      <c r="L4456" s="28">
        <f>IFERROR(IF(AND(ISNUMBER(D4456),ISNUMBER(E4456)),D4456-E4456,""),"")</f>
        <v/>
      </c>
    </row>
    <row r="4457">
      <c r="A4457" s="7">
        <f>IFERROR(Datos!A4457,"")</f>
        <v/>
      </c>
      <c r="B4457" s="8">
        <f>IFERROR(Datos!B4457,"")</f>
        <v/>
      </c>
      <c r="C4457" s="8">
        <f>IFERROR(Datos!C4457,"")</f>
        <v/>
      </c>
      <c r="D4457" s="28">
        <f>IFERROR(IF(AND(ISNUMBER(B4457),ISNUMBER(B4456),B4456&lt;&gt;0),B4457/B4456-1,""),"")</f>
        <v/>
      </c>
      <c r="E4457" s="28">
        <f>IFERROR(IF(AND(ISNUMBER(C4457),ISNUMBER(C4456),C4456&lt;&gt;0),C4457/C4456-1,""),"")</f>
        <v/>
      </c>
      <c r="F4457" s="28">
        <f>IFERROR(D4457-Dashboard!$B$4/252,"")</f>
        <v/>
      </c>
      <c r="G4457" s="28">
        <f>IFERROR(E4457-Dashboard!$B$4/252,"")</f>
        <v/>
      </c>
      <c r="H4457" s="8">
        <f>IFERROR(IF(ISNUMBER(B4457),MAX(B4457,IFERROR(H4456,B4457)),""),"")</f>
        <v/>
      </c>
      <c r="I4457" s="29">
        <f>IFERROR(IF(AND(ISNUMBER(B4457),ISNUMBER(H4457)),B4457/H4457-1,""),"")</f>
        <v/>
      </c>
      <c r="J4457" s="8">
        <f>IFERROR(IF(ISNUMBER(C4457),MAX(C4457,IFERROR(J4456,C4457)),""),"")</f>
        <v/>
      </c>
      <c r="K4457" s="29">
        <f>IFERROR(IF(AND(ISNUMBER(C4457),ISNUMBER(J4457)),C4457/J4457-1,""),"")</f>
        <v/>
      </c>
      <c r="L4457" s="28">
        <f>IFERROR(IF(AND(ISNUMBER(D4457),ISNUMBER(E4457)),D4457-E4457,""),"")</f>
        <v/>
      </c>
    </row>
    <row r="4458">
      <c r="A4458" s="7">
        <f>IFERROR(Datos!A4458,"")</f>
        <v/>
      </c>
      <c r="B4458" s="8">
        <f>IFERROR(Datos!B4458,"")</f>
        <v/>
      </c>
      <c r="C4458" s="8">
        <f>IFERROR(Datos!C4458,"")</f>
        <v/>
      </c>
      <c r="D4458" s="28">
        <f>IFERROR(IF(AND(ISNUMBER(B4458),ISNUMBER(B4457),B4457&lt;&gt;0),B4458/B4457-1,""),"")</f>
        <v/>
      </c>
      <c r="E4458" s="28">
        <f>IFERROR(IF(AND(ISNUMBER(C4458),ISNUMBER(C4457),C4457&lt;&gt;0),C4458/C4457-1,""),"")</f>
        <v/>
      </c>
      <c r="F4458" s="28">
        <f>IFERROR(D4458-Dashboard!$B$4/252,"")</f>
        <v/>
      </c>
      <c r="G4458" s="28">
        <f>IFERROR(E4458-Dashboard!$B$4/252,"")</f>
        <v/>
      </c>
      <c r="H4458" s="8">
        <f>IFERROR(IF(ISNUMBER(B4458),MAX(B4458,IFERROR(H4457,B4458)),""),"")</f>
        <v/>
      </c>
      <c r="I4458" s="29">
        <f>IFERROR(IF(AND(ISNUMBER(B4458),ISNUMBER(H4458)),B4458/H4458-1,""),"")</f>
        <v/>
      </c>
      <c r="J4458" s="8">
        <f>IFERROR(IF(ISNUMBER(C4458),MAX(C4458,IFERROR(J4457,C4458)),""),"")</f>
        <v/>
      </c>
      <c r="K4458" s="29">
        <f>IFERROR(IF(AND(ISNUMBER(C4458),ISNUMBER(J4458)),C4458/J4458-1,""),"")</f>
        <v/>
      </c>
      <c r="L4458" s="28">
        <f>IFERROR(IF(AND(ISNUMBER(D4458),ISNUMBER(E4458)),D4458-E4458,""),"")</f>
        <v/>
      </c>
    </row>
    <row r="4459">
      <c r="A4459" s="7">
        <f>IFERROR(Datos!A4459,"")</f>
        <v/>
      </c>
      <c r="B4459" s="8">
        <f>IFERROR(Datos!B4459,"")</f>
        <v/>
      </c>
      <c r="C4459" s="8">
        <f>IFERROR(Datos!C4459,"")</f>
        <v/>
      </c>
      <c r="D4459" s="28">
        <f>IFERROR(IF(AND(ISNUMBER(B4459),ISNUMBER(B4458),B4458&lt;&gt;0),B4459/B4458-1,""),"")</f>
        <v/>
      </c>
      <c r="E4459" s="28">
        <f>IFERROR(IF(AND(ISNUMBER(C4459),ISNUMBER(C4458),C4458&lt;&gt;0),C4459/C4458-1,""),"")</f>
        <v/>
      </c>
      <c r="F4459" s="28">
        <f>IFERROR(D4459-Dashboard!$B$4/252,"")</f>
        <v/>
      </c>
      <c r="G4459" s="28">
        <f>IFERROR(E4459-Dashboard!$B$4/252,"")</f>
        <v/>
      </c>
      <c r="H4459" s="8">
        <f>IFERROR(IF(ISNUMBER(B4459),MAX(B4459,IFERROR(H4458,B4459)),""),"")</f>
        <v/>
      </c>
      <c r="I4459" s="29">
        <f>IFERROR(IF(AND(ISNUMBER(B4459),ISNUMBER(H4459)),B4459/H4459-1,""),"")</f>
        <v/>
      </c>
      <c r="J4459" s="8">
        <f>IFERROR(IF(ISNUMBER(C4459),MAX(C4459,IFERROR(J4458,C4459)),""),"")</f>
        <v/>
      </c>
      <c r="K4459" s="29">
        <f>IFERROR(IF(AND(ISNUMBER(C4459),ISNUMBER(J4459)),C4459/J4459-1,""),"")</f>
        <v/>
      </c>
      <c r="L4459" s="28">
        <f>IFERROR(IF(AND(ISNUMBER(D4459),ISNUMBER(E4459)),D4459-E4459,""),"")</f>
        <v/>
      </c>
    </row>
    <row r="4460">
      <c r="A4460" s="7">
        <f>IFERROR(Datos!A4460,"")</f>
        <v/>
      </c>
      <c r="B4460" s="8">
        <f>IFERROR(Datos!B4460,"")</f>
        <v/>
      </c>
      <c r="C4460" s="8">
        <f>IFERROR(Datos!C4460,"")</f>
        <v/>
      </c>
      <c r="D4460" s="28">
        <f>IFERROR(IF(AND(ISNUMBER(B4460),ISNUMBER(B4459),B4459&lt;&gt;0),B4460/B4459-1,""),"")</f>
        <v/>
      </c>
      <c r="E4460" s="28">
        <f>IFERROR(IF(AND(ISNUMBER(C4460),ISNUMBER(C4459),C4459&lt;&gt;0),C4460/C4459-1,""),"")</f>
        <v/>
      </c>
      <c r="F4460" s="28">
        <f>IFERROR(D4460-Dashboard!$B$4/252,"")</f>
        <v/>
      </c>
      <c r="G4460" s="28">
        <f>IFERROR(E4460-Dashboard!$B$4/252,"")</f>
        <v/>
      </c>
      <c r="H4460" s="8">
        <f>IFERROR(IF(ISNUMBER(B4460),MAX(B4460,IFERROR(H4459,B4460)),""),"")</f>
        <v/>
      </c>
      <c r="I4460" s="29">
        <f>IFERROR(IF(AND(ISNUMBER(B4460),ISNUMBER(H4460)),B4460/H4460-1,""),"")</f>
        <v/>
      </c>
      <c r="J4460" s="8">
        <f>IFERROR(IF(ISNUMBER(C4460),MAX(C4460,IFERROR(J4459,C4460)),""),"")</f>
        <v/>
      </c>
      <c r="K4460" s="29">
        <f>IFERROR(IF(AND(ISNUMBER(C4460),ISNUMBER(J4460)),C4460/J4460-1,""),"")</f>
        <v/>
      </c>
      <c r="L4460" s="28">
        <f>IFERROR(IF(AND(ISNUMBER(D4460),ISNUMBER(E4460)),D4460-E4460,""),"")</f>
        <v/>
      </c>
    </row>
    <row r="4461">
      <c r="A4461" s="7">
        <f>IFERROR(Datos!A4461,"")</f>
        <v/>
      </c>
      <c r="B4461" s="8">
        <f>IFERROR(Datos!B4461,"")</f>
        <v/>
      </c>
      <c r="C4461" s="8">
        <f>IFERROR(Datos!C4461,"")</f>
        <v/>
      </c>
      <c r="D4461" s="28">
        <f>IFERROR(IF(AND(ISNUMBER(B4461),ISNUMBER(B4460),B4460&lt;&gt;0),B4461/B4460-1,""),"")</f>
        <v/>
      </c>
      <c r="E4461" s="28">
        <f>IFERROR(IF(AND(ISNUMBER(C4461),ISNUMBER(C4460),C4460&lt;&gt;0),C4461/C4460-1,""),"")</f>
        <v/>
      </c>
      <c r="F4461" s="28">
        <f>IFERROR(D4461-Dashboard!$B$4/252,"")</f>
        <v/>
      </c>
      <c r="G4461" s="28">
        <f>IFERROR(E4461-Dashboard!$B$4/252,"")</f>
        <v/>
      </c>
      <c r="H4461" s="8">
        <f>IFERROR(IF(ISNUMBER(B4461),MAX(B4461,IFERROR(H4460,B4461)),""),"")</f>
        <v/>
      </c>
      <c r="I4461" s="29">
        <f>IFERROR(IF(AND(ISNUMBER(B4461),ISNUMBER(H4461)),B4461/H4461-1,""),"")</f>
        <v/>
      </c>
      <c r="J4461" s="8">
        <f>IFERROR(IF(ISNUMBER(C4461),MAX(C4461,IFERROR(J4460,C4461)),""),"")</f>
        <v/>
      </c>
      <c r="K4461" s="29">
        <f>IFERROR(IF(AND(ISNUMBER(C4461),ISNUMBER(J4461)),C4461/J4461-1,""),"")</f>
        <v/>
      </c>
      <c r="L4461" s="28">
        <f>IFERROR(IF(AND(ISNUMBER(D4461),ISNUMBER(E4461)),D4461-E4461,""),"")</f>
        <v/>
      </c>
    </row>
    <row r="4462">
      <c r="A4462" s="7">
        <f>IFERROR(Datos!A4462,"")</f>
        <v/>
      </c>
      <c r="B4462" s="8">
        <f>IFERROR(Datos!B4462,"")</f>
        <v/>
      </c>
      <c r="C4462" s="8">
        <f>IFERROR(Datos!C4462,"")</f>
        <v/>
      </c>
      <c r="D4462" s="28">
        <f>IFERROR(IF(AND(ISNUMBER(B4462),ISNUMBER(B4461),B4461&lt;&gt;0),B4462/B4461-1,""),"")</f>
        <v/>
      </c>
      <c r="E4462" s="28">
        <f>IFERROR(IF(AND(ISNUMBER(C4462),ISNUMBER(C4461),C4461&lt;&gt;0),C4462/C4461-1,""),"")</f>
        <v/>
      </c>
      <c r="F4462" s="28">
        <f>IFERROR(D4462-Dashboard!$B$4/252,"")</f>
        <v/>
      </c>
      <c r="G4462" s="28">
        <f>IFERROR(E4462-Dashboard!$B$4/252,"")</f>
        <v/>
      </c>
      <c r="H4462" s="8">
        <f>IFERROR(IF(ISNUMBER(B4462),MAX(B4462,IFERROR(H4461,B4462)),""),"")</f>
        <v/>
      </c>
      <c r="I4462" s="29">
        <f>IFERROR(IF(AND(ISNUMBER(B4462),ISNUMBER(H4462)),B4462/H4462-1,""),"")</f>
        <v/>
      </c>
      <c r="J4462" s="8">
        <f>IFERROR(IF(ISNUMBER(C4462),MAX(C4462,IFERROR(J4461,C4462)),""),"")</f>
        <v/>
      </c>
      <c r="K4462" s="29">
        <f>IFERROR(IF(AND(ISNUMBER(C4462),ISNUMBER(J4462)),C4462/J4462-1,""),"")</f>
        <v/>
      </c>
      <c r="L4462" s="28">
        <f>IFERROR(IF(AND(ISNUMBER(D4462),ISNUMBER(E4462)),D4462-E4462,""),"")</f>
        <v/>
      </c>
    </row>
    <row r="4463">
      <c r="A4463" s="7">
        <f>IFERROR(Datos!A4463,"")</f>
        <v/>
      </c>
      <c r="B4463" s="8">
        <f>IFERROR(Datos!B4463,"")</f>
        <v/>
      </c>
      <c r="C4463" s="8">
        <f>IFERROR(Datos!C4463,"")</f>
        <v/>
      </c>
      <c r="D4463" s="28">
        <f>IFERROR(IF(AND(ISNUMBER(B4463),ISNUMBER(B4462),B4462&lt;&gt;0),B4463/B4462-1,""),"")</f>
        <v/>
      </c>
      <c r="E4463" s="28">
        <f>IFERROR(IF(AND(ISNUMBER(C4463),ISNUMBER(C4462),C4462&lt;&gt;0),C4463/C4462-1,""),"")</f>
        <v/>
      </c>
      <c r="F4463" s="28">
        <f>IFERROR(D4463-Dashboard!$B$4/252,"")</f>
        <v/>
      </c>
      <c r="G4463" s="28">
        <f>IFERROR(E4463-Dashboard!$B$4/252,"")</f>
        <v/>
      </c>
      <c r="H4463" s="8">
        <f>IFERROR(IF(ISNUMBER(B4463),MAX(B4463,IFERROR(H4462,B4463)),""),"")</f>
        <v/>
      </c>
      <c r="I4463" s="29">
        <f>IFERROR(IF(AND(ISNUMBER(B4463),ISNUMBER(H4463)),B4463/H4463-1,""),"")</f>
        <v/>
      </c>
      <c r="J4463" s="8">
        <f>IFERROR(IF(ISNUMBER(C4463),MAX(C4463,IFERROR(J4462,C4463)),""),"")</f>
        <v/>
      </c>
      <c r="K4463" s="29">
        <f>IFERROR(IF(AND(ISNUMBER(C4463),ISNUMBER(J4463)),C4463/J4463-1,""),"")</f>
        <v/>
      </c>
      <c r="L4463" s="28">
        <f>IFERROR(IF(AND(ISNUMBER(D4463),ISNUMBER(E4463)),D4463-E4463,""),"")</f>
        <v/>
      </c>
    </row>
    <row r="4464">
      <c r="A4464" s="7">
        <f>IFERROR(Datos!A4464,"")</f>
        <v/>
      </c>
      <c r="B4464" s="8">
        <f>IFERROR(Datos!B4464,"")</f>
        <v/>
      </c>
      <c r="C4464" s="8">
        <f>IFERROR(Datos!C4464,"")</f>
        <v/>
      </c>
      <c r="D4464" s="28">
        <f>IFERROR(IF(AND(ISNUMBER(B4464),ISNUMBER(B4463),B4463&lt;&gt;0),B4464/B4463-1,""),"")</f>
        <v/>
      </c>
      <c r="E4464" s="28">
        <f>IFERROR(IF(AND(ISNUMBER(C4464),ISNUMBER(C4463),C4463&lt;&gt;0),C4464/C4463-1,""),"")</f>
        <v/>
      </c>
      <c r="F4464" s="28">
        <f>IFERROR(D4464-Dashboard!$B$4/252,"")</f>
        <v/>
      </c>
      <c r="G4464" s="28">
        <f>IFERROR(E4464-Dashboard!$B$4/252,"")</f>
        <v/>
      </c>
      <c r="H4464" s="8">
        <f>IFERROR(IF(ISNUMBER(B4464),MAX(B4464,IFERROR(H4463,B4464)),""),"")</f>
        <v/>
      </c>
      <c r="I4464" s="29">
        <f>IFERROR(IF(AND(ISNUMBER(B4464),ISNUMBER(H4464)),B4464/H4464-1,""),"")</f>
        <v/>
      </c>
      <c r="J4464" s="8">
        <f>IFERROR(IF(ISNUMBER(C4464),MAX(C4464,IFERROR(J4463,C4464)),""),"")</f>
        <v/>
      </c>
      <c r="K4464" s="29">
        <f>IFERROR(IF(AND(ISNUMBER(C4464),ISNUMBER(J4464)),C4464/J4464-1,""),"")</f>
        <v/>
      </c>
      <c r="L4464" s="28">
        <f>IFERROR(IF(AND(ISNUMBER(D4464),ISNUMBER(E4464)),D4464-E4464,""),"")</f>
        <v/>
      </c>
    </row>
    <row r="4465">
      <c r="A4465" s="7">
        <f>IFERROR(Datos!A4465,"")</f>
        <v/>
      </c>
      <c r="B4465" s="8">
        <f>IFERROR(Datos!B4465,"")</f>
        <v/>
      </c>
      <c r="C4465" s="8">
        <f>IFERROR(Datos!C4465,"")</f>
        <v/>
      </c>
      <c r="D4465" s="28">
        <f>IFERROR(IF(AND(ISNUMBER(B4465),ISNUMBER(B4464),B4464&lt;&gt;0),B4465/B4464-1,""),"")</f>
        <v/>
      </c>
      <c r="E4465" s="28">
        <f>IFERROR(IF(AND(ISNUMBER(C4465),ISNUMBER(C4464),C4464&lt;&gt;0),C4465/C4464-1,""),"")</f>
        <v/>
      </c>
      <c r="F4465" s="28">
        <f>IFERROR(D4465-Dashboard!$B$4/252,"")</f>
        <v/>
      </c>
      <c r="G4465" s="28">
        <f>IFERROR(E4465-Dashboard!$B$4/252,"")</f>
        <v/>
      </c>
      <c r="H4465" s="8">
        <f>IFERROR(IF(ISNUMBER(B4465),MAX(B4465,IFERROR(H4464,B4465)),""),"")</f>
        <v/>
      </c>
      <c r="I4465" s="29">
        <f>IFERROR(IF(AND(ISNUMBER(B4465),ISNUMBER(H4465)),B4465/H4465-1,""),"")</f>
        <v/>
      </c>
      <c r="J4465" s="8">
        <f>IFERROR(IF(ISNUMBER(C4465),MAX(C4465,IFERROR(J4464,C4465)),""),"")</f>
        <v/>
      </c>
      <c r="K4465" s="29">
        <f>IFERROR(IF(AND(ISNUMBER(C4465),ISNUMBER(J4465)),C4465/J4465-1,""),"")</f>
        <v/>
      </c>
      <c r="L4465" s="28">
        <f>IFERROR(IF(AND(ISNUMBER(D4465),ISNUMBER(E4465)),D4465-E4465,""),"")</f>
        <v/>
      </c>
    </row>
    <row r="4466">
      <c r="A4466" s="7">
        <f>IFERROR(Datos!A4466,"")</f>
        <v/>
      </c>
      <c r="B4466" s="8">
        <f>IFERROR(Datos!B4466,"")</f>
        <v/>
      </c>
      <c r="C4466" s="8">
        <f>IFERROR(Datos!C4466,"")</f>
        <v/>
      </c>
      <c r="D4466" s="28">
        <f>IFERROR(IF(AND(ISNUMBER(B4466),ISNUMBER(B4465),B4465&lt;&gt;0),B4466/B4465-1,""),"")</f>
        <v/>
      </c>
      <c r="E4466" s="28">
        <f>IFERROR(IF(AND(ISNUMBER(C4466),ISNUMBER(C4465),C4465&lt;&gt;0),C4466/C4465-1,""),"")</f>
        <v/>
      </c>
      <c r="F4466" s="28">
        <f>IFERROR(D4466-Dashboard!$B$4/252,"")</f>
        <v/>
      </c>
      <c r="G4466" s="28">
        <f>IFERROR(E4466-Dashboard!$B$4/252,"")</f>
        <v/>
      </c>
      <c r="H4466" s="8">
        <f>IFERROR(IF(ISNUMBER(B4466),MAX(B4466,IFERROR(H4465,B4466)),""),"")</f>
        <v/>
      </c>
      <c r="I4466" s="29">
        <f>IFERROR(IF(AND(ISNUMBER(B4466),ISNUMBER(H4466)),B4466/H4466-1,""),"")</f>
        <v/>
      </c>
      <c r="J4466" s="8">
        <f>IFERROR(IF(ISNUMBER(C4466),MAX(C4466,IFERROR(J4465,C4466)),""),"")</f>
        <v/>
      </c>
      <c r="K4466" s="29">
        <f>IFERROR(IF(AND(ISNUMBER(C4466),ISNUMBER(J4466)),C4466/J4466-1,""),"")</f>
        <v/>
      </c>
      <c r="L4466" s="28">
        <f>IFERROR(IF(AND(ISNUMBER(D4466),ISNUMBER(E4466)),D4466-E4466,""),"")</f>
        <v/>
      </c>
    </row>
    <row r="4467">
      <c r="A4467" s="7">
        <f>IFERROR(Datos!A4467,"")</f>
        <v/>
      </c>
      <c r="B4467" s="8">
        <f>IFERROR(Datos!B4467,"")</f>
        <v/>
      </c>
      <c r="C4467" s="8">
        <f>IFERROR(Datos!C4467,"")</f>
        <v/>
      </c>
      <c r="D4467" s="28">
        <f>IFERROR(IF(AND(ISNUMBER(B4467),ISNUMBER(B4466),B4466&lt;&gt;0),B4467/B4466-1,""),"")</f>
        <v/>
      </c>
      <c r="E4467" s="28">
        <f>IFERROR(IF(AND(ISNUMBER(C4467),ISNUMBER(C4466),C4466&lt;&gt;0),C4467/C4466-1,""),"")</f>
        <v/>
      </c>
      <c r="F4467" s="28">
        <f>IFERROR(D4467-Dashboard!$B$4/252,"")</f>
        <v/>
      </c>
      <c r="G4467" s="28">
        <f>IFERROR(E4467-Dashboard!$B$4/252,"")</f>
        <v/>
      </c>
      <c r="H4467" s="8">
        <f>IFERROR(IF(ISNUMBER(B4467),MAX(B4467,IFERROR(H4466,B4467)),""),"")</f>
        <v/>
      </c>
      <c r="I4467" s="29">
        <f>IFERROR(IF(AND(ISNUMBER(B4467),ISNUMBER(H4467)),B4467/H4467-1,""),"")</f>
        <v/>
      </c>
      <c r="J4467" s="8">
        <f>IFERROR(IF(ISNUMBER(C4467),MAX(C4467,IFERROR(J4466,C4467)),""),"")</f>
        <v/>
      </c>
      <c r="K4467" s="29">
        <f>IFERROR(IF(AND(ISNUMBER(C4467),ISNUMBER(J4467)),C4467/J4467-1,""),"")</f>
        <v/>
      </c>
      <c r="L4467" s="28">
        <f>IFERROR(IF(AND(ISNUMBER(D4467),ISNUMBER(E4467)),D4467-E4467,""),"")</f>
        <v/>
      </c>
    </row>
    <row r="4468">
      <c r="A4468" s="7">
        <f>IFERROR(Datos!A4468,"")</f>
        <v/>
      </c>
      <c r="B4468" s="8">
        <f>IFERROR(Datos!B4468,"")</f>
        <v/>
      </c>
      <c r="C4468" s="8">
        <f>IFERROR(Datos!C4468,"")</f>
        <v/>
      </c>
      <c r="D4468" s="28">
        <f>IFERROR(IF(AND(ISNUMBER(B4468),ISNUMBER(B4467),B4467&lt;&gt;0),B4468/B4467-1,""),"")</f>
        <v/>
      </c>
      <c r="E4468" s="28">
        <f>IFERROR(IF(AND(ISNUMBER(C4468),ISNUMBER(C4467),C4467&lt;&gt;0),C4468/C4467-1,""),"")</f>
        <v/>
      </c>
      <c r="F4468" s="28">
        <f>IFERROR(D4468-Dashboard!$B$4/252,"")</f>
        <v/>
      </c>
      <c r="G4468" s="28">
        <f>IFERROR(E4468-Dashboard!$B$4/252,"")</f>
        <v/>
      </c>
      <c r="H4468" s="8">
        <f>IFERROR(IF(ISNUMBER(B4468),MAX(B4468,IFERROR(H4467,B4468)),""),"")</f>
        <v/>
      </c>
      <c r="I4468" s="29">
        <f>IFERROR(IF(AND(ISNUMBER(B4468),ISNUMBER(H4468)),B4468/H4468-1,""),"")</f>
        <v/>
      </c>
      <c r="J4468" s="8">
        <f>IFERROR(IF(ISNUMBER(C4468),MAX(C4468,IFERROR(J4467,C4468)),""),"")</f>
        <v/>
      </c>
      <c r="K4468" s="29">
        <f>IFERROR(IF(AND(ISNUMBER(C4468),ISNUMBER(J4468)),C4468/J4468-1,""),"")</f>
        <v/>
      </c>
      <c r="L4468" s="28">
        <f>IFERROR(IF(AND(ISNUMBER(D4468),ISNUMBER(E4468)),D4468-E4468,""),"")</f>
        <v/>
      </c>
    </row>
    <row r="4469">
      <c r="A4469" s="7">
        <f>IFERROR(Datos!A4469,"")</f>
        <v/>
      </c>
      <c r="B4469" s="8">
        <f>IFERROR(Datos!B4469,"")</f>
        <v/>
      </c>
      <c r="C4469" s="8">
        <f>IFERROR(Datos!C4469,"")</f>
        <v/>
      </c>
      <c r="D4469" s="28">
        <f>IFERROR(IF(AND(ISNUMBER(B4469),ISNUMBER(B4468),B4468&lt;&gt;0),B4469/B4468-1,""),"")</f>
        <v/>
      </c>
      <c r="E4469" s="28">
        <f>IFERROR(IF(AND(ISNUMBER(C4469),ISNUMBER(C4468),C4468&lt;&gt;0),C4469/C4468-1,""),"")</f>
        <v/>
      </c>
      <c r="F4469" s="28">
        <f>IFERROR(D4469-Dashboard!$B$4/252,"")</f>
        <v/>
      </c>
      <c r="G4469" s="28">
        <f>IFERROR(E4469-Dashboard!$B$4/252,"")</f>
        <v/>
      </c>
      <c r="H4469" s="8">
        <f>IFERROR(IF(ISNUMBER(B4469),MAX(B4469,IFERROR(H4468,B4469)),""),"")</f>
        <v/>
      </c>
      <c r="I4469" s="29">
        <f>IFERROR(IF(AND(ISNUMBER(B4469),ISNUMBER(H4469)),B4469/H4469-1,""),"")</f>
        <v/>
      </c>
      <c r="J4469" s="8">
        <f>IFERROR(IF(ISNUMBER(C4469),MAX(C4469,IFERROR(J4468,C4469)),""),"")</f>
        <v/>
      </c>
      <c r="K4469" s="29">
        <f>IFERROR(IF(AND(ISNUMBER(C4469),ISNUMBER(J4469)),C4469/J4469-1,""),"")</f>
        <v/>
      </c>
      <c r="L4469" s="28">
        <f>IFERROR(IF(AND(ISNUMBER(D4469),ISNUMBER(E4469)),D4469-E4469,""),"")</f>
        <v/>
      </c>
    </row>
    <row r="4470">
      <c r="A4470" s="7">
        <f>IFERROR(Datos!A4470,"")</f>
        <v/>
      </c>
      <c r="B4470" s="8">
        <f>IFERROR(Datos!B4470,"")</f>
        <v/>
      </c>
      <c r="C4470" s="8">
        <f>IFERROR(Datos!C4470,"")</f>
        <v/>
      </c>
      <c r="D4470" s="28">
        <f>IFERROR(IF(AND(ISNUMBER(B4470),ISNUMBER(B4469),B4469&lt;&gt;0),B4470/B4469-1,""),"")</f>
        <v/>
      </c>
      <c r="E4470" s="28">
        <f>IFERROR(IF(AND(ISNUMBER(C4470),ISNUMBER(C4469),C4469&lt;&gt;0),C4470/C4469-1,""),"")</f>
        <v/>
      </c>
      <c r="F4470" s="28">
        <f>IFERROR(D4470-Dashboard!$B$4/252,"")</f>
        <v/>
      </c>
      <c r="G4470" s="28">
        <f>IFERROR(E4470-Dashboard!$B$4/252,"")</f>
        <v/>
      </c>
      <c r="H4470" s="8">
        <f>IFERROR(IF(ISNUMBER(B4470),MAX(B4470,IFERROR(H4469,B4470)),""),"")</f>
        <v/>
      </c>
      <c r="I4470" s="29">
        <f>IFERROR(IF(AND(ISNUMBER(B4470),ISNUMBER(H4470)),B4470/H4470-1,""),"")</f>
        <v/>
      </c>
      <c r="J4470" s="8">
        <f>IFERROR(IF(ISNUMBER(C4470),MAX(C4470,IFERROR(J4469,C4470)),""),"")</f>
        <v/>
      </c>
      <c r="K4470" s="29">
        <f>IFERROR(IF(AND(ISNUMBER(C4470),ISNUMBER(J4470)),C4470/J4470-1,""),"")</f>
        <v/>
      </c>
      <c r="L4470" s="28">
        <f>IFERROR(IF(AND(ISNUMBER(D4470),ISNUMBER(E4470)),D4470-E4470,""),"")</f>
        <v/>
      </c>
    </row>
    <row r="4471">
      <c r="A4471" s="7">
        <f>IFERROR(Datos!A4471,"")</f>
        <v/>
      </c>
      <c r="B4471" s="8">
        <f>IFERROR(Datos!B4471,"")</f>
        <v/>
      </c>
      <c r="C4471" s="8">
        <f>IFERROR(Datos!C4471,"")</f>
        <v/>
      </c>
      <c r="D4471" s="28">
        <f>IFERROR(IF(AND(ISNUMBER(B4471),ISNUMBER(B4470),B4470&lt;&gt;0),B4471/B4470-1,""),"")</f>
        <v/>
      </c>
      <c r="E4471" s="28">
        <f>IFERROR(IF(AND(ISNUMBER(C4471),ISNUMBER(C4470),C4470&lt;&gt;0),C4471/C4470-1,""),"")</f>
        <v/>
      </c>
      <c r="F4471" s="28">
        <f>IFERROR(D4471-Dashboard!$B$4/252,"")</f>
        <v/>
      </c>
      <c r="G4471" s="28">
        <f>IFERROR(E4471-Dashboard!$B$4/252,"")</f>
        <v/>
      </c>
      <c r="H4471" s="8">
        <f>IFERROR(IF(ISNUMBER(B4471),MAX(B4471,IFERROR(H4470,B4471)),""),"")</f>
        <v/>
      </c>
      <c r="I4471" s="29">
        <f>IFERROR(IF(AND(ISNUMBER(B4471),ISNUMBER(H4471)),B4471/H4471-1,""),"")</f>
        <v/>
      </c>
      <c r="J4471" s="8">
        <f>IFERROR(IF(ISNUMBER(C4471),MAX(C4471,IFERROR(J4470,C4471)),""),"")</f>
        <v/>
      </c>
      <c r="K4471" s="29">
        <f>IFERROR(IF(AND(ISNUMBER(C4471),ISNUMBER(J4471)),C4471/J4471-1,""),"")</f>
        <v/>
      </c>
      <c r="L4471" s="28">
        <f>IFERROR(IF(AND(ISNUMBER(D4471),ISNUMBER(E4471)),D4471-E4471,""),"")</f>
        <v/>
      </c>
    </row>
    <row r="4472">
      <c r="A4472" s="7">
        <f>IFERROR(Datos!A4472,"")</f>
        <v/>
      </c>
      <c r="B4472" s="8">
        <f>IFERROR(Datos!B4472,"")</f>
        <v/>
      </c>
      <c r="C4472" s="8">
        <f>IFERROR(Datos!C4472,"")</f>
        <v/>
      </c>
      <c r="D4472" s="28">
        <f>IFERROR(IF(AND(ISNUMBER(B4472),ISNUMBER(B4471),B4471&lt;&gt;0),B4472/B4471-1,""),"")</f>
        <v/>
      </c>
      <c r="E4472" s="28">
        <f>IFERROR(IF(AND(ISNUMBER(C4472),ISNUMBER(C4471),C4471&lt;&gt;0),C4472/C4471-1,""),"")</f>
        <v/>
      </c>
      <c r="F4472" s="28">
        <f>IFERROR(D4472-Dashboard!$B$4/252,"")</f>
        <v/>
      </c>
      <c r="G4472" s="28">
        <f>IFERROR(E4472-Dashboard!$B$4/252,"")</f>
        <v/>
      </c>
      <c r="H4472" s="8">
        <f>IFERROR(IF(ISNUMBER(B4472),MAX(B4472,IFERROR(H4471,B4472)),""),"")</f>
        <v/>
      </c>
      <c r="I4472" s="29">
        <f>IFERROR(IF(AND(ISNUMBER(B4472),ISNUMBER(H4472)),B4472/H4472-1,""),"")</f>
        <v/>
      </c>
      <c r="J4472" s="8">
        <f>IFERROR(IF(ISNUMBER(C4472),MAX(C4472,IFERROR(J4471,C4472)),""),"")</f>
        <v/>
      </c>
      <c r="K4472" s="29">
        <f>IFERROR(IF(AND(ISNUMBER(C4472),ISNUMBER(J4472)),C4472/J4472-1,""),"")</f>
        <v/>
      </c>
      <c r="L4472" s="28">
        <f>IFERROR(IF(AND(ISNUMBER(D4472),ISNUMBER(E4472)),D4472-E4472,""),"")</f>
        <v/>
      </c>
    </row>
    <row r="4473">
      <c r="A4473" s="7">
        <f>IFERROR(Datos!A4473,"")</f>
        <v/>
      </c>
      <c r="B4473" s="8">
        <f>IFERROR(Datos!B4473,"")</f>
        <v/>
      </c>
      <c r="C4473" s="8">
        <f>IFERROR(Datos!C4473,"")</f>
        <v/>
      </c>
      <c r="D4473" s="28">
        <f>IFERROR(IF(AND(ISNUMBER(B4473),ISNUMBER(B4472),B4472&lt;&gt;0),B4473/B4472-1,""),"")</f>
        <v/>
      </c>
      <c r="E4473" s="28">
        <f>IFERROR(IF(AND(ISNUMBER(C4473),ISNUMBER(C4472),C4472&lt;&gt;0),C4473/C4472-1,""),"")</f>
        <v/>
      </c>
      <c r="F4473" s="28">
        <f>IFERROR(D4473-Dashboard!$B$4/252,"")</f>
        <v/>
      </c>
      <c r="G4473" s="28">
        <f>IFERROR(E4473-Dashboard!$B$4/252,"")</f>
        <v/>
      </c>
      <c r="H4473" s="8">
        <f>IFERROR(IF(ISNUMBER(B4473),MAX(B4473,IFERROR(H4472,B4473)),""),"")</f>
        <v/>
      </c>
      <c r="I4473" s="29">
        <f>IFERROR(IF(AND(ISNUMBER(B4473),ISNUMBER(H4473)),B4473/H4473-1,""),"")</f>
        <v/>
      </c>
      <c r="J4473" s="8">
        <f>IFERROR(IF(ISNUMBER(C4473),MAX(C4473,IFERROR(J4472,C4473)),""),"")</f>
        <v/>
      </c>
      <c r="K4473" s="29">
        <f>IFERROR(IF(AND(ISNUMBER(C4473),ISNUMBER(J4473)),C4473/J4473-1,""),"")</f>
        <v/>
      </c>
      <c r="L4473" s="28">
        <f>IFERROR(IF(AND(ISNUMBER(D4473),ISNUMBER(E4473)),D4473-E4473,""),"")</f>
        <v/>
      </c>
    </row>
    <row r="4474">
      <c r="A4474" s="7">
        <f>IFERROR(Datos!A4474,"")</f>
        <v/>
      </c>
      <c r="B4474" s="8">
        <f>IFERROR(Datos!B4474,"")</f>
        <v/>
      </c>
      <c r="C4474" s="8">
        <f>IFERROR(Datos!C4474,"")</f>
        <v/>
      </c>
      <c r="D4474" s="28">
        <f>IFERROR(IF(AND(ISNUMBER(B4474),ISNUMBER(B4473),B4473&lt;&gt;0),B4474/B4473-1,""),"")</f>
        <v/>
      </c>
      <c r="E4474" s="28">
        <f>IFERROR(IF(AND(ISNUMBER(C4474),ISNUMBER(C4473),C4473&lt;&gt;0),C4474/C4473-1,""),"")</f>
        <v/>
      </c>
      <c r="F4474" s="28">
        <f>IFERROR(D4474-Dashboard!$B$4/252,"")</f>
        <v/>
      </c>
      <c r="G4474" s="28">
        <f>IFERROR(E4474-Dashboard!$B$4/252,"")</f>
        <v/>
      </c>
      <c r="H4474" s="8">
        <f>IFERROR(IF(ISNUMBER(B4474),MAX(B4474,IFERROR(H4473,B4474)),""),"")</f>
        <v/>
      </c>
      <c r="I4474" s="29">
        <f>IFERROR(IF(AND(ISNUMBER(B4474),ISNUMBER(H4474)),B4474/H4474-1,""),"")</f>
        <v/>
      </c>
      <c r="J4474" s="8">
        <f>IFERROR(IF(ISNUMBER(C4474),MAX(C4474,IFERROR(J4473,C4474)),""),"")</f>
        <v/>
      </c>
      <c r="K4474" s="29">
        <f>IFERROR(IF(AND(ISNUMBER(C4474),ISNUMBER(J4474)),C4474/J4474-1,""),"")</f>
        <v/>
      </c>
      <c r="L4474" s="28">
        <f>IFERROR(IF(AND(ISNUMBER(D4474),ISNUMBER(E4474)),D4474-E4474,""),"")</f>
        <v/>
      </c>
    </row>
    <row r="4475">
      <c r="A4475" s="7">
        <f>IFERROR(Datos!A4475,"")</f>
        <v/>
      </c>
      <c r="B4475" s="8">
        <f>IFERROR(Datos!B4475,"")</f>
        <v/>
      </c>
      <c r="C4475" s="8">
        <f>IFERROR(Datos!C4475,"")</f>
        <v/>
      </c>
      <c r="D4475" s="28">
        <f>IFERROR(IF(AND(ISNUMBER(B4475),ISNUMBER(B4474),B4474&lt;&gt;0),B4475/B4474-1,""),"")</f>
        <v/>
      </c>
      <c r="E4475" s="28">
        <f>IFERROR(IF(AND(ISNUMBER(C4475),ISNUMBER(C4474),C4474&lt;&gt;0),C4475/C4474-1,""),"")</f>
        <v/>
      </c>
      <c r="F4475" s="28">
        <f>IFERROR(D4475-Dashboard!$B$4/252,"")</f>
        <v/>
      </c>
      <c r="G4475" s="28">
        <f>IFERROR(E4475-Dashboard!$B$4/252,"")</f>
        <v/>
      </c>
      <c r="H4475" s="8">
        <f>IFERROR(IF(ISNUMBER(B4475),MAX(B4475,IFERROR(H4474,B4475)),""),"")</f>
        <v/>
      </c>
      <c r="I4475" s="29">
        <f>IFERROR(IF(AND(ISNUMBER(B4475),ISNUMBER(H4475)),B4475/H4475-1,""),"")</f>
        <v/>
      </c>
      <c r="J4475" s="8">
        <f>IFERROR(IF(ISNUMBER(C4475),MAX(C4475,IFERROR(J4474,C4475)),""),"")</f>
        <v/>
      </c>
      <c r="K4475" s="29">
        <f>IFERROR(IF(AND(ISNUMBER(C4475),ISNUMBER(J4475)),C4475/J4475-1,""),"")</f>
        <v/>
      </c>
      <c r="L4475" s="28">
        <f>IFERROR(IF(AND(ISNUMBER(D4475),ISNUMBER(E4475)),D4475-E4475,""),"")</f>
        <v/>
      </c>
    </row>
    <row r="4476">
      <c r="A4476" s="7">
        <f>IFERROR(Datos!A4476,"")</f>
        <v/>
      </c>
      <c r="B4476" s="8">
        <f>IFERROR(Datos!B4476,"")</f>
        <v/>
      </c>
      <c r="C4476" s="8">
        <f>IFERROR(Datos!C4476,"")</f>
        <v/>
      </c>
      <c r="D4476" s="28">
        <f>IFERROR(IF(AND(ISNUMBER(B4476),ISNUMBER(B4475),B4475&lt;&gt;0),B4476/B4475-1,""),"")</f>
        <v/>
      </c>
      <c r="E4476" s="28">
        <f>IFERROR(IF(AND(ISNUMBER(C4476),ISNUMBER(C4475),C4475&lt;&gt;0),C4476/C4475-1,""),"")</f>
        <v/>
      </c>
      <c r="F4476" s="28">
        <f>IFERROR(D4476-Dashboard!$B$4/252,"")</f>
        <v/>
      </c>
      <c r="G4476" s="28">
        <f>IFERROR(E4476-Dashboard!$B$4/252,"")</f>
        <v/>
      </c>
      <c r="H4476" s="8">
        <f>IFERROR(IF(ISNUMBER(B4476),MAX(B4476,IFERROR(H4475,B4476)),""),"")</f>
        <v/>
      </c>
      <c r="I4476" s="29">
        <f>IFERROR(IF(AND(ISNUMBER(B4476),ISNUMBER(H4476)),B4476/H4476-1,""),"")</f>
        <v/>
      </c>
      <c r="J4476" s="8">
        <f>IFERROR(IF(ISNUMBER(C4476),MAX(C4476,IFERROR(J4475,C4476)),""),"")</f>
        <v/>
      </c>
      <c r="K4476" s="29">
        <f>IFERROR(IF(AND(ISNUMBER(C4476),ISNUMBER(J4476)),C4476/J4476-1,""),"")</f>
        <v/>
      </c>
      <c r="L4476" s="28">
        <f>IFERROR(IF(AND(ISNUMBER(D4476),ISNUMBER(E4476)),D4476-E4476,""),"")</f>
        <v/>
      </c>
    </row>
    <row r="4477">
      <c r="A4477" s="7">
        <f>IFERROR(Datos!A4477,"")</f>
        <v/>
      </c>
      <c r="B4477" s="8">
        <f>IFERROR(Datos!B4477,"")</f>
        <v/>
      </c>
      <c r="C4477" s="8">
        <f>IFERROR(Datos!C4477,"")</f>
        <v/>
      </c>
      <c r="D4477" s="28">
        <f>IFERROR(IF(AND(ISNUMBER(B4477),ISNUMBER(B4476),B4476&lt;&gt;0),B4477/B4476-1,""),"")</f>
        <v/>
      </c>
      <c r="E4477" s="28">
        <f>IFERROR(IF(AND(ISNUMBER(C4477),ISNUMBER(C4476),C4476&lt;&gt;0),C4477/C4476-1,""),"")</f>
        <v/>
      </c>
      <c r="F4477" s="28">
        <f>IFERROR(D4477-Dashboard!$B$4/252,"")</f>
        <v/>
      </c>
      <c r="G4477" s="28">
        <f>IFERROR(E4477-Dashboard!$B$4/252,"")</f>
        <v/>
      </c>
      <c r="H4477" s="8">
        <f>IFERROR(IF(ISNUMBER(B4477),MAX(B4477,IFERROR(H4476,B4477)),""),"")</f>
        <v/>
      </c>
      <c r="I4477" s="29">
        <f>IFERROR(IF(AND(ISNUMBER(B4477),ISNUMBER(H4477)),B4477/H4477-1,""),"")</f>
        <v/>
      </c>
      <c r="J4477" s="8">
        <f>IFERROR(IF(ISNUMBER(C4477),MAX(C4477,IFERROR(J4476,C4477)),""),"")</f>
        <v/>
      </c>
      <c r="K4477" s="29">
        <f>IFERROR(IF(AND(ISNUMBER(C4477),ISNUMBER(J4477)),C4477/J4477-1,""),"")</f>
        <v/>
      </c>
      <c r="L4477" s="28">
        <f>IFERROR(IF(AND(ISNUMBER(D4477),ISNUMBER(E4477)),D4477-E4477,""),"")</f>
        <v/>
      </c>
    </row>
    <row r="4478">
      <c r="A4478" s="7">
        <f>IFERROR(Datos!A4478,"")</f>
        <v/>
      </c>
      <c r="B4478" s="8">
        <f>IFERROR(Datos!B4478,"")</f>
        <v/>
      </c>
      <c r="C4478" s="8">
        <f>IFERROR(Datos!C4478,"")</f>
        <v/>
      </c>
      <c r="D4478" s="28">
        <f>IFERROR(IF(AND(ISNUMBER(B4478),ISNUMBER(B4477),B4477&lt;&gt;0),B4478/B4477-1,""),"")</f>
        <v/>
      </c>
      <c r="E4478" s="28">
        <f>IFERROR(IF(AND(ISNUMBER(C4478),ISNUMBER(C4477),C4477&lt;&gt;0),C4478/C4477-1,""),"")</f>
        <v/>
      </c>
      <c r="F4478" s="28">
        <f>IFERROR(D4478-Dashboard!$B$4/252,"")</f>
        <v/>
      </c>
      <c r="G4478" s="28">
        <f>IFERROR(E4478-Dashboard!$B$4/252,"")</f>
        <v/>
      </c>
      <c r="H4478" s="8">
        <f>IFERROR(IF(ISNUMBER(B4478),MAX(B4478,IFERROR(H4477,B4478)),""),"")</f>
        <v/>
      </c>
      <c r="I4478" s="29">
        <f>IFERROR(IF(AND(ISNUMBER(B4478),ISNUMBER(H4478)),B4478/H4478-1,""),"")</f>
        <v/>
      </c>
      <c r="J4478" s="8">
        <f>IFERROR(IF(ISNUMBER(C4478),MAX(C4478,IFERROR(J4477,C4478)),""),"")</f>
        <v/>
      </c>
      <c r="K4478" s="29">
        <f>IFERROR(IF(AND(ISNUMBER(C4478),ISNUMBER(J4478)),C4478/J4478-1,""),"")</f>
        <v/>
      </c>
      <c r="L4478" s="28">
        <f>IFERROR(IF(AND(ISNUMBER(D4478),ISNUMBER(E4478)),D4478-E4478,""),"")</f>
        <v/>
      </c>
    </row>
    <row r="4479">
      <c r="A4479" s="7">
        <f>IFERROR(Datos!A4479,"")</f>
        <v/>
      </c>
      <c r="B4479" s="8">
        <f>IFERROR(Datos!B4479,"")</f>
        <v/>
      </c>
      <c r="C4479" s="8">
        <f>IFERROR(Datos!C4479,"")</f>
        <v/>
      </c>
      <c r="D4479" s="28">
        <f>IFERROR(IF(AND(ISNUMBER(B4479),ISNUMBER(B4478),B4478&lt;&gt;0),B4479/B4478-1,""),"")</f>
        <v/>
      </c>
      <c r="E4479" s="28">
        <f>IFERROR(IF(AND(ISNUMBER(C4479),ISNUMBER(C4478),C4478&lt;&gt;0),C4479/C4478-1,""),"")</f>
        <v/>
      </c>
      <c r="F4479" s="28">
        <f>IFERROR(D4479-Dashboard!$B$4/252,"")</f>
        <v/>
      </c>
      <c r="G4479" s="28">
        <f>IFERROR(E4479-Dashboard!$B$4/252,"")</f>
        <v/>
      </c>
      <c r="H4479" s="8">
        <f>IFERROR(IF(ISNUMBER(B4479),MAX(B4479,IFERROR(H4478,B4479)),""),"")</f>
        <v/>
      </c>
      <c r="I4479" s="29">
        <f>IFERROR(IF(AND(ISNUMBER(B4479),ISNUMBER(H4479)),B4479/H4479-1,""),"")</f>
        <v/>
      </c>
      <c r="J4479" s="8">
        <f>IFERROR(IF(ISNUMBER(C4479),MAX(C4479,IFERROR(J4478,C4479)),""),"")</f>
        <v/>
      </c>
      <c r="K4479" s="29">
        <f>IFERROR(IF(AND(ISNUMBER(C4479),ISNUMBER(J4479)),C4479/J4479-1,""),"")</f>
        <v/>
      </c>
      <c r="L4479" s="28">
        <f>IFERROR(IF(AND(ISNUMBER(D4479),ISNUMBER(E4479)),D4479-E4479,""),"")</f>
        <v/>
      </c>
    </row>
    <row r="4480">
      <c r="A4480" s="7">
        <f>IFERROR(Datos!A4480,"")</f>
        <v/>
      </c>
      <c r="B4480" s="8">
        <f>IFERROR(Datos!B4480,"")</f>
        <v/>
      </c>
      <c r="C4480" s="8">
        <f>IFERROR(Datos!C4480,"")</f>
        <v/>
      </c>
      <c r="D4480" s="28">
        <f>IFERROR(IF(AND(ISNUMBER(B4480),ISNUMBER(B4479),B4479&lt;&gt;0),B4480/B4479-1,""),"")</f>
        <v/>
      </c>
      <c r="E4480" s="28">
        <f>IFERROR(IF(AND(ISNUMBER(C4480),ISNUMBER(C4479),C4479&lt;&gt;0),C4480/C4479-1,""),"")</f>
        <v/>
      </c>
      <c r="F4480" s="28">
        <f>IFERROR(D4480-Dashboard!$B$4/252,"")</f>
        <v/>
      </c>
      <c r="G4480" s="28">
        <f>IFERROR(E4480-Dashboard!$B$4/252,"")</f>
        <v/>
      </c>
      <c r="H4480" s="8">
        <f>IFERROR(IF(ISNUMBER(B4480),MAX(B4480,IFERROR(H4479,B4480)),""),"")</f>
        <v/>
      </c>
      <c r="I4480" s="29">
        <f>IFERROR(IF(AND(ISNUMBER(B4480),ISNUMBER(H4480)),B4480/H4480-1,""),"")</f>
        <v/>
      </c>
      <c r="J4480" s="8">
        <f>IFERROR(IF(ISNUMBER(C4480),MAX(C4480,IFERROR(J4479,C4480)),""),"")</f>
        <v/>
      </c>
      <c r="K4480" s="29">
        <f>IFERROR(IF(AND(ISNUMBER(C4480),ISNUMBER(J4480)),C4480/J4480-1,""),"")</f>
        <v/>
      </c>
      <c r="L4480" s="28">
        <f>IFERROR(IF(AND(ISNUMBER(D4480),ISNUMBER(E4480)),D4480-E4480,""),"")</f>
        <v/>
      </c>
    </row>
    <row r="4481">
      <c r="A4481" s="7">
        <f>IFERROR(Datos!A4481,"")</f>
        <v/>
      </c>
      <c r="B4481" s="8">
        <f>IFERROR(Datos!B4481,"")</f>
        <v/>
      </c>
      <c r="C4481" s="8">
        <f>IFERROR(Datos!C4481,"")</f>
        <v/>
      </c>
      <c r="D4481" s="28">
        <f>IFERROR(IF(AND(ISNUMBER(B4481),ISNUMBER(B4480),B4480&lt;&gt;0),B4481/B4480-1,""),"")</f>
        <v/>
      </c>
      <c r="E4481" s="28">
        <f>IFERROR(IF(AND(ISNUMBER(C4481),ISNUMBER(C4480),C4480&lt;&gt;0),C4481/C4480-1,""),"")</f>
        <v/>
      </c>
      <c r="F4481" s="28">
        <f>IFERROR(D4481-Dashboard!$B$4/252,"")</f>
        <v/>
      </c>
      <c r="G4481" s="28">
        <f>IFERROR(E4481-Dashboard!$B$4/252,"")</f>
        <v/>
      </c>
      <c r="H4481" s="8">
        <f>IFERROR(IF(ISNUMBER(B4481),MAX(B4481,IFERROR(H4480,B4481)),""),"")</f>
        <v/>
      </c>
      <c r="I4481" s="29">
        <f>IFERROR(IF(AND(ISNUMBER(B4481),ISNUMBER(H4481)),B4481/H4481-1,""),"")</f>
        <v/>
      </c>
      <c r="J4481" s="8">
        <f>IFERROR(IF(ISNUMBER(C4481),MAX(C4481,IFERROR(J4480,C4481)),""),"")</f>
        <v/>
      </c>
      <c r="K4481" s="29">
        <f>IFERROR(IF(AND(ISNUMBER(C4481),ISNUMBER(J4481)),C4481/J4481-1,""),"")</f>
        <v/>
      </c>
      <c r="L4481" s="28">
        <f>IFERROR(IF(AND(ISNUMBER(D4481),ISNUMBER(E4481)),D4481-E4481,""),"")</f>
        <v/>
      </c>
    </row>
    <row r="4482">
      <c r="A4482" s="7">
        <f>IFERROR(Datos!A4482,"")</f>
        <v/>
      </c>
      <c r="B4482" s="8">
        <f>IFERROR(Datos!B4482,"")</f>
        <v/>
      </c>
      <c r="C4482" s="8">
        <f>IFERROR(Datos!C4482,"")</f>
        <v/>
      </c>
      <c r="D4482" s="28">
        <f>IFERROR(IF(AND(ISNUMBER(B4482),ISNUMBER(B4481),B4481&lt;&gt;0),B4482/B4481-1,""),"")</f>
        <v/>
      </c>
      <c r="E4482" s="28">
        <f>IFERROR(IF(AND(ISNUMBER(C4482),ISNUMBER(C4481),C4481&lt;&gt;0),C4482/C4481-1,""),"")</f>
        <v/>
      </c>
      <c r="F4482" s="28">
        <f>IFERROR(D4482-Dashboard!$B$4/252,"")</f>
        <v/>
      </c>
      <c r="G4482" s="28">
        <f>IFERROR(E4482-Dashboard!$B$4/252,"")</f>
        <v/>
      </c>
      <c r="H4482" s="8">
        <f>IFERROR(IF(ISNUMBER(B4482),MAX(B4482,IFERROR(H4481,B4482)),""),"")</f>
        <v/>
      </c>
      <c r="I4482" s="29">
        <f>IFERROR(IF(AND(ISNUMBER(B4482),ISNUMBER(H4482)),B4482/H4482-1,""),"")</f>
        <v/>
      </c>
      <c r="J4482" s="8">
        <f>IFERROR(IF(ISNUMBER(C4482),MAX(C4482,IFERROR(J4481,C4482)),""),"")</f>
        <v/>
      </c>
      <c r="K4482" s="29">
        <f>IFERROR(IF(AND(ISNUMBER(C4482),ISNUMBER(J4482)),C4482/J4482-1,""),"")</f>
        <v/>
      </c>
      <c r="L4482" s="28">
        <f>IFERROR(IF(AND(ISNUMBER(D4482),ISNUMBER(E4482)),D4482-E4482,""),"")</f>
        <v/>
      </c>
    </row>
    <row r="4483">
      <c r="A4483" s="7">
        <f>IFERROR(Datos!A4483,"")</f>
        <v/>
      </c>
      <c r="B4483" s="8">
        <f>IFERROR(Datos!B4483,"")</f>
        <v/>
      </c>
      <c r="C4483" s="8">
        <f>IFERROR(Datos!C4483,"")</f>
        <v/>
      </c>
      <c r="D4483" s="28">
        <f>IFERROR(IF(AND(ISNUMBER(B4483),ISNUMBER(B4482),B4482&lt;&gt;0),B4483/B4482-1,""),"")</f>
        <v/>
      </c>
      <c r="E4483" s="28">
        <f>IFERROR(IF(AND(ISNUMBER(C4483),ISNUMBER(C4482),C4482&lt;&gt;0),C4483/C4482-1,""),"")</f>
        <v/>
      </c>
      <c r="F4483" s="28">
        <f>IFERROR(D4483-Dashboard!$B$4/252,"")</f>
        <v/>
      </c>
      <c r="G4483" s="28">
        <f>IFERROR(E4483-Dashboard!$B$4/252,"")</f>
        <v/>
      </c>
      <c r="H4483" s="8">
        <f>IFERROR(IF(ISNUMBER(B4483),MAX(B4483,IFERROR(H4482,B4483)),""),"")</f>
        <v/>
      </c>
      <c r="I4483" s="29">
        <f>IFERROR(IF(AND(ISNUMBER(B4483),ISNUMBER(H4483)),B4483/H4483-1,""),"")</f>
        <v/>
      </c>
      <c r="J4483" s="8">
        <f>IFERROR(IF(ISNUMBER(C4483),MAX(C4483,IFERROR(J4482,C4483)),""),"")</f>
        <v/>
      </c>
      <c r="K4483" s="29">
        <f>IFERROR(IF(AND(ISNUMBER(C4483),ISNUMBER(J4483)),C4483/J4483-1,""),"")</f>
        <v/>
      </c>
      <c r="L4483" s="28">
        <f>IFERROR(IF(AND(ISNUMBER(D4483),ISNUMBER(E4483)),D4483-E4483,""),"")</f>
        <v/>
      </c>
    </row>
    <row r="4484">
      <c r="A4484" s="7">
        <f>IFERROR(Datos!A4484,"")</f>
        <v/>
      </c>
      <c r="B4484" s="8">
        <f>IFERROR(Datos!B4484,"")</f>
        <v/>
      </c>
      <c r="C4484" s="8">
        <f>IFERROR(Datos!C4484,"")</f>
        <v/>
      </c>
      <c r="D4484" s="28">
        <f>IFERROR(IF(AND(ISNUMBER(B4484),ISNUMBER(B4483),B4483&lt;&gt;0),B4484/B4483-1,""),"")</f>
        <v/>
      </c>
      <c r="E4484" s="28">
        <f>IFERROR(IF(AND(ISNUMBER(C4484),ISNUMBER(C4483),C4483&lt;&gt;0),C4484/C4483-1,""),"")</f>
        <v/>
      </c>
      <c r="F4484" s="28">
        <f>IFERROR(D4484-Dashboard!$B$4/252,"")</f>
        <v/>
      </c>
      <c r="G4484" s="28">
        <f>IFERROR(E4484-Dashboard!$B$4/252,"")</f>
        <v/>
      </c>
      <c r="H4484" s="8">
        <f>IFERROR(IF(ISNUMBER(B4484),MAX(B4484,IFERROR(H4483,B4484)),""),"")</f>
        <v/>
      </c>
      <c r="I4484" s="29">
        <f>IFERROR(IF(AND(ISNUMBER(B4484),ISNUMBER(H4484)),B4484/H4484-1,""),"")</f>
        <v/>
      </c>
      <c r="J4484" s="8">
        <f>IFERROR(IF(ISNUMBER(C4484),MAX(C4484,IFERROR(J4483,C4484)),""),"")</f>
        <v/>
      </c>
      <c r="K4484" s="29">
        <f>IFERROR(IF(AND(ISNUMBER(C4484),ISNUMBER(J4484)),C4484/J4484-1,""),"")</f>
        <v/>
      </c>
      <c r="L4484" s="28">
        <f>IFERROR(IF(AND(ISNUMBER(D4484),ISNUMBER(E4484)),D4484-E4484,""),"")</f>
        <v/>
      </c>
    </row>
    <row r="4485">
      <c r="A4485" s="7">
        <f>IFERROR(Datos!A4485,"")</f>
        <v/>
      </c>
      <c r="B4485" s="8">
        <f>IFERROR(Datos!B4485,"")</f>
        <v/>
      </c>
      <c r="C4485" s="8">
        <f>IFERROR(Datos!C4485,"")</f>
        <v/>
      </c>
      <c r="D4485" s="28">
        <f>IFERROR(IF(AND(ISNUMBER(B4485),ISNUMBER(B4484),B4484&lt;&gt;0),B4485/B4484-1,""),"")</f>
        <v/>
      </c>
      <c r="E4485" s="28">
        <f>IFERROR(IF(AND(ISNUMBER(C4485),ISNUMBER(C4484),C4484&lt;&gt;0),C4485/C4484-1,""),"")</f>
        <v/>
      </c>
      <c r="F4485" s="28">
        <f>IFERROR(D4485-Dashboard!$B$4/252,"")</f>
        <v/>
      </c>
      <c r="G4485" s="28">
        <f>IFERROR(E4485-Dashboard!$B$4/252,"")</f>
        <v/>
      </c>
      <c r="H4485" s="8">
        <f>IFERROR(IF(ISNUMBER(B4485),MAX(B4485,IFERROR(H4484,B4485)),""),"")</f>
        <v/>
      </c>
      <c r="I4485" s="29">
        <f>IFERROR(IF(AND(ISNUMBER(B4485),ISNUMBER(H4485)),B4485/H4485-1,""),"")</f>
        <v/>
      </c>
      <c r="J4485" s="8">
        <f>IFERROR(IF(ISNUMBER(C4485),MAX(C4485,IFERROR(J4484,C4485)),""),"")</f>
        <v/>
      </c>
      <c r="K4485" s="29">
        <f>IFERROR(IF(AND(ISNUMBER(C4485),ISNUMBER(J4485)),C4485/J4485-1,""),"")</f>
        <v/>
      </c>
      <c r="L4485" s="28">
        <f>IFERROR(IF(AND(ISNUMBER(D4485),ISNUMBER(E4485)),D4485-E4485,""),"")</f>
        <v/>
      </c>
    </row>
    <row r="4486">
      <c r="A4486" s="7">
        <f>IFERROR(Datos!A4486,"")</f>
        <v/>
      </c>
      <c r="B4486" s="8">
        <f>IFERROR(Datos!B4486,"")</f>
        <v/>
      </c>
      <c r="C4486" s="8">
        <f>IFERROR(Datos!C4486,"")</f>
        <v/>
      </c>
      <c r="D4486" s="28">
        <f>IFERROR(IF(AND(ISNUMBER(B4486),ISNUMBER(B4485),B4485&lt;&gt;0),B4486/B4485-1,""),"")</f>
        <v/>
      </c>
      <c r="E4486" s="28">
        <f>IFERROR(IF(AND(ISNUMBER(C4486),ISNUMBER(C4485),C4485&lt;&gt;0),C4486/C4485-1,""),"")</f>
        <v/>
      </c>
      <c r="F4486" s="28">
        <f>IFERROR(D4486-Dashboard!$B$4/252,"")</f>
        <v/>
      </c>
      <c r="G4486" s="28">
        <f>IFERROR(E4486-Dashboard!$B$4/252,"")</f>
        <v/>
      </c>
      <c r="H4486" s="8">
        <f>IFERROR(IF(ISNUMBER(B4486),MAX(B4486,IFERROR(H4485,B4486)),""),"")</f>
        <v/>
      </c>
      <c r="I4486" s="29">
        <f>IFERROR(IF(AND(ISNUMBER(B4486),ISNUMBER(H4486)),B4486/H4486-1,""),"")</f>
        <v/>
      </c>
      <c r="J4486" s="8">
        <f>IFERROR(IF(ISNUMBER(C4486),MAX(C4486,IFERROR(J4485,C4486)),""),"")</f>
        <v/>
      </c>
      <c r="K4486" s="29">
        <f>IFERROR(IF(AND(ISNUMBER(C4486),ISNUMBER(J4486)),C4486/J4486-1,""),"")</f>
        <v/>
      </c>
      <c r="L4486" s="28">
        <f>IFERROR(IF(AND(ISNUMBER(D4486),ISNUMBER(E4486)),D4486-E4486,""),"")</f>
        <v/>
      </c>
    </row>
    <row r="4487">
      <c r="A4487" s="7">
        <f>IFERROR(Datos!A4487,"")</f>
        <v/>
      </c>
      <c r="B4487" s="8">
        <f>IFERROR(Datos!B4487,"")</f>
        <v/>
      </c>
      <c r="C4487" s="8">
        <f>IFERROR(Datos!C4487,"")</f>
        <v/>
      </c>
      <c r="D4487" s="28">
        <f>IFERROR(IF(AND(ISNUMBER(B4487),ISNUMBER(B4486),B4486&lt;&gt;0),B4487/B4486-1,""),"")</f>
        <v/>
      </c>
      <c r="E4487" s="28">
        <f>IFERROR(IF(AND(ISNUMBER(C4487),ISNUMBER(C4486),C4486&lt;&gt;0),C4487/C4486-1,""),"")</f>
        <v/>
      </c>
      <c r="F4487" s="28">
        <f>IFERROR(D4487-Dashboard!$B$4/252,"")</f>
        <v/>
      </c>
      <c r="G4487" s="28">
        <f>IFERROR(E4487-Dashboard!$B$4/252,"")</f>
        <v/>
      </c>
      <c r="H4487" s="8">
        <f>IFERROR(IF(ISNUMBER(B4487),MAX(B4487,IFERROR(H4486,B4487)),""),"")</f>
        <v/>
      </c>
      <c r="I4487" s="29">
        <f>IFERROR(IF(AND(ISNUMBER(B4487),ISNUMBER(H4487)),B4487/H4487-1,""),"")</f>
        <v/>
      </c>
      <c r="J4487" s="8">
        <f>IFERROR(IF(ISNUMBER(C4487),MAX(C4487,IFERROR(J4486,C4487)),""),"")</f>
        <v/>
      </c>
      <c r="K4487" s="29">
        <f>IFERROR(IF(AND(ISNUMBER(C4487),ISNUMBER(J4487)),C4487/J4487-1,""),"")</f>
        <v/>
      </c>
      <c r="L4487" s="28">
        <f>IFERROR(IF(AND(ISNUMBER(D4487),ISNUMBER(E4487)),D4487-E4487,""),"")</f>
        <v/>
      </c>
    </row>
    <row r="4488">
      <c r="A4488" s="7">
        <f>IFERROR(Datos!A4488,"")</f>
        <v/>
      </c>
      <c r="B4488" s="8">
        <f>IFERROR(Datos!B4488,"")</f>
        <v/>
      </c>
      <c r="C4488" s="8">
        <f>IFERROR(Datos!C4488,"")</f>
        <v/>
      </c>
      <c r="D4488" s="28">
        <f>IFERROR(IF(AND(ISNUMBER(B4488),ISNUMBER(B4487),B4487&lt;&gt;0),B4488/B4487-1,""),"")</f>
        <v/>
      </c>
      <c r="E4488" s="28">
        <f>IFERROR(IF(AND(ISNUMBER(C4488),ISNUMBER(C4487),C4487&lt;&gt;0),C4488/C4487-1,""),"")</f>
        <v/>
      </c>
      <c r="F4488" s="28">
        <f>IFERROR(D4488-Dashboard!$B$4/252,"")</f>
        <v/>
      </c>
      <c r="G4488" s="28">
        <f>IFERROR(E4488-Dashboard!$B$4/252,"")</f>
        <v/>
      </c>
      <c r="H4488" s="8">
        <f>IFERROR(IF(ISNUMBER(B4488),MAX(B4488,IFERROR(H4487,B4488)),""),"")</f>
        <v/>
      </c>
      <c r="I4488" s="29">
        <f>IFERROR(IF(AND(ISNUMBER(B4488),ISNUMBER(H4488)),B4488/H4488-1,""),"")</f>
        <v/>
      </c>
      <c r="J4488" s="8">
        <f>IFERROR(IF(ISNUMBER(C4488),MAX(C4488,IFERROR(J4487,C4488)),""),"")</f>
        <v/>
      </c>
      <c r="K4488" s="29">
        <f>IFERROR(IF(AND(ISNUMBER(C4488),ISNUMBER(J4488)),C4488/J4488-1,""),"")</f>
        <v/>
      </c>
      <c r="L4488" s="28">
        <f>IFERROR(IF(AND(ISNUMBER(D4488),ISNUMBER(E4488)),D4488-E4488,""),"")</f>
        <v/>
      </c>
    </row>
    <row r="4489">
      <c r="A4489" s="7">
        <f>IFERROR(Datos!A4489,"")</f>
        <v/>
      </c>
      <c r="B4489" s="8">
        <f>IFERROR(Datos!B4489,"")</f>
        <v/>
      </c>
      <c r="C4489" s="8">
        <f>IFERROR(Datos!C4489,"")</f>
        <v/>
      </c>
      <c r="D4489" s="28">
        <f>IFERROR(IF(AND(ISNUMBER(B4489),ISNUMBER(B4488),B4488&lt;&gt;0),B4489/B4488-1,""),"")</f>
        <v/>
      </c>
      <c r="E4489" s="28">
        <f>IFERROR(IF(AND(ISNUMBER(C4489),ISNUMBER(C4488),C4488&lt;&gt;0),C4489/C4488-1,""),"")</f>
        <v/>
      </c>
      <c r="F4489" s="28">
        <f>IFERROR(D4489-Dashboard!$B$4/252,"")</f>
        <v/>
      </c>
      <c r="G4489" s="28">
        <f>IFERROR(E4489-Dashboard!$B$4/252,"")</f>
        <v/>
      </c>
      <c r="H4489" s="8">
        <f>IFERROR(IF(ISNUMBER(B4489),MAX(B4489,IFERROR(H4488,B4489)),""),"")</f>
        <v/>
      </c>
      <c r="I4489" s="29">
        <f>IFERROR(IF(AND(ISNUMBER(B4489),ISNUMBER(H4489)),B4489/H4489-1,""),"")</f>
        <v/>
      </c>
      <c r="J4489" s="8">
        <f>IFERROR(IF(ISNUMBER(C4489),MAX(C4489,IFERROR(J4488,C4489)),""),"")</f>
        <v/>
      </c>
      <c r="K4489" s="29">
        <f>IFERROR(IF(AND(ISNUMBER(C4489),ISNUMBER(J4489)),C4489/J4489-1,""),"")</f>
        <v/>
      </c>
      <c r="L4489" s="28">
        <f>IFERROR(IF(AND(ISNUMBER(D4489),ISNUMBER(E4489)),D4489-E4489,""),"")</f>
        <v/>
      </c>
    </row>
    <row r="4490">
      <c r="A4490" s="7">
        <f>IFERROR(Datos!A4490,"")</f>
        <v/>
      </c>
      <c r="B4490" s="8">
        <f>IFERROR(Datos!B4490,"")</f>
        <v/>
      </c>
      <c r="C4490" s="8">
        <f>IFERROR(Datos!C4490,"")</f>
        <v/>
      </c>
      <c r="D4490" s="28">
        <f>IFERROR(IF(AND(ISNUMBER(B4490),ISNUMBER(B4489),B4489&lt;&gt;0),B4490/B4489-1,""),"")</f>
        <v/>
      </c>
      <c r="E4490" s="28">
        <f>IFERROR(IF(AND(ISNUMBER(C4490),ISNUMBER(C4489),C4489&lt;&gt;0),C4490/C4489-1,""),"")</f>
        <v/>
      </c>
      <c r="F4490" s="28">
        <f>IFERROR(D4490-Dashboard!$B$4/252,"")</f>
        <v/>
      </c>
      <c r="G4490" s="28">
        <f>IFERROR(E4490-Dashboard!$B$4/252,"")</f>
        <v/>
      </c>
      <c r="H4490" s="8">
        <f>IFERROR(IF(ISNUMBER(B4490),MAX(B4490,IFERROR(H4489,B4490)),""),"")</f>
        <v/>
      </c>
      <c r="I4490" s="29">
        <f>IFERROR(IF(AND(ISNUMBER(B4490),ISNUMBER(H4490)),B4490/H4490-1,""),"")</f>
        <v/>
      </c>
      <c r="J4490" s="8">
        <f>IFERROR(IF(ISNUMBER(C4490),MAX(C4490,IFERROR(J4489,C4490)),""),"")</f>
        <v/>
      </c>
      <c r="K4490" s="29">
        <f>IFERROR(IF(AND(ISNUMBER(C4490),ISNUMBER(J4490)),C4490/J4490-1,""),"")</f>
        <v/>
      </c>
      <c r="L4490" s="28">
        <f>IFERROR(IF(AND(ISNUMBER(D4490),ISNUMBER(E4490)),D4490-E4490,""),"")</f>
        <v/>
      </c>
    </row>
    <row r="4491">
      <c r="A4491" s="7">
        <f>IFERROR(Datos!A4491,"")</f>
        <v/>
      </c>
      <c r="B4491" s="8">
        <f>IFERROR(Datos!B4491,"")</f>
        <v/>
      </c>
      <c r="C4491" s="8">
        <f>IFERROR(Datos!C4491,"")</f>
        <v/>
      </c>
      <c r="D4491" s="28">
        <f>IFERROR(IF(AND(ISNUMBER(B4491),ISNUMBER(B4490),B4490&lt;&gt;0),B4491/B4490-1,""),"")</f>
        <v/>
      </c>
      <c r="E4491" s="28">
        <f>IFERROR(IF(AND(ISNUMBER(C4491),ISNUMBER(C4490),C4490&lt;&gt;0),C4491/C4490-1,""),"")</f>
        <v/>
      </c>
      <c r="F4491" s="28">
        <f>IFERROR(D4491-Dashboard!$B$4/252,"")</f>
        <v/>
      </c>
      <c r="G4491" s="28">
        <f>IFERROR(E4491-Dashboard!$B$4/252,"")</f>
        <v/>
      </c>
      <c r="H4491" s="8">
        <f>IFERROR(IF(ISNUMBER(B4491),MAX(B4491,IFERROR(H4490,B4491)),""),"")</f>
        <v/>
      </c>
      <c r="I4491" s="29">
        <f>IFERROR(IF(AND(ISNUMBER(B4491),ISNUMBER(H4491)),B4491/H4491-1,""),"")</f>
        <v/>
      </c>
      <c r="J4491" s="8">
        <f>IFERROR(IF(ISNUMBER(C4491),MAX(C4491,IFERROR(J4490,C4491)),""),"")</f>
        <v/>
      </c>
      <c r="K4491" s="29">
        <f>IFERROR(IF(AND(ISNUMBER(C4491),ISNUMBER(J4491)),C4491/J4491-1,""),"")</f>
        <v/>
      </c>
      <c r="L4491" s="28">
        <f>IFERROR(IF(AND(ISNUMBER(D4491),ISNUMBER(E4491)),D4491-E4491,""),"")</f>
        <v/>
      </c>
    </row>
    <row r="4492">
      <c r="A4492" s="7">
        <f>IFERROR(Datos!A4492,"")</f>
        <v/>
      </c>
      <c r="B4492" s="8">
        <f>IFERROR(Datos!B4492,"")</f>
        <v/>
      </c>
      <c r="C4492" s="8">
        <f>IFERROR(Datos!C4492,"")</f>
        <v/>
      </c>
      <c r="D4492" s="28">
        <f>IFERROR(IF(AND(ISNUMBER(B4492),ISNUMBER(B4491),B4491&lt;&gt;0),B4492/B4491-1,""),"")</f>
        <v/>
      </c>
      <c r="E4492" s="28">
        <f>IFERROR(IF(AND(ISNUMBER(C4492),ISNUMBER(C4491),C4491&lt;&gt;0),C4492/C4491-1,""),"")</f>
        <v/>
      </c>
      <c r="F4492" s="28">
        <f>IFERROR(D4492-Dashboard!$B$4/252,"")</f>
        <v/>
      </c>
      <c r="G4492" s="28">
        <f>IFERROR(E4492-Dashboard!$B$4/252,"")</f>
        <v/>
      </c>
      <c r="H4492" s="8">
        <f>IFERROR(IF(ISNUMBER(B4492),MAX(B4492,IFERROR(H4491,B4492)),""),"")</f>
        <v/>
      </c>
      <c r="I4492" s="29">
        <f>IFERROR(IF(AND(ISNUMBER(B4492),ISNUMBER(H4492)),B4492/H4492-1,""),"")</f>
        <v/>
      </c>
      <c r="J4492" s="8">
        <f>IFERROR(IF(ISNUMBER(C4492),MAX(C4492,IFERROR(J4491,C4492)),""),"")</f>
        <v/>
      </c>
      <c r="K4492" s="29">
        <f>IFERROR(IF(AND(ISNUMBER(C4492),ISNUMBER(J4492)),C4492/J4492-1,""),"")</f>
        <v/>
      </c>
      <c r="L4492" s="28">
        <f>IFERROR(IF(AND(ISNUMBER(D4492),ISNUMBER(E4492)),D4492-E4492,""),"")</f>
        <v/>
      </c>
    </row>
    <row r="4493">
      <c r="A4493" s="7">
        <f>IFERROR(Datos!A4493,"")</f>
        <v/>
      </c>
      <c r="B4493" s="8">
        <f>IFERROR(Datos!B4493,"")</f>
        <v/>
      </c>
      <c r="C4493" s="8">
        <f>IFERROR(Datos!C4493,"")</f>
        <v/>
      </c>
      <c r="D4493" s="28">
        <f>IFERROR(IF(AND(ISNUMBER(B4493),ISNUMBER(B4492),B4492&lt;&gt;0),B4493/B4492-1,""),"")</f>
        <v/>
      </c>
      <c r="E4493" s="28">
        <f>IFERROR(IF(AND(ISNUMBER(C4493),ISNUMBER(C4492),C4492&lt;&gt;0),C4493/C4492-1,""),"")</f>
        <v/>
      </c>
      <c r="F4493" s="28">
        <f>IFERROR(D4493-Dashboard!$B$4/252,"")</f>
        <v/>
      </c>
      <c r="G4493" s="28">
        <f>IFERROR(E4493-Dashboard!$B$4/252,"")</f>
        <v/>
      </c>
      <c r="H4493" s="8">
        <f>IFERROR(IF(ISNUMBER(B4493),MAX(B4493,IFERROR(H4492,B4493)),""),"")</f>
        <v/>
      </c>
      <c r="I4493" s="29">
        <f>IFERROR(IF(AND(ISNUMBER(B4493),ISNUMBER(H4493)),B4493/H4493-1,""),"")</f>
        <v/>
      </c>
      <c r="J4493" s="8">
        <f>IFERROR(IF(ISNUMBER(C4493),MAX(C4493,IFERROR(J4492,C4493)),""),"")</f>
        <v/>
      </c>
      <c r="K4493" s="29">
        <f>IFERROR(IF(AND(ISNUMBER(C4493),ISNUMBER(J4493)),C4493/J4493-1,""),"")</f>
        <v/>
      </c>
      <c r="L4493" s="28">
        <f>IFERROR(IF(AND(ISNUMBER(D4493),ISNUMBER(E4493)),D4493-E4493,""),"")</f>
        <v/>
      </c>
    </row>
    <row r="4494">
      <c r="A4494" s="7">
        <f>IFERROR(Datos!A4494,"")</f>
        <v/>
      </c>
      <c r="B4494" s="8">
        <f>IFERROR(Datos!B4494,"")</f>
        <v/>
      </c>
      <c r="C4494" s="8">
        <f>IFERROR(Datos!C4494,"")</f>
        <v/>
      </c>
      <c r="D4494" s="28">
        <f>IFERROR(IF(AND(ISNUMBER(B4494),ISNUMBER(B4493),B4493&lt;&gt;0),B4494/B4493-1,""),"")</f>
        <v/>
      </c>
      <c r="E4494" s="28">
        <f>IFERROR(IF(AND(ISNUMBER(C4494),ISNUMBER(C4493),C4493&lt;&gt;0),C4494/C4493-1,""),"")</f>
        <v/>
      </c>
      <c r="F4494" s="28">
        <f>IFERROR(D4494-Dashboard!$B$4/252,"")</f>
        <v/>
      </c>
      <c r="G4494" s="28">
        <f>IFERROR(E4494-Dashboard!$B$4/252,"")</f>
        <v/>
      </c>
      <c r="H4494" s="8">
        <f>IFERROR(IF(ISNUMBER(B4494),MAX(B4494,IFERROR(H4493,B4494)),""),"")</f>
        <v/>
      </c>
      <c r="I4494" s="29">
        <f>IFERROR(IF(AND(ISNUMBER(B4494),ISNUMBER(H4494)),B4494/H4494-1,""),"")</f>
        <v/>
      </c>
      <c r="J4494" s="8">
        <f>IFERROR(IF(ISNUMBER(C4494),MAX(C4494,IFERROR(J4493,C4494)),""),"")</f>
        <v/>
      </c>
      <c r="K4494" s="29">
        <f>IFERROR(IF(AND(ISNUMBER(C4494),ISNUMBER(J4494)),C4494/J4494-1,""),"")</f>
        <v/>
      </c>
      <c r="L4494" s="28">
        <f>IFERROR(IF(AND(ISNUMBER(D4494),ISNUMBER(E4494)),D4494-E4494,""),"")</f>
        <v/>
      </c>
    </row>
    <row r="4495">
      <c r="A4495" s="7">
        <f>IFERROR(Datos!A4495,"")</f>
        <v/>
      </c>
      <c r="B4495" s="8">
        <f>IFERROR(Datos!B4495,"")</f>
        <v/>
      </c>
      <c r="C4495" s="8">
        <f>IFERROR(Datos!C4495,"")</f>
        <v/>
      </c>
      <c r="D4495" s="28">
        <f>IFERROR(IF(AND(ISNUMBER(B4495),ISNUMBER(B4494),B4494&lt;&gt;0),B4495/B4494-1,""),"")</f>
        <v/>
      </c>
      <c r="E4495" s="28">
        <f>IFERROR(IF(AND(ISNUMBER(C4495),ISNUMBER(C4494),C4494&lt;&gt;0),C4495/C4494-1,""),"")</f>
        <v/>
      </c>
      <c r="F4495" s="28">
        <f>IFERROR(D4495-Dashboard!$B$4/252,"")</f>
        <v/>
      </c>
      <c r="G4495" s="28">
        <f>IFERROR(E4495-Dashboard!$B$4/252,"")</f>
        <v/>
      </c>
      <c r="H4495" s="8">
        <f>IFERROR(IF(ISNUMBER(B4495),MAX(B4495,IFERROR(H4494,B4495)),""),"")</f>
        <v/>
      </c>
      <c r="I4495" s="29">
        <f>IFERROR(IF(AND(ISNUMBER(B4495),ISNUMBER(H4495)),B4495/H4495-1,""),"")</f>
        <v/>
      </c>
      <c r="J4495" s="8">
        <f>IFERROR(IF(ISNUMBER(C4495),MAX(C4495,IFERROR(J4494,C4495)),""),"")</f>
        <v/>
      </c>
      <c r="K4495" s="29">
        <f>IFERROR(IF(AND(ISNUMBER(C4495),ISNUMBER(J4495)),C4495/J4495-1,""),"")</f>
        <v/>
      </c>
      <c r="L4495" s="28">
        <f>IFERROR(IF(AND(ISNUMBER(D4495),ISNUMBER(E4495)),D4495-E4495,""),"")</f>
        <v/>
      </c>
    </row>
    <row r="4496">
      <c r="A4496" s="7">
        <f>IFERROR(Datos!A4496,"")</f>
        <v/>
      </c>
      <c r="B4496" s="8">
        <f>IFERROR(Datos!B4496,"")</f>
        <v/>
      </c>
      <c r="C4496" s="8">
        <f>IFERROR(Datos!C4496,"")</f>
        <v/>
      </c>
      <c r="D4496" s="28">
        <f>IFERROR(IF(AND(ISNUMBER(B4496),ISNUMBER(B4495),B4495&lt;&gt;0),B4496/B4495-1,""),"")</f>
        <v/>
      </c>
      <c r="E4496" s="28">
        <f>IFERROR(IF(AND(ISNUMBER(C4496),ISNUMBER(C4495),C4495&lt;&gt;0),C4496/C4495-1,""),"")</f>
        <v/>
      </c>
      <c r="F4496" s="28">
        <f>IFERROR(D4496-Dashboard!$B$4/252,"")</f>
        <v/>
      </c>
      <c r="G4496" s="28">
        <f>IFERROR(E4496-Dashboard!$B$4/252,"")</f>
        <v/>
      </c>
      <c r="H4496" s="8">
        <f>IFERROR(IF(ISNUMBER(B4496),MAX(B4496,IFERROR(H4495,B4496)),""),"")</f>
        <v/>
      </c>
      <c r="I4496" s="29">
        <f>IFERROR(IF(AND(ISNUMBER(B4496),ISNUMBER(H4496)),B4496/H4496-1,""),"")</f>
        <v/>
      </c>
      <c r="J4496" s="8">
        <f>IFERROR(IF(ISNUMBER(C4496),MAX(C4496,IFERROR(J4495,C4496)),""),"")</f>
        <v/>
      </c>
      <c r="K4496" s="29">
        <f>IFERROR(IF(AND(ISNUMBER(C4496),ISNUMBER(J4496)),C4496/J4496-1,""),"")</f>
        <v/>
      </c>
      <c r="L4496" s="28">
        <f>IFERROR(IF(AND(ISNUMBER(D4496),ISNUMBER(E4496)),D4496-E4496,""),"")</f>
        <v/>
      </c>
    </row>
    <row r="4497">
      <c r="A4497" s="7">
        <f>IFERROR(Datos!A4497,"")</f>
        <v/>
      </c>
      <c r="B4497" s="8">
        <f>IFERROR(Datos!B4497,"")</f>
        <v/>
      </c>
      <c r="C4497" s="8">
        <f>IFERROR(Datos!C4497,"")</f>
        <v/>
      </c>
      <c r="D4497" s="28">
        <f>IFERROR(IF(AND(ISNUMBER(B4497),ISNUMBER(B4496),B4496&lt;&gt;0),B4497/B4496-1,""),"")</f>
        <v/>
      </c>
      <c r="E4497" s="28">
        <f>IFERROR(IF(AND(ISNUMBER(C4497),ISNUMBER(C4496),C4496&lt;&gt;0),C4497/C4496-1,""),"")</f>
        <v/>
      </c>
      <c r="F4497" s="28">
        <f>IFERROR(D4497-Dashboard!$B$4/252,"")</f>
        <v/>
      </c>
      <c r="G4497" s="28">
        <f>IFERROR(E4497-Dashboard!$B$4/252,"")</f>
        <v/>
      </c>
      <c r="H4497" s="8">
        <f>IFERROR(IF(ISNUMBER(B4497),MAX(B4497,IFERROR(H4496,B4497)),""),"")</f>
        <v/>
      </c>
      <c r="I4497" s="29">
        <f>IFERROR(IF(AND(ISNUMBER(B4497),ISNUMBER(H4497)),B4497/H4497-1,""),"")</f>
        <v/>
      </c>
      <c r="J4497" s="8">
        <f>IFERROR(IF(ISNUMBER(C4497),MAX(C4497,IFERROR(J4496,C4497)),""),"")</f>
        <v/>
      </c>
      <c r="K4497" s="29">
        <f>IFERROR(IF(AND(ISNUMBER(C4497),ISNUMBER(J4497)),C4497/J4497-1,""),"")</f>
        <v/>
      </c>
      <c r="L4497" s="28">
        <f>IFERROR(IF(AND(ISNUMBER(D4497),ISNUMBER(E4497)),D4497-E4497,""),"")</f>
        <v/>
      </c>
    </row>
    <row r="4498">
      <c r="A4498" s="7">
        <f>IFERROR(Datos!A4498,"")</f>
        <v/>
      </c>
      <c r="B4498" s="8">
        <f>IFERROR(Datos!B4498,"")</f>
        <v/>
      </c>
      <c r="C4498" s="8">
        <f>IFERROR(Datos!C4498,"")</f>
        <v/>
      </c>
      <c r="D4498" s="28">
        <f>IFERROR(IF(AND(ISNUMBER(B4498),ISNUMBER(B4497),B4497&lt;&gt;0),B4498/B4497-1,""),"")</f>
        <v/>
      </c>
      <c r="E4498" s="28">
        <f>IFERROR(IF(AND(ISNUMBER(C4498),ISNUMBER(C4497),C4497&lt;&gt;0),C4498/C4497-1,""),"")</f>
        <v/>
      </c>
      <c r="F4498" s="28">
        <f>IFERROR(D4498-Dashboard!$B$4/252,"")</f>
        <v/>
      </c>
      <c r="G4498" s="28">
        <f>IFERROR(E4498-Dashboard!$B$4/252,"")</f>
        <v/>
      </c>
      <c r="H4498" s="8">
        <f>IFERROR(IF(ISNUMBER(B4498),MAX(B4498,IFERROR(H4497,B4498)),""),"")</f>
        <v/>
      </c>
      <c r="I4498" s="29">
        <f>IFERROR(IF(AND(ISNUMBER(B4498),ISNUMBER(H4498)),B4498/H4498-1,""),"")</f>
        <v/>
      </c>
      <c r="J4498" s="8">
        <f>IFERROR(IF(ISNUMBER(C4498),MAX(C4498,IFERROR(J4497,C4498)),""),"")</f>
        <v/>
      </c>
      <c r="K4498" s="29">
        <f>IFERROR(IF(AND(ISNUMBER(C4498),ISNUMBER(J4498)),C4498/J4498-1,""),"")</f>
        <v/>
      </c>
      <c r="L4498" s="28">
        <f>IFERROR(IF(AND(ISNUMBER(D4498),ISNUMBER(E4498)),D4498-E4498,""),"")</f>
        <v/>
      </c>
    </row>
    <row r="4499">
      <c r="A4499" s="7">
        <f>IFERROR(Datos!A4499,"")</f>
        <v/>
      </c>
      <c r="B4499" s="8">
        <f>IFERROR(Datos!B4499,"")</f>
        <v/>
      </c>
      <c r="C4499" s="8">
        <f>IFERROR(Datos!C4499,"")</f>
        <v/>
      </c>
      <c r="D4499" s="28">
        <f>IFERROR(IF(AND(ISNUMBER(B4499),ISNUMBER(B4498),B4498&lt;&gt;0),B4499/B4498-1,""),"")</f>
        <v/>
      </c>
      <c r="E4499" s="28">
        <f>IFERROR(IF(AND(ISNUMBER(C4499),ISNUMBER(C4498),C4498&lt;&gt;0),C4499/C4498-1,""),"")</f>
        <v/>
      </c>
      <c r="F4499" s="28">
        <f>IFERROR(D4499-Dashboard!$B$4/252,"")</f>
        <v/>
      </c>
      <c r="G4499" s="28">
        <f>IFERROR(E4499-Dashboard!$B$4/252,"")</f>
        <v/>
      </c>
      <c r="H4499" s="8">
        <f>IFERROR(IF(ISNUMBER(B4499),MAX(B4499,IFERROR(H4498,B4499)),""),"")</f>
        <v/>
      </c>
      <c r="I4499" s="29">
        <f>IFERROR(IF(AND(ISNUMBER(B4499),ISNUMBER(H4499)),B4499/H4499-1,""),"")</f>
        <v/>
      </c>
      <c r="J4499" s="8">
        <f>IFERROR(IF(ISNUMBER(C4499),MAX(C4499,IFERROR(J4498,C4499)),""),"")</f>
        <v/>
      </c>
      <c r="K4499" s="29">
        <f>IFERROR(IF(AND(ISNUMBER(C4499),ISNUMBER(J4499)),C4499/J4499-1,""),"")</f>
        <v/>
      </c>
      <c r="L4499" s="28">
        <f>IFERROR(IF(AND(ISNUMBER(D4499),ISNUMBER(E4499)),D4499-E4499,""),"")</f>
        <v/>
      </c>
    </row>
    <row r="4500">
      <c r="A4500" s="7">
        <f>IFERROR(Datos!A4500,"")</f>
        <v/>
      </c>
      <c r="B4500" s="8">
        <f>IFERROR(Datos!B4500,"")</f>
        <v/>
      </c>
      <c r="C4500" s="8">
        <f>IFERROR(Datos!C4500,"")</f>
        <v/>
      </c>
      <c r="D4500" s="28">
        <f>IFERROR(IF(AND(ISNUMBER(B4500),ISNUMBER(B4499),B4499&lt;&gt;0),B4500/B4499-1,""),"")</f>
        <v/>
      </c>
      <c r="E4500" s="28">
        <f>IFERROR(IF(AND(ISNUMBER(C4500),ISNUMBER(C4499),C4499&lt;&gt;0),C4500/C4499-1,""),"")</f>
        <v/>
      </c>
      <c r="F4500" s="28">
        <f>IFERROR(D4500-Dashboard!$B$4/252,"")</f>
        <v/>
      </c>
      <c r="G4500" s="28">
        <f>IFERROR(E4500-Dashboard!$B$4/252,"")</f>
        <v/>
      </c>
      <c r="H4500" s="8">
        <f>IFERROR(IF(ISNUMBER(B4500),MAX(B4500,IFERROR(H4499,B4500)),""),"")</f>
        <v/>
      </c>
      <c r="I4500" s="29">
        <f>IFERROR(IF(AND(ISNUMBER(B4500),ISNUMBER(H4500)),B4500/H4500-1,""),"")</f>
        <v/>
      </c>
      <c r="J4500" s="8">
        <f>IFERROR(IF(ISNUMBER(C4500),MAX(C4500,IFERROR(J4499,C4500)),""),"")</f>
        <v/>
      </c>
      <c r="K4500" s="29">
        <f>IFERROR(IF(AND(ISNUMBER(C4500),ISNUMBER(J4500)),C4500/J4500-1,""),"")</f>
        <v/>
      </c>
      <c r="L4500" s="28">
        <f>IFERROR(IF(AND(ISNUMBER(D4500),ISNUMBER(E4500)),D4500-E4500,""),"")</f>
        <v/>
      </c>
    </row>
    <row r="4501">
      <c r="A4501" s="7">
        <f>IFERROR(Datos!A4501,"")</f>
        <v/>
      </c>
      <c r="B4501" s="8">
        <f>IFERROR(Datos!B4501,"")</f>
        <v/>
      </c>
      <c r="C4501" s="8">
        <f>IFERROR(Datos!C4501,"")</f>
        <v/>
      </c>
      <c r="D4501" s="28">
        <f>IFERROR(IF(AND(ISNUMBER(B4501),ISNUMBER(B4500),B4500&lt;&gt;0),B4501/B4500-1,""),"")</f>
        <v/>
      </c>
      <c r="E4501" s="28">
        <f>IFERROR(IF(AND(ISNUMBER(C4501),ISNUMBER(C4500),C4500&lt;&gt;0),C4501/C4500-1,""),"")</f>
        <v/>
      </c>
      <c r="F4501" s="28">
        <f>IFERROR(D4501-Dashboard!$B$4/252,"")</f>
        <v/>
      </c>
      <c r="G4501" s="28">
        <f>IFERROR(E4501-Dashboard!$B$4/252,"")</f>
        <v/>
      </c>
      <c r="H4501" s="8">
        <f>IFERROR(IF(ISNUMBER(B4501),MAX(B4501,IFERROR(H4500,B4501)),""),"")</f>
        <v/>
      </c>
      <c r="I4501" s="29">
        <f>IFERROR(IF(AND(ISNUMBER(B4501),ISNUMBER(H4501)),B4501/H4501-1,""),"")</f>
        <v/>
      </c>
      <c r="J4501" s="8">
        <f>IFERROR(IF(ISNUMBER(C4501),MAX(C4501,IFERROR(J4500,C4501)),""),"")</f>
        <v/>
      </c>
      <c r="K4501" s="29">
        <f>IFERROR(IF(AND(ISNUMBER(C4501),ISNUMBER(J4501)),C4501/J4501-1,""),"")</f>
        <v/>
      </c>
      <c r="L4501" s="28">
        <f>IFERROR(IF(AND(ISNUMBER(D4501),ISNUMBER(E4501)),D4501-E4501,""),"")</f>
        <v/>
      </c>
    </row>
    <row r="4502">
      <c r="A4502" s="7">
        <f>IFERROR(Datos!A4502,"")</f>
        <v/>
      </c>
      <c r="B4502" s="8">
        <f>IFERROR(Datos!B4502,"")</f>
        <v/>
      </c>
      <c r="C4502" s="8">
        <f>IFERROR(Datos!C4502,"")</f>
        <v/>
      </c>
      <c r="D4502" s="28">
        <f>IFERROR(IF(AND(ISNUMBER(B4502),ISNUMBER(B4501),B4501&lt;&gt;0),B4502/B4501-1,""),"")</f>
        <v/>
      </c>
      <c r="E4502" s="28">
        <f>IFERROR(IF(AND(ISNUMBER(C4502),ISNUMBER(C4501),C4501&lt;&gt;0),C4502/C4501-1,""),"")</f>
        <v/>
      </c>
      <c r="F4502" s="28">
        <f>IFERROR(D4502-Dashboard!$B$4/252,"")</f>
        <v/>
      </c>
      <c r="G4502" s="28">
        <f>IFERROR(E4502-Dashboard!$B$4/252,"")</f>
        <v/>
      </c>
      <c r="H4502" s="8">
        <f>IFERROR(IF(ISNUMBER(B4502),MAX(B4502,IFERROR(H4501,B4502)),""),"")</f>
        <v/>
      </c>
      <c r="I4502" s="29">
        <f>IFERROR(IF(AND(ISNUMBER(B4502),ISNUMBER(H4502)),B4502/H4502-1,""),"")</f>
        <v/>
      </c>
      <c r="J4502" s="8">
        <f>IFERROR(IF(ISNUMBER(C4502),MAX(C4502,IFERROR(J4501,C4502)),""),"")</f>
        <v/>
      </c>
      <c r="K4502" s="29">
        <f>IFERROR(IF(AND(ISNUMBER(C4502),ISNUMBER(J4502)),C4502/J4502-1,""),"")</f>
        <v/>
      </c>
      <c r="L4502" s="28">
        <f>IFERROR(IF(AND(ISNUMBER(D4502),ISNUMBER(E4502)),D4502-E4502,""),"")</f>
        <v/>
      </c>
    </row>
    <row r="4503">
      <c r="A4503" s="7">
        <f>IFERROR(Datos!A4503,"")</f>
        <v/>
      </c>
      <c r="B4503" s="8">
        <f>IFERROR(Datos!B4503,"")</f>
        <v/>
      </c>
      <c r="C4503" s="8">
        <f>IFERROR(Datos!C4503,"")</f>
        <v/>
      </c>
      <c r="D4503" s="28">
        <f>IFERROR(IF(AND(ISNUMBER(B4503),ISNUMBER(B4502),B4502&lt;&gt;0),B4503/B4502-1,""),"")</f>
        <v/>
      </c>
      <c r="E4503" s="28">
        <f>IFERROR(IF(AND(ISNUMBER(C4503),ISNUMBER(C4502),C4502&lt;&gt;0),C4503/C4502-1,""),"")</f>
        <v/>
      </c>
      <c r="F4503" s="28">
        <f>IFERROR(D4503-Dashboard!$B$4/252,"")</f>
        <v/>
      </c>
      <c r="G4503" s="28">
        <f>IFERROR(E4503-Dashboard!$B$4/252,"")</f>
        <v/>
      </c>
      <c r="H4503" s="8">
        <f>IFERROR(IF(ISNUMBER(B4503),MAX(B4503,IFERROR(H4502,B4503)),""),"")</f>
        <v/>
      </c>
      <c r="I4503" s="29">
        <f>IFERROR(IF(AND(ISNUMBER(B4503),ISNUMBER(H4503)),B4503/H4503-1,""),"")</f>
        <v/>
      </c>
      <c r="J4503" s="8">
        <f>IFERROR(IF(ISNUMBER(C4503),MAX(C4503,IFERROR(J4502,C4503)),""),"")</f>
        <v/>
      </c>
      <c r="K4503" s="29">
        <f>IFERROR(IF(AND(ISNUMBER(C4503),ISNUMBER(J4503)),C4503/J4503-1,""),"")</f>
        <v/>
      </c>
      <c r="L4503" s="28">
        <f>IFERROR(IF(AND(ISNUMBER(D4503),ISNUMBER(E4503)),D4503-E4503,""),"")</f>
        <v/>
      </c>
    </row>
    <row r="4504">
      <c r="A4504" s="7">
        <f>IFERROR(Datos!A4504,"")</f>
        <v/>
      </c>
      <c r="B4504" s="8">
        <f>IFERROR(Datos!B4504,"")</f>
        <v/>
      </c>
      <c r="C4504" s="8">
        <f>IFERROR(Datos!C4504,"")</f>
        <v/>
      </c>
      <c r="D4504" s="28">
        <f>IFERROR(IF(AND(ISNUMBER(B4504),ISNUMBER(B4503),B4503&lt;&gt;0),B4504/B4503-1,""),"")</f>
        <v/>
      </c>
      <c r="E4504" s="28">
        <f>IFERROR(IF(AND(ISNUMBER(C4504),ISNUMBER(C4503),C4503&lt;&gt;0),C4504/C4503-1,""),"")</f>
        <v/>
      </c>
      <c r="F4504" s="28">
        <f>IFERROR(D4504-Dashboard!$B$4/252,"")</f>
        <v/>
      </c>
      <c r="G4504" s="28">
        <f>IFERROR(E4504-Dashboard!$B$4/252,"")</f>
        <v/>
      </c>
      <c r="H4504" s="8">
        <f>IFERROR(IF(ISNUMBER(B4504),MAX(B4504,IFERROR(H4503,B4504)),""),"")</f>
        <v/>
      </c>
      <c r="I4504" s="29">
        <f>IFERROR(IF(AND(ISNUMBER(B4504),ISNUMBER(H4504)),B4504/H4504-1,""),"")</f>
        <v/>
      </c>
      <c r="J4504" s="8">
        <f>IFERROR(IF(ISNUMBER(C4504),MAX(C4504,IFERROR(J4503,C4504)),""),"")</f>
        <v/>
      </c>
      <c r="K4504" s="29">
        <f>IFERROR(IF(AND(ISNUMBER(C4504),ISNUMBER(J4504)),C4504/J4504-1,""),"")</f>
        <v/>
      </c>
      <c r="L4504" s="28">
        <f>IFERROR(IF(AND(ISNUMBER(D4504),ISNUMBER(E4504)),D4504-E4504,""),"")</f>
        <v/>
      </c>
    </row>
    <row r="4505">
      <c r="A4505" s="7">
        <f>IFERROR(Datos!A4505,"")</f>
        <v/>
      </c>
      <c r="B4505" s="8">
        <f>IFERROR(Datos!B4505,"")</f>
        <v/>
      </c>
      <c r="C4505" s="8">
        <f>IFERROR(Datos!C4505,"")</f>
        <v/>
      </c>
      <c r="D4505" s="28">
        <f>IFERROR(IF(AND(ISNUMBER(B4505),ISNUMBER(B4504),B4504&lt;&gt;0),B4505/B4504-1,""),"")</f>
        <v/>
      </c>
      <c r="E4505" s="28">
        <f>IFERROR(IF(AND(ISNUMBER(C4505),ISNUMBER(C4504),C4504&lt;&gt;0),C4505/C4504-1,""),"")</f>
        <v/>
      </c>
      <c r="F4505" s="28">
        <f>IFERROR(D4505-Dashboard!$B$4/252,"")</f>
        <v/>
      </c>
      <c r="G4505" s="28">
        <f>IFERROR(E4505-Dashboard!$B$4/252,"")</f>
        <v/>
      </c>
      <c r="H4505" s="8">
        <f>IFERROR(IF(ISNUMBER(B4505),MAX(B4505,IFERROR(H4504,B4505)),""),"")</f>
        <v/>
      </c>
      <c r="I4505" s="29">
        <f>IFERROR(IF(AND(ISNUMBER(B4505),ISNUMBER(H4505)),B4505/H4505-1,""),"")</f>
        <v/>
      </c>
      <c r="J4505" s="8">
        <f>IFERROR(IF(ISNUMBER(C4505),MAX(C4505,IFERROR(J4504,C4505)),""),"")</f>
        <v/>
      </c>
      <c r="K4505" s="29">
        <f>IFERROR(IF(AND(ISNUMBER(C4505),ISNUMBER(J4505)),C4505/J4505-1,""),"")</f>
        <v/>
      </c>
      <c r="L4505" s="28">
        <f>IFERROR(IF(AND(ISNUMBER(D4505),ISNUMBER(E4505)),D4505-E4505,""),"")</f>
        <v/>
      </c>
    </row>
    <row r="4506">
      <c r="A4506" s="7">
        <f>IFERROR(Datos!A4506,"")</f>
        <v/>
      </c>
      <c r="B4506" s="8">
        <f>IFERROR(Datos!B4506,"")</f>
        <v/>
      </c>
      <c r="C4506" s="8">
        <f>IFERROR(Datos!C4506,"")</f>
        <v/>
      </c>
      <c r="D4506" s="28">
        <f>IFERROR(IF(AND(ISNUMBER(B4506),ISNUMBER(B4505),B4505&lt;&gt;0),B4506/B4505-1,""),"")</f>
        <v/>
      </c>
      <c r="E4506" s="28">
        <f>IFERROR(IF(AND(ISNUMBER(C4506),ISNUMBER(C4505),C4505&lt;&gt;0),C4506/C4505-1,""),"")</f>
        <v/>
      </c>
      <c r="F4506" s="28">
        <f>IFERROR(D4506-Dashboard!$B$4/252,"")</f>
        <v/>
      </c>
      <c r="G4506" s="28">
        <f>IFERROR(E4506-Dashboard!$B$4/252,"")</f>
        <v/>
      </c>
      <c r="H4506" s="8">
        <f>IFERROR(IF(ISNUMBER(B4506),MAX(B4506,IFERROR(H4505,B4506)),""),"")</f>
        <v/>
      </c>
      <c r="I4506" s="29">
        <f>IFERROR(IF(AND(ISNUMBER(B4506),ISNUMBER(H4506)),B4506/H4506-1,""),"")</f>
        <v/>
      </c>
      <c r="J4506" s="8">
        <f>IFERROR(IF(ISNUMBER(C4506),MAX(C4506,IFERROR(J4505,C4506)),""),"")</f>
        <v/>
      </c>
      <c r="K4506" s="29">
        <f>IFERROR(IF(AND(ISNUMBER(C4506),ISNUMBER(J4506)),C4506/J4506-1,""),"")</f>
        <v/>
      </c>
      <c r="L4506" s="28">
        <f>IFERROR(IF(AND(ISNUMBER(D4506),ISNUMBER(E4506)),D4506-E4506,""),"")</f>
        <v/>
      </c>
    </row>
    <row r="4507">
      <c r="A4507" s="7">
        <f>IFERROR(Datos!A4507,"")</f>
        <v/>
      </c>
      <c r="B4507" s="8">
        <f>IFERROR(Datos!B4507,"")</f>
        <v/>
      </c>
      <c r="C4507" s="8">
        <f>IFERROR(Datos!C4507,"")</f>
        <v/>
      </c>
      <c r="D4507" s="28">
        <f>IFERROR(IF(AND(ISNUMBER(B4507),ISNUMBER(B4506),B4506&lt;&gt;0),B4507/B4506-1,""),"")</f>
        <v/>
      </c>
      <c r="E4507" s="28">
        <f>IFERROR(IF(AND(ISNUMBER(C4507),ISNUMBER(C4506),C4506&lt;&gt;0),C4507/C4506-1,""),"")</f>
        <v/>
      </c>
      <c r="F4507" s="28">
        <f>IFERROR(D4507-Dashboard!$B$4/252,"")</f>
        <v/>
      </c>
      <c r="G4507" s="28">
        <f>IFERROR(E4507-Dashboard!$B$4/252,"")</f>
        <v/>
      </c>
      <c r="H4507" s="8">
        <f>IFERROR(IF(ISNUMBER(B4507),MAX(B4507,IFERROR(H4506,B4507)),""),"")</f>
        <v/>
      </c>
      <c r="I4507" s="29">
        <f>IFERROR(IF(AND(ISNUMBER(B4507),ISNUMBER(H4507)),B4507/H4507-1,""),"")</f>
        <v/>
      </c>
      <c r="J4507" s="8">
        <f>IFERROR(IF(ISNUMBER(C4507),MAX(C4507,IFERROR(J4506,C4507)),""),"")</f>
        <v/>
      </c>
      <c r="K4507" s="29">
        <f>IFERROR(IF(AND(ISNUMBER(C4507),ISNUMBER(J4507)),C4507/J4507-1,""),"")</f>
        <v/>
      </c>
      <c r="L4507" s="28">
        <f>IFERROR(IF(AND(ISNUMBER(D4507),ISNUMBER(E4507)),D4507-E4507,""),"")</f>
        <v/>
      </c>
    </row>
    <row r="4508">
      <c r="A4508" s="7">
        <f>IFERROR(Datos!A4508,"")</f>
        <v/>
      </c>
      <c r="B4508" s="8">
        <f>IFERROR(Datos!B4508,"")</f>
        <v/>
      </c>
      <c r="C4508" s="8">
        <f>IFERROR(Datos!C4508,"")</f>
        <v/>
      </c>
      <c r="D4508" s="28">
        <f>IFERROR(IF(AND(ISNUMBER(B4508),ISNUMBER(B4507),B4507&lt;&gt;0),B4508/B4507-1,""),"")</f>
        <v/>
      </c>
      <c r="E4508" s="28">
        <f>IFERROR(IF(AND(ISNUMBER(C4508),ISNUMBER(C4507),C4507&lt;&gt;0),C4508/C4507-1,""),"")</f>
        <v/>
      </c>
      <c r="F4508" s="28">
        <f>IFERROR(D4508-Dashboard!$B$4/252,"")</f>
        <v/>
      </c>
      <c r="G4508" s="28">
        <f>IFERROR(E4508-Dashboard!$B$4/252,"")</f>
        <v/>
      </c>
      <c r="H4508" s="8">
        <f>IFERROR(IF(ISNUMBER(B4508),MAX(B4508,IFERROR(H4507,B4508)),""),"")</f>
        <v/>
      </c>
      <c r="I4508" s="29">
        <f>IFERROR(IF(AND(ISNUMBER(B4508),ISNUMBER(H4508)),B4508/H4508-1,""),"")</f>
        <v/>
      </c>
      <c r="J4508" s="8">
        <f>IFERROR(IF(ISNUMBER(C4508),MAX(C4508,IFERROR(J4507,C4508)),""),"")</f>
        <v/>
      </c>
      <c r="K4508" s="29">
        <f>IFERROR(IF(AND(ISNUMBER(C4508),ISNUMBER(J4508)),C4508/J4508-1,""),"")</f>
        <v/>
      </c>
      <c r="L4508" s="28">
        <f>IFERROR(IF(AND(ISNUMBER(D4508),ISNUMBER(E4508)),D4508-E4508,""),"")</f>
        <v/>
      </c>
    </row>
    <row r="4509">
      <c r="A4509" s="7">
        <f>IFERROR(Datos!A4509,"")</f>
        <v/>
      </c>
      <c r="B4509" s="8">
        <f>IFERROR(Datos!B4509,"")</f>
        <v/>
      </c>
      <c r="C4509" s="8">
        <f>IFERROR(Datos!C4509,"")</f>
        <v/>
      </c>
      <c r="D4509" s="28">
        <f>IFERROR(IF(AND(ISNUMBER(B4509),ISNUMBER(B4508),B4508&lt;&gt;0),B4509/B4508-1,""),"")</f>
        <v/>
      </c>
      <c r="E4509" s="28">
        <f>IFERROR(IF(AND(ISNUMBER(C4509),ISNUMBER(C4508),C4508&lt;&gt;0),C4509/C4508-1,""),"")</f>
        <v/>
      </c>
      <c r="F4509" s="28">
        <f>IFERROR(D4509-Dashboard!$B$4/252,"")</f>
        <v/>
      </c>
      <c r="G4509" s="28">
        <f>IFERROR(E4509-Dashboard!$B$4/252,"")</f>
        <v/>
      </c>
      <c r="H4509" s="8">
        <f>IFERROR(IF(ISNUMBER(B4509),MAX(B4509,IFERROR(H4508,B4509)),""),"")</f>
        <v/>
      </c>
      <c r="I4509" s="29">
        <f>IFERROR(IF(AND(ISNUMBER(B4509),ISNUMBER(H4509)),B4509/H4509-1,""),"")</f>
        <v/>
      </c>
      <c r="J4509" s="8">
        <f>IFERROR(IF(ISNUMBER(C4509),MAX(C4509,IFERROR(J4508,C4509)),""),"")</f>
        <v/>
      </c>
      <c r="K4509" s="29">
        <f>IFERROR(IF(AND(ISNUMBER(C4509),ISNUMBER(J4509)),C4509/J4509-1,""),"")</f>
        <v/>
      </c>
      <c r="L4509" s="28">
        <f>IFERROR(IF(AND(ISNUMBER(D4509),ISNUMBER(E4509)),D4509-E4509,""),"")</f>
        <v/>
      </c>
    </row>
    <row r="4510">
      <c r="A4510" s="7">
        <f>IFERROR(Datos!A4510,"")</f>
        <v/>
      </c>
      <c r="B4510" s="8">
        <f>IFERROR(Datos!B4510,"")</f>
        <v/>
      </c>
      <c r="C4510" s="8">
        <f>IFERROR(Datos!C4510,"")</f>
        <v/>
      </c>
      <c r="D4510" s="28">
        <f>IFERROR(IF(AND(ISNUMBER(B4510),ISNUMBER(B4509),B4509&lt;&gt;0),B4510/B4509-1,""),"")</f>
        <v/>
      </c>
      <c r="E4510" s="28">
        <f>IFERROR(IF(AND(ISNUMBER(C4510),ISNUMBER(C4509),C4509&lt;&gt;0),C4510/C4509-1,""),"")</f>
        <v/>
      </c>
      <c r="F4510" s="28">
        <f>IFERROR(D4510-Dashboard!$B$4/252,"")</f>
        <v/>
      </c>
      <c r="G4510" s="28">
        <f>IFERROR(E4510-Dashboard!$B$4/252,"")</f>
        <v/>
      </c>
      <c r="H4510" s="8">
        <f>IFERROR(IF(ISNUMBER(B4510),MAX(B4510,IFERROR(H4509,B4510)),""),"")</f>
        <v/>
      </c>
      <c r="I4510" s="29">
        <f>IFERROR(IF(AND(ISNUMBER(B4510),ISNUMBER(H4510)),B4510/H4510-1,""),"")</f>
        <v/>
      </c>
      <c r="J4510" s="8">
        <f>IFERROR(IF(ISNUMBER(C4510),MAX(C4510,IFERROR(J4509,C4510)),""),"")</f>
        <v/>
      </c>
      <c r="K4510" s="29">
        <f>IFERROR(IF(AND(ISNUMBER(C4510),ISNUMBER(J4510)),C4510/J4510-1,""),"")</f>
        <v/>
      </c>
      <c r="L4510" s="28">
        <f>IFERROR(IF(AND(ISNUMBER(D4510),ISNUMBER(E4510)),D4510-E4510,""),"")</f>
        <v/>
      </c>
    </row>
    <row r="4511">
      <c r="A4511" s="7">
        <f>IFERROR(Datos!A4511,"")</f>
        <v/>
      </c>
      <c r="B4511" s="8">
        <f>IFERROR(Datos!B4511,"")</f>
        <v/>
      </c>
      <c r="C4511" s="8">
        <f>IFERROR(Datos!C4511,"")</f>
        <v/>
      </c>
      <c r="D4511" s="28">
        <f>IFERROR(IF(AND(ISNUMBER(B4511),ISNUMBER(B4510),B4510&lt;&gt;0),B4511/B4510-1,""),"")</f>
        <v/>
      </c>
      <c r="E4511" s="28">
        <f>IFERROR(IF(AND(ISNUMBER(C4511),ISNUMBER(C4510),C4510&lt;&gt;0),C4511/C4510-1,""),"")</f>
        <v/>
      </c>
      <c r="F4511" s="28">
        <f>IFERROR(D4511-Dashboard!$B$4/252,"")</f>
        <v/>
      </c>
      <c r="G4511" s="28">
        <f>IFERROR(E4511-Dashboard!$B$4/252,"")</f>
        <v/>
      </c>
      <c r="H4511" s="8">
        <f>IFERROR(IF(ISNUMBER(B4511),MAX(B4511,IFERROR(H4510,B4511)),""),"")</f>
        <v/>
      </c>
      <c r="I4511" s="29">
        <f>IFERROR(IF(AND(ISNUMBER(B4511),ISNUMBER(H4511)),B4511/H4511-1,""),"")</f>
        <v/>
      </c>
      <c r="J4511" s="8">
        <f>IFERROR(IF(ISNUMBER(C4511),MAX(C4511,IFERROR(J4510,C4511)),""),"")</f>
        <v/>
      </c>
      <c r="K4511" s="29">
        <f>IFERROR(IF(AND(ISNUMBER(C4511),ISNUMBER(J4511)),C4511/J4511-1,""),"")</f>
        <v/>
      </c>
      <c r="L4511" s="28">
        <f>IFERROR(IF(AND(ISNUMBER(D4511),ISNUMBER(E4511)),D4511-E4511,""),"")</f>
        <v/>
      </c>
    </row>
    <row r="4512">
      <c r="A4512" s="7">
        <f>IFERROR(Datos!A4512,"")</f>
        <v/>
      </c>
      <c r="B4512" s="8">
        <f>IFERROR(Datos!B4512,"")</f>
        <v/>
      </c>
      <c r="C4512" s="8">
        <f>IFERROR(Datos!C4512,"")</f>
        <v/>
      </c>
      <c r="D4512" s="28">
        <f>IFERROR(IF(AND(ISNUMBER(B4512),ISNUMBER(B4511),B4511&lt;&gt;0),B4512/B4511-1,""),"")</f>
        <v/>
      </c>
      <c r="E4512" s="28">
        <f>IFERROR(IF(AND(ISNUMBER(C4512),ISNUMBER(C4511),C4511&lt;&gt;0),C4512/C4511-1,""),"")</f>
        <v/>
      </c>
      <c r="F4512" s="28">
        <f>IFERROR(D4512-Dashboard!$B$4/252,"")</f>
        <v/>
      </c>
      <c r="G4512" s="28">
        <f>IFERROR(E4512-Dashboard!$B$4/252,"")</f>
        <v/>
      </c>
      <c r="H4512" s="8">
        <f>IFERROR(IF(ISNUMBER(B4512),MAX(B4512,IFERROR(H4511,B4512)),""),"")</f>
        <v/>
      </c>
      <c r="I4512" s="29">
        <f>IFERROR(IF(AND(ISNUMBER(B4512),ISNUMBER(H4512)),B4512/H4512-1,""),"")</f>
        <v/>
      </c>
      <c r="J4512" s="8">
        <f>IFERROR(IF(ISNUMBER(C4512),MAX(C4512,IFERROR(J4511,C4512)),""),"")</f>
        <v/>
      </c>
      <c r="K4512" s="29">
        <f>IFERROR(IF(AND(ISNUMBER(C4512),ISNUMBER(J4512)),C4512/J4512-1,""),"")</f>
        <v/>
      </c>
      <c r="L4512" s="28">
        <f>IFERROR(IF(AND(ISNUMBER(D4512),ISNUMBER(E4512)),D4512-E4512,""),"")</f>
        <v/>
      </c>
    </row>
    <row r="4513">
      <c r="A4513" s="7">
        <f>IFERROR(Datos!A4513,"")</f>
        <v/>
      </c>
      <c r="B4513" s="8">
        <f>IFERROR(Datos!B4513,"")</f>
        <v/>
      </c>
      <c r="C4513" s="8">
        <f>IFERROR(Datos!C4513,"")</f>
        <v/>
      </c>
      <c r="D4513" s="28">
        <f>IFERROR(IF(AND(ISNUMBER(B4513),ISNUMBER(B4512),B4512&lt;&gt;0),B4513/B4512-1,""),"")</f>
        <v/>
      </c>
      <c r="E4513" s="28">
        <f>IFERROR(IF(AND(ISNUMBER(C4513),ISNUMBER(C4512),C4512&lt;&gt;0),C4513/C4512-1,""),"")</f>
        <v/>
      </c>
      <c r="F4513" s="28">
        <f>IFERROR(D4513-Dashboard!$B$4/252,"")</f>
        <v/>
      </c>
      <c r="G4513" s="28">
        <f>IFERROR(E4513-Dashboard!$B$4/252,"")</f>
        <v/>
      </c>
      <c r="H4513" s="8">
        <f>IFERROR(IF(ISNUMBER(B4513),MAX(B4513,IFERROR(H4512,B4513)),""),"")</f>
        <v/>
      </c>
      <c r="I4513" s="29">
        <f>IFERROR(IF(AND(ISNUMBER(B4513),ISNUMBER(H4513)),B4513/H4513-1,""),"")</f>
        <v/>
      </c>
      <c r="J4513" s="8">
        <f>IFERROR(IF(ISNUMBER(C4513),MAX(C4513,IFERROR(J4512,C4513)),""),"")</f>
        <v/>
      </c>
      <c r="K4513" s="29">
        <f>IFERROR(IF(AND(ISNUMBER(C4513),ISNUMBER(J4513)),C4513/J4513-1,""),"")</f>
        <v/>
      </c>
      <c r="L4513" s="28">
        <f>IFERROR(IF(AND(ISNUMBER(D4513),ISNUMBER(E4513)),D4513-E4513,""),"")</f>
        <v/>
      </c>
    </row>
    <row r="4514">
      <c r="A4514" s="7">
        <f>IFERROR(Datos!A4514,"")</f>
        <v/>
      </c>
      <c r="B4514" s="8">
        <f>IFERROR(Datos!B4514,"")</f>
        <v/>
      </c>
      <c r="C4514" s="8">
        <f>IFERROR(Datos!C4514,"")</f>
        <v/>
      </c>
      <c r="D4514" s="28">
        <f>IFERROR(IF(AND(ISNUMBER(B4514),ISNUMBER(B4513),B4513&lt;&gt;0),B4514/B4513-1,""),"")</f>
        <v/>
      </c>
      <c r="E4514" s="28">
        <f>IFERROR(IF(AND(ISNUMBER(C4514),ISNUMBER(C4513),C4513&lt;&gt;0),C4514/C4513-1,""),"")</f>
        <v/>
      </c>
      <c r="F4514" s="28">
        <f>IFERROR(D4514-Dashboard!$B$4/252,"")</f>
        <v/>
      </c>
      <c r="G4514" s="28">
        <f>IFERROR(E4514-Dashboard!$B$4/252,"")</f>
        <v/>
      </c>
      <c r="H4514" s="8">
        <f>IFERROR(IF(ISNUMBER(B4514),MAX(B4514,IFERROR(H4513,B4514)),""),"")</f>
        <v/>
      </c>
      <c r="I4514" s="29">
        <f>IFERROR(IF(AND(ISNUMBER(B4514),ISNUMBER(H4514)),B4514/H4514-1,""),"")</f>
        <v/>
      </c>
      <c r="J4514" s="8">
        <f>IFERROR(IF(ISNUMBER(C4514),MAX(C4514,IFERROR(J4513,C4514)),""),"")</f>
        <v/>
      </c>
      <c r="K4514" s="29">
        <f>IFERROR(IF(AND(ISNUMBER(C4514),ISNUMBER(J4514)),C4514/J4514-1,""),"")</f>
        <v/>
      </c>
      <c r="L4514" s="28">
        <f>IFERROR(IF(AND(ISNUMBER(D4514),ISNUMBER(E4514)),D4514-E4514,""),"")</f>
        <v/>
      </c>
    </row>
    <row r="4515">
      <c r="A4515" s="7">
        <f>IFERROR(Datos!A4515,"")</f>
        <v/>
      </c>
      <c r="B4515" s="8">
        <f>IFERROR(Datos!B4515,"")</f>
        <v/>
      </c>
      <c r="C4515" s="8">
        <f>IFERROR(Datos!C4515,"")</f>
        <v/>
      </c>
      <c r="D4515" s="28">
        <f>IFERROR(IF(AND(ISNUMBER(B4515),ISNUMBER(B4514),B4514&lt;&gt;0),B4515/B4514-1,""),"")</f>
        <v/>
      </c>
      <c r="E4515" s="28">
        <f>IFERROR(IF(AND(ISNUMBER(C4515),ISNUMBER(C4514),C4514&lt;&gt;0),C4515/C4514-1,""),"")</f>
        <v/>
      </c>
      <c r="F4515" s="28">
        <f>IFERROR(D4515-Dashboard!$B$4/252,"")</f>
        <v/>
      </c>
      <c r="G4515" s="28">
        <f>IFERROR(E4515-Dashboard!$B$4/252,"")</f>
        <v/>
      </c>
      <c r="H4515" s="8">
        <f>IFERROR(IF(ISNUMBER(B4515),MAX(B4515,IFERROR(H4514,B4515)),""),"")</f>
        <v/>
      </c>
      <c r="I4515" s="29">
        <f>IFERROR(IF(AND(ISNUMBER(B4515),ISNUMBER(H4515)),B4515/H4515-1,""),"")</f>
        <v/>
      </c>
      <c r="J4515" s="8">
        <f>IFERROR(IF(ISNUMBER(C4515),MAX(C4515,IFERROR(J4514,C4515)),""),"")</f>
        <v/>
      </c>
      <c r="K4515" s="29">
        <f>IFERROR(IF(AND(ISNUMBER(C4515),ISNUMBER(J4515)),C4515/J4515-1,""),"")</f>
        <v/>
      </c>
      <c r="L4515" s="28">
        <f>IFERROR(IF(AND(ISNUMBER(D4515),ISNUMBER(E4515)),D4515-E4515,""),"")</f>
        <v/>
      </c>
    </row>
    <row r="4516">
      <c r="A4516" s="7">
        <f>IFERROR(Datos!A4516,"")</f>
        <v/>
      </c>
      <c r="B4516" s="8">
        <f>IFERROR(Datos!B4516,"")</f>
        <v/>
      </c>
      <c r="C4516" s="8">
        <f>IFERROR(Datos!C4516,"")</f>
        <v/>
      </c>
      <c r="D4516" s="28">
        <f>IFERROR(IF(AND(ISNUMBER(B4516),ISNUMBER(B4515),B4515&lt;&gt;0),B4516/B4515-1,""),"")</f>
        <v/>
      </c>
      <c r="E4516" s="28">
        <f>IFERROR(IF(AND(ISNUMBER(C4516),ISNUMBER(C4515),C4515&lt;&gt;0),C4516/C4515-1,""),"")</f>
        <v/>
      </c>
      <c r="F4516" s="28">
        <f>IFERROR(D4516-Dashboard!$B$4/252,"")</f>
        <v/>
      </c>
      <c r="G4516" s="28">
        <f>IFERROR(E4516-Dashboard!$B$4/252,"")</f>
        <v/>
      </c>
      <c r="H4516" s="8">
        <f>IFERROR(IF(ISNUMBER(B4516),MAX(B4516,IFERROR(H4515,B4516)),""),"")</f>
        <v/>
      </c>
      <c r="I4516" s="29">
        <f>IFERROR(IF(AND(ISNUMBER(B4516),ISNUMBER(H4516)),B4516/H4516-1,""),"")</f>
        <v/>
      </c>
      <c r="J4516" s="8">
        <f>IFERROR(IF(ISNUMBER(C4516),MAX(C4516,IFERROR(J4515,C4516)),""),"")</f>
        <v/>
      </c>
      <c r="K4516" s="29">
        <f>IFERROR(IF(AND(ISNUMBER(C4516),ISNUMBER(J4516)),C4516/J4516-1,""),"")</f>
        <v/>
      </c>
      <c r="L4516" s="28">
        <f>IFERROR(IF(AND(ISNUMBER(D4516),ISNUMBER(E4516)),D4516-E4516,""),"")</f>
        <v/>
      </c>
    </row>
    <row r="4517">
      <c r="A4517" s="7">
        <f>IFERROR(Datos!A4517,"")</f>
        <v/>
      </c>
      <c r="B4517" s="8">
        <f>IFERROR(Datos!B4517,"")</f>
        <v/>
      </c>
      <c r="C4517" s="8">
        <f>IFERROR(Datos!C4517,"")</f>
        <v/>
      </c>
      <c r="D4517" s="28">
        <f>IFERROR(IF(AND(ISNUMBER(B4517),ISNUMBER(B4516),B4516&lt;&gt;0),B4517/B4516-1,""),"")</f>
        <v/>
      </c>
      <c r="E4517" s="28">
        <f>IFERROR(IF(AND(ISNUMBER(C4517),ISNUMBER(C4516),C4516&lt;&gt;0),C4517/C4516-1,""),"")</f>
        <v/>
      </c>
      <c r="F4517" s="28">
        <f>IFERROR(D4517-Dashboard!$B$4/252,"")</f>
        <v/>
      </c>
      <c r="G4517" s="28">
        <f>IFERROR(E4517-Dashboard!$B$4/252,"")</f>
        <v/>
      </c>
      <c r="H4517" s="8">
        <f>IFERROR(IF(ISNUMBER(B4517),MAX(B4517,IFERROR(H4516,B4517)),""),"")</f>
        <v/>
      </c>
      <c r="I4517" s="29">
        <f>IFERROR(IF(AND(ISNUMBER(B4517),ISNUMBER(H4517)),B4517/H4517-1,""),"")</f>
        <v/>
      </c>
      <c r="J4517" s="8">
        <f>IFERROR(IF(ISNUMBER(C4517),MAX(C4517,IFERROR(J4516,C4517)),""),"")</f>
        <v/>
      </c>
      <c r="K4517" s="29">
        <f>IFERROR(IF(AND(ISNUMBER(C4517),ISNUMBER(J4517)),C4517/J4517-1,""),"")</f>
        <v/>
      </c>
      <c r="L4517" s="28">
        <f>IFERROR(IF(AND(ISNUMBER(D4517),ISNUMBER(E4517)),D4517-E4517,""),"")</f>
        <v/>
      </c>
    </row>
    <row r="4518">
      <c r="A4518" s="7">
        <f>IFERROR(Datos!A4518,"")</f>
        <v/>
      </c>
      <c r="B4518" s="8">
        <f>IFERROR(Datos!B4518,"")</f>
        <v/>
      </c>
      <c r="C4518" s="8">
        <f>IFERROR(Datos!C4518,"")</f>
        <v/>
      </c>
      <c r="D4518" s="28">
        <f>IFERROR(IF(AND(ISNUMBER(B4518),ISNUMBER(B4517),B4517&lt;&gt;0),B4518/B4517-1,""),"")</f>
        <v/>
      </c>
      <c r="E4518" s="28">
        <f>IFERROR(IF(AND(ISNUMBER(C4518),ISNUMBER(C4517),C4517&lt;&gt;0),C4518/C4517-1,""),"")</f>
        <v/>
      </c>
      <c r="F4518" s="28">
        <f>IFERROR(D4518-Dashboard!$B$4/252,"")</f>
        <v/>
      </c>
      <c r="G4518" s="28">
        <f>IFERROR(E4518-Dashboard!$B$4/252,"")</f>
        <v/>
      </c>
      <c r="H4518" s="8">
        <f>IFERROR(IF(ISNUMBER(B4518),MAX(B4518,IFERROR(H4517,B4518)),""),"")</f>
        <v/>
      </c>
      <c r="I4518" s="29">
        <f>IFERROR(IF(AND(ISNUMBER(B4518),ISNUMBER(H4518)),B4518/H4518-1,""),"")</f>
        <v/>
      </c>
      <c r="J4518" s="8">
        <f>IFERROR(IF(ISNUMBER(C4518),MAX(C4518,IFERROR(J4517,C4518)),""),"")</f>
        <v/>
      </c>
      <c r="K4518" s="29">
        <f>IFERROR(IF(AND(ISNUMBER(C4518),ISNUMBER(J4518)),C4518/J4518-1,""),"")</f>
        <v/>
      </c>
      <c r="L4518" s="28">
        <f>IFERROR(IF(AND(ISNUMBER(D4518),ISNUMBER(E4518)),D4518-E4518,""),"")</f>
        <v/>
      </c>
    </row>
    <row r="4519">
      <c r="A4519" s="7">
        <f>IFERROR(Datos!A4519,"")</f>
        <v/>
      </c>
      <c r="B4519" s="8">
        <f>IFERROR(Datos!B4519,"")</f>
        <v/>
      </c>
      <c r="C4519" s="8">
        <f>IFERROR(Datos!C4519,"")</f>
        <v/>
      </c>
      <c r="D4519" s="28">
        <f>IFERROR(IF(AND(ISNUMBER(B4519),ISNUMBER(B4518),B4518&lt;&gt;0),B4519/B4518-1,""),"")</f>
        <v/>
      </c>
      <c r="E4519" s="28">
        <f>IFERROR(IF(AND(ISNUMBER(C4519),ISNUMBER(C4518),C4518&lt;&gt;0),C4519/C4518-1,""),"")</f>
        <v/>
      </c>
      <c r="F4519" s="28">
        <f>IFERROR(D4519-Dashboard!$B$4/252,"")</f>
        <v/>
      </c>
      <c r="G4519" s="28">
        <f>IFERROR(E4519-Dashboard!$B$4/252,"")</f>
        <v/>
      </c>
      <c r="H4519" s="8">
        <f>IFERROR(IF(ISNUMBER(B4519),MAX(B4519,IFERROR(H4518,B4519)),""),"")</f>
        <v/>
      </c>
      <c r="I4519" s="29">
        <f>IFERROR(IF(AND(ISNUMBER(B4519),ISNUMBER(H4519)),B4519/H4519-1,""),"")</f>
        <v/>
      </c>
      <c r="J4519" s="8">
        <f>IFERROR(IF(ISNUMBER(C4519),MAX(C4519,IFERROR(J4518,C4519)),""),"")</f>
        <v/>
      </c>
      <c r="K4519" s="29">
        <f>IFERROR(IF(AND(ISNUMBER(C4519),ISNUMBER(J4519)),C4519/J4519-1,""),"")</f>
        <v/>
      </c>
      <c r="L4519" s="28">
        <f>IFERROR(IF(AND(ISNUMBER(D4519),ISNUMBER(E4519)),D4519-E4519,""),"")</f>
        <v/>
      </c>
    </row>
    <row r="4520">
      <c r="A4520" s="7">
        <f>IFERROR(Datos!A4520,"")</f>
        <v/>
      </c>
      <c r="B4520" s="8">
        <f>IFERROR(Datos!B4520,"")</f>
        <v/>
      </c>
      <c r="C4520" s="8">
        <f>IFERROR(Datos!C4520,"")</f>
        <v/>
      </c>
      <c r="D4520" s="28">
        <f>IFERROR(IF(AND(ISNUMBER(B4520),ISNUMBER(B4519),B4519&lt;&gt;0),B4520/B4519-1,""),"")</f>
        <v/>
      </c>
      <c r="E4520" s="28">
        <f>IFERROR(IF(AND(ISNUMBER(C4520),ISNUMBER(C4519),C4519&lt;&gt;0),C4520/C4519-1,""),"")</f>
        <v/>
      </c>
      <c r="F4520" s="28">
        <f>IFERROR(D4520-Dashboard!$B$4/252,"")</f>
        <v/>
      </c>
      <c r="G4520" s="28">
        <f>IFERROR(E4520-Dashboard!$B$4/252,"")</f>
        <v/>
      </c>
      <c r="H4520" s="8">
        <f>IFERROR(IF(ISNUMBER(B4520),MAX(B4520,IFERROR(H4519,B4520)),""),"")</f>
        <v/>
      </c>
      <c r="I4520" s="29">
        <f>IFERROR(IF(AND(ISNUMBER(B4520),ISNUMBER(H4520)),B4520/H4520-1,""),"")</f>
        <v/>
      </c>
      <c r="J4520" s="8">
        <f>IFERROR(IF(ISNUMBER(C4520),MAX(C4520,IFERROR(J4519,C4520)),""),"")</f>
        <v/>
      </c>
      <c r="K4520" s="29">
        <f>IFERROR(IF(AND(ISNUMBER(C4520),ISNUMBER(J4520)),C4520/J4520-1,""),"")</f>
        <v/>
      </c>
      <c r="L4520" s="28">
        <f>IFERROR(IF(AND(ISNUMBER(D4520),ISNUMBER(E4520)),D4520-E4520,""),"")</f>
        <v/>
      </c>
    </row>
    <row r="4521">
      <c r="A4521" s="7">
        <f>IFERROR(Datos!A4521,"")</f>
        <v/>
      </c>
      <c r="B4521" s="8">
        <f>IFERROR(Datos!B4521,"")</f>
        <v/>
      </c>
      <c r="C4521" s="8">
        <f>IFERROR(Datos!C4521,"")</f>
        <v/>
      </c>
      <c r="D4521" s="28">
        <f>IFERROR(IF(AND(ISNUMBER(B4521),ISNUMBER(B4520),B4520&lt;&gt;0),B4521/B4520-1,""),"")</f>
        <v/>
      </c>
      <c r="E4521" s="28">
        <f>IFERROR(IF(AND(ISNUMBER(C4521),ISNUMBER(C4520),C4520&lt;&gt;0),C4521/C4520-1,""),"")</f>
        <v/>
      </c>
      <c r="F4521" s="28">
        <f>IFERROR(D4521-Dashboard!$B$4/252,"")</f>
        <v/>
      </c>
      <c r="G4521" s="28">
        <f>IFERROR(E4521-Dashboard!$B$4/252,"")</f>
        <v/>
      </c>
      <c r="H4521" s="8">
        <f>IFERROR(IF(ISNUMBER(B4521),MAX(B4521,IFERROR(H4520,B4521)),""),"")</f>
        <v/>
      </c>
      <c r="I4521" s="29">
        <f>IFERROR(IF(AND(ISNUMBER(B4521),ISNUMBER(H4521)),B4521/H4521-1,""),"")</f>
        <v/>
      </c>
      <c r="J4521" s="8">
        <f>IFERROR(IF(ISNUMBER(C4521),MAX(C4521,IFERROR(J4520,C4521)),""),"")</f>
        <v/>
      </c>
      <c r="K4521" s="29">
        <f>IFERROR(IF(AND(ISNUMBER(C4521),ISNUMBER(J4521)),C4521/J4521-1,""),"")</f>
        <v/>
      </c>
      <c r="L4521" s="28">
        <f>IFERROR(IF(AND(ISNUMBER(D4521),ISNUMBER(E4521)),D4521-E4521,""),"")</f>
        <v/>
      </c>
    </row>
    <row r="4522">
      <c r="A4522" s="7">
        <f>IFERROR(Datos!A4522,"")</f>
        <v/>
      </c>
      <c r="B4522" s="8">
        <f>IFERROR(Datos!B4522,"")</f>
        <v/>
      </c>
      <c r="C4522" s="8">
        <f>IFERROR(Datos!C4522,"")</f>
        <v/>
      </c>
      <c r="D4522" s="28">
        <f>IFERROR(IF(AND(ISNUMBER(B4522),ISNUMBER(B4521),B4521&lt;&gt;0),B4522/B4521-1,""),"")</f>
        <v/>
      </c>
      <c r="E4522" s="28">
        <f>IFERROR(IF(AND(ISNUMBER(C4522),ISNUMBER(C4521),C4521&lt;&gt;0),C4522/C4521-1,""),"")</f>
        <v/>
      </c>
      <c r="F4522" s="28">
        <f>IFERROR(D4522-Dashboard!$B$4/252,"")</f>
        <v/>
      </c>
      <c r="G4522" s="28">
        <f>IFERROR(E4522-Dashboard!$B$4/252,"")</f>
        <v/>
      </c>
      <c r="H4522" s="8">
        <f>IFERROR(IF(ISNUMBER(B4522),MAX(B4522,IFERROR(H4521,B4522)),""),"")</f>
        <v/>
      </c>
      <c r="I4522" s="29">
        <f>IFERROR(IF(AND(ISNUMBER(B4522),ISNUMBER(H4522)),B4522/H4522-1,""),"")</f>
        <v/>
      </c>
      <c r="J4522" s="8">
        <f>IFERROR(IF(ISNUMBER(C4522),MAX(C4522,IFERROR(J4521,C4522)),""),"")</f>
        <v/>
      </c>
      <c r="K4522" s="29">
        <f>IFERROR(IF(AND(ISNUMBER(C4522),ISNUMBER(J4522)),C4522/J4522-1,""),"")</f>
        <v/>
      </c>
      <c r="L4522" s="28">
        <f>IFERROR(IF(AND(ISNUMBER(D4522),ISNUMBER(E4522)),D4522-E4522,""),"")</f>
        <v/>
      </c>
    </row>
    <row r="4523">
      <c r="A4523" s="7">
        <f>IFERROR(Datos!A4523,"")</f>
        <v/>
      </c>
      <c r="B4523" s="8">
        <f>IFERROR(Datos!B4523,"")</f>
        <v/>
      </c>
      <c r="C4523" s="8">
        <f>IFERROR(Datos!C4523,"")</f>
        <v/>
      </c>
      <c r="D4523" s="28">
        <f>IFERROR(IF(AND(ISNUMBER(B4523),ISNUMBER(B4522),B4522&lt;&gt;0),B4523/B4522-1,""),"")</f>
        <v/>
      </c>
      <c r="E4523" s="28">
        <f>IFERROR(IF(AND(ISNUMBER(C4523),ISNUMBER(C4522),C4522&lt;&gt;0),C4523/C4522-1,""),"")</f>
        <v/>
      </c>
      <c r="F4523" s="28">
        <f>IFERROR(D4523-Dashboard!$B$4/252,"")</f>
        <v/>
      </c>
      <c r="G4523" s="28">
        <f>IFERROR(E4523-Dashboard!$B$4/252,"")</f>
        <v/>
      </c>
      <c r="H4523" s="8">
        <f>IFERROR(IF(ISNUMBER(B4523),MAX(B4523,IFERROR(H4522,B4523)),""),"")</f>
        <v/>
      </c>
      <c r="I4523" s="29">
        <f>IFERROR(IF(AND(ISNUMBER(B4523),ISNUMBER(H4523)),B4523/H4523-1,""),"")</f>
        <v/>
      </c>
      <c r="J4523" s="8">
        <f>IFERROR(IF(ISNUMBER(C4523),MAX(C4523,IFERROR(J4522,C4523)),""),"")</f>
        <v/>
      </c>
      <c r="K4523" s="29">
        <f>IFERROR(IF(AND(ISNUMBER(C4523),ISNUMBER(J4523)),C4523/J4523-1,""),"")</f>
        <v/>
      </c>
      <c r="L4523" s="28">
        <f>IFERROR(IF(AND(ISNUMBER(D4523),ISNUMBER(E4523)),D4523-E4523,""),"")</f>
        <v/>
      </c>
    </row>
    <row r="4524">
      <c r="A4524" s="7">
        <f>IFERROR(Datos!A4524,"")</f>
        <v/>
      </c>
      <c r="B4524" s="8">
        <f>IFERROR(Datos!B4524,"")</f>
        <v/>
      </c>
      <c r="C4524" s="8">
        <f>IFERROR(Datos!C4524,"")</f>
        <v/>
      </c>
      <c r="D4524" s="28">
        <f>IFERROR(IF(AND(ISNUMBER(B4524),ISNUMBER(B4523),B4523&lt;&gt;0),B4524/B4523-1,""),"")</f>
        <v/>
      </c>
      <c r="E4524" s="28">
        <f>IFERROR(IF(AND(ISNUMBER(C4524),ISNUMBER(C4523),C4523&lt;&gt;0),C4524/C4523-1,""),"")</f>
        <v/>
      </c>
      <c r="F4524" s="28">
        <f>IFERROR(D4524-Dashboard!$B$4/252,"")</f>
        <v/>
      </c>
      <c r="G4524" s="28">
        <f>IFERROR(E4524-Dashboard!$B$4/252,"")</f>
        <v/>
      </c>
      <c r="H4524" s="8">
        <f>IFERROR(IF(ISNUMBER(B4524),MAX(B4524,IFERROR(H4523,B4524)),""),"")</f>
        <v/>
      </c>
      <c r="I4524" s="29">
        <f>IFERROR(IF(AND(ISNUMBER(B4524),ISNUMBER(H4524)),B4524/H4524-1,""),"")</f>
        <v/>
      </c>
      <c r="J4524" s="8">
        <f>IFERROR(IF(ISNUMBER(C4524),MAX(C4524,IFERROR(J4523,C4524)),""),"")</f>
        <v/>
      </c>
      <c r="K4524" s="29">
        <f>IFERROR(IF(AND(ISNUMBER(C4524),ISNUMBER(J4524)),C4524/J4524-1,""),"")</f>
        <v/>
      </c>
      <c r="L4524" s="28">
        <f>IFERROR(IF(AND(ISNUMBER(D4524),ISNUMBER(E4524)),D4524-E4524,""),"")</f>
        <v/>
      </c>
    </row>
    <row r="4525">
      <c r="A4525" s="7">
        <f>IFERROR(Datos!A4525,"")</f>
        <v/>
      </c>
      <c r="B4525" s="8">
        <f>IFERROR(Datos!B4525,"")</f>
        <v/>
      </c>
      <c r="C4525" s="8">
        <f>IFERROR(Datos!C4525,"")</f>
        <v/>
      </c>
      <c r="D4525" s="28">
        <f>IFERROR(IF(AND(ISNUMBER(B4525),ISNUMBER(B4524),B4524&lt;&gt;0),B4525/B4524-1,""),"")</f>
        <v/>
      </c>
      <c r="E4525" s="28">
        <f>IFERROR(IF(AND(ISNUMBER(C4525),ISNUMBER(C4524),C4524&lt;&gt;0),C4525/C4524-1,""),"")</f>
        <v/>
      </c>
      <c r="F4525" s="28">
        <f>IFERROR(D4525-Dashboard!$B$4/252,"")</f>
        <v/>
      </c>
      <c r="G4525" s="28">
        <f>IFERROR(E4525-Dashboard!$B$4/252,"")</f>
        <v/>
      </c>
      <c r="H4525" s="8">
        <f>IFERROR(IF(ISNUMBER(B4525),MAX(B4525,IFERROR(H4524,B4525)),""),"")</f>
        <v/>
      </c>
      <c r="I4525" s="29">
        <f>IFERROR(IF(AND(ISNUMBER(B4525),ISNUMBER(H4525)),B4525/H4525-1,""),"")</f>
        <v/>
      </c>
      <c r="J4525" s="8">
        <f>IFERROR(IF(ISNUMBER(C4525),MAX(C4525,IFERROR(J4524,C4525)),""),"")</f>
        <v/>
      </c>
      <c r="K4525" s="29">
        <f>IFERROR(IF(AND(ISNUMBER(C4525),ISNUMBER(J4525)),C4525/J4525-1,""),"")</f>
        <v/>
      </c>
      <c r="L4525" s="28">
        <f>IFERROR(IF(AND(ISNUMBER(D4525),ISNUMBER(E4525)),D4525-E4525,""),"")</f>
        <v/>
      </c>
    </row>
    <row r="4526">
      <c r="A4526" s="7">
        <f>IFERROR(Datos!A4526,"")</f>
        <v/>
      </c>
      <c r="B4526" s="8">
        <f>IFERROR(Datos!B4526,"")</f>
        <v/>
      </c>
      <c r="C4526" s="8">
        <f>IFERROR(Datos!C4526,"")</f>
        <v/>
      </c>
      <c r="D4526" s="28">
        <f>IFERROR(IF(AND(ISNUMBER(B4526),ISNUMBER(B4525),B4525&lt;&gt;0),B4526/B4525-1,""),"")</f>
        <v/>
      </c>
      <c r="E4526" s="28">
        <f>IFERROR(IF(AND(ISNUMBER(C4526),ISNUMBER(C4525),C4525&lt;&gt;0),C4526/C4525-1,""),"")</f>
        <v/>
      </c>
      <c r="F4526" s="28">
        <f>IFERROR(D4526-Dashboard!$B$4/252,"")</f>
        <v/>
      </c>
      <c r="G4526" s="28">
        <f>IFERROR(E4526-Dashboard!$B$4/252,"")</f>
        <v/>
      </c>
      <c r="H4526" s="8">
        <f>IFERROR(IF(ISNUMBER(B4526),MAX(B4526,IFERROR(H4525,B4526)),""),"")</f>
        <v/>
      </c>
      <c r="I4526" s="29">
        <f>IFERROR(IF(AND(ISNUMBER(B4526),ISNUMBER(H4526)),B4526/H4526-1,""),"")</f>
        <v/>
      </c>
      <c r="J4526" s="8">
        <f>IFERROR(IF(ISNUMBER(C4526),MAX(C4526,IFERROR(J4525,C4526)),""),"")</f>
        <v/>
      </c>
      <c r="K4526" s="29">
        <f>IFERROR(IF(AND(ISNUMBER(C4526),ISNUMBER(J4526)),C4526/J4526-1,""),"")</f>
        <v/>
      </c>
      <c r="L4526" s="28">
        <f>IFERROR(IF(AND(ISNUMBER(D4526),ISNUMBER(E4526)),D4526-E4526,""),"")</f>
        <v/>
      </c>
    </row>
    <row r="4527">
      <c r="A4527" s="7">
        <f>IFERROR(Datos!A4527,"")</f>
        <v/>
      </c>
      <c r="B4527" s="8">
        <f>IFERROR(Datos!B4527,"")</f>
        <v/>
      </c>
      <c r="C4527" s="8">
        <f>IFERROR(Datos!C4527,"")</f>
        <v/>
      </c>
      <c r="D4527" s="28">
        <f>IFERROR(IF(AND(ISNUMBER(B4527),ISNUMBER(B4526),B4526&lt;&gt;0),B4527/B4526-1,""),"")</f>
        <v/>
      </c>
      <c r="E4527" s="28">
        <f>IFERROR(IF(AND(ISNUMBER(C4527),ISNUMBER(C4526),C4526&lt;&gt;0),C4527/C4526-1,""),"")</f>
        <v/>
      </c>
      <c r="F4527" s="28">
        <f>IFERROR(D4527-Dashboard!$B$4/252,"")</f>
        <v/>
      </c>
      <c r="G4527" s="28">
        <f>IFERROR(E4527-Dashboard!$B$4/252,"")</f>
        <v/>
      </c>
      <c r="H4527" s="8">
        <f>IFERROR(IF(ISNUMBER(B4527),MAX(B4527,IFERROR(H4526,B4527)),""),"")</f>
        <v/>
      </c>
      <c r="I4527" s="29">
        <f>IFERROR(IF(AND(ISNUMBER(B4527),ISNUMBER(H4527)),B4527/H4527-1,""),"")</f>
        <v/>
      </c>
      <c r="J4527" s="8">
        <f>IFERROR(IF(ISNUMBER(C4527),MAX(C4527,IFERROR(J4526,C4527)),""),"")</f>
        <v/>
      </c>
      <c r="K4527" s="29">
        <f>IFERROR(IF(AND(ISNUMBER(C4527),ISNUMBER(J4527)),C4527/J4527-1,""),"")</f>
        <v/>
      </c>
      <c r="L4527" s="28">
        <f>IFERROR(IF(AND(ISNUMBER(D4527),ISNUMBER(E4527)),D4527-E4527,""),"")</f>
        <v/>
      </c>
    </row>
    <row r="4528">
      <c r="A4528" s="7">
        <f>IFERROR(Datos!A4528,"")</f>
        <v/>
      </c>
      <c r="B4528" s="8">
        <f>IFERROR(Datos!B4528,"")</f>
        <v/>
      </c>
      <c r="C4528" s="8">
        <f>IFERROR(Datos!C4528,"")</f>
        <v/>
      </c>
      <c r="D4528" s="28">
        <f>IFERROR(IF(AND(ISNUMBER(B4528),ISNUMBER(B4527),B4527&lt;&gt;0),B4528/B4527-1,""),"")</f>
        <v/>
      </c>
      <c r="E4528" s="28">
        <f>IFERROR(IF(AND(ISNUMBER(C4528),ISNUMBER(C4527),C4527&lt;&gt;0),C4528/C4527-1,""),"")</f>
        <v/>
      </c>
      <c r="F4528" s="28">
        <f>IFERROR(D4528-Dashboard!$B$4/252,"")</f>
        <v/>
      </c>
      <c r="G4528" s="28">
        <f>IFERROR(E4528-Dashboard!$B$4/252,"")</f>
        <v/>
      </c>
      <c r="H4528" s="8">
        <f>IFERROR(IF(ISNUMBER(B4528),MAX(B4528,IFERROR(H4527,B4528)),""),"")</f>
        <v/>
      </c>
      <c r="I4528" s="29">
        <f>IFERROR(IF(AND(ISNUMBER(B4528),ISNUMBER(H4528)),B4528/H4528-1,""),"")</f>
        <v/>
      </c>
      <c r="J4528" s="8">
        <f>IFERROR(IF(ISNUMBER(C4528),MAX(C4528,IFERROR(J4527,C4528)),""),"")</f>
        <v/>
      </c>
      <c r="K4528" s="29">
        <f>IFERROR(IF(AND(ISNUMBER(C4528),ISNUMBER(J4528)),C4528/J4528-1,""),"")</f>
        <v/>
      </c>
      <c r="L4528" s="28">
        <f>IFERROR(IF(AND(ISNUMBER(D4528),ISNUMBER(E4528)),D4528-E4528,""),"")</f>
        <v/>
      </c>
    </row>
    <row r="4529">
      <c r="A4529" s="7">
        <f>IFERROR(Datos!A4529,"")</f>
        <v/>
      </c>
      <c r="B4529" s="8">
        <f>IFERROR(Datos!B4529,"")</f>
        <v/>
      </c>
      <c r="C4529" s="8">
        <f>IFERROR(Datos!C4529,"")</f>
        <v/>
      </c>
      <c r="D4529" s="28">
        <f>IFERROR(IF(AND(ISNUMBER(B4529),ISNUMBER(B4528),B4528&lt;&gt;0),B4529/B4528-1,""),"")</f>
        <v/>
      </c>
      <c r="E4529" s="28">
        <f>IFERROR(IF(AND(ISNUMBER(C4529),ISNUMBER(C4528),C4528&lt;&gt;0),C4529/C4528-1,""),"")</f>
        <v/>
      </c>
      <c r="F4529" s="28">
        <f>IFERROR(D4529-Dashboard!$B$4/252,"")</f>
        <v/>
      </c>
      <c r="G4529" s="28">
        <f>IFERROR(E4529-Dashboard!$B$4/252,"")</f>
        <v/>
      </c>
      <c r="H4529" s="8">
        <f>IFERROR(IF(ISNUMBER(B4529),MAX(B4529,IFERROR(H4528,B4529)),""),"")</f>
        <v/>
      </c>
      <c r="I4529" s="29">
        <f>IFERROR(IF(AND(ISNUMBER(B4529),ISNUMBER(H4529)),B4529/H4529-1,""),"")</f>
        <v/>
      </c>
      <c r="J4529" s="8">
        <f>IFERROR(IF(ISNUMBER(C4529),MAX(C4529,IFERROR(J4528,C4529)),""),"")</f>
        <v/>
      </c>
      <c r="K4529" s="29">
        <f>IFERROR(IF(AND(ISNUMBER(C4529),ISNUMBER(J4529)),C4529/J4529-1,""),"")</f>
        <v/>
      </c>
      <c r="L4529" s="28">
        <f>IFERROR(IF(AND(ISNUMBER(D4529),ISNUMBER(E4529)),D4529-E4529,""),"")</f>
        <v/>
      </c>
    </row>
    <row r="4530">
      <c r="A4530" s="7">
        <f>IFERROR(Datos!A4530,"")</f>
        <v/>
      </c>
      <c r="B4530" s="8">
        <f>IFERROR(Datos!B4530,"")</f>
        <v/>
      </c>
      <c r="C4530" s="8">
        <f>IFERROR(Datos!C4530,"")</f>
        <v/>
      </c>
      <c r="D4530" s="28">
        <f>IFERROR(IF(AND(ISNUMBER(B4530),ISNUMBER(B4529),B4529&lt;&gt;0),B4530/B4529-1,""),"")</f>
        <v/>
      </c>
      <c r="E4530" s="28">
        <f>IFERROR(IF(AND(ISNUMBER(C4530),ISNUMBER(C4529),C4529&lt;&gt;0),C4530/C4529-1,""),"")</f>
        <v/>
      </c>
      <c r="F4530" s="28">
        <f>IFERROR(D4530-Dashboard!$B$4/252,"")</f>
        <v/>
      </c>
      <c r="G4530" s="28">
        <f>IFERROR(E4530-Dashboard!$B$4/252,"")</f>
        <v/>
      </c>
      <c r="H4530" s="8">
        <f>IFERROR(IF(ISNUMBER(B4530),MAX(B4530,IFERROR(H4529,B4530)),""),"")</f>
        <v/>
      </c>
      <c r="I4530" s="29">
        <f>IFERROR(IF(AND(ISNUMBER(B4530),ISNUMBER(H4530)),B4530/H4530-1,""),"")</f>
        <v/>
      </c>
      <c r="J4530" s="8">
        <f>IFERROR(IF(ISNUMBER(C4530),MAX(C4530,IFERROR(J4529,C4530)),""),"")</f>
        <v/>
      </c>
      <c r="K4530" s="29">
        <f>IFERROR(IF(AND(ISNUMBER(C4530),ISNUMBER(J4530)),C4530/J4530-1,""),"")</f>
        <v/>
      </c>
      <c r="L4530" s="28">
        <f>IFERROR(IF(AND(ISNUMBER(D4530),ISNUMBER(E4530)),D4530-E4530,""),"")</f>
        <v/>
      </c>
    </row>
    <row r="4531">
      <c r="A4531" s="7">
        <f>IFERROR(Datos!A4531,"")</f>
        <v/>
      </c>
      <c r="B4531" s="8">
        <f>IFERROR(Datos!B4531,"")</f>
        <v/>
      </c>
      <c r="C4531" s="8">
        <f>IFERROR(Datos!C4531,"")</f>
        <v/>
      </c>
      <c r="D4531" s="28">
        <f>IFERROR(IF(AND(ISNUMBER(B4531),ISNUMBER(B4530),B4530&lt;&gt;0),B4531/B4530-1,""),"")</f>
        <v/>
      </c>
      <c r="E4531" s="28">
        <f>IFERROR(IF(AND(ISNUMBER(C4531),ISNUMBER(C4530),C4530&lt;&gt;0),C4531/C4530-1,""),"")</f>
        <v/>
      </c>
      <c r="F4531" s="28">
        <f>IFERROR(D4531-Dashboard!$B$4/252,"")</f>
        <v/>
      </c>
      <c r="G4531" s="28">
        <f>IFERROR(E4531-Dashboard!$B$4/252,"")</f>
        <v/>
      </c>
      <c r="H4531" s="8">
        <f>IFERROR(IF(ISNUMBER(B4531),MAX(B4531,IFERROR(H4530,B4531)),""),"")</f>
        <v/>
      </c>
      <c r="I4531" s="29">
        <f>IFERROR(IF(AND(ISNUMBER(B4531),ISNUMBER(H4531)),B4531/H4531-1,""),"")</f>
        <v/>
      </c>
      <c r="J4531" s="8">
        <f>IFERROR(IF(ISNUMBER(C4531),MAX(C4531,IFERROR(J4530,C4531)),""),"")</f>
        <v/>
      </c>
      <c r="K4531" s="29">
        <f>IFERROR(IF(AND(ISNUMBER(C4531),ISNUMBER(J4531)),C4531/J4531-1,""),"")</f>
        <v/>
      </c>
      <c r="L4531" s="28">
        <f>IFERROR(IF(AND(ISNUMBER(D4531),ISNUMBER(E4531)),D4531-E4531,""),"")</f>
        <v/>
      </c>
    </row>
    <row r="4532">
      <c r="A4532" s="7">
        <f>IFERROR(Datos!A4532,"")</f>
        <v/>
      </c>
      <c r="B4532" s="8">
        <f>IFERROR(Datos!B4532,"")</f>
        <v/>
      </c>
      <c r="C4532" s="8">
        <f>IFERROR(Datos!C4532,"")</f>
        <v/>
      </c>
      <c r="D4532" s="28">
        <f>IFERROR(IF(AND(ISNUMBER(B4532),ISNUMBER(B4531),B4531&lt;&gt;0),B4532/B4531-1,""),"")</f>
        <v/>
      </c>
      <c r="E4532" s="28">
        <f>IFERROR(IF(AND(ISNUMBER(C4532),ISNUMBER(C4531),C4531&lt;&gt;0),C4532/C4531-1,""),"")</f>
        <v/>
      </c>
      <c r="F4532" s="28">
        <f>IFERROR(D4532-Dashboard!$B$4/252,"")</f>
        <v/>
      </c>
      <c r="G4532" s="28">
        <f>IFERROR(E4532-Dashboard!$B$4/252,"")</f>
        <v/>
      </c>
      <c r="H4532" s="8">
        <f>IFERROR(IF(ISNUMBER(B4532),MAX(B4532,IFERROR(H4531,B4532)),""),"")</f>
        <v/>
      </c>
      <c r="I4532" s="29">
        <f>IFERROR(IF(AND(ISNUMBER(B4532),ISNUMBER(H4532)),B4532/H4532-1,""),"")</f>
        <v/>
      </c>
      <c r="J4532" s="8">
        <f>IFERROR(IF(ISNUMBER(C4532),MAX(C4532,IFERROR(J4531,C4532)),""),"")</f>
        <v/>
      </c>
      <c r="K4532" s="29">
        <f>IFERROR(IF(AND(ISNUMBER(C4532),ISNUMBER(J4532)),C4532/J4532-1,""),"")</f>
        <v/>
      </c>
      <c r="L4532" s="28">
        <f>IFERROR(IF(AND(ISNUMBER(D4532),ISNUMBER(E4532)),D4532-E4532,""),"")</f>
        <v/>
      </c>
    </row>
    <row r="4533">
      <c r="A4533" s="7">
        <f>IFERROR(Datos!A4533,"")</f>
        <v/>
      </c>
      <c r="B4533" s="8">
        <f>IFERROR(Datos!B4533,"")</f>
        <v/>
      </c>
      <c r="C4533" s="8">
        <f>IFERROR(Datos!C4533,"")</f>
        <v/>
      </c>
      <c r="D4533" s="28">
        <f>IFERROR(IF(AND(ISNUMBER(B4533),ISNUMBER(B4532),B4532&lt;&gt;0),B4533/B4532-1,""),"")</f>
        <v/>
      </c>
      <c r="E4533" s="28">
        <f>IFERROR(IF(AND(ISNUMBER(C4533),ISNUMBER(C4532),C4532&lt;&gt;0),C4533/C4532-1,""),"")</f>
        <v/>
      </c>
      <c r="F4533" s="28">
        <f>IFERROR(D4533-Dashboard!$B$4/252,"")</f>
        <v/>
      </c>
      <c r="G4533" s="28">
        <f>IFERROR(E4533-Dashboard!$B$4/252,"")</f>
        <v/>
      </c>
      <c r="H4533" s="8">
        <f>IFERROR(IF(ISNUMBER(B4533),MAX(B4533,IFERROR(H4532,B4533)),""),"")</f>
        <v/>
      </c>
      <c r="I4533" s="29">
        <f>IFERROR(IF(AND(ISNUMBER(B4533),ISNUMBER(H4533)),B4533/H4533-1,""),"")</f>
        <v/>
      </c>
      <c r="J4533" s="8">
        <f>IFERROR(IF(ISNUMBER(C4533),MAX(C4533,IFERROR(J4532,C4533)),""),"")</f>
        <v/>
      </c>
      <c r="K4533" s="29">
        <f>IFERROR(IF(AND(ISNUMBER(C4533),ISNUMBER(J4533)),C4533/J4533-1,""),"")</f>
        <v/>
      </c>
      <c r="L4533" s="28">
        <f>IFERROR(IF(AND(ISNUMBER(D4533),ISNUMBER(E4533)),D4533-E4533,""),"")</f>
        <v/>
      </c>
    </row>
    <row r="4534">
      <c r="A4534" s="7">
        <f>IFERROR(Datos!A4534,"")</f>
        <v/>
      </c>
      <c r="B4534" s="8">
        <f>IFERROR(Datos!B4534,"")</f>
        <v/>
      </c>
      <c r="C4534" s="8">
        <f>IFERROR(Datos!C4534,"")</f>
        <v/>
      </c>
      <c r="D4534" s="28">
        <f>IFERROR(IF(AND(ISNUMBER(B4534),ISNUMBER(B4533),B4533&lt;&gt;0),B4534/B4533-1,""),"")</f>
        <v/>
      </c>
      <c r="E4534" s="28">
        <f>IFERROR(IF(AND(ISNUMBER(C4534),ISNUMBER(C4533),C4533&lt;&gt;0),C4534/C4533-1,""),"")</f>
        <v/>
      </c>
      <c r="F4534" s="28">
        <f>IFERROR(D4534-Dashboard!$B$4/252,"")</f>
        <v/>
      </c>
      <c r="G4534" s="28">
        <f>IFERROR(E4534-Dashboard!$B$4/252,"")</f>
        <v/>
      </c>
      <c r="H4534" s="8">
        <f>IFERROR(IF(ISNUMBER(B4534),MAX(B4534,IFERROR(H4533,B4534)),""),"")</f>
        <v/>
      </c>
      <c r="I4534" s="29">
        <f>IFERROR(IF(AND(ISNUMBER(B4534),ISNUMBER(H4534)),B4534/H4534-1,""),"")</f>
        <v/>
      </c>
      <c r="J4534" s="8">
        <f>IFERROR(IF(ISNUMBER(C4534),MAX(C4534,IFERROR(J4533,C4534)),""),"")</f>
        <v/>
      </c>
      <c r="K4534" s="29">
        <f>IFERROR(IF(AND(ISNUMBER(C4534),ISNUMBER(J4534)),C4534/J4534-1,""),"")</f>
        <v/>
      </c>
      <c r="L4534" s="28">
        <f>IFERROR(IF(AND(ISNUMBER(D4534),ISNUMBER(E4534)),D4534-E4534,""),"")</f>
        <v/>
      </c>
    </row>
    <row r="4535">
      <c r="A4535" s="7">
        <f>IFERROR(Datos!A4535,"")</f>
        <v/>
      </c>
      <c r="B4535" s="8">
        <f>IFERROR(Datos!B4535,"")</f>
        <v/>
      </c>
      <c r="C4535" s="8">
        <f>IFERROR(Datos!C4535,"")</f>
        <v/>
      </c>
      <c r="D4535" s="28">
        <f>IFERROR(IF(AND(ISNUMBER(B4535),ISNUMBER(B4534),B4534&lt;&gt;0),B4535/B4534-1,""),"")</f>
        <v/>
      </c>
      <c r="E4535" s="28">
        <f>IFERROR(IF(AND(ISNUMBER(C4535),ISNUMBER(C4534),C4534&lt;&gt;0),C4535/C4534-1,""),"")</f>
        <v/>
      </c>
      <c r="F4535" s="28">
        <f>IFERROR(D4535-Dashboard!$B$4/252,"")</f>
        <v/>
      </c>
      <c r="G4535" s="28">
        <f>IFERROR(E4535-Dashboard!$B$4/252,"")</f>
        <v/>
      </c>
      <c r="H4535" s="8">
        <f>IFERROR(IF(ISNUMBER(B4535),MAX(B4535,IFERROR(H4534,B4535)),""),"")</f>
        <v/>
      </c>
      <c r="I4535" s="29">
        <f>IFERROR(IF(AND(ISNUMBER(B4535),ISNUMBER(H4535)),B4535/H4535-1,""),"")</f>
        <v/>
      </c>
      <c r="J4535" s="8">
        <f>IFERROR(IF(ISNUMBER(C4535),MAX(C4535,IFERROR(J4534,C4535)),""),"")</f>
        <v/>
      </c>
      <c r="K4535" s="29">
        <f>IFERROR(IF(AND(ISNUMBER(C4535),ISNUMBER(J4535)),C4535/J4535-1,""),"")</f>
        <v/>
      </c>
      <c r="L4535" s="28">
        <f>IFERROR(IF(AND(ISNUMBER(D4535),ISNUMBER(E4535)),D4535-E4535,""),"")</f>
        <v/>
      </c>
    </row>
    <row r="4536">
      <c r="A4536" s="7">
        <f>IFERROR(Datos!A4536,"")</f>
        <v/>
      </c>
      <c r="B4536" s="8">
        <f>IFERROR(Datos!B4536,"")</f>
        <v/>
      </c>
      <c r="C4536" s="8">
        <f>IFERROR(Datos!C4536,"")</f>
        <v/>
      </c>
      <c r="D4536" s="28">
        <f>IFERROR(IF(AND(ISNUMBER(B4536),ISNUMBER(B4535),B4535&lt;&gt;0),B4536/B4535-1,""),"")</f>
        <v/>
      </c>
      <c r="E4536" s="28">
        <f>IFERROR(IF(AND(ISNUMBER(C4536),ISNUMBER(C4535),C4535&lt;&gt;0),C4536/C4535-1,""),"")</f>
        <v/>
      </c>
      <c r="F4536" s="28">
        <f>IFERROR(D4536-Dashboard!$B$4/252,"")</f>
        <v/>
      </c>
      <c r="G4536" s="28">
        <f>IFERROR(E4536-Dashboard!$B$4/252,"")</f>
        <v/>
      </c>
      <c r="H4536" s="8">
        <f>IFERROR(IF(ISNUMBER(B4536),MAX(B4536,IFERROR(H4535,B4536)),""),"")</f>
        <v/>
      </c>
      <c r="I4536" s="29">
        <f>IFERROR(IF(AND(ISNUMBER(B4536),ISNUMBER(H4536)),B4536/H4536-1,""),"")</f>
        <v/>
      </c>
      <c r="J4536" s="8">
        <f>IFERROR(IF(ISNUMBER(C4536),MAX(C4536,IFERROR(J4535,C4536)),""),"")</f>
        <v/>
      </c>
      <c r="K4536" s="29">
        <f>IFERROR(IF(AND(ISNUMBER(C4536),ISNUMBER(J4536)),C4536/J4536-1,""),"")</f>
        <v/>
      </c>
      <c r="L4536" s="28">
        <f>IFERROR(IF(AND(ISNUMBER(D4536),ISNUMBER(E4536)),D4536-E4536,""),"")</f>
        <v/>
      </c>
    </row>
    <row r="4537">
      <c r="A4537" s="7">
        <f>IFERROR(Datos!A4537,"")</f>
        <v/>
      </c>
      <c r="B4537" s="8">
        <f>IFERROR(Datos!B4537,"")</f>
        <v/>
      </c>
      <c r="C4537" s="8">
        <f>IFERROR(Datos!C4537,"")</f>
        <v/>
      </c>
      <c r="D4537" s="28">
        <f>IFERROR(IF(AND(ISNUMBER(B4537),ISNUMBER(B4536),B4536&lt;&gt;0),B4537/B4536-1,""),"")</f>
        <v/>
      </c>
      <c r="E4537" s="28">
        <f>IFERROR(IF(AND(ISNUMBER(C4537),ISNUMBER(C4536),C4536&lt;&gt;0),C4537/C4536-1,""),"")</f>
        <v/>
      </c>
      <c r="F4537" s="28">
        <f>IFERROR(D4537-Dashboard!$B$4/252,"")</f>
        <v/>
      </c>
      <c r="G4537" s="28">
        <f>IFERROR(E4537-Dashboard!$B$4/252,"")</f>
        <v/>
      </c>
      <c r="H4537" s="8">
        <f>IFERROR(IF(ISNUMBER(B4537),MAX(B4537,IFERROR(H4536,B4537)),""),"")</f>
        <v/>
      </c>
      <c r="I4537" s="29">
        <f>IFERROR(IF(AND(ISNUMBER(B4537),ISNUMBER(H4537)),B4537/H4537-1,""),"")</f>
        <v/>
      </c>
      <c r="J4537" s="8">
        <f>IFERROR(IF(ISNUMBER(C4537),MAX(C4537,IFERROR(J4536,C4537)),""),"")</f>
        <v/>
      </c>
      <c r="K4537" s="29">
        <f>IFERROR(IF(AND(ISNUMBER(C4537),ISNUMBER(J4537)),C4537/J4537-1,""),"")</f>
        <v/>
      </c>
      <c r="L4537" s="28">
        <f>IFERROR(IF(AND(ISNUMBER(D4537),ISNUMBER(E4537)),D4537-E4537,""),"")</f>
        <v/>
      </c>
    </row>
    <row r="4538">
      <c r="A4538" s="7">
        <f>IFERROR(Datos!A4538,"")</f>
        <v/>
      </c>
      <c r="B4538" s="8">
        <f>IFERROR(Datos!B4538,"")</f>
        <v/>
      </c>
      <c r="C4538" s="8">
        <f>IFERROR(Datos!C4538,"")</f>
        <v/>
      </c>
      <c r="D4538" s="28">
        <f>IFERROR(IF(AND(ISNUMBER(B4538),ISNUMBER(B4537),B4537&lt;&gt;0),B4538/B4537-1,""),"")</f>
        <v/>
      </c>
      <c r="E4538" s="28">
        <f>IFERROR(IF(AND(ISNUMBER(C4538),ISNUMBER(C4537),C4537&lt;&gt;0),C4538/C4537-1,""),"")</f>
        <v/>
      </c>
      <c r="F4538" s="28">
        <f>IFERROR(D4538-Dashboard!$B$4/252,"")</f>
        <v/>
      </c>
      <c r="G4538" s="28">
        <f>IFERROR(E4538-Dashboard!$B$4/252,"")</f>
        <v/>
      </c>
      <c r="H4538" s="8">
        <f>IFERROR(IF(ISNUMBER(B4538),MAX(B4538,IFERROR(H4537,B4538)),""),"")</f>
        <v/>
      </c>
      <c r="I4538" s="29">
        <f>IFERROR(IF(AND(ISNUMBER(B4538),ISNUMBER(H4538)),B4538/H4538-1,""),"")</f>
        <v/>
      </c>
      <c r="J4538" s="8">
        <f>IFERROR(IF(ISNUMBER(C4538),MAX(C4538,IFERROR(J4537,C4538)),""),"")</f>
        <v/>
      </c>
      <c r="K4538" s="29">
        <f>IFERROR(IF(AND(ISNUMBER(C4538),ISNUMBER(J4538)),C4538/J4538-1,""),"")</f>
        <v/>
      </c>
      <c r="L4538" s="28">
        <f>IFERROR(IF(AND(ISNUMBER(D4538),ISNUMBER(E4538)),D4538-E4538,""),"")</f>
        <v/>
      </c>
    </row>
    <row r="4539">
      <c r="A4539" s="7">
        <f>IFERROR(Datos!A4539,"")</f>
        <v/>
      </c>
      <c r="B4539" s="8">
        <f>IFERROR(Datos!B4539,"")</f>
        <v/>
      </c>
      <c r="C4539" s="8">
        <f>IFERROR(Datos!C4539,"")</f>
        <v/>
      </c>
      <c r="D4539" s="28">
        <f>IFERROR(IF(AND(ISNUMBER(B4539),ISNUMBER(B4538),B4538&lt;&gt;0),B4539/B4538-1,""),"")</f>
        <v/>
      </c>
      <c r="E4539" s="28">
        <f>IFERROR(IF(AND(ISNUMBER(C4539),ISNUMBER(C4538),C4538&lt;&gt;0),C4539/C4538-1,""),"")</f>
        <v/>
      </c>
      <c r="F4539" s="28">
        <f>IFERROR(D4539-Dashboard!$B$4/252,"")</f>
        <v/>
      </c>
      <c r="G4539" s="28">
        <f>IFERROR(E4539-Dashboard!$B$4/252,"")</f>
        <v/>
      </c>
      <c r="H4539" s="8">
        <f>IFERROR(IF(ISNUMBER(B4539),MAX(B4539,IFERROR(H4538,B4539)),""),"")</f>
        <v/>
      </c>
      <c r="I4539" s="29">
        <f>IFERROR(IF(AND(ISNUMBER(B4539),ISNUMBER(H4539)),B4539/H4539-1,""),"")</f>
        <v/>
      </c>
      <c r="J4539" s="8">
        <f>IFERROR(IF(ISNUMBER(C4539),MAX(C4539,IFERROR(J4538,C4539)),""),"")</f>
        <v/>
      </c>
      <c r="K4539" s="29">
        <f>IFERROR(IF(AND(ISNUMBER(C4539),ISNUMBER(J4539)),C4539/J4539-1,""),"")</f>
        <v/>
      </c>
      <c r="L4539" s="28">
        <f>IFERROR(IF(AND(ISNUMBER(D4539),ISNUMBER(E4539)),D4539-E4539,""),"")</f>
        <v/>
      </c>
    </row>
    <row r="4540">
      <c r="A4540" s="7">
        <f>IFERROR(Datos!A4540,"")</f>
        <v/>
      </c>
      <c r="B4540" s="8">
        <f>IFERROR(Datos!B4540,"")</f>
        <v/>
      </c>
      <c r="C4540" s="8">
        <f>IFERROR(Datos!C4540,"")</f>
        <v/>
      </c>
      <c r="D4540" s="28">
        <f>IFERROR(IF(AND(ISNUMBER(B4540),ISNUMBER(B4539),B4539&lt;&gt;0),B4540/B4539-1,""),"")</f>
        <v/>
      </c>
      <c r="E4540" s="28">
        <f>IFERROR(IF(AND(ISNUMBER(C4540),ISNUMBER(C4539),C4539&lt;&gt;0),C4540/C4539-1,""),"")</f>
        <v/>
      </c>
      <c r="F4540" s="28">
        <f>IFERROR(D4540-Dashboard!$B$4/252,"")</f>
        <v/>
      </c>
      <c r="G4540" s="28">
        <f>IFERROR(E4540-Dashboard!$B$4/252,"")</f>
        <v/>
      </c>
      <c r="H4540" s="8">
        <f>IFERROR(IF(ISNUMBER(B4540),MAX(B4540,IFERROR(H4539,B4540)),""),"")</f>
        <v/>
      </c>
      <c r="I4540" s="29">
        <f>IFERROR(IF(AND(ISNUMBER(B4540),ISNUMBER(H4540)),B4540/H4540-1,""),"")</f>
        <v/>
      </c>
      <c r="J4540" s="8">
        <f>IFERROR(IF(ISNUMBER(C4540),MAX(C4540,IFERROR(J4539,C4540)),""),"")</f>
        <v/>
      </c>
      <c r="K4540" s="29">
        <f>IFERROR(IF(AND(ISNUMBER(C4540),ISNUMBER(J4540)),C4540/J4540-1,""),"")</f>
        <v/>
      </c>
      <c r="L4540" s="28">
        <f>IFERROR(IF(AND(ISNUMBER(D4540),ISNUMBER(E4540)),D4540-E4540,""),"")</f>
        <v/>
      </c>
    </row>
    <row r="4541">
      <c r="A4541" s="7">
        <f>IFERROR(Datos!A4541,"")</f>
        <v/>
      </c>
      <c r="B4541" s="8">
        <f>IFERROR(Datos!B4541,"")</f>
        <v/>
      </c>
      <c r="C4541" s="8">
        <f>IFERROR(Datos!C4541,"")</f>
        <v/>
      </c>
      <c r="D4541" s="28">
        <f>IFERROR(IF(AND(ISNUMBER(B4541),ISNUMBER(B4540),B4540&lt;&gt;0),B4541/B4540-1,""),"")</f>
        <v/>
      </c>
      <c r="E4541" s="28">
        <f>IFERROR(IF(AND(ISNUMBER(C4541),ISNUMBER(C4540),C4540&lt;&gt;0),C4541/C4540-1,""),"")</f>
        <v/>
      </c>
      <c r="F4541" s="28">
        <f>IFERROR(D4541-Dashboard!$B$4/252,"")</f>
        <v/>
      </c>
      <c r="G4541" s="28">
        <f>IFERROR(E4541-Dashboard!$B$4/252,"")</f>
        <v/>
      </c>
      <c r="H4541" s="8">
        <f>IFERROR(IF(ISNUMBER(B4541),MAX(B4541,IFERROR(H4540,B4541)),""),"")</f>
        <v/>
      </c>
      <c r="I4541" s="29">
        <f>IFERROR(IF(AND(ISNUMBER(B4541),ISNUMBER(H4541)),B4541/H4541-1,""),"")</f>
        <v/>
      </c>
      <c r="J4541" s="8">
        <f>IFERROR(IF(ISNUMBER(C4541),MAX(C4541,IFERROR(J4540,C4541)),""),"")</f>
        <v/>
      </c>
      <c r="K4541" s="29">
        <f>IFERROR(IF(AND(ISNUMBER(C4541),ISNUMBER(J4541)),C4541/J4541-1,""),"")</f>
        <v/>
      </c>
      <c r="L4541" s="28">
        <f>IFERROR(IF(AND(ISNUMBER(D4541),ISNUMBER(E4541)),D4541-E4541,""),"")</f>
        <v/>
      </c>
    </row>
    <row r="4542">
      <c r="A4542" s="7">
        <f>IFERROR(Datos!A4542,"")</f>
        <v/>
      </c>
      <c r="B4542" s="8">
        <f>IFERROR(Datos!B4542,"")</f>
        <v/>
      </c>
      <c r="C4542" s="8">
        <f>IFERROR(Datos!C4542,"")</f>
        <v/>
      </c>
      <c r="D4542" s="28">
        <f>IFERROR(IF(AND(ISNUMBER(B4542),ISNUMBER(B4541),B4541&lt;&gt;0),B4542/B4541-1,""),"")</f>
        <v/>
      </c>
      <c r="E4542" s="28">
        <f>IFERROR(IF(AND(ISNUMBER(C4542),ISNUMBER(C4541),C4541&lt;&gt;0),C4542/C4541-1,""),"")</f>
        <v/>
      </c>
      <c r="F4542" s="28">
        <f>IFERROR(D4542-Dashboard!$B$4/252,"")</f>
        <v/>
      </c>
      <c r="G4542" s="28">
        <f>IFERROR(E4542-Dashboard!$B$4/252,"")</f>
        <v/>
      </c>
      <c r="H4542" s="8">
        <f>IFERROR(IF(ISNUMBER(B4542),MAX(B4542,IFERROR(H4541,B4542)),""),"")</f>
        <v/>
      </c>
      <c r="I4542" s="29">
        <f>IFERROR(IF(AND(ISNUMBER(B4542),ISNUMBER(H4542)),B4542/H4542-1,""),"")</f>
        <v/>
      </c>
      <c r="J4542" s="8">
        <f>IFERROR(IF(ISNUMBER(C4542),MAX(C4542,IFERROR(J4541,C4542)),""),"")</f>
        <v/>
      </c>
      <c r="K4542" s="29">
        <f>IFERROR(IF(AND(ISNUMBER(C4542),ISNUMBER(J4542)),C4542/J4542-1,""),"")</f>
        <v/>
      </c>
      <c r="L4542" s="28">
        <f>IFERROR(IF(AND(ISNUMBER(D4542),ISNUMBER(E4542)),D4542-E4542,""),"")</f>
        <v/>
      </c>
    </row>
    <row r="4543">
      <c r="A4543" s="7">
        <f>IFERROR(Datos!A4543,"")</f>
        <v/>
      </c>
      <c r="B4543" s="8">
        <f>IFERROR(Datos!B4543,"")</f>
        <v/>
      </c>
      <c r="C4543" s="8">
        <f>IFERROR(Datos!C4543,"")</f>
        <v/>
      </c>
      <c r="D4543" s="28">
        <f>IFERROR(IF(AND(ISNUMBER(B4543),ISNUMBER(B4542),B4542&lt;&gt;0),B4543/B4542-1,""),"")</f>
        <v/>
      </c>
      <c r="E4543" s="28">
        <f>IFERROR(IF(AND(ISNUMBER(C4543),ISNUMBER(C4542),C4542&lt;&gt;0),C4543/C4542-1,""),"")</f>
        <v/>
      </c>
      <c r="F4543" s="28">
        <f>IFERROR(D4543-Dashboard!$B$4/252,"")</f>
        <v/>
      </c>
      <c r="G4543" s="28">
        <f>IFERROR(E4543-Dashboard!$B$4/252,"")</f>
        <v/>
      </c>
      <c r="H4543" s="8">
        <f>IFERROR(IF(ISNUMBER(B4543),MAX(B4543,IFERROR(H4542,B4543)),""),"")</f>
        <v/>
      </c>
      <c r="I4543" s="29">
        <f>IFERROR(IF(AND(ISNUMBER(B4543),ISNUMBER(H4543)),B4543/H4543-1,""),"")</f>
        <v/>
      </c>
      <c r="J4543" s="8">
        <f>IFERROR(IF(ISNUMBER(C4543),MAX(C4543,IFERROR(J4542,C4543)),""),"")</f>
        <v/>
      </c>
      <c r="K4543" s="29">
        <f>IFERROR(IF(AND(ISNUMBER(C4543),ISNUMBER(J4543)),C4543/J4543-1,""),"")</f>
        <v/>
      </c>
      <c r="L4543" s="28">
        <f>IFERROR(IF(AND(ISNUMBER(D4543),ISNUMBER(E4543)),D4543-E4543,""),"")</f>
        <v/>
      </c>
    </row>
    <row r="4544">
      <c r="A4544" s="7">
        <f>IFERROR(Datos!A4544,"")</f>
        <v/>
      </c>
      <c r="B4544" s="8">
        <f>IFERROR(Datos!B4544,"")</f>
        <v/>
      </c>
      <c r="C4544" s="8">
        <f>IFERROR(Datos!C4544,"")</f>
        <v/>
      </c>
      <c r="D4544" s="28">
        <f>IFERROR(IF(AND(ISNUMBER(B4544),ISNUMBER(B4543),B4543&lt;&gt;0),B4544/B4543-1,""),"")</f>
        <v/>
      </c>
      <c r="E4544" s="28">
        <f>IFERROR(IF(AND(ISNUMBER(C4544),ISNUMBER(C4543),C4543&lt;&gt;0),C4544/C4543-1,""),"")</f>
        <v/>
      </c>
      <c r="F4544" s="28">
        <f>IFERROR(D4544-Dashboard!$B$4/252,"")</f>
        <v/>
      </c>
      <c r="G4544" s="28">
        <f>IFERROR(E4544-Dashboard!$B$4/252,"")</f>
        <v/>
      </c>
      <c r="H4544" s="8">
        <f>IFERROR(IF(ISNUMBER(B4544),MAX(B4544,IFERROR(H4543,B4544)),""),"")</f>
        <v/>
      </c>
      <c r="I4544" s="29">
        <f>IFERROR(IF(AND(ISNUMBER(B4544),ISNUMBER(H4544)),B4544/H4544-1,""),"")</f>
        <v/>
      </c>
      <c r="J4544" s="8">
        <f>IFERROR(IF(ISNUMBER(C4544),MAX(C4544,IFERROR(J4543,C4544)),""),"")</f>
        <v/>
      </c>
      <c r="K4544" s="29">
        <f>IFERROR(IF(AND(ISNUMBER(C4544),ISNUMBER(J4544)),C4544/J4544-1,""),"")</f>
        <v/>
      </c>
      <c r="L4544" s="28">
        <f>IFERROR(IF(AND(ISNUMBER(D4544),ISNUMBER(E4544)),D4544-E4544,""),"")</f>
        <v/>
      </c>
    </row>
    <row r="4545">
      <c r="A4545" s="7">
        <f>IFERROR(Datos!A4545,"")</f>
        <v/>
      </c>
      <c r="B4545" s="8">
        <f>IFERROR(Datos!B4545,"")</f>
        <v/>
      </c>
      <c r="C4545" s="8">
        <f>IFERROR(Datos!C4545,"")</f>
        <v/>
      </c>
      <c r="D4545" s="28">
        <f>IFERROR(IF(AND(ISNUMBER(B4545),ISNUMBER(B4544),B4544&lt;&gt;0),B4545/B4544-1,""),"")</f>
        <v/>
      </c>
      <c r="E4545" s="28">
        <f>IFERROR(IF(AND(ISNUMBER(C4545),ISNUMBER(C4544),C4544&lt;&gt;0),C4545/C4544-1,""),"")</f>
        <v/>
      </c>
      <c r="F4545" s="28">
        <f>IFERROR(D4545-Dashboard!$B$4/252,"")</f>
        <v/>
      </c>
      <c r="G4545" s="28">
        <f>IFERROR(E4545-Dashboard!$B$4/252,"")</f>
        <v/>
      </c>
      <c r="H4545" s="8">
        <f>IFERROR(IF(ISNUMBER(B4545),MAX(B4545,IFERROR(H4544,B4545)),""),"")</f>
        <v/>
      </c>
      <c r="I4545" s="29">
        <f>IFERROR(IF(AND(ISNUMBER(B4545),ISNUMBER(H4545)),B4545/H4545-1,""),"")</f>
        <v/>
      </c>
      <c r="J4545" s="8">
        <f>IFERROR(IF(ISNUMBER(C4545),MAX(C4545,IFERROR(J4544,C4545)),""),"")</f>
        <v/>
      </c>
      <c r="K4545" s="29">
        <f>IFERROR(IF(AND(ISNUMBER(C4545),ISNUMBER(J4545)),C4545/J4545-1,""),"")</f>
        <v/>
      </c>
      <c r="L4545" s="28">
        <f>IFERROR(IF(AND(ISNUMBER(D4545),ISNUMBER(E4545)),D4545-E4545,""),"")</f>
        <v/>
      </c>
    </row>
    <row r="4546">
      <c r="A4546" s="7">
        <f>IFERROR(Datos!A4546,"")</f>
        <v/>
      </c>
      <c r="B4546" s="8">
        <f>IFERROR(Datos!B4546,"")</f>
        <v/>
      </c>
      <c r="C4546" s="8">
        <f>IFERROR(Datos!C4546,"")</f>
        <v/>
      </c>
      <c r="D4546" s="28">
        <f>IFERROR(IF(AND(ISNUMBER(B4546),ISNUMBER(B4545),B4545&lt;&gt;0),B4546/B4545-1,""),"")</f>
        <v/>
      </c>
      <c r="E4546" s="28">
        <f>IFERROR(IF(AND(ISNUMBER(C4546),ISNUMBER(C4545),C4545&lt;&gt;0),C4546/C4545-1,""),"")</f>
        <v/>
      </c>
      <c r="F4546" s="28">
        <f>IFERROR(D4546-Dashboard!$B$4/252,"")</f>
        <v/>
      </c>
      <c r="G4546" s="28">
        <f>IFERROR(E4546-Dashboard!$B$4/252,"")</f>
        <v/>
      </c>
      <c r="H4546" s="8">
        <f>IFERROR(IF(ISNUMBER(B4546),MAX(B4546,IFERROR(H4545,B4546)),""),"")</f>
        <v/>
      </c>
      <c r="I4546" s="29">
        <f>IFERROR(IF(AND(ISNUMBER(B4546),ISNUMBER(H4546)),B4546/H4546-1,""),"")</f>
        <v/>
      </c>
      <c r="J4546" s="8">
        <f>IFERROR(IF(ISNUMBER(C4546),MAX(C4546,IFERROR(J4545,C4546)),""),"")</f>
        <v/>
      </c>
      <c r="K4546" s="29">
        <f>IFERROR(IF(AND(ISNUMBER(C4546),ISNUMBER(J4546)),C4546/J4546-1,""),"")</f>
        <v/>
      </c>
      <c r="L4546" s="28">
        <f>IFERROR(IF(AND(ISNUMBER(D4546),ISNUMBER(E4546)),D4546-E4546,""),"")</f>
        <v/>
      </c>
    </row>
    <row r="4547">
      <c r="A4547" s="7">
        <f>IFERROR(Datos!A4547,"")</f>
        <v/>
      </c>
      <c r="B4547" s="8">
        <f>IFERROR(Datos!B4547,"")</f>
        <v/>
      </c>
      <c r="C4547" s="8">
        <f>IFERROR(Datos!C4547,"")</f>
        <v/>
      </c>
      <c r="D4547" s="28">
        <f>IFERROR(IF(AND(ISNUMBER(B4547),ISNUMBER(B4546),B4546&lt;&gt;0),B4547/B4546-1,""),"")</f>
        <v/>
      </c>
      <c r="E4547" s="28">
        <f>IFERROR(IF(AND(ISNUMBER(C4547),ISNUMBER(C4546),C4546&lt;&gt;0),C4547/C4546-1,""),"")</f>
        <v/>
      </c>
      <c r="F4547" s="28">
        <f>IFERROR(D4547-Dashboard!$B$4/252,"")</f>
        <v/>
      </c>
      <c r="G4547" s="28">
        <f>IFERROR(E4547-Dashboard!$B$4/252,"")</f>
        <v/>
      </c>
      <c r="H4547" s="8">
        <f>IFERROR(IF(ISNUMBER(B4547),MAX(B4547,IFERROR(H4546,B4547)),""),"")</f>
        <v/>
      </c>
      <c r="I4547" s="29">
        <f>IFERROR(IF(AND(ISNUMBER(B4547),ISNUMBER(H4547)),B4547/H4547-1,""),"")</f>
        <v/>
      </c>
      <c r="J4547" s="8">
        <f>IFERROR(IF(ISNUMBER(C4547),MAX(C4547,IFERROR(J4546,C4547)),""),"")</f>
        <v/>
      </c>
      <c r="K4547" s="29">
        <f>IFERROR(IF(AND(ISNUMBER(C4547),ISNUMBER(J4547)),C4547/J4547-1,""),"")</f>
        <v/>
      </c>
      <c r="L4547" s="28">
        <f>IFERROR(IF(AND(ISNUMBER(D4547),ISNUMBER(E4547)),D4547-E4547,""),"")</f>
        <v/>
      </c>
    </row>
    <row r="4548">
      <c r="A4548" s="7">
        <f>IFERROR(Datos!A4548,"")</f>
        <v/>
      </c>
      <c r="B4548" s="8">
        <f>IFERROR(Datos!B4548,"")</f>
        <v/>
      </c>
      <c r="C4548" s="8">
        <f>IFERROR(Datos!C4548,"")</f>
        <v/>
      </c>
      <c r="D4548" s="28">
        <f>IFERROR(IF(AND(ISNUMBER(B4548),ISNUMBER(B4547),B4547&lt;&gt;0),B4548/B4547-1,""),"")</f>
        <v/>
      </c>
      <c r="E4548" s="28">
        <f>IFERROR(IF(AND(ISNUMBER(C4548),ISNUMBER(C4547),C4547&lt;&gt;0),C4548/C4547-1,""),"")</f>
        <v/>
      </c>
      <c r="F4548" s="28">
        <f>IFERROR(D4548-Dashboard!$B$4/252,"")</f>
        <v/>
      </c>
      <c r="G4548" s="28">
        <f>IFERROR(E4548-Dashboard!$B$4/252,"")</f>
        <v/>
      </c>
      <c r="H4548" s="8">
        <f>IFERROR(IF(ISNUMBER(B4548),MAX(B4548,IFERROR(H4547,B4548)),""),"")</f>
        <v/>
      </c>
      <c r="I4548" s="29">
        <f>IFERROR(IF(AND(ISNUMBER(B4548),ISNUMBER(H4548)),B4548/H4548-1,""),"")</f>
        <v/>
      </c>
      <c r="J4548" s="8">
        <f>IFERROR(IF(ISNUMBER(C4548),MAX(C4548,IFERROR(J4547,C4548)),""),"")</f>
        <v/>
      </c>
      <c r="K4548" s="29">
        <f>IFERROR(IF(AND(ISNUMBER(C4548),ISNUMBER(J4548)),C4548/J4548-1,""),"")</f>
        <v/>
      </c>
      <c r="L4548" s="28">
        <f>IFERROR(IF(AND(ISNUMBER(D4548),ISNUMBER(E4548)),D4548-E4548,""),"")</f>
        <v/>
      </c>
    </row>
    <row r="4549">
      <c r="A4549" s="7">
        <f>IFERROR(Datos!A4549,"")</f>
        <v/>
      </c>
      <c r="B4549" s="8">
        <f>IFERROR(Datos!B4549,"")</f>
        <v/>
      </c>
      <c r="C4549" s="8">
        <f>IFERROR(Datos!C4549,"")</f>
        <v/>
      </c>
      <c r="D4549" s="28">
        <f>IFERROR(IF(AND(ISNUMBER(B4549),ISNUMBER(B4548),B4548&lt;&gt;0),B4549/B4548-1,""),"")</f>
        <v/>
      </c>
      <c r="E4549" s="28">
        <f>IFERROR(IF(AND(ISNUMBER(C4549),ISNUMBER(C4548),C4548&lt;&gt;0),C4549/C4548-1,""),"")</f>
        <v/>
      </c>
      <c r="F4549" s="28">
        <f>IFERROR(D4549-Dashboard!$B$4/252,"")</f>
        <v/>
      </c>
      <c r="G4549" s="28">
        <f>IFERROR(E4549-Dashboard!$B$4/252,"")</f>
        <v/>
      </c>
      <c r="H4549" s="8">
        <f>IFERROR(IF(ISNUMBER(B4549),MAX(B4549,IFERROR(H4548,B4549)),""),"")</f>
        <v/>
      </c>
      <c r="I4549" s="29">
        <f>IFERROR(IF(AND(ISNUMBER(B4549),ISNUMBER(H4549)),B4549/H4549-1,""),"")</f>
        <v/>
      </c>
      <c r="J4549" s="8">
        <f>IFERROR(IF(ISNUMBER(C4549),MAX(C4549,IFERROR(J4548,C4549)),""),"")</f>
        <v/>
      </c>
      <c r="K4549" s="29">
        <f>IFERROR(IF(AND(ISNUMBER(C4549),ISNUMBER(J4549)),C4549/J4549-1,""),"")</f>
        <v/>
      </c>
      <c r="L4549" s="28">
        <f>IFERROR(IF(AND(ISNUMBER(D4549),ISNUMBER(E4549)),D4549-E4549,""),"")</f>
        <v/>
      </c>
    </row>
    <row r="4550">
      <c r="A4550" s="7">
        <f>IFERROR(Datos!A4550,"")</f>
        <v/>
      </c>
      <c r="B4550" s="8">
        <f>IFERROR(Datos!B4550,"")</f>
        <v/>
      </c>
      <c r="C4550" s="8">
        <f>IFERROR(Datos!C4550,"")</f>
        <v/>
      </c>
      <c r="D4550" s="28">
        <f>IFERROR(IF(AND(ISNUMBER(B4550),ISNUMBER(B4549),B4549&lt;&gt;0),B4550/B4549-1,""),"")</f>
        <v/>
      </c>
      <c r="E4550" s="28">
        <f>IFERROR(IF(AND(ISNUMBER(C4550),ISNUMBER(C4549),C4549&lt;&gt;0),C4550/C4549-1,""),"")</f>
        <v/>
      </c>
      <c r="F4550" s="28">
        <f>IFERROR(D4550-Dashboard!$B$4/252,"")</f>
        <v/>
      </c>
      <c r="G4550" s="28">
        <f>IFERROR(E4550-Dashboard!$B$4/252,"")</f>
        <v/>
      </c>
      <c r="H4550" s="8">
        <f>IFERROR(IF(ISNUMBER(B4550),MAX(B4550,IFERROR(H4549,B4550)),""),"")</f>
        <v/>
      </c>
      <c r="I4550" s="29">
        <f>IFERROR(IF(AND(ISNUMBER(B4550),ISNUMBER(H4550)),B4550/H4550-1,""),"")</f>
        <v/>
      </c>
      <c r="J4550" s="8">
        <f>IFERROR(IF(ISNUMBER(C4550),MAX(C4550,IFERROR(J4549,C4550)),""),"")</f>
        <v/>
      </c>
      <c r="K4550" s="29">
        <f>IFERROR(IF(AND(ISNUMBER(C4550),ISNUMBER(J4550)),C4550/J4550-1,""),"")</f>
        <v/>
      </c>
      <c r="L4550" s="28">
        <f>IFERROR(IF(AND(ISNUMBER(D4550),ISNUMBER(E4550)),D4550-E4550,""),"")</f>
        <v/>
      </c>
    </row>
    <row r="4551">
      <c r="A4551" s="7">
        <f>IFERROR(Datos!A4551,"")</f>
        <v/>
      </c>
      <c r="B4551" s="8">
        <f>IFERROR(Datos!B4551,"")</f>
        <v/>
      </c>
      <c r="C4551" s="8">
        <f>IFERROR(Datos!C4551,"")</f>
        <v/>
      </c>
      <c r="D4551" s="28">
        <f>IFERROR(IF(AND(ISNUMBER(B4551),ISNUMBER(B4550),B4550&lt;&gt;0),B4551/B4550-1,""),"")</f>
        <v/>
      </c>
      <c r="E4551" s="28">
        <f>IFERROR(IF(AND(ISNUMBER(C4551),ISNUMBER(C4550),C4550&lt;&gt;0),C4551/C4550-1,""),"")</f>
        <v/>
      </c>
      <c r="F4551" s="28">
        <f>IFERROR(D4551-Dashboard!$B$4/252,"")</f>
        <v/>
      </c>
      <c r="G4551" s="28">
        <f>IFERROR(E4551-Dashboard!$B$4/252,"")</f>
        <v/>
      </c>
      <c r="H4551" s="8">
        <f>IFERROR(IF(ISNUMBER(B4551),MAX(B4551,IFERROR(H4550,B4551)),""),"")</f>
        <v/>
      </c>
      <c r="I4551" s="29">
        <f>IFERROR(IF(AND(ISNUMBER(B4551),ISNUMBER(H4551)),B4551/H4551-1,""),"")</f>
        <v/>
      </c>
      <c r="J4551" s="8">
        <f>IFERROR(IF(ISNUMBER(C4551),MAX(C4551,IFERROR(J4550,C4551)),""),"")</f>
        <v/>
      </c>
      <c r="K4551" s="29">
        <f>IFERROR(IF(AND(ISNUMBER(C4551),ISNUMBER(J4551)),C4551/J4551-1,""),"")</f>
        <v/>
      </c>
      <c r="L4551" s="28">
        <f>IFERROR(IF(AND(ISNUMBER(D4551),ISNUMBER(E4551)),D4551-E4551,""),"")</f>
        <v/>
      </c>
    </row>
    <row r="4552">
      <c r="A4552" s="7">
        <f>IFERROR(Datos!A4552,"")</f>
        <v/>
      </c>
      <c r="B4552" s="8">
        <f>IFERROR(Datos!B4552,"")</f>
        <v/>
      </c>
      <c r="C4552" s="8">
        <f>IFERROR(Datos!C4552,"")</f>
        <v/>
      </c>
      <c r="D4552" s="28">
        <f>IFERROR(IF(AND(ISNUMBER(B4552),ISNUMBER(B4551),B4551&lt;&gt;0),B4552/B4551-1,""),"")</f>
        <v/>
      </c>
      <c r="E4552" s="28">
        <f>IFERROR(IF(AND(ISNUMBER(C4552),ISNUMBER(C4551),C4551&lt;&gt;0),C4552/C4551-1,""),"")</f>
        <v/>
      </c>
      <c r="F4552" s="28">
        <f>IFERROR(D4552-Dashboard!$B$4/252,"")</f>
        <v/>
      </c>
      <c r="G4552" s="28">
        <f>IFERROR(E4552-Dashboard!$B$4/252,"")</f>
        <v/>
      </c>
      <c r="H4552" s="8">
        <f>IFERROR(IF(ISNUMBER(B4552),MAX(B4552,IFERROR(H4551,B4552)),""),"")</f>
        <v/>
      </c>
      <c r="I4552" s="29">
        <f>IFERROR(IF(AND(ISNUMBER(B4552),ISNUMBER(H4552)),B4552/H4552-1,""),"")</f>
        <v/>
      </c>
      <c r="J4552" s="8">
        <f>IFERROR(IF(ISNUMBER(C4552),MAX(C4552,IFERROR(J4551,C4552)),""),"")</f>
        <v/>
      </c>
      <c r="K4552" s="29">
        <f>IFERROR(IF(AND(ISNUMBER(C4552),ISNUMBER(J4552)),C4552/J4552-1,""),"")</f>
        <v/>
      </c>
      <c r="L4552" s="28">
        <f>IFERROR(IF(AND(ISNUMBER(D4552),ISNUMBER(E4552)),D4552-E4552,""),"")</f>
        <v/>
      </c>
    </row>
    <row r="4553">
      <c r="A4553" s="7">
        <f>IFERROR(Datos!A4553,"")</f>
        <v/>
      </c>
      <c r="B4553" s="8">
        <f>IFERROR(Datos!B4553,"")</f>
        <v/>
      </c>
      <c r="C4553" s="8">
        <f>IFERROR(Datos!C4553,"")</f>
        <v/>
      </c>
      <c r="D4553" s="28">
        <f>IFERROR(IF(AND(ISNUMBER(B4553),ISNUMBER(B4552),B4552&lt;&gt;0),B4553/B4552-1,""),"")</f>
        <v/>
      </c>
      <c r="E4553" s="28">
        <f>IFERROR(IF(AND(ISNUMBER(C4553),ISNUMBER(C4552),C4552&lt;&gt;0),C4553/C4552-1,""),"")</f>
        <v/>
      </c>
      <c r="F4553" s="28">
        <f>IFERROR(D4553-Dashboard!$B$4/252,"")</f>
        <v/>
      </c>
      <c r="G4553" s="28">
        <f>IFERROR(E4553-Dashboard!$B$4/252,"")</f>
        <v/>
      </c>
      <c r="H4553" s="8">
        <f>IFERROR(IF(ISNUMBER(B4553),MAX(B4553,IFERROR(H4552,B4553)),""),"")</f>
        <v/>
      </c>
      <c r="I4553" s="29">
        <f>IFERROR(IF(AND(ISNUMBER(B4553),ISNUMBER(H4553)),B4553/H4553-1,""),"")</f>
        <v/>
      </c>
      <c r="J4553" s="8">
        <f>IFERROR(IF(ISNUMBER(C4553),MAX(C4553,IFERROR(J4552,C4553)),""),"")</f>
        <v/>
      </c>
      <c r="K4553" s="29">
        <f>IFERROR(IF(AND(ISNUMBER(C4553),ISNUMBER(J4553)),C4553/J4553-1,""),"")</f>
        <v/>
      </c>
      <c r="L4553" s="28">
        <f>IFERROR(IF(AND(ISNUMBER(D4553),ISNUMBER(E4553)),D4553-E4553,""),"")</f>
        <v/>
      </c>
    </row>
    <row r="4554">
      <c r="A4554" s="7">
        <f>IFERROR(Datos!A4554,"")</f>
        <v/>
      </c>
      <c r="B4554" s="8">
        <f>IFERROR(Datos!B4554,"")</f>
        <v/>
      </c>
      <c r="C4554" s="8">
        <f>IFERROR(Datos!C4554,"")</f>
        <v/>
      </c>
      <c r="D4554" s="28">
        <f>IFERROR(IF(AND(ISNUMBER(B4554),ISNUMBER(B4553),B4553&lt;&gt;0),B4554/B4553-1,""),"")</f>
        <v/>
      </c>
      <c r="E4554" s="28">
        <f>IFERROR(IF(AND(ISNUMBER(C4554),ISNUMBER(C4553),C4553&lt;&gt;0),C4554/C4553-1,""),"")</f>
        <v/>
      </c>
      <c r="F4554" s="28">
        <f>IFERROR(D4554-Dashboard!$B$4/252,"")</f>
        <v/>
      </c>
      <c r="G4554" s="28">
        <f>IFERROR(E4554-Dashboard!$B$4/252,"")</f>
        <v/>
      </c>
      <c r="H4554" s="8">
        <f>IFERROR(IF(ISNUMBER(B4554),MAX(B4554,IFERROR(H4553,B4554)),""),"")</f>
        <v/>
      </c>
      <c r="I4554" s="29">
        <f>IFERROR(IF(AND(ISNUMBER(B4554),ISNUMBER(H4554)),B4554/H4554-1,""),"")</f>
        <v/>
      </c>
      <c r="J4554" s="8">
        <f>IFERROR(IF(ISNUMBER(C4554),MAX(C4554,IFERROR(J4553,C4554)),""),"")</f>
        <v/>
      </c>
      <c r="K4554" s="29">
        <f>IFERROR(IF(AND(ISNUMBER(C4554),ISNUMBER(J4554)),C4554/J4554-1,""),"")</f>
        <v/>
      </c>
      <c r="L4554" s="28">
        <f>IFERROR(IF(AND(ISNUMBER(D4554),ISNUMBER(E4554)),D4554-E4554,""),"")</f>
        <v/>
      </c>
    </row>
    <row r="4555">
      <c r="A4555" s="7">
        <f>IFERROR(Datos!A4555,"")</f>
        <v/>
      </c>
      <c r="B4555" s="8">
        <f>IFERROR(Datos!B4555,"")</f>
        <v/>
      </c>
      <c r="C4555" s="8">
        <f>IFERROR(Datos!C4555,"")</f>
        <v/>
      </c>
      <c r="D4555" s="28">
        <f>IFERROR(IF(AND(ISNUMBER(B4555),ISNUMBER(B4554),B4554&lt;&gt;0),B4555/B4554-1,""),"")</f>
        <v/>
      </c>
      <c r="E4555" s="28">
        <f>IFERROR(IF(AND(ISNUMBER(C4555),ISNUMBER(C4554),C4554&lt;&gt;0),C4555/C4554-1,""),"")</f>
        <v/>
      </c>
      <c r="F4555" s="28">
        <f>IFERROR(D4555-Dashboard!$B$4/252,"")</f>
        <v/>
      </c>
      <c r="G4555" s="28">
        <f>IFERROR(E4555-Dashboard!$B$4/252,"")</f>
        <v/>
      </c>
      <c r="H4555" s="8">
        <f>IFERROR(IF(ISNUMBER(B4555),MAX(B4555,IFERROR(H4554,B4555)),""),"")</f>
        <v/>
      </c>
      <c r="I4555" s="29">
        <f>IFERROR(IF(AND(ISNUMBER(B4555),ISNUMBER(H4555)),B4555/H4555-1,""),"")</f>
        <v/>
      </c>
      <c r="J4555" s="8">
        <f>IFERROR(IF(ISNUMBER(C4555),MAX(C4555,IFERROR(J4554,C4555)),""),"")</f>
        <v/>
      </c>
      <c r="K4555" s="29">
        <f>IFERROR(IF(AND(ISNUMBER(C4555),ISNUMBER(J4555)),C4555/J4555-1,""),"")</f>
        <v/>
      </c>
      <c r="L4555" s="28">
        <f>IFERROR(IF(AND(ISNUMBER(D4555),ISNUMBER(E4555)),D4555-E4555,""),"")</f>
        <v/>
      </c>
    </row>
    <row r="4556">
      <c r="A4556" s="7">
        <f>IFERROR(Datos!A4556,"")</f>
        <v/>
      </c>
      <c r="B4556" s="8">
        <f>IFERROR(Datos!B4556,"")</f>
        <v/>
      </c>
      <c r="C4556" s="8">
        <f>IFERROR(Datos!C4556,"")</f>
        <v/>
      </c>
      <c r="D4556" s="28">
        <f>IFERROR(IF(AND(ISNUMBER(B4556),ISNUMBER(B4555),B4555&lt;&gt;0),B4556/B4555-1,""),"")</f>
        <v/>
      </c>
      <c r="E4556" s="28">
        <f>IFERROR(IF(AND(ISNUMBER(C4556),ISNUMBER(C4555),C4555&lt;&gt;0),C4556/C4555-1,""),"")</f>
        <v/>
      </c>
      <c r="F4556" s="28">
        <f>IFERROR(D4556-Dashboard!$B$4/252,"")</f>
        <v/>
      </c>
      <c r="G4556" s="28">
        <f>IFERROR(E4556-Dashboard!$B$4/252,"")</f>
        <v/>
      </c>
      <c r="H4556" s="8">
        <f>IFERROR(IF(ISNUMBER(B4556),MAX(B4556,IFERROR(H4555,B4556)),""),"")</f>
        <v/>
      </c>
      <c r="I4556" s="29">
        <f>IFERROR(IF(AND(ISNUMBER(B4556),ISNUMBER(H4556)),B4556/H4556-1,""),"")</f>
        <v/>
      </c>
      <c r="J4556" s="8">
        <f>IFERROR(IF(ISNUMBER(C4556),MAX(C4556,IFERROR(J4555,C4556)),""),"")</f>
        <v/>
      </c>
      <c r="K4556" s="29">
        <f>IFERROR(IF(AND(ISNUMBER(C4556),ISNUMBER(J4556)),C4556/J4556-1,""),"")</f>
        <v/>
      </c>
      <c r="L4556" s="28">
        <f>IFERROR(IF(AND(ISNUMBER(D4556),ISNUMBER(E4556)),D4556-E4556,""),"")</f>
        <v/>
      </c>
    </row>
    <row r="4557">
      <c r="A4557" s="7">
        <f>IFERROR(Datos!A4557,"")</f>
        <v/>
      </c>
      <c r="B4557" s="8">
        <f>IFERROR(Datos!B4557,"")</f>
        <v/>
      </c>
      <c r="C4557" s="8">
        <f>IFERROR(Datos!C4557,"")</f>
        <v/>
      </c>
      <c r="D4557" s="28">
        <f>IFERROR(IF(AND(ISNUMBER(B4557),ISNUMBER(B4556),B4556&lt;&gt;0),B4557/B4556-1,""),"")</f>
        <v/>
      </c>
      <c r="E4557" s="28">
        <f>IFERROR(IF(AND(ISNUMBER(C4557),ISNUMBER(C4556),C4556&lt;&gt;0),C4557/C4556-1,""),"")</f>
        <v/>
      </c>
      <c r="F4557" s="28">
        <f>IFERROR(D4557-Dashboard!$B$4/252,"")</f>
        <v/>
      </c>
      <c r="G4557" s="28">
        <f>IFERROR(E4557-Dashboard!$B$4/252,"")</f>
        <v/>
      </c>
      <c r="H4557" s="8">
        <f>IFERROR(IF(ISNUMBER(B4557),MAX(B4557,IFERROR(H4556,B4557)),""),"")</f>
        <v/>
      </c>
      <c r="I4557" s="29">
        <f>IFERROR(IF(AND(ISNUMBER(B4557),ISNUMBER(H4557)),B4557/H4557-1,""),"")</f>
        <v/>
      </c>
      <c r="J4557" s="8">
        <f>IFERROR(IF(ISNUMBER(C4557),MAX(C4557,IFERROR(J4556,C4557)),""),"")</f>
        <v/>
      </c>
      <c r="K4557" s="29">
        <f>IFERROR(IF(AND(ISNUMBER(C4557),ISNUMBER(J4557)),C4557/J4557-1,""),"")</f>
        <v/>
      </c>
      <c r="L4557" s="28">
        <f>IFERROR(IF(AND(ISNUMBER(D4557),ISNUMBER(E4557)),D4557-E4557,""),"")</f>
        <v/>
      </c>
    </row>
    <row r="4558">
      <c r="A4558" s="7">
        <f>IFERROR(Datos!A4558,"")</f>
        <v/>
      </c>
      <c r="B4558" s="8">
        <f>IFERROR(Datos!B4558,"")</f>
        <v/>
      </c>
      <c r="C4558" s="8">
        <f>IFERROR(Datos!C4558,"")</f>
        <v/>
      </c>
      <c r="D4558" s="28">
        <f>IFERROR(IF(AND(ISNUMBER(B4558),ISNUMBER(B4557),B4557&lt;&gt;0),B4558/B4557-1,""),"")</f>
        <v/>
      </c>
      <c r="E4558" s="28">
        <f>IFERROR(IF(AND(ISNUMBER(C4558),ISNUMBER(C4557),C4557&lt;&gt;0),C4558/C4557-1,""),"")</f>
        <v/>
      </c>
      <c r="F4558" s="28">
        <f>IFERROR(D4558-Dashboard!$B$4/252,"")</f>
        <v/>
      </c>
      <c r="G4558" s="28">
        <f>IFERROR(E4558-Dashboard!$B$4/252,"")</f>
        <v/>
      </c>
      <c r="H4558" s="8">
        <f>IFERROR(IF(ISNUMBER(B4558),MAX(B4558,IFERROR(H4557,B4558)),""),"")</f>
        <v/>
      </c>
      <c r="I4558" s="29">
        <f>IFERROR(IF(AND(ISNUMBER(B4558),ISNUMBER(H4558)),B4558/H4558-1,""),"")</f>
        <v/>
      </c>
      <c r="J4558" s="8">
        <f>IFERROR(IF(ISNUMBER(C4558),MAX(C4558,IFERROR(J4557,C4558)),""),"")</f>
        <v/>
      </c>
      <c r="K4558" s="29">
        <f>IFERROR(IF(AND(ISNUMBER(C4558),ISNUMBER(J4558)),C4558/J4558-1,""),"")</f>
        <v/>
      </c>
      <c r="L4558" s="28">
        <f>IFERROR(IF(AND(ISNUMBER(D4558),ISNUMBER(E4558)),D4558-E4558,""),"")</f>
        <v/>
      </c>
    </row>
    <row r="4559">
      <c r="A4559" s="7">
        <f>IFERROR(Datos!A4559,"")</f>
        <v/>
      </c>
      <c r="B4559" s="8">
        <f>IFERROR(Datos!B4559,"")</f>
        <v/>
      </c>
      <c r="C4559" s="8">
        <f>IFERROR(Datos!C4559,"")</f>
        <v/>
      </c>
      <c r="D4559" s="28">
        <f>IFERROR(IF(AND(ISNUMBER(B4559),ISNUMBER(B4558),B4558&lt;&gt;0),B4559/B4558-1,""),"")</f>
        <v/>
      </c>
      <c r="E4559" s="28">
        <f>IFERROR(IF(AND(ISNUMBER(C4559),ISNUMBER(C4558),C4558&lt;&gt;0),C4559/C4558-1,""),"")</f>
        <v/>
      </c>
      <c r="F4559" s="28">
        <f>IFERROR(D4559-Dashboard!$B$4/252,"")</f>
        <v/>
      </c>
      <c r="G4559" s="28">
        <f>IFERROR(E4559-Dashboard!$B$4/252,"")</f>
        <v/>
      </c>
      <c r="H4559" s="8">
        <f>IFERROR(IF(ISNUMBER(B4559),MAX(B4559,IFERROR(H4558,B4559)),""),"")</f>
        <v/>
      </c>
      <c r="I4559" s="29">
        <f>IFERROR(IF(AND(ISNUMBER(B4559),ISNUMBER(H4559)),B4559/H4559-1,""),"")</f>
        <v/>
      </c>
      <c r="J4559" s="8">
        <f>IFERROR(IF(ISNUMBER(C4559),MAX(C4559,IFERROR(J4558,C4559)),""),"")</f>
        <v/>
      </c>
      <c r="K4559" s="29">
        <f>IFERROR(IF(AND(ISNUMBER(C4559),ISNUMBER(J4559)),C4559/J4559-1,""),"")</f>
        <v/>
      </c>
      <c r="L4559" s="28">
        <f>IFERROR(IF(AND(ISNUMBER(D4559),ISNUMBER(E4559)),D4559-E4559,""),"")</f>
        <v/>
      </c>
    </row>
    <row r="4560">
      <c r="A4560" s="7">
        <f>IFERROR(Datos!A4560,"")</f>
        <v/>
      </c>
      <c r="B4560" s="8">
        <f>IFERROR(Datos!B4560,"")</f>
        <v/>
      </c>
      <c r="C4560" s="8">
        <f>IFERROR(Datos!C4560,"")</f>
        <v/>
      </c>
      <c r="D4560" s="28">
        <f>IFERROR(IF(AND(ISNUMBER(B4560),ISNUMBER(B4559),B4559&lt;&gt;0),B4560/B4559-1,""),"")</f>
        <v/>
      </c>
      <c r="E4560" s="28">
        <f>IFERROR(IF(AND(ISNUMBER(C4560),ISNUMBER(C4559),C4559&lt;&gt;0),C4560/C4559-1,""),"")</f>
        <v/>
      </c>
      <c r="F4560" s="28">
        <f>IFERROR(D4560-Dashboard!$B$4/252,"")</f>
        <v/>
      </c>
      <c r="G4560" s="28">
        <f>IFERROR(E4560-Dashboard!$B$4/252,"")</f>
        <v/>
      </c>
      <c r="H4560" s="8">
        <f>IFERROR(IF(ISNUMBER(B4560),MAX(B4560,IFERROR(H4559,B4560)),""),"")</f>
        <v/>
      </c>
      <c r="I4560" s="29">
        <f>IFERROR(IF(AND(ISNUMBER(B4560),ISNUMBER(H4560)),B4560/H4560-1,""),"")</f>
        <v/>
      </c>
      <c r="J4560" s="8">
        <f>IFERROR(IF(ISNUMBER(C4560),MAX(C4560,IFERROR(J4559,C4560)),""),"")</f>
        <v/>
      </c>
      <c r="K4560" s="29">
        <f>IFERROR(IF(AND(ISNUMBER(C4560),ISNUMBER(J4560)),C4560/J4560-1,""),"")</f>
        <v/>
      </c>
      <c r="L4560" s="28">
        <f>IFERROR(IF(AND(ISNUMBER(D4560),ISNUMBER(E4560)),D4560-E4560,""),"")</f>
        <v/>
      </c>
    </row>
    <row r="4561">
      <c r="A4561" s="7">
        <f>IFERROR(Datos!A4561,"")</f>
        <v/>
      </c>
      <c r="B4561" s="8">
        <f>IFERROR(Datos!B4561,"")</f>
        <v/>
      </c>
      <c r="C4561" s="8">
        <f>IFERROR(Datos!C4561,"")</f>
        <v/>
      </c>
      <c r="D4561" s="28">
        <f>IFERROR(IF(AND(ISNUMBER(B4561),ISNUMBER(B4560),B4560&lt;&gt;0),B4561/B4560-1,""),"")</f>
        <v/>
      </c>
      <c r="E4561" s="28">
        <f>IFERROR(IF(AND(ISNUMBER(C4561),ISNUMBER(C4560),C4560&lt;&gt;0),C4561/C4560-1,""),"")</f>
        <v/>
      </c>
      <c r="F4561" s="28">
        <f>IFERROR(D4561-Dashboard!$B$4/252,"")</f>
        <v/>
      </c>
      <c r="G4561" s="28">
        <f>IFERROR(E4561-Dashboard!$B$4/252,"")</f>
        <v/>
      </c>
      <c r="H4561" s="8">
        <f>IFERROR(IF(ISNUMBER(B4561),MAX(B4561,IFERROR(H4560,B4561)),""),"")</f>
        <v/>
      </c>
      <c r="I4561" s="29">
        <f>IFERROR(IF(AND(ISNUMBER(B4561),ISNUMBER(H4561)),B4561/H4561-1,""),"")</f>
        <v/>
      </c>
      <c r="J4561" s="8">
        <f>IFERROR(IF(ISNUMBER(C4561),MAX(C4561,IFERROR(J4560,C4561)),""),"")</f>
        <v/>
      </c>
      <c r="K4561" s="29">
        <f>IFERROR(IF(AND(ISNUMBER(C4561),ISNUMBER(J4561)),C4561/J4561-1,""),"")</f>
        <v/>
      </c>
      <c r="L4561" s="28">
        <f>IFERROR(IF(AND(ISNUMBER(D4561),ISNUMBER(E4561)),D4561-E4561,""),"")</f>
        <v/>
      </c>
    </row>
    <row r="4562">
      <c r="A4562" s="7">
        <f>IFERROR(Datos!A4562,"")</f>
        <v/>
      </c>
      <c r="B4562" s="8">
        <f>IFERROR(Datos!B4562,"")</f>
        <v/>
      </c>
      <c r="C4562" s="8">
        <f>IFERROR(Datos!C4562,"")</f>
        <v/>
      </c>
      <c r="D4562" s="28">
        <f>IFERROR(IF(AND(ISNUMBER(B4562),ISNUMBER(B4561),B4561&lt;&gt;0),B4562/B4561-1,""),"")</f>
        <v/>
      </c>
      <c r="E4562" s="28">
        <f>IFERROR(IF(AND(ISNUMBER(C4562),ISNUMBER(C4561),C4561&lt;&gt;0),C4562/C4561-1,""),"")</f>
        <v/>
      </c>
      <c r="F4562" s="28">
        <f>IFERROR(D4562-Dashboard!$B$4/252,"")</f>
        <v/>
      </c>
      <c r="G4562" s="28">
        <f>IFERROR(E4562-Dashboard!$B$4/252,"")</f>
        <v/>
      </c>
      <c r="H4562" s="8">
        <f>IFERROR(IF(ISNUMBER(B4562),MAX(B4562,IFERROR(H4561,B4562)),""),"")</f>
        <v/>
      </c>
      <c r="I4562" s="29">
        <f>IFERROR(IF(AND(ISNUMBER(B4562),ISNUMBER(H4562)),B4562/H4562-1,""),"")</f>
        <v/>
      </c>
      <c r="J4562" s="8">
        <f>IFERROR(IF(ISNUMBER(C4562),MAX(C4562,IFERROR(J4561,C4562)),""),"")</f>
        <v/>
      </c>
      <c r="K4562" s="29">
        <f>IFERROR(IF(AND(ISNUMBER(C4562),ISNUMBER(J4562)),C4562/J4562-1,""),"")</f>
        <v/>
      </c>
      <c r="L4562" s="28">
        <f>IFERROR(IF(AND(ISNUMBER(D4562),ISNUMBER(E4562)),D4562-E4562,""),"")</f>
        <v/>
      </c>
    </row>
    <row r="4563">
      <c r="A4563" s="7">
        <f>IFERROR(Datos!A4563,"")</f>
        <v/>
      </c>
      <c r="B4563" s="8">
        <f>IFERROR(Datos!B4563,"")</f>
        <v/>
      </c>
      <c r="C4563" s="8">
        <f>IFERROR(Datos!C4563,"")</f>
        <v/>
      </c>
      <c r="D4563" s="28">
        <f>IFERROR(IF(AND(ISNUMBER(B4563),ISNUMBER(B4562),B4562&lt;&gt;0),B4563/B4562-1,""),"")</f>
        <v/>
      </c>
      <c r="E4563" s="28">
        <f>IFERROR(IF(AND(ISNUMBER(C4563),ISNUMBER(C4562),C4562&lt;&gt;0),C4563/C4562-1,""),"")</f>
        <v/>
      </c>
      <c r="F4563" s="28">
        <f>IFERROR(D4563-Dashboard!$B$4/252,"")</f>
        <v/>
      </c>
      <c r="G4563" s="28">
        <f>IFERROR(E4563-Dashboard!$B$4/252,"")</f>
        <v/>
      </c>
      <c r="H4563" s="8">
        <f>IFERROR(IF(ISNUMBER(B4563),MAX(B4563,IFERROR(H4562,B4563)),""),"")</f>
        <v/>
      </c>
      <c r="I4563" s="29">
        <f>IFERROR(IF(AND(ISNUMBER(B4563),ISNUMBER(H4563)),B4563/H4563-1,""),"")</f>
        <v/>
      </c>
      <c r="J4563" s="8">
        <f>IFERROR(IF(ISNUMBER(C4563),MAX(C4563,IFERROR(J4562,C4563)),""),"")</f>
        <v/>
      </c>
      <c r="K4563" s="29">
        <f>IFERROR(IF(AND(ISNUMBER(C4563),ISNUMBER(J4563)),C4563/J4563-1,""),"")</f>
        <v/>
      </c>
      <c r="L4563" s="28">
        <f>IFERROR(IF(AND(ISNUMBER(D4563),ISNUMBER(E4563)),D4563-E4563,""),"")</f>
        <v/>
      </c>
    </row>
    <row r="4564">
      <c r="A4564" s="7">
        <f>IFERROR(Datos!A4564,"")</f>
        <v/>
      </c>
      <c r="B4564" s="8">
        <f>IFERROR(Datos!B4564,"")</f>
        <v/>
      </c>
      <c r="C4564" s="8">
        <f>IFERROR(Datos!C4564,"")</f>
        <v/>
      </c>
      <c r="D4564" s="28">
        <f>IFERROR(IF(AND(ISNUMBER(B4564),ISNUMBER(B4563),B4563&lt;&gt;0),B4564/B4563-1,""),"")</f>
        <v/>
      </c>
      <c r="E4564" s="28">
        <f>IFERROR(IF(AND(ISNUMBER(C4564),ISNUMBER(C4563),C4563&lt;&gt;0),C4564/C4563-1,""),"")</f>
        <v/>
      </c>
      <c r="F4564" s="28">
        <f>IFERROR(D4564-Dashboard!$B$4/252,"")</f>
        <v/>
      </c>
      <c r="G4564" s="28">
        <f>IFERROR(E4564-Dashboard!$B$4/252,"")</f>
        <v/>
      </c>
      <c r="H4564" s="8">
        <f>IFERROR(IF(ISNUMBER(B4564),MAX(B4564,IFERROR(H4563,B4564)),""),"")</f>
        <v/>
      </c>
      <c r="I4564" s="29">
        <f>IFERROR(IF(AND(ISNUMBER(B4564),ISNUMBER(H4564)),B4564/H4564-1,""),"")</f>
        <v/>
      </c>
      <c r="J4564" s="8">
        <f>IFERROR(IF(ISNUMBER(C4564),MAX(C4564,IFERROR(J4563,C4564)),""),"")</f>
        <v/>
      </c>
      <c r="K4564" s="29">
        <f>IFERROR(IF(AND(ISNUMBER(C4564),ISNUMBER(J4564)),C4564/J4564-1,""),"")</f>
        <v/>
      </c>
      <c r="L4564" s="28">
        <f>IFERROR(IF(AND(ISNUMBER(D4564),ISNUMBER(E4564)),D4564-E4564,""),"")</f>
        <v/>
      </c>
    </row>
    <row r="4565">
      <c r="A4565" s="7">
        <f>IFERROR(Datos!A4565,"")</f>
        <v/>
      </c>
      <c r="B4565" s="8">
        <f>IFERROR(Datos!B4565,"")</f>
        <v/>
      </c>
      <c r="C4565" s="8">
        <f>IFERROR(Datos!C4565,"")</f>
        <v/>
      </c>
      <c r="D4565" s="28">
        <f>IFERROR(IF(AND(ISNUMBER(B4565),ISNUMBER(B4564),B4564&lt;&gt;0),B4565/B4564-1,""),"")</f>
        <v/>
      </c>
      <c r="E4565" s="28">
        <f>IFERROR(IF(AND(ISNUMBER(C4565),ISNUMBER(C4564),C4564&lt;&gt;0),C4565/C4564-1,""),"")</f>
        <v/>
      </c>
      <c r="F4565" s="28">
        <f>IFERROR(D4565-Dashboard!$B$4/252,"")</f>
        <v/>
      </c>
      <c r="G4565" s="28">
        <f>IFERROR(E4565-Dashboard!$B$4/252,"")</f>
        <v/>
      </c>
      <c r="H4565" s="8">
        <f>IFERROR(IF(ISNUMBER(B4565),MAX(B4565,IFERROR(H4564,B4565)),""),"")</f>
        <v/>
      </c>
      <c r="I4565" s="29">
        <f>IFERROR(IF(AND(ISNUMBER(B4565),ISNUMBER(H4565)),B4565/H4565-1,""),"")</f>
        <v/>
      </c>
      <c r="J4565" s="8">
        <f>IFERROR(IF(ISNUMBER(C4565),MAX(C4565,IFERROR(J4564,C4565)),""),"")</f>
        <v/>
      </c>
      <c r="K4565" s="29">
        <f>IFERROR(IF(AND(ISNUMBER(C4565),ISNUMBER(J4565)),C4565/J4565-1,""),"")</f>
        <v/>
      </c>
      <c r="L4565" s="28">
        <f>IFERROR(IF(AND(ISNUMBER(D4565),ISNUMBER(E4565)),D4565-E4565,""),"")</f>
        <v/>
      </c>
    </row>
    <row r="4566">
      <c r="A4566" s="7">
        <f>IFERROR(Datos!A4566,"")</f>
        <v/>
      </c>
      <c r="B4566" s="8">
        <f>IFERROR(Datos!B4566,"")</f>
        <v/>
      </c>
      <c r="C4566" s="8">
        <f>IFERROR(Datos!C4566,"")</f>
        <v/>
      </c>
      <c r="D4566" s="28">
        <f>IFERROR(IF(AND(ISNUMBER(B4566),ISNUMBER(B4565),B4565&lt;&gt;0),B4566/B4565-1,""),"")</f>
        <v/>
      </c>
      <c r="E4566" s="28">
        <f>IFERROR(IF(AND(ISNUMBER(C4566),ISNUMBER(C4565),C4565&lt;&gt;0),C4566/C4565-1,""),"")</f>
        <v/>
      </c>
      <c r="F4566" s="28">
        <f>IFERROR(D4566-Dashboard!$B$4/252,"")</f>
        <v/>
      </c>
      <c r="G4566" s="28">
        <f>IFERROR(E4566-Dashboard!$B$4/252,"")</f>
        <v/>
      </c>
      <c r="H4566" s="8">
        <f>IFERROR(IF(ISNUMBER(B4566),MAX(B4566,IFERROR(H4565,B4566)),""),"")</f>
        <v/>
      </c>
      <c r="I4566" s="29">
        <f>IFERROR(IF(AND(ISNUMBER(B4566),ISNUMBER(H4566)),B4566/H4566-1,""),"")</f>
        <v/>
      </c>
      <c r="J4566" s="8">
        <f>IFERROR(IF(ISNUMBER(C4566),MAX(C4566,IFERROR(J4565,C4566)),""),"")</f>
        <v/>
      </c>
      <c r="K4566" s="29">
        <f>IFERROR(IF(AND(ISNUMBER(C4566),ISNUMBER(J4566)),C4566/J4566-1,""),"")</f>
        <v/>
      </c>
      <c r="L4566" s="28">
        <f>IFERROR(IF(AND(ISNUMBER(D4566),ISNUMBER(E4566)),D4566-E4566,""),"")</f>
        <v/>
      </c>
    </row>
    <row r="4567">
      <c r="A4567" s="7">
        <f>IFERROR(Datos!A4567,"")</f>
        <v/>
      </c>
      <c r="B4567" s="8">
        <f>IFERROR(Datos!B4567,"")</f>
        <v/>
      </c>
      <c r="C4567" s="8">
        <f>IFERROR(Datos!C4567,"")</f>
        <v/>
      </c>
      <c r="D4567" s="28">
        <f>IFERROR(IF(AND(ISNUMBER(B4567),ISNUMBER(B4566),B4566&lt;&gt;0),B4567/B4566-1,""),"")</f>
        <v/>
      </c>
      <c r="E4567" s="28">
        <f>IFERROR(IF(AND(ISNUMBER(C4567),ISNUMBER(C4566),C4566&lt;&gt;0),C4567/C4566-1,""),"")</f>
        <v/>
      </c>
      <c r="F4567" s="28">
        <f>IFERROR(D4567-Dashboard!$B$4/252,"")</f>
        <v/>
      </c>
      <c r="G4567" s="28">
        <f>IFERROR(E4567-Dashboard!$B$4/252,"")</f>
        <v/>
      </c>
      <c r="H4567" s="8">
        <f>IFERROR(IF(ISNUMBER(B4567),MAX(B4567,IFERROR(H4566,B4567)),""),"")</f>
        <v/>
      </c>
      <c r="I4567" s="29">
        <f>IFERROR(IF(AND(ISNUMBER(B4567),ISNUMBER(H4567)),B4567/H4567-1,""),"")</f>
        <v/>
      </c>
      <c r="J4567" s="8">
        <f>IFERROR(IF(ISNUMBER(C4567),MAX(C4567,IFERROR(J4566,C4567)),""),"")</f>
        <v/>
      </c>
      <c r="K4567" s="29">
        <f>IFERROR(IF(AND(ISNUMBER(C4567),ISNUMBER(J4567)),C4567/J4567-1,""),"")</f>
        <v/>
      </c>
      <c r="L4567" s="28">
        <f>IFERROR(IF(AND(ISNUMBER(D4567),ISNUMBER(E4567)),D4567-E4567,""),"")</f>
        <v/>
      </c>
    </row>
    <row r="4568">
      <c r="A4568" s="7">
        <f>IFERROR(Datos!A4568,"")</f>
        <v/>
      </c>
      <c r="B4568" s="8">
        <f>IFERROR(Datos!B4568,"")</f>
        <v/>
      </c>
      <c r="C4568" s="8">
        <f>IFERROR(Datos!C4568,"")</f>
        <v/>
      </c>
      <c r="D4568" s="28">
        <f>IFERROR(IF(AND(ISNUMBER(B4568),ISNUMBER(B4567),B4567&lt;&gt;0),B4568/B4567-1,""),"")</f>
        <v/>
      </c>
      <c r="E4568" s="28">
        <f>IFERROR(IF(AND(ISNUMBER(C4568),ISNUMBER(C4567),C4567&lt;&gt;0),C4568/C4567-1,""),"")</f>
        <v/>
      </c>
      <c r="F4568" s="28">
        <f>IFERROR(D4568-Dashboard!$B$4/252,"")</f>
        <v/>
      </c>
      <c r="G4568" s="28">
        <f>IFERROR(E4568-Dashboard!$B$4/252,"")</f>
        <v/>
      </c>
      <c r="H4568" s="8">
        <f>IFERROR(IF(ISNUMBER(B4568),MAX(B4568,IFERROR(H4567,B4568)),""),"")</f>
        <v/>
      </c>
      <c r="I4568" s="29">
        <f>IFERROR(IF(AND(ISNUMBER(B4568),ISNUMBER(H4568)),B4568/H4568-1,""),"")</f>
        <v/>
      </c>
      <c r="J4568" s="8">
        <f>IFERROR(IF(ISNUMBER(C4568),MAX(C4568,IFERROR(J4567,C4568)),""),"")</f>
        <v/>
      </c>
      <c r="K4568" s="29">
        <f>IFERROR(IF(AND(ISNUMBER(C4568),ISNUMBER(J4568)),C4568/J4568-1,""),"")</f>
        <v/>
      </c>
      <c r="L4568" s="28">
        <f>IFERROR(IF(AND(ISNUMBER(D4568),ISNUMBER(E4568)),D4568-E4568,""),"")</f>
        <v/>
      </c>
    </row>
    <row r="4569">
      <c r="A4569" s="7">
        <f>IFERROR(Datos!A4569,"")</f>
        <v/>
      </c>
      <c r="B4569" s="8">
        <f>IFERROR(Datos!B4569,"")</f>
        <v/>
      </c>
      <c r="C4569" s="8">
        <f>IFERROR(Datos!C4569,"")</f>
        <v/>
      </c>
      <c r="D4569" s="28">
        <f>IFERROR(IF(AND(ISNUMBER(B4569),ISNUMBER(B4568),B4568&lt;&gt;0),B4569/B4568-1,""),"")</f>
        <v/>
      </c>
      <c r="E4569" s="28">
        <f>IFERROR(IF(AND(ISNUMBER(C4569),ISNUMBER(C4568),C4568&lt;&gt;0),C4569/C4568-1,""),"")</f>
        <v/>
      </c>
      <c r="F4569" s="28">
        <f>IFERROR(D4569-Dashboard!$B$4/252,"")</f>
        <v/>
      </c>
      <c r="G4569" s="28">
        <f>IFERROR(E4569-Dashboard!$B$4/252,"")</f>
        <v/>
      </c>
      <c r="H4569" s="8">
        <f>IFERROR(IF(ISNUMBER(B4569),MAX(B4569,IFERROR(H4568,B4569)),""),"")</f>
        <v/>
      </c>
      <c r="I4569" s="29">
        <f>IFERROR(IF(AND(ISNUMBER(B4569),ISNUMBER(H4569)),B4569/H4569-1,""),"")</f>
        <v/>
      </c>
      <c r="J4569" s="8">
        <f>IFERROR(IF(ISNUMBER(C4569),MAX(C4569,IFERROR(J4568,C4569)),""),"")</f>
        <v/>
      </c>
      <c r="K4569" s="29">
        <f>IFERROR(IF(AND(ISNUMBER(C4569),ISNUMBER(J4569)),C4569/J4569-1,""),"")</f>
        <v/>
      </c>
      <c r="L4569" s="28">
        <f>IFERROR(IF(AND(ISNUMBER(D4569),ISNUMBER(E4569)),D4569-E4569,""),"")</f>
        <v/>
      </c>
    </row>
    <row r="4570">
      <c r="A4570" s="7">
        <f>IFERROR(Datos!A4570,"")</f>
        <v/>
      </c>
      <c r="B4570" s="8">
        <f>IFERROR(Datos!B4570,"")</f>
        <v/>
      </c>
      <c r="C4570" s="8">
        <f>IFERROR(Datos!C4570,"")</f>
        <v/>
      </c>
      <c r="D4570" s="28">
        <f>IFERROR(IF(AND(ISNUMBER(B4570),ISNUMBER(B4569),B4569&lt;&gt;0),B4570/B4569-1,""),"")</f>
        <v/>
      </c>
      <c r="E4570" s="28">
        <f>IFERROR(IF(AND(ISNUMBER(C4570),ISNUMBER(C4569),C4569&lt;&gt;0),C4570/C4569-1,""),"")</f>
        <v/>
      </c>
      <c r="F4570" s="28">
        <f>IFERROR(D4570-Dashboard!$B$4/252,"")</f>
        <v/>
      </c>
      <c r="G4570" s="28">
        <f>IFERROR(E4570-Dashboard!$B$4/252,"")</f>
        <v/>
      </c>
      <c r="H4570" s="8">
        <f>IFERROR(IF(ISNUMBER(B4570),MAX(B4570,IFERROR(H4569,B4570)),""),"")</f>
        <v/>
      </c>
      <c r="I4570" s="29">
        <f>IFERROR(IF(AND(ISNUMBER(B4570),ISNUMBER(H4570)),B4570/H4570-1,""),"")</f>
        <v/>
      </c>
      <c r="J4570" s="8">
        <f>IFERROR(IF(ISNUMBER(C4570),MAX(C4570,IFERROR(J4569,C4570)),""),"")</f>
        <v/>
      </c>
      <c r="K4570" s="29">
        <f>IFERROR(IF(AND(ISNUMBER(C4570),ISNUMBER(J4570)),C4570/J4570-1,""),"")</f>
        <v/>
      </c>
      <c r="L4570" s="28">
        <f>IFERROR(IF(AND(ISNUMBER(D4570),ISNUMBER(E4570)),D4570-E4570,""),"")</f>
        <v/>
      </c>
    </row>
    <row r="4571">
      <c r="A4571" s="7">
        <f>IFERROR(Datos!A4571,"")</f>
        <v/>
      </c>
      <c r="B4571" s="8">
        <f>IFERROR(Datos!B4571,"")</f>
        <v/>
      </c>
      <c r="C4571" s="8">
        <f>IFERROR(Datos!C4571,"")</f>
        <v/>
      </c>
      <c r="D4571" s="28">
        <f>IFERROR(IF(AND(ISNUMBER(B4571),ISNUMBER(B4570),B4570&lt;&gt;0),B4571/B4570-1,""),"")</f>
        <v/>
      </c>
      <c r="E4571" s="28">
        <f>IFERROR(IF(AND(ISNUMBER(C4571),ISNUMBER(C4570),C4570&lt;&gt;0),C4571/C4570-1,""),"")</f>
        <v/>
      </c>
      <c r="F4571" s="28">
        <f>IFERROR(D4571-Dashboard!$B$4/252,"")</f>
        <v/>
      </c>
      <c r="G4571" s="28">
        <f>IFERROR(E4571-Dashboard!$B$4/252,"")</f>
        <v/>
      </c>
      <c r="H4571" s="8">
        <f>IFERROR(IF(ISNUMBER(B4571),MAX(B4571,IFERROR(H4570,B4571)),""),"")</f>
        <v/>
      </c>
      <c r="I4571" s="29">
        <f>IFERROR(IF(AND(ISNUMBER(B4571),ISNUMBER(H4571)),B4571/H4571-1,""),"")</f>
        <v/>
      </c>
      <c r="J4571" s="8">
        <f>IFERROR(IF(ISNUMBER(C4571),MAX(C4571,IFERROR(J4570,C4571)),""),"")</f>
        <v/>
      </c>
      <c r="K4571" s="29">
        <f>IFERROR(IF(AND(ISNUMBER(C4571),ISNUMBER(J4571)),C4571/J4571-1,""),"")</f>
        <v/>
      </c>
      <c r="L4571" s="28">
        <f>IFERROR(IF(AND(ISNUMBER(D4571),ISNUMBER(E4571)),D4571-E4571,""),"")</f>
        <v/>
      </c>
    </row>
    <row r="4572">
      <c r="A4572" s="7">
        <f>IFERROR(Datos!A4572,"")</f>
        <v/>
      </c>
      <c r="B4572" s="8">
        <f>IFERROR(Datos!B4572,"")</f>
        <v/>
      </c>
      <c r="C4572" s="8">
        <f>IFERROR(Datos!C4572,"")</f>
        <v/>
      </c>
      <c r="D4572" s="28">
        <f>IFERROR(IF(AND(ISNUMBER(B4572),ISNUMBER(B4571),B4571&lt;&gt;0),B4572/B4571-1,""),"")</f>
        <v/>
      </c>
      <c r="E4572" s="28">
        <f>IFERROR(IF(AND(ISNUMBER(C4572),ISNUMBER(C4571),C4571&lt;&gt;0),C4572/C4571-1,""),"")</f>
        <v/>
      </c>
      <c r="F4572" s="28">
        <f>IFERROR(D4572-Dashboard!$B$4/252,"")</f>
        <v/>
      </c>
      <c r="G4572" s="28">
        <f>IFERROR(E4572-Dashboard!$B$4/252,"")</f>
        <v/>
      </c>
      <c r="H4572" s="8">
        <f>IFERROR(IF(ISNUMBER(B4572),MAX(B4572,IFERROR(H4571,B4572)),""),"")</f>
        <v/>
      </c>
      <c r="I4572" s="29">
        <f>IFERROR(IF(AND(ISNUMBER(B4572),ISNUMBER(H4572)),B4572/H4572-1,""),"")</f>
        <v/>
      </c>
      <c r="J4572" s="8">
        <f>IFERROR(IF(ISNUMBER(C4572),MAX(C4572,IFERROR(J4571,C4572)),""),"")</f>
        <v/>
      </c>
      <c r="K4572" s="29">
        <f>IFERROR(IF(AND(ISNUMBER(C4572),ISNUMBER(J4572)),C4572/J4572-1,""),"")</f>
        <v/>
      </c>
      <c r="L4572" s="28">
        <f>IFERROR(IF(AND(ISNUMBER(D4572),ISNUMBER(E4572)),D4572-E4572,""),"")</f>
        <v/>
      </c>
    </row>
    <row r="4573">
      <c r="A4573" s="7">
        <f>IFERROR(Datos!A4573,"")</f>
        <v/>
      </c>
      <c r="B4573" s="8">
        <f>IFERROR(Datos!B4573,"")</f>
        <v/>
      </c>
      <c r="C4573" s="8">
        <f>IFERROR(Datos!C4573,"")</f>
        <v/>
      </c>
      <c r="D4573" s="28">
        <f>IFERROR(IF(AND(ISNUMBER(B4573),ISNUMBER(B4572),B4572&lt;&gt;0),B4573/B4572-1,""),"")</f>
        <v/>
      </c>
      <c r="E4573" s="28">
        <f>IFERROR(IF(AND(ISNUMBER(C4573),ISNUMBER(C4572),C4572&lt;&gt;0),C4573/C4572-1,""),"")</f>
        <v/>
      </c>
      <c r="F4573" s="28">
        <f>IFERROR(D4573-Dashboard!$B$4/252,"")</f>
        <v/>
      </c>
      <c r="G4573" s="28">
        <f>IFERROR(E4573-Dashboard!$B$4/252,"")</f>
        <v/>
      </c>
      <c r="H4573" s="8">
        <f>IFERROR(IF(ISNUMBER(B4573),MAX(B4573,IFERROR(H4572,B4573)),""),"")</f>
        <v/>
      </c>
      <c r="I4573" s="29">
        <f>IFERROR(IF(AND(ISNUMBER(B4573),ISNUMBER(H4573)),B4573/H4573-1,""),"")</f>
        <v/>
      </c>
      <c r="J4573" s="8">
        <f>IFERROR(IF(ISNUMBER(C4573),MAX(C4573,IFERROR(J4572,C4573)),""),"")</f>
        <v/>
      </c>
      <c r="K4573" s="29">
        <f>IFERROR(IF(AND(ISNUMBER(C4573),ISNUMBER(J4573)),C4573/J4573-1,""),"")</f>
        <v/>
      </c>
      <c r="L4573" s="28">
        <f>IFERROR(IF(AND(ISNUMBER(D4573),ISNUMBER(E4573)),D4573-E4573,""),"")</f>
        <v/>
      </c>
    </row>
    <row r="4574">
      <c r="A4574" s="7">
        <f>IFERROR(Datos!A4574,"")</f>
        <v/>
      </c>
      <c r="B4574" s="8">
        <f>IFERROR(Datos!B4574,"")</f>
        <v/>
      </c>
      <c r="C4574" s="8">
        <f>IFERROR(Datos!C4574,"")</f>
        <v/>
      </c>
      <c r="D4574" s="28">
        <f>IFERROR(IF(AND(ISNUMBER(B4574),ISNUMBER(B4573),B4573&lt;&gt;0),B4574/B4573-1,""),"")</f>
        <v/>
      </c>
      <c r="E4574" s="28">
        <f>IFERROR(IF(AND(ISNUMBER(C4574),ISNUMBER(C4573),C4573&lt;&gt;0),C4574/C4573-1,""),"")</f>
        <v/>
      </c>
      <c r="F4574" s="28">
        <f>IFERROR(D4574-Dashboard!$B$4/252,"")</f>
        <v/>
      </c>
      <c r="G4574" s="28">
        <f>IFERROR(E4574-Dashboard!$B$4/252,"")</f>
        <v/>
      </c>
      <c r="H4574" s="8">
        <f>IFERROR(IF(ISNUMBER(B4574),MAX(B4574,IFERROR(H4573,B4574)),""),"")</f>
        <v/>
      </c>
      <c r="I4574" s="29">
        <f>IFERROR(IF(AND(ISNUMBER(B4574),ISNUMBER(H4574)),B4574/H4574-1,""),"")</f>
        <v/>
      </c>
      <c r="J4574" s="8">
        <f>IFERROR(IF(ISNUMBER(C4574),MAX(C4574,IFERROR(J4573,C4574)),""),"")</f>
        <v/>
      </c>
      <c r="K4574" s="29">
        <f>IFERROR(IF(AND(ISNUMBER(C4574),ISNUMBER(J4574)),C4574/J4574-1,""),"")</f>
        <v/>
      </c>
      <c r="L4574" s="28">
        <f>IFERROR(IF(AND(ISNUMBER(D4574),ISNUMBER(E4574)),D4574-E4574,""),"")</f>
        <v/>
      </c>
    </row>
    <row r="4575">
      <c r="A4575" s="7">
        <f>IFERROR(Datos!A4575,"")</f>
        <v/>
      </c>
      <c r="B4575" s="8">
        <f>IFERROR(Datos!B4575,"")</f>
        <v/>
      </c>
      <c r="C4575" s="8">
        <f>IFERROR(Datos!C4575,"")</f>
        <v/>
      </c>
      <c r="D4575" s="28">
        <f>IFERROR(IF(AND(ISNUMBER(B4575),ISNUMBER(B4574),B4574&lt;&gt;0),B4575/B4574-1,""),"")</f>
        <v/>
      </c>
      <c r="E4575" s="28">
        <f>IFERROR(IF(AND(ISNUMBER(C4575),ISNUMBER(C4574),C4574&lt;&gt;0),C4575/C4574-1,""),"")</f>
        <v/>
      </c>
      <c r="F4575" s="28">
        <f>IFERROR(D4575-Dashboard!$B$4/252,"")</f>
        <v/>
      </c>
      <c r="G4575" s="28">
        <f>IFERROR(E4575-Dashboard!$B$4/252,"")</f>
        <v/>
      </c>
      <c r="H4575" s="8">
        <f>IFERROR(IF(ISNUMBER(B4575),MAX(B4575,IFERROR(H4574,B4575)),""),"")</f>
        <v/>
      </c>
      <c r="I4575" s="29">
        <f>IFERROR(IF(AND(ISNUMBER(B4575),ISNUMBER(H4575)),B4575/H4575-1,""),"")</f>
        <v/>
      </c>
      <c r="J4575" s="8">
        <f>IFERROR(IF(ISNUMBER(C4575),MAX(C4575,IFERROR(J4574,C4575)),""),"")</f>
        <v/>
      </c>
      <c r="K4575" s="29">
        <f>IFERROR(IF(AND(ISNUMBER(C4575),ISNUMBER(J4575)),C4575/J4575-1,""),"")</f>
        <v/>
      </c>
      <c r="L4575" s="28">
        <f>IFERROR(IF(AND(ISNUMBER(D4575),ISNUMBER(E4575)),D4575-E4575,""),"")</f>
        <v/>
      </c>
    </row>
    <row r="4576">
      <c r="A4576" s="7">
        <f>IFERROR(Datos!A4576,"")</f>
        <v/>
      </c>
      <c r="B4576" s="8">
        <f>IFERROR(Datos!B4576,"")</f>
        <v/>
      </c>
      <c r="C4576" s="8">
        <f>IFERROR(Datos!C4576,"")</f>
        <v/>
      </c>
      <c r="D4576" s="28">
        <f>IFERROR(IF(AND(ISNUMBER(B4576),ISNUMBER(B4575),B4575&lt;&gt;0),B4576/B4575-1,""),"")</f>
        <v/>
      </c>
      <c r="E4576" s="28">
        <f>IFERROR(IF(AND(ISNUMBER(C4576),ISNUMBER(C4575),C4575&lt;&gt;0),C4576/C4575-1,""),"")</f>
        <v/>
      </c>
      <c r="F4576" s="28">
        <f>IFERROR(D4576-Dashboard!$B$4/252,"")</f>
        <v/>
      </c>
      <c r="G4576" s="28">
        <f>IFERROR(E4576-Dashboard!$B$4/252,"")</f>
        <v/>
      </c>
      <c r="H4576" s="8">
        <f>IFERROR(IF(ISNUMBER(B4576),MAX(B4576,IFERROR(H4575,B4576)),""),"")</f>
        <v/>
      </c>
      <c r="I4576" s="29">
        <f>IFERROR(IF(AND(ISNUMBER(B4576),ISNUMBER(H4576)),B4576/H4576-1,""),"")</f>
        <v/>
      </c>
      <c r="J4576" s="8">
        <f>IFERROR(IF(ISNUMBER(C4576),MAX(C4576,IFERROR(J4575,C4576)),""),"")</f>
        <v/>
      </c>
      <c r="K4576" s="29">
        <f>IFERROR(IF(AND(ISNUMBER(C4576),ISNUMBER(J4576)),C4576/J4576-1,""),"")</f>
        <v/>
      </c>
      <c r="L4576" s="28">
        <f>IFERROR(IF(AND(ISNUMBER(D4576),ISNUMBER(E4576)),D4576-E4576,""),"")</f>
        <v/>
      </c>
    </row>
    <row r="4577">
      <c r="A4577" s="7">
        <f>IFERROR(Datos!A4577,"")</f>
        <v/>
      </c>
      <c r="B4577" s="8">
        <f>IFERROR(Datos!B4577,"")</f>
        <v/>
      </c>
      <c r="C4577" s="8">
        <f>IFERROR(Datos!C4577,"")</f>
        <v/>
      </c>
      <c r="D4577" s="28">
        <f>IFERROR(IF(AND(ISNUMBER(B4577),ISNUMBER(B4576),B4576&lt;&gt;0),B4577/B4576-1,""),"")</f>
        <v/>
      </c>
      <c r="E4577" s="28">
        <f>IFERROR(IF(AND(ISNUMBER(C4577),ISNUMBER(C4576),C4576&lt;&gt;0),C4577/C4576-1,""),"")</f>
        <v/>
      </c>
      <c r="F4577" s="28">
        <f>IFERROR(D4577-Dashboard!$B$4/252,"")</f>
        <v/>
      </c>
      <c r="G4577" s="28">
        <f>IFERROR(E4577-Dashboard!$B$4/252,"")</f>
        <v/>
      </c>
      <c r="H4577" s="8">
        <f>IFERROR(IF(ISNUMBER(B4577),MAX(B4577,IFERROR(H4576,B4577)),""),"")</f>
        <v/>
      </c>
      <c r="I4577" s="29">
        <f>IFERROR(IF(AND(ISNUMBER(B4577),ISNUMBER(H4577)),B4577/H4577-1,""),"")</f>
        <v/>
      </c>
      <c r="J4577" s="8">
        <f>IFERROR(IF(ISNUMBER(C4577),MAX(C4577,IFERROR(J4576,C4577)),""),"")</f>
        <v/>
      </c>
      <c r="K4577" s="29">
        <f>IFERROR(IF(AND(ISNUMBER(C4577),ISNUMBER(J4577)),C4577/J4577-1,""),"")</f>
        <v/>
      </c>
      <c r="L4577" s="28">
        <f>IFERROR(IF(AND(ISNUMBER(D4577),ISNUMBER(E4577)),D4577-E4577,""),"")</f>
        <v/>
      </c>
    </row>
    <row r="4578">
      <c r="A4578" s="7">
        <f>IFERROR(Datos!A4578,"")</f>
        <v/>
      </c>
      <c r="B4578" s="8">
        <f>IFERROR(Datos!B4578,"")</f>
        <v/>
      </c>
      <c r="C4578" s="8">
        <f>IFERROR(Datos!C4578,"")</f>
        <v/>
      </c>
      <c r="D4578" s="28">
        <f>IFERROR(IF(AND(ISNUMBER(B4578),ISNUMBER(B4577),B4577&lt;&gt;0),B4578/B4577-1,""),"")</f>
        <v/>
      </c>
      <c r="E4578" s="28">
        <f>IFERROR(IF(AND(ISNUMBER(C4578),ISNUMBER(C4577),C4577&lt;&gt;0),C4578/C4577-1,""),"")</f>
        <v/>
      </c>
      <c r="F4578" s="28">
        <f>IFERROR(D4578-Dashboard!$B$4/252,"")</f>
        <v/>
      </c>
      <c r="G4578" s="28">
        <f>IFERROR(E4578-Dashboard!$B$4/252,"")</f>
        <v/>
      </c>
      <c r="H4578" s="8">
        <f>IFERROR(IF(ISNUMBER(B4578),MAX(B4578,IFERROR(H4577,B4578)),""),"")</f>
        <v/>
      </c>
      <c r="I4578" s="29">
        <f>IFERROR(IF(AND(ISNUMBER(B4578),ISNUMBER(H4578)),B4578/H4578-1,""),"")</f>
        <v/>
      </c>
      <c r="J4578" s="8">
        <f>IFERROR(IF(ISNUMBER(C4578),MAX(C4578,IFERROR(J4577,C4578)),""),"")</f>
        <v/>
      </c>
      <c r="K4578" s="29">
        <f>IFERROR(IF(AND(ISNUMBER(C4578),ISNUMBER(J4578)),C4578/J4578-1,""),"")</f>
        <v/>
      </c>
      <c r="L4578" s="28">
        <f>IFERROR(IF(AND(ISNUMBER(D4578),ISNUMBER(E4578)),D4578-E4578,""),"")</f>
        <v/>
      </c>
    </row>
    <row r="4579">
      <c r="A4579" s="7">
        <f>IFERROR(Datos!A4579,"")</f>
        <v/>
      </c>
      <c r="B4579" s="8">
        <f>IFERROR(Datos!B4579,"")</f>
        <v/>
      </c>
      <c r="C4579" s="8">
        <f>IFERROR(Datos!C4579,"")</f>
        <v/>
      </c>
      <c r="D4579" s="28">
        <f>IFERROR(IF(AND(ISNUMBER(B4579),ISNUMBER(B4578),B4578&lt;&gt;0),B4579/B4578-1,""),"")</f>
        <v/>
      </c>
      <c r="E4579" s="28">
        <f>IFERROR(IF(AND(ISNUMBER(C4579),ISNUMBER(C4578),C4578&lt;&gt;0),C4579/C4578-1,""),"")</f>
        <v/>
      </c>
      <c r="F4579" s="28">
        <f>IFERROR(D4579-Dashboard!$B$4/252,"")</f>
        <v/>
      </c>
      <c r="G4579" s="28">
        <f>IFERROR(E4579-Dashboard!$B$4/252,"")</f>
        <v/>
      </c>
      <c r="H4579" s="8">
        <f>IFERROR(IF(ISNUMBER(B4579),MAX(B4579,IFERROR(H4578,B4579)),""),"")</f>
        <v/>
      </c>
      <c r="I4579" s="29">
        <f>IFERROR(IF(AND(ISNUMBER(B4579),ISNUMBER(H4579)),B4579/H4579-1,""),"")</f>
        <v/>
      </c>
      <c r="J4579" s="8">
        <f>IFERROR(IF(ISNUMBER(C4579),MAX(C4579,IFERROR(J4578,C4579)),""),"")</f>
        <v/>
      </c>
      <c r="K4579" s="29">
        <f>IFERROR(IF(AND(ISNUMBER(C4579),ISNUMBER(J4579)),C4579/J4579-1,""),"")</f>
        <v/>
      </c>
      <c r="L4579" s="28">
        <f>IFERROR(IF(AND(ISNUMBER(D4579),ISNUMBER(E4579)),D4579-E4579,""),"")</f>
        <v/>
      </c>
    </row>
    <row r="4580">
      <c r="A4580" s="7">
        <f>IFERROR(Datos!A4580,"")</f>
        <v/>
      </c>
      <c r="B4580" s="8">
        <f>IFERROR(Datos!B4580,"")</f>
        <v/>
      </c>
      <c r="C4580" s="8">
        <f>IFERROR(Datos!C4580,"")</f>
        <v/>
      </c>
      <c r="D4580" s="28">
        <f>IFERROR(IF(AND(ISNUMBER(B4580),ISNUMBER(B4579),B4579&lt;&gt;0),B4580/B4579-1,""),"")</f>
        <v/>
      </c>
      <c r="E4580" s="28">
        <f>IFERROR(IF(AND(ISNUMBER(C4580),ISNUMBER(C4579),C4579&lt;&gt;0),C4580/C4579-1,""),"")</f>
        <v/>
      </c>
      <c r="F4580" s="28">
        <f>IFERROR(D4580-Dashboard!$B$4/252,"")</f>
        <v/>
      </c>
      <c r="G4580" s="28">
        <f>IFERROR(E4580-Dashboard!$B$4/252,"")</f>
        <v/>
      </c>
      <c r="H4580" s="8">
        <f>IFERROR(IF(ISNUMBER(B4580),MAX(B4580,IFERROR(H4579,B4580)),""),"")</f>
        <v/>
      </c>
      <c r="I4580" s="29">
        <f>IFERROR(IF(AND(ISNUMBER(B4580),ISNUMBER(H4580)),B4580/H4580-1,""),"")</f>
        <v/>
      </c>
      <c r="J4580" s="8">
        <f>IFERROR(IF(ISNUMBER(C4580),MAX(C4580,IFERROR(J4579,C4580)),""),"")</f>
        <v/>
      </c>
      <c r="K4580" s="29">
        <f>IFERROR(IF(AND(ISNUMBER(C4580),ISNUMBER(J4580)),C4580/J4580-1,""),"")</f>
        <v/>
      </c>
      <c r="L4580" s="28">
        <f>IFERROR(IF(AND(ISNUMBER(D4580),ISNUMBER(E4580)),D4580-E4580,""),"")</f>
        <v/>
      </c>
    </row>
    <row r="4581">
      <c r="A4581" s="7">
        <f>IFERROR(Datos!A4581,"")</f>
        <v/>
      </c>
      <c r="B4581" s="8">
        <f>IFERROR(Datos!B4581,"")</f>
        <v/>
      </c>
      <c r="C4581" s="8">
        <f>IFERROR(Datos!C4581,"")</f>
        <v/>
      </c>
      <c r="D4581" s="28">
        <f>IFERROR(IF(AND(ISNUMBER(B4581),ISNUMBER(B4580),B4580&lt;&gt;0),B4581/B4580-1,""),"")</f>
        <v/>
      </c>
      <c r="E4581" s="28">
        <f>IFERROR(IF(AND(ISNUMBER(C4581),ISNUMBER(C4580),C4580&lt;&gt;0),C4581/C4580-1,""),"")</f>
        <v/>
      </c>
      <c r="F4581" s="28">
        <f>IFERROR(D4581-Dashboard!$B$4/252,"")</f>
        <v/>
      </c>
      <c r="G4581" s="28">
        <f>IFERROR(E4581-Dashboard!$B$4/252,"")</f>
        <v/>
      </c>
      <c r="H4581" s="8">
        <f>IFERROR(IF(ISNUMBER(B4581),MAX(B4581,IFERROR(H4580,B4581)),""),"")</f>
        <v/>
      </c>
      <c r="I4581" s="29">
        <f>IFERROR(IF(AND(ISNUMBER(B4581),ISNUMBER(H4581)),B4581/H4581-1,""),"")</f>
        <v/>
      </c>
      <c r="J4581" s="8">
        <f>IFERROR(IF(ISNUMBER(C4581),MAX(C4581,IFERROR(J4580,C4581)),""),"")</f>
        <v/>
      </c>
      <c r="K4581" s="29">
        <f>IFERROR(IF(AND(ISNUMBER(C4581),ISNUMBER(J4581)),C4581/J4581-1,""),"")</f>
        <v/>
      </c>
      <c r="L4581" s="28">
        <f>IFERROR(IF(AND(ISNUMBER(D4581),ISNUMBER(E4581)),D4581-E4581,""),"")</f>
        <v/>
      </c>
    </row>
    <row r="4582">
      <c r="A4582" s="7">
        <f>IFERROR(Datos!A4582,"")</f>
        <v/>
      </c>
      <c r="B4582" s="8">
        <f>IFERROR(Datos!B4582,"")</f>
        <v/>
      </c>
      <c r="C4582" s="8">
        <f>IFERROR(Datos!C4582,"")</f>
        <v/>
      </c>
      <c r="D4582" s="28">
        <f>IFERROR(IF(AND(ISNUMBER(B4582),ISNUMBER(B4581),B4581&lt;&gt;0),B4582/B4581-1,""),"")</f>
        <v/>
      </c>
      <c r="E4582" s="28">
        <f>IFERROR(IF(AND(ISNUMBER(C4582),ISNUMBER(C4581),C4581&lt;&gt;0),C4582/C4581-1,""),"")</f>
        <v/>
      </c>
      <c r="F4582" s="28">
        <f>IFERROR(D4582-Dashboard!$B$4/252,"")</f>
        <v/>
      </c>
      <c r="G4582" s="28">
        <f>IFERROR(E4582-Dashboard!$B$4/252,"")</f>
        <v/>
      </c>
      <c r="H4582" s="8">
        <f>IFERROR(IF(ISNUMBER(B4582),MAX(B4582,IFERROR(H4581,B4582)),""),"")</f>
        <v/>
      </c>
      <c r="I4582" s="29">
        <f>IFERROR(IF(AND(ISNUMBER(B4582),ISNUMBER(H4582)),B4582/H4582-1,""),"")</f>
        <v/>
      </c>
      <c r="J4582" s="8">
        <f>IFERROR(IF(ISNUMBER(C4582),MAX(C4582,IFERROR(J4581,C4582)),""),"")</f>
        <v/>
      </c>
      <c r="K4582" s="29">
        <f>IFERROR(IF(AND(ISNUMBER(C4582),ISNUMBER(J4582)),C4582/J4582-1,""),"")</f>
        <v/>
      </c>
      <c r="L4582" s="28">
        <f>IFERROR(IF(AND(ISNUMBER(D4582),ISNUMBER(E4582)),D4582-E4582,""),"")</f>
        <v/>
      </c>
    </row>
    <row r="4583">
      <c r="A4583" s="7">
        <f>IFERROR(Datos!A4583,"")</f>
        <v/>
      </c>
      <c r="B4583" s="8">
        <f>IFERROR(Datos!B4583,"")</f>
        <v/>
      </c>
      <c r="C4583" s="8">
        <f>IFERROR(Datos!C4583,"")</f>
        <v/>
      </c>
      <c r="D4583" s="28">
        <f>IFERROR(IF(AND(ISNUMBER(B4583),ISNUMBER(B4582),B4582&lt;&gt;0),B4583/B4582-1,""),"")</f>
        <v/>
      </c>
      <c r="E4583" s="28">
        <f>IFERROR(IF(AND(ISNUMBER(C4583),ISNUMBER(C4582),C4582&lt;&gt;0),C4583/C4582-1,""),"")</f>
        <v/>
      </c>
      <c r="F4583" s="28">
        <f>IFERROR(D4583-Dashboard!$B$4/252,"")</f>
        <v/>
      </c>
      <c r="G4583" s="28">
        <f>IFERROR(E4583-Dashboard!$B$4/252,"")</f>
        <v/>
      </c>
      <c r="H4583" s="8">
        <f>IFERROR(IF(ISNUMBER(B4583),MAX(B4583,IFERROR(H4582,B4583)),""),"")</f>
        <v/>
      </c>
      <c r="I4583" s="29">
        <f>IFERROR(IF(AND(ISNUMBER(B4583),ISNUMBER(H4583)),B4583/H4583-1,""),"")</f>
        <v/>
      </c>
      <c r="J4583" s="8">
        <f>IFERROR(IF(ISNUMBER(C4583),MAX(C4583,IFERROR(J4582,C4583)),""),"")</f>
        <v/>
      </c>
      <c r="K4583" s="29">
        <f>IFERROR(IF(AND(ISNUMBER(C4583),ISNUMBER(J4583)),C4583/J4583-1,""),"")</f>
        <v/>
      </c>
      <c r="L4583" s="28">
        <f>IFERROR(IF(AND(ISNUMBER(D4583),ISNUMBER(E4583)),D4583-E4583,""),"")</f>
        <v/>
      </c>
    </row>
    <row r="4584">
      <c r="A4584" s="7">
        <f>IFERROR(Datos!A4584,"")</f>
        <v/>
      </c>
      <c r="B4584" s="8">
        <f>IFERROR(Datos!B4584,"")</f>
        <v/>
      </c>
      <c r="C4584" s="8">
        <f>IFERROR(Datos!C4584,"")</f>
        <v/>
      </c>
      <c r="D4584" s="28">
        <f>IFERROR(IF(AND(ISNUMBER(B4584),ISNUMBER(B4583),B4583&lt;&gt;0),B4584/B4583-1,""),"")</f>
        <v/>
      </c>
      <c r="E4584" s="28">
        <f>IFERROR(IF(AND(ISNUMBER(C4584),ISNUMBER(C4583),C4583&lt;&gt;0),C4584/C4583-1,""),"")</f>
        <v/>
      </c>
      <c r="F4584" s="28">
        <f>IFERROR(D4584-Dashboard!$B$4/252,"")</f>
        <v/>
      </c>
      <c r="G4584" s="28">
        <f>IFERROR(E4584-Dashboard!$B$4/252,"")</f>
        <v/>
      </c>
      <c r="H4584" s="8">
        <f>IFERROR(IF(ISNUMBER(B4584),MAX(B4584,IFERROR(H4583,B4584)),""),"")</f>
        <v/>
      </c>
      <c r="I4584" s="29">
        <f>IFERROR(IF(AND(ISNUMBER(B4584),ISNUMBER(H4584)),B4584/H4584-1,""),"")</f>
        <v/>
      </c>
      <c r="J4584" s="8">
        <f>IFERROR(IF(ISNUMBER(C4584),MAX(C4584,IFERROR(J4583,C4584)),""),"")</f>
        <v/>
      </c>
      <c r="K4584" s="29">
        <f>IFERROR(IF(AND(ISNUMBER(C4584),ISNUMBER(J4584)),C4584/J4584-1,""),"")</f>
        <v/>
      </c>
      <c r="L4584" s="28">
        <f>IFERROR(IF(AND(ISNUMBER(D4584),ISNUMBER(E4584)),D4584-E4584,""),"")</f>
        <v/>
      </c>
    </row>
    <row r="4585">
      <c r="A4585" s="7">
        <f>IFERROR(Datos!A4585,"")</f>
        <v/>
      </c>
      <c r="B4585" s="8">
        <f>IFERROR(Datos!B4585,"")</f>
        <v/>
      </c>
      <c r="C4585" s="8">
        <f>IFERROR(Datos!C4585,"")</f>
        <v/>
      </c>
      <c r="D4585" s="28">
        <f>IFERROR(IF(AND(ISNUMBER(B4585),ISNUMBER(B4584),B4584&lt;&gt;0),B4585/B4584-1,""),"")</f>
        <v/>
      </c>
      <c r="E4585" s="28">
        <f>IFERROR(IF(AND(ISNUMBER(C4585),ISNUMBER(C4584),C4584&lt;&gt;0),C4585/C4584-1,""),"")</f>
        <v/>
      </c>
      <c r="F4585" s="28">
        <f>IFERROR(D4585-Dashboard!$B$4/252,"")</f>
        <v/>
      </c>
      <c r="G4585" s="28">
        <f>IFERROR(E4585-Dashboard!$B$4/252,"")</f>
        <v/>
      </c>
      <c r="H4585" s="8">
        <f>IFERROR(IF(ISNUMBER(B4585),MAX(B4585,IFERROR(H4584,B4585)),""),"")</f>
        <v/>
      </c>
      <c r="I4585" s="29">
        <f>IFERROR(IF(AND(ISNUMBER(B4585),ISNUMBER(H4585)),B4585/H4585-1,""),"")</f>
        <v/>
      </c>
      <c r="J4585" s="8">
        <f>IFERROR(IF(ISNUMBER(C4585),MAX(C4585,IFERROR(J4584,C4585)),""),"")</f>
        <v/>
      </c>
      <c r="K4585" s="29">
        <f>IFERROR(IF(AND(ISNUMBER(C4585),ISNUMBER(J4585)),C4585/J4585-1,""),"")</f>
        <v/>
      </c>
      <c r="L4585" s="28">
        <f>IFERROR(IF(AND(ISNUMBER(D4585),ISNUMBER(E4585)),D4585-E4585,""),"")</f>
        <v/>
      </c>
    </row>
    <row r="4586">
      <c r="A4586" s="7">
        <f>IFERROR(Datos!A4586,"")</f>
        <v/>
      </c>
      <c r="B4586" s="8">
        <f>IFERROR(Datos!B4586,"")</f>
        <v/>
      </c>
      <c r="C4586" s="8">
        <f>IFERROR(Datos!C4586,"")</f>
        <v/>
      </c>
      <c r="D4586" s="28">
        <f>IFERROR(IF(AND(ISNUMBER(B4586),ISNUMBER(B4585),B4585&lt;&gt;0),B4586/B4585-1,""),"")</f>
        <v/>
      </c>
      <c r="E4586" s="28">
        <f>IFERROR(IF(AND(ISNUMBER(C4586),ISNUMBER(C4585),C4585&lt;&gt;0),C4586/C4585-1,""),"")</f>
        <v/>
      </c>
      <c r="F4586" s="28">
        <f>IFERROR(D4586-Dashboard!$B$4/252,"")</f>
        <v/>
      </c>
      <c r="G4586" s="28">
        <f>IFERROR(E4586-Dashboard!$B$4/252,"")</f>
        <v/>
      </c>
      <c r="H4586" s="8">
        <f>IFERROR(IF(ISNUMBER(B4586),MAX(B4586,IFERROR(H4585,B4586)),""),"")</f>
        <v/>
      </c>
      <c r="I4586" s="29">
        <f>IFERROR(IF(AND(ISNUMBER(B4586),ISNUMBER(H4586)),B4586/H4586-1,""),"")</f>
        <v/>
      </c>
      <c r="J4586" s="8">
        <f>IFERROR(IF(ISNUMBER(C4586),MAX(C4586,IFERROR(J4585,C4586)),""),"")</f>
        <v/>
      </c>
      <c r="K4586" s="29">
        <f>IFERROR(IF(AND(ISNUMBER(C4586),ISNUMBER(J4586)),C4586/J4586-1,""),"")</f>
        <v/>
      </c>
      <c r="L4586" s="28">
        <f>IFERROR(IF(AND(ISNUMBER(D4586),ISNUMBER(E4586)),D4586-E4586,""),"")</f>
        <v/>
      </c>
    </row>
    <row r="4587">
      <c r="A4587" s="7">
        <f>IFERROR(Datos!A4587,"")</f>
        <v/>
      </c>
      <c r="B4587" s="8">
        <f>IFERROR(Datos!B4587,"")</f>
        <v/>
      </c>
      <c r="C4587" s="8">
        <f>IFERROR(Datos!C4587,"")</f>
        <v/>
      </c>
      <c r="D4587" s="28">
        <f>IFERROR(IF(AND(ISNUMBER(B4587),ISNUMBER(B4586),B4586&lt;&gt;0),B4587/B4586-1,""),"")</f>
        <v/>
      </c>
      <c r="E4587" s="28">
        <f>IFERROR(IF(AND(ISNUMBER(C4587),ISNUMBER(C4586),C4586&lt;&gt;0),C4587/C4586-1,""),"")</f>
        <v/>
      </c>
      <c r="F4587" s="28">
        <f>IFERROR(D4587-Dashboard!$B$4/252,"")</f>
        <v/>
      </c>
      <c r="G4587" s="28">
        <f>IFERROR(E4587-Dashboard!$B$4/252,"")</f>
        <v/>
      </c>
      <c r="H4587" s="8">
        <f>IFERROR(IF(ISNUMBER(B4587),MAX(B4587,IFERROR(H4586,B4587)),""),"")</f>
        <v/>
      </c>
      <c r="I4587" s="29">
        <f>IFERROR(IF(AND(ISNUMBER(B4587),ISNUMBER(H4587)),B4587/H4587-1,""),"")</f>
        <v/>
      </c>
      <c r="J4587" s="8">
        <f>IFERROR(IF(ISNUMBER(C4587),MAX(C4587,IFERROR(J4586,C4587)),""),"")</f>
        <v/>
      </c>
      <c r="K4587" s="29">
        <f>IFERROR(IF(AND(ISNUMBER(C4587),ISNUMBER(J4587)),C4587/J4587-1,""),"")</f>
        <v/>
      </c>
      <c r="L4587" s="28">
        <f>IFERROR(IF(AND(ISNUMBER(D4587),ISNUMBER(E4587)),D4587-E4587,""),"")</f>
        <v/>
      </c>
    </row>
    <row r="4588">
      <c r="A4588" s="7">
        <f>IFERROR(Datos!A4588,"")</f>
        <v/>
      </c>
      <c r="B4588" s="8">
        <f>IFERROR(Datos!B4588,"")</f>
        <v/>
      </c>
      <c r="C4588" s="8">
        <f>IFERROR(Datos!C4588,"")</f>
        <v/>
      </c>
      <c r="D4588" s="28">
        <f>IFERROR(IF(AND(ISNUMBER(B4588),ISNUMBER(B4587),B4587&lt;&gt;0),B4588/B4587-1,""),"")</f>
        <v/>
      </c>
      <c r="E4588" s="28">
        <f>IFERROR(IF(AND(ISNUMBER(C4588),ISNUMBER(C4587),C4587&lt;&gt;0),C4588/C4587-1,""),"")</f>
        <v/>
      </c>
      <c r="F4588" s="28">
        <f>IFERROR(D4588-Dashboard!$B$4/252,"")</f>
        <v/>
      </c>
      <c r="G4588" s="28">
        <f>IFERROR(E4588-Dashboard!$B$4/252,"")</f>
        <v/>
      </c>
      <c r="H4588" s="8">
        <f>IFERROR(IF(ISNUMBER(B4588),MAX(B4588,IFERROR(H4587,B4588)),""),"")</f>
        <v/>
      </c>
      <c r="I4588" s="29">
        <f>IFERROR(IF(AND(ISNUMBER(B4588),ISNUMBER(H4588)),B4588/H4588-1,""),"")</f>
        <v/>
      </c>
      <c r="J4588" s="8">
        <f>IFERROR(IF(ISNUMBER(C4588),MAX(C4588,IFERROR(J4587,C4588)),""),"")</f>
        <v/>
      </c>
      <c r="K4588" s="29">
        <f>IFERROR(IF(AND(ISNUMBER(C4588),ISNUMBER(J4588)),C4588/J4588-1,""),"")</f>
        <v/>
      </c>
      <c r="L4588" s="28">
        <f>IFERROR(IF(AND(ISNUMBER(D4588),ISNUMBER(E4588)),D4588-E4588,""),"")</f>
        <v/>
      </c>
    </row>
    <row r="4589">
      <c r="A4589" s="7">
        <f>IFERROR(Datos!A4589,"")</f>
        <v/>
      </c>
      <c r="B4589" s="8">
        <f>IFERROR(Datos!B4589,"")</f>
        <v/>
      </c>
      <c r="C4589" s="8">
        <f>IFERROR(Datos!C4589,"")</f>
        <v/>
      </c>
      <c r="D4589" s="28">
        <f>IFERROR(IF(AND(ISNUMBER(B4589),ISNUMBER(B4588),B4588&lt;&gt;0),B4589/B4588-1,""),"")</f>
        <v/>
      </c>
      <c r="E4589" s="28">
        <f>IFERROR(IF(AND(ISNUMBER(C4589),ISNUMBER(C4588),C4588&lt;&gt;0),C4589/C4588-1,""),"")</f>
        <v/>
      </c>
      <c r="F4589" s="28">
        <f>IFERROR(D4589-Dashboard!$B$4/252,"")</f>
        <v/>
      </c>
      <c r="G4589" s="28">
        <f>IFERROR(E4589-Dashboard!$B$4/252,"")</f>
        <v/>
      </c>
      <c r="H4589" s="8">
        <f>IFERROR(IF(ISNUMBER(B4589),MAX(B4589,IFERROR(H4588,B4589)),""),"")</f>
        <v/>
      </c>
      <c r="I4589" s="29">
        <f>IFERROR(IF(AND(ISNUMBER(B4589),ISNUMBER(H4589)),B4589/H4589-1,""),"")</f>
        <v/>
      </c>
      <c r="J4589" s="8">
        <f>IFERROR(IF(ISNUMBER(C4589),MAX(C4589,IFERROR(J4588,C4589)),""),"")</f>
        <v/>
      </c>
      <c r="K4589" s="29">
        <f>IFERROR(IF(AND(ISNUMBER(C4589),ISNUMBER(J4589)),C4589/J4589-1,""),"")</f>
        <v/>
      </c>
      <c r="L4589" s="28">
        <f>IFERROR(IF(AND(ISNUMBER(D4589),ISNUMBER(E4589)),D4589-E4589,""),"")</f>
        <v/>
      </c>
    </row>
    <row r="4590">
      <c r="A4590" s="7">
        <f>IFERROR(Datos!A4590,"")</f>
        <v/>
      </c>
      <c r="B4590" s="8">
        <f>IFERROR(Datos!B4590,"")</f>
        <v/>
      </c>
      <c r="C4590" s="8">
        <f>IFERROR(Datos!C4590,"")</f>
        <v/>
      </c>
      <c r="D4590" s="28">
        <f>IFERROR(IF(AND(ISNUMBER(B4590),ISNUMBER(B4589),B4589&lt;&gt;0),B4590/B4589-1,""),"")</f>
        <v/>
      </c>
      <c r="E4590" s="28">
        <f>IFERROR(IF(AND(ISNUMBER(C4590),ISNUMBER(C4589),C4589&lt;&gt;0),C4590/C4589-1,""),"")</f>
        <v/>
      </c>
      <c r="F4590" s="28">
        <f>IFERROR(D4590-Dashboard!$B$4/252,"")</f>
        <v/>
      </c>
      <c r="G4590" s="28">
        <f>IFERROR(E4590-Dashboard!$B$4/252,"")</f>
        <v/>
      </c>
      <c r="H4590" s="8">
        <f>IFERROR(IF(ISNUMBER(B4590),MAX(B4590,IFERROR(H4589,B4590)),""),"")</f>
        <v/>
      </c>
      <c r="I4590" s="29">
        <f>IFERROR(IF(AND(ISNUMBER(B4590),ISNUMBER(H4590)),B4590/H4590-1,""),"")</f>
        <v/>
      </c>
      <c r="J4590" s="8">
        <f>IFERROR(IF(ISNUMBER(C4590),MAX(C4590,IFERROR(J4589,C4590)),""),"")</f>
        <v/>
      </c>
      <c r="K4590" s="29">
        <f>IFERROR(IF(AND(ISNUMBER(C4590),ISNUMBER(J4590)),C4590/J4590-1,""),"")</f>
        <v/>
      </c>
      <c r="L4590" s="28">
        <f>IFERROR(IF(AND(ISNUMBER(D4590),ISNUMBER(E4590)),D4590-E4590,""),"")</f>
        <v/>
      </c>
    </row>
    <row r="4591">
      <c r="A4591" s="7">
        <f>IFERROR(Datos!A4591,"")</f>
        <v/>
      </c>
      <c r="B4591" s="8">
        <f>IFERROR(Datos!B4591,"")</f>
        <v/>
      </c>
      <c r="C4591" s="8">
        <f>IFERROR(Datos!C4591,"")</f>
        <v/>
      </c>
      <c r="D4591" s="28">
        <f>IFERROR(IF(AND(ISNUMBER(B4591),ISNUMBER(B4590),B4590&lt;&gt;0),B4591/B4590-1,""),"")</f>
        <v/>
      </c>
      <c r="E4591" s="28">
        <f>IFERROR(IF(AND(ISNUMBER(C4591),ISNUMBER(C4590),C4590&lt;&gt;0),C4591/C4590-1,""),"")</f>
        <v/>
      </c>
      <c r="F4591" s="28">
        <f>IFERROR(D4591-Dashboard!$B$4/252,"")</f>
        <v/>
      </c>
      <c r="G4591" s="28">
        <f>IFERROR(E4591-Dashboard!$B$4/252,"")</f>
        <v/>
      </c>
      <c r="H4591" s="8">
        <f>IFERROR(IF(ISNUMBER(B4591),MAX(B4591,IFERROR(H4590,B4591)),""),"")</f>
        <v/>
      </c>
      <c r="I4591" s="29">
        <f>IFERROR(IF(AND(ISNUMBER(B4591),ISNUMBER(H4591)),B4591/H4591-1,""),"")</f>
        <v/>
      </c>
      <c r="J4591" s="8">
        <f>IFERROR(IF(ISNUMBER(C4591),MAX(C4591,IFERROR(J4590,C4591)),""),"")</f>
        <v/>
      </c>
      <c r="K4591" s="29">
        <f>IFERROR(IF(AND(ISNUMBER(C4591),ISNUMBER(J4591)),C4591/J4591-1,""),"")</f>
        <v/>
      </c>
      <c r="L4591" s="28">
        <f>IFERROR(IF(AND(ISNUMBER(D4591),ISNUMBER(E4591)),D4591-E4591,""),"")</f>
        <v/>
      </c>
    </row>
    <row r="4592">
      <c r="A4592" s="7">
        <f>IFERROR(Datos!A4592,"")</f>
        <v/>
      </c>
      <c r="B4592" s="8">
        <f>IFERROR(Datos!B4592,"")</f>
        <v/>
      </c>
      <c r="C4592" s="8">
        <f>IFERROR(Datos!C4592,"")</f>
        <v/>
      </c>
      <c r="D4592" s="28">
        <f>IFERROR(IF(AND(ISNUMBER(B4592),ISNUMBER(B4591),B4591&lt;&gt;0),B4592/B4591-1,""),"")</f>
        <v/>
      </c>
      <c r="E4592" s="28">
        <f>IFERROR(IF(AND(ISNUMBER(C4592),ISNUMBER(C4591),C4591&lt;&gt;0),C4592/C4591-1,""),"")</f>
        <v/>
      </c>
      <c r="F4592" s="28">
        <f>IFERROR(D4592-Dashboard!$B$4/252,"")</f>
        <v/>
      </c>
      <c r="G4592" s="28">
        <f>IFERROR(E4592-Dashboard!$B$4/252,"")</f>
        <v/>
      </c>
      <c r="H4592" s="8">
        <f>IFERROR(IF(ISNUMBER(B4592),MAX(B4592,IFERROR(H4591,B4592)),""),"")</f>
        <v/>
      </c>
      <c r="I4592" s="29">
        <f>IFERROR(IF(AND(ISNUMBER(B4592),ISNUMBER(H4592)),B4592/H4592-1,""),"")</f>
        <v/>
      </c>
      <c r="J4592" s="8">
        <f>IFERROR(IF(ISNUMBER(C4592),MAX(C4592,IFERROR(J4591,C4592)),""),"")</f>
        <v/>
      </c>
      <c r="K4592" s="29">
        <f>IFERROR(IF(AND(ISNUMBER(C4592),ISNUMBER(J4592)),C4592/J4592-1,""),"")</f>
        <v/>
      </c>
      <c r="L4592" s="28">
        <f>IFERROR(IF(AND(ISNUMBER(D4592),ISNUMBER(E4592)),D4592-E4592,""),"")</f>
        <v/>
      </c>
    </row>
    <row r="4593">
      <c r="A4593" s="7">
        <f>IFERROR(Datos!A4593,"")</f>
        <v/>
      </c>
      <c r="B4593" s="8">
        <f>IFERROR(Datos!B4593,"")</f>
        <v/>
      </c>
      <c r="C4593" s="8">
        <f>IFERROR(Datos!C4593,"")</f>
        <v/>
      </c>
      <c r="D4593" s="28">
        <f>IFERROR(IF(AND(ISNUMBER(B4593),ISNUMBER(B4592),B4592&lt;&gt;0),B4593/B4592-1,""),"")</f>
        <v/>
      </c>
      <c r="E4593" s="28">
        <f>IFERROR(IF(AND(ISNUMBER(C4593),ISNUMBER(C4592),C4592&lt;&gt;0),C4593/C4592-1,""),"")</f>
        <v/>
      </c>
      <c r="F4593" s="28">
        <f>IFERROR(D4593-Dashboard!$B$4/252,"")</f>
        <v/>
      </c>
      <c r="G4593" s="28">
        <f>IFERROR(E4593-Dashboard!$B$4/252,"")</f>
        <v/>
      </c>
      <c r="H4593" s="8">
        <f>IFERROR(IF(ISNUMBER(B4593),MAX(B4593,IFERROR(H4592,B4593)),""),"")</f>
        <v/>
      </c>
      <c r="I4593" s="29">
        <f>IFERROR(IF(AND(ISNUMBER(B4593),ISNUMBER(H4593)),B4593/H4593-1,""),"")</f>
        <v/>
      </c>
      <c r="J4593" s="8">
        <f>IFERROR(IF(ISNUMBER(C4593),MAX(C4593,IFERROR(J4592,C4593)),""),"")</f>
        <v/>
      </c>
      <c r="K4593" s="29">
        <f>IFERROR(IF(AND(ISNUMBER(C4593),ISNUMBER(J4593)),C4593/J4593-1,""),"")</f>
        <v/>
      </c>
      <c r="L4593" s="28">
        <f>IFERROR(IF(AND(ISNUMBER(D4593),ISNUMBER(E4593)),D4593-E4593,""),"")</f>
        <v/>
      </c>
    </row>
    <row r="4594">
      <c r="A4594" s="7">
        <f>IFERROR(Datos!A4594,"")</f>
        <v/>
      </c>
      <c r="B4594" s="8">
        <f>IFERROR(Datos!B4594,"")</f>
        <v/>
      </c>
      <c r="C4594" s="8">
        <f>IFERROR(Datos!C4594,"")</f>
        <v/>
      </c>
      <c r="D4594" s="28">
        <f>IFERROR(IF(AND(ISNUMBER(B4594),ISNUMBER(B4593),B4593&lt;&gt;0),B4594/B4593-1,""),"")</f>
        <v/>
      </c>
      <c r="E4594" s="28">
        <f>IFERROR(IF(AND(ISNUMBER(C4594),ISNUMBER(C4593),C4593&lt;&gt;0),C4594/C4593-1,""),"")</f>
        <v/>
      </c>
      <c r="F4594" s="28">
        <f>IFERROR(D4594-Dashboard!$B$4/252,"")</f>
        <v/>
      </c>
      <c r="G4594" s="28">
        <f>IFERROR(E4594-Dashboard!$B$4/252,"")</f>
        <v/>
      </c>
      <c r="H4594" s="8">
        <f>IFERROR(IF(ISNUMBER(B4594),MAX(B4594,IFERROR(H4593,B4594)),""),"")</f>
        <v/>
      </c>
      <c r="I4594" s="29">
        <f>IFERROR(IF(AND(ISNUMBER(B4594),ISNUMBER(H4594)),B4594/H4594-1,""),"")</f>
        <v/>
      </c>
      <c r="J4594" s="8">
        <f>IFERROR(IF(ISNUMBER(C4594),MAX(C4594,IFERROR(J4593,C4594)),""),"")</f>
        <v/>
      </c>
      <c r="K4594" s="29">
        <f>IFERROR(IF(AND(ISNUMBER(C4594),ISNUMBER(J4594)),C4594/J4594-1,""),"")</f>
        <v/>
      </c>
      <c r="L4594" s="28">
        <f>IFERROR(IF(AND(ISNUMBER(D4594),ISNUMBER(E4594)),D4594-E4594,""),"")</f>
        <v/>
      </c>
    </row>
    <row r="4595">
      <c r="A4595" s="7">
        <f>IFERROR(Datos!A4595,"")</f>
        <v/>
      </c>
      <c r="B4595" s="8">
        <f>IFERROR(Datos!B4595,"")</f>
        <v/>
      </c>
      <c r="C4595" s="8">
        <f>IFERROR(Datos!C4595,"")</f>
        <v/>
      </c>
      <c r="D4595" s="28">
        <f>IFERROR(IF(AND(ISNUMBER(B4595),ISNUMBER(B4594),B4594&lt;&gt;0),B4595/B4594-1,""),"")</f>
        <v/>
      </c>
      <c r="E4595" s="28">
        <f>IFERROR(IF(AND(ISNUMBER(C4595),ISNUMBER(C4594),C4594&lt;&gt;0),C4595/C4594-1,""),"")</f>
        <v/>
      </c>
      <c r="F4595" s="28">
        <f>IFERROR(D4595-Dashboard!$B$4/252,"")</f>
        <v/>
      </c>
      <c r="G4595" s="28">
        <f>IFERROR(E4595-Dashboard!$B$4/252,"")</f>
        <v/>
      </c>
      <c r="H4595" s="8">
        <f>IFERROR(IF(ISNUMBER(B4595),MAX(B4595,IFERROR(H4594,B4595)),""),"")</f>
        <v/>
      </c>
      <c r="I4595" s="29">
        <f>IFERROR(IF(AND(ISNUMBER(B4595),ISNUMBER(H4595)),B4595/H4595-1,""),"")</f>
        <v/>
      </c>
      <c r="J4595" s="8">
        <f>IFERROR(IF(ISNUMBER(C4595),MAX(C4595,IFERROR(J4594,C4595)),""),"")</f>
        <v/>
      </c>
      <c r="K4595" s="29">
        <f>IFERROR(IF(AND(ISNUMBER(C4595),ISNUMBER(J4595)),C4595/J4595-1,""),"")</f>
        <v/>
      </c>
      <c r="L4595" s="28">
        <f>IFERROR(IF(AND(ISNUMBER(D4595),ISNUMBER(E4595)),D4595-E4595,""),"")</f>
        <v/>
      </c>
    </row>
    <row r="4596">
      <c r="A4596" s="7">
        <f>IFERROR(Datos!A4596,"")</f>
        <v/>
      </c>
      <c r="B4596" s="8">
        <f>IFERROR(Datos!B4596,"")</f>
        <v/>
      </c>
      <c r="C4596" s="8">
        <f>IFERROR(Datos!C4596,"")</f>
        <v/>
      </c>
      <c r="D4596" s="28">
        <f>IFERROR(IF(AND(ISNUMBER(B4596),ISNUMBER(B4595),B4595&lt;&gt;0),B4596/B4595-1,""),"")</f>
        <v/>
      </c>
      <c r="E4596" s="28">
        <f>IFERROR(IF(AND(ISNUMBER(C4596),ISNUMBER(C4595),C4595&lt;&gt;0),C4596/C4595-1,""),"")</f>
        <v/>
      </c>
      <c r="F4596" s="28">
        <f>IFERROR(D4596-Dashboard!$B$4/252,"")</f>
        <v/>
      </c>
      <c r="G4596" s="28">
        <f>IFERROR(E4596-Dashboard!$B$4/252,"")</f>
        <v/>
      </c>
      <c r="H4596" s="8">
        <f>IFERROR(IF(ISNUMBER(B4596),MAX(B4596,IFERROR(H4595,B4596)),""),"")</f>
        <v/>
      </c>
      <c r="I4596" s="29">
        <f>IFERROR(IF(AND(ISNUMBER(B4596),ISNUMBER(H4596)),B4596/H4596-1,""),"")</f>
        <v/>
      </c>
      <c r="J4596" s="8">
        <f>IFERROR(IF(ISNUMBER(C4596),MAX(C4596,IFERROR(J4595,C4596)),""),"")</f>
        <v/>
      </c>
      <c r="K4596" s="29">
        <f>IFERROR(IF(AND(ISNUMBER(C4596),ISNUMBER(J4596)),C4596/J4596-1,""),"")</f>
        <v/>
      </c>
      <c r="L4596" s="28">
        <f>IFERROR(IF(AND(ISNUMBER(D4596),ISNUMBER(E4596)),D4596-E4596,""),"")</f>
        <v/>
      </c>
    </row>
    <row r="4597">
      <c r="A4597" s="7">
        <f>IFERROR(Datos!A4597,"")</f>
        <v/>
      </c>
      <c r="B4597" s="8">
        <f>IFERROR(Datos!B4597,"")</f>
        <v/>
      </c>
      <c r="C4597" s="8">
        <f>IFERROR(Datos!C4597,"")</f>
        <v/>
      </c>
      <c r="D4597" s="28">
        <f>IFERROR(IF(AND(ISNUMBER(B4597),ISNUMBER(B4596),B4596&lt;&gt;0),B4597/B4596-1,""),"")</f>
        <v/>
      </c>
      <c r="E4597" s="28">
        <f>IFERROR(IF(AND(ISNUMBER(C4597),ISNUMBER(C4596),C4596&lt;&gt;0),C4597/C4596-1,""),"")</f>
        <v/>
      </c>
      <c r="F4597" s="28">
        <f>IFERROR(D4597-Dashboard!$B$4/252,"")</f>
        <v/>
      </c>
      <c r="G4597" s="28">
        <f>IFERROR(E4597-Dashboard!$B$4/252,"")</f>
        <v/>
      </c>
      <c r="H4597" s="8">
        <f>IFERROR(IF(ISNUMBER(B4597),MAX(B4597,IFERROR(H4596,B4597)),""),"")</f>
        <v/>
      </c>
      <c r="I4597" s="29">
        <f>IFERROR(IF(AND(ISNUMBER(B4597),ISNUMBER(H4597)),B4597/H4597-1,""),"")</f>
        <v/>
      </c>
      <c r="J4597" s="8">
        <f>IFERROR(IF(ISNUMBER(C4597),MAX(C4597,IFERROR(J4596,C4597)),""),"")</f>
        <v/>
      </c>
      <c r="K4597" s="29">
        <f>IFERROR(IF(AND(ISNUMBER(C4597),ISNUMBER(J4597)),C4597/J4597-1,""),"")</f>
        <v/>
      </c>
      <c r="L4597" s="28">
        <f>IFERROR(IF(AND(ISNUMBER(D4597),ISNUMBER(E4597)),D4597-E4597,""),"")</f>
        <v/>
      </c>
    </row>
    <row r="4598">
      <c r="A4598" s="7">
        <f>IFERROR(Datos!A4598,"")</f>
        <v/>
      </c>
      <c r="B4598" s="8">
        <f>IFERROR(Datos!B4598,"")</f>
        <v/>
      </c>
      <c r="C4598" s="8">
        <f>IFERROR(Datos!C4598,"")</f>
        <v/>
      </c>
      <c r="D4598" s="28">
        <f>IFERROR(IF(AND(ISNUMBER(B4598),ISNUMBER(B4597),B4597&lt;&gt;0),B4598/B4597-1,""),"")</f>
        <v/>
      </c>
      <c r="E4598" s="28">
        <f>IFERROR(IF(AND(ISNUMBER(C4598),ISNUMBER(C4597),C4597&lt;&gt;0),C4598/C4597-1,""),"")</f>
        <v/>
      </c>
      <c r="F4598" s="28">
        <f>IFERROR(D4598-Dashboard!$B$4/252,"")</f>
        <v/>
      </c>
      <c r="G4598" s="28">
        <f>IFERROR(E4598-Dashboard!$B$4/252,"")</f>
        <v/>
      </c>
      <c r="H4598" s="8">
        <f>IFERROR(IF(ISNUMBER(B4598),MAX(B4598,IFERROR(H4597,B4598)),""),"")</f>
        <v/>
      </c>
      <c r="I4598" s="29">
        <f>IFERROR(IF(AND(ISNUMBER(B4598),ISNUMBER(H4598)),B4598/H4598-1,""),"")</f>
        <v/>
      </c>
      <c r="J4598" s="8">
        <f>IFERROR(IF(ISNUMBER(C4598),MAX(C4598,IFERROR(J4597,C4598)),""),"")</f>
        <v/>
      </c>
      <c r="K4598" s="29">
        <f>IFERROR(IF(AND(ISNUMBER(C4598),ISNUMBER(J4598)),C4598/J4598-1,""),"")</f>
        <v/>
      </c>
      <c r="L4598" s="28">
        <f>IFERROR(IF(AND(ISNUMBER(D4598),ISNUMBER(E4598)),D4598-E4598,""),"")</f>
        <v/>
      </c>
    </row>
    <row r="4599">
      <c r="A4599" s="7">
        <f>IFERROR(Datos!A4599,"")</f>
        <v/>
      </c>
      <c r="B4599" s="8">
        <f>IFERROR(Datos!B4599,"")</f>
        <v/>
      </c>
      <c r="C4599" s="8">
        <f>IFERROR(Datos!C4599,"")</f>
        <v/>
      </c>
      <c r="D4599" s="28">
        <f>IFERROR(IF(AND(ISNUMBER(B4599),ISNUMBER(B4598),B4598&lt;&gt;0),B4599/B4598-1,""),"")</f>
        <v/>
      </c>
      <c r="E4599" s="28">
        <f>IFERROR(IF(AND(ISNUMBER(C4599),ISNUMBER(C4598),C4598&lt;&gt;0),C4599/C4598-1,""),"")</f>
        <v/>
      </c>
      <c r="F4599" s="28">
        <f>IFERROR(D4599-Dashboard!$B$4/252,"")</f>
        <v/>
      </c>
      <c r="G4599" s="28">
        <f>IFERROR(E4599-Dashboard!$B$4/252,"")</f>
        <v/>
      </c>
      <c r="H4599" s="8">
        <f>IFERROR(IF(ISNUMBER(B4599),MAX(B4599,IFERROR(H4598,B4599)),""),"")</f>
        <v/>
      </c>
      <c r="I4599" s="29">
        <f>IFERROR(IF(AND(ISNUMBER(B4599),ISNUMBER(H4599)),B4599/H4599-1,""),"")</f>
        <v/>
      </c>
      <c r="J4599" s="8">
        <f>IFERROR(IF(ISNUMBER(C4599),MAX(C4599,IFERROR(J4598,C4599)),""),"")</f>
        <v/>
      </c>
      <c r="K4599" s="29">
        <f>IFERROR(IF(AND(ISNUMBER(C4599),ISNUMBER(J4599)),C4599/J4599-1,""),"")</f>
        <v/>
      </c>
      <c r="L4599" s="28">
        <f>IFERROR(IF(AND(ISNUMBER(D4599),ISNUMBER(E4599)),D4599-E4599,""),"")</f>
        <v/>
      </c>
    </row>
    <row r="4600">
      <c r="A4600" s="7">
        <f>IFERROR(Datos!A4600,"")</f>
        <v/>
      </c>
      <c r="B4600" s="8">
        <f>IFERROR(Datos!B4600,"")</f>
        <v/>
      </c>
      <c r="C4600" s="8">
        <f>IFERROR(Datos!C4600,"")</f>
        <v/>
      </c>
      <c r="D4600" s="28">
        <f>IFERROR(IF(AND(ISNUMBER(B4600),ISNUMBER(B4599),B4599&lt;&gt;0),B4600/B4599-1,""),"")</f>
        <v/>
      </c>
      <c r="E4600" s="28">
        <f>IFERROR(IF(AND(ISNUMBER(C4600),ISNUMBER(C4599),C4599&lt;&gt;0),C4600/C4599-1,""),"")</f>
        <v/>
      </c>
      <c r="F4600" s="28">
        <f>IFERROR(D4600-Dashboard!$B$4/252,"")</f>
        <v/>
      </c>
      <c r="G4600" s="28">
        <f>IFERROR(E4600-Dashboard!$B$4/252,"")</f>
        <v/>
      </c>
      <c r="H4600" s="8">
        <f>IFERROR(IF(ISNUMBER(B4600),MAX(B4600,IFERROR(H4599,B4600)),""),"")</f>
        <v/>
      </c>
      <c r="I4600" s="29">
        <f>IFERROR(IF(AND(ISNUMBER(B4600),ISNUMBER(H4600)),B4600/H4600-1,""),"")</f>
        <v/>
      </c>
      <c r="J4600" s="8">
        <f>IFERROR(IF(ISNUMBER(C4600),MAX(C4600,IFERROR(J4599,C4600)),""),"")</f>
        <v/>
      </c>
      <c r="K4600" s="29">
        <f>IFERROR(IF(AND(ISNUMBER(C4600),ISNUMBER(J4600)),C4600/J4600-1,""),"")</f>
        <v/>
      </c>
      <c r="L4600" s="28">
        <f>IFERROR(IF(AND(ISNUMBER(D4600),ISNUMBER(E4600)),D4600-E4600,""),"")</f>
        <v/>
      </c>
    </row>
    <row r="4601">
      <c r="A4601" s="7">
        <f>IFERROR(Datos!A4601,"")</f>
        <v/>
      </c>
      <c r="B4601" s="8">
        <f>IFERROR(Datos!B4601,"")</f>
        <v/>
      </c>
      <c r="C4601" s="8">
        <f>IFERROR(Datos!C4601,"")</f>
        <v/>
      </c>
      <c r="D4601" s="28">
        <f>IFERROR(IF(AND(ISNUMBER(B4601),ISNUMBER(B4600),B4600&lt;&gt;0),B4601/B4600-1,""),"")</f>
        <v/>
      </c>
      <c r="E4601" s="28">
        <f>IFERROR(IF(AND(ISNUMBER(C4601),ISNUMBER(C4600),C4600&lt;&gt;0),C4601/C4600-1,""),"")</f>
        <v/>
      </c>
      <c r="F4601" s="28">
        <f>IFERROR(D4601-Dashboard!$B$4/252,"")</f>
        <v/>
      </c>
      <c r="G4601" s="28">
        <f>IFERROR(E4601-Dashboard!$B$4/252,"")</f>
        <v/>
      </c>
      <c r="H4601" s="8">
        <f>IFERROR(IF(ISNUMBER(B4601),MAX(B4601,IFERROR(H4600,B4601)),""),"")</f>
        <v/>
      </c>
      <c r="I4601" s="29">
        <f>IFERROR(IF(AND(ISNUMBER(B4601),ISNUMBER(H4601)),B4601/H4601-1,""),"")</f>
        <v/>
      </c>
      <c r="J4601" s="8">
        <f>IFERROR(IF(ISNUMBER(C4601),MAX(C4601,IFERROR(J4600,C4601)),""),"")</f>
        <v/>
      </c>
      <c r="K4601" s="29">
        <f>IFERROR(IF(AND(ISNUMBER(C4601),ISNUMBER(J4601)),C4601/J4601-1,""),"")</f>
        <v/>
      </c>
      <c r="L4601" s="28">
        <f>IFERROR(IF(AND(ISNUMBER(D4601),ISNUMBER(E4601)),D4601-E4601,""),"")</f>
        <v/>
      </c>
    </row>
    <row r="4602">
      <c r="A4602" s="7">
        <f>IFERROR(Datos!A4602,"")</f>
        <v/>
      </c>
      <c r="B4602" s="8">
        <f>IFERROR(Datos!B4602,"")</f>
        <v/>
      </c>
      <c r="C4602" s="8">
        <f>IFERROR(Datos!C4602,"")</f>
        <v/>
      </c>
      <c r="D4602" s="28">
        <f>IFERROR(IF(AND(ISNUMBER(B4602),ISNUMBER(B4601),B4601&lt;&gt;0),B4602/B4601-1,""),"")</f>
        <v/>
      </c>
      <c r="E4602" s="28">
        <f>IFERROR(IF(AND(ISNUMBER(C4602),ISNUMBER(C4601),C4601&lt;&gt;0),C4602/C4601-1,""),"")</f>
        <v/>
      </c>
      <c r="F4602" s="28">
        <f>IFERROR(D4602-Dashboard!$B$4/252,"")</f>
        <v/>
      </c>
      <c r="G4602" s="28">
        <f>IFERROR(E4602-Dashboard!$B$4/252,"")</f>
        <v/>
      </c>
      <c r="H4602" s="8">
        <f>IFERROR(IF(ISNUMBER(B4602),MAX(B4602,IFERROR(H4601,B4602)),""),"")</f>
        <v/>
      </c>
      <c r="I4602" s="29">
        <f>IFERROR(IF(AND(ISNUMBER(B4602),ISNUMBER(H4602)),B4602/H4602-1,""),"")</f>
        <v/>
      </c>
      <c r="J4602" s="8">
        <f>IFERROR(IF(ISNUMBER(C4602),MAX(C4602,IFERROR(J4601,C4602)),""),"")</f>
        <v/>
      </c>
      <c r="K4602" s="29">
        <f>IFERROR(IF(AND(ISNUMBER(C4602),ISNUMBER(J4602)),C4602/J4602-1,""),"")</f>
        <v/>
      </c>
      <c r="L4602" s="28">
        <f>IFERROR(IF(AND(ISNUMBER(D4602),ISNUMBER(E4602)),D4602-E4602,""),"")</f>
        <v/>
      </c>
    </row>
    <row r="4603">
      <c r="A4603" s="7">
        <f>IFERROR(Datos!A4603,"")</f>
        <v/>
      </c>
      <c r="B4603" s="8">
        <f>IFERROR(Datos!B4603,"")</f>
        <v/>
      </c>
      <c r="C4603" s="8">
        <f>IFERROR(Datos!C4603,"")</f>
        <v/>
      </c>
      <c r="D4603" s="28">
        <f>IFERROR(IF(AND(ISNUMBER(B4603),ISNUMBER(B4602),B4602&lt;&gt;0),B4603/B4602-1,""),"")</f>
        <v/>
      </c>
      <c r="E4603" s="28">
        <f>IFERROR(IF(AND(ISNUMBER(C4603),ISNUMBER(C4602),C4602&lt;&gt;0),C4603/C4602-1,""),"")</f>
        <v/>
      </c>
      <c r="F4603" s="28">
        <f>IFERROR(D4603-Dashboard!$B$4/252,"")</f>
        <v/>
      </c>
      <c r="G4603" s="28">
        <f>IFERROR(E4603-Dashboard!$B$4/252,"")</f>
        <v/>
      </c>
      <c r="H4603" s="8">
        <f>IFERROR(IF(ISNUMBER(B4603),MAX(B4603,IFERROR(H4602,B4603)),""),"")</f>
        <v/>
      </c>
      <c r="I4603" s="29">
        <f>IFERROR(IF(AND(ISNUMBER(B4603),ISNUMBER(H4603)),B4603/H4603-1,""),"")</f>
        <v/>
      </c>
      <c r="J4603" s="8">
        <f>IFERROR(IF(ISNUMBER(C4603),MAX(C4603,IFERROR(J4602,C4603)),""),"")</f>
        <v/>
      </c>
      <c r="K4603" s="29">
        <f>IFERROR(IF(AND(ISNUMBER(C4603),ISNUMBER(J4603)),C4603/J4603-1,""),"")</f>
        <v/>
      </c>
      <c r="L4603" s="28">
        <f>IFERROR(IF(AND(ISNUMBER(D4603),ISNUMBER(E4603)),D4603-E4603,""),"")</f>
        <v/>
      </c>
    </row>
    <row r="4604">
      <c r="A4604" s="7">
        <f>IFERROR(Datos!A4604,"")</f>
        <v/>
      </c>
      <c r="B4604" s="8">
        <f>IFERROR(Datos!B4604,"")</f>
        <v/>
      </c>
      <c r="C4604" s="8">
        <f>IFERROR(Datos!C4604,"")</f>
        <v/>
      </c>
      <c r="D4604" s="28">
        <f>IFERROR(IF(AND(ISNUMBER(B4604),ISNUMBER(B4603),B4603&lt;&gt;0),B4604/B4603-1,""),"")</f>
        <v/>
      </c>
      <c r="E4604" s="28">
        <f>IFERROR(IF(AND(ISNUMBER(C4604),ISNUMBER(C4603),C4603&lt;&gt;0),C4604/C4603-1,""),"")</f>
        <v/>
      </c>
      <c r="F4604" s="28">
        <f>IFERROR(D4604-Dashboard!$B$4/252,"")</f>
        <v/>
      </c>
      <c r="G4604" s="28">
        <f>IFERROR(E4604-Dashboard!$B$4/252,"")</f>
        <v/>
      </c>
      <c r="H4604" s="8">
        <f>IFERROR(IF(ISNUMBER(B4604),MAX(B4604,IFERROR(H4603,B4604)),""),"")</f>
        <v/>
      </c>
      <c r="I4604" s="29">
        <f>IFERROR(IF(AND(ISNUMBER(B4604),ISNUMBER(H4604)),B4604/H4604-1,""),"")</f>
        <v/>
      </c>
      <c r="J4604" s="8">
        <f>IFERROR(IF(ISNUMBER(C4604),MAX(C4604,IFERROR(J4603,C4604)),""),"")</f>
        <v/>
      </c>
      <c r="K4604" s="29">
        <f>IFERROR(IF(AND(ISNUMBER(C4604),ISNUMBER(J4604)),C4604/J4604-1,""),"")</f>
        <v/>
      </c>
      <c r="L4604" s="28">
        <f>IFERROR(IF(AND(ISNUMBER(D4604),ISNUMBER(E4604)),D4604-E4604,""),"")</f>
        <v/>
      </c>
    </row>
    <row r="4605">
      <c r="A4605" s="7">
        <f>IFERROR(Datos!A4605,"")</f>
        <v/>
      </c>
      <c r="B4605" s="8">
        <f>IFERROR(Datos!B4605,"")</f>
        <v/>
      </c>
      <c r="C4605" s="8">
        <f>IFERROR(Datos!C4605,"")</f>
        <v/>
      </c>
      <c r="D4605" s="28">
        <f>IFERROR(IF(AND(ISNUMBER(B4605),ISNUMBER(B4604),B4604&lt;&gt;0),B4605/B4604-1,""),"")</f>
        <v/>
      </c>
      <c r="E4605" s="28">
        <f>IFERROR(IF(AND(ISNUMBER(C4605),ISNUMBER(C4604),C4604&lt;&gt;0),C4605/C4604-1,""),"")</f>
        <v/>
      </c>
      <c r="F4605" s="28">
        <f>IFERROR(D4605-Dashboard!$B$4/252,"")</f>
        <v/>
      </c>
      <c r="G4605" s="28">
        <f>IFERROR(E4605-Dashboard!$B$4/252,"")</f>
        <v/>
      </c>
      <c r="H4605" s="8">
        <f>IFERROR(IF(ISNUMBER(B4605),MAX(B4605,IFERROR(H4604,B4605)),""),"")</f>
        <v/>
      </c>
      <c r="I4605" s="29">
        <f>IFERROR(IF(AND(ISNUMBER(B4605),ISNUMBER(H4605)),B4605/H4605-1,""),"")</f>
        <v/>
      </c>
      <c r="J4605" s="8">
        <f>IFERROR(IF(ISNUMBER(C4605),MAX(C4605,IFERROR(J4604,C4605)),""),"")</f>
        <v/>
      </c>
      <c r="K4605" s="29">
        <f>IFERROR(IF(AND(ISNUMBER(C4605),ISNUMBER(J4605)),C4605/J4605-1,""),"")</f>
        <v/>
      </c>
      <c r="L4605" s="28">
        <f>IFERROR(IF(AND(ISNUMBER(D4605),ISNUMBER(E4605)),D4605-E4605,""),"")</f>
        <v/>
      </c>
    </row>
    <row r="4606">
      <c r="A4606" s="7">
        <f>IFERROR(Datos!A4606,"")</f>
        <v/>
      </c>
      <c r="B4606" s="8">
        <f>IFERROR(Datos!B4606,"")</f>
        <v/>
      </c>
      <c r="C4606" s="8">
        <f>IFERROR(Datos!C4606,"")</f>
        <v/>
      </c>
      <c r="D4606" s="28">
        <f>IFERROR(IF(AND(ISNUMBER(B4606),ISNUMBER(B4605),B4605&lt;&gt;0),B4606/B4605-1,""),"")</f>
        <v/>
      </c>
      <c r="E4606" s="28">
        <f>IFERROR(IF(AND(ISNUMBER(C4606),ISNUMBER(C4605),C4605&lt;&gt;0),C4606/C4605-1,""),"")</f>
        <v/>
      </c>
      <c r="F4606" s="28">
        <f>IFERROR(D4606-Dashboard!$B$4/252,"")</f>
        <v/>
      </c>
      <c r="G4606" s="28">
        <f>IFERROR(E4606-Dashboard!$B$4/252,"")</f>
        <v/>
      </c>
      <c r="H4606" s="8">
        <f>IFERROR(IF(ISNUMBER(B4606),MAX(B4606,IFERROR(H4605,B4606)),""),"")</f>
        <v/>
      </c>
      <c r="I4606" s="29">
        <f>IFERROR(IF(AND(ISNUMBER(B4606),ISNUMBER(H4606)),B4606/H4606-1,""),"")</f>
        <v/>
      </c>
      <c r="J4606" s="8">
        <f>IFERROR(IF(ISNUMBER(C4606),MAX(C4606,IFERROR(J4605,C4606)),""),"")</f>
        <v/>
      </c>
      <c r="K4606" s="29">
        <f>IFERROR(IF(AND(ISNUMBER(C4606),ISNUMBER(J4606)),C4606/J4606-1,""),"")</f>
        <v/>
      </c>
      <c r="L4606" s="28">
        <f>IFERROR(IF(AND(ISNUMBER(D4606),ISNUMBER(E4606)),D4606-E4606,""),"")</f>
        <v/>
      </c>
    </row>
    <row r="4607">
      <c r="A4607" s="7">
        <f>IFERROR(Datos!A4607,"")</f>
        <v/>
      </c>
      <c r="B4607" s="8">
        <f>IFERROR(Datos!B4607,"")</f>
        <v/>
      </c>
      <c r="C4607" s="8">
        <f>IFERROR(Datos!C4607,"")</f>
        <v/>
      </c>
      <c r="D4607" s="28">
        <f>IFERROR(IF(AND(ISNUMBER(B4607),ISNUMBER(B4606),B4606&lt;&gt;0),B4607/B4606-1,""),"")</f>
        <v/>
      </c>
      <c r="E4607" s="28">
        <f>IFERROR(IF(AND(ISNUMBER(C4607),ISNUMBER(C4606),C4606&lt;&gt;0),C4607/C4606-1,""),"")</f>
        <v/>
      </c>
      <c r="F4607" s="28">
        <f>IFERROR(D4607-Dashboard!$B$4/252,"")</f>
        <v/>
      </c>
      <c r="G4607" s="28">
        <f>IFERROR(E4607-Dashboard!$B$4/252,"")</f>
        <v/>
      </c>
      <c r="H4607" s="8">
        <f>IFERROR(IF(ISNUMBER(B4607),MAX(B4607,IFERROR(H4606,B4607)),""),"")</f>
        <v/>
      </c>
      <c r="I4607" s="29">
        <f>IFERROR(IF(AND(ISNUMBER(B4607),ISNUMBER(H4607)),B4607/H4607-1,""),"")</f>
        <v/>
      </c>
      <c r="J4607" s="8">
        <f>IFERROR(IF(ISNUMBER(C4607),MAX(C4607,IFERROR(J4606,C4607)),""),"")</f>
        <v/>
      </c>
      <c r="K4607" s="29">
        <f>IFERROR(IF(AND(ISNUMBER(C4607),ISNUMBER(J4607)),C4607/J4607-1,""),"")</f>
        <v/>
      </c>
      <c r="L4607" s="28">
        <f>IFERROR(IF(AND(ISNUMBER(D4607),ISNUMBER(E4607)),D4607-E4607,""),"")</f>
        <v/>
      </c>
    </row>
    <row r="4608">
      <c r="A4608" s="7">
        <f>IFERROR(Datos!A4608,"")</f>
        <v/>
      </c>
      <c r="B4608" s="8">
        <f>IFERROR(Datos!B4608,"")</f>
        <v/>
      </c>
      <c r="C4608" s="8">
        <f>IFERROR(Datos!C4608,"")</f>
        <v/>
      </c>
      <c r="D4608" s="28">
        <f>IFERROR(IF(AND(ISNUMBER(B4608),ISNUMBER(B4607),B4607&lt;&gt;0),B4608/B4607-1,""),"")</f>
        <v/>
      </c>
      <c r="E4608" s="28">
        <f>IFERROR(IF(AND(ISNUMBER(C4608),ISNUMBER(C4607),C4607&lt;&gt;0),C4608/C4607-1,""),"")</f>
        <v/>
      </c>
      <c r="F4608" s="28">
        <f>IFERROR(D4608-Dashboard!$B$4/252,"")</f>
        <v/>
      </c>
      <c r="G4608" s="28">
        <f>IFERROR(E4608-Dashboard!$B$4/252,"")</f>
        <v/>
      </c>
      <c r="H4608" s="8">
        <f>IFERROR(IF(ISNUMBER(B4608),MAX(B4608,IFERROR(H4607,B4608)),""),"")</f>
        <v/>
      </c>
      <c r="I4608" s="29">
        <f>IFERROR(IF(AND(ISNUMBER(B4608),ISNUMBER(H4608)),B4608/H4608-1,""),"")</f>
        <v/>
      </c>
      <c r="J4608" s="8">
        <f>IFERROR(IF(ISNUMBER(C4608),MAX(C4608,IFERROR(J4607,C4608)),""),"")</f>
        <v/>
      </c>
      <c r="K4608" s="29">
        <f>IFERROR(IF(AND(ISNUMBER(C4608),ISNUMBER(J4608)),C4608/J4608-1,""),"")</f>
        <v/>
      </c>
      <c r="L4608" s="28">
        <f>IFERROR(IF(AND(ISNUMBER(D4608),ISNUMBER(E4608)),D4608-E4608,""),"")</f>
        <v/>
      </c>
    </row>
    <row r="4609">
      <c r="A4609" s="7">
        <f>IFERROR(Datos!A4609,"")</f>
        <v/>
      </c>
      <c r="B4609" s="8">
        <f>IFERROR(Datos!B4609,"")</f>
        <v/>
      </c>
      <c r="C4609" s="8">
        <f>IFERROR(Datos!C4609,"")</f>
        <v/>
      </c>
      <c r="D4609" s="28">
        <f>IFERROR(IF(AND(ISNUMBER(B4609),ISNUMBER(B4608),B4608&lt;&gt;0),B4609/B4608-1,""),"")</f>
        <v/>
      </c>
      <c r="E4609" s="28">
        <f>IFERROR(IF(AND(ISNUMBER(C4609),ISNUMBER(C4608),C4608&lt;&gt;0),C4609/C4608-1,""),"")</f>
        <v/>
      </c>
      <c r="F4609" s="28">
        <f>IFERROR(D4609-Dashboard!$B$4/252,"")</f>
        <v/>
      </c>
      <c r="G4609" s="28">
        <f>IFERROR(E4609-Dashboard!$B$4/252,"")</f>
        <v/>
      </c>
      <c r="H4609" s="8">
        <f>IFERROR(IF(ISNUMBER(B4609),MAX(B4609,IFERROR(H4608,B4609)),""),"")</f>
        <v/>
      </c>
      <c r="I4609" s="29">
        <f>IFERROR(IF(AND(ISNUMBER(B4609),ISNUMBER(H4609)),B4609/H4609-1,""),"")</f>
        <v/>
      </c>
      <c r="J4609" s="8">
        <f>IFERROR(IF(ISNUMBER(C4609),MAX(C4609,IFERROR(J4608,C4609)),""),"")</f>
        <v/>
      </c>
      <c r="K4609" s="29">
        <f>IFERROR(IF(AND(ISNUMBER(C4609),ISNUMBER(J4609)),C4609/J4609-1,""),"")</f>
        <v/>
      </c>
      <c r="L4609" s="28">
        <f>IFERROR(IF(AND(ISNUMBER(D4609),ISNUMBER(E4609)),D4609-E4609,""),"")</f>
        <v/>
      </c>
    </row>
    <row r="4610">
      <c r="A4610" s="7">
        <f>IFERROR(Datos!A4610,"")</f>
        <v/>
      </c>
      <c r="B4610" s="8">
        <f>IFERROR(Datos!B4610,"")</f>
        <v/>
      </c>
      <c r="C4610" s="8">
        <f>IFERROR(Datos!C4610,"")</f>
        <v/>
      </c>
      <c r="D4610" s="28">
        <f>IFERROR(IF(AND(ISNUMBER(B4610),ISNUMBER(B4609),B4609&lt;&gt;0),B4610/B4609-1,""),"")</f>
        <v/>
      </c>
      <c r="E4610" s="28">
        <f>IFERROR(IF(AND(ISNUMBER(C4610),ISNUMBER(C4609),C4609&lt;&gt;0),C4610/C4609-1,""),"")</f>
        <v/>
      </c>
      <c r="F4610" s="28">
        <f>IFERROR(D4610-Dashboard!$B$4/252,"")</f>
        <v/>
      </c>
      <c r="G4610" s="28">
        <f>IFERROR(E4610-Dashboard!$B$4/252,"")</f>
        <v/>
      </c>
      <c r="H4610" s="8">
        <f>IFERROR(IF(ISNUMBER(B4610),MAX(B4610,IFERROR(H4609,B4610)),""),"")</f>
        <v/>
      </c>
      <c r="I4610" s="29">
        <f>IFERROR(IF(AND(ISNUMBER(B4610),ISNUMBER(H4610)),B4610/H4610-1,""),"")</f>
        <v/>
      </c>
      <c r="J4610" s="8">
        <f>IFERROR(IF(ISNUMBER(C4610),MAX(C4610,IFERROR(J4609,C4610)),""),"")</f>
        <v/>
      </c>
      <c r="K4610" s="29">
        <f>IFERROR(IF(AND(ISNUMBER(C4610),ISNUMBER(J4610)),C4610/J4610-1,""),"")</f>
        <v/>
      </c>
      <c r="L4610" s="28">
        <f>IFERROR(IF(AND(ISNUMBER(D4610),ISNUMBER(E4610)),D4610-E4610,""),"")</f>
        <v/>
      </c>
    </row>
    <row r="4611">
      <c r="A4611" s="7">
        <f>IFERROR(Datos!A4611,"")</f>
        <v/>
      </c>
      <c r="B4611" s="8">
        <f>IFERROR(Datos!B4611,"")</f>
        <v/>
      </c>
      <c r="C4611" s="8">
        <f>IFERROR(Datos!C4611,"")</f>
        <v/>
      </c>
      <c r="D4611" s="28">
        <f>IFERROR(IF(AND(ISNUMBER(B4611),ISNUMBER(B4610),B4610&lt;&gt;0),B4611/B4610-1,""),"")</f>
        <v/>
      </c>
      <c r="E4611" s="28">
        <f>IFERROR(IF(AND(ISNUMBER(C4611),ISNUMBER(C4610),C4610&lt;&gt;0),C4611/C4610-1,""),"")</f>
        <v/>
      </c>
      <c r="F4611" s="28">
        <f>IFERROR(D4611-Dashboard!$B$4/252,"")</f>
        <v/>
      </c>
      <c r="G4611" s="28">
        <f>IFERROR(E4611-Dashboard!$B$4/252,"")</f>
        <v/>
      </c>
      <c r="H4611" s="8">
        <f>IFERROR(IF(ISNUMBER(B4611),MAX(B4611,IFERROR(H4610,B4611)),""),"")</f>
        <v/>
      </c>
      <c r="I4611" s="29">
        <f>IFERROR(IF(AND(ISNUMBER(B4611),ISNUMBER(H4611)),B4611/H4611-1,""),"")</f>
        <v/>
      </c>
      <c r="J4611" s="8">
        <f>IFERROR(IF(ISNUMBER(C4611),MAX(C4611,IFERROR(J4610,C4611)),""),"")</f>
        <v/>
      </c>
      <c r="K4611" s="29">
        <f>IFERROR(IF(AND(ISNUMBER(C4611),ISNUMBER(J4611)),C4611/J4611-1,""),"")</f>
        <v/>
      </c>
      <c r="L4611" s="28">
        <f>IFERROR(IF(AND(ISNUMBER(D4611),ISNUMBER(E4611)),D4611-E4611,""),"")</f>
        <v/>
      </c>
    </row>
    <row r="4612">
      <c r="A4612" s="7">
        <f>IFERROR(Datos!A4612,"")</f>
        <v/>
      </c>
      <c r="B4612" s="8">
        <f>IFERROR(Datos!B4612,"")</f>
        <v/>
      </c>
      <c r="C4612" s="8">
        <f>IFERROR(Datos!C4612,"")</f>
        <v/>
      </c>
      <c r="D4612" s="28">
        <f>IFERROR(IF(AND(ISNUMBER(B4612),ISNUMBER(B4611),B4611&lt;&gt;0),B4612/B4611-1,""),"")</f>
        <v/>
      </c>
      <c r="E4612" s="28">
        <f>IFERROR(IF(AND(ISNUMBER(C4612),ISNUMBER(C4611),C4611&lt;&gt;0),C4612/C4611-1,""),"")</f>
        <v/>
      </c>
      <c r="F4612" s="28">
        <f>IFERROR(D4612-Dashboard!$B$4/252,"")</f>
        <v/>
      </c>
      <c r="G4612" s="28">
        <f>IFERROR(E4612-Dashboard!$B$4/252,"")</f>
        <v/>
      </c>
      <c r="H4612" s="8">
        <f>IFERROR(IF(ISNUMBER(B4612),MAX(B4612,IFERROR(H4611,B4612)),""),"")</f>
        <v/>
      </c>
      <c r="I4612" s="29">
        <f>IFERROR(IF(AND(ISNUMBER(B4612),ISNUMBER(H4612)),B4612/H4612-1,""),"")</f>
        <v/>
      </c>
      <c r="J4612" s="8">
        <f>IFERROR(IF(ISNUMBER(C4612),MAX(C4612,IFERROR(J4611,C4612)),""),"")</f>
        <v/>
      </c>
      <c r="K4612" s="29">
        <f>IFERROR(IF(AND(ISNUMBER(C4612),ISNUMBER(J4612)),C4612/J4612-1,""),"")</f>
        <v/>
      </c>
      <c r="L4612" s="28">
        <f>IFERROR(IF(AND(ISNUMBER(D4612),ISNUMBER(E4612)),D4612-E4612,""),"")</f>
        <v/>
      </c>
    </row>
    <row r="4613">
      <c r="A4613" s="7">
        <f>IFERROR(Datos!A4613,"")</f>
        <v/>
      </c>
      <c r="B4613" s="8">
        <f>IFERROR(Datos!B4613,"")</f>
        <v/>
      </c>
      <c r="C4613" s="8">
        <f>IFERROR(Datos!C4613,"")</f>
        <v/>
      </c>
      <c r="D4613" s="28">
        <f>IFERROR(IF(AND(ISNUMBER(B4613),ISNUMBER(B4612),B4612&lt;&gt;0),B4613/B4612-1,""),"")</f>
        <v/>
      </c>
      <c r="E4613" s="28">
        <f>IFERROR(IF(AND(ISNUMBER(C4613),ISNUMBER(C4612),C4612&lt;&gt;0),C4613/C4612-1,""),"")</f>
        <v/>
      </c>
      <c r="F4613" s="28">
        <f>IFERROR(D4613-Dashboard!$B$4/252,"")</f>
        <v/>
      </c>
      <c r="G4613" s="28">
        <f>IFERROR(E4613-Dashboard!$B$4/252,"")</f>
        <v/>
      </c>
      <c r="H4613" s="8">
        <f>IFERROR(IF(ISNUMBER(B4613),MAX(B4613,IFERROR(H4612,B4613)),""),"")</f>
        <v/>
      </c>
      <c r="I4613" s="29">
        <f>IFERROR(IF(AND(ISNUMBER(B4613),ISNUMBER(H4613)),B4613/H4613-1,""),"")</f>
        <v/>
      </c>
      <c r="J4613" s="8">
        <f>IFERROR(IF(ISNUMBER(C4613),MAX(C4613,IFERROR(J4612,C4613)),""),"")</f>
        <v/>
      </c>
      <c r="K4613" s="29">
        <f>IFERROR(IF(AND(ISNUMBER(C4613),ISNUMBER(J4613)),C4613/J4613-1,""),"")</f>
        <v/>
      </c>
      <c r="L4613" s="28">
        <f>IFERROR(IF(AND(ISNUMBER(D4613),ISNUMBER(E4613)),D4613-E4613,""),"")</f>
        <v/>
      </c>
    </row>
    <row r="4614">
      <c r="A4614" s="7">
        <f>IFERROR(Datos!A4614,"")</f>
        <v/>
      </c>
      <c r="B4614" s="8">
        <f>IFERROR(Datos!B4614,"")</f>
        <v/>
      </c>
      <c r="C4614" s="8">
        <f>IFERROR(Datos!C4614,"")</f>
        <v/>
      </c>
      <c r="D4614" s="28">
        <f>IFERROR(IF(AND(ISNUMBER(B4614),ISNUMBER(B4613),B4613&lt;&gt;0),B4614/B4613-1,""),"")</f>
        <v/>
      </c>
      <c r="E4614" s="28">
        <f>IFERROR(IF(AND(ISNUMBER(C4614),ISNUMBER(C4613),C4613&lt;&gt;0),C4614/C4613-1,""),"")</f>
        <v/>
      </c>
      <c r="F4614" s="28">
        <f>IFERROR(D4614-Dashboard!$B$4/252,"")</f>
        <v/>
      </c>
      <c r="G4614" s="28">
        <f>IFERROR(E4614-Dashboard!$B$4/252,"")</f>
        <v/>
      </c>
      <c r="H4614" s="8">
        <f>IFERROR(IF(ISNUMBER(B4614),MAX(B4614,IFERROR(H4613,B4614)),""),"")</f>
        <v/>
      </c>
      <c r="I4614" s="29">
        <f>IFERROR(IF(AND(ISNUMBER(B4614),ISNUMBER(H4614)),B4614/H4614-1,""),"")</f>
        <v/>
      </c>
      <c r="J4614" s="8">
        <f>IFERROR(IF(ISNUMBER(C4614),MAX(C4614,IFERROR(J4613,C4614)),""),"")</f>
        <v/>
      </c>
      <c r="K4614" s="29">
        <f>IFERROR(IF(AND(ISNUMBER(C4614),ISNUMBER(J4614)),C4614/J4614-1,""),"")</f>
        <v/>
      </c>
      <c r="L4614" s="28">
        <f>IFERROR(IF(AND(ISNUMBER(D4614),ISNUMBER(E4614)),D4614-E4614,""),"")</f>
        <v/>
      </c>
    </row>
    <row r="4615">
      <c r="A4615" s="7">
        <f>IFERROR(Datos!A4615,"")</f>
        <v/>
      </c>
      <c r="B4615" s="8">
        <f>IFERROR(Datos!B4615,"")</f>
        <v/>
      </c>
      <c r="C4615" s="8">
        <f>IFERROR(Datos!C4615,"")</f>
        <v/>
      </c>
      <c r="D4615" s="28">
        <f>IFERROR(IF(AND(ISNUMBER(B4615),ISNUMBER(B4614),B4614&lt;&gt;0),B4615/B4614-1,""),"")</f>
        <v/>
      </c>
      <c r="E4615" s="28">
        <f>IFERROR(IF(AND(ISNUMBER(C4615),ISNUMBER(C4614),C4614&lt;&gt;0),C4615/C4614-1,""),"")</f>
        <v/>
      </c>
      <c r="F4615" s="28">
        <f>IFERROR(D4615-Dashboard!$B$4/252,"")</f>
        <v/>
      </c>
      <c r="G4615" s="28">
        <f>IFERROR(E4615-Dashboard!$B$4/252,"")</f>
        <v/>
      </c>
      <c r="H4615" s="8">
        <f>IFERROR(IF(ISNUMBER(B4615),MAX(B4615,IFERROR(H4614,B4615)),""),"")</f>
        <v/>
      </c>
      <c r="I4615" s="29">
        <f>IFERROR(IF(AND(ISNUMBER(B4615),ISNUMBER(H4615)),B4615/H4615-1,""),"")</f>
        <v/>
      </c>
      <c r="J4615" s="8">
        <f>IFERROR(IF(ISNUMBER(C4615),MAX(C4615,IFERROR(J4614,C4615)),""),"")</f>
        <v/>
      </c>
      <c r="K4615" s="29">
        <f>IFERROR(IF(AND(ISNUMBER(C4615),ISNUMBER(J4615)),C4615/J4615-1,""),"")</f>
        <v/>
      </c>
      <c r="L4615" s="28">
        <f>IFERROR(IF(AND(ISNUMBER(D4615),ISNUMBER(E4615)),D4615-E4615,""),"")</f>
        <v/>
      </c>
    </row>
    <row r="4616">
      <c r="A4616" s="7">
        <f>IFERROR(Datos!A4616,"")</f>
        <v/>
      </c>
      <c r="B4616" s="8">
        <f>IFERROR(Datos!B4616,"")</f>
        <v/>
      </c>
      <c r="C4616" s="8">
        <f>IFERROR(Datos!C4616,"")</f>
        <v/>
      </c>
      <c r="D4616" s="28">
        <f>IFERROR(IF(AND(ISNUMBER(B4616),ISNUMBER(B4615),B4615&lt;&gt;0),B4616/B4615-1,""),"")</f>
        <v/>
      </c>
      <c r="E4616" s="28">
        <f>IFERROR(IF(AND(ISNUMBER(C4616),ISNUMBER(C4615),C4615&lt;&gt;0),C4616/C4615-1,""),"")</f>
        <v/>
      </c>
      <c r="F4616" s="28">
        <f>IFERROR(D4616-Dashboard!$B$4/252,"")</f>
        <v/>
      </c>
      <c r="G4616" s="28">
        <f>IFERROR(E4616-Dashboard!$B$4/252,"")</f>
        <v/>
      </c>
      <c r="H4616" s="8">
        <f>IFERROR(IF(ISNUMBER(B4616),MAX(B4616,IFERROR(H4615,B4616)),""),"")</f>
        <v/>
      </c>
      <c r="I4616" s="29">
        <f>IFERROR(IF(AND(ISNUMBER(B4616),ISNUMBER(H4616)),B4616/H4616-1,""),"")</f>
        <v/>
      </c>
      <c r="J4616" s="8">
        <f>IFERROR(IF(ISNUMBER(C4616),MAX(C4616,IFERROR(J4615,C4616)),""),"")</f>
        <v/>
      </c>
      <c r="K4616" s="29">
        <f>IFERROR(IF(AND(ISNUMBER(C4616),ISNUMBER(J4616)),C4616/J4616-1,""),"")</f>
        <v/>
      </c>
      <c r="L4616" s="28">
        <f>IFERROR(IF(AND(ISNUMBER(D4616),ISNUMBER(E4616)),D4616-E4616,""),"")</f>
        <v/>
      </c>
    </row>
    <row r="4617">
      <c r="A4617" s="7">
        <f>IFERROR(Datos!A4617,"")</f>
        <v/>
      </c>
      <c r="B4617" s="8">
        <f>IFERROR(Datos!B4617,"")</f>
        <v/>
      </c>
      <c r="C4617" s="8">
        <f>IFERROR(Datos!C4617,"")</f>
        <v/>
      </c>
      <c r="D4617" s="28">
        <f>IFERROR(IF(AND(ISNUMBER(B4617),ISNUMBER(B4616),B4616&lt;&gt;0),B4617/B4616-1,""),"")</f>
        <v/>
      </c>
      <c r="E4617" s="28">
        <f>IFERROR(IF(AND(ISNUMBER(C4617),ISNUMBER(C4616),C4616&lt;&gt;0),C4617/C4616-1,""),"")</f>
        <v/>
      </c>
      <c r="F4617" s="28">
        <f>IFERROR(D4617-Dashboard!$B$4/252,"")</f>
        <v/>
      </c>
      <c r="G4617" s="28">
        <f>IFERROR(E4617-Dashboard!$B$4/252,"")</f>
        <v/>
      </c>
      <c r="H4617" s="8">
        <f>IFERROR(IF(ISNUMBER(B4617),MAX(B4617,IFERROR(H4616,B4617)),""),"")</f>
        <v/>
      </c>
      <c r="I4617" s="29">
        <f>IFERROR(IF(AND(ISNUMBER(B4617),ISNUMBER(H4617)),B4617/H4617-1,""),"")</f>
        <v/>
      </c>
      <c r="J4617" s="8">
        <f>IFERROR(IF(ISNUMBER(C4617),MAX(C4617,IFERROR(J4616,C4617)),""),"")</f>
        <v/>
      </c>
      <c r="K4617" s="29">
        <f>IFERROR(IF(AND(ISNUMBER(C4617),ISNUMBER(J4617)),C4617/J4617-1,""),"")</f>
        <v/>
      </c>
      <c r="L4617" s="28">
        <f>IFERROR(IF(AND(ISNUMBER(D4617),ISNUMBER(E4617)),D4617-E4617,""),"")</f>
        <v/>
      </c>
    </row>
    <row r="4618">
      <c r="A4618" s="7">
        <f>IFERROR(Datos!A4618,"")</f>
        <v/>
      </c>
      <c r="B4618" s="8">
        <f>IFERROR(Datos!B4618,"")</f>
        <v/>
      </c>
      <c r="C4618" s="8">
        <f>IFERROR(Datos!C4618,"")</f>
        <v/>
      </c>
      <c r="D4618" s="28">
        <f>IFERROR(IF(AND(ISNUMBER(B4618),ISNUMBER(B4617),B4617&lt;&gt;0),B4618/B4617-1,""),"")</f>
        <v/>
      </c>
      <c r="E4618" s="28">
        <f>IFERROR(IF(AND(ISNUMBER(C4618),ISNUMBER(C4617),C4617&lt;&gt;0),C4618/C4617-1,""),"")</f>
        <v/>
      </c>
      <c r="F4618" s="28">
        <f>IFERROR(D4618-Dashboard!$B$4/252,"")</f>
        <v/>
      </c>
      <c r="G4618" s="28">
        <f>IFERROR(E4618-Dashboard!$B$4/252,"")</f>
        <v/>
      </c>
      <c r="H4618" s="8">
        <f>IFERROR(IF(ISNUMBER(B4618),MAX(B4618,IFERROR(H4617,B4618)),""),"")</f>
        <v/>
      </c>
      <c r="I4618" s="29">
        <f>IFERROR(IF(AND(ISNUMBER(B4618),ISNUMBER(H4618)),B4618/H4618-1,""),"")</f>
        <v/>
      </c>
      <c r="J4618" s="8">
        <f>IFERROR(IF(ISNUMBER(C4618),MAX(C4618,IFERROR(J4617,C4618)),""),"")</f>
        <v/>
      </c>
      <c r="K4618" s="29">
        <f>IFERROR(IF(AND(ISNUMBER(C4618),ISNUMBER(J4618)),C4618/J4618-1,""),"")</f>
        <v/>
      </c>
      <c r="L4618" s="28">
        <f>IFERROR(IF(AND(ISNUMBER(D4618),ISNUMBER(E4618)),D4618-E4618,""),"")</f>
        <v/>
      </c>
    </row>
    <row r="4619">
      <c r="A4619" s="7">
        <f>IFERROR(Datos!A4619,"")</f>
        <v/>
      </c>
      <c r="B4619" s="8">
        <f>IFERROR(Datos!B4619,"")</f>
        <v/>
      </c>
      <c r="C4619" s="8">
        <f>IFERROR(Datos!C4619,"")</f>
        <v/>
      </c>
      <c r="D4619" s="28">
        <f>IFERROR(IF(AND(ISNUMBER(B4619),ISNUMBER(B4618),B4618&lt;&gt;0),B4619/B4618-1,""),"")</f>
        <v/>
      </c>
      <c r="E4619" s="28">
        <f>IFERROR(IF(AND(ISNUMBER(C4619),ISNUMBER(C4618),C4618&lt;&gt;0),C4619/C4618-1,""),"")</f>
        <v/>
      </c>
      <c r="F4619" s="28">
        <f>IFERROR(D4619-Dashboard!$B$4/252,"")</f>
        <v/>
      </c>
      <c r="G4619" s="28">
        <f>IFERROR(E4619-Dashboard!$B$4/252,"")</f>
        <v/>
      </c>
      <c r="H4619" s="8">
        <f>IFERROR(IF(ISNUMBER(B4619),MAX(B4619,IFERROR(H4618,B4619)),""),"")</f>
        <v/>
      </c>
      <c r="I4619" s="29">
        <f>IFERROR(IF(AND(ISNUMBER(B4619),ISNUMBER(H4619)),B4619/H4619-1,""),"")</f>
        <v/>
      </c>
      <c r="J4619" s="8">
        <f>IFERROR(IF(ISNUMBER(C4619),MAX(C4619,IFERROR(J4618,C4619)),""),"")</f>
        <v/>
      </c>
      <c r="K4619" s="29">
        <f>IFERROR(IF(AND(ISNUMBER(C4619),ISNUMBER(J4619)),C4619/J4619-1,""),"")</f>
        <v/>
      </c>
      <c r="L4619" s="28">
        <f>IFERROR(IF(AND(ISNUMBER(D4619),ISNUMBER(E4619)),D4619-E4619,""),"")</f>
        <v/>
      </c>
    </row>
    <row r="4620">
      <c r="A4620" s="7">
        <f>IFERROR(Datos!A4620,"")</f>
        <v/>
      </c>
      <c r="B4620" s="8">
        <f>IFERROR(Datos!B4620,"")</f>
        <v/>
      </c>
      <c r="C4620" s="8">
        <f>IFERROR(Datos!C4620,"")</f>
        <v/>
      </c>
      <c r="D4620" s="28">
        <f>IFERROR(IF(AND(ISNUMBER(B4620),ISNUMBER(B4619),B4619&lt;&gt;0),B4620/B4619-1,""),"")</f>
        <v/>
      </c>
      <c r="E4620" s="28">
        <f>IFERROR(IF(AND(ISNUMBER(C4620),ISNUMBER(C4619),C4619&lt;&gt;0),C4620/C4619-1,""),"")</f>
        <v/>
      </c>
      <c r="F4620" s="28">
        <f>IFERROR(D4620-Dashboard!$B$4/252,"")</f>
        <v/>
      </c>
      <c r="G4620" s="28">
        <f>IFERROR(E4620-Dashboard!$B$4/252,"")</f>
        <v/>
      </c>
      <c r="H4620" s="8">
        <f>IFERROR(IF(ISNUMBER(B4620),MAX(B4620,IFERROR(H4619,B4620)),""),"")</f>
        <v/>
      </c>
      <c r="I4620" s="29">
        <f>IFERROR(IF(AND(ISNUMBER(B4620),ISNUMBER(H4620)),B4620/H4620-1,""),"")</f>
        <v/>
      </c>
      <c r="J4620" s="8">
        <f>IFERROR(IF(ISNUMBER(C4620),MAX(C4620,IFERROR(J4619,C4620)),""),"")</f>
        <v/>
      </c>
      <c r="K4620" s="29">
        <f>IFERROR(IF(AND(ISNUMBER(C4620),ISNUMBER(J4620)),C4620/J4620-1,""),"")</f>
        <v/>
      </c>
      <c r="L4620" s="28">
        <f>IFERROR(IF(AND(ISNUMBER(D4620),ISNUMBER(E4620)),D4620-E4620,""),"")</f>
        <v/>
      </c>
    </row>
    <row r="4621">
      <c r="A4621" s="7">
        <f>IFERROR(Datos!A4621,"")</f>
        <v/>
      </c>
      <c r="B4621" s="8">
        <f>IFERROR(Datos!B4621,"")</f>
        <v/>
      </c>
      <c r="C4621" s="8">
        <f>IFERROR(Datos!C4621,"")</f>
        <v/>
      </c>
      <c r="D4621" s="28">
        <f>IFERROR(IF(AND(ISNUMBER(B4621),ISNUMBER(B4620),B4620&lt;&gt;0),B4621/B4620-1,""),"")</f>
        <v/>
      </c>
      <c r="E4621" s="28">
        <f>IFERROR(IF(AND(ISNUMBER(C4621),ISNUMBER(C4620),C4620&lt;&gt;0),C4621/C4620-1,""),"")</f>
        <v/>
      </c>
      <c r="F4621" s="28">
        <f>IFERROR(D4621-Dashboard!$B$4/252,"")</f>
        <v/>
      </c>
      <c r="G4621" s="28">
        <f>IFERROR(E4621-Dashboard!$B$4/252,"")</f>
        <v/>
      </c>
      <c r="H4621" s="8">
        <f>IFERROR(IF(ISNUMBER(B4621),MAX(B4621,IFERROR(H4620,B4621)),""),"")</f>
        <v/>
      </c>
      <c r="I4621" s="29">
        <f>IFERROR(IF(AND(ISNUMBER(B4621),ISNUMBER(H4621)),B4621/H4621-1,""),"")</f>
        <v/>
      </c>
      <c r="J4621" s="8">
        <f>IFERROR(IF(ISNUMBER(C4621),MAX(C4621,IFERROR(J4620,C4621)),""),"")</f>
        <v/>
      </c>
      <c r="K4621" s="29">
        <f>IFERROR(IF(AND(ISNUMBER(C4621),ISNUMBER(J4621)),C4621/J4621-1,""),"")</f>
        <v/>
      </c>
      <c r="L4621" s="28">
        <f>IFERROR(IF(AND(ISNUMBER(D4621),ISNUMBER(E4621)),D4621-E4621,""),"")</f>
        <v/>
      </c>
    </row>
    <row r="4622">
      <c r="A4622" s="7">
        <f>IFERROR(Datos!A4622,"")</f>
        <v/>
      </c>
      <c r="B4622" s="8">
        <f>IFERROR(Datos!B4622,"")</f>
        <v/>
      </c>
      <c r="C4622" s="8">
        <f>IFERROR(Datos!C4622,"")</f>
        <v/>
      </c>
      <c r="D4622" s="28">
        <f>IFERROR(IF(AND(ISNUMBER(B4622),ISNUMBER(B4621),B4621&lt;&gt;0),B4622/B4621-1,""),"")</f>
        <v/>
      </c>
      <c r="E4622" s="28">
        <f>IFERROR(IF(AND(ISNUMBER(C4622),ISNUMBER(C4621),C4621&lt;&gt;0),C4622/C4621-1,""),"")</f>
        <v/>
      </c>
      <c r="F4622" s="28">
        <f>IFERROR(D4622-Dashboard!$B$4/252,"")</f>
        <v/>
      </c>
      <c r="G4622" s="28">
        <f>IFERROR(E4622-Dashboard!$B$4/252,"")</f>
        <v/>
      </c>
      <c r="H4622" s="8">
        <f>IFERROR(IF(ISNUMBER(B4622),MAX(B4622,IFERROR(H4621,B4622)),""),"")</f>
        <v/>
      </c>
      <c r="I4622" s="29">
        <f>IFERROR(IF(AND(ISNUMBER(B4622),ISNUMBER(H4622)),B4622/H4622-1,""),"")</f>
        <v/>
      </c>
      <c r="J4622" s="8">
        <f>IFERROR(IF(ISNUMBER(C4622),MAX(C4622,IFERROR(J4621,C4622)),""),"")</f>
        <v/>
      </c>
      <c r="K4622" s="29">
        <f>IFERROR(IF(AND(ISNUMBER(C4622),ISNUMBER(J4622)),C4622/J4622-1,""),"")</f>
        <v/>
      </c>
      <c r="L4622" s="28">
        <f>IFERROR(IF(AND(ISNUMBER(D4622),ISNUMBER(E4622)),D4622-E4622,""),"")</f>
        <v/>
      </c>
    </row>
    <row r="4623">
      <c r="A4623" s="7">
        <f>IFERROR(Datos!A4623,"")</f>
        <v/>
      </c>
      <c r="B4623" s="8">
        <f>IFERROR(Datos!B4623,"")</f>
        <v/>
      </c>
      <c r="C4623" s="8">
        <f>IFERROR(Datos!C4623,"")</f>
        <v/>
      </c>
      <c r="D4623" s="28">
        <f>IFERROR(IF(AND(ISNUMBER(B4623),ISNUMBER(B4622),B4622&lt;&gt;0),B4623/B4622-1,""),"")</f>
        <v/>
      </c>
      <c r="E4623" s="28">
        <f>IFERROR(IF(AND(ISNUMBER(C4623),ISNUMBER(C4622),C4622&lt;&gt;0),C4623/C4622-1,""),"")</f>
        <v/>
      </c>
      <c r="F4623" s="28">
        <f>IFERROR(D4623-Dashboard!$B$4/252,"")</f>
        <v/>
      </c>
      <c r="G4623" s="28">
        <f>IFERROR(E4623-Dashboard!$B$4/252,"")</f>
        <v/>
      </c>
      <c r="H4623" s="8">
        <f>IFERROR(IF(ISNUMBER(B4623),MAX(B4623,IFERROR(H4622,B4623)),""),"")</f>
        <v/>
      </c>
      <c r="I4623" s="29">
        <f>IFERROR(IF(AND(ISNUMBER(B4623),ISNUMBER(H4623)),B4623/H4623-1,""),"")</f>
        <v/>
      </c>
      <c r="J4623" s="8">
        <f>IFERROR(IF(ISNUMBER(C4623),MAX(C4623,IFERROR(J4622,C4623)),""),"")</f>
        <v/>
      </c>
      <c r="K4623" s="29">
        <f>IFERROR(IF(AND(ISNUMBER(C4623),ISNUMBER(J4623)),C4623/J4623-1,""),"")</f>
        <v/>
      </c>
      <c r="L4623" s="28">
        <f>IFERROR(IF(AND(ISNUMBER(D4623),ISNUMBER(E4623)),D4623-E4623,""),"")</f>
        <v/>
      </c>
    </row>
    <row r="4624">
      <c r="A4624" s="7">
        <f>IFERROR(Datos!A4624,"")</f>
        <v/>
      </c>
      <c r="B4624" s="8">
        <f>IFERROR(Datos!B4624,"")</f>
        <v/>
      </c>
      <c r="C4624" s="8">
        <f>IFERROR(Datos!C4624,"")</f>
        <v/>
      </c>
      <c r="D4624" s="28">
        <f>IFERROR(IF(AND(ISNUMBER(B4624),ISNUMBER(B4623),B4623&lt;&gt;0),B4624/B4623-1,""),"")</f>
        <v/>
      </c>
      <c r="E4624" s="28">
        <f>IFERROR(IF(AND(ISNUMBER(C4624),ISNUMBER(C4623),C4623&lt;&gt;0),C4624/C4623-1,""),"")</f>
        <v/>
      </c>
      <c r="F4624" s="28">
        <f>IFERROR(D4624-Dashboard!$B$4/252,"")</f>
        <v/>
      </c>
      <c r="G4624" s="28">
        <f>IFERROR(E4624-Dashboard!$B$4/252,"")</f>
        <v/>
      </c>
      <c r="H4624" s="8">
        <f>IFERROR(IF(ISNUMBER(B4624),MAX(B4624,IFERROR(H4623,B4624)),""),"")</f>
        <v/>
      </c>
      <c r="I4624" s="29">
        <f>IFERROR(IF(AND(ISNUMBER(B4624),ISNUMBER(H4624)),B4624/H4624-1,""),"")</f>
        <v/>
      </c>
      <c r="J4624" s="8">
        <f>IFERROR(IF(ISNUMBER(C4624),MAX(C4624,IFERROR(J4623,C4624)),""),"")</f>
        <v/>
      </c>
      <c r="K4624" s="29">
        <f>IFERROR(IF(AND(ISNUMBER(C4624),ISNUMBER(J4624)),C4624/J4624-1,""),"")</f>
        <v/>
      </c>
      <c r="L4624" s="28">
        <f>IFERROR(IF(AND(ISNUMBER(D4624),ISNUMBER(E4624)),D4624-E4624,""),"")</f>
        <v/>
      </c>
    </row>
    <row r="4625">
      <c r="A4625" s="7">
        <f>IFERROR(Datos!A4625,"")</f>
        <v/>
      </c>
      <c r="B4625" s="8">
        <f>IFERROR(Datos!B4625,"")</f>
        <v/>
      </c>
      <c r="C4625" s="8">
        <f>IFERROR(Datos!C4625,"")</f>
        <v/>
      </c>
      <c r="D4625" s="28">
        <f>IFERROR(IF(AND(ISNUMBER(B4625),ISNUMBER(B4624),B4624&lt;&gt;0),B4625/B4624-1,""),"")</f>
        <v/>
      </c>
      <c r="E4625" s="28">
        <f>IFERROR(IF(AND(ISNUMBER(C4625),ISNUMBER(C4624),C4624&lt;&gt;0),C4625/C4624-1,""),"")</f>
        <v/>
      </c>
      <c r="F4625" s="28">
        <f>IFERROR(D4625-Dashboard!$B$4/252,"")</f>
        <v/>
      </c>
      <c r="G4625" s="28">
        <f>IFERROR(E4625-Dashboard!$B$4/252,"")</f>
        <v/>
      </c>
      <c r="H4625" s="8">
        <f>IFERROR(IF(ISNUMBER(B4625),MAX(B4625,IFERROR(H4624,B4625)),""),"")</f>
        <v/>
      </c>
      <c r="I4625" s="29">
        <f>IFERROR(IF(AND(ISNUMBER(B4625),ISNUMBER(H4625)),B4625/H4625-1,""),"")</f>
        <v/>
      </c>
      <c r="J4625" s="8">
        <f>IFERROR(IF(ISNUMBER(C4625),MAX(C4625,IFERROR(J4624,C4625)),""),"")</f>
        <v/>
      </c>
      <c r="K4625" s="29">
        <f>IFERROR(IF(AND(ISNUMBER(C4625),ISNUMBER(J4625)),C4625/J4625-1,""),"")</f>
        <v/>
      </c>
      <c r="L4625" s="28">
        <f>IFERROR(IF(AND(ISNUMBER(D4625),ISNUMBER(E4625)),D4625-E4625,""),"")</f>
        <v/>
      </c>
    </row>
    <row r="4626">
      <c r="A4626" s="7">
        <f>IFERROR(Datos!A4626,"")</f>
        <v/>
      </c>
      <c r="B4626" s="8">
        <f>IFERROR(Datos!B4626,"")</f>
        <v/>
      </c>
      <c r="C4626" s="8">
        <f>IFERROR(Datos!C4626,"")</f>
        <v/>
      </c>
      <c r="D4626" s="28">
        <f>IFERROR(IF(AND(ISNUMBER(B4626),ISNUMBER(B4625),B4625&lt;&gt;0),B4626/B4625-1,""),"")</f>
        <v/>
      </c>
      <c r="E4626" s="28">
        <f>IFERROR(IF(AND(ISNUMBER(C4626),ISNUMBER(C4625),C4625&lt;&gt;0),C4626/C4625-1,""),"")</f>
        <v/>
      </c>
      <c r="F4626" s="28">
        <f>IFERROR(D4626-Dashboard!$B$4/252,"")</f>
        <v/>
      </c>
      <c r="G4626" s="28">
        <f>IFERROR(E4626-Dashboard!$B$4/252,"")</f>
        <v/>
      </c>
      <c r="H4626" s="8">
        <f>IFERROR(IF(ISNUMBER(B4626),MAX(B4626,IFERROR(H4625,B4626)),""),"")</f>
        <v/>
      </c>
      <c r="I4626" s="29">
        <f>IFERROR(IF(AND(ISNUMBER(B4626),ISNUMBER(H4626)),B4626/H4626-1,""),"")</f>
        <v/>
      </c>
      <c r="J4626" s="8">
        <f>IFERROR(IF(ISNUMBER(C4626),MAX(C4626,IFERROR(J4625,C4626)),""),"")</f>
        <v/>
      </c>
      <c r="K4626" s="29">
        <f>IFERROR(IF(AND(ISNUMBER(C4626),ISNUMBER(J4626)),C4626/J4626-1,""),"")</f>
        <v/>
      </c>
      <c r="L4626" s="28">
        <f>IFERROR(IF(AND(ISNUMBER(D4626),ISNUMBER(E4626)),D4626-E4626,""),"")</f>
        <v/>
      </c>
    </row>
    <row r="4627">
      <c r="A4627" s="7">
        <f>IFERROR(Datos!A4627,"")</f>
        <v/>
      </c>
      <c r="B4627" s="8">
        <f>IFERROR(Datos!B4627,"")</f>
        <v/>
      </c>
      <c r="C4627" s="8">
        <f>IFERROR(Datos!C4627,"")</f>
        <v/>
      </c>
      <c r="D4627" s="28">
        <f>IFERROR(IF(AND(ISNUMBER(B4627),ISNUMBER(B4626),B4626&lt;&gt;0),B4627/B4626-1,""),"")</f>
        <v/>
      </c>
      <c r="E4627" s="28">
        <f>IFERROR(IF(AND(ISNUMBER(C4627),ISNUMBER(C4626),C4626&lt;&gt;0),C4627/C4626-1,""),"")</f>
        <v/>
      </c>
      <c r="F4627" s="28">
        <f>IFERROR(D4627-Dashboard!$B$4/252,"")</f>
        <v/>
      </c>
      <c r="G4627" s="28">
        <f>IFERROR(E4627-Dashboard!$B$4/252,"")</f>
        <v/>
      </c>
      <c r="H4627" s="8">
        <f>IFERROR(IF(ISNUMBER(B4627),MAX(B4627,IFERROR(H4626,B4627)),""),"")</f>
        <v/>
      </c>
      <c r="I4627" s="29">
        <f>IFERROR(IF(AND(ISNUMBER(B4627),ISNUMBER(H4627)),B4627/H4627-1,""),"")</f>
        <v/>
      </c>
      <c r="J4627" s="8">
        <f>IFERROR(IF(ISNUMBER(C4627),MAX(C4627,IFERROR(J4626,C4627)),""),"")</f>
        <v/>
      </c>
      <c r="K4627" s="29">
        <f>IFERROR(IF(AND(ISNUMBER(C4627),ISNUMBER(J4627)),C4627/J4627-1,""),"")</f>
        <v/>
      </c>
      <c r="L4627" s="28">
        <f>IFERROR(IF(AND(ISNUMBER(D4627),ISNUMBER(E4627)),D4627-E4627,""),"")</f>
        <v/>
      </c>
    </row>
    <row r="4628">
      <c r="A4628" s="7">
        <f>IFERROR(Datos!A4628,"")</f>
        <v/>
      </c>
      <c r="B4628" s="8">
        <f>IFERROR(Datos!B4628,"")</f>
        <v/>
      </c>
      <c r="C4628" s="8">
        <f>IFERROR(Datos!C4628,"")</f>
        <v/>
      </c>
      <c r="D4628" s="28">
        <f>IFERROR(IF(AND(ISNUMBER(B4628),ISNUMBER(B4627),B4627&lt;&gt;0),B4628/B4627-1,""),"")</f>
        <v/>
      </c>
      <c r="E4628" s="28">
        <f>IFERROR(IF(AND(ISNUMBER(C4628),ISNUMBER(C4627),C4627&lt;&gt;0),C4628/C4627-1,""),"")</f>
        <v/>
      </c>
      <c r="F4628" s="28">
        <f>IFERROR(D4628-Dashboard!$B$4/252,"")</f>
        <v/>
      </c>
      <c r="G4628" s="28">
        <f>IFERROR(E4628-Dashboard!$B$4/252,"")</f>
        <v/>
      </c>
      <c r="H4628" s="8">
        <f>IFERROR(IF(ISNUMBER(B4628),MAX(B4628,IFERROR(H4627,B4628)),""),"")</f>
        <v/>
      </c>
      <c r="I4628" s="29">
        <f>IFERROR(IF(AND(ISNUMBER(B4628),ISNUMBER(H4628)),B4628/H4628-1,""),"")</f>
        <v/>
      </c>
      <c r="J4628" s="8">
        <f>IFERROR(IF(ISNUMBER(C4628),MAX(C4628,IFERROR(J4627,C4628)),""),"")</f>
        <v/>
      </c>
      <c r="K4628" s="29">
        <f>IFERROR(IF(AND(ISNUMBER(C4628),ISNUMBER(J4628)),C4628/J4628-1,""),"")</f>
        <v/>
      </c>
      <c r="L4628" s="28">
        <f>IFERROR(IF(AND(ISNUMBER(D4628),ISNUMBER(E4628)),D4628-E4628,""),"")</f>
        <v/>
      </c>
    </row>
    <row r="4629">
      <c r="A4629" s="7">
        <f>IFERROR(Datos!A4629,"")</f>
        <v/>
      </c>
      <c r="B4629" s="8">
        <f>IFERROR(Datos!B4629,"")</f>
        <v/>
      </c>
      <c r="C4629" s="8">
        <f>IFERROR(Datos!C4629,"")</f>
        <v/>
      </c>
      <c r="D4629" s="28">
        <f>IFERROR(IF(AND(ISNUMBER(B4629),ISNUMBER(B4628),B4628&lt;&gt;0),B4629/B4628-1,""),"")</f>
        <v/>
      </c>
      <c r="E4629" s="28">
        <f>IFERROR(IF(AND(ISNUMBER(C4629),ISNUMBER(C4628),C4628&lt;&gt;0),C4629/C4628-1,""),"")</f>
        <v/>
      </c>
      <c r="F4629" s="28">
        <f>IFERROR(D4629-Dashboard!$B$4/252,"")</f>
        <v/>
      </c>
      <c r="G4629" s="28">
        <f>IFERROR(E4629-Dashboard!$B$4/252,"")</f>
        <v/>
      </c>
      <c r="H4629" s="8">
        <f>IFERROR(IF(ISNUMBER(B4629),MAX(B4629,IFERROR(H4628,B4629)),""),"")</f>
        <v/>
      </c>
      <c r="I4629" s="29">
        <f>IFERROR(IF(AND(ISNUMBER(B4629),ISNUMBER(H4629)),B4629/H4629-1,""),"")</f>
        <v/>
      </c>
      <c r="J4629" s="8">
        <f>IFERROR(IF(ISNUMBER(C4629),MAX(C4629,IFERROR(J4628,C4629)),""),"")</f>
        <v/>
      </c>
      <c r="K4629" s="29">
        <f>IFERROR(IF(AND(ISNUMBER(C4629),ISNUMBER(J4629)),C4629/J4629-1,""),"")</f>
        <v/>
      </c>
      <c r="L4629" s="28">
        <f>IFERROR(IF(AND(ISNUMBER(D4629),ISNUMBER(E4629)),D4629-E4629,""),"")</f>
        <v/>
      </c>
    </row>
    <row r="4630">
      <c r="A4630" s="7">
        <f>IFERROR(Datos!A4630,"")</f>
        <v/>
      </c>
      <c r="B4630" s="8">
        <f>IFERROR(Datos!B4630,"")</f>
        <v/>
      </c>
      <c r="C4630" s="8">
        <f>IFERROR(Datos!C4630,"")</f>
        <v/>
      </c>
      <c r="D4630" s="28">
        <f>IFERROR(IF(AND(ISNUMBER(B4630),ISNUMBER(B4629),B4629&lt;&gt;0),B4630/B4629-1,""),"")</f>
        <v/>
      </c>
      <c r="E4630" s="28">
        <f>IFERROR(IF(AND(ISNUMBER(C4630),ISNUMBER(C4629),C4629&lt;&gt;0),C4630/C4629-1,""),"")</f>
        <v/>
      </c>
      <c r="F4630" s="28">
        <f>IFERROR(D4630-Dashboard!$B$4/252,"")</f>
        <v/>
      </c>
      <c r="G4630" s="28">
        <f>IFERROR(E4630-Dashboard!$B$4/252,"")</f>
        <v/>
      </c>
      <c r="H4630" s="8">
        <f>IFERROR(IF(ISNUMBER(B4630),MAX(B4630,IFERROR(H4629,B4630)),""),"")</f>
        <v/>
      </c>
      <c r="I4630" s="29">
        <f>IFERROR(IF(AND(ISNUMBER(B4630),ISNUMBER(H4630)),B4630/H4630-1,""),"")</f>
        <v/>
      </c>
      <c r="J4630" s="8">
        <f>IFERROR(IF(ISNUMBER(C4630),MAX(C4630,IFERROR(J4629,C4630)),""),"")</f>
        <v/>
      </c>
      <c r="K4630" s="29">
        <f>IFERROR(IF(AND(ISNUMBER(C4630),ISNUMBER(J4630)),C4630/J4630-1,""),"")</f>
        <v/>
      </c>
      <c r="L4630" s="28">
        <f>IFERROR(IF(AND(ISNUMBER(D4630),ISNUMBER(E4630)),D4630-E4630,""),"")</f>
        <v/>
      </c>
    </row>
    <row r="4631">
      <c r="A4631" s="7">
        <f>IFERROR(Datos!A4631,"")</f>
        <v/>
      </c>
      <c r="B4631" s="8">
        <f>IFERROR(Datos!B4631,"")</f>
        <v/>
      </c>
      <c r="C4631" s="8">
        <f>IFERROR(Datos!C4631,"")</f>
        <v/>
      </c>
      <c r="D4631" s="28">
        <f>IFERROR(IF(AND(ISNUMBER(B4631),ISNUMBER(B4630),B4630&lt;&gt;0),B4631/B4630-1,""),"")</f>
        <v/>
      </c>
      <c r="E4631" s="28">
        <f>IFERROR(IF(AND(ISNUMBER(C4631),ISNUMBER(C4630),C4630&lt;&gt;0),C4631/C4630-1,""),"")</f>
        <v/>
      </c>
      <c r="F4631" s="28">
        <f>IFERROR(D4631-Dashboard!$B$4/252,"")</f>
        <v/>
      </c>
      <c r="G4631" s="28">
        <f>IFERROR(E4631-Dashboard!$B$4/252,"")</f>
        <v/>
      </c>
      <c r="H4631" s="8">
        <f>IFERROR(IF(ISNUMBER(B4631),MAX(B4631,IFERROR(H4630,B4631)),""),"")</f>
        <v/>
      </c>
      <c r="I4631" s="29">
        <f>IFERROR(IF(AND(ISNUMBER(B4631),ISNUMBER(H4631)),B4631/H4631-1,""),"")</f>
        <v/>
      </c>
      <c r="J4631" s="8">
        <f>IFERROR(IF(ISNUMBER(C4631),MAX(C4631,IFERROR(J4630,C4631)),""),"")</f>
        <v/>
      </c>
      <c r="K4631" s="29">
        <f>IFERROR(IF(AND(ISNUMBER(C4631),ISNUMBER(J4631)),C4631/J4631-1,""),"")</f>
        <v/>
      </c>
      <c r="L4631" s="28">
        <f>IFERROR(IF(AND(ISNUMBER(D4631),ISNUMBER(E4631)),D4631-E4631,""),"")</f>
        <v/>
      </c>
    </row>
    <row r="4632">
      <c r="A4632" s="7">
        <f>IFERROR(Datos!A4632,"")</f>
        <v/>
      </c>
      <c r="B4632" s="8">
        <f>IFERROR(Datos!B4632,"")</f>
        <v/>
      </c>
      <c r="C4632" s="8">
        <f>IFERROR(Datos!C4632,"")</f>
        <v/>
      </c>
      <c r="D4632" s="28">
        <f>IFERROR(IF(AND(ISNUMBER(B4632),ISNUMBER(B4631),B4631&lt;&gt;0),B4632/B4631-1,""),"")</f>
        <v/>
      </c>
      <c r="E4632" s="28">
        <f>IFERROR(IF(AND(ISNUMBER(C4632),ISNUMBER(C4631),C4631&lt;&gt;0),C4632/C4631-1,""),"")</f>
        <v/>
      </c>
      <c r="F4632" s="28">
        <f>IFERROR(D4632-Dashboard!$B$4/252,"")</f>
        <v/>
      </c>
      <c r="G4632" s="28">
        <f>IFERROR(E4632-Dashboard!$B$4/252,"")</f>
        <v/>
      </c>
      <c r="H4632" s="8">
        <f>IFERROR(IF(ISNUMBER(B4632),MAX(B4632,IFERROR(H4631,B4632)),""),"")</f>
        <v/>
      </c>
      <c r="I4632" s="29">
        <f>IFERROR(IF(AND(ISNUMBER(B4632),ISNUMBER(H4632)),B4632/H4632-1,""),"")</f>
        <v/>
      </c>
      <c r="J4632" s="8">
        <f>IFERROR(IF(ISNUMBER(C4632),MAX(C4632,IFERROR(J4631,C4632)),""),"")</f>
        <v/>
      </c>
      <c r="K4632" s="29">
        <f>IFERROR(IF(AND(ISNUMBER(C4632),ISNUMBER(J4632)),C4632/J4632-1,""),"")</f>
        <v/>
      </c>
      <c r="L4632" s="28">
        <f>IFERROR(IF(AND(ISNUMBER(D4632),ISNUMBER(E4632)),D4632-E4632,""),"")</f>
        <v/>
      </c>
    </row>
    <row r="4633">
      <c r="A4633" s="7">
        <f>IFERROR(Datos!A4633,"")</f>
        <v/>
      </c>
      <c r="B4633" s="8">
        <f>IFERROR(Datos!B4633,"")</f>
        <v/>
      </c>
      <c r="C4633" s="8">
        <f>IFERROR(Datos!C4633,"")</f>
        <v/>
      </c>
      <c r="D4633" s="28">
        <f>IFERROR(IF(AND(ISNUMBER(B4633),ISNUMBER(B4632),B4632&lt;&gt;0),B4633/B4632-1,""),"")</f>
        <v/>
      </c>
      <c r="E4633" s="28">
        <f>IFERROR(IF(AND(ISNUMBER(C4633),ISNUMBER(C4632),C4632&lt;&gt;0),C4633/C4632-1,""),"")</f>
        <v/>
      </c>
      <c r="F4633" s="28">
        <f>IFERROR(D4633-Dashboard!$B$4/252,"")</f>
        <v/>
      </c>
      <c r="G4633" s="28">
        <f>IFERROR(E4633-Dashboard!$B$4/252,"")</f>
        <v/>
      </c>
      <c r="H4633" s="8">
        <f>IFERROR(IF(ISNUMBER(B4633),MAX(B4633,IFERROR(H4632,B4633)),""),"")</f>
        <v/>
      </c>
      <c r="I4633" s="29">
        <f>IFERROR(IF(AND(ISNUMBER(B4633),ISNUMBER(H4633)),B4633/H4633-1,""),"")</f>
        <v/>
      </c>
      <c r="J4633" s="8">
        <f>IFERROR(IF(ISNUMBER(C4633),MAX(C4633,IFERROR(J4632,C4633)),""),"")</f>
        <v/>
      </c>
      <c r="K4633" s="29">
        <f>IFERROR(IF(AND(ISNUMBER(C4633),ISNUMBER(J4633)),C4633/J4633-1,""),"")</f>
        <v/>
      </c>
      <c r="L4633" s="28">
        <f>IFERROR(IF(AND(ISNUMBER(D4633),ISNUMBER(E4633)),D4633-E4633,""),"")</f>
        <v/>
      </c>
    </row>
    <row r="4634">
      <c r="A4634" s="7">
        <f>IFERROR(Datos!A4634,"")</f>
        <v/>
      </c>
      <c r="B4634" s="8">
        <f>IFERROR(Datos!B4634,"")</f>
        <v/>
      </c>
      <c r="C4634" s="8">
        <f>IFERROR(Datos!C4634,"")</f>
        <v/>
      </c>
      <c r="D4634" s="28">
        <f>IFERROR(IF(AND(ISNUMBER(B4634),ISNUMBER(B4633),B4633&lt;&gt;0),B4634/B4633-1,""),"")</f>
        <v/>
      </c>
      <c r="E4634" s="28">
        <f>IFERROR(IF(AND(ISNUMBER(C4634),ISNUMBER(C4633),C4633&lt;&gt;0),C4634/C4633-1,""),"")</f>
        <v/>
      </c>
      <c r="F4634" s="28">
        <f>IFERROR(D4634-Dashboard!$B$4/252,"")</f>
        <v/>
      </c>
      <c r="G4634" s="28">
        <f>IFERROR(E4634-Dashboard!$B$4/252,"")</f>
        <v/>
      </c>
      <c r="H4634" s="8">
        <f>IFERROR(IF(ISNUMBER(B4634),MAX(B4634,IFERROR(H4633,B4634)),""),"")</f>
        <v/>
      </c>
      <c r="I4634" s="29">
        <f>IFERROR(IF(AND(ISNUMBER(B4634),ISNUMBER(H4634)),B4634/H4634-1,""),"")</f>
        <v/>
      </c>
      <c r="J4634" s="8">
        <f>IFERROR(IF(ISNUMBER(C4634),MAX(C4634,IFERROR(J4633,C4634)),""),"")</f>
        <v/>
      </c>
      <c r="K4634" s="29">
        <f>IFERROR(IF(AND(ISNUMBER(C4634),ISNUMBER(J4634)),C4634/J4634-1,""),"")</f>
        <v/>
      </c>
      <c r="L4634" s="28">
        <f>IFERROR(IF(AND(ISNUMBER(D4634),ISNUMBER(E4634)),D4634-E4634,""),"")</f>
        <v/>
      </c>
    </row>
    <row r="4635">
      <c r="A4635" s="7">
        <f>IFERROR(Datos!A4635,"")</f>
        <v/>
      </c>
      <c r="B4635" s="8">
        <f>IFERROR(Datos!B4635,"")</f>
        <v/>
      </c>
      <c r="C4635" s="8">
        <f>IFERROR(Datos!C4635,"")</f>
        <v/>
      </c>
      <c r="D4635" s="28">
        <f>IFERROR(IF(AND(ISNUMBER(B4635),ISNUMBER(B4634),B4634&lt;&gt;0),B4635/B4634-1,""),"")</f>
        <v/>
      </c>
      <c r="E4635" s="28">
        <f>IFERROR(IF(AND(ISNUMBER(C4635),ISNUMBER(C4634),C4634&lt;&gt;0),C4635/C4634-1,""),"")</f>
        <v/>
      </c>
      <c r="F4635" s="28">
        <f>IFERROR(D4635-Dashboard!$B$4/252,"")</f>
        <v/>
      </c>
      <c r="G4635" s="28">
        <f>IFERROR(E4635-Dashboard!$B$4/252,"")</f>
        <v/>
      </c>
      <c r="H4635" s="8">
        <f>IFERROR(IF(ISNUMBER(B4635),MAX(B4635,IFERROR(H4634,B4635)),""),"")</f>
        <v/>
      </c>
      <c r="I4635" s="29">
        <f>IFERROR(IF(AND(ISNUMBER(B4635),ISNUMBER(H4635)),B4635/H4635-1,""),"")</f>
        <v/>
      </c>
      <c r="J4635" s="8">
        <f>IFERROR(IF(ISNUMBER(C4635),MAX(C4635,IFERROR(J4634,C4635)),""),"")</f>
        <v/>
      </c>
      <c r="K4635" s="29">
        <f>IFERROR(IF(AND(ISNUMBER(C4635),ISNUMBER(J4635)),C4635/J4635-1,""),"")</f>
        <v/>
      </c>
      <c r="L4635" s="28">
        <f>IFERROR(IF(AND(ISNUMBER(D4635),ISNUMBER(E4635)),D4635-E4635,""),"")</f>
        <v/>
      </c>
    </row>
    <row r="4636">
      <c r="A4636" s="7">
        <f>IFERROR(Datos!A4636,"")</f>
        <v/>
      </c>
      <c r="B4636" s="8">
        <f>IFERROR(Datos!B4636,"")</f>
        <v/>
      </c>
      <c r="C4636" s="8">
        <f>IFERROR(Datos!C4636,"")</f>
        <v/>
      </c>
      <c r="D4636" s="28">
        <f>IFERROR(IF(AND(ISNUMBER(B4636),ISNUMBER(B4635),B4635&lt;&gt;0),B4636/B4635-1,""),"")</f>
        <v/>
      </c>
      <c r="E4636" s="28">
        <f>IFERROR(IF(AND(ISNUMBER(C4636),ISNUMBER(C4635),C4635&lt;&gt;0),C4636/C4635-1,""),"")</f>
        <v/>
      </c>
      <c r="F4636" s="28">
        <f>IFERROR(D4636-Dashboard!$B$4/252,"")</f>
        <v/>
      </c>
      <c r="G4636" s="28">
        <f>IFERROR(E4636-Dashboard!$B$4/252,"")</f>
        <v/>
      </c>
      <c r="H4636" s="8">
        <f>IFERROR(IF(ISNUMBER(B4636),MAX(B4636,IFERROR(H4635,B4636)),""),"")</f>
        <v/>
      </c>
      <c r="I4636" s="29">
        <f>IFERROR(IF(AND(ISNUMBER(B4636),ISNUMBER(H4636)),B4636/H4636-1,""),"")</f>
        <v/>
      </c>
      <c r="J4636" s="8">
        <f>IFERROR(IF(ISNUMBER(C4636),MAX(C4636,IFERROR(J4635,C4636)),""),"")</f>
        <v/>
      </c>
      <c r="K4636" s="29">
        <f>IFERROR(IF(AND(ISNUMBER(C4636),ISNUMBER(J4636)),C4636/J4636-1,""),"")</f>
        <v/>
      </c>
      <c r="L4636" s="28">
        <f>IFERROR(IF(AND(ISNUMBER(D4636),ISNUMBER(E4636)),D4636-E4636,""),"")</f>
        <v/>
      </c>
    </row>
    <row r="4637">
      <c r="A4637" s="7">
        <f>IFERROR(Datos!A4637,"")</f>
        <v/>
      </c>
      <c r="B4637" s="8">
        <f>IFERROR(Datos!B4637,"")</f>
        <v/>
      </c>
      <c r="C4637" s="8">
        <f>IFERROR(Datos!C4637,"")</f>
        <v/>
      </c>
      <c r="D4637" s="28">
        <f>IFERROR(IF(AND(ISNUMBER(B4637),ISNUMBER(B4636),B4636&lt;&gt;0),B4637/B4636-1,""),"")</f>
        <v/>
      </c>
      <c r="E4637" s="28">
        <f>IFERROR(IF(AND(ISNUMBER(C4637),ISNUMBER(C4636),C4636&lt;&gt;0),C4637/C4636-1,""),"")</f>
        <v/>
      </c>
      <c r="F4637" s="28">
        <f>IFERROR(D4637-Dashboard!$B$4/252,"")</f>
        <v/>
      </c>
      <c r="G4637" s="28">
        <f>IFERROR(E4637-Dashboard!$B$4/252,"")</f>
        <v/>
      </c>
      <c r="H4637" s="8">
        <f>IFERROR(IF(ISNUMBER(B4637),MAX(B4637,IFERROR(H4636,B4637)),""),"")</f>
        <v/>
      </c>
      <c r="I4637" s="29">
        <f>IFERROR(IF(AND(ISNUMBER(B4637),ISNUMBER(H4637)),B4637/H4637-1,""),"")</f>
        <v/>
      </c>
      <c r="J4637" s="8">
        <f>IFERROR(IF(ISNUMBER(C4637),MAX(C4637,IFERROR(J4636,C4637)),""),"")</f>
        <v/>
      </c>
      <c r="K4637" s="29">
        <f>IFERROR(IF(AND(ISNUMBER(C4637),ISNUMBER(J4637)),C4637/J4637-1,""),"")</f>
        <v/>
      </c>
      <c r="L4637" s="28">
        <f>IFERROR(IF(AND(ISNUMBER(D4637),ISNUMBER(E4637)),D4637-E4637,""),"")</f>
        <v/>
      </c>
    </row>
    <row r="4638">
      <c r="A4638" s="7">
        <f>IFERROR(Datos!A4638,"")</f>
        <v/>
      </c>
      <c r="B4638" s="8">
        <f>IFERROR(Datos!B4638,"")</f>
        <v/>
      </c>
      <c r="C4638" s="8">
        <f>IFERROR(Datos!C4638,"")</f>
        <v/>
      </c>
      <c r="D4638" s="28">
        <f>IFERROR(IF(AND(ISNUMBER(B4638),ISNUMBER(B4637),B4637&lt;&gt;0),B4638/B4637-1,""),"")</f>
        <v/>
      </c>
      <c r="E4638" s="28">
        <f>IFERROR(IF(AND(ISNUMBER(C4638),ISNUMBER(C4637),C4637&lt;&gt;0),C4638/C4637-1,""),"")</f>
        <v/>
      </c>
      <c r="F4638" s="28">
        <f>IFERROR(D4638-Dashboard!$B$4/252,"")</f>
        <v/>
      </c>
      <c r="G4638" s="28">
        <f>IFERROR(E4638-Dashboard!$B$4/252,"")</f>
        <v/>
      </c>
      <c r="H4638" s="8">
        <f>IFERROR(IF(ISNUMBER(B4638),MAX(B4638,IFERROR(H4637,B4638)),""),"")</f>
        <v/>
      </c>
      <c r="I4638" s="29">
        <f>IFERROR(IF(AND(ISNUMBER(B4638),ISNUMBER(H4638)),B4638/H4638-1,""),"")</f>
        <v/>
      </c>
      <c r="J4638" s="8">
        <f>IFERROR(IF(ISNUMBER(C4638),MAX(C4638,IFERROR(J4637,C4638)),""),"")</f>
        <v/>
      </c>
      <c r="K4638" s="29">
        <f>IFERROR(IF(AND(ISNUMBER(C4638),ISNUMBER(J4638)),C4638/J4638-1,""),"")</f>
        <v/>
      </c>
      <c r="L4638" s="28">
        <f>IFERROR(IF(AND(ISNUMBER(D4638),ISNUMBER(E4638)),D4638-E4638,""),"")</f>
        <v/>
      </c>
    </row>
    <row r="4639">
      <c r="A4639" s="7">
        <f>IFERROR(Datos!A4639,"")</f>
        <v/>
      </c>
      <c r="B4639" s="8">
        <f>IFERROR(Datos!B4639,"")</f>
        <v/>
      </c>
      <c r="C4639" s="8">
        <f>IFERROR(Datos!C4639,"")</f>
        <v/>
      </c>
      <c r="D4639" s="28">
        <f>IFERROR(IF(AND(ISNUMBER(B4639),ISNUMBER(B4638),B4638&lt;&gt;0),B4639/B4638-1,""),"")</f>
        <v/>
      </c>
      <c r="E4639" s="28">
        <f>IFERROR(IF(AND(ISNUMBER(C4639),ISNUMBER(C4638),C4638&lt;&gt;0),C4639/C4638-1,""),"")</f>
        <v/>
      </c>
      <c r="F4639" s="28">
        <f>IFERROR(D4639-Dashboard!$B$4/252,"")</f>
        <v/>
      </c>
      <c r="G4639" s="28">
        <f>IFERROR(E4639-Dashboard!$B$4/252,"")</f>
        <v/>
      </c>
      <c r="H4639" s="8">
        <f>IFERROR(IF(ISNUMBER(B4639),MAX(B4639,IFERROR(H4638,B4639)),""),"")</f>
        <v/>
      </c>
      <c r="I4639" s="29">
        <f>IFERROR(IF(AND(ISNUMBER(B4639),ISNUMBER(H4639)),B4639/H4639-1,""),"")</f>
        <v/>
      </c>
      <c r="J4639" s="8">
        <f>IFERROR(IF(ISNUMBER(C4639),MAX(C4639,IFERROR(J4638,C4639)),""),"")</f>
        <v/>
      </c>
      <c r="K4639" s="29">
        <f>IFERROR(IF(AND(ISNUMBER(C4639),ISNUMBER(J4639)),C4639/J4639-1,""),"")</f>
        <v/>
      </c>
      <c r="L4639" s="28">
        <f>IFERROR(IF(AND(ISNUMBER(D4639),ISNUMBER(E4639)),D4639-E4639,""),"")</f>
        <v/>
      </c>
    </row>
    <row r="4640">
      <c r="A4640" s="7">
        <f>IFERROR(Datos!A4640,"")</f>
        <v/>
      </c>
      <c r="B4640" s="8">
        <f>IFERROR(Datos!B4640,"")</f>
        <v/>
      </c>
      <c r="C4640" s="8">
        <f>IFERROR(Datos!C4640,"")</f>
        <v/>
      </c>
      <c r="D4640" s="28">
        <f>IFERROR(IF(AND(ISNUMBER(B4640),ISNUMBER(B4639),B4639&lt;&gt;0),B4640/B4639-1,""),"")</f>
        <v/>
      </c>
      <c r="E4640" s="28">
        <f>IFERROR(IF(AND(ISNUMBER(C4640),ISNUMBER(C4639),C4639&lt;&gt;0),C4640/C4639-1,""),"")</f>
        <v/>
      </c>
      <c r="F4640" s="28">
        <f>IFERROR(D4640-Dashboard!$B$4/252,"")</f>
        <v/>
      </c>
      <c r="G4640" s="28">
        <f>IFERROR(E4640-Dashboard!$B$4/252,"")</f>
        <v/>
      </c>
      <c r="H4640" s="8">
        <f>IFERROR(IF(ISNUMBER(B4640),MAX(B4640,IFERROR(H4639,B4640)),""),"")</f>
        <v/>
      </c>
      <c r="I4640" s="29">
        <f>IFERROR(IF(AND(ISNUMBER(B4640),ISNUMBER(H4640)),B4640/H4640-1,""),"")</f>
        <v/>
      </c>
      <c r="J4640" s="8">
        <f>IFERROR(IF(ISNUMBER(C4640),MAX(C4640,IFERROR(J4639,C4640)),""),"")</f>
        <v/>
      </c>
      <c r="K4640" s="29">
        <f>IFERROR(IF(AND(ISNUMBER(C4640),ISNUMBER(J4640)),C4640/J4640-1,""),"")</f>
        <v/>
      </c>
      <c r="L4640" s="28">
        <f>IFERROR(IF(AND(ISNUMBER(D4640),ISNUMBER(E4640)),D4640-E4640,""),"")</f>
        <v/>
      </c>
    </row>
    <row r="4641">
      <c r="A4641" s="7">
        <f>IFERROR(Datos!A4641,"")</f>
        <v/>
      </c>
      <c r="B4641" s="8">
        <f>IFERROR(Datos!B4641,"")</f>
        <v/>
      </c>
      <c r="C4641" s="8">
        <f>IFERROR(Datos!C4641,"")</f>
        <v/>
      </c>
      <c r="D4641" s="28">
        <f>IFERROR(IF(AND(ISNUMBER(B4641),ISNUMBER(B4640),B4640&lt;&gt;0),B4641/B4640-1,""),"")</f>
        <v/>
      </c>
      <c r="E4641" s="28">
        <f>IFERROR(IF(AND(ISNUMBER(C4641),ISNUMBER(C4640),C4640&lt;&gt;0),C4641/C4640-1,""),"")</f>
        <v/>
      </c>
      <c r="F4641" s="28">
        <f>IFERROR(D4641-Dashboard!$B$4/252,"")</f>
        <v/>
      </c>
      <c r="G4641" s="28">
        <f>IFERROR(E4641-Dashboard!$B$4/252,"")</f>
        <v/>
      </c>
      <c r="H4641" s="8">
        <f>IFERROR(IF(ISNUMBER(B4641),MAX(B4641,IFERROR(H4640,B4641)),""),"")</f>
        <v/>
      </c>
      <c r="I4641" s="29">
        <f>IFERROR(IF(AND(ISNUMBER(B4641),ISNUMBER(H4641)),B4641/H4641-1,""),"")</f>
        <v/>
      </c>
      <c r="J4641" s="8">
        <f>IFERROR(IF(ISNUMBER(C4641),MAX(C4641,IFERROR(J4640,C4641)),""),"")</f>
        <v/>
      </c>
      <c r="K4641" s="29">
        <f>IFERROR(IF(AND(ISNUMBER(C4641),ISNUMBER(J4641)),C4641/J4641-1,""),"")</f>
        <v/>
      </c>
      <c r="L4641" s="28">
        <f>IFERROR(IF(AND(ISNUMBER(D4641),ISNUMBER(E4641)),D4641-E4641,""),"")</f>
        <v/>
      </c>
    </row>
    <row r="4642">
      <c r="A4642" s="7">
        <f>IFERROR(Datos!A4642,"")</f>
        <v/>
      </c>
      <c r="B4642" s="8">
        <f>IFERROR(Datos!B4642,"")</f>
        <v/>
      </c>
      <c r="C4642" s="8">
        <f>IFERROR(Datos!C4642,"")</f>
        <v/>
      </c>
      <c r="D4642" s="28">
        <f>IFERROR(IF(AND(ISNUMBER(B4642),ISNUMBER(B4641),B4641&lt;&gt;0),B4642/B4641-1,""),"")</f>
        <v/>
      </c>
      <c r="E4642" s="28">
        <f>IFERROR(IF(AND(ISNUMBER(C4642),ISNUMBER(C4641),C4641&lt;&gt;0),C4642/C4641-1,""),"")</f>
        <v/>
      </c>
      <c r="F4642" s="28">
        <f>IFERROR(D4642-Dashboard!$B$4/252,"")</f>
        <v/>
      </c>
      <c r="G4642" s="28">
        <f>IFERROR(E4642-Dashboard!$B$4/252,"")</f>
        <v/>
      </c>
      <c r="H4642" s="8">
        <f>IFERROR(IF(ISNUMBER(B4642),MAX(B4642,IFERROR(H4641,B4642)),""),"")</f>
        <v/>
      </c>
      <c r="I4642" s="29">
        <f>IFERROR(IF(AND(ISNUMBER(B4642),ISNUMBER(H4642)),B4642/H4642-1,""),"")</f>
        <v/>
      </c>
      <c r="J4642" s="8">
        <f>IFERROR(IF(ISNUMBER(C4642),MAX(C4642,IFERROR(J4641,C4642)),""),"")</f>
        <v/>
      </c>
      <c r="K4642" s="29">
        <f>IFERROR(IF(AND(ISNUMBER(C4642),ISNUMBER(J4642)),C4642/J4642-1,""),"")</f>
        <v/>
      </c>
      <c r="L4642" s="28">
        <f>IFERROR(IF(AND(ISNUMBER(D4642),ISNUMBER(E4642)),D4642-E4642,""),"")</f>
        <v/>
      </c>
    </row>
    <row r="4643">
      <c r="A4643" s="7">
        <f>IFERROR(Datos!A4643,"")</f>
        <v/>
      </c>
      <c r="B4643" s="8">
        <f>IFERROR(Datos!B4643,"")</f>
        <v/>
      </c>
      <c r="C4643" s="8">
        <f>IFERROR(Datos!C4643,"")</f>
        <v/>
      </c>
      <c r="D4643" s="28">
        <f>IFERROR(IF(AND(ISNUMBER(B4643),ISNUMBER(B4642),B4642&lt;&gt;0),B4643/B4642-1,""),"")</f>
        <v/>
      </c>
      <c r="E4643" s="28">
        <f>IFERROR(IF(AND(ISNUMBER(C4643),ISNUMBER(C4642),C4642&lt;&gt;0),C4643/C4642-1,""),"")</f>
        <v/>
      </c>
      <c r="F4643" s="28">
        <f>IFERROR(D4643-Dashboard!$B$4/252,"")</f>
        <v/>
      </c>
      <c r="G4643" s="28">
        <f>IFERROR(E4643-Dashboard!$B$4/252,"")</f>
        <v/>
      </c>
      <c r="H4643" s="8">
        <f>IFERROR(IF(ISNUMBER(B4643),MAX(B4643,IFERROR(H4642,B4643)),""),"")</f>
        <v/>
      </c>
      <c r="I4643" s="29">
        <f>IFERROR(IF(AND(ISNUMBER(B4643),ISNUMBER(H4643)),B4643/H4643-1,""),"")</f>
        <v/>
      </c>
      <c r="J4643" s="8">
        <f>IFERROR(IF(ISNUMBER(C4643),MAX(C4643,IFERROR(J4642,C4643)),""),"")</f>
        <v/>
      </c>
      <c r="K4643" s="29">
        <f>IFERROR(IF(AND(ISNUMBER(C4643),ISNUMBER(J4643)),C4643/J4643-1,""),"")</f>
        <v/>
      </c>
      <c r="L4643" s="28">
        <f>IFERROR(IF(AND(ISNUMBER(D4643),ISNUMBER(E4643)),D4643-E4643,""),"")</f>
        <v/>
      </c>
    </row>
    <row r="4644">
      <c r="A4644" s="7">
        <f>IFERROR(Datos!A4644,"")</f>
        <v/>
      </c>
      <c r="B4644" s="8">
        <f>IFERROR(Datos!B4644,"")</f>
        <v/>
      </c>
      <c r="C4644" s="8">
        <f>IFERROR(Datos!C4644,"")</f>
        <v/>
      </c>
      <c r="D4644" s="28">
        <f>IFERROR(IF(AND(ISNUMBER(B4644),ISNUMBER(B4643),B4643&lt;&gt;0),B4644/B4643-1,""),"")</f>
        <v/>
      </c>
      <c r="E4644" s="28">
        <f>IFERROR(IF(AND(ISNUMBER(C4644),ISNUMBER(C4643),C4643&lt;&gt;0),C4644/C4643-1,""),"")</f>
        <v/>
      </c>
      <c r="F4644" s="28">
        <f>IFERROR(D4644-Dashboard!$B$4/252,"")</f>
        <v/>
      </c>
      <c r="G4644" s="28">
        <f>IFERROR(E4644-Dashboard!$B$4/252,"")</f>
        <v/>
      </c>
      <c r="H4644" s="8">
        <f>IFERROR(IF(ISNUMBER(B4644),MAX(B4644,IFERROR(H4643,B4644)),""),"")</f>
        <v/>
      </c>
      <c r="I4644" s="29">
        <f>IFERROR(IF(AND(ISNUMBER(B4644),ISNUMBER(H4644)),B4644/H4644-1,""),"")</f>
        <v/>
      </c>
      <c r="J4644" s="8">
        <f>IFERROR(IF(ISNUMBER(C4644),MAX(C4644,IFERROR(J4643,C4644)),""),"")</f>
        <v/>
      </c>
      <c r="K4644" s="29">
        <f>IFERROR(IF(AND(ISNUMBER(C4644),ISNUMBER(J4644)),C4644/J4644-1,""),"")</f>
        <v/>
      </c>
      <c r="L4644" s="28">
        <f>IFERROR(IF(AND(ISNUMBER(D4644),ISNUMBER(E4644)),D4644-E4644,""),"")</f>
        <v/>
      </c>
    </row>
    <row r="4645">
      <c r="A4645" s="7">
        <f>IFERROR(Datos!A4645,"")</f>
        <v/>
      </c>
      <c r="B4645" s="8">
        <f>IFERROR(Datos!B4645,"")</f>
        <v/>
      </c>
      <c r="C4645" s="8">
        <f>IFERROR(Datos!C4645,"")</f>
        <v/>
      </c>
      <c r="D4645" s="28">
        <f>IFERROR(IF(AND(ISNUMBER(B4645),ISNUMBER(B4644),B4644&lt;&gt;0),B4645/B4644-1,""),"")</f>
        <v/>
      </c>
      <c r="E4645" s="28">
        <f>IFERROR(IF(AND(ISNUMBER(C4645),ISNUMBER(C4644),C4644&lt;&gt;0),C4645/C4644-1,""),"")</f>
        <v/>
      </c>
      <c r="F4645" s="28">
        <f>IFERROR(D4645-Dashboard!$B$4/252,"")</f>
        <v/>
      </c>
      <c r="G4645" s="28">
        <f>IFERROR(E4645-Dashboard!$B$4/252,"")</f>
        <v/>
      </c>
      <c r="H4645" s="8">
        <f>IFERROR(IF(ISNUMBER(B4645),MAX(B4645,IFERROR(H4644,B4645)),""),"")</f>
        <v/>
      </c>
      <c r="I4645" s="29">
        <f>IFERROR(IF(AND(ISNUMBER(B4645),ISNUMBER(H4645)),B4645/H4645-1,""),"")</f>
        <v/>
      </c>
      <c r="J4645" s="8">
        <f>IFERROR(IF(ISNUMBER(C4645),MAX(C4645,IFERROR(J4644,C4645)),""),"")</f>
        <v/>
      </c>
      <c r="K4645" s="29">
        <f>IFERROR(IF(AND(ISNUMBER(C4645),ISNUMBER(J4645)),C4645/J4645-1,""),"")</f>
        <v/>
      </c>
      <c r="L4645" s="28">
        <f>IFERROR(IF(AND(ISNUMBER(D4645),ISNUMBER(E4645)),D4645-E4645,""),"")</f>
        <v/>
      </c>
    </row>
    <row r="4646">
      <c r="A4646" s="7">
        <f>IFERROR(Datos!A4646,"")</f>
        <v/>
      </c>
      <c r="B4646" s="8">
        <f>IFERROR(Datos!B4646,"")</f>
        <v/>
      </c>
      <c r="C4646" s="8">
        <f>IFERROR(Datos!C4646,"")</f>
        <v/>
      </c>
      <c r="D4646" s="28">
        <f>IFERROR(IF(AND(ISNUMBER(B4646),ISNUMBER(B4645),B4645&lt;&gt;0),B4646/B4645-1,""),"")</f>
        <v/>
      </c>
      <c r="E4646" s="28">
        <f>IFERROR(IF(AND(ISNUMBER(C4646),ISNUMBER(C4645),C4645&lt;&gt;0),C4646/C4645-1,""),"")</f>
        <v/>
      </c>
      <c r="F4646" s="28">
        <f>IFERROR(D4646-Dashboard!$B$4/252,"")</f>
        <v/>
      </c>
      <c r="G4646" s="28">
        <f>IFERROR(E4646-Dashboard!$B$4/252,"")</f>
        <v/>
      </c>
      <c r="H4646" s="8">
        <f>IFERROR(IF(ISNUMBER(B4646),MAX(B4646,IFERROR(H4645,B4646)),""),"")</f>
        <v/>
      </c>
      <c r="I4646" s="29">
        <f>IFERROR(IF(AND(ISNUMBER(B4646),ISNUMBER(H4646)),B4646/H4646-1,""),"")</f>
        <v/>
      </c>
      <c r="J4646" s="8">
        <f>IFERROR(IF(ISNUMBER(C4646),MAX(C4646,IFERROR(J4645,C4646)),""),"")</f>
        <v/>
      </c>
      <c r="K4646" s="29">
        <f>IFERROR(IF(AND(ISNUMBER(C4646),ISNUMBER(J4646)),C4646/J4646-1,""),"")</f>
        <v/>
      </c>
      <c r="L4646" s="28">
        <f>IFERROR(IF(AND(ISNUMBER(D4646),ISNUMBER(E4646)),D4646-E4646,""),"")</f>
        <v/>
      </c>
    </row>
    <row r="4647">
      <c r="A4647" s="7">
        <f>IFERROR(Datos!A4647,"")</f>
        <v/>
      </c>
      <c r="B4647" s="8">
        <f>IFERROR(Datos!B4647,"")</f>
        <v/>
      </c>
      <c r="C4647" s="8">
        <f>IFERROR(Datos!C4647,"")</f>
        <v/>
      </c>
      <c r="D4647" s="28">
        <f>IFERROR(IF(AND(ISNUMBER(B4647),ISNUMBER(B4646),B4646&lt;&gt;0),B4647/B4646-1,""),"")</f>
        <v/>
      </c>
      <c r="E4647" s="28">
        <f>IFERROR(IF(AND(ISNUMBER(C4647),ISNUMBER(C4646),C4646&lt;&gt;0),C4647/C4646-1,""),"")</f>
        <v/>
      </c>
      <c r="F4647" s="28">
        <f>IFERROR(D4647-Dashboard!$B$4/252,"")</f>
        <v/>
      </c>
      <c r="G4647" s="28">
        <f>IFERROR(E4647-Dashboard!$B$4/252,"")</f>
        <v/>
      </c>
      <c r="H4647" s="8">
        <f>IFERROR(IF(ISNUMBER(B4647),MAX(B4647,IFERROR(H4646,B4647)),""),"")</f>
        <v/>
      </c>
      <c r="I4647" s="29">
        <f>IFERROR(IF(AND(ISNUMBER(B4647),ISNUMBER(H4647)),B4647/H4647-1,""),"")</f>
        <v/>
      </c>
      <c r="J4647" s="8">
        <f>IFERROR(IF(ISNUMBER(C4647),MAX(C4647,IFERROR(J4646,C4647)),""),"")</f>
        <v/>
      </c>
      <c r="K4647" s="29">
        <f>IFERROR(IF(AND(ISNUMBER(C4647),ISNUMBER(J4647)),C4647/J4647-1,""),"")</f>
        <v/>
      </c>
      <c r="L4647" s="28">
        <f>IFERROR(IF(AND(ISNUMBER(D4647),ISNUMBER(E4647)),D4647-E4647,""),"")</f>
        <v/>
      </c>
    </row>
    <row r="4648">
      <c r="A4648" s="7">
        <f>IFERROR(Datos!A4648,"")</f>
        <v/>
      </c>
      <c r="B4648" s="8">
        <f>IFERROR(Datos!B4648,"")</f>
        <v/>
      </c>
      <c r="C4648" s="8">
        <f>IFERROR(Datos!C4648,"")</f>
        <v/>
      </c>
      <c r="D4648" s="28">
        <f>IFERROR(IF(AND(ISNUMBER(B4648),ISNUMBER(B4647),B4647&lt;&gt;0),B4648/B4647-1,""),"")</f>
        <v/>
      </c>
      <c r="E4648" s="28">
        <f>IFERROR(IF(AND(ISNUMBER(C4648),ISNUMBER(C4647),C4647&lt;&gt;0),C4648/C4647-1,""),"")</f>
        <v/>
      </c>
      <c r="F4648" s="28">
        <f>IFERROR(D4648-Dashboard!$B$4/252,"")</f>
        <v/>
      </c>
      <c r="G4648" s="28">
        <f>IFERROR(E4648-Dashboard!$B$4/252,"")</f>
        <v/>
      </c>
      <c r="H4648" s="8">
        <f>IFERROR(IF(ISNUMBER(B4648),MAX(B4648,IFERROR(H4647,B4648)),""),"")</f>
        <v/>
      </c>
      <c r="I4648" s="29">
        <f>IFERROR(IF(AND(ISNUMBER(B4648),ISNUMBER(H4648)),B4648/H4648-1,""),"")</f>
        <v/>
      </c>
      <c r="J4648" s="8">
        <f>IFERROR(IF(ISNUMBER(C4648),MAX(C4648,IFERROR(J4647,C4648)),""),"")</f>
        <v/>
      </c>
      <c r="K4648" s="29">
        <f>IFERROR(IF(AND(ISNUMBER(C4648),ISNUMBER(J4648)),C4648/J4648-1,""),"")</f>
        <v/>
      </c>
      <c r="L4648" s="28">
        <f>IFERROR(IF(AND(ISNUMBER(D4648),ISNUMBER(E4648)),D4648-E4648,""),"")</f>
        <v/>
      </c>
    </row>
    <row r="4649">
      <c r="A4649" s="7">
        <f>IFERROR(Datos!A4649,"")</f>
        <v/>
      </c>
      <c r="B4649" s="8">
        <f>IFERROR(Datos!B4649,"")</f>
        <v/>
      </c>
      <c r="C4649" s="8">
        <f>IFERROR(Datos!C4649,"")</f>
        <v/>
      </c>
      <c r="D4649" s="28">
        <f>IFERROR(IF(AND(ISNUMBER(B4649),ISNUMBER(B4648),B4648&lt;&gt;0),B4649/B4648-1,""),"")</f>
        <v/>
      </c>
      <c r="E4649" s="28">
        <f>IFERROR(IF(AND(ISNUMBER(C4649),ISNUMBER(C4648),C4648&lt;&gt;0),C4649/C4648-1,""),"")</f>
        <v/>
      </c>
      <c r="F4649" s="28">
        <f>IFERROR(D4649-Dashboard!$B$4/252,"")</f>
        <v/>
      </c>
      <c r="G4649" s="28">
        <f>IFERROR(E4649-Dashboard!$B$4/252,"")</f>
        <v/>
      </c>
      <c r="H4649" s="8">
        <f>IFERROR(IF(ISNUMBER(B4649),MAX(B4649,IFERROR(H4648,B4649)),""),"")</f>
        <v/>
      </c>
      <c r="I4649" s="29">
        <f>IFERROR(IF(AND(ISNUMBER(B4649),ISNUMBER(H4649)),B4649/H4649-1,""),"")</f>
        <v/>
      </c>
      <c r="J4649" s="8">
        <f>IFERROR(IF(ISNUMBER(C4649),MAX(C4649,IFERROR(J4648,C4649)),""),"")</f>
        <v/>
      </c>
      <c r="K4649" s="29">
        <f>IFERROR(IF(AND(ISNUMBER(C4649),ISNUMBER(J4649)),C4649/J4649-1,""),"")</f>
        <v/>
      </c>
      <c r="L4649" s="28">
        <f>IFERROR(IF(AND(ISNUMBER(D4649),ISNUMBER(E4649)),D4649-E4649,""),"")</f>
        <v/>
      </c>
    </row>
    <row r="4650">
      <c r="A4650" s="7">
        <f>IFERROR(Datos!A4650,"")</f>
        <v/>
      </c>
      <c r="B4650" s="8">
        <f>IFERROR(Datos!B4650,"")</f>
        <v/>
      </c>
      <c r="C4650" s="8">
        <f>IFERROR(Datos!C4650,"")</f>
        <v/>
      </c>
      <c r="D4650" s="28">
        <f>IFERROR(IF(AND(ISNUMBER(B4650),ISNUMBER(B4649),B4649&lt;&gt;0),B4650/B4649-1,""),"")</f>
        <v/>
      </c>
      <c r="E4650" s="28">
        <f>IFERROR(IF(AND(ISNUMBER(C4650),ISNUMBER(C4649),C4649&lt;&gt;0),C4650/C4649-1,""),"")</f>
        <v/>
      </c>
      <c r="F4650" s="28">
        <f>IFERROR(D4650-Dashboard!$B$4/252,"")</f>
        <v/>
      </c>
      <c r="G4650" s="28">
        <f>IFERROR(E4650-Dashboard!$B$4/252,"")</f>
        <v/>
      </c>
      <c r="H4650" s="8">
        <f>IFERROR(IF(ISNUMBER(B4650),MAX(B4650,IFERROR(H4649,B4650)),""),"")</f>
        <v/>
      </c>
      <c r="I4650" s="29">
        <f>IFERROR(IF(AND(ISNUMBER(B4650),ISNUMBER(H4650)),B4650/H4650-1,""),"")</f>
        <v/>
      </c>
      <c r="J4650" s="8">
        <f>IFERROR(IF(ISNUMBER(C4650),MAX(C4650,IFERROR(J4649,C4650)),""),"")</f>
        <v/>
      </c>
      <c r="K4650" s="29">
        <f>IFERROR(IF(AND(ISNUMBER(C4650),ISNUMBER(J4650)),C4650/J4650-1,""),"")</f>
        <v/>
      </c>
      <c r="L4650" s="28">
        <f>IFERROR(IF(AND(ISNUMBER(D4650),ISNUMBER(E4650)),D4650-E4650,""),"")</f>
        <v/>
      </c>
    </row>
    <row r="4651">
      <c r="A4651" s="7">
        <f>IFERROR(Datos!A4651,"")</f>
        <v/>
      </c>
      <c r="B4651" s="8">
        <f>IFERROR(Datos!B4651,"")</f>
        <v/>
      </c>
      <c r="C4651" s="8">
        <f>IFERROR(Datos!C4651,"")</f>
        <v/>
      </c>
      <c r="D4651" s="28">
        <f>IFERROR(IF(AND(ISNUMBER(B4651),ISNUMBER(B4650),B4650&lt;&gt;0),B4651/B4650-1,""),"")</f>
        <v/>
      </c>
      <c r="E4651" s="28">
        <f>IFERROR(IF(AND(ISNUMBER(C4651),ISNUMBER(C4650),C4650&lt;&gt;0),C4651/C4650-1,""),"")</f>
        <v/>
      </c>
      <c r="F4651" s="28">
        <f>IFERROR(D4651-Dashboard!$B$4/252,"")</f>
        <v/>
      </c>
      <c r="G4651" s="28">
        <f>IFERROR(E4651-Dashboard!$B$4/252,"")</f>
        <v/>
      </c>
      <c r="H4651" s="8">
        <f>IFERROR(IF(ISNUMBER(B4651),MAX(B4651,IFERROR(H4650,B4651)),""),"")</f>
        <v/>
      </c>
      <c r="I4651" s="29">
        <f>IFERROR(IF(AND(ISNUMBER(B4651),ISNUMBER(H4651)),B4651/H4651-1,""),"")</f>
        <v/>
      </c>
      <c r="J4651" s="8">
        <f>IFERROR(IF(ISNUMBER(C4651),MAX(C4651,IFERROR(J4650,C4651)),""),"")</f>
        <v/>
      </c>
      <c r="K4651" s="29">
        <f>IFERROR(IF(AND(ISNUMBER(C4651),ISNUMBER(J4651)),C4651/J4651-1,""),"")</f>
        <v/>
      </c>
      <c r="L4651" s="28">
        <f>IFERROR(IF(AND(ISNUMBER(D4651),ISNUMBER(E4651)),D4651-E4651,""),"")</f>
        <v/>
      </c>
    </row>
    <row r="4652">
      <c r="A4652" s="7">
        <f>IFERROR(Datos!A4652,"")</f>
        <v/>
      </c>
      <c r="B4652" s="8">
        <f>IFERROR(Datos!B4652,"")</f>
        <v/>
      </c>
      <c r="C4652" s="8">
        <f>IFERROR(Datos!C4652,"")</f>
        <v/>
      </c>
      <c r="D4652" s="28">
        <f>IFERROR(IF(AND(ISNUMBER(B4652),ISNUMBER(B4651),B4651&lt;&gt;0),B4652/B4651-1,""),"")</f>
        <v/>
      </c>
      <c r="E4652" s="28">
        <f>IFERROR(IF(AND(ISNUMBER(C4652),ISNUMBER(C4651),C4651&lt;&gt;0),C4652/C4651-1,""),"")</f>
        <v/>
      </c>
      <c r="F4652" s="28">
        <f>IFERROR(D4652-Dashboard!$B$4/252,"")</f>
        <v/>
      </c>
      <c r="G4652" s="28">
        <f>IFERROR(E4652-Dashboard!$B$4/252,"")</f>
        <v/>
      </c>
      <c r="H4652" s="8">
        <f>IFERROR(IF(ISNUMBER(B4652),MAX(B4652,IFERROR(H4651,B4652)),""),"")</f>
        <v/>
      </c>
      <c r="I4652" s="29">
        <f>IFERROR(IF(AND(ISNUMBER(B4652),ISNUMBER(H4652)),B4652/H4652-1,""),"")</f>
        <v/>
      </c>
      <c r="J4652" s="8">
        <f>IFERROR(IF(ISNUMBER(C4652),MAX(C4652,IFERROR(J4651,C4652)),""),"")</f>
        <v/>
      </c>
      <c r="K4652" s="29">
        <f>IFERROR(IF(AND(ISNUMBER(C4652),ISNUMBER(J4652)),C4652/J4652-1,""),"")</f>
        <v/>
      </c>
      <c r="L4652" s="28">
        <f>IFERROR(IF(AND(ISNUMBER(D4652),ISNUMBER(E4652)),D4652-E4652,""),"")</f>
        <v/>
      </c>
    </row>
    <row r="4653">
      <c r="A4653" s="7">
        <f>IFERROR(Datos!A4653,"")</f>
        <v/>
      </c>
      <c r="B4653" s="8">
        <f>IFERROR(Datos!B4653,"")</f>
        <v/>
      </c>
      <c r="C4653" s="8">
        <f>IFERROR(Datos!C4653,"")</f>
        <v/>
      </c>
      <c r="D4653" s="28">
        <f>IFERROR(IF(AND(ISNUMBER(B4653),ISNUMBER(B4652),B4652&lt;&gt;0),B4653/B4652-1,""),"")</f>
        <v/>
      </c>
      <c r="E4653" s="28">
        <f>IFERROR(IF(AND(ISNUMBER(C4653),ISNUMBER(C4652),C4652&lt;&gt;0),C4653/C4652-1,""),"")</f>
        <v/>
      </c>
      <c r="F4653" s="28">
        <f>IFERROR(D4653-Dashboard!$B$4/252,"")</f>
        <v/>
      </c>
      <c r="G4653" s="28">
        <f>IFERROR(E4653-Dashboard!$B$4/252,"")</f>
        <v/>
      </c>
      <c r="H4653" s="8">
        <f>IFERROR(IF(ISNUMBER(B4653),MAX(B4653,IFERROR(H4652,B4653)),""),"")</f>
        <v/>
      </c>
      <c r="I4653" s="29">
        <f>IFERROR(IF(AND(ISNUMBER(B4653),ISNUMBER(H4653)),B4653/H4653-1,""),"")</f>
        <v/>
      </c>
      <c r="J4653" s="8">
        <f>IFERROR(IF(ISNUMBER(C4653),MAX(C4653,IFERROR(J4652,C4653)),""),"")</f>
        <v/>
      </c>
      <c r="K4653" s="29">
        <f>IFERROR(IF(AND(ISNUMBER(C4653),ISNUMBER(J4653)),C4653/J4653-1,""),"")</f>
        <v/>
      </c>
      <c r="L4653" s="28">
        <f>IFERROR(IF(AND(ISNUMBER(D4653),ISNUMBER(E4653)),D4653-E4653,""),"")</f>
        <v/>
      </c>
    </row>
    <row r="4654">
      <c r="A4654" s="7">
        <f>IFERROR(Datos!A4654,"")</f>
        <v/>
      </c>
      <c r="B4654" s="8">
        <f>IFERROR(Datos!B4654,"")</f>
        <v/>
      </c>
      <c r="C4654" s="8">
        <f>IFERROR(Datos!C4654,"")</f>
        <v/>
      </c>
      <c r="D4654" s="28">
        <f>IFERROR(IF(AND(ISNUMBER(B4654),ISNUMBER(B4653),B4653&lt;&gt;0),B4654/B4653-1,""),"")</f>
        <v/>
      </c>
      <c r="E4654" s="28">
        <f>IFERROR(IF(AND(ISNUMBER(C4654),ISNUMBER(C4653),C4653&lt;&gt;0),C4654/C4653-1,""),"")</f>
        <v/>
      </c>
      <c r="F4654" s="28">
        <f>IFERROR(D4654-Dashboard!$B$4/252,"")</f>
        <v/>
      </c>
      <c r="G4654" s="28">
        <f>IFERROR(E4654-Dashboard!$B$4/252,"")</f>
        <v/>
      </c>
      <c r="H4654" s="8">
        <f>IFERROR(IF(ISNUMBER(B4654),MAX(B4654,IFERROR(H4653,B4654)),""),"")</f>
        <v/>
      </c>
      <c r="I4654" s="29">
        <f>IFERROR(IF(AND(ISNUMBER(B4654),ISNUMBER(H4654)),B4654/H4654-1,""),"")</f>
        <v/>
      </c>
      <c r="J4654" s="8">
        <f>IFERROR(IF(ISNUMBER(C4654),MAX(C4654,IFERROR(J4653,C4654)),""),"")</f>
        <v/>
      </c>
      <c r="K4654" s="29">
        <f>IFERROR(IF(AND(ISNUMBER(C4654),ISNUMBER(J4654)),C4654/J4654-1,""),"")</f>
        <v/>
      </c>
      <c r="L4654" s="28">
        <f>IFERROR(IF(AND(ISNUMBER(D4654),ISNUMBER(E4654)),D4654-E4654,""),"")</f>
        <v/>
      </c>
    </row>
    <row r="4655">
      <c r="A4655" s="7">
        <f>IFERROR(Datos!A4655,"")</f>
        <v/>
      </c>
      <c r="B4655" s="8">
        <f>IFERROR(Datos!B4655,"")</f>
        <v/>
      </c>
      <c r="C4655" s="8">
        <f>IFERROR(Datos!C4655,"")</f>
        <v/>
      </c>
      <c r="D4655" s="28">
        <f>IFERROR(IF(AND(ISNUMBER(B4655),ISNUMBER(B4654),B4654&lt;&gt;0),B4655/B4654-1,""),"")</f>
        <v/>
      </c>
      <c r="E4655" s="28">
        <f>IFERROR(IF(AND(ISNUMBER(C4655),ISNUMBER(C4654),C4654&lt;&gt;0),C4655/C4654-1,""),"")</f>
        <v/>
      </c>
      <c r="F4655" s="28">
        <f>IFERROR(D4655-Dashboard!$B$4/252,"")</f>
        <v/>
      </c>
      <c r="G4655" s="28">
        <f>IFERROR(E4655-Dashboard!$B$4/252,"")</f>
        <v/>
      </c>
      <c r="H4655" s="8">
        <f>IFERROR(IF(ISNUMBER(B4655),MAX(B4655,IFERROR(H4654,B4655)),""),"")</f>
        <v/>
      </c>
      <c r="I4655" s="29">
        <f>IFERROR(IF(AND(ISNUMBER(B4655),ISNUMBER(H4655)),B4655/H4655-1,""),"")</f>
        <v/>
      </c>
      <c r="J4655" s="8">
        <f>IFERROR(IF(ISNUMBER(C4655),MAX(C4655,IFERROR(J4654,C4655)),""),"")</f>
        <v/>
      </c>
      <c r="K4655" s="29">
        <f>IFERROR(IF(AND(ISNUMBER(C4655),ISNUMBER(J4655)),C4655/J4655-1,""),"")</f>
        <v/>
      </c>
      <c r="L4655" s="28">
        <f>IFERROR(IF(AND(ISNUMBER(D4655),ISNUMBER(E4655)),D4655-E4655,""),"")</f>
        <v/>
      </c>
    </row>
    <row r="4656">
      <c r="A4656" s="7">
        <f>IFERROR(Datos!A4656,"")</f>
        <v/>
      </c>
      <c r="B4656" s="8">
        <f>IFERROR(Datos!B4656,"")</f>
        <v/>
      </c>
      <c r="C4656" s="8">
        <f>IFERROR(Datos!C4656,"")</f>
        <v/>
      </c>
      <c r="D4656" s="28">
        <f>IFERROR(IF(AND(ISNUMBER(B4656),ISNUMBER(B4655),B4655&lt;&gt;0),B4656/B4655-1,""),"")</f>
        <v/>
      </c>
      <c r="E4656" s="28">
        <f>IFERROR(IF(AND(ISNUMBER(C4656),ISNUMBER(C4655),C4655&lt;&gt;0),C4656/C4655-1,""),"")</f>
        <v/>
      </c>
      <c r="F4656" s="28">
        <f>IFERROR(D4656-Dashboard!$B$4/252,"")</f>
        <v/>
      </c>
      <c r="G4656" s="28">
        <f>IFERROR(E4656-Dashboard!$B$4/252,"")</f>
        <v/>
      </c>
      <c r="H4656" s="8">
        <f>IFERROR(IF(ISNUMBER(B4656),MAX(B4656,IFERROR(H4655,B4656)),""),"")</f>
        <v/>
      </c>
      <c r="I4656" s="29">
        <f>IFERROR(IF(AND(ISNUMBER(B4656),ISNUMBER(H4656)),B4656/H4656-1,""),"")</f>
        <v/>
      </c>
      <c r="J4656" s="8">
        <f>IFERROR(IF(ISNUMBER(C4656),MAX(C4656,IFERROR(J4655,C4656)),""),"")</f>
        <v/>
      </c>
      <c r="K4656" s="29">
        <f>IFERROR(IF(AND(ISNUMBER(C4656),ISNUMBER(J4656)),C4656/J4656-1,""),"")</f>
        <v/>
      </c>
      <c r="L4656" s="28">
        <f>IFERROR(IF(AND(ISNUMBER(D4656),ISNUMBER(E4656)),D4656-E4656,""),"")</f>
        <v/>
      </c>
    </row>
    <row r="4657">
      <c r="A4657" s="7">
        <f>IFERROR(Datos!A4657,"")</f>
        <v/>
      </c>
      <c r="B4657" s="8">
        <f>IFERROR(Datos!B4657,"")</f>
        <v/>
      </c>
      <c r="C4657" s="8">
        <f>IFERROR(Datos!C4657,"")</f>
        <v/>
      </c>
      <c r="D4657" s="28">
        <f>IFERROR(IF(AND(ISNUMBER(B4657),ISNUMBER(B4656),B4656&lt;&gt;0),B4657/B4656-1,""),"")</f>
        <v/>
      </c>
      <c r="E4657" s="28">
        <f>IFERROR(IF(AND(ISNUMBER(C4657),ISNUMBER(C4656),C4656&lt;&gt;0),C4657/C4656-1,""),"")</f>
        <v/>
      </c>
      <c r="F4657" s="28">
        <f>IFERROR(D4657-Dashboard!$B$4/252,"")</f>
        <v/>
      </c>
      <c r="G4657" s="28">
        <f>IFERROR(E4657-Dashboard!$B$4/252,"")</f>
        <v/>
      </c>
      <c r="H4657" s="8">
        <f>IFERROR(IF(ISNUMBER(B4657),MAX(B4657,IFERROR(H4656,B4657)),""),"")</f>
        <v/>
      </c>
      <c r="I4657" s="29">
        <f>IFERROR(IF(AND(ISNUMBER(B4657),ISNUMBER(H4657)),B4657/H4657-1,""),"")</f>
        <v/>
      </c>
      <c r="J4657" s="8">
        <f>IFERROR(IF(ISNUMBER(C4657),MAX(C4657,IFERROR(J4656,C4657)),""),"")</f>
        <v/>
      </c>
      <c r="K4657" s="29">
        <f>IFERROR(IF(AND(ISNUMBER(C4657),ISNUMBER(J4657)),C4657/J4657-1,""),"")</f>
        <v/>
      </c>
      <c r="L4657" s="28">
        <f>IFERROR(IF(AND(ISNUMBER(D4657),ISNUMBER(E4657)),D4657-E4657,""),"")</f>
        <v/>
      </c>
    </row>
    <row r="4658">
      <c r="A4658" s="7">
        <f>IFERROR(Datos!A4658,"")</f>
        <v/>
      </c>
      <c r="B4658" s="8">
        <f>IFERROR(Datos!B4658,"")</f>
        <v/>
      </c>
      <c r="C4658" s="8">
        <f>IFERROR(Datos!C4658,"")</f>
        <v/>
      </c>
      <c r="D4658" s="28">
        <f>IFERROR(IF(AND(ISNUMBER(B4658),ISNUMBER(B4657),B4657&lt;&gt;0),B4658/B4657-1,""),"")</f>
        <v/>
      </c>
      <c r="E4658" s="28">
        <f>IFERROR(IF(AND(ISNUMBER(C4658),ISNUMBER(C4657),C4657&lt;&gt;0),C4658/C4657-1,""),"")</f>
        <v/>
      </c>
      <c r="F4658" s="28">
        <f>IFERROR(D4658-Dashboard!$B$4/252,"")</f>
        <v/>
      </c>
      <c r="G4658" s="28">
        <f>IFERROR(E4658-Dashboard!$B$4/252,"")</f>
        <v/>
      </c>
      <c r="H4658" s="8">
        <f>IFERROR(IF(ISNUMBER(B4658),MAX(B4658,IFERROR(H4657,B4658)),""),"")</f>
        <v/>
      </c>
      <c r="I4658" s="29">
        <f>IFERROR(IF(AND(ISNUMBER(B4658),ISNUMBER(H4658)),B4658/H4658-1,""),"")</f>
        <v/>
      </c>
      <c r="J4658" s="8">
        <f>IFERROR(IF(ISNUMBER(C4658),MAX(C4658,IFERROR(J4657,C4658)),""),"")</f>
        <v/>
      </c>
      <c r="K4658" s="29">
        <f>IFERROR(IF(AND(ISNUMBER(C4658),ISNUMBER(J4658)),C4658/J4658-1,""),"")</f>
        <v/>
      </c>
      <c r="L4658" s="28">
        <f>IFERROR(IF(AND(ISNUMBER(D4658),ISNUMBER(E4658)),D4658-E4658,""),"")</f>
        <v/>
      </c>
    </row>
    <row r="4659">
      <c r="A4659" s="7">
        <f>IFERROR(Datos!A4659,"")</f>
        <v/>
      </c>
      <c r="B4659" s="8">
        <f>IFERROR(Datos!B4659,"")</f>
        <v/>
      </c>
      <c r="C4659" s="8">
        <f>IFERROR(Datos!C4659,"")</f>
        <v/>
      </c>
      <c r="D4659" s="28">
        <f>IFERROR(IF(AND(ISNUMBER(B4659),ISNUMBER(B4658),B4658&lt;&gt;0),B4659/B4658-1,""),"")</f>
        <v/>
      </c>
      <c r="E4659" s="28">
        <f>IFERROR(IF(AND(ISNUMBER(C4659),ISNUMBER(C4658),C4658&lt;&gt;0),C4659/C4658-1,""),"")</f>
        <v/>
      </c>
      <c r="F4659" s="28">
        <f>IFERROR(D4659-Dashboard!$B$4/252,"")</f>
        <v/>
      </c>
      <c r="G4659" s="28">
        <f>IFERROR(E4659-Dashboard!$B$4/252,"")</f>
        <v/>
      </c>
      <c r="H4659" s="8">
        <f>IFERROR(IF(ISNUMBER(B4659),MAX(B4659,IFERROR(H4658,B4659)),""),"")</f>
        <v/>
      </c>
      <c r="I4659" s="29">
        <f>IFERROR(IF(AND(ISNUMBER(B4659),ISNUMBER(H4659)),B4659/H4659-1,""),"")</f>
        <v/>
      </c>
      <c r="J4659" s="8">
        <f>IFERROR(IF(ISNUMBER(C4659),MAX(C4659,IFERROR(J4658,C4659)),""),"")</f>
        <v/>
      </c>
      <c r="K4659" s="29">
        <f>IFERROR(IF(AND(ISNUMBER(C4659),ISNUMBER(J4659)),C4659/J4659-1,""),"")</f>
        <v/>
      </c>
      <c r="L4659" s="28">
        <f>IFERROR(IF(AND(ISNUMBER(D4659),ISNUMBER(E4659)),D4659-E4659,""),"")</f>
        <v/>
      </c>
    </row>
    <row r="4660">
      <c r="A4660" s="7">
        <f>IFERROR(Datos!A4660,"")</f>
        <v/>
      </c>
      <c r="B4660" s="8">
        <f>IFERROR(Datos!B4660,"")</f>
        <v/>
      </c>
      <c r="C4660" s="8">
        <f>IFERROR(Datos!C4660,"")</f>
        <v/>
      </c>
      <c r="D4660" s="28">
        <f>IFERROR(IF(AND(ISNUMBER(B4660),ISNUMBER(B4659),B4659&lt;&gt;0),B4660/B4659-1,""),"")</f>
        <v/>
      </c>
      <c r="E4660" s="28">
        <f>IFERROR(IF(AND(ISNUMBER(C4660),ISNUMBER(C4659),C4659&lt;&gt;0),C4660/C4659-1,""),"")</f>
        <v/>
      </c>
      <c r="F4660" s="28">
        <f>IFERROR(D4660-Dashboard!$B$4/252,"")</f>
        <v/>
      </c>
      <c r="G4660" s="28">
        <f>IFERROR(E4660-Dashboard!$B$4/252,"")</f>
        <v/>
      </c>
      <c r="H4660" s="8">
        <f>IFERROR(IF(ISNUMBER(B4660),MAX(B4660,IFERROR(H4659,B4660)),""),"")</f>
        <v/>
      </c>
      <c r="I4660" s="29">
        <f>IFERROR(IF(AND(ISNUMBER(B4660),ISNUMBER(H4660)),B4660/H4660-1,""),"")</f>
        <v/>
      </c>
      <c r="J4660" s="8">
        <f>IFERROR(IF(ISNUMBER(C4660),MAX(C4660,IFERROR(J4659,C4660)),""),"")</f>
        <v/>
      </c>
      <c r="K4660" s="29">
        <f>IFERROR(IF(AND(ISNUMBER(C4660),ISNUMBER(J4660)),C4660/J4660-1,""),"")</f>
        <v/>
      </c>
      <c r="L4660" s="28">
        <f>IFERROR(IF(AND(ISNUMBER(D4660),ISNUMBER(E4660)),D4660-E4660,""),"")</f>
        <v/>
      </c>
    </row>
    <row r="4661">
      <c r="A4661" s="7">
        <f>IFERROR(Datos!A4661,"")</f>
        <v/>
      </c>
      <c r="B4661" s="8">
        <f>IFERROR(Datos!B4661,"")</f>
        <v/>
      </c>
      <c r="C4661" s="8">
        <f>IFERROR(Datos!C4661,"")</f>
        <v/>
      </c>
      <c r="D4661" s="28">
        <f>IFERROR(IF(AND(ISNUMBER(B4661),ISNUMBER(B4660),B4660&lt;&gt;0),B4661/B4660-1,""),"")</f>
        <v/>
      </c>
      <c r="E4661" s="28">
        <f>IFERROR(IF(AND(ISNUMBER(C4661),ISNUMBER(C4660),C4660&lt;&gt;0),C4661/C4660-1,""),"")</f>
        <v/>
      </c>
      <c r="F4661" s="28">
        <f>IFERROR(D4661-Dashboard!$B$4/252,"")</f>
        <v/>
      </c>
      <c r="G4661" s="28">
        <f>IFERROR(E4661-Dashboard!$B$4/252,"")</f>
        <v/>
      </c>
      <c r="H4661" s="8">
        <f>IFERROR(IF(ISNUMBER(B4661),MAX(B4661,IFERROR(H4660,B4661)),""),"")</f>
        <v/>
      </c>
      <c r="I4661" s="29">
        <f>IFERROR(IF(AND(ISNUMBER(B4661),ISNUMBER(H4661)),B4661/H4661-1,""),"")</f>
        <v/>
      </c>
      <c r="J4661" s="8">
        <f>IFERROR(IF(ISNUMBER(C4661),MAX(C4661,IFERROR(J4660,C4661)),""),"")</f>
        <v/>
      </c>
      <c r="K4661" s="29">
        <f>IFERROR(IF(AND(ISNUMBER(C4661),ISNUMBER(J4661)),C4661/J4661-1,""),"")</f>
        <v/>
      </c>
      <c r="L4661" s="28">
        <f>IFERROR(IF(AND(ISNUMBER(D4661),ISNUMBER(E4661)),D4661-E4661,""),"")</f>
        <v/>
      </c>
    </row>
    <row r="4662">
      <c r="A4662" s="7">
        <f>IFERROR(Datos!A4662,"")</f>
        <v/>
      </c>
      <c r="B4662" s="8">
        <f>IFERROR(Datos!B4662,"")</f>
        <v/>
      </c>
      <c r="C4662" s="8">
        <f>IFERROR(Datos!C4662,"")</f>
        <v/>
      </c>
      <c r="D4662" s="28">
        <f>IFERROR(IF(AND(ISNUMBER(B4662),ISNUMBER(B4661),B4661&lt;&gt;0),B4662/B4661-1,""),"")</f>
        <v/>
      </c>
      <c r="E4662" s="28">
        <f>IFERROR(IF(AND(ISNUMBER(C4662),ISNUMBER(C4661),C4661&lt;&gt;0),C4662/C4661-1,""),"")</f>
        <v/>
      </c>
      <c r="F4662" s="28">
        <f>IFERROR(D4662-Dashboard!$B$4/252,"")</f>
        <v/>
      </c>
      <c r="G4662" s="28">
        <f>IFERROR(E4662-Dashboard!$B$4/252,"")</f>
        <v/>
      </c>
      <c r="H4662" s="8">
        <f>IFERROR(IF(ISNUMBER(B4662),MAX(B4662,IFERROR(H4661,B4662)),""),"")</f>
        <v/>
      </c>
      <c r="I4662" s="29">
        <f>IFERROR(IF(AND(ISNUMBER(B4662),ISNUMBER(H4662)),B4662/H4662-1,""),"")</f>
        <v/>
      </c>
      <c r="J4662" s="8">
        <f>IFERROR(IF(ISNUMBER(C4662),MAX(C4662,IFERROR(J4661,C4662)),""),"")</f>
        <v/>
      </c>
      <c r="K4662" s="29">
        <f>IFERROR(IF(AND(ISNUMBER(C4662),ISNUMBER(J4662)),C4662/J4662-1,""),"")</f>
        <v/>
      </c>
      <c r="L4662" s="28">
        <f>IFERROR(IF(AND(ISNUMBER(D4662),ISNUMBER(E4662)),D4662-E4662,""),"")</f>
        <v/>
      </c>
    </row>
    <row r="4663">
      <c r="A4663" s="7">
        <f>IFERROR(Datos!A4663,"")</f>
        <v/>
      </c>
      <c r="B4663" s="8">
        <f>IFERROR(Datos!B4663,"")</f>
        <v/>
      </c>
      <c r="C4663" s="8">
        <f>IFERROR(Datos!C4663,"")</f>
        <v/>
      </c>
      <c r="D4663" s="28">
        <f>IFERROR(IF(AND(ISNUMBER(B4663),ISNUMBER(B4662),B4662&lt;&gt;0),B4663/B4662-1,""),"")</f>
        <v/>
      </c>
      <c r="E4663" s="28">
        <f>IFERROR(IF(AND(ISNUMBER(C4663),ISNUMBER(C4662),C4662&lt;&gt;0),C4663/C4662-1,""),"")</f>
        <v/>
      </c>
      <c r="F4663" s="28">
        <f>IFERROR(D4663-Dashboard!$B$4/252,"")</f>
        <v/>
      </c>
      <c r="G4663" s="28">
        <f>IFERROR(E4663-Dashboard!$B$4/252,"")</f>
        <v/>
      </c>
      <c r="H4663" s="8">
        <f>IFERROR(IF(ISNUMBER(B4663),MAX(B4663,IFERROR(H4662,B4663)),""),"")</f>
        <v/>
      </c>
      <c r="I4663" s="29">
        <f>IFERROR(IF(AND(ISNUMBER(B4663),ISNUMBER(H4663)),B4663/H4663-1,""),"")</f>
        <v/>
      </c>
      <c r="J4663" s="8">
        <f>IFERROR(IF(ISNUMBER(C4663),MAX(C4663,IFERROR(J4662,C4663)),""),"")</f>
        <v/>
      </c>
      <c r="K4663" s="29">
        <f>IFERROR(IF(AND(ISNUMBER(C4663),ISNUMBER(J4663)),C4663/J4663-1,""),"")</f>
        <v/>
      </c>
      <c r="L4663" s="28">
        <f>IFERROR(IF(AND(ISNUMBER(D4663),ISNUMBER(E4663)),D4663-E4663,""),"")</f>
        <v/>
      </c>
    </row>
    <row r="4664">
      <c r="A4664" s="7">
        <f>IFERROR(Datos!A4664,"")</f>
        <v/>
      </c>
      <c r="B4664" s="8">
        <f>IFERROR(Datos!B4664,"")</f>
        <v/>
      </c>
      <c r="C4664" s="8">
        <f>IFERROR(Datos!C4664,"")</f>
        <v/>
      </c>
      <c r="D4664" s="28">
        <f>IFERROR(IF(AND(ISNUMBER(B4664),ISNUMBER(B4663),B4663&lt;&gt;0),B4664/B4663-1,""),"")</f>
        <v/>
      </c>
      <c r="E4664" s="28">
        <f>IFERROR(IF(AND(ISNUMBER(C4664),ISNUMBER(C4663),C4663&lt;&gt;0),C4664/C4663-1,""),"")</f>
        <v/>
      </c>
      <c r="F4664" s="28">
        <f>IFERROR(D4664-Dashboard!$B$4/252,"")</f>
        <v/>
      </c>
      <c r="G4664" s="28">
        <f>IFERROR(E4664-Dashboard!$B$4/252,"")</f>
        <v/>
      </c>
      <c r="H4664" s="8">
        <f>IFERROR(IF(ISNUMBER(B4664),MAX(B4664,IFERROR(H4663,B4664)),""),"")</f>
        <v/>
      </c>
      <c r="I4664" s="29">
        <f>IFERROR(IF(AND(ISNUMBER(B4664),ISNUMBER(H4664)),B4664/H4664-1,""),"")</f>
        <v/>
      </c>
      <c r="J4664" s="8">
        <f>IFERROR(IF(ISNUMBER(C4664),MAX(C4664,IFERROR(J4663,C4664)),""),"")</f>
        <v/>
      </c>
      <c r="K4664" s="29">
        <f>IFERROR(IF(AND(ISNUMBER(C4664),ISNUMBER(J4664)),C4664/J4664-1,""),"")</f>
        <v/>
      </c>
      <c r="L4664" s="28">
        <f>IFERROR(IF(AND(ISNUMBER(D4664),ISNUMBER(E4664)),D4664-E4664,""),"")</f>
        <v/>
      </c>
    </row>
    <row r="4665">
      <c r="A4665" s="7">
        <f>IFERROR(Datos!A4665,"")</f>
        <v/>
      </c>
      <c r="B4665" s="8">
        <f>IFERROR(Datos!B4665,"")</f>
        <v/>
      </c>
      <c r="C4665" s="8">
        <f>IFERROR(Datos!C4665,"")</f>
        <v/>
      </c>
      <c r="D4665" s="28">
        <f>IFERROR(IF(AND(ISNUMBER(B4665),ISNUMBER(B4664),B4664&lt;&gt;0),B4665/B4664-1,""),"")</f>
        <v/>
      </c>
      <c r="E4665" s="28">
        <f>IFERROR(IF(AND(ISNUMBER(C4665),ISNUMBER(C4664),C4664&lt;&gt;0),C4665/C4664-1,""),"")</f>
        <v/>
      </c>
      <c r="F4665" s="28">
        <f>IFERROR(D4665-Dashboard!$B$4/252,"")</f>
        <v/>
      </c>
      <c r="G4665" s="28">
        <f>IFERROR(E4665-Dashboard!$B$4/252,"")</f>
        <v/>
      </c>
      <c r="H4665" s="8">
        <f>IFERROR(IF(ISNUMBER(B4665),MAX(B4665,IFERROR(H4664,B4665)),""),"")</f>
        <v/>
      </c>
      <c r="I4665" s="29">
        <f>IFERROR(IF(AND(ISNUMBER(B4665),ISNUMBER(H4665)),B4665/H4665-1,""),"")</f>
        <v/>
      </c>
      <c r="J4665" s="8">
        <f>IFERROR(IF(ISNUMBER(C4665),MAX(C4665,IFERROR(J4664,C4665)),""),"")</f>
        <v/>
      </c>
      <c r="K4665" s="29">
        <f>IFERROR(IF(AND(ISNUMBER(C4665),ISNUMBER(J4665)),C4665/J4665-1,""),"")</f>
        <v/>
      </c>
      <c r="L4665" s="28">
        <f>IFERROR(IF(AND(ISNUMBER(D4665),ISNUMBER(E4665)),D4665-E4665,""),"")</f>
        <v/>
      </c>
    </row>
    <row r="4666">
      <c r="A4666" s="7">
        <f>IFERROR(Datos!A4666,"")</f>
        <v/>
      </c>
      <c r="B4666" s="8">
        <f>IFERROR(Datos!B4666,"")</f>
        <v/>
      </c>
      <c r="C4666" s="8">
        <f>IFERROR(Datos!C4666,"")</f>
        <v/>
      </c>
      <c r="D4666" s="28">
        <f>IFERROR(IF(AND(ISNUMBER(B4666),ISNUMBER(B4665),B4665&lt;&gt;0),B4666/B4665-1,""),"")</f>
        <v/>
      </c>
      <c r="E4666" s="28">
        <f>IFERROR(IF(AND(ISNUMBER(C4666),ISNUMBER(C4665),C4665&lt;&gt;0),C4666/C4665-1,""),"")</f>
        <v/>
      </c>
      <c r="F4666" s="28">
        <f>IFERROR(D4666-Dashboard!$B$4/252,"")</f>
        <v/>
      </c>
      <c r="G4666" s="28">
        <f>IFERROR(E4666-Dashboard!$B$4/252,"")</f>
        <v/>
      </c>
      <c r="H4666" s="8">
        <f>IFERROR(IF(ISNUMBER(B4666),MAX(B4666,IFERROR(H4665,B4666)),""),"")</f>
        <v/>
      </c>
      <c r="I4666" s="29">
        <f>IFERROR(IF(AND(ISNUMBER(B4666),ISNUMBER(H4666)),B4666/H4666-1,""),"")</f>
        <v/>
      </c>
      <c r="J4666" s="8">
        <f>IFERROR(IF(ISNUMBER(C4666),MAX(C4666,IFERROR(J4665,C4666)),""),"")</f>
        <v/>
      </c>
      <c r="K4666" s="29">
        <f>IFERROR(IF(AND(ISNUMBER(C4666),ISNUMBER(J4666)),C4666/J4666-1,""),"")</f>
        <v/>
      </c>
      <c r="L4666" s="28">
        <f>IFERROR(IF(AND(ISNUMBER(D4666),ISNUMBER(E4666)),D4666-E4666,""),"")</f>
        <v/>
      </c>
    </row>
    <row r="4667">
      <c r="A4667" s="7">
        <f>IFERROR(Datos!A4667,"")</f>
        <v/>
      </c>
      <c r="B4667" s="8">
        <f>IFERROR(Datos!B4667,"")</f>
        <v/>
      </c>
      <c r="C4667" s="8">
        <f>IFERROR(Datos!C4667,"")</f>
        <v/>
      </c>
      <c r="D4667" s="28">
        <f>IFERROR(IF(AND(ISNUMBER(B4667),ISNUMBER(B4666),B4666&lt;&gt;0),B4667/B4666-1,""),"")</f>
        <v/>
      </c>
      <c r="E4667" s="28">
        <f>IFERROR(IF(AND(ISNUMBER(C4667),ISNUMBER(C4666),C4666&lt;&gt;0),C4667/C4666-1,""),"")</f>
        <v/>
      </c>
      <c r="F4667" s="28">
        <f>IFERROR(D4667-Dashboard!$B$4/252,"")</f>
        <v/>
      </c>
      <c r="G4667" s="28">
        <f>IFERROR(E4667-Dashboard!$B$4/252,"")</f>
        <v/>
      </c>
      <c r="H4667" s="8">
        <f>IFERROR(IF(ISNUMBER(B4667),MAX(B4667,IFERROR(H4666,B4667)),""),"")</f>
        <v/>
      </c>
      <c r="I4667" s="29">
        <f>IFERROR(IF(AND(ISNUMBER(B4667),ISNUMBER(H4667)),B4667/H4667-1,""),"")</f>
        <v/>
      </c>
      <c r="J4667" s="8">
        <f>IFERROR(IF(ISNUMBER(C4667),MAX(C4667,IFERROR(J4666,C4667)),""),"")</f>
        <v/>
      </c>
      <c r="K4667" s="29">
        <f>IFERROR(IF(AND(ISNUMBER(C4667),ISNUMBER(J4667)),C4667/J4667-1,""),"")</f>
        <v/>
      </c>
      <c r="L4667" s="28">
        <f>IFERROR(IF(AND(ISNUMBER(D4667),ISNUMBER(E4667)),D4667-E4667,""),"")</f>
        <v/>
      </c>
    </row>
    <row r="4668">
      <c r="A4668" s="7">
        <f>IFERROR(Datos!A4668,"")</f>
        <v/>
      </c>
      <c r="B4668" s="8">
        <f>IFERROR(Datos!B4668,"")</f>
        <v/>
      </c>
      <c r="C4668" s="8">
        <f>IFERROR(Datos!C4668,"")</f>
        <v/>
      </c>
      <c r="D4668" s="28">
        <f>IFERROR(IF(AND(ISNUMBER(B4668),ISNUMBER(B4667),B4667&lt;&gt;0),B4668/B4667-1,""),"")</f>
        <v/>
      </c>
      <c r="E4668" s="28">
        <f>IFERROR(IF(AND(ISNUMBER(C4668),ISNUMBER(C4667),C4667&lt;&gt;0),C4668/C4667-1,""),"")</f>
        <v/>
      </c>
      <c r="F4668" s="28">
        <f>IFERROR(D4668-Dashboard!$B$4/252,"")</f>
        <v/>
      </c>
      <c r="G4668" s="28">
        <f>IFERROR(E4668-Dashboard!$B$4/252,"")</f>
        <v/>
      </c>
      <c r="H4668" s="8">
        <f>IFERROR(IF(ISNUMBER(B4668),MAX(B4668,IFERROR(H4667,B4668)),""),"")</f>
        <v/>
      </c>
      <c r="I4668" s="29">
        <f>IFERROR(IF(AND(ISNUMBER(B4668),ISNUMBER(H4668)),B4668/H4668-1,""),"")</f>
        <v/>
      </c>
      <c r="J4668" s="8">
        <f>IFERROR(IF(ISNUMBER(C4668),MAX(C4668,IFERROR(J4667,C4668)),""),"")</f>
        <v/>
      </c>
      <c r="K4668" s="29">
        <f>IFERROR(IF(AND(ISNUMBER(C4668),ISNUMBER(J4668)),C4668/J4668-1,""),"")</f>
        <v/>
      </c>
      <c r="L4668" s="28">
        <f>IFERROR(IF(AND(ISNUMBER(D4668),ISNUMBER(E4668)),D4668-E4668,""),"")</f>
        <v/>
      </c>
    </row>
    <row r="4669">
      <c r="A4669" s="7">
        <f>IFERROR(Datos!A4669,"")</f>
        <v/>
      </c>
      <c r="B4669" s="8">
        <f>IFERROR(Datos!B4669,"")</f>
        <v/>
      </c>
      <c r="C4669" s="8">
        <f>IFERROR(Datos!C4669,"")</f>
        <v/>
      </c>
      <c r="D4669" s="28">
        <f>IFERROR(IF(AND(ISNUMBER(B4669),ISNUMBER(B4668),B4668&lt;&gt;0),B4669/B4668-1,""),"")</f>
        <v/>
      </c>
      <c r="E4669" s="28">
        <f>IFERROR(IF(AND(ISNUMBER(C4669),ISNUMBER(C4668),C4668&lt;&gt;0),C4669/C4668-1,""),"")</f>
        <v/>
      </c>
      <c r="F4669" s="28">
        <f>IFERROR(D4669-Dashboard!$B$4/252,"")</f>
        <v/>
      </c>
      <c r="G4669" s="28">
        <f>IFERROR(E4669-Dashboard!$B$4/252,"")</f>
        <v/>
      </c>
      <c r="H4669" s="8">
        <f>IFERROR(IF(ISNUMBER(B4669),MAX(B4669,IFERROR(H4668,B4669)),""),"")</f>
        <v/>
      </c>
      <c r="I4669" s="29">
        <f>IFERROR(IF(AND(ISNUMBER(B4669),ISNUMBER(H4669)),B4669/H4669-1,""),"")</f>
        <v/>
      </c>
      <c r="J4669" s="8">
        <f>IFERROR(IF(ISNUMBER(C4669),MAX(C4669,IFERROR(J4668,C4669)),""),"")</f>
        <v/>
      </c>
      <c r="K4669" s="29">
        <f>IFERROR(IF(AND(ISNUMBER(C4669),ISNUMBER(J4669)),C4669/J4669-1,""),"")</f>
        <v/>
      </c>
      <c r="L4669" s="28">
        <f>IFERROR(IF(AND(ISNUMBER(D4669),ISNUMBER(E4669)),D4669-E4669,""),"")</f>
        <v/>
      </c>
    </row>
    <row r="4670">
      <c r="A4670" s="7">
        <f>IFERROR(Datos!A4670,"")</f>
        <v/>
      </c>
      <c r="B4670" s="8">
        <f>IFERROR(Datos!B4670,"")</f>
        <v/>
      </c>
      <c r="C4670" s="8">
        <f>IFERROR(Datos!C4670,"")</f>
        <v/>
      </c>
      <c r="D4670" s="28">
        <f>IFERROR(IF(AND(ISNUMBER(B4670),ISNUMBER(B4669),B4669&lt;&gt;0),B4670/B4669-1,""),"")</f>
        <v/>
      </c>
      <c r="E4670" s="28">
        <f>IFERROR(IF(AND(ISNUMBER(C4670),ISNUMBER(C4669),C4669&lt;&gt;0),C4670/C4669-1,""),"")</f>
        <v/>
      </c>
      <c r="F4670" s="28">
        <f>IFERROR(D4670-Dashboard!$B$4/252,"")</f>
        <v/>
      </c>
      <c r="G4670" s="28">
        <f>IFERROR(E4670-Dashboard!$B$4/252,"")</f>
        <v/>
      </c>
      <c r="H4670" s="8">
        <f>IFERROR(IF(ISNUMBER(B4670),MAX(B4670,IFERROR(H4669,B4670)),""),"")</f>
        <v/>
      </c>
      <c r="I4670" s="29">
        <f>IFERROR(IF(AND(ISNUMBER(B4670),ISNUMBER(H4670)),B4670/H4670-1,""),"")</f>
        <v/>
      </c>
      <c r="J4670" s="8">
        <f>IFERROR(IF(ISNUMBER(C4670),MAX(C4670,IFERROR(J4669,C4670)),""),"")</f>
        <v/>
      </c>
      <c r="K4670" s="29">
        <f>IFERROR(IF(AND(ISNUMBER(C4670),ISNUMBER(J4670)),C4670/J4670-1,""),"")</f>
        <v/>
      </c>
      <c r="L4670" s="28">
        <f>IFERROR(IF(AND(ISNUMBER(D4670),ISNUMBER(E4670)),D4670-E4670,""),"")</f>
        <v/>
      </c>
    </row>
    <row r="4671">
      <c r="A4671" s="7">
        <f>IFERROR(Datos!A4671,"")</f>
        <v/>
      </c>
      <c r="B4671" s="8">
        <f>IFERROR(Datos!B4671,"")</f>
        <v/>
      </c>
      <c r="C4671" s="8">
        <f>IFERROR(Datos!C4671,"")</f>
        <v/>
      </c>
      <c r="D4671" s="28">
        <f>IFERROR(IF(AND(ISNUMBER(B4671),ISNUMBER(B4670),B4670&lt;&gt;0),B4671/B4670-1,""),"")</f>
        <v/>
      </c>
      <c r="E4671" s="28">
        <f>IFERROR(IF(AND(ISNUMBER(C4671),ISNUMBER(C4670),C4670&lt;&gt;0),C4671/C4670-1,""),"")</f>
        <v/>
      </c>
      <c r="F4671" s="28">
        <f>IFERROR(D4671-Dashboard!$B$4/252,"")</f>
        <v/>
      </c>
      <c r="G4671" s="28">
        <f>IFERROR(E4671-Dashboard!$B$4/252,"")</f>
        <v/>
      </c>
      <c r="H4671" s="8">
        <f>IFERROR(IF(ISNUMBER(B4671),MAX(B4671,IFERROR(H4670,B4671)),""),"")</f>
        <v/>
      </c>
      <c r="I4671" s="29">
        <f>IFERROR(IF(AND(ISNUMBER(B4671),ISNUMBER(H4671)),B4671/H4671-1,""),"")</f>
        <v/>
      </c>
      <c r="J4671" s="8">
        <f>IFERROR(IF(ISNUMBER(C4671),MAX(C4671,IFERROR(J4670,C4671)),""),"")</f>
        <v/>
      </c>
      <c r="K4671" s="29">
        <f>IFERROR(IF(AND(ISNUMBER(C4671),ISNUMBER(J4671)),C4671/J4671-1,""),"")</f>
        <v/>
      </c>
      <c r="L4671" s="28">
        <f>IFERROR(IF(AND(ISNUMBER(D4671),ISNUMBER(E4671)),D4671-E4671,""),"")</f>
        <v/>
      </c>
    </row>
    <row r="4672">
      <c r="A4672" s="7">
        <f>IFERROR(Datos!A4672,"")</f>
        <v/>
      </c>
      <c r="B4672" s="8">
        <f>IFERROR(Datos!B4672,"")</f>
        <v/>
      </c>
      <c r="C4672" s="8">
        <f>IFERROR(Datos!C4672,"")</f>
        <v/>
      </c>
      <c r="D4672" s="28">
        <f>IFERROR(IF(AND(ISNUMBER(B4672),ISNUMBER(B4671),B4671&lt;&gt;0),B4672/B4671-1,""),"")</f>
        <v/>
      </c>
      <c r="E4672" s="28">
        <f>IFERROR(IF(AND(ISNUMBER(C4672),ISNUMBER(C4671),C4671&lt;&gt;0),C4672/C4671-1,""),"")</f>
        <v/>
      </c>
      <c r="F4672" s="28">
        <f>IFERROR(D4672-Dashboard!$B$4/252,"")</f>
        <v/>
      </c>
      <c r="G4672" s="28">
        <f>IFERROR(E4672-Dashboard!$B$4/252,"")</f>
        <v/>
      </c>
      <c r="H4672" s="8">
        <f>IFERROR(IF(ISNUMBER(B4672),MAX(B4672,IFERROR(H4671,B4672)),""),"")</f>
        <v/>
      </c>
      <c r="I4672" s="29">
        <f>IFERROR(IF(AND(ISNUMBER(B4672),ISNUMBER(H4672)),B4672/H4672-1,""),"")</f>
        <v/>
      </c>
      <c r="J4672" s="8">
        <f>IFERROR(IF(ISNUMBER(C4672),MAX(C4672,IFERROR(J4671,C4672)),""),"")</f>
        <v/>
      </c>
      <c r="K4672" s="29">
        <f>IFERROR(IF(AND(ISNUMBER(C4672),ISNUMBER(J4672)),C4672/J4672-1,""),"")</f>
        <v/>
      </c>
      <c r="L4672" s="28">
        <f>IFERROR(IF(AND(ISNUMBER(D4672),ISNUMBER(E4672)),D4672-E4672,""),"")</f>
        <v/>
      </c>
    </row>
    <row r="4673">
      <c r="A4673" s="7">
        <f>IFERROR(Datos!A4673,"")</f>
        <v/>
      </c>
      <c r="B4673" s="8">
        <f>IFERROR(Datos!B4673,"")</f>
        <v/>
      </c>
      <c r="C4673" s="8">
        <f>IFERROR(Datos!C4673,"")</f>
        <v/>
      </c>
      <c r="D4673" s="28">
        <f>IFERROR(IF(AND(ISNUMBER(B4673),ISNUMBER(B4672),B4672&lt;&gt;0),B4673/B4672-1,""),"")</f>
        <v/>
      </c>
      <c r="E4673" s="28">
        <f>IFERROR(IF(AND(ISNUMBER(C4673),ISNUMBER(C4672),C4672&lt;&gt;0),C4673/C4672-1,""),"")</f>
        <v/>
      </c>
      <c r="F4673" s="28">
        <f>IFERROR(D4673-Dashboard!$B$4/252,"")</f>
        <v/>
      </c>
      <c r="G4673" s="28">
        <f>IFERROR(E4673-Dashboard!$B$4/252,"")</f>
        <v/>
      </c>
      <c r="H4673" s="8">
        <f>IFERROR(IF(ISNUMBER(B4673),MAX(B4673,IFERROR(H4672,B4673)),""),"")</f>
        <v/>
      </c>
      <c r="I4673" s="29">
        <f>IFERROR(IF(AND(ISNUMBER(B4673),ISNUMBER(H4673)),B4673/H4673-1,""),"")</f>
        <v/>
      </c>
      <c r="J4673" s="8">
        <f>IFERROR(IF(ISNUMBER(C4673),MAX(C4673,IFERROR(J4672,C4673)),""),"")</f>
        <v/>
      </c>
      <c r="K4673" s="29">
        <f>IFERROR(IF(AND(ISNUMBER(C4673),ISNUMBER(J4673)),C4673/J4673-1,""),"")</f>
        <v/>
      </c>
      <c r="L4673" s="28">
        <f>IFERROR(IF(AND(ISNUMBER(D4673),ISNUMBER(E4673)),D4673-E4673,""),"")</f>
        <v/>
      </c>
    </row>
    <row r="4674">
      <c r="A4674" s="7">
        <f>IFERROR(Datos!A4674,"")</f>
        <v/>
      </c>
      <c r="B4674" s="8">
        <f>IFERROR(Datos!B4674,"")</f>
        <v/>
      </c>
      <c r="C4674" s="8">
        <f>IFERROR(Datos!C4674,"")</f>
        <v/>
      </c>
      <c r="D4674" s="28">
        <f>IFERROR(IF(AND(ISNUMBER(B4674),ISNUMBER(B4673),B4673&lt;&gt;0),B4674/B4673-1,""),"")</f>
        <v/>
      </c>
      <c r="E4674" s="28">
        <f>IFERROR(IF(AND(ISNUMBER(C4674),ISNUMBER(C4673),C4673&lt;&gt;0),C4674/C4673-1,""),"")</f>
        <v/>
      </c>
      <c r="F4674" s="28">
        <f>IFERROR(D4674-Dashboard!$B$4/252,"")</f>
        <v/>
      </c>
      <c r="G4674" s="28">
        <f>IFERROR(E4674-Dashboard!$B$4/252,"")</f>
        <v/>
      </c>
      <c r="H4674" s="8">
        <f>IFERROR(IF(ISNUMBER(B4674),MAX(B4674,IFERROR(H4673,B4674)),""),"")</f>
        <v/>
      </c>
      <c r="I4674" s="29">
        <f>IFERROR(IF(AND(ISNUMBER(B4674),ISNUMBER(H4674)),B4674/H4674-1,""),"")</f>
        <v/>
      </c>
      <c r="J4674" s="8">
        <f>IFERROR(IF(ISNUMBER(C4674),MAX(C4674,IFERROR(J4673,C4674)),""),"")</f>
        <v/>
      </c>
      <c r="K4674" s="29">
        <f>IFERROR(IF(AND(ISNUMBER(C4674),ISNUMBER(J4674)),C4674/J4674-1,""),"")</f>
        <v/>
      </c>
      <c r="L4674" s="28">
        <f>IFERROR(IF(AND(ISNUMBER(D4674),ISNUMBER(E4674)),D4674-E4674,""),"")</f>
        <v/>
      </c>
    </row>
    <row r="4675">
      <c r="A4675" s="7">
        <f>IFERROR(Datos!A4675,"")</f>
        <v/>
      </c>
      <c r="B4675" s="8">
        <f>IFERROR(Datos!B4675,"")</f>
        <v/>
      </c>
      <c r="C4675" s="8">
        <f>IFERROR(Datos!C4675,"")</f>
        <v/>
      </c>
      <c r="D4675" s="28">
        <f>IFERROR(IF(AND(ISNUMBER(B4675),ISNUMBER(B4674),B4674&lt;&gt;0),B4675/B4674-1,""),"")</f>
        <v/>
      </c>
      <c r="E4675" s="28">
        <f>IFERROR(IF(AND(ISNUMBER(C4675),ISNUMBER(C4674),C4674&lt;&gt;0),C4675/C4674-1,""),"")</f>
        <v/>
      </c>
      <c r="F4675" s="28">
        <f>IFERROR(D4675-Dashboard!$B$4/252,"")</f>
        <v/>
      </c>
      <c r="G4675" s="28">
        <f>IFERROR(E4675-Dashboard!$B$4/252,"")</f>
        <v/>
      </c>
      <c r="H4675" s="8">
        <f>IFERROR(IF(ISNUMBER(B4675),MAX(B4675,IFERROR(H4674,B4675)),""),"")</f>
        <v/>
      </c>
      <c r="I4675" s="29">
        <f>IFERROR(IF(AND(ISNUMBER(B4675),ISNUMBER(H4675)),B4675/H4675-1,""),"")</f>
        <v/>
      </c>
      <c r="J4675" s="8">
        <f>IFERROR(IF(ISNUMBER(C4675),MAX(C4675,IFERROR(J4674,C4675)),""),"")</f>
        <v/>
      </c>
      <c r="K4675" s="29">
        <f>IFERROR(IF(AND(ISNUMBER(C4675),ISNUMBER(J4675)),C4675/J4675-1,""),"")</f>
        <v/>
      </c>
      <c r="L4675" s="28">
        <f>IFERROR(IF(AND(ISNUMBER(D4675),ISNUMBER(E4675)),D4675-E4675,""),"")</f>
        <v/>
      </c>
    </row>
    <row r="4676">
      <c r="A4676" s="7">
        <f>IFERROR(Datos!A4676,"")</f>
        <v/>
      </c>
      <c r="B4676" s="8">
        <f>IFERROR(Datos!B4676,"")</f>
        <v/>
      </c>
      <c r="C4676" s="8">
        <f>IFERROR(Datos!C4676,"")</f>
        <v/>
      </c>
      <c r="D4676" s="28">
        <f>IFERROR(IF(AND(ISNUMBER(B4676),ISNUMBER(B4675),B4675&lt;&gt;0),B4676/B4675-1,""),"")</f>
        <v/>
      </c>
      <c r="E4676" s="28">
        <f>IFERROR(IF(AND(ISNUMBER(C4676),ISNUMBER(C4675),C4675&lt;&gt;0),C4676/C4675-1,""),"")</f>
        <v/>
      </c>
      <c r="F4676" s="28">
        <f>IFERROR(D4676-Dashboard!$B$4/252,"")</f>
        <v/>
      </c>
      <c r="G4676" s="28">
        <f>IFERROR(E4676-Dashboard!$B$4/252,"")</f>
        <v/>
      </c>
      <c r="H4676" s="8">
        <f>IFERROR(IF(ISNUMBER(B4676),MAX(B4676,IFERROR(H4675,B4676)),""),"")</f>
        <v/>
      </c>
      <c r="I4676" s="29">
        <f>IFERROR(IF(AND(ISNUMBER(B4676),ISNUMBER(H4676)),B4676/H4676-1,""),"")</f>
        <v/>
      </c>
      <c r="J4676" s="8">
        <f>IFERROR(IF(ISNUMBER(C4676),MAX(C4676,IFERROR(J4675,C4676)),""),"")</f>
        <v/>
      </c>
      <c r="K4676" s="29">
        <f>IFERROR(IF(AND(ISNUMBER(C4676),ISNUMBER(J4676)),C4676/J4676-1,""),"")</f>
        <v/>
      </c>
      <c r="L4676" s="28">
        <f>IFERROR(IF(AND(ISNUMBER(D4676),ISNUMBER(E4676)),D4676-E4676,""),"")</f>
        <v/>
      </c>
    </row>
    <row r="4677">
      <c r="A4677" s="7">
        <f>IFERROR(Datos!A4677,"")</f>
        <v/>
      </c>
      <c r="B4677" s="8">
        <f>IFERROR(Datos!B4677,"")</f>
        <v/>
      </c>
      <c r="C4677" s="8">
        <f>IFERROR(Datos!C4677,"")</f>
        <v/>
      </c>
      <c r="D4677" s="28">
        <f>IFERROR(IF(AND(ISNUMBER(B4677),ISNUMBER(B4676),B4676&lt;&gt;0),B4677/B4676-1,""),"")</f>
        <v/>
      </c>
      <c r="E4677" s="28">
        <f>IFERROR(IF(AND(ISNUMBER(C4677),ISNUMBER(C4676),C4676&lt;&gt;0),C4677/C4676-1,""),"")</f>
        <v/>
      </c>
      <c r="F4677" s="28">
        <f>IFERROR(D4677-Dashboard!$B$4/252,"")</f>
        <v/>
      </c>
      <c r="G4677" s="28">
        <f>IFERROR(E4677-Dashboard!$B$4/252,"")</f>
        <v/>
      </c>
      <c r="H4677" s="8">
        <f>IFERROR(IF(ISNUMBER(B4677),MAX(B4677,IFERROR(H4676,B4677)),""),"")</f>
        <v/>
      </c>
      <c r="I4677" s="29">
        <f>IFERROR(IF(AND(ISNUMBER(B4677),ISNUMBER(H4677)),B4677/H4677-1,""),"")</f>
        <v/>
      </c>
      <c r="J4677" s="8">
        <f>IFERROR(IF(ISNUMBER(C4677),MAX(C4677,IFERROR(J4676,C4677)),""),"")</f>
        <v/>
      </c>
      <c r="K4677" s="29">
        <f>IFERROR(IF(AND(ISNUMBER(C4677),ISNUMBER(J4677)),C4677/J4677-1,""),"")</f>
        <v/>
      </c>
      <c r="L4677" s="28">
        <f>IFERROR(IF(AND(ISNUMBER(D4677),ISNUMBER(E4677)),D4677-E4677,""),"")</f>
        <v/>
      </c>
    </row>
    <row r="4678">
      <c r="A4678" s="7">
        <f>IFERROR(Datos!A4678,"")</f>
        <v/>
      </c>
      <c r="B4678" s="8">
        <f>IFERROR(Datos!B4678,"")</f>
        <v/>
      </c>
      <c r="C4678" s="8">
        <f>IFERROR(Datos!C4678,"")</f>
        <v/>
      </c>
      <c r="D4678" s="28">
        <f>IFERROR(IF(AND(ISNUMBER(B4678),ISNUMBER(B4677),B4677&lt;&gt;0),B4678/B4677-1,""),"")</f>
        <v/>
      </c>
      <c r="E4678" s="28">
        <f>IFERROR(IF(AND(ISNUMBER(C4678),ISNUMBER(C4677),C4677&lt;&gt;0),C4678/C4677-1,""),"")</f>
        <v/>
      </c>
      <c r="F4678" s="28">
        <f>IFERROR(D4678-Dashboard!$B$4/252,"")</f>
        <v/>
      </c>
      <c r="G4678" s="28">
        <f>IFERROR(E4678-Dashboard!$B$4/252,"")</f>
        <v/>
      </c>
      <c r="H4678" s="8">
        <f>IFERROR(IF(ISNUMBER(B4678),MAX(B4678,IFERROR(H4677,B4678)),""),"")</f>
        <v/>
      </c>
      <c r="I4678" s="29">
        <f>IFERROR(IF(AND(ISNUMBER(B4678),ISNUMBER(H4678)),B4678/H4678-1,""),"")</f>
        <v/>
      </c>
      <c r="J4678" s="8">
        <f>IFERROR(IF(ISNUMBER(C4678),MAX(C4678,IFERROR(J4677,C4678)),""),"")</f>
        <v/>
      </c>
      <c r="K4678" s="29">
        <f>IFERROR(IF(AND(ISNUMBER(C4678),ISNUMBER(J4678)),C4678/J4678-1,""),"")</f>
        <v/>
      </c>
      <c r="L4678" s="28">
        <f>IFERROR(IF(AND(ISNUMBER(D4678),ISNUMBER(E4678)),D4678-E4678,""),"")</f>
        <v/>
      </c>
    </row>
    <row r="4679">
      <c r="A4679" s="7">
        <f>IFERROR(Datos!A4679,"")</f>
        <v/>
      </c>
      <c r="B4679" s="8">
        <f>IFERROR(Datos!B4679,"")</f>
        <v/>
      </c>
      <c r="C4679" s="8">
        <f>IFERROR(Datos!C4679,"")</f>
        <v/>
      </c>
      <c r="D4679" s="28">
        <f>IFERROR(IF(AND(ISNUMBER(B4679),ISNUMBER(B4678),B4678&lt;&gt;0),B4679/B4678-1,""),"")</f>
        <v/>
      </c>
      <c r="E4679" s="28">
        <f>IFERROR(IF(AND(ISNUMBER(C4679),ISNUMBER(C4678),C4678&lt;&gt;0),C4679/C4678-1,""),"")</f>
        <v/>
      </c>
      <c r="F4679" s="28">
        <f>IFERROR(D4679-Dashboard!$B$4/252,"")</f>
        <v/>
      </c>
      <c r="G4679" s="28">
        <f>IFERROR(E4679-Dashboard!$B$4/252,"")</f>
        <v/>
      </c>
      <c r="H4679" s="8">
        <f>IFERROR(IF(ISNUMBER(B4679),MAX(B4679,IFERROR(H4678,B4679)),""),"")</f>
        <v/>
      </c>
      <c r="I4679" s="29">
        <f>IFERROR(IF(AND(ISNUMBER(B4679),ISNUMBER(H4679)),B4679/H4679-1,""),"")</f>
        <v/>
      </c>
      <c r="J4679" s="8">
        <f>IFERROR(IF(ISNUMBER(C4679),MAX(C4679,IFERROR(J4678,C4679)),""),"")</f>
        <v/>
      </c>
      <c r="K4679" s="29">
        <f>IFERROR(IF(AND(ISNUMBER(C4679),ISNUMBER(J4679)),C4679/J4679-1,""),"")</f>
        <v/>
      </c>
      <c r="L4679" s="28">
        <f>IFERROR(IF(AND(ISNUMBER(D4679),ISNUMBER(E4679)),D4679-E4679,""),"")</f>
        <v/>
      </c>
    </row>
    <row r="4680">
      <c r="A4680" s="7">
        <f>IFERROR(Datos!A4680,"")</f>
        <v/>
      </c>
      <c r="B4680" s="8">
        <f>IFERROR(Datos!B4680,"")</f>
        <v/>
      </c>
      <c r="C4680" s="8">
        <f>IFERROR(Datos!C4680,"")</f>
        <v/>
      </c>
      <c r="D4680" s="28">
        <f>IFERROR(IF(AND(ISNUMBER(B4680),ISNUMBER(B4679),B4679&lt;&gt;0),B4680/B4679-1,""),"")</f>
        <v/>
      </c>
      <c r="E4680" s="28">
        <f>IFERROR(IF(AND(ISNUMBER(C4680),ISNUMBER(C4679),C4679&lt;&gt;0),C4680/C4679-1,""),"")</f>
        <v/>
      </c>
      <c r="F4680" s="28">
        <f>IFERROR(D4680-Dashboard!$B$4/252,"")</f>
        <v/>
      </c>
      <c r="G4680" s="28">
        <f>IFERROR(E4680-Dashboard!$B$4/252,"")</f>
        <v/>
      </c>
      <c r="H4680" s="8">
        <f>IFERROR(IF(ISNUMBER(B4680),MAX(B4680,IFERROR(H4679,B4680)),""),"")</f>
        <v/>
      </c>
      <c r="I4680" s="29">
        <f>IFERROR(IF(AND(ISNUMBER(B4680),ISNUMBER(H4680)),B4680/H4680-1,""),"")</f>
        <v/>
      </c>
      <c r="J4680" s="8">
        <f>IFERROR(IF(ISNUMBER(C4680),MAX(C4680,IFERROR(J4679,C4680)),""),"")</f>
        <v/>
      </c>
      <c r="K4680" s="29">
        <f>IFERROR(IF(AND(ISNUMBER(C4680),ISNUMBER(J4680)),C4680/J4680-1,""),"")</f>
        <v/>
      </c>
      <c r="L4680" s="28">
        <f>IFERROR(IF(AND(ISNUMBER(D4680),ISNUMBER(E4680)),D4680-E4680,""),"")</f>
        <v/>
      </c>
    </row>
    <row r="4681">
      <c r="A4681" s="7">
        <f>IFERROR(Datos!A4681,"")</f>
        <v/>
      </c>
      <c r="B4681" s="8">
        <f>IFERROR(Datos!B4681,"")</f>
        <v/>
      </c>
      <c r="C4681" s="8">
        <f>IFERROR(Datos!C4681,"")</f>
        <v/>
      </c>
      <c r="D4681" s="28">
        <f>IFERROR(IF(AND(ISNUMBER(B4681),ISNUMBER(B4680),B4680&lt;&gt;0),B4681/B4680-1,""),"")</f>
        <v/>
      </c>
      <c r="E4681" s="28">
        <f>IFERROR(IF(AND(ISNUMBER(C4681),ISNUMBER(C4680),C4680&lt;&gt;0),C4681/C4680-1,""),"")</f>
        <v/>
      </c>
      <c r="F4681" s="28">
        <f>IFERROR(D4681-Dashboard!$B$4/252,"")</f>
        <v/>
      </c>
      <c r="G4681" s="28">
        <f>IFERROR(E4681-Dashboard!$B$4/252,"")</f>
        <v/>
      </c>
      <c r="H4681" s="8">
        <f>IFERROR(IF(ISNUMBER(B4681),MAX(B4681,IFERROR(H4680,B4681)),""),"")</f>
        <v/>
      </c>
      <c r="I4681" s="29">
        <f>IFERROR(IF(AND(ISNUMBER(B4681),ISNUMBER(H4681)),B4681/H4681-1,""),"")</f>
        <v/>
      </c>
      <c r="J4681" s="8">
        <f>IFERROR(IF(ISNUMBER(C4681),MAX(C4681,IFERROR(J4680,C4681)),""),"")</f>
        <v/>
      </c>
      <c r="K4681" s="29">
        <f>IFERROR(IF(AND(ISNUMBER(C4681),ISNUMBER(J4681)),C4681/J4681-1,""),"")</f>
        <v/>
      </c>
      <c r="L4681" s="28">
        <f>IFERROR(IF(AND(ISNUMBER(D4681),ISNUMBER(E4681)),D4681-E4681,""),"")</f>
        <v/>
      </c>
    </row>
    <row r="4682">
      <c r="A4682" s="7">
        <f>IFERROR(Datos!A4682,"")</f>
        <v/>
      </c>
      <c r="B4682" s="8">
        <f>IFERROR(Datos!B4682,"")</f>
        <v/>
      </c>
      <c r="C4682" s="8">
        <f>IFERROR(Datos!C4682,"")</f>
        <v/>
      </c>
      <c r="D4682" s="28">
        <f>IFERROR(IF(AND(ISNUMBER(B4682),ISNUMBER(B4681),B4681&lt;&gt;0),B4682/B4681-1,""),"")</f>
        <v/>
      </c>
      <c r="E4682" s="28">
        <f>IFERROR(IF(AND(ISNUMBER(C4682),ISNUMBER(C4681),C4681&lt;&gt;0),C4682/C4681-1,""),"")</f>
        <v/>
      </c>
      <c r="F4682" s="28">
        <f>IFERROR(D4682-Dashboard!$B$4/252,"")</f>
        <v/>
      </c>
      <c r="G4682" s="28">
        <f>IFERROR(E4682-Dashboard!$B$4/252,"")</f>
        <v/>
      </c>
      <c r="H4682" s="8">
        <f>IFERROR(IF(ISNUMBER(B4682),MAX(B4682,IFERROR(H4681,B4682)),""),"")</f>
        <v/>
      </c>
      <c r="I4682" s="29">
        <f>IFERROR(IF(AND(ISNUMBER(B4682),ISNUMBER(H4682)),B4682/H4682-1,""),"")</f>
        <v/>
      </c>
      <c r="J4682" s="8">
        <f>IFERROR(IF(ISNUMBER(C4682),MAX(C4682,IFERROR(J4681,C4682)),""),"")</f>
        <v/>
      </c>
      <c r="K4682" s="29">
        <f>IFERROR(IF(AND(ISNUMBER(C4682),ISNUMBER(J4682)),C4682/J4682-1,""),"")</f>
        <v/>
      </c>
      <c r="L4682" s="28">
        <f>IFERROR(IF(AND(ISNUMBER(D4682),ISNUMBER(E4682)),D4682-E4682,""),"")</f>
        <v/>
      </c>
    </row>
    <row r="4683">
      <c r="A4683" s="7">
        <f>IFERROR(Datos!A4683,"")</f>
        <v/>
      </c>
      <c r="B4683" s="8">
        <f>IFERROR(Datos!B4683,"")</f>
        <v/>
      </c>
      <c r="C4683" s="8">
        <f>IFERROR(Datos!C4683,"")</f>
        <v/>
      </c>
      <c r="D4683" s="28">
        <f>IFERROR(IF(AND(ISNUMBER(B4683),ISNUMBER(B4682),B4682&lt;&gt;0),B4683/B4682-1,""),"")</f>
        <v/>
      </c>
      <c r="E4683" s="28">
        <f>IFERROR(IF(AND(ISNUMBER(C4683),ISNUMBER(C4682),C4682&lt;&gt;0),C4683/C4682-1,""),"")</f>
        <v/>
      </c>
      <c r="F4683" s="28">
        <f>IFERROR(D4683-Dashboard!$B$4/252,"")</f>
        <v/>
      </c>
      <c r="G4683" s="28">
        <f>IFERROR(E4683-Dashboard!$B$4/252,"")</f>
        <v/>
      </c>
      <c r="H4683" s="8">
        <f>IFERROR(IF(ISNUMBER(B4683),MAX(B4683,IFERROR(H4682,B4683)),""),"")</f>
        <v/>
      </c>
      <c r="I4683" s="29">
        <f>IFERROR(IF(AND(ISNUMBER(B4683),ISNUMBER(H4683)),B4683/H4683-1,""),"")</f>
        <v/>
      </c>
      <c r="J4683" s="8">
        <f>IFERROR(IF(ISNUMBER(C4683),MAX(C4683,IFERROR(J4682,C4683)),""),"")</f>
        <v/>
      </c>
      <c r="K4683" s="29">
        <f>IFERROR(IF(AND(ISNUMBER(C4683),ISNUMBER(J4683)),C4683/J4683-1,""),"")</f>
        <v/>
      </c>
      <c r="L4683" s="28">
        <f>IFERROR(IF(AND(ISNUMBER(D4683),ISNUMBER(E4683)),D4683-E4683,""),"")</f>
        <v/>
      </c>
    </row>
    <row r="4684">
      <c r="A4684" s="7">
        <f>IFERROR(Datos!A4684,"")</f>
        <v/>
      </c>
      <c r="B4684" s="8">
        <f>IFERROR(Datos!B4684,"")</f>
        <v/>
      </c>
      <c r="C4684" s="8">
        <f>IFERROR(Datos!C4684,"")</f>
        <v/>
      </c>
      <c r="D4684" s="28">
        <f>IFERROR(IF(AND(ISNUMBER(B4684),ISNUMBER(B4683),B4683&lt;&gt;0),B4684/B4683-1,""),"")</f>
        <v/>
      </c>
      <c r="E4684" s="28">
        <f>IFERROR(IF(AND(ISNUMBER(C4684),ISNUMBER(C4683),C4683&lt;&gt;0),C4684/C4683-1,""),"")</f>
        <v/>
      </c>
      <c r="F4684" s="28">
        <f>IFERROR(D4684-Dashboard!$B$4/252,"")</f>
        <v/>
      </c>
      <c r="G4684" s="28">
        <f>IFERROR(E4684-Dashboard!$B$4/252,"")</f>
        <v/>
      </c>
      <c r="H4684" s="8">
        <f>IFERROR(IF(ISNUMBER(B4684),MAX(B4684,IFERROR(H4683,B4684)),""),"")</f>
        <v/>
      </c>
      <c r="I4684" s="29">
        <f>IFERROR(IF(AND(ISNUMBER(B4684),ISNUMBER(H4684)),B4684/H4684-1,""),"")</f>
        <v/>
      </c>
      <c r="J4684" s="8">
        <f>IFERROR(IF(ISNUMBER(C4684),MAX(C4684,IFERROR(J4683,C4684)),""),"")</f>
        <v/>
      </c>
      <c r="K4684" s="29">
        <f>IFERROR(IF(AND(ISNUMBER(C4684),ISNUMBER(J4684)),C4684/J4684-1,""),"")</f>
        <v/>
      </c>
      <c r="L4684" s="28">
        <f>IFERROR(IF(AND(ISNUMBER(D4684),ISNUMBER(E4684)),D4684-E4684,""),"")</f>
        <v/>
      </c>
    </row>
    <row r="4685">
      <c r="A4685" s="7">
        <f>IFERROR(Datos!A4685,"")</f>
        <v/>
      </c>
      <c r="B4685" s="8">
        <f>IFERROR(Datos!B4685,"")</f>
        <v/>
      </c>
      <c r="C4685" s="8">
        <f>IFERROR(Datos!C4685,"")</f>
        <v/>
      </c>
      <c r="D4685" s="28">
        <f>IFERROR(IF(AND(ISNUMBER(B4685),ISNUMBER(B4684),B4684&lt;&gt;0),B4685/B4684-1,""),"")</f>
        <v/>
      </c>
      <c r="E4685" s="28">
        <f>IFERROR(IF(AND(ISNUMBER(C4685),ISNUMBER(C4684),C4684&lt;&gt;0),C4685/C4684-1,""),"")</f>
        <v/>
      </c>
      <c r="F4685" s="28">
        <f>IFERROR(D4685-Dashboard!$B$4/252,"")</f>
        <v/>
      </c>
      <c r="G4685" s="28">
        <f>IFERROR(E4685-Dashboard!$B$4/252,"")</f>
        <v/>
      </c>
      <c r="H4685" s="8">
        <f>IFERROR(IF(ISNUMBER(B4685),MAX(B4685,IFERROR(H4684,B4685)),""),"")</f>
        <v/>
      </c>
      <c r="I4685" s="29">
        <f>IFERROR(IF(AND(ISNUMBER(B4685),ISNUMBER(H4685)),B4685/H4685-1,""),"")</f>
        <v/>
      </c>
      <c r="J4685" s="8">
        <f>IFERROR(IF(ISNUMBER(C4685),MAX(C4685,IFERROR(J4684,C4685)),""),"")</f>
        <v/>
      </c>
      <c r="K4685" s="29">
        <f>IFERROR(IF(AND(ISNUMBER(C4685),ISNUMBER(J4685)),C4685/J4685-1,""),"")</f>
        <v/>
      </c>
      <c r="L4685" s="28">
        <f>IFERROR(IF(AND(ISNUMBER(D4685),ISNUMBER(E4685)),D4685-E4685,""),"")</f>
        <v/>
      </c>
    </row>
    <row r="4686">
      <c r="A4686" s="7">
        <f>IFERROR(Datos!A4686,"")</f>
        <v/>
      </c>
      <c r="B4686" s="8">
        <f>IFERROR(Datos!B4686,"")</f>
        <v/>
      </c>
      <c r="C4686" s="8">
        <f>IFERROR(Datos!C4686,"")</f>
        <v/>
      </c>
      <c r="D4686" s="28">
        <f>IFERROR(IF(AND(ISNUMBER(B4686),ISNUMBER(B4685),B4685&lt;&gt;0),B4686/B4685-1,""),"")</f>
        <v/>
      </c>
      <c r="E4686" s="28">
        <f>IFERROR(IF(AND(ISNUMBER(C4686),ISNUMBER(C4685),C4685&lt;&gt;0),C4686/C4685-1,""),"")</f>
        <v/>
      </c>
      <c r="F4686" s="28">
        <f>IFERROR(D4686-Dashboard!$B$4/252,"")</f>
        <v/>
      </c>
      <c r="G4686" s="28">
        <f>IFERROR(E4686-Dashboard!$B$4/252,"")</f>
        <v/>
      </c>
      <c r="H4686" s="8">
        <f>IFERROR(IF(ISNUMBER(B4686),MAX(B4686,IFERROR(H4685,B4686)),""),"")</f>
        <v/>
      </c>
      <c r="I4686" s="29">
        <f>IFERROR(IF(AND(ISNUMBER(B4686),ISNUMBER(H4686)),B4686/H4686-1,""),"")</f>
        <v/>
      </c>
      <c r="J4686" s="8">
        <f>IFERROR(IF(ISNUMBER(C4686),MAX(C4686,IFERROR(J4685,C4686)),""),"")</f>
        <v/>
      </c>
      <c r="K4686" s="29">
        <f>IFERROR(IF(AND(ISNUMBER(C4686),ISNUMBER(J4686)),C4686/J4686-1,""),"")</f>
        <v/>
      </c>
      <c r="L4686" s="28">
        <f>IFERROR(IF(AND(ISNUMBER(D4686),ISNUMBER(E4686)),D4686-E4686,""),"")</f>
        <v/>
      </c>
    </row>
    <row r="4687">
      <c r="A4687" s="7">
        <f>IFERROR(Datos!A4687,"")</f>
        <v/>
      </c>
      <c r="B4687" s="8">
        <f>IFERROR(Datos!B4687,"")</f>
        <v/>
      </c>
      <c r="C4687" s="8">
        <f>IFERROR(Datos!C4687,"")</f>
        <v/>
      </c>
      <c r="D4687" s="28">
        <f>IFERROR(IF(AND(ISNUMBER(B4687),ISNUMBER(B4686),B4686&lt;&gt;0),B4687/B4686-1,""),"")</f>
        <v/>
      </c>
      <c r="E4687" s="28">
        <f>IFERROR(IF(AND(ISNUMBER(C4687),ISNUMBER(C4686),C4686&lt;&gt;0),C4687/C4686-1,""),"")</f>
        <v/>
      </c>
      <c r="F4687" s="28">
        <f>IFERROR(D4687-Dashboard!$B$4/252,"")</f>
        <v/>
      </c>
      <c r="G4687" s="28">
        <f>IFERROR(E4687-Dashboard!$B$4/252,"")</f>
        <v/>
      </c>
      <c r="H4687" s="8">
        <f>IFERROR(IF(ISNUMBER(B4687),MAX(B4687,IFERROR(H4686,B4687)),""),"")</f>
        <v/>
      </c>
      <c r="I4687" s="29">
        <f>IFERROR(IF(AND(ISNUMBER(B4687),ISNUMBER(H4687)),B4687/H4687-1,""),"")</f>
        <v/>
      </c>
      <c r="J4687" s="8">
        <f>IFERROR(IF(ISNUMBER(C4687),MAX(C4687,IFERROR(J4686,C4687)),""),"")</f>
        <v/>
      </c>
      <c r="K4687" s="29">
        <f>IFERROR(IF(AND(ISNUMBER(C4687),ISNUMBER(J4687)),C4687/J4687-1,""),"")</f>
        <v/>
      </c>
      <c r="L4687" s="28">
        <f>IFERROR(IF(AND(ISNUMBER(D4687),ISNUMBER(E4687)),D4687-E4687,""),"")</f>
        <v/>
      </c>
    </row>
    <row r="4688">
      <c r="A4688" s="7">
        <f>IFERROR(Datos!A4688,"")</f>
        <v/>
      </c>
      <c r="B4688" s="8">
        <f>IFERROR(Datos!B4688,"")</f>
        <v/>
      </c>
      <c r="C4688" s="8">
        <f>IFERROR(Datos!C4688,"")</f>
        <v/>
      </c>
      <c r="D4688" s="28">
        <f>IFERROR(IF(AND(ISNUMBER(B4688),ISNUMBER(B4687),B4687&lt;&gt;0),B4688/B4687-1,""),"")</f>
        <v/>
      </c>
      <c r="E4688" s="28">
        <f>IFERROR(IF(AND(ISNUMBER(C4688),ISNUMBER(C4687),C4687&lt;&gt;0),C4688/C4687-1,""),"")</f>
        <v/>
      </c>
      <c r="F4688" s="28">
        <f>IFERROR(D4688-Dashboard!$B$4/252,"")</f>
        <v/>
      </c>
      <c r="G4688" s="28">
        <f>IFERROR(E4688-Dashboard!$B$4/252,"")</f>
        <v/>
      </c>
      <c r="H4688" s="8">
        <f>IFERROR(IF(ISNUMBER(B4688),MAX(B4688,IFERROR(H4687,B4688)),""),"")</f>
        <v/>
      </c>
      <c r="I4688" s="29">
        <f>IFERROR(IF(AND(ISNUMBER(B4688),ISNUMBER(H4688)),B4688/H4688-1,""),"")</f>
        <v/>
      </c>
      <c r="J4688" s="8">
        <f>IFERROR(IF(ISNUMBER(C4688),MAX(C4688,IFERROR(J4687,C4688)),""),"")</f>
        <v/>
      </c>
      <c r="K4688" s="29">
        <f>IFERROR(IF(AND(ISNUMBER(C4688),ISNUMBER(J4688)),C4688/J4688-1,""),"")</f>
        <v/>
      </c>
      <c r="L4688" s="28">
        <f>IFERROR(IF(AND(ISNUMBER(D4688),ISNUMBER(E4688)),D4688-E4688,""),"")</f>
        <v/>
      </c>
    </row>
    <row r="4689">
      <c r="A4689" s="7">
        <f>IFERROR(Datos!A4689,"")</f>
        <v/>
      </c>
      <c r="B4689" s="8">
        <f>IFERROR(Datos!B4689,"")</f>
        <v/>
      </c>
      <c r="C4689" s="8">
        <f>IFERROR(Datos!C4689,"")</f>
        <v/>
      </c>
      <c r="D4689" s="28">
        <f>IFERROR(IF(AND(ISNUMBER(B4689),ISNUMBER(B4688),B4688&lt;&gt;0),B4689/B4688-1,""),"")</f>
        <v/>
      </c>
      <c r="E4689" s="28">
        <f>IFERROR(IF(AND(ISNUMBER(C4689),ISNUMBER(C4688),C4688&lt;&gt;0),C4689/C4688-1,""),"")</f>
        <v/>
      </c>
      <c r="F4689" s="28">
        <f>IFERROR(D4689-Dashboard!$B$4/252,"")</f>
        <v/>
      </c>
      <c r="G4689" s="28">
        <f>IFERROR(E4689-Dashboard!$B$4/252,"")</f>
        <v/>
      </c>
      <c r="H4689" s="8">
        <f>IFERROR(IF(ISNUMBER(B4689),MAX(B4689,IFERROR(H4688,B4689)),""),"")</f>
        <v/>
      </c>
      <c r="I4689" s="29">
        <f>IFERROR(IF(AND(ISNUMBER(B4689),ISNUMBER(H4689)),B4689/H4689-1,""),"")</f>
        <v/>
      </c>
      <c r="J4689" s="8">
        <f>IFERROR(IF(ISNUMBER(C4689),MAX(C4689,IFERROR(J4688,C4689)),""),"")</f>
        <v/>
      </c>
      <c r="K4689" s="29">
        <f>IFERROR(IF(AND(ISNUMBER(C4689),ISNUMBER(J4689)),C4689/J4689-1,""),"")</f>
        <v/>
      </c>
      <c r="L4689" s="28">
        <f>IFERROR(IF(AND(ISNUMBER(D4689),ISNUMBER(E4689)),D4689-E4689,""),"")</f>
        <v/>
      </c>
    </row>
    <row r="4690">
      <c r="A4690" s="7">
        <f>IFERROR(Datos!A4690,"")</f>
        <v/>
      </c>
      <c r="B4690" s="8">
        <f>IFERROR(Datos!B4690,"")</f>
        <v/>
      </c>
      <c r="C4690" s="8">
        <f>IFERROR(Datos!C4690,"")</f>
        <v/>
      </c>
      <c r="D4690" s="28">
        <f>IFERROR(IF(AND(ISNUMBER(B4690),ISNUMBER(B4689),B4689&lt;&gt;0),B4690/B4689-1,""),"")</f>
        <v/>
      </c>
      <c r="E4690" s="28">
        <f>IFERROR(IF(AND(ISNUMBER(C4690),ISNUMBER(C4689),C4689&lt;&gt;0),C4690/C4689-1,""),"")</f>
        <v/>
      </c>
      <c r="F4690" s="28">
        <f>IFERROR(D4690-Dashboard!$B$4/252,"")</f>
        <v/>
      </c>
      <c r="G4690" s="28">
        <f>IFERROR(E4690-Dashboard!$B$4/252,"")</f>
        <v/>
      </c>
      <c r="H4690" s="8">
        <f>IFERROR(IF(ISNUMBER(B4690),MAX(B4690,IFERROR(H4689,B4690)),""),"")</f>
        <v/>
      </c>
      <c r="I4690" s="29">
        <f>IFERROR(IF(AND(ISNUMBER(B4690),ISNUMBER(H4690)),B4690/H4690-1,""),"")</f>
        <v/>
      </c>
      <c r="J4690" s="8">
        <f>IFERROR(IF(ISNUMBER(C4690),MAX(C4690,IFERROR(J4689,C4690)),""),"")</f>
        <v/>
      </c>
      <c r="K4690" s="29">
        <f>IFERROR(IF(AND(ISNUMBER(C4690),ISNUMBER(J4690)),C4690/J4690-1,""),"")</f>
        <v/>
      </c>
      <c r="L4690" s="28">
        <f>IFERROR(IF(AND(ISNUMBER(D4690),ISNUMBER(E4690)),D4690-E4690,""),"")</f>
        <v/>
      </c>
    </row>
    <row r="4691">
      <c r="A4691" s="7">
        <f>IFERROR(Datos!A4691,"")</f>
        <v/>
      </c>
      <c r="B4691" s="8">
        <f>IFERROR(Datos!B4691,"")</f>
        <v/>
      </c>
      <c r="C4691" s="8">
        <f>IFERROR(Datos!C4691,"")</f>
        <v/>
      </c>
      <c r="D4691" s="28">
        <f>IFERROR(IF(AND(ISNUMBER(B4691),ISNUMBER(B4690),B4690&lt;&gt;0),B4691/B4690-1,""),"")</f>
        <v/>
      </c>
      <c r="E4691" s="28">
        <f>IFERROR(IF(AND(ISNUMBER(C4691),ISNUMBER(C4690),C4690&lt;&gt;0),C4691/C4690-1,""),"")</f>
        <v/>
      </c>
      <c r="F4691" s="28">
        <f>IFERROR(D4691-Dashboard!$B$4/252,"")</f>
        <v/>
      </c>
      <c r="G4691" s="28">
        <f>IFERROR(E4691-Dashboard!$B$4/252,"")</f>
        <v/>
      </c>
      <c r="H4691" s="8">
        <f>IFERROR(IF(ISNUMBER(B4691),MAX(B4691,IFERROR(H4690,B4691)),""),"")</f>
        <v/>
      </c>
      <c r="I4691" s="29">
        <f>IFERROR(IF(AND(ISNUMBER(B4691),ISNUMBER(H4691)),B4691/H4691-1,""),"")</f>
        <v/>
      </c>
      <c r="J4691" s="8">
        <f>IFERROR(IF(ISNUMBER(C4691),MAX(C4691,IFERROR(J4690,C4691)),""),"")</f>
        <v/>
      </c>
      <c r="K4691" s="29">
        <f>IFERROR(IF(AND(ISNUMBER(C4691),ISNUMBER(J4691)),C4691/J4691-1,""),"")</f>
        <v/>
      </c>
      <c r="L4691" s="28">
        <f>IFERROR(IF(AND(ISNUMBER(D4691),ISNUMBER(E4691)),D4691-E4691,""),"")</f>
        <v/>
      </c>
    </row>
    <row r="4692">
      <c r="A4692" s="7">
        <f>IFERROR(Datos!A4692,"")</f>
        <v/>
      </c>
      <c r="B4692" s="8">
        <f>IFERROR(Datos!B4692,"")</f>
        <v/>
      </c>
      <c r="C4692" s="8">
        <f>IFERROR(Datos!C4692,"")</f>
        <v/>
      </c>
      <c r="D4692" s="28">
        <f>IFERROR(IF(AND(ISNUMBER(B4692),ISNUMBER(B4691),B4691&lt;&gt;0),B4692/B4691-1,""),"")</f>
        <v/>
      </c>
      <c r="E4692" s="28">
        <f>IFERROR(IF(AND(ISNUMBER(C4692),ISNUMBER(C4691),C4691&lt;&gt;0),C4692/C4691-1,""),"")</f>
        <v/>
      </c>
      <c r="F4692" s="28">
        <f>IFERROR(D4692-Dashboard!$B$4/252,"")</f>
        <v/>
      </c>
      <c r="G4692" s="28">
        <f>IFERROR(E4692-Dashboard!$B$4/252,"")</f>
        <v/>
      </c>
      <c r="H4692" s="8">
        <f>IFERROR(IF(ISNUMBER(B4692),MAX(B4692,IFERROR(H4691,B4692)),""),"")</f>
        <v/>
      </c>
      <c r="I4692" s="29">
        <f>IFERROR(IF(AND(ISNUMBER(B4692),ISNUMBER(H4692)),B4692/H4692-1,""),"")</f>
        <v/>
      </c>
      <c r="J4692" s="8">
        <f>IFERROR(IF(ISNUMBER(C4692),MAX(C4692,IFERROR(J4691,C4692)),""),"")</f>
        <v/>
      </c>
      <c r="K4692" s="29">
        <f>IFERROR(IF(AND(ISNUMBER(C4692),ISNUMBER(J4692)),C4692/J4692-1,""),"")</f>
        <v/>
      </c>
      <c r="L4692" s="28">
        <f>IFERROR(IF(AND(ISNUMBER(D4692),ISNUMBER(E4692)),D4692-E4692,""),"")</f>
        <v/>
      </c>
    </row>
    <row r="4693">
      <c r="A4693" s="7">
        <f>IFERROR(Datos!A4693,"")</f>
        <v/>
      </c>
      <c r="B4693" s="8">
        <f>IFERROR(Datos!B4693,"")</f>
        <v/>
      </c>
      <c r="C4693" s="8">
        <f>IFERROR(Datos!C4693,"")</f>
        <v/>
      </c>
      <c r="D4693" s="28">
        <f>IFERROR(IF(AND(ISNUMBER(B4693),ISNUMBER(B4692),B4692&lt;&gt;0),B4693/B4692-1,""),"")</f>
        <v/>
      </c>
      <c r="E4693" s="28">
        <f>IFERROR(IF(AND(ISNUMBER(C4693),ISNUMBER(C4692),C4692&lt;&gt;0),C4693/C4692-1,""),"")</f>
        <v/>
      </c>
      <c r="F4693" s="28">
        <f>IFERROR(D4693-Dashboard!$B$4/252,"")</f>
        <v/>
      </c>
      <c r="G4693" s="28">
        <f>IFERROR(E4693-Dashboard!$B$4/252,"")</f>
        <v/>
      </c>
      <c r="H4693" s="8">
        <f>IFERROR(IF(ISNUMBER(B4693),MAX(B4693,IFERROR(H4692,B4693)),""),"")</f>
        <v/>
      </c>
      <c r="I4693" s="29">
        <f>IFERROR(IF(AND(ISNUMBER(B4693),ISNUMBER(H4693)),B4693/H4693-1,""),"")</f>
        <v/>
      </c>
      <c r="J4693" s="8">
        <f>IFERROR(IF(ISNUMBER(C4693),MAX(C4693,IFERROR(J4692,C4693)),""),"")</f>
        <v/>
      </c>
      <c r="K4693" s="29">
        <f>IFERROR(IF(AND(ISNUMBER(C4693),ISNUMBER(J4693)),C4693/J4693-1,""),"")</f>
        <v/>
      </c>
      <c r="L4693" s="28">
        <f>IFERROR(IF(AND(ISNUMBER(D4693),ISNUMBER(E4693)),D4693-E4693,""),"")</f>
        <v/>
      </c>
    </row>
    <row r="4694">
      <c r="A4694" s="7">
        <f>IFERROR(Datos!A4694,"")</f>
        <v/>
      </c>
      <c r="B4694" s="8">
        <f>IFERROR(Datos!B4694,"")</f>
        <v/>
      </c>
      <c r="C4694" s="8">
        <f>IFERROR(Datos!C4694,"")</f>
        <v/>
      </c>
      <c r="D4694" s="28">
        <f>IFERROR(IF(AND(ISNUMBER(B4694),ISNUMBER(B4693),B4693&lt;&gt;0),B4694/B4693-1,""),"")</f>
        <v/>
      </c>
      <c r="E4694" s="28">
        <f>IFERROR(IF(AND(ISNUMBER(C4694),ISNUMBER(C4693),C4693&lt;&gt;0),C4694/C4693-1,""),"")</f>
        <v/>
      </c>
      <c r="F4694" s="28">
        <f>IFERROR(D4694-Dashboard!$B$4/252,"")</f>
        <v/>
      </c>
      <c r="G4694" s="28">
        <f>IFERROR(E4694-Dashboard!$B$4/252,"")</f>
        <v/>
      </c>
      <c r="H4694" s="8">
        <f>IFERROR(IF(ISNUMBER(B4694),MAX(B4694,IFERROR(H4693,B4694)),""),"")</f>
        <v/>
      </c>
      <c r="I4694" s="29">
        <f>IFERROR(IF(AND(ISNUMBER(B4694),ISNUMBER(H4694)),B4694/H4694-1,""),"")</f>
        <v/>
      </c>
      <c r="J4694" s="8">
        <f>IFERROR(IF(ISNUMBER(C4694),MAX(C4694,IFERROR(J4693,C4694)),""),"")</f>
        <v/>
      </c>
      <c r="K4694" s="29">
        <f>IFERROR(IF(AND(ISNUMBER(C4694),ISNUMBER(J4694)),C4694/J4694-1,""),"")</f>
        <v/>
      </c>
      <c r="L4694" s="28">
        <f>IFERROR(IF(AND(ISNUMBER(D4694),ISNUMBER(E4694)),D4694-E4694,""),"")</f>
        <v/>
      </c>
    </row>
    <row r="4695">
      <c r="A4695" s="7">
        <f>IFERROR(Datos!A4695,"")</f>
        <v/>
      </c>
      <c r="B4695" s="8">
        <f>IFERROR(Datos!B4695,"")</f>
        <v/>
      </c>
      <c r="C4695" s="8">
        <f>IFERROR(Datos!C4695,"")</f>
        <v/>
      </c>
      <c r="D4695" s="28">
        <f>IFERROR(IF(AND(ISNUMBER(B4695),ISNUMBER(B4694),B4694&lt;&gt;0),B4695/B4694-1,""),"")</f>
        <v/>
      </c>
      <c r="E4695" s="28">
        <f>IFERROR(IF(AND(ISNUMBER(C4695),ISNUMBER(C4694),C4694&lt;&gt;0),C4695/C4694-1,""),"")</f>
        <v/>
      </c>
      <c r="F4695" s="28">
        <f>IFERROR(D4695-Dashboard!$B$4/252,"")</f>
        <v/>
      </c>
      <c r="G4695" s="28">
        <f>IFERROR(E4695-Dashboard!$B$4/252,"")</f>
        <v/>
      </c>
      <c r="H4695" s="8">
        <f>IFERROR(IF(ISNUMBER(B4695),MAX(B4695,IFERROR(H4694,B4695)),""),"")</f>
        <v/>
      </c>
      <c r="I4695" s="29">
        <f>IFERROR(IF(AND(ISNUMBER(B4695),ISNUMBER(H4695)),B4695/H4695-1,""),"")</f>
        <v/>
      </c>
      <c r="J4695" s="8">
        <f>IFERROR(IF(ISNUMBER(C4695),MAX(C4695,IFERROR(J4694,C4695)),""),"")</f>
        <v/>
      </c>
      <c r="K4695" s="29">
        <f>IFERROR(IF(AND(ISNUMBER(C4695),ISNUMBER(J4695)),C4695/J4695-1,""),"")</f>
        <v/>
      </c>
      <c r="L4695" s="28">
        <f>IFERROR(IF(AND(ISNUMBER(D4695),ISNUMBER(E4695)),D4695-E4695,""),"")</f>
        <v/>
      </c>
    </row>
    <row r="4696">
      <c r="A4696" s="7">
        <f>IFERROR(Datos!A4696,"")</f>
        <v/>
      </c>
      <c r="B4696" s="8">
        <f>IFERROR(Datos!B4696,"")</f>
        <v/>
      </c>
      <c r="C4696" s="8">
        <f>IFERROR(Datos!C4696,"")</f>
        <v/>
      </c>
      <c r="D4696" s="28">
        <f>IFERROR(IF(AND(ISNUMBER(B4696),ISNUMBER(B4695),B4695&lt;&gt;0),B4696/B4695-1,""),"")</f>
        <v/>
      </c>
      <c r="E4696" s="28">
        <f>IFERROR(IF(AND(ISNUMBER(C4696),ISNUMBER(C4695),C4695&lt;&gt;0),C4696/C4695-1,""),"")</f>
        <v/>
      </c>
      <c r="F4696" s="28">
        <f>IFERROR(D4696-Dashboard!$B$4/252,"")</f>
        <v/>
      </c>
      <c r="G4696" s="28">
        <f>IFERROR(E4696-Dashboard!$B$4/252,"")</f>
        <v/>
      </c>
      <c r="H4696" s="8">
        <f>IFERROR(IF(ISNUMBER(B4696),MAX(B4696,IFERROR(H4695,B4696)),""),"")</f>
        <v/>
      </c>
      <c r="I4696" s="29">
        <f>IFERROR(IF(AND(ISNUMBER(B4696),ISNUMBER(H4696)),B4696/H4696-1,""),"")</f>
        <v/>
      </c>
      <c r="J4696" s="8">
        <f>IFERROR(IF(ISNUMBER(C4696),MAX(C4696,IFERROR(J4695,C4696)),""),"")</f>
        <v/>
      </c>
      <c r="K4696" s="29">
        <f>IFERROR(IF(AND(ISNUMBER(C4696),ISNUMBER(J4696)),C4696/J4696-1,""),"")</f>
        <v/>
      </c>
      <c r="L4696" s="28">
        <f>IFERROR(IF(AND(ISNUMBER(D4696),ISNUMBER(E4696)),D4696-E4696,""),"")</f>
        <v/>
      </c>
    </row>
    <row r="4697">
      <c r="A4697" s="7">
        <f>IFERROR(Datos!A4697,"")</f>
        <v/>
      </c>
      <c r="B4697" s="8">
        <f>IFERROR(Datos!B4697,"")</f>
        <v/>
      </c>
      <c r="C4697" s="8">
        <f>IFERROR(Datos!C4697,"")</f>
        <v/>
      </c>
      <c r="D4697" s="28">
        <f>IFERROR(IF(AND(ISNUMBER(B4697),ISNUMBER(B4696),B4696&lt;&gt;0),B4697/B4696-1,""),"")</f>
        <v/>
      </c>
      <c r="E4697" s="28">
        <f>IFERROR(IF(AND(ISNUMBER(C4697),ISNUMBER(C4696),C4696&lt;&gt;0),C4697/C4696-1,""),"")</f>
        <v/>
      </c>
      <c r="F4697" s="28">
        <f>IFERROR(D4697-Dashboard!$B$4/252,"")</f>
        <v/>
      </c>
      <c r="G4697" s="28">
        <f>IFERROR(E4697-Dashboard!$B$4/252,"")</f>
        <v/>
      </c>
      <c r="H4697" s="8">
        <f>IFERROR(IF(ISNUMBER(B4697),MAX(B4697,IFERROR(H4696,B4697)),""),"")</f>
        <v/>
      </c>
      <c r="I4697" s="29">
        <f>IFERROR(IF(AND(ISNUMBER(B4697),ISNUMBER(H4697)),B4697/H4697-1,""),"")</f>
        <v/>
      </c>
      <c r="J4697" s="8">
        <f>IFERROR(IF(ISNUMBER(C4697),MAX(C4697,IFERROR(J4696,C4697)),""),"")</f>
        <v/>
      </c>
      <c r="K4697" s="29">
        <f>IFERROR(IF(AND(ISNUMBER(C4697),ISNUMBER(J4697)),C4697/J4697-1,""),"")</f>
        <v/>
      </c>
      <c r="L4697" s="28">
        <f>IFERROR(IF(AND(ISNUMBER(D4697),ISNUMBER(E4697)),D4697-E4697,""),"")</f>
        <v/>
      </c>
    </row>
    <row r="4698">
      <c r="A4698" s="7">
        <f>IFERROR(Datos!A4698,"")</f>
        <v/>
      </c>
      <c r="B4698" s="8">
        <f>IFERROR(Datos!B4698,"")</f>
        <v/>
      </c>
      <c r="C4698" s="8">
        <f>IFERROR(Datos!C4698,"")</f>
        <v/>
      </c>
      <c r="D4698" s="28">
        <f>IFERROR(IF(AND(ISNUMBER(B4698),ISNUMBER(B4697),B4697&lt;&gt;0),B4698/B4697-1,""),"")</f>
        <v/>
      </c>
      <c r="E4698" s="28">
        <f>IFERROR(IF(AND(ISNUMBER(C4698),ISNUMBER(C4697),C4697&lt;&gt;0),C4698/C4697-1,""),"")</f>
        <v/>
      </c>
      <c r="F4698" s="28">
        <f>IFERROR(D4698-Dashboard!$B$4/252,"")</f>
        <v/>
      </c>
      <c r="G4698" s="28">
        <f>IFERROR(E4698-Dashboard!$B$4/252,"")</f>
        <v/>
      </c>
      <c r="H4698" s="8">
        <f>IFERROR(IF(ISNUMBER(B4698),MAX(B4698,IFERROR(H4697,B4698)),""),"")</f>
        <v/>
      </c>
      <c r="I4698" s="29">
        <f>IFERROR(IF(AND(ISNUMBER(B4698),ISNUMBER(H4698)),B4698/H4698-1,""),"")</f>
        <v/>
      </c>
      <c r="J4698" s="8">
        <f>IFERROR(IF(ISNUMBER(C4698),MAX(C4698,IFERROR(J4697,C4698)),""),"")</f>
        <v/>
      </c>
      <c r="K4698" s="29">
        <f>IFERROR(IF(AND(ISNUMBER(C4698),ISNUMBER(J4698)),C4698/J4698-1,""),"")</f>
        <v/>
      </c>
      <c r="L4698" s="28">
        <f>IFERROR(IF(AND(ISNUMBER(D4698),ISNUMBER(E4698)),D4698-E4698,""),"")</f>
        <v/>
      </c>
    </row>
    <row r="4699">
      <c r="A4699" s="7">
        <f>IFERROR(Datos!A4699,"")</f>
        <v/>
      </c>
      <c r="B4699" s="8">
        <f>IFERROR(Datos!B4699,"")</f>
        <v/>
      </c>
      <c r="C4699" s="8">
        <f>IFERROR(Datos!C4699,"")</f>
        <v/>
      </c>
      <c r="D4699" s="28">
        <f>IFERROR(IF(AND(ISNUMBER(B4699),ISNUMBER(B4698),B4698&lt;&gt;0),B4699/B4698-1,""),"")</f>
        <v/>
      </c>
      <c r="E4699" s="28">
        <f>IFERROR(IF(AND(ISNUMBER(C4699),ISNUMBER(C4698),C4698&lt;&gt;0),C4699/C4698-1,""),"")</f>
        <v/>
      </c>
      <c r="F4699" s="28">
        <f>IFERROR(D4699-Dashboard!$B$4/252,"")</f>
        <v/>
      </c>
      <c r="G4699" s="28">
        <f>IFERROR(E4699-Dashboard!$B$4/252,"")</f>
        <v/>
      </c>
      <c r="H4699" s="8">
        <f>IFERROR(IF(ISNUMBER(B4699),MAX(B4699,IFERROR(H4698,B4699)),""),"")</f>
        <v/>
      </c>
      <c r="I4699" s="29">
        <f>IFERROR(IF(AND(ISNUMBER(B4699),ISNUMBER(H4699)),B4699/H4699-1,""),"")</f>
        <v/>
      </c>
      <c r="J4699" s="8">
        <f>IFERROR(IF(ISNUMBER(C4699),MAX(C4699,IFERROR(J4698,C4699)),""),"")</f>
        <v/>
      </c>
      <c r="K4699" s="29">
        <f>IFERROR(IF(AND(ISNUMBER(C4699),ISNUMBER(J4699)),C4699/J4699-1,""),"")</f>
        <v/>
      </c>
      <c r="L4699" s="28">
        <f>IFERROR(IF(AND(ISNUMBER(D4699),ISNUMBER(E4699)),D4699-E4699,""),"")</f>
        <v/>
      </c>
    </row>
    <row r="4700">
      <c r="A4700" s="7">
        <f>IFERROR(Datos!A4700,"")</f>
        <v/>
      </c>
      <c r="B4700" s="8">
        <f>IFERROR(Datos!B4700,"")</f>
        <v/>
      </c>
      <c r="C4700" s="8">
        <f>IFERROR(Datos!C4700,"")</f>
        <v/>
      </c>
      <c r="D4700" s="28">
        <f>IFERROR(IF(AND(ISNUMBER(B4700),ISNUMBER(B4699),B4699&lt;&gt;0),B4700/B4699-1,""),"")</f>
        <v/>
      </c>
      <c r="E4700" s="28">
        <f>IFERROR(IF(AND(ISNUMBER(C4700),ISNUMBER(C4699),C4699&lt;&gt;0),C4700/C4699-1,""),"")</f>
        <v/>
      </c>
      <c r="F4700" s="28">
        <f>IFERROR(D4700-Dashboard!$B$4/252,"")</f>
        <v/>
      </c>
      <c r="G4700" s="28">
        <f>IFERROR(E4700-Dashboard!$B$4/252,"")</f>
        <v/>
      </c>
      <c r="H4700" s="8">
        <f>IFERROR(IF(ISNUMBER(B4700),MAX(B4700,IFERROR(H4699,B4700)),""),"")</f>
        <v/>
      </c>
      <c r="I4700" s="29">
        <f>IFERROR(IF(AND(ISNUMBER(B4700),ISNUMBER(H4700)),B4700/H4700-1,""),"")</f>
        <v/>
      </c>
      <c r="J4700" s="8">
        <f>IFERROR(IF(ISNUMBER(C4700),MAX(C4700,IFERROR(J4699,C4700)),""),"")</f>
        <v/>
      </c>
      <c r="K4700" s="29">
        <f>IFERROR(IF(AND(ISNUMBER(C4700),ISNUMBER(J4700)),C4700/J4700-1,""),"")</f>
        <v/>
      </c>
      <c r="L4700" s="28">
        <f>IFERROR(IF(AND(ISNUMBER(D4700),ISNUMBER(E4700)),D4700-E4700,""),"")</f>
        <v/>
      </c>
    </row>
    <row r="4701">
      <c r="A4701" s="7">
        <f>IFERROR(Datos!A4701,"")</f>
        <v/>
      </c>
      <c r="B4701" s="8">
        <f>IFERROR(Datos!B4701,"")</f>
        <v/>
      </c>
      <c r="C4701" s="8">
        <f>IFERROR(Datos!C4701,"")</f>
        <v/>
      </c>
      <c r="D4701" s="28">
        <f>IFERROR(IF(AND(ISNUMBER(B4701),ISNUMBER(B4700),B4700&lt;&gt;0),B4701/B4700-1,""),"")</f>
        <v/>
      </c>
      <c r="E4701" s="28">
        <f>IFERROR(IF(AND(ISNUMBER(C4701),ISNUMBER(C4700),C4700&lt;&gt;0),C4701/C4700-1,""),"")</f>
        <v/>
      </c>
      <c r="F4701" s="28">
        <f>IFERROR(D4701-Dashboard!$B$4/252,"")</f>
        <v/>
      </c>
      <c r="G4701" s="28">
        <f>IFERROR(E4701-Dashboard!$B$4/252,"")</f>
        <v/>
      </c>
      <c r="H4701" s="8">
        <f>IFERROR(IF(ISNUMBER(B4701),MAX(B4701,IFERROR(H4700,B4701)),""),"")</f>
        <v/>
      </c>
      <c r="I4701" s="29">
        <f>IFERROR(IF(AND(ISNUMBER(B4701),ISNUMBER(H4701)),B4701/H4701-1,""),"")</f>
        <v/>
      </c>
      <c r="J4701" s="8">
        <f>IFERROR(IF(ISNUMBER(C4701),MAX(C4701,IFERROR(J4700,C4701)),""),"")</f>
        <v/>
      </c>
      <c r="K4701" s="29">
        <f>IFERROR(IF(AND(ISNUMBER(C4701),ISNUMBER(J4701)),C4701/J4701-1,""),"")</f>
        <v/>
      </c>
      <c r="L4701" s="28">
        <f>IFERROR(IF(AND(ISNUMBER(D4701),ISNUMBER(E4701)),D4701-E4701,""),"")</f>
        <v/>
      </c>
    </row>
    <row r="4702">
      <c r="A4702" s="7">
        <f>IFERROR(Datos!A4702,"")</f>
        <v/>
      </c>
      <c r="B4702" s="8">
        <f>IFERROR(Datos!B4702,"")</f>
        <v/>
      </c>
      <c r="C4702" s="8">
        <f>IFERROR(Datos!C4702,"")</f>
        <v/>
      </c>
      <c r="D4702" s="28">
        <f>IFERROR(IF(AND(ISNUMBER(B4702),ISNUMBER(B4701),B4701&lt;&gt;0),B4702/B4701-1,""),"")</f>
        <v/>
      </c>
      <c r="E4702" s="28">
        <f>IFERROR(IF(AND(ISNUMBER(C4702),ISNUMBER(C4701),C4701&lt;&gt;0),C4702/C4701-1,""),"")</f>
        <v/>
      </c>
      <c r="F4702" s="28">
        <f>IFERROR(D4702-Dashboard!$B$4/252,"")</f>
        <v/>
      </c>
      <c r="G4702" s="28">
        <f>IFERROR(E4702-Dashboard!$B$4/252,"")</f>
        <v/>
      </c>
      <c r="H4702" s="8">
        <f>IFERROR(IF(ISNUMBER(B4702),MAX(B4702,IFERROR(H4701,B4702)),""),"")</f>
        <v/>
      </c>
      <c r="I4702" s="29">
        <f>IFERROR(IF(AND(ISNUMBER(B4702),ISNUMBER(H4702)),B4702/H4702-1,""),"")</f>
        <v/>
      </c>
      <c r="J4702" s="8">
        <f>IFERROR(IF(ISNUMBER(C4702),MAX(C4702,IFERROR(J4701,C4702)),""),"")</f>
        <v/>
      </c>
      <c r="K4702" s="29">
        <f>IFERROR(IF(AND(ISNUMBER(C4702),ISNUMBER(J4702)),C4702/J4702-1,""),"")</f>
        <v/>
      </c>
      <c r="L4702" s="28">
        <f>IFERROR(IF(AND(ISNUMBER(D4702),ISNUMBER(E4702)),D4702-E4702,""),"")</f>
        <v/>
      </c>
    </row>
    <row r="4703">
      <c r="A4703" s="7">
        <f>IFERROR(Datos!A4703,"")</f>
        <v/>
      </c>
      <c r="B4703" s="8">
        <f>IFERROR(Datos!B4703,"")</f>
        <v/>
      </c>
      <c r="C4703" s="8">
        <f>IFERROR(Datos!C4703,"")</f>
        <v/>
      </c>
      <c r="D4703" s="28">
        <f>IFERROR(IF(AND(ISNUMBER(B4703),ISNUMBER(B4702),B4702&lt;&gt;0),B4703/B4702-1,""),"")</f>
        <v/>
      </c>
      <c r="E4703" s="28">
        <f>IFERROR(IF(AND(ISNUMBER(C4703),ISNUMBER(C4702),C4702&lt;&gt;0),C4703/C4702-1,""),"")</f>
        <v/>
      </c>
      <c r="F4703" s="28">
        <f>IFERROR(D4703-Dashboard!$B$4/252,"")</f>
        <v/>
      </c>
      <c r="G4703" s="28">
        <f>IFERROR(E4703-Dashboard!$B$4/252,"")</f>
        <v/>
      </c>
      <c r="H4703" s="8">
        <f>IFERROR(IF(ISNUMBER(B4703),MAX(B4703,IFERROR(H4702,B4703)),""),"")</f>
        <v/>
      </c>
      <c r="I4703" s="29">
        <f>IFERROR(IF(AND(ISNUMBER(B4703),ISNUMBER(H4703)),B4703/H4703-1,""),"")</f>
        <v/>
      </c>
      <c r="J4703" s="8">
        <f>IFERROR(IF(ISNUMBER(C4703),MAX(C4703,IFERROR(J4702,C4703)),""),"")</f>
        <v/>
      </c>
      <c r="K4703" s="29">
        <f>IFERROR(IF(AND(ISNUMBER(C4703),ISNUMBER(J4703)),C4703/J4703-1,""),"")</f>
        <v/>
      </c>
      <c r="L4703" s="28">
        <f>IFERROR(IF(AND(ISNUMBER(D4703),ISNUMBER(E4703)),D4703-E4703,""),"")</f>
        <v/>
      </c>
    </row>
    <row r="4704">
      <c r="A4704" s="7">
        <f>IFERROR(Datos!A4704,"")</f>
        <v/>
      </c>
      <c r="B4704" s="8">
        <f>IFERROR(Datos!B4704,"")</f>
        <v/>
      </c>
      <c r="C4704" s="8">
        <f>IFERROR(Datos!C4704,"")</f>
        <v/>
      </c>
      <c r="D4704" s="28">
        <f>IFERROR(IF(AND(ISNUMBER(B4704),ISNUMBER(B4703),B4703&lt;&gt;0),B4704/B4703-1,""),"")</f>
        <v/>
      </c>
      <c r="E4704" s="28">
        <f>IFERROR(IF(AND(ISNUMBER(C4704),ISNUMBER(C4703),C4703&lt;&gt;0),C4704/C4703-1,""),"")</f>
        <v/>
      </c>
      <c r="F4704" s="28">
        <f>IFERROR(D4704-Dashboard!$B$4/252,"")</f>
        <v/>
      </c>
      <c r="G4704" s="28">
        <f>IFERROR(E4704-Dashboard!$B$4/252,"")</f>
        <v/>
      </c>
      <c r="H4704" s="8">
        <f>IFERROR(IF(ISNUMBER(B4704),MAX(B4704,IFERROR(H4703,B4704)),""),"")</f>
        <v/>
      </c>
      <c r="I4704" s="29">
        <f>IFERROR(IF(AND(ISNUMBER(B4704),ISNUMBER(H4704)),B4704/H4704-1,""),"")</f>
        <v/>
      </c>
      <c r="J4704" s="8">
        <f>IFERROR(IF(ISNUMBER(C4704),MAX(C4704,IFERROR(J4703,C4704)),""),"")</f>
        <v/>
      </c>
      <c r="K4704" s="29">
        <f>IFERROR(IF(AND(ISNUMBER(C4704),ISNUMBER(J4704)),C4704/J4704-1,""),"")</f>
        <v/>
      </c>
      <c r="L4704" s="28">
        <f>IFERROR(IF(AND(ISNUMBER(D4704),ISNUMBER(E4704)),D4704-E4704,""),"")</f>
        <v/>
      </c>
    </row>
    <row r="4705">
      <c r="A4705" s="7">
        <f>IFERROR(Datos!A4705,"")</f>
        <v/>
      </c>
      <c r="B4705" s="8">
        <f>IFERROR(Datos!B4705,"")</f>
        <v/>
      </c>
      <c r="C4705" s="8">
        <f>IFERROR(Datos!C4705,"")</f>
        <v/>
      </c>
      <c r="D4705" s="28">
        <f>IFERROR(IF(AND(ISNUMBER(B4705),ISNUMBER(B4704),B4704&lt;&gt;0),B4705/B4704-1,""),"")</f>
        <v/>
      </c>
      <c r="E4705" s="28">
        <f>IFERROR(IF(AND(ISNUMBER(C4705),ISNUMBER(C4704),C4704&lt;&gt;0),C4705/C4704-1,""),"")</f>
        <v/>
      </c>
      <c r="F4705" s="28">
        <f>IFERROR(D4705-Dashboard!$B$4/252,"")</f>
        <v/>
      </c>
      <c r="G4705" s="28">
        <f>IFERROR(E4705-Dashboard!$B$4/252,"")</f>
        <v/>
      </c>
      <c r="H4705" s="8">
        <f>IFERROR(IF(ISNUMBER(B4705),MAX(B4705,IFERROR(H4704,B4705)),""),"")</f>
        <v/>
      </c>
      <c r="I4705" s="29">
        <f>IFERROR(IF(AND(ISNUMBER(B4705),ISNUMBER(H4705)),B4705/H4705-1,""),"")</f>
        <v/>
      </c>
      <c r="J4705" s="8">
        <f>IFERROR(IF(ISNUMBER(C4705),MAX(C4705,IFERROR(J4704,C4705)),""),"")</f>
        <v/>
      </c>
      <c r="K4705" s="29">
        <f>IFERROR(IF(AND(ISNUMBER(C4705),ISNUMBER(J4705)),C4705/J4705-1,""),"")</f>
        <v/>
      </c>
      <c r="L4705" s="28">
        <f>IFERROR(IF(AND(ISNUMBER(D4705),ISNUMBER(E4705)),D4705-E4705,""),"")</f>
        <v/>
      </c>
    </row>
    <row r="4706">
      <c r="A4706" s="7">
        <f>IFERROR(Datos!A4706,"")</f>
        <v/>
      </c>
      <c r="B4706" s="8">
        <f>IFERROR(Datos!B4706,"")</f>
        <v/>
      </c>
      <c r="C4706" s="8">
        <f>IFERROR(Datos!C4706,"")</f>
        <v/>
      </c>
      <c r="D4706" s="28">
        <f>IFERROR(IF(AND(ISNUMBER(B4706),ISNUMBER(B4705),B4705&lt;&gt;0),B4706/B4705-1,""),"")</f>
        <v/>
      </c>
      <c r="E4706" s="28">
        <f>IFERROR(IF(AND(ISNUMBER(C4706),ISNUMBER(C4705),C4705&lt;&gt;0),C4706/C4705-1,""),"")</f>
        <v/>
      </c>
      <c r="F4706" s="28">
        <f>IFERROR(D4706-Dashboard!$B$4/252,"")</f>
        <v/>
      </c>
      <c r="G4706" s="28">
        <f>IFERROR(E4706-Dashboard!$B$4/252,"")</f>
        <v/>
      </c>
      <c r="H4706" s="8">
        <f>IFERROR(IF(ISNUMBER(B4706),MAX(B4706,IFERROR(H4705,B4706)),""),"")</f>
        <v/>
      </c>
      <c r="I4706" s="29">
        <f>IFERROR(IF(AND(ISNUMBER(B4706),ISNUMBER(H4706)),B4706/H4706-1,""),"")</f>
        <v/>
      </c>
      <c r="J4706" s="8">
        <f>IFERROR(IF(ISNUMBER(C4706),MAX(C4706,IFERROR(J4705,C4706)),""),"")</f>
        <v/>
      </c>
      <c r="K4706" s="29">
        <f>IFERROR(IF(AND(ISNUMBER(C4706),ISNUMBER(J4706)),C4706/J4706-1,""),"")</f>
        <v/>
      </c>
      <c r="L4706" s="28">
        <f>IFERROR(IF(AND(ISNUMBER(D4706),ISNUMBER(E4706)),D4706-E4706,""),"")</f>
        <v/>
      </c>
    </row>
    <row r="4707">
      <c r="A4707" s="7">
        <f>IFERROR(Datos!A4707,"")</f>
        <v/>
      </c>
      <c r="B4707" s="8">
        <f>IFERROR(Datos!B4707,"")</f>
        <v/>
      </c>
      <c r="C4707" s="8">
        <f>IFERROR(Datos!C4707,"")</f>
        <v/>
      </c>
      <c r="D4707" s="28">
        <f>IFERROR(IF(AND(ISNUMBER(B4707),ISNUMBER(B4706),B4706&lt;&gt;0),B4707/B4706-1,""),"")</f>
        <v/>
      </c>
      <c r="E4707" s="28">
        <f>IFERROR(IF(AND(ISNUMBER(C4707),ISNUMBER(C4706),C4706&lt;&gt;0),C4707/C4706-1,""),"")</f>
        <v/>
      </c>
      <c r="F4707" s="28">
        <f>IFERROR(D4707-Dashboard!$B$4/252,"")</f>
        <v/>
      </c>
      <c r="G4707" s="28">
        <f>IFERROR(E4707-Dashboard!$B$4/252,"")</f>
        <v/>
      </c>
      <c r="H4707" s="8">
        <f>IFERROR(IF(ISNUMBER(B4707),MAX(B4707,IFERROR(H4706,B4707)),""),"")</f>
        <v/>
      </c>
      <c r="I4707" s="29">
        <f>IFERROR(IF(AND(ISNUMBER(B4707),ISNUMBER(H4707)),B4707/H4707-1,""),"")</f>
        <v/>
      </c>
      <c r="J4707" s="8">
        <f>IFERROR(IF(ISNUMBER(C4707),MAX(C4707,IFERROR(J4706,C4707)),""),"")</f>
        <v/>
      </c>
      <c r="K4707" s="29">
        <f>IFERROR(IF(AND(ISNUMBER(C4707),ISNUMBER(J4707)),C4707/J4707-1,""),"")</f>
        <v/>
      </c>
      <c r="L4707" s="28">
        <f>IFERROR(IF(AND(ISNUMBER(D4707),ISNUMBER(E4707)),D4707-E4707,""),"")</f>
        <v/>
      </c>
    </row>
    <row r="4708">
      <c r="A4708" s="7">
        <f>IFERROR(Datos!A4708,"")</f>
        <v/>
      </c>
      <c r="B4708" s="8">
        <f>IFERROR(Datos!B4708,"")</f>
        <v/>
      </c>
      <c r="C4708" s="8">
        <f>IFERROR(Datos!C4708,"")</f>
        <v/>
      </c>
      <c r="D4708" s="28">
        <f>IFERROR(IF(AND(ISNUMBER(B4708),ISNUMBER(B4707),B4707&lt;&gt;0),B4708/B4707-1,""),"")</f>
        <v/>
      </c>
      <c r="E4708" s="28">
        <f>IFERROR(IF(AND(ISNUMBER(C4708),ISNUMBER(C4707),C4707&lt;&gt;0),C4708/C4707-1,""),"")</f>
        <v/>
      </c>
      <c r="F4708" s="28">
        <f>IFERROR(D4708-Dashboard!$B$4/252,"")</f>
        <v/>
      </c>
      <c r="G4708" s="28">
        <f>IFERROR(E4708-Dashboard!$B$4/252,"")</f>
        <v/>
      </c>
      <c r="H4708" s="8">
        <f>IFERROR(IF(ISNUMBER(B4708),MAX(B4708,IFERROR(H4707,B4708)),""),"")</f>
        <v/>
      </c>
      <c r="I4708" s="29">
        <f>IFERROR(IF(AND(ISNUMBER(B4708),ISNUMBER(H4708)),B4708/H4708-1,""),"")</f>
        <v/>
      </c>
      <c r="J4708" s="8">
        <f>IFERROR(IF(ISNUMBER(C4708),MAX(C4708,IFERROR(J4707,C4708)),""),"")</f>
        <v/>
      </c>
      <c r="K4708" s="29">
        <f>IFERROR(IF(AND(ISNUMBER(C4708),ISNUMBER(J4708)),C4708/J4708-1,""),"")</f>
        <v/>
      </c>
      <c r="L4708" s="28">
        <f>IFERROR(IF(AND(ISNUMBER(D4708),ISNUMBER(E4708)),D4708-E4708,""),"")</f>
        <v/>
      </c>
    </row>
    <row r="4709">
      <c r="A4709" s="7">
        <f>IFERROR(Datos!A4709,"")</f>
        <v/>
      </c>
      <c r="B4709" s="8">
        <f>IFERROR(Datos!B4709,"")</f>
        <v/>
      </c>
      <c r="C4709" s="8">
        <f>IFERROR(Datos!C4709,"")</f>
        <v/>
      </c>
      <c r="D4709" s="28">
        <f>IFERROR(IF(AND(ISNUMBER(B4709),ISNUMBER(B4708),B4708&lt;&gt;0),B4709/B4708-1,""),"")</f>
        <v/>
      </c>
      <c r="E4709" s="28">
        <f>IFERROR(IF(AND(ISNUMBER(C4709),ISNUMBER(C4708),C4708&lt;&gt;0),C4709/C4708-1,""),"")</f>
        <v/>
      </c>
      <c r="F4709" s="28">
        <f>IFERROR(D4709-Dashboard!$B$4/252,"")</f>
        <v/>
      </c>
      <c r="G4709" s="28">
        <f>IFERROR(E4709-Dashboard!$B$4/252,"")</f>
        <v/>
      </c>
      <c r="H4709" s="8">
        <f>IFERROR(IF(ISNUMBER(B4709),MAX(B4709,IFERROR(H4708,B4709)),""),"")</f>
        <v/>
      </c>
      <c r="I4709" s="29">
        <f>IFERROR(IF(AND(ISNUMBER(B4709),ISNUMBER(H4709)),B4709/H4709-1,""),"")</f>
        <v/>
      </c>
      <c r="J4709" s="8">
        <f>IFERROR(IF(ISNUMBER(C4709),MAX(C4709,IFERROR(J4708,C4709)),""),"")</f>
        <v/>
      </c>
      <c r="K4709" s="29">
        <f>IFERROR(IF(AND(ISNUMBER(C4709),ISNUMBER(J4709)),C4709/J4709-1,""),"")</f>
        <v/>
      </c>
      <c r="L4709" s="28">
        <f>IFERROR(IF(AND(ISNUMBER(D4709),ISNUMBER(E4709)),D4709-E4709,""),"")</f>
        <v/>
      </c>
    </row>
    <row r="4710">
      <c r="A4710" s="7">
        <f>IFERROR(Datos!A4710,"")</f>
        <v/>
      </c>
      <c r="B4710" s="8">
        <f>IFERROR(Datos!B4710,"")</f>
        <v/>
      </c>
      <c r="C4710" s="8">
        <f>IFERROR(Datos!C4710,"")</f>
        <v/>
      </c>
      <c r="D4710" s="28">
        <f>IFERROR(IF(AND(ISNUMBER(B4710),ISNUMBER(B4709),B4709&lt;&gt;0),B4710/B4709-1,""),"")</f>
        <v/>
      </c>
      <c r="E4710" s="28">
        <f>IFERROR(IF(AND(ISNUMBER(C4710),ISNUMBER(C4709),C4709&lt;&gt;0),C4710/C4709-1,""),"")</f>
        <v/>
      </c>
      <c r="F4710" s="28">
        <f>IFERROR(D4710-Dashboard!$B$4/252,"")</f>
        <v/>
      </c>
      <c r="G4710" s="28">
        <f>IFERROR(E4710-Dashboard!$B$4/252,"")</f>
        <v/>
      </c>
      <c r="H4710" s="8">
        <f>IFERROR(IF(ISNUMBER(B4710),MAX(B4710,IFERROR(H4709,B4710)),""),"")</f>
        <v/>
      </c>
      <c r="I4710" s="29">
        <f>IFERROR(IF(AND(ISNUMBER(B4710),ISNUMBER(H4710)),B4710/H4710-1,""),"")</f>
        <v/>
      </c>
      <c r="J4710" s="8">
        <f>IFERROR(IF(ISNUMBER(C4710),MAX(C4710,IFERROR(J4709,C4710)),""),"")</f>
        <v/>
      </c>
      <c r="K4710" s="29">
        <f>IFERROR(IF(AND(ISNUMBER(C4710),ISNUMBER(J4710)),C4710/J4710-1,""),"")</f>
        <v/>
      </c>
      <c r="L4710" s="28">
        <f>IFERROR(IF(AND(ISNUMBER(D4710),ISNUMBER(E4710)),D4710-E4710,""),"")</f>
        <v/>
      </c>
    </row>
    <row r="4711">
      <c r="A4711" s="7">
        <f>IFERROR(Datos!A4711,"")</f>
        <v/>
      </c>
      <c r="B4711" s="8">
        <f>IFERROR(Datos!B4711,"")</f>
        <v/>
      </c>
      <c r="C4711" s="8">
        <f>IFERROR(Datos!C4711,"")</f>
        <v/>
      </c>
      <c r="D4711" s="28">
        <f>IFERROR(IF(AND(ISNUMBER(B4711),ISNUMBER(B4710),B4710&lt;&gt;0),B4711/B4710-1,""),"")</f>
        <v/>
      </c>
      <c r="E4711" s="28">
        <f>IFERROR(IF(AND(ISNUMBER(C4711),ISNUMBER(C4710),C4710&lt;&gt;0),C4711/C4710-1,""),"")</f>
        <v/>
      </c>
      <c r="F4711" s="28">
        <f>IFERROR(D4711-Dashboard!$B$4/252,"")</f>
        <v/>
      </c>
      <c r="G4711" s="28">
        <f>IFERROR(E4711-Dashboard!$B$4/252,"")</f>
        <v/>
      </c>
      <c r="H4711" s="8">
        <f>IFERROR(IF(ISNUMBER(B4711),MAX(B4711,IFERROR(H4710,B4711)),""),"")</f>
        <v/>
      </c>
      <c r="I4711" s="29">
        <f>IFERROR(IF(AND(ISNUMBER(B4711),ISNUMBER(H4711)),B4711/H4711-1,""),"")</f>
        <v/>
      </c>
      <c r="J4711" s="8">
        <f>IFERROR(IF(ISNUMBER(C4711),MAX(C4711,IFERROR(J4710,C4711)),""),"")</f>
        <v/>
      </c>
      <c r="K4711" s="29">
        <f>IFERROR(IF(AND(ISNUMBER(C4711),ISNUMBER(J4711)),C4711/J4711-1,""),"")</f>
        <v/>
      </c>
      <c r="L4711" s="28">
        <f>IFERROR(IF(AND(ISNUMBER(D4711),ISNUMBER(E4711)),D4711-E4711,""),"")</f>
        <v/>
      </c>
    </row>
    <row r="4712">
      <c r="A4712" s="7">
        <f>IFERROR(Datos!A4712,"")</f>
        <v/>
      </c>
      <c r="B4712" s="8">
        <f>IFERROR(Datos!B4712,"")</f>
        <v/>
      </c>
      <c r="C4712" s="8">
        <f>IFERROR(Datos!C4712,"")</f>
        <v/>
      </c>
      <c r="D4712" s="28">
        <f>IFERROR(IF(AND(ISNUMBER(B4712),ISNUMBER(B4711),B4711&lt;&gt;0),B4712/B4711-1,""),"")</f>
        <v/>
      </c>
      <c r="E4712" s="28">
        <f>IFERROR(IF(AND(ISNUMBER(C4712),ISNUMBER(C4711),C4711&lt;&gt;0),C4712/C4711-1,""),"")</f>
        <v/>
      </c>
      <c r="F4712" s="28">
        <f>IFERROR(D4712-Dashboard!$B$4/252,"")</f>
        <v/>
      </c>
      <c r="G4712" s="28">
        <f>IFERROR(E4712-Dashboard!$B$4/252,"")</f>
        <v/>
      </c>
      <c r="H4712" s="8">
        <f>IFERROR(IF(ISNUMBER(B4712),MAX(B4712,IFERROR(H4711,B4712)),""),"")</f>
        <v/>
      </c>
      <c r="I4712" s="29">
        <f>IFERROR(IF(AND(ISNUMBER(B4712),ISNUMBER(H4712)),B4712/H4712-1,""),"")</f>
        <v/>
      </c>
      <c r="J4712" s="8">
        <f>IFERROR(IF(ISNUMBER(C4712),MAX(C4712,IFERROR(J4711,C4712)),""),"")</f>
        <v/>
      </c>
      <c r="K4712" s="29">
        <f>IFERROR(IF(AND(ISNUMBER(C4712),ISNUMBER(J4712)),C4712/J4712-1,""),"")</f>
        <v/>
      </c>
      <c r="L4712" s="28">
        <f>IFERROR(IF(AND(ISNUMBER(D4712),ISNUMBER(E4712)),D4712-E4712,""),"")</f>
        <v/>
      </c>
    </row>
    <row r="4713">
      <c r="A4713" s="7">
        <f>IFERROR(Datos!A4713,"")</f>
        <v/>
      </c>
      <c r="B4713" s="8">
        <f>IFERROR(Datos!B4713,"")</f>
        <v/>
      </c>
      <c r="C4713" s="8">
        <f>IFERROR(Datos!C4713,"")</f>
        <v/>
      </c>
      <c r="D4713" s="28">
        <f>IFERROR(IF(AND(ISNUMBER(B4713),ISNUMBER(B4712),B4712&lt;&gt;0),B4713/B4712-1,""),"")</f>
        <v/>
      </c>
      <c r="E4713" s="28">
        <f>IFERROR(IF(AND(ISNUMBER(C4713),ISNUMBER(C4712),C4712&lt;&gt;0),C4713/C4712-1,""),"")</f>
        <v/>
      </c>
      <c r="F4713" s="28">
        <f>IFERROR(D4713-Dashboard!$B$4/252,"")</f>
        <v/>
      </c>
      <c r="G4713" s="28">
        <f>IFERROR(E4713-Dashboard!$B$4/252,"")</f>
        <v/>
      </c>
      <c r="H4713" s="8">
        <f>IFERROR(IF(ISNUMBER(B4713),MAX(B4713,IFERROR(H4712,B4713)),""),"")</f>
        <v/>
      </c>
      <c r="I4713" s="29">
        <f>IFERROR(IF(AND(ISNUMBER(B4713),ISNUMBER(H4713)),B4713/H4713-1,""),"")</f>
        <v/>
      </c>
      <c r="J4713" s="8">
        <f>IFERROR(IF(ISNUMBER(C4713),MAX(C4713,IFERROR(J4712,C4713)),""),"")</f>
        <v/>
      </c>
      <c r="K4713" s="29">
        <f>IFERROR(IF(AND(ISNUMBER(C4713),ISNUMBER(J4713)),C4713/J4713-1,""),"")</f>
        <v/>
      </c>
      <c r="L4713" s="28">
        <f>IFERROR(IF(AND(ISNUMBER(D4713),ISNUMBER(E4713)),D4713-E4713,""),"")</f>
        <v/>
      </c>
    </row>
    <row r="4714">
      <c r="A4714" s="7">
        <f>IFERROR(Datos!A4714,"")</f>
        <v/>
      </c>
      <c r="B4714" s="8">
        <f>IFERROR(Datos!B4714,"")</f>
        <v/>
      </c>
      <c r="C4714" s="8">
        <f>IFERROR(Datos!C4714,"")</f>
        <v/>
      </c>
      <c r="D4714" s="28">
        <f>IFERROR(IF(AND(ISNUMBER(B4714),ISNUMBER(B4713),B4713&lt;&gt;0),B4714/B4713-1,""),"")</f>
        <v/>
      </c>
      <c r="E4714" s="28">
        <f>IFERROR(IF(AND(ISNUMBER(C4714),ISNUMBER(C4713),C4713&lt;&gt;0),C4714/C4713-1,""),"")</f>
        <v/>
      </c>
      <c r="F4714" s="28">
        <f>IFERROR(D4714-Dashboard!$B$4/252,"")</f>
        <v/>
      </c>
      <c r="G4714" s="28">
        <f>IFERROR(E4714-Dashboard!$B$4/252,"")</f>
        <v/>
      </c>
      <c r="H4714" s="8">
        <f>IFERROR(IF(ISNUMBER(B4714),MAX(B4714,IFERROR(H4713,B4714)),""),"")</f>
        <v/>
      </c>
      <c r="I4714" s="29">
        <f>IFERROR(IF(AND(ISNUMBER(B4714),ISNUMBER(H4714)),B4714/H4714-1,""),"")</f>
        <v/>
      </c>
      <c r="J4714" s="8">
        <f>IFERROR(IF(ISNUMBER(C4714),MAX(C4714,IFERROR(J4713,C4714)),""),"")</f>
        <v/>
      </c>
      <c r="K4714" s="29">
        <f>IFERROR(IF(AND(ISNUMBER(C4714),ISNUMBER(J4714)),C4714/J4714-1,""),"")</f>
        <v/>
      </c>
      <c r="L4714" s="28">
        <f>IFERROR(IF(AND(ISNUMBER(D4714),ISNUMBER(E4714)),D4714-E4714,""),"")</f>
        <v/>
      </c>
    </row>
    <row r="4715">
      <c r="A4715" s="7">
        <f>IFERROR(Datos!A4715,"")</f>
        <v/>
      </c>
      <c r="B4715" s="8">
        <f>IFERROR(Datos!B4715,"")</f>
        <v/>
      </c>
      <c r="C4715" s="8">
        <f>IFERROR(Datos!C4715,"")</f>
        <v/>
      </c>
      <c r="D4715" s="28">
        <f>IFERROR(IF(AND(ISNUMBER(B4715),ISNUMBER(B4714),B4714&lt;&gt;0),B4715/B4714-1,""),"")</f>
        <v/>
      </c>
      <c r="E4715" s="28">
        <f>IFERROR(IF(AND(ISNUMBER(C4715),ISNUMBER(C4714),C4714&lt;&gt;0),C4715/C4714-1,""),"")</f>
        <v/>
      </c>
      <c r="F4715" s="28">
        <f>IFERROR(D4715-Dashboard!$B$4/252,"")</f>
        <v/>
      </c>
      <c r="G4715" s="28">
        <f>IFERROR(E4715-Dashboard!$B$4/252,"")</f>
        <v/>
      </c>
      <c r="H4715" s="8">
        <f>IFERROR(IF(ISNUMBER(B4715),MAX(B4715,IFERROR(H4714,B4715)),""),"")</f>
        <v/>
      </c>
      <c r="I4715" s="29">
        <f>IFERROR(IF(AND(ISNUMBER(B4715),ISNUMBER(H4715)),B4715/H4715-1,""),"")</f>
        <v/>
      </c>
      <c r="J4715" s="8">
        <f>IFERROR(IF(ISNUMBER(C4715),MAX(C4715,IFERROR(J4714,C4715)),""),"")</f>
        <v/>
      </c>
      <c r="K4715" s="29">
        <f>IFERROR(IF(AND(ISNUMBER(C4715),ISNUMBER(J4715)),C4715/J4715-1,""),"")</f>
        <v/>
      </c>
      <c r="L4715" s="28">
        <f>IFERROR(IF(AND(ISNUMBER(D4715),ISNUMBER(E4715)),D4715-E4715,""),"")</f>
        <v/>
      </c>
    </row>
    <row r="4716">
      <c r="A4716" s="7">
        <f>IFERROR(Datos!A4716,"")</f>
        <v/>
      </c>
      <c r="B4716" s="8">
        <f>IFERROR(Datos!B4716,"")</f>
        <v/>
      </c>
      <c r="C4716" s="8">
        <f>IFERROR(Datos!C4716,"")</f>
        <v/>
      </c>
      <c r="D4716" s="28">
        <f>IFERROR(IF(AND(ISNUMBER(B4716),ISNUMBER(B4715),B4715&lt;&gt;0),B4716/B4715-1,""),"")</f>
        <v/>
      </c>
      <c r="E4716" s="28">
        <f>IFERROR(IF(AND(ISNUMBER(C4716),ISNUMBER(C4715),C4715&lt;&gt;0),C4716/C4715-1,""),"")</f>
        <v/>
      </c>
      <c r="F4716" s="28">
        <f>IFERROR(D4716-Dashboard!$B$4/252,"")</f>
        <v/>
      </c>
      <c r="G4716" s="28">
        <f>IFERROR(E4716-Dashboard!$B$4/252,"")</f>
        <v/>
      </c>
      <c r="H4716" s="8">
        <f>IFERROR(IF(ISNUMBER(B4716),MAX(B4716,IFERROR(H4715,B4716)),""),"")</f>
        <v/>
      </c>
      <c r="I4716" s="29">
        <f>IFERROR(IF(AND(ISNUMBER(B4716),ISNUMBER(H4716)),B4716/H4716-1,""),"")</f>
        <v/>
      </c>
      <c r="J4716" s="8">
        <f>IFERROR(IF(ISNUMBER(C4716),MAX(C4716,IFERROR(J4715,C4716)),""),"")</f>
        <v/>
      </c>
      <c r="K4716" s="29">
        <f>IFERROR(IF(AND(ISNUMBER(C4716),ISNUMBER(J4716)),C4716/J4716-1,""),"")</f>
        <v/>
      </c>
      <c r="L4716" s="28">
        <f>IFERROR(IF(AND(ISNUMBER(D4716),ISNUMBER(E4716)),D4716-E4716,""),"")</f>
        <v/>
      </c>
    </row>
    <row r="4717">
      <c r="A4717" s="7">
        <f>IFERROR(Datos!A4717,"")</f>
        <v/>
      </c>
      <c r="B4717" s="8">
        <f>IFERROR(Datos!B4717,"")</f>
        <v/>
      </c>
      <c r="C4717" s="8">
        <f>IFERROR(Datos!C4717,"")</f>
        <v/>
      </c>
      <c r="D4717" s="28">
        <f>IFERROR(IF(AND(ISNUMBER(B4717),ISNUMBER(B4716),B4716&lt;&gt;0),B4717/B4716-1,""),"")</f>
        <v/>
      </c>
      <c r="E4717" s="28">
        <f>IFERROR(IF(AND(ISNUMBER(C4717),ISNUMBER(C4716),C4716&lt;&gt;0),C4717/C4716-1,""),"")</f>
        <v/>
      </c>
      <c r="F4717" s="28">
        <f>IFERROR(D4717-Dashboard!$B$4/252,"")</f>
        <v/>
      </c>
      <c r="G4717" s="28">
        <f>IFERROR(E4717-Dashboard!$B$4/252,"")</f>
        <v/>
      </c>
      <c r="H4717" s="8">
        <f>IFERROR(IF(ISNUMBER(B4717),MAX(B4717,IFERROR(H4716,B4717)),""),"")</f>
        <v/>
      </c>
      <c r="I4717" s="29">
        <f>IFERROR(IF(AND(ISNUMBER(B4717),ISNUMBER(H4717)),B4717/H4717-1,""),"")</f>
        <v/>
      </c>
      <c r="J4717" s="8">
        <f>IFERROR(IF(ISNUMBER(C4717),MAX(C4717,IFERROR(J4716,C4717)),""),"")</f>
        <v/>
      </c>
      <c r="K4717" s="29">
        <f>IFERROR(IF(AND(ISNUMBER(C4717),ISNUMBER(J4717)),C4717/J4717-1,""),"")</f>
        <v/>
      </c>
      <c r="L4717" s="28">
        <f>IFERROR(IF(AND(ISNUMBER(D4717),ISNUMBER(E4717)),D4717-E4717,""),"")</f>
        <v/>
      </c>
    </row>
    <row r="4718">
      <c r="A4718" s="7">
        <f>IFERROR(Datos!A4718,"")</f>
        <v/>
      </c>
      <c r="B4718" s="8">
        <f>IFERROR(Datos!B4718,"")</f>
        <v/>
      </c>
      <c r="C4718" s="8">
        <f>IFERROR(Datos!C4718,"")</f>
        <v/>
      </c>
      <c r="D4718" s="28">
        <f>IFERROR(IF(AND(ISNUMBER(B4718),ISNUMBER(B4717),B4717&lt;&gt;0),B4718/B4717-1,""),"")</f>
        <v/>
      </c>
      <c r="E4718" s="28">
        <f>IFERROR(IF(AND(ISNUMBER(C4718),ISNUMBER(C4717),C4717&lt;&gt;0),C4718/C4717-1,""),"")</f>
        <v/>
      </c>
      <c r="F4718" s="28">
        <f>IFERROR(D4718-Dashboard!$B$4/252,"")</f>
        <v/>
      </c>
      <c r="G4718" s="28">
        <f>IFERROR(E4718-Dashboard!$B$4/252,"")</f>
        <v/>
      </c>
      <c r="H4718" s="8">
        <f>IFERROR(IF(ISNUMBER(B4718),MAX(B4718,IFERROR(H4717,B4718)),""),"")</f>
        <v/>
      </c>
      <c r="I4718" s="29">
        <f>IFERROR(IF(AND(ISNUMBER(B4718),ISNUMBER(H4718)),B4718/H4718-1,""),"")</f>
        <v/>
      </c>
      <c r="J4718" s="8">
        <f>IFERROR(IF(ISNUMBER(C4718),MAX(C4718,IFERROR(J4717,C4718)),""),"")</f>
        <v/>
      </c>
      <c r="K4718" s="29">
        <f>IFERROR(IF(AND(ISNUMBER(C4718),ISNUMBER(J4718)),C4718/J4718-1,""),"")</f>
        <v/>
      </c>
      <c r="L4718" s="28">
        <f>IFERROR(IF(AND(ISNUMBER(D4718),ISNUMBER(E4718)),D4718-E4718,""),"")</f>
        <v/>
      </c>
    </row>
    <row r="4719">
      <c r="A4719" s="7">
        <f>IFERROR(Datos!A4719,"")</f>
        <v/>
      </c>
      <c r="B4719" s="8">
        <f>IFERROR(Datos!B4719,"")</f>
        <v/>
      </c>
      <c r="C4719" s="8">
        <f>IFERROR(Datos!C4719,"")</f>
        <v/>
      </c>
      <c r="D4719" s="28">
        <f>IFERROR(IF(AND(ISNUMBER(B4719),ISNUMBER(B4718),B4718&lt;&gt;0),B4719/B4718-1,""),"")</f>
        <v/>
      </c>
      <c r="E4719" s="28">
        <f>IFERROR(IF(AND(ISNUMBER(C4719),ISNUMBER(C4718),C4718&lt;&gt;0),C4719/C4718-1,""),"")</f>
        <v/>
      </c>
      <c r="F4719" s="28">
        <f>IFERROR(D4719-Dashboard!$B$4/252,"")</f>
        <v/>
      </c>
      <c r="G4719" s="28">
        <f>IFERROR(E4719-Dashboard!$B$4/252,"")</f>
        <v/>
      </c>
      <c r="H4719" s="8">
        <f>IFERROR(IF(ISNUMBER(B4719),MAX(B4719,IFERROR(H4718,B4719)),""),"")</f>
        <v/>
      </c>
      <c r="I4719" s="29">
        <f>IFERROR(IF(AND(ISNUMBER(B4719),ISNUMBER(H4719)),B4719/H4719-1,""),"")</f>
        <v/>
      </c>
      <c r="J4719" s="8">
        <f>IFERROR(IF(ISNUMBER(C4719),MAX(C4719,IFERROR(J4718,C4719)),""),"")</f>
        <v/>
      </c>
      <c r="K4719" s="29">
        <f>IFERROR(IF(AND(ISNUMBER(C4719),ISNUMBER(J4719)),C4719/J4719-1,""),"")</f>
        <v/>
      </c>
      <c r="L4719" s="28">
        <f>IFERROR(IF(AND(ISNUMBER(D4719),ISNUMBER(E4719)),D4719-E4719,""),"")</f>
        <v/>
      </c>
    </row>
    <row r="4720">
      <c r="A4720" s="7">
        <f>IFERROR(Datos!A4720,"")</f>
        <v/>
      </c>
      <c r="B4720" s="8">
        <f>IFERROR(Datos!B4720,"")</f>
        <v/>
      </c>
      <c r="C4720" s="8">
        <f>IFERROR(Datos!C4720,"")</f>
        <v/>
      </c>
      <c r="D4720" s="28">
        <f>IFERROR(IF(AND(ISNUMBER(B4720),ISNUMBER(B4719),B4719&lt;&gt;0),B4720/B4719-1,""),"")</f>
        <v/>
      </c>
      <c r="E4720" s="28">
        <f>IFERROR(IF(AND(ISNUMBER(C4720),ISNUMBER(C4719),C4719&lt;&gt;0),C4720/C4719-1,""),"")</f>
        <v/>
      </c>
      <c r="F4720" s="28">
        <f>IFERROR(D4720-Dashboard!$B$4/252,"")</f>
        <v/>
      </c>
      <c r="G4720" s="28">
        <f>IFERROR(E4720-Dashboard!$B$4/252,"")</f>
        <v/>
      </c>
      <c r="H4720" s="8">
        <f>IFERROR(IF(ISNUMBER(B4720),MAX(B4720,IFERROR(H4719,B4720)),""),"")</f>
        <v/>
      </c>
      <c r="I4720" s="29">
        <f>IFERROR(IF(AND(ISNUMBER(B4720),ISNUMBER(H4720)),B4720/H4720-1,""),"")</f>
        <v/>
      </c>
      <c r="J4720" s="8">
        <f>IFERROR(IF(ISNUMBER(C4720),MAX(C4720,IFERROR(J4719,C4720)),""),"")</f>
        <v/>
      </c>
      <c r="K4720" s="29">
        <f>IFERROR(IF(AND(ISNUMBER(C4720),ISNUMBER(J4720)),C4720/J4720-1,""),"")</f>
        <v/>
      </c>
      <c r="L4720" s="28">
        <f>IFERROR(IF(AND(ISNUMBER(D4720),ISNUMBER(E4720)),D4720-E4720,""),"")</f>
        <v/>
      </c>
    </row>
    <row r="4721">
      <c r="A4721" s="7">
        <f>IFERROR(Datos!A4721,"")</f>
        <v/>
      </c>
      <c r="B4721" s="8">
        <f>IFERROR(Datos!B4721,"")</f>
        <v/>
      </c>
      <c r="C4721" s="8">
        <f>IFERROR(Datos!C4721,"")</f>
        <v/>
      </c>
      <c r="D4721" s="28">
        <f>IFERROR(IF(AND(ISNUMBER(B4721),ISNUMBER(B4720),B4720&lt;&gt;0),B4721/B4720-1,""),"")</f>
        <v/>
      </c>
      <c r="E4721" s="28">
        <f>IFERROR(IF(AND(ISNUMBER(C4721),ISNUMBER(C4720),C4720&lt;&gt;0),C4721/C4720-1,""),"")</f>
        <v/>
      </c>
      <c r="F4721" s="28">
        <f>IFERROR(D4721-Dashboard!$B$4/252,"")</f>
        <v/>
      </c>
      <c r="G4721" s="28">
        <f>IFERROR(E4721-Dashboard!$B$4/252,"")</f>
        <v/>
      </c>
      <c r="H4721" s="8">
        <f>IFERROR(IF(ISNUMBER(B4721),MAX(B4721,IFERROR(H4720,B4721)),""),"")</f>
        <v/>
      </c>
      <c r="I4721" s="29">
        <f>IFERROR(IF(AND(ISNUMBER(B4721),ISNUMBER(H4721)),B4721/H4721-1,""),"")</f>
        <v/>
      </c>
      <c r="J4721" s="8">
        <f>IFERROR(IF(ISNUMBER(C4721),MAX(C4721,IFERROR(J4720,C4721)),""),"")</f>
        <v/>
      </c>
      <c r="K4721" s="29">
        <f>IFERROR(IF(AND(ISNUMBER(C4721),ISNUMBER(J4721)),C4721/J4721-1,""),"")</f>
        <v/>
      </c>
      <c r="L4721" s="28">
        <f>IFERROR(IF(AND(ISNUMBER(D4721),ISNUMBER(E4721)),D4721-E4721,""),"")</f>
        <v/>
      </c>
    </row>
    <row r="4722">
      <c r="A4722" s="7">
        <f>IFERROR(Datos!A4722,"")</f>
        <v/>
      </c>
      <c r="B4722" s="8">
        <f>IFERROR(Datos!B4722,"")</f>
        <v/>
      </c>
      <c r="C4722" s="8">
        <f>IFERROR(Datos!C4722,"")</f>
        <v/>
      </c>
      <c r="D4722" s="28">
        <f>IFERROR(IF(AND(ISNUMBER(B4722),ISNUMBER(B4721),B4721&lt;&gt;0),B4722/B4721-1,""),"")</f>
        <v/>
      </c>
      <c r="E4722" s="28">
        <f>IFERROR(IF(AND(ISNUMBER(C4722),ISNUMBER(C4721),C4721&lt;&gt;0),C4722/C4721-1,""),"")</f>
        <v/>
      </c>
      <c r="F4722" s="28">
        <f>IFERROR(D4722-Dashboard!$B$4/252,"")</f>
        <v/>
      </c>
      <c r="G4722" s="28">
        <f>IFERROR(E4722-Dashboard!$B$4/252,"")</f>
        <v/>
      </c>
      <c r="H4722" s="8">
        <f>IFERROR(IF(ISNUMBER(B4722),MAX(B4722,IFERROR(H4721,B4722)),""),"")</f>
        <v/>
      </c>
      <c r="I4722" s="29">
        <f>IFERROR(IF(AND(ISNUMBER(B4722),ISNUMBER(H4722)),B4722/H4722-1,""),"")</f>
        <v/>
      </c>
      <c r="J4722" s="8">
        <f>IFERROR(IF(ISNUMBER(C4722),MAX(C4722,IFERROR(J4721,C4722)),""),"")</f>
        <v/>
      </c>
      <c r="K4722" s="29">
        <f>IFERROR(IF(AND(ISNUMBER(C4722),ISNUMBER(J4722)),C4722/J4722-1,""),"")</f>
        <v/>
      </c>
      <c r="L4722" s="28">
        <f>IFERROR(IF(AND(ISNUMBER(D4722),ISNUMBER(E4722)),D4722-E4722,""),"")</f>
        <v/>
      </c>
    </row>
    <row r="4723">
      <c r="A4723" s="7">
        <f>IFERROR(Datos!A4723,"")</f>
        <v/>
      </c>
      <c r="B4723" s="8">
        <f>IFERROR(Datos!B4723,"")</f>
        <v/>
      </c>
      <c r="C4723" s="8">
        <f>IFERROR(Datos!C4723,"")</f>
        <v/>
      </c>
      <c r="D4723" s="28">
        <f>IFERROR(IF(AND(ISNUMBER(B4723),ISNUMBER(B4722),B4722&lt;&gt;0),B4723/B4722-1,""),"")</f>
        <v/>
      </c>
      <c r="E4723" s="28">
        <f>IFERROR(IF(AND(ISNUMBER(C4723),ISNUMBER(C4722),C4722&lt;&gt;0),C4723/C4722-1,""),"")</f>
        <v/>
      </c>
      <c r="F4723" s="28">
        <f>IFERROR(D4723-Dashboard!$B$4/252,"")</f>
        <v/>
      </c>
      <c r="G4723" s="28">
        <f>IFERROR(E4723-Dashboard!$B$4/252,"")</f>
        <v/>
      </c>
      <c r="H4723" s="8">
        <f>IFERROR(IF(ISNUMBER(B4723),MAX(B4723,IFERROR(H4722,B4723)),""),"")</f>
        <v/>
      </c>
      <c r="I4723" s="29">
        <f>IFERROR(IF(AND(ISNUMBER(B4723),ISNUMBER(H4723)),B4723/H4723-1,""),"")</f>
        <v/>
      </c>
      <c r="J4723" s="8">
        <f>IFERROR(IF(ISNUMBER(C4723),MAX(C4723,IFERROR(J4722,C4723)),""),"")</f>
        <v/>
      </c>
      <c r="K4723" s="29">
        <f>IFERROR(IF(AND(ISNUMBER(C4723),ISNUMBER(J4723)),C4723/J4723-1,""),"")</f>
        <v/>
      </c>
      <c r="L4723" s="28">
        <f>IFERROR(IF(AND(ISNUMBER(D4723),ISNUMBER(E4723)),D4723-E4723,""),"")</f>
        <v/>
      </c>
    </row>
    <row r="4724">
      <c r="A4724" s="7">
        <f>IFERROR(Datos!A4724,"")</f>
        <v/>
      </c>
      <c r="B4724" s="8">
        <f>IFERROR(Datos!B4724,"")</f>
        <v/>
      </c>
      <c r="C4724" s="8">
        <f>IFERROR(Datos!C4724,"")</f>
        <v/>
      </c>
      <c r="D4724" s="28">
        <f>IFERROR(IF(AND(ISNUMBER(B4724),ISNUMBER(B4723),B4723&lt;&gt;0),B4724/B4723-1,""),"")</f>
        <v/>
      </c>
      <c r="E4724" s="28">
        <f>IFERROR(IF(AND(ISNUMBER(C4724),ISNUMBER(C4723),C4723&lt;&gt;0),C4724/C4723-1,""),"")</f>
        <v/>
      </c>
      <c r="F4724" s="28">
        <f>IFERROR(D4724-Dashboard!$B$4/252,"")</f>
        <v/>
      </c>
      <c r="G4724" s="28">
        <f>IFERROR(E4724-Dashboard!$B$4/252,"")</f>
        <v/>
      </c>
      <c r="H4724" s="8">
        <f>IFERROR(IF(ISNUMBER(B4724),MAX(B4724,IFERROR(H4723,B4724)),""),"")</f>
        <v/>
      </c>
      <c r="I4724" s="29">
        <f>IFERROR(IF(AND(ISNUMBER(B4724),ISNUMBER(H4724)),B4724/H4724-1,""),"")</f>
        <v/>
      </c>
      <c r="J4724" s="8">
        <f>IFERROR(IF(ISNUMBER(C4724),MAX(C4724,IFERROR(J4723,C4724)),""),"")</f>
        <v/>
      </c>
      <c r="K4724" s="29">
        <f>IFERROR(IF(AND(ISNUMBER(C4724),ISNUMBER(J4724)),C4724/J4724-1,""),"")</f>
        <v/>
      </c>
      <c r="L4724" s="28">
        <f>IFERROR(IF(AND(ISNUMBER(D4724),ISNUMBER(E4724)),D4724-E4724,""),"")</f>
        <v/>
      </c>
    </row>
    <row r="4725">
      <c r="A4725" s="7">
        <f>IFERROR(Datos!A4725,"")</f>
        <v/>
      </c>
      <c r="B4725" s="8">
        <f>IFERROR(Datos!B4725,"")</f>
        <v/>
      </c>
      <c r="C4725" s="8">
        <f>IFERROR(Datos!C4725,"")</f>
        <v/>
      </c>
      <c r="D4725" s="28">
        <f>IFERROR(IF(AND(ISNUMBER(B4725),ISNUMBER(B4724),B4724&lt;&gt;0),B4725/B4724-1,""),"")</f>
        <v/>
      </c>
      <c r="E4725" s="28">
        <f>IFERROR(IF(AND(ISNUMBER(C4725),ISNUMBER(C4724),C4724&lt;&gt;0),C4725/C4724-1,""),"")</f>
        <v/>
      </c>
      <c r="F4725" s="28">
        <f>IFERROR(D4725-Dashboard!$B$4/252,"")</f>
        <v/>
      </c>
      <c r="G4725" s="28">
        <f>IFERROR(E4725-Dashboard!$B$4/252,"")</f>
        <v/>
      </c>
      <c r="H4725" s="8">
        <f>IFERROR(IF(ISNUMBER(B4725),MAX(B4725,IFERROR(H4724,B4725)),""),"")</f>
        <v/>
      </c>
      <c r="I4725" s="29">
        <f>IFERROR(IF(AND(ISNUMBER(B4725),ISNUMBER(H4725)),B4725/H4725-1,""),"")</f>
        <v/>
      </c>
      <c r="J4725" s="8">
        <f>IFERROR(IF(ISNUMBER(C4725),MAX(C4725,IFERROR(J4724,C4725)),""),"")</f>
        <v/>
      </c>
      <c r="K4725" s="29">
        <f>IFERROR(IF(AND(ISNUMBER(C4725),ISNUMBER(J4725)),C4725/J4725-1,""),"")</f>
        <v/>
      </c>
      <c r="L4725" s="28">
        <f>IFERROR(IF(AND(ISNUMBER(D4725),ISNUMBER(E4725)),D4725-E4725,""),"")</f>
        <v/>
      </c>
    </row>
    <row r="4726">
      <c r="A4726" s="7">
        <f>IFERROR(Datos!A4726,"")</f>
        <v/>
      </c>
      <c r="B4726" s="8">
        <f>IFERROR(Datos!B4726,"")</f>
        <v/>
      </c>
      <c r="C4726" s="8">
        <f>IFERROR(Datos!C4726,"")</f>
        <v/>
      </c>
      <c r="D4726" s="28">
        <f>IFERROR(IF(AND(ISNUMBER(B4726),ISNUMBER(B4725),B4725&lt;&gt;0),B4726/B4725-1,""),"")</f>
        <v/>
      </c>
      <c r="E4726" s="28">
        <f>IFERROR(IF(AND(ISNUMBER(C4726),ISNUMBER(C4725),C4725&lt;&gt;0),C4726/C4725-1,""),"")</f>
        <v/>
      </c>
      <c r="F4726" s="28">
        <f>IFERROR(D4726-Dashboard!$B$4/252,"")</f>
        <v/>
      </c>
      <c r="G4726" s="28">
        <f>IFERROR(E4726-Dashboard!$B$4/252,"")</f>
        <v/>
      </c>
      <c r="H4726" s="8">
        <f>IFERROR(IF(ISNUMBER(B4726),MAX(B4726,IFERROR(H4725,B4726)),""),"")</f>
        <v/>
      </c>
      <c r="I4726" s="29">
        <f>IFERROR(IF(AND(ISNUMBER(B4726),ISNUMBER(H4726)),B4726/H4726-1,""),"")</f>
        <v/>
      </c>
      <c r="J4726" s="8">
        <f>IFERROR(IF(ISNUMBER(C4726),MAX(C4726,IFERROR(J4725,C4726)),""),"")</f>
        <v/>
      </c>
      <c r="K4726" s="29">
        <f>IFERROR(IF(AND(ISNUMBER(C4726),ISNUMBER(J4726)),C4726/J4726-1,""),"")</f>
        <v/>
      </c>
      <c r="L4726" s="28">
        <f>IFERROR(IF(AND(ISNUMBER(D4726),ISNUMBER(E4726)),D4726-E4726,""),"")</f>
        <v/>
      </c>
    </row>
    <row r="4727">
      <c r="A4727" s="7">
        <f>IFERROR(Datos!A4727,"")</f>
        <v/>
      </c>
      <c r="B4727" s="8">
        <f>IFERROR(Datos!B4727,"")</f>
        <v/>
      </c>
      <c r="C4727" s="8">
        <f>IFERROR(Datos!C4727,"")</f>
        <v/>
      </c>
      <c r="D4727" s="28">
        <f>IFERROR(IF(AND(ISNUMBER(B4727),ISNUMBER(B4726),B4726&lt;&gt;0),B4727/B4726-1,""),"")</f>
        <v/>
      </c>
      <c r="E4727" s="28">
        <f>IFERROR(IF(AND(ISNUMBER(C4727),ISNUMBER(C4726),C4726&lt;&gt;0),C4727/C4726-1,""),"")</f>
        <v/>
      </c>
      <c r="F4727" s="28">
        <f>IFERROR(D4727-Dashboard!$B$4/252,"")</f>
        <v/>
      </c>
      <c r="G4727" s="28">
        <f>IFERROR(E4727-Dashboard!$B$4/252,"")</f>
        <v/>
      </c>
      <c r="H4727" s="8">
        <f>IFERROR(IF(ISNUMBER(B4727),MAX(B4727,IFERROR(H4726,B4727)),""),"")</f>
        <v/>
      </c>
      <c r="I4727" s="29">
        <f>IFERROR(IF(AND(ISNUMBER(B4727),ISNUMBER(H4727)),B4727/H4727-1,""),"")</f>
        <v/>
      </c>
      <c r="J4727" s="8">
        <f>IFERROR(IF(ISNUMBER(C4727),MAX(C4727,IFERROR(J4726,C4727)),""),"")</f>
        <v/>
      </c>
      <c r="K4727" s="29">
        <f>IFERROR(IF(AND(ISNUMBER(C4727),ISNUMBER(J4727)),C4727/J4727-1,""),"")</f>
        <v/>
      </c>
      <c r="L4727" s="28">
        <f>IFERROR(IF(AND(ISNUMBER(D4727),ISNUMBER(E4727)),D4727-E4727,""),"")</f>
        <v/>
      </c>
    </row>
    <row r="4728">
      <c r="A4728" s="7">
        <f>IFERROR(Datos!A4728,"")</f>
        <v/>
      </c>
      <c r="B4728" s="8">
        <f>IFERROR(Datos!B4728,"")</f>
        <v/>
      </c>
      <c r="C4728" s="8">
        <f>IFERROR(Datos!C4728,"")</f>
        <v/>
      </c>
      <c r="D4728" s="28">
        <f>IFERROR(IF(AND(ISNUMBER(B4728),ISNUMBER(B4727),B4727&lt;&gt;0),B4728/B4727-1,""),"")</f>
        <v/>
      </c>
      <c r="E4728" s="28">
        <f>IFERROR(IF(AND(ISNUMBER(C4728),ISNUMBER(C4727),C4727&lt;&gt;0),C4728/C4727-1,""),"")</f>
        <v/>
      </c>
      <c r="F4728" s="28">
        <f>IFERROR(D4728-Dashboard!$B$4/252,"")</f>
        <v/>
      </c>
      <c r="G4728" s="28">
        <f>IFERROR(E4728-Dashboard!$B$4/252,"")</f>
        <v/>
      </c>
      <c r="H4728" s="8">
        <f>IFERROR(IF(ISNUMBER(B4728),MAX(B4728,IFERROR(H4727,B4728)),""),"")</f>
        <v/>
      </c>
      <c r="I4728" s="29">
        <f>IFERROR(IF(AND(ISNUMBER(B4728),ISNUMBER(H4728)),B4728/H4728-1,""),"")</f>
        <v/>
      </c>
      <c r="J4728" s="8">
        <f>IFERROR(IF(ISNUMBER(C4728),MAX(C4728,IFERROR(J4727,C4728)),""),"")</f>
        <v/>
      </c>
      <c r="K4728" s="29">
        <f>IFERROR(IF(AND(ISNUMBER(C4728),ISNUMBER(J4728)),C4728/J4728-1,""),"")</f>
        <v/>
      </c>
      <c r="L4728" s="28">
        <f>IFERROR(IF(AND(ISNUMBER(D4728),ISNUMBER(E4728)),D4728-E4728,""),"")</f>
        <v/>
      </c>
    </row>
    <row r="4729">
      <c r="A4729" s="7">
        <f>IFERROR(Datos!A4729,"")</f>
        <v/>
      </c>
      <c r="B4729" s="8">
        <f>IFERROR(Datos!B4729,"")</f>
        <v/>
      </c>
      <c r="C4729" s="8">
        <f>IFERROR(Datos!C4729,"")</f>
        <v/>
      </c>
      <c r="D4729" s="28">
        <f>IFERROR(IF(AND(ISNUMBER(B4729),ISNUMBER(B4728),B4728&lt;&gt;0),B4729/B4728-1,""),"")</f>
        <v/>
      </c>
      <c r="E4729" s="28">
        <f>IFERROR(IF(AND(ISNUMBER(C4729),ISNUMBER(C4728),C4728&lt;&gt;0),C4729/C4728-1,""),"")</f>
        <v/>
      </c>
      <c r="F4729" s="28">
        <f>IFERROR(D4729-Dashboard!$B$4/252,"")</f>
        <v/>
      </c>
      <c r="G4729" s="28">
        <f>IFERROR(E4729-Dashboard!$B$4/252,"")</f>
        <v/>
      </c>
      <c r="H4729" s="8">
        <f>IFERROR(IF(ISNUMBER(B4729),MAX(B4729,IFERROR(H4728,B4729)),""),"")</f>
        <v/>
      </c>
      <c r="I4729" s="29">
        <f>IFERROR(IF(AND(ISNUMBER(B4729),ISNUMBER(H4729)),B4729/H4729-1,""),"")</f>
        <v/>
      </c>
      <c r="J4729" s="8">
        <f>IFERROR(IF(ISNUMBER(C4729),MAX(C4729,IFERROR(J4728,C4729)),""),"")</f>
        <v/>
      </c>
      <c r="K4729" s="29">
        <f>IFERROR(IF(AND(ISNUMBER(C4729),ISNUMBER(J4729)),C4729/J4729-1,""),"")</f>
        <v/>
      </c>
      <c r="L4729" s="28">
        <f>IFERROR(IF(AND(ISNUMBER(D4729),ISNUMBER(E4729)),D4729-E4729,""),"")</f>
        <v/>
      </c>
    </row>
    <row r="4730">
      <c r="A4730" s="7">
        <f>IFERROR(Datos!A4730,"")</f>
        <v/>
      </c>
      <c r="B4730" s="8">
        <f>IFERROR(Datos!B4730,"")</f>
        <v/>
      </c>
      <c r="C4730" s="8">
        <f>IFERROR(Datos!C4730,"")</f>
        <v/>
      </c>
      <c r="D4730" s="28">
        <f>IFERROR(IF(AND(ISNUMBER(B4730),ISNUMBER(B4729),B4729&lt;&gt;0),B4730/B4729-1,""),"")</f>
        <v/>
      </c>
      <c r="E4730" s="28">
        <f>IFERROR(IF(AND(ISNUMBER(C4730),ISNUMBER(C4729),C4729&lt;&gt;0),C4730/C4729-1,""),"")</f>
        <v/>
      </c>
      <c r="F4730" s="28">
        <f>IFERROR(D4730-Dashboard!$B$4/252,"")</f>
        <v/>
      </c>
      <c r="G4730" s="28">
        <f>IFERROR(E4730-Dashboard!$B$4/252,"")</f>
        <v/>
      </c>
      <c r="H4730" s="8">
        <f>IFERROR(IF(ISNUMBER(B4730),MAX(B4730,IFERROR(H4729,B4730)),""),"")</f>
        <v/>
      </c>
      <c r="I4730" s="29">
        <f>IFERROR(IF(AND(ISNUMBER(B4730),ISNUMBER(H4730)),B4730/H4730-1,""),"")</f>
        <v/>
      </c>
      <c r="J4730" s="8">
        <f>IFERROR(IF(ISNUMBER(C4730),MAX(C4730,IFERROR(J4729,C4730)),""),"")</f>
        <v/>
      </c>
      <c r="K4730" s="29">
        <f>IFERROR(IF(AND(ISNUMBER(C4730),ISNUMBER(J4730)),C4730/J4730-1,""),"")</f>
        <v/>
      </c>
      <c r="L4730" s="28">
        <f>IFERROR(IF(AND(ISNUMBER(D4730),ISNUMBER(E4730)),D4730-E4730,""),"")</f>
        <v/>
      </c>
    </row>
    <row r="4731">
      <c r="A4731" s="7">
        <f>IFERROR(Datos!A4731,"")</f>
        <v/>
      </c>
      <c r="B4731" s="8">
        <f>IFERROR(Datos!B4731,"")</f>
        <v/>
      </c>
      <c r="C4731" s="8">
        <f>IFERROR(Datos!C4731,"")</f>
        <v/>
      </c>
      <c r="D4731" s="28">
        <f>IFERROR(IF(AND(ISNUMBER(B4731),ISNUMBER(B4730),B4730&lt;&gt;0),B4731/B4730-1,""),"")</f>
        <v/>
      </c>
      <c r="E4731" s="28">
        <f>IFERROR(IF(AND(ISNUMBER(C4731),ISNUMBER(C4730),C4730&lt;&gt;0),C4731/C4730-1,""),"")</f>
        <v/>
      </c>
      <c r="F4731" s="28">
        <f>IFERROR(D4731-Dashboard!$B$4/252,"")</f>
        <v/>
      </c>
      <c r="G4731" s="28">
        <f>IFERROR(E4731-Dashboard!$B$4/252,"")</f>
        <v/>
      </c>
      <c r="H4731" s="8">
        <f>IFERROR(IF(ISNUMBER(B4731),MAX(B4731,IFERROR(H4730,B4731)),""),"")</f>
        <v/>
      </c>
      <c r="I4731" s="29">
        <f>IFERROR(IF(AND(ISNUMBER(B4731),ISNUMBER(H4731)),B4731/H4731-1,""),"")</f>
        <v/>
      </c>
      <c r="J4731" s="8">
        <f>IFERROR(IF(ISNUMBER(C4731),MAX(C4731,IFERROR(J4730,C4731)),""),"")</f>
        <v/>
      </c>
      <c r="K4731" s="29">
        <f>IFERROR(IF(AND(ISNUMBER(C4731),ISNUMBER(J4731)),C4731/J4731-1,""),"")</f>
        <v/>
      </c>
      <c r="L4731" s="28">
        <f>IFERROR(IF(AND(ISNUMBER(D4731),ISNUMBER(E4731)),D4731-E4731,""),"")</f>
        <v/>
      </c>
    </row>
    <row r="4732">
      <c r="A4732" s="7">
        <f>IFERROR(Datos!A4732,"")</f>
        <v/>
      </c>
      <c r="B4732" s="8">
        <f>IFERROR(Datos!B4732,"")</f>
        <v/>
      </c>
      <c r="C4732" s="8">
        <f>IFERROR(Datos!C4732,"")</f>
        <v/>
      </c>
      <c r="D4732" s="28">
        <f>IFERROR(IF(AND(ISNUMBER(B4732),ISNUMBER(B4731),B4731&lt;&gt;0),B4732/B4731-1,""),"")</f>
        <v/>
      </c>
      <c r="E4732" s="28">
        <f>IFERROR(IF(AND(ISNUMBER(C4732),ISNUMBER(C4731),C4731&lt;&gt;0),C4732/C4731-1,""),"")</f>
        <v/>
      </c>
      <c r="F4732" s="28">
        <f>IFERROR(D4732-Dashboard!$B$4/252,"")</f>
        <v/>
      </c>
      <c r="G4732" s="28">
        <f>IFERROR(E4732-Dashboard!$B$4/252,"")</f>
        <v/>
      </c>
      <c r="H4732" s="8">
        <f>IFERROR(IF(ISNUMBER(B4732),MAX(B4732,IFERROR(H4731,B4732)),""),"")</f>
        <v/>
      </c>
      <c r="I4732" s="29">
        <f>IFERROR(IF(AND(ISNUMBER(B4732),ISNUMBER(H4732)),B4732/H4732-1,""),"")</f>
        <v/>
      </c>
      <c r="J4732" s="8">
        <f>IFERROR(IF(ISNUMBER(C4732),MAX(C4732,IFERROR(J4731,C4732)),""),"")</f>
        <v/>
      </c>
      <c r="K4732" s="29">
        <f>IFERROR(IF(AND(ISNUMBER(C4732),ISNUMBER(J4732)),C4732/J4732-1,""),"")</f>
        <v/>
      </c>
      <c r="L4732" s="28">
        <f>IFERROR(IF(AND(ISNUMBER(D4732),ISNUMBER(E4732)),D4732-E4732,""),"")</f>
        <v/>
      </c>
    </row>
    <row r="4733">
      <c r="A4733" s="7">
        <f>IFERROR(Datos!A4733,"")</f>
        <v/>
      </c>
      <c r="B4733" s="8">
        <f>IFERROR(Datos!B4733,"")</f>
        <v/>
      </c>
      <c r="C4733" s="8">
        <f>IFERROR(Datos!C4733,"")</f>
        <v/>
      </c>
      <c r="D4733" s="28">
        <f>IFERROR(IF(AND(ISNUMBER(B4733),ISNUMBER(B4732),B4732&lt;&gt;0),B4733/B4732-1,""),"")</f>
        <v/>
      </c>
      <c r="E4733" s="28">
        <f>IFERROR(IF(AND(ISNUMBER(C4733),ISNUMBER(C4732),C4732&lt;&gt;0),C4733/C4732-1,""),"")</f>
        <v/>
      </c>
      <c r="F4733" s="28">
        <f>IFERROR(D4733-Dashboard!$B$4/252,"")</f>
        <v/>
      </c>
      <c r="G4733" s="28">
        <f>IFERROR(E4733-Dashboard!$B$4/252,"")</f>
        <v/>
      </c>
      <c r="H4733" s="8">
        <f>IFERROR(IF(ISNUMBER(B4733),MAX(B4733,IFERROR(H4732,B4733)),""),"")</f>
        <v/>
      </c>
      <c r="I4733" s="29">
        <f>IFERROR(IF(AND(ISNUMBER(B4733),ISNUMBER(H4733)),B4733/H4733-1,""),"")</f>
        <v/>
      </c>
      <c r="J4733" s="8">
        <f>IFERROR(IF(ISNUMBER(C4733),MAX(C4733,IFERROR(J4732,C4733)),""),"")</f>
        <v/>
      </c>
      <c r="K4733" s="29">
        <f>IFERROR(IF(AND(ISNUMBER(C4733),ISNUMBER(J4733)),C4733/J4733-1,""),"")</f>
        <v/>
      </c>
      <c r="L4733" s="28">
        <f>IFERROR(IF(AND(ISNUMBER(D4733),ISNUMBER(E4733)),D4733-E4733,""),"")</f>
        <v/>
      </c>
    </row>
    <row r="4734">
      <c r="A4734" s="7">
        <f>IFERROR(Datos!A4734,"")</f>
        <v/>
      </c>
      <c r="B4734" s="8">
        <f>IFERROR(Datos!B4734,"")</f>
        <v/>
      </c>
      <c r="C4734" s="8">
        <f>IFERROR(Datos!C4734,"")</f>
        <v/>
      </c>
      <c r="D4734" s="28">
        <f>IFERROR(IF(AND(ISNUMBER(B4734),ISNUMBER(B4733),B4733&lt;&gt;0),B4734/B4733-1,""),"")</f>
        <v/>
      </c>
      <c r="E4734" s="28">
        <f>IFERROR(IF(AND(ISNUMBER(C4734),ISNUMBER(C4733),C4733&lt;&gt;0),C4734/C4733-1,""),"")</f>
        <v/>
      </c>
      <c r="F4734" s="28">
        <f>IFERROR(D4734-Dashboard!$B$4/252,"")</f>
        <v/>
      </c>
      <c r="G4734" s="28">
        <f>IFERROR(E4734-Dashboard!$B$4/252,"")</f>
        <v/>
      </c>
      <c r="H4734" s="8">
        <f>IFERROR(IF(ISNUMBER(B4734),MAX(B4734,IFERROR(H4733,B4734)),""),"")</f>
        <v/>
      </c>
      <c r="I4734" s="29">
        <f>IFERROR(IF(AND(ISNUMBER(B4734),ISNUMBER(H4734)),B4734/H4734-1,""),"")</f>
        <v/>
      </c>
      <c r="J4734" s="8">
        <f>IFERROR(IF(ISNUMBER(C4734),MAX(C4734,IFERROR(J4733,C4734)),""),"")</f>
        <v/>
      </c>
      <c r="K4734" s="29">
        <f>IFERROR(IF(AND(ISNUMBER(C4734),ISNUMBER(J4734)),C4734/J4734-1,""),"")</f>
        <v/>
      </c>
      <c r="L4734" s="28">
        <f>IFERROR(IF(AND(ISNUMBER(D4734),ISNUMBER(E4734)),D4734-E4734,""),"")</f>
        <v/>
      </c>
    </row>
    <row r="4735">
      <c r="A4735" s="7">
        <f>IFERROR(Datos!A4735,"")</f>
        <v/>
      </c>
      <c r="B4735" s="8">
        <f>IFERROR(Datos!B4735,"")</f>
        <v/>
      </c>
      <c r="C4735" s="8">
        <f>IFERROR(Datos!C4735,"")</f>
        <v/>
      </c>
      <c r="D4735" s="28">
        <f>IFERROR(IF(AND(ISNUMBER(B4735),ISNUMBER(B4734),B4734&lt;&gt;0),B4735/B4734-1,""),"")</f>
        <v/>
      </c>
      <c r="E4735" s="28">
        <f>IFERROR(IF(AND(ISNUMBER(C4735),ISNUMBER(C4734),C4734&lt;&gt;0),C4735/C4734-1,""),"")</f>
        <v/>
      </c>
      <c r="F4735" s="28">
        <f>IFERROR(D4735-Dashboard!$B$4/252,"")</f>
        <v/>
      </c>
      <c r="G4735" s="28">
        <f>IFERROR(E4735-Dashboard!$B$4/252,"")</f>
        <v/>
      </c>
      <c r="H4735" s="8">
        <f>IFERROR(IF(ISNUMBER(B4735),MAX(B4735,IFERROR(H4734,B4735)),""),"")</f>
        <v/>
      </c>
      <c r="I4735" s="29">
        <f>IFERROR(IF(AND(ISNUMBER(B4735),ISNUMBER(H4735)),B4735/H4735-1,""),"")</f>
        <v/>
      </c>
      <c r="J4735" s="8">
        <f>IFERROR(IF(ISNUMBER(C4735),MAX(C4735,IFERROR(J4734,C4735)),""),"")</f>
        <v/>
      </c>
      <c r="K4735" s="29">
        <f>IFERROR(IF(AND(ISNUMBER(C4735),ISNUMBER(J4735)),C4735/J4735-1,""),"")</f>
        <v/>
      </c>
      <c r="L4735" s="28">
        <f>IFERROR(IF(AND(ISNUMBER(D4735),ISNUMBER(E4735)),D4735-E4735,""),"")</f>
        <v/>
      </c>
    </row>
    <row r="4736">
      <c r="A4736" s="7">
        <f>IFERROR(Datos!A4736,"")</f>
        <v/>
      </c>
      <c r="B4736" s="8">
        <f>IFERROR(Datos!B4736,"")</f>
        <v/>
      </c>
      <c r="C4736" s="8">
        <f>IFERROR(Datos!C4736,"")</f>
        <v/>
      </c>
      <c r="D4736" s="28">
        <f>IFERROR(IF(AND(ISNUMBER(B4736),ISNUMBER(B4735),B4735&lt;&gt;0),B4736/B4735-1,""),"")</f>
        <v/>
      </c>
      <c r="E4736" s="28">
        <f>IFERROR(IF(AND(ISNUMBER(C4736),ISNUMBER(C4735),C4735&lt;&gt;0),C4736/C4735-1,""),"")</f>
        <v/>
      </c>
      <c r="F4736" s="28">
        <f>IFERROR(D4736-Dashboard!$B$4/252,"")</f>
        <v/>
      </c>
      <c r="G4736" s="28">
        <f>IFERROR(E4736-Dashboard!$B$4/252,"")</f>
        <v/>
      </c>
      <c r="H4736" s="8">
        <f>IFERROR(IF(ISNUMBER(B4736),MAX(B4736,IFERROR(H4735,B4736)),""),"")</f>
        <v/>
      </c>
      <c r="I4736" s="29">
        <f>IFERROR(IF(AND(ISNUMBER(B4736),ISNUMBER(H4736)),B4736/H4736-1,""),"")</f>
        <v/>
      </c>
      <c r="J4736" s="8">
        <f>IFERROR(IF(ISNUMBER(C4736),MAX(C4736,IFERROR(J4735,C4736)),""),"")</f>
        <v/>
      </c>
      <c r="K4736" s="29">
        <f>IFERROR(IF(AND(ISNUMBER(C4736),ISNUMBER(J4736)),C4736/J4736-1,""),"")</f>
        <v/>
      </c>
      <c r="L4736" s="28">
        <f>IFERROR(IF(AND(ISNUMBER(D4736),ISNUMBER(E4736)),D4736-E4736,""),"")</f>
        <v/>
      </c>
    </row>
    <row r="4737">
      <c r="A4737" s="7">
        <f>IFERROR(Datos!A4737,"")</f>
        <v/>
      </c>
      <c r="B4737" s="8">
        <f>IFERROR(Datos!B4737,"")</f>
        <v/>
      </c>
      <c r="C4737" s="8">
        <f>IFERROR(Datos!C4737,"")</f>
        <v/>
      </c>
      <c r="D4737" s="28">
        <f>IFERROR(IF(AND(ISNUMBER(B4737),ISNUMBER(B4736),B4736&lt;&gt;0),B4737/B4736-1,""),"")</f>
        <v/>
      </c>
      <c r="E4737" s="28">
        <f>IFERROR(IF(AND(ISNUMBER(C4737),ISNUMBER(C4736),C4736&lt;&gt;0),C4737/C4736-1,""),"")</f>
        <v/>
      </c>
      <c r="F4737" s="28">
        <f>IFERROR(D4737-Dashboard!$B$4/252,"")</f>
        <v/>
      </c>
      <c r="G4737" s="28">
        <f>IFERROR(E4737-Dashboard!$B$4/252,"")</f>
        <v/>
      </c>
      <c r="H4737" s="8">
        <f>IFERROR(IF(ISNUMBER(B4737),MAX(B4737,IFERROR(H4736,B4737)),""),"")</f>
        <v/>
      </c>
      <c r="I4737" s="29">
        <f>IFERROR(IF(AND(ISNUMBER(B4737),ISNUMBER(H4737)),B4737/H4737-1,""),"")</f>
        <v/>
      </c>
      <c r="J4737" s="8">
        <f>IFERROR(IF(ISNUMBER(C4737),MAX(C4737,IFERROR(J4736,C4737)),""),"")</f>
        <v/>
      </c>
      <c r="K4737" s="29">
        <f>IFERROR(IF(AND(ISNUMBER(C4737),ISNUMBER(J4737)),C4737/J4737-1,""),"")</f>
        <v/>
      </c>
      <c r="L4737" s="28">
        <f>IFERROR(IF(AND(ISNUMBER(D4737),ISNUMBER(E4737)),D4737-E4737,""),"")</f>
        <v/>
      </c>
    </row>
    <row r="4738">
      <c r="A4738" s="7">
        <f>IFERROR(Datos!A4738,"")</f>
        <v/>
      </c>
      <c r="B4738" s="8">
        <f>IFERROR(Datos!B4738,"")</f>
        <v/>
      </c>
      <c r="C4738" s="8">
        <f>IFERROR(Datos!C4738,"")</f>
        <v/>
      </c>
      <c r="D4738" s="28">
        <f>IFERROR(IF(AND(ISNUMBER(B4738),ISNUMBER(B4737),B4737&lt;&gt;0),B4738/B4737-1,""),"")</f>
        <v/>
      </c>
      <c r="E4738" s="28">
        <f>IFERROR(IF(AND(ISNUMBER(C4738),ISNUMBER(C4737),C4737&lt;&gt;0),C4738/C4737-1,""),"")</f>
        <v/>
      </c>
      <c r="F4738" s="28">
        <f>IFERROR(D4738-Dashboard!$B$4/252,"")</f>
        <v/>
      </c>
      <c r="G4738" s="28">
        <f>IFERROR(E4738-Dashboard!$B$4/252,"")</f>
        <v/>
      </c>
      <c r="H4738" s="8">
        <f>IFERROR(IF(ISNUMBER(B4738),MAX(B4738,IFERROR(H4737,B4738)),""),"")</f>
        <v/>
      </c>
      <c r="I4738" s="29">
        <f>IFERROR(IF(AND(ISNUMBER(B4738),ISNUMBER(H4738)),B4738/H4738-1,""),"")</f>
        <v/>
      </c>
      <c r="J4738" s="8">
        <f>IFERROR(IF(ISNUMBER(C4738),MAX(C4738,IFERROR(J4737,C4738)),""),"")</f>
        <v/>
      </c>
      <c r="K4738" s="29">
        <f>IFERROR(IF(AND(ISNUMBER(C4738),ISNUMBER(J4738)),C4738/J4738-1,""),"")</f>
        <v/>
      </c>
      <c r="L4738" s="28">
        <f>IFERROR(IF(AND(ISNUMBER(D4738),ISNUMBER(E4738)),D4738-E4738,""),"")</f>
        <v/>
      </c>
    </row>
    <row r="4739">
      <c r="A4739" s="7">
        <f>IFERROR(Datos!A4739,"")</f>
        <v/>
      </c>
      <c r="B4739" s="8">
        <f>IFERROR(Datos!B4739,"")</f>
        <v/>
      </c>
      <c r="C4739" s="8">
        <f>IFERROR(Datos!C4739,"")</f>
        <v/>
      </c>
      <c r="D4739" s="28">
        <f>IFERROR(IF(AND(ISNUMBER(B4739),ISNUMBER(B4738),B4738&lt;&gt;0),B4739/B4738-1,""),"")</f>
        <v/>
      </c>
      <c r="E4739" s="28">
        <f>IFERROR(IF(AND(ISNUMBER(C4739),ISNUMBER(C4738),C4738&lt;&gt;0),C4739/C4738-1,""),"")</f>
        <v/>
      </c>
      <c r="F4739" s="28">
        <f>IFERROR(D4739-Dashboard!$B$4/252,"")</f>
        <v/>
      </c>
      <c r="G4739" s="28">
        <f>IFERROR(E4739-Dashboard!$B$4/252,"")</f>
        <v/>
      </c>
      <c r="H4739" s="8">
        <f>IFERROR(IF(ISNUMBER(B4739),MAX(B4739,IFERROR(H4738,B4739)),""),"")</f>
        <v/>
      </c>
      <c r="I4739" s="29">
        <f>IFERROR(IF(AND(ISNUMBER(B4739),ISNUMBER(H4739)),B4739/H4739-1,""),"")</f>
        <v/>
      </c>
      <c r="J4739" s="8">
        <f>IFERROR(IF(ISNUMBER(C4739),MAX(C4739,IFERROR(J4738,C4739)),""),"")</f>
        <v/>
      </c>
      <c r="K4739" s="29">
        <f>IFERROR(IF(AND(ISNUMBER(C4739),ISNUMBER(J4739)),C4739/J4739-1,""),"")</f>
        <v/>
      </c>
      <c r="L4739" s="28">
        <f>IFERROR(IF(AND(ISNUMBER(D4739),ISNUMBER(E4739)),D4739-E4739,""),"")</f>
        <v/>
      </c>
    </row>
    <row r="4740">
      <c r="A4740" s="7">
        <f>IFERROR(Datos!A4740,"")</f>
        <v/>
      </c>
      <c r="B4740" s="8">
        <f>IFERROR(Datos!B4740,"")</f>
        <v/>
      </c>
      <c r="C4740" s="8">
        <f>IFERROR(Datos!C4740,"")</f>
        <v/>
      </c>
      <c r="D4740" s="28">
        <f>IFERROR(IF(AND(ISNUMBER(B4740),ISNUMBER(B4739),B4739&lt;&gt;0),B4740/B4739-1,""),"")</f>
        <v/>
      </c>
      <c r="E4740" s="28">
        <f>IFERROR(IF(AND(ISNUMBER(C4740),ISNUMBER(C4739),C4739&lt;&gt;0),C4740/C4739-1,""),"")</f>
        <v/>
      </c>
      <c r="F4740" s="28">
        <f>IFERROR(D4740-Dashboard!$B$4/252,"")</f>
        <v/>
      </c>
      <c r="G4740" s="28">
        <f>IFERROR(E4740-Dashboard!$B$4/252,"")</f>
        <v/>
      </c>
      <c r="H4740" s="8">
        <f>IFERROR(IF(ISNUMBER(B4740),MAX(B4740,IFERROR(H4739,B4740)),""),"")</f>
        <v/>
      </c>
      <c r="I4740" s="29">
        <f>IFERROR(IF(AND(ISNUMBER(B4740),ISNUMBER(H4740)),B4740/H4740-1,""),"")</f>
        <v/>
      </c>
      <c r="J4740" s="8">
        <f>IFERROR(IF(ISNUMBER(C4740),MAX(C4740,IFERROR(J4739,C4740)),""),"")</f>
        <v/>
      </c>
      <c r="K4740" s="29">
        <f>IFERROR(IF(AND(ISNUMBER(C4740),ISNUMBER(J4740)),C4740/J4740-1,""),"")</f>
        <v/>
      </c>
      <c r="L4740" s="28">
        <f>IFERROR(IF(AND(ISNUMBER(D4740),ISNUMBER(E4740)),D4740-E4740,""),"")</f>
        <v/>
      </c>
    </row>
    <row r="4741">
      <c r="A4741" s="7">
        <f>IFERROR(Datos!A4741,"")</f>
        <v/>
      </c>
      <c r="B4741" s="8">
        <f>IFERROR(Datos!B4741,"")</f>
        <v/>
      </c>
      <c r="C4741" s="8">
        <f>IFERROR(Datos!C4741,"")</f>
        <v/>
      </c>
      <c r="D4741" s="28">
        <f>IFERROR(IF(AND(ISNUMBER(B4741),ISNUMBER(B4740),B4740&lt;&gt;0),B4741/B4740-1,""),"")</f>
        <v/>
      </c>
      <c r="E4741" s="28">
        <f>IFERROR(IF(AND(ISNUMBER(C4741),ISNUMBER(C4740),C4740&lt;&gt;0),C4741/C4740-1,""),"")</f>
        <v/>
      </c>
      <c r="F4741" s="28">
        <f>IFERROR(D4741-Dashboard!$B$4/252,"")</f>
        <v/>
      </c>
      <c r="G4741" s="28">
        <f>IFERROR(E4741-Dashboard!$B$4/252,"")</f>
        <v/>
      </c>
      <c r="H4741" s="8">
        <f>IFERROR(IF(ISNUMBER(B4741),MAX(B4741,IFERROR(H4740,B4741)),""),"")</f>
        <v/>
      </c>
      <c r="I4741" s="29">
        <f>IFERROR(IF(AND(ISNUMBER(B4741),ISNUMBER(H4741)),B4741/H4741-1,""),"")</f>
        <v/>
      </c>
      <c r="J4741" s="8">
        <f>IFERROR(IF(ISNUMBER(C4741),MAX(C4741,IFERROR(J4740,C4741)),""),"")</f>
        <v/>
      </c>
      <c r="K4741" s="29">
        <f>IFERROR(IF(AND(ISNUMBER(C4741),ISNUMBER(J4741)),C4741/J4741-1,""),"")</f>
        <v/>
      </c>
      <c r="L4741" s="28">
        <f>IFERROR(IF(AND(ISNUMBER(D4741),ISNUMBER(E4741)),D4741-E4741,""),"")</f>
        <v/>
      </c>
    </row>
    <row r="4742">
      <c r="A4742" s="7">
        <f>IFERROR(Datos!A4742,"")</f>
        <v/>
      </c>
      <c r="B4742" s="8">
        <f>IFERROR(Datos!B4742,"")</f>
        <v/>
      </c>
      <c r="C4742" s="8">
        <f>IFERROR(Datos!C4742,"")</f>
        <v/>
      </c>
      <c r="D4742" s="28">
        <f>IFERROR(IF(AND(ISNUMBER(B4742),ISNUMBER(B4741),B4741&lt;&gt;0),B4742/B4741-1,""),"")</f>
        <v/>
      </c>
      <c r="E4742" s="28">
        <f>IFERROR(IF(AND(ISNUMBER(C4742),ISNUMBER(C4741),C4741&lt;&gt;0),C4742/C4741-1,""),"")</f>
        <v/>
      </c>
      <c r="F4742" s="28">
        <f>IFERROR(D4742-Dashboard!$B$4/252,"")</f>
        <v/>
      </c>
      <c r="G4742" s="28">
        <f>IFERROR(E4742-Dashboard!$B$4/252,"")</f>
        <v/>
      </c>
      <c r="H4742" s="8">
        <f>IFERROR(IF(ISNUMBER(B4742),MAX(B4742,IFERROR(H4741,B4742)),""),"")</f>
        <v/>
      </c>
      <c r="I4742" s="29">
        <f>IFERROR(IF(AND(ISNUMBER(B4742),ISNUMBER(H4742)),B4742/H4742-1,""),"")</f>
        <v/>
      </c>
      <c r="J4742" s="8">
        <f>IFERROR(IF(ISNUMBER(C4742),MAX(C4742,IFERROR(J4741,C4742)),""),"")</f>
        <v/>
      </c>
      <c r="K4742" s="29">
        <f>IFERROR(IF(AND(ISNUMBER(C4742),ISNUMBER(J4742)),C4742/J4742-1,""),"")</f>
        <v/>
      </c>
      <c r="L4742" s="28">
        <f>IFERROR(IF(AND(ISNUMBER(D4742),ISNUMBER(E4742)),D4742-E4742,""),"")</f>
        <v/>
      </c>
    </row>
    <row r="4743">
      <c r="A4743" s="7">
        <f>IFERROR(Datos!A4743,"")</f>
        <v/>
      </c>
      <c r="B4743" s="8">
        <f>IFERROR(Datos!B4743,"")</f>
        <v/>
      </c>
      <c r="C4743" s="8">
        <f>IFERROR(Datos!C4743,"")</f>
        <v/>
      </c>
      <c r="D4743" s="28">
        <f>IFERROR(IF(AND(ISNUMBER(B4743),ISNUMBER(B4742),B4742&lt;&gt;0),B4743/B4742-1,""),"")</f>
        <v/>
      </c>
      <c r="E4743" s="28">
        <f>IFERROR(IF(AND(ISNUMBER(C4743),ISNUMBER(C4742),C4742&lt;&gt;0),C4743/C4742-1,""),"")</f>
        <v/>
      </c>
      <c r="F4743" s="28">
        <f>IFERROR(D4743-Dashboard!$B$4/252,"")</f>
        <v/>
      </c>
      <c r="G4743" s="28">
        <f>IFERROR(E4743-Dashboard!$B$4/252,"")</f>
        <v/>
      </c>
      <c r="H4743" s="8">
        <f>IFERROR(IF(ISNUMBER(B4743),MAX(B4743,IFERROR(H4742,B4743)),""),"")</f>
        <v/>
      </c>
      <c r="I4743" s="29">
        <f>IFERROR(IF(AND(ISNUMBER(B4743),ISNUMBER(H4743)),B4743/H4743-1,""),"")</f>
        <v/>
      </c>
      <c r="J4743" s="8">
        <f>IFERROR(IF(ISNUMBER(C4743),MAX(C4743,IFERROR(J4742,C4743)),""),"")</f>
        <v/>
      </c>
      <c r="K4743" s="29">
        <f>IFERROR(IF(AND(ISNUMBER(C4743),ISNUMBER(J4743)),C4743/J4743-1,""),"")</f>
        <v/>
      </c>
      <c r="L4743" s="28">
        <f>IFERROR(IF(AND(ISNUMBER(D4743),ISNUMBER(E4743)),D4743-E4743,""),"")</f>
        <v/>
      </c>
    </row>
    <row r="4744">
      <c r="A4744" s="7">
        <f>IFERROR(Datos!A4744,"")</f>
        <v/>
      </c>
      <c r="B4744" s="8">
        <f>IFERROR(Datos!B4744,"")</f>
        <v/>
      </c>
      <c r="C4744" s="8">
        <f>IFERROR(Datos!C4744,"")</f>
        <v/>
      </c>
      <c r="D4744" s="28">
        <f>IFERROR(IF(AND(ISNUMBER(B4744),ISNUMBER(B4743),B4743&lt;&gt;0),B4744/B4743-1,""),"")</f>
        <v/>
      </c>
      <c r="E4744" s="28">
        <f>IFERROR(IF(AND(ISNUMBER(C4744),ISNUMBER(C4743),C4743&lt;&gt;0),C4744/C4743-1,""),"")</f>
        <v/>
      </c>
      <c r="F4744" s="28">
        <f>IFERROR(D4744-Dashboard!$B$4/252,"")</f>
        <v/>
      </c>
      <c r="G4744" s="28">
        <f>IFERROR(E4744-Dashboard!$B$4/252,"")</f>
        <v/>
      </c>
      <c r="H4744" s="8">
        <f>IFERROR(IF(ISNUMBER(B4744),MAX(B4744,IFERROR(H4743,B4744)),""),"")</f>
        <v/>
      </c>
      <c r="I4744" s="29">
        <f>IFERROR(IF(AND(ISNUMBER(B4744),ISNUMBER(H4744)),B4744/H4744-1,""),"")</f>
        <v/>
      </c>
      <c r="J4744" s="8">
        <f>IFERROR(IF(ISNUMBER(C4744),MAX(C4744,IFERROR(J4743,C4744)),""),"")</f>
        <v/>
      </c>
      <c r="K4744" s="29">
        <f>IFERROR(IF(AND(ISNUMBER(C4744),ISNUMBER(J4744)),C4744/J4744-1,""),"")</f>
        <v/>
      </c>
      <c r="L4744" s="28">
        <f>IFERROR(IF(AND(ISNUMBER(D4744),ISNUMBER(E4744)),D4744-E4744,""),"")</f>
        <v/>
      </c>
    </row>
    <row r="4745">
      <c r="A4745" s="7">
        <f>IFERROR(Datos!A4745,"")</f>
        <v/>
      </c>
      <c r="B4745" s="8">
        <f>IFERROR(Datos!B4745,"")</f>
        <v/>
      </c>
      <c r="C4745" s="8">
        <f>IFERROR(Datos!C4745,"")</f>
        <v/>
      </c>
      <c r="D4745" s="28">
        <f>IFERROR(IF(AND(ISNUMBER(B4745),ISNUMBER(B4744),B4744&lt;&gt;0),B4745/B4744-1,""),"")</f>
        <v/>
      </c>
      <c r="E4745" s="28">
        <f>IFERROR(IF(AND(ISNUMBER(C4745),ISNUMBER(C4744),C4744&lt;&gt;0),C4745/C4744-1,""),"")</f>
        <v/>
      </c>
      <c r="F4745" s="28">
        <f>IFERROR(D4745-Dashboard!$B$4/252,"")</f>
        <v/>
      </c>
      <c r="G4745" s="28">
        <f>IFERROR(E4745-Dashboard!$B$4/252,"")</f>
        <v/>
      </c>
      <c r="H4745" s="8">
        <f>IFERROR(IF(ISNUMBER(B4745),MAX(B4745,IFERROR(H4744,B4745)),""),"")</f>
        <v/>
      </c>
      <c r="I4745" s="29">
        <f>IFERROR(IF(AND(ISNUMBER(B4745),ISNUMBER(H4745)),B4745/H4745-1,""),"")</f>
        <v/>
      </c>
      <c r="J4745" s="8">
        <f>IFERROR(IF(ISNUMBER(C4745),MAX(C4745,IFERROR(J4744,C4745)),""),"")</f>
        <v/>
      </c>
      <c r="K4745" s="29">
        <f>IFERROR(IF(AND(ISNUMBER(C4745),ISNUMBER(J4745)),C4745/J4745-1,""),"")</f>
        <v/>
      </c>
      <c r="L4745" s="28">
        <f>IFERROR(IF(AND(ISNUMBER(D4745),ISNUMBER(E4745)),D4745-E4745,""),"")</f>
        <v/>
      </c>
    </row>
    <row r="4746">
      <c r="A4746" s="7">
        <f>IFERROR(Datos!A4746,"")</f>
        <v/>
      </c>
      <c r="B4746" s="8">
        <f>IFERROR(Datos!B4746,"")</f>
        <v/>
      </c>
      <c r="C4746" s="8">
        <f>IFERROR(Datos!C4746,"")</f>
        <v/>
      </c>
      <c r="D4746" s="28">
        <f>IFERROR(IF(AND(ISNUMBER(B4746),ISNUMBER(B4745),B4745&lt;&gt;0),B4746/B4745-1,""),"")</f>
        <v/>
      </c>
      <c r="E4746" s="28">
        <f>IFERROR(IF(AND(ISNUMBER(C4746),ISNUMBER(C4745),C4745&lt;&gt;0),C4746/C4745-1,""),"")</f>
        <v/>
      </c>
      <c r="F4746" s="28">
        <f>IFERROR(D4746-Dashboard!$B$4/252,"")</f>
        <v/>
      </c>
      <c r="G4746" s="28">
        <f>IFERROR(E4746-Dashboard!$B$4/252,"")</f>
        <v/>
      </c>
      <c r="H4746" s="8">
        <f>IFERROR(IF(ISNUMBER(B4746),MAX(B4746,IFERROR(H4745,B4746)),""),"")</f>
        <v/>
      </c>
      <c r="I4746" s="29">
        <f>IFERROR(IF(AND(ISNUMBER(B4746),ISNUMBER(H4746)),B4746/H4746-1,""),"")</f>
        <v/>
      </c>
      <c r="J4746" s="8">
        <f>IFERROR(IF(ISNUMBER(C4746),MAX(C4746,IFERROR(J4745,C4746)),""),"")</f>
        <v/>
      </c>
      <c r="K4746" s="29">
        <f>IFERROR(IF(AND(ISNUMBER(C4746),ISNUMBER(J4746)),C4746/J4746-1,""),"")</f>
        <v/>
      </c>
      <c r="L4746" s="28">
        <f>IFERROR(IF(AND(ISNUMBER(D4746),ISNUMBER(E4746)),D4746-E4746,""),"")</f>
        <v/>
      </c>
    </row>
    <row r="4747">
      <c r="A4747" s="7">
        <f>IFERROR(Datos!A4747,"")</f>
        <v/>
      </c>
      <c r="B4747" s="8">
        <f>IFERROR(Datos!B4747,"")</f>
        <v/>
      </c>
      <c r="C4747" s="8">
        <f>IFERROR(Datos!C4747,"")</f>
        <v/>
      </c>
      <c r="D4747" s="28">
        <f>IFERROR(IF(AND(ISNUMBER(B4747),ISNUMBER(B4746),B4746&lt;&gt;0),B4747/B4746-1,""),"")</f>
        <v/>
      </c>
      <c r="E4747" s="28">
        <f>IFERROR(IF(AND(ISNUMBER(C4747),ISNUMBER(C4746),C4746&lt;&gt;0),C4747/C4746-1,""),"")</f>
        <v/>
      </c>
      <c r="F4747" s="28">
        <f>IFERROR(D4747-Dashboard!$B$4/252,"")</f>
        <v/>
      </c>
      <c r="G4747" s="28">
        <f>IFERROR(E4747-Dashboard!$B$4/252,"")</f>
        <v/>
      </c>
      <c r="H4747" s="8">
        <f>IFERROR(IF(ISNUMBER(B4747),MAX(B4747,IFERROR(H4746,B4747)),""),"")</f>
        <v/>
      </c>
      <c r="I4747" s="29">
        <f>IFERROR(IF(AND(ISNUMBER(B4747),ISNUMBER(H4747)),B4747/H4747-1,""),"")</f>
        <v/>
      </c>
      <c r="J4747" s="8">
        <f>IFERROR(IF(ISNUMBER(C4747),MAX(C4747,IFERROR(J4746,C4747)),""),"")</f>
        <v/>
      </c>
      <c r="K4747" s="29">
        <f>IFERROR(IF(AND(ISNUMBER(C4747),ISNUMBER(J4747)),C4747/J4747-1,""),"")</f>
        <v/>
      </c>
      <c r="L4747" s="28">
        <f>IFERROR(IF(AND(ISNUMBER(D4747),ISNUMBER(E4747)),D4747-E4747,""),"")</f>
        <v/>
      </c>
    </row>
    <row r="4748">
      <c r="A4748" s="7">
        <f>IFERROR(Datos!A4748,"")</f>
        <v/>
      </c>
      <c r="B4748" s="8">
        <f>IFERROR(Datos!B4748,"")</f>
        <v/>
      </c>
      <c r="C4748" s="8">
        <f>IFERROR(Datos!C4748,"")</f>
        <v/>
      </c>
      <c r="D4748" s="28">
        <f>IFERROR(IF(AND(ISNUMBER(B4748),ISNUMBER(B4747),B4747&lt;&gt;0),B4748/B4747-1,""),"")</f>
        <v/>
      </c>
      <c r="E4748" s="28">
        <f>IFERROR(IF(AND(ISNUMBER(C4748),ISNUMBER(C4747),C4747&lt;&gt;0),C4748/C4747-1,""),"")</f>
        <v/>
      </c>
      <c r="F4748" s="28">
        <f>IFERROR(D4748-Dashboard!$B$4/252,"")</f>
        <v/>
      </c>
      <c r="G4748" s="28">
        <f>IFERROR(E4748-Dashboard!$B$4/252,"")</f>
        <v/>
      </c>
      <c r="H4748" s="8">
        <f>IFERROR(IF(ISNUMBER(B4748),MAX(B4748,IFERROR(H4747,B4748)),""),"")</f>
        <v/>
      </c>
      <c r="I4748" s="29">
        <f>IFERROR(IF(AND(ISNUMBER(B4748),ISNUMBER(H4748)),B4748/H4748-1,""),"")</f>
        <v/>
      </c>
      <c r="J4748" s="8">
        <f>IFERROR(IF(ISNUMBER(C4748),MAX(C4748,IFERROR(J4747,C4748)),""),"")</f>
        <v/>
      </c>
      <c r="K4748" s="29">
        <f>IFERROR(IF(AND(ISNUMBER(C4748),ISNUMBER(J4748)),C4748/J4748-1,""),"")</f>
        <v/>
      </c>
      <c r="L4748" s="28">
        <f>IFERROR(IF(AND(ISNUMBER(D4748),ISNUMBER(E4748)),D4748-E4748,""),"")</f>
        <v/>
      </c>
    </row>
    <row r="4749">
      <c r="A4749" s="7">
        <f>IFERROR(Datos!A4749,"")</f>
        <v/>
      </c>
      <c r="B4749" s="8">
        <f>IFERROR(Datos!B4749,"")</f>
        <v/>
      </c>
      <c r="C4749" s="8">
        <f>IFERROR(Datos!C4749,"")</f>
        <v/>
      </c>
      <c r="D4749" s="28">
        <f>IFERROR(IF(AND(ISNUMBER(B4749),ISNUMBER(B4748),B4748&lt;&gt;0),B4749/B4748-1,""),"")</f>
        <v/>
      </c>
      <c r="E4749" s="28">
        <f>IFERROR(IF(AND(ISNUMBER(C4749),ISNUMBER(C4748),C4748&lt;&gt;0),C4749/C4748-1,""),"")</f>
        <v/>
      </c>
      <c r="F4749" s="28">
        <f>IFERROR(D4749-Dashboard!$B$4/252,"")</f>
        <v/>
      </c>
      <c r="G4749" s="28">
        <f>IFERROR(E4749-Dashboard!$B$4/252,"")</f>
        <v/>
      </c>
      <c r="H4749" s="8">
        <f>IFERROR(IF(ISNUMBER(B4749),MAX(B4749,IFERROR(H4748,B4749)),""),"")</f>
        <v/>
      </c>
      <c r="I4749" s="29">
        <f>IFERROR(IF(AND(ISNUMBER(B4749),ISNUMBER(H4749)),B4749/H4749-1,""),"")</f>
        <v/>
      </c>
      <c r="J4749" s="8">
        <f>IFERROR(IF(ISNUMBER(C4749),MAX(C4749,IFERROR(J4748,C4749)),""),"")</f>
        <v/>
      </c>
      <c r="K4749" s="29">
        <f>IFERROR(IF(AND(ISNUMBER(C4749),ISNUMBER(J4749)),C4749/J4749-1,""),"")</f>
        <v/>
      </c>
      <c r="L4749" s="28">
        <f>IFERROR(IF(AND(ISNUMBER(D4749),ISNUMBER(E4749)),D4749-E4749,""),"")</f>
        <v/>
      </c>
    </row>
    <row r="4750">
      <c r="A4750" s="7">
        <f>IFERROR(Datos!A4750,"")</f>
        <v/>
      </c>
      <c r="B4750" s="8">
        <f>IFERROR(Datos!B4750,"")</f>
        <v/>
      </c>
      <c r="C4750" s="8">
        <f>IFERROR(Datos!C4750,"")</f>
        <v/>
      </c>
      <c r="D4750" s="28">
        <f>IFERROR(IF(AND(ISNUMBER(B4750),ISNUMBER(B4749),B4749&lt;&gt;0),B4750/B4749-1,""),"")</f>
        <v/>
      </c>
      <c r="E4750" s="28">
        <f>IFERROR(IF(AND(ISNUMBER(C4750),ISNUMBER(C4749),C4749&lt;&gt;0),C4750/C4749-1,""),"")</f>
        <v/>
      </c>
      <c r="F4750" s="28">
        <f>IFERROR(D4750-Dashboard!$B$4/252,"")</f>
        <v/>
      </c>
      <c r="G4750" s="28">
        <f>IFERROR(E4750-Dashboard!$B$4/252,"")</f>
        <v/>
      </c>
      <c r="H4750" s="8">
        <f>IFERROR(IF(ISNUMBER(B4750),MAX(B4750,IFERROR(H4749,B4750)),""),"")</f>
        <v/>
      </c>
      <c r="I4750" s="29">
        <f>IFERROR(IF(AND(ISNUMBER(B4750),ISNUMBER(H4750)),B4750/H4750-1,""),"")</f>
        <v/>
      </c>
      <c r="J4750" s="8">
        <f>IFERROR(IF(ISNUMBER(C4750),MAX(C4750,IFERROR(J4749,C4750)),""),"")</f>
        <v/>
      </c>
      <c r="K4750" s="29">
        <f>IFERROR(IF(AND(ISNUMBER(C4750),ISNUMBER(J4750)),C4750/J4750-1,""),"")</f>
        <v/>
      </c>
      <c r="L4750" s="28">
        <f>IFERROR(IF(AND(ISNUMBER(D4750),ISNUMBER(E4750)),D4750-E4750,""),"")</f>
        <v/>
      </c>
    </row>
    <row r="4751">
      <c r="A4751" s="7">
        <f>IFERROR(Datos!A4751,"")</f>
        <v/>
      </c>
      <c r="B4751" s="8">
        <f>IFERROR(Datos!B4751,"")</f>
        <v/>
      </c>
      <c r="C4751" s="8">
        <f>IFERROR(Datos!C4751,"")</f>
        <v/>
      </c>
      <c r="D4751" s="28">
        <f>IFERROR(IF(AND(ISNUMBER(B4751),ISNUMBER(B4750),B4750&lt;&gt;0),B4751/B4750-1,""),"")</f>
        <v/>
      </c>
      <c r="E4751" s="28">
        <f>IFERROR(IF(AND(ISNUMBER(C4751),ISNUMBER(C4750),C4750&lt;&gt;0),C4751/C4750-1,""),"")</f>
        <v/>
      </c>
      <c r="F4751" s="28">
        <f>IFERROR(D4751-Dashboard!$B$4/252,"")</f>
        <v/>
      </c>
      <c r="G4751" s="28">
        <f>IFERROR(E4751-Dashboard!$B$4/252,"")</f>
        <v/>
      </c>
      <c r="H4751" s="8">
        <f>IFERROR(IF(ISNUMBER(B4751),MAX(B4751,IFERROR(H4750,B4751)),""),"")</f>
        <v/>
      </c>
      <c r="I4751" s="29">
        <f>IFERROR(IF(AND(ISNUMBER(B4751),ISNUMBER(H4751)),B4751/H4751-1,""),"")</f>
        <v/>
      </c>
      <c r="J4751" s="8">
        <f>IFERROR(IF(ISNUMBER(C4751),MAX(C4751,IFERROR(J4750,C4751)),""),"")</f>
        <v/>
      </c>
      <c r="K4751" s="29">
        <f>IFERROR(IF(AND(ISNUMBER(C4751),ISNUMBER(J4751)),C4751/J4751-1,""),"")</f>
        <v/>
      </c>
      <c r="L4751" s="28">
        <f>IFERROR(IF(AND(ISNUMBER(D4751),ISNUMBER(E4751)),D4751-E4751,""),"")</f>
        <v/>
      </c>
    </row>
    <row r="4752">
      <c r="A4752" s="7">
        <f>IFERROR(Datos!A4752,"")</f>
        <v/>
      </c>
      <c r="B4752" s="8">
        <f>IFERROR(Datos!B4752,"")</f>
        <v/>
      </c>
      <c r="C4752" s="8">
        <f>IFERROR(Datos!C4752,"")</f>
        <v/>
      </c>
      <c r="D4752" s="28">
        <f>IFERROR(IF(AND(ISNUMBER(B4752),ISNUMBER(B4751),B4751&lt;&gt;0),B4752/B4751-1,""),"")</f>
        <v/>
      </c>
      <c r="E4752" s="28">
        <f>IFERROR(IF(AND(ISNUMBER(C4752),ISNUMBER(C4751),C4751&lt;&gt;0),C4752/C4751-1,""),"")</f>
        <v/>
      </c>
      <c r="F4752" s="28">
        <f>IFERROR(D4752-Dashboard!$B$4/252,"")</f>
        <v/>
      </c>
      <c r="G4752" s="28">
        <f>IFERROR(E4752-Dashboard!$B$4/252,"")</f>
        <v/>
      </c>
      <c r="H4752" s="8">
        <f>IFERROR(IF(ISNUMBER(B4752),MAX(B4752,IFERROR(H4751,B4752)),""),"")</f>
        <v/>
      </c>
      <c r="I4752" s="29">
        <f>IFERROR(IF(AND(ISNUMBER(B4752),ISNUMBER(H4752)),B4752/H4752-1,""),"")</f>
        <v/>
      </c>
      <c r="J4752" s="8">
        <f>IFERROR(IF(ISNUMBER(C4752),MAX(C4752,IFERROR(J4751,C4752)),""),"")</f>
        <v/>
      </c>
      <c r="K4752" s="29">
        <f>IFERROR(IF(AND(ISNUMBER(C4752),ISNUMBER(J4752)),C4752/J4752-1,""),"")</f>
        <v/>
      </c>
      <c r="L4752" s="28">
        <f>IFERROR(IF(AND(ISNUMBER(D4752),ISNUMBER(E4752)),D4752-E4752,""),"")</f>
        <v/>
      </c>
    </row>
    <row r="4753">
      <c r="A4753" s="7">
        <f>IFERROR(Datos!A4753,"")</f>
        <v/>
      </c>
      <c r="B4753" s="8">
        <f>IFERROR(Datos!B4753,"")</f>
        <v/>
      </c>
      <c r="C4753" s="8">
        <f>IFERROR(Datos!C4753,"")</f>
        <v/>
      </c>
      <c r="D4753" s="28">
        <f>IFERROR(IF(AND(ISNUMBER(B4753),ISNUMBER(B4752),B4752&lt;&gt;0),B4753/B4752-1,""),"")</f>
        <v/>
      </c>
      <c r="E4753" s="28">
        <f>IFERROR(IF(AND(ISNUMBER(C4753),ISNUMBER(C4752),C4752&lt;&gt;0),C4753/C4752-1,""),"")</f>
        <v/>
      </c>
      <c r="F4753" s="28">
        <f>IFERROR(D4753-Dashboard!$B$4/252,"")</f>
        <v/>
      </c>
      <c r="G4753" s="28">
        <f>IFERROR(E4753-Dashboard!$B$4/252,"")</f>
        <v/>
      </c>
      <c r="H4753" s="8">
        <f>IFERROR(IF(ISNUMBER(B4753),MAX(B4753,IFERROR(H4752,B4753)),""),"")</f>
        <v/>
      </c>
      <c r="I4753" s="29">
        <f>IFERROR(IF(AND(ISNUMBER(B4753),ISNUMBER(H4753)),B4753/H4753-1,""),"")</f>
        <v/>
      </c>
      <c r="J4753" s="8">
        <f>IFERROR(IF(ISNUMBER(C4753),MAX(C4753,IFERROR(J4752,C4753)),""),"")</f>
        <v/>
      </c>
      <c r="K4753" s="29">
        <f>IFERROR(IF(AND(ISNUMBER(C4753),ISNUMBER(J4753)),C4753/J4753-1,""),"")</f>
        <v/>
      </c>
      <c r="L4753" s="28">
        <f>IFERROR(IF(AND(ISNUMBER(D4753),ISNUMBER(E4753)),D4753-E4753,""),"")</f>
        <v/>
      </c>
    </row>
    <row r="4754">
      <c r="A4754" s="7">
        <f>IFERROR(Datos!A4754,"")</f>
        <v/>
      </c>
      <c r="B4754" s="8">
        <f>IFERROR(Datos!B4754,"")</f>
        <v/>
      </c>
      <c r="C4754" s="8">
        <f>IFERROR(Datos!C4754,"")</f>
        <v/>
      </c>
      <c r="D4754" s="28">
        <f>IFERROR(IF(AND(ISNUMBER(B4754),ISNUMBER(B4753),B4753&lt;&gt;0),B4754/B4753-1,""),"")</f>
        <v/>
      </c>
      <c r="E4754" s="28">
        <f>IFERROR(IF(AND(ISNUMBER(C4754),ISNUMBER(C4753),C4753&lt;&gt;0),C4754/C4753-1,""),"")</f>
        <v/>
      </c>
      <c r="F4754" s="28">
        <f>IFERROR(D4754-Dashboard!$B$4/252,"")</f>
        <v/>
      </c>
      <c r="G4754" s="28">
        <f>IFERROR(E4754-Dashboard!$B$4/252,"")</f>
        <v/>
      </c>
      <c r="H4754" s="8">
        <f>IFERROR(IF(ISNUMBER(B4754),MAX(B4754,IFERROR(H4753,B4754)),""),"")</f>
        <v/>
      </c>
      <c r="I4754" s="29">
        <f>IFERROR(IF(AND(ISNUMBER(B4754),ISNUMBER(H4754)),B4754/H4754-1,""),"")</f>
        <v/>
      </c>
      <c r="J4754" s="8">
        <f>IFERROR(IF(ISNUMBER(C4754),MAX(C4754,IFERROR(J4753,C4754)),""),"")</f>
        <v/>
      </c>
      <c r="K4754" s="29">
        <f>IFERROR(IF(AND(ISNUMBER(C4754),ISNUMBER(J4754)),C4754/J4754-1,""),"")</f>
        <v/>
      </c>
      <c r="L4754" s="28">
        <f>IFERROR(IF(AND(ISNUMBER(D4754),ISNUMBER(E4754)),D4754-E4754,""),"")</f>
        <v/>
      </c>
    </row>
    <row r="4755">
      <c r="A4755" s="7">
        <f>IFERROR(Datos!A4755,"")</f>
        <v/>
      </c>
      <c r="B4755" s="8">
        <f>IFERROR(Datos!B4755,"")</f>
        <v/>
      </c>
      <c r="C4755" s="8">
        <f>IFERROR(Datos!C4755,"")</f>
        <v/>
      </c>
      <c r="D4755" s="28">
        <f>IFERROR(IF(AND(ISNUMBER(B4755),ISNUMBER(B4754),B4754&lt;&gt;0),B4755/B4754-1,""),"")</f>
        <v/>
      </c>
      <c r="E4755" s="28">
        <f>IFERROR(IF(AND(ISNUMBER(C4755),ISNUMBER(C4754),C4754&lt;&gt;0),C4755/C4754-1,""),"")</f>
        <v/>
      </c>
      <c r="F4755" s="28">
        <f>IFERROR(D4755-Dashboard!$B$4/252,"")</f>
        <v/>
      </c>
      <c r="G4755" s="28">
        <f>IFERROR(E4755-Dashboard!$B$4/252,"")</f>
        <v/>
      </c>
      <c r="H4755" s="8">
        <f>IFERROR(IF(ISNUMBER(B4755),MAX(B4755,IFERROR(H4754,B4755)),""),"")</f>
        <v/>
      </c>
      <c r="I4755" s="29">
        <f>IFERROR(IF(AND(ISNUMBER(B4755),ISNUMBER(H4755)),B4755/H4755-1,""),"")</f>
        <v/>
      </c>
      <c r="J4755" s="8">
        <f>IFERROR(IF(ISNUMBER(C4755),MAX(C4755,IFERROR(J4754,C4755)),""),"")</f>
        <v/>
      </c>
      <c r="K4755" s="29">
        <f>IFERROR(IF(AND(ISNUMBER(C4755),ISNUMBER(J4755)),C4755/J4755-1,""),"")</f>
        <v/>
      </c>
      <c r="L4755" s="28">
        <f>IFERROR(IF(AND(ISNUMBER(D4755),ISNUMBER(E4755)),D4755-E4755,""),"")</f>
        <v/>
      </c>
    </row>
    <row r="4756">
      <c r="A4756" s="7">
        <f>IFERROR(Datos!A4756,"")</f>
        <v/>
      </c>
      <c r="B4756" s="8">
        <f>IFERROR(Datos!B4756,"")</f>
        <v/>
      </c>
      <c r="C4756" s="8">
        <f>IFERROR(Datos!C4756,"")</f>
        <v/>
      </c>
      <c r="D4756" s="28">
        <f>IFERROR(IF(AND(ISNUMBER(B4756),ISNUMBER(B4755),B4755&lt;&gt;0),B4756/B4755-1,""),"")</f>
        <v/>
      </c>
      <c r="E4756" s="28">
        <f>IFERROR(IF(AND(ISNUMBER(C4756),ISNUMBER(C4755),C4755&lt;&gt;0),C4756/C4755-1,""),"")</f>
        <v/>
      </c>
      <c r="F4756" s="28">
        <f>IFERROR(D4756-Dashboard!$B$4/252,"")</f>
        <v/>
      </c>
      <c r="G4756" s="28">
        <f>IFERROR(E4756-Dashboard!$B$4/252,"")</f>
        <v/>
      </c>
      <c r="H4756" s="8">
        <f>IFERROR(IF(ISNUMBER(B4756),MAX(B4756,IFERROR(H4755,B4756)),""),"")</f>
        <v/>
      </c>
      <c r="I4756" s="29">
        <f>IFERROR(IF(AND(ISNUMBER(B4756),ISNUMBER(H4756)),B4756/H4756-1,""),"")</f>
        <v/>
      </c>
      <c r="J4756" s="8">
        <f>IFERROR(IF(ISNUMBER(C4756),MAX(C4756,IFERROR(J4755,C4756)),""),"")</f>
        <v/>
      </c>
      <c r="K4756" s="29">
        <f>IFERROR(IF(AND(ISNUMBER(C4756),ISNUMBER(J4756)),C4756/J4756-1,""),"")</f>
        <v/>
      </c>
      <c r="L4756" s="28">
        <f>IFERROR(IF(AND(ISNUMBER(D4756),ISNUMBER(E4756)),D4756-E4756,""),"")</f>
        <v/>
      </c>
    </row>
    <row r="4757">
      <c r="A4757" s="7">
        <f>IFERROR(Datos!A4757,"")</f>
        <v/>
      </c>
      <c r="B4757" s="8">
        <f>IFERROR(Datos!B4757,"")</f>
        <v/>
      </c>
      <c r="C4757" s="8">
        <f>IFERROR(Datos!C4757,"")</f>
        <v/>
      </c>
      <c r="D4757" s="28">
        <f>IFERROR(IF(AND(ISNUMBER(B4757),ISNUMBER(B4756),B4756&lt;&gt;0),B4757/B4756-1,""),"")</f>
        <v/>
      </c>
      <c r="E4757" s="28">
        <f>IFERROR(IF(AND(ISNUMBER(C4757),ISNUMBER(C4756),C4756&lt;&gt;0),C4757/C4756-1,""),"")</f>
        <v/>
      </c>
      <c r="F4757" s="28">
        <f>IFERROR(D4757-Dashboard!$B$4/252,"")</f>
        <v/>
      </c>
      <c r="G4757" s="28">
        <f>IFERROR(E4757-Dashboard!$B$4/252,"")</f>
        <v/>
      </c>
      <c r="H4757" s="8">
        <f>IFERROR(IF(ISNUMBER(B4757),MAX(B4757,IFERROR(H4756,B4757)),""),"")</f>
        <v/>
      </c>
      <c r="I4757" s="29">
        <f>IFERROR(IF(AND(ISNUMBER(B4757),ISNUMBER(H4757)),B4757/H4757-1,""),"")</f>
        <v/>
      </c>
      <c r="J4757" s="8">
        <f>IFERROR(IF(ISNUMBER(C4757),MAX(C4757,IFERROR(J4756,C4757)),""),"")</f>
        <v/>
      </c>
      <c r="K4757" s="29">
        <f>IFERROR(IF(AND(ISNUMBER(C4757),ISNUMBER(J4757)),C4757/J4757-1,""),"")</f>
        <v/>
      </c>
      <c r="L4757" s="28">
        <f>IFERROR(IF(AND(ISNUMBER(D4757),ISNUMBER(E4757)),D4757-E4757,""),"")</f>
        <v/>
      </c>
    </row>
    <row r="4758">
      <c r="A4758" s="7">
        <f>IFERROR(Datos!A4758,"")</f>
        <v/>
      </c>
      <c r="B4758" s="8">
        <f>IFERROR(Datos!B4758,"")</f>
        <v/>
      </c>
      <c r="C4758" s="8">
        <f>IFERROR(Datos!C4758,"")</f>
        <v/>
      </c>
      <c r="D4758" s="28">
        <f>IFERROR(IF(AND(ISNUMBER(B4758),ISNUMBER(B4757),B4757&lt;&gt;0),B4758/B4757-1,""),"")</f>
        <v/>
      </c>
      <c r="E4758" s="28">
        <f>IFERROR(IF(AND(ISNUMBER(C4758),ISNUMBER(C4757),C4757&lt;&gt;0),C4758/C4757-1,""),"")</f>
        <v/>
      </c>
      <c r="F4758" s="28">
        <f>IFERROR(D4758-Dashboard!$B$4/252,"")</f>
        <v/>
      </c>
      <c r="G4758" s="28">
        <f>IFERROR(E4758-Dashboard!$B$4/252,"")</f>
        <v/>
      </c>
      <c r="H4758" s="8">
        <f>IFERROR(IF(ISNUMBER(B4758),MAX(B4758,IFERROR(H4757,B4758)),""),"")</f>
        <v/>
      </c>
      <c r="I4758" s="29">
        <f>IFERROR(IF(AND(ISNUMBER(B4758),ISNUMBER(H4758)),B4758/H4758-1,""),"")</f>
        <v/>
      </c>
      <c r="J4758" s="8">
        <f>IFERROR(IF(ISNUMBER(C4758),MAX(C4758,IFERROR(J4757,C4758)),""),"")</f>
        <v/>
      </c>
      <c r="K4758" s="29">
        <f>IFERROR(IF(AND(ISNUMBER(C4758),ISNUMBER(J4758)),C4758/J4758-1,""),"")</f>
        <v/>
      </c>
      <c r="L4758" s="28">
        <f>IFERROR(IF(AND(ISNUMBER(D4758),ISNUMBER(E4758)),D4758-E4758,""),"")</f>
        <v/>
      </c>
    </row>
    <row r="4759">
      <c r="A4759" s="7">
        <f>IFERROR(Datos!A4759,"")</f>
        <v/>
      </c>
      <c r="B4759" s="8">
        <f>IFERROR(Datos!B4759,"")</f>
        <v/>
      </c>
      <c r="C4759" s="8">
        <f>IFERROR(Datos!C4759,"")</f>
        <v/>
      </c>
      <c r="D4759" s="28">
        <f>IFERROR(IF(AND(ISNUMBER(B4759),ISNUMBER(B4758),B4758&lt;&gt;0),B4759/B4758-1,""),"")</f>
        <v/>
      </c>
      <c r="E4759" s="28">
        <f>IFERROR(IF(AND(ISNUMBER(C4759),ISNUMBER(C4758),C4758&lt;&gt;0),C4759/C4758-1,""),"")</f>
        <v/>
      </c>
      <c r="F4759" s="28">
        <f>IFERROR(D4759-Dashboard!$B$4/252,"")</f>
        <v/>
      </c>
      <c r="G4759" s="28">
        <f>IFERROR(E4759-Dashboard!$B$4/252,"")</f>
        <v/>
      </c>
      <c r="H4759" s="8">
        <f>IFERROR(IF(ISNUMBER(B4759),MAX(B4759,IFERROR(H4758,B4759)),""),"")</f>
        <v/>
      </c>
      <c r="I4759" s="29">
        <f>IFERROR(IF(AND(ISNUMBER(B4759),ISNUMBER(H4759)),B4759/H4759-1,""),"")</f>
        <v/>
      </c>
      <c r="J4759" s="8">
        <f>IFERROR(IF(ISNUMBER(C4759),MAX(C4759,IFERROR(J4758,C4759)),""),"")</f>
        <v/>
      </c>
      <c r="K4759" s="29">
        <f>IFERROR(IF(AND(ISNUMBER(C4759),ISNUMBER(J4759)),C4759/J4759-1,""),"")</f>
        <v/>
      </c>
      <c r="L4759" s="28">
        <f>IFERROR(IF(AND(ISNUMBER(D4759),ISNUMBER(E4759)),D4759-E4759,""),"")</f>
        <v/>
      </c>
    </row>
    <row r="4760">
      <c r="A4760" s="7">
        <f>IFERROR(Datos!A4760,"")</f>
        <v/>
      </c>
      <c r="B4760" s="8">
        <f>IFERROR(Datos!B4760,"")</f>
        <v/>
      </c>
      <c r="C4760" s="8">
        <f>IFERROR(Datos!C4760,"")</f>
        <v/>
      </c>
      <c r="D4760" s="28">
        <f>IFERROR(IF(AND(ISNUMBER(B4760),ISNUMBER(B4759),B4759&lt;&gt;0),B4760/B4759-1,""),"")</f>
        <v/>
      </c>
      <c r="E4760" s="28">
        <f>IFERROR(IF(AND(ISNUMBER(C4760),ISNUMBER(C4759),C4759&lt;&gt;0),C4760/C4759-1,""),"")</f>
        <v/>
      </c>
      <c r="F4760" s="28">
        <f>IFERROR(D4760-Dashboard!$B$4/252,"")</f>
        <v/>
      </c>
      <c r="G4760" s="28">
        <f>IFERROR(E4760-Dashboard!$B$4/252,"")</f>
        <v/>
      </c>
      <c r="H4760" s="8">
        <f>IFERROR(IF(ISNUMBER(B4760),MAX(B4760,IFERROR(H4759,B4760)),""),"")</f>
        <v/>
      </c>
      <c r="I4760" s="29">
        <f>IFERROR(IF(AND(ISNUMBER(B4760),ISNUMBER(H4760)),B4760/H4760-1,""),"")</f>
        <v/>
      </c>
      <c r="J4760" s="8">
        <f>IFERROR(IF(ISNUMBER(C4760),MAX(C4760,IFERROR(J4759,C4760)),""),"")</f>
        <v/>
      </c>
      <c r="K4760" s="29">
        <f>IFERROR(IF(AND(ISNUMBER(C4760),ISNUMBER(J4760)),C4760/J4760-1,""),"")</f>
        <v/>
      </c>
      <c r="L4760" s="28">
        <f>IFERROR(IF(AND(ISNUMBER(D4760),ISNUMBER(E4760)),D4760-E4760,""),"")</f>
        <v/>
      </c>
    </row>
    <row r="4761">
      <c r="A4761" s="7">
        <f>IFERROR(Datos!A4761,"")</f>
        <v/>
      </c>
      <c r="B4761" s="8">
        <f>IFERROR(Datos!B4761,"")</f>
        <v/>
      </c>
      <c r="C4761" s="8">
        <f>IFERROR(Datos!C4761,"")</f>
        <v/>
      </c>
      <c r="D4761" s="28">
        <f>IFERROR(IF(AND(ISNUMBER(B4761),ISNUMBER(B4760),B4760&lt;&gt;0),B4761/B4760-1,""),"")</f>
        <v/>
      </c>
      <c r="E4761" s="28">
        <f>IFERROR(IF(AND(ISNUMBER(C4761),ISNUMBER(C4760),C4760&lt;&gt;0),C4761/C4760-1,""),"")</f>
        <v/>
      </c>
      <c r="F4761" s="28">
        <f>IFERROR(D4761-Dashboard!$B$4/252,"")</f>
        <v/>
      </c>
      <c r="G4761" s="28">
        <f>IFERROR(E4761-Dashboard!$B$4/252,"")</f>
        <v/>
      </c>
      <c r="H4761" s="8">
        <f>IFERROR(IF(ISNUMBER(B4761),MAX(B4761,IFERROR(H4760,B4761)),""),"")</f>
        <v/>
      </c>
      <c r="I4761" s="29">
        <f>IFERROR(IF(AND(ISNUMBER(B4761),ISNUMBER(H4761)),B4761/H4761-1,""),"")</f>
        <v/>
      </c>
      <c r="J4761" s="8">
        <f>IFERROR(IF(ISNUMBER(C4761),MAX(C4761,IFERROR(J4760,C4761)),""),"")</f>
        <v/>
      </c>
      <c r="K4761" s="29">
        <f>IFERROR(IF(AND(ISNUMBER(C4761),ISNUMBER(J4761)),C4761/J4761-1,""),"")</f>
        <v/>
      </c>
      <c r="L4761" s="28">
        <f>IFERROR(IF(AND(ISNUMBER(D4761),ISNUMBER(E4761)),D4761-E4761,""),"")</f>
        <v/>
      </c>
    </row>
    <row r="4762">
      <c r="A4762" s="7">
        <f>IFERROR(Datos!A4762,"")</f>
        <v/>
      </c>
      <c r="B4762" s="8">
        <f>IFERROR(Datos!B4762,"")</f>
        <v/>
      </c>
      <c r="C4762" s="8">
        <f>IFERROR(Datos!C4762,"")</f>
        <v/>
      </c>
      <c r="D4762" s="28">
        <f>IFERROR(IF(AND(ISNUMBER(B4762),ISNUMBER(B4761),B4761&lt;&gt;0),B4762/B4761-1,""),"")</f>
        <v/>
      </c>
      <c r="E4762" s="28">
        <f>IFERROR(IF(AND(ISNUMBER(C4762),ISNUMBER(C4761),C4761&lt;&gt;0),C4762/C4761-1,""),"")</f>
        <v/>
      </c>
      <c r="F4762" s="28">
        <f>IFERROR(D4762-Dashboard!$B$4/252,"")</f>
        <v/>
      </c>
      <c r="G4762" s="28">
        <f>IFERROR(E4762-Dashboard!$B$4/252,"")</f>
        <v/>
      </c>
      <c r="H4762" s="8">
        <f>IFERROR(IF(ISNUMBER(B4762),MAX(B4762,IFERROR(H4761,B4762)),""),"")</f>
        <v/>
      </c>
      <c r="I4762" s="29">
        <f>IFERROR(IF(AND(ISNUMBER(B4762),ISNUMBER(H4762)),B4762/H4762-1,""),"")</f>
        <v/>
      </c>
      <c r="J4762" s="8">
        <f>IFERROR(IF(ISNUMBER(C4762),MAX(C4762,IFERROR(J4761,C4762)),""),"")</f>
        <v/>
      </c>
      <c r="K4762" s="29">
        <f>IFERROR(IF(AND(ISNUMBER(C4762),ISNUMBER(J4762)),C4762/J4762-1,""),"")</f>
        <v/>
      </c>
      <c r="L4762" s="28">
        <f>IFERROR(IF(AND(ISNUMBER(D4762),ISNUMBER(E4762)),D4762-E4762,""),"")</f>
        <v/>
      </c>
    </row>
    <row r="4763">
      <c r="A4763" s="7">
        <f>IFERROR(Datos!A4763,"")</f>
        <v/>
      </c>
      <c r="B4763" s="8">
        <f>IFERROR(Datos!B4763,"")</f>
        <v/>
      </c>
      <c r="C4763" s="8">
        <f>IFERROR(Datos!C4763,"")</f>
        <v/>
      </c>
      <c r="D4763" s="28">
        <f>IFERROR(IF(AND(ISNUMBER(B4763),ISNUMBER(B4762),B4762&lt;&gt;0),B4763/B4762-1,""),"")</f>
        <v/>
      </c>
      <c r="E4763" s="28">
        <f>IFERROR(IF(AND(ISNUMBER(C4763),ISNUMBER(C4762),C4762&lt;&gt;0),C4763/C4762-1,""),"")</f>
        <v/>
      </c>
      <c r="F4763" s="28">
        <f>IFERROR(D4763-Dashboard!$B$4/252,"")</f>
        <v/>
      </c>
      <c r="G4763" s="28">
        <f>IFERROR(E4763-Dashboard!$B$4/252,"")</f>
        <v/>
      </c>
      <c r="H4763" s="8">
        <f>IFERROR(IF(ISNUMBER(B4763),MAX(B4763,IFERROR(H4762,B4763)),""),"")</f>
        <v/>
      </c>
      <c r="I4763" s="29">
        <f>IFERROR(IF(AND(ISNUMBER(B4763),ISNUMBER(H4763)),B4763/H4763-1,""),"")</f>
        <v/>
      </c>
      <c r="J4763" s="8">
        <f>IFERROR(IF(ISNUMBER(C4763),MAX(C4763,IFERROR(J4762,C4763)),""),"")</f>
        <v/>
      </c>
      <c r="K4763" s="29">
        <f>IFERROR(IF(AND(ISNUMBER(C4763),ISNUMBER(J4763)),C4763/J4763-1,""),"")</f>
        <v/>
      </c>
      <c r="L4763" s="28">
        <f>IFERROR(IF(AND(ISNUMBER(D4763),ISNUMBER(E4763)),D4763-E4763,""),"")</f>
        <v/>
      </c>
    </row>
    <row r="4764">
      <c r="A4764" s="7">
        <f>IFERROR(Datos!A4764,"")</f>
        <v/>
      </c>
      <c r="B4764" s="8">
        <f>IFERROR(Datos!B4764,"")</f>
        <v/>
      </c>
      <c r="C4764" s="8">
        <f>IFERROR(Datos!C4764,"")</f>
        <v/>
      </c>
      <c r="D4764" s="28">
        <f>IFERROR(IF(AND(ISNUMBER(B4764),ISNUMBER(B4763),B4763&lt;&gt;0),B4764/B4763-1,""),"")</f>
        <v/>
      </c>
      <c r="E4764" s="28">
        <f>IFERROR(IF(AND(ISNUMBER(C4764),ISNUMBER(C4763),C4763&lt;&gt;0),C4764/C4763-1,""),"")</f>
        <v/>
      </c>
      <c r="F4764" s="28">
        <f>IFERROR(D4764-Dashboard!$B$4/252,"")</f>
        <v/>
      </c>
      <c r="G4764" s="28">
        <f>IFERROR(E4764-Dashboard!$B$4/252,"")</f>
        <v/>
      </c>
      <c r="H4764" s="8">
        <f>IFERROR(IF(ISNUMBER(B4764),MAX(B4764,IFERROR(H4763,B4764)),""),"")</f>
        <v/>
      </c>
      <c r="I4764" s="29">
        <f>IFERROR(IF(AND(ISNUMBER(B4764),ISNUMBER(H4764)),B4764/H4764-1,""),"")</f>
        <v/>
      </c>
      <c r="J4764" s="8">
        <f>IFERROR(IF(ISNUMBER(C4764),MAX(C4764,IFERROR(J4763,C4764)),""),"")</f>
        <v/>
      </c>
      <c r="K4764" s="29">
        <f>IFERROR(IF(AND(ISNUMBER(C4764),ISNUMBER(J4764)),C4764/J4764-1,""),"")</f>
        <v/>
      </c>
      <c r="L4764" s="28">
        <f>IFERROR(IF(AND(ISNUMBER(D4764),ISNUMBER(E4764)),D4764-E4764,""),"")</f>
        <v/>
      </c>
    </row>
    <row r="4765">
      <c r="A4765" s="7">
        <f>IFERROR(Datos!A4765,"")</f>
        <v/>
      </c>
      <c r="B4765" s="8">
        <f>IFERROR(Datos!B4765,"")</f>
        <v/>
      </c>
      <c r="C4765" s="8">
        <f>IFERROR(Datos!C4765,"")</f>
        <v/>
      </c>
      <c r="D4765" s="28">
        <f>IFERROR(IF(AND(ISNUMBER(B4765),ISNUMBER(B4764),B4764&lt;&gt;0),B4765/B4764-1,""),"")</f>
        <v/>
      </c>
      <c r="E4765" s="28">
        <f>IFERROR(IF(AND(ISNUMBER(C4765),ISNUMBER(C4764),C4764&lt;&gt;0),C4765/C4764-1,""),"")</f>
        <v/>
      </c>
      <c r="F4765" s="28">
        <f>IFERROR(D4765-Dashboard!$B$4/252,"")</f>
        <v/>
      </c>
      <c r="G4765" s="28">
        <f>IFERROR(E4765-Dashboard!$B$4/252,"")</f>
        <v/>
      </c>
      <c r="H4765" s="8">
        <f>IFERROR(IF(ISNUMBER(B4765),MAX(B4765,IFERROR(H4764,B4765)),""),"")</f>
        <v/>
      </c>
      <c r="I4765" s="29">
        <f>IFERROR(IF(AND(ISNUMBER(B4765),ISNUMBER(H4765)),B4765/H4765-1,""),"")</f>
        <v/>
      </c>
      <c r="J4765" s="8">
        <f>IFERROR(IF(ISNUMBER(C4765),MAX(C4765,IFERROR(J4764,C4765)),""),"")</f>
        <v/>
      </c>
      <c r="K4765" s="29">
        <f>IFERROR(IF(AND(ISNUMBER(C4765),ISNUMBER(J4765)),C4765/J4765-1,""),"")</f>
        <v/>
      </c>
      <c r="L4765" s="28">
        <f>IFERROR(IF(AND(ISNUMBER(D4765),ISNUMBER(E4765)),D4765-E4765,""),"")</f>
        <v/>
      </c>
    </row>
    <row r="4766">
      <c r="A4766" s="7">
        <f>IFERROR(Datos!A4766,"")</f>
        <v/>
      </c>
      <c r="B4766" s="8">
        <f>IFERROR(Datos!B4766,"")</f>
        <v/>
      </c>
      <c r="C4766" s="8">
        <f>IFERROR(Datos!C4766,"")</f>
        <v/>
      </c>
      <c r="D4766" s="28">
        <f>IFERROR(IF(AND(ISNUMBER(B4766),ISNUMBER(B4765),B4765&lt;&gt;0),B4766/B4765-1,""),"")</f>
        <v/>
      </c>
      <c r="E4766" s="28">
        <f>IFERROR(IF(AND(ISNUMBER(C4766),ISNUMBER(C4765),C4765&lt;&gt;0),C4766/C4765-1,""),"")</f>
        <v/>
      </c>
      <c r="F4766" s="28">
        <f>IFERROR(D4766-Dashboard!$B$4/252,"")</f>
        <v/>
      </c>
      <c r="G4766" s="28">
        <f>IFERROR(E4766-Dashboard!$B$4/252,"")</f>
        <v/>
      </c>
      <c r="H4766" s="8">
        <f>IFERROR(IF(ISNUMBER(B4766),MAX(B4766,IFERROR(H4765,B4766)),""),"")</f>
        <v/>
      </c>
      <c r="I4766" s="29">
        <f>IFERROR(IF(AND(ISNUMBER(B4766),ISNUMBER(H4766)),B4766/H4766-1,""),"")</f>
        <v/>
      </c>
      <c r="J4766" s="8">
        <f>IFERROR(IF(ISNUMBER(C4766),MAX(C4766,IFERROR(J4765,C4766)),""),"")</f>
        <v/>
      </c>
      <c r="K4766" s="29">
        <f>IFERROR(IF(AND(ISNUMBER(C4766),ISNUMBER(J4766)),C4766/J4766-1,""),"")</f>
        <v/>
      </c>
      <c r="L4766" s="28">
        <f>IFERROR(IF(AND(ISNUMBER(D4766),ISNUMBER(E4766)),D4766-E4766,""),"")</f>
        <v/>
      </c>
    </row>
    <row r="4767">
      <c r="A4767" s="7">
        <f>IFERROR(Datos!A4767,"")</f>
        <v/>
      </c>
      <c r="B4767" s="8">
        <f>IFERROR(Datos!B4767,"")</f>
        <v/>
      </c>
      <c r="C4767" s="8">
        <f>IFERROR(Datos!C4767,"")</f>
        <v/>
      </c>
      <c r="D4767" s="28">
        <f>IFERROR(IF(AND(ISNUMBER(B4767),ISNUMBER(B4766),B4766&lt;&gt;0),B4767/B4766-1,""),"")</f>
        <v/>
      </c>
      <c r="E4767" s="28">
        <f>IFERROR(IF(AND(ISNUMBER(C4767),ISNUMBER(C4766),C4766&lt;&gt;0),C4767/C4766-1,""),"")</f>
        <v/>
      </c>
      <c r="F4767" s="28">
        <f>IFERROR(D4767-Dashboard!$B$4/252,"")</f>
        <v/>
      </c>
      <c r="G4767" s="28">
        <f>IFERROR(E4767-Dashboard!$B$4/252,"")</f>
        <v/>
      </c>
      <c r="H4767" s="8">
        <f>IFERROR(IF(ISNUMBER(B4767),MAX(B4767,IFERROR(H4766,B4767)),""),"")</f>
        <v/>
      </c>
      <c r="I4767" s="29">
        <f>IFERROR(IF(AND(ISNUMBER(B4767),ISNUMBER(H4767)),B4767/H4767-1,""),"")</f>
        <v/>
      </c>
      <c r="J4767" s="8">
        <f>IFERROR(IF(ISNUMBER(C4767),MAX(C4767,IFERROR(J4766,C4767)),""),"")</f>
        <v/>
      </c>
      <c r="K4767" s="29">
        <f>IFERROR(IF(AND(ISNUMBER(C4767),ISNUMBER(J4767)),C4767/J4767-1,""),"")</f>
        <v/>
      </c>
      <c r="L4767" s="28">
        <f>IFERROR(IF(AND(ISNUMBER(D4767),ISNUMBER(E4767)),D4767-E4767,""),"")</f>
        <v/>
      </c>
    </row>
    <row r="4768">
      <c r="A4768" s="7">
        <f>IFERROR(Datos!A4768,"")</f>
        <v/>
      </c>
      <c r="B4768" s="8">
        <f>IFERROR(Datos!B4768,"")</f>
        <v/>
      </c>
      <c r="C4768" s="8">
        <f>IFERROR(Datos!C4768,"")</f>
        <v/>
      </c>
      <c r="D4768" s="28">
        <f>IFERROR(IF(AND(ISNUMBER(B4768),ISNUMBER(B4767),B4767&lt;&gt;0),B4768/B4767-1,""),"")</f>
        <v/>
      </c>
      <c r="E4768" s="28">
        <f>IFERROR(IF(AND(ISNUMBER(C4768),ISNUMBER(C4767),C4767&lt;&gt;0),C4768/C4767-1,""),"")</f>
        <v/>
      </c>
      <c r="F4768" s="28">
        <f>IFERROR(D4768-Dashboard!$B$4/252,"")</f>
        <v/>
      </c>
      <c r="G4768" s="28">
        <f>IFERROR(E4768-Dashboard!$B$4/252,"")</f>
        <v/>
      </c>
      <c r="H4768" s="8">
        <f>IFERROR(IF(ISNUMBER(B4768),MAX(B4768,IFERROR(H4767,B4768)),""),"")</f>
        <v/>
      </c>
      <c r="I4768" s="29">
        <f>IFERROR(IF(AND(ISNUMBER(B4768),ISNUMBER(H4768)),B4768/H4768-1,""),"")</f>
        <v/>
      </c>
      <c r="J4768" s="8">
        <f>IFERROR(IF(ISNUMBER(C4768),MAX(C4768,IFERROR(J4767,C4768)),""),"")</f>
        <v/>
      </c>
      <c r="K4768" s="29">
        <f>IFERROR(IF(AND(ISNUMBER(C4768),ISNUMBER(J4768)),C4768/J4768-1,""),"")</f>
        <v/>
      </c>
      <c r="L4768" s="28">
        <f>IFERROR(IF(AND(ISNUMBER(D4768),ISNUMBER(E4768)),D4768-E4768,""),"")</f>
        <v/>
      </c>
    </row>
    <row r="4769">
      <c r="A4769" s="7">
        <f>IFERROR(Datos!A4769,"")</f>
        <v/>
      </c>
      <c r="B4769" s="8">
        <f>IFERROR(Datos!B4769,"")</f>
        <v/>
      </c>
      <c r="C4769" s="8">
        <f>IFERROR(Datos!C4769,"")</f>
        <v/>
      </c>
      <c r="D4769" s="28">
        <f>IFERROR(IF(AND(ISNUMBER(B4769),ISNUMBER(B4768),B4768&lt;&gt;0),B4769/B4768-1,""),"")</f>
        <v/>
      </c>
      <c r="E4769" s="28">
        <f>IFERROR(IF(AND(ISNUMBER(C4769),ISNUMBER(C4768),C4768&lt;&gt;0),C4769/C4768-1,""),"")</f>
        <v/>
      </c>
      <c r="F4769" s="28">
        <f>IFERROR(D4769-Dashboard!$B$4/252,"")</f>
        <v/>
      </c>
      <c r="G4769" s="28">
        <f>IFERROR(E4769-Dashboard!$B$4/252,"")</f>
        <v/>
      </c>
      <c r="H4769" s="8">
        <f>IFERROR(IF(ISNUMBER(B4769),MAX(B4769,IFERROR(H4768,B4769)),""),"")</f>
        <v/>
      </c>
      <c r="I4769" s="29">
        <f>IFERROR(IF(AND(ISNUMBER(B4769),ISNUMBER(H4769)),B4769/H4769-1,""),"")</f>
        <v/>
      </c>
      <c r="J4769" s="8">
        <f>IFERROR(IF(ISNUMBER(C4769),MAX(C4769,IFERROR(J4768,C4769)),""),"")</f>
        <v/>
      </c>
      <c r="K4769" s="29">
        <f>IFERROR(IF(AND(ISNUMBER(C4769),ISNUMBER(J4769)),C4769/J4769-1,""),"")</f>
        <v/>
      </c>
      <c r="L4769" s="28">
        <f>IFERROR(IF(AND(ISNUMBER(D4769),ISNUMBER(E4769)),D4769-E4769,""),"")</f>
        <v/>
      </c>
    </row>
    <row r="4770">
      <c r="A4770" s="7">
        <f>IFERROR(Datos!A4770,"")</f>
        <v/>
      </c>
      <c r="B4770" s="8">
        <f>IFERROR(Datos!B4770,"")</f>
        <v/>
      </c>
      <c r="C4770" s="8">
        <f>IFERROR(Datos!C4770,"")</f>
        <v/>
      </c>
      <c r="D4770" s="28">
        <f>IFERROR(IF(AND(ISNUMBER(B4770),ISNUMBER(B4769),B4769&lt;&gt;0),B4770/B4769-1,""),"")</f>
        <v/>
      </c>
      <c r="E4770" s="28">
        <f>IFERROR(IF(AND(ISNUMBER(C4770),ISNUMBER(C4769),C4769&lt;&gt;0),C4770/C4769-1,""),"")</f>
        <v/>
      </c>
      <c r="F4770" s="28">
        <f>IFERROR(D4770-Dashboard!$B$4/252,"")</f>
        <v/>
      </c>
      <c r="G4770" s="28">
        <f>IFERROR(E4770-Dashboard!$B$4/252,"")</f>
        <v/>
      </c>
      <c r="H4770" s="8">
        <f>IFERROR(IF(ISNUMBER(B4770),MAX(B4770,IFERROR(H4769,B4770)),""),"")</f>
        <v/>
      </c>
      <c r="I4770" s="29">
        <f>IFERROR(IF(AND(ISNUMBER(B4770),ISNUMBER(H4770)),B4770/H4770-1,""),"")</f>
        <v/>
      </c>
      <c r="J4770" s="8">
        <f>IFERROR(IF(ISNUMBER(C4770),MAX(C4770,IFERROR(J4769,C4770)),""),"")</f>
        <v/>
      </c>
      <c r="K4770" s="29">
        <f>IFERROR(IF(AND(ISNUMBER(C4770),ISNUMBER(J4770)),C4770/J4770-1,""),"")</f>
        <v/>
      </c>
      <c r="L4770" s="28">
        <f>IFERROR(IF(AND(ISNUMBER(D4770),ISNUMBER(E4770)),D4770-E4770,""),"")</f>
        <v/>
      </c>
    </row>
    <row r="4771">
      <c r="A4771" s="7">
        <f>IFERROR(Datos!A4771,"")</f>
        <v/>
      </c>
      <c r="B4771" s="8">
        <f>IFERROR(Datos!B4771,"")</f>
        <v/>
      </c>
      <c r="C4771" s="8">
        <f>IFERROR(Datos!C4771,"")</f>
        <v/>
      </c>
      <c r="D4771" s="28">
        <f>IFERROR(IF(AND(ISNUMBER(B4771),ISNUMBER(B4770),B4770&lt;&gt;0),B4771/B4770-1,""),"")</f>
        <v/>
      </c>
      <c r="E4771" s="28">
        <f>IFERROR(IF(AND(ISNUMBER(C4771),ISNUMBER(C4770),C4770&lt;&gt;0),C4771/C4770-1,""),"")</f>
        <v/>
      </c>
      <c r="F4771" s="28">
        <f>IFERROR(D4771-Dashboard!$B$4/252,"")</f>
        <v/>
      </c>
      <c r="G4771" s="28">
        <f>IFERROR(E4771-Dashboard!$B$4/252,"")</f>
        <v/>
      </c>
      <c r="H4771" s="8">
        <f>IFERROR(IF(ISNUMBER(B4771),MAX(B4771,IFERROR(H4770,B4771)),""),"")</f>
        <v/>
      </c>
      <c r="I4771" s="29">
        <f>IFERROR(IF(AND(ISNUMBER(B4771),ISNUMBER(H4771)),B4771/H4771-1,""),"")</f>
        <v/>
      </c>
      <c r="J4771" s="8">
        <f>IFERROR(IF(ISNUMBER(C4771),MAX(C4771,IFERROR(J4770,C4771)),""),"")</f>
        <v/>
      </c>
      <c r="K4771" s="29">
        <f>IFERROR(IF(AND(ISNUMBER(C4771),ISNUMBER(J4771)),C4771/J4771-1,""),"")</f>
        <v/>
      </c>
      <c r="L4771" s="28">
        <f>IFERROR(IF(AND(ISNUMBER(D4771),ISNUMBER(E4771)),D4771-E4771,""),"")</f>
        <v/>
      </c>
    </row>
    <row r="4772">
      <c r="A4772" s="7">
        <f>IFERROR(Datos!A4772,"")</f>
        <v/>
      </c>
      <c r="B4772" s="8">
        <f>IFERROR(Datos!B4772,"")</f>
        <v/>
      </c>
      <c r="C4772" s="8">
        <f>IFERROR(Datos!C4772,"")</f>
        <v/>
      </c>
      <c r="D4772" s="28">
        <f>IFERROR(IF(AND(ISNUMBER(B4772),ISNUMBER(B4771),B4771&lt;&gt;0),B4772/B4771-1,""),"")</f>
        <v/>
      </c>
      <c r="E4772" s="28">
        <f>IFERROR(IF(AND(ISNUMBER(C4772),ISNUMBER(C4771),C4771&lt;&gt;0),C4772/C4771-1,""),"")</f>
        <v/>
      </c>
      <c r="F4772" s="28">
        <f>IFERROR(D4772-Dashboard!$B$4/252,"")</f>
        <v/>
      </c>
      <c r="G4772" s="28">
        <f>IFERROR(E4772-Dashboard!$B$4/252,"")</f>
        <v/>
      </c>
      <c r="H4772" s="8">
        <f>IFERROR(IF(ISNUMBER(B4772),MAX(B4772,IFERROR(H4771,B4772)),""),"")</f>
        <v/>
      </c>
      <c r="I4772" s="29">
        <f>IFERROR(IF(AND(ISNUMBER(B4772),ISNUMBER(H4772)),B4772/H4772-1,""),"")</f>
        <v/>
      </c>
      <c r="J4772" s="8">
        <f>IFERROR(IF(ISNUMBER(C4772),MAX(C4772,IFERROR(J4771,C4772)),""),"")</f>
        <v/>
      </c>
      <c r="K4772" s="29">
        <f>IFERROR(IF(AND(ISNUMBER(C4772),ISNUMBER(J4772)),C4772/J4772-1,""),"")</f>
        <v/>
      </c>
      <c r="L4772" s="28">
        <f>IFERROR(IF(AND(ISNUMBER(D4772),ISNUMBER(E4772)),D4772-E4772,""),"")</f>
        <v/>
      </c>
    </row>
    <row r="4773">
      <c r="A4773" s="7">
        <f>IFERROR(Datos!A4773,"")</f>
        <v/>
      </c>
      <c r="B4773" s="8">
        <f>IFERROR(Datos!B4773,"")</f>
        <v/>
      </c>
      <c r="C4773" s="8">
        <f>IFERROR(Datos!C4773,"")</f>
        <v/>
      </c>
      <c r="D4773" s="28">
        <f>IFERROR(IF(AND(ISNUMBER(B4773),ISNUMBER(B4772),B4772&lt;&gt;0),B4773/B4772-1,""),"")</f>
        <v/>
      </c>
      <c r="E4773" s="28">
        <f>IFERROR(IF(AND(ISNUMBER(C4773),ISNUMBER(C4772),C4772&lt;&gt;0),C4773/C4772-1,""),"")</f>
        <v/>
      </c>
      <c r="F4773" s="28">
        <f>IFERROR(D4773-Dashboard!$B$4/252,"")</f>
        <v/>
      </c>
      <c r="G4773" s="28">
        <f>IFERROR(E4773-Dashboard!$B$4/252,"")</f>
        <v/>
      </c>
      <c r="H4773" s="8">
        <f>IFERROR(IF(ISNUMBER(B4773),MAX(B4773,IFERROR(H4772,B4773)),""),"")</f>
        <v/>
      </c>
      <c r="I4773" s="29">
        <f>IFERROR(IF(AND(ISNUMBER(B4773),ISNUMBER(H4773)),B4773/H4773-1,""),"")</f>
        <v/>
      </c>
      <c r="J4773" s="8">
        <f>IFERROR(IF(ISNUMBER(C4773),MAX(C4773,IFERROR(J4772,C4773)),""),"")</f>
        <v/>
      </c>
      <c r="K4773" s="29">
        <f>IFERROR(IF(AND(ISNUMBER(C4773),ISNUMBER(J4773)),C4773/J4773-1,""),"")</f>
        <v/>
      </c>
      <c r="L4773" s="28">
        <f>IFERROR(IF(AND(ISNUMBER(D4773),ISNUMBER(E4773)),D4773-E4773,""),"")</f>
        <v/>
      </c>
    </row>
    <row r="4774">
      <c r="A4774" s="7">
        <f>IFERROR(Datos!A4774,"")</f>
        <v/>
      </c>
      <c r="B4774" s="8">
        <f>IFERROR(Datos!B4774,"")</f>
        <v/>
      </c>
      <c r="C4774" s="8">
        <f>IFERROR(Datos!C4774,"")</f>
        <v/>
      </c>
      <c r="D4774" s="28">
        <f>IFERROR(IF(AND(ISNUMBER(B4774),ISNUMBER(B4773),B4773&lt;&gt;0),B4774/B4773-1,""),"")</f>
        <v/>
      </c>
      <c r="E4774" s="28">
        <f>IFERROR(IF(AND(ISNUMBER(C4774),ISNUMBER(C4773),C4773&lt;&gt;0),C4774/C4773-1,""),"")</f>
        <v/>
      </c>
      <c r="F4774" s="28">
        <f>IFERROR(D4774-Dashboard!$B$4/252,"")</f>
        <v/>
      </c>
      <c r="G4774" s="28">
        <f>IFERROR(E4774-Dashboard!$B$4/252,"")</f>
        <v/>
      </c>
      <c r="H4774" s="8">
        <f>IFERROR(IF(ISNUMBER(B4774),MAX(B4774,IFERROR(H4773,B4774)),""),"")</f>
        <v/>
      </c>
      <c r="I4774" s="29">
        <f>IFERROR(IF(AND(ISNUMBER(B4774),ISNUMBER(H4774)),B4774/H4774-1,""),"")</f>
        <v/>
      </c>
      <c r="J4774" s="8">
        <f>IFERROR(IF(ISNUMBER(C4774),MAX(C4774,IFERROR(J4773,C4774)),""),"")</f>
        <v/>
      </c>
      <c r="K4774" s="29">
        <f>IFERROR(IF(AND(ISNUMBER(C4774),ISNUMBER(J4774)),C4774/J4774-1,""),"")</f>
        <v/>
      </c>
      <c r="L4774" s="28">
        <f>IFERROR(IF(AND(ISNUMBER(D4774),ISNUMBER(E4774)),D4774-E4774,""),"")</f>
        <v/>
      </c>
    </row>
    <row r="4775">
      <c r="A4775" s="7">
        <f>IFERROR(Datos!A4775,"")</f>
        <v/>
      </c>
      <c r="B4775" s="8">
        <f>IFERROR(Datos!B4775,"")</f>
        <v/>
      </c>
      <c r="C4775" s="8">
        <f>IFERROR(Datos!C4775,"")</f>
        <v/>
      </c>
      <c r="D4775" s="28">
        <f>IFERROR(IF(AND(ISNUMBER(B4775),ISNUMBER(B4774),B4774&lt;&gt;0),B4775/B4774-1,""),"")</f>
        <v/>
      </c>
      <c r="E4775" s="28">
        <f>IFERROR(IF(AND(ISNUMBER(C4775),ISNUMBER(C4774),C4774&lt;&gt;0),C4775/C4774-1,""),"")</f>
        <v/>
      </c>
      <c r="F4775" s="28">
        <f>IFERROR(D4775-Dashboard!$B$4/252,"")</f>
        <v/>
      </c>
      <c r="G4775" s="28">
        <f>IFERROR(E4775-Dashboard!$B$4/252,"")</f>
        <v/>
      </c>
      <c r="H4775" s="8">
        <f>IFERROR(IF(ISNUMBER(B4775),MAX(B4775,IFERROR(H4774,B4775)),""),"")</f>
        <v/>
      </c>
      <c r="I4775" s="29">
        <f>IFERROR(IF(AND(ISNUMBER(B4775),ISNUMBER(H4775)),B4775/H4775-1,""),"")</f>
        <v/>
      </c>
      <c r="J4775" s="8">
        <f>IFERROR(IF(ISNUMBER(C4775),MAX(C4775,IFERROR(J4774,C4775)),""),"")</f>
        <v/>
      </c>
      <c r="K4775" s="29">
        <f>IFERROR(IF(AND(ISNUMBER(C4775),ISNUMBER(J4775)),C4775/J4775-1,""),"")</f>
        <v/>
      </c>
      <c r="L4775" s="28">
        <f>IFERROR(IF(AND(ISNUMBER(D4775),ISNUMBER(E4775)),D4775-E4775,""),"")</f>
        <v/>
      </c>
    </row>
    <row r="4776">
      <c r="A4776" s="7">
        <f>IFERROR(Datos!A4776,"")</f>
        <v/>
      </c>
      <c r="B4776" s="8">
        <f>IFERROR(Datos!B4776,"")</f>
        <v/>
      </c>
      <c r="C4776" s="8">
        <f>IFERROR(Datos!C4776,"")</f>
        <v/>
      </c>
      <c r="D4776" s="28">
        <f>IFERROR(IF(AND(ISNUMBER(B4776),ISNUMBER(B4775),B4775&lt;&gt;0),B4776/B4775-1,""),"")</f>
        <v/>
      </c>
      <c r="E4776" s="28">
        <f>IFERROR(IF(AND(ISNUMBER(C4776),ISNUMBER(C4775),C4775&lt;&gt;0),C4776/C4775-1,""),"")</f>
        <v/>
      </c>
      <c r="F4776" s="28">
        <f>IFERROR(D4776-Dashboard!$B$4/252,"")</f>
        <v/>
      </c>
      <c r="G4776" s="28">
        <f>IFERROR(E4776-Dashboard!$B$4/252,"")</f>
        <v/>
      </c>
      <c r="H4776" s="8">
        <f>IFERROR(IF(ISNUMBER(B4776),MAX(B4776,IFERROR(H4775,B4776)),""),"")</f>
        <v/>
      </c>
      <c r="I4776" s="29">
        <f>IFERROR(IF(AND(ISNUMBER(B4776),ISNUMBER(H4776)),B4776/H4776-1,""),"")</f>
        <v/>
      </c>
      <c r="J4776" s="8">
        <f>IFERROR(IF(ISNUMBER(C4776),MAX(C4776,IFERROR(J4775,C4776)),""),"")</f>
        <v/>
      </c>
      <c r="K4776" s="29">
        <f>IFERROR(IF(AND(ISNUMBER(C4776),ISNUMBER(J4776)),C4776/J4776-1,""),"")</f>
        <v/>
      </c>
      <c r="L4776" s="28">
        <f>IFERROR(IF(AND(ISNUMBER(D4776),ISNUMBER(E4776)),D4776-E4776,""),"")</f>
        <v/>
      </c>
    </row>
    <row r="4777">
      <c r="A4777" s="7">
        <f>IFERROR(Datos!A4777,"")</f>
        <v/>
      </c>
      <c r="B4777" s="8">
        <f>IFERROR(Datos!B4777,"")</f>
        <v/>
      </c>
      <c r="C4777" s="8">
        <f>IFERROR(Datos!C4777,"")</f>
        <v/>
      </c>
      <c r="D4777" s="28">
        <f>IFERROR(IF(AND(ISNUMBER(B4777),ISNUMBER(B4776),B4776&lt;&gt;0),B4777/B4776-1,""),"")</f>
        <v/>
      </c>
      <c r="E4777" s="28">
        <f>IFERROR(IF(AND(ISNUMBER(C4777),ISNUMBER(C4776),C4776&lt;&gt;0),C4777/C4776-1,""),"")</f>
        <v/>
      </c>
      <c r="F4777" s="28">
        <f>IFERROR(D4777-Dashboard!$B$4/252,"")</f>
        <v/>
      </c>
      <c r="G4777" s="28">
        <f>IFERROR(E4777-Dashboard!$B$4/252,"")</f>
        <v/>
      </c>
      <c r="H4777" s="8">
        <f>IFERROR(IF(ISNUMBER(B4777),MAX(B4777,IFERROR(H4776,B4777)),""),"")</f>
        <v/>
      </c>
      <c r="I4777" s="29">
        <f>IFERROR(IF(AND(ISNUMBER(B4777),ISNUMBER(H4777)),B4777/H4777-1,""),"")</f>
        <v/>
      </c>
      <c r="J4777" s="8">
        <f>IFERROR(IF(ISNUMBER(C4777),MAX(C4777,IFERROR(J4776,C4777)),""),"")</f>
        <v/>
      </c>
      <c r="K4777" s="29">
        <f>IFERROR(IF(AND(ISNUMBER(C4777),ISNUMBER(J4777)),C4777/J4777-1,""),"")</f>
        <v/>
      </c>
      <c r="L4777" s="28">
        <f>IFERROR(IF(AND(ISNUMBER(D4777),ISNUMBER(E4777)),D4777-E4777,""),"")</f>
        <v/>
      </c>
    </row>
    <row r="4778">
      <c r="A4778" s="7">
        <f>IFERROR(Datos!A4778,"")</f>
        <v/>
      </c>
      <c r="B4778" s="8">
        <f>IFERROR(Datos!B4778,"")</f>
        <v/>
      </c>
      <c r="C4778" s="8">
        <f>IFERROR(Datos!C4778,"")</f>
        <v/>
      </c>
      <c r="D4778" s="28">
        <f>IFERROR(IF(AND(ISNUMBER(B4778),ISNUMBER(B4777),B4777&lt;&gt;0),B4778/B4777-1,""),"")</f>
        <v/>
      </c>
      <c r="E4778" s="28">
        <f>IFERROR(IF(AND(ISNUMBER(C4778),ISNUMBER(C4777),C4777&lt;&gt;0),C4778/C4777-1,""),"")</f>
        <v/>
      </c>
      <c r="F4778" s="28">
        <f>IFERROR(D4778-Dashboard!$B$4/252,"")</f>
        <v/>
      </c>
      <c r="G4778" s="28">
        <f>IFERROR(E4778-Dashboard!$B$4/252,"")</f>
        <v/>
      </c>
      <c r="H4778" s="8">
        <f>IFERROR(IF(ISNUMBER(B4778),MAX(B4778,IFERROR(H4777,B4778)),""),"")</f>
        <v/>
      </c>
      <c r="I4778" s="29">
        <f>IFERROR(IF(AND(ISNUMBER(B4778),ISNUMBER(H4778)),B4778/H4778-1,""),"")</f>
        <v/>
      </c>
      <c r="J4778" s="8">
        <f>IFERROR(IF(ISNUMBER(C4778),MAX(C4778,IFERROR(J4777,C4778)),""),"")</f>
        <v/>
      </c>
      <c r="K4778" s="29">
        <f>IFERROR(IF(AND(ISNUMBER(C4778),ISNUMBER(J4778)),C4778/J4778-1,""),"")</f>
        <v/>
      </c>
      <c r="L4778" s="28">
        <f>IFERROR(IF(AND(ISNUMBER(D4778),ISNUMBER(E4778)),D4778-E4778,""),"")</f>
        <v/>
      </c>
    </row>
    <row r="4779">
      <c r="A4779" s="7">
        <f>IFERROR(Datos!A4779,"")</f>
        <v/>
      </c>
      <c r="B4779" s="8">
        <f>IFERROR(Datos!B4779,"")</f>
        <v/>
      </c>
      <c r="C4779" s="8">
        <f>IFERROR(Datos!C4779,"")</f>
        <v/>
      </c>
      <c r="D4779" s="28">
        <f>IFERROR(IF(AND(ISNUMBER(B4779),ISNUMBER(B4778),B4778&lt;&gt;0),B4779/B4778-1,""),"")</f>
        <v/>
      </c>
      <c r="E4779" s="28">
        <f>IFERROR(IF(AND(ISNUMBER(C4779),ISNUMBER(C4778),C4778&lt;&gt;0),C4779/C4778-1,""),"")</f>
        <v/>
      </c>
      <c r="F4779" s="28">
        <f>IFERROR(D4779-Dashboard!$B$4/252,"")</f>
        <v/>
      </c>
      <c r="G4779" s="28">
        <f>IFERROR(E4779-Dashboard!$B$4/252,"")</f>
        <v/>
      </c>
      <c r="H4779" s="8">
        <f>IFERROR(IF(ISNUMBER(B4779),MAX(B4779,IFERROR(H4778,B4779)),""),"")</f>
        <v/>
      </c>
      <c r="I4779" s="29">
        <f>IFERROR(IF(AND(ISNUMBER(B4779),ISNUMBER(H4779)),B4779/H4779-1,""),"")</f>
        <v/>
      </c>
      <c r="J4779" s="8">
        <f>IFERROR(IF(ISNUMBER(C4779),MAX(C4779,IFERROR(J4778,C4779)),""),"")</f>
        <v/>
      </c>
      <c r="K4779" s="29">
        <f>IFERROR(IF(AND(ISNUMBER(C4779),ISNUMBER(J4779)),C4779/J4779-1,""),"")</f>
        <v/>
      </c>
      <c r="L4779" s="28">
        <f>IFERROR(IF(AND(ISNUMBER(D4779),ISNUMBER(E4779)),D4779-E4779,""),"")</f>
        <v/>
      </c>
    </row>
    <row r="4780">
      <c r="A4780" s="7">
        <f>IFERROR(Datos!A4780,"")</f>
        <v/>
      </c>
      <c r="B4780" s="8">
        <f>IFERROR(Datos!B4780,"")</f>
        <v/>
      </c>
      <c r="C4780" s="8">
        <f>IFERROR(Datos!C4780,"")</f>
        <v/>
      </c>
      <c r="D4780" s="28">
        <f>IFERROR(IF(AND(ISNUMBER(B4780),ISNUMBER(B4779),B4779&lt;&gt;0),B4780/B4779-1,""),"")</f>
        <v/>
      </c>
      <c r="E4780" s="28">
        <f>IFERROR(IF(AND(ISNUMBER(C4780),ISNUMBER(C4779),C4779&lt;&gt;0),C4780/C4779-1,""),"")</f>
        <v/>
      </c>
      <c r="F4780" s="28">
        <f>IFERROR(D4780-Dashboard!$B$4/252,"")</f>
        <v/>
      </c>
      <c r="G4780" s="28">
        <f>IFERROR(E4780-Dashboard!$B$4/252,"")</f>
        <v/>
      </c>
      <c r="H4780" s="8">
        <f>IFERROR(IF(ISNUMBER(B4780),MAX(B4780,IFERROR(H4779,B4780)),""),"")</f>
        <v/>
      </c>
      <c r="I4780" s="29">
        <f>IFERROR(IF(AND(ISNUMBER(B4780),ISNUMBER(H4780)),B4780/H4780-1,""),"")</f>
        <v/>
      </c>
      <c r="J4780" s="8">
        <f>IFERROR(IF(ISNUMBER(C4780),MAX(C4780,IFERROR(J4779,C4780)),""),"")</f>
        <v/>
      </c>
      <c r="K4780" s="29">
        <f>IFERROR(IF(AND(ISNUMBER(C4780),ISNUMBER(J4780)),C4780/J4780-1,""),"")</f>
        <v/>
      </c>
      <c r="L4780" s="28">
        <f>IFERROR(IF(AND(ISNUMBER(D4780),ISNUMBER(E4780)),D4780-E4780,""),"")</f>
        <v/>
      </c>
    </row>
    <row r="4781">
      <c r="A4781" s="7">
        <f>IFERROR(Datos!A4781,"")</f>
        <v/>
      </c>
      <c r="B4781" s="8">
        <f>IFERROR(Datos!B4781,"")</f>
        <v/>
      </c>
      <c r="C4781" s="8">
        <f>IFERROR(Datos!C4781,"")</f>
        <v/>
      </c>
      <c r="D4781" s="28">
        <f>IFERROR(IF(AND(ISNUMBER(B4781),ISNUMBER(B4780),B4780&lt;&gt;0),B4781/B4780-1,""),"")</f>
        <v/>
      </c>
      <c r="E4781" s="28">
        <f>IFERROR(IF(AND(ISNUMBER(C4781),ISNUMBER(C4780),C4780&lt;&gt;0),C4781/C4780-1,""),"")</f>
        <v/>
      </c>
      <c r="F4781" s="28">
        <f>IFERROR(D4781-Dashboard!$B$4/252,"")</f>
        <v/>
      </c>
      <c r="G4781" s="28">
        <f>IFERROR(E4781-Dashboard!$B$4/252,"")</f>
        <v/>
      </c>
      <c r="H4781" s="8">
        <f>IFERROR(IF(ISNUMBER(B4781),MAX(B4781,IFERROR(H4780,B4781)),""),"")</f>
        <v/>
      </c>
      <c r="I4781" s="29">
        <f>IFERROR(IF(AND(ISNUMBER(B4781),ISNUMBER(H4781)),B4781/H4781-1,""),"")</f>
        <v/>
      </c>
      <c r="J4781" s="8">
        <f>IFERROR(IF(ISNUMBER(C4781),MAX(C4781,IFERROR(J4780,C4781)),""),"")</f>
        <v/>
      </c>
      <c r="K4781" s="29">
        <f>IFERROR(IF(AND(ISNUMBER(C4781),ISNUMBER(J4781)),C4781/J4781-1,""),"")</f>
        <v/>
      </c>
      <c r="L4781" s="28">
        <f>IFERROR(IF(AND(ISNUMBER(D4781),ISNUMBER(E4781)),D4781-E4781,""),"")</f>
        <v/>
      </c>
    </row>
    <row r="4782">
      <c r="A4782" s="7">
        <f>IFERROR(Datos!A4782,"")</f>
        <v/>
      </c>
      <c r="B4782" s="8">
        <f>IFERROR(Datos!B4782,"")</f>
        <v/>
      </c>
      <c r="C4782" s="8">
        <f>IFERROR(Datos!C4782,"")</f>
        <v/>
      </c>
      <c r="D4782" s="28">
        <f>IFERROR(IF(AND(ISNUMBER(B4782),ISNUMBER(B4781),B4781&lt;&gt;0),B4782/B4781-1,""),"")</f>
        <v/>
      </c>
      <c r="E4782" s="28">
        <f>IFERROR(IF(AND(ISNUMBER(C4782),ISNUMBER(C4781),C4781&lt;&gt;0),C4782/C4781-1,""),"")</f>
        <v/>
      </c>
      <c r="F4782" s="28">
        <f>IFERROR(D4782-Dashboard!$B$4/252,"")</f>
        <v/>
      </c>
      <c r="G4782" s="28">
        <f>IFERROR(E4782-Dashboard!$B$4/252,"")</f>
        <v/>
      </c>
      <c r="H4782" s="8">
        <f>IFERROR(IF(ISNUMBER(B4782),MAX(B4782,IFERROR(H4781,B4782)),""),"")</f>
        <v/>
      </c>
      <c r="I4782" s="29">
        <f>IFERROR(IF(AND(ISNUMBER(B4782),ISNUMBER(H4782)),B4782/H4782-1,""),"")</f>
        <v/>
      </c>
      <c r="J4782" s="8">
        <f>IFERROR(IF(ISNUMBER(C4782),MAX(C4782,IFERROR(J4781,C4782)),""),"")</f>
        <v/>
      </c>
      <c r="K4782" s="29">
        <f>IFERROR(IF(AND(ISNUMBER(C4782),ISNUMBER(J4782)),C4782/J4782-1,""),"")</f>
        <v/>
      </c>
      <c r="L4782" s="28">
        <f>IFERROR(IF(AND(ISNUMBER(D4782),ISNUMBER(E4782)),D4782-E4782,""),"")</f>
        <v/>
      </c>
    </row>
    <row r="4783">
      <c r="A4783" s="7">
        <f>IFERROR(Datos!A4783,"")</f>
        <v/>
      </c>
      <c r="B4783" s="8">
        <f>IFERROR(Datos!B4783,"")</f>
        <v/>
      </c>
      <c r="C4783" s="8">
        <f>IFERROR(Datos!C4783,"")</f>
        <v/>
      </c>
      <c r="D4783" s="28">
        <f>IFERROR(IF(AND(ISNUMBER(B4783),ISNUMBER(B4782),B4782&lt;&gt;0),B4783/B4782-1,""),"")</f>
        <v/>
      </c>
      <c r="E4783" s="28">
        <f>IFERROR(IF(AND(ISNUMBER(C4783),ISNUMBER(C4782),C4782&lt;&gt;0),C4783/C4782-1,""),"")</f>
        <v/>
      </c>
      <c r="F4783" s="28">
        <f>IFERROR(D4783-Dashboard!$B$4/252,"")</f>
        <v/>
      </c>
      <c r="G4783" s="28">
        <f>IFERROR(E4783-Dashboard!$B$4/252,"")</f>
        <v/>
      </c>
      <c r="H4783" s="8">
        <f>IFERROR(IF(ISNUMBER(B4783),MAX(B4783,IFERROR(H4782,B4783)),""),"")</f>
        <v/>
      </c>
      <c r="I4783" s="29">
        <f>IFERROR(IF(AND(ISNUMBER(B4783),ISNUMBER(H4783)),B4783/H4783-1,""),"")</f>
        <v/>
      </c>
      <c r="J4783" s="8">
        <f>IFERROR(IF(ISNUMBER(C4783),MAX(C4783,IFERROR(J4782,C4783)),""),"")</f>
        <v/>
      </c>
      <c r="K4783" s="29">
        <f>IFERROR(IF(AND(ISNUMBER(C4783),ISNUMBER(J4783)),C4783/J4783-1,""),"")</f>
        <v/>
      </c>
      <c r="L4783" s="28">
        <f>IFERROR(IF(AND(ISNUMBER(D4783),ISNUMBER(E4783)),D4783-E4783,""),"")</f>
        <v/>
      </c>
    </row>
    <row r="4784">
      <c r="A4784" s="7">
        <f>IFERROR(Datos!A4784,"")</f>
        <v/>
      </c>
      <c r="B4784" s="8">
        <f>IFERROR(Datos!B4784,"")</f>
        <v/>
      </c>
      <c r="C4784" s="8">
        <f>IFERROR(Datos!C4784,"")</f>
        <v/>
      </c>
      <c r="D4784" s="28">
        <f>IFERROR(IF(AND(ISNUMBER(B4784),ISNUMBER(B4783),B4783&lt;&gt;0),B4784/B4783-1,""),"")</f>
        <v/>
      </c>
      <c r="E4784" s="28">
        <f>IFERROR(IF(AND(ISNUMBER(C4784),ISNUMBER(C4783),C4783&lt;&gt;0),C4784/C4783-1,""),"")</f>
        <v/>
      </c>
      <c r="F4784" s="28">
        <f>IFERROR(D4784-Dashboard!$B$4/252,"")</f>
        <v/>
      </c>
      <c r="G4784" s="28">
        <f>IFERROR(E4784-Dashboard!$B$4/252,"")</f>
        <v/>
      </c>
      <c r="H4784" s="8">
        <f>IFERROR(IF(ISNUMBER(B4784),MAX(B4784,IFERROR(H4783,B4784)),""),"")</f>
        <v/>
      </c>
      <c r="I4784" s="29">
        <f>IFERROR(IF(AND(ISNUMBER(B4784),ISNUMBER(H4784)),B4784/H4784-1,""),"")</f>
        <v/>
      </c>
      <c r="J4784" s="8">
        <f>IFERROR(IF(ISNUMBER(C4784),MAX(C4784,IFERROR(J4783,C4784)),""),"")</f>
        <v/>
      </c>
      <c r="K4784" s="29">
        <f>IFERROR(IF(AND(ISNUMBER(C4784),ISNUMBER(J4784)),C4784/J4784-1,""),"")</f>
        <v/>
      </c>
      <c r="L4784" s="28">
        <f>IFERROR(IF(AND(ISNUMBER(D4784),ISNUMBER(E4784)),D4784-E4784,""),"")</f>
        <v/>
      </c>
    </row>
    <row r="4785">
      <c r="A4785" s="7">
        <f>IFERROR(Datos!A4785,"")</f>
        <v/>
      </c>
      <c r="B4785" s="8">
        <f>IFERROR(Datos!B4785,"")</f>
        <v/>
      </c>
      <c r="C4785" s="8">
        <f>IFERROR(Datos!C4785,"")</f>
        <v/>
      </c>
      <c r="D4785" s="28">
        <f>IFERROR(IF(AND(ISNUMBER(B4785),ISNUMBER(B4784),B4784&lt;&gt;0),B4785/B4784-1,""),"")</f>
        <v/>
      </c>
      <c r="E4785" s="28">
        <f>IFERROR(IF(AND(ISNUMBER(C4785),ISNUMBER(C4784),C4784&lt;&gt;0),C4785/C4784-1,""),"")</f>
        <v/>
      </c>
      <c r="F4785" s="28">
        <f>IFERROR(D4785-Dashboard!$B$4/252,"")</f>
        <v/>
      </c>
      <c r="G4785" s="28">
        <f>IFERROR(E4785-Dashboard!$B$4/252,"")</f>
        <v/>
      </c>
      <c r="H4785" s="8">
        <f>IFERROR(IF(ISNUMBER(B4785),MAX(B4785,IFERROR(H4784,B4785)),""),"")</f>
        <v/>
      </c>
      <c r="I4785" s="29">
        <f>IFERROR(IF(AND(ISNUMBER(B4785),ISNUMBER(H4785)),B4785/H4785-1,""),"")</f>
        <v/>
      </c>
      <c r="J4785" s="8">
        <f>IFERROR(IF(ISNUMBER(C4785),MAX(C4785,IFERROR(J4784,C4785)),""),"")</f>
        <v/>
      </c>
      <c r="K4785" s="29">
        <f>IFERROR(IF(AND(ISNUMBER(C4785),ISNUMBER(J4785)),C4785/J4785-1,""),"")</f>
        <v/>
      </c>
      <c r="L4785" s="28">
        <f>IFERROR(IF(AND(ISNUMBER(D4785),ISNUMBER(E4785)),D4785-E4785,""),"")</f>
        <v/>
      </c>
    </row>
    <row r="4786">
      <c r="A4786" s="7">
        <f>IFERROR(Datos!A4786,"")</f>
        <v/>
      </c>
      <c r="B4786" s="8">
        <f>IFERROR(Datos!B4786,"")</f>
        <v/>
      </c>
      <c r="C4786" s="8">
        <f>IFERROR(Datos!C4786,"")</f>
        <v/>
      </c>
      <c r="D4786" s="28">
        <f>IFERROR(IF(AND(ISNUMBER(B4786),ISNUMBER(B4785),B4785&lt;&gt;0),B4786/B4785-1,""),"")</f>
        <v/>
      </c>
      <c r="E4786" s="28">
        <f>IFERROR(IF(AND(ISNUMBER(C4786),ISNUMBER(C4785),C4785&lt;&gt;0),C4786/C4785-1,""),"")</f>
        <v/>
      </c>
      <c r="F4786" s="28">
        <f>IFERROR(D4786-Dashboard!$B$4/252,"")</f>
        <v/>
      </c>
      <c r="G4786" s="28">
        <f>IFERROR(E4786-Dashboard!$B$4/252,"")</f>
        <v/>
      </c>
      <c r="H4786" s="8">
        <f>IFERROR(IF(ISNUMBER(B4786),MAX(B4786,IFERROR(H4785,B4786)),""),"")</f>
        <v/>
      </c>
      <c r="I4786" s="29">
        <f>IFERROR(IF(AND(ISNUMBER(B4786),ISNUMBER(H4786)),B4786/H4786-1,""),"")</f>
        <v/>
      </c>
      <c r="J4786" s="8">
        <f>IFERROR(IF(ISNUMBER(C4786),MAX(C4786,IFERROR(J4785,C4786)),""),"")</f>
        <v/>
      </c>
      <c r="K4786" s="29">
        <f>IFERROR(IF(AND(ISNUMBER(C4786),ISNUMBER(J4786)),C4786/J4786-1,""),"")</f>
        <v/>
      </c>
      <c r="L4786" s="28">
        <f>IFERROR(IF(AND(ISNUMBER(D4786),ISNUMBER(E4786)),D4786-E4786,""),"")</f>
        <v/>
      </c>
    </row>
    <row r="4787">
      <c r="A4787" s="7">
        <f>IFERROR(Datos!A4787,"")</f>
        <v/>
      </c>
      <c r="B4787" s="8">
        <f>IFERROR(Datos!B4787,"")</f>
        <v/>
      </c>
      <c r="C4787" s="8">
        <f>IFERROR(Datos!C4787,"")</f>
        <v/>
      </c>
      <c r="D4787" s="28">
        <f>IFERROR(IF(AND(ISNUMBER(B4787),ISNUMBER(B4786),B4786&lt;&gt;0),B4787/B4786-1,""),"")</f>
        <v/>
      </c>
      <c r="E4787" s="28">
        <f>IFERROR(IF(AND(ISNUMBER(C4787),ISNUMBER(C4786),C4786&lt;&gt;0),C4787/C4786-1,""),"")</f>
        <v/>
      </c>
      <c r="F4787" s="28">
        <f>IFERROR(D4787-Dashboard!$B$4/252,"")</f>
        <v/>
      </c>
      <c r="G4787" s="28">
        <f>IFERROR(E4787-Dashboard!$B$4/252,"")</f>
        <v/>
      </c>
      <c r="H4787" s="8">
        <f>IFERROR(IF(ISNUMBER(B4787),MAX(B4787,IFERROR(H4786,B4787)),""),"")</f>
        <v/>
      </c>
      <c r="I4787" s="29">
        <f>IFERROR(IF(AND(ISNUMBER(B4787),ISNUMBER(H4787)),B4787/H4787-1,""),"")</f>
        <v/>
      </c>
      <c r="J4787" s="8">
        <f>IFERROR(IF(ISNUMBER(C4787),MAX(C4787,IFERROR(J4786,C4787)),""),"")</f>
        <v/>
      </c>
      <c r="K4787" s="29">
        <f>IFERROR(IF(AND(ISNUMBER(C4787),ISNUMBER(J4787)),C4787/J4787-1,""),"")</f>
        <v/>
      </c>
      <c r="L4787" s="28">
        <f>IFERROR(IF(AND(ISNUMBER(D4787),ISNUMBER(E4787)),D4787-E4787,""),"")</f>
        <v/>
      </c>
    </row>
    <row r="4788">
      <c r="A4788" s="7">
        <f>IFERROR(Datos!A4788,"")</f>
        <v/>
      </c>
      <c r="B4788" s="8">
        <f>IFERROR(Datos!B4788,"")</f>
        <v/>
      </c>
      <c r="C4788" s="8">
        <f>IFERROR(Datos!C4788,"")</f>
        <v/>
      </c>
      <c r="D4788" s="28">
        <f>IFERROR(IF(AND(ISNUMBER(B4788),ISNUMBER(B4787),B4787&lt;&gt;0),B4788/B4787-1,""),"")</f>
        <v/>
      </c>
      <c r="E4788" s="28">
        <f>IFERROR(IF(AND(ISNUMBER(C4788),ISNUMBER(C4787),C4787&lt;&gt;0),C4788/C4787-1,""),"")</f>
        <v/>
      </c>
      <c r="F4788" s="28">
        <f>IFERROR(D4788-Dashboard!$B$4/252,"")</f>
        <v/>
      </c>
      <c r="G4788" s="28">
        <f>IFERROR(E4788-Dashboard!$B$4/252,"")</f>
        <v/>
      </c>
      <c r="H4788" s="8">
        <f>IFERROR(IF(ISNUMBER(B4788),MAX(B4788,IFERROR(H4787,B4788)),""),"")</f>
        <v/>
      </c>
      <c r="I4788" s="29">
        <f>IFERROR(IF(AND(ISNUMBER(B4788),ISNUMBER(H4788)),B4788/H4788-1,""),"")</f>
        <v/>
      </c>
      <c r="J4788" s="8">
        <f>IFERROR(IF(ISNUMBER(C4788),MAX(C4788,IFERROR(J4787,C4788)),""),"")</f>
        <v/>
      </c>
      <c r="K4788" s="29">
        <f>IFERROR(IF(AND(ISNUMBER(C4788),ISNUMBER(J4788)),C4788/J4788-1,""),"")</f>
        <v/>
      </c>
      <c r="L4788" s="28">
        <f>IFERROR(IF(AND(ISNUMBER(D4788),ISNUMBER(E4788)),D4788-E4788,""),"")</f>
        <v/>
      </c>
    </row>
    <row r="4789">
      <c r="A4789" s="7">
        <f>IFERROR(Datos!A4789,"")</f>
        <v/>
      </c>
      <c r="B4789" s="8">
        <f>IFERROR(Datos!B4789,"")</f>
        <v/>
      </c>
      <c r="C4789" s="8">
        <f>IFERROR(Datos!C4789,"")</f>
        <v/>
      </c>
      <c r="D4789" s="28">
        <f>IFERROR(IF(AND(ISNUMBER(B4789),ISNUMBER(B4788),B4788&lt;&gt;0),B4789/B4788-1,""),"")</f>
        <v/>
      </c>
      <c r="E4789" s="28">
        <f>IFERROR(IF(AND(ISNUMBER(C4789),ISNUMBER(C4788),C4788&lt;&gt;0),C4789/C4788-1,""),"")</f>
        <v/>
      </c>
      <c r="F4789" s="28">
        <f>IFERROR(D4789-Dashboard!$B$4/252,"")</f>
        <v/>
      </c>
      <c r="G4789" s="28">
        <f>IFERROR(E4789-Dashboard!$B$4/252,"")</f>
        <v/>
      </c>
      <c r="H4789" s="8">
        <f>IFERROR(IF(ISNUMBER(B4789),MAX(B4789,IFERROR(H4788,B4789)),""),"")</f>
        <v/>
      </c>
      <c r="I4789" s="29">
        <f>IFERROR(IF(AND(ISNUMBER(B4789),ISNUMBER(H4789)),B4789/H4789-1,""),"")</f>
        <v/>
      </c>
      <c r="J4789" s="8">
        <f>IFERROR(IF(ISNUMBER(C4789),MAX(C4789,IFERROR(J4788,C4789)),""),"")</f>
        <v/>
      </c>
      <c r="K4789" s="29">
        <f>IFERROR(IF(AND(ISNUMBER(C4789),ISNUMBER(J4789)),C4789/J4789-1,""),"")</f>
        <v/>
      </c>
      <c r="L4789" s="28">
        <f>IFERROR(IF(AND(ISNUMBER(D4789),ISNUMBER(E4789)),D4789-E4789,""),"")</f>
        <v/>
      </c>
    </row>
    <row r="4790">
      <c r="A4790" s="7">
        <f>IFERROR(Datos!A4790,"")</f>
        <v/>
      </c>
      <c r="B4790" s="8">
        <f>IFERROR(Datos!B4790,"")</f>
        <v/>
      </c>
      <c r="C4790" s="8">
        <f>IFERROR(Datos!C4790,"")</f>
        <v/>
      </c>
      <c r="D4790" s="28">
        <f>IFERROR(IF(AND(ISNUMBER(B4790),ISNUMBER(B4789),B4789&lt;&gt;0),B4790/B4789-1,""),"")</f>
        <v/>
      </c>
      <c r="E4790" s="28">
        <f>IFERROR(IF(AND(ISNUMBER(C4790),ISNUMBER(C4789),C4789&lt;&gt;0),C4790/C4789-1,""),"")</f>
        <v/>
      </c>
      <c r="F4790" s="28">
        <f>IFERROR(D4790-Dashboard!$B$4/252,"")</f>
        <v/>
      </c>
      <c r="G4790" s="28">
        <f>IFERROR(E4790-Dashboard!$B$4/252,"")</f>
        <v/>
      </c>
      <c r="H4790" s="8">
        <f>IFERROR(IF(ISNUMBER(B4790),MAX(B4790,IFERROR(H4789,B4790)),""),"")</f>
        <v/>
      </c>
      <c r="I4790" s="29">
        <f>IFERROR(IF(AND(ISNUMBER(B4790),ISNUMBER(H4790)),B4790/H4790-1,""),"")</f>
        <v/>
      </c>
      <c r="J4790" s="8">
        <f>IFERROR(IF(ISNUMBER(C4790),MAX(C4790,IFERROR(J4789,C4790)),""),"")</f>
        <v/>
      </c>
      <c r="K4790" s="29">
        <f>IFERROR(IF(AND(ISNUMBER(C4790),ISNUMBER(J4790)),C4790/J4790-1,""),"")</f>
        <v/>
      </c>
      <c r="L4790" s="28">
        <f>IFERROR(IF(AND(ISNUMBER(D4790),ISNUMBER(E4790)),D4790-E4790,""),"")</f>
        <v/>
      </c>
    </row>
    <row r="4791">
      <c r="A4791" s="7">
        <f>IFERROR(Datos!A4791,"")</f>
        <v/>
      </c>
      <c r="B4791" s="8">
        <f>IFERROR(Datos!B4791,"")</f>
        <v/>
      </c>
      <c r="C4791" s="8">
        <f>IFERROR(Datos!C4791,"")</f>
        <v/>
      </c>
      <c r="D4791" s="28">
        <f>IFERROR(IF(AND(ISNUMBER(B4791),ISNUMBER(B4790),B4790&lt;&gt;0),B4791/B4790-1,""),"")</f>
        <v/>
      </c>
      <c r="E4791" s="28">
        <f>IFERROR(IF(AND(ISNUMBER(C4791),ISNUMBER(C4790),C4790&lt;&gt;0),C4791/C4790-1,""),"")</f>
        <v/>
      </c>
      <c r="F4791" s="28">
        <f>IFERROR(D4791-Dashboard!$B$4/252,"")</f>
        <v/>
      </c>
      <c r="G4791" s="28">
        <f>IFERROR(E4791-Dashboard!$B$4/252,"")</f>
        <v/>
      </c>
      <c r="H4791" s="8">
        <f>IFERROR(IF(ISNUMBER(B4791),MAX(B4791,IFERROR(H4790,B4791)),""),"")</f>
        <v/>
      </c>
      <c r="I4791" s="29">
        <f>IFERROR(IF(AND(ISNUMBER(B4791),ISNUMBER(H4791)),B4791/H4791-1,""),"")</f>
        <v/>
      </c>
      <c r="J4791" s="8">
        <f>IFERROR(IF(ISNUMBER(C4791),MAX(C4791,IFERROR(J4790,C4791)),""),"")</f>
        <v/>
      </c>
      <c r="K4791" s="29">
        <f>IFERROR(IF(AND(ISNUMBER(C4791),ISNUMBER(J4791)),C4791/J4791-1,""),"")</f>
        <v/>
      </c>
      <c r="L4791" s="28">
        <f>IFERROR(IF(AND(ISNUMBER(D4791),ISNUMBER(E4791)),D4791-E4791,""),"")</f>
        <v/>
      </c>
    </row>
    <row r="4792">
      <c r="A4792" s="7">
        <f>IFERROR(Datos!A4792,"")</f>
        <v/>
      </c>
      <c r="B4792" s="8">
        <f>IFERROR(Datos!B4792,"")</f>
        <v/>
      </c>
      <c r="C4792" s="8">
        <f>IFERROR(Datos!C4792,"")</f>
        <v/>
      </c>
      <c r="D4792" s="28">
        <f>IFERROR(IF(AND(ISNUMBER(B4792),ISNUMBER(B4791),B4791&lt;&gt;0),B4792/B4791-1,""),"")</f>
        <v/>
      </c>
      <c r="E4792" s="28">
        <f>IFERROR(IF(AND(ISNUMBER(C4792),ISNUMBER(C4791),C4791&lt;&gt;0),C4792/C4791-1,""),"")</f>
        <v/>
      </c>
      <c r="F4792" s="28">
        <f>IFERROR(D4792-Dashboard!$B$4/252,"")</f>
        <v/>
      </c>
      <c r="G4792" s="28">
        <f>IFERROR(E4792-Dashboard!$B$4/252,"")</f>
        <v/>
      </c>
      <c r="H4792" s="8">
        <f>IFERROR(IF(ISNUMBER(B4792),MAX(B4792,IFERROR(H4791,B4792)),""),"")</f>
        <v/>
      </c>
      <c r="I4792" s="29">
        <f>IFERROR(IF(AND(ISNUMBER(B4792),ISNUMBER(H4792)),B4792/H4792-1,""),"")</f>
        <v/>
      </c>
      <c r="J4792" s="8">
        <f>IFERROR(IF(ISNUMBER(C4792),MAX(C4792,IFERROR(J4791,C4792)),""),"")</f>
        <v/>
      </c>
      <c r="K4792" s="29">
        <f>IFERROR(IF(AND(ISNUMBER(C4792),ISNUMBER(J4792)),C4792/J4792-1,""),"")</f>
        <v/>
      </c>
      <c r="L4792" s="28">
        <f>IFERROR(IF(AND(ISNUMBER(D4792),ISNUMBER(E4792)),D4792-E4792,""),"")</f>
        <v/>
      </c>
    </row>
    <row r="4793">
      <c r="A4793" s="7">
        <f>IFERROR(Datos!A4793,"")</f>
        <v/>
      </c>
      <c r="B4793" s="8">
        <f>IFERROR(Datos!B4793,"")</f>
        <v/>
      </c>
      <c r="C4793" s="8">
        <f>IFERROR(Datos!C4793,"")</f>
        <v/>
      </c>
      <c r="D4793" s="28">
        <f>IFERROR(IF(AND(ISNUMBER(B4793),ISNUMBER(B4792),B4792&lt;&gt;0),B4793/B4792-1,""),"")</f>
        <v/>
      </c>
      <c r="E4793" s="28">
        <f>IFERROR(IF(AND(ISNUMBER(C4793),ISNUMBER(C4792),C4792&lt;&gt;0),C4793/C4792-1,""),"")</f>
        <v/>
      </c>
      <c r="F4793" s="28">
        <f>IFERROR(D4793-Dashboard!$B$4/252,"")</f>
        <v/>
      </c>
      <c r="G4793" s="28">
        <f>IFERROR(E4793-Dashboard!$B$4/252,"")</f>
        <v/>
      </c>
      <c r="H4793" s="8">
        <f>IFERROR(IF(ISNUMBER(B4793),MAX(B4793,IFERROR(H4792,B4793)),""),"")</f>
        <v/>
      </c>
      <c r="I4793" s="29">
        <f>IFERROR(IF(AND(ISNUMBER(B4793),ISNUMBER(H4793)),B4793/H4793-1,""),"")</f>
        <v/>
      </c>
      <c r="J4793" s="8">
        <f>IFERROR(IF(ISNUMBER(C4793),MAX(C4793,IFERROR(J4792,C4793)),""),"")</f>
        <v/>
      </c>
      <c r="K4793" s="29">
        <f>IFERROR(IF(AND(ISNUMBER(C4793),ISNUMBER(J4793)),C4793/J4793-1,""),"")</f>
        <v/>
      </c>
      <c r="L4793" s="28">
        <f>IFERROR(IF(AND(ISNUMBER(D4793),ISNUMBER(E4793)),D4793-E4793,""),"")</f>
        <v/>
      </c>
    </row>
    <row r="4794">
      <c r="A4794" s="7">
        <f>IFERROR(Datos!A4794,"")</f>
        <v/>
      </c>
      <c r="B4794" s="8">
        <f>IFERROR(Datos!B4794,"")</f>
        <v/>
      </c>
      <c r="C4794" s="8">
        <f>IFERROR(Datos!C4794,"")</f>
        <v/>
      </c>
      <c r="D4794" s="28">
        <f>IFERROR(IF(AND(ISNUMBER(B4794),ISNUMBER(B4793),B4793&lt;&gt;0),B4794/B4793-1,""),"")</f>
        <v/>
      </c>
      <c r="E4794" s="28">
        <f>IFERROR(IF(AND(ISNUMBER(C4794),ISNUMBER(C4793),C4793&lt;&gt;0),C4794/C4793-1,""),"")</f>
        <v/>
      </c>
      <c r="F4794" s="28">
        <f>IFERROR(D4794-Dashboard!$B$4/252,"")</f>
        <v/>
      </c>
      <c r="G4794" s="28">
        <f>IFERROR(E4794-Dashboard!$B$4/252,"")</f>
        <v/>
      </c>
      <c r="H4794" s="8">
        <f>IFERROR(IF(ISNUMBER(B4794),MAX(B4794,IFERROR(H4793,B4794)),""),"")</f>
        <v/>
      </c>
      <c r="I4794" s="29">
        <f>IFERROR(IF(AND(ISNUMBER(B4794),ISNUMBER(H4794)),B4794/H4794-1,""),"")</f>
        <v/>
      </c>
      <c r="J4794" s="8">
        <f>IFERROR(IF(ISNUMBER(C4794),MAX(C4794,IFERROR(J4793,C4794)),""),"")</f>
        <v/>
      </c>
      <c r="K4794" s="29">
        <f>IFERROR(IF(AND(ISNUMBER(C4794),ISNUMBER(J4794)),C4794/J4794-1,""),"")</f>
        <v/>
      </c>
      <c r="L4794" s="28">
        <f>IFERROR(IF(AND(ISNUMBER(D4794),ISNUMBER(E4794)),D4794-E4794,""),"")</f>
        <v/>
      </c>
    </row>
    <row r="4795">
      <c r="A4795" s="7">
        <f>IFERROR(Datos!A4795,"")</f>
        <v/>
      </c>
      <c r="B4795" s="8">
        <f>IFERROR(Datos!B4795,"")</f>
        <v/>
      </c>
      <c r="C4795" s="8">
        <f>IFERROR(Datos!C4795,"")</f>
        <v/>
      </c>
      <c r="D4795" s="28">
        <f>IFERROR(IF(AND(ISNUMBER(B4795),ISNUMBER(B4794),B4794&lt;&gt;0),B4795/B4794-1,""),"")</f>
        <v/>
      </c>
      <c r="E4795" s="28">
        <f>IFERROR(IF(AND(ISNUMBER(C4795),ISNUMBER(C4794),C4794&lt;&gt;0),C4795/C4794-1,""),"")</f>
        <v/>
      </c>
      <c r="F4795" s="28">
        <f>IFERROR(D4795-Dashboard!$B$4/252,"")</f>
        <v/>
      </c>
      <c r="G4795" s="28">
        <f>IFERROR(E4795-Dashboard!$B$4/252,"")</f>
        <v/>
      </c>
      <c r="H4795" s="8">
        <f>IFERROR(IF(ISNUMBER(B4795),MAX(B4795,IFERROR(H4794,B4795)),""),"")</f>
        <v/>
      </c>
      <c r="I4795" s="29">
        <f>IFERROR(IF(AND(ISNUMBER(B4795),ISNUMBER(H4795)),B4795/H4795-1,""),"")</f>
        <v/>
      </c>
      <c r="J4795" s="8">
        <f>IFERROR(IF(ISNUMBER(C4795),MAX(C4795,IFERROR(J4794,C4795)),""),"")</f>
        <v/>
      </c>
      <c r="K4795" s="29">
        <f>IFERROR(IF(AND(ISNUMBER(C4795),ISNUMBER(J4795)),C4795/J4795-1,""),"")</f>
        <v/>
      </c>
      <c r="L4795" s="28">
        <f>IFERROR(IF(AND(ISNUMBER(D4795),ISNUMBER(E4795)),D4795-E4795,""),"")</f>
        <v/>
      </c>
    </row>
    <row r="4796">
      <c r="A4796" s="7">
        <f>IFERROR(Datos!A4796,"")</f>
        <v/>
      </c>
      <c r="B4796" s="8">
        <f>IFERROR(Datos!B4796,"")</f>
        <v/>
      </c>
      <c r="C4796" s="8">
        <f>IFERROR(Datos!C4796,"")</f>
        <v/>
      </c>
      <c r="D4796" s="28">
        <f>IFERROR(IF(AND(ISNUMBER(B4796),ISNUMBER(B4795),B4795&lt;&gt;0),B4796/B4795-1,""),"")</f>
        <v/>
      </c>
      <c r="E4796" s="28">
        <f>IFERROR(IF(AND(ISNUMBER(C4796),ISNUMBER(C4795),C4795&lt;&gt;0),C4796/C4795-1,""),"")</f>
        <v/>
      </c>
      <c r="F4796" s="28">
        <f>IFERROR(D4796-Dashboard!$B$4/252,"")</f>
        <v/>
      </c>
      <c r="G4796" s="28">
        <f>IFERROR(E4796-Dashboard!$B$4/252,"")</f>
        <v/>
      </c>
      <c r="H4796" s="8">
        <f>IFERROR(IF(ISNUMBER(B4796),MAX(B4796,IFERROR(H4795,B4796)),""),"")</f>
        <v/>
      </c>
      <c r="I4796" s="29">
        <f>IFERROR(IF(AND(ISNUMBER(B4796),ISNUMBER(H4796)),B4796/H4796-1,""),"")</f>
        <v/>
      </c>
      <c r="J4796" s="8">
        <f>IFERROR(IF(ISNUMBER(C4796),MAX(C4796,IFERROR(J4795,C4796)),""),"")</f>
        <v/>
      </c>
      <c r="K4796" s="29">
        <f>IFERROR(IF(AND(ISNUMBER(C4796),ISNUMBER(J4796)),C4796/J4796-1,""),"")</f>
        <v/>
      </c>
      <c r="L4796" s="28">
        <f>IFERROR(IF(AND(ISNUMBER(D4796),ISNUMBER(E4796)),D4796-E4796,""),"")</f>
        <v/>
      </c>
    </row>
    <row r="4797">
      <c r="A4797" s="7">
        <f>IFERROR(Datos!A4797,"")</f>
        <v/>
      </c>
      <c r="B4797" s="8">
        <f>IFERROR(Datos!B4797,"")</f>
        <v/>
      </c>
      <c r="C4797" s="8">
        <f>IFERROR(Datos!C4797,"")</f>
        <v/>
      </c>
      <c r="D4797" s="28">
        <f>IFERROR(IF(AND(ISNUMBER(B4797),ISNUMBER(B4796),B4796&lt;&gt;0),B4797/B4796-1,""),"")</f>
        <v/>
      </c>
      <c r="E4797" s="28">
        <f>IFERROR(IF(AND(ISNUMBER(C4797),ISNUMBER(C4796),C4796&lt;&gt;0),C4797/C4796-1,""),"")</f>
        <v/>
      </c>
      <c r="F4797" s="28">
        <f>IFERROR(D4797-Dashboard!$B$4/252,"")</f>
        <v/>
      </c>
      <c r="G4797" s="28">
        <f>IFERROR(E4797-Dashboard!$B$4/252,"")</f>
        <v/>
      </c>
      <c r="H4797" s="8">
        <f>IFERROR(IF(ISNUMBER(B4797),MAX(B4797,IFERROR(H4796,B4797)),""),"")</f>
        <v/>
      </c>
      <c r="I4797" s="29">
        <f>IFERROR(IF(AND(ISNUMBER(B4797),ISNUMBER(H4797)),B4797/H4797-1,""),"")</f>
        <v/>
      </c>
      <c r="J4797" s="8">
        <f>IFERROR(IF(ISNUMBER(C4797),MAX(C4797,IFERROR(J4796,C4797)),""),"")</f>
        <v/>
      </c>
      <c r="K4797" s="29">
        <f>IFERROR(IF(AND(ISNUMBER(C4797),ISNUMBER(J4797)),C4797/J4797-1,""),"")</f>
        <v/>
      </c>
      <c r="L4797" s="28">
        <f>IFERROR(IF(AND(ISNUMBER(D4797),ISNUMBER(E4797)),D4797-E4797,""),"")</f>
        <v/>
      </c>
    </row>
    <row r="4798">
      <c r="A4798" s="7">
        <f>IFERROR(Datos!A4798,"")</f>
        <v/>
      </c>
      <c r="B4798" s="8">
        <f>IFERROR(Datos!B4798,"")</f>
        <v/>
      </c>
      <c r="C4798" s="8">
        <f>IFERROR(Datos!C4798,"")</f>
        <v/>
      </c>
      <c r="D4798" s="28">
        <f>IFERROR(IF(AND(ISNUMBER(B4798),ISNUMBER(B4797),B4797&lt;&gt;0),B4798/B4797-1,""),"")</f>
        <v/>
      </c>
      <c r="E4798" s="28">
        <f>IFERROR(IF(AND(ISNUMBER(C4798),ISNUMBER(C4797),C4797&lt;&gt;0),C4798/C4797-1,""),"")</f>
        <v/>
      </c>
      <c r="F4798" s="28">
        <f>IFERROR(D4798-Dashboard!$B$4/252,"")</f>
        <v/>
      </c>
      <c r="G4798" s="28">
        <f>IFERROR(E4798-Dashboard!$B$4/252,"")</f>
        <v/>
      </c>
      <c r="H4798" s="8">
        <f>IFERROR(IF(ISNUMBER(B4798),MAX(B4798,IFERROR(H4797,B4798)),""),"")</f>
        <v/>
      </c>
      <c r="I4798" s="29">
        <f>IFERROR(IF(AND(ISNUMBER(B4798),ISNUMBER(H4798)),B4798/H4798-1,""),"")</f>
        <v/>
      </c>
      <c r="J4798" s="8">
        <f>IFERROR(IF(ISNUMBER(C4798),MAX(C4798,IFERROR(J4797,C4798)),""),"")</f>
        <v/>
      </c>
      <c r="K4798" s="29">
        <f>IFERROR(IF(AND(ISNUMBER(C4798),ISNUMBER(J4798)),C4798/J4798-1,""),"")</f>
        <v/>
      </c>
      <c r="L4798" s="28">
        <f>IFERROR(IF(AND(ISNUMBER(D4798),ISNUMBER(E4798)),D4798-E4798,""),"")</f>
        <v/>
      </c>
    </row>
    <row r="4799">
      <c r="A4799" s="7">
        <f>IFERROR(Datos!A4799,"")</f>
        <v/>
      </c>
      <c r="B4799" s="8">
        <f>IFERROR(Datos!B4799,"")</f>
        <v/>
      </c>
      <c r="C4799" s="8">
        <f>IFERROR(Datos!C4799,"")</f>
        <v/>
      </c>
      <c r="D4799" s="28">
        <f>IFERROR(IF(AND(ISNUMBER(B4799),ISNUMBER(B4798),B4798&lt;&gt;0),B4799/B4798-1,""),"")</f>
        <v/>
      </c>
      <c r="E4799" s="28">
        <f>IFERROR(IF(AND(ISNUMBER(C4799),ISNUMBER(C4798),C4798&lt;&gt;0),C4799/C4798-1,""),"")</f>
        <v/>
      </c>
      <c r="F4799" s="28">
        <f>IFERROR(D4799-Dashboard!$B$4/252,"")</f>
        <v/>
      </c>
      <c r="G4799" s="28">
        <f>IFERROR(E4799-Dashboard!$B$4/252,"")</f>
        <v/>
      </c>
      <c r="H4799" s="8">
        <f>IFERROR(IF(ISNUMBER(B4799),MAX(B4799,IFERROR(H4798,B4799)),""),"")</f>
        <v/>
      </c>
      <c r="I4799" s="29">
        <f>IFERROR(IF(AND(ISNUMBER(B4799),ISNUMBER(H4799)),B4799/H4799-1,""),"")</f>
        <v/>
      </c>
      <c r="J4799" s="8">
        <f>IFERROR(IF(ISNUMBER(C4799),MAX(C4799,IFERROR(J4798,C4799)),""),"")</f>
        <v/>
      </c>
      <c r="K4799" s="29">
        <f>IFERROR(IF(AND(ISNUMBER(C4799),ISNUMBER(J4799)),C4799/J4799-1,""),"")</f>
        <v/>
      </c>
      <c r="L4799" s="28">
        <f>IFERROR(IF(AND(ISNUMBER(D4799),ISNUMBER(E4799)),D4799-E4799,""),"")</f>
        <v/>
      </c>
    </row>
    <row r="4800">
      <c r="A4800" s="7">
        <f>IFERROR(Datos!A4800,"")</f>
        <v/>
      </c>
      <c r="B4800" s="8">
        <f>IFERROR(Datos!B4800,"")</f>
        <v/>
      </c>
      <c r="C4800" s="8">
        <f>IFERROR(Datos!C4800,"")</f>
        <v/>
      </c>
      <c r="D4800" s="28">
        <f>IFERROR(IF(AND(ISNUMBER(B4800),ISNUMBER(B4799),B4799&lt;&gt;0),B4800/B4799-1,""),"")</f>
        <v/>
      </c>
      <c r="E4800" s="28">
        <f>IFERROR(IF(AND(ISNUMBER(C4800),ISNUMBER(C4799),C4799&lt;&gt;0),C4800/C4799-1,""),"")</f>
        <v/>
      </c>
      <c r="F4800" s="28">
        <f>IFERROR(D4800-Dashboard!$B$4/252,"")</f>
        <v/>
      </c>
      <c r="G4800" s="28">
        <f>IFERROR(E4800-Dashboard!$B$4/252,"")</f>
        <v/>
      </c>
      <c r="H4800" s="8">
        <f>IFERROR(IF(ISNUMBER(B4800),MAX(B4800,IFERROR(H4799,B4800)),""),"")</f>
        <v/>
      </c>
      <c r="I4800" s="29">
        <f>IFERROR(IF(AND(ISNUMBER(B4800),ISNUMBER(H4800)),B4800/H4800-1,""),"")</f>
        <v/>
      </c>
      <c r="J4800" s="8">
        <f>IFERROR(IF(ISNUMBER(C4800),MAX(C4800,IFERROR(J4799,C4800)),""),"")</f>
        <v/>
      </c>
      <c r="K4800" s="29">
        <f>IFERROR(IF(AND(ISNUMBER(C4800),ISNUMBER(J4800)),C4800/J4800-1,""),"")</f>
        <v/>
      </c>
      <c r="L4800" s="28">
        <f>IFERROR(IF(AND(ISNUMBER(D4800),ISNUMBER(E4800)),D4800-E4800,""),"")</f>
        <v/>
      </c>
    </row>
    <row r="4801">
      <c r="A4801" s="7">
        <f>IFERROR(Datos!A4801,"")</f>
        <v/>
      </c>
      <c r="B4801" s="8">
        <f>IFERROR(Datos!B4801,"")</f>
        <v/>
      </c>
      <c r="C4801" s="8">
        <f>IFERROR(Datos!C4801,"")</f>
        <v/>
      </c>
      <c r="D4801" s="28">
        <f>IFERROR(IF(AND(ISNUMBER(B4801),ISNUMBER(B4800),B4800&lt;&gt;0),B4801/B4800-1,""),"")</f>
        <v/>
      </c>
      <c r="E4801" s="28">
        <f>IFERROR(IF(AND(ISNUMBER(C4801),ISNUMBER(C4800),C4800&lt;&gt;0),C4801/C4800-1,""),"")</f>
        <v/>
      </c>
      <c r="F4801" s="28">
        <f>IFERROR(D4801-Dashboard!$B$4/252,"")</f>
        <v/>
      </c>
      <c r="G4801" s="28">
        <f>IFERROR(E4801-Dashboard!$B$4/252,"")</f>
        <v/>
      </c>
      <c r="H4801" s="8">
        <f>IFERROR(IF(ISNUMBER(B4801),MAX(B4801,IFERROR(H4800,B4801)),""),"")</f>
        <v/>
      </c>
      <c r="I4801" s="29">
        <f>IFERROR(IF(AND(ISNUMBER(B4801),ISNUMBER(H4801)),B4801/H4801-1,""),"")</f>
        <v/>
      </c>
      <c r="J4801" s="8">
        <f>IFERROR(IF(ISNUMBER(C4801),MAX(C4801,IFERROR(J4800,C4801)),""),"")</f>
        <v/>
      </c>
      <c r="K4801" s="29">
        <f>IFERROR(IF(AND(ISNUMBER(C4801),ISNUMBER(J4801)),C4801/J4801-1,""),"")</f>
        <v/>
      </c>
      <c r="L4801" s="28">
        <f>IFERROR(IF(AND(ISNUMBER(D4801),ISNUMBER(E4801)),D4801-E4801,""),"")</f>
        <v/>
      </c>
    </row>
    <row r="4802">
      <c r="A4802" s="7">
        <f>IFERROR(Datos!A4802,"")</f>
        <v/>
      </c>
      <c r="B4802" s="8">
        <f>IFERROR(Datos!B4802,"")</f>
        <v/>
      </c>
      <c r="C4802" s="8">
        <f>IFERROR(Datos!C4802,"")</f>
        <v/>
      </c>
      <c r="D4802" s="28">
        <f>IFERROR(IF(AND(ISNUMBER(B4802),ISNUMBER(B4801),B4801&lt;&gt;0),B4802/B4801-1,""),"")</f>
        <v/>
      </c>
      <c r="E4802" s="28">
        <f>IFERROR(IF(AND(ISNUMBER(C4802),ISNUMBER(C4801),C4801&lt;&gt;0),C4802/C4801-1,""),"")</f>
        <v/>
      </c>
      <c r="F4802" s="28">
        <f>IFERROR(D4802-Dashboard!$B$4/252,"")</f>
        <v/>
      </c>
      <c r="G4802" s="28">
        <f>IFERROR(E4802-Dashboard!$B$4/252,"")</f>
        <v/>
      </c>
      <c r="H4802" s="8">
        <f>IFERROR(IF(ISNUMBER(B4802),MAX(B4802,IFERROR(H4801,B4802)),""),"")</f>
        <v/>
      </c>
      <c r="I4802" s="29">
        <f>IFERROR(IF(AND(ISNUMBER(B4802),ISNUMBER(H4802)),B4802/H4802-1,""),"")</f>
        <v/>
      </c>
      <c r="J4802" s="8">
        <f>IFERROR(IF(ISNUMBER(C4802),MAX(C4802,IFERROR(J4801,C4802)),""),"")</f>
        <v/>
      </c>
      <c r="K4802" s="29">
        <f>IFERROR(IF(AND(ISNUMBER(C4802),ISNUMBER(J4802)),C4802/J4802-1,""),"")</f>
        <v/>
      </c>
      <c r="L4802" s="28">
        <f>IFERROR(IF(AND(ISNUMBER(D4802),ISNUMBER(E4802)),D4802-E4802,""),"")</f>
        <v/>
      </c>
    </row>
    <row r="4803">
      <c r="A4803" s="7">
        <f>IFERROR(Datos!A4803,"")</f>
        <v/>
      </c>
      <c r="B4803" s="8">
        <f>IFERROR(Datos!B4803,"")</f>
        <v/>
      </c>
      <c r="C4803" s="8">
        <f>IFERROR(Datos!C4803,"")</f>
        <v/>
      </c>
      <c r="D4803" s="28">
        <f>IFERROR(IF(AND(ISNUMBER(B4803),ISNUMBER(B4802),B4802&lt;&gt;0),B4803/B4802-1,""),"")</f>
        <v/>
      </c>
      <c r="E4803" s="28">
        <f>IFERROR(IF(AND(ISNUMBER(C4803),ISNUMBER(C4802),C4802&lt;&gt;0),C4803/C4802-1,""),"")</f>
        <v/>
      </c>
      <c r="F4803" s="28">
        <f>IFERROR(D4803-Dashboard!$B$4/252,"")</f>
        <v/>
      </c>
      <c r="G4803" s="28">
        <f>IFERROR(E4803-Dashboard!$B$4/252,"")</f>
        <v/>
      </c>
      <c r="H4803" s="8">
        <f>IFERROR(IF(ISNUMBER(B4803),MAX(B4803,IFERROR(H4802,B4803)),""),"")</f>
        <v/>
      </c>
      <c r="I4803" s="29">
        <f>IFERROR(IF(AND(ISNUMBER(B4803),ISNUMBER(H4803)),B4803/H4803-1,""),"")</f>
        <v/>
      </c>
      <c r="J4803" s="8">
        <f>IFERROR(IF(ISNUMBER(C4803),MAX(C4803,IFERROR(J4802,C4803)),""),"")</f>
        <v/>
      </c>
      <c r="K4803" s="29">
        <f>IFERROR(IF(AND(ISNUMBER(C4803),ISNUMBER(J4803)),C4803/J4803-1,""),"")</f>
        <v/>
      </c>
      <c r="L4803" s="28">
        <f>IFERROR(IF(AND(ISNUMBER(D4803),ISNUMBER(E4803)),D4803-E4803,""),"")</f>
        <v/>
      </c>
    </row>
    <row r="4804">
      <c r="A4804" s="7">
        <f>IFERROR(Datos!A4804,"")</f>
        <v/>
      </c>
      <c r="B4804" s="8">
        <f>IFERROR(Datos!B4804,"")</f>
        <v/>
      </c>
      <c r="C4804" s="8">
        <f>IFERROR(Datos!C4804,"")</f>
        <v/>
      </c>
      <c r="D4804" s="28">
        <f>IFERROR(IF(AND(ISNUMBER(B4804),ISNUMBER(B4803),B4803&lt;&gt;0),B4804/B4803-1,""),"")</f>
        <v/>
      </c>
      <c r="E4804" s="28">
        <f>IFERROR(IF(AND(ISNUMBER(C4804),ISNUMBER(C4803),C4803&lt;&gt;0),C4804/C4803-1,""),"")</f>
        <v/>
      </c>
      <c r="F4804" s="28">
        <f>IFERROR(D4804-Dashboard!$B$4/252,"")</f>
        <v/>
      </c>
      <c r="G4804" s="28">
        <f>IFERROR(E4804-Dashboard!$B$4/252,"")</f>
        <v/>
      </c>
      <c r="H4804" s="8">
        <f>IFERROR(IF(ISNUMBER(B4804),MAX(B4804,IFERROR(H4803,B4804)),""),"")</f>
        <v/>
      </c>
      <c r="I4804" s="29">
        <f>IFERROR(IF(AND(ISNUMBER(B4804),ISNUMBER(H4804)),B4804/H4804-1,""),"")</f>
        <v/>
      </c>
      <c r="J4804" s="8">
        <f>IFERROR(IF(ISNUMBER(C4804),MAX(C4804,IFERROR(J4803,C4804)),""),"")</f>
        <v/>
      </c>
      <c r="K4804" s="29">
        <f>IFERROR(IF(AND(ISNUMBER(C4804),ISNUMBER(J4804)),C4804/J4804-1,""),"")</f>
        <v/>
      </c>
      <c r="L4804" s="28">
        <f>IFERROR(IF(AND(ISNUMBER(D4804),ISNUMBER(E4804)),D4804-E4804,""),"")</f>
        <v/>
      </c>
    </row>
    <row r="4805">
      <c r="A4805" s="7">
        <f>IFERROR(Datos!A4805,"")</f>
        <v/>
      </c>
      <c r="B4805" s="8">
        <f>IFERROR(Datos!B4805,"")</f>
        <v/>
      </c>
      <c r="C4805" s="8">
        <f>IFERROR(Datos!C4805,"")</f>
        <v/>
      </c>
      <c r="D4805" s="28">
        <f>IFERROR(IF(AND(ISNUMBER(B4805),ISNUMBER(B4804),B4804&lt;&gt;0),B4805/B4804-1,""),"")</f>
        <v/>
      </c>
      <c r="E4805" s="28">
        <f>IFERROR(IF(AND(ISNUMBER(C4805),ISNUMBER(C4804),C4804&lt;&gt;0),C4805/C4804-1,""),"")</f>
        <v/>
      </c>
      <c r="F4805" s="28">
        <f>IFERROR(D4805-Dashboard!$B$4/252,"")</f>
        <v/>
      </c>
      <c r="G4805" s="28">
        <f>IFERROR(E4805-Dashboard!$B$4/252,"")</f>
        <v/>
      </c>
      <c r="H4805" s="8">
        <f>IFERROR(IF(ISNUMBER(B4805),MAX(B4805,IFERROR(H4804,B4805)),""),"")</f>
        <v/>
      </c>
      <c r="I4805" s="29">
        <f>IFERROR(IF(AND(ISNUMBER(B4805),ISNUMBER(H4805)),B4805/H4805-1,""),"")</f>
        <v/>
      </c>
      <c r="J4805" s="8">
        <f>IFERROR(IF(ISNUMBER(C4805),MAX(C4805,IFERROR(J4804,C4805)),""),"")</f>
        <v/>
      </c>
      <c r="K4805" s="29">
        <f>IFERROR(IF(AND(ISNUMBER(C4805),ISNUMBER(J4805)),C4805/J4805-1,""),"")</f>
        <v/>
      </c>
      <c r="L4805" s="28">
        <f>IFERROR(IF(AND(ISNUMBER(D4805),ISNUMBER(E4805)),D4805-E4805,""),"")</f>
        <v/>
      </c>
    </row>
    <row r="4806">
      <c r="A4806" s="7">
        <f>IFERROR(Datos!A4806,"")</f>
        <v/>
      </c>
      <c r="B4806" s="8">
        <f>IFERROR(Datos!B4806,"")</f>
        <v/>
      </c>
      <c r="C4806" s="8">
        <f>IFERROR(Datos!C4806,"")</f>
        <v/>
      </c>
      <c r="D4806" s="28">
        <f>IFERROR(IF(AND(ISNUMBER(B4806),ISNUMBER(B4805),B4805&lt;&gt;0),B4806/B4805-1,""),"")</f>
        <v/>
      </c>
      <c r="E4806" s="28">
        <f>IFERROR(IF(AND(ISNUMBER(C4806),ISNUMBER(C4805),C4805&lt;&gt;0),C4806/C4805-1,""),"")</f>
        <v/>
      </c>
      <c r="F4806" s="28">
        <f>IFERROR(D4806-Dashboard!$B$4/252,"")</f>
        <v/>
      </c>
      <c r="G4806" s="28">
        <f>IFERROR(E4806-Dashboard!$B$4/252,"")</f>
        <v/>
      </c>
      <c r="H4806" s="8">
        <f>IFERROR(IF(ISNUMBER(B4806),MAX(B4806,IFERROR(H4805,B4806)),""),"")</f>
        <v/>
      </c>
      <c r="I4806" s="29">
        <f>IFERROR(IF(AND(ISNUMBER(B4806),ISNUMBER(H4806)),B4806/H4806-1,""),"")</f>
        <v/>
      </c>
      <c r="J4806" s="8">
        <f>IFERROR(IF(ISNUMBER(C4806),MAX(C4806,IFERROR(J4805,C4806)),""),"")</f>
        <v/>
      </c>
      <c r="K4806" s="29">
        <f>IFERROR(IF(AND(ISNUMBER(C4806),ISNUMBER(J4806)),C4806/J4806-1,""),"")</f>
        <v/>
      </c>
      <c r="L4806" s="28">
        <f>IFERROR(IF(AND(ISNUMBER(D4806),ISNUMBER(E4806)),D4806-E4806,""),"")</f>
        <v/>
      </c>
    </row>
    <row r="4807">
      <c r="A4807" s="7">
        <f>IFERROR(Datos!A4807,"")</f>
        <v/>
      </c>
      <c r="B4807" s="8">
        <f>IFERROR(Datos!B4807,"")</f>
        <v/>
      </c>
      <c r="C4807" s="8">
        <f>IFERROR(Datos!C4807,"")</f>
        <v/>
      </c>
      <c r="D4807" s="28">
        <f>IFERROR(IF(AND(ISNUMBER(B4807),ISNUMBER(B4806),B4806&lt;&gt;0),B4807/B4806-1,""),"")</f>
        <v/>
      </c>
      <c r="E4807" s="28">
        <f>IFERROR(IF(AND(ISNUMBER(C4807),ISNUMBER(C4806),C4806&lt;&gt;0),C4807/C4806-1,""),"")</f>
        <v/>
      </c>
      <c r="F4807" s="28">
        <f>IFERROR(D4807-Dashboard!$B$4/252,"")</f>
        <v/>
      </c>
      <c r="G4807" s="28">
        <f>IFERROR(E4807-Dashboard!$B$4/252,"")</f>
        <v/>
      </c>
      <c r="H4807" s="8">
        <f>IFERROR(IF(ISNUMBER(B4807),MAX(B4807,IFERROR(H4806,B4807)),""),"")</f>
        <v/>
      </c>
      <c r="I4807" s="29">
        <f>IFERROR(IF(AND(ISNUMBER(B4807),ISNUMBER(H4807)),B4807/H4807-1,""),"")</f>
        <v/>
      </c>
      <c r="J4807" s="8">
        <f>IFERROR(IF(ISNUMBER(C4807),MAX(C4807,IFERROR(J4806,C4807)),""),"")</f>
        <v/>
      </c>
      <c r="K4807" s="29">
        <f>IFERROR(IF(AND(ISNUMBER(C4807),ISNUMBER(J4807)),C4807/J4807-1,""),"")</f>
        <v/>
      </c>
      <c r="L4807" s="28">
        <f>IFERROR(IF(AND(ISNUMBER(D4807),ISNUMBER(E4807)),D4807-E4807,""),"")</f>
        <v/>
      </c>
    </row>
    <row r="4808">
      <c r="A4808" s="7">
        <f>IFERROR(Datos!A4808,"")</f>
        <v/>
      </c>
      <c r="B4808" s="8">
        <f>IFERROR(Datos!B4808,"")</f>
        <v/>
      </c>
      <c r="C4808" s="8">
        <f>IFERROR(Datos!C4808,"")</f>
        <v/>
      </c>
      <c r="D4808" s="28">
        <f>IFERROR(IF(AND(ISNUMBER(B4808),ISNUMBER(B4807),B4807&lt;&gt;0),B4808/B4807-1,""),"")</f>
        <v/>
      </c>
      <c r="E4808" s="28">
        <f>IFERROR(IF(AND(ISNUMBER(C4808),ISNUMBER(C4807),C4807&lt;&gt;0),C4808/C4807-1,""),"")</f>
        <v/>
      </c>
      <c r="F4808" s="28">
        <f>IFERROR(D4808-Dashboard!$B$4/252,"")</f>
        <v/>
      </c>
      <c r="G4808" s="28">
        <f>IFERROR(E4808-Dashboard!$B$4/252,"")</f>
        <v/>
      </c>
      <c r="H4808" s="8">
        <f>IFERROR(IF(ISNUMBER(B4808),MAX(B4808,IFERROR(H4807,B4808)),""),"")</f>
        <v/>
      </c>
      <c r="I4808" s="29">
        <f>IFERROR(IF(AND(ISNUMBER(B4808),ISNUMBER(H4808)),B4808/H4808-1,""),"")</f>
        <v/>
      </c>
      <c r="J4808" s="8">
        <f>IFERROR(IF(ISNUMBER(C4808),MAX(C4808,IFERROR(J4807,C4808)),""),"")</f>
        <v/>
      </c>
      <c r="K4808" s="29">
        <f>IFERROR(IF(AND(ISNUMBER(C4808),ISNUMBER(J4808)),C4808/J4808-1,""),"")</f>
        <v/>
      </c>
      <c r="L4808" s="28">
        <f>IFERROR(IF(AND(ISNUMBER(D4808),ISNUMBER(E4808)),D4808-E4808,""),"")</f>
        <v/>
      </c>
    </row>
    <row r="4809">
      <c r="A4809" s="7">
        <f>IFERROR(Datos!A4809,"")</f>
        <v/>
      </c>
      <c r="B4809" s="8">
        <f>IFERROR(Datos!B4809,"")</f>
        <v/>
      </c>
      <c r="C4809" s="8">
        <f>IFERROR(Datos!C4809,"")</f>
        <v/>
      </c>
      <c r="D4809" s="28">
        <f>IFERROR(IF(AND(ISNUMBER(B4809),ISNUMBER(B4808),B4808&lt;&gt;0),B4809/B4808-1,""),"")</f>
        <v/>
      </c>
      <c r="E4809" s="28">
        <f>IFERROR(IF(AND(ISNUMBER(C4809),ISNUMBER(C4808),C4808&lt;&gt;0),C4809/C4808-1,""),"")</f>
        <v/>
      </c>
      <c r="F4809" s="28">
        <f>IFERROR(D4809-Dashboard!$B$4/252,"")</f>
        <v/>
      </c>
      <c r="G4809" s="28">
        <f>IFERROR(E4809-Dashboard!$B$4/252,"")</f>
        <v/>
      </c>
      <c r="H4809" s="8">
        <f>IFERROR(IF(ISNUMBER(B4809),MAX(B4809,IFERROR(H4808,B4809)),""),"")</f>
        <v/>
      </c>
      <c r="I4809" s="29">
        <f>IFERROR(IF(AND(ISNUMBER(B4809),ISNUMBER(H4809)),B4809/H4809-1,""),"")</f>
        <v/>
      </c>
      <c r="J4809" s="8">
        <f>IFERROR(IF(ISNUMBER(C4809),MAX(C4809,IFERROR(J4808,C4809)),""),"")</f>
        <v/>
      </c>
      <c r="K4809" s="29">
        <f>IFERROR(IF(AND(ISNUMBER(C4809),ISNUMBER(J4809)),C4809/J4809-1,""),"")</f>
        <v/>
      </c>
      <c r="L4809" s="28">
        <f>IFERROR(IF(AND(ISNUMBER(D4809),ISNUMBER(E4809)),D4809-E4809,""),"")</f>
        <v/>
      </c>
    </row>
    <row r="4810">
      <c r="A4810" s="7">
        <f>IFERROR(Datos!A4810,"")</f>
        <v/>
      </c>
      <c r="B4810" s="8">
        <f>IFERROR(Datos!B4810,"")</f>
        <v/>
      </c>
      <c r="C4810" s="8">
        <f>IFERROR(Datos!C4810,"")</f>
        <v/>
      </c>
      <c r="D4810" s="28">
        <f>IFERROR(IF(AND(ISNUMBER(B4810),ISNUMBER(B4809),B4809&lt;&gt;0),B4810/B4809-1,""),"")</f>
        <v/>
      </c>
      <c r="E4810" s="28">
        <f>IFERROR(IF(AND(ISNUMBER(C4810),ISNUMBER(C4809),C4809&lt;&gt;0),C4810/C4809-1,""),"")</f>
        <v/>
      </c>
      <c r="F4810" s="28">
        <f>IFERROR(D4810-Dashboard!$B$4/252,"")</f>
        <v/>
      </c>
      <c r="G4810" s="28">
        <f>IFERROR(E4810-Dashboard!$B$4/252,"")</f>
        <v/>
      </c>
      <c r="H4810" s="8">
        <f>IFERROR(IF(ISNUMBER(B4810),MAX(B4810,IFERROR(H4809,B4810)),""),"")</f>
        <v/>
      </c>
      <c r="I4810" s="29">
        <f>IFERROR(IF(AND(ISNUMBER(B4810),ISNUMBER(H4810)),B4810/H4810-1,""),"")</f>
        <v/>
      </c>
      <c r="J4810" s="8">
        <f>IFERROR(IF(ISNUMBER(C4810),MAX(C4810,IFERROR(J4809,C4810)),""),"")</f>
        <v/>
      </c>
      <c r="K4810" s="29">
        <f>IFERROR(IF(AND(ISNUMBER(C4810),ISNUMBER(J4810)),C4810/J4810-1,""),"")</f>
        <v/>
      </c>
      <c r="L4810" s="28">
        <f>IFERROR(IF(AND(ISNUMBER(D4810),ISNUMBER(E4810)),D4810-E4810,""),"")</f>
        <v/>
      </c>
    </row>
    <row r="4811">
      <c r="A4811" s="7">
        <f>IFERROR(Datos!A4811,"")</f>
        <v/>
      </c>
      <c r="B4811" s="8">
        <f>IFERROR(Datos!B4811,"")</f>
        <v/>
      </c>
      <c r="C4811" s="8">
        <f>IFERROR(Datos!C4811,"")</f>
        <v/>
      </c>
      <c r="D4811" s="28">
        <f>IFERROR(IF(AND(ISNUMBER(B4811),ISNUMBER(B4810),B4810&lt;&gt;0),B4811/B4810-1,""),"")</f>
        <v/>
      </c>
      <c r="E4811" s="28">
        <f>IFERROR(IF(AND(ISNUMBER(C4811),ISNUMBER(C4810),C4810&lt;&gt;0),C4811/C4810-1,""),"")</f>
        <v/>
      </c>
      <c r="F4811" s="28">
        <f>IFERROR(D4811-Dashboard!$B$4/252,"")</f>
        <v/>
      </c>
      <c r="G4811" s="28">
        <f>IFERROR(E4811-Dashboard!$B$4/252,"")</f>
        <v/>
      </c>
      <c r="H4811" s="8">
        <f>IFERROR(IF(ISNUMBER(B4811),MAX(B4811,IFERROR(H4810,B4811)),""),"")</f>
        <v/>
      </c>
      <c r="I4811" s="29">
        <f>IFERROR(IF(AND(ISNUMBER(B4811),ISNUMBER(H4811)),B4811/H4811-1,""),"")</f>
        <v/>
      </c>
      <c r="J4811" s="8">
        <f>IFERROR(IF(ISNUMBER(C4811),MAX(C4811,IFERROR(J4810,C4811)),""),"")</f>
        <v/>
      </c>
      <c r="K4811" s="29">
        <f>IFERROR(IF(AND(ISNUMBER(C4811),ISNUMBER(J4811)),C4811/J4811-1,""),"")</f>
        <v/>
      </c>
      <c r="L4811" s="28">
        <f>IFERROR(IF(AND(ISNUMBER(D4811),ISNUMBER(E4811)),D4811-E4811,""),"")</f>
        <v/>
      </c>
    </row>
    <row r="4812">
      <c r="A4812" s="7">
        <f>IFERROR(Datos!A4812,"")</f>
        <v/>
      </c>
      <c r="B4812" s="8">
        <f>IFERROR(Datos!B4812,"")</f>
        <v/>
      </c>
      <c r="C4812" s="8">
        <f>IFERROR(Datos!C4812,"")</f>
        <v/>
      </c>
      <c r="D4812" s="28">
        <f>IFERROR(IF(AND(ISNUMBER(B4812),ISNUMBER(B4811),B4811&lt;&gt;0),B4812/B4811-1,""),"")</f>
        <v/>
      </c>
      <c r="E4812" s="28">
        <f>IFERROR(IF(AND(ISNUMBER(C4812),ISNUMBER(C4811),C4811&lt;&gt;0),C4812/C4811-1,""),"")</f>
        <v/>
      </c>
      <c r="F4812" s="28">
        <f>IFERROR(D4812-Dashboard!$B$4/252,"")</f>
        <v/>
      </c>
      <c r="G4812" s="28">
        <f>IFERROR(E4812-Dashboard!$B$4/252,"")</f>
        <v/>
      </c>
      <c r="H4812" s="8">
        <f>IFERROR(IF(ISNUMBER(B4812),MAX(B4812,IFERROR(H4811,B4812)),""),"")</f>
        <v/>
      </c>
      <c r="I4812" s="29">
        <f>IFERROR(IF(AND(ISNUMBER(B4812),ISNUMBER(H4812)),B4812/H4812-1,""),"")</f>
        <v/>
      </c>
      <c r="J4812" s="8">
        <f>IFERROR(IF(ISNUMBER(C4812),MAX(C4812,IFERROR(J4811,C4812)),""),"")</f>
        <v/>
      </c>
      <c r="K4812" s="29">
        <f>IFERROR(IF(AND(ISNUMBER(C4812),ISNUMBER(J4812)),C4812/J4812-1,""),"")</f>
        <v/>
      </c>
      <c r="L4812" s="28">
        <f>IFERROR(IF(AND(ISNUMBER(D4812),ISNUMBER(E4812)),D4812-E4812,""),"")</f>
        <v/>
      </c>
    </row>
    <row r="4813">
      <c r="A4813" s="7">
        <f>IFERROR(Datos!A4813,"")</f>
        <v/>
      </c>
      <c r="B4813" s="8">
        <f>IFERROR(Datos!B4813,"")</f>
        <v/>
      </c>
      <c r="C4813" s="8">
        <f>IFERROR(Datos!C4813,"")</f>
        <v/>
      </c>
      <c r="D4813" s="28">
        <f>IFERROR(IF(AND(ISNUMBER(B4813),ISNUMBER(B4812),B4812&lt;&gt;0),B4813/B4812-1,""),"")</f>
        <v/>
      </c>
      <c r="E4813" s="28">
        <f>IFERROR(IF(AND(ISNUMBER(C4813),ISNUMBER(C4812),C4812&lt;&gt;0),C4813/C4812-1,""),"")</f>
        <v/>
      </c>
      <c r="F4813" s="28">
        <f>IFERROR(D4813-Dashboard!$B$4/252,"")</f>
        <v/>
      </c>
      <c r="G4813" s="28">
        <f>IFERROR(E4813-Dashboard!$B$4/252,"")</f>
        <v/>
      </c>
      <c r="H4813" s="8">
        <f>IFERROR(IF(ISNUMBER(B4813),MAX(B4813,IFERROR(H4812,B4813)),""),"")</f>
        <v/>
      </c>
      <c r="I4813" s="29">
        <f>IFERROR(IF(AND(ISNUMBER(B4813),ISNUMBER(H4813)),B4813/H4813-1,""),"")</f>
        <v/>
      </c>
      <c r="J4813" s="8">
        <f>IFERROR(IF(ISNUMBER(C4813),MAX(C4813,IFERROR(J4812,C4813)),""),"")</f>
        <v/>
      </c>
      <c r="K4813" s="29">
        <f>IFERROR(IF(AND(ISNUMBER(C4813),ISNUMBER(J4813)),C4813/J4813-1,""),"")</f>
        <v/>
      </c>
      <c r="L4813" s="28">
        <f>IFERROR(IF(AND(ISNUMBER(D4813),ISNUMBER(E4813)),D4813-E4813,""),"")</f>
        <v/>
      </c>
    </row>
    <row r="4814">
      <c r="A4814" s="7">
        <f>IFERROR(Datos!A4814,"")</f>
        <v/>
      </c>
      <c r="B4814" s="8">
        <f>IFERROR(Datos!B4814,"")</f>
        <v/>
      </c>
      <c r="C4814" s="8">
        <f>IFERROR(Datos!C4814,"")</f>
        <v/>
      </c>
      <c r="D4814" s="28">
        <f>IFERROR(IF(AND(ISNUMBER(B4814),ISNUMBER(B4813),B4813&lt;&gt;0),B4814/B4813-1,""),"")</f>
        <v/>
      </c>
      <c r="E4814" s="28">
        <f>IFERROR(IF(AND(ISNUMBER(C4814),ISNUMBER(C4813),C4813&lt;&gt;0),C4814/C4813-1,""),"")</f>
        <v/>
      </c>
      <c r="F4814" s="28">
        <f>IFERROR(D4814-Dashboard!$B$4/252,"")</f>
        <v/>
      </c>
      <c r="G4814" s="28">
        <f>IFERROR(E4814-Dashboard!$B$4/252,"")</f>
        <v/>
      </c>
      <c r="H4814" s="8">
        <f>IFERROR(IF(ISNUMBER(B4814),MAX(B4814,IFERROR(H4813,B4814)),""),"")</f>
        <v/>
      </c>
      <c r="I4814" s="29">
        <f>IFERROR(IF(AND(ISNUMBER(B4814),ISNUMBER(H4814)),B4814/H4814-1,""),"")</f>
        <v/>
      </c>
      <c r="J4814" s="8">
        <f>IFERROR(IF(ISNUMBER(C4814),MAX(C4814,IFERROR(J4813,C4814)),""),"")</f>
        <v/>
      </c>
      <c r="K4814" s="29">
        <f>IFERROR(IF(AND(ISNUMBER(C4814),ISNUMBER(J4814)),C4814/J4814-1,""),"")</f>
        <v/>
      </c>
      <c r="L4814" s="28">
        <f>IFERROR(IF(AND(ISNUMBER(D4814),ISNUMBER(E4814)),D4814-E4814,""),"")</f>
        <v/>
      </c>
    </row>
    <row r="4815">
      <c r="A4815" s="7">
        <f>IFERROR(Datos!A4815,"")</f>
        <v/>
      </c>
      <c r="B4815" s="8">
        <f>IFERROR(Datos!B4815,"")</f>
        <v/>
      </c>
      <c r="C4815" s="8">
        <f>IFERROR(Datos!C4815,"")</f>
        <v/>
      </c>
      <c r="D4815" s="28">
        <f>IFERROR(IF(AND(ISNUMBER(B4815),ISNUMBER(B4814),B4814&lt;&gt;0),B4815/B4814-1,""),"")</f>
        <v/>
      </c>
      <c r="E4815" s="28">
        <f>IFERROR(IF(AND(ISNUMBER(C4815),ISNUMBER(C4814),C4814&lt;&gt;0),C4815/C4814-1,""),"")</f>
        <v/>
      </c>
      <c r="F4815" s="28">
        <f>IFERROR(D4815-Dashboard!$B$4/252,"")</f>
        <v/>
      </c>
      <c r="G4815" s="28">
        <f>IFERROR(E4815-Dashboard!$B$4/252,"")</f>
        <v/>
      </c>
      <c r="H4815" s="8">
        <f>IFERROR(IF(ISNUMBER(B4815),MAX(B4815,IFERROR(H4814,B4815)),""),"")</f>
        <v/>
      </c>
      <c r="I4815" s="29">
        <f>IFERROR(IF(AND(ISNUMBER(B4815),ISNUMBER(H4815)),B4815/H4815-1,""),"")</f>
        <v/>
      </c>
      <c r="J4815" s="8">
        <f>IFERROR(IF(ISNUMBER(C4815),MAX(C4815,IFERROR(J4814,C4815)),""),"")</f>
        <v/>
      </c>
      <c r="K4815" s="29">
        <f>IFERROR(IF(AND(ISNUMBER(C4815),ISNUMBER(J4815)),C4815/J4815-1,""),"")</f>
        <v/>
      </c>
      <c r="L4815" s="28">
        <f>IFERROR(IF(AND(ISNUMBER(D4815),ISNUMBER(E4815)),D4815-E4815,""),"")</f>
        <v/>
      </c>
    </row>
    <row r="4816">
      <c r="A4816" s="7">
        <f>IFERROR(Datos!A4816,"")</f>
        <v/>
      </c>
      <c r="B4816" s="8">
        <f>IFERROR(Datos!B4816,"")</f>
        <v/>
      </c>
      <c r="C4816" s="8">
        <f>IFERROR(Datos!C4816,"")</f>
        <v/>
      </c>
      <c r="D4816" s="28">
        <f>IFERROR(IF(AND(ISNUMBER(B4816),ISNUMBER(B4815),B4815&lt;&gt;0),B4816/B4815-1,""),"")</f>
        <v/>
      </c>
      <c r="E4816" s="28">
        <f>IFERROR(IF(AND(ISNUMBER(C4816),ISNUMBER(C4815),C4815&lt;&gt;0),C4816/C4815-1,""),"")</f>
        <v/>
      </c>
      <c r="F4816" s="28">
        <f>IFERROR(D4816-Dashboard!$B$4/252,"")</f>
        <v/>
      </c>
      <c r="G4816" s="28">
        <f>IFERROR(E4816-Dashboard!$B$4/252,"")</f>
        <v/>
      </c>
      <c r="H4816" s="8">
        <f>IFERROR(IF(ISNUMBER(B4816),MAX(B4816,IFERROR(H4815,B4816)),""),"")</f>
        <v/>
      </c>
      <c r="I4816" s="29">
        <f>IFERROR(IF(AND(ISNUMBER(B4816),ISNUMBER(H4816)),B4816/H4816-1,""),"")</f>
        <v/>
      </c>
      <c r="J4816" s="8">
        <f>IFERROR(IF(ISNUMBER(C4816),MAX(C4816,IFERROR(J4815,C4816)),""),"")</f>
        <v/>
      </c>
      <c r="K4816" s="29">
        <f>IFERROR(IF(AND(ISNUMBER(C4816),ISNUMBER(J4816)),C4816/J4816-1,""),"")</f>
        <v/>
      </c>
      <c r="L4816" s="28">
        <f>IFERROR(IF(AND(ISNUMBER(D4816),ISNUMBER(E4816)),D4816-E4816,""),"")</f>
        <v/>
      </c>
    </row>
    <row r="4817">
      <c r="A4817" s="7">
        <f>IFERROR(Datos!A4817,"")</f>
        <v/>
      </c>
      <c r="B4817" s="8">
        <f>IFERROR(Datos!B4817,"")</f>
        <v/>
      </c>
      <c r="C4817" s="8">
        <f>IFERROR(Datos!C4817,"")</f>
        <v/>
      </c>
      <c r="D4817" s="28">
        <f>IFERROR(IF(AND(ISNUMBER(B4817),ISNUMBER(B4816),B4816&lt;&gt;0),B4817/B4816-1,""),"")</f>
        <v/>
      </c>
      <c r="E4817" s="28">
        <f>IFERROR(IF(AND(ISNUMBER(C4817),ISNUMBER(C4816),C4816&lt;&gt;0),C4817/C4816-1,""),"")</f>
        <v/>
      </c>
      <c r="F4817" s="28">
        <f>IFERROR(D4817-Dashboard!$B$4/252,"")</f>
        <v/>
      </c>
      <c r="G4817" s="28">
        <f>IFERROR(E4817-Dashboard!$B$4/252,"")</f>
        <v/>
      </c>
      <c r="H4817" s="8">
        <f>IFERROR(IF(ISNUMBER(B4817),MAX(B4817,IFERROR(H4816,B4817)),""),"")</f>
        <v/>
      </c>
      <c r="I4817" s="29">
        <f>IFERROR(IF(AND(ISNUMBER(B4817),ISNUMBER(H4817)),B4817/H4817-1,""),"")</f>
        <v/>
      </c>
      <c r="J4817" s="8">
        <f>IFERROR(IF(ISNUMBER(C4817),MAX(C4817,IFERROR(J4816,C4817)),""),"")</f>
        <v/>
      </c>
      <c r="K4817" s="29">
        <f>IFERROR(IF(AND(ISNUMBER(C4817),ISNUMBER(J4817)),C4817/J4817-1,""),"")</f>
        <v/>
      </c>
      <c r="L4817" s="28">
        <f>IFERROR(IF(AND(ISNUMBER(D4817),ISNUMBER(E4817)),D4817-E4817,""),"")</f>
        <v/>
      </c>
    </row>
    <row r="4818">
      <c r="A4818" s="7">
        <f>IFERROR(Datos!A4818,"")</f>
        <v/>
      </c>
      <c r="B4818" s="8">
        <f>IFERROR(Datos!B4818,"")</f>
        <v/>
      </c>
      <c r="C4818" s="8">
        <f>IFERROR(Datos!C4818,"")</f>
        <v/>
      </c>
      <c r="D4818" s="28">
        <f>IFERROR(IF(AND(ISNUMBER(B4818),ISNUMBER(B4817),B4817&lt;&gt;0),B4818/B4817-1,""),"")</f>
        <v/>
      </c>
      <c r="E4818" s="28">
        <f>IFERROR(IF(AND(ISNUMBER(C4818),ISNUMBER(C4817),C4817&lt;&gt;0),C4818/C4817-1,""),"")</f>
        <v/>
      </c>
      <c r="F4818" s="28">
        <f>IFERROR(D4818-Dashboard!$B$4/252,"")</f>
        <v/>
      </c>
      <c r="G4818" s="28">
        <f>IFERROR(E4818-Dashboard!$B$4/252,"")</f>
        <v/>
      </c>
      <c r="H4818" s="8">
        <f>IFERROR(IF(ISNUMBER(B4818),MAX(B4818,IFERROR(H4817,B4818)),""),"")</f>
        <v/>
      </c>
      <c r="I4818" s="29">
        <f>IFERROR(IF(AND(ISNUMBER(B4818),ISNUMBER(H4818)),B4818/H4818-1,""),"")</f>
        <v/>
      </c>
      <c r="J4818" s="8">
        <f>IFERROR(IF(ISNUMBER(C4818),MAX(C4818,IFERROR(J4817,C4818)),""),"")</f>
        <v/>
      </c>
      <c r="K4818" s="29">
        <f>IFERROR(IF(AND(ISNUMBER(C4818),ISNUMBER(J4818)),C4818/J4818-1,""),"")</f>
        <v/>
      </c>
      <c r="L4818" s="28">
        <f>IFERROR(IF(AND(ISNUMBER(D4818),ISNUMBER(E4818)),D4818-E4818,""),"")</f>
        <v/>
      </c>
    </row>
    <row r="4819">
      <c r="A4819" s="7">
        <f>IFERROR(Datos!A4819,"")</f>
        <v/>
      </c>
      <c r="B4819" s="8">
        <f>IFERROR(Datos!B4819,"")</f>
        <v/>
      </c>
      <c r="C4819" s="8">
        <f>IFERROR(Datos!C4819,"")</f>
        <v/>
      </c>
      <c r="D4819" s="28">
        <f>IFERROR(IF(AND(ISNUMBER(B4819),ISNUMBER(B4818),B4818&lt;&gt;0),B4819/B4818-1,""),"")</f>
        <v/>
      </c>
      <c r="E4819" s="28">
        <f>IFERROR(IF(AND(ISNUMBER(C4819),ISNUMBER(C4818),C4818&lt;&gt;0),C4819/C4818-1,""),"")</f>
        <v/>
      </c>
      <c r="F4819" s="28">
        <f>IFERROR(D4819-Dashboard!$B$4/252,"")</f>
        <v/>
      </c>
      <c r="G4819" s="28">
        <f>IFERROR(E4819-Dashboard!$B$4/252,"")</f>
        <v/>
      </c>
      <c r="H4819" s="8">
        <f>IFERROR(IF(ISNUMBER(B4819),MAX(B4819,IFERROR(H4818,B4819)),""),"")</f>
        <v/>
      </c>
      <c r="I4819" s="29">
        <f>IFERROR(IF(AND(ISNUMBER(B4819),ISNUMBER(H4819)),B4819/H4819-1,""),"")</f>
        <v/>
      </c>
      <c r="J4819" s="8">
        <f>IFERROR(IF(ISNUMBER(C4819),MAX(C4819,IFERROR(J4818,C4819)),""),"")</f>
        <v/>
      </c>
      <c r="K4819" s="29">
        <f>IFERROR(IF(AND(ISNUMBER(C4819),ISNUMBER(J4819)),C4819/J4819-1,""),"")</f>
        <v/>
      </c>
      <c r="L4819" s="28">
        <f>IFERROR(IF(AND(ISNUMBER(D4819),ISNUMBER(E4819)),D4819-E4819,""),"")</f>
        <v/>
      </c>
    </row>
    <row r="4820">
      <c r="A4820" s="7">
        <f>IFERROR(Datos!A4820,"")</f>
        <v/>
      </c>
      <c r="B4820" s="8">
        <f>IFERROR(Datos!B4820,"")</f>
        <v/>
      </c>
      <c r="C4820" s="8">
        <f>IFERROR(Datos!C4820,"")</f>
        <v/>
      </c>
      <c r="D4820" s="28">
        <f>IFERROR(IF(AND(ISNUMBER(B4820),ISNUMBER(B4819),B4819&lt;&gt;0),B4820/B4819-1,""),"")</f>
        <v/>
      </c>
      <c r="E4820" s="28">
        <f>IFERROR(IF(AND(ISNUMBER(C4820),ISNUMBER(C4819),C4819&lt;&gt;0),C4820/C4819-1,""),"")</f>
        <v/>
      </c>
      <c r="F4820" s="28">
        <f>IFERROR(D4820-Dashboard!$B$4/252,"")</f>
        <v/>
      </c>
      <c r="G4820" s="28">
        <f>IFERROR(E4820-Dashboard!$B$4/252,"")</f>
        <v/>
      </c>
      <c r="H4820" s="8">
        <f>IFERROR(IF(ISNUMBER(B4820),MAX(B4820,IFERROR(H4819,B4820)),""),"")</f>
        <v/>
      </c>
      <c r="I4820" s="29">
        <f>IFERROR(IF(AND(ISNUMBER(B4820),ISNUMBER(H4820)),B4820/H4820-1,""),"")</f>
        <v/>
      </c>
      <c r="J4820" s="8">
        <f>IFERROR(IF(ISNUMBER(C4820),MAX(C4820,IFERROR(J4819,C4820)),""),"")</f>
        <v/>
      </c>
      <c r="K4820" s="29">
        <f>IFERROR(IF(AND(ISNUMBER(C4820),ISNUMBER(J4820)),C4820/J4820-1,""),"")</f>
        <v/>
      </c>
      <c r="L4820" s="28">
        <f>IFERROR(IF(AND(ISNUMBER(D4820),ISNUMBER(E4820)),D4820-E4820,""),"")</f>
        <v/>
      </c>
    </row>
    <row r="4821">
      <c r="A4821" s="7">
        <f>IFERROR(Datos!A4821,"")</f>
        <v/>
      </c>
      <c r="B4821" s="8">
        <f>IFERROR(Datos!B4821,"")</f>
        <v/>
      </c>
      <c r="C4821" s="8">
        <f>IFERROR(Datos!C4821,"")</f>
        <v/>
      </c>
      <c r="D4821" s="28">
        <f>IFERROR(IF(AND(ISNUMBER(B4821),ISNUMBER(B4820),B4820&lt;&gt;0),B4821/B4820-1,""),"")</f>
        <v/>
      </c>
      <c r="E4821" s="28">
        <f>IFERROR(IF(AND(ISNUMBER(C4821),ISNUMBER(C4820),C4820&lt;&gt;0),C4821/C4820-1,""),"")</f>
        <v/>
      </c>
      <c r="F4821" s="28">
        <f>IFERROR(D4821-Dashboard!$B$4/252,"")</f>
        <v/>
      </c>
      <c r="G4821" s="28">
        <f>IFERROR(E4821-Dashboard!$B$4/252,"")</f>
        <v/>
      </c>
      <c r="H4821" s="8">
        <f>IFERROR(IF(ISNUMBER(B4821),MAX(B4821,IFERROR(H4820,B4821)),""),"")</f>
        <v/>
      </c>
      <c r="I4821" s="29">
        <f>IFERROR(IF(AND(ISNUMBER(B4821),ISNUMBER(H4821)),B4821/H4821-1,""),"")</f>
        <v/>
      </c>
      <c r="J4821" s="8">
        <f>IFERROR(IF(ISNUMBER(C4821),MAX(C4821,IFERROR(J4820,C4821)),""),"")</f>
        <v/>
      </c>
      <c r="K4821" s="29">
        <f>IFERROR(IF(AND(ISNUMBER(C4821),ISNUMBER(J4821)),C4821/J4821-1,""),"")</f>
        <v/>
      </c>
      <c r="L4821" s="28">
        <f>IFERROR(IF(AND(ISNUMBER(D4821),ISNUMBER(E4821)),D4821-E4821,""),"")</f>
        <v/>
      </c>
    </row>
    <row r="4822">
      <c r="A4822" s="7">
        <f>IFERROR(Datos!A4822,"")</f>
        <v/>
      </c>
      <c r="B4822" s="8">
        <f>IFERROR(Datos!B4822,"")</f>
        <v/>
      </c>
      <c r="C4822" s="8">
        <f>IFERROR(Datos!C4822,"")</f>
        <v/>
      </c>
      <c r="D4822" s="28">
        <f>IFERROR(IF(AND(ISNUMBER(B4822),ISNUMBER(B4821),B4821&lt;&gt;0),B4822/B4821-1,""),"")</f>
        <v/>
      </c>
      <c r="E4822" s="28">
        <f>IFERROR(IF(AND(ISNUMBER(C4822),ISNUMBER(C4821),C4821&lt;&gt;0),C4822/C4821-1,""),"")</f>
        <v/>
      </c>
      <c r="F4822" s="28">
        <f>IFERROR(D4822-Dashboard!$B$4/252,"")</f>
        <v/>
      </c>
      <c r="G4822" s="28">
        <f>IFERROR(E4822-Dashboard!$B$4/252,"")</f>
        <v/>
      </c>
      <c r="H4822" s="8">
        <f>IFERROR(IF(ISNUMBER(B4822),MAX(B4822,IFERROR(H4821,B4822)),""),"")</f>
        <v/>
      </c>
      <c r="I4822" s="29">
        <f>IFERROR(IF(AND(ISNUMBER(B4822),ISNUMBER(H4822)),B4822/H4822-1,""),"")</f>
        <v/>
      </c>
      <c r="J4822" s="8">
        <f>IFERROR(IF(ISNUMBER(C4822),MAX(C4822,IFERROR(J4821,C4822)),""),"")</f>
        <v/>
      </c>
      <c r="K4822" s="29">
        <f>IFERROR(IF(AND(ISNUMBER(C4822),ISNUMBER(J4822)),C4822/J4822-1,""),"")</f>
        <v/>
      </c>
      <c r="L4822" s="28">
        <f>IFERROR(IF(AND(ISNUMBER(D4822),ISNUMBER(E4822)),D4822-E4822,""),"")</f>
        <v/>
      </c>
    </row>
    <row r="4823">
      <c r="A4823" s="7">
        <f>IFERROR(Datos!A4823,"")</f>
        <v/>
      </c>
      <c r="B4823" s="8">
        <f>IFERROR(Datos!B4823,"")</f>
        <v/>
      </c>
      <c r="C4823" s="8">
        <f>IFERROR(Datos!C4823,"")</f>
        <v/>
      </c>
      <c r="D4823" s="28">
        <f>IFERROR(IF(AND(ISNUMBER(B4823),ISNUMBER(B4822),B4822&lt;&gt;0),B4823/B4822-1,""),"")</f>
        <v/>
      </c>
      <c r="E4823" s="28">
        <f>IFERROR(IF(AND(ISNUMBER(C4823),ISNUMBER(C4822),C4822&lt;&gt;0),C4823/C4822-1,""),"")</f>
        <v/>
      </c>
      <c r="F4823" s="28">
        <f>IFERROR(D4823-Dashboard!$B$4/252,"")</f>
        <v/>
      </c>
      <c r="G4823" s="28">
        <f>IFERROR(E4823-Dashboard!$B$4/252,"")</f>
        <v/>
      </c>
      <c r="H4823" s="8">
        <f>IFERROR(IF(ISNUMBER(B4823),MAX(B4823,IFERROR(H4822,B4823)),""),"")</f>
        <v/>
      </c>
      <c r="I4823" s="29">
        <f>IFERROR(IF(AND(ISNUMBER(B4823),ISNUMBER(H4823)),B4823/H4823-1,""),"")</f>
        <v/>
      </c>
      <c r="J4823" s="8">
        <f>IFERROR(IF(ISNUMBER(C4823),MAX(C4823,IFERROR(J4822,C4823)),""),"")</f>
        <v/>
      </c>
      <c r="K4823" s="29">
        <f>IFERROR(IF(AND(ISNUMBER(C4823),ISNUMBER(J4823)),C4823/J4823-1,""),"")</f>
        <v/>
      </c>
      <c r="L4823" s="28">
        <f>IFERROR(IF(AND(ISNUMBER(D4823),ISNUMBER(E4823)),D4823-E4823,""),"")</f>
        <v/>
      </c>
    </row>
    <row r="4824">
      <c r="A4824" s="7">
        <f>IFERROR(Datos!A4824,"")</f>
        <v/>
      </c>
      <c r="B4824" s="8">
        <f>IFERROR(Datos!B4824,"")</f>
        <v/>
      </c>
      <c r="C4824" s="8">
        <f>IFERROR(Datos!C4824,"")</f>
        <v/>
      </c>
      <c r="D4824" s="28">
        <f>IFERROR(IF(AND(ISNUMBER(B4824),ISNUMBER(B4823),B4823&lt;&gt;0),B4824/B4823-1,""),"")</f>
        <v/>
      </c>
      <c r="E4824" s="28">
        <f>IFERROR(IF(AND(ISNUMBER(C4824),ISNUMBER(C4823),C4823&lt;&gt;0),C4824/C4823-1,""),"")</f>
        <v/>
      </c>
      <c r="F4824" s="28">
        <f>IFERROR(D4824-Dashboard!$B$4/252,"")</f>
        <v/>
      </c>
      <c r="G4824" s="28">
        <f>IFERROR(E4824-Dashboard!$B$4/252,"")</f>
        <v/>
      </c>
      <c r="H4824" s="8">
        <f>IFERROR(IF(ISNUMBER(B4824),MAX(B4824,IFERROR(H4823,B4824)),""),"")</f>
        <v/>
      </c>
      <c r="I4824" s="29">
        <f>IFERROR(IF(AND(ISNUMBER(B4824),ISNUMBER(H4824)),B4824/H4824-1,""),"")</f>
        <v/>
      </c>
      <c r="J4824" s="8">
        <f>IFERROR(IF(ISNUMBER(C4824),MAX(C4824,IFERROR(J4823,C4824)),""),"")</f>
        <v/>
      </c>
      <c r="K4824" s="29">
        <f>IFERROR(IF(AND(ISNUMBER(C4824),ISNUMBER(J4824)),C4824/J4824-1,""),"")</f>
        <v/>
      </c>
      <c r="L4824" s="28">
        <f>IFERROR(IF(AND(ISNUMBER(D4824),ISNUMBER(E4824)),D4824-E4824,""),"")</f>
        <v/>
      </c>
    </row>
    <row r="4825">
      <c r="A4825" s="7">
        <f>IFERROR(Datos!A4825,"")</f>
        <v/>
      </c>
      <c r="B4825" s="8">
        <f>IFERROR(Datos!B4825,"")</f>
        <v/>
      </c>
      <c r="C4825" s="8">
        <f>IFERROR(Datos!C4825,"")</f>
        <v/>
      </c>
      <c r="D4825" s="28">
        <f>IFERROR(IF(AND(ISNUMBER(B4825),ISNUMBER(B4824),B4824&lt;&gt;0),B4825/B4824-1,""),"")</f>
        <v/>
      </c>
      <c r="E4825" s="28">
        <f>IFERROR(IF(AND(ISNUMBER(C4825),ISNUMBER(C4824),C4824&lt;&gt;0),C4825/C4824-1,""),"")</f>
        <v/>
      </c>
      <c r="F4825" s="28">
        <f>IFERROR(D4825-Dashboard!$B$4/252,"")</f>
        <v/>
      </c>
      <c r="G4825" s="28">
        <f>IFERROR(E4825-Dashboard!$B$4/252,"")</f>
        <v/>
      </c>
      <c r="H4825" s="8">
        <f>IFERROR(IF(ISNUMBER(B4825),MAX(B4825,IFERROR(H4824,B4825)),""),"")</f>
        <v/>
      </c>
      <c r="I4825" s="29">
        <f>IFERROR(IF(AND(ISNUMBER(B4825),ISNUMBER(H4825)),B4825/H4825-1,""),"")</f>
        <v/>
      </c>
      <c r="J4825" s="8">
        <f>IFERROR(IF(ISNUMBER(C4825),MAX(C4825,IFERROR(J4824,C4825)),""),"")</f>
        <v/>
      </c>
      <c r="K4825" s="29">
        <f>IFERROR(IF(AND(ISNUMBER(C4825),ISNUMBER(J4825)),C4825/J4825-1,""),"")</f>
        <v/>
      </c>
      <c r="L4825" s="28">
        <f>IFERROR(IF(AND(ISNUMBER(D4825),ISNUMBER(E4825)),D4825-E4825,""),"")</f>
        <v/>
      </c>
    </row>
    <row r="4826">
      <c r="A4826" s="7">
        <f>IFERROR(Datos!A4826,"")</f>
        <v/>
      </c>
      <c r="B4826" s="8">
        <f>IFERROR(Datos!B4826,"")</f>
        <v/>
      </c>
      <c r="C4826" s="8">
        <f>IFERROR(Datos!C4826,"")</f>
        <v/>
      </c>
      <c r="D4826" s="28">
        <f>IFERROR(IF(AND(ISNUMBER(B4826),ISNUMBER(B4825),B4825&lt;&gt;0),B4826/B4825-1,""),"")</f>
        <v/>
      </c>
      <c r="E4826" s="28">
        <f>IFERROR(IF(AND(ISNUMBER(C4826),ISNUMBER(C4825),C4825&lt;&gt;0),C4826/C4825-1,""),"")</f>
        <v/>
      </c>
      <c r="F4826" s="28">
        <f>IFERROR(D4826-Dashboard!$B$4/252,"")</f>
        <v/>
      </c>
      <c r="G4826" s="28">
        <f>IFERROR(E4826-Dashboard!$B$4/252,"")</f>
        <v/>
      </c>
      <c r="H4826" s="8">
        <f>IFERROR(IF(ISNUMBER(B4826),MAX(B4826,IFERROR(H4825,B4826)),""),"")</f>
        <v/>
      </c>
      <c r="I4826" s="29">
        <f>IFERROR(IF(AND(ISNUMBER(B4826),ISNUMBER(H4826)),B4826/H4826-1,""),"")</f>
        <v/>
      </c>
      <c r="J4826" s="8">
        <f>IFERROR(IF(ISNUMBER(C4826),MAX(C4826,IFERROR(J4825,C4826)),""),"")</f>
        <v/>
      </c>
      <c r="K4826" s="29">
        <f>IFERROR(IF(AND(ISNUMBER(C4826),ISNUMBER(J4826)),C4826/J4826-1,""),"")</f>
        <v/>
      </c>
      <c r="L4826" s="28">
        <f>IFERROR(IF(AND(ISNUMBER(D4826),ISNUMBER(E4826)),D4826-E4826,""),"")</f>
        <v/>
      </c>
    </row>
    <row r="4827">
      <c r="A4827" s="7">
        <f>IFERROR(Datos!A4827,"")</f>
        <v/>
      </c>
      <c r="B4827" s="8">
        <f>IFERROR(Datos!B4827,"")</f>
        <v/>
      </c>
      <c r="C4827" s="8">
        <f>IFERROR(Datos!C4827,"")</f>
        <v/>
      </c>
      <c r="D4827" s="28">
        <f>IFERROR(IF(AND(ISNUMBER(B4827),ISNUMBER(B4826),B4826&lt;&gt;0),B4827/B4826-1,""),"")</f>
        <v/>
      </c>
      <c r="E4827" s="28">
        <f>IFERROR(IF(AND(ISNUMBER(C4827),ISNUMBER(C4826),C4826&lt;&gt;0),C4827/C4826-1,""),"")</f>
        <v/>
      </c>
      <c r="F4827" s="28">
        <f>IFERROR(D4827-Dashboard!$B$4/252,"")</f>
        <v/>
      </c>
      <c r="G4827" s="28">
        <f>IFERROR(E4827-Dashboard!$B$4/252,"")</f>
        <v/>
      </c>
      <c r="H4827" s="8">
        <f>IFERROR(IF(ISNUMBER(B4827),MAX(B4827,IFERROR(H4826,B4827)),""),"")</f>
        <v/>
      </c>
      <c r="I4827" s="29">
        <f>IFERROR(IF(AND(ISNUMBER(B4827),ISNUMBER(H4827)),B4827/H4827-1,""),"")</f>
        <v/>
      </c>
      <c r="J4827" s="8">
        <f>IFERROR(IF(ISNUMBER(C4827),MAX(C4827,IFERROR(J4826,C4827)),""),"")</f>
        <v/>
      </c>
      <c r="K4827" s="29">
        <f>IFERROR(IF(AND(ISNUMBER(C4827),ISNUMBER(J4827)),C4827/J4827-1,""),"")</f>
        <v/>
      </c>
      <c r="L4827" s="28">
        <f>IFERROR(IF(AND(ISNUMBER(D4827),ISNUMBER(E4827)),D4827-E4827,""),"")</f>
        <v/>
      </c>
    </row>
    <row r="4828">
      <c r="A4828" s="7">
        <f>IFERROR(Datos!A4828,"")</f>
        <v/>
      </c>
      <c r="B4828" s="8">
        <f>IFERROR(Datos!B4828,"")</f>
        <v/>
      </c>
      <c r="C4828" s="8">
        <f>IFERROR(Datos!C4828,"")</f>
        <v/>
      </c>
      <c r="D4828" s="28">
        <f>IFERROR(IF(AND(ISNUMBER(B4828),ISNUMBER(B4827),B4827&lt;&gt;0),B4828/B4827-1,""),"")</f>
        <v/>
      </c>
      <c r="E4828" s="28">
        <f>IFERROR(IF(AND(ISNUMBER(C4828),ISNUMBER(C4827),C4827&lt;&gt;0),C4828/C4827-1,""),"")</f>
        <v/>
      </c>
      <c r="F4828" s="28">
        <f>IFERROR(D4828-Dashboard!$B$4/252,"")</f>
        <v/>
      </c>
      <c r="G4828" s="28">
        <f>IFERROR(E4828-Dashboard!$B$4/252,"")</f>
        <v/>
      </c>
      <c r="H4828" s="8">
        <f>IFERROR(IF(ISNUMBER(B4828),MAX(B4828,IFERROR(H4827,B4828)),""),"")</f>
        <v/>
      </c>
      <c r="I4828" s="29">
        <f>IFERROR(IF(AND(ISNUMBER(B4828),ISNUMBER(H4828)),B4828/H4828-1,""),"")</f>
        <v/>
      </c>
      <c r="J4828" s="8">
        <f>IFERROR(IF(ISNUMBER(C4828),MAX(C4828,IFERROR(J4827,C4828)),""),"")</f>
        <v/>
      </c>
      <c r="K4828" s="29">
        <f>IFERROR(IF(AND(ISNUMBER(C4828),ISNUMBER(J4828)),C4828/J4828-1,""),"")</f>
        <v/>
      </c>
      <c r="L4828" s="28">
        <f>IFERROR(IF(AND(ISNUMBER(D4828),ISNUMBER(E4828)),D4828-E4828,""),"")</f>
        <v/>
      </c>
    </row>
    <row r="4829">
      <c r="A4829" s="7">
        <f>IFERROR(Datos!A4829,"")</f>
        <v/>
      </c>
      <c r="B4829" s="8">
        <f>IFERROR(Datos!B4829,"")</f>
        <v/>
      </c>
      <c r="C4829" s="8">
        <f>IFERROR(Datos!C4829,"")</f>
        <v/>
      </c>
      <c r="D4829" s="28">
        <f>IFERROR(IF(AND(ISNUMBER(B4829),ISNUMBER(B4828),B4828&lt;&gt;0),B4829/B4828-1,""),"")</f>
        <v/>
      </c>
      <c r="E4829" s="28">
        <f>IFERROR(IF(AND(ISNUMBER(C4829),ISNUMBER(C4828),C4828&lt;&gt;0),C4829/C4828-1,""),"")</f>
        <v/>
      </c>
      <c r="F4829" s="28">
        <f>IFERROR(D4829-Dashboard!$B$4/252,"")</f>
        <v/>
      </c>
      <c r="G4829" s="28">
        <f>IFERROR(E4829-Dashboard!$B$4/252,"")</f>
        <v/>
      </c>
      <c r="H4829" s="8">
        <f>IFERROR(IF(ISNUMBER(B4829),MAX(B4829,IFERROR(H4828,B4829)),""),"")</f>
        <v/>
      </c>
      <c r="I4829" s="29">
        <f>IFERROR(IF(AND(ISNUMBER(B4829),ISNUMBER(H4829)),B4829/H4829-1,""),"")</f>
        <v/>
      </c>
      <c r="J4829" s="8">
        <f>IFERROR(IF(ISNUMBER(C4829),MAX(C4829,IFERROR(J4828,C4829)),""),"")</f>
        <v/>
      </c>
      <c r="K4829" s="29">
        <f>IFERROR(IF(AND(ISNUMBER(C4829),ISNUMBER(J4829)),C4829/J4829-1,""),"")</f>
        <v/>
      </c>
      <c r="L4829" s="28">
        <f>IFERROR(IF(AND(ISNUMBER(D4829),ISNUMBER(E4829)),D4829-E4829,""),"")</f>
        <v/>
      </c>
    </row>
    <row r="4830">
      <c r="A4830" s="7">
        <f>IFERROR(Datos!A4830,"")</f>
        <v/>
      </c>
      <c r="B4830" s="8">
        <f>IFERROR(Datos!B4830,"")</f>
        <v/>
      </c>
      <c r="C4830" s="8">
        <f>IFERROR(Datos!C4830,"")</f>
        <v/>
      </c>
      <c r="D4830" s="28">
        <f>IFERROR(IF(AND(ISNUMBER(B4830),ISNUMBER(B4829),B4829&lt;&gt;0),B4830/B4829-1,""),"")</f>
        <v/>
      </c>
      <c r="E4830" s="28">
        <f>IFERROR(IF(AND(ISNUMBER(C4830),ISNUMBER(C4829),C4829&lt;&gt;0),C4830/C4829-1,""),"")</f>
        <v/>
      </c>
      <c r="F4830" s="28">
        <f>IFERROR(D4830-Dashboard!$B$4/252,"")</f>
        <v/>
      </c>
      <c r="G4830" s="28">
        <f>IFERROR(E4830-Dashboard!$B$4/252,"")</f>
        <v/>
      </c>
      <c r="H4830" s="8">
        <f>IFERROR(IF(ISNUMBER(B4830),MAX(B4830,IFERROR(H4829,B4830)),""),"")</f>
        <v/>
      </c>
      <c r="I4830" s="29">
        <f>IFERROR(IF(AND(ISNUMBER(B4830),ISNUMBER(H4830)),B4830/H4830-1,""),"")</f>
        <v/>
      </c>
      <c r="J4830" s="8">
        <f>IFERROR(IF(ISNUMBER(C4830),MAX(C4830,IFERROR(J4829,C4830)),""),"")</f>
        <v/>
      </c>
      <c r="K4830" s="29">
        <f>IFERROR(IF(AND(ISNUMBER(C4830),ISNUMBER(J4830)),C4830/J4830-1,""),"")</f>
        <v/>
      </c>
      <c r="L4830" s="28">
        <f>IFERROR(IF(AND(ISNUMBER(D4830),ISNUMBER(E4830)),D4830-E4830,""),"")</f>
        <v/>
      </c>
    </row>
    <row r="4831">
      <c r="A4831" s="7">
        <f>IFERROR(Datos!A4831,"")</f>
        <v/>
      </c>
      <c r="B4831" s="8">
        <f>IFERROR(Datos!B4831,"")</f>
        <v/>
      </c>
      <c r="C4831" s="8">
        <f>IFERROR(Datos!C4831,"")</f>
        <v/>
      </c>
      <c r="D4831" s="28">
        <f>IFERROR(IF(AND(ISNUMBER(B4831),ISNUMBER(B4830),B4830&lt;&gt;0),B4831/B4830-1,""),"")</f>
        <v/>
      </c>
      <c r="E4831" s="28">
        <f>IFERROR(IF(AND(ISNUMBER(C4831),ISNUMBER(C4830),C4830&lt;&gt;0),C4831/C4830-1,""),"")</f>
        <v/>
      </c>
      <c r="F4831" s="28">
        <f>IFERROR(D4831-Dashboard!$B$4/252,"")</f>
        <v/>
      </c>
      <c r="G4831" s="28">
        <f>IFERROR(E4831-Dashboard!$B$4/252,"")</f>
        <v/>
      </c>
      <c r="H4831" s="8">
        <f>IFERROR(IF(ISNUMBER(B4831),MAX(B4831,IFERROR(H4830,B4831)),""),"")</f>
        <v/>
      </c>
      <c r="I4831" s="29">
        <f>IFERROR(IF(AND(ISNUMBER(B4831),ISNUMBER(H4831)),B4831/H4831-1,""),"")</f>
        <v/>
      </c>
      <c r="J4831" s="8">
        <f>IFERROR(IF(ISNUMBER(C4831),MAX(C4831,IFERROR(J4830,C4831)),""),"")</f>
        <v/>
      </c>
      <c r="K4831" s="29">
        <f>IFERROR(IF(AND(ISNUMBER(C4831),ISNUMBER(J4831)),C4831/J4831-1,""),"")</f>
        <v/>
      </c>
      <c r="L4831" s="28">
        <f>IFERROR(IF(AND(ISNUMBER(D4831),ISNUMBER(E4831)),D4831-E4831,""),"")</f>
        <v/>
      </c>
    </row>
    <row r="4832">
      <c r="A4832" s="7">
        <f>IFERROR(Datos!A4832,"")</f>
        <v/>
      </c>
      <c r="B4832" s="8">
        <f>IFERROR(Datos!B4832,"")</f>
        <v/>
      </c>
      <c r="C4832" s="8">
        <f>IFERROR(Datos!C4832,"")</f>
        <v/>
      </c>
      <c r="D4832" s="28">
        <f>IFERROR(IF(AND(ISNUMBER(B4832),ISNUMBER(B4831),B4831&lt;&gt;0),B4832/B4831-1,""),"")</f>
        <v/>
      </c>
      <c r="E4832" s="28">
        <f>IFERROR(IF(AND(ISNUMBER(C4832),ISNUMBER(C4831),C4831&lt;&gt;0),C4832/C4831-1,""),"")</f>
        <v/>
      </c>
      <c r="F4832" s="28">
        <f>IFERROR(D4832-Dashboard!$B$4/252,"")</f>
        <v/>
      </c>
      <c r="G4832" s="28">
        <f>IFERROR(E4832-Dashboard!$B$4/252,"")</f>
        <v/>
      </c>
      <c r="H4832" s="8">
        <f>IFERROR(IF(ISNUMBER(B4832),MAX(B4832,IFERROR(H4831,B4832)),""),"")</f>
        <v/>
      </c>
      <c r="I4832" s="29">
        <f>IFERROR(IF(AND(ISNUMBER(B4832),ISNUMBER(H4832)),B4832/H4832-1,""),"")</f>
        <v/>
      </c>
      <c r="J4832" s="8">
        <f>IFERROR(IF(ISNUMBER(C4832),MAX(C4832,IFERROR(J4831,C4832)),""),"")</f>
        <v/>
      </c>
      <c r="K4832" s="29">
        <f>IFERROR(IF(AND(ISNUMBER(C4832),ISNUMBER(J4832)),C4832/J4832-1,""),"")</f>
        <v/>
      </c>
      <c r="L4832" s="28">
        <f>IFERROR(IF(AND(ISNUMBER(D4832),ISNUMBER(E4832)),D4832-E4832,""),"")</f>
        <v/>
      </c>
    </row>
    <row r="4833">
      <c r="A4833" s="7">
        <f>IFERROR(Datos!A4833,"")</f>
        <v/>
      </c>
      <c r="B4833" s="8">
        <f>IFERROR(Datos!B4833,"")</f>
        <v/>
      </c>
      <c r="C4833" s="8">
        <f>IFERROR(Datos!C4833,"")</f>
        <v/>
      </c>
      <c r="D4833" s="28">
        <f>IFERROR(IF(AND(ISNUMBER(B4833),ISNUMBER(B4832),B4832&lt;&gt;0),B4833/B4832-1,""),"")</f>
        <v/>
      </c>
      <c r="E4833" s="28">
        <f>IFERROR(IF(AND(ISNUMBER(C4833),ISNUMBER(C4832),C4832&lt;&gt;0),C4833/C4832-1,""),"")</f>
        <v/>
      </c>
      <c r="F4833" s="28">
        <f>IFERROR(D4833-Dashboard!$B$4/252,"")</f>
        <v/>
      </c>
      <c r="G4833" s="28">
        <f>IFERROR(E4833-Dashboard!$B$4/252,"")</f>
        <v/>
      </c>
      <c r="H4833" s="8">
        <f>IFERROR(IF(ISNUMBER(B4833),MAX(B4833,IFERROR(H4832,B4833)),""),"")</f>
        <v/>
      </c>
      <c r="I4833" s="29">
        <f>IFERROR(IF(AND(ISNUMBER(B4833),ISNUMBER(H4833)),B4833/H4833-1,""),"")</f>
        <v/>
      </c>
      <c r="J4833" s="8">
        <f>IFERROR(IF(ISNUMBER(C4833),MAX(C4833,IFERROR(J4832,C4833)),""),"")</f>
        <v/>
      </c>
      <c r="K4833" s="29">
        <f>IFERROR(IF(AND(ISNUMBER(C4833),ISNUMBER(J4833)),C4833/J4833-1,""),"")</f>
        <v/>
      </c>
      <c r="L4833" s="28">
        <f>IFERROR(IF(AND(ISNUMBER(D4833),ISNUMBER(E4833)),D4833-E4833,""),"")</f>
        <v/>
      </c>
    </row>
    <row r="4834">
      <c r="A4834" s="7">
        <f>IFERROR(Datos!A4834,"")</f>
        <v/>
      </c>
      <c r="B4834" s="8">
        <f>IFERROR(Datos!B4834,"")</f>
        <v/>
      </c>
      <c r="C4834" s="8">
        <f>IFERROR(Datos!C4834,"")</f>
        <v/>
      </c>
      <c r="D4834" s="28">
        <f>IFERROR(IF(AND(ISNUMBER(B4834),ISNUMBER(B4833),B4833&lt;&gt;0),B4834/B4833-1,""),"")</f>
        <v/>
      </c>
      <c r="E4834" s="28">
        <f>IFERROR(IF(AND(ISNUMBER(C4834),ISNUMBER(C4833),C4833&lt;&gt;0),C4834/C4833-1,""),"")</f>
        <v/>
      </c>
      <c r="F4834" s="28">
        <f>IFERROR(D4834-Dashboard!$B$4/252,"")</f>
        <v/>
      </c>
      <c r="G4834" s="28">
        <f>IFERROR(E4834-Dashboard!$B$4/252,"")</f>
        <v/>
      </c>
      <c r="H4834" s="8">
        <f>IFERROR(IF(ISNUMBER(B4834),MAX(B4834,IFERROR(H4833,B4834)),""),"")</f>
        <v/>
      </c>
      <c r="I4834" s="29">
        <f>IFERROR(IF(AND(ISNUMBER(B4834),ISNUMBER(H4834)),B4834/H4834-1,""),"")</f>
        <v/>
      </c>
      <c r="J4834" s="8">
        <f>IFERROR(IF(ISNUMBER(C4834),MAX(C4834,IFERROR(J4833,C4834)),""),"")</f>
        <v/>
      </c>
      <c r="K4834" s="29">
        <f>IFERROR(IF(AND(ISNUMBER(C4834),ISNUMBER(J4834)),C4834/J4834-1,""),"")</f>
        <v/>
      </c>
      <c r="L4834" s="28">
        <f>IFERROR(IF(AND(ISNUMBER(D4834),ISNUMBER(E4834)),D4834-E4834,""),"")</f>
        <v/>
      </c>
    </row>
    <row r="4835">
      <c r="A4835" s="7">
        <f>IFERROR(Datos!A4835,"")</f>
        <v/>
      </c>
      <c r="B4835" s="8">
        <f>IFERROR(Datos!B4835,"")</f>
        <v/>
      </c>
      <c r="C4835" s="8">
        <f>IFERROR(Datos!C4835,"")</f>
        <v/>
      </c>
      <c r="D4835" s="28">
        <f>IFERROR(IF(AND(ISNUMBER(B4835),ISNUMBER(B4834),B4834&lt;&gt;0),B4835/B4834-1,""),"")</f>
        <v/>
      </c>
      <c r="E4835" s="28">
        <f>IFERROR(IF(AND(ISNUMBER(C4835),ISNUMBER(C4834),C4834&lt;&gt;0),C4835/C4834-1,""),"")</f>
        <v/>
      </c>
      <c r="F4835" s="28">
        <f>IFERROR(D4835-Dashboard!$B$4/252,"")</f>
        <v/>
      </c>
      <c r="G4835" s="28">
        <f>IFERROR(E4835-Dashboard!$B$4/252,"")</f>
        <v/>
      </c>
      <c r="H4835" s="8">
        <f>IFERROR(IF(ISNUMBER(B4835),MAX(B4835,IFERROR(H4834,B4835)),""),"")</f>
        <v/>
      </c>
      <c r="I4835" s="29">
        <f>IFERROR(IF(AND(ISNUMBER(B4835),ISNUMBER(H4835)),B4835/H4835-1,""),"")</f>
        <v/>
      </c>
      <c r="J4835" s="8">
        <f>IFERROR(IF(ISNUMBER(C4835),MAX(C4835,IFERROR(J4834,C4835)),""),"")</f>
        <v/>
      </c>
      <c r="K4835" s="29">
        <f>IFERROR(IF(AND(ISNUMBER(C4835),ISNUMBER(J4835)),C4835/J4835-1,""),"")</f>
        <v/>
      </c>
      <c r="L4835" s="28">
        <f>IFERROR(IF(AND(ISNUMBER(D4835),ISNUMBER(E4835)),D4835-E4835,""),"")</f>
        <v/>
      </c>
    </row>
    <row r="4836">
      <c r="A4836" s="7">
        <f>IFERROR(Datos!A4836,"")</f>
        <v/>
      </c>
      <c r="B4836" s="8">
        <f>IFERROR(Datos!B4836,"")</f>
        <v/>
      </c>
      <c r="C4836" s="8">
        <f>IFERROR(Datos!C4836,"")</f>
        <v/>
      </c>
      <c r="D4836" s="28">
        <f>IFERROR(IF(AND(ISNUMBER(B4836),ISNUMBER(B4835),B4835&lt;&gt;0),B4836/B4835-1,""),"")</f>
        <v/>
      </c>
      <c r="E4836" s="28">
        <f>IFERROR(IF(AND(ISNUMBER(C4836),ISNUMBER(C4835),C4835&lt;&gt;0),C4836/C4835-1,""),"")</f>
        <v/>
      </c>
      <c r="F4836" s="28">
        <f>IFERROR(D4836-Dashboard!$B$4/252,"")</f>
        <v/>
      </c>
      <c r="G4836" s="28">
        <f>IFERROR(E4836-Dashboard!$B$4/252,"")</f>
        <v/>
      </c>
      <c r="H4836" s="8">
        <f>IFERROR(IF(ISNUMBER(B4836),MAX(B4836,IFERROR(H4835,B4836)),""),"")</f>
        <v/>
      </c>
      <c r="I4836" s="29">
        <f>IFERROR(IF(AND(ISNUMBER(B4836),ISNUMBER(H4836)),B4836/H4836-1,""),"")</f>
        <v/>
      </c>
      <c r="J4836" s="8">
        <f>IFERROR(IF(ISNUMBER(C4836),MAX(C4836,IFERROR(J4835,C4836)),""),"")</f>
        <v/>
      </c>
      <c r="K4836" s="29">
        <f>IFERROR(IF(AND(ISNUMBER(C4836),ISNUMBER(J4836)),C4836/J4836-1,""),"")</f>
        <v/>
      </c>
      <c r="L4836" s="28">
        <f>IFERROR(IF(AND(ISNUMBER(D4836),ISNUMBER(E4836)),D4836-E4836,""),"")</f>
        <v/>
      </c>
    </row>
    <row r="4837">
      <c r="A4837" s="7">
        <f>IFERROR(Datos!A4837,"")</f>
        <v/>
      </c>
      <c r="B4837" s="8">
        <f>IFERROR(Datos!B4837,"")</f>
        <v/>
      </c>
      <c r="C4837" s="8">
        <f>IFERROR(Datos!C4837,"")</f>
        <v/>
      </c>
      <c r="D4837" s="28">
        <f>IFERROR(IF(AND(ISNUMBER(B4837),ISNUMBER(B4836),B4836&lt;&gt;0),B4837/B4836-1,""),"")</f>
        <v/>
      </c>
      <c r="E4837" s="28">
        <f>IFERROR(IF(AND(ISNUMBER(C4837),ISNUMBER(C4836),C4836&lt;&gt;0),C4837/C4836-1,""),"")</f>
        <v/>
      </c>
      <c r="F4837" s="28">
        <f>IFERROR(D4837-Dashboard!$B$4/252,"")</f>
        <v/>
      </c>
      <c r="G4837" s="28">
        <f>IFERROR(E4837-Dashboard!$B$4/252,"")</f>
        <v/>
      </c>
      <c r="H4837" s="8">
        <f>IFERROR(IF(ISNUMBER(B4837),MAX(B4837,IFERROR(H4836,B4837)),""),"")</f>
        <v/>
      </c>
      <c r="I4837" s="29">
        <f>IFERROR(IF(AND(ISNUMBER(B4837),ISNUMBER(H4837)),B4837/H4837-1,""),"")</f>
        <v/>
      </c>
      <c r="J4837" s="8">
        <f>IFERROR(IF(ISNUMBER(C4837),MAX(C4837,IFERROR(J4836,C4837)),""),"")</f>
        <v/>
      </c>
      <c r="K4837" s="29">
        <f>IFERROR(IF(AND(ISNUMBER(C4837),ISNUMBER(J4837)),C4837/J4837-1,""),"")</f>
        <v/>
      </c>
      <c r="L4837" s="28">
        <f>IFERROR(IF(AND(ISNUMBER(D4837),ISNUMBER(E4837)),D4837-E4837,""),"")</f>
        <v/>
      </c>
    </row>
    <row r="4838">
      <c r="A4838" s="7">
        <f>IFERROR(Datos!A4838,"")</f>
        <v/>
      </c>
      <c r="B4838" s="8">
        <f>IFERROR(Datos!B4838,"")</f>
        <v/>
      </c>
      <c r="C4838" s="8">
        <f>IFERROR(Datos!C4838,"")</f>
        <v/>
      </c>
      <c r="D4838" s="28">
        <f>IFERROR(IF(AND(ISNUMBER(B4838),ISNUMBER(B4837),B4837&lt;&gt;0),B4838/B4837-1,""),"")</f>
        <v/>
      </c>
      <c r="E4838" s="28">
        <f>IFERROR(IF(AND(ISNUMBER(C4838),ISNUMBER(C4837),C4837&lt;&gt;0),C4838/C4837-1,""),"")</f>
        <v/>
      </c>
      <c r="F4838" s="28">
        <f>IFERROR(D4838-Dashboard!$B$4/252,"")</f>
        <v/>
      </c>
      <c r="G4838" s="28">
        <f>IFERROR(E4838-Dashboard!$B$4/252,"")</f>
        <v/>
      </c>
      <c r="H4838" s="8">
        <f>IFERROR(IF(ISNUMBER(B4838),MAX(B4838,IFERROR(H4837,B4838)),""),"")</f>
        <v/>
      </c>
      <c r="I4838" s="29">
        <f>IFERROR(IF(AND(ISNUMBER(B4838),ISNUMBER(H4838)),B4838/H4838-1,""),"")</f>
        <v/>
      </c>
      <c r="J4838" s="8">
        <f>IFERROR(IF(ISNUMBER(C4838),MAX(C4838,IFERROR(J4837,C4838)),""),"")</f>
        <v/>
      </c>
      <c r="K4838" s="29">
        <f>IFERROR(IF(AND(ISNUMBER(C4838),ISNUMBER(J4838)),C4838/J4838-1,""),"")</f>
        <v/>
      </c>
      <c r="L4838" s="28">
        <f>IFERROR(IF(AND(ISNUMBER(D4838),ISNUMBER(E4838)),D4838-E4838,""),"")</f>
        <v/>
      </c>
    </row>
    <row r="4839">
      <c r="A4839" s="7">
        <f>IFERROR(Datos!A4839,"")</f>
        <v/>
      </c>
      <c r="B4839" s="8">
        <f>IFERROR(Datos!B4839,"")</f>
        <v/>
      </c>
      <c r="C4839" s="8">
        <f>IFERROR(Datos!C4839,"")</f>
        <v/>
      </c>
      <c r="D4839" s="28">
        <f>IFERROR(IF(AND(ISNUMBER(B4839),ISNUMBER(B4838),B4838&lt;&gt;0),B4839/B4838-1,""),"")</f>
        <v/>
      </c>
      <c r="E4839" s="28">
        <f>IFERROR(IF(AND(ISNUMBER(C4839),ISNUMBER(C4838),C4838&lt;&gt;0),C4839/C4838-1,""),"")</f>
        <v/>
      </c>
      <c r="F4839" s="28">
        <f>IFERROR(D4839-Dashboard!$B$4/252,"")</f>
        <v/>
      </c>
      <c r="G4839" s="28">
        <f>IFERROR(E4839-Dashboard!$B$4/252,"")</f>
        <v/>
      </c>
      <c r="H4839" s="8">
        <f>IFERROR(IF(ISNUMBER(B4839),MAX(B4839,IFERROR(H4838,B4839)),""),"")</f>
        <v/>
      </c>
      <c r="I4839" s="29">
        <f>IFERROR(IF(AND(ISNUMBER(B4839),ISNUMBER(H4839)),B4839/H4839-1,""),"")</f>
        <v/>
      </c>
      <c r="J4839" s="8">
        <f>IFERROR(IF(ISNUMBER(C4839),MAX(C4839,IFERROR(J4838,C4839)),""),"")</f>
        <v/>
      </c>
      <c r="K4839" s="29">
        <f>IFERROR(IF(AND(ISNUMBER(C4839),ISNUMBER(J4839)),C4839/J4839-1,""),"")</f>
        <v/>
      </c>
      <c r="L4839" s="28">
        <f>IFERROR(IF(AND(ISNUMBER(D4839),ISNUMBER(E4839)),D4839-E4839,""),"")</f>
        <v/>
      </c>
    </row>
    <row r="4840">
      <c r="A4840" s="7">
        <f>IFERROR(Datos!A4840,"")</f>
        <v/>
      </c>
      <c r="B4840" s="8">
        <f>IFERROR(Datos!B4840,"")</f>
        <v/>
      </c>
      <c r="C4840" s="8">
        <f>IFERROR(Datos!C4840,"")</f>
        <v/>
      </c>
      <c r="D4840" s="28">
        <f>IFERROR(IF(AND(ISNUMBER(B4840),ISNUMBER(B4839),B4839&lt;&gt;0),B4840/B4839-1,""),"")</f>
        <v/>
      </c>
      <c r="E4840" s="28">
        <f>IFERROR(IF(AND(ISNUMBER(C4840),ISNUMBER(C4839),C4839&lt;&gt;0),C4840/C4839-1,""),"")</f>
        <v/>
      </c>
      <c r="F4840" s="28">
        <f>IFERROR(D4840-Dashboard!$B$4/252,"")</f>
        <v/>
      </c>
      <c r="G4840" s="28">
        <f>IFERROR(E4840-Dashboard!$B$4/252,"")</f>
        <v/>
      </c>
      <c r="H4840" s="8">
        <f>IFERROR(IF(ISNUMBER(B4840),MAX(B4840,IFERROR(H4839,B4840)),""),"")</f>
        <v/>
      </c>
      <c r="I4840" s="29">
        <f>IFERROR(IF(AND(ISNUMBER(B4840),ISNUMBER(H4840)),B4840/H4840-1,""),"")</f>
        <v/>
      </c>
      <c r="J4840" s="8">
        <f>IFERROR(IF(ISNUMBER(C4840),MAX(C4840,IFERROR(J4839,C4840)),""),"")</f>
        <v/>
      </c>
      <c r="K4840" s="29">
        <f>IFERROR(IF(AND(ISNUMBER(C4840),ISNUMBER(J4840)),C4840/J4840-1,""),"")</f>
        <v/>
      </c>
      <c r="L4840" s="28">
        <f>IFERROR(IF(AND(ISNUMBER(D4840),ISNUMBER(E4840)),D4840-E4840,""),"")</f>
        <v/>
      </c>
    </row>
    <row r="4841">
      <c r="A4841" s="7">
        <f>IFERROR(Datos!A4841,"")</f>
        <v/>
      </c>
      <c r="B4841" s="8">
        <f>IFERROR(Datos!B4841,"")</f>
        <v/>
      </c>
      <c r="C4841" s="8">
        <f>IFERROR(Datos!C4841,"")</f>
        <v/>
      </c>
      <c r="D4841" s="28">
        <f>IFERROR(IF(AND(ISNUMBER(B4841),ISNUMBER(B4840),B4840&lt;&gt;0),B4841/B4840-1,""),"")</f>
        <v/>
      </c>
      <c r="E4841" s="28">
        <f>IFERROR(IF(AND(ISNUMBER(C4841),ISNUMBER(C4840),C4840&lt;&gt;0),C4841/C4840-1,""),"")</f>
        <v/>
      </c>
      <c r="F4841" s="28">
        <f>IFERROR(D4841-Dashboard!$B$4/252,"")</f>
        <v/>
      </c>
      <c r="G4841" s="28">
        <f>IFERROR(E4841-Dashboard!$B$4/252,"")</f>
        <v/>
      </c>
      <c r="H4841" s="8">
        <f>IFERROR(IF(ISNUMBER(B4841),MAX(B4841,IFERROR(H4840,B4841)),""),"")</f>
        <v/>
      </c>
      <c r="I4841" s="29">
        <f>IFERROR(IF(AND(ISNUMBER(B4841),ISNUMBER(H4841)),B4841/H4841-1,""),"")</f>
        <v/>
      </c>
      <c r="J4841" s="8">
        <f>IFERROR(IF(ISNUMBER(C4841),MAX(C4841,IFERROR(J4840,C4841)),""),"")</f>
        <v/>
      </c>
      <c r="K4841" s="29">
        <f>IFERROR(IF(AND(ISNUMBER(C4841),ISNUMBER(J4841)),C4841/J4841-1,""),"")</f>
        <v/>
      </c>
      <c r="L4841" s="28">
        <f>IFERROR(IF(AND(ISNUMBER(D4841),ISNUMBER(E4841)),D4841-E4841,""),"")</f>
        <v/>
      </c>
    </row>
    <row r="4842">
      <c r="A4842" s="7">
        <f>IFERROR(Datos!A4842,"")</f>
        <v/>
      </c>
      <c r="B4842" s="8">
        <f>IFERROR(Datos!B4842,"")</f>
        <v/>
      </c>
      <c r="C4842" s="8">
        <f>IFERROR(Datos!C4842,"")</f>
        <v/>
      </c>
      <c r="D4842" s="28">
        <f>IFERROR(IF(AND(ISNUMBER(B4842),ISNUMBER(B4841),B4841&lt;&gt;0),B4842/B4841-1,""),"")</f>
        <v/>
      </c>
      <c r="E4842" s="28">
        <f>IFERROR(IF(AND(ISNUMBER(C4842),ISNUMBER(C4841),C4841&lt;&gt;0),C4842/C4841-1,""),"")</f>
        <v/>
      </c>
      <c r="F4842" s="28">
        <f>IFERROR(D4842-Dashboard!$B$4/252,"")</f>
        <v/>
      </c>
      <c r="G4842" s="28">
        <f>IFERROR(E4842-Dashboard!$B$4/252,"")</f>
        <v/>
      </c>
      <c r="H4842" s="8">
        <f>IFERROR(IF(ISNUMBER(B4842),MAX(B4842,IFERROR(H4841,B4842)),""),"")</f>
        <v/>
      </c>
      <c r="I4842" s="29">
        <f>IFERROR(IF(AND(ISNUMBER(B4842),ISNUMBER(H4842)),B4842/H4842-1,""),"")</f>
        <v/>
      </c>
      <c r="J4842" s="8">
        <f>IFERROR(IF(ISNUMBER(C4842),MAX(C4842,IFERROR(J4841,C4842)),""),"")</f>
        <v/>
      </c>
      <c r="K4842" s="29">
        <f>IFERROR(IF(AND(ISNUMBER(C4842),ISNUMBER(J4842)),C4842/J4842-1,""),"")</f>
        <v/>
      </c>
      <c r="L4842" s="28">
        <f>IFERROR(IF(AND(ISNUMBER(D4842),ISNUMBER(E4842)),D4842-E4842,""),"")</f>
        <v/>
      </c>
    </row>
    <row r="4843">
      <c r="A4843" s="7">
        <f>IFERROR(Datos!A4843,"")</f>
        <v/>
      </c>
      <c r="B4843" s="8">
        <f>IFERROR(Datos!B4843,"")</f>
        <v/>
      </c>
      <c r="C4843" s="8">
        <f>IFERROR(Datos!C4843,"")</f>
        <v/>
      </c>
      <c r="D4843" s="28">
        <f>IFERROR(IF(AND(ISNUMBER(B4843),ISNUMBER(B4842),B4842&lt;&gt;0),B4843/B4842-1,""),"")</f>
        <v/>
      </c>
      <c r="E4843" s="28">
        <f>IFERROR(IF(AND(ISNUMBER(C4843),ISNUMBER(C4842),C4842&lt;&gt;0),C4843/C4842-1,""),"")</f>
        <v/>
      </c>
      <c r="F4843" s="28">
        <f>IFERROR(D4843-Dashboard!$B$4/252,"")</f>
        <v/>
      </c>
      <c r="G4843" s="28">
        <f>IFERROR(E4843-Dashboard!$B$4/252,"")</f>
        <v/>
      </c>
      <c r="H4843" s="8">
        <f>IFERROR(IF(ISNUMBER(B4843),MAX(B4843,IFERROR(H4842,B4843)),""),"")</f>
        <v/>
      </c>
      <c r="I4843" s="29">
        <f>IFERROR(IF(AND(ISNUMBER(B4843),ISNUMBER(H4843)),B4843/H4843-1,""),"")</f>
        <v/>
      </c>
      <c r="J4843" s="8">
        <f>IFERROR(IF(ISNUMBER(C4843),MAX(C4843,IFERROR(J4842,C4843)),""),"")</f>
        <v/>
      </c>
      <c r="K4843" s="29">
        <f>IFERROR(IF(AND(ISNUMBER(C4843),ISNUMBER(J4843)),C4843/J4843-1,""),"")</f>
        <v/>
      </c>
      <c r="L4843" s="28">
        <f>IFERROR(IF(AND(ISNUMBER(D4843),ISNUMBER(E4843)),D4843-E4843,""),"")</f>
        <v/>
      </c>
    </row>
    <row r="4844">
      <c r="A4844" s="7">
        <f>IFERROR(Datos!A4844,"")</f>
        <v/>
      </c>
      <c r="B4844" s="8">
        <f>IFERROR(Datos!B4844,"")</f>
        <v/>
      </c>
      <c r="C4844" s="8">
        <f>IFERROR(Datos!C4844,"")</f>
        <v/>
      </c>
      <c r="D4844" s="28">
        <f>IFERROR(IF(AND(ISNUMBER(B4844),ISNUMBER(B4843),B4843&lt;&gt;0),B4844/B4843-1,""),"")</f>
        <v/>
      </c>
      <c r="E4844" s="28">
        <f>IFERROR(IF(AND(ISNUMBER(C4844),ISNUMBER(C4843),C4843&lt;&gt;0),C4844/C4843-1,""),"")</f>
        <v/>
      </c>
      <c r="F4844" s="28">
        <f>IFERROR(D4844-Dashboard!$B$4/252,"")</f>
        <v/>
      </c>
      <c r="G4844" s="28">
        <f>IFERROR(E4844-Dashboard!$B$4/252,"")</f>
        <v/>
      </c>
      <c r="H4844" s="8">
        <f>IFERROR(IF(ISNUMBER(B4844),MAX(B4844,IFERROR(H4843,B4844)),""),"")</f>
        <v/>
      </c>
      <c r="I4844" s="29">
        <f>IFERROR(IF(AND(ISNUMBER(B4844),ISNUMBER(H4844)),B4844/H4844-1,""),"")</f>
        <v/>
      </c>
      <c r="J4844" s="8">
        <f>IFERROR(IF(ISNUMBER(C4844),MAX(C4844,IFERROR(J4843,C4844)),""),"")</f>
        <v/>
      </c>
      <c r="K4844" s="29">
        <f>IFERROR(IF(AND(ISNUMBER(C4844),ISNUMBER(J4844)),C4844/J4844-1,""),"")</f>
        <v/>
      </c>
      <c r="L4844" s="28">
        <f>IFERROR(IF(AND(ISNUMBER(D4844),ISNUMBER(E4844)),D4844-E4844,""),"")</f>
        <v/>
      </c>
    </row>
    <row r="4845">
      <c r="A4845" s="7">
        <f>IFERROR(Datos!A4845,"")</f>
        <v/>
      </c>
      <c r="B4845" s="8">
        <f>IFERROR(Datos!B4845,"")</f>
        <v/>
      </c>
      <c r="C4845" s="8">
        <f>IFERROR(Datos!C4845,"")</f>
        <v/>
      </c>
      <c r="D4845" s="28">
        <f>IFERROR(IF(AND(ISNUMBER(B4845),ISNUMBER(B4844),B4844&lt;&gt;0),B4845/B4844-1,""),"")</f>
        <v/>
      </c>
      <c r="E4845" s="28">
        <f>IFERROR(IF(AND(ISNUMBER(C4845),ISNUMBER(C4844),C4844&lt;&gt;0),C4845/C4844-1,""),"")</f>
        <v/>
      </c>
      <c r="F4845" s="28">
        <f>IFERROR(D4845-Dashboard!$B$4/252,"")</f>
        <v/>
      </c>
      <c r="G4845" s="28">
        <f>IFERROR(E4845-Dashboard!$B$4/252,"")</f>
        <v/>
      </c>
      <c r="H4845" s="8">
        <f>IFERROR(IF(ISNUMBER(B4845),MAX(B4845,IFERROR(H4844,B4845)),""),"")</f>
        <v/>
      </c>
      <c r="I4845" s="29">
        <f>IFERROR(IF(AND(ISNUMBER(B4845),ISNUMBER(H4845)),B4845/H4845-1,""),"")</f>
        <v/>
      </c>
      <c r="J4845" s="8">
        <f>IFERROR(IF(ISNUMBER(C4845),MAX(C4845,IFERROR(J4844,C4845)),""),"")</f>
        <v/>
      </c>
      <c r="K4845" s="29">
        <f>IFERROR(IF(AND(ISNUMBER(C4845),ISNUMBER(J4845)),C4845/J4845-1,""),"")</f>
        <v/>
      </c>
      <c r="L4845" s="28">
        <f>IFERROR(IF(AND(ISNUMBER(D4845),ISNUMBER(E4845)),D4845-E4845,""),"")</f>
        <v/>
      </c>
    </row>
    <row r="4846">
      <c r="A4846" s="7">
        <f>IFERROR(Datos!A4846,"")</f>
        <v/>
      </c>
      <c r="B4846" s="8">
        <f>IFERROR(Datos!B4846,"")</f>
        <v/>
      </c>
      <c r="C4846" s="8">
        <f>IFERROR(Datos!C4846,"")</f>
        <v/>
      </c>
      <c r="D4846" s="28">
        <f>IFERROR(IF(AND(ISNUMBER(B4846),ISNUMBER(B4845),B4845&lt;&gt;0),B4846/B4845-1,""),"")</f>
        <v/>
      </c>
      <c r="E4846" s="28">
        <f>IFERROR(IF(AND(ISNUMBER(C4846),ISNUMBER(C4845),C4845&lt;&gt;0),C4846/C4845-1,""),"")</f>
        <v/>
      </c>
      <c r="F4846" s="28">
        <f>IFERROR(D4846-Dashboard!$B$4/252,"")</f>
        <v/>
      </c>
      <c r="G4846" s="28">
        <f>IFERROR(E4846-Dashboard!$B$4/252,"")</f>
        <v/>
      </c>
      <c r="H4846" s="8">
        <f>IFERROR(IF(ISNUMBER(B4846),MAX(B4846,IFERROR(H4845,B4846)),""),"")</f>
        <v/>
      </c>
      <c r="I4846" s="29">
        <f>IFERROR(IF(AND(ISNUMBER(B4846),ISNUMBER(H4846)),B4846/H4846-1,""),"")</f>
        <v/>
      </c>
      <c r="J4846" s="8">
        <f>IFERROR(IF(ISNUMBER(C4846),MAX(C4846,IFERROR(J4845,C4846)),""),"")</f>
        <v/>
      </c>
      <c r="K4846" s="29">
        <f>IFERROR(IF(AND(ISNUMBER(C4846),ISNUMBER(J4846)),C4846/J4846-1,""),"")</f>
        <v/>
      </c>
      <c r="L4846" s="28">
        <f>IFERROR(IF(AND(ISNUMBER(D4846),ISNUMBER(E4846)),D4846-E4846,""),"")</f>
        <v/>
      </c>
    </row>
    <row r="4847">
      <c r="A4847" s="7">
        <f>IFERROR(Datos!A4847,"")</f>
        <v/>
      </c>
      <c r="B4847" s="8">
        <f>IFERROR(Datos!B4847,"")</f>
        <v/>
      </c>
      <c r="C4847" s="8">
        <f>IFERROR(Datos!C4847,"")</f>
        <v/>
      </c>
      <c r="D4847" s="28">
        <f>IFERROR(IF(AND(ISNUMBER(B4847),ISNUMBER(B4846),B4846&lt;&gt;0),B4847/B4846-1,""),"")</f>
        <v/>
      </c>
      <c r="E4847" s="28">
        <f>IFERROR(IF(AND(ISNUMBER(C4847),ISNUMBER(C4846),C4846&lt;&gt;0),C4847/C4846-1,""),"")</f>
        <v/>
      </c>
      <c r="F4847" s="28">
        <f>IFERROR(D4847-Dashboard!$B$4/252,"")</f>
        <v/>
      </c>
      <c r="G4847" s="28">
        <f>IFERROR(E4847-Dashboard!$B$4/252,"")</f>
        <v/>
      </c>
      <c r="H4847" s="8">
        <f>IFERROR(IF(ISNUMBER(B4847),MAX(B4847,IFERROR(H4846,B4847)),""),"")</f>
        <v/>
      </c>
      <c r="I4847" s="29">
        <f>IFERROR(IF(AND(ISNUMBER(B4847),ISNUMBER(H4847)),B4847/H4847-1,""),"")</f>
        <v/>
      </c>
      <c r="J4847" s="8">
        <f>IFERROR(IF(ISNUMBER(C4847),MAX(C4847,IFERROR(J4846,C4847)),""),"")</f>
        <v/>
      </c>
      <c r="K4847" s="29">
        <f>IFERROR(IF(AND(ISNUMBER(C4847),ISNUMBER(J4847)),C4847/J4847-1,""),"")</f>
        <v/>
      </c>
      <c r="L4847" s="28">
        <f>IFERROR(IF(AND(ISNUMBER(D4847),ISNUMBER(E4847)),D4847-E4847,""),"")</f>
        <v/>
      </c>
    </row>
    <row r="4848">
      <c r="A4848" s="7">
        <f>IFERROR(Datos!A4848,"")</f>
        <v/>
      </c>
      <c r="B4848" s="8">
        <f>IFERROR(Datos!B4848,"")</f>
        <v/>
      </c>
      <c r="C4848" s="8">
        <f>IFERROR(Datos!C4848,"")</f>
        <v/>
      </c>
      <c r="D4848" s="28">
        <f>IFERROR(IF(AND(ISNUMBER(B4848),ISNUMBER(B4847),B4847&lt;&gt;0),B4848/B4847-1,""),"")</f>
        <v/>
      </c>
      <c r="E4848" s="28">
        <f>IFERROR(IF(AND(ISNUMBER(C4848),ISNUMBER(C4847),C4847&lt;&gt;0),C4848/C4847-1,""),"")</f>
        <v/>
      </c>
      <c r="F4848" s="28">
        <f>IFERROR(D4848-Dashboard!$B$4/252,"")</f>
        <v/>
      </c>
      <c r="G4848" s="28">
        <f>IFERROR(E4848-Dashboard!$B$4/252,"")</f>
        <v/>
      </c>
      <c r="H4848" s="8">
        <f>IFERROR(IF(ISNUMBER(B4848),MAX(B4848,IFERROR(H4847,B4848)),""),"")</f>
        <v/>
      </c>
      <c r="I4848" s="29">
        <f>IFERROR(IF(AND(ISNUMBER(B4848),ISNUMBER(H4848)),B4848/H4848-1,""),"")</f>
        <v/>
      </c>
      <c r="J4848" s="8">
        <f>IFERROR(IF(ISNUMBER(C4848),MAX(C4848,IFERROR(J4847,C4848)),""),"")</f>
        <v/>
      </c>
      <c r="K4848" s="29">
        <f>IFERROR(IF(AND(ISNUMBER(C4848),ISNUMBER(J4848)),C4848/J4848-1,""),"")</f>
        <v/>
      </c>
      <c r="L4848" s="28">
        <f>IFERROR(IF(AND(ISNUMBER(D4848),ISNUMBER(E4848)),D4848-E4848,""),"")</f>
        <v/>
      </c>
    </row>
    <row r="4849">
      <c r="A4849" s="7">
        <f>IFERROR(Datos!A4849,"")</f>
        <v/>
      </c>
      <c r="B4849" s="8">
        <f>IFERROR(Datos!B4849,"")</f>
        <v/>
      </c>
      <c r="C4849" s="8">
        <f>IFERROR(Datos!C4849,"")</f>
        <v/>
      </c>
      <c r="D4849" s="28">
        <f>IFERROR(IF(AND(ISNUMBER(B4849),ISNUMBER(B4848),B4848&lt;&gt;0),B4849/B4848-1,""),"")</f>
        <v/>
      </c>
      <c r="E4849" s="28">
        <f>IFERROR(IF(AND(ISNUMBER(C4849),ISNUMBER(C4848),C4848&lt;&gt;0),C4849/C4848-1,""),"")</f>
        <v/>
      </c>
      <c r="F4849" s="28">
        <f>IFERROR(D4849-Dashboard!$B$4/252,"")</f>
        <v/>
      </c>
      <c r="G4849" s="28">
        <f>IFERROR(E4849-Dashboard!$B$4/252,"")</f>
        <v/>
      </c>
      <c r="H4849" s="8">
        <f>IFERROR(IF(ISNUMBER(B4849),MAX(B4849,IFERROR(H4848,B4849)),""),"")</f>
        <v/>
      </c>
      <c r="I4849" s="29">
        <f>IFERROR(IF(AND(ISNUMBER(B4849),ISNUMBER(H4849)),B4849/H4849-1,""),"")</f>
        <v/>
      </c>
      <c r="J4849" s="8">
        <f>IFERROR(IF(ISNUMBER(C4849),MAX(C4849,IFERROR(J4848,C4849)),""),"")</f>
        <v/>
      </c>
      <c r="K4849" s="29">
        <f>IFERROR(IF(AND(ISNUMBER(C4849),ISNUMBER(J4849)),C4849/J4849-1,""),"")</f>
        <v/>
      </c>
      <c r="L4849" s="28">
        <f>IFERROR(IF(AND(ISNUMBER(D4849),ISNUMBER(E4849)),D4849-E4849,""),"")</f>
        <v/>
      </c>
    </row>
    <row r="4850">
      <c r="A4850" s="7">
        <f>IFERROR(Datos!A4850,"")</f>
        <v/>
      </c>
      <c r="B4850" s="8">
        <f>IFERROR(Datos!B4850,"")</f>
        <v/>
      </c>
      <c r="C4850" s="8">
        <f>IFERROR(Datos!C4850,"")</f>
        <v/>
      </c>
      <c r="D4850" s="28">
        <f>IFERROR(IF(AND(ISNUMBER(B4850),ISNUMBER(B4849),B4849&lt;&gt;0),B4850/B4849-1,""),"")</f>
        <v/>
      </c>
      <c r="E4850" s="28">
        <f>IFERROR(IF(AND(ISNUMBER(C4850),ISNUMBER(C4849),C4849&lt;&gt;0),C4850/C4849-1,""),"")</f>
        <v/>
      </c>
      <c r="F4850" s="28">
        <f>IFERROR(D4850-Dashboard!$B$4/252,"")</f>
        <v/>
      </c>
      <c r="G4850" s="28">
        <f>IFERROR(E4850-Dashboard!$B$4/252,"")</f>
        <v/>
      </c>
      <c r="H4850" s="8">
        <f>IFERROR(IF(ISNUMBER(B4850),MAX(B4850,IFERROR(H4849,B4850)),""),"")</f>
        <v/>
      </c>
      <c r="I4850" s="29">
        <f>IFERROR(IF(AND(ISNUMBER(B4850),ISNUMBER(H4850)),B4850/H4850-1,""),"")</f>
        <v/>
      </c>
      <c r="J4850" s="8">
        <f>IFERROR(IF(ISNUMBER(C4850),MAX(C4850,IFERROR(J4849,C4850)),""),"")</f>
        <v/>
      </c>
      <c r="K4850" s="29">
        <f>IFERROR(IF(AND(ISNUMBER(C4850),ISNUMBER(J4850)),C4850/J4850-1,""),"")</f>
        <v/>
      </c>
      <c r="L4850" s="28">
        <f>IFERROR(IF(AND(ISNUMBER(D4850),ISNUMBER(E4850)),D4850-E4850,""),"")</f>
        <v/>
      </c>
    </row>
    <row r="4851">
      <c r="A4851" s="7">
        <f>IFERROR(Datos!A4851,"")</f>
        <v/>
      </c>
      <c r="B4851" s="8">
        <f>IFERROR(Datos!B4851,"")</f>
        <v/>
      </c>
      <c r="C4851" s="8">
        <f>IFERROR(Datos!C4851,"")</f>
        <v/>
      </c>
      <c r="D4851" s="28">
        <f>IFERROR(IF(AND(ISNUMBER(B4851),ISNUMBER(B4850),B4850&lt;&gt;0),B4851/B4850-1,""),"")</f>
        <v/>
      </c>
      <c r="E4851" s="28">
        <f>IFERROR(IF(AND(ISNUMBER(C4851),ISNUMBER(C4850),C4850&lt;&gt;0),C4851/C4850-1,""),"")</f>
        <v/>
      </c>
      <c r="F4851" s="28">
        <f>IFERROR(D4851-Dashboard!$B$4/252,"")</f>
        <v/>
      </c>
      <c r="G4851" s="28">
        <f>IFERROR(E4851-Dashboard!$B$4/252,"")</f>
        <v/>
      </c>
      <c r="H4851" s="8">
        <f>IFERROR(IF(ISNUMBER(B4851),MAX(B4851,IFERROR(H4850,B4851)),""),"")</f>
        <v/>
      </c>
      <c r="I4851" s="29">
        <f>IFERROR(IF(AND(ISNUMBER(B4851),ISNUMBER(H4851)),B4851/H4851-1,""),"")</f>
        <v/>
      </c>
      <c r="J4851" s="8">
        <f>IFERROR(IF(ISNUMBER(C4851),MAX(C4851,IFERROR(J4850,C4851)),""),"")</f>
        <v/>
      </c>
      <c r="K4851" s="29">
        <f>IFERROR(IF(AND(ISNUMBER(C4851),ISNUMBER(J4851)),C4851/J4851-1,""),"")</f>
        <v/>
      </c>
      <c r="L4851" s="28">
        <f>IFERROR(IF(AND(ISNUMBER(D4851),ISNUMBER(E4851)),D4851-E4851,""),"")</f>
        <v/>
      </c>
    </row>
    <row r="4852">
      <c r="A4852" s="7">
        <f>IFERROR(Datos!A4852,"")</f>
        <v/>
      </c>
      <c r="B4852" s="8">
        <f>IFERROR(Datos!B4852,"")</f>
        <v/>
      </c>
      <c r="C4852" s="8">
        <f>IFERROR(Datos!C4852,"")</f>
        <v/>
      </c>
      <c r="D4852" s="28">
        <f>IFERROR(IF(AND(ISNUMBER(B4852),ISNUMBER(B4851),B4851&lt;&gt;0),B4852/B4851-1,""),"")</f>
        <v/>
      </c>
      <c r="E4852" s="28">
        <f>IFERROR(IF(AND(ISNUMBER(C4852),ISNUMBER(C4851),C4851&lt;&gt;0),C4852/C4851-1,""),"")</f>
        <v/>
      </c>
      <c r="F4852" s="28">
        <f>IFERROR(D4852-Dashboard!$B$4/252,"")</f>
        <v/>
      </c>
      <c r="G4852" s="28">
        <f>IFERROR(E4852-Dashboard!$B$4/252,"")</f>
        <v/>
      </c>
      <c r="H4852" s="8">
        <f>IFERROR(IF(ISNUMBER(B4852),MAX(B4852,IFERROR(H4851,B4852)),""),"")</f>
        <v/>
      </c>
      <c r="I4852" s="29">
        <f>IFERROR(IF(AND(ISNUMBER(B4852),ISNUMBER(H4852)),B4852/H4852-1,""),"")</f>
        <v/>
      </c>
      <c r="J4852" s="8">
        <f>IFERROR(IF(ISNUMBER(C4852),MAX(C4852,IFERROR(J4851,C4852)),""),"")</f>
        <v/>
      </c>
      <c r="K4852" s="29">
        <f>IFERROR(IF(AND(ISNUMBER(C4852),ISNUMBER(J4852)),C4852/J4852-1,""),"")</f>
        <v/>
      </c>
      <c r="L4852" s="28">
        <f>IFERROR(IF(AND(ISNUMBER(D4852),ISNUMBER(E4852)),D4852-E4852,""),"")</f>
        <v/>
      </c>
    </row>
    <row r="4853">
      <c r="A4853" s="7">
        <f>IFERROR(Datos!A4853,"")</f>
        <v/>
      </c>
      <c r="B4853" s="8">
        <f>IFERROR(Datos!B4853,"")</f>
        <v/>
      </c>
      <c r="C4853" s="8">
        <f>IFERROR(Datos!C4853,"")</f>
        <v/>
      </c>
      <c r="D4853" s="28">
        <f>IFERROR(IF(AND(ISNUMBER(B4853),ISNUMBER(B4852),B4852&lt;&gt;0),B4853/B4852-1,""),"")</f>
        <v/>
      </c>
      <c r="E4853" s="28">
        <f>IFERROR(IF(AND(ISNUMBER(C4853),ISNUMBER(C4852),C4852&lt;&gt;0),C4853/C4852-1,""),"")</f>
        <v/>
      </c>
      <c r="F4853" s="28">
        <f>IFERROR(D4853-Dashboard!$B$4/252,"")</f>
        <v/>
      </c>
      <c r="G4853" s="28">
        <f>IFERROR(E4853-Dashboard!$B$4/252,"")</f>
        <v/>
      </c>
      <c r="H4853" s="8">
        <f>IFERROR(IF(ISNUMBER(B4853),MAX(B4853,IFERROR(H4852,B4853)),""),"")</f>
        <v/>
      </c>
      <c r="I4853" s="29">
        <f>IFERROR(IF(AND(ISNUMBER(B4853),ISNUMBER(H4853)),B4853/H4853-1,""),"")</f>
        <v/>
      </c>
      <c r="J4853" s="8">
        <f>IFERROR(IF(ISNUMBER(C4853),MAX(C4853,IFERROR(J4852,C4853)),""),"")</f>
        <v/>
      </c>
      <c r="K4853" s="29">
        <f>IFERROR(IF(AND(ISNUMBER(C4853),ISNUMBER(J4853)),C4853/J4853-1,""),"")</f>
        <v/>
      </c>
      <c r="L4853" s="28">
        <f>IFERROR(IF(AND(ISNUMBER(D4853),ISNUMBER(E4853)),D4853-E4853,""),"")</f>
        <v/>
      </c>
    </row>
    <row r="4854">
      <c r="A4854" s="7">
        <f>IFERROR(Datos!A4854,"")</f>
        <v/>
      </c>
      <c r="B4854" s="8">
        <f>IFERROR(Datos!B4854,"")</f>
        <v/>
      </c>
      <c r="C4854" s="8">
        <f>IFERROR(Datos!C4854,"")</f>
        <v/>
      </c>
      <c r="D4854" s="28">
        <f>IFERROR(IF(AND(ISNUMBER(B4854),ISNUMBER(B4853),B4853&lt;&gt;0),B4854/B4853-1,""),"")</f>
        <v/>
      </c>
      <c r="E4854" s="28">
        <f>IFERROR(IF(AND(ISNUMBER(C4854),ISNUMBER(C4853),C4853&lt;&gt;0),C4854/C4853-1,""),"")</f>
        <v/>
      </c>
      <c r="F4854" s="28">
        <f>IFERROR(D4854-Dashboard!$B$4/252,"")</f>
        <v/>
      </c>
      <c r="G4854" s="28">
        <f>IFERROR(E4854-Dashboard!$B$4/252,"")</f>
        <v/>
      </c>
      <c r="H4854" s="8">
        <f>IFERROR(IF(ISNUMBER(B4854),MAX(B4854,IFERROR(H4853,B4854)),""),"")</f>
        <v/>
      </c>
      <c r="I4854" s="29">
        <f>IFERROR(IF(AND(ISNUMBER(B4854),ISNUMBER(H4854)),B4854/H4854-1,""),"")</f>
        <v/>
      </c>
      <c r="J4854" s="8">
        <f>IFERROR(IF(ISNUMBER(C4854),MAX(C4854,IFERROR(J4853,C4854)),""),"")</f>
        <v/>
      </c>
      <c r="K4854" s="29">
        <f>IFERROR(IF(AND(ISNUMBER(C4854),ISNUMBER(J4854)),C4854/J4854-1,""),"")</f>
        <v/>
      </c>
      <c r="L4854" s="28">
        <f>IFERROR(IF(AND(ISNUMBER(D4854),ISNUMBER(E4854)),D4854-E4854,""),"")</f>
        <v/>
      </c>
    </row>
    <row r="4855">
      <c r="A4855" s="7">
        <f>IFERROR(Datos!A4855,"")</f>
        <v/>
      </c>
      <c r="B4855" s="8">
        <f>IFERROR(Datos!B4855,"")</f>
        <v/>
      </c>
      <c r="C4855" s="8">
        <f>IFERROR(Datos!C4855,"")</f>
        <v/>
      </c>
      <c r="D4855" s="28">
        <f>IFERROR(IF(AND(ISNUMBER(B4855),ISNUMBER(B4854),B4854&lt;&gt;0),B4855/B4854-1,""),"")</f>
        <v/>
      </c>
      <c r="E4855" s="28">
        <f>IFERROR(IF(AND(ISNUMBER(C4855),ISNUMBER(C4854),C4854&lt;&gt;0),C4855/C4854-1,""),"")</f>
        <v/>
      </c>
      <c r="F4855" s="28">
        <f>IFERROR(D4855-Dashboard!$B$4/252,"")</f>
        <v/>
      </c>
      <c r="G4855" s="28">
        <f>IFERROR(E4855-Dashboard!$B$4/252,"")</f>
        <v/>
      </c>
      <c r="H4855" s="8">
        <f>IFERROR(IF(ISNUMBER(B4855),MAX(B4855,IFERROR(H4854,B4855)),""),"")</f>
        <v/>
      </c>
      <c r="I4855" s="29">
        <f>IFERROR(IF(AND(ISNUMBER(B4855),ISNUMBER(H4855)),B4855/H4855-1,""),"")</f>
        <v/>
      </c>
      <c r="J4855" s="8">
        <f>IFERROR(IF(ISNUMBER(C4855),MAX(C4855,IFERROR(J4854,C4855)),""),"")</f>
        <v/>
      </c>
      <c r="K4855" s="29">
        <f>IFERROR(IF(AND(ISNUMBER(C4855),ISNUMBER(J4855)),C4855/J4855-1,""),"")</f>
        <v/>
      </c>
      <c r="L4855" s="28">
        <f>IFERROR(IF(AND(ISNUMBER(D4855),ISNUMBER(E4855)),D4855-E4855,""),"")</f>
        <v/>
      </c>
    </row>
    <row r="4856">
      <c r="A4856" s="7">
        <f>IFERROR(Datos!A4856,"")</f>
        <v/>
      </c>
      <c r="B4856" s="8">
        <f>IFERROR(Datos!B4856,"")</f>
        <v/>
      </c>
      <c r="C4856" s="8">
        <f>IFERROR(Datos!C4856,"")</f>
        <v/>
      </c>
      <c r="D4856" s="28">
        <f>IFERROR(IF(AND(ISNUMBER(B4856),ISNUMBER(B4855),B4855&lt;&gt;0),B4856/B4855-1,""),"")</f>
        <v/>
      </c>
      <c r="E4856" s="28">
        <f>IFERROR(IF(AND(ISNUMBER(C4856),ISNUMBER(C4855),C4855&lt;&gt;0),C4856/C4855-1,""),"")</f>
        <v/>
      </c>
      <c r="F4856" s="28">
        <f>IFERROR(D4856-Dashboard!$B$4/252,"")</f>
        <v/>
      </c>
      <c r="G4856" s="28">
        <f>IFERROR(E4856-Dashboard!$B$4/252,"")</f>
        <v/>
      </c>
      <c r="H4856" s="8">
        <f>IFERROR(IF(ISNUMBER(B4856),MAX(B4856,IFERROR(H4855,B4856)),""),"")</f>
        <v/>
      </c>
      <c r="I4856" s="29">
        <f>IFERROR(IF(AND(ISNUMBER(B4856),ISNUMBER(H4856)),B4856/H4856-1,""),"")</f>
        <v/>
      </c>
      <c r="J4856" s="8">
        <f>IFERROR(IF(ISNUMBER(C4856),MAX(C4856,IFERROR(J4855,C4856)),""),"")</f>
        <v/>
      </c>
      <c r="K4856" s="29">
        <f>IFERROR(IF(AND(ISNUMBER(C4856),ISNUMBER(J4856)),C4856/J4856-1,""),"")</f>
        <v/>
      </c>
      <c r="L4856" s="28">
        <f>IFERROR(IF(AND(ISNUMBER(D4856),ISNUMBER(E4856)),D4856-E4856,""),"")</f>
        <v/>
      </c>
    </row>
    <row r="4857">
      <c r="A4857" s="7">
        <f>IFERROR(Datos!A4857,"")</f>
        <v/>
      </c>
      <c r="B4857" s="8">
        <f>IFERROR(Datos!B4857,"")</f>
        <v/>
      </c>
      <c r="C4857" s="8">
        <f>IFERROR(Datos!C4857,"")</f>
        <v/>
      </c>
      <c r="D4857" s="28">
        <f>IFERROR(IF(AND(ISNUMBER(B4857),ISNUMBER(B4856),B4856&lt;&gt;0),B4857/B4856-1,""),"")</f>
        <v/>
      </c>
      <c r="E4857" s="28">
        <f>IFERROR(IF(AND(ISNUMBER(C4857),ISNUMBER(C4856),C4856&lt;&gt;0),C4857/C4856-1,""),"")</f>
        <v/>
      </c>
      <c r="F4857" s="28">
        <f>IFERROR(D4857-Dashboard!$B$4/252,"")</f>
        <v/>
      </c>
      <c r="G4857" s="28">
        <f>IFERROR(E4857-Dashboard!$B$4/252,"")</f>
        <v/>
      </c>
      <c r="H4857" s="8">
        <f>IFERROR(IF(ISNUMBER(B4857),MAX(B4857,IFERROR(H4856,B4857)),""),"")</f>
        <v/>
      </c>
      <c r="I4857" s="29">
        <f>IFERROR(IF(AND(ISNUMBER(B4857),ISNUMBER(H4857)),B4857/H4857-1,""),"")</f>
        <v/>
      </c>
      <c r="J4857" s="8">
        <f>IFERROR(IF(ISNUMBER(C4857),MAX(C4857,IFERROR(J4856,C4857)),""),"")</f>
        <v/>
      </c>
      <c r="K4857" s="29">
        <f>IFERROR(IF(AND(ISNUMBER(C4857),ISNUMBER(J4857)),C4857/J4857-1,""),"")</f>
        <v/>
      </c>
      <c r="L4857" s="28">
        <f>IFERROR(IF(AND(ISNUMBER(D4857),ISNUMBER(E4857)),D4857-E4857,""),"")</f>
        <v/>
      </c>
    </row>
    <row r="4858">
      <c r="A4858" s="7">
        <f>IFERROR(Datos!A4858,"")</f>
        <v/>
      </c>
      <c r="B4858" s="8">
        <f>IFERROR(Datos!B4858,"")</f>
        <v/>
      </c>
      <c r="C4858" s="8">
        <f>IFERROR(Datos!C4858,"")</f>
        <v/>
      </c>
      <c r="D4858" s="28">
        <f>IFERROR(IF(AND(ISNUMBER(B4858),ISNUMBER(B4857),B4857&lt;&gt;0),B4858/B4857-1,""),"")</f>
        <v/>
      </c>
      <c r="E4858" s="28">
        <f>IFERROR(IF(AND(ISNUMBER(C4858),ISNUMBER(C4857),C4857&lt;&gt;0),C4858/C4857-1,""),"")</f>
        <v/>
      </c>
      <c r="F4858" s="28">
        <f>IFERROR(D4858-Dashboard!$B$4/252,"")</f>
        <v/>
      </c>
      <c r="G4858" s="28">
        <f>IFERROR(E4858-Dashboard!$B$4/252,"")</f>
        <v/>
      </c>
      <c r="H4858" s="8">
        <f>IFERROR(IF(ISNUMBER(B4858),MAX(B4858,IFERROR(H4857,B4858)),""),"")</f>
        <v/>
      </c>
      <c r="I4858" s="29">
        <f>IFERROR(IF(AND(ISNUMBER(B4858),ISNUMBER(H4858)),B4858/H4858-1,""),"")</f>
        <v/>
      </c>
      <c r="J4858" s="8">
        <f>IFERROR(IF(ISNUMBER(C4858),MAX(C4858,IFERROR(J4857,C4858)),""),"")</f>
        <v/>
      </c>
      <c r="K4858" s="29">
        <f>IFERROR(IF(AND(ISNUMBER(C4858),ISNUMBER(J4858)),C4858/J4858-1,""),"")</f>
        <v/>
      </c>
      <c r="L4858" s="28">
        <f>IFERROR(IF(AND(ISNUMBER(D4858),ISNUMBER(E4858)),D4858-E4858,""),"")</f>
        <v/>
      </c>
    </row>
    <row r="4859">
      <c r="A4859" s="7">
        <f>IFERROR(Datos!A4859,"")</f>
        <v/>
      </c>
      <c r="B4859" s="8">
        <f>IFERROR(Datos!B4859,"")</f>
        <v/>
      </c>
      <c r="C4859" s="8">
        <f>IFERROR(Datos!C4859,"")</f>
        <v/>
      </c>
      <c r="D4859" s="28">
        <f>IFERROR(IF(AND(ISNUMBER(B4859),ISNUMBER(B4858),B4858&lt;&gt;0),B4859/B4858-1,""),"")</f>
        <v/>
      </c>
      <c r="E4859" s="28">
        <f>IFERROR(IF(AND(ISNUMBER(C4859),ISNUMBER(C4858),C4858&lt;&gt;0),C4859/C4858-1,""),"")</f>
        <v/>
      </c>
      <c r="F4859" s="28">
        <f>IFERROR(D4859-Dashboard!$B$4/252,"")</f>
        <v/>
      </c>
      <c r="G4859" s="28">
        <f>IFERROR(E4859-Dashboard!$B$4/252,"")</f>
        <v/>
      </c>
      <c r="H4859" s="8">
        <f>IFERROR(IF(ISNUMBER(B4859),MAX(B4859,IFERROR(H4858,B4859)),""),"")</f>
        <v/>
      </c>
      <c r="I4859" s="29">
        <f>IFERROR(IF(AND(ISNUMBER(B4859),ISNUMBER(H4859)),B4859/H4859-1,""),"")</f>
        <v/>
      </c>
      <c r="J4859" s="8">
        <f>IFERROR(IF(ISNUMBER(C4859),MAX(C4859,IFERROR(J4858,C4859)),""),"")</f>
        <v/>
      </c>
      <c r="K4859" s="29">
        <f>IFERROR(IF(AND(ISNUMBER(C4859),ISNUMBER(J4859)),C4859/J4859-1,""),"")</f>
        <v/>
      </c>
      <c r="L4859" s="28">
        <f>IFERROR(IF(AND(ISNUMBER(D4859),ISNUMBER(E4859)),D4859-E4859,""),"")</f>
        <v/>
      </c>
    </row>
    <row r="4860">
      <c r="A4860" s="7">
        <f>IFERROR(Datos!A4860,"")</f>
        <v/>
      </c>
      <c r="B4860" s="8">
        <f>IFERROR(Datos!B4860,"")</f>
        <v/>
      </c>
      <c r="C4860" s="8">
        <f>IFERROR(Datos!C4860,"")</f>
        <v/>
      </c>
      <c r="D4860" s="28">
        <f>IFERROR(IF(AND(ISNUMBER(B4860),ISNUMBER(B4859),B4859&lt;&gt;0),B4860/B4859-1,""),"")</f>
        <v/>
      </c>
      <c r="E4860" s="28">
        <f>IFERROR(IF(AND(ISNUMBER(C4860),ISNUMBER(C4859),C4859&lt;&gt;0),C4860/C4859-1,""),"")</f>
        <v/>
      </c>
      <c r="F4860" s="28">
        <f>IFERROR(D4860-Dashboard!$B$4/252,"")</f>
        <v/>
      </c>
      <c r="G4860" s="28">
        <f>IFERROR(E4860-Dashboard!$B$4/252,"")</f>
        <v/>
      </c>
      <c r="H4860" s="8">
        <f>IFERROR(IF(ISNUMBER(B4860),MAX(B4860,IFERROR(H4859,B4860)),""),"")</f>
        <v/>
      </c>
      <c r="I4860" s="29">
        <f>IFERROR(IF(AND(ISNUMBER(B4860),ISNUMBER(H4860)),B4860/H4860-1,""),"")</f>
        <v/>
      </c>
      <c r="J4860" s="8">
        <f>IFERROR(IF(ISNUMBER(C4860),MAX(C4860,IFERROR(J4859,C4860)),""),"")</f>
        <v/>
      </c>
      <c r="K4860" s="29">
        <f>IFERROR(IF(AND(ISNUMBER(C4860),ISNUMBER(J4860)),C4860/J4860-1,""),"")</f>
        <v/>
      </c>
      <c r="L4860" s="28">
        <f>IFERROR(IF(AND(ISNUMBER(D4860),ISNUMBER(E4860)),D4860-E4860,""),"")</f>
        <v/>
      </c>
    </row>
    <row r="4861">
      <c r="A4861" s="7">
        <f>IFERROR(Datos!A4861,"")</f>
        <v/>
      </c>
      <c r="B4861" s="8">
        <f>IFERROR(Datos!B4861,"")</f>
        <v/>
      </c>
      <c r="C4861" s="8">
        <f>IFERROR(Datos!C4861,"")</f>
        <v/>
      </c>
      <c r="D4861" s="28">
        <f>IFERROR(IF(AND(ISNUMBER(B4861),ISNUMBER(B4860),B4860&lt;&gt;0),B4861/B4860-1,""),"")</f>
        <v/>
      </c>
      <c r="E4861" s="28">
        <f>IFERROR(IF(AND(ISNUMBER(C4861),ISNUMBER(C4860),C4860&lt;&gt;0),C4861/C4860-1,""),"")</f>
        <v/>
      </c>
      <c r="F4861" s="28">
        <f>IFERROR(D4861-Dashboard!$B$4/252,"")</f>
        <v/>
      </c>
      <c r="G4861" s="28">
        <f>IFERROR(E4861-Dashboard!$B$4/252,"")</f>
        <v/>
      </c>
      <c r="H4861" s="8">
        <f>IFERROR(IF(ISNUMBER(B4861),MAX(B4861,IFERROR(H4860,B4861)),""),"")</f>
        <v/>
      </c>
      <c r="I4861" s="29">
        <f>IFERROR(IF(AND(ISNUMBER(B4861),ISNUMBER(H4861)),B4861/H4861-1,""),"")</f>
        <v/>
      </c>
      <c r="J4861" s="8">
        <f>IFERROR(IF(ISNUMBER(C4861),MAX(C4861,IFERROR(J4860,C4861)),""),"")</f>
        <v/>
      </c>
      <c r="K4861" s="29">
        <f>IFERROR(IF(AND(ISNUMBER(C4861),ISNUMBER(J4861)),C4861/J4861-1,""),"")</f>
        <v/>
      </c>
      <c r="L4861" s="28">
        <f>IFERROR(IF(AND(ISNUMBER(D4861),ISNUMBER(E4861)),D4861-E4861,""),"")</f>
        <v/>
      </c>
    </row>
    <row r="4862">
      <c r="A4862" s="7">
        <f>IFERROR(Datos!A4862,"")</f>
        <v/>
      </c>
      <c r="B4862" s="8">
        <f>IFERROR(Datos!B4862,"")</f>
        <v/>
      </c>
      <c r="C4862" s="8">
        <f>IFERROR(Datos!C4862,"")</f>
        <v/>
      </c>
      <c r="D4862" s="28">
        <f>IFERROR(IF(AND(ISNUMBER(B4862),ISNUMBER(B4861),B4861&lt;&gt;0),B4862/B4861-1,""),"")</f>
        <v/>
      </c>
      <c r="E4862" s="28">
        <f>IFERROR(IF(AND(ISNUMBER(C4862),ISNUMBER(C4861),C4861&lt;&gt;0),C4862/C4861-1,""),"")</f>
        <v/>
      </c>
      <c r="F4862" s="28">
        <f>IFERROR(D4862-Dashboard!$B$4/252,"")</f>
        <v/>
      </c>
      <c r="G4862" s="28">
        <f>IFERROR(E4862-Dashboard!$B$4/252,"")</f>
        <v/>
      </c>
      <c r="H4862" s="8">
        <f>IFERROR(IF(ISNUMBER(B4862),MAX(B4862,IFERROR(H4861,B4862)),""),"")</f>
        <v/>
      </c>
      <c r="I4862" s="29">
        <f>IFERROR(IF(AND(ISNUMBER(B4862),ISNUMBER(H4862)),B4862/H4862-1,""),"")</f>
        <v/>
      </c>
      <c r="J4862" s="8">
        <f>IFERROR(IF(ISNUMBER(C4862),MAX(C4862,IFERROR(J4861,C4862)),""),"")</f>
        <v/>
      </c>
      <c r="K4862" s="29">
        <f>IFERROR(IF(AND(ISNUMBER(C4862),ISNUMBER(J4862)),C4862/J4862-1,""),"")</f>
        <v/>
      </c>
      <c r="L4862" s="28">
        <f>IFERROR(IF(AND(ISNUMBER(D4862),ISNUMBER(E4862)),D4862-E4862,""),"")</f>
        <v/>
      </c>
    </row>
    <row r="4863">
      <c r="A4863" s="7">
        <f>IFERROR(Datos!A4863,"")</f>
        <v/>
      </c>
      <c r="B4863" s="8">
        <f>IFERROR(Datos!B4863,"")</f>
        <v/>
      </c>
      <c r="C4863" s="8">
        <f>IFERROR(Datos!C4863,"")</f>
        <v/>
      </c>
      <c r="D4863" s="28">
        <f>IFERROR(IF(AND(ISNUMBER(B4863),ISNUMBER(B4862),B4862&lt;&gt;0),B4863/B4862-1,""),"")</f>
        <v/>
      </c>
      <c r="E4863" s="28">
        <f>IFERROR(IF(AND(ISNUMBER(C4863),ISNUMBER(C4862),C4862&lt;&gt;0),C4863/C4862-1,""),"")</f>
        <v/>
      </c>
      <c r="F4863" s="28">
        <f>IFERROR(D4863-Dashboard!$B$4/252,"")</f>
        <v/>
      </c>
      <c r="G4863" s="28">
        <f>IFERROR(E4863-Dashboard!$B$4/252,"")</f>
        <v/>
      </c>
      <c r="H4863" s="8">
        <f>IFERROR(IF(ISNUMBER(B4863),MAX(B4863,IFERROR(H4862,B4863)),""),"")</f>
        <v/>
      </c>
      <c r="I4863" s="29">
        <f>IFERROR(IF(AND(ISNUMBER(B4863),ISNUMBER(H4863)),B4863/H4863-1,""),"")</f>
        <v/>
      </c>
      <c r="J4863" s="8">
        <f>IFERROR(IF(ISNUMBER(C4863),MAX(C4863,IFERROR(J4862,C4863)),""),"")</f>
        <v/>
      </c>
      <c r="K4863" s="29">
        <f>IFERROR(IF(AND(ISNUMBER(C4863),ISNUMBER(J4863)),C4863/J4863-1,""),"")</f>
        <v/>
      </c>
      <c r="L4863" s="28">
        <f>IFERROR(IF(AND(ISNUMBER(D4863),ISNUMBER(E4863)),D4863-E4863,""),"")</f>
        <v/>
      </c>
    </row>
    <row r="4864">
      <c r="A4864" s="7">
        <f>IFERROR(Datos!A4864,"")</f>
        <v/>
      </c>
      <c r="B4864" s="8">
        <f>IFERROR(Datos!B4864,"")</f>
        <v/>
      </c>
      <c r="C4864" s="8">
        <f>IFERROR(Datos!C4864,"")</f>
        <v/>
      </c>
      <c r="D4864" s="28">
        <f>IFERROR(IF(AND(ISNUMBER(B4864),ISNUMBER(B4863),B4863&lt;&gt;0),B4864/B4863-1,""),"")</f>
        <v/>
      </c>
      <c r="E4864" s="28">
        <f>IFERROR(IF(AND(ISNUMBER(C4864),ISNUMBER(C4863),C4863&lt;&gt;0),C4864/C4863-1,""),"")</f>
        <v/>
      </c>
      <c r="F4864" s="28">
        <f>IFERROR(D4864-Dashboard!$B$4/252,"")</f>
        <v/>
      </c>
      <c r="G4864" s="28">
        <f>IFERROR(E4864-Dashboard!$B$4/252,"")</f>
        <v/>
      </c>
      <c r="H4864" s="8">
        <f>IFERROR(IF(ISNUMBER(B4864),MAX(B4864,IFERROR(H4863,B4864)),""),"")</f>
        <v/>
      </c>
      <c r="I4864" s="29">
        <f>IFERROR(IF(AND(ISNUMBER(B4864),ISNUMBER(H4864)),B4864/H4864-1,""),"")</f>
        <v/>
      </c>
      <c r="J4864" s="8">
        <f>IFERROR(IF(ISNUMBER(C4864),MAX(C4864,IFERROR(J4863,C4864)),""),"")</f>
        <v/>
      </c>
      <c r="K4864" s="29">
        <f>IFERROR(IF(AND(ISNUMBER(C4864),ISNUMBER(J4864)),C4864/J4864-1,""),"")</f>
        <v/>
      </c>
      <c r="L4864" s="28">
        <f>IFERROR(IF(AND(ISNUMBER(D4864),ISNUMBER(E4864)),D4864-E4864,""),"")</f>
        <v/>
      </c>
    </row>
    <row r="4865">
      <c r="A4865" s="7">
        <f>IFERROR(Datos!A4865,"")</f>
        <v/>
      </c>
      <c r="B4865" s="8">
        <f>IFERROR(Datos!B4865,"")</f>
        <v/>
      </c>
      <c r="C4865" s="8">
        <f>IFERROR(Datos!C4865,"")</f>
        <v/>
      </c>
      <c r="D4865" s="28">
        <f>IFERROR(IF(AND(ISNUMBER(B4865),ISNUMBER(B4864),B4864&lt;&gt;0),B4865/B4864-1,""),"")</f>
        <v/>
      </c>
      <c r="E4865" s="28">
        <f>IFERROR(IF(AND(ISNUMBER(C4865),ISNUMBER(C4864),C4864&lt;&gt;0),C4865/C4864-1,""),"")</f>
        <v/>
      </c>
      <c r="F4865" s="28">
        <f>IFERROR(D4865-Dashboard!$B$4/252,"")</f>
        <v/>
      </c>
      <c r="G4865" s="28">
        <f>IFERROR(E4865-Dashboard!$B$4/252,"")</f>
        <v/>
      </c>
      <c r="H4865" s="8">
        <f>IFERROR(IF(ISNUMBER(B4865),MAX(B4865,IFERROR(H4864,B4865)),""),"")</f>
        <v/>
      </c>
      <c r="I4865" s="29">
        <f>IFERROR(IF(AND(ISNUMBER(B4865),ISNUMBER(H4865)),B4865/H4865-1,""),"")</f>
        <v/>
      </c>
      <c r="J4865" s="8">
        <f>IFERROR(IF(ISNUMBER(C4865),MAX(C4865,IFERROR(J4864,C4865)),""),"")</f>
        <v/>
      </c>
      <c r="K4865" s="29">
        <f>IFERROR(IF(AND(ISNUMBER(C4865),ISNUMBER(J4865)),C4865/J4865-1,""),"")</f>
        <v/>
      </c>
      <c r="L4865" s="28">
        <f>IFERROR(IF(AND(ISNUMBER(D4865),ISNUMBER(E4865)),D4865-E4865,""),"")</f>
        <v/>
      </c>
    </row>
    <row r="4866">
      <c r="A4866" s="7">
        <f>IFERROR(Datos!A4866,"")</f>
        <v/>
      </c>
      <c r="B4866" s="8">
        <f>IFERROR(Datos!B4866,"")</f>
        <v/>
      </c>
      <c r="C4866" s="8">
        <f>IFERROR(Datos!C4866,"")</f>
        <v/>
      </c>
      <c r="D4866" s="28">
        <f>IFERROR(IF(AND(ISNUMBER(B4866),ISNUMBER(B4865),B4865&lt;&gt;0),B4866/B4865-1,""),"")</f>
        <v/>
      </c>
      <c r="E4866" s="28">
        <f>IFERROR(IF(AND(ISNUMBER(C4866),ISNUMBER(C4865),C4865&lt;&gt;0),C4866/C4865-1,""),"")</f>
        <v/>
      </c>
      <c r="F4866" s="28">
        <f>IFERROR(D4866-Dashboard!$B$4/252,"")</f>
        <v/>
      </c>
      <c r="G4866" s="28">
        <f>IFERROR(E4866-Dashboard!$B$4/252,"")</f>
        <v/>
      </c>
      <c r="H4866" s="8">
        <f>IFERROR(IF(ISNUMBER(B4866),MAX(B4866,IFERROR(H4865,B4866)),""),"")</f>
        <v/>
      </c>
      <c r="I4866" s="29">
        <f>IFERROR(IF(AND(ISNUMBER(B4866),ISNUMBER(H4866)),B4866/H4866-1,""),"")</f>
        <v/>
      </c>
      <c r="J4866" s="8">
        <f>IFERROR(IF(ISNUMBER(C4866),MAX(C4866,IFERROR(J4865,C4866)),""),"")</f>
        <v/>
      </c>
      <c r="K4866" s="29">
        <f>IFERROR(IF(AND(ISNUMBER(C4866),ISNUMBER(J4866)),C4866/J4866-1,""),"")</f>
        <v/>
      </c>
      <c r="L4866" s="28">
        <f>IFERROR(IF(AND(ISNUMBER(D4866),ISNUMBER(E4866)),D4866-E4866,""),"")</f>
        <v/>
      </c>
    </row>
    <row r="4867">
      <c r="A4867" s="7">
        <f>IFERROR(Datos!A4867,"")</f>
        <v/>
      </c>
      <c r="B4867" s="8">
        <f>IFERROR(Datos!B4867,"")</f>
        <v/>
      </c>
      <c r="C4867" s="8">
        <f>IFERROR(Datos!C4867,"")</f>
        <v/>
      </c>
      <c r="D4867" s="28">
        <f>IFERROR(IF(AND(ISNUMBER(B4867),ISNUMBER(B4866),B4866&lt;&gt;0),B4867/B4866-1,""),"")</f>
        <v/>
      </c>
      <c r="E4867" s="28">
        <f>IFERROR(IF(AND(ISNUMBER(C4867),ISNUMBER(C4866),C4866&lt;&gt;0),C4867/C4866-1,""),"")</f>
        <v/>
      </c>
      <c r="F4867" s="28">
        <f>IFERROR(D4867-Dashboard!$B$4/252,"")</f>
        <v/>
      </c>
      <c r="G4867" s="28">
        <f>IFERROR(E4867-Dashboard!$B$4/252,"")</f>
        <v/>
      </c>
      <c r="H4867" s="8">
        <f>IFERROR(IF(ISNUMBER(B4867),MAX(B4867,IFERROR(H4866,B4867)),""),"")</f>
        <v/>
      </c>
      <c r="I4867" s="29">
        <f>IFERROR(IF(AND(ISNUMBER(B4867),ISNUMBER(H4867)),B4867/H4867-1,""),"")</f>
        <v/>
      </c>
      <c r="J4867" s="8">
        <f>IFERROR(IF(ISNUMBER(C4867),MAX(C4867,IFERROR(J4866,C4867)),""),"")</f>
        <v/>
      </c>
      <c r="K4867" s="29">
        <f>IFERROR(IF(AND(ISNUMBER(C4867),ISNUMBER(J4867)),C4867/J4867-1,""),"")</f>
        <v/>
      </c>
      <c r="L4867" s="28">
        <f>IFERROR(IF(AND(ISNUMBER(D4867),ISNUMBER(E4867)),D4867-E4867,""),"")</f>
        <v/>
      </c>
    </row>
    <row r="4868">
      <c r="A4868" s="7">
        <f>IFERROR(Datos!A4868,"")</f>
        <v/>
      </c>
      <c r="B4868" s="8">
        <f>IFERROR(Datos!B4868,"")</f>
        <v/>
      </c>
      <c r="C4868" s="8">
        <f>IFERROR(Datos!C4868,"")</f>
        <v/>
      </c>
      <c r="D4868" s="28">
        <f>IFERROR(IF(AND(ISNUMBER(B4868),ISNUMBER(B4867),B4867&lt;&gt;0),B4868/B4867-1,""),"")</f>
        <v/>
      </c>
      <c r="E4868" s="28">
        <f>IFERROR(IF(AND(ISNUMBER(C4868),ISNUMBER(C4867),C4867&lt;&gt;0),C4868/C4867-1,""),"")</f>
        <v/>
      </c>
      <c r="F4868" s="28">
        <f>IFERROR(D4868-Dashboard!$B$4/252,"")</f>
        <v/>
      </c>
      <c r="G4868" s="28">
        <f>IFERROR(E4868-Dashboard!$B$4/252,"")</f>
        <v/>
      </c>
      <c r="H4868" s="8">
        <f>IFERROR(IF(ISNUMBER(B4868),MAX(B4868,IFERROR(H4867,B4868)),""),"")</f>
        <v/>
      </c>
      <c r="I4868" s="29">
        <f>IFERROR(IF(AND(ISNUMBER(B4868),ISNUMBER(H4868)),B4868/H4868-1,""),"")</f>
        <v/>
      </c>
      <c r="J4868" s="8">
        <f>IFERROR(IF(ISNUMBER(C4868),MAX(C4868,IFERROR(J4867,C4868)),""),"")</f>
        <v/>
      </c>
      <c r="K4868" s="29">
        <f>IFERROR(IF(AND(ISNUMBER(C4868),ISNUMBER(J4868)),C4868/J4868-1,""),"")</f>
        <v/>
      </c>
      <c r="L4868" s="28">
        <f>IFERROR(IF(AND(ISNUMBER(D4868),ISNUMBER(E4868)),D4868-E4868,""),"")</f>
        <v/>
      </c>
    </row>
    <row r="4869">
      <c r="A4869" s="7">
        <f>IFERROR(Datos!A4869,"")</f>
        <v/>
      </c>
      <c r="B4869" s="8">
        <f>IFERROR(Datos!B4869,"")</f>
        <v/>
      </c>
      <c r="C4869" s="8">
        <f>IFERROR(Datos!C4869,"")</f>
        <v/>
      </c>
      <c r="D4869" s="28">
        <f>IFERROR(IF(AND(ISNUMBER(B4869),ISNUMBER(B4868),B4868&lt;&gt;0),B4869/B4868-1,""),"")</f>
        <v/>
      </c>
      <c r="E4869" s="28">
        <f>IFERROR(IF(AND(ISNUMBER(C4869),ISNUMBER(C4868),C4868&lt;&gt;0),C4869/C4868-1,""),"")</f>
        <v/>
      </c>
      <c r="F4869" s="28">
        <f>IFERROR(D4869-Dashboard!$B$4/252,"")</f>
        <v/>
      </c>
      <c r="G4869" s="28">
        <f>IFERROR(E4869-Dashboard!$B$4/252,"")</f>
        <v/>
      </c>
      <c r="H4869" s="8">
        <f>IFERROR(IF(ISNUMBER(B4869),MAX(B4869,IFERROR(H4868,B4869)),""),"")</f>
        <v/>
      </c>
      <c r="I4869" s="29">
        <f>IFERROR(IF(AND(ISNUMBER(B4869),ISNUMBER(H4869)),B4869/H4869-1,""),"")</f>
        <v/>
      </c>
      <c r="J4869" s="8">
        <f>IFERROR(IF(ISNUMBER(C4869),MAX(C4869,IFERROR(J4868,C4869)),""),"")</f>
        <v/>
      </c>
      <c r="K4869" s="29">
        <f>IFERROR(IF(AND(ISNUMBER(C4869),ISNUMBER(J4869)),C4869/J4869-1,""),"")</f>
        <v/>
      </c>
      <c r="L4869" s="28">
        <f>IFERROR(IF(AND(ISNUMBER(D4869),ISNUMBER(E4869)),D4869-E4869,""),"")</f>
        <v/>
      </c>
    </row>
    <row r="4870">
      <c r="A4870" s="7">
        <f>IFERROR(Datos!A4870,"")</f>
        <v/>
      </c>
      <c r="B4870" s="8">
        <f>IFERROR(Datos!B4870,"")</f>
        <v/>
      </c>
      <c r="C4870" s="8">
        <f>IFERROR(Datos!C4870,"")</f>
        <v/>
      </c>
      <c r="D4870" s="28">
        <f>IFERROR(IF(AND(ISNUMBER(B4870),ISNUMBER(B4869),B4869&lt;&gt;0),B4870/B4869-1,""),"")</f>
        <v/>
      </c>
      <c r="E4870" s="28">
        <f>IFERROR(IF(AND(ISNUMBER(C4870),ISNUMBER(C4869),C4869&lt;&gt;0),C4870/C4869-1,""),"")</f>
        <v/>
      </c>
      <c r="F4870" s="28">
        <f>IFERROR(D4870-Dashboard!$B$4/252,"")</f>
        <v/>
      </c>
      <c r="G4870" s="28">
        <f>IFERROR(E4870-Dashboard!$B$4/252,"")</f>
        <v/>
      </c>
      <c r="H4870" s="8">
        <f>IFERROR(IF(ISNUMBER(B4870),MAX(B4870,IFERROR(H4869,B4870)),""),"")</f>
        <v/>
      </c>
      <c r="I4870" s="29">
        <f>IFERROR(IF(AND(ISNUMBER(B4870),ISNUMBER(H4870)),B4870/H4870-1,""),"")</f>
        <v/>
      </c>
      <c r="J4870" s="8">
        <f>IFERROR(IF(ISNUMBER(C4870),MAX(C4870,IFERROR(J4869,C4870)),""),"")</f>
        <v/>
      </c>
      <c r="K4870" s="29">
        <f>IFERROR(IF(AND(ISNUMBER(C4870),ISNUMBER(J4870)),C4870/J4870-1,""),"")</f>
        <v/>
      </c>
      <c r="L4870" s="28">
        <f>IFERROR(IF(AND(ISNUMBER(D4870),ISNUMBER(E4870)),D4870-E4870,""),"")</f>
        <v/>
      </c>
    </row>
    <row r="4871">
      <c r="A4871" s="7">
        <f>IFERROR(Datos!A4871,"")</f>
        <v/>
      </c>
      <c r="B4871" s="8">
        <f>IFERROR(Datos!B4871,"")</f>
        <v/>
      </c>
      <c r="C4871" s="8">
        <f>IFERROR(Datos!C4871,"")</f>
        <v/>
      </c>
      <c r="D4871" s="28">
        <f>IFERROR(IF(AND(ISNUMBER(B4871),ISNUMBER(B4870),B4870&lt;&gt;0),B4871/B4870-1,""),"")</f>
        <v/>
      </c>
      <c r="E4871" s="28">
        <f>IFERROR(IF(AND(ISNUMBER(C4871),ISNUMBER(C4870),C4870&lt;&gt;0),C4871/C4870-1,""),"")</f>
        <v/>
      </c>
      <c r="F4871" s="28">
        <f>IFERROR(D4871-Dashboard!$B$4/252,"")</f>
        <v/>
      </c>
      <c r="G4871" s="28">
        <f>IFERROR(E4871-Dashboard!$B$4/252,"")</f>
        <v/>
      </c>
      <c r="H4871" s="8">
        <f>IFERROR(IF(ISNUMBER(B4871),MAX(B4871,IFERROR(H4870,B4871)),""),"")</f>
        <v/>
      </c>
      <c r="I4871" s="29">
        <f>IFERROR(IF(AND(ISNUMBER(B4871),ISNUMBER(H4871)),B4871/H4871-1,""),"")</f>
        <v/>
      </c>
      <c r="J4871" s="8">
        <f>IFERROR(IF(ISNUMBER(C4871),MAX(C4871,IFERROR(J4870,C4871)),""),"")</f>
        <v/>
      </c>
      <c r="K4871" s="29">
        <f>IFERROR(IF(AND(ISNUMBER(C4871),ISNUMBER(J4871)),C4871/J4871-1,""),"")</f>
        <v/>
      </c>
      <c r="L4871" s="28">
        <f>IFERROR(IF(AND(ISNUMBER(D4871),ISNUMBER(E4871)),D4871-E4871,""),"")</f>
        <v/>
      </c>
    </row>
    <row r="4872">
      <c r="A4872" s="7">
        <f>IFERROR(Datos!A4872,"")</f>
        <v/>
      </c>
      <c r="B4872" s="8">
        <f>IFERROR(Datos!B4872,"")</f>
        <v/>
      </c>
      <c r="C4872" s="8">
        <f>IFERROR(Datos!C4872,"")</f>
        <v/>
      </c>
      <c r="D4872" s="28">
        <f>IFERROR(IF(AND(ISNUMBER(B4872),ISNUMBER(B4871),B4871&lt;&gt;0),B4872/B4871-1,""),"")</f>
        <v/>
      </c>
      <c r="E4872" s="28">
        <f>IFERROR(IF(AND(ISNUMBER(C4872),ISNUMBER(C4871),C4871&lt;&gt;0),C4872/C4871-1,""),"")</f>
        <v/>
      </c>
      <c r="F4872" s="28">
        <f>IFERROR(D4872-Dashboard!$B$4/252,"")</f>
        <v/>
      </c>
      <c r="G4872" s="28">
        <f>IFERROR(E4872-Dashboard!$B$4/252,"")</f>
        <v/>
      </c>
      <c r="H4872" s="8">
        <f>IFERROR(IF(ISNUMBER(B4872),MAX(B4872,IFERROR(H4871,B4872)),""),"")</f>
        <v/>
      </c>
      <c r="I4872" s="29">
        <f>IFERROR(IF(AND(ISNUMBER(B4872),ISNUMBER(H4872)),B4872/H4872-1,""),"")</f>
        <v/>
      </c>
      <c r="J4872" s="8">
        <f>IFERROR(IF(ISNUMBER(C4872),MAX(C4872,IFERROR(J4871,C4872)),""),"")</f>
        <v/>
      </c>
      <c r="K4872" s="29">
        <f>IFERROR(IF(AND(ISNUMBER(C4872),ISNUMBER(J4872)),C4872/J4872-1,""),"")</f>
        <v/>
      </c>
      <c r="L4872" s="28">
        <f>IFERROR(IF(AND(ISNUMBER(D4872),ISNUMBER(E4872)),D4872-E4872,""),"")</f>
        <v/>
      </c>
    </row>
    <row r="4873">
      <c r="A4873" s="7">
        <f>IFERROR(Datos!A4873,"")</f>
        <v/>
      </c>
      <c r="B4873" s="8">
        <f>IFERROR(Datos!B4873,"")</f>
        <v/>
      </c>
      <c r="C4873" s="8">
        <f>IFERROR(Datos!C4873,"")</f>
        <v/>
      </c>
      <c r="D4873" s="28">
        <f>IFERROR(IF(AND(ISNUMBER(B4873),ISNUMBER(B4872),B4872&lt;&gt;0),B4873/B4872-1,""),"")</f>
        <v/>
      </c>
      <c r="E4873" s="28">
        <f>IFERROR(IF(AND(ISNUMBER(C4873),ISNUMBER(C4872),C4872&lt;&gt;0),C4873/C4872-1,""),"")</f>
        <v/>
      </c>
      <c r="F4873" s="28">
        <f>IFERROR(D4873-Dashboard!$B$4/252,"")</f>
        <v/>
      </c>
      <c r="G4873" s="28">
        <f>IFERROR(E4873-Dashboard!$B$4/252,"")</f>
        <v/>
      </c>
      <c r="H4873" s="8">
        <f>IFERROR(IF(ISNUMBER(B4873),MAX(B4873,IFERROR(H4872,B4873)),""),"")</f>
        <v/>
      </c>
      <c r="I4873" s="29">
        <f>IFERROR(IF(AND(ISNUMBER(B4873),ISNUMBER(H4873)),B4873/H4873-1,""),"")</f>
        <v/>
      </c>
      <c r="J4873" s="8">
        <f>IFERROR(IF(ISNUMBER(C4873),MAX(C4873,IFERROR(J4872,C4873)),""),"")</f>
        <v/>
      </c>
      <c r="K4873" s="29">
        <f>IFERROR(IF(AND(ISNUMBER(C4873),ISNUMBER(J4873)),C4873/J4873-1,""),"")</f>
        <v/>
      </c>
      <c r="L4873" s="28">
        <f>IFERROR(IF(AND(ISNUMBER(D4873),ISNUMBER(E4873)),D4873-E4873,""),"")</f>
        <v/>
      </c>
    </row>
    <row r="4874">
      <c r="A4874" s="7">
        <f>IFERROR(Datos!A4874,"")</f>
        <v/>
      </c>
      <c r="B4874" s="8">
        <f>IFERROR(Datos!B4874,"")</f>
        <v/>
      </c>
      <c r="C4874" s="8">
        <f>IFERROR(Datos!C4874,"")</f>
        <v/>
      </c>
      <c r="D4874" s="28">
        <f>IFERROR(IF(AND(ISNUMBER(B4874),ISNUMBER(B4873),B4873&lt;&gt;0),B4874/B4873-1,""),"")</f>
        <v/>
      </c>
      <c r="E4874" s="28">
        <f>IFERROR(IF(AND(ISNUMBER(C4874),ISNUMBER(C4873),C4873&lt;&gt;0),C4874/C4873-1,""),"")</f>
        <v/>
      </c>
      <c r="F4874" s="28">
        <f>IFERROR(D4874-Dashboard!$B$4/252,"")</f>
        <v/>
      </c>
      <c r="G4874" s="28">
        <f>IFERROR(E4874-Dashboard!$B$4/252,"")</f>
        <v/>
      </c>
      <c r="H4874" s="8">
        <f>IFERROR(IF(ISNUMBER(B4874),MAX(B4874,IFERROR(H4873,B4874)),""),"")</f>
        <v/>
      </c>
      <c r="I4874" s="29">
        <f>IFERROR(IF(AND(ISNUMBER(B4874),ISNUMBER(H4874)),B4874/H4874-1,""),"")</f>
        <v/>
      </c>
      <c r="J4874" s="8">
        <f>IFERROR(IF(ISNUMBER(C4874),MAX(C4874,IFERROR(J4873,C4874)),""),"")</f>
        <v/>
      </c>
      <c r="K4874" s="29">
        <f>IFERROR(IF(AND(ISNUMBER(C4874),ISNUMBER(J4874)),C4874/J4874-1,""),"")</f>
        <v/>
      </c>
      <c r="L4874" s="28">
        <f>IFERROR(IF(AND(ISNUMBER(D4874),ISNUMBER(E4874)),D4874-E4874,""),"")</f>
        <v/>
      </c>
    </row>
    <row r="4875">
      <c r="A4875" s="7">
        <f>IFERROR(Datos!A4875,"")</f>
        <v/>
      </c>
      <c r="B4875" s="8">
        <f>IFERROR(Datos!B4875,"")</f>
        <v/>
      </c>
      <c r="C4875" s="8">
        <f>IFERROR(Datos!C4875,"")</f>
        <v/>
      </c>
      <c r="D4875" s="28">
        <f>IFERROR(IF(AND(ISNUMBER(B4875),ISNUMBER(B4874),B4874&lt;&gt;0),B4875/B4874-1,""),"")</f>
        <v/>
      </c>
      <c r="E4875" s="28">
        <f>IFERROR(IF(AND(ISNUMBER(C4875),ISNUMBER(C4874),C4874&lt;&gt;0),C4875/C4874-1,""),"")</f>
        <v/>
      </c>
      <c r="F4875" s="28">
        <f>IFERROR(D4875-Dashboard!$B$4/252,"")</f>
        <v/>
      </c>
      <c r="G4875" s="28">
        <f>IFERROR(E4875-Dashboard!$B$4/252,"")</f>
        <v/>
      </c>
      <c r="H4875" s="8">
        <f>IFERROR(IF(ISNUMBER(B4875),MAX(B4875,IFERROR(H4874,B4875)),""),"")</f>
        <v/>
      </c>
      <c r="I4875" s="29">
        <f>IFERROR(IF(AND(ISNUMBER(B4875),ISNUMBER(H4875)),B4875/H4875-1,""),"")</f>
        <v/>
      </c>
      <c r="J4875" s="8">
        <f>IFERROR(IF(ISNUMBER(C4875),MAX(C4875,IFERROR(J4874,C4875)),""),"")</f>
        <v/>
      </c>
      <c r="K4875" s="29">
        <f>IFERROR(IF(AND(ISNUMBER(C4875),ISNUMBER(J4875)),C4875/J4875-1,""),"")</f>
        <v/>
      </c>
      <c r="L4875" s="28">
        <f>IFERROR(IF(AND(ISNUMBER(D4875),ISNUMBER(E4875)),D4875-E4875,""),"")</f>
        <v/>
      </c>
    </row>
    <row r="4876">
      <c r="A4876" s="7">
        <f>IFERROR(Datos!A4876,"")</f>
        <v/>
      </c>
      <c r="B4876" s="8">
        <f>IFERROR(Datos!B4876,"")</f>
        <v/>
      </c>
      <c r="C4876" s="8">
        <f>IFERROR(Datos!C4876,"")</f>
        <v/>
      </c>
      <c r="D4876" s="28">
        <f>IFERROR(IF(AND(ISNUMBER(B4876),ISNUMBER(B4875),B4875&lt;&gt;0),B4876/B4875-1,""),"")</f>
        <v/>
      </c>
      <c r="E4876" s="28">
        <f>IFERROR(IF(AND(ISNUMBER(C4876),ISNUMBER(C4875),C4875&lt;&gt;0),C4876/C4875-1,""),"")</f>
        <v/>
      </c>
      <c r="F4876" s="28">
        <f>IFERROR(D4876-Dashboard!$B$4/252,"")</f>
        <v/>
      </c>
      <c r="G4876" s="28">
        <f>IFERROR(E4876-Dashboard!$B$4/252,"")</f>
        <v/>
      </c>
      <c r="H4876" s="8">
        <f>IFERROR(IF(ISNUMBER(B4876),MAX(B4876,IFERROR(H4875,B4876)),""),"")</f>
        <v/>
      </c>
      <c r="I4876" s="29">
        <f>IFERROR(IF(AND(ISNUMBER(B4876),ISNUMBER(H4876)),B4876/H4876-1,""),"")</f>
        <v/>
      </c>
      <c r="J4876" s="8">
        <f>IFERROR(IF(ISNUMBER(C4876),MAX(C4876,IFERROR(J4875,C4876)),""),"")</f>
        <v/>
      </c>
      <c r="K4876" s="29">
        <f>IFERROR(IF(AND(ISNUMBER(C4876),ISNUMBER(J4876)),C4876/J4876-1,""),"")</f>
        <v/>
      </c>
      <c r="L4876" s="28">
        <f>IFERROR(IF(AND(ISNUMBER(D4876),ISNUMBER(E4876)),D4876-E4876,""),"")</f>
        <v/>
      </c>
    </row>
    <row r="4877">
      <c r="A4877" s="7">
        <f>IFERROR(Datos!A4877,"")</f>
        <v/>
      </c>
      <c r="B4877" s="8">
        <f>IFERROR(Datos!B4877,"")</f>
        <v/>
      </c>
      <c r="C4877" s="8">
        <f>IFERROR(Datos!C4877,"")</f>
        <v/>
      </c>
      <c r="D4877" s="28">
        <f>IFERROR(IF(AND(ISNUMBER(B4877),ISNUMBER(B4876),B4876&lt;&gt;0),B4877/B4876-1,""),"")</f>
        <v/>
      </c>
      <c r="E4877" s="28">
        <f>IFERROR(IF(AND(ISNUMBER(C4877),ISNUMBER(C4876),C4876&lt;&gt;0),C4877/C4876-1,""),"")</f>
        <v/>
      </c>
      <c r="F4877" s="28">
        <f>IFERROR(D4877-Dashboard!$B$4/252,"")</f>
        <v/>
      </c>
      <c r="G4877" s="28">
        <f>IFERROR(E4877-Dashboard!$B$4/252,"")</f>
        <v/>
      </c>
      <c r="H4877" s="8">
        <f>IFERROR(IF(ISNUMBER(B4877),MAX(B4877,IFERROR(H4876,B4877)),""),"")</f>
        <v/>
      </c>
      <c r="I4877" s="29">
        <f>IFERROR(IF(AND(ISNUMBER(B4877),ISNUMBER(H4877)),B4877/H4877-1,""),"")</f>
        <v/>
      </c>
      <c r="J4877" s="8">
        <f>IFERROR(IF(ISNUMBER(C4877),MAX(C4877,IFERROR(J4876,C4877)),""),"")</f>
        <v/>
      </c>
      <c r="K4877" s="29">
        <f>IFERROR(IF(AND(ISNUMBER(C4877),ISNUMBER(J4877)),C4877/J4877-1,""),"")</f>
        <v/>
      </c>
      <c r="L4877" s="28">
        <f>IFERROR(IF(AND(ISNUMBER(D4877),ISNUMBER(E4877)),D4877-E4877,""),"")</f>
        <v/>
      </c>
    </row>
    <row r="4878">
      <c r="A4878" s="7">
        <f>IFERROR(Datos!A4878,"")</f>
        <v/>
      </c>
      <c r="B4878" s="8">
        <f>IFERROR(Datos!B4878,"")</f>
        <v/>
      </c>
      <c r="C4878" s="8">
        <f>IFERROR(Datos!C4878,"")</f>
        <v/>
      </c>
      <c r="D4878" s="28">
        <f>IFERROR(IF(AND(ISNUMBER(B4878),ISNUMBER(B4877),B4877&lt;&gt;0),B4878/B4877-1,""),"")</f>
        <v/>
      </c>
      <c r="E4878" s="28">
        <f>IFERROR(IF(AND(ISNUMBER(C4878),ISNUMBER(C4877),C4877&lt;&gt;0),C4878/C4877-1,""),"")</f>
        <v/>
      </c>
      <c r="F4878" s="28">
        <f>IFERROR(D4878-Dashboard!$B$4/252,"")</f>
        <v/>
      </c>
      <c r="G4878" s="28">
        <f>IFERROR(E4878-Dashboard!$B$4/252,"")</f>
        <v/>
      </c>
      <c r="H4878" s="8">
        <f>IFERROR(IF(ISNUMBER(B4878),MAX(B4878,IFERROR(H4877,B4878)),""),"")</f>
        <v/>
      </c>
      <c r="I4878" s="29">
        <f>IFERROR(IF(AND(ISNUMBER(B4878),ISNUMBER(H4878)),B4878/H4878-1,""),"")</f>
        <v/>
      </c>
      <c r="J4878" s="8">
        <f>IFERROR(IF(ISNUMBER(C4878),MAX(C4878,IFERROR(J4877,C4878)),""),"")</f>
        <v/>
      </c>
      <c r="K4878" s="29">
        <f>IFERROR(IF(AND(ISNUMBER(C4878),ISNUMBER(J4878)),C4878/J4878-1,""),"")</f>
        <v/>
      </c>
      <c r="L4878" s="28">
        <f>IFERROR(IF(AND(ISNUMBER(D4878),ISNUMBER(E4878)),D4878-E4878,""),"")</f>
        <v/>
      </c>
    </row>
    <row r="4879">
      <c r="A4879" s="7">
        <f>IFERROR(Datos!A4879,"")</f>
        <v/>
      </c>
      <c r="B4879" s="8">
        <f>IFERROR(Datos!B4879,"")</f>
        <v/>
      </c>
      <c r="C4879" s="8">
        <f>IFERROR(Datos!C4879,"")</f>
        <v/>
      </c>
      <c r="D4879" s="28">
        <f>IFERROR(IF(AND(ISNUMBER(B4879),ISNUMBER(B4878),B4878&lt;&gt;0),B4879/B4878-1,""),"")</f>
        <v/>
      </c>
      <c r="E4879" s="28">
        <f>IFERROR(IF(AND(ISNUMBER(C4879),ISNUMBER(C4878),C4878&lt;&gt;0),C4879/C4878-1,""),"")</f>
        <v/>
      </c>
      <c r="F4879" s="28">
        <f>IFERROR(D4879-Dashboard!$B$4/252,"")</f>
        <v/>
      </c>
      <c r="G4879" s="28">
        <f>IFERROR(E4879-Dashboard!$B$4/252,"")</f>
        <v/>
      </c>
      <c r="H4879" s="8">
        <f>IFERROR(IF(ISNUMBER(B4879),MAX(B4879,IFERROR(H4878,B4879)),""),"")</f>
        <v/>
      </c>
      <c r="I4879" s="29">
        <f>IFERROR(IF(AND(ISNUMBER(B4879),ISNUMBER(H4879)),B4879/H4879-1,""),"")</f>
        <v/>
      </c>
      <c r="J4879" s="8">
        <f>IFERROR(IF(ISNUMBER(C4879),MAX(C4879,IFERROR(J4878,C4879)),""),"")</f>
        <v/>
      </c>
      <c r="K4879" s="29">
        <f>IFERROR(IF(AND(ISNUMBER(C4879),ISNUMBER(J4879)),C4879/J4879-1,""),"")</f>
        <v/>
      </c>
      <c r="L4879" s="28">
        <f>IFERROR(IF(AND(ISNUMBER(D4879),ISNUMBER(E4879)),D4879-E4879,""),"")</f>
        <v/>
      </c>
    </row>
    <row r="4880">
      <c r="A4880" s="7">
        <f>IFERROR(Datos!A4880,"")</f>
        <v/>
      </c>
      <c r="B4880" s="8">
        <f>IFERROR(Datos!B4880,"")</f>
        <v/>
      </c>
      <c r="C4880" s="8">
        <f>IFERROR(Datos!C4880,"")</f>
        <v/>
      </c>
      <c r="D4880" s="28">
        <f>IFERROR(IF(AND(ISNUMBER(B4880),ISNUMBER(B4879),B4879&lt;&gt;0),B4880/B4879-1,""),"")</f>
        <v/>
      </c>
      <c r="E4880" s="28">
        <f>IFERROR(IF(AND(ISNUMBER(C4880),ISNUMBER(C4879),C4879&lt;&gt;0),C4880/C4879-1,""),"")</f>
        <v/>
      </c>
      <c r="F4880" s="28">
        <f>IFERROR(D4880-Dashboard!$B$4/252,"")</f>
        <v/>
      </c>
      <c r="G4880" s="28">
        <f>IFERROR(E4880-Dashboard!$B$4/252,"")</f>
        <v/>
      </c>
      <c r="H4880" s="8">
        <f>IFERROR(IF(ISNUMBER(B4880),MAX(B4880,IFERROR(H4879,B4880)),""),"")</f>
        <v/>
      </c>
      <c r="I4880" s="29">
        <f>IFERROR(IF(AND(ISNUMBER(B4880),ISNUMBER(H4880)),B4880/H4880-1,""),"")</f>
        <v/>
      </c>
      <c r="J4880" s="8">
        <f>IFERROR(IF(ISNUMBER(C4880),MAX(C4880,IFERROR(J4879,C4880)),""),"")</f>
        <v/>
      </c>
      <c r="K4880" s="29">
        <f>IFERROR(IF(AND(ISNUMBER(C4880),ISNUMBER(J4880)),C4880/J4880-1,""),"")</f>
        <v/>
      </c>
      <c r="L4880" s="28">
        <f>IFERROR(IF(AND(ISNUMBER(D4880),ISNUMBER(E4880)),D4880-E4880,""),"")</f>
        <v/>
      </c>
    </row>
    <row r="4881">
      <c r="A4881" s="7">
        <f>IFERROR(Datos!A4881,"")</f>
        <v/>
      </c>
      <c r="B4881" s="8">
        <f>IFERROR(Datos!B4881,"")</f>
        <v/>
      </c>
      <c r="C4881" s="8">
        <f>IFERROR(Datos!C4881,"")</f>
        <v/>
      </c>
      <c r="D4881" s="28">
        <f>IFERROR(IF(AND(ISNUMBER(B4881),ISNUMBER(B4880),B4880&lt;&gt;0),B4881/B4880-1,""),"")</f>
        <v/>
      </c>
      <c r="E4881" s="28">
        <f>IFERROR(IF(AND(ISNUMBER(C4881),ISNUMBER(C4880),C4880&lt;&gt;0),C4881/C4880-1,""),"")</f>
        <v/>
      </c>
      <c r="F4881" s="28">
        <f>IFERROR(D4881-Dashboard!$B$4/252,"")</f>
        <v/>
      </c>
      <c r="G4881" s="28">
        <f>IFERROR(E4881-Dashboard!$B$4/252,"")</f>
        <v/>
      </c>
      <c r="H4881" s="8">
        <f>IFERROR(IF(ISNUMBER(B4881),MAX(B4881,IFERROR(H4880,B4881)),""),"")</f>
        <v/>
      </c>
      <c r="I4881" s="29">
        <f>IFERROR(IF(AND(ISNUMBER(B4881),ISNUMBER(H4881)),B4881/H4881-1,""),"")</f>
        <v/>
      </c>
      <c r="J4881" s="8">
        <f>IFERROR(IF(ISNUMBER(C4881),MAX(C4881,IFERROR(J4880,C4881)),""),"")</f>
        <v/>
      </c>
      <c r="K4881" s="29">
        <f>IFERROR(IF(AND(ISNUMBER(C4881),ISNUMBER(J4881)),C4881/J4881-1,""),"")</f>
        <v/>
      </c>
      <c r="L4881" s="28">
        <f>IFERROR(IF(AND(ISNUMBER(D4881),ISNUMBER(E4881)),D4881-E4881,""),"")</f>
        <v/>
      </c>
    </row>
    <row r="4882">
      <c r="A4882" s="7">
        <f>IFERROR(Datos!A4882,"")</f>
        <v/>
      </c>
      <c r="B4882" s="8">
        <f>IFERROR(Datos!B4882,"")</f>
        <v/>
      </c>
      <c r="C4882" s="8">
        <f>IFERROR(Datos!C4882,"")</f>
        <v/>
      </c>
      <c r="D4882" s="28">
        <f>IFERROR(IF(AND(ISNUMBER(B4882),ISNUMBER(B4881),B4881&lt;&gt;0),B4882/B4881-1,""),"")</f>
        <v/>
      </c>
      <c r="E4882" s="28">
        <f>IFERROR(IF(AND(ISNUMBER(C4882),ISNUMBER(C4881),C4881&lt;&gt;0),C4882/C4881-1,""),"")</f>
        <v/>
      </c>
      <c r="F4882" s="28">
        <f>IFERROR(D4882-Dashboard!$B$4/252,"")</f>
        <v/>
      </c>
      <c r="G4882" s="28">
        <f>IFERROR(E4882-Dashboard!$B$4/252,"")</f>
        <v/>
      </c>
      <c r="H4882" s="8">
        <f>IFERROR(IF(ISNUMBER(B4882),MAX(B4882,IFERROR(H4881,B4882)),""),"")</f>
        <v/>
      </c>
      <c r="I4882" s="29">
        <f>IFERROR(IF(AND(ISNUMBER(B4882),ISNUMBER(H4882)),B4882/H4882-1,""),"")</f>
        <v/>
      </c>
      <c r="J4882" s="8">
        <f>IFERROR(IF(ISNUMBER(C4882),MAX(C4882,IFERROR(J4881,C4882)),""),"")</f>
        <v/>
      </c>
      <c r="K4882" s="29">
        <f>IFERROR(IF(AND(ISNUMBER(C4882),ISNUMBER(J4882)),C4882/J4882-1,""),"")</f>
        <v/>
      </c>
      <c r="L4882" s="28">
        <f>IFERROR(IF(AND(ISNUMBER(D4882),ISNUMBER(E4882)),D4882-E4882,""),"")</f>
        <v/>
      </c>
    </row>
    <row r="4883">
      <c r="A4883" s="7">
        <f>IFERROR(Datos!A4883,"")</f>
        <v/>
      </c>
      <c r="B4883" s="8">
        <f>IFERROR(Datos!B4883,"")</f>
        <v/>
      </c>
      <c r="C4883" s="8">
        <f>IFERROR(Datos!C4883,"")</f>
        <v/>
      </c>
      <c r="D4883" s="28">
        <f>IFERROR(IF(AND(ISNUMBER(B4883),ISNUMBER(B4882),B4882&lt;&gt;0),B4883/B4882-1,""),"")</f>
        <v/>
      </c>
      <c r="E4883" s="28">
        <f>IFERROR(IF(AND(ISNUMBER(C4883),ISNUMBER(C4882),C4882&lt;&gt;0),C4883/C4882-1,""),"")</f>
        <v/>
      </c>
      <c r="F4883" s="28">
        <f>IFERROR(D4883-Dashboard!$B$4/252,"")</f>
        <v/>
      </c>
      <c r="G4883" s="28">
        <f>IFERROR(E4883-Dashboard!$B$4/252,"")</f>
        <v/>
      </c>
      <c r="H4883" s="8">
        <f>IFERROR(IF(ISNUMBER(B4883),MAX(B4883,IFERROR(H4882,B4883)),""),"")</f>
        <v/>
      </c>
      <c r="I4883" s="29">
        <f>IFERROR(IF(AND(ISNUMBER(B4883),ISNUMBER(H4883)),B4883/H4883-1,""),"")</f>
        <v/>
      </c>
      <c r="J4883" s="8">
        <f>IFERROR(IF(ISNUMBER(C4883),MAX(C4883,IFERROR(J4882,C4883)),""),"")</f>
        <v/>
      </c>
      <c r="K4883" s="29">
        <f>IFERROR(IF(AND(ISNUMBER(C4883),ISNUMBER(J4883)),C4883/J4883-1,""),"")</f>
        <v/>
      </c>
      <c r="L4883" s="28">
        <f>IFERROR(IF(AND(ISNUMBER(D4883),ISNUMBER(E4883)),D4883-E4883,""),"")</f>
        <v/>
      </c>
    </row>
    <row r="4884">
      <c r="A4884" s="7">
        <f>IFERROR(Datos!A4884,"")</f>
        <v/>
      </c>
      <c r="B4884" s="8">
        <f>IFERROR(Datos!B4884,"")</f>
        <v/>
      </c>
      <c r="C4884" s="8">
        <f>IFERROR(Datos!C4884,"")</f>
        <v/>
      </c>
      <c r="D4884" s="28">
        <f>IFERROR(IF(AND(ISNUMBER(B4884),ISNUMBER(B4883),B4883&lt;&gt;0),B4884/B4883-1,""),"")</f>
        <v/>
      </c>
      <c r="E4884" s="28">
        <f>IFERROR(IF(AND(ISNUMBER(C4884),ISNUMBER(C4883),C4883&lt;&gt;0),C4884/C4883-1,""),"")</f>
        <v/>
      </c>
      <c r="F4884" s="28">
        <f>IFERROR(D4884-Dashboard!$B$4/252,"")</f>
        <v/>
      </c>
      <c r="G4884" s="28">
        <f>IFERROR(E4884-Dashboard!$B$4/252,"")</f>
        <v/>
      </c>
      <c r="H4884" s="8">
        <f>IFERROR(IF(ISNUMBER(B4884),MAX(B4884,IFERROR(H4883,B4884)),""),"")</f>
        <v/>
      </c>
      <c r="I4884" s="29">
        <f>IFERROR(IF(AND(ISNUMBER(B4884),ISNUMBER(H4884)),B4884/H4884-1,""),"")</f>
        <v/>
      </c>
      <c r="J4884" s="8">
        <f>IFERROR(IF(ISNUMBER(C4884),MAX(C4884,IFERROR(J4883,C4884)),""),"")</f>
        <v/>
      </c>
      <c r="K4884" s="29">
        <f>IFERROR(IF(AND(ISNUMBER(C4884),ISNUMBER(J4884)),C4884/J4884-1,""),"")</f>
        <v/>
      </c>
      <c r="L4884" s="28">
        <f>IFERROR(IF(AND(ISNUMBER(D4884),ISNUMBER(E4884)),D4884-E4884,""),"")</f>
        <v/>
      </c>
    </row>
    <row r="4885">
      <c r="A4885" s="7">
        <f>IFERROR(Datos!A4885,"")</f>
        <v/>
      </c>
      <c r="B4885" s="8">
        <f>IFERROR(Datos!B4885,"")</f>
        <v/>
      </c>
      <c r="C4885" s="8">
        <f>IFERROR(Datos!C4885,"")</f>
        <v/>
      </c>
      <c r="D4885" s="28">
        <f>IFERROR(IF(AND(ISNUMBER(B4885),ISNUMBER(B4884),B4884&lt;&gt;0),B4885/B4884-1,""),"")</f>
        <v/>
      </c>
      <c r="E4885" s="28">
        <f>IFERROR(IF(AND(ISNUMBER(C4885),ISNUMBER(C4884),C4884&lt;&gt;0),C4885/C4884-1,""),"")</f>
        <v/>
      </c>
      <c r="F4885" s="28">
        <f>IFERROR(D4885-Dashboard!$B$4/252,"")</f>
        <v/>
      </c>
      <c r="G4885" s="28">
        <f>IFERROR(E4885-Dashboard!$B$4/252,"")</f>
        <v/>
      </c>
      <c r="H4885" s="8">
        <f>IFERROR(IF(ISNUMBER(B4885),MAX(B4885,IFERROR(H4884,B4885)),""),"")</f>
        <v/>
      </c>
      <c r="I4885" s="29">
        <f>IFERROR(IF(AND(ISNUMBER(B4885),ISNUMBER(H4885)),B4885/H4885-1,""),"")</f>
        <v/>
      </c>
      <c r="J4885" s="8">
        <f>IFERROR(IF(ISNUMBER(C4885),MAX(C4885,IFERROR(J4884,C4885)),""),"")</f>
        <v/>
      </c>
      <c r="K4885" s="29">
        <f>IFERROR(IF(AND(ISNUMBER(C4885),ISNUMBER(J4885)),C4885/J4885-1,""),"")</f>
        <v/>
      </c>
      <c r="L4885" s="28">
        <f>IFERROR(IF(AND(ISNUMBER(D4885),ISNUMBER(E4885)),D4885-E4885,""),"")</f>
        <v/>
      </c>
    </row>
    <row r="4886">
      <c r="A4886" s="7">
        <f>IFERROR(Datos!A4886,"")</f>
        <v/>
      </c>
      <c r="B4886" s="8">
        <f>IFERROR(Datos!B4886,"")</f>
        <v/>
      </c>
      <c r="C4886" s="8">
        <f>IFERROR(Datos!C4886,"")</f>
        <v/>
      </c>
      <c r="D4886" s="28">
        <f>IFERROR(IF(AND(ISNUMBER(B4886),ISNUMBER(B4885),B4885&lt;&gt;0),B4886/B4885-1,""),"")</f>
        <v/>
      </c>
      <c r="E4886" s="28">
        <f>IFERROR(IF(AND(ISNUMBER(C4886),ISNUMBER(C4885),C4885&lt;&gt;0),C4886/C4885-1,""),"")</f>
        <v/>
      </c>
      <c r="F4886" s="28">
        <f>IFERROR(D4886-Dashboard!$B$4/252,"")</f>
        <v/>
      </c>
      <c r="G4886" s="28">
        <f>IFERROR(E4886-Dashboard!$B$4/252,"")</f>
        <v/>
      </c>
      <c r="H4886" s="8">
        <f>IFERROR(IF(ISNUMBER(B4886),MAX(B4886,IFERROR(H4885,B4886)),""),"")</f>
        <v/>
      </c>
      <c r="I4886" s="29">
        <f>IFERROR(IF(AND(ISNUMBER(B4886),ISNUMBER(H4886)),B4886/H4886-1,""),"")</f>
        <v/>
      </c>
      <c r="J4886" s="8">
        <f>IFERROR(IF(ISNUMBER(C4886),MAX(C4886,IFERROR(J4885,C4886)),""),"")</f>
        <v/>
      </c>
      <c r="K4886" s="29">
        <f>IFERROR(IF(AND(ISNUMBER(C4886),ISNUMBER(J4886)),C4886/J4886-1,""),"")</f>
        <v/>
      </c>
      <c r="L4886" s="28">
        <f>IFERROR(IF(AND(ISNUMBER(D4886),ISNUMBER(E4886)),D4886-E4886,""),"")</f>
        <v/>
      </c>
    </row>
    <row r="4887">
      <c r="A4887" s="7">
        <f>IFERROR(Datos!A4887,"")</f>
        <v/>
      </c>
      <c r="B4887" s="8">
        <f>IFERROR(Datos!B4887,"")</f>
        <v/>
      </c>
      <c r="C4887" s="8">
        <f>IFERROR(Datos!C4887,"")</f>
        <v/>
      </c>
      <c r="D4887" s="28">
        <f>IFERROR(IF(AND(ISNUMBER(B4887),ISNUMBER(B4886),B4886&lt;&gt;0),B4887/B4886-1,""),"")</f>
        <v/>
      </c>
      <c r="E4887" s="28">
        <f>IFERROR(IF(AND(ISNUMBER(C4887),ISNUMBER(C4886),C4886&lt;&gt;0),C4887/C4886-1,""),"")</f>
        <v/>
      </c>
      <c r="F4887" s="28">
        <f>IFERROR(D4887-Dashboard!$B$4/252,"")</f>
        <v/>
      </c>
      <c r="G4887" s="28">
        <f>IFERROR(E4887-Dashboard!$B$4/252,"")</f>
        <v/>
      </c>
      <c r="H4887" s="8">
        <f>IFERROR(IF(ISNUMBER(B4887),MAX(B4887,IFERROR(H4886,B4887)),""),"")</f>
        <v/>
      </c>
      <c r="I4887" s="29">
        <f>IFERROR(IF(AND(ISNUMBER(B4887),ISNUMBER(H4887)),B4887/H4887-1,""),"")</f>
        <v/>
      </c>
      <c r="J4887" s="8">
        <f>IFERROR(IF(ISNUMBER(C4887),MAX(C4887,IFERROR(J4886,C4887)),""),"")</f>
        <v/>
      </c>
      <c r="K4887" s="29">
        <f>IFERROR(IF(AND(ISNUMBER(C4887),ISNUMBER(J4887)),C4887/J4887-1,""),"")</f>
        <v/>
      </c>
      <c r="L4887" s="28">
        <f>IFERROR(IF(AND(ISNUMBER(D4887),ISNUMBER(E4887)),D4887-E4887,""),"")</f>
        <v/>
      </c>
    </row>
    <row r="4888">
      <c r="A4888" s="7">
        <f>IFERROR(Datos!A4888,"")</f>
        <v/>
      </c>
      <c r="B4888" s="8">
        <f>IFERROR(Datos!B4888,"")</f>
        <v/>
      </c>
      <c r="C4888" s="8">
        <f>IFERROR(Datos!C4888,"")</f>
        <v/>
      </c>
      <c r="D4888" s="28">
        <f>IFERROR(IF(AND(ISNUMBER(B4888),ISNUMBER(B4887),B4887&lt;&gt;0),B4888/B4887-1,""),"")</f>
        <v/>
      </c>
      <c r="E4888" s="28">
        <f>IFERROR(IF(AND(ISNUMBER(C4888),ISNUMBER(C4887),C4887&lt;&gt;0),C4888/C4887-1,""),"")</f>
        <v/>
      </c>
      <c r="F4888" s="28">
        <f>IFERROR(D4888-Dashboard!$B$4/252,"")</f>
        <v/>
      </c>
      <c r="G4888" s="28">
        <f>IFERROR(E4888-Dashboard!$B$4/252,"")</f>
        <v/>
      </c>
      <c r="H4888" s="8">
        <f>IFERROR(IF(ISNUMBER(B4888),MAX(B4888,IFERROR(H4887,B4888)),""),"")</f>
        <v/>
      </c>
      <c r="I4888" s="29">
        <f>IFERROR(IF(AND(ISNUMBER(B4888),ISNUMBER(H4888)),B4888/H4888-1,""),"")</f>
        <v/>
      </c>
      <c r="J4888" s="8">
        <f>IFERROR(IF(ISNUMBER(C4888),MAX(C4888,IFERROR(J4887,C4888)),""),"")</f>
        <v/>
      </c>
      <c r="K4888" s="29">
        <f>IFERROR(IF(AND(ISNUMBER(C4888),ISNUMBER(J4888)),C4888/J4888-1,""),"")</f>
        <v/>
      </c>
      <c r="L4888" s="28">
        <f>IFERROR(IF(AND(ISNUMBER(D4888),ISNUMBER(E4888)),D4888-E4888,""),"")</f>
        <v/>
      </c>
    </row>
    <row r="4889">
      <c r="A4889" s="7">
        <f>IFERROR(Datos!A4889,"")</f>
        <v/>
      </c>
      <c r="B4889" s="8">
        <f>IFERROR(Datos!B4889,"")</f>
        <v/>
      </c>
      <c r="C4889" s="8">
        <f>IFERROR(Datos!C4889,"")</f>
        <v/>
      </c>
      <c r="D4889" s="28">
        <f>IFERROR(IF(AND(ISNUMBER(B4889),ISNUMBER(B4888),B4888&lt;&gt;0),B4889/B4888-1,""),"")</f>
        <v/>
      </c>
      <c r="E4889" s="28">
        <f>IFERROR(IF(AND(ISNUMBER(C4889),ISNUMBER(C4888),C4888&lt;&gt;0),C4889/C4888-1,""),"")</f>
        <v/>
      </c>
      <c r="F4889" s="28">
        <f>IFERROR(D4889-Dashboard!$B$4/252,"")</f>
        <v/>
      </c>
      <c r="G4889" s="28">
        <f>IFERROR(E4889-Dashboard!$B$4/252,"")</f>
        <v/>
      </c>
      <c r="H4889" s="8">
        <f>IFERROR(IF(ISNUMBER(B4889),MAX(B4889,IFERROR(H4888,B4889)),""),"")</f>
        <v/>
      </c>
      <c r="I4889" s="29">
        <f>IFERROR(IF(AND(ISNUMBER(B4889),ISNUMBER(H4889)),B4889/H4889-1,""),"")</f>
        <v/>
      </c>
      <c r="J4889" s="8">
        <f>IFERROR(IF(ISNUMBER(C4889),MAX(C4889,IFERROR(J4888,C4889)),""),"")</f>
        <v/>
      </c>
      <c r="K4889" s="29">
        <f>IFERROR(IF(AND(ISNUMBER(C4889),ISNUMBER(J4889)),C4889/J4889-1,""),"")</f>
        <v/>
      </c>
      <c r="L4889" s="28">
        <f>IFERROR(IF(AND(ISNUMBER(D4889),ISNUMBER(E4889)),D4889-E4889,""),"")</f>
        <v/>
      </c>
    </row>
    <row r="4890">
      <c r="A4890" s="7">
        <f>IFERROR(Datos!A4890,"")</f>
        <v/>
      </c>
      <c r="B4890" s="8">
        <f>IFERROR(Datos!B4890,"")</f>
        <v/>
      </c>
      <c r="C4890" s="8">
        <f>IFERROR(Datos!C4890,"")</f>
        <v/>
      </c>
      <c r="D4890" s="28">
        <f>IFERROR(IF(AND(ISNUMBER(B4890),ISNUMBER(B4889),B4889&lt;&gt;0),B4890/B4889-1,""),"")</f>
        <v/>
      </c>
      <c r="E4890" s="28">
        <f>IFERROR(IF(AND(ISNUMBER(C4890),ISNUMBER(C4889),C4889&lt;&gt;0),C4890/C4889-1,""),"")</f>
        <v/>
      </c>
      <c r="F4890" s="28">
        <f>IFERROR(D4890-Dashboard!$B$4/252,"")</f>
        <v/>
      </c>
      <c r="G4890" s="28">
        <f>IFERROR(E4890-Dashboard!$B$4/252,"")</f>
        <v/>
      </c>
      <c r="H4890" s="8">
        <f>IFERROR(IF(ISNUMBER(B4890),MAX(B4890,IFERROR(H4889,B4890)),""),"")</f>
        <v/>
      </c>
      <c r="I4890" s="29">
        <f>IFERROR(IF(AND(ISNUMBER(B4890),ISNUMBER(H4890)),B4890/H4890-1,""),"")</f>
        <v/>
      </c>
      <c r="J4890" s="8">
        <f>IFERROR(IF(ISNUMBER(C4890),MAX(C4890,IFERROR(J4889,C4890)),""),"")</f>
        <v/>
      </c>
      <c r="K4890" s="29">
        <f>IFERROR(IF(AND(ISNUMBER(C4890),ISNUMBER(J4890)),C4890/J4890-1,""),"")</f>
        <v/>
      </c>
      <c r="L4890" s="28">
        <f>IFERROR(IF(AND(ISNUMBER(D4890),ISNUMBER(E4890)),D4890-E4890,""),"")</f>
        <v/>
      </c>
    </row>
    <row r="4891">
      <c r="A4891" s="7">
        <f>IFERROR(Datos!A4891,"")</f>
        <v/>
      </c>
      <c r="B4891" s="8">
        <f>IFERROR(Datos!B4891,"")</f>
        <v/>
      </c>
      <c r="C4891" s="8">
        <f>IFERROR(Datos!C4891,"")</f>
        <v/>
      </c>
      <c r="D4891" s="28">
        <f>IFERROR(IF(AND(ISNUMBER(B4891),ISNUMBER(B4890),B4890&lt;&gt;0),B4891/B4890-1,""),"")</f>
        <v/>
      </c>
      <c r="E4891" s="28">
        <f>IFERROR(IF(AND(ISNUMBER(C4891),ISNUMBER(C4890),C4890&lt;&gt;0),C4891/C4890-1,""),"")</f>
        <v/>
      </c>
      <c r="F4891" s="28">
        <f>IFERROR(D4891-Dashboard!$B$4/252,"")</f>
        <v/>
      </c>
      <c r="G4891" s="28">
        <f>IFERROR(E4891-Dashboard!$B$4/252,"")</f>
        <v/>
      </c>
      <c r="H4891" s="8">
        <f>IFERROR(IF(ISNUMBER(B4891),MAX(B4891,IFERROR(H4890,B4891)),""),"")</f>
        <v/>
      </c>
      <c r="I4891" s="29">
        <f>IFERROR(IF(AND(ISNUMBER(B4891),ISNUMBER(H4891)),B4891/H4891-1,""),"")</f>
        <v/>
      </c>
      <c r="J4891" s="8">
        <f>IFERROR(IF(ISNUMBER(C4891),MAX(C4891,IFERROR(J4890,C4891)),""),"")</f>
        <v/>
      </c>
      <c r="K4891" s="29">
        <f>IFERROR(IF(AND(ISNUMBER(C4891),ISNUMBER(J4891)),C4891/J4891-1,""),"")</f>
        <v/>
      </c>
      <c r="L4891" s="28">
        <f>IFERROR(IF(AND(ISNUMBER(D4891),ISNUMBER(E4891)),D4891-E4891,""),"")</f>
        <v/>
      </c>
    </row>
    <row r="4892">
      <c r="A4892" s="7">
        <f>IFERROR(Datos!A4892,"")</f>
        <v/>
      </c>
      <c r="B4892" s="8">
        <f>IFERROR(Datos!B4892,"")</f>
        <v/>
      </c>
      <c r="C4892" s="8">
        <f>IFERROR(Datos!C4892,"")</f>
        <v/>
      </c>
      <c r="D4892" s="28">
        <f>IFERROR(IF(AND(ISNUMBER(B4892),ISNUMBER(B4891),B4891&lt;&gt;0),B4892/B4891-1,""),"")</f>
        <v/>
      </c>
      <c r="E4892" s="28">
        <f>IFERROR(IF(AND(ISNUMBER(C4892),ISNUMBER(C4891),C4891&lt;&gt;0),C4892/C4891-1,""),"")</f>
        <v/>
      </c>
      <c r="F4892" s="28">
        <f>IFERROR(D4892-Dashboard!$B$4/252,"")</f>
        <v/>
      </c>
      <c r="G4892" s="28">
        <f>IFERROR(E4892-Dashboard!$B$4/252,"")</f>
        <v/>
      </c>
      <c r="H4892" s="8">
        <f>IFERROR(IF(ISNUMBER(B4892),MAX(B4892,IFERROR(H4891,B4892)),""),"")</f>
        <v/>
      </c>
      <c r="I4892" s="29">
        <f>IFERROR(IF(AND(ISNUMBER(B4892),ISNUMBER(H4892)),B4892/H4892-1,""),"")</f>
        <v/>
      </c>
      <c r="J4892" s="8">
        <f>IFERROR(IF(ISNUMBER(C4892),MAX(C4892,IFERROR(J4891,C4892)),""),"")</f>
        <v/>
      </c>
      <c r="K4892" s="29">
        <f>IFERROR(IF(AND(ISNUMBER(C4892),ISNUMBER(J4892)),C4892/J4892-1,""),"")</f>
        <v/>
      </c>
      <c r="L4892" s="28">
        <f>IFERROR(IF(AND(ISNUMBER(D4892),ISNUMBER(E4892)),D4892-E4892,""),"")</f>
        <v/>
      </c>
    </row>
    <row r="4893">
      <c r="A4893" s="7">
        <f>IFERROR(Datos!A4893,"")</f>
        <v/>
      </c>
      <c r="B4893" s="8">
        <f>IFERROR(Datos!B4893,"")</f>
        <v/>
      </c>
      <c r="C4893" s="8">
        <f>IFERROR(Datos!C4893,"")</f>
        <v/>
      </c>
      <c r="D4893" s="28">
        <f>IFERROR(IF(AND(ISNUMBER(B4893),ISNUMBER(B4892),B4892&lt;&gt;0),B4893/B4892-1,""),"")</f>
        <v/>
      </c>
      <c r="E4893" s="28">
        <f>IFERROR(IF(AND(ISNUMBER(C4893),ISNUMBER(C4892),C4892&lt;&gt;0),C4893/C4892-1,""),"")</f>
        <v/>
      </c>
      <c r="F4893" s="28">
        <f>IFERROR(D4893-Dashboard!$B$4/252,"")</f>
        <v/>
      </c>
      <c r="G4893" s="28">
        <f>IFERROR(E4893-Dashboard!$B$4/252,"")</f>
        <v/>
      </c>
      <c r="H4893" s="8">
        <f>IFERROR(IF(ISNUMBER(B4893),MAX(B4893,IFERROR(H4892,B4893)),""),"")</f>
        <v/>
      </c>
      <c r="I4893" s="29">
        <f>IFERROR(IF(AND(ISNUMBER(B4893),ISNUMBER(H4893)),B4893/H4893-1,""),"")</f>
        <v/>
      </c>
      <c r="J4893" s="8">
        <f>IFERROR(IF(ISNUMBER(C4893),MAX(C4893,IFERROR(J4892,C4893)),""),"")</f>
        <v/>
      </c>
      <c r="K4893" s="29">
        <f>IFERROR(IF(AND(ISNUMBER(C4893),ISNUMBER(J4893)),C4893/J4893-1,""),"")</f>
        <v/>
      </c>
      <c r="L4893" s="28">
        <f>IFERROR(IF(AND(ISNUMBER(D4893),ISNUMBER(E4893)),D4893-E4893,""),"")</f>
        <v/>
      </c>
    </row>
    <row r="4894">
      <c r="A4894" s="7">
        <f>IFERROR(Datos!A4894,"")</f>
        <v/>
      </c>
      <c r="B4894" s="8">
        <f>IFERROR(Datos!B4894,"")</f>
        <v/>
      </c>
      <c r="C4894" s="8">
        <f>IFERROR(Datos!C4894,"")</f>
        <v/>
      </c>
      <c r="D4894" s="28">
        <f>IFERROR(IF(AND(ISNUMBER(B4894),ISNUMBER(B4893),B4893&lt;&gt;0),B4894/B4893-1,""),"")</f>
        <v/>
      </c>
      <c r="E4894" s="28">
        <f>IFERROR(IF(AND(ISNUMBER(C4894),ISNUMBER(C4893),C4893&lt;&gt;0),C4894/C4893-1,""),"")</f>
        <v/>
      </c>
      <c r="F4894" s="28">
        <f>IFERROR(D4894-Dashboard!$B$4/252,"")</f>
        <v/>
      </c>
      <c r="G4894" s="28">
        <f>IFERROR(E4894-Dashboard!$B$4/252,"")</f>
        <v/>
      </c>
      <c r="H4894" s="8">
        <f>IFERROR(IF(ISNUMBER(B4894),MAX(B4894,IFERROR(H4893,B4894)),""),"")</f>
        <v/>
      </c>
      <c r="I4894" s="29">
        <f>IFERROR(IF(AND(ISNUMBER(B4894),ISNUMBER(H4894)),B4894/H4894-1,""),"")</f>
        <v/>
      </c>
      <c r="J4894" s="8">
        <f>IFERROR(IF(ISNUMBER(C4894),MAX(C4894,IFERROR(J4893,C4894)),""),"")</f>
        <v/>
      </c>
      <c r="K4894" s="29">
        <f>IFERROR(IF(AND(ISNUMBER(C4894),ISNUMBER(J4894)),C4894/J4894-1,""),"")</f>
        <v/>
      </c>
      <c r="L4894" s="28">
        <f>IFERROR(IF(AND(ISNUMBER(D4894),ISNUMBER(E4894)),D4894-E4894,""),"")</f>
        <v/>
      </c>
    </row>
    <row r="4895">
      <c r="A4895" s="7">
        <f>IFERROR(Datos!A4895,"")</f>
        <v/>
      </c>
      <c r="B4895" s="8">
        <f>IFERROR(Datos!B4895,"")</f>
        <v/>
      </c>
      <c r="C4895" s="8">
        <f>IFERROR(Datos!C4895,"")</f>
        <v/>
      </c>
      <c r="D4895" s="28">
        <f>IFERROR(IF(AND(ISNUMBER(B4895),ISNUMBER(B4894),B4894&lt;&gt;0),B4895/B4894-1,""),"")</f>
        <v/>
      </c>
      <c r="E4895" s="28">
        <f>IFERROR(IF(AND(ISNUMBER(C4895),ISNUMBER(C4894),C4894&lt;&gt;0),C4895/C4894-1,""),"")</f>
        <v/>
      </c>
      <c r="F4895" s="28">
        <f>IFERROR(D4895-Dashboard!$B$4/252,"")</f>
        <v/>
      </c>
      <c r="G4895" s="28">
        <f>IFERROR(E4895-Dashboard!$B$4/252,"")</f>
        <v/>
      </c>
      <c r="H4895" s="8">
        <f>IFERROR(IF(ISNUMBER(B4895),MAX(B4895,IFERROR(H4894,B4895)),""),"")</f>
        <v/>
      </c>
      <c r="I4895" s="29">
        <f>IFERROR(IF(AND(ISNUMBER(B4895),ISNUMBER(H4895)),B4895/H4895-1,""),"")</f>
        <v/>
      </c>
      <c r="J4895" s="8">
        <f>IFERROR(IF(ISNUMBER(C4895),MAX(C4895,IFERROR(J4894,C4895)),""),"")</f>
        <v/>
      </c>
      <c r="K4895" s="29">
        <f>IFERROR(IF(AND(ISNUMBER(C4895),ISNUMBER(J4895)),C4895/J4895-1,""),"")</f>
        <v/>
      </c>
      <c r="L4895" s="28">
        <f>IFERROR(IF(AND(ISNUMBER(D4895),ISNUMBER(E4895)),D4895-E4895,""),"")</f>
        <v/>
      </c>
    </row>
    <row r="4896">
      <c r="A4896" s="7">
        <f>IFERROR(Datos!A4896,"")</f>
        <v/>
      </c>
      <c r="B4896" s="8">
        <f>IFERROR(Datos!B4896,"")</f>
        <v/>
      </c>
      <c r="C4896" s="8">
        <f>IFERROR(Datos!C4896,"")</f>
        <v/>
      </c>
      <c r="D4896" s="28">
        <f>IFERROR(IF(AND(ISNUMBER(B4896),ISNUMBER(B4895),B4895&lt;&gt;0),B4896/B4895-1,""),"")</f>
        <v/>
      </c>
      <c r="E4896" s="28">
        <f>IFERROR(IF(AND(ISNUMBER(C4896),ISNUMBER(C4895),C4895&lt;&gt;0),C4896/C4895-1,""),"")</f>
        <v/>
      </c>
      <c r="F4896" s="28">
        <f>IFERROR(D4896-Dashboard!$B$4/252,"")</f>
        <v/>
      </c>
      <c r="G4896" s="28">
        <f>IFERROR(E4896-Dashboard!$B$4/252,"")</f>
        <v/>
      </c>
      <c r="H4896" s="8">
        <f>IFERROR(IF(ISNUMBER(B4896),MAX(B4896,IFERROR(H4895,B4896)),""),"")</f>
        <v/>
      </c>
      <c r="I4896" s="29">
        <f>IFERROR(IF(AND(ISNUMBER(B4896),ISNUMBER(H4896)),B4896/H4896-1,""),"")</f>
        <v/>
      </c>
      <c r="J4896" s="8">
        <f>IFERROR(IF(ISNUMBER(C4896),MAX(C4896,IFERROR(J4895,C4896)),""),"")</f>
        <v/>
      </c>
      <c r="K4896" s="29">
        <f>IFERROR(IF(AND(ISNUMBER(C4896),ISNUMBER(J4896)),C4896/J4896-1,""),"")</f>
        <v/>
      </c>
      <c r="L4896" s="28">
        <f>IFERROR(IF(AND(ISNUMBER(D4896),ISNUMBER(E4896)),D4896-E4896,""),"")</f>
        <v/>
      </c>
    </row>
    <row r="4897">
      <c r="A4897" s="7">
        <f>IFERROR(Datos!A4897,"")</f>
        <v/>
      </c>
      <c r="B4897" s="8">
        <f>IFERROR(Datos!B4897,"")</f>
        <v/>
      </c>
      <c r="C4897" s="8">
        <f>IFERROR(Datos!C4897,"")</f>
        <v/>
      </c>
      <c r="D4897" s="28">
        <f>IFERROR(IF(AND(ISNUMBER(B4897),ISNUMBER(B4896),B4896&lt;&gt;0),B4897/B4896-1,""),"")</f>
        <v/>
      </c>
      <c r="E4897" s="28">
        <f>IFERROR(IF(AND(ISNUMBER(C4897),ISNUMBER(C4896),C4896&lt;&gt;0),C4897/C4896-1,""),"")</f>
        <v/>
      </c>
      <c r="F4897" s="28">
        <f>IFERROR(D4897-Dashboard!$B$4/252,"")</f>
        <v/>
      </c>
      <c r="G4897" s="28">
        <f>IFERROR(E4897-Dashboard!$B$4/252,"")</f>
        <v/>
      </c>
      <c r="H4897" s="8">
        <f>IFERROR(IF(ISNUMBER(B4897),MAX(B4897,IFERROR(H4896,B4897)),""),"")</f>
        <v/>
      </c>
      <c r="I4897" s="29">
        <f>IFERROR(IF(AND(ISNUMBER(B4897),ISNUMBER(H4897)),B4897/H4897-1,""),"")</f>
        <v/>
      </c>
      <c r="J4897" s="8">
        <f>IFERROR(IF(ISNUMBER(C4897),MAX(C4897,IFERROR(J4896,C4897)),""),"")</f>
        <v/>
      </c>
      <c r="K4897" s="29">
        <f>IFERROR(IF(AND(ISNUMBER(C4897),ISNUMBER(J4897)),C4897/J4897-1,""),"")</f>
        <v/>
      </c>
      <c r="L4897" s="28">
        <f>IFERROR(IF(AND(ISNUMBER(D4897),ISNUMBER(E4897)),D4897-E4897,""),"")</f>
        <v/>
      </c>
    </row>
    <row r="4898">
      <c r="A4898" s="7">
        <f>IFERROR(Datos!A4898,"")</f>
        <v/>
      </c>
      <c r="B4898" s="8">
        <f>IFERROR(Datos!B4898,"")</f>
        <v/>
      </c>
      <c r="C4898" s="8">
        <f>IFERROR(Datos!C4898,"")</f>
        <v/>
      </c>
      <c r="D4898" s="28">
        <f>IFERROR(IF(AND(ISNUMBER(B4898),ISNUMBER(B4897),B4897&lt;&gt;0),B4898/B4897-1,""),"")</f>
        <v/>
      </c>
      <c r="E4898" s="28">
        <f>IFERROR(IF(AND(ISNUMBER(C4898),ISNUMBER(C4897),C4897&lt;&gt;0),C4898/C4897-1,""),"")</f>
        <v/>
      </c>
      <c r="F4898" s="28">
        <f>IFERROR(D4898-Dashboard!$B$4/252,"")</f>
        <v/>
      </c>
      <c r="G4898" s="28">
        <f>IFERROR(E4898-Dashboard!$B$4/252,"")</f>
        <v/>
      </c>
      <c r="H4898" s="8">
        <f>IFERROR(IF(ISNUMBER(B4898),MAX(B4898,IFERROR(H4897,B4898)),""),"")</f>
        <v/>
      </c>
      <c r="I4898" s="29">
        <f>IFERROR(IF(AND(ISNUMBER(B4898),ISNUMBER(H4898)),B4898/H4898-1,""),"")</f>
        <v/>
      </c>
      <c r="J4898" s="8">
        <f>IFERROR(IF(ISNUMBER(C4898),MAX(C4898,IFERROR(J4897,C4898)),""),"")</f>
        <v/>
      </c>
      <c r="K4898" s="29">
        <f>IFERROR(IF(AND(ISNUMBER(C4898),ISNUMBER(J4898)),C4898/J4898-1,""),"")</f>
        <v/>
      </c>
      <c r="L4898" s="28">
        <f>IFERROR(IF(AND(ISNUMBER(D4898),ISNUMBER(E4898)),D4898-E4898,""),"")</f>
        <v/>
      </c>
    </row>
    <row r="4899">
      <c r="A4899" s="7">
        <f>IFERROR(Datos!A4899,"")</f>
        <v/>
      </c>
      <c r="B4899" s="8">
        <f>IFERROR(Datos!B4899,"")</f>
        <v/>
      </c>
      <c r="C4899" s="8">
        <f>IFERROR(Datos!C4899,"")</f>
        <v/>
      </c>
      <c r="D4899" s="28">
        <f>IFERROR(IF(AND(ISNUMBER(B4899),ISNUMBER(B4898),B4898&lt;&gt;0),B4899/B4898-1,""),"")</f>
        <v/>
      </c>
      <c r="E4899" s="28">
        <f>IFERROR(IF(AND(ISNUMBER(C4899),ISNUMBER(C4898),C4898&lt;&gt;0),C4899/C4898-1,""),"")</f>
        <v/>
      </c>
      <c r="F4899" s="28">
        <f>IFERROR(D4899-Dashboard!$B$4/252,"")</f>
        <v/>
      </c>
      <c r="G4899" s="28">
        <f>IFERROR(E4899-Dashboard!$B$4/252,"")</f>
        <v/>
      </c>
      <c r="H4899" s="8">
        <f>IFERROR(IF(ISNUMBER(B4899),MAX(B4899,IFERROR(H4898,B4899)),""),"")</f>
        <v/>
      </c>
      <c r="I4899" s="29">
        <f>IFERROR(IF(AND(ISNUMBER(B4899),ISNUMBER(H4899)),B4899/H4899-1,""),"")</f>
        <v/>
      </c>
      <c r="J4899" s="8">
        <f>IFERROR(IF(ISNUMBER(C4899),MAX(C4899,IFERROR(J4898,C4899)),""),"")</f>
        <v/>
      </c>
      <c r="K4899" s="29">
        <f>IFERROR(IF(AND(ISNUMBER(C4899),ISNUMBER(J4899)),C4899/J4899-1,""),"")</f>
        <v/>
      </c>
      <c r="L4899" s="28">
        <f>IFERROR(IF(AND(ISNUMBER(D4899),ISNUMBER(E4899)),D4899-E4899,""),"")</f>
        <v/>
      </c>
    </row>
    <row r="4900">
      <c r="A4900" s="7">
        <f>IFERROR(Datos!A4900,"")</f>
        <v/>
      </c>
      <c r="B4900" s="8">
        <f>IFERROR(Datos!B4900,"")</f>
        <v/>
      </c>
      <c r="C4900" s="8">
        <f>IFERROR(Datos!C4900,"")</f>
        <v/>
      </c>
      <c r="D4900" s="28">
        <f>IFERROR(IF(AND(ISNUMBER(B4900),ISNUMBER(B4899),B4899&lt;&gt;0),B4900/B4899-1,""),"")</f>
        <v/>
      </c>
      <c r="E4900" s="28">
        <f>IFERROR(IF(AND(ISNUMBER(C4900),ISNUMBER(C4899),C4899&lt;&gt;0),C4900/C4899-1,""),"")</f>
        <v/>
      </c>
      <c r="F4900" s="28">
        <f>IFERROR(D4900-Dashboard!$B$4/252,"")</f>
        <v/>
      </c>
      <c r="G4900" s="28">
        <f>IFERROR(E4900-Dashboard!$B$4/252,"")</f>
        <v/>
      </c>
      <c r="H4900" s="8">
        <f>IFERROR(IF(ISNUMBER(B4900),MAX(B4900,IFERROR(H4899,B4900)),""),"")</f>
        <v/>
      </c>
      <c r="I4900" s="29">
        <f>IFERROR(IF(AND(ISNUMBER(B4900),ISNUMBER(H4900)),B4900/H4900-1,""),"")</f>
        <v/>
      </c>
      <c r="J4900" s="8">
        <f>IFERROR(IF(ISNUMBER(C4900),MAX(C4900,IFERROR(J4899,C4900)),""),"")</f>
        <v/>
      </c>
      <c r="K4900" s="29">
        <f>IFERROR(IF(AND(ISNUMBER(C4900),ISNUMBER(J4900)),C4900/J4900-1,""),"")</f>
        <v/>
      </c>
      <c r="L4900" s="28">
        <f>IFERROR(IF(AND(ISNUMBER(D4900),ISNUMBER(E4900)),D4900-E4900,""),"")</f>
        <v/>
      </c>
    </row>
    <row r="4901">
      <c r="A4901" s="7">
        <f>IFERROR(Datos!A4901,"")</f>
        <v/>
      </c>
      <c r="B4901" s="8">
        <f>IFERROR(Datos!B4901,"")</f>
        <v/>
      </c>
      <c r="C4901" s="8">
        <f>IFERROR(Datos!C4901,"")</f>
        <v/>
      </c>
      <c r="D4901" s="28">
        <f>IFERROR(IF(AND(ISNUMBER(B4901),ISNUMBER(B4900),B4900&lt;&gt;0),B4901/B4900-1,""),"")</f>
        <v/>
      </c>
      <c r="E4901" s="28">
        <f>IFERROR(IF(AND(ISNUMBER(C4901),ISNUMBER(C4900),C4900&lt;&gt;0),C4901/C4900-1,""),"")</f>
        <v/>
      </c>
      <c r="F4901" s="28">
        <f>IFERROR(D4901-Dashboard!$B$4/252,"")</f>
        <v/>
      </c>
      <c r="G4901" s="28">
        <f>IFERROR(E4901-Dashboard!$B$4/252,"")</f>
        <v/>
      </c>
      <c r="H4901" s="8">
        <f>IFERROR(IF(ISNUMBER(B4901),MAX(B4901,IFERROR(H4900,B4901)),""),"")</f>
        <v/>
      </c>
      <c r="I4901" s="29">
        <f>IFERROR(IF(AND(ISNUMBER(B4901),ISNUMBER(H4901)),B4901/H4901-1,""),"")</f>
        <v/>
      </c>
      <c r="J4901" s="8">
        <f>IFERROR(IF(ISNUMBER(C4901),MAX(C4901,IFERROR(J4900,C4901)),""),"")</f>
        <v/>
      </c>
      <c r="K4901" s="29">
        <f>IFERROR(IF(AND(ISNUMBER(C4901),ISNUMBER(J4901)),C4901/J4901-1,""),"")</f>
        <v/>
      </c>
      <c r="L4901" s="28">
        <f>IFERROR(IF(AND(ISNUMBER(D4901),ISNUMBER(E4901)),D4901-E4901,""),"")</f>
        <v/>
      </c>
    </row>
    <row r="4902">
      <c r="A4902" s="7">
        <f>IFERROR(Datos!A4902,"")</f>
        <v/>
      </c>
      <c r="B4902" s="8">
        <f>IFERROR(Datos!B4902,"")</f>
        <v/>
      </c>
      <c r="C4902" s="8">
        <f>IFERROR(Datos!C4902,"")</f>
        <v/>
      </c>
      <c r="D4902" s="28">
        <f>IFERROR(IF(AND(ISNUMBER(B4902),ISNUMBER(B4901),B4901&lt;&gt;0),B4902/B4901-1,""),"")</f>
        <v/>
      </c>
      <c r="E4902" s="28">
        <f>IFERROR(IF(AND(ISNUMBER(C4902),ISNUMBER(C4901),C4901&lt;&gt;0),C4902/C4901-1,""),"")</f>
        <v/>
      </c>
      <c r="F4902" s="28">
        <f>IFERROR(D4902-Dashboard!$B$4/252,"")</f>
        <v/>
      </c>
      <c r="G4902" s="28">
        <f>IFERROR(E4902-Dashboard!$B$4/252,"")</f>
        <v/>
      </c>
      <c r="H4902" s="8">
        <f>IFERROR(IF(ISNUMBER(B4902),MAX(B4902,IFERROR(H4901,B4902)),""),"")</f>
        <v/>
      </c>
      <c r="I4902" s="29">
        <f>IFERROR(IF(AND(ISNUMBER(B4902),ISNUMBER(H4902)),B4902/H4902-1,""),"")</f>
        <v/>
      </c>
      <c r="J4902" s="8">
        <f>IFERROR(IF(ISNUMBER(C4902),MAX(C4902,IFERROR(J4901,C4902)),""),"")</f>
        <v/>
      </c>
      <c r="K4902" s="29">
        <f>IFERROR(IF(AND(ISNUMBER(C4902),ISNUMBER(J4902)),C4902/J4902-1,""),"")</f>
        <v/>
      </c>
      <c r="L4902" s="28">
        <f>IFERROR(IF(AND(ISNUMBER(D4902),ISNUMBER(E4902)),D4902-E4902,""),"")</f>
        <v/>
      </c>
    </row>
    <row r="4903">
      <c r="A4903" s="7">
        <f>IFERROR(Datos!A4903,"")</f>
        <v/>
      </c>
      <c r="B4903" s="8">
        <f>IFERROR(Datos!B4903,"")</f>
        <v/>
      </c>
      <c r="C4903" s="8">
        <f>IFERROR(Datos!C4903,"")</f>
        <v/>
      </c>
      <c r="D4903" s="28">
        <f>IFERROR(IF(AND(ISNUMBER(B4903),ISNUMBER(B4902),B4902&lt;&gt;0),B4903/B4902-1,""),"")</f>
        <v/>
      </c>
      <c r="E4903" s="28">
        <f>IFERROR(IF(AND(ISNUMBER(C4903),ISNUMBER(C4902),C4902&lt;&gt;0),C4903/C4902-1,""),"")</f>
        <v/>
      </c>
      <c r="F4903" s="28">
        <f>IFERROR(D4903-Dashboard!$B$4/252,"")</f>
        <v/>
      </c>
      <c r="G4903" s="28">
        <f>IFERROR(E4903-Dashboard!$B$4/252,"")</f>
        <v/>
      </c>
      <c r="H4903" s="8">
        <f>IFERROR(IF(ISNUMBER(B4903),MAX(B4903,IFERROR(H4902,B4903)),""),"")</f>
        <v/>
      </c>
      <c r="I4903" s="29">
        <f>IFERROR(IF(AND(ISNUMBER(B4903),ISNUMBER(H4903)),B4903/H4903-1,""),"")</f>
        <v/>
      </c>
      <c r="J4903" s="8">
        <f>IFERROR(IF(ISNUMBER(C4903),MAX(C4903,IFERROR(J4902,C4903)),""),"")</f>
        <v/>
      </c>
      <c r="K4903" s="29">
        <f>IFERROR(IF(AND(ISNUMBER(C4903),ISNUMBER(J4903)),C4903/J4903-1,""),"")</f>
        <v/>
      </c>
      <c r="L4903" s="28">
        <f>IFERROR(IF(AND(ISNUMBER(D4903),ISNUMBER(E4903)),D4903-E4903,""),"")</f>
        <v/>
      </c>
    </row>
    <row r="4904">
      <c r="A4904" s="7">
        <f>IFERROR(Datos!A4904,"")</f>
        <v/>
      </c>
      <c r="B4904" s="8">
        <f>IFERROR(Datos!B4904,"")</f>
        <v/>
      </c>
      <c r="C4904" s="8">
        <f>IFERROR(Datos!C4904,"")</f>
        <v/>
      </c>
      <c r="D4904" s="28">
        <f>IFERROR(IF(AND(ISNUMBER(B4904),ISNUMBER(B4903),B4903&lt;&gt;0),B4904/B4903-1,""),"")</f>
        <v/>
      </c>
      <c r="E4904" s="28">
        <f>IFERROR(IF(AND(ISNUMBER(C4904),ISNUMBER(C4903),C4903&lt;&gt;0),C4904/C4903-1,""),"")</f>
        <v/>
      </c>
      <c r="F4904" s="28">
        <f>IFERROR(D4904-Dashboard!$B$4/252,"")</f>
        <v/>
      </c>
      <c r="G4904" s="28">
        <f>IFERROR(E4904-Dashboard!$B$4/252,"")</f>
        <v/>
      </c>
      <c r="H4904" s="8">
        <f>IFERROR(IF(ISNUMBER(B4904),MAX(B4904,IFERROR(H4903,B4904)),""),"")</f>
        <v/>
      </c>
      <c r="I4904" s="29">
        <f>IFERROR(IF(AND(ISNUMBER(B4904),ISNUMBER(H4904)),B4904/H4904-1,""),"")</f>
        <v/>
      </c>
      <c r="J4904" s="8">
        <f>IFERROR(IF(ISNUMBER(C4904),MAX(C4904,IFERROR(J4903,C4904)),""),"")</f>
        <v/>
      </c>
      <c r="K4904" s="29">
        <f>IFERROR(IF(AND(ISNUMBER(C4904),ISNUMBER(J4904)),C4904/J4904-1,""),"")</f>
        <v/>
      </c>
      <c r="L4904" s="28">
        <f>IFERROR(IF(AND(ISNUMBER(D4904),ISNUMBER(E4904)),D4904-E4904,""),"")</f>
        <v/>
      </c>
    </row>
    <row r="4905">
      <c r="A4905" s="7">
        <f>IFERROR(Datos!A4905,"")</f>
        <v/>
      </c>
      <c r="B4905" s="8">
        <f>IFERROR(Datos!B4905,"")</f>
        <v/>
      </c>
      <c r="C4905" s="8">
        <f>IFERROR(Datos!C4905,"")</f>
        <v/>
      </c>
      <c r="D4905" s="28">
        <f>IFERROR(IF(AND(ISNUMBER(B4905),ISNUMBER(B4904),B4904&lt;&gt;0),B4905/B4904-1,""),"")</f>
        <v/>
      </c>
      <c r="E4905" s="28">
        <f>IFERROR(IF(AND(ISNUMBER(C4905),ISNUMBER(C4904),C4904&lt;&gt;0),C4905/C4904-1,""),"")</f>
        <v/>
      </c>
      <c r="F4905" s="28">
        <f>IFERROR(D4905-Dashboard!$B$4/252,"")</f>
        <v/>
      </c>
      <c r="G4905" s="28">
        <f>IFERROR(E4905-Dashboard!$B$4/252,"")</f>
        <v/>
      </c>
      <c r="H4905" s="8">
        <f>IFERROR(IF(ISNUMBER(B4905),MAX(B4905,IFERROR(H4904,B4905)),""),"")</f>
        <v/>
      </c>
      <c r="I4905" s="29">
        <f>IFERROR(IF(AND(ISNUMBER(B4905),ISNUMBER(H4905)),B4905/H4905-1,""),"")</f>
        <v/>
      </c>
      <c r="J4905" s="8">
        <f>IFERROR(IF(ISNUMBER(C4905),MAX(C4905,IFERROR(J4904,C4905)),""),"")</f>
        <v/>
      </c>
      <c r="K4905" s="29">
        <f>IFERROR(IF(AND(ISNUMBER(C4905),ISNUMBER(J4905)),C4905/J4905-1,""),"")</f>
        <v/>
      </c>
      <c r="L4905" s="28">
        <f>IFERROR(IF(AND(ISNUMBER(D4905),ISNUMBER(E4905)),D4905-E4905,""),"")</f>
        <v/>
      </c>
    </row>
    <row r="4906">
      <c r="A4906" s="7">
        <f>IFERROR(Datos!A4906,"")</f>
        <v/>
      </c>
      <c r="B4906" s="8">
        <f>IFERROR(Datos!B4906,"")</f>
        <v/>
      </c>
      <c r="C4906" s="8">
        <f>IFERROR(Datos!C4906,"")</f>
        <v/>
      </c>
      <c r="D4906" s="28">
        <f>IFERROR(IF(AND(ISNUMBER(B4906),ISNUMBER(B4905),B4905&lt;&gt;0),B4906/B4905-1,""),"")</f>
        <v/>
      </c>
      <c r="E4906" s="28">
        <f>IFERROR(IF(AND(ISNUMBER(C4906),ISNUMBER(C4905),C4905&lt;&gt;0),C4906/C4905-1,""),"")</f>
        <v/>
      </c>
      <c r="F4906" s="28">
        <f>IFERROR(D4906-Dashboard!$B$4/252,"")</f>
        <v/>
      </c>
      <c r="G4906" s="28">
        <f>IFERROR(E4906-Dashboard!$B$4/252,"")</f>
        <v/>
      </c>
      <c r="H4906" s="8">
        <f>IFERROR(IF(ISNUMBER(B4906),MAX(B4906,IFERROR(H4905,B4906)),""),"")</f>
        <v/>
      </c>
      <c r="I4906" s="29">
        <f>IFERROR(IF(AND(ISNUMBER(B4906),ISNUMBER(H4906)),B4906/H4906-1,""),"")</f>
        <v/>
      </c>
      <c r="J4906" s="8">
        <f>IFERROR(IF(ISNUMBER(C4906),MAX(C4906,IFERROR(J4905,C4906)),""),"")</f>
        <v/>
      </c>
      <c r="K4906" s="29">
        <f>IFERROR(IF(AND(ISNUMBER(C4906),ISNUMBER(J4906)),C4906/J4906-1,""),"")</f>
        <v/>
      </c>
      <c r="L4906" s="28">
        <f>IFERROR(IF(AND(ISNUMBER(D4906),ISNUMBER(E4906)),D4906-E4906,""),"")</f>
        <v/>
      </c>
    </row>
    <row r="4907">
      <c r="A4907" s="7">
        <f>IFERROR(Datos!A4907,"")</f>
        <v/>
      </c>
      <c r="B4907" s="8">
        <f>IFERROR(Datos!B4907,"")</f>
        <v/>
      </c>
      <c r="C4907" s="8">
        <f>IFERROR(Datos!C4907,"")</f>
        <v/>
      </c>
      <c r="D4907" s="28">
        <f>IFERROR(IF(AND(ISNUMBER(B4907),ISNUMBER(B4906),B4906&lt;&gt;0),B4907/B4906-1,""),"")</f>
        <v/>
      </c>
      <c r="E4907" s="28">
        <f>IFERROR(IF(AND(ISNUMBER(C4907),ISNUMBER(C4906),C4906&lt;&gt;0),C4907/C4906-1,""),"")</f>
        <v/>
      </c>
      <c r="F4907" s="28">
        <f>IFERROR(D4907-Dashboard!$B$4/252,"")</f>
        <v/>
      </c>
      <c r="G4907" s="28">
        <f>IFERROR(E4907-Dashboard!$B$4/252,"")</f>
        <v/>
      </c>
      <c r="H4907" s="8">
        <f>IFERROR(IF(ISNUMBER(B4907),MAX(B4907,IFERROR(H4906,B4907)),""),"")</f>
        <v/>
      </c>
      <c r="I4907" s="29">
        <f>IFERROR(IF(AND(ISNUMBER(B4907),ISNUMBER(H4907)),B4907/H4907-1,""),"")</f>
        <v/>
      </c>
      <c r="J4907" s="8">
        <f>IFERROR(IF(ISNUMBER(C4907),MAX(C4907,IFERROR(J4906,C4907)),""),"")</f>
        <v/>
      </c>
      <c r="K4907" s="29">
        <f>IFERROR(IF(AND(ISNUMBER(C4907),ISNUMBER(J4907)),C4907/J4907-1,""),"")</f>
        <v/>
      </c>
      <c r="L4907" s="28">
        <f>IFERROR(IF(AND(ISNUMBER(D4907),ISNUMBER(E4907)),D4907-E4907,""),"")</f>
        <v/>
      </c>
    </row>
    <row r="4908">
      <c r="A4908" s="7">
        <f>IFERROR(Datos!A4908,"")</f>
        <v/>
      </c>
      <c r="B4908" s="8">
        <f>IFERROR(Datos!B4908,"")</f>
        <v/>
      </c>
      <c r="C4908" s="8">
        <f>IFERROR(Datos!C4908,"")</f>
        <v/>
      </c>
      <c r="D4908" s="28">
        <f>IFERROR(IF(AND(ISNUMBER(B4908),ISNUMBER(B4907),B4907&lt;&gt;0),B4908/B4907-1,""),"")</f>
        <v/>
      </c>
      <c r="E4908" s="28">
        <f>IFERROR(IF(AND(ISNUMBER(C4908),ISNUMBER(C4907),C4907&lt;&gt;0),C4908/C4907-1,""),"")</f>
        <v/>
      </c>
      <c r="F4908" s="28">
        <f>IFERROR(D4908-Dashboard!$B$4/252,"")</f>
        <v/>
      </c>
      <c r="G4908" s="28">
        <f>IFERROR(E4908-Dashboard!$B$4/252,"")</f>
        <v/>
      </c>
      <c r="H4908" s="8">
        <f>IFERROR(IF(ISNUMBER(B4908),MAX(B4908,IFERROR(H4907,B4908)),""),"")</f>
        <v/>
      </c>
      <c r="I4908" s="29">
        <f>IFERROR(IF(AND(ISNUMBER(B4908),ISNUMBER(H4908)),B4908/H4908-1,""),"")</f>
        <v/>
      </c>
      <c r="J4908" s="8">
        <f>IFERROR(IF(ISNUMBER(C4908),MAX(C4908,IFERROR(J4907,C4908)),""),"")</f>
        <v/>
      </c>
      <c r="K4908" s="29">
        <f>IFERROR(IF(AND(ISNUMBER(C4908),ISNUMBER(J4908)),C4908/J4908-1,""),"")</f>
        <v/>
      </c>
      <c r="L4908" s="28">
        <f>IFERROR(IF(AND(ISNUMBER(D4908),ISNUMBER(E4908)),D4908-E4908,""),"")</f>
        <v/>
      </c>
    </row>
    <row r="4909">
      <c r="A4909" s="7">
        <f>IFERROR(Datos!A4909,"")</f>
        <v/>
      </c>
      <c r="B4909" s="8">
        <f>IFERROR(Datos!B4909,"")</f>
        <v/>
      </c>
      <c r="C4909" s="8">
        <f>IFERROR(Datos!C4909,"")</f>
        <v/>
      </c>
      <c r="D4909" s="28">
        <f>IFERROR(IF(AND(ISNUMBER(B4909),ISNUMBER(B4908),B4908&lt;&gt;0),B4909/B4908-1,""),"")</f>
        <v/>
      </c>
      <c r="E4909" s="28">
        <f>IFERROR(IF(AND(ISNUMBER(C4909),ISNUMBER(C4908),C4908&lt;&gt;0),C4909/C4908-1,""),"")</f>
        <v/>
      </c>
      <c r="F4909" s="28">
        <f>IFERROR(D4909-Dashboard!$B$4/252,"")</f>
        <v/>
      </c>
      <c r="G4909" s="28">
        <f>IFERROR(E4909-Dashboard!$B$4/252,"")</f>
        <v/>
      </c>
      <c r="H4909" s="8">
        <f>IFERROR(IF(ISNUMBER(B4909),MAX(B4909,IFERROR(H4908,B4909)),""),"")</f>
        <v/>
      </c>
      <c r="I4909" s="29">
        <f>IFERROR(IF(AND(ISNUMBER(B4909),ISNUMBER(H4909)),B4909/H4909-1,""),"")</f>
        <v/>
      </c>
      <c r="J4909" s="8">
        <f>IFERROR(IF(ISNUMBER(C4909),MAX(C4909,IFERROR(J4908,C4909)),""),"")</f>
        <v/>
      </c>
      <c r="K4909" s="29">
        <f>IFERROR(IF(AND(ISNUMBER(C4909),ISNUMBER(J4909)),C4909/J4909-1,""),"")</f>
        <v/>
      </c>
      <c r="L4909" s="28">
        <f>IFERROR(IF(AND(ISNUMBER(D4909),ISNUMBER(E4909)),D4909-E4909,""),"")</f>
        <v/>
      </c>
    </row>
    <row r="4910">
      <c r="A4910" s="7">
        <f>IFERROR(Datos!A4910,"")</f>
        <v/>
      </c>
      <c r="B4910" s="8">
        <f>IFERROR(Datos!B4910,"")</f>
        <v/>
      </c>
      <c r="C4910" s="8">
        <f>IFERROR(Datos!C4910,"")</f>
        <v/>
      </c>
      <c r="D4910" s="28">
        <f>IFERROR(IF(AND(ISNUMBER(B4910),ISNUMBER(B4909),B4909&lt;&gt;0),B4910/B4909-1,""),"")</f>
        <v/>
      </c>
      <c r="E4910" s="28">
        <f>IFERROR(IF(AND(ISNUMBER(C4910),ISNUMBER(C4909),C4909&lt;&gt;0),C4910/C4909-1,""),"")</f>
        <v/>
      </c>
      <c r="F4910" s="28">
        <f>IFERROR(D4910-Dashboard!$B$4/252,"")</f>
        <v/>
      </c>
      <c r="G4910" s="28">
        <f>IFERROR(E4910-Dashboard!$B$4/252,"")</f>
        <v/>
      </c>
      <c r="H4910" s="8">
        <f>IFERROR(IF(ISNUMBER(B4910),MAX(B4910,IFERROR(H4909,B4910)),""),"")</f>
        <v/>
      </c>
      <c r="I4910" s="29">
        <f>IFERROR(IF(AND(ISNUMBER(B4910),ISNUMBER(H4910)),B4910/H4910-1,""),"")</f>
        <v/>
      </c>
      <c r="J4910" s="8">
        <f>IFERROR(IF(ISNUMBER(C4910),MAX(C4910,IFERROR(J4909,C4910)),""),"")</f>
        <v/>
      </c>
      <c r="K4910" s="29">
        <f>IFERROR(IF(AND(ISNUMBER(C4910),ISNUMBER(J4910)),C4910/J4910-1,""),"")</f>
        <v/>
      </c>
      <c r="L4910" s="28">
        <f>IFERROR(IF(AND(ISNUMBER(D4910),ISNUMBER(E4910)),D4910-E4910,""),"")</f>
        <v/>
      </c>
    </row>
    <row r="4911">
      <c r="A4911" s="7">
        <f>IFERROR(Datos!A4911,"")</f>
        <v/>
      </c>
      <c r="B4911" s="8">
        <f>IFERROR(Datos!B4911,"")</f>
        <v/>
      </c>
      <c r="C4911" s="8">
        <f>IFERROR(Datos!C4911,"")</f>
        <v/>
      </c>
      <c r="D4911" s="28">
        <f>IFERROR(IF(AND(ISNUMBER(B4911),ISNUMBER(B4910),B4910&lt;&gt;0),B4911/B4910-1,""),"")</f>
        <v/>
      </c>
      <c r="E4911" s="28">
        <f>IFERROR(IF(AND(ISNUMBER(C4911),ISNUMBER(C4910),C4910&lt;&gt;0),C4911/C4910-1,""),"")</f>
        <v/>
      </c>
      <c r="F4911" s="28">
        <f>IFERROR(D4911-Dashboard!$B$4/252,"")</f>
        <v/>
      </c>
      <c r="G4911" s="28">
        <f>IFERROR(E4911-Dashboard!$B$4/252,"")</f>
        <v/>
      </c>
      <c r="H4911" s="8">
        <f>IFERROR(IF(ISNUMBER(B4911),MAX(B4911,IFERROR(H4910,B4911)),""),"")</f>
        <v/>
      </c>
      <c r="I4911" s="29">
        <f>IFERROR(IF(AND(ISNUMBER(B4911),ISNUMBER(H4911)),B4911/H4911-1,""),"")</f>
        <v/>
      </c>
      <c r="J4911" s="8">
        <f>IFERROR(IF(ISNUMBER(C4911),MAX(C4911,IFERROR(J4910,C4911)),""),"")</f>
        <v/>
      </c>
      <c r="K4911" s="29">
        <f>IFERROR(IF(AND(ISNUMBER(C4911),ISNUMBER(J4911)),C4911/J4911-1,""),"")</f>
        <v/>
      </c>
      <c r="L4911" s="28">
        <f>IFERROR(IF(AND(ISNUMBER(D4911),ISNUMBER(E4911)),D4911-E4911,""),"")</f>
        <v/>
      </c>
    </row>
    <row r="4912">
      <c r="A4912" s="7">
        <f>IFERROR(Datos!A4912,"")</f>
        <v/>
      </c>
      <c r="B4912" s="8">
        <f>IFERROR(Datos!B4912,"")</f>
        <v/>
      </c>
      <c r="C4912" s="8">
        <f>IFERROR(Datos!C4912,"")</f>
        <v/>
      </c>
      <c r="D4912" s="28">
        <f>IFERROR(IF(AND(ISNUMBER(B4912),ISNUMBER(B4911),B4911&lt;&gt;0),B4912/B4911-1,""),"")</f>
        <v/>
      </c>
      <c r="E4912" s="28">
        <f>IFERROR(IF(AND(ISNUMBER(C4912),ISNUMBER(C4911),C4911&lt;&gt;0),C4912/C4911-1,""),"")</f>
        <v/>
      </c>
      <c r="F4912" s="28">
        <f>IFERROR(D4912-Dashboard!$B$4/252,"")</f>
        <v/>
      </c>
      <c r="G4912" s="28">
        <f>IFERROR(E4912-Dashboard!$B$4/252,"")</f>
        <v/>
      </c>
      <c r="H4912" s="8">
        <f>IFERROR(IF(ISNUMBER(B4912),MAX(B4912,IFERROR(H4911,B4912)),""),"")</f>
        <v/>
      </c>
      <c r="I4912" s="29">
        <f>IFERROR(IF(AND(ISNUMBER(B4912),ISNUMBER(H4912)),B4912/H4912-1,""),"")</f>
        <v/>
      </c>
      <c r="J4912" s="8">
        <f>IFERROR(IF(ISNUMBER(C4912),MAX(C4912,IFERROR(J4911,C4912)),""),"")</f>
        <v/>
      </c>
      <c r="K4912" s="29">
        <f>IFERROR(IF(AND(ISNUMBER(C4912),ISNUMBER(J4912)),C4912/J4912-1,""),"")</f>
        <v/>
      </c>
      <c r="L4912" s="28">
        <f>IFERROR(IF(AND(ISNUMBER(D4912),ISNUMBER(E4912)),D4912-E4912,""),"")</f>
        <v/>
      </c>
    </row>
    <row r="4913">
      <c r="A4913" s="7">
        <f>IFERROR(Datos!A4913,"")</f>
        <v/>
      </c>
      <c r="B4913" s="8">
        <f>IFERROR(Datos!B4913,"")</f>
        <v/>
      </c>
      <c r="C4913" s="8">
        <f>IFERROR(Datos!C4913,"")</f>
        <v/>
      </c>
      <c r="D4913" s="28">
        <f>IFERROR(IF(AND(ISNUMBER(B4913),ISNUMBER(B4912),B4912&lt;&gt;0),B4913/B4912-1,""),"")</f>
        <v/>
      </c>
      <c r="E4913" s="28">
        <f>IFERROR(IF(AND(ISNUMBER(C4913),ISNUMBER(C4912),C4912&lt;&gt;0),C4913/C4912-1,""),"")</f>
        <v/>
      </c>
      <c r="F4913" s="28">
        <f>IFERROR(D4913-Dashboard!$B$4/252,"")</f>
        <v/>
      </c>
      <c r="G4913" s="28">
        <f>IFERROR(E4913-Dashboard!$B$4/252,"")</f>
        <v/>
      </c>
      <c r="H4913" s="8">
        <f>IFERROR(IF(ISNUMBER(B4913),MAX(B4913,IFERROR(H4912,B4913)),""),"")</f>
        <v/>
      </c>
      <c r="I4913" s="29">
        <f>IFERROR(IF(AND(ISNUMBER(B4913),ISNUMBER(H4913)),B4913/H4913-1,""),"")</f>
        <v/>
      </c>
      <c r="J4913" s="8">
        <f>IFERROR(IF(ISNUMBER(C4913),MAX(C4913,IFERROR(J4912,C4913)),""),"")</f>
        <v/>
      </c>
      <c r="K4913" s="29">
        <f>IFERROR(IF(AND(ISNUMBER(C4913),ISNUMBER(J4913)),C4913/J4913-1,""),"")</f>
        <v/>
      </c>
      <c r="L4913" s="28">
        <f>IFERROR(IF(AND(ISNUMBER(D4913),ISNUMBER(E4913)),D4913-E4913,""),"")</f>
        <v/>
      </c>
    </row>
    <row r="4914">
      <c r="A4914" s="7">
        <f>IFERROR(Datos!A4914,"")</f>
        <v/>
      </c>
      <c r="B4914" s="8">
        <f>IFERROR(Datos!B4914,"")</f>
        <v/>
      </c>
      <c r="C4914" s="8">
        <f>IFERROR(Datos!C4914,"")</f>
        <v/>
      </c>
      <c r="D4914" s="28">
        <f>IFERROR(IF(AND(ISNUMBER(B4914),ISNUMBER(B4913),B4913&lt;&gt;0),B4914/B4913-1,""),"")</f>
        <v/>
      </c>
      <c r="E4914" s="28">
        <f>IFERROR(IF(AND(ISNUMBER(C4914),ISNUMBER(C4913),C4913&lt;&gt;0),C4914/C4913-1,""),"")</f>
        <v/>
      </c>
      <c r="F4914" s="28">
        <f>IFERROR(D4914-Dashboard!$B$4/252,"")</f>
        <v/>
      </c>
      <c r="G4914" s="28">
        <f>IFERROR(E4914-Dashboard!$B$4/252,"")</f>
        <v/>
      </c>
      <c r="H4914" s="8">
        <f>IFERROR(IF(ISNUMBER(B4914),MAX(B4914,IFERROR(H4913,B4914)),""),"")</f>
        <v/>
      </c>
      <c r="I4914" s="29">
        <f>IFERROR(IF(AND(ISNUMBER(B4914),ISNUMBER(H4914)),B4914/H4914-1,""),"")</f>
        <v/>
      </c>
      <c r="J4914" s="8">
        <f>IFERROR(IF(ISNUMBER(C4914),MAX(C4914,IFERROR(J4913,C4914)),""),"")</f>
        <v/>
      </c>
      <c r="K4914" s="29">
        <f>IFERROR(IF(AND(ISNUMBER(C4914),ISNUMBER(J4914)),C4914/J4914-1,""),"")</f>
        <v/>
      </c>
      <c r="L4914" s="28">
        <f>IFERROR(IF(AND(ISNUMBER(D4914),ISNUMBER(E4914)),D4914-E4914,""),"")</f>
        <v/>
      </c>
    </row>
    <row r="4915">
      <c r="A4915" s="7">
        <f>IFERROR(Datos!A4915,"")</f>
        <v/>
      </c>
      <c r="B4915" s="8">
        <f>IFERROR(Datos!B4915,"")</f>
        <v/>
      </c>
      <c r="C4915" s="8">
        <f>IFERROR(Datos!C4915,"")</f>
        <v/>
      </c>
      <c r="D4915" s="28">
        <f>IFERROR(IF(AND(ISNUMBER(B4915),ISNUMBER(B4914),B4914&lt;&gt;0),B4915/B4914-1,""),"")</f>
        <v/>
      </c>
      <c r="E4915" s="28">
        <f>IFERROR(IF(AND(ISNUMBER(C4915),ISNUMBER(C4914),C4914&lt;&gt;0),C4915/C4914-1,""),"")</f>
        <v/>
      </c>
      <c r="F4915" s="28">
        <f>IFERROR(D4915-Dashboard!$B$4/252,"")</f>
        <v/>
      </c>
      <c r="G4915" s="28">
        <f>IFERROR(E4915-Dashboard!$B$4/252,"")</f>
        <v/>
      </c>
      <c r="H4915" s="8">
        <f>IFERROR(IF(ISNUMBER(B4915),MAX(B4915,IFERROR(H4914,B4915)),""),"")</f>
        <v/>
      </c>
      <c r="I4915" s="29">
        <f>IFERROR(IF(AND(ISNUMBER(B4915),ISNUMBER(H4915)),B4915/H4915-1,""),"")</f>
        <v/>
      </c>
      <c r="J4915" s="8">
        <f>IFERROR(IF(ISNUMBER(C4915),MAX(C4915,IFERROR(J4914,C4915)),""),"")</f>
        <v/>
      </c>
      <c r="K4915" s="29">
        <f>IFERROR(IF(AND(ISNUMBER(C4915),ISNUMBER(J4915)),C4915/J4915-1,""),"")</f>
        <v/>
      </c>
      <c r="L4915" s="28">
        <f>IFERROR(IF(AND(ISNUMBER(D4915),ISNUMBER(E4915)),D4915-E4915,""),"")</f>
        <v/>
      </c>
    </row>
    <row r="4916">
      <c r="A4916" s="7">
        <f>IFERROR(Datos!A4916,"")</f>
        <v/>
      </c>
      <c r="B4916" s="8">
        <f>IFERROR(Datos!B4916,"")</f>
        <v/>
      </c>
      <c r="C4916" s="8">
        <f>IFERROR(Datos!C4916,"")</f>
        <v/>
      </c>
      <c r="D4916" s="28">
        <f>IFERROR(IF(AND(ISNUMBER(B4916),ISNUMBER(B4915),B4915&lt;&gt;0),B4916/B4915-1,""),"")</f>
        <v/>
      </c>
      <c r="E4916" s="28">
        <f>IFERROR(IF(AND(ISNUMBER(C4916),ISNUMBER(C4915),C4915&lt;&gt;0),C4916/C4915-1,""),"")</f>
        <v/>
      </c>
      <c r="F4916" s="28">
        <f>IFERROR(D4916-Dashboard!$B$4/252,"")</f>
        <v/>
      </c>
      <c r="G4916" s="28">
        <f>IFERROR(E4916-Dashboard!$B$4/252,"")</f>
        <v/>
      </c>
      <c r="H4916" s="8">
        <f>IFERROR(IF(ISNUMBER(B4916),MAX(B4916,IFERROR(H4915,B4916)),""),"")</f>
        <v/>
      </c>
      <c r="I4916" s="29">
        <f>IFERROR(IF(AND(ISNUMBER(B4916),ISNUMBER(H4916)),B4916/H4916-1,""),"")</f>
        <v/>
      </c>
      <c r="J4916" s="8">
        <f>IFERROR(IF(ISNUMBER(C4916),MAX(C4916,IFERROR(J4915,C4916)),""),"")</f>
        <v/>
      </c>
      <c r="K4916" s="29">
        <f>IFERROR(IF(AND(ISNUMBER(C4916),ISNUMBER(J4916)),C4916/J4916-1,""),"")</f>
        <v/>
      </c>
      <c r="L4916" s="28">
        <f>IFERROR(IF(AND(ISNUMBER(D4916),ISNUMBER(E4916)),D4916-E4916,""),"")</f>
        <v/>
      </c>
    </row>
    <row r="4917">
      <c r="A4917" s="7">
        <f>IFERROR(Datos!A4917,"")</f>
        <v/>
      </c>
      <c r="B4917" s="8">
        <f>IFERROR(Datos!B4917,"")</f>
        <v/>
      </c>
      <c r="C4917" s="8">
        <f>IFERROR(Datos!C4917,"")</f>
        <v/>
      </c>
      <c r="D4917" s="28">
        <f>IFERROR(IF(AND(ISNUMBER(B4917),ISNUMBER(B4916),B4916&lt;&gt;0),B4917/B4916-1,""),"")</f>
        <v/>
      </c>
      <c r="E4917" s="28">
        <f>IFERROR(IF(AND(ISNUMBER(C4917),ISNUMBER(C4916),C4916&lt;&gt;0),C4917/C4916-1,""),"")</f>
        <v/>
      </c>
      <c r="F4917" s="28">
        <f>IFERROR(D4917-Dashboard!$B$4/252,"")</f>
        <v/>
      </c>
      <c r="G4917" s="28">
        <f>IFERROR(E4917-Dashboard!$B$4/252,"")</f>
        <v/>
      </c>
      <c r="H4917" s="8">
        <f>IFERROR(IF(ISNUMBER(B4917),MAX(B4917,IFERROR(H4916,B4917)),""),"")</f>
        <v/>
      </c>
      <c r="I4917" s="29">
        <f>IFERROR(IF(AND(ISNUMBER(B4917),ISNUMBER(H4917)),B4917/H4917-1,""),"")</f>
        <v/>
      </c>
      <c r="J4917" s="8">
        <f>IFERROR(IF(ISNUMBER(C4917),MAX(C4917,IFERROR(J4916,C4917)),""),"")</f>
        <v/>
      </c>
      <c r="K4917" s="29">
        <f>IFERROR(IF(AND(ISNUMBER(C4917),ISNUMBER(J4917)),C4917/J4917-1,""),"")</f>
        <v/>
      </c>
      <c r="L4917" s="28">
        <f>IFERROR(IF(AND(ISNUMBER(D4917),ISNUMBER(E4917)),D4917-E4917,""),"")</f>
        <v/>
      </c>
    </row>
    <row r="4918">
      <c r="A4918" s="7">
        <f>IFERROR(Datos!A4918,"")</f>
        <v/>
      </c>
      <c r="B4918" s="8">
        <f>IFERROR(Datos!B4918,"")</f>
        <v/>
      </c>
      <c r="C4918" s="8">
        <f>IFERROR(Datos!C4918,"")</f>
        <v/>
      </c>
      <c r="D4918" s="28">
        <f>IFERROR(IF(AND(ISNUMBER(B4918),ISNUMBER(B4917),B4917&lt;&gt;0),B4918/B4917-1,""),"")</f>
        <v/>
      </c>
      <c r="E4918" s="28">
        <f>IFERROR(IF(AND(ISNUMBER(C4918),ISNUMBER(C4917),C4917&lt;&gt;0),C4918/C4917-1,""),"")</f>
        <v/>
      </c>
      <c r="F4918" s="28">
        <f>IFERROR(D4918-Dashboard!$B$4/252,"")</f>
        <v/>
      </c>
      <c r="G4918" s="28">
        <f>IFERROR(E4918-Dashboard!$B$4/252,"")</f>
        <v/>
      </c>
      <c r="H4918" s="8">
        <f>IFERROR(IF(ISNUMBER(B4918),MAX(B4918,IFERROR(H4917,B4918)),""),"")</f>
        <v/>
      </c>
      <c r="I4918" s="29">
        <f>IFERROR(IF(AND(ISNUMBER(B4918),ISNUMBER(H4918)),B4918/H4918-1,""),"")</f>
        <v/>
      </c>
      <c r="J4918" s="8">
        <f>IFERROR(IF(ISNUMBER(C4918),MAX(C4918,IFERROR(J4917,C4918)),""),"")</f>
        <v/>
      </c>
      <c r="K4918" s="29">
        <f>IFERROR(IF(AND(ISNUMBER(C4918),ISNUMBER(J4918)),C4918/J4918-1,""),"")</f>
        <v/>
      </c>
      <c r="L4918" s="28">
        <f>IFERROR(IF(AND(ISNUMBER(D4918),ISNUMBER(E4918)),D4918-E4918,""),"")</f>
        <v/>
      </c>
    </row>
    <row r="4919">
      <c r="A4919" s="7">
        <f>IFERROR(Datos!A4919,"")</f>
        <v/>
      </c>
      <c r="B4919" s="8">
        <f>IFERROR(Datos!B4919,"")</f>
        <v/>
      </c>
      <c r="C4919" s="8">
        <f>IFERROR(Datos!C4919,"")</f>
        <v/>
      </c>
      <c r="D4919" s="28">
        <f>IFERROR(IF(AND(ISNUMBER(B4919),ISNUMBER(B4918),B4918&lt;&gt;0),B4919/B4918-1,""),"")</f>
        <v/>
      </c>
      <c r="E4919" s="28">
        <f>IFERROR(IF(AND(ISNUMBER(C4919),ISNUMBER(C4918),C4918&lt;&gt;0),C4919/C4918-1,""),"")</f>
        <v/>
      </c>
      <c r="F4919" s="28">
        <f>IFERROR(D4919-Dashboard!$B$4/252,"")</f>
        <v/>
      </c>
      <c r="G4919" s="28">
        <f>IFERROR(E4919-Dashboard!$B$4/252,"")</f>
        <v/>
      </c>
      <c r="H4919" s="8">
        <f>IFERROR(IF(ISNUMBER(B4919),MAX(B4919,IFERROR(H4918,B4919)),""),"")</f>
        <v/>
      </c>
      <c r="I4919" s="29">
        <f>IFERROR(IF(AND(ISNUMBER(B4919),ISNUMBER(H4919)),B4919/H4919-1,""),"")</f>
        <v/>
      </c>
      <c r="J4919" s="8">
        <f>IFERROR(IF(ISNUMBER(C4919),MAX(C4919,IFERROR(J4918,C4919)),""),"")</f>
        <v/>
      </c>
      <c r="K4919" s="29">
        <f>IFERROR(IF(AND(ISNUMBER(C4919),ISNUMBER(J4919)),C4919/J4919-1,""),"")</f>
        <v/>
      </c>
      <c r="L4919" s="28">
        <f>IFERROR(IF(AND(ISNUMBER(D4919),ISNUMBER(E4919)),D4919-E4919,""),"")</f>
        <v/>
      </c>
    </row>
    <row r="4920">
      <c r="A4920" s="7">
        <f>IFERROR(Datos!A4920,"")</f>
        <v/>
      </c>
      <c r="B4920" s="8">
        <f>IFERROR(Datos!B4920,"")</f>
        <v/>
      </c>
      <c r="C4920" s="8">
        <f>IFERROR(Datos!C4920,"")</f>
        <v/>
      </c>
      <c r="D4920" s="28">
        <f>IFERROR(IF(AND(ISNUMBER(B4920),ISNUMBER(B4919),B4919&lt;&gt;0),B4920/B4919-1,""),"")</f>
        <v/>
      </c>
      <c r="E4920" s="28">
        <f>IFERROR(IF(AND(ISNUMBER(C4920),ISNUMBER(C4919),C4919&lt;&gt;0),C4920/C4919-1,""),"")</f>
        <v/>
      </c>
      <c r="F4920" s="28">
        <f>IFERROR(D4920-Dashboard!$B$4/252,"")</f>
        <v/>
      </c>
      <c r="G4920" s="28">
        <f>IFERROR(E4920-Dashboard!$B$4/252,"")</f>
        <v/>
      </c>
      <c r="H4920" s="8">
        <f>IFERROR(IF(ISNUMBER(B4920),MAX(B4920,IFERROR(H4919,B4920)),""),"")</f>
        <v/>
      </c>
      <c r="I4920" s="29">
        <f>IFERROR(IF(AND(ISNUMBER(B4920),ISNUMBER(H4920)),B4920/H4920-1,""),"")</f>
        <v/>
      </c>
      <c r="J4920" s="8">
        <f>IFERROR(IF(ISNUMBER(C4920),MAX(C4920,IFERROR(J4919,C4920)),""),"")</f>
        <v/>
      </c>
      <c r="K4920" s="29">
        <f>IFERROR(IF(AND(ISNUMBER(C4920),ISNUMBER(J4920)),C4920/J4920-1,""),"")</f>
        <v/>
      </c>
      <c r="L4920" s="28">
        <f>IFERROR(IF(AND(ISNUMBER(D4920),ISNUMBER(E4920)),D4920-E4920,""),"")</f>
        <v/>
      </c>
    </row>
    <row r="4921">
      <c r="A4921" s="7">
        <f>IFERROR(Datos!A4921,"")</f>
        <v/>
      </c>
      <c r="B4921" s="8">
        <f>IFERROR(Datos!B4921,"")</f>
        <v/>
      </c>
      <c r="C4921" s="8">
        <f>IFERROR(Datos!C4921,"")</f>
        <v/>
      </c>
      <c r="D4921" s="28">
        <f>IFERROR(IF(AND(ISNUMBER(B4921),ISNUMBER(B4920),B4920&lt;&gt;0),B4921/B4920-1,""),"")</f>
        <v/>
      </c>
      <c r="E4921" s="28">
        <f>IFERROR(IF(AND(ISNUMBER(C4921),ISNUMBER(C4920),C4920&lt;&gt;0),C4921/C4920-1,""),"")</f>
        <v/>
      </c>
      <c r="F4921" s="28">
        <f>IFERROR(D4921-Dashboard!$B$4/252,"")</f>
        <v/>
      </c>
      <c r="G4921" s="28">
        <f>IFERROR(E4921-Dashboard!$B$4/252,"")</f>
        <v/>
      </c>
      <c r="H4921" s="8">
        <f>IFERROR(IF(ISNUMBER(B4921),MAX(B4921,IFERROR(H4920,B4921)),""),"")</f>
        <v/>
      </c>
      <c r="I4921" s="29">
        <f>IFERROR(IF(AND(ISNUMBER(B4921),ISNUMBER(H4921)),B4921/H4921-1,""),"")</f>
        <v/>
      </c>
      <c r="J4921" s="8">
        <f>IFERROR(IF(ISNUMBER(C4921),MAX(C4921,IFERROR(J4920,C4921)),""),"")</f>
        <v/>
      </c>
      <c r="K4921" s="29">
        <f>IFERROR(IF(AND(ISNUMBER(C4921),ISNUMBER(J4921)),C4921/J4921-1,""),"")</f>
        <v/>
      </c>
      <c r="L4921" s="28">
        <f>IFERROR(IF(AND(ISNUMBER(D4921),ISNUMBER(E4921)),D4921-E4921,""),"")</f>
        <v/>
      </c>
    </row>
    <row r="4922">
      <c r="A4922" s="7">
        <f>IFERROR(Datos!A4922,"")</f>
        <v/>
      </c>
      <c r="B4922" s="8">
        <f>IFERROR(Datos!B4922,"")</f>
        <v/>
      </c>
      <c r="C4922" s="8">
        <f>IFERROR(Datos!C4922,"")</f>
        <v/>
      </c>
      <c r="D4922" s="28">
        <f>IFERROR(IF(AND(ISNUMBER(B4922),ISNUMBER(B4921),B4921&lt;&gt;0),B4922/B4921-1,""),"")</f>
        <v/>
      </c>
      <c r="E4922" s="28">
        <f>IFERROR(IF(AND(ISNUMBER(C4922),ISNUMBER(C4921),C4921&lt;&gt;0),C4922/C4921-1,""),"")</f>
        <v/>
      </c>
      <c r="F4922" s="28">
        <f>IFERROR(D4922-Dashboard!$B$4/252,"")</f>
        <v/>
      </c>
      <c r="G4922" s="28">
        <f>IFERROR(E4922-Dashboard!$B$4/252,"")</f>
        <v/>
      </c>
      <c r="H4922" s="8">
        <f>IFERROR(IF(ISNUMBER(B4922),MAX(B4922,IFERROR(H4921,B4922)),""),"")</f>
        <v/>
      </c>
      <c r="I4922" s="29">
        <f>IFERROR(IF(AND(ISNUMBER(B4922),ISNUMBER(H4922)),B4922/H4922-1,""),"")</f>
        <v/>
      </c>
      <c r="J4922" s="8">
        <f>IFERROR(IF(ISNUMBER(C4922),MAX(C4922,IFERROR(J4921,C4922)),""),"")</f>
        <v/>
      </c>
      <c r="K4922" s="29">
        <f>IFERROR(IF(AND(ISNUMBER(C4922),ISNUMBER(J4922)),C4922/J4922-1,""),"")</f>
        <v/>
      </c>
      <c r="L4922" s="28">
        <f>IFERROR(IF(AND(ISNUMBER(D4922),ISNUMBER(E4922)),D4922-E4922,""),"")</f>
        <v/>
      </c>
    </row>
    <row r="4923">
      <c r="A4923" s="7">
        <f>IFERROR(Datos!A4923,"")</f>
        <v/>
      </c>
      <c r="B4923" s="8">
        <f>IFERROR(Datos!B4923,"")</f>
        <v/>
      </c>
      <c r="C4923" s="8">
        <f>IFERROR(Datos!C4923,"")</f>
        <v/>
      </c>
      <c r="D4923" s="28">
        <f>IFERROR(IF(AND(ISNUMBER(B4923),ISNUMBER(B4922),B4922&lt;&gt;0),B4923/B4922-1,""),"")</f>
        <v/>
      </c>
      <c r="E4923" s="28">
        <f>IFERROR(IF(AND(ISNUMBER(C4923),ISNUMBER(C4922),C4922&lt;&gt;0),C4923/C4922-1,""),"")</f>
        <v/>
      </c>
      <c r="F4923" s="28">
        <f>IFERROR(D4923-Dashboard!$B$4/252,"")</f>
        <v/>
      </c>
      <c r="G4923" s="28">
        <f>IFERROR(E4923-Dashboard!$B$4/252,"")</f>
        <v/>
      </c>
      <c r="H4923" s="8">
        <f>IFERROR(IF(ISNUMBER(B4923),MAX(B4923,IFERROR(H4922,B4923)),""),"")</f>
        <v/>
      </c>
      <c r="I4923" s="29">
        <f>IFERROR(IF(AND(ISNUMBER(B4923),ISNUMBER(H4923)),B4923/H4923-1,""),"")</f>
        <v/>
      </c>
      <c r="J4923" s="8">
        <f>IFERROR(IF(ISNUMBER(C4923),MAX(C4923,IFERROR(J4922,C4923)),""),"")</f>
        <v/>
      </c>
      <c r="K4923" s="29">
        <f>IFERROR(IF(AND(ISNUMBER(C4923),ISNUMBER(J4923)),C4923/J4923-1,""),"")</f>
        <v/>
      </c>
      <c r="L4923" s="28">
        <f>IFERROR(IF(AND(ISNUMBER(D4923),ISNUMBER(E4923)),D4923-E4923,""),"")</f>
        <v/>
      </c>
    </row>
    <row r="4924">
      <c r="A4924" s="7">
        <f>IFERROR(Datos!A4924,"")</f>
        <v/>
      </c>
      <c r="B4924" s="8">
        <f>IFERROR(Datos!B4924,"")</f>
        <v/>
      </c>
      <c r="C4924" s="8">
        <f>IFERROR(Datos!C4924,"")</f>
        <v/>
      </c>
      <c r="D4924" s="28">
        <f>IFERROR(IF(AND(ISNUMBER(B4924),ISNUMBER(B4923),B4923&lt;&gt;0),B4924/B4923-1,""),"")</f>
        <v/>
      </c>
      <c r="E4924" s="28">
        <f>IFERROR(IF(AND(ISNUMBER(C4924),ISNUMBER(C4923),C4923&lt;&gt;0),C4924/C4923-1,""),"")</f>
        <v/>
      </c>
      <c r="F4924" s="28">
        <f>IFERROR(D4924-Dashboard!$B$4/252,"")</f>
        <v/>
      </c>
      <c r="G4924" s="28">
        <f>IFERROR(E4924-Dashboard!$B$4/252,"")</f>
        <v/>
      </c>
      <c r="H4924" s="8">
        <f>IFERROR(IF(ISNUMBER(B4924),MAX(B4924,IFERROR(H4923,B4924)),""),"")</f>
        <v/>
      </c>
      <c r="I4924" s="29">
        <f>IFERROR(IF(AND(ISNUMBER(B4924),ISNUMBER(H4924)),B4924/H4924-1,""),"")</f>
        <v/>
      </c>
      <c r="J4924" s="8">
        <f>IFERROR(IF(ISNUMBER(C4924),MAX(C4924,IFERROR(J4923,C4924)),""),"")</f>
        <v/>
      </c>
      <c r="K4924" s="29">
        <f>IFERROR(IF(AND(ISNUMBER(C4924),ISNUMBER(J4924)),C4924/J4924-1,""),"")</f>
        <v/>
      </c>
      <c r="L4924" s="28">
        <f>IFERROR(IF(AND(ISNUMBER(D4924),ISNUMBER(E4924)),D4924-E4924,""),"")</f>
        <v/>
      </c>
    </row>
    <row r="4925">
      <c r="A4925" s="7">
        <f>IFERROR(Datos!A4925,"")</f>
        <v/>
      </c>
      <c r="B4925" s="8">
        <f>IFERROR(Datos!B4925,"")</f>
        <v/>
      </c>
      <c r="C4925" s="8">
        <f>IFERROR(Datos!C4925,"")</f>
        <v/>
      </c>
      <c r="D4925" s="28">
        <f>IFERROR(IF(AND(ISNUMBER(B4925),ISNUMBER(B4924),B4924&lt;&gt;0),B4925/B4924-1,""),"")</f>
        <v/>
      </c>
      <c r="E4925" s="28">
        <f>IFERROR(IF(AND(ISNUMBER(C4925),ISNUMBER(C4924),C4924&lt;&gt;0),C4925/C4924-1,""),"")</f>
        <v/>
      </c>
      <c r="F4925" s="28">
        <f>IFERROR(D4925-Dashboard!$B$4/252,"")</f>
        <v/>
      </c>
      <c r="G4925" s="28">
        <f>IFERROR(E4925-Dashboard!$B$4/252,"")</f>
        <v/>
      </c>
      <c r="H4925" s="8">
        <f>IFERROR(IF(ISNUMBER(B4925),MAX(B4925,IFERROR(H4924,B4925)),""),"")</f>
        <v/>
      </c>
      <c r="I4925" s="29">
        <f>IFERROR(IF(AND(ISNUMBER(B4925),ISNUMBER(H4925)),B4925/H4925-1,""),"")</f>
        <v/>
      </c>
      <c r="J4925" s="8">
        <f>IFERROR(IF(ISNUMBER(C4925),MAX(C4925,IFERROR(J4924,C4925)),""),"")</f>
        <v/>
      </c>
      <c r="K4925" s="29">
        <f>IFERROR(IF(AND(ISNUMBER(C4925),ISNUMBER(J4925)),C4925/J4925-1,""),"")</f>
        <v/>
      </c>
      <c r="L4925" s="28">
        <f>IFERROR(IF(AND(ISNUMBER(D4925),ISNUMBER(E4925)),D4925-E4925,""),"")</f>
        <v/>
      </c>
    </row>
    <row r="4926">
      <c r="A4926" s="7">
        <f>IFERROR(Datos!A4926,"")</f>
        <v/>
      </c>
      <c r="B4926" s="8">
        <f>IFERROR(Datos!B4926,"")</f>
        <v/>
      </c>
      <c r="C4926" s="8">
        <f>IFERROR(Datos!C4926,"")</f>
        <v/>
      </c>
      <c r="D4926" s="28">
        <f>IFERROR(IF(AND(ISNUMBER(B4926),ISNUMBER(B4925),B4925&lt;&gt;0),B4926/B4925-1,""),"")</f>
        <v/>
      </c>
      <c r="E4926" s="28">
        <f>IFERROR(IF(AND(ISNUMBER(C4926),ISNUMBER(C4925),C4925&lt;&gt;0),C4926/C4925-1,""),"")</f>
        <v/>
      </c>
      <c r="F4926" s="28">
        <f>IFERROR(D4926-Dashboard!$B$4/252,"")</f>
        <v/>
      </c>
      <c r="G4926" s="28">
        <f>IFERROR(E4926-Dashboard!$B$4/252,"")</f>
        <v/>
      </c>
      <c r="H4926" s="8">
        <f>IFERROR(IF(ISNUMBER(B4926),MAX(B4926,IFERROR(H4925,B4926)),""),"")</f>
        <v/>
      </c>
      <c r="I4926" s="29">
        <f>IFERROR(IF(AND(ISNUMBER(B4926),ISNUMBER(H4926)),B4926/H4926-1,""),"")</f>
        <v/>
      </c>
      <c r="J4926" s="8">
        <f>IFERROR(IF(ISNUMBER(C4926),MAX(C4926,IFERROR(J4925,C4926)),""),"")</f>
        <v/>
      </c>
      <c r="K4926" s="29">
        <f>IFERROR(IF(AND(ISNUMBER(C4926),ISNUMBER(J4926)),C4926/J4926-1,""),"")</f>
        <v/>
      </c>
      <c r="L4926" s="28">
        <f>IFERROR(IF(AND(ISNUMBER(D4926),ISNUMBER(E4926)),D4926-E4926,""),"")</f>
        <v/>
      </c>
    </row>
    <row r="4927">
      <c r="A4927" s="7">
        <f>IFERROR(Datos!A4927,"")</f>
        <v/>
      </c>
      <c r="B4927" s="8">
        <f>IFERROR(Datos!B4927,"")</f>
        <v/>
      </c>
      <c r="C4927" s="8">
        <f>IFERROR(Datos!C4927,"")</f>
        <v/>
      </c>
      <c r="D4927" s="28">
        <f>IFERROR(IF(AND(ISNUMBER(B4927),ISNUMBER(B4926),B4926&lt;&gt;0),B4927/B4926-1,""),"")</f>
        <v/>
      </c>
      <c r="E4927" s="28">
        <f>IFERROR(IF(AND(ISNUMBER(C4927),ISNUMBER(C4926),C4926&lt;&gt;0),C4927/C4926-1,""),"")</f>
        <v/>
      </c>
      <c r="F4927" s="28">
        <f>IFERROR(D4927-Dashboard!$B$4/252,"")</f>
        <v/>
      </c>
      <c r="G4927" s="28">
        <f>IFERROR(E4927-Dashboard!$B$4/252,"")</f>
        <v/>
      </c>
      <c r="H4927" s="8">
        <f>IFERROR(IF(ISNUMBER(B4927),MAX(B4927,IFERROR(H4926,B4927)),""),"")</f>
        <v/>
      </c>
      <c r="I4927" s="29">
        <f>IFERROR(IF(AND(ISNUMBER(B4927),ISNUMBER(H4927)),B4927/H4927-1,""),"")</f>
        <v/>
      </c>
      <c r="J4927" s="8">
        <f>IFERROR(IF(ISNUMBER(C4927),MAX(C4927,IFERROR(J4926,C4927)),""),"")</f>
        <v/>
      </c>
      <c r="K4927" s="29">
        <f>IFERROR(IF(AND(ISNUMBER(C4927),ISNUMBER(J4927)),C4927/J4927-1,""),"")</f>
        <v/>
      </c>
      <c r="L4927" s="28">
        <f>IFERROR(IF(AND(ISNUMBER(D4927),ISNUMBER(E4927)),D4927-E4927,""),"")</f>
        <v/>
      </c>
    </row>
    <row r="4928">
      <c r="A4928" s="7">
        <f>IFERROR(Datos!A4928,"")</f>
        <v/>
      </c>
      <c r="B4928" s="8">
        <f>IFERROR(Datos!B4928,"")</f>
        <v/>
      </c>
      <c r="C4928" s="8">
        <f>IFERROR(Datos!C4928,"")</f>
        <v/>
      </c>
      <c r="D4928" s="28">
        <f>IFERROR(IF(AND(ISNUMBER(B4928),ISNUMBER(B4927),B4927&lt;&gt;0),B4928/B4927-1,""),"")</f>
        <v/>
      </c>
      <c r="E4928" s="28">
        <f>IFERROR(IF(AND(ISNUMBER(C4928),ISNUMBER(C4927),C4927&lt;&gt;0),C4928/C4927-1,""),"")</f>
        <v/>
      </c>
      <c r="F4928" s="28">
        <f>IFERROR(D4928-Dashboard!$B$4/252,"")</f>
        <v/>
      </c>
      <c r="G4928" s="28">
        <f>IFERROR(E4928-Dashboard!$B$4/252,"")</f>
        <v/>
      </c>
      <c r="H4928" s="8">
        <f>IFERROR(IF(ISNUMBER(B4928),MAX(B4928,IFERROR(H4927,B4928)),""),"")</f>
        <v/>
      </c>
      <c r="I4928" s="29">
        <f>IFERROR(IF(AND(ISNUMBER(B4928),ISNUMBER(H4928)),B4928/H4928-1,""),"")</f>
        <v/>
      </c>
      <c r="J4928" s="8">
        <f>IFERROR(IF(ISNUMBER(C4928),MAX(C4928,IFERROR(J4927,C4928)),""),"")</f>
        <v/>
      </c>
      <c r="K4928" s="29">
        <f>IFERROR(IF(AND(ISNUMBER(C4928),ISNUMBER(J4928)),C4928/J4928-1,""),"")</f>
        <v/>
      </c>
      <c r="L4928" s="28">
        <f>IFERROR(IF(AND(ISNUMBER(D4928),ISNUMBER(E4928)),D4928-E4928,""),"")</f>
        <v/>
      </c>
    </row>
    <row r="4929">
      <c r="A4929" s="7">
        <f>IFERROR(Datos!A4929,"")</f>
        <v/>
      </c>
      <c r="B4929" s="8">
        <f>IFERROR(Datos!B4929,"")</f>
        <v/>
      </c>
      <c r="C4929" s="8">
        <f>IFERROR(Datos!C4929,"")</f>
        <v/>
      </c>
      <c r="D4929" s="28">
        <f>IFERROR(IF(AND(ISNUMBER(B4929),ISNUMBER(B4928),B4928&lt;&gt;0),B4929/B4928-1,""),"")</f>
        <v/>
      </c>
      <c r="E4929" s="28">
        <f>IFERROR(IF(AND(ISNUMBER(C4929),ISNUMBER(C4928),C4928&lt;&gt;0),C4929/C4928-1,""),"")</f>
        <v/>
      </c>
      <c r="F4929" s="28">
        <f>IFERROR(D4929-Dashboard!$B$4/252,"")</f>
        <v/>
      </c>
      <c r="G4929" s="28">
        <f>IFERROR(E4929-Dashboard!$B$4/252,"")</f>
        <v/>
      </c>
      <c r="H4929" s="8">
        <f>IFERROR(IF(ISNUMBER(B4929),MAX(B4929,IFERROR(H4928,B4929)),""),"")</f>
        <v/>
      </c>
      <c r="I4929" s="29">
        <f>IFERROR(IF(AND(ISNUMBER(B4929),ISNUMBER(H4929)),B4929/H4929-1,""),"")</f>
        <v/>
      </c>
      <c r="J4929" s="8">
        <f>IFERROR(IF(ISNUMBER(C4929),MAX(C4929,IFERROR(J4928,C4929)),""),"")</f>
        <v/>
      </c>
      <c r="K4929" s="29">
        <f>IFERROR(IF(AND(ISNUMBER(C4929),ISNUMBER(J4929)),C4929/J4929-1,""),"")</f>
        <v/>
      </c>
      <c r="L4929" s="28">
        <f>IFERROR(IF(AND(ISNUMBER(D4929),ISNUMBER(E4929)),D4929-E4929,""),"")</f>
        <v/>
      </c>
    </row>
    <row r="4930">
      <c r="A4930" s="7">
        <f>IFERROR(Datos!A4930,"")</f>
        <v/>
      </c>
      <c r="B4930" s="8">
        <f>IFERROR(Datos!B4930,"")</f>
        <v/>
      </c>
      <c r="C4930" s="8">
        <f>IFERROR(Datos!C4930,"")</f>
        <v/>
      </c>
      <c r="D4930" s="28">
        <f>IFERROR(IF(AND(ISNUMBER(B4930),ISNUMBER(B4929),B4929&lt;&gt;0),B4930/B4929-1,""),"")</f>
        <v/>
      </c>
      <c r="E4930" s="28">
        <f>IFERROR(IF(AND(ISNUMBER(C4930),ISNUMBER(C4929),C4929&lt;&gt;0),C4930/C4929-1,""),"")</f>
        <v/>
      </c>
      <c r="F4930" s="28">
        <f>IFERROR(D4930-Dashboard!$B$4/252,"")</f>
        <v/>
      </c>
      <c r="G4930" s="28">
        <f>IFERROR(E4930-Dashboard!$B$4/252,"")</f>
        <v/>
      </c>
      <c r="H4930" s="8">
        <f>IFERROR(IF(ISNUMBER(B4930),MAX(B4930,IFERROR(H4929,B4930)),""),"")</f>
        <v/>
      </c>
      <c r="I4930" s="29">
        <f>IFERROR(IF(AND(ISNUMBER(B4930),ISNUMBER(H4930)),B4930/H4930-1,""),"")</f>
        <v/>
      </c>
      <c r="J4930" s="8">
        <f>IFERROR(IF(ISNUMBER(C4930),MAX(C4930,IFERROR(J4929,C4930)),""),"")</f>
        <v/>
      </c>
      <c r="K4930" s="29">
        <f>IFERROR(IF(AND(ISNUMBER(C4930),ISNUMBER(J4930)),C4930/J4930-1,""),"")</f>
        <v/>
      </c>
      <c r="L4930" s="28">
        <f>IFERROR(IF(AND(ISNUMBER(D4930),ISNUMBER(E4930)),D4930-E4930,""),"")</f>
        <v/>
      </c>
    </row>
    <row r="4931">
      <c r="A4931" s="7">
        <f>IFERROR(Datos!A4931,"")</f>
        <v/>
      </c>
      <c r="B4931" s="8">
        <f>IFERROR(Datos!B4931,"")</f>
        <v/>
      </c>
      <c r="C4931" s="8">
        <f>IFERROR(Datos!C4931,"")</f>
        <v/>
      </c>
      <c r="D4931" s="28">
        <f>IFERROR(IF(AND(ISNUMBER(B4931),ISNUMBER(B4930),B4930&lt;&gt;0),B4931/B4930-1,""),"")</f>
        <v/>
      </c>
      <c r="E4931" s="28">
        <f>IFERROR(IF(AND(ISNUMBER(C4931),ISNUMBER(C4930),C4930&lt;&gt;0),C4931/C4930-1,""),"")</f>
        <v/>
      </c>
      <c r="F4931" s="28">
        <f>IFERROR(D4931-Dashboard!$B$4/252,"")</f>
        <v/>
      </c>
      <c r="G4931" s="28">
        <f>IFERROR(E4931-Dashboard!$B$4/252,"")</f>
        <v/>
      </c>
      <c r="H4931" s="8">
        <f>IFERROR(IF(ISNUMBER(B4931),MAX(B4931,IFERROR(H4930,B4931)),""),"")</f>
        <v/>
      </c>
      <c r="I4931" s="29">
        <f>IFERROR(IF(AND(ISNUMBER(B4931),ISNUMBER(H4931)),B4931/H4931-1,""),"")</f>
        <v/>
      </c>
      <c r="J4931" s="8">
        <f>IFERROR(IF(ISNUMBER(C4931),MAX(C4931,IFERROR(J4930,C4931)),""),"")</f>
        <v/>
      </c>
      <c r="K4931" s="29">
        <f>IFERROR(IF(AND(ISNUMBER(C4931),ISNUMBER(J4931)),C4931/J4931-1,""),"")</f>
        <v/>
      </c>
      <c r="L4931" s="28">
        <f>IFERROR(IF(AND(ISNUMBER(D4931),ISNUMBER(E4931)),D4931-E4931,""),"")</f>
        <v/>
      </c>
    </row>
    <row r="4932">
      <c r="A4932" s="7">
        <f>IFERROR(Datos!A4932,"")</f>
        <v/>
      </c>
      <c r="B4932" s="8">
        <f>IFERROR(Datos!B4932,"")</f>
        <v/>
      </c>
      <c r="C4932" s="8">
        <f>IFERROR(Datos!C4932,"")</f>
        <v/>
      </c>
      <c r="D4932" s="28">
        <f>IFERROR(IF(AND(ISNUMBER(B4932),ISNUMBER(B4931),B4931&lt;&gt;0),B4932/B4931-1,""),"")</f>
        <v/>
      </c>
      <c r="E4932" s="28">
        <f>IFERROR(IF(AND(ISNUMBER(C4932),ISNUMBER(C4931),C4931&lt;&gt;0),C4932/C4931-1,""),"")</f>
        <v/>
      </c>
      <c r="F4932" s="28">
        <f>IFERROR(D4932-Dashboard!$B$4/252,"")</f>
        <v/>
      </c>
      <c r="G4932" s="28">
        <f>IFERROR(E4932-Dashboard!$B$4/252,"")</f>
        <v/>
      </c>
      <c r="H4932" s="8">
        <f>IFERROR(IF(ISNUMBER(B4932),MAX(B4932,IFERROR(H4931,B4932)),""),"")</f>
        <v/>
      </c>
      <c r="I4932" s="29">
        <f>IFERROR(IF(AND(ISNUMBER(B4932),ISNUMBER(H4932)),B4932/H4932-1,""),"")</f>
        <v/>
      </c>
      <c r="J4932" s="8">
        <f>IFERROR(IF(ISNUMBER(C4932),MAX(C4932,IFERROR(J4931,C4932)),""),"")</f>
        <v/>
      </c>
      <c r="K4932" s="29">
        <f>IFERROR(IF(AND(ISNUMBER(C4932),ISNUMBER(J4932)),C4932/J4932-1,""),"")</f>
        <v/>
      </c>
      <c r="L4932" s="28">
        <f>IFERROR(IF(AND(ISNUMBER(D4932),ISNUMBER(E4932)),D4932-E4932,""),"")</f>
        <v/>
      </c>
    </row>
    <row r="4933">
      <c r="A4933" s="7">
        <f>IFERROR(Datos!A4933,"")</f>
        <v/>
      </c>
      <c r="B4933" s="8">
        <f>IFERROR(Datos!B4933,"")</f>
        <v/>
      </c>
      <c r="C4933" s="8">
        <f>IFERROR(Datos!C4933,"")</f>
        <v/>
      </c>
      <c r="D4933" s="28">
        <f>IFERROR(IF(AND(ISNUMBER(B4933),ISNUMBER(B4932),B4932&lt;&gt;0),B4933/B4932-1,""),"")</f>
        <v/>
      </c>
      <c r="E4933" s="28">
        <f>IFERROR(IF(AND(ISNUMBER(C4933),ISNUMBER(C4932),C4932&lt;&gt;0),C4933/C4932-1,""),"")</f>
        <v/>
      </c>
      <c r="F4933" s="28">
        <f>IFERROR(D4933-Dashboard!$B$4/252,"")</f>
        <v/>
      </c>
      <c r="G4933" s="28">
        <f>IFERROR(E4933-Dashboard!$B$4/252,"")</f>
        <v/>
      </c>
      <c r="H4933" s="8">
        <f>IFERROR(IF(ISNUMBER(B4933),MAX(B4933,IFERROR(H4932,B4933)),""),"")</f>
        <v/>
      </c>
      <c r="I4933" s="29">
        <f>IFERROR(IF(AND(ISNUMBER(B4933),ISNUMBER(H4933)),B4933/H4933-1,""),"")</f>
        <v/>
      </c>
      <c r="J4933" s="8">
        <f>IFERROR(IF(ISNUMBER(C4933),MAX(C4933,IFERROR(J4932,C4933)),""),"")</f>
        <v/>
      </c>
      <c r="K4933" s="29">
        <f>IFERROR(IF(AND(ISNUMBER(C4933),ISNUMBER(J4933)),C4933/J4933-1,""),"")</f>
        <v/>
      </c>
      <c r="L4933" s="28">
        <f>IFERROR(IF(AND(ISNUMBER(D4933),ISNUMBER(E4933)),D4933-E4933,""),"")</f>
        <v/>
      </c>
    </row>
    <row r="4934">
      <c r="A4934" s="7">
        <f>IFERROR(Datos!A4934,"")</f>
        <v/>
      </c>
      <c r="B4934" s="8">
        <f>IFERROR(Datos!B4934,"")</f>
        <v/>
      </c>
      <c r="C4934" s="8">
        <f>IFERROR(Datos!C4934,"")</f>
        <v/>
      </c>
      <c r="D4934" s="28">
        <f>IFERROR(IF(AND(ISNUMBER(B4934),ISNUMBER(B4933),B4933&lt;&gt;0),B4934/B4933-1,""),"")</f>
        <v/>
      </c>
      <c r="E4934" s="28">
        <f>IFERROR(IF(AND(ISNUMBER(C4934),ISNUMBER(C4933),C4933&lt;&gt;0),C4934/C4933-1,""),"")</f>
        <v/>
      </c>
      <c r="F4934" s="28">
        <f>IFERROR(D4934-Dashboard!$B$4/252,"")</f>
        <v/>
      </c>
      <c r="G4934" s="28">
        <f>IFERROR(E4934-Dashboard!$B$4/252,"")</f>
        <v/>
      </c>
      <c r="H4934" s="8">
        <f>IFERROR(IF(ISNUMBER(B4934),MAX(B4934,IFERROR(H4933,B4934)),""),"")</f>
        <v/>
      </c>
      <c r="I4934" s="29">
        <f>IFERROR(IF(AND(ISNUMBER(B4934),ISNUMBER(H4934)),B4934/H4934-1,""),"")</f>
        <v/>
      </c>
      <c r="J4934" s="8">
        <f>IFERROR(IF(ISNUMBER(C4934),MAX(C4934,IFERROR(J4933,C4934)),""),"")</f>
        <v/>
      </c>
      <c r="K4934" s="29">
        <f>IFERROR(IF(AND(ISNUMBER(C4934),ISNUMBER(J4934)),C4934/J4934-1,""),"")</f>
        <v/>
      </c>
      <c r="L4934" s="28">
        <f>IFERROR(IF(AND(ISNUMBER(D4934),ISNUMBER(E4934)),D4934-E4934,""),"")</f>
        <v/>
      </c>
    </row>
    <row r="4935">
      <c r="A4935" s="7">
        <f>IFERROR(Datos!A4935,"")</f>
        <v/>
      </c>
      <c r="B4935" s="8">
        <f>IFERROR(Datos!B4935,"")</f>
        <v/>
      </c>
      <c r="C4935" s="8">
        <f>IFERROR(Datos!C4935,"")</f>
        <v/>
      </c>
      <c r="D4935" s="28">
        <f>IFERROR(IF(AND(ISNUMBER(B4935),ISNUMBER(B4934),B4934&lt;&gt;0),B4935/B4934-1,""),"")</f>
        <v/>
      </c>
      <c r="E4935" s="28">
        <f>IFERROR(IF(AND(ISNUMBER(C4935),ISNUMBER(C4934),C4934&lt;&gt;0),C4935/C4934-1,""),"")</f>
        <v/>
      </c>
      <c r="F4935" s="28">
        <f>IFERROR(D4935-Dashboard!$B$4/252,"")</f>
        <v/>
      </c>
      <c r="G4935" s="28">
        <f>IFERROR(E4935-Dashboard!$B$4/252,"")</f>
        <v/>
      </c>
      <c r="H4935" s="8">
        <f>IFERROR(IF(ISNUMBER(B4935),MAX(B4935,IFERROR(H4934,B4935)),""),"")</f>
        <v/>
      </c>
      <c r="I4935" s="29">
        <f>IFERROR(IF(AND(ISNUMBER(B4935),ISNUMBER(H4935)),B4935/H4935-1,""),"")</f>
        <v/>
      </c>
      <c r="J4935" s="8">
        <f>IFERROR(IF(ISNUMBER(C4935),MAX(C4935,IFERROR(J4934,C4935)),""),"")</f>
        <v/>
      </c>
      <c r="K4935" s="29">
        <f>IFERROR(IF(AND(ISNUMBER(C4935),ISNUMBER(J4935)),C4935/J4935-1,""),"")</f>
        <v/>
      </c>
      <c r="L4935" s="28">
        <f>IFERROR(IF(AND(ISNUMBER(D4935),ISNUMBER(E4935)),D4935-E4935,""),"")</f>
        <v/>
      </c>
    </row>
    <row r="4936">
      <c r="A4936" s="7">
        <f>IFERROR(Datos!A4936,"")</f>
        <v/>
      </c>
      <c r="B4936" s="8">
        <f>IFERROR(Datos!B4936,"")</f>
        <v/>
      </c>
      <c r="C4936" s="8">
        <f>IFERROR(Datos!C4936,"")</f>
        <v/>
      </c>
      <c r="D4936" s="28">
        <f>IFERROR(IF(AND(ISNUMBER(B4936),ISNUMBER(B4935),B4935&lt;&gt;0),B4936/B4935-1,""),"")</f>
        <v/>
      </c>
      <c r="E4936" s="28">
        <f>IFERROR(IF(AND(ISNUMBER(C4936),ISNUMBER(C4935),C4935&lt;&gt;0),C4936/C4935-1,""),"")</f>
        <v/>
      </c>
      <c r="F4936" s="28">
        <f>IFERROR(D4936-Dashboard!$B$4/252,"")</f>
        <v/>
      </c>
      <c r="G4936" s="28">
        <f>IFERROR(E4936-Dashboard!$B$4/252,"")</f>
        <v/>
      </c>
      <c r="H4936" s="8">
        <f>IFERROR(IF(ISNUMBER(B4936),MAX(B4936,IFERROR(H4935,B4936)),""),"")</f>
        <v/>
      </c>
      <c r="I4936" s="29">
        <f>IFERROR(IF(AND(ISNUMBER(B4936),ISNUMBER(H4936)),B4936/H4936-1,""),"")</f>
        <v/>
      </c>
      <c r="J4936" s="8">
        <f>IFERROR(IF(ISNUMBER(C4936),MAX(C4936,IFERROR(J4935,C4936)),""),"")</f>
        <v/>
      </c>
      <c r="K4936" s="29">
        <f>IFERROR(IF(AND(ISNUMBER(C4936),ISNUMBER(J4936)),C4936/J4936-1,""),"")</f>
        <v/>
      </c>
      <c r="L4936" s="28">
        <f>IFERROR(IF(AND(ISNUMBER(D4936),ISNUMBER(E4936)),D4936-E4936,""),"")</f>
        <v/>
      </c>
    </row>
    <row r="4937">
      <c r="A4937" s="7">
        <f>IFERROR(Datos!A4937,"")</f>
        <v/>
      </c>
      <c r="B4937" s="8">
        <f>IFERROR(Datos!B4937,"")</f>
        <v/>
      </c>
      <c r="C4937" s="8">
        <f>IFERROR(Datos!C4937,"")</f>
        <v/>
      </c>
      <c r="D4937" s="28">
        <f>IFERROR(IF(AND(ISNUMBER(B4937),ISNUMBER(B4936),B4936&lt;&gt;0),B4937/B4936-1,""),"")</f>
        <v/>
      </c>
      <c r="E4937" s="28">
        <f>IFERROR(IF(AND(ISNUMBER(C4937),ISNUMBER(C4936),C4936&lt;&gt;0),C4937/C4936-1,""),"")</f>
        <v/>
      </c>
      <c r="F4937" s="28">
        <f>IFERROR(D4937-Dashboard!$B$4/252,"")</f>
        <v/>
      </c>
      <c r="G4937" s="28">
        <f>IFERROR(E4937-Dashboard!$B$4/252,"")</f>
        <v/>
      </c>
      <c r="H4937" s="8">
        <f>IFERROR(IF(ISNUMBER(B4937),MAX(B4937,IFERROR(H4936,B4937)),""),"")</f>
        <v/>
      </c>
      <c r="I4937" s="29">
        <f>IFERROR(IF(AND(ISNUMBER(B4937),ISNUMBER(H4937)),B4937/H4937-1,""),"")</f>
        <v/>
      </c>
      <c r="J4937" s="8">
        <f>IFERROR(IF(ISNUMBER(C4937),MAX(C4937,IFERROR(J4936,C4937)),""),"")</f>
        <v/>
      </c>
      <c r="K4937" s="29">
        <f>IFERROR(IF(AND(ISNUMBER(C4937),ISNUMBER(J4937)),C4937/J4937-1,""),"")</f>
        <v/>
      </c>
      <c r="L4937" s="28">
        <f>IFERROR(IF(AND(ISNUMBER(D4937),ISNUMBER(E4937)),D4937-E4937,""),"")</f>
        <v/>
      </c>
    </row>
    <row r="4938">
      <c r="A4938" s="7">
        <f>IFERROR(Datos!A4938,"")</f>
        <v/>
      </c>
      <c r="B4938" s="8">
        <f>IFERROR(Datos!B4938,"")</f>
        <v/>
      </c>
      <c r="C4938" s="8">
        <f>IFERROR(Datos!C4938,"")</f>
        <v/>
      </c>
      <c r="D4938" s="28">
        <f>IFERROR(IF(AND(ISNUMBER(B4938),ISNUMBER(B4937),B4937&lt;&gt;0),B4938/B4937-1,""),"")</f>
        <v/>
      </c>
      <c r="E4938" s="28">
        <f>IFERROR(IF(AND(ISNUMBER(C4938),ISNUMBER(C4937),C4937&lt;&gt;0),C4938/C4937-1,""),"")</f>
        <v/>
      </c>
      <c r="F4938" s="28">
        <f>IFERROR(D4938-Dashboard!$B$4/252,"")</f>
        <v/>
      </c>
      <c r="G4938" s="28">
        <f>IFERROR(E4938-Dashboard!$B$4/252,"")</f>
        <v/>
      </c>
      <c r="H4938" s="8">
        <f>IFERROR(IF(ISNUMBER(B4938),MAX(B4938,IFERROR(H4937,B4938)),""),"")</f>
        <v/>
      </c>
      <c r="I4938" s="29">
        <f>IFERROR(IF(AND(ISNUMBER(B4938),ISNUMBER(H4938)),B4938/H4938-1,""),"")</f>
        <v/>
      </c>
      <c r="J4938" s="8">
        <f>IFERROR(IF(ISNUMBER(C4938),MAX(C4938,IFERROR(J4937,C4938)),""),"")</f>
        <v/>
      </c>
      <c r="K4938" s="29">
        <f>IFERROR(IF(AND(ISNUMBER(C4938),ISNUMBER(J4938)),C4938/J4938-1,""),"")</f>
        <v/>
      </c>
      <c r="L4938" s="28">
        <f>IFERROR(IF(AND(ISNUMBER(D4938),ISNUMBER(E4938)),D4938-E4938,""),"")</f>
        <v/>
      </c>
    </row>
    <row r="4939">
      <c r="A4939" s="7">
        <f>IFERROR(Datos!A4939,"")</f>
        <v/>
      </c>
      <c r="B4939" s="8">
        <f>IFERROR(Datos!B4939,"")</f>
        <v/>
      </c>
      <c r="C4939" s="8">
        <f>IFERROR(Datos!C4939,"")</f>
        <v/>
      </c>
      <c r="D4939" s="28">
        <f>IFERROR(IF(AND(ISNUMBER(B4939),ISNUMBER(B4938),B4938&lt;&gt;0),B4939/B4938-1,""),"")</f>
        <v/>
      </c>
      <c r="E4939" s="28">
        <f>IFERROR(IF(AND(ISNUMBER(C4939),ISNUMBER(C4938),C4938&lt;&gt;0),C4939/C4938-1,""),"")</f>
        <v/>
      </c>
      <c r="F4939" s="28">
        <f>IFERROR(D4939-Dashboard!$B$4/252,"")</f>
        <v/>
      </c>
      <c r="G4939" s="28">
        <f>IFERROR(E4939-Dashboard!$B$4/252,"")</f>
        <v/>
      </c>
      <c r="H4939" s="8">
        <f>IFERROR(IF(ISNUMBER(B4939),MAX(B4939,IFERROR(H4938,B4939)),""),"")</f>
        <v/>
      </c>
      <c r="I4939" s="29">
        <f>IFERROR(IF(AND(ISNUMBER(B4939),ISNUMBER(H4939)),B4939/H4939-1,""),"")</f>
        <v/>
      </c>
      <c r="J4939" s="8">
        <f>IFERROR(IF(ISNUMBER(C4939),MAX(C4939,IFERROR(J4938,C4939)),""),"")</f>
        <v/>
      </c>
      <c r="K4939" s="29">
        <f>IFERROR(IF(AND(ISNUMBER(C4939),ISNUMBER(J4939)),C4939/J4939-1,""),"")</f>
        <v/>
      </c>
      <c r="L4939" s="28">
        <f>IFERROR(IF(AND(ISNUMBER(D4939),ISNUMBER(E4939)),D4939-E4939,""),"")</f>
        <v/>
      </c>
    </row>
    <row r="4940">
      <c r="A4940" s="7">
        <f>IFERROR(Datos!A4940,"")</f>
        <v/>
      </c>
      <c r="B4940" s="8">
        <f>IFERROR(Datos!B4940,"")</f>
        <v/>
      </c>
      <c r="C4940" s="8">
        <f>IFERROR(Datos!C4940,"")</f>
        <v/>
      </c>
      <c r="D4940" s="28">
        <f>IFERROR(IF(AND(ISNUMBER(B4940),ISNUMBER(B4939),B4939&lt;&gt;0),B4940/B4939-1,""),"")</f>
        <v/>
      </c>
      <c r="E4940" s="28">
        <f>IFERROR(IF(AND(ISNUMBER(C4940),ISNUMBER(C4939),C4939&lt;&gt;0),C4940/C4939-1,""),"")</f>
        <v/>
      </c>
      <c r="F4940" s="28">
        <f>IFERROR(D4940-Dashboard!$B$4/252,"")</f>
        <v/>
      </c>
      <c r="G4940" s="28">
        <f>IFERROR(E4940-Dashboard!$B$4/252,"")</f>
        <v/>
      </c>
      <c r="H4940" s="8">
        <f>IFERROR(IF(ISNUMBER(B4940),MAX(B4940,IFERROR(H4939,B4940)),""),"")</f>
        <v/>
      </c>
      <c r="I4940" s="29">
        <f>IFERROR(IF(AND(ISNUMBER(B4940),ISNUMBER(H4940)),B4940/H4940-1,""),"")</f>
        <v/>
      </c>
      <c r="J4940" s="8">
        <f>IFERROR(IF(ISNUMBER(C4940),MAX(C4940,IFERROR(J4939,C4940)),""),"")</f>
        <v/>
      </c>
      <c r="K4940" s="29">
        <f>IFERROR(IF(AND(ISNUMBER(C4940),ISNUMBER(J4940)),C4940/J4940-1,""),"")</f>
        <v/>
      </c>
      <c r="L4940" s="28">
        <f>IFERROR(IF(AND(ISNUMBER(D4940),ISNUMBER(E4940)),D4940-E4940,""),"")</f>
        <v/>
      </c>
    </row>
    <row r="4941">
      <c r="A4941" s="7">
        <f>IFERROR(Datos!A4941,"")</f>
        <v/>
      </c>
      <c r="B4941" s="8">
        <f>IFERROR(Datos!B4941,"")</f>
        <v/>
      </c>
      <c r="C4941" s="8">
        <f>IFERROR(Datos!C4941,"")</f>
        <v/>
      </c>
      <c r="D4941" s="28">
        <f>IFERROR(IF(AND(ISNUMBER(B4941),ISNUMBER(B4940),B4940&lt;&gt;0),B4941/B4940-1,""),"")</f>
        <v/>
      </c>
      <c r="E4941" s="28">
        <f>IFERROR(IF(AND(ISNUMBER(C4941),ISNUMBER(C4940),C4940&lt;&gt;0),C4941/C4940-1,""),"")</f>
        <v/>
      </c>
      <c r="F4941" s="28">
        <f>IFERROR(D4941-Dashboard!$B$4/252,"")</f>
        <v/>
      </c>
      <c r="G4941" s="28">
        <f>IFERROR(E4941-Dashboard!$B$4/252,"")</f>
        <v/>
      </c>
      <c r="H4941" s="8">
        <f>IFERROR(IF(ISNUMBER(B4941),MAX(B4941,IFERROR(H4940,B4941)),""),"")</f>
        <v/>
      </c>
      <c r="I4941" s="29">
        <f>IFERROR(IF(AND(ISNUMBER(B4941),ISNUMBER(H4941)),B4941/H4941-1,""),"")</f>
        <v/>
      </c>
      <c r="J4941" s="8">
        <f>IFERROR(IF(ISNUMBER(C4941),MAX(C4941,IFERROR(J4940,C4941)),""),"")</f>
        <v/>
      </c>
      <c r="K4941" s="29">
        <f>IFERROR(IF(AND(ISNUMBER(C4941),ISNUMBER(J4941)),C4941/J4941-1,""),"")</f>
        <v/>
      </c>
      <c r="L4941" s="28">
        <f>IFERROR(IF(AND(ISNUMBER(D4941),ISNUMBER(E4941)),D4941-E4941,""),"")</f>
        <v/>
      </c>
    </row>
    <row r="4942">
      <c r="A4942" s="7">
        <f>IFERROR(Datos!A4942,"")</f>
        <v/>
      </c>
      <c r="B4942" s="8">
        <f>IFERROR(Datos!B4942,"")</f>
        <v/>
      </c>
      <c r="C4942" s="8">
        <f>IFERROR(Datos!C4942,"")</f>
        <v/>
      </c>
      <c r="D4942" s="28">
        <f>IFERROR(IF(AND(ISNUMBER(B4942),ISNUMBER(B4941),B4941&lt;&gt;0),B4942/B4941-1,""),"")</f>
        <v/>
      </c>
      <c r="E4942" s="28">
        <f>IFERROR(IF(AND(ISNUMBER(C4942),ISNUMBER(C4941),C4941&lt;&gt;0),C4942/C4941-1,""),"")</f>
        <v/>
      </c>
      <c r="F4942" s="28">
        <f>IFERROR(D4942-Dashboard!$B$4/252,"")</f>
        <v/>
      </c>
      <c r="G4942" s="28">
        <f>IFERROR(E4942-Dashboard!$B$4/252,"")</f>
        <v/>
      </c>
      <c r="H4942" s="8">
        <f>IFERROR(IF(ISNUMBER(B4942),MAX(B4942,IFERROR(H4941,B4942)),""),"")</f>
        <v/>
      </c>
      <c r="I4942" s="29">
        <f>IFERROR(IF(AND(ISNUMBER(B4942),ISNUMBER(H4942)),B4942/H4942-1,""),"")</f>
        <v/>
      </c>
      <c r="J4942" s="8">
        <f>IFERROR(IF(ISNUMBER(C4942),MAX(C4942,IFERROR(J4941,C4942)),""),"")</f>
        <v/>
      </c>
      <c r="K4942" s="29">
        <f>IFERROR(IF(AND(ISNUMBER(C4942),ISNUMBER(J4942)),C4942/J4942-1,""),"")</f>
        <v/>
      </c>
      <c r="L4942" s="28">
        <f>IFERROR(IF(AND(ISNUMBER(D4942),ISNUMBER(E4942)),D4942-E4942,""),"")</f>
        <v/>
      </c>
    </row>
    <row r="4943">
      <c r="A4943" s="7">
        <f>IFERROR(Datos!A4943,"")</f>
        <v/>
      </c>
      <c r="B4943" s="8">
        <f>IFERROR(Datos!B4943,"")</f>
        <v/>
      </c>
      <c r="C4943" s="8">
        <f>IFERROR(Datos!C4943,"")</f>
        <v/>
      </c>
      <c r="D4943" s="28">
        <f>IFERROR(IF(AND(ISNUMBER(B4943),ISNUMBER(B4942),B4942&lt;&gt;0),B4943/B4942-1,""),"")</f>
        <v/>
      </c>
      <c r="E4943" s="28">
        <f>IFERROR(IF(AND(ISNUMBER(C4943),ISNUMBER(C4942),C4942&lt;&gt;0),C4943/C4942-1,""),"")</f>
        <v/>
      </c>
      <c r="F4943" s="28">
        <f>IFERROR(D4943-Dashboard!$B$4/252,"")</f>
        <v/>
      </c>
      <c r="G4943" s="28">
        <f>IFERROR(E4943-Dashboard!$B$4/252,"")</f>
        <v/>
      </c>
      <c r="H4943" s="8">
        <f>IFERROR(IF(ISNUMBER(B4943),MAX(B4943,IFERROR(H4942,B4943)),""),"")</f>
        <v/>
      </c>
      <c r="I4943" s="29">
        <f>IFERROR(IF(AND(ISNUMBER(B4943),ISNUMBER(H4943)),B4943/H4943-1,""),"")</f>
        <v/>
      </c>
      <c r="J4943" s="8">
        <f>IFERROR(IF(ISNUMBER(C4943),MAX(C4943,IFERROR(J4942,C4943)),""),"")</f>
        <v/>
      </c>
      <c r="K4943" s="29">
        <f>IFERROR(IF(AND(ISNUMBER(C4943),ISNUMBER(J4943)),C4943/J4943-1,""),"")</f>
        <v/>
      </c>
      <c r="L4943" s="28">
        <f>IFERROR(IF(AND(ISNUMBER(D4943),ISNUMBER(E4943)),D4943-E4943,""),"")</f>
        <v/>
      </c>
    </row>
    <row r="4944">
      <c r="A4944" s="7">
        <f>IFERROR(Datos!A4944,"")</f>
        <v/>
      </c>
      <c r="B4944" s="8">
        <f>IFERROR(Datos!B4944,"")</f>
        <v/>
      </c>
      <c r="C4944" s="8">
        <f>IFERROR(Datos!C4944,"")</f>
        <v/>
      </c>
      <c r="D4944" s="28">
        <f>IFERROR(IF(AND(ISNUMBER(B4944),ISNUMBER(B4943),B4943&lt;&gt;0),B4944/B4943-1,""),"")</f>
        <v/>
      </c>
      <c r="E4944" s="28">
        <f>IFERROR(IF(AND(ISNUMBER(C4944),ISNUMBER(C4943),C4943&lt;&gt;0),C4944/C4943-1,""),"")</f>
        <v/>
      </c>
      <c r="F4944" s="28">
        <f>IFERROR(D4944-Dashboard!$B$4/252,"")</f>
        <v/>
      </c>
      <c r="G4944" s="28">
        <f>IFERROR(E4944-Dashboard!$B$4/252,"")</f>
        <v/>
      </c>
      <c r="H4944" s="8">
        <f>IFERROR(IF(ISNUMBER(B4944),MAX(B4944,IFERROR(H4943,B4944)),""),"")</f>
        <v/>
      </c>
      <c r="I4944" s="29">
        <f>IFERROR(IF(AND(ISNUMBER(B4944),ISNUMBER(H4944)),B4944/H4944-1,""),"")</f>
        <v/>
      </c>
      <c r="J4944" s="8">
        <f>IFERROR(IF(ISNUMBER(C4944),MAX(C4944,IFERROR(J4943,C4944)),""),"")</f>
        <v/>
      </c>
      <c r="K4944" s="29">
        <f>IFERROR(IF(AND(ISNUMBER(C4944),ISNUMBER(J4944)),C4944/J4944-1,""),"")</f>
        <v/>
      </c>
      <c r="L4944" s="28">
        <f>IFERROR(IF(AND(ISNUMBER(D4944),ISNUMBER(E4944)),D4944-E4944,""),"")</f>
        <v/>
      </c>
    </row>
    <row r="4945">
      <c r="A4945" s="7">
        <f>IFERROR(Datos!A4945,"")</f>
        <v/>
      </c>
      <c r="B4945" s="8">
        <f>IFERROR(Datos!B4945,"")</f>
        <v/>
      </c>
      <c r="C4945" s="8">
        <f>IFERROR(Datos!C4945,"")</f>
        <v/>
      </c>
      <c r="D4945" s="28">
        <f>IFERROR(IF(AND(ISNUMBER(B4945),ISNUMBER(B4944),B4944&lt;&gt;0),B4945/B4944-1,""),"")</f>
        <v/>
      </c>
      <c r="E4945" s="28">
        <f>IFERROR(IF(AND(ISNUMBER(C4945),ISNUMBER(C4944),C4944&lt;&gt;0),C4945/C4944-1,""),"")</f>
        <v/>
      </c>
      <c r="F4945" s="28">
        <f>IFERROR(D4945-Dashboard!$B$4/252,"")</f>
        <v/>
      </c>
      <c r="G4945" s="28">
        <f>IFERROR(E4945-Dashboard!$B$4/252,"")</f>
        <v/>
      </c>
      <c r="H4945" s="8">
        <f>IFERROR(IF(ISNUMBER(B4945),MAX(B4945,IFERROR(H4944,B4945)),""),"")</f>
        <v/>
      </c>
      <c r="I4945" s="29">
        <f>IFERROR(IF(AND(ISNUMBER(B4945),ISNUMBER(H4945)),B4945/H4945-1,""),"")</f>
        <v/>
      </c>
      <c r="J4945" s="8">
        <f>IFERROR(IF(ISNUMBER(C4945),MAX(C4945,IFERROR(J4944,C4945)),""),"")</f>
        <v/>
      </c>
      <c r="K4945" s="29">
        <f>IFERROR(IF(AND(ISNUMBER(C4945),ISNUMBER(J4945)),C4945/J4945-1,""),"")</f>
        <v/>
      </c>
      <c r="L4945" s="28">
        <f>IFERROR(IF(AND(ISNUMBER(D4945),ISNUMBER(E4945)),D4945-E4945,""),"")</f>
        <v/>
      </c>
    </row>
    <row r="4946">
      <c r="A4946" s="7">
        <f>IFERROR(Datos!A4946,"")</f>
        <v/>
      </c>
      <c r="B4946" s="8">
        <f>IFERROR(Datos!B4946,"")</f>
        <v/>
      </c>
      <c r="C4946" s="8">
        <f>IFERROR(Datos!C4946,"")</f>
        <v/>
      </c>
      <c r="D4946" s="28">
        <f>IFERROR(IF(AND(ISNUMBER(B4946),ISNUMBER(B4945),B4945&lt;&gt;0),B4946/B4945-1,""),"")</f>
        <v/>
      </c>
      <c r="E4946" s="28">
        <f>IFERROR(IF(AND(ISNUMBER(C4946),ISNUMBER(C4945),C4945&lt;&gt;0),C4946/C4945-1,""),"")</f>
        <v/>
      </c>
      <c r="F4946" s="28">
        <f>IFERROR(D4946-Dashboard!$B$4/252,"")</f>
        <v/>
      </c>
      <c r="G4946" s="28">
        <f>IFERROR(E4946-Dashboard!$B$4/252,"")</f>
        <v/>
      </c>
      <c r="H4946" s="8">
        <f>IFERROR(IF(ISNUMBER(B4946),MAX(B4946,IFERROR(H4945,B4946)),""),"")</f>
        <v/>
      </c>
      <c r="I4946" s="29">
        <f>IFERROR(IF(AND(ISNUMBER(B4946),ISNUMBER(H4946)),B4946/H4946-1,""),"")</f>
        <v/>
      </c>
      <c r="J4946" s="8">
        <f>IFERROR(IF(ISNUMBER(C4946),MAX(C4946,IFERROR(J4945,C4946)),""),"")</f>
        <v/>
      </c>
      <c r="K4946" s="29">
        <f>IFERROR(IF(AND(ISNUMBER(C4946),ISNUMBER(J4946)),C4946/J4946-1,""),"")</f>
        <v/>
      </c>
      <c r="L4946" s="28">
        <f>IFERROR(IF(AND(ISNUMBER(D4946),ISNUMBER(E4946)),D4946-E4946,""),"")</f>
        <v/>
      </c>
    </row>
    <row r="4947">
      <c r="A4947" s="7">
        <f>IFERROR(Datos!A4947,"")</f>
        <v/>
      </c>
      <c r="B4947" s="8">
        <f>IFERROR(Datos!B4947,"")</f>
        <v/>
      </c>
      <c r="C4947" s="8">
        <f>IFERROR(Datos!C4947,"")</f>
        <v/>
      </c>
      <c r="D4947" s="28">
        <f>IFERROR(IF(AND(ISNUMBER(B4947),ISNUMBER(B4946),B4946&lt;&gt;0),B4947/B4946-1,""),"")</f>
        <v/>
      </c>
      <c r="E4947" s="28">
        <f>IFERROR(IF(AND(ISNUMBER(C4947),ISNUMBER(C4946),C4946&lt;&gt;0),C4947/C4946-1,""),"")</f>
        <v/>
      </c>
      <c r="F4947" s="28">
        <f>IFERROR(D4947-Dashboard!$B$4/252,"")</f>
        <v/>
      </c>
      <c r="G4947" s="28">
        <f>IFERROR(E4947-Dashboard!$B$4/252,"")</f>
        <v/>
      </c>
      <c r="H4947" s="8">
        <f>IFERROR(IF(ISNUMBER(B4947),MAX(B4947,IFERROR(H4946,B4947)),""),"")</f>
        <v/>
      </c>
      <c r="I4947" s="29">
        <f>IFERROR(IF(AND(ISNUMBER(B4947),ISNUMBER(H4947)),B4947/H4947-1,""),"")</f>
        <v/>
      </c>
      <c r="J4947" s="8">
        <f>IFERROR(IF(ISNUMBER(C4947),MAX(C4947,IFERROR(J4946,C4947)),""),"")</f>
        <v/>
      </c>
      <c r="K4947" s="29">
        <f>IFERROR(IF(AND(ISNUMBER(C4947),ISNUMBER(J4947)),C4947/J4947-1,""),"")</f>
        <v/>
      </c>
      <c r="L4947" s="28">
        <f>IFERROR(IF(AND(ISNUMBER(D4947),ISNUMBER(E4947)),D4947-E4947,""),"")</f>
        <v/>
      </c>
    </row>
    <row r="4948">
      <c r="A4948" s="7">
        <f>IFERROR(Datos!A4948,"")</f>
        <v/>
      </c>
      <c r="B4948" s="8">
        <f>IFERROR(Datos!B4948,"")</f>
        <v/>
      </c>
      <c r="C4948" s="8">
        <f>IFERROR(Datos!C4948,"")</f>
        <v/>
      </c>
      <c r="D4948" s="28">
        <f>IFERROR(IF(AND(ISNUMBER(B4948),ISNUMBER(B4947),B4947&lt;&gt;0),B4948/B4947-1,""),"")</f>
        <v/>
      </c>
      <c r="E4948" s="28">
        <f>IFERROR(IF(AND(ISNUMBER(C4948),ISNUMBER(C4947),C4947&lt;&gt;0),C4948/C4947-1,""),"")</f>
        <v/>
      </c>
      <c r="F4948" s="28">
        <f>IFERROR(D4948-Dashboard!$B$4/252,"")</f>
        <v/>
      </c>
      <c r="G4948" s="28">
        <f>IFERROR(E4948-Dashboard!$B$4/252,"")</f>
        <v/>
      </c>
      <c r="H4948" s="8">
        <f>IFERROR(IF(ISNUMBER(B4948),MAX(B4948,IFERROR(H4947,B4948)),""),"")</f>
        <v/>
      </c>
      <c r="I4948" s="29">
        <f>IFERROR(IF(AND(ISNUMBER(B4948),ISNUMBER(H4948)),B4948/H4948-1,""),"")</f>
        <v/>
      </c>
      <c r="J4948" s="8">
        <f>IFERROR(IF(ISNUMBER(C4948),MAX(C4948,IFERROR(J4947,C4948)),""),"")</f>
        <v/>
      </c>
      <c r="K4948" s="29">
        <f>IFERROR(IF(AND(ISNUMBER(C4948),ISNUMBER(J4948)),C4948/J4948-1,""),"")</f>
        <v/>
      </c>
      <c r="L4948" s="28">
        <f>IFERROR(IF(AND(ISNUMBER(D4948),ISNUMBER(E4948)),D4948-E4948,""),"")</f>
        <v/>
      </c>
    </row>
    <row r="4949">
      <c r="A4949" s="7">
        <f>IFERROR(Datos!A4949,"")</f>
        <v/>
      </c>
      <c r="B4949" s="8">
        <f>IFERROR(Datos!B4949,"")</f>
        <v/>
      </c>
      <c r="C4949" s="8">
        <f>IFERROR(Datos!C4949,"")</f>
        <v/>
      </c>
      <c r="D4949" s="28">
        <f>IFERROR(IF(AND(ISNUMBER(B4949),ISNUMBER(B4948),B4948&lt;&gt;0),B4949/B4948-1,""),"")</f>
        <v/>
      </c>
      <c r="E4949" s="28">
        <f>IFERROR(IF(AND(ISNUMBER(C4949),ISNUMBER(C4948),C4948&lt;&gt;0),C4949/C4948-1,""),"")</f>
        <v/>
      </c>
      <c r="F4949" s="28">
        <f>IFERROR(D4949-Dashboard!$B$4/252,"")</f>
        <v/>
      </c>
      <c r="G4949" s="28">
        <f>IFERROR(E4949-Dashboard!$B$4/252,"")</f>
        <v/>
      </c>
      <c r="H4949" s="8">
        <f>IFERROR(IF(ISNUMBER(B4949),MAX(B4949,IFERROR(H4948,B4949)),""),"")</f>
        <v/>
      </c>
      <c r="I4949" s="29">
        <f>IFERROR(IF(AND(ISNUMBER(B4949),ISNUMBER(H4949)),B4949/H4949-1,""),"")</f>
        <v/>
      </c>
      <c r="J4949" s="8">
        <f>IFERROR(IF(ISNUMBER(C4949),MAX(C4949,IFERROR(J4948,C4949)),""),"")</f>
        <v/>
      </c>
      <c r="K4949" s="29">
        <f>IFERROR(IF(AND(ISNUMBER(C4949),ISNUMBER(J4949)),C4949/J4949-1,""),"")</f>
        <v/>
      </c>
      <c r="L4949" s="28">
        <f>IFERROR(IF(AND(ISNUMBER(D4949),ISNUMBER(E4949)),D4949-E4949,""),"")</f>
        <v/>
      </c>
    </row>
    <row r="4950">
      <c r="A4950" s="7">
        <f>IFERROR(Datos!A4950,"")</f>
        <v/>
      </c>
      <c r="B4950" s="8">
        <f>IFERROR(Datos!B4950,"")</f>
        <v/>
      </c>
      <c r="C4950" s="8">
        <f>IFERROR(Datos!C4950,"")</f>
        <v/>
      </c>
      <c r="D4950" s="28">
        <f>IFERROR(IF(AND(ISNUMBER(B4950),ISNUMBER(B4949),B4949&lt;&gt;0),B4950/B4949-1,""),"")</f>
        <v/>
      </c>
      <c r="E4950" s="28">
        <f>IFERROR(IF(AND(ISNUMBER(C4950),ISNUMBER(C4949),C4949&lt;&gt;0),C4950/C4949-1,""),"")</f>
        <v/>
      </c>
      <c r="F4950" s="28">
        <f>IFERROR(D4950-Dashboard!$B$4/252,"")</f>
        <v/>
      </c>
      <c r="G4950" s="28">
        <f>IFERROR(E4950-Dashboard!$B$4/252,"")</f>
        <v/>
      </c>
      <c r="H4950" s="8">
        <f>IFERROR(IF(ISNUMBER(B4950),MAX(B4950,IFERROR(H4949,B4950)),""),"")</f>
        <v/>
      </c>
      <c r="I4950" s="29">
        <f>IFERROR(IF(AND(ISNUMBER(B4950),ISNUMBER(H4950)),B4950/H4950-1,""),"")</f>
        <v/>
      </c>
      <c r="J4950" s="8">
        <f>IFERROR(IF(ISNUMBER(C4950),MAX(C4950,IFERROR(J4949,C4950)),""),"")</f>
        <v/>
      </c>
      <c r="K4950" s="29">
        <f>IFERROR(IF(AND(ISNUMBER(C4950),ISNUMBER(J4950)),C4950/J4950-1,""),"")</f>
        <v/>
      </c>
      <c r="L4950" s="28">
        <f>IFERROR(IF(AND(ISNUMBER(D4950),ISNUMBER(E4950)),D4950-E4950,""),"")</f>
        <v/>
      </c>
    </row>
    <row r="4951">
      <c r="A4951" s="7">
        <f>IFERROR(Datos!A4951,"")</f>
        <v/>
      </c>
      <c r="B4951" s="8">
        <f>IFERROR(Datos!B4951,"")</f>
        <v/>
      </c>
      <c r="C4951" s="8">
        <f>IFERROR(Datos!C4951,"")</f>
        <v/>
      </c>
      <c r="D4951" s="28">
        <f>IFERROR(IF(AND(ISNUMBER(B4951),ISNUMBER(B4950),B4950&lt;&gt;0),B4951/B4950-1,""),"")</f>
        <v/>
      </c>
      <c r="E4951" s="28">
        <f>IFERROR(IF(AND(ISNUMBER(C4951),ISNUMBER(C4950),C4950&lt;&gt;0),C4951/C4950-1,""),"")</f>
        <v/>
      </c>
      <c r="F4951" s="28">
        <f>IFERROR(D4951-Dashboard!$B$4/252,"")</f>
        <v/>
      </c>
      <c r="G4951" s="28">
        <f>IFERROR(E4951-Dashboard!$B$4/252,"")</f>
        <v/>
      </c>
      <c r="H4951" s="8">
        <f>IFERROR(IF(ISNUMBER(B4951),MAX(B4951,IFERROR(H4950,B4951)),""),"")</f>
        <v/>
      </c>
      <c r="I4951" s="29">
        <f>IFERROR(IF(AND(ISNUMBER(B4951),ISNUMBER(H4951)),B4951/H4951-1,""),"")</f>
        <v/>
      </c>
      <c r="J4951" s="8">
        <f>IFERROR(IF(ISNUMBER(C4951),MAX(C4951,IFERROR(J4950,C4951)),""),"")</f>
        <v/>
      </c>
      <c r="K4951" s="29">
        <f>IFERROR(IF(AND(ISNUMBER(C4951),ISNUMBER(J4951)),C4951/J4951-1,""),"")</f>
        <v/>
      </c>
      <c r="L4951" s="28">
        <f>IFERROR(IF(AND(ISNUMBER(D4951),ISNUMBER(E4951)),D4951-E4951,""),"")</f>
        <v/>
      </c>
    </row>
    <row r="4952">
      <c r="A4952" s="7">
        <f>IFERROR(Datos!A4952,"")</f>
        <v/>
      </c>
      <c r="B4952" s="8">
        <f>IFERROR(Datos!B4952,"")</f>
        <v/>
      </c>
      <c r="C4952" s="8">
        <f>IFERROR(Datos!C4952,"")</f>
        <v/>
      </c>
      <c r="D4952" s="28">
        <f>IFERROR(IF(AND(ISNUMBER(B4952),ISNUMBER(B4951),B4951&lt;&gt;0),B4952/B4951-1,""),"")</f>
        <v/>
      </c>
      <c r="E4952" s="28">
        <f>IFERROR(IF(AND(ISNUMBER(C4952),ISNUMBER(C4951),C4951&lt;&gt;0),C4952/C4951-1,""),"")</f>
        <v/>
      </c>
      <c r="F4952" s="28">
        <f>IFERROR(D4952-Dashboard!$B$4/252,"")</f>
        <v/>
      </c>
      <c r="G4952" s="28">
        <f>IFERROR(E4952-Dashboard!$B$4/252,"")</f>
        <v/>
      </c>
      <c r="H4952" s="8">
        <f>IFERROR(IF(ISNUMBER(B4952),MAX(B4952,IFERROR(H4951,B4952)),""),"")</f>
        <v/>
      </c>
      <c r="I4952" s="29">
        <f>IFERROR(IF(AND(ISNUMBER(B4952),ISNUMBER(H4952)),B4952/H4952-1,""),"")</f>
        <v/>
      </c>
      <c r="J4952" s="8">
        <f>IFERROR(IF(ISNUMBER(C4952),MAX(C4952,IFERROR(J4951,C4952)),""),"")</f>
        <v/>
      </c>
      <c r="K4952" s="29">
        <f>IFERROR(IF(AND(ISNUMBER(C4952),ISNUMBER(J4952)),C4952/J4952-1,""),"")</f>
        <v/>
      </c>
      <c r="L4952" s="28">
        <f>IFERROR(IF(AND(ISNUMBER(D4952),ISNUMBER(E4952)),D4952-E4952,""),"")</f>
        <v/>
      </c>
    </row>
    <row r="4953">
      <c r="A4953" s="7">
        <f>IFERROR(Datos!A4953,"")</f>
        <v/>
      </c>
      <c r="B4953" s="8">
        <f>IFERROR(Datos!B4953,"")</f>
        <v/>
      </c>
      <c r="C4953" s="8">
        <f>IFERROR(Datos!C4953,"")</f>
        <v/>
      </c>
      <c r="D4953" s="28">
        <f>IFERROR(IF(AND(ISNUMBER(B4953),ISNUMBER(B4952),B4952&lt;&gt;0),B4953/B4952-1,""),"")</f>
        <v/>
      </c>
      <c r="E4953" s="28">
        <f>IFERROR(IF(AND(ISNUMBER(C4953),ISNUMBER(C4952),C4952&lt;&gt;0),C4953/C4952-1,""),"")</f>
        <v/>
      </c>
      <c r="F4953" s="28">
        <f>IFERROR(D4953-Dashboard!$B$4/252,"")</f>
        <v/>
      </c>
      <c r="G4953" s="28">
        <f>IFERROR(E4953-Dashboard!$B$4/252,"")</f>
        <v/>
      </c>
      <c r="H4953" s="8">
        <f>IFERROR(IF(ISNUMBER(B4953),MAX(B4953,IFERROR(H4952,B4953)),""),"")</f>
        <v/>
      </c>
      <c r="I4953" s="29">
        <f>IFERROR(IF(AND(ISNUMBER(B4953),ISNUMBER(H4953)),B4953/H4953-1,""),"")</f>
        <v/>
      </c>
      <c r="J4953" s="8">
        <f>IFERROR(IF(ISNUMBER(C4953),MAX(C4953,IFERROR(J4952,C4953)),""),"")</f>
        <v/>
      </c>
      <c r="K4953" s="29">
        <f>IFERROR(IF(AND(ISNUMBER(C4953),ISNUMBER(J4953)),C4953/J4953-1,""),"")</f>
        <v/>
      </c>
      <c r="L4953" s="28">
        <f>IFERROR(IF(AND(ISNUMBER(D4953),ISNUMBER(E4953)),D4953-E4953,""),"")</f>
        <v/>
      </c>
    </row>
    <row r="4954">
      <c r="A4954" s="7">
        <f>IFERROR(Datos!A4954,"")</f>
        <v/>
      </c>
      <c r="B4954" s="8">
        <f>IFERROR(Datos!B4954,"")</f>
        <v/>
      </c>
      <c r="C4954" s="8">
        <f>IFERROR(Datos!C4954,"")</f>
        <v/>
      </c>
      <c r="D4954" s="28">
        <f>IFERROR(IF(AND(ISNUMBER(B4954),ISNUMBER(B4953),B4953&lt;&gt;0),B4954/B4953-1,""),"")</f>
        <v/>
      </c>
      <c r="E4954" s="28">
        <f>IFERROR(IF(AND(ISNUMBER(C4954),ISNUMBER(C4953),C4953&lt;&gt;0),C4954/C4953-1,""),"")</f>
        <v/>
      </c>
      <c r="F4954" s="28">
        <f>IFERROR(D4954-Dashboard!$B$4/252,"")</f>
        <v/>
      </c>
      <c r="G4954" s="28">
        <f>IFERROR(E4954-Dashboard!$B$4/252,"")</f>
        <v/>
      </c>
      <c r="H4954" s="8">
        <f>IFERROR(IF(ISNUMBER(B4954),MAX(B4954,IFERROR(H4953,B4954)),""),"")</f>
        <v/>
      </c>
      <c r="I4954" s="29">
        <f>IFERROR(IF(AND(ISNUMBER(B4954),ISNUMBER(H4954)),B4954/H4954-1,""),"")</f>
        <v/>
      </c>
      <c r="J4954" s="8">
        <f>IFERROR(IF(ISNUMBER(C4954),MAX(C4954,IFERROR(J4953,C4954)),""),"")</f>
        <v/>
      </c>
      <c r="K4954" s="29">
        <f>IFERROR(IF(AND(ISNUMBER(C4954),ISNUMBER(J4954)),C4954/J4954-1,""),"")</f>
        <v/>
      </c>
      <c r="L4954" s="28">
        <f>IFERROR(IF(AND(ISNUMBER(D4954),ISNUMBER(E4954)),D4954-E4954,""),"")</f>
        <v/>
      </c>
    </row>
    <row r="4955">
      <c r="A4955" s="7">
        <f>IFERROR(Datos!A4955,"")</f>
        <v/>
      </c>
      <c r="B4955" s="8">
        <f>IFERROR(Datos!B4955,"")</f>
        <v/>
      </c>
      <c r="C4955" s="8">
        <f>IFERROR(Datos!C4955,"")</f>
        <v/>
      </c>
      <c r="D4955" s="28">
        <f>IFERROR(IF(AND(ISNUMBER(B4955),ISNUMBER(B4954),B4954&lt;&gt;0),B4955/B4954-1,""),"")</f>
        <v/>
      </c>
      <c r="E4955" s="28">
        <f>IFERROR(IF(AND(ISNUMBER(C4955),ISNUMBER(C4954),C4954&lt;&gt;0),C4955/C4954-1,""),"")</f>
        <v/>
      </c>
      <c r="F4955" s="28">
        <f>IFERROR(D4955-Dashboard!$B$4/252,"")</f>
        <v/>
      </c>
      <c r="G4955" s="28">
        <f>IFERROR(E4955-Dashboard!$B$4/252,"")</f>
        <v/>
      </c>
      <c r="H4955" s="8">
        <f>IFERROR(IF(ISNUMBER(B4955),MAX(B4955,IFERROR(H4954,B4955)),""),"")</f>
        <v/>
      </c>
      <c r="I4955" s="29">
        <f>IFERROR(IF(AND(ISNUMBER(B4955),ISNUMBER(H4955)),B4955/H4955-1,""),"")</f>
        <v/>
      </c>
      <c r="J4955" s="8">
        <f>IFERROR(IF(ISNUMBER(C4955),MAX(C4955,IFERROR(J4954,C4955)),""),"")</f>
        <v/>
      </c>
      <c r="K4955" s="29">
        <f>IFERROR(IF(AND(ISNUMBER(C4955),ISNUMBER(J4955)),C4955/J4955-1,""),"")</f>
        <v/>
      </c>
      <c r="L4955" s="28">
        <f>IFERROR(IF(AND(ISNUMBER(D4955),ISNUMBER(E4955)),D4955-E4955,""),"")</f>
        <v/>
      </c>
    </row>
    <row r="4956">
      <c r="A4956" s="7">
        <f>IFERROR(Datos!A4956,"")</f>
        <v/>
      </c>
      <c r="B4956" s="8">
        <f>IFERROR(Datos!B4956,"")</f>
        <v/>
      </c>
      <c r="C4956" s="8">
        <f>IFERROR(Datos!C4956,"")</f>
        <v/>
      </c>
      <c r="D4956" s="28">
        <f>IFERROR(IF(AND(ISNUMBER(B4956),ISNUMBER(B4955),B4955&lt;&gt;0),B4956/B4955-1,""),"")</f>
        <v/>
      </c>
      <c r="E4956" s="28">
        <f>IFERROR(IF(AND(ISNUMBER(C4956),ISNUMBER(C4955),C4955&lt;&gt;0),C4956/C4955-1,""),"")</f>
        <v/>
      </c>
      <c r="F4956" s="28">
        <f>IFERROR(D4956-Dashboard!$B$4/252,"")</f>
        <v/>
      </c>
      <c r="G4956" s="28">
        <f>IFERROR(E4956-Dashboard!$B$4/252,"")</f>
        <v/>
      </c>
      <c r="H4956" s="8">
        <f>IFERROR(IF(ISNUMBER(B4956),MAX(B4956,IFERROR(H4955,B4956)),""),"")</f>
        <v/>
      </c>
      <c r="I4956" s="29">
        <f>IFERROR(IF(AND(ISNUMBER(B4956),ISNUMBER(H4956)),B4956/H4956-1,""),"")</f>
        <v/>
      </c>
      <c r="J4956" s="8">
        <f>IFERROR(IF(ISNUMBER(C4956),MAX(C4956,IFERROR(J4955,C4956)),""),"")</f>
        <v/>
      </c>
      <c r="K4956" s="29">
        <f>IFERROR(IF(AND(ISNUMBER(C4956),ISNUMBER(J4956)),C4956/J4956-1,""),"")</f>
        <v/>
      </c>
      <c r="L4956" s="28">
        <f>IFERROR(IF(AND(ISNUMBER(D4956),ISNUMBER(E4956)),D4956-E4956,""),"")</f>
        <v/>
      </c>
    </row>
    <row r="4957">
      <c r="A4957" s="7">
        <f>IFERROR(Datos!A4957,"")</f>
        <v/>
      </c>
      <c r="B4957" s="8">
        <f>IFERROR(Datos!B4957,"")</f>
        <v/>
      </c>
      <c r="C4957" s="8">
        <f>IFERROR(Datos!C4957,"")</f>
        <v/>
      </c>
      <c r="D4957" s="28">
        <f>IFERROR(IF(AND(ISNUMBER(B4957),ISNUMBER(B4956),B4956&lt;&gt;0),B4957/B4956-1,""),"")</f>
        <v/>
      </c>
      <c r="E4957" s="28">
        <f>IFERROR(IF(AND(ISNUMBER(C4957),ISNUMBER(C4956),C4956&lt;&gt;0),C4957/C4956-1,""),"")</f>
        <v/>
      </c>
      <c r="F4957" s="28">
        <f>IFERROR(D4957-Dashboard!$B$4/252,"")</f>
        <v/>
      </c>
      <c r="G4957" s="28">
        <f>IFERROR(E4957-Dashboard!$B$4/252,"")</f>
        <v/>
      </c>
      <c r="H4957" s="8">
        <f>IFERROR(IF(ISNUMBER(B4957),MAX(B4957,IFERROR(H4956,B4957)),""),"")</f>
        <v/>
      </c>
      <c r="I4957" s="29">
        <f>IFERROR(IF(AND(ISNUMBER(B4957),ISNUMBER(H4957)),B4957/H4957-1,""),"")</f>
        <v/>
      </c>
      <c r="J4957" s="8">
        <f>IFERROR(IF(ISNUMBER(C4957),MAX(C4957,IFERROR(J4956,C4957)),""),"")</f>
        <v/>
      </c>
      <c r="K4957" s="29">
        <f>IFERROR(IF(AND(ISNUMBER(C4957),ISNUMBER(J4957)),C4957/J4957-1,""),"")</f>
        <v/>
      </c>
      <c r="L4957" s="28">
        <f>IFERROR(IF(AND(ISNUMBER(D4957),ISNUMBER(E4957)),D4957-E4957,""),"")</f>
        <v/>
      </c>
    </row>
    <row r="4958">
      <c r="A4958" s="7">
        <f>IFERROR(Datos!A4958,"")</f>
        <v/>
      </c>
      <c r="B4958" s="8">
        <f>IFERROR(Datos!B4958,"")</f>
        <v/>
      </c>
      <c r="C4958" s="8">
        <f>IFERROR(Datos!C4958,"")</f>
        <v/>
      </c>
      <c r="D4958" s="28">
        <f>IFERROR(IF(AND(ISNUMBER(B4958),ISNUMBER(B4957),B4957&lt;&gt;0),B4958/B4957-1,""),"")</f>
        <v/>
      </c>
      <c r="E4958" s="28">
        <f>IFERROR(IF(AND(ISNUMBER(C4958),ISNUMBER(C4957),C4957&lt;&gt;0),C4958/C4957-1,""),"")</f>
        <v/>
      </c>
      <c r="F4958" s="28">
        <f>IFERROR(D4958-Dashboard!$B$4/252,"")</f>
        <v/>
      </c>
      <c r="G4958" s="28">
        <f>IFERROR(E4958-Dashboard!$B$4/252,"")</f>
        <v/>
      </c>
      <c r="H4958" s="8">
        <f>IFERROR(IF(ISNUMBER(B4958),MAX(B4958,IFERROR(H4957,B4958)),""),"")</f>
        <v/>
      </c>
      <c r="I4958" s="29">
        <f>IFERROR(IF(AND(ISNUMBER(B4958),ISNUMBER(H4958)),B4958/H4958-1,""),"")</f>
        <v/>
      </c>
      <c r="J4958" s="8">
        <f>IFERROR(IF(ISNUMBER(C4958),MAX(C4958,IFERROR(J4957,C4958)),""),"")</f>
        <v/>
      </c>
      <c r="K4958" s="29">
        <f>IFERROR(IF(AND(ISNUMBER(C4958),ISNUMBER(J4958)),C4958/J4958-1,""),"")</f>
        <v/>
      </c>
      <c r="L4958" s="28">
        <f>IFERROR(IF(AND(ISNUMBER(D4958),ISNUMBER(E4958)),D4958-E4958,""),"")</f>
        <v/>
      </c>
    </row>
    <row r="4959">
      <c r="A4959" s="7">
        <f>IFERROR(Datos!A4959,"")</f>
        <v/>
      </c>
      <c r="B4959" s="8">
        <f>IFERROR(Datos!B4959,"")</f>
        <v/>
      </c>
      <c r="C4959" s="8">
        <f>IFERROR(Datos!C4959,"")</f>
        <v/>
      </c>
      <c r="D4959" s="28">
        <f>IFERROR(IF(AND(ISNUMBER(B4959),ISNUMBER(B4958),B4958&lt;&gt;0),B4959/B4958-1,""),"")</f>
        <v/>
      </c>
      <c r="E4959" s="28">
        <f>IFERROR(IF(AND(ISNUMBER(C4959),ISNUMBER(C4958),C4958&lt;&gt;0),C4959/C4958-1,""),"")</f>
        <v/>
      </c>
      <c r="F4959" s="28">
        <f>IFERROR(D4959-Dashboard!$B$4/252,"")</f>
        <v/>
      </c>
      <c r="G4959" s="28">
        <f>IFERROR(E4959-Dashboard!$B$4/252,"")</f>
        <v/>
      </c>
      <c r="H4959" s="8">
        <f>IFERROR(IF(ISNUMBER(B4959),MAX(B4959,IFERROR(H4958,B4959)),""),"")</f>
        <v/>
      </c>
      <c r="I4959" s="29">
        <f>IFERROR(IF(AND(ISNUMBER(B4959),ISNUMBER(H4959)),B4959/H4959-1,""),"")</f>
        <v/>
      </c>
      <c r="J4959" s="8">
        <f>IFERROR(IF(ISNUMBER(C4959),MAX(C4959,IFERROR(J4958,C4959)),""),"")</f>
        <v/>
      </c>
      <c r="K4959" s="29">
        <f>IFERROR(IF(AND(ISNUMBER(C4959),ISNUMBER(J4959)),C4959/J4959-1,""),"")</f>
        <v/>
      </c>
      <c r="L4959" s="28">
        <f>IFERROR(IF(AND(ISNUMBER(D4959),ISNUMBER(E4959)),D4959-E4959,""),"")</f>
        <v/>
      </c>
    </row>
    <row r="4960">
      <c r="A4960" s="7">
        <f>IFERROR(Datos!A4960,"")</f>
        <v/>
      </c>
      <c r="B4960" s="8">
        <f>IFERROR(Datos!B4960,"")</f>
        <v/>
      </c>
      <c r="C4960" s="8">
        <f>IFERROR(Datos!C4960,"")</f>
        <v/>
      </c>
      <c r="D4960" s="28">
        <f>IFERROR(IF(AND(ISNUMBER(B4960),ISNUMBER(B4959),B4959&lt;&gt;0),B4960/B4959-1,""),"")</f>
        <v/>
      </c>
      <c r="E4960" s="28">
        <f>IFERROR(IF(AND(ISNUMBER(C4960),ISNUMBER(C4959),C4959&lt;&gt;0),C4960/C4959-1,""),"")</f>
        <v/>
      </c>
      <c r="F4960" s="28">
        <f>IFERROR(D4960-Dashboard!$B$4/252,"")</f>
        <v/>
      </c>
      <c r="G4960" s="28">
        <f>IFERROR(E4960-Dashboard!$B$4/252,"")</f>
        <v/>
      </c>
      <c r="H4960" s="8">
        <f>IFERROR(IF(ISNUMBER(B4960),MAX(B4960,IFERROR(H4959,B4960)),""),"")</f>
        <v/>
      </c>
      <c r="I4960" s="29">
        <f>IFERROR(IF(AND(ISNUMBER(B4960),ISNUMBER(H4960)),B4960/H4960-1,""),"")</f>
        <v/>
      </c>
      <c r="J4960" s="8">
        <f>IFERROR(IF(ISNUMBER(C4960),MAX(C4960,IFERROR(J4959,C4960)),""),"")</f>
        <v/>
      </c>
      <c r="K4960" s="29">
        <f>IFERROR(IF(AND(ISNUMBER(C4960),ISNUMBER(J4960)),C4960/J4960-1,""),"")</f>
        <v/>
      </c>
      <c r="L4960" s="28">
        <f>IFERROR(IF(AND(ISNUMBER(D4960),ISNUMBER(E4960)),D4960-E4960,""),"")</f>
        <v/>
      </c>
    </row>
    <row r="4961">
      <c r="A4961" s="7">
        <f>IFERROR(Datos!A4961,"")</f>
        <v/>
      </c>
      <c r="B4961" s="8">
        <f>IFERROR(Datos!B4961,"")</f>
        <v/>
      </c>
      <c r="C4961" s="8">
        <f>IFERROR(Datos!C4961,"")</f>
        <v/>
      </c>
      <c r="D4961" s="28">
        <f>IFERROR(IF(AND(ISNUMBER(B4961),ISNUMBER(B4960),B4960&lt;&gt;0),B4961/B4960-1,""),"")</f>
        <v/>
      </c>
      <c r="E4961" s="28">
        <f>IFERROR(IF(AND(ISNUMBER(C4961),ISNUMBER(C4960),C4960&lt;&gt;0),C4961/C4960-1,""),"")</f>
        <v/>
      </c>
      <c r="F4961" s="28">
        <f>IFERROR(D4961-Dashboard!$B$4/252,"")</f>
        <v/>
      </c>
      <c r="G4961" s="28">
        <f>IFERROR(E4961-Dashboard!$B$4/252,"")</f>
        <v/>
      </c>
      <c r="H4961" s="8">
        <f>IFERROR(IF(ISNUMBER(B4961),MAX(B4961,IFERROR(H4960,B4961)),""),"")</f>
        <v/>
      </c>
      <c r="I4961" s="29">
        <f>IFERROR(IF(AND(ISNUMBER(B4961),ISNUMBER(H4961)),B4961/H4961-1,""),"")</f>
        <v/>
      </c>
      <c r="J4961" s="8">
        <f>IFERROR(IF(ISNUMBER(C4961),MAX(C4961,IFERROR(J4960,C4961)),""),"")</f>
        <v/>
      </c>
      <c r="K4961" s="29">
        <f>IFERROR(IF(AND(ISNUMBER(C4961),ISNUMBER(J4961)),C4961/J4961-1,""),"")</f>
        <v/>
      </c>
      <c r="L4961" s="28">
        <f>IFERROR(IF(AND(ISNUMBER(D4961),ISNUMBER(E4961)),D4961-E4961,""),"")</f>
        <v/>
      </c>
    </row>
    <row r="4962">
      <c r="A4962" s="7">
        <f>IFERROR(Datos!A4962,"")</f>
        <v/>
      </c>
      <c r="B4962" s="8">
        <f>IFERROR(Datos!B4962,"")</f>
        <v/>
      </c>
      <c r="C4962" s="8">
        <f>IFERROR(Datos!C4962,"")</f>
        <v/>
      </c>
      <c r="D4962" s="28">
        <f>IFERROR(IF(AND(ISNUMBER(B4962),ISNUMBER(B4961),B4961&lt;&gt;0),B4962/B4961-1,""),"")</f>
        <v/>
      </c>
      <c r="E4962" s="28">
        <f>IFERROR(IF(AND(ISNUMBER(C4962),ISNUMBER(C4961),C4961&lt;&gt;0),C4962/C4961-1,""),"")</f>
        <v/>
      </c>
      <c r="F4962" s="28">
        <f>IFERROR(D4962-Dashboard!$B$4/252,"")</f>
        <v/>
      </c>
      <c r="G4962" s="28">
        <f>IFERROR(E4962-Dashboard!$B$4/252,"")</f>
        <v/>
      </c>
      <c r="H4962" s="8">
        <f>IFERROR(IF(ISNUMBER(B4962),MAX(B4962,IFERROR(H4961,B4962)),""),"")</f>
        <v/>
      </c>
      <c r="I4962" s="29">
        <f>IFERROR(IF(AND(ISNUMBER(B4962),ISNUMBER(H4962)),B4962/H4962-1,""),"")</f>
        <v/>
      </c>
      <c r="J4962" s="8">
        <f>IFERROR(IF(ISNUMBER(C4962),MAX(C4962,IFERROR(J4961,C4962)),""),"")</f>
        <v/>
      </c>
      <c r="K4962" s="29">
        <f>IFERROR(IF(AND(ISNUMBER(C4962),ISNUMBER(J4962)),C4962/J4962-1,""),"")</f>
        <v/>
      </c>
      <c r="L4962" s="28">
        <f>IFERROR(IF(AND(ISNUMBER(D4962),ISNUMBER(E4962)),D4962-E4962,""),"")</f>
        <v/>
      </c>
    </row>
    <row r="4963">
      <c r="A4963" s="7">
        <f>IFERROR(Datos!A4963,"")</f>
        <v/>
      </c>
      <c r="B4963" s="8">
        <f>IFERROR(Datos!B4963,"")</f>
        <v/>
      </c>
      <c r="C4963" s="8">
        <f>IFERROR(Datos!C4963,"")</f>
        <v/>
      </c>
      <c r="D4963" s="28">
        <f>IFERROR(IF(AND(ISNUMBER(B4963),ISNUMBER(B4962),B4962&lt;&gt;0),B4963/B4962-1,""),"")</f>
        <v/>
      </c>
      <c r="E4963" s="28">
        <f>IFERROR(IF(AND(ISNUMBER(C4963),ISNUMBER(C4962),C4962&lt;&gt;0),C4963/C4962-1,""),"")</f>
        <v/>
      </c>
      <c r="F4963" s="28">
        <f>IFERROR(D4963-Dashboard!$B$4/252,"")</f>
        <v/>
      </c>
      <c r="G4963" s="28">
        <f>IFERROR(E4963-Dashboard!$B$4/252,"")</f>
        <v/>
      </c>
      <c r="H4963" s="8">
        <f>IFERROR(IF(ISNUMBER(B4963),MAX(B4963,IFERROR(H4962,B4963)),""),"")</f>
        <v/>
      </c>
      <c r="I4963" s="29">
        <f>IFERROR(IF(AND(ISNUMBER(B4963),ISNUMBER(H4963)),B4963/H4963-1,""),"")</f>
        <v/>
      </c>
      <c r="J4963" s="8">
        <f>IFERROR(IF(ISNUMBER(C4963),MAX(C4963,IFERROR(J4962,C4963)),""),"")</f>
        <v/>
      </c>
      <c r="K4963" s="29">
        <f>IFERROR(IF(AND(ISNUMBER(C4963),ISNUMBER(J4963)),C4963/J4963-1,""),"")</f>
        <v/>
      </c>
      <c r="L4963" s="28">
        <f>IFERROR(IF(AND(ISNUMBER(D4963),ISNUMBER(E4963)),D4963-E4963,""),"")</f>
        <v/>
      </c>
    </row>
    <row r="4964">
      <c r="A4964" s="7">
        <f>IFERROR(Datos!A4964,"")</f>
        <v/>
      </c>
      <c r="B4964" s="8">
        <f>IFERROR(Datos!B4964,"")</f>
        <v/>
      </c>
      <c r="C4964" s="8">
        <f>IFERROR(Datos!C4964,"")</f>
        <v/>
      </c>
      <c r="D4964" s="28">
        <f>IFERROR(IF(AND(ISNUMBER(B4964),ISNUMBER(B4963),B4963&lt;&gt;0),B4964/B4963-1,""),"")</f>
        <v/>
      </c>
      <c r="E4964" s="28">
        <f>IFERROR(IF(AND(ISNUMBER(C4964),ISNUMBER(C4963),C4963&lt;&gt;0),C4964/C4963-1,""),"")</f>
        <v/>
      </c>
      <c r="F4964" s="28">
        <f>IFERROR(D4964-Dashboard!$B$4/252,"")</f>
        <v/>
      </c>
      <c r="G4964" s="28">
        <f>IFERROR(E4964-Dashboard!$B$4/252,"")</f>
        <v/>
      </c>
      <c r="H4964" s="8">
        <f>IFERROR(IF(ISNUMBER(B4964),MAX(B4964,IFERROR(H4963,B4964)),""),"")</f>
        <v/>
      </c>
      <c r="I4964" s="29">
        <f>IFERROR(IF(AND(ISNUMBER(B4964),ISNUMBER(H4964)),B4964/H4964-1,""),"")</f>
        <v/>
      </c>
      <c r="J4964" s="8">
        <f>IFERROR(IF(ISNUMBER(C4964),MAX(C4964,IFERROR(J4963,C4964)),""),"")</f>
        <v/>
      </c>
      <c r="K4964" s="29">
        <f>IFERROR(IF(AND(ISNUMBER(C4964),ISNUMBER(J4964)),C4964/J4964-1,""),"")</f>
        <v/>
      </c>
      <c r="L4964" s="28">
        <f>IFERROR(IF(AND(ISNUMBER(D4964),ISNUMBER(E4964)),D4964-E4964,""),"")</f>
        <v/>
      </c>
    </row>
    <row r="4965">
      <c r="A4965" s="7">
        <f>IFERROR(Datos!A4965,"")</f>
        <v/>
      </c>
      <c r="B4965" s="8">
        <f>IFERROR(Datos!B4965,"")</f>
        <v/>
      </c>
      <c r="C4965" s="8">
        <f>IFERROR(Datos!C4965,"")</f>
        <v/>
      </c>
      <c r="D4965" s="28">
        <f>IFERROR(IF(AND(ISNUMBER(B4965),ISNUMBER(B4964),B4964&lt;&gt;0),B4965/B4964-1,""),"")</f>
        <v/>
      </c>
      <c r="E4965" s="28">
        <f>IFERROR(IF(AND(ISNUMBER(C4965),ISNUMBER(C4964),C4964&lt;&gt;0),C4965/C4964-1,""),"")</f>
        <v/>
      </c>
      <c r="F4965" s="28">
        <f>IFERROR(D4965-Dashboard!$B$4/252,"")</f>
        <v/>
      </c>
      <c r="G4965" s="28">
        <f>IFERROR(E4965-Dashboard!$B$4/252,"")</f>
        <v/>
      </c>
      <c r="H4965" s="8">
        <f>IFERROR(IF(ISNUMBER(B4965),MAX(B4965,IFERROR(H4964,B4965)),""),"")</f>
        <v/>
      </c>
      <c r="I4965" s="29">
        <f>IFERROR(IF(AND(ISNUMBER(B4965),ISNUMBER(H4965)),B4965/H4965-1,""),"")</f>
        <v/>
      </c>
      <c r="J4965" s="8">
        <f>IFERROR(IF(ISNUMBER(C4965),MAX(C4965,IFERROR(J4964,C4965)),""),"")</f>
        <v/>
      </c>
      <c r="K4965" s="29">
        <f>IFERROR(IF(AND(ISNUMBER(C4965),ISNUMBER(J4965)),C4965/J4965-1,""),"")</f>
        <v/>
      </c>
      <c r="L4965" s="28">
        <f>IFERROR(IF(AND(ISNUMBER(D4965),ISNUMBER(E4965)),D4965-E4965,""),"")</f>
        <v/>
      </c>
    </row>
    <row r="4966">
      <c r="A4966" s="7">
        <f>IFERROR(Datos!A4966,"")</f>
        <v/>
      </c>
      <c r="B4966" s="8">
        <f>IFERROR(Datos!B4966,"")</f>
        <v/>
      </c>
      <c r="C4966" s="8">
        <f>IFERROR(Datos!C4966,"")</f>
        <v/>
      </c>
      <c r="D4966" s="28">
        <f>IFERROR(IF(AND(ISNUMBER(B4966),ISNUMBER(B4965),B4965&lt;&gt;0),B4966/B4965-1,""),"")</f>
        <v/>
      </c>
      <c r="E4966" s="28">
        <f>IFERROR(IF(AND(ISNUMBER(C4966),ISNUMBER(C4965),C4965&lt;&gt;0),C4966/C4965-1,""),"")</f>
        <v/>
      </c>
      <c r="F4966" s="28">
        <f>IFERROR(D4966-Dashboard!$B$4/252,"")</f>
        <v/>
      </c>
      <c r="G4966" s="28">
        <f>IFERROR(E4966-Dashboard!$B$4/252,"")</f>
        <v/>
      </c>
      <c r="H4966" s="8">
        <f>IFERROR(IF(ISNUMBER(B4966),MAX(B4966,IFERROR(H4965,B4966)),""),"")</f>
        <v/>
      </c>
      <c r="I4966" s="29">
        <f>IFERROR(IF(AND(ISNUMBER(B4966),ISNUMBER(H4966)),B4966/H4966-1,""),"")</f>
        <v/>
      </c>
      <c r="J4966" s="8">
        <f>IFERROR(IF(ISNUMBER(C4966),MAX(C4966,IFERROR(J4965,C4966)),""),"")</f>
        <v/>
      </c>
      <c r="K4966" s="29">
        <f>IFERROR(IF(AND(ISNUMBER(C4966),ISNUMBER(J4966)),C4966/J4966-1,""),"")</f>
        <v/>
      </c>
      <c r="L4966" s="28">
        <f>IFERROR(IF(AND(ISNUMBER(D4966),ISNUMBER(E4966)),D4966-E4966,""),"")</f>
        <v/>
      </c>
    </row>
    <row r="4967">
      <c r="A4967" s="7">
        <f>IFERROR(Datos!A4967,"")</f>
        <v/>
      </c>
      <c r="B4967" s="8">
        <f>IFERROR(Datos!B4967,"")</f>
        <v/>
      </c>
      <c r="C4967" s="8">
        <f>IFERROR(Datos!C4967,"")</f>
        <v/>
      </c>
      <c r="D4967" s="28">
        <f>IFERROR(IF(AND(ISNUMBER(B4967),ISNUMBER(B4966),B4966&lt;&gt;0),B4967/B4966-1,""),"")</f>
        <v/>
      </c>
      <c r="E4967" s="28">
        <f>IFERROR(IF(AND(ISNUMBER(C4967),ISNUMBER(C4966),C4966&lt;&gt;0),C4967/C4966-1,""),"")</f>
        <v/>
      </c>
      <c r="F4967" s="28">
        <f>IFERROR(D4967-Dashboard!$B$4/252,"")</f>
        <v/>
      </c>
      <c r="G4967" s="28">
        <f>IFERROR(E4967-Dashboard!$B$4/252,"")</f>
        <v/>
      </c>
      <c r="H4967" s="8">
        <f>IFERROR(IF(ISNUMBER(B4967),MAX(B4967,IFERROR(H4966,B4967)),""),"")</f>
        <v/>
      </c>
      <c r="I4967" s="29">
        <f>IFERROR(IF(AND(ISNUMBER(B4967),ISNUMBER(H4967)),B4967/H4967-1,""),"")</f>
        <v/>
      </c>
      <c r="J4967" s="8">
        <f>IFERROR(IF(ISNUMBER(C4967),MAX(C4967,IFERROR(J4966,C4967)),""),"")</f>
        <v/>
      </c>
      <c r="K4967" s="29">
        <f>IFERROR(IF(AND(ISNUMBER(C4967),ISNUMBER(J4967)),C4967/J4967-1,""),"")</f>
        <v/>
      </c>
      <c r="L4967" s="28">
        <f>IFERROR(IF(AND(ISNUMBER(D4967),ISNUMBER(E4967)),D4967-E4967,""),"")</f>
        <v/>
      </c>
    </row>
    <row r="4968">
      <c r="A4968" s="7">
        <f>IFERROR(Datos!A4968,"")</f>
        <v/>
      </c>
      <c r="B4968" s="8">
        <f>IFERROR(Datos!B4968,"")</f>
        <v/>
      </c>
      <c r="C4968" s="8">
        <f>IFERROR(Datos!C4968,"")</f>
        <v/>
      </c>
      <c r="D4968" s="28">
        <f>IFERROR(IF(AND(ISNUMBER(B4968),ISNUMBER(B4967),B4967&lt;&gt;0),B4968/B4967-1,""),"")</f>
        <v/>
      </c>
      <c r="E4968" s="28">
        <f>IFERROR(IF(AND(ISNUMBER(C4968),ISNUMBER(C4967),C4967&lt;&gt;0),C4968/C4967-1,""),"")</f>
        <v/>
      </c>
      <c r="F4968" s="28">
        <f>IFERROR(D4968-Dashboard!$B$4/252,"")</f>
        <v/>
      </c>
      <c r="G4968" s="28">
        <f>IFERROR(E4968-Dashboard!$B$4/252,"")</f>
        <v/>
      </c>
      <c r="H4968" s="8">
        <f>IFERROR(IF(ISNUMBER(B4968),MAX(B4968,IFERROR(H4967,B4968)),""),"")</f>
        <v/>
      </c>
      <c r="I4968" s="29">
        <f>IFERROR(IF(AND(ISNUMBER(B4968),ISNUMBER(H4968)),B4968/H4968-1,""),"")</f>
        <v/>
      </c>
      <c r="J4968" s="8">
        <f>IFERROR(IF(ISNUMBER(C4968),MAX(C4968,IFERROR(J4967,C4968)),""),"")</f>
        <v/>
      </c>
      <c r="K4968" s="29">
        <f>IFERROR(IF(AND(ISNUMBER(C4968),ISNUMBER(J4968)),C4968/J4968-1,""),"")</f>
        <v/>
      </c>
      <c r="L4968" s="28">
        <f>IFERROR(IF(AND(ISNUMBER(D4968),ISNUMBER(E4968)),D4968-E4968,""),"")</f>
        <v/>
      </c>
    </row>
    <row r="4969">
      <c r="A4969" s="7">
        <f>IFERROR(Datos!A4969,"")</f>
        <v/>
      </c>
      <c r="B4969" s="8">
        <f>IFERROR(Datos!B4969,"")</f>
        <v/>
      </c>
      <c r="C4969" s="8">
        <f>IFERROR(Datos!C4969,"")</f>
        <v/>
      </c>
      <c r="D4969" s="28">
        <f>IFERROR(IF(AND(ISNUMBER(B4969),ISNUMBER(B4968),B4968&lt;&gt;0),B4969/B4968-1,""),"")</f>
        <v/>
      </c>
      <c r="E4969" s="28">
        <f>IFERROR(IF(AND(ISNUMBER(C4969),ISNUMBER(C4968),C4968&lt;&gt;0),C4969/C4968-1,""),"")</f>
        <v/>
      </c>
      <c r="F4969" s="28">
        <f>IFERROR(D4969-Dashboard!$B$4/252,"")</f>
        <v/>
      </c>
      <c r="G4969" s="28">
        <f>IFERROR(E4969-Dashboard!$B$4/252,"")</f>
        <v/>
      </c>
      <c r="H4969" s="8">
        <f>IFERROR(IF(ISNUMBER(B4969),MAX(B4969,IFERROR(H4968,B4969)),""),"")</f>
        <v/>
      </c>
      <c r="I4969" s="29">
        <f>IFERROR(IF(AND(ISNUMBER(B4969),ISNUMBER(H4969)),B4969/H4969-1,""),"")</f>
        <v/>
      </c>
      <c r="J4969" s="8">
        <f>IFERROR(IF(ISNUMBER(C4969),MAX(C4969,IFERROR(J4968,C4969)),""),"")</f>
        <v/>
      </c>
      <c r="K4969" s="29">
        <f>IFERROR(IF(AND(ISNUMBER(C4969),ISNUMBER(J4969)),C4969/J4969-1,""),"")</f>
        <v/>
      </c>
      <c r="L4969" s="28">
        <f>IFERROR(IF(AND(ISNUMBER(D4969),ISNUMBER(E4969)),D4969-E4969,""),"")</f>
        <v/>
      </c>
    </row>
    <row r="4970">
      <c r="A4970" s="7">
        <f>IFERROR(Datos!A4970,"")</f>
        <v/>
      </c>
      <c r="B4970" s="8">
        <f>IFERROR(Datos!B4970,"")</f>
        <v/>
      </c>
      <c r="C4970" s="8">
        <f>IFERROR(Datos!C4970,"")</f>
        <v/>
      </c>
      <c r="D4970" s="28">
        <f>IFERROR(IF(AND(ISNUMBER(B4970),ISNUMBER(B4969),B4969&lt;&gt;0),B4970/B4969-1,""),"")</f>
        <v/>
      </c>
      <c r="E4970" s="28">
        <f>IFERROR(IF(AND(ISNUMBER(C4970),ISNUMBER(C4969),C4969&lt;&gt;0),C4970/C4969-1,""),"")</f>
        <v/>
      </c>
      <c r="F4970" s="28">
        <f>IFERROR(D4970-Dashboard!$B$4/252,"")</f>
        <v/>
      </c>
      <c r="G4970" s="28">
        <f>IFERROR(E4970-Dashboard!$B$4/252,"")</f>
        <v/>
      </c>
      <c r="H4970" s="8">
        <f>IFERROR(IF(ISNUMBER(B4970),MAX(B4970,IFERROR(H4969,B4970)),""),"")</f>
        <v/>
      </c>
      <c r="I4970" s="29">
        <f>IFERROR(IF(AND(ISNUMBER(B4970),ISNUMBER(H4970)),B4970/H4970-1,""),"")</f>
        <v/>
      </c>
      <c r="J4970" s="8">
        <f>IFERROR(IF(ISNUMBER(C4970),MAX(C4970,IFERROR(J4969,C4970)),""),"")</f>
        <v/>
      </c>
      <c r="K4970" s="29">
        <f>IFERROR(IF(AND(ISNUMBER(C4970),ISNUMBER(J4970)),C4970/J4970-1,""),"")</f>
        <v/>
      </c>
      <c r="L4970" s="28">
        <f>IFERROR(IF(AND(ISNUMBER(D4970),ISNUMBER(E4970)),D4970-E4970,""),"")</f>
        <v/>
      </c>
    </row>
    <row r="4971">
      <c r="A4971" s="7">
        <f>IFERROR(Datos!A4971,"")</f>
        <v/>
      </c>
      <c r="B4971" s="8">
        <f>IFERROR(Datos!B4971,"")</f>
        <v/>
      </c>
      <c r="C4971" s="8">
        <f>IFERROR(Datos!C4971,"")</f>
        <v/>
      </c>
      <c r="D4971" s="28">
        <f>IFERROR(IF(AND(ISNUMBER(B4971),ISNUMBER(B4970),B4970&lt;&gt;0),B4971/B4970-1,""),"")</f>
        <v/>
      </c>
      <c r="E4971" s="28">
        <f>IFERROR(IF(AND(ISNUMBER(C4971),ISNUMBER(C4970),C4970&lt;&gt;0),C4971/C4970-1,""),"")</f>
        <v/>
      </c>
      <c r="F4971" s="28">
        <f>IFERROR(D4971-Dashboard!$B$4/252,"")</f>
        <v/>
      </c>
      <c r="G4971" s="28">
        <f>IFERROR(E4971-Dashboard!$B$4/252,"")</f>
        <v/>
      </c>
      <c r="H4971" s="8">
        <f>IFERROR(IF(ISNUMBER(B4971),MAX(B4971,IFERROR(H4970,B4971)),""),"")</f>
        <v/>
      </c>
      <c r="I4971" s="29">
        <f>IFERROR(IF(AND(ISNUMBER(B4971),ISNUMBER(H4971)),B4971/H4971-1,""),"")</f>
        <v/>
      </c>
      <c r="J4971" s="8">
        <f>IFERROR(IF(ISNUMBER(C4971),MAX(C4971,IFERROR(J4970,C4971)),""),"")</f>
        <v/>
      </c>
      <c r="K4971" s="29">
        <f>IFERROR(IF(AND(ISNUMBER(C4971),ISNUMBER(J4971)),C4971/J4971-1,""),"")</f>
        <v/>
      </c>
      <c r="L4971" s="28">
        <f>IFERROR(IF(AND(ISNUMBER(D4971),ISNUMBER(E4971)),D4971-E4971,""),"")</f>
        <v/>
      </c>
    </row>
    <row r="4972">
      <c r="A4972" s="7">
        <f>IFERROR(Datos!A4972,"")</f>
        <v/>
      </c>
      <c r="B4972" s="8">
        <f>IFERROR(Datos!B4972,"")</f>
        <v/>
      </c>
      <c r="C4972" s="8">
        <f>IFERROR(Datos!C4972,"")</f>
        <v/>
      </c>
      <c r="D4972" s="28">
        <f>IFERROR(IF(AND(ISNUMBER(B4972),ISNUMBER(B4971),B4971&lt;&gt;0),B4972/B4971-1,""),"")</f>
        <v/>
      </c>
      <c r="E4972" s="28">
        <f>IFERROR(IF(AND(ISNUMBER(C4972),ISNUMBER(C4971),C4971&lt;&gt;0),C4972/C4971-1,""),"")</f>
        <v/>
      </c>
      <c r="F4972" s="28">
        <f>IFERROR(D4972-Dashboard!$B$4/252,"")</f>
        <v/>
      </c>
      <c r="G4972" s="28">
        <f>IFERROR(E4972-Dashboard!$B$4/252,"")</f>
        <v/>
      </c>
      <c r="H4972" s="8">
        <f>IFERROR(IF(ISNUMBER(B4972),MAX(B4972,IFERROR(H4971,B4972)),""),"")</f>
        <v/>
      </c>
      <c r="I4972" s="29">
        <f>IFERROR(IF(AND(ISNUMBER(B4972),ISNUMBER(H4972)),B4972/H4972-1,""),"")</f>
        <v/>
      </c>
      <c r="J4972" s="8">
        <f>IFERROR(IF(ISNUMBER(C4972),MAX(C4972,IFERROR(J4971,C4972)),""),"")</f>
        <v/>
      </c>
      <c r="K4972" s="29">
        <f>IFERROR(IF(AND(ISNUMBER(C4972),ISNUMBER(J4972)),C4972/J4972-1,""),"")</f>
        <v/>
      </c>
      <c r="L4972" s="28">
        <f>IFERROR(IF(AND(ISNUMBER(D4972),ISNUMBER(E4972)),D4972-E4972,""),"")</f>
        <v/>
      </c>
    </row>
    <row r="4973">
      <c r="A4973" s="7">
        <f>IFERROR(Datos!A4973,"")</f>
        <v/>
      </c>
      <c r="B4973" s="8">
        <f>IFERROR(Datos!B4973,"")</f>
        <v/>
      </c>
      <c r="C4973" s="8">
        <f>IFERROR(Datos!C4973,"")</f>
        <v/>
      </c>
      <c r="D4973" s="28">
        <f>IFERROR(IF(AND(ISNUMBER(B4973),ISNUMBER(B4972),B4972&lt;&gt;0),B4973/B4972-1,""),"")</f>
        <v/>
      </c>
      <c r="E4973" s="28">
        <f>IFERROR(IF(AND(ISNUMBER(C4973),ISNUMBER(C4972),C4972&lt;&gt;0),C4973/C4972-1,""),"")</f>
        <v/>
      </c>
      <c r="F4973" s="28">
        <f>IFERROR(D4973-Dashboard!$B$4/252,"")</f>
        <v/>
      </c>
      <c r="G4973" s="28">
        <f>IFERROR(E4973-Dashboard!$B$4/252,"")</f>
        <v/>
      </c>
      <c r="H4973" s="8">
        <f>IFERROR(IF(ISNUMBER(B4973),MAX(B4973,IFERROR(H4972,B4973)),""),"")</f>
        <v/>
      </c>
      <c r="I4973" s="29">
        <f>IFERROR(IF(AND(ISNUMBER(B4973),ISNUMBER(H4973)),B4973/H4973-1,""),"")</f>
        <v/>
      </c>
      <c r="J4973" s="8">
        <f>IFERROR(IF(ISNUMBER(C4973),MAX(C4973,IFERROR(J4972,C4973)),""),"")</f>
        <v/>
      </c>
      <c r="K4973" s="29">
        <f>IFERROR(IF(AND(ISNUMBER(C4973),ISNUMBER(J4973)),C4973/J4973-1,""),"")</f>
        <v/>
      </c>
      <c r="L4973" s="28">
        <f>IFERROR(IF(AND(ISNUMBER(D4973),ISNUMBER(E4973)),D4973-E4973,""),"")</f>
        <v/>
      </c>
    </row>
    <row r="4974">
      <c r="A4974" s="7">
        <f>IFERROR(Datos!A4974,"")</f>
        <v/>
      </c>
      <c r="B4974" s="8">
        <f>IFERROR(Datos!B4974,"")</f>
        <v/>
      </c>
      <c r="C4974" s="8">
        <f>IFERROR(Datos!C4974,"")</f>
        <v/>
      </c>
      <c r="D4974" s="28">
        <f>IFERROR(IF(AND(ISNUMBER(B4974),ISNUMBER(B4973),B4973&lt;&gt;0),B4974/B4973-1,""),"")</f>
        <v/>
      </c>
      <c r="E4974" s="28">
        <f>IFERROR(IF(AND(ISNUMBER(C4974),ISNUMBER(C4973),C4973&lt;&gt;0),C4974/C4973-1,""),"")</f>
        <v/>
      </c>
      <c r="F4974" s="28">
        <f>IFERROR(D4974-Dashboard!$B$4/252,"")</f>
        <v/>
      </c>
      <c r="G4974" s="28">
        <f>IFERROR(E4974-Dashboard!$B$4/252,"")</f>
        <v/>
      </c>
      <c r="H4974" s="8">
        <f>IFERROR(IF(ISNUMBER(B4974),MAX(B4974,IFERROR(H4973,B4974)),""),"")</f>
        <v/>
      </c>
      <c r="I4974" s="29">
        <f>IFERROR(IF(AND(ISNUMBER(B4974),ISNUMBER(H4974)),B4974/H4974-1,""),"")</f>
        <v/>
      </c>
      <c r="J4974" s="8">
        <f>IFERROR(IF(ISNUMBER(C4974),MAX(C4974,IFERROR(J4973,C4974)),""),"")</f>
        <v/>
      </c>
      <c r="K4974" s="29">
        <f>IFERROR(IF(AND(ISNUMBER(C4974),ISNUMBER(J4974)),C4974/J4974-1,""),"")</f>
        <v/>
      </c>
      <c r="L4974" s="28">
        <f>IFERROR(IF(AND(ISNUMBER(D4974),ISNUMBER(E4974)),D4974-E4974,""),"")</f>
        <v/>
      </c>
    </row>
    <row r="4975">
      <c r="A4975" s="7">
        <f>IFERROR(Datos!A4975,"")</f>
        <v/>
      </c>
      <c r="B4975" s="8">
        <f>IFERROR(Datos!B4975,"")</f>
        <v/>
      </c>
      <c r="C4975" s="8">
        <f>IFERROR(Datos!C4975,"")</f>
        <v/>
      </c>
      <c r="D4975" s="28">
        <f>IFERROR(IF(AND(ISNUMBER(B4975),ISNUMBER(B4974),B4974&lt;&gt;0),B4975/B4974-1,""),"")</f>
        <v/>
      </c>
      <c r="E4975" s="28">
        <f>IFERROR(IF(AND(ISNUMBER(C4975),ISNUMBER(C4974),C4974&lt;&gt;0),C4975/C4974-1,""),"")</f>
        <v/>
      </c>
      <c r="F4975" s="28">
        <f>IFERROR(D4975-Dashboard!$B$4/252,"")</f>
        <v/>
      </c>
      <c r="G4975" s="28">
        <f>IFERROR(E4975-Dashboard!$B$4/252,"")</f>
        <v/>
      </c>
      <c r="H4975" s="8">
        <f>IFERROR(IF(ISNUMBER(B4975),MAX(B4975,IFERROR(H4974,B4975)),""),"")</f>
        <v/>
      </c>
      <c r="I4975" s="29">
        <f>IFERROR(IF(AND(ISNUMBER(B4975),ISNUMBER(H4975)),B4975/H4975-1,""),"")</f>
        <v/>
      </c>
      <c r="J4975" s="8">
        <f>IFERROR(IF(ISNUMBER(C4975),MAX(C4975,IFERROR(J4974,C4975)),""),"")</f>
        <v/>
      </c>
      <c r="K4975" s="29">
        <f>IFERROR(IF(AND(ISNUMBER(C4975),ISNUMBER(J4975)),C4975/J4975-1,""),"")</f>
        <v/>
      </c>
      <c r="L4975" s="28">
        <f>IFERROR(IF(AND(ISNUMBER(D4975),ISNUMBER(E4975)),D4975-E4975,""),"")</f>
        <v/>
      </c>
    </row>
    <row r="4976">
      <c r="A4976" s="7">
        <f>IFERROR(Datos!A4976,"")</f>
        <v/>
      </c>
      <c r="B4976" s="8">
        <f>IFERROR(Datos!B4976,"")</f>
        <v/>
      </c>
      <c r="C4976" s="8">
        <f>IFERROR(Datos!C4976,"")</f>
        <v/>
      </c>
      <c r="D4976" s="28">
        <f>IFERROR(IF(AND(ISNUMBER(B4976),ISNUMBER(B4975),B4975&lt;&gt;0),B4976/B4975-1,""),"")</f>
        <v/>
      </c>
      <c r="E4976" s="28">
        <f>IFERROR(IF(AND(ISNUMBER(C4976),ISNUMBER(C4975),C4975&lt;&gt;0),C4976/C4975-1,""),"")</f>
        <v/>
      </c>
      <c r="F4976" s="28">
        <f>IFERROR(D4976-Dashboard!$B$4/252,"")</f>
        <v/>
      </c>
      <c r="G4976" s="28">
        <f>IFERROR(E4976-Dashboard!$B$4/252,"")</f>
        <v/>
      </c>
      <c r="H4976" s="8">
        <f>IFERROR(IF(ISNUMBER(B4976),MAX(B4976,IFERROR(H4975,B4976)),""),"")</f>
        <v/>
      </c>
      <c r="I4976" s="29">
        <f>IFERROR(IF(AND(ISNUMBER(B4976),ISNUMBER(H4976)),B4976/H4976-1,""),"")</f>
        <v/>
      </c>
      <c r="J4976" s="8">
        <f>IFERROR(IF(ISNUMBER(C4976),MAX(C4976,IFERROR(J4975,C4976)),""),"")</f>
        <v/>
      </c>
      <c r="K4976" s="29">
        <f>IFERROR(IF(AND(ISNUMBER(C4976),ISNUMBER(J4976)),C4976/J4976-1,""),"")</f>
        <v/>
      </c>
      <c r="L4976" s="28">
        <f>IFERROR(IF(AND(ISNUMBER(D4976),ISNUMBER(E4976)),D4976-E4976,""),"")</f>
        <v/>
      </c>
    </row>
    <row r="4977">
      <c r="A4977" s="7">
        <f>IFERROR(Datos!A4977,"")</f>
        <v/>
      </c>
      <c r="B4977" s="8">
        <f>IFERROR(Datos!B4977,"")</f>
        <v/>
      </c>
      <c r="C4977" s="8">
        <f>IFERROR(Datos!C4977,"")</f>
        <v/>
      </c>
      <c r="D4977" s="28">
        <f>IFERROR(IF(AND(ISNUMBER(B4977),ISNUMBER(B4976),B4976&lt;&gt;0),B4977/B4976-1,""),"")</f>
        <v/>
      </c>
      <c r="E4977" s="28">
        <f>IFERROR(IF(AND(ISNUMBER(C4977),ISNUMBER(C4976),C4976&lt;&gt;0),C4977/C4976-1,""),"")</f>
        <v/>
      </c>
      <c r="F4977" s="28">
        <f>IFERROR(D4977-Dashboard!$B$4/252,"")</f>
        <v/>
      </c>
      <c r="G4977" s="28">
        <f>IFERROR(E4977-Dashboard!$B$4/252,"")</f>
        <v/>
      </c>
      <c r="H4977" s="8">
        <f>IFERROR(IF(ISNUMBER(B4977),MAX(B4977,IFERROR(H4976,B4977)),""),"")</f>
        <v/>
      </c>
      <c r="I4977" s="29">
        <f>IFERROR(IF(AND(ISNUMBER(B4977),ISNUMBER(H4977)),B4977/H4977-1,""),"")</f>
        <v/>
      </c>
      <c r="J4977" s="8">
        <f>IFERROR(IF(ISNUMBER(C4977),MAX(C4977,IFERROR(J4976,C4977)),""),"")</f>
        <v/>
      </c>
      <c r="K4977" s="29">
        <f>IFERROR(IF(AND(ISNUMBER(C4977),ISNUMBER(J4977)),C4977/J4977-1,""),"")</f>
        <v/>
      </c>
      <c r="L4977" s="28">
        <f>IFERROR(IF(AND(ISNUMBER(D4977),ISNUMBER(E4977)),D4977-E4977,""),"")</f>
        <v/>
      </c>
    </row>
    <row r="4978">
      <c r="A4978" s="7">
        <f>IFERROR(Datos!A4978,"")</f>
        <v/>
      </c>
      <c r="B4978" s="8">
        <f>IFERROR(Datos!B4978,"")</f>
        <v/>
      </c>
      <c r="C4978" s="8">
        <f>IFERROR(Datos!C4978,"")</f>
        <v/>
      </c>
      <c r="D4978" s="28">
        <f>IFERROR(IF(AND(ISNUMBER(B4978),ISNUMBER(B4977),B4977&lt;&gt;0),B4978/B4977-1,""),"")</f>
        <v/>
      </c>
      <c r="E4978" s="28">
        <f>IFERROR(IF(AND(ISNUMBER(C4978),ISNUMBER(C4977),C4977&lt;&gt;0),C4978/C4977-1,""),"")</f>
        <v/>
      </c>
      <c r="F4978" s="28">
        <f>IFERROR(D4978-Dashboard!$B$4/252,"")</f>
        <v/>
      </c>
      <c r="G4978" s="28">
        <f>IFERROR(E4978-Dashboard!$B$4/252,"")</f>
        <v/>
      </c>
      <c r="H4978" s="8">
        <f>IFERROR(IF(ISNUMBER(B4978),MAX(B4978,IFERROR(H4977,B4978)),""),"")</f>
        <v/>
      </c>
      <c r="I4978" s="29">
        <f>IFERROR(IF(AND(ISNUMBER(B4978),ISNUMBER(H4978)),B4978/H4978-1,""),"")</f>
        <v/>
      </c>
      <c r="J4978" s="8">
        <f>IFERROR(IF(ISNUMBER(C4978),MAX(C4978,IFERROR(J4977,C4978)),""),"")</f>
        <v/>
      </c>
      <c r="K4978" s="29">
        <f>IFERROR(IF(AND(ISNUMBER(C4978),ISNUMBER(J4978)),C4978/J4978-1,""),"")</f>
        <v/>
      </c>
      <c r="L4978" s="28">
        <f>IFERROR(IF(AND(ISNUMBER(D4978),ISNUMBER(E4978)),D4978-E4978,""),"")</f>
        <v/>
      </c>
    </row>
    <row r="4979">
      <c r="A4979" s="7">
        <f>IFERROR(Datos!A4979,"")</f>
        <v/>
      </c>
      <c r="B4979" s="8">
        <f>IFERROR(Datos!B4979,"")</f>
        <v/>
      </c>
      <c r="C4979" s="8">
        <f>IFERROR(Datos!C4979,"")</f>
        <v/>
      </c>
      <c r="D4979" s="28">
        <f>IFERROR(IF(AND(ISNUMBER(B4979),ISNUMBER(B4978),B4978&lt;&gt;0),B4979/B4978-1,""),"")</f>
        <v/>
      </c>
      <c r="E4979" s="28">
        <f>IFERROR(IF(AND(ISNUMBER(C4979),ISNUMBER(C4978),C4978&lt;&gt;0),C4979/C4978-1,""),"")</f>
        <v/>
      </c>
      <c r="F4979" s="28">
        <f>IFERROR(D4979-Dashboard!$B$4/252,"")</f>
        <v/>
      </c>
      <c r="G4979" s="28">
        <f>IFERROR(E4979-Dashboard!$B$4/252,"")</f>
        <v/>
      </c>
      <c r="H4979" s="8">
        <f>IFERROR(IF(ISNUMBER(B4979),MAX(B4979,IFERROR(H4978,B4979)),""),"")</f>
        <v/>
      </c>
      <c r="I4979" s="29">
        <f>IFERROR(IF(AND(ISNUMBER(B4979),ISNUMBER(H4979)),B4979/H4979-1,""),"")</f>
        <v/>
      </c>
      <c r="J4979" s="8">
        <f>IFERROR(IF(ISNUMBER(C4979),MAX(C4979,IFERROR(J4978,C4979)),""),"")</f>
        <v/>
      </c>
      <c r="K4979" s="29">
        <f>IFERROR(IF(AND(ISNUMBER(C4979),ISNUMBER(J4979)),C4979/J4979-1,""),"")</f>
        <v/>
      </c>
      <c r="L4979" s="28">
        <f>IFERROR(IF(AND(ISNUMBER(D4979),ISNUMBER(E4979)),D4979-E4979,""),"")</f>
        <v/>
      </c>
    </row>
    <row r="4980">
      <c r="A4980" s="7">
        <f>IFERROR(Datos!A4980,"")</f>
        <v/>
      </c>
      <c r="B4980" s="8">
        <f>IFERROR(Datos!B4980,"")</f>
        <v/>
      </c>
      <c r="C4980" s="8">
        <f>IFERROR(Datos!C4980,"")</f>
        <v/>
      </c>
      <c r="D4980" s="28">
        <f>IFERROR(IF(AND(ISNUMBER(B4980),ISNUMBER(B4979),B4979&lt;&gt;0),B4980/B4979-1,""),"")</f>
        <v/>
      </c>
      <c r="E4980" s="28">
        <f>IFERROR(IF(AND(ISNUMBER(C4980),ISNUMBER(C4979),C4979&lt;&gt;0),C4980/C4979-1,""),"")</f>
        <v/>
      </c>
      <c r="F4980" s="28">
        <f>IFERROR(D4980-Dashboard!$B$4/252,"")</f>
        <v/>
      </c>
      <c r="G4980" s="28">
        <f>IFERROR(E4980-Dashboard!$B$4/252,"")</f>
        <v/>
      </c>
      <c r="H4980" s="8">
        <f>IFERROR(IF(ISNUMBER(B4980),MAX(B4980,IFERROR(H4979,B4980)),""),"")</f>
        <v/>
      </c>
      <c r="I4980" s="29">
        <f>IFERROR(IF(AND(ISNUMBER(B4980),ISNUMBER(H4980)),B4980/H4980-1,""),"")</f>
        <v/>
      </c>
      <c r="J4980" s="8">
        <f>IFERROR(IF(ISNUMBER(C4980),MAX(C4980,IFERROR(J4979,C4980)),""),"")</f>
        <v/>
      </c>
      <c r="K4980" s="29">
        <f>IFERROR(IF(AND(ISNUMBER(C4980),ISNUMBER(J4980)),C4980/J4980-1,""),"")</f>
        <v/>
      </c>
      <c r="L4980" s="28">
        <f>IFERROR(IF(AND(ISNUMBER(D4980),ISNUMBER(E4980)),D4980-E4980,""),"")</f>
        <v/>
      </c>
    </row>
    <row r="4981">
      <c r="A4981" s="7">
        <f>IFERROR(Datos!A4981,"")</f>
        <v/>
      </c>
      <c r="B4981" s="8">
        <f>IFERROR(Datos!B4981,"")</f>
        <v/>
      </c>
      <c r="C4981" s="8">
        <f>IFERROR(Datos!C4981,"")</f>
        <v/>
      </c>
      <c r="D4981" s="28">
        <f>IFERROR(IF(AND(ISNUMBER(B4981),ISNUMBER(B4980),B4980&lt;&gt;0),B4981/B4980-1,""),"")</f>
        <v/>
      </c>
      <c r="E4981" s="28">
        <f>IFERROR(IF(AND(ISNUMBER(C4981),ISNUMBER(C4980),C4980&lt;&gt;0),C4981/C4980-1,""),"")</f>
        <v/>
      </c>
      <c r="F4981" s="28">
        <f>IFERROR(D4981-Dashboard!$B$4/252,"")</f>
        <v/>
      </c>
      <c r="G4981" s="28">
        <f>IFERROR(E4981-Dashboard!$B$4/252,"")</f>
        <v/>
      </c>
      <c r="H4981" s="8">
        <f>IFERROR(IF(ISNUMBER(B4981),MAX(B4981,IFERROR(H4980,B4981)),""),"")</f>
        <v/>
      </c>
      <c r="I4981" s="29">
        <f>IFERROR(IF(AND(ISNUMBER(B4981),ISNUMBER(H4981)),B4981/H4981-1,""),"")</f>
        <v/>
      </c>
      <c r="J4981" s="8">
        <f>IFERROR(IF(ISNUMBER(C4981),MAX(C4981,IFERROR(J4980,C4981)),""),"")</f>
        <v/>
      </c>
      <c r="K4981" s="29">
        <f>IFERROR(IF(AND(ISNUMBER(C4981),ISNUMBER(J4981)),C4981/J4981-1,""),"")</f>
        <v/>
      </c>
      <c r="L4981" s="28">
        <f>IFERROR(IF(AND(ISNUMBER(D4981),ISNUMBER(E4981)),D4981-E4981,""),"")</f>
        <v/>
      </c>
    </row>
    <row r="4982">
      <c r="A4982" s="7">
        <f>IFERROR(Datos!A4982,"")</f>
        <v/>
      </c>
      <c r="B4982" s="8">
        <f>IFERROR(Datos!B4982,"")</f>
        <v/>
      </c>
      <c r="C4982" s="8">
        <f>IFERROR(Datos!C4982,"")</f>
        <v/>
      </c>
      <c r="D4982" s="28">
        <f>IFERROR(IF(AND(ISNUMBER(B4982),ISNUMBER(B4981),B4981&lt;&gt;0),B4982/B4981-1,""),"")</f>
        <v/>
      </c>
      <c r="E4982" s="28">
        <f>IFERROR(IF(AND(ISNUMBER(C4982),ISNUMBER(C4981),C4981&lt;&gt;0),C4982/C4981-1,""),"")</f>
        <v/>
      </c>
      <c r="F4982" s="28">
        <f>IFERROR(D4982-Dashboard!$B$4/252,"")</f>
        <v/>
      </c>
      <c r="G4982" s="28">
        <f>IFERROR(E4982-Dashboard!$B$4/252,"")</f>
        <v/>
      </c>
      <c r="H4982" s="8">
        <f>IFERROR(IF(ISNUMBER(B4982),MAX(B4982,IFERROR(H4981,B4982)),""),"")</f>
        <v/>
      </c>
      <c r="I4982" s="29">
        <f>IFERROR(IF(AND(ISNUMBER(B4982),ISNUMBER(H4982)),B4982/H4982-1,""),"")</f>
        <v/>
      </c>
      <c r="J4982" s="8">
        <f>IFERROR(IF(ISNUMBER(C4982),MAX(C4982,IFERROR(J4981,C4982)),""),"")</f>
        <v/>
      </c>
      <c r="K4982" s="29">
        <f>IFERROR(IF(AND(ISNUMBER(C4982),ISNUMBER(J4982)),C4982/J4982-1,""),"")</f>
        <v/>
      </c>
      <c r="L4982" s="28">
        <f>IFERROR(IF(AND(ISNUMBER(D4982),ISNUMBER(E4982)),D4982-E4982,""),"")</f>
        <v/>
      </c>
    </row>
    <row r="4983">
      <c r="A4983" s="7">
        <f>IFERROR(Datos!A4983,"")</f>
        <v/>
      </c>
      <c r="B4983" s="8">
        <f>IFERROR(Datos!B4983,"")</f>
        <v/>
      </c>
      <c r="C4983" s="8">
        <f>IFERROR(Datos!C4983,"")</f>
        <v/>
      </c>
      <c r="D4983" s="28">
        <f>IFERROR(IF(AND(ISNUMBER(B4983),ISNUMBER(B4982),B4982&lt;&gt;0),B4983/B4982-1,""),"")</f>
        <v/>
      </c>
      <c r="E4983" s="28">
        <f>IFERROR(IF(AND(ISNUMBER(C4983),ISNUMBER(C4982),C4982&lt;&gt;0),C4983/C4982-1,""),"")</f>
        <v/>
      </c>
      <c r="F4983" s="28">
        <f>IFERROR(D4983-Dashboard!$B$4/252,"")</f>
        <v/>
      </c>
      <c r="G4983" s="28">
        <f>IFERROR(E4983-Dashboard!$B$4/252,"")</f>
        <v/>
      </c>
      <c r="H4983" s="8">
        <f>IFERROR(IF(ISNUMBER(B4983),MAX(B4983,IFERROR(H4982,B4983)),""),"")</f>
        <v/>
      </c>
      <c r="I4983" s="29">
        <f>IFERROR(IF(AND(ISNUMBER(B4983),ISNUMBER(H4983)),B4983/H4983-1,""),"")</f>
        <v/>
      </c>
      <c r="J4983" s="8">
        <f>IFERROR(IF(ISNUMBER(C4983),MAX(C4983,IFERROR(J4982,C4983)),""),"")</f>
        <v/>
      </c>
      <c r="K4983" s="29">
        <f>IFERROR(IF(AND(ISNUMBER(C4983),ISNUMBER(J4983)),C4983/J4983-1,""),"")</f>
        <v/>
      </c>
      <c r="L4983" s="28">
        <f>IFERROR(IF(AND(ISNUMBER(D4983),ISNUMBER(E4983)),D4983-E4983,""),"")</f>
        <v/>
      </c>
    </row>
    <row r="4984">
      <c r="A4984" s="7">
        <f>IFERROR(Datos!A4984,"")</f>
        <v/>
      </c>
      <c r="B4984" s="8">
        <f>IFERROR(Datos!B4984,"")</f>
        <v/>
      </c>
      <c r="C4984" s="8">
        <f>IFERROR(Datos!C4984,"")</f>
        <v/>
      </c>
      <c r="D4984" s="28">
        <f>IFERROR(IF(AND(ISNUMBER(B4984),ISNUMBER(B4983),B4983&lt;&gt;0),B4984/B4983-1,""),"")</f>
        <v/>
      </c>
      <c r="E4984" s="28">
        <f>IFERROR(IF(AND(ISNUMBER(C4984),ISNUMBER(C4983),C4983&lt;&gt;0),C4984/C4983-1,""),"")</f>
        <v/>
      </c>
      <c r="F4984" s="28">
        <f>IFERROR(D4984-Dashboard!$B$4/252,"")</f>
        <v/>
      </c>
      <c r="G4984" s="28">
        <f>IFERROR(E4984-Dashboard!$B$4/252,"")</f>
        <v/>
      </c>
      <c r="H4984" s="8">
        <f>IFERROR(IF(ISNUMBER(B4984),MAX(B4984,IFERROR(H4983,B4984)),""),"")</f>
        <v/>
      </c>
      <c r="I4984" s="29">
        <f>IFERROR(IF(AND(ISNUMBER(B4984),ISNUMBER(H4984)),B4984/H4984-1,""),"")</f>
        <v/>
      </c>
      <c r="J4984" s="8">
        <f>IFERROR(IF(ISNUMBER(C4984),MAX(C4984,IFERROR(J4983,C4984)),""),"")</f>
        <v/>
      </c>
      <c r="K4984" s="29">
        <f>IFERROR(IF(AND(ISNUMBER(C4984),ISNUMBER(J4984)),C4984/J4984-1,""),"")</f>
        <v/>
      </c>
      <c r="L4984" s="28">
        <f>IFERROR(IF(AND(ISNUMBER(D4984),ISNUMBER(E4984)),D4984-E4984,""),"")</f>
        <v/>
      </c>
    </row>
    <row r="4985">
      <c r="A4985" s="7">
        <f>IFERROR(Datos!A4985,"")</f>
        <v/>
      </c>
      <c r="B4985" s="8">
        <f>IFERROR(Datos!B4985,"")</f>
        <v/>
      </c>
      <c r="C4985" s="8">
        <f>IFERROR(Datos!C4985,"")</f>
        <v/>
      </c>
      <c r="D4985" s="28">
        <f>IFERROR(IF(AND(ISNUMBER(B4985),ISNUMBER(B4984),B4984&lt;&gt;0),B4985/B4984-1,""),"")</f>
        <v/>
      </c>
      <c r="E4985" s="28">
        <f>IFERROR(IF(AND(ISNUMBER(C4985),ISNUMBER(C4984),C4984&lt;&gt;0),C4985/C4984-1,""),"")</f>
        <v/>
      </c>
      <c r="F4985" s="28">
        <f>IFERROR(D4985-Dashboard!$B$4/252,"")</f>
        <v/>
      </c>
      <c r="G4985" s="28">
        <f>IFERROR(E4985-Dashboard!$B$4/252,"")</f>
        <v/>
      </c>
      <c r="H4985" s="8">
        <f>IFERROR(IF(ISNUMBER(B4985),MAX(B4985,IFERROR(H4984,B4985)),""),"")</f>
        <v/>
      </c>
      <c r="I4985" s="29">
        <f>IFERROR(IF(AND(ISNUMBER(B4985),ISNUMBER(H4985)),B4985/H4985-1,""),"")</f>
        <v/>
      </c>
      <c r="J4985" s="8">
        <f>IFERROR(IF(ISNUMBER(C4985),MAX(C4985,IFERROR(J4984,C4985)),""),"")</f>
        <v/>
      </c>
      <c r="K4985" s="29">
        <f>IFERROR(IF(AND(ISNUMBER(C4985),ISNUMBER(J4985)),C4985/J4985-1,""),"")</f>
        <v/>
      </c>
      <c r="L4985" s="28">
        <f>IFERROR(IF(AND(ISNUMBER(D4985),ISNUMBER(E4985)),D4985-E4985,""),"")</f>
        <v/>
      </c>
    </row>
    <row r="4986">
      <c r="A4986" s="7">
        <f>IFERROR(Datos!A4986,"")</f>
        <v/>
      </c>
      <c r="B4986" s="8">
        <f>IFERROR(Datos!B4986,"")</f>
        <v/>
      </c>
      <c r="C4986" s="8">
        <f>IFERROR(Datos!C4986,"")</f>
        <v/>
      </c>
      <c r="D4986" s="28">
        <f>IFERROR(IF(AND(ISNUMBER(B4986),ISNUMBER(B4985),B4985&lt;&gt;0),B4986/B4985-1,""),"")</f>
        <v/>
      </c>
      <c r="E4986" s="28">
        <f>IFERROR(IF(AND(ISNUMBER(C4986),ISNUMBER(C4985),C4985&lt;&gt;0),C4986/C4985-1,""),"")</f>
        <v/>
      </c>
      <c r="F4986" s="28">
        <f>IFERROR(D4986-Dashboard!$B$4/252,"")</f>
        <v/>
      </c>
      <c r="G4986" s="28">
        <f>IFERROR(E4986-Dashboard!$B$4/252,"")</f>
        <v/>
      </c>
      <c r="H4986" s="8">
        <f>IFERROR(IF(ISNUMBER(B4986),MAX(B4986,IFERROR(H4985,B4986)),""),"")</f>
        <v/>
      </c>
      <c r="I4986" s="29">
        <f>IFERROR(IF(AND(ISNUMBER(B4986),ISNUMBER(H4986)),B4986/H4986-1,""),"")</f>
        <v/>
      </c>
      <c r="J4986" s="8">
        <f>IFERROR(IF(ISNUMBER(C4986),MAX(C4986,IFERROR(J4985,C4986)),""),"")</f>
        <v/>
      </c>
      <c r="K4986" s="29">
        <f>IFERROR(IF(AND(ISNUMBER(C4986),ISNUMBER(J4986)),C4986/J4986-1,""),"")</f>
        <v/>
      </c>
      <c r="L4986" s="28">
        <f>IFERROR(IF(AND(ISNUMBER(D4986),ISNUMBER(E4986)),D4986-E4986,""),"")</f>
        <v/>
      </c>
    </row>
    <row r="4987">
      <c r="A4987" s="7">
        <f>IFERROR(Datos!A4987,"")</f>
        <v/>
      </c>
      <c r="B4987" s="8">
        <f>IFERROR(Datos!B4987,"")</f>
        <v/>
      </c>
      <c r="C4987" s="8">
        <f>IFERROR(Datos!C4987,"")</f>
        <v/>
      </c>
      <c r="D4987" s="28">
        <f>IFERROR(IF(AND(ISNUMBER(B4987),ISNUMBER(B4986),B4986&lt;&gt;0),B4987/B4986-1,""),"")</f>
        <v/>
      </c>
      <c r="E4987" s="28">
        <f>IFERROR(IF(AND(ISNUMBER(C4987),ISNUMBER(C4986),C4986&lt;&gt;0),C4987/C4986-1,""),"")</f>
        <v/>
      </c>
      <c r="F4987" s="28">
        <f>IFERROR(D4987-Dashboard!$B$4/252,"")</f>
        <v/>
      </c>
      <c r="G4987" s="28">
        <f>IFERROR(E4987-Dashboard!$B$4/252,"")</f>
        <v/>
      </c>
      <c r="H4987" s="8">
        <f>IFERROR(IF(ISNUMBER(B4987),MAX(B4987,IFERROR(H4986,B4987)),""),"")</f>
        <v/>
      </c>
      <c r="I4987" s="29">
        <f>IFERROR(IF(AND(ISNUMBER(B4987),ISNUMBER(H4987)),B4987/H4987-1,""),"")</f>
        <v/>
      </c>
      <c r="J4987" s="8">
        <f>IFERROR(IF(ISNUMBER(C4987),MAX(C4987,IFERROR(J4986,C4987)),""),"")</f>
        <v/>
      </c>
      <c r="K4987" s="29">
        <f>IFERROR(IF(AND(ISNUMBER(C4987),ISNUMBER(J4987)),C4987/J4987-1,""),"")</f>
        <v/>
      </c>
      <c r="L4987" s="28">
        <f>IFERROR(IF(AND(ISNUMBER(D4987),ISNUMBER(E4987)),D4987-E4987,""),"")</f>
        <v/>
      </c>
    </row>
    <row r="4988">
      <c r="A4988" s="7">
        <f>IFERROR(Datos!A4988,"")</f>
        <v/>
      </c>
      <c r="B4988" s="8">
        <f>IFERROR(Datos!B4988,"")</f>
        <v/>
      </c>
      <c r="C4988" s="8">
        <f>IFERROR(Datos!C4988,"")</f>
        <v/>
      </c>
      <c r="D4988" s="28">
        <f>IFERROR(IF(AND(ISNUMBER(B4988),ISNUMBER(B4987),B4987&lt;&gt;0),B4988/B4987-1,""),"")</f>
        <v/>
      </c>
      <c r="E4988" s="28">
        <f>IFERROR(IF(AND(ISNUMBER(C4988),ISNUMBER(C4987),C4987&lt;&gt;0),C4988/C4987-1,""),"")</f>
        <v/>
      </c>
      <c r="F4988" s="28">
        <f>IFERROR(D4988-Dashboard!$B$4/252,"")</f>
        <v/>
      </c>
      <c r="G4988" s="28">
        <f>IFERROR(E4988-Dashboard!$B$4/252,"")</f>
        <v/>
      </c>
      <c r="H4988" s="8">
        <f>IFERROR(IF(ISNUMBER(B4988),MAX(B4988,IFERROR(H4987,B4988)),""),"")</f>
        <v/>
      </c>
      <c r="I4988" s="29">
        <f>IFERROR(IF(AND(ISNUMBER(B4988),ISNUMBER(H4988)),B4988/H4988-1,""),"")</f>
        <v/>
      </c>
      <c r="J4988" s="8">
        <f>IFERROR(IF(ISNUMBER(C4988),MAX(C4988,IFERROR(J4987,C4988)),""),"")</f>
        <v/>
      </c>
      <c r="K4988" s="29">
        <f>IFERROR(IF(AND(ISNUMBER(C4988),ISNUMBER(J4988)),C4988/J4988-1,""),"")</f>
        <v/>
      </c>
      <c r="L4988" s="28">
        <f>IFERROR(IF(AND(ISNUMBER(D4988),ISNUMBER(E4988)),D4988-E4988,""),"")</f>
        <v/>
      </c>
    </row>
    <row r="4989">
      <c r="A4989" s="7">
        <f>IFERROR(Datos!A4989,"")</f>
        <v/>
      </c>
      <c r="B4989" s="8">
        <f>IFERROR(Datos!B4989,"")</f>
        <v/>
      </c>
      <c r="C4989" s="8">
        <f>IFERROR(Datos!C4989,"")</f>
        <v/>
      </c>
      <c r="D4989" s="28">
        <f>IFERROR(IF(AND(ISNUMBER(B4989),ISNUMBER(B4988),B4988&lt;&gt;0),B4989/B4988-1,""),"")</f>
        <v/>
      </c>
      <c r="E4989" s="28">
        <f>IFERROR(IF(AND(ISNUMBER(C4989),ISNUMBER(C4988),C4988&lt;&gt;0),C4989/C4988-1,""),"")</f>
        <v/>
      </c>
      <c r="F4989" s="28">
        <f>IFERROR(D4989-Dashboard!$B$4/252,"")</f>
        <v/>
      </c>
      <c r="G4989" s="28">
        <f>IFERROR(E4989-Dashboard!$B$4/252,"")</f>
        <v/>
      </c>
      <c r="H4989" s="8">
        <f>IFERROR(IF(ISNUMBER(B4989),MAX(B4989,IFERROR(H4988,B4989)),""),"")</f>
        <v/>
      </c>
      <c r="I4989" s="29">
        <f>IFERROR(IF(AND(ISNUMBER(B4989),ISNUMBER(H4989)),B4989/H4989-1,""),"")</f>
        <v/>
      </c>
      <c r="J4989" s="8">
        <f>IFERROR(IF(ISNUMBER(C4989),MAX(C4989,IFERROR(J4988,C4989)),""),"")</f>
        <v/>
      </c>
      <c r="K4989" s="29">
        <f>IFERROR(IF(AND(ISNUMBER(C4989),ISNUMBER(J4989)),C4989/J4989-1,""),"")</f>
        <v/>
      </c>
      <c r="L4989" s="28">
        <f>IFERROR(IF(AND(ISNUMBER(D4989),ISNUMBER(E4989)),D4989-E4989,""),"")</f>
        <v/>
      </c>
    </row>
    <row r="4990">
      <c r="A4990" s="7">
        <f>IFERROR(Datos!A4990,"")</f>
        <v/>
      </c>
      <c r="B4990" s="8">
        <f>IFERROR(Datos!B4990,"")</f>
        <v/>
      </c>
      <c r="C4990" s="8">
        <f>IFERROR(Datos!C4990,"")</f>
        <v/>
      </c>
      <c r="D4990" s="28">
        <f>IFERROR(IF(AND(ISNUMBER(B4990),ISNUMBER(B4989),B4989&lt;&gt;0),B4990/B4989-1,""),"")</f>
        <v/>
      </c>
      <c r="E4990" s="28">
        <f>IFERROR(IF(AND(ISNUMBER(C4990),ISNUMBER(C4989),C4989&lt;&gt;0),C4990/C4989-1,""),"")</f>
        <v/>
      </c>
      <c r="F4990" s="28">
        <f>IFERROR(D4990-Dashboard!$B$4/252,"")</f>
        <v/>
      </c>
      <c r="G4990" s="28">
        <f>IFERROR(E4990-Dashboard!$B$4/252,"")</f>
        <v/>
      </c>
      <c r="H4990" s="8">
        <f>IFERROR(IF(ISNUMBER(B4990),MAX(B4990,IFERROR(H4989,B4990)),""),"")</f>
        <v/>
      </c>
      <c r="I4990" s="29">
        <f>IFERROR(IF(AND(ISNUMBER(B4990),ISNUMBER(H4990)),B4990/H4990-1,""),"")</f>
        <v/>
      </c>
      <c r="J4990" s="8">
        <f>IFERROR(IF(ISNUMBER(C4990),MAX(C4990,IFERROR(J4989,C4990)),""),"")</f>
        <v/>
      </c>
      <c r="K4990" s="29">
        <f>IFERROR(IF(AND(ISNUMBER(C4990),ISNUMBER(J4990)),C4990/J4990-1,""),"")</f>
        <v/>
      </c>
      <c r="L4990" s="28">
        <f>IFERROR(IF(AND(ISNUMBER(D4990),ISNUMBER(E4990)),D4990-E4990,""),"")</f>
        <v/>
      </c>
    </row>
    <row r="4991">
      <c r="A4991" s="7">
        <f>IFERROR(Datos!A4991,"")</f>
        <v/>
      </c>
      <c r="B4991" s="8">
        <f>IFERROR(Datos!B4991,"")</f>
        <v/>
      </c>
      <c r="C4991" s="8">
        <f>IFERROR(Datos!C4991,"")</f>
        <v/>
      </c>
      <c r="D4991" s="28">
        <f>IFERROR(IF(AND(ISNUMBER(B4991),ISNUMBER(B4990),B4990&lt;&gt;0),B4991/B4990-1,""),"")</f>
        <v/>
      </c>
      <c r="E4991" s="28">
        <f>IFERROR(IF(AND(ISNUMBER(C4991),ISNUMBER(C4990),C4990&lt;&gt;0),C4991/C4990-1,""),"")</f>
        <v/>
      </c>
      <c r="F4991" s="28">
        <f>IFERROR(D4991-Dashboard!$B$4/252,"")</f>
        <v/>
      </c>
      <c r="G4991" s="28">
        <f>IFERROR(E4991-Dashboard!$B$4/252,"")</f>
        <v/>
      </c>
      <c r="H4991" s="8">
        <f>IFERROR(IF(ISNUMBER(B4991),MAX(B4991,IFERROR(H4990,B4991)),""),"")</f>
        <v/>
      </c>
      <c r="I4991" s="29">
        <f>IFERROR(IF(AND(ISNUMBER(B4991),ISNUMBER(H4991)),B4991/H4991-1,""),"")</f>
        <v/>
      </c>
      <c r="J4991" s="8">
        <f>IFERROR(IF(ISNUMBER(C4991),MAX(C4991,IFERROR(J4990,C4991)),""),"")</f>
        <v/>
      </c>
      <c r="K4991" s="29">
        <f>IFERROR(IF(AND(ISNUMBER(C4991),ISNUMBER(J4991)),C4991/J4991-1,""),"")</f>
        <v/>
      </c>
      <c r="L4991" s="28">
        <f>IFERROR(IF(AND(ISNUMBER(D4991),ISNUMBER(E4991)),D4991-E4991,""),"")</f>
        <v/>
      </c>
    </row>
    <row r="4992">
      <c r="A4992" s="7">
        <f>IFERROR(Datos!A4992,"")</f>
        <v/>
      </c>
      <c r="B4992" s="8">
        <f>IFERROR(Datos!B4992,"")</f>
        <v/>
      </c>
      <c r="C4992" s="8">
        <f>IFERROR(Datos!C4992,"")</f>
        <v/>
      </c>
      <c r="D4992" s="28">
        <f>IFERROR(IF(AND(ISNUMBER(B4992),ISNUMBER(B4991),B4991&lt;&gt;0),B4992/B4991-1,""),"")</f>
        <v/>
      </c>
      <c r="E4992" s="28">
        <f>IFERROR(IF(AND(ISNUMBER(C4992),ISNUMBER(C4991),C4991&lt;&gt;0),C4992/C4991-1,""),"")</f>
        <v/>
      </c>
      <c r="F4992" s="28">
        <f>IFERROR(D4992-Dashboard!$B$4/252,"")</f>
        <v/>
      </c>
      <c r="G4992" s="28">
        <f>IFERROR(E4992-Dashboard!$B$4/252,"")</f>
        <v/>
      </c>
      <c r="H4992" s="8">
        <f>IFERROR(IF(ISNUMBER(B4992),MAX(B4992,IFERROR(H4991,B4992)),""),"")</f>
        <v/>
      </c>
      <c r="I4992" s="29">
        <f>IFERROR(IF(AND(ISNUMBER(B4992),ISNUMBER(H4992)),B4992/H4992-1,""),"")</f>
        <v/>
      </c>
      <c r="J4992" s="8">
        <f>IFERROR(IF(ISNUMBER(C4992),MAX(C4992,IFERROR(J4991,C4992)),""),"")</f>
        <v/>
      </c>
      <c r="K4992" s="29">
        <f>IFERROR(IF(AND(ISNUMBER(C4992),ISNUMBER(J4992)),C4992/J4992-1,""),"")</f>
        <v/>
      </c>
      <c r="L4992" s="28">
        <f>IFERROR(IF(AND(ISNUMBER(D4992),ISNUMBER(E4992)),D4992-E4992,""),"")</f>
        <v/>
      </c>
    </row>
    <row r="4993">
      <c r="A4993" s="7">
        <f>IFERROR(Datos!A4993,"")</f>
        <v/>
      </c>
      <c r="B4993" s="8">
        <f>IFERROR(Datos!B4993,"")</f>
        <v/>
      </c>
      <c r="C4993" s="8">
        <f>IFERROR(Datos!C4993,"")</f>
        <v/>
      </c>
      <c r="D4993" s="28">
        <f>IFERROR(IF(AND(ISNUMBER(B4993),ISNUMBER(B4992),B4992&lt;&gt;0),B4993/B4992-1,""),"")</f>
        <v/>
      </c>
      <c r="E4993" s="28">
        <f>IFERROR(IF(AND(ISNUMBER(C4993),ISNUMBER(C4992),C4992&lt;&gt;0),C4993/C4992-1,""),"")</f>
        <v/>
      </c>
      <c r="F4993" s="28">
        <f>IFERROR(D4993-Dashboard!$B$4/252,"")</f>
        <v/>
      </c>
      <c r="G4993" s="28">
        <f>IFERROR(E4993-Dashboard!$B$4/252,"")</f>
        <v/>
      </c>
      <c r="H4993" s="8">
        <f>IFERROR(IF(ISNUMBER(B4993),MAX(B4993,IFERROR(H4992,B4993)),""),"")</f>
        <v/>
      </c>
      <c r="I4993" s="29">
        <f>IFERROR(IF(AND(ISNUMBER(B4993),ISNUMBER(H4993)),B4993/H4993-1,""),"")</f>
        <v/>
      </c>
      <c r="J4993" s="8">
        <f>IFERROR(IF(ISNUMBER(C4993),MAX(C4993,IFERROR(J4992,C4993)),""),"")</f>
        <v/>
      </c>
      <c r="K4993" s="29">
        <f>IFERROR(IF(AND(ISNUMBER(C4993),ISNUMBER(J4993)),C4993/J4993-1,""),"")</f>
        <v/>
      </c>
      <c r="L4993" s="28">
        <f>IFERROR(IF(AND(ISNUMBER(D4993),ISNUMBER(E4993)),D4993-E4993,""),"")</f>
        <v/>
      </c>
    </row>
    <row r="4994">
      <c r="A4994" s="7">
        <f>IFERROR(Datos!A4994,"")</f>
        <v/>
      </c>
      <c r="B4994" s="8">
        <f>IFERROR(Datos!B4994,"")</f>
        <v/>
      </c>
      <c r="C4994" s="8">
        <f>IFERROR(Datos!C4994,"")</f>
        <v/>
      </c>
      <c r="D4994" s="28">
        <f>IFERROR(IF(AND(ISNUMBER(B4994),ISNUMBER(B4993),B4993&lt;&gt;0),B4994/B4993-1,""),"")</f>
        <v/>
      </c>
      <c r="E4994" s="28">
        <f>IFERROR(IF(AND(ISNUMBER(C4994),ISNUMBER(C4993),C4993&lt;&gt;0),C4994/C4993-1,""),"")</f>
        <v/>
      </c>
      <c r="F4994" s="28">
        <f>IFERROR(D4994-Dashboard!$B$4/252,"")</f>
        <v/>
      </c>
      <c r="G4994" s="28">
        <f>IFERROR(E4994-Dashboard!$B$4/252,"")</f>
        <v/>
      </c>
      <c r="H4994" s="8">
        <f>IFERROR(IF(ISNUMBER(B4994),MAX(B4994,IFERROR(H4993,B4994)),""),"")</f>
        <v/>
      </c>
      <c r="I4994" s="29">
        <f>IFERROR(IF(AND(ISNUMBER(B4994),ISNUMBER(H4994)),B4994/H4994-1,""),"")</f>
        <v/>
      </c>
      <c r="J4994" s="8">
        <f>IFERROR(IF(ISNUMBER(C4994),MAX(C4994,IFERROR(J4993,C4994)),""),"")</f>
        <v/>
      </c>
      <c r="K4994" s="29">
        <f>IFERROR(IF(AND(ISNUMBER(C4994),ISNUMBER(J4994)),C4994/J4994-1,""),"")</f>
        <v/>
      </c>
      <c r="L4994" s="28">
        <f>IFERROR(IF(AND(ISNUMBER(D4994),ISNUMBER(E4994)),D4994-E4994,""),"")</f>
        <v/>
      </c>
    </row>
    <row r="4995">
      <c r="A4995" s="7">
        <f>IFERROR(Datos!A4995,"")</f>
        <v/>
      </c>
      <c r="B4995" s="8">
        <f>IFERROR(Datos!B4995,"")</f>
        <v/>
      </c>
      <c r="C4995" s="8">
        <f>IFERROR(Datos!C4995,"")</f>
        <v/>
      </c>
      <c r="D4995" s="28">
        <f>IFERROR(IF(AND(ISNUMBER(B4995),ISNUMBER(B4994),B4994&lt;&gt;0),B4995/B4994-1,""),"")</f>
        <v/>
      </c>
      <c r="E4995" s="28">
        <f>IFERROR(IF(AND(ISNUMBER(C4995),ISNUMBER(C4994),C4994&lt;&gt;0),C4995/C4994-1,""),"")</f>
        <v/>
      </c>
      <c r="F4995" s="28">
        <f>IFERROR(D4995-Dashboard!$B$4/252,"")</f>
        <v/>
      </c>
      <c r="G4995" s="28">
        <f>IFERROR(E4995-Dashboard!$B$4/252,"")</f>
        <v/>
      </c>
      <c r="H4995" s="8">
        <f>IFERROR(IF(ISNUMBER(B4995),MAX(B4995,IFERROR(H4994,B4995)),""),"")</f>
        <v/>
      </c>
      <c r="I4995" s="29">
        <f>IFERROR(IF(AND(ISNUMBER(B4995),ISNUMBER(H4995)),B4995/H4995-1,""),"")</f>
        <v/>
      </c>
      <c r="J4995" s="8">
        <f>IFERROR(IF(ISNUMBER(C4995),MAX(C4995,IFERROR(J4994,C4995)),""),"")</f>
        <v/>
      </c>
      <c r="K4995" s="29">
        <f>IFERROR(IF(AND(ISNUMBER(C4995),ISNUMBER(J4995)),C4995/J4995-1,""),"")</f>
        <v/>
      </c>
      <c r="L4995" s="28">
        <f>IFERROR(IF(AND(ISNUMBER(D4995),ISNUMBER(E4995)),D4995-E4995,""),"")</f>
        <v/>
      </c>
    </row>
    <row r="4996">
      <c r="A4996" s="7">
        <f>IFERROR(Datos!A4996,"")</f>
        <v/>
      </c>
      <c r="B4996" s="8">
        <f>IFERROR(Datos!B4996,"")</f>
        <v/>
      </c>
      <c r="C4996" s="8">
        <f>IFERROR(Datos!C4996,"")</f>
        <v/>
      </c>
      <c r="D4996" s="28">
        <f>IFERROR(IF(AND(ISNUMBER(B4996),ISNUMBER(B4995),B4995&lt;&gt;0),B4996/B4995-1,""),"")</f>
        <v/>
      </c>
      <c r="E4996" s="28">
        <f>IFERROR(IF(AND(ISNUMBER(C4996),ISNUMBER(C4995),C4995&lt;&gt;0),C4996/C4995-1,""),"")</f>
        <v/>
      </c>
      <c r="F4996" s="28">
        <f>IFERROR(D4996-Dashboard!$B$4/252,"")</f>
        <v/>
      </c>
      <c r="G4996" s="28">
        <f>IFERROR(E4996-Dashboard!$B$4/252,"")</f>
        <v/>
      </c>
      <c r="H4996" s="8">
        <f>IFERROR(IF(ISNUMBER(B4996),MAX(B4996,IFERROR(H4995,B4996)),""),"")</f>
        <v/>
      </c>
      <c r="I4996" s="29">
        <f>IFERROR(IF(AND(ISNUMBER(B4996),ISNUMBER(H4996)),B4996/H4996-1,""),"")</f>
        <v/>
      </c>
      <c r="J4996" s="8">
        <f>IFERROR(IF(ISNUMBER(C4996),MAX(C4996,IFERROR(J4995,C4996)),""),"")</f>
        <v/>
      </c>
      <c r="K4996" s="29">
        <f>IFERROR(IF(AND(ISNUMBER(C4996),ISNUMBER(J4996)),C4996/J4996-1,""),"")</f>
        <v/>
      </c>
      <c r="L4996" s="28">
        <f>IFERROR(IF(AND(ISNUMBER(D4996),ISNUMBER(E4996)),D4996-E4996,""),"")</f>
        <v/>
      </c>
    </row>
    <row r="4997">
      <c r="A4997" s="7">
        <f>IFERROR(Datos!A4997,"")</f>
        <v/>
      </c>
      <c r="B4997" s="8">
        <f>IFERROR(Datos!B4997,"")</f>
        <v/>
      </c>
      <c r="C4997" s="8">
        <f>IFERROR(Datos!C4997,"")</f>
        <v/>
      </c>
      <c r="D4997" s="28">
        <f>IFERROR(IF(AND(ISNUMBER(B4997),ISNUMBER(B4996),B4996&lt;&gt;0),B4997/B4996-1,""),"")</f>
        <v/>
      </c>
      <c r="E4997" s="28">
        <f>IFERROR(IF(AND(ISNUMBER(C4997),ISNUMBER(C4996),C4996&lt;&gt;0),C4997/C4996-1,""),"")</f>
        <v/>
      </c>
      <c r="F4997" s="28">
        <f>IFERROR(D4997-Dashboard!$B$4/252,"")</f>
        <v/>
      </c>
      <c r="G4997" s="28">
        <f>IFERROR(E4997-Dashboard!$B$4/252,"")</f>
        <v/>
      </c>
      <c r="H4997" s="8">
        <f>IFERROR(IF(ISNUMBER(B4997),MAX(B4997,IFERROR(H4996,B4997)),""),"")</f>
        <v/>
      </c>
      <c r="I4997" s="29">
        <f>IFERROR(IF(AND(ISNUMBER(B4997),ISNUMBER(H4997)),B4997/H4997-1,""),"")</f>
        <v/>
      </c>
      <c r="J4997" s="8">
        <f>IFERROR(IF(ISNUMBER(C4997),MAX(C4997,IFERROR(J4996,C4997)),""),"")</f>
        <v/>
      </c>
      <c r="K4997" s="29">
        <f>IFERROR(IF(AND(ISNUMBER(C4997),ISNUMBER(J4997)),C4997/J4997-1,""),"")</f>
        <v/>
      </c>
      <c r="L4997" s="28">
        <f>IFERROR(IF(AND(ISNUMBER(D4997),ISNUMBER(E4997)),D4997-E4997,""),"")</f>
        <v/>
      </c>
    </row>
    <row r="4998">
      <c r="A4998" s="7">
        <f>IFERROR(Datos!A4998,"")</f>
        <v/>
      </c>
      <c r="B4998" s="8">
        <f>IFERROR(Datos!B4998,"")</f>
        <v/>
      </c>
      <c r="C4998" s="8">
        <f>IFERROR(Datos!C4998,"")</f>
        <v/>
      </c>
      <c r="D4998" s="28">
        <f>IFERROR(IF(AND(ISNUMBER(B4998),ISNUMBER(B4997),B4997&lt;&gt;0),B4998/B4997-1,""),"")</f>
        <v/>
      </c>
      <c r="E4998" s="28">
        <f>IFERROR(IF(AND(ISNUMBER(C4998),ISNUMBER(C4997),C4997&lt;&gt;0),C4998/C4997-1,""),"")</f>
        <v/>
      </c>
      <c r="F4998" s="28">
        <f>IFERROR(D4998-Dashboard!$B$4/252,"")</f>
        <v/>
      </c>
      <c r="G4998" s="28">
        <f>IFERROR(E4998-Dashboard!$B$4/252,"")</f>
        <v/>
      </c>
      <c r="H4998" s="8">
        <f>IFERROR(IF(ISNUMBER(B4998),MAX(B4998,IFERROR(H4997,B4998)),""),"")</f>
        <v/>
      </c>
      <c r="I4998" s="29">
        <f>IFERROR(IF(AND(ISNUMBER(B4998),ISNUMBER(H4998)),B4998/H4998-1,""),"")</f>
        <v/>
      </c>
      <c r="J4998" s="8">
        <f>IFERROR(IF(ISNUMBER(C4998),MAX(C4998,IFERROR(J4997,C4998)),""),"")</f>
        <v/>
      </c>
      <c r="K4998" s="29">
        <f>IFERROR(IF(AND(ISNUMBER(C4998),ISNUMBER(J4998)),C4998/J4998-1,""),"")</f>
        <v/>
      </c>
      <c r="L4998" s="28">
        <f>IFERROR(IF(AND(ISNUMBER(D4998),ISNUMBER(E4998)),D4998-E4998,""),"")</f>
        <v/>
      </c>
    </row>
    <row r="4999">
      <c r="A4999" s="7">
        <f>IFERROR(Datos!A4999,"")</f>
        <v/>
      </c>
      <c r="B4999" s="8">
        <f>IFERROR(Datos!B4999,"")</f>
        <v/>
      </c>
      <c r="C4999" s="8">
        <f>IFERROR(Datos!C4999,"")</f>
        <v/>
      </c>
      <c r="D4999" s="28">
        <f>IFERROR(IF(AND(ISNUMBER(B4999),ISNUMBER(B4998),B4998&lt;&gt;0),B4999/B4998-1,""),"")</f>
        <v/>
      </c>
      <c r="E4999" s="28">
        <f>IFERROR(IF(AND(ISNUMBER(C4999),ISNUMBER(C4998),C4998&lt;&gt;0),C4999/C4998-1,""),"")</f>
        <v/>
      </c>
      <c r="F4999" s="28">
        <f>IFERROR(D4999-Dashboard!$B$4/252,"")</f>
        <v/>
      </c>
      <c r="G4999" s="28">
        <f>IFERROR(E4999-Dashboard!$B$4/252,"")</f>
        <v/>
      </c>
      <c r="H4999" s="8">
        <f>IFERROR(IF(ISNUMBER(B4999),MAX(B4999,IFERROR(H4998,B4999)),""),"")</f>
        <v/>
      </c>
      <c r="I4999" s="29">
        <f>IFERROR(IF(AND(ISNUMBER(B4999),ISNUMBER(H4999)),B4999/H4999-1,""),"")</f>
        <v/>
      </c>
      <c r="J4999" s="8">
        <f>IFERROR(IF(ISNUMBER(C4999),MAX(C4999,IFERROR(J4998,C4999)),""),"")</f>
        <v/>
      </c>
      <c r="K4999" s="29">
        <f>IFERROR(IF(AND(ISNUMBER(C4999),ISNUMBER(J4999)),C4999/J4999-1,""),"")</f>
        <v/>
      </c>
      <c r="L4999" s="28">
        <f>IFERROR(IF(AND(ISNUMBER(D4999),ISNUMBER(E4999)),D4999-E4999,""),"")</f>
        <v/>
      </c>
    </row>
    <row r="5000">
      <c r="A5000" s="7">
        <f>IFERROR(Datos!A5000,"")</f>
        <v/>
      </c>
      <c r="B5000" s="8">
        <f>IFERROR(Datos!B5000,"")</f>
        <v/>
      </c>
      <c r="C5000" s="8">
        <f>IFERROR(Datos!C5000,"")</f>
        <v/>
      </c>
      <c r="D5000" s="28">
        <f>IFERROR(IF(AND(ISNUMBER(B5000),ISNUMBER(B4999),B4999&lt;&gt;0),B5000/B4999-1,""),"")</f>
        <v/>
      </c>
      <c r="E5000" s="28">
        <f>IFERROR(IF(AND(ISNUMBER(C5000),ISNUMBER(C4999),C4999&lt;&gt;0),C5000/C4999-1,""),"")</f>
        <v/>
      </c>
      <c r="F5000" s="28">
        <f>IFERROR(D5000-Dashboard!$B$4/252,"")</f>
        <v/>
      </c>
      <c r="G5000" s="28">
        <f>IFERROR(E5000-Dashboard!$B$4/252,"")</f>
        <v/>
      </c>
      <c r="H5000" s="8">
        <f>IFERROR(IF(ISNUMBER(B5000),MAX(B5000,IFERROR(H4999,B5000)),""),"")</f>
        <v/>
      </c>
      <c r="I5000" s="29">
        <f>IFERROR(IF(AND(ISNUMBER(B5000),ISNUMBER(H5000)),B5000/H5000-1,""),"")</f>
        <v/>
      </c>
      <c r="J5000" s="8">
        <f>IFERROR(IF(ISNUMBER(C5000),MAX(C5000,IFERROR(J4999,C5000)),""),"")</f>
        <v/>
      </c>
      <c r="K5000" s="29">
        <f>IFERROR(IF(AND(ISNUMBER(C5000),ISNUMBER(J5000)),C5000/J5000-1,""),"")</f>
        <v/>
      </c>
      <c r="L5000" s="28">
        <f>IFERROR(IF(AND(ISNUMBER(D5000),ISNUMBER(E5000)),D5000-E5000,""),"")</f>
        <v/>
      </c>
    </row>
    <row r="5001">
      <c r="A5001" s="7">
        <f>IFERROR(Datos!A5001,"")</f>
        <v/>
      </c>
      <c r="B5001" s="8">
        <f>IFERROR(Datos!B5001,"")</f>
        <v/>
      </c>
      <c r="C5001" s="8">
        <f>IFERROR(Datos!C5001,"")</f>
        <v/>
      </c>
      <c r="D5001" s="28">
        <f>IFERROR(IF(AND(ISNUMBER(B5001),ISNUMBER(B5000),B5000&lt;&gt;0),B5001/B5000-1,""),"")</f>
        <v/>
      </c>
      <c r="E5001" s="28">
        <f>IFERROR(IF(AND(ISNUMBER(C5001),ISNUMBER(C5000),C5000&lt;&gt;0),C5001/C5000-1,""),"")</f>
        <v/>
      </c>
      <c r="F5001" s="28">
        <f>IFERROR(D5001-Dashboard!$B$4/252,"")</f>
        <v/>
      </c>
      <c r="G5001" s="28">
        <f>IFERROR(E5001-Dashboard!$B$4/252,"")</f>
        <v/>
      </c>
      <c r="H5001" s="8">
        <f>IFERROR(IF(ISNUMBER(B5001),MAX(B5001,IFERROR(H5000,B5001)),""),"")</f>
        <v/>
      </c>
      <c r="I5001" s="29">
        <f>IFERROR(IF(AND(ISNUMBER(B5001),ISNUMBER(H5001)),B5001/H5001-1,""),"")</f>
        <v/>
      </c>
      <c r="J5001" s="8">
        <f>IFERROR(IF(ISNUMBER(C5001),MAX(C5001,IFERROR(J5000,C5001)),""),"")</f>
        <v/>
      </c>
      <c r="K5001" s="29">
        <f>IFERROR(IF(AND(ISNUMBER(C5001),ISNUMBER(J5001)),C5001/J5001-1,""),"")</f>
        <v/>
      </c>
      <c r="L5001" s="28">
        <f>IFERROR(IF(AND(ISNUMBER(D5001),ISNUMBER(E5001)),D5001-E5001,""),"")</f>
        <v/>
      </c>
    </row>
    <row r="5002">
      <c r="A5002" s="7">
        <f>IFERROR(Datos!A5002,"")</f>
        <v/>
      </c>
      <c r="B5002" s="8">
        <f>IFERROR(Datos!B5002,"")</f>
        <v/>
      </c>
      <c r="C5002" s="8">
        <f>IFERROR(Datos!C5002,"")</f>
        <v/>
      </c>
      <c r="D5002" s="28">
        <f>IFERROR(IF(AND(ISNUMBER(B5002),ISNUMBER(B5001),B5001&lt;&gt;0),B5002/B5001-1,""),"")</f>
        <v/>
      </c>
      <c r="E5002" s="28">
        <f>IFERROR(IF(AND(ISNUMBER(C5002),ISNUMBER(C5001),C5001&lt;&gt;0),C5002/C5001-1,""),"")</f>
        <v/>
      </c>
      <c r="F5002" s="28">
        <f>IFERROR(D5002-Dashboard!$B$4/252,"")</f>
        <v/>
      </c>
      <c r="G5002" s="28">
        <f>IFERROR(E5002-Dashboard!$B$4/252,"")</f>
        <v/>
      </c>
      <c r="H5002" s="8">
        <f>IFERROR(IF(ISNUMBER(B5002),MAX(B5002,IFERROR(H5001,B5002)),""),"")</f>
        <v/>
      </c>
      <c r="I5002" s="29">
        <f>IFERROR(IF(AND(ISNUMBER(B5002),ISNUMBER(H5002)),B5002/H5002-1,""),"")</f>
        <v/>
      </c>
      <c r="J5002" s="8">
        <f>IFERROR(IF(ISNUMBER(C5002),MAX(C5002,IFERROR(J5001,C5002)),""),"")</f>
        <v/>
      </c>
      <c r="K5002" s="29">
        <f>IFERROR(IF(AND(ISNUMBER(C5002),ISNUMBER(J5002)),C5002/J5002-1,""),"")</f>
        <v/>
      </c>
      <c r="L5002" s="28">
        <f>IFERROR(IF(AND(ISNUMBER(D5002),ISNUMBER(E5002)),D5002-E5002,""),"")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2026-05-26T11:32:31Z</dcterms:created>
  <dcterms:modified xmlns:dcterms="http://purl.org/dc/terms/" xmlns:xsi="http://www.w3.org/2001/XMLSchema-instance" xsi:type="dcterms:W3CDTF">2026-05-26T11:32:32Z</dcterms:modified>
</cp:coreProperties>
</file>